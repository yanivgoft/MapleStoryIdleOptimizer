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Monster Type blends Boss/Normal Monster Damage% by the Chapter Breakthrough weight %; PvP forces a fixed 15-second window regardless of the Fixed Fight Duration input.</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46" customWidth="1" min="1" max="1"/>
    <col width="16" customWidth="1" min="2" max="2"/>
  </cols>
  <sheetData>
    <row r="1">
      <c r="A1" s="4" t="inlineStr">
        <is>
          <t>Bishop — DPS Calculator Inputs</t>
        </is>
      </c>
    </row>
    <row r="3">
      <c r="A3" s="5" t="inlineStr">
        <is>
          <t>Character Level</t>
        </is>
      </c>
      <c r="B3" s="6" t="n">
        <v>114</v>
      </c>
    </row>
    <row r="4">
      <c r="A4" s="5" t="inlineStr">
        <is>
          <t>Monster Type ("boss", "normal", "breakthrough", or "pvp")</t>
        </is>
      </c>
      <c r="B4" s="6" t="inlineStr">
        <is>
          <t>boss</t>
        </is>
      </c>
    </row>
    <row r="5">
      <c r="A5" s="5" t="inlineStr">
        <is>
          <t>Flat ATTACK</t>
        </is>
      </c>
      <c r="B5" s="6" t="n">
        <v>859335</v>
      </c>
    </row>
    <row r="6">
      <c r="A6" s="5" t="inlineStr">
        <is>
          <t>ATTACK %</t>
        </is>
      </c>
      <c r="B6" s="6" t="n">
        <v>27490.1</v>
      </c>
    </row>
    <row r="7">
      <c r="A7" s="5" t="inlineStr">
        <is>
          <t>Monster Defense (flat, post-x100/x10 scaling)</t>
        </is>
      </c>
      <c r="B7" s="6" t="n">
        <v>3500</v>
      </c>
    </row>
    <row r="8">
      <c r="A8" s="5" t="inlineStr">
        <is>
          <t>CRIT_RATE %</t>
        </is>
      </c>
      <c r="B8" s="6" t="n">
        <v>116.4</v>
      </c>
    </row>
    <row r="9">
      <c r="A9" s="5" t="inlineStr">
        <is>
          <t>CRIT_DAMAGE %</t>
        </is>
      </c>
      <c r="B9" s="6" t="n">
        <v>264</v>
      </c>
    </row>
    <row r="10">
      <c r="A10" s="5" t="inlineStr">
        <is>
          <t>ATTACK_SPEED % (base, excludes Nimble Feet/MP Eater/Blood of the Divine)</t>
        </is>
      </c>
      <c r="B10" s="6" t="n">
        <v>61.7</v>
      </c>
    </row>
    <row r="11">
      <c r="A11" s="5" t="inlineStr">
        <is>
          <t>Flat INT</t>
        </is>
      </c>
      <c r="B11" s="6" t="n">
        <v>56628</v>
      </c>
    </row>
    <row r="12">
      <c r="A12" s="5" t="inlineStr">
        <is>
          <t>INT %</t>
        </is>
      </c>
      <c r="B12" s="6" t="n">
        <v>257.9</v>
      </c>
    </row>
    <row r="13">
      <c r="A13" s="5" t="inlineStr">
        <is>
          <t>LUK</t>
        </is>
      </c>
      <c r="B13" s="6" t="n">
        <v>762</v>
      </c>
    </row>
    <row r="14">
      <c r="A14" s="5" t="inlineStr">
        <is>
          <t>DAMAGE %</t>
        </is>
      </c>
      <c r="B14" s="6" t="n">
        <v>839.6</v>
      </c>
    </row>
    <row r="15">
      <c r="A15" s="5" t="inlineStr">
        <is>
          <t>DAMAGE_AMP %</t>
        </is>
      </c>
      <c r="B15" s="6" t="n">
        <v>66.2</v>
      </c>
    </row>
    <row r="16">
      <c r="A16" s="5" t="inlineStr">
        <is>
          <t>BASIC_ATTACK_DAMAGE %</t>
        </is>
      </c>
      <c r="B16" s="6" t="n">
        <v>45.6</v>
      </c>
    </row>
    <row r="17">
      <c r="A17" s="5" t="inlineStr">
        <is>
          <t>SKILL_DAMAGE %</t>
        </is>
      </c>
      <c r="B17" s="6" t="n">
        <v>103.6</v>
      </c>
    </row>
    <row r="18">
      <c r="A18" s="5" t="inlineStr">
        <is>
          <t>DEF_PEN %</t>
        </is>
      </c>
      <c r="B18" s="6" t="n">
        <v>44.2</v>
      </c>
    </row>
    <row r="19">
      <c r="A19" s="5" t="inlineStr">
        <is>
          <t>BOSS_DAMAGE %</t>
        </is>
      </c>
      <c r="B19" s="6" t="n">
        <v>360.6</v>
      </c>
    </row>
    <row r="20">
      <c r="A20" s="5" t="inlineStr">
        <is>
          <t>NORMAL_DAMAGE %</t>
        </is>
      </c>
      <c r="B20" s="6" t="n">
        <v>52</v>
      </c>
    </row>
    <row r="21">
      <c r="A21" s="5" t="inlineStr">
        <is>
          <t>MIN_DAMAGE %</t>
        </is>
      </c>
      <c r="B21" s="6" t="n">
        <v>228.5</v>
      </c>
    </row>
    <row r="22">
      <c r="A22" s="5" t="inlineStr">
        <is>
          <t>MAX_DAMAGE %</t>
        </is>
      </c>
      <c r="B22" s="6" t="n">
        <v>290.9</v>
      </c>
    </row>
    <row r="23">
      <c r="A23" s="5" t="inlineStr">
        <is>
          <t>FINAL_DAMAGE % (base, excludes Infinity/Blood of the Divine)</t>
        </is>
      </c>
      <c r="B23" s="6" t="n">
        <v>90.09999999999999</v>
      </c>
    </row>
    <row r="24">
      <c r="A24" s="5" t="inlineStr">
        <is>
          <t>Skill Level Bonus — 1st Job</t>
        </is>
      </c>
      <c r="B24" s="6" t="n">
        <v>0</v>
      </c>
    </row>
    <row r="25">
      <c r="A25" s="5" t="inlineStr">
        <is>
          <t>Skill Level Bonus — 2nd Job</t>
        </is>
      </c>
      <c r="B25" s="6" t="n">
        <v>39</v>
      </c>
    </row>
    <row r="26">
      <c r="A26" s="5" t="inlineStr">
        <is>
          <t>Skill Level Bonus — 3rd Job</t>
        </is>
      </c>
      <c r="B26" s="6" t="n">
        <v>19</v>
      </c>
    </row>
    <row r="27">
      <c r="A27" s="5" t="inlineStr">
        <is>
          <t>Skill Level Bonus — 4th Job</t>
        </is>
      </c>
      <c r="B27" s="6" t="n">
        <v>62</v>
      </c>
    </row>
    <row r="28">
      <c r="A28" s="5" t="inlineStr">
        <is>
          <t>Skill Level Bonus — All Skills</t>
        </is>
      </c>
      <c r="B28" s="6" t="n">
        <v>55</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HitsPerCast</t>
        </is>
      </c>
      <c r="G1" s="8" t="inlineStr">
        <is>
          <t>ICD(s)</t>
        </is>
      </c>
      <c r="H1" s="8" t="inlineStr">
        <is>
          <t>ActiveWindow(s)</t>
        </is>
      </c>
      <c r="I1" s="8" t="inlineStr">
        <is>
          <t>ProcChance%</t>
        </is>
      </c>
      <c r="J1" s="8" t="inlineStr">
        <is>
          <t>RollsPerCast</t>
        </is>
      </c>
      <c r="K1" s="8" t="inlineStr">
        <is>
          <t>BaseDamage(tenths%)</t>
        </is>
      </c>
      <c r="L1" s="8" t="inlineStr">
        <is>
          <t>FactorIndex</t>
        </is>
      </c>
      <c r="M1" s="8" t="inlineStr">
        <is>
          <t>ScalesWithLevel</t>
        </is>
      </c>
      <c r="N1" s="8" t="inlineStr">
        <is>
          <t>SkillMasteryBonus%</t>
        </is>
      </c>
      <c r="O1" s="8" t="inlineStr">
        <is>
          <t>MasteryBossDamage%</t>
        </is>
      </c>
      <c r="P1" s="8" t="inlineStr">
        <is>
          <t>MasteryNormalDamage%</t>
        </is>
      </c>
      <c r="Q1" s="8" t="inlineStr">
        <is>
          <t>NormalMonsterTargets</t>
        </is>
      </c>
      <c r="R1" s="8" t="inlineStr">
        <is>
          <t>BuffTargetStat</t>
        </is>
      </c>
      <c r="S1" s="8" t="inlineStr">
        <is>
          <t>BuffDuration(s)</t>
        </is>
      </c>
      <c r="T1" s="8" t="inlineStr">
        <is>
          <t>MapleHeroBase(tenths%)</t>
        </is>
      </c>
      <c r="U1" s="8" t="inlineStr">
        <is>
          <t>MapleHeroFactorIndex</t>
        </is>
      </c>
      <c r="V1" s="8" t="inlineStr">
        <is>
          <t>Stacks</t>
        </is>
      </c>
      <c r="W1" s="8"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6+Inputs!$B$32</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22</v>
      </c>
      <c r="M4" t="b">
        <v>1</v>
      </c>
      <c r="N4">
        <f>SUMPRODUCT((Inputs!$B$3&gt;={54})*{8})</f>
        <v/>
      </c>
      <c r="O4" t="n">
        <v>0</v>
      </c>
      <c r="P4" t="n">
        <v>0</v>
      </c>
      <c r="Q4" t="n">
        <v>1</v>
      </c>
      <c r="R4" t="inlineStr">
        <is>
          <t>ATTACK</t>
        </is>
      </c>
      <c r="S4">
        <f>IF(Inputs!$B$3&gt;=39,10*1.5,10)</f>
        <v/>
      </c>
      <c r="T4" t="inlineStr"/>
      <c r="U4" t="inlineStr"/>
      <c r="V4" t="inlineStr"/>
      <c r="W4" t="inlineStr">
        <is>
          <t>FLAGGED ASSUMPTION (no wiki curve — only the level-1 value is known): factorIndex 22 (buff/passive convention), baseDamage 100 tenths% (10% level-1).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22</v>
      </c>
      <c r="M5" t="b">
        <v>1</v>
      </c>
      <c r="N5" t="n">
        <v>0</v>
      </c>
      <c r="O5" t="n">
        <v>0</v>
      </c>
      <c r="P5" t="n">
        <v>0</v>
      </c>
      <c r="Q5" t="n">
        <v>1</v>
      </c>
      <c r="R5" t="inlineStr">
        <is>
          <t>ATTACK</t>
        </is>
      </c>
      <c r="S5">
        <f>IF(Inputs!$B$3&gt;=44,15*1.3,15)</f>
        <v/>
      </c>
      <c r="T5" t="inlineStr"/>
      <c r="U5" t="inlineStr"/>
      <c r="V5" t="inlineStr"/>
      <c r="W5" t="inlineStr">
        <is>
          <t>FLAGGED ASSUMPTION: factorIndex 22, baseDamage 160 tenths% (16% level-1).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FLAGGED ASSUMPTION: factorIndex 12 (burst convention), baseDamage 6800 tenths% (680% level-1).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FLAGGED ASSUMPTION: factorIndex 12, baseDamage 7000 tenths% (700% level-1).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22</v>
      </c>
      <c r="M11" t="b">
        <v>1</v>
      </c>
      <c r="N11" t="n">
        <v>0</v>
      </c>
      <c r="O11" t="n">
        <v>0</v>
      </c>
      <c r="P11" t="n">
        <v>0</v>
      </c>
      <c r="Q11" t="n">
        <v>1</v>
      </c>
      <c r="R11" t="inlineStr">
        <is>
          <t>ATTACK</t>
        </is>
      </c>
      <c r="S11" t="n">
        <v>22</v>
      </c>
      <c r="T11" t="inlineStr"/>
      <c r="U11" t="inlineStr"/>
      <c r="V11" t="inlineStr"/>
      <c r="W11" t="inlineStr">
        <is>
          <t>FLAGGED ASSUMPTION: factorIndex 22, baseDamage 150 tenths% (15% level-1).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FLAGGED ASSUMPTION: factorIndex 22, baseDamage 150 tenths% (15% level-1).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ADVANCED_BLESSING</t>
        </is>
      </c>
      <c r="B13" t="inlineStr">
        <is>
          <t>Advanced Blessing</t>
        </is>
      </c>
      <c r="C13" t="n">
        <v>4</v>
      </c>
      <c r="D13" t="n">
        <v>26</v>
      </c>
      <c r="E13" t="b">
        <v>1</v>
      </c>
      <c r="F13" t="n">
        <v>1</v>
      </c>
      <c r="G13" t="n">
        <v>0</v>
      </c>
      <c r="H13" t="n">
        <v>0</v>
      </c>
      <c r="I13" t="n">
        <v>100</v>
      </c>
      <c r="J13" t="n">
        <v>1</v>
      </c>
      <c r="K13" t="n">
        <v>70</v>
      </c>
      <c r="L13" t="n">
        <v>22</v>
      </c>
      <c r="M13" t="b">
        <v>1</v>
      </c>
      <c r="N13">
        <f>SUMPRODUCT((Inputs!$B$3&gt;={113})*{4})</f>
        <v/>
      </c>
      <c r="O13" t="n">
        <v>0</v>
      </c>
      <c r="P13" t="n">
        <v>0</v>
      </c>
      <c r="Q13" t="n">
        <v>1</v>
      </c>
      <c r="R13" t="inlineStr">
        <is>
          <t>FINAL_DAMAGE</t>
        </is>
      </c>
      <c r="S13" t="n">
        <v>20</v>
      </c>
      <c r="T13" t="inlineStr"/>
      <c r="U13" t="inlineStr"/>
      <c r="V13" t="inlineStr"/>
      <c r="W13" t="inlineStr">
        <is>
          <t>FLAGGED ASSUMPTION: factorIndex 22, baseDamage 70 tenths% (7% level-1).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4">
      <c r="A14" t="inlineStr">
        <is>
          <t>TRIUMPH_FEATHER</t>
        </is>
      </c>
      <c r="B14" t="inlineStr">
        <is>
          <t>Triumph Feather</t>
        </is>
      </c>
      <c r="C14" t="n">
        <v>3</v>
      </c>
      <c r="D14" t="inlineStr"/>
      <c r="E14" t="b">
        <v>0</v>
      </c>
      <c r="F14">
        <f>IF(Inputs!$B$3&gt;=104,3,2)</f>
        <v/>
      </c>
      <c r="G14" t="n">
        <v>1</v>
      </c>
      <c r="H14" t="n">
        <v>0</v>
      </c>
      <c r="I14" t="n">
        <v>35</v>
      </c>
      <c r="J14" t="n">
        <v>1</v>
      </c>
      <c r="K14" t="n">
        <v>1500</v>
      </c>
      <c r="L14" t="n">
        <v>12</v>
      </c>
      <c r="M14" t="b">
        <v>1</v>
      </c>
      <c r="N14">
        <f>SUMPRODUCT((Inputs!$B$3&gt;={73})*{50})</f>
        <v/>
      </c>
      <c r="O14" t="n">
        <v>0</v>
      </c>
      <c r="P14" t="n">
        <v>0</v>
      </c>
      <c r="Q14">
        <f>IF(Inputs!$B$3&gt;=94,7,1)</f>
        <v/>
      </c>
      <c r="R14" t="inlineStr"/>
      <c r="S14" t="n">
        <v>0</v>
      </c>
      <c r="T14" t="inlineStr"/>
      <c r="U14" t="inlineStr"/>
      <c r="V14" t="inlineStr"/>
      <c r="W14" t="inlineStr">
        <is>
          <t>FLAGGED ASSUMPTION: factorIndex 12, baseDamage 1500 tenths% (150% level-1).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5">
      <c r="A15" t="inlineStr">
        <is>
          <t>MAPLE_HERO_BISHOP</t>
        </is>
      </c>
      <c r="B15" t="inlineStr">
        <is>
          <t>Maple Hero</t>
        </is>
      </c>
      <c r="C15" t="n">
        <v>4</v>
      </c>
      <c r="D15" t="inlineStr"/>
      <c r="E15" t="b">
        <v>0</v>
      </c>
      <c r="F15" t="n">
        <v>1</v>
      </c>
      <c r="G15" t="n">
        <v>0</v>
      </c>
      <c r="H15" t="n">
        <v>0</v>
      </c>
      <c r="I15" t="n">
        <v>100</v>
      </c>
      <c r="J15" t="n">
        <v>1</v>
      </c>
      <c r="K15" t="n">
        <v>500</v>
      </c>
      <c r="L15" t="n">
        <v>23</v>
      </c>
      <c r="M15" t="b">
        <v>1</v>
      </c>
      <c r="N15" t="n">
        <v>0</v>
      </c>
      <c r="O15" t="n">
        <v>0</v>
      </c>
      <c r="P15" t="n">
        <v>0</v>
      </c>
      <c r="Q15" t="n">
        <v>1</v>
      </c>
      <c r="R15" t="inlineStr"/>
      <c r="S15" t="n">
        <v>0</v>
      </c>
      <c r="T15" t="inlineStr"/>
      <c r="U15" t="inlineStr"/>
      <c r="V15" t="inlineStr"/>
      <c r="W15" t="inlineStr">
        <is>
          <t>FLAGGED ASSUMPTION: factorIndex 23 (Maple Hero convention, matching every other class's own Maple Hero factorIndex), baseDamage 500 tenths% (50% level-1).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6">
      <c r="A16" t="inlineStr">
        <is>
          <t>MP_EATER_MP_BOOST</t>
        </is>
      </c>
      <c r="B16" t="inlineStr">
        <is>
          <t>MP Eater - MP Boost (Mastery Lv.49)</t>
        </is>
      </c>
      <c r="C16" t="n">
        <v>2</v>
      </c>
      <c r="D16" t="inlineStr"/>
      <c r="E16" t="b">
        <v>0</v>
      </c>
      <c r="F16" t="n">
        <v>1</v>
      </c>
      <c r="G16" t="n">
        <v>0</v>
      </c>
      <c r="H16" t="n">
        <v>0</v>
      </c>
      <c r="I16" t="n">
        <v>100</v>
      </c>
      <c r="J16" t="n">
        <v>1</v>
      </c>
      <c r="K16" t="n">
        <v>70</v>
      </c>
      <c r="L16" t="n">
        <v>0</v>
      </c>
      <c r="M16" t="b">
        <v>0</v>
      </c>
      <c r="N16" t="n">
        <v>0</v>
      </c>
      <c r="O16" t="n">
        <v>0</v>
      </c>
      <c r="P16" t="n">
        <v>0</v>
      </c>
      <c r="Q16" t="n">
        <v>1</v>
      </c>
      <c r="R16" t="inlineStr"/>
      <c r="S16" t="n">
        <v>0</v>
      </c>
      <c r="T16" t="inlineStr"/>
      <c r="U16" t="inlineStr"/>
      <c r="V16" t="inlineStr"/>
      <c r="W16"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7">
      <c r="A17" t="inlineStr">
        <is>
          <t>ELEMENT_AMPLIFICATION</t>
        </is>
      </c>
      <c r="B17" t="inlineStr">
        <is>
          <t>Element Amplification</t>
        </is>
      </c>
      <c r="C17" t="n">
        <v>3</v>
      </c>
      <c r="D17" t="inlineStr"/>
      <c r="E17" t="b">
        <v>0</v>
      </c>
      <c r="F17" t="n">
        <v>1</v>
      </c>
      <c r="G17" t="n">
        <v>0</v>
      </c>
      <c r="H17" t="n">
        <v>0</v>
      </c>
      <c r="I17" t="n">
        <v>100</v>
      </c>
      <c r="J17" t="n">
        <v>1</v>
      </c>
      <c r="K17" t="n">
        <v>150</v>
      </c>
      <c r="L17" t="n">
        <v>22</v>
      </c>
      <c r="M17" t="b">
        <v>1</v>
      </c>
      <c r="N17" t="n">
        <v>0</v>
      </c>
      <c r="O17" t="n">
        <v>0</v>
      </c>
      <c r="P17" t="n">
        <v>0</v>
      </c>
      <c r="Q17" t="n">
        <v>1</v>
      </c>
      <c r="R17" t="inlineStr">
        <is>
          <t>FINAL_DAMAGE</t>
        </is>
      </c>
      <c r="S17" t="n">
        <v>0</v>
      </c>
      <c r="T17" t="inlineStr"/>
      <c r="U17" t="inlineStr"/>
      <c r="V17" t="inlineStr"/>
      <c r="W17" t="inlineStr">
        <is>
          <t>Shared verbatim w/ FP-Mage/Ice-Lightning-Mage: +15%-&gt;24% Final Damage, unconditional (ignore the MP&gt;=50%(patched 35%) condition per the same always-on decision applied everywhere else). Not reflected in Inputs — added directly into the Final Damage chain.</t>
        </is>
      </c>
    </row>
    <row r="18">
      <c r="A18" t="inlineStr">
        <is>
          <t>INFINITY</t>
        </is>
      </c>
      <c r="B18" t="inlineStr">
        <is>
          <t>Infinity</t>
        </is>
      </c>
      <c r="C18" t="n">
        <v>4</v>
      </c>
      <c r="D18" t="n">
        <v>30</v>
      </c>
      <c r="E18" t="b">
        <v>1</v>
      </c>
      <c r="F18" t="n">
        <v>1</v>
      </c>
      <c r="G18" t="n">
        <v>0</v>
      </c>
      <c r="H18" t="n">
        <v>0</v>
      </c>
      <c r="I18" t="n">
        <v>100</v>
      </c>
      <c r="J18" t="n">
        <v>1</v>
      </c>
      <c r="K18" t="n">
        <v>150</v>
      </c>
      <c r="L18" t="n">
        <v>21</v>
      </c>
      <c r="M18" t="b">
        <v>1</v>
      </c>
      <c r="N18" t="n">
        <v>0</v>
      </c>
      <c r="O18" t="n">
        <v>0</v>
      </c>
      <c r="P18" t="n">
        <v>0</v>
      </c>
      <c r="Q18" t="n">
        <v>1</v>
      </c>
      <c r="R18" t="inlineStr">
        <is>
          <t>FINAL_DAMAGE</t>
        </is>
      </c>
      <c r="S18" t="n">
        <v>15</v>
      </c>
      <c r="T18" t="inlineStr"/>
      <c r="U18" t="inlineStr"/>
      <c r="V18" t="inlineStr"/>
      <c r="W18"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19">
      <c r="A19" t="inlineStr">
        <is>
          <t>BLOOD_OF_THE_DIVINE</t>
        </is>
      </c>
      <c r="B19" t="inlineStr">
        <is>
          <t>Blood of the Divine</t>
        </is>
      </c>
      <c r="C19" t="n">
        <v>4</v>
      </c>
      <c r="D19" t="inlineStr"/>
      <c r="E19" t="b">
        <v>0</v>
      </c>
      <c r="F19" t="n">
        <v>1</v>
      </c>
      <c r="G19" t="n">
        <v>0</v>
      </c>
      <c r="H19" t="n">
        <v>0</v>
      </c>
      <c r="I19" t="n">
        <v>100</v>
      </c>
      <c r="J19" t="n">
        <v>1</v>
      </c>
      <c r="K19" t="n">
        <v>50</v>
      </c>
      <c r="L19" t="n">
        <v>22</v>
      </c>
      <c r="M19" t="b">
        <v>1</v>
      </c>
      <c r="N19" t="n">
        <v>0</v>
      </c>
      <c r="O19" t="n">
        <v>0</v>
      </c>
      <c r="P19" t="n">
        <v>0</v>
      </c>
      <c r="Q19" t="n">
        <v>1</v>
      </c>
      <c r="R19" t="inlineStr"/>
      <c r="S19" t="n">
        <v>0</v>
      </c>
      <c r="T19" t="inlineStr"/>
      <c r="U19" t="inlineStr"/>
      <c r="V19" t="inlineStr"/>
      <c r="W19" t="inlineStr">
        <is>
          <t>FLAGGED ASSUMPTION: factorIndex 22, baseDamage 50 tenths% (5% level-1,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0">
      <c r="A20" t="inlineStr">
        <is>
          <t>MAGIC_ACCELERATION</t>
        </is>
      </c>
      <c r="B20" t="inlineStr">
        <is>
          <t>Magic Acceleration</t>
        </is>
      </c>
      <c r="C20" t="n">
        <v>2</v>
      </c>
      <c r="D20" t="inlineStr"/>
      <c r="E20" t="b">
        <v>0</v>
      </c>
      <c r="F20" t="n">
        <v>1</v>
      </c>
      <c r="G20" t="n">
        <v>0</v>
      </c>
      <c r="H20" t="n">
        <v>0</v>
      </c>
      <c r="I20" t="n">
        <v>100</v>
      </c>
      <c r="J20" t="n">
        <v>1</v>
      </c>
      <c r="K20" t="n">
        <v>50</v>
      </c>
      <c r="L20" t="n">
        <v>22</v>
      </c>
      <c r="M20" t="b">
        <v>1</v>
      </c>
      <c r="N20" t="n">
        <v>0</v>
      </c>
      <c r="O20" t="n">
        <v>0</v>
      </c>
      <c r="P20" t="n">
        <v>0</v>
      </c>
      <c r="Q20" t="n">
        <v>1</v>
      </c>
      <c r="R20" t="inlineStr">
        <is>
          <t>ATTACK_SPEED</t>
        </is>
      </c>
      <c r="S20" t="n">
        <v>0</v>
      </c>
      <c r="T20" t="inlineStr"/>
      <c r="U20" t="inlineStr"/>
      <c r="V20" t="inlineStr"/>
      <c r="W20" t="inlineStr">
        <is>
          <t>Shared verbatim w/ FP-Mage/Ice-Lightning-Mage: Magic Critical pattern, already baked into Inputs!ATTACK_SPEED%; feeds the 2nd-Job Skill Level Bonus Sensitivity delta only.</t>
        </is>
      </c>
    </row>
    <row r="21">
      <c r="A21" t="inlineStr">
        <is>
          <t>SPELL_MASTERY</t>
        </is>
      </c>
      <c r="B21" t="inlineStr">
        <is>
          <t>Spell Mastery</t>
        </is>
      </c>
      <c r="C21" t="n">
        <v>2</v>
      </c>
      <c r="D21" t="inlineStr"/>
      <c r="E21" t="b">
        <v>0</v>
      </c>
      <c r="F21" t="n">
        <v>1</v>
      </c>
      <c r="G21" t="n">
        <v>0</v>
      </c>
      <c r="H21" t="n">
        <v>0</v>
      </c>
      <c r="I21" t="n">
        <v>100</v>
      </c>
      <c r="J21" t="n">
        <v>1</v>
      </c>
      <c r="K21" t="n">
        <v>150</v>
      </c>
      <c r="L21" t="n">
        <v>22</v>
      </c>
      <c r="M21" t="b">
        <v>1</v>
      </c>
      <c r="N21" t="n">
        <v>0</v>
      </c>
      <c r="O21" t="n">
        <v>0</v>
      </c>
      <c r="P21" t="n">
        <v>0</v>
      </c>
      <c r="Q21" t="n">
        <v>1</v>
      </c>
      <c r="R21" t="inlineStr">
        <is>
          <t>MIN_DAMAGE</t>
        </is>
      </c>
      <c r="S21" t="n">
        <v>0</v>
      </c>
      <c r="T21" t="inlineStr"/>
      <c r="U21" t="inlineStr"/>
      <c r="V21" t="inlineStr"/>
      <c r="W21" t="inlineStr">
        <is>
          <t>Shared verbatim w/ FP-Mage/Ice-Lightning-Mage: Magic Critical pattern, already baked into Inputs!MIN_DAMAGE%; feeds the 2nd-Job Skill Level Bonus delta.</t>
        </is>
      </c>
    </row>
    <row r="22">
      <c r="A22" t="inlineStr">
        <is>
          <t>HIGH_WISDOM</t>
        </is>
      </c>
      <c r="B22" t="inlineStr">
        <is>
          <t>High Wisdom</t>
        </is>
      </c>
      <c r="C22" t="n">
        <v>2</v>
      </c>
      <c r="D22" t="inlineStr"/>
      <c r="E22" t="b">
        <v>0</v>
      </c>
      <c r="F22" t="n">
        <v>1</v>
      </c>
      <c r="G22" t="n">
        <v>0</v>
      </c>
      <c r="H22" t="n">
        <v>0</v>
      </c>
      <c r="I22" t="n">
        <v>100</v>
      </c>
      <c r="J22" t="n">
        <v>1</v>
      </c>
      <c r="K22" t="n">
        <v>80</v>
      </c>
      <c r="L22" t="n">
        <v>22</v>
      </c>
      <c r="M22" t="b">
        <v>1</v>
      </c>
      <c r="N22" t="n">
        <v>0</v>
      </c>
      <c r="O22" t="n">
        <v>0</v>
      </c>
      <c r="P22" t="n">
        <v>0</v>
      </c>
      <c r="Q22" t="n">
        <v>1</v>
      </c>
      <c r="R22" t="inlineStr">
        <is>
          <t>CRIT_RATE</t>
        </is>
      </c>
      <c r="S22" t="n">
        <v>0</v>
      </c>
      <c r="T22" t="inlineStr"/>
      <c r="U22" t="inlineStr"/>
      <c r="V22" t="inlineStr"/>
      <c r="W22" t="inlineStr">
        <is>
          <t>Shared verbatim w/ Ice-Lightning-Mage: Magic Critical pattern, already baked into Inputs!CRIT_RATE% (jointly with Magic Critical (Crit Rate) below); feeds the 2nd-Job Skill Level Bonus delta.</t>
        </is>
      </c>
    </row>
    <row r="23">
      <c r="A23" t="inlineStr">
        <is>
          <t>MAGIC_CRITICAL_RATE</t>
        </is>
      </c>
      <c r="B23" t="inlineStr">
        <is>
          <t>Magic Critical (Crit Rate)</t>
        </is>
      </c>
      <c r="C23" t="n">
        <v>3</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FP-Mage/Ice-Lightning-Mage: Magic Critical pattern, already baked into Inputs!CRIT_RATE%; feeds the 3rd-Job Skill Level Bonus delta.</t>
        </is>
      </c>
    </row>
    <row r="24">
      <c r="A24" t="inlineStr">
        <is>
          <t>MAGIC_CRITICAL_DAMAGE</t>
        </is>
      </c>
      <c r="B24" t="inlineStr">
        <is>
          <t>Magic Critical (Crit Damage)</t>
        </is>
      </c>
      <c r="C24" t="n">
        <v>3</v>
      </c>
      <c r="D24" t="inlineStr"/>
      <c r="E24" t="b">
        <v>0</v>
      </c>
      <c r="F24" t="n">
        <v>1</v>
      </c>
      <c r="G24" t="n">
        <v>0</v>
      </c>
      <c r="H24" t="n">
        <v>0</v>
      </c>
      <c r="I24" t="n">
        <v>100</v>
      </c>
      <c r="J24" t="n">
        <v>1</v>
      </c>
      <c r="K24" t="n">
        <v>120</v>
      </c>
      <c r="L24" t="n">
        <v>22</v>
      </c>
      <c r="M24" t="b">
        <v>1</v>
      </c>
      <c r="N24" t="n">
        <v>0</v>
      </c>
      <c r="O24" t="n">
        <v>0</v>
      </c>
      <c r="P24" t="n">
        <v>0</v>
      </c>
      <c r="Q24" t="n">
        <v>1</v>
      </c>
      <c r="R24" t="inlineStr">
        <is>
          <t>CRIT_DAMAGE</t>
        </is>
      </c>
      <c r="S24" t="n">
        <v>0</v>
      </c>
      <c r="T24" t="inlineStr"/>
      <c r="U24" t="inlineStr"/>
      <c r="V24" t="inlineStr"/>
      <c r="W24" t="inlineStr">
        <is>
          <t>Shared verbatim w/ FP-Mage/Ice-Lightning-Mage: Magic Critical pattern, already baked into Inputs!CRIT_DAMAGE%; feeds the 3rd-Job Skill Level Bonus delta.</t>
        </is>
      </c>
    </row>
    <row r="25">
      <c r="A25" t="inlineStr">
        <is>
          <t>BUFF_MASTERY</t>
        </is>
      </c>
      <c r="B25" t="inlineStr">
        <is>
          <t>Buff Mastery</t>
        </is>
      </c>
      <c r="C25" t="n">
        <v>4</v>
      </c>
      <c r="D25" t="inlineStr"/>
      <c r="E25" t="b">
        <v>0</v>
      </c>
      <c r="F25" t="n">
        <v>1</v>
      </c>
      <c r="G25" t="n">
        <v>0</v>
      </c>
      <c r="H25" t="n">
        <v>0</v>
      </c>
      <c r="I25" t="n">
        <v>100</v>
      </c>
      <c r="J25" t="n">
        <v>1</v>
      </c>
      <c r="K25" t="n">
        <v>100</v>
      </c>
      <c r="L25" t="n">
        <v>22</v>
      </c>
      <c r="M25" t="b">
        <v>1</v>
      </c>
      <c r="N25" t="n">
        <v>0</v>
      </c>
      <c r="O25" t="n">
        <v>0</v>
      </c>
      <c r="P25" t="n">
        <v>0</v>
      </c>
      <c r="Q25" t="n">
        <v>1</v>
      </c>
      <c r="R25" t="inlineStr"/>
      <c r="S25" t="n">
        <v>0</v>
      </c>
      <c r="T25" t="inlineStr"/>
      <c r="U25" t="inlineStr"/>
      <c r="V25" t="inlineStr"/>
      <c r="W25" t="inlineStr">
        <is>
          <t>Shared verbatim w/ FP-Mage/Ice-Lightning-Mage: feeds bdi_with_buff_mastery_expr (Buff Duration Increase %) at unlock level 117 — not reflected in Inputs.</t>
        </is>
      </c>
    </row>
    <row r="26">
      <c r="A26" t="inlineStr">
        <is>
          <t>ARCANE_AIM</t>
        </is>
      </c>
      <c r="B26" t="inlineStr">
        <is>
          <t>Arcane Aim</t>
        </is>
      </c>
      <c r="C26" t="n">
        <v>4</v>
      </c>
      <c r="D26" t="inlineStr"/>
      <c r="E26" t="b">
        <v>0</v>
      </c>
      <c r="F26" t="n">
        <v>1</v>
      </c>
      <c r="G26" t="n">
        <v>0</v>
      </c>
      <c r="H26" t="n">
        <v>0</v>
      </c>
      <c r="I26" t="n">
        <v>100</v>
      </c>
      <c r="J26" t="n">
        <v>1</v>
      </c>
      <c r="K26" t="n">
        <v>30</v>
      </c>
      <c r="L26" t="n">
        <v>22</v>
      </c>
      <c r="M26" t="b">
        <v>1</v>
      </c>
      <c r="N26" t="n">
        <v>0</v>
      </c>
      <c r="O26" t="n">
        <v>0</v>
      </c>
      <c r="P26" t="n">
        <v>0</v>
      </c>
      <c r="Q26" t="n">
        <v>1</v>
      </c>
      <c r="R26" t="inlineStr"/>
      <c r="S26" t="n">
        <v>0</v>
      </c>
      <c r="T26" t="inlineStr"/>
      <c r="U26" t="inlineStr"/>
      <c r="V26" t="inlineStr"/>
      <c r="W26"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t="inlineStr">
        <is>
          <t>InvCooldown</t>
        </is>
      </c>
      <c r="R1" t="inlineStr">
        <is>
          <t>CastsInFight</t>
        </is>
      </c>
      <c r="Z1" s="5" t="inlineStr">
        <is>
          <t>Maple Hero helper (unused — see Note on MAPLE_HERO_BISHOP row)</t>
        </is>
      </c>
    </row>
    <row r="2">
      <c r="A2">
        <f>Skills!A2</f>
        <v/>
      </c>
      <c r="B2">
        <f>Skills!B2</f>
        <v/>
      </c>
      <c r="C2">
        <f>Inputs!$B$3&gt;=100</f>
        <v/>
      </c>
      <c r="D2" t="inlineStr"/>
      <c r="E2" t="inlineStr"/>
      <c r="F2">
        <f>Summary!$B$47+Skills!N2</f>
        <v/>
      </c>
      <c r="G2">
        <f>Skills!F2*IF(Skills!G2&gt;0,Skills!H2/Skills!G2,1)</f>
        <v/>
      </c>
      <c r="H2">
        <f>1-(1-Skills!I2/100)^Skills!J2</f>
        <v/>
      </c>
      <c r="I2">
        <f>IF(Skills!T2&lt;&gt;"",1+(Skills!T2/10)*($Z$3/1000)/100,1)</f>
        <v/>
      </c>
      <c r="J2">
        <f>Summary!$B$43*(F2/100)</f>
        <v/>
      </c>
      <c r="K2">
        <f>J2*(1+Summary!$B$44/100)*(1+(Inputs!$B$14+Summary!$B$53)/100)*(1+IF(Inputs!$B$4="pvp",0,(1-Summary!$B$48)*(Inputs!$B$19+Skills!O2+Summary!$B$51)+Summary!$B$48*(Inputs!$B$20+Skills!P2+Summary!$B$52))/100)*(1+Inputs!$B$15/100)*(5000/(6000+Inputs!$B$7*(1-Inputs!$B$18/100)))*(1+Inputs!$B$23/100)*(1+IF(C17=TRUE,F17,0)/100)*(1+IF(C19=TRUE,F19,0)/100)*(1+IF(Skills!A2="TRIUMPH_FEATHER",IF(C15=TRUE,F15,0),0)/100)*(1+IF(C26=TRUE,F26,0)/100)^5*(1+(IF(Skills!A2="BIG_BANG",Inputs!$B$16,Inputs!$B$17))/100)*(Summary!$B$50*I2)</f>
        <v/>
      </c>
      <c r="L2">
        <f>K2*(MIN(Inputs!$B$21,Inputs!$B$22)/100+Inputs!$B$22/100)/2</f>
        <v/>
      </c>
      <c r="M2">
        <f>L2*(1+(Inputs!$B$9+Summary!$B$54)/100)</f>
        <v/>
      </c>
      <c r="N2">
        <f>L2*(1-MIN(Inputs!$B$8,100)/100)+M2*(MIN(Inputs!$B$8,100)/100)</f>
        <v/>
      </c>
      <c r="O2">
        <f>IF(C2,Skills!F2*N2*Summary!$B$58*IF(Inputs!$B$4="pvp",1,(1-Summary!$B$48)*(1)+Summary!$B$48*(MIN(Skills!Q2,Inputs!$B$37))),0)</f>
        <v/>
      </c>
      <c r="P2">
        <f>IF(Summary!$B$3=0,0,O2/Summary!$B$3)</f>
        <v/>
      </c>
      <c r="Q2">
        <f>IFERROR(1/IF(Inputs!$B$4="pvp",15,MAX(0.1,Skills!D2-IF(Skills!E2=TRUE,Inputs!$B$31,0))),0)</f>
        <v/>
      </c>
      <c r="R2" t="n">
        <v>0</v>
      </c>
      <c r="Z2">
        <f>MAX(0,(Inputs!$B$3-100)*3)+Inputs!$B$27+Inputs!$B$28</f>
        <v/>
      </c>
    </row>
    <row r="3">
      <c r="A3">
        <f>Skills!A3</f>
        <v/>
      </c>
      <c r="B3">
        <f>Skills!B3</f>
        <v/>
      </c>
      <c r="C3">
        <f>Inputs!$B$3&gt;=15</f>
        <v/>
      </c>
      <c r="D3">
        <f>IF(Skills!C3=1,60+Inputs!$B$24+Inputs!$B$28,IF(Skills!C3=2,90+Inputs!$B$25+Inputs!$B$28,IF(Skills!C3=3,120+Inputs!$B$26+Inputs!$B$28,MAX(0,(Inputs!$B$3-100)*3)+Inputs!$B$27+Inputs!$B$28)))</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IFERROR(1/IF(Inputs!$B$4="pvp",15,MAX(0.1,Skills!D3-IF(Skills!E3=TRUE,Inputs!$B$31,0))),0)</f>
        <v/>
      </c>
      <c r="R3">
        <f>IF(AND(Inputs!$B$4&lt;&gt;"pvp",Inputs!$B$35&gt;0),(INT(Inputs!$B$35/IF(Inputs!$B$4="pvp",15,MAX(0.1,Skills!D3-IF(Skills!E3=TRUE,Inputs!$B$31,0))))+1),0)</f>
        <v/>
      </c>
      <c r="Z3">
        <f>INDEX(FactorTable!$B$2:$Y$301, MATCH(ROUND(MIN(300,MAX(1,Z2)),0), FactorTable!$A$2:$A$301,0), 24)</f>
        <v/>
      </c>
    </row>
    <row r="4">
      <c r="A4">
        <f>Skills!A4</f>
        <v/>
      </c>
      <c r="B4">
        <f>Skills!B4</f>
        <v/>
      </c>
      <c r="C4">
        <f>Inputs!$B$3&gt;=38</f>
        <v/>
      </c>
      <c r="D4">
        <f>IF(Skills!C4=1,60+Inputs!$B$24+Inputs!$B$28,IF(Skills!C4=2,90+Inputs!$B$25+Inputs!$B$28,IF(Skills!C4=3,120+Inputs!$B$26+Inputs!$B$28,MAX(0,(Inputs!$B$3-100)*3)+Inputs!$B$27+Inputs!$B$28)))</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IFERROR(1/IF(Inputs!$B$4="pvp",15,MAX(0.1,Skills!D4-IF(Skills!E4=TRUE,Inputs!$B$31,0))),0)</f>
        <v/>
      </c>
      <c r="R4">
        <f>IF(AND(Inputs!$B$4&lt;&gt;"pvp",Inputs!$B$35&gt;0),(INT(Inputs!$B$35/IF(Inputs!$B$4="pvp",15,MAX(0.1,Skills!D4-IF(Skills!E4=TRUE,Inputs!$B$31,0))))+1),0)</f>
        <v/>
      </c>
    </row>
    <row r="5">
      <c r="A5">
        <f>Skills!A5</f>
        <v/>
      </c>
      <c r="B5">
        <f>Skills!B5</f>
        <v/>
      </c>
      <c r="C5">
        <f>Inputs!$B$3&gt;=40</f>
        <v/>
      </c>
      <c r="D5">
        <f>IF(Skills!C5=1,60+Inputs!$B$24+Inputs!$B$28,IF(Skills!C5=2,90+Inputs!$B$25+Inputs!$B$28,IF(Skills!C5=3,120+Inputs!$B$26+Inputs!$B$28,MAX(0,(Inputs!$B$3-100)*3)+Inputs!$B$27+Inputs!$B$28)))</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t="n">
        <v>0</v>
      </c>
      <c r="P5">
        <f>IF(Summary!$B$3=0,0,O5/Summary!$B$3)</f>
        <v/>
      </c>
      <c r="Q5">
        <f>IFERROR(1/IF(Inputs!$B$4="pvp",15,MAX(0.1,Skills!D5-IF(Skills!E5=TRUE,Inputs!$B$31,0))),0)</f>
        <v/>
      </c>
      <c r="R5">
        <f>IF(AND(Inputs!$B$4&lt;&gt;"pvp",Inputs!$B$35&gt;0),(INT(Inputs!$B$35/IF(Inputs!$B$4="pvp",15,MAX(0.1,Skills!D5-IF(Skills!E5=TRUE,Inputs!$B$31,0))))+1),0)</f>
        <v/>
      </c>
    </row>
    <row r="6">
      <c r="A6">
        <f>Skills!A6</f>
        <v/>
      </c>
      <c r="B6">
        <f>Skills!B6</f>
        <v/>
      </c>
      <c r="C6">
        <f>Inputs!$B$3&gt;=103</f>
        <v/>
      </c>
      <c r="D6">
        <f>IF(Skills!C6=1,60+Inputs!$B$24+Inputs!$B$28,IF(Skills!C6=2,90+Inputs!$B$25+Inputs!$B$28,IF(Skills!C6=3,120+Inputs!$B$26+Inputs!$B$28,MAX(0,(Inputs!$B$3-100)*3)+Inputs!$B$27+Inputs!$B$28)))</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Summary!$B$43*(F6/100)</f>
        <v/>
      </c>
      <c r="K6">
        <f>J6*(1+Summary!$B$44/100)*(1+(Inputs!$B$14+Summary!$B$53)/100)*(1+IF(Inputs!$B$4="pvp",0,(1-Summary!$B$48)*(Inputs!$B$19+Skills!O6+Summary!$B$51)+Summary!$B$48*(Inputs!$B$20+Skills!P6+Summary!$B$52))/100)*(1+Inputs!$B$15/100)*(5000/(6000+Inputs!$B$7*(1-Inputs!$B$18/100)))*(1+Inputs!$B$23/100)*(1+IF(C17=TRUE,F17,0)/100)*(1+IF(C19=TRUE,F19,0)/100)*(1+IF(Skills!A6="TRIUMPH_FEATHER",IF(C15=TRUE,F15,0),0)/100)*(1+IF(C26=TRUE,F26,0)/100)^5*(1+(IF(Skills!A6="BIG_BANG",Inputs!$B$16,Inputs!$B$17))/100)*(Summary!$B$50*I6)</f>
        <v/>
      </c>
      <c r="L6">
        <f>K6*(MIN(Inputs!$B$21,Inputs!$B$22)/100+Inputs!$B$22/100)/2</f>
        <v/>
      </c>
      <c r="M6">
        <f>L6*(1+(Inputs!$B$9+Summary!$B$54)/100)</f>
        <v/>
      </c>
      <c r="N6">
        <f>L6*(1-MIN(Inputs!$B$8,100)/100)+M6*(MIN(Inputs!$B$8,100)/100)</f>
        <v/>
      </c>
      <c r="O6">
        <f>IF(C6,H6*N6*IF(AND(Inputs!$B$4&lt;&gt;"pvp",Inputs!$B$35&gt;0),((Skills!F6*((R6-1)*IF(Skills!G6&gt;0,Skills!H6/Skills!G6,1)+IF(Skills!G6&gt;0,MIN(Skills!H6,MAX(0,Inputs!$B$35-((R6-1)*IF(Inputs!$B$4="pvp",15,MAX(0.1,Skills!D6-IF(Skills!E6=TRUE,Inputs!$B$31,0))))))/Skills!G6,1)))/Inputs!$B$35),G6*Q6)*IF(Inputs!$B$4="pvp",1,(1-Summary!$B$48)*(1)+Summary!$B$48*(MIN(Skills!Q6,Inputs!$B$37))),0)</f>
        <v/>
      </c>
      <c r="P6">
        <f>IF(Summary!$B$3=0,0,O6/Summary!$B$3)</f>
        <v/>
      </c>
      <c r="Q6">
        <f>IFERROR(1/IF(Inputs!$B$4="pvp",15,MAX(0.1,Skills!D6-IF(Skills!E6=TRUE,Inputs!$B$31,0))),0)</f>
        <v/>
      </c>
      <c r="R6">
        <f>IF(AND(Inputs!$B$4&lt;&gt;"pvp",Inputs!$B$35&gt;0),(INT(Inputs!$B$35/IF(Inputs!$B$4="pvp",15,MAX(0.1,Skills!D6-IF(Skills!E6=TRUE,Inputs!$B$31,0))))+1),0)</f>
        <v/>
      </c>
    </row>
    <row r="7">
      <c r="A7">
        <f>Skills!A7</f>
        <v/>
      </c>
      <c r="B7">
        <f>Skills!B7</f>
        <v/>
      </c>
      <c r="C7">
        <f>Inputs!$B$3&gt;=122</f>
        <v/>
      </c>
      <c r="D7">
        <f>IF(Skills!C7=1,60+Inputs!$B$24+Inputs!$B$28,IF(Skills!C7=2,90+Inputs!$B$25+Inputs!$B$28,IF(Skills!C7=3,120+Inputs!$B$26+Inputs!$B$28,MAX(0,(Inputs!$B$3-100)*3)+Inputs!$B$27+Inputs!$B$28)))</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Summary!$B$43*(F7/100)</f>
        <v/>
      </c>
      <c r="K7">
        <f>J7*(1+Summary!$B$44/100)*(1+(Inputs!$B$14+Summary!$B$53)/100)*(1+IF(Inputs!$B$4="pvp",0,(1-Summary!$B$48)*(Inputs!$B$19+Skills!O7+Summary!$B$51)+Summary!$B$48*(Inputs!$B$20+Skills!P7+Summary!$B$52))/100)*(1+Inputs!$B$15/100)*(5000/(6000+Inputs!$B$7*(1-Inputs!$B$18/100)))*(1+Inputs!$B$23/100)*(1+IF(C17=TRUE,F17,0)/100)*(1+IF(C19=TRUE,F19,0)/100)*(1+IF(Skills!A7="TRIUMPH_FEATHER",IF(C15=TRUE,F15,0),0)/100)*(1+IF(C26=TRUE,F26,0)/100)^5*(1+(IF(Skills!A7="BIG_BANG",Inputs!$B$16,Inputs!$B$17))/100)*(Summary!$B$50*I7)</f>
        <v/>
      </c>
      <c r="L7">
        <f>K7*(MIN(Inputs!$B$21,Inputs!$B$22)/100+Inputs!$B$22/100)/2</f>
        <v/>
      </c>
      <c r="M7">
        <f>L7*(1+(Inputs!$B$9+Summary!$B$54)/100)</f>
        <v/>
      </c>
      <c r="N7">
        <f>L7*(1-MIN(Inputs!$B$8,100)/100)+M7*(MIN(Inputs!$B$8,100)/100)</f>
        <v/>
      </c>
      <c r="O7">
        <f>IF(C7,H7*N7*IF(AND(Inputs!$B$4&lt;&gt;"pvp",Inputs!$B$35&gt;0),((Skills!F7*((R7-1)*IF(Skills!G7&gt;0,Skills!H7/Skills!G7,1)+IF(Skills!G7&gt;0,MIN(Skills!H7,MAX(0,Inputs!$B$35-((R7-1)*IF(Inputs!$B$4="pvp",15,MAX(0.1,Skills!D7-IF(Skills!E6=TRUE,Inputs!$B$31,0))))))/Skills!G7,1)))/Inputs!$B$35),G7*Q7)*(1-Summary!$B$48),0)</f>
        <v/>
      </c>
      <c r="P7">
        <f>IF(Summary!$B$3=0,0,O7/Summary!$B$3)</f>
        <v/>
      </c>
      <c r="Q7">
        <f>IFERROR(1/IF(Inputs!$B$4="pvp",15,MAX(0.1,Skills!D7-IF(Skills!E6=TRUE,Inputs!$B$31,0))),0)</f>
        <v/>
      </c>
      <c r="R7">
        <f>IF(AND(Inputs!$B$4&lt;&gt;"pvp",Inputs!$B$35&gt;0),(INT(Inputs!$B$35/IF(Inputs!$B$4="pvp",15,MAX(0.1,Skills!D7-IF(Skills!E6=TRUE,Inputs!$B$31,0))))+1),0)</f>
        <v/>
      </c>
    </row>
    <row r="8">
      <c r="A8">
        <f>Skills!A8</f>
        <v/>
      </c>
      <c r="B8">
        <f>Skills!B8</f>
        <v/>
      </c>
      <c r="C8">
        <f>Inputs!$B$3&gt;=105</f>
        <v/>
      </c>
      <c r="D8">
        <f>IF(Skills!C8=1,60+Inputs!$B$24+Inputs!$B$28,IF(Skills!C8=2,90+Inputs!$B$25+Inputs!$B$28,IF(Skills!C8=3,120+Inputs!$B$26+Inputs!$B$28,MAX(0,(Inputs!$B$3-100)*3)+Inputs!$B$27+Inputs!$B$28)))</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Summary!$B$43*(F8/100)</f>
        <v/>
      </c>
      <c r="K8">
        <f>J8*(1+Summary!$B$44/100)*(1+(Inputs!$B$14+Summary!$B$53)/100)*(1+IF(Inputs!$B$4="pvp",0,(1-Summary!$B$48)*(Inputs!$B$19+Skills!O8+Summary!$B$51)+Summary!$B$48*(Inputs!$B$20+Skills!P8+Summary!$B$52))/100)*(1+Inputs!$B$15/100)*(5000/(6000+Inputs!$B$7*(1-Inputs!$B$18/100)))*(1+Inputs!$B$23/100)*(1+IF(C17=TRUE,F17,0)/100)*(1+IF(C19=TRUE,F19,0)/100)*(1+IF(Skills!A8="TRIUMPH_FEATHER",IF(C15=TRUE,F15,0),0)/100)*(1+IF(C26=TRUE,F26,0)/100)^5*(1+(IF(Skills!A8="BIG_BANG",Inputs!$B$16,Inputs!$B$17))/100)*(Summary!$B$50*I8)</f>
        <v/>
      </c>
      <c r="L8">
        <f>K8*(MIN(Inputs!$B$21,Inputs!$B$22)/100+Inputs!$B$22/100)/2</f>
        <v/>
      </c>
      <c r="M8">
        <f>L8*(1+(Inputs!$B$9+Summary!$B$54)/100)</f>
        <v/>
      </c>
      <c r="N8">
        <f>L8*(1-MIN(Inputs!$B$8,100)/100)+M8*(MIN(Inputs!$B$8,100)/100)</f>
        <v/>
      </c>
      <c r="O8">
        <f>IF(C8,H8*N8*IF(AND(Inputs!$B$4&lt;&gt;"pvp",Inputs!$B$35&gt;0),((Skills!F8*((R8-1)*IF(Skills!G8&gt;0,Skills!H8/Skills!G8,1)+IF(Skills!G8&gt;0,MIN(Skills!H8,MAX(0,Inputs!$B$35-((R8-1)*IF(Inputs!$B$4="pvp",15,MAX(0.1,Skills!D8-IF(Skills!E8=TRUE,Inputs!$B$31,0))))))/Skills!G8,1)))/Inputs!$B$35),G8*Q8)*IF(Inputs!$B$4="pvp",1,(1-Summary!$B$48)*(1)+Summary!$B$48*(MIN(Skills!Q8,Inputs!$B$37))),0)</f>
        <v/>
      </c>
      <c r="P8">
        <f>IF(Summary!$B$3=0,0,O8/Summary!$B$3)</f>
        <v/>
      </c>
      <c r="Q8">
        <f>IFERROR(1/IF(Inputs!$B$4="pvp",15,MAX(0.1,Skills!D8-IF(Skills!E8=TRUE,Inputs!$B$31,0))),0)</f>
        <v/>
      </c>
      <c r="R8">
        <f>IF(AND(Inputs!$B$4&lt;&gt;"pvp",Inputs!$B$35&gt;0),(INT(Inputs!$B$35/IF(Inputs!$B$4="pvp",15,MAX(0.1,Skills!D8-IF(Skills!E8=TRUE,Inputs!$B$31,0))))+1),0)</f>
        <v/>
      </c>
    </row>
    <row r="9">
      <c r="A9">
        <f>Skills!A9</f>
        <v/>
      </c>
      <c r="B9">
        <f>Skills!B9</f>
        <v/>
      </c>
      <c r="C9">
        <f>Inputs!$B$3&gt;=115</f>
        <v/>
      </c>
      <c r="D9">
        <f>IF(Skills!C9=1,60+Inputs!$B$24+Inputs!$B$28,IF(Skills!C9=2,90+Inputs!$B$25+Inputs!$B$28,IF(Skills!C9=3,120+Inputs!$B$26+Inputs!$B$28,MAX(0,(Inputs!$B$3-100)*3)+Inputs!$B$27+Inputs!$B$28)))</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Summary!$B$43*(F9/100)</f>
        <v/>
      </c>
      <c r="K9">
        <f>J9*(1+Summary!$B$44/100)*(1+(Inputs!$B$14+Summary!$B$53)/100)*(1+IF(Inputs!$B$4="pvp",0,(1-Summary!$B$48)*(Inputs!$B$19+Skills!O9+Summary!$B$51)+Summary!$B$48*(Inputs!$B$20+Skills!P9+Summary!$B$52))/100)*(1+Inputs!$B$15/100)*(5000/(6000+Inputs!$B$7*(1-Inputs!$B$18/100)))*(1+Inputs!$B$23/100)*(1+IF(C17=TRUE,F17,0)/100)*(1+IF(C19=TRUE,F19,0)/100)*(1+IF(Skills!A9="TRIUMPH_FEATHER",IF(C15=TRUE,F15,0),0)/100)*(1+IF(C26=TRUE,F26,0)/100)^5*(1+(IF(Skills!A9="BIG_BANG",Inputs!$B$16,Inputs!$B$17))/100)*(Summary!$B$50*I9)</f>
        <v/>
      </c>
      <c r="L9">
        <f>K9*(MIN(Inputs!$B$21,Inputs!$B$22)/100+Inputs!$B$22/100)/2</f>
        <v/>
      </c>
      <c r="M9">
        <f>L9*(1+(Inputs!$B$9+Summary!$B$54)/100)</f>
        <v/>
      </c>
      <c r="N9">
        <f>L9*(1-MIN(Inputs!$B$8,100)/100)+M9*(MIN(Inputs!$B$8,100)/100)</f>
        <v/>
      </c>
      <c r="O9">
        <f>IF(C9,H9*N9*IF(AND(Inputs!$B$4&lt;&gt;"pvp",Inputs!$B$35&gt;0),((Skills!F9*((R9-1)*IF(Skills!G9&gt;0,Skills!H9/Skills!G9,1)+IF(Skills!G9&gt;0,MIN(Skills!H9,MAX(0,Inputs!$B$35-((R9-1)*IF(Inputs!$B$4="pvp",15,MAX(0.1,Skills!D9-IF(Skills!E9=TRUE,Inputs!$B$31,0))))))/Skills!G9,1)))/Inputs!$B$35),G9*Q9)*IF(Inputs!$B$4="pvp",1,(1-Summary!$B$48)*(1)+Summary!$B$48*(MIN(Skills!Q9,Inputs!$B$37))),0)</f>
        <v/>
      </c>
      <c r="P9">
        <f>IF(Summary!$B$3=0,0,O9/Summary!$B$3)</f>
        <v/>
      </c>
      <c r="Q9">
        <f>IFERROR(1/IF(Inputs!$B$4="pvp",15,MAX(0.1,Skills!D9-IF(Skills!E9=TRUE,Inputs!$B$31,0))),0)</f>
        <v/>
      </c>
      <c r="R9">
        <f>IF(AND(Inputs!$B$4&lt;&gt;"pvp",Inputs!$B$35&gt;0),(INT(Inputs!$B$35/IF(Inputs!$B$4="pvp",15,MAX(0.1,Skills!D9-IF(Skills!E9=TRUE,Inputs!$B$31,0))))+1),0)</f>
        <v/>
      </c>
    </row>
    <row r="10">
      <c r="A10">
        <f>Skills!A10</f>
        <v/>
      </c>
      <c r="B10">
        <f>Skills!B10</f>
        <v/>
      </c>
      <c r="C10">
        <f>Inputs!$B$3&gt;=66</f>
        <v/>
      </c>
      <c r="D10">
        <f>IF(Skills!C10=1,60+Inputs!$B$24+Inputs!$B$28,IF(Skills!C10=2,90+Inputs!$B$25+Inputs!$B$28,IF(Skills!C10=3,120+Inputs!$B$26+Inputs!$B$28,MAX(0,(Inputs!$B$3-100)*3)+Inputs!$B$27+Inputs!$B$28)))</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t="n">
        <v>0</v>
      </c>
      <c r="P10">
        <f>IF(Summary!$B$3=0,0,O10/Summary!$B$3)</f>
        <v/>
      </c>
      <c r="Q10">
        <f>IFERROR(1/IF(Inputs!$B$4="pvp",15,MAX(0.1,Skills!D10-IF(Skills!E10=TRUE,Inputs!$B$31,0))),0)</f>
        <v/>
      </c>
      <c r="R10">
        <f>IF(AND(Inputs!$B$4&lt;&gt;"pvp",Inputs!$B$35&gt;0),(INT(Inputs!$B$35/IF(Inputs!$B$4="pvp",15,MAX(0.1,Skills!D10-IF(Skills!E10=TRUE,Inputs!$B$31,0))))+1),0)</f>
        <v/>
      </c>
    </row>
    <row r="11">
      <c r="A11">
        <f>Skills!A11</f>
        <v/>
      </c>
      <c r="B11">
        <f>Skills!B11</f>
        <v/>
      </c>
      <c r="C11">
        <f>Inputs!$B$3&gt;=69</f>
        <v/>
      </c>
      <c r="D11">
        <f>IF(Skills!C11=1,60+Inputs!$B$24+Inputs!$B$28,IF(Skills!C11=2,90+Inputs!$B$25+Inputs!$B$28,IF(Skills!C11=3,120+Inputs!$B$26+Inputs!$B$28,MAX(0,(Inputs!$B$3-100)*3)+Inputs!$B$27+Inputs!$B$28)))</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t="n">
        <v>0</v>
      </c>
      <c r="P11">
        <f>IF(Summary!$B$3=0,0,O11/Summary!$B$3)</f>
        <v/>
      </c>
      <c r="Q11">
        <f>IFERROR(1/IF(Inputs!$B$4="pvp",15,MAX(0.1,Skills!D11-IF(Skills!E11=TRUE,Inputs!$B$31,0))),0)</f>
        <v/>
      </c>
      <c r="R11">
        <f>IF(AND(Inputs!$B$4&lt;&gt;"pvp",Inputs!$B$35&gt;0),(INT(Inputs!$B$35/IF(Inputs!$B$4="pvp",15,MAX(0.1,Skills!D11-IF(Skills!E11=TRUE,Inputs!$B$31,0))))+1),0)</f>
        <v/>
      </c>
    </row>
    <row r="12">
      <c r="A12">
        <f>Skills!A12</f>
        <v/>
      </c>
      <c r="B12">
        <f>Skills!B12</f>
        <v/>
      </c>
      <c r="C12">
        <f>Inputs!$B$3&gt;=72</f>
        <v/>
      </c>
      <c r="D12">
        <f>IF(Skills!C12=1,60+Inputs!$B$24+Inputs!$B$28,IF(Skills!C12=2,90+Inputs!$B$25+Inputs!$B$28,IF(Skills!C12=3,120+Inputs!$B$26+Inputs!$B$28,MAX(0,(Inputs!$B$3-100)*3)+Inputs!$B$27+Inputs!$B$28)))</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t="n">
        <v>0</v>
      </c>
      <c r="P12">
        <f>IF(Summary!$B$3=0,0,O12/Summary!$B$3)</f>
        <v/>
      </c>
      <c r="Q12">
        <f>IFERROR(1/IF(Inputs!$B$4="pvp",15,MAX(0.1,Skills!D12-IF(Skills!E12=TRUE,Inputs!$B$31,0))),0)</f>
        <v/>
      </c>
      <c r="R12">
        <f>IF(AND(Inputs!$B$4&lt;&gt;"pvp",Inputs!$B$35&gt;0),(INT(Inputs!$B$35/IF(Inputs!$B$4="pvp",15,MAX(0.1,Skills!D12-IF(Skills!E12=TRUE,Inputs!$B$31,0))))+1),0)</f>
        <v/>
      </c>
    </row>
    <row r="13">
      <c r="A13">
        <f>Skills!A13</f>
        <v/>
      </c>
      <c r="B13">
        <f>Skills!B13</f>
        <v/>
      </c>
      <c r="C13">
        <f>Inputs!$B$3&gt;=107</f>
        <v/>
      </c>
      <c r="D13">
        <f>IF(Skills!C13=1,60+Inputs!$B$24+Inputs!$B$28,IF(Skills!C13=2,90+Inputs!$B$25+Inputs!$B$28,IF(Skills!C13=3,120+Inputs!$B$26+Inputs!$B$28,MAX(0,(Inputs!$B$3-100)*3)+Inputs!$B$27+Inputs!$B$28)))</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IFERROR(1/IF(Inputs!$B$4="pvp",15,MAX(0.1,Skills!D13-IF(Skills!E13=TRUE,Inputs!$B$31,0))),0)</f>
        <v/>
      </c>
      <c r="R13">
        <f>IF(AND(Inputs!$B$4&lt;&gt;"pvp",Inputs!$B$35&gt;0),(INT(Inputs!$B$35/IF(Inputs!$B$4="pvp",15,MAX(0.1,Skills!D13-IF(Skills!E13=TRUE,Inputs!$B$31,0))))+1),0)</f>
        <v/>
      </c>
    </row>
    <row r="14">
      <c r="A14">
        <f>Skills!A14</f>
        <v/>
      </c>
      <c r="B14">
        <f>Skills!B14</f>
        <v/>
      </c>
      <c r="C14">
        <f>Inputs!$B$3&gt;=63</f>
        <v/>
      </c>
      <c r="D14">
        <f>IF(Skills!C14=1,60+Inputs!$B$24+Inputs!$B$28,IF(Skills!C14=2,90+Inputs!$B$25+Inputs!$B$28,IF(Skills!C14=3,120+Inputs!$B$26+Inputs!$B$28,MAX(0,(Inputs!$B$3-100)*3)+Inputs!$B$27+Inputs!$B$28)))</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f>Summary!$B$43*(F14/100)</f>
        <v/>
      </c>
      <c r="K14">
        <f>J14*(1+Summary!$B$44/100)*(1+(Inputs!$B$14+Summary!$B$53)/100)*(1+IF(Inputs!$B$4="pvp",0,(1-Summary!$B$48)*(Inputs!$B$19+Skills!O14+Summary!$B$51)+Summary!$B$48*(Inputs!$B$20+Skills!P14+Summary!$B$52))/100)*(1+Inputs!$B$15/100)*(5000/(6000+Inputs!$B$7*(1-Inputs!$B$18/100)))*(1+Inputs!$B$23/100)*(1+IF(C17=TRUE,F17,0)/100)*(1+IF(C19=TRUE,F19,0)/100)*(1+IF(Skills!A14="TRIUMPH_FEATHER",IF(C15=TRUE,F15,0),0)/100)*(1+IF(C26=TRUE,F26,0)/100)^5*(1+(IF(Skills!A14="BIG_BANG",Inputs!$B$16,Inputs!$B$17))/100)*(Summary!$B$50*I14)</f>
        <v/>
      </c>
      <c r="L14">
        <f>K14*(MIN(Inputs!$B$21,Inputs!$B$22)/100+Inputs!$B$22/100)/2</f>
        <v/>
      </c>
      <c r="M14">
        <f>L14*(1+(Inputs!$B$9+Summary!$B$54)/100)</f>
        <v/>
      </c>
      <c r="N14">
        <f>L14*(1-MIN(Inputs!$B$8,100)/100)+M14*(MIN(Inputs!$B$8,100)/100)</f>
        <v/>
      </c>
      <c r="O14">
        <f>IF(C14,Skills!F14*N14*((IF(Inputs!$B$3&gt;=78,25,15)/100*Summary!$B$56*10)/(1+IF(Inputs!$B$3&gt;=78,25,15)/100*Summary!$B$56*10))*(Skills!I14/100*Summary!$B$56)/(1+Skills!G14*Skills!I14/100*Summary!$B$56)*IF(Inputs!$B$4="pvp",1,(1-Summary!$B$48)*(1)+Summary!$B$48*(MIN(Skills!Q14,Inputs!$B$37))),0)</f>
        <v/>
      </c>
      <c r="P14">
        <f>IF(Summary!$B$3=0,0,O14/Summary!$B$3)</f>
        <v/>
      </c>
      <c r="Q14">
        <f>IFERROR(1/IF(Inputs!$B$4="pvp",15,MAX(0.1,Skills!D14-IF(Skills!E14=TRUE,Inputs!$B$31,0))),0)</f>
        <v/>
      </c>
      <c r="R14" t="n">
        <v>0</v>
      </c>
    </row>
    <row r="15">
      <c r="A15">
        <f>Skills!A15</f>
        <v/>
      </c>
      <c r="B15">
        <f>Skills!B15</f>
        <v/>
      </c>
      <c r="C15">
        <f>Inputs!$B$3&gt;=100</f>
        <v/>
      </c>
      <c r="D15">
        <f>IF(Skills!C15=1,60+Inputs!$B$24+Inputs!$B$28,IF(Skills!C15=2,90+Inputs!$B$25+Inputs!$B$28,IF(Skills!C15=3,120+Inputs!$B$26+Inputs!$B$28,MAX(0,(Inputs!$B$3-100)*3)+Inputs!$B$27+Inputs!$B$28)))</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IFERROR(1/IF(Inputs!$B$4="pvp",15,MAX(0.1,Skills!D15-IF(Skills!E15=TRUE,Inputs!$B$31,0))),0)</f>
        <v/>
      </c>
      <c r="R15" t="n">
        <v>0</v>
      </c>
    </row>
    <row r="16">
      <c r="A16">
        <f>Skills!A16</f>
        <v/>
      </c>
      <c r="B16">
        <f>Skills!B16</f>
        <v/>
      </c>
      <c r="C16">
        <f>Inputs!$B$3&gt;=49</f>
        <v/>
      </c>
      <c r="D16">
        <f>IF(Skills!C16=1,60+Inputs!$B$24+Inputs!$B$28,IF(Skills!C16=2,90+Inputs!$B$25+Inputs!$B$28,IF(Skills!C16=3,120+Inputs!$B$26+Inputs!$B$28,MAX(0,(Inputs!$B$3-100)*3)+Inputs!$B$27+Inputs!$B$28)))</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IFERROR(1/IF(Inputs!$B$4="pvp",15,MAX(0.1,Skills!D16-IF(Skills!E16=TRUE,Inputs!$B$31,0))),0)</f>
        <v/>
      </c>
      <c r="R16" t="n">
        <v>0</v>
      </c>
    </row>
    <row r="17">
      <c r="A17">
        <f>Skills!A17</f>
        <v/>
      </c>
      <c r="B17">
        <f>Skills!B17</f>
        <v/>
      </c>
      <c r="C17">
        <f>Inputs!$B$3&gt;=75</f>
        <v/>
      </c>
      <c r="D17">
        <f>IF(Skills!C17=1,60+Inputs!$B$24+Inputs!$B$28,IF(Skills!C17=2,90+Inputs!$B$25+Inputs!$B$28,IF(Skills!C17=3,120+Inputs!$B$26+Inputs!$B$28,MAX(0,(Inputs!$B$3-100)*3)+Inputs!$B$27+Inputs!$B$28)))</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IFERROR(1/IF(Inputs!$B$4="pvp",15,MAX(0.1,Skills!D17-IF(Skills!E17=TRUE,Inputs!$B$31,0))),0)</f>
        <v/>
      </c>
      <c r="R17" t="n">
        <v>0</v>
      </c>
    </row>
    <row r="18">
      <c r="A18">
        <f>Skills!A18</f>
        <v/>
      </c>
      <c r="B18">
        <f>Skills!B18</f>
        <v/>
      </c>
      <c r="C18">
        <f>Inputs!$B$3&gt;=110</f>
        <v/>
      </c>
      <c r="D18">
        <f>IF(Skills!C18=1,60+Inputs!$B$24+Inputs!$B$28,IF(Skills!C18=2,90+Inputs!$B$25+Inputs!$B$28,IF(Skills!C18=3,120+Inputs!$B$26+Inputs!$B$28,MAX(0,(Inputs!$B$3-100)*3)+Inputs!$B$27+Inputs!$B$28)))</f>
        <v/>
      </c>
      <c r="E18">
        <f>INDEX(FactorTable!$B$2:$Y$301, MATCH(ROUND(MIN(300,MAX(1,D18)),0), FactorTable!$A$2:$A$301,0), Skills!L18+1)</f>
        <v/>
      </c>
      <c r="F18">
        <f>(Skills!K18/10)*(E18/1000)*64/45+Skills!N18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IFERROR(1/IF(Inputs!$B$4="pvp",15,MAX(0.1,Skills!D18-IF(Skills!E18=TRUE,Inputs!$B$31,0))),0)</f>
        <v/>
      </c>
      <c r="R18">
        <f>IF(AND(Inputs!$B$4&lt;&gt;"pvp",Inputs!$B$35&gt;0),(INT(Inputs!$B$35/IF(Inputs!$B$4="pvp",15,MAX(0.1,Skills!D18-IF(Skills!E18=TRUE,Inputs!$B$31,0))))+1),0)</f>
        <v/>
      </c>
    </row>
    <row r="19">
      <c r="A19">
        <f>Skills!A19</f>
        <v/>
      </c>
      <c r="B19">
        <f>Skills!B19</f>
        <v/>
      </c>
      <c r="C19">
        <f>Inputs!$B$3&gt;=125</f>
        <v/>
      </c>
      <c r="D19">
        <f>IF(Skills!C19=1,60+Inputs!$B$24+Inputs!$B$28,IF(Skills!C19=2,90+Inputs!$B$25+Inputs!$B$28,IF(Skills!C19=3,120+Inputs!$B$26+Inputs!$B$28,MAX(0,(Inputs!$B$3-100)*3)+Inputs!$B$27+Inputs!$B$28)))</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IFERROR(1/IF(Inputs!$B$4="pvp",15,MAX(0.1,Skills!D19-IF(Skills!E19=TRUE,Inputs!$B$31,0))),0)</f>
        <v/>
      </c>
      <c r="R19" t="n">
        <v>0</v>
      </c>
    </row>
    <row r="20">
      <c r="A20">
        <f>Skills!A20</f>
        <v/>
      </c>
      <c r="B20">
        <f>Skills!B20</f>
        <v/>
      </c>
      <c r="C20">
        <f>Inputs!$B$3&gt;=33</f>
        <v/>
      </c>
      <c r="D20">
        <f>IF(Skills!C20=1,60+Inputs!$B$24+Inputs!$B$28,IF(Skills!C20=2,90+Inputs!$B$25+Inputs!$B$28,IF(Skills!C20=3,120+Inputs!$B$26+Inputs!$B$28,MAX(0,(Inputs!$B$3-100)*3)+Inputs!$B$27+Inputs!$B$28)))</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IFERROR(1/IF(Inputs!$B$4="pvp",15,MAX(0.1,Skills!D20-IF(Skills!E20=TRUE,Inputs!$B$31,0))),0)</f>
        <v/>
      </c>
      <c r="R20" t="n">
        <v>0</v>
      </c>
    </row>
    <row r="21">
      <c r="A21">
        <f>Skills!A21</f>
        <v/>
      </c>
      <c r="B21">
        <f>Skills!B21</f>
        <v/>
      </c>
      <c r="C21">
        <f>Inputs!$B$3&gt;=43</f>
        <v/>
      </c>
      <c r="D21">
        <f>IF(Skills!C21=1,60+Inputs!$B$24+Inputs!$B$28,IF(Skills!C21=2,90+Inputs!$B$25+Inputs!$B$28,IF(Skills!C21=3,120+Inputs!$B$26+Inputs!$B$28,MAX(0,(Inputs!$B$3-100)*3)+Inputs!$B$27+Inputs!$B$28)))</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IFERROR(1/IF(Inputs!$B$4="pvp",15,MAX(0.1,Skills!D21-IF(Skills!E21=TRUE,Inputs!$B$31,0))),0)</f>
        <v/>
      </c>
      <c r="R21" t="n">
        <v>0</v>
      </c>
    </row>
    <row r="22">
      <c r="A22">
        <f>Skills!A22</f>
        <v/>
      </c>
      <c r="B22">
        <f>Skills!B22</f>
        <v/>
      </c>
      <c r="C22">
        <f>Inputs!$B$3&gt;=50</f>
        <v/>
      </c>
      <c r="D22">
        <f>IF(Skills!C22=1,60+Inputs!$B$24+Inputs!$B$28,IF(Skills!C22=2,90+Inputs!$B$25+Inputs!$B$28,IF(Skills!C22=3,120+Inputs!$B$26+Inputs!$B$28,MAX(0,(Inputs!$B$3-100)*3)+Inputs!$B$27+Inputs!$B$28)))</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IFERROR(1/IF(Inputs!$B$4="pvp",15,MAX(0.1,Skills!D22-IF(Skills!E22=TRUE,Inputs!$B$31,0))),0)</f>
        <v/>
      </c>
      <c r="R22" t="n">
        <v>0</v>
      </c>
    </row>
    <row r="23">
      <c r="A23">
        <f>Skills!A23</f>
        <v/>
      </c>
      <c r="B23">
        <f>Skills!B23</f>
        <v/>
      </c>
      <c r="C23">
        <f>Inputs!$B$3&gt;=74</f>
        <v/>
      </c>
      <c r="D23">
        <f>IF(Skills!C23=1,60+Inputs!$B$24+Inputs!$B$28,IF(Skills!C23=2,90+Inputs!$B$25+Inputs!$B$28,IF(Skills!C23=3,120+Inputs!$B$26+Inputs!$B$28,MAX(0,(Inputs!$B$3-100)*3)+Inputs!$B$27+Inputs!$B$28)))</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IFERROR(1/IF(Inputs!$B$4="pvp",15,MAX(0.1,Skills!D23-IF(Skills!E23=TRUE,Inputs!$B$31,0))),0)</f>
        <v/>
      </c>
      <c r="R23" t="n">
        <v>0</v>
      </c>
    </row>
    <row r="24">
      <c r="A24">
        <f>Skills!A24</f>
        <v/>
      </c>
      <c r="B24">
        <f>Skills!B24</f>
        <v/>
      </c>
      <c r="C24">
        <f>Inputs!$B$3&gt;=74</f>
        <v/>
      </c>
      <c r="D24">
        <f>IF(Skills!C24=1,60+Inputs!$B$24+Inputs!$B$28,IF(Skills!C24=2,90+Inputs!$B$25+Inputs!$B$28,IF(Skills!C24=3,120+Inputs!$B$26+Inputs!$B$28,MAX(0,(Inputs!$B$3-100)*3)+Inputs!$B$27+Inputs!$B$28)))</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t="n">
        <v>0</v>
      </c>
      <c r="P24">
        <f>IF(Summary!$B$3=0,0,O24/Summary!$B$3)</f>
        <v/>
      </c>
      <c r="Q24">
        <f>IFERROR(1/IF(Inputs!$B$4="pvp",15,MAX(0.1,Skills!D24-IF(Skills!E24=TRUE,Inputs!$B$31,0))),0)</f>
        <v/>
      </c>
      <c r="R24" t="n">
        <v>0</v>
      </c>
    </row>
    <row r="25">
      <c r="A25">
        <f>Skills!A25</f>
        <v/>
      </c>
      <c r="B25">
        <f>Skills!B25</f>
        <v/>
      </c>
      <c r="C25">
        <f>Inputs!$B$3&gt;=117</f>
        <v/>
      </c>
      <c r="D25">
        <f>IF(Skills!C25=1,60+Inputs!$B$24+Inputs!$B$28,IF(Skills!C25=2,90+Inputs!$B$25+Inputs!$B$28,IF(Skills!C25=3,120+Inputs!$B$26+Inputs!$B$28,MAX(0,(Inputs!$B$3-100)*3)+Inputs!$B$27+Inputs!$B$28)))</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t="n">
        <v>0</v>
      </c>
      <c r="P25">
        <f>IF(Summary!$B$3=0,0,O25/Summary!$B$3)</f>
        <v/>
      </c>
      <c r="Q25">
        <f>IFERROR(1/IF(Inputs!$B$4="pvp",15,MAX(0.1,Skills!D25-IF(Skills!E25=TRUE,Inputs!$B$31,0))),0)</f>
        <v/>
      </c>
      <c r="R25" t="n">
        <v>0</v>
      </c>
    </row>
    <row r="26">
      <c r="A26">
        <f>Skills!A26</f>
        <v/>
      </c>
      <c r="B26">
        <f>Skills!B26</f>
        <v/>
      </c>
      <c r="C26">
        <f>Inputs!$B$3&gt;=120</f>
        <v/>
      </c>
      <c r="D26">
        <f>IF(Skills!C26=1,60+Inputs!$B$24+Inputs!$B$28,IF(Skills!C26=2,90+Inputs!$B$25+Inputs!$B$28,IF(Skills!C26=3,120+Inputs!$B$26+Inputs!$B$28,MAX(0,(Inputs!$B$3-100)*3)+Inputs!$B$27+Inputs!$B$28)))</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t="n">
        <v>0</v>
      </c>
      <c r="P26">
        <f>IF(Summary!$B$3=0,0,O26/Summary!$B$3)</f>
        <v/>
      </c>
      <c r="Q26">
        <f>IFERROR(1/IF(Inputs!$B$4="pvp",15,MAX(0.1,Skills!D26-IF(Skills!E26=TRUE,Inputs!$B$31,0))),0)</f>
        <v/>
      </c>
      <c r="R2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9" t="inlineStr">
        <is>
          <t>TOTAL DPS</t>
        </is>
      </c>
      <c r="B3" s="9">
        <f>SUM(Calc!O2:O26)</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Calc!B6</f>
        <v/>
      </c>
      <c r="B8">
        <f>Calc!O6</f>
        <v/>
      </c>
      <c r="C8">
        <f>Calc!P6*100</f>
        <v/>
      </c>
    </row>
    <row r="9">
      <c r="A9">
        <f>Calc!B7</f>
        <v/>
      </c>
      <c r="B9">
        <f>Calc!O7</f>
        <v/>
      </c>
      <c r="C9">
        <f>Calc!P7*100</f>
        <v/>
      </c>
    </row>
    <row r="10">
      <c r="A10">
        <f>Calc!B8</f>
        <v/>
      </c>
      <c r="B10">
        <f>Calc!O8</f>
        <v/>
      </c>
      <c r="C10">
        <f>Calc!P8*100</f>
        <v/>
      </c>
    </row>
    <row r="11">
      <c r="A11">
        <f>Calc!B9</f>
        <v/>
      </c>
      <c r="B11">
        <f>Calc!O9</f>
        <v/>
      </c>
      <c r="C11">
        <f>Calc!P9*100</f>
        <v/>
      </c>
    </row>
    <row r="12">
      <c r="A12">
        <f>Calc!B14</f>
        <v/>
      </c>
      <c r="B12">
        <f>Calc!O14</f>
        <v/>
      </c>
      <c r="C12">
        <f>Calc!P14*100</f>
        <v/>
      </c>
    </row>
    <row r="13">
      <c r="A13" s="7" t="inlineStr">
        <is>
          <t>Marginal DPS &amp; Stat Value (see Sensitivity for full detail)</t>
        </is>
      </c>
    </row>
    <row r="15">
      <c r="A15" s="8" t="inlineStr">
        <is>
          <t>Stat</t>
        </is>
      </c>
      <c r="B15" s="8" t="inlineStr">
        <is>
          <t>DPS per +1</t>
        </is>
      </c>
      <c r="C15" s="8"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2">
      <c r="A42" s="7" t="inlineStr">
        <is>
          <t>Derived Values (read-only, computed from Inputs)</t>
        </is>
      </c>
    </row>
    <row r="43">
      <c r="A43" t="inlineStr">
        <is>
          <t>ATTACK (= Flat ATTACK x (1+ATTACK%/100))</t>
        </is>
      </c>
      <c r="B43">
        <f>Inputs!$B$5*(1+Inputs!$B$6/100)</f>
        <v/>
      </c>
    </row>
    <row r="44">
      <c r="A44" t="inlineStr">
        <is>
          <t>STAT_DAMAGE % (= 1% of total INT + 0.25% of LUK)</t>
        </is>
      </c>
      <c r="B44">
        <f>(Inputs!$B$11*(1+Inputs!$B$12/100))*0.01+Inputs!$B$13*0.0025</f>
        <v/>
      </c>
    </row>
    <row r="45">
      <c r="A45" t="inlineStr">
        <is>
          <t>Basic Attack (Big Bang) Input Level (4th job formula)</t>
        </is>
      </c>
      <c r="B45">
        <f>MAX(0,(Inputs!$B$3-100)*3)+Inputs!$B$27+Inputs!$B$28</f>
        <v/>
      </c>
    </row>
    <row r="46">
      <c r="A46" t="inlineStr">
        <is>
          <t>Basic Attack Factor (factorIndex 21, from Big Bang == Chain Lightning reuse)</t>
        </is>
      </c>
      <c r="B46">
        <f>INDEX(FactorTable!$B$2:$Y$301, MATCH(ROUND(MIN(300,MAX(1,Summary!$B$45)),0), FactorTable!$A$2:$A$301,0), 22)</f>
        <v/>
      </c>
    </row>
    <row r="47">
      <c r="A47" t="inlineStr">
        <is>
          <t>SKILL_COEFFICIENT — Big Bang base coefficient % (before Skill Mastery)</t>
        </is>
      </c>
      <c r="B47">
        <f>290*Summary!$B$46/1000</f>
        <v/>
      </c>
    </row>
    <row r="48">
      <c r="A48" t="inlineStr">
        <is>
          <t>Normal-Monster Weight (= 0 for boss, 1 for normal, Breakthrough Normal Weight % for breakthrough, 0 for pvp)</t>
        </is>
      </c>
      <c r="B48">
        <f>IF(Inputs!$B$4="normal",1,IF(Inputs!$B$4="breakthrough",Inputs!$B$36/100,0))</f>
        <v/>
      </c>
    </row>
    <row r="50">
      <c r="A50" t="inlineStr">
        <is>
          <t>Average Buff Multiplier (Magic Guard + Heal + Bless + Holy Magic Shell, summed; then Advanced Blessing, Infinity)</t>
        </is>
      </c>
      <c r="B50">
        <f>(1+(IF(Calc!C3=TRUE,Calc!F3*IF(AND(Inputs!$B$4&lt;&gt;"pvp",Inputs!$B$35&gt;0),(((Calc!R3-1)*(Skills!S3*(1+(Inputs!$B$33+IF(Inputs!$B$3&gt;=117,Calc!F25,0))/100))+MIN((Skills!S3*(1+(Inputs!$B$33+IF(Inputs!$B$3&gt;=117,Calc!F25,0))/100)),MAX(0,Inputs!$B$35-((Calc!R3-1)*Skills!D3))))/Inputs!$B$35),IF(Inputs!$B$4="pvp",MIN((Skills!S3*(1+(Inputs!$B$33+IF(Inputs!$B$3&gt;=117,Calc!F25,0))/100)),15)/15,(Skills!S3*(1+(Inputs!$B$33+IF(Inputs!$B$3&gt;=117,Calc!F25,0))/100))/Skills!D3)),0)+IF(Calc!C4=TRUE,Calc!F4*IF(AND(Inputs!$B$4&lt;&gt;"pvp",Inputs!$B$35&gt;0),(((Calc!R4-1)*(Skills!S4*(1+(Inputs!$B$33+IF(Inputs!$B$3&gt;=117,Calc!F25,0))/100))+MIN((Skills!S4*(1+(Inputs!$B$33+IF(Inputs!$B$3&gt;=117,Calc!F25,0))/100)),MAX(0,Inputs!$B$35-((Calc!R4-1)*Skills!D4))))/Inputs!$B$35),IF(Inputs!$B$4="pvp",MIN((Skills!S4*(1+(Inputs!$B$33+IF(Inputs!$B$3&gt;=117,Calc!F25,0))/100)),15)/15,(Skills!S4*(1+(Inputs!$B$33+IF(Inputs!$B$3&gt;=117,Calc!F25,0))/100))/Skills!D4)),0)+IF(Calc!C5=TRUE,Calc!F5*IF(AND(Inputs!$B$4&lt;&gt;"pvp",Inputs!$B$35&gt;0),(((Calc!R5-1)*(Skills!S5*(1+(Inputs!$B$33+IF(Inputs!$B$3&gt;=117,Calc!F25,0))/100))+MIN((Skills!S5*(1+(Inputs!$B$33+IF(Inputs!$B$3&gt;=117,Calc!F25,0))/100)),MAX(0,Inputs!$B$35-((Calc!R5-1)*Skills!D5))))/Inputs!$B$35),IF(Inputs!$B$4="pvp",MIN((Skills!S5*(1+(Inputs!$B$33+IF(Inputs!$B$3&gt;=117,Calc!F25,0))/100)),15)/15,(Skills!S5*(1+(Inputs!$B$33+IF(Inputs!$B$3&gt;=117,Calc!F25,0))/100))/Skills!D5)),0)+IF(Calc!C11=TRUE,Calc!F11*IF(AND(Inputs!$B$4&lt;&gt;"pvp",Inputs!$B$35&gt;0),(((Calc!R11-1)*(Skills!S11*(1+(Inputs!$B$33+IF(Inputs!$B$3&gt;=117,Calc!F25,0))/100))+MIN((Skills!S11*(1+(Inputs!$B$33+IF(Inputs!$B$3&gt;=117,Calc!F25,0))/100)),MAX(0,Inputs!$B$35-((Calc!R11-1)*Skills!D11))))/Inputs!$B$35),IF(Inputs!$B$4="pvp",MIN((Skills!S11*(1+(Inputs!$B$33+IF(Inputs!$B$3&gt;=117,Calc!F25,0))/100)),15)/15,(Skills!S11*(1+(Inputs!$B$33+IF(Inputs!$B$3&gt;=117,Calc!F25,0))/100))/Skills!D11)),0))/100)*IF(Calc!C13=TRUE,(1+Calc!F13*IF(AND(Inputs!$B$4&lt;&gt;"pvp",Inputs!$B$35&gt;0),(((Calc!R13-1)*(Skills!S13*(1+(Inputs!$B$33+IF(Inputs!$B$3&gt;=117,Calc!F25,0))/100))+MIN((Skills!S13*(1+(Inputs!$B$33+IF(Inputs!$B$3&gt;=117,Calc!F25,0))/100)),MAX(0,Inputs!$B$35-((Calc!R13-1)*Skills!D13))))/Inputs!$B$35),IF(Inputs!$B$4="pvp",MIN((Skills!S13*(1+(Inputs!$B$33+IF(Inputs!$B$3&gt;=117,Calc!F25,0))/100)),15)/15,(Skills!S13*(1+(Inputs!$B$33+IF(Inputs!$B$3&gt;=117,Calc!F25,0))/100))/Skills!D13))/100),1)*IF(Calc!C18=TRUE,(1+Calc!F18*IF(AND(Inputs!$B$4&lt;&gt;"pvp",Inputs!$B$35&gt;0),(((Calc!R18-1)*(Skills!S18*(1+(Inputs!$B$33+IF(Inputs!$B$3&gt;=117,Calc!F25,0))/100))+MIN((Skills!S18*(1+(Inputs!$B$33+IF(Inputs!$B$3&gt;=117,Calc!F25,0))/100)),MAX(0,Inputs!$B$35-((Calc!R18-1)*Skills!D18))))/Inputs!$B$35),IF(Inputs!$B$4="pvp",MIN((Skills!S18*(1+(Inputs!$B$33+IF(Inputs!$B$3&gt;=117,Calc!F25,0))/100)),15)/15,(Skills!S18*(1+(Inputs!$B$33+IF(Inputs!$B$3&gt;=117,Calc!F25,0))/100))/Skills!D18))/100),1)</f>
        <v/>
      </c>
    </row>
    <row r="51">
      <c r="A51" t="inlineStr">
        <is>
          <t>Monster Damage Taken Bonus % (Holy Fountain - Boss Monster Damage, averaged)</t>
        </is>
      </c>
      <c r="B51">
        <f>IF(Inputs!$B$3&gt;=68,20*IF(Inputs!$B$4="pvp",MIN((15*(1+(Inputs!$B$33+IF(Inputs!$B$3&gt;=117,Calc!F25,0))/100)),15)/15,(15*(1+(Inputs!$B$33+IF(Inputs!$B$3&gt;=117,Calc!F25,0))/100))/Skills!D10),0)</f>
        <v/>
      </c>
    </row>
    <row r="52">
      <c r="A52" t="inlineStr">
        <is>
          <t>Normal Monster Damage Bonus % (Holy Symbol, averaged)</t>
        </is>
      </c>
      <c r="B52">
        <f>IF(Calc!C12=TRUE,Calc!F12*IF(AND(Inputs!$B$4&lt;&gt;"pvp",Inputs!$B$35&gt;0),(((Calc!R12-1)*(Skills!S12*(1+(Inputs!$B$33+IF(Inputs!$B$3&gt;=117,Calc!F25,0))/100))+MIN((Skills!S12*(1+(Inputs!$B$33+IF(Inputs!$B$3&gt;=117,Calc!F25,0))/100)),MAX(0,Inputs!$B$35-((Calc!R12-1)*Skills!D12))))/Inputs!$B$35),IF(Inputs!$B$4="pvp",MIN((Skills!S12*(1+(Inputs!$B$33+IF(Inputs!$B$3&gt;=117,Calc!F25,0))/100)),15)/15,(Skills!S12*(1+(Inputs!$B$33+IF(Inputs!$B$3&gt;=117,Calc!F25,0))/100))/Skills!D12)),0)</f>
        <v/>
      </c>
    </row>
    <row r="53">
      <c r="A53" t="inlineStr">
        <is>
          <t>Damage % Bonus (Holy Symbol - Damage Boost, solo-always-true)</t>
        </is>
      </c>
      <c r="B53">
        <f>Skills!O12</f>
        <v/>
      </c>
    </row>
    <row r="54">
      <c r="A54" t="inlineStr">
        <is>
          <t>Crit Damage % Bonus (Blood of the Divine, assumed 100% HP)</t>
        </is>
      </c>
      <c r="B54">
        <f>4*IF(Calc!C19=TRUE,Calc!F19,0)</f>
        <v/>
      </c>
    </row>
    <row r="55">
      <c r="A55" t="inlineStr">
        <is>
          <t>Attack Speed Bonus % (MP Eater - MP Boost + Blood of the Divine - Attack Speed, always-on)</t>
        </is>
      </c>
      <c r="B55">
        <f>IF(Calc!C16=TRUE,Calc!F16,0)+IF(Inputs!$B$3&gt;=134,15,0)</f>
        <v/>
      </c>
    </row>
    <row r="56">
      <c r="A56" t="inlineStr">
        <is>
          <t>Actions Per Second (Attack Speed combined via diminishing-returns stack, factor 150, then capped)</t>
        </is>
      </c>
      <c r="B56">
        <f>1+MIN(150,150*(1-(1-Inputs!$B$10/150)*(1-B55/150)))/100</f>
        <v/>
      </c>
    </row>
    <row r="57">
      <c r="A57" t="inlineStr">
        <is>
          <t>Skill + Buff Cast Rate (subtracted from Big Bang, 1/s)</t>
        </is>
      </c>
      <c r="B57">
        <f>IF(AND(Inputs!$B$4&lt;&gt;"pvp",Inputs!$B$35&gt;0),SUMPRODUCT((Skills!E2:E26=TRUE)*(Calc!C2:C26=TRUE)*Calc!R2:R26)/Inputs!$B$35,SUMPRODUCT((Skills!E2:E26=TRUE)*(Calc!C2:C26=TRUE)*Calc!Q2:Q26))</f>
        <v/>
      </c>
    </row>
    <row r="58">
      <c r="A58" t="inlineStr">
        <is>
          <t>Big Bang Casts Per Second (basic-attack rate)</t>
        </is>
      </c>
      <c r="B58">
        <f>MAX(0,B56-B57)</f>
        <v/>
      </c>
    </row>
    <row r="59">
      <c r="A59" t="inlineStr">
        <is>
          <t>Big Bang DPS</t>
        </is>
      </c>
      <c r="B5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5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INT</t>
        </is>
      </c>
      <c r="B5">
        <f>IFERROR(1/(I5-100),"n/a")</f>
        <v/>
      </c>
      <c r="C5" t="inlineStr">
        <is>
          <t>flat</t>
        </is>
      </c>
      <c r="D5">
        <f>Inputs!$B$11</f>
        <v/>
      </c>
      <c r="E5">
        <f>(Inputs!$B$11+1)</f>
        <v/>
      </c>
      <c r="F5">
        <f>Summary!$B$3</f>
        <v/>
      </c>
      <c r="G5">
        <f>B70</f>
        <v/>
      </c>
      <c r="H5">
        <f>G5-F5</f>
        <v/>
      </c>
      <c r="I5">
        <f>IF(F5=0,0,G5/F5*100)</f>
        <v/>
      </c>
    </row>
    <row r="6">
      <c r="A6" t="inlineStr">
        <is>
          <t>INT %</t>
        </is>
      </c>
      <c r="B6">
        <f>IFERROR(1/(I6-100),"n/a")</f>
        <v/>
      </c>
      <c r="C6" t="inlineStr">
        <is>
          <t>pct</t>
        </is>
      </c>
      <c r="D6">
        <f>Inputs!$B$12</f>
        <v/>
      </c>
      <c r="E6">
        <f>(Inputs!$B$12+1)</f>
        <v/>
      </c>
      <c r="F6">
        <f>Summary!$B$3</f>
        <v/>
      </c>
      <c r="G6">
        <f>B111</f>
        <v/>
      </c>
      <c r="H6">
        <f>G6-F6</f>
        <v/>
      </c>
      <c r="I6">
        <f>IF(F6=0,0,G6/F6*100)</f>
        <v/>
      </c>
    </row>
    <row r="7">
      <c r="A7" t="inlineStr">
        <is>
          <t>DAMAGE %</t>
        </is>
      </c>
      <c r="B7">
        <f>IFERROR(1/(I7-100),"n/a")</f>
        <v/>
      </c>
      <c r="C7" t="inlineStr">
        <is>
          <t>pct</t>
        </is>
      </c>
      <c r="D7">
        <f>Inputs!$B$14</f>
        <v/>
      </c>
      <c r="E7">
        <f>(Inputs!$B$14+1)</f>
        <v/>
      </c>
      <c r="F7">
        <f>Summary!$B$3</f>
        <v/>
      </c>
      <c r="G7">
        <f>B152</f>
        <v/>
      </c>
      <c r="H7">
        <f>G7-F7</f>
        <v/>
      </c>
      <c r="I7">
        <f>IF(F7=0,0,G7/F7*100)</f>
        <v/>
      </c>
    </row>
    <row r="8">
      <c r="A8" t="inlineStr">
        <is>
          <t>DAMAGE_AMP %</t>
        </is>
      </c>
      <c r="B8">
        <f>IFERROR(1/(I8-100),"n/a")</f>
        <v/>
      </c>
      <c r="C8" t="inlineStr">
        <is>
          <t>pct</t>
        </is>
      </c>
      <c r="D8">
        <f>Inputs!$B$15</f>
        <v/>
      </c>
      <c r="E8">
        <f>(Inputs!$B$15+1)</f>
        <v/>
      </c>
      <c r="F8">
        <f>Summary!$B$3</f>
        <v/>
      </c>
      <c r="G8">
        <f>B193</f>
        <v/>
      </c>
      <c r="H8">
        <f>G8-F8</f>
        <v/>
      </c>
      <c r="I8">
        <f>IF(F8=0,0,G8/F8*100)</f>
        <v/>
      </c>
    </row>
    <row r="9">
      <c r="A9" t="inlineStr">
        <is>
          <t>BOSS_DAMAGE %</t>
        </is>
      </c>
      <c r="B9">
        <f>IFERROR(1/(I9-100),"n/a")</f>
        <v/>
      </c>
      <c r="C9" t="inlineStr">
        <is>
          <t>pct</t>
        </is>
      </c>
      <c r="D9">
        <f>Inputs!$B$19</f>
        <v/>
      </c>
      <c r="E9">
        <f>(Inputs!$B$19+1)</f>
        <v/>
      </c>
      <c r="F9">
        <f>Summary!$B$3</f>
        <v/>
      </c>
      <c r="G9">
        <f>B234</f>
        <v/>
      </c>
      <c r="H9">
        <f>G9-F9</f>
        <v/>
      </c>
      <c r="I9">
        <f>IF(F9=0,0,G9/F9*100)</f>
        <v/>
      </c>
    </row>
    <row r="10">
      <c r="A10" t="inlineStr">
        <is>
          <t>NORMAL_DAMAGE %</t>
        </is>
      </c>
      <c r="B10">
        <f>IFERROR(1/(I10-100),"n/a")</f>
        <v/>
      </c>
      <c r="C10" t="inlineStr">
        <is>
          <t>pct</t>
        </is>
      </c>
      <c r="D10">
        <f>Inputs!$B$20</f>
        <v/>
      </c>
      <c r="E10">
        <f>(Inputs!$B$20+1)</f>
        <v/>
      </c>
      <c r="F10">
        <f>Summary!$B$3</f>
        <v/>
      </c>
      <c r="G10">
        <f>B275</f>
        <v/>
      </c>
      <c r="H10">
        <f>G10-F10</f>
        <v/>
      </c>
      <c r="I10">
        <f>IF(F10=0,0,G10/F10*100)</f>
        <v/>
      </c>
    </row>
    <row r="11">
      <c r="A11" t="inlineStr">
        <is>
          <t>FINAL_DAMAGE % (multiplicative source)</t>
        </is>
      </c>
      <c r="B11">
        <f>IFERROR(1/(I11-100),"n/a")</f>
        <v/>
      </c>
      <c r="C11" t="inlineStr">
        <is>
          <t>mult</t>
        </is>
      </c>
      <c r="D11">
        <f>Inputs!$B$23</f>
        <v/>
      </c>
      <c r="E11">
        <f>((((1+Inputs!$B$23/100)*(1.01))-1)*100)</f>
        <v/>
      </c>
      <c r="F11">
        <f>Summary!$B$3</f>
        <v/>
      </c>
      <c r="G11">
        <f>B316</f>
        <v/>
      </c>
      <c r="H11">
        <f>G11-F11</f>
        <v/>
      </c>
      <c r="I11">
        <f>IF(F11=0,0,G11/F11*100)</f>
        <v/>
      </c>
    </row>
    <row r="12">
      <c r="A12" t="inlineStr">
        <is>
          <t>MIN_DAMAGE %</t>
        </is>
      </c>
      <c r="B12">
        <f>IFERROR(1/(I12-100),"n/a")</f>
        <v/>
      </c>
      <c r="C12" t="inlineStr">
        <is>
          <t>pct</t>
        </is>
      </c>
      <c r="D12">
        <f>Inputs!$B$21</f>
        <v/>
      </c>
      <c r="E12">
        <f>(Inputs!$B$21+1)</f>
        <v/>
      </c>
      <c r="F12">
        <f>Summary!$B$3</f>
        <v/>
      </c>
      <c r="G12">
        <f>B357</f>
        <v/>
      </c>
      <c r="H12">
        <f>G12-F12</f>
        <v/>
      </c>
      <c r="I12">
        <f>IF(F12=0,0,G12/F12*100)</f>
        <v/>
      </c>
    </row>
    <row r="13">
      <c r="A13" t="inlineStr">
        <is>
          <t>MAX_DAMAGE %</t>
        </is>
      </c>
      <c r="B13">
        <f>IFERROR(1/(I13-100),"n/a")</f>
        <v/>
      </c>
      <c r="C13" t="inlineStr">
        <is>
          <t>pct</t>
        </is>
      </c>
      <c r="D13">
        <f>Inputs!$B$22</f>
        <v/>
      </c>
      <c r="E13">
        <f>(Inputs!$B$22+1)</f>
        <v/>
      </c>
      <c r="F13">
        <f>Summary!$B$3</f>
        <v/>
      </c>
      <c r="G13">
        <f>B398</f>
        <v/>
      </c>
      <c r="H13">
        <f>G13-F13</f>
        <v/>
      </c>
      <c r="I13">
        <f>IF(F13=0,0,G13/F13*100)</f>
        <v/>
      </c>
    </row>
    <row r="14">
      <c r="A14" t="inlineStr">
        <is>
          <t>CRIT_RATE %</t>
        </is>
      </c>
      <c r="B14">
        <f>IFERROR(1/(I14-100),"n/a")</f>
        <v/>
      </c>
      <c r="C14" t="inlineStr">
        <is>
          <t>pct</t>
        </is>
      </c>
      <c r="D14">
        <f>Inputs!$B$8</f>
        <v/>
      </c>
      <c r="E14">
        <f>(Inputs!$B$8+1)</f>
        <v/>
      </c>
      <c r="F14">
        <f>Summary!$B$3</f>
        <v/>
      </c>
      <c r="G14">
        <f>B439</f>
        <v/>
      </c>
      <c r="H14">
        <f>G14-F14</f>
        <v/>
      </c>
      <c r="I14">
        <f>IF(F14=0,0,G14/F14*100)</f>
        <v/>
      </c>
    </row>
    <row r="15">
      <c r="A15" t="inlineStr">
        <is>
          <t>CRIT_DAMAGE %</t>
        </is>
      </c>
      <c r="B15">
        <f>IFERROR(1/(I15-100),"n/a")</f>
        <v/>
      </c>
      <c r="C15" t="inlineStr">
        <is>
          <t>pct</t>
        </is>
      </c>
      <c r="D15">
        <f>Inputs!$B$9</f>
        <v/>
      </c>
      <c r="E15">
        <f>(Inputs!$B$9+1)</f>
        <v/>
      </c>
      <c r="F15">
        <f>Summary!$B$3</f>
        <v/>
      </c>
      <c r="G15">
        <f>B480</f>
        <v/>
      </c>
      <c r="H15">
        <f>G15-F15</f>
        <v/>
      </c>
      <c r="I15">
        <f>IF(F15=0,0,G15/F15*100)</f>
        <v/>
      </c>
    </row>
    <row r="16">
      <c r="A16" t="inlineStr">
        <is>
          <t>ATTACK_SPEED % (diminishing returns, factor 150)</t>
        </is>
      </c>
      <c r="B16">
        <f>IFERROR(1/(I16-100),"n/a")</f>
        <v/>
      </c>
      <c r="C16" t="inlineStr">
        <is>
          <t>dr150</t>
        </is>
      </c>
      <c r="D16">
        <f>Inputs!$B$10</f>
        <v/>
      </c>
      <c r="E16">
        <f>((1-(1-Inputs!$B$10/150)*(1-1/150))*150)</f>
        <v/>
      </c>
      <c r="F16">
        <f>Summary!$B$3</f>
        <v/>
      </c>
      <c r="G16">
        <f>B521</f>
        <v/>
      </c>
      <c r="H16">
        <f>G16-F16</f>
        <v/>
      </c>
      <c r="I16">
        <f>IF(F16=0,0,G16/F16*100)</f>
        <v/>
      </c>
    </row>
    <row r="17">
      <c r="A17" t="inlineStr">
        <is>
          <t>DEF_PEN % (diminishing returns, factor 100)</t>
        </is>
      </c>
      <c r="B17">
        <f>IFERROR(1/(I17-100),"n/a")</f>
        <v/>
      </c>
      <c r="C17" t="inlineStr">
        <is>
          <t>dr100</t>
        </is>
      </c>
      <c r="D17">
        <f>Inputs!$B$18</f>
        <v/>
      </c>
      <c r="E17">
        <f>((1-(1-Inputs!$B$18/100)*(1-1/100))*100)</f>
        <v/>
      </c>
      <c r="F17">
        <f>Summary!$B$3</f>
        <v/>
      </c>
      <c r="G17">
        <f>B562</f>
        <v/>
      </c>
      <c r="H17">
        <f>G17-F17</f>
        <v/>
      </c>
      <c r="I17">
        <f>IF(F17=0,0,G17/F17*100)</f>
        <v/>
      </c>
    </row>
    <row r="18">
      <c r="A18" t="inlineStr">
        <is>
          <t>BASIC_ATTACK_DAMAGE %</t>
        </is>
      </c>
      <c r="B18">
        <f>IFERROR(1/(I18-100),"n/a")</f>
        <v/>
      </c>
      <c r="C18" t="inlineStr">
        <is>
          <t>pct</t>
        </is>
      </c>
      <c r="D18">
        <f>Inputs!$B$16</f>
        <v/>
      </c>
      <c r="E18">
        <f>(Inputs!$B$16+1)</f>
        <v/>
      </c>
      <c r="F18">
        <f>Summary!$B$3</f>
        <v/>
      </c>
      <c r="G18">
        <f>B603</f>
        <v/>
      </c>
      <c r="H18">
        <f>G18-F18</f>
        <v/>
      </c>
      <c r="I18">
        <f>IF(F18=0,0,G18/F18*100)</f>
        <v/>
      </c>
    </row>
    <row r="19">
      <c r="A19" t="inlineStr">
        <is>
          <t>SKILL_DAMAGE %</t>
        </is>
      </c>
      <c r="B19">
        <f>IFERROR(1/(I19-100),"n/a")</f>
        <v/>
      </c>
      <c r="C19" t="inlineStr">
        <is>
          <t>pct</t>
        </is>
      </c>
      <c r="D19">
        <f>Inputs!$B$17</f>
        <v/>
      </c>
      <c r="E19">
        <f>(Inputs!$B$17+1)</f>
        <v/>
      </c>
      <c r="F19">
        <f>Summary!$B$3</f>
        <v/>
      </c>
      <c r="G19">
        <f>B644</f>
        <v/>
      </c>
      <c r="H19">
        <f>G19-F19</f>
        <v/>
      </c>
      <c r="I19">
        <f>IF(F19=0,0,G19/F19*100)</f>
        <v/>
      </c>
    </row>
    <row r="20">
      <c r="A20" t="inlineStr">
        <is>
          <t>Skill Level Bonus — 1st Job</t>
        </is>
      </c>
      <c r="B20">
        <f>IFERROR(1/(I20-100),"n/a")</f>
        <v/>
      </c>
      <c r="C20" t="inlineStr">
        <is>
          <t>level</t>
        </is>
      </c>
      <c r="D20">
        <f>Inputs!$B$24</f>
        <v/>
      </c>
      <c r="E20">
        <f>(Inputs!$B$24+1)</f>
        <v/>
      </c>
      <c r="F20">
        <f>Summary!$B$3</f>
        <v/>
      </c>
      <c r="G20">
        <f>B685</f>
        <v/>
      </c>
      <c r="H20">
        <f>G20-F20</f>
        <v/>
      </c>
      <c r="I20">
        <f>IF(F20=0,0,G20/F20*100)</f>
        <v/>
      </c>
    </row>
    <row r="21">
      <c r="A21" t="inlineStr">
        <is>
          <t>Skill Level Bonus — 2nd Job</t>
        </is>
      </c>
      <c r="B21">
        <f>IFERROR(1/(I21-100),"n/a")</f>
        <v/>
      </c>
      <c r="C21" t="inlineStr">
        <is>
          <t>level</t>
        </is>
      </c>
      <c r="D21">
        <f>Inputs!$B$25</f>
        <v/>
      </c>
      <c r="E21">
        <f>(Inputs!$B$25+1)</f>
        <v/>
      </c>
      <c r="F21">
        <f>Summary!$B$3</f>
        <v/>
      </c>
      <c r="G21">
        <f>B726</f>
        <v/>
      </c>
      <c r="H21">
        <f>G21-F21</f>
        <v/>
      </c>
      <c r="I21">
        <f>IF(F21=0,0,G21/F21*100)</f>
        <v/>
      </c>
    </row>
    <row r="22">
      <c r="A22" t="inlineStr">
        <is>
          <t>Skill Level Bonus — 3rd Job</t>
        </is>
      </c>
      <c r="B22">
        <f>IFERROR(1/(I22-100),"n/a")</f>
        <v/>
      </c>
      <c r="C22" t="inlineStr">
        <is>
          <t>level</t>
        </is>
      </c>
      <c r="D22">
        <f>Inputs!$B$26</f>
        <v/>
      </c>
      <c r="E22">
        <f>(Inputs!$B$26+1)</f>
        <v/>
      </c>
      <c r="F22">
        <f>Summary!$B$3</f>
        <v/>
      </c>
      <c r="G22">
        <f>B767</f>
        <v/>
      </c>
      <c r="H22">
        <f>G22-F22</f>
        <v/>
      </c>
      <c r="I22">
        <f>IF(F22=0,0,G22/F22*100)</f>
        <v/>
      </c>
    </row>
    <row r="23">
      <c r="A23" t="inlineStr">
        <is>
          <t>Skill Level Bonus — 4th Job</t>
        </is>
      </c>
      <c r="B23">
        <f>IFERROR(1/(I23-100),"n/a")</f>
        <v/>
      </c>
      <c r="C23" t="inlineStr">
        <is>
          <t>level</t>
        </is>
      </c>
      <c r="D23">
        <f>Inputs!$B$27</f>
        <v/>
      </c>
      <c r="E23">
        <f>(Inputs!$B$27+1)</f>
        <v/>
      </c>
      <c r="F23">
        <f>Summary!$B$3</f>
        <v/>
      </c>
      <c r="G23">
        <f>B808</f>
        <v/>
      </c>
      <c r="H23">
        <f>G23-F23</f>
        <v/>
      </c>
      <c r="I23">
        <f>IF(F23=0,0,G23/F23*100)</f>
        <v/>
      </c>
    </row>
    <row r="24">
      <c r="A24" t="inlineStr">
        <is>
          <t>Skill Level Bonus — All Skills</t>
        </is>
      </c>
      <c r="B24">
        <f>IFERROR(1/(I24-100),"n/a")</f>
        <v/>
      </c>
      <c r="C24" t="inlineStr">
        <is>
          <t>level</t>
        </is>
      </c>
      <c r="D24">
        <f>Inputs!$B$28</f>
        <v/>
      </c>
      <c r="E24">
        <f>(Inputs!$B$28+1)</f>
        <v/>
      </c>
      <c r="F24">
        <f>Summary!$B$3</f>
        <v/>
      </c>
      <c r="G24">
        <f>B849</f>
        <v/>
      </c>
      <c r="H24">
        <f>G24-F24</f>
        <v/>
      </c>
      <c r="I24">
        <f>IF(F24=0,0,G24/F24*100)</f>
        <v/>
      </c>
    </row>
    <row r="25">
      <c r="A25" t="inlineStr">
        <is>
          <t>Flat ATTACK</t>
        </is>
      </c>
      <c r="B25">
        <f>IFERROR(1/(I25-100),"n/a")</f>
        <v/>
      </c>
      <c r="C25" t="inlineStr">
        <is>
          <t>flat</t>
        </is>
      </c>
      <c r="D25">
        <f>Inputs!$B$5</f>
        <v/>
      </c>
      <c r="E25">
        <f>(Inputs!$B$5+1)</f>
        <v/>
      </c>
      <c r="F25">
        <f>Summary!$B$3</f>
        <v/>
      </c>
      <c r="G25">
        <f>B890</f>
        <v/>
      </c>
      <c r="H25">
        <f>G25-F25</f>
        <v/>
      </c>
      <c r="I25">
        <f>IF(F25=0,0,G25/F25*100)</f>
        <v/>
      </c>
    </row>
    <row r="26">
      <c r="A26" t="inlineStr">
        <is>
          <t>ATTACK %</t>
        </is>
      </c>
      <c r="B26">
        <f>IFERROR(1/(I26-100),"n/a")</f>
        <v/>
      </c>
      <c r="C26" t="inlineStr">
        <is>
          <t>pct</t>
        </is>
      </c>
      <c r="D26">
        <f>Inputs!$B$6</f>
        <v/>
      </c>
      <c r="E26">
        <f>(Inputs!$B$6+1)</f>
        <v/>
      </c>
      <c r="F26">
        <f>Summary!$B$3</f>
        <v/>
      </c>
      <c r="G26">
        <f>B931</f>
        <v/>
      </c>
      <c r="H26">
        <f>G26-F26</f>
        <v/>
      </c>
      <c r="I26">
        <f>IF(F26=0,0,G26/F26*100)</f>
        <v/>
      </c>
    </row>
    <row r="27">
      <c r="A27" t="inlineStr">
        <is>
          <t>Skill Cooldown Decrease (seconds)</t>
        </is>
      </c>
      <c r="B27">
        <f>IFERROR(1/(I27-100),"n/a")</f>
        <v/>
      </c>
      <c r="C27" t="inlineStr">
        <is>
          <t>flat</t>
        </is>
      </c>
      <c r="D27">
        <f>Inputs!$B$31</f>
        <v/>
      </c>
      <c r="E27">
        <f>(Inputs!$B$31+1)</f>
        <v/>
      </c>
      <c r="F27">
        <f>Summary!$B$3</f>
        <v/>
      </c>
      <c r="G27">
        <f>B972</f>
        <v/>
      </c>
      <c r="H27">
        <f>G27-F27</f>
        <v/>
      </c>
      <c r="I27">
        <f>IF(F27=0,0,G27/F27*100)</f>
        <v/>
      </c>
    </row>
    <row r="28">
      <c r="A28" t="inlineStr">
        <is>
          <t>Basic Attack Target Increase (flat)</t>
        </is>
      </c>
      <c r="B28">
        <f>IFERROR(1/(I28-100),"n/a")</f>
        <v/>
      </c>
      <c r="C28" t="inlineStr">
        <is>
          <t>flat</t>
        </is>
      </c>
      <c r="D28">
        <f>Inputs!$B$32</f>
        <v/>
      </c>
      <c r="E28">
        <f>(Inputs!$B$32+1)</f>
        <v/>
      </c>
      <c r="F28">
        <f>Summary!$B$3</f>
        <v/>
      </c>
      <c r="G28">
        <f>B1013</f>
        <v/>
      </c>
      <c r="H28">
        <f>G28-F28</f>
        <v/>
      </c>
      <c r="I28">
        <f>IF(F28=0,0,G28/F28*100)</f>
        <v/>
      </c>
    </row>
    <row r="29">
      <c r="A29" t="inlineStr">
        <is>
          <t>Buff Duration Increase %</t>
        </is>
      </c>
      <c r="B29">
        <f>IFERROR(1/(I29-100),"n/a")</f>
        <v/>
      </c>
      <c r="C29" t="inlineStr">
        <is>
          <t>pct</t>
        </is>
      </c>
      <c r="D29">
        <f>Inputs!$B$33</f>
        <v/>
      </c>
      <c r="E29">
        <f>(Inputs!$B$33+1)</f>
        <v/>
      </c>
      <c r="F29">
        <f>Summary!$B$3</f>
        <v/>
      </c>
      <c r="G29">
        <f>B1054</f>
        <v/>
      </c>
      <c r="H29">
        <f>G29-F29</f>
        <v/>
      </c>
      <c r="I29">
        <f>IF(F29=0,0,G29/F29*100)</f>
        <v/>
      </c>
    </row>
    <row r="32">
      <c r="A32" s="5" t="inlineStr">
        <is>
          <t>Stat: Flat INT</t>
        </is>
      </c>
    </row>
    <row r="33">
      <c r="A33" s="8" t="inlineStr">
        <is>
          <t>Key</t>
        </is>
      </c>
      <c r="B33" s="8" t="inlineStr">
        <is>
          <t>Name</t>
        </is>
      </c>
      <c r="C33" s="8" t="inlineStr">
        <is>
          <t>Unlocked</t>
        </is>
      </c>
      <c r="D33" s="8" t="inlineStr">
        <is>
          <t>InputLevel</t>
        </is>
      </c>
      <c r="E33" s="8" t="inlineStr">
        <is>
          <t>Factor</t>
        </is>
      </c>
      <c r="F33" s="8" t="inlineStr">
        <is>
          <t>CoefficientPercent</t>
        </is>
      </c>
      <c r="G33" s="8" t="inlineStr">
        <is>
          <t>EffectiveHits</t>
        </is>
      </c>
      <c r="H33" s="8" t="inlineStr">
        <is>
          <t>ProcProbability</t>
        </is>
      </c>
      <c r="I33" s="8" t="inlineStr">
        <is>
          <t>MapleHeroMultiplier</t>
        </is>
      </c>
      <c r="J33" s="8" t="inlineStr">
        <is>
          <t>BaseDamage</t>
        </is>
      </c>
      <c r="K33" s="8" t="inlineStr">
        <is>
          <t>BaseHitDamage</t>
        </is>
      </c>
      <c r="L33" s="8" t="inlineStr">
        <is>
          <t>NonCritAvg</t>
        </is>
      </c>
      <c r="M33" s="8" t="inlineStr">
        <is>
          <t>CritAvg</t>
        </is>
      </c>
      <c r="N33" s="8" t="inlineStr">
        <is>
          <t>ExpectedDamage(perHit)</t>
        </is>
      </c>
      <c r="O33" s="8" t="inlineStr">
        <is>
          <t>DPS</t>
        </is>
      </c>
      <c r="P33" s="8"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IF(Skills!T2&lt;&gt;"",1+(Skills!T2/10)*($Z$3/1000)/100,1)</f>
        <v/>
      </c>
      <c r="J34">
        <f>((Inputs!$B$5*(1+Inputs!$B$6/100))+(((Inputs!$B$11+1)*(1+Inputs!$B$12/100))-(Inputs!$B$11*(1+Inputs!$B$12/100)))*(1+Inputs!$B$6/100))*(F34/100)</f>
        <v/>
      </c>
      <c r="K34">
        <f>J34*(1+(((Inputs!$B$11+1)*(1+Inputs!$B$12/100))*0.01+Inputs!$B$13*0.0025)/100)*(1+(Inputs!$B$14+B63)/100)*(1+IF(Inputs!$B$4="pvp",0,(1-Summary!$B$48)*(Inputs!$B$19+Skills!O2+B61)+Summary!$B$48*(Inputs!$B$20+Skills!P2+B62))/100)*(1+Inputs!$B$15/100)*(5000/(6000+Inputs!$B$7*(1-Inputs!$B$18/100)))*(1+Inputs!$B$23/100)*(1+IF(C49=TRUE,F49,0)/100)*(1+IF(C51=TRUE,F51,0)/100)*(1+IF(Skills!A2="TRIUMPH_FEATHER",IF(C47=TRUE,F47,0),0)/100)*(1+IF(C58=TRUE,F58,0)/100)^5*(1+(IF(Skills!A2="BIG_BANG",Inputs!$B$16,Inputs!$B$17))/100)*(B60*I34)</f>
        <v/>
      </c>
      <c r="L34">
        <f>K34*(MIN(Inputs!$B$21+(F53-Calc!F21),Inputs!$B$22)/100+Inputs!$B$22/100)/2</f>
        <v/>
      </c>
      <c r="M34">
        <f>L34*(1+(Inputs!$B$9+B64+(F56-Calc!F24))/100)</f>
        <v/>
      </c>
      <c r="N34">
        <f>L34*(1-MIN(Inputs!$B$8+((F55-Calc!F23)+(F54-Calc!F22)),100)/100)+M34*(MIN(Inputs!$B$8+((F55-Calc!F23)+(F54-Calc!F22)),100)/100)</f>
        <v/>
      </c>
      <c r="O34">
        <f>IF(C34,Skills!F2*N34*B68*IF(Inputs!$B$4="pvp",1,(1-Summary!$B$48)*(1)+Summary!$B$48*(MIN((6+Inputs!$B$32),Inputs!$B$37))),0)</f>
        <v/>
      </c>
      <c r="P34">
        <f>IF(B70=0,0,O34/B70)</f>
        <v/>
      </c>
      <c r="S34" t="n">
        <v>0</v>
      </c>
      <c r="T34">
        <f>MAX(0,(Inputs!$B$3-100)*3)+Inputs!$B$27+Inputs!$B$28</f>
        <v/>
      </c>
      <c r="V34">
        <f>IFERROR(1/IF(Inputs!$B$4="pvp",15,MAX(0.1,Skills!D2-IF(Skills!E2=TRUE,Inputs!$B$31,0))),0)</f>
        <v/>
      </c>
    </row>
    <row r="35">
      <c r="A35">
        <f>Skills!A3</f>
        <v/>
      </c>
      <c r="B35">
        <f>Skills!B3</f>
        <v/>
      </c>
      <c r="C35">
        <f>Inputs!$B$3&gt;=15</f>
        <v/>
      </c>
      <c r="D35">
        <f>IF(Skills!C3=1,60+Inputs!$B$24+Inputs!$B$28,IF(Skills!C3=2,90+Inputs!$B$25+Inputs!$B$28,IF(Skills!C3=3,120+Inputs!$B$26+Inputs!$B$28,MAX(0,(Inputs!$B$3-100)*3)+Inputs!$B$27+Inputs!$B$28)))</f>
        <v/>
      </c>
      <c r="E35">
        <f>INDEX(FactorTable!$B$2:$Y$301, MATCH(ROUND(MIN(300,MAX(1,D35)),0), FactorTable!$A$2:$A$301,0), Skills!L3+1)</f>
        <v/>
      </c>
      <c r="F35">
        <f>IF(Skills!M3=TRUE,(Skills!K3/10)*(E35/1000),Skills!K3/10)+Skills!N3</f>
        <v/>
      </c>
      <c r="G35">
        <f>Calc!G3</f>
        <v/>
      </c>
      <c r="H35">
        <f>Calc!H3</f>
        <v/>
      </c>
      <c r="I35">
        <f>IF(Skills!T3&lt;&gt;"",1+(Skills!T3/10)*($Z$3/1000)/100,1)</f>
        <v/>
      </c>
      <c r="J35" t="inlineStr"/>
      <c r="K35" t="inlineStr"/>
      <c r="L35" t="inlineStr"/>
      <c r="M35" t="inlineStr"/>
      <c r="N35" t="inlineStr"/>
      <c r="O35" t="n">
        <v>0</v>
      </c>
      <c r="P35">
        <f>IF(B70=0,0,O35/B70)</f>
        <v/>
      </c>
      <c r="S35">
        <f>IF(AND(Inputs!$B$4&lt;&gt;"pvp",Inputs!$B$35&gt;0),(INT(Inputs!$B$35/IF(Inputs!$B$4="pvp",15,MAX(0.1,Skills!D3-IF(Skills!E3=TRUE,Inputs!$B$31,0))))+1),0)</f>
        <v/>
      </c>
      <c r="T35">
        <f>INDEX(FactorTable!$B$2:$Y$301, MATCH(ROUND(MIN(300,MAX(1,T34)),0), FactorTable!$A$2:$A$301,0), 22)</f>
        <v/>
      </c>
      <c r="V35">
        <f>IFERROR(1/IF(Inputs!$B$4="pvp",15,MAX(0.1,Skills!D3-IF(Skills!E3=TRUE,Inputs!$B$31,0))),0)</f>
        <v/>
      </c>
    </row>
    <row r="36">
      <c r="A36">
        <f>Skills!A4</f>
        <v/>
      </c>
      <c r="B36">
        <f>Skills!B4</f>
        <v/>
      </c>
      <c r="C36">
        <f>Inputs!$B$3&gt;=38</f>
        <v/>
      </c>
      <c r="D36">
        <f>IF(Skills!C4=1,60+Inputs!$B$24+Inputs!$B$28,IF(Skills!C4=2,90+Inputs!$B$25+Inputs!$B$28,IF(Skills!C4=3,120+Inputs!$B$26+Inputs!$B$28,MAX(0,(Inputs!$B$3-100)*3)+Inputs!$B$27+Inputs!$B$28)))</f>
        <v/>
      </c>
      <c r="E36">
        <f>INDEX(FactorTable!$B$2:$Y$301, MATCH(ROUND(MIN(300,MAX(1,D36)),0), FactorTable!$A$2:$A$301,0), Skills!L4+1)</f>
        <v/>
      </c>
      <c r="F36">
        <f>IF(Skills!M4=TRUE,(Skills!K4/10)*(E36/1000),Skills!K4/10)+Skills!N4</f>
        <v/>
      </c>
      <c r="G36">
        <f>Calc!G4</f>
        <v/>
      </c>
      <c r="H36">
        <f>Calc!H4</f>
        <v/>
      </c>
      <c r="I36">
        <f>IF(Skills!T4&lt;&gt;"",1+(Skills!T4/10)*($Z$3/1000)/100,1)</f>
        <v/>
      </c>
      <c r="J36" t="inlineStr"/>
      <c r="K36" t="inlineStr"/>
      <c r="L36" t="inlineStr"/>
      <c r="M36" t="inlineStr"/>
      <c r="N36" t="inlineStr"/>
      <c r="O36" t="n">
        <v>0</v>
      </c>
      <c r="P36">
        <f>IF(B70=0,0,O36/B70)</f>
        <v/>
      </c>
      <c r="S36">
        <f>IF(AND(Inputs!$B$4&lt;&gt;"pvp",Inputs!$B$35&gt;0),(INT(Inputs!$B$35/IF(Inputs!$B$4="pvp",15,MAX(0.1,Skills!D4-IF(Skills!E4=TRUE,Inputs!$B$31,0))))+1),0)</f>
        <v/>
      </c>
      <c r="T36">
        <f>290*T35/1000</f>
        <v/>
      </c>
      <c r="V36">
        <f>IFERROR(1/IF(Inputs!$B$4="pvp",15,MAX(0.1,Skills!D4-IF(Skills!E4=TRUE,Inputs!$B$31,0))),0)</f>
        <v/>
      </c>
    </row>
    <row r="37">
      <c r="A37">
        <f>Skills!A5</f>
        <v/>
      </c>
      <c r="B37">
        <f>Skills!B5</f>
        <v/>
      </c>
      <c r="C37">
        <f>Inputs!$B$3&gt;=40</f>
        <v/>
      </c>
      <c r="D37">
        <f>IF(Skills!C5=1,60+Inputs!$B$24+Inputs!$B$28,IF(Skills!C5=2,90+Inputs!$B$25+Inputs!$B$28,IF(Skills!C5=3,120+Inputs!$B$26+Inputs!$B$28,MAX(0,(Inputs!$B$3-100)*3)+Inputs!$B$27+Inputs!$B$28)))</f>
        <v/>
      </c>
      <c r="E37">
        <f>INDEX(FactorTable!$B$2:$Y$301, MATCH(ROUND(MIN(300,MAX(1,D37)),0), FactorTable!$A$2:$A$301,0), Skills!L5+1)</f>
        <v/>
      </c>
      <c r="F37">
        <f>IF(Skills!M5=TRUE,(Skills!K5/10)*(E37/1000),Skills!K5/10)+Skills!N5</f>
        <v/>
      </c>
      <c r="G37">
        <f>Calc!G5</f>
        <v/>
      </c>
      <c r="H37">
        <f>Calc!H5</f>
        <v/>
      </c>
      <c r="I37">
        <f>IF(Skills!T5&lt;&gt;"",1+(Skills!T5/10)*($Z$3/1000)/100,1)</f>
        <v/>
      </c>
      <c r="J37" t="inlineStr"/>
      <c r="K37" t="inlineStr"/>
      <c r="L37" t="inlineStr"/>
      <c r="M37" t="inlineStr"/>
      <c r="N37" t="inlineStr"/>
      <c r="O37" t="n">
        <v>0</v>
      </c>
      <c r="P37">
        <f>IF(B70=0,0,O37/B70)</f>
        <v/>
      </c>
      <c r="S37">
        <f>IF(AND(Inputs!$B$4&lt;&gt;"pvp",Inputs!$B$35&gt;0),(INT(Inputs!$B$35/IF(Inputs!$B$4="pvp",15,MAX(0.1,Skills!D5-IF(Skills!E5=TRUE,Inputs!$B$31,0))))+1),0)</f>
        <v/>
      </c>
      <c r="V37">
        <f>IFERROR(1/IF(Inputs!$B$4="pvp",15,MAX(0.1,Skills!D5-IF(Skills!E5=TRUE,Inputs!$B$31,0))),0)</f>
        <v/>
      </c>
    </row>
    <row r="38">
      <c r="A38">
        <f>Skills!A6</f>
        <v/>
      </c>
      <c r="B38">
        <f>Skills!B6</f>
        <v/>
      </c>
      <c r="C38">
        <f>Inputs!$B$3&gt;=103</f>
        <v/>
      </c>
      <c r="D38">
        <f>IF(Skills!C6=1,60+Inputs!$B$24+Inputs!$B$28,IF(Skills!C6=2,90+Inputs!$B$25+Inputs!$B$28,IF(Skills!C6=3,120+Inputs!$B$26+Inputs!$B$28,MAX(0,(Inputs!$B$3-100)*3)+Inputs!$B$27+Inputs!$B$28)))</f>
        <v/>
      </c>
      <c r="E38">
        <f>INDEX(FactorTable!$B$2:$Y$301, MATCH(ROUND(MIN(300,MAX(1,D38)),0), FactorTable!$A$2:$A$301,0), Skills!L6+1)</f>
        <v/>
      </c>
      <c r="F38">
        <f>IF(Skills!M6=TRUE,(Skills!K6/10)*(E38/1000),Skills!K6/10)+Skills!N6</f>
        <v/>
      </c>
      <c r="G38">
        <f>Calc!G6</f>
        <v/>
      </c>
      <c r="H38">
        <f>Calc!H6</f>
        <v/>
      </c>
      <c r="I38">
        <f>IF(Skills!T6&lt;&gt;"",1+(Skills!T6/10)*($Z$3/1000)/100,1)</f>
        <v/>
      </c>
      <c r="J38">
        <f>((Inputs!$B$5*(1+Inputs!$B$6/100))+(((Inputs!$B$11+1)*(1+Inputs!$B$12/100))-(Inputs!$B$11*(1+Inputs!$B$12/100)))*(1+Inputs!$B$6/100))*(F38/100)</f>
        <v/>
      </c>
      <c r="K38">
        <f>J38*(1+(((Inputs!$B$11+1)*(1+Inputs!$B$12/100))*0.01+Inputs!$B$13*0.0025)/100)*(1+(Inputs!$B$14+B63)/100)*(1+IF(Inputs!$B$4="pvp",0,(1-Summary!$B$48)*(Inputs!$B$19+Skills!O6+B61)+Summary!$B$48*(Inputs!$B$20+Skills!P6+B62))/100)*(1+Inputs!$B$15/100)*(5000/(6000+Inputs!$B$7*(1-Inputs!$B$18/100)))*(1+Inputs!$B$23/100)*(1+IF(C49=TRUE,F49,0)/100)*(1+IF(C51=TRUE,F51,0)/100)*(1+IF(Skills!A6="TRIUMPH_FEATHER",IF(C47=TRUE,F47,0),0)/100)*(1+IF(C58=TRUE,F58,0)/100)^5*(1+(IF(Skills!A6="BIG_BANG",Inputs!$B$16,Inputs!$B$17))/100)*(B60*I38)</f>
        <v/>
      </c>
      <c r="L38">
        <f>K38*(MIN(Inputs!$B$21+(F53-Calc!F21),Inputs!$B$22)/100+Inputs!$B$22/100)/2</f>
        <v/>
      </c>
      <c r="M38">
        <f>L38*(1+(Inputs!$B$9+B64+(F56-Calc!F24))/100)</f>
        <v/>
      </c>
      <c r="N38">
        <f>L38*(1-MIN(Inputs!$B$8+((F55-Calc!F23)+(F54-Calc!F22)),100)/100)+M38*(MIN(Inputs!$B$8+((F55-Calc!F23)+(F54-Calc!F22)),100)/100)</f>
        <v/>
      </c>
      <c r="O38">
        <f>IF(C38,H38*N38*IF(AND(Inputs!$B$4&lt;&gt;"pvp",Inputs!$B$35&gt;0),((Skills!F6*((S38-1)*IF(Skills!G6&gt;0,Skills!H6/Skills!G6,1)+IF(Skills!G6&gt;0,MIN(Skills!H6,MAX(0,Inputs!$B$35-((S38-1)*IF(Inputs!$B$4="pvp",15,MAX(0.1,Skills!D6-IF(Skills!E6=TRUE,Inputs!$B$31,0))))))/Skills!G6,1)))/Inputs!$B$35),G38*V38)*IF(Inputs!$B$4="pvp",1,(1-Summary!$B$48)*(1)+Summary!$B$48*(MIN(Skills!Q6,Inputs!$B$37))),0)</f>
        <v/>
      </c>
      <c r="P38">
        <f>IF(B70=0,0,O38/B70)</f>
        <v/>
      </c>
      <c r="S38">
        <f>IF(AND(Inputs!$B$4&lt;&gt;"pvp",Inputs!$B$35&gt;0),(INT(Inputs!$B$35/IF(Inputs!$B$4="pvp",15,MAX(0.1,Skills!D6-IF(Skills!E6=TRUE,Inputs!$B$31,0))))+1),0)</f>
        <v/>
      </c>
      <c r="V38">
        <f>IFERROR(1/IF(Inputs!$B$4="pvp",15,MAX(0.1,Skills!D6-IF(Skills!E6=TRUE,Inputs!$B$31,0))),0)</f>
        <v/>
      </c>
    </row>
    <row r="39">
      <c r="A39">
        <f>Skills!A7</f>
        <v/>
      </c>
      <c r="B39">
        <f>Skills!B7</f>
        <v/>
      </c>
      <c r="C39">
        <f>Inputs!$B$3&gt;=122</f>
        <v/>
      </c>
      <c r="D39">
        <f>IF(Skills!C7=1,60+Inputs!$B$24+Inputs!$B$28,IF(Skills!C7=2,90+Inputs!$B$25+Inputs!$B$28,IF(Skills!C7=3,120+Inputs!$B$26+Inputs!$B$28,MAX(0,(Inputs!$B$3-100)*3)+Inputs!$B$27+Inputs!$B$28)))</f>
        <v/>
      </c>
      <c r="E39">
        <f>INDEX(FactorTable!$B$2:$Y$301, MATCH(ROUND(MIN(300,MAX(1,D39)),0), FactorTable!$A$2:$A$301,0), Skills!L7+1)</f>
        <v/>
      </c>
      <c r="F39">
        <f>IF(Skills!M7=TRUE,(Skills!K7/10)*(E39/1000),Skills!K7/10)+Skills!N7</f>
        <v/>
      </c>
      <c r="G39">
        <f>Calc!G7</f>
        <v/>
      </c>
      <c r="H39">
        <f>Calc!H7</f>
        <v/>
      </c>
      <c r="I39">
        <f>IF(Skills!T7&lt;&gt;"",1+(Skills!T7/10)*($Z$3/1000)/100,1)</f>
        <v/>
      </c>
      <c r="J39">
        <f>((Inputs!$B$5*(1+Inputs!$B$6/100))+(((Inputs!$B$11+1)*(1+Inputs!$B$12/100))-(Inputs!$B$11*(1+Inputs!$B$12/100)))*(1+Inputs!$B$6/100))*(F39/100)</f>
        <v/>
      </c>
      <c r="K39">
        <f>J39*(1+(((Inputs!$B$11+1)*(1+Inputs!$B$12/100))*0.01+Inputs!$B$13*0.0025)/100)*(1+(Inputs!$B$14+B63)/100)*(1+IF(Inputs!$B$4="pvp",0,(1-Summary!$B$48)*(Inputs!$B$19+Skills!O7+B61)+Summary!$B$48*(Inputs!$B$20+Skills!P7+B62))/100)*(1+Inputs!$B$15/100)*(5000/(6000+Inputs!$B$7*(1-Inputs!$B$18/100)))*(1+Inputs!$B$23/100)*(1+IF(C49=TRUE,F49,0)/100)*(1+IF(C51=TRUE,F51,0)/100)*(1+IF(Skills!A7="TRIUMPH_FEATHER",IF(C47=TRUE,F47,0),0)/100)*(1+IF(C58=TRUE,F58,0)/100)^5*(1+(IF(Skills!A7="BIG_BANG",Inputs!$B$16,Inputs!$B$17))/100)*(B60*I39)</f>
        <v/>
      </c>
      <c r="L39">
        <f>K39*(MIN(Inputs!$B$21+(F53-Calc!F21),Inputs!$B$22)/100+Inputs!$B$22/100)/2</f>
        <v/>
      </c>
      <c r="M39">
        <f>L39*(1+(Inputs!$B$9+B64+(F56-Calc!F24))/100)</f>
        <v/>
      </c>
      <c r="N39">
        <f>L39*(1-MIN(Inputs!$B$8+((F55-Calc!F23)+(F54-Calc!F22)),100)/100)+M39*(MIN(Inputs!$B$8+((F55-Calc!F23)+(F54-Calc!F22)),100)/100)</f>
        <v/>
      </c>
      <c r="O39">
        <f>IF(C39,H39*N39*IF(AND(Inputs!$B$4&lt;&gt;"pvp",Inputs!$B$35&gt;0),((Skills!F7*((S39-1)*IF(Skills!G7&gt;0,Skills!H7/Skills!G7,1)+IF(Skills!G7&gt;0,MIN(Skills!H7,MAX(0,Inputs!$B$35-((S39-1)*IF(Inputs!$B$4="pvp",15,MAX(0.1,Skills!D7-IF(Skills!E6=TRUE,Inputs!$B$31,0))))))/Skills!G7,1)))/Inputs!$B$35),G39*V39)*(1-Summary!$B$48),0)</f>
        <v/>
      </c>
      <c r="P39">
        <f>IF(B70=0,0,O39/B70)</f>
        <v/>
      </c>
      <c r="S39">
        <f>IF(AND(Inputs!$B$4&lt;&gt;"pvp",Inputs!$B$35&gt;0),(INT(Inputs!$B$35/IF(Inputs!$B$4="pvp",15,MAX(0.1,Skills!D7-IF(Skills!E6=TRUE,Inputs!$B$31,0))))+1),0)</f>
        <v/>
      </c>
      <c r="V39">
        <f>IFERROR(1/IF(Inputs!$B$4="pvp",15,MAX(0.1,Skills!D7-IF(Skills!E6=TRUE,Inputs!$B$31,0))),0)</f>
        <v/>
      </c>
    </row>
    <row r="40">
      <c r="A40">
        <f>Skills!A8</f>
        <v/>
      </c>
      <c r="B40">
        <f>Skills!B8</f>
        <v/>
      </c>
      <c r="C40">
        <f>Inputs!$B$3&gt;=105</f>
        <v/>
      </c>
      <c r="D40">
        <f>IF(Skills!C8=1,60+Inputs!$B$24+Inputs!$B$28,IF(Skills!C8=2,90+Inputs!$B$25+Inputs!$B$28,IF(Skills!C8=3,120+Inputs!$B$26+Inputs!$B$28,MAX(0,(Inputs!$B$3-100)*3)+Inputs!$B$27+Inputs!$B$28)))</f>
        <v/>
      </c>
      <c r="E40">
        <f>INDEX(FactorTable!$B$2:$Y$301, MATCH(ROUND(MIN(300,MAX(1,D40)),0), FactorTable!$A$2:$A$301,0), Skills!L8+1)</f>
        <v/>
      </c>
      <c r="F40">
        <f>IF(Skills!M8=TRUE,(Skills!K8/10)*(E40/1000),Skills!K8/10)+Skills!N8</f>
        <v/>
      </c>
      <c r="G40">
        <f>Calc!G8</f>
        <v/>
      </c>
      <c r="H40">
        <f>Calc!H8</f>
        <v/>
      </c>
      <c r="I40">
        <f>IF(Skills!T8&lt;&gt;"",1+(Skills!T8/10)*($Z$3/1000)/100,1)</f>
        <v/>
      </c>
      <c r="J40">
        <f>((Inputs!$B$5*(1+Inputs!$B$6/100))+(((Inputs!$B$11+1)*(1+Inputs!$B$12/100))-(Inputs!$B$11*(1+Inputs!$B$12/100)))*(1+Inputs!$B$6/100))*(F40/100)</f>
        <v/>
      </c>
      <c r="K40">
        <f>J40*(1+(((Inputs!$B$11+1)*(1+Inputs!$B$12/100))*0.01+Inputs!$B$13*0.0025)/100)*(1+(Inputs!$B$14+B63)/100)*(1+IF(Inputs!$B$4="pvp",0,(1-Summary!$B$48)*(Inputs!$B$19+Skills!O8+B61)+Summary!$B$48*(Inputs!$B$20+Skills!P8+B62))/100)*(1+Inputs!$B$15/100)*(5000/(6000+Inputs!$B$7*(1-Inputs!$B$18/100)))*(1+Inputs!$B$23/100)*(1+IF(C49=TRUE,F49,0)/100)*(1+IF(C51=TRUE,F51,0)/100)*(1+IF(Skills!A8="TRIUMPH_FEATHER",IF(C47=TRUE,F47,0),0)/100)*(1+IF(C58=TRUE,F58,0)/100)^5*(1+(IF(Skills!A8="BIG_BANG",Inputs!$B$16,Inputs!$B$17))/100)*(B60*I40)</f>
        <v/>
      </c>
      <c r="L40">
        <f>K40*(MIN(Inputs!$B$21+(F53-Calc!F21),Inputs!$B$22)/100+Inputs!$B$22/100)/2</f>
        <v/>
      </c>
      <c r="M40">
        <f>L40*(1+(Inputs!$B$9+B64+(F56-Calc!F24))/100)</f>
        <v/>
      </c>
      <c r="N40">
        <f>L40*(1-MIN(Inputs!$B$8+((F55-Calc!F23)+(F54-Calc!F22)),100)/100)+M40*(MIN(Inputs!$B$8+((F55-Calc!F23)+(F54-Calc!F22)),100)/100)</f>
        <v/>
      </c>
      <c r="O40">
        <f>IF(C40,H40*N40*IF(AND(Inputs!$B$4&lt;&gt;"pvp",Inputs!$B$35&gt;0),((Skills!F8*((S40-1)*IF(Skills!G8&gt;0,Skills!H8/Skills!G8,1)+IF(Skills!G8&gt;0,MIN(Skills!H8,MAX(0,Inputs!$B$35-((S40-1)*IF(Inputs!$B$4="pvp",15,MAX(0.1,Skills!D8-IF(Skills!E8=TRUE,Inputs!$B$31,0))))))/Skills!G8,1)))/Inputs!$B$35),G40*V40)*IF(Inputs!$B$4="pvp",1,(1-Summary!$B$48)*(1)+Summary!$B$48*(MIN(Skills!Q8,Inputs!$B$37))),0)</f>
        <v/>
      </c>
      <c r="P40">
        <f>IF(B70=0,0,O40/B70)</f>
        <v/>
      </c>
      <c r="S40">
        <f>IF(AND(Inputs!$B$4&lt;&gt;"pvp",Inputs!$B$35&gt;0),(INT(Inputs!$B$35/IF(Inputs!$B$4="pvp",15,MAX(0.1,Skills!D8-IF(Skills!E8=TRUE,Inputs!$B$31,0))))+1),0)</f>
        <v/>
      </c>
      <c r="V40">
        <f>IFERROR(1/IF(Inputs!$B$4="pvp",15,MAX(0.1,Skills!D8-IF(Skills!E8=TRUE,Inputs!$B$31,0))),0)</f>
        <v/>
      </c>
    </row>
    <row r="41">
      <c r="A41">
        <f>Skills!A9</f>
        <v/>
      </c>
      <c r="B41">
        <f>Skills!B9</f>
        <v/>
      </c>
      <c r="C41">
        <f>Inputs!$B$3&gt;=115</f>
        <v/>
      </c>
      <c r="D41">
        <f>IF(Skills!C9=1,60+Inputs!$B$24+Inputs!$B$28,IF(Skills!C9=2,90+Inputs!$B$25+Inputs!$B$28,IF(Skills!C9=3,120+Inputs!$B$26+Inputs!$B$28,MAX(0,(Inputs!$B$3-100)*3)+Inputs!$B$27+Inputs!$B$28)))</f>
        <v/>
      </c>
      <c r="E41">
        <f>INDEX(FactorTable!$B$2:$Y$301, MATCH(ROUND(MIN(300,MAX(1,D41)),0), FactorTable!$A$2:$A$301,0), Skills!L9+1)</f>
        <v/>
      </c>
      <c r="F41">
        <f>IF(Skills!M9=TRUE,(Skills!K9/10)*(E41/1000),Skills!K9/10)+Skills!N9</f>
        <v/>
      </c>
      <c r="G41">
        <f>Calc!G9</f>
        <v/>
      </c>
      <c r="H41">
        <f>Calc!H9</f>
        <v/>
      </c>
      <c r="I41">
        <f>IF(Skills!T9&lt;&gt;"",1+(Skills!T9/10)*($Z$3/1000)/100,1)</f>
        <v/>
      </c>
      <c r="J41">
        <f>((Inputs!$B$5*(1+Inputs!$B$6/100))+(((Inputs!$B$11+1)*(1+Inputs!$B$12/100))-(Inputs!$B$11*(1+Inputs!$B$12/100)))*(1+Inputs!$B$6/100))*(F41/100)</f>
        <v/>
      </c>
      <c r="K41">
        <f>J41*(1+(((Inputs!$B$11+1)*(1+Inputs!$B$12/100))*0.01+Inputs!$B$13*0.0025)/100)*(1+(Inputs!$B$14+B63)/100)*(1+IF(Inputs!$B$4="pvp",0,(1-Summary!$B$48)*(Inputs!$B$19+Skills!O9+B61)+Summary!$B$48*(Inputs!$B$20+Skills!P9+B62))/100)*(1+Inputs!$B$15/100)*(5000/(6000+Inputs!$B$7*(1-Inputs!$B$18/100)))*(1+Inputs!$B$23/100)*(1+IF(C49=TRUE,F49,0)/100)*(1+IF(C51=TRUE,F51,0)/100)*(1+IF(Skills!A9="TRIUMPH_FEATHER",IF(C47=TRUE,F47,0),0)/100)*(1+IF(C58=TRUE,F58,0)/100)^5*(1+(IF(Skills!A9="BIG_BANG",Inputs!$B$16,Inputs!$B$17))/100)*(B60*I41)</f>
        <v/>
      </c>
      <c r="L41">
        <f>K41*(MIN(Inputs!$B$21+(F53-Calc!F21),Inputs!$B$22)/100+Inputs!$B$22/100)/2</f>
        <v/>
      </c>
      <c r="M41">
        <f>L41*(1+(Inputs!$B$9+B64+(F56-Calc!F24))/100)</f>
        <v/>
      </c>
      <c r="N41">
        <f>L41*(1-MIN(Inputs!$B$8+((F55-Calc!F23)+(F54-Calc!F22)),100)/100)+M41*(MIN(Inputs!$B$8+((F55-Calc!F23)+(F54-Calc!F22)),100)/100)</f>
        <v/>
      </c>
      <c r="O41">
        <f>IF(C41,H41*N41*IF(AND(Inputs!$B$4&lt;&gt;"pvp",Inputs!$B$35&gt;0),((Skills!F9*((S41-1)*IF(Skills!G9&gt;0,Skills!H9/Skills!G9,1)+IF(Skills!G9&gt;0,MIN(Skills!H9,MAX(0,Inputs!$B$35-((S41-1)*IF(Inputs!$B$4="pvp",15,MAX(0.1,Skills!D9-IF(Skills!E9=TRUE,Inputs!$B$31,0))))))/Skills!G9,1)))/Inputs!$B$35),G41*V41)*IF(Inputs!$B$4="pvp",1,(1-Summary!$B$48)*(1)+Summary!$B$48*(MIN(Skills!Q9,Inputs!$B$37))),0)</f>
        <v/>
      </c>
      <c r="P41">
        <f>IF(B70=0,0,O41/B70)</f>
        <v/>
      </c>
      <c r="S41">
        <f>IF(AND(Inputs!$B$4&lt;&gt;"pvp",Inputs!$B$35&gt;0),(INT(Inputs!$B$35/IF(Inputs!$B$4="pvp",15,MAX(0.1,Skills!D9-IF(Skills!E9=TRUE,Inputs!$B$31,0))))+1),0)</f>
        <v/>
      </c>
      <c r="V41">
        <f>IFERROR(1/IF(Inputs!$B$4="pvp",15,MAX(0.1,Skills!D9-IF(Skills!E9=TRUE,Inputs!$B$31,0))),0)</f>
        <v/>
      </c>
    </row>
    <row r="42">
      <c r="A42">
        <f>Skills!A10</f>
        <v/>
      </c>
      <c r="B42">
        <f>Skills!B10</f>
        <v/>
      </c>
      <c r="C42">
        <f>Inputs!$B$3&gt;=66</f>
        <v/>
      </c>
      <c r="D42">
        <f>IF(Skills!C10=1,60+Inputs!$B$24+Inputs!$B$28,IF(Skills!C10=2,90+Inputs!$B$25+Inputs!$B$28,IF(Skills!C10=3,120+Inputs!$B$26+Inputs!$B$28,MAX(0,(Inputs!$B$3-100)*3)+Inputs!$B$27+Inputs!$B$28)))</f>
        <v/>
      </c>
      <c r="E42">
        <f>INDEX(FactorTable!$B$2:$Y$301, MATCH(ROUND(MIN(300,MAX(1,D42)),0), FactorTable!$A$2:$A$301,0), Skills!L10+1)</f>
        <v/>
      </c>
      <c r="F42" t="n">
        <v>0</v>
      </c>
      <c r="G42">
        <f>Calc!G10</f>
        <v/>
      </c>
      <c r="H42">
        <f>Calc!H10</f>
        <v/>
      </c>
      <c r="I42">
        <f>IF(Skills!T10&lt;&gt;"",1+(Skills!T10/10)*($Z$3/1000)/100,1)</f>
        <v/>
      </c>
      <c r="J42" t="inlineStr"/>
      <c r="K42" t="inlineStr"/>
      <c r="L42" t="inlineStr"/>
      <c r="M42" t="inlineStr"/>
      <c r="N42" t="inlineStr"/>
      <c r="O42" t="n">
        <v>0</v>
      </c>
      <c r="P42">
        <f>IF(B70=0,0,O42/B70)</f>
        <v/>
      </c>
      <c r="S42">
        <f>IF(AND(Inputs!$B$4&lt;&gt;"pvp",Inputs!$B$35&gt;0),(INT(Inputs!$B$35/IF(Inputs!$B$4="pvp",15,MAX(0.1,Skills!D10-IF(Skills!E10=TRUE,Inputs!$B$31,0))))+1),0)</f>
        <v/>
      </c>
      <c r="V42">
        <f>IFERROR(1/IF(Inputs!$B$4="pvp",15,MAX(0.1,Skills!D10-IF(Skills!E10=TRUE,Inputs!$B$31,0))),0)</f>
        <v/>
      </c>
    </row>
    <row r="43">
      <c r="A43">
        <f>Skills!A11</f>
        <v/>
      </c>
      <c r="B43">
        <f>Skills!B11</f>
        <v/>
      </c>
      <c r="C43">
        <f>Inputs!$B$3&gt;=69</f>
        <v/>
      </c>
      <c r="D43">
        <f>IF(Skills!C11=1,60+Inputs!$B$24+Inputs!$B$28,IF(Skills!C11=2,90+Inputs!$B$25+Inputs!$B$28,IF(Skills!C11=3,120+Inputs!$B$26+Inputs!$B$28,MAX(0,(Inputs!$B$3-100)*3)+Inputs!$B$27+Inputs!$B$28)))</f>
        <v/>
      </c>
      <c r="E43">
        <f>INDEX(FactorTable!$B$2:$Y$301, MATCH(ROUND(MIN(300,MAX(1,D43)),0), FactorTable!$A$2:$A$301,0), Skills!L11+1)</f>
        <v/>
      </c>
      <c r="F43">
        <f>IF(Skills!M11=TRUE,(Skills!K11/10)*(E43/1000),Skills!K11/10)+Skills!N11</f>
        <v/>
      </c>
      <c r="G43">
        <f>Calc!G11</f>
        <v/>
      </c>
      <c r="H43">
        <f>Calc!H11</f>
        <v/>
      </c>
      <c r="I43">
        <f>IF(Skills!T11&lt;&gt;"",1+(Skills!T11/10)*($Z$3/1000)/100,1)</f>
        <v/>
      </c>
      <c r="J43" t="inlineStr"/>
      <c r="K43" t="inlineStr"/>
      <c r="L43" t="inlineStr"/>
      <c r="M43" t="inlineStr"/>
      <c r="N43" t="inlineStr"/>
      <c r="O43" t="n">
        <v>0</v>
      </c>
      <c r="P43">
        <f>IF(B70=0,0,O43/B70)</f>
        <v/>
      </c>
      <c r="S43">
        <f>IF(AND(Inputs!$B$4&lt;&gt;"pvp",Inputs!$B$35&gt;0),(INT(Inputs!$B$35/IF(Inputs!$B$4="pvp",15,MAX(0.1,Skills!D11-IF(Skills!E11=TRUE,Inputs!$B$31,0))))+1),0)</f>
        <v/>
      </c>
      <c r="V43">
        <f>IFERROR(1/IF(Inputs!$B$4="pvp",15,MAX(0.1,Skills!D11-IF(Skills!E11=TRUE,Inputs!$B$31,0))),0)</f>
        <v/>
      </c>
    </row>
    <row r="44">
      <c r="A44">
        <f>Skills!A12</f>
        <v/>
      </c>
      <c r="B44">
        <f>Skills!B12</f>
        <v/>
      </c>
      <c r="C44">
        <f>Inputs!$B$3&gt;=72</f>
        <v/>
      </c>
      <c r="D44">
        <f>IF(Skills!C12=1,60+Inputs!$B$24+Inputs!$B$28,IF(Skills!C12=2,90+Inputs!$B$25+Inputs!$B$28,IF(Skills!C12=3,120+Inputs!$B$26+Inputs!$B$28,MAX(0,(Inputs!$B$3-100)*3)+Inputs!$B$27+Inputs!$B$28)))</f>
        <v/>
      </c>
      <c r="E44">
        <f>INDEX(FactorTable!$B$2:$Y$301, MATCH(ROUND(MIN(300,MAX(1,D44)),0), FactorTable!$A$2:$A$301,0), Skills!L12+1)</f>
        <v/>
      </c>
      <c r="F44">
        <f>IF(Skills!M12=TRUE,(Skills!K12/10)*(E44/1000),Skills!K12/10)+Skills!N12</f>
        <v/>
      </c>
      <c r="G44">
        <f>Calc!G12</f>
        <v/>
      </c>
      <c r="H44">
        <f>Calc!H12</f>
        <v/>
      </c>
      <c r="I44">
        <f>IF(Skills!T12&lt;&gt;"",1+(Skills!T12/10)*($Z$3/1000)/100,1)</f>
        <v/>
      </c>
      <c r="J44" t="inlineStr"/>
      <c r="K44" t="inlineStr"/>
      <c r="L44" t="inlineStr"/>
      <c r="M44" t="inlineStr"/>
      <c r="N44" t="inlineStr"/>
      <c r="O44" t="n">
        <v>0</v>
      </c>
      <c r="P44">
        <f>IF(B70=0,0,O44/B70)</f>
        <v/>
      </c>
      <c r="S44">
        <f>IF(AND(Inputs!$B$4&lt;&gt;"pvp",Inputs!$B$35&gt;0),(INT(Inputs!$B$35/IF(Inputs!$B$4="pvp",15,MAX(0.1,Skills!D12-IF(Skills!E12=TRUE,Inputs!$B$31,0))))+1),0)</f>
        <v/>
      </c>
      <c r="V44">
        <f>IFERROR(1/IF(Inputs!$B$4="pvp",15,MAX(0.1,Skills!D12-IF(Skills!E12=TRUE,Inputs!$B$31,0))),0)</f>
        <v/>
      </c>
    </row>
    <row r="45">
      <c r="A45">
        <f>Skills!A13</f>
        <v/>
      </c>
      <c r="B45">
        <f>Skills!B13</f>
        <v/>
      </c>
      <c r="C45">
        <f>Inputs!$B$3&gt;=107</f>
        <v/>
      </c>
      <c r="D45">
        <f>IF(Skills!C13=1,60+Inputs!$B$24+Inputs!$B$28,IF(Skills!C13=2,90+Inputs!$B$25+Inputs!$B$28,IF(Skills!C13=3,120+Inputs!$B$26+Inputs!$B$28,MAX(0,(Inputs!$B$3-100)*3)+Inputs!$B$27+Inputs!$B$28)))</f>
        <v/>
      </c>
      <c r="E45">
        <f>INDEX(FactorTable!$B$2:$Y$301, MATCH(ROUND(MIN(300,MAX(1,D45)),0), FactorTable!$A$2:$A$301,0), Skills!L13+1)</f>
        <v/>
      </c>
      <c r="F45">
        <f>IF(Skills!M13=TRUE,(Skills!K13/10)*(E45/1000),Skills!K13/10)+Skills!N13</f>
        <v/>
      </c>
      <c r="G45">
        <f>Calc!G13</f>
        <v/>
      </c>
      <c r="H45">
        <f>Calc!H13</f>
        <v/>
      </c>
      <c r="I45">
        <f>IF(Skills!T13&lt;&gt;"",1+(Skills!T13/10)*($Z$3/1000)/100,1)</f>
        <v/>
      </c>
      <c r="J45" t="inlineStr"/>
      <c r="K45" t="inlineStr"/>
      <c r="L45" t="inlineStr"/>
      <c r="M45" t="inlineStr"/>
      <c r="N45" t="inlineStr"/>
      <c r="O45" t="n">
        <v>0</v>
      </c>
      <c r="P45">
        <f>IF(B70=0,0,O45/B70)</f>
        <v/>
      </c>
      <c r="S45">
        <f>IF(AND(Inputs!$B$4&lt;&gt;"pvp",Inputs!$B$35&gt;0),(INT(Inputs!$B$35/IF(Inputs!$B$4="pvp",15,MAX(0.1,Skills!D13-IF(Skills!E13=TRUE,Inputs!$B$31,0))))+1),0)</f>
        <v/>
      </c>
      <c r="V45">
        <f>IFERROR(1/IF(Inputs!$B$4="pvp",15,MAX(0.1,Skills!D13-IF(Skills!E13=TRUE,Inputs!$B$31,0))),0)</f>
        <v/>
      </c>
    </row>
    <row r="46">
      <c r="A46">
        <f>Skills!A14</f>
        <v/>
      </c>
      <c r="B46">
        <f>Skills!B14</f>
        <v/>
      </c>
      <c r="C46">
        <f>Inputs!$B$3&gt;=63</f>
        <v/>
      </c>
      <c r="D46">
        <f>IF(Skills!C14=1,60+Inputs!$B$24+Inputs!$B$28,IF(Skills!C14=2,90+Inputs!$B$25+Inputs!$B$28,IF(Skills!C14=3,120+Inputs!$B$26+Inputs!$B$28,MAX(0,(Inputs!$B$3-100)*3)+Inputs!$B$27+Inputs!$B$28)))</f>
        <v/>
      </c>
      <c r="E46">
        <f>INDEX(FactorTable!$B$2:$Y$301, MATCH(ROUND(MIN(300,MAX(1,D46)),0), FactorTable!$A$2:$A$301,0), Skills!L14+1)</f>
        <v/>
      </c>
      <c r="F46">
        <f>IF(Skills!M14=TRUE,(Skills!K14/10)*(E46/1000),Skills!K14/10)+Skills!N14</f>
        <v/>
      </c>
      <c r="G46">
        <f>Calc!G14</f>
        <v/>
      </c>
      <c r="H46">
        <f>Calc!H14</f>
        <v/>
      </c>
      <c r="I46">
        <f>IF(Skills!T14&lt;&gt;"",1+(Skills!T14/10)*($Z$3/1000)/100,1)</f>
        <v/>
      </c>
      <c r="J46">
        <f>((Inputs!$B$5*(1+Inputs!$B$6/100))+(((Inputs!$B$11+1)*(1+Inputs!$B$12/100))-(Inputs!$B$11*(1+Inputs!$B$12/100)))*(1+Inputs!$B$6/100))*(F46/100)</f>
        <v/>
      </c>
      <c r="K46">
        <f>J46*(1+(((Inputs!$B$11+1)*(1+Inputs!$B$12/100))*0.01+Inputs!$B$13*0.0025)/100)*(1+(Inputs!$B$14+B63)/100)*(1+IF(Inputs!$B$4="pvp",0,(1-Summary!$B$48)*(Inputs!$B$19+Skills!O14+B61)+Summary!$B$48*(Inputs!$B$20+Skills!P14+B62))/100)*(1+Inputs!$B$15/100)*(5000/(6000+Inputs!$B$7*(1-Inputs!$B$18/100)))*(1+Inputs!$B$23/100)*(1+IF(C49=TRUE,F49,0)/100)*(1+IF(C51=TRUE,F51,0)/100)*(1+IF(Skills!A14="TRIUMPH_FEATHER",IF(C47=TRUE,F47,0),0)/100)*(1+IF(C58=TRUE,F58,0)/100)^5*(1+(IF(Skills!A14="BIG_BANG",Inputs!$B$16,Inputs!$B$17))/100)*(B60*I46)</f>
        <v/>
      </c>
      <c r="L46">
        <f>K46*(MIN(Inputs!$B$21+(F53-Calc!F21),Inputs!$B$22)/100+Inputs!$B$22/100)/2</f>
        <v/>
      </c>
      <c r="M46">
        <f>L46*(1+(Inputs!$B$9+B64+(F56-Calc!F24))/100)</f>
        <v/>
      </c>
      <c r="N46">
        <f>L46*(1-MIN(Inputs!$B$8+((F55-Calc!F23)+(F54-Calc!F22)),100)/100)+M46*(MIN(Inputs!$B$8+((F55-Calc!F23)+(F54-Calc!F22)),100)/100)</f>
        <v/>
      </c>
      <c r="O46">
        <f>IF(C46,Skills!F14*N46*((IF(Inputs!$B$3&gt;=78,25,15)/100*B66*10)/(1+IF(Inputs!$B$3&gt;=78,25,15)/100*B66*10))*(Skills!I14/100*B66)/(1+Skills!G14*Skills!I14/100*B66)*IF(Inputs!$B$4="pvp",1,(1-Summary!$B$48)*(1)+Summary!$B$48*(MIN(Skills!Q14,Inputs!$B$37))),0)</f>
        <v/>
      </c>
      <c r="P46">
        <f>IF(B70=0,0,O46/B70)</f>
        <v/>
      </c>
      <c r="S46" t="n">
        <v>0</v>
      </c>
      <c r="V46">
        <f>IFERROR(1/IF(Inputs!$B$4="pvp",15,MAX(0.1,Skills!D14-IF(Skills!E14=TRUE,Inputs!$B$31,0))),0)</f>
        <v/>
      </c>
    </row>
    <row r="47">
      <c r="A47">
        <f>Skills!A15</f>
        <v/>
      </c>
      <c r="B47">
        <f>Skills!B15</f>
        <v/>
      </c>
      <c r="C47">
        <f>Inputs!$B$3&gt;=100</f>
        <v/>
      </c>
      <c r="D47">
        <f>IF(Skills!C15=1,60+Inputs!$B$24+Inputs!$B$28,IF(Skills!C15=2,90+Inputs!$B$25+Inputs!$B$28,IF(Skills!C15=3,120+Inputs!$B$26+Inputs!$B$28,MAX(0,(Inputs!$B$3-100)*3)+Inputs!$B$27+Inputs!$B$28)))</f>
        <v/>
      </c>
      <c r="E47">
        <f>INDEX(FactorTable!$B$2:$Y$301, MATCH(ROUND(MIN(300,MAX(1,D47)),0), FactorTable!$A$2:$A$301,0), Skills!L15+1)</f>
        <v/>
      </c>
      <c r="F47">
        <f>IF(Skills!M15=TRUE,(Skills!K15/10)*(E47/1000),Skills!K15/10)+Skills!N15</f>
        <v/>
      </c>
      <c r="G47">
        <f>Calc!G15</f>
        <v/>
      </c>
      <c r="H47">
        <f>Calc!H15</f>
        <v/>
      </c>
      <c r="I47">
        <f>IF(Skills!T15&lt;&gt;"",1+(Skills!T15/10)*($Z$3/1000)/100,1)</f>
        <v/>
      </c>
      <c r="J47" t="inlineStr"/>
      <c r="K47" t="inlineStr"/>
      <c r="L47" t="inlineStr"/>
      <c r="M47" t="inlineStr"/>
      <c r="N47" t="inlineStr"/>
      <c r="O47" t="n">
        <v>0</v>
      </c>
      <c r="P47">
        <f>IF(B70=0,0,O47/B70)</f>
        <v/>
      </c>
      <c r="S47" t="n">
        <v>0</v>
      </c>
      <c r="V47">
        <f>IFERROR(1/IF(Inputs!$B$4="pvp",15,MAX(0.1,Skills!D15-IF(Skills!E15=TRUE,Inputs!$B$31,0))),0)</f>
        <v/>
      </c>
    </row>
    <row r="48">
      <c r="A48">
        <f>Skills!A16</f>
        <v/>
      </c>
      <c r="B48">
        <f>Skills!B16</f>
        <v/>
      </c>
      <c r="C48">
        <f>Inputs!$B$3&gt;=49</f>
        <v/>
      </c>
      <c r="D48">
        <f>IF(Skills!C16=1,60+Inputs!$B$24+Inputs!$B$28,IF(Skills!C16=2,90+Inputs!$B$25+Inputs!$B$28,IF(Skills!C16=3,120+Inputs!$B$26+Inputs!$B$28,MAX(0,(Inputs!$B$3-100)*3)+Inputs!$B$27+Inputs!$B$28)))</f>
        <v/>
      </c>
      <c r="E48">
        <f>INDEX(FactorTable!$B$2:$Y$301, MATCH(ROUND(MIN(300,MAX(1,D48)),0), FactorTable!$A$2:$A$301,0), Skills!L16+1)</f>
        <v/>
      </c>
      <c r="F48">
        <f>IF(Skills!M16=TRUE,(Skills!K16/10)*(E48/1000),Skills!K16/10)+Skills!N16</f>
        <v/>
      </c>
      <c r="G48">
        <f>Calc!G16</f>
        <v/>
      </c>
      <c r="H48">
        <f>Calc!H16</f>
        <v/>
      </c>
      <c r="I48">
        <f>IF(Skills!T16&lt;&gt;"",1+(Skills!T16/10)*($Z$3/1000)/100,1)</f>
        <v/>
      </c>
      <c r="J48" t="inlineStr"/>
      <c r="K48" t="inlineStr"/>
      <c r="L48" t="inlineStr"/>
      <c r="M48" t="inlineStr"/>
      <c r="N48" t="inlineStr"/>
      <c r="O48" t="n">
        <v>0</v>
      </c>
      <c r="P48">
        <f>IF(B70=0,0,O48/B70)</f>
        <v/>
      </c>
      <c r="S48" t="n">
        <v>0</v>
      </c>
      <c r="V48">
        <f>IFERROR(1/IF(Inputs!$B$4="pvp",15,MAX(0.1,Skills!D16-IF(Skills!E16=TRUE,Inputs!$B$31,0))),0)</f>
        <v/>
      </c>
    </row>
    <row r="49">
      <c r="A49">
        <f>Skills!A17</f>
        <v/>
      </c>
      <c r="B49">
        <f>Skills!B17</f>
        <v/>
      </c>
      <c r="C49">
        <f>Inputs!$B$3&gt;=75</f>
        <v/>
      </c>
      <c r="D49">
        <f>IF(Skills!C17=1,60+Inputs!$B$24+Inputs!$B$28,IF(Skills!C17=2,90+Inputs!$B$25+Inputs!$B$28,IF(Skills!C17=3,120+Inputs!$B$26+Inputs!$B$28,MAX(0,(Inputs!$B$3-100)*3)+Inputs!$B$27+Inputs!$B$28)))</f>
        <v/>
      </c>
      <c r="E49">
        <f>INDEX(FactorTable!$B$2:$Y$301, MATCH(ROUND(MIN(300,MAX(1,D49)),0), FactorTable!$A$2:$A$301,0), Skills!L17+1)</f>
        <v/>
      </c>
      <c r="F49">
        <f>IF(Skills!M17=TRUE,(Skills!K17/10)*(E49/1000),Skills!K17/10)+Skills!N17</f>
        <v/>
      </c>
      <c r="G49">
        <f>Calc!G17</f>
        <v/>
      </c>
      <c r="H49">
        <f>Calc!H17</f>
        <v/>
      </c>
      <c r="I49">
        <f>IF(Skills!T17&lt;&gt;"",1+(Skills!T17/10)*($Z$3/1000)/100,1)</f>
        <v/>
      </c>
      <c r="J49" t="inlineStr"/>
      <c r="K49" t="inlineStr"/>
      <c r="L49" t="inlineStr"/>
      <c r="M49" t="inlineStr"/>
      <c r="N49" t="inlineStr"/>
      <c r="O49" t="n">
        <v>0</v>
      </c>
      <c r="P49">
        <f>IF(B70=0,0,O49/B70)</f>
        <v/>
      </c>
      <c r="S49" t="n">
        <v>0</v>
      </c>
      <c r="V49">
        <f>IFERROR(1/IF(Inputs!$B$4="pvp",15,MAX(0.1,Skills!D17-IF(Skills!E17=TRUE,Inputs!$B$31,0))),0)</f>
        <v/>
      </c>
    </row>
    <row r="50">
      <c r="A50">
        <f>Skills!A18</f>
        <v/>
      </c>
      <c r="B50">
        <f>Skills!B18</f>
        <v/>
      </c>
      <c r="C50">
        <f>Inputs!$B$3&gt;=110</f>
        <v/>
      </c>
      <c r="D50">
        <f>IF(Skills!C18=1,60+Inputs!$B$24+Inputs!$B$28,IF(Skills!C18=2,90+Inputs!$B$25+Inputs!$B$28,IF(Skills!C18=3,120+Inputs!$B$26+Inputs!$B$28,MAX(0,(Inputs!$B$3-100)*3)+Inputs!$B$27+Inputs!$B$28)))</f>
        <v/>
      </c>
      <c r="E50">
        <f>INDEX(FactorTable!$B$2:$Y$301, MATCH(ROUND(MIN(300,MAX(1,D50)),0), FactorTable!$A$2:$A$301,0), Skills!L18+1)</f>
        <v/>
      </c>
      <c r="F50">
        <f>(Skills!K18/10)*(E50/1000)*64/45+Skills!N18</f>
        <v/>
      </c>
      <c r="G50">
        <f>Calc!G18</f>
        <v/>
      </c>
      <c r="H50">
        <f>Calc!H18</f>
        <v/>
      </c>
      <c r="I50">
        <f>IF(Skills!T18&lt;&gt;"",1+(Skills!T18/10)*($Z$3/1000)/100,1)</f>
        <v/>
      </c>
      <c r="J50" t="inlineStr"/>
      <c r="K50" t="inlineStr"/>
      <c r="L50" t="inlineStr"/>
      <c r="M50" t="inlineStr"/>
      <c r="N50" t="inlineStr"/>
      <c r="O50" t="n">
        <v>0</v>
      </c>
      <c r="P50">
        <f>IF(B70=0,0,O50/B70)</f>
        <v/>
      </c>
      <c r="S50">
        <f>IF(AND(Inputs!$B$4&lt;&gt;"pvp",Inputs!$B$35&gt;0),(INT(Inputs!$B$35/IF(Inputs!$B$4="pvp",15,MAX(0.1,Skills!D18-IF(Skills!E18=TRUE,Inputs!$B$31,0))))+1),0)</f>
        <v/>
      </c>
      <c r="V50">
        <f>IFERROR(1/IF(Inputs!$B$4="pvp",15,MAX(0.1,Skills!D18-IF(Skills!E18=TRUE,Inputs!$B$31,0))),0)</f>
        <v/>
      </c>
    </row>
    <row r="51">
      <c r="A51">
        <f>Skills!A19</f>
        <v/>
      </c>
      <c r="B51">
        <f>Skills!B19</f>
        <v/>
      </c>
      <c r="C51">
        <f>Inputs!$B$3&gt;=125</f>
        <v/>
      </c>
      <c r="D51">
        <f>IF(Skills!C19=1,60+Inputs!$B$24+Inputs!$B$28,IF(Skills!C19=2,90+Inputs!$B$25+Inputs!$B$28,IF(Skills!C19=3,120+Inputs!$B$26+Inputs!$B$28,MAX(0,(Inputs!$B$3-100)*3)+Inputs!$B$27+Inputs!$B$28)))</f>
        <v/>
      </c>
      <c r="E51">
        <f>INDEX(FactorTable!$B$2:$Y$301, MATCH(ROUND(MIN(300,MAX(1,D51)),0), FactorTable!$A$2:$A$301,0), Skills!L19+1)</f>
        <v/>
      </c>
      <c r="F51">
        <f>IF(Skills!M19=TRUE,(Skills!K19/10)*(E51/1000),Skills!K19/10)+Skills!N19</f>
        <v/>
      </c>
      <c r="G51">
        <f>Calc!G19</f>
        <v/>
      </c>
      <c r="H51">
        <f>Calc!H19</f>
        <v/>
      </c>
      <c r="I51">
        <f>IF(Skills!T19&lt;&gt;"",1+(Skills!T19/10)*($Z$3/1000)/100,1)</f>
        <v/>
      </c>
      <c r="J51" t="inlineStr"/>
      <c r="K51" t="inlineStr"/>
      <c r="L51" t="inlineStr"/>
      <c r="M51" t="inlineStr"/>
      <c r="N51" t="inlineStr"/>
      <c r="O51" t="n">
        <v>0</v>
      </c>
      <c r="P51">
        <f>IF(B70=0,0,O51/B70)</f>
        <v/>
      </c>
      <c r="S51" t="n">
        <v>0</v>
      </c>
      <c r="V51">
        <f>IFERROR(1/IF(Inputs!$B$4="pvp",15,MAX(0.1,Skills!D19-IF(Skills!E19=TRUE,Inputs!$B$31,0))),0)</f>
        <v/>
      </c>
    </row>
    <row r="52">
      <c r="A52">
        <f>Skills!A20</f>
        <v/>
      </c>
      <c r="B52">
        <f>Skills!B20</f>
        <v/>
      </c>
      <c r="C52">
        <f>Inputs!$B$3&gt;=33</f>
        <v/>
      </c>
      <c r="D52">
        <f>IF(Skills!C20=1,60+Inputs!$B$24+Inputs!$B$28,IF(Skills!C20=2,90+Inputs!$B$25+Inputs!$B$28,IF(Skills!C20=3,120+Inputs!$B$26+Inputs!$B$28,MAX(0,(Inputs!$B$3-100)*3)+Inputs!$B$27+Inputs!$B$28)))</f>
        <v/>
      </c>
      <c r="E52">
        <f>INDEX(FactorTable!$B$2:$Y$301, MATCH(ROUND(MIN(300,MAX(1,D52)),0), FactorTable!$A$2:$A$301,0), Skills!L20+1)</f>
        <v/>
      </c>
      <c r="F52">
        <f>IF(Skills!M20=TRUE,(Skills!K20/10)*(E52/1000),Skills!K20/10)+Skills!N20</f>
        <v/>
      </c>
      <c r="G52">
        <f>Calc!G20</f>
        <v/>
      </c>
      <c r="H52">
        <f>Calc!H20</f>
        <v/>
      </c>
      <c r="I52">
        <f>IF(Skills!T20&lt;&gt;"",1+(Skills!T20/10)*($Z$3/1000)/100,1)</f>
        <v/>
      </c>
      <c r="J52" t="inlineStr"/>
      <c r="K52" t="inlineStr"/>
      <c r="L52" t="inlineStr"/>
      <c r="M52" t="inlineStr"/>
      <c r="N52" t="inlineStr"/>
      <c r="O52" t="n">
        <v>0</v>
      </c>
      <c r="P52">
        <f>IF(B70=0,0,O52/B70)</f>
        <v/>
      </c>
      <c r="S52" t="n">
        <v>0</v>
      </c>
      <c r="V52">
        <f>IFERROR(1/IF(Inputs!$B$4="pvp",15,MAX(0.1,Skills!D20-IF(Skills!E20=TRUE,Inputs!$B$31,0))),0)</f>
        <v/>
      </c>
    </row>
    <row r="53">
      <c r="A53">
        <f>Skills!A21</f>
        <v/>
      </c>
      <c r="B53">
        <f>Skills!B21</f>
        <v/>
      </c>
      <c r="C53">
        <f>Inputs!$B$3&gt;=43</f>
        <v/>
      </c>
      <c r="D53">
        <f>IF(Skills!C21=1,60+Inputs!$B$24+Inputs!$B$28,IF(Skills!C21=2,90+Inputs!$B$25+Inputs!$B$28,IF(Skills!C21=3,120+Inputs!$B$26+Inputs!$B$28,MAX(0,(Inputs!$B$3-100)*3)+Inputs!$B$27+Inputs!$B$28)))</f>
        <v/>
      </c>
      <c r="E53">
        <f>INDEX(FactorTable!$B$2:$Y$301, MATCH(ROUND(MIN(300,MAX(1,D53)),0), FactorTable!$A$2:$A$301,0), Skills!L21+1)</f>
        <v/>
      </c>
      <c r="F53">
        <f>IF(Skills!M21=TRUE,(Skills!K21/10)*(E53/1000),Skills!K21/10)+Skills!N21</f>
        <v/>
      </c>
      <c r="G53">
        <f>Calc!G21</f>
        <v/>
      </c>
      <c r="H53">
        <f>Calc!H21</f>
        <v/>
      </c>
      <c r="I53">
        <f>IF(Skills!T21&lt;&gt;"",1+(Skills!T21/10)*($Z$3/1000)/100,1)</f>
        <v/>
      </c>
      <c r="J53" t="inlineStr"/>
      <c r="K53" t="inlineStr"/>
      <c r="L53" t="inlineStr"/>
      <c r="M53" t="inlineStr"/>
      <c r="N53" t="inlineStr"/>
      <c r="O53" t="n">
        <v>0</v>
      </c>
      <c r="P53">
        <f>IF(B70=0,0,O53/B70)</f>
        <v/>
      </c>
      <c r="S53" t="n">
        <v>0</v>
      </c>
      <c r="V53">
        <f>IFERROR(1/IF(Inputs!$B$4="pvp",15,MAX(0.1,Skills!D21-IF(Skills!E21=TRUE,Inputs!$B$31,0))),0)</f>
        <v/>
      </c>
    </row>
    <row r="54">
      <c r="A54">
        <f>Skills!A22</f>
        <v/>
      </c>
      <c r="B54">
        <f>Skills!B22</f>
        <v/>
      </c>
      <c r="C54">
        <f>Inputs!$B$3&gt;=50</f>
        <v/>
      </c>
      <c r="D54">
        <f>IF(Skills!C22=1,60+Inputs!$B$24+Inputs!$B$28,IF(Skills!C22=2,90+Inputs!$B$25+Inputs!$B$28,IF(Skills!C22=3,120+Inputs!$B$26+Inputs!$B$28,MAX(0,(Inputs!$B$3-100)*3)+Inputs!$B$27+Inputs!$B$28)))</f>
        <v/>
      </c>
      <c r="E54">
        <f>INDEX(FactorTable!$B$2:$Y$301, MATCH(ROUND(MIN(300,MAX(1,D54)),0), FactorTable!$A$2:$A$301,0), Skills!L22+1)</f>
        <v/>
      </c>
      <c r="F54">
        <f>IF(Skills!M22=TRUE,(Skills!K22/10)*(E54/1000),Skills!K22/10)+Skills!N22</f>
        <v/>
      </c>
      <c r="G54">
        <f>Calc!G22</f>
        <v/>
      </c>
      <c r="H54">
        <f>Calc!H22</f>
        <v/>
      </c>
      <c r="I54">
        <f>IF(Skills!T22&lt;&gt;"",1+(Skills!T22/10)*($Z$3/1000)/100,1)</f>
        <v/>
      </c>
      <c r="J54" t="inlineStr"/>
      <c r="K54" t="inlineStr"/>
      <c r="L54" t="inlineStr"/>
      <c r="M54" t="inlineStr"/>
      <c r="N54" t="inlineStr"/>
      <c r="O54" t="n">
        <v>0</v>
      </c>
      <c r="P54">
        <f>IF(B70=0,0,O54/B70)</f>
        <v/>
      </c>
      <c r="S54" t="n">
        <v>0</v>
      </c>
      <c r="V54">
        <f>IFERROR(1/IF(Inputs!$B$4="pvp",15,MAX(0.1,Skills!D22-IF(Skills!E22=TRUE,Inputs!$B$31,0))),0)</f>
        <v/>
      </c>
    </row>
    <row r="55">
      <c r="A55">
        <f>Skills!A23</f>
        <v/>
      </c>
      <c r="B55">
        <f>Skills!B23</f>
        <v/>
      </c>
      <c r="C55">
        <f>Inputs!$B$3&gt;=74</f>
        <v/>
      </c>
      <c r="D55">
        <f>IF(Skills!C23=1,60+Inputs!$B$24+Inputs!$B$28,IF(Skills!C23=2,90+Inputs!$B$25+Inputs!$B$28,IF(Skills!C23=3,120+Inputs!$B$26+Inputs!$B$28,MAX(0,(Inputs!$B$3-100)*3)+Inputs!$B$27+Inputs!$B$28)))</f>
        <v/>
      </c>
      <c r="E55">
        <f>INDEX(FactorTable!$B$2:$Y$301, MATCH(ROUND(MIN(300,MAX(1,D55)),0), FactorTable!$A$2:$A$301,0), Skills!L23+1)</f>
        <v/>
      </c>
      <c r="F55">
        <f>IF(Skills!M23=TRUE,(Skills!K23/10)*(E55/1000),Skills!K23/10)+Skills!N23</f>
        <v/>
      </c>
      <c r="G55">
        <f>Calc!G23</f>
        <v/>
      </c>
      <c r="H55">
        <f>Calc!H23</f>
        <v/>
      </c>
      <c r="I55">
        <f>IF(Skills!T23&lt;&gt;"",1+(Skills!T23/10)*($Z$3/1000)/100,1)</f>
        <v/>
      </c>
      <c r="J55" t="inlineStr"/>
      <c r="K55" t="inlineStr"/>
      <c r="L55" t="inlineStr"/>
      <c r="M55" t="inlineStr"/>
      <c r="N55" t="inlineStr"/>
      <c r="O55" t="n">
        <v>0</v>
      </c>
      <c r="P55">
        <f>IF(B70=0,0,O55/B70)</f>
        <v/>
      </c>
      <c r="S55" t="n">
        <v>0</v>
      </c>
      <c r="V55">
        <f>IFERROR(1/IF(Inputs!$B$4="pvp",15,MAX(0.1,Skills!D23-IF(Skills!E23=TRUE,Inputs!$B$31,0))),0)</f>
        <v/>
      </c>
    </row>
    <row r="56">
      <c r="A56">
        <f>Skills!A24</f>
        <v/>
      </c>
      <c r="B56">
        <f>Skills!B24</f>
        <v/>
      </c>
      <c r="C56">
        <f>Inputs!$B$3&gt;=74</f>
        <v/>
      </c>
      <c r="D56">
        <f>IF(Skills!C24=1,60+Inputs!$B$24+Inputs!$B$28,IF(Skills!C24=2,90+Inputs!$B$25+Inputs!$B$28,IF(Skills!C24=3,120+Inputs!$B$26+Inputs!$B$28,MAX(0,(Inputs!$B$3-100)*3)+Inputs!$B$27+Inputs!$B$28)))</f>
        <v/>
      </c>
      <c r="E56">
        <f>INDEX(FactorTable!$B$2:$Y$301, MATCH(ROUND(MIN(300,MAX(1,D56)),0), FactorTable!$A$2:$A$301,0), Skills!L24+1)</f>
        <v/>
      </c>
      <c r="F56">
        <f>IF(Skills!M24=TRUE,(Skills!K24/10)*(E56/1000),Skills!K24/10)+Skills!N24</f>
        <v/>
      </c>
      <c r="G56">
        <f>Calc!G24</f>
        <v/>
      </c>
      <c r="H56">
        <f>Calc!H24</f>
        <v/>
      </c>
      <c r="I56">
        <f>IF(Skills!T24&lt;&gt;"",1+(Skills!T24/10)*($Z$3/1000)/100,1)</f>
        <v/>
      </c>
      <c r="J56" t="inlineStr"/>
      <c r="K56" t="inlineStr"/>
      <c r="L56" t="inlineStr"/>
      <c r="M56" t="inlineStr"/>
      <c r="N56" t="inlineStr"/>
      <c r="O56" t="n">
        <v>0</v>
      </c>
      <c r="P56">
        <f>IF(B70=0,0,O56/B70)</f>
        <v/>
      </c>
      <c r="S56" t="n">
        <v>0</v>
      </c>
      <c r="V56">
        <f>IFERROR(1/IF(Inputs!$B$4="pvp",15,MAX(0.1,Skills!D24-IF(Skills!E24=TRUE,Inputs!$B$31,0))),0)</f>
        <v/>
      </c>
    </row>
    <row r="57">
      <c r="A57">
        <f>Skills!A25</f>
        <v/>
      </c>
      <c r="B57">
        <f>Skills!B25</f>
        <v/>
      </c>
      <c r="C57">
        <f>Inputs!$B$3&gt;=117</f>
        <v/>
      </c>
      <c r="D57">
        <f>IF(Skills!C25=1,60+Inputs!$B$24+Inputs!$B$28,IF(Skills!C25=2,90+Inputs!$B$25+Inputs!$B$28,IF(Skills!C25=3,120+Inputs!$B$26+Inputs!$B$28,MAX(0,(Inputs!$B$3-100)*3)+Inputs!$B$27+Inputs!$B$28)))</f>
        <v/>
      </c>
      <c r="E57">
        <f>INDEX(FactorTable!$B$2:$Y$301, MATCH(ROUND(MIN(300,MAX(1,D57)),0), FactorTable!$A$2:$A$301,0), Skills!L25+1)</f>
        <v/>
      </c>
      <c r="F57">
        <f>IF(Skills!M25=TRUE,(Skills!K25/10)*(E57/1000),Skills!K25/10)+Skills!N25</f>
        <v/>
      </c>
      <c r="G57">
        <f>Calc!G25</f>
        <v/>
      </c>
      <c r="H57">
        <f>Calc!H25</f>
        <v/>
      </c>
      <c r="I57">
        <f>IF(Skills!T25&lt;&gt;"",1+(Skills!T25/10)*($Z$3/1000)/100,1)</f>
        <v/>
      </c>
      <c r="J57" t="inlineStr"/>
      <c r="K57" t="inlineStr"/>
      <c r="L57" t="inlineStr"/>
      <c r="M57" t="inlineStr"/>
      <c r="N57" t="inlineStr"/>
      <c r="O57" t="n">
        <v>0</v>
      </c>
      <c r="P57">
        <f>IF(B70=0,0,O57/B70)</f>
        <v/>
      </c>
      <c r="S57" t="n">
        <v>0</v>
      </c>
      <c r="V57">
        <f>IFERROR(1/IF(Inputs!$B$4="pvp",15,MAX(0.1,Skills!D25-IF(Skills!E25=TRUE,Inputs!$B$31,0))),0)</f>
        <v/>
      </c>
    </row>
    <row r="58">
      <c r="A58">
        <f>Skills!A26</f>
        <v/>
      </c>
      <c r="B58">
        <f>Skills!B26</f>
        <v/>
      </c>
      <c r="C58">
        <f>Inputs!$B$3&gt;=120</f>
        <v/>
      </c>
      <c r="D58">
        <f>IF(Skills!C26=1,60+Inputs!$B$24+Inputs!$B$28,IF(Skills!C26=2,90+Inputs!$B$25+Inputs!$B$28,IF(Skills!C26=3,120+Inputs!$B$26+Inputs!$B$28,MAX(0,(Inputs!$B$3-100)*3)+Inputs!$B$27+Inputs!$B$28)))</f>
        <v/>
      </c>
      <c r="E58">
        <f>INDEX(FactorTable!$B$2:$Y$301, MATCH(ROUND(MIN(300,MAX(1,D58)),0), FactorTable!$A$2:$A$301,0), Skills!L26+1)</f>
        <v/>
      </c>
      <c r="F58">
        <f>IF(Skills!M26=TRUE,(Skills!K26/10)*(E58/1000),Skills!K26/10)+Skills!N26</f>
        <v/>
      </c>
      <c r="G58">
        <f>Calc!G26</f>
        <v/>
      </c>
      <c r="H58">
        <f>Calc!H26</f>
        <v/>
      </c>
      <c r="I58">
        <f>IF(Skills!T26&lt;&gt;"",1+(Skills!T26/10)*($Z$3/1000)/100,1)</f>
        <v/>
      </c>
      <c r="J58" t="inlineStr"/>
      <c r="K58" t="inlineStr"/>
      <c r="L58" t="inlineStr"/>
      <c r="M58" t="inlineStr"/>
      <c r="N58" t="inlineStr"/>
      <c r="O58" t="n">
        <v>0</v>
      </c>
      <c r="P58">
        <f>IF(B70=0,0,O58/B70)</f>
        <v/>
      </c>
      <c r="S58" t="n">
        <v>0</v>
      </c>
      <c r="V58">
        <f>IFERROR(1/IF(Inputs!$B$4="pvp",15,MAX(0.1,Skills!D26-IF(Skills!E26=TRUE,Inputs!$B$31,0))),0)</f>
        <v/>
      </c>
    </row>
    <row r="60">
      <c r="A60" t="inlineStr">
        <is>
          <t>Average Buff Multiplier</t>
        </is>
      </c>
      <c r="B60">
        <f>(1+(IF(C35=TRUE,F35*IF(AND(Inputs!$B$4&lt;&gt;"pvp",Inputs!$B$35&gt;0),(((S35-1)*(Skills!S3*(1+(Inputs!$B$33+IF(Inputs!$B$3&gt;=117,F57,0))/100))+MIN((Skills!S3*(1+(Inputs!$B$33+IF(Inputs!$B$3&gt;=117,F57,0))/100)),MAX(0,Inputs!$B$35-((S35-1)*Skills!D3))))/Inputs!$B$35),IF(Inputs!$B$4="pvp",MIN((Skills!S3*(1+(Inputs!$B$33+IF(Inputs!$B$3&gt;=117,F57,0))/100)),15)/15,(Skills!S3*(1+(Inputs!$B$33+IF(Inputs!$B$3&gt;=117,F57,0))/100))/Skills!D3)),0)+IF(C36=TRUE,F36*IF(AND(Inputs!$B$4&lt;&gt;"pvp",Inputs!$B$35&gt;0),(((S36-1)*(Skills!S4*(1+(Inputs!$B$33+IF(Inputs!$B$3&gt;=117,F57,0))/100))+MIN((Skills!S4*(1+(Inputs!$B$33+IF(Inputs!$B$3&gt;=117,F57,0))/100)),MAX(0,Inputs!$B$35-((S36-1)*Skills!D4))))/Inputs!$B$35),IF(Inputs!$B$4="pvp",MIN((Skills!S4*(1+(Inputs!$B$33+IF(Inputs!$B$3&gt;=117,F57,0))/100)),15)/15,(Skills!S4*(1+(Inputs!$B$33+IF(Inputs!$B$3&gt;=117,F57,0))/100))/Skills!D4)),0)+IF(C37=TRUE,F37*IF(AND(Inputs!$B$4&lt;&gt;"pvp",Inputs!$B$35&gt;0),(((S37-1)*(Skills!S5*(1+(Inputs!$B$33+IF(Inputs!$B$3&gt;=117,F57,0))/100))+MIN((Skills!S5*(1+(Inputs!$B$33+IF(Inputs!$B$3&gt;=117,F57,0))/100)),MAX(0,Inputs!$B$35-((S37-1)*Skills!D5))))/Inputs!$B$35),IF(Inputs!$B$4="pvp",MIN((Skills!S5*(1+(Inputs!$B$33+IF(Inputs!$B$3&gt;=117,F57,0))/100)),15)/15,(Skills!S5*(1+(Inputs!$B$33+IF(Inputs!$B$3&gt;=117,F57,0))/100))/Skills!D5)),0)+IF(C43=TRUE,F43*IF(AND(Inputs!$B$4&lt;&gt;"pvp",Inputs!$B$35&gt;0),(((S43-1)*(Skills!S11*(1+(Inputs!$B$33+IF(Inputs!$B$3&gt;=117,F57,0))/100))+MIN((Skills!S11*(1+(Inputs!$B$33+IF(Inputs!$B$3&gt;=117,F57,0))/100)),MAX(0,Inputs!$B$35-((S43-1)*Skills!D11))))/Inputs!$B$35),IF(Inputs!$B$4="pvp",MIN((Skills!S11*(1+(Inputs!$B$33+IF(Inputs!$B$3&gt;=117,F57,0))/100)),15)/15,(Skills!S11*(1+(Inputs!$B$33+IF(Inputs!$B$3&gt;=117,F57,0))/100))/Skills!D11)),0))/100)*IF(C45=TRUE,(1+F45*IF(AND(Inputs!$B$4&lt;&gt;"pvp",Inputs!$B$35&gt;0),(((S45-1)*(Skills!S13*(1+(Inputs!$B$33+IF(Inputs!$B$3&gt;=117,F57,0))/100))+MIN((Skills!S13*(1+(Inputs!$B$33+IF(Inputs!$B$3&gt;=117,F57,0))/100)),MAX(0,Inputs!$B$35-((S45-1)*Skills!D13))))/Inputs!$B$35),IF(Inputs!$B$4="pvp",MIN((Skills!S13*(1+(Inputs!$B$33+IF(Inputs!$B$3&gt;=117,F57,0))/100)),15)/15,(Skills!S13*(1+(Inputs!$B$33+IF(Inputs!$B$3&gt;=117,F57,0))/100))/Skills!D13))/100),1)*IF(C50=TRUE,(1+F50*IF(AND(Inputs!$B$4&lt;&gt;"pvp",Inputs!$B$35&gt;0),(((S50-1)*(Skills!S18*(1+(Inputs!$B$33+IF(Inputs!$B$3&gt;=117,F57,0))/100))+MIN((Skills!S18*(1+(Inputs!$B$33+IF(Inputs!$B$3&gt;=117,F57,0))/100)),MAX(0,Inputs!$B$35-((S50-1)*Skills!D18))))/Inputs!$B$35),IF(Inputs!$B$4="pvp",MIN((Skills!S18*(1+(Inputs!$B$33+IF(Inputs!$B$3&gt;=117,F57,0))/100)),15)/15,(Skills!S18*(1+(Inputs!$B$33+IF(Inputs!$B$3&gt;=117,F57,0))/100))/Skills!D18))/100),1)</f>
        <v/>
      </c>
    </row>
    <row r="61">
      <c r="A61" t="inlineStr">
        <is>
          <t>Monster Damage Taken Bonus % (Holy Fountain)</t>
        </is>
      </c>
      <c r="B61">
        <f>IF(Inputs!$B$3&gt;=68,20*IF(Inputs!$B$4="pvp",MIN((15*(1+(Inputs!$B$33+IF(Inputs!$B$3&gt;=117,F57,0))/100)),15)/15,(15*(1+(Inputs!$B$33+IF(Inputs!$B$3&gt;=117,F57,0))/100))/Skills!D10),0)</f>
        <v/>
      </c>
    </row>
    <row r="62">
      <c r="A62" t="inlineStr">
        <is>
          <t>Normal Monster Damage Bonus % (Holy Symbol)</t>
        </is>
      </c>
      <c r="B62">
        <f>IF(C44=TRUE,F44*IF(AND(Inputs!$B$4&lt;&gt;"pvp",Inputs!$B$35&gt;0),(((S44-1)*(Skills!S12*(1+(Inputs!$B$33+IF(Inputs!$B$3&gt;=117,F57,0))/100))+MIN((Skills!S12*(1+(Inputs!$B$33+IF(Inputs!$B$3&gt;=117,F57,0))/100)),MAX(0,Inputs!$B$35-((S44-1)*Skills!D12))))/Inputs!$B$35),IF(Inputs!$B$4="pvp",MIN((Skills!S12*(1+(Inputs!$B$33+IF(Inputs!$B$3&gt;=117,F57,0))/100)),15)/15,(Skills!S12*(1+(Inputs!$B$33+IF(Inputs!$B$3&gt;=117,F57,0))/100))/Skills!D12)),0)</f>
        <v/>
      </c>
    </row>
    <row r="63">
      <c r="A63" t="inlineStr">
        <is>
          <t>Damage % Bonus (Holy Symbol - Damage Boost)</t>
        </is>
      </c>
      <c r="B63">
        <f>Skills!O12</f>
        <v/>
      </c>
    </row>
    <row r="64">
      <c r="A64" t="inlineStr">
        <is>
          <t>Crit Damage % Bonus (Blood of the Divine)</t>
        </is>
      </c>
      <c r="B64">
        <f>4*IF(C51=TRUE,F51,0)</f>
        <v/>
      </c>
    </row>
    <row r="65">
      <c r="A65" t="inlineStr">
        <is>
          <t>Attack Speed Bonus %</t>
        </is>
      </c>
      <c r="B65">
        <f>IF(C48=TRUE,F48+(F52-Calc!F20),0)+IF(Inputs!$B$3&gt;=134,15,0)</f>
        <v/>
      </c>
    </row>
    <row r="66">
      <c r="A66" t="inlineStr">
        <is>
          <t>Actions Per Second</t>
        </is>
      </c>
      <c r="B66">
        <f>1+MIN(150,150*(1-(1-Inputs!$B$10/150)*(1-B65/150)))/100</f>
        <v/>
      </c>
    </row>
    <row r="67">
      <c r="A67" t="inlineStr">
        <is>
          <t>Skill + Buff Cast Rate</t>
        </is>
      </c>
      <c r="B67">
        <f>IF(AND(Inputs!$B$4&lt;&gt;"pvp",Inputs!$B$35&gt;0),SUMPRODUCT((Skills!E2:E26=TRUE)*(C34:C58=TRUE)*S34:S58)/Inputs!$B$35,SUMPRODUCT((Skills!E2:E26=TRUE)*(C34:C58=TRUE)*V34:V58))</f>
        <v/>
      </c>
    </row>
    <row r="68">
      <c r="A68" t="inlineStr">
        <is>
          <t>Big Bang Casts Per Second</t>
        </is>
      </c>
      <c r="B68">
        <f>MAX(0,B66-B67)</f>
        <v/>
      </c>
    </row>
    <row r="70">
      <c r="A70" s="5" t="inlineStr">
        <is>
          <t>TOTAL DPS</t>
        </is>
      </c>
      <c r="B70" s="5">
        <f>SUM(O34:O58)</f>
        <v/>
      </c>
    </row>
    <row r="73">
      <c r="A73" s="5" t="inlineStr">
        <is>
          <t>Stat: INT %</t>
        </is>
      </c>
    </row>
    <row r="74">
      <c r="A74" s="8" t="inlineStr">
        <is>
          <t>Key</t>
        </is>
      </c>
      <c r="B74" s="8" t="inlineStr">
        <is>
          <t>Name</t>
        </is>
      </c>
      <c r="C74" s="8" t="inlineStr">
        <is>
          <t>Unlocked</t>
        </is>
      </c>
      <c r="D74" s="8" t="inlineStr">
        <is>
          <t>InputLevel</t>
        </is>
      </c>
      <c r="E74" s="8" t="inlineStr">
        <is>
          <t>Factor</t>
        </is>
      </c>
      <c r="F74" s="8" t="inlineStr">
        <is>
          <t>CoefficientPercent</t>
        </is>
      </c>
      <c r="G74" s="8" t="inlineStr">
        <is>
          <t>EffectiveHits</t>
        </is>
      </c>
      <c r="H74" s="8" t="inlineStr">
        <is>
          <t>ProcProbability</t>
        </is>
      </c>
      <c r="I74" s="8" t="inlineStr">
        <is>
          <t>MapleHeroMultiplier</t>
        </is>
      </c>
      <c r="J74" s="8" t="inlineStr">
        <is>
          <t>BaseDamage</t>
        </is>
      </c>
      <c r="K74" s="8" t="inlineStr">
        <is>
          <t>BaseHitDamage</t>
        </is>
      </c>
      <c r="L74" s="8" t="inlineStr">
        <is>
          <t>NonCritAvg</t>
        </is>
      </c>
      <c r="M74" s="8" t="inlineStr">
        <is>
          <t>CritAvg</t>
        </is>
      </c>
      <c r="N74" s="8" t="inlineStr">
        <is>
          <t>ExpectedDamage(perHit)</t>
        </is>
      </c>
      <c r="O74" s="8" t="inlineStr">
        <is>
          <t>DPS</t>
        </is>
      </c>
      <c r="P74" s="8" t="inlineStr">
        <is>
          <t>% of Total</t>
        </is>
      </c>
      <c r="R74" t="inlineStr">
        <is>
          <t>helpers</t>
        </is>
      </c>
    </row>
    <row r="75">
      <c r="A75">
        <f>Skills!A2</f>
        <v/>
      </c>
      <c r="B75">
        <f>Skills!B2</f>
        <v/>
      </c>
      <c r="C75">
        <f>Inputs!$B$3&gt;=100</f>
        <v/>
      </c>
      <c r="D75" t="inlineStr"/>
      <c r="E75" t="inlineStr"/>
      <c r="F75">
        <f>T77+Skills!N2</f>
        <v/>
      </c>
      <c r="G75">
        <f>Calc!G2</f>
        <v/>
      </c>
      <c r="H75">
        <f>Calc!H2</f>
        <v/>
      </c>
      <c r="I75">
        <f>IF(Skills!T2&lt;&gt;"",1+(Skills!T2/10)*($Z$3/1000)/100,1)</f>
        <v/>
      </c>
      <c r="J75">
        <f>((Inputs!$B$5*(1+Inputs!$B$6/100))+((Inputs!$B$11*(1+(Inputs!$B$12+1)/100))-(Inputs!$B$11*(1+Inputs!$B$12/100)))*(1+Inputs!$B$6/100))*(F75/100)</f>
        <v/>
      </c>
      <c r="K75">
        <f>J75*(1+((Inputs!$B$11*(1+(Inputs!$B$12+1)/100))*0.01+Inputs!$B$13*0.0025)/100)*(1+(Inputs!$B$14+B104)/100)*(1+IF(Inputs!$B$4="pvp",0,(1-Summary!$B$48)*(Inputs!$B$19+Skills!O2+B102)+Summary!$B$48*(Inputs!$B$20+Skills!P2+B103))/100)*(1+Inputs!$B$15/100)*(5000/(6000+Inputs!$B$7*(1-Inputs!$B$18/100)))*(1+Inputs!$B$23/100)*(1+IF(C90=TRUE,F90,0)/100)*(1+IF(C92=TRUE,F92,0)/100)*(1+IF(Skills!A2="TRIUMPH_FEATHER",IF(C88=TRUE,F88,0),0)/100)*(1+IF(C99=TRUE,F99,0)/100)^5*(1+(IF(Skills!A2="BIG_BANG",Inputs!$B$16,Inputs!$B$17))/100)*(B101*I75)</f>
        <v/>
      </c>
      <c r="L75">
        <f>K75*(MIN(Inputs!$B$21+(F94-Calc!F21),Inputs!$B$22)/100+Inputs!$B$22/100)/2</f>
        <v/>
      </c>
      <c r="M75">
        <f>L75*(1+(Inputs!$B$9+B105+(F97-Calc!F24))/100)</f>
        <v/>
      </c>
      <c r="N75">
        <f>L75*(1-MIN(Inputs!$B$8+((F96-Calc!F23)+(F95-Calc!F22)),100)/100)+M75*(MIN(Inputs!$B$8+((F96-Calc!F23)+(F95-Calc!F22)),100)/100)</f>
        <v/>
      </c>
      <c r="O75">
        <f>IF(C75,Skills!F2*N75*B109*IF(Inputs!$B$4="pvp",1,(1-Summary!$B$48)*(1)+Summary!$B$48*(MIN((6+Inputs!$B$32),Inputs!$B$37))),0)</f>
        <v/>
      </c>
      <c r="P75">
        <f>IF(B111=0,0,O75/B111)</f>
        <v/>
      </c>
      <c r="S75" t="n">
        <v>0</v>
      </c>
      <c r="T75">
        <f>MAX(0,(Inputs!$B$3-100)*3)+Inputs!$B$27+Inputs!$B$28</f>
        <v/>
      </c>
      <c r="V75">
        <f>IFERROR(1/IF(Inputs!$B$4="pvp",15,MAX(0.1,Skills!D2-IF(Skills!E2=TRUE,Inputs!$B$31,0))),0)</f>
        <v/>
      </c>
    </row>
    <row r="76">
      <c r="A76">
        <f>Skills!A3</f>
        <v/>
      </c>
      <c r="B76">
        <f>Skills!B3</f>
        <v/>
      </c>
      <c r="C76">
        <f>Inputs!$B$3&gt;=15</f>
        <v/>
      </c>
      <c r="D76">
        <f>IF(Skills!C3=1,60+Inputs!$B$24+Inputs!$B$28,IF(Skills!C3=2,90+Inputs!$B$25+Inputs!$B$28,IF(Skills!C3=3,120+Inputs!$B$26+Inputs!$B$28,MAX(0,(Inputs!$B$3-100)*3)+Inputs!$B$27+Inputs!$B$28)))</f>
        <v/>
      </c>
      <c r="E76">
        <f>INDEX(FactorTable!$B$2:$Y$301, MATCH(ROUND(MIN(300,MAX(1,D76)),0), FactorTable!$A$2:$A$301,0), Skills!L3+1)</f>
        <v/>
      </c>
      <c r="F76">
        <f>IF(Skills!M3=TRUE,(Skills!K3/10)*(E76/1000),Skills!K3/10)+Skills!N3</f>
        <v/>
      </c>
      <c r="G76">
        <f>Calc!G3</f>
        <v/>
      </c>
      <c r="H76">
        <f>Calc!H3</f>
        <v/>
      </c>
      <c r="I76">
        <f>IF(Skills!T3&lt;&gt;"",1+(Skills!T3/10)*($Z$3/1000)/100,1)</f>
        <v/>
      </c>
      <c r="J76" t="inlineStr"/>
      <c r="K76" t="inlineStr"/>
      <c r="L76" t="inlineStr"/>
      <c r="M76" t="inlineStr"/>
      <c r="N76" t="inlineStr"/>
      <c r="O76" t="n">
        <v>0</v>
      </c>
      <c r="P76">
        <f>IF(B111=0,0,O76/B111)</f>
        <v/>
      </c>
      <c r="S76">
        <f>IF(AND(Inputs!$B$4&lt;&gt;"pvp",Inputs!$B$35&gt;0),(INT(Inputs!$B$35/IF(Inputs!$B$4="pvp",15,MAX(0.1,Skills!D3-IF(Skills!E3=TRUE,Inputs!$B$31,0))))+1),0)</f>
        <v/>
      </c>
      <c r="T76">
        <f>INDEX(FactorTable!$B$2:$Y$301, MATCH(ROUND(MIN(300,MAX(1,T75)),0), FactorTable!$A$2:$A$301,0), 22)</f>
        <v/>
      </c>
      <c r="V76">
        <f>IFERROR(1/IF(Inputs!$B$4="pvp",15,MAX(0.1,Skills!D3-IF(Skills!E3=TRUE,Inputs!$B$31,0))),0)</f>
        <v/>
      </c>
    </row>
    <row r="77">
      <c r="A77">
        <f>Skills!A4</f>
        <v/>
      </c>
      <c r="B77">
        <f>Skills!B4</f>
        <v/>
      </c>
      <c r="C77">
        <f>Inputs!$B$3&gt;=38</f>
        <v/>
      </c>
      <c r="D77">
        <f>IF(Skills!C4=1,60+Inputs!$B$24+Inputs!$B$28,IF(Skills!C4=2,90+Inputs!$B$25+Inputs!$B$28,IF(Skills!C4=3,120+Inputs!$B$26+Inputs!$B$28,MAX(0,(Inputs!$B$3-100)*3)+Inputs!$B$27+Inputs!$B$28)))</f>
        <v/>
      </c>
      <c r="E77">
        <f>INDEX(FactorTable!$B$2:$Y$301, MATCH(ROUND(MIN(300,MAX(1,D77)),0), FactorTable!$A$2:$A$301,0), Skills!L4+1)</f>
        <v/>
      </c>
      <c r="F77">
        <f>IF(Skills!M4=TRUE,(Skills!K4/10)*(E77/1000),Skills!K4/10)+Skills!N4</f>
        <v/>
      </c>
      <c r="G77">
        <f>Calc!G4</f>
        <v/>
      </c>
      <c r="H77">
        <f>Calc!H4</f>
        <v/>
      </c>
      <c r="I77">
        <f>IF(Skills!T4&lt;&gt;"",1+(Skills!T4/10)*($Z$3/1000)/100,1)</f>
        <v/>
      </c>
      <c r="J77" t="inlineStr"/>
      <c r="K77" t="inlineStr"/>
      <c r="L77" t="inlineStr"/>
      <c r="M77" t="inlineStr"/>
      <c r="N77" t="inlineStr"/>
      <c r="O77" t="n">
        <v>0</v>
      </c>
      <c r="P77">
        <f>IF(B111=0,0,O77/B111)</f>
        <v/>
      </c>
      <c r="S77">
        <f>IF(AND(Inputs!$B$4&lt;&gt;"pvp",Inputs!$B$35&gt;0),(INT(Inputs!$B$35/IF(Inputs!$B$4="pvp",15,MAX(0.1,Skills!D4-IF(Skills!E4=TRUE,Inputs!$B$31,0))))+1),0)</f>
        <v/>
      </c>
      <c r="T77">
        <f>290*T76/1000</f>
        <v/>
      </c>
      <c r="V77">
        <f>IFERROR(1/IF(Inputs!$B$4="pvp",15,MAX(0.1,Skills!D4-IF(Skills!E4=TRUE,Inputs!$B$31,0))),0)</f>
        <v/>
      </c>
    </row>
    <row r="78">
      <c r="A78">
        <f>Skills!A5</f>
        <v/>
      </c>
      <c r="B78">
        <f>Skills!B5</f>
        <v/>
      </c>
      <c r="C78">
        <f>Inputs!$B$3&gt;=40</f>
        <v/>
      </c>
      <c r="D78">
        <f>IF(Skills!C5=1,60+Inputs!$B$24+Inputs!$B$28,IF(Skills!C5=2,90+Inputs!$B$25+Inputs!$B$28,IF(Skills!C5=3,120+Inputs!$B$26+Inputs!$B$28,MAX(0,(Inputs!$B$3-100)*3)+Inputs!$B$27+Inputs!$B$28)))</f>
        <v/>
      </c>
      <c r="E78">
        <f>INDEX(FactorTable!$B$2:$Y$301, MATCH(ROUND(MIN(300,MAX(1,D78)),0), FactorTable!$A$2:$A$301,0), Skills!L5+1)</f>
        <v/>
      </c>
      <c r="F78">
        <f>IF(Skills!M5=TRUE,(Skills!K5/10)*(E78/1000),Skills!K5/10)+Skills!N5</f>
        <v/>
      </c>
      <c r="G78">
        <f>Calc!G5</f>
        <v/>
      </c>
      <c r="H78">
        <f>Calc!H5</f>
        <v/>
      </c>
      <c r="I78">
        <f>IF(Skills!T5&lt;&gt;"",1+(Skills!T5/10)*($Z$3/1000)/100,1)</f>
        <v/>
      </c>
      <c r="J78" t="inlineStr"/>
      <c r="K78" t="inlineStr"/>
      <c r="L78" t="inlineStr"/>
      <c r="M78" t="inlineStr"/>
      <c r="N78" t="inlineStr"/>
      <c r="O78" t="n">
        <v>0</v>
      </c>
      <c r="P78">
        <f>IF(B111=0,0,O78/B111)</f>
        <v/>
      </c>
      <c r="S78">
        <f>IF(AND(Inputs!$B$4&lt;&gt;"pvp",Inputs!$B$35&gt;0),(INT(Inputs!$B$35/IF(Inputs!$B$4="pvp",15,MAX(0.1,Skills!D5-IF(Skills!E5=TRUE,Inputs!$B$31,0))))+1),0)</f>
        <v/>
      </c>
      <c r="V78">
        <f>IFERROR(1/IF(Inputs!$B$4="pvp",15,MAX(0.1,Skills!D5-IF(Skills!E5=TRUE,Inputs!$B$31,0))),0)</f>
        <v/>
      </c>
    </row>
    <row r="79">
      <c r="A79">
        <f>Skills!A6</f>
        <v/>
      </c>
      <c r="B79">
        <f>Skills!B6</f>
        <v/>
      </c>
      <c r="C79">
        <f>Inputs!$B$3&gt;=103</f>
        <v/>
      </c>
      <c r="D79">
        <f>IF(Skills!C6=1,60+Inputs!$B$24+Inputs!$B$28,IF(Skills!C6=2,90+Inputs!$B$25+Inputs!$B$28,IF(Skills!C6=3,120+Inputs!$B$26+Inputs!$B$28,MAX(0,(Inputs!$B$3-100)*3)+Inputs!$B$27+Inputs!$B$28)))</f>
        <v/>
      </c>
      <c r="E79">
        <f>INDEX(FactorTable!$B$2:$Y$301, MATCH(ROUND(MIN(300,MAX(1,D79)),0), FactorTable!$A$2:$A$301,0), Skills!L6+1)</f>
        <v/>
      </c>
      <c r="F79">
        <f>IF(Skills!M6=TRUE,(Skills!K6/10)*(E79/1000),Skills!K6/10)+Skills!N6</f>
        <v/>
      </c>
      <c r="G79">
        <f>Calc!G6</f>
        <v/>
      </c>
      <c r="H79">
        <f>Calc!H6</f>
        <v/>
      </c>
      <c r="I79">
        <f>IF(Skills!T6&lt;&gt;"",1+(Skills!T6/10)*($Z$3/1000)/100,1)</f>
        <v/>
      </c>
      <c r="J79">
        <f>((Inputs!$B$5*(1+Inputs!$B$6/100))+((Inputs!$B$11*(1+(Inputs!$B$12+1)/100))-(Inputs!$B$11*(1+Inputs!$B$12/100)))*(1+Inputs!$B$6/100))*(F79/100)</f>
        <v/>
      </c>
      <c r="K79">
        <f>J79*(1+((Inputs!$B$11*(1+(Inputs!$B$12+1)/100))*0.01+Inputs!$B$13*0.0025)/100)*(1+(Inputs!$B$14+B104)/100)*(1+IF(Inputs!$B$4="pvp",0,(1-Summary!$B$48)*(Inputs!$B$19+Skills!O6+B102)+Summary!$B$48*(Inputs!$B$20+Skills!P6+B103))/100)*(1+Inputs!$B$15/100)*(5000/(6000+Inputs!$B$7*(1-Inputs!$B$18/100)))*(1+Inputs!$B$23/100)*(1+IF(C90=TRUE,F90,0)/100)*(1+IF(C92=TRUE,F92,0)/100)*(1+IF(Skills!A6="TRIUMPH_FEATHER",IF(C88=TRUE,F88,0),0)/100)*(1+IF(C99=TRUE,F99,0)/100)^5*(1+(IF(Skills!A6="BIG_BANG",Inputs!$B$16,Inputs!$B$17))/100)*(B101*I79)</f>
        <v/>
      </c>
      <c r="L79">
        <f>K79*(MIN(Inputs!$B$21+(F94-Calc!F21),Inputs!$B$22)/100+Inputs!$B$22/100)/2</f>
        <v/>
      </c>
      <c r="M79">
        <f>L79*(1+(Inputs!$B$9+B105+(F97-Calc!F24))/100)</f>
        <v/>
      </c>
      <c r="N79">
        <f>L79*(1-MIN(Inputs!$B$8+((F96-Calc!F23)+(F95-Calc!F22)),100)/100)+M79*(MIN(Inputs!$B$8+((F96-Calc!F23)+(F95-Calc!F22)),100)/100)</f>
        <v/>
      </c>
      <c r="O79">
        <f>IF(C79,H79*N79*IF(AND(Inputs!$B$4&lt;&gt;"pvp",Inputs!$B$35&gt;0),((Skills!F6*((S79-1)*IF(Skills!G6&gt;0,Skills!H6/Skills!G6,1)+IF(Skills!G6&gt;0,MIN(Skills!H6,MAX(0,Inputs!$B$35-((S79-1)*IF(Inputs!$B$4="pvp",15,MAX(0.1,Skills!D6-IF(Skills!E6=TRUE,Inputs!$B$31,0))))))/Skills!G6,1)))/Inputs!$B$35),G79*V79)*IF(Inputs!$B$4="pvp",1,(1-Summary!$B$48)*(1)+Summary!$B$48*(MIN(Skills!Q6,Inputs!$B$37))),0)</f>
        <v/>
      </c>
      <c r="P79">
        <f>IF(B111=0,0,O79/B111)</f>
        <v/>
      </c>
      <c r="S79">
        <f>IF(AND(Inputs!$B$4&lt;&gt;"pvp",Inputs!$B$35&gt;0),(INT(Inputs!$B$35/IF(Inputs!$B$4="pvp",15,MAX(0.1,Skills!D6-IF(Skills!E6=TRUE,Inputs!$B$31,0))))+1),0)</f>
        <v/>
      </c>
      <c r="V79">
        <f>IFERROR(1/IF(Inputs!$B$4="pvp",15,MAX(0.1,Skills!D6-IF(Skills!E6=TRUE,Inputs!$B$31,0))),0)</f>
        <v/>
      </c>
    </row>
    <row r="80">
      <c r="A80">
        <f>Skills!A7</f>
        <v/>
      </c>
      <c r="B80">
        <f>Skills!B7</f>
        <v/>
      </c>
      <c r="C80">
        <f>Inputs!$B$3&gt;=122</f>
        <v/>
      </c>
      <c r="D80">
        <f>IF(Skills!C7=1,60+Inputs!$B$24+Inputs!$B$28,IF(Skills!C7=2,90+Inputs!$B$25+Inputs!$B$28,IF(Skills!C7=3,120+Inputs!$B$26+Inputs!$B$28,MAX(0,(Inputs!$B$3-100)*3)+Inputs!$B$27+Inputs!$B$28)))</f>
        <v/>
      </c>
      <c r="E80">
        <f>INDEX(FactorTable!$B$2:$Y$301, MATCH(ROUND(MIN(300,MAX(1,D80)),0), FactorTable!$A$2:$A$301,0), Skills!L7+1)</f>
        <v/>
      </c>
      <c r="F80">
        <f>IF(Skills!M7=TRUE,(Skills!K7/10)*(E80/1000),Skills!K7/10)+Skills!N7</f>
        <v/>
      </c>
      <c r="G80">
        <f>Calc!G7</f>
        <v/>
      </c>
      <c r="H80">
        <f>Calc!H7</f>
        <v/>
      </c>
      <c r="I80">
        <f>IF(Skills!T7&lt;&gt;"",1+(Skills!T7/10)*($Z$3/1000)/100,1)</f>
        <v/>
      </c>
      <c r="J80">
        <f>((Inputs!$B$5*(1+Inputs!$B$6/100))+((Inputs!$B$11*(1+(Inputs!$B$12+1)/100))-(Inputs!$B$11*(1+Inputs!$B$12/100)))*(1+Inputs!$B$6/100))*(F80/100)</f>
        <v/>
      </c>
      <c r="K80">
        <f>J80*(1+((Inputs!$B$11*(1+(Inputs!$B$12+1)/100))*0.01+Inputs!$B$13*0.0025)/100)*(1+(Inputs!$B$14+B104)/100)*(1+IF(Inputs!$B$4="pvp",0,(1-Summary!$B$48)*(Inputs!$B$19+Skills!O7+B102)+Summary!$B$48*(Inputs!$B$20+Skills!P7+B103))/100)*(1+Inputs!$B$15/100)*(5000/(6000+Inputs!$B$7*(1-Inputs!$B$18/100)))*(1+Inputs!$B$23/100)*(1+IF(C90=TRUE,F90,0)/100)*(1+IF(C92=TRUE,F92,0)/100)*(1+IF(Skills!A7="TRIUMPH_FEATHER",IF(C88=TRUE,F88,0),0)/100)*(1+IF(C99=TRUE,F99,0)/100)^5*(1+(IF(Skills!A7="BIG_BANG",Inputs!$B$16,Inputs!$B$17))/100)*(B101*I80)</f>
        <v/>
      </c>
      <c r="L80">
        <f>K80*(MIN(Inputs!$B$21+(F94-Calc!F21),Inputs!$B$22)/100+Inputs!$B$22/100)/2</f>
        <v/>
      </c>
      <c r="M80">
        <f>L80*(1+(Inputs!$B$9+B105+(F97-Calc!F24))/100)</f>
        <v/>
      </c>
      <c r="N80">
        <f>L80*(1-MIN(Inputs!$B$8+((F96-Calc!F23)+(F95-Calc!F22)),100)/100)+M80*(MIN(Inputs!$B$8+((F96-Calc!F23)+(F95-Calc!F22)),100)/100)</f>
        <v/>
      </c>
      <c r="O80">
        <f>IF(C80,H80*N80*IF(AND(Inputs!$B$4&lt;&gt;"pvp",Inputs!$B$35&gt;0),((Skills!F7*((S80-1)*IF(Skills!G7&gt;0,Skills!H7/Skills!G7,1)+IF(Skills!G7&gt;0,MIN(Skills!H7,MAX(0,Inputs!$B$35-((S80-1)*IF(Inputs!$B$4="pvp",15,MAX(0.1,Skills!D7-IF(Skills!E6=TRUE,Inputs!$B$31,0))))))/Skills!G7,1)))/Inputs!$B$35),G80*V80)*(1-Summary!$B$48),0)</f>
        <v/>
      </c>
      <c r="P80">
        <f>IF(B111=0,0,O80/B111)</f>
        <v/>
      </c>
      <c r="S80">
        <f>IF(AND(Inputs!$B$4&lt;&gt;"pvp",Inputs!$B$35&gt;0),(INT(Inputs!$B$35/IF(Inputs!$B$4="pvp",15,MAX(0.1,Skills!D7-IF(Skills!E6=TRUE,Inputs!$B$31,0))))+1),0)</f>
        <v/>
      </c>
      <c r="V80">
        <f>IFERROR(1/IF(Inputs!$B$4="pvp",15,MAX(0.1,Skills!D7-IF(Skills!E6=TRUE,Inputs!$B$31,0))),0)</f>
        <v/>
      </c>
    </row>
    <row r="81">
      <c r="A81">
        <f>Skills!A8</f>
        <v/>
      </c>
      <c r="B81">
        <f>Skills!B8</f>
        <v/>
      </c>
      <c r="C81">
        <f>Inputs!$B$3&gt;=105</f>
        <v/>
      </c>
      <c r="D81">
        <f>IF(Skills!C8=1,60+Inputs!$B$24+Inputs!$B$28,IF(Skills!C8=2,90+Inputs!$B$25+Inputs!$B$28,IF(Skills!C8=3,120+Inputs!$B$26+Inputs!$B$28,MAX(0,(Inputs!$B$3-100)*3)+Inputs!$B$27+Inputs!$B$28)))</f>
        <v/>
      </c>
      <c r="E81">
        <f>INDEX(FactorTable!$B$2:$Y$301, MATCH(ROUND(MIN(300,MAX(1,D81)),0), FactorTable!$A$2:$A$301,0), Skills!L8+1)</f>
        <v/>
      </c>
      <c r="F81">
        <f>IF(Skills!M8=TRUE,(Skills!K8/10)*(E81/1000),Skills!K8/10)+Skills!N8</f>
        <v/>
      </c>
      <c r="G81">
        <f>Calc!G8</f>
        <v/>
      </c>
      <c r="H81">
        <f>Calc!H8</f>
        <v/>
      </c>
      <c r="I81">
        <f>IF(Skills!T8&lt;&gt;"",1+(Skills!T8/10)*($Z$3/1000)/100,1)</f>
        <v/>
      </c>
      <c r="J81">
        <f>((Inputs!$B$5*(1+Inputs!$B$6/100))+((Inputs!$B$11*(1+(Inputs!$B$12+1)/100))-(Inputs!$B$11*(1+Inputs!$B$12/100)))*(1+Inputs!$B$6/100))*(F81/100)</f>
        <v/>
      </c>
      <c r="K81">
        <f>J81*(1+((Inputs!$B$11*(1+(Inputs!$B$12+1)/100))*0.01+Inputs!$B$13*0.0025)/100)*(1+(Inputs!$B$14+B104)/100)*(1+IF(Inputs!$B$4="pvp",0,(1-Summary!$B$48)*(Inputs!$B$19+Skills!O8+B102)+Summary!$B$48*(Inputs!$B$20+Skills!P8+B103))/100)*(1+Inputs!$B$15/100)*(5000/(6000+Inputs!$B$7*(1-Inputs!$B$18/100)))*(1+Inputs!$B$23/100)*(1+IF(C90=TRUE,F90,0)/100)*(1+IF(C92=TRUE,F92,0)/100)*(1+IF(Skills!A8="TRIUMPH_FEATHER",IF(C88=TRUE,F88,0),0)/100)*(1+IF(C99=TRUE,F99,0)/100)^5*(1+(IF(Skills!A8="BIG_BANG",Inputs!$B$16,Inputs!$B$17))/100)*(B101*I81)</f>
        <v/>
      </c>
      <c r="L81">
        <f>K81*(MIN(Inputs!$B$21+(F94-Calc!F21),Inputs!$B$22)/100+Inputs!$B$22/100)/2</f>
        <v/>
      </c>
      <c r="M81">
        <f>L81*(1+(Inputs!$B$9+B105+(F97-Calc!F24))/100)</f>
        <v/>
      </c>
      <c r="N81">
        <f>L81*(1-MIN(Inputs!$B$8+((F96-Calc!F23)+(F95-Calc!F22)),100)/100)+M81*(MIN(Inputs!$B$8+((F96-Calc!F23)+(F95-Calc!F22)),100)/100)</f>
        <v/>
      </c>
      <c r="O81">
        <f>IF(C81,H81*N81*IF(AND(Inputs!$B$4&lt;&gt;"pvp",Inputs!$B$35&gt;0),((Skills!F8*((S81-1)*IF(Skills!G8&gt;0,Skills!H8/Skills!G8,1)+IF(Skills!G8&gt;0,MIN(Skills!H8,MAX(0,Inputs!$B$35-((S81-1)*IF(Inputs!$B$4="pvp",15,MAX(0.1,Skills!D8-IF(Skills!E8=TRUE,Inputs!$B$31,0))))))/Skills!G8,1)))/Inputs!$B$35),G81*V81)*IF(Inputs!$B$4="pvp",1,(1-Summary!$B$48)*(1)+Summary!$B$48*(MIN(Skills!Q8,Inputs!$B$37))),0)</f>
        <v/>
      </c>
      <c r="P81">
        <f>IF(B111=0,0,O81/B111)</f>
        <v/>
      </c>
      <c r="S81">
        <f>IF(AND(Inputs!$B$4&lt;&gt;"pvp",Inputs!$B$35&gt;0),(INT(Inputs!$B$35/IF(Inputs!$B$4="pvp",15,MAX(0.1,Skills!D8-IF(Skills!E8=TRUE,Inputs!$B$31,0))))+1),0)</f>
        <v/>
      </c>
      <c r="V81">
        <f>IFERROR(1/IF(Inputs!$B$4="pvp",15,MAX(0.1,Skills!D8-IF(Skills!E8=TRUE,Inputs!$B$31,0))),0)</f>
        <v/>
      </c>
    </row>
    <row r="82">
      <c r="A82">
        <f>Skills!A9</f>
        <v/>
      </c>
      <c r="B82">
        <f>Skills!B9</f>
        <v/>
      </c>
      <c r="C82">
        <f>Inputs!$B$3&gt;=115</f>
        <v/>
      </c>
      <c r="D82">
        <f>IF(Skills!C9=1,60+Inputs!$B$24+Inputs!$B$28,IF(Skills!C9=2,90+Inputs!$B$25+Inputs!$B$28,IF(Skills!C9=3,120+Inputs!$B$26+Inputs!$B$28,MAX(0,(Inputs!$B$3-100)*3)+Inputs!$B$27+Inputs!$B$28)))</f>
        <v/>
      </c>
      <c r="E82">
        <f>INDEX(FactorTable!$B$2:$Y$301, MATCH(ROUND(MIN(300,MAX(1,D82)),0), FactorTable!$A$2:$A$301,0), Skills!L9+1)</f>
        <v/>
      </c>
      <c r="F82">
        <f>IF(Skills!M9=TRUE,(Skills!K9/10)*(E82/1000),Skills!K9/10)+Skills!N9</f>
        <v/>
      </c>
      <c r="G82">
        <f>Calc!G9</f>
        <v/>
      </c>
      <c r="H82">
        <f>Calc!H9</f>
        <v/>
      </c>
      <c r="I82">
        <f>IF(Skills!T9&lt;&gt;"",1+(Skills!T9/10)*($Z$3/1000)/100,1)</f>
        <v/>
      </c>
      <c r="J82">
        <f>((Inputs!$B$5*(1+Inputs!$B$6/100))+((Inputs!$B$11*(1+(Inputs!$B$12+1)/100))-(Inputs!$B$11*(1+Inputs!$B$12/100)))*(1+Inputs!$B$6/100))*(F82/100)</f>
        <v/>
      </c>
      <c r="K82">
        <f>J82*(1+((Inputs!$B$11*(1+(Inputs!$B$12+1)/100))*0.01+Inputs!$B$13*0.0025)/100)*(1+(Inputs!$B$14+B104)/100)*(1+IF(Inputs!$B$4="pvp",0,(1-Summary!$B$48)*(Inputs!$B$19+Skills!O9+B102)+Summary!$B$48*(Inputs!$B$20+Skills!P9+B103))/100)*(1+Inputs!$B$15/100)*(5000/(6000+Inputs!$B$7*(1-Inputs!$B$18/100)))*(1+Inputs!$B$23/100)*(1+IF(C90=TRUE,F90,0)/100)*(1+IF(C92=TRUE,F92,0)/100)*(1+IF(Skills!A9="TRIUMPH_FEATHER",IF(C88=TRUE,F88,0),0)/100)*(1+IF(C99=TRUE,F99,0)/100)^5*(1+(IF(Skills!A9="BIG_BANG",Inputs!$B$16,Inputs!$B$17))/100)*(B101*I82)</f>
        <v/>
      </c>
      <c r="L82">
        <f>K82*(MIN(Inputs!$B$21+(F94-Calc!F21),Inputs!$B$22)/100+Inputs!$B$22/100)/2</f>
        <v/>
      </c>
      <c r="M82">
        <f>L82*(1+(Inputs!$B$9+B105+(F97-Calc!F24))/100)</f>
        <v/>
      </c>
      <c r="N82">
        <f>L82*(1-MIN(Inputs!$B$8+((F96-Calc!F23)+(F95-Calc!F22)),100)/100)+M82*(MIN(Inputs!$B$8+((F96-Calc!F23)+(F95-Calc!F22)),100)/100)</f>
        <v/>
      </c>
      <c r="O82">
        <f>IF(C82,H82*N82*IF(AND(Inputs!$B$4&lt;&gt;"pvp",Inputs!$B$35&gt;0),((Skills!F9*((S82-1)*IF(Skills!G9&gt;0,Skills!H9/Skills!G9,1)+IF(Skills!G9&gt;0,MIN(Skills!H9,MAX(0,Inputs!$B$35-((S82-1)*IF(Inputs!$B$4="pvp",15,MAX(0.1,Skills!D9-IF(Skills!E9=TRUE,Inputs!$B$31,0))))))/Skills!G9,1)))/Inputs!$B$35),G82*V82)*IF(Inputs!$B$4="pvp",1,(1-Summary!$B$48)*(1)+Summary!$B$48*(MIN(Skills!Q9,Inputs!$B$37))),0)</f>
        <v/>
      </c>
      <c r="P82">
        <f>IF(B111=0,0,O82/B111)</f>
        <v/>
      </c>
      <c r="S82">
        <f>IF(AND(Inputs!$B$4&lt;&gt;"pvp",Inputs!$B$35&gt;0),(INT(Inputs!$B$35/IF(Inputs!$B$4="pvp",15,MAX(0.1,Skills!D9-IF(Skills!E9=TRUE,Inputs!$B$31,0))))+1),0)</f>
        <v/>
      </c>
      <c r="V82">
        <f>IFERROR(1/IF(Inputs!$B$4="pvp",15,MAX(0.1,Skills!D9-IF(Skills!E9=TRUE,Inputs!$B$31,0))),0)</f>
        <v/>
      </c>
    </row>
    <row r="83">
      <c r="A83">
        <f>Skills!A10</f>
        <v/>
      </c>
      <c r="B83">
        <f>Skills!B10</f>
        <v/>
      </c>
      <c r="C83">
        <f>Inputs!$B$3&gt;=66</f>
        <v/>
      </c>
      <c r="D83">
        <f>IF(Skills!C10=1,60+Inputs!$B$24+Inputs!$B$28,IF(Skills!C10=2,90+Inputs!$B$25+Inputs!$B$28,IF(Skills!C10=3,120+Inputs!$B$26+Inputs!$B$28,MAX(0,(Inputs!$B$3-100)*3)+Inputs!$B$27+Inputs!$B$28)))</f>
        <v/>
      </c>
      <c r="E83">
        <f>INDEX(FactorTable!$B$2:$Y$301, MATCH(ROUND(MIN(300,MAX(1,D83)),0), FactorTable!$A$2:$A$301,0), Skills!L10+1)</f>
        <v/>
      </c>
      <c r="F83" t="n">
        <v>0</v>
      </c>
      <c r="G83">
        <f>Calc!G10</f>
        <v/>
      </c>
      <c r="H83">
        <f>Calc!H10</f>
        <v/>
      </c>
      <c r="I83">
        <f>IF(Skills!T10&lt;&gt;"",1+(Skills!T10/10)*($Z$3/1000)/100,1)</f>
        <v/>
      </c>
      <c r="J83" t="inlineStr"/>
      <c r="K83" t="inlineStr"/>
      <c r="L83" t="inlineStr"/>
      <c r="M83" t="inlineStr"/>
      <c r="N83" t="inlineStr"/>
      <c r="O83" t="n">
        <v>0</v>
      </c>
      <c r="P83">
        <f>IF(B111=0,0,O83/B111)</f>
        <v/>
      </c>
      <c r="S83">
        <f>IF(AND(Inputs!$B$4&lt;&gt;"pvp",Inputs!$B$35&gt;0),(INT(Inputs!$B$35/IF(Inputs!$B$4="pvp",15,MAX(0.1,Skills!D10-IF(Skills!E10=TRUE,Inputs!$B$31,0))))+1),0)</f>
        <v/>
      </c>
      <c r="V83">
        <f>IFERROR(1/IF(Inputs!$B$4="pvp",15,MAX(0.1,Skills!D10-IF(Skills!E10=TRUE,Inputs!$B$31,0))),0)</f>
        <v/>
      </c>
    </row>
    <row r="84">
      <c r="A84">
        <f>Skills!A11</f>
        <v/>
      </c>
      <c r="B84">
        <f>Skills!B11</f>
        <v/>
      </c>
      <c r="C84">
        <f>Inputs!$B$3&gt;=69</f>
        <v/>
      </c>
      <c r="D84">
        <f>IF(Skills!C11=1,60+Inputs!$B$24+Inputs!$B$28,IF(Skills!C11=2,90+Inputs!$B$25+Inputs!$B$28,IF(Skills!C11=3,120+Inputs!$B$26+Inputs!$B$28,MAX(0,(Inputs!$B$3-100)*3)+Inputs!$B$27+Inputs!$B$28)))</f>
        <v/>
      </c>
      <c r="E84">
        <f>INDEX(FactorTable!$B$2:$Y$301, MATCH(ROUND(MIN(300,MAX(1,D84)),0), FactorTable!$A$2:$A$301,0), Skills!L11+1)</f>
        <v/>
      </c>
      <c r="F84">
        <f>IF(Skills!M11=TRUE,(Skills!K11/10)*(E84/1000),Skills!K11/10)+Skills!N11</f>
        <v/>
      </c>
      <c r="G84">
        <f>Calc!G11</f>
        <v/>
      </c>
      <c r="H84">
        <f>Calc!H11</f>
        <v/>
      </c>
      <c r="I84">
        <f>IF(Skills!T11&lt;&gt;"",1+(Skills!T11/10)*($Z$3/1000)/100,1)</f>
        <v/>
      </c>
      <c r="J84" t="inlineStr"/>
      <c r="K84" t="inlineStr"/>
      <c r="L84" t="inlineStr"/>
      <c r="M84" t="inlineStr"/>
      <c r="N84" t="inlineStr"/>
      <c r="O84" t="n">
        <v>0</v>
      </c>
      <c r="P84">
        <f>IF(B111=0,0,O84/B111)</f>
        <v/>
      </c>
      <c r="S84">
        <f>IF(AND(Inputs!$B$4&lt;&gt;"pvp",Inputs!$B$35&gt;0),(INT(Inputs!$B$35/IF(Inputs!$B$4="pvp",15,MAX(0.1,Skills!D11-IF(Skills!E11=TRUE,Inputs!$B$31,0))))+1),0)</f>
        <v/>
      </c>
      <c r="V84">
        <f>IFERROR(1/IF(Inputs!$B$4="pvp",15,MAX(0.1,Skills!D11-IF(Skills!E11=TRUE,Inputs!$B$31,0))),0)</f>
        <v/>
      </c>
    </row>
    <row r="85">
      <c r="A85">
        <f>Skills!A12</f>
        <v/>
      </c>
      <c r="B85">
        <f>Skills!B12</f>
        <v/>
      </c>
      <c r="C85">
        <f>Inputs!$B$3&gt;=72</f>
        <v/>
      </c>
      <c r="D85">
        <f>IF(Skills!C12=1,60+Inputs!$B$24+Inputs!$B$28,IF(Skills!C12=2,90+Inputs!$B$25+Inputs!$B$28,IF(Skills!C12=3,120+Inputs!$B$26+Inputs!$B$28,MAX(0,(Inputs!$B$3-100)*3)+Inputs!$B$27+Inputs!$B$28)))</f>
        <v/>
      </c>
      <c r="E85">
        <f>INDEX(FactorTable!$B$2:$Y$301, MATCH(ROUND(MIN(300,MAX(1,D85)),0), FactorTable!$A$2:$A$301,0), Skills!L12+1)</f>
        <v/>
      </c>
      <c r="F85">
        <f>IF(Skills!M12=TRUE,(Skills!K12/10)*(E85/1000),Skills!K12/10)+Skills!N12</f>
        <v/>
      </c>
      <c r="G85">
        <f>Calc!G12</f>
        <v/>
      </c>
      <c r="H85">
        <f>Calc!H12</f>
        <v/>
      </c>
      <c r="I85">
        <f>IF(Skills!T12&lt;&gt;"",1+(Skills!T12/10)*($Z$3/1000)/100,1)</f>
        <v/>
      </c>
      <c r="J85" t="inlineStr"/>
      <c r="K85" t="inlineStr"/>
      <c r="L85" t="inlineStr"/>
      <c r="M85" t="inlineStr"/>
      <c r="N85" t="inlineStr"/>
      <c r="O85" t="n">
        <v>0</v>
      </c>
      <c r="P85">
        <f>IF(B111=0,0,O85/B111)</f>
        <v/>
      </c>
      <c r="S85">
        <f>IF(AND(Inputs!$B$4&lt;&gt;"pvp",Inputs!$B$35&gt;0),(INT(Inputs!$B$35/IF(Inputs!$B$4="pvp",15,MAX(0.1,Skills!D12-IF(Skills!E12=TRUE,Inputs!$B$31,0))))+1),0)</f>
        <v/>
      </c>
      <c r="V85">
        <f>IFERROR(1/IF(Inputs!$B$4="pvp",15,MAX(0.1,Skills!D12-IF(Skills!E12=TRUE,Inputs!$B$31,0))),0)</f>
        <v/>
      </c>
    </row>
    <row r="86">
      <c r="A86">
        <f>Skills!A13</f>
        <v/>
      </c>
      <c r="B86">
        <f>Skills!B13</f>
        <v/>
      </c>
      <c r="C86">
        <f>Inputs!$B$3&gt;=107</f>
        <v/>
      </c>
      <c r="D86">
        <f>IF(Skills!C13=1,60+Inputs!$B$24+Inputs!$B$28,IF(Skills!C13=2,90+Inputs!$B$25+Inputs!$B$28,IF(Skills!C13=3,120+Inputs!$B$26+Inputs!$B$28,MAX(0,(Inputs!$B$3-100)*3)+Inputs!$B$27+Inputs!$B$28)))</f>
        <v/>
      </c>
      <c r="E86">
        <f>INDEX(FactorTable!$B$2:$Y$301, MATCH(ROUND(MIN(300,MAX(1,D86)),0), FactorTable!$A$2:$A$301,0), Skills!L13+1)</f>
        <v/>
      </c>
      <c r="F86">
        <f>IF(Skills!M13=TRUE,(Skills!K13/10)*(E86/1000),Skills!K13/10)+Skills!N13</f>
        <v/>
      </c>
      <c r="G86">
        <f>Calc!G13</f>
        <v/>
      </c>
      <c r="H86">
        <f>Calc!H13</f>
        <v/>
      </c>
      <c r="I86">
        <f>IF(Skills!T13&lt;&gt;"",1+(Skills!T13/10)*($Z$3/1000)/100,1)</f>
        <v/>
      </c>
      <c r="J86" t="inlineStr"/>
      <c r="K86" t="inlineStr"/>
      <c r="L86" t="inlineStr"/>
      <c r="M86" t="inlineStr"/>
      <c r="N86" t="inlineStr"/>
      <c r="O86" t="n">
        <v>0</v>
      </c>
      <c r="P86">
        <f>IF(B111=0,0,O86/B111)</f>
        <v/>
      </c>
      <c r="S86">
        <f>IF(AND(Inputs!$B$4&lt;&gt;"pvp",Inputs!$B$35&gt;0),(INT(Inputs!$B$35/IF(Inputs!$B$4="pvp",15,MAX(0.1,Skills!D13-IF(Skills!E13=TRUE,Inputs!$B$31,0))))+1),0)</f>
        <v/>
      </c>
      <c r="V86">
        <f>IFERROR(1/IF(Inputs!$B$4="pvp",15,MAX(0.1,Skills!D13-IF(Skills!E13=TRUE,Inputs!$B$31,0))),0)</f>
        <v/>
      </c>
    </row>
    <row r="87">
      <c r="A87">
        <f>Skills!A14</f>
        <v/>
      </c>
      <c r="B87">
        <f>Skills!B14</f>
        <v/>
      </c>
      <c r="C87">
        <f>Inputs!$B$3&gt;=63</f>
        <v/>
      </c>
      <c r="D87">
        <f>IF(Skills!C14=1,60+Inputs!$B$24+Inputs!$B$28,IF(Skills!C14=2,90+Inputs!$B$25+Inputs!$B$28,IF(Skills!C14=3,120+Inputs!$B$26+Inputs!$B$28,MAX(0,(Inputs!$B$3-100)*3)+Inputs!$B$27+Inputs!$B$28)))</f>
        <v/>
      </c>
      <c r="E87">
        <f>INDEX(FactorTable!$B$2:$Y$301, MATCH(ROUND(MIN(300,MAX(1,D87)),0), FactorTable!$A$2:$A$301,0), Skills!L14+1)</f>
        <v/>
      </c>
      <c r="F87">
        <f>IF(Skills!M14=TRUE,(Skills!K14/10)*(E87/1000),Skills!K14/10)+Skills!N14</f>
        <v/>
      </c>
      <c r="G87">
        <f>Calc!G14</f>
        <v/>
      </c>
      <c r="H87">
        <f>Calc!H14</f>
        <v/>
      </c>
      <c r="I87">
        <f>IF(Skills!T14&lt;&gt;"",1+(Skills!T14/10)*($Z$3/1000)/100,1)</f>
        <v/>
      </c>
      <c r="J87">
        <f>((Inputs!$B$5*(1+Inputs!$B$6/100))+((Inputs!$B$11*(1+(Inputs!$B$12+1)/100))-(Inputs!$B$11*(1+Inputs!$B$12/100)))*(1+Inputs!$B$6/100))*(F87/100)</f>
        <v/>
      </c>
      <c r="K87">
        <f>J87*(1+((Inputs!$B$11*(1+(Inputs!$B$12+1)/100))*0.01+Inputs!$B$13*0.0025)/100)*(1+(Inputs!$B$14+B104)/100)*(1+IF(Inputs!$B$4="pvp",0,(1-Summary!$B$48)*(Inputs!$B$19+Skills!O14+B102)+Summary!$B$48*(Inputs!$B$20+Skills!P14+B103))/100)*(1+Inputs!$B$15/100)*(5000/(6000+Inputs!$B$7*(1-Inputs!$B$18/100)))*(1+Inputs!$B$23/100)*(1+IF(C90=TRUE,F90,0)/100)*(1+IF(C92=TRUE,F92,0)/100)*(1+IF(Skills!A14="TRIUMPH_FEATHER",IF(C88=TRUE,F88,0),0)/100)*(1+IF(C99=TRUE,F99,0)/100)^5*(1+(IF(Skills!A14="BIG_BANG",Inputs!$B$16,Inputs!$B$17))/100)*(B101*I87)</f>
        <v/>
      </c>
      <c r="L87">
        <f>K87*(MIN(Inputs!$B$21+(F94-Calc!F21),Inputs!$B$22)/100+Inputs!$B$22/100)/2</f>
        <v/>
      </c>
      <c r="M87">
        <f>L87*(1+(Inputs!$B$9+B105+(F97-Calc!F24))/100)</f>
        <v/>
      </c>
      <c r="N87">
        <f>L87*(1-MIN(Inputs!$B$8+((F96-Calc!F23)+(F95-Calc!F22)),100)/100)+M87*(MIN(Inputs!$B$8+((F96-Calc!F23)+(F95-Calc!F22)),100)/100)</f>
        <v/>
      </c>
      <c r="O87">
        <f>IF(C87,Skills!F14*N87*((IF(Inputs!$B$3&gt;=78,25,15)/100*B107*10)/(1+IF(Inputs!$B$3&gt;=78,25,15)/100*B107*10))*(Skills!I14/100*B107)/(1+Skills!G14*Skills!I14/100*B107)*IF(Inputs!$B$4="pvp",1,(1-Summary!$B$48)*(1)+Summary!$B$48*(MIN(Skills!Q14,Inputs!$B$37))),0)</f>
        <v/>
      </c>
      <c r="P87">
        <f>IF(B111=0,0,O87/B111)</f>
        <v/>
      </c>
      <c r="S87" t="n">
        <v>0</v>
      </c>
      <c r="V87">
        <f>IFERROR(1/IF(Inputs!$B$4="pvp",15,MAX(0.1,Skills!D14-IF(Skills!E14=TRUE,Inputs!$B$31,0))),0)</f>
        <v/>
      </c>
    </row>
    <row r="88">
      <c r="A88">
        <f>Skills!A15</f>
        <v/>
      </c>
      <c r="B88">
        <f>Skills!B15</f>
        <v/>
      </c>
      <c r="C88">
        <f>Inputs!$B$3&gt;=100</f>
        <v/>
      </c>
      <c r="D88">
        <f>IF(Skills!C15=1,60+Inputs!$B$24+Inputs!$B$28,IF(Skills!C15=2,90+Inputs!$B$25+Inputs!$B$28,IF(Skills!C15=3,120+Inputs!$B$26+Inputs!$B$28,MAX(0,(Inputs!$B$3-100)*3)+Inputs!$B$27+Inputs!$B$28)))</f>
        <v/>
      </c>
      <c r="E88">
        <f>INDEX(FactorTable!$B$2:$Y$301, MATCH(ROUND(MIN(300,MAX(1,D88)),0), FactorTable!$A$2:$A$301,0), Skills!L15+1)</f>
        <v/>
      </c>
      <c r="F88">
        <f>IF(Skills!M15=TRUE,(Skills!K15/10)*(E88/1000),Skills!K15/10)+Skills!N15</f>
        <v/>
      </c>
      <c r="G88">
        <f>Calc!G15</f>
        <v/>
      </c>
      <c r="H88">
        <f>Calc!H15</f>
        <v/>
      </c>
      <c r="I88">
        <f>IF(Skills!T15&lt;&gt;"",1+(Skills!T15/10)*($Z$3/1000)/100,1)</f>
        <v/>
      </c>
      <c r="J88" t="inlineStr"/>
      <c r="K88" t="inlineStr"/>
      <c r="L88" t="inlineStr"/>
      <c r="M88" t="inlineStr"/>
      <c r="N88" t="inlineStr"/>
      <c r="O88" t="n">
        <v>0</v>
      </c>
      <c r="P88">
        <f>IF(B111=0,0,O88/B111)</f>
        <v/>
      </c>
      <c r="S88" t="n">
        <v>0</v>
      </c>
      <c r="V88">
        <f>IFERROR(1/IF(Inputs!$B$4="pvp",15,MAX(0.1,Skills!D15-IF(Skills!E15=TRUE,Inputs!$B$31,0))),0)</f>
        <v/>
      </c>
    </row>
    <row r="89">
      <c r="A89">
        <f>Skills!A16</f>
        <v/>
      </c>
      <c r="B89">
        <f>Skills!B16</f>
        <v/>
      </c>
      <c r="C89">
        <f>Inputs!$B$3&gt;=49</f>
        <v/>
      </c>
      <c r="D89">
        <f>IF(Skills!C16=1,60+Inputs!$B$24+Inputs!$B$28,IF(Skills!C16=2,90+Inputs!$B$25+Inputs!$B$28,IF(Skills!C16=3,120+Inputs!$B$26+Inputs!$B$28,MAX(0,(Inputs!$B$3-100)*3)+Inputs!$B$27+Inputs!$B$28)))</f>
        <v/>
      </c>
      <c r="E89">
        <f>INDEX(FactorTable!$B$2:$Y$301, MATCH(ROUND(MIN(300,MAX(1,D89)),0), FactorTable!$A$2:$A$301,0), Skills!L16+1)</f>
        <v/>
      </c>
      <c r="F89">
        <f>IF(Skills!M16=TRUE,(Skills!K16/10)*(E89/1000),Skills!K16/10)+Skills!N16</f>
        <v/>
      </c>
      <c r="G89">
        <f>Calc!G16</f>
        <v/>
      </c>
      <c r="H89">
        <f>Calc!H16</f>
        <v/>
      </c>
      <c r="I89">
        <f>IF(Skills!T16&lt;&gt;"",1+(Skills!T16/10)*($Z$3/1000)/100,1)</f>
        <v/>
      </c>
      <c r="J89" t="inlineStr"/>
      <c r="K89" t="inlineStr"/>
      <c r="L89" t="inlineStr"/>
      <c r="M89" t="inlineStr"/>
      <c r="N89" t="inlineStr"/>
      <c r="O89" t="n">
        <v>0</v>
      </c>
      <c r="P89">
        <f>IF(B111=0,0,O89/B111)</f>
        <v/>
      </c>
      <c r="S89" t="n">
        <v>0</v>
      </c>
      <c r="V89">
        <f>IFERROR(1/IF(Inputs!$B$4="pvp",15,MAX(0.1,Skills!D16-IF(Skills!E16=TRUE,Inputs!$B$31,0))),0)</f>
        <v/>
      </c>
    </row>
    <row r="90">
      <c r="A90">
        <f>Skills!A17</f>
        <v/>
      </c>
      <c r="B90">
        <f>Skills!B17</f>
        <v/>
      </c>
      <c r="C90">
        <f>Inputs!$B$3&gt;=75</f>
        <v/>
      </c>
      <c r="D90">
        <f>IF(Skills!C17=1,60+Inputs!$B$24+Inputs!$B$28,IF(Skills!C17=2,90+Inputs!$B$25+Inputs!$B$28,IF(Skills!C17=3,120+Inputs!$B$26+Inputs!$B$28,MAX(0,(Inputs!$B$3-100)*3)+Inputs!$B$27+Inputs!$B$28)))</f>
        <v/>
      </c>
      <c r="E90">
        <f>INDEX(FactorTable!$B$2:$Y$301, MATCH(ROUND(MIN(300,MAX(1,D90)),0), FactorTable!$A$2:$A$301,0), Skills!L17+1)</f>
        <v/>
      </c>
      <c r="F90">
        <f>IF(Skills!M17=TRUE,(Skills!K17/10)*(E90/1000),Skills!K17/10)+Skills!N17</f>
        <v/>
      </c>
      <c r="G90">
        <f>Calc!G17</f>
        <v/>
      </c>
      <c r="H90">
        <f>Calc!H17</f>
        <v/>
      </c>
      <c r="I90">
        <f>IF(Skills!T17&lt;&gt;"",1+(Skills!T17/10)*($Z$3/1000)/100,1)</f>
        <v/>
      </c>
      <c r="J90" t="inlineStr"/>
      <c r="K90" t="inlineStr"/>
      <c r="L90" t="inlineStr"/>
      <c r="M90" t="inlineStr"/>
      <c r="N90" t="inlineStr"/>
      <c r="O90" t="n">
        <v>0</v>
      </c>
      <c r="P90">
        <f>IF(B111=0,0,O90/B111)</f>
        <v/>
      </c>
      <c r="S90" t="n">
        <v>0</v>
      </c>
      <c r="V90">
        <f>IFERROR(1/IF(Inputs!$B$4="pvp",15,MAX(0.1,Skills!D17-IF(Skills!E17=TRUE,Inputs!$B$31,0))),0)</f>
        <v/>
      </c>
    </row>
    <row r="91">
      <c r="A91">
        <f>Skills!A18</f>
        <v/>
      </c>
      <c r="B91">
        <f>Skills!B18</f>
        <v/>
      </c>
      <c r="C91">
        <f>Inputs!$B$3&gt;=110</f>
        <v/>
      </c>
      <c r="D91">
        <f>IF(Skills!C18=1,60+Inputs!$B$24+Inputs!$B$28,IF(Skills!C18=2,90+Inputs!$B$25+Inputs!$B$28,IF(Skills!C18=3,120+Inputs!$B$26+Inputs!$B$28,MAX(0,(Inputs!$B$3-100)*3)+Inputs!$B$27+Inputs!$B$28)))</f>
        <v/>
      </c>
      <c r="E91">
        <f>INDEX(FactorTable!$B$2:$Y$301, MATCH(ROUND(MIN(300,MAX(1,D91)),0), FactorTable!$A$2:$A$301,0), Skills!L18+1)</f>
        <v/>
      </c>
      <c r="F91">
        <f>(Skills!K18/10)*(E91/1000)*64/45+Skills!N18</f>
        <v/>
      </c>
      <c r="G91">
        <f>Calc!G18</f>
        <v/>
      </c>
      <c r="H91">
        <f>Calc!H18</f>
        <v/>
      </c>
      <c r="I91">
        <f>IF(Skills!T18&lt;&gt;"",1+(Skills!T18/10)*($Z$3/1000)/100,1)</f>
        <v/>
      </c>
      <c r="J91" t="inlineStr"/>
      <c r="K91" t="inlineStr"/>
      <c r="L91" t="inlineStr"/>
      <c r="M91" t="inlineStr"/>
      <c r="N91" t="inlineStr"/>
      <c r="O91" t="n">
        <v>0</v>
      </c>
      <c r="P91">
        <f>IF(B111=0,0,O91/B111)</f>
        <v/>
      </c>
      <c r="S91">
        <f>IF(AND(Inputs!$B$4&lt;&gt;"pvp",Inputs!$B$35&gt;0),(INT(Inputs!$B$35/IF(Inputs!$B$4="pvp",15,MAX(0.1,Skills!D18-IF(Skills!E18=TRUE,Inputs!$B$31,0))))+1),0)</f>
        <v/>
      </c>
      <c r="V91">
        <f>IFERROR(1/IF(Inputs!$B$4="pvp",15,MAX(0.1,Skills!D18-IF(Skills!E18=TRUE,Inputs!$B$31,0))),0)</f>
        <v/>
      </c>
    </row>
    <row r="92">
      <c r="A92">
        <f>Skills!A19</f>
        <v/>
      </c>
      <c r="B92">
        <f>Skills!B19</f>
        <v/>
      </c>
      <c r="C92">
        <f>Inputs!$B$3&gt;=125</f>
        <v/>
      </c>
      <c r="D92">
        <f>IF(Skills!C19=1,60+Inputs!$B$24+Inputs!$B$28,IF(Skills!C19=2,90+Inputs!$B$25+Inputs!$B$28,IF(Skills!C19=3,120+Inputs!$B$26+Inputs!$B$28,MAX(0,(Inputs!$B$3-100)*3)+Inputs!$B$27+Inputs!$B$28)))</f>
        <v/>
      </c>
      <c r="E92">
        <f>INDEX(FactorTable!$B$2:$Y$301, MATCH(ROUND(MIN(300,MAX(1,D92)),0), FactorTable!$A$2:$A$301,0), Skills!L19+1)</f>
        <v/>
      </c>
      <c r="F92">
        <f>IF(Skills!M19=TRUE,(Skills!K19/10)*(E92/1000),Skills!K19/10)+Skills!N19</f>
        <v/>
      </c>
      <c r="G92">
        <f>Calc!G19</f>
        <v/>
      </c>
      <c r="H92">
        <f>Calc!H19</f>
        <v/>
      </c>
      <c r="I92">
        <f>IF(Skills!T19&lt;&gt;"",1+(Skills!T19/10)*($Z$3/1000)/100,1)</f>
        <v/>
      </c>
      <c r="J92" t="inlineStr"/>
      <c r="K92" t="inlineStr"/>
      <c r="L92" t="inlineStr"/>
      <c r="M92" t="inlineStr"/>
      <c r="N92" t="inlineStr"/>
      <c r="O92" t="n">
        <v>0</v>
      </c>
      <c r="P92">
        <f>IF(B111=0,0,O92/B111)</f>
        <v/>
      </c>
      <c r="S92" t="n">
        <v>0</v>
      </c>
      <c r="V92">
        <f>IFERROR(1/IF(Inputs!$B$4="pvp",15,MAX(0.1,Skills!D19-IF(Skills!E19=TRUE,Inputs!$B$31,0))),0)</f>
        <v/>
      </c>
    </row>
    <row r="93">
      <c r="A93">
        <f>Skills!A20</f>
        <v/>
      </c>
      <c r="B93">
        <f>Skills!B20</f>
        <v/>
      </c>
      <c r="C93">
        <f>Inputs!$B$3&gt;=33</f>
        <v/>
      </c>
      <c r="D93">
        <f>IF(Skills!C20=1,60+Inputs!$B$24+Inputs!$B$28,IF(Skills!C20=2,90+Inputs!$B$25+Inputs!$B$28,IF(Skills!C20=3,120+Inputs!$B$26+Inputs!$B$28,MAX(0,(Inputs!$B$3-100)*3)+Inputs!$B$27+Inputs!$B$28)))</f>
        <v/>
      </c>
      <c r="E93">
        <f>INDEX(FactorTable!$B$2:$Y$301, MATCH(ROUND(MIN(300,MAX(1,D93)),0), FactorTable!$A$2:$A$301,0), Skills!L20+1)</f>
        <v/>
      </c>
      <c r="F93">
        <f>IF(Skills!M20=TRUE,(Skills!K20/10)*(E93/1000),Skills!K20/10)+Skills!N20</f>
        <v/>
      </c>
      <c r="G93">
        <f>Calc!G20</f>
        <v/>
      </c>
      <c r="H93">
        <f>Calc!H20</f>
        <v/>
      </c>
      <c r="I93">
        <f>IF(Skills!T20&lt;&gt;"",1+(Skills!T20/10)*($Z$3/1000)/100,1)</f>
        <v/>
      </c>
      <c r="J93" t="inlineStr"/>
      <c r="K93" t="inlineStr"/>
      <c r="L93" t="inlineStr"/>
      <c r="M93" t="inlineStr"/>
      <c r="N93" t="inlineStr"/>
      <c r="O93" t="n">
        <v>0</v>
      </c>
      <c r="P93">
        <f>IF(B111=0,0,O93/B111)</f>
        <v/>
      </c>
      <c r="S93" t="n">
        <v>0</v>
      </c>
      <c r="V93">
        <f>IFERROR(1/IF(Inputs!$B$4="pvp",15,MAX(0.1,Skills!D20-IF(Skills!E20=TRUE,Inputs!$B$31,0))),0)</f>
        <v/>
      </c>
    </row>
    <row r="94">
      <c r="A94">
        <f>Skills!A21</f>
        <v/>
      </c>
      <c r="B94">
        <f>Skills!B21</f>
        <v/>
      </c>
      <c r="C94">
        <f>Inputs!$B$3&gt;=43</f>
        <v/>
      </c>
      <c r="D94">
        <f>IF(Skills!C21=1,60+Inputs!$B$24+Inputs!$B$28,IF(Skills!C21=2,90+Inputs!$B$25+Inputs!$B$28,IF(Skills!C21=3,120+Inputs!$B$26+Inputs!$B$28,MAX(0,(Inputs!$B$3-100)*3)+Inputs!$B$27+Inputs!$B$28)))</f>
        <v/>
      </c>
      <c r="E94">
        <f>INDEX(FactorTable!$B$2:$Y$301, MATCH(ROUND(MIN(300,MAX(1,D94)),0), FactorTable!$A$2:$A$301,0), Skills!L21+1)</f>
        <v/>
      </c>
      <c r="F94">
        <f>IF(Skills!M21=TRUE,(Skills!K21/10)*(E94/1000),Skills!K21/10)+Skills!N21</f>
        <v/>
      </c>
      <c r="G94">
        <f>Calc!G21</f>
        <v/>
      </c>
      <c r="H94">
        <f>Calc!H21</f>
        <v/>
      </c>
      <c r="I94">
        <f>IF(Skills!T21&lt;&gt;"",1+(Skills!T21/10)*($Z$3/1000)/100,1)</f>
        <v/>
      </c>
      <c r="J94" t="inlineStr"/>
      <c r="K94" t="inlineStr"/>
      <c r="L94" t="inlineStr"/>
      <c r="M94" t="inlineStr"/>
      <c r="N94" t="inlineStr"/>
      <c r="O94" t="n">
        <v>0</v>
      </c>
      <c r="P94">
        <f>IF(B111=0,0,O94/B111)</f>
        <v/>
      </c>
      <c r="S94" t="n">
        <v>0</v>
      </c>
      <c r="V94">
        <f>IFERROR(1/IF(Inputs!$B$4="pvp",15,MAX(0.1,Skills!D21-IF(Skills!E21=TRUE,Inputs!$B$31,0))),0)</f>
        <v/>
      </c>
    </row>
    <row r="95">
      <c r="A95">
        <f>Skills!A22</f>
        <v/>
      </c>
      <c r="B95">
        <f>Skills!B22</f>
        <v/>
      </c>
      <c r="C95">
        <f>Inputs!$B$3&gt;=50</f>
        <v/>
      </c>
      <c r="D95">
        <f>IF(Skills!C22=1,60+Inputs!$B$24+Inputs!$B$28,IF(Skills!C22=2,90+Inputs!$B$25+Inputs!$B$28,IF(Skills!C22=3,120+Inputs!$B$26+Inputs!$B$28,MAX(0,(Inputs!$B$3-100)*3)+Inputs!$B$27+Inputs!$B$28)))</f>
        <v/>
      </c>
      <c r="E95">
        <f>INDEX(FactorTable!$B$2:$Y$301, MATCH(ROUND(MIN(300,MAX(1,D95)),0), FactorTable!$A$2:$A$301,0), Skills!L22+1)</f>
        <v/>
      </c>
      <c r="F95">
        <f>IF(Skills!M22=TRUE,(Skills!K22/10)*(E95/1000),Skills!K22/10)+Skills!N22</f>
        <v/>
      </c>
      <c r="G95">
        <f>Calc!G22</f>
        <v/>
      </c>
      <c r="H95">
        <f>Calc!H22</f>
        <v/>
      </c>
      <c r="I95">
        <f>IF(Skills!T22&lt;&gt;"",1+(Skills!T22/10)*($Z$3/1000)/100,1)</f>
        <v/>
      </c>
      <c r="J95" t="inlineStr"/>
      <c r="K95" t="inlineStr"/>
      <c r="L95" t="inlineStr"/>
      <c r="M95" t="inlineStr"/>
      <c r="N95" t="inlineStr"/>
      <c r="O95" t="n">
        <v>0</v>
      </c>
      <c r="P95">
        <f>IF(B111=0,0,O95/B111)</f>
        <v/>
      </c>
      <c r="S95" t="n">
        <v>0</v>
      </c>
      <c r="V95">
        <f>IFERROR(1/IF(Inputs!$B$4="pvp",15,MAX(0.1,Skills!D22-IF(Skills!E22=TRUE,Inputs!$B$31,0))),0)</f>
        <v/>
      </c>
    </row>
    <row r="96">
      <c r="A96">
        <f>Skills!A23</f>
        <v/>
      </c>
      <c r="B96">
        <f>Skills!B23</f>
        <v/>
      </c>
      <c r="C96">
        <f>Inputs!$B$3&gt;=74</f>
        <v/>
      </c>
      <c r="D96">
        <f>IF(Skills!C23=1,60+Inputs!$B$24+Inputs!$B$28,IF(Skills!C23=2,90+Inputs!$B$25+Inputs!$B$28,IF(Skills!C23=3,120+Inputs!$B$26+Inputs!$B$28,MAX(0,(Inputs!$B$3-100)*3)+Inputs!$B$27+Inputs!$B$28)))</f>
        <v/>
      </c>
      <c r="E96">
        <f>INDEX(FactorTable!$B$2:$Y$301, MATCH(ROUND(MIN(300,MAX(1,D96)),0), FactorTable!$A$2:$A$301,0), Skills!L23+1)</f>
        <v/>
      </c>
      <c r="F96">
        <f>IF(Skills!M23=TRUE,(Skills!K23/10)*(E96/1000),Skills!K23/10)+Skills!N23</f>
        <v/>
      </c>
      <c r="G96">
        <f>Calc!G23</f>
        <v/>
      </c>
      <c r="H96">
        <f>Calc!H23</f>
        <v/>
      </c>
      <c r="I96">
        <f>IF(Skills!T23&lt;&gt;"",1+(Skills!T23/10)*($Z$3/1000)/100,1)</f>
        <v/>
      </c>
      <c r="J96" t="inlineStr"/>
      <c r="K96" t="inlineStr"/>
      <c r="L96" t="inlineStr"/>
      <c r="M96" t="inlineStr"/>
      <c r="N96" t="inlineStr"/>
      <c r="O96" t="n">
        <v>0</v>
      </c>
      <c r="P96">
        <f>IF(B111=0,0,O96/B111)</f>
        <v/>
      </c>
      <c r="S96" t="n">
        <v>0</v>
      </c>
      <c r="V96">
        <f>IFERROR(1/IF(Inputs!$B$4="pvp",15,MAX(0.1,Skills!D23-IF(Skills!E23=TRUE,Inputs!$B$31,0))),0)</f>
        <v/>
      </c>
    </row>
    <row r="97">
      <c r="A97">
        <f>Skills!A24</f>
        <v/>
      </c>
      <c r="B97">
        <f>Skills!B24</f>
        <v/>
      </c>
      <c r="C97">
        <f>Inputs!$B$3&gt;=74</f>
        <v/>
      </c>
      <c r="D97">
        <f>IF(Skills!C24=1,60+Inputs!$B$24+Inputs!$B$28,IF(Skills!C24=2,90+Inputs!$B$25+Inputs!$B$28,IF(Skills!C24=3,120+Inputs!$B$26+Inputs!$B$28,MAX(0,(Inputs!$B$3-100)*3)+Inputs!$B$27+Inputs!$B$28)))</f>
        <v/>
      </c>
      <c r="E97">
        <f>INDEX(FactorTable!$B$2:$Y$301, MATCH(ROUND(MIN(300,MAX(1,D97)),0), FactorTable!$A$2:$A$301,0), Skills!L24+1)</f>
        <v/>
      </c>
      <c r="F97">
        <f>IF(Skills!M24=TRUE,(Skills!K24/10)*(E97/1000),Skills!K24/10)+Skills!N24</f>
        <v/>
      </c>
      <c r="G97">
        <f>Calc!G24</f>
        <v/>
      </c>
      <c r="H97">
        <f>Calc!H24</f>
        <v/>
      </c>
      <c r="I97">
        <f>IF(Skills!T24&lt;&gt;"",1+(Skills!T24/10)*($Z$3/1000)/100,1)</f>
        <v/>
      </c>
      <c r="J97" t="inlineStr"/>
      <c r="K97" t="inlineStr"/>
      <c r="L97" t="inlineStr"/>
      <c r="M97" t="inlineStr"/>
      <c r="N97" t="inlineStr"/>
      <c r="O97" t="n">
        <v>0</v>
      </c>
      <c r="P97">
        <f>IF(B111=0,0,O97/B111)</f>
        <v/>
      </c>
      <c r="S97" t="n">
        <v>0</v>
      </c>
      <c r="V97">
        <f>IFERROR(1/IF(Inputs!$B$4="pvp",15,MAX(0.1,Skills!D24-IF(Skills!E24=TRUE,Inputs!$B$31,0))),0)</f>
        <v/>
      </c>
    </row>
    <row r="98">
      <c r="A98">
        <f>Skills!A25</f>
        <v/>
      </c>
      <c r="B98">
        <f>Skills!B25</f>
        <v/>
      </c>
      <c r="C98">
        <f>Inputs!$B$3&gt;=117</f>
        <v/>
      </c>
      <c r="D98">
        <f>IF(Skills!C25=1,60+Inputs!$B$24+Inputs!$B$28,IF(Skills!C25=2,90+Inputs!$B$25+Inputs!$B$28,IF(Skills!C25=3,120+Inputs!$B$26+Inputs!$B$28,MAX(0,(Inputs!$B$3-100)*3)+Inputs!$B$27+Inputs!$B$28)))</f>
        <v/>
      </c>
      <c r="E98">
        <f>INDEX(FactorTable!$B$2:$Y$301, MATCH(ROUND(MIN(300,MAX(1,D98)),0), FactorTable!$A$2:$A$301,0), Skills!L25+1)</f>
        <v/>
      </c>
      <c r="F98">
        <f>IF(Skills!M25=TRUE,(Skills!K25/10)*(E98/1000),Skills!K25/10)+Skills!N25</f>
        <v/>
      </c>
      <c r="G98">
        <f>Calc!G25</f>
        <v/>
      </c>
      <c r="H98">
        <f>Calc!H25</f>
        <v/>
      </c>
      <c r="I98">
        <f>IF(Skills!T25&lt;&gt;"",1+(Skills!T25/10)*($Z$3/1000)/100,1)</f>
        <v/>
      </c>
      <c r="J98" t="inlineStr"/>
      <c r="K98" t="inlineStr"/>
      <c r="L98" t="inlineStr"/>
      <c r="M98" t="inlineStr"/>
      <c r="N98" t="inlineStr"/>
      <c r="O98" t="n">
        <v>0</v>
      </c>
      <c r="P98">
        <f>IF(B111=0,0,O98/B111)</f>
        <v/>
      </c>
      <c r="S98" t="n">
        <v>0</v>
      </c>
      <c r="V98">
        <f>IFERROR(1/IF(Inputs!$B$4="pvp",15,MAX(0.1,Skills!D25-IF(Skills!E25=TRUE,Inputs!$B$31,0))),0)</f>
        <v/>
      </c>
    </row>
    <row r="99">
      <c r="A99">
        <f>Skills!A26</f>
        <v/>
      </c>
      <c r="B99">
        <f>Skills!B26</f>
        <v/>
      </c>
      <c r="C99">
        <f>Inputs!$B$3&gt;=120</f>
        <v/>
      </c>
      <c r="D99">
        <f>IF(Skills!C26=1,60+Inputs!$B$24+Inputs!$B$28,IF(Skills!C26=2,90+Inputs!$B$25+Inputs!$B$28,IF(Skills!C26=3,120+Inputs!$B$26+Inputs!$B$28,MAX(0,(Inputs!$B$3-100)*3)+Inputs!$B$27+Inputs!$B$28)))</f>
        <v/>
      </c>
      <c r="E99">
        <f>INDEX(FactorTable!$B$2:$Y$301, MATCH(ROUND(MIN(300,MAX(1,D99)),0), FactorTable!$A$2:$A$301,0), Skills!L26+1)</f>
        <v/>
      </c>
      <c r="F99">
        <f>IF(Skills!M26=TRUE,(Skills!K26/10)*(E99/1000),Skills!K26/10)+Skills!N26</f>
        <v/>
      </c>
      <c r="G99">
        <f>Calc!G26</f>
        <v/>
      </c>
      <c r="H99">
        <f>Calc!H26</f>
        <v/>
      </c>
      <c r="I99">
        <f>IF(Skills!T26&lt;&gt;"",1+(Skills!T26/10)*($Z$3/1000)/100,1)</f>
        <v/>
      </c>
      <c r="J99" t="inlineStr"/>
      <c r="K99" t="inlineStr"/>
      <c r="L99" t="inlineStr"/>
      <c r="M99" t="inlineStr"/>
      <c r="N99" t="inlineStr"/>
      <c r="O99" t="n">
        <v>0</v>
      </c>
      <c r="P99">
        <f>IF(B111=0,0,O99/B111)</f>
        <v/>
      </c>
      <c r="S99" t="n">
        <v>0</v>
      </c>
      <c r="V99">
        <f>IFERROR(1/IF(Inputs!$B$4="pvp",15,MAX(0.1,Skills!D26-IF(Skills!E26=TRUE,Inputs!$B$31,0))),0)</f>
        <v/>
      </c>
    </row>
    <row r="101">
      <c r="A101" t="inlineStr">
        <is>
          <t>Average Buff Multiplier</t>
        </is>
      </c>
      <c r="B101">
        <f>(1+(IF(C76=TRUE,F76*IF(AND(Inputs!$B$4&lt;&gt;"pvp",Inputs!$B$35&gt;0),(((S76-1)*(Skills!S3*(1+(Inputs!$B$33+IF(Inputs!$B$3&gt;=117,F98,0))/100))+MIN((Skills!S3*(1+(Inputs!$B$33+IF(Inputs!$B$3&gt;=117,F98,0))/100)),MAX(0,Inputs!$B$35-((S76-1)*Skills!D3))))/Inputs!$B$35),IF(Inputs!$B$4="pvp",MIN((Skills!S3*(1+(Inputs!$B$33+IF(Inputs!$B$3&gt;=117,F98,0))/100)),15)/15,(Skills!S3*(1+(Inputs!$B$33+IF(Inputs!$B$3&gt;=117,F98,0))/100))/Skills!D3)),0)+IF(C77=TRUE,F77*IF(AND(Inputs!$B$4&lt;&gt;"pvp",Inputs!$B$35&gt;0),(((S77-1)*(Skills!S4*(1+(Inputs!$B$33+IF(Inputs!$B$3&gt;=117,F98,0))/100))+MIN((Skills!S4*(1+(Inputs!$B$33+IF(Inputs!$B$3&gt;=117,F98,0))/100)),MAX(0,Inputs!$B$35-((S77-1)*Skills!D4))))/Inputs!$B$35),IF(Inputs!$B$4="pvp",MIN((Skills!S4*(1+(Inputs!$B$33+IF(Inputs!$B$3&gt;=117,F98,0))/100)),15)/15,(Skills!S4*(1+(Inputs!$B$33+IF(Inputs!$B$3&gt;=117,F98,0))/100))/Skills!D4)),0)+IF(C78=TRUE,F78*IF(AND(Inputs!$B$4&lt;&gt;"pvp",Inputs!$B$35&gt;0),(((S78-1)*(Skills!S5*(1+(Inputs!$B$33+IF(Inputs!$B$3&gt;=117,F98,0))/100))+MIN((Skills!S5*(1+(Inputs!$B$33+IF(Inputs!$B$3&gt;=117,F98,0))/100)),MAX(0,Inputs!$B$35-((S78-1)*Skills!D5))))/Inputs!$B$35),IF(Inputs!$B$4="pvp",MIN((Skills!S5*(1+(Inputs!$B$33+IF(Inputs!$B$3&gt;=117,F98,0))/100)),15)/15,(Skills!S5*(1+(Inputs!$B$33+IF(Inputs!$B$3&gt;=117,F98,0))/100))/Skills!D5)),0)+IF(C84=TRUE,F84*IF(AND(Inputs!$B$4&lt;&gt;"pvp",Inputs!$B$35&gt;0),(((S84-1)*(Skills!S11*(1+(Inputs!$B$33+IF(Inputs!$B$3&gt;=117,F98,0))/100))+MIN((Skills!S11*(1+(Inputs!$B$33+IF(Inputs!$B$3&gt;=117,F98,0))/100)),MAX(0,Inputs!$B$35-((S84-1)*Skills!D11))))/Inputs!$B$35),IF(Inputs!$B$4="pvp",MIN((Skills!S11*(1+(Inputs!$B$33+IF(Inputs!$B$3&gt;=117,F98,0))/100)),15)/15,(Skills!S11*(1+(Inputs!$B$33+IF(Inputs!$B$3&gt;=117,F98,0))/100))/Skills!D11)),0))/100)*IF(C86=TRUE,(1+F86*IF(AND(Inputs!$B$4&lt;&gt;"pvp",Inputs!$B$35&gt;0),(((S86-1)*(Skills!S13*(1+(Inputs!$B$33+IF(Inputs!$B$3&gt;=117,F98,0))/100))+MIN((Skills!S13*(1+(Inputs!$B$33+IF(Inputs!$B$3&gt;=117,F98,0))/100)),MAX(0,Inputs!$B$35-((S86-1)*Skills!D13))))/Inputs!$B$35),IF(Inputs!$B$4="pvp",MIN((Skills!S13*(1+(Inputs!$B$33+IF(Inputs!$B$3&gt;=117,F98,0))/100)),15)/15,(Skills!S13*(1+(Inputs!$B$33+IF(Inputs!$B$3&gt;=117,F98,0))/100))/Skills!D13))/100),1)*IF(C91=TRUE,(1+F91*IF(AND(Inputs!$B$4&lt;&gt;"pvp",Inputs!$B$35&gt;0),(((S91-1)*(Skills!S18*(1+(Inputs!$B$33+IF(Inputs!$B$3&gt;=117,F98,0))/100))+MIN((Skills!S18*(1+(Inputs!$B$33+IF(Inputs!$B$3&gt;=117,F98,0))/100)),MAX(0,Inputs!$B$35-((S91-1)*Skills!D18))))/Inputs!$B$35),IF(Inputs!$B$4="pvp",MIN((Skills!S18*(1+(Inputs!$B$33+IF(Inputs!$B$3&gt;=117,F98,0))/100)),15)/15,(Skills!S18*(1+(Inputs!$B$33+IF(Inputs!$B$3&gt;=117,F98,0))/100))/Skills!D18))/100),1)</f>
        <v/>
      </c>
    </row>
    <row r="102">
      <c r="A102" t="inlineStr">
        <is>
          <t>Monster Damage Taken Bonus % (Holy Fountain)</t>
        </is>
      </c>
      <c r="B102">
        <f>IF(Inputs!$B$3&gt;=68,20*IF(Inputs!$B$4="pvp",MIN((15*(1+(Inputs!$B$33+IF(Inputs!$B$3&gt;=117,F98,0))/100)),15)/15,(15*(1+(Inputs!$B$33+IF(Inputs!$B$3&gt;=117,F98,0))/100))/Skills!D10),0)</f>
        <v/>
      </c>
    </row>
    <row r="103">
      <c r="A103" t="inlineStr">
        <is>
          <t>Normal Monster Damage Bonus % (Holy Symbol)</t>
        </is>
      </c>
      <c r="B103">
        <f>IF(C85=TRUE,F85*IF(AND(Inputs!$B$4&lt;&gt;"pvp",Inputs!$B$35&gt;0),(((S85-1)*(Skills!S12*(1+(Inputs!$B$33+IF(Inputs!$B$3&gt;=117,F98,0))/100))+MIN((Skills!S12*(1+(Inputs!$B$33+IF(Inputs!$B$3&gt;=117,F98,0))/100)),MAX(0,Inputs!$B$35-((S85-1)*Skills!D12))))/Inputs!$B$35),IF(Inputs!$B$4="pvp",MIN((Skills!S12*(1+(Inputs!$B$33+IF(Inputs!$B$3&gt;=117,F98,0))/100)),15)/15,(Skills!S12*(1+(Inputs!$B$33+IF(Inputs!$B$3&gt;=117,F98,0))/100))/Skills!D12)),0)</f>
        <v/>
      </c>
    </row>
    <row r="104">
      <c r="A104" t="inlineStr">
        <is>
          <t>Damage % Bonus (Holy Symbol - Damage Boost)</t>
        </is>
      </c>
      <c r="B104">
        <f>Skills!O12</f>
        <v/>
      </c>
    </row>
    <row r="105">
      <c r="A105" t="inlineStr">
        <is>
          <t>Crit Damage % Bonus (Blood of the Divine)</t>
        </is>
      </c>
      <c r="B105">
        <f>4*IF(C92=TRUE,F92,0)</f>
        <v/>
      </c>
    </row>
    <row r="106">
      <c r="A106" t="inlineStr">
        <is>
          <t>Attack Speed Bonus %</t>
        </is>
      </c>
      <c r="B106">
        <f>IF(C89=TRUE,F89+(F93-Calc!F20),0)+IF(Inputs!$B$3&gt;=134,15,0)</f>
        <v/>
      </c>
    </row>
    <row r="107">
      <c r="A107" t="inlineStr">
        <is>
          <t>Actions Per Second</t>
        </is>
      </c>
      <c r="B107">
        <f>1+MIN(150,150*(1-(1-Inputs!$B$10/150)*(1-B106/150)))/100</f>
        <v/>
      </c>
    </row>
    <row r="108">
      <c r="A108" t="inlineStr">
        <is>
          <t>Skill + Buff Cast Rate</t>
        </is>
      </c>
      <c r="B108">
        <f>IF(AND(Inputs!$B$4&lt;&gt;"pvp",Inputs!$B$35&gt;0),SUMPRODUCT((Skills!E2:E26=TRUE)*(C75:C99=TRUE)*S75:S99)/Inputs!$B$35,SUMPRODUCT((Skills!E2:E26=TRUE)*(C75:C99=TRUE)*V75:V99))</f>
        <v/>
      </c>
    </row>
    <row r="109">
      <c r="A109" t="inlineStr">
        <is>
          <t>Big Bang Casts Per Second</t>
        </is>
      </c>
      <c r="B109">
        <f>MAX(0,B107-B108)</f>
        <v/>
      </c>
    </row>
    <row r="111">
      <c r="A111" s="5" t="inlineStr">
        <is>
          <t>TOTAL DPS</t>
        </is>
      </c>
      <c r="B111" s="5">
        <f>SUM(O75:O99)</f>
        <v/>
      </c>
    </row>
    <row r="114">
      <c r="A114" s="5" t="inlineStr">
        <is>
          <t>Stat: DAMAGE %</t>
        </is>
      </c>
    </row>
    <row r="115">
      <c r="A115" s="8" t="inlineStr">
        <is>
          <t>Key</t>
        </is>
      </c>
      <c r="B115" s="8" t="inlineStr">
        <is>
          <t>Name</t>
        </is>
      </c>
      <c r="C115" s="8" t="inlineStr">
        <is>
          <t>Unlocked</t>
        </is>
      </c>
      <c r="D115" s="8" t="inlineStr">
        <is>
          <t>InputLevel</t>
        </is>
      </c>
      <c r="E115" s="8" t="inlineStr">
        <is>
          <t>Factor</t>
        </is>
      </c>
      <c r="F115" s="8" t="inlineStr">
        <is>
          <t>CoefficientPercent</t>
        </is>
      </c>
      <c r="G115" s="8" t="inlineStr">
        <is>
          <t>EffectiveHits</t>
        </is>
      </c>
      <c r="H115" s="8" t="inlineStr">
        <is>
          <t>ProcProbability</t>
        </is>
      </c>
      <c r="I115" s="8" t="inlineStr">
        <is>
          <t>MapleHeroMultiplier</t>
        </is>
      </c>
      <c r="J115" s="8" t="inlineStr">
        <is>
          <t>BaseDamage</t>
        </is>
      </c>
      <c r="K115" s="8" t="inlineStr">
        <is>
          <t>BaseHitDamage</t>
        </is>
      </c>
      <c r="L115" s="8" t="inlineStr">
        <is>
          <t>NonCritAvg</t>
        </is>
      </c>
      <c r="M115" s="8" t="inlineStr">
        <is>
          <t>CritAvg</t>
        </is>
      </c>
      <c r="N115" s="8" t="inlineStr">
        <is>
          <t>ExpectedDamage(perHit)</t>
        </is>
      </c>
      <c r="O115" s="8" t="inlineStr">
        <is>
          <t>DPS</t>
        </is>
      </c>
      <c r="P115" s="8" t="inlineStr">
        <is>
          <t>% of Total</t>
        </is>
      </c>
      <c r="R115" t="inlineStr">
        <is>
          <t>helpers</t>
        </is>
      </c>
    </row>
    <row r="116">
      <c r="A116">
        <f>Skills!A2</f>
        <v/>
      </c>
      <c r="B116">
        <f>Skills!B2</f>
        <v/>
      </c>
      <c r="C116">
        <f>Inputs!$B$3&gt;=100</f>
        <v/>
      </c>
      <c r="D116" t="inlineStr"/>
      <c r="E116" t="inlineStr"/>
      <c r="F116">
        <f>T118+Skills!N2</f>
        <v/>
      </c>
      <c r="G116">
        <f>Calc!G2</f>
        <v/>
      </c>
      <c r="H116">
        <f>Calc!H2</f>
        <v/>
      </c>
      <c r="I116">
        <f>IF(Skills!T2&lt;&gt;"",1+(Skills!T2/10)*($Z$3/1000)/100,1)</f>
        <v/>
      </c>
      <c r="J116">
        <f>((Inputs!$B$5*(1+Inputs!$B$6/100))+((Inputs!$B$11*(1+Inputs!$B$12/100))-(Inputs!$B$11*(1+Inputs!$B$12/100)))*(1+Inputs!$B$6/100))*(F116/100)</f>
        <v/>
      </c>
      <c r="K116">
        <f>J116*(1+((Inputs!$B$11*(1+Inputs!$B$12/100))*0.01+Inputs!$B$13*0.0025)/100)*(1+((Inputs!$B$14+1)+B145)/100)*(1+IF(Inputs!$B$4="pvp",0,(1-Summary!$B$48)*(Inputs!$B$19+Skills!O2+B143)+Summary!$B$48*(Inputs!$B$20+Skills!P2+B144))/100)*(1+Inputs!$B$15/100)*(5000/(6000+Inputs!$B$7*(1-Inputs!$B$18/100)))*(1+Inputs!$B$23/100)*(1+IF(C131=TRUE,F131,0)/100)*(1+IF(C133=TRUE,F133,0)/100)*(1+IF(Skills!A2="TRIUMPH_FEATHER",IF(C129=TRUE,F129,0),0)/100)*(1+IF(C140=TRUE,F140,0)/100)^5*(1+(IF(Skills!A2="BIG_BANG",Inputs!$B$16,Inputs!$B$17))/100)*(B142*I116)</f>
        <v/>
      </c>
      <c r="L116">
        <f>K116*(MIN(Inputs!$B$21+(F135-Calc!F21),Inputs!$B$22)/100+Inputs!$B$22/100)/2</f>
        <v/>
      </c>
      <c r="M116">
        <f>L116*(1+(Inputs!$B$9+B146+(F138-Calc!F24))/100)</f>
        <v/>
      </c>
      <c r="N116">
        <f>L116*(1-MIN(Inputs!$B$8+((F137-Calc!F23)+(F136-Calc!F22)),100)/100)+M116*(MIN(Inputs!$B$8+((F137-Calc!F23)+(F136-Calc!F22)),100)/100)</f>
        <v/>
      </c>
      <c r="O116">
        <f>IF(C116,Skills!F2*N116*B150*IF(Inputs!$B$4="pvp",1,(1-Summary!$B$48)*(1)+Summary!$B$48*(MIN((6+Inputs!$B$32),Inputs!$B$37))),0)</f>
        <v/>
      </c>
      <c r="P116">
        <f>IF(B152=0,0,O116/B152)</f>
        <v/>
      </c>
      <c r="S116" t="n">
        <v>0</v>
      </c>
      <c r="T116">
        <f>MAX(0,(Inputs!$B$3-100)*3)+Inputs!$B$27+Inputs!$B$28</f>
        <v/>
      </c>
      <c r="V116">
        <f>IFERROR(1/IF(Inputs!$B$4="pvp",15,MAX(0.1,Skills!D2-IF(Skills!E2=TRUE,Inputs!$B$31,0))),0)</f>
        <v/>
      </c>
    </row>
    <row r="117">
      <c r="A117">
        <f>Skills!A3</f>
        <v/>
      </c>
      <c r="B117">
        <f>Skills!B3</f>
        <v/>
      </c>
      <c r="C117">
        <f>Inputs!$B$3&gt;=15</f>
        <v/>
      </c>
      <c r="D117">
        <f>IF(Skills!C3=1,60+Inputs!$B$24+Inputs!$B$28,IF(Skills!C3=2,90+Inputs!$B$25+Inputs!$B$28,IF(Skills!C3=3,120+Inputs!$B$26+Inputs!$B$28,MAX(0,(Inputs!$B$3-100)*3)+Inputs!$B$27+Inputs!$B$28)))</f>
        <v/>
      </c>
      <c r="E117">
        <f>INDEX(FactorTable!$B$2:$Y$301, MATCH(ROUND(MIN(300,MAX(1,D117)),0), FactorTable!$A$2:$A$301,0), Skills!L3+1)</f>
        <v/>
      </c>
      <c r="F117">
        <f>IF(Skills!M3=TRUE,(Skills!K3/10)*(E117/1000),Skills!K3/10)+Skills!N3</f>
        <v/>
      </c>
      <c r="G117">
        <f>Calc!G3</f>
        <v/>
      </c>
      <c r="H117">
        <f>Calc!H3</f>
        <v/>
      </c>
      <c r="I117">
        <f>IF(Skills!T3&lt;&gt;"",1+(Skills!T3/10)*($Z$3/1000)/100,1)</f>
        <v/>
      </c>
      <c r="J117" t="inlineStr"/>
      <c r="K117" t="inlineStr"/>
      <c r="L117" t="inlineStr"/>
      <c r="M117" t="inlineStr"/>
      <c r="N117" t="inlineStr"/>
      <c r="O117" t="n">
        <v>0</v>
      </c>
      <c r="P117">
        <f>IF(B152=0,0,O117/B152)</f>
        <v/>
      </c>
      <c r="S117">
        <f>IF(AND(Inputs!$B$4&lt;&gt;"pvp",Inputs!$B$35&gt;0),(INT(Inputs!$B$35/IF(Inputs!$B$4="pvp",15,MAX(0.1,Skills!D3-IF(Skills!E3=TRUE,Inputs!$B$31,0))))+1),0)</f>
        <v/>
      </c>
      <c r="T117">
        <f>INDEX(FactorTable!$B$2:$Y$301, MATCH(ROUND(MIN(300,MAX(1,T116)),0), FactorTable!$A$2:$A$301,0), 22)</f>
        <v/>
      </c>
      <c r="V117">
        <f>IFERROR(1/IF(Inputs!$B$4="pvp",15,MAX(0.1,Skills!D3-IF(Skills!E3=TRUE,Inputs!$B$31,0))),0)</f>
        <v/>
      </c>
    </row>
    <row r="118">
      <c r="A118">
        <f>Skills!A4</f>
        <v/>
      </c>
      <c r="B118">
        <f>Skills!B4</f>
        <v/>
      </c>
      <c r="C118">
        <f>Inputs!$B$3&gt;=38</f>
        <v/>
      </c>
      <c r="D118">
        <f>IF(Skills!C4=1,60+Inputs!$B$24+Inputs!$B$28,IF(Skills!C4=2,90+Inputs!$B$25+Inputs!$B$28,IF(Skills!C4=3,120+Inputs!$B$26+Inputs!$B$28,MAX(0,(Inputs!$B$3-100)*3)+Inputs!$B$27+Inputs!$B$28)))</f>
        <v/>
      </c>
      <c r="E118">
        <f>INDEX(FactorTable!$B$2:$Y$301, MATCH(ROUND(MIN(300,MAX(1,D118)),0), FactorTable!$A$2:$A$301,0), Skills!L4+1)</f>
        <v/>
      </c>
      <c r="F118">
        <f>IF(Skills!M4=TRUE,(Skills!K4/10)*(E118/1000),Skills!K4/10)+Skills!N4</f>
        <v/>
      </c>
      <c r="G118">
        <f>Calc!G4</f>
        <v/>
      </c>
      <c r="H118">
        <f>Calc!H4</f>
        <v/>
      </c>
      <c r="I118">
        <f>IF(Skills!T4&lt;&gt;"",1+(Skills!T4/10)*($Z$3/1000)/100,1)</f>
        <v/>
      </c>
      <c r="J118" t="inlineStr"/>
      <c r="K118" t="inlineStr"/>
      <c r="L118" t="inlineStr"/>
      <c r="M118" t="inlineStr"/>
      <c r="N118" t="inlineStr"/>
      <c r="O118" t="n">
        <v>0</v>
      </c>
      <c r="P118">
        <f>IF(B152=0,0,O118/B152)</f>
        <v/>
      </c>
      <c r="S118">
        <f>IF(AND(Inputs!$B$4&lt;&gt;"pvp",Inputs!$B$35&gt;0),(INT(Inputs!$B$35/IF(Inputs!$B$4="pvp",15,MAX(0.1,Skills!D4-IF(Skills!E4=TRUE,Inputs!$B$31,0))))+1),0)</f>
        <v/>
      </c>
      <c r="T118">
        <f>290*T117/1000</f>
        <v/>
      </c>
      <c r="V118">
        <f>IFERROR(1/IF(Inputs!$B$4="pvp",15,MAX(0.1,Skills!D4-IF(Skills!E4=TRUE,Inputs!$B$31,0))),0)</f>
        <v/>
      </c>
    </row>
    <row r="119">
      <c r="A119">
        <f>Skills!A5</f>
        <v/>
      </c>
      <c r="B119">
        <f>Skills!B5</f>
        <v/>
      </c>
      <c r="C119">
        <f>Inputs!$B$3&gt;=40</f>
        <v/>
      </c>
      <c r="D119">
        <f>IF(Skills!C5=1,60+Inputs!$B$24+Inputs!$B$28,IF(Skills!C5=2,90+Inputs!$B$25+Inputs!$B$28,IF(Skills!C5=3,120+Inputs!$B$26+Inputs!$B$28,MAX(0,(Inputs!$B$3-100)*3)+Inputs!$B$27+Inputs!$B$28)))</f>
        <v/>
      </c>
      <c r="E119">
        <f>INDEX(FactorTable!$B$2:$Y$301, MATCH(ROUND(MIN(300,MAX(1,D119)),0), FactorTable!$A$2:$A$301,0), Skills!L5+1)</f>
        <v/>
      </c>
      <c r="F119">
        <f>IF(Skills!M5=TRUE,(Skills!K5/10)*(E119/1000),Skills!K5/10)+Skills!N5</f>
        <v/>
      </c>
      <c r="G119">
        <f>Calc!G5</f>
        <v/>
      </c>
      <c r="H119">
        <f>Calc!H5</f>
        <v/>
      </c>
      <c r="I119">
        <f>IF(Skills!T5&lt;&gt;"",1+(Skills!T5/10)*($Z$3/1000)/100,1)</f>
        <v/>
      </c>
      <c r="J119" t="inlineStr"/>
      <c r="K119" t="inlineStr"/>
      <c r="L119" t="inlineStr"/>
      <c r="M119" t="inlineStr"/>
      <c r="N119" t="inlineStr"/>
      <c r="O119" t="n">
        <v>0</v>
      </c>
      <c r="P119">
        <f>IF(B152=0,0,O119/B152)</f>
        <v/>
      </c>
      <c r="S119">
        <f>IF(AND(Inputs!$B$4&lt;&gt;"pvp",Inputs!$B$35&gt;0),(INT(Inputs!$B$35/IF(Inputs!$B$4="pvp",15,MAX(0.1,Skills!D5-IF(Skills!E5=TRUE,Inputs!$B$31,0))))+1),0)</f>
        <v/>
      </c>
      <c r="V119">
        <f>IFERROR(1/IF(Inputs!$B$4="pvp",15,MAX(0.1,Skills!D5-IF(Skills!E5=TRUE,Inputs!$B$31,0))),0)</f>
        <v/>
      </c>
    </row>
    <row r="120">
      <c r="A120">
        <f>Skills!A6</f>
        <v/>
      </c>
      <c r="B120">
        <f>Skills!B6</f>
        <v/>
      </c>
      <c r="C120">
        <f>Inputs!$B$3&gt;=103</f>
        <v/>
      </c>
      <c r="D120">
        <f>IF(Skills!C6=1,60+Inputs!$B$24+Inputs!$B$28,IF(Skills!C6=2,90+Inputs!$B$25+Inputs!$B$28,IF(Skills!C6=3,120+Inputs!$B$26+Inputs!$B$28,MAX(0,(Inputs!$B$3-100)*3)+Inputs!$B$27+Inputs!$B$28)))</f>
        <v/>
      </c>
      <c r="E120">
        <f>INDEX(FactorTable!$B$2:$Y$301, MATCH(ROUND(MIN(300,MAX(1,D120)),0), FactorTable!$A$2:$A$301,0), Skills!L6+1)</f>
        <v/>
      </c>
      <c r="F120">
        <f>IF(Skills!M6=TRUE,(Skills!K6/10)*(E120/1000),Skills!K6/10)+Skills!N6</f>
        <v/>
      </c>
      <c r="G120">
        <f>Calc!G6</f>
        <v/>
      </c>
      <c r="H120">
        <f>Calc!H6</f>
        <v/>
      </c>
      <c r="I120">
        <f>IF(Skills!T6&lt;&gt;"",1+(Skills!T6/10)*($Z$3/1000)/100,1)</f>
        <v/>
      </c>
      <c r="J120">
        <f>((Inputs!$B$5*(1+Inputs!$B$6/100))+((Inputs!$B$11*(1+Inputs!$B$12/100))-(Inputs!$B$11*(1+Inputs!$B$12/100)))*(1+Inputs!$B$6/100))*(F120/100)</f>
        <v/>
      </c>
      <c r="K120">
        <f>J120*(1+((Inputs!$B$11*(1+Inputs!$B$12/100))*0.01+Inputs!$B$13*0.0025)/100)*(1+((Inputs!$B$14+1)+B145)/100)*(1+IF(Inputs!$B$4="pvp",0,(1-Summary!$B$48)*(Inputs!$B$19+Skills!O6+B143)+Summary!$B$48*(Inputs!$B$20+Skills!P6+B144))/100)*(1+Inputs!$B$15/100)*(5000/(6000+Inputs!$B$7*(1-Inputs!$B$18/100)))*(1+Inputs!$B$23/100)*(1+IF(C131=TRUE,F131,0)/100)*(1+IF(C133=TRUE,F133,0)/100)*(1+IF(Skills!A6="TRIUMPH_FEATHER",IF(C129=TRUE,F129,0),0)/100)*(1+IF(C140=TRUE,F140,0)/100)^5*(1+(IF(Skills!A6="BIG_BANG",Inputs!$B$16,Inputs!$B$17))/100)*(B142*I120)</f>
        <v/>
      </c>
      <c r="L120">
        <f>K120*(MIN(Inputs!$B$21+(F135-Calc!F21),Inputs!$B$22)/100+Inputs!$B$22/100)/2</f>
        <v/>
      </c>
      <c r="M120">
        <f>L120*(1+(Inputs!$B$9+B146+(F138-Calc!F24))/100)</f>
        <v/>
      </c>
      <c r="N120">
        <f>L120*(1-MIN(Inputs!$B$8+((F137-Calc!F23)+(F136-Calc!F22)),100)/100)+M120*(MIN(Inputs!$B$8+((F137-Calc!F23)+(F136-Calc!F22)),100)/100)</f>
        <v/>
      </c>
      <c r="O120">
        <f>IF(C120,H120*N120*IF(AND(Inputs!$B$4&lt;&gt;"pvp",Inputs!$B$35&gt;0),((Skills!F6*((S120-1)*IF(Skills!G6&gt;0,Skills!H6/Skills!G6,1)+IF(Skills!G6&gt;0,MIN(Skills!H6,MAX(0,Inputs!$B$35-((S120-1)*IF(Inputs!$B$4="pvp",15,MAX(0.1,Skills!D6-IF(Skills!E6=TRUE,Inputs!$B$31,0))))))/Skills!G6,1)))/Inputs!$B$35),G120*V120)*IF(Inputs!$B$4="pvp",1,(1-Summary!$B$48)*(1)+Summary!$B$48*(MIN(Skills!Q6,Inputs!$B$37))),0)</f>
        <v/>
      </c>
      <c r="P120">
        <f>IF(B152=0,0,O120/B152)</f>
        <v/>
      </c>
      <c r="S120">
        <f>IF(AND(Inputs!$B$4&lt;&gt;"pvp",Inputs!$B$35&gt;0),(INT(Inputs!$B$35/IF(Inputs!$B$4="pvp",15,MAX(0.1,Skills!D6-IF(Skills!E6=TRUE,Inputs!$B$31,0))))+1),0)</f>
        <v/>
      </c>
      <c r="V120">
        <f>IFERROR(1/IF(Inputs!$B$4="pvp",15,MAX(0.1,Skills!D6-IF(Skills!E6=TRUE,Inputs!$B$31,0))),0)</f>
        <v/>
      </c>
    </row>
    <row r="121">
      <c r="A121">
        <f>Skills!A7</f>
        <v/>
      </c>
      <c r="B121">
        <f>Skills!B7</f>
        <v/>
      </c>
      <c r="C121">
        <f>Inputs!$B$3&gt;=122</f>
        <v/>
      </c>
      <c r="D121">
        <f>IF(Skills!C7=1,60+Inputs!$B$24+Inputs!$B$28,IF(Skills!C7=2,90+Inputs!$B$25+Inputs!$B$28,IF(Skills!C7=3,120+Inputs!$B$26+Inputs!$B$28,MAX(0,(Inputs!$B$3-100)*3)+Inputs!$B$27+Inputs!$B$28)))</f>
        <v/>
      </c>
      <c r="E121">
        <f>INDEX(FactorTable!$B$2:$Y$301, MATCH(ROUND(MIN(300,MAX(1,D121)),0), FactorTable!$A$2:$A$301,0), Skills!L7+1)</f>
        <v/>
      </c>
      <c r="F121">
        <f>IF(Skills!M7=TRUE,(Skills!K7/10)*(E121/1000),Skills!K7/10)+Skills!N7</f>
        <v/>
      </c>
      <c r="G121">
        <f>Calc!G7</f>
        <v/>
      </c>
      <c r="H121">
        <f>Calc!H7</f>
        <v/>
      </c>
      <c r="I121">
        <f>IF(Skills!T7&lt;&gt;"",1+(Skills!T7/10)*($Z$3/1000)/100,1)</f>
        <v/>
      </c>
      <c r="J121">
        <f>((Inputs!$B$5*(1+Inputs!$B$6/100))+((Inputs!$B$11*(1+Inputs!$B$12/100))-(Inputs!$B$11*(1+Inputs!$B$12/100)))*(1+Inputs!$B$6/100))*(F121/100)</f>
        <v/>
      </c>
      <c r="K121">
        <f>J121*(1+((Inputs!$B$11*(1+Inputs!$B$12/100))*0.01+Inputs!$B$13*0.0025)/100)*(1+((Inputs!$B$14+1)+B145)/100)*(1+IF(Inputs!$B$4="pvp",0,(1-Summary!$B$48)*(Inputs!$B$19+Skills!O7+B143)+Summary!$B$48*(Inputs!$B$20+Skills!P7+B144))/100)*(1+Inputs!$B$15/100)*(5000/(6000+Inputs!$B$7*(1-Inputs!$B$18/100)))*(1+Inputs!$B$23/100)*(1+IF(C131=TRUE,F131,0)/100)*(1+IF(C133=TRUE,F133,0)/100)*(1+IF(Skills!A7="TRIUMPH_FEATHER",IF(C129=TRUE,F129,0),0)/100)*(1+IF(C140=TRUE,F140,0)/100)^5*(1+(IF(Skills!A7="BIG_BANG",Inputs!$B$16,Inputs!$B$17))/100)*(B142*I121)</f>
        <v/>
      </c>
      <c r="L121">
        <f>K121*(MIN(Inputs!$B$21+(F135-Calc!F21),Inputs!$B$22)/100+Inputs!$B$22/100)/2</f>
        <v/>
      </c>
      <c r="M121">
        <f>L121*(1+(Inputs!$B$9+B146+(F138-Calc!F24))/100)</f>
        <v/>
      </c>
      <c r="N121">
        <f>L121*(1-MIN(Inputs!$B$8+((F137-Calc!F23)+(F136-Calc!F22)),100)/100)+M121*(MIN(Inputs!$B$8+((F137-Calc!F23)+(F136-Calc!F22)),100)/100)</f>
        <v/>
      </c>
      <c r="O121">
        <f>IF(C121,H121*N121*IF(AND(Inputs!$B$4&lt;&gt;"pvp",Inputs!$B$35&gt;0),((Skills!F7*((S121-1)*IF(Skills!G7&gt;0,Skills!H7/Skills!G7,1)+IF(Skills!G7&gt;0,MIN(Skills!H7,MAX(0,Inputs!$B$35-((S121-1)*IF(Inputs!$B$4="pvp",15,MAX(0.1,Skills!D7-IF(Skills!E6=TRUE,Inputs!$B$31,0))))))/Skills!G7,1)))/Inputs!$B$35),G121*V121)*(1-Summary!$B$48),0)</f>
        <v/>
      </c>
      <c r="P121">
        <f>IF(B152=0,0,O121/B152)</f>
        <v/>
      </c>
      <c r="S121">
        <f>IF(AND(Inputs!$B$4&lt;&gt;"pvp",Inputs!$B$35&gt;0),(INT(Inputs!$B$35/IF(Inputs!$B$4="pvp",15,MAX(0.1,Skills!D7-IF(Skills!E6=TRUE,Inputs!$B$31,0))))+1),0)</f>
        <v/>
      </c>
      <c r="V121">
        <f>IFERROR(1/IF(Inputs!$B$4="pvp",15,MAX(0.1,Skills!D7-IF(Skills!E6=TRUE,Inputs!$B$31,0))),0)</f>
        <v/>
      </c>
    </row>
    <row r="122">
      <c r="A122">
        <f>Skills!A8</f>
        <v/>
      </c>
      <c r="B122">
        <f>Skills!B8</f>
        <v/>
      </c>
      <c r="C122">
        <f>Inputs!$B$3&gt;=105</f>
        <v/>
      </c>
      <c r="D122">
        <f>IF(Skills!C8=1,60+Inputs!$B$24+Inputs!$B$28,IF(Skills!C8=2,90+Inputs!$B$25+Inputs!$B$28,IF(Skills!C8=3,120+Inputs!$B$26+Inputs!$B$28,MAX(0,(Inputs!$B$3-100)*3)+Inputs!$B$27+Inputs!$B$28)))</f>
        <v/>
      </c>
      <c r="E122">
        <f>INDEX(FactorTable!$B$2:$Y$301, MATCH(ROUND(MIN(300,MAX(1,D122)),0), FactorTable!$A$2:$A$301,0), Skills!L8+1)</f>
        <v/>
      </c>
      <c r="F122">
        <f>IF(Skills!M8=TRUE,(Skills!K8/10)*(E122/1000),Skills!K8/10)+Skills!N8</f>
        <v/>
      </c>
      <c r="G122">
        <f>Calc!G8</f>
        <v/>
      </c>
      <c r="H122">
        <f>Calc!H8</f>
        <v/>
      </c>
      <c r="I122">
        <f>IF(Skills!T8&lt;&gt;"",1+(Skills!T8/10)*($Z$3/1000)/100,1)</f>
        <v/>
      </c>
      <c r="J122">
        <f>((Inputs!$B$5*(1+Inputs!$B$6/100))+((Inputs!$B$11*(1+Inputs!$B$12/100))-(Inputs!$B$11*(1+Inputs!$B$12/100)))*(1+Inputs!$B$6/100))*(F122/100)</f>
        <v/>
      </c>
      <c r="K122">
        <f>J122*(1+((Inputs!$B$11*(1+Inputs!$B$12/100))*0.01+Inputs!$B$13*0.0025)/100)*(1+((Inputs!$B$14+1)+B145)/100)*(1+IF(Inputs!$B$4="pvp",0,(1-Summary!$B$48)*(Inputs!$B$19+Skills!O8+B143)+Summary!$B$48*(Inputs!$B$20+Skills!P8+B144))/100)*(1+Inputs!$B$15/100)*(5000/(6000+Inputs!$B$7*(1-Inputs!$B$18/100)))*(1+Inputs!$B$23/100)*(1+IF(C131=TRUE,F131,0)/100)*(1+IF(C133=TRUE,F133,0)/100)*(1+IF(Skills!A8="TRIUMPH_FEATHER",IF(C129=TRUE,F129,0),0)/100)*(1+IF(C140=TRUE,F140,0)/100)^5*(1+(IF(Skills!A8="BIG_BANG",Inputs!$B$16,Inputs!$B$17))/100)*(B142*I122)</f>
        <v/>
      </c>
      <c r="L122">
        <f>K122*(MIN(Inputs!$B$21+(F135-Calc!F21),Inputs!$B$22)/100+Inputs!$B$22/100)/2</f>
        <v/>
      </c>
      <c r="M122">
        <f>L122*(1+(Inputs!$B$9+B146+(F138-Calc!F24))/100)</f>
        <v/>
      </c>
      <c r="N122">
        <f>L122*(1-MIN(Inputs!$B$8+((F137-Calc!F23)+(F136-Calc!F22)),100)/100)+M122*(MIN(Inputs!$B$8+((F137-Calc!F23)+(F136-Calc!F22)),100)/100)</f>
        <v/>
      </c>
      <c r="O122">
        <f>IF(C122,H122*N122*IF(AND(Inputs!$B$4&lt;&gt;"pvp",Inputs!$B$35&gt;0),((Skills!F8*((S122-1)*IF(Skills!G8&gt;0,Skills!H8/Skills!G8,1)+IF(Skills!G8&gt;0,MIN(Skills!H8,MAX(0,Inputs!$B$35-((S122-1)*IF(Inputs!$B$4="pvp",15,MAX(0.1,Skills!D8-IF(Skills!E8=TRUE,Inputs!$B$31,0))))))/Skills!G8,1)))/Inputs!$B$35),G122*V122)*IF(Inputs!$B$4="pvp",1,(1-Summary!$B$48)*(1)+Summary!$B$48*(MIN(Skills!Q8,Inputs!$B$37))),0)</f>
        <v/>
      </c>
      <c r="P122">
        <f>IF(B152=0,0,O122/B152)</f>
        <v/>
      </c>
      <c r="S122">
        <f>IF(AND(Inputs!$B$4&lt;&gt;"pvp",Inputs!$B$35&gt;0),(INT(Inputs!$B$35/IF(Inputs!$B$4="pvp",15,MAX(0.1,Skills!D8-IF(Skills!E8=TRUE,Inputs!$B$31,0))))+1),0)</f>
        <v/>
      </c>
      <c r="V122">
        <f>IFERROR(1/IF(Inputs!$B$4="pvp",15,MAX(0.1,Skills!D8-IF(Skills!E8=TRUE,Inputs!$B$31,0))),0)</f>
        <v/>
      </c>
    </row>
    <row r="123">
      <c r="A123">
        <f>Skills!A9</f>
        <v/>
      </c>
      <c r="B123">
        <f>Skills!B9</f>
        <v/>
      </c>
      <c r="C123">
        <f>Inputs!$B$3&gt;=115</f>
        <v/>
      </c>
      <c r="D123">
        <f>IF(Skills!C9=1,60+Inputs!$B$24+Inputs!$B$28,IF(Skills!C9=2,90+Inputs!$B$25+Inputs!$B$28,IF(Skills!C9=3,120+Inputs!$B$26+Inputs!$B$28,MAX(0,(Inputs!$B$3-100)*3)+Inputs!$B$27+Inputs!$B$28)))</f>
        <v/>
      </c>
      <c r="E123">
        <f>INDEX(FactorTable!$B$2:$Y$301, MATCH(ROUND(MIN(300,MAX(1,D123)),0), FactorTable!$A$2:$A$301,0), Skills!L9+1)</f>
        <v/>
      </c>
      <c r="F123">
        <f>IF(Skills!M9=TRUE,(Skills!K9/10)*(E123/1000),Skills!K9/10)+Skills!N9</f>
        <v/>
      </c>
      <c r="G123">
        <f>Calc!G9</f>
        <v/>
      </c>
      <c r="H123">
        <f>Calc!H9</f>
        <v/>
      </c>
      <c r="I123">
        <f>IF(Skills!T9&lt;&gt;"",1+(Skills!T9/10)*($Z$3/1000)/100,1)</f>
        <v/>
      </c>
      <c r="J123">
        <f>((Inputs!$B$5*(1+Inputs!$B$6/100))+((Inputs!$B$11*(1+Inputs!$B$12/100))-(Inputs!$B$11*(1+Inputs!$B$12/100)))*(1+Inputs!$B$6/100))*(F123/100)</f>
        <v/>
      </c>
      <c r="K123">
        <f>J123*(1+((Inputs!$B$11*(1+Inputs!$B$12/100))*0.01+Inputs!$B$13*0.0025)/100)*(1+((Inputs!$B$14+1)+B145)/100)*(1+IF(Inputs!$B$4="pvp",0,(1-Summary!$B$48)*(Inputs!$B$19+Skills!O9+B143)+Summary!$B$48*(Inputs!$B$20+Skills!P9+B144))/100)*(1+Inputs!$B$15/100)*(5000/(6000+Inputs!$B$7*(1-Inputs!$B$18/100)))*(1+Inputs!$B$23/100)*(1+IF(C131=TRUE,F131,0)/100)*(1+IF(C133=TRUE,F133,0)/100)*(1+IF(Skills!A9="TRIUMPH_FEATHER",IF(C129=TRUE,F129,0),0)/100)*(1+IF(C140=TRUE,F140,0)/100)^5*(1+(IF(Skills!A9="BIG_BANG",Inputs!$B$16,Inputs!$B$17))/100)*(B142*I123)</f>
        <v/>
      </c>
      <c r="L123">
        <f>K123*(MIN(Inputs!$B$21+(F135-Calc!F21),Inputs!$B$22)/100+Inputs!$B$22/100)/2</f>
        <v/>
      </c>
      <c r="M123">
        <f>L123*(1+(Inputs!$B$9+B146+(F138-Calc!F24))/100)</f>
        <v/>
      </c>
      <c r="N123">
        <f>L123*(1-MIN(Inputs!$B$8+((F137-Calc!F23)+(F136-Calc!F22)),100)/100)+M123*(MIN(Inputs!$B$8+((F137-Calc!F23)+(F136-Calc!F22)),100)/100)</f>
        <v/>
      </c>
      <c r="O123">
        <f>IF(C123,H123*N123*IF(AND(Inputs!$B$4&lt;&gt;"pvp",Inputs!$B$35&gt;0),((Skills!F9*((S123-1)*IF(Skills!G9&gt;0,Skills!H9/Skills!G9,1)+IF(Skills!G9&gt;0,MIN(Skills!H9,MAX(0,Inputs!$B$35-((S123-1)*IF(Inputs!$B$4="pvp",15,MAX(0.1,Skills!D9-IF(Skills!E9=TRUE,Inputs!$B$31,0))))))/Skills!G9,1)))/Inputs!$B$35),G123*V123)*IF(Inputs!$B$4="pvp",1,(1-Summary!$B$48)*(1)+Summary!$B$48*(MIN(Skills!Q9,Inputs!$B$37))),0)</f>
        <v/>
      </c>
      <c r="P123">
        <f>IF(B152=0,0,O123/B152)</f>
        <v/>
      </c>
      <c r="S123">
        <f>IF(AND(Inputs!$B$4&lt;&gt;"pvp",Inputs!$B$35&gt;0),(INT(Inputs!$B$35/IF(Inputs!$B$4="pvp",15,MAX(0.1,Skills!D9-IF(Skills!E9=TRUE,Inputs!$B$31,0))))+1),0)</f>
        <v/>
      </c>
      <c r="V123">
        <f>IFERROR(1/IF(Inputs!$B$4="pvp",15,MAX(0.1,Skills!D9-IF(Skills!E9=TRUE,Inputs!$B$31,0))),0)</f>
        <v/>
      </c>
    </row>
    <row r="124">
      <c r="A124">
        <f>Skills!A10</f>
        <v/>
      </c>
      <c r="B124">
        <f>Skills!B10</f>
        <v/>
      </c>
      <c r="C124">
        <f>Inputs!$B$3&gt;=66</f>
        <v/>
      </c>
      <c r="D124">
        <f>IF(Skills!C10=1,60+Inputs!$B$24+Inputs!$B$28,IF(Skills!C10=2,90+Inputs!$B$25+Inputs!$B$28,IF(Skills!C10=3,120+Inputs!$B$26+Inputs!$B$28,MAX(0,(Inputs!$B$3-100)*3)+Inputs!$B$27+Inputs!$B$28)))</f>
        <v/>
      </c>
      <c r="E124">
        <f>INDEX(FactorTable!$B$2:$Y$301, MATCH(ROUND(MIN(300,MAX(1,D124)),0), FactorTable!$A$2:$A$301,0), Skills!L10+1)</f>
        <v/>
      </c>
      <c r="F124" t="n">
        <v>0</v>
      </c>
      <c r="G124">
        <f>Calc!G10</f>
        <v/>
      </c>
      <c r="H124">
        <f>Calc!H10</f>
        <v/>
      </c>
      <c r="I124">
        <f>IF(Skills!T10&lt;&gt;"",1+(Skills!T10/10)*($Z$3/1000)/100,1)</f>
        <v/>
      </c>
      <c r="J124" t="inlineStr"/>
      <c r="K124" t="inlineStr"/>
      <c r="L124" t="inlineStr"/>
      <c r="M124" t="inlineStr"/>
      <c r="N124" t="inlineStr"/>
      <c r="O124" t="n">
        <v>0</v>
      </c>
      <c r="P124">
        <f>IF(B152=0,0,O124/B152)</f>
        <v/>
      </c>
      <c r="S124">
        <f>IF(AND(Inputs!$B$4&lt;&gt;"pvp",Inputs!$B$35&gt;0),(INT(Inputs!$B$35/IF(Inputs!$B$4="pvp",15,MAX(0.1,Skills!D10-IF(Skills!E10=TRUE,Inputs!$B$31,0))))+1),0)</f>
        <v/>
      </c>
      <c r="V124">
        <f>IFERROR(1/IF(Inputs!$B$4="pvp",15,MAX(0.1,Skills!D10-IF(Skills!E10=TRUE,Inputs!$B$31,0))),0)</f>
        <v/>
      </c>
    </row>
    <row r="125">
      <c r="A125">
        <f>Skills!A11</f>
        <v/>
      </c>
      <c r="B125">
        <f>Skills!B11</f>
        <v/>
      </c>
      <c r="C125">
        <f>Inputs!$B$3&gt;=69</f>
        <v/>
      </c>
      <c r="D125">
        <f>IF(Skills!C11=1,60+Inputs!$B$24+Inputs!$B$28,IF(Skills!C11=2,90+Inputs!$B$25+Inputs!$B$28,IF(Skills!C11=3,120+Inputs!$B$26+Inputs!$B$28,MAX(0,(Inputs!$B$3-100)*3)+Inputs!$B$27+Inputs!$B$28)))</f>
        <v/>
      </c>
      <c r="E125">
        <f>INDEX(FactorTable!$B$2:$Y$301, MATCH(ROUND(MIN(300,MAX(1,D125)),0), FactorTable!$A$2:$A$301,0), Skills!L11+1)</f>
        <v/>
      </c>
      <c r="F125">
        <f>IF(Skills!M11=TRUE,(Skills!K11/10)*(E125/1000),Skills!K11/10)+Skills!N11</f>
        <v/>
      </c>
      <c r="G125">
        <f>Calc!G11</f>
        <v/>
      </c>
      <c r="H125">
        <f>Calc!H11</f>
        <v/>
      </c>
      <c r="I125">
        <f>IF(Skills!T11&lt;&gt;"",1+(Skills!T11/10)*($Z$3/1000)/100,1)</f>
        <v/>
      </c>
      <c r="J125" t="inlineStr"/>
      <c r="K125" t="inlineStr"/>
      <c r="L125" t="inlineStr"/>
      <c r="M125" t="inlineStr"/>
      <c r="N125" t="inlineStr"/>
      <c r="O125" t="n">
        <v>0</v>
      </c>
      <c r="P125">
        <f>IF(B152=0,0,O125/B152)</f>
        <v/>
      </c>
      <c r="S125">
        <f>IF(AND(Inputs!$B$4&lt;&gt;"pvp",Inputs!$B$35&gt;0),(INT(Inputs!$B$35/IF(Inputs!$B$4="pvp",15,MAX(0.1,Skills!D11-IF(Skills!E11=TRUE,Inputs!$B$31,0))))+1),0)</f>
        <v/>
      </c>
      <c r="V125">
        <f>IFERROR(1/IF(Inputs!$B$4="pvp",15,MAX(0.1,Skills!D11-IF(Skills!E11=TRUE,Inputs!$B$31,0))),0)</f>
        <v/>
      </c>
    </row>
    <row r="126">
      <c r="A126">
        <f>Skills!A12</f>
        <v/>
      </c>
      <c r="B126">
        <f>Skills!B12</f>
        <v/>
      </c>
      <c r="C126">
        <f>Inputs!$B$3&gt;=72</f>
        <v/>
      </c>
      <c r="D126">
        <f>IF(Skills!C12=1,60+Inputs!$B$24+Inputs!$B$28,IF(Skills!C12=2,90+Inputs!$B$25+Inputs!$B$28,IF(Skills!C12=3,120+Inputs!$B$26+Inputs!$B$28,MAX(0,(Inputs!$B$3-100)*3)+Inputs!$B$27+Inputs!$B$28)))</f>
        <v/>
      </c>
      <c r="E126">
        <f>INDEX(FactorTable!$B$2:$Y$301, MATCH(ROUND(MIN(300,MAX(1,D126)),0), FactorTable!$A$2:$A$301,0), Skills!L12+1)</f>
        <v/>
      </c>
      <c r="F126">
        <f>IF(Skills!M12=TRUE,(Skills!K12/10)*(E126/1000),Skills!K12/10)+Skills!N12</f>
        <v/>
      </c>
      <c r="G126">
        <f>Calc!G12</f>
        <v/>
      </c>
      <c r="H126">
        <f>Calc!H12</f>
        <v/>
      </c>
      <c r="I126">
        <f>IF(Skills!T12&lt;&gt;"",1+(Skills!T12/10)*($Z$3/1000)/100,1)</f>
        <v/>
      </c>
      <c r="J126" t="inlineStr"/>
      <c r="K126" t="inlineStr"/>
      <c r="L126" t="inlineStr"/>
      <c r="M126" t="inlineStr"/>
      <c r="N126" t="inlineStr"/>
      <c r="O126" t="n">
        <v>0</v>
      </c>
      <c r="P126">
        <f>IF(B152=0,0,O126/B152)</f>
        <v/>
      </c>
      <c r="S126">
        <f>IF(AND(Inputs!$B$4&lt;&gt;"pvp",Inputs!$B$35&gt;0),(INT(Inputs!$B$35/IF(Inputs!$B$4="pvp",15,MAX(0.1,Skills!D12-IF(Skills!E12=TRUE,Inputs!$B$31,0))))+1),0)</f>
        <v/>
      </c>
      <c r="V126">
        <f>IFERROR(1/IF(Inputs!$B$4="pvp",15,MAX(0.1,Skills!D12-IF(Skills!E12=TRUE,Inputs!$B$31,0))),0)</f>
        <v/>
      </c>
    </row>
    <row r="127">
      <c r="A127">
        <f>Skills!A13</f>
        <v/>
      </c>
      <c r="B127">
        <f>Skills!B13</f>
        <v/>
      </c>
      <c r="C127">
        <f>Inputs!$B$3&gt;=107</f>
        <v/>
      </c>
      <c r="D127">
        <f>IF(Skills!C13=1,60+Inputs!$B$24+Inputs!$B$28,IF(Skills!C13=2,90+Inputs!$B$25+Inputs!$B$28,IF(Skills!C13=3,120+Inputs!$B$26+Inputs!$B$28,MAX(0,(Inputs!$B$3-100)*3)+Inputs!$B$27+Inputs!$B$28)))</f>
        <v/>
      </c>
      <c r="E127">
        <f>INDEX(FactorTable!$B$2:$Y$301, MATCH(ROUND(MIN(300,MAX(1,D127)),0), FactorTable!$A$2:$A$301,0), Skills!L13+1)</f>
        <v/>
      </c>
      <c r="F127">
        <f>IF(Skills!M13=TRUE,(Skills!K13/10)*(E127/1000),Skills!K13/10)+Skills!N13</f>
        <v/>
      </c>
      <c r="G127">
        <f>Calc!G13</f>
        <v/>
      </c>
      <c r="H127">
        <f>Calc!H13</f>
        <v/>
      </c>
      <c r="I127">
        <f>IF(Skills!T13&lt;&gt;"",1+(Skills!T13/10)*($Z$3/1000)/100,1)</f>
        <v/>
      </c>
      <c r="J127" t="inlineStr"/>
      <c r="K127" t="inlineStr"/>
      <c r="L127" t="inlineStr"/>
      <c r="M127" t="inlineStr"/>
      <c r="N127" t="inlineStr"/>
      <c r="O127" t="n">
        <v>0</v>
      </c>
      <c r="P127">
        <f>IF(B152=0,0,O127/B152)</f>
        <v/>
      </c>
      <c r="S127">
        <f>IF(AND(Inputs!$B$4&lt;&gt;"pvp",Inputs!$B$35&gt;0),(INT(Inputs!$B$35/IF(Inputs!$B$4="pvp",15,MAX(0.1,Skills!D13-IF(Skills!E13=TRUE,Inputs!$B$31,0))))+1),0)</f>
        <v/>
      </c>
      <c r="V127">
        <f>IFERROR(1/IF(Inputs!$B$4="pvp",15,MAX(0.1,Skills!D13-IF(Skills!E13=TRUE,Inputs!$B$31,0))),0)</f>
        <v/>
      </c>
    </row>
    <row r="128">
      <c r="A128">
        <f>Skills!A14</f>
        <v/>
      </c>
      <c r="B128">
        <f>Skills!B14</f>
        <v/>
      </c>
      <c r="C128">
        <f>Inputs!$B$3&gt;=63</f>
        <v/>
      </c>
      <c r="D128">
        <f>IF(Skills!C14=1,60+Inputs!$B$24+Inputs!$B$28,IF(Skills!C14=2,90+Inputs!$B$25+Inputs!$B$28,IF(Skills!C14=3,120+Inputs!$B$26+Inputs!$B$28,MAX(0,(Inputs!$B$3-100)*3)+Inputs!$B$27+Inputs!$B$28)))</f>
        <v/>
      </c>
      <c r="E128">
        <f>INDEX(FactorTable!$B$2:$Y$301, MATCH(ROUND(MIN(300,MAX(1,D128)),0), FactorTable!$A$2:$A$301,0), Skills!L14+1)</f>
        <v/>
      </c>
      <c r="F128">
        <f>IF(Skills!M14=TRUE,(Skills!K14/10)*(E128/1000),Skills!K14/10)+Skills!N14</f>
        <v/>
      </c>
      <c r="G128">
        <f>Calc!G14</f>
        <v/>
      </c>
      <c r="H128">
        <f>Calc!H14</f>
        <v/>
      </c>
      <c r="I128">
        <f>IF(Skills!T14&lt;&gt;"",1+(Skills!T14/10)*($Z$3/1000)/100,1)</f>
        <v/>
      </c>
      <c r="J128">
        <f>((Inputs!$B$5*(1+Inputs!$B$6/100))+((Inputs!$B$11*(1+Inputs!$B$12/100))-(Inputs!$B$11*(1+Inputs!$B$12/100)))*(1+Inputs!$B$6/100))*(F128/100)</f>
        <v/>
      </c>
      <c r="K128">
        <f>J128*(1+((Inputs!$B$11*(1+Inputs!$B$12/100))*0.01+Inputs!$B$13*0.0025)/100)*(1+((Inputs!$B$14+1)+B145)/100)*(1+IF(Inputs!$B$4="pvp",0,(1-Summary!$B$48)*(Inputs!$B$19+Skills!O14+B143)+Summary!$B$48*(Inputs!$B$20+Skills!P14+B144))/100)*(1+Inputs!$B$15/100)*(5000/(6000+Inputs!$B$7*(1-Inputs!$B$18/100)))*(1+Inputs!$B$23/100)*(1+IF(C131=TRUE,F131,0)/100)*(1+IF(C133=TRUE,F133,0)/100)*(1+IF(Skills!A14="TRIUMPH_FEATHER",IF(C129=TRUE,F129,0),0)/100)*(1+IF(C140=TRUE,F140,0)/100)^5*(1+(IF(Skills!A14="BIG_BANG",Inputs!$B$16,Inputs!$B$17))/100)*(B142*I128)</f>
        <v/>
      </c>
      <c r="L128">
        <f>K128*(MIN(Inputs!$B$21+(F135-Calc!F21),Inputs!$B$22)/100+Inputs!$B$22/100)/2</f>
        <v/>
      </c>
      <c r="M128">
        <f>L128*(1+(Inputs!$B$9+B146+(F138-Calc!F24))/100)</f>
        <v/>
      </c>
      <c r="N128">
        <f>L128*(1-MIN(Inputs!$B$8+((F137-Calc!F23)+(F136-Calc!F22)),100)/100)+M128*(MIN(Inputs!$B$8+((F137-Calc!F23)+(F136-Calc!F22)),100)/100)</f>
        <v/>
      </c>
      <c r="O128">
        <f>IF(C128,Skills!F14*N128*((IF(Inputs!$B$3&gt;=78,25,15)/100*B148*10)/(1+IF(Inputs!$B$3&gt;=78,25,15)/100*B148*10))*(Skills!I14/100*B148)/(1+Skills!G14*Skills!I14/100*B148)*IF(Inputs!$B$4="pvp",1,(1-Summary!$B$48)*(1)+Summary!$B$48*(MIN(Skills!Q14,Inputs!$B$37))),0)</f>
        <v/>
      </c>
      <c r="P128">
        <f>IF(B152=0,0,O128/B152)</f>
        <v/>
      </c>
      <c r="S128" t="n">
        <v>0</v>
      </c>
      <c r="V128">
        <f>IFERROR(1/IF(Inputs!$B$4="pvp",15,MAX(0.1,Skills!D14-IF(Skills!E14=TRUE,Inputs!$B$31,0))),0)</f>
        <v/>
      </c>
    </row>
    <row r="129">
      <c r="A129">
        <f>Skills!A15</f>
        <v/>
      </c>
      <c r="B129">
        <f>Skills!B15</f>
        <v/>
      </c>
      <c r="C129">
        <f>Inputs!$B$3&gt;=100</f>
        <v/>
      </c>
      <c r="D129">
        <f>IF(Skills!C15=1,60+Inputs!$B$24+Inputs!$B$28,IF(Skills!C15=2,90+Inputs!$B$25+Inputs!$B$28,IF(Skills!C15=3,120+Inputs!$B$26+Inputs!$B$28,MAX(0,(Inputs!$B$3-100)*3)+Inputs!$B$27+Inputs!$B$28)))</f>
        <v/>
      </c>
      <c r="E129">
        <f>INDEX(FactorTable!$B$2:$Y$301, MATCH(ROUND(MIN(300,MAX(1,D129)),0), FactorTable!$A$2:$A$301,0), Skills!L15+1)</f>
        <v/>
      </c>
      <c r="F129">
        <f>IF(Skills!M15=TRUE,(Skills!K15/10)*(E129/1000),Skills!K15/10)+Skills!N15</f>
        <v/>
      </c>
      <c r="G129">
        <f>Calc!G15</f>
        <v/>
      </c>
      <c r="H129">
        <f>Calc!H15</f>
        <v/>
      </c>
      <c r="I129">
        <f>IF(Skills!T15&lt;&gt;"",1+(Skills!T15/10)*($Z$3/1000)/100,1)</f>
        <v/>
      </c>
      <c r="J129" t="inlineStr"/>
      <c r="K129" t="inlineStr"/>
      <c r="L129" t="inlineStr"/>
      <c r="M129" t="inlineStr"/>
      <c r="N129" t="inlineStr"/>
      <c r="O129" t="n">
        <v>0</v>
      </c>
      <c r="P129">
        <f>IF(B152=0,0,O129/B152)</f>
        <v/>
      </c>
      <c r="S129" t="n">
        <v>0</v>
      </c>
      <c r="V129">
        <f>IFERROR(1/IF(Inputs!$B$4="pvp",15,MAX(0.1,Skills!D15-IF(Skills!E15=TRUE,Inputs!$B$31,0))),0)</f>
        <v/>
      </c>
    </row>
    <row r="130">
      <c r="A130">
        <f>Skills!A16</f>
        <v/>
      </c>
      <c r="B130">
        <f>Skills!B16</f>
        <v/>
      </c>
      <c r="C130">
        <f>Inputs!$B$3&gt;=49</f>
        <v/>
      </c>
      <c r="D130">
        <f>IF(Skills!C16=1,60+Inputs!$B$24+Inputs!$B$28,IF(Skills!C16=2,90+Inputs!$B$25+Inputs!$B$28,IF(Skills!C16=3,120+Inputs!$B$26+Inputs!$B$28,MAX(0,(Inputs!$B$3-100)*3)+Inputs!$B$27+Inputs!$B$28)))</f>
        <v/>
      </c>
      <c r="E130">
        <f>INDEX(FactorTable!$B$2:$Y$301, MATCH(ROUND(MIN(300,MAX(1,D130)),0), FactorTable!$A$2:$A$301,0), Skills!L16+1)</f>
        <v/>
      </c>
      <c r="F130">
        <f>IF(Skills!M16=TRUE,(Skills!K16/10)*(E130/1000),Skills!K16/10)+Skills!N16</f>
        <v/>
      </c>
      <c r="G130">
        <f>Calc!G16</f>
        <v/>
      </c>
      <c r="H130">
        <f>Calc!H16</f>
        <v/>
      </c>
      <c r="I130">
        <f>IF(Skills!T16&lt;&gt;"",1+(Skills!T16/10)*($Z$3/1000)/100,1)</f>
        <v/>
      </c>
      <c r="J130" t="inlineStr"/>
      <c r="K130" t="inlineStr"/>
      <c r="L130" t="inlineStr"/>
      <c r="M130" t="inlineStr"/>
      <c r="N130" t="inlineStr"/>
      <c r="O130" t="n">
        <v>0</v>
      </c>
      <c r="P130">
        <f>IF(B152=0,0,O130/B152)</f>
        <v/>
      </c>
      <c r="S130" t="n">
        <v>0</v>
      </c>
      <c r="V130">
        <f>IFERROR(1/IF(Inputs!$B$4="pvp",15,MAX(0.1,Skills!D16-IF(Skills!E16=TRUE,Inputs!$B$31,0))),0)</f>
        <v/>
      </c>
    </row>
    <row r="131">
      <c r="A131">
        <f>Skills!A17</f>
        <v/>
      </c>
      <c r="B131">
        <f>Skills!B17</f>
        <v/>
      </c>
      <c r="C131">
        <f>Inputs!$B$3&gt;=75</f>
        <v/>
      </c>
      <c r="D131">
        <f>IF(Skills!C17=1,60+Inputs!$B$24+Inputs!$B$28,IF(Skills!C17=2,90+Inputs!$B$25+Inputs!$B$28,IF(Skills!C17=3,120+Inputs!$B$26+Inputs!$B$28,MAX(0,(Inputs!$B$3-100)*3)+Inputs!$B$27+Inputs!$B$28)))</f>
        <v/>
      </c>
      <c r="E131">
        <f>INDEX(FactorTable!$B$2:$Y$301, MATCH(ROUND(MIN(300,MAX(1,D131)),0), FactorTable!$A$2:$A$301,0), Skills!L17+1)</f>
        <v/>
      </c>
      <c r="F131">
        <f>IF(Skills!M17=TRUE,(Skills!K17/10)*(E131/1000),Skills!K17/10)+Skills!N17</f>
        <v/>
      </c>
      <c r="G131">
        <f>Calc!G17</f>
        <v/>
      </c>
      <c r="H131">
        <f>Calc!H17</f>
        <v/>
      </c>
      <c r="I131">
        <f>IF(Skills!T17&lt;&gt;"",1+(Skills!T17/10)*($Z$3/1000)/100,1)</f>
        <v/>
      </c>
      <c r="J131" t="inlineStr"/>
      <c r="K131" t="inlineStr"/>
      <c r="L131" t="inlineStr"/>
      <c r="M131" t="inlineStr"/>
      <c r="N131" t="inlineStr"/>
      <c r="O131" t="n">
        <v>0</v>
      </c>
      <c r="P131">
        <f>IF(B152=0,0,O131/B152)</f>
        <v/>
      </c>
      <c r="S131" t="n">
        <v>0</v>
      </c>
      <c r="V131">
        <f>IFERROR(1/IF(Inputs!$B$4="pvp",15,MAX(0.1,Skills!D17-IF(Skills!E17=TRUE,Inputs!$B$31,0))),0)</f>
        <v/>
      </c>
    </row>
    <row r="132">
      <c r="A132">
        <f>Skills!A18</f>
        <v/>
      </c>
      <c r="B132">
        <f>Skills!B18</f>
        <v/>
      </c>
      <c r="C132">
        <f>Inputs!$B$3&gt;=110</f>
        <v/>
      </c>
      <c r="D132">
        <f>IF(Skills!C18=1,60+Inputs!$B$24+Inputs!$B$28,IF(Skills!C18=2,90+Inputs!$B$25+Inputs!$B$28,IF(Skills!C18=3,120+Inputs!$B$26+Inputs!$B$28,MAX(0,(Inputs!$B$3-100)*3)+Inputs!$B$27+Inputs!$B$28)))</f>
        <v/>
      </c>
      <c r="E132">
        <f>INDEX(FactorTable!$B$2:$Y$301, MATCH(ROUND(MIN(300,MAX(1,D132)),0), FactorTable!$A$2:$A$301,0), Skills!L18+1)</f>
        <v/>
      </c>
      <c r="F132">
        <f>(Skills!K18/10)*(E132/1000)*64/45+Skills!N18</f>
        <v/>
      </c>
      <c r="G132">
        <f>Calc!G18</f>
        <v/>
      </c>
      <c r="H132">
        <f>Calc!H18</f>
        <v/>
      </c>
      <c r="I132">
        <f>IF(Skills!T18&lt;&gt;"",1+(Skills!T18/10)*($Z$3/1000)/100,1)</f>
        <v/>
      </c>
      <c r="J132" t="inlineStr"/>
      <c r="K132" t="inlineStr"/>
      <c r="L132" t="inlineStr"/>
      <c r="M132" t="inlineStr"/>
      <c r="N132" t="inlineStr"/>
      <c r="O132" t="n">
        <v>0</v>
      </c>
      <c r="P132">
        <f>IF(B152=0,0,O132/B152)</f>
        <v/>
      </c>
      <c r="S132">
        <f>IF(AND(Inputs!$B$4&lt;&gt;"pvp",Inputs!$B$35&gt;0),(INT(Inputs!$B$35/IF(Inputs!$B$4="pvp",15,MAX(0.1,Skills!D18-IF(Skills!E18=TRUE,Inputs!$B$31,0))))+1),0)</f>
        <v/>
      </c>
      <c r="V132">
        <f>IFERROR(1/IF(Inputs!$B$4="pvp",15,MAX(0.1,Skills!D18-IF(Skills!E18=TRUE,Inputs!$B$31,0))),0)</f>
        <v/>
      </c>
    </row>
    <row r="133">
      <c r="A133">
        <f>Skills!A19</f>
        <v/>
      </c>
      <c r="B133">
        <f>Skills!B19</f>
        <v/>
      </c>
      <c r="C133">
        <f>Inputs!$B$3&gt;=125</f>
        <v/>
      </c>
      <c r="D133">
        <f>IF(Skills!C19=1,60+Inputs!$B$24+Inputs!$B$28,IF(Skills!C19=2,90+Inputs!$B$25+Inputs!$B$28,IF(Skills!C19=3,120+Inputs!$B$26+Inputs!$B$28,MAX(0,(Inputs!$B$3-100)*3)+Inputs!$B$27+Inputs!$B$28)))</f>
        <v/>
      </c>
      <c r="E133">
        <f>INDEX(FactorTable!$B$2:$Y$301, MATCH(ROUND(MIN(300,MAX(1,D133)),0), FactorTable!$A$2:$A$301,0), Skills!L19+1)</f>
        <v/>
      </c>
      <c r="F133">
        <f>IF(Skills!M19=TRUE,(Skills!K19/10)*(E133/1000),Skills!K19/10)+Skills!N19</f>
        <v/>
      </c>
      <c r="G133">
        <f>Calc!G19</f>
        <v/>
      </c>
      <c r="H133">
        <f>Calc!H19</f>
        <v/>
      </c>
      <c r="I133">
        <f>IF(Skills!T19&lt;&gt;"",1+(Skills!T19/10)*($Z$3/1000)/100,1)</f>
        <v/>
      </c>
      <c r="J133" t="inlineStr"/>
      <c r="K133" t="inlineStr"/>
      <c r="L133" t="inlineStr"/>
      <c r="M133" t="inlineStr"/>
      <c r="N133" t="inlineStr"/>
      <c r="O133" t="n">
        <v>0</v>
      </c>
      <c r="P133">
        <f>IF(B152=0,0,O133/B152)</f>
        <v/>
      </c>
      <c r="S133" t="n">
        <v>0</v>
      </c>
      <c r="V133">
        <f>IFERROR(1/IF(Inputs!$B$4="pvp",15,MAX(0.1,Skills!D19-IF(Skills!E19=TRUE,Inputs!$B$31,0))),0)</f>
        <v/>
      </c>
    </row>
    <row r="134">
      <c r="A134">
        <f>Skills!A20</f>
        <v/>
      </c>
      <c r="B134">
        <f>Skills!B20</f>
        <v/>
      </c>
      <c r="C134">
        <f>Inputs!$B$3&gt;=33</f>
        <v/>
      </c>
      <c r="D134">
        <f>IF(Skills!C20=1,60+Inputs!$B$24+Inputs!$B$28,IF(Skills!C20=2,90+Inputs!$B$25+Inputs!$B$28,IF(Skills!C20=3,120+Inputs!$B$26+Inputs!$B$28,MAX(0,(Inputs!$B$3-100)*3)+Inputs!$B$27+Inputs!$B$28)))</f>
        <v/>
      </c>
      <c r="E134">
        <f>INDEX(FactorTable!$B$2:$Y$301, MATCH(ROUND(MIN(300,MAX(1,D134)),0), FactorTable!$A$2:$A$301,0), Skills!L20+1)</f>
        <v/>
      </c>
      <c r="F134">
        <f>IF(Skills!M20=TRUE,(Skills!K20/10)*(E134/1000),Skills!K20/10)+Skills!N20</f>
        <v/>
      </c>
      <c r="G134">
        <f>Calc!G20</f>
        <v/>
      </c>
      <c r="H134">
        <f>Calc!H20</f>
        <v/>
      </c>
      <c r="I134">
        <f>IF(Skills!T20&lt;&gt;"",1+(Skills!T20/10)*($Z$3/1000)/100,1)</f>
        <v/>
      </c>
      <c r="J134" t="inlineStr"/>
      <c r="K134" t="inlineStr"/>
      <c r="L134" t="inlineStr"/>
      <c r="M134" t="inlineStr"/>
      <c r="N134" t="inlineStr"/>
      <c r="O134" t="n">
        <v>0</v>
      </c>
      <c r="P134">
        <f>IF(B152=0,0,O134/B152)</f>
        <v/>
      </c>
      <c r="S134" t="n">
        <v>0</v>
      </c>
      <c r="V134">
        <f>IFERROR(1/IF(Inputs!$B$4="pvp",15,MAX(0.1,Skills!D20-IF(Skills!E20=TRUE,Inputs!$B$31,0))),0)</f>
        <v/>
      </c>
    </row>
    <row r="135">
      <c r="A135">
        <f>Skills!A21</f>
        <v/>
      </c>
      <c r="B135">
        <f>Skills!B21</f>
        <v/>
      </c>
      <c r="C135">
        <f>Inputs!$B$3&gt;=43</f>
        <v/>
      </c>
      <c r="D135">
        <f>IF(Skills!C21=1,60+Inputs!$B$24+Inputs!$B$28,IF(Skills!C21=2,90+Inputs!$B$25+Inputs!$B$28,IF(Skills!C21=3,120+Inputs!$B$26+Inputs!$B$28,MAX(0,(Inputs!$B$3-100)*3)+Inputs!$B$27+Inputs!$B$28)))</f>
        <v/>
      </c>
      <c r="E135">
        <f>INDEX(FactorTable!$B$2:$Y$301, MATCH(ROUND(MIN(300,MAX(1,D135)),0), FactorTable!$A$2:$A$301,0), Skills!L21+1)</f>
        <v/>
      </c>
      <c r="F135">
        <f>IF(Skills!M21=TRUE,(Skills!K21/10)*(E135/1000),Skills!K21/10)+Skills!N21</f>
        <v/>
      </c>
      <c r="G135">
        <f>Calc!G21</f>
        <v/>
      </c>
      <c r="H135">
        <f>Calc!H21</f>
        <v/>
      </c>
      <c r="I135">
        <f>IF(Skills!T21&lt;&gt;"",1+(Skills!T21/10)*($Z$3/1000)/100,1)</f>
        <v/>
      </c>
      <c r="J135" t="inlineStr"/>
      <c r="K135" t="inlineStr"/>
      <c r="L135" t="inlineStr"/>
      <c r="M135" t="inlineStr"/>
      <c r="N135" t="inlineStr"/>
      <c r="O135" t="n">
        <v>0</v>
      </c>
      <c r="P135">
        <f>IF(B152=0,0,O135/B152)</f>
        <v/>
      </c>
      <c r="S135" t="n">
        <v>0</v>
      </c>
      <c r="V135">
        <f>IFERROR(1/IF(Inputs!$B$4="pvp",15,MAX(0.1,Skills!D21-IF(Skills!E21=TRUE,Inputs!$B$31,0))),0)</f>
        <v/>
      </c>
    </row>
    <row r="136">
      <c r="A136">
        <f>Skills!A22</f>
        <v/>
      </c>
      <c r="B136">
        <f>Skills!B22</f>
        <v/>
      </c>
      <c r="C136">
        <f>Inputs!$B$3&gt;=50</f>
        <v/>
      </c>
      <c r="D136">
        <f>IF(Skills!C22=1,60+Inputs!$B$24+Inputs!$B$28,IF(Skills!C22=2,90+Inputs!$B$25+Inputs!$B$28,IF(Skills!C22=3,120+Inputs!$B$26+Inputs!$B$28,MAX(0,(Inputs!$B$3-100)*3)+Inputs!$B$27+Inputs!$B$28)))</f>
        <v/>
      </c>
      <c r="E136">
        <f>INDEX(FactorTable!$B$2:$Y$301, MATCH(ROUND(MIN(300,MAX(1,D136)),0), FactorTable!$A$2:$A$301,0), Skills!L22+1)</f>
        <v/>
      </c>
      <c r="F136">
        <f>IF(Skills!M22=TRUE,(Skills!K22/10)*(E136/1000),Skills!K22/10)+Skills!N22</f>
        <v/>
      </c>
      <c r="G136">
        <f>Calc!G22</f>
        <v/>
      </c>
      <c r="H136">
        <f>Calc!H22</f>
        <v/>
      </c>
      <c r="I136">
        <f>IF(Skills!T22&lt;&gt;"",1+(Skills!T22/10)*($Z$3/1000)/100,1)</f>
        <v/>
      </c>
      <c r="J136" t="inlineStr"/>
      <c r="K136" t="inlineStr"/>
      <c r="L136" t="inlineStr"/>
      <c r="M136" t="inlineStr"/>
      <c r="N136" t="inlineStr"/>
      <c r="O136" t="n">
        <v>0</v>
      </c>
      <c r="P136">
        <f>IF(B152=0,0,O136/B152)</f>
        <v/>
      </c>
      <c r="S136" t="n">
        <v>0</v>
      </c>
      <c r="V136">
        <f>IFERROR(1/IF(Inputs!$B$4="pvp",15,MAX(0.1,Skills!D22-IF(Skills!E22=TRUE,Inputs!$B$31,0))),0)</f>
        <v/>
      </c>
    </row>
    <row r="137">
      <c r="A137">
        <f>Skills!A23</f>
        <v/>
      </c>
      <c r="B137">
        <f>Skills!B23</f>
        <v/>
      </c>
      <c r="C137">
        <f>Inputs!$B$3&gt;=74</f>
        <v/>
      </c>
      <c r="D137">
        <f>IF(Skills!C23=1,60+Inputs!$B$24+Inputs!$B$28,IF(Skills!C23=2,90+Inputs!$B$25+Inputs!$B$28,IF(Skills!C23=3,120+Inputs!$B$26+Inputs!$B$28,MAX(0,(Inputs!$B$3-100)*3)+Inputs!$B$27+Inputs!$B$28)))</f>
        <v/>
      </c>
      <c r="E137">
        <f>INDEX(FactorTable!$B$2:$Y$301, MATCH(ROUND(MIN(300,MAX(1,D137)),0), FactorTable!$A$2:$A$301,0), Skills!L23+1)</f>
        <v/>
      </c>
      <c r="F137">
        <f>IF(Skills!M23=TRUE,(Skills!K23/10)*(E137/1000),Skills!K23/10)+Skills!N23</f>
        <v/>
      </c>
      <c r="G137">
        <f>Calc!G23</f>
        <v/>
      </c>
      <c r="H137">
        <f>Calc!H23</f>
        <v/>
      </c>
      <c r="I137">
        <f>IF(Skills!T23&lt;&gt;"",1+(Skills!T23/10)*($Z$3/1000)/100,1)</f>
        <v/>
      </c>
      <c r="J137" t="inlineStr"/>
      <c r="K137" t="inlineStr"/>
      <c r="L137" t="inlineStr"/>
      <c r="M137" t="inlineStr"/>
      <c r="N137" t="inlineStr"/>
      <c r="O137" t="n">
        <v>0</v>
      </c>
      <c r="P137">
        <f>IF(B152=0,0,O137/B152)</f>
        <v/>
      </c>
      <c r="S137" t="n">
        <v>0</v>
      </c>
      <c r="V137">
        <f>IFERROR(1/IF(Inputs!$B$4="pvp",15,MAX(0.1,Skills!D23-IF(Skills!E23=TRUE,Inputs!$B$31,0))),0)</f>
        <v/>
      </c>
    </row>
    <row r="138">
      <c r="A138">
        <f>Skills!A24</f>
        <v/>
      </c>
      <c r="B138">
        <f>Skills!B24</f>
        <v/>
      </c>
      <c r="C138">
        <f>Inputs!$B$3&gt;=74</f>
        <v/>
      </c>
      <c r="D138">
        <f>IF(Skills!C24=1,60+Inputs!$B$24+Inputs!$B$28,IF(Skills!C24=2,90+Inputs!$B$25+Inputs!$B$28,IF(Skills!C24=3,120+Inputs!$B$26+Inputs!$B$28,MAX(0,(Inputs!$B$3-100)*3)+Inputs!$B$27+Inputs!$B$28)))</f>
        <v/>
      </c>
      <c r="E138">
        <f>INDEX(FactorTable!$B$2:$Y$301, MATCH(ROUND(MIN(300,MAX(1,D138)),0), FactorTable!$A$2:$A$301,0), Skills!L24+1)</f>
        <v/>
      </c>
      <c r="F138">
        <f>IF(Skills!M24=TRUE,(Skills!K24/10)*(E138/1000),Skills!K24/10)+Skills!N24</f>
        <v/>
      </c>
      <c r="G138">
        <f>Calc!G24</f>
        <v/>
      </c>
      <c r="H138">
        <f>Calc!H24</f>
        <v/>
      </c>
      <c r="I138">
        <f>IF(Skills!T24&lt;&gt;"",1+(Skills!T24/10)*($Z$3/1000)/100,1)</f>
        <v/>
      </c>
      <c r="J138" t="inlineStr"/>
      <c r="K138" t="inlineStr"/>
      <c r="L138" t="inlineStr"/>
      <c r="M138" t="inlineStr"/>
      <c r="N138" t="inlineStr"/>
      <c r="O138" t="n">
        <v>0</v>
      </c>
      <c r="P138">
        <f>IF(B152=0,0,O138/B152)</f>
        <v/>
      </c>
      <c r="S138" t="n">
        <v>0</v>
      </c>
      <c r="V138">
        <f>IFERROR(1/IF(Inputs!$B$4="pvp",15,MAX(0.1,Skills!D24-IF(Skills!E24=TRUE,Inputs!$B$31,0))),0)</f>
        <v/>
      </c>
    </row>
    <row r="139">
      <c r="A139">
        <f>Skills!A25</f>
        <v/>
      </c>
      <c r="B139">
        <f>Skills!B25</f>
        <v/>
      </c>
      <c r="C139">
        <f>Inputs!$B$3&gt;=117</f>
        <v/>
      </c>
      <c r="D139">
        <f>IF(Skills!C25=1,60+Inputs!$B$24+Inputs!$B$28,IF(Skills!C25=2,90+Inputs!$B$25+Inputs!$B$28,IF(Skills!C25=3,120+Inputs!$B$26+Inputs!$B$28,MAX(0,(Inputs!$B$3-100)*3)+Inputs!$B$27+Inputs!$B$28)))</f>
        <v/>
      </c>
      <c r="E139">
        <f>INDEX(FactorTable!$B$2:$Y$301, MATCH(ROUND(MIN(300,MAX(1,D139)),0), FactorTable!$A$2:$A$301,0), Skills!L25+1)</f>
        <v/>
      </c>
      <c r="F139">
        <f>IF(Skills!M25=TRUE,(Skills!K25/10)*(E139/1000),Skills!K25/10)+Skills!N25</f>
        <v/>
      </c>
      <c r="G139">
        <f>Calc!G25</f>
        <v/>
      </c>
      <c r="H139">
        <f>Calc!H25</f>
        <v/>
      </c>
      <c r="I139">
        <f>IF(Skills!T25&lt;&gt;"",1+(Skills!T25/10)*($Z$3/1000)/100,1)</f>
        <v/>
      </c>
      <c r="J139" t="inlineStr"/>
      <c r="K139" t="inlineStr"/>
      <c r="L139" t="inlineStr"/>
      <c r="M139" t="inlineStr"/>
      <c r="N139" t="inlineStr"/>
      <c r="O139" t="n">
        <v>0</v>
      </c>
      <c r="P139">
        <f>IF(B152=0,0,O139/B152)</f>
        <v/>
      </c>
      <c r="S139" t="n">
        <v>0</v>
      </c>
      <c r="V139">
        <f>IFERROR(1/IF(Inputs!$B$4="pvp",15,MAX(0.1,Skills!D25-IF(Skills!E25=TRUE,Inputs!$B$31,0))),0)</f>
        <v/>
      </c>
    </row>
    <row r="140">
      <c r="A140">
        <f>Skills!A26</f>
        <v/>
      </c>
      <c r="B140">
        <f>Skills!B26</f>
        <v/>
      </c>
      <c r="C140">
        <f>Inputs!$B$3&gt;=120</f>
        <v/>
      </c>
      <c r="D140">
        <f>IF(Skills!C26=1,60+Inputs!$B$24+Inputs!$B$28,IF(Skills!C26=2,90+Inputs!$B$25+Inputs!$B$28,IF(Skills!C26=3,120+Inputs!$B$26+Inputs!$B$28,MAX(0,(Inputs!$B$3-100)*3)+Inputs!$B$27+Inputs!$B$28)))</f>
        <v/>
      </c>
      <c r="E140">
        <f>INDEX(FactorTable!$B$2:$Y$301, MATCH(ROUND(MIN(300,MAX(1,D140)),0), FactorTable!$A$2:$A$301,0), Skills!L26+1)</f>
        <v/>
      </c>
      <c r="F140">
        <f>IF(Skills!M26=TRUE,(Skills!K26/10)*(E140/1000),Skills!K26/10)+Skills!N26</f>
        <v/>
      </c>
      <c r="G140">
        <f>Calc!G26</f>
        <v/>
      </c>
      <c r="H140">
        <f>Calc!H26</f>
        <v/>
      </c>
      <c r="I140">
        <f>IF(Skills!T26&lt;&gt;"",1+(Skills!T26/10)*($Z$3/1000)/100,1)</f>
        <v/>
      </c>
      <c r="J140" t="inlineStr"/>
      <c r="K140" t="inlineStr"/>
      <c r="L140" t="inlineStr"/>
      <c r="M140" t="inlineStr"/>
      <c r="N140" t="inlineStr"/>
      <c r="O140" t="n">
        <v>0</v>
      </c>
      <c r="P140">
        <f>IF(B152=0,0,O140/B152)</f>
        <v/>
      </c>
      <c r="S140" t="n">
        <v>0</v>
      </c>
      <c r="V140">
        <f>IFERROR(1/IF(Inputs!$B$4="pvp",15,MAX(0.1,Skills!D26-IF(Skills!E26=TRUE,Inputs!$B$31,0))),0)</f>
        <v/>
      </c>
    </row>
    <row r="142">
      <c r="A142" t="inlineStr">
        <is>
          <t>Average Buff Multiplier</t>
        </is>
      </c>
      <c r="B142">
        <f>(1+(IF(C117=TRUE,F117*IF(AND(Inputs!$B$4&lt;&gt;"pvp",Inputs!$B$35&gt;0),(((S117-1)*(Skills!S3*(1+(Inputs!$B$33+IF(Inputs!$B$3&gt;=117,F139,0))/100))+MIN((Skills!S3*(1+(Inputs!$B$33+IF(Inputs!$B$3&gt;=117,F139,0))/100)),MAX(0,Inputs!$B$35-((S117-1)*Skills!D3))))/Inputs!$B$35),IF(Inputs!$B$4="pvp",MIN((Skills!S3*(1+(Inputs!$B$33+IF(Inputs!$B$3&gt;=117,F139,0))/100)),15)/15,(Skills!S3*(1+(Inputs!$B$33+IF(Inputs!$B$3&gt;=117,F139,0))/100))/Skills!D3)),0)+IF(C118=TRUE,F118*IF(AND(Inputs!$B$4&lt;&gt;"pvp",Inputs!$B$35&gt;0),(((S118-1)*(Skills!S4*(1+(Inputs!$B$33+IF(Inputs!$B$3&gt;=117,F139,0))/100))+MIN((Skills!S4*(1+(Inputs!$B$33+IF(Inputs!$B$3&gt;=117,F139,0))/100)),MAX(0,Inputs!$B$35-((S118-1)*Skills!D4))))/Inputs!$B$35),IF(Inputs!$B$4="pvp",MIN((Skills!S4*(1+(Inputs!$B$33+IF(Inputs!$B$3&gt;=117,F139,0))/100)),15)/15,(Skills!S4*(1+(Inputs!$B$33+IF(Inputs!$B$3&gt;=117,F139,0))/100))/Skills!D4)),0)+IF(C119=TRUE,F119*IF(AND(Inputs!$B$4&lt;&gt;"pvp",Inputs!$B$35&gt;0),(((S119-1)*(Skills!S5*(1+(Inputs!$B$33+IF(Inputs!$B$3&gt;=117,F139,0))/100))+MIN((Skills!S5*(1+(Inputs!$B$33+IF(Inputs!$B$3&gt;=117,F139,0))/100)),MAX(0,Inputs!$B$35-((S119-1)*Skills!D5))))/Inputs!$B$35),IF(Inputs!$B$4="pvp",MIN((Skills!S5*(1+(Inputs!$B$33+IF(Inputs!$B$3&gt;=117,F139,0))/100)),15)/15,(Skills!S5*(1+(Inputs!$B$33+IF(Inputs!$B$3&gt;=117,F139,0))/100))/Skills!D5)),0)+IF(C125=TRUE,F125*IF(AND(Inputs!$B$4&lt;&gt;"pvp",Inputs!$B$35&gt;0),(((S125-1)*(Skills!S11*(1+(Inputs!$B$33+IF(Inputs!$B$3&gt;=117,F139,0))/100))+MIN((Skills!S11*(1+(Inputs!$B$33+IF(Inputs!$B$3&gt;=117,F139,0))/100)),MAX(0,Inputs!$B$35-((S125-1)*Skills!D11))))/Inputs!$B$35),IF(Inputs!$B$4="pvp",MIN((Skills!S11*(1+(Inputs!$B$33+IF(Inputs!$B$3&gt;=117,F139,0))/100)),15)/15,(Skills!S11*(1+(Inputs!$B$33+IF(Inputs!$B$3&gt;=117,F139,0))/100))/Skills!D11)),0))/100)*IF(C127=TRUE,(1+F127*IF(AND(Inputs!$B$4&lt;&gt;"pvp",Inputs!$B$35&gt;0),(((S127-1)*(Skills!S13*(1+(Inputs!$B$33+IF(Inputs!$B$3&gt;=117,F139,0))/100))+MIN((Skills!S13*(1+(Inputs!$B$33+IF(Inputs!$B$3&gt;=117,F139,0))/100)),MAX(0,Inputs!$B$35-((S127-1)*Skills!D13))))/Inputs!$B$35),IF(Inputs!$B$4="pvp",MIN((Skills!S13*(1+(Inputs!$B$33+IF(Inputs!$B$3&gt;=117,F139,0))/100)),15)/15,(Skills!S13*(1+(Inputs!$B$33+IF(Inputs!$B$3&gt;=117,F139,0))/100))/Skills!D13))/100),1)*IF(C132=TRUE,(1+F132*IF(AND(Inputs!$B$4&lt;&gt;"pvp",Inputs!$B$35&gt;0),(((S132-1)*(Skills!S18*(1+(Inputs!$B$33+IF(Inputs!$B$3&gt;=117,F139,0))/100))+MIN((Skills!S18*(1+(Inputs!$B$33+IF(Inputs!$B$3&gt;=117,F139,0))/100)),MAX(0,Inputs!$B$35-((S132-1)*Skills!D18))))/Inputs!$B$35),IF(Inputs!$B$4="pvp",MIN((Skills!S18*(1+(Inputs!$B$33+IF(Inputs!$B$3&gt;=117,F139,0))/100)),15)/15,(Skills!S18*(1+(Inputs!$B$33+IF(Inputs!$B$3&gt;=117,F139,0))/100))/Skills!D18))/100),1)</f>
        <v/>
      </c>
    </row>
    <row r="143">
      <c r="A143" t="inlineStr">
        <is>
          <t>Monster Damage Taken Bonus % (Holy Fountain)</t>
        </is>
      </c>
      <c r="B143">
        <f>IF(Inputs!$B$3&gt;=68,20*IF(Inputs!$B$4="pvp",MIN((15*(1+(Inputs!$B$33+IF(Inputs!$B$3&gt;=117,F139,0))/100)),15)/15,(15*(1+(Inputs!$B$33+IF(Inputs!$B$3&gt;=117,F139,0))/100))/Skills!D10),0)</f>
        <v/>
      </c>
    </row>
    <row r="144">
      <c r="A144" t="inlineStr">
        <is>
          <t>Normal Monster Damage Bonus % (Holy Symbol)</t>
        </is>
      </c>
      <c r="B144">
        <f>IF(C126=TRUE,F126*IF(AND(Inputs!$B$4&lt;&gt;"pvp",Inputs!$B$35&gt;0),(((S126-1)*(Skills!S12*(1+(Inputs!$B$33+IF(Inputs!$B$3&gt;=117,F139,0))/100))+MIN((Skills!S12*(1+(Inputs!$B$33+IF(Inputs!$B$3&gt;=117,F139,0))/100)),MAX(0,Inputs!$B$35-((S126-1)*Skills!D12))))/Inputs!$B$35),IF(Inputs!$B$4="pvp",MIN((Skills!S12*(1+(Inputs!$B$33+IF(Inputs!$B$3&gt;=117,F139,0))/100)),15)/15,(Skills!S12*(1+(Inputs!$B$33+IF(Inputs!$B$3&gt;=117,F139,0))/100))/Skills!D12)),0)</f>
        <v/>
      </c>
    </row>
    <row r="145">
      <c r="A145" t="inlineStr">
        <is>
          <t>Damage % Bonus (Holy Symbol - Damage Boost)</t>
        </is>
      </c>
      <c r="B145">
        <f>Skills!O12</f>
        <v/>
      </c>
    </row>
    <row r="146">
      <c r="A146" t="inlineStr">
        <is>
          <t>Crit Damage % Bonus (Blood of the Divine)</t>
        </is>
      </c>
      <c r="B146">
        <f>4*IF(C133=TRUE,F133,0)</f>
        <v/>
      </c>
    </row>
    <row r="147">
      <c r="A147" t="inlineStr">
        <is>
          <t>Attack Speed Bonus %</t>
        </is>
      </c>
      <c r="B147">
        <f>IF(C130=TRUE,F130+(F134-Calc!F20),0)+IF(Inputs!$B$3&gt;=134,15,0)</f>
        <v/>
      </c>
    </row>
    <row r="148">
      <c r="A148" t="inlineStr">
        <is>
          <t>Actions Per Second</t>
        </is>
      </c>
      <c r="B148">
        <f>1+MIN(150,150*(1-(1-Inputs!$B$10/150)*(1-B147/150)))/100</f>
        <v/>
      </c>
    </row>
    <row r="149">
      <c r="A149" t="inlineStr">
        <is>
          <t>Skill + Buff Cast Rate</t>
        </is>
      </c>
      <c r="B149">
        <f>IF(AND(Inputs!$B$4&lt;&gt;"pvp",Inputs!$B$35&gt;0),SUMPRODUCT((Skills!E2:E26=TRUE)*(C116:C140=TRUE)*S116:S140)/Inputs!$B$35,SUMPRODUCT((Skills!E2:E26=TRUE)*(C116:C140=TRUE)*V116:V140))</f>
        <v/>
      </c>
    </row>
    <row r="150">
      <c r="A150" t="inlineStr">
        <is>
          <t>Big Bang Casts Per Second</t>
        </is>
      </c>
      <c r="B150">
        <f>MAX(0,B148-B149)</f>
        <v/>
      </c>
    </row>
    <row r="152">
      <c r="A152" s="5" t="inlineStr">
        <is>
          <t>TOTAL DPS</t>
        </is>
      </c>
      <c r="B152" s="5">
        <f>SUM(O116:O140)</f>
        <v/>
      </c>
    </row>
    <row r="155">
      <c r="A155" s="5" t="inlineStr">
        <is>
          <t>Stat: DAMAGE_AMP %</t>
        </is>
      </c>
    </row>
    <row r="156">
      <c r="A156" s="8" t="inlineStr">
        <is>
          <t>Key</t>
        </is>
      </c>
      <c r="B156" s="8" t="inlineStr">
        <is>
          <t>Name</t>
        </is>
      </c>
      <c r="C156" s="8" t="inlineStr">
        <is>
          <t>Unlocked</t>
        </is>
      </c>
      <c r="D156" s="8" t="inlineStr">
        <is>
          <t>InputLevel</t>
        </is>
      </c>
      <c r="E156" s="8" t="inlineStr">
        <is>
          <t>Factor</t>
        </is>
      </c>
      <c r="F156" s="8" t="inlineStr">
        <is>
          <t>CoefficientPercent</t>
        </is>
      </c>
      <c r="G156" s="8" t="inlineStr">
        <is>
          <t>EffectiveHits</t>
        </is>
      </c>
      <c r="H156" s="8" t="inlineStr">
        <is>
          <t>ProcProbability</t>
        </is>
      </c>
      <c r="I156" s="8" t="inlineStr">
        <is>
          <t>MapleHeroMultiplier</t>
        </is>
      </c>
      <c r="J156" s="8" t="inlineStr">
        <is>
          <t>BaseDamage</t>
        </is>
      </c>
      <c r="K156" s="8" t="inlineStr">
        <is>
          <t>BaseHitDamage</t>
        </is>
      </c>
      <c r="L156" s="8" t="inlineStr">
        <is>
          <t>NonCritAvg</t>
        </is>
      </c>
      <c r="M156" s="8" t="inlineStr">
        <is>
          <t>CritAvg</t>
        </is>
      </c>
      <c r="N156" s="8" t="inlineStr">
        <is>
          <t>ExpectedDamage(perHit)</t>
        </is>
      </c>
      <c r="O156" s="8" t="inlineStr">
        <is>
          <t>DPS</t>
        </is>
      </c>
      <c r="P156" s="8" t="inlineStr">
        <is>
          <t>% of Total</t>
        </is>
      </c>
      <c r="R156" t="inlineStr">
        <is>
          <t>helpers</t>
        </is>
      </c>
    </row>
    <row r="157">
      <c r="A157">
        <f>Skills!A2</f>
        <v/>
      </c>
      <c r="B157">
        <f>Skills!B2</f>
        <v/>
      </c>
      <c r="C157">
        <f>Inputs!$B$3&gt;=100</f>
        <v/>
      </c>
      <c r="D157" t="inlineStr"/>
      <c r="E157" t="inlineStr"/>
      <c r="F157">
        <f>T159+Skills!N2</f>
        <v/>
      </c>
      <c r="G157">
        <f>Calc!G2</f>
        <v/>
      </c>
      <c r="H157">
        <f>Calc!H2</f>
        <v/>
      </c>
      <c r="I157">
        <f>IF(Skills!T2&lt;&gt;"",1+(Skills!T2/10)*($Z$3/1000)/100,1)</f>
        <v/>
      </c>
      <c r="J157">
        <f>((Inputs!$B$5*(1+Inputs!$B$6/100))+((Inputs!$B$11*(1+Inputs!$B$12/100))-(Inputs!$B$11*(1+Inputs!$B$12/100)))*(1+Inputs!$B$6/100))*(F157/100)</f>
        <v/>
      </c>
      <c r="K157">
        <f>J157*(1+((Inputs!$B$11*(1+Inputs!$B$12/100))*0.01+Inputs!$B$13*0.0025)/100)*(1+(Inputs!$B$14+B186)/100)*(1+IF(Inputs!$B$4="pvp",0,(1-Summary!$B$48)*(Inputs!$B$19+Skills!O2+B184)+Summary!$B$48*(Inputs!$B$20+Skills!P2+B185))/100)*(1+(Inputs!$B$15+1)/100)*(5000/(6000+Inputs!$B$7*(1-Inputs!$B$18/100)))*(1+Inputs!$B$23/100)*(1+IF(C172=TRUE,F172,0)/100)*(1+IF(C174=TRUE,F174,0)/100)*(1+IF(Skills!A2="TRIUMPH_FEATHER",IF(C170=TRUE,F170,0),0)/100)*(1+IF(C181=TRUE,F181,0)/100)^5*(1+(IF(Skills!A2="BIG_BANG",Inputs!$B$16,Inputs!$B$17))/100)*(B183*I157)</f>
        <v/>
      </c>
      <c r="L157">
        <f>K157*(MIN(Inputs!$B$21+(F176-Calc!F21),Inputs!$B$22)/100+Inputs!$B$22/100)/2</f>
        <v/>
      </c>
      <c r="M157">
        <f>L157*(1+(Inputs!$B$9+B187+(F179-Calc!F24))/100)</f>
        <v/>
      </c>
      <c r="N157">
        <f>L157*(1-MIN(Inputs!$B$8+((F178-Calc!F23)+(F177-Calc!F22)),100)/100)+M157*(MIN(Inputs!$B$8+((F178-Calc!F23)+(F177-Calc!F22)),100)/100)</f>
        <v/>
      </c>
      <c r="O157">
        <f>IF(C157,Skills!F2*N157*B191*IF(Inputs!$B$4="pvp",1,(1-Summary!$B$48)*(1)+Summary!$B$48*(MIN((6+Inputs!$B$32),Inputs!$B$37))),0)</f>
        <v/>
      </c>
      <c r="P157">
        <f>IF(B193=0,0,O157/B193)</f>
        <v/>
      </c>
      <c r="S157" t="n">
        <v>0</v>
      </c>
      <c r="T157">
        <f>MAX(0,(Inputs!$B$3-100)*3)+Inputs!$B$27+Inputs!$B$28</f>
        <v/>
      </c>
      <c r="V157">
        <f>IFERROR(1/IF(Inputs!$B$4="pvp",15,MAX(0.1,Skills!D2-IF(Skills!E2=TRUE,Inputs!$B$31,0))),0)</f>
        <v/>
      </c>
    </row>
    <row r="158">
      <c r="A158">
        <f>Skills!A3</f>
        <v/>
      </c>
      <c r="B158">
        <f>Skills!B3</f>
        <v/>
      </c>
      <c r="C158">
        <f>Inputs!$B$3&gt;=15</f>
        <v/>
      </c>
      <c r="D158">
        <f>IF(Skills!C3=1,60+Inputs!$B$24+Inputs!$B$28,IF(Skills!C3=2,90+Inputs!$B$25+Inputs!$B$28,IF(Skills!C3=3,120+Inputs!$B$26+Inputs!$B$28,MAX(0,(Inputs!$B$3-100)*3)+Inputs!$B$27+Inputs!$B$28)))</f>
        <v/>
      </c>
      <c r="E158">
        <f>INDEX(FactorTable!$B$2:$Y$301, MATCH(ROUND(MIN(300,MAX(1,D158)),0), FactorTable!$A$2:$A$301,0), Skills!L3+1)</f>
        <v/>
      </c>
      <c r="F158">
        <f>IF(Skills!M3=TRUE,(Skills!K3/10)*(E158/1000),Skills!K3/10)+Skills!N3</f>
        <v/>
      </c>
      <c r="G158">
        <f>Calc!G3</f>
        <v/>
      </c>
      <c r="H158">
        <f>Calc!H3</f>
        <v/>
      </c>
      <c r="I158">
        <f>IF(Skills!T3&lt;&gt;"",1+(Skills!T3/10)*($Z$3/1000)/100,1)</f>
        <v/>
      </c>
      <c r="J158" t="inlineStr"/>
      <c r="K158" t="inlineStr"/>
      <c r="L158" t="inlineStr"/>
      <c r="M158" t="inlineStr"/>
      <c r="N158" t="inlineStr"/>
      <c r="O158" t="n">
        <v>0</v>
      </c>
      <c r="P158">
        <f>IF(B193=0,0,O158/B193)</f>
        <v/>
      </c>
      <c r="S158">
        <f>IF(AND(Inputs!$B$4&lt;&gt;"pvp",Inputs!$B$35&gt;0),(INT(Inputs!$B$35/IF(Inputs!$B$4="pvp",15,MAX(0.1,Skills!D3-IF(Skills!E3=TRUE,Inputs!$B$31,0))))+1),0)</f>
        <v/>
      </c>
      <c r="T158">
        <f>INDEX(FactorTable!$B$2:$Y$301, MATCH(ROUND(MIN(300,MAX(1,T157)),0), FactorTable!$A$2:$A$301,0), 22)</f>
        <v/>
      </c>
      <c r="V158">
        <f>IFERROR(1/IF(Inputs!$B$4="pvp",15,MAX(0.1,Skills!D3-IF(Skills!E3=TRUE,Inputs!$B$31,0))),0)</f>
        <v/>
      </c>
    </row>
    <row r="159">
      <c r="A159">
        <f>Skills!A4</f>
        <v/>
      </c>
      <c r="B159">
        <f>Skills!B4</f>
        <v/>
      </c>
      <c r="C159">
        <f>Inputs!$B$3&gt;=38</f>
        <v/>
      </c>
      <c r="D159">
        <f>IF(Skills!C4=1,60+Inputs!$B$24+Inputs!$B$28,IF(Skills!C4=2,90+Inputs!$B$25+Inputs!$B$28,IF(Skills!C4=3,120+Inputs!$B$26+Inputs!$B$28,MAX(0,(Inputs!$B$3-100)*3)+Inputs!$B$27+Inputs!$B$28)))</f>
        <v/>
      </c>
      <c r="E159">
        <f>INDEX(FactorTable!$B$2:$Y$301, MATCH(ROUND(MIN(300,MAX(1,D159)),0), FactorTable!$A$2:$A$301,0), Skills!L4+1)</f>
        <v/>
      </c>
      <c r="F159">
        <f>IF(Skills!M4=TRUE,(Skills!K4/10)*(E159/1000),Skills!K4/10)+Skills!N4</f>
        <v/>
      </c>
      <c r="G159">
        <f>Calc!G4</f>
        <v/>
      </c>
      <c r="H159">
        <f>Calc!H4</f>
        <v/>
      </c>
      <c r="I159">
        <f>IF(Skills!T4&lt;&gt;"",1+(Skills!T4/10)*($Z$3/1000)/100,1)</f>
        <v/>
      </c>
      <c r="J159" t="inlineStr"/>
      <c r="K159" t="inlineStr"/>
      <c r="L159" t="inlineStr"/>
      <c r="M159" t="inlineStr"/>
      <c r="N159" t="inlineStr"/>
      <c r="O159" t="n">
        <v>0</v>
      </c>
      <c r="P159">
        <f>IF(B193=0,0,O159/B193)</f>
        <v/>
      </c>
      <c r="S159">
        <f>IF(AND(Inputs!$B$4&lt;&gt;"pvp",Inputs!$B$35&gt;0),(INT(Inputs!$B$35/IF(Inputs!$B$4="pvp",15,MAX(0.1,Skills!D4-IF(Skills!E4=TRUE,Inputs!$B$31,0))))+1),0)</f>
        <v/>
      </c>
      <c r="T159">
        <f>290*T158/1000</f>
        <v/>
      </c>
      <c r="V159">
        <f>IFERROR(1/IF(Inputs!$B$4="pvp",15,MAX(0.1,Skills!D4-IF(Skills!E4=TRUE,Inputs!$B$31,0))),0)</f>
        <v/>
      </c>
    </row>
    <row r="160">
      <c r="A160">
        <f>Skills!A5</f>
        <v/>
      </c>
      <c r="B160">
        <f>Skills!B5</f>
        <v/>
      </c>
      <c r="C160">
        <f>Inputs!$B$3&gt;=40</f>
        <v/>
      </c>
      <c r="D160">
        <f>IF(Skills!C5=1,60+Inputs!$B$24+Inputs!$B$28,IF(Skills!C5=2,90+Inputs!$B$25+Inputs!$B$28,IF(Skills!C5=3,120+Inputs!$B$26+Inputs!$B$28,MAX(0,(Inputs!$B$3-100)*3)+Inputs!$B$27+Inputs!$B$28)))</f>
        <v/>
      </c>
      <c r="E160">
        <f>INDEX(FactorTable!$B$2:$Y$301, MATCH(ROUND(MIN(300,MAX(1,D160)),0), FactorTable!$A$2:$A$301,0), Skills!L5+1)</f>
        <v/>
      </c>
      <c r="F160">
        <f>IF(Skills!M5=TRUE,(Skills!K5/10)*(E160/1000),Skills!K5/10)+Skills!N5</f>
        <v/>
      </c>
      <c r="G160">
        <f>Calc!G5</f>
        <v/>
      </c>
      <c r="H160">
        <f>Calc!H5</f>
        <v/>
      </c>
      <c r="I160">
        <f>IF(Skills!T5&lt;&gt;"",1+(Skills!T5/10)*($Z$3/1000)/100,1)</f>
        <v/>
      </c>
      <c r="J160" t="inlineStr"/>
      <c r="K160" t="inlineStr"/>
      <c r="L160" t="inlineStr"/>
      <c r="M160" t="inlineStr"/>
      <c r="N160" t="inlineStr"/>
      <c r="O160" t="n">
        <v>0</v>
      </c>
      <c r="P160">
        <f>IF(B193=0,0,O160/B193)</f>
        <v/>
      </c>
      <c r="S160">
        <f>IF(AND(Inputs!$B$4&lt;&gt;"pvp",Inputs!$B$35&gt;0),(INT(Inputs!$B$35/IF(Inputs!$B$4="pvp",15,MAX(0.1,Skills!D5-IF(Skills!E5=TRUE,Inputs!$B$31,0))))+1),0)</f>
        <v/>
      </c>
      <c r="V160">
        <f>IFERROR(1/IF(Inputs!$B$4="pvp",15,MAX(0.1,Skills!D5-IF(Skills!E5=TRUE,Inputs!$B$31,0))),0)</f>
        <v/>
      </c>
    </row>
    <row r="161">
      <c r="A161">
        <f>Skills!A6</f>
        <v/>
      </c>
      <c r="B161">
        <f>Skills!B6</f>
        <v/>
      </c>
      <c r="C161">
        <f>Inputs!$B$3&gt;=103</f>
        <v/>
      </c>
      <c r="D161">
        <f>IF(Skills!C6=1,60+Inputs!$B$24+Inputs!$B$28,IF(Skills!C6=2,90+Inputs!$B$25+Inputs!$B$28,IF(Skills!C6=3,120+Inputs!$B$26+Inputs!$B$28,MAX(0,(Inputs!$B$3-100)*3)+Inputs!$B$27+Inputs!$B$28)))</f>
        <v/>
      </c>
      <c r="E161">
        <f>INDEX(FactorTable!$B$2:$Y$301, MATCH(ROUND(MIN(300,MAX(1,D161)),0), FactorTable!$A$2:$A$301,0), Skills!L6+1)</f>
        <v/>
      </c>
      <c r="F161">
        <f>IF(Skills!M6=TRUE,(Skills!K6/10)*(E161/1000),Skills!K6/10)+Skills!N6</f>
        <v/>
      </c>
      <c r="G161">
        <f>Calc!G6</f>
        <v/>
      </c>
      <c r="H161">
        <f>Calc!H6</f>
        <v/>
      </c>
      <c r="I161">
        <f>IF(Skills!T6&lt;&gt;"",1+(Skills!T6/10)*($Z$3/1000)/100,1)</f>
        <v/>
      </c>
      <c r="J161">
        <f>((Inputs!$B$5*(1+Inputs!$B$6/100))+((Inputs!$B$11*(1+Inputs!$B$12/100))-(Inputs!$B$11*(1+Inputs!$B$12/100)))*(1+Inputs!$B$6/100))*(F161/100)</f>
        <v/>
      </c>
      <c r="K161">
        <f>J161*(1+((Inputs!$B$11*(1+Inputs!$B$12/100))*0.01+Inputs!$B$13*0.0025)/100)*(1+(Inputs!$B$14+B186)/100)*(1+IF(Inputs!$B$4="pvp",0,(1-Summary!$B$48)*(Inputs!$B$19+Skills!O6+B184)+Summary!$B$48*(Inputs!$B$20+Skills!P6+B185))/100)*(1+(Inputs!$B$15+1)/100)*(5000/(6000+Inputs!$B$7*(1-Inputs!$B$18/100)))*(1+Inputs!$B$23/100)*(1+IF(C172=TRUE,F172,0)/100)*(1+IF(C174=TRUE,F174,0)/100)*(1+IF(Skills!A6="TRIUMPH_FEATHER",IF(C170=TRUE,F170,0),0)/100)*(1+IF(C181=TRUE,F181,0)/100)^5*(1+(IF(Skills!A6="BIG_BANG",Inputs!$B$16,Inputs!$B$17))/100)*(B183*I161)</f>
        <v/>
      </c>
      <c r="L161">
        <f>K161*(MIN(Inputs!$B$21+(F176-Calc!F21),Inputs!$B$22)/100+Inputs!$B$22/100)/2</f>
        <v/>
      </c>
      <c r="M161">
        <f>L161*(1+(Inputs!$B$9+B187+(F179-Calc!F24))/100)</f>
        <v/>
      </c>
      <c r="N161">
        <f>L161*(1-MIN(Inputs!$B$8+((F178-Calc!F23)+(F177-Calc!F22)),100)/100)+M161*(MIN(Inputs!$B$8+((F178-Calc!F23)+(F177-Calc!F22)),100)/100)</f>
        <v/>
      </c>
      <c r="O161">
        <f>IF(C161,H161*N161*IF(AND(Inputs!$B$4&lt;&gt;"pvp",Inputs!$B$35&gt;0),((Skills!F6*((S161-1)*IF(Skills!G6&gt;0,Skills!H6/Skills!G6,1)+IF(Skills!G6&gt;0,MIN(Skills!H6,MAX(0,Inputs!$B$35-((S161-1)*IF(Inputs!$B$4="pvp",15,MAX(0.1,Skills!D6-IF(Skills!E6=TRUE,Inputs!$B$31,0))))))/Skills!G6,1)))/Inputs!$B$35),G161*V161)*IF(Inputs!$B$4="pvp",1,(1-Summary!$B$48)*(1)+Summary!$B$48*(MIN(Skills!Q6,Inputs!$B$37))),0)</f>
        <v/>
      </c>
      <c r="P161">
        <f>IF(B193=0,0,O161/B193)</f>
        <v/>
      </c>
      <c r="S161">
        <f>IF(AND(Inputs!$B$4&lt;&gt;"pvp",Inputs!$B$35&gt;0),(INT(Inputs!$B$35/IF(Inputs!$B$4="pvp",15,MAX(0.1,Skills!D6-IF(Skills!E6=TRUE,Inputs!$B$31,0))))+1),0)</f>
        <v/>
      </c>
      <c r="V161">
        <f>IFERROR(1/IF(Inputs!$B$4="pvp",15,MAX(0.1,Skills!D6-IF(Skills!E6=TRUE,Inputs!$B$31,0))),0)</f>
        <v/>
      </c>
    </row>
    <row r="162">
      <c r="A162">
        <f>Skills!A7</f>
        <v/>
      </c>
      <c r="B162">
        <f>Skills!B7</f>
        <v/>
      </c>
      <c r="C162">
        <f>Inputs!$B$3&gt;=122</f>
        <v/>
      </c>
      <c r="D162">
        <f>IF(Skills!C7=1,60+Inputs!$B$24+Inputs!$B$28,IF(Skills!C7=2,90+Inputs!$B$25+Inputs!$B$28,IF(Skills!C7=3,120+Inputs!$B$26+Inputs!$B$28,MAX(0,(Inputs!$B$3-100)*3)+Inputs!$B$27+Inputs!$B$28)))</f>
        <v/>
      </c>
      <c r="E162">
        <f>INDEX(FactorTable!$B$2:$Y$301, MATCH(ROUND(MIN(300,MAX(1,D162)),0), FactorTable!$A$2:$A$301,0), Skills!L7+1)</f>
        <v/>
      </c>
      <c r="F162">
        <f>IF(Skills!M7=TRUE,(Skills!K7/10)*(E162/1000),Skills!K7/10)+Skills!N7</f>
        <v/>
      </c>
      <c r="G162">
        <f>Calc!G7</f>
        <v/>
      </c>
      <c r="H162">
        <f>Calc!H7</f>
        <v/>
      </c>
      <c r="I162">
        <f>IF(Skills!T7&lt;&gt;"",1+(Skills!T7/10)*($Z$3/1000)/100,1)</f>
        <v/>
      </c>
      <c r="J162">
        <f>((Inputs!$B$5*(1+Inputs!$B$6/100))+((Inputs!$B$11*(1+Inputs!$B$12/100))-(Inputs!$B$11*(1+Inputs!$B$12/100)))*(1+Inputs!$B$6/100))*(F162/100)</f>
        <v/>
      </c>
      <c r="K162">
        <f>J162*(1+((Inputs!$B$11*(1+Inputs!$B$12/100))*0.01+Inputs!$B$13*0.0025)/100)*(1+(Inputs!$B$14+B186)/100)*(1+IF(Inputs!$B$4="pvp",0,(1-Summary!$B$48)*(Inputs!$B$19+Skills!O7+B184)+Summary!$B$48*(Inputs!$B$20+Skills!P7+B185))/100)*(1+(Inputs!$B$15+1)/100)*(5000/(6000+Inputs!$B$7*(1-Inputs!$B$18/100)))*(1+Inputs!$B$23/100)*(1+IF(C172=TRUE,F172,0)/100)*(1+IF(C174=TRUE,F174,0)/100)*(1+IF(Skills!A7="TRIUMPH_FEATHER",IF(C170=TRUE,F170,0),0)/100)*(1+IF(C181=TRUE,F181,0)/100)^5*(1+(IF(Skills!A7="BIG_BANG",Inputs!$B$16,Inputs!$B$17))/100)*(B183*I162)</f>
        <v/>
      </c>
      <c r="L162">
        <f>K162*(MIN(Inputs!$B$21+(F176-Calc!F21),Inputs!$B$22)/100+Inputs!$B$22/100)/2</f>
        <v/>
      </c>
      <c r="M162">
        <f>L162*(1+(Inputs!$B$9+B187+(F179-Calc!F24))/100)</f>
        <v/>
      </c>
      <c r="N162">
        <f>L162*(1-MIN(Inputs!$B$8+((F178-Calc!F23)+(F177-Calc!F22)),100)/100)+M162*(MIN(Inputs!$B$8+((F178-Calc!F23)+(F177-Calc!F22)),100)/100)</f>
        <v/>
      </c>
      <c r="O162">
        <f>IF(C162,H162*N162*IF(AND(Inputs!$B$4&lt;&gt;"pvp",Inputs!$B$35&gt;0),((Skills!F7*((S162-1)*IF(Skills!G7&gt;0,Skills!H7/Skills!G7,1)+IF(Skills!G7&gt;0,MIN(Skills!H7,MAX(0,Inputs!$B$35-((S162-1)*IF(Inputs!$B$4="pvp",15,MAX(0.1,Skills!D7-IF(Skills!E6=TRUE,Inputs!$B$31,0))))))/Skills!G7,1)))/Inputs!$B$35),G162*V162)*(1-Summary!$B$48),0)</f>
        <v/>
      </c>
      <c r="P162">
        <f>IF(B193=0,0,O162/B193)</f>
        <v/>
      </c>
      <c r="S162">
        <f>IF(AND(Inputs!$B$4&lt;&gt;"pvp",Inputs!$B$35&gt;0),(INT(Inputs!$B$35/IF(Inputs!$B$4="pvp",15,MAX(0.1,Skills!D7-IF(Skills!E6=TRUE,Inputs!$B$31,0))))+1),0)</f>
        <v/>
      </c>
      <c r="V162">
        <f>IFERROR(1/IF(Inputs!$B$4="pvp",15,MAX(0.1,Skills!D7-IF(Skills!E6=TRUE,Inputs!$B$31,0))),0)</f>
        <v/>
      </c>
    </row>
    <row r="163">
      <c r="A163">
        <f>Skills!A8</f>
        <v/>
      </c>
      <c r="B163">
        <f>Skills!B8</f>
        <v/>
      </c>
      <c r="C163">
        <f>Inputs!$B$3&gt;=105</f>
        <v/>
      </c>
      <c r="D163">
        <f>IF(Skills!C8=1,60+Inputs!$B$24+Inputs!$B$28,IF(Skills!C8=2,90+Inputs!$B$25+Inputs!$B$28,IF(Skills!C8=3,120+Inputs!$B$26+Inputs!$B$28,MAX(0,(Inputs!$B$3-100)*3)+Inputs!$B$27+Inputs!$B$28)))</f>
        <v/>
      </c>
      <c r="E163">
        <f>INDEX(FactorTable!$B$2:$Y$301, MATCH(ROUND(MIN(300,MAX(1,D163)),0), FactorTable!$A$2:$A$301,0), Skills!L8+1)</f>
        <v/>
      </c>
      <c r="F163">
        <f>IF(Skills!M8=TRUE,(Skills!K8/10)*(E163/1000),Skills!K8/10)+Skills!N8</f>
        <v/>
      </c>
      <c r="G163">
        <f>Calc!G8</f>
        <v/>
      </c>
      <c r="H163">
        <f>Calc!H8</f>
        <v/>
      </c>
      <c r="I163">
        <f>IF(Skills!T8&lt;&gt;"",1+(Skills!T8/10)*($Z$3/1000)/100,1)</f>
        <v/>
      </c>
      <c r="J163">
        <f>((Inputs!$B$5*(1+Inputs!$B$6/100))+((Inputs!$B$11*(1+Inputs!$B$12/100))-(Inputs!$B$11*(1+Inputs!$B$12/100)))*(1+Inputs!$B$6/100))*(F163/100)</f>
        <v/>
      </c>
      <c r="K163">
        <f>J163*(1+((Inputs!$B$11*(1+Inputs!$B$12/100))*0.01+Inputs!$B$13*0.0025)/100)*(1+(Inputs!$B$14+B186)/100)*(1+IF(Inputs!$B$4="pvp",0,(1-Summary!$B$48)*(Inputs!$B$19+Skills!O8+B184)+Summary!$B$48*(Inputs!$B$20+Skills!P8+B185))/100)*(1+(Inputs!$B$15+1)/100)*(5000/(6000+Inputs!$B$7*(1-Inputs!$B$18/100)))*(1+Inputs!$B$23/100)*(1+IF(C172=TRUE,F172,0)/100)*(1+IF(C174=TRUE,F174,0)/100)*(1+IF(Skills!A8="TRIUMPH_FEATHER",IF(C170=TRUE,F170,0),0)/100)*(1+IF(C181=TRUE,F181,0)/100)^5*(1+(IF(Skills!A8="BIG_BANG",Inputs!$B$16,Inputs!$B$17))/100)*(B183*I163)</f>
        <v/>
      </c>
      <c r="L163">
        <f>K163*(MIN(Inputs!$B$21+(F176-Calc!F21),Inputs!$B$22)/100+Inputs!$B$22/100)/2</f>
        <v/>
      </c>
      <c r="M163">
        <f>L163*(1+(Inputs!$B$9+B187+(F179-Calc!F24))/100)</f>
        <v/>
      </c>
      <c r="N163">
        <f>L163*(1-MIN(Inputs!$B$8+((F178-Calc!F23)+(F177-Calc!F22)),100)/100)+M163*(MIN(Inputs!$B$8+((F178-Calc!F23)+(F177-Calc!F22)),100)/100)</f>
        <v/>
      </c>
      <c r="O163">
        <f>IF(C163,H163*N163*IF(AND(Inputs!$B$4&lt;&gt;"pvp",Inputs!$B$35&gt;0),((Skills!F8*((S163-1)*IF(Skills!G8&gt;0,Skills!H8/Skills!G8,1)+IF(Skills!G8&gt;0,MIN(Skills!H8,MAX(0,Inputs!$B$35-((S163-1)*IF(Inputs!$B$4="pvp",15,MAX(0.1,Skills!D8-IF(Skills!E8=TRUE,Inputs!$B$31,0))))))/Skills!G8,1)))/Inputs!$B$35),G163*V163)*IF(Inputs!$B$4="pvp",1,(1-Summary!$B$48)*(1)+Summary!$B$48*(MIN(Skills!Q8,Inputs!$B$37))),0)</f>
        <v/>
      </c>
      <c r="P163">
        <f>IF(B193=0,0,O163/B193)</f>
        <v/>
      </c>
      <c r="S163">
        <f>IF(AND(Inputs!$B$4&lt;&gt;"pvp",Inputs!$B$35&gt;0),(INT(Inputs!$B$35/IF(Inputs!$B$4="pvp",15,MAX(0.1,Skills!D8-IF(Skills!E8=TRUE,Inputs!$B$31,0))))+1),0)</f>
        <v/>
      </c>
      <c r="V163">
        <f>IFERROR(1/IF(Inputs!$B$4="pvp",15,MAX(0.1,Skills!D8-IF(Skills!E8=TRUE,Inputs!$B$31,0))),0)</f>
        <v/>
      </c>
    </row>
    <row r="164">
      <c r="A164">
        <f>Skills!A9</f>
        <v/>
      </c>
      <c r="B164">
        <f>Skills!B9</f>
        <v/>
      </c>
      <c r="C164">
        <f>Inputs!$B$3&gt;=115</f>
        <v/>
      </c>
      <c r="D164">
        <f>IF(Skills!C9=1,60+Inputs!$B$24+Inputs!$B$28,IF(Skills!C9=2,90+Inputs!$B$25+Inputs!$B$28,IF(Skills!C9=3,120+Inputs!$B$26+Inputs!$B$28,MAX(0,(Inputs!$B$3-100)*3)+Inputs!$B$27+Inputs!$B$28)))</f>
        <v/>
      </c>
      <c r="E164">
        <f>INDEX(FactorTable!$B$2:$Y$301, MATCH(ROUND(MIN(300,MAX(1,D164)),0), FactorTable!$A$2:$A$301,0), Skills!L9+1)</f>
        <v/>
      </c>
      <c r="F164">
        <f>IF(Skills!M9=TRUE,(Skills!K9/10)*(E164/1000),Skills!K9/10)+Skills!N9</f>
        <v/>
      </c>
      <c r="G164">
        <f>Calc!G9</f>
        <v/>
      </c>
      <c r="H164">
        <f>Calc!H9</f>
        <v/>
      </c>
      <c r="I164">
        <f>IF(Skills!T9&lt;&gt;"",1+(Skills!T9/10)*($Z$3/1000)/100,1)</f>
        <v/>
      </c>
      <c r="J164">
        <f>((Inputs!$B$5*(1+Inputs!$B$6/100))+((Inputs!$B$11*(1+Inputs!$B$12/100))-(Inputs!$B$11*(1+Inputs!$B$12/100)))*(1+Inputs!$B$6/100))*(F164/100)</f>
        <v/>
      </c>
      <c r="K164">
        <f>J164*(1+((Inputs!$B$11*(1+Inputs!$B$12/100))*0.01+Inputs!$B$13*0.0025)/100)*(1+(Inputs!$B$14+B186)/100)*(1+IF(Inputs!$B$4="pvp",0,(1-Summary!$B$48)*(Inputs!$B$19+Skills!O9+B184)+Summary!$B$48*(Inputs!$B$20+Skills!P9+B185))/100)*(1+(Inputs!$B$15+1)/100)*(5000/(6000+Inputs!$B$7*(1-Inputs!$B$18/100)))*(1+Inputs!$B$23/100)*(1+IF(C172=TRUE,F172,0)/100)*(1+IF(C174=TRUE,F174,0)/100)*(1+IF(Skills!A9="TRIUMPH_FEATHER",IF(C170=TRUE,F170,0),0)/100)*(1+IF(C181=TRUE,F181,0)/100)^5*(1+(IF(Skills!A9="BIG_BANG",Inputs!$B$16,Inputs!$B$17))/100)*(B183*I164)</f>
        <v/>
      </c>
      <c r="L164">
        <f>K164*(MIN(Inputs!$B$21+(F176-Calc!F21),Inputs!$B$22)/100+Inputs!$B$22/100)/2</f>
        <v/>
      </c>
      <c r="M164">
        <f>L164*(1+(Inputs!$B$9+B187+(F179-Calc!F24))/100)</f>
        <v/>
      </c>
      <c r="N164">
        <f>L164*(1-MIN(Inputs!$B$8+((F178-Calc!F23)+(F177-Calc!F22)),100)/100)+M164*(MIN(Inputs!$B$8+((F178-Calc!F23)+(F177-Calc!F22)),100)/100)</f>
        <v/>
      </c>
      <c r="O164">
        <f>IF(C164,H164*N164*IF(AND(Inputs!$B$4&lt;&gt;"pvp",Inputs!$B$35&gt;0),((Skills!F9*((S164-1)*IF(Skills!G9&gt;0,Skills!H9/Skills!G9,1)+IF(Skills!G9&gt;0,MIN(Skills!H9,MAX(0,Inputs!$B$35-((S164-1)*IF(Inputs!$B$4="pvp",15,MAX(0.1,Skills!D9-IF(Skills!E9=TRUE,Inputs!$B$31,0))))))/Skills!G9,1)))/Inputs!$B$35),G164*V164)*IF(Inputs!$B$4="pvp",1,(1-Summary!$B$48)*(1)+Summary!$B$48*(MIN(Skills!Q9,Inputs!$B$37))),0)</f>
        <v/>
      </c>
      <c r="P164">
        <f>IF(B193=0,0,O164/B193)</f>
        <v/>
      </c>
      <c r="S164">
        <f>IF(AND(Inputs!$B$4&lt;&gt;"pvp",Inputs!$B$35&gt;0),(INT(Inputs!$B$35/IF(Inputs!$B$4="pvp",15,MAX(0.1,Skills!D9-IF(Skills!E9=TRUE,Inputs!$B$31,0))))+1),0)</f>
        <v/>
      </c>
      <c r="V164">
        <f>IFERROR(1/IF(Inputs!$B$4="pvp",15,MAX(0.1,Skills!D9-IF(Skills!E9=TRUE,Inputs!$B$31,0))),0)</f>
        <v/>
      </c>
    </row>
    <row r="165">
      <c r="A165">
        <f>Skills!A10</f>
        <v/>
      </c>
      <c r="B165">
        <f>Skills!B10</f>
        <v/>
      </c>
      <c r="C165">
        <f>Inputs!$B$3&gt;=66</f>
        <v/>
      </c>
      <c r="D165">
        <f>IF(Skills!C10=1,60+Inputs!$B$24+Inputs!$B$28,IF(Skills!C10=2,90+Inputs!$B$25+Inputs!$B$28,IF(Skills!C10=3,120+Inputs!$B$26+Inputs!$B$28,MAX(0,(Inputs!$B$3-100)*3)+Inputs!$B$27+Inputs!$B$28)))</f>
        <v/>
      </c>
      <c r="E165">
        <f>INDEX(FactorTable!$B$2:$Y$301, MATCH(ROUND(MIN(300,MAX(1,D165)),0), FactorTable!$A$2:$A$301,0), Skills!L10+1)</f>
        <v/>
      </c>
      <c r="F165" t="n">
        <v>0</v>
      </c>
      <c r="G165">
        <f>Calc!G10</f>
        <v/>
      </c>
      <c r="H165">
        <f>Calc!H10</f>
        <v/>
      </c>
      <c r="I165">
        <f>IF(Skills!T10&lt;&gt;"",1+(Skills!T10/10)*($Z$3/1000)/100,1)</f>
        <v/>
      </c>
      <c r="J165" t="inlineStr"/>
      <c r="K165" t="inlineStr"/>
      <c r="L165" t="inlineStr"/>
      <c r="M165" t="inlineStr"/>
      <c r="N165" t="inlineStr"/>
      <c r="O165" t="n">
        <v>0</v>
      </c>
      <c r="P165">
        <f>IF(B193=0,0,O165/B193)</f>
        <v/>
      </c>
      <c r="S165">
        <f>IF(AND(Inputs!$B$4&lt;&gt;"pvp",Inputs!$B$35&gt;0),(INT(Inputs!$B$35/IF(Inputs!$B$4="pvp",15,MAX(0.1,Skills!D10-IF(Skills!E10=TRUE,Inputs!$B$31,0))))+1),0)</f>
        <v/>
      </c>
      <c r="V165">
        <f>IFERROR(1/IF(Inputs!$B$4="pvp",15,MAX(0.1,Skills!D10-IF(Skills!E10=TRUE,Inputs!$B$31,0))),0)</f>
        <v/>
      </c>
    </row>
    <row r="166">
      <c r="A166">
        <f>Skills!A11</f>
        <v/>
      </c>
      <c r="B166">
        <f>Skills!B11</f>
        <v/>
      </c>
      <c r="C166">
        <f>Inputs!$B$3&gt;=69</f>
        <v/>
      </c>
      <c r="D166">
        <f>IF(Skills!C11=1,60+Inputs!$B$24+Inputs!$B$28,IF(Skills!C11=2,90+Inputs!$B$25+Inputs!$B$28,IF(Skills!C11=3,120+Inputs!$B$26+Inputs!$B$28,MAX(0,(Inputs!$B$3-100)*3)+Inputs!$B$27+Inputs!$B$28)))</f>
        <v/>
      </c>
      <c r="E166">
        <f>INDEX(FactorTable!$B$2:$Y$301, MATCH(ROUND(MIN(300,MAX(1,D166)),0), FactorTable!$A$2:$A$301,0), Skills!L11+1)</f>
        <v/>
      </c>
      <c r="F166">
        <f>IF(Skills!M11=TRUE,(Skills!K11/10)*(E166/1000),Skills!K11/10)+Skills!N11</f>
        <v/>
      </c>
      <c r="G166">
        <f>Calc!G11</f>
        <v/>
      </c>
      <c r="H166">
        <f>Calc!H11</f>
        <v/>
      </c>
      <c r="I166">
        <f>IF(Skills!T11&lt;&gt;"",1+(Skills!T11/10)*($Z$3/1000)/100,1)</f>
        <v/>
      </c>
      <c r="J166" t="inlineStr"/>
      <c r="K166" t="inlineStr"/>
      <c r="L166" t="inlineStr"/>
      <c r="M166" t="inlineStr"/>
      <c r="N166" t="inlineStr"/>
      <c r="O166" t="n">
        <v>0</v>
      </c>
      <c r="P166">
        <f>IF(B193=0,0,O166/B193)</f>
        <v/>
      </c>
      <c r="S166">
        <f>IF(AND(Inputs!$B$4&lt;&gt;"pvp",Inputs!$B$35&gt;0),(INT(Inputs!$B$35/IF(Inputs!$B$4="pvp",15,MAX(0.1,Skills!D11-IF(Skills!E11=TRUE,Inputs!$B$31,0))))+1),0)</f>
        <v/>
      </c>
      <c r="V166">
        <f>IFERROR(1/IF(Inputs!$B$4="pvp",15,MAX(0.1,Skills!D11-IF(Skills!E11=TRUE,Inputs!$B$31,0))),0)</f>
        <v/>
      </c>
    </row>
    <row r="167">
      <c r="A167">
        <f>Skills!A12</f>
        <v/>
      </c>
      <c r="B167">
        <f>Skills!B12</f>
        <v/>
      </c>
      <c r="C167">
        <f>Inputs!$B$3&gt;=72</f>
        <v/>
      </c>
      <c r="D167">
        <f>IF(Skills!C12=1,60+Inputs!$B$24+Inputs!$B$28,IF(Skills!C12=2,90+Inputs!$B$25+Inputs!$B$28,IF(Skills!C12=3,120+Inputs!$B$26+Inputs!$B$28,MAX(0,(Inputs!$B$3-100)*3)+Inputs!$B$27+Inputs!$B$28)))</f>
        <v/>
      </c>
      <c r="E167">
        <f>INDEX(FactorTable!$B$2:$Y$301, MATCH(ROUND(MIN(300,MAX(1,D167)),0), FactorTable!$A$2:$A$301,0), Skills!L12+1)</f>
        <v/>
      </c>
      <c r="F167">
        <f>IF(Skills!M12=TRUE,(Skills!K12/10)*(E167/1000),Skills!K12/10)+Skills!N12</f>
        <v/>
      </c>
      <c r="G167">
        <f>Calc!G12</f>
        <v/>
      </c>
      <c r="H167">
        <f>Calc!H12</f>
        <v/>
      </c>
      <c r="I167">
        <f>IF(Skills!T12&lt;&gt;"",1+(Skills!T12/10)*($Z$3/1000)/100,1)</f>
        <v/>
      </c>
      <c r="J167" t="inlineStr"/>
      <c r="K167" t="inlineStr"/>
      <c r="L167" t="inlineStr"/>
      <c r="M167" t="inlineStr"/>
      <c r="N167" t="inlineStr"/>
      <c r="O167" t="n">
        <v>0</v>
      </c>
      <c r="P167">
        <f>IF(B193=0,0,O167/B193)</f>
        <v/>
      </c>
      <c r="S167">
        <f>IF(AND(Inputs!$B$4&lt;&gt;"pvp",Inputs!$B$35&gt;0),(INT(Inputs!$B$35/IF(Inputs!$B$4="pvp",15,MAX(0.1,Skills!D12-IF(Skills!E12=TRUE,Inputs!$B$31,0))))+1),0)</f>
        <v/>
      </c>
      <c r="V167">
        <f>IFERROR(1/IF(Inputs!$B$4="pvp",15,MAX(0.1,Skills!D12-IF(Skills!E12=TRUE,Inputs!$B$31,0))),0)</f>
        <v/>
      </c>
    </row>
    <row r="168">
      <c r="A168">
        <f>Skills!A13</f>
        <v/>
      </c>
      <c r="B168">
        <f>Skills!B13</f>
        <v/>
      </c>
      <c r="C168">
        <f>Inputs!$B$3&gt;=107</f>
        <v/>
      </c>
      <c r="D168">
        <f>IF(Skills!C13=1,60+Inputs!$B$24+Inputs!$B$28,IF(Skills!C13=2,90+Inputs!$B$25+Inputs!$B$28,IF(Skills!C13=3,120+Inputs!$B$26+Inputs!$B$28,MAX(0,(Inputs!$B$3-100)*3)+Inputs!$B$27+Inputs!$B$28)))</f>
        <v/>
      </c>
      <c r="E168">
        <f>INDEX(FactorTable!$B$2:$Y$301, MATCH(ROUND(MIN(300,MAX(1,D168)),0), FactorTable!$A$2:$A$301,0), Skills!L13+1)</f>
        <v/>
      </c>
      <c r="F168">
        <f>IF(Skills!M13=TRUE,(Skills!K13/10)*(E168/1000),Skills!K13/10)+Skills!N13</f>
        <v/>
      </c>
      <c r="G168">
        <f>Calc!G13</f>
        <v/>
      </c>
      <c r="H168">
        <f>Calc!H13</f>
        <v/>
      </c>
      <c r="I168">
        <f>IF(Skills!T13&lt;&gt;"",1+(Skills!T13/10)*($Z$3/1000)/100,1)</f>
        <v/>
      </c>
      <c r="J168" t="inlineStr"/>
      <c r="K168" t="inlineStr"/>
      <c r="L168" t="inlineStr"/>
      <c r="M168" t="inlineStr"/>
      <c r="N168" t="inlineStr"/>
      <c r="O168" t="n">
        <v>0</v>
      </c>
      <c r="P168">
        <f>IF(B193=0,0,O168/B193)</f>
        <v/>
      </c>
      <c r="S168">
        <f>IF(AND(Inputs!$B$4&lt;&gt;"pvp",Inputs!$B$35&gt;0),(INT(Inputs!$B$35/IF(Inputs!$B$4="pvp",15,MAX(0.1,Skills!D13-IF(Skills!E13=TRUE,Inputs!$B$31,0))))+1),0)</f>
        <v/>
      </c>
      <c r="V168">
        <f>IFERROR(1/IF(Inputs!$B$4="pvp",15,MAX(0.1,Skills!D13-IF(Skills!E13=TRUE,Inputs!$B$31,0))),0)</f>
        <v/>
      </c>
    </row>
    <row r="169">
      <c r="A169">
        <f>Skills!A14</f>
        <v/>
      </c>
      <c r="B169">
        <f>Skills!B14</f>
        <v/>
      </c>
      <c r="C169">
        <f>Inputs!$B$3&gt;=63</f>
        <v/>
      </c>
      <c r="D169">
        <f>IF(Skills!C14=1,60+Inputs!$B$24+Inputs!$B$28,IF(Skills!C14=2,90+Inputs!$B$25+Inputs!$B$28,IF(Skills!C14=3,120+Inputs!$B$26+Inputs!$B$28,MAX(0,(Inputs!$B$3-100)*3)+Inputs!$B$27+Inputs!$B$28)))</f>
        <v/>
      </c>
      <c r="E169">
        <f>INDEX(FactorTable!$B$2:$Y$301, MATCH(ROUND(MIN(300,MAX(1,D169)),0), FactorTable!$A$2:$A$301,0), Skills!L14+1)</f>
        <v/>
      </c>
      <c r="F169">
        <f>IF(Skills!M14=TRUE,(Skills!K14/10)*(E169/1000),Skills!K14/10)+Skills!N14</f>
        <v/>
      </c>
      <c r="G169">
        <f>Calc!G14</f>
        <v/>
      </c>
      <c r="H169">
        <f>Calc!H14</f>
        <v/>
      </c>
      <c r="I169">
        <f>IF(Skills!T14&lt;&gt;"",1+(Skills!T14/10)*($Z$3/1000)/100,1)</f>
        <v/>
      </c>
      <c r="J169">
        <f>((Inputs!$B$5*(1+Inputs!$B$6/100))+((Inputs!$B$11*(1+Inputs!$B$12/100))-(Inputs!$B$11*(1+Inputs!$B$12/100)))*(1+Inputs!$B$6/100))*(F169/100)</f>
        <v/>
      </c>
      <c r="K169">
        <f>J169*(1+((Inputs!$B$11*(1+Inputs!$B$12/100))*0.01+Inputs!$B$13*0.0025)/100)*(1+(Inputs!$B$14+B186)/100)*(1+IF(Inputs!$B$4="pvp",0,(1-Summary!$B$48)*(Inputs!$B$19+Skills!O14+B184)+Summary!$B$48*(Inputs!$B$20+Skills!P14+B185))/100)*(1+(Inputs!$B$15+1)/100)*(5000/(6000+Inputs!$B$7*(1-Inputs!$B$18/100)))*(1+Inputs!$B$23/100)*(1+IF(C172=TRUE,F172,0)/100)*(1+IF(C174=TRUE,F174,0)/100)*(1+IF(Skills!A14="TRIUMPH_FEATHER",IF(C170=TRUE,F170,0),0)/100)*(1+IF(C181=TRUE,F181,0)/100)^5*(1+(IF(Skills!A14="BIG_BANG",Inputs!$B$16,Inputs!$B$17))/100)*(B183*I169)</f>
        <v/>
      </c>
      <c r="L169">
        <f>K169*(MIN(Inputs!$B$21+(F176-Calc!F21),Inputs!$B$22)/100+Inputs!$B$22/100)/2</f>
        <v/>
      </c>
      <c r="M169">
        <f>L169*(1+(Inputs!$B$9+B187+(F179-Calc!F24))/100)</f>
        <v/>
      </c>
      <c r="N169">
        <f>L169*(1-MIN(Inputs!$B$8+((F178-Calc!F23)+(F177-Calc!F22)),100)/100)+M169*(MIN(Inputs!$B$8+((F178-Calc!F23)+(F177-Calc!F22)),100)/100)</f>
        <v/>
      </c>
      <c r="O169">
        <f>IF(C169,Skills!F14*N169*((IF(Inputs!$B$3&gt;=78,25,15)/100*B189*10)/(1+IF(Inputs!$B$3&gt;=78,25,15)/100*B189*10))*(Skills!I14/100*B189)/(1+Skills!G14*Skills!I14/100*B189)*IF(Inputs!$B$4="pvp",1,(1-Summary!$B$48)*(1)+Summary!$B$48*(MIN(Skills!Q14,Inputs!$B$37))),0)</f>
        <v/>
      </c>
      <c r="P169">
        <f>IF(B193=0,0,O169/B193)</f>
        <v/>
      </c>
      <c r="S169" t="n">
        <v>0</v>
      </c>
      <c r="V169">
        <f>IFERROR(1/IF(Inputs!$B$4="pvp",15,MAX(0.1,Skills!D14-IF(Skills!E14=TRUE,Inputs!$B$31,0))),0)</f>
        <v/>
      </c>
    </row>
    <row r="170">
      <c r="A170">
        <f>Skills!A15</f>
        <v/>
      </c>
      <c r="B170">
        <f>Skills!B15</f>
        <v/>
      </c>
      <c r="C170">
        <f>Inputs!$B$3&gt;=100</f>
        <v/>
      </c>
      <c r="D170">
        <f>IF(Skills!C15=1,60+Inputs!$B$24+Inputs!$B$28,IF(Skills!C15=2,90+Inputs!$B$25+Inputs!$B$28,IF(Skills!C15=3,120+Inputs!$B$26+Inputs!$B$28,MAX(0,(Inputs!$B$3-100)*3)+Inputs!$B$27+Inputs!$B$28)))</f>
        <v/>
      </c>
      <c r="E170">
        <f>INDEX(FactorTable!$B$2:$Y$301, MATCH(ROUND(MIN(300,MAX(1,D170)),0), FactorTable!$A$2:$A$301,0), Skills!L15+1)</f>
        <v/>
      </c>
      <c r="F170">
        <f>IF(Skills!M15=TRUE,(Skills!K15/10)*(E170/1000),Skills!K15/10)+Skills!N15</f>
        <v/>
      </c>
      <c r="G170">
        <f>Calc!G15</f>
        <v/>
      </c>
      <c r="H170">
        <f>Calc!H15</f>
        <v/>
      </c>
      <c r="I170">
        <f>IF(Skills!T15&lt;&gt;"",1+(Skills!T15/10)*($Z$3/1000)/100,1)</f>
        <v/>
      </c>
      <c r="J170" t="inlineStr"/>
      <c r="K170" t="inlineStr"/>
      <c r="L170" t="inlineStr"/>
      <c r="M170" t="inlineStr"/>
      <c r="N170" t="inlineStr"/>
      <c r="O170" t="n">
        <v>0</v>
      </c>
      <c r="P170">
        <f>IF(B193=0,0,O170/B193)</f>
        <v/>
      </c>
      <c r="S170" t="n">
        <v>0</v>
      </c>
      <c r="V170">
        <f>IFERROR(1/IF(Inputs!$B$4="pvp",15,MAX(0.1,Skills!D15-IF(Skills!E15=TRUE,Inputs!$B$31,0))),0)</f>
        <v/>
      </c>
    </row>
    <row r="171">
      <c r="A171">
        <f>Skills!A16</f>
        <v/>
      </c>
      <c r="B171">
        <f>Skills!B16</f>
        <v/>
      </c>
      <c r="C171">
        <f>Inputs!$B$3&gt;=49</f>
        <v/>
      </c>
      <c r="D171">
        <f>IF(Skills!C16=1,60+Inputs!$B$24+Inputs!$B$28,IF(Skills!C16=2,90+Inputs!$B$25+Inputs!$B$28,IF(Skills!C16=3,120+Inputs!$B$26+Inputs!$B$28,MAX(0,(Inputs!$B$3-100)*3)+Inputs!$B$27+Inputs!$B$28)))</f>
        <v/>
      </c>
      <c r="E171">
        <f>INDEX(FactorTable!$B$2:$Y$301, MATCH(ROUND(MIN(300,MAX(1,D171)),0), FactorTable!$A$2:$A$301,0), Skills!L16+1)</f>
        <v/>
      </c>
      <c r="F171">
        <f>IF(Skills!M16=TRUE,(Skills!K16/10)*(E171/1000),Skills!K16/10)+Skills!N16</f>
        <v/>
      </c>
      <c r="G171">
        <f>Calc!G16</f>
        <v/>
      </c>
      <c r="H171">
        <f>Calc!H16</f>
        <v/>
      </c>
      <c r="I171">
        <f>IF(Skills!T16&lt;&gt;"",1+(Skills!T16/10)*($Z$3/1000)/100,1)</f>
        <v/>
      </c>
      <c r="J171" t="inlineStr"/>
      <c r="K171" t="inlineStr"/>
      <c r="L171" t="inlineStr"/>
      <c r="M171" t="inlineStr"/>
      <c r="N171" t="inlineStr"/>
      <c r="O171" t="n">
        <v>0</v>
      </c>
      <c r="P171">
        <f>IF(B193=0,0,O171/B193)</f>
        <v/>
      </c>
      <c r="S171" t="n">
        <v>0</v>
      </c>
      <c r="V171">
        <f>IFERROR(1/IF(Inputs!$B$4="pvp",15,MAX(0.1,Skills!D16-IF(Skills!E16=TRUE,Inputs!$B$31,0))),0)</f>
        <v/>
      </c>
    </row>
    <row r="172">
      <c r="A172">
        <f>Skills!A17</f>
        <v/>
      </c>
      <c r="B172">
        <f>Skills!B17</f>
        <v/>
      </c>
      <c r="C172">
        <f>Inputs!$B$3&gt;=75</f>
        <v/>
      </c>
      <c r="D172">
        <f>IF(Skills!C17=1,60+Inputs!$B$24+Inputs!$B$28,IF(Skills!C17=2,90+Inputs!$B$25+Inputs!$B$28,IF(Skills!C17=3,120+Inputs!$B$26+Inputs!$B$28,MAX(0,(Inputs!$B$3-100)*3)+Inputs!$B$27+Inputs!$B$28)))</f>
        <v/>
      </c>
      <c r="E172">
        <f>INDEX(FactorTable!$B$2:$Y$301, MATCH(ROUND(MIN(300,MAX(1,D172)),0), FactorTable!$A$2:$A$301,0), Skills!L17+1)</f>
        <v/>
      </c>
      <c r="F172">
        <f>IF(Skills!M17=TRUE,(Skills!K17/10)*(E172/1000),Skills!K17/10)+Skills!N17</f>
        <v/>
      </c>
      <c r="G172">
        <f>Calc!G17</f>
        <v/>
      </c>
      <c r="H172">
        <f>Calc!H17</f>
        <v/>
      </c>
      <c r="I172">
        <f>IF(Skills!T17&lt;&gt;"",1+(Skills!T17/10)*($Z$3/1000)/100,1)</f>
        <v/>
      </c>
      <c r="J172" t="inlineStr"/>
      <c r="K172" t="inlineStr"/>
      <c r="L172" t="inlineStr"/>
      <c r="M172" t="inlineStr"/>
      <c r="N172" t="inlineStr"/>
      <c r="O172" t="n">
        <v>0</v>
      </c>
      <c r="P172">
        <f>IF(B193=0,0,O172/B193)</f>
        <v/>
      </c>
      <c r="S172" t="n">
        <v>0</v>
      </c>
      <c r="V172">
        <f>IFERROR(1/IF(Inputs!$B$4="pvp",15,MAX(0.1,Skills!D17-IF(Skills!E17=TRUE,Inputs!$B$31,0))),0)</f>
        <v/>
      </c>
    </row>
    <row r="173">
      <c r="A173">
        <f>Skills!A18</f>
        <v/>
      </c>
      <c r="B173">
        <f>Skills!B18</f>
        <v/>
      </c>
      <c r="C173">
        <f>Inputs!$B$3&gt;=110</f>
        <v/>
      </c>
      <c r="D173">
        <f>IF(Skills!C18=1,60+Inputs!$B$24+Inputs!$B$28,IF(Skills!C18=2,90+Inputs!$B$25+Inputs!$B$28,IF(Skills!C18=3,120+Inputs!$B$26+Inputs!$B$28,MAX(0,(Inputs!$B$3-100)*3)+Inputs!$B$27+Inputs!$B$28)))</f>
        <v/>
      </c>
      <c r="E173">
        <f>INDEX(FactorTable!$B$2:$Y$301, MATCH(ROUND(MIN(300,MAX(1,D173)),0), FactorTable!$A$2:$A$301,0), Skills!L18+1)</f>
        <v/>
      </c>
      <c r="F173">
        <f>(Skills!K18/10)*(E173/1000)*64/45+Skills!N18</f>
        <v/>
      </c>
      <c r="G173">
        <f>Calc!G18</f>
        <v/>
      </c>
      <c r="H173">
        <f>Calc!H18</f>
        <v/>
      </c>
      <c r="I173">
        <f>IF(Skills!T18&lt;&gt;"",1+(Skills!T18/10)*($Z$3/1000)/100,1)</f>
        <v/>
      </c>
      <c r="J173" t="inlineStr"/>
      <c r="K173" t="inlineStr"/>
      <c r="L173" t="inlineStr"/>
      <c r="M173" t="inlineStr"/>
      <c r="N173" t="inlineStr"/>
      <c r="O173" t="n">
        <v>0</v>
      </c>
      <c r="P173">
        <f>IF(B193=0,0,O173/B193)</f>
        <v/>
      </c>
      <c r="S173">
        <f>IF(AND(Inputs!$B$4&lt;&gt;"pvp",Inputs!$B$35&gt;0),(INT(Inputs!$B$35/IF(Inputs!$B$4="pvp",15,MAX(0.1,Skills!D18-IF(Skills!E18=TRUE,Inputs!$B$31,0))))+1),0)</f>
        <v/>
      </c>
      <c r="V173">
        <f>IFERROR(1/IF(Inputs!$B$4="pvp",15,MAX(0.1,Skills!D18-IF(Skills!E18=TRUE,Inputs!$B$31,0))),0)</f>
        <v/>
      </c>
    </row>
    <row r="174">
      <c r="A174">
        <f>Skills!A19</f>
        <v/>
      </c>
      <c r="B174">
        <f>Skills!B19</f>
        <v/>
      </c>
      <c r="C174">
        <f>Inputs!$B$3&gt;=125</f>
        <v/>
      </c>
      <c r="D174">
        <f>IF(Skills!C19=1,60+Inputs!$B$24+Inputs!$B$28,IF(Skills!C19=2,90+Inputs!$B$25+Inputs!$B$28,IF(Skills!C19=3,120+Inputs!$B$26+Inputs!$B$28,MAX(0,(Inputs!$B$3-100)*3)+Inputs!$B$27+Inputs!$B$28)))</f>
        <v/>
      </c>
      <c r="E174">
        <f>INDEX(FactorTable!$B$2:$Y$301, MATCH(ROUND(MIN(300,MAX(1,D174)),0), FactorTable!$A$2:$A$301,0), Skills!L19+1)</f>
        <v/>
      </c>
      <c r="F174">
        <f>IF(Skills!M19=TRUE,(Skills!K19/10)*(E174/1000),Skills!K19/10)+Skills!N19</f>
        <v/>
      </c>
      <c r="G174">
        <f>Calc!G19</f>
        <v/>
      </c>
      <c r="H174">
        <f>Calc!H19</f>
        <v/>
      </c>
      <c r="I174">
        <f>IF(Skills!T19&lt;&gt;"",1+(Skills!T19/10)*($Z$3/1000)/100,1)</f>
        <v/>
      </c>
      <c r="J174" t="inlineStr"/>
      <c r="K174" t="inlineStr"/>
      <c r="L174" t="inlineStr"/>
      <c r="M174" t="inlineStr"/>
      <c r="N174" t="inlineStr"/>
      <c r="O174" t="n">
        <v>0</v>
      </c>
      <c r="P174">
        <f>IF(B193=0,0,O174/B193)</f>
        <v/>
      </c>
      <c r="S174" t="n">
        <v>0</v>
      </c>
      <c r="V174">
        <f>IFERROR(1/IF(Inputs!$B$4="pvp",15,MAX(0.1,Skills!D19-IF(Skills!E19=TRUE,Inputs!$B$31,0))),0)</f>
        <v/>
      </c>
    </row>
    <row r="175">
      <c r="A175">
        <f>Skills!A20</f>
        <v/>
      </c>
      <c r="B175">
        <f>Skills!B20</f>
        <v/>
      </c>
      <c r="C175">
        <f>Inputs!$B$3&gt;=33</f>
        <v/>
      </c>
      <c r="D175">
        <f>IF(Skills!C20=1,60+Inputs!$B$24+Inputs!$B$28,IF(Skills!C20=2,90+Inputs!$B$25+Inputs!$B$28,IF(Skills!C20=3,120+Inputs!$B$26+Inputs!$B$28,MAX(0,(Inputs!$B$3-100)*3)+Inputs!$B$27+Inputs!$B$28)))</f>
        <v/>
      </c>
      <c r="E175">
        <f>INDEX(FactorTable!$B$2:$Y$301, MATCH(ROUND(MIN(300,MAX(1,D175)),0), FactorTable!$A$2:$A$301,0), Skills!L20+1)</f>
        <v/>
      </c>
      <c r="F175">
        <f>IF(Skills!M20=TRUE,(Skills!K20/10)*(E175/1000),Skills!K20/10)+Skills!N20</f>
        <v/>
      </c>
      <c r="G175">
        <f>Calc!G20</f>
        <v/>
      </c>
      <c r="H175">
        <f>Calc!H20</f>
        <v/>
      </c>
      <c r="I175">
        <f>IF(Skills!T20&lt;&gt;"",1+(Skills!T20/10)*($Z$3/1000)/100,1)</f>
        <v/>
      </c>
      <c r="J175" t="inlineStr"/>
      <c r="K175" t="inlineStr"/>
      <c r="L175" t="inlineStr"/>
      <c r="M175" t="inlineStr"/>
      <c r="N175" t="inlineStr"/>
      <c r="O175" t="n">
        <v>0</v>
      </c>
      <c r="P175">
        <f>IF(B193=0,0,O175/B193)</f>
        <v/>
      </c>
      <c r="S175" t="n">
        <v>0</v>
      </c>
      <c r="V175">
        <f>IFERROR(1/IF(Inputs!$B$4="pvp",15,MAX(0.1,Skills!D20-IF(Skills!E20=TRUE,Inputs!$B$31,0))),0)</f>
        <v/>
      </c>
    </row>
    <row r="176">
      <c r="A176">
        <f>Skills!A21</f>
        <v/>
      </c>
      <c r="B176">
        <f>Skills!B21</f>
        <v/>
      </c>
      <c r="C176">
        <f>Inputs!$B$3&gt;=43</f>
        <v/>
      </c>
      <c r="D176">
        <f>IF(Skills!C21=1,60+Inputs!$B$24+Inputs!$B$28,IF(Skills!C21=2,90+Inputs!$B$25+Inputs!$B$28,IF(Skills!C21=3,120+Inputs!$B$26+Inputs!$B$28,MAX(0,(Inputs!$B$3-100)*3)+Inputs!$B$27+Inputs!$B$28)))</f>
        <v/>
      </c>
      <c r="E176">
        <f>INDEX(FactorTable!$B$2:$Y$301, MATCH(ROUND(MIN(300,MAX(1,D176)),0), FactorTable!$A$2:$A$301,0), Skills!L21+1)</f>
        <v/>
      </c>
      <c r="F176">
        <f>IF(Skills!M21=TRUE,(Skills!K21/10)*(E176/1000),Skills!K21/10)+Skills!N21</f>
        <v/>
      </c>
      <c r="G176">
        <f>Calc!G21</f>
        <v/>
      </c>
      <c r="H176">
        <f>Calc!H21</f>
        <v/>
      </c>
      <c r="I176">
        <f>IF(Skills!T21&lt;&gt;"",1+(Skills!T21/10)*($Z$3/1000)/100,1)</f>
        <v/>
      </c>
      <c r="J176" t="inlineStr"/>
      <c r="K176" t="inlineStr"/>
      <c r="L176" t="inlineStr"/>
      <c r="M176" t="inlineStr"/>
      <c r="N176" t="inlineStr"/>
      <c r="O176" t="n">
        <v>0</v>
      </c>
      <c r="P176">
        <f>IF(B193=0,0,O176/B193)</f>
        <v/>
      </c>
      <c r="S176" t="n">
        <v>0</v>
      </c>
      <c r="V176">
        <f>IFERROR(1/IF(Inputs!$B$4="pvp",15,MAX(0.1,Skills!D21-IF(Skills!E21=TRUE,Inputs!$B$31,0))),0)</f>
        <v/>
      </c>
    </row>
    <row r="177">
      <c r="A177">
        <f>Skills!A22</f>
        <v/>
      </c>
      <c r="B177">
        <f>Skills!B22</f>
        <v/>
      </c>
      <c r="C177">
        <f>Inputs!$B$3&gt;=50</f>
        <v/>
      </c>
      <c r="D177">
        <f>IF(Skills!C22=1,60+Inputs!$B$24+Inputs!$B$28,IF(Skills!C22=2,90+Inputs!$B$25+Inputs!$B$28,IF(Skills!C22=3,120+Inputs!$B$26+Inputs!$B$28,MAX(0,(Inputs!$B$3-100)*3)+Inputs!$B$27+Inputs!$B$28)))</f>
        <v/>
      </c>
      <c r="E177">
        <f>INDEX(FactorTable!$B$2:$Y$301, MATCH(ROUND(MIN(300,MAX(1,D177)),0), FactorTable!$A$2:$A$301,0), Skills!L22+1)</f>
        <v/>
      </c>
      <c r="F177">
        <f>IF(Skills!M22=TRUE,(Skills!K22/10)*(E177/1000),Skills!K22/10)+Skills!N22</f>
        <v/>
      </c>
      <c r="G177">
        <f>Calc!G22</f>
        <v/>
      </c>
      <c r="H177">
        <f>Calc!H22</f>
        <v/>
      </c>
      <c r="I177">
        <f>IF(Skills!T22&lt;&gt;"",1+(Skills!T22/10)*($Z$3/1000)/100,1)</f>
        <v/>
      </c>
      <c r="J177" t="inlineStr"/>
      <c r="K177" t="inlineStr"/>
      <c r="L177" t="inlineStr"/>
      <c r="M177" t="inlineStr"/>
      <c r="N177" t="inlineStr"/>
      <c r="O177" t="n">
        <v>0</v>
      </c>
      <c r="P177">
        <f>IF(B193=0,0,O177/B193)</f>
        <v/>
      </c>
      <c r="S177" t="n">
        <v>0</v>
      </c>
      <c r="V177">
        <f>IFERROR(1/IF(Inputs!$B$4="pvp",15,MAX(0.1,Skills!D22-IF(Skills!E22=TRUE,Inputs!$B$31,0))),0)</f>
        <v/>
      </c>
    </row>
    <row r="178">
      <c r="A178">
        <f>Skills!A23</f>
        <v/>
      </c>
      <c r="B178">
        <f>Skills!B23</f>
        <v/>
      </c>
      <c r="C178">
        <f>Inputs!$B$3&gt;=74</f>
        <v/>
      </c>
      <c r="D178">
        <f>IF(Skills!C23=1,60+Inputs!$B$24+Inputs!$B$28,IF(Skills!C23=2,90+Inputs!$B$25+Inputs!$B$28,IF(Skills!C23=3,120+Inputs!$B$26+Inputs!$B$28,MAX(0,(Inputs!$B$3-100)*3)+Inputs!$B$27+Inputs!$B$28)))</f>
        <v/>
      </c>
      <c r="E178">
        <f>INDEX(FactorTable!$B$2:$Y$301, MATCH(ROUND(MIN(300,MAX(1,D178)),0), FactorTable!$A$2:$A$301,0), Skills!L23+1)</f>
        <v/>
      </c>
      <c r="F178">
        <f>IF(Skills!M23=TRUE,(Skills!K23/10)*(E178/1000),Skills!K23/10)+Skills!N23</f>
        <v/>
      </c>
      <c r="G178">
        <f>Calc!G23</f>
        <v/>
      </c>
      <c r="H178">
        <f>Calc!H23</f>
        <v/>
      </c>
      <c r="I178">
        <f>IF(Skills!T23&lt;&gt;"",1+(Skills!T23/10)*($Z$3/1000)/100,1)</f>
        <v/>
      </c>
      <c r="J178" t="inlineStr"/>
      <c r="K178" t="inlineStr"/>
      <c r="L178" t="inlineStr"/>
      <c r="M178" t="inlineStr"/>
      <c r="N178" t="inlineStr"/>
      <c r="O178" t="n">
        <v>0</v>
      </c>
      <c r="P178">
        <f>IF(B193=0,0,O178/B193)</f>
        <v/>
      </c>
      <c r="S178" t="n">
        <v>0</v>
      </c>
      <c r="V178">
        <f>IFERROR(1/IF(Inputs!$B$4="pvp",15,MAX(0.1,Skills!D23-IF(Skills!E23=TRUE,Inputs!$B$31,0))),0)</f>
        <v/>
      </c>
    </row>
    <row r="179">
      <c r="A179">
        <f>Skills!A24</f>
        <v/>
      </c>
      <c r="B179">
        <f>Skills!B24</f>
        <v/>
      </c>
      <c r="C179">
        <f>Inputs!$B$3&gt;=74</f>
        <v/>
      </c>
      <c r="D179">
        <f>IF(Skills!C24=1,60+Inputs!$B$24+Inputs!$B$28,IF(Skills!C24=2,90+Inputs!$B$25+Inputs!$B$28,IF(Skills!C24=3,120+Inputs!$B$26+Inputs!$B$28,MAX(0,(Inputs!$B$3-100)*3)+Inputs!$B$27+Inputs!$B$28)))</f>
        <v/>
      </c>
      <c r="E179">
        <f>INDEX(FactorTable!$B$2:$Y$301, MATCH(ROUND(MIN(300,MAX(1,D179)),0), FactorTable!$A$2:$A$301,0), Skills!L24+1)</f>
        <v/>
      </c>
      <c r="F179">
        <f>IF(Skills!M24=TRUE,(Skills!K24/10)*(E179/1000),Skills!K24/10)+Skills!N24</f>
        <v/>
      </c>
      <c r="G179">
        <f>Calc!G24</f>
        <v/>
      </c>
      <c r="H179">
        <f>Calc!H24</f>
        <v/>
      </c>
      <c r="I179">
        <f>IF(Skills!T24&lt;&gt;"",1+(Skills!T24/10)*($Z$3/1000)/100,1)</f>
        <v/>
      </c>
      <c r="J179" t="inlineStr"/>
      <c r="K179" t="inlineStr"/>
      <c r="L179" t="inlineStr"/>
      <c r="M179" t="inlineStr"/>
      <c r="N179" t="inlineStr"/>
      <c r="O179" t="n">
        <v>0</v>
      </c>
      <c r="P179">
        <f>IF(B193=0,0,O179/B193)</f>
        <v/>
      </c>
      <c r="S179" t="n">
        <v>0</v>
      </c>
      <c r="V179">
        <f>IFERROR(1/IF(Inputs!$B$4="pvp",15,MAX(0.1,Skills!D24-IF(Skills!E24=TRUE,Inputs!$B$31,0))),0)</f>
        <v/>
      </c>
    </row>
    <row r="180">
      <c r="A180">
        <f>Skills!A25</f>
        <v/>
      </c>
      <c r="B180">
        <f>Skills!B25</f>
        <v/>
      </c>
      <c r="C180">
        <f>Inputs!$B$3&gt;=117</f>
        <v/>
      </c>
      <c r="D180">
        <f>IF(Skills!C25=1,60+Inputs!$B$24+Inputs!$B$28,IF(Skills!C25=2,90+Inputs!$B$25+Inputs!$B$28,IF(Skills!C25=3,120+Inputs!$B$26+Inputs!$B$28,MAX(0,(Inputs!$B$3-100)*3)+Inputs!$B$27+Inputs!$B$28)))</f>
        <v/>
      </c>
      <c r="E180">
        <f>INDEX(FactorTable!$B$2:$Y$301, MATCH(ROUND(MIN(300,MAX(1,D180)),0), FactorTable!$A$2:$A$301,0), Skills!L25+1)</f>
        <v/>
      </c>
      <c r="F180">
        <f>IF(Skills!M25=TRUE,(Skills!K25/10)*(E180/1000),Skills!K25/10)+Skills!N25</f>
        <v/>
      </c>
      <c r="G180">
        <f>Calc!G25</f>
        <v/>
      </c>
      <c r="H180">
        <f>Calc!H25</f>
        <v/>
      </c>
      <c r="I180">
        <f>IF(Skills!T25&lt;&gt;"",1+(Skills!T25/10)*($Z$3/1000)/100,1)</f>
        <v/>
      </c>
      <c r="J180" t="inlineStr"/>
      <c r="K180" t="inlineStr"/>
      <c r="L180" t="inlineStr"/>
      <c r="M180" t="inlineStr"/>
      <c r="N180" t="inlineStr"/>
      <c r="O180" t="n">
        <v>0</v>
      </c>
      <c r="P180">
        <f>IF(B193=0,0,O180/B193)</f>
        <v/>
      </c>
      <c r="S180" t="n">
        <v>0</v>
      </c>
      <c r="V180">
        <f>IFERROR(1/IF(Inputs!$B$4="pvp",15,MAX(0.1,Skills!D25-IF(Skills!E25=TRUE,Inputs!$B$31,0))),0)</f>
        <v/>
      </c>
    </row>
    <row r="181">
      <c r="A181">
        <f>Skills!A26</f>
        <v/>
      </c>
      <c r="B181">
        <f>Skills!B26</f>
        <v/>
      </c>
      <c r="C181">
        <f>Inputs!$B$3&gt;=120</f>
        <v/>
      </c>
      <c r="D181">
        <f>IF(Skills!C26=1,60+Inputs!$B$24+Inputs!$B$28,IF(Skills!C26=2,90+Inputs!$B$25+Inputs!$B$28,IF(Skills!C26=3,120+Inputs!$B$26+Inputs!$B$28,MAX(0,(Inputs!$B$3-100)*3)+Inputs!$B$27+Inputs!$B$28)))</f>
        <v/>
      </c>
      <c r="E181">
        <f>INDEX(FactorTable!$B$2:$Y$301, MATCH(ROUND(MIN(300,MAX(1,D181)),0), FactorTable!$A$2:$A$301,0), Skills!L26+1)</f>
        <v/>
      </c>
      <c r="F181">
        <f>IF(Skills!M26=TRUE,(Skills!K26/10)*(E181/1000),Skills!K26/10)+Skills!N26</f>
        <v/>
      </c>
      <c r="G181">
        <f>Calc!G26</f>
        <v/>
      </c>
      <c r="H181">
        <f>Calc!H26</f>
        <v/>
      </c>
      <c r="I181">
        <f>IF(Skills!T26&lt;&gt;"",1+(Skills!T26/10)*($Z$3/1000)/100,1)</f>
        <v/>
      </c>
      <c r="J181" t="inlineStr"/>
      <c r="K181" t="inlineStr"/>
      <c r="L181" t="inlineStr"/>
      <c r="M181" t="inlineStr"/>
      <c r="N181" t="inlineStr"/>
      <c r="O181" t="n">
        <v>0</v>
      </c>
      <c r="P181">
        <f>IF(B193=0,0,O181/B193)</f>
        <v/>
      </c>
      <c r="S181" t="n">
        <v>0</v>
      </c>
      <c r="V181">
        <f>IFERROR(1/IF(Inputs!$B$4="pvp",15,MAX(0.1,Skills!D26-IF(Skills!E26=TRUE,Inputs!$B$31,0))),0)</f>
        <v/>
      </c>
    </row>
    <row r="183">
      <c r="A183" t="inlineStr">
        <is>
          <t>Average Buff Multiplier</t>
        </is>
      </c>
      <c r="B183">
        <f>(1+(IF(C158=TRUE,F158*IF(AND(Inputs!$B$4&lt;&gt;"pvp",Inputs!$B$35&gt;0),(((S158-1)*(Skills!S3*(1+(Inputs!$B$33+IF(Inputs!$B$3&gt;=117,F180,0))/100))+MIN((Skills!S3*(1+(Inputs!$B$33+IF(Inputs!$B$3&gt;=117,F180,0))/100)),MAX(0,Inputs!$B$35-((S158-1)*Skills!D3))))/Inputs!$B$35),IF(Inputs!$B$4="pvp",MIN((Skills!S3*(1+(Inputs!$B$33+IF(Inputs!$B$3&gt;=117,F180,0))/100)),15)/15,(Skills!S3*(1+(Inputs!$B$33+IF(Inputs!$B$3&gt;=117,F180,0))/100))/Skills!D3)),0)+IF(C159=TRUE,F159*IF(AND(Inputs!$B$4&lt;&gt;"pvp",Inputs!$B$35&gt;0),(((S159-1)*(Skills!S4*(1+(Inputs!$B$33+IF(Inputs!$B$3&gt;=117,F180,0))/100))+MIN((Skills!S4*(1+(Inputs!$B$33+IF(Inputs!$B$3&gt;=117,F180,0))/100)),MAX(0,Inputs!$B$35-((S159-1)*Skills!D4))))/Inputs!$B$35),IF(Inputs!$B$4="pvp",MIN((Skills!S4*(1+(Inputs!$B$33+IF(Inputs!$B$3&gt;=117,F180,0))/100)),15)/15,(Skills!S4*(1+(Inputs!$B$33+IF(Inputs!$B$3&gt;=117,F180,0))/100))/Skills!D4)),0)+IF(C160=TRUE,F160*IF(AND(Inputs!$B$4&lt;&gt;"pvp",Inputs!$B$35&gt;0),(((S160-1)*(Skills!S5*(1+(Inputs!$B$33+IF(Inputs!$B$3&gt;=117,F180,0))/100))+MIN((Skills!S5*(1+(Inputs!$B$33+IF(Inputs!$B$3&gt;=117,F180,0))/100)),MAX(0,Inputs!$B$35-((S160-1)*Skills!D5))))/Inputs!$B$35),IF(Inputs!$B$4="pvp",MIN((Skills!S5*(1+(Inputs!$B$33+IF(Inputs!$B$3&gt;=117,F180,0))/100)),15)/15,(Skills!S5*(1+(Inputs!$B$33+IF(Inputs!$B$3&gt;=117,F180,0))/100))/Skills!D5)),0)+IF(C166=TRUE,F166*IF(AND(Inputs!$B$4&lt;&gt;"pvp",Inputs!$B$35&gt;0),(((S166-1)*(Skills!S11*(1+(Inputs!$B$33+IF(Inputs!$B$3&gt;=117,F180,0))/100))+MIN((Skills!S11*(1+(Inputs!$B$33+IF(Inputs!$B$3&gt;=117,F180,0))/100)),MAX(0,Inputs!$B$35-((S166-1)*Skills!D11))))/Inputs!$B$35),IF(Inputs!$B$4="pvp",MIN((Skills!S11*(1+(Inputs!$B$33+IF(Inputs!$B$3&gt;=117,F180,0))/100)),15)/15,(Skills!S11*(1+(Inputs!$B$33+IF(Inputs!$B$3&gt;=117,F180,0))/100))/Skills!D11)),0))/100)*IF(C168=TRUE,(1+F168*IF(AND(Inputs!$B$4&lt;&gt;"pvp",Inputs!$B$35&gt;0),(((S168-1)*(Skills!S13*(1+(Inputs!$B$33+IF(Inputs!$B$3&gt;=117,F180,0))/100))+MIN((Skills!S13*(1+(Inputs!$B$33+IF(Inputs!$B$3&gt;=117,F180,0))/100)),MAX(0,Inputs!$B$35-((S168-1)*Skills!D13))))/Inputs!$B$35),IF(Inputs!$B$4="pvp",MIN((Skills!S13*(1+(Inputs!$B$33+IF(Inputs!$B$3&gt;=117,F180,0))/100)),15)/15,(Skills!S13*(1+(Inputs!$B$33+IF(Inputs!$B$3&gt;=117,F180,0))/100))/Skills!D13))/100),1)*IF(C173=TRUE,(1+F173*IF(AND(Inputs!$B$4&lt;&gt;"pvp",Inputs!$B$35&gt;0),(((S173-1)*(Skills!S18*(1+(Inputs!$B$33+IF(Inputs!$B$3&gt;=117,F180,0))/100))+MIN((Skills!S18*(1+(Inputs!$B$33+IF(Inputs!$B$3&gt;=117,F180,0))/100)),MAX(0,Inputs!$B$35-((S173-1)*Skills!D18))))/Inputs!$B$35),IF(Inputs!$B$4="pvp",MIN((Skills!S18*(1+(Inputs!$B$33+IF(Inputs!$B$3&gt;=117,F180,0))/100)),15)/15,(Skills!S18*(1+(Inputs!$B$33+IF(Inputs!$B$3&gt;=117,F180,0))/100))/Skills!D18))/100),1)</f>
        <v/>
      </c>
    </row>
    <row r="184">
      <c r="A184" t="inlineStr">
        <is>
          <t>Monster Damage Taken Bonus % (Holy Fountain)</t>
        </is>
      </c>
      <c r="B184">
        <f>IF(Inputs!$B$3&gt;=68,20*IF(Inputs!$B$4="pvp",MIN((15*(1+(Inputs!$B$33+IF(Inputs!$B$3&gt;=117,F180,0))/100)),15)/15,(15*(1+(Inputs!$B$33+IF(Inputs!$B$3&gt;=117,F180,0))/100))/Skills!D10),0)</f>
        <v/>
      </c>
    </row>
    <row r="185">
      <c r="A185" t="inlineStr">
        <is>
          <t>Normal Monster Damage Bonus % (Holy Symbol)</t>
        </is>
      </c>
      <c r="B185">
        <f>IF(C167=TRUE,F167*IF(AND(Inputs!$B$4&lt;&gt;"pvp",Inputs!$B$35&gt;0),(((S167-1)*(Skills!S12*(1+(Inputs!$B$33+IF(Inputs!$B$3&gt;=117,F180,0))/100))+MIN((Skills!S12*(1+(Inputs!$B$33+IF(Inputs!$B$3&gt;=117,F180,0))/100)),MAX(0,Inputs!$B$35-((S167-1)*Skills!D12))))/Inputs!$B$35),IF(Inputs!$B$4="pvp",MIN((Skills!S12*(1+(Inputs!$B$33+IF(Inputs!$B$3&gt;=117,F180,0))/100)),15)/15,(Skills!S12*(1+(Inputs!$B$33+IF(Inputs!$B$3&gt;=117,F180,0))/100))/Skills!D12)),0)</f>
        <v/>
      </c>
    </row>
    <row r="186">
      <c r="A186" t="inlineStr">
        <is>
          <t>Damage % Bonus (Holy Symbol - Damage Boost)</t>
        </is>
      </c>
      <c r="B186">
        <f>Skills!O12</f>
        <v/>
      </c>
    </row>
    <row r="187">
      <c r="A187" t="inlineStr">
        <is>
          <t>Crit Damage % Bonus (Blood of the Divine)</t>
        </is>
      </c>
      <c r="B187">
        <f>4*IF(C174=TRUE,F174,0)</f>
        <v/>
      </c>
    </row>
    <row r="188">
      <c r="A188" t="inlineStr">
        <is>
          <t>Attack Speed Bonus %</t>
        </is>
      </c>
      <c r="B188">
        <f>IF(C171=TRUE,F171+(F175-Calc!F20),0)+IF(Inputs!$B$3&gt;=134,15,0)</f>
        <v/>
      </c>
    </row>
    <row r="189">
      <c r="A189" t="inlineStr">
        <is>
          <t>Actions Per Second</t>
        </is>
      </c>
      <c r="B189">
        <f>1+MIN(150,150*(1-(1-Inputs!$B$10/150)*(1-B188/150)))/100</f>
        <v/>
      </c>
    </row>
    <row r="190">
      <c r="A190" t="inlineStr">
        <is>
          <t>Skill + Buff Cast Rate</t>
        </is>
      </c>
      <c r="B190">
        <f>IF(AND(Inputs!$B$4&lt;&gt;"pvp",Inputs!$B$35&gt;0),SUMPRODUCT((Skills!E2:E26=TRUE)*(C157:C181=TRUE)*S157:S181)/Inputs!$B$35,SUMPRODUCT((Skills!E2:E26=TRUE)*(C157:C181=TRUE)*V157:V181))</f>
        <v/>
      </c>
    </row>
    <row r="191">
      <c r="A191" t="inlineStr">
        <is>
          <t>Big Bang Casts Per Second</t>
        </is>
      </c>
      <c r="B191">
        <f>MAX(0,B189-B190)</f>
        <v/>
      </c>
    </row>
    <row r="193">
      <c r="A193" s="5" t="inlineStr">
        <is>
          <t>TOTAL DPS</t>
        </is>
      </c>
      <c r="B193" s="5">
        <f>SUM(O157:O181)</f>
        <v/>
      </c>
    </row>
    <row r="196">
      <c r="A196" s="5" t="inlineStr">
        <is>
          <t>Stat: BOSS_DAMAGE %</t>
        </is>
      </c>
    </row>
    <row r="197">
      <c r="A197" s="8" t="inlineStr">
        <is>
          <t>Key</t>
        </is>
      </c>
      <c r="B197" s="8" t="inlineStr">
        <is>
          <t>Name</t>
        </is>
      </c>
      <c r="C197" s="8" t="inlineStr">
        <is>
          <t>Unlocked</t>
        </is>
      </c>
      <c r="D197" s="8" t="inlineStr">
        <is>
          <t>InputLevel</t>
        </is>
      </c>
      <c r="E197" s="8" t="inlineStr">
        <is>
          <t>Factor</t>
        </is>
      </c>
      <c r="F197" s="8" t="inlineStr">
        <is>
          <t>CoefficientPercent</t>
        </is>
      </c>
      <c r="G197" s="8" t="inlineStr">
        <is>
          <t>EffectiveHits</t>
        </is>
      </c>
      <c r="H197" s="8" t="inlineStr">
        <is>
          <t>ProcProbability</t>
        </is>
      </c>
      <c r="I197" s="8" t="inlineStr">
        <is>
          <t>MapleHeroMultiplier</t>
        </is>
      </c>
      <c r="J197" s="8" t="inlineStr">
        <is>
          <t>BaseDamage</t>
        </is>
      </c>
      <c r="K197" s="8" t="inlineStr">
        <is>
          <t>BaseHitDamage</t>
        </is>
      </c>
      <c r="L197" s="8" t="inlineStr">
        <is>
          <t>NonCritAvg</t>
        </is>
      </c>
      <c r="M197" s="8" t="inlineStr">
        <is>
          <t>CritAvg</t>
        </is>
      </c>
      <c r="N197" s="8" t="inlineStr">
        <is>
          <t>ExpectedDamage(perHit)</t>
        </is>
      </c>
      <c r="O197" s="8" t="inlineStr">
        <is>
          <t>DPS</t>
        </is>
      </c>
      <c r="P197" s="8" t="inlineStr">
        <is>
          <t>% of Total</t>
        </is>
      </c>
      <c r="R197" t="inlineStr">
        <is>
          <t>helpers</t>
        </is>
      </c>
    </row>
    <row r="198">
      <c r="A198">
        <f>Skills!A2</f>
        <v/>
      </c>
      <c r="B198">
        <f>Skills!B2</f>
        <v/>
      </c>
      <c r="C198">
        <f>Inputs!$B$3&gt;=100</f>
        <v/>
      </c>
      <c r="D198" t="inlineStr"/>
      <c r="E198" t="inlineStr"/>
      <c r="F198">
        <f>T200+Skills!N2</f>
        <v/>
      </c>
      <c r="G198">
        <f>Calc!G2</f>
        <v/>
      </c>
      <c r="H198">
        <f>Calc!H2</f>
        <v/>
      </c>
      <c r="I198">
        <f>IF(Skills!T2&lt;&gt;"",1+(Skills!T2/10)*($Z$3/1000)/100,1)</f>
        <v/>
      </c>
      <c r="J198">
        <f>((Inputs!$B$5*(1+Inputs!$B$6/100))+((Inputs!$B$11*(1+Inputs!$B$12/100))-(Inputs!$B$11*(1+Inputs!$B$12/100)))*(1+Inputs!$B$6/100))*(F198/100)</f>
        <v/>
      </c>
      <c r="K198">
        <f>J198*(1+((Inputs!$B$11*(1+Inputs!$B$12/100))*0.01+Inputs!$B$13*0.0025)/100)*(1+(Inputs!$B$14+B227)/100)*(1+IF(Inputs!$B$4="pvp",0,(1-Summary!$B$48)*((Inputs!$B$19+1)+Skills!O2+B225)+Summary!$B$48*(Inputs!$B$20+Skills!P2+B226))/100)*(1+Inputs!$B$15/100)*(5000/(6000+Inputs!$B$7*(1-Inputs!$B$18/100)))*(1+Inputs!$B$23/100)*(1+IF(C213=TRUE,F213,0)/100)*(1+IF(C215=TRUE,F215,0)/100)*(1+IF(Skills!A2="TRIUMPH_FEATHER",IF(C211=TRUE,F211,0),0)/100)*(1+IF(C222=TRUE,F222,0)/100)^5*(1+(IF(Skills!A2="BIG_BANG",Inputs!$B$16,Inputs!$B$17))/100)*(B224*I198)</f>
        <v/>
      </c>
      <c r="L198">
        <f>K198*(MIN(Inputs!$B$21+(F217-Calc!F21),Inputs!$B$22)/100+Inputs!$B$22/100)/2</f>
        <v/>
      </c>
      <c r="M198">
        <f>L198*(1+(Inputs!$B$9+B228+(F220-Calc!F24))/100)</f>
        <v/>
      </c>
      <c r="N198">
        <f>L198*(1-MIN(Inputs!$B$8+((F219-Calc!F23)+(F218-Calc!F22)),100)/100)+M198*(MIN(Inputs!$B$8+((F219-Calc!F23)+(F218-Calc!F22)),100)/100)</f>
        <v/>
      </c>
      <c r="O198">
        <f>IF(C198,Skills!F2*N198*B232*IF(Inputs!$B$4="pvp",1,(1-Summary!$B$48)*(1)+Summary!$B$48*(MIN((6+Inputs!$B$32),Inputs!$B$37))),0)</f>
        <v/>
      </c>
      <c r="P198">
        <f>IF(B234=0,0,O198/B234)</f>
        <v/>
      </c>
      <c r="S198" t="n">
        <v>0</v>
      </c>
      <c r="T198">
        <f>MAX(0,(Inputs!$B$3-100)*3)+Inputs!$B$27+Inputs!$B$28</f>
        <v/>
      </c>
      <c r="V198">
        <f>IFERROR(1/IF(Inputs!$B$4="pvp",15,MAX(0.1,Skills!D2-IF(Skills!E2=TRUE,Inputs!$B$31,0))),0)</f>
        <v/>
      </c>
    </row>
    <row r="199">
      <c r="A199">
        <f>Skills!A3</f>
        <v/>
      </c>
      <c r="B199">
        <f>Skills!B3</f>
        <v/>
      </c>
      <c r="C199">
        <f>Inputs!$B$3&gt;=15</f>
        <v/>
      </c>
      <c r="D199">
        <f>IF(Skills!C3=1,60+Inputs!$B$24+Inputs!$B$28,IF(Skills!C3=2,90+Inputs!$B$25+Inputs!$B$28,IF(Skills!C3=3,120+Inputs!$B$26+Inputs!$B$28,MAX(0,(Inputs!$B$3-100)*3)+Inputs!$B$27+Inputs!$B$28)))</f>
        <v/>
      </c>
      <c r="E199">
        <f>INDEX(FactorTable!$B$2:$Y$301, MATCH(ROUND(MIN(300,MAX(1,D199)),0), FactorTable!$A$2:$A$301,0), Skills!L3+1)</f>
        <v/>
      </c>
      <c r="F199">
        <f>IF(Skills!M3=TRUE,(Skills!K3/10)*(E199/1000),Skills!K3/10)+Skills!N3</f>
        <v/>
      </c>
      <c r="G199">
        <f>Calc!G3</f>
        <v/>
      </c>
      <c r="H199">
        <f>Calc!H3</f>
        <v/>
      </c>
      <c r="I199">
        <f>IF(Skills!T3&lt;&gt;"",1+(Skills!T3/10)*($Z$3/1000)/100,1)</f>
        <v/>
      </c>
      <c r="J199" t="inlineStr"/>
      <c r="K199" t="inlineStr"/>
      <c r="L199" t="inlineStr"/>
      <c r="M199" t="inlineStr"/>
      <c r="N199" t="inlineStr"/>
      <c r="O199" t="n">
        <v>0</v>
      </c>
      <c r="P199">
        <f>IF(B234=0,0,O199/B234)</f>
        <v/>
      </c>
      <c r="S199">
        <f>IF(AND(Inputs!$B$4&lt;&gt;"pvp",Inputs!$B$35&gt;0),(INT(Inputs!$B$35/IF(Inputs!$B$4="pvp",15,MAX(0.1,Skills!D3-IF(Skills!E3=TRUE,Inputs!$B$31,0))))+1),0)</f>
        <v/>
      </c>
      <c r="T199">
        <f>INDEX(FactorTable!$B$2:$Y$301, MATCH(ROUND(MIN(300,MAX(1,T198)),0), FactorTable!$A$2:$A$301,0), 22)</f>
        <v/>
      </c>
      <c r="V199">
        <f>IFERROR(1/IF(Inputs!$B$4="pvp",15,MAX(0.1,Skills!D3-IF(Skills!E3=TRUE,Inputs!$B$31,0))),0)</f>
        <v/>
      </c>
    </row>
    <row r="200">
      <c r="A200">
        <f>Skills!A4</f>
        <v/>
      </c>
      <c r="B200">
        <f>Skills!B4</f>
        <v/>
      </c>
      <c r="C200">
        <f>Inputs!$B$3&gt;=38</f>
        <v/>
      </c>
      <c r="D200">
        <f>IF(Skills!C4=1,60+Inputs!$B$24+Inputs!$B$28,IF(Skills!C4=2,90+Inputs!$B$25+Inputs!$B$28,IF(Skills!C4=3,120+Inputs!$B$26+Inputs!$B$28,MAX(0,(Inputs!$B$3-100)*3)+Inputs!$B$27+Inputs!$B$28)))</f>
        <v/>
      </c>
      <c r="E200">
        <f>INDEX(FactorTable!$B$2:$Y$301, MATCH(ROUND(MIN(300,MAX(1,D200)),0), FactorTable!$A$2:$A$301,0), Skills!L4+1)</f>
        <v/>
      </c>
      <c r="F200">
        <f>IF(Skills!M4=TRUE,(Skills!K4/10)*(E200/1000),Skills!K4/10)+Skills!N4</f>
        <v/>
      </c>
      <c r="G200">
        <f>Calc!G4</f>
        <v/>
      </c>
      <c r="H200">
        <f>Calc!H4</f>
        <v/>
      </c>
      <c r="I200">
        <f>IF(Skills!T4&lt;&gt;"",1+(Skills!T4/10)*($Z$3/1000)/100,1)</f>
        <v/>
      </c>
      <c r="J200" t="inlineStr"/>
      <c r="K200" t="inlineStr"/>
      <c r="L200" t="inlineStr"/>
      <c r="M200" t="inlineStr"/>
      <c r="N200" t="inlineStr"/>
      <c r="O200" t="n">
        <v>0</v>
      </c>
      <c r="P200">
        <f>IF(B234=0,0,O200/B234)</f>
        <v/>
      </c>
      <c r="S200">
        <f>IF(AND(Inputs!$B$4&lt;&gt;"pvp",Inputs!$B$35&gt;0),(INT(Inputs!$B$35/IF(Inputs!$B$4="pvp",15,MAX(0.1,Skills!D4-IF(Skills!E4=TRUE,Inputs!$B$31,0))))+1),0)</f>
        <v/>
      </c>
      <c r="T200">
        <f>290*T199/1000</f>
        <v/>
      </c>
      <c r="V200">
        <f>IFERROR(1/IF(Inputs!$B$4="pvp",15,MAX(0.1,Skills!D4-IF(Skills!E4=TRUE,Inputs!$B$31,0))),0)</f>
        <v/>
      </c>
    </row>
    <row r="201">
      <c r="A201">
        <f>Skills!A5</f>
        <v/>
      </c>
      <c r="B201">
        <f>Skills!B5</f>
        <v/>
      </c>
      <c r="C201">
        <f>Inputs!$B$3&gt;=40</f>
        <v/>
      </c>
      <c r="D201">
        <f>IF(Skills!C5=1,60+Inputs!$B$24+Inputs!$B$28,IF(Skills!C5=2,90+Inputs!$B$25+Inputs!$B$28,IF(Skills!C5=3,120+Inputs!$B$26+Inputs!$B$28,MAX(0,(Inputs!$B$3-100)*3)+Inputs!$B$27+Inputs!$B$28)))</f>
        <v/>
      </c>
      <c r="E201">
        <f>INDEX(FactorTable!$B$2:$Y$301, MATCH(ROUND(MIN(300,MAX(1,D201)),0), FactorTable!$A$2:$A$301,0), Skills!L5+1)</f>
        <v/>
      </c>
      <c r="F201">
        <f>IF(Skills!M5=TRUE,(Skills!K5/10)*(E201/1000),Skills!K5/10)+Skills!N5</f>
        <v/>
      </c>
      <c r="G201">
        <f>Calc!G5</f>
        <v/>
      </c>
      <c r="H201">
        <f>Calc!H5</f>
        <v/>
      </c>
      <c r="I201">
        <f>IF(Skills!T5&lt;&gt;"",1+(Skills!T5/10)*($Z$3/1000)/100,1)</f>
        <v/>
      </c>
      <c r="J201" t="inlineStr"/>
      <c r="K201" t="inlineStr"/>
      <c r="L201" t="inlineStr"/>
      <c r="M201" t="inlineStr"/>
      <c r="N201" t="inlineStr"/>
      <c r="O201" t="n">
        <v>0</v>
      </c>
      <c r="P201">
        <f>IF(B234=0,0,O201/B234)</f>
        <v/>
      </c>
      <c r="S201">
        <f>IF(AND(Inputs!$B$4&lt;&gt;"pvp",Inputs!$B$35&gt;0),(INT(Inputs!$B$35/IF(Inputs!$B$4="pvp",15,MAX(0.1,Skills!D5-IF(Skills!E5=TRUE,Inputs!$B$31,0))))+1),0)</f>
        <v/>
      </c>
      <c r="V201">
        <f>IFERROR(1/IF(Inputs!$B$4="pvp",15,MAX(0.1,Skills!D5-IF(Skills!E5=TRUE,Inputs!$B$31,0))),0)</f>
        <v/>
      </c>
    </row>
    <row r="202">
      <c r="A202">
        <f>Skills!A6</f>
        <v/>
      </c>
      <c r="B202">
        <f>Skills!B6</f>
        <v/>
      </c>
      <c r="C202">
        <f>Inputs!$B$3&gt;=103</f>
        <v/>
      </c>
      <c r="D202">
        <f>IF(Skills!C6=1,60+Inputs!$B$24+Inputs!$B$28,IF(Skills!C6=2,90+Inputs!$B$25+Inputs!$B$28,IF(Skills!C6=3,120+Inputs!$B$26+Inputs!$B$28,MAX(0,(Inputs!$B$3-100)*3)+Inputs!$B$27+Inputs!$B$28)))</f>
        <v/>
      </c>
      <c r="E202">
        <f>INDEX(FactorTable!$B$2:$Y$301, MATCH(ROUND(MIN(300,MAX(1,D202)),0), FactorTable!$A$2:$A$301,0), Skills!L6+1)</f>
        <v/>
      </c>
      <c r="F202">
        <f>IF(Skills!M6=TRUE,(Skills!K6/10)*(E202/1000),Skills!K6/10)+Skills!N6</f>
        <v/>
      </c>
      <c r="G202">
        <f>Calc!G6</f>
        <v/>
      </c>
      <c r="H202">
        <f>Calc!H6</f>
        <v/>
      </c>
      <c r="I202">
        <f>IF(Skills!T6&lt;&gt;"",1+(Skills!T6/10)*($Z$3/1000)/100,1)</f>
        <v/>
      </c>
      <c r="J202">
        <f>((Inputs!$B$5*(1+Inputs!$B$6/100))+((Inputs!$B$11*(1+Inputs!$B$12/100))-(Inputs!$B$11*(1+Inputs!$B$12/100)))*(1+Inputs!$B$6/100))*(F202/100)</f>
        <v/>
      </c>
      <c r="K202">
        <f>J202*(1+((Inputs!$B$11*(1+Inputs!$B$12/100))*0.01+Inputs!$B$13*0.0025)/100)*(1+(Inputs!$B$14+B227)/100)*(1+IF(Inputs!$B$4="pvp",0,(1-Summary!$B$48)*((Inputs!$B$19+1)+Skills!O6+B225)+Summary!$B$48*(Inputs!$B$20+Skills!P6+B226))/100)*(1+Inputs!$B$15/100)*(5000/(6000+Inputs!$B$7*(1-Inputs!$B$18/100)))*(1+Inputs!$B$23/100)*(1+IF(C213=TRUE,F213,0)/100)*(1+IF(C215=TRUE,F215,0)/100)*(1+IF(Skills!A6="TRIUMPH_FEATHER",IF(C211=TRUE,F211,0),0)/100)*(1+IF(C222=TRUE,F222,0)/100)^5*(1+(IF(Skills!A6="BIG_BANG",Inputs!$B$16,Inputs!$B$17))/100)*(B224*I202)</f>
        <v/>
      </c>
      <c r="L202">
        <f>K202*(MIN(Inputs!$B$21+(F217-Calc!F21),Inputs!$B$22)/100+Inputs!$B$22/100)/2</f>
        <v/>
      </c>
      <c r="M202">
        <f>L202*(1+(Inputs!$B$9+B228+(F220-Calc!F24))/100)</f>
        <v/>
      </c>
      <c r="N202">
        <f>L202*(1-MIN(Inputs!$B$8+((F219-Calc!F23)+(F218-Calc!F22)),100)/100)+M202*(MIN(Inputs!$B$8+((F219-Calc!F23)+(F218-Calc!F22)),100)/100)</f>
        <v/>
      </c>
      <c r="O202">
        <f>IF(C202,H202*N202*IF(AND(Inputs!$B$4&lt;&gt;"pvp",Inputs!$B$35&gt;0),((Skills!F6*((S202-1)*IF(Skills!G6&gt;0,Skills!H6/Skills!G6,1)+IF(Skills!G6&gt;0,MIN(Skills!H6,MAX(0,Inputs!$B$35-((S202-1)*IF(Inputs!$B$4="pvp",15,MAX(0.1,Skills!D6-IF(Skills!E6=TRUE,Inputs!$B$31,0))))))/Skills!G6,1)))/Inputs!$B$35),G202*V202)*IF(Inputs!$B$4="pvp",1,(1-Summary!$B$48)*(1)+Summary!$B$48*(MIN(Skills!Q6,Inputs!$B$37))),0)</f>
        <v/>
      </c>
      <c r="P202">
        <f>IF(B234=0,0,O202/B234)</f>
        <v/>
      </c>
      <c r="S202">
        <f>IF(AND(Inputs!$B$4&lt;&gt;"pvp",Inputs!$B$35&gt;0),(INT(Inputs!$B$35/IF(Inputs!$B$4="pvp",15,MAX(0.1,Skills!D6-IF(Skills!E6=TRUE,Inputs!$B$31,0))))+1),0)</f>
        <v/>
      </c>
      <c r="V202">
        <f>IFERROR(1/IF(Inputs!$B$4="pvp",15,MAX(0.1,Skills!D6-IF(Skills!E6=TRUE,Inputs!$B$31,0))),0)</f>
        <v/>
      </c>
    </row>
    <row r="203">
      <c r="A203">
        <f>Skills!A7</f>
        <v/>
      </c>
      <c r="B203">
        <f>Skills!B7</f>
        <v/>
      </c>
      <c r="C203">
        <f>Inputs!$B$3&gt;=122</f>
        <v/>
      </c>
      <c r="D203">
        <f>IF(Skills!C7=1,60+Inputs!$B$24+Inputs!$B$28,IF(Skills!C7=2,90+Inputs!$B$25+Inputs!$B$28,IF(Skills!C7=3,120+Inputs!$B$26+Inputs!$B$28,MAX(0,(Inputs!$B$3-100)*3)+Inputs!$B$27+Inputs!$B$28)))</f>
        <v/>
      </c>
      <c r="E203">
        <f>INDEX(FactorTable!$B$2:$Y$301, MATCH(ROUND(MIN(300,MAX(1,D203)),0), FactorTable!$A$2:$A$301,0), Skills!L7+1)</f>
        <v/>
      </c>
      <c r="F203">
        <f>IF(Skills!M7=TRUE,(Skills!K7/10)*(E203/1000),Skills!K7/10)+Skills!N7</f>
        <v/>
      </c>
      <c r="G203">
        <f>Calc!G7</f>
        <v/>
      </c>
      <c r="H203">
        <f>Calc!H7</f>
        <v/>
      </c>
      <c r="I203">
        <f>IF(Skills!T7&lt;&gt;"",1+(Skills!T7/10)*($Z$3/1000)/100,1)</f>
        <v/>
      </c>
      <c r="J203">
        <f>((Inputs!$B$5*(1+Inputs!$B$6/100))+((Inputs!$B$11*(1+Inputs!$B$12/100))-(Inputs!$B$11*(1+Inputs!$B$12/100)))*(1+Inputs!$B$6/100))*(F203/100)</f>
        <v/>
      </c>
      <c r="K203">
        <f>J203*(1+((Inputs!$B$11*(1+Inputs!$B$12/100))*0.01+Inputs!$B$13*0.0025)/100)*(1+(Inputs!$B$14+B227)/100)*(1+IF(Inputs!$B$4="pvp",0,(1-Summary!$B$48)*((Inputs!$B$19+1)+Skills!O7+B225)+Summary!$B$48*(Inputs!$B$20+Skills!P7+B226))/100)*(1+Inputs!$B$15/100)*(5000/(6000+Inputs!$B$7*(1-Inputs!$B$18/100)))*(1+Inputs!$B$23/100)*(1+IF(C213=TRUE,F213,0)/100)*(1+IF(C215=TRUE,F215,0)/100)*(1+IF(Skills!A7="TRIUMPH_FEATHER",IF(C211=TRUE,F211,0),0)/100)*(1+IF(C222=TRUE,F222,0)/100)^5*(1+(IF(Skills!A7="BIG_BANG",Inputs!$B$16,Inputs!$B$17))/100)*(B224*I203)</f>
        <v/>
      </c>
      <c r="L203">
        <f>K203*(MIN(Inputs!$B$21+(F217-Calc!F21),Inputs!$B$22)/100+Inputs!$B$22/100)/2</f>
        <v/>
      </c>
      <c r="M203">
        <f>L203*(1+(Inputs!$B$9+B228+(F220-Calc!F24))/100)</f>
        <v/>
      </c>
      <c r="N203">
        <f>L203*(1-MIN(Inputs!$B$8+((F219-Calc!F23)+(F218-Calc!F22)),100)/100)+M203*(MIN(Inputs!$B$8+((F219-Calc!F23)+(F218-Calc!F22)),100)/100)</f>
        <v/>
      </c>
      <c r="O203">
        <f>IF(C203,H203*N203*IF(AND(Inputs!$B$4&lt;&gt;"pvp",Inputs!$B$35&gt;0),((Skills!F7*((S203-1)*IF(Skills!G7&gt;0,Skills!H7/Skills!G7,1)+IF(Skills!G7&gt;0,MIN(Skills!H7,MAX(0,Inputs!$B$35-((S203-1)*IF(Inputs!$B$4="pvp",15,MAX(0.1,Skills!D7-IF(Skills!E6=TRUE,Inputs!$B$31,0))))))/Skills!G7,1)))/Inputs!$B$35),G203*V203)*(1-Summary!$B$48),0)</f>
        <v/>
      </c>
      <c r="P203">
        <f>IF(B234=0,0,O203/B234)</f>
        <v/>
      </c>
      <c r="S203">
        <f>IF(AND(Inputs!$B$4&lt;&gt;"pvp",Inputs!$B$35&gt;0),(INT(Inputs!$B$35/IF(Inputs!$B$4="pvp",15,MAX(0.1,Skills!D7-IF(Skills!E6=TRUE,Inputs!$B$31,0))))+1),0)</f>
        <v/>
      </c>
      <c r="V203">
        <f>IFERROR(1/IF(Inputs!$B$4="pvp",15,MAX(0.1,Skills!D7-IF(Skills!E6=TRUE,Inputs!$B$31,0))),0)</f>
        <v/>
      </c>
    </row>
    <row r="204">
      <c r="A204">
        <f>Skills!A8</f>
        <v/>
      </c>
      <c r="B204">
        <f>Skills!B8</f>
        <v/>
      </c>
      <c r="C204">
        <f>Inputs!$B$3&gt;=105</f>
        <v/>
      </c>
      <c r="D204">
        <f>IF(Skills!C8=1,60+Inputs!$B$24+Inputs!$B$28,IF(Skills!C8=2,90+Inputs!$B$25+Inputs!$B$28,IF(Skills!C8=3,120+Inputs!$B$26+Inputs!$B$28,MAX(0,(Inputs!$B$3-100)*3)+Inputs!$B$27+Inputs!$B$28)))</f>
        <v/>
      </c>
      <c r="E204">
        <f>INDEX(FactorTable!$B$2:$Y$301, MATCH(ROUND(MIN(300,MAX(1,D204)),0), FactorTable!$A$2:$A$301,0), Skills!L8+1)</f>
        <v/>
      </c>
      <c r="F204">
        <f>IF(Skills!M8=TRUE,(Skills!K8/10)*(E204/1000),Skills!K8/10)+Skills!N8</f>
        <v/>
      </c>
      <c r="G204">
        <f>Calc!G8</f>
        <v/>
      </c>
      <c r="H204">
        <f>Calc!H8</f>
        <v/>
      </c>
      <c r="I204">
        <f>IF(Skills!T8&lt;&gt;"",1+(Skills!T8/10)*($Z$3/1000)/100,1)</f>
        <v/>
      </c>
      <c r="J204">
        <f>((Inputs!$B$5*(1+Inputs!$B$6/100))+((Inputs!$B$11*(1+Inputs!$B$12/100))-(Inputs!$B$11*(1+Inputs!$B$12/100)))*(1+Inputs!$B$6/100))*(F204/100)</f>
        <v/>
      </c>
      <c r="K204">
        <f>J204*(1+((Inputs!$B$11*(1+Inputs!$B$12/100))*0.01+Inputs!$B$13*0.0025)/100)*(1+(Inputs!$B$14+B227)/100)*(1+IF(Inputs!$B$4="pvp",0,(1-Summary!$B$48)*((Inputs!$B$19+1)+Skills!O8+B225)+Summary!$B$48*(Inputs!$B$20+Skills!P8+B226))/100)*(1+Inputs!$B$15/100)*(5000/(6000+Inputs!$B$7*(1-Inputs!$B$18/100)))*(1+Inputs!$B$23/100)*(1+IF(C213=TRUE,F213,0)/100)*(1+IF(C215=TRUE,F215,0)/100)*(1+IF(Skills!A8="TRIUMPH_FEATHER",IF(C211=TRUE,F211,0),0)/100)*(1+IF(C222=TRUE,F222,0)/100)^5*(1+(IF(Skills!A8="BIG_BANG",Inputs!$B$16,Inputs!$B$17))/100)*(B224*I204)</f>
        <v/>
      </c>
      <c r="L204">
        <f>K204*(MIN(Inputs!$B$21+(F217-Calc!F21),Inputs!$B$22)/100+Inputs!$B$22/100)/2</f>
        <v/>
      </c>
      <c r="M204">
        <f>L204*(1+(Inputs!$B$9+B228+(F220-Calc!F24))/100)</f>
        <v/>
      </c>
      <c r="N204">
        <f>L204*(1-MIN(Inputs!$B$8+((F219-Calc!F23)+(F218-Calc!F22)),100)/100)+M204*(MIN(Inputs!$B$8+((F219-Calc!F23)+(F218-Calc!F22)),100)/100)</f>
        <v/>
      </c>
      <c r="O204">
        <f>IF(C204,H204*N204*IF(AND(Inputs!$B$4&lt;&gt;"pvp",Inputs!$B$35&gt;0),((Skills!F8*((S204-1)*IF(Skills!G8&gt;0,Skills!H8/Skills!G8,1)+IF(Skills!G8&gt;0,MIN(Skills!H8,MAX(0,Inputs!$B$35-((S204-1)*IF(Inputs!$B$4="pvp",15,MAX(0.1,Skills!D8-IF(Skills!E8=TRUE,Inputs!$B$31,0))))))/Skills!G8,1)))/Inputs!$B$35),G204*V204)*IF(Inputs!$B$4="pvp",1,(1-Summary!$B$48)*(1)+Summary!$B$48*(MIN(Skills!Q8,Inputs!$B$37))),0)</f>
        <v/>
      </c>
      <c r="P204">
        <f>IF(B234=0,0,O204/B234)</f>
        <v/>
      </c>
      <c r="S204">
        <f>IF(AND(Inputs!$B$4&lt;&gt;"pvp",Inputs!$B$35&gt;0),(INT(Inputs!$B$35/IF(Inputs!$B$4="pvp",15,MAX(0.1,Skills!D8-IF(Skills!E8=TRUE,Inputs!$B$31,0))))+1),0)</f>
        <v/>
      </c>
      <c r="V204">
        <f>IFERROR(1/IF(Inputs!$B$4="pvp",15,MAX(0.1,Skills!D8-IF(Skills!E8=TRUE,Inputs!$B$31,0))),0)</f>
        <v/>
      </c>
    </row>
    <row r="205">
      <c r="A205">
        <f>Skills!A9</f>
        <v/>
      </c>
      <c r="B205">
        <f>Skills!B9</f>
        <v/>
      </c>
      <c r="C205">
        <f>Inputs!$B$3&gt;=115</f>
        <v/>
      </c>
      <c r="D205">
        <f>IF(Skills!C9=1,60+Inputs!$B$24+Inputs!$B$28,IF(Skills!C9=2,90+Inputs!$B$25+Inputs!$B$28,IF(Skills!C9=3,120+Inputs!$B$26+Inputs!$B$28,MAX(0,(Inputs!$B$3-100)*3)+Inputs!$B$27+Inputs!$B$28)))</f>
        <v/>
      </c>
      <c r="E205">
        <f>INDEX(FactorTable!$B$2:$Y$301, MATCH(ROUND(MIN(300,MAX(1,D205)),0), FactorTable!$A$2:$A$301,0), Skills!L9+1)</f>
        <v/>
      </c>
      <c r="F205">
        <f>IF(Skills!M9=TRUE,(Skills!K9/10)*(E205/1000),Skills!K9/10)+Skills!N9</f>
        <v/>
      </c>
      <c r="G205">
        <f>Calc!G9</f>
        <v/>
      </c>
      <c r="H205">
        <f>Calc!H9</f>
        <v/>
      </c>
      <c r="I205">
        <f>IF(Skills!T9&lt;&gt;"",1+(Skills!T9/10)*($Z$3/1000)/100,1)</f>
        <v/>
      </c>
      <c r="J205">
        <f>((Inputs!$B$5*(1+Inputs!$B$6/100))+((Inputs!$B$11*(1+Inputs!$B$12/100))-(Inputs!$B$11*(1+Inputs!$B$12/100)))*(1+Inputs!$B$6/100))*(F205/100)</f>
        <v/>
      </c>
      <c r="K205">
        <f>J205*(1+((Inputs!$B$11*(1+Inputs!$B$12/100))*0.01+Inputs!$B$13*0.0025)/100)*(1+(Inputs!$B$14+B227)/100)*(1+IF(Inputs!$B$4="pvp",0,(1-Summary!$B$48)*((Inputs!$B$19+1)+Skills!O9+B225)+Summary!$B$48*(Inputs!$B$20+Skills!P9+B226))/100)*(1+Inputs!$B$15/100)*(5000/(6000+Inputs!$B$7*(1-Inputs!$B$18/100)))*(1+Inputs!$B$23/100)*(1+IF(C213=TRUE,F213,0)/100)*(1+IF(C215=TRUE,F215,0)/100)*(1+IF(Skills!A9="TRIUMPH_FEATHER",IF(C211=TRUE,F211,0),0)/100)*(1+IF(C222=TRUE,F222,0)/100)^5*(1+(IF(Skills!A9="BIG_BANG",Inputs!$B$16,Inputs!$B$17))/100)*(B224*I205)</f>
        <v/>
      </c>
      <c r="L205">
        <f>K205*(MIN(Inputs!$B$21+(F217-Calc!F21),Inputs!$B$22)/100+Inputs!$B$22/100)/2</f>
        <v/>
      </c>
      <c r="M205">
        <f>L205*(1+(Inputs!$B$9+B228+(F220-Calc!F24))/100)</f>
        <v/>
      </c>
      <c r="N205">
        <f>L205*(1-MIN(Inputs!$B$8+((F219-Calc!F23)+(F218-Calc!F22)),100)/100)+M205*(MIN(Inputs!$B$8+((F219-Calc!F23)+(F218-Calc!F22)),100)/100)</f>
        <v/>
      </c>
      <c r="O205">
        <f>IF(C205,H205*N205*IF(AND(Inputs!$B$4&lt;&gt;"pvp",Inputs!$B$35&gt;0),((Skills!F9*((S205-1)*IF(Skills!G9&gt;0,Skills!H9/Skills!G9,1)+IF(Skills!G9&gt;0,MIN(Skills!H9,MAX(0,Inputs!$B$35-((S205-1)*IF(Inputs!$B$4="pvp",15,MAX(0.1,Skills!D9-IF(Skills!E9=TRUE,Inputs!$B$31,0))))))/Skills!G9,1)))/Inputs!$B$35),G205*V205)*IF(Inputs!$B$4="pvp",1,(1-Summary!$B$48)*(1)+Summary!$B$48*(MIN(Skills!Q9,Inputs!$B$37))),0)</f>
        <v/>
      </c>
      <c r="P205">
        <f>IF(B234=0,0,O205/B234)</f>
        <v/>
      </c>
      <c r="S205">
        <f>IF(AND(Inputs!$B$4&lt;&gt;"pvp",Inputs!$B$35&gt;0),(INT(Inputs!$B$35/IF(Inputs!$B$4="pvp",15,MAX(0.1,Skills!D9-IF(Skills!E9=TRUE,Inputs!$B$31,0))))+1),0)</f>
        <v/>
      </c>
      <c r="V205">
        <f>IFERROR(1/IF(Inputs!$B$4="pvp",15,MAX(0.1,Skills!D9-IF(Skills!E9=TRUE,Inputs!$B$31,0))),0)</f>
        <v/>
      </c>
    </row>
    <row r="206">
      <c r="A206">
        <f>Skills!A10</f>
        <v/>
      </c>
      <c r="B206">
        <f>Skills!B10</f>
        <v/>
      </c>
      <c r="C206">
        <f>Inputs!$B$3&gt;=66</f>
        <v/>
      </c>
      <c r="D206">
        <f>IF(Skills!C10=1,60+Inputs!$B$24+Inputs!$B$28,IF(Skills!C10=2,90+Inputs!$B$25+Inputs!$B$28,IF(Skills!C10=3,120+Inputs!$B$26+Inputs!$B$28,MAX(0,(Inputs!$B$3-100)*3)+Inputs!$B$27+Inputs!$B$28)))</f>
        <v/>
      </c>
      <c r="E206">
        <f>INDEX(FactorTable!$B$2:$Y$301, MATCH(ROUND(MIN(300,MAX(1,D206)),0), FactorTable!$A$2:$A$301,0), Skills!L10+1)</f>
        <v/>
      </c>
      <c r="F206" t="n">
        <v>0</v>
      </c>
      <c r="G206">
        <f>Calc!G10</f>
        <v/>
      </c>
      <c r="H206">
        <f>Calc!H10</f>
        <v/>
      </c>
      <c r="I206">
        <f>IF(Skills!T10&lt;&gt;"",1+(Skills!T10/10)*($Z$3/1000)/100,1)</f>
        <v/>
      </c>
      <c r="J206" t="inlineStr"/>
      <c r="K206" t="inlineStr"/>
      <c r="L206" t="inlineStr"/>
      <c r="M206" t="inlineStr"/>
      <c r="N206" t="inlineStr"/>
      <c r="O206" t="n">
        <v>0</v>
      </c>
      <c r="P206">
        <f>IF(B234=0,0,O206/B234)</f>
        <v/>
      </c>
      <c r="S206">
        <f>IF(AND(Inputs!$B$4&lt;&gt;"pvp",Inputs!$B$35&gt;0),(INT(Inputs!$B$35/IF(Inputs!$B$4="pvp",15,MAX(0.1,Skills!D10-IF(Skills!E10=TRUE,Inputs!$B$31,0))))+1),0)</f>
        <v/>
      </c>
      <c r="V206">
        <f>IFERROR(1/IF(Inputs!$B$4="pvp",15,MAX(0.1,Skills!D10-IF(Skills!E10=TRUE,Inputs!$B$31,0))),0)</f>
        <v/>
      </c>
    </row>
    <row r="207">
      <c r="A207">
        <f>Skills!A11</f>
        <v/>
      </c>
      <c r="B207">
        <f>Skills!B11</f>
        <v/>
      </c>
      <c r="C207">
        <f>Inputs!$B$3&gt;=69</f>
        <v/>
      </c>
      <c r="D207">
        <f>IF(Skills!C11=1,60+Inputs!$B$24+Inputs!$B$28,IF(Skills!C11=2,90+Inputs!$B$25+Inputs!$B$28,IF(Skills!C11=3,120+Inputs!$B$26+Inputs!$B$28,MAX(0,(Inputs!$B$3-100)*3)+Inputs!$B$27+Inputs!$B$28)))</f>
        <v/>
      </c>
      <c r="E207">
        <f>INDEX(FactorTable!$B$2:$Y$301, MATCH(ROUND(MIN(300,MAX(1,D207)),0), FactorTable!$A$2:$A$301,0), Skills!L11+1)</f>
        <v/>
      </c>
      <c r="F207">
        <f>IF(Skills!M11=TRUE,(Skills!K11/10)*(E207/1000),Skills!K11/10)+Skills!N11</f>
        <v/>
      </c>
      <c r="G207">
        <f>Calc!G11</f>
        <v/>
      </c>
      <c r="H207">
        <f>Calc!H11</f>
        <v/>
      </c>
      <c r="I207">
        <f>IF(Skills!T11&lt;&gt;"",1+(Skills!T11/10)*($Z$3/1000)/100,1)</f>
        <v/>
      </c>
      <c r="J207" t="inlineStr"/>
      <c r="K207" t="inlineStr"/>
      <c r="L207" t="inlineStr"/>
      <c r="M207" t="inlineStr"/>
      <c r="N207" t="inlineStr"/>
      <c r="O207" t="n">
        <v>0</v>
      </c>
      <c r="P207">
        <f>IF(B234=0,0,O207/B234)</f>
        <v/>
      </c>
      <c r="S207">
        <f>IF(AND(Inputs!$B$4&lt;&gt;"pvp",Inputs!$B$35&gt;0),(INT(Inputs!$B$35/IF(Inputs!$B$4="pvp",15,MAX(0.1,Skills!D11-IF(Skills!E11=TRUE,Inputs!$B$31,0))))+1),0)</f>
        <v/>
      </c>
      <c r="V207">
        <f>IFERROR(1/IF(Inputs!$B$4="pvp",15,MAX(0.1,Skills!D11-IF(Skills!E11=TRUE,Inputs!$B$31,0))),0)</f>
        <v/>
      </c>
    </row>
    <row r="208">
      <c r="A208">
        <f>Skills!A12</f>
        <v/>
      </c>
      <c r="B208">
        <f>Skills!B12</f>
        <v/>
      </c>
      <c r="C208">
        <f>Inputs!$B$3&gt;=72</f>
        <v/>
      </c>
      <c r="D208">
        <f>IF(Skills!C12=1,60+Inputs!$B$24+Inputs!$B$28,IF(Skills!C12=2,90+Inputs!$B$25+Inputs!$B$28,IF(Skills!C12=3,120+Inputs!$B$26+Inputs!$B$28,MAX(0,(Inputs!$B$3-100)*3)+Inputs!$B$27+Inputs!$B$28)))</f>
        <v/>
      </c>
      <c r="E208">
        <f>INDEX(FactorTable!$B$2:$Y$301, MATCH(ROUND(MIN(300,MAX(1,D208)),0), FactorTable!$A$2:$A$301,0), Skills!L12+1)</f>
        <v/>
      </c>
      <c r="F208">
        <f>IF(Skills!M12=TRUE,(Skills!K12/10)*(E208/1000),Skills!K12/10)+Skills!N12</f>
        <v/>
      </c>
      <c r="G208">
        <f>Calc!G12</f>
        <v/>
      </c>
      <c r="H208">
        <f>Calc!H12</f>
        <v/>
      </c>
      <c r="I208">
        <f>IF(Skills!T12&lt;&gt;"",1+(Skills!T12/10)*($Z$3/1000)/100,1)</f>
        <v/>
      </c>
      <c r="J208" t="inlineStr"/>
      <c r="K208" t="inlineStr"/>
      <c r="L208" t="inlineStr"/>
      <c r="M208" t="inlineStr"/>
      <c r="N208" t="inlineStr"/>
      <c r="O208" t="n">
        <v>0</v>
      </c>
      <c r="P208">
        <f>IF(B234=0,0,O208/B234)</f>
        <v/>
      </c>
      <c r="S208">
        <f>IF(AND(Inputs!$B$4&lt;&gt;"pvp",Inputs!$B$35&gt;0),(INT(Inputs!$B$35/IF(Inputs!$B$4="pvp",15,MAX(0.1,Skills!D12-IF(Skills!E12=TRUE,Inputs!$B$31,0))))+1),0)</f>
        <v/>
      </c>
      <c r="V208">
        <f>IFERROR(1/IF(Inputs!$B$4="pvp",15,MAX(0.1,Skills!D12-IF(Skills!E12=TRUE,Inputs!$B$31,0))),0)</f>
        <v/>
      </c>
    </row>
    <row r="209">
      <c r="A209">
        <f>Skills!A13</f>
        <v/>
      </c>
      <c r="B209">
        <f>Skills!B13</f>
        <v/>
      </c>
      <c r="C209">
        <f>Inputs!$B$3&gt;=107</f>
        <v/>
      </c>
      <c r="D209">
        <f>IF(Skills!C13=1,60+Inputs!$B$24+Inputs!$B$28,IF(Skills!C13=2,90+Inputs!$B$25+Inputs!$B$28,IF(Skills!C13=3,120+Inputs!$B$26+Inputs!$B$28,MAX(0,(Inputs!$B$3-100)*3)+Inputs!$B$27+Inputs!$B$28)))</f>
        <v/>
      </c>
      <c r="E209">
        <f>INDEX(FactorTable!$B$2:$Y$301, MATCH(ROUND(MIN(300,MAX(1,D209)),0), FactorTable!$A$2:$A$301,0), Skills!L13+1)</f>
        <v/>
      </c>
      <c r="F209">
        <f>IF(Skills!M13=TRUE,(Skills!K13/10)*(E209/1000),Skills!K13/10)+Skills!N13</f>
        <v/>
      </c>
      <c r="G209">
        <f>Calc!G13</f>
        <v/>
      </c>
      <c r="H209">
        <f>Calc!H13</f>
        <v/>
      </c>
      <c r="I209">
        <f>IF(Skills!T13&lt;&gt;"",1+(Skills!T13/10)*($Z$3/1000)/100,1)</f>
        <v/>
      </c>
      <c r="J209" t="inlineStr"/>
      <c r="K209" t="inlineStr"/>
      <c r="L209" t="inlineStr"/>
      <c r="M209" t="inlineStr"/>
      <c r="N209" t="inlineStr"/>
      <c r="O209" t="n">
        <v>0</v>
      </c>
      <c r="P209">
        <f>IF(B234=0,0,O209/B234)</f>
        <v/>
      </c>
      <c r="S209">
        <f>IF(AND(Inputs!$B$4&lt;&gt;"pvp",Inputs!$B$35&gt;0),(INT(Inputs!$B$35/IF(Inputs!$B$4="pvp",15,MAX(0.1,Skills!D13-IF(Skills!E13=TRUE,Inputs!$B$31,0))))+1),0)</f>
        <v/>
      </c>
      <c r="V209">
        <f>IFERROR(1/IF(Inputs!$B$4="pvp",15,MAX(0.1,Skills!D13-IF(Skills!E13=TRUE,Inputs!$B$31,0))),0)</f>
        <v/>
      </c>
    </row>
    <row r="210">
      <c r="A210">
        <f>Skills!A14</f>
        <v/>
      </c>
      <c r="B210">
        <f>Skills!B14</f>
        <v/>
      </c>
      <c r="C210">
        <f>Inputs!$B$3&gt;=63</f>
        <v/>
      </c>
      <c r="D210">
        <f>IF(Skills!C14=1,60+Inputs!$B$24+Inputs!$B$28,IF(Skills!C14=2,90+Inputs!$B$25+Inputs!$B$28,IF(Skills!C14=3,120+Inputs!$B$26+Inputs!$B$28,MAX(0,(Inputs!$B$3-100)*3)+Inputs!$B$27+Inputs!$B$28)))</f>
        <v/>
      </c>
      <c r="E210">
        <f>INDEX(FactorTable!$B$2:$Y$301, MATCH(ROUND(MIN(300,MAX(1,D210)),0), FactorTable!$A$2:$A$301,0), Skills!L14+1)</f>
        <v/>
      </c>
      <c r="F210">
        <f>IF(Skills!M14=TRUE,(Skills!K14/10)*(E210/1000),Skills!K14/10)+Skills!N14</f>
        <v/>
      </c>
      <c r="G210">
        <f>Calc!G14</f>
        <v/>
      </c>
      <c r="H210">
        <f>Calc!H14</f>
        <v/>
      </c>
      <c r="I210">
        <f>IF(Skills!T14&lt;&gt;"",1+(Skills!T14/10)*($Z$3/1000)/100,1)</f>
        <v/>
      </c>
      <c r="J210">
        <f>((Inputs!$B$5*(1+Inputs!$B$6/100))+((Inputs!$B$11*(1+Inputs!$B$12/100))-(Inputs!$B$11*(1+Inputs!$B$12/100)))*(1+Inputs!$B$6/100))*(F210/100)</f>
        <v/>
      </c>
      <c r="K210">
        <f>J210*(1+((Inputs!$B$11*(1+Inputs!$B$12/100))*0.01+Inputs!$B$13*0.0025)/100)*(1+(Inputs!$B$14+B227)/100)*(1+IF(Inputs!$B$4="pvp",0,(1-Summary!$B$48)*((Inputs!$B$19+1)+Skills!O14+B225)+Summary!$B$48*(Inputs!$B$20+Skills!P14+B226))/100)*(1+Inputs!$B$15/100)*(5000/(6000+Inputs!$B$7*(1-Inputs!$B$18/100)))*(1+Inputs!$B$23/100)*(1+IF(C213=TRUE,F213,0)/100)*(1+IF(C215=TRUE,F215,0)/100)*(1+IF(Skills!A14="TRIUMPH_FEATHER",IF(C211=TRUE,F211,0),0)/100)*(1+IF(C222=TRUE,F222,0)/100)^5*(1+(IF(Skills!A14="BIG_BANG",Inputs!$B$16,Inputs!$B$17))/100)*(B224*I210)</f>
        <v/>
      </c>
      <c r="L210">
        <f>K210*(MIN(Inputs!$B$21+(F217-Calc!F21),Inputs!$B$22)/100+Inputs!$B$22/100)/2</f>
        <v/>
      </c>
      <c r="M210">
        <f>L210*(1+(Inputs!$B$9+B228+(F220-Calc!F24))/100)</f>
        <v/>
      </c>
      <c r="N210">
        <f>L210*(1-MIN(Inputs!$B$8+((F219-Calc!F23)+(F218-Calc!F22)),100)/100)+M210*(MIN(Inputs!$B$8+((F219-Calc!F23)+(F218-Calc!F22)),100)/100)</f>
        <v/>
      </c>
      <c r="O210">
        <f>IF(C210,Skills!F14*N210*((IF(Inputs!$B$3&gt;=78,25,15)/100*B230*10)/(1+IF(Inputs!$B$3&gt;=78,25,15)/100*B230*10))*(Skills!I14/100*B230)/(1+Skills!G14*Skills!I14/100*B230)*IF(Inputs!$B$4="pvp",1,(1-Summary!$B$48)*(1)+Summary!$B$48*(MIN(Skills!Q14,Inputs!$B$37))),0)</f>
        <v/>
      </c>
      <c r="P210">
        <f>IF(B234=0,0,O210/B234)</f>
        <v/>
      </c>
      <c r="S210" t="n">
        <v>0</v>
      </c>
      <c r="V210">
        <f>IFERROR(1/IF(Inputs!$B$4="pvp",15,MAX(0.1,Skills!D14-IF(Skills!E14=TRUE,Inputs!$B$31,0))),0)</f>
        <v/>
      </c>
    </row>
    <row r="211">
      <c r="A211">
        <f>Skills!A15</f>
        <v/>
      </c>
      <c r="B211">
        <f>Skills!B15</f>
        <v/>
      </c>
      <c r="C211">
        <f>Inputs!$B$3&gt;=100</f>
        <v/>
      </c>
      <c r="D211">
        <f>IF(Skills!C15=1,60+Inputs!$B$24+Inputs!$B$28,IF(Skills!C15=2,90+Inputs!$B$25+Inputs!$B$28,IF(Skills!C15=3,120+Inputs!$B$26+Inputs!$B$28,MAX(0,(Inputs!$B$3-100)*3)+Inputs!$B$27+Inputs!$B$28)))</f>
        <v/>
      </c>
      <c r="E211">
        <f>INDEX(FactorTable!$B$2:$Y$301, MATCH(ROUND(MIN(300,MAX(1,D211)),0), FactorTable!$A$2:$A$301,0), Skills!L15+1)</f>
        <v/>
      </c>
      <c r="F211">
        <f>IF(Skills!M15=TRUE,(Skills!K15/10)*(E211/1000),Skills!K15/10)+Skills!N15</f>
        <v/>
      </c>
      <c r="G211">
        <f>Calc!G15</f>
        <v/>
      </c>
      <c r="H211">
        <f>Calc!H15</f>
        <v/>
      </c>
      <c r="I211">
        <f>IF(Skills!T15&lt;&gt;"",1+(Skills!T15/10)*($Z$3/1000)/100,1)</f>
        <v/>
      </c>
      <c r="J211" t="inlineStr"/>
      <c r="K211" t="inlineStr"/>
      <c r="L211" t="inlineStr"/>
      <c r="M211" t="inlineStr"/>
      <c r="N211" t="inlineStr"/>
      <c r="O211" t="n">
        <v>0</v>
      </c>
      <c r="P211">
        <f>IF(B234=0,0,O211/B234)</f>
        <v/>
      </c>
      <c r="S211" t="n">
        <v>0</v>
      </c>
      <c r="V211">
        <f>IFERROR(1/IF(Inputs!$B$4="pvp",15,MAX(0.1,Skills!D15-IF(Skills!E15=TRUE,Inputs!$B$31,0))),0)</f>
        <v/>
      </c>
    </row>
    <row r="212">
      <c r="A212">
        <f>Skills!A16</f>
        <v/>
      </c>
      <c r="B212">
        <f>Skills!B16</f>
        <v/>
      </c>
      <c r="C212">
        <f>Inputs!$B$3&gt;=49</f>
        <v/>
      </c>
      <c r="D212">
        <f>IF(Skills!C16=1,60+Inputs!$B$24+Inputs!$B$28,IF(Skills!C16=2,90+Inputs!$B$25+Inputs!$B$28,IF(Skills!C16=3,120+Inputs!$B$26+Inputs!$B$28,MAX(0,(Inputs!$B$3-100)*3)+Inputs!$B$27+Inputs!$B$28)))</f>
        <v/>
      </c>
      <c r="E212">
        <f>INDEX(FactorTable!$B$2:$Y$301, MATCH(ROUND(MIN(300,MAX(1,D212)),0), FactorTable!$A$2:$A$301,0), Skills!L16+1)</f>
        <v/>
      </c>
      <c r="F212">
        <f>IF(Skills!M16=TRUE,(Skills!K16/10)*(E212/1000),Skills!K16/10)+Skills!N16</f>
        <v/>
      </c>
      <c r="G212">
        <f>Calc!G16</f>
        <v/>
      </c>
      <c r="H212">
        <f>Calc!H16</f>
        <v/>
      </c>
      <c r="I212">
        <f>IF(Skills!T16&lt;&gt;"",1+(Skills!T16/10)*($Z$3/1000)/100,1)</f>
        <v/>
      </c>
      <c r="J212" t="inlineStr"/>
      <c r="K212" t="inlineStr"/>
      <c r="L212" t="inlineStr"/>
      <c r="M212" t="inlineStr"/>
      <c r="N212" t="inlineStr"/>
      <c r="O212" t="n">
        <v>0</v>
      </c>
      <c r="P212">
        <f>IF(B234=0,0,O212/B234)</f>
        <v/>
      </c>
      <c r="S212" t="n">
        <v>0</v>
      </c>
      <c r="V212">
        <f>IFERROR(1/IF(Inputs!$B$4="pvp",15,MAX(0.1,Skills!D16-IF(Skills!E16=TRUE,Inputs!$B$31,0))),0)</f>
        <v/>
      </c>
    </row>
    <row r="213">
      <c r="A213">
        <f>Skills!A17</f>
        <v/>
      </c>
      <c r="B213">
        <f>Skills!B17</f>
        <v/>
      </c>
      <c r="C213">
        <f>Inputs!$B$3&gt;=75</f>
        <v/>
      </c>
      <c r="D213">
        <f>IF(Skills!C17=1,60+Inputs!$B$24+Inputs!$B$28,IF(Skills!C17=2,90+Inputs!$B$25+Inputs!$B$28,IF(Skills!C17=3,120+Inputs!$B$26+Inputs!$B$28,MAX(0,(Inputs!$B$3-100)*3)+Inputs!$B$27+Inputs!$B$28)))</f>
        <v/>
      </c>
      <c r="E213">
        <f>INDEX(FactorTable!$B$2:$Y$301, MATCH(ROUND(MIN(300,MAX(1,D213)),0), FactorTable!$A$2:$A$301,0), Skills!L17+1)</f>
        <v/>
      </c>
      <c r="F213">
        <f>IF(Skills!M17=TRUE,(Skills!K17/10)*(E213/1000),Skills!K17/10)+Skills!N17</f>
        <v/>
      </c>
      <c r="G213">
        <f>Calc!G17</f>
        <v/>
      </c>
      <c r="H213">
        <f>Calc!H17</f>
        <v/>
      </c>
      <c r="I213">
        <f>IF(Skills!T17&lt;&gt;"",1+(Skills!T17/10)*($Z$3/1000)/100,1)</f>
        <v/>
      </c>
      <c r="J213" t="inlineStr"/>
      <c r="K213" t="inlineStr"/>
      <c r="L213" t="inlineStr"/>
      <c r="M213" t="inlineStr"/>
      <c r="N213" t="inlineStr"/>
      <c r="O213" t="n">
        <v>0</v>
      </c>
      <c r="P213">
        <f>IF(B234=0,0,O213/B234)</f>
        <v/>
      </c>
      <c r="S213" t="n">
        <v>0</v>
      </c>
      <c r="V213">
        <f>IFERROR(1/IF(Inputs!$B$4="pvp",15,MAX(0.1,Skills!D17-IF(Skills!E17=TRUE,Inputs!$B$31,0))),0)</f>
        <v/>
      </c>
    </row>
    <row r="214">
      <c r="A214">
        <f>Skills!A18</f>
        <v/>
      </c>
      <c r="B214">
        <f>Skills!B18</f>
        <v/>
      </c>
      <c r="C214">
        <f>Inputs!$B$3&gt;=110</f>
        <v/>
      </c>
      <c r="D214">
        <f>IF(Skills!C18=1,60+Inputs!$B$24+Inputs!$B$28,IF(Skills!C18=2,90+Inputs!$B$25+Inputs!$B$28,IF(Skills!C18=3,120+Inputs!$B$26+Inputs!$B$28,MAX(0,(Inputs!$B$3-100)*3)+Inputs!$B$27+Inputs!$B$28)))</f>
        <v/>
      </c>
      <c r="E214">
        <f>INDEX(FactorTable!$B$2:$Y$301, MATCH(ROUND(MIN(300,MAX(1,D214)),0), FactorTable!$A$2:$A$301,0), Skills!L18+1)</f>
        <v/>
      </c>
      <c r="F214">
        <f>(Skills!K18/10)*(E214/1000)*64/45+Skills!N18</f>
        <v/>
      </c>
      <c r="G214">
        <f>Calc!G18</f>
        <v/>
      </c>
      <c r="H214">
        <f>Calc!H18</f>
        <v/>
      </c>
      <c r="I214">
        <f>IF(Skills!T18&lt;&gt;"",1+(Skills!T18/10)*($Z$3/1000)/100,1)</f>
        <v/>
      </c>
      <c r="J214" t="inlineStr"/>
      <c r="K214" t="inlineStr"/>
      <c r="L214" t="inlineStr"/>
      <c r="M214" t="inlineStr"/>
      <c r="N214" t="inlineStr"/>
      <c r="O214" t="n">
        <v>0</v>
      </c>
      <c r="P214">
        <f>IF(B234=0,0,O214/B234)</f>
        <v/>
      </c>
      <c r="S214">
        <f>IF(AND(Inputs!$B$4&lt;&gt;"pvp",Inputs!$B$35&gt;0),(INT(Inputs!$B$35/IF(Inputs!$B$4="pvp",15,MAX(0.1,Skills!D18-IF(Skills!E18=TRUE,Inputs!$B$31,0))))+1),0)</f>
        <v/>
      </c>
      <c r="V214">
        <f>IFERROR(1/IF(Inputs!$B$4="pvp",15,MAX(0.1,Skills!D18-IF(Skills!E18=TRUE,Inputs!$B$31,0))),0)</f>
        <v/>
      </c>
    </row>
    <row r="215">
      <c r="A215">
        <f>Skills!A19</f>
        <v/>
      </c>
      <c r="B215">
        <f>Skills!B19</f>
        <v/>
      </c>
      <c r="C215">
        <f>Inputs!$B$3&gt;=125</f>
        <v/>
      </c>
      <c r="D215">
        <f>IF(Skills!C19=1,60+Inputs!$B$24+Inputs!$B$28,IF(Skills!C19=2,90+Inputs!$B$25+Inputs!$B$28,IF(Skills!C19=3,120+Inputs!$B$26+Inputs!$B$28,MAX(0,(Inputs!$B$3-100)*3)+Inputs!$B$27+Inputs!$B$28)))</f>
        <v/>
      </c>
      <c r="E215">
        <f>INDEX(FactorTable!$B$2:$Y$301, MATCH(ROUND(MIN(300,MAX(1,D215)),0), FactorTable!$A$2:$A$301,0), Skills!L19+1)</f>
        <v/>
      </c>
      <c r="F215">
        <f>IF(Skills!M19=TRUE,(Skills!K19/10)*(E215/1000),Skills!K19/10)+Skills!N19</f>
        <v/>
      </c>
      <c r="G215">
        <f>Calc!G19</f>
        <v/>
      </c>
      <c r="H215">
        <f>Calc!H19</f>
        <v/>
      </c>
      <c r="I215">
        <f>IF(Skills!T19&lt;&gt;"",1+(Skills!T19/10)*($Z$3/1000)/100,1)</f>
        <v/>
      </c>
      <c r="J215" t="inlineStr"/>
      <c r="K215" t="inlineStr"/>
      <c r="L215" t="inlineStr"/>
      <c r="M215" t="inlineStr"/>
      <c r="N215" t="inlineStr"/>
      <c r="O215" t="n">
        <v>0</v>
      </c>
      <c r="P215">
        <f>IF(B234=0,0,O215/B234)</f>
        <v/>
      </c>
      <c r="S215" t="n">
        <v>0</v>
      </c>
      <c r="V215">
        <f>IFERROR(1/IF(Inputs!$B$4="pvp",15,MAX(0.1,Skills!D19-IF(Skills!E19=TRUE,Inputs!$B$31,0))),0)</f>
        <v/>
      </c>
    </row>
    <row r="216">
      <c r="A216">
        <f>Skills!A20</f>
        <v/>
      </c>
      <c r="B216">
        <f>Skills!B20</f>
        <v/>
      </c>
      <c r="C216">
        <f>Inputs!$B$3&gt;=33</f>
        <v/>
      </c>
      <c r="D216">
        <f>IF(Skills!C20=1,60+Inputs!$B$24+Inputs!$B$28,IF(Skills!C20=2,90+Inputs!$B$25+Inputs!$B$28,IF(Skills!C20=3,120+Inputs!$B$26+Inputs!$B$28,MAX(0,(Inputs!$B$3-100)*3)+Inputs!$B$27+Inputs!$B$28)))</f>
        <v/>
      </c>
      <c r="E216">
        <f>INDEX(FactorTable!$B$2:$Y$301, MATCH(ROUND(MIN(300,MAX(1,D216)),0), FactorTable!$A$2:$A$301,0), Skills!L20+1)</f>
        <v/>
      </c>
      <c r="F216">
        <f>IF(Skills!M20=TRUE,(Skills!K20/10)*(E216/1000),Skills!K20/10)+Skills!N20</f>
        <v/>
      </c>
      <c r="G216">
        <f>Calc!G20</f>
        <v/>
      </c>
      <c r="H216">
        <f>Calc!H20</f>
        <v/>
      </c>
      <c r="I216">
        <f>IF(Skills!T20&lt;&gt;"",1+(Skills!T20/10)*($Z$3/1000)/100,1)</f>
        <v/>
      </c>
      <c r="J216" t="inlineStr"/>
      <c r="K216" t="inlineStr"/>
      <c r="L216" t="inlineStr"/>
      <c r="M216" t="inlineStr"/>
      <c r="N216" t="inlineStr"/>
      <c r="O216" t="n">
        <v>0</v>
      </c>
      <c r="P216">
        <f>IF(B234=0,0,O216/B234)</f>
        <v/>
      </c>
      <c r="S216" t="n">
        <v>0</v>
      </c>
      <c r="V216">
        <f>IFERROR(1/IF(Inputs!$B$4="pvp",15,MAX(0.1,Skills!D20-IF(Skills!E20=TRUE,Inputs!$B$31,0))),0)</f>
        <v/>
      </c>
    </row>
    <row r="217">
      <c r="A217">
        <f>Skills!A21</f>
        <v/>
      </c>
      <c r="B217">
        <f>Skills!B21</f>
        <v/>
      </c>
      <c r="C217">
        <f>Inputs!$B$3&gt;=43</f>
        <v/>
      </c>
      <c r="D217">
        <f>IF(Skills!C21=1,60+Inputs!$B$24+Inputs!$B$28,IF(Skills!C21=2,90+Inputs!$B$25+Inputs!$B$28,IF(Skills!C21=3,120+Inputs!$B$26+Inputs!$B$28,MAX(0,(Inputs!$B$3-100)*3)+Inputs!$B$27+Inputs!$B$28)))</f>
        <v/>
      </c>
      <c r="E217">
        <f>INDEX(FactorTable!$B$2:$Y$301, MATCH(ROUND(MIN(300,MAX(1,D217)),0), FactorTable!$A$2:$A$301,0), Skills!L21+1)</f>
        <v/>
      </c>
      <c r="F217">
        <f>IF(Skills!M21=TRUE,(Skills!K21/10)*(E217/1000),Skills!K21/10)+Skills!N21</f>
        <v/>
      </c>
      <c r="G217">
        <f>Calc!G21</f>
        <v/>
      </c>
      <c r="H217">
        <f>Calc!H21</f>
        <v/>
      </c>
      <c r="I217">
        <f>IF(Skills!T21&lt;&gt;"",1+(Skills!T21/10)*($Z$3/1000)/100,1)</f>
        <v/>
      </c>
      <c r="J217" t="inlineStr"/>
      <c r="K217" t="inlineStr"/>
      <c r="L217" t="inlineStr"/>
      <c r="M217" t="inlineStr"/>
      <c r="N217" t="inlineStr"/>
      <c r="O217" t="n">
        <v>0</v>
      </c>
      <c r="P217">
        <f>IF(B234=0,0,O217/B234)</f>
        <v/>
      </c>
      <c r="S217" t="n">
        <v>0</v>
      </c>
      <c r="V217">
        <f>IFERROR(1/IF(Inputs!$B$4="pvp",15,MAX(0.1,Skills!D21-IF(Skills!E21=TRUE,Inputs!$B$31,0))),0)</f>
        <v/>
      </c>
    </row>
    <row r="218">
      <c r="A218">
        <f>Skills!A22</f>
        <v/>
      </c>
      <c r="B218">
        <f>Skills!B22</f>
        <v/>
      </c>
      <c r="C218">
        <f>Inputs!$B$3&gt;=50</f>
        <v/>
      </c>
      <c r="D218">
        <f>IF(Skills!C22=1,60+Inputs!$B$24+Inputs!$B$28,IF(Skills!C22=2,90+Inputs!$B$25+Inputs!$B$28,IF(Skills!C22=3,120+Inputs!$B$26+Inputs!$B$28,MAX(0,(Inputs!$B$3-100)*3)+Inputs!$B$27+Inputs!$B$28)))</f>
        <v/>
      </c>
      <c r="E218">
        <f>INDEX(FactorTable!$B$2:$Y$301, MATCH(ROUND(MIN(300,MAX(1,D218)),0), FactorTable!$A$2:$A$301,0), Skills!L22+1)</f>
        <v/>
      </c>
      <c r="F218">
        <f>IF(Skills!M22=TRUE,(Skills!K22/10)*(E218/1000),Skills!K22/10)+Skills!N22</f>
        <v/>
      </c>
      <c r="G218">
        <f>Calc!G22</f>
        <v/>
      </c>
      <c r="H218">
        <f>Calc!H22</f>
        <v/>
      </c>
      <c r="I218">
        <f>IF(Skills!T22&lt;&gt;"",1+(Skills!T22/10)*($Z$3/1000)/100,1)</f>
        <v/>
      </c>
      <c r="J218" t="inlineStr"/>
      <c r="K218" t="inlineStr"/>
      <c r="L218" t="inlineStr"/>
      <c r="M218" t="inlineStr"/>
      <c r="N218" t="inlineStr"/>
      <c r="O218" t="n">
        <v>0</v>
      </c>
      <c r="P218">
        <f>IF(B234=0,0,O218/B234)</f>
        <v/>
      </c>
      <c r="S218" t="n">
        <v>0</v>
      </c>
      <c r="V218">
        <f>IFERROR(1/IF(Inputs!$B$4="pvp",15,MAX(0.1,Skills!D22-IF(Skills!E22=TRUE,Inputs!$B$31,0))),0)</f>
        <v/>
      </c>
    </row>
    <row r="219">
      <c r="A219">
        <f>Skills!A23</f>
        <v/>
      </c>
      <c r="B219">
        <f>Skills!B23</f>
        <v/>
      </c>
      <c r="C219">
        <f>Inputs!$B$3&gt;=74</f>
        <v/>
      </c>
      <c r="D219">
        <f>IF(Skills!C23=1,60+Inputs!$B$24+Inputs!$B$28,IF(Skills!C23=2,90+Inputs!$B$25+Inputs!$B$28,IF(Skills!C23=3,120+Inputs!$B$26+Inputs!$B$28,MAX(0,(Inputs!$B$3-100)*3)+Inputs!$B$27+Inputs!$B$28)))</f>
        <v/>
      </c>
      <c r="E219">
        <f>INDEX(FactorTable!$B$2:$Y$301, MATCH(ROUND(MIN(300,MAX(1,D219)),0), FactorTable!$A$2:$A$301,0), Skills!L23+1)</f>
        <v/>
      </c>
      <c r="F219">
        <f>IF(Skills!M23=TRUE,(Skills!K23/10)*(E219/1000),Skills!K23/10)+Skills!N23</f>
        <v/>
      </c>
      <c r="G219">
        <f>Calc!G23</f>
        <v/>
      </c>
      <c r="H219">
        <f>Calc!H23</f>
        <v/>
      </c>
      <c r="I219">
        <f>IF(Skills!T23&lt;&gt;"",1+(Skills!T23/10)*($Z$3/1000)/100,1)</f>
        <v/>
      </c>
      <c r="J219" t="inlineStr"/>
      <c r="K219" t="inlineStr"/>
      <c r="L219" t="inlineStr"/>
      <c r="M219" t="inlineStr"/>
      <c r="N219" t="inlineStr"/>
      <c r="O219" t="n">
        <v>0</v>
      </c>
      <c r="P219">
        <f>IF(B234=0,0,O219/B234)</f>
        <v/>
      </c>
      <c r="S219" t="n">
        <v>0</v>
      </c>
      <c r="V219">
        <f>IFERROR(1/IF(Inputs!$B$4="pvp",15,MAX(0.1,Skills!D23-IF(Skills!E23=TRUE,Inputs!$B$31,0))),0)</f>
        <v/>
      </c>
    </row>
    <row r="220">
      <c r="A220">
        <f>Skills!A24</f>
        <v/>
      </c>
      <c r="B220">
        <f>Skills!B24</f>
        <v/>
      </c>
      <c r="C220">
        <f>Inputs!$B$3&gt;=74</f>
        <v/>
      </c>
      <c r="D220">
        <f>IF(Skills!C24=1,60+Inputs!$B$24+Inputs!$B$28,IF(Skills!C24=2,90+Inputs!$B$25+Inputs!$B$28,IF(Skills!C24=3,120+Inputs!$B$26+Inputs!$B$28,MAX(0,(Inputs!$B$3-100)*3)+Inputs!$B$27+Inputs!$B$28)))</f>
        <v/>
      </c>
      <c r="E220">
        <f>INDEX(FactorTable!$B$2:$Y$301, MATCH(ROUND(MIN(300,MAX(1,D220)),0), FactorTable!$A$2:$A$301,0), Skills!L24+1)</f>
        <v/>
      </c>
      <c r="F220">
        <f>IF(Skills!M24=TRUE,(Skills!K24/10)*(E220/1000),Skills!K24/10)+Skills!N24</f>
        <v/>
      </c>
      <c r="G220">
        <f>Calc!G24</f>
        <v/>
      </c>
      <c r="H220">
        <f>Calc!H24</f>
        <v/>
      </c>
      <c r="I220">
        <f>IF(Skills!T24&lt;&gt;"",1+(Skills!T24/10)*($Z$3/1000)/100,1)</f>
        <v/>
      </c>
      <c r="J220" t="inlineStr"/>
      <c r="K220" t="inlineStr"/>
      <c r="L220" t="inlineStr"/>
      <c r="M220" t="inlineStr"/>
      <c r="N220" t="inlineStr"/>
      <c r="O220" t="n">
        <v>0</v>
      </c>
      <c r="P220">
        <f>IF(B234=0,0,O220/B234)</f>
        <v/>
      </c>
      <c r="S220" t="n">
        <v>0</v>
      </c>
      <c r="V220">
        <f>IFERROR(1/IF(Inputs!$B$4="pvp",15,MAX(0.1,Skills!D24-IF(Skills!E24=TRUE,Inputs!$B$31,0))),0)</f>
        <v/>
      </c>
    </row>
    <row r="221">
      <c r="A221">
        <f>Skills!A25</f>
        <v/>
      </c>
      <c r="B221">
        <f>Skills!B25</f>
        <v/>
      </c>
      <c r="C221">
        <f>Inputs!$B$3&gt;=117</f>
        <v/>
      </c>
      <c r="D221">
        <f>IF(Skills!C25=1,60+Inputs!$B$24+Inputs!$B$28,IF(Skills!C25=2,90+Inputs!$B$25+Inputs!$B$28,IF(Skills!C25=3,120+Inputs!$B$26+Inputs!$B$28,MAX(0,(Inputs!$B$3-100)*3)+Inputs!$B$27+Inputs!$B$28)))</f>
        <v/>
      </c>
      <c r="E221">
        <f>INDEX(FactorTable!$B$2:$Y$301, MATCH(ROUND(MIN(300,MAX(1,D221)),0), FactorTable!$A$2:$A$301,0), Skills!L25+1)</f>
        <v/>
      </c>
      <c r="F221">
        <f>IF(Skills!M25=TRUE,(Skills!K25/10)*(E221/1000),Skills!K25/10)+Skills!N25</f>
        <v/>
      </c>
      <c r="G221">
        <f>Calc!G25</f>
        <v/>
      </c>
      <c r="H221">
        <f>Calc!H25</f>
        <v/>
      </c>
      <c r="I221">
        <f>IF(Skills!T25&lt;&gt;"",1+(Skills!T25/10)*($Z$3/1000)/100,1)</f>
        <v/>
      </c>
      <c r="J221" t="inlineStr"/>
      <c r="K221" t="inlineStr"/>
      <c r="L221" t="inlineStr"/>
      <c r="M221" t="inlineStr"/>
      <c r="N221" t="inlineStr"/>
      <c r="O221" t="n">
        <v>0</v>
      </c>
      <c r="P221">
        <f>IF(B234=0,0,O221/B234)</f>
        <v/>
      </c>
      <c r="S221" t="n">
        <v>0</v>
      </c>
      <c r="V221">
        <f>IFERROR(1/IF(Inputs!$B$4="pvp",15,MAX(0.1,Skills!D25-IF(Skills!E25=TRUE,Inputs!$B$31,0))),0)</f>
        <v/>
      </c>
    </row>
    <row r="222">
      <c r="A222">
        <f>Skills!A26</f>
        <v/>
      </c>
      <c r="B222">
        <f>Skills!B26</f>
        <v/>
      </c>
      <c r="C222">
        <f>Inputs!$B$3&gt;=120</f>
        <v/>
      </c>
      <c r="D222">
        <f>IF(Skills!C26=1,60+Inputs!$B$24+Inputs!$B$28,IF(Skills!C26=2,90+Inputs!$B$25+Inputs!$B$28,IF(Skills!C26=3,120+Inputs!$B$26+Inputs!$B$28,MAX(0,(Inputs!$B$3-100)*3)+Inputs!$B$27+Inputs!$B$28)))</f>
        <v/>
      </c>
      <c r="E222">
        <f>INDEX(FactorTable!$B$2:$Y$301, MATCH(ROUND(MIN(300,MAX(1,D222)),0), FactorTable!$A$2:$A$301,0), Skills!L26+1)</f>
        <v/>
      </c>
      <c r="F222">
        <f>IF(Skills!M26=TRUE,(Skills!K26/10)*(E222/1000),Skills!K26/10)+Skills!N26</f>
        <v/>
      </c>
      <c r="G222">
        <f>Calc!G26</f>
        <v/>
      </c>
      <c r="H222">
        <f>Calc!H26</f>
        <v/>
      </c>
      <c r="I222">
        <f>IF(Skills!T26&lt;&gt;"",1+(Skills!T26/10)*($Z$3/1000)/100,1)</f>
        <v/>
      </c>
      <c r="J222" t="inlineStr"/>
      <c r="K222" t="inlineStr"/>
      <c r="L222" t="inlineStr"/>
      <c r="M222" t="inlineStr"/>
      <c r="N222" t="inlineStr"/>
      <c r="O222" t="n">
        <v>0</v>
      </c>
      <c r="P222">
        <f>IF(B234=0,0,O222/B234)</f>
        <v/>
      </c>
      <c r="S222" t="n">
        <v>0</v>
      </c>
      <c r="V222">
        <f>IFERROR(1/IF(Inputs!$B$4="pvp",15,MAX(0.1,Skills!D26-IF(Skills!E26=TRUE,Inputs!$B$31,0))),0)</f>
        <v/>
      </c>
    </row>
    <row r="224">
      <c r="A224" t="inlineStr">
        <is>
          <t>Average Buff Multiplier</t>
        </is>
      </c>
      <c r="B224">
        <f>(1+(IF(C199=TRUE,F199*IF(AND(Inputs!$B$4&lt;&gt;"pvp",Inputs!$B$35&gt;0),(((S199-1)*(Skills!S3*(1+(Inputs!$B$33+IF(Inputs!$B$3&gt;=117,F221,0))/100))+MIN((Skills!S3*(1+(Inputs!$B$33+IF(Inputs!$B$3&gt;=117,F221,0))/100)),MAX(0,Inputs!$B$35-((S199-1)*Skills!D3))))/Inputs!$B$35),IF(Inputs!$B$4="pvp",MIN((Skills!S3*(1+(Inputs!$B$33+IF(Inputs!$B$3&gt;=117,F221,0))/100)),15)/15,(Skills!S3*(1+(Inputs!$B$33+IF(Inputs!$B$3&gt;=117,F221,0))/100))/Skills!D3)),0)+IF(C200=TRUE,F200*IF(AND(Inputs!$B$4&lt;&gt;"pvp",Inputs!$B$35&gt;0),(((S200-1)*(Skills!S4*(1+(Inputs!$B$33+IF(Inputs!$B$3&gt;=117,F221,0))/100))+MIN((Skills!S4*(1+(Inputs!$B$33+IF(Inputs!$B$3&gt;=117,F221,0))/100)),MAX(0,Inputs!$B$35-((S200-1)*Skills!D4))))/Inputs!$B$35),IF(Inputs!$B$4="pvp",MIN((Skills!S4*(1+(Inputs!$B$33+IF(Inputs!$B$3&gt;=117,F221,0))/100)),15)/15,(Skills!S4*(1+(Inputs!$B$33+IF(Inputs!$B$3&gt;=117,F221,0))/100))/Skills!D4)),0)+IF(C201=TRUE,F201*IF(AND(Inputs!$B$4&lt;&gt;"pvp",Inputs!$B$35&gt;0),(((S201-1)*(Skills!S5*(1+(Inputs!$B$33+IF(Inputs!$B$3&gt;=117,F221,0))/100))+MIN((Skills!S5*(1+(Inputs!$B$33+IF(Inputs!$B$3&gt;=117,F221,0))/100)),MAX(0,Inputs!$B$35-((S201-1)*Skills!D5))))/Inputs!$B$35),IF(Inputs!$B$4="pvp",MIN((Skills!S5*(1+(Inputs!$B$33+IF(Inputs!$B$3&gt;=117,F221,0))/100)),15)/15,(Skills!S5*(1+(Inputs!$B$33+IF(Inputs!$B$3&gt;=117,F221,0))/100))/Skills!D5)),0)+IF(C207=TRUE,F207*IF(AND(Inputs!$B$4&lt;&gt;"pvp",Inputs!$B$35&gt;0),(((S207-1)*(Skills!S11*(1+(Inputs!$B$33+IF(Inputs!$B$3&gt;=117,F221,0))/100))+MIN((Skills!S11*(1+(Inputs!$B$33+IF(Inputs!$B$3&gt;=117,F221,0))/100)),MAX(0,Inputs!$B$35-((S207-1)*Skills!D11))))/Inputs!$B$35),IF(Inputs!$B$4="pvp",MIN((Skills!S11*(1+(Inputs!$B$33+IF(Inputs!$B$3&gt;=117,F221,0))/100)),15)/15,(Skills!S11*(1+(Inputs!$B$33+IF(Inputs!$B$3&gt;=117,F221,0))/100))/Skills!D11)),0))/100)*IF(C209=TRUE,(1+F209*IF(AND(Inputs!$B$4&lt;&gt;"pvp",Inputs!$B$35&gt;0),(((S209-1)*(Skills!S13*(1+(Inputs!$B$33+IF(Inputs!$B$3&gt;=117,F221,0))/100))+MIN((Skills!S13*(1+(Inputs!$B$33+IF(Inputs!$B$3&gt;=117,F221,0))/100)),MAX(0,Inputs!$B$35-((S209-1)*Skills!D13))))/Inputs!$B$35),IF(Inputs!$B$4="pvp",MIN((Skills!S13*(1+(Inputs!$B$33+IF(Inputs!$B$3&gt;=117,F221,0))/100)),15)/15,(Skills!S13*(1+(Inputs!$B$33+IF(Inputs!$B$3&gt;=117,F221,0))/100))/Skills!D13))/100),1)*IF(C214=TRUE,(1+F214*IF(AND(Inputs!$B$4&lt;&gt;"pvp",Inputs!$B$35&gt;0),(((S214-1)*(Skills!S18*(1+(Inputs!$B$33+IF(Inputs!$B$3&gt;=117,F221,0))/100))+MIN((Skills!S18*(1+(Inputs!$B$33+IF(Inputs!$B$3&gt;=117,F221,0))/100)),MAX(0,Inputs!$B$35-((S214-1)*Skills!D18))))/Inputs!$B$35),IF(Inputs!$B$4="pvp",MIN((Skills!S18*(1+(Inputs!$B$33+IF(Inputs!$B$3&gt;=117,F221,0))/100)),15)/15,(Skills!S18*(1+(Inputs!$B$33+IF(Inputs!$B$3&gt;=117,F221,0))/100))/Skills!D18))/100),1)</f>
        <v/>
      </c>
    </row>
    <row r="225">
      <c r="A225" t="inlineStr">
        <is>
          <t>Monster Damage Taken Bonus % (Holy Fountain)</t>
        </is>
      </c>
      <c r="B225">
        <f>IF(Inputs!$B$3&gt;=68,20*IF(Inputs!$B$4="pvp",MIN((15*(1+(Inputs!$B$33+IF(Inputs!$B$3&gt;=117,F221,0))/100)),15)/15,(15*(1+(Inputs!$B$33+IF(Inputs!$B$3&gt;=117,F221,0))/100))/Skills!D10),0)</f>
        <v/>
      </c>
    </row>
    <row r="226">
      <c r="A226" t="inlineStr">
        <is>
          <t>Normal Monster Damage Bonus % (Holy Symbol)</t>
        </is>
      </c>
      <c r="B226">
        <f>IF(C208=TRUE,F208*IF(AND(Inputs!$B$4&lt;&gt;"pvp",Inputs!$B$35&gt;0),(((S208-1)*(Skills!S12*(1+(Inputs!$B$33+IF(Inputs!$B$3&gt;=117,F221,0))/100))+MIN((Skills!S12*(1+(Inputs!$B$33+IF(Inputs!$B$3&gt;=117,F221,0))/100)),MAX(0,Inputs!$B$35-((S208-1)*Skills!D12))))/Inputs!$B$35),IF(Inputs!$B$4="pvp",MIN((Skills!S12*(1+(Inputs!$B$33+IF(Inputs!$B$3&gt;=117,F221,0))/100)),15)/15,(Skills!S12*(1+(Inputs!$B$33+IF(Inputs!$B$3&gt;=117,F221,0))/100))/Skills!D12)),0)</f>
        <v/>
      </c>
    </row>
    <row r="227">
      <c r="A227" t="inlineStr">
        <is>
          <t>Damage % Bonus (Holy Symbol - Damage Boost)</t>
        </is>
      </c>
      <c r="B227">
        <f>Skills!O12</f>
        <v/>
      </c>
    </row>
    <row r="228">
      <c r="A228" t="inlineStr">
        <is>
          <t>Crit Damage % Bonus (Blood of the Divine)</t>
        </is>
      </c>
      <c r="B228">
        <f>4*IF(C215=TRUE,F215,0)</f>
        <v/>
      </c>
    </row>
    <row r="229">
      <c r="A229" t="inlineStr">
        <is>
          <t>Attack Speed Bonus %</t>
        </is>
      </c>
      <c r="B229">
        <f>IF(C212=TRUE,F212+(F216-Calc!F20),0)+IF(Inputs!$B$3&gt;=134,15,0)</f>
        <v/>
      </c>
    </row>
    <row r="230">
      <c r="A230" t="inlineStr">
        <is>
          <t>Actions Per Second</t>
        </is>
      </c>
      <c r="B230">
        <f>1+MIN(150,150*(1-(1-Inputs!$B$10/150)*(1-B229/150)))/100</f>
        <v/>
      </c>
    </row>
    <row r="231">
      <c r="A231" t="inlineStr">
        <is>
          <t>Skill + Buff Cast Rate</t>
        </is>
      </c>
      <c r="B231">
        <f>IF(AND(Inputs!$B$4&lt;&gt;"pvp",Inputs!$B$35&gt;0),SUMPRODUCT((Skills!E2:E26=TRUE)*(C198:C222=TRUE)*S198:S222)/Inputs!$B$35,SUMPRODUCT((Skills!E2:E26=TRUE)*(C198:C222=TRUE)*V198:V222))</f>
        <v/>
      </c>
    </row>
    <row r="232">
      <c r="A232" t="inlineStr">
        <is>
          <t>Big Bang Casts Per Second</t>
        </is>
      </c>
      <c r="B232">
        <f>MAX(0,B230-B231)</f>
        <v/>
      </c>
    </row>
    <row r="234">
      <c r="A234" s="5" t="inlineStr">
        <is>
          <t>TOTAL DPS</t>
        </is>
      </c>
      <c r="B234" s="5">
        <f>SUM(O198:O222)</f>
        <v/>
      </c>
    </row>
    <row r="237">
      <c r="A237" s="5" t="inlineStr">
        <is>
          <t>Stat: NORMAL_DAMAGE %</t>
        </is>
      </c>
    </row>
    <row r="238">
      <c r="A238" s="8" t="inlineStr">
        <is>
          <t>Key</t>
        </is>
      </c>
      <c r="B238" s="8" t="inlineStr">
        <is>
          <t>Name</t>
        </is>
      </c>
      <c r="C238" s="8" t="inlineStr">
        <is>
          <t>Unlocked</t>
        </is>
      </c>
      <c r="D238" s="8" t="inlineStr">
        <is>
          <t>InputLevel</t>
        </is>
      </c>
      <c r="E238" s="8" t="inlineStr">
        <is>
          <t>Factor</t>
        </is>
      </c>
      <c r="F238" s="8" t="inlineStr">
        <is>
          <t>CoefficientPercent</t>
        </is>
      </c>
      <c r="G238" s="8" t="inlineStr">
        <is>
          <t>EffectiveHits</t>
        </is>
      </c>
      <c r="H238" s="8" t="inlineStr">
        <is>
          <t>ProcProbability</t>
        </is>
      </c>
      <c r="I238" s="8" t="inlineStr">
        <is>
          <t>MapleHeroMultiplier</t>
        </is>
      </c>
      <c r="J238" s="8" t="inlineStr">
        <is>
          <t>BaseDamage</t>
        </is>
      </c>
      <c r="K238" s="8" t="inlineStr">
        <is>
          <t>BaseHitDamage</t>
        </is>
      </c>
      <c r="L238" s="8" t="inlineStr">
        <is>
          <t>NonCritAvg</t>
        </is>
      </c>
      <c r="M238" s="8" t="inlineStr">
        <is>
          <t>CritAvg</t>
        </is>
      </c>
      <c r="N238" s="8" t="inlineStr">
        <is>
          <t>ExpectedDamage(perHit)</t>
        </is>
      </c>
      <c r="O238" s="8" t="inlineStr">
        <is>
          <t>DPS</t>
        </is>
      </c>
      <c r="P238" s="8" t="inlineStr">
        <is>
          <t>% of Total</t>
        </is>
      </c>
      <c r="R238" t="inlineStr">
        <is>
          <t>helpers</t>
        </is>
      </c>
    </row>
    <row r="239">
      <c r="A239">
        <f>Skills!A2</f>
        <v/>
      </c>
      <c r="B239">
        <f>Skills!B2</f>
        <v/>
      </c>
      <c r="C239">
        <f>Inputs!$B$3&gt;=100</f>
        <v/>
      </c>
      <c r="D239" t="inlineStr"/>
      <c r="E239" t="inlineStr"/>
      <c r="F239">
        <f>T241+Skills!N2</f>
        <v/>
      </c>
      <c r="G239">
        <f>Calc!G2</f>
        <v/>
      </c>
      <c r="H239">
        <f>Calc!H2</f>
        <v/>
      </c>
      <c r="I239">
        <f>IF(Skills!T2&lt;&gt;"",1+(Skills!T2/10)*($Z$3/1000)/100,1)</f>
        <v/>
      </c>
      <c r="J239">
        <f>((Inputs!$B$5*(1+Inputs!$B$6/100))+((Inputs!$B$11*(1+Inputs!$B$12/100))-(Inputs!$B$11*(1+Inputs!$B$12/100)))*(1+Inputs!$B$6/100))*(F239/100)</f>
        <v/>
      </c>
      <c r="K239">
        <f>J239*(1+((Inputs!$B$11*(1+Inputs!$B$12/100))*0.01+Inputs!$B$13*0.0025)/100)*(1+(Inputs!$B$14+B268)/100)*(1+IF(Inputs!$B$4="pvp",0,(1-Summary!$B$48)*(Inputs!$B$19+Skills!O2+B266)+Summary!$B$48*((Inputs!$B$20+1)+Skills!P2+B267))/100)*(1+Inputs!$B$15/100)*(5000/(6000+Inputs!$B$7*(1-Inputs!$B$18/100)))*(1+Inputs!$B$23/100)*(1+IF(C254=TRUE,F254,0)/100)*(1+IF(C256=TRUE,F256,0)/100)*(1+IF(Skills!A2="TRIUMPH_FEATHER",IF(C252=TRUE,F252,0),0)/100)*(1+IF(C263=TRUE,F263,0)/100)^5*(1+(IF(Skills!A2="BIG_BANG",Inputs!$B$16,Inputs!$B$17))/100)*(B265*I239)</f>
        <v/>
      </c>
      <c r="L239">
        <f>K239*(MIN(Inputs!$B$21+(F258-Calc!F21),Inputs!$B$22)/100+Inputs!$B$22/100)/2</f>
        <v/>
      </c>
      <c r="M239">
        <f>L239*(1+(Inputs!$B$9+B269+(F261-Calc!F24))/100)</f>
        <v/>
      </c>
      <c r="N239">
        <f>L239*(1-MIN(Inputs!$B$8+((F260-Calc!F23)+(F259-Calc!F22)),100)/100)+M239*(MIN(Inputs!$B$8+((F260-Calc!F23)+(F259-Calc!F22)),100)/100)</f>
        <v/>
      </c>
      <c r="O239">
        <f>IF(C239,Skills!F2*N239*B273*IF(Inputs!$B$4="pvp",1,(1-Summary!$B$48)*(1)+Summary!$B$48*(MIN((6+Inputs!$B$32),Inputs!$B$37))),0)</f>
        <v/>
      </c>
      <c r="P239">
        <f>IF(B275=0,0,O239/B275)</f>
        <v/>
      </c>
      <c r="S239" t="n">
        <v>0</v>
      </c>
      <c r="T239">
        <f>MAX(0,(Inputs!$B$3-100)*3)+Inputs!$B$27+Inputs!$B$28</f>
        <v/>
      </c>
      <c r="V239">
        <f>IFERROR(1/IF(Inputs!$B$4="pvp",15,MAX(0.1,Skills!D2-IF(Skills!E2=TRUE,Inputs!$B$31,0))),0)</f>
        <v/>
      </c>
    </row>
    <row r="240">
      <c r="A240">
        <f>Skills!A3</f>
        <v/>
      </c>
      <c r="B240">
        <f>Skills!B3</f>
        <v/>
      </c>
      <c r="C240">
        <f>Inputs!$B$3&gt;=15</f>
        <v/>
      </c>
      <c r="D240">
        <f>IF(Skills!C3=1,60+Inputs!$B$24+Inputs!$B$28,IF(Skills!C3=2,90+Inputs!$B$25+Inputs!$B$28,IF(Skills!C3=3,120+Inputs!$B$26+Inputs!$B$28,MAX(0,(Inputs!$B$3-100)*3)+Inputs!$B$27+Inputs!$B$28)))</f>
        <v/>
      </c>
      <c r="E240">
        <f>INDEX(FactorTable!$B$2:$Y$301, MATCH(ROUND(MIN(300,MAX(1,D240)),0), FactorTable!$A$2:$A$301,0), Skills!L3+1)</f>
        <v/>
      </c>
      <c r="F240">
        <f>IF(Skills!M3=TRUE,(Skills!K3/10)*(E240/1000),Skills!K3/10)+Skills!N3</f>
        <v/>
      </c>
      <c r="G240">
        <f>Calc!G3</f>
        <v/>
      </c>
      <c r="H240">
        <f>Calc!H3</f>
        <v/>
      </c>
      <c r="I240">
        <f>IF(Skills!T3&lt;&gt;"",1+(Skills!T3/10)*($Z$3/1000)/100,1)</f>
        <v/>
      </c>
      <c r="J240" t="inlineStr"/>
      <c r="K240" t="inlineStr"/>
      <c r="L240" t="inlineStr"/>
      <c r="M240" t="inlineStr"/>
      <c r="N240" t="inlineStr"/>
      <c r="O240" t="n">
        <v>0</v>
      </c>
      <c r="P240">
        <f>IF(B275=0,0,O240/B275)</f>
        <v/>
      </c>
      <c r="S240">
        <f>IF(AND(Inputs!$B$4&lt;&gt;"pvp",Inputs!$B$35&gt;0),(INT(Inputs!$B$35/IF(Inputs!$B$4="pvp",15,MAX(0.1,Skills!D3-IF(Skills!E3=TRUE,Inputs!$B$31,0))))+1),0)</f>
        <v/>
      </c>
      <c r="T240">
        <f>INDEX(FactorTable!$B$2:$Y$301, MATCH(ROUND(MIN(300,MAX(1,T239)),0), FactorTable!$A$2:$A$301,0), 22)</f>
        <v/>
      </c>
      <c r="V240">
        <f>IFERROR(1/IF(Inputs!$B$4="pvp",15,MAX(0.1,Skills!D3-IF(Skills!E3=TRUE,Inputs!$B$31,0))),0)</f>
        <v/>
      </c>
    </row>
    <row r="241">
      <c r="A241">
        <f>Skills!A4</f>
        <v/>
      </c>
      <c r="B241">
        <f>Skills!B4</f>
        <v/>
      </c>
      <c r="C241">
        <f>Inputs!$B$3&gt;=38</f>
        <v/>
      </c>
      <c r="D241">
        <f>IF(Skills!C4=1,60+Inputs!$B$24+Inputs!$B$28,IF(Skills!C4=2,90+Inputs!$B$25+Inputs!$B$28,IF(Skills!C4=3,120+Inputs!$B$26+Inputs!$B$28,MAX(0,(Inputs!$B$3-100)*3)+Inputs!$B$27+Inputs!$B$28)))</f>
        <v/>
      </c>
      <c r="E241">
        <f>INDEX(FactorTable!$B$2:$Y$301, MATCH(ROUND(MIN(300,MAX(1,D241)),0), FactorTable!$A$2:$A$301,0), Skills!L4+1)</f>
        <v/>
      </c>
      <c r="F241">
        <f>IF(Skills!M4=TRUE,(Skills!K4/10)*(E241/1000),Skills!K4/10)+Skills!N4</f>
        <v/>
      </c>
      <c r="G241">
        <f>Calc!G4</f>
        <v/>
      </c>
      <c r="H241">
        <f>Calc!H4</f>
        <v/>
      </c>
      <c r="I241">
        <f>IF(Skills!T4&lt;&gt;"",1+(Skills!T4/10)*($Z$3/1000)/100,1)</f>
        <v/>
      </c>
      <c r="J241" t="inlineStr"/>
      <c r="K241" t="inlineStr"/>
      <c r="L241" t="inlineStr"/>
      <c r="M241" t="inlineStr"/>
      <c r="N241" t="inlineStr"/>
      <c r="O241" t="n">
        <v>0</v>
      </c>
      <c r="P241">
        <f>IF(B275=0,0,O241/B275)</f>
        <v/>
      </c>
      <c r="S241">
        <f>IF(AND(Inputs!$B$4&lt;&gt;"pvp",Inputs!$B$35&gt;0),(INT(Inputs!$B$35/IF(Inputs!$B$4="pvp",15,MAX(0.1,Skills!D4-IF(Skills!E4=TRUE,Inputs!$B$31,0))))+1),0)</f>
        <v/>
      </c>
      <c r="T241">
        <f>290*T240/1000</f>
        <v/>
      </c>
      <c r="V241">
        <f>IFERROR(1/IF(Inputs!$B$4="pvp",15,MAX(0.1,Skills!D4-IF(Skills!E4=TRUE,Inputs!$B$31,0))),0)</f>
        <v/>
      </c>
    </row>
    <row r="242">
      <c r="A242">
        <f>Skills!A5</f>
        <v/>
      </c>
      <c r="B242">
        <f>Skills!B5</f>
        <v/>
      </c>
      <c r="C242">
        <f>Inputs!$B$3&gt;=40</f>
        <v/>
      </c>
      <c r="D242">
        <f>IF(Skills!C5=1,60+Inputs!$B$24+Inputs!$B$28,IF(Skills!C5=2,90+Inputs!$B$25+Inputs!$B$28,IF(Skills!C5=3,120+Inputs!$B$26+Inputs!$B$28,MAX(0,(Inputs!$B$3-100)*3)+Inputs!$B$27+Inputs!$B$28)))</f>
        <v/>
      </c>
      <c r="E242">
        <f>INDEX(FactorTable!$B$2:$Y$301, MATCH(ROUND(MIN(300,MAX(1,D242)),0), FactorTable!$A$2:$A$301,0), Skills!L5+1)</f>
        <v/>
      </c>
      <c r="F242">
        <f>IF(Skills!M5=TRUE,(Skills!K5/10)*(E242/1000),Skills!K5/10)+Skills!N5</f>
        <v/>
      </c>
      <c r="G242">
        <f>Calc!G5</f>
        <v/>
      </c>
      <c r="H242">
        <f>Calc!H5</f>
        <v/>
      </c>
      <c r="I242">
        <f>IF(Skills!T5&lt;&gt;"",1+(Skills!T5/10)*($Z$3/1000)/100,1)</f>
        <v/>
      </c>
      <c r="J242" t="inlineStr"/>
      <c r="K242" t="inlineStr"/>
      <c r="L242" t="inlineStr"/>
      <c r="M242" t="inlineStr"/>
      <c r="N242" t="inlineStr"/>
      <c r="O242" t="n">
        <v>0</v>
      </c>
      <c r="P242">
        <f>IF(B275=0,0,O242/B275)</f>
        <v/>
      </c>
      <c r="S242">
        <f>IF(AND(Inputs!$B$4&lt;&gt;"pvp",Inputs!$B$35&gt;0),(INT(Inputs!$B$35/IF(Inputs!$B$4="pvp",15,MAX(0.1,Skills!D5-IF(Skills!E5=TRUE,Inputs!$B$31,0))))+1),0)</f>
        <v/>
      </c>
      <c r="V242">
        <f>IFERROR(1/IF(Inputs!$B$4="pvp",15,MAX(0.1,Skills!D5-IF(Skills!E5=TRUE,Inputs!$B$31,0))),0)</f>
        <v/>
      </c>
    </row>
    <row r="243">
      <c r="A243">
        <f>Skills!A6</f>
        <v/>
      </c>
      <c r="B243">
        <f>Skills!B6</f>
        <v/>
      </c>
      <c r="C243">
        <f>Inputs!$B$3&gt;=103</f>
        <v/>
      </c>
      <c r="D243">
        <f>IF(Skills!C6=1,60+Inputs!$B$24+Inputs!$B$28,IF(Skills!C6=2,90+Inputs!$B$25+Inputs!$B$28,IF(Skills!C6=3,120+Inputs!$B$26+Inputs!$B$28,MAX(0,(Inputs!$B$3-100)*3)+Inputs!$B$27+Inputs!$B$28)))</f>
        <v/>
      </c>
      <c r="E243">
        <f>INDEX(FactorTable!$B$2:$Y$301, MATCH(ROUND(MIN(300,MAX(1,D243)),0), FactorTable!$A$2:$A$301,0), Skills!L6+1)</f>
        <v/>
      </c>
      <c r="F243">
        <f>IF(Skills!M6=TRUE,(Skills!K6/10)*(E243/1000),Skills!K6/10)+Skills!N6</f>
        <v/>
      </c>
      <c r="G243">
        <f>Calc!G6</f>
        <v/>
      </c>
      <c r="H243">
        <f>Calc!H6</f>
        <v/>
      </c>
      <c r="I243">
        <f>IF(Skills!T6&lt;&gt;"",1+(Skills!T6/10)*($Z$3/1000)/100,1)</f>
        <v/>
      </c>
      <c r="J243">
        <f>((Inputs!$B$5*(1+Inputs!$B$6/100))+((Inputs!$B$11*(1+Inputs!$B$12/100))-(Inputs!$B$11*(1+Inputs!$B$12/100)))*(1+Inputs!$B$6/100))*(F243/100)</f>
        <v/>
      </c>
      <c r="K243">
        <f>J243*(1+((Inputs!$B$11*(1+Inputs!$B$12/100))*0.01+Inputs!$B$13*0.0025)/100)*(1+(Inputs!$B$14+B268)/100)*(1+IF(Inputs!$B$4="pvp",0,(1-Summary!$B$48)*(Inputs!$B$19+Skills!O6+B266)+Summary!$B$48*((Inputs!$B$20+1)+Skills!P6+B267))/100)*(1+Inputs!$B$15/100)*(5000/(6000+Inputs!$B$7*(1-Inputs!$B$18/100)))*(1+Inputs!$B$23/100)*(1+IF(C254=TRUE,F254,0)/100)*(1+IF(C256=TRUE,F256,0)/100)*(1+IF(Skills!A6="TRIUMPH_FEATHER",IF(C252=TRUE,F252,0),0)/100)*(1+IF(C263=TRUE,F263,0)/100)^5*(1+(IF(Skills!A6="BIG_BANG",Inputs!$B$16,Inputs!$B$17))/100)*(B265*I243)</f>
        <v/>
      </c>
      <c r="L243">
        <f>K243*(MIN(Inputs!$B$21+(F258-Calc!F21),Inputs!$B$22)/100+Inputs!$B$22/100)/2</f>
        <v/>
      </c>
      <c r="M243">
        <f>L243*(1+(Inputs!$B$9+B269+(F261-Calc!F24))/100)</f>
        <v/>
      </c>
      <c r="N243">
        <f>L243*(1-MIN(Inputs!$B$8+((F260-Calc!F23)+(F259-Calc!F22)),100)/100)+M243*(MIN(Inputs!$B$8+((F260-Calc!F23)+(F259-Calc!F22)),100)/100)</f>
        <v/>
      </c>
      <c r="O243">
        <f>IF(C243,H243*N243*IF(AND(Inputs!$B$4&lt;&gt;"pvp",Inputs!$B$35&gt;0),((Skills!F6*((S243-1)*IF(Skills!G6&gt;0,Skills!H6/Skills!G6,1)+IF(Skills!G6&gt;0,MIN(Skills!H6,MAX(0,Inputs!$B$35-((S243-1)*IF(Inputs!$B$4="pvp",15,MAX(0.1,Skills!D6-IF(Skills!E6=TRUE,Inputs!$B$31,0))))))/Skills!G6,1)))/Inputs!$B$35),G243*V243)*IF(Inputs!$B$4="pvp",1,(1-Summary!$B$48)*(1)+Summary!$B$48*(MIN(Skills!Q6,Inputs!$B$37))),0)</f>
        <v/>
      </c>
      <c r="P243">
        <f>IF(B275=0,0,O243/B275)</f>
        <v/>
      </c>
      <c r="S243">
        <f>IF(AND(Inputs!$B$4&lt;&gt;"pvp",Inputs!$B$35&gt;0),(INT(Inputs!$B$35/IF(Inputs!$B$4="pvp",15,MAX(0.1,Skills!D6-IF(Skills!E6=TRUE,Inputs!$B$31,0))))+1),0)</f>
        <v/>
      </c>
      <c r="V243">
        <f>IFERROR(1/IF(Inputs!$B$4="pvp",15,MAX(0.1,Skills!D6-IF(Skills!E6=TRUE,Inputs!$B$31,0))),0)</f>
        <v/>
      </c>
    </row>
    <row r="244">
      <c r="A244">
        <f>Skills!A7</f>
        <v/>
      </c>
      <c r="B244">
        <f>Skills!B7</f>
        <v/>
      </c>
      <c r="C244">
        <f>Inputs!$B$3&gt;=122</f>
        <v/>
      </c>
      <c r="D244">
        <f>IF(Skills!C7=1,60+Inputs!$B$24+Inputs!$B$28,IF(Skills!C7=2,90+Inputs!$B$25+Inputs!$B$28,IF(Skills!C7=3,120+Inputs!$B$26+Inputs!$B$28,MAX(0,(Inputs!$B$3-100)*3)+Inputs!$B$27+Inputs!$B$28)))</f>
        <v/>
      </c>
      <c r="E244">
        <f>INDEX(FactorTable!$B$2:$Y$301, MATCH(ROUND(MIN(300,MAX(1,D244)),0), FactorTable!$A$2:$A$301,0), Skills!L7+1)</f>
        <v/>
      </c>
      <c r="F244">
        <f>IF(Skills!M7=TRUE,(Skills!K7/10)*(E244/1000),Skills!K7/10)+Skills!N7</f>
        <v/>
      </c>
      <c r="G244">
        <f>Calc!G7</f>
        <v/>
      </c>
      <c r="H244">
        <f>Calc!H7</f>
        <v/>
      </c>
      <c r="I244">
        <f>IF(Skills!T7&lt;&gt;"",1+(Skills!T7/10)*($Z$3/1000)/100,1)</f>
        <v/>
      </c>
      <c r="J244">
        <f>((Inputs!$B$5*(1+Inputs!$B$6/100))+((Inputs!$B$11*(1+Inputs!$B$12/100))-(Inputs!$B$11*(1+Inputs!$B$12/100)))*(1+Inputs!$B$6/100))*(F244/100)</f>
        <v/>
      </c>
      <c r="K244">
        <f>J244*(1+((Inputs!$B$11*(1+Inputs!$B$12/100))*0.01+Inputs!$B$13*0.0025)/100)*(1+(Inputs!$B$14+B268)/100)*(1+IF(Inputs!$B$4="pvp",0,(1-Summary!$B$48)*(Inputs!$B$19+Skills!O7+B266)+Summary!$B$48*((Inputs!$B$20+1)+Skills!P7+B267))/100)*(1+Inputs!$B$15/100)*(5000/(6000+Inputs!$B$7*(1-Inputs!$B$18/100)))*(1+Inputs!$B$23/100)*(1+IF(C254=TRUE,F254,0)/100)*(1+IF(C256=TRUE,F256,0)/100)*(1+IF(Skills!A7="TRIUMPH_FEATHER",IF(C252=TRUE,F252,0),0)/100)*(1+IF(C263=TRUE,F263,0)/100)^5*(1+(IF(Skills!A7="BIG_BANG",Inputs!$B$16,Inputs!$B$17))/100)*(B265*I244)</f>
        <v/>
      </c>
      <c r="L244">
        <f>K244*(MIN(Inputs!$B$21+(F258-Calc!F21),Inputs!$B$22)/100+Inputs!$B$22/100)/2</f>
        <v/>
      </c>
      <c r="M244">
        <f>L244*(1+(Inputs!$B$9+B269+(F261-Calc!F24))/100)</f>
        <v/>
      </c>
      <c r="N244">
        <f>L244*(1-MIN(Inputs!$B$8+((F260-Calc!F23)+(F259-Calc!F22)),100)/100)+M244*(MIN(Inputs!$B$8+((F260-Calc!F23)+(F259-Calc!F22)),100)/100)</f>
        <v/>
      </c>
      <c r="O244">
        <f>IF(C244,H244*N244*IF(AND(Inputs!$B$4&lt;&gt;"pvp",Inputs!$B$35&gt;0),((Skills!F7*((S244-1)*IF(Skills!G7&gt;0,Skills!H7/Skills!G7,1)+IF(Skills!G7&gt;0,MIN(Skills!H7,MAX(0,Inputs!$B$35-((S244-1)*IF(Inputs!$B$4="pvp",15,MAX(0.1,Skills!D7-IF(Skills!E6=TRUE,Inputs!$B$31,0))))))/Skills!G7,1)))/Inputs!$B$35),G244*V244)*(1-Summary!$B$48),0)</f>
        <v/>
      </c>
      <c r="P244">
        <f>IF(B275=0,0,O244/B275)</f>
        <v/>
      </c>
      <c r="S244">
        <f>IF(AND(Inputs!$B$4&lt;&gt;"pvp",Inputs!$B$35&gt;0),(INT(Inputs!$B$35/IF(Inputs!$B$4="pvp",15,MAX(0.1,Skills!D7-IF(Skills!E6=TRUE,Inputs!$B$31,0))))+1),0)</f>
        <v/>
      </c>
      <c r="V244">
        <f>IFERROR(1/IF(Inputs!$B$4="pvp",15,MAX(0.1,Skills!D7-IF(Skills!E6=TRUE,Inputs!$B$31,0))),0)</f>
        <v/>
      </c>
    </row>
    <row r="245">
      <c r="A245">
        <f>Skills!A8</f>
        <v/>
      </c>
      <c r="B245">
        <f>Skills!B8</f>
        <v/>
      </c>
      <c r="C245">
        <f>Inputs!$B$3&gt;=105</f>
        <v/>
      </c>
      <c r="D245">
        <f>IF(Skills!C8=1,60+Inputs!$B$24+Inputs!$B$28,IF(Skills!C8=2,90+Inputs!$B$25+Inputs!$B$28,IF(Skills!C8=3,120+Inputs!$B$26+Inputs!$B$28,MAX(0,(Inputs!$B$3-100)*3)+Inputs!$B$27+Inputs!$B$28)))</f>
        <v/>
      </c>
      <c r="E245">
        <f>INDEX(FactorTable!$B$2:$Y$301, MATCH(ROUND(MIN(300,MAX(1,D245)),0), FactorTable!$A$2:$A$301,0), Skills!L8+1)</f>
        <v/>
      </c>
      <c r="F245">
        <f>IF(Skills!M8=TRUE,(Skills!K8/10)*(E245/1000),Skills!K8/10)+Skills!N8</f>
        <v/>
      </c>
      <c r="G245">
        <f>Calc!G8</f>
        <v/>
      </c>
      <c r="H245">
        <f>Calc!H8</f>
        <v/>
      </c>
      <c r="I245">
        <f>IF(Skills!T8&lt;&gt;"",1+(Skills!T8/10)*($Z$3/1000)/100,1)</f>
        <v/>
      </c>
      <c r="J245">
        <f>((Inputs!$B$5*(1+Inputs!$B$6/100))+((Inputs!$B$11*(1+Inputs!$B$12/100))-(Inputs!$B$11*(1+Inputs!$B$12/100)))*(1+Inputs!$B$6/100))*(F245/100)</f>
        <v/>
      </c>
      <c r="K245">
        <f>J245*(1+((Inputs!$B$11*(1+Inputs!$B$12/100))*0.01+Inputs!$B$13*0.0025)/100)*(1+(Inputs!$B$14+B268)/100)*(1+IF(Inputs!$B$4="pvp",0,(1-Summary!$B$48)*(Inputs!$B$19+Skills!O8+B266)+Summary!$B$48*((Inputs!$B$20+1)+Skills!P8+B267))/100)*(1+Inputs!$B$15/100)*(5000/(6000+Inputs!$B$7*(1-Inputs!$B$18/100)))*(1+Inputs!$B$23/100)*(1+IF(C254=TRUE,F254,0)/100)*(1+IF(C256=TRUE,F256,0)/100)*(1+IF(Skills!A8="TRIUMPH_FEATHER",IF(C252=TRUE,F252,0),0)/100)*(1+IF(C263=TRUE,F263,0)/100)^5*(1+(IF(Skills!A8="BIG_BANG",Inputs!$B$16,Inputs!$B$17))/100)*(B265*I245)</f>
        <v/>
      </c>
      <c r="L245">
        <f>K245*(MIN(Inputs!$B$21+(F258-Calc!F21),Inputs!$B$22)/100+Inputs!$B$22/100)/2</f>
        <v/>
      </c>
      <c r="M245">
        <f>L245*(1+(Inputs!$B$9+B269+(F261-Calc!F24))/100)</f>
        <v/>
      </c>
      <c r="N245">
        <f>L245*(1-MIN(Inputs!$B$8+((F260-Calc!F23)+(F259-Calc!F22)),100)/100)+M245*(MIN(Inputs!$B$8+((F260-Calc!F23)+(F259-Calc!F22)),100)/100)</f>
        <v/>
      </c>
      <c r="O245">
        <f>IF(C245,H245*N245*IF(AND(Inputs!$B$4&lt;&gt;"pvp",Inputs!$B$35&gt;0),((Skills!F8*((S245-1)*IF(Skills!G8&gt;0,Skills!H8/Skills!G8,1)+IF(Skills!G8&gt;0,MIN(Skills!H8,MAX(0,Inputs!$B$35-((S245-1)*IF(Inputs!$B$4="pvp",15,MAX(0.1,Skills!D8-IF(Skills!E8=TRUE,Inputs!$B$31,0))))))/Skills!G8,1)))/Inputs!$B$35),G245*V245)*IF(Inputs!$B$4="pvp",1,(1-Summary!$B$48)*(1)+Summary!$B$48*(MIN(Skills!Q8,Inputs!$B$37))),0)</f>
        <v/>
      </c>
      <c r="P245">
        <f>IF(B275=0,0,O245/B275)</f>
        <v/>
      </c>
      <c r="S245">
        <f>IF(AND(Inputs!$B$4&lt;&gt;"pvp",Inputs!$B$35&gt;0),(INT(Inputs!$B$35/IF(Inputs!$B$4="pvp",15,MAX(0.1,Skills!D8-IF(Skills!E8=TRUE,Inputs!$B$31,0))))+1),0)</f>
        <v/>
      </c>
      <c r="V245">
        <f>IFERROR(1/IF(Inputs!$B$4="pvp",15,MAX(0.1,Skills!D8-IF(Skills!E8=TRUE,Inputs!$B$31,0))),0)</f>
        <v/>
      </c>
    </row>
    <row r="246">
      <c r="A246">
        <f>Skills!A9</f>
        <v/>
      </c>
      <c r="B246">
        <f>Skills!B9</f>
        <v/>
      </c>
      <c r="C246">
        <f>Inputs!$B$3&gt;=115</f>
        <v/>
      </c>
      <c r="D246">
        <f>IF(Skills!C9=1,60+Inputs!$B$24+Inputs!$B$28,IF(Skills!C9=2,90+Inputs!$B$25+Inputs!$B$28,IF(Skills!C9=3,120+Inputs!$B$26+Inputs!$B$28,MAX(0,(Inputs!$B$3-100)*3)+Inputs!$B$27+Inputs!$B$28)))</f>
        <v/>
      </c>
      <c r="E246">
        <f>INDEX(FactorTable!$B$2:$Y$301, MATCH(ROUND(MIN(300,MAX(1,D246)),0), FactorTable!$A$2:$A$301,0), Skills!L9+1)</f>
        <v/>
      </c>
      <c r="F246">
        <f>IF(Skills!M9=TRUE,(Skills!K9/10)*(E246/1000),Skills!K9/10)+Skills!N9</f>
        <v/>
      </c>
      <c r="G246">
        <f>Calc!G9</f>
        <v/>
      </c>
      <c r="H246">
        <f>Calc!H9</f>
        <v/>
      </c>
      <c r="I246">
        <f>IF(Skills!T9&lt;&gt;"",1+(Skills!T9/10)*($Z$3/1000)/100,1)</f>
        <v/>
      </c>
      <c r="J246">
        <f>((Inputs!$B$5*(1+Inputs!$B$6/100))+((Inputs!$B$11*(1+Inputs!$B$12/100))-(Inputs!$B$11*(1+Inputs!$B$12/100)))*(1+Inputs!$B$6/100))*(F246/100)</f>
        <v/>
      </c>
      <c r="K246">
        <f>J246*(1+((Inputs!$B$11*(1+Inputs!$B$12/100))*0.01+Inputs!$B$13*0.0025)/100)*(1+(Inputs!$B$14+B268)/100)*(1+IF(Inputs!$B$4="pvp",0,(1-Summary!$B$48)*(Inputs!$B$19+Skills!O9+B266)+Summary!$B$48*((Inputs!$B$20+1)+Skills!P9+B267))/100)*(1+Inputs!$B$15/100)*(5000/(6000+Inputs!$B$7*(1-Inputs!$B$18/100)))*(1+Inputs!$B$23/100)*(1+IF(C254=TRUE,F254,0)/100)*(1+IF(C256=TRUE,F256,0)/100)*(1+IF(Skills!A9="TRIUMPH_FEATHER",IF(C252=TRUE,F252,0),0)/100)*(1+IF(C263=TRUE,F263,0)/100)^5*(1+(IF(Skills!A9="BIG_BANG",Inputs!$B$16,Inputs!$B$17))/100)*(B265*I246)</f>
        <v/>
      </c>
      <c r="L246">
        <f>K246*(MIN(Inputs!$B$21+(F258-Calc!F21),Inputs!$B$22)/100+Inputs!$B$22/100)/2</f>
        <v/>
      </c>
      <c r="M246">
        <f>L246*(1+(Inputs!$B$9+B269+(F261-Calc!F24))/100)</f>
        <v/>
      </c>
      <c r="N246">
        <f>L246*(1-MIN(Inputs!$B$8+((F260-Calc!F23)+(F259-Calc!F22)),100)/100)+M246*(MIN(Inputs!$B$8+((F260-Calc!F23)+(F259-Calc!F22)),100)/100)</f>
        <v/>
      </c>
      <c r="O246">
        <f>IF(C246,H246*N246*IF(AND(Inputs!$B$4&lt;&gt;"pvp",Inputs!$B$35&gt;0),((Skills!F9*((S246-1)*IF(Skills!G9&gt;0,Skills!H9/Skills!G9,1)+IF(Skills!G9&gt;0,MIN(Skills!H9,MAX(0,Inputs!$B$35-((S246-1)*IF(Inputs!$B$4="pvp",15,MAX(0.1,Skills!D9-IF(Skills!E9=TRUE,Inputs!$B$31,0))))))/Skills!G9,1)))/Inputs!$B$35),G246*V246)*IF(Inputs!$B$4="pvp",1,(1-Summary!$B$48)*(1)+Summary!$B$48*(MIN(Skills!Q9,Inputs!$B$37))),0)</f>
        <v/>
      </c>
      <c r="P246">
        <f>IF(B275=0,0,O246/B275)</f>
        <v/>
      </c>
      <c r="S246">
        <f>IF(AND(Inputs!$B$4&lt;&gt;"pvp",Inputs!$B$35&gt;0),(INT(Inputs!$B$35/IF(Inputs!$B$4="pvp",15,MAX(0.1,Skills!D9-IF(Skills!E9=TRUE,Inputs!$B$31,0))))+1),0)</f>
        <v/>
      </c>
      <c r="V246">
        <f>IFERROR(1/IF(Inputs!$B$4="pvp",15,MAX(0.1,Skills!D9-IF(Skills!E9=TRUE,Inputs!$B$31,0))),0)</f>
        <v/>
      </c>
    </row>
    <row r="247">
      <c r="A247">
        <f>Skills!A10</f>
        <v/>
      </c>
      <c r="B247">
        <f>Skills!B10</f>
        <v/>
      </c>
      <c r="C247">
        <f>Inputs!$B$3&gt;=66</f>
        <v/>
      </c>
      <c r="D247">
        <f>IF(Skills!C10=1,60+Inputs!$B$24+Inputs!$B$28,IF(Skills!C10=2,90+Inputs!$B$25+Inputs!$B$28,IF(Skills!C10=3,120+Inputs!$B$26+Inputs!$B$28,MAX(0,(Inputs!$B$3-100)*3)+Inputs!$B$27+Inputs!$B$28)))</f>
        <v/>
      </c>
      <c r="E247">
        <f>INDEX(FactorTable!$B$2:$Y$301, MATCH(ROUND(MIN(300,MAX(1,D247)),0), FactorTable!$A$2:$A$301,0), Skills!L10+1)</f>
        <v/>
      </c>
      <c r="F247" t="n">
        <v>0</v>
      </c>
      <c r="G247">
        <f>Calc!G10</f>
        <v/>
      </c>
      <c r="H247">
        <f>Calc!H10</f>
        <v/>
      </c>
      <c r="I247">
        <f>IF(Skills!T10&lt;&gt;"",1+(Skills!T10/10)*($Z$3/1000)/100,1)</f>
        <v/>
      </c>
      <c r="J247" t="inlineStr"/>
      <c r="K247" t="inlineStr"/>
      <c r="L247" t="inlineStr"/>
      <c r="M247" t="inlineStr"/>
      <c r="N247" t="inlineStr"/>
      <c r="O247" t="n">
        <v>0</v>
      </c>
      <c r="P247">
        <f>IF(B275=0,0,O247/B275)</f>
        <v/>
      </c>
      <c r="S247">
        <f>IF(AND(Inputs!$B$4&lt;&gt;"pvp",Inputs!$B$35&gt;0),(INT(Inputs!$B$35/IF(Inputs!$B$4="pvp",15,MAX(0.1,Skills!D10-IF(Skills!E10=TRUE,Inputs!$B$31,0))))+1),0)</f>
        <v/>
      </c>
      <c r="V247">
        <f>IFERROR(1/IF(Inputs!$B$4="pvp",15,MAX(0.1,Skills!D10-IF(Skills!E10=TRUE,Inputs!$B$31,0))),0)</f>
        <v/>
      </c>
    </row>
    <row r="248">
      <c r="A248">
        <f>Skills!A11</f>
        <v/>
      </c>
      <c r="B248">
        <f>Skills!B11</f>
        <v/>
      </c>
      <c r="C248">
        <f>Inputs!$B$3&gt;=69</f>
        <v/>
      </c>
      <c r="D248">
        <f>IF(Skills!C11=1,60+Inputs!$B$24+Inputs!$B$28,IF(Skills!C11=2,90+Inputs!$B$25+Inputs!$B$28,IF(Skills!C11=3,120+Inputs!$B$26+Inputs!$B$28,MAX(0,(Inputs!$B$3-100)*3)+Inputs!$B$27+Inputs!$B$28)))</f>
        <v/>
      </c>
      <c r="E248">
        <f>INDEX(FactorTable!$B$2:$Y$301, MATCH(ROUND(MIN(300,MAX(1,D248)),0), FactorTable!$A$2:$A$301,0), Skills!L11+1)</f>
        <v/>
      </c>
      <c r="F248">
        <f>IF(Skills!M11=TRUE,(Skills!K11/10)*(E248/1000),Skills!K11/10)+Skills!N11</f>
        <v/>
      </c>
      <c r="G248">
        <f>Calc!G11</f>
        <v/>
      </c>
      <c r="H248">
        <f>Calc!H11</f>
        <v/>
      </c>
      <c r="I248">
        <f>IF(Skills!T11&lt;&gt;"",1+(Skills!T11/10)*($Z$3/1000)/100,1)</f>
        <v/>
      </c>
      <c r="J248" t="inlineStr"/>
      <c r="K248" t="inlineStr"/>
      <c r="L248" t="inlineStr"/>
      <c r="M248" t="inlineStr"/>
      <c r="N248" t="inlineStr"/>
      <c r="O248" t="n">
        <v>0</v>
      </c>
      <c r="P248">
        <f>IF(B275=0,0,O248/B275)</f>
        <v/>
      </c>
      <c r="S248">
        <f>IF(AND(Inputs!$B$4&lt;&gt;"pvp",Inputs!$B$35&gt;0),(INT(Inputs!$B$35/IF(Inputs!$B$4="pvp",15,MAX(0.1,Skills!D11-IF(Skills!E11=TRUE,Inputs!$B$31,0))))+1),0)</f>
        <v/>
      </c>
      <c r="V248">
        <f>IFERROR(1/IF(Inputs!$B$4="pvp",15,MAX(0.1,Skills!D11-IF(Skills!E11=TRUE,Inputs!$B$31,0))),0)</f>
        <v/>
      </c>
    </row>
    <row r="249">
      <c r="A249">
        <f>Skills!A12</f>
        <v/>
      </c>
      <c r="B249">
        <f>Skills!B12</f>
        <v/>
      </c>
      <c r="C249">
        <f>Inputs!$B$3&gt;=72</f>
        <v/>
      </c>
      <c r="D249">
        <f>IF(Skills!C12=1,60+Inputs!$B$24+Inputs!$B$28,IF(Skills!C12=2,90+Inputs!$B$25+Inputs!$B$28,IF(Skills!C12=3,120+Inputs!$B$26+Inputs!$B$28,MAX(0,(Inputs!$B$3-100)*3)+Inputs!$B$27+Inputs!$B$28)))</f>
        <v/>
      </c>
      <c r="E249">
        <f>INDEX(FactorTable!$B$2:$Y$301, MATCH(ROUND(MIN(300,MAX(1,D249)),0), FactorTable!$A$2:$A$301,0), Skills!L12+1)</f>
        <v/>
      </c>
      <c r="F249">
        <f>IF(Skills!M12=TRUE,(Skills!K12/10)*(E249/1000),Skills!K12/10)+Skills!N12</f>
        <v/>
      </c>
      <c r="G249">
        <f>Calc!G12</f>
        <v/>
      </c>
      <c r="H249">
        <f>Calc!H12</f>
        <v/>
      </c>
      <c r="I249">
        <f>IF(Skills!T12&lt;&gt;"",1+(Skills!T12/10)*($Z$3/1000)/100,1)</f>
        <v/>
      </c>
      <c r="J249" t="inlineStr"/>
      <c r="K249" t="inlineStr"/>
      <c r="L249" t="inlineStr"/>
      <c r="M249" t="inlineStr"/>
      <c r="N249" t="inlineStr"/>
      <c r="O249" t="n">
        <v>0</v>
      </c>
      <c r="P249">
        <f>IF(B275=0,0,O249/B275)</f>
        <v/>
      </c>
      <c r="S249">
        <f>IF(AND(Inputs!$B$4&lt;&gt;"pvp",Inputs!$B$35&gt;0),(INT(Inputs!$B$35/IF(Inputs!$B$4="pvp",15,MAX(0.1,Skills!D12-IF(Skills!E12=TRUE,Inputs!$B$31,0))))+1),0)</f>
        <v/>
      </c>
      <c r="V249">
        <f>IFERROR(1/IF(Inputs!$B$4="pvp",15,MAX(0.1,Skills!D12-IF(Skills!E12=TRUE,Inputs!$B$31,0))),0)</f>
        <v/>
      </c>
    </row>
    <row r="250">
      <c r="A250">
        <f>Skills!A13</f>
        <v/>
      </c>
      <c r="B250">
        <f>Skills!B13</f>
        <v/>
      </c>
      <c r="C250">
        <f>Inputs!$B$3&gt;=107</f>
        <v/>
      </c>
      <c r="D250">
        <f>IF(Skills!C13=1,60+Inputs!$B$24+Inputs!$B$28,IF(Skills!C13=2,90+Inputs!$B$25+Inputs!$B$28,IF(Skills!C13=3,120+Inputs!$B$26+Inputs!$B$28,MAX(0,(Inputs!$B$3-100)*3)+Inputs!$B$27+Inputs!$B$28)))</f>
        <v/>
      </c>
      <c r="E250">
        <f>INDEX(FactorTable!$B$2:$Y$301, MATCH(ROUND(MIN(300,MAX(1,D250)),0), FactorTable!$A$2:$A$301,0), Skills!L13+1)</f>
        <v/>
      </c>
      <c r="F250">
        <f>IF(Skills!M13=TRUE,(Skills!K13/10)*(E250/1000),Skills!K13/10)+Skills!N13</f>
        <v/>
      </c>
      <c r="G250">
        <f>Calc!G13</f>
        <v/>
      </c>
      <c r="H250">
        <f>Calc!H13</f>
        <v/>
      </c>
      <c r="I250">
        <f>IF(Skills!T13&lt;&gt;"",1+(Skills!T13/10)*($Z$3/1000)/100,1)</f>
        <v/>
      </c>
      <c r="J250" t="inlineStr"/>
      <c r="K250" t="inlineStr"/>
      <c r="L250" t="inlineStr"/>
      <c r="M250" t="inlineStr"/>
      <c r="N250" t="inlineStr"/>
      <c r="O250" t="n">
        <v>0</v>
      </c>
      <c r="P250">
        <f>IF(B275=0,0,O250/B275)</f>
        <v/>
      </c>
      <c r="S250">
        <f>IF(AND(Inputs!$B$4&lt;&gt;"pvp",Inputs!$B$35&gt;0),(INT(Inputs!$B$35/IF(Inputs!$B$4="pvp",15,MAX(0.1,Skills!D13-IF(Skills!E13=TRUE,Inputs!$B$31,0))))+1),0)</f>
        <v/>
      </c>
      <c r="V250">
        <f>IFERROR(1/IF(Inputs!$B$4="pvp",15,MAX(0.1,Skills!D13-IF(Skills!E13=TRUE,Inputs!$B$31,0))),0)</f>
        <v/>
      </c>
    </row>
    <row r="251">
      <c r="A251">
        <f>Skills!A14</f>
        <v/>
      </c>
      <c r="B251">
        <f>Skills!B14</f>
        <v/>
      </c>
      <c r="C251">
        <f>Inputs!$B$3&gt;=63</f>
        <v/>
      </c>
      <c r="D251">
        <f>IF(Skills!C14=1,60+Inputs!$B$24+Inputs!$B$28,IF(Skills!C14=2,90+Inputs!$B$25+Inputs!$B$28,IF(Skills!C14=3,120+Inputs!$B$26+Inputs!$B$28,MAX(0,(Inputs!$B$3-100)*3)+Inputs!$B$27+Inputs!$B$28)))</f>
        <v/>
      </c>
      <c r="E251">
        <f>INDEX(FactorTable!$B$2:$Y$301, MATCH(ROUND(MIN(300,MAX(1,D251)),0), FactorTable!$A$2:$A$301,0), Skills!L14+1)</f>
        <v/>
      </c>
      <c r="F251">
        <f>IF(Skills!M14=TRUE,(Skills!K14/10)*(E251/1000),Skills!K14/10)+Skills!N14</f>
        <v/>
      </c>
      <c r="G251">
        <f>Calc!G14</f>
        <v/>
      </c>
      <c r="H251">
        <f>Calc!H14</f>
        <v/>
      </c>
      <c r="I251">
        <f>IF(Skills!T14&lt;&gt;"",1+(Skills!T14/10)*($Z$3/1000)/100,1)</f>
        <v/>
      </c>
      <c r="J251">
        <f>((Inputs!$B$5*(1+Inputs!$B$6/100))+((Inputs!$B$11*(1+Inputs!$B$12/100))-(Inputs!$B$11*(1+Inputs!$B$12/100)))*(1+Inputs!$B$6/100))*(F251/100)</f>
        <v/>
      </c>
      <c r="K251">
        <f>J251*(1+((Inputs!$B$11*(1+Inputs!$B$12/100))*0.01+Inputs!$B$13*0.0025)/100)*(1+(Inputs!$B$14+B268)/100)*(1+IF(Inputs!$B$4="pvp",0,(1-Summary!$B$48)*(Inputs!$B$19+Skills!O14+B266)+Summary!$B$48*((Inputs!$B$20+1)+Skills!P14+B267))/100)*(1+Inputs!$B$15/100)*(5000/(6000+Inputs!$B$7*(1-Inputs!$B$18/100)))*(1+Inputs!$B$23/100)*(1+IF(C254=TRUE,F254,0)/100)*(1+IF(C256=TRUE,F256,0)/100)*(1+IF(Skills!A14="TRIUMPH_FEATHER",IF(C252=TRUE,F252,0),0)/100)*(1+IF(C263=TRUE,F263,0)/100)^5*(1+(IF(Skills!A14="BIG_BANG",Inputs!$B$16,Inputs!$B$17))/100)*(B265*I251)</f>
        <v/>
      </c>
      <c r="L251">
        <f>K251*(MIN(Inputs!$B$21+(F258-Calc!F21),Inputs!$B$22)/100+Inputs!$B$22/100)/2</f>
        <v/>
      </c>
      <c r="M251">
        <f>L251*(1+(Inputs!$B$9+B269+(F261-Calc!F24))/100)</f>
        <v/>
      </c>
      <c r="N251">
        <f>L251*(1-MIN(Inputs!$B$8+((F260-Calc!F23)+(F259-Calc!F22)),100)/100)+M251*(MIN(Inputs!$B$8+((F260-Calc!F23)+(F259-Calc!F22)),100)/100)</f>
        <v/>
      </c>
      <c r="O251">
        <f>IF(C251,Skills!F14*N251*((IF(Inputs!$B$3&gt;=78,25,15)/100*B271*10)/(1+IF(Inputs!$B$3&gt;=78,25,15)/100*B271*10))*(Skills!I14/100*B271)/(1+Skills!G14*Skills!I14/100*B271)*IF(Inputs!$B$4="pvp",1,(1-Summary!$B$48)*(1)+Summary!$B$48*(MIN(Skills!Q14,Inputs!$B$37))),0)</f>
        <v/>
      </c>
      <c r="P251">
        <f>IF(B275=0,0,O251/B275)</f>
        <v/>
      </c>
      <c r="S251" t="n">
        <v>0</v>
      </c>
      <c r="V251">
        <f>IFERROR(1/IF(Inputs!$B$4="pvp",15,MAX(0.1,Skills!D14-IF(Skills!E14=TRUE,Inputs!$B$31,0))),0)</f>
        <v/>
      </c>
    </row>
    <row r="252">
      <c r="A252">
        <f>Skills!A15</f>
        <v/>
      </c>
      <c r="B252">
        <f>Skills!B15</f>
        <v/>
      </c>
      <c r="C252">
        <f>Inputs!$B$3&gt;=100</f>
        <v/>
      </c>
      <c r="D252">
        <f>IF(Skills!C15=1,60+Inputs!$B$24+Inputs!$B$28,IF(Skills!C15=2,90+Inputs!$B$25+Inputs!$B$28,IF(Skills!C15=3,120+Inputs!$B$26+Inputs!$B$28,MAX(0,(Inputs!$B$3-100)*3)+Inputs!$B$27+Inputs!$B$28)))</f>
        <v/>
      </c>
      <c r="E252">
        <f>INDEX(FactorTable!$B$2:$Y$301, MATCH(ROUND(MIN(300,MAX(1,D252)),0), FactorTable!$A$2:$A$301,0), Skills!L15+1)</f>
        <v/>
      </c>
      <c r="F252">
        <f>IF(Skills!M15=TRUE,(Skills!K15/10)*(E252/1000),Skills!K15/10)+Skills!N15</f>
        <v/>
      </c>
      <c r="G252">
        <f>Calc!G15</f>
        <v/>
      </c>
      <c r="H252">
        <f>Calc!H15</f>
        <v/>
      </c>
      <c r="I252">
        <f>IF(Skills!T15&lt;&gt;"",1+(Skills!T15/10)*($Z$3/1000)/100,1)</f>
        <v/>
      </c>
      <c r="J252" t="inlineStr"/>
      <c r="K252" t="inlineStr"/>
      <c r="L252" t="inlineStr"/>
      <c r="M252" t="inlineStr"/>
      <c r="N252" t="inlineStr"/>
      <c r="O252" t="n">
        <v>0</v>
      </c>
      <c r="P252">
        <f>IF(B275=0,0,O252/B275)</f>
        <v/>
      </c>
      <c r="S252" t="n">
        <v>0</v>
      </c>
      <c r="V252">
        <f>IFERROR(1/IF(Inputs!$B$4="pvp",15,MAX(0.1,Skills!D15-IF(Skills!E15=TRUE,Inputs!$B$31,0))),0)</f>
        <v/>
      </c>
    </row>
    <row r="253">
      <c r="A253">
        <f>Skills!A16</f>
        <v/>
      </c>
      <c r="B253">
        <f>Skills!B16</f>
        <v/>
      </c>
      <c r="C253">
        <f>Inputs!$B$3&gt;=49</f>
        <v/>
      </c>
      <c r="D253">
        <f>IF(Skills!C16=1,60+Inputs!$B$24+Inputs!$B$28,IF(Skills!C16=2,90+Inputs!$B$25+Inputs!$B$28,IF(Skills!C16=3,120+Inputs!$B$26+Inputs!$B$28,MAX(0,(Inputs!$B$3-100)*3)+Inputs!$B$27+Inputs!$B$28)))</f>
        <v/>
      </c>
      <c r="E253">
        <f>INDEX(FactorTable!$B$2:$Y$301, MATCH(ROUND(MIN(300,MAX(1,D253)),0), FactorTable!$A$2:$A$301,0), Skills!L16+1)</f>
        <v/>
      </c>
      <c r="F253">
        <f>IF(Skills!M16=TRUE,(Skills!K16/10)*(E253/1000),Skills!K16/10)+Skills!N16</f>
        <v/>
      </c>
      <c r="G253">
        <f>Calc!G16</f>
        <v/>
      </c>
      <c r="H253">
        <f>Calc!H16</f>
        <v/>
      </c>
      <c r="I253">
        <f>IF(Skills!T16&lt;&gt;"",1+(Skills!T16/10)*($Z$3/1000)/100,1)</f>
        <v/>
      </c>
      <c r="J253" t="inlineStr"/>
      <c r="K253" t="inlineStr"/>
      <c r="L253" t="inlineStr"/>
      <c r="M253" t="inlineStr"/>
      <c r="N253" t="inlineStr"/>
      <c r="O253" t="n">
        <v>0</v>
      </c>
      <c r="P253">
        <f>IF(B275=0,0,O253/B275)</f>
        <v/>
      </c>
      <c r="S253" t="n">
        <v>0</v>
      </c>
      <c r="V253">
        <f>IFERROR(1/IF(Inputs!$B$4="pvp",15,MAX(0.1,Skills!D16-IF(Skills!E16=TRUE,Inputs!$B$31,0))),0)</f>
        <v/>
      </c>
    </row>
    <row r="254">
      <c r="A254">
        <f>Skills!A17</f>
        <v/>
      </c>
      <c r="B254">
        <f>Skills!B17</f>
        <v/>
      </c>
      <c r="C254">
        <f>Inputs!$B$3&gt;=75</f>
        <v/>
      </c>
      <c r="D254">
        <f>IF(Skills!C17=1,60+Inputs!$B$24+Inputs!$B$28,IF(Skills!C17=2,90+Inputs!$B$25+Inputs!$B$28,IF(Skills!C17=3,120+Inputs!$B$26+Inputs!$B$28,MAX(0,(Inputs!$B$3-100)*3)+Inputs!$B$27+Inputs!$B$28)))</f>
        <v/>
      </c>
      <c r="E254">
        <f>INDEX(FactorTable!$B$2:$Y$301, MATCH(ROUND(MIN(300,MAX(1,D254)),0), FactorTable!$A$2:$A$301,0), Skills!L17+1)</f>
        <v/>
      </c>
      <c r="F254">
        <f>IF(Skills!M17=TRUE,(Skills!K17/10)*(E254/1000),Skills!K17/10)+Skills!N17</f>
        <v/>
      </c>
      <c r="G254">
        <f>Calc!G17</f>
        <v/>
      </c>
      <c r="H254">
        <f>Calc!H17</f>
        <v/>
      </c>
      <c r="I254">
        <f>IF(Skills!T17&lt;&gt;"",1+(Skills!T17/10)*($Z$3/1000)/100,1)</f>
        <v/>
      </c>
      <c r="J254" t="inlineStr"/>
      <c r="K254" t="inlineStr"/>
      <c r="L254" t="inlineStr"/>
      <c r="M254" t="inlineStr"/>
      <c r="N254" t="inlineStr"/>
      <c r="O254" t="n">
        <v>0</v>
      </c>
      <c r="P254">
        <f>IF(B275=0,0,O254/B275)</f>
        <v/>
      </c>
      <c r="S254" t="n">
        <v>0</v>
      </c>
      <c r="V254">
        <f>IFERROR(1/IF(Inputs!$B$4="pvp",15,MAX(0.1,Skills!D17-IF(Skills!E17=TRUE,Inputs!$B$31,0))),0)</f>
        <v/>
      </c>
    </row>
    <row r="255">
      <c r="A255">
        <f>Skills!A18</f>
        <v/>
      </c>
      <c r="B255">
        <f>Skills!B18</f>
        <v/>
      </c>
      <c r="C255">
        <f>Inputs!$B$3&gt;=110</f>
        <v/>
      </c>
      <c r="D255">
        <f>IF(Skills!C18=1,60+Inputs!$B$24+Inputs!$B$28,IF(Skills!C18=2,90+Inputs!$B$25+Inputs!$B$28,IF(Skills!C18=3,120+Inputs!$B$26+Inputs!$B$28,MAX(0,(Inputs!$B$3-100)*3)+Inputs!$B$27+Inputs!$B$28)))</f>
        <v/>
      </c>
      <c r="E255">
        <f>INDEX(FactorTable!$B$2:$Y$301, MATCH(ROUND(MIN(300,MAX(1,D255)),0), FactorTable!$A$2:$A$301,0), Skills!L18+1)</f>
        <v/>
      </c>
      <c r="F255">
        <f>(Skills!K18/10)*(E255/1000)*64/45+Skills!N18</f>
        <v/>
      </c>
      <c r="G255">
        <f>Calc!G18</f>
        <v/>
      </c>
      <c r="H255">
        <f>Calc!H18</f>
        <v/>
      </c>
      <c r="I255">
        <f>IF(Skills!T18&lt;&gt;"",1+(Skills!T18/10)*($Z$3/1000)/100,1)</f>
        <v/>
      </c>
      <c r="J255" t="inlineStr"/>
      <c r="K255" t="inlineStr"/>
      <c r="L255" t="inlineStr"/>
      <c r="M255" t="inlineStr"/>
      <c r="N255" t="inlineStr"/>
      <c r="O255" t="n">
        <v>0</v>
      </c>
      <c r="P255">
        <f>IF(B275=0,0,O255/B275)</f>
        <v/>
      </c>
      <c r="S255">
        <f>IF(AND(Inputs!$B$4&lt;&gt;"pvp",Inputs!$B$35&gt;0),(INT(Inputs!$B$35/IF(Inputs!$B$4="pvp",15,MAX(0.1,Skills!D18-IF(Skills!E18=TRUE,Inputs!$B$31,0))))+1),0)</f>
        <v/>
      </c>
      <c r="V255">
        <f>IFERROR(1/IF(Inputs!$B$4="pvp",15,MAX(0.1,Skills!D18-IF(Skills!E18=TRUE,Inputs!$B$31,0))),0)</f>
        <v/>
      </c>
    </row>
    <row r="256">
      <c r="A256">
        <f>Skills!A19</f>
        <v/>
      </c>
      <c r="B256">
        <f>Skills!B19</f>
        <v/>
      </c>
      <c r="C256">
        <f>Inputs!$B$3&gt;=125</f>
        <v/>
      </c>
      <c r="D256">
        <f>IF(Skills!C19=1,60+Inputs!$B$24+Inputs!$B$28,IF(Skills!C19=2,90+Inputs!$B$25+Inputs!$B$28,IF(Skills!C19=3,120+Inputs!$B$26+Inputs!$B$28,MAX(0,(Inputs!$B$3-100)*3)+Inputs!$B$27+Inputs!$B$28)))</f>
        <v/>
      </c>
      <c r="E256">
        <f>INDEX(FactorTable!$B$2:$Y$301, MATCH(ROUND(MIN(300,MAX(1,D256)),0), FactorTable!$A$2:$A$301,0), Skills!L19+1)</f>
        <v/>
      </c>
      <c r="F256">
        <f>IF(Skills!M19=TRUE,(Skills!K19/10)*(E256/1000),Skills!K19/10)+Skills!N19</f>
        <v/>
      </c>
      <c r="G256">
        <f>Calc!G19</f>
        <v/>
      </c>
      <c r="H256">
        <f>Calc!H19</f>
        <v/>
      </c>
      <c r="I256">
        <f>IF(Skills!T19&lt;&gt;"",1+(Skills!T19/10)*($Z$3/1000)/100,1)</f>
        <v/>
      </c>
      <c r="J256" t="inlineStr"/>
      <c r="K256" t="inlineStr"/>
      <c r="L256" t="inlineStr"/>
      <c r="M256" t="inlineStr"/>
      <c r="N256" t="inlineStr"/>
      <c r="O256" t="n">
        <v>0</v>
      </c>
      <c r="P256">
        <f>IF(B275=0,0,O256/B275)</f>
        <v/>
      </c>
      <c r="S256" t="n">
        <v>0</v>
      </c>
      <c r="V256">
        <f>IFERROR(1/IF(Inputs!$B$4="pvp",15,MAX(0.1,Skills!D19-IF(Skills!E19=TRUE,Inputs!$B$31,0))),0)</f>
        <v/>
      </c>
    </row>
    <row r="257">
      <c r="A257">
        <f>Skills!A20</f>
        <v/>
      </c>
      <c r="B257">
        <f>Skills!B20</f>
        <v/>
      </c>
      <c r="C257">
        <f>Inputs!$B$3&gt;=33</f>
        <v/>
      </c>
      <c r="D257">
        <f>IF(Skills!C20=1,60+Inputs!$B$24+Inputs!$B$28,IF(Skills!C20=2,90+Inputs!$B$25+Inputs!$B$28,IF(Skills!C20=3,120+Inputs!$B$26+Inputs!$B$28,MAX(0,(Inputs!$B$3-100)*3)+Inputs!$B$27+Inputs!$B$28)))</f>
        <v/>
      </c>
      <c r="E257">
        <f>INDEX(FactorTable!$B$2:$Y$301, MATCH(ROUND(MIN(300,MAX(1,D257)),0), FactorTable!$A$2:$A$301,0), Skills!L20+1)</f>
        <v/>
      </c>
      <c r="F257">
        <f>IF(Skills!M20=TRUE,(Skills!K20/10)*(E257/1000),Skills!K20/10)+Skills!N20</f>
        <v/>
      </c>
      <c r="G257">
        <f>Calc!G20</f>
        <v/>
      </c>
      <c r="H257">
        <f>Calc!H20</f>
        <v/>
      </c>
      <c r="I257">
        <f>IF(Skills!T20&lt;&gt;"",1+(Skills!T20/10)*($Z$3/1000)/100,1)</f>
        <v/>
      </c>
      <c r="J257" t="inlineStr"/>
      <c r="K257" t="inlineStr"/>
      <c r="L257" t="inlineStr"/>
      <c r="M257" t="inlineStr"/>
      <c r="N257" t="inlineStr"/>
      <c r="O257" t="n">
        <v>0</v>
      </c>
      <c r="P257">
        <f>IF(B275=0,0,O257/B275)</f>
        <v/>
      </c>
      <c r="S257" t="n">
        <v>0</v>
      </c>
      <c r="V257">
        <f>IFERROR(1/IF(Inputs!$B$4="pvp",15,MAX(0.1,Skills!D20-IF(Skills!E20=TRUE,Inputs!$B$31,0))),0)</f>
        <v/>
      </c>
    </row>
    <row r="258">
      <c r="A258">
        <f>Skills!A21</f>
        <v/>
      </c>
      <c r="B258">
        <f>Skills!B21</f>
        <v/>
      </c>
      <c r="C258">
        <f>Inputs!$B$3&gt;=43</f>
        <v/>
      </c>
      <c r="D258">
        <f>IF(Skills!C21=1,60+Inputs!$B$24+Inputs!$B$28,IF(Skills!C21=2,90+Inputs!$B$25+Inputs!$B$28,IF(Skills!C21=3,120+Inputs!$B$26+Inputs!$B$28,MAX(0,(Inputs!$B$3-100)*3)+Inputs!$B$27+Inputs!$B$28)))</f>
        <v/>
      </c>
      <c r="E258">
        <f>INDEX(FactorTable!$B$2:$Y$301, MATCH(ROUND(MIN(300,MAX(1,D258)),0), FactorTable!$A$2:$A$301,0), Skills!L21+1)</f>
        <v/>
      </c>
      <c r="F258">
        <f>IF(Skills!M21=TRUE,(Skills!K21/10)*(E258/1000),Skills!K21/10)+Skills!N21</f>
        <v/>
      </c>
      <c r="G258">
        <f>Calc!G21</f>
        <v/>
      </c>
      <c r="H258">
        <f>Calc!H21</f>
        <v/>
      </c>
      <c r="I258">
        <f>IF(Skills!T21&lt;&gt;"",1+(Skills!T21/10)*($Z$3/1000)/100,1)</f>
        <v/>
      </c>
      <c r="J258" t="inlineStr"/>
      <c r="K258" t="inlineStr"/>
      <c r="L258" t="inlineStr"/>
      <c r="M258" t="inlineStr"/>
      <c r="N258" t="inlineStr"/>
      <c r="O258" t="n">
        <v>0</v>
      </c>
      <c r="P258">
        <f>IF(B275=0,0,O258/B275)</f>
        <v/>
      </c>
      <c r="S258" t="n">
        <v>0</v>
      </c>
      <c r="V258">
        <f>IFERROR(1/IF(Inputs!$B$4="pvp",15,MAX(0.1,Skills!D21-IF(Skills!E21=TRUE,Inputs!$B$31,0))),0)</f>
        <v/>
      </c>
    </row>
    <row r="259">
      <c r="A259">
        <f>Skills!A22</f>
        <v/>
      </c>
      <c r="B259">
        <f>Skills!B22</f>
        <v/>
      </c>
      <c r="C259">
        <f>Inputs!$B$3&gt;=50</f>
        <v/>
      </c>
      <c r="D259">
        <f>IF(Skills!C22=1,60+Inputs!$B$24+Inputs!$B$28,IF(Skills!C22=2,90+Inputs!$B$25+Inputs!$B$28,IF(Skills!C22=3,120+Inputs!$B$26+Inputs!$B$28,MAX(0,(Inputs!$B$3-100)*3)+Inputs!$B$27+Inputs!$B$28)))</f>
        <v/>
      </c>
      <c r="E259">
        <f>INDEX(FactorTable!$B$2:$Y$301, MATCH(ROUND(MIN(300,MAX(1,D259)),0), FactorTable!$A$2:$A$301,0), Skills!L22+1)</f>
        <v/>
      </c>
      <c r="F259">
        <f>IF(Skills!M22=TRUE,(Skills!K22/10)*(E259/1000),Skills!K22/10)+Skills!N22</f>
        <v/>
      </c>
      <c r="G259">
        <f>Calc!G22</f>
        <v/>
      </c>
      <c r="H259">
        <f>Calc!H22</f>
        <v/>
      </c>
      <c r="I259">
        <f>IF(Skills!T22&lt;&gt;"",1+(Skills!T22/10)*($Z$3/1000)/100,1)</f>
        <v/>
      </c>
      <c r="J259" t="inlineStr"/>
      <c r="K259" t="inlineStr"/>
      <c r="L259" t="inlineStr"/>
      <c r="M259" t="inlineStr"/>
      <c r="N259" t="inlineStr"/>
      <c r="O259" t="n">
        <v>0</v>
      </c>
      <c r="P259">
        <f>IF(B275=0,0,O259/B275)</f>
        <v/>
      </c>
      <c r="S259" t="n">
        <v>0</v>
      </c>
      <c r="V259">
        <f>IFERROR(1/IF(Inputs!$B$4="pvp",15,MAX(0.1,Skills!D22-IF(Skills!E22=TRUE,Inputs!$B$31,0))),0)</f>
        <v/>
      </c>
    </row>
    <row r="260">
      <c r="A260">
        <f>Skills!A23</f>
        <v/>
      </c>
      <c r="B260">
        <f>Skills!B23</f>
        <v/>
      </c>
      <c r="C260">
        <f>Inputs!$B$3&gt;=74</f>
        <v/>
      </c>
      <c r="D260">
        <f>IF(Skills!C23=1,60+Inputs!$B$24+Inputs!$B$28,IF(Skills!C23=2,90+Inputs!$B$25+Inputs!$B$28,IF(Skills!C23=3,120+Inputs!$B$26+Inputs!$B$28,MAX(0,(Inputs!$B$3-100)*3)+Inputs!$B$27+Inputs!$B$28)))</f>
        <v/>
      </c>
      <c r="E260">
        <f>INDEX(FactorTable!$B$2:$Y$301, MATCH(ROUND(MIN(300,MAX(1,D260)),0), FactorTable!$A$2:$A$301,0), Skills!L23+1)</f>
        <v/>
      </c>
      <c r="F260">
        <f>IF(Skills!M23=TRUE,(Skills!K23/10)*(E260/1000),Skills!K23/10)+Skills!N23</f>
        <v/>
      </c>
      <c r="G260">
        <f>Calc!G23</f>
        <v/>
      </c>
      <c r="H260">
        <f>Calc!H23</f>
        <v/>
      </c>
      <c r="I260">
        <f>IF(Skills!T23&lt;&gt;"",1+(Skills!T23/10)*($Z$3/1000)/100,1)</f>
        <v/>
      </c>
      <c r="J260" t="inlineStr"/>
      <c r="K260" t="inlineStr"/>
      <c r="L260" t="inlineStr"/>
      <c r="M260" t="inlineStr"/>
      <c r="N260" t="inlineStr"/>
      <c r="O260" t="n">
        <v>0</v>
      </c>
      <c r="P260">
        <f>IF(B275=0,0,O260/B275)</f>
        <v/>
      </c>
      <c r="S260" t="n">
        <v>0</v>
      </c>
      <c r="V260">
        <f>IFERROR(1/IF(Inputs!$B$4="pvp",15,MAX(0.1,Skills!D23-IF(Skills!E23=TRUE,Inputs!$B$31,0))),0)</f>
        <v/>
      </c>
    </row>
    <row r="261">
      <c r="A261">
        <f>Skills!A24</f>
        <v/>
      </c>
      <c r="B261">
        <f>Skills!B24</f>
        <v/>
      </c>
      <c r="C261">
        <f>Inputs!$B$3&gt;=74</f>
        <v/>
      </c>
      <c r="D261">
        <f>IF(Skills!C24=1,60+Inputs!$B$24+Inputs!$B$28,IF(Skills!C24=2,90+Inputs!$B$25+Inputs!$B$28,IF(Skills!C24=3,120+Inputs!$B$26+Inputs!$B$28,MAX(0,(Inputs!$B$3-100)*3)+Inputs!$B$27+Inputs!$B$28)))</f>
        <v/>
      </c>
      <c r="E261">
        <f>INDEX(FactorTable!$B$2:$Y$301, MATCH(ROUND(MIN(300,MAX(1,D261)),0), FactorTable!$A$2:$A$301,0), Skills!L24+1)</f>
        <v/>
      </c>
      <c r="F261">
        <f>IF(Skills!M24=TRUE,(Skills!K24/10)*(E261/1000),Skills!K24/10)+Skills!N24</f>
        <v/>
      </c>
      <c r="G261">
        <f>Calc!G24</f>
        <v/>
      </c>
      <c r="H261">
        <f>Calc!H24</f>
        <v/>
      </c>
      <c r="I261">
        <f>IF(Skills!T24&lt;&gt;"",1+(Skills!T24/10)*($Z$3/1000)/100,1)</f>
        <v/>
      </c>
      <c r="J261" t="inlineStr"/>
      <c r="K261" t="inlineStr"/>
      <c r="L261" t="inlineStr"/>
      <c r="M261" t="inlineStr"/>
      <c r="N261" t="inlineStr"/>
      <c r="O261" t="n">
        <v>0</v>
      </c>
      <c r="P261">
        <f>IF(B275=0,0,O261/B275)</f>
        <v/>
      </c>
      <c r="S261" t="n">
        <v>0</v>
      </c>
      <c r="V261">
        <f>IFERROR(1/IF(Inputs!$B$4="pvp",15,MAX(0.1,Skills!D24-IF(Skills!E24=TRUE,Inputs!$B$31,0))),0)</f>
        <v/>
      </c>
    </row>
    <row r="262">
      <c r="A262">
        <f>Skills!A25</f>
        <v/>
      </c>
      <c r="B262">
        <f>Skills!B25</f>
        <v/>
      </c>
      <c r="C262">
        <f>Inputs!$B$3&gt;=117</f>
        <v/>
      </c>
      <c r="D262">
        <f>IF(Skills!C25=1,60+Inputs!$B$24+Inputs!$B$28,IF(Skills!C25=2,90+Inputs!$B$25+Inputs!$B$28,IF(Skills!C25=3,120+Inputs!$B$26+Inputs!$B$28,MAX(0,(Inputs!$B$3-100)*3)+Inputs!$B$27+Inputs!$B$28)))</f>
        <v/>
      </c>
      <c r="E262">
        <f>INDEX(FactorTable!$B$2:$Y$301, MATCH(ROUND(MIN(300,MAX(1,D262)),0), FactorTable!$A$2:$A$301,0), Skills!L25+1)</f>
        <v/>
      </c>
      <c r="F262">
        <f>IF(Skills!M25=TRUE,(Skills!K25/10)*(E262/1000),Skills!K25/10)+Skills!N25</f>
        <v/>
      </c>
      <c r="G262">
        <f>Calc!G25</f>
        <v/>
      </c>
      <c r="H262">
        <f>Calc!H25</f>
        <v/>
      </c>
      <c r="I262">
        <f>IF(Skills!T25&lt;&gt;"",1+(Skills!T25/10)*($Z$3/1000)/100,1)</f>
        <v/>
      </c>
      <c r="J262" t="inlineStr"/>
      <c r="K262" t="inlineStr"/>
      <c r="L262" t="inlineStr"/>
      <c r="M262" t="inlineStr"/>
      <c r="N262" t="inlineStr"/>
      <c r="O262" t="n">
        <v>0</v>
      </c>
      <c r="P262">
        <f>IF(B275=0,0,O262/B275)</f>
        <v/>
      </c>
      <c r="S262" t="n">
        <v>0</v>
      </c>
      <c r="V262">
        <f>IFERROR(1/IF(Inputs!$B$4="pvp",15,MAX(0.1,Skills!D25-IF(Skills!E25=TRUE,Inputs!$B$31,0))),0)</f>
        <v/>
      </c>
    </row>
    <row r="263">
      <c r="A263">
        <f>Skills!A26</f>
        <v/>
      </c>
      <c r="B263">
        <f>Skills!B26</f>
        <v/>
      </c>
      <c r="C263">
        <f>Inputs!$B$3&gt;=120</f>
        <v/>
      </c>
      <c r="D263">
        <f>IF(Skills!C26=1,60+Inputs!$B$24+Inputs!$B$28,IF(Skills!C26=2,90+Inputs!$B$25+Inputs!$B$28,IF(Skills!C26=3,120+Inputs!$B$26+Inputs!$B$28,MAX(0,(Inputs!$B$3-100)*3)+Inputs!$B$27+Inputs!$B$28)))</f>
        <v/>
      </c>
      <c r="E263">
        <f>INDEX(FactorTable!$B$2:$Y$301, MATCH(ROUND(MIN(300,MAX(1,D263)),0), FactorTable!$A$2:$A$301,0), Skills!L26+1)</f>
        <v/>
      </c>
      <c r="F263">
        <f>IF(Skills!M26=TRUE,(Skills!K26/10)*(E263/1000),Skills!K26/10)+Skills!N26</f>
        <v/>
      </c>
      <c r="G263">
        <f>Calc!G26</f>
        <v/>
      </c>
      <c r="H263">
        <f>Calc!H26</f>
        <v/>
      </c>
      <c r="I263">
        <f>IF(Skills!T26&lt;&gt;"",1+(Skills!T26/10)*($Z$3/1000)/100,1)</f>
        <v/>
      </c>
      <c r="J263" t="inlineStr"/>
      <c r="K263" t="inlineStr"/>
      <c r="L263" t="inlineStr"/>
      <c r="M263" t="inlineStr"/>
      <c r="N263" t="inlineStr"/>
      <c r="O263" t="n">
        <v>0</v>
      </c>
      <c r="P263">
        <f>IF(B275=0,0,O263/B275)</f>
        <v/>
      </c>
      <c r="S263" t="n">
        <v>0</v>
      </c>
      <c r="V263">
        <f>IFERROR(1/IF(Inputs!$B$4="pvp",15,MAX(0.1,Skills!D26-IF(Skills!E26=TRUE,Inputs!$B$31,0))),0)</f>
        <v/>
      </c>
    </row>
    <row r="265">
      <c r="A265" t="inlineStr">
        <is>
          <t>Average Buff Multiplier</t>
        </is>
      </c>
      <c r="B265">
        <f>(1+(IF(C240=TRUE,F240*IF(AND(Inputs!$B$4&lt;&gt;"pvp",Inputs!$B$35&gt;0),(((S240-1)*(Skills!S3*(1+(Inputs!$B$33+IF(Inputs!$B$3&gt;=117,F262,0))/100))+MIN((Skills!S3*(1+(Inputs!$B$33+IF(Inputs!$B$3&gt;=117,F262,0))/100)),MAX(0,Inputs!$B$35-((S240-1)*Skills!D3))))/Inputs!$B$35),IF(Inputs!$B$4="pvp",MIN((Skills!S3*(1+(Inputs!$B$33+IF(Inputs!$B$3&gt;=117,F262,0))/100)),15)/15,(Skills!S3*(1+(Inputs!$B$33+IF(Inputs!$B$3&gt;=117,F262,0))/100))/Skills!D3)),0)+IF(C241=TRUE,F241*IF(AND(Inputs!$B$4&lt;&gt;"pvp",Inputs!$B$35&gt;0),(((S241-1)*(Skills!S4*(1+(Inputs!$B$33+IF(Inputs!$B$3&gt;=117,F262,0))/100))+MIN((Skills!S4*(1+(Inputs!$B$33+IF(Inputs!$B$3&gt;=117,F262,0))/100)),MAX(0,Inputs!$B$35-((S241-1)*Skills!D4))))/Inputs!$B$35),IF(Inputs!$B$4="pvp",MIN((Skills!S4*(1+(Inputs!$B$33+IF(Inputs!$B$3&gt;=117,F262,0))/100)),15)/15,(Skills!S4*(1+(Inputs!$B$33+IF(Inputs!$B$3&gt;=117,F262,0))/100))/Skills!D4)),0)+IF(C242=TRUE,F242*IF(AND(Inputs!$B$4&lt;&gt;"pvp",Inputs!$B$35&gt;0),(((S242-1)*(Skills!S5*(1+(Inputs!$B$33+IF(Inputs!$B$3&gt;=117,F262,0))/100))+MIN((Skills!S5*(1+(Inputs!$B$33+IF(Inputs!$B$3&gt;=117,F262,0))/100)),MAX(0,Inputs!$B$35-((S242-1)*Skills!D5))))/Inputs!$B$35),IF(Inputs!$B$4="pvp",MIN((Skills!S5*(1+(Inputs!$B$33+IF(Inputs!$B$3&gt;=117,F262,0))/100)),15)/15,(Skills!S5*(1+(Inputs!$B$33+IF(Inputs!$B$3&gt;=117,F262,0))/100))/Skills!D5)),0)+IF(C248=TRUE,F248*IF(AND(Inputs!$B$4&lt;&gt;"pvp",Inputs!$B$35&gt;0),(((S248-1)*(Skills!S11*(1+(Inputs!$B$33+IF(Inputs!$B$3&gt;=117,F262,0))/100))+MIN((Skills!S11*(1+(Inputs!$B$33+IF(Inputs!$B$3&gt;=117,F262,0))/100)),MAX(0,Inputs!$B$35-((S248-1)*Skills!D11))))/Inputs!$B$35),IF(Inputs!$B$4="pvp",MIN((Skills!S11*(1+(Inputs!$B$33+IF(Inputs!$B$3&gt;=117,F262,0))/100)),15)/15,(Skills!S11*(1+(Inputs!$B$33+IF(Inputs!$B$3&gt;=117,F262,0))/100))/Skills!D11)),0))/100)*IF(C250=TRUE,(1+F250*IF(AND(Inputs!$B$4&lt;&gt;"pvp",Inputs!$B$35&gt;0),(((S250-1)*(Skills!S13*(1+(Inputs!$B$33+IF(Inputs!$B$3&gt;=117,F262,0))/100))+MIN((Skills!S13*(1+(Inputs!$B$33+IF(Inputs!$B$3&gt;=117,F262,0))/100)),MAX(0,Inputs!$B$35-((S250-1)*Skills!D13))))/Inputs!$B$35),IF(Inputs!$B$4="pvp",MIN((Skills!S13*(1+(Inputs!$B$33+IF(Inputs!$B$3&gt;=117,F262,0))/100)),15)/15,(Skills!S13*(1+(Inputs!$B$33+IF(Inputs!$B$3&gt;=117,F262,0))/100))/Skills!D13))/100),1)*IF(C255=TRUE,(1+F255*IF(AND(Inputs!$B$4&lt;&gt;"pvp",Inputs!$B$35&gt;0),(((S255-1)*(Skills!S18*(1+(Inputs!$B$33+IF(Inputs!$B$3&gt;=117,F262,0))/100))+MIN((Skills!S18*(1+(Inputs!$B$33+IF(Inputs!$B$3&gt;=117,F262,0))/100)),MAX(0,Inputs!$B$35-((S255-1)*Skills!D18))))/Inputs!$B$35),IF(Inputs!$B$4="pvp",MIN((Skills!S18*(1+(Inputs!$B$33+IF(Inputs!$B$3&gt;=117,F262,0))/100)),15)/15,(Skills!S18*(1+(Inputs!$B$33+IF(Inputs!$B$3&gt;=117,F262,0))/100))/Skills!D18))/100),1)</f>
        <v/>
      </c>
    </row>
    <row r="266">
      <c r="A266" t="inlineStr">
        <is>
          <t>Monster Damage Taken Bonus % (Holy Fountain)</t>
        </is>
      </c>
      <c r="B266">
        <f>IF(Inputs!$B$3&gt;=68,20*IF(Inputs!$B$4="pvp",MIN((15*(1+(Inputs!$B$33+IF(Inputs!$B$3&gt;=117,F262,0))/100)),15)/15,(15*(1+(Inputs!$B$33+IF(Inputs!$B$3&gt;=117,F262,0))/100))/Skills!D10),0)</f>
        <v/>
      </c>
    </row>
    <row r="267">
      <c r="A267" t="inlineStr">
        <is>
          <t>Normal Monster Damage Bonus % (Holy Symbol)</t>
        </is>
      </c>
      <c r="B267">
        <f>IF(C249=TRUE,F249*IF(AND(Inputs!$B$4&lt;&gt;"pvp",Inputs!$B$35&gt;0),(((S249-1)*(Skills!S12*(1+(Inputs!$B$33+IF(Inputs!$B$3&gt;=117,F262,0))/100))+MIN((Skills!S12*(1+(Inputs!$B$33+IF(Inputs!$B$3&gt;=117,F262,0))/100)),MAX(0,Inputs!$B$35-((S249-1)*Skills!D12))))/Inputs!$B$35),IF(Inputs!$B$4="pvp",MIN((Skills!S12*(1+(Inputs!$B$33+IF(Inputs!$B$3&gt;=117,F262,0))/100)),15)/15,(Skills!S12*(1+(Inputs!$B$33+IF(Inputs!$B$3&gt;=117,F262,0))/100))/Skills!D12)),0)</f>
        <v/>
      </c>
    </row>
    <row r="268">
      <c r="A268" t="inlineStr">
        <is>
          <t>Damage % Bonus (Holy Symbol - Damage Boost)</t>
        </is>
      </c>
      <c r="B268">
        <f>Skills!O12</f>
        <v/>
      </c>
    </row>
    <row r="269">
      <c r="A269" t="inlineStr">
        <is>
          <t>Crit Damage % Bonus (Blood of the Divine)</t>
        </is>
      </c>
      <c r="B269">
        <f>4*IF(C256=TRUE,F256,0)</f>
        <v/>
      </c>
    </row>
    <row r="270">
      <c r="A270" t="inlineStr">
        <is>
          <t>Attack Speed Bonus %</t>
        </is>
      </c>
      <c r="B270">
        <f>IF(C253=TRUE,F253+(F257-Calc!F20),0)+IF(Inputs!$B$3&gt;=134,15,0)</f>
        <v/>
      </c>
    </row>
    <row r="271">
      <c r="A271" t="inlineStr">
        <is>
          <t>Actions Per Second</t>
        </is>
      </c>
      <c r="B271">
        <f>1+MIN(150,150*(1-(1-Inputs!$B$10/150)*(1-B270/150)))/100</f>
        <v/>
      </c>
    </row>
    <row r="272">
      <c r="A272" t="inlineStr">
        <is>
          <t>Skill + Buff Cast Rate</t>
        </is>
      </c>
      <c r="B272">
        <f>IF(AND(Inputs!$B$4&lt;&gt;"pvp",Inputs!$B$35&gt;0),SUMPRODUCT((Skills!E2:E26=TRUE)*(C239:C263=TRUE)*S239:S263)/Inputs!$B$35,SUMPRODUCT((Skills!E2:E26=TRUE)*(C239:C263=TRUE)*V239:V263))</f>
        <v/>
      </c>
    </row>
    <row r="273">
      <c r="A273" t="inlineStr">
        <is>
          <t>Big Bang Casts Per Second</t>
        </is>
      </c>
      <c r="B273">
        <f>MAX(0,B271-B272)</f>
        <v/>
      </c>
    </row>
    <row r="275">
      <c r="A275" s="5" t="inlineStr">
        <is>
          <t>TOTAL DPS</t>
        </is>
      </c>
      <c r="B275" s="5">
        <f>SUM(O239:O263)</f>
        <v/>
      </c>
    </row>
    <row r="278">
      <c r="A278" s="5" t="inlineStr">
        <is>
          <t>Stat: FINAL_DAMAGE % (multiplicative source)</t>
        </is>
      </c>
    </row>
    <row r="279">
      <c r="A279" s="8" t="inlineStr">
        <is>
          <t>Key</t>
        </is>
      </c>
      <c r="B279" s="8" t="inlineStr">
        <is>
          <t>Name</t>
        </is>
      </c>
      <c r="C279" s="8" t="inlineStr">
        <is>
          <t>Unlocked</t>
        </is>
      </c>
      <c r="D279" s="8" t="inlineStr">
        <is>
          <t>InputLevel</t>
        </is>
      </c>
      <c r="E279" s="8" t="inlineStr">
        <is>
          <t>Factor</t>
        </is>
      </c>
      <c r="F279" s="8" t="inlineStr">
        <is>
          <t>CoefficientPercent</t>
        </is>
      </c>
      <c r="G279" s="8" t="inlineStr">
        <is>
          <t>EffectiveHits</t>
        </is>
      </c>
      <c r="H279" s="8" t="inlineStr">
        <is>
          <t>ProcProbability</t>
        </is>
      </c>
      <c r="I279" s="8" t="inlineStr">
        <is>
          <t>MapleHeroMultiplier</t>
        </is>
      </c>
      <c r="J279" s="8" t="inlineStr">
        <is>
          <t>BaseDamage</t>
        </is>
      </c>
      <c r="K279" s="8" t="inlineStr">
        <is>
          <t>BaseHitDamage</t>
        </is>
      </c>
      <c r="L279" s="8" t="inlineStr">
        <is>
          <t>NonCritAvg</t>
        </is>
      </c>
      <c r="M279" s="8" t="inlineStr">
        <is>
          <t>CritAvg</t>
        </is>
      </c>
      <c r="N279" s="8" t="inlineStr">
        <is>
          <t>ExpectedDamage(perHit)</t>
        </is>
      </c>
      <c r="O279" s="8" t="inlineStr">
        <is>
          <t>DPS</t>
        </is>
      </c>
      <c r="P279" s="8" t="inlineStr">
        <is>
          <t>% of Total</t>
        </is>
      </c>
      <c r="R279" t="inlineStr">
        <is>
          <t>helpers</t>
        </is>
      </c>
    </row>
    <row r="280">
      <c r="A280">
        <f>Skills!A2</f>
        <v/>
      </c>
      <c r="B280">
        <f>Skills!B2</f>
        <v/>
      </c>
      <c r="C280">
        <f>Inputs!$B$3&gt;=100</f>
        <v/>
      </c>
      <c r="D280" t="inlineStr"/>
      <c r="E280" t="inlineStr"/>
      <c r="F280">
        <f>T282+Skills!N2</f>
        <v/>
      </c>
      <c r="G280">
        <f>Calc!G2</f>
        <v/>
      </c>
      <c r="H280">
        <f>Calc!H2</f>
        <v/>
      </c>
      <c r="I280">
        <f>IF(Skills!T2&lt;&gt;"",1+(Skills!T2/10)*($Z$3/1000)/100,1)</f>
        <v/>
      </c>
      <c r="J280">
        <f>((Inputs!$B$5*(1+Inputs!$B$6/100))+((Inputs!$B$11*(1+Inputs!$B$12/100))-(Inputs!$B$11*(1+Inputs!$B$12/100)))*(1+Inputs!$B$6/100))*(F280/100)</f>
        <v/>
      </c>
      <c r="K280">
        <f>J280*(1+((Inputs!$B$11*(1+Inputs!$B$12/100))*0.01+Inputs!$B$13*0.0025)/100)*(1+(Inputs!$B$14+B309)/100)*(1+IF(Inputs!$B$4="pvp",0,(1-Summary!$B$48)*(Inputs!$B$19+Skills!O2+B307)+Summary!$B$48*(Inputs!$B$20+Skills!P2+B308))/100)*(1+Inputs!$B$15/100)*(5000/(6000+Inputs!$B$7*(1-Inputs!$B$18/100)))*(1+((((1+Inputs!$B$23/100)*(1.01))-1)*100)/100)*(1+IF(C295=TRUE,F295,0)/100)*(1+IF(C297=TRUE,F297,0)/100)*(1+IF(Skills!A2="TRIUMPH_FEATHER",IF(C293=TRUE,F293,0),0)/100)*(1+IF(C304=TRUE,F304,0)/100)^5*(1+(IF(Skills!A2="BIG_BANG",Inputs!$B$16,Inputs!$B$17))/100)*(B306*I280)</f>
        <v/>
      </c>
      <c r="L280">
        <f>K280*(MIN(Inputs!$B$21+(F299-Calc!F21),Inputs!$B$22)/100+Inputs!$B$22/100)/2</f>
        <v/>
      </c>
      <c r="M280">
        <f>L280*(1+(Inputs!$B$9+B310+(F302-Calc!F24))/100)</f>
        <v/>
      </c>
      <c r="N280">
        <f>L280*(1-MIN(Inputs!$B$8+((F301-Calc!F23)+(F300-Calc!F22)),100)/100)+M280*(MIN(Inputs!$B$8+((F301-Calc!F23)+(F300-Calc!F22)),100)/100)</f>
        <v/>
      </c>
      <c r="O280">
        <f>IF(C280,Skills!F2*N280*B314*IF(Inputs!$B$4="pvp",1,(1-Summary!$B$48)*(1)+Summary!$B$48*(MIN((6+Inputs!$B$32),Inputs!$B$37))),0)</f>
        <v/>
      </c>
      <c r="P280">
        <f>IF(B316=0,0,O280/B316)</f>
        <v/>
      </c>
      <c r="S280" t="n">
        <v>0</v>
      </c>
      <c r="T280">
        <f>MAX(0,(Inputs!$B$3-100)*3)+Inputs!$B$27+Inputs!$B$28</f>
        <v/>
      </c>
      <c r="V280">
        <f>IFERROR(1/IF(Inputs!$B$4="pvp",15,MAX(0.1,Skills!D2-IF(Skills!E2=TRUE,Inputs!$B$31,0))),0)</f>
        <v/>
      </c>
    </row>
    <row r="281">
      <c r="A281">
        <f>Skills!A3</f>
        <v/>
      </c>
      <c r="B281">
        <f>Skills!B3</f>
        <v/>
      </c>
      <c r="C281">
        <f>Inputs!$B$3&gt;=15</f>
        <v/>
      </c>
      <c r="D281">
        <f>IF(Skills!C3=1,60+Inputs!$B$24+Inputs!$B$28,IF(Skills!C3=2,90+Inputs!$B$25+Inputs!$B$28,IF(Skills!C3=3,120+Inputs!$B$26+Inputs!$B$28,MAX(0,(Inputs!$B$3-100)*3)+Inputs!$B$27+Inputs!$B$28)))</f>
        <v/>
      </c>
      <c r="E281">
        <f>INDEX(FactorTable!$B$2:$Y$301, MATCH(ROUND(MIN(300,MAX(1,D281)),0), FactorTable!$A$2:$A$301,0), Skills!L3+1)</f>
        <v/>
      </c>
      <c r="F281">
        <f>IF(Skills!M3=TRUE,(Skills!K3/10)*(E281/1000),Skills!K3/10)+Skills!N3</f>
        <v/>
      </c>
      <c r="G281">
        <f>Calc!G3</f>
        <v/>
      </c>
      <c r="H281">
        <f>Calc!H3</f>
        <v/>
      </c>
      <c r="I281">
        <f>IF(Skills!T3&lt;&gt;"",1+(Skills!T3/10)*($Z$3/1000)/100,1)</f>
        <v/>
      </c>
      <c r="J281" t="inlineStr"/>
      <c r="K281" t="inlineStr"/>
      <c r="L281" t="inlineStr"/>
      <c r="M281" t="inlineStr"/>
      <c r="N281" t="inlineStr"/>
      <c r="O281" t="n">
        <v>0</v>
      </c>
      <c r="P281">
        <f>IF(B316=0,0,O281/B316)</f>
        <v/>
      </c>
      <c r="S281">
        <f>IF(AND(Inputs!$B$4&lt;&gt;"pvp",Inputs!$B$35&gt;0),(INT(Inputs!$B$35/IF(Inputs!$B$4="pvp",15,MAX(0.1,Skills!D3-IF(Skills!E3=TRUE,Inputs!$B$31,0))))+1),0)</f>
        <v/>
      </c>
      <c r="T281">
        <f>INDEX(FactorTable!$B$2:$Y$301, MATCH(ROUND(MIN(300,MAX(1,T280)),0), FactorTable!$A$2:$A$301,0), 22)</f>
        <v/>
      </c>
      <c r="V281">
        <f>IFERROR(1/IF(Inputs!$B$4="pvp",15,MAX(0.1,Skills!D3-IF(Skills!E3=TRUE,Inputs!$B$31,0))),0)</f>
        <v/>
      </c>
    </row>
    <row r="282">
      <c r="A282">
        <f>Skills!A4</f>
        <v/>
      </c>
      <c r="B282">
        <f>Skills!B4</f>
        <v/>
      </c>
      <c r="C282">
        <f>Inputs!$B$3&gt;=38</f>
        <v/>
      </c>
      <c r="D282">
        <f>IF(Skills!C4=1,60+Inputs!$B$24+Inputs!$B$28,IF(Skills!C4=2,90+Inputs!$B$25+Inputs!$B$28,IF(Skills!C4=3,120+Inputs!$B$26+Inputs!$B$28,MAX(0,(Inputs!$B$3-100)*3)+Inputs!$B$27+Inputs!$B$28)))</f>
        <v/>
      </c>
      <c r="E282">
        <f>INDEX(FactorTable!$B$2:$Y$301, MATCH(ROUND(MIN(300,MAX(1,D282)),0), FactorTable!$A$2:$A$301,0), Skills!L4+1)</f>
        <v/>
      </c>
      <c r="F282">
        <f>IF(Skills!M4=TRUE,(Skills!K4/10)*(E282/1000),Skills!K4/10)+Skills!N4</f>
        <v/>
      </c>
      <c r="G282">
        <f>Calc!G4</f>
        <v/>
      </c>
      <c r="H282">
        <f>Calc!H4</f>
        <v/>
      </c>
      <c r="I282">
        <f>IF(Skills!T4&lt;&gt;"",1+(Skills!T4/10)*($Z$3/1000)/100,1)</f>
        <v/>
      </c>
      <c r="J282" t="inlineStr"/>
      <c r="K282" t="inlineStr"/>
      <c r="L282" t="inlineStr"/>
      <c r="M282" t="inlineStr"/>
      <c r="N282" t="inlineStr"/>
      <c r="O282" t="n">
        <v>0</v>
      </c>
      <c r="P282">
        <f>IF(B316=0,0,O282/B316)</f>
        <v/>
      </c>
      <c r="S282">
        <f>IF(AND(Inputs!$B$4&lt;&gt;"pvp",Inputs!$B$35&gt;0),(INT(Inputs!$B$35/IF(Inputs!$B$4="pvp",15,MAX(0.1,Skills!D4-IF(Skills!E4=TRUE,Inputs!$B$31,0))))+1),0)</f>
        <v/>
      </c>
      <c r="T282">
        <f>290*T281/1000</f>
        <v/>
      </c>
      <c r="V282">
        <f>IFERROR(1/IF(Inputs!$B$4="pvp",15,MAX(0.1,Skills!D4-IF(Skills!E4=TRUE,Inputs!$B$31,0))),0)</f>
        <v/>
      </c>
    </row>
    <row r="283">
      <c r="A283">
        <f>Skills!A5</f>
        <v/>
      </c>
      <c r="B283">
        <f>Skills!B5</f>
        <v/>
      </c>
      <c r="C283">
        <f>Inputs!$B$3&gt;=40</f>
        <v/>
      </c>
      <c r="D283">
        <f>IF(Skills!C5=1,60+Inputs!$B$24+Inputs!$B$28,IF(Skills!C5=2,90+Inputs!$B$25+Inputs!$B$28,IF(Skills!C5=3,120+Inputs!$B$26+Inputs!$B$28,MAX(0,(Inputs!$B$3-100)*3)+Inputs!$B$27+Inputs!$B$28)))</f>
        <v/>
      </c>
      <c r="E283">
        <f>INDEX(FactorTable!$B$2:$Y$301, MATCH(ROUND(MIN(300,MAX(1,D283)),0), FactorTable!$A$2:$A$301,0), Skills!L5+1)</f>
        <v/>
      </c>
      <c r="F283">
        <f>IF(Skills!M5=TRUE,(Skills!K5/10)*(E283/1000),Skills!K5/10)+Skills!N5</f>
        <v/>
      </c>
      <c r="G283">
        <f>Calc!G5</f>
        <v/>
      </c>
      <c r="H283">
        <f>Calc!H5</f>
        <v/>
      </c>
      <c r="I283">
        <f>IF(Skills!T5&lt;&gt;"",1+(Skills!T5/10)*($Z$3/1000)/100,1)</f>
        <v/>
      </c>
      <c r="J283" t="inlineStr"/>
      <c r="K283" t="inlineStr"/>
      <c r="L283" t="inlineStr"/>
      <c r="M283" t="inlineStr"/>
      <c r="N283" t="inlineStr"/>
      <c r="O283" t="n">
        <v>0</v>
      </c>
      <c r="P283">
        <f>IF(B316=0,0,O283/B316)</f>
        <v/>
      </c>
      <c r="S283">
        <f>IF(AND(Inputs!$B$4&lt;&gt;"pvp",Inputs!$B$35&gt;0),(INT(Inputs!$B$35/IF(Inputs!$B$4="pvp",15,MAX(0.1,Skills!D5-IF(Skills!E5=TRUE,Inputs!$B$31,0))))+1),0)</f>
        <v/>
      </c>
      <c r="V283">
        <f>IFERROR(1/IF(Inputs!$B$4="pvp",15,MAX(0.1,Skills!D5-IF(Skills!E5=TRUE,Inputs!$B$31,0))),0)</f>
        <v/>
      </c>
    </row>
    <row r="284">
      <c r="A284">
        <f>Skills!A6</f>
        <v/>
      </c>
      <c r="B284">
        <f>Skills!B6</f>
        <v/>
      </c>
      <c r="C284">
        <f>Inputs!$B$3&gt;=103</f>
        <v/>
      </c>
      <c r="D284">
        <f>IF(Skills!C6=1,60+Inputs!$B$24+Inputs!$B$28,IF(Skills!C6=2,90+Inputs!$B$25+Inputs!$B$28,IF(Skills!C6=3,120+Inputs!$B$26+Inputs!$B$28,MAX(0,(Inputs!$B$3-100)*3)+Inputs!$B$27+Inputs!$B$28)))</f>
        <v/>
      </c>
      <c r="E284">
        <f>INDEX(FactorTable!$B$2:$Y$301, MATCH(ROUND(MIN(300,MAX(1,D284)),0), FactorTable!$A$2:$A$301,0), Skills!L6+1)</f>
        <v/>
      </c>
      <c r="F284">
        <f>IF(Skills!M6=TRUE,(Skills!K6/10)*(E284/1000),Skills!K6/10)+Skills!N6</f>
        <v/>
      </c>
      <c r="G284">
        <f>Calc!G6</f>
        <v/>
      </c>
      <c r="H284">
        <f>Calc!H6</f>
        <v/>
      </c>
      <c r="I284">
        <f>IF(Skills!T6&lt;&gt;"",1+(Skills!T6/10)*($Z$3/1000)/100,1)</f>
        <v/>
      </c>
      <c r="J284">
        <f>((Inputs!$B$5*(1+Inputs!$B$6/100))+((Inputs!$B$11*(1+Inputs!$B$12/100))-(Inputs!$B$11*(1+Inputs!$B$12/100)))*(1+Inputs!$B$6/100))*(F284/100)</f>
        <v/>
      </c>
      <c r="K284">
        <f>J284*(1+((Inputs!$B$11*(1+Inputs!$B$12/100))*0.01+Inputs!$B$13*0.0025)/100)*(1+(Inputs!$B$14+B309)/100)*(1+IF(Inputs!$B$4="pvp",0,(1-Summary!$B$48)*(Inputs!$B$19+Skills!O6+B307)+Summary!$B$48*(Inputs!$B$20+Skills!P6+B308))/100)*(1+Inputs!$B$15/100)*(5000/(6000+Inputs!$B$7*(1-Inputs!$B$18/100)))*(1+((((1+Inputs!$B$23/100)*(1.01))-1)*100)/100)*(1+IF(C295=TRUE,F295,0)/100)*(1+IF(C297=TRUE,F297,0)/100)*(1+IF(Skills!A6="TRIUMPH_FEATHER",IF(C293=TRUE,F293,0),0)/100)*(1+IF(C304=TRUE,F304,0)/100)^5*(1+(IF(Skills!A6="BIG_BANG",Inputs!$B$16,Inputs!$B$17))/100)*(B306*I284)</f>
        <v/>
      </c>
      <c r="L284">
        <f>K284*(MIN(Inputs!$B$21+(F299-Calc!F21),Inputs!$B$22)/100+Inputs!$B$22/100)/2</f>
        <v/>
      </c>
      <c r="M284">
        <f>L284*(1+(Inputs!$B$9+B310+(F302-Calc!F24))/100)</f>
        <v/>
      </c>
      <c r="N284">
        <f>L284*(1-MIN(Inputs!$B$8+((F301-Calc!F23)+(F300-Calc!F22)),100)/100)+M284*(MIN(Inputs!$B$8+((F301-Calc!F23)+(F300-Calc!F22)),100)/100)</f>
        <v/>
      </c>
      <c r="O284">
        <f>IF(C284,H284*N284*IF(AND(Inputs!$B$4&lt;&gt;"pvp",Inputs!$B$35&gt;0),((Skills!F6*((S284-1)*IF(Skills!G6&gt;0,Skills!H6/Skills!G6,1)+IF(Skills!G6&gt;0,MIN(Skills!H6,MAX(0,Inputs!$B$35-((S284-1)*IF(Inputs!$B$4="pvp",15,MAX(0.1,Skills!D6-IF(Skills!E6=TRUE,Inputs!$B$31,0))))))/Skills!G6,1)))/Inputs!$B$35),G284*V284)*IF(Inputs!$B$4="pvp",1,(1-Summary!$B$48)*(1)+Summary!$B$48*(MIN(Skills!Q6,Inputs!$B$37))),0)</f>
        <v/>
      </c>
      <c r="P284">
        <f>IF(B316=0,0,O284/B316)</f>
        <v/>
      </c>
      <c r="S284">
        <f>IF(AND(Inputs!$B$4&lt;&gt;"pvp",Inputs!$B$35&gt;0),(INT(Inputs!$B$35/IF(Inputs!$B$4="pvp",15,MAX(0.1,Skills!D6-IF(Skills!E6=TRUE,Inputs!$B$31,0))))+1),0)</f>
        <v/>
      </c>
      <c r="V284">
        <f>IFERROR(1/IF(Inputs!$B$4="pvp",15,MAX(0.1,Skills!D6-IF(Skills!E6=TRUE,Inputs!$B$31,0))),0)</f>
        <v/>
      </c>
    </row>
    <row r="285">
      <c r="A285">
        <f>Skills!A7</f>
        <v/>
      </c>
      <c r="B285">
        <f>Skills!B7</f>
        <v/>
      </c>
      <c r="C285">
        <f>Inputs!$B$3&gt;=122</f>
        <v/>
      </c>
      <c r="D285">
        <f>IF(Skills!C7=1,60+Inputs!$B$24+Inputs!$B$28,IF(Skills!C7=2,90+Inputs!$B$25+Inputs!$B$28,IF(Skills!C7=3,120+Inputs!$B$26+Inputs!$B$28,MAX(0,(Inputs!$B$3-100)*3)+Inputs!$B$27+Inputs!$B$28)))</f>
        <v/>
      </c>
      <c r="E285">
        <f>INDEX(FactorTable!$B$2:$Y$301, MATCH(ROUND(MIN(300,MAX(1,D285)),0), FactorTable!$A$2:$A$301,0), Skills!L7+1)</f>
        <v/>
      </c>
      <c r="F285">
        <f>IF(Skills!M7=TRUE,(Skills!K7/10)*(E285/1000),Skills!K7/10)+Skills!N7</f>
        <v/>
      </c>
      <c r="G285">
        <f>Calc!G7</f>
        <v/>
      </c>
      <c r="H285">
        <f>Calc!H7</f>
        <v/>
      </c>
      <c r="I285">
        <f>IF(Skills!T7&lt;&gt;"",1+(Skills!T7/10)*($Z$3/1000)/100,1)</f>
        <v/>
      </c>
      <c r="J285">
        <f>((Inputs!$B$5*(1+Inputs!$B$6/100))+((Inputs!$B$11*(1+Inputs!$B$12/100))-(Inputs!$B$11*(1+Inputs!$B$12/100)))*(1+Inputs!$B$6/100))*(F285/100)</f>
        <v/>
      </c>
      <c r="K285">
        <f>J285*(1+((Inputs!$B$11*(1+Inputs!$B$12/100))*0.01+Inputs!$B$13*0.0025)/100)*(1+(Inputs!$B$14+B309)/100)*(1+IF(Inputs!$B$4="pvp",0,(1-Summary!$B$48)*(Inputs!$B$19+Skills!O7+B307)+Summary!$B$48*(Inputs!$B$20+Skills!P7+B308))/100)*(1+Inputs!$B$15/100)*(5000/(6000+Inputs!$B$7*(1-Inputs!$B$18/100)))*(1+((((1+Inputs!$B$23/100)*(1.01))-1)*100)/100)*(1+IF(C295=TRUE,F295,0)/100)*(1+IF(C297=TRUE,F297,0)/100)*(1+IF(Skills!A7="TRIUMPH_FEATHER",IF(C293=TRUE,F293,0),0)/100)*(1+IF(C304=TRUE,F304,0)/100)^5*(1+(IF(Skills!A7="BIG_BANG",Inputs!$B$16,Inputs!$B$17))/100)*(B306*I285)</f>
        <v/>
      </c>
      <c r="L285">
        <f>K285*(MIN(Inputs!$B$21+(F299-Calc!F21),Inputs!$B$22)/100+Inputs!$B$22/100)/2</f>
        <v/>
      </c>
      <c r="M285">
        <f>L285*(1+(Inputs!$B$9+B310+(F302-Calc!F24))/100)</f>
        <v/>
      </c>
      <c r="N285">
        <f>L285*(1-MIN(Inputs!$B$8+((F301-Calc!F23)+(F300-Calc!F22)),100)/100)+M285*(MIN(Inputs!$B$8+((F301-Calc!F23)+(F300-Calc!F22)),100)/100)</f>
        <v/>
      </c>
      <c r="O285">
        <f>IF(C285,H285*N285*IF(AND(Inputs!$B$4&lt;&gt;"pvp",Inputs!$B$35&gt;0),((Skills!F7*((S285-1)*IF(Skills!G7&gt;0,Skills!H7/Skills!G7,1)+IF(Skills!G7&gt;0,MIN(Skills!H7,MAX(0,Inputs!$B$35-((S285-1)*IF(Inputs!$B$4="pvp",15,MAX(0.1,Skills!D7-IF(Skills!E6=TRUE,Inputs!$B$31,0))))))/Skills!G7,1)))/Inputs!$B$35),G285*V285)*(1-Summary!$B$48),0)</f>
        <v/>
      </c>
      <c r="P285">
        <f>IF(B316=0,0,O285/B316)</f>
        <v/>
      </c>
      <c r="S285">
        <f>IF(AND(Inputs!$B$4&lt;&gt;"pvp",Inputs!$B$35&gt;0),(INT(Inputs!$B$35/IF(Inputs!$B$4="pvp",15,MAX(0.1,Skills!D7-IF(Skills!E6=TRUE,Inputs!$B$31,0))))+1),0)</f>
        <v/>
      </c>
      <c r="V285">
        <f>IFERROR(1/IF(Inputs!$B$4="pvp",15,MAX(0.1,Skills!D7-IF(Skills!E6=TRUE,Inputs!$B$31,0))),0)</f>
        <v/>
      </c>
    </row>
    <row r="286">
      <c r="A286">
        <f>Skills!A8</f>
        <v/>
      </c>
      <c r="B286">
        <f>Skills!B8</f>
        <v/>
      </c>
      <c r="C286">
        <f>Inputs!$B$3&gt;=105</f>
        <v/>
      </c>
      <c r="D286">
        <f>IF(Skills!C8=1,60+Inputs!$B$24+Inputs!$B$28,IF(Skills!C8=2,90+Inputs!$B$25+Inputs!$B$28,IF(Skills!C8=3,120+Inputs!$B$26+Inputs!$B$28,MAX(0,(Inputs!$B$3-100)*3)+Inputs!$B$27+Inputs!$B$28)))</f>
        <v/>
      </c>
      <c r="E286">
        <f>INDEX(FactorTable!$B$2:$Y$301, MATCH(ROUND(MIN(300,MAX(1,D286)),0), FactorTable!$A$2:$A$301,0), Skills!L8+1)</f>
        <v/>
      </c>
      <c r="F286">
        <f>IF(Skills!M8=TRUE,(Skills!K8/10)*(E286/1000),Skills!K8/10)+Skills!N8</f>
        <v/>
      </c>
      <c r="G286">
        <f>Calc!G8</f>
        <v/>
      </c>
      <c r="H286">
        <f>Calc!H8</f>
        <v/>
      </c>
      <c r="I286">
        <f>IF(Skills!T8&lt;&gt;"",1+(Skills!T8/10)*($Z$3/1000)/100,1)</f>
        <v/>
      </c>
      <c r="J286">
        <f>((Inputs!$B$5*(1+Inputs!$B$6/100))+((Inputs!$B$11*(1+Inputs!$B$12/100))-(Inputs!$B$11*(1+Inputs!$B$12/100)))*(1+Inputs!$B$6/100))*(F286/100)</f>
        <v/>
      </c>
      <c r="K286">
        <f>J286*(1+((Inputs!$B$11*(1+Inputs!$B$12/100))*0.01+Inputs!$B$13*0.0025)/100)*(1+(Inputs!$B$14+B309)/100)*(1+IF(Inputs!$B$4="pvp",0,(1-Summary!$B$48)*(Inputs!$B$19+Skills!O8+B307)+Summary!$B$48*(Inputs!$B$20+Skills!P8+B308))/100)*(1+Inputs!$B$15/100)*(5000/(6000+Inputs!$B$7*(1-Inputs!$B$18/100)))*(1+((((1+Inputs!$B$23/100)*(1.01))-1)*100)/100)*(1+IF(C295=TRUE,F295,0)/100)*(1+IF(C297=TRUE,F297,0)/100)*(1+IF(Skills!A8="TRIUMPH_FEATHER",IF(C293=TRUE,F293,0),0)/100)*(1+IF(C304=TRUE,F304,0)/100)^5*(1+(IF(Skills!A8="BIG_BANG",Inputs!$B$16,Inputs!$B$17))/100)*(B306*I286)</f>
        <v/>
      </c>
      <c r="L286">
        <f>K286*(MIN(Inputs!$B$21+(F299-Calc!F21),Inputs!$B$22)/100+Inputs!$B$22/100)/2</f>
        <v/>
      </c>
      <c r="M286">
        <f>L286*(1+(Inputs!$B$9+B310+(F302-Calc!F24))/100)</f>
        <v/>
      </c>
      <c r="N286">
        <f>L286*(1-MIN(Inputs!$B$8+((F301-Calc!F23)+(F300-Calc!F22)),100)/100)+M286*(MIN(Inputs!$B$8+((F301-Calc!F23)+(F300-Calc!F22)),100)/100)</f>
        <v/>
      </c>
      <c r="O286">
        <f>IF(C286,H286*N286*IF(AND(Inputs!$B$4&lt;&gt;"pvp",Inputs!$B$35&gt;0),((Skills!F8*((S286-1)*IF(Skills!G8&gt;0,Skills!H8/Skills!G8,1)+IF(Skills!G8&gt;0,MIN(Skills!H8,MAX(0,Inputs!$B$35-((S286-1)*IF(Inputs!$B$4="pvp",15,MAX(0.1,Skills!D8-IF(Skills!E8=TRUE,Inputs!$B$31,0))))))/Skills!G8,1)))/Inputs!$B$35),G286*V286)*IF(Inputs!$B$4="pvp",1,(1-Summary!$B$48)*(1)+Summary!$B$48*(MIN(Skills!Q8,Inputs!$B$37))),0)</f>
        <v/>
      </c>
      <c r="P286">
        <f>IF(B316=0,0,O286/B316)</f>
        <v/>
      </c>
      <c r="S286">
        <f>IF(AND(Inputs!$B$4&lt;&gt;"pvp",Inputs!$B$35&gt;0),(INT(Inputs!$B$35/IF(Inputs!$B$4="pvp",15,MAX(0.1,Skills!D8-IF(Skills!E8=TRUE,Inputs!$B$31,0))))+1),0)</f>
        <v/>
      </c>
      <c r="V286">
        <f>IFERROR(1/IF(Inputs!$B$4="pvp",15,MAX(0.1,Skills!D8-IF(Skills!E8=TRUE,Inputs!$B$31,0))),0)</f>
        <v/>
      </c>
    </row>
    <row r="287">
      <c r="A287">
        <f>Skills!A9</f>
        <v/>
      </c>
      <c r="B287">
        <f>Skills!B9</f>
        <v/>
      </c>
      <c r="C287">
        <f>Inputs!$B$3&gt;=115</f>
        <v/>
      </c>
      <c r="D287">
        <f>IF(Skills!C9=1,60+Inputs!$B$24+Inputs!$B$28,IF(Skills!C9=2,90+Inputs!$B$25+Inputs!$B$28,IF(Skills!C9=3,120+Inputs!$B$26+Inputs!$B$28,MAX(0,(Inputs!$B$3-100)*3)+Inputs!$B$27+Inputs!$B$28)))</f>
        <v/>
      </c>
      <c r="E287">
        <f>INDEX(FactorTable!$B$2:$Y$301, MATCH(ROUND(MIN(300,MAX(1,D287)),0), FactorTable!$A$2:$A$301,0), Skills!L9+1)</f>
        <v/>
      </c>
      <c r="F287">
        <f>IF(Skills!M9=TRUE,(Skills!K9/10)*(E287/1000),Skills!K9/10)+Skills!N9</f>
        <v/>
      </c>
      <c r="G287">
        <f>Calc!G9</f>
        <v/>
      </c>
      <c r="H287">
        <f>Calc!H9</f>
        <v/>
      </c>
      <c r="I287">
        <f>IF(Skills!T9&lt;&gt;"",1+(Skills!T9/10)*($Z$3/1000)/100,1)</f>
        <v/>
      </c>
      <c r="J287">
        <f>((Inputs!$B$5*(1+Inputs!$B$6/100))+((Inputs!$B$11*(1+Inputs!$B$12/100))-(Inputs!$B$11*(1+Inputs!$B$12/100)))*(1+Inputs!$B$6/100))*(F287/100)</f>
        <v/>
      </c>
      <c r="K287">
        <f>J287*(1+((Inputs!$B$11*(1+Inputs!$B$12/100))*0.01+Inputs!$B$13*0.0025)/100)*(1+(Inputs!$B$14+B309)/100)*(1+IF(Inputs!$B$4="pvp",0,(1-Summary!$B$48)*(Inputs!$B$19+Skills!O9+B307)+Summary!$B$48*(Inputs!$B$20+Skills!P9+B308))/100)*(1+Inputs!$B$15/100)*(5000/(6000+Inputs!$B$7*(1-Inputs!$B$18/100)))*(1+((((1+Inputs!$B$23/100)*(1.01))-1)*100)/100)*(1+IF(C295=TRUE,F295,0)/100)*(1+IF(C297=TRUE,F297,0)/100)*(1+IF(Skills!A9="TRIUMPH_FEATHER",IF(C293=TRUE,F293,0),0)/100)*(1+IF(C304=TRUE,F304,0)/100)^5*(1+(IF(Skills!A9="BIG_BANG",Inputs!$B$16,Inputs!$B$17))/100)*(B306*I287)</f>
        <v/>
      </c>
      <c r="L287">
        <f>K287*(MIN(Inputs!$B$21+(F299-Calc!F21),Inputs!$B$22)/100+Inputs!$B$22/100)/2</f>
        <v/>
      </c>
      <c r="M287">
        <f>L287*(1+(Inputs!$B$9+B310+(F302-Calc!F24))/100)</f>
        <v/>
      </c>
      <c r="N287">
        <f>L287*(1-MIN(Inputs!$B$8+((F301-Calc!F23)+(F300-Calc!F22)),100)/100)+M287*(MIN(Inputs!$B$8+((F301-Calc!F23)+(F300-Calc!F22)),100)/100)</f>
        <v/>
      </c>
      <c r="O287">
        <f>IF(C287,H287*N287*IF(AND(Inputs!$B$4&lt;&gt;"pvp",Inputs!$B$35&gt;0),((Skills!F9*((S287-1)*IF(Skills!G9&gt;0,Skills!H9/Skills!G9,1)+IF(Skills!G9&gt;0,MIN(Skills!H9,MAX(0,Inputs!$B$35-((S287-1)*IF(Inputs!$B$4="pvp",15,MAX(0.1,Skills!D9-IF(Skills!E9=TRUE,Inputs!$B$31,0))))))/Skills!G9,1)))/Inputs!$B$35),G287*V287)*IF(Inputs!$B$4="pvp",1,(1-Summary!$B$48)*(1)+Summary!$B$48*(MIN(Skills!Q9,Inputs!$B$37))),0)</f>
        <v/>
      </c>
      <c r="P287">
        <f>IF(B316=0,0,O287/B316)</f>
        <v/>
      </c>
      <c r="S287">
        <f>IF(AND(Inputs!$B$4&lt;&gt;"pvp",Inputs!$B$35&gt;0),(INT(Inputs!$B$35/IF(Inputs!$B$4="pvp",15,MAX(0.1,Skills!D9-IF(Skills!E9=TRUE,Inputs!$B$31,0))))+1),0)</f>
        <v/>
      </c>
      <c r="V287">
        <f>IFERROR(1/IF(Inputs!$B$4="pvp",15,MAX(0.1,Skills!D9-IF(Skills!E9=TRUE,Inputs!$B$31,0))),0)</f>
        <v/>
      </c>
    </row>
    <row r="288">
      <c r="A288">
        <f>Skills!A10</f>
        <v/>
      </c>
      <c r="B288">
        <f>Skills!B10</f>
        <v/>
      </c>
      <c r="C288">
        <f>Inputs!$B$3&gt;=66</f>
        <v/>
      </c>
      <c r="D288">
        <f>IF(Skills!C10=1,60+Inputs!$B$24+Inputs!$B$28,IF(Skills!C10=2,90+Inputs!$B$25+Inputs!$B$28,IF(Skills!C10=3,120+Inputs!$B$26+Inputs!$B$28,MAX(0,(Inputs!$B$3-100)*3)+Inputs!$B$27+Inputs!$B$28)))</f>
        <v/>
      </c>
      <c r="E288">
        <f>INDEX(FactorTable!$B$2:$Y$301, MATCH(ROUND(MIN(300,MAX(1,D288)),0), FactorTable!$A$2:$A$301,0), Skills!L10+1)</f>
        <v/>
      </c>
      <c r="F288" t="n">
        <v>0</v>
      </c>
      <c r="G288">
        <f>Calc!G10</f>
        <v/>
      </c>
      <c r="H288">
        <f>Calc!H10</f>
        <v/>
      </c>
      <c r="I288">
        <f>IF(Skills!T10&lt;&gt;"",1+(Skills!T10/10)*($Z$3/1000)/100,1)</f>
        <v/>
      </c>
      <c r="J288" t="inlineStr"/>
      <c r="K288" t="inlineStr"/>
      <c r="L288" t="inlineStr"/>
      <c r="M288" t="inlineStr"/>
      <c r="N288" t="inlineStr"/>
      <c r="O288" t="n">
        <v>0</v>
      </c>
      <c r="P288">
        <f>IF(B316=0,0,O288/B316)</f>
        <v/>
      </c>
      <c r="S288">
        <f>IF(AND(Inputs!$B$4&lt;&gt;"pvp",Inputs!$B$35&gt;0),(INT(Inputs!$B$35/IF(Inputs!$B$4="pvp",15,MAX(0.1,Skills!D10-IF(Skills!E10=TRUE,Inputs!$B$31,0))))+1),0)</f>
        <v/>
      </c>
      <c r="V288">
        <f>IFERROR(1/IF(Inputs!$B$4="pvp",15,MAX(0.1,Skills!D10-IF(Skills!E10=TRUE,Inputs!$B$31,0))),0)</f>
        <v/>
      </c>
    </row>
    <row r="289">
      <c r="A289">
        <f>Skills!A11</f>
        <v/>
      </c>
      <c r="B289">
        <f>Skills!B11</f>
        <v/>
      </c>
      <c r="C289">
        <f>Inputs!$B$3&gt;=69</f>
        <v/>
      </c>
      <c r="D289">
        <f>IF(Skills!C11=1,60+Inputs!$B$24+Inputs!$B$28,IF(Skills!C11=2,90+Inputs!$B$25+Inputs!$B$28,IF(Skills!C11=3,120+Inputs!$B$26+Inputs!$B$28,MAX(0,(Inputs!$B$3-100)*3)+Inputs!$B$27+Inputs!$B$28)))</f>
        <v/>
      </c>
      <c r="E289">
        <f>INDEX(FactorTable!$B$2:$Y$301, MATCH(ROUND(MIN(300,MAX(1,D289)),0), FactorTable!$A$2:$A$301,0), Skills!L11+1)</f>
        <v/>
      </c>
      <c r="F289">
        <f>IF(Skills!M11=TRUE,(Skills!K11/10)*(E289/1000),Skills!K11/10)+Skills!N11</f>
        <v/>
      </c>
      <c r="G289">
        <f>Calc!G11</f>
        <v/>
      </c>
      <c r="H289">
        <f>Calc!H11</f>
        <v/>
      </c>
      <c r="I289">
        <f>IF(Skills!T11&lt;&gt;"",1+(Skills!T11/10)*($Z$3/1000)/100,1)</f>
        <v/>
      </c>
      <c r="J289" t="inlineStr"/>
      <c r="K289" t="inlineStr"/>
      <c r="L289" t="inlineStr"/>
      <c r="M289" t="inlineStr"/>
      <c r="N289" t="inlineStr"/>
      <c r="O289" t="n">
        <v>0</v>
      </c>
      <c r="P289">
        <f>IF(B316=0,0,O289/B316)</f>
        <v/>
      </c>
      <c r="S289">
        <f>IF(AND(Inputs!$B$4&lt;&gt;"pvp",Inputs!$B$35&gt;0),(INT(Inputs!$B$35/IF(Inputs!$B$4="pvp",15,MAX(0.1,Skills!D11-IF(Skills!E11=TRUE,Inputs!$B$31,0))))+1),0)</f>
        <v/>
      </c>
      <c r="V289">
        <f>IFERROR(1/IF(Inputs!$B$4="pvp",15,MAX(0.1,Skills!D11-IF(Skills!E11=TRUE,Inputs!$B$31,0))),0)</f>
        <v/>
      </c>
    </row>
    <row r="290">
      <c r="A290">
        <f>Skills!A12</f>
        <v/>
      </c>
      <c r="B290">
        <f>Skills!B12</f>
        <v/>
      </c>
      <c r="C290">
        <f>Inputs!$B$3&gt;=72</f>
        <v/>
      </c>
      <c r="D290">
        <f>IF(Skills!C12=1,60+Inputs!$B$24+Inputs!$B$28,IF(Skills!C12=2,90+Inputs!$B$25+Inputs!$B$28,IF(Skills!C12=3,120+Inputs!$B$26+Inputs!$B$28,MAX(0,(Inputs!$B$3-100)*3)+Inputs!$B$27+Inputs!$B$28)))</f>
        <v/>
      </c>
      <c r="E290">
        <f>INDEX(FactorTable!$B$2:$Y$301, MATCH(ROUND(MIN(300,MAX(1,D290)),0), FactorTable!$A$2:$A$301,0), Skills!L12+1)</f>
        <v/>
      </c>
      <c r="F290">
        <f>IF(Skills!M12=TRUE,(Skills!K12/10)*(E290/1000),Skills!K12/10)+Skills!N12</f>
        <v/>
      </c>
      <c r="G290">
        <f>Calc!G12</f>
        <v/>
      </c>
      <c r="H290">
        <f>Calc!H12</f>
        <v/>
      </c>
      <c r="I290">
        <f>IF(Skills!T12&lt;&gt;"",1+(Skills!T12/10)*($Z$3/1000)/100,1)</f>
        <v/>
      </c>
      <c r="J290" t="inlineStr"/>
      <c r="K290" t="inlineStr"/>
      <c r="L290" t="inlineStr"/>
      <c r="M290" t="inlineStr"/>
      <c r="N290" t="inlineStr"/>
      <c r="O290" t="n">
        <v>0</v>
      </c>
      <c r="P290">
        <f>IF(B316=0,0,O290/B316)</f>
        <v/>
      </c>
      <c r="S290">
        <f>IF(AND(Inputs!$B$4&lt;&gt;"pvp",Inputs!$B$35&gt;0),(INT(Inputs!$B$35/IF(Inputs!$B$4="pvp",15,MAX(0.1,Skills!D12-IF(Skills!E12=TRUE,Inputs!$B$31,0))))+1),0)</f>
        <v/>
      </c>
      <c r="V290">
        <f>IFERROR(1/IF(Inputs!$B$4="pvp",15,MAX(0.1,Skills!D12-IF(Skills!E12=TRUE,Inputs!$B$31,0))),0)</f>
        <v/>
      </c>
    </row>
    <row r="291">
      <c r="A291">
        <f>Skills!A13</f>
        <v/>
      </c>
      <c r="B291">
        <f>Skills!B13</f>
        <v/>
      </c>
      <c r="C291">
        <f>Inputs!$B$3&gt;=107</f>
        <v/>
      </c>
      <c r="D291">
        <f>IF(Skills!C13=1,60+Inputs!$B$24+Inputs!$B$28,IF(Skills!C13=2,90+Inputs!$B$25+Inputs!$B$28,IF(Skills!C13=3,120+Inputs!$B$26+Inputs!$B$28,MAX(0,(Inputs!$B$3-100)*3)+Inputs!$B$27+Inputs!$B$28)))</f>
        <v/>
      </c>
      <c r="E291">
        <f>INDEX(FactorTable!$B$2:$Y$301, MATCH(ROUND(MIN(300,MAX(1,D291)),0), FactorTable!$A$2:$A$301,0), Skills!L13+1)</f>
        <v/>
      </c>
      <c r="F291">
        <f>IF(Skills!M13=TRUE,(Skills!K13/10)*(E291/1000),Skills!K13/10)+Skills!N13</f>
        <v/>
      </c>
      <c r="G291">
        <f>Calc!G13</f>
        <v/>
      </c>
      <c r="H291">
        <f>Calc!H13</f>
        <v/>
      </c>
      <c r="I291">
        <f>IF(Skills!T13&lt;&gt;"",1+(Skills!T13/10)*($Z$3/1000)/100,1)</f>
        <v/>
      </c>
      <c r="J291" t="inlineStr"/>
      <c r="K291" t="inlineStr"/>
      <c r="L291" t="inlineStr"/>
      <c r="M291" t="inlineStr"/>
      <c r="N291" t="inlineStr"/>
      <c r="O291" t="n">
        <v>0</v>
      </c>
      <c r="P291">
        <f>IF(B316=0,0,O291/B316)</f>
        <v/>
      </c>
      <c r="S291">
        <f>IF(AND(Inputs!$B$4&lt;&gt;"pvp",Inputs!$B$35&gt;0),(INT(Inputs!$B$35/IF(Inputs!$B$4="pvp",15,MAX(0.1,Skills!D13-IF(Skills!E13=TRUE,Inputs!$B$31,0))))+1),0)</f>
        <v/>
      </c>
      <c r="V291">
        <f>IFERROR(1/IF(Inputs!$B$4="pvp",15,MAX(0.1,Skills!D13-IF(Skills!E13=TRUE,Inputs!$B$31,0))),0)</f>
        <v/>
      </c>
    </row>
    <row r="292">
      <c r="A292">
        <f>Skills!A14</f>
        <v/>
      </c>
      <c r="B292">
        <f>Skills!B14</f>
        <v/>
      </c>
      <c r="C292">
        <f>Inputs!$B$3&gt;=63</f>
        <v/>
      </c>
      <c r="D292">
        <f>IF(Skills!C14=1,60+Inputs!$B$24+Inputs!$B$28,IF(Skills!C14=2,90+Inputs!$B$25+Inputs!$B$28,IF(Skills!C14=3,120+Inputs!$B$26+Inputs!$B$28,MAX(0,(Inputs!$B$3-100)*3)+Inputs!$B$27+Inputs!$B$28)))</f>
        <v/>
      </c>
      <c r="E292">
        <f>INDEX(FactorTable!$B$2:$Y$301, MATCH(ROUND(MIN(300,MAX(1,D292)),0), FactorTable!$A$2:$A$301,0), Skills!L14+1)</f>
        <v/>
      </c>
      <c r="F292">
        <f>IF(Skills!M14=TRUE,(Skills!K14/10)*(E292/1000),Skills!K14/10)+Skills!N14</f>
        <v/>
      </c>
      <c r="G292">
        <f>Calc!G14</f>
        <v/>
      </c>
      <c r="H292">
        <f>Calc!H14</f>
        <v/>
      </c>
      <c r="I292">
        <f>IF(Skills!T14&lt;&gt;"",1+(Skills!T14/10)*($Z$3/1000)/100,1)</f>
        <v/>
      </c>
      <c r="J292">
        <f>((Inputs!$B$5*(1+Inputs!$B$6/100))+((Inputs!$B$11*(1+Inputs!$B$12/100))-(Inputs!$B$11*(1+Inputs!$B$12/100)))*(1+Inputs!$B$6/100))*(F292/100)</f>
        <v/>
      </c>
      <c r="K292">
        <f>J292*(1+((Inputs!$B$11*(1+Inputs!$B$12/100))*0.01+Inputs!$B$13*0.0025)/100)*(1+(Inputs!$B$14+B309)/100)*(1+IF(Inputs!$B$4="pvp",0,(1-Summary!$B$48)*(Inputs!$B$19+Skills!O14+B307)+Summary!$B$48*(Inputs!$B$20+Skills!P14+B308))/100)*(1+Inputs!$B$15/100)*(5000/(6000+Inputs!$B$7*(1-Inputs!$B$18/100)))*(1+((((1+Inputs!$B$23/100)*(1.01))-1)*100)/100)*(1+IF(C295=TRUE,F295,0)/100)*(1+IF(C297=TRUE,F297,0)/100)*(1+IF(Skills!A14="TRIUMPH_FEATHER",IF(C293=TRUE,F293,0),0)/100)*(1+IF(C304=TRUE,F304,0)/100)^5*(1+(IF(Skills!A14="BIG_BANG",Inputs!$B$16,Inputs!$B$17))/100)*(B306*I292)</f>
        <v/>
      </c>
      <c r="L292">
        <f>K292*(MIN(Inputs!$B$21+(F299-Calc!F21),Inputs!$B$22)/100+Inputs!$B$22/100)/2</f>
        <v/>
      </c>
      <c r="M292">
        <f>L292*(1+(Inputs!$B$9+B310+(F302-Calc!F24))/100)</f>
        <v/>
      </c>
      <c r="N292">
        <f>L292*(1-MIN(Inputs!$B$8+((F301-Calc!F23)+(F300-Calc!F22)),100)/100)+M292*(MIN(Inputs!$B$8+((F301-Calc!F23)+(F300-Calc!F22)),100)/100)</f>
        <v/>
      </c>
      <c r="O292">
        <f>IF(C292,Skills!F14*N292*((IF(Inputs!$B$3&gt;=78,25,15)/100*B312*10)/(1+IF(Inputs!$B$3&gt;=78,25,15)/100*B312*10))*(Skills!I14/100*B312)/(1+Skills!G14*Skills!I14/100*B312)*IF(Inputs!$B$4="pvp",1,(1-Summary!$B$48)*(1)+Summary!$B$48*(MIN(Skills!Q14,Inputs!$B$37))),0)</f>
        <v/>
      </c>
      <c r="P292">
        <f>IF(B316=0,0,O292/B316)</f>
        <v/>
      </c>
      <c r="S292" t="n">
        <v>0</v>
      </c>
      <c r="V292">
        <f>IFERROR(1/IF(Inputs!$B$4="pvp",15,MAX(0.1,Skills!D14-IF(Skills!E14=TRUE,Inputs!$B$31,0))),0)</f>
        <v/>
      </c>
    </row>
    <row r="293">
      <c r="A293">
        <f>Skills!A15</f>
        <v/>
      </c>
      <c r="B293">
        <f>Skills!B15</f>
        <v/>
      </c>
      <c r="C293">
        <f>Inputs!$B$3&gt;=100</f>
        <v/>
      </c>
      <c r="D293">
        <f>IF(Skills!C15=1,60+Inputs!$B$24+Inputs!$B$28,IF(Skills!C15=2,90+Inputs!$B$25+Inputs!$B$28,IF(Skills!C15=3,120+Inputs!$B$26+Inputs!$B$28,MAX(0,(Inputs!$B$3-100)*3)+Inputs!$B$27+Inputs!$B$28)))</f>
        <v/>
      </c>
      <c r="E293">
        <f>INDEX(FactorTable!$B$2:$Y$301, MATCH(ROUND(MIN(300,MAX(1,D293)),0), FactorTable!$A$2:$A$301,0), Skills!L15+1)</f>
        <v/>
      </c>
      <c r="F293">
        <f>IF(Skills!M15=TRUE,(Skills!K15/10)*(E293/1000),Skills!K15/10)+Skills!N15</f>
        <v/>
      </c>
      <c r="G293">
        <f>Calc!G15</f>
        <v/>
      </c>
      <c r="H293">
        <f>Calc!H15</f>
        <v/>
      </c>
      <c r="I293">
        <f>IF(Skills!T15&lt;&gt;"",1+(Skills!T15/10)*($Z$3/1000)/100,1)</f>
        <v/>
      </c>
      <c r="J293" t="inlineStr"/>
      <c r="K293" t="inlineStr"/>
      <c r="L293" t="inlineStr"/>
      <c r="M293" t="inlineStr"/>
      <c r="N293" t="inlineStr"/>
      <c r="O293" t="n">
        <v>0</v>
      </c>
      <c r="P293">
        <f>IF(B316=0,0,O293/B316)</f>
        <v/>
      </c>
      <c r="S293" t="n">
        <v>0</v>
      </c>
      <c r="V293">
        <f>IFERROR(1/IF(Inputs!$B$4="pvp",15,MAX(0.1,Skills!D15-IF(Skills!E15=TRUE,Inputs!$B$31,0))),0)</f>
        <v/>
      </c>
    </row>
    <row r="294">
      <c r="A294">
        <f>Skills!A16</f>
        <v/>
      </c>
      <c r="B294">
        <f>Skills!B16</f>
        <v/>
      </c>
      <c r="C294">
        <f>Inputs!$B$3&gt;=49</f>
        <v/>
      </c>
      <c r="D294">
        <f>IF(Skills!C16=1,60+Inputs!$B$24+Inputs!$B$28,IF(Skills!C16=2,90+Inputs!$B$25+Inputs!$B$28,IF(Skills!C16=3,120+Inputs!$B$26+Inputs!$B$28,MAX(0,(Inputs!$B$3-100)*3)+Inputs!$B$27+Inputs!$B$28)))</f>
        <v/>
      </c>
      <c r="E294">
        <f>INDEX(FactorTable!$B$2:$Y$301, MATCH(ROUND(MIN(300,MAX(1,D294)),0), FactorTable!$A$2:$A$301,0), Skills!L16+1)</f>
        <v/>
      </c>
      <c r="F294">
        <f>IF(Skills!M16=TRUE,(Skills!K16/10)*(E294/1000),Skills!K16/10)+Skills!N16</f>
        <v/>
      </c>
      <c r="G294">
        <f>Calc!G16</f>
        <v/>
      </c>
      <c r="H294">
        <f>Calc!H16</f>
        <v/>
      </c>
      <c r="I294">
        <f>IF(Skills!T16&lt;&gt;"",1+(Skills!T16/10)*($Z$3/1000)/100,1)</f>
        <v/>
      </c>
      <c r="J294" t="inlineStr"/>
      <c r="K294" t="inlineStr"/>
      <c r="L294" t="inlineStr"/>
      <c r="M294" t="inlineStr"/>
      <c r="N294" t="inlineStr"/>
      <c r="O294" t="n">
        <v>0</v>
      </c>
      <c r="P294">
        <f>IF(B316=0,0,O294/B316)</f>
        <v/>
      </c>
      <c r="S294" t="n">
        <v>0</v>
      </c>
      <c r="V294">
        <f>IFERROR(1/IF(Inputs!$B$4="pvp",15,MAX(0.1,Skills!D16-IF(Skills!E16=TRUE,Inputs!$B$31,0))),0)</f>
        <v/>
      </c>
    </row>
    <row r="295">
      <c r="A295">
        <f>Skills!A17</f>
        <v/>
      </c>
      <c r="B295">
        <f>Skills!B17</f>
        <v/>
      </c>
      <c r="C295">
        <f>Inputs!$B$3&gt;=75</f>
        <v/>
      </c>
      <c r="D295">
        <f>IF(Skills!C17=1,60+Inputs!$B$24+Inputs!$B$28,IF(Skills!C17=2,90+Inputs!$B$25+Inputs!$B$28,IF(Skills!C17=3,120+Inputs!$B$26+Inputs!$B$28,MAX(0,(Inputs!$B$3-100)*3)+Inputs!$B$27+Inputs!$B$28)))</f>
        <v/>
      </c>
      <c r="E295">
        <f>INDEX(FactorTable!$B$2:$Y$301, MATCH(ROUND(MIN(300,MAX(1,D295)),0), FactorTable!$A$2:$A$301,0), Skills!L17+1)</f>
        <v/>
      </c>
      <c r="F295">
        <f>IF(Skills!M17=TRUE,(Skills!K17/10)*(E295/1000),Skills!K17/10)+Skills!N17</f>
        <v/>
      </c>
      <c r="G295">
        <f>Calc!G17</f>
        <v/>
      </c>
      <c r="H295">
        <f>Calc!H17</f>
        <v/>
      </c>
      <c r="I295">
        <f>IF(Skills!T17&lt;&gt;"",1+(Skills!T17/10)*($Z$3/1000)/100,1)</f>
        <v/>
      </c>
      <c r="J295" t="inlineStr"/>
      <c r="K295" t="inlineStr"/>
      <c r="L295" t="inlineStr"/>
      <c r="M295" t="inlineStr"/>
      <c r="N295" t="inlineStr"/>
      <c r="O295" t="n">
        <v>0</v>
      </c>
      <c r="P295">
        <f>IF(B316=0,0,O295/B316)</f>
        <v/>
      </c>
      <c r="S295" t="n">
        <v>0</v>
      </c>
      <c r="V295">
        <f>IFERROR(1/IF(Inputs!$B$4="pvp",15,MAX(0.1,Skills!D17-IF(Skills!E17=TRUE,Inputs!$B$31,0))),0)</f>
        <v/>
      </c>
    </row>
    <row r="296">
      <c r="A296">
        <f>Skills!A18</f>
        <v/>
      </c>
      <c r="B296">
        <f>Skills!B18</f>
        <v/>
      </c>
      <c r="C296">
        <f>Inputs!$B$3&gt;=110</f>
        <v/>
      </c>
      <c r="D296">
        <f>IF(Skills!C18=1,60+Inputs!$B$24+Inputs!$B$28,IF(Skills!C18=2,90+Inputs!$B$25+Inputs!$B$28,IF(Skills!C18=3,120+Inputs!$B$26+Inputs!$B$28,MAX(0,(Inputs!$B$3-100)*3)+Inputs!$B$27+Inputs!$B$28)))</f>
        <v/>
      </c>
      <c r="E296">
        <f>INDEX(FactorTable!$B$2:$Y$301, MATCH(ROUND(MIN(300,MAX(1,D296)),0), FactorTable!$A$2:$A$301,0), Skills!L18+1)</f>
        <v/>
      </c>
      <c r="F296">
        <f>(Skills!K18/10)*(E296/1000)*64/45+Skills!N18</f>
        <v/>
      </c>
      <c r="G296">
        <f>Calc!G18</f>
        <v/>
      </c>
      <c r="H296">
        <f>Calc!H18</f>
        <v/>
      </c>
      <c r="I296">
        <f>IF(Skills!T18&lt;&gt;"",1+(Skills!T18/10)*($Z$3/1000)/100,1)</f>
        <v/>
      </c>
      <c r="J296" t="inlineStr"/>
      <c r="K296" t="inlineStr"/>
      <c r="L296" t="inlineStr"/>
      <c r="M296" t="inlineStr"/>
      <c r="N296" t="inlineStr"/>
      <c r="O296" t="n">
        <v>0</v>
      </c>
      <c r="P296">
        <f>IF(B316=0,0,O296/B316)</f>
        <v/>
      </c>
      <c r="S296">
        <f>IF(AND(Inputs!$B$4&lt;&gt;"pvp",Inputs!$B$35&gt;0),(INT(Inputs!$B$35/IF(Inputs!$B$4="pvp",15,MAX(0.1,Skills!D18-IF(Skills!E18=TRUE,Inputs!$B$31,0))))+1),0)</f>
        <v/>
      </c>
      <c r="V296">
        <f>IFERROR(1/IF(Inputs!$B$4="pvp",15,MAX(0.1,Skills!D18-IF(Skills!E18=TRUE,Inputs!$B$31,0))),0)</f>
        <v/>
      </c>
    </row>
    <row r="297">
      <c r="A297">
        <f>Skills!A19</f>
        <v/>
      </c>
      <c r="B297">
        <f>Skills!B19</f>
        <v/>
      </c>
      <c r="C297">
        <f>Inputs!$B$3&gt;=125</f>
        <v/>
      </c>
      <c r="D297">
        <f>IF(Skills!C19=1,60+Inputs!$B$24+Inputs!$B$28,IF(Skills!C19=2,90+Inputs!$B$25+Inputs!$B$28,IF(Skills!C19=3,120+Inputs!$B$26+Inputs!$B$28,MAX(0,(Inputs!$B$3-100)*3)+Inputs!$B$27+Inputs!$B$28)))</f>
        <v/>
      </c>
      <c r="E297">
        <f>INDEX(FactorTable!$B$2:$Y$301, MATCH(ROUND(MIN(300,MAX(1,D297)),0), FactorTable!$A$2:$A$301,0), Skills!L19+1)</f>
        <v/>
      </c>
      <c r="F297">
        <f>IF(Skills!M19=TRUE,(Skills!K19/10)*(E297/1000),Skills!K19/10)+Skills!N19</f>
        <v/>
      </c>
      <c r="G297">
        <f>Calc!G19</f>
        <v/>
      </c>
      <c r="H297">
        <f>Calc!H19</f>
        <v/>
      </c>
      <c r="I297">
        <f>IF(Skills!T19&lt;&gt;"",1+(Skills!T19/10)*($Z$3/1000)/100,1)</f>
        <v/>
      </c>
      <c r="J297" t="inlineStr"/>
      <c r="K297" t="inlineStr"/>
      <c r="L297" t="inlineStr"/>
      <c r="M297" t="inlineStr"/>
      <c r="N297" t="inlineStr"/>
      <c r="O297" t="n">
        <v>0</v>
      </c>
      <c r="P297">
        <f>IF(B316=0,0,O297/B316)</f>
        <v/>
      </c>
      <c r="S297" t="n">
        <v>0</v>
      </c>
      <c r="V297">
        <f>IFERROR(1/IF(Inputs!$B$4="pvp",15,MAX(0.1,Skills!D19-IF(Skills!E19=TRUE,Inputs!$B$31,0))),0)</f>
        <v/>
      </c>
    </row>
    <row r="298">
      <c r="A298">
        <f>Skills!A20</f>
        <v/>
      </c>
      <c r="B298">
        <f>Skills!B20</f>
        <v/>
      </c>
      <c r="C298">
        <f>Inputs!$B$3&gt;=33</f>
        <v/>
      </c>
      <c r="D298">
        <f>IF(Skills!C20=1,60+Inputs!$B$24+Inputs!$B$28,IF(Skills!C20=2,90+Inputs!$B$25+Inputs!$B$28,IF(Skills!C20=3,120+Inputs!$B$26+Inputs!$B$28,MAX(0,(Inputs!$B$3-100)*3)+Inputs!$B$27+Inputs!$B$28)))</f>
        <v/>
      </c>
      <c r="E298">
        <f>INDEX(FactorTable!$B$2:$Y$301, MATCH(ROUND(MIN(300,MAX(1,D298)),0), FactorTable!$A$2:$A$301,0), Skills!L20+1)</f>
        <v/>
      </c>
      <c r="F298">
        <f>IF(Skills!M20=TRUE,(Skills!K20/10)*(E298/1000),Skills!K20/10)+Skills!N20</f>
        <v/>
      </c>
      <c r="G298">
        <f>Calc!G20</f>
        <v/>
      </c>
      <c r="H298">
        <f>Calc!H20</f>
        <v/>
      </c>
      <c r="I298">
        <f>IF(Skills!T20&lt;&gt;"",1+(Skills!T20/10)*($Z$3/1000)/100,1)</f>
        <v/>
      </c>
      <c r="J298" t="inlineStr"/>
      <c r="K298" t="inlineStr"/>
      <c r="L298" t="inlineStr"/>
      <c r="M298" t="inlineStr"/>
      <c r="N298" t="inlineStr"/>
      <c r="O298" t="n">
        <v>0</v>
      </c>
      <c r="P298">
        <f>IF(B316=0,0,O298/B316)</f>
        <v/>
      </c>
      <c r="S298" t="n">
        <v>0</v>
      </c>
      <c r="V298">
        <f>IFERROR(1/IF(Inputs!$B$4="pvp",15,MAX(0.1,Skills!D20-IF(Skills!E20=TRUE,Inputs!$B$31,0))),0)</f>
        <v/>
      </c>
    </row>
    <row r="299">
      <c r="A299">
        <f>Skills!A21</f>
        <v/>
      </c>
      <c r="B299">
        <f>Skills!B21</f>
        <v/>
      </c>
      <c r="C299">
        <f>Inputs!$B$3&gt;=43</f>
        <v/>
      </c>
      <c r="D299">
        <f>IF(Skills!C21=1,60+Inputs!$B$24+Inputs!$B$28,IF(Skills!C21=2,90+Inputs!$B$25+Inputs!$B$28,IF(Skills!C21=3,120+Inputs!$B$26+Inputs!$B$28,MAX(0,(Inputs!$B$3-100)*3)+Inputs!$B$27+Inputs!$B$28)))</f>
        <v/>
      </c>
      <c r="E299">
        <f>INDEX(FactorTable!$B$2:$Y$301, MATCH(ROUND(MIN(300,MAX(1,D299)),0), FactorTable!$A$2:$A$301,0), Skills!L21+1)</f>
        <v/>
      </c>
      <c r="F299">
        <f>IF(Skills!M21=TRUE,(Skills!K21/10)*(E299/1000),Skills!K21/10)+Skills!N21</f>
        <v/>
      </c>
      <c r="G299">
        <f>Calc!G21</f>
        <v/>
      </c>
      <c r="H299">
        <f>Calc!H21</f>
        <v/>
      </c>
      <c r="I299">
        <f>IF(Skills!T21&lt;&gt;"",1+(Skills!T21/10)*($Z$3/1000)/100,1)</f>
        <v/>
      </c>
      <c r="J299" t="inlineStr"/>
      <c r="K299" t="inlineStr"/>
      <c r="L299" t="inlineStr"/>
      <c r="M299" t="inlineStr"/>
      <c r="N299" t="inlineStr"/>
      <c r="O299" t="n">
        <v>0</v>
      </c>
      <c r="P299">
        <f>IF(B316=0,0,O299/B316)</f>
        <v/>
      </c>
      <c r="S299" t="n">
        <v>0</v>
      </c>
      <c r="V299">
        <f>IFERROR(1/IF(Inputs!$B$4="pvp",15,MAX(0.1,Skills!D21-IF(Skills!E21=TRUE,Inputs!$B$31,0))),0)</f>
        <v/>
      </c>
    </row>
    <row r="300">
      <c r="A300">
        <f>Skills!A22</f>
        <v/>
      </c>
      <c r="B300">
        <f>Skills!B22</f>
        <v/>
      </c>
      <c r="C300">
        <f>Inputs!$B$3&gt;=50</f>
        <v/>
      </c>
      <c r="D300">
        <f>IF(Skills!C22=1,60+Inputs!$B$24+Inputs!$B$28,IF(Skills!C22=2,90+Inputs!$B$25+Inputs!$B$28,IF(Skills!C22=3,120+Inputs!$B$26+Inputs!$B$28,MAX(0,(Inputs!$B$3-100)*3)+Inputs!$B$27+Inputs!$B$28)))</f>
        <v/>
      </c>
      <c r="E300">
        <f>INDEX(FactorTable!$B$2:$Y$301, MATCH(ROUND(MIN(300,MAX(1,D300)),0), FactorTable!$A$2:$A$301,0), Skills!L22+1)</f>
        <v/>
      </c>
      <c r="F300">
        <f>IF(Skills!M22=TRUE,(Skills!K22/10)*(E300/1000),Skills!K22/10)+Skills!N22</f>
        <v/>
      </c>
      <c r="G300">
        <f>Calc!G22</f>
        <v/>
      </c>
      <c r="H300">
        <f>Calc!H22</f>
        <v/>
      </c>
      <c r="I300">
        <f>IF(Skills!T22&lt;&gt;"",1+(Skills!T22/10)*($Z$3/1000)/100,1)</f>
        <v/>
      </c>
      <c r="J300" t="inlineStr"/>
      <c r="K300" t="inlineStr"/>
      <c r="L300" t="inlineStr"/>
      <c r="M300" t="inlineStr"/>
      <c r="N300" t="inlineStr"/>
      <c r="O300" t="n">
        <v>0</v>
      </c>
      <c r="P300">
        <f>IF(B316=0,0,O300/B316)</f>
        <v/>
      </c>
      <c r="S300" t="n">
        <v>0</v>
      </c>
      <c r="V300">
        <f>IFERROR(1/IF(Inputs!$B$4="pvp",15,MAX(0.1,Skills!D22-IF(Skills!E22=TRUE,Inputs!$B$31,0))),0)</f>
        <v/>
      </c>
    </row>
    <row r="301">
      <c r="A301">
        <f>Skills!A23</f>
        <v/>
      </c>
      <c r="B301">
        <f>Skills!B23</f>
        <v/>
      </c>
      <c r="C301">
        <f>Inputs!$B$3&gt;=74</f>
        <v/>
      </c>
      <c r="D301">
        <f>IF(Skills!C23=1,60+Inputs!$B$24+Inputs!$B$28,IF(Skills!C23=2,90+Inputs!$B$25+Inputs!$B$28,IF(Skills!C23=3,120+Inputs!$B$26+Inputs!$B$28,MAX(0,(Inputs!$B$3-100)*3)+Inputs!$B$27+Inputs!$B$28)))</f>
        <v/>
      </c>
      <c r="E301">
        <f>INDEX(FactorTable!$B$2:$Y$301, MATCH(ROUND(MIN(300,MAX(1,D301)),0), FactorTable!$A$2:$A$301,0), Skills!L23+1)</f>
        <v/>
      </c>
      <c r="F301">
        <f>IF(Skills!M23=TRUE,(Skills!K23/10)*(E301/1000),Skills!K23/10)+Skills!N23</f>
        <v/>
      </c>
      <c r="G301">
        <f>Calc!G23</f>
        <v/>
      </c>
      <c r="H301">
        <f>Calc!H23</f>
        <v/>
      </c>
      <c r="I301">
        <f>IF(Skills!T23&lt;&gt;"",1+(Skills!T23/10)*($Z$3/1000)/100,1)</f>
        <v/>
      </c>
      <c r="J301" t="inlineStr"/>
      <c r="K301" t="inlineStr"/>
      <c r="L301" t="inlineStr"/>
      <c r="M301" t="inlineStr"/>
      <c r="N301" t="inlineStr"/>
      <c r="O301" t="n">
        <v>0</v>
      </c>
      <c r="P301">
        <f>IF(B316=0,0,O301/B316)</f>
        <v/>
      </c>
      <c r="S301" t="n">
        <v>0</v>
      </c>
      <c r="V301">
        <f>IFERROR(1/IF(Inputs!$B$4="pvp",15,MAX(0.1,Skills!D23-IF(Skills!E23=TRUE,Inputs!$B$31,0))),0)</f>
        <v/>
      </c>
    </row>
    <row r="302">
      <c r="A302">
        <f>Skills!A24</f>
        <v/>
      </c>
      <c r="B302">
        <f>Skills!B24</f>
        <v/>
      </c>
      <c r="C302">
        <f>Inputs!$B$3&gt;=74</f>
        <v/>
      </c>
      <c r="D302">
        <f>IF(Skills!C24=1,60+Inputs!$B$24+Inputs!$B$28,IF(Skills!C24=2,90+Inputs!$B$25+Inputs!$B$28,IF(Skills!C24=3,120+Inputs!$B$26+Inputs!$B$28,MAX(0,(Inputs!$B$3-100)*3)+Inputs!$B$27+Inputs!$B$28)))</f>
        <v/>
      </c>
      <c r="E302">
        <f>INDEX(FactorTable!$B$2:$Y$301, MATCH(ROUND(MIN(300,MAX(1,D302)),0), FactorTable!$A$2:$A$301,0), Skills!L24+1)</f>
        <v/>
      </c>
      <c r="F302">
        <f>IF(Skills!M24=TRUE,(Skills!K24/10)*(E302/1000),Skills!K24/10)+Skills!N24</f>
        <v/>
      </c>
      <c r="G302">
        <f>Calc!G24</f>
        <v/>
      </c>
      <c r="H302">
        <f>Calc!H24</f>
        <v/>
      </c>
      <c r="I302">
        <f>IF(Skills!T24&lt;&gt;"",1+(Skills!T24/10)*($Z$3/1000)/100,1)</f>
        <v/>
      </c>
      <c r="J302" t="inlineStr"/>
      <c r="K302" t="inlineStr"/>
      <c r="L302" t="inlineStr"/>
      <c r="M302" t="inlineStr"/>
      <c r="N302" t="inlineStr"/>
      <c r="O302" t="n">
        <v>0</v>
      </c>
      <c r="P302">
        <f>IF(B316=0,0,O302/B316)</f>
        <v/>
      </c>
      <c r="S302" t="n">
        <v>0</v>
      </c>
      <c r="V302">
        <f>IFERROR(1/IF(Inputs!$B$4="pvp",15,MAX(0.1,Skills!D24-IF(Skills!E24=TRUE,Inputs!$B$31,0))),0)</f>
        <v/>
      </c>
    </row>
    <row r="303">
      <c r="A303">
        <f>Skills!A25</f>
        <v/>
      </c>
      <c r="B303">
        <f>Skills!B25</f>
        <v/>
      </c>
      <c r="C303">
        <f>Inputs!$B$3&gt;=117</f>
        <v/>
      </c>
      <c r="D303">
        <f>IF(Skills!C25=1,60+Inputs!$B$24+Inputs!$B$28,IF(Skills!C25=2,90+Inputs!$B$25+Inputs!$B$28,IF(Skills!C25=3,120+Inputs!$B$26+Inputs!$B$28,MAX(0,(Inputs!$B$3-100)*3)+Inputs!$B$27+Inputs!$B$28)))</f>
        <v/>
      </c>
      <c r="E303">
        <f>INDEX(FactorTable!$B$2:$Y$301, MATCH(ROUND(MIN(300,MAX(1,D303)),0), FactorTable!$A$2:$A$301,0), Skills!L25+1)</f>
        <v/>
      </c>
      <c r="F303">
        <f>IF(Skills!M25=TRUE,(Skills!K25/10)*(E303/1000),Skills!K25/10)+Skills!N25</f>
        <v/>
      </c>
      <c r="G303">
        <f>Calc!G25</f>
        <v/>
      </c>
      <c r="H303">
        <f>Calc!H25</f>
        <v/>
      </c>
      <c r="I303">
        <f>IF(Skills!T25&lt;&gt;"",1+(Skills!T25/10)*($Z$3/1000)/100,1)</f>
        <v/>
      </c>
      <c r="J303" t="inlineStr"/>
      <c r="K303" t="inlineStr"/>
      <c r="L303" t="inlineStr"/>
      <c r="M303" t="inlineStr"/>
      <c r="N303" t="inlineStr"/>
      <c r="O303" t="n">
        <v>0</v>
      </c>
      <c r="P303">
        <f>IF(B316=0,0,O303/B316)</f>
        <v/>
      </c>
      <c r="S303" t="n">
        <v>0</v>
      </c>
      <c r="V303">
        <f>IFERROR(1/IF(Inputs!$B$4="pvp",15,MAX(0.1,Skills!D25-IF(Skills!E25=TRUE,Inputs!$B$31,0))),0)</f>
        <v/>
      </c>
    </row>
    <row r="304">
      <c r="A304">
        <f>Skills!A26</f>
        <v/>
      </c>
      <c r="B304">
        <f>Skills!B26</f>
        <v/>
      </c>
      <c r="C304">
        <f>Inputs!$B$3&gt;=120</f>
        <v/>
      </c>
      <c r="D304">
        <f>IF(Skills!C26=1,60+Inputs!$B$24+Inputs!$B$28,IF(Skills!C26=2,90+Inputs!$B$25+Inputs!$B$28,IF(Skills!C26=3,120+Inputs!$B$26+Inputs!$B$28,MAX(0,(Inputs!$B$3-100)*3)+Inputs!$B$27+Inputs!$B$28)))</f>
        <v/>
      </c>
      <c r="E304">
        <f>INDEX(FactorTable!$B$2:$Y$301, MATCH(ROUND(MIN(300,MAX(1,D304)),0), FactorTable!$A$2:$A$301,0), Skills!L26+1)</f>
        <v/>
      </c>
      <c r="F304">
        <f>IF(Skills!M26=TRUE,(Skills!K26/10)*(E304/1000),Skills!K26/10)+Skills!N26</f>
        <v/>
      </c>
      <c r="G304">
        <f>Calc!G26</f>
        <v/>
      </c>
      <c r="H304">
        <f>Calc!H26</f>
        <v/>
      </c>
      <c r="I304">
        <f>IF(Skills!T26&lt;&gt;"",1+(Skills!T26/10)*($Z$3/1000)/100,1)</f>
        <v/>
      </c>
      <c r="J304" t="inlineStr"/>
      <c r="K304" t="inlineStr"/>
      <c r="L304" t="inlineStr"/>
      <c r="M304" t="inlineStr"/>
      <c r="N304" t="inlineStr"/>
      <c r="O304" t="n">
        <v>0</v>
      </c>
      <c r="P304">
        <f>IF(B316=0,0,O304/B316)</f>
        <v/>
      </c>
      <c r="S304" t="n">
        <v>0</v>
      </c>
      <c r="V304">
        <f>IFERROR(1/IF(Inputs!$B$4="pvp",15,MAX(0.1,Skills!D26-IF(Skills!E26=TRUE,Inputs!$B$31,0))),0)</f>
        <v/>
      </c>
    </row>
    <row r="306">
      <c r="A306" t="inlineStr">
        <is>
          <t>Average Buff Multiplier</t>
        </is>
      </c>
      <c r="B306">
        <f>(1+(IF(C281=TRUE,F281*IF(AND(Inputs!$B$4&lt;&gt;"pvp",Inputs!$B$35&gt;0),(((S281-1)*(Skills!S3*(1+(Inputs!$B$33+IF(Inputs!$B$3&gt;=117,F303,0))/100))+MIN((Skills!S3*(1+(Inputs!$B$33+IF(Inputs!$B$3&gt;=117,F303,0))/100)),MAX(0,Inputs!$B$35-((S281-1)*Skills!D3))))/Inputs!$B$35),IF(Inputs!$B$4="pvp",MIN((Skills!S3*(1+(Inputs!$B$33+IF(Inputs!$B$3&gt;=117,F303,0))/100)),15)/15,(Skills!S3*(1+(Inputs!$B$33+IF(Inputs!$B$3&gt;=117,F303,0))/100))/Skills!D3)),0)+IF(C282=TRUE,F282*IF(AND(Inputs!$B$4&lt;&gt;"pvp",Inputs!$B$35&gt;0),(((S282-1)*(Skills!S4*(1+(Inputs!$B$33+IF(Inputs!$B$3&gt;=117,F303,0))/100))+MIN((Skills!S4*(1+(Inputs!$B$33+IF(Inputs!$B$3&gt;=117,F303,0))/100)),MAX(0,Inputs!$B$35-((S282-1)*Skills!D4))))/Inputs!$B$35),IF(Inputs!$B$4="pvp",MIN((Skills!S4*(1+(Inputs!$B$33+IF(Inputs!$B$3&gt;=117,F303,0))/100)),15)/15,(Skills!S4*(1+(Inputs!$B$33+IF(Inputs!$B$3&gt;=117,F303,0))/100))/Skills!D4)),0)+IF(C283=TRUE,F283*IF(AND(Inputs!$B$4&lt;&gt;"pvp",Inputs!$B$35&gt;0),(((S283-1)*(Skills!S5*(1+(Inputs!$B$33+IF(Inputs!$B$3&gt;=117,F303,0))/100))+MIN((Skills!S5*(1+(Inputs!$B$33+IF(Inputs!$B$3&gt;=117,F303,0))/100)),MAX(0,Inputs!$B$35-((S283-1)*Skills!D5))))/Inputs!$B$35),IF(Inputs!$B$4="pvp",MIN((Skills!S5*(1+(Inputs!$B$33+IF(Inputs!$B$3&gt;=117,F303,0))/100)),15)/15,(Skills!S5*(1+(Inputs!$B$33+IF(Inputs!$B$3&gt;=117,F303,0))/100))/Skills!D5)),0)+IF(C289=TRUE,F289*IF(AND(Inputs!$B$4&lt;&gt;"pvp",Inputs!$B$35&gt;0),(((S289-1)*(Skills!S11*(1+(Inputs!$B$33+IF(Inputs!$B$3&gt;=117,F303,0))/100))+MIN((Skills!S11*(1+(Inputs!$B$33+IF(Inputs!$B$3&gt;=117,F303,0))/100)),MAX(0,Inputs!$B$35-((S289-1)*Skills!D11))))/Inputs!$B$35),IF(Inputs!$B$4="pvp",MIN((Skills!S11*(1+(Inputs!$B$33+IF(Inputs!$B$3&gt;=117,F303,0))/100)),15)/15,(Skills!S11*(1+(Inputs!$B$33+IF(Inputs!$B$3&gt;=117,F303,0))/100))/Skills!D11)),0))/100)*IF(C291=TRUE,(1+F291*IF(AND(Inputs!$B$4&lt;&gt;"pvp",Inputs!$B$35&gt;0),(((S291-1)*(Skills!S13*(1+(Inputs!$B$33+IF(Inputs!$B$3&gt;=117,F303,0))/100))+MIN((Skills!S13*(1+(Inputs!$B$33+IF(Inputs!$B$3&gt;=117,F303,0))/100)),MAX(0,Inputs!$B$35-((S291-1)*Skills!D13))))/Inputs!$B$35),IF(Inputs!$B$4="pvp",MIN((Skills!S13*(1+(Inputs!$B$33+IF(Inputs!$B$3&gt;=117,F303,0))/100)),15)/15,(Skills!S13*(1+(Inputs!$B$33+IF(Inputs!$B$3&gt;=117,F303,0))/100))/Skills!D13))/100),1)*IF(C296=TRUE,(1+F296*IF(AND(Inputs!$B$4&lt;&gt;"pvp",Inputs!$B$35&gt;0),(((S296-1)*(Skills!S18*(1+(Inputs!$B$33+IF(Inputs!$B$3&gt;=117,F303,0))/100))+MIN((Skills!S18*(1+(Inputs!$B$33+IF(Inputs!$B$3&gt;=117,F303,0))/100)),MAX(0,Inputs!$B$35-((S296-1)*Skills!D18))))/Inputs!$B$35),IF(Inputs!$B$4="pvp",MIN((Skills!S18*(1+(Inputs!$B$33+IF(Inputs!$B$3&gt;=117,F303,0))/100)),15)/15,(Skills!S18*(1+(Inputs!$B$33+IF(Inputs!$B$3&gt;=117,F303,0))/100))/Skills!D18))/100),1)</f>
        <v/>
      </c>
    </row>
    <row r="307">
      <c r="A307" t="inlineStr">
        <is>
          <t>Monster Damage Taken Bonus % (Holy Fountain)</t>
        </is>
      </c>
      <c r="B307">
        <f>IF(Inputs!$B$3&gt;=68,20*IF(Inputs!$B$4="pvp",MIN((15*(1+(Inputs!$B$33+IF(Inputs!$B$3&gt;=117,F303,0))/100)),15)/15,(15*(1+(Inputs!$B$33+IF(Inputs!$B$3&gt;=117,F303,0))/100))/Skills!D10),0)</f>
        <v/>
      </c>
    </row>
    <row r="308">
      <c r="A308" t="inlineStr">
        <is>
          <t>Normal Monster Damage Bonus % (Holy Symbol)</t>
        </is>
      </c>
      <c r="B308">
        <f>IF(C290=TRUE,F290*IF(AND(Inputs!$B$4&lt;&gt;"pvp",Inputs!$B$35&gt;0),(((S290-1)*(Skills!S12*(1+(Inputs!$B$33+IF(Inputs!$B$3&gt;=117,F303,0))/100))+MIN((Skills!S12*(1+(Inputs!$B$33+IF(Inputs!$B$3&gt;=117,F303,0))/100)),MAX(0,Inputs!$B$35-((S290-1)*Skills!D12))))/Inputs!$B$35),IF(Inputs!$B$4="pvp",MIN((Skills!S12*(1+(Inputs!$B$33+IF(Inputs!$B$3&gt;=117,F303,0))/100)),15)/15,(Skills!S12*(1+(Inputs!$B$33+IF(Inputs!$B$3&gt;=117,F303,0))/100))/Skills!D12)),0)</f>
        <v/>
      </c>
    </row>
    <row r="309">
      <c r="A309" t="inlineStr">
        <is>
          <t>Damage % Bonus (Holy Symbol - Damage Boost)</t>
        </is>
      </c>
      <c r="B309">
        <f>Skills!O12</f>
        <v/>
      </c>
    </row>
    <row r="310">
      <c r="A310" t="inlineStr">
        <is>
          <t>Crit Damage % Bonus (Blood of the Divine)</t>
        </is>
      </c>
      <c r="B310">
        <f>4*IF(C297=TRUE,F297,0)</f>
        <v/>
      </c>
    </row>
    <row r="311">
      <c r="A311" t="inlineStr">
        <is>
          <t>Attack Speed Bonus %</t>
        </is>
      </c>
      <c r="B311">
        <f>IF(C294=TRUE,F294+(F298-Calc!F20),0)+IF(Inputs!$B$3&gt;=134,15,0)</f>
        <v/>
      </c>
    </row>
    <row r="312">
      <c r="A312" t="inlineStr">
        <is>
          <t>Actions Per Second</t>
        </is>
      </c>
      <c r="B312">
        <f>1+MIN(150,150*(1-(1-Inputs!$B$10/150)*(1-B311/150)))/100</f>
        <v/>
      </c>
    </row>
    <row r="313">
      <c r="A313" t="inlineStr">
        <is>
          <t>Skill + Buff Cast Rate</t>
        </is>
      </c>
      <c r="B313">
        <f>IF(AND(Inputs!$B$4&lt;&gt;"pvp",Inputs!$B$35&gt;0),SUMPRODUCT((Skills!E2:E26=TRUE)*(C280:C304=TRUE)*S280:S304)/Inputs!$B$35,SUMPRODUCT((Skills!E2:E26=TRUE)*(C280:C304=TRUE)*V280:V304))</f>
        <v/>
      </c>
    </row>
    <row r="314">
      <c r="A314" t="inlineStr">
        <is>
          <t>Big Bang Casts Per Second</t>
        </is>
      </c>
      <c r="B314">
        <f>MAX(0,B312-B313)</f>
        <v/>
      </c>
    </row>
    <row r="316">
      <c r="A316" s="5" t="inlineStr">
        <is>
          <t>TOTAL DPS</t>
        </is>
      </c>
      <c r="B316" s="5">
        <f>SUM(O280:O304)</f>
        <v/>
      </c>
    </row>
    <row r="319">
      <c r="A319" s="5" t="inlineStr">
        <is>
          <t>Stat: MIN_DAMAGE %</t>
        </is>
      </c>
    </row>
    <row r="320">
      <c r="A320" s="8" t="inlineStr">
        <is>
          <t>Key</t>
        </is>
      </c>
      <c r="B320" s="8" t="inlineStr">
        <is>
          <t>Name</t>
        </is>
      </c>
      <c r="C320" s="8" t="inlineStr">
        <is>
          <t>Unlocked</t>
        </is>
      </c>
      <c r="D320" s="8" t="inlineStr">
        <is>
          <t>InputLevel</t>
        </is>
      </c>
      <c r="E320" s="8" t="inlineStr">
        <is>
          <t>Factor</t>
        </is>
      </c>
      <c r="F320" s="8" t="inlineStr">
        <is>
          <t>CoefficientPercent</t>
        </is>
      </c>
      <c r="G320" s="8" t="inlineStr">
        <is>
          <t>EffectiveHits</t>
        </is>
      </c>
      <c r="H320" s="8" t="inlineStr">
        <is>
          <t>ProcProbability</t>
        </is>
      </c>
      <c r="I320" s="8" t="inlineStr">
        <is>
          <t>MapleHeroMultiplier</t>
        </is>
      </c>
      <c r="J320" s="8" t="inlineStr">
        <is>
          <t>BaseDamage</t>
        </is>
      </c>
      <c r="K320" s="8" t="inlineStr">
        <is>
          <t>BaseHitDamage</t>
        </is>
      </c>
      <c r="L320" s="8" t="inlineStr">
        <is>
          <t>NonCritAvg</t>
        </is>
      </c>
      <c r="M320" s="8" t="inlineStr">
        <is>
          <t>CritAvg</t>
        </is>
      </c>
      <c r="N320" s="8" t="inlineStr">
        <is>
          <t>ExpectedDamage(perHit)</t>
        </is>
      </c>
      <c r="O320" s="8" t="inlineStr">
        <is>
          <t>DPS</t>
        </is>
      </c>
      <c r="P320" s="8" t="inlineStr">
        <is>
          <t>% of Total</t>
        </is>
      </c>
      <c r="R320" t="inlineStr">
        <is>
          <t>helpers</t>
        </is>
      </c>
    </row>
    <row r="321">
      <c r="A321">
        <f>Skills!A2</f>
        <v/>
      </c>
      <c r="B321">
        <f>Skills!B2</f>
        <v/>
      </c>
      <c r="C321">
        <f>Inputs!$B$3&gt;=100</f>
        <v/>
      </c>
      <c r="D321" t="inlineStr"/>
      <c r="E321" t="inlineStr"/>
      <c r="F321">
        <f>T323+Skills!N2</f>
        <v/>
      </c>
      <c r="G321">
        <f>Calc!G2</f>
        <v/>
      </c>
      <c r="H321">
        <f>Calc!H2</f>
        <v/>
      </c>
      <c r="I321">
        <f>IF(Skills!T2&lt;&gt;"",1+(Skills!T2/10)*($Z$3/1000)/100,1)</f>
        <v/>
      </c>
      <c r="J321">
        <f>((Inputs!$B$5*(1+Inputs!$B$6/100))+((Inputs!$B$11*(1+Inputs!$B$12/100))-(Inputs!$B$11*(1+Inputs!$B$12/100)))*(1+Inputs!$B$6/100))*(F321/100)</f>
        <v/>
      </c>
      <c r="K321">
        <f>J321*(1+((Inputs!$B$11*(1+Inputs!$B$12/100))*0.01+Inputs!$B$13*0.0025)/100)*(1+(Inputs!$B$14+B350)/100)*(1+IF(Inputs!$B$4="pvp",0,(1-Summary!$B$48)*(Inputs!$B$19+Skills!O2+B348)+Summary!$B$48*(Inputs!$B$20+Skills!P2+B349))/100)*(1+Inputs!$B$15/100)*(5000/(6000+Inputs!$B$7*(1-Inputs!$B$18/100)))*(1+Inputs!$B$23/100)*(1+IF(C336=TRUE,F336,0)/100)*(1+IF(C338=TRUE,F338,0)/100)*(1+IF(Skills!A2="TRIUMPH_FEATHER",IF(C334=TRUE,F334,0),0)/100)*(1+IF(C345=TRUE,F345,0)/100)^5*(1+(IF(Skills!A2="BIG_BANG",Inputs!$B$16,Inputs!$B$17))/100)*(B347*I321)</f>
        <v/>
      </c>
      <c r="L321">
        <f>K321*(MIN((Inputs!$B$21+1)+(F340-Calc!F21),Inputs!$B$22)/100+Inputs!$B$22/100)/2</f>
        <v/>
      </c>
      <c r="M321">
        <f>L321*(1+(Inputs!$B$9+B351+(F343-Calc!F24))/100)</f>
        <v/>
      </c>
      <c r="N321">
        <f>L321*(1-MIN(Inputs!$B$8+((F342-Calc!F23)+(F341-Calc!F22)),100)/100)+M321*(MIN(Inputs!$B$8+((F342-Calc!F23)+(F341-Calc!F22)),100)/100)</f>
        <v/>
      </c>
      <c r="O321">
        <f>IF(C321,Skills!F2*N321*B355*IF(Inputs!$B$4="pvp",1,(1-Summary!$B$48)*(1)+Summary!$B$48*(MIN((6+Inputs!$B$32),Inputs!$B$37))),0)</f>
        <v/>
      </c>
      <c r="P321">
        <f>IF(B357=0,0,O321/B357)</f>
        <v/>
      </c>
      <c r="S321" t="n">
        <v>0</v>
      </c>
      <c r="T321">
        <f>MAX(0,(Inputs!$B$3-100)*3)+Inputs!$B$27+Inputs!$B$28</f>
        <v/>
      </c>
      <c r="V321">
        <f>IFERROR(1/IF(Inputs!$B$4="pvp",15,MAX(0.1,Skills!D2-IF(Skills!E2=TRUE,Inputs!$B$31,0))),0)</f>
        <v/>
      </c>
    </row>
    <row r="322">
      <c r="A322">
        <f>Skills!A3</f>
        <v/>
      </c>
      <c r="B322">
        <f>Skills!B3</f>
        <v/>
      </c>
      <c r="C322">
        <f>Inputs!$B$3&gt;=15</f>
        <v/>
      </c>
      <c r="D322">
        <f>IF(Skills!C3=1,60+Inputs!$B$24+Inputs!$B$28,IF(Skills!C3=2,90+Inputs!$B$25+Inputs!$B$28,IF(Skills!C3=3,120+Inputs!$B$26+Inputs!$B$28,MAX(0,(Inputs!$B$3-100)*3)+Inputs!$B$27+Inputs!$B$28)))</f>
        <v/>
      </c>
      <c r="E322">
        <f>INDEX(FactorTable!$B$2:$Y$301, MATCH(ROUND(MIN(300,MAX(1,D322)),0), FactorTable!$A$2:$A$301,0), Skills!L3+1)</f>
        <v/>
      </c>
      <c r="F322">
        <f>IF(Skills!M3=TRUE,(Skills!K3/10)*(E322/1000),Skills!K3/10)+Skills!N3</f>
        <v/>
      </c>
      <c r="G322">
        <f>Calc!G3</f>
        <v/>
      </c>
      <c r="H322">
        <f>Calc!H3</f>
        <v/>
      </c>
      <c r="I322">
        <f>IF(Skills!T3&lt;&gt;"",1+(Skills!T3/10)*($Z$3/1000)/100,1)</f>
        <v/>
      </c>
      <c r="J322" t="inlineStr"/>
      <c r="K322" t="inlineStr"/>
      <c r="L322" t="inlineStr"/>
      <c r="M322" t="inlineStr"/>
      <c r="N322" t="inlineStr"/>
      <c r="O322" t="n">
        <v>0</v>
      </c>
      <c r="P322">
        <f>IF(B357=0,0,O322/B357)</f>
        <v/>
      </c>
      <c r="S322">
        <f>IF(AND(Inputs!$B$4&lt;&gt;"pvp",Inputs!$B$35&gt;0),(INT(Inputs!$B$35/IF(Inputs!$B$4="pvp",15,MAX(0.1,Skills!D3-IF(Skills!E3=TRUE,Inputs!$B$31,0))))+1),0)</f>
        <v/>
      </c>
      <c r="T322">
        <f>INDEX(FactorTable!$B$2:$Y$301, MATCH(ROUND(MIN(300,MAX(1,T321)),0), FactorTable!$A$2:$A$301,0), 22)</f>
        <v/>
      </c>
      <c r="V322">
        <f>IFERROR(1/IF(Inputs!$B$4="pvp",15,MAX(0.1,Skills!D3-IF(Skills!E3=TRUE,Inputs!$B$31,0))),0)</f>
        <v/>
      </c>
    </row>
    <row r="323">
      <c r="A323">
        <f>Skills!A4</f>
        <v/>
      </c>
      <c r="B323">
        <f>Skills!B4</f>
        <v/>
      </c>
      <c r="C323">
        <f>Inputs!$B$3&gt;=38</f>
        <v/>
      </c>
      <c r="D323">
        <f>IF(Skills!C4=1,60+Inputs!$B$24+Inputs!$B$28,IF(Skills!C4=2,90+Inputs!$B$25+Inputs!$B$28,IF(Skills!C4=3,120+Inputs!$B$26+Inputs!$B$28,MAX(0,(Inputs!$B$3-100)*3)+Inputs!$B$27+Inputs!$B$28)))</f>
        <v/>
      </c>
      <c r="E323">
        <f>INDEX(FactorTable!$B$2:$Y$301, MATCH(ROUND(MIN(300,MAX(1,D323)),0), FactorTable!$A$2:$A$301,0), Skills!L4+1)</f>
        <v/>
      </c>
      <c r="F323">
        <f>IF(Skills!M4=TRUE,(Skills!K4/10)*(E323/1000),Skills!K4/10)+Skills!N4</f>
        <v/>
      </c>
      <c r="G323">
        <f>Calc!G4</f>
        <v/>
      </c>
      <c r="H323">
        <f>Calc!H4</f>
        <v/>
      </c>
      <c r="I323">
        <f>IF(Skills!T4&lt;&gt;"",1+(Skills!T4/10)*($Z$3/1000)/100,1)</f>
        <v/>
      </c>
      <c r="J323" t="inlineStr"/>
      <c r="K323" t="inlineStr"/>
      <c r="L323" t="inlineStr"/>
      <c r="M323" t="inlineStr"/>
      <c r="N323" t="inlineStr"/>
      <c r="O323" t="n">
        <v>0</v>
      </c>
      <c r="P323">
        <f>IF(B357=0,0,O323/B357)</f>
        <v/>
      </c>
      <c r="S323">
        <f>IF(AND(Inputs!$B$4&lt;&gt;"pvp",Inputs!$B$35&gt;0),(INT(Inputs!$B$35/IF(Inputs!$B$4="pvp",15,MAX(0.1,Skills!D4-IF(Skills!E4=TRUE,Inputs!$B$31,0))))+1),0)</f>
        <v/>
      </c>
      <c r="T323">
        <f>290*T322/1000</f>
        <v/>
      </c>
      <c r="V323">
        <f>IFERROR(1/IF(Inputs!$B$4="pvp",15,MAX(0.1,Skills!D4-IF(Skills!E4=TRUE,Inputs!$B$31,0))),0)</f>
        <v/>
      </c>
    </row>
    <row r="324">
      <c r="A324">
        <f>Skills!A5</f>
        <v/>
      </c>
      <c r="B324">
        <f>Skills!B5</f>
        <v/>
      </c>
      <c r="C324">
        <f>Inputs!$B$3&gt;=40</f>
        <v/>
      </c>
      <c r="D324">
        <f>IF(Skills!C5=1,60+Inputs!$B$24+Inputs!$B$28,IF(Skills!C5=2,90+Inputs!$B$25+Inputs!$B$28,IF(Skills!C5=3,120+Inputs!$B$26+Inputs!$B$28,MAX(0,(Inputs!$B$3-100)*3)+Inputs!$B$27+Inputs!$B$28)))</f>
        <v/>
      </c>
      <c r="E324">
        <f>INDEX(FactorTable!$B$2:$Y$301, MATCH(ROUND(MIN(300,MAX(1,D324)),0), FactorTable!$A$2:$A$301,0), Skills!L5+1)</f>
        <v/>
      </c>
      <c r="F324">
        <f>IF(Skills!M5=TRUE,(Skills!K5/10)*(E324/1000),Skills!K5/10)+Skills!N5</f>
        <v/>
      </c>
      <c r="G324">
        <f>Calc!G5</f>
        <v/>
      </c>
      <c r="H324">
        <f>Calc!H5</f>
        <v/>
      </c>
      <c r="I324">
        <f>IF(Skills!T5&lt;&gt;"",1+(Skills!T5/10)*($Z$3/1000)/100,1)</f>
        <v/>
      </c>
      <c r="J324" t="inlineStr"/>
      <c r="K324" t="inlineStr"/>
      <c r="L324" t="inlineStr"/>
      <c r="M324" t="inlineStr"/>
      <c r="N324" t="inlineStr"/>
      <c r="O324" t="n">
        <v>0</v>
      </c>
      <c r="P324">
        <f>IF(B357=0,0,O324/B357)</f>
        <v/>
      </c>
      <c r="S324">
        <f>IF(AND(Inputs!$B$4&lt;&gt;"pvp",Inputs!$B$35&gt;0),(INT(Inputs!$B$35/IF(Inputs!$B$4="pvp",15,MAX(0.1,Skills!D5-IF(Skills!E5=TRUE,Inputs!$B$31,0))))+1),0)</f>
        <v/>
      </c>
      <c r="V324">
        <f>IFERROR(1/IF(Inputs!$B$4="pvp",15,MAX(0.1,Skills!D5-IF(Skills!E5=TRUE,Inputs!$B$31,0))),0)</f>
        <v/>
      </c>
    </row>
    <row r="325">
      <c r="A325">
        <f>Skills!A6</f>
        <v/>
      </c>
      <c r="B325">
        <f>Skills!B6</f>
        <v/>
      </c>
      <c r="C325">
        <f>Inputs!$B$3&gt;=103</f>
        <v/>
      </c>
      <c r="D325">
        <f>IF(Skills!C6=1,60+Inputs!$B$24+Inputs!$B$28,IF(Skills!C6=2,90+Inputs!$B$25+Inputs!$B$28,IF(Skills!C6=3,120+Inputs!$B$26+Inputs!$B$28,MAX(0,(Inputs!$B$3-100)*3)+Inputs!$B$27+Inputs!$B$28)))</f>
        <v/>
      </c>
      <c r="E325">
        <f>INDEX(FactorTable!$B$2:$Y$301, MATCH(ROUND(MIN(300,MAX(1,D325)),0), FactorTable!$A$2:$A$301,0), Skills!L6+1)</f>
        <v/>
      </c>
      <c r="F325">
        <f>IF(Skills!M6=TRUE,(Skills!K6/10)*(E325/1000),Skills!K6/10)+Skills!N6</f>
        <v/>
      </c>
      <c r="G325">
        <f>Calc!G6</f>
        <v/>
      </c>
      <c r="H325">
        <f>Calc!H6</f>
        <v/>
      </c>
      <c r="I325">
        <f>IF(Skills!T6&lt;&gt;"",1+(Skills!T6/10)*($Z$3/1000)/100,1)</f>
        <v/>
      </c>
      <c r="J325">
        <f>((Inputs!$B$5*(1+Inputs!$B$6/100))+((Inputs!$B$11*(1+Inputs!$B$12/100))-(Inputs!$B$11*(1+Inputs!$B$12/100)))*(1+Inputs!$B$6/100))*(F325/100)</f>
        <v/>
      </c>
      <c r="K325">
        <f>J325*(1+((Inputs!$B$11*(1+Inputs!$B$12/100))*0.01+Inputs!$B$13*0.0025)/100)*(1+(Inputs!$B$14+B350)/100)*(1+IF(Inputs!$B$4="pvp",0,(1-Summary!$B$48)*(Inputs!$B$19+Skills!O6+B348)+Summary!$B$48*(Inputs!$B$20+Skills!P6+B349))/100)*(1+Inputs!$B$15/100)*(5000/(6000+Inputs!$B$7*(1-Inputs!$B$18/100)))*(1+Inputs!$B$23/100)*(1+IF(C336=TRUE,F336,0)/100)*(1+IF(C338=TRUE,F338,0)/100)*(1+IF(Skills!A6="TRIUMPH_FEATHER",IF(C334=TRUE,F334,0),0)/100)*(1+IF(C345=TRUE,F345,0)/100)^5*(1+(IF(Skills!A6="BIG_BANG",Inputs!$B$16,Inputs!$B$17))/100)*(B347*I325)</f>
        <v/>
      </c>
      <c r="L325">
        <f>K325*(MIN((Inputs!$B$21+1)+(F340-Calc!F21),Inputs!$B$22)/100+Inputs!$B$22/100)/2</f>
        <v/>
      </c>
      <c r="M325">
        <f>L325*(1+(Inputs!$B$9+B351+(F343-Calc!F24))/100)</f>
        <v/>
      </c>
      <c r="N325">
        <f>L325*(1-MIN(Inputs!$B$8+((F342-Calc!F23)+(F341-Calc!F22)),100)/100)+M325*(MIN(Inputs!$B$8+((F342-Calc!F23)+(F341-Calc!F22)),100)/100)</f>
        <v/>
      </c>
      <c r="O325">
        <f>IF(C325,H325*N325*IF(AND(Inputs!$B$4&lt;&gt;"pvp",Inputs!$B$35&gt;0),((Skills!F6*((S325-1)*IF(Skills!G6&gt;0,Skills!H6/Skills!G6,1)+IF(Skills!G6&gt;0,MIN(Skills!H6,MAX(0,Inputs!$B$35-((S325-1)*IF(Inputs!$B$4="pvp",15,MAX(0.1,Skills!D6-IF(Skills!E6=TRUE,Inputs!$B$31,0))))))/Skills!G6,1)))/Inputs!$B$35),G325*V325)*IF(Inputs!$B$4="pvp",1,(1-Summary!$B$48)*(1)+Summary!$B$48*(MIN(Skills!Q6,Inputs!$B$37))),0)</f>
        <v/>
      </c>
      <c r="P325">
        <f>IF(B357=0,0,O325/B357)</f>
        <v/>
      </c>
      <c r="S325">
        <f>IF(AND(Inputs!$B$4&lt;&gt;"pvp",Inputs!$B$35&gt;0),(INT(Inputs!$B$35/IF(Inputs!$B$4="pvp",15,MAX(0.1,Skills!D6-IF(Skills!E6=TRUE,Inputs!$B$31,0))))+1),0)</f>
        <v/>
      </c>
      <c r="V325">
        <f>IFERROR(1/IF(Inputs!$B$4="pvp",15,MAX(0.1,Skills!D6-IF(Skills!E6=TRUE,Inputs!$B$31,0))),0)</f>
        <v/>
      </c>
    </row>
    <row r="326">
      <c r="A326">
        <f>Skills!A7</f>
        <v/>
      </c>
      <c r="B326">
        <f>Skills!B7</f>
        <v/>
      </c>
      <c r="C326">
        <f>Inputs!$B$3&gt;=122</f>
        <v/>
      </c>
      <c r="D326">
        <f>IF(Skills!C7=1,60+Inputs!$B$24+Inputs!$B$28,IF(Skills!C7=2,90+Inputs!$B$25+Inputs!$B$28,IF(Skills!C7=3,120+Inputs!$B$26+Inputs!$B$28,MAX(0,(Inputs!$B$3-100)*3)+Inputs!$B$27+Inputs!$B$28)))</f>
        <v/>
      </c>
      <c r="E326">
        <f>INDEX(FactorTable!$B$2:$Y$301, MATCH(ROUND(MIN(300,MAX(1,D326)),0), FactorTable!$A$2:$A$301,0), Skills!L7+1)</f>
        <v/>
      </c>
      <c r="F326">
        <f>IF(Skills!M7=TRUE,(Skills!K7/10)*(E326/1000),Skills!K7/10)+Skills!N7</f>
        <v/>
      </c>
      <c r="G326">
        <f>Calc!G7</f>
        <v/>
      </c>
      <c r="H326">
        <f>Calc!H7</f>
        <v/>
      </c>
      <c r="I326">
        <f>IF(Skills!T7&lt;&gt;"",1+(Skills!T7/10)*($Z$3/1000)/100,1)</f>
        <v/>
      </c>
      <c r="J326">
        <f>((Inputs!$B$5*(1+Inputs!$B$6/100))+((Inputs!$B$11*(1+Inputs!$B$12/100))-(Inputs!$B$11*(1+Inputs!$B$12/100)))*(1+Inputs!$B$6/100))*(F326/100)</f>
        <v/>
      </c>
      <c r="K326">
        <f>J326*(1+((Inputs!$B$11*(1+Inputs!$B$12/100))*0.01+Inputs!$B$13*0.0025)/100)*(1+(Inputs!$B$14+B350)/100)*(1+IF(Inputs!$B$4="pvp",0,(1-Summary!$B$48)*(Inputs!$B$19+Skills!O7+B348)+Summary!$B$48*(Inputs!$B$20+Skills!P7+B349))/100)*(1+Inputs!$B$15/100)*(5000/(6000+Inputs!$B$7*(1-Inputs!$B$18/100)))*(1+Inputs!$B$23/100)*(1+IF(C336=TRUE,F336,0)/100)*(1+IF(C338=TRUE,F338,0)/100)*(1+IF(Skills!A7="TRIUMPH_FEATHER",IF(C334=TRUE,F334,0),0)/100)*(1+IF(C345=TRUE,F345,0)/100)^5*(1+(IF(Skills!A7="BIG_BANG",Inputs!$B$16,Inputs!$B$17))/100)*(B347*I326)</f>
        <v/>
      </c>
      <c r="L326">
        <f>K326*(MIN((Inputs!$B$21+1)+(F340-Calc!F21),Inputs!$B$22)/100+Inputs!$B$22/100)/2</f>
        <v/>
      </c>
      <c r="M326">
        <f>L326*(1+(Inputs!$B$9+B351+(F343-Calc!F24))/100)</f>
        <v/>
      </c>
      <c r="N326">
        <f>L326*(1-MIN(Inputs!$B$8+((F342-Calc!F23)+(F341-Calc!F22)),100)/100)+M326*(MIN(Inputs!$B$8+((F342-Calc!F23)+(F341-Calc!F22)),100)/100)</f>
        <v/>
      </c>
      <c r="O326">
        <f>IF(C326,H326*N326*IF(AND(Inputs!$B$4&lt;&gt;"pvp",Inputs!$B$35&gt;0),((Skills!F7*((S326-1)*IF(Skills!G7&gt;0,Skills!H7/Skills!G7,1)+IF(Skills!G7&gt;0,MIN(Skills!H7,MAX(0,Inputs!$B$35-((S326-1)*IF(Inputs!$B$4="pvp",15,MAX(0.1,Skills!D7-IF(Skills!E6=TRUE,Inputs!$B$31,0))))))/Skills!G7,1)))/Inputs!$B$35),G326*V326)*(1-Summary!$B$48),0)</f>
        <v/>
      </c>
      <c r="P326">
        <f>IF(B357=0,0,O326/B357)</f>
        <v/>
      </c>
      <c r="S326">
        <f>IF(AND(Inputs!$B$4&lt;&gt;"pvp",Inputs!$B$35&gt;0),(INT(Inputs!$B$35/IF(Inputs!$B$4="pvp",15,MAX(0.1,Skills!D7-IF(Skills!E6=TRUE,Inputs!$B$31,0))))+1),0)</f>
        <v/>
      </c>
      <c r="V326">
        <f>IFERROR(1/IF(Inputs!$B$4="pvp",15,MAX(0.1,Skills!D7-IF(Skills!E6=TRUE,Inputs!$B$31,0))),0)</f>
        <v/>
      </c>
    </row>
    <row r="327">
      <c r="A327">
        <f>Skills!A8</f>
        <v/>
      </c>
      <c r="B327">
        <f>Skills!B8</f>
        <v/>
      </c>
      <c r="C327">
        <f>Inputs!$B$3&gt;=105</f>
        <v/>
      </c>
      <c r="D327">
        <f>IF(Skills!C8=1,60+Inputs!$B$24+Inputs!$B$28,IF(Skills!C8=2,90+Inputs!$B$25+Inputs!$B$28,IF(Skills!C8=3,120+Inputs!$B$26+Inputs!$B$28,MAX(0,(Inputs!$B$3-100)*3)+Inputs!$B$27+Inputs!$B$28)))</f>
        <v/>
      </c>
      <c r="E327">
        <f>INDEX(FactorTable!$B$2:$Y$301, MATCH(ROUND(MIN(300,MAX(1,D327)),0), FactorTable!$A$2:$A$301,0), Skills!L8+1)</f>
        <v/>
      </c>
      <c r="F327">
        <f>IF(Skills!M8=TRUE,(Skills!K8/10)*(E327/1000),Skills!K8/10)+Skills!N8</f>
        <v/>
      </c>
      <c r="G327">
        <f>Calc!G8</f>
        <v/>
      </c>
      <c r="H327">
        <f>Calc!H8</f>
        <v/>
      </c>
      <c r="I327">
        <f>IF(Skills!T8&lt;&gt;"",1+(Skills!T8/10)*($Z$3/1000)/100,1)</f>
        <v/>
      </c>
      <c r="J327">
        <f>((Inputs!$B$5*(1+Inputs!$B$6/100))+((Inputs!$B$11*(1+Inputs!$B$12/100))-(Inputs!$B$11*(1+Inputs!$B$12/100)))*(1+Inputs!$B$6/100))*(F327/100)</f>
        <v/>
      </c>
      <c r="K327">
        <f>J327*(1+((Inputs!$B$11*(1+Inputs!$B$12/100))*0.01+Inputs!$B$13*0.0025)/100)*(1+(Inputs!$B$14+B350)/100)*(1+IF(Inputs!$B$4="pvp",0,(1-Summary!$B$48)*(Inputs!$B$19+Skills!O8+B348)+Summary!$B$48*(Inputs!$B$20+Skills!P8+B349))/100)*(1+Inputs!$B$15/100)*(5000/(6000+Inputs!$B$7*(1-Inputs!$B$18/100)))*(1+Inputs!$B$23/100)*(1+IF(C336=TRUE,F336,0)/100)*(1+IF(C338=TRUE,F338,0)/100)*(1+IF(Skills!A8="TRIUMPH_FEATHER",IF(C334=TRUE,F334,0),0)/100)*(1+IF(C345=TRUE,F345,0)/100)^5*(1+(IF(Skills!A8="BIG_BANG",Inputs!$B$16,Inputs!$B$17))/100)*(B347*I327)</f>
        <v/>
      </c>
      <c r="L327">
        <f>K327*(MIN((Inputs!$B$21+1)+(F340-Calc!F21),Inputs!$B$22)/100+Inputs!$B$22/100)/2</f>
        <v/>
      </c>
      <c r="M327">
        <f>L327*(1+(Inputs!$B$9+B351+(F343-Calc!F24))/100)</f>
        <v/>
      </c>
      <c r="N327">
        <f>L327*(1-MIN(Inputs!$B$8+((F342-Calc!F23)+(F341-Calc!F22)),100)/100)+M327*(MIN(Inputs!$B$8+((F342-Calc!F23)+(F341-Calc!F22)),100)/100)</f>
        <v/>
      </c>
      <c r="O327">
        <f>IF(C327,H327*N327*IF(AND(Inputs!$B$4&lt;&gt;"pvp",Inputs!$B$35&gt;0),((Skills!F8*((S327-1)*IF(Skills!G8&gt;0,Skills!H8/Skills!G8,1)+IF(Skills!G8&gt;0,MIN(Skills!H8,MAX(0,Inputs!$B$35-((S327-1)*IF(Inputs!$B$4="pvp",15,MAX(0.1,Skills!D8-IF(Skills!E8=TRUE,Inputs!$B$31,0))))))/Skills!G8,1)))/Inputs!$B$35),G327*V327)*IF(Inputs!$B$4="pvp",1,(1-Summary!$B$48)*(1)+Summary!$B$48*(MIN(Skills!Q8,Inputs!$B$37))),0)</f>
        <v/>
      </c>
      <c r="P327">
        <f>IF(B357=0,0,O327/B357)</f>
        <v/>
      </c>
      <c r="S327">
        <f>IF(AND(Inputs!$B$4&lt;&gt;"pvp",Inputs!$B$35&gt;0),(INT(Inputs!$B$35/IF(Inputs!$B$4="pvp",15,MAX(0.1,Skills!D8-IF(Skills!E8=TRUE,Inputs!$B$31,0))))+1),0)</f>
        <v/>
      </c>
      <c r="V327">
        <f>IFERROR(1/IF(Inputs!$B$4="pvp",15,MAX(0.1,Skills!D8-IF(Skills!E8=TRUE,Inputs!$B$31,0))),0)</f>
        <v/>
      </c>
    </row>
    <row r="328">
      <c r="A328">
        <f>Skills!A9</f>
        <v/>
      </c>
      <c r="B328">
        <f>Skills!B9</f>
        <v/>
      </c>
      <c r="C328">
        <f>Inputs!$B$3&gt;=115</f>
        <v/>
      </c>
      <c r="D328">
        <f>IF(Skills!C9=1,60+Inputs!$B$24+Inputs!$B$28,IF(Skills!C9=2,90+Inputs!$B$25+Inputs!$B$28,IF(Skills!C9=3,120+Inputs!$B$26+Inputs!$B$28,MAX(0,(Inputs!$B$3-100)*3)+Inputs!$B$27+Inputs!$B$28)))</f>
        <v/>
      </c>
      <c r="E328">
        <f>INDEX(FactorTable!$B$2:$Y$301, MATCH(ROUND(MIN(300,MAX(1,D328)),0), FactorTable!$A$2:$A$301,0), Skills!L9+1)</f>
        <v/>
      </c>
      <c r="F328">
        <f>IF(Skills!M9=TRUE,(Skills!K9/10)*(E328/1000),Skills!K9/10)+Skills!N9</f>
        <v/>
      </c>
      <c r="G328">
        <f>Calc!G9</f>
        <v/>
      </c>
      <c r="H328">
        <f>Calc!H9</f>
        <v/>
      </c>
      <c r="I328">
        <f>IF(Skills!T9&lt;&gt;"",1+(Skills!T9/10)*($Z$3/1000)/100,1)</f>
        <v/>
      </c>
      <c r="J328">
        <f>((Inputs!$B$5*(1+Inputs!$B$6/100))+((Inputs!$B$11*(1+Inputs!$B$12/100))-(Inputs!$B$11*(1+Inputs!$B$12/100)))*(1+Inputs!$B$6/100))*(F328/100)</f>
        <v/>
      </c>
      <c r="K328">
        <f>J328*(1+((Inputs!$B$11*(1+Inputs!$B$12/100))*0.01+Inputs!$B$13*0.0025)/100)*(1+(Inputs!$B$14+B350)/100)*(1+IF(Inputs!$B$4="pvp",0,(1-Summary!$B$48)*(Inputs!$B$19+Skills!O9+B348)+Summary!$B$48*(Inputs!$B$20+Skills!P9+B349))/100)*(1+Inputs!$B$15/100)*(5000/(6000+Inputs!$B$7*(1-Inputs!$B$18/100)))*(1+Inputs!$B$23/100)*(1+IF(C336=TRUE,F336,0)/100)*(1+IF(C338=TRUE,F338,0)/100)*(1+IF(Skills!A9="TRIUMPH_FEATHER",IF(C334=TRUE,F334,0),0)/100)*(1+IF(C345=TRUE,F345,0)/100)^5*(1+(IF(Skills!A9="BIG_BANG",Inputs!$B$16,Inputs!$B$17))/100)*(B347*I328)</f>
        <v/>
      </c>
      <c r="L328">
        <f>K328*(MIN((Inputs!$B$21+1)+(F340-Calc!F21),Inputs!$B$22)/100+Inputs!$B$22/100)/2</f>
        <v/>
      </c>
      <c r="M328">
        <f>L328*(1+(Inputs!$B$9+B351+(F343-Calc!F24))/100)</f>
        <v/>
      </c>
      <c r="N328">
        <f>L328*(1-MIN(Inputs!$B$8+((F342-Calc!F23)+(F341-Calc!F22)),100)/100)+M328*(MIN(Inputs!$B$8+((F342-Calc!F23)+(F341-Calc!F22)),100)/100)</f>
        <v/>
      </c>
      <c r="O328">
        <f>IF(C328,H328*N328*IF(AND(Inputs!$B$4&lt;&gt;"pvp",Inputs!$B$35&gt;0),((Skills!F9*((S328-1)*IF(Skills!G9&gt;0,Skills!H9/Skills!G9,1)+IF(Skills!G9&gt;0,MIN(Skills!H9,MAX(0,Inputs!$B$35-((S328-1)*IF(Inputs!$B$4="pvp",15,MAX(0.1,Skills!D9-IF(Skills!E9=TRUE,Inputs!$B$31,0))))))/Skills!G9,1)))/Inputs!$B$35),G328*V328)*IF(Inputs!$B$4="pvp",1,(1-Summary!$B$48)*(1)+Summary!$B$48*(MIN(Skills!Q9,Inputs!$B$37))),0)</f>
        <v/>
      </c>
      <c r="P328">
        <f>IF(B357=0,0,O328/B357)</f>
        <v/>
      </c>
      <c r="S328">
        <f>IF(AND(Inputs!$B$4&lt;&gt;"pvp",Inputs!$B$35&gt;0),(INT(Inputs!$B$35/IF(Inputs!$B$4="pvp",15,MAX(0.1,Skills!D9-IF(Skills!E9=TRUE,Inputs!$B$31,0))))+1),0)</f>
        <v/>
      </c>
      <c r="V328">
        <f>IFERROR(1/IF(Inputs!$B$4="pvp",15,MAX(0.1,Skills!D9-IF(Skills!E9=TRUE,Inputs!$B$31,0))),0)</f>
        <v/>
      </c>
    </row>
    <row r="329">
      <c r="A329">
        <f>Skills!A10</f>
        <v/>
      </c>
      <c r="B329">
        <f>Skills!B10</f>
        <v/>
      </c>
      <c r="C329">
        <f>Inputs!$B$3&gt;=66</f>
        <v/>
      </c>
      <c r="D329">
        <f>IF(Skills!C10=1,60+Inputs!$B$24+Inputs!$B$28,IF(Skills!C10=2,90+Inputs!$B$25+Inputs!$B$28,IF(Skills!C10=3,120+Inputs!$B$26+Inputs!$B$28,MAX(0,(Inputs!$B$3-100)*3)+Inputs!$B$27+Inputs!$B$28)))</f>
        <v/>
      </c>
      <c r="E329">
        <f>INDEX(FactorTable!$B$2:$Y$301, MATCH(ROUND(MIN(300,MAX(1,D329)),0), FactorTable!$A$2:$A$301,0), Skills!L10+1)</f>
        <v/>
      </c>
      <c r="F329" t="n">
        <v>0</v>
      </c>
      <c r="G329">
        <f>Calc!G10</f>
        <v/>
      </c>
      <c r="H329">
        <f>Calc!H10</f>
        <v/>
      </c>
      <c r="I329">
        <f>IF(Skills!T10&lt;&gt;"",1+(Skills!T10/10)*($Z$3/1000)/100,1)</f>
        <v/>
      </c>
      <c r="J329" t="inlineStr"/>
      <c r="K329" t="inlineStr"/>
      <c r="L329" t="inlineStr"/>
      <c r="M329" t="inlineStr"/>
      <c r="N329" t="inlineStr"/>
      <c r="O329" t="n">
        <v>0</v>
      </c>
      <c r="P329">
        <f>IF(B357=0,0,O329/B357)</f>
        <v/>
      </c>
      <c r="S329">
        <f>IF(AND(Inputs!$B$4&lt;&gt;"pvp",Inputs!$B$35&gt;0),(INT(Inputs!$B$35/IF(Inputs!$B$4="pvp",15,MAX(0.1,Skills!D10-IF(Skills!E10=TRUE,Inputs!$B$31,0))))+1),0)</f>
        <v/>
      </c>
      <c r="V329">
        <f>IFERROR(1/IF(Inputs!$B$4="pvp",15,MAX(0.1,Skills!D10-IF(Skills!E10=TRUE,Inputs!$B$31,0))),0)</f>
        <v/>
      </c>
    </row>
    <row r="330">
      <c r="A330">
        <f>Skills!A11</f>
        <v/>
      </c>
      <c r="B330">
        <f>Skills!B11</f>
        <v/>
      </c>
      <c r="C330">
        <f>Inputs!$B$3&gt;=69</f>
        <v/>
      </c>
      <c r="D330">
        <f>IF(Skills!C11=1,60+Inputs!$B$24+Inputs!$B$28,IF(Skills!C11=2,90+Inputs!$B$25+Inputs!$B$28,IF(Skills!C11=3,120+Inputs!$B$26+Inputs!$B$28,MAX(0,(Inputs!$B$3-100)*3)+Inputs!$B$27+Inputs!$B$28)))</f>
        <v/>
      </c>
      <c r="E330">
        <f>INDEX(FactorTable!$B$2:$Y$301, MATCH(ROUND(MIN(300,MAX(1,D330)),0), FactorTable!$A$2:$A$301,0), Skills!L11+1)</f>
        <v/>
      </c>
      <c r="F330">
        <f>IF(Skills!M11=TRUE,(Skills!K11/10)*(E330/1000),Skills!K11/10)+Skills!N11</f>
        <v/>
      </c>
      <c r="G330">
        <f>Calc!G11</f>
        <v/>
      </c>
      <c r="H330">
        <f>Calc!H11</f>
        <v/>
      </c>
      <c r="I330">
        <f>IF(Skills!T11&lt;&gt;"",1+(Skills!T11/10)*($Z$3/1000)/100,1)</f>
        <v/>
      </c>
      <c r="J330" t="inlineStr"/>
      <c r="K330" t="inlineStr"/>
      <c r="L330" t="inlineStr"/>
      <c r="M330" t="inlineStr"/>
      <c r="N330" t="inlineStr"/>
      <c r="O330" t="n">
        <v>0</v>
      </c>
      <c r="P330">
        <f>IF(B357=0,0,O330/B357)</f>
        <v/>
      </c>
      <c r="S330">
        <f>IF(AND(Inputs!$B$4&lt;&gt;"pvp",Inputs!$B$35&gt;0),(INT(Inputs!$B$35/IF(Inputs!$B$4="pvp",15,MAX(0.1,Skills!D11-IF(Skills!E11=TRUE,Inputs!$B$31,0))))+1),0)</f>
        <v/>
      </c>
      <c r="V330">
        <f>IFERROR(1/IF(Inputs!$B$4="pvp",15,MAX(0.1,Skills!D11-IF(Skills!E11=TRUE,Inputs!$B$31,0))),0)</f>
        <v/>
      </c>
    </row>
    <row r="331">
      <c r="A331">
        <f>Skills!A12</f>
        <v/>
      </c>
      <c r="B331">
        <f>Skills!B12</f>
        <v/>
      </c>
      <c r="C331">
        <f>Inputs!$B$3&gt;=72</f>
        <v/>
      </c>
      <c r="D331">
        <f>IF(Skills!C12=1,60+Inputs!$B$24+Inputs!$B$28,IF(Skills!C12=2,90+Inputs!$B$25+Inputs!$B$28,IF(Skills!C12=3,120+Inputs!$B$26+Inputs!$B$28,MAX(0,(Inputs!$B$3-100)*3)+Inputs!$B$27+Inputs!$B$28)))</f>
        <v/>
      </c>
      <c r="E331">
        <f>INDEX(FactorTable!$B$2:$Y$301, MATCH(ROUND(MIN(300,MAX(1,D331)),0), FactorTable!$A$2:$A$301,0), Skills!L12+1)</f>
        <v/>
      </c>
      <c r="F331">
        <f>IF(Skills!M12=TRUE,(Skills!K12/10)*(E331/1000),Skills!K12/10)+Skills!N12</f>
        <v/>
      </c>
      <c r="G331">
        <f>Calc!G12</f>
        <v/>
      </c>
      <c r="H331">
        <f>Calc!H12</f>
        <v/>
      </c>
      <c r="I331">
        <f>IF(Skills!T12&lt;&gt;"",1+(Skills!T12/10)*($Z$3/1000)/100,1)</f>
        <v/>
      </c>
      <c r="J331" t="inlineStr"/>
      <c r="K331" t="inlineStr"/>
      <c r="L331" t="inlineStr"/>
      <c r="M331" t="inlineStr"/>
      <c r="N331" t="inlineStr"/>
      <c r="O331" t="n">
        <v>0</v>
      </c>
      <c r="P331">
        <f>IF(B357=0,0,O331/B357)</f>
        <v/>
      </c>
      <c r="S331">
        <f>IF(AND(Inputs!$B$4&lt;&gt;"pvp",Inputs!$B$35&gt;0),(INT(Inputs!$B$35/IF(Inputs!$B$4="pvp",15,MAX(0.1,Skills!D12-IF(Skills!E12=TRUE,Inputs!$B$31,0))))+1),0)</f>
        <v/>
      </c>
      <c r="V331">
        <f>IFERROR(1/IF(Inputs!$B$4="pvp",15,MAX(0.1,Skills!D12-IF(Skills!E12=TRUE,Inputs!$B$31,0))),0)</f>
        <v/>
      </c>
    </row>
    <row r="332">
      <c r="A332">
        <f>Skills!A13</f>
        <v/>
      </c>
      <c r="B332">
        <f>Skills!B13</f>
        <v/>
      </c>
      <c r="C332">
        <f>Inputs!$B$3&gt;=107</f>
        <v/>
      </c>
      <c r="D332">
        <f>IF(Skills!C13=1,60+Inputs!$B$24+Inputs!$B$28,IF(Skills!C13=2,90+Inputs!$B$25+Inputs!$B$28,IF(Skills!C13=3,120+Inputs!$B$26+Inputs!$B$28,MAX(0,(Inputs!$B$3-100)*3)+Inputs!$B$27+Inputs!$B$28)))</f>
        <v/>
      </c>
      <c r="E332">
        <f>INDEX(FactorTable!$B$2:$Y$301, MATCH(ROUND(MIN(300,MAX(1,D332)),0), FactorTable!$A$2:$A$301,0), Skills!L13+1)</f>
        <v/>
      </c>
      <c r="F332">
        <f>IF(Skills!M13=TRUE,(Skills!K13/10)*(E332/1000),Skills!K13/10)+Skills!N13</f>
        <v/>
      </c>
      <c r="G332">
        <f>Calc!G13</f>
        <v/>
      </c>
      <c r="H332">
        <f>Calc!H13</f>
        <v/>
      </c>
      <c r="I332">
        <f>IF(Skills!T13&lt;&gt;"",1+(Skills!T13/10)*($Z$3/1000)/100,1)</f>
        <v/>
      </c>
      <c r="J332" t="inlineStr"/>
      <c r="K332" t="inlineStr"/>
      <c r="L332" t="inlineStr"/>
      <c r="M332" t="inlineStr"/>
      <c r="N332" t="inlineStr"/>
      <c r="O332" t="n">
        <v>0</v>
      </c>
      <c r="P332">
        <f>IF(B357=0,0,O332/B357)</f>
        <v/>
      </c>
      <c r="S332">
        <f>IF(AND(Inputs!$B$4&lt;&gt;"pvp",Inputs!$B$35&gt;0),(INT(Inputs!$B$35/IF(Inputs!$B$4="pvp",15,MAX(0.1,Skills!D13-IF(Skills!E13=TRUE,Inputs!$B$31,0))))+1),0)</f>
        <v/>
      </c>
      <c r="V332">
        <f>IFERROR(1/IF(Inputs!$B$4="pvp",15,MAX(0.1,Skills!D13-IF(Skills!E13=TRUE,Inputs!$B$31,0))),0)</f>
        <v/>
      </c>
    </row>
    <row r="333">
      <c r="A333">
        <f>Skills!A14</f>
        <v/>
      </c>
      <c r="B333">
        <f>Skills!B14</f>
        <v/>
      </c>
      <c r="C333">
        <f>Inputs!$B$3&gt;=63</f>
        <v/>
      </c>
      <c r="D333">
        <f>IF(Skills!C14=1,60+Inputs!$B$24+Inputs!$B$28,IF(Skills!C14=2,90+Inputs!$B$25+Inputs!$B$28,IF(Skills!C14=3,120+Inputs!$B$26+Inputs!$B$28,MAX(0,(Inputs!$B$3-100)*3)+Inputs!$B$27+Inputs!$B$28)))</f>
        <v/>
      </c>
      <c r="E333">
        <f>INDEX(FactorTable!$B$2:$Y$301, MATCH(ROUND(MIN(300,MAX(1,D333)),0), FactorTable!$A$2:$A$301,0), Skills!L14+1)</f>
        <v/>
      </c>
      <c r="F333">
        <f>IF(Skills!M14=TRUE,(Skills!K14/10)*(E333/1000),Skills!K14/10)+Skills!N14</f>
        <v/>
      </c>
      <c r="G333">
        <f>Calc!G14</f>
        <v/>
      </c>
      <c r="H333">
        <f>Calc!H14</f>
        <v/>
      </c>
      <c r="I333">
        <f>IF(Skills!T14&lt;&gt;"",1+(Skills!T14/10)*($Z$3/1000)/100,1)</f>
        <v/>
      </c>
      <c r="J333">
        <f>((Inputs!$B$5*(1+Inputs!$B$6/100))+((Inputs!$B$11*(1+Inputs!$B$12/100))-(Inputs!$B$11*(1+Inputs!$B$12/100)))*(1+Inputs!$B$6/100))*(F333/100)</f>
        <v/>
      </c>
      <c r="K333">
        <f>J333*(1+((Inputs!$B$11*(1+Inputs!$B$12/100))*0.01+Inputs!$B$13*0.0025)/100)*(1+(Inputs!$B$14+B350)/100)*(1+IF(Inputs!$B$4="pvp",0,(1-Summary!$B$48)*(Inputs!$B$19+Skills!O14+B348)+Summary!$B$48*(Inputs!$B$20+Skills!P14+B349))/100)*(1+Inputs!$B$15/100)*(5000/(6000+Inputs!$B$7*(1-Inputs!$B$18/100)))*(1+Inputs!$B$23/100)*(1+IF(C336=TRUE,F336,0)/100)*(1+IF(C338=TRUE,F338,0)/100)*(1+IF(Skills!A14="TRIUMPH_FEATHER",IF(C334=TRUE,F334,0),0)/100)*(1+IF(C345=TRUE,F345,0)/100)^5*(1+(IF(Skills!A14="BIG_BANG",Inputs!$B$16,Inputs!$B$17))/100)*(B347*I333)</f>
        <v/>
      </c>
      <c r="L333">
        <f>K333*(MIN((Inputs!$B$21+1)+(F340-Calc!F21),Inputs!$B$22)/100+Inputs!$B$22/100)/2</f>
        <v/>
      </c>
      <c r="M333">
        <f>L333*(1+(Inputs!$B$9+B351+(F343-Calc!F24))/100)</f>
        <v/>
      </c>
      <c r="N333">
        <f>L333*(1-MIN(Inputs!$B$8+((F342-Calc!F23)+(F341-Calc!F22)),100)/100)+M333*(MIN(Inputs!$B$8+((F342-Calc!F23)+(F341-Calc!F22)),100)/100)</f>
        <v/>
      </c>
      <c r="O333">
        <f>IF(C333,Skills!F14*N333*((IF(Inputs!$B$3&gt;=78,25,15)/100*B353*10)/(1+IF(Inputs!$B$3&gt;=78,25,15)/100*B353*10))*(Skills!I14/100*B353)/(1+Skills!G14*Skills!I14/100*B353)*IF(Inputs!$B$4="pvp",1,(1-Summary!$B$48)*(1)+Summary!$B$48*(MIN(Skills!Q14,Inputs!$B$37))),0)</f>
        <v/>
      </c>
      <c r="P333">
        <f>IF(B357=0,0,O333/B357)</f>
        <v/>
      </c>
      <c r="S333" t="n">
        <v>0</v>
      </c>
      <c r="V333">
        <f>IFERROR(1/IF(Inputs!$B$4="pvp",15,MAX(0.1,Skills!D14-IF(Skills!E14=TRUE,Inputs!$B$31,0))),0)</f>
        <v/>
      </c>
    </row>
    <row r="334">
      <c r="A334">
        <f>Skills!A15</f>
        <v/>
      </c>
      <c r="B334">
        <f>Skills!B15</f>
        <v/>
      </c>
      <c r="C334">
        <f>Inputs!$B$3&gt;=100</f>
        <v/>
      </c>
      <c r="D334">
        <f>IF(Skills!C15=1,60+Inputs!$B$24+Inputs!$B$28,IF(Skills!C15=2,90+Inputs!$B$25+Inputs!$B$28,IF(Skills!C15=3,120+Inputs!$B$26+Inputs!$B$28,MAX(0,(Inputs!$B$3-100)*3)+Inputs!$B$27+Inputs!$B$28)))</f>
        <v/>
      </c>
      <c r="E334">
        <f>INDEX(FactorTable!$B$2:$Y$301, MATCH(ROUND(MIN(300,MAX(1,D334)),0), FactorTable!$A$2:$A$301,0), Skills!L15+1)</f>
        <v/>
      </c>
      <c r="F334">
        <f>IF(Skills!M15=TRUE,(Skills!K15/10)*(E334/1000),Skills!K15/10)+Skills!N15</f>
        <v/>
      </c>
      <c r="G334">
        <f>Calc!G15</f>
        <v/>
      </c>
      <c r="H334">
        <f>Calc!H15</f>
        <v/>
      </c>
      <c r="I334">
        <f>IF(Skills!T15&lt;&gt;"",1+(Skills!T15/10)*($Z$3/1000)/100,1)</f>
        <v/>
      </c>
      <c r="J334" t="inlineStr"/>
      <c r="K334" t="inlineStr"/>
      <c r="L334" t="inlineStr"/>
      <c r="M334" t="inlineStr"/>
      <c r="N334" t="inlineStr"/>
      <c r="O334" t="n">
        <v>0</v>
      </c>
      <c r="P334">
        <f>IF(B357=0,0,O334/B357)</f>
        <v/>
      </c>
      <c r="S334" t="n">
        <v>0</v>
      </c>
      <c r="V334">
        <f>IFERROR(1/IF(Inputs!$B$4="pvp",15,MAX(0.1,Skills!D15-IF(Skills!E15=TRUE,Inputs!$B$31,0))),0)</f>
        <v/>
      </c>
    </row>
    <row r="335">
      <c r="A335">
        <f>Skills!A16</f>
        <v/>
      </c>
      <c r="B335">
        <f>Skills!B16</f>
        <v/>
      </c>
      <c r="C335">
        <f>Inputs!$B$3&gt;=49</f>
        <v/>
      </c>
      <c r="D335">
        <f>IF(Skills!C16=1,60+Inputs!$B$24+Inputs!$B$28,IF(Skills!C16=2,90+Inputs!$B$25+Inputs!$B$28,IF(Skills!C16=3,120+Inputs!$B$26+Inputs!$B$28,MAX(0,(Inputs!$B$3-100)*3)+Inputs!$B$27+Inputs!$B$28)))</f>
        <v/>
      </c>
      <c r="E335">
        <f>INDEX(FactorTable!$B$2:$Y$301, MATCH(ROUND(MIN(300,MAX(1,D335)),0), FactorTable!$A$2:$A$301,0), Skills!L16+1)</f>
        <v/>
      </c>
      <c r="F335">
        <f>IF(Skills!M16=TRUE,(Skills!K16/10)*(E335/1000),Skills!K16/10)+Skills!N16</f>
        <v/>
      </c>
      <c r="G335">
        <f>Calc!G16</f>
        <v/>
      </c>
      <c r="H335">
        <f>Calc!H16</f>
        <v/>
      </c>
      <c r="I335">
        <f>IF(Skills!T16&lt;&gt;"",1+(Skills!T16/10)*($Z$3/1000)/100,1)</f>
        <v/>
      </c>
      <c r="J335" t="inlineStr"/>
      <c r="K335" t="inlineStr"/>
      <c r="L335" t="inlineStr"/>
      <c r="M335" t="inlineStr"/>
      <c r="N335" t="inlineStr"/>
      <c r="O335" t="n">
        <v>0</v>
      </c>
      <c r="P335">
        <f>IF(B357=0,0,O335/B357)</f>
        <v/>
      </c>
      <c r="S335" t="n">
        <v>0</v>
      </c>
      <c r="V335">
        <f>IFERROR(1/IF(Inputs!$B$4="pvp",15,MAX(0.1,Skills!D16-IF(Skills!E16=TRUE,Inputs!$B$31,0))),0)</f>
        <v/>
      </c>
    </row>
    <row r="336">
      <c r="A336">
        <f>Skills!A17</f>
        <v/>
      </c>
      <c r="B336">
        <f>Skills!B17</f>
        <v/>
      </c>
      <c r="C336">
        <f>Inputs!$B$3&gt;=75</f>
        <v/>
      </c>
      <c r="D336">
        <f>IF(Skills!C17=1,60+Inputs!$B$24+Inputs!$B$28,IF(Skills!C17=2,90+Inputs!$B$25+Inputs!$B$28,IF(Skills!C17=3,120+Inputs!$B$26+Inputs!$B$28,MAX(0,(Inputs!$B$3-100)*3)+Inputs!$B$27+Inputs!$B$28)))</f>
        <v/>
      </c>
      <c r="E336">
        <f>INDEX(FactorTable!$B$2:$Y$301, MATCH(ROUND(MIN(300,MAX(1,D336)),0), FactorTable!$A$2:$A$301,0), Skills!L17+1)</f>
        <v/>
      </c>
      <c r="F336">
        <f>IF(Skills!M17=TRUE,(Skills!K17/10)*(E336/1000),Skills!K17/10)+Skills!N17</f>
        <v/>
      </c>
      <c r="G336">
        <f>Calc!G17</f>
        <v/>
      </c>
      <c r="H336">
        <f>Calc!H17</f>
        <v/>
      </c>
      <c r="I336">
        <f>IF(Skills!T17&lt;&gt;"",1+(Skills!T17/10)*($Z$3/1000)/100,1)</f>
        <v/>
      </c>
      <c r="J336" t="inlineStr"/>
      <c r="K336" t="inlineStr"/>
      <c r="L336" t="inlineStr"/>
      <c r="M336" t="inlineStr"/>
      <c r="N336" t="inlineStr"/>
      <c r="O336" t="n">
        <v>0</v>
      </c>
      <c r="P336">
        <f>IF(B357=0,0,O336/B357)</f>
        <v/>
      </c>
      <c r="S336" t="n">
        <v>0</v>
      </c>
      <c r="V336">
        <f>IFERROR(1/IF(Inputs!$B$4="pvp",15,MAX(0.1,Skills!D17-IF(Skills!E17=TRUE,Inputs!$B$31,0))),0)</f>
        <v/>
      </c>
    </row>
    <row r="337">
      <c r="A337">
        <f>Skills!A18</f>
        <v/>
      </c>
      <c r="B337">
        <f>Skills!B18</f>
        <v/>
      </c>
      <c r="C337">
        <f>Inputs!$B$3&gt;=110</f>
        <v/>
      </c>
      <c r="D337">
        <f>IF(Skills!C18=1,60+Inputs!$B$24+Inputs!$B$28,IF(Skills!C18=2,90+Inputs!$B$25+Inputs!$B$28,IF(Skills!C18=3,120+Inputs!$B$26+Inputs!$B$28,MAX(0,(Inputs!$B$3-100)*3)+Inputs!$B$27+Inputs!$B$28)))</f>
        <v/>
      </c>
      <c r="E337">
        <f>INDEX(FactorTable!$B$2:$Y$301, MATCH(ROUND(MIN(300,MAX(1,D337)),0), FactorTable!$A$2:$A$301,0), Skills!L18+1)</f>
        <v/>
      </c>
      <c r="F337">
        <f>(Skills!K18/10)*(E337/1000)*64/45+Skills!N18</f>
        <v/>
      </c>
      <c r="G337">
        <f>Calc!G18</f>
        <v/>
      </c>
      <c r="H337">
        <f>Calc!H18</f>
        <v/>
      </c>
      <c r="I337">
        <f>IF(Skills!T18&lt;&gt;"",1+(Skills!T18/10)*($Z$3/1000)/100,1)</f>
        <v/>
      </c>
      <c r="J337" t="inlineStr"/>
      <c r="K337" t="inlineStr"/>
      <c r="L337" t="inlineStr"/>
      <c r="M337" t="inlineStr"/>
      <c r="N337" t="inlineStr"/>
      <c r="O337" t="n">
        <v>0</v>
      </c>
      <c r="P337">
        <f>IF(B357=0,0,O337/B357)</f>
        <v/>
      </c>
      <c r="S337">
        <f>IF(AND(Inputs!$B$4&lt;&gt;"pvp",Inputs!$B$35&gt;0),(INT(Inputs!$B$35/IF(Inputs!$B$4="pvp",15,MAX(0.1,Skills!D18-IF(Skills!E18=TRUE,Inputs!$B$31,0))))+1),0)</f>
        <v/>
      </c>
      <c r="V337">
        <f>IFERROR(1/IF(Inputs!$B$4="pvp",15,MAX(0.1,Skills!D18-IF(Skills!E18=TRUE,Inputs!$B$31,0))),0)</f>
        <v/>
      </c>
    </row>
    <row r="338">
      <c r="A338">
        <f>Skills!A19</f>
        <v/>
      </c>
      <c r="B338">
        <f>Skills!B19</f>
        <v/>
      </c>
      <c r="C338">
        <f>Inputs!$B$3&gt;=125</f>
        <v/>
      </c>
      <c r="D338">
        <f>IF(Skills!C19=1,60+Inputs!$B$24+Inputs!$B$28,IF(Skills!C19=2,90+Inputs!$B$25+Inputs!$B$28,IF(Skills!C19=3,120+Inputs!$B$26+Inputs!$B$28,MAX(0,(Inputs!$B$3-100)*3)+Inputs!$B$27+Inputs!$B$28)))</f>
        <v/>
      </c>
      <c r="E338">
        <f>INDEX(FactorTable!$B$2:$Y$301, MATCH(ROUND(MIN(300,MAX(1,D338)),0), FactorTable!$A$2:$A$301,0), Skills!L19+1)</f>
        <v/>
      </c>
      <c r="F338">
        <f>IF(Skills!M19=TRUE,(Skills!K19/10)*(E338/1000),Skills!K19/10)+Skills!N19</f>
        <v/>
      </c>
      <c r="G338">
        <f>Calc!G19</f>
        <v/>
      </c>
      <c r="H338">
        <f>Calc!H19</f>
        <v/>
      </c>
      <c r="I338">
        <f>IF(Skills!T19&lt;&gt;"",1+(Skills!T19/10)*($Z$3/1000)/100,1)</f>
        <v/>
      </c>
      <c r="J338" t="inlineStr"/>
      <c r="K338" t="inlineStr"/>
      <c r="L338" t="inlineStr"/>
      <c r="M338" t="inlineStr"/>
      <c r="N338" t="inlineStr"/>
      <c r="O338" t="n">
        <v>0</v>
      </c>
      <c r="P338">
        <f>IF(B357=0,0,O338/B357)</f>
        <v/>
      </c>
      <c r="S338" t="n">
        <v>0</v>
      </c>
      <c r="V338">
        <f>IFERROR(1/IF(Inputs!$B$4="pvp",15,MAX(0.1,Skills!D19-IF(Skills!E19=TRUE,Inputs!$B$31,0))),0)</f>
        <v/>
      </c>
    </row>
    <row r="339">
      <c r="A339">
        <f>Skills!A20</f>
        <v/>
      </c>
      <c r="B339">
        <f>Skills!B20</f>
        <v/>
      </c>
      <c r="C339">
        <f>Inputs!$B$3&gt;=33</f>
        <v/>
      </c>
      <c r="D339">
        <f>IF(Skills!C20=1,60+Inputs!$B$24+Inputs!$B$28,IF(Skills!C20=2,90+Inputs!$B$25+Inputs!$B$28,IF(Skills!C20=3,120+Inputs!$B$26+Inputs!$B$28,MAX(0,(Inputs!$B$3-100)*3)+Inputs!$B$27+Inputs!$B$28)))</f>
        <v/>
      </c>
      <c r="E339">
        <f>INDEX(FactorTable!$B$2:$Y$301, MATCH(ROUND(MIN(300,MAX(1,D339)),0), FactorTable!$A$2:$A$301,0), Skills!L20+1)</f>
        <v/>
      </c>
      <c r="F339">
        <f>IF(Skills!M20=TRUE,(Skills!K20/10)*(E339/1000),Skills!K20/10)+Skills!N20</f>
        <v/>
      </c>
      <c r="G339">
        <f>Calc!G20</f>
        <v/>
      </c>
      <c r="H339">
        <f>Calc!H20</f>
        <v/>
      </c>
      <c r="I339">
        <f>IF(Skills!T20&lt;&gt;"",1+(Skills!T20/10)*($Z$3/1000)/100,1)</f>
        <v/>
      </c>
      <c r="J339" t="inlineStr"/>
      <c r="K339" t="inlineStr"/>
      <c r="L339" t="inlineStr"/>
      <c r="M339" t="inlineStr"/>
      <c r="N339" t="inlineStr"/>
      <c r="O339" t="n">
        <v>0</v>
      </c>
      <c r="P339">
        <f>IF(B357=0,0,O339/B357)</f>
        <v/>
      </c>
      <c r="S339" t="n">
        <v>0</v>
      </c>
      <c r="V339">
        <f>IFERROR(1/IF(Inputs!$B$4="pvp",15,MAX(0.1,Skills!D20-IF(Skills!E20=TRUE,Inputs!$B$31,0))),0)</f>
        <v/>
      </c>
    </row>
    <row r="340">
      <c r="A340">
        <f>Skills!A21</f>
        <v/>
      </c>
      <c r="B340">
        <f>Skills!B21</f>
        <v/>
      </c>
      <c r="C340">
        <f>Inputs!$B$3&gt;=43</f>
        <v/>
      </c>
      <c r="D340">
        <f>IF(Skills!C21=1,60+Inputs!$B$24+Inputs!$B$28,IF(Skills!C21=2,90+Inputs!$B$25+Inputs!$B$28,IF(Skills!C21=3,120+Inputs!$B$26+Inputs!$B$28,MAX(0,(Inputs!$B$3-100)*3)+Inputs!$B$27+Inputs!$B$28)))</f>
        <v/>
      </c>
      <c r="E340">
        <f>INDEX(FactorTable!$B$2:$Y$301, MATCH(ROUND(MIN(300,MAX(1,D340)),0), FactorTable!$A$2:$A$301,0), Skills!L21+1)</f>
        <v/>
      </c>
      <c r="F340">
        <f>IF(Skills!M21=TRUE,(Skills!K21/10)*(E340/1000),Skills!K21/10)+Skills!N21</f>
        <v/>
      </c>
      <c r="G340">
        <f>Calc!G21</f>
        <v/>
      </c>
      <c r="H340">
        <f>Calc!H21</f>
        <v/>
      </c>
      <c r="I340">
        <f>IF(Skills!T21&lt;&gt;"",1+(Skills!T21/10)*($Z$3/1000)/100,1)</f>
        <v/>
      </c>
      <c r="J340" t="inlineStr"/>
      <c r="K340" t="inlineStr"/>
      <c r="L340" t="inlineStr"/>
      <c r="M340" t="inlineStr"/>
      <c r="N340" t="inlineStr"/>
      <c r="O340" t="n">
        <v>0</v>
      </c>
      <c r="P340">
        <f>IF(B357=0,0,O340/B357)</f>
        <v/>
      </c>
      <c r="S340" t="n">
        <v>0</v>
      </c>
      <c r="V340">
        <f>IFERROR(1/IF(Inputs!$B$4="pvp",15,MAX(0.1,Skills!D21-IF(Skills!E21=TRUE,Inputs!$B$31,0))),0)</f>
        <v/>
      </c>
    </row>
    <row r="341">
      <c r="A341">
        <f>Skills!A22</f>
        <v/>
      </c>
      <c r="B341">
        <f>Skills!B22</f>
        <v/>
      </c>
      <c r="C341">
        <f>Inputs!$B$3&gt;=50</f>
        <v/>
      </c>
      <c r="D341">
        <f>IF(Skills!C22=1,60+Inputs!$B$24+Inputs!$B$28,IF(Skills!C22=2,90+Inputs!$B$25+Inputs!$B$28,IF(Skills!C22=3,120+Inputs!$B$26+Inputs!$B$28,MAX(0,(Inputs!$B$3-100)*3)+Inputs!$B$27+Inputs!$B$28)))</f>
        <v/>
      </c>
      <c r="E341">
        <f>INDEX(FactorTable!$B$2:$Y$301, MATCH(ROUND(MIN(300,MAX(1,D341)),0), FactorTable!$A$2:$A$301,0), Skills!L22+1)</f>
        <v/>
      </c>
      <c r="F341">
        <f>IF(Skills!M22=TRUE,(Skills!K22/10)*(E341/1000),Skills!K22/10)+Skills!N22</f>
        <v/>
      </c>
      <c r="G341">
        <f>Calc!G22</f>
        <v/>
      </c>
      <c r="H341">
        <f>Calc!H22</f>
        <v/>
      </c>
      <c r="I341">
        <f>IF(Skills!T22&lt;&gt;"",1+(Skills!T22/10)*($Z$3/1000)/100,1)</f>
        <v/>
      </c>
      <c r="J341" t="inlineStr"/>
      <c r="K341" t="inlineStr"/>
      <c r="L341" t="inlineStr"/>
      <c r="M341" t="inlineStr"/>
      <c r="N341" t="inlineStr"/>
      <c r="O341" t="n">
        <v>0</v>
      </c>
      <c r="P341">
        <f>IF(B357=0,0,O341/B357)</f>
        <v/>
      </c>
      <c r="S341" t="n">
        <v>0</v>
      </c>
      <c r="V341">
        <f>IFERROR(1/IF(Inputs!$B$4="pvp",15,MAX(0.1,Skills!D22-IF(Skills!E22=TRUE,Inputs!$B$31,0))),0)</f>
        <v/>
      </c>
    </row>
    <row r="342">
      <c r="A342">
        <f>Skills!A23</f>
        <v/>
      </c>
      <c r="B342">
        <f>Skills!B23</f>
        <v/>
      </c>
      <c r="C342">
        <f>Inputs!$B$3&gt;=74</f>
        <v/>
      </c>
      <c r="D342">
        <f>IF(Skills!C23=1,60+Inputs!$B$24+Inputs!$B$28,IF(Skills!C23=2,90+Inputs!$B$25+Inputs!$B$28,IF(Skills!C23=3,120+Inputs!$B$26+Inputs!$B$28,MAX(0,(Inputs!$B$3-100)*3)+Inputs!$B$27+Inputs!$B$28)))</f>
        <v/>
      </c>
      <c r="E342">
        <f>INDEX(FactorTable!$B$2:$Y$301, MATCH(ROUND(MIN(300,MAX(1,D342)),0), FactorTable!$A$2:$A$301,0), Skills!L23+1)</f>
        <v/>
      </c>
      <c r="F342">
        <f>IF(Skills!M23=TRUE,(Skills!K23/10)*(E342/1000),Skills!K23/10)+Skills!N23</f>
        <v/>
      </c>
      <c r="G342">
        <f>Calc!G23</f>
        <v/>
      </c>
      <c r="H342">
        <f>Calc!H23</f>
        <v/>
      </c>
      <c r="I342">
        <f>IF(Skills!T23&lt;&gt;"",1+(Skills!T23/10)*($Z$3/1000)/100,1)</f>
        <v/>
      </c>
      <c r="J342" t="inlineStr"/>
      <c r="K342" t="inlineStr"/>
      <c r="L342" t="inlineStr"/>
      <c r="M342" t="inlineStr"/>
      <c r="N342" t="inlineStr"/>
      <c r="O342" t="n">
        <v>0</v>
      </c>
      <c r="P342">
        <f>IF(B357=0,0,O342/B357)</f>
        <v/>
      </c>
      <c r="S342" t="n">
        <v>0</v>
      </c>
      <c r="V342">
        <f>IFERROR(1/IF(Inputs!$B$4="pvp",15,MAX(0.1,Skills!D23-IF(Skills!E23=TRUE,Inputs!$B$31,0))),0)</f>
        <v/>
      </c>
    </row>
    <row r="343">
      <c r="A343">
        <f>Skills!A24</f>
        <v/>
      </c>
      <c r="B343">
        <f>Skills!B24</f>
        <v/>
      </c>
      <c r="C343">
        <f>Inputs!$B$3&gt;=74</f>
        <v/>
      </c>
      <c r="D343">
        <f>IF(Skills!C24=1,60+Inputs!$B$24+Inputs!$B$28,IF(Skills!C24=2,90+Inputs!$B$25+Inputs!$B$28,IF(Skills!C24=3,120+Inputs!$B$26+Inputs!$B$28,MAX(0,(Inputs!$B$3-100)*3)+Inputs!$B$27+Inputs!$B$28)))</f>
        <v/>
      </c>
      <c r="E343">
        <f>INDEX(FactorTable!$B$2:$Y$301, MATCH(ROUND(MIN(300,MAX(1,D343)),0), FactorTable!$A$2:$A$301,0), Skills!L24+1)</f>
        <v/>
      </c>
      <c r="F343">
        <f>IF(Skills!M24=TRUE,(Skills!K24/10)*(E343/1000),Skills!K24/10)+Skills!N24</f>
        <v/>
      </c>
      <c r="G343">
        <f>Calc!G24</f>
        <v/>
      </c>
      <c r="H343">
        <f>Calc!H24</f>
        <v/>
      </c>
      <c r="I343">
        <f>IF(Skills!T24&lt;&gt;"",1+(Skills!T24/10)*($Z$3/1000)/100,1)</f>
        <v/>
      </c>
      <c r="J343" t="inlineStr"/>
      <c r="K343" t="inlineStr"/>
      <c r="L343" t="inlineStr"/>
      <c r="M343" t="inlineStr"/>
      <c r="N343" t="inlineStr"/>
      <c r="O343" t="n">
        <v>0</v>
      </c>
      <c r="P343">
        <f>IF(B357=0,0,O343/B357)</f>
        <v/>
      </c>
      <c r="S343" t="n">
        <v>0</v>
      </c>
      <c r="V343">
        <f>IFERROR(1/IF(Inputs!$B$4="pvp",15,MAX(0.1,Skills!D24-IF(Skills!E24=TRUE,Inputs!$B$31,0))),0)</f>
        <v/>
      </c>
    </row>
    <row r="344">
      <c r="A344">
        <f>Skills!A25</f>
        <v/>
      </c>
      <c r="B344">
        <f>Skills!B25</f>
        <v/>
      </c>
      <c r="C344">
        <f>Inputs!$B$3&gt;=117</f>
        <v/>
      </c>
      <c r="D344">
        <f>IF(Skills!C25=1,60+Inputs!$B$24+Inputs!$B$28,IF(Skills!C25=2,90+Inputs!$B$25+Inputs!$B$28,IF(Skills!C25=3,120+Inputs!$B$26+Inputs!$B$28,MAX(0,(Inputs!$B$3-100)*3)+Inputs!$B$27+Inputs!$B$28)))</f>
        <v/>
      </c>
      <c r="E344">
        <f>INDEX(FactorTable!$B$2:$Y$301, MATCH(ROUND(MIN(300,MAX(1,D344)),0), FactorTable!$A$2:$A$301,0), Skills!L25+1)</f>
        <v/>
      </c>
      <c r="F344">
        <f>IF(Skills!M25=TRUE,(Skills!K25/10)*(E344/1000),Skills!K25/10)+Skills!N25</f>
        <v/>
      </c>
      <c r="G344">
        <f>Calc!G25</f>
        <v/>
      </c>
      <c r="H344">
        <f>Calc!H25</f>
        <v/>
      </c>
      <c r="I344">
        <f>IF(Skills!T25&lt;&gt;"",1+(Skills!T25/10)*($Z$3/1000)/100,1)</f>
        <v/>
      </c>
      <c r="J344" t="inlineStr"/>
      <c r="K344" t="inlineStr"/>
      <c r="L344" t="inlineStr"/>
      <c r="M344" t="inlineStr"/>
      <c r="N344" t="inlineStr"/>
      <c r="O344" t="n">
        <v>0</v>
      </c>
      <c r="P344">
        <f>IF(B357=0,0,O344/B357)</f>
        <v/>
      </c>
      <c r="S344" t="n">
        <v>0</v>
      </c>
      <c r="V344">
        <f>IFERROR(1/IF(Inputs!$B$4="pvp",15,MAX(0.1,Skills!D25-IF(Skills!E25=TRUE,Inputs!$B$31,0))),0)</f>
        <v/>
      </c>
    </row>
    <row r="345">
      <c r="A345">
        <f>Skills!A26</f>
        <v/>
      </c>
      <c r="B345">
        <f>Skills!B26</f>
        <v/>
      </c>
      <c r="C345">
        <f>Inputs!$B$3&gt;=120</f>
        <v/>
      </c>
      <c r="D345">
        <f>IF(Skills!C26=1,60+Inputs!$B$24+Inputs!$B$28,IF(Skills!C26=2,90+Inputs!$B$25+Inputs!$B$28,IF(Skills!C26=3,120+Inputs!$B$26+Inputs!$B$28,MAX(0,(Inputs!$B$3-100)*3)+Inputs!$B$27+Inputs!$B$28)))</f>
        <v/>
      </c>
      <c r="E345">
        <f>INDEX(FactorTable!$B$2:$Y$301, MATCH(ROUND(MIN(300,MAX(1,D345)),0), FactorTable!$A$2:$A$301,0), Skills!L26+1)</f>
        <v/>
      </c>
      <c r="F345">
        <f>IF(Skills!M26=TRUE,(Skills!K26/10)*(E345/1000),Skills!K26/10)+Skills!N26</f>
        <v/>
      </c>
      <c r="G345">
        <f>Calc!G26</f>
        <v/>
      </c>
      <c r="H345">
        <f>Calc!H26</f>
        <v/>
      </c>
      <c r="I345">
        <f>IF(Skills!T26&lt;&gt;"",1+(Skills!T26/10)*($Z$3/1000)/100,1)</f>
        <v/>
      </c>
      <c r="J345" t="inlineStr"/>
      <c r="K345" t="inlineStr"/>
      <c r="L345" t="inlineStr"/>
      <c r="M345" t="inlineStr"/>
      <c r="N345" t="inlineStr"/>
      <c r="O345" t="n">
        <v>0</v>
      </c>
      <c r="P345">
        <f>IF(B357=0,0,O345/B357)</f>
        <v/>
      </c>
      <c r="S345" t="n">
        <v>0</v>
      </c>
      <c r="V345">
        <f>IFERROR(1/IF(Inputs!$B$4="pvp",15,MAX(0.1,Skills!D26-IF(Skills!E26=TRUE,Inputs!$B$31,0))),0)</f>
        <v/>
      </c>
    </row>
    <row r="347">
      <c r="A347" t="inlineStr">
        <is>
          <t>Average Buff Multiplier</t>
        </is>
      </c>
      <c r="B347">
        <f>(1+(IF(C322=TRUE,F322*IF(AND(Inputs!$B$4&lt;&gt;"pvp",Inputs!$B$35&gt;0),(((S322-1)*(Skills!S3*(1+(Inputs!$B$33+IF(Inputs!$B$3&gt;=117,F344,0))/100))+MIN((Skills!S3*(1+(Inputs!$B$33+IF(Inputs!$B$3&gt;=117,F344,0))/100)),MAX(0,Inputs!$B$35-((S322-1)*Skills!D3))))/Inputs!$B$35),IF(Inputs!$B$4="pvp",MIN((Skills!S3*(1+(Inputs!$B$33+IF(Inputs!$B$3&gt;=117,F344,0))/100)),15)/15,(Skills!S3*(1+(Inputs!$B$33+IF(Inputs!$B$3&gt;=117,F344,0))/100))/Skills!D3)),0)+IF(C323=TRUE,F323*IF(AND(Inputs!$B$4&lt;&gt;"pvp",Inputs!$B$35&gt;0),(((S323-1)*(Skills!S4*(1+(Inputs!$B$33+IF(Inputs!$B$3&gt;=117,F344,0))/100))+MIN((Skills!S4*(1+(Inputs!$B$33+IF(Inputs!$B$3&gt;=117,F344,0))/100)),MAX(0,Inputs!$B$35-((S323-1)*Skills!D4))))/Inputs!$B$35),IF(Inputs!$B$4="pvp",MIN((Skills!S4*(1+(Inputs!$B$33+IF(Inputs!$B$3&gt;=117,F344,0))/100)),15)/15,(Skills!S4*(1+(Inputs!$B$33+IF(Inputs!$B$3&gt;=117,F344,0))/100))/Skills!D4)),0)+IF(C324=TRUE,F324*IF(AND(Inputs!$B$4&lt;&gt;"pvp",Inputs!$B$35&gt;0),(((S324-1)*(Skills!S5*(1+(Inputs!$B$33+IF(Inputs!$B$3&gt;=117,F344,0))/100))+MIN((Skills!S5*(1+(Inputs!$B$33+IF(Inputs!$B$3&gt;=117,F344,0))/100)),MAX(0,Inputs!$B$35-((S324-1)*Skills!D5))))/Inputs!$B$35),IF(Inputs!$B$4="pvp",MIN((Skills!S5*(1+(Inputs!$B$33+IF(Inputs!$B$3&gt;=117,F344,0))/100)),15)/15,(Skills!S5*(1+(Inputs!$B$33+IF(Inputs!$B$3&gt;=117,F344,0))/100))/Skills!D5)),0)+IF(C330=TRUE,F330*IF(AND(Inputs!$B$4&lt;&gt;"pvp",Inputs!$B$35&gt;0),(((S330-1)*(Skills!S11*(1+(Inputs!$B$33+IF(Inputs!$B$3&gt;=117,F344,0))/100))+MIN((Skills!S11*(1+(Inputs!$B$33+IF(Inputs!$B$3&gt;=117,F344,0))/100)),MAX(0,Inputs!$B$35-((S330-1)*Skills!D11))))/Inputs!$B$35),IF(Inputs!$B$4="pvp",MIN((Skills!S11*(1+(Inputs!$B$33+IF(Inputs!$B$3&gt;=117,F344,0))/100)),15)/15,(Skills!S11*(1+(Inputs!$B$33+IF(Inputs!$B$3&gt;=117,F344,0))/100))/Skills!D11)),0))/100)*IF(C332=TRUE,(1+F332*IF(AND(Inputs!$B$4&lt;&gt;"pvp",Inputs!$B$35&gt;0),(((S332-1)*(Skills!S13*(1+(Inputs!$B$33+IF(Inputs!$B$3&gt;=117,F344,0))/100))+MIN((Skills!S13*(1+(Inputs!$B$33+IF(Inputs!$B$3&gt;=117,F344,0))/100)),MAX(0,Inputs!$B$35-((S332-1)*Skills!D13))))/Inputs!$B$35),IF(Inputs!$B$4="pvp",MIN((Skills!S13*(1+(Inputs!$B$33+IF(Inputs!$B$3&gt;=117,F344,0))/100)),15)/15,(Skills!S13*(1+(Inputs!$B$33+IF(Inputs!$B$3&gt;=117,F344,0))/100))/Skills!D13))/100),1)*IF(C337=TRUE,(1+F337*IF(AND(Inputs!$B$4&lt;&gt;"pvp",Inputs!$B$35&gt;0),(((S337-1)*(Skills!S18*(1+(Inputs!$B$33+IF(Inputs!$B$3&gt;=117,F344,0))/100))+MIN((Skills!S18*(1+(Inputs!$B$33+IF(Inputs!$B$3&gt;=117,F344,0))/100)),MAX(0,Inputs!$B$35-((S337-1)*Skills!D18))))/Inputs!$B$35),IF(Inputs!$B$4="pvp",MIN((Skills!S18*(1+(Inputs!$B$33+IF(Inputs!$B$3&gt;=117,F344,0))/100)),15)/15,(Skills!S18*(1+(Inputs!$B$33+IF(Inputs!$B$3&gt;=117,F344,0))/100))/Skills!D18))/100),1)</f>
        <v/>
      </c>
    </row>
    <row r="348">
      <c r="A348" t="inlineStr">
        <is>
          <t>Monster Damage Taken Bonus % (Holy Fountain)</t>
        </is>
      </c>
      <c r="B348">
        <f>IF(Inputs!$B$3&gt;=68,20*IF(Inputs!$B$4="pvp",MIN((15*(1+(Inputs!$B$33+IF(Inputs!$B$3&gt;=117,F344,0))/100)),15)/15,(15*(1+(Inputs!$B$33+IF(Inputs!$B$3&gt;=117,F344,0))/100))/Skills!D10),0)</f>
        <v/>
      </c>
    </row>
    <row r="349">
      <c r="A349" t="inlineStr">
        <is>
          <t>Normal Monster Damage Bonus % (Holy Symbol)</t>
        </is>
      </c>
      <c r="B349">
        <f>IF(C331=TRUE,F331*IF(AND(Inputs!$B$4&lt;&gt;"pvp",Inputs!$B$35&gt;0),(((S331-1)*(Skills!S12*(1+(Inputs!$B$33+IF(Inputs!$B$3&gt;=117,F344,0))/100))+MIN((Skills!S12*(1+(Inputs!$B$33+IF(Inputs!$B$3&gt;=117,F344,0))/100)),MAX(0,Inputs!$B$35-((S331-1)*Skills!D12))))/Inputs!$B$35),IF(Inputs!$B$4="pvp",MIN((Skills!S12*(1+(Inputs!$B$33+IF(Inputs!$B$3&gt;=117,F344,0))/100)),15)/15,(Skills!S12*(1+(Inputs!$B$33+IF(Inputs!$B$3&gt;=117,F344,0))/100))/Skills!D12)),0)</f>
        <v/>
      </c>
    </row>
    <row r="350">
      <c r="A350" t="inlineStr">
        <is>
          <t>Damage % Bonus (Holy Symbol - Damage Boost)</t>
        </is>
      </c>
      <c r="B350">
        <f>Skills!O12</f>
        <v/>
      </c>
    </row>
    <row r="351">
      <c r="A351" t="inlineStr">
        <is>
          <t>Crit Damage % Bonus (Blood of the Divine)</t>
        </is>
      </c>
      <c r="B351">
        <f>4*IF(C338=TRUE,F338,0)</f>
        <v/>
      </c>
    </row>
    <row r="352">
      <c r="A352" t="inlineStr">
        <is>
          <t>Attack Speed Bonus %</t>
        </is>
      </c>
      <c r="B352">
        <f>IF(C335=TRUE,F335+(F339-Calc!F20),0)+IF(Inputs!$B$3&gt;=134,15,0)</f>
        <v/>
      </c>
    </row>
    <row r="353">
      <c r="A353" t="inlineStr">
        <is>
          <t>Actions Per Second</t>
        </is>
      </c>
      <c r="B353">
        <f>1+MIN(150,150*(1-(1-Inputs!$B$10/150)*(1-B352/150)))/100</f>
        <v/>
      </c>
    </row>
    <row r="354">
      <c r="A354" t="inlineStr">
        <is>
          <t>Skill + Buff Cast Rate</t>
        </is>
      </c>
      <c r="B354">
        <f>IF(AND(Inputs!$B$4&lt;&gt;"pvp",Inputs!$B$35&gt;0),SUMPRODUCT((Skills!E2:E26=TRUE)*(C321:C345=TRUE)*S321:S345)/Inputs!$B$35,SUMPRODUCT((Skills!E2:E26=TRUE)*(C321:C345=TRUE)*V321:V345))</f>
        <v/>
      </c>
    </row>
    <row r="355">
      <c r="A355" t="inlineStr">
        <is>
          <t>Big Bang Casts Per Second</t>
        </is>
      </c>
      <c r="B355">
        <f>MAX(0,B353-B354)</f>
        <v/>
      </c>
    </row>
    <row r="357">
      <c r="A357" s="5" t="inlineStr">
        <is>
          <t>TOTAL DPS</t>
        </is>
      </c>
      <c r="B357" s="5">
        <f>SUM(O321:O345)</f>
        <v/>
      </c>
    </row>
    <row r="360">
      <c r="A360" s="5" t="inlineStr">
        <is>
          <t>Stat: MAX_DAMAGE %</t>
        </is>
      </c>
    </row>
    <row r="361">
      <c r="A361" s="8" t="inlineStr">
        <is>
          <t>Key</t>
        </is>
      </c>
      <c r="B361" s="8" t="inlineStr">
        <is>
          <t>Name</t>
        </is>
      </c>
      <c r="C361" s="8" t="inlineStr">
        <is>
          <t>Unlocked</t>
        </is>
      </c>
      <c r="D361" s="8" t="inlineStr">
        <is>
          <t>InputLevel</t>
        </is>
      </c>
      <c r="E361" s="8" t="inlineStr">
        <is>
          <t>Factor</t>
        </is>
      </c>
      <c r="F361" s="8" t="inlineStr">
        <is>
          <t>CoefficientPercent</t>
        </is>
      </c>
      <c r="G361" s="8" t="inlineStr">
        <is>
          <t>EffectiveHits</t>
        </is>
      </c>
      <c r="H361" s="8" t="inlineStr">
        <is>
          <t>ProcProbability</t>
        </is>
      </c>
      <c r="I361" s="8" t="inlineStr">
        <is>
          <t>MapleHeroMultiplier</t>
        </is>
      </c>
      <c r="J361" s="8" t="inlineStr">
        <is>
          <t>BaseDamage</t>
        </is>
      </c>
      <c r="K361" s="8" t="inlineStr">
        <is>
          <t>BaseHitDamage</t>
        </is>
      </c>
      <c r="L361" s="8" t="inlineStr">
        <is>
          <t>NonCritAvg</t>
        </is>
      </c>
      <c r="M361" s="8" t="inlineStr">
        <is>
          <t>CritAvg</t>
        </is>
      </c>
      <c r="N361" s="8" t="inlineStr">
        <is>
          <t>ExpectedDamage(perHit)</t>
        </is>
      </c>
      <c r="O361" s="8" t="inlineStr">
        <is>
          <t>DPS</t>
        </is>
      </c>
      <c r="P361" s="8" t="inlineStr">
        <is>
          <t>% of Total</t>
        </is>
      </c>
      <c r="R361" t="inlineStr">
        <is>
          <t>helpers</t>
        </is>
      </c>
    </row>
    <row r="362">
      <c r="A362">
        <f>Skills!A2</f>
        <v/>
      </c>
      <c r="B362">
        <f>Skills!B2</f>
        <v/>
      </c>
      <c r="C362">
        <f>Inputs!$B$3&gt;=100</f>
        <v/>
      </c>
      <c r="D362" t="inlineStr"/>
      <c r="E362" t="inlineStr"/>
      <c r="F362">
        <f>T364+Skills!N2</f>
        <v/>
      </c>
      <c r="G362">
        <f>Calc!G2</f>
        <v/>
      </c>
      <c r="H362">
        <f>Calc!H2</f>
        <v/>
      </c>
      <c r="I362">
        <f>IF(Skills!T2&lt;&gt;"",1+(Skills!T2/10)*($Z$3/1000)/100,1)</f>
        <v/>
      </c>
      <c r="J362">
        <f>((Inputs!$B$5*(1+Inputs!$B$6/100))+((Inputs!$B$11*(1+Inputs!$B$12/100))-(Inputs!$B$11*(1+Inputs!$B$12/100)))*(1+Inputs!$B$6/100))*(F362/100)</f>
        <v/>
      </c>
      <c r="K362">
        <f>J362*(1+((Inputs!$B$11*(1+Inputs!$B$12/100))*0.01+Inputs!$B$13*0.0025)/100)*(1+(Inputs!$B$14+B391)/100)*(1+IF(Inputs!$B$4="pvp",0,(1-Summary!$B$48)*(Inputs!$B$19+Skills!O2+B389)+Summary!$B$48*(Inputs!$B$20+Skills!P2+B390))/100)*(1+Inputs!$B$15/100)*(5000/(6000+Inputs!$B$7*(1-Inputs!$B$18/100)))*(1+Inputs!$B$23/100)*(1+IF(C377=TRUE,F377,0)/100)*(1+IF(C379=TRUE,F379,0)/100)*(1+IF(Skills!A2="TRIUMPH_FEATHER",IF(C375=TRUE,F375,0),0)/100)*(1+IF(C386=TRUE,F386,0)/100)^5*(1+(IF(Skills!A2="BIG_BANG",Inputs!$B$16,Inputs!$B$17))/100)*(B388*I362)</f>
        <v/>
      </c>
      <c r="L362">
        <f>K362*(MIN(Inputs!$B$21+(F381-Calc!F21),(Inputs!$B$22+1))/100+(Inputs!$B$22+1)/100)/2</f>
        <v/>
      </c>
      <c r="M362">
        <f>L362*(1+(Inputs!$B$9+B392+(F384-Calc!F24))/100)</f>
        <v/>
      </c>
      <c r="N362">
        <f>L362*(1-MIN(Inputs!$B$8+((F383-Calc!F23)+(F382-Calc!F22)),100)/100)+M362*(MIN(Inputs!$B$8+((F383-Calc!F23)+(F382-Calc!F22)),100)/100)</f>
        <v/>
      </c>
      <c r="O362">
        <f>IF(C362,Skills!F2*N362*B396*IF(Inputs!$B$4="pvp",1,(1-Summary!$B$48)*(1)+Summary!$B$48*(MIN((6+Inputs!$B$32),Inputs!$B$37))),0)</f>
        <v/>
      </c>
      <c r="P362">
        <f>IF(B398=0,0,O362/B398)</f>
        <v/>
      </c>
      <c r="S362" t="n">
        <v>0</v>
      </c>
      <c r="T362">
        <f>MAX(0,(Inputs!$B$3-100)*3)+Inputs!$B$27+Inputs!$B$28</f>
        <v/>
      </c>
      <c r="V362">
        <f>IFERROR(1/IF(Inputs!$B$4="pvp",15,MAX(0.1,Skills!D2-IF(Skills!E2=TRUE,Inputs!$B$31,0))),0)</f>
        <v/>
      </c>
    </row>
    <row r="363">
      <c r="A363">
        <f>Skills!A3</f>
        <v/>
      </c>
      <c r="B363">
        <f>Skills!B3</f>
        <v/>
      </c>
      <c r="C363">
        <f>Inputs!$B$3&gt;=15</f>
        <v/>
      </c>
      <c r="D363">
        <f>IF(Skills!C3=1,60+Inputs!$B$24+Inputs!$B$28,IF(Skills!C3=2,90+Inputs!$B$25+Inputs!$B$28,IF(Skills!C3=3,120+Inputs!$B$26+Inputs!$B$28,MAX(0,(Inputs!$B$3-100)*3)+Inputs!$B$27+Inputs!$B$28)))</f>
        <v/>
      </c>
      <c r="E363">
        <f>INDEX(FactorTable!$B$2:$Y$301, MATCH(ROUND(MIN(300,MAX(1,D363)),0), FactorTable!$A$2:$A$301,0), Skills!L3+1)</f>
        <v/>
      </c>
      <c r="F363">
        <f>IF(Skills!M3=TRUE,(Skills!K3/10)*(E363/1000),Skills!K3/10)+Skills!N3</f>
        <v/>
      </c>
      <c r="G363">
        <f>Calc!G3</f>
        <v/>
      </c>
      <c r="H363">
        <f>Calc!H3</f>
        <v/>
      </c>
      <c r="I363">
        <f>IF(Skills!T3&lt;&gt;"",1+(Skills!T3/10)*($Z$3/1000)/100,1)</f>
        <v/>
      </c>
      <c r="J363" t="inlineStr"/>
      <c r="K363" t="inlineStr"/>
      <c r="L363" t="inlineStr"/>
      <c r="M363" t="inlineStr"/>
      <c r="N363" t="inlineStr"/>
      <c r="O363" t="n">
        <v>0</v>
      </c>
      <c r="P363">
        <f>IF(B398=0,0,O363/B398)</f>
        <v/>
      </c>
      <c r="S363">
        <f>IF(AND(Inputs!$B$4&lt;&gt;"pvp",Inputs!$B$35&gt;0),(INT(Inputs!$B$35/IF(Inputs!$B$4="pvp",15,MAX(0.1,Skills!D3-IF(Skills!E3=TRUE,Inputs!$B$31,0))))+1),0)</f>
        <v/>
      </c>
      <c r="T363">
        <f>INDEX(FactorTable!$B$2:$Y$301, MATCH(ROUND(MIN(300,MAX(1,T362)),0), FactorTable!$A$2:$A$301,0), 22)</f>
        <v/>
      </c>
      <c r="V363">
        <f>IFERROR(1/IF(Inputs!$B$4="pvp",15,MAX(0.1,Skills!D3-IF(Skills!E3=TRUE,Inputs!$B$31,0))),0)</f>
        <v/>
      </c>
    </row>
    <row r="364">
      <c r="A364">
        <f>Skills!A4</f>
        <v/>
      </c>
      <c r="B364">
        <f>Skills!B4</f>
        <v/>
      </c>
      <c r="C364">
        <f>Inputs!$B$3&gt;=38</f>
        <v/>
      </c>
      <c r="D364">
        <f>IF(Skills!C4=1,60+Inputs!$B$24+Inputs!$B$28,IF(Skills!C4=2,90+Inputs!$B$25+Inputs!$B$28,IF(Skills!C4=3,120+Inputs!$B$26+Inputs!$B$28,MAX(0,(Inputs!$B$3-100)*3)+Inputs!$B$27+Inputs!$B$28)))</f>
        <v/>
      </c>
      <c r="E364">
        <f>INDEX(FactorTable!$B$2:$Y$301, MATCH(ROUND(MIN(300,MAX(1,D364)),0), FactorTable!$A$2:$A$301,0), Skills!L4+1)</f>
        <v/>
      </c>
      <c r="F364">
        <f>IF(Skills!M4=TRUE,(Skills!K4/10)*(E364/1000),Skills!K4/10)+Skills!N4</f>
        <v/>
      </c>
      <c r="G364">
        <f>Calc!G4</f>
        <v/>
      </c>
      <c r="H364">
        <f>Calc!H4</f>
        <v/>
      </c>
      <c r="I364">
        <f>IF(Skills!T4&lt;&gt;"",1+(Skills!T4/10)*($Z$3/1000)/100,1)</f>
        <v/>
      </c>
      <c r="J364" t="inlineStr"/>
      <c r="K364" t="inlineStr"/>
      <c r="L364" t="inlineStr"/>
      <c r="M364" t="inlineStr"/>
      <c r="N364" t="inlineStr"/>
      <c r="O364" t="n">
        <v>0</v>
      </c>
      <c r="P364">
        <f>IF(B398=0,0,O364/B398)</f>
        <v/>
      </c>
      <c r="S364">
        <f>IF(AND(Inputs!$B$4&lt;&gt;"pvp",Inputs!$B$35&gt;0),(INT(Inputs!$B$35/IF(Inputs!$B$4="pvp",15,MAX(0.1,Skills!D4-IF(Skills!E4=TRUE,Inputs!$B$31,0))))+1),0)</f>
        <v/>
      </c>
      <c r="T364">
        <f>290*T363/1000</f>
        <v/>
      </c>
      <c r="V364">
        <f>IFERROR(1/IF(Inputs!$B$4="pvp",15,MAX(0.1,Skills!D4-IF(Skills!E4=TRUE,Inputs!$B$31,0))),0)</f>
        <v/>
      </c>
    </row>
    <row r="365">
      <c r="A365">
        <f>Skills!A5</f>
        <v/>
      </c>
      <c r="B365">
        <f>Skills!B5</f>
        <v/>
      </c>
      <c r="C365">
        <f>Inputs!$B$3&gt;=40</f>
        <v/>
      </c>
      <c r="D365">
        <f>IF(Skills!C5=1,60+Inputs!$B$24+Inputs!$B$28,IF(Skills!C5=2,90+Inputs!$B$25+Inputs!$B$28,IF(Skills!C5=3,120+Inputs!$B$26+Inputs!$B$28,MAX(0,(Inputs!$B$3-100)*3)+Inputs!$B$27+Inputs!$B$28)))</f>
        <v/>
      </c>
      <c r="E365">
        <f>INDEX(FactorTable!$B$2:$Y$301, MATCH(ROUND(MIN(300,MAX(1,D365)),0), FactorTable!$A$2:$A$301,0), Skills!L5+1)</f>
        <v/>
      </c>
      <c r="F365">
        <f>IF(Skills!M5=TRUE,(Skills!K5/10)*(E365/1000),Skills!K5/10)+Skills!N5</f>
        <v/>
      </c>
      <c r="G365">
        <f>Calc!G5</f>
        <v/>
      </c>
      <c r="H365">
        <f>Calc!H5</f>
        <v/>
      </c>
      <c r="I365">
        <f>IF(Skills!T5&lt;&gt;"",1+(Skills!T5/10)*($Z$3/1000)/100,1)</f>
        <v/>
      </c>
      <c r="J365" t="inlineStr"/>
      <c r="K365" t="inlineStr"/>
      <c r="L365" t="inlineStr"/>
      <c r="M365" t="inlineStr"/>
      <c r="N365" t="inlineStr"/>
      <c r="O365" t="n">
        <v>0</v>
      </c>
      <c r="P365">
        <f>IF(B398=0,0,O365/B398)</f>
        <v/>
      </c>
      <c r="S365">
        <f>IF(AND(Inputs!$B$4&lt;&gt;"pvp",Inputs!$B$35&gt;0),(INT(Inputs!$B$35/IF(Inputs!$B$4="pvp",15,MAX(0.1,Skills!D5-IF(Skills!E5=TRUE,Inputs!$B$31,0))))+1),0)</f>
        <v/>
      </c>
      <c r="V365">
        <f>IFERROR(1/IF(Inputs!$B$4="pvp",15,MAX(0.1,Skills!D5-IF(Skills!E5=TRUE,Inputs!$B$31,0))),0)</f>
        <v/>
      </c>
    </row>
    <row r="366">
      <c r="A366">
        <f>Skills!A6</f>
        <v/>
      </c>
      <c r="B366">
        <f>Skills!B6</f>
        <v/>
      </c>
      <c r="C366">
        <f>Inputs!$B$3&gt;=103</f>
        <v/>
      </c>
      <c r="D366">
        <f>IF(Skills!C6=1,60+Inputs!$B$24+Inputs!$B$28,IF(Skills!C6=2,90+Inputs!$B$25+Inputs!$B$28,IF(Skills!C6=3,120+Inputs!$B$26+Inputs!$B$28,MAX(0,(Inputs!$B$3-100)*3)+Inputs!$B$27+Inputs!$B$28)))</f>
        <v/>
      </c>
      <c r="E366">
        <f>INDEX(FactorTable!$B$2:$Y$301, MATCH(ROUND(MIN(300,MAX(1,D366)),0), FactorTable!$A$2:$A$301,0), Skills!L6+1)</f>
        <v/>
      </c>
      <c r="F366">
        <f>IF(Skills!M6=TRUE,(Skills!K6/10)*(E366/1000),Skills!K6/10)+Skills!N6</f>
        <v/>
      </c>
      <c r="G366">
        <f>Calc!G6</f>
        <v/>
      </c>
      <c r="H366">
        <f>Calc!H6</f>
        <v/>
      </c>
      <c r="I366">
        <f>IF(Skills!T6&lt;&gt;"",1+(Skills!T6/10)*($Z$3/1000)/100,1)</f>
        <v/>
      </c>
      <c r="J366">
        <f>((Inputs!$B$5*(1+Inputs!$B$6/100))+((Inputs!$B$11*(1+Inputs!$B$12/100))-(Inputs!$B$11*(1+Inputs!$B$12/100)))*(1+Inputs!$B$6/100))*(F366/100)</f>
        <v/>
      </c>
      <c r="K366">
        <f>J366*(1+((Inputs!$B$11*(1+Inputs!$B$12/100))*0.01+Inputs!$B$13*0.0025)/100)*(1+(Inputs!$B$14+B391)/100)*(1+IF(Inputs!$B$4="pvp",0,(1-Summary!$B$48)*(Inputs!$B$19+Skills!O6+B389)+Summary!$B$48*(Inputs!$B$20+Skills!P6+B390))/100)*(1+Inputs!$B$15/100)*(5000/(6000+Inputs!$B$7*(1-Inputs!$B$18/100)))*(1+Inputs!$B$23/100)*(1+IF(C377=TRUE,F377,0)/100)*(1+IF(C379=TRUE,F379,0)/100)*(1+IF(Skills!A6="TRIUMPH_FEATHER",IF(C375=TRUE,F375,0),0)/100)*(1+IF(C386=TRUE,F386,0)/100)^5*(1+(IF(Skills!A6="BIG_BANG",Inputs!$B$16,Inputs!$B$17))/100)*(B388*I366)</f>
        <v/>
      </c>
      <c r="L366">
        <f>K366*(MIN(Inputs!$B$21+(F381-Calc!F21),(Inputs!$B$22+1))/100+(Inputs!$B$22+1)/100)/2</f>
        <v/>
      </c>
      <c r="M366">
        <f>L366*(1+(Inputs!$B$9+B392+(F384-Calc!F24))/100)</f>
        <v/>
      </c>
      <c r="N366">
        <f>L366*(1-MIN(Inputs!$B$8+((F383-Calc!F23)+(F382-Calc!F22)),100)/100)+M366*(MIN(Inputs!$B$8+((F383-Calc!F23)+(F382-Calc!F22)),100)/100)</f>
        <v/>
      </c>
      <c r="O366">
        <f>IF(C366,H366*N366*IF(AND(Inputs!$B$4&lt;&gt;"pvp",Inputs!$B$35&gt;0),((Skills!F6*((S366-1)*IF(Skills!G6&gt;0,Skills!H6/Skills!G6,1)+IF(Skills!G6&gt;0,MIN(Skills!H6,MAX(0,Inputs!$B$35-((S366-1)*IF(Inputs!$B$4="pvp",15,MAX(0.1,Skills!D6-IF(Skills!E6=TRUE,Inputs!$B$31,0))))))/Skills!G6,1)))/Inputs!$B$35),G366*V366)*IF(Inputs!$B$4="pvp",1,(1-Summary!$B$48)*(1)+Summary!$B$48*(MIN(Skills!Q6,Inputs!$B$37))),0)</f>
        <v/>
      </c>
      <c r="P366">
        <f>IF(B398=0,0,O366/B398)</f>
        <v/>
      </c>
      <c r="S366">
        <f>IF(AND(Inputs!$B$4&lt;&gt;"pvp",Inputs!$B$35&gt;0),(INT(Inputs!$B$35/IF(Inputs!$B$4="pvp",15,MAX(0.1,Skills!D6-IF(Skills!E6=TRUE,Inputs!$B$31,0))))+1),0)</f>
        <v/>
      </c>
      <c r="V366">
        <f>IFERROR(1/IF(Inputs!$B$4="pvp",15,MAX(0.1,Skills!D6-IF(Skills!E6=TRUE,Inputs!$B$31,0))),0)</f>
        <v/>
      </c>
    </row>
    <row r="367">
      <c r="A367">
        <f>Skills!A7</f>
        <v/>
      </c>
      <c r="B367">
        <f>Skills!B7</f>
        <v/>
      </c>
      <c r="C367">
        <f>Inputs!$B$3&gt;=122</f>
        <v/>
      </c>
      <c r="D367">
        <f>IF(Skills!C7=1,60+Inputs!$B$24+Inputs!$B$28,IF(Skills!C7=2,90+Inputs!$B$25+Inputs!$B$28,IF(Skills!C7=3,120+Inputs!$B$26+Inputs!$B$28,MAX(0,(Inputs!$B$3-100)*3)+Inputs!$B$27+Inputs!$B$28)))</f>
        <v/>
      </c>
      <c r="E367">
        <f>INDEX(FactorTable!$B$2:$Y$301, MATCH(ROUND(MIN(300,MAX(1,D367)),0), FactorTable!$A$2:$A$301,0), Skills!L7+1)</f>
        <v/>
      </c>
      <c r="F367">
        <f>IF(Skills!M7=TRUE,(Skills!K7/10)*(E367/1000),Skills!K7/10)+Skills!N7</f>
        <v/>
      </c>
      <c r="G367">
        <f>Calc!G7</f>
        <v/>
      </c>
      <c r="H367">
        <f>Calc!H7</f>
        <v/>
      </c>
      <c r="I367">
        <f>IF(Skills!T7&lt;&gt;"",1+(Skills!T7/10)*($Z$3/1000)/100,1)</f>
        <v/>
      </c>
      <c r="J367">
        <f>((Inputs!$B$5*(1+Inputs!$B$6/100))+((Inputs!$B$11*(1+Inputs!$B$12/100))-(Inputs!$B$11*(1+Inputs!$B$12/100)))*(1+Inputs!$B$6/100))*(F367/100)</f>
        <v/>
      </c>
      <c r="K367">
        <f>J367*(1+((Inputs!$B$11*(1+Inputs!$B$12/100))*0.01+Inputs!$B$13*0.0025)/100)*(1+(Inputs!$B$14+B391)/100)*(1+IF(Inputs!$B$4="pvp",0,(1-Summary!$B$48)*(Inputs!$B$19+Skills!O7+B389)+Summary!$B$48*(Inputs!$B$20+Skills!P7+B390))/100)*(1+Inputs!$B$15/100)*(5000/(6000+Inputs!$B$7*(1-Inputs!$B$18/100)))*(1+Inputs!$B$23/100)*(1+IF(C377=TRUE,F377,0)/100)*(1+IF(C379=TRUE,F379,0)/100)*(1+IF(Skills!A7="TRIUMPH_FEATHER",IF(C375=TRUE,F375,0),0)/100)*(1+IF(C386=TRUE,F386,0)/100)^5*(1+(IF(Skills!A7="BIG_BANG",Inputs!$B$16,Inputs!$B$17))/100)*(B388*I367)</f>
        <v/>
      </c>
      <c r="L367">
        <f>K367*(MIN(Inputs!$B$21+(F381-Calc!F21),(Inputs!$B$22+1))/100+(Inputs!$B$22+1)/100)/2</f>
        <v/>
      </c>
      <c r="M367">
        <f>L367*(1+(Inputs!$B$9+B392+(F384-Calc!F24))/100)</f>
        <v/>
      </c>
      <c r="N367">
        <f>L367*(1-MIN(Inputs!$B$8+((F383-Calc!F23)+(F382-Calc!F22)),100)/100)+M367*(MIN(Inputs!$B$8+((F383-Calc!F23)+(F382-Calc!F22)),100)/100)</f>
        <v/>
      </c>
      <c r="O367">
        <f>IF(C367,H367*N367*IF(AND(Inputs!$B$4&lt;&gt;"pvp",Inputs!$B$35&gt;0),((Skills!F7*((S367-1)*IF(Skills!G7&gt;0,Skills!H7/Skills!G7,1)+IF(Skills!G7&gt;0,MIN(Skills!H7,MAX(0,Inputs!$B$35-((S367-1)*IF(Inputs!$B$4="pvp",15,MAX(0.1,Skills!D7-IF(Skills!E6=TRUE,Inputs!$B$31,0))))))/Skills!G7,1)))/Inputs!$B$35),G367*V367)*(1-Summary!$B$48),0)</f>
        <v/>
      </c>
      <c r="P367">
        <f>IF(B398=0,0,O367/B398)</f>
        <v/>
      </c>
      <c r="S367">
        <f>IF(AND(Inputs!$B$4&lt;&gt;"pvp",Inputs!$B$35&gt;0),(INT(Inputs!$B$35/IF(Inputs!$B$4="pvp",15,MAX(0.1,Skills!D7-IF(Skills!E6=TRUE,Inputs!$B$31,0))))+1),0)</f>
        <v/>
      </c>
      <c r="V367">
        <f>IFERROR(1/IF(Inputs!$B$4="pvp",15,MAX(0.1,Skills!D7-IF(Skills!E6=TRUE,Inputs!$B$31,0))),0)</f>
        <v/>
      </c>
    </row>
    <row r="368">
      <c r="A368">
        <f>Skills!A8</f>
        <v/>
      </c>
      <c r="B368">
        <f>Skills!B8</f>
        <v/>
      </c>
      <c r="C368">
        <f>Inputs!$B$3&gt;=105</f>
        <v/>
      </c>
      <c r="D368">
        <f>IF(Skills!C8=1,60+Inputs!$B$24+Inputs!$B$28,IF(Skills!C8=2,90+Inputs!$B$25+Inputs!$B$28,IF(Skills!C8=3,120+Inputs!$B$26+Inputs!$B$28,MAX(0,(Inputs!$B$3-100)*3)+Inputs!$B$27+Inputs!$B$28)))</f>
        <v/>
      </c>
      <c r="E368">
        <f>INDEX(FactorTable!$B$2:$Y$301, MATCH(ROUND(MIN(300,MAX(1,D368)),0), FactorTable!$A$2:$A$301,0), Skills!L8+1)</f>
        <v/>
      </c>
      <c r="F368">
        <f>IF(Skills!M8=TRUE,(Skills!K8/10)*(E368/1000),Skills!K8/10)+Skills!N8</f>
        <v/>
      </c>
      <c r="G368">
        <f>Calc!G8</f>
        <v/>
      </c>
      <c r="H368">
        <f>Calc!H8</f>
        <v/>
      </c>
      <c r="I368">
        <f>IF(Skills!T8&lt;&gt;"",1+(Skills!T8/10)*($Z$3/1000)/100,1)</f>
        <v/>
      </c>
      <c r="J368">
        <f>((Inputs!$B$5*(1+Inputs!$B$6/100))+((Inputs!$B$11*(1+Inputs!$B$12/100))-(Inputs!$B$11*(1+Inputs!$B$12/100)))*(1+Inputs!$B$6/100))*(F368/100)</f>
        <v/>
      </c>
      <c r="K368">
        <f>J368*(1+((Inputs!$B$11*(1+Inputs!$B$12/100))*0.01+Inputs!$B$13*0.0025)/100)*(1+(Inputs!$B$14+B391)/100)*(1+IF(Inputs!$B$4="pvp",0,(1-Summary!$B$48)*(Inputs!$B$19+Skills!O8+B389)+Summary!$B$48*(Inputs!$B$20+Skills!P8+B390))/100)*(1+Inputs!$B$15/100)*(5000/(6000+Inputs!$B$7*(1-Inputs!$B$18/100)))*(1+Inputs!$B$23/100)*(1+IF(C377=TRUE,F377,0)/100)*(1+IF(C379=TRUE,F379,0)/100)*(1+IF(Skills!A8="TRIUMPH_FEATHER",IF(C375=TRUE,F375,0),0)/100)*(1+IF(C386=TRUE,F386,0)/100)^5*(1+(IF(Skills!A8="BIG_BANG",Inputs!$B$16,Inputs!$B$17))/100)*(B388*I368)</f>
        <v/>
      </c>
      <c r="L368">
        <f>K368*(MIN(Inputs!$B$21+(F381-Calc!F21),(Inputs!$B$22+1))/100+(Inputs!$B$22+1)/100)/2</f>
        <v/>
      </c>
      <c r="M368">
        <f>L368*(1+(Inputs!$B$9+B392+(F384-Calc!F24))/100)</f>
        <v/>
      </c>
      <c r="N368">
        <f>L368*(1-MIN(Inputs!$B$8+((F383-Calc!F23)+(F382-Calc!F22)),100)/100)+M368*(MIN(Inputs!$B$8+((F383-Calc!F23)+(F382-Calc!F22)),100)/100)</f>
        <v/>
      </c>
      <c r="O368">
        <f>IF(C368,H368*N368*IF(AND(Inputs!$B$4&lt;&gt;"pvp",Inputs!$B$35&gt;0),((Skills!F8*((S368-1)*IF(Skills!G8&gt;0,Skills!H8/Skills!G8,1)+IF(Skills!G8&gt;0,MIN(Skills!H8,MAX(0,Inputs!$B$35-((S368-1)*IF(Inputs!$B$4="pvp",15,MAX(0.1,Skills!D8-IF(Skills!E8=TRUE,Inputs!$B$31,0))))))/Skills!G8,1)))/Inputs!$B$35),G368*V368)*IF(Inputs!$B$4="pvp",1,(1-Summary!$B$48)*(1)+Summary!$B$48*(MIN(Skills!Q8,Inputs!$B$37))),0)</f>
        <v/>
      </c>
      <c r="P368">
        <f>IF(B398=0,0,O368/B398)</f>
        <v/>
      </c>
      <c r="S368">
        <f>IF(AND(Inputs!$B$4&lt;&gt;"pvp",Inputs!$B$35&gt;0),(INT(Inputs!$B$35/IF(Inputs!$B$4="pvp",15,MAX(0.1,Skills!D8-IF(Skills!E8=TRUE,Inputs!$B$31,0))))+1),0)</f>
        <v/>
      </c>
      <c r="V368">
        <f>IFERROR(1/IF(Inputs!$B$4="pvp",15,MAX(0.1,Skills!D8-IF(Skills!E8=TRUE,Inputs!$B$31,0))),0)</f>
        <v/>
      </c>
    </row>
    <row r="369">
      <c r="A369">
        <f>Skills!A9</f>
        <v/>
      </c>
      <c r="B369">
        <f>Skills!B9</f>
        <v/>
      </c>
      <c r="C369">
        <f>Inputs!$B$3&gt;=115</f>
        <v/>
      </c>
      <c r="D369">
        <f>IF(Skills!C9=1,60+Inputs!$B$24+Inputs!$B$28,IF(Skills!C9=2,90+Inputs!$B$25+Inputs!$B$28,IF(Skills!C9=3,120+Inputs!$B$26+Inputs!$B$28,MAX(0,(Inputs!$B$3-100)*3)+Inputs!$B$27+Inputs!$B$28)))</f>
        <v/>
      </c>
      <c r="E369">
        <f>INDEX(FactorTable!$B$2:$Y$301, MATCH(ROUND(MIN(300,MAX(1,D369)),0), FactorTable!$A$2:$A$301,0), Skills!L9+1)</f>
        <v/>
      </c>
      <c r="F369">
        <f>IF(Skills!M9=TRUE,(Skills!K9/10)*(E369/1000),Skills!K9/10)+Skills!N9</f>
        <v/>
      </c>
      <c r="G369">
        <f>Calc!G9</f>
        <v/>
      </c>
      <c r="H369">
        <f>Calc!H9</f>
        <v/>
      </c>
      <c r="I369">
        <f>IF(Skills!T9&lt;&gt;"",1+(Skills!T9/10)*($Z$3/1000)/100,1)</f>
        <v/>
      </c>
      <c r="J369">
        <f>((Inputs!$B$5*(1+Inputs!$B$6/100))+((Inputs!$B$11*(1+Inputs!$B$12/100))-(Inputs!$B$11*(1+Inputs!$B$12/100)))*(1+Inputs!$B$6/100))*(F369/100)</f>
        <v/>
      </c>
      <c r="K369">
        <f>J369*(1+((Inputs!$B$11*(1+Inputs!$B$12/100))*0.01+Inputs!$B$13*0.0025)/100)*(1+(Inputs!$B$14+B391)/100)*(1+IF(Inputs!$B$4="pvp",0,(1-Summary!$B$48)*(Inputs!$B$19+Skills!O9+B389)+Summary!$B$48*(Inputs!$B$20+Skills!P9+B390))/100)*(1+Inputs!$B$15/100)*(5000/(6000+Inputs!$B$7*(1-Inputs!$B$18/100)))*(1+Inputs!$B$23/100)*(1+IF(C377=TRUE,F377,0)/100)*(1+IF(C379=TRUE,F379,0)/100)*(1+IF(Skills!A9="TRIUMPH_FEATHER",IF(C375=TRUE,F375,0),0)/100)*(1+IF(C386=TRUE,F386,0)/100)^5*(1+(IF(Skills!A9="BIG_BANG",Inputs!$B$16,Inputs!$B$17))/100)*(B388*I369)</f>
        <v/>
      </c>
      <c r="L369">
        <f>K369*(MIN(Inputs!$B$21+(F381-Calc!F21),(Inputs!$B$22+1))/100+(Inputs!$B$22+1)/100)/2</f>
        <v/>
      </c>
      <c r="M369">
        <f>L369*(1+(Inputs!$B$9+B392+(F384-Calc!F24))/100)</f>
        <v/>
      </c>
      <c r="N369">
        <f>L369*(1-MIN(Inputs!$B$8+((F383-Calc!F23)+(F382-Calc!F22)),100)/100)+M369*(MIN(Inputs!$B$8+((F383-Calc!F23)+(F382-Calc!F22)),100)/100)</f>
        <v/>
      </c>
      <c r="O369">
        <f>IF(C369,H369*N369*IF(AND(Inputs!$B$4&lt;&gt;"pvp",Inputs!$B$35&gt;0),((Skills!F9*((S369-1)*IF(Skills!G9&gt;0,Skills!H9/Skills!G9,1)+IF(Skills!G9&gt;0,MIN(Skills!H9,MAX(0,Inputs!$B$35-((S369-1)*IF(Inputs!$B$4="pvp",15,MAX(0.1,Skills!D9-IF(Skills!E9=TRUE,Inputs!$B$31,0))))))/Skills!G9,1)))/Inputs!$B$35),G369*V369)*IF(Inputs!$B$4="pvp",1,(1-Summary!$B$48)*(1)+Summary!$B$48*(MIN(Skills!Q9,Inputs!$B$37))),0)</f>
        <v/>
      </c>
      <c r="P369">
        <f>IF(B398=0,0,O369/B398)</f>
        <v/>
      </c>
      <c r="S369">
        <f>IF(AND(Inputs!$B$4&lt;&gt;"pvp",Inputs!$B$35&gt;0),(INT(Inputs!$B$35/IF(Inputs!$B$4="pvp",15,MAX(0.1,Skills!D9-IF(Skills!E9=TRUE,Inputs!$B$31,0))))+1),0)</f>
        <v/>
      </c>
      <c r="V369">
        <f>IFERROR(1/IF(Inputs!$B$4="pvp",15,MAX(0.1,Skills!D9-IF(Skills!E9=TRUE,Inputs!$B$31,0))),0)</f>
        <v/>
      </c>
    </row>
    <row r="370">
      <c r="A370">
        <f>Skills!A10</f>
        <v/>
      </c>
      <c r="B370">
        <f>Skills!B10</f>
        <v/>
      </c>
      <c r="C370">
        <f>Inputs!$B$3&gt;=66</f>
        <v/>
      </c>
      <c r="D370">
        <f>IF(Skills!C10=1,60+Inputs!$B$24+Inputs!$B$28,IF(Skills!C10=2,90+Inputs!$B$25+Inputs!$B$28,IF(Skills!C10=3,120+Inputs!$B$26+Inputs!$B$28,MAX(0,(Inputs!$B$3-100)*3)+Inputs!$B$27+Inputs!$B$28)))</f>
        <v/>
      </c>
      <c r="E370">
        <f>INDEX(FactorTable!$B$2:$Y$301, MATCH(ROUND(MIN(300,MAX(1,D370)),0), FactorTable!$A$2:$A$301,0), Skills!L10+1)</f>
        <v/>
      </c>
      <c r="F370" t="n">
        <v>0</v>
      </c>
      <c r="G370">
        <f>Calc!G10</f>
        <v/>
      </c>
      <c r="H370">
        <f>Calc!H10</f>
        <v/>
      </c>
      <c r="I370">
        <f>IF(Skills!T10&lt;&gt;"",1+(Skills!T10/10)*($Z$3/1000)/100,1)</f>
        <v/>
      </c>
      <c r="J370" t="inlineStr"/>
      <c r="K370" t="inlineStr"/>
      <c r="L370" t="inlineStr"/>
      <c r="M370" t="inlineStr"/>
      <c r="N370" t="inlineStr"/>
      <c r="O370" t="n">
        <v>0</v>
      </c>
      <c r="P370">
        <f>IF(B398=0,0,O370/B398)</f>
        <v/>
      </c>
      <c r="S370">
        <f>IF(AND(Inputs!$B$4&lt;&gt;"pvp",Inputs!$B$35&gt;0),(INT(Inputs!$B$35/IF(Inputs!$B$4="pvp",15,MAX(0.1,Skills!D10-IF(Skills!E10=TRUE,Inputs!$B$31,0))))+1),0)</f>
        <v/>
      </c>
      <c r="V370">
        <f>IFERROR(1/IF(Inputs!$B$4="pvp",15,MAX(0.1,Skills!D10-IF(Skills!E10=TRUE,Inputs!$B$31,0))),0)</f>
        <v/>
      </c>
    </row>
    <row r="371">
      <c r="A371">
        <f>Skills!A11</f>
        <v/>
      </c>
      <c r="B371">
        <f>Skills!B11</f>
        <v/>
      </c>
      <c r="C371">
        <f>Inputs!$B$3&gt;=69</f>
        <v/>
      </c>
      <c r="D371">
        <f>IF(Skills!C11=1,60+Inputs!$B$24+Inputs!$B$28,IF(Skills!C11=2,90+Inputs!$B$25+Inputs!$B$28,IF(Skills!C11=3,120+Inputs!$B$26+Inputs!$B$28,MAX(0,(Inputs!$B$3-100)*3)+Inputs!$B$27+Inputs!$B$28)))</f>
        <v/>
      </c>
      <c r="E371">
        <f>INDEX(FactorTable!$B$2:$Y$301, MATCH(ROUND(MIN(300,MAX(1,D371)),0), FactorTable!$A$2:$A$301,0), Skills!L11+1)</f>
        <v/>
      </c>
      <c r="F371">
        <f>IF(Skills!M11=TRUE,(Skills!K11/10)*(E371/1000),Skills!K11/10)+Skills!N11</f>
        <v/>
      </c>
      <c r="G371">
        <f>Calc!G11</f>
        <v/>
      </c>
      <c r="H371">
        <f>Calc!H11</f>
        <v/>
      </c>
      <c r="I371">
        <f>IF(Skills!T11&lt;&gt;"",1+(Skills!T11/10)*($Z$3/1000)/100,1)</f>
        <v/>
      </c>
      <c r="J371" t="inlineStr"/>
      <c r="K371" t="inlineStr"/>
      <c r="L371" t="inlineStr"/>
      <c r="M371" t="inlineStr"/>
      <c r="N371" t="inlineStr"/>
      <c r="O371" t="n">
        <v>0</v>
      </c>
      <c r="P371">
        <f>IF(B398=0,0,O371/B398)</f>
        <v/>
      </c>
      <c r="S371">
        <f>IF(AND(Inputs!$B$4&lt;&gt;"pvp",Inputs!$B$35&gt;0),(INT(Inputs!$B$35/IF(Inputs!$B$4="pvp",15,MAX(0.1,Skills!D11-IF(Skills!E11=TRUE,Inputs!$B$31,0))))+1),0)</f>
        <v/>
      </c>
      <c r="V371">
        <f>IFERROR(1/IF(Inputs!$B$4="pvp",15,MAX(0.1,Skills!D11-IF(Skills!E11=TRUE,Inputs!$B$31,0))),0)</f>
        <v/>
      </c>
    </row>
    <row r="372">
      <c r="A372">
        <f>Skills!A12</f>
        <v/>
      </c>
      <c r="B372">
        <f>Skills!B12</f>
        <v/>
      </c>
      <c r="C372">
        <f>Inputs!$B$3&gt;=72</f>
        <v/>
      </c>
      <c r="D372">
        <f>IF(Skills!C12=1,60+Inputs!$B$24+Inputs!$B$28,IF(Skills!C12=2,90+Inputs!$B$25+Inputs!$B$28,IF(Skills!C12=3,120+Inputs!$B$26+Inputs!$B$28,MAX(0,(Inputs!$B$3-100)*3)+Inputs!$B$27+Inputs!$B$28)))</f>
        <v/>
      </c>
      <c r="E372">
        <f>INDEX(FactorTable!$B$2:$Y$301, MATCH(ROUND(MIN(300,MAX(1,D372)),0), FactorTable!$A$2:$A$301,0), Skills!L12+1)</f>
        <v/>
      </c>
      <c r="F372">
        <f>IF(Skills!M12=TRUE,(Skills!K12/10)*(E372/1000),Skills!K12/10)+Skills!N12</f>
        <v/>
      </c>
      <c r="G372">
        <f>Calc!G12</f>
        <v/>
      </c>
      <c r="H372">
        <f>Calc!H12</f>
        <v/>
      </c>
      <c r="I372">
        <f>IF(Skills!T12&lt;&gt;"",1+(Skills!T12/10)*($Z$3/1000)/100,1)</f>
        <v/>
      </c>
      <c r="J372" t="inlineStr"/>
      <c r="K372" t="inlineStr"/>
      <c r="L372" t="inlineStr"/>
      <c r="M372" t="inlineStr"/>
      <c r="N372" t="inlineStr"/>
      <c r="O372" t="n">
        <v>0</v>
      </c>
      <c r="P372">
        <f>IF(B398=0,0,O372/B398)</f>
        <v/>
      </c>
      <c r="S372">
        <f>IF(AND(Inputs!$B$4&lt;&gt;"pvp",Inputs!$B$35&gt;0),(INT(Inputs!$B$35/IF(Inputs!$B$4="pvp",15,MAX(0.1,Skills!D12-IF(Skills!E12=TRUE,Inputs!$B$31,0))))+1),0)</f>
        <v/>
      </c>
      <c r="V372">
        <f>IFERROR(1/IF(Inputs!$B$4="pvp",15,MAX(0.1,Skills!D12-IF(Skills!E12=TRUE,Inputs!$B$31,0))),0)</f>
        <v/>
      </c>
    </row>
    <row r="373">
      <c r="A373">
        <f>Skills!A13</f>
        <v/>
      </c>
      <c r="B373">
        <f>Skills!B13</f>
        <v/>
      </c>
      <c r="C373">
        <f>Inputs!$B$3&gt;=107</f>
        <v/>
      </c>
      <c r="D373">
        <f>IF(Skills!C13=1,60+Inputs!$B$24+Inputs!$B$28,IF(Skills!C13=2,90+Inputs!$B$25+Inputs!$B$28,IF(Skills!C13=3,120+Inputs!$B$26+Inputs!$B$28,MAX(0,(Inputs!$B$3-100)*3)+Inputs!$B$27+Inputs!$B$28)))</f>
        <v/>
      </c>
      <c r="E373">
        <f>INDEX(FactorTable!$B$2:$Y$301, MATCH(ROUND(MIN(300,MAX(1,D373)),0), FactorTable!$A$2:$A$301,0), Skills!L13+1)</f>
        <v/>
      </c>
      <c r="F373">
        <f>IF(Skills!M13=TRUE,(Skills!K13/10)*(E373/1000),Skills!K13/10)+Skills!N13</f>
        <v/>
      </c>
      <c r="G373">
        <f>Calc!G13</f>
        <v/>
      </c>
      <c r="H373">
        <f>Calc!H13</f>
        <v/>
      </c>
      <c r="I373">
        <f>IF(Skills!T13&lt;&gt;"",1+(Skills!T13/10)*($Z$3/1000)/100,1)</f>
        <v/>
      </c>
      <c r="J373" t="inlineStr"/>
      <c r="K373" t="inlineStr"/>
      <c r="L373" t="inlineStr"/>
      <c r="M373" t="inlineStr"/>
      <c r="N373" t="inlineStr"/>
      <c r="O373" t="n">
        <v>0</v>
      </c>
      <c r="P373">
        <f>IF(B398=0,0,O373/B398)</f>
        <v/>
      </c>
      <c r="S373">
        <f>IF(AND(Inputs!$B$4&lt;&gt;"pvp",Inputs!$B$35&gt;0),(INT(Inputs!$B$35/IF(Inputs!$B$4="pvp",15,MAX(0.1,Skills!D13-IF(Skills!E13=TRUE,Inputs!$B$31,0))))+1),0)</f>
        <v/>
      </c>
      <c r="V373">
        <f>IFERROR(1/IF(Inputs!$B$4="pvp",15,MAX(0.1,Skills!D13-IF(Skills!E13=TRUE,Inputs!$B$31,0))),0)</f>
        <v/>
      </c>
    </row>
    <row r="374">
      <c r="A374">
        <f>Skills!A14</f>
        <v/>
      </c>
      <c r="B374">
        <f>Skills!B14</f>
        <v/>
      </c>
      <c r="C374">
        <f>Inputs!$B$3&gt;=63</f>
        <v/>
      </c>
      <c r="D374">
        <f>IF(Skills!C14=1,60+Inputs!$B$24+Inputs!$B$28,IF(Skills!C14=2,90+Inputs!$B$25+Inputs!$B$28,IF(Skills!C14=3,120+Inputs!$B$26+Inputs!$B$28,MAX(0,(Inputs!$B$3-100)*3)+Inputs!$B$27+Inputs!$B$28)))</f>
        <v/>
      </c>
      <c r="E374">
        <f>INDEX(FactorTable!$B$2:$Y$301, MATCH(ROUND(MIN(300,MAX(1,D374)),0), FactorTable!$A$2:$A$301,0), Skills!L14+1)</f>
        <v/>
      </c>
      <c r="F374">
        <f>IF(Skills!M14=TRUE,(Skills!K14/10)*(E374/1000),Skills!K14/10)+Skills!N14</f>
        <v/>
      </c>
      <c r="G374">
        <f>Calc!G14</f>
        <v/>
      </c>
      <c r="H374">
        <f>Calc!H14</f>
        <v/>
      </c>
      <c r="I374">
        <f>IF(Skills!T14&lt;&gt;"",1+(Skills!T14/10)*($Z$3/1000)/100,1)</f>
        <v/>
      </c>
      <c r="J374">
        <f>((Inputs!$B$5*(1+Inputs!$B$6/100))+((Inputs!$B$11*(1+Inputs!$B$12/100))-(Inputs!$B$11*(1+Inputs!$B$12/100)))*(1+Inputs!$B$6/100))*(F374/100)</f>
        <v/>
      </c>
      <c r="K374">
        <f>J374*(1+((Inputs!$B$11*(1+Inputs!$B$12/100))*0.01+Inputs!$B$13*0.0025)/100)*(1+(Inputs!$B$14+B391)/100)*(1+IF(Inputs!$B$4="pvp",0,(1-Summary!$B$48)*(Inputs!$B$19+Skills!O14+B389)+Summary!$B$48*(Inputs!$B$20+Skills!P14+B390))/100)*(1+Inputs!$B$15/100)*(5000/(6000+Inputs!$B$7*(1-Inputs!$B$18/100)))*(1+Inputs!$B$23/100)*(1+IF(C377=TRUE,F377,0)/100)*(1+IF(C379=TRUE,F379,0)/100)*(1+IF(Skills!A14="TRIUMPH_FEATHER",IF(C375=TRUE,F375,0),0)/100)*(1+IF(C386=TRUE,F386,0)/100)^5*(1+(IF(Skills!A14="BIG_BANG",Inputs!$B$16,Inputs!$B$17))/100)*(B388*I374)</f>
        <v/>
      </c>
      <c r="L374">
        <f>K374*(MIN(Inputs!$B$21+(F381-Calc!F21),(Inputs!$B$22+1))/100+(Inputs!$B$22+1)/100)/2</f>
        <v/>
      </c>
      <c r="M374">
        <f>L374*(1+(Inputs!$B$9+B392+(F384-Calc!F24))/100)</f>
        <v/>
      </c>
      <c r="N374">
        <f>L374*(1-MIN(Inputs!$B$8+((F383-Calc!F23)+(F382-Calc!F22)),100)/100)+M374*(MIN(Inputs!$B$8+((F383-Calc!F23)+(F382-Calc!F22)),100)/100)</f>
        <v/>
      </c>
      <c r="O374">
        <f>IF(C374,Skills!F14*N374*((IF(Inputs!$B$3&gt;=78,25,15)/100*B394*10)/(1+IF(Inputs!$B$3&gt;=78,25,15)/100*B394*10))*(Skills!I14/100*B394)/(1+Skills!G14*Skills!I14/100*B394)*IF(Inputs!$B$4="pvp",1,(1-Summary!$B$48)*(1)+Summary!$B$48*(MIN(Skills!Q14,Inputs!$B$37))),0)</f>
        <v/>
      </c>
      <c r="P374">
        <f>IF(B398=0,0,O374/B398)</f>
        <v/>
      </c>
      <c r="S374" t="n">
        <v>0</v>
      </c>
      <c r="V374">
        <f>IFERROR(1/IF(Inputs!$B$4="pvp",15,MAX(0.1,Skills!D14-IF(Skills!E14=TRUE,Inputs!$B$31,0))),0)</f>
        <v/>
      </c>
    </row>
    <row r="375">
      <c r="A375">
        <f>Skills!A15</f>
        <v/>
      </c>
      <c r="B375">
        <f>Skills!B15</f>
        <v/>
      </c>
      <c r="C375">
        <f>Inputs!$B$3&gt;=100</f>
        <v/>
      </c>
      <c r="D375">
        <f>IF(Skills!C15=1,60+Inputs!$B$24+Inputs!$B$28,IF(Skills!C15=2,90+Inputs!$B$25+Inputs!$B$28,IF(Skills!C15=3,120+Inputs!$B$26+Inputs!$B$28,MAX(0,(Inputs!$B$3-100)*3)+Inputs!$B$27+Inputs!$B$28)))</f>
        <v/>
      </c>
      <c r="E375">
        <f>INDEX(FactorTable!$B$2:$Y$301, MATCH(ROUND(MIN(300,MAX(1,D375)),0), FactorTable!$A$2:$A$301,0), Skills!L15+1)</f>
        <v/>
      </c>
      <c r="F375">
        <f>IF(Skills!M15=TRUE,(Skills!K15/10)*(E375/1000),Skills!K15/10)+Skills!N15</f>
        <v/>
      </c>
      <c r="G375">
        <f>Calc!G15</f>
        <v/>
      </c>
      <c r="H375">
        <f>Calc!H15</f>
        <v/>
      </c>
      <c r="I375">
        <f>IF(Skills!T15&lt;&gt;"",1+(Skills!T15/10)*($Z$3/1000)/100,1)</f>
        <v/>
      </c>
      <c r="J375" t="inlineStr"/>
      <c r="K375" t="inlineStr"/>
      <c r="L375" t="inlineStr"/>
      <c r="M375" t="inlineStr"/>
      <c r="N375" t="inlineStr"/>
      <c r="O375" t="n">
        <v>0</v>
      </c>
      <c r="P375">
        <f>IF(B398=0,0,O375/B398)</f>
        <v/>
      </c>
      <c r="S375" t="n">
        <v>0</v>
      </c>
      <c r="V375">
        <f>IFERROR(1/IF(Inputs!$B$4="pvp",15,MAX(0.1,Skills!D15-IF(Skills!E15=TRUE,Inputs!$B$31,0))),0)</f>
        <v/>
      </c>
    </row>
    <row r="376">
      <c r="A376">
        <f>Skills!A16</f>
        <v/>
      </c>
      <c r="B376">
        <f>Skills!B16</f>
        <v/>
      </c>
      <c r="C376">
        <f>Inputs!$B$3&gt;=49</f>
        <v/>
      </c>
      <c r="D376">
        <f>IF(Skills!C16=1,60+Inputs!$B$24+Inputs!$B$28,IF(Skills!C16=2,90+Inputs!$B$25+Inputs!$B$28,IF(Skills!C16=3,120+Inputs!$B$26+Inputs!$B$28,MAX(0,(Inputs!$B$3-100)*3)+Inputs!$B$27+Inputs!$B$28)))</f>
        <v/>
      </c>
      <c r="E376">
        <f>INDEX(FactorTable!$B$2:$Y$301, MATCH(ROUND(MIN(300,MAX(1,D376)),0), FactorTable!$A$2:$A$301,0), Skills!L16+1)</f>
        <v/>
      </c>
      <c r="F376">
        <f>IF(Skills!M16=TRUE,(Skills!K16/10)*(E376/1000),Skills!K16/10)+Skills!N16</f>
        <v/>
      </c>
      <c r="G376">
        <f>Calc!G16</f>
        <v/>
      </c>
      <c r="H376">
        <f>Calc!H16</f>
        <v/>
      </c>
      <c r="I376">
        <f>IF(Skills!T16&lt;&gt;"",1+(Skills!T16/10)*($Z$3/1000)/100,1)</f>
        <v/>
      </c>
      <c r="J376" t="inlineStr"/>
      <c r="K376" t="inlineStr"/>
      <c r="L376" t="inlineStr"/>
      <c r="M376" t="inlineStr"/>
      <c r="N376" t="inlineStr"/>
      <c r="O376" t="n">
        <v>0</v>
      </c>
      <c r="P376">
        <f>IF(B398=0,0,O376/B398)</f>
        <v/>
      </c>
      <c r="S376" t="n">
        <v>0</v>
      </c>
      <c r="V376">
        <f>IFERROR(1/IF(Inputs!$B$4="pvp",15,MAX(0.1,Skills!D16-IF(Skills!E16=TRUE,Inputs!$B$31,0))),0)</f>
        <v/>
      </c>
    </row>
    <row r="377">
      <c r="A377">
        <f>Skills!A17</f>
        <v/>
      </c>
      <c r="B377">
        <f>Skills!B17</f>
        <v/>
      </c>
      <c r="C377">
        <f>Inputs!$B$3&gt;=75</f>
        <v/>
      </c>
      <c r="D377">
        <f>IF(Skills!C17=1,60+Inputs!$B$24+Inputs!$B$28,IF(Skills!C17=2,90+Inputs!$B$25+Inputs!$B$28,IF(Skills!C17=3,120+Inputs!$B$26+Inputs!$B$28,MAX(0,(Inputs!$B$3-100)*3)+Inputs!$B$27+Inputs!$B$28)))</f>
        <v/>
      </c>
      <c r="E377">
        <f>INDEX(FactorTable!$B$2:$Y$301, MATCH(ROUND(MIN(300,MAX(1,D377)),0), FactorTable!$A$2:$A$301,0), Skills!L17+1)</f>
        <v/>
      </c>
      <c r="F377">
        <f>IF(Skills!M17=TRUE,(Skills!K17/10)*(E377/1000),Skills!K17/10)+Skills!N17</f>
        <v/>
      </c>
      <c r="G377">
        <f>Calc!G17</f>
        <v/>
      </c>
      <c r="H377">
        <f>Calc!H17</f>
        <v/>
      </c>
      <c r="I377">
        <f>IF(Skills!T17&lt;&gt;"",1+(Skills!T17/10)*($Z$3/1000)/100,1)</f>
        <v/>
      </c>
      <c r="J377" t="inlineStr"/>
      <c r="K377" t="inlineStr"/>
      <c r="L377" t="inlineStr"/>
      <c r="M377" t="inlineStr"/>
      <c r="N377" t="inlineStr"/>
      <c r="O377" t="n">
        <v>0</v>
      </c>
      <c r="P377">
        <f>IF(B398=0,0,O377/B398)</f>
        <v/>
      </c>
      <c r="S377" t="n">
        <v>0</v>
      </c>
      <c r="V377">
        <f>IFERROR(1/IF(Inputs!$B$4="pvp",15,MAX(0.1,Skills!D17-IF(Skills!E17=TRUE,Inputs!$B$31,0))),0)</f>
        <v/>
      </c>
    </row>
    <row r="378">
      <c r="A378">
        <f>Skills!A18</f>
        <v/>
      </c>
      <c r="B378">
        <f>Skills!B18</f>
        <v/>
      </c>
      <c r="C378">
        <f>Inputs!$B$3&gt;=110</f>
        <v/>
      </c>
      <c r="D378">
        <f>IF(Skills!C18=1,60+Inputs!$B$24+Inputs!$B$28,IF(Skills!C18=2,90+Inputs!$B$25+Inputs!$B$28,IF(Skills!C18=3,120+Inputs!$B$26+Inputs!$B$28,MAX(0,(Inputs!$B$3-100)*3)+Inputs!$B$27+Inputs!$B$28)))</f>
        <v/>
      </c>
      <c r="E378">
        <f>INDEX(FactorTable!$B$2:$Y$301, MATCH(ROUND(MIN(300,MAX(1,D378)),0), FactorTable!$A$2:$A$301,0), Skills!L18+1)</f>
        <v/>
      </c>
      <c r="F378">
        <f>(Skills!K18/10)*(E378/1000)*64/45+Skills!N18</f>
        <v/>
      </c>
      <c r="G378">
        <f>Calc!G18</f>
        <v/>
      </c>
      <c r="H378">
        <f>Calc!H18</f>
        <v/>
      </c>
      <c r="I378">
        <f>IF(Skills!T18&lt;&gt;"",1+(Skills!T18/10)*($Z$3/1000)/100,1)</f>
        <v/>
      </c>
      <c r="J378" t="inlineStr"/>
      <c r="K378" t="inlineStr"/>
      <c r="L378" t="inlineStr"/>
      <c r="M378" t="inlineStr"/>
      <c r="N378" t="inlineStr"/>
      <c r="O378" t="n">
        <v>0</v>
      </c>
      <c r="P378">
        <f>IF(B398=0,0,O378/B398)</f>
        <v/>
      </c>
      <c r="S378">
        <f>IF(AND(Inputs!$B$4&lt;&gt;"pvp",Inputs!$B$35&gt;0),(INT(Inputs!$B$35/IF(Inputs!$B$4="pvp",15,MAX(0.1,Skills!D18-IF(Skills!E18=TRUE,Inputs!$B$31,0))))+1),0)</f>
        <v/>
      </c>
      <c r="V378">
        <f>IFERROR(1/IF(Inputs!$B$4="pvp",15,MAX(0.1,Skills!D18-IF(Skills!E18=TRUE,Inputs!$B$31,0))),0)</f>
        <v/>
      </c>
    </row>
    <row r="379">
      <c r="A379">
        <f>Skills!A19</f>
        <v/>
      </c>
      <c r="B379">
        <f>Skills!B19</f>
        <v/>
      </c>
      <c r="C379">
        <f>Inputs!$B$3&gt;=125</f>
        <v/>
      </c>
      <c r="D379">
        <f>IF(Skills!C19=1,60+Inputs!$B$24+Inputs!$B$28,IF(Skills!C19=2,90+Inputs!$B$25+Inputs!$B$28,IF(Skills!C19=3,120+Inputs!$B$26+Inputs!$B$28,MAX(0,(Inputs!$B$3-100)*3)+Inputs!$B$27+Inputs!$B$28)))</f>
        <v/>
      </c>
      <c r="E379">
        <f>INDEX(FactorTable!$B$2:$Y$301, MATCH(ROUND(MIN(300,MAX(1,D379)),0), FactorTable!$A$2:$A$301,0), Skills!L19+1)</f>
        <v/>
      </c>
      <c r="F379">
        <f>IF(Skills!M19=TRUE,(Skills!K19/10)*(E379/1000),Skills!K19/10)+Skills!N19</f>
        <v/>
      </c>
      <c r="G379">
        <f>Calc!G19</f>
        <v/>
      </c>
      <c r="H379">
        <f>Calc!H19</f>
        <v/>
      </c>
      <c r="I379">
        <f>IF(Skills!T19&lt;&gt;"",1+(Skills!T19/10)*($Z$3/1000)/100,1)</f>
        <v/>
      </c>
      <c r="J379" t="inlineStr"/>
      <c r="K379" t="inlineStr"/>
      <c r="L379" t="inlineStr"/>
      <c r="M379" t="inlineStr"/>
      <c r="N379" t="inlineStr"/>
      <c r="O379" t="n">
        <v>0</v>
      </c>
      <c r="P379">
        <f>IF(B398=0,0,O379/B398)</f>
        <v/>
      </c>
      <c r="S379" t="n">
        <v>0</v>
      </c>
      <c r="V379">
        <f>IFERROR(1/IF(Inputs!$B$4="pvp",15,MAX(0.1,Skills!D19-IF(Skills!E19=TRUE,Inputs!$B$31,0))),0)</f>
        <v/>
      </c>
    </row>
    <row r="380">
      <c r="A380">
        <f>Skills!A20</f>
        <v/>
      </c>
      <c r="B380">
        <f>Skills!B20</f>
        <v/>
      </c>
      <c r="C380">
        <f>Inputs!$B$3&gt;=33</f>
        <v/>
      </c>
      <c r="D380">
        <f>IF(Skills!C20=1,60+Inputs!$B$24+Inputs!$B$28,IF(Skills!C20=2,90+Inputs!$B$25+Inputs!$B$28,IF(Skills!C20=3,120+Inputs!$B$26+Inputs!$B$28,MAX(0,(Inputs!$B$3-100)*3)+Inputs!$B$27+Inputs!$B$28)))</f>
        <v/>
      </c>
      <c r="E380">
        <f>INDEX(FactorTable!$B$2:$Y$301, MATCH(ROUND(MIN(300,MAX(1,D380)),0), FactorTable!$A$2:$A$301,0), Skills!L20+1)</f>
        <v/>
      </c>
      <c r="F380">
        <f>IF(Skills!M20=TRUE,(Skills!K20/10)*(E380/1000),Skills!K20/10)+Skills!N20</f>
        <v/>
      </c>
      <c r="G380">
        <f>Calc!G20</f>
        <v/>
      </c>
      <c r="H380">
        <f>Calc!H20</f>
        <v/>
      </c>
      <c r="I380">
        <f>IF(Skills!T20&lt;&gt;"",1+(Skills!T20/10)*($Z$3/1000)/100,1)</f>
        <v/>
      </c>
      <c r="J380" t="inlineStr"/>
      <c r="K380" t="inlineStr"/>
      <c r="L380" t="inlineStr"/>
      <c r="M380" t="inlineStr"/>
      <c r="N380" t="inlineStr"/>
      <c r="O380" t="n">
        <v>0</v>
      </c>
      <c r="P380">
        <f>IF(B398=0,0,O380/B398)</f>
        <v/>
      </c>
      <c r="S380" t="n">
        <v>0</v>
      </c>
      <c r="V380">
        <f>IFERROR(1/IF(Inputs!$B$4="pvp",15,MAX(0.1,Skills!D20-IF(Skills!E20=TRUE,Inputs!$B$31,0))),0)</f>
        <v/>
      </c>
    </row>
    <row r="381">
      <c r="A381">
        <f>Skills!A21</f>
        <v/>
      </c>
      <c r="B381">
        <f>Skills!B21</f>
        <v/>
      </c>
      <c r="C381">
        <f>Inputs!$B$3&gt;=43</f>
        <v/>
      </c>
      <c r="D381">
        <f>IF(Skills!C21=1,60+Inputs!$B$24+Inputs!$B$28,IF(Skills!C21=2,90+Inputs!$B$25+Inputs!$B$28,IF(Skills!C21=3,120+Inputs!$B$26+Inputs!$B$28,MAX(0,(Inputs!$B$3-100)*3)+Inputs!$B$27+Inputs!$B$28)))</f>
        <v/>
      </c>
      <c r="E381">
        <f>INDEX(FactorTable!$B$2:$Y$301, MATCH(ROUND(MIN(300,MAX(1,D381)),0), FactorTable!$A$2:$A$301,0), Skills!L21+1)</f>
        <v/>
      </c>
      <c r="F381">
        <f>IF(Skills!M21=TRUE,(Skills!K21/10)*(E381/1000),Skills!K21/10)+Skills!N21</f>
        <v/>
      </c>
      <c r="G381">
        <f>Calc!G21</f>
        <v/>
      </c>
      <c r="H381">
        <f>Calc!H21</f>
        <v/>
      </c>
      <c r="I381">
        <f>IF(Skills!T21&lt;&gt;"",1+(Skills!T21/10)*($Z$3/1000)/100,1)</f>
        <v/>
      </c>
      <c r="J381" t="inlineStr"/>
      <c r="K381" t="inlineStr"/>
      <c r="L381" t="inlineStr"/>
      <c r="M381" t="inlineStr"/>
      <c r="N381" t="inlineStr"/>
      <c r="O381" t="n">
        <v>0</v>
      </c>
      <c r="P381">
        <f>IF(B398=0,0,O381/B398)</f>
        <v/>
      </c>
      <c r="S381" t="n">
        <v>0</v>
      </c>
      <c r="V381">
        <f>IFERROR(1/IF(Inputs!$B$4="pvp",15,MAX(0.1,Skills!D21-IF(Skills!E21=TRUE,Inputs!$B$31,0))),0)</f>
        <v/>
      </c>
    </row>
    <row r="382">
      <c r="A382">
        <f>Skills!A22</f>
        <v/>
      </c>
      <c r="B382">
        <f>Skills!B22</f>
        <v/>
      </c>
      <c r="C382">
        <f>Inputs!$B$3&gt;=50</f>
        <v/>
      </c>
      <c r="D382">
        <f>IF(Skills!C22=1,60+Inputs!$B$24+Inputs!$B$28,IF(Skills!C22=2,90+Inputs!$B$25+Inputs!$B$28,IF(Skills!C22=3,120+Inputs!$B$26+Inputs!$B$28,MAX(0,(Inputs!$B$3-100)*3)+Inputs!$B$27+Inputs!$B$28)))</f>
        <v/>
      </c>
      <c r="E382">
        <f>INDEX(FactorTable!$B$2:$Y$301, MATCH(ROUND(MIN(300,MAX(1,D382)),0), FactorTable!$A$2:$A$301,0), Skills!L22+1)</f>
        <v/>
      </c>
      <c r="F382">
        <f>IF(Skills!M22=TRUE,(Skills!K22/10)*(E382/1000),Skills!K22/10)+Skills!N22</f>
        <v/>
      </c>
      <c r="G382">
        <f>Calc!G22</f>
        <v/>
      </c>
      <c r="H382">
        <f>Calc!H22</f>
        <v/>
      </c>
      <c r="I382">
        <f>IF(Skills!T22&lt;&gt;"",1+(Skills!T22/10)*($Z$3/1000)/100,1)</f>
        <v/>
      </c>
      <c r="J382" t="inlineStr"/>
      <c r="K382" t="inlineStr"/>
      <c r="L382" t="inlineStr"/>
      <c r="M382" t="inlineStr"/>
      <c r="N382" t="inlineStr"/>
      <c r="O382" t="n">
        <v>0</v>
      </c>
      <c r="P382">
        <f>IF(B398=0,0,O382/B398)</f>
        <v/>
      </c>
      <c r="S382" t="n">
        <v>0</v>
      </c>
      <c r="V382">
        <f>IFERROR(1/IF(Inputs!$B$4="pvp",15,MAX(0.1,Skills!D22-IF(Skills!E22=TRUE,Inputs!$B$31,0))),0)</f>
        <v/>
      </c>
    </row>
    <row r="383">
      <c r="A383">
        <f>Skills!A23</f>
        <v/>
      </c>
      <c r="B383">
        <f>Skills!B23</f>
        <v/>
      </c>
      <c r="C383">
        <f>Inputs!$B$3&gt;=74</f>
        <v/>
      </c>
      <c r="D383">
        <f>IF(Skills!C23=1,60+Inputs!$B$24+Inputs!$B$28,IF(Skills!C23=2,90+Inputs!$B$25+Inputs!$B$28,IF(Skills!C23=3,120+Inputs!$B$26+Inputs!$B$28,MAX(0,(Inputs!$B$3-100)*3)+Inputs!$B$27+Inputs!$B$28)))</f>
        <v/>
      </c>
      <c r="E383">
        <f>INDEX(FactorTable!$B$2:$Y$301, MATCH(ROUND(MIN(300,MAX(1,D383)),0), FactorTable!$A$2:$A$301,0), Skills!L23+1)</f>
        <v/>
      </c>
      <c r="F383">
        <f>IF(Skills!M23=TRUE,(Skills!K23/10)*(E383/1000),Skills!K23/10)+Skills!N23</f>
        <v/>
      </c>
      <c r="G383">
        <f>Calc!G23</f>
        <v/>
      </c>
      <c r="H383">
        <f>Calc!H23</f>
        <v/>
      </c>
      <c r="I383">
        <f>IF(Skills!T23&lt;&gt;"",1+(Skills!T23/10)*($Z$3/1000)/100,1)</f>
        <v/>
      </c>
      <c r="J383" t="inlineStr"/>
      <c r="K383" t="inlineStr"/>
      <c r="L383" t="inlineStr"/>
      <c r="M383" t="inlineStr"/>
      <c r="N383" t="inlineStr"/>
      <c r="O383" t="n">
        <v>0</v>
      </c>
      <c r="P383">
        <f>IF(B398=0,0,O383/B398)</f>
        <v/>
      </c>
      <c r="S383" t="n">
        <v>0</v>
      </c>
      <c r="V383">
        <f>IFERROR(1/IF(Inputs!$B$4="pvp",15,MAX(0.1,Skills!D23-IF(Skills!E23=TRUE,Inputs!$B$31,0))),0)</f>
        <v/>
      </c>
    </row>
    <row r="384">
      <c r="A384">
        <f>Skills!A24</f>
        <v/>
      </c>
      <c r="B384">
        <f>Skills!B24</f>
        <v/>
      </c>
      <c r="C384">
        <f>Inputs!$B$3&gt;=74</f>
        <v/>
      </c>
      <c r="D384">
        <f>IF(Skills!C24=1,60+Inputs!$B$24+Inputs!$B$28,IF(Skills!C24=2,90+Inputs!$B$25+Inputs!$B$28,IF(Skills!C24=3,120+Inputs!$B$26+Inputs!$B$28,MAX(0,(Inputs!$B$3-100)*3)+Inputs!$B$27+Inputs!$B$28)))</f>
        <v/>
      </c>
      <c r="E384">
        <f>INDEX(FactorTable!$B$2:$Y$301, MATCH(ROUND(MIN(300,MAX(1,D384)),0), FactorTable!$A$2:$A$301,0), Skills!L24+1)</f>
        <v/>
      </c>
      <c r="F384">
        <f>IF(Skills!M24=TRUE,(Skills!K24/10)*(E384/1000),Skills!K24/10)+Skills!N24</f>
        <v/>
      </c>
      <c r="G384">
        <f>Calc!G24</f>
        <v/>
      </c>
      <c r="H384">
        <f>Calc!H24</f>
        <v/>
      </c>
      <c r="I384">
        <f>IF(Skills!T24&lt;&gt;"",1+(Skills!T24/10)*($Z$3/1000)/100,1)</f>
        <v/>
      </c>
      <c r="J384" t="inlineStr"/>
      <c r="K384" t="inlineStr"/>
      <c r="L384" t="inlineStr"/>
      <c r="M384" t="inlineStr"/>
      <c r="N384" t="inlineStr"/>
      <c r="O384" t="n">
        <v>0</v>
      </c>
      <c r="P384">
        <f>IF(B398=0,0,O384/B398)</f>
        <v/>
      </c>
      <c r="S384" t="n">
        <v>0</v>
      </c>
      <c r="V384">
        <f>IFERROR(1/IF(Inputs!$B$4="pvp",15,MAX(0.1,Skills!D24-IF(Skills!E24=TRUE,Inputs!$B$31,0))),0)</f>
        <v/>
      </c>
    </row>
    <row r="385">
      <c r="A385">
        <f>Skills!A25</f>
        <v/>
      </c>
      <c r="B385">
        <f>Skills!B25</f>
        <v/>
      </c>
      <c r="C385">
        <f>Inputs!$B$3&gt;=117</f>
        <v/>
      </c>
      <c r="D385">
        <f>IF(Skills!C25=1,60+Inputs!$B$24+Inputs!$B$28,IF(Skills!C25=2,90+Inputs!$B$25+Inputs!$B$28,IF(Skills!C25=3,120+Inputs!$B$26+Inputs!$B$28,MAX(0,(Inputs!$B$3-100)*3)+Inputs!$B$27+Inputs!$B$28)))</f>
        <v/>
      </c>
      <c r="E385">
        <f>INDEX(FactorTable!$B$2:$Y$301, MATCH(ROUND(MIN(300,MAX(1,D385)),0), FactorTable!$A$2:$A$301,0), Skills!L25+1)</f>
        <v/>
      </c>
      <c r="F385">
        <f>IF(Skills!M25=TRUE,(Skills!K25/10)*(E385/1000),Skills!K25/10)+Skills!N25</f>
        <v/>
      </c>
      <c r="G385">
        <f>Calc!G25</f>
        <v/>
      </c>
      <c r="H385">
        <f>Calc!H25</f>
        <v/>
      </c>
      <c r="I385">
        <f>IF(Skills!T25&lt;&gt;"",1+(Skills!T25/10)*($Z$3/1000)/100,1)</f>
        <v/>
      </c>
      <c r="J385" t="inlineStr"/>
      <c r="K385" t="inlineStr"/>
      <c r="L385" t="inlineStr"/>
      <c r="M385" t="inlineStr"/>
      <c r="N385" t="inlineStr"/>
      <c r="O385" t="n">
        <v>0</v>
      </c>
      <c r="P385">
        <f>IF(B398=0,0,O385/B398)</f>
        <v/>
      </c>
      <c r="S385" t="n">
        <v>0</v>
      </c>
      <c r="V385">
        <f>IFERROR(1/IF(Inputs!$B$4="pvp",15,MAX(0.1,Skills!D25-IF(Skills!E25=TRUE,Inputs!$B$31,0))),0)</f>
        <v/>
      </c>
    </row>
    <row r="386">
      <c r="A386">
        <f>Skills!A26</f>
        <v/>
      </c>
      <c r="B386">
        <f>Skills!B26</f>
        <v/>
      </c>
      <c r="C386">
        <f>Inputs!$B$3&gt;=120</f>
        <v/>
      </c>
      <c r="D386">
        <f>IF(Skills!C26=1,60+Inputs!$B$24+Inputs!$B$28,IF(Skills!C26=2,90+Inputs!$B$25+Inputs!$B$28,IF(Skills!C26=3,120+Inputs!$B$26+Inputs!$B$28,MAX(0,(Inputs!$B$3-100)*3)+Inputs!$B$27+Inputs!$B$28)))</f>
        <v/>
      </c>
      <c r="E386">
        <f>INDEX(FactorTable!$B$2:$Y$301, MATCH(ROUND(MIN(300,MAX(1,D386)),0), FactorTable!$A$2:$A$301,0), Skills!L26+1)</f>
        <v/>
      </c>
      <c r="F386">
        <f>IF(Skills!M26=TRUE,(Skills!K26/10)*(E386/1000),Skills!K26/10)+Skills!N26</f>
        <v/>
      </c>
      <c r="G386">
        <f>Calc!G26</f>
        <v/>
      </c>
      <c r="H386">
        <f>Calc!H26</f>
        <v/>
      </c>
      <c r="I386">
        <f>IF(Skills!T26&lt;&gt;"",1+(Skills!T26/10)*($Z$3/1000)/100,1)</f>
        <v/>
      </c>
      <c r="J386" t="inlineStr"/>
      <c r="K386" t="inlineStr"/>
      <c r="L386" t="inlineStr"/>
      <c r="M386" t="inlineStr"/>
      <c r="N386" t="inlineStr"/>
      <c r="O386" t="n">
        <v>0</v>
      </c>
      <c r="P386">
        <f>IF(B398=0,0,O386/B398)</f>
        <v/>
      </c>
      <c r="S386" t="n">
        <v>0</v>
      </c>
      <c r="V386">
        <f>IFERROR(1/IF(Inputs!$B$4="pvp",15,MAX(0.1,Skills!D26-IF(Skills!E26=TRUE,Inputs!$B$31,0))),0)</f>
        <v/>
      </c>
    </row>
    <row r="388">
      <c r="A388" t="inlineStr">
        <is>
          <t>Average Buff Multiplier</t>
        </is>
      </c>
      <c r="B388">
        <f>(1+(IF(C363=TRUE,F363*IF(AND(Inputs!$B$4&lt;&gt;"pvp",Inputs!$B$35&gt;0),(((S363-1)*(Skills!S3*(1+(Inputs!$B$33+IF(Inputs!$B$3&gt;=117,F385,0))/100))+MIN((Skills!S3*(1+(Inputs!$B$33+IF(Inputs!$B$3&gt;=117,F385,0))/100)),MAX(0,Inputs!$B$35-((S363-1)*Skills!D3))))/Inputs!$B$35),IF(Inputs!$B$4="pvp",MIN((Skills!S3*(1+(Inputs!$B$33+IF(Inputs!$B$3&gt;=117,F385,0))/100)),15)/15,(Skills!S3*(1+(Inputs!$B$33+IF(Inputs!$B$3&gt;=117,F385,0))/100))/Skills!D3)),0)+IF(C364=TRUE,F364*IF(AND(Inputs!$B$4&lt;&gt;"pvp",Inputs!$B$35&gt;0),(((S364-1)*(Skills!S4*(1+(Inputs!$B$33+IF(Inputs!$B$3&gt;=117,F385,0))/100))+MIN((Skills!S4*(1+(Inputs!$B$33+IF(Inputs!$B$3&gt;=117,F385,0))/100)),MAX(0,Inputs!$B$35-((S364-1)*Skills!D4))))/Inputs!$B$35),IF(Inputs!$B$4="pvp",MIN((Skills!S4*(1+(Inputs!$B$33+IF(Inputs!$B$3&gt;=117,F385,0))/100)),15)/15,(Skills!S4*(1+(Inputs!$B$33+IF(Inputs!$B$3&gt;=117,F385,0))/100))/Skills!D4)),0)+IF(C365=TRUE,F365*IF(AND(Inputs!$B$4&lt;&gt;"pvp",Inputs!$B$35&gt;0),(((S365-1)*(Skills!S5*(1+(Inputs!$B$33+IF(Inputs!$B$3&gt;=117,F385,0))/100))+MIN((Skills!S5*(1+(Inputs!$B$33+IF(Inputs!$B$3&gt;=117,F385,0))/100)),MAX(0,Inputs!$B$35-((S365-1)*Skills!D5))))/Inputs!$B$35),IF(Inputs!$B$4="pvp",MIN((Skills!S5*(1+(Inputs!$B$33+IF(Inputs!$B$3&gt;=117,F385,0))/100)),15)/15,(Skills!S5*(1+(Inputs!$B$33+IF(Inputs!$B$3&gt;=117,F385,0))/100))/Skills!D5)),0)+IF(C371=TRUE,F371*IF(AND(Inputs!$B$4&lt;&gt;"pvp",Inputs!$B$35&gt;0),(((S371-1)*(Skills!S11*(1+(Inputs!$B$33+IF(Inputs!$B$3&gt;=117,F385,0))/100))+MIN((Skills!S11*(1+(Inputs!$B$33+IF(Inputs!$B$3&gt;=117,F385,0))/100)),MAX(0,Inputs!$B$35-((S371-1)*Skills!D11))))/Inputs!$B$35),IF(Inputs!$B$4="pvp",MIN((Skills!S11*(1+(Inputs!$B$33+IF(Inputs!$B$3&gt;=117,F385,0))/100)),15)/15,(Skills!S11*(1+(Inputs!$B$33+IF(Inputs!$B$3&gt;=117,F385,0))/100))/Skills!D11)),0))/100)*IF(C373=TRUE,(1+F373*IF(AND(Inputs!$B$4&lt;&gt;"pvp",Inputs!$B$35&gt;0),(((S373-1)*(Skills!S13*(1+(Inputs!$B$33+IF(Inputs!$B$3&gt;=117,F385,0))/100))+MIN((Skills!S13*(1+(Inputs!$B$33+IF(Inputs!$B$3&gt;=117,F385,0))/100)),MAX(0,Inputs!$B$35-((S373-1)*Skills!D13))))/Inputs!$B$35),IF(Inputs!$B$4="pvp",MIN((Skills!S13*(1+(Inputs!$B$33+IF(Inputs!$B$3&gt;=117,F385,0))/100)),15)/15,(Skills!S13*(1+(Inputs!$B$33+IF(Inputs!$B$3&gt;=117,F385,0))/100))/Skills!D13))/100),1)*IF(C378=TRUE,(1+F378*IF(AND(Inputs!$B$4&lt;&gt;"pvp",Inputs!$B$35&gt;0),(((S378-1)*(Skills!S18*(1+(Inputs!$B$33+IF(Inputs!$B$3&gt;=117,F385,0))/100))+MIN((Skills!S18*(1+(Inputs!$B$33+IF(Inputs!$B$3&gt;=117,F385,0))/100)),MAX(0,Inputs!$B$35-((S378-1)*Skills!D18))))/Inputs!$B$35),IF(Inputs!$B$4="pvp",MIN((Skills!S18*(1+(Inputs!$B$33+IF(Inputs!$B$3&gt;=117,F385,0))/100)),15)/15,(Skills!S18*(1+(Inputs!$B$33+IF(Inputs!$B$3&gt;=117,F385,0))/100))/Skills!D18))/100),1)</f>
        <v/>
      </c>
    </row>
    <row r="389">
      <c r="A389" t="inlineStr">
        <is>
          <t>Monster Damage Taken Bonus % (Holy Fountain)</t>
        </is>
      </c>
      <c r="B389">
        <f>IF(Inputs!$B$3&gt;=68,20*IF(Inputs!$B$4="pvp",MIN((15*(1+(Inputs!$B$33+IF(Inputs!$B$3&gt;=117,F385,0))/100)),15)/15,(15*(1+(Inputs!$B$33+IF(Inputs!$B$3&gt;=117,F385,0))/100))/Skills!D10),0)</f>
        <v/>
      </c>
    </row>
    <row r="390">
      <c r="A390" t="inlineStr">
        <is>
          <t>Normal Monster Damage Bonus % (Holy Symbol)</t>
        </is>
      </c>
      <c r="B390">
        <f>IF(C372=TRUE,F372*IF(AND(Inputs!$B$4&lt;&gt;"pvp",Inputs!$B$35&gt;0),(((S372-1)*(Skills!S12*(1+(Inputs!$B$33+IF(Inputs!$B$3&gt;=117,F385,0))/100))+MIN((Skills!S12*(1+(Inputs!$B$33+IF(Inputs!$B$3&gt;=117,F385,0))/100)),MAX(0,Inputs!$B$35-((S372-1)*Skills!D12))))/Inputs!$B$35),IF(Inputs!$B$4="pvp",MIN((Skills!S12*(1+(Inputs!$B$33+IF(Inputs!$B$3&gt;=117,F385,0))/100)),15)/15,(Skills!S12*(1+(Inputs!$B$33+IF(Inputs!$B$3&gt;=117,F385,0))/100))/Skills!D12)),0)</f>
        <v/>
      </c>
    </row>
    <row r="391">
      <c r="A391" t="inlineStr">
        <is>
          <t>Damage % Bonus (Holy Symbol - Damage Boost)</t>
        </is>
      </c>
      <c r="B391">
        <f>Skills!O12</f>
        <v/>
      </c>
    </row>
    <row r="392">
      <c r="A392" t="inlineStr">
        <is>
          <t>Crit Damage % Bonus (Blood of the Divine)</t>
        </is>
      </c>
      <c r="B392">
        <f>4*IF(C379=TRUE,F379,0)</f>
        <v/>
      </c>
    </row>
    <row r="393">
      <c r="A393" t="inlineStr">
        <is>
          <t>Attack Speed Bonus %</t>
        </is>
      </c>
      <c r="B393">
        <f>IF(C376=TRUE,F376+(F380-Calc!F20),0)+IF(Inputs!$B$3&gt;=134,15,0)</f>
        <v/>
      </c>
    </row>
    <row r="394">
      <c r="A394" t="inlineStr">
        <is>
          <t>Actions Per Second</t>
        </is>
      </c>
      <c r="B394">
        <f>1+MIN(150,150*(1-(1-Inputs!$B$10/150)*(1-B393/150)))/100</f>
        <v/>
      </c>
    </row>
    <row r="395">
      <c r="A395" t="inlineStr">
        <is>
          <t>Skill + Buff Cast Rate</t>
        </is>
      </c>
      <c r="B395">
        <f>IF(AND(Inputs!$B$4&lt;&gt;"pvp",Inputs!$B$35&gt;0),SUMPRODUCT((Skills!E2:E26=TRUE)*(C362:C386=TRUE)*S362:S386)/Inputs!$B$35,SUMPRODUCT((Skills!E2:E26=TRUE)*(C362:C386=TRUE)*V362:V386))</f>
        <v/>
      </c>
    </row>
    <row r="396">
      <c r="A396" t="inlineStr">
        <is>
          <t>Big Bang Casts Per Second</t>
        </is>
      </c>
      <c r="B396">
        <f>MAX(0,B394-B395)</f>
        <v/>
      </c>
    </row>
    <row r="398">
      <c r="A398" s="5" t="inlineStr">
        <is>
          <t>TOTAL DPS</t>
        </is>
      </c>
      <c r="B398" s="5">
        <f>SUM(O362:O386)</f>
        <v/>
      </c>
    </row>
    <row r="401">
      <c r="A401" s="5" t="inlineStr">
        <is>
          <t>Stat: CRIT_RATE %</t>
        </is>
      </c>
    </row>
    <row r="402">
      <c r="A402" s="8" t="inlineStr">
        <is>
          <t>Key</t>
        </is>
      </c>
      <c r="B402" s="8" t="inlineStr">
        <is>
          <t>Name</t>
        </is>
      </c>
      <c r="C402" s="8" t="inlineStr">
        <is>
          <t>Unlocked</t>
        </is>
      </c>
      <c r="D402" s="8" t="inlineStr">
        <is>
          <t>InputLevel</t>
        </is>
      </c>
      <c r="E402" s="8" t="inlineStr">
        <is>
          <t>Factor</t>
        </is>
      </c>
      <c r="F402" s="8" t="inlineStr">
        <is>
          <t>CoefficientPercent</t>
        </is>
      </c>
      <c r="G402" s="8" t="inlineStr">
        <is>
          <t>EffectiveHits</t>
        </is>
      </c>
      <c r="H402" s="8" t="inlineStr">
        <is>
          <t>ProcProbability</t>
        </is>
      </c>
      <c r="I402" s="8" t="inlineStr">
        <is>
          <t>MapleHeroMultiplier</t>
        </is>
      </c>
      <c r="J402" s="8" t="inlineStr">
        <is>
          <t>BaseDamage</t>
        </is>
      </c>
      <c r="K402" s="8" t="inlineStr">
        <is>
          <t>BaseHitDamage</t>
        </is>
      </c>
      <c r="L402" s="8" t="inlineStr">
        <is>
          <t>NonCritAvg</t>
        </is>
      </c>
      <c r="M402" s="8" t="inlineStr">
        <is>
          <t>CritAvg</t>
        </is>
      </c>
      <c r="N402" s="8" t="inlineStr">
        <is>
          <t>ExpectedDamage(perHit)</t>
        </is>
      </c>
      <c r="O402" s="8" t="inlineStr">
        <is>
          <t>DPS</t>
        </is>
      </c>
      <c r="P402" s="8" t="inlineStr">
        <is>
          <t>% of Total</t>
        </is>
      </c>
      <c r="R402" t="inlineStr">
        <is>
          <t>helpers</t>
        </is>
      </c>
    </row>
    <row r="403">
      <c r="A403">
        <f>Skills!A2</f>
        <v/>
      </c>
      <c r="B403">
        <f>Skills!B2</f>
        <v/>
      </c>
      <c r="C403">
        <f>Inputs!$B$3&gt;=100</f>
        <v/>
      </c>
      <c r="D403" t="inlineStr"/>
      <c r="E403" t="inlineStr"/>
      <c r="F403">
        <f>T405+Skills!N2</f>
        <v/>
      </c>
      <c r="G403">
        <f>Calc!G2</f>
        <v/>
      </c>
      <c r="H403">
        <f>Calc!H2</f>
        <v/>
      </c>
      <c r="I403">
        <f>IF(Skills!T2&lt;&gt;"",1+(Skills!T2/10)*($Z$3/1000)/100,1)</f>
        <v/>
      </c>
      <c r="J403">
        <f>((Inputs!$B$5*(1+Inputs!$B$6/100))+((Inputs!$B$11*(1+Inputs!$B$12/100))-(Inputs!$B$11*(1+Inputs!$B$12/100)))*(1+Inputs!$B$6/100))*(F403/100)</f>
        <v/>
      </c>
      <c r="K403">
        <f>J403*(1+((Inputs!$B$11*(1+Inputs!$B$12/100))*0.01+Inputs!$B$13*0.0025)/100)*(1+(Inputs!$B$14+B432)/100)*(1+IF(Inputs!$B$4="pvp",0,(1-Summary!$B$48)*(Inputs!$B$19+Skills!O2+B430)+Summary!$B$48*(Inputs!$B$20+Skills!P2+B431))/100)*(1+Inputs!$B$15/100)*(5000/(6000+Inputs!$B$7*(1-Inputs!$B$18/100)))*(1+Inputs!$B$23/100)*(1+IF(C418=TRUE,F418,0)/100)*(1+IF(C420=TRUE,F420,0)/100)*(1+IF(Skills!A2="TRIUMPH_FEATHER",IF(C416=TRUE,F416,0),0)/100)*(1+IF(C427=TRUE,F427,0)/100)^5*(1+(IF(Skills!A2="BIG_BANG",Inputs!$B$16,Inputs!$B$17))/100)*(B429*I403)</f>
        <v/>
      </c>
      <c r="L403">
        <f>K403*(MIN(Inputs!$B$21+(F422-Calc!F21),Inputs!$B$22)/100+Inputs!$B$22/100)/2</f>
        <v/>
      </c>
      <c r="M403">
        <f>L403*(1+(Inputs!$B$9+B433+(F425-Calc!F24))/100)</f>
        <v/>
      </c>
      <c r="N403">
        <f>L403*(1-MIN((Inputs!$B$8+1)+((F424-Calc!F23)+(F423-Calc!F22)),100)/100)+M403*(MIN((Inputs!$B$8+1)+((F424-Calc!F23)+(F423-Calc!F22)),100)/100)</f>
        <v/>
      </c>
      <c r="O403">
        <f>IF(C403,Skills!F2*N403*B437*IF(Inputs!$B$4="pvp",1,(1-Summary!$B$48)*(1)+Summary!$B$48*(MIN((6+Inputs!$B$32),Inputs!$B$37))),0)</f>
        <v/>
      </c>
      <c r="P403">
        <f>IF(B439=0,0,O403/B439)</f>
        <v/>
      </c>
      <c r="S403" t="n">
        <v>0</v>
      </c>
      <c r="T403">
        <f>MAX(0,(Inputs!$B$3-100)*3)+Inputs!$B$27+Inputs!$B$28</f>
        <v/>
      </c>
      <c r="V403">
        <f>IFERROR(1/IF(Inputs!$B$4="pvp",15,MAX(0.1,Skills!D2-IF(Skills!E2=TRUE,Inputs!$B$31,0))),0)</f>
        <v/>
      </c>
    </row>
    <row r="404">
      <c r="A404">
        <f>Skills!A3</f>
        <v/>
      </c>
      <c r="B404">
        <f>Skills!B3</f>
        <v/>
      </c>
      <c r="C404">
        <f>Inputs!$B$3&gt;=15</f>
        <v/>
      </c>
      <c r="D404">
        <f>IF(Skills!C3=1,60+Inputs!$B$24+Inputs!$B$28,IF(Skills!C3=2,90+Inputs!$B$25+Inputs!$B$28,IF(Skills!C3=3,120+Inputs!$B$26+Inputs!$B$28,MAX(0,(Inputs!$B$3-100)*3)+Inputs!$B$27+Inputs!$B$28)))</f>
        <v/>
      </c>
      <c r="E404">
        <f>INDEX(FactorTable!$B$2:$Y$301, MATCH(ROUND(MIN(300,MAX(1,D404)),0), FactorTable!$A$2:$A$301,0), Skills!L3+1)</f>
        <v/>
      </c>
      <c r="F404">
        <f>IF(Skills!M3=TRUE,(Skills!K3/10)*(E404/1000),Skills!K3/10)+Skills!N3</f>
        <v/>
      </c>
      <c r="G404">
        <f>Calc!G3</f>
        <v/>
      </c>
      <c r="H404">
        <f>Calc!H3</f>
        <v/>
      </c>
      <c r="I404">
        <f>IF(Skills!T3&lt;&gt;"",1+(Skills!T3/10)*($Z$3/1000)/100,1)</f>
        <v/>
      </c>
      <c r="J404" t="inlineStr"/>
      <c r="K404" t="inlineStr"/>
      <c r="L404" t="inlineStr"/>
      <c r="M404" t="inlineStr"/>
      <c r="N404" t="inlineStr"/>
      <c r="O404" t="n">
        <v>0</v>
      </c>
      <c r="P404">
        <f>IF(B439=0,0,O404/B439)</f>
        <v/>
      </c>
      <c r="S404">
        <f>IF(AND(Inputs!$B$4&lt;&gt;"pvp",Inputs!$B$35&gt;0),(INT(Inputs!$B$35/IF(Inputs!$B$4="pvp",15,MAX(0.1,Skills!D3-IF(Skills!E3=TRUE,Inputs!$B$31,0))))+1),0)</f>
        <v/>
      </c>
      <c r="T404">
        <f>INDEX(FactorTable!$B$2:$Y$301, MATCH(ROUND(MIN(300,MAX(1,T403)),0), FactorTable!$A$2:$A$301,0), 22)</f>
        <v/>
      </c>
      <c r="V404">
        <f>IFERROR(1/IF(Inputs!$B$4="pvp",15,MAX(0.1,Skills!D3-IF(Skills!E3=TRUE,Inputs!$B$31,0))),0)</f>
        <v/>
      </c>
    </row>
    <row r="405">
      <c r="A405">
        <f>Skills!A4</f>
        <v/>
      </c>
      <c r="B405">
        <f>Skills!B4</f>
        <v/>
      </c>
      <c r="C405">
        <f>Inputs!$B$3&gt;=38</f>
        <v/>
      </c>
      <c r="D405">
        <f>IF(Skills!C4=1,60+Inputs!$B$24+Inputs!$B$28,IF(Skills!C4=2,90+Inputs!$B$25+Inputs!$B$28,IF(Skills!C4=3,120+Inputs!$B$26+Inputs!$B$28,MAX(0,(Inputs!$B$3-100)*3)+Inputs!$B$27+Inputs!$B$28)))</f>
        <v/>
      </c>
      <c r="E405">
        <f>INDEX(FactorTable!$B$2:$Y$301, MATCH(ROUND(MIN(300,MAX(1,D405)),0), FactorTable!$A$2:$A$301,0), Skills!L4+1)</f>
        <v/>
      </c>
      <c r="F405">
        <f>IF(Skills!M4=TRUE,(Skills!K4/10)*(E405/1000),Skills!K4/10)+Skills!N4</f>
        <v/>
      </c>
      <c r="G405">
        <f>Calc!G4</f>
        <v/>
      </c>
      <c r="H405">
        <f>Calc!H4</f>
        <v/>
      </c>
      <c r="I405">
        <f>IF(Skills!T4&lt;&gt;"",1+(Skills!T4/10)*($Z$3/1000)/100,1)</f>
        <v/>
      </c>
      <c r="J405" t="inlineStr"/>
      <c r="K405" t="inlineStr"/>
      <c r="L405" t="inlineStr"/>
      <c r="M405" t="inlineStr"/>
      <c r="N405" t="inlineStr"/>
      <c r="O405" t="n">
        <v>0</v>
      </c>
      <c r="P405">
        <f>IF(B439=0,0,O405/B439)</f>
        <v/>
      </c>
      <c r="S405">
        <f>IF(AND(Inputs!$B$4&lt;&gt;"pvp",Inputs!$B$35&gt;0),(INT(Inputs!$B$35/IF(Inputs!$B$4="pvp",15,MAX(0.1,Skills!D4-IF(Skills!E4=TRUE,Inputs!$B$31,0))))+1),0)</f>
        <v/>
      </c>
      <c r="T405">
        <f>290*T404/1000</f>
        <v/>
      </c>
      <c r="V405">
        <f>IFERROR(1/IF(Inputs!$B$4="pvp",15,MAX(0.1,Skills!D4-IF(Skills!E4=TRUE,Inputs!$B$31,0))),0)</f>
        <v/>
      </c>
    </row>
    <row r="406">
      <c r="A406">
        <f>Skills!A5</f>
        <v/>
      </c>
      <c r="B406">
        <f>Skills!B5</f>
        <v/>
      </c>
      <c r="C406">
        <f>Inputs!$B$3&gt;=40</f>
        <v/>
      </c>
      <c r="D406">
        <f>IF(Skills!C5=1,60+Inputs!$B$24+Inputs!$B$28,IF(Skills!C5=2,90+Inputs!$B$25+Inputs!$B$28,IF(Skills!C5=3,120+Inputs!$B$26+Inputs!$B$28,MAX(0,(Inputs!$B$3-100)*3)+Inputs!$B$27+Inputs!$B$28)))</f>
        <v/>
      </c>
      <c r="E406">
        <f>INDEX(FactorTable!$B$2:$Y$301, MATCH(ROUND(MIN(300,MAX(1,D406)),0), FactorTable!$A$2:$A$301,0), Skills!L5+1)</f>
        <v/>
      </c>
      <c r="F406">
        <f>IF(Skills!M5=TRUE,(Skills!K5/10)*(E406/1000),Skills!K5/10)+Skills!N5</f>
        <v/>
      </c>
      <c r="G406">
        <f>Calc!G5</f>
        <v/>
      </c>
      <c r="H406">
        <f>Calc!H5</f>
        <v/>
      </c>
      <c r="I406">
        <f>IF(Skills!T5&lt;&gt;"",1+(Skills!T5/10)*($Z$3/1000)/100,1)</f>
        <v/>
      </c>
      <c r="J406" t="inlineStr"/>
      <c r="K406" t="inlineStr"/>
      <c r="L406" t="inlineStr"/>
      <c r="M406" t="inlineStr"/>
      <c r="N406" t="inlineStr"/>
      <c r="O406" t="n">
        <v>0</v>
      </c>
      <c r="P406">
        <f>IF(B439=0,0,O406/B439)</f>
        <v/>
      </c>
      <c r="S406">
        <f>IF(AND(Inputs!$B$4&lt;&gt;"pvp",Inputs!$B$35&gt;0),(INT(Inputs!$B$35/IF(Inputs!$B$4="pvp",15,MAX(0.1,Skills!D5-IF(Skills!E5=TRUE,Inputs!$B$31,0))))+1),0)</f>
        <v/>
      </c>
      <c r="V406">
        <f>IFERROR(1/IF(Inputs!$B$4="pvp",15,MAX(0.1,Skills!D5-IF(Skills!E5=TRUE,Inputs!$B$31,0))),0)</f>
        <v/>
      </c>
    </row>
    <row r="407">
      <c r="A407">
        <f>Skills!A6</f>
        <v/>
      </c>
      <c r="B407">
        <f>Skills!B6</f>
        <v/>
      </c>
      <c r="C407">
        <f>Inputs!$B$3&gt;=103</f>
        <v/>
      </c>
      <c r="D407">
        <f>IF(Skills!C6=1,60+Inputs!$B$24+Inputs!$B$28,IF(Skills!C6=2,90+Inputs!$B$25+Inputs!$B$28,IF(Skills!C6=3,120+Inputs!$B$26+Inputs!$B$28,MAX(0,(Inputs!$B$3-100)*3)+Inputs!$B$27+Inputs!$B$28)))</f>
        <v/>
      </c>
      <c r="E407">
        <f>INDEX(FactorTable!$B$2:$Y$301, MATCH(ROUND(MIN(300,MAX(1,D407)),0), FactorTable!$A$2:$A$301,0), Skills!L6+1)</f>
        <v/>
      </c>
      <c r="F407">
        <f>IF(Skills!M6=TRUE,(Skills!K6/10)*(E407/1000),Skills!K6/10)+Skills!N6</f>
        <v/>
      </c>
      <c r="G407">
        <f>Calc!G6</f>
        <v/>
      </c>
      <c r="H407">
        <f>Calc!H6</f>
        <v/>
      </c>
      <c r="I407">
        <f>IF(Skills!T6&lt;&gt;"",1+(Skills!T6/10)*($Z$3/1000)/100,1)</f>
        <v/>
      </c>
      <c r="J407">
        <f>((Inputs!$B$5*(1+Inputs!$B$6/100))+((Inputs!$B$11*(1+Inputs!$B$12/100))-(Inputs!$B$11*(1+Inputs!$B$12/100)))*(1+Inputs!$B$6/100))*(F407/100)</f>
        <v/>
      </c>
      <c r="K407">
        <f>J407*(1+((Inputs!$B$11*(1+Inputs!$B$12/100))*0.01+Inputs!$B$13*0.0025)/100)*(1+(Inputs!$B$14+B432)/100)*(1+IF(Inputs!$B$4="pvp",0,(1-Summary!$B$48)*(Inputs!$B$19+Skills!O6+B430)+Summary!$B$48*(Inputs!$B$20+Skills!P6+B431))/100)*(1+Inputs!$B$15/100)*(5000/(6000+Inputs!$B$7*(1-Inputs!$B$18/100)))*(1+Inputs!$B$23/100)*(1+IF(C418=TRUE,F418,0)/100)*(1+IF(C420=TRUE,F420,0)/100)*(1+IF(Skills!A6="TRIUMPH_FEATHER",IF(C416=TRUE,F416,0),0)/100)*(1+IF(C427=TRUE,F427,0)/100)^5*(1+(IF(Skills!A6="BIG_BANG",Inputs!$B$16,Inputs!$B$17))/100)*(B429*I407)</f>
        <v/>
      </c>
      <c r="L407">
        <f>K407*(MIN(Inputs!$B$21+(F422-Calc!F21),Inputs!$B$22)/100+Inputs!$B$22/100)/2</f>
        <v/>
      </c>
      <c r="M407">
        <f>L407*(1+(Inputs!$B$9+B433+(F425-Calc!F24))/100)</f>
        <v/>
      </c>
      <c r="N407">
        <f>L407*(1-MIN((Inputs!$B$8+1)+((F424-Calc!F23)+(F423-Calc!F22)),100)/100)+M407*(MIN((Inputs!$B$8+1)+((F424-Calc!F23)+(F423-Calc!F22)),100)/100)</f>
        <v/>
      </c>
      <c r="O407">
        <f>IF(C407,H407*N407*IF(AND(Inputs!$B$4&lt;&gt;"pvp",Inputs!$B$35&gt;0),((Skills!F6*((S407-1)*IF(Skills!G6&gt;0,Skills!H6/Skills!G6,1)+IF(Skills!G6&gt;0,MIN(Skills!H6,MAX(0,Inputs!$B$35-((S407-1)*IF(Inputs!$B$4="pvp",15,MAX(0.1,Skills!D6-IF(Skills!E6=TRUE,Inputs!$B$31,0))))))/Skills!G6,1)))/Inputs!$B$35),G407*V407)*IF(Inputs!$B$4="pvp",1,(1-Summary!$B$48)*(1)+Summary!$B$48*(MIN(Skills!Q6,Inputs!$B$37))),0)</f>
        <v/>
      </c>
      <c r="P407">
        <f>IF(B439=0,0,O407/B439)</f>
        <v/>
      </c>
      <c r="S407">
        <f>IF(AND(Inputs!$B$4&lt;&gt;"pvp",Inputs!$B$35&gt;0),(INT(Inputs!$B$35/IF(Inputs!$B$4="pvp",15,MAX(0.1,Skills!D6-IF(Skills!E6=TRUE,Inputs!$B$31,0))))+1),0)</f>
        <v/>
      </c>
      <c r="V407">
        <f>IFERROR(1/IF(Inputs!$B$4="pvp",15,MAX(0.1,Skills!D6-IF(Skills!E6=TRUE,Inputs!$B$31,0))),0)</f>
        <v/>
      </c>
    </row>
    <row r="408">
      <c r="A408">
        <f>Skills!A7</f>
        <v/>
      </c>
      <c r="B408">
        <f>Skills!B7</f>
        <v/>
      </c>
      <c r="C408">
        <f>Inputs!$B$3&gt;=122</f>
        <v/>
      </c>
      <c r="D408">
        <f>IF(Skills!C7=1,60+Inputs!$B$24+Inputs!$B$28,IF(Skills!C7=2,90+Inputs!$B$25+Inputs!$B$28,IF(Skills!C7=3,120+Inputs!$B$26+Inputs!$B$28,MAX(0,(Inputs!$B$3-100)*3)+Inputs!$B$27+Inputs!$B$28)))</f>
        <v/>
      </c>
      <c r="E408">
        <f>INDEX(FactorTable!$B$2:$Y$301, MATCH(ROUND(MIN(300,MAX(1,D408)),0), FactorTable!$A$2:$A$301,0), Skills!L7+1)</f>
        <v/>
      </c>
      <c r="F408">
        <f>IF(Skills!M7=TRUE,(Skills!K7/10)*(E408/1000),Skills!K7/10)+Skills!N7</f>
        <v/>
      </c>
      <c r="G408">
        <f>Calc!G7</f>
        <v/>
      </c>
      <c r="H408">
        <f>Calc!H7</f>
        <v/>
      </c>
      <c r="I408">
        <f>IF(Skills!T7&lt;&gt;"",1+(Skills!T7/10)*($Z$3/1000)/100,1)</f>
        <v/>
      </c>
      <c r="J408">
        <f>((Inputs!$B$5*(1+Inputs!$B$6/100))+((Inputs!$B$11*(1+Inputs!$B$12/100))-(Inputs!$B$11*(1+Inputs!$B$12/100)))*(1+Inputs!$B$6/100))*(F408/100)</f>
        <v/>
      </c>
      <c r="K408">
        <f>J408*(1+((Inputs!$B$11*(1+Inputs!$B$12/100))*0.01+Inputs!$B$13*0.0025)/100)*(1+(Inputs!$B$14+B432)/100)*(1+IF(Inputs!$B$4="pvp",0,(1-Summary!$B$48)*(Inputs!$B$19+Skills!O7+B430)+Summary!$B$48*(Inputs!$B$20+Skills!P7+B431))/100)*(1+Inputs!$B$15/100)*(5000/(6000+Inputs!$B$7*(1-Inputs!$B$18/100)))*(1+Inputs!$B$23/100)*(1+IF(C418=TRUE,F418,0)/100)*(1+IF(C420=TRUE,F420,0)/100)*(1+IF(Skills!A7="TRIUMPH_FEATHER",IF(C416=TRUE,F416,0),0)/100)*(1+IF(C427=TRUE,F427,0)/100)^5*(1+(IF(Skills!A7="BIG_BANG",Inputs!$B$16,Inputs!$B$17))/100)*(B429*I408)</f>
        <v/>
      </c>
      <c r="L408">
        <f>K408*(MIN(Inputs!$B$21+(F422-Calc!F21),Inputs!$B$22)/100+Inputs!$B$22/100)/2</f>
        <v/>
      </c>
      <c r="M408">
        <f>L408*(1+(Inputs!$B$9+B433+(F425-Calc!F24))/100)</f>
        <v/>
      </c>
      <c r="N408">
        <f>L408*(1-MIN((Inputs!$B$8+1)+((F424-Calc!F23)+(F423-Calc!F22)),100)/100)+M408*(MIN((Inputs!$B$8+1)+((F424-Calc!F23)+(F423-Calc!F22)),100)/100)</f>
        <v/>
      </c>
      <c r="O408">
        <f>IF(C408,H408*N408*IF(AND(Inputs!$B$4&lt;&gt;"pvp",Inputs!$B$35&gt;0),((Skills!F7*((S408-1)*IF(Skills!G7&gt;0,Skills!H7/Skills!G7,1)+IF(Skills!G7&gt;0,MIN(Skills!H7,MAX(0,Inputs!$B$35-((S408-1)*IF(Inputs!$B$4="pvp",15,MAX(0.1,Skills!D7-IF(Skills!E6=TRUE,Inputs!$B$31,0))))))/Skills!G7,1)))/Inputs!$B$35),G408*V408)*(1-Summary!$B$48),0)</f>
        <v/>
      </c>
      <c r="P408">
        <f>IF(B439=0,0,O408/B439)</f>
        <v/>
      </c>
      <c r="S408">
        <f>IF(AND(Inputs!$B$4&lt;&gt;"pvp",Inputs!$B$35&gt;0),(INT(Inputs!$B$35/IF(Inputs!$B$4="pvp",15,MAX(0.1,Skills!D7-IF(Skills!E6=TRUE,Inputs!$B$31,0))))+1),0)</f>
        <v/>
      </c>
      <c r="V408">
        <f>IFERROR(1/IF(Inputs!$B$4="pvp",15,MAX(0.1,Skills!D7-IF(Skills!E6=TRUE,Inputs!$B$31,0))),0)</f>
        <v/>
      </c>
    </row>
    <row r="409">
      <c r="A409">
        <f>Skills!A8</f>
        <v/>
      </c>
      <c r="B409">
        <f>Skills!B8</f>
        <v/>
      </c>
      <c r="C409">
        <f>Inputs!$B$3&gt;=105</f>
        <v/>
      </c>
      <c r="D409">
        <f>IF(Skills!C8=1,60+Inputs!$B$24+Inputs!$B$28,IF(Skills!C8=2,90+Inputs!$B$25+Inputs!$B$28,IF(Skills!C8=3,120+Inputs!$B$26+Inputs!$B$28,MAX(0,(Inputs!$B$3-100)*3)+Inputs!$B$27+Inputs!$B$28)))</f>
        <v/>
      </c>
      <c r="E409">
        <f>INDEX(FactorTable!$B$2:$Y$301, MATCH(ROUND(MIN(300,MAX(1,D409)),0), FactorTable!$A$2:$A$301,0), Skills!L8+1)</f>
        <v/>
      </c>
      <c r="F409">
        <f>IF(Skills!M8=TRUE,(Skills!K8/10)*(E409/1000),Skills!K8/10)+Skills!N8</f>
        <v/>
      </c>
      <c r="G409">
        <f>Calc!G8</f>
        <v/>
      </c>
      <c r="H409">
        <f>Calc!H8</f>
        <v/>
      </c>
      <c r="I409">
        <f>IF(Skills!T8&lt;&gt;"",1+(Skills!T8/10)*($Z$3/1000)/100,1)</f>
        <v/>
      </c>
      <c r="J409">
        <f>((Inputs!$B$5*(1+Inputs!$B$6/100))+((Inputs!$B$11*(1+Inputs!$B$12/100))-(Inputs!$B$11*(1+Inputs!$B$12/100)))*(1+Inputs!$B$6/100))*(F409/100)</f>
        <v/>
      </c>
      <c r="K409">
        <f>J409*(1+((Inputs!$B$11*(1+Inputs!$B$12/100))*0.01+Inputs!$B$13*0.0025)/100)*(1+(Inputs!$B$14+B432)/100)*(1+IF(Inputs!$B$4="pvp",0,(1-Summary!$B$48)*(Inputs!$B$19+Skills!O8+B430)+Summary!$B$48*(Inputs!$B$20+Skills!P8+B431))/100)*(1+Inputs!$B$15/100)*(5000/(6000+Inputs!$B$7*(1-Inputs!$B$18/100)))*(1+Inputs!$B$23/100)*(1+IF(C418=TRUE,F418,0)/100)*(1+IF(C420=TRUE,F420,0)/100)*(1+IF(Skills!A8="TRIUMPH_FEATHER",IF(C416=TRUE,F416,0),0)/100)*(1+IF(C427=TRUE,F427,0)/100)^5*(1+(IF(Skills!A8="BIG_BANG",Inputs!$B$16,Inputs!$B$17))/100)*(B429*I409)</f>
        <v/>
      </c>
      <c r="L409">
        <f>K409*(MIN(Inputs!$B$21+(F422-Calc!F21),Inputs!$B$22)/100+Inputs!$B$22/100)/2</f>
        <v/>
      </c>
      <c r="M409">
        <f>L409*(1+(Inputs!$B$9+B433+(F425-Calc!F24))/100)</f>
        <v/>
      </c>
      <c r="N409">
        <f>L409*(1-MIN((Inputs!$B$8+1)+((F424-Calc!F23)+(F423-Calc!F22)),100)/100)+M409*(MIN((Inputs!$B$8+1)+((F424-Calc!F23)+(F423-Calc!F22)),100)/100)</f>
        <v/>
      </c>
      <c r="O409">
        <f>IF(C409,H409*N409*IF(AND(Inputs!$B$4&lt;&gt;"pvp",Inputs!$B$35&gt;0),((Skills!F8*((S409-1)*IF(Skills!G8&gt;0,Skills!H8/Skills!G8,1)+IF(Skills!G8&gt;0,MIN(Skills!H8,MAX(0,Inputs!$B$35-((S409-1)*IF(Inputs!$B$4="pvp",15,MAX(0.1,Skills!D8-IF(Skills!E8=TRUE,Inputs!$B$31,0))))))/Skills!G8,1)))/Inputs!$B$35),G409*V409)*IF(Inputs!$B$4="pvp",1,(1-Summary!$B$48)*(1)+Summary!$B$48*(MIN(Skills!Q8,Inputs!$B$37))),0)</f>
        <v/>
      </c>
      <c r="P409">
        <f>IF(B439=0,0,O409/B439)</f>
        <v/>
      </c>
      <c r="S409">
        <f>IF(AND(Inputs!$B$4&lt;&gt;"pvp",Inputs!$B$35&gt;0),(INT(Inputs!$B$35/IF(Inputs!$B$4="pvp",15,MAX(0.1,Skills!D8-IF(Skills!E8=TRUE,Inputs!$B$31,0))))+1),0)</f>
        <v/>
      </c>
      <c r="V409">
        <f>IFERROR(1/IF(Inputs!$B$4="pvp",15,MAX(0.1,Skills!D8-IF(Skills!E8=TRUE,Inputs!$B$31,0))),0)</f>
        <v/>
      </c>
    </row>
    <row r="410">
      <c r="A410">
        <f>Skills!A9</f>
        <v/>
      </c>
      <c r="B410">
        <f>Skills!B9</f>
        <v/>
      </c>
      <c r="C410">
        <f>Inputs!$B$3&gt;=115</f>
        <v/>
      </c>
      <c r="D410">
        <f>IF(Skills!C9=1,60+Inputs!$B$24+Inputs!$B$28,IF(Skills!C9=2,90+Inputs!$B$25+Inputs!$B$28,IF(Skills!C9=3,120+Inputs!$B$26+Inputs!$B$28,MAX(0,(Inputs!$B$3-100)*3)+Inputs!$B$27+Inputs!$B$28)))</f>
        <v/>
      </c>
      <c r="E410">
        <f>INDEX(FactorTable!$B$2:$Y$301, MATCH(ROUND(MIN(300,MAX(1,D410)),0), FactorTable!$A$2:$A$301,0), Skills!L9+1)</f>
        <v/>
      </c>
      <c r="F410">
        <f>IF(Skills!M9=TRUE,(Skills!K9/10)*(E410/1000),Skills!K9/10)+Skills!N9</f>
        <v/>
      </c>
      <c r="G410">
        <f>Calc!G9</f>
        <v/>
      </c>
      <c r="H410">
        <f>Calc!H9</f>
        <v/>
      </c>
      <c r="I410">
        <f>IF(Skills!T9&lt;&gt;"",1+(Skills!T9/10)*($Z$3/1000)/100,1)</f>
        <v/>
      </c>
      <c r="J410">
        <f>((Inputs!$B$5*(1+Inputs!$B$6/100))+((Inputs!$B$11*(1+Inputs!$B$12/100))-(Inputs!$B$11*(1+Inputs!$B$12/100)))*(1+Inputs!$B$6/100))*(F410/100)</f>
        <v/>
      </c>
      <c r="K410">
        <f>J410*(1+((Inputs!$B$11*(1+Inputs!$B$12/100))*0.01+Inputs!$B$13*0.0025)/100)*(1+(Inputs!$B$14+B432)/100)*(1+IF(Inputs!$B$4="pvp",0,(1-Summary!$B$48)*(Inputs!$B$19+Skills!O9+B430)+Summary!$B$48*(Inputs!$B$20+Skills!P9+B431))/100)*(1+Inputs!$B$15/100)*(5000/(6000+Inputs!$B$7*(1-Inputs!$B$18/100)))*(1+Inputs!$B$23/100)*(1+IF(C418=TRUE,F418,0)/100)*(1+IF(C420=TRUE,F420,0)/100)*(1+IF(Skills!A9="TRIUMPH_FEATHER",IF(C416=TRUE,F416,0),0)/100)*(1+IF(C427=TRUE,F427,0)/100)^5*(1+(IF(Skills!A9="BIG_BANG",Inputs!$B$16,Inputs!$B$17))/100)*(B429*I410)</f>
        <v/>
      </c>
      <c r="L410">
        <f>K410*(MIN(Inputs!$B$21+(F422-Calc!F21),Inputs!$B$22)/100+Inputs!$B$22/100)/2</f>
        <v/>
      </c>
      <c r="M410">
        <f>L410*(1+(Inputs!$B$9+B433+(F425-Calc!F24))/100)</f>
        <v/>
      </c>
      <c r="N410">
        <f>L410*(1-MIN((Inputs!$B$8+1)+((F424-Calc!F23)+(F423-Calc!F22)),100)/100)+M410*(MIN((Inputs!$B$8+1)+((F424-Calc!F23)+(F423-Calc!F22)),100)/100)</f>
        <v/>
      </c>
      <c r="O410">
        <f>IF(C410,H410*N410*IF(AND(Inputs!$B$4&lt;&gt;"pvp",Inputs!$B$35&gt;0),((Skills!F9*((S410-1)*IF(Skills!G9&gt;0,Skills!H9/Skills!G9,1)+IF(Skills!G9&gt;0,MIN(Skills!H9,MAX(0,Inputs!$B$35-((S410-1)*IF(Inputs!$B$4="pvp",15,MAX(0.1,Skills!D9-IF(Skills!E9=TRUE,Inputs!$B$31,0))))))/Skills!G9,1)))/Inputs!$B$35),G410*V410)*IF(Inputs!$B$4="pvp",1,(1-Summary!$B$48)*(1)+Summary!$B$48*(MIN(Skills!Q9,Inputs!$B$37))),0)</f>
        <v/>
      </c>
      <c r="P410">
        <f>IF(B439=0,0,O410/B439)</f>
        <v/>
      </c>
      <c r="S410">
        <f>IF(AND(Inputs!$B$4&lt;&gt;"pvp",Inputs!$B$35&gt;0),(INT(Inputs!$B$35/IF(Inputs!$B$4="pvp",15,MAX(0.1,Skills!D9-IF(Skills!E9=TRUE,Inputs!$B$31,0))))+1),0)</f>
        <v/>
      </c>
      <c r="V410">
        <f>IFERROR(1/IF(Inputs!$B$4="pvp",15,MAX(0.1,Skills!D9-IF(Skills!E9=TRUE,Inputs!$B$31,0))),0)</f>
        <v/>
      </c>
    </row>
    <row r="411">
      <c r="A411">
        <f>Skills!A10</f>
        <v/>
      </c>
      <c r="B411">
        <f>Skills!B10</f>
        <v/>
      </c>
      <c r="C411">
        <f>Inputs!$B$3&gt;=66</f>
        <v/>
      </c>
      <c r="D411">
        <f>IF(Skills!C10=1,60+Inputs!$B$24+Inputs!$B$28,IF(Skills!C10=2,90+Inputs!$B$25+Inputs!$B$28,IF(Skills!C10=3,120+Inputs!$B$26+Inputs!$B$28,MAX(0,(Inputs!$B$3-100)*3)+Inputs!$B$27+Inputs!$B$28)))</f>
        <v/>
      </c>
      <c r="E411">
        <f>INDEX(FactorTable!$B$2:$Y$301, MATCH(ROUND(MIN(300,MAX(1,D411)),0), FactorTable!$A$2:$A$301,0), Skills!L10+1)</f>
        <v/>
      </c>
      <c r="F411" t="n">
        <v>0</v>
      </c>
      <c r="G411">
        <f>Calc!G10</f>
        <v/>
      </c>
      <c r="H411">
        <f>Calc!H10</f>
        <v/>
      </c>
      <c r="I411">
        <f>IF(Skills!T10&lt;&gt;"",1+(Skills!T10/10)*($Z$3/1000)/100,1)</f>
        <v/>
      </c>
      <c r="J411" t="inlineStr"/>
      <c r="K411" t="inlineStr"/>
      <c r="L411" t="inlineStr"/>
      <c r="M411" t="inlineStr"/>
      <c r="N411" t="inlineStr"/>
      <c r="O411" t="n">
        <v>0</v>
      </c>
      <c r="P411">
        <f>IF(B439=0,0,O411/B439)</f>
        <v/>
      </c>
      <c r="S411">
        <f>IF(AND(Inputs!$B$4&lt;&gt;"pvp",Inputs!$B$35&gt;0),(INT(Inputs!$B$35/IF(Inputs!$B$4="pvp",15,MAX(0.1,Skills!D10-IF(Skills!E10=TRUE,Inputs!$B$31,0))))+1),0)</f>
        <v/>
      </c>
      <c r="V411">
        <f>IFERROR(1/IF(Inputs!$B$4="pvp",15,MAX(0.1,Skills!D10-IF(Skills!E10=TRUE,Inputs!$B$31,0))),0)</f>
        <v/>
      </c>
    </row>
    <row r="412">
      <c r="A412">
        <f>Skills!A11</f>
        <v/>
      </c>
      <c r="B412">
        <f>Skills!B11</f>
        <v/>
      </c>
      <c r="C412">
        <f>Inputs!$B$3&gt;=69</f>
        <v/>
      </c>
      <c r="D412">
        <f>IF(Skills!C11=1,60+Inputs!$B$24+Inputs!$B$28,IF(Skills!C11=2,90+Inputs!$B$25+Inputs!$B$28,IF(Skills!C11=3,120+Inputs!$B$26+Inputs!$B$28,MAX(0,(Inputs!$B$3-100)*3)+Inputs!$B$27+Inputs!$B$28)))</f>
        <v/>
      </c>
      <c r="E412">
        <f>INDEX(FactorTable!$B$2:$Y$301, MATCH(ROUND(MIN(300,MAX(1,D412)),0), FactorTable!$A$2:$A$301,0), Skills!L11+1)</f>
        <v/>
      </c>
      <c r="F412">
        <f>IF(Skills!M11=TRUE,(Skills!K11/10)*(E412/1000),Skills!K11/10)+Skills!N11</f>
        <v/>
      </c>
      <c r="G412">
        <f>Calc!G11</f>
        <v/>
      </c>
      <c r="H412">
        <f>Calc!H11</f>
        <v/>
      </c>
      <c r="I412">
        <f>IF(Skills!T11&lt;&gt;"",1+(Skills!T11/10)*($Z$3/1000)/100,1)</f>
        <v/>
      </c>
      <c r="J412" t="inlineStr"/>
      <c r="K412" t="inlineStr"/>
      <c r="L412" t="inlineStr"/>
      <c r="M412" t="inlineStr"/>
      <c r="N412" t="inlineStr"/>
      <c r="O412" t="n">
        <v>0</v>
      </c>
      <c r="P412">
        <f>IF(B439=0,0,O412/B439)</f>
        <v/>
      </c>
      <c r="S412">
        <f>IF(AND(Inputs!$B$4&lt;&gt;"pvp",Inputs!$B$35&gt;0),(INT(Inputs!$B$35/IF(Inputs!$B$4="pvp",15,MAX(0.1,Skills!D11-IF(Skills!E11=TRUE,Inputs!$B$31,0))))+1),0)</f>
        <v/>
      </c>
      <c r="V412">
        <f>IFERROR(1/IF(Inputs!$B$4="pvp",15,MAX(0.1,Skills!D11-IF(Skills!E11=TRUE,Inputs!$B$31,0))),0)</f>
        <v/>
      </c>
    </row>
    <row r="413">
      <c r="A413">
        <f>Skills!A12</f>
        <v/>
      </c>
      <c r="B413">
        <f>Skills!B12</f>
        <v/>
      </c>
      <c r="C413">
        <f>Inputs!$B$3&gt;=72</f>
        <v/>
      </c>
      <c r="D413">
        <f>IF(Skills!C12=1,60+Inputs!$B$24+Inputs!$B$28,IF(Skills!C12=2,90+Inputs!$B$25+Inputs!$B$28,IF(Skills!C12=3,120+Inputs!$B$26+Inputs!$B$28,MAX(0,(Inputs!$B$3-100)*3)+Inputs!$B$27+Inputs!$B$28)))</f>
        <v/>
      </c>
      <c r="E413">
        <f>INDEX(FactorTable!$B$2:$Y$301, MATCH(ROUND(MIN(300,MAX(1,D413)),0), FactorTable!$A$2:$A$301,0), Skills!L12+1)</f>
        <v/>
      </c>
      <c r="F413">
        <f>IF(Skills!M12=TRUE,(Skills!K12/10)*(E413/1000),Skills!K12/10)+Skills!N12</f>
        <v/>
      </c>
      <c r="G413">
        <f>Calc!G12</f>
        <v/>
      </c>
      <c r="H413">
        <f>Calc!H12</f>
        <v/>
      </c>
      <c r="I413">
        <f>IF(Skills!T12&lt;&gt;"",1+(Skills!T12/10)*($Z$3/1000)/100,1)</f>
        <v/>
      </c>
      <c r="J413" t="inlineStr"/>
      <c r="K413" t="inlineStr"/>
      <c r="L413" t="inlineStr"/>
      <c r="M413" t="inlineStr"/>
      <c r="N413" t="inlineStr"/>
      <c r="O413" t="n">
        <v>0</v>
      </c>
      <c r="P413">
        <f>IF(B439=0,0,O413/B439)</f>
        <v/>
      </c>
      <c r="S413">
        <f>IF(AND(Inputs!$B$4&lt;&gt;"pvp",Inputs!$B$35&gt;0),(INT(Inputs!$B$35/IF(Inputs!$B$4="pvp",15,MAX(0.1,Skills!D12-IF(Skills!E12=TRUE,Inputs!$B$31,0))))+1),0)</f>
        <v/>
      </c>
      <c r="V413">
        <f>IFERROR(1/IF(Inputs!$B$4="pvp",15,MAX(0.1,Skills!D12-IF(Skills!E12=TRUE,Inputs!$B$31,0))),0)</f>
        <v/>
      </c>
    </row>
    <row r="414">
      <c r="A414">
        <f>Skills!A13</f>
        <v/>
      </c>
      <c r="B414">
        <f>Skills!B13</f>
        <v/>
      </c>
      <c r="C414">
        <f>Inputs!$B$3&gt;=107</f>
        <v/>
      </c>
      <c r="D414">
        <f>IF(Skills!C13=1,60+Inputs!$B$24+Inputs!$B$28,IF(Skills!C13=2,90+Inputs!$B$25+Inputs!$B$28,IF(Skills!C13=3,120+Inputs!$B$26+Inputs!$B$28,MAX(0,(Inputs!$B$3-100)*3)+Inputs!$B$27+Inputs!$B$28)))</f>
        <v/>
      </c>
      <c r="E414">
        <f>INDEX(FactorTable!$B$2:$Y$301, MATCH(ROUND(MIN(300,MAX(1,D414)),0), FactorTable!$A$2:$A$301,0), Skills!L13+1)</f>
        <v/>
      </c>
      <c r="F414">
        <f>IF(Skills!M13=TRUE,(Skills!K13/10)*(E414/1000),Skills!K13/10)+Skills!N13</f>
        <v/>
      </c>
      <c r="G414">
        <f>Calc!G13</f>
        <v/>
      </c>
      <c r="H414">
        <f>Calc!H13</f>
        <v/>
      </c>
      <c r="I414">
        <f>IF(Skills!T13&lt;&gt;"",1+(Skills!T13/10)*($Z$3/1000)/100,1)</f>
        <v/>
      </c>
      <c r="J414" t="inlineStr"/>
      <c r="K414" t="inlineStr"/>
      <c r="L414" t="inlineStr"/>
      <c r="M414" t="inlineStr"/>
      <c r="N414" t="inlineStr"/>
      <c r="O414" t="n">
        <v>0</v>
      </c>
      <c r="P414">
        <f>IF(B439=0,0,O414/B439)</f>
        <v/>
      </c>
      <c r="S414">
        <f>IF(AND(Inputs!$B$4&lt;&gt;"pvp",Inputs!$B$35&gt;0),(INT(Inputs!$B$35/IF(Inputs!$B$4="pvp",15,MAX(0.1,Skills!D13-IF(Skills!E13=TRUE,Inputs!$B$31,0))))+1),0)</f>
        <v/>
      </c>
      <c r="V414">
        <f>IFERROR(1/IF(Inputs!$B$4="pvp",15,MAX(0.1,Skills!D13-IF(Skills!E13=TRUE,Inputs!$B$31,0))),0)</f>
        <v/>
      </c>
    </row>
    <row r="415">
      <c r="A415">
        <f>Skills!A14</f>
        <v/>
      </c>
      <c r="B415">
        <f>Skills!B14</f>
        <v/>
      </c>
      <c r="C415">
        <f>Inputs!$B$3&gt;=63</f>
        <v/>
      </c>
      <c r="D415">
        <f>IF(Skills!C14=1,60+Inputs!$B$24+Inputs!$B$28,IF(Skills!C14=2,90+Inputs!$B$25+Inputs!$B$28,IF(Skills!C14=3,120+Inputs!$B$26+Inputs!$B$28,MAX(0,(Inputs!$B$3-100)*3)+Inputs!$B$27+Inputs!$B$28)))</f>
        <v/>
      </c>
      <c r="E415">
        <f>INDEX(FactorTable!$B$2:$Y$301, MATCH(ROUND(MIN(300,MAX(1,D415)),0), FactorTable!$A$2:$A$301,0), Skills!L14+1)</f>
        <v/>
      </c>
      <c r="F415">
        <f>IF(Skills!M14=TRUE,(Skills!K14/10)*(E415/1000),Skills!K14/10)+Skills!N14</f>
        <v/>
      </c>
      <c r="G415">
        <f>Calc!G14</f>
        <v/>
      </c>
      <c r="H415">
        <f>Calc!H14</f>
        <v/>
      </c>
      <c r="I415">
        <f>IF(Skills!T14&lt;&gt;"",1+(Skills!T14/10)*($Z$3/1000)/100,1)</f>
        <v/>
      </c>
      <c r="J415">
        <f>((Inputs!$B$5*(1+Inputs!$B$6/100))+((Inputs!$B$11*(1+Inputs!$B$12/100))-(Inputs!$B$11*(1+Inputs!$B$12/100)))*(1+Inputs!$B$6/100))*(F415/100)</f>
        <v/>
      </c>
      <c r="K415">
        <f>J415*(1+((Inputs!$B$11*(1+Inputs!$B$12/100))*0.01+Inputs!$B$13*0.0025)/100)*(1+(Inputs!$B$14+B432)/100)*(1+IF(Inputs!$B$4="pvp",0,(1-Summary!$B$48)*(Inputs!$B$19+Skills!O14+B430)+Summary!$B$48*(Inputs!$B$20+Skills!P14+B431))/100)*(1+Inputs!$B$15/100)*(5000/(6000+Inputs!$B$7*(1-Inputs!$B$18/100)))*(1+Inputs!$B$23/100)*(1+IF(C418=TRUE,F418,0)/100)*(1+IF(C420=TRUE,F420,0)/100)*(1+IF(Skills!A14="TRIUMPH_FEATHER",IF(C416=TRUE,F416,0),0)/100)*(1+IF(C427=TRUE,F427,0)/100)^5*(1+(IF(Skills!A14="BIG_BANG",Inputs!$B$16,Inputs!$B$17))/100)*(B429*I415)</f>
        <v/>
      </c>
      <c r="L415">
        <f>K415*(MIN(Inputs!$B$21+(F422-Calc!F21),Inputs!$B$22)/100+Inputs!$B$22/100)/2</f>
        <v/>
      </c>
      <c r="M415">
        <f>L415*(1+(Inputs!$B$9+B433+(F425-Calc!F24))/100)</f>
        <v/>
      </c>
      <c r="N415">
        <f>L415*(1-MIN((Inputs!$B$8+1)+((F424-Calc!F23)+(F423-Calc!F22)),100)/100)+M415*(MIN((Inputs!$B$8+1)+((F424-Calc!F23)+(F423-Calc!F22)),100)/100)</f>
        <v/>
      </c>
      <c r="O415">
        <f>IF(C415,Skills!F14*N415*((IF(Inputs!$B$3&gt;=78,25,15)/100*B435*10)/(1+IF(Inputs!$B$3&gt;=78,25,15)/100*B435*10))*(Skills!I14/100*B435)/(1+Skills!G14*Skills!I14/100*B435)*IF(Inputs!$B$4="pvp",1,(1-Summary!$B$48)*(1)+Summary!$B$48*(MIN(Skills!Q14,Inputs!$B$37))),0)</f>
        <v/>
      </c>
      <c r="P415">
        <f>IF(B439=0,0,O415/B439)</f>
        <v/>
      </c>
      <c r="S415" t="n">
        <v>0</v>
      </c>
      <c r="V415">
        <f>IFERROR(1/IF(Inputs!$B$4="pvp",15,MAX(0.1,Skills!D14-IF(Skills!E14=TRUE,Inputs!$B$31,0))),0)</f>
        <v/>
      </c>
    </row>
    <row r="416">
      <c r="A416">
        <f>Skills!A15</f>
        <v/>
      </c>
      <c r="B416">
        <f>Skills!B15</f>
        <v/>
      </c>
      <c r="C416">
        <f>Inputs!$B$3&gt;=100</f>
        <v/>
      </c>
      <c r="D416">
        <f>IF(Skills!C15=1,60+Inputs!$B$24+Inputs!$B$28,IF(Skills!C15=2,90+Inputs!$B$25+Inputs!$B$28,IF(Skills!C15=3,120+Inputs!$B$26+Inputs!$B$28,MAX(0,(Inputs!$B$3-100)*3)+Inputs!$B$27+Inputs!$B$28)))</f>
        <v/>
      </c>
      <c r="E416">
        <f>INDEX(FactorTable!$B$2:$Y$301, MATCH(ROUND(MIN(300,MAX(1,D416)),0), FactorTable!$A$2:$A$301,0), Skills!L15+1)</f>
        <v/>
      </c>
      <c r="F416">
        <f>IF(Skills!M15=TRUE,(Skills!K15/10)*(E416/1000),Skills!K15/10)+Skills!N15</f>
        <v/>
      </c>
      <c r="G416">
        <f>Calc!G15</f>
        <v/>
      </c>
      <c r="H416">
        <f>Calc!H15</f>
        <v/>
      </c>
      <c r="I416">
        <f>IF(Skills!T15&lt;&gt;"",1+(Skills!T15/10)*($Z$3/1000)/100,1)</f>
        <v/>
      </c>
      <c r="J416" t="inlineStr"/>
      <c r="K416" t="inlineStr"/>
      <c r="L416" t="inlineStr"/>
      <c r="M416" t="inlineStr"/>
      <c r="N416" t="inlineStr"/>
      <c r="O416" t="n">
        <v>0</v>
      </c>
      <c r="P416">
        <f>IF(B439=0,0,O416/B439)</f>
        <v/>
      </c>
      <c r="S416" t="n">
        <v>0</v>
      </c>
      <c r="V416">
        <f>IFERROR(1/IF(Inputs!$B$4="pvp",15,MAX(0.1,Skills!D15-IF(Skills!E15=TRUE,Inputs!$B$31,0))),0)</f>
        <v/>
      </c>
    </row>
    <row r="417">
      <c r="A417">
        <f>Skills!A16</f>
        <v/>
      </c>
      <c r="B417">
        <f>Skills!B16</f>
        <v/>
      </c>
      <c r="C417">
        <f>Inputs!$B$3&gt;=49</f>
        <v/>
      </c>
      <c r="D417">
        <f>IF(Skills!C16=1,60+Inputs!$B$24+Inputs!$B$28,IF(Skills!C16=2,90+Inputs!$B$25+Inputs!$B$28,IF(Skills!C16=3,120+Inputs!$B$26+Inputs!$B$28,MAX(0,(Inputs!$B$3-100)*3)+Inputs!$B$27+Inputs!$B$28)))</f>
        <v/>
      </c>
      <c r="E417">
        <f>INDEX(FactorTable!$B$2:$Y$301, MATCH(ROUND(MIN(300,MAX(1,D417)),0), FactorTable!$A$2:$A$301,0), Skills!L16+1)</f>
        <v/>
      </c>
      <c r="F417">
        <f>IF(Skills!M16=TRUE,(Skills!K16/10)*(E417/1000),Skills!K16/10)+Skills!N16</f>
        <v/>
      </c>
      <c r="G417">
        <f>Calc!G16</f>
        <v/>
      </c>
      <c r="H417">
        <f>Calc!H16</f>
        <v/>
      </c>
      <c r="I417">
        <f>IF(Skills!T16&lt;&gt;"",1+(Skills!T16/10)*($Z$3/1000)/100,1)</f>
        <v/>
      </c>
      <c r="J417" t="inlineStr"/>
      <c r="K417" t="inlineStr"/>
      <c r="L417" t="inlineStr"/>
      <c r="M417" t="inlineStr"/>
      <c r="N417" t="inlineStr"/>
      <c r="O417" t="n">
        <v>0</v>
      </c>
      <c r="P417">
        <f>IF(B439=0,0,O417/B439)</f>
        <v/>
      </c>
      <c r="S417" t="n">
        <v>0</v>
      </c>
      <c r="V417">
        <f>IFERROR(1/IF(Inputs!$B$4="pvp",15,MAX(0.1,Skills!D16-IF(Skills!E16=TRUE,Inputs!$B$31,0))),0)</f>
        <v/>
      </c>
    </row>
    <row r="418">
      <c r="A418">
        <f>Skills!A17</f>
        <v/>
      </c>
      <c r="B418">
        <f>Skills!B17</f>
        <v/>
      </c>
      <c r="C418">
        <f>Inputs!$B$3&gt;=75</f>
        <v/>
      </c>
      <c r="D418">
        <f>IF(Skills!C17=1,60+Inputs!$B$24+Inputs!$B$28,IF(Skills!C17=2,90+Inputs!$B$25+Inputs!$B$28,IF(Skills!C17=3,120+Inputs!$B$26+Inputs!$B$28,MAX(0,(Inputs!$B$3-100)*3)+Inputs!$B$27+Inputs!$B$28)))</f>
        <v/>
      </c>
      <c r="E418">
        <f>INDEX(FactorTable!$B$2:$Y$301, MATCH(ROUND(MIN(300,MAX(1,D418)),0), FactorTable!$A$2:$A$301,0), Skills!L17+1)</f>
        <v/>
      </c>
      <c r="F418">
        <f>IF(Skills!M17=TRUE,(Skills!K17/10)*(E418/1000),Skills!K17/10)+Skills!N17</f>
        <v/>
      </c>
      <c r="G418">
        <f>Calc!G17</f>
        <v/>
      </c>
      <c r="H418">
        <f>Calc!H17</f>
        <v/>
      </c>
      <c r="I418">
        <f>IF(Skills!T17&lt;&gt;"",1+(Skills!T17/10)*($Z$3/1000)/100,1)</f>
        <v/>
      </c>
      <c r="J418" t="inlineStr"/>
      <c r="K418" t="inlineStr"/>
      <c r="L418" t="inlineStr"/>
      <c r="M418" t="inlineStr"/>
      <c r="N418" t="inlineStr"/>
      <c r="O418" t="n">
        <v>0</v>
      </c>
      <c r="P418">
        <f>IF(B439=0,0,O418/B439)</f>
        <v/>
      </c>
      <c r="S418" t="n">
        <v>0</v>
      </c>
      <c r="V418">
        <f>IFERROR(1/IF(Inputs!$B$4="pvp",15,MAX(0.1,Skills!D17-IF(Skills!E17=TRUE,Inputs!$B$31,0))),0)</f>
        <v/>
      </c>
    </row>
    <row r="419">
      <c r="A419">
        <f>Skills!A18</f>
        <v/>
      </c>
      <c r="B419">
        <f>Skills!B18</f>
        <v/>
      </c>
      <c r="C419">
        <f>Inputs!$B$3&gt;=110</f>
        <v/>
      </c>
      <c r="D419">
        <f>IF(Skills!C18=1,60+Inputs!$B$24+Inputs!$B$28,IF(Skills!C18=2,90+Inputs!$B$25+Inputs!$B$28,IF(Skills!C18=3,120+Inputs!$B$26+Inputs!$B$28,MAX(0,(Inputs!$B$3-100)*3)+Inputs!$B$27+Inputs!$B$28)))</f>
        <v/>
      </c>
      <c r="E419">
        <f>INDEX(FactorTable!$B$2:$Y$301, MATCH(ROUND(MIN(300,MAX(1,D419)),0), FactorTable!$A$2:$A$301,0), Skills!L18+1)</f>
        <v/>
      </c>
      <c r="F419">
        <f>(Skills!K18/10)*(E419/1000)*64/45+Skills!N18</f>
        <v/>
      </c>
      <c r="G419">
        <f>Calc!G18</f>
        <v/>
      </c>
      <c r="H419">
        <f>Calc!H18</f>
        <v/>
      </c>
      <c r="I419">
        <f>IF(Skills!T18&lt;&gt;"",1+(Skills!T18/10)*($Z$3/1000)/100,1)</f>
        <v/>
      </c>
      <c r="J419" t="inlineStr"/>
      <c r="K419" t="inlineStr"/>
      <c r="L419" t="inlineStr"/>
      <c r="M419" t="inlineStr"/>
      <c r="N419" t="inlineStr"/>
      <c r="O419" t="n">
        <v>0</v>
      </c>
      <c r="P419">
        <f>IF(B439=0,0,O419/B439)</f>
        <v/>
      </c>
      <c r="S419">
        <f>IF(AND(Inputs!$B$4&lt;&gt;"pvp",Inputs!$B$35&gt;0),(INT(Inputs!$B$35/IF(Inputs!$B$4="pvp",15,MAX(0.1,Skills!D18-IF(Skills!E18=TRUE,Inputs!$B$31,0))))+1),0)</f>
        <v/>
      </c>
      <c r="V419">
        <f>IFERROR(1/IF(Inputs!$B$4="pvp",15,MAX(0.1,Skills!D18-IF(Skills!E18=TRUE,Inputs!$B$31,0))),0)</f>
        <v/>
      </c>
    </row>
    <row r="420">
      <c r="A420">
        <f>Skills!A19</f>
        <v/>
      </c>
      <c r="B420">
        <f>Skills!B19</f>
        <v/>
      </c>
      <c r="C420">
        <f>Inputs!$B$3&gt;=125</f>
        <v/>
      </c>
      <c r="D420">
        <f>IF(Skills!C19=1,60+Inputs!$B$24+Inputs!$B$28,IF(Skills!C19=2,90+Inputs!$B$25+Inputs!$B$28,IF(Skills!C19=3,120+Inputs!$B$26+Inputs!$B$28,MAX(0,(Inputs!$B$3-100)*3)+Inputs!$B$27+Inputs!$B$28)))</f>
        <v/>
      </c>
      <c r="E420">
        <f>INDEX(FactorTable!$B$2:$Y$301, MATCH(ROUND(MIN(300,MAX(1,D420)),0), FactorTable!$A$2:$A$301,0), Skills!L19+1)</f>
        <v/>
      </c>
      <c r="F420">
        <f>IF(Skills!M19=TRUE,(Skills!K19/10)*(E420/1000),Skills!K19/10)+Skills!N19</f>
        <v/>
      </c>
      <c r="G420">
        <f>Calc!G19</f>
        <v/>
      </c>
      <c r="H420">
        <f>Calc!H19</f>
        <v/>
      </c>
      <c r="I420">
        <f>IF(Skills!T19&lt;&gt;"",1+(Skills!T19/10)*($Z$3/1000)/100,1)</f>
        <v/>
      </c>
      <c r="J420" t="inlineStr"/>
      <c r="K420" t="inlineStr"/>
      <c r="L420" t="inlineStr"/>
      <c r="M420" t="inlineStr"/>
      <c r="N420" t="inlineStr"/>
      <c r="O420" t="n">
        <v>0</v>
      </c>
      <c r="P420">
        <f>IF(B439=0,0,O420/B439)</f>
        <v/>
      </c>
      <c r="S420" t="n">
        <v>0</v>
      </c>
      <c r="V420">
        <f>IFERROR(1/IF(Inputs!$B$4="pvp",15,MAX(0.1,Skills!D19-IF(Skills!E19=TRUE,Inputs!$B$31,0))),0)</f>
        <v/>
      </c>
    </row>
    <row r="421">
      <c r="A421">
        <f>Skills!A20</f>
        <v/>
      </c>
      <c r="B421">
        <f>Skills!B20</f>
        <v/>
      </c>
      <c r="C421">
        <f>Inputs!$B$3&gt;=33</f>
        <v/>
      </c>
      <c r="D421">
        <f>IF(Skills!C20=1,60+Inputs!$B$24+Inputs!$B$28,IF(Skills!C20=2,90+Inputs!$B$25+Inputs!$B$28,IF(Skills!C20=3,120+Inputs!$B$26+Inputs!$B$28,MAX(0,(Inputs!$B$3-100)*3)+Inputs!$B$27+Inputs!$B$28)))</f>
        <v/>
      </c>
      <c r="E421">
        <f>INDEX(FactorTable!$B$2:$Y$301, MATCH(ROUND(MIN(300,MAX(1,D421)),0), FactorTable!$A$2:$A$301,0), Skills!L20+1)</f>
        <v/>
      </c>
      <c r="F421">
        <f>IF(Skills!M20=TRUE,(Skills!K20/10)*(E421/1000),Skills!K20/10)+Skills!N20</f>
        <v/>
      </c>
      <c r="G421">
        <f>Calc!G20</f>
        <v/>
      </c>
      <c r="H421">
        <f>Calc!H20</f>
        <v/>
      </c>
      <c r="I421">
        <f>IF(Skills!T20&lt;&gt;"",1+(Skills!T20/10)*($Z$3/1000)/100,1)</f>
        <v/>
      </c>
      <c r="J421" t="inlineStr"/>
      <c r="K421" t="inlineStr"/>
      <c r="L421" t="inlineStr"/>
      <c r="M421" t="inlineStr"/>
      <c r="N421" t="inlineStr"/>
      <c r="O421" t="n">
        <v>0</v>
      </c>
      <c r="P421">
        <f>IF(B439=0,0,O421/B439)</f>
        <v/>
      </c>
      <c r="S421" t="n">
        <v>0</v>
      </c>
      <c r="V421">
        <f>IFERROR(1/IF(Inputs!$B$4="pvp",15,MAX(0.1,Skills!D20-IF(Skills!E20=TRUE,Inputs!$B$31,0))),0)</f>
        <v/>
      </c>
    </row>
    <row r="422">
      <c r="A422">
        <f>Skills!A21</f>
        <v/>
      </c>
      <c r="B422">
        <f>Skills!B21</f>
        <v/>
      </c>
      <c r="C422">
        <f>Inputs!$B$3&gt;=43</f>
        <v/>
      </c>
      <c r="D422">
        <f>IF(Skills!C21=1,60+Inputs!$B$24+Inputs!$B$28,IF(Skills!C21=2,90+Inputs!$B$25+Inputs!$B$28,IF(Skills!C21=3,120+Inputs!$B$26+Inputs!$B$28,MAX(0,(Inputs!$B$3-100)*3)+Inputs!$B$27+Inputs!$B$28)))</f>
        <v/>
      </c>
      <c r="E422">
        <f>INDEX(FactorTable!$B$2:$Y$301, MATCH(ROUND(MIN(300,MAX(1,D422)),0), FactorTable!$A$2:$A$301,0), Skills!L21+1)</f>
        <v/>
      </c>
      <c r="F422">
        <f>IF(Skills!M21=TRUE,(Skills!K21/10)*(E422/1000),Skills!K21/10)+Skills!N21</f>
        <v/>
      </c>
      <c r="G422">
        <f>Calc!G21</f>
        <v/>
      </c>
      <c r="H422">
        <f>Calc!H21</f>
        <v/>
      </c>
      <c r="I422">
        <f>IF(Skills!T21&lt;&gt;"",1+(Skills!T21/10)*($Z$3/1000)/100,1)</f>
        <v/>
      </c>
      <c r="J422" t="inlineStr"/>
      <c r="K422" t="inlineStr"/>
      <c r="L422" t="inlineStr"/>
      <c r="M422" t="inlineStr"/>
      <c r="N422" t="inlineStr"/>
      <c r="O422" t="n">
        <v>0</v>
      </c>
      <c r="P422">
        <f>IF(B439=0,0,O422/B439)</f>
        <v/>
      </c>
      <c r="S422" t="n">
        <v>0</v>
      </c>
      <c r="V422">
        <f>IFERROR(1/IF(Inputs!$B$4="pvp",15,MAX(0.1,Skills!D21-IF(Skills!E21=TRUE,Inputs!$B$31,0))),0)</f>
        <v/>
      </c>
    </row>
    <row r="423">
      <c r="A423">
        <f>Skills!A22</f>
        <v/>
      </c>
      <c r="B423">
        <f>Skills!B22</f>
        <v/>
      </c>
      <c r="C423">
        <f>Inputs!$B$3&gt;=50</f>
        <v/>
      </c>
      <c r="D423">
        <f>IF(Skills!C22=1,60+Inputs!$B$24+Inputs!$B$28,IF(Skills!C22=2,90+Inputs!$B$25+Inputs!$B$28,IF(Skills!C22=3,120+Inputs!$B$26+Inputs!$B$28,MAX(0,(Inputs!$B$3-100)*3)+Inputs!$B$27+Inputs!$B$28)))</f>
        <v/>
      </c>
      <c r="E423">
        <f>INDEX(FactorTable!$B$2:$Y$301, MATCH(ROUND(MIN(300,MAX(1,D423)),0), FactorTable!$A$2:$A$301,0), Skills!L22+1)</f>
        <v/>
      </c>
      <c r="F423">
        <f>IF(Skills!M22=TRUE,(Skills!K22/10)*(E423/1000),Skills!K22/10)+Skills!N22</f>
        <v/>
      </c>
      <c r="G423">
        <f>Calc!G22</f>
        <v/>
      </c>
      <c r="H423">
        <f>Calc!H22</f>
        <v/>
      </c>
      <c r="I423">
        <f>IF(Skills!T22&lt;&gt;"",1+(Skills!T22/10)*($Z$3/1000)/100,1)</f>
        <v/>
      </c>
      <c r="J423" t="inlineStr"/>
      <c r="K423" t="inlineStr"/>
      <c r="L423" t="inlineStr"/>
      <c r="M423" t="inlineStr"/>
      <c r="N423" t="inlineStr"/>
      <c r="O423" t="n">
        <v>0</v>
      </c>
      <c r="P423">
        <f>IF(B439=0,0,O423/B439)</f>
        <v/>
      </c>
      <c r="S423" t="n">
        <v>0</v>
      </c>
      <c r="V423">
        <f>IFERROR(1/IF(Inputs!$B$4="pvp",15,MAX(0.1,Skills!D22-IF(Skills!E22=TRUE,Inputs!$B$31,0))),0)</f>
        <v/>
      </c>
    </row>
    <row r="424">
      <c r="A424">
        <f>Skills!A23</f>
        <v/>
      </c>
      <c r="B424">
        <f>Skills!B23</f>
        <v/>
      </c>
      <c r="C424">
        <f>Inputs!$B$3&gt;=74</f>
        <v/>
      </c>
      <c r="D424">
        <f>IF(Skills!C23=1,60+Inputs!$B$24+Inputs!$B$28,IF(Skills!C23=2,90+Inputs!$B$25+Inputs!$B$28,IF(Skills!C23=3,120+Inputs!$B$26+Inputs!$B$28,MAX(0,(Inputs!$B$3-100)*3)+Inputs!$B$27+Inputs!$B$28)))</f>
        <v/>
      </c>
      <c r="E424">
        <f>INDEX(FactorTable!$B$2:$Y$301, MATCH(ROUND(MIN(300,MAX(1,D424)),0), FactorTable!$A$2:$A$301,0), Skills!L23+1)</f>
        <v/>
      </c>
      <c r="F424">
        <f>IF(Skills!M23=TRUE,(Skills!K23/10)*(E424/1000),Skills!K23/10)+Skills!N23</f>
        <v/>
      </c>
      <c r="G424">
        <f>Calc!G23</f>
        <v/>
      </c>
      <c r="H424">
        <f>Calc!H23</f>
        <v/>
      </c>
      <c r="I424">
        <f>IF(Skills!T23&lt;&gt;"",1+(Skills!T23/10)*($Z$3/1000)/100,1)</f>
        <v/>
      </c>
      <c r="J424" t="inlineStr"/>
      <c r="K424" t="inlineStr"/>
      <c r="L424" t="inlineStr"/>
      <c r="M424" t="inlineStr"/>
      <c r="N424" t="inlineStr"/>
      <c r="O424" t="n">
        <v>0</v>
      </c>
      <c r="P424">
        <f>IF(B439=0,0,O424/B439)</f>
        <v/>
      </c>
      <c r="S424" t="n">
        <v>0</v>
      </c>
      <c r="V424">
        <f>IFERROR(1/IF(Inputs!$B$4="pvp",15,MAX(0.1,Skills!D23-IF(Skills!E23=TRUE,Inputs!$B$31,0))),0)</f>
        <v/>
      </c>
    </row>
    <row r="425">
      <c r="A425">
        <f>Skills!A24</f>
        <v/>
      </c>
      <c r="B425">
        <f>Skills!B24</f>
        <v/>
      </c>
      <c r="C425">
        <f>Inputs!$B$3&gt;=74</f>
        <v/>
      </c>
      <c r="D425">
        <f>IF(Skills!C24=1,60+Inputs!$B$24+Inputs!$B$28,IF(Skills!C24=2,90+Inputs!$B$25+Inputs!$B$28,IF(Skills!C24=3,120+Inputs!$B$26+Inputs!$B$28,MAX(0,(Inputs!$B$3-100)*3)+Inputs!$B$27+Inputs!$B$28)))</f>
        <v/>
      </c>
      <c r="E425">
        <f>INDEX(FactorTable!$B$2:$Y$301, MATCH(ROUND(MIN(300,MAX(1,D425)),0), FactorTable!$A$2:$A$301,0), Skills!L24+1)</f>
        <v/>
      </c>
      <c r="F425">
        <f>IF(Skills!M24=TRUE,(Skills!K24/10)*(E425/1000),Skills!K24/10)+Skills!N24</f>
        <v/>
      </c>
      <c r="G425">
        <f>Calc!G24</f>
        <v/>
      </c>
      <c r="H425">
        <f>Calc!H24</f>
        <v/>
      </c>
      <c r="I425">
        <f>IF(Skills!T24&lt;&gt;"",1+(Skills!T24/10)*($Z$3/1000)/100,1)</f>
        <v/>
      </c>
      <c r="J425" t="inlineStr"/>
      <c r="K425" t="inlineStr"/>
      <c r="L425" t="inlineStr"/>
      <c r="M425" t="inlineStr"/>
      <c r="N425" t="inlineStr"/>
      <c r="O425" t="n">
        <v>0</v>
      </c>
      <c r="P425">
        <f>IF(B439=0,0,O425/B439)</f>
        <v/>
      </c>
      <c r="S425" t="n">
        <v>0</v>
      </c>
      <c r="V425">
        <f>IFERROR(1/IF(Inputs!$B$4="pvp",15,MAX(0.1,Skills!D24-IF(Skills!E24=TRUE,Inputs!$B$31,0))),0)</f>
        <v/>
      </c>
    </row>
    <row r="426">
      <c r="A426">
        <f>Skills!A25</f>
        <v/>
      </c>
      <c r="B426">
        <f>Skills!B25</f>
        <v/>
      </c>
      <c r="C426">
        <f>Inputs!$B$3&gt;=117</f>
        <v/>
      </c>
      <c r="D426">
        <f>IF(Skills!C25=1,60+Inputs!$B$24+Inputs!$B$28,IF(Skills!C25=2,90+Inputs!$B$25+Inputs!$B$28,IF(Skills!C25=3,120+Inputs!$B$26+Inputs!$B$28,MAX(0,(Inputs!$B$3-100)*3)+Inputs!$B$27+Inputs!$B$28)))</f>
        <v/>
      </c>
      <c r="E426">
        <f>INDEX(FactorTable!$B$2:$Y$301, MATCH(ROUND(MIN(300,MAX(1,D426)),0), FactorTable!$A$2:$A$301,0), Skills!L25+1)</f>
        <v/>
      </c>
      <c r="F426">
        <f>IF(Skills!M25=TRUE,(Skills!K25/10)*(E426/1000),Skills!K25/10)+Skills!N25</f>
        <v/>
      </c>
      <c r="G426">
        <f>Calc!G25</f>
        <v/>
      </c>
      <c r="H426">
        <f>Calc!H25</f>
        <v/>
      </c>
      <c r="I426">
        <f>IF(Skills!T25&lt;&gt;"",1+(Skills!T25/10)*($Z$3/1000)/100,1)</f>
        <v/>
      </c>
      <c r="J426" t="inlineStr"/>
      <c r="K426" t="inlineStr"/>
      <c r="L426" t="inlineStr"/>
      <c r="M426" t="inlineStr"/>
      <c r="N426" t="inlineStr"/>
      <c r="O426" t="n">
        <v>0</v>
      </c>
      <c r="P426">
        <f>IF(B439=0,0,O426/B439)</f>
        <v/>
      </c>
      <c r="S426" t="n">
        <v>0</v>
      </c>
      <c r="V426">
        <f>IFERROR(1/IF(Inputs!$B$4="pvp",15,MAX(0.1,Skills!D25-IF(Skills!E25=TRUE,Inputs!$B$31,0))),0)</f>
        <v/>
      </c>
    </row>
    <row r="427">
      <c r="A427">
        <f>Skills!A26</f>
        <v/>
      </c>
      <c r="B427">
        <f>Skills!B26</f>
        <v/>
      </c>
      <c r="C427">
        <f>Inputs!$B$3&gt;=120</f>
        <v/>
      </c>
      <c r="D427">
        <f>IF(Skills!C26=1,60+Inputs!$B$24+Inputs!$B$28,IF(Skills!C26=2,90+Inputs!$B$25+Inputs!$B$28,IF(Skills!C26=3,120+Inputs!$B$26+Inputs!$B$28,MAX(0,(Inputs!$B$3-100)*3)+Inputs!$B$27+Inputs!$B$28)))</f>
        <v/>
      </c>
      <c r="E427">
        <f>INDEX(FactorTable!$B$2:$Y$301, MATCH(ROUND(MIN(300,MAX(1,D427)),0), FactorTable!$A$2:$A$301,0), Skills!L26+1)</f>
        <v/>
      </c>
      <c r="F427">
        <f>IF(Skills!M26=TRUE,(Skills!K26/10)*(E427/1000),Skills!K26/10)+Skills!N26</f>
        <v/>
      </c>
      <c r="G427">
        <f>Calc!G26</f>
        <v/>
      </c>
      <c r="H427">
        <f>Calc!H26</f>
        <v/>
      </c>
      <c r="I427">
        <f>IF(Skills!T26&lt;&gt;"",1+(Skills!T26/10)*($Z$3/1000)/100,1)</f>
        <v/>
      </c>
      <c r="J427" t="inlineStr"/>
      <c r="K427" t="inlineStr"/>
      <c r="L427" t="inlineStr"/>
      <c r="M427" t="inlineStr"/>
      <c r="N427" t="inlineStr"/>
      <c r="O427" t="n">
        <v>0</v>
      </c>
      <c r="P427">
        <f>IF(B439=0,0,O427/B439)</f>
        <v/>
      </c>
      <c r="S427" t="n">
        <v>0</v>
      </c>
      <c r="V427">
        <f>IFERROR(1/IF(Inputs!$B$4="pvp",15,MAX(0.1,Skills!D26-IF(Skills!E26=TRUE,Inputs!$B$31,0))),0)</f>
        <v/>
      </c>
    </row>
    <row r="429">
      <c r="A429" t="inlineStr">
        <is>
          <t>Average Buff Multiplier</t>
        </is>
      </c>
      <c r="B429">
        <f>(1+(IF(C404=TRUE,F404*IF(AND(Inputs!$B$4&lt;&gt;"pvp",Inputs!$B$35&gt;0),(((S404-1)*(Skills!S3*(1+(Inputs!$B$33+IF(Inputs!$B$3&gt;=117,F426,0))/100))+MIN((Skills!S3*(1+(Inputs!$B$33+IF(Inputs!$B$3&gt;=117,F426,0))/100)),MAX(0,Inputs!$B$35-((S404-1)*Skills!D3))))/Inputs!$B$35),IF(Inputs!$B$4="pvp",MIN((Skills!S3*(1+(Inputs!$B$33+IF(Inputs!$B$3&gt;=117,F426,0))/100)),15)/15,(Skills!S3*(1+(Inputs!$B$33+IF(Inputs!$B$3&gt;=117,F426,0))/100))/Skills!D3)),0)+IF(C405=TRUE,F405*IF(AND(Inputs!$B$4&lt;&gt;"pvp",Inputs!$B$35&gt;0),(((S405-1)*(Skills!S4*(1+(Inputs!$B$33+IF(Inputs!$B$3&gt;=117,F426,0))/100))+MIN((Skills!S4*(1+(Inputs!$B$33+IF(Inputs!$B$3&gt;=117,F426,0))/100)),MAX(0,Inputs!$B$35-((S405-1)*Skills!D4))))/Inputs!$B$35),IF(Inputs!$B$4="pvp",MIN((Skills!S4*(1+(Inputs!$B$33+IF(Inputs!$B$3&gt;=117,F426,0))/100)),15)/15,(Skills!S4*(1+(Inputs!$B$33+IF(Inputs!$B$3&gt;=117,F426,0))/100))/Skills!D4)),0)+IF(C406=TRUE,F406*IF(AND(Inputs!$B$4&lt;&gt;"pvp",Inputs!$B$35&gt;0),(((S406-1)*(Skills!S5*(1+(Inputs!$B$33+IF(Inputs!$B$3&gt;=117,F426,0))/100))+MIN((Skills!S5*(1+(Inputs!$B$33+IF(Inputs!$B$3&gt;=117,F426,0))/100)),MAX(0,Inputs!$B$35-((S406-1)*Skills!D5))))/Inputs!$B$35),IF(Inputs!$B$4="pvp",MIN((Skills!S5*(1+(Inputs!$B$33+IF(Inputs!$B$3&gt;=117,F426,0))/100)),15)/15,(Skills!S5*(1+(Inputs!$B$33+IF(Inputs!$B$3&gt;=117,F426,0))/100))/Skills!D5)),0)+IF(C412=TRUE,F412*IF(AND(Inputs!$B$4&lt;&gt;"pvp",Inputs!$B$35&gt;0),(((S412-1)*(Skills!S11*(1+(Inputs!$B$33+IF(Inputs!$B$3&gt;=117,F426,0))/100))+MIN((Skills!S11*(1+(Inputs!$B$33+IF(Inputs!$B$3&gt;=117,F426,0))/100)),MAX(0,Inputs!$B$35-((S412-1)*Skills!D11))))/Inputs!$B$35),IF(Inputs!$B$4="pvp",MIN((Skills!S11*(1+(Inputs!$B$33+IF(Inputs!$B$3&gt;=117,F426,0))/100)),15)/15,(Skills!S11*(1+(Inputs!$B$33+IF(Inputs!$B$3&gt;=117,F426,0))/100))/Skills!D11)),0))/100)*IF(C414=TRUE,(1+F414*IF(AND(Inputs!$B$4&lt;&gt;"pvp",Inputs!$B$35&gt;0),(((S414-1)*(Skills!S13*(1+(Inputs!$B$33+IF(Inputs!$B$3&gt;=117,F426,0))/100))+MIN((Skills!S13*(1+(Inputs!$B$33+IF(Inputs!$B$3&gt;=117,F426,0))/100)),MAX(0,Inputs!$B$35-((S414-1)*Skills!D13))))/Inputs!$B$35),IF(Inputs!$B$4="pvp",MIN((Skills!S13*(1+(Inputs!$B$33+IF(Inputs!$B$3&gt;=117,F426,0))/100)),15)/15,(Skills!S13*(1+(Inputs!$B$33+IF(Inputs!$B$3&gt;=117,F426,0))/100))/Skills!D13))/100),1)*IF(C419=TRUE,(1+F419*IF(AND(Inputs!$B$4&lt;&gt;"pvp",Inputs!$B$35&gt;0),(((S419-1)*(Skills!S18*(1+(Inputs!$B$33+IF(Inputs!$B$3&gt;=117,F426,0))/100))+MIN((Skills!S18*(1+(Inputs!$B$33+IF(Inputs!$B$3&gt;=117,F426,0))/100)),MAX(0,Inputs!$B$35-((S419-1)*Skills!D18))))/Inputs!$B$35),IF(Inputs!$B$4="pvp",MIN((Skills!S18*(1+(Inputs!$B$33+IF(Inputs!$B$3&gt;=117,F426,0))/100)),15)/15,(Skills!S18*(1+(Inputs!$B$33+IF(Inputs!$B$3&gt;=117,F426,0))/100))/Skills!D18))/100),1)</f>
        <v/>
      </c>
    </row>
    <row r="430">
      <c r="A430" t="inlineStr">
        <is>
          <t>Monster Damage Taken Bonus % (Holy Fountain)</t>
        </is>
      </c>
      <c r="B430">
        <f>IF(Inputs!$B$3&gt;=68,20*IF(Inputs!$B$4="pvp",MIN((15*(1+(Inputs!$B$33+IF(Inputs!$B$3&gt;=117,F426,0))/100)),15)/15,(15*(1+(Inputs!$B$33+IF(Inputs!$B$3&gt;=117,F426,0))/100))/Skills!D10),0)</f>
        <v/>
      </c>
    </row>
    <row r="431">
      <c r="A431" t="inlineStr">
        <is>
          <t>Normal Monster Damage Bonus % (Holy Symbol)</t>
        </is>
      </c>
      <c r="B431">
        <f>IF(C413=TRUE,F413*IF(AND(Inputs!$B$4&lt;&gt;"pvp",Inputs!$B$35&gt;0),(((S413-1)*(Skills!S12*(1+(Inputs!$B$33+IF(Inputs!$B$3&gt;=117,F426,0))/100))+MIN((Skills!S12*(1+(Inputs!$B$33+IF(Inputs!$B$3&gt;=117,F426,0))/100)),MAX(0,Inputs!$B$35-((S413-1)*Skills!D12))))/Inputs!$B$35),IF(Inputs!$B$4="pvp",MIN((Skills!S12*(1+(Inputs!$B$33+IF(Inputs!$B$3&gt;=117,F426,0))/100)),15)/15,(Skills!S12*(1+(Inputs!$B$33+IF(Inputs!$B$3&gt;=117,F426,0))/100))/Skills!D12)),0)</f>
        <v/>
      </c>
    </row>
    <row r="432">
      <c r="A432" t="inlineStr">
        <is>
          <t>Damage % Bonus (Holy Symbol - Damage Boost)</t>
        </is>
      </c>
      <c r="B432">
        <f>Skills!O12</f>
        <v/>
      </c>
    </row>
    <row r="433">
      <c r="A433" t="inlineStr">
        <is>
          <t>Crit Damage % Bonus (Blood of the Divine)</t>
        </is>
      </c>
      <c r="B433">
        <f>4*IF(C420=TRUE,F420,0)</f>
        <v/>
      </c>
    </row>
    <row r="434">
      <c r="A434" t="inlineStr">
        <is>
          <t>Attack Speed Bonus %</t>
        </is>
      </c>
      <c r="B434">
        <f>IF(C417=TRUE,F417+(F421-Calc!F20),0)+IF(Inputs!$B$3&gt;=134,15,0)</f>
        <v/>
      </c>
    </row>
    <row r="435">
      <c r="A435" t="inlineStr">
        <is>
          <t>Actions Per Second</t>
        </is>
      </c>
      <c r="B435">
        <f>1+MIN(150,150*(1-(1-Inputs!$B$10/150)*(1-B434/150)))/100</f>
        <v/>
      </c>
    </row>
    <row r="436">
      <c r="A436" t="inlineStr">
        <is>
          <t>Skill + Buff Cast Rate</t>
        </is>
      </c>
      <c r="B436">
        <f>IF(AND(Inputs!$B$4&lt;&gt;"pvp",Inputs!$B$35&gt;0),SUMPRODUCT((Skills!E2:E26=TRUE)*(C403:C427=TRUE)*S403:S427)/Inputs!$B$35,SUMPRODUCT((Skills!E2:E26=TRUE)*(C403:C427=TRUE)*V403:V427))</f>
        <v/>
      </c>
    </row>
    <row r="437">
      <c r="A437" t="inlineStr">
        <is>
          <t>Big Bang Casts Per Second</t>
        </is>
      </c>
      <c r="B437">
        <f>MAX(0,B435-B436)</f>
        <v/>
      </c>
    </row>
    <row r="439">
      <c r="A439" s="5" t="inlineStr">
        <is>
          <t>TOTAL DPS</t>
        </is>
      </c>
      <c r="B439" s="5">
        <f>SUM(O403:O427)</f>
        <v/>
      </c>
    </row>
    <row r="442">
      <c r="A442" s="5" t="inlineStr">
        <is>
          <t>Stat: CRIT_DAMAGE %</t>
        </is>
      </c>
    </row>
    <row r="443">
      <c r="A443" s="8" t="inlineStr">
        <is>
          <t>Key</t>
        </is>
      </c>
      <c r="B443" s="8" t="inlineStr">
        <is>
          <t>Name</t>
        </is>
      </c>
      <c r="C443" s="8" t="inlineStr">
        <is>
          <t>Unlocked</t>
        </is>
      </c>
      <c r="D443" s="8" t="inlineStr">
        <is>
          <t>InputLevel</t>
        </is>
      </c>
      <c r="E443" s="8" t="inlineStr">
        <is>
          <t>Factor</t>
        </is>
      </c>
      <c r="F443" s="8" t="inlineStr">
        <is>
          <t>CoefficientPercent</t>
        </is>
      </c>
      <c r="G443" s="8" t="inlineStr">
        <is>
          <t>EffectiveHits</t>
        </is>
      </c>
      <c r="H443" s="8" t="inlineStr">
        <is>
          <t>ProcProbability</t>
        </is>
      </c>
      <c r="I443" s="8" t="inlineStr">
        <is>
          <t>MapleHeroMultiplier</t>
        </is>
      </c>
      <c r="J443" s="8" t="inlineStr">
        <is>
          <t>BaseDamage</t>
        </is>
      </c>
      <c r="K443" s="8" t="inlineStr">
        <is>
          <t>BaseHitDamage</t>
        </is>
      </c>
      <c r="L443" s="8" t="inlineStr">
        <is>
          <t>NonCritAvg</t>
        </is>
      </c>
      <c r="M443" s="8" t="inlineStr">
        <is>
          <t>CritAvg</t>
        </is>
      </c>
      <c r="N443" s="8" t="inlineStr">
        <is>
          <t>ExpectedDamage(perHit)</t>
        </is>
      </c>
      <c r="O443" s="8" t="inlineStr">
        <is>
          <t>DPS</t>
        </is>
      </c>
      <c r="P443" s="8" t="inlineStr">
        <is>
          <t>% of Total</t>
        </is>
      </c>
      <c r="R443" t="inlineStr">
        <is>
          <t>helpers</t>
        </is>
      </c>
    </row>
    <row r="444">
      <c r="A444">
        <f>Skills!A2</f>
        <v/>
      </c>
      <c r="B444">
        <f>Skills!B2</f>
        <v/>
      </c>
      <c r="C444">
        <f>Inputs!$B$3&gt;=100</f>
        <v/>
      </c>
      <c r="D444" t="inlineStr"/>
      <c r="E444" t="inlineStr"/>
      <c r="F444">
        <f>T446+Skills!N2</f>
        <v/>
      </c>
      <c r="G444">
        <f>Calc!G2</f>
        <v/>
      </c>
      <c r="H444">
        <f>Calc!H2</f>
        <v/>
      </c>
      <c r="I444">
        <f>IF(Skills!T2&lt;&gt;"",1+(Skills!T2/10)*($Z$3/1000)/100,1)</f>
        <v/>
      </c>
      <c r="J444">
        <f>((Inputs!$B$5*(1+Inputs!$B$6/100))+((Inputs!$B$11*(1+Inputs!$B$12/100))-(Inputs!$B$11*(1+Inputs!$B$12/100)))*(1+Inputs!$B$6/100))*(F444/100)</f>
        <v/>
      </c>
      <c r="K444">
        <f>J444*(1+((Inputs!$B$11*(1+Inputs!$B$12/100))*0.01+Inputs!$B$13*0.0025)/100)*(1+(Inputs!$B$14+B473)/100)*(1+IF(Inputs!$B$4="pvp",0,(1-Summary!$B$48)*(Inputs!$B$19+Skills!O2+B471)+Summary!$B$48*(Inputs!$B$20+Skills!P2+B472))/100)*(1+Inputs!$B$15/100)*(5000/(6000+Inputs!$B$7*(1-Inputs!$B$18/100)))*(1+Inputs!$B$23/100)*(1+IF(C459=TRUE,F459,0)/100)*(1+IF(C461=TRUE,F461,0)/100)*(1+IF(Skills!A2="TRIUMPH_FEATHER",IF(C457=TRUE,F457,0),0)/100)*(1+IF(C468=TRUE,F468,0)/100)^5*(1+(IF(Skills!A2="BIG_BANG",Inputs!$B$16,Inputs!$B$17))/100)*(B470*I444)</f>
        <v/>
      </c>
      <c r="L444">
        <f>K444*(MIN(Inputs!$B$21+(F463-Calc!F21),Inputs!$B$22)/100+Inputs!$B$22/100)/2</f>
        <v/>
      </c>
      <c r="M444">
        <f>L444*(1+((Inputs!$B$9+1)+B474+(F466-Calc!F24))/100)</f>
        <v/>
      </c>
      <c r="N444">
        <f>L444*(1-MIN(Inputs!$B$8+((F465-Calc!F23)+(F464-Calc!F22)),100)/100)+M444*(MIN(Inputs!$B$8+((F465-Calc!F23)+(F464-Calc!F22)),100)/100)</f>
        <v/>
      </c>
      <c r="O444">
        <f>IF(C444,Skills!F2*N444*B478*IF(Inputs!$B$4="pvp",1,(1-Summary!$B$48)*(1)+Summary!$B$48*(MIN((6+Inputs!$B$32),Inputs!$B$37))),0)</f>
        <v/>
      </c>
      <c r="P444">
        <f>IF(B480=0,0,O444/B480)</f>
        <v/>
      </c>
      <c r="S444" t="n">
        <v>0</v>
      </c>
      <c r="T444">
        <f>MAX(0,(Inputs!$B$3-100)*3)+Inputs!$B$27+Inputs!$B$28</f>
        <v/>
      </c>
      <c r="V444">
        <f>IFERROR(1/IF(Inputs!$B$4="pvp",15,MAX(0.1,Skills!D2-IF(Skills!E2=TRUE,Inputs!$B$31,0))),0)</f>
        <v/>
      </c>
    </row>
    <row r="445">
      <c r="A445">
        <f>Skills!A3</f>
        <v/>
      </c>
      <c r="B445">
        <f>Skills!B3</f>
        <v/>
      </c>
      <c r="C445">
        <f>Inputs!$B$3&gt;=15</f>
        <v/>
      </c>
      <c r="D445">
        <f>IF(Skills!C3=1,60+Inputs!$B$24+Inputs!$B$28,IF(Skills!C3=2,90+Inputs!$B$25+Inputs!$B$28,IF(Skills!C3=3,120+Inputs!$B$26+Inputs!$B$28,MAX(0,(Inputs!$B$3-100)*3)+Inputs!$B$27+Inputs!$B$28)))</f>
        <v/>
      </c>
      <c r="E445">
        <f>INDEX(FactorTable!$B$2:$Y$301, MATCH(ROUND(MIN(300,MAX(1,D445)),0), FactorTable!$A$2:$A$301,0), Skills!L3+1)</f>
        <v/>
      </c>
      <c r="F445">
        <f>IF(Skills!M3=TRUE,(Skills!K3/10)*(E445/1000),Skills!K3/10)+Skills!N3</f>
        <v/>
      </c>
      <c r="G445">
        <f>Calc!G3</f>
        <v/>
      </c>
      <c r="H445">
        <f>Calc!H3</f>
        <v/>
      </c>
      <c r="I445">
        <f>IF(Skills!T3&lt;&gt;"",1+(Skills!T3/10)*($Z$3/1000)/100,1)</f>
        <v/>
      </c>
      <c r="J445" t="inlineStr"/>
      <c r="K445" t="inlineStr"/>
      <c r="L445" t="inlineStr"/>
      <c r="M445" t="inlineStr"/>
      <c r="N445" t="inlineStr"/>
      <c r="O445" t="n">
        <v>0</v>
      </c>
      <c r="P445">
        <f>IF(B480=0,0,O445/B480)</f>
        <v/>
      </c>
      <c r="S445">
        <f>IF(AND(Inputs!$B$4&lt;&gt;"pvp",Inputs!$B$35&gt;0),(INT(Inputs!$B$35/IF(Inputs!$B$4="pvp",15,MAX(0.1,Skills!D3-IF(Skills!E3=TRUE,Inputs!$B$31,0))))+1),0)</f>
        <v/>
      </c>
      <c r="T445">
        <f>INDEX(FactorTable!$B$2:$Y$301, MATCH(ROUND(MIN(300,MAX(1,T444)),0), FactorTable!$A$2:$A$301,0), 22)</f>
        <v/>
      </c>
      <c r="V445">
        <f>IFERROR(1/IF(Inputs!$B$4="pvp",15,MAX(0.1,Skills!D3-IF(Skills!E3=TRUE,Inputs!$B$31,0))),0)</f>
        <v/>
      </c>
    </row>
    <row r="446">
      <c r="A446">
        <f>Skills!A4</f>
        <v/>
      </c>
      <c r="B446">
        <f>Skills!B4</f>
        <v/>
      </c>
      <c r="C446">
        <f>Inputs!$B$3&gt;=38</f>
        <v/>
      </c>
      <c r="D446">
        <f>IF(Skills!C4=1,60+Inputs!$B$24+Inputs!$B$28,IF(Skills!C4=2,90+Inputs!$B$25+Inputs!$B$28,IF(Skills!C4=3,120+Inputs!$B$26+Inputs!$B$28,MAX(0,(Inputs!$B$3-100)*3)+Inputs!$B$27+Inputs!$B$28)))</f>
        <v/>
      </c>
      <c r="E446">
        <f>INDEX(FactorTable!$B$2:$Y$301, MATCH(ROUND(MIN(300,MAX(1,D446)),0), FactorTable!$A$2:$A$301,0), Skills!L4+1)</f>
        <v/>
      </c>
      <c r="F446">
        <f>IF(Skills!M4=TRUE,(Skills!K4/10)*(E446/1000),Skills!K4/10)+Skills!N4</f>
        <v/>
      </c>
      <c r="G446">
        <f>Calc!G4</f>
        <v/>
      </c>
      <c r="H446">
        <f>Calc!H4</f>
        <v/>
      </c>
      <c r="I446">
        <f>IF(Skills!T4&lt;&gt;"",1+(Skills!T4/10)*($Z$3/1000)/100,1)</f>
        <v/>
      </c>
      <c r="J446" t="inlineStr"/>
      <c r="K446" t="inlineStr"/>
      <c r="L446" t="inlineStr"/>
      <c r="M446" t="inlineStr"/>
      <c r="N446" t="inlineStr"/>
      <c r="O446" t="n">
        <v>0</v>
      </c>
      <c r="P446">
        <f>IF(B480=0,0,O446/B480)</f>
        <v/>
      </c>
      <c r="S446">
        <f>IF(AND(Inputs!$B$4&lt;&gt;"pvp",Inputs!$B$35&gt;0),(INT(Inputs!$B$35/IF(Inputs!$B$4="pvp",15,MAX(0.1,Skills!D4-IF(Skills!E4=TRUE,Inputs!$B$31,0))))+1),0)</f>
        <v/>
      </c>
      <c r="T446">
        <f>290*T445/1000</f>
        <v/>
      </c>
      <c r="V446">
        <f>IFERROR(1/IF(Inputs!$B$4="pvp",15,MAX(0.1,Skills!D4-IF(Skills!E4=TRUE,Inputs!$B$31,0))),0)</f>
        <v/>
      </c>
    </row>
    <row r="447">
      <c r="A447">
        <f>Skills!A5</f>
        <v/>
      </c>
      <c r="B447">
        <f>Skills!B5</f>
        <v/>
      </c>
      <c r="C447">
        <f>Inputs!$B$3&gt;=40</f>
        <v/>
      </c>
      <c r="D447">
        <f>IF(Skills!C5=1,60+Inputs!$B$24+Inputs!$B$28,IF(Skills!C5=2,90+Inputs!$B$25+Inputs!$B$28,IF(Skills!C5=3,120+Inputs!$B$26+Inputs!$B$28,MAX(0,(Inputs!$B$3-100)*3)+Inputs!$B$27+Inputs!$B$28)))</f>
        <v/>
      </c>
      <c r="E447">
        <f>INDEX(FactorTable!$B$2:$Y$301, MATCH(ROUND(MIN(300,MAX(1,D447)),0), FactorTable!$A$2:$A$301,0), Skills!L5+1)</f>
        <v/>
      </c>
      <c r="F447">
        <f>IF(Skills!M5=TRUE,(Skills!K5/10)*(E447/1000),Skills!K5/10)+Skills!N5</f>
        <v/>
      </c>
      <c r="G447">
        <f>Calc!G5</f>
        <v/>
      </c>
      <c r="H447">
        <f>Calc!H5</f>
        <v/>
      </c>
      <c r="I447">
        <f>IF(Skills!T5&lt;&gt;"",1+(Skills!T5/10)*($Z$3/1000)/100,1)</f>
        <v/>
      </c>
      <c r="J447" t="inlineStr"/>
      <c r="K447" t="inlineStr"/>
      <c r="L447" t="inlineStr"/>
      <c r="M447" t="inlineStr"/>
      <c r="N447" t="inlineStr"/>
      <c r="O447" t="n">
        <v>0</v>
      </c>
      <c r="P447">
        <f>IF(B480=0,0,O447/B480)</f>
        <v/>
      </c>
      <c r="S447">
        <f>IF(AND(Inputs!$B$4&lt;&gt;"pvp",Inputs!$B$35&gt;0),(INT(Inputs!$B$35/IF(Inputs!$B$4="pvp",15,MAX(0.1,Skills!D5-IF(Skills!E5=TRUE,Inputs!$B$31,0))))+1),0)</f>
        <v/>
      </c>
      <c r="V447">
        <f>IFERROR(1/IF(Inputs!$B$4="pvp",15,MAX(0.1,Skills!D5-IF(Skills!E5=TRUE,Inputs!$B$31,0))),0)</f>
        <v/>
      </c>
    </row>
    <row r="448">
      <c r="A448">
        <f>Skills!A6</f>
        <v/>
      </c>
      <c r="B448">
        <f>Skills!B6</f>
        <v/>
      </c>
      <c r="C448">
        <f>Inputs!$B$3&gt;=103</f>
        <v/>
      </c>
      <c r="D448">
        <f>IF(Skills!C6=1,60+Inputs!$B$24+Inputs!$B$28,IF(Skills!C6=2,90+Inputs!$B$25+Inputs!$B$28,IF(Skills!C6=3,120+Inputs!$B$26+Inputs!$B$28,MAX(0,(Inputs!$B$3-100)*3)+Inputs!$B$27+Inputs!$B$28)))</f>
        <v/>
      </c>
      <c r="E448">
        <f>INDEX(FactorTable!$B$2:$Y$301, MATCH(ROUND(MIN(300,MAX(1,D448)),0), FactorTable!$A$2:$A$301,0), Skills!L6+1)</f>
        <v/>
      </c>
      <c r="F448">
        <f>IF(Skills!M6=TRUE,(Skills!K6/10)*(E448/1000),Skills!K6/10)+Skills!N6</f>
        <v/>
      </c>
      <c r="G448">
        <f>Calc!G6</f>
        <v/>
      </c>
      <c r="H448">
        <f>Calc!H6</f>
        <v/>
      </c>
      <c r="I448">
        <f>IF(Skills!T6&lt;&gt;"",1+(Skills!T6/10)*($Z$3/1000)/100,1)</f>
        <v/>
      </c>
      <c r="J448">
        <f>((Inputs!$B$5*(1+Inputs!$B$6/100))+((Inputs!$B$11*(1+Inputs!$B$12/100))-(Inputs!$B$11*(1+Inputs!$B$12/100)))*(1+Inputs!$B$6/100))*(F448/100)</f>
        <v/>
      </c>
      <c r="K448">
        <f>J448*(1+((Inputs!$B$11*(1+Inputs!$B$12/100))*0.01+Inputs!$B$13*0.0025)/100)*(1+(Inputs!$B$14+B473)/100)*(1+IF(Inputs!$B$4="pvp",0,(1-Summary!$B$48)*(Inputs!$B$19+Skills!O6+B471)+Summary!$B$48*(Inputs!$B$20+Skills!P6+B472))/100)*(1+Inputs!$B$15/100)*(5000/(6000+Inputs!$B$7*(1-Inputs!$B$18/100)))*(1+Inputs!$B$23/100)*(1+IF(C459=TRUE,F459,0)/100)*(1+IF(C461=TRUE,F461,0)/100)*(1+IF(Skills!A6="TRIUMPH_FEATHER",IF(C457=TRUE,F457,0),0)/100)*(1+IF(C468=TRUE,F468,0)/100)^5*(1+(IF(Skills!A6="BIG_BANG",Inputs!$B$16,Inputs!$B$17))/100)*(B470*I448)</f>
        <v/>
      </c>
      <c r="L448">
        <f>K448*(MIN(Inputs!$B$21+(F463-Calc!F21),Inputs!$B$22)/100+Inputs!$B$22/100)/2</f>
        <v/>
      </c>
      <c r="M448">
        <f>L448*(1+((Inputs!$B$9+1)+B474+(F466-Calc!F24))/100)</f>
        <v/>
      </c>
      <c r="N448">
        <f>L448*(1-MIN(Inputs!$B$8+((F465-Calc!F23)+(F464-Calc!F22)),100)/100)+M448*(MIN(Inputs!$B$8+((F465-Calc!F23)+(F464-Calc!F22)),100)/100)</f>
        <v/>
      </c>
      <c r="O448">
        <f>IF(C448,H448*N448*IF(AND(Inputs!$B$4&lt;&gt;"pvp",Inputs!$B$35&gt;0),((Skills!F6*((S448-1)*IF(Skills!G6&gt;0,Skills!H6/Skills!G6,1)+IF(Skills!G6&gt;0,MIN(Skills!H6,MAX(0,Inputs!$B$35-((S448-1)*IF(Inputs!$B$4="pvp",15,MAX(0.1,Skills!D6-IF(Skills!E6=TRUE,Inputs!$B$31,0))))))/Skills!G6,1)))/Inputs!$B$35),G448*V448)*IF(Inputs!$B$4="pvp",1,(1-Summary!$B$48)*(1)+Summary!$B$48*(MIN(Skills!Q6,Inputs!$B$37))),0)</f>
        <v/>
      </c>
      <c r="P448">
        <f>IF(B480=0,0,O448/B480)</f>
        <v/>
      </c>
      <c r="S448">
        <f>IF(AND(Inputs!$B$4&lt;&gt;"pvp",Inputs!$B$35&gt;0),(INT(Inputs!$B$35/IF(Inputs!$B$4="pvp",15,MAX(0.1,Skills!D6-IF(Skills!E6=TRUE,Inputs!$B$31,0))))+1),0)</f>
        <v/>
      </c>
      <c r="V448">
        <f>IFERROR(1/IF(Inputs!$B$4="pvp",15,MAX(0.1,Skills!D6-IF(Skills!E6=TRUE,Inputs!$B$31,0))),0)</f>
        <v/>
      </c>
    </row>
    <row r="449">
      <c r="A449">
        <f>Skills!A7</f>
        <v/>
      </c>
      <c r="B449">
        <f>Skills!B7</f>
        <v/>
      </c>
      <c r="C449">
        <f>Inputs!$B$3&gt;=122</f>
        <v/>
      </c>
      <c r="D449">
        <f>IF(Skills!C7=1,60+Inputs!$B$24+Inputs!$B$28,IF(Skills!C7=2,90+Inputs!$B$25+Inputs!$B$28,IF(Skills!C7=3,120+Inputs!$B$26+Inputs!$B$28,MAX(0,(Inputs!$B$3-100)*3)+Inputs!$B$27+Inputs!$B$28)))</f>
        <v/>
      </c>
      <c r="E449">
        <f>INDEX(FactorTable!$B$2:$Y$301, MATCH(ROUND(MIN(300,MAX(1,D449)),0), FactorTable!$A$2:$A$301,0), Skills!L7+1)</f>
        <v/>
      </c>
      <c r="F449">
        <f>IF(Skills!M7=TRUE,(Skills!K7/10)*(E449/1000),Skills!K7/10)+Skills!N7</f>
        <v/>
      </c>
      <c r="G449">
        <f>Calc!G7</f>
        <v/>
      </c>
      <c r="H449">
        <f>Calc!H7</f>
        <v/>
      </c>
      <c r="I449">
        <f>IF(Skills!T7&lt;&gt;"",1+(Skills!T7/10)*($Z$3/1000)/100,1)</f>
        <v/>
      </c>
      <c r="J449">
        <f>((Inputs!$B$5*(1+Inputs!$B$6/100))+((Inputs!$B$11*(1+Inputs!$B$12/100))-(Inputs!$B$11*(1+Inputs!$B$12/100)))*(1+Inputs!$B$6/100))*(F449/100)</f>
        <v/>
      </c>
      <c r="K449">
        <f>J449*(1+((Inputs!$B$11*(1+Inputs!$B$12/100))*0.01+Inputs!$B$13*0.0025)/100)*(1+(Inputs!$B$14+B473)/100)*(1+IF(Inputs!$B$4="pvp",0,(1-Summary!$B$48)*(Inputs!$B$19+Skills!O7+B471)+Summary!$B$48*(Inputs!$B$20+Skills!P7+B472))/100)*(1+Inputs!$B$15/100)*(5000/(6000+Inputs!$B$7*(1-Inputs!$B$18/100)))*(1+Inputs!$B$23/100)*(1+IF(C459=TRUE,F459,0)/100)*(1+IF(C461=TRUE,F461,0)/100)*(1+IF(Skills!A7="TRIUMPH_FEATHER",IF(C457=TRUE,F457,0),0)/100)*(1+IF(C468=TRUE,F468,0)/100)^5*(1+(IF(Skills!A7="BIG_BANG",Inputs!$B$16,Inputs!$B$17))/100)*(B470*I449)</f>
        <v/>
      </c>
      <c r="L449">
        <f>K449*(MIN(Inputs!$B$21+(F463-Calc!F21),Inputs!$B$22)/100+Inputs!$B$22/100)/2</f>
        <v/>
      </c>
      <c r="M449">
        <f>L449*(1+((Inputs!$B$9+1)+B474+(F466-Calc!F24))/100)</f>
        <v/>
      </c>
      <c r="N449">
        <f>L449*(1-MIN(Inputs!$B$8+((F465-Calc!F23)+(F464-Calc!F22)),100)/100)+M449*(MIN(Inputs!$B$8+((F465-Calc!F23)+(F464-Calc!F22)),100)/100)</f>
        <v/>
      </c>
      <c r="O449">
        <f>IF(C449,H449*N449*IF(AND(Inputs!$B$4&lt;&gt;"pvp",Inputs!$B$35&gt;0),((Skills!F7*((S449-1)*IF(Skills!G7&gt;0,Skills!H7/Skills!G7,1)+IF(Skills!G7&gt;0,MIN(Skills!H7,MAX(0,Inputs!$B$35-((S449-1)*IF(Inputs!$B$4="pvp",15,MAX(0.1,Skills!D7-IF(Skills!E6=TRUE,Inputs!$B$31,0))))))/Skills!G7,1)))/Inputs!$B$35),G449*V449)*(1-Summary!$B$48),0)</f>
        <v/>
      </c>
      <c r="P449">
        <f>IF(B480=0,0,O449/B480)</f>
        <v/>
      </c>
      <c r="S449">
        <f>IF(AND(Inputs!$B$4&lt;&gt;"pvp",Inputs!$B$35&gt;0),(INT(Inputs!$B$35/IF(Inputs!$B$4="pvp",15,MAX(0.1,Skills!D7-IF(Skills!E6=TRUE,Inputs!$B$31,0))))+1),0)</f>
        <v/>
      </c>
      <c r="V449">
        <f>IFERROR(1/IF(Inputs!$B$4="pvp",15,MAX(0.1,Skills!D7-IF(Skills!E6=TRUE,Inputs!$B$31,0))),0)</f>
        <v/>
      </c>
    </row>
    <row r="450">
      <c r="A450">
        <f>Skills!A8</f>
        <v/>
      </c>
      <c r="B450">
        <f>Skills!B8</f>
        <v/>
      </c>
      <c r="C450">
        <f>Inputs!$B$3&gt;=105</f>
        <v/>
      </c>
      <c r="D450">
        <f>IF(Skills!C8=1,60+Inputs!$B$24+Inputs!$B$28,IF(Skills!C8=2,90+Inputs!$B$25+Inputs!$B$28,IF(Skills!C8=3,120+Inputs!$B$26+Inputs!$B$28,MAX(0,(Inputs!$B$3-100)*3)+Inputs!$B$27+Inputs!$B$28)))</f>
        <v/>
      </c>
      <c r="E450">
        <f>INDEX(FactorTable!$B$2:$Y$301, MATCH(ROUND(MIN(300,MAX(1,D450)),0), FactorTable!$A$2:$A$301,0), Skills!L8+1)</f>
        <v/>
      </c>
      <c r="F450">
        <f>IF(Skills!M8=TRUE,(Skills!K8/10)*(E450/1000),Skills!K8/10)+Skills!N8</f>
        <v/>
      </c>
      <c r="G450">
        <f>Calc!G8</f>
        <v/>
      </c>
      <c r="H450">
        <f>Calc!H8</f>
        <v/>
      </c>
      <c r="I450">
        <f>IF(Skills!T8&lt;&gt;"",1+(Skills!T8/10)*($Z$3/1000)/100,1)</f>
        <v/>
      </c>
      <c r="J450">
        <f>((Inputs!$B$5*(1+Inputs!$B$6/100))+((Inputs!$B$11*(1+Inputs!$B$12/100))-(Inputs!$B$11*(1+Inputs!$B$12/100)))*(1+Inputs!$B$6/100))*(F450/100)</f>
        <v/>
      </c>
      <c r="K450">
        <f>J450*(1+((Inputs!$B$11*(1+Inputs!$B$12/100))*0.01+Inputs!$B$13*0.0025)/100)*(1+(Inputs!$B$14+B473)/100)*(1+IF(Inputs!$B$4="pvp",0,(1-Summary!$B$48)*(Inputs!$B$19+Skills!O8+B471)+Summary!$B$48*(Inputs!$B$20+Skills!P8+B472))/100)*(1+Inputs!$B$15/100)*(5000/(6000+Inputs!$B$7*(1-Inputs!$B$18/100)))*(1+Inputs!$B$23/100)*(1+IF(C459=TRUE,F459,0)/100)*(1+IF(C461=TRUE,F461,0)/100)*(1+IF(Skills!A8="TRIUMPH_FEATHER",IF(C457=TRUE,F457,0),0)/100)*(1+IF(C468=TRUE,F468,0)/100)^5*(1+(IF(Skills!A8="BIG_BANG",Inputs!$B$16,Inputs!$B$17))/100)*(B470*I450)</f>
        <v/>
      </c>
      <c r="L450">
        <f>K450*(MIN(Inputs!$B$21+(F463-Calc!F21),Inputs!$B$22)/100+Inputs!$B$22/100)/2</f>
        <v/>
      </c>
      <c r="M450">
        <f>L450*(1+((Inputs!$B$9+1)+B474+(F466-Calc!F24))/100)</f>
        <v/>
      </c>
      <c r="N450">
        <f>L450*(1-MIN(Inputs!$B$8+((F465-Calc!F23)+(F464-Calc!F22)),100)/100)+M450*(MIN(Inputs!$B$8+((F465-Calc!F23)+(F464-Calc!F22)),100)/100)</f>
        <v/>
      </c>
      <c r="O450">
        <f>IF(C450,H450*N450*IF(AND(Inputs!$B$4&lt;&gt;"pvp",Inputs!$B$35&gt;0),((Skills!F8*((S450-1)*IF(Skills!G8&gt;0,Skills!H8/Skills!G8,1)+IF(Skills!G8&gt;0,MIN(Skills!H8,MAX(0,Inputs!$B$35-((S450-1)*IF(Inputs!$B$4="pvp",15,MAX(0.1,Skills!D8-IF(Skills!E8=TRUE,Inputs!$B$31,0))))))/Skills!G8,1)))/Inputs!$B$35),G450*V450)*IF(Inputs!$B$4="pvp",1,(1-Summary!$B$48)*(1)+Summary!$B$48*(MIN(Skills!Q8,Inputs!$B$37))),0)</f>
        <v/>
      </c>
      <c r="P450">
        <f>IF(B480=0,0,O450/B480)</f>
        <v/>
      </c>
      <c r="S450">
        <f>IF(AND(Inputs!$B$4&lt;&gt;"pvp",Inputs!$B$35&gt;0),(INT(Inputs!$B$35/IF(Inputs!$B$4="pvp",15,MAX(0.1,Skills!D8-IF(Skills!E8=TRUE,Inputs!$B$31,0))))+1),0)</f>
        <v/>
      </c>
      <c r="V450">
        <f>IFERROR(1/IF(Inputs!$B$4="pvp",15,MAX(0.1,Skills!D8-IF(Skills!E8=TRUE,Inputs!$B$31,0))),0)</f>
        <v/>
      </c>
    </row>
    <row r="451">
      <c r="A451">
        <f>Skills!A9</f>
        <v/>
      </c>
      <c r="B451">
        <f>Skills!B9</f>
        <v/>
      </c>
      <c r="C451">
        <f>Inputs!$B$3&gt;=115</f>
        <v/>
      </c>
      <c r="D451">
        <f>IF(Skills!C9=1,60+Inputs!$B$24+Inputs!$B$28,IF(Skills!C9=2,90+Inputs!$B$25+Inputs!$B$28,IF(Skills!C9=3,120+Inputs!$B$26+Inputs!$B$28,MAX(0,(Inputs!$B$3-100)*3)+Inputs!$B$27+Inputs!$B$28)))</f>
        <v/>
      </c>
      <c r="E451">
        <f>INDEX(FactorTable!$B$2:$Y$301, MATCH(ROUND(MIN(300,MAX(1,D451)),0), FactorTable!$A$2:$A$301,0), Skills!L9+1)</f>
        <v/>
      </c>
      <c r="F451">
        <f>IF(Skills!M9=TRUE,(Skills!K9/10)*(E451/1000),Skills!K9/10)+Skills!N9</f>
        <v/>
      </c>
      <c r="G451">
        <f>Calc!G9</f>
        <v/>
      </c>
      <c r="H451">
        <f>Calc!H9</f>
        <v/>
      </c>
      <c r="I451">
        <f>IF(Skills!T9&lt;&gt;"",1+(Skills!T9/10)*($Z$3/1000)/100,1)</f>
        <v/>
      </c>
      <c r="J451">
        <f>((Inputs!$B$5*(1+Inputs!$B$6/100))+((Inputs!$B$11*(1+Inputs!$B$12/100))-(Inputs!$B$11*(1+Inputs!$B$12/100)))*(1+Inputs!$B$6/100))*(F451/100)</f>
        <v/>
      </c>
      <c r="K451">
        <f>J451*(1+((Inputs!$B$11*(1+Inputs!$B$12/100))*0.01+Inputs!$B$13*0.0025)/100)*(1+(Inputs!$B$14+B473)/100)*(1+IF(Inputs!$B$4="pvp",0,(1-Summary!$B$48)*(Inputs!$B$19+Skills!O9+B471)+Summary!$B$48*(Inputs!$B$20+Skills!P9+B472))/100)*(1+Inputs!$B$15/100)*(5000/(6000+Inputs!$B$7*(1-Inputs!$B$18/100)))*(1+Inputs!$B$23/100)*(1+IF(C459=TRUE,F459,0)/100)*(1+IF(C461=TRUE,F461,0)/100)*(1+IF(Skills!A9="TRIUMPH_FEATHER",IF(C457=TRUE,F457,0),0)/100)*(1+IF(C468=TRUE,F468,0)/100)^5*(1+(IF(Skills!A9="BIG_BANG",Inputs!$B$16,Inputs!$B$17))/100)*(B470*I451)</f>
        <v/>
      </c>
      <c r="L451">
        <f>K451*(MIN(Inputs!$B$21+(F463-Calc!F21),Inputs!$B$22)/100+Inputs!$B$22/100)/2</f>
        <v/>
      </c>
      <c r="M451">
        <f>L451*(1+((Inputs!$B$9+1)+B474+(F466-Calc!F24))/100)</f>
        <v/>
      </c>
      <c r="N451">
        <f>L451*(1-MIN(Inputs!$B$8+((F465-Calc!F23)+(F464-Calc!F22)),100)/100)+M451*(MIN(Inputs!$B$8+((F465-Calc!F23)+(F464-Calc!F22)),100)/100)</f>
        <v/>
      </c>
      <c r="O451">
        <f>IF(C451,H451*N451*IF(AND(Inputs!$B$4&lt;&gt;"pvp",Inputs!$B$35&gt;0),((Skills!F9*((S451-1)*IF(Skills!G9&gt;0,Skills!H9/Skills!G9,1)+IF(Skills!G9&gt;0,MIN(Skills!H9,MAX(0,Inputs!$B$35-((S451-1)*IF(Inputs!$B$4="pvp",15,MAX(0.1,Skills!D9-IF(Skills!E9=TRUE,Inputs!$B$31,0))))))/Skills!G9,1)))/Inputs!$B$35),G451*V451)*IF(Inputs!$B$4="pvp",1,(1-Summary!$B$48)*(1)+Summary!$B$48*(MIN(Skills!Q9,Inputs!$B$37))),0)</f>
        <v/>
      </c>
      <c r="P451">
        <f>IF(B480=0,0,O451/B480)</f>
        <v/>
      </c>
      <c r="S451">
        <f>IF(AND(Inputs!$B$4&lt;&gt;"pvp",Inputs!$B$35&gt;0),(INT(Inputs!$B$35/IF(Inputs!$B$4="pvp",15,MAX(0.1,Skills!D9-IF(Skills!E9=TRUE,Inputs!$B$31,0))))+1),0)</f>
        <v/>
      </c>
      <c r="V451">
        <f>IFERROR(1/IF(Inputs!$B$4="pvp",15,MAX(0.1,Skills!D9-IF(Skills!E9=TRUE,Inputs!$B$31,0))),0)</f>
        <v/>
      </c>
    </row>
    <row r="452">
      <c r="A452">
        <f>Skills!A10</f>
        <v/>
      </c>
      <c r="B452">
        <f>Skills!B10</f>
        <v/>
      </c>
      <c r="C452">
        <f>Inputs!$B$3&gt;=66</f>
        <v/>
      </c>
      <c r="D452">
        <f>IF(Skills!C10=1,60+Inputs!$B$24+Inputs!$B$28,IF(Skills!C10=2,90+Inputs!$B$25+Inputs!$B$28,IF(Skills!C10=3,120+Inputs!$B$26+Inputs!$B$28,MAX(0,(Inputs!$B$3-100)*3)+Inputs!$B$27+Inputs!$B$28)))</f>
        <v/>
      </c>
      <c r="E452">
        <f>INDEX(FactorTable!$B$2:$Y$301, MATCH(ROUND(MIN(300,MAX(1,D452)),0), FactorTable!$A$2:$A$301,0), Skills!L10+1)</f>
        <v/>
      </c>
      <c r="F452" t="n">
        <v>0</v>
      </c>
      <c r="G452">
        <f>Calc!G10</f>
        <v/>
      </c>
      <c r="H452">
        <f>Calc!H10</f>
        <v/>
      </c>
      <c r="I452">
        <f>IF(Skills!T10&lt;&gt;"",1+(Skills!T10/10)*($Z$3/1000)/100,1)</f>
        <v/>
      </c>
      <c r="J452" t="inlineStr"/>
      <c r="K452" t="inlineStr"/>
      <c r="L452" t="inlineStr"/>
      <c r="M452" t="inlineStr"/>
      <c r="N452" t="inlineStr"/>
      <c r="O452" t="n">
        <v>0</v>
      </c>
      <c r="P452">
        <f>IF(B480=0,0,O452/B480)</f>
        <v/>
      </c>
      <c r="S452">
        <f>IF(AND(Inputs!$B$4&lt;&gt;"pvp",Inputs!$B$35&gt;0),(INT(Inputs!$B$35/IF(Inputs!$B$4="pvp",15,MAX(0.1,Skills!D10-IF(Skills!E10=TRUE,Inputs!$B$31,0))))+1),0)</f>
        <v/>
      </c>
      <c r="V452">
        <f>IFERROR(1/IF(Inputs!$B$4="pvp",15,MAX(0.1,Skills!D10-IF(Skills!E10=TRUE,Inputs!$B$31,0))),0)</f>
        <v/>
      </c>
    </row>
    <row r="453">
      <c r="A453">
        <f>Skills!A11</f>
        <v/>
      </c>
      <c r="B453">
        <f>Skills!B11</f>
        <v/>
      </c>
      <c r="C453">
        <f>Inputs!$B$3&gt;=69</f>
        <v/>
      </c>
      <c r="D453">
        <f>IF(Skills!C11=1,60+Inputs!$B$24+Inputs!$B$28,IF(Skills!C11=2,90+Inputs!$B$25+Inputs!$B$28,IF(Skills!C11=3,120+Inputs!$B$26+Inputs!$B$28,MAX(0,(Inputs!$B$3-100)*3)+Inputs!$B$27+Inputs!$B$28)))</f>
        <v/>
      </c>
      <c r="E453">
        <f>INDEX(FactorTable!$B$2:$Y$301, MATCH(ROUND(MIN(300,MAX(1,D453)),0), FactorTable!$A$2:$A$301,0), Skills!L11+1)</f>
        <v/>
      </c>
      <c r="F453">
        <f>IF(Skills!M11=TRUE,(Skills!K11/10)*(E453/1000),Skills!K11/10)+Skills!N11</f>
        <v/>
      </c>
      <c r="G453">
        <f>Calc!G11</f>
        <v/>
      </c>
      <c r="H453">
        <f>Calc!H11</f>
        <v/>
      </c>
      <c r="I453">
        <f>IF(Skills!T11&lt;&gt;"",1+(Skills!T11/10)*($Z$3/1000)/100,1)</f>
        <v/>
      </c>
      <c r="J453" t="inlineStr"/>
      <c r="K453" t="inlineStr"/>
      <c r="L453" t="inlineStr"/>
      <c r="M453" t="inlineStr"/>
      <c r="N453" t="inlineStr"/>
      <c r="O453" t="n">
        <v>0</v>
      </c>
      <c r="P453">
        <f>IF(B480=0,0,O453/B480)</f>
        <v/>
      </c>
      <c r="S453">
        <f>IF(AND(Inputs!$B$4&lt;&gt;"pvp",Inputs!$B$35&gt;0),(INT(Inputs!$B$35/IF(Inputs!$B$4="pvp",15,MAX(0.1,Skills!D11-IF(Skills!E11=TRUE,Inputs!$B$31,0))))+1),0)</f>
        <v/>
      </c>
      <c r="V453">
        <f>IFERROR(1/IF(Inputs!$B$4="pvp",15,MAX(0.1,Skills!D11-IF(Skills!E11=TRUE,Inputs!$B$31,0))),0)</f>
        <v/>
      </c>
    </row>
    <row r="454">
      <c r="A454">
        <f>Skills!A12</f>
        <v/>
      </c>
      <c r="B454">
        <f>Skills!B12</f>
        <v/>
      </c>
      <c r="C454">
        <f>Inputs!$B$3&gt;=72</f>
        <v/>
      </c>
      <c r="D454">
        <f>IF(Skills!C12=1,60+Inputs!$B$24+Inputs!$B$28,IF(Skills!C12=2,90+Inputs!$B$25+Inputs!$B$28,IF(Skills!C12=3,120+Inputs!$B$26+Inputs!$B$28,MAX(0,(Inputs!$B$3-100)*3)+Inputs!$B$27+Inputs!$B$28)))</f>
        <v/>
      </c>
      <c r="E454">
        <f>INDEX(FactorTable!$B$2:$Y$301, MATCH(ROUND(MIN(300,MAX(1,D454)),0), FactorTable!$A$2:$A$301,0), Skills!L12+1)</f>
        <v/>
      </c>
      <c r="F454">
        <f>IF(Skills!M12=TRUE,(Skills!K12/10)*(E454/1000),Skills!K12/10)+Skills!N12</f>
        <v/>
      </c>
      <c r="G454">
        <f>Calc!G12</f>
        <v/>
      </c>
      <c r="H454">
        <f>Calc!H12</f>
        <v/>
      </c>
      <c r="I454">
        <f>IF(Skills!T12&lt;&gt;"",1+(Skills!T12/10)*($Z$3/1000)/100,1)</f>
        <v/>
      </c>
      <c r="J454" t="inlineStr"/>
      <c r="K454" t="inlineStr"/>
      <c r="L454" t="inlineStr"/>
      <c r="M454" t="inlineStr"/>
      <c r="N454" t="inlineStr"/>
      <c r="O454" t="n">
        <v>0</v>
      </c>
      <c r="P454">
        <f>IF(B480=0,0,O454/B480)</f>
        <v/>
      </c>
      <c r="S454">
        <f>IF(AND(Inputs!$B$4&lt;&gt;"pvp",Inputs!$B$35&gt;0),(INT(Inputs!$B$35/IF(Inputs!$B$4="pvp",15,MAX(0.1,Skills!D12-IF(Skills!E12=TRUE,Inputs!$B$31,0))))+1),0)</f>
        <v/>
      </c>
      <c r="V454">
        <f>IFERROR(1/IF(Inputs!$B$4="pvp",15,MAX(0.1,Skills!D12-IF(Skills!E12=TRUE,Inputs!$B$31,0))),0)</f>
        <v/>
      </c>
    </row>
    <row r="455">
      <c r="A455">
        <f>Skills!A13</f>
        <v/>
      </c>
      <c r="B455">
        <f>Skills!B13</f>
        <v/>
      </c>
      <c r="C455">
        <f>Inputs!$B$3&gt;=107</f>
        <v/>
      </c>
      <c r="D455">
        <f>IF(Skills!C13=1,60+Inputs!$B$24+Inputs!$B$28,IF(Skills!C13=2,90+Inputs!$B$25+Inputs!$B$28,IF(Skills!C13=3,120+Inputs!$B$26+Inputs!$B$28,MAX(0,(Inputs!$B$3-100)*3)+Inputs!$B$27+Inputs!$B$28)))</f>
        <v/>
      </c>
      <c r="E455">
        <f>INDEX(FactorTable!$B$2:$Y$301, MATCH(ROUND(MIN(300,MAX(1,D455)),0), FactorTable!$A$2:$A$301,0), Skills!L13+1)</f>
        <v/>
      </c>
      <c r="F455">
        <f>IF(Skills!M13=TRUE,(Skills!K13/10)*(E455/1000),Skills!K13/10)+Skills!N13</f>
        <v/>
      </c>
      <c r="G455">
        <f>Calc!G13</f>
        <v/>
      </c>
      <c r="H455">
        <f>Calc!H13</f>
        <v/>
      </c>
      <c r="I455">
        <f>IF(Skills!T13&lt;&gt;"",1+(Skills!T13/10)*($Z$3/1000)/100,1)</f>
        <v/>
      </c>
      <c r="J455" t="inlineStr"/>
      <c r="K455" t="inlineStr"/>
      <c r="L455" t="inlineStr"/>
      <c r="M455" t="inlineStr"/>
      <c r="N455" t="inlineStr"/>
      <c r="O455" t="n">
        <v>0</v>
      </c>
      <c r="P455">
        <f>IF(B480=0,0,O455/B480)</f>
        <v/>
      </c>
      <c r="S455">
        <f>IF(AND(Inputs!$B$4&lt;&gt;"pvp",Inputs!$B$35&gt;0),(INT(Inputs!$B$35/IF(Inputs!$B$4="pvp",15,MAX(0.1,Skills!D13-IF(Skills!E13=TRUE,Inputs!$B$31,0))))+1),0)</f>
        <v/>
      </c>
      <c r="V455">
        <f>IFERROR(1/IF(Inputs!$B$4="pvp",15,MAX(0.1,Skills!D13-IF(Skills!E13=TRUE,Inputs!$B$31,0))),0)</f>
        <v/>
      </c>
    </row>
    <row r="456">
      <c r="A456">
        <f>Skills!A14</f>
        <v/>
      </c>
      <c r="B456">
        <f>Skills!B14</f>
        <v/>
      </c>
      <c r="C456">
        <f>Inputs!$B$3&gt;=63</f>
        <v/>
      </c>
      <c r="D456">
        <f>IF(Skills!C14=1,60+Inputs!$B$24+Inputs!$B$28,IF(Skills!C14=2,90+Inputs!$B$25+Inputs!$B$28,IF(Skills!C14=3,120+Inputs!$B$26+Inputs!$B$28,MAX(0,(Inputs!$B$3-100)*3)+Inputs!$B$27+Inputs!$B$28)))</f>
        <v/>
      </c>
      <c r="E456">
        <f>INDEX(FactorTable!$B$2:$Y$301, MATCH(ROUND(MIN(300,MAX(1,D456)),0), FactorTable!$A$2:$A$301,0), Skills!L14+1)</f>
        <v/>
      </c>
      <c r="F456">
        <f>IF(Skills!M14=TRUE,(Skills!K14/10)*(E456/1000),Skills!K14/10)+Skills!N14</f>
        <v/>
      </c>
      <c r="G456">
        <f>Calc!G14</f>
        <v/>
      </c>
      <c r="H456">
        <f>Calc!H14</f>
        <v/>
      </c>
      <c r="I456">
        <f>IF(Skills!T14&lt;&gt;"",1+(Skills!T14/10)*($Z$3/1000)/100,1)</f>
        <v/>
      </c>
      <c r="J456">
        <f>((Inputs!$B$5*(1+Inputs!$B$6/100))+((Inputs!$B$11*(1+Inputs!$B$12/100))-(Inputs!$B$11*(1+Inputs!$B$12/100)))*(1+Inputs!$B$6/100))*(F456/100)</f>
        <v/>
      </c>
      <c r="K456">
        <f>J456*(1+((Inputs!$B$11*(1+Inputs!$B$12/100))*0.01+Inputs!$B$13*0.0025)/100)*(1+(Inputs!$B$14+B473)/100)*(1+IF(Inputs!$B$4="pvp",0,(1-Summary!$B$48)*(Inputs!$B$19+Skills!O14+B471)+Summary!$B$48*(Inputs!$B$20+Skills!P14+B472))/100)*(1+Inputs!$B$15/100)*(5000/(6000+Inputs!$B$7*(1-Inputs!$B$18/100)))*(1+Inputs!$B$23/100)*(1+IF(C459=TRUE,F459,0)/100)*(1+IF(C461=TRUE,F461,0)/100)*(1+IF(Skills!A14="TRIUMPH_FEATHER",IF(C457=TRUE,F457,0),0)/100)*(1+IF(C468=TRUE,F468,0)/100)^5*(1+(IF(Skills!A14="BIG_BANG",Inputs!$B$16,Inputs!$B$17))/100)*(B470*I456)</f>
        <v/>
      </c>
      <c r="L456">
        <f>K456*(MIN(Inputs!$B$21+(F463-Calc!F21),Inputs!$B$22)/100+Inputs!$B$22/100)/2</f>
        <v/>
      </c>
      <c r="M456">
        <f>L456*(1+((Inputs!$B$9+1)+B474+(F466-Calc!F24))/100)</f>
        <v/>
      </c>
      <c r="N456">
        <f>L456*(1-MIN(Inputs!$B$8+((F465-Calc!F23)+(F464-Calc!F22)),100)/100)+M456*(MIN(Inputs!$B$8+((F465-Calc!F23)+(F464-Calc!F22)),100)/100)</f>
        <v/>
      </c>
      <c r="O456">
        <f>IF(C456,Skills!F14*N456*((IF(Inputs!$B$3&gt;=78,25,15)/100*B476*10)/(1+IF(Inputs!$B$3&gt;=78,25,15)/100*B476*10))*(Skills!I14/100*B476)/(1+Skills!G14*Skills!I14/100*B476)*IF(Inputs!$B$4="pvp",1,(1-Summary!$B$48)*(1)+Summary!$B$48*(MIN(Skills!Q14,Inputs!$B$37))),0)</f>
        <v/>
      </c>
      <c r="P456">
        <f>IF(B480=0,0,O456/B480)</f>
        <v/>
      </c>
      <c r="S456" t="n">
        <v>0</v>
      </c>
      <c r="V456">
        <f>IFERROR(1/IF(Inputs!$B$4="pvp",15,MAX(0.1,Skills!D14-IF(Skills!E14=TRUE,Inputs!$B$31,0))),0)</f>
        <v/>
      </c>
    </row>
    <row r="457">
      <c r="A457">
        <f>Skills!A15</f>
        <v/>
      </c>
      <c r="B457">
        <f>Skills!B15</f>
        <v/>
      </c>
      <c r="C457">
        <f>Inputs!$B$3&gt;=100</f>
        <v/>
      </c>
      <c r="D457">
        <f>IF(Skills!C15=1,60+Inputs!$B$24+Inputs!$B$28,IF(Skills!C15=2,90+Inputs!$B$25+Inputs!$B$28,IF(Skills!C15=3,120+Inputs!$B$26+Inputs!$B$28,MAX(0,(Inputs!$B$3-100)*3)+Inputs!$B$27+Inputs!$B$28)))</f>
        <v/>
      </c>
      <c r="E457">
        <f>INDEX(FactorTable!$B$2:$Y$301, MATCH(ROUND(MIN(300,MAX(1,D457)),0), FactorTable!$A$2:$A$301,0), Skills!L15+1)</f>
        <v/>
      </c>
      <c r="F457">
        <f>IF(Skills!M15=TRUE,(Skills!K15/10)*(E457/1000),Skills!K15/10)+Skills!N15</f>
        <v/>
      </c>
      <c r="G457">
        <f>Calc!G15</f>
        <v/>
      </c>
      <c r="H457">
        <f>Calc!H15</f>
        <v/>
      </c>
      <c r="I457">
        <f>IF(Skills!T15&lt;&gt;"",1+(Skills!T15/10)*($Z$3/1000)/100,1)</f>
        <v/>
      </c>
      <c r="J457" t="inlineStr"/>
      <c r="K457" t="inlineStr"/>
      <c r="L457" t="inlineStr"/>
      <c r="M457" t="inlineStr"/>
      <c r="N457" t="inlineStr"/>
      <c r="O457" t="n">
        <v>0</v>
      </c>
      <c r="P457">
        <f>IF(B480=0,0,O457/B480)</f>
        <v/>
      </c>
      <c r="S457" t="n">
        <v>0</v>
      </c>
      <c r="V457">
        <f>IFERROR(1/IF(Inputs!$B$4="pvp",15,MAX(0.1,Skills!D15-IF(Skills!E15=TRUE,Inputs!$B$31,0))),0)</f>
        <v/>
      </c>
    </row>
    <row r="458">
      <c r="A458">
        <f>Skills!A16</f>
        <v/>
      </c>
      <c r="B458">
        <f>Skills!B16</f>
        <v/>
      </c>
      <c r="C458">
        <f>Inputs!$B$3&gt;=49</f>
        <v/>
      </c>
      <c r="D458">
        <f>IF(Skills!C16=1,60+Inputs!$B$24+Inputs!$B$28,IF(Skills!C16=2,90+Inputs!$B$25+Inputs!$B$28,IF(Skills!C16=3,120+Inputs!$B$26+Inputs!$B$28,MAX(0,(Inputs!$B$3-100)*3)+Inputs!$B$27+Inputs!$B$28)))</f>
        <v/>
      </c>
      <c r="E458">
        <f>INDEX(FactorTable!$B$2:$Y$301, MATCH(ROUND(MIN(300,MAX(1,D458)),0), FactorTable!$A$2:$A$301,0), Skills!L16+1)</f>
        <v/>
      </c>
      <c r="F458">
        <f>IF(Skills!M16=TRUE,(Skills!K16/10)*(E458/1000),Skills!K16/10)+Skills!N16</f>
        <v/>
      </c>
      <c r="G458">
        <f>Calc!G16</f>
        <v/>
      </c>
      <c r="H458">
        <f>Calc!H16</f>
        <v/>
      </c>
      <c r="I458">
        <f>IF(Skills!T16&lt;&gt;"",1+(Skills!T16/10)*($Z$3/1000)/100,1)</f>
        <v/>
      </c>
      <c r="J458" t="inlineStr"/>
      <c r="K458" t="inlineStr"/>
      <c r="L458" t="inlineStr"/>
      <c r="M458" t="inlineStr"/>
      <c r="N458" t="inlineStr"/>
      <c r="O458" t="n">
        <v>0</v>
      </c>
      <c r="P458">
        <f>IF(B480=0,0,O458/B480)</f>
        <v/>
      </c>
      <c r="S458" t="n">
        <v>0</v>
      </c>
      <c r="V458">
        <f>IFERROR(1/IF(Inputs!$B$4="pvp",15,MAX(0.1,Skills!D16-IF(Skills!E16=TRUE,Inputs!$B$31,0))),0)</f>
        <v/>
      </c>
    </row>
    <row r="459">
      <c r="A459">
        <f>Skills!A17</f>
        <v/>
      </c>
      <c r="B459">
        <f>Skills!B17</f>
        <v/>
      </c>
      <c r="C459">
        <f>Inputs!$B$3&gt;=75</f>
        <v/>
      </c>
      <c r="D459">
        <f>IF(Skills!C17=1,60+Inputs!$B$24+Inputs!$B$28,IF(Skills!C17=2,90+Inputs!$B$25+Inputs!$B$28,IF(Skills!C17=3,120+Inputs!$B$26+Inputs!$B$28,MAX(0,(Inputs!$B$3-100)*3)+Inputs!$B$27+Inputs!$B$28)))</f>
        <v/>
      </c>
      <c r="E459">
        <f>INDEX(FactorTable!$B$2:$Y$301, MATCH(ROUND(MIN(300,MAX(1,D459)),0), FactorTable!$A$2:$A$301,0), Skills!L17+1)</f>
        <v/>
      </c>
      <c r="F459">
        <f>IF(Skills!M17=TRUE,(Skills!K17/10)*(E459/1000),Skills!K17/10)+Skills!N17</f>
        <v/>
      </c>
      <c r="G459">
        <f>Calc!G17</f>
        <v/>
      </c>
      <c r="H459">
        <f>Calc!H17</f>
        <v/>
      </c>
      <c r="I459">
        <f>IF(Skills!T17&lt;&gt;"",1+(Skills!T17/10)*($Z$3/1000)/100,1)</f>
        <v/>
      </c>
      <c r="J459" t="inlineStr"/>
      <c r="K459" t="inlineStr"/>
      <c r="L459" t="inlineStr"/>
      <c r="M459" t="inlineStr"/>
      <c r="N459" t="inlineStr"/>
      <c r="O459" t="n">
        <v>0</v>
      </c>
      <c r="P459">
        <f>IF(B480=0,0,O459/B480)</f>
        <v/>
      </c>
      <c r="S459" t="n">
        <v>0</v>
      </c>
      <c r="V459">
        <f>IFERROR(1/IF(Inputs!$B$4="pvp",15,MAX(0.1,Skills!D17-IF(Skills!E17=TRUE,Inputs!$B$31,0))),0)</f>
        <v/>
      </c>
    </row>
    <row r="460">
      <c r="A460">
        <f>Skills!A18</f>
        <v/>
      </c>
      <c r="B460">
        <f>Skills!B18</f>
        <v/>
      </c>
      <c r="C460">
        <f>Inputs!$B$3&gt;=110</f>
        <v/>
      </c>
      <c r="D460">
        <f>IF(Skills!C18=1,60+Inputs!$B$24+Inputs!$B$28,IF(Skills!C18=2,90+Inputs!$B$25+Inputs!$B$28,IF(Skills!C18=3,120+Inputs!$B$26+Inputs!$B$28,MAX(0,(Inputs!$B$3-100)*3)+Inputs!$B$27+Inputs!$B$28)))</f>
        <v/>
      </c>
      <c r="E460">
        <f>INDEX(FactorTable!$B$2:$Y$301, MATCH(ROUND(MIN(300,MAX(1,D460)),0), FactorTable!$A$2:$A$301,0), Skills!L18+1)</f>
        <v/>
      </c>
      <c r="F460">
        <f>(Skills!K18/10)*(E460/1000)*64/45+Skills!N18</f>
        <v/>
      </c>
      <c r="G460">
        <f>Calc!G18</f>
        <v/>
      </c>
      <c r="H460">
        <f>Calc!H18</f>
        <v/>
      </c>
      <c r="I460">
        <f>IF(Skills!T18&lt;&gt;"",1+(Skills!T18/10)*($Z$3/1000)/100,1)</f>
        <v/>
      </c>
      <c r="J460" t="inlineStr"/>
      <c r="K460" t="inlineStr"/>
      <c r="L460" t="inlineStr"/>
      <c r="M460" t="inlineStr"/>
      <c r="N460" t="inlineStr"/>
      <c r="O460" t="n">
        <v>0</v>
      </c>
      <c r="P460">
        <f>IF(B480=0,0,O460/B480)</f>
        <v/>
      </c>
      <c r="S460">
        <f>IF(AND(Inputs!$B$4&lt;&gt;"pvp",Inputs!$B$35&gt;0),(INT(Inputs!$B$35/IF(Inputs!$B$4="pvp",15,MAX(0.1,Skills!D18-IF(Skills!E18=TRUE,Inputs!$B$31,0))))+1),0)</f>
        <v/>
      </c>
      <c r="V460">
        <f>IFERROR(1/IF(Inputs!$B$4="pvp",15,MAX(0.1,Skills!D18-IF(Skills!E18=TRUE,Inputs!$B$31,0))),0)</f>
        <v/>
      </c>
    </row>
    <row r="461">
      <c r="A461">
        <f>Skills!A19</f>
        <v/>
      </c>
      <c r="B461">
        <f>Skills!B19</f>
        <v/>
      </c>
      <c r="C461">
        <f>Inputs!$B$3&gt;=125</f>
        <v/>
      </c>
      <c r="D461">
        <f>IF(Skills!C19=1,60+Inputs!$B$24+Inputs!$B$28,IF(Skills!C19=2,90+Inputs!$B$25+Inputs!$B$28,IF(Skills!C19=3,120+Inputs!$B$26+Inputs!$B$28,MAX(0,(Inputs!$B$3-100)*3)+Inputs!$B$27+Inputs!$B$28)))</f>
        <v/>
      </c>
      <c r="E461">
        <f>INDEX(FactorTable!$B$2:$Y$301, MATCH(ROUND(MIN(300,MAX(1,D461)),0), FactorTable!$A$2:$A$301,0), Skills!L19+1)</f>
        <v/>
      </c>
      <c r="F461">
        <f>IF(Skills!M19=TRUE,(Skills!K19/10)*(E461/1000),Skills!K19/10)+Skills!N19</f>
        <v/>
      </c>
      <c r="G461">
        <f>Calc!G19</f>
        <v/>
      </c>
      <c r="H461">
        <f>Calc!H19</f>
        <v/>
      </c>
      <c r="I461">
        <f>IF(Skills!T19&lt;&gt;"",1+(Skills!T19/10)*($Z$3/1000)/100,1)</f>
        <v/>
      </c>
      <c r="J461" t="inlineStr"/>
      <c r="K461" t="inlineStr"/>
      <c r="L461" t="inlineStr"/>
      <c r="M461" t="inlineStr"/>
      <c r="N461" t="inlineStr"/>
      <c r="O461" t="n">
        <v>0</v>
      </c>
      <c r="P461">
        <f>IF(B480=0,0,O461/B480)</f>
        <v/>
      </c>
      <c r="S461" t="n">
        <v>0</v>
      </c>
      <c r="V461">
        <f>IFERROR(1/IF(Inputs!$B$4="pvp",15,MAX(0.1,Skills!D19-IF(Skills!E19=TRUE,Inputs!$B$31,0))),0)</f>
        <v/>
      </c>
    </row>
    <row r="462">
      <c r="A462">
        <f>Skills!A20</f>
        <v/>
      </c>
      <c r="B462">
        <f>Skills!B20</f>
        <v/>
      </c>
      <c r="C462">
        <f>Inputs!$B$3&gt;=33</f>
        <v/>
      </c>
      <c r="D462">
        <f>IF(Skills!C20=1,60+Inputs!$B$24+Inputs!$B$28,IF(Skills!C20=2,90+Inputs!$B$25+Inputs!$B$28,IF(Skills!C20=3,120+Inputs!$B$26+Inputs!$B$28,MAX(0,(Inputs!$B$3-100)*3)+Inputs!$B$27+Inputs!$B$28)))</f>
        <v/>
      </c>
      <c r="E462">
        <f>INDEX(FactorTable!$B$2:$Y$301, MATCH(ROUND(MIN(300,MAX(1,D462)),0), FactorTable!$A$2:$A$301,0), Skills!L20+1)</f>
        <v/>
      </c>
      <c r="F462">
        <f>IF(Skills!M20=TRUE,(Skills!K20/10)*(E462/1000),Skills!K20/10)+Skills!N20</f>
        <v/>
      </c>
      <c r="G462">
        <f>Calc!G20</f>
        <v/>
      </c>
      <c r="H462">
        <f>Calc!H20</f>
        <v/>
      </c>
      <c r="I462">
        <f>IF(Skills!T20&lt;&gt;"",1+(Skills!T20/10)*($Z$3/1000)/100,1)</f>
        <v/>
      </c>
      <c r="J462" t="inlineStr"/>
      <c r="K462" t="inlineStr"/>
      <c r="L462" t="inlineStr"/>
      <c r="M462" t="inlineStr"/>
      <c r="N462" t="inlineStr"/>
      <c r="O462" t="n">
        <v>0</v>
      </c>
      <c r="P462">
        <f>IF(B480=0,0,O462/B480)</f>
        <v/>
      </c>
      <c r="S462" t="n">
        <v>0</v>
      </c>
      <c r="V462">
        <f>IFERROR(1/IF(Inputs!$B$4="pvp",15,MAX(0.1,Skills!D20-IF(Skills!E20=TRUE,Inputs!$B$31,0))),0)</f>
        <v/>
      </c>
    </row>
    <row r="463">
      <c r="A463">
        <f>Skills!A21</f>
        <v/>
      </c>
      <c r="B463">
        <f>Skills!B21</f>
        <v/>
      </c>
      <c r="C463">
        <f>Inputs!$B$3&gt;=43</f>
        <v/>
      </c>
      <c r="D463">
        <f>IF(Skills!C21=1,60+Inputs!$B$24+Inputs!$B$28,IF(Skills!C21=2,90+Inputs!$B$25+Inputs!$B$28,IF(Skills!C21=3,120+Inputs!$B$26+Inputs!$B$28,MAX(0,(Inputs!$B$3-100)*3)+Inputs!$B$27+Inputs!$B$28)))</f>
        <v/>
      </c>
      <c r="E463">
        <f>INDEX(FactorTable!$B$2:$Y$301, MATCH(ROUND(MIN(300,MAX(1,D463)),0), FactorTable!$A$2:$A$301,0), Skills!L21+1)</f>
        <v/>
      </c>
      <c r="F463">
        <f>IF(Skills!M21=TRUE,(Skills!K21/10)*(E463/1000),Skills!K21/10)+Skills!N21</f>
        <v/>
      </c>
      <c r="G463">
        <f>Calc!G21</f>
        <v/>
      </c>
      <c r="H463">
        <f>Calc!H21</f>
        <v/>
      </c>
      <c r="I463">
        <f>IF(Skills!T21&lt;&gt;"",1+(Skills!T21/10)*($Z$3/1000)/100,1)</f>
        <v/>
      </c>
      <c r="J463" t="inlineStr"/>
      <c r="K463" t="inlineStr"/>
      <c r="L463" t="inlineStr"/>
      <c r="M463" t="inlineStr"/>
      <c r="N463" t="inlineStr"/>
      <c r="O463" t="n">
        <v>0</v>
      </c>
      <c r="P463">
        <f>IF(B480=0,0,O463/B480)</f>
        <v/>
      </c>
      <c r="S463" t="n">
        <v>0</v>
      </c>
      <c r="V463">
        <f>IFERROR(1/IF(Inputs!$B$4="pvp",15,MAX(0.1,Skills!D21-IF(Skills!E21=TRUE,Inputs!$B$31,0))),0)</f>
        <v/>
      </c>
    </row>
    <row r="464">
      <c r="A464">
        <f>Skills!A22</f>
        <v/>
      </c>
      <c r="B464">
        <f>Skills!B22</f>
        <v/>
      </c>
      <c r="C464">
        <f>Inputs!$B$3&gt;=50</f>
        <v/>
      </c>
      <c r="D464">
        <f>IF(Skills!C22=1,60+Inputs!$B$24+Inputs!$B$28,IF(Skills!C22=2,90+Inputs!$B$25+Inputs!$B$28,IF(Skills!C22=3,120+Inputs!$B$26+Inputs!$B$28,MAX(0,(Inputs!$B$3-100)*3)+Inputs!$B$27+Inputs!$B$28)))</f>
        <v/>
      </c>
      <c r="E464">
        <f>INDEX(FactorTable!$B$2:$Y$301, MATCH(ROUND(MIN(300,MAX(1,D464)),0), FactorTable!$A$2:$A$301,0), Skills!L22+1)</f>
        <v/>
      </c>
      <c r="F464">
        <f>IF(Skills!M22=TRUE,(Skills!K22/10)*(E464/1000),Skills!K22/10)+Skills!N22</f>
        <v/>
      </c>
      <c r="G464">
        <f>Calc!G22</f>
        <v/>
      </c>
      <c r="H464">
        <f>Calc!H22</f>
        <v/>
      </c>
      <c r="I464">
        <f>IF(Skills!T22&lt;&gt;"",1+(Skills!T22/10)*($Z$3/1000)/100,1)</f>
        <v/>
      </c>
      <c r="J464" t="inlineStr"/>
      <c r="K464" t="inlineStr"/>
      <c r="L464" t="inlineStr"/>
      <c r="M464" t="inlineStr"/>
      <c r="N464" t="inlineStr"/>
      <c r="O464" t="n">
        <v>0</v>
      </c>
      <c r="P464">
        <f>IF(B480=0,0,O464/B480)</f>
        <v/>
      </c>
      <c r="S464" t="n">
        <v>0</v>
      </c>
      <c r="V464">
        <f>IFERROR(1/IF(Inputs!$B$4="pvp",15,MAX(0.1,Skills!D22-IF(Skills!E22=TRUE,Inputs!$B$31,0))),0)</f>
        <v/>
      </c>
    </row>
    <row r="465">
      <c r="A465">
        <f>Skills!A23</f>
        <v/>
      </c>
      <c r="B465">
        <f>Skills!B23</f>
        <v/>
      </c>
      <c r="C465">
        <f>Inputs!$B$3&gt;=74</f>
        <v/>
      </c>
      <c r="D465">
        <f>IF(Skills!C23=1,60+Inputs!$B$24+Inputs!$B$28,IF(Skills!C23=2,90+Inputs!$B$25+Inputs!$B$28,IF(Skills!C23=3,120+Inputs!$B$26+Inputs!$B$28,MAX(0,(Inputs!$B$3-100)*3)+Inputs!$B$27+Inputs!$B$28)))</f>
        <v/>
      </c>
      <c r="E465">
        <f>INDEX(FactorTable!$B$2:$Y$301, MATCH(ROUND(MIN(300,MAX(1,D465)),0), FactorTable!$A$2:$A$301,0), Skills!L23+1)</f>
        <v/>
      </c>
      <c r="F465">
        <f>IF(Skills!M23=TRUE,(Skills!K23/10)*(E465/1000),Skills!K23/10)+Skills!N23</f>
        <v/>
      </c>
      <c r="G465">
        <f>Calc!G23</f>
        <v/>
      </c>
      <c r="H465">
        <f>Calc!H23</f>
        <v/>
      </c>
      <c r="I465">
        <f>IF(Skills!T23&lt;&gt;"",1+(Skills!T23/10)*($Z$3/1000)/100,1)</f>
        <v/>
      </c>
      <c r="J465" t="inlineStr"/>
      <c r="K465" t="inlineStr"/>
      <c r="L465" t="inlineStr"/>
      <c r="M465" t="inlineStr"/>
      <c r="N465" t="inlineStr"/>
      <c r="O465" t="n">
        <v>0</v>
      </c>
      <c r="P465">
        <f>IF(B480=0,0,O465/B480)</f>
        <v/>
      </c>
      <c r="S465" t="n">
        <v>0</v>
      </c>
      <c r="V465">
        <f>IFERROR(1/IF(Inputs!$B$4="pvp",15,MAX(0.1,Skills!D23-IF(Skills!E23=TRUE,Inputs!$B$31,0))),0)</f>
        <v/>
      </c>
    </row>
    <row r="466">
      <c r="A466">
        <f>Skills!A24</f>
        <v/>
      </c>
      <c r="B466">
        <f>Skills!B24</f>
        <v/>
      </c>
      <c r="C466">
        <f>Inputs!$B$3&gt;=74</f>
        <v/>
      </c>
      <c r="D466">
        <f>IF(Skills!C24=1,60+Inputs!$B$24+Inputs!$B$28,IF(Skills!C24=2,90+Inputs!$B$25+Inputs!$B$28,IF(Skills!C24=3,120+Inputs!$B$26+Inputs!$B$28,MAX(0,(Inputs!$B$3-100)*3)+Inputs!$B$27+Inputs!$B$28)))</f>
        <v/>
      </c>
      <c r="E466">
        <f>INDEX(FactorTable!$B$2:$Y$301, MATCH(ROUND(MIN(300,MAX(1,D466)),0), FactorTable!$A$2:$A$301,0), Skills!L24+1)</f>
        <v/>
      </c>
      <c r="F466">
        <f>IF(Skills!M24=TRUE,(Skills!K24/10)*(E466/1000),Skills!K24/10)+Skills!N24</f>
        <v/>
      </c>
      <c r="G466">
        <f>Calc!G24</f>
        <v/>
      </c>
      <c r="H466">
        <f>Calc!H24</f>
        <v/>
      </c>
      <c r="I466">
        <f>IF(Skills!T24&lt;&gt;"",1+(Skills!T24/10)*($Z$3/1000)/100,1)</f>
        <v/>
      </c>
      <c r="J466" t="inlineStr"/>
      <c r="K466" t="inlineStr"/>
      <c r="L466" t="inlineStr"/>
      <c r="M466" t="inlineStr"/>
      <c r="N466" t="inlineStr"/>
      <c r="O466" t="n">
        <v>0</v>
      </c>
      <c r="P466">
        <f>IF(B480=0,0,O466/B480)</f>
        <v/>
      </c>
      <c r="S466" t="n">
        <v>0</v>
      </c>
      <c r="V466">
        <f>IFERROR(1/IF(Inputs!$B$4="pvp",15,MAX(0.1,Skills!D24-IF(Skills!E24=TRUE,Inputs!$B$31,0))),0)</f>
        <v/>
      </c>
    </row>
    <row r="467">
      <c r="A467">
        <f>Skills!A25</f>
        <v/>
      </c>
      <c r="B467">
        <f>Skills!B25</f>
        <v/>
      </c>
      <c r="C467">
        <f>Inputs!$B$3&gt;=117</f>
        <v/>
      </c>
      <c r="D467">
        <f>IF(Skills!C25=1,60+Inputs!$B$24+Inputs!$B$28,IF(Skills!C25=2,90+Inputs!$B$25+Inputs!$B$28,IF(Skills!C25=3,120+Inputs!$B$26+Inputs!$B$28,MAX(0,(Inputs!$B$3-100)*3)+Inputs!$B$27+Inputs!$B$28)))</f>
        <v/>
      </c>
      <c r="E467">
        <f>INDEX(FactorTable!$B$2:$Y$301, MATCH(ROUND(MIN(300,MAX(1,D467)),0), FactorTable!$A$2:$A$301,0), Skills!L25+1)</f>
        <v/>
      </c>
      <c r="F467">
        <f>IF(Skills!M25=TRUE,(Skills!K25/10)*(E467/1000),Skills!K25/10)+Skills!N25</f>
        <v/>
      </c>
      <c r="G467">
        <f>Calc!G25</f>
        <v/>
      </c>
      <c r="H467">
        <f>Calc!H25</f>
        <v/>
      </c>
      <c r="I467">
        <f>IF(Skills!T25&lt;&gt;"",1+(Skills!T25/10)*($Z$3/1000)/100,1)</f>
        <v/>
      </c>
      <c r="J467" t="inlineStr"/>
      <c r="K467" t="inlineStr"/>
      <c r="L467" t="inlineStr"/>
      <c r="M467" t="inlineStr"/>
      <c r="N467" t="inlineStr"/>
      <c r="O467" t="n">
        <v>0</v>
      </c>
      <c r="P467">
        <f>IF(B480=0,0,O467/B480)</f>
        <v/>
      </c>
      <c r="S467" t="n">
        <v>0</v>
      </c>
      <c r="V467">
        <f>IFERROR(1/IF(Inputs!$B$4="pvp",15,MAX(0.1,Skills!D25-IF(Skills!E25=TRUE,Inputs!$B$31,0))),0)</f>
        <v/>
      </c>
    </row>
    <row r="468">
      <c r="A468">
        <f>Skills!A26</f>
        <v/>
      </c>
      <c r="B468">
        <f>Skills!B26</f>
        <v/>
      </c>
      <c r="C468">
        <f>Inputs!$B$3&gt;=120</f>
        <v/>
      </c>
      <c r="D468">
        <f>IF(Skills!C26=1,60+Inputs!$B$24+Inputs!$B$28,IF(Skills!C26=2,90+Inputs!$B$25+Inputs!$B$28,IF(Skills!C26=3,120+Inputs!$B$26+Inputs!$B$28,MAX(0,(Inputs!$B$3-100)*3)+Inputs!$B$27+Inputs!$B$28)))</f>
        <v/>
      </c>
      <c r="E468">
        <f>INDEX(FactorTable!$B$2:$Y$301, MATCH(ROUND(MIN(300,MAX(1,D468)),0), FactorTable!$A$2:$A$301,0), Skills!L26+1)</f>
        <v/>
      </c>
      <c r="F468">
        <f>IF(Skills!M26=TRUE,(Skills!K26/10)*(E468/1000),Skills!K26/10)+Skills!N26</f>
        <v/>
      </c>
      <c r="G468">
        <f>Calc!G26</f>
        <v/>
      </c>
      <c r="H468">
        <f>Calc!H26</f>
        <v/>
      </c>
      <c r="I468">
        <f>IF(Skills!T26&lt;&gt;"",1+(Skills!T26/10)*($Z$3/1000)/100,1)</f>
        <v/>
      </c>
      <c r="J468" t="inlineStr"/>
      <c r="K468" t="inlineStr"/>
      <c r="L468" t="inlineStr"/>
      <c r="M468" t="inlineStr"/>
      <c r="N468" t="inlineStr"/>
      <c r="O468" t="n">
        <v>0</v>
      </c>
      <c r="P468">
        <f>IF(B480=0,0,O468/B480)</f>
        <v/>
      </c>
      <c r="S468" t="n">
        <v>0</v>
      </c>
      <c r="V468">
        <f>IFERROR(1/IF(Inputs!$B$4="pvp",15,MAX(0.1,Skills!D26-IF(Skills!E26=TRUE,Inputs!$B$31,0))),0)</f>
        <v/>
      </c>
    </row>
    <row r="470">
      <c r="A470" t="inlineStr">
        <is>
          <t>Average Buff Multiplier</t>
        </is>
      </c>
      <c r="B470">
        <f>(1+(IF(C445=TRUE,F445*IF(AND(Inputs!$B$4&lt;&gt;"pvp",Inputs!$B$35&gt;0),(((S445-1)*(Skills!S3*(1+(Inputs!$B$33+IF(Inputs!$B$3&gt;=117,F467,0))/100))+MIN((Skills!S3*(1+(Inputs!$B$33+IF(Inputs!$B$3&gt;=117,F467,0))/100)),MAX(0,Inputs!$B$35-((S445-1)*Skills!D3))))/Inputs!$B$35),IF(Inputs!$B$4="pvp",MIN((Skills!S3*(1+(Inputs!$B$33+IF(Inputs!$B$3&gt;=117,F467,0))/100)),15)/15,(Skills!S3*(1+(Inputs!$B$33+IF(Inputs!$B$3&gt;=117,F467,0))/100))/Skills!D3)),0)+IF(C446=TRUE,F446*IF(AND(Inputs!$B$4&lt;&gt;"pvp",Inputs!$B$35&gt;0),(((S446-1)*(Skills!S4*(1+(Inputs!$B$33+IF(Inputs!$B$3&gt;=117,F467,0))/100))+MIN((Skills!S4*(1+(Inputs!$B$33+IF(Inputs!$B$3&gt;=117,F467,0))/100)),MAX(0,Inputs!$B$35-((S446-1)*Skills!D4))))/Inputs!$B$35),IF(Inputs!$B$4="pvp",MIN((Skills!S4*(1+(Inputs!$B$33+IF(Inputs!$B$3&gt;=117,F467,0))/100)),15)/15,(Skills!S4*(1+(Inputs!$B$33+IF(Inputs!$B$3&gt;=117,F467,0))/100))/Skills!D4)),0)+IF(C447=TRUE,F447*IF(AND(Inputs!$B$4&lt;&gt;"pvp",Inputs!$B$35&gt;0),(((S447-1)*(Skills!S5*(1+(Inputs!$B$33+IF(Inputs!$B$3&gt;=117,F467,0))/100))+MIN((Skills!S5*(1+(Inputs!$B$33+IF(Inputs!$B$3&gt;=117,F467,0))/100)),MAX(0,Inputs!$B$35-((S447-1)*Skills!D5))))/Inputs!$B$35),IF(Inputs!$B$4="pvp",MIN((Skills!S5*(1+(Inputs!$B$33+IF(Inputs!$B$3&gt;=117,F467,0))/100)),15)/15,(Skills!S5*(1+(Inputs!$B$33+IF(Inputs!$B$3&gt;=117,F467,0))/100))/Skills!D5)),0)+IF(C453=TRUE,F453*IF(AND(Inputs!$B$4&lt;&gt;"pvp",Inputs!$B$35&gt;0),(((S453-1)*(Skills!S11*(1+(Inputs!$B$33+IF(Inputs!$B$3&gt;=117,F467,0))/100))+MIN((Skills!S11*(1+(Inputs!$B$33+IF(Inputs!$B$3&gt;=117,F467,0))/100)),MAX(0,Inputs!$B$35-((S453-1)*Skills!D11))))/Inputs!$B$35),IF(Inputs!$B$4="pvp",MIN((Skills!S11*(1+(Inputs!$B$33+IF(Inputs!$B$3&gt;=117,F467,0))/100)),15)/15,(Skills!S11*(1+(Inputs!$B$33+IF(Inputs!$B$3&gt;=117,F467,0))/100))/Skills!D11)),0))/100)*IF(C455=TRUE,(1+F455*IF(AND(Inputs!$B$4&lt;&gt;"pvp",Inputs!$B$35&gt;0),(((S455-1)*(Skills!S13*(1+(Inputs!$B$33+IF(Inputs!$B$3&gt;=117,F467,0))/100))+MIN((Skills!S13*(1+(Inputs!$B$33+IF(Inputs!$B$3&gt;=117,F467,0))/100)),MAX(0,Inputs!$B$35-((S455-1)*Skills!D13))))/Inputs!$B$35),IF(Inputs!$B$4="pvp",MIN((Skills!S13*(1+(Inputs!$B$33+IF(Inputs!$B$3&gt;=117,F467,0))/100)),15)/15,(Skills!S13*(1+(Inputs!$B$33+IF(Inputs!$B$3&gt;=117,F467,0))/100))/Skills!D13))/100),1)*IF(C460=TRUE,(1+F460*IF(AND(Inputs!$B$4&lt;&gt;"pvp",Inputs!$B$35&gt;0),(((S460-1)*(Skills!S18*(1+(Inputs!$B$33+IF(Inputs!$B$3&gt;=117,F467,0))/100))+MIN((Skills!S18*(1+(Inputs!$B$33+IF(Inputs!$B$3&gt;=117,F467,0))/100)),MAX(0,Inputs!$B$35-((S460-1)*Skills!D18))))/Inputs!$B$35),IF(Inputs!$B$4="pvp",MIN((Skills!S18*(1+(Inputs!$B$33+IF(Inputs!$B$3&gt;=117,F467,0))/100)),15)/15,(Skills!S18*(1+(Inputs!$B$33+IF(Inputs!$B$3&gt;=117,F467,0))/100))/Skills!D18))/100),1)</f>
        <v/>
      </c>
    </row>
    <row r="471">
      <c r="A471" t="inlineStr">
        <is>
          <t>Monster Damage Taken Bonus % (Holy Fountain)</t>
        </is>
      </c>
      <c r="B471">
        <f>IF(Inputs!$B$3&gt;=68,20*IF(Inputs!$B$4="pvp",MIN((15*(1+(Inputs!$B$33+IF(Inputs!$B$3&gt;=117,F467,0))/100)),15)/15,(15*(1+(Inputs!$B$33+IF(Inputs!$B$3&gt;=117,F467,0))/100))/Skills!D10),0)</f>
        <v/>
      </c>
    </row>
    <row r="472">
      <c r="A472" t="inlineStr">
        <is>
          <t>Normal Monster Damage Bonus % (Holy Symbol)</t>
        </is>
      </c>
      <c r="B472">
        <f>IF(C454=TRUE,F454*IF(AND(Inputs!$B$4&lt;&gt;"pvp",Inputs!$B$35&gt;0),(((S454-1)*(Skills!S12*(1+(Inputs!$B$33+IF(Inputs!$B$3&gt;=117,F467,0))/100))+MIN((Skills!S12*(1+(Inputs!$B$33+IF(Inputs!$B$3&gt;=117,F467,0))/100)),MAX(0,Inputs!$B$35-((S454-1)*Skills!D12))))/Inputs!$B$35),IF(Inputs!$B$4="pvp",MIN((Skills!S12*(1+(Inputs!$B$33+IF(Inputs!$B$3&gt;=117,F467,0))/100)),15)/15,(Skills!S12*(1+(Inputs!$B$33+IF(Inputs!$B$3&gt;=117,F467,0))/100))/Skills!D12)),0)</f>
        <v/>
      </c>
    </row>
    <row r="473">
      <c r="A473" t="inlineStr">
        <is>
          <t>Damage % Bonus (Holy Symbol - Damage Boost)</t>
        </is>
      </c>
      <c r="B473">
        <f>Skills!O12</f>
        <v/>
      </c>
    </row>
    <row r="474">
      <c r="A474" t="inlineStr">
        <is>
          <t>Crit Damage % Bonus (Blood of the Divine)</t>
        </is>
      </c>
      <c r="B474">
        <f>4*IF(C461=TRUE,F461,0)</f>
        <v/>
      </c>
    </row>
    <row r="475">
      <c r="A475" t="inlineStr">
        <is>
          <t>Attack Speed Bonus %</t>
        </is>
      </c>
      <c r="B475">
        <f>IF(C458=TRUE,F458+(F462-Calc!F20),0)+IF(Inputs!$B$3&gt;=134,15,0)</f>
        <v/>
      </c>
    </row>
    <row r="476">
      <c r="A476" t="inlineStr">
        <is>
          <t>Actions Per Second</t>
        </is>
      </c>
      <c r="B476">
        <f>1+MIN(150,150*(1-(1-Inputs!$B$10/150)*(1-B475/150)))/100</f>
        <v/>
      </c>
    </row>
    <row r="477">
      <c r="A477" t="inlineStr">
        <is>
          <t>Skill + Buff Cast Rate</t>
        </is>
      </c>
      <c r="B477">
        <f>IF(AND(Inputs!$B$4&lt;&gt;"pvp",Inputs!$B$35&gt;0),SUMPRODUCT((Skills!E2:E26=TRUE)*(C444:C468=TRUE)*S444:S468)/Inputs!$B$35,SUMPRODUCT((Skills!E2:E26=TRUE)*(C444:C468=TRUE)*V444:V468))</f>
        <v/>
      </c>
    </row>
    <row r="478">
      <c r="A478" t="inlineStr">
        <is>
          <t>Big Bang Casts Per Second</t>
        </is>
      </c>
      <c r="B478">
        <f>MAX(0,B476-B477)</f>
        <v/>
      </c>
    </row>
    <row r="480">
      <c r="A480" s="5" t="inlineStr">
        <is>
          <t>TOTAL DPS</t>
        </is>
      </c>
      <c r="B480" s="5">
        <f>SUM(O444:O468)</f>
        <v/>
      </c>
    </row>
    <row r="483">
      <c r="A483" s="5" t="inlineStr">
        <is>
          <t>Stat: ATTACK_SPEED % (diminishing returns, factor 150)</t>
        </is>
      </c>
    </row>
    <row r="484">
      <c r="A484" s="8" t="inlineStr">
        <is>
          <t>Key</t>
        </is>
      </c>
      <c r="B484" s="8" t="inlineStr">
        <is>
          <t>Name</t>
        </is>
      </c>
      <c r="C484" s="8" t="inlineStr">
        <is>
          <t>Unlocked</t>
        </is>
      </c>
      <c r="D484" s="8" t="inlineStr">
        <is>
          <t>InputLevel</t>
        </is>
      </c>
      <c r="E484" s="8" t="inlineStr">
        <is>
          <t>Factor</t>
        </is>
      </c>
      <c r="F484" s="8" t="inlineStr">
        <is>
          <t>CoefficientPercent</t>
        </is>
      </c>
      <c r="G484" s="8" t="inlineStr">
        <is>
          <t>EffectiveHits</t>
        </is>
      </c>
      <c r="H484" s="8" t="inlineStr">
        <is>
          <t>ProcProbability</t>
        </is>
      </c>
      <c r="I484" s="8" t="inlineStr">
        <is>
          <t>MapleHeroMultiplier</t>
        </is>
      </c>
      <c r="J484" s="8" t="inlineStr">
        <is>
          <t>BaseDamage</t>
        </is>
      </c>
      <c r="K484" s="8" t="inlineStr">
        <is>
          <t>BaseHitDamage</t>
        </is>
      </c>
      <c r="L484" s="8" t="inlineStr">
        <is>
          <t>NonCritAvg</t>
        </is>
      </c>
      <c r="M484" s="8" t="inlineStr">
        <is>
          <t>CritAvg</t>
        </is>
      </c>
      <c r="N484" s="8" t="inlineStr">
        <is>
          <t>ExpectedDamage(perHit)</t>
        </is>
      </c>
      <c r="O484" s="8" t="inlineStr">
        <is>
          <t>DPS</t>
        </is>
      </c>
      <c r="P484" s="8" t="inlineStr">
        <is>
          <t>% of Total</t>
        </is>
      </c>
      <c r="R484" t="inlineStr">
        <is>
          <t>helpers</t>
        </is>
      </c>
    </row>
    <row r="485">
      <c r="A485">
        <f>Skills!A2</f>
        <v/>
      </c>
      <c r="B485">
        <f>Skills!B2</f>
        <v/>
      </c>
      <c r="C485">
        <f>Inputs!$B$3&gt;=100</f>
        <v/>
      </c>
      <c r="D485" t="inlineStr"/>
      <c r="E485" t="inlineStr"/>
      <c r="F485">
        <f>T487+Skills!N2</f>
        <v/>
      </c>
      <c r="G485">
        <f>Calc!G2</f>
        <v/>
      </c>
      <c r="H485">
        <f>Calc!H2</f>
        <v/>
      </c>
      <c r="I485">
        <f>IF(Skills!T2&lt;&gt;"",1+(Skills!T2/10)*($Z$3/1000)/100,1)</f>
        <v/>
      </c>
      <c r="J485">
        <f>((Inputs!$B$5*(1+Inputs!$B$6/100))+((Inputs!$B$11*(1+Inputs!$B$12/100))-(Inputs!$B$11*(1+Inputs!$B$12/100)))*(1+Inputs!$B$6/100))*(F485/100)</f>
        <v/>
      </c>
      <c r="K485">
        <f>J485*(1+((Inputs!$B$11*(1+Inputs!$B$12/100))*0.01+Inputs!$B$13*0.0025)/100)*(1+(Inputs!$B$14+B514)/100)*(1+IF(Inputs!$B$4="pvp",0,(1-Summary!$B$48)*(Inputs!$B$19+Skills!O2+B512)+Summary!$B$48*(Inputs!$B$20+Skills!P2+B513))/100)*(1+Inputs!$B$15/100)*(5000/(6000+Inputs!$B$7*(1-Inputs!$B$18/100)))*(1+Inputs!$B$23/100)*(1+IF(C500=TRUE,F500,0)/100)*(1+IF(C502=TRUE,F502,0)/100)*(1+IF(Skills!A2="TRIUMPH_FEATHER",IF(C498=TRUE,F498,0),0)/100)*(1+IF(C509=TRUE,F509,0)/100)^5*(1+(IF(Skills!A2="BIG_BANG",Inputs!$B$16,Inputs!$B$17))/100)*(B511*I485)</f>
        <v/>
      </c>
      <c r="L485">
        <f>K485*(MIN(Inputs!$B$21+(F504-Calc!F21),Inputs!$B$22)/100+Inputs!$B$22/100)/2</f>
        <v/>
      </c>
      <c r="M485">
        <f>L485*(1+(Inputs!$B$9+B515+(F507-Calc!F24))/100)</f>
        <v/>
      </c>
      <c r="N485">
        <f>L485*(1-MIN(Inputs!$B$8+((F506-Calc!F23)+(F505-Calc!F22)),100)/100)+M485*(MIN(Inputs!$B$8+((F506-Calc!F23)+(F505-Calc!F22)),100)/100)</f>
        <v/>
      </c>
      <c r="O485">
        <f>IF(C485,Skills!F2*N485*B519*IF(Inputs!$B$4="pvp",1,(1-Summary!$B$48)*(1)+Summary!$B$48*(MIN((6+Inputs!$B$32),Inputs!$B$37))),0)</f>
        <v/>
      </c>
      <c r="P485">
        <f>IF(B521=0,0,O485/B521)</f>
        <v/>
      </c>
      <c r="S485" t="n">
        <v>0</v>
      </c>
      <c r="T485">
        <f>MAX(0,(Inputs!$B$3-100)*3)+Inputs!$B$27+Inputs!$B$28</f>
        <v/>
      </c>
      <c r="V485">
        <f>IFERROR(1/IF(Inputs!$B$4="pvp",15,MAX(0.1,Skills!D2-IF(Skills!E2=TRUE,Inputs!$B$31,0))),0)</f>
        <v/>
      </c>
    </row>
    <row r="486">
      <c r="A486">
        <f>Skills!A3</f>
        <v/>
      </c>
      <c r="B486">
        <f>Skills!B3</f>
        <v/>
      </c>
      <c r="C486">
        <f>Inputs!$B$3&gt;=15</f>
        <v/>
      </c>
      <c r="D486">
        <f>IF(Skills!C3=1,60+Inputs!$B$24+Inputs!$B$28,IF(Skills!C3=2,90+Inputs!$B$25+Inputs!$B$28,IF(Skills!C3=3,120+Inputs!$B$26+Inputs!$B$28,MAX(0,(Inputs!$B$3-100)*3)+Inputs!$B$27+Inputs!$B$28)))</f>
        <v/>
      </c>
      <c r="E486">
        <f>INDEX(FactorTable!$B$2:$Y$301, MATCH(ROUND(MIN(300,MAX(1,D486)),0), FactorTable!$A$2:$A$301,0), Skills!L3+1)</f>
        <v/>
      </c>
      <c r="F486">
        <f>IF(Skills!M3=TRUE,(Skills!K3/10)*(E486/1000),Skills!K3/10)+Skills!N3</f>
        <v/>
      </c>
      <c r="G486">
        <f>Calc!G3</f>
        <v/>
      </c>
      <c r="H486">
        <f>Calc!H3</f>
        <v/>
      </c>
      <c r="I486">
        <f>IF(Skills!T3&lt;&gt;"",1+(Skills!T3/10)*($Z$3/1000)/100,1)</f>
        <v/>
      </c>
      <c r="J486" t="inlineStr"/>
      <c r="K486" t="inlineStr"/>
      <c r="L486" t="inlineStr"/>
      <c r="M486" t="inlineStr"/>
      <c r="N486" t="inlineStr"/>
      <c r="O486" t="n">
        <v>0</v>
      </c>
      <c r="P486">
        <f>IF(B521=0,0,O486/B521)</f>
        <v/>
      </c>
      <c r="S486">
        <f>IF(AND(Inputs!$B$4&lt;&gt;"pvp",Inputs!$B$35&gt;0),(INT(Inputs!$B$35/IF(Inputs!$B$4="pvp",15,MAX(0.1,Skills!D3-IF(Skills!E3=TRUE,Inputs!$B$31,0))))+1),0)</f>
        <v/>
      </c>
      <c r="T486">
        <f>INDEX(FactorTable!$B$2:$Y$301, MATCH(ROUND(MIN(300,MAX(1,T485)),0), FactorTable!$A$2:$A$301,0), 22)</f>
        <v/>
      </c>
      <c r="V486">
        <f>IFERROR(1/IF(Inputs!$B$4="pvp",15,MAX(0.1,Skills!D3-IF(Skills!E3=TRUE,Inputs!$B$31,0))),0)</f>
        <v/>
      </c>
    </row>
    <row r="487">
      <c r="A487">
        <f>Skills!A4</f>
        <v/>
      </c>
      <c r="B487">
        <f>Skills!B4</f>
        <v/>
      </c>
      <c r="C487">
        <f>Inputs!$B$3&gt;=38</f>
        <v/>
      </c>
      <c r="D487">
        <f>IF(Skills!C4=1,60+Inputs!$B$24+Inputs!$B$28,IF(Skills!C4=2,90+Inputs!$B$25+Inputs!$B$28,IF(Skills!C4=3,120+Inputs!$B$26+Inputs!$B$28,MAX(0,(Inputs!$B$3-100)*3)+Inputs!$B$27+Inputs!$B$28)))</f>
        <v/>
      </c>
      <c r="E487">
        <f>INDEX(FactorTable!$B$2:$Y$301, MATCH(ROUND(MIN(300,MAX(1,D487)),0), FactorTable!$A$2:$A$301,0), Skills!L4+1)</f>
        <v/>
      </c>
      <c r="F487">
        <f>IF(Skills!M4=TRUE,(Skills!K4/10)*(E487/1000),Skills!K4/10)+Skills!N4</f>
        <v/>
      </c>
      <c r="G487">
        <f>Calc!G4</f>
        <v/>
      </c>
      <c r="H487">
        <f>Calc!H4</f>
        <v/>
      </c>
      <c r="I487">
        <f>IF(Skills!T4&lt;&gt;"",1+(Skills!T4/10)*($Z$3/1000)/100,1)</f>
        <v/>
      </c>
      <c r="J487" t="inlineStr"/>
      <c r="K487" t="inlineStr"/>
      <c r="L487" t="inlineStr"/>
      <c r="M487" t="inlineStr"/>
      <c r="N487" t="inlineStr"/>
      <c r="O487" t="n">
        <v>0</v>
      </c>
      <c r="P487">
        <f>IF(B521=0,0,O487/B521)</f>
        <v/>
      </c>
      <c r="S487">
        <f>IF(AND(Inputs!$B$4&lt;&gt;"pvp",Inputs!$B$35&gt;0),(INT(Inputs!$B$35/IF(Inputs!$B$4="pvp",15,MAX(0.1,Skills!D4-IF(Skills!E4=TRUE,Inputs!$B$31,0))))+1),0)</f>
        <v/>
      </c>
      <c r="T487">
        <f>290*T486/1000</f>
        <v/>
      </c>
      <c r="V487">
        <f>IFERROR(1/IF(Inputs!$B$4="pvp",15,MAX(0.1,Skills!D4-IF(Skills!E4=TRUE,Inputs!$B$31,0))),0)</f>
        <v/>
      </c>
    </row>
    <row r="488">
      <c r="A488">
        <f>Skills!A5</f>
        <v/>
      </c>
      <c r="B488">
        <f>Skills!B5</f>
        <v/>
      </c>
      <c r="C488">
        <f>Inputs!$B$3&gt;=40</f>
        <v/>
      </c>
      <c r="D488">
        <f>IF(Skills!C5=1,60+Inputs!$B$24+Inputs!$B$28,IF(Skills!C5=2,90+Inputs!$B$25+Inputs!$B$28,IF(Skills!C5=3,120+Inputs!$B$26+Inputs!$B$28,MAX(0,(Inputs!$B$3-100)*3)+Inputs!$B$27+Inputs!$B$28)))</f>
        <v/>
      </c>
      <c r="E488">
        <f>INDEX(FactorTable!$B$2:$Y$301, MATCH(ROUND(MIN(300,MAX(1,D488)),0), FactorTable!$A$2:$A$301,0), Skills!L5+1)</f>
        <v/>
      </c>
      <c r="F488">
        <f>IF(Skills!M5=TRUE,(Skills!K5/10)*(E488/1000),Skills!K5/10)+Skills!N5</f>
        <v/>
      </c>
      <c r="G488">
        <f>Calc!G5</f>
        <v/>
      </c>
      <c r="H488">
        <f>Calc!H5</f>
        <v/>
      </c>
      <c r="I488">
        <f>IF(Skills!T5&lt;&gt;"",1+(Skills!T5/10)*($Z$3/1000)/100,1)</f>
        <v/>
      </c>
      <c r="J488" t="inlineStr"/>
      <c r="K488" t="inlineStr"/>
      <c r="L488" t="inlineStr"/>
      <c r="M488" t="inlineStr"/>
      <c r="N488" t="inlineStr"/>
      <c r="O488" t="n">
        <v>0</v>
      </c>
      <c r="P488">
        <f>IF(B521=0,0,O488/B521)</f>
        <v/>
      </c>
      <c r="S488">
        <f>IF(AND(Inputs!$B$4&lt;&gt;"pvp",Inputs!$B$35&gt;0),(INT(Inputs!$B$35/IF(Inputs!$B$4="pvp",15,MAX(0.1,Skills!D5-IF(Skills!E5=TRUE,Inputs!$B$31,0))))+1),0)</f>
        <v/>
      </c>
      <c r="V488">
        <f>IFERROR(1/IF(Inputs!$B$4="pvp",15,MAX(0.1,Skills!D5-IF(Skills!E5=TRUE,Inputs!$B$31,0))),0)</f>
        <v/>
      </c>
    </row>
    <row r="489">
      <c r="A489">
        <f>Skills!A6</f>
        <v/>
      </c>
      <c r="B489">
        <f>Skills!B6</f>
        <v/>
      </c>
      <c r="C489">
        <f>Inputs!$B$3&gt;=103</f>
        <v/>
      </c>
      <c r="D489">
        <f>IF(Skills!C6=1,60+Inputs!$B$24+Inputs!$B$28,IF(Skills!C6=2,90+Inputs!$B$25+Inputs!$B$28,IF(Skills!C6=3,120+Inputs!$B$26+Inputs!$B$28,MAX(0,(Inputs!$B$3-100)*3)+Inputs!$B$27+Inputs!$B$28)))</f>
        <v/>
      </c>
      <c r="E489">
        <f>INDEX(FactorTable!$B$2:$Y$301, MATCH(ROUND(MIN(300,MAX(1,D489)),0), FactorTable!$A$2:$A$301,0), Skills!L6+1)</f>
        <v/>
      </c>
      <c r="F489">
        <f>IF(Skills!M6=TRUE,(Skills!K6/10)*(E489/1000),Skills!K6/10)+Skills!N6</f>
        <v/>
      </c>
      <c r="G489">
        <f>Calc!G6</f>
        <v/>
      </c>
      <c r="H489">
        <f>Calc!H6</f>
        <v/>
      </c>
      <c r="I489">
        <f>IF(Skills!T6&lt;&gt;"",1+(Skills!T6/10)*($Z$3/1000)/100,1)</f>
        <v/>
      </c>
      <c r="J489">
        <f>((Inputs!$B$5*(1+Inputs!$B$6/100))+((Inputs!$B$11*(1+Inputs!$B$12/100))-(Inputs!$B$11*(1+Inputs!$B$12/100)))*(1+Inputs!$B$6/100))*(F489/100)</f>
        <v/>
      </c>
      <c r="K489">
        <f>J489*(1+((Inputs!$B$11*(1+Inputs!$B$12/100))*0.01+Inputs!$B$13*0.0025)/100)*(1+(Inputs!$B$14+B514)/100)*(1+IF(Inputs!$B$4="pvp",0,(1-Summary!$B$48)*(Inputs!$B$19+Skills!O6+B512)+Summary!$B$48*(Inputs!$B$20+Skills!P6+B513))/100)*(1+Inputs!$B$15/100)*(5000/(6000+Inputs!$B$7*(1-Inputs!$B$18/100)))*(1+Inputs!$B$23/100)*(1+IF(C500=TRUE,F500,0)/100)*(1+IF(C502=TRUE,F502,0)/100)*(1+IF(Skills!A6="TRIUMPH_FEATHER",IF(C498=TRUE,F498,0),0)/100)*(1+IF(C509=TRUE,F509,0)/100)^5*(1+(IF(Skills!A6="BIG_BANG",Inputs!$B$16,Inputs!$B$17))/100)*(B511*I489)</f>
        <v/>
      </c>
      <c r="L489">
        <f>K489*(MIN(Inputs!$B$21+(F504-Calc!F21),Inputs!$B$22)/100+Inputs!$B$22/100)/2</f>
        <v/>
      </c>
      <c r="M489">
        <f>L489*(1+(Inputs!$B$9+B515+(F507-Calc!F24))/100)</f>
        <v/>
      </c>
      <c r="N489">
        <f>L489*(1-MIN(Inputs!$B$8+((F506-Calc!F23)+(F505-Calc!F22)),100)/100)+M489*(MIN(Inputs!$B$8+((F506-Calc!F23)+(F505-Calc!F22)),100)/100)</f>
        <v/>
      </c>
      <c r="O489">
        <f>IF(C489,H489*N489*IF(AND(Inputs!$B$4&lt;&gt;"pvp",Inputs!$B$35&gt;0),((Skills!F6*((S489-1)*IF(Skills!G6&gt;0,Skills!H6/Skills!G6,1)+IF(Skills!G6&gt;0,MIN(Skills!H6,MAX(0,Inputs!$B$35-((S489-1)*IF(Inputs!$B$4="pvp",15,MAX(0.1,Skills!D6-IF(Skills!E6=TRUE,Inputs!$B$31,0))))))/Skills!G6,1)))/Inputs!$B$35),G489*V489)*IF(Inputs!$B$4="pvp",1,(1-Summary!$B$48)*(1)+Summary!$B$48*(MIN(Skills!Q6,Inputs!$B$37))),0)</f>
        <v/>
      </c>
      <c r="P489">
        <f>IF(B521=0,0,O489/B521)</f>
        <v/>
      </c>
      <c r="S489">
        <f>IF(AND(Inputs!$B$4&lt;&gt;"pvp",Inputs!$B$35&gt;0),(INT(Inputs!$B$35/IF(Inputs!$B$4="pvp",15,MAX(0.1,Skills!D6-IF(Skills!E6=TRUE,Inputs!$B$31,0))))+1),0)</f>
        <v/>
      </c>
      <c r="V489">
        <f>IFERROR(1/IF(Inputs!$B$4="pvp",15,MAX(0.1,Skills!D6-IF(Skills!E6=TRUE,Inputs!$B$31,0))),0)</f>
        <v/>
      </c>
    </row>
    <row r="490">
      <c r="A490">
        <f>Skills!A7</f>
        <v/>
      </c>
      <c r="B490">
        <f>Skills!B7</f>
        <v/>
      </c>
      <c r="C490">
        <f>Inputs!$B$3&gt;=122</f>
        <v/>
      </c>
      <c r="D490">
        <f>IF(Skills!C7=1,60+Inputs!$B$24+Inputs!$B$28,IF(Skills!C7=2,90+Inputs!$B$25+Inputs!$B$28,IF(Skills!C7=3,120+Inputs!$B$26+Inputs!$B$28,MAX(0,(Inputs!$B$3-100)*3)+Inputs!$B$27+Inputs!$B$28)))</f>
        <v/>
      </c>
      <c r="E490">
        <f>INDEX(FactorTable!$B$2:$Y$301, MATCH(ROUND(MIN(300,MAX(1,D490)),0), FactorTable!$A$2:$A$301,0), Skills!L7+1)</f>
        <v/>
      </c>
      <c r="F490">
        <f>IF(Skills!M7=TRUE,(Skills!K7/10)*(E490/1000),Skills!K7/10)+Skills!N7</f>
        <v/>
      </c>
      <c r="G490">
        <f>Calc!G7</f>
        <v/>
      </c>
      <c r="H490">
        <f>Calc!H7</f>
        <v/>
      </c>
      <c r="I490">
        <f>IF(Skills!T7&lt;&gt;"",1+(Skills!T7/10)*($Z$3/1000)/100,1)</f>
        <v/>
      </c>
      <c r="J490">
        <f>((Inputs!$B$5*(1+Inputs!$B$6/100))+((Inputs!$B$11*(1+Inputs!$B$12/100))-(Inputs!$B$11*(1+Inputs!$B$12/100)))*(1+Inputs!$B$6/100))*(F490/100)</f>
        <v/>
      </c>
      <c r="K490">
        <f>J490*(1+((Inputs!$B$11*(1+Inputs!$B$12/100))*0.01+Inputs!$B$13*0.0025)/100)*(1+(Inputs!$B$14+B514)/100)*(1+IF(Inputs!$B$4="pvp",0,(1-Summary!$B$48)*(Inputs!$B$19+Skills!O7+B512)+Summary!$B$48*(Inputs!$B$20+Skills!P7+B513))/100)*(1+Inputs!$B$15/100)*(5000/(6000+Inputs!$B$7*(1-Inputs!$B$18/100)))*(1+Inputs!$B$23/100)*(1+IF(C500=TRUE,F500,0)/100)*(1+IF(C502=TRUE,F502,0)/100)*(1+IF(Skills!A7="TRIUMPH_FEATHER",IF(C498=TRUE,F498,0),0)/100)*(1+IF(C509=TRUE,F509,0)/100)^5*(1+(IF(Skills!A7="BIG_BANG",Inputs!$B$16,Inputs!$B$17))/100)*(B511*I490)</f>
        <v/>
      </c>
      <c r="L490">
        <f>K490*(MIN(Inputs!$B$21+(F504-Calc!F21),Inputs!$B$22)/100+Inputs!$B$22/100)/2</f>
        <v/>
      </c>
      <c r="M490">
        <f>L490*(1+(Inputs!$B$9+B515+(F507-Calc!F24))/100)</f>
        <v/>
      </c>
      <c r="N490">
        <f>L490*(1-MIN(Inputs!$B$8+((F506-Calc!F23)+(F505-Calc!F22)),100)/100)+M490*(MIN(Inputs!$B$8+((F506-Calc!F23)+(F505-Calc!F22)),100)/100)</f>
        <v/>
      </c>
      <c r="O490">
        <f>IF(C490,H490*N490*IF(AND(Inputs!$B$4&lt;&gt;"pvp",Inputs!$B$35&gt;0),((Skills!F7*((S490-1)*IF(Skills!G7&gt;0,Skills!H7/Skills!G7,1)+IF(Skills!G7&gt;0,MIN(Skills!H7,MAX(0,Inputs!$B$35-((S490-1)*IF(Inputs!$B$4="pvp",15,MAX(0.1,Skills!D7-IF(Skills!E6=TRUE,Inputs!$B$31,0))))))/Skills!G7,1)))/Inputs!$B$35),G490*V490)*(1-Summary!$B$48),0)</f>
        <v/>
      </c>
      <c r="P490">
        <f>IF(B521=0,0,O490/B521)</f>
        <v/>
      </c>
      <c r="S490">
        <f>IF(AND(Inputs!$B$4&lt;&gt;"pvp",Inputs!$B$35&gt;0),(INT(Inputs!$B$35/IF(Inputs!$B$4="pvp",15,MAX(0.1,Skills!D7-IF(Skills!E6=TRUE,Inputs!$B$31,0))))+1),0)</f>
        <v/>
      </c>
      <c r="V490">
        <f>IFERROR(1/IF(Inputs!$B$4="pvp",15,MAX(0.1,Skills!D7-IF(Skills!E6=TRUE,Inputs!$B$31,0))),0)</f>
        <v/>
      </c>
    </row>
    <row r="491">
      <c r="A491">
        <f>Skills!A8</f>
        <v/>
      </c>
      <c r="B491">
        <f>Skills!B8</f>
        <v/>
      </c>
      <c r="C491">
        <f>Inputs!$B$3&gt;=105</f>
        <v/>
      </c>
      <c r="D491">
        <f>IF(Skills!C8=1,60+Inputs!$B$24+Inputs!$B$28,IF(Skills!C8=2,90+Inputs!$B$25+Inputs!$B$28,IF(Skills!C8=3,120+Inputs!$B$26+Inputs!$B$28,MAX(0,(Inputs!$B$3-100)*3)+Inputs!$B$27+Inputs!$B$28)))</f>
        <v/>
      </c>
      <c r="E491">
        <f>INDEX(FactorTable!$B$2:$Y$301, MATCH(ROUND(MIN(300,MAX(1,D491)),0), FactorTable!$A$2:$A$301,0), Skills!L8+1)</f>
        <v/>
      </c>
      <c r="F491">
        <f>IF(Skills!M8=TRUE,(Skills!K8/10)*(E491/1000),Skills!K8/10)+Skills!N8</f>
        <v/>
      </c>
      <c r="G491">
        <f>Calc!G8</f>
        <v/>
      </c>
      <c r="H491">
        <f>Calc!H8</f>
        <v/>
      </c>
      <c r="I491">
        <f>IF(Skills!T8&lt;&gt;"",1+(Skills!T8/10)*($Z$3/1000)/100,1)</f>
        <v/>
      </c>
      <c r="J491">
        <f>((Inputs!$B$5*(1+Inputs!$B$6/100))+((Inputs!$B$11*(1+Inputs!$B$12/100))-(Inputs!$B$11*(1+Inputs!$B$12/100)))*(1+Inputs!$B$6/100))*(F491/100)</f>
        <v/>
      </c>
      <c r="K491">
        <f>J491*(1+((Inputs!$B$11*(1+Inputs!$B$12/100))*0.01+Inputs!$B$13*0.0025)/100)*(1+(Inputs!$B$14+B514)/100)*(1+IF(Inputs!$B$4="pvp",0,(1-Summary!$B$48)*(Inputs!$B$19+Skills!O8+B512)+Summary!$B$48*(Inputs!$B$20+Skills!P8+B513))/100)*(1+Inputs!$B$15/100)*(5000/(6000+Inputs!$B$7*(1-Inputs!$B$18/100)))*(1+Inputs!$B$23/100)*(1+IF(C500=TRUE,F500,0)/100)*(1+IF(C502=TRUE,F502,0)/100)*(1+IF(Skills!A8="TRIUMPH_FEATHER",IF(C498=TRUE,F498,0),0)/100)*(1+IF(C509=TRUE,F509,0)/100)^5*(1+(IF(Skills!A8="BIG_BANG",Inputs!$B$16,Inputs!$B$17))/100)*(B511*I491)</f>
        <v/>
      </c>
      <c r="L491">
        <f>K491*(MIN(Inputs!$B$21+(F504-Calc!F21),Inputs!$B$22)/100+Inputs!$B$22/100)/2</f>
        <v/>
      </c>
      <c r="M491">
        <f>L491*(1+(Inputs!$B$9+B515+(F507-Calc!F24))/100)</f>
        <v/>
      </c>
      <c r="N491">
        <f>L491*(1-MIN(Inputs!$B$8+((F506-Calc!F23)+(F505-Calc!F22)),100)/100)+M491*(MIN(Inputs!$B$8+((F506-Calc!F23)+(F505-Calc!F22)),100)/100)</f>
        <v/>
      </c>
      <c r="O491">
        <f>IF(C491,H491*N491*IF(AND(Inputs!$B$4&lt;&gt;"pvp",Inputs!$B$35&gt;0),((Skills!F8*((S491-1)*IF(Skills!G8&gt;0,Skills!H8/Skills!G8,1)+IF(Skills!G8&gt;0,MIN(Skills!H8,MAX(0,Inputs!$B$35-((S491-1)*IF(Inputs!$B$4="pvp",15,MAX(0.1,Skills!D8-IF(Skills!E8=TRUE,Inputs!$B$31,0))))))/Skills!G8,1)))/Inputs!$B$35),G491*V491)*IF(Inputs!$B$4="pvp",1,(1-Summary!$B$48)*(1)+Summary!$B$48*(MIN(Skills!Q8,Inputs!$B$37))),0)</f>
        <v/>
      </c>
      <c r="P491">
        <f>IF(B521=0,0,O491/B521)</f>
        <v/>
      </c>
      <c r="S491">
        <f>IF(AND(Inputs!$B$4&lt;&gt;"pvp",Inputs!$B$35&gt;0),(INT(Inputs!$B$35/IF(Inputs!$B$4="pvp",15,MAX(0.1,Skills!D8-IF(Skills!E8=TRUE,Inputs!$B$31,0))))+1),0)</f>
        <v/>
      </c>
      <c r="V491">
        <f>IFERROR(1/IF(Inputs!$B$4="pvp",15,MAX(0.1,Skills!D8-IF(Skills!E8=TRUE,Inputs!$B$31,0))),0)</f>
        <v/>
      </c>
    </row>
    <row r="492">
      <c r="A492">
        <f>Skills!A9</f>
        <v/>
      </c>
      <c r="B492">
        <f>Skills!B9</f>
        <v/>
      </c>
      <c r="C492">
        <f>Inputs!$B$3&gt;=115</f>
        <v/>
      </c>
      <c r="D492">
        <f>IF(Skills!C9=1,60+Inputs!$B$24+Inputs!$B$28,IF(Skills!C9=2,90+Inputs!$B$25+Inputs!$B$28,IF(Skills!C9=3,120+Inputs!$B$26+Inputs!$B$28,MAX(0,(Inputs!$B$3-100)*3)+Inputs!$B$27+Inputs!$B$28)))</f>
        <v/>
      </c>
      <c r="E492">
        <f>INDEX(FactorTable!$B$2:$Y$301, MATCH(ROUND(MIN(300,MAX(1,D492)),0), FactorTable!$A$2:$A$301,0), Skills!L9+1)</f>
        <v/>
      </c>
      <c r="F492">
        <f>IF(Skills!M9=TRUE,(Skills!K9/10)*(E492/1000),Skills!K9/10)+Skills!N9</f>
        <v/>
      </c>
      <c r="G492">
        <f>Calc!G9</f>
        <v/>
      </c>
      <c r="H492">
        <f>Calc!H9</f>
        <v/>
      </c>
      <c r="I492">
        <f>IF(Skills!T9&lt;&gt;"",1+(Skills!T9/10)*($Z$3/1000)/100,1)</f>
        <v/>
      </c>
      <c r="J492">
        <f>((Inputs!$B$5*(1+Inputs!$B$6/100))+((Inputs!$B$11*(1+Inputs!$B$12/100))-(Inputs!$B$11*(1+Inputs!$B$12/100)))*(1+Inputs!$B$6/100))*(F492/100)</f>
        <v/>
      </c>
      <c r="K492">
        <f>J492*(1+((Inputs!$B$11*(1+Inputs!$B$12/100))*0.01+Inputs!$B$13*0.0025)/100)*(1+(Inputs!$B$14+B514)/100)*(1+IF(Inputs!$B$4="pvp",0,(1-Summary!$B$48)*(Inputs!$B$19+Skills!O9+B512)+Summary!$B$48*(Inputs!$B$20+Skills!P9+B513))/100)*(1+Inputs!$B$15/100)*(5000/(6000+Inputs!$B$7*(1-Inputs!$B$18/100)))*(1+Inputs!$B$23/100)*(1+IF(C500=TRUE,F500,0)/100)*(1+IF(C502=TRUE,F502,0)/100)*(1+IF(Skills!A9="TRIUMPH_FEATHER",IF(C498=TRUE,F498,0),0)/100)*(1+IF(C509=TRUE,F509,0)/100)^5*(1+(IF(Skills!A9="BIG_BANG",Inputs!$B$16,Inputs!$B$17))/100)*(B511*I492)</f>
        <v/>
      </c>
      <c r="L492">
        <f>K492*(MIN(Inputs!$B$21+(F504-Calc!F21),Inputs!$B$22)/100+Inputs!$B$22/100)/2</f>
        <v/>
      </c>
      <c r="M492">
        <f>L492*(1+(Inputs!$B$9+B515+(F507-Calc!F24))/100)</f>
        <v/>
      </c>
      <c r="N492">
        <f>L492*(1-MIN(Inputs!$B$8+((F506-Calc!F23)+(F505-Calc!F22)),100)/100)+M492*(MIN(Inputs!$B$8+((F506-Calc!F23)+(F505-Calc!F22)),100)/100)</f>
        <v/>
      </c>
      <c r="O492">
        <f>IF(C492,H492*N492*IF(AND(Inputs!$B$4&lt;&gt;"pvp",Inputs!$B$35&gt;0),((Skills!F9*((S492-1)*IF(Skills!G9&gt;0,Skills!H9/Skills!G9,1)+IF(Skills!G9&gt;0,MIN(Skills!H9,MAX(0,Inputs!$B$35-((S492-1)*IF(Inputs!$B$4="pvp",15,MAX(0.1,Skills!D9-IF(Skills!E9=TRUE,Inputs!$B$31,0))))))/Skills!G9,1)))/Inputs!$B$35),G492*V492)*IF(Inputs!$B$4="pvp",1,(1-Summary!$B$48)*(1)+Summary!$B$48*(MIN(Skills!Q9,Inputs!$B$37))),0)</f>
        <v/>
      </c>
      <c r="P492">
        <f>IF(B521=0,0,O492/B521)</f>
        <v/>
      </c>
      <c r="S492">
        <f>IF(AND(Inputs!$B$4&lt;&gt;"pvp",Inputs!$B$35&gt;0),(INT(Inputs!$B$35/IF(Inputs!$B$4="pvp",15,MAX(0.1,Skills!D9-IF(Skills!E9=TRUE,Inputs!$B$31,0))))+1),0)</f>
        <v/>
      </c>
      <c r="V492">
        <f>IFERROR(1/IF(Inputs!$B$4="pvp",15,MAX(0.1,Skills!D9-IF(Skills!E9=TRUE,Inputs!$B$31,0))),0)</f>
        <v/>
      </c>
    </row>
    <row r="493">
      <c r="A493">
        <f>Skills!A10</f>
        <v/>
      </c>
      <c r="B493">
        <f>Skills!B10</f>
        <v/>
      </c>
      <c r="C493">
        <f>Inputs!$B$3&gt;=66</f>
        <v/>
      </c>
      <c r="D493">
        <f>IF(Skills!C10=1,60+Inputs!$B$24+Inputs!$B$28,IF(Skills!C10=2,90+Inputs!$B$25+Inputs!$B$28,IF(Skills!C10=3,120+Inputs!$B$26+Inputs!$B$28,MAX(0,(Inputs!$B$3-100)*3)+Inputs!$B$27+Inputs!$B$28)))</f>
        <v/>
      </c>
      <c r="E493">
        <f>INDEX(FactorTable!$B$2:$Y$301, MATCH(ROUND(MIN(300,MAX(1,D493)),0), FactorTable!$A$2:$A$301,0), Skills!L10+1)</f>
        <v/>
      </c>
      <c r="F493" t="n">
        <v>0</v>
      </c>
      <c r="G493">
        <f>Calc!G10</f>
        <v/>
      </c>
      <c r="H493">
        <f>Calc!H10</f>
        <v/>
      </c>
      <c r="I493">
        <f>IF(Skills!T10&lt;&gt;"",1+(Skills!T10/10)*($Z$3/1000)/100,1)</f>
        <v/>
      </c>
      <c r="J493" t="inlineStr"/>
      <c r="K493" t="inlineStr"/>
      <c r="L493" t="inlineStr"/>
      <c r="M493" t="inlineStr"/>
      <c r="N493" t="inlineStr"/>
      <c r="O493" t="n">
        <v>0</v>
      </c>
      <c r="P493">
        <f>IF(B521=0,0,O493/B521)</f>
        <v/>
      </c>
      <c r="S493">
        <f>IF(AND(Inputs!$B$4&lt;&gt;"pvp",Inputs!$B$35&gt;0),(INT(Inputs!$B$35/IF(Inputs!$B$4="pvp",15,MAX(0.1,Skills!D10-IF(Skills!E10=TRUE,Inputs!$B$31,0))))+1),0)</f>
        <v/>
      </c>
      <c r="V493">
        <f>IFERROR(1/IF(Inputs!$B$4="pvp",15,MAX(0.1,Skills!D10-IF(Skills!E10=TRUE,Inputs!$B$31,0))),0)</f>
        <v/>
      </c>
    </row>
    <row r="494">
      <c r="A494">
        <f>Skills!A11</f>
        <v/>
      </c>
      <c r="B494">
        <f>Skills!B11</f>
        <v/>
      </c>
      <c r="C494">
        <f>Inputs!$B$3&gt;=69</f>
        <v/>
      </c>
      <c r="D494">
        <f>IF(Skills!C11=1,60+Inputs!$B$24+Inputs!$B$28,IF(Skills!C11=2,90+Inputs!$B$25+Inputs!$B$28,IF(Skills!C11=3,120+Inputs!$B$26+Inputs!$B$28,MAX(0,(Inputs!$B$3-100)*3)+Inputs!$B$27+Inputs!$B$28)))</f>
        <v/>
      </c>
      <c r="E494">
        <f>INDEX(FactorTable!$B$2:$Y$301, MATCH(ROUND(MIN(300,MAX(1,D494)),0), FactorTable!$A$2:$A$301,0), Skills!L11+1)</f>
        <v/>
      </c>
      <c r="F494">
        <f>IF(Skills!M11=TRUE,(Skills!K11/10)*(E494/1000),Skills!K11/10)+Skills!N11</f>
        <v/>
      </c>
      <c r="G494">
        <f>Calc!G11</f>
        <v/>
      </c>
      <c r="H494">
        <f>Calc!H11</f>
        <v/>
      </c>
      <c r="I494">
        <f>IF(Skills!T11&lt;&gt;"",1+(Skills!T11/10)*($Z$3/1000)/100,1)</f>
        <v/>
      </c>
      <c r="J494" t="inlineStr"/>
      <c r="K494" t="inlineStr"/>
      <c r="L494" t="inlineStr"/>
      <c r="M494" t="inlineStr"/>
      <c r="N494" t="inlineStr"/>
      <c r="O494" t="n">
        <v>0</v>
      </c>
      <c r="P494">
        <f>IF(B521=0,0,O494/B521)</f>
        <v/>
      </c>
      <c r="S494">
        <f>IF(AND(Inputs!$B$4&lt;&gt;"pvp",Inputs!$B$35&gt;0),(INT(Inputs!$B$35/IF(Inputs!$B$4="pvp",15,MAX(0.1,Skills!D11-IF(Skills!E11=TRUE,Inputs!$B$31,0))))+1),0)</f>
        <v/>
      </c>
      <c r="V494">
        <f>IFERROR(1/IF(Inputs!$B$4="pvp",15,MAX(0.1,Skills!D11-IF(Skills!E11=TRUE,Inputs!$B$31,0))),0)</f>
        <v/>
      </c>
    </row>
    <row r="495">
      <c r="A495">
        <f>Skills!A12</f>
        <v/>
      </c>
      <c r="B495">
        <f>Skills!B12</f>
        <v/>
      </c>
      <c r="C495">
        <f>Inputs!$B$3&gt;=72</f>
        <v/>
      </c>
      <c r="D495">
        <f>IF(Skills!C12=1,60+Inputs!$B$24+Inputs!$B$28,IF(Skills!C12=2,90+Inputs!$B$25+Inputs!$B$28,IF(Skills!C12=3,120+Inputs!$B$26+Inputs!$B$28,MAX(0,(Inputs!$B$3-100)*3)+Inputs!$B$27+Inputs!$B$28)))</f>
        <v/>
      </c>
      <c r="E495">
        <f>INDEX(FactorTable!$B$2:$Y$301, MATCH(ROUND(MIN(300,MAX(1,D495)),0), FactorTable!$A$2:$A$301,0), Skills!L12+1)</f>
        <v/>
      </c>
      <c r="F495">
        <f>IF(Skills!M12=TRUE,(Skills!K12/10)*(E495/1000),Skills!K12/10)+Skills!N12</f>
        <v/>
      </c>
      <c r="G495">
        <f>Calc!G12</f>
        <v/>
      </c>
      <c r="H495">
        <f>Calc!H12</f>
        <v/>
      </c>
      <c r="I495">
        <f>IF(Skills!T12&lt;&gt;"",1+(Skills!T12/10)*($Z$3/1000)/100,1)</f>
        <v/>
      </c>
      <c r="J495" t="inlineStr"/>
      <c r="K495" t="inlineStr"/>
      <c r="L495" t="inlineStr"/>
      <c r="M495" t="inlineStr"/>
      <c r="N495" t="inlineStr"/>
      <c r="O495" t="n">
        <v>0</v>
      </c>
      <c r="P495">
        <f>IF(B521=0,0,O495/B521)</f>
        <v/>
      </c>
      <c r="S495">
        <f>IF(AND(Inputs!$B$4&lt;&gt;"pvp",Inputs!$B$35&gt;0),(INT(Inputs!$B$35/IF(Inputs!$B$4="pvp",15,MAX(0.1,Skills!D12-IF(Skills!E12=TRUE,Inputs!$B$31,0))))+1),0)</f>
        <v/>
      </c>
      <c r="V495">
        <f>IFERROR(1/IF(Inputs!$B$4="pvp",15,MAX(0.1,Skills!D12-IF(Skills!E12=TRUE,Inputs!$B$31,0))),0)</f>
        <v/>
      </c>
    </row>
    <row r="496">
      <c r="A496">
        <f>Skills!A13</f>
        <v/>
      </c>
      <c r="B496">
        <f>Skills!B13</f>
        <v/>
      </c>
      <c r="C496">
        <f>Inputs!$B$3&gt;=107</f>
        <v/>
      </c>
      <c r="D496">
        <f>IF(Skills!C13=1,60+Inputs!$B$24+Inputs!$B$28,IF(Skills!C13=2,90+Inputs!$B$25+Inputs!$B$28,IF(Skills!C13=3,120+Inputs!$B$26+Inputs!$B$28,MAX(0,(Inputs!$B$3-100)*3)+Inputs!$B$27+Inputs!$B$28)))</f>
        <v/>
      </c>
      <c r="E496">
        <f>INDEX(FactorTable!$B$2:$Y$301, MATCH(ROUND(MIN(300,MAX(1,D496)),0), FactorTable!$A$2:$A$301,0), Skills!L13+1)</f>
        <v/>
      </c>
      <c r="F496">
        <f>IF(Skills!M13=TRUE,(Skills!K13/10)*(E496/1000),Skills!K13/10)+Skills!N13</f>
        <v/>
      </c>
      <c r="G496">
        <f>Calc!G13</f>
        <v/>
      </c>
      <c r="H496">
        <f>Calc!H13</f>
        <v/>
      </c>
      <c r="I496">
        <f>IF(Skills!T13&lt;&gt;"",1+(Skills!T13/10)*($Z$3/1000)/100,1)</f>
        <v/>
      </c>
      <c r="J496" t="inlineStr"/>
      <c r="K496" t="inlineStr"/>
      <c r="L496" t="inlineStr"/>
      <c r="M496" t="inlineStr"/>
      <c r="N496" t="inlineStr"/>
      <c r="O496" t="n">
        <v>0</v>
      </c>
      <c r="P496">
        <f>IF(B521=0,0,O496/B521)</f>
        <v/>
      </c>
      <c r="S496">
        <f>IF(AND(Inputs!$B$4&lt;&gt;"pvp",Inputs!$B$35&gt;0),(INT(Inputs!$B$35/IF(Inputs!$B$4="pvp",15,MAX(0.1,Skills!D13-IF(Skills!E13=TRUE,Inputs!$B$31,0))))+1),0)</f>
        <v/>
      </c>
      <c r="V496">
        <f>IFERROR(1/IF(Inputs!$B$4="pvp",15,MAX(0.1,Skills!D13-IF(Skills!E13=TRUE,Inputs!$B$31,0))),0)</f>
        <v/>
      </c>
    </row>
    <row r="497">
      <c r="A497">
        <f>Skills!A14</f>
        <v/>
      </c>
      <c r="B497">
        <f>Skills!B14</f>
        <v/>
      </c>
      <c r="C497">
        <f>Inputs!$B$3&gt;=63</f>
        <v/>
      </c>
      <c r="D497">
        <f>IF(Skills!C14=1,60+Inputs!$B$24+Inputs!$B$28,IF(Skills!C14=2,90+Inputs!$B$25+Inputs!$B$28,IF(Skills!C14=3,120+Inputs!$B$26+Inputs!$B$28,MAX(0,(Inputs!$B$3-100)*3)+Inputs!$B$27+Inputs!$B$28)))</f>
        <v/>
      </c>
      <c r="E497">
        <f>INDEX(FactorTable!$B$2:$Y$301, MATCH(ROUND(MIN(300,MAX(1,D497)),0), FactorTable!$A$2:$A$301,0), Skills!L14+1)</f>
        <v/>
      </c>
      <c r="F497">
        <f>IF(Skills!M14=TRUE,(Skills!K14/10)*(E497/1000),Skills!K14/10)+Skills!N14</f>
        <v/>
      </c>
      <c r="G497">
        <f>Calc!G14</f>
        <v/>
      </c>
      <c r="H497">
        <f>Calc!H14</f>
        <v/>
      </c>
      <c r="I497">
        <f>IF(Skills!T14&lt;&gt;"",1+(Skills!T14/10)*($Z$3/1000)/100,1)</f>
        <v/>
      </c>
      <c r="J497">
        <f>((Inputs!$B$5*(1+Inputs!$B$6/100))+((Inputs!$B$11*(1+Inputs!$B$12/100))-(Inputs!$B$11*(1+Inputs!$B$12/100)))*(1+Inputs!$B$6/100))*(F497/100)</f>
        <v/>
      </c>
      <c r="K497">
        <f>J497*(1+((Inputs!$B$11*(1+Inputs!$B$12/100))*0.01+Inputs!$B$13*0.0025)/100)*(1+(Inputs!$B$14+B514)/100)*(1+IF(Inputs!$B$4="pvp",0,(1-Summary!$B$48)*(Inputs!$B$19+Skills!O14+B512)+Summary!$B$48*(Inputs!$B$20+Skills!P14+B513))/100)*(1+Inputs!$B$15/100)*(5000/(6000+Inputs!$B$7*(1-Inputs!$B$18/100)))*(1+Inputs!$B$23/100)*(1+IF(C500=TRUE,F500,0)/100)*(1+IF(C502=TRUE,F502,0)/100)*(1+IF(Skills!A14="TRIUMPH_FEATHER",IF(C498=TRUE,F498,0),0)/100)*(1+IF(C509=TRUE,F509,0)/100)^5*(1+(IF(Skills!A14="BIG_BANG",Inputs!$B$16,Inputs!$B$17))/100)*(B511*I497)</f>
        <v/>
      </c>
      <c r="L497">
        <f>K497*(MIN(Inputs!$B$21+(F504-Calc!F21),Inputs!$B$22)/100+Inputs!$B$22/100)/2</f>
        <v/>
      </c>
      <c r="M497">
        <f>L497*(1+(Inputs!$B$9+B515+(F507-Calc!F24))/100)</f>
        <v/>
      </c>
      <c r="N497">
        <f>L497*(1-MIN(Inputs!$B$8+((F506-Calc!F23)+(F505-Calc!F22)),100)/100)+M497*(MIN(Inputs!$B$8+((F506-Calc!F23)+(F505-Calc!F22)),100)/100)</f>
        <v/>
      </c>
      <c r="O497">
        <f>IF(C497,Skills!F14*N497*((IF(Inputs!$B$3&gt;=78,25,15)/100*B517*10)/(1+IF(Inputs!$B$3&gt;=78,25,15)/100*B517*10))*(Skills!I14/100*B517)/(1+Skills!G14*Skills!I14/100*B517)*IF(Inputs!$B$4="pvp",1,(1-Summary!$B$48)*(1)+Summary!$B$48*(MIN(Skills!Q14,Inputs!$B$37))),0)</f>
        <v/>
      </c>
      <c r="P497">
        <f>IF(B521=0,0,O497/B521)</f>
        <v/>
      </c>
      <c r="S497" t="n">
        <v>0</v>
      </c>
      <c r="V497">
        <f>IFERROR(1/IF(Inputs!$B$4="pvp",15,MAX(0.1,Skills!D14-IF(Skills!E14=TRUE,Inputs!$B$31,0))),0)</f>
        <v/>
      </c>
    </row>
    <row r="498">
      <c r="A498">
        <f>Skills!A15</f>
        <v/>
      </c>
      <c r="B498">
        <f>Skills!B15</f>
        <v/>
      </c>
      <c r="C498">
        <f>Inputs!$B$3&gt;=100</f>
        <v/>
      </c>
      <c r="D498">
        <f>IF(Skills!C15=1,60+Inputs!$B$24+Inputs!$B$28,IF(Skills!C15=2,90+Inputs!$B$25+Inputs!$B$28,IF(Skills!C15=3,120+Inputs!$B$26+Inputs!$B$28,MAX(0,(Inputs!$B$3-100)*3)+Inputs!$B$27+Inputs!$B$28)))</f>
        <v/>
      </c>
      <c r="E498">
        <f>INDEX(FactorTable!$B$2:$Y$301, MATCH(ROUND(MIN(300,MAX(1,D498)),0), FactorTable!$A$2:$A$301,0), Skills!L15+1)</f>
        <v/>
      </c>
      <c r="F498">
        <f>IF(Skills!M15=TRUE,(Skills!K15/10)*(E498/1000),Skills!K15/10)+Skills!N15</f>
        <v/>
      </c>
      <c r="G498">
        <f>Calc!G15</f>
        <v/>
      </c>
      <c r="H498">
        <f>Calc!H15</f>
        <v/>
      </c>
      <c r="I498">
        <f>IF(Skills!T15&lt;&gt;"",1+(Skills!T15/10)*($Z$3/1000)/100,1)</f>
        <v/>
      </c>
      <c r="J498" t="inlineStr"/>
      <c r="K498" t="inlineStr"/>
      <c r="L498" t="inlineStr"/>
      <c r="M498" t="inlineStr"/>
      <c r="N498" t="inlineStr"/>
      <c r="O498" t="n">
        <v>0</v>
      </c>
      <c r="P498">
        <f>IF(B521=0,0,O498/B521)</f>
        <v/>
      </c>
      <c r="S498" t="n">
        <v>0</v>
      </c>
      <c r="V498">
        <f>IFERROR(1/IF(Inputs!$B$4="pvp",15,MAX(0.1,Skills!D15-IF(Skills!E15=TRUE,Inputs!$B$31,0))),0)</f>
        <v/>
      </c>
    </row>
    <row r="499">
      <c r="A499">
        <f>Skills!A16</f>
        <v/>
      </c>
      <c r="B499">
        <f>Skills!B16</f>
        <v/>
      </c>
      <c r="C499">
        <f>Inputs!$B$3&gt;=49</f>
        <v/>
      </c>
      <c r="D499">
        <f>IF(Skills!C16=1,60+Inputs!$B$24+Inputs!$B$28,IF(Skills!C16=2,90+Inputs!$B$25+Inputs!$B$28,IF(Skills!C16=3,120+Inputs!$B$26+Inputs!$B$28,MAX(0,(Inputs!$B$3-100)*3)+Inputs!$B$27+Inputs!$B$28)))</f>
        <v/>
      </c>
      <c r="E499">
        <f>INDEX(FactorTable!$B$2:$Y$301, MATCH(ROUND(MIN(300,MAX(1,D499)),0), FactorTable!$A$2:$A$301,0), Skills!L16+1)</f>
        <v/>
      </c>
      <c r="F499">
        <f>IF(Skills!M16=TRUE,(Skills!K16/10)*(E499/1000),Skills!K16/10)+Skills!N16</f>
        <v/>
      </c>
      <c r="G499">
        <f>Calc!G16</f>
        <v/>
      </c>
      <c r="H499">
        <f>Calc!H16</f>
        <v/>
      </c>
      <c r="I499">
        <f>IF(Skills!T16&lt;&gt;"",1+(Skills!T16/10)*($Z$3/1000)/100,1)</f>
        <v/>
      </c>
      <c r="J499" t="inlineStr"/>
      <c r="K499" t="inlineStr"/>
      <c r="L499" t="inlineStr"/>
      <c r="M499" t="inlineStr"/>
      <c r="N499" t="inlineStr"/>
      <c r="O499" t="n">
        <v>0</v>
      </c>
      <c r="P499">
        <f>IF(B521=0,0,O499/B521)</f>
        <v/>
      </c>
      <c r="S499" t="n">
        <v>0</v>
      </c>
      <c r="V499">
        <f>IFERROR(1/IF(Inputs!$B$4="pvp",15,MAX(0.1,Skills!D16-IF(Skills!E16=TRUE,Inputs!$B$31,0))),0)</f>
        <v/>
      </c>
    </row>
    <row r="500">
      <c r="A500">
        <f>Skills!A17</f>
        <v/>
      </c>
      <c r="B500">
        <f>Skills!B17</f>
        <v/>
      </c>
      <c r="C500">
        <f>Inputs!$B$3&gt;=75</f>
        <v/>
      </c>
      <c r="D500">
        <f>IF(Skills!C17=1,60+Inputs!$B$24+Inputs!$B$28,IF(Skills!C17=2,90+Inputs!$B$25+Inputs!$B$28,IF(Skills!C17=3,120+Inputs!$B$26+Inputs!$B$28,MAX(0,(Inputs!$B$3-100)*3)+Inputs!$B$27+Inputs!$B$28)))</f>
        <v/>
      </c>
      <c r="E500">
        <f>INDEX(FactorTable!$B$2:$Y$301, MATCH(ROUND(MIN(300,MAX(1,D500)),0), FactorTable!$A$2:$A$301,0), Skills!L17+1)</f>
        <v/>
      </c>
      <c r="F500">
        <f>IF(Skills!M17=TRUE,(Skills!K17/10)*(E500/1000),Skills!K17/10)+Skills!N17</f>
        <v/>
      </c>
      <c r="G500">
        <f>Calc!G17</f>
        <v/>
      </c>
      <c r="H500">
        <f>Calc!H17</f>
        <v/>
      </c>
      <c r="I500">
        <f>IF(Skills!T17&lt;&gt;"",1+(Skills!T17/10)*($Z$3/1000)/100,1)</f>
        <v/>
      </c>
      <c r="J500" t="inlineStr"/>
      <c r="K500" t="inlineStr"/>
      <c r="L500" t="inlineStr"/>
      <c r="M500" t="inlineStr"/>
      <c r="N500" t="inlineStr"/>
      <c r="O500" t="n">
        <v>0</v>
      </c>
      <c r="P500">
        <f>IF(B521=0,0,O500/B521)</f>
        <v/>
      </c>
      <c r="S500" t="n">
        <v>0</v>
      </c>
      <c r="V500">
        <f>IFERROR(1/IF(Inputs!$B$4="pvp",15,MAX(0.1,Skills!D17-IF(Skills!E17=TRUE,Inputs!$B$31,0))),0)</f>
        <v/>
      </c>
    </row>
    <row r="501">
      <c r="A501">
        <f>Skills!A18</f>
        <v/>
      </c>
      <c r="B501">
        <f>Skills!B18</f>
        <v/>
      </c>
      <c r="C501">
        <f>Inputs!$B$3&gt;=110</f>
        <v/>
      </c>
      <c r="D501">
        <f>IF(Skills!C18=1,60+Inputs!$B$24+Inputs!$B$28,IF(Skills!C18=2,90+Inputs!$B$25+Inputs!$B$28,IF(Skills!C18=3,120+Inputs!$B$26+Inputs!$B$28,MAX(0,(Inputs!$B$3-100)*3)+Inputs!$B$27+Inputs!$B$28)))</f>
        <v/>
      </c>
      <c r="E501">
        <f>INDEX(FactorTable!$B$2:$Y$301, MATCH(ROUND(MIN(300,MAX(1,D501)),0), FactorTable!$A$2:$A$301,0), Skills!L18+1)</f>
        <v/>
      </c>
      <c r="F501">
        <f>(Skills!K18/10)*(E501/1000)*64/45+Skills!N18</f>
        <v/>
      </c>
      <c r="G501">
        <f>Calc!G18</f>
        <v/>
      </c>
      <c r="H501">
        <f>Calc!H18</f>
        <v/>
      </c>
      <c r="I501">
        <f>IF(Skills!T18&lt;&gt;"",1+(Skills!T18/10)*($Z$3/1000)/100,1)</f>
        <v/>
      </c>
      <c r="J501" t="inlineStr"/>
      <c r="K501" t="inlineStr"/>
      <c r="L501" t="inlineStr"/>
      <c r="M501" t="inlineStr"/>
      <c r="N501" t="inlineStr"/>
      <c r="O501" t="n">
        <v>0</v>
      </c>
      <c r="P501">
        <f>IF(B521=0,0,O501/B521)</f>
        <v/>
      </c>
      <c r="S501">
        <f>IF(AND(Inputs!$B$4&lt;&gt;"pvp",Inputs!$B$35&gt;0),(INT(Inputs!$B$35/IF(Inputs!$B$4="pvp",15,MAX(0.1,Skills!D18-IF(Skills!E18=TRUE,Inputs!$B$31,0))))+1),0)</f>
        <v/>
      </c>
      <c r="V501">
        <f>IFERROR(1/IF(Inputs!$B$4="pvp",15,MAX(0.1,Skills!D18-IF(Skills!E18=TRUE,Inputs!$B$31,0))),0)</f>
        <v/>
      </c>
    </row>
    <row r="502">
      <c r="A502">
        <f>Skills!A19</f>
        <v/>
      </c>
      <c r="B502">
        <f>Skills!B19</f>
        <v/>
      </c>
      <c r="C502">
        <f>Inputs!$B$3&gt;=125</f>
        <v/>
      </c>
      <c r="D502">
        <f>IF(Skills!C19=1,60+Inputs!$B$24+Inputs!$B$28,IF(Skills!C19=2,90+Inputs!$B$25+Inputs!$B$28,IF(Skills!C19=3,120+Inputs!$B$26+Inputs!$B$28,MAX(0,(Inputs!$B$3-100)*3)+Inputs!$B$27+Inputs!$B$28)))</f>
        <v/>
      </c>
      <c r="E502">
        <f>INDEX(FactorTable!$B$2:$Y$301, MATCH(ROUND(MIN(300,MAX(1,D502)),0), FactorTable!$A$2:$A$301,0), Skills!L19+1)</f>
        <v/>
      </c>
      <c r="F502">
        <f>IF(Skills!M19=TRUE,(Skills!K19/10)*(E502/1000),Skills!K19/10)+Skills!N19</f>
        <v/>
      </c>
      <c r="G502">
        <f>Calc!G19</f>
        <v/>
      </c>
      <c r="H502">
        <f>Calc!H19</f>
        <v/>
      </c>
      <c r="I502">
        <f>IF(Skills!T19&lt;&gt;"",1+(Skills!T19/10)*($Z$3/1000)/100,1)</f>
        <v/>
      </c>
      <c r="J502" t="inlineStr"/>
      <c r="K502" t="inlineStr"/>
      <c r="L502" t="inlineStr"/>
      <c r="M502" t="inlineStr"/>
      <c r="N502" t="inlineStr"/>
      <c r="O502" t="n">
        <v>0</v>
      </c>
      <c r="P502">
        <f>IF(B521=0,0,O502/B521)</f>
        <v/>
      </c>
      <c r="S502" t="n">
        <v>0</v>
      </c>
      <c r="V502">
        <f>IFERROR(1/IF(Inputs!$B$4="pvp",15,MAX(0.1,Skills!D19-IF(Skills!E19=TRUE,Inputs!$B$31,0))),0)</f>
        <v/>
      </c>
    </row>
    <row r="503">
      <c r="A503">
        <f>Skills!A20</f>
        <v/>
      </c>
      <c r="B503">
        <f>Skills!B20</f>
        <v/>
      </c>
      <c r="C503">
        <f>Inputs!$B$3&gt;=33</f>
        <v/>
      </c>
      <c r="D503">
        <f>IF(Skills!C20=1,60+Inputs!$B$24+Inputs!$B$28,IF(Skills!C20=2,90+Inputs!$B$25+Inputs!$B$28,IF(Skills!C20=3,120+Inputs!$B$26+Inputs!$B$28,MAX(0,(Inputs!$B$3-100)*3)+Inputs!$B$27+Inputs!$B$28)))</f>
        <v/>
      </c>
      <c r="E503">
        <f>INDEX(FactorTable!$B$2:$Y$301, MATCH(ROUND(MIN(300,MAX(1,D503)),0), FactorTable!$A$2:$A$301,0), Skills!L20+1)</f>
        <v/>
      </c>
      <c r="F503">
        <f>IF(Skills!M20=TRUE,(Skills!K20/10)*(E503/1000),Skills!K20/10)+Skills!N20</f>
        <v/>
      </c>
      <c r="G503">
        <f>Calc!G20</f>
        <v/>
      </c>
      <c r="H503">
        <f>Calc!H20</f>
        <v/>
      </c>
      <c r="I503">
        <f>IF(Skills!T20&lt;&gt;"",1+(Skills!T20/10)*($Z$3/1000)/100,1)</f>
        <v/>
      </c>
      <c r="J503" t="inlineStr"/>
      <c r="K503" t="inlineStr"/>
      <c r="L503" t="inlineStr"/>
      <c r="M503" t="inlineStr"/>
      <c r="N503" t="inlineStr"/>
      <c r="O503" t="n">
        <v>0</v>
      </c>
      <c r="P503">
        <f>IF(B521=0,0,O503/B521)</f>
        <v/>
      </c>
      <c r="S503" t="n">
        <v>0</v>
      </c>
      <c r="V503">
        <f>IFERROR(1/IF(Inputs!$B$4="pvp",15,MAX(0.1,Skills!D20-IF(Skills!E20=TRUE,Inputs!$B$31,0))),0)</f>
        <v/>
      </c>
    </row>
    <row r="504">
      <c r="A504">
        <f>Skills!A21</f>
        <v/>
      </c>
      <c r="B504">
        <f>Skills!B21</f>
        <v/>
      </c>
      <c r="C504">
        <f>Inputs!$B$3&gt;=43</f>
        <v/>
      </c>
      <c r="D504">
        <f>IF(Skills!C21=1,60+Inputs!$B$24+Inputs!$B$28,IF(Skills!C21=2,90+Inputs!$B$25+Inputs!$B$28,IF(Skills!C21=3,120+Inputs!$B$26+Inputs!$B$28,MAX(0,(Inputs!$B$3-100)*3)+Inputs!$B$27+Inputs!$B$28)))</f>
        <v/>
      </c>
      <c r="E504">
        <f>INDEX(FactorTable!$B$2:$Y$301, MATCH(ROUND(MIN(300,MAX(1,D504)),0), FactorTable!$A$2:$A$301,0), Skills!L21+1)</f>
        <v/>
      </c>
      <c r="F504">
        <f>IF(Skills!M21=TRUE,(Skills!K21/10)*(E504/1000),Skills!K21/10)+Skills!N21</f>
        <v/>
      </c>
      <c r="G504">
        <f>Calc!G21</f>
        <v/>
      </c>
      <c r="H504">
        <f>Calc!H21</f>
        <v/>
      </c>
      <c r="I504">
        <f>IF(Skills!T21&lt;&gt;"",1+(Skills!T21/10)*($Z$3/1000)/100,1)</f>
        <v/>
      </c>
      <c r="J504" t="inlineStr"/>
      <c r="K504" t="inlineStr"/>
      <c r="L504" t="inlineStr"/>
      <c r="M504" t="inlineStr"/>
      <c r="N504" t="inlineStr"/>
      <c r="O504" t="n">
        <v>0</v>
      </c>
      <c r="P504">
        <f>IF(B521=0,0,O504/B521)</f>
        <v/>
      </c>
      <c r="S504" t="n">
        <v>0</v>
      </c>
      <c r="V504">
        <f>IFERROR(1/IF(Inputs!$B$4="pvp",15,MAX(0.1,Skills!D21-IF(Skills!E21=TRUE,Inputs!$B$31,0))),0)</f>
        <v/>
      </c>
    </row>
    <row r="505">
      <c r="A505">
        <f>Skills!A22</f>
        <v/>
      </c>
      <c r="B505">
        <f>Skills!B22</f>
        <v/>
      </c>
      <c r="C505">
        <f>Inputs!$B$3&gt;=50</f>
        <v/>
      </c>
      <c r="D505">
        <f>IF(Skills!C22=1,60+Inputs!$B$24+Inputs!$B$28,IF(Skills!C22=2,90+Inputs!$B$25+Inputs!$B$28,IF(Skills!C22=3,120+Inputs!$B$26+Inputs!$B$28,MAX(0,(Inputs!$B$3-100)*3)+Inputs!$B$27+Inputs!$B$28)))</f>
        <v/>
      </c>
      <c r="E505">
        <f>INDEX(FactorTable!$B$2:$Y$301, MATCH(ROUND(MIN(300,MAX(1,D505)),0), FactorTable!$A$2:$A$301,0), Skills!L22+1)</f>
        <v/>
      </c>
      <c r="F505">
        <f>IF(Skills!M22=TRUE,(Skills!K22/10)*(E505/1000),Skills!K22/10)+Skills!N22</f>
        <v/>
      </c>
      <c r="G505">
        <f>Calc!G22</f>
        <v/>
      </c>
      <c r="H505">
        <f>Calc!H22</f>
        <v/>
      </c>
      <c r="I505">
        <f>IF(Skills!T22&lt;&gt;"",1+(Skills!T22/10)*($Z$3/1000)/100,1)</f>
        <v/>
      </c>
      <c r="J505" t="inlineStr"/>
      <c r="K505" t="inlineStr"/>
      <c r="L505" t="inlineStr"/>
      <c r="M505" t="inlineStr"/>
      <c r="N505" t="inlineStr"/>
      <c r="O505" t="n">
        <v>0</v>
      </c>
      <c r="P505">
        <f>IF(B521=0,0,O505/B521)</f>
        <v/>
      </c>
      <c r="S505" t="n">
        <v>0</v>
      </c>
      <c r="V505">
        <f>IFERROR(1/IF(Inputs!$B$4="pvp",15,MAX(0.1,Skills!D22-IF(Skills!E22=TRUE,Inputs!$B$31,0))),0)</f>
        <v/>
      </c>
    </row>
    <row r="506">
      <c r="A506">
        <f>Skills!A23</f>
        <v/>
      </c>
      <c r="B506">
        <f>Skills!B23</f>
        <v/>
      </c>
      <c r="C506">
        <f>Inputs!$B$3&gt;=74</f>
        <v/>
      </c>
      <c r="D506">
        <f>IF(Skills!C23=1,60+Inputs!$B$24+Inputs!$B$28,IF(Skills!C23=2,90+Inputs!$B$25+Inputs!$B$28,IF(Skills!C23=3,120+Inputs!$B$26+Inputs!$B$28,MAX(0,(Inputs!$B$3-100)*3)+Inputs!$B$27+Inputs!$B$28)))</f>
        <v/>
      </c>
      <c r="E506">
        <f>INDEX(FactorTable!$B$2:$Y$301, MATCH(ROUND(MIN(300,MAX(1,D506)),0), FactorTable!$A$2:$A$301,0), Skills!L23+1)</f>
        <v/>
      </c>
      <c r="F506">
        <f>IF(Skills!M23=TRUE,(Skills!K23/10)*(E506/1000),Skills!K23/10)+Skills!N23</f>
        <v/>
      </c>
      <c r="G506">
        <f>Calc!G23</f>
        <v/>
      </c>
      <c r="H506">
        <f>Calc!H23</f>
        <v/>
      </c>
      <c r="I506">
        <f>IF(Skills!T23&lt;&gt;"",1+(Skills!T23/10)*($Z$3/1000)/100,1)</f>
        <v/>
      </c>
      <c r="J506" t="inlineStr"/>
      <c r="K506" t="inlineStr"/>
      <c r="L506" t="inlineStr"/>
      <c r="M506" t="inlineStr"/>
      <c r="N506" t="inlineStr"/>
      <c r="O506" t="n">
        <v>0</v>
      </c>
      <c r="P506">
        <f>IF(B521=0,0,O506/B521)</f>
        <v/>
      </c>
      <c r="S506" t="n">
        <v>0</v>
      </c>
      <c r="V506">
        <f>IFERROR(1/IF(Inputs!$B$4="pvp",15,MAX(0.1,Skills!D23-IF(Skills!E23=TRUE,Inputs!$B$31,0))),0)</f>
        <v/>
      </c>
    </row>
    <row r="507">
      <c r="A507">
        <f>Skills!A24</f>
        <v/>
      </c>
      <c r="B507">
        <f>Skills!B24</f>
        <v/>
      </c>
      <c r="C507">
        <f>Inputs!$B$3&gt;=74</f>
        <v/>
      </c>
      <c r="D507">
        <f>IF(Skills!C24=1,60+Inputs!$B$24+Inputs!$B$28,IF(Skills!C24=2,90+Inputs!$B$25+Inputs!$B$28,IF(Skills!C24=3,120+Inputs!$B$26+Inputs!$B$28,MAX(0,(Inputs!$B$3-100)*3)+Inputs!$B$27+Inputs!$B$28)))</f>
        <v/>
      </c>
      <c r="E507">
        <f>INDEX(FactorTable!$B$2:$Y$301, MATCH(ROUND(MIN(300,MAX(1,D507)),0), FactorTable!$A$2:$A$301,0), Skills!L24+1)</f>
        <v/>
      </c>
      <c r="F507">
        <f>IF(Skills!M24=TRUE,(Skills!K24/10)*(E507/1000),Skills!K24/10)+Skills!N24</f>
        <v/>
      </c>
      <c r="G507">
        <f>Calc!G24</f>
        <v/>
      </c>
      <c r="H507">
        <f>Calc!H24</f>
        <v/>
      </c>
      <c r="I507">
        <f>IF(Skills!T24&lt;&gt;"",1+(Skills!T24/10)*($Z$3/1000)/100,1)</f>
        <v/>
      </c>
      <c r="J507" t="inlineStr"/>
      <c r="K507" t="inlineStr"/>
      <c r="L507" t="inlineStr"/>
      <c r="M507" t="inlineStr"/>
      <c r="N507" t="inlineStr"/>
      <c r="O507" t="n">
        <v>0</v>
      </c>
      <c r="P507">
        <f>IF(B521=0,0,O507/B521)</f>
        <v/>
      </c>
      <c r="S507" t="n">
        <v>0</v>
      </c>
      <c r="V507">
        <f>IFERROR(1/IF(Inputs!$B$4="pvp",15,MAX(0.1,Skills!D24-IF(Skills!E24=TRUE,Inputs!$B$31,0))),0)</f>
        <v/>
      </c>
    </row>
    <row r="508">
      <c r="A508">
        <f>Skills!A25</f>
        <v/>
      </c>
      <c r="B508">
        <f>Skills!B25</f>
        <v/>
      </c>
      <c r="C508">
        <f>Inputs!$B$3&gt;=117</f>
        <v/>
      </c>
      <c r="D508">
        <f>IF(Skills!C25=1,60+Inputs!$B$24+Inputs!$B$28,IF(Skills!C25=2,90+Inputs!$B$25+Inputs!$B$28,IF(Skills!C25=3,120+Inputs!$B$26+Inputs!$B$28,MAX(0,(Inputs!$B$3-100)*3)+Inputs!$B$27+Inputs!$B$28)))</f>
        <v/>
      </c>
      <c r="E508">
        <f>INDEX(FactorTable!$B$2:$Y$301, MATCH(ROUND(MIN(300,MAX(1,D508)),0), FactorTable!$A$2:$A$301,0), Skills!L25+1)</f>
        <v/>
      </c>
      <c r="F508">
        <f>IF(Skills!M25=TRUE,(Skills!K25/10)*(E508/1000),Skills!K25/10)+Skills!N25</f>
        <v/>
      </c>
      <c r="G508">
        <f>Calc!G25</f>
        <v/>
      </c>
      <c r="H508">
        <f>Calc!H25</f>
        <v/>
      </c>
      <c r="I508">
        <f>IF(Skills!T25&lt;&gt;"",1+(Skills!T25/10)*($Z$3/1000)/100,1)</f>
        <v/>
      </c>
      <c r="J508" t="inlineStr"/>
      <c r="K508" t="inlineStr"/>
      <c r="L508" t="inlineStr"/>
      <c r="M508" t="inlineStr"/>
      <c r="N508" t="inlineStr"/>
      <c r="O508" t="n">
        <v>0</v>
      </c>
      <c r="P508">
        <f>IF(B521=0,0,O508/B521)</f>
        <v/>
      </c>
      <c r="S508" t="n">
        <v>0</v>
      </c>
      <c r="V508">
        <f>IFERROR(1/IF(Inputs!$B$4="pvp",15,MAX(0.1,Skills!D25-IF(Skills!E25=TRUE,Inputs!$B$31,0))),0)</f>
        <v/>
      </c>
    </row>
    <row r="509">
      <c r="A509">
        <f>Skills!A26</f>
        <v/>
      </c>
      <c r="B509">
        <f>Skills!B26</f>
        <v/>
      </c>
      <c r="C509">
        <f>Inputs!$B$3&gt;=120</f>
        <v/>
      </c>
      <c r="D509">
        <f>IF(Skills!C26=1,60+Inputs!$B$24+Inputs!$B$28,IF(Skills!C26=2,90+Inputs!$B$25+Inputs!$B$28,IF(Skills!C26=3,120+Inputs!$B$26+Inputs!$B$28,MAX(0,(Inputs!$B$3-100)*3)+Inputs!$B$27+Inputs!$B$28)))</f>
        <v/>
      </c>
      <c r="E509">
        <f>INDEX(FactorTable!$B$2:$Y$301, MATCH(ROUND(MIN(300,MAX(1,D509)),0), FactorTable!$A$2:$A$301,0), Skills!L26+1)</f>
        <v/>
      </c>
      <c r="F509">
        <f>IF(Skills!M26=TRUE,(Skills!K26/10)*(E509/1000),Skills!K26/10)+Skills!N26</f>
        <v/>
      </c>
      <c r="G509">
        <f>Calc!G26</f>
        <v/>
      </c>
      <c r="H509">
        <f>Calc!H26</f>
        <v/>
      </c>
      <c r="I509">
        <f>IF(Skills!T26&lt;&gt;"",1+(Skills!T26/10)*($Z$3/1000)/100,1)</f>
        <v/>
      </c>
      <c r="J509" t="inlineStr"/>
      <c r="K509" t="inlineStr"/>
      <c r="L509" t="inlineStr"/>
      <c r="M509" t="inlineStr"/>
      <c r="N509" t="inlineStr"/>
      <c r="O509" t="n">
        <v>0</v>
      </c>
      <c r="P509">
        <f>IF(B521=0,0,O509/B521)</f>
        <v/>
      </c>
      <c r="S509" t="n">
        <v>0</v>
      </c>
      <c r="V509">
        <f>IFERROR(1/IF(Inputs!$B$4="pvp",15,MAX(0.1,Skills!D26-IF(Skills!E26=TRUE,Inputs!$B$31,0))),0)</f>
        <v/>
      </c>
    </row>
    <row r="511">
      <c r="A511" t="inlineStr">
        <is>
          <t>Average Buff Multiplier</t>
        </is>
      </c>
      <c r="B511">
        <f>(1+(IF(C486=TRUE,F486*IF(AND(Inputs!$B$4&lt;&gt;"pvp",Inputs!$B$35&gt;0),(((S486-1)*(Skills!S3*(1+(Inputs!$B$33+IF(Inputs!$B$3&gt;=117,F508,0))/100))+MIN((Skills!S3*(1+(Inputs!$B$33+IF(Inputs!$B$3&gt;=117,F508,0))/100)),MAX(0,Inputs!$B$35-((S486-1)*Skills!D3))))/Inputs!$B$35),IF(Inputs!$B$4="pvp",MIN((Skills!S3*(1+(Inputs!$B$33+IF(Inputs!$B$3&gt;=117,F508,0))/100)),15)/15,(Skills!S3*(1+(Inputs!$B$33+IF(Inputs!$B$3&gt;=117,F508,0))/100))/Skills!D3)),0)+IF(C487=TRUE,F487*IF(AND(Inputs!$B$4&lt;&gt;"pvp",Inputs!$B$35&gt;0),(((S487-1)*(Skills!S4*(1+(Inputs!$B$33+IF(Inputs!$B$3&gt;=117,F508,0))/100))+MIN((Skills!S4*(1+(Inputs!$B$33+IF(Inputs!$B$3&gt;=117,F508,0))/100)),MAX(0,Inputs!$B$35-((S487-1)*Skills!D4))))/Inputs!$B$35),IF(Inputs!$B$4="pvp",MIN((Skills!S4*(1+(Inputs!$B$33+IF(Inputs!$B$3&gt;=117,F508,0))/100)),15)/15,(Skills!S4*(1+(Inputs!$B$33+IF(Inputs!$B$3&gt;=117,F508,0))/100))/Skills!D4)),0)+IF(C488=TRUE,F488*IF(AND(Inputs!$B$4&lt;&gt;"pvp",Inputs!$B$35&gt;0),(((S488-1)*(Skills!S5*(1+(Inputs!$B$33+IF(Inputs!$B$3&gt;=117,F508,0))/100))+MIN((Skills!S5*(1+(Inputs!$B$33+IF(Inputs!$B$3&gt;=117,F508,0))/100)),MAX(0,Inputs!$B$35-((S488-1)*Skills!D5))))/Inputs!$B$35),IF(Inputs!$B$4="pvp",MIN((Skills!S5*(1+(Inputs!$B$33+IF(Inputs!$B$3&gt;=117,F508,0))/100)),15)/15,(Skills!S5*(1+(Inputs!$B$33+IF(Inputs!$B$3&gt;=117,F508,0))/100))/Skills!D5)),0)+IF(C494=TRUE,F494*IF(AND(Inputs!$B$4&lt;&gt;"pvp",Inputs!$B$35&gt;0),(((S494-1)*(Skills!S11*(1+(Inputs!$B$33+IF(Inputs!$B$3&gt;=117,F508,0))/100))+MIN((Skills!S11*(1+(Inputs!$B$33+IF(Inputs!$B$3&gt;=117,F508,0))/100)),MAX(0,Inputs!$B$35-((S494-1)*Skills!D11))))/Inputs!$B$35),IF(Inputs!$B$4="pvp",MIN((Skills!S11*(1+(Inputs!$B$33+IF(Inputs!$B$3&gt;=117,F508,0))/100)),15)/15,(Skills!S11*(1+(Inputs!$B$33+IF(Inputs!$B$3&gt;=117,F508,0))/100))/Skills!D11)),0))/100)*IF(C496=TRUE,(1+F496*IF(AND(Inputs!$B$4&lt;&gt;"pvp",Inputs!$B$35&gt;0),(((S496-1)*(Skills!S13*(1+(Inputs!$B$33+IF(Inputs!$B$3&gt;=117,F508,0))/100))+MIN((Skills!S13*(1+(Inputs!$B$33+IF(Inputs!$B$3&gt;=117,F508,0))/100)),MAX(0,Inputs!$B$35-((S496-1)*Skills!D13))))/Inputs!$B$35),IF(Inputs!$B$4="pvp",MIN((Skills!S13*(1+(Inputs!$B$33+IF(Inputs!$B$3&gt;=117,F508,0))/100)),15)/15,(Skills!S13*(1+(Inputs!$B$33+IF(Inputs!$B$3&gt;=117,F508,0))/100))/Skills!D13))/100),1)*IF(C501=TRUE,(1+F501*IF(AND(Inputs!$B$4&lt;&gt;"pvp",Inputs!$B$35&gt;0),(((S501-1)*(Skills!S18*(1+(Inputs!$B$33+IF(Inputs!$B$3&gt;=117,F508,0))/100))+MIN((Skills!S18*(1+(Inputs!$B$33+IF(Inputs!$B$3&gt;=117,F508,0))/100)),MAX(0,Inputs!$B$35-((S501-1)*Skills!D18))))/Inputs!$B$35),IF(Inputs!$B$4="pvp",MIN((Skills!S18*(1+(Inputs!$B$33+IF(Inputs!$B$3&gt;=117,F508,0))/100)),15)/15,(Skills!S18*(1+(Inputs!$B$33+IF(Inputs!$B$3&gt;=117,F508,0))/100))/Skills!D18))/100),1)</f>
        <v/>
      </c>
    </row>
    <row r="512">
      <c r="A512" t="inlineStr">
        <is>
          <t>Monster Damage Taken Bonus % (Holy Fountain)</t>
        </is>
      </c>
      <c r="B512">
        <f>IF(Inputs!$B$3&gt;=68,20*IF(Inputs!$B$4="pvp",MIN((15*(1+(Inputs!$B$33+IF(Inputs!$B$3&gt;=117,F508,0))/100)),15)/15,(15*(1+(Inputs!$B$33+IF(Inputs!$B$3&gt;=117,F508,0))/100))/Skills!D10),0)</f>
        <v/>
      </c>
    </row>
    <row r="513">
      <c r="A513" t="inlineStr">
        <is>
          <t>Normal Monster Damage Bonus % (Holy Symbol)</t>
        </is>
      </c>
      <c r="B513">
        <f>IF(C495=TRUE,F495*IF(AND(Inputs!$B$4&lt;&gt;"pvp",Inputs!$B$35&gt;0),(((S495-1)*(Skills!S12*(1+(Inputs!$B$33+IF(Inputs!$B$3&gt;=117,F508,0))/100))+MIN((Skills!S12*(1+(Inputs!$B$33+IF(Inputs!$B$3&gt;=117,F508,0))/100)),MAX(0,Inputs!$B$35-((S495-1)*Skills!D12))))/Inputs!$B$35),IF(Inputs!$B$4="pvp",MIN((Skills!S12*(1+(Inputs!$B$33+IF(Inputs!$B$3&gt;=117,F508,0))/100)),15)/15,(Skills!S12*(1+(Inputs!$B$33+IF(Inputs!$B$3&gt;=117,F508,0))/100))/Skills!D12)),0)</f>
        <v/>
      </c>
    </row>
    <row r="514">
      <c r="A514" t="inlineStr">
        <is>
          <t>Damage % Bonus (Holy Symbol - Damage Boost)</t>
        </is>
      </c>
      <c r="B514">
        <f>Skills!O12</f>
        <v/>
      </c>
    </row>
    <row r="515">
      <c r="A515" t="inlineStr">
        <is>
          <t>Crit Damage % Bonus (Blood of the Divine)</t>
        </is>
      </c>
      <c r="B515">
        <f>4*IF(C502=TRUE,F502,0)</f>
        <v/>
      </c>
    </row>
    <row r="516">
      <c r="A516" t="inlineStr">
        <is>
          <t>Attack Speed Bonus %</t>
        </is>
      </c>
      <c r="B516">
        <f>IF(C499=TRUE,F499+(F503-Calc!F20),0)+IF(Inputs!$B$3&gt;=134,15,0)</f>
        <v/>
      </c>
    </row>
    <row r="517">
      <c r="A517" t="inlineStr">
        <is>
          <t>Actions Per Second</t>
        </is>
      </c>
      <c r="B517">
        <f>1+MIN(150,150*(1-(1-((1-(1-Inputs!$B$10/150)*(1-1/150))*150)/150)*(1-B516/150)))/100</f>
        <v/>
      </c>
    </row>
    <row r="518">
      <c r="A518" t="inlineStr">
        <is>
          <t>Skill + Buff Cast Rate</t>
        </is>
      </c>
      <c r="B518">
        <f>IF(AND(Inputs!$B$4&lt;&gt;"pvp",Inputs!$B$35&gt;0),SUMPRODUCT((Skills!E2:E26=TRUE)*(C485:C509=TRUE)*S485:S509)/Inputs!$B$35,SUMPRODUCT((Skills!E2:E26=TRUE)*(C485:C509=TRUE)*V485:V509))</f>
        <v/>
      </c>
    </row>
    <row r="519">
      <c r="A519" t="inlineStr">
        <is>
          <t>Big Bang Casts Per Second</t>
        </is>
      </c>
      <c r="B519">
        <f>MAX(0,B517-B518)</f>
        <v/>
      </c>
    </row>
    <row r="521">
      <c r="A521" s="5" t="inlineStr">
        <is>
          <t>TOTAL DPS</t>
        </is>
      </c>
      <c r="B521" s="5">
        <f>SUM(O485:O509)</f>
        <v/>
      </c>
    </row>
    <row r="524">
      <c r="A524" s="5" t="inlineStr">
        <is>
          <t>Stat: DEF_PEN % (diminishing returns, factor 100)</t>
        </is>
      </c>
    </row>
    <row r="525">
      <c r="A525" s="8" t="inlineStr">
        <is>
          <t>Key</t>
        </is>
      </c>
      <c r="B525" s="8" t="inlineStr">
        <is>
          <t>Name</t>
        </is>
      </c>
      <c r="C525" s="8" t="inlineStr">
        <is>
          <t>Unlocked</t>
        </is>
      </c>
      <c r="D525" s="8" t="inlineStr">
        <is>
          <t>InputLevel</t>
        </is>
      </c>
      <c r="E525" s="8" t="inlineStr">
        <is>
          <t>Factor</t>
        </is>
      </c>
      <c r="F525" s="8" t="inlineStr">
        <is>
          <t>CoefficientPercent</t>
        </is>
      </c>
      <c r="G525" s="8" t="inlineStr">
        <is>
          <t>EffectiveHits</t>
        </is>
      </c>
      <c r="H525" s="8" t="inlineStr">
        <is>
          <t>ProcProbability</t>
        </is>
      </c>
      <c r="I525" s="8" t="inlineStr">
        <is>
          <t>MapleHeroMultiplier</t>
        </is>
      </c>
      <c r="J525" s="8" t="inlineStr">
        <is>
          <t>BaseDamage</t>
        </is>
      </c>
      <c r="K525" s="8" t="inlineStr">
        <is>
          <t>BaseHitDamage</t>
        </is>
      </c>
      <c r="L525" s="8" t="inlineStr">
        <is>
          <t>NonCritAvg</t>
        </is>
      </c>
      <c r="M525" s="8" t="inlineStr">
        <is>
          <t>CritAvg</t>
        </is>
      </c>
      <c r="N525" s="8" t="inlineStr">
        <is>
          <t>ExpectedDamage(perHit)</t>
        </is>
      </c>
      <c r="O525" s="8" t="inlineStr">
        <is>
          <t>DPS</t>
        </is>
      </c>
      <c r="P525" s="8" t="inlineStr">
        <is>
          <t>% of Total</t>
        </is>
      </c>
      <c r="R525" t="inlineStr">
        <is>
          <t>helpers</t>
        </is>
      </c>
    </row>
    <row r="526">
      <c r="A526">
        <f>Skills!A2</f>
        <v/>
      </c>
      <c r="B526">
        <f>Skills!B2</f>
        <v/>
      </c>
      <c r="C526">
        <f>Inputs!$B$3&gt;=100</f>
        <v/>
      </c>
      <c r="D526" t="inlineStr"/>
      <c r="E526" t="inlineStr"/>
      <c r="F526">
        <f>T528+Skills!N2</f>
        <v/>
      </c>
      <c r="G526">
        <f>Calc!G2</f>
        <v/>
      </c>
      <c r="H526">
        <f>Calc!H2</f>
        <v/>
      </c>
      <c r="I526">
        <f>IF(Skills!T2&lt;&gt;"",1+(Skills!T2/10)*($Z$3/1000)/100,1)</f>
        <v/>
      </c>
      <c r="J526">
        <f>((Inputs!$B$5*(1+Inputs!$B$6/100))+((Inputs!$B$11*(1+Inputs!$B$12/100))-(Inputs!$B$11*(1+Inputs!$B$12/100)))*(1+Inputs!$B$6/100))*(F526/100)</f>
        <v/>
      </c>
      <c r="K526">
        <f>J526*(1+((Inputs!$B$11*(1+Inputs!$B$12/100))*0.01+Inputs!$B$13*0.0025)/100)*(1+(Inputs!$B$14+B555)/100)*(1+IF(Inputs!$B$4="pvp",0,(1-Summary!$B$48)*(Inputs!$B$19+Skills!O2+B553)+Summary!$B$48*(Inputs!$B$20+Skills!P2+B554))/100)*(1+Inputs!$B$15/100)*(5000/(6000+Inputs!$B$7*(1-((1-(1-Inputs!$B$18/100)*(1-1/100))*100)/100)))*(1+Inputs!$B$23/100)*(1+IF(C541=TRUE,F541,0)/100)*(1+IF(C543=TRUE,F543,0)/100)*(1+IF(Skills!A2="TRIUMPH_FEATHER",IF(C539=TRUE,F539,0),0)/100)*(1+IF(C550=TRUE,F550,0)/100)^5*(1+(IF(Skills!A2="BIG_BANG",Inputs!$B$16,Inputs!$B$17))/100)*(B552*I526)</f>
        <v/>
      </c>
      <c r="L526">
        <f>K526*(MIN(Inputs!$B$21+(F545-Calc!F21),Inputs!$B$22)/100+Inputs!$B$22/100)/2</f>
        <v/>
      </c>
      <c r="M526">
        <f>L526*(1+(Inputs!$B$9+B556+(F548-Calc!F24))/100)</f>
        <v/>
      </c>
      <c r="N526">
        <f>L526*(1-MIN(Inputs!$B$8+((F547-Calc!F23)+(F546-Calc!F22)),100)/100)+M526*(MIN(Inputs!$B$8+((F547-Calc!F23)+(F546-Calc!F22)),100)/100)</f>
        <v/>
      </c>
      <c r="O526">
        <f>IF(C526,Skills!F2*N526*B560*IF(Inputs!$B$4="pvp",1,(1-Summary!$B$48)*(1)+Summary!$B$48*(MIN((6+Inputs!$B$32),Inputs!$B$37))),0)</f>
        <v/>
      </c>
      <c r="P526">
        <f>IF(B562=0,0,O526/B562)</f>
        <v/>
      </c>
      <c r="S526" t="n">
        <v>0</v>
      </c>
      <c r="T526">
        <f>MAX(0,(Inputs!$B$3-100)*3)+Inputs!$B$27+Inputs!$B$28</f>
        <v/>
      </c>
      <c r="V526">
        <f>IFERROR(1/IF(Inputs!$B$4="pvp",15,MAX(0.1,Skills!D2-IF(Skills!E2=TRUE,Inputs!$B$31,0))),0)</f>
        <v/>
      </c>
    </row>
    <row r="527">
      <c r="A527">
        <f>Skills!A3</f>
        <v/>
      </c>
      <c r="B527">
        <f>Skills!B3</f>
        <v/>
      </c>
      <c r="C527">
        <f>Inputs!$B$3&gt;=15</f>
        <v/>
      </c>
      <c r="D527">
        <f>IF(Skills!C3=1,60+Inputs!$B$24+Inputs!$B$28,IF(Skills!C3=2,90+Inputs!$B$25+Inputs!$B$28,IF(Skills!C3=3,120+Inputs!$B$26+Inputs!$B$28,MAX(0,(Inputs!$B$3-100)*3)+Inputs!$B$27+Inputs!$B$28)))</f>
        <v/>
      </c>
      <c r="E527">
        <f>INDEX(FactorTable!$B$2:$Y$301, MATCH(ROUND(MIN(300,MAX(1,D527)),0), FactorTable!$A$2:$A$301,0), Skills!L3+1)</f>
        <v/>
      </c>
      <c r="F527">
        <f>IF(Skills!M3=TRUE,(Skills!K3/10)*(E527/1000),Skills!K3/10)+Skills!N3</f>
        <v/>
      </c>
      <c r="G527">
        <f>Calc!G3</f>
        <v/>
      </c>
      <c r="H527">
        <f>Calc!H3</f>
        <v/>
      </c>
      <c r="I527">
        <f>IF(Skills!T3&lt;&gt;"",1+(Skills!T3/10)*($Z$3/1000)/100,1)</f>
        <v/>
      </c>
      <c r="J527" t="inlineStr"/>
      <c r="K527" t="inlineStr"/>
      <c r="L527" t="inlineStr"/>
      <c r="M527" t="inlineStr"/>
      <c r="N527" t="inlineStr"/>
      <c r="O527" t="n">
        <v>0</v>
      </c>
      <c r="P527">
        <f>IF(B562=0,0,O527/B562)</f>
        <v/>
      </c>
      <c r="S527">
        <f>IF(AND(Inputs!$B$4&lt;&gt;"pvp",Inputs!$B$35&gt;0),(INT(Inputs!$B$35/IF(Inputs!$B$4="pvp",15,MAX(0.1,Skills!D3-IF(Skills!E3=TRUE,Inputs!$B$31,0))))+1),0)</f>
        <v/>
      </c>
      <c r="T527">
        <f>INDEX(FactorTable!$B$2:$Y$301, MATCH(ROUND(MIN(300,MAX(1,T526)),0), FactorTable!$A$2:$A$301,0), 22)</f>
        <v/>
      </c>
      <c r="V527">
        <f>IFERROR(1/IF(Inputs!$B$4="pvp",15,MAX(0.1,Skills!D3-IF(Skills!E3=TRUE,Inputs!$B$31,0))),0)</f>
        <v/>
      </c>
    </row>
    <row r="528">
      <c r="A528">
        <f>Skills!A4</f>
        <v/>
      </c>
      <c r="B528">
        <f>Skills!B4</f>
        <v/>
      </c>
      <c r="C528">
        <f>Inputs!$B$3&gt;=38</f>
        <v/>
      </c>
      <c r="D528">
        <f>IF(Skills!C4=1,60+Inputs!$B$24+Inputs!$B$28,IF(Skills!C4=2,90+Inputs!$B$25+Inputs!$B$28,IF(Skills!C4=3,120+Inputs!$B$26+Inputs!$B$28,MAX(0,(Inputs!$B$3-100)*3)+Inputs!$B$27+Inputs!$B$28)))</f>
        <v/>
      </c>
      <c r="E528">
        <f>INDEX(FactorTable!$B$2:$Y$301, MATCH(ROUND(MIN(300,MAX(1,D528)),0), FactorTable!$A$2:$A$301,0), Skills!L4+1)</f>
        <v/>
      </c>
      <c r="F528">
        <f>IF(Skills!M4=TRUE,(Skills!K4/10)*(E528/1000),Skills!K4/10)+Skills!N4</f>
        <v/>
      </c>
      <c r="G528">
        <f>Calc!G4</f>
        <v/>
      </c>
      <c r="H528">
        <f>Calc!H4</f>
        <v/>
      </c>
      <c r="I528">
        <f>IF(Skills!T4&lt;&gt;"",1+(Skills!T4/10)*($Z$3/1000)/100,1)</f>
        <v/>
      </c>
      <c r="J528" t="inlineStr"/>
      <c r="K528" t="inlineStr"/>
      <c r="L528" t="inlineStr"/>
      <c r="M528" t="inlineStr"/>
      <c r="N528" t="inlineStr"/>
      <c r="O528" t="n">
        <v>0</v>
      </c>
      <c r="P528">
        <f>IF(B562=0,0,O528/B562)</f>
        <v/>
      </c>
      <c r="S528">
        <f>IF(AND(Inputs!$B$4&lt;&gt;"pvp",Inputs!$B$35&gt;0),(INT(Inputs!$B$35/IF(Inputs!$B$4="pvp",15,MAX(0.1,Skills!D4-IF(Skills!E4=TRUE,Inputs!$B$31,0))))+1),0)</f>
        <v/>
      </c>
      <c r="T528">
        <f>290*T527/1000</f>
        <v/>
      </c>
      <c r="V528">
        <f>IFERROR(1/IF(Inputs!$B$4="pvp",15,MAX(0.1,Skills!D4-IF(Skills!E4=TRUE,Inputs!$B$31,0))),0)</f>
        <v/>
      </c>
    </row>
    <row r="529">
      <c r="A529">
        <f>Skills!A5</f>
        <v/>
      </c>
      <c r="B529">
        <f>Skills!B5</f>
        <v/>
      </c>
      <c r="C529">
        <f>Inputs!$B$3&gt;=40</f>
        <v/>
      </c>
      <c r="D529">
        <f>IF(Skills!C5=1,60+Inputs!$B$24+Inputs!$B$28,IF(Skills!C5=2,90+Inputs!$B$25+Inputs!$B$28,IF(Skills!C5=3,120+Inputs!$B$26+Inputs!$B$28,MAX(0,(Inputs!$B$3-100)*3)+Inputs!$B$27+Inputs!$B$28)))</f>
        <v/>
      </c>
      <c r="E529">
        <f>INDEX(FactorTable!$B$2:$Y$301, MATCH(ROUND(MIN(300,MAX(1,D529)),0), FactorTable!$A$2:$A$301,0), Skills!L5+1)</f>
        <v/>
      </c>
      <c r="F529">
        <f>IF(Skills!M5=TRUE,(Skills!K5/10)*(E529/1000),Skills!K5/10)+Skills!N5</f>
        <v/>
      </c>
      <c r="G529">
        <f>Calc!G5</f>
        <v/>
      </c>
      <c r="H529">
        <f>Calc!H5</f>
        <v/>
      </c>
      <c r="I529">
        <f>IF(Skills!T5&lt;&gt;"",1+(Skills!T5/10)*($Z$3/1000)/100,1)</f>
        <v/>
      </c>
      <c r="J529" t="inlineStr"/>
      <c r="K529" t="inlineStr"/>
      <c r="L529" t="inlineStr"/>
      <c r="M529" t="inlineStr"/>
      <c r="N529" t="inlineStr"/>
      <c r="O529" t="n">
        <v>0</v>
      </c>
      <c r="P529">
        <f>IF(B562=0,0,O529/B562)</f>
        <v/>
      </c>
      <c r="S529">
        <f>IF(AND(Inputs!$B$4&lt;&gt;"pvp",Inputs!$B$35&gt;0),(INT(Inputs!$B$35/IF(Inputs!$B$4="pvp",15,MAX(0.1,Skills!D5-IF(Skills!E5=TRUE,Inputs!$B$31,0))))+1),0)</f>
        <v/>
      </c>
      <c r="V529">
        <f>IFERROR(1/IF(Inputs!$B$4="pvp",15,MAX(0.1,Skills!D5-IF(Skills!E5=TRUE,Inputs!$B$31,0))),0)</f>
        <v/>
      </c>
    </row>
    <row r="530">
      <c r="A530">
        <f>Skills!A6</f>
        <v/>
      </c>
      <c r="B530">
        <f>Skills!B6</f>
        <v/>
      </c>
      <c r="C530">
        <f>Inputs!$B$3&gt;=103</f>
        <v/>
      </c>
      <c r="D530">
        <f>IF(Skills!C6=1,60+Inputs!$B$24+Inputs!$B$28,IF(Skills!C6=2,90+Inputs!$B$25+Inputs!$B$28,IF(Skills!C6=3,120+Inputs!$B$26+Inputs!$B$28,MAX(0,(Inputs!$B$3-100)*3)+Inputs!$B$27+Inputs!$B$28)))</f>
        <v/>
      </c>
      <c r="E530">
        <f>INDEX(FactorTable!$B$2:$Y$301, MATCH(ROUND(MIN(300,MAX(1,D530)),0), FactorTable!$A$2:$A$301,0), Skills!L6+1)</f>
        <v/>
      </c>
      <c r="F530">
        <f>IF(Skills!M6=TRUE,(Skills!K6/10)*(E530/1000),Skills!K6/10)+Skills!N6</f>
        <v/>
      </c>
      <c r="G530">
        <f>Calc!G6</f>
        <v/>
      </c>
      <c r="H530">
        <f>Calc!H6</f>
        <v/>
      </c>
      <c r="I530">
        <f>IF(Skills!T6&lt;&gt;"",1+(Skills!T6/10)*($Z$3/1000)/100,1)</f>
        <v/>
      </c>
      <c r="J530">
        <f>((Inputs!$B$5*(1+Inputs!$B$6/100))+((Inputs!$B$11*(1+Inputs!$B$12/100))-(Inputs!$B$11*(1+Inputs!$B$12/100)))*(1+Inputs!$B$6/100))*(F530/100)</f>
        <v/>
      </c>
      <c r="K530">
        <f>J530*(1+((Inputs!$B$11*(1+Inputs!$B$12/100))*0.01+Inputs!$B$13*0.0025)/100)*(1+(Inputs!$B$14+B555)/100)*(1+IF(Inputs!$B$4="pvp",0,(1-Summary!$B$48)*(Inputs!$B$19+Skills!O6+B553)+Summary!$B$48*(Inputs!$B$20+Skills!P6+B554))/100)*(1+Inputs!$B$15/100)*(5000/(6000+Inputs!$B$7*(1-((1-(1-Inputs!$B$18/100)*(1-1/100))*100)/100)))*(1+Inputs!$B$23/100)*(1+IF(C541=TRUE,F541,0)/100)*(1+IF(C543=TRUE,F543,0)/100)*(1+IF(Skills!A6="TRIUMPH_FEATHER",IF(C539=TRUE,F539,0),0)/100)*(1+IF(C550=TRUE,F550,0)/100)^5*(1+(IF(Skills!A6="BIG_BANG",Inputs!$B$16,Inputs!$B$17))/100)*(B552*I530)</f>
        <v/>
      </c>
      <c r="L530">
        <f>K530*(MIN(Inputs!$B$21+(F545-Calc!F21),Inputs!$B$22)/100+Inputs!$B$22/100)/2</f>
        <v/>
      </c>
      <c r="M530">
        <f>L530*(1+(Inputs!$B$9+B556+(F548-Calc!F24))/100)</f>
        <v/>
      </c>
      <c r="N530">
        <f>L530*(1-MIN(Inputs!$B$8+((F547-Calc!F23)+(F546-Calc!F22)),100)/100)+M530*(MIN(Inputs!$B$8+((F547-Calc!F23)+(F546-Calc!F22)),100)/100)</f>
        <v/>
      </c>
      <c r="O530">
        <f>IF(C530,H530*N530*IF(AND(Inputs!$B$4&lt;&gt;"pvp",Inputs!$B$35&gt;0),((Skills!F6*((S530-1)*IF(Skills!G6&gt;0,Skills!H6/Skills!G6,1)+IF(Skills!G6&gt;0,MIN(Skills!H6,MAX(0,Inputs!$B$35-((S530-1)*IF(Inputs!$B$4="pvp",15,MAX(0.1,Skills!D6-IF(Skills!E6=TRUE,Inputs!$B$31,0))))))/Skills!G6,1)))/Inputs!$B$35),G530*V530)*IF(Inputs!$B$4="pvp",1,(1-Summary!$B$48)*(1)+Summary!$B$48*(MIN(Skills!Q6,Inputs!$B$37))),0)</f>
        <v/>
      </c>
      <c r="P530">
        <f>IF(B562=0,0,O530/B562)</f>
        <v/>
      </c>
      <c r="S530">
        <f>IF(AND(Inputs!$B$4&lt;&gt;"pvp",Inputs!$B$35&gt;0),(INT(Inputs!$B$35/IF(Inputs!$B$4="pvp",15,MAX(0.1,Skills!D6-IF(Skills!E6=TRUE,Inputs!$B$31,0))))+1),0)</f>
        <v/>
      </c>
      <c r="V530">
        <f>IFERROR(1/IF(Inputs!$B$4="pvp",15,MAX(0.1,Skills!D6-IF(Skills!E6=TRUE,Inputs!$B$31,0))),0)</f>
        <v/>
      </c>
    </row>
    <row r="531">
      <c r="A531">
        <f>Skills!A7</f>
        <v/>
      </c>
      <c r="B531">
        <f>Skills!B7</f>
        <v/>
      </c>
      <c r="C531">
        <f>Inputs!$B$3&gt;=122</f>
        <v/>
      </c>
      <c r="D531">
        <f>IF(Skills!C7=1,60+Inputs!$B$24+Inputs!$B$28,IF(Skills!C7=2,90+Inputs!$B$25+Inputs!$B$28,IF(Skills!C7=3,120+Inputs!$B$26+Inputs!$B$28,MAX(0,(Inputs!$B$3-100)*3)+Inputs!$B$27+Inputs!$B$28)))</f>
        <v/>
      </c>
      <c r="E531">
        <f>INDEX(FactorTable!$B$2:$Y$301, MATCH(ROUND(MIN(300,MAX(1,D531)),0), FactorTable!$A$2:$A$301,0), Skills!L7+1)</f>
        <v/>
      </c>
      <c r="F531">
        <f>IF(Skills!M7=TRUE,(Skills!K7/10)*(E531/1000),Skills!K7/10)+Skills!N7</f>
        <v/>
      </c>
      <c r="G531">
        <f>Calc!G7</f>
        <v/>
      </c>
      <c r="H531">
        <f>Calc!H7</f>
        <v/>
      </c>
      <c r="I531">
        <f>IF(Skills!T7&lt;&gt;"",1+(Skills!T7/10)*($Z$3/1000)/100,1)</f>
        <v/>
      </c>
      <c r="J531">
        <f>((Inputs!$B$5*(1+Inputs!$B$6/100))+((Inputs!$B$11*(1+Inputs!$B$12/100))-(Inputs!$B$11*(1+Inputs!$B$12/100)))*(1+Inputs!$B$6/100))*(F531/100)</f>
        <v/>
      </c>
      <c r="K531">
        <f>J531*(1+((Inputs!$B$11*(1+Inputs!$B$12/100))*0.01+Inputs!$B$13*0.0025)/100)*(1+(Inputs!$B$14+B555)/100)*(1+IF(Inputs!$B$4="pvp",0,(1-Summary!$B$48)*(Inputs!$B$19+Skills!O7+B553)+Summary!$B$48*(Inputs!$B$20+Skills!P7+B554))/100)*(1+Inputs!$B$15/100)*(5000/(6000+Inputs!$B$7*(1-((1-(1-Inputs!$B$18/100)*(1-1/100))*100)/100)))*(1+Inputs!$B$23/100)*(1+IF(C541=TRUE,F541,0)/100)*(1+IF(C543=TRUE,F543,0)/100)*(1+IF(Skills!A7="TRIUMPH_FEATHER",IF(C539=TRUE,F539,0),0)/100)*(1+IF(C550=TRUE,F550,0)/100)^5*(1+(IF(Skills!A7="BIG_BANG",Inputs!$B$16,Inputs!$B$17))/100)*(B552*I531)</f>
        <v/>
      </c>
      <c r="L531">
        <f>K531*(MIN(Inputs!$B$21+(F545-Calc!F21),Inputs!$B$22)/100+Inputs!$B$22/100)/2</f>
        <v/>
      </c>
      <c r="M531">
        <f>L531*(1+(Inputs!$B$9+B556+(F548-Calc!F24))/100)</f>
        <v/>
      </c>
      <c r="N531">
        <f>L531*(1-MIN(Inputs!$B$8+((F547-Calc!F23)+(F546-Calc!F22)),100)/100)+M531*(MIN(Inputs!$B$8+((F547-Calc!F23)+(F546-Calc!F22)),100)/100)</f>
        <v/>
      </c>
      <c r="O531">
        <f>IF(C531,H531*N531*IF(AND(Inputs!$B$4&lt;&gt;"pvp",Inputs!$B$35&gt;0),((Skills!F7*((S531-1)*IF(Skills!G7&gt;0,Skills!H7/Skills!G7,1)+IF(Skills!G7&gt;0,MIN(Skills!H7,MAX(0,Inputs!$B$35-((S531-1)*IF(Inputs!$B$4="pvp",15,MAX(0.1,Skills!D7-IF(Skills!E6=TRUE,Inputs!$B$31,0))))))/Skills!G7,1)))/Inputs!$B$35),G531*V531)*(1-Summary!$B$48),0)</f>
        <v/>
      </c>
      <c r="P531">
        <f>IF(B562=0,0,O531/B562)</f>
        <v/>
      </c>
      <c r="S531">
        <f>IF(AND(Inputs!$B$4&lt;&gt;"pvp",Inputs!$B$35&gt;0),(INT(Inputs!$B$35/IF(Inputs!$B$4="pvp",15,MAX(0.1,Skills!D7-IF(Skills!E6=TRUE,Inputs!$B$31,0))))+1),0)</f>
        <v/>
      </c>
      <c r="V531">
        <f>IFERROR(1/IF(Inputs!$B$4="pvp",15,MAX(0.1,Skills!D7-IF(Skills!E6=TRUE,Inputs!$B$31,0))),0)</f>
        <v/>
      </c>
    </row>
    <row r="532">
      <c r="A532">
        <f>Skills!A8</f>
        <v/>
      </c>
      <c r="B532">
        <f>Skills!B8</f>
        <v/>
      </c>
      <c r="C532">
        <f>Inputs!$B$3&gt;=105</f>
        <v/>
      </c>
      <c r="D532">
        <f>IF(Skills!C8=1,60+Inputs!$B$24+Inputs!$B$28,IF(Skills!C8=2,90+Inputs!$B$25+Inputs!$B$28,IF(Skills!C8=3,120+Inputs!$B$26+Inputs!$B$28,MAX(0,(Inputs!$B$3-100)*3)+Inputs!$B$27+Inputs!$B$28)))</f>
        <v/>
      </c>
      <c r="E532">
        <f>INDEX(FactorTable!$B$2:$Y$301, MATCH(ROUND(MIN(300,MAX(1,D532)),0), FactorTable!$A$2:$A$301,0), Skills!L8+1)</f>
        <v/>
      </c>
      <c r="F532">
        <f>IF(Skills!M8=TRUE,(Skills!K8/10)*(E532/1000),Skills!K8/10)+Skills!N8</f>
        <v/>
      </c>
      <c r="G532">
        <f>Calc!G8</f>
        <v/>
      </c>
      <c r="H532">
        <f>Calc!H8</f>
        <v/>
      </c>
      <c r="I532">
        <f>IF(Skills!T8&lt;&gt;"",1+(Skills!T8/10)*($Z$3/1000)/100,1)</f>
        <v/>
      </c>
      <c r="J532">
        <f>((Inputs!$B$5*(1+Inputs!$B$6/100))+((Inputs!$B$11*(1+Inputs!$B$12/100))-(Inputs!$B$11*(1+Inputs!$B$12/100)))*(1+Inputs!$B$6/100))*(F532/100)</f>
        <v/>
      </c>
      <c r="K532">
        <f>J532*(1+((Inputs!$B$11*(1+Inputs!$B$12/100))*0.01+Inputs!$B$13*0.0025)/100)*(1+(Inputs!$B$14+B555)/100)*(1+IF(Inputs!$B$4="pvp",0,(1-Summary!$B$48)*(Inputs!$B$19+Skills!O8+B553)+Summary!$B$48*(Inputs!$B$20+Skills!P8+B554))/100)*(1+Inputs!$B$15/100)*(5000/(6000+Inputs!$B$7*(1-((1-(1-Inputs!$B$18/100)*(1-1/100))*100)/100)))*(1+Inputs!$B$23/100)*(1+IF(C541=TRUE,F541,0)/100)*(1+IF(C543=TRUE,F543,0)/100)*(1+IF(Skills!A8="TRIUMPH_FEATHER",IF(C539=TRUE,F539,0),0)/100)*(1+IF(C550=TRUE,F550,0)/100)^5*(1+(IF(Skills!A8="BIG_BANG",Inputs!$B$16,Inputs!$B$17))/100)*(B552*I532)</f>
        <v/>
      </c>
      <c r="L532">
        <f>K532*(MIN(Inputs!$B$21+(F545-Calc!F21),Inputs!$B$22)/100+Inputs!$B$22/100)/2</f>
        <v/>
      </c>
      <c r="M532">
        <f>L532*(1+(Inputs!$B$9+B556+(F548-Calc!F24))/100)</f>
        <v/>
      </c>
      <c r="N532">
        <f>L532*(1-MIN(Inputs!$B$8+((F547-Calc!F23)+(F546-Calc!F22)),100)/100)+M532*(MIN(Inputs!$B$8+((F547-Calc!F23)+(F546-Calc!F22)),100)/100)</f>
        <v/>
      </c>
      <c r="O532">
        <f>IF(C532,H532*N532*IF(AND(Inputs!$B$4&lt;&gt;"pvp",Inputs!$B$35&gt;0),((Skills!F8*((S532-1)*IF(Skills!G8&gt;0,Skills!H8/Skills!G8,1)+IF(Skills!G8&gt;0,MIN(Skills!H8,MAX(0,Inputs!$B$35-((S532-1)*IF(Inputs!$B$4="pvp",15,MAX(0.1,Skills!D8-IF(Skills!E8=TRUE,Inputs!$B$31,0))))))/Skills!G8,1)))/Inputs!$B$35),G532*V532)*IF(Inputs!$B$4="pvp",1,(1-Summary!$B$48)*(1)+Summary!$B$48*(MIN(Skills!Q8,Inputs!$B$37))),0)</f>
        <v/>
      </c>
      <c r="P532">
        <f>IF(B562=0,0,O532/B562)</f>
        <v/>
      </c>
      <c r="S532">
        <f>IF(AND(Inputs!$B$4&lt;&gt;"pvp",Inputs!$B$35&gt;0),(INT(Inputs!$B$35/IF(Inputs!$B$4="pvp",15,MAX(0.1,Skills!D8-IF(Skills!E8=TRUE,Inputs!$B$31,0))))+1),0)</f>
        <v/>
      </c>
      <c r="V532">
        <f>IFERROR(1/IF(Inputs!$B$4="pvp",15,MAX(0.1,Skills!D8-IF(Skills!E8=TRUE,Inputs!$B$31,0))),0)</f>
        <v/>
      </c>
    </row>
    <row r="533">
      <c r="A533">
        <f>Skills!A9</f>
        <v/>
      </c>
      <c r="B533">
        <f>Skills!B9</f>
        <v/>
      </c>
      <c r="C533">
        <f>Inputs!$B$3&gt;=115</f>
        <v/>
      </c>
      <c r="D533">
        <f>IF(Skills!C9=1,60+Inputs!$B$24+Inputs!$B$28,IF(Skills!C9=2,90+Inputs!$B$25+Inputs!$B$28,IF(Skills!C9=3,120+Inputs!$B$26+Inputs!$B$28,MAX(0,(Inputs!$B$3-100)*3)+Inputs!$B$27+Inputs!$B$28)))</f>
        <v/>
      </c>
      <c r="E533">
        <f>INDEX(FactorTable!$B$2:$Y$301, MATCH(ROUND(MIN(300,MAX(1,D533)),0), FactorTable!$A$2:$A$301,0), Skills!L9+1)</f>
        <v/>
      </c>
      <c r="F533">
        <f>IF(Skills!M9=TRUE,(Skills!K9/10)*(E533/1000),Skills!K9/10)+Skills!N9</f>
        <v/>
      </c>
      <c r="G533">
        <f>Calc!G9</f>
        <v/>
      </c>
      <c r="H533">
        <f>Calc!H9</f>
        <v/>
      </c>
      <c r="I533">
        <f>IF(Skills!T9&lt;&gt;"",1+(Skills!T9/10)*($Z$3/1000)/100,1)</f>
        <v/>
      </c>
      <c r="J533">
        <f>((Inputs!$B$5*(1+Inputs!$B$6/100))+((Inputs!$B$11*(1+Inputs!$B$12/100))-(Inputs!$B$11*(1+Inputs!$B$12/100)))*(1+Inputs!$B$6/100))*(F533/100)</f>
        <v/>
      </c>
      <c r="K533">
        <f>J533*(1+((Inputs!$B$11*(1+Inputs!$B$12/100))*0.01+Inputs!$B$13*0.0025)/100)*(1+(Inputs!$B$14+B555)/100)*(1+IF(Inputs!$B$4="pvp",0,(1-Summary!$B$48)*(Inputs!$B$19+Skills!O9+B553)+Summary!$B$48*(Inputs!$B$20+Skills!P9+B554))/100)*(1+Inputs!$B$15/100)*(5000/(6000+Inputs!$B$7*(1-((1-(1-Inputs!$B$18/100)*(1-1/100))*100)/100)))*(1+Inputs!$B$23/100)*(1+IF(C541=TRUE,F541,0)/100)*(1+IF(C543=TRUE,F543,0)/100)*(1+IF(Skills!A9="TRIUMPH_FEATHER",IF(C539=TRUE,F539,0),0)/100)*(1+IF(C550=TRUE,F550,0)/100)^5*(1+(IF(Skills!A9="BIG_BANG",Inputs!$B$16,Inputs!$B$17))/100)*(B552*I533)</f>
        <v/>
      </c>
      <c r="L533">
        <f>K533*(MIN(Inputs!$B$21+(F545-Calc!F21),Inputs!$B$22)/100+Inputs!$B$22/100)/2</f>
        <v/>
      </c>
      <c r="M533">
        <f>L533*(1+(Inputs!$B$9+B556+(F548-Calc!F24))/100)</f>
        <v/>
      </c>
      <c r="N533">
        <f>L533*(1-MIN(Inputs!$B$8+((F547-Calc!F23)+(F546-Calc!F22)),100)/100)+M533*(MIN(Inputs!$B$8+((F547-Calc!F23)+(F546-Calc!F22)),100)/100)</f>
        <v/>
      </c>
      <c r="O533">
        <f>IF(C533,H533*N533*IF(AND(Inputs!$B$4&lt;&gt;"pvp",Inputs!$B$35&gt;0),((Skills!F9*((S533-1)*IF(Skills!G9&gt;0,Skills!H9/Skills!G9,1)+IF(Skills!G9&gt;0,MIN(Skills!H9,MAX(0,Inputs!$B$35-((S533-1)*IF(Inputs!$B$4="pvp",15,MAX(0.1,Skills!D9-IF(Skills!E9=TRUE,Inputs!$B$31,0))))))/Skills!G9,1)))/Inputs!$B$35),G533*V533)*IF(Inputs!$B$4="pvp",1,(1-Summary!$B$48)*(1)+Summary!$B$48*(MIN(Skills!Q9,Inputs!$B$37))),0)</f>
        <v/>
      </c>
      <c r="P533">
        <f>IF(B562=0,0,O533/B562)</f>
        <v/>
      </c>
      <c r="S533">
        <f>IF(AND(Inputs!$B$4&lt;&gt;"pvp",Inputs!$B$35&gt;0),(INT(Inputs!$B$35/IF(Inputs!$B$4="pvp",15,MAX(0.1,Skills!D9-IF(Skills!E9=TRUE,Inputs!$B$31,0))))+1),0)</f>
        <v/>
      </c>
      <c r="V533">
        <f>IFERROR(1/IF(Inputs!$B$4="pvp",15,MAX(0.1,Skills!D9-IF(Skills!E9=TRUE,Inputs!$B$31,0))),0)</f>
        <v/>
      </c>
    </row>
    <row r="534">
      <c r="A534">
        <f>Skills!A10</f>
        <v/>
      </c>
      <c r="B534">
        <f>Skills!B10</f>
        <v/>
      </c>
      <c r="C534">
        <f>Inputs!$B$3&gt;=66</f>
        <v/>
      </c>
      <c r="D534">
        <f>IF(Skills!C10=1,60+Inputs!$B$24+Inputs!$B$28,IF(Skills!C10=2,90+Inputs!$B$25+Inputs!$B$28,IF(Skills!C10=3,120+Inputs!$B$26+Inputs!$B$28,MAX(0,(Inputs!$B$3-100)*3)+Inputs!$B$27+Inputs!$B$28)))</f>
        <v/>
      </c>
      <c r="E534">
        <f>INDEX(FactorTable!$B$2:$Y$301, MATCH(ROUND(MIN(300,MAX(1,D534)),0), FactorTable!$A$2:$A$301,0), Skills!L10+1)</f>
        <v/>
      </c>
      <c r="F534" t="n">
        <v>0</v>
      </c>
      <c r="G534">
        <f>Calc!G10</f>
        <v/>
      </c>
      <c r="H534">
        <f>Calc!H10</f>
        <v/>
      </c>
      <c r="I534">
        <f>IF(Skills!T10&lt;&gt;"",1+(Skills!T10/10)*($Z$3/1000)/100,1)</f>
        <v/>
      </c>
      <c r="J534" t="inlineStr"/>
      <c r="K534" t="inlineStr"/>
      <c r="L534" t="inlineStr"/>
      <c r="M534" t="inlineStr"/>
      <c r="N534" t="inlineStr"/>
      <c r="O534" t="n">
        <v>0</v>
      </c>
      <c r="P534">
        <f>IF(B562=0,0,O534/B562)</f>
        <v/>
      </c>
      <c r="S534">
        <f>IF(AND(Inputs!$B$4&lt;&gt;"pvp",Inputs!$B$35&gt;0),(INT(Inputs!$B$35/IF(Inputs!$B$4="pvp",15,MAX(0.1,Skills!D10-IF(Skills!E10=TRUE,Inputs!$B$31,0))))+1),0)</f>
        <v/>
      </c>
      <c r="V534">
        <f>IFERROR(1/IF(Inputs!$B$4="pvp",15,MAX(0.1,Skills!D10-IF(Skills!E10=TRUE,Inputs!$B$31,0))),0)</f>
        <v/>
      </c>
    </row>
    <row r="535">
      <c r="A535">
        <f>Skills!A11</f>
        <v/>
      </c>
      <c r="B535">
        <f>Skills!B11</f>
        <v/>
      </c>
      <c r="C535">
        <f>Inputs!$B$3&gt;=69</f>
        <v/>
      </c>
      <c r="D535">
        <f>IF(Skills!C11=1,60+Inputs!$B$24+Inputs!$B$28,IF(Skills!C11=2,90+Inputs!$B$25+Inputs!$B$28,IF(Skills!C11=3,120+Inputs!$B$26+Inputs!$B$28,MAX(0,(Inputs!$B$3-100)*3)+Inputs!$B$27+Inputs!$B$28)))</f>
        <v/>
      </c>
      <c r="E535">
        <f>INDEX(FactorTable!$B$2:$Y$301, MATCH(ROUND(MIN(300,MAX(1,D535)),0), FactorTable!$A$2:$A$301,0), Skills!L11+1)</f>
        <v/>
      </c>
      <c r="F535">
        <f>IF(Skills!M11=TRUE,(Skills!K11/10)*(E535/1000),Skills!K11/10)+Skills!N11</f>
        <v/>
      </c>
      <c r="G535">
        <f>Calc!G11</f>
        <v/>
      </c>
      <c r="H535">
        <f>Calc!H11</f>
        <v/>
      </c>
      <c r="I535">
        <f>IF(Skills!T11&lt;&gt;"",1+(Skills!T11/10)*($Z$3/1000)/100,1)</f>
        <v/>
      </c>
      <c r="J535" t="inlineStr"/>
      <c r="K535" t="inlineStr"/>
      <c r="L535" t="inlineStr"/>
      <c r="M535" t="inlineStr"/>
      <c r="N535" t="inlineStr"/>
      <c r="O535" t="n">
        <v>0</v>
      </c>
      <c r="P535">
        <f>IF(B562=0,0,O535/B562)</f>
        <v/>
      </c>
      <c r="S535">
        <f>IF(AND(Inputs!$B$4&lt;&gt;"pvp",Inputs!$B$35&gt;0),(INT(Inputs!$B$35/IF(Inputs!$B$4="pvp",15,MAX(0.1,Skills!D11-IF(Skills!E11=TRUE,Inputs!$B$31,0))))+1),0)</f>
        <v/>
      </c>
      <c r="V535">
        <f>IFERROR(1/IF(Inputs!$B$4="pvp",15,MAX(0.1,Skills!D11-IF(Skills!E11=TRUE,Inputs!$B$31,0))),0)</f>
        <v/>
      </c>
    </row>
    <row r="536">
      <c r="A536">
        <f>Skills!A12</f>
        <v/>
      </c>
      <c r="B536">
        <f>Skills!B12</f>
        <v/>
      </c>
      <c r="C536">
        <f>Inputs!$B$3&gt;=72</f>
        <v/>
      </c>
      <c r="D536">
        <f>IF(Skills!C12=1,60+Inputs!$B$24+Inputs!$B$28,IF(Skills!C12=2,90+Inputs!$B$25+Inputs!$B$28,IF(Skills!C12=3,120+Inputs!$B$26+Inputs!$B$28,MAX(0,(Inputs!$B$3-100)*3)+Inputs!$B$27+Inputs!$B$28)))</f>
        <v/>
      </c>
      <c r="E536">
        <f>INDEX(FactorTable!$B$2:$Y$301, MATCH(ROUND(MIN(300,MAX(1,D536)),0), FactorTable!$A$2:$A$301,0), Skills!L12+1)</f>
        <v/>
      </c>
      <c r="F536">
        <f>IF(Skills!M12=TRUE,(Skills!K12/10)*(E536/1000),Skills!K12/10)+Skills!N12</f>
        <v/>
      </c>
      <c r="G536">
        <f>Calc!G12</f>
        <v/>
      </c>
      <c r="H536">
        <f>Calc!H12</f>
        <v/>
      </c>
      <c r="I536">
        <f>IF(Skills!T12&lt;&gt;"",1+(Skills!T12/10)*($Z$3/1000)/100,1)</f>
        <v/>
      </c>
      <c r="J536" t="inlineStr"/>
      <c r="K536" t="inlineStr"/>
      <c r="L536" t="inlineStr"/>
      <c r="M536" t="inlineStr"/>
      <c r="N536" t="inlineStr"/>
      <c r="O536" t="n">
        <v>0</v>
      </c>
      <c r="P536">
        <f>IF(B562=0,0,O536/B562)</f>
        <v/>
      </c>
      <c r="S536">
        <f>IF(AND(Inputs!$B$4&lt;&gt;"pvp",Inputs!$B$35&gt;0),(INT(Inputs!$B$35/IF(Inputs!$B$4="pvp",15,MAX(0.1,Skills!D12-IF(Skills!E12=TRUE,Inputs!$B$31,0))))+1),0)</f>
        <v/>
      </c>
      <c r="V536">
        <f>IFERROR(1/IF(Inputs!$B$4="pvp",15,MAX(0.1,Skills!D12-IF(Skills!E12=TRUE,Inputs!$B$31,0))),0)</f>
        <v/>
      </c>
    </row>
    <row r="537">
      <c r="A537">
        <f>Skills!A13</f>
        <v/>
      </c>
      <c r="B537">
        <f>Skills!B13</f>
        <v/>
      </c>
      <c r="C537">
        <f>Inputs!$B$3&gt;=107</f>
        <v/>
      </c>
      <c r="D537">
        <f>IF(Skills!C13=1,60+Inputs!$B$24+Inputs!$B$28,IF(Skills!C13=2,90+Inputs!$B$25+Inputs!$B$28,IF(Skills!C13=3,120+Inputs!$B$26+Inputs!$B$28,MAX(0,(Inputs!$B$3-100)*3)+Inputs!$B$27+Inputs!$B$28)))</f>
        <v/>
      </c>
      <c r="E537">
        <f>INDEX(FactorTable!$B$2:$Y$301, MATCH(ROUND(MIN(300,MAX(1,D537)),0), FactorTable!$A$2:$A$301,0), Skills!L13+1)</f>
        <v/>
      </c>
      <c r="F537">
        <f>IF(Skills!M13=TRUE,(Skills!K13/10)*(E537/1000),Skills!K13/10)+Skills!N13</f>
        <v/>
      </c>
      <c r="G537">
        <f>Calc!G13</f>
        <v/>
      </c>
      <c r="H537">
        <f>Calc!H13</f>
        <v/>
      </c>
      <c r="I537">
        <f>IF(Skills!T13&lt;&gt;"",1+(Skills!T13/10)*($Z$3/1000)/100,1)</f>
        <v/>
      </c>
      <c r="J537" t="inlineStr"/>
      <c r="K537" t="inlineStr"/>
      <c r="L537" t="inlineStr"/>
      <c r="M537" t="inlineStr"/>
      <c r="N537" t="inlineStr"/>
      <c r="O537" t="n">
        <v>0</v>
      </c>
      <c r="P537">
        <f>IF(B562=0,0,O537/B562)</f>
        <v/>
      </c>
      <c r="S537">
        <f>IF(AND(Inputs!$B$4&lt;&gt;"pvp",Inputs!$B$35&gt;0),(INT(Inputs!$B$35/IF(Inputs!$B$4="pvp",15,MAX(0.1,Skills!D13-IF(Skills!E13=TRUE,Inputs!$B$31,0))))+1),0)</f>
        <v/>
      </c>
      <c r="V537">
        <f>IFERROR(1/IF(Inputs!$B$4="pvp",15,MAX(0.1,Skills!D13-IF(Skills!E13=TRUE,Inputs!$B$31,0))),0)</f>
        <v/>
      </c>
    </row>
    <row r="538">
      <c r="A538">
        <f>Skills!A14</f>
        <v/>
      </c>
      <c r="B538">
        <f>Skills!B14</f>
        <v/>
      </c>
      <c r="C538">
        <f>Inputs!$B$3&gt;=63</f>
        <v/>
      </c>
      <c r="D538">
        <f>IF(Skills!C14=1,60+Inputs!$B$24+Inputs!$B$28,IF(Skills!C14=2,90+Inputs!$B$25+Inputs!$B$28,IF(Skills!C14=3,120+Inputs!$B$26+Inputs!$B$28,MAX(0,(Inputs!$B$3-100)*3)+Inputs!$B$27+Inputs!$B$28)))</f>
        <v/>
      </c>
      <c r="E538">
        <f>INDEX(FactorTable!$B$2:$Y$301, MATCH(ROUND(MIN(300,MAX(1,D538)),0), FactorTable!$A$2:$A$301,0), Skills!L14+1)</f>
        <v/>
      </c>
      <c r="F538">
        <f>IF(Skills!M14=TRUE,(Skills!K14/10)*(E538/1000),Skills!K14/10)+Skills!N14</f>
        <v/>
      </c>
      <c r="G538">
        <f>Calc!G14</f>
        <v/>
      </c>
      <c r="H538">
        <f>Calc!H14</f>
        <v/>
      </c>
      <c r="I538">
        <f>IF(Skills!T14&lt;&gt;"",1+(Skills!T14/10)*($Z$3/1000)/100,1)</f>
        <v/>
      </c>
      <c r="J538">
        <f>((Inputs!$B$5*(1+Inputs!$B$6/100))+((Inputs!$B$11*(1+Inputs!$B$12/100))-(Inputs!$B$11*(1+Inputs!$B$12/100)))*(1+Inputs!$B$6/100))*(F538/100)</f>
        <v/>
      </c>
      <c r="K538">
        <f>J538*(1+((Inputs!$B$11*(1+Inputs!$B$12/100))*0.01+Inputs!$B$13*0.0025)/100)*(1+(Inputs!$B$14+B555)/100)*(1+IF(Inputs!$B$4="pvp",0,(1-Summary!$B$48)*(Inputs!$B$19+Skills!O14+B553)+Summary!$B$48*(Inputs!$B$20+Skills!P14+B554))/100)*(1+Inputs!$B$15/100)*(5000/(6000+Inputs!$B$7*(1-((1-(1-Inputs!$B$18/100)*(1-1/100))*100)/100)))*(1+Inputs!$B$23/100)*(1+IF(C541=TRUE,F541,0)/100)*(1+IF(C543=TRUE,F543,0)/100)*(1+IF(Skills!A14="TRIUMPH_FEATHER",IF(C539=TRUE,F539,0),0)/100)*(1+IF(C550=TRUE,F550,0)/100)^5*(1+(IF(Skills!A14="BIG_BANG",Inputs!$B$16,Inputs!$B$17))/100)*(B552*I538)</f>
        <v/>
      </c>
      <c r="L538">
        <f>K538*(MIN(Inputs!$B$21+(F545-Calc!F21),Inputs!$B$22)/100+Inputs!$B$22/100)/2</f>
        <v/>
      </c>
      <c r="M538">
        <f>L538*(1+(Inputs!$B$9+B556+(F548-Calc!F24))/100)</f>
        <v/>
      </c>
      <c r="N538">
        <f>L538*(1-MIN(Inputs!$B$8+((F547-Calc!F23)+(F546-Calc!F22)),100)/100)+M538*(MIN(Inputs!$B$8+((F547-Calc!F23)+(F546-Calc!F22)),100)/100)</f>
        <v/>
      </c>
      <c r="O538">
        <f>IF(C538,Skills!F14*N538*((IF(Inputs!$B$3&gt;=78,25,15)/100*B558*10)/(1+IF(Inputs!$B$3&gt;=78,25,15)/100*B558*10))*(Skills!I14/100*B558)/(1+Skills!G14*Skills!I14/100*B558)*IF(Inputs!$B$4="pvp",1,(1-Summary!$B$48)*(1)+Summary!$B$48*(MIN(Skills!Q14,Inputs!$B$37))),0)</f>
        <v/>
      </c>
      <c r="P538">
        <f>IF(B562=0,0,O538/B562)</f>
        <v/>
      </c>
      <c r="S538" t="n">
        <v>0</v>
      </c>
      <c r="V538">
        <f>IFERROR(1/IF(Inputs!$B$4="pvp",15,MAX(0.1,Skills!D14-IF(Skills!E14=TRUE,Inputs!$B$31,0))),0)</f>
        <v/>
      </c>
    </row>
    <row r="539">
      <c r="A539">
        <f>Skills!A15</f>
        <v/>
      </c>
      <c r="B539">
        <f>Skills!B15</f>
        <v/>
      </c>
      <c r="C539">
        <f>Inputs!$B$3&gt;=100</f>
        <v/>
      </c>
      <c r="D539">
        <f>IF(Skills!C15=1,60+Inputs!$B$24+Inputs!$B$28,IF(Skills!C15=2,90+Inputs!$B$25+Inputs!$B$28,IF(Skills!C15=3,120+Inputs!$B$26+Inputs!$B$28,MAX(0,(Inputs!$B$3-100)*3)+Inputs!$B$27+Inputs!$B$28)))</f>
        <v/>
      </c>
      <c r="E539">
        <f>INDEX(FactorTable!$B$2:$Y$301, MATCH(ROUND(MIN(300,MAX(1,D539)),0), FactorTable!$A$2:$A$301,0), Skills!L15+1)</f>
        <v/>
      </c>
      <c r="F539">
        <f>IF(Skills!M15=TRUE,(Skills!K15/10)*(E539/1000),Skills!K15/10)+Skills!N15</f>
        <v/>
      </c>
      <c r="G539">
        <f>Calc!G15</f>
        <v/>
      </c>
      <c r="H539">
        <f>Calc!H15</f>
        <v/>
      </c>
      <c r="I539">
        <f>IF(Skills!T15&lt;&gt;"",1+(Skills!T15/10)*($Z$3/1000)/100,1)</f>
        <v/>
      </c>
      <c r="J539" t="inlineStr"/>
      <c r="K539" t="inlineStr"/>
      <c r="L539" t="inlineStr"/>
      <c r="M539" t="inlineStr"/>
      <c r="N539" t="inlineStr"/>
      <c r="O539" t="n">
        <v>0</v>
      </c>
      <c r="P539">
        <f>IF(B562=0,0,O539/B562)</f>
        <v/>
      </c>
      <c r="S539" t="n">
        <v>0</v>
      </c>
      <c r="V539">
        <f>IFERROR(1/IF(Inputs!$B$4="pvp",15,MAX(0.1,Skills!D15-IF(Skills!E15=TRUE,Inputs!$B$31,0))),0)</f>
        <v/>
      </c>
    </row>
    <row r="540">
      <c r="A540">
        <f>Skills!A16</f>
        <v/>
      </c>
      <c r="B540">
        <f>Skills!B16</f>
        <v/>
      </c>
      <c r="C540">
        <f>Inputs!$B$3&gt;=49</f>
        <v/>
      </c>
      <c r="D540">
        <f>IF(Skills!C16=1,60+Inputs!$B$24+Inputs!$B$28,IF(Skills!C16=2,90+Inputs!$B$25+Inputs!$B$28,IF(Skills!C16=3,120+Inputs!$B$26+Inputs!$B$28,MAX(0,(Inputs!$B$3-100)*3)+Inputs!$B$27+Inputs!$B$28)))</f>
        <v/>
      </c>
      <c r="E540">
        <f>INDEX(FactorTable!$B$2:$Y$301, MATCH(ROUND(MIN(300,MAX(1,D540)),0), FactorTable!$A$2:$A$301,0), Skills!L16+1)</f>
        <v/>
      </c>
      <c r="F540">
        <f>IF(Skills!M16=TRUE,(Skills!K16/10)*(E540/1000),Skills!K16/10)+Skills!N16</f>
        <v/>
      </c>
      <c r="G540">
        <f>Calc!G16</f>
        <v/>
      </c>
      <c r="H540">
        <f>Calc!H16</f>
        <v/>
      </c>
      <c r="I540">
        <f>IF(Skills!T16&lt;&gt;"",1+(Skills!T16/10)*($Z$3/1000)/100,1)</f>
        <v/>
      </c>
      <c r="J540" t="inlineStr"/>
      <c r="K540" t="inlineStr"/>
      <c r="L540" t="inlineStr"/>
      <c r="M540" t="inlineStr"/>
      <c r="N540" t="inlineStr"/>
      <c r="O540" t="n">
        <v>0</v>
      </c>
      <c r="P540">
        <f>IF(B562=0,0,O540/B562)</f>
        <v/>
      </c>
      <c r="S540" t="n">
        <v>0</v>
      </c>
      <c r="V540">
        <f>IFERROR(1/IF(Inputs!$B$4="pvp",15,MAX(0.1,Skills!D16-IF(Skills!E16=TRUE,Inputs!$B$31,0))),0)</f>
        <v/>
      </c>
    </row>
    <row r="541">
      <c r="A541">
        <f>Skills!A17</f>
        <v/>
      </c>
      <c r="B541">
        <f>Skills!B17</f>
        <v/>
      </c>
      <c r="C541">
        <f>Inputs!$B$3&gt;=75</f>
        <v/>
      </c>
      <c r="D541">
        <f>IF(Skills!C17=1,60+Inputs!$B$24+Inputs!$B$28,IF(Skills!C17=2,90+Inputs!$B$25+Inputs!$B$28,IF(Skills!C17=3,120+Inputs!$B$26+Inputs!$B$28,MAX(0,(Inputs!$B$3-100)*3)+Inputs!$B$27+Inputs!$B$28)))</f>
        <v/>
      </c>
      <c r="E541">
        <f>INDEX(FactorTable!$B$2:$Y$301, MATCH(ROUND(MIN(300,MAX(1,D541)),0), FactorTable!$A$2:$A$301,0), Skills!L17+1)</f>
        <v/>
      </c>
      <c r="F541">
        <f>IF(Skills!M17=TRUE,(Skills!K17/10)*(E541/1000),Skills!K17/10)+Skills!N17</f>
        <v/>
      </c>
      <c r="G541">
        <f>Calc!G17</f>
        <v/>
      </c>
      <c r="H541">
        <f>Calc!H17</f>
        <v/>
      </c>
      <c r="I541">
        <f>IF(Skills!T17&lt;&gt;"",1+(Skills!T17/10)*($Z$3/1000)/100,1)</f>
        <v/>
      </c>
      <c r="J541" t="inlineStr"/>
      <c r="K541" t="inlineStr"/>
      <c r="L541" t="inlineStr"/>
      <c r="M541" t="inlineStr"/>
      <c r="N541" t="inlineStr"/>
      <c r="O541" t="n">
        <v>0</v>
      </c>
      <c r="P541">
        <f>IF(B562=0,0,O541/B562)</f>
        <v/>
      </c>
      <c r="S541" t="n">
        <v>0</v>
      </c>
      <c r="V541">
        <f>IFERROR(1/IF(Inputs!$B$4="pvp",15,MAX(0.1,Skills!D17-IF(Skills!E17=TRUE,Inputs!$B$31,0))),0)</f>
        <v/>
      </c>
    </row>
    <row r="542">
      <c r="A542">
        <f>Skills!A18</f>
        <v/>
      </c>
      <c r="B542">
        <f>Skills!B18</f>
        <v/>
      </c>
      <c r="C542">
        <f>Inputs!$B$3&gt;=110</f>
        <v/>
      </c>
      <c r="D542">
        <f>IF(Skills!C18=1,60+Inputs!$B$24+Inputs!$B$28,IF(Skills!C18=2,90+Inputs!$B$25+Inputs!$B$28,IF(Skills!C18=3,120+Inputs!$B$26+Inputs!$B$28,MAX(0,(Inputs!$B$3-100)*3)+Inputs!$B$27+Inputs!$B$28)))</f>
        <v/>
      </c>
      <c r="E542">
        <f>INDEX(FactorTable!$B$2:$Y$301, MATCH(ROUND(MIN(300,MAX(1,D542)),0), FactorTable!$A$2:$A$301,0), Skills!L18+1)</f>
        <v/>
      </c>
      <c r="F542">
        <f>(Skills!K18/10)*(E542/1000)*64/45+Skills!N18</f>
        <v/>
      </c>
      <c r="G542">
        <f>Calc!G18</f>
        <v/>
      </c>
      <c r="H542">
        <f>Calc!H18</f>
        <v/>
      </c>
      <c r="I542">
        <f>IF(Skills!T18&lt;&gt;"",1+(Skills!T18/10)*($Z$3/1000)/100,1)</f>
        <v/>
      </c>
      <c r="J542" t="inlineStr"/>
      <c r="K542" t="inlineStr"/>
      <c r="L542" t="inlineStr"/>
      <c r="M542" t="inlineStr"/>
      <c r="N542" t="inlineStr"/>
      <c r="O542" t="n">
        <v>0</v>
      </c>
      <c r="P542">
        <f>IF(B562=0,0,O542/B562)</f>
        <v/>
      </c>
      <c r="S542">
        <f>IF(AND(Inputs!$B$4&lt;&gt;"pvp",Inputs!$B$35&gt;0),(INT(Inputs!$B$35/IF(Inputs!$B$4="pvp",15,MAX(0.1,Skills!D18-IF(Skills!E18=TRUE,Inputs!$B$31,0))))+1),0)</f>
        <v/>
      </c>
      <c r="V542">
        <f>IFERROR(1/IF(Inputs!$B$4="pvp",15,MAX(0.1,Skills!D18-IF(Skills!E18=TRUE,Inputs!$B$31,0))),0)</f>
        <v/>
      </c>
    </row>
    <row r="543">
      <c r="A543">
        <f>Skills!A19</f>
        <v/>
      </c>
      <c r="B543">
        <f>Skills!B19</f>
        <v/>
      </c>
      <c r="C543">
        <f>Inputs!$B$3&gt;=125</f>
        <v/>
      </c>
      <c r="D543">
        <f>IF(Skills!C19=1,60+Inputs!$B$24+Inputs!$B$28,IF(Skills!C19=2,90+Inputs!$B$25+Inputs!$B$28,IF(Skills!C19=3,120+Inputs!$B$26+Inputs!$B$28,MAX(0,(Inputs!$B$3-100)*3)+Inputs!$B$27+Inputs!$B$28)))</f>
        <v/>
      </c>
      <c r="E543">
        <f>INDEX(FactorTable!$B$2:$Y$301, MATCH(ROUND(MIN(300,MAX(1,D543)),0), FactorTable!$A$2:$A$301,0), Skills!L19+1)</f>
        <v/>
      </c>
      <c r="F543">
        <f>IF(Skills!M19=TRUE,(Skills!K19/10)*(E543/1000),Skills!K19/10)+Skills!N19</f>
        <v/>
      </c>
      <c r="G543">
        <f>Calc!G19</f>
        <v/>
      </c>
      <c r="H543">
        <f>Calc!H19</f>
        <v/>
      </c>
      <c r="I543">
        <f>IF(Skills!T19&lt;&gt;"",1+(Skills!T19/10)*($Z$3/1000)/100,1)</f>
        <v/>
      </c>
      <c r="J543" t="inlineStr"/>
      <c r="K543" t="inlineStr"/>
      <c r="L543" t="inlineStr"/>
      <c r="M543" t="inlineStr"/>
      <c r="N543" t="inlineStr"/>
      <c r="O543" t="n">
        <v>0</v>
      </c>
      <c r="P543">
        <f>IF(B562=0,0,O543/B562)</f>
        <v/>
      </c>
      <c r="S543" t="n">
        <v>0</v>
      </c>
      <c r="V543">
        <f>IFERROR(1/IF(Inputs!$B$4="pvp",15,MAX(0.1,Skills!D19-IF(Skills!E19=TRUE,Inputs!$B$31,0))),0)</f>
        <v/>
      </c>
    </row>
    <row r="544">
      <c r="A544">
        <f>Skills!A20</f>
        <v/>
      </c>
      <c r="B544">
        <f>Skills!B20</f>
        <v/>
      </c>
      <c r="C544">
        <f>Inputs!$B$3&gt;=33</f>
        <v/>
      </c>
      <c r="D544">
        <f>IF(Skills!C20=1,60+Inputs!$B$24+Inputs!$B$28,IF(Skills!C20=2,90+Inputs!$B$25+Inputs!$B$28,IF(Skills!C20=3,120+Inputs!$B$26+Inputs!$B$28,MAX(0,(Inputs!$B$3-100)*3)+Inputs!$B$27+Inputs!$B$28)))</f>
        <v/>
      </c>
      <c r="E544">
        <f>INDEX(FactorTable!$B$2:$Y$301, MATCH(ROUND(MIN(300,MAX(1,D544)),0), FactorTable!$A$2:$A$301,0), Skills!L20+1)</f>
        <v/>
      </c>
      <c r="F544">
        <f>IF(Skills!M20=TRUE,(Skills!K20/10)*(E544/1000),Skills!K20/10)+Skills!N20</f>
        <v/>
      </c>
      <c r="G544">
        <f>Calc!G20</f>
        <v/>
      </c>
      <c r="H544">
        <f>Calc!H20</f>
        <v/>
      </c>
      <c r="I544">
        <f>IF(Skills!T20&lt;&gt;"",1+(Skills!T20/10)*($Z$3/1000)/100,1)</f>
        <v/>
      </c>
      <c r="J544" t="inlineStr"/>
      <c r="K544" t="inlineStr"/>
      <c r="L544" t="inlineStr"/>
      <c r="M544" t="inlineStr"/>
      <c r="N544" t="inlineStr"/>
      <c r="O544" t="n">
        <v>0</v>
      </c>
      <c r="P544">
        <f>IF(B562=0,0,O544/B562)</f>
        <v/>
      </c>
      <c r="S544" t="n">
        <v>0</v>
      </c>
      <c r="V544">
        <f>IFERROR(1/IF(Inputs!$B$4="pvp",15,MAX(0.1,Skills!D20-IF(Skills!E20=TRUE,Inputs!$B$31,0))),0)</f>
        <v/>
      </c>
    </row>
    <row r="545">
      <c r="A545">
        <f>Skills!A21</f>
        <v/>
      </c>
      <c r="B545">
        <f>Skills!B21</f>
        <v/>
      </c>
      <c r="C545">
        <f>Inputs!$B$3&gt;=43</f>
        <v/>
      </c>
      <c r="D545">
        <f>IF(Skills!C21=1,60+Inputs!$B$24+Inputs!$B$28,IF(Skills!C21=2,90+Inputs!$B$25+Inputs!$B$28,IF(Skills!C21=3,120+Inputs!$B$26+Inputs!$B$28,MAX(0,(Inputs!$B$3-100)*3)+Inputs!$B$27+Inputs!$B$28)))</f>
        <v/>
      </c>
      <c r="E545">
        <f>INDEX(FactorTable!$B$2:$Y$301, MATCH(ROUND(MIN(300,MAX(1,D545)),0), FactorTable!$A$2:$A$301,0), Skills!L21+1)</f>
        <v/>
      </c>
      <c r="F545">
        <f>IF(Skills!M21=TRUE,(Skills!K21/10)*(E545/1000),Skills!K21/10)+Skills!N21</f>
        <v/>
      </c>
      <c r="G545">
        <f>Calc!G21</f>
        <v/>
      </c>
      <c r="H545">
        <f>Calc!H21</f>
        <v/>
      </c>
      <c r="I545">
        <f>IF(Skills!T21&lt;&gt;"",1+(Skills!T21/10)*($Z$3/1000)/100,1)</f>
        <v/>
      </c>
      <c r="J545" t="inlineStr"/>
      <c r="K545" t="inlineStr"/>
      <c r="L545" t="inlineStr"/>
      <c r="M545" t="inlineStr"/>
      <c r="N545" t="inlineStr"/>
      <c r="O545" t="n">
        <v>0</v>
      </c>
      <c r="P545">
        <f>IF(B562=0,0,O545/B562)</f>
        <v/>
      </c>
      <c r="S545" t="n">
        <v>0</v>
      </c>
      <c r="V545">
        <f>IFERROR(1/IF(Inputs!$B$4="pvp",15,MAX(0.1,Skills!D21-IF(Skills!E21=TRUE,Inputs!$B$31,0))),0)</f>
        <v/>
      </c>
    </row>
    <row r="546">
      <c r="A546">
        <f>Skills!A22</f>
        <v/>
      </c>
      <c r="B546">
        <f>Skills!B22</f>
        <v/>
      </c>
      <c r="C546">
        <f>Inputs!$B$3&gt;=50</f>
        <v/>
      </c>
      <c r="D546">
        <f>IF(Skills!C22=1,60+Inputs!$B$24+Inputs!$B$28,IF(Skills!C22=2,90+Inputs!$B$25+Inputs!$B$28,IF(Skills!C22=3,120+Inputs!$B$26+Inputs!$B$28,MAX(0,(Inputs!$B$3-100)*3)+Inputs!$B$27+Inputs!$B$28)))</f>
        <v/>
      </c>
      <c r="E546">
        <f>INDEX(FactorTable!$B$2:$Y$301, MATCH(ROUND(MIN(300,MAX(1,D546)),0), FactorTable!$A$2:$A$301,0), Skills!L22+1)</f>
        <v/>
      </c>
      <c r="F546">
        <f>IF(Skills!M22=TRUE,(Skills!K22/10)*(E546/1000),Skills!K22/10)+Skills!N22</f>
        <v/>
      </c>
      <c r="G546">
        <f>Calc!G22</f>
        <v/>
      </c>
      <c r="H546">
        <f>Calc!H22</f>
        <v/>
      </c>
      <c r="I546">
        <f>IF(Skills!T22&lt;&gt;"",1+(Skills!T22/10)*($Z$3/1000)/100,1)</f>
        <v/>
      </c>
      <c r="J546" t="inlineStr"/>
      <c r="K546" t="inlineStr"/>
      <c r="L546" t="inlineStr"/>
      <c r="M546" t="inlineStr"/>
      <c r="N546" t="inlineStr"/>
      <c r="O546" t="n">
        <v>0</v>
      </c>
      <c r="P546">
        <f>IF(B562=0,0,O546/B562)</f>
        <v/>
      </c>
      <c r="S546" t="n">
        <v>0</v>
      </c>
      <c r="V546">
        <f>IFERROR(1/IF(Inputs!$B$4="pvp",15,MAX(0.1,Skills!D22-IF(Skills!E22=TRUE,Inputs!$B$31,0))),0)</f>
        <v/>
      </c>
    </row>
    <row r="547">
      <c r="A547">
        <f>Skills!A23</f>
        <v/>
      </c>
      <c r="B547">
        <f>Skills!B23</f>
        <v/>
      </c>
      <c r="C547">
        <f>Inputs!$B$3&gt;=74</f>
        <v/>
      </c>
      <c r="D547">
        <f>IF(Skills!C23=1,60+Inputs!$B$24+Inputs!$B$28,IF(Skills!C23=2,90+Inputs!$B$25+Inputs!$B$28,IF(Skills!C23=3,120+Inputs!$B$26+Inputs!$B$28,MAX(0,(Inputs!$B$3-100)*3)+Inputs!$B$27+Inputs!$B$28)))</f>
        <v/>
      </c>
      <c r="E547">
        <f>INDEX(FactorTable!$B$2:$Y$301, MATCH(ROUND(MIN(300,MAX(1,D547)),0), FactorTable!$A$2:$A$301,0), Skills!L23+1)</f>
        <v/>
      </c>
      <c r="F547">
        <f>IF(Skills!M23=TRUE,(Skills!K23/10)*(E547/1000),Skills!K23/10)+Skills!N23</f>
        <v/>
      </c>
      <c r="G547">
        <f>Calc!G23</f>
        <v/>
      </c>
      <c r="H547">
        <f>Calc!H23</f>
        <v/>
      </c>
      <c r="I547">
        <f>IF(Skills!T23&lt;&gt;"",1+(Skills!T23/10)*($Z$3/1000)/100,1)</f>
        <v/>
      </c>
      <c r="J547" t="inlineStr"/>
      <c r="K547" t="inlineStr"/>
      <c r="L547" t="inlineStr"/>
      <c r="M547" t="inlineStr"/>
      <c r="N547" t="inlineStr"/>
      <c r="O547" t="n">
        <v>0</v>
      </c>
      <c r="P547">
        <f>IF(B562=0,0,O547/B562)</f>
        <v/>
      </c>
      <c r="S547" t="n">
        <v>0</v>
      </c>
      <c r="V547">
        <f>IFERROR(1/IF(Inputs!$B$4="pvp",15,MAX(0.1,Skills!D23-IF(Skills!E23=TRUE,Inputs!$B$31,0))),0)</f>
        <v/>
      </c>
    </row>
    <row r="548">
      <c r="A548">
        <f>Skills!A24</f>
        <v/>
      </c>
      <c r="B548">
        <f>Skills!B24</f>
        <v/>
      </c>
      <c r="C548">
        <f>Inputs!$B$3&gt;=74</f>
        <v/>
      </c>
      <c r="D548">
        <f>IF(Skills!C24=1,60+Inputs!$B$24+Inputs!$B$28,IF(Skills!C24=2,90+Inputs!$B$25+Inputs!$B$28,IF(Skills!C24=3,120+Inputs!$B$26+Inputs!$B$28,MAX(0,(Inputs!$B$3-100)*3)+Inputs!$B$27+Inputs!$B$28)))</f>
        <v/>
      </c>
      <c r="E548">
        <f>INDEX(FactorTable!$B$2:$Y$301, MATCH(ROUND(MIN(300,MAX(1,D548)),0), FactorTable!$A$2:$A$301,0), Skills!L24+1)</f>
        <v/>
      </c>
      <c r="F548">
        <f>IF(Skills!M24=TRUE,(Skills!K24/10)*(E548/1000),Skills!K24/10)+Skills!N24</f>
        <v/>
      </c>
      <c r="G548">
        <f>Calc!G24</f>
        <v/>
      </c>
      <c r="H548">
        <f>Calc!H24</f>
        <v/>
      </c>
      <c r="I548">
        <f>IF(Skills!T24&lt;&gt;"",1+(Skills!T24/10)*($Z$3/1000)/100,1)</f>
        <v/>
      </c>
      <c r="J548" t="inlineStr"/>
      <c r="K548" t="inlineStr"/>
      <c r="L548" t="inlineStr"/>
      <c r="M548" t="inlineStr"/>
      <c r="N548" t="inlineStr"/>
      <c r="O548" t="n">
        <v>0</v>
      </c>
      <c r="P548">
        <f>IF(B562=0,0,O548/B562)</f>
        <v/>
      </c>
      <c r="S548" t="n">
        <v>0</v>
      </c>
      <c r="V548">
        <f>IFERROR(1/IF(Inputs!$B$4="pvp",15,MAX(0.1,Skills!D24-IF(Skills!E24=TRUE,Inputs!$B$31,0))),0)</f>
        <v/>
      </c>
    </row>
    <row r="549">
      <c r="A549">
        <f>Skills!A25</f>
        <v/>
      </c>
      <c r="B549">
        <f>Skills!B25</f>
        <v/>
      </c>
      <c r="C549">
        <f>Inputs!$B$3&gt;=117</f>
        <v/>
      </c>
      <c r="D549">
        <f>IF(Skills!C25=1,60+Inputs!$B$24+Inputs!$B$28,IF(Skills!C25=2,90+Inputs!$B$25+Inputs!$B$28,IF(Skills!C25=3,120+Inputs!$B$26+Inputs!$B$28,MAX(0,(Inputs!$B$3-100)*3)+Inputs!$B$27+Inputs!$B$28)))</f>
        <v/>
      </c>
      <c r="E549">
        <f>INDEX(FactorTable!$B$2:$Y$301, MATCH(ROUND(MIN(300,MAX(1,D549)),0), FactorTable!$A$2:$A$301,0), Skills!L25+1)</f>
        <v/>
      </c>
      <c r="F549">
        <f>IF(Skills!M25=TRUE,(Skills!K25/10)*(E549/1000),Skills!K25/10)+Skills!N25</f>
        <v/>
      </c>
      <c r="G549">
        <f>Calc!G25</f>
        <v/>
      </c>
      <c r="H549">
        <f>Calc!H25</f>
        <v/>
      </c>
      <c r="I549">
        <f>IF(Skills!T25&lt;&gt;"",1+(Skills!T25/10)*($Z$3/1000)/100,1)</f>
        <v/>
      </c>
      <c r="J549" t="inlineStr"/>
      <c r="K549" t="inlineStr"/>
      <c r="L549" t="inlineStr"/>
      <c r="M549" t="inlineStr"/>
      <c r="N549" t="inlineStr"/>
      <c r="O549" t="n">
        <v>0</v>
      </c>
      <c r="P549">
        <f>IF(B562=0,0,O549/B562)</f>
        <v/>
      </c>
      <c r="S549" t="n">
        <v>0</v>
      </c>
      <c r="V549">
        <f>IFERROR(1/IF(Inputs!$B$4="pvp",15,MAX(0.1,Skills!D25-IF(Skills!E25=TRUE,Inputs!$B$31,0))),0)</f>
        <v/>
      </c>
    </row>
    <row r="550">
      <c r="A550">
        <f>Skills!A26</f>
        <v/>
      </c>
      <c r="B550">
        <f>Skills!B26</f>
        <v/>
      </c>
      <c r="C550">
        <f>Inputs!$B$3&gt;=120</f>
        <v/>
      </c>
      <c r="D550">
        <f>IF(Skills!C26=1,60+Inputs!$B$24+Inputs!$B$28,IF(Skills!C26=2,90+Inputs!$B$25+Inputs!$B$28,IF(Skills!C26=3,120+Inputs!$B$26+Inputs!$B$28,MAX(0,(Inputs!$B$3-100)*3)+Inputs!$B$27+Inputs!$B$28)))</f>
        <v/>
      </c>
      <c r="E550">
        <f>INDEX(FactorTable!$B$2:$Y$301, MATCH(ROUND(MIN(300,MAX(1,D550)),0), FactorTable!$A$2:$A$301,0), Skills!L26+1)</f>
        <v/>
      </c>
      <c r="F550">
        <f>IF(Skills!M26=TRUE,(Skills!K26/10)*(E550/1000),Skills!K26/10)+Skills!N26</f>
        <v/>
      </c>
      <c r="G550">
        <f>Calc!G26</f>
        <v/>
      </c>
      <c r="H550">
        <f>Calc!H26</f>
        <v/>
      </c>
      <c r="I550">
        <f>IF(Skills!T26&lt;&gt;"",1+(Skills!T26/10)*($Z$3/1000)/100,1)</f>
        <v/>
      </c>
      <c r="J550" t="inlineStr"/>
      <c r="K550" t="inlineStr"/>
      <c r="L550" t="inlineStr"/>
      <c r="M550" t="inlineStr"/>
      <c r="N550" t="inlineStr"/>
      <c r="O550" t="n">
        <v>0</v>
      </c>
      <c r="P550">
        <f>IF(B562=0,0,O550/B562)</f>
        <v/>
      </c>
      <c r="S550" t="n">
        <v>0</v>
      </c>
      <c r="V550">
        <f>IFERROR(1/IF(Inputs!$B$4="pvp",15,MAX(0.1,Skills!D26-IF(Skills!E26=TRUE,Inputs!$B$31,0))),0)</f>
        <v/>
      </c>
    </row>
    <row r="552">
      <c r="A552" t="inlineStr">
        <is>
          <t>Average Buff Multiplier</t>
        </is>
      </c>
      <c r="B552">
        <f>(1+(IF(C527=TRUE,F527*IF(AND(Inputs!$B$4&lt;&gt;"pvp",Inputs!$B$35&gt;0),(((S527-1)*(Skills!S3*(1+(Inputs!$B$33+IF(Inputs!$B$3&gt;=117,F549,0))/100))+MIN((Skills!S3*(1+(Inputs!$B$33+IF(Inputs!$B$3&gt;=117,F549,0))/100)),MAX(0,Inputs!$B$35-((S527-1)*Skills!D3))))/Inputs!$B$35),IF(Inputs!$B$4="pvp",MIN((Skills!S3*(1+(Inputs!$B$33+IF(Inputs!$B$3&gt;=117,F549,0))/100)),15)/15,(Skills!S3*(1+(Inputs!$B$33+IF(Inputs!$B$3&gt;=117,F549,0))/100))/Skills!D3)),0)+IF(C528=TRUE,F528*IF(AND(Inputs!$B$4&lt;&gt;"pvp",Inputs!$B$35&gt;0),(((S528-1)*(Skills!S4*(1+(Inputs!$B$33+IF(Inputs!$B$3&gt;=117,F549,0))/100))+MIN((Skills!S4*(1+(Inputs!$B$33+IF(Inputs!$B$3&gt;=117,F549,0))/100)),MAX(0,Inputs!$B$35-((S528-1)*Skills!D4))))/Inputs!$B$35),IF(Inputs!$B$4="pvp",MIN((Skills!S4*(1+(Inputs!$B$33+IF(Inputs!$B$3&gt;=117,F549,0))/100)),15)/15,(Skills!S4*(1+(Inputs!$B$33+IF(Inputs!$B$3&gt;=117,F549,0))/100))/Skills!D4)),0)+IF(C529=TRUE,F529*IF(AND(Inputs!$B$4&lt;&gt;"pvp",Inputs!$B$35&gt;0),(((S529-1)*(Skills!S5*(1+(Inputs!$B$33+IF(Inputs!$B$3&gt;=117,F549,0))/100))+MIN((Skills!S5*(1+(Inputs!$B$33+IF(Inputs!$B$3&gt;=117,F549,0))/100)),MAX(0,Inputs!$B$35-((S529-1)*Skills!D5))))/Inputs!$B$35),IF(Inputs!$B$4="pvp",MIN((Skills!S5*(1+(Inputs!$B$33+IF(Inputs!$B$3&gt;=117,F549,0))/100)),15)/15,(Skills!S5*(1+(Inputs!$B$33+IF(Inputs!$B$3&gt;=117,F549,0))/100))/Skills!D5)),0)+IF(C535=TRUE,F535*IF(AND(Inputs!$B$4&lt;&gt;"pvp",Inputs!$B$35&gt;0),(((S535-1)*(Skills!S11*(1+(Inputs!$B$33+IF(Inputs!$B$3&gt;=117,F549,0))/100))+MIN((Skills!S11*(1+(Inputs!$B$33+IF(Inputs!$B$3&gt;=117,F549,0))/100)),MAX(0,Inputs!$B$35-((S535-1)*Skills!D11))))/Inputs!$B$35),IF(Inputs!$B$4="pvp",MIN((Skills!S11*(1+(Inputs!$B$33+IF(Inputs!$B$3&gt;=117,F549,0))/100)),15)/15,(Skills!S11*(1+(Inputs!$B$33+IF(Inputs!$B$3&gt;=117,F549,0))/100))/Skills!D11)),0))/100)*IF(C537=TRUE,(1+F537*IF(AND(Inputs!$B$4&lt;&gt;"pvp",Inputs!$B$35&gt;0),(((S537-1)*(Skills!S13*(1+(Inputs!$B$33+IF(Inputs!$B$3&gt;=117,F549,0))/100))+MIN((Skills!S13*(1+(Inputs!$B$33+IF(Inputs!$B$3&gt;=117,F549,0))/100)),MAX(0,Inputs!$B$35-((S537-1)*Skills!D13))))/Inputs!$B$35),IF(Inputs!$B$4="pvp",MIN((Skills!S13*(1+(Inputs!$B$33+IF(Inputs!$B$3&gt;=117,F549,0))/100)),15)/15,(Skills!S13*(1+(Inputs!$B$33+IF(Inputs!$B$3&gt;=117,F549,0))/100))/Skills!D13))/100),1)*IF(C542=TRUE,(1+F542*IF(AND(Inputs!$B$4&lt;&gt;"pvp",Inputs!$B$35&gt;0),(((S542-1)*(Skills!S18*(1+(Inputs!$B$33+IF(Inputs!$B$3&gt;=117,F549,0))/100))+MIN((Skills!S18*(1+(Inputs!$B$33+IF(Inputs!$B$3&gt;=117,F549,0))/100)),MAX(0,Inputs!$B$35-((S542-1)*Skills!D18))))/Inputs!$B$35),IF(Inputs!$B$4="pvp",MIN((Skills!S18*(1+(Inputs!$B$33+IF(Inputs!$B$3&gt;=117,F549,0))/100)),15)/15,(Skills!S18*(1+(Inputs!$B$33+IF(Inputs!$B$3&gt;=117,F549,0))/100))/Skills!D18))/100),1)</f>
        <v/>
      </c>
    </row>
    <row r="553">
      <c r="A553" t="inlineStr">
        <is>
          <t>Monster Damage Taken Bonus % (Holy Fountain)</t>
        </is>
      </c>
      <c r="B553">
        <f>IF(Inputs!$B$3&gt;=68,20*IF(Inputs!$B$4="pvp",MIN((15*(1+(Inputs!$B$33+IF(Inputs!$B$3&gt;=117,F549,0))/100)),15)/15,(15*(1+(Inputs!$B$33+IF(Inputs!$B$3&gt;=117,F549,0))/100))/Skills!D10),0)</f>
        <v/>
      </c>
    </row>
    <row r="554">
      <c r="A554" t="inlineStr">
        <is>
          <t>Normal Monster Damage Bonus % (Holy Symbol)</t>
        </is>
      </c>
      <c r="B554">
        <f>IF(C536=TRUE,F536*IF(AND(Inputs!$B$4&lt;&gt;"pvp",Inputs!$B$35&gt;0),(((S536-1)*(Skills!S12*(1+(Inputs!$B$33+IF(Inputs!$B$3&gt;=117,F549,0))/100))+MIN((Skills!S12*(1+(Inputs!$B$33+IF(Inputs!$B$3&gt;=117,F549,0))/100)),MAX(0,Inputs!$B$35-((S536-1)*Skills!D12))))/Inputs!$B$35),IF(Inputs!$B$4="pvp",MIN((Skills!S12*(1+(Inputs!$B$33+IF(Inputs!$B$3&gt;=117,F549,0))/100)),15)/15,(Skills!S12*(1+(Inputs!$B$33+IF(Inputs!$B$3&gt;=117,F549,0))/100))/Skills!D12)),0)</f>
        <v/>
      </c>
    </row>
    <row r="555">
      <c r="A555" t="inlineStr">
        <is>
          <t>Damage % Bonus (Holy Symbol - Damage Boost)</t>
        </is>
      </c>
      <c r="B555">
        <f>Skills!O12</f>
        <v/>
      </c>
    </row>
    <row r="556">
      <c r="A556" t="inlineStr">
        <is>
          <t>Crit Damage % Bonus (Blood of the Divine)</t>
        </is>
      </c>
      <c r="B556">
        <f>4*IF(C543=TRUE,F543,0)</f>
        <v/>
      </c>
    </row>
    <row r="557">
      <c r="A557" t="inlineStr">
        <is>
          <t>Attack Speed Bonus %</t>
        </is>
      </c>
      <c r="B557">
        <f>IF(C540=TRUE,F540+(F544-Calc!F20),0)+IF(Inputs!$B$3&gt;=134,15,0)</f>
        <v/>
      </c>
    </row>
    <row r="558">
      <c r="A558" t="inlineStr">
        <is>
          <t>Actions Per Second</t>
        </is>
      </c>
      <c r="B558">
        <f>1+MIN(150,150*(1-(1-Inputs!$B$10/150)*(1-B557/150)))/100</f>
        <v/>
      </c>
    </row>
    <row r="559">
      <c r="A559" t="inlineStr">
        <is>
          <t>Skill + Buff Cast Rate</t>
        </is>
      </c>
      <c r="B559">
        <f>IF(AND(Inputs!$B$4&lt;&gt;"pvp",Inputs!$B$35&gt;0),SUMPRODUCT((Skills!E2:E26=TRUE)*(C526:C550=TRUE)*S526:S550)/Inputs!$B$35,SUMPRODUCT((Skills!E2:E26=TRUE)*(C526:C550=TRUE)*V526:V550))</f>
        <v/>
      </c>
    </row>
    <row r="560">
      <c r="A560" t="inlineStr">
        <is>
          <t>Big Bang Casts Per Second</t>
        </is>
      </c>
      <c r="B560">
        <f>MAX(0,B558-B559)</f>
        <v/>
      </c>
    </row>
    <row r="562">
      <c r="A562" s="5" t="inlineStr">
        <is>
          <t>TOTAL DPS</t>
        </is>
      </c>
      <c r="B562" s="5">
        <f>SUM(O526:O550)</f>
        <v/>
      </c>
    </row>
    <row r="565">
      <c r="A565" s="5" t="inlineStr">
        <is>
          <t>Stat: BASIC_ATTACK_DAMAGE %</t>
        </is>
      </c>
    </row>
    <row r="566">
      <c r="A566" s="8" t="inlineStr">
        <is>
          <t>Key</t>
        </is>
      </c>
      <c r="B566" s="8" t="inlineStr">
        <is>
          <t>Name</t>
        </is>
      </c>
      <c r="C566" s="8" t="inlineStr">
        <is>
          <t>Unlocked</t>
        </is>
      </c>
      <c r="D566" s="8" t="inlineStr">
        <is>
          <t>InputLevel</t>
        </is>
      </c>
      <c r="E566" s="8" t="inlineStr">
        <is>
          <t>Factor</t>
        </is>
      </c>
      <c r="F566" s="8" t="inlineStr">
        <is>
          <t>CoefficientPercent</t>
        </is>
      </c>
      <c r="G566" s="8" t="inlineStr">
        <is>
          <t>EffectiveHits</t>
        </is>
      </c>
      <c r="H566" s="8" t="inlineStr">
        <is>
          <t>ProcProbability</t>
        </is>
      </c>
      <c r="I566" s="8" t="inlineStr">
        <is>
          <t>MapleHeroMultiplier</t>
        </is>
      </c>
      <c r="J566" s="8" t="inlineStr">
        <is>
          <t>BaseDamage</t>
        </is>
      </c>
      <c r="K566" s="8" t="inlineStr">
        <is>
          <t>BaseHitDamage</t>
        </is>
      </c>
      <c r="L566" s="8" t="inlineStr">
        <is>
          <t>NonCritAvg</t>
        </is>
      </c>
      <c r="M566" s="8" t="inlineStr">
        <is>
          <t>CritAvg</t>
        </is>
      </c>
      <c r="N566" s="8" t="inlineStr">
        <is>
          <t>ExpectedDamage(perHit)</t>
        </is>
      </c>
      <c r="O566" s="8" t="inlineStr">
        <is>
          <t>DPS</t>
        </is>
      </c>
      <c r="P566" s="8" t="inlineStr">
        <is>
          <t>% of Total</t>
        </is>
      </c>
      <c r="R566" t="inlineStr">
        <is>
          <t>helpers</t>
        </is>
      </c>
    </row>
    <row r="567">
      <c r="A567">
        <f>Skills!A2</f>
        <v/>
      </c>
      <c r="B567">
        <f>Skills!B2</f>
        <v/>
      </c>
      <c r="C567">
        <f>Inputs!$B$3&gt;=100</f>
        <v/>
      </c>
      <c r="D567" t="inlineStr"/>
      <c r="E567" t="inlineStr"/>
      <c r="F567">
        <f>T569+Skills!N2</f>
        <v/>
      </c>
      <c r="G567">
        <f>Calc!G2</f>
        <v/>
      </c>
      <c r="H567">
        <f>Calc!H2</f>
        <v/>
      </c>
      <c r="I567">
        <f>IF(Skills!T2&lt;&gt;"",1+(Skills!T2/10)*($Z$3/1000)/100,1)</f>
        <v/>
      </c>
      <c r="J567">
        <f>((Inputs!$B$5*(1+Inputs!$B$6/100))+((Inputs!$B$11*(1+Inputs!$B$12/100))-(Inputs!$B$11*(1+Inputs!$B$12/100)))*(1+Inputs!$B$6/100))*(F567/100)</f>
        <v/>
      </c>
      <c r="K567">
        <f>J567*(1+((Inputs!$B$11*(1+Inputs!$B$12/100))*0.01+Inputs!$B$13*0.0025)/100)*(1+(Inputs!$B$14+B596)/100)*(1+IF(Inputs!$B$4="pvp",0,(1-Summary!$B$48)*(Inputs!$B$19+Skills!O2+B594)+Summary!$B$48*(Inputs!$B$20+Skills!P2+B595))/100)*(1+Inputs!$B$15/100)*(5000/(6000+Inputs!$B$7*(1-Inputs!$B$18/100)))*(1+Inputs!$B$23/100)*(1+IF(C582=TRUE,F582,0)/100)*(1+IF(C584=TRUE,F584,0)/100)*(1+IF(Skills!A2="TRIUMPH_FEATHER",IF(C580=TRUE,F580,0),0)/100)*(1+IF(C591=TRUE,F591,0)/100)^5*(1+(IF(Skills!A2="BIG_BANG",(Inputs!$B$16+1),Inputs!$B$17))/100)*(B593*I567)</f>
        <v/>
      </c>
      <c r="L567">
        <f>K567*(MIN(Inputs!$B$21+(F586-Calc!F21),Inputs!$B$22)/100+Inputs!$B$22/100)/2</f>
        <v/>
      </c>
      <c r="M567">
        <f>L567*(1+(Inputs!$B$9+B597+(F589-Calc!F24))/100)</f>
        <v/>
      </c>
      <c r="N567">
        <f>L567*(1-MIN(Inputs!$B$8+((F588-Calc!F23)+(F587-Calc!F22)),100)/100)+M567*(MIN(Inputs!$B$8+((F588-Calc!F23)+(F587-Calc!F22)),100)/100)</f>
        <v/>
      </c>
      <c r="O567">
        <f>IF(C567,Skills!F2*N567*B601*IF(Inputs!$B$4="pvp",1,(1-Summary!$B$48)*(1)+Summary!$B$48*(MIN((6+Inputs!$B$32),Inputs!$B$37))),0)</f>
        <v/>
      </c>
      <c r="P567">
        <f>IF(B603=0,0,O567/B603)</f>
        <v/>
      </c>
      <c r="S567" t="n">
        <v>0</v>
      </c>
      <c r="T567">
        <f>MAX(0,(Inputs!$B$3-100)*3)+Inputs!$B$27+Inputs!$B$28</f>
        <v/>
      </c>
      <c r="V567">
        <f>IFERROR(1/IF(Inputs!$B$4="pvp",15,MAX(0.1,Skills!D2-IF(Skills!E2=TRUE,Inputs!$B$31,0))),0)</f>
        <v/>
      </c>
    </row>
    <row r="568">
      <c r="A568">
        <f>Skills!A3</f>
        <v/>
      </c>
      <c r="B568">
        <f>Skills!B3</f>
        <v/>
      </c>
      <c r="C568">
        <f>Inputs!$B$3&gt;=15</f>
        <v/>
      </c>
      <c r="D568">
        <f>IF(Skills!C3=1,60+Inputs!$B$24+Inputs!$B$28,IF(Skills!C3=2,90+Inputs!$B$25+Inputs!$B$28,IF(Skills!C3=3,120+Inputs!$B$26+Inputs!$B$28,MAX(0,(Inputs!$B$3-100)*3)+Inputs!$B$27+Inputs!$B$28)))</f>
        <v/>
      </c>
      <c r="E568">
        <f>INDEX(FactorTable!$B$2:$Y$301, MATCH(ROUND(MIN(300,MAX(1,D568)),0), FactorTable!$A$2:$A$301,0), Skills!L3+1)</f>
        <v/>
      </c>
      <c r="F568">
        <f>IF(Skills!M3=TRUE,(Skills!K3/10)*(E568/1000),Skills!K3/10)+Skills!N3</f>
        <v/>
      </c>
      <c r="G568">
        <f>Calc!G3</f>
        <v/>
      </c>
      <c r="H568">
        <f>Calc!H3</f>
        <v/>
      </c>
      <c r="I568">
        <f>IF(Skills!T3&lt;&gt;"",1+(Skills!T3/10)*($Z$3/1000)/100,1)</f>
        <v/>
      </c>
      <c r="J568" t="inlineStr"/>
      <c r="K568" t="inlineStr"/>
      <c r="L568" t="inlineStr"/>
      <c r="M568" t="inlineStr"/>
      <c r="N568" t="inlineStr"/>
      <c r="O568" t="n">
        <v>0</v>
      </c>
      <c r="P568">
        <f>IF(B603=0,0,O568/B603)</f>
        <v/>
      </c>
      <c r="S568">
        <f>IF(AND(Inputs!$B$4&lt;&gt;"pvp",Inputs!$B$35&gt;0),(INT(Inputs!$B$35/IF(Inputs!$B$4="pvp",15,MAX(0.1,Skills!D3-IF(Skills!E3=TRUE,Inputs!$B$31,0))))+1),0)</f>
        <v/>
      </c>
      <c r="T568">
        <f>INDEX(FactorTable!$B$2:$Y$301, MATCH(ROUND(MIN(300,MAX(1,T567)),0), FactorTable!$A$2:$A$301,0), 22)</f>
        <v/>
      </c>
      <c r="V568">
        <f>IFERROR(1/IF(Inputs!$B$4="pvp",15,MAX(0.1,Skills!D3-IF(Skills!E3=TRUE,Inputs!$B$31,0))),0)</f>
        <v/>
      </c>
    </row>
    <row r="569">
      <c r="A569">
        <f>Skills!A4</f>
        <v/>
      </c>
      <c r="B569">
        <f>Skills!B4</f>
        <v/>
      </c>
      <c r="C569">
        <f>Inputs!$B$3&gt;=38</f>
        <v/>
      </c>
      <c r="D569">
        <f>IF(Skills!C4=1,60+Inputs!$B$24+Inputs!$B$28,IF(Skills!C4=2,90+Inputs!$B$25+Inputs!$B$28,IF(Skills!C4=3,120+Inputs!$B$26+Inputs!$B$28,MAX(0,(Inputs!$B$3-100)*3)+Inputs!$B$27+Inputs!$B$28)))</f>
        <v/>
      </c>
      <c r="E569">
        <f>INDEX(FactorTable!$B$2:$Y$301, MATCH(ROUND(MIN(300,MAX(1,D569)),0), FactorTable!$A$2:$A$301,0), Skills!L4+1)</f>
        <v/>
      </c>
      <c r="F569">
        <f>IF(Skills!M4=TRUE,(Skills!K4/10)*(E569/1000),Skills!K4/10)+Skills!N4</f>
        <v/>
      </c>
      <c r="G569">
        <f>Calc!G4</f>
        <v/>
      </c>
      <c r="H569">
        <f>Calc!H4</f>
        <v/>
      </c>
      <c r="I569">
        <f>IF(Skills!T4&lt;&gt;"",1+(Skills!T4/10)*($Z$3/1000)/100,1)</f>
        <v/>
      </c>
      <c r="J569" t="inlineStr"/>
      <c r="K569" t="inlineStr"/>
      <c r="L569" t="inlineStr"/>
      <c r="M569" t="inlineStr"/>
      <c r="N569" t="inlineStr"/>
      <c r="O569" t="n">
        <v>0</v>
      </c>
      <c r="P569">
        <f>IF(B603=0,0,O569/B603)</f>
        <v/>
      </c>
      <c r="S569">
        <f>IF(AND(Inputs!$B$4&lt;&gt;"pvp",Inputs!$B$35&gt;0),(INT(Inputs!$B$35/IF(Inputs!$B$4="pvp",15,MAX(0.1,Skills!D4-IF(Skills!E4=TRUE,Inputs!$B$31,0))))+1),0)</f>
        <v/>
      </c>
      <c r="T569">
        <f>290*T568/1000</f>
        <v/>
      </c>
      <c r="V569">
        <f>IFERROR(1/IF(Inputs!$B$4="pvp",15,MAX(0.1,Skills!D4-IF(Skills!E4=TRUE,Inputs!$B$31,0))),0)</f>
        <v/>
      </c>
    </row>
    <row r="570">
      <c r="A570">
        <f>Skills!A5</f>
        <v/>
      </c>
      <c r="B570">
        <f>Skills!B5</f>
        <v/>
      </c>
      <c r="C570">
        <f>Inputs!$B$3&gt;=40</f>
        <v/>
      </c>
      <c r="D570">
        <f>IF(Skills!C5=1,60+Inputs!$B$24+Inputs!$B$28,IF(Skills!C5=2,90+Inputs!$B$25+Inputs!$B$28,IF(Skills!C5=3,120+Inputs!$B$26+Inputs!$B$28,MAX(0,(Inputs!$B$3-100)*3)+Inputs!$B$27+Inputs!$B$28)))</f>
        <v/>
      </c>
      <c r="E570">
        <f>INDEX(FactorTable!$B$2:$Y$301, MATCH(ROUND(MIN(300,MAX(1,D570)),0), FactorTable!$A$2:$A$301,0), Skills!L5+1)</f>
        <v/>
      </c>
      <c r="F570">
        <f>IF(Skills!M5=TRUE,(Skills!K5/10)*(E570/1000),Skills!K5/10)+Skills!N5</f>
        <v/>
      </c>
      <c r="G570">
        <f>Calc!G5</f>
        <v/>
      </c>
      <c r="H570">
        <f>Calc!H5</f>
        <v/>
      </c>
      <c r="I570">
        <f>IF(Skills!T5&lt;&gt;"",1+(Skills!T5/10)*($Z$3/1000)/100,1)</f>
        <v/>
      </c>
      <c r="J570" t="inlineStr"/>
      <c r="K570" t="inlineStr"/>
      <c r="L570" t="inlineStr"/>
      <c r="M570" t="inlineStr"/>
      <c r="N570" t="inlineStr"/>
      <c r="O570" t="n">
        <v>0</v>
      </c>
      <c r="P570">
        <f>IF(B603=0,0,O570/B603)</f>
        <v/>
      </c>
      <c r="S570">
        <f>IF(AND(Inputs!$B$4&lt;&gt;"pvp",Inputs!$B$35&gt;0),(INT(Inputs!$B$35/IF(Inputs!$B$4="pvp",15,MAX(0.1,Skills!D5-IF(Skills!E5=TRUE,Inputs!$B$31,0))))+1),0)</f>
        <v/>
      </c>
      <c r="V570">
        <f>IFERROR(1/IF(Inputs!$B$4="pvp",15,MAX(0.1,Skills!D5-IF(Skills!E5=TRUE,Inputs!$B$31,0))),0)</f>
        <v/>
      </c>
    </row>
    <row r="571">
      <c r="A571">
        <f>Skills!A6</f>
        <v/>
      </c>
      <c r="B571">
        <f>Skills!B6</f>
        <v/>
      </c>
      <c r="C571">
        <f>Inputs!$B$3&gt;=103</f>
        <v/>
      </c>
      <c r="D571">
        <f>IF(Skills!C6=1,60+Inputs!$B$24+Inputs!$B$28,IF(Skills!C6=2,90+Inputs!$B$25+Inputs!$B$28,IF(Skills!C6=3,120+Inputs!$B$26+Inputs!$B$28,MAX(0,(Inputs!$B$3-100)*3)+Inputs!$B$27+Inputs!$B$28)))</f>
        <v/>
      </c>
      <c r="E571">
        <f>INDEX(FactorTable!$B$2:$Y$301, MATCH(ROUND(MIN(300,MAX(1,D571)),0), FactorTable!$A$2:$A$301,0), Skills!L6+1)</f>
        <v/>
      </c>
      <c r="F571">
        <f>IF(Skills!M6=TRUE,(Skills!K6/10)*(E571/1000),Skills!K6/10)+Skills!N6</f>
        <v/>
      </c>
      <c r="G571">
        <f>Calc!G6</f>
        <v/>
      </c>
      <c r="H571">
        <f>Calc!H6</f>
        <v/>
      </c>
      <c r="I571">
        <f>IF(Skills!T6&lt;&gt;"",1+(Skills!T6/10)*($Z$3/1000)/100,1)</f>
        <v/>
      </c>
      <c r="J571">
        <f>((Inputs!$B$5*(1+Inputs!$B$6/100))+((Inputs!$B$11*(1+Inputs!$B$12/100))-(Inputs!$B$11*(1+Inputs!$B$12/100)))*(1+Inputs!$B$6/100))*(F571/100)</f>
        <v/>
      </c>
      <c r="K571">
        <f>J571*(1+((Inputs!$B$11*(1+Inputs!$B$12/100))*0.01+Inputs!$B$13*0.0025)/100)*(1+(Inputs!$B$14+B596)/100)*(1+IF(Inputs!$B$4="pvp",0,(1-Summary!$B$48)*(Inputs!$B$19+Skills!O6+B594)+Summary!$B$48*(Inputs!$B$20+Skills!P6+B595))/100)*(1+Inputs!$B$15/100)*(5000/(6000+Inputs!$B$7*(1-Inputs!$B$18/100)))*(1+Inputs!$B$23/100)*(1+IF(C582=TRUE,F582,0)/100)*(1+IF(C584=TRUE,F584,0)/100)*(1+IF(Skills!A6="TRIUMPH_FEATHER",IF(C580=TRUE,F580,0),0)/100)*(1+IF(C591=TRUE,F591,0)/100)^5*(1+(IF(Skills!A6="BIG_BANG",(Inputs!$B$16+1),Inputs!$B$17))/100)*(B593*I571)</f>
        <v/>
      </c>
      <c r="L571">
        <f>K571*(MIN(Inputs!$B$21+(F586-Calc!F21),Inputs!$B$22)/100+Inputs!$B$22/100)/2</f>
        <v/>
      </c>
      <c r="M571">
        <f>L571*(1+(Inputs!$B$9+B597+(F589-Calc!F24))/100)</f>
        <v/>
      </c>
      <c r="N571">
        <f>L571*(1-MIN(Inputs!$B$8+((F588-Calc!F23)+(F587-Calc!F22)),100)/100)+M571*(MIN(Inputs!$B$8+((F588-Calc!F23)+(F587-Calc!F22)),100)/100)</f>
        <v/>
      </c>
      <c r="O571">
        <f>IF(C571,H571*N571*IF(AND(Inputs!$B$4&lt;&gt;"pvp",Inputs!$B$35&gt;0),((Skills!F6*((S571-1)*IF(Skills!G6&gt;0,Skills!H6/Skills!G6,1)+IF(Skills!G6&gt;0,MIN(Skills!H6,MAX(0,Inputs!$B$35-((S571-1)*IF(Inputs!$B$4="pvp",15,MAX(0.1,Skills!D6-IF(Skills!E6=TRUE,Inputs!$B$31,0))))))/Skills!G6,1)))/Inputs!$B$35),G571*V571)*IF(Inputs!$B$4="pvp",1,(1-Summary!$B$48)*(1)+Summary!$B$48*(MIN(Skills!Q6,Inputs!$B$37))),0)</f>
        <v/>
      </c>
      <c r="P571">
        <f>IF(B603=0,0,O571/B603)</f>
        <v/>
      </c>
      <c r="S571">
        <f>IF(AND(Inputs!$B$4&lt;&gt;"pvp",Inputs!$B$35&gt;0),(INT(Inputs!$B$35/IF(Inputs!$B$4="pvp",15,MAX(0.1,Skills!D6-IF(Skills!E6=TRUE,Inputs!$B$31,0))))+1),0)</f>
        <v/>
      </c>
      <c r="V571">
        <f>IFERROR(1/IF(Inputs!$B$4="pvp",15,MAX(0.1,Skills!D6-IF(Skills!E6=TRUE,Inputs!$B$31,0))),0)</f>
        <v/>
      </c>
    </row>
    <row r="572">
      <c r="A572">
        <f>Skills!A7</f>
        <v/>
      </c>
      <c r="B572">
        <f>Skills!B7</f>
        <v/>
      </c>
      <c r="C572">
        <f>Inputs!$B$3&gt;=122</f>
        <v/>
      </c>
      <c r="D572">
        <f>IF(Skills!C7=1,60+Inputs!$B$24+Inputs!$B$28,IF(Skills!C7=2,90+Inputs!$B$25+Inputs!$B$28,IF(Skills!C7=3,120+Inputs!$B$26+Inputs!$B$28,MAX(0,(Inputs!$B$3-100)*3)+Inputs!$B$27+Inputs!$B$28)))</f>
        <v/>
      </c>
      <c r="E572">
        <f>INDEX(FactorTable!$B$2:$Y$301, MATCH(ROUND(MIN(300,MAX(1,D572)),0), FactorTable!$A$2:$A$301,0), Skills!L7+1)</f>
        <v/>
      </c>
      <c r="F572">
        <f>IF(Skills!M7=TRUE,(Skills!K7/10)*(E572/1000),Skills!K7/10)+Skills!N7</f>
        <v/>
      </c>
      <c r="G572">
        <f>Calc!G7</f>
        <v/>
      </c>
      <c r="H572">
        <f>Calc!H7</f>
        <v/>
      </c>
      <c r="I572">
        <f>IF(Skills!T7&lt;&gt;"",1+(Skills!T7/10)*($Z$3/1000)/100,1)</f>
        <v/>
      </c>
      <c r="J572">
        <f>((Inputs!$B$5*(1+Inputs!$B$6/100))+((Inputs!$B$11*(1+Inputs!$B$12/100))-(Inputs!$B$11*(1+Inputs!$B$12/100)))*(1+Inputs!$B$6/100))*(F572/100)</f>
        <v/>
      </c>
      <c r="K572">
        <f>J572*(1+((Inputs!$B$11*(1+Inputs!$B$12/100))*0.01+Inputs!$B$13*0.0025)/100)*(1+(Inputs!$B$14+B596)/100)*(1+IF(Inputs!$B$4="pvp",0,(1-Summary!$B$48)*(Inputs!$B$19+Skills!O7+B594)+Summary!$B$48*(Inputs!$B$20+Skills!P7+B595))/100)*(1+Inputs!$B$15/100)*(5000/(6000+Inputs!$B$7*(1-Inputs!$B$18/100)))*(1+Inputs!$B$23/100)*(1+IF(C582=TRUE,F582,0)/100)*(1+IF(C584=TRUE,F584,0)/100)*(1+IF(Skills!A7="TRIUMPH_FEATHER",IF(C580=TRUE,F580,0),0)/100)*(1+IF(C591=TRUE,F591,0)/100)^5*(1+(IF(Skills!A7="BIG_BANG",(Inputs!$B$16+1),Inputs!$B$17))/100)*(B593*I572)</f>
        <v/>
      </c>
      <c r="L572">
        <f>K572*(MIN(Inputs!$B$21+(F586-Calc!F21),Inputs!$B$22)/100+Inputs!$B$22/100)/2</f>
        <v/>
      </c>
      <c r="M572">
        <f>L572*(1+(Inputs!$B$9+B597+(F589-Calc!F24))/100)</f>
        <v/>
      </c>
      <c r="N572">
        <f>L572*(1-MIN(Inputs!$B$8+((F588-Calc!F23)+(F587-Calc!F22)),100)/100)+M572*(MIN(Inputs!$B$8+((F588-Calc!F23)+(F587-Calc!F22)),100)/100)</f>
        <v/>
      </c>
      <c r="O572">
        <f>IF(C572,H572*N572*IF(AND(Inputs!$B$4&lt;&gt;"pvp",Inputs!$B$35&gt;0),((Skills!F7*((S572-1)*IF(Skills!G7&gt;0,Skills!H7/Skills!G7,1)+IF(Skills!G7&gt;0,MIN(Skills!H7,MAX(0,Inputs!$B$35-((S572-1)*IF(Inputs!$B$4="pvp",15,MAX(0.1,Skills!D7-IF(Skills!E6=TRUE,Inputs!$B$31,0))))))/Skills!G7,1)))/Inputs!$B$35),G572*V572)*(1-Summary!$B$48),0)</f>
        <v/>
      </c>
      <c r="P572">
        <f>IF(B603=0,0,O572/B603)</f>
        <v/>
      </c>
      <c r="S572">
        <f>IF(AND(Inputs!$B$4&lt;&gt;"pvp",Inputs!$B$35&gt;0),(INT(Inputs!$B$35/IF(Inputs!$B$4="pvp",15,MAX(0.1,Skills!D7-IF(Skills!E6=TRUE,Inputs!$B$31,0))))+1),0)</f>
        <v/>
      </c>
      <c r="V572">
        <f>IFERROR(1/IF(Inputs!$B$4="pvp",15,MAX(0.1,Skills!D7-IF(Skills!E6=TRUE,Inputs!$B$31,0))),0)</f>
        <v/>
      </c>
    </row>
    <row r="573">
      <c r="A573">
        <f>Skills!A8</f>
        <v/>
      </c>
      <c r="B573">
        <f>Skills!B8</f>
        <v/>
      </c>
      <c r="C573">
        <f>Inputs!$B$3&gt;=105</f>
        <v/>
      </c>
      <c r="D573">
        <f>IF(Skills!C8=1,60+Inputs!$B$24+Inputs!$B$28,IF(Skills!C8=2,90+Inputs!$B$25+Inputs!$B$28,IF(Skills!C8=3,120+Inputs!$B$26+Inputs!$B$28,MAX(0,(Inputs!$B$3-100)*3)+Inputs!$B$27+Inputs!$B$28)))</f>
        <v/>
      </c>
      <c r="E573">
        <f>INDEX(FactorTable!$B$2:$Y$301, MATCH(ROUND(MIN(300,MAX(1,D573)),0), FactorTable!$A$2:$A$301,0), Skills!L8+1)</f>
        <v/>
      </c>
      <c r="F573">
        <f>IF(Skills!M8=TRUE,(Skills!K8/10)*(E573/1000),Skills!K8/10)+Skills!N8</f>
        <v/>
      </c>
      <c r="G573">
        <f>Calc!G8</f>
        <v/>
      </c>
      <c r="H573">
        <f>Calc!H8</f>
        <v/>
      </c>
      <c r="I573">
        <f>IF(Skills!T8&lt;&gt;"",1+(Skills!T8/10)*($Z$3/1000)/100,1)</f>
        <v/>
      </c>
      <c r="J573">
        <f>((Inputs!$B$5*(1+Inputs!$B$6/100))+((Inputs!$B$11*(1+Inputs!$B$12/100))-(Inputs!$B$11*(1+Inputs!$B$12/100)))*(1+Inputs!$B$6/100))*(F573/100)</f>
        <v/>
      </c>
      <c r="K573">
        <f>J573*(1+((Inputs!$B$11*(1+Inputs!$B$12/100))*0.01+Inputs!$B$13*0.0025)/100)*(1+(Inputs!$B$14+B596)/100)*(1+IF(Inputs!$B$4="pvp",0,(1-Summary!$B$48)*(Inputs!$B$19+Skills!O8+B594)+Summary!$B$48*(Inputs!$B$20+Skills!P8+B595))/100)*(1+Inputs!$B$15/100)*(5000/(6000+Inputs!$B$7*(1-Inputs!$B$18/100)))*(1+Inputs!$B$23/100)*(1+IF(C582=TRUE,F582,0)/100)*(1+IF(C584=TRUE,F584,0)/100)*(1+IF(Skills!A8="TRIUMPH_FEATHER",IF(C580=TRUE,F580,0),0)/100)*(1+IF(C591=TRUE,F591,0)/100)^5*(1+(IF(Skills!A8="BIG_BANG",(Inputs!$B$16+1),Inputs!$B$17))/100)*(B593*I573)</f>
        <v/>
      </c>
      <c r="L573">
        <f>K573*(MIN(Inputs!$B$21+(F586-Calc!F21),Inputs!$B$22)/100+Inputs!$B$22/100)/2</f>
        <v/>
      </c>
      <c r="M573">
        <f>L573*(1+(Inputs!$B$9+B597+(F589-Calc!F24))/100)</f>
        <v/>
      </c>
      <c r="N573">
        <f>L573*(1-MIN(Inputs!$B$8+((F588-Calc!F23)+(F587-Calc!F22)),100)/100)+M573*(MIN(Inputs!$B$8+((F588-Calc!F23)+(F587-Calc!F22)),100)/100)</f>
        <v/>
      </c>
      <c r="O573">
        <f>IF(C573,H573*N573*IF(AND(Inputs!$B$4&lt;&gt;"pvp",Inputs!$B$35&gt;0),((Skills!F8*((S573-1)*IF(Skills!G8&gt;0,Skills!H8/Skills!G8,1)+IF(Skills!G8&gt;0,MIN(Skills!H8,MAX(0,Inputs!$B$35-((S573-1)*IF(Inputs!$B$4="pvp",15,MAX(0.1,Skills!D8-IF(Skills!E8=TRUE,Inputs!$B$31,0))))))/Skills!G8,1)))/Inputs!$B$35),G573*V573)*IF(Inputs!$B$4="pvp",1,(1-Summary!$B$48)*(1)+Summary!$B$48*(MIN(Skills!Q8,Inputs!$B$37))),0)</f>
        <v/>
      </c>
      <c r="P573">
        <f>IF(B603=0,0,O573/B603)</f>
        <v/>
      </c>
      <c r="S573">
        <f>IF(AND(Inputs!$B$4&lt;&gt;"pvp",Inputs!$B$35&gt;0),(INT(Inputs!$B$35/IF(Inputs!$B$4="pvp",15,MAX(0.1,Skills!D8-IF(Skills!E8=TRUE,Inputs!$B$31,0))))+1),0)</f>
        <v/>
      </c>
      <c r="V573">
        <f>IFERROR(1/IF(Inputs!$B$4="pvp",15,MAX(0.1,Skills!D8-IF(Skills!E8=TRUE,Inputs!$B$31,0))),0)</f>
        <v/>
      </c>
    </row>
    <row r="574">
      <c r="A574">
        <f>Skills!A9</f>
        <v/>
      </c>
      <c r="B574">
        <f>Skills!B9</f>
        <v/>
      </c>
      <c r="C574">
        <f>Inputs!$B$3&gt;=115</f>
        <v/>
      </c>
      <c r="D574">
        <f>IF(Skills!C9=1,60+Inputs!$B$24+Inputs!$B$28,IF(Skills!C9=2,90+Inputs!$B$25+Inputs!$B$28,IF(Skills!C9=3,120+Inputs!$B$26+Inputs!$B$28,MAX(0,(Inputs!$B$3-100)*3)+Inputs!$B$27+Inputs!$B$28)))</f>
        <v/>
      </c>
      <c r="E574">
        <f>INDEX(FactorTable!$B$2:$Y$301, MATCH(ROUND(MIN(300,MAX(1,D574)),0), FactorTable!$A$2:$A$301,0), Skills!L9+1)</f>
        <v/>
      </c>
      <c r="F574">
        <f>IF(Skills!M9=TRUE,(Skills!K9/10)*(E574/1000),Skills!K9/10)+Skills!N9</f>
        <v/>
      </c>
      <c r="G574">
        <f>Calc!G9</f>
        <v/>
      </c>
      <c r="H574">
        <f>Calc!H9</f>
        <v/>
      </c>
      <c r="I574">
        <f>IF(Skills!T9&lt;&gt;"",1+(Skills!T9/10)*($Z$3/1000)/100,1)</f>
        <v/>
      </c>
      <c r="J574">
        <f>((Inputs!$B$5*(1+Inputs!$B$6/100))+((Inputs!$B$11*(1+Inputs!$B$12/100))-(Inputs!$B$11*(1+Inputs!$B$12/100)))*(1+Inputs!$B$6/100))*(F574/100)</f>
        <v/>
      </c>
      <c r="K574">
        <f>J574*(1+((Inputs!$B$11*(1+Inputs!$B$12/100))*0.01+Inputs!$B$13*0.0025)/100)*(1+(Inputs!$B$14+B596)/100)*(1+IF(Inputs!$B$4="pvp",0,(1-Summary!$B$48)*(Inputs!$B$19+Skills!O9+B594)+Summary!$B$48*(Inputs!$B$20+Skills!P9+B595))/100)*(1+Inputs!$B$15/100)*(5000/(6000+Inputs!$B$7*(1-Inputs!$B$18/100)))*(1+Inputs!$B$23/100)*(1+IF(C582=TRUE,F582,0)/100)*(1+IF(C584=TRUE,F584,0)/100)*(1+IF(Skills!A9="TRIUMPH_FEATHER",IF(C580=TRUE,F580,0),0)/100)*(1+IF(C591=TRUE,F591,0)/100)^5*(1+(IF(Skills!A9="BIG_BANG",(Inputs!$B$16+1),Inputs!$B$17))/100)*(B593*I574)</f>
        <v/>
      </c>
      <c r="L574">
        <f>K574*(MIN(Inputs!$B$21+(F586-Calc!F21),Inputs!$B$22)/100+Inputs!$B$22/100)/2</f>
        <v/>
      </c>
      <c r="M574">
        <f>L574*(1+(Inputs!$B$9+B597+(F589-Calc!F24))/100)</f>
        <v/>
      </c>
      <c r="N574">
        <f>L574*(1-MIN(Inputs!$B$8+((F588-Calc!F23)+(F587-Calc!F22)),100)/100)+M574*(MIN(Inputs!$B$8+((F588-Calc!F23)+(F587-Calc!F22)),100)/100)</f>
        <v/>
      </c>
      <c r="O574">
        <f>IF(C574,H574*N574*IF(AND(Inputs!$B$4&lt;&gt;"pvp",Inputs!$B$35&gt;0),((Skills!F9*((S574-1)*IF(Skills!G9&gt;0,Skills!H9/Skills!G9,1)+IF(Skills!G9&gt;0,MIN(Skills!H9,MAX(0,Inputs!$B$35-((S574-1)*IF(Inputs!$B$4="pvp",15,MAX(0.1,Skills!D9-IF(Skills!E9=TRUE,Inputs!$B$31,0))))))/Skills!G9,1)))/Inputs!$B$35),G574*V574)*IF(Inputs!$B$4="pvp",1,(1-Summary!$B$48)*(1)+Summary!$B$48*(MIN(Skills!Q9,Inputs!$B$37))),0)</f>
        <v/>
      </c>
      <c r="P574">
        <f>IF(B603=0,0,O574/B603)</f>
        <v/>
      </c>
      <c r="S574">
        <f>IF(AND(Inputs!$B$4&lt;&gt;"pvp",Inputs!$B$35&gt;0),(INT(Inputs!$B$35/IF(Inputs!$B$4="pvp",15,MAX(0.1,Skills!D9-IF(Skills!E9=TRUE,Inputs!$B$31,0))))+1),0)</f>
        <v/>
      </c>
      <c r="V574">
        <f>IFERROR(1/IF(Inputs!$B$4="pvp",15,MAX(0.1,Skills!D9-IF(Skills!E9=TRUE,Inputs!$B$31,0))),0)</f>
        <v/>
      </c>
    </row>
    <row r="575">
      <c r="A575">
        <f>Skills!A10</f>
        <v/>
      </c>
      <c r="B575">
        <f>Skills!B10</f>
        <v/>
      </c>
      <c r="C575">
        <f>Inputs!$B$3&gt;=66</f>
        <v/>
      </c>
      <c r="D575">
        <f>IF(Skills!C10=1,60+Inputs!$B$24+Inputs!$B$28,IF(Skills!C10=2,90+Inputs!$B$25+Inputs!$B$28,IF(Skills!C10=3,120+Inputs!$B$26+Inputs!$B$28,MAX(0,(Inputs!$B$3-100)*3)+Inputs!$B$27+Inputs!$B$28)))</f>
        <v/>
      </c>
      <c r="E575">
        <f>INDEX(FactorTable!$B$2:$Y$301, MATCH(ROUND(MIN(300,MAX(1,D575)),0), FactorTable!$A$2:$A$301,0), Skills!L10+1)</f>
        <v/>
      </c>
      <c r="F575" t="n">
        <v>0</v>
      </c>
      <c r="G575">
        <f>Calc!G10</f>
        <v/>
      </c>
      <c r="H575">
        <f>Calc!H10</f>
        <v/>
      </c>
      <c r="I575">
        <f>IF(Skills!T10&lt;&gt;"",1+(Skills!T10/10)*($Z$3/1000)/100,1)</f>
        <v/>
      </c>
      <c r="J575" t="inlineStr"/>
      <c r="K575" t="inlineStr"/>
      <c r="L575" t="inlineStr"/>
      <c r="M575" t="inlineStr"/>
      <c r="N575" t="inlineStr"/>
      <c r="O575" t="n">
        <v>0</v>
      </c>
      <c r="P575">
        <f>IF(B603=0,0,O575/B603)</f>
        <v/>
      </c>
      <c r="S575">
        <f>IF(AND(Inputs!$B$4&lt;&gt;"pvp",Inputs!$B$35&gt;0),(INT(Inputs!$B$35/IF(Inputs!$B$4="pvp",15,MAX(0.1,Skills!D10-IF(Skills!E10=TRUE,Inputs!$B$31,0))))+1),0)</f>
        <v/>
      </c>
      <c r="V575">
        <f>IFERROR(1/IF(Inputs!$B$4="pvp",15,MAX(0.1,Skills!D10-IF(Skills!E10=TRUE,Inputs!$B$31,0))),0)</f>
        <v/>
      </c>
    </row>
    <row r="576">
      <c r="A576">
        <f>Skills!A11</f>
        <v/>
      </c>
      <c r="B576">
        <f>Skills!B11</f>
        <v/>
      </c>
      <c r="C576">
        <f>Inputs!$B$3&gt;=69</f>
        <v/>
      </c>
      <c r="D576">
        <f>IF(Skills!C11=1,60+Inputs!$B$24+Inputs!$B$28,IF(Skills!C11=2,90+Inputs!$B$25+Inputs!$B$28,IF(Skills!C11=3,120+Inputs!$B$26+Inputs!$B$28,MAX(0,(Inputs!$B$3-100)*3)+Inputs!$B$27+Inputs!$B$28)))</f>
        <v/>
      </c>
      <c r="E576">
        <f>INDEX(FactorTable!$B$2:$Y$301, MATCH(ROUND(MIN(300,MAX(1,D576)),0), FactorTable!$A$2:$A$301,0), Skills!L11+1)</f>
        <v/>
      </c>
      <c r="F576">
        <f>IF(Skills!M11=TRUE,(Skills!K11/10)*(E576/1000),Skills!K11/10)+Skills!N11</f>
        <v/>
      </c>
      <c r="G576">
        <f>Calc!G11</f>
        <v/>
      </c>
      <c r="H576">
        <f>Calc!H11</f>
        <v/>
      </c>
      <c r="I576">
        <f>IF(Skills!T11&lt;&gt;"",1+(Skills!T11/10)*($Z$3/1000)/100,1)</f>
        <v/>
      </c>
      <c r="J576" t="inlineStr"/>
      <c r="K576" t="inlineStr"/>
      <c r="L576" t="inlineStr"/>
      <c r="M576" t="inlineStr"/>
      <c r="N576" t="inlineStr"/>
      <c r="O576" t="n">
        <v>0</v>
      </c>
      <c r="P576">
        <f>IF(B603=0,0,O576/B603)</f>
        <v/>
      </c>
      <c r="S576">
        <f>IF(AND(Inputs!$B$4&lt;&gt;"pvp",Inputs!$B$35&gt;0),(INT(Inputs!$B$35/IF(Inputs!$B$4="pvp",15,MAX(0.1,Skills!D11-IF(Skills!E11=TRUE,Inputs!$B$31,0))))+1),0)</f>
        <v/>
      </c>
      <c r="V576">
        <f>IFERROR(1/IF(Inputs!$B$4="pvp",15,MAX(0.1,Skills!D11-IF(Skills!E11=TRUE,Inputs!$B$31,0))),0)</f>
        <v/>
      </c>
    </row>
    <row r="577">
      <c r="A577">
        <f>Skills!A12</f>
        <v/>
      </c>
      <c r="B577">
        <f>Skills!B12</f>
        <v/>
      </c>
      <c r="C577">
        <f>Inputs!$B$3&gt;=72</f>
        <v/>
      </c>
      <c r="D577">
        <f>IF(Skills!C12=1,60+Inputs!$B$24+Inputs!$B$28,IF(Skills!C12=2,90+Inputs!$B$25+Inputs!$B$28,IF(Skills!C12=3,120+Inputs!$B$26+Inputs!$B$28,MAX(0,(Inputs!$B$3-100)*3)+Inputs!$B$27+Inputs!$B$28)))</f>
        <v/>
      </c>
      <c r="E577">
        <f>INDEX(FactorTable!$B$2:$Y$301, MATCH(ROUND(MIN(300,MAX(1,D577)),0), FactorTable!$A$2:$A$301,0), Skills!L12+1)</f>
        <v/>
      </c>
      <c r="F577">
        <f>IF(Skills!M12=TRUE,(Skills!K12/10)*(E577/1000),Skills!K12/10)+Skills!N12</f>
        <v/>
      </c>
      <c r="G577">
        <f>Calc!G12</f>
        <v/>
      </c>
      <c r="H577">
        <f>Calc!H12</f>
        <v/>
      </c>
      <c r="I577">
        <f>IF(Skills!T12&lt;&gt;"",1+(Skills!T12/10)*($Z$3/1000)/100,1)</f>
        <v/>
      </c>
      <c r="J577" t="inlineStr"/>
      <c r="K577" t="inlineStr"/>
      <c r="L577" t="inlineStr"/>
      <c r="M577" t="inlineStr"/>
      <c r="N577" t="inlineStr"/>
      <c r="O577" t="n">
        <v>0</v>
      </c>
      <c r="P577">
        <f>IF(B603=0,0,O577/B603)</f>
        <v/>
      </c>
      <c r="S577">
        <f>IF(AND(Inputs!$B$4&lt;&gt;"pvp",Inputs!$B$35&gt;0),(INT(Inputs!$B$35/IF(Inputs!$B$4="pvp",15,MAX(0.1,Skills!D12-IF(Skills!E12=TRUE,Inputs!$B$31,0))))+1),0)</f>
        <v/>
      </c>
      <c r="V577">
        <f>IFERROR(1/IF(Inputs!$B$4="pvp",15,MAX(0.1,Skills!D12-IF(Skills!E12=TRUE,Inputs!$B$31,0))),0)</f>
        <v/>
      </c>
    </row>
    <row r="578">
      <c r="A578">
        <f>Skills!A13</f>
        <v/>
      </c>
      <c r="B578">
        <f>Skills!B13</f>
        <v/>
      </c>
      <c r="C578">
        <f>Inputs!$B$3&gt;=107</f>
        <v/>
      </c>
      <c r="D578">
        <f>IF(Skills!C13=1,60+Inputs!$B$24+Inputs!$B$28,IF(Skills!C13=2,90+Inputs!$B$25+Inputs!$B$28,IF(Skills!C13=3,120+Inputs!$B$26+Inputs!$B$28,MAX(0,(Inputs!$B$3-100)*3)+Inputs!$B$27+Inputs!$B$28)))</f>
        <v/>
      </c>
      <c r="E578">
        <f>INDEX(FactorTable!$B$2:$Y$301, MATCH(ROUND(MIN(300,MAX(1,D578)),0), FactorTable!$A$2:$A$301,0), Skills!L13+1)</f>
        <v/>
      </c>
      <c r="F578">
        <f>IF(Skills!M13=TRUE,(Skills!K13/10)*(E578/1000),Skills!K13/10)+Skills!N13</f>
        <v/>
      </c>
      <c r="G578">
        <f>Calc!G13</f>
        <v/>
      </c>
      <c r="H578">
        <f>Calc!H13</f>
        <v/>
      </c>
      <c r="I578">
        <f>IF(Skills!T13&lt;&gt;"",1+(Skills!T13/10)*($Z$3/1000)/100,1)</f>
        <v/>
      </c>
      <c r="J578" t="inlineStr"/>
      <c r="K578" t="inlineStr"/>
      <c r="L578" t="inlineStr"/>
      <c r="M578" t="inlineStr"/>
      <c r="N578" t="inlineStr"/>
      <c r="O578" t="n">
        <v>0</v>
      </c>
      <c r="P578">
        <f>IF(B603=0,0,O578/B603)</f>
        <v/>
      </c>
      <c r="S578">
        <f>IF(AND(Inputs!$B$4&lt;&gt;"pvp",Inputs!$B$35&gt;0),(INT(Inputs!$B$35/IF(Inputs!$B$4="pvp",15,MAX(0.1,Skills!D13-IF(Skills!E13=TRUE,Inputs!$B$31,0))))+1),0)</f>
        <v/>
      </c>
      <c r="V578">
        <f>IFERROR(1/IF(Inputs!$B$4="pvp",15,MAX(0.1,Skills!D13-IF(Skills!E13=TRUE,Inputs!$B$31,0))),0)</f>
        <v/>
      </c>
    </row>
    <row r="579">
      <c r="A579">
        <f>Skills!A14</f>
        <v/>
      </c>
      <c r="B579">
        <f>Skills!B14</f>
        <v/>
      </c>
      <c r="C579">
        <f>Inputs!$B$3&gt;=63</f>
        <v/>
      </c>
      <c r="D579">
        <f>IF(Skills!C14=1,60+Inputs!$B$24+Inputs!$B$28,IF(Skills!C14=2,90+Inputs!$B$25+Inputs!$B$28,IF(Skills!C14=3,120+Inputs!$B$26+Inputs!$B$28,MAX(0,(Inputs!$B$3-100)*3)+Inputs!$B$27+Inputs!$B$28)))</f>
        <v/>
      </c>
      <c r="E579">
        <f>INDEX(FactorTable!$B$2:$Y$301, MATCH(ROUND(MIN(300,MAX(1,D579)),0), FactorTable!$A$2:$A$301,0), Skills!L14+1)</f>
        <v/>
      </c>
      <c r="F579">
        <f>IF(Skills!M14=TRUE,(Skills!K14/10)*(E579/1000),Skills!K14/10)+Skills!N14</f>
        <v/>
      </c>
      <c r="G579">
        <f>Calc!G14</f>
        <v/>
      </c>
      <c r="H579">
        <f>Calc!H14</f>
        <v/>
      </c>
      <c r="I579">
        <f>IF(Skills!T14&lt;&gt;"",1+(Skills!T14/10)*($Z$3/1000)/100,1)</f>
        <v/>
      </c>
      <c r="J579">
        <f>((Inputs!$B$5*(1+Inputs!$B$6/100))+((Inputs!$B$11*(1+Inputs!$B$12/100))-(Inputs!$B$11*(1+Inputs!$B$12/100)))*(1+Inputs!$B$6/100))*(F579/100)</f>
        <v/>
      </c>
      <c r="K579">
        <f>J579*(1+((Inputs!$B$11*(1+Inputs!$B$12/100))*0.01+Inputs!$B$13*0.0025)/100)*(1+(Inputs!$B$14+B596)/100)*(1+IF(Inputs!$B$4="pvp",0,(1-Summary!$B$48)*(Inputs!$B$19+Skills!O14+B594)+Summary!$B$48*(Inputs!$B$20+Skills!P14+B595))/100)*(1+Inputs!$B$15/100)*(5000/(6000+Inputs!$B$7*(1-Inputs!$B$18/100)))*(1+Inputs!$B$23/100)*(1+IF(C582=TRUE,F582,0)/100)*(1+IF(C584=TRUE,F584,0)/100)*(1+IF(Skills!A14="TRIUMPH_FEATHER",IF(C580=TRUE,F580,0),0)/100)*(1+IF(C591=TRUE,F591,0)/100)^5*(1+(IF(Skills!A14="BIG_BANG",(Inputs!$B$16+1),Inputs!$B$17))/100)*(B593*I579)</f>
        <v/>
      </c>
      <c r="L579">
        <f>K579*(MIN(Inputs!$B$21+(F586-Calc!F21),Inputs!$B$22)/100+Inputs!$B$22/100)/2</f>
        <v/>
      </c>
      <c r="M579">
        <f>L579*(1+(Inputs!$B$9+B597+(F589-Calc!F24))/100)</f>
        <v/>
      </c>
      <c r="N579">
        <f>L579*(1-MIN(Inputs!$B$8+((F588-Calc!F23)+(F587-Calc!F22)),100)/100)+M579*(MIN(Inputs!$B$8+((F588-Calc!F23)+(F587-Calc!F22)),100)/100)</f>
        <v/>
      </c>
      <c r="O579">
        <f>IF(C579,Skills!F14*N579*((IF(Inputs!$B$3&gt;=78,25,15)/100*B599*10)/(1+IF(Inputs!$B$3&gt;=78,25,15)/100*B599*10))*(Skills!I14/100*B599)/(1+Skills!G14*Skills!I14/100*B599)*IF(Inputs!$B$4="pvp",1,(1-Summary!$B$48)*(1)+Summary!$B$48*(MIN(Skills!Q14,Inputs!$B$37))),0)</f>
        <v/>
      </c>
      <c r="P579">
        <f>IF(B603=0,0,O579/B603)</f>
        <v/>
      </c>
      <c r="S579" t="n">
        <v>0</v>
      </c>
      <c r="V579">
        <f>IFERROR(1/IF(Inputs!$B$4="pvp",15,MAX(0.1,Skills!D14-IF(Skills!E14=TRUE,Inputs!$B$31,0))),0)</f>
        <v/>
      </c>
    </row>
    <row r="580">
      <c r="A580">
        <f>Skills!A15</f>
        <v/>
      </c>
      <c r="B580">
        <f>Skills!B15</f>
        <v/>
      </c>
      <c r="C580">
        <f>Inputs!$B$3&gt;=100</f>
        <v/>
      </c>
      <c r="D580">
        <f>IF(Skills!C15=1,60+Inputs!$B$24+Inputs!$B$28,IF(Skills!C15=2,90+Inputs!$B$25+Inputs!$B$28,IF(Skills!C15=3,120+Inputs!$B$26+Inputs!$B$28,MAX(0,(Inputs!$B$3-100)*3)+Inputs!$B$27+Inputs!$B$28)))</f>
        <v/>
      </c>
      <c r="E580">
        <f>INDEX(FactorTable!$B$2:$Y$301, MATCH(ROUND(MIN(300,MAX(1,D580)),0), FactorTable!$A$2:$A$301,0), Skills!L15+1)</f>
        <v/>
      </c>
      <c r="F580">
        <f>IF(Skills!M15=TRUE,(Skills!K15/10)*(E580/1000),Skills!K15/10)+Skills!N15</f>
        <v/>
      </c>
      <c r="G580">
        <f>Calc!G15</f>
        <v/>
      </c>
      <c r="H580">
        <f>Calc!H15</f>
        <v/>
      </c>
      <c r="I580">
        <f>IF(Skills!T15&lt;&gt;"",1+(Skills!T15/10)*($Z$3/1000)/100,1)</f>
        <v/>
      </c>
      <c r="J580" t="inlineStr"/>
      <c r="K580" t="inlineStr"/>
      <c r="L580" t="inlineStr"/>
      <c r="M580" t="inlineStr"/>
      <c r="N580" t="inlineStr"/>
      <c r="O580" t="n">
        <v>0</v>
      </c>
      <c r="P580">
        <f>IF(B603=0,0,O580/B603)</f>
        <v/>
      </c>
      <c r="S580" t="n">
        <v>0</v>
      </c>
      <c r="V580">
        <f>IFERROR(1/IF(Inputs!$B$4="pvp",15,MAX(0.1,Skills!D15-IF(Skills!E15=TRUE,Inputs!$B$31,0))),0)</f>
        <v/>
      </c>
    </row>
    <row r="581">
      <c r="A581">
        <f>Skills!A16</f>
        <v/>
      </c>
      <c r="B581">
        <f>Skills!B16</f>
        <v/>
      </c>
      <c r="C581">
        <f>Inputs!$B$3&gt;=49</f>
        <v/>
      </c>
      <c r="D581">
        <f>IF(Skills!C16=1,60+Inputs!$B$24+Inputs!$B$28,IF(Skills!C16=2,90+Inputs!$B$25+Inputs!$B$28,IF(Skills!C16=3,120+Inputs!$B$26+Inputs!$B$28,MAX(0,(Inputs!$B$3-100)*3)+Inputs!$B$27+Inputs!$B$28)))</f>
        <v/>
      </c>
      <c r="E581">
        <f>INDEX(FactorTable!$B$2:$Y$301, MATCH(ROUND(MIN(300,MAX(1,D581)),0), FactorTable!$A$2:$A$301,0), Skills!L16+1)</f>
        <v/>
      </c>
      <c r="F581">
        <f>IF(Skills!M16=TRUE,(Skills!K16/10)*(E581/1000),Skills!K16/10)+Skills!N16</f>
        <v/>
      </c>
      <c r="G581">
        <f>Calc!G16</f>
        <v/>
      </c>
      <c r="H581">
        <f>Calc!H16</f>
        <v/>
      </c>
      <c r="I581">
        <f>IF(Skills!T16&lt;&gt;"",1+(Skills!T16/10)*($Z$3/1000)/100,1)</f>
        <v/>
      </c>
      <c r="J581" t="inlineStr"/>
      <c r="K581" t="inlineStr"/>
      <c r="L581" t="inlineStr"/>
      <c r="M581" t="inlineStr"/>
      <c r="N581" t="inlineStr"/>
      <c r="O581" t="n">
        <v>0</v>
      </c>
      <c r="P581">
        <f>IF(B603=0,0,O581/B603)</f>
        <v/>
      </c>
      <c r="S581" t="n">
        <v>0</v>
      </c>
      <c r="V581">
        <f>IFERROR(1/IF(Inputs!$B$4="pvp",15,MAX(0.1,Skills!D16-IF(Skills!E16=TRUE,Inputs!$B$31,0))),0)</f>
        <v/>
      </c>
    </row>
    <row r="582">
      <c r="A582">
        <f>Skills!A17</f>
        <v/>
      </c>
      <c r="B582">
        <f>Skills!B17</f>
        <v/>
      </c>
      <c r="C582">
        <f>Inputs!$B$3&gt;=75</f>
        <v/>
      </c>
      <c r="D582">
        <f>IF(Skills!C17=1,60+Inputs!$B$24+Inputs!$B$28,IF(Skills!C17=2,90+Inputs!$B$25+Inputs!$B$28,IF(Skills!C17=3,120+Inputs!$B$26+Inputs!$B$28,MAX(0,(Inputs!$B$3-100)*3)+Inputs!$B$27+Inputs!$B$28)))</f>
        <v/>
      </c>
      <c r="E582">
        <f>INDEX(FactorTable!$B$2:$Y$301, MATCH(ROUND(MIN(300,MAX(1,D582)),0), FactorTable!$A$2:$A$301,0), Skills!L17+1)</f>
        <v/>
      </c>
      <c r="F582">
        <f>IF(Skills!M17=TRUE,(Skills!K17/10)*(E582/1000),Skills!K17/10)+Skills!N17</f>
        <v/>
      </c>
      <c r="G582">
        <f>Calc!G17</f>
        <v/>
      </c>
      <c r="H582">
        <f>Calc!H17</f>
        <v/>
      </c>
      <c r="I582">
        <f>IF(Skills!T17&lt;&gt;"",1+(Skills!T17/10)*($Z$3/1000)/100,1)</f>
        <v/>
      </c>
      <c r="J582" t="inlineStr"/>
      <c r="K582" t="inlineStr"/>
      <c r="L582" t="inlineStr"/>
      <c r="M582" t="inlineStr"/>
      <c r="N582" t="inlineStr"/>
      <c r="O582" t="n">
        <v>0</v>
      </c>
      <c r="P582">
        <f>IF(B603=0,0,O582/B603)</f>
        <v/>
      </c>
      <c r="S582" t="n">
        <v>0</v>
      </c>
      <c r="V582">
        <f>IFERROR(1/IF(Inputs!$B$4="pvp",15,MAX(0.1,Skills!D17-IF(Skills!E17=TRUE,Inputs!$B$31,0))),0)</f>
        <v/>
      </c>
    </row>
    <row r="583">
      <c r="A583">
        <f>Skills!A18</f>
        <v/>
      </c>
      <c r="B583">
        <f>Skills!B18</f>
        <v/>
      </c>
      <c r="C583">
        <f>Inputs!$B$3&gt;=110</f>
        <v/>
      </c>
      <c r="D583">
        <f>IF(Skills!C18=1,60+Inputs!$B$24+Inputs!$B$28,IF(Skills!C18=2,90+Inputs!$B$25+Inputs!$B$28,IF(Skills!C18=3,120+Inputs!$B$26+Inputs!$B$28,MAX(0,(Inputs!$B$3-100)*3)+Inputs!$B$27+Inputs!$B$28)))</f>
        <v/>
      </c>
      <c r="E583">
        <f>INDEX(FactorTable!$B$2:$Y$301, MATCH(ROUND(MIN(300,MAX(1,D583)),0), FactorTable!$A$2:$A$301,0), Skills!L18+1)</f>
        <v/>
      </c>
      <c r="F583">
        <f>(Skills!K18/10)*(E583/1000)*64/45+Skills!N18</f>
        <v/>
      </c>
      <c r="G583">
        <f>Calc!G18</f>
        <v/>
      </c>
      <c r="H583">
        <f>Calc!H18</f>
        <v/>
      </c>
      <c r="I583">
        <f>IF(Skills!T18&lt;&gt;"",1+(Skills!T18/10)*($Z$3/1000)/100,1)</f>
        <v/>
      </c>
      <c r="J583" t="inlineStr"/>
      <c r="K583" t="inlineStr"/>
      <c r="L583" t="inlineStr"/>
      <c r="M583" t="inlineStr"/>
      <c r="N583" t="inlineStr"/>
      <c r="O583" t="n">
        <v>0</v>
      </c>
      <c r="P583">
        <f>IF(B603=0,0,O583/B603)</f>
        <v/>
      </c>
      <c r="S583">
        <f>IF(AND(Inputs!$B$4&lt;&gt;"pvp",Inputs!$B$35&gt;0),(INT(Inputs!$B$35/IF(Inputs!$B$4="pvp",15,MAX(0.1,Skills!D18-IF(Skills!E18=TRUE,Inputs!$B$31,0))))+1),0)</f>
        <v/>
      </c>
      <c r="V583">
        <f>IFERROR(1/IF(Inputs!$B$4="pvp",15,MAX(0.1,Skills!D18-IF(Skills!E18=TRUE,Inputs!$B$31,0))),0)</f>
        <v/>
      </c>
    </row>
    <row r="584">
      <c r="A584">
        <f>Skills!A19</f>
        <v/>
      </c>
      <c r="B584">
        <f>Skills!B19</f>
        <v/>
      </c>
      <c r="C584">
        <f>Inputs!$B$3&gt;=125</f>
        <v/>
      </c>
      <c r="D584">
        <f>IF(Skills!C19=1,60+Inputs!$B$24+Inputs!$B$28,IF(Skills!C19=2,90+Inputs!$B$25+Inputs!$B$28,IF(Skills!C19=3,120+Inputs!$B$26+Inputs!$B$28,MAX(0,(Inputs!$B$3-100)*3)+Inputs!$B$27+Inputs!$B$28)))</f>
        <v/>
      </c>
      <c r="E584">
        <f>INDEX(FactorTable!$B$2:$Y$301, MATCH(ROUND(MIN(300,MAX(1,D584)),0), FactorTable!$A$2:$A$301,0), Skills!L19+1)</f>
        <v/>
      </c>
      <c r="F584">
        <f>IF(Skills!M19=TRUE,(Skills!K19/10)*(E584/1000),Skills!K19/10)+Skills!N19</f>
        <v/>
      </c>
      <c r="G584">
        <f>Calc!G19</f>
        <v/>
      </c>
      <c r="H584">
        <f>Calc!H19</f>
        <v/>
      </c>
      <c r="I584">
        <f>IF(Skills!T19&lt;&gt;"",1+(Skills!T19/10)*($Z$3/1000)/100,1)</f>
        <v/>
      </c>
      <c r="J584" t="inlineStr"/>
      <c r="K584" t="inlineStr"/>
      <c r="L584" t="inlineStr"/>
      <c r="M584" t="inlineStr"/>
      <c r="N584" t="inlineStr"/>
      <c r="O584" t="n">
        <v>0</v>
      </c>
      <c r="P584">
        <f>IF(B603=0,0,O584/B603)</f>
        <v/>
      </c>
      <c r="S584" t="n">
        <v>0</v>
      </c>
      <c r="V584">
        <f>IFERROR(1/IF(Inputs!$B$4="pvp",15,MAX(0.1,Skills!D19-IF(Skills!E19=TRUE,Inputs!$B$31,0))),0)</f>
        <v/>
      </c>
    </row>
    <row r="585">
      <c r="A585">
        <f>Skills!A20</f>
        <v/>
      </c>
      <c r="B585">
        <f>Skills!B20</f>
        <v/>
      </c>
      <c r="C585">
        <f>Inputs!$B$3&gt;=33</f>
        <v/>
      </c>
      <c r="D585">
        <f>IF(Skills!C20=1,60+Inputs!$B$24+Inputs!$B$28,IF(Skills!C20=2,90+Inputs!$B$25+Inputs!$B$28,IF(Skills!C20=3,120+Inputs!$B$26+Inputs!$B$28,MAX(0,(Inputs!$B$3-100)*3)+Inputs!$B$27+Inputs!$B$28)))</f>
        <v/>
      </c>
      <c r="E585">
        <f>INDEX(FactorTable!$B$2:$Y$301, MATCH(ROUND(MIN(300,MAX(1,D585)),0), FactorTable!$A$2:$A$301,0), Skills!L20+1)</f>
        <v/>
      </c>
      <c r="F585">
        <f>IF(Skills!M20=TRUE,(Skills!K20/10)*(E585/1000),Skills!K20/10)+Skills!N20</f>
        <v/>
      </c>
      <c r="G585">
        <f>Calc!G20</f>
        <v/>
      </c>
      <c r="H585">
        <f>Calc!H20</f>
        <v/>
      </c>
      <c r="I585">
        <f>IF(Skills!T20&lt;&gt;"",1+(Skills!T20/10)*($Z$3/1000)/100,1)</f>
        <v/>
      </c>
      <c r="J585" t="inlineStr"/>
      <c r="K585" t="inlineStr"/>
      <c r="L585" t="inlineStr"/>
      <c r="M585" t="inlineStr"/>
      <c r="N585" t="inlineStr"/>
      <c r="O585" t="n">
        <v>0</v>
      </c>
      <c r="P585">
        <f>IF(B603=0,0,O585/B603)</f>
        <v/>
      </c>
      <c r="S585" t="n">
        <v>0</v>
      </c>
      <c r="V585">
        <f>IFERROR(1/IF(Inputs!$B$4="pvp",15,MAX(0.1,Skills!D20-IF(Skills!E20=TRUE,Inputs!$B$31,0))),0)</f>
        <v/>
      </c>
    </row>
    <row r="586">
      <c r="A586">
        <f>Skills!A21</f>
        <v/>
      </c>
      <c r="B586">
        <f>Skills!B21</f>
        <v/>
      </c>
      <c r="C586">
        <f>Inputs!$B$3&gt;=43</f>
        <v/>
      </c>
      <c r="D586">
        <f>IF(Skills!C21=1,60+Inputs!$B$24+Inputs!$B$28,IF(Skills!C21=2,90+Inputs!$B$25+Inputs!$B$28,IF(Skills!C21=3,120+Inputs!$B$26+Inputs!$B$28,MAX(0,(Inputs!$B$3-100)*3)+Inputs!$B$27+Inputs!$B$28)))</f>
        <v/>
      </c>
      <c r="E586">
        <f>INDEX(FactorTable!$B$2:$Y$301, MATCH(ROUND(MIN(300,MAX(1,D586)),0), FactorTable!$A$2:$A$301,0), Skills!L21+1)</f>
        <v/>
      </c>
      <c r="F586">
        <f>IF(Skills!M21=TRUE,(Skills!K21/10)*(E586/1000),Skills!K21/10)+Skills!N21</f>
        <v/>
      </c>
      <c r="G586">
        <f>Calc!G21</f>
        <v/>
      </c>
      <c r="H586">
        <f>Calc!H21</f>
        <v/>
      </c>
      <c r="I586">
        <f>IF(Skills!T21&lt;&gt;"",1+(Skills!T21/10)*($Z$3/1000)/100,1)</f>
        <v/>
      </c>
      <c r="J586" t="inlineStr"/>
      <c r="K586" t="inlineStr"/>
      <c r="L586" t="inlineStr"/>
      <c r="M586" t="inlineStr"/>
      <c r="N586" t="inlineStr"/>
      <c r="O586" t="n">
        <v>0</v>
      </c>
      <c r="P586">
        <f>IF(B603=0,0,O586/B603)</f>
        <v/>
      </c>
      <c r="S586" t="n">
        <v>0</v>
      </c>
      <c r="V586">
        <f>IFERROR(1/IF(Inputs!$B$4="pvp",15,MAX(0.1,Skills!D21-IF(Skills!E21=TRUE,Inputs!$B$31,0))),0)</f>
        <v/>
      </c>
    </row>
    <row r="587">
      <c r="A587">
        <f>Skills!A22</f>
        <v/>
      </c>
      <c r="B587">
        <f>Skills!B22</f>
        <v/>
      </c>
      <c r="C587">
        <f>Inputs!$B$3&gt;=50</f>
        <v/>
      </c>
      <c r="D587">
        <f>IF(Skills!C22=1,60+Inputs!$B$24+Inputs!$B$28,IF(Skills!C22=2,90+Inputs!$B$25+Inputs!$B$28,IF(Skills!C22=3,120+Inputs!$B$26+Inputs!$B$28,MAX(0,(Inputs!$B$3-100)*3)+Inputs!$B$27+Inputs!$B$28)))</f>
        <v/>
      </c>
      <c r="E587">
        <f>INDEX(FactorTable!$B$2:$Y$301, MATCH(ROUND(MIN(300,MAX(1,D587)),0), FactorTable!$A$2:$A$301,0), Skills!L22+1)</f>
        <v/>
      </c>
      <c r="F587">
        <f>IF(Skills!M22=TRUE,(Skills!K22/10)*(E587/1000),Skills!K22/10)+Skills!N22</f>
        <v/>
      </c>
      <c r="G587">
        <f>Calc!G22</f>
        <v/>
      </c>
      <c r="H587">
        <f>Calc!H22</f>
        <v/>
      </c>
      <c r="I587">
        <f>IF(Skills!T22&lt;&gt;"",1+(Skills!T22/10)*($Z$3/1000)/100,1)</f>
        <v/>
      </c>
      <c r="J587" t="inlineStr"/>
      <c r="K587" t="inlineStr"/>
      <c r="L587" t="inlineStr"/>
      <c r="M587" t="inlineStr"/>
      <c r="N587" t="inlineStr"/>
      <c r="O587" t="n">
        <v>0</v>
      </c>
      <c r="P587">
        <f>IF(B603=0,0,O587/B603)</f>
        <v/>
      </c>
      <c r="S587" t="n">
        <v>0</v>
      </c>
      <c r="V587">
        <f>IFERROR(1/IF(Inputs!$B$4="pvp",15,MAX(0.1,Skills!D22-IF(Skills!E22=TRUE,Inputs!$B$31,0))),0)</f>
        <v/>
      </c>
    </row>
    <row r="588">
      <c r="A588">
        <f>Skills!A23</f>
        <v/>
      </c>
      <c r="B588">
        <f>Skills!B23</f>
        <v/>
      </c>
      <c r="C588">
        <f>Inputs!$B$3&gt;=74</f>
        <v/>
      </c>
      <c r="D588">
        <f>IF(Skills!C23=1,60+Inputs!$B$24+Inputs!$B$28,IF(Skills!C23=2,90+Inputs!$B$25+Inputs!$B$28,IF(Skills!C23=3,120+Inputs!$B$26+Inputs!$B$28,MAX(0,(Inputs!$B$3-100)*3)+Inputs!$B$27+Inputs!$B$28)))</f>
        <v/>
      </c>
      <c r="E588">
        <f>INDEX(FactorTable!$B$2:$Y$301, MATCH(ROUND(MIN(300,MAX(1,D588)),0), FactorTable!$A$2:$A$301,0), Skills!L23+1)</f>
        <v/>
      </c>
      <c r="F588">
        <f>IF(Skills!M23=TRUE,(Skills!K23/10)*(E588/1000),Skills!K23/10)+Skills!N23</f>
        <v/>
      </c>
      <c r="G588">
        <f>Calc!G23</f>
        <v/>
      </c>
      <c r="H588">
        <f>Calc!H23</f>
        <v/>
      </c>
      <c r="I588">
        <f>IF(Skills!T23&lt;&gt;"",1+(Skills!T23/10)*($Z$3/1000)/100,1)</f>
        <v/>
      </c>
      <c r="J588" t="inlineStr"/>
      <c r="K588" t="inlineStr"/>
      <c r="L588" t="inlineStr"/>
      <c r="M588" t="inlineStr"/>
      <c r="N588" t="inlineStr"/>
      <c r="O588" t="n">
        <v>0</v>
      </c>
      <c r="P588">
        <f>IF(B603=0,0,O588/B603)</f>
        <v/>
      </c>
      <c r="S588" t="n">
        <v>0</v>
      </c>
      <c r="V588">
        <f>IFERROR(1/IF(Inputs!$B$4="pvp",15,MAX(0.1,Skills!D23-IF(Skills!E23=TRUE,Inputs!$B$31,0))),0)</f>
        <v/>
      </c>
    </row>
    <row r="589">
      <c r="A589">
        <f>Skills!A24</f>
        <v/>
      </c>
      <c r="B589">
        <f>Skills!B24</f>
        <v/>
      </c>
      <c r="C589">
        <f>Inputs!$B$3&gt;=74</f>
        <v/>
      </c>
      <c r="D589">
        <f>IF(Skills!C24=1,60+Inputs!$B$24+Inputs!$B$28,IF(Skills!C24=2,90+Inputs!$B$25+Inputs!$B$28,IF(Skills!C24=3,120+Inputs!$B$26+Inputs!$B$28,MAX(0,(Inputs!$B$3-100)*3)+Inputs!$B$27+Inputs!$B$28)))</f>
        <v/>
      </c>
      <c r="E589">
        <f>INDEX(FactorTable!$B$2:$Y$301, MATCH(ROUND(MIN(300,MAX(1,D589)),0), FactorTable!$A$2:$A$301,0), Skills!L24+1)</f>
        <v/>
      </c>
      <c r="F589">
        <f>IF(Skills!M24=TRUE,(Skills!K24/10)*(E589/1000),Skills!K24/10)+Skills!N24</f>
        <v/>
      </c>
      <c r="G589">
        <f>Calc!G24</f>
        <v/>
      </c>
      <c r="H589">
        <f>Calc!H24</f>
        <v/>
      </c>
      <c r="I589">
        <f>IF(Skills!T24&lt;&gt;"",1+(Skills!T24/10)*($Z$3/1000)/100,1)</f>
        <v/>
      </c>
      <c r="J589" t="inlineStr"/>
      <c r="K589" t="inlineStr"/>
      <c r="L589" t="inlineStr"/>
      <c r="M589" t="inlineStr"/>
      <c r="N589" t="inlineStr"/>
      <c r="O589" t="n">
        <v>0</v>
      </c>
      <c r="P589">
        <f>IF(B603=0,0,O589/B603)</f>
        <v/>
      </c>
      <c r="S589" t="n">
        <v>0</v>
      </c>
      <c r="V589">
        <f>IFERROR(1/IF(Inputs!$B$4="pvp",15,MAX(0.1,Skills!D24-IF(Skills!E24=TRUE,Inputs!$B$31,0))),0)</f>
        <v/>
      </c>
    </row>
    <row r="590">
      <c r="A590">
        <f>Skills!A25</f>
        <v/>
      </c>
      <c r="B590">
        <f>Skills!B25</f>
        <v/>
      </c>
      <c r="C590">
        <f>Inputs!$B$3&gt;=117</f>
        <v/>
      </c>
      <c r="D590">
        <f>IF(Skills!C25=1,60+Inputs!$B$24+Inputs!$B$28,IF(Skills!C25=2,90+Inputs!$B$25+Inputs!$B$28,IF(Skills!C25=3,120+Inputs!$B$26+Inputs!$B$28,MAX(0,(Inputs!$B$3-100)*3)+Inputs!$B$27+Inputs!$B$28)))</f>
        <v/>
      </c>
      <c r="E590">
        <f>INDEX(FactorTable!$B$2:$Y$301, MATCH(ROUND(MIN(300,MAX(1,D590)),0), FactorTable!$A$2:$A$301,0), Skills!L25+1)</f>
        <v/>
      </c>
      <c r="F590">
        <f>IF(Skills!M25=TRUE,(Skills!K25/10)*(E590/1000),Skills!K25/10)+Skills!N25</f>
        <v/>
      </c>
      <c r="G590">
        <f>Calc!G25</f>
        <v/>
      </c>
      <c r="H590">
        <f>Calc!H25</f>
        <v/>
      </c>
      <c r="I590">
        <f>IF(Skills!T25&lt;&gt;"",1+(Skills!T25/10)*($Z$3/1000)/100,1)</f>
        <v/>
      </c>
      <c r="J590" t="inlineStr"/>
      <c r="K590" t="inlineStr"/>
      <c r="L590" t="inlineStr"/>
      <c r="M590" t="inlineStr"/>
      <c r="N590" t="inlineStr"/>
      <c r="O590" t="n">
        <v>0</v>
      </c>
      <c r="P590">
        <f>IF(B603=0,0,O590/B603)</f>
        <v/>
      </c>
      <c r="S590" t="n">
        <v>0</v>
      </c>
      <c r="V590">
        <f>IFERROR(1/IF(Inputs!$B$4="pvp",15,MAX(0.1,Skills!D25-IF(Skills!E25=TRUE,Inputs!$B$31,0))),0)</f>
        <v/>
      </c>
    </row>
    <row r="591">
      <c r="A591">
        <f>Skills!A26</f>
        <v/>
      </c>
      <c r="B591">
        <f>Skills!B26</f>
        <v/>
      </c>
      <c r="C591">
        <f>Inputs!$B$3&gt;=120</f>
        <v/>
      </c>
      <c r="D591">
        <f>IF(Skills!C26=1,60+Inputs!$B$24+Inputs!$B$28,IF(Skills!C26=2,90+Inputs!$B$25+Inputs!$B$28,IF(Skills!C26=3,120+Inputs!$B$26+Inputs!$B$28,MAX(0,(Inputs!$B$3-100)*3)+Inputs!$B$27+Inputs!$B$28)))</f>
        <v/>
      </c>
      <c r="E591">
        <f>INDEX(FactorTable!$B$2:$Y$301, MATCH(ROUND(MIN(300,MAX(1,D591)),0), FactorTable!$A$2:$A$301,0), Skills!L26+1)</f>
        <v/>
      </c>
      <c r="F591">
        <f>IF(Skills!M26=TRUE,(Skills!K26/10)*(E591/1000),Skills!K26/10)+Skills!N26</f>
        <v/>
      </c>
      <c r="G591">
        <f>Calc!G26</f>
        <v/>
      </c>
      <c r="H591">
        <f>Calc!H26</f>
        <v/>
      </c>
      <c r="I591">
        <f>IF(Skills!T26&lt;&gt;"",1+(Skills!T26/10)*($Z$3/1000)/100,1)</f>
        <v/>
      </c>
      <c r="J591" t="inlineStr"/>
      <c r="K591" t="inlineStr"/>
      <c r="L591" t="inlineStr"/>
      <c r="M591" t="inlineStr"/>
      <c r="N591" t="inlineStr"/>
      <c r="O591" t="n">
        <v>0</v>
      </c>
      <c r="P591">
        <f>IF(B603=0,0,O591/B603)</f>
        <v/>
      </c>
      <c r="S591" t="n">
        <v>0</v>
      </c>
      <c r="V591">
        <f>IFERROR(1/IF(Inputs!$B$4="pvp",15,MAX(0.1,Skills!D26-IF(Skills!E26=TRUE,Inputs!$B$31,0))),0)</f>
        <v/>
      </c>
    </row>
    <row r="593">
      <c r="A593" t="inlineStr">
        <is>
          <t>Average Buff Multiplier</t>
        </is>
      </c>
      <c r="B593">
        <f>(1+(IF(C568=TRUE,F568*IF(AND(Inputs!$B$4&lt;&gt;"pvp",Inputs!$B$35&gt;0),(((S568-1)*(Skills!S3*(1+(Inputs!$B$33+IF(Inputs!$B$3&gt;=117,F590,0))/100))+MIN((Skills!S3*(1+(Inputs!$B$33+IF(Inputs!$B$3&gt;=117,F590,0))/100)),MAX(0,Inputs!$B$35-((S568-1)*Skills!D3))))/Inputs!$B$35),IF(Inputs!$B$4="pvp",MIN((Skills!S3*(1+(Inputs!$B$33+IF(Inputs!$B$3&gt;=117,F590,0))/100)),15)/15,(Skills!S3*(1+(Inputs!$B$33+IF(Inputs!$B$3&gt;=117,F590,0))/100))/Skills!D3)),0)+IF(C569=TRUE,F569*IF(AND(Inputs!$B$4&lt;&gt;"pvp",Inputs!$B$35&gt;0),(((S569-1)*(Skills!S4*(1+(Inputs!$B$33+IF(Inputs!$B$3&gt;=117,F590,0))/100))+MIN((Skills!S4*(1+(Inputs!$B$33+IF(Inputs!$B$3&gt;=117,F590,0))/100)),MAX(0,Inputs!$B$35-((S569-1)*Skills!D4))))/Inputs!$B$35),IF(Inputs!$B$4="pvp",MIN((Skills!S4*(1+(Inputs!$B$33+IF(Inputs!$B$3&gt;=117,F590,0))/100)),15)/15,(Skills!S4*(1+(Inputs!$B$33+IF(Inputs!$B$3&gt;=117,F590,0))/100))/Skills!D4)),0)+IF(C570=TRUE,F570*IF(AND(Inputs!$B$4&lt;&gt;"pvp",Inputs!$B$35&gt;0),(((S570-1)*(Skills!S5*(1+(Inputs!$B$33+IF(Inputs!$B$3&gt;=117,F590,0))/100))+MIN((Skills!S5*(1+(Inputs!$B$33+IF(Inputs!$B$3&gt;=117,F590,0))/100)),MAX(0,Inputs!$B$35-((S570-1)*Skills!D5))))/Inputs!$B$35),IF(Inputs!$B$4="pvp",MIN((Skills!S5*(1+(Inputs!$B$33+IF(Inputs!$B$3&gt;=117,F590,0))/100)),15)/15,(Skills!S5*(1+(Inputs!$B$33+IF(Inputs!$B$3&gt;=117,F590,0))/100))/Skills!D5)),0)+IF(C576=TRUE,F576*IF(AND(Inputs!$B$4&lt;&gt;"pvp",Inputs!$B$35&gt;0),(((S576-1)*(Skills!S11*(1+(Inputs!$B$33+IF(Inputs!$B$3&gt;=117,F590,0))/100))+MIN((Skills!S11*(1+(Inputs!$B$33+IF(Inputs!$B$3&gt;=117,F590,0))/100)),MAX(0,Inputs!$B$35-((S576-1)*Skills!D11))))/Inputs!$B$35),IF(Inputs!$B$4="pvp",MIN((Skills!S11*(1+(Inputs!$B$33+IF(Inputs!$B$3&gt;=117,F590,0))/100)),15)/15,(Skills!S11*(1+(Inputs!$B$33+IF(Inputs!$B$3&gt;=117,F590,0))/100))/Skills!D11)),0))/100)*IF(C578=TRUE,(1+F578*IF(AND(Inputs!$B$4&lt;&gt;"pvp",Inputs!$B$35&gt;0),(((S578-1)*(Skills!S13*(1+(Inputs!$B$33+IF(Inputs!$B$3&gt;=117,F590,0))/100))+MIN((Skills!S13*(1+(Inputs!$B$33+IF(Inputs!$B$3&gt;=117,F590,0))/100)),MAX(0,Inputs!$B$35-((S578-1)*Skills!D13))))/Inputs!$B$35),IF(Inputs!$B$4="pvp",MIN((Skills!S13*(1+(Inputs!$B$33+IF(Inputs!$B$3&gt;=117,F590,0))/100)),15)/15,(Skills!S13*(1+(Inputs!$B$33+IF(Inputs!$B$3&gt;=117,F590,0))/100))/Skills!D13))/100),1)*IF(C583=TRUE,(1+F583*IF(AND(Inputs!$B$4&lt;&gt;"pvp",Inputs!$B$35&gt;0),(((S583-1)*(Skills!S18*(1+(Inputs!$B$33+IF(Inputs!$B$3&gt;=117,F590,0))/100))+MIN((Skills!S18*(1+(Inputs!$B$33+IF(Inputs!$B$3&gt;=117,F590,0))/100)),MAX(0,Inputs!$B$35-((S583-1)*Skills!D18))))/Inputs!$B$35),IF(Inputs!$B$4="pvp",MIN((Skills!S18*(1+(Inputs!$B$33+IF(Inputs!$B$3&gt;=117,F590,0))/100)),15)/15,(Skills!S18*(1+(Inputs!$B$33+IF(Inputs!$B$3&gt;=117,F590,0))/100))/Skills!D18))/100),1)</f>
        <v/>
      </c>
    </row>
    <row r="594">
      <c r="A594" t="inlineStr">
        <is>
          <t>Monster Damage Taken Bonus % (Holy Fountain)</t>
        </is>
      </c>
      <c r="B594">
        <f>IF(Inputs!$B$3&gt;=68,20*IF(Inputs!$B$4="pvp",MIN((15*(1+(Inputs!$B$33+IF(Inputs!$B$3&gt;=117,F590,0))/100)),15)/15,(15*(1+(Inputs!$B$33+IF(Inputs!$B$3&gt;=117,F590,0))/100))/Skills!D10),0)</f>
        <v/>
      </c>
    </row>
    <row r="595">
      <c r="A595" t="inlineStr">
        <is>
          <t>Normal Monster Damage Bonus % (Holy Symbol)</t>
        </is>
      </c>
      <c r="B595">
        <f>IF(C577=TRUE,F577*IF(AND(Inputs!$B$4&lt;&gt;"pvp",Inputs!$B$35&gt;0),(((S577-1)*(Skills!S12*(1+(Inputs!$B$33+IF(Inputs!$B$3&gt;=117,F590,0))/100))+MIN((Skills!S12*(1+(Inputs!$B$33+IF(Inputs!$B$3&gt;=117,F590,0))/100)),MAX(0,Inputs!$B$35-((S577-1)*Skills!D12))))/Inputs!$B$35),IF(Inputs!$B$4="pvp",MIN((Skills!S12*(1+(Inputs!$B$33+IF(Inputs!$B$3&gt;=117,F590,0))/100)),15)/15,(Skills!S12*(1+(Inputs!$B$33+IF(Inputs!$B$3&gt;=117,F590,0))/100))/Skills!D12)),0)</f>
        <v/>
      </c>
    </row>
    <row r="596">
      <c r="A596" t="inlineStr">
        <is>
          <t>Damage % Bonus (Holy Symbol - Damage Boost)</t>
        </is>
      </c>
      <c r="B596">
        <f>Skills!O12</f>
        <v/>
      </c>
    </row>
    <row r="597">
      <c r="A597" t="inlineStr">
        <is>
          <t>Crit Damage % Bonus (Blood of the Divine)</t>
        </is>
      </c>
      <c r="B597">
        <f>4*IF(C584=TRUE,F584,0)</f>
        <v/>
      </c>
    </row>
    <row r="598">
      <c r="A598" t="inlineStr">
        <is>
          <t>Attack Speed Bonus %</t>
        </is>
      </c>
      <c r="B598">
        <f>IF(C581=TRUE,F581+(F585-Calc!F20),0)+IF(Inputs!$B$3&gt;=134,15,0)</f>
        <v/>
      </c>
    </row>
    <row r="599">
      <c r="A599" t="inlineStr">
        <is>
          <t>Actions Per Second</t>
        </is>
      </c>
      <c r="B599">
        <f>1+MIN(150,150*(1-(1-Inputs!$B$10/150)*(1-B598/150)))/100</f>
        <v/>
      </c>
    </row>
    <row r="600">
      <c r="A600" t="inlineStr">
        <is>
          <t>Skill + Buff Cast Rate</t>
        </is>
      </c>
      <c r="B600">
        <f>IF(AND(Inputs!$B$4&lt;&gt;"pvp",Inputs!$B$35&gt;0),SUMPRODUCT((Skills!E2:E26=TRUE)*(C567:C591=TRUE)*S567:S591)/Inputs!$B$35,SUMPRODUCT((Skills!E2:E26=TRUE)*(C567:C591=TRUE)*V567:V591))</f>
        <v/>
      </c>
    </row>
    <row r="601">
      <c r="A601" t="inlineStr">
        <is>
          <t>Big Bang Casts Per Second</t>
        </is>
      </c>
      <c r="B601">
        <f>MAX(0,B599-B600)</f>
        <v/>
      </c>
    </row>
    <row r="603">
      <c r="A603" s="5" t="inlineStr">
        <is>
          <t>TOTAL DPS</t>
        </is>
      </c>
      <c r="B603" s="5">
        <f>SUM(O567:O591)</f>
        <v/>
      </c>
    </row>
    <row r="606">
      <c r="A606" s="5" t="inlineStr">
        <is>
          <t>Stat: SKILL_DAMAGE %</t>
        </is>
      </c>
    </row>
    <row r="607">
      <c r="A607" s="8" t="inlineStr">
        <is>
          <t>Key</t>
        </is>
      </c>
      <c r="B607" s="8" t="inlineStr">
        <is>
          <t>Name</t>
        </is>
      </c>
      <c r="C607" s="8" t="inlineStr">
        <is>
          <t>Unlocked</t>
        </is>
      </c>
      <c r="D607" s="8" t="inlineStr">
        <is>
          <t>InputLevel</t>
        </is>
      </c>
      <c r="E607" s="8" t="inlineStr">
        <is>
          <t>Factor</t>
        </is>
      </c>
      <c r="F607" s="8" t="inlineStr">
        <is>
          <t>CoefficientPercent</t>
        </is>
      </c>
      <c r="G607" s="8" t="inlineStr">
        <is>
          <t>EffectiveHits</t>
        </is>
      </c>
      <c r="H607" s="8" t="inlineStr">
        <is>
          <t>ProcProbability</t>
        </is>
      </c>
      <c r="I607" s="8" t="inlineStr">
        <is>
          <t>MapleHeroMultiplier</t>
        </is>
      </c>
      <c r="J607" s="8" t="inlineStr">
        <is>
          <t>BaseDamage</t>
        </is>
      </c>
      <c r="K607" s="8" t="inlineStr">
        <is>
          <t>BaseHitDamage</t>
        </is>
      </c>
      <c r="L607" s="8" t="inlineStr">
        <is>
          <t>NonCritAvg</t>
        </is>
      </c>
      <c r="M607" s="8" t="inlineStr">
        <is>
          <t>CritAvg</t>
        </is>
      </c>
      <c r="N607" s="8" t="inlineStr">
        <is>
          <t>ExpectedDamage(perHit)</t>
        </is>
      </c>
      <c r="O607" s="8" t="inlineStr">
        <is>
          <t>DPS</t>
        </is>
      </c>
      <c r="P607" s="8" t="inlineStr">
        <is>
          <t>% of Total</t>
        </is>
      </c>
      <c r="R607" t="inlineStr">
        <is>
          <t>helpers</t>
        </is>
      </c>
    </row>
    <row r="608">
      <c r="A608">
        <f>Skills!A2</f>
        <v/>
      </c>
      <c r="B608">
        <f>Skills!B2</f>
        <v/>
      </c>
      <c r="C608">
        <f>Inputs!$B$3&gt;=100</f>
        <v/>
      </c>
      <c r="D608" t="inlineStr"/>
      <c r="E608" t="inlineStr"/>
      <c r="F608">
        <f>T610+Skills!N2</f>
        <v/>
      </c>
      <c r="G608">
        <f>Calc!G2</f>
        <v/>
      </c>
      <c r="H608">
        <f>Calc!H2</f>
        <v/>
      </c>
      <c r="I608">
        <f>IF(Skills!T2&lt;&gt;"",1+(Skills!T2/10)*($Z$3/1000)/100,1)</f>
        <v/>
      </c>
      <c r="J608">
        <f>((Inputs!$B$5*(1+Inputs!$B$6/100))+((Inputs!$B$11*(1+Inputs!$B$12/100))-(Inputs!$B$11*(1+Inputs!$B$12/100)))*(1+Inputs!$B$6/100))*(F608/100)</f>
        <v/>
      </c>
      <c r="K608">
        <f>J608*(1+((Inputs!$B$11*(1+Inputs!$B$12/100))*0.01+Inputs!$B$13*0.0025)/100)*(1+(Inputs!$B$14+B637)/100)*(1+IF(Inputs!$B$4="pvp",0,(1-Summary!$B$48)*(Inputs!$B$19+Skills!O2+B635)+Summary!$B$48*(Inputs!$B$20+Skills!P2+B636))/100)*(1+Inputs!$B$15/100)*(5000/(6000+Inputs!$B$7*(1-Inputs!$B$18/100)))*(1+Inputs!$B$23/100)*(1+IF(C623=TRUE,F623,0)/100)*(1+IF(C625=TRUE,F625,0)/100)*(1+IF(Skills!A2="TRIUMPH_FEATHER",IF(C621=TRUE,F621,0),0)/100)*(1+IF(C632=TRUE,F632,0)/100)^5*(1+(IF(Skills!A2="BIG_BANG",Inputs!$B$16,(Inputs!$B$17+1)))/100)*(B634*I608)</f>
        <v/>
      </c>
      <c r="L608">
        <f>K608*(MIN(Inputs!$B$21+(F627-Calc!F21),Inputs!$B$22)/100+Inputs!$B$22/100)/2</f>
        <v/>
      </c>
      <c r="M608">
        <f>L608*(1+(Inputs!$B$9+B638+(F630-Calc!F24))/100)</f>
        <v/>
      </c>
      <c r="N608">
        <f>L608*(1-MIN(Inputs!$B$8+((F629-Calc!F23)+(F628-Calc!F22)),100)/100)+M608*(MIN(Inputs!$B$8+((F629-Calc!F23)+(F628-Calc!F22)),100)/100)</f>
        <v/>
      </c>
      <c r="O608">
        <f>IF(C608,Skills!F2*N608*B642*IF(Inputs!$B$4="pvp",1,(1-Summary!$B$48)*(1)+Summary!$B$48*(MIN((6+Inputs!$B$32),Inputs!$B$37))),0)</f>
        <v/>
      </c>
      <c r="P608">
        <f>IF(B644=0,0,O608/B644)</f>
        <v/>
      </c>
      <c r="S608" t="n">
        <v>0</v>
      </c>
      <c r="T608">
        <f>MAX(0,(Inputs!$B$3-100)*3)+Inputs!$B$27+Inputs!$B$28</f>
        <v/>
      </c>
      <c r="V608">
        <f>IFERROR(1/IF(Inputs!$B$4="pvp",15,MAX(0.1,Skills!D2-IF(Skills!E2=TRUE,Inputs!$B$31,0))),0)</f>
        <v/>
      </c>
    </row>
    <row r="609">
      <c r="A609">
        <f>Skills!A3</f>
        <v/>
      </c>
      <c r="B609">
        <f>Skills!B3</f>
        <v/>
      </c>
      <c r="C609">
        <f>Inputs!$B$3&gt;=15</f>
        <v/>
      </c>
      <c r="D609">
        <f>IF(Skills!C3=1,60+Inputs!$B$24+Inputs!$B$28,IF(Skills!C3=2,90+Inputs!$B$25+Inputs!$B$28,IF(Skills!C3=3,120+Inputs!$B$26+Inputs!$B$28,MAX(0,(Inputs!$B$3-100)*3)+Inputs!$B$27+Inputs!$B$28)))</f>
        <v/>
      </c>
      <c r="E609">
        <f>INDEX(FactorTable!$B$2:$Y$301, MATCH(ROUND(MIN(300,MAX(1,D609)),0), FactorTable!$A$2:$A$301,0), Skills!L3+1)</f>
        <v/>
      </c>
      <c r="F609">
        <f>IF(Skills!M3=TRUE,(Skills!K3/10)*(E609/1000),Skills!K3/10)+Skills!N3</f>
        <v/>
      </c>
      <c r="G609">
        <f>Calc!G3</f>
        <v/>
      </c>
      <c r="H609">
        <f>Calc!H3</f>
        <v/>
      </c>
      <c r="I609">
        <f>IF(Skills!T3&lt;&gt;"",1+(Skills!T3/10)*($Z$3/1000)/100,1)</f>
        <v/>
      </c>
      <c r="J609" t="inlineStr"/>
      <c r="K609" t="inlineStr"/>
      <c r="L609" t="inlineStr"/>
      <c r="M609" t="inlineStr"/>
      <c r="N609" t="inlineStr"/>
      <c r="O609" t="n">
        <v>0</v>
      </c>
      <c r="P609">
        <f>IF(B644=0,0,O609/B644)</f>
        <v/>
      </c>
      <c r="S609">
        <f>IF(AND(Inputs!$B$4&lt;&gt;"pvp",Inputs!$B$35&gt;0),(INT(Inputs!$B$35/IF(Inputs!$B$4="pvp",15,MAX(0.1,Skills!D3-IF(Skills!E3=TRUE,Inputs!$B$31,0))))+1),0)</f>
        <v/>
      </c>
      <c r="T609">
        <f>INDEX(FactorTable!$B$2:$Y$301, MATCH(ROUND(MIN(300,MAX(1,T608)),0), FactorTable!$A$2:$A$301,0), 22)</f>
        <v/>
      </c>
      <c r="V609">
        <f>IFERROR(1/IF(Inputs!$B$4="pvp",15,MAX(0.1,Skills!D3-IF(Skills!E3=TRUE,Inputs!$B$31,0))),0)</f>
        <v/>
      </c>
    </row>
    <row r="610">
      <c r="A610">
        <f>Skills!A4</f>
        <v/>
      </c>
      <c r="B610">
        <f>Skills!B4</f>
        <v/>
      </c>
      <c r="C610">
        <f>Inputs!$B$3&gt;=38</f>
        <v/>
      </c>
      <c r="D610">
        <f>IF(Skills!C4=1,60+Inputs!$B$24+Inputs!$B$28,IF(Skills!C4=2,90+Inputs!$B$25+Inputs!$B$28,IF(Skills!C4=3,120+Inputs!$B$26+Inputs!$B$28,MAX(0,(Inputs!$B$3-100)*3)+Inputs!$B$27+Inputs!$B$28)))</f>
        <v/>
      </c>
      <c r="E610">
        <f>INDEX(FactorTable!$B$2:$Y$301, MATCH(ROUND(MIN(300,MAX(1,D610)),0), FactorTable!$A$2:$A$301,0), Skills!L4+1)</f>
        <v/>
      </c>
      <c r="F610">
        <f>IF(Skills!M4=TRUE,(Skills!K4/10)*(E610/1000),Skills!K4/10)+Skills!N4</f>
        <v/>
      </c>
      <c r="G610">
        <f>Calc!G4</f>
        <v/>
      </c>
      <c r="H610">
        <f>Calc!H4</f>
        <v/>
      </c>
      <c r="I610">
        <f>IF(Skills!T4&lt;&gt;"",1+(Skills!T4/10)*($Z$3/1000)/100,1)</f>
        <v/>
      </c>
      <c r="J610" t="inlineStr"/>
      <c r="K610" t="inlineStr"/>
      <c r="L610" t="inlineStr"/>
      <c r="M610" t="inlineStr"/>
      <c r="N610" t="inlineStr"/>
      <c r="O610" t="n">
        <v>0</v>
      </c>
      <c r="P610">
        <f>IF(B644=0,0,O610/B644)</f>
        <v/>
      </c>
      <c r="S610">
        <f>IF(AND(Inputs!$B$4&lt;&gt;"pvp",Inputs!$B$35&gt;0),(INT(Inputs!$B$35/IF(Inputs!$B$4="pvp",15,MAX(0.1,Skills!D4-IF(Skills!E4=TRUE,Inputs!$B$31,0))))+1),0)</f>
        <v/>
      </c>
      <c r="T610">
        <f>290*T609/1000</f>
        <v/>
      </c>
      <c r="V610">
        <f>IFERROR(1/IF(Inputs!$B$4="pvp",15,MAX(0.1,Skills!D4-IF(Skills!E4=TRUE,Inputs!$B$31,0))),0)</f>
        <v/>
      </c>
    </row>
    <row r="611">
      <c r="A611">
        <f>Skills!A5</f>
        <v/>
      </c>
      <c r="B611">
        <f>Skills!B5</f>
        <v/>
      </c>
      <c r="C611">
        <f>Inputs!$B$3&gt;=40</f>
        <v/>
      </c>
      <c r="D611">
        <f>IF(Skills!C5=1,60+Inputs!$B$24+Inputs!$B$28,IF(Skills!C5=2,90+Inputs!$B$25+Inputs!$B$28,IF(Skills!C5=3,120+Inputs!$B$26+Inputs!$B$28,MAX(0,(Inputs!$B$3-100)*3)+Inputs!$B$27+Inputs!$B$28)))</f>
        <v/>
      </c>
      <c r="E611">
        <f>INDEX(FactorTable!$B$2:$Y$301, MATCH(ROUND(MIN(300,MAX(1,D611)),0), FactorTable!$A$2:$A$301,0), Skills!L5+1)</f>
        <v/>
      </c>
      <c r="F611">
        <f>IF(Skills!M5=TRUE,(Skills!K5/10)*(E611/1000),Skills!K5/10)+Skills!N5</f>
        <v/>
      </c>
      <c r="G611">
        <f>Calc!G5</f>
        <v/>
      </c>
      <c r="H611">
        <f>Calc!H5</f>
        <v/>
      </c>
      <c r="I611">
        <f>IF(Skills!T5&lt;&gt;"",1+(Skills!T5/10)*($Z$3/1000)/100,1)</f>
        <v/>
      </c>
      <c r="J611" t="inlineStr"/>
      <c r="K611" t="inlineStr"/>
      <c r="L611" t="inlineStr"/>
      <c r="M611" t="inlineStr"/>
      <c r="N611" t="inlineStr"/>
      <c r="O611" t="n">
        <v>0</v>
      </c>
      <c r="P611">
        <f>IF(B644=0,0,O611/B644)</f>
        <v/>
      </c>
      <c r="S611">
        <f>IF(AND(Inputs!$B$4&lt;&gt;"pvp",Inputs!$B$35&gt;0),(INT(Inputs!$B$35/IF(Inputs!$B$4="pvp",15,MAX(0.1,Skills!D5-IF(Skills!E5=TRUE,Inputs!$B$31,0))))+1),0)</f>
        <v/>
      </c>
      <c r="V611">
        <f>IFERROR(1/IF(Inputs!$B$4="pvp",15,MAX(0.1,Skills!D5-IF(Skills!E5=TRUE,Inputs!$B$31,0))),0)</f>
        <v/>
      </c>
    </row>
    <row r="612">
      <c r="A612">
        <f>Skills!A6</f>
        <v/>
      </c>
      <c r="B612">
        <f>Skills!B6</f>
        <v/>
      </c>
      <c r="C612">
        <f>Inputs!$B$3&gt;=103</f>
        <v/>
      </c>
      <c r="D612">
        <f>IF(Skills!C6=1,60+Inputs!$B$24+Inputs!$B$28,IF(Skills!C6=2,90+Inputs!$B$25+Inputs!$B$28,IF(Skills!C6=3,120+Inputs!$B$26+Inputs!$B$28,MAX(0,(Inputs!$B$3-100)*3)+Inputs!$B$27+Inputs!$B$28)))</f>
        <v/>
      </c>
      <c r="E612">
        <f>INDEX(FactorTable!$B$2:$Y$301, MATCH(ROUND(MIN(300,MAX(1,D612)),0), FactorTable!$A$2:$A$301,0), Skills!L6+1)</f>
        <v/>
      </c>
      <c r="F612">
        <f>IF(Skills!M6=TRUE,(Skills!K6/10)*(E612/1000),Skills!K6/10)+Skills!N6</f>
        <v/>
      </c>
      <c r="G612">
        <f>Calc!G6</f>
        <v/>
      </c>
      <c r="H612">
        <f>Calc!H6</f>
        <v/>
      </c>
      <c r="I612">
        <f>IF(Skills!T6&lt;&gt;"",1+(Skills!T6/10)*($Z$3/1000)/100,1)</f>
        <v/>
      </c>
      <c r="J612">
        <f>((Inputs!$B$5*(1+Inputs!$B$6/100))+((Inputs!$B$11*(1+Inputs!$B$12/100))-(Inputs!$B$11*(1+Inputs!$B$12/100)))*(1+Inputs!$B$6/100))*(F612/100)</f>
        <v/>
      </c>
      <c r="K612">
        <f>J612*(1+((Inputs!$B$11*(1+Inputs!$B$12/100))*0.01+Inputs!$B$13*0.0025)/100)*(1+(Inputs!$B$14+B637)/100)*(1+IF(Inputs!$B$4="pvp",0,(1-Summary!$B$48)*(Inputs!$B$19+Skills!O6+B635)+Summary!$B$48*(Inputs!$B$20+Skills!P6+B636))/100)*(1+Inputs!$B$15/100)*(5000/(6000+Inputs!$B$7*(1-Inputs!$B$18/100)))*(1+Inputs!$B$23/100)*(1+IF(C623=TRUE,F623,0)/100)*(1+IF(C625=TRUE,F625,0)/100)*(1+IF(Skills!A6="TRIUMPH_FEATHER",IF(C621=TRUE,F621,0),0)/100)*(1+IF(C632=TRUE,F632,0)/100)^5*(1+(IF(Skills!A6="BIG_BANG",Inputs!$B$16,(Inputs!$B$17+1)))/100)*(B634*I612)</f>
        <v/>
      </c>
      <c r="L612">
        <f>K612*(MIN(Inputs!$B$21+(F627-Calc!F21),Inputs!$B$22)/100+Inputs!$B$22/100)/2</f>
        <v/>
      </c>
      <c r="M612">
        <f>L612*(1+(Inputs!$B$9+B638+(F630-Calc!F24))/100)</f>
        <v/>
      </c>
      <c r="N612">
        <f>L612*(1-MIN(Inputs!$B$8+((F629-Calc!F23)+(F628-Calc!F22)),100)/100)+M612*(MIN(Inputs!$B$8+((F629-Calc!F23)+(F628-Calc!F22)),100)/100)</f>
        <v/>
      </c>
      <c r="O612">
        <f>IF(C612,H612*N612*IF(AND(Inputs!$B$4&lt;&gt;"pvp",Inputs!$B$35&gt;0),((Skills!F6*((S612-1)*IF(Skills!G6&gt;0,Skills!H6/Skills!G6,1)+IF(Skills!G6&gt;0,MIN(Skills!H6,MAX(0,Inputs!$B$35-((S612-1)*IF(Inputs!$B$4="pvp",15,MAX(0.1,Skills!D6-IF(Skills!E6=TRUE,Inputs!$B$31,0))))))/Skills!G6,1)))/Inputs!$B$35),G612*V612)*IF(Inputs!$B$4="pvp",1,(1-Summary!$B$48)*(1)+Summary!$B$48*(MIN(Skills!Q6,Inputs!$B$37))),0)</f>
        <v/>
      </c>
      <c r="P612">
        <f>IF(B644=0,0,O612/B644)</f>
        <v/>
      </c>
      <c r="S612">
        <f>IF(AND(Inputs!$B$4&lt;&gt;"pvp",Inputs!$B$35&gt;0),(INT(Inputs!$B$35/IF(Inputs!$B$4="pvp",15,MAX(0.1,Skills!D6-IF(Skills!E6=TRUE,Inputs!$B$31,0))))+1),0)</f>
        <v/>
      </c>
      <c r="V612">
        <f>IFERROR(1/IF(Inputs!$B$4="pvp",15,MAX(0.1,Skills!D6-IF(Skills!E6=TRUE,Inputs!$B$31,0))),0)</f>
        <v/>
      </c>
    </row>
    <row r="613">
      <c r="A613">
        <f>Skills!A7</f>
        <v/>
      </c>
      <c r="B613">
        <f>Skills!B7</f>
        <v/>
      </c>
      <c r="C613">
        <f>Inputs!$B$3&gt;=122</f>
        <v/>
      </c>
      <c r="D613">
        <f>IF(Skills!C7=1,60+Inputs!$B$24+Inputs!$B$28,IF(Skills!C7=2,90+Inputs!$B$25+Inputs!$B$28,IF(Skills!C7=3,120+Inputs!$B$26+Inputs!$B$28,MAX(0,(Inputs!$B$3-100)*3)+Inputs!$B$27+Inputs!$B$28)))</f>
        <v/>
      </c>
      <c r="E613">
        <f>INDEX(FactorTable!$B$2:$Y$301, MATCH(ROUND(MIN(300,MAX(1,D613)),0), FactorTable!$A$2:$A$301,0), Skills!L7+1)</f>
        <v/>
      </c>
      <c r="F613">
        <f>IF(Skills!M7=TRUE,(Skills!K7/10)*(E613/1000),Skills!K7/10)+Skills!N7</f>
        <v/>
      </c>
      <c r="G613">
        <f>Calc!G7</f>
        <v/>
      </c>
      <c r="H613">
        <f>Calc!H7</f>
        <v/>
      </c>
      <c r="I613">
        <f>IF(Skills!T7&lt;&gt;"",1+(Skills!T7/10)*($Z$3/1000)/100,1)</f>
        <v/>
      </c>
      <c r="J613">
        <f>((Inputs!$B$5*(1+Inputs!$B$6/100))+((Inputs!$B$11*(1+Inputs!$B$12/100))-(Inputs!$B$11*(1+Inputs!$B$12/100)))*(1+Inputs!$B$6/100))*(F613/100)</f>
        <v/>
      </c>
      <c r="K613">
        <f>J613*(1+((Inputs!$B$11*(1+Inputs!$B$12/100))*0.01+Inputs!$B$13*0.0025)/100)*(1+(Inputs!$B$14+B637)/100)*(1+IF(Inputs!$B$4="pvp",0,(1-Summary!$B$48)*(Inputs!$B$19+Skills!O7+B635)+Summary!$B$48*(Inputs!$B$20+Skills!P7+B636))/100)*(1+Inputs!$B$15/100)*(5000/(6000+Inputs!$B$7*(1-Inputs!$B$18/100)))*(1+Inputs!$B$23/100)*(1+IF(C623=TRUE,F623,0)/100)*(1+IF(C625=TRUE,F625,0)/100)*(1+IF(Skills!A7="TRIUMPH_FEATHER",IF(C621=TRUE,F621,0),0)/100)*(1+IF(C632=TRUE,F632,0)/100)^5*(1+(IF(Skills!A7="BIG_BANG",Inputs!$B$16,(Inputs!$B$17+1)))/100)*(B634*I613)</f>
        <v/>
      </c>
      <c r="L613">
        <f>K613*(MIN(Inputs!$B$21+(F627-Calc!F21),Inputs!$B$22)/100+Inputs!$B$22/100)/2</f>
        <v/>
      </c>
      <c r="M613">
        <f>L613*(1+(Inputs!$B$9+B638+(F630-Calc!F24))/100)</f>
        <v/>
      </c>
      <c r="N613">
        <f>L613*(1-MIN(Inputs!$B$8+((F629-Calc!F23)+(F628-Calc!F22)),100)/100)+M613*(MIN(Inputs!$B$8+((F629-Calc!F23)+(F628-Calc!F22)),100)/100)</f>
        <v/>
      </c>
      <c r="O613">
        <f>IF(C613,H613*N613*IF(AND(Inputs!$B$4&lt;&gt;"pvp",Inputs!$B$35&gt;0),((Skills!F7*((S613-1)*IF(Skills!G7&gt;0,Skills!H7/Skills!G7,1)+IF(Skills!G7&gt;0,MIN(Skills!H7,MAX(0,Inputs!$B$35-((S613-1)*IF(Inputs!$B$4="pvp",15,MAX(0.1,Skills!D7-IF(Skills!E6=TRUE,Inputs!$B$31,0))))))/Skills!G7,1)))/Inputs!$B$35),G613*V613)*(1-Summary!$B$48),0)</f>
        <v/>
      </c>
      <c r="P613">
        <f>IF(B644=0,0,O613/B644)</f>
        <v/>
      </c>
      <c r="S613">
        <f>IF(AND(Inputs!$B$4&lt;&gt;"pvp",Inputs!$B$35&gt;0),(INT(Inputs!$B$35/IF(Inputs!$B$4="pvp",15,MAX(0.1,Skills!D7-IF(Skills!E6=TRUE,Inputs!$B$31,0))))+1),0)</f>
        <v/>
      </c>
      <c r="V613">
        <f>IFERROR(1/IF(Inputs!$B$4="pvp",15,MAX(0.1,Skills!D7-IF(Skills!E6=TRUE,Inputs!$B$31,0))),0)</f>
        <v/>
      </c>
    </row>
    <row r="614">
      <c r="A614">
        <f>Skills!A8</f>
        <v/>
      </c>
      <c r="B614">
        <f>Skills!B8</f>
        <v/>
      </c>
      <c r="C614">
        <f>Inputs!$B$3&gt;=105</f>
        <v/>
      </c>
      <c r="D614">
        <f>IF(Skills!C8=1,60+Inputs!$B$24+Inputs!$B$28,IF(Skills!C8=2,90+Inputs!$B$25+Inputs!$B$28,IF(Skills!C8=3,120+Inputs!$B$26+Inputs!$B$28,MAX(0,(Inputs!$B$3-100)*3)+Inputs!$B$27+Inputs!$B$28)))</f>
        <v/>
      </c>
      <c r="E614">
        <f>INDEX(FactorTable!$B$2:$Y$301, MATCH(ROUND(MIN(300,MAX(1,D614)),0), FactorTable!$A$2:$A$301,0), Skills!L8+1)</f>
        <v/>
      </c>
      <c r="F614">
        <f>IF(Skills!M8=TRUE,(Skills!K8/10)*(E614/1000),Skills!K8/10)+Skills!N8</f>
        <v/>
      </c>
      <c r="G614">
        <f>Calc!G8</f>
        <v/>
      </c>
      <c r="H614">
        <f>Calc!H8</f>
        <v/>
      </c>
      <c r="I614">
        <f>IF(Skills!T8&lt;&gt;"",1+(Skills!T8/10)*($Z$3/1000)/100,1)</f>
        <v/>
      </c>
      <c r="J614">
        <f>((Inputs!$B$5*(1+Inputs!$B$6/100))+((Inputs!$B$11*(1+Inputs!$B$12/100))-(Inputs!$B$11*(1+Inputs!$B$12/100)))*(1+Inputs!$B$6/100))*(F614/100)</f>
        <v/>
      </c>
      <c r="K614">
        <f>J614*(1+((Inputs!$B$11*(1+Inputs!$B$12/100))*0.01+Inputs!$B$13*0.0025)/100)*(1+(Inputs!$B$14+B637)/100)*(1+IF(Inputs!$B$4="pvp",0,(1-Summary!$B$48)*(Inputs!$B$19+Skills!O8+B635)+Summary!$B$48*(Inputs!$B$20+Skills!P8+B636))/100)*(1+Inputs!$B$15/100)*(5000/(6000+Inputs!$B$7*(1-Inputs!$B$18/100)))*(1+Inputs!$B$23/100)*(1+IF(C623=TRUE,F623,0)/100)*(1+IF(C625=TRUE,F625,0)/100)*(1+IF(Skills!A8="TRIUMPH_FEATHER",IF(C621=TRUE,F621,0),0)/100)*(1+IF(C632=TRUE,F632,0)/100)^5*(1+(IF(Skills!A8="BIG_BANG",Inputs!$B$16,(Inputs!$B$17+1)))/100)*(B634*I614)</f>
        <v/>
      </c>
      <c r="L614">
        <f>K614*(MIN(Inputs!$B$21+(F627-Calc!F21),Inputs!$B$22)/100+Inputs!$B$22/100)/2</f>
        <v/>
      </c>
      <c r="M614">
        <f>L614*(1+(Inputs!$B$9+B638+(F630-Calc!F24))/100)</f>
        <v/>
      </c>
      <c r="N614">
        <f>L614*(1-MIN(Inputs!$B$8+((F629-Calc!F23)+(F628-Calc!F22)),100)/100)+M614*(MIN(Inputs!$B$8+((F629-Calc!F23)+(F628-Calc!F22)),100)/100)</f>
        <v/>
      </c>
      <c r="O614">
        <f>IF(C614,H614*N614*IF(AND(Inputs!$B$4&lt;&gt;"pvp",Inputs!$B$35&gt;0),((Skills!F8*((S614-1)*IF(Skills!G8&gt;0,Skills!H8/Skills!G8,1)+IF(Skills!G8&gt;0,MIN(Skills!H8,MAX(0,Inputs!$B$35-((S614-1)*IF(Inputs!$B$4="pvp",15,MAX(0.1,Skills!D8-IF(Skills!E8=TRUE,Inputs!$B$31,0))))))/Skills!G8,1)))/Inputs!$B$35),G614*V614)*IF(Inputs!$B$4="pvp",1,(1-Summary!$B$48)*(1)+Summary!$B$48*(MIN(Skills!Q8,Inputs!$B$37))),0)</f>
        <v/>
      </c>
      <c r="P614">
        <f>IF(B644=0,0,O614/B644)</f>
        <v/>
      </c>
      <c r="S614">
        <f>IF(AND(Inputs!$B$4&lt;&gt;"pvp",Inputs!$B$35&gt;0),(INT(Inputs!$B$35/IF(Inputs!$B$4="pvp",15,MAX(0.1,Skills!D8-IF(Skills!E8=TRUE,Inputs!$B$31,0))))+1),0)</f>
        <v/>
      </c>
      <c r="V614">
        <f>IFERROR(1/IF(Inputs!$B$4="pvp",15,MAX(0.1,Skills!D8-IF(Skills!E8=TRUE,Inputs!$B$31,0))),0)</f>
        <v/>
      </c>
    </row>
    <row r="615">
      <c r="A615">
        <f>Skills!A9</f>
        <v/>
      </c>
      <c r="B615">
        <f>Skills!B9</f>
        <v/>
      </c>
      <c r="C615">
        <f>Inputs!$B$3&gt;=115</f>
        <v/>
      </c>
      <c r="D615">
        <f>IF(Skills!C9=1,60+Inputs!$B$24+Inputs!$B$28,IF(Skills!C9=2,90+Inputs!$B$25+Inputs!$B$28,IF(Skills!C9=3,120+Inputs!$B$26+Inputs!$B$28,MAX(0,(Inputs!$B$3-100)*3)+Inputs!$B$27+Inputs!$B$28)))</f>
        <v/>
      </c>
      <c r="E615">
        <f>INDEX(FactorTable!$B$2:$Y$301, MATCH(ROUND(MIN(300,MAX(1,D615)),0), FactorTable!$A$2:$A$301,0), Skills!L9+1)</f>
        <v/>
      </c>
      <c r="F615">
        <f>IF(Skills!M9=TRUE,(Skills!K9/10)*(E615/1000),Skills!K9/10)+Skills!N9</f>
        <v/>
      </c>
      <c r="G615">
        <f>Calc!G9</f>
        <v/>
      </c>
      <c r="H615">
        <f>Calc!H9</f>
        <v/>
      </c>
      <c r="I615">
        <f>IF(Skills!T9&lt;&gt;"",1+(Skills!T9/10)*($Z$3/1000)/100,1)</f>
        <v/>
      </c>
      <c r="J615">
        <f>((Inputs!$B$5*(1+Inputs!$B$6/100))+((Inputs!$B$11*(1+Inputs!$B$12/100))-(Inputs!$B$11*(1+Inputs!$B$12/100)))*(1+Inputs!$B$6/100))*(F615/100)</f>
        <v/>
      </c>
      <c r="K615">
        <f>J615*(1+((Inputs!$B$11*(1+Inputs!$B$12/100))*0.01+Inputs!$B$13*0.0025)/100)*(1+(Inputs!$B$14+B637)/100)*(1+IF(Inputs!$B$4="pvp",0,(1-Summary!$B$48)*(Inputs!$B$19+Skills!O9+B635)+Summary!$B$48*(Inputs!$B$20+Skills!P9+B636))/100)*(1+Inputs!$B$15/100)*(5000/(6000+Inputs!$B$7*(1-Inputs!$B$18/100)))*(1+Inputs!$B$23/100)*(1+IF(C623=TRUE,F623,0)/100)*(1+IF(C625=TRUE,F625,0)/100)*(1+IF(Skills!A9="TRIUMPH_FEATHER",IF(C621=TRUE,F621,0),0)/100)*(1+IF(C632=TRUE,F632,0)/100)^5*(1+(IF(Skills!A9="BIG_BANG",Inputs!$B$16,(Inputs!$B$17+1)))/100)*(B634*I615)</f>
        <v/>
      </c>
      <c r="L615">
        <f>K615*(MIN(Inputs!$B$21+(F627-Calc!F21),Inputs!$B$22)/100+Inputs!$B$22/100)/2</f>
        <v/>
      </c>
      <c r="M615">
        <f>L615*(1+(Inputs!$B$9+B638+(F630-Calc!F24))/100)</f>
        <v/>
      </c>
      <c r="N615">
        <f>L615*(1-MIN(Inputs!$B$8+((F629-Calc!F23)+(F628-Calc!F22)),100)/100)+M615*(MIN(Inputs!$B$8+((F629-Calc!F23)+(F628-Calc!F22)),100)/100)</f>
        <v/>
      </c>
      <c r="O615">
        <f>IF(C615,H615*N615*IF(AND(Inputs!$B$4&lt;&gt;"pvp",Inputs!$B$35&gt;0),((Skills!F9*((S615-1)*IF(Skills!G9&gt;0,Skills!H9/Skills!G9,1)+IF(Skills!G9&gt;0,MIN(Skills!H9,MAX(0,Inputs!$B$35-((S615-1)*IF(Inputs!$B$4="pvp",15,MAX(0.1,Skills!D9-IF(Skills!E9=TRUE,Inputs!$B$31,0))))))/Skills!G9,1)))/Inputs!$B$35),G615*V615)*IF(Inputs!$B$4="pvp",1,(1-Summary!$B$48)*(1)+Summary!$B$48*(MIN(Skills!Q9,Inputs!$B$37))),0)</f>
        <v/>
      </c>
      <c r="P615">
        <f>IF(B644=0,0,O615/B644)</f>
        <v/>
      </c>
      <c r="S615">
        <f>IF(AND(Inputs!$B$4&lt;&gt;"pvp",Inputs!$B$35&gt;0),(INT(Inputs!$B$35/IF(Inputs!$B$4="pvp",15,MAX(0.1,Skills!D9-IF(Skills!E9=TRUE,Inputs!$B$31,0))))+1),0)</f>
        <v/>
      </c>
      <c r="V615">
        <f>IFERROR(1/IF(Inputs!$B$4="pvp",15,MAX(0.1,Skills!D9-IF(Skills!E9=TRUE,Inputs!$B$31,0))),0)</f>
        <v/>
      </c>
    </row>
    <row r="616">
      <c r="A616">
        <f>Skills!A10</f>
        <v/>
      </c>
      <c r="B616">
        <f>Skills!B10</f>
        <v/>
      </c>
      <c r="C616">
        <f>Inputs!$B$3&gt;=66</f>
        <v/>
      </c>
      <c r="D616">
        <f>IF(Skills!C10=1,60+Inputs!$B$24+Inputs!$B$28,IF(Skills!C10=2,90+Inputs!$B$25+Inputs!$B$28,IF(Skills!C10=3,120+Inputs!$B$26+Inputs!$B$28,MAX(0,(Inputs!$B$3-100)*3)+Inputs!$B$27+Inputs!$B$28)))</f>
        <v/>
      </c>
      <c r="E616">
        <f>INDEX(FactorTable!$B$2:$Y$301, MATCH(ROUND(MIN(300,MAX(1,D616)),0), FactorTable!$A$2:$A$301,0), Skills!L10+1)</f>
        <v/>
      </c>
      <c r="F616" t="n">
        <v>0</v>
      </c>
      <c r="G616">
        <f>Calc!G10</f>
        <v/>
      </c>
      <c r="H616">
        <f>Calc!H10</f>
        <v/>
      </c>
      <c r="I616">
        <f>IF(Skills!T10&lt;&gt;"",1+(Skills!T10/10)*($Z$3/1000)/100,1)</f>
        <v/>
      </c>
      <c r="J616" t="inlineStr"/>
      <c r="K616" t="inlineStr"/>
      <c r="L616" t="inlineStr"/>
      <c r="M616" t="inlineStr"/>
      <c r="N616" t="inlineStr"/>
      <c r="O616" t="n">
        <v>0</v>
      </c>
      <c r="P616">
        <f>IF(B644=0,0,O616/B644)</f>
        <v/>
      </c>
      <c r="S616">
        <f>IF(AND(Inputs!$B$4&lt;&gt;"pvp",Inputs!$B$35&gt;0),(INT(Inputs!$B$35/IF(Inputs!$B$4="pvp",15,MAX(0.1,Skills!D10-IF(Skills!E10=TRUE,Inputs!$B$31,0))))+1),0)</f>
        <v/>
      </c>
      <c r="V616">
        <f>IFERROR(1/IF(Inputs!$B$4="pvp",15,MAX(0.1,Skills!D10-IF(Skills!E10=TRUE,Inputs!$B$31,0))),0)</f>
        <v/>
      </c>
    </row>
    <row r="617">
      <c r="A617">
        <f>Skills!A11</f>
        <v/>
      </c>
      <c r="B617">
        <f>Skills!B11</f>
        <v/>
      </c>
      <c r="C617">
        <f>Inputs!$B$3&gt;=69</f>
        <v/>
      </c>
      <c r="D617">
        <f>IF(Skills!C11=1,60+Inputs!$B$24+Inputs!$B$28,IF(Skills!C11=2,90+Inputs!$B$25+Inputs!$B$28,IF(Skills!C11=3,120+Inputs!$B$26+Inputs!$B$28,MAX(0,(Inputs!$B$3-100)*3)+Inputs!$B$27+Inputs!$B$28)))</f>
        <v/>
      </c>
      <c r="E617">
        <f>INDEX(FactorTable!$B$2:$Y$301, MATCH(ROUND(MIN(300,MAX(1,D617)),0), FactorTable!$A$2:$A$301,0), Skills!L11+1)</f>
        <v/>
      </c>
      <c r="F617">
        <f>IF(Skills!M11=TRUE,(Skills!K11/10)*(E617/1000),Skills!K11/10)+Skills!N11</f>
        <v/>
      </c>
      <c r="G617">
        <f>Calc!G11</f>
        <v/>
      </c>
      <c r="H617">
        <f>Calc!H11</f>
        <v/>
      </c>
      <c r="I617">
        <f>IF(Skills!T11&lt;&gt;"",1+(Skills!T11/10)*($Z$3/1000)/100,1)</f>
        <v/>
      </c>
      <c r="J617" t="inlineStr"/>
      <c r="K617" t="inlineStr"/>
      <c r="L617" t="inlineStr"/>
      <c r="M617" t="inlineStr"/>
      <c r="N617" t="inlineStr"/>
      <c r="O617" t="n">
        <v>0</v>
      </c>
      <c r="P617">
        <f>IF(B644=0,0,O617/B644)</f>
        <v/>
      </c>
      <c r="S617">
        <f>IF(AND(Inputs!$B$4&lt;&gt;"pvp",Inputs!$B$35&gt;0),(INT(Inputs!$B$35/IF(Inputs!$B$4="pvp",15,MAX(0.1,Skills!D11-IF(Skills!E11=TRUE,Inputs!$B$31,0))))+1),0)</f>
        <v/>
      </c>
      <c r="V617">
        <f>IFERROR(1/IF(Inputs!$B$4="pvp",15,MAX(0.1,Skills!D11-IF(Skills!E11=TRUE,Inputs!$B$31,0))),0)</f>
        <v/>
      </c>
    </row>
    <row r="618">
      <c r="A618">
        <f>Skills!A12</f>
        <v/>
      </c>
      <c r="B618">
        <f>Skills!B12</f>
        <v/>
      </c>
      <c r="C618">
        <f>Inputs!$B$3&gt;=72</f>
        <v/>
      </c>
      <c r="D618">
        <f>IF(Skills!C12=1,60+Inputs!$B$24+Inputs!$B$28,IF(Skills!C12=2,90+Inputs!$B$25+Inputs!$B$28,IF(Skills!C12=3,120+Inputs!$B$26+Inputs!$B$28,MAX(0,(Inputs!$B$3-100)*3)+Inputs!$B$27+Inputs!$B$28)))</f>
        <v/>
      </c>
      <c r="E618">
        <f>INDEX(FactorTable!$B$2:$Y$301, MATCH(ROUND(MIN(300,MAX(1,D618)),0), FactorTable!$A$2:$A$301,0), Skills!L12+1)</f>
        <v/>
      </c>
      <c r="F618">
        <f>IF(Skills!M12=TRUE,(Skills!K12/10)*(E618/1000),Skills!K12/10)+Skills!N12</f>
        <v/>
      </c>
      <c r="G618">
        <f>Calc!G12</f>
        <v/>
      </c>
      <c r="H618">
        <f>Calc!H12</f>
        <v/>
      </c>
      <c r="I618">
        <f>IF(Skills!T12&lt;&gt;"",1+(Skills!T12/10)*($Z$3/1000)/100,1)</f>
        <v/>
      </c>
      <c r="J618" t="inlineStr"/>
      <c r="K618" t="inlineStr"/>
      <c r="L618" t="inlineStr"/>
      <c r="M618" t="inlineStr"/>
      <c r="N618" t="inlineStr"/>
      <c r="O618" t="n">
        <v>0</v>
      </c>
      <c r="P618">
        <f>IF(B644=0,0,O618/B644)</f>
        <v/>
      </c>
      <c r="S618">
        <f>IF(AND(Inputs!$B$4&lt;&gt;"pvp",Inputs!$B$35&gt;0),(INT(Inputs!$B$35/IF(Inputs!$B$4="pvp",15,MAX(0.1,Skills!D12-IF(Skills!E12=TRUE,Inputs!$B$31,0))))+1),0)</f>
        <v/>
      </c>
      <c r="V618">
        <f>IFERROR(1/IF(Inputs!$B$4="pvp",15,MAX(0.1,Skills!D12-IF(Skills!E12=TRUE,Inputs!$B$31,0))),0)</f>
        <v/>
      </c>
    </row>
    <row r="619">
      <c r="A619">
        <f>Skills!A13</f>
        <v/>
      </c>
      <c r="B619">
        <f>Skills!B13</f>
        <v/>
      </c>
      <c r="C619">
        <f>Inputs!$B$3&gt;=107</f>
        <v/>
      </c>
      <c r="D619">
        <f>IF(Skills!C13=1,60+Inputs!$B$24+Inputs!$B$28,IF(Skills!C13=2,90+Inputs!$B$25+Inputs!$B$28,IF(Skills!C13=3,120+Inputs!$B$26+Inputs!$B$28,MAX(0,(Inputs!$B$3-100)*3)+Inputs!$B$27+Inputs!$B$28)))</f>
        <v/>
      </c>
      <c r="E619">
        <f>INDEX(FactorTable!$B$2:$Y$301, MATCH(ROUND(MIN(300,MAX(1,D619)),0), FactorTable!$A$2:$A$301,0), Skills!L13+1)</f>
        <v/>
      </c>
      <c r="F619">
        <f>IF(Skills!M13=TRUE,(Skills!K13/10)*(E619/1000),Skills!K13/10)+Skills!N13</f>
        <v/>
      </c>
      <c r="G619">
        <f>Calc!G13</f>
        <v/>
      </c>
      <c r="H619">
        <f>Calc!H13</f>
        <v/>
      </c>
      <c r="I619">
        <f>IF(Skills!T13&lt;&gt;"",1+(Skills!T13/10)*($Z$3/1000)/100,1)</f>
        <v/>
      </c>
      <c r="J619" t="inlineStr"/>
      <c r="K619" t="inlineStr"/>
      <c r="L619" t="inlineStr"/>
      <c r="M619" t="inlineStr"/>
      <c r="N619" t="inlineStr"/>
      <c r="O619" t="n">
        <v>0</v>
      </c>
      <c r="P619">
        <f>IF(B644=0,0,O619/B644)</f>
        <v/>
      </c>
      <c r="S619">
        <f>IF(AND(Inputs!$B$4&lt;&gt;"pvp",Inputs!$B$35&gt;0),(INT(Inputs!$B$35/IF(Inputs!$B$4="pvp",15,MAX(0.1,Skills!D13-IF(Skills!E13=TRUE,Inputs!$B$31,0))))+1),0)</f>
        <v/>
      </c>
      <c r="V619">
        <f>IFERROR(1/IF(Inputs!$B$4="pvp",15,MAX(0.1,Skills!D13-IF(Skills!E13=TRUE,Inputs!$B$31,0))),0)</f>
        <v/>
      </c>
    </row>
    <row r="620">
      <c r="A620">
        <f>Skills!A14</f>
        <v/>
      </c>
      <c r="B620">
        <f>Skills!B14</f>
        <v/>
      </c>
      <c r="C620">
        <f>Inputs!$B$3&gt;=63</f>
        <v/>
      </c>
      <c r="D620">
        <f>IF(Skills!C14=1,60+Inputs!$B$24+Inputs!$B$28,IF(Skills!C14=2,90+Inputs!$B$25+Inputs!$B$28,IF(Skills!C14=3,120+Inputs!$B$26+Inputs!$B$28,MAX(0,(Inputs!$B$3-100)*3)+Inputs!$B$27+Inputs!$B$28)))</f>
        <v/>
      </c>
      <c r="E620">
        <f>INDEX(FactorTable!$B$2:$Y$301, MATCH(ROUND(MIN(300,MAX(1,D620)),0), FactorTable!$A$2:$A$301,0), Skills!L14+1)</f>
        <v/>
      </c>
      <c r="F620">
        <f>IF(Skills!M14=TRUE,(Skills!K14/10)*(E620/1000),Skills!K14/10)+Skills!N14</f>
        <v/>
      </c>
      <c r="G620">
        <f>Calc!G14</f>
        <v/>
      </c>
      <c r="H620">
        <f>Calc!H14</f>
        <v/>
      </c>
      <c r="I620">
        <f>IF(Skills!T14&lt;&gt;"",1+(Skills!T14/10)*($Z$3/1000)/100,1)</f>
        <v/>
      </c>
      <c r="J620">
        <f>((Inputs!$B$5*(1+Inputs!$B$6/100))+((Inputs!$B$11*(1+Inputs!$B$12/100))-(Inputs!$B$11*(1+Inputs!$B$12/100)))*(1+Inputs!$B$6/100))*(F620/100)</f>
        <v/>
      </c>
      <c r="K620">
        <f>J620*(1+((Inputs!$B$11*(1+Inputs!$B$12/100))*0.01+Inputs!$B$13*0.0025)/100)*(1+(Inputs!$B$14+B637)/100)*(1+IF(Inputs!$B$4="pvp",0,(1-Summary!$B$48)*(Inputs!$B$19+Skills!O14+B635)+Summary!$B$48*(Inputs!$B$20+Skills!P14+B636))/100)*(1+Inputs!$B$15/100)*(5000/(6000+Inputs!$B$7*(1-Inputs!$B$18/100)))*(1+Inputs!$B$23/100)*(1+IF(C623=TRUE,F623,0)/100)*(1+IF(C625=TRUE,F625,0)/100)*(1+IF(Skills!A14="TRIUMPH_FEATHER",IF(C621=TRUE,F621,0),0)/100)*(1+IF(C632=TRUE,F632,0)/100)^5*(1+(IF(Skills!A14="BIG_BANG",Inputs!$B$16,(Inputs!$B$17+1)))/100)*(B634*I620)</f>
        <v/>
      </c>
      <c r="L620">
        <f>K620*(MIN(Inputs!$B$21+(F627-Calc!F21),Inputs!$B$22)/100+Inputs!$B$22/100)/2</f>
        <v/>
      </c>
      <c r="M620">
        <f>L620*(1+(Inputs!$B$9+B638+(F630-Calc!F24))/100)</f>
        <v/>
      </c>
      <c r="N620">
        <f>L620*(1-MIN(Inputs!$B$8+((F629-Calc!F23)+(F628-Calc!F22)),100)/100)+M620*(MIN(Inputs!$B$8+((F629-Calc!F23)+(F628-Calc!F22)),100)/100)</f>
        <v/>
      </c>
      <c r="O620">
        <f>IF(C620,Skills!F14*N620*((IF(Inputs!$B$3&gt;=78,25,15)/100*B640*10)/(1+IF(Inputs!$B$3&gt;=78,25,15)/100*B640*10))*(Skills!I14/100*B640)/(1+Skills!G14*Skills!I14/100*B640)*IF(Inputs!$B$4="pvp",1,(1-Summary!$B$48)*(1)+Summary!$B$48*(MIN(Skills!Q14,Inputs!$B$37))),0)</f>
        <v/>
      </c>
      <c r="P620">
        <f>IF(B644=0,0,O620/B644)</f>
        <v/>
      </c>
      <c r="S620" t="n">
        <v>0</v>
      </c>
      <c r="V620">
        <f>IFERROR(1/IF(Inputs!$B$4="pvp",15,MAX(0.1,Skills!D14-IF(Skills!E14=TRUE,Inputs!$B$31,0))),0)</f>
        <v/>
      </c>
    </row>
    <row r="621">
      <c r="A621">
        <f>Skills!A15</f>
        <v/>
      </c>
      <c r="B621">
        <f>Skills!B15</f>
        <v/>
      </c>
      <c r="C621">
        <f>Inputs!$B$3&gt;=100</f>
        <v/>
      </c>
      <c r="D621">
        <f>IF(Skills!C15=1,60+Inputs!$B$24+Inputs!$B$28,IF(Skills!C15=2,90+Inputs!$B$25+Inputs!$B$28,IF(Skills!C15=3,120+Inputs!$B$26+Inputs!$B$28,MAX(0,(Inputs!$B$3-100)*3)+Inputs!$B$27+Inputs!$B$28)))</f>
        <v/>
      </c>
      <c r="E621">
        <f>INDEX(FactorTable!$B$2:$Y$301, MATCH(ROUND(MIN(300,MAX(1,D621)),0), FactorTable!$A$2:$A$301,0), Skills!L15+1)</f>
        <v/>
      </c>
      <c r="F621">
        <f>IF(Skills!M15=TRUE,(Skills!K15/10)*(E621/1000),Skills!K15/10)+Skills!N15</f>
        <v/>
      </c>
      <c r="G621">
        <f>Calc!G15</f>
        <v/>
      </c>
      <c r="H621">
        <f>Calc!H15</f>
        <v/>
      </c>
      <c r="I621">
        <f>IF(Skills!T15&lt;&gt;"",1+(Skills!T15/10)*($Z$3/1000)/100,1)</f>
        <v/>
      </c>
      <c r="J621" t="inlineStr"/>
      <c r="K621" t="inlineStr"/>
      <c r="L621" t="inlineStr"/>
      <c r="M621" t="inlineStr"/>
      <c r="N621" t="inlineStr"/>
      <c r="O621" t="n">
        <v>0</v>
      </c>
      <c r="P621">
        <f>IF(B644=0,0,O621/B644)</f>
        <v/>
      </c>
      <c r="S621" t="n">
        <v>0</v>
      </c>
      <c r="V621">
        <f>IFERROR(1/IF(Inputs!$B$4="pvp",15,MAX(0.1,Skills!D15-IF(Skills!E15=TRUE,Inputs!$B$31,0))),0)</f>
        <v/>
      </c>
    </row>
    <row r="622">
      <c r="A622">
        <f>Skills!A16</f>
        <v/>
      </c>
      <c r="B622">
        <f>Skills!B16</f>
        <v/>
      </c>
      <c r="C622">
        <f>Inputs!$B$3&gt;=49</f>
        <v/>
      </c>
      <c r="D622">
        <f>IF(Skills!C16=1,60+Inputs!$B$24+Inputs!$B$28,IF(Skills!C16=2,90+Inputs!$B$25+Inputs!$B$28,IF(Skills!C16=3,120+Inputs!$B$26+Inputs!$B$28,MAX(0,(Inputs!$B$3-100)*3)+Inputs!$B$27+Inputs!$B$28)))</f>
        <v/>
      </c>
      <c r="E622">
        <f>INDEX(FactorTable!$B$2:$Y$301, MATCH(ROUND(MIN(300,MAX(1,D622)),0), FactorTable!$A$2:$A$301,0), Skills!L16+1)</f>
        <v/>
      </c>
      <c r="F622">
        <f>IF(Skills!M16=TRUE,(Skills!K16/10)*(E622/1000),Skills!K16/10)+Skills!N16</f>
        <v/>
      </c>
      <c r="G622">
        <f>Calc!G16</f>
        <v/>
      </c>
      <c r="H622">
        <f>Calc!H16</f>
        <v/>
      </c>
      <c r="I622">
        <f>IF(Skills!T16&lt;&gt;"",1+(Skills!T16/10)*($Z$3/1000)/100,1)</f>
        <v/>
      </c>
      <c r="J622" t="inlineStr"/>
      <c r="K622" t="inlineStr"/>
      <c r="L622" t="inlineStr"/>
      <c r="M622" t="inlineStr"/>
      <c r="N622" t="inlineStr"/>
      <c r="O622" t="n">
        <v>0</v>
      </c>
      <c r="P622">
        <f>IF(B644=0,0,O622/B644)</f>
        <v/>
      </c>
      <c r="S622" t="n">
        <v>0</v>
      </c>
      <c r="V622">
        <f>IFERROR(1/IF(Inputs!$B$4="pvp",15,MAX(0.1,Skills!D16-IF(Skills!E16=TRUE,Inputs!$B$31,0))),0)</f>
        <v/>
      </c>
    </row>
    <row r="623">
      <c r="A623">
        <f>Skills!A17</f>
        <v/>
      </c>
      <c r="B623">
        <f>Skills!B17</f>
        <v/>
      </c>
      <c r="C623">
        <f>Inputs!$B$3&gt;=75</f>
        <v/>
      </c>
      <c r="D623">
        <f>IF(Skills!C17=1,60+Inputs!$B$24+Inputs!$B$28,IF(Skills!C17=2,90+Inputs!$B$25+Inputs!$B$28,IF(Skills!C17=3,120+Inputs!$B$26+Inputs!$B$28,MAX(0,(Inputs!$B$3-100)*3)+Inputs!$B$27+Inputs!$B$28)))</f>
        <v/>
      </c>
      <c r="E623">
        <f>INDEX(FactorTable!$B$2:$Y$301, MATCH(ROUND(MIN(300,MAX(1,D623)),0), FactorTable!$A$2:$A$301,0), Skills!L17+1)</f>
        <v/>
      </c>
      <c r="F623">
        <f>IF(Skills!M17=TRUE,(Skills!K17/10)*(E623/1000),Skills!K17/10)+Skills!N17</f>
        <v/>
      </c>
      <c r="G623">
        <f>Calc!G17</f>
        <v/>
      </c>
      <c r="H623">
        <f>Calc!H17</f>
        <v/>
      </c>
      <c r="I623">
        <f>IF(Skills!T17&lt;&gt;"",1+(Skills!T17/10)*($Z$3/1000)/100,1)</f>
        <v/>
      </c>
      <c r="J623" t="inlineStr"/>
      <c r="K623" t="inlineStr"/>
      <c r="L623" t="inlineStr"/>
      <c r="M623" t="inlineStr"/>
      <c r="N623" t="inlineStr"/>
      <c r="O623" t="n">
        <v>0</v>
      </c>
      <c r="P623">
        <f>IF(B644=0,0,O623/B644)</f>
        <v/>
      </c>
      <c r="S623" t="n">
        <v>0</v>
      </c>
      <c r="V623">
        <f>IFERROR(1/IF(Inputs!$B$4="pvp",15,MAX(0.1,Skills!D17-IF(Skills!E17=TRUE,Inputs!$B$31,0))),0)</f>
        <v/>
      </c>
    </row>
    <row r="624">
      <c r="A624">
        <f>Skills!A18</f>
        <v/>
      </c>
      <c r="B624">
        <f>Skills!B18</f>
        <v/>
      </c>
      <c r="C624">
        <f>Inputs!$B$3&gt;=110</f>
        <v/>
      </c>
      <c r="D624">
        <f>IF(Skills!C18=1,60+Inputs!$B$24+Inputs!$B$28,IF(Skills!C18=2,90+Inputs!$B$25+Inputs!$B$28,IF(Skills!C18=3,120+Inputs!$B$26+Inputs!$B$28,MAX(0,(Inputs!$B$3-100)*3)+Inputs!$B$27+Inputs!$B$28)))</f>
        <v/>
      </c>
      <c r="E624">
        <f>INDEX(FactorTable!$B$2:$Y$301, MATCH(ROUND(MIN(300,MAX(1,D624)),0), FactorTable!$A$2:$A$301,0), Skills!L18+1)</f>
        <v/>
      </c>
      <c r="F624">
        <f>(Skills!K18/10)*(E624/1000)*64/45+Skills!N18</f>
        <v/>
      </c>
      <c r="G624">
        <f>Calc!G18</f>
        <v/>
      </c>
      <c r="H624">
        <f>Calc!H18</f>
        <v/>
      </c>
      <c r="I624">
        <f>IF(Skills!T18&lt;&gt;"",1+(Skills!T18/10)*($Z$3/1000)/100,1)</f>
        <v/>
      </c>
      <c r="J624" t="inlineStr"/>
      <c r="K624" t="inlineStr"/>
      <c r="L624" t="inlineStr"/>
      <c r="M624" t="inlineStr"/>
      <c r="N624" t="inlineStr"/>
      <c r="O624" t="n">
        <v>0</v>
      </c>
      <c r="P624">
        <f>IF(B644=0,0,O624/B644)</f>
        <v/>
      </c>
      <c r="S624">
        <f>IF(AND(Inputs!$B$4&lt;&gt;"pvp",Inputs!$B$35&gt;0),(INT(Inputs!$B$35/IF(Inputs!$B$4="pvp",15,MAX(0.1,Skills!D18-IF(Skills!E18=TRUE,Inputs!$B$31,0))))+1),0)</f>
        <v/>
      </c>
      <c r="V624">
        <f>IFERROR(1/IF(Inputs!$B$4="pvp",15,MAX(0.1,Skills!D18-IF(Skills!E18=TRUE,Inputs!$B$31,0))),0)</f>
        <v/>
      </c>
    </row>
    <row r="625">
      <c r="A625">
        <f>Skills!A19</f>
        <v/>
      </c>
      <c r="B625">
        <f>Skills!B19</f>
        <v/>
      </c>
      <c r="C625">
        <f>Inputs!$B$3&gt;=125</f>
        <v/>
      </c>
      <c r="D625">
        <f>IF(Skills!C19=1,60+Inputs!$B$24+Inputs!$B$28,IF(Skills!C19=2,90+Inputs!$B$25+Inputs!$B$28,IF(Skills!C19=3,120+Inputs!$B$26+Inputs!$B$28,MAX(0,(Inputs!$B$3-100)*3)+Inputs!$B$27+Inputs!$B$28)))</f>
        <v/>
      </c>
      <c r="E625">
        <f>INDEX(FactorTable!$B$2:$Y$301, MATCH(ROUND(MIN(300,MAX(1,D625)),0), FactorTable!$A$2:$A$301,0), Skills!L19+1)</f>
        <v/>
      </c>
      <c r="F625">
        <f>IF(Skills!M19=TRUE,(Skills!K19/10)*(E625/1000),Skills!K19/10)+Skills!N19</f>
        <v/>
      </c>
      <c r="G625">
        <f>Calc!G19</f>
        <v/>
      </c>
      <c r="H625">
        <f>Calc!H19</f>
        <v/>
      </c>
      <c r="I625">
        <f>IF(Skills!T19&lt;&gt;"",1+(Skills!T19/10)*($Z$3/1000)/100,1)</f>
        <v/>
      </c>
      <c r="J625" t="inlineStr"/>
      <c r="K625" t="inlineStr"/>
      <c r="L625" t="inlineStr"/>
      <c r="M625" t="inlineStr"/>
      <c r="N625" t="inlineStr"/>
      <c r="O625" t="n">
        <v>0</v>
      </c>
      <c r="P625">
        <f>IF(B644=0,0,O625/B644)</f>
        <v/>
      </c>
      <c r="S625" t="n">
        <v>0</v>
      </c>
      <c r="V625">
        <f>IFERROR(1/IF(Inputs!$B$4="pvp",15,MAX(0.1,Skills!D19-IF(Skills!E19=TRUE,Inputs!$B$31,0))),0)</f>
        <v/>
      </c>
    </row>
    <row r="626">
      <c r="A626">
        <f>Skills!A20</f>
        <v/>
      </c>
      <c r="B626">
        <f>Skills!B20</f>
        <v/>
      </c>
      <c r="C626">
        <f>Inputs!$B$3&gt;=33</f>
        <v/>
      </c>
      <c r="D626">
        <f>IF(Skills!C20=1,60+Inputs!$B$24+Inputs!$B$28,IF(Skills!C20=2,90+Inputs!$B$25+Inputs!$B$28,IF(Skills!C20=3,120+Inputs!$B$26+Inputs!$B$28,MAX(0,(Inputs!$B$3-100)*3)+Inputs!$B$27+Inputs!$B$28)))</f>
        <v/>
      </c>
      <c r="E626">
        <f>INDEX(FactorTable!$B$2:$Y$301, MATCH(ROUND(MIN(300,MAX(1,D626)),0), FactorTable!$A$2:$A$301,0), Skills!L20+1)</f>
        <v/>
      </c>
      <c r="F626">
        <f>IF(Skills!M20=TRUE,(Skills!K20/10)*(E626/1000),Skills!K20/10)+Skills!N20</f>
        <v/>
      </c>
      <c r="G626">
        <f>Calc!G20</f>
        <v/>
      </c>
      <c r="H626">
        <f>Calc!H20</f>
        <v/>
      </c>
      <c r="I626">
        <f>IF(Skills!T20&lt;&gt;"",1+(Skills!T20/10)*($Z$3/1000)/100,1)</f>
        <v/>
      </c>
      <c r="J626" t="inlineStr"/>
      <c r="K626" t="inlineStr"/>
      <c r="L626" t="inlineStr"/>
      <c r="M626" t="inlineStr"/>
      <c r="N626" t="inlineStr"/>
      <c r="O626" t="n">
        <v>0</v>
      </c>
      <c r="P626">
        <f>IF(B644=0,0,O626/B644)</f>
        <v/>
      </c>
      <c r="S626" t="n">
        <v>0</v>
      </c>
      <c r="V626">
        <f>IFERROR(1/IF(Inputs!$B$4="pvp",15,MAX(0.1,Skills!D20-IF(Skills!E20=TRUE,Inputs!$B$31,0))),0)</f>
        <v/>
      </c>
    </row>
    <row r="627">
      <c r="A627">
        <f>Skills!A21</f>
        <v/>
      </c>
      <c r="B627">
        <f>Skills!B21</f>
        <v/>
      </c>
      <c r="C627">
        <f>Inputs!$B$3&gt;=43</f>
        <v/>
      </c>
      <c r="D627">
        <f>IF(Skills!C21=1,60+Inputs!$B$24+Inputs!$B$28,IF(Skills!C21=2,90+Inputs!$B$25+Inputs!$B$28,IF(Skills!C21=3,120+Inputs!$B$26+Inputs!$B$28,MAX(0,(Inputs!$B$3-100)*3)+Inputs!$B$27+Inputs!$B$28)))</f>
        <v/>
      </c>
      <c r="E627">
        <f>INDEX(FactorTable!$B$2:$Y$301, MATCH(ROUND(MIN(300,MAX(1,D627)),0), FactorTable!$A$2:$A$301,0), Skills!L21+1)</f>
        <v/>
      </c>
      <c r="F627">
        <f>IF(Skills!M21=TRUE,(Skills!K21/10)*(E627/1000),Skills!K21/10)+Skills!N21</f>
        <v/>
      </c>
      <c r="G627">
        <f>Calc!G21</f>
        <v/>
      </c>
      <c r="H627">
        <f>Calc!H21</f>
        <v/>
      </c>
      <c r="I627">
        <f>IF(Skills!T21&lt;&gt;"",1+(Skills!T21/10)*($Z$3/1000)/100,1)</f>
        <v/>
      </c>
      <c r="J627" t="inlineStr"/>
      <c r="K627" t="inlineStr"/>
      <c r="L627" t="inlineStr"/>
      <c r="M627" t="inlineStr"/>
      <c r="N627" t="inlineStr"/>
      <c r="O627" t="n">
        <v>0</v>
      </c>
      <c r="P627">
        <f>IF(B644=0,0,O627/B644)</f>
        <v/>
      </c>
      <c r="S627" t="n">
        <v>0</v>
      </c>
      <c r="V627">
        <f>IFERROR(1/IF(Inputs!$B$4="pvp",15,MAX(0.1,Skills!D21-IF(Skills!E21=TRUE,Inputs!$B$31,0))),0)</f>
        <v/>
      </c>
    </row>
    <row r="628">
      <c r="A628">
        <f>Skills!A22</f>
        <v/>
      </c>
      <c r="B628">
        <f>Skills!B22</f>
        <v/>
      </c>
      <c r="C628">
        <f>Inputs!$B$3&gt;=50</f>
        <v/>
      </c>
      <c r="D628">
        <f>IF(Skills!C22=1,60+Inputs!$B$24+Inputs!$B$28,IF(Skills!C22=2,90+Inputs!$B$25+Inputs!$B$28,IF(Skills!C22=3,120+Inputs!$B$26+Inputs!$B$28,MAX(0,(Inputs!$B$3-100)*3)+Inputs!$B$27+Inputs!$B$28)))</f>
        <v/>
      </c>
      <c r="E628">
        <f>INDEX(FactorTable!$B$2:$Y$301, MATCH(ROUND(MIN(300,MAX(1,D628)),0), FactorTable!$A$2:$A$301,0), Skills!L22+1)</f>
        <v/>
      </c>
      <c r="F628">
        <f>IF(Skills!M22=TRUE,(Skills!K22/10)*(E628/1000),Skills!K22/10)+Skills!N22</f>
        <v/>
      </c>
      <c r="G628">
        <f>Calc!G22</f>
        <v/>
      </c>
      <c r="H628">
        <f>Calc!H22</f>
        <v/>
      </c>
      <c r="I628">
        <f>IF(Skills!T22&lt;&gt;"",1+(Skills!T22/10)*($Z$3/1000)/100,1)</f>
        <v/>
      </c>
      <c r="J628" t="inlineStr"/>
      <c r="K628" t="inlineStr"/>
      <c r="L628" t="inlineStr"/>
      <c r="M628" t="inlineStr"/>
      <c r="N628" t="inlineStr"/>
      <c r="O628" t="n">
        <v>0</v>
      </c>
      <c r="P628">
        <f>IF(B644=0,0,O628/B644)</f>
        <v/>
      </c>
      <c r="S628" t="n">
        <v>0</v>
      </c>
      <c r="V628">
        <f>IFERROR(1/IF(Inputs!$B$4="pvp",15,MAX(0.1,Skills!D22-IF(Skills!E22=TRUE,Inputs!$B$31,0))),0)</f>
        <v/>
      </c>
    </row>
    <row r="629">
      <c r="A629">
        <f>Skills!A23</f>
        <v/>
      </c>
      <c r="B629">
        <f>Skills!B23</f>
        <v/>
      </c>
      <c r="C629">
        <f>Inputs!$B$3&gt;=74</f>
        <v/>
      </c>
      <c r="D629">
        <f>IF(Skills!C23=1,60+Inputs!$B$24+Inputs!$B$28,IF(Skills!C23=2,90+Inputs!$B$25+Inputs!$B$28,IF(Skills!C23=3,120+Inputs!$B$26+Inputs!$B$28,MAX(0,(Inputs!$B$3-100)*3)+Inputs!$B$27+Inputs!$B$28)))</f>
        <v/>
      </c>
      <c r="E629">
        <f>INDEX(FactorTable!$B$2:$Y$301, MATCH(ROUND(MIN(300,MAX(1,D629)),0), FactorTable!$A$2:$A$301,0), Skills!L23+1)</f>
        <v/>
      </c>
      <c r="F629">
        <f>IF(Skills!M23=TRUE,(Skills!K23/10)*(E629/1000),Skills!K23/10)+Skills!N23</f>
        <v/>
      </c>
      <c r="G629">
        <f>Calc!G23</f>
        <v/>
      </c>
      <c r="H629">
        <f>Calc!H23</f>
        <v/>
      </c>
      <c r="I629">
        <f>IF(Skills!T23&lt;&gt;"",1+(Skills!T23/10)*($Z$3/1000)/100,1)</f>
        <v/>
      </c>
      <c r="J629" t="inlineStr"/>
      <c r="K629" t="inlineStr"/>
      <c r="L629" t="inlineStr"/>
      <c r="M629" t="inlineStr"/>
      <c r="N629" t="inlineStr"/>
      <c r="O629" t="n">
        <v>0</v>
      </c>
      <c r="P629">
        <f>IF(B644=0,0,O629/B644)</f>
        <v/>
      </c>
      <c r="S629" t="n">
        <v>0</v>
      </c>
      <c r="V629">
        <f>IFERROR(1/IF(Inputs!$B$4="pvp",15,MAX(0.1,Skills!D23-IF(Skills!E23=TRUE,Inputs!$B$31,0))),0)</f>
        <v/>
      </c>
    </row>
    <row r="630">
      <c r="A630">
        <f>Skills!A24</f>
        <v/>
      </c>
      <c r="B630">
        <f>Skills!B24</f>
        <v/>
      </c>
      <c r="C630">
        <f>Inputs!$B$3&gt;=74</f>
        <v/>
      </c>
      <c r="D630">
        <f>IF(Skills!C24=1,60+Inputs!$B$24+Inputs!$B$28,IF(Skills!C24=2,90+Inputs!$B$25+Inputs!$B$28,IF(Skills!C24=3,120+Inputs!$B$26+Inputs!$B$28,MAX(0,(Inputs!$B$3-100)*3)+Inputs!$B$27+Inputs!$B$28)))</f>
        <v/>
      </c>
      <c r="E630">
        <f>INDEX(FactorTable!$B$2:$Y$301, MATCH(ROUND(MIN(300,MAX(1,D630)),0), FactorTable!$A$2:$A$301,0), Skills!L24+1)</f>
        <v/>
      </c>
      <c r="F630">
        <f>IF(Skills!M24=TRUE,(Skills!K24/10)*(E630/1000),Skills!K24/10)+Skills!N24</f>
        <v/>
      </c>
      <c r="G630">
        <f>Calc!G24</f>
        <v/>
      </c>
      <c r="H630">
        <f>Calc!H24</f>
        <v/>
      </c>
      <c r="I630">
        <f>IF(Skills!T24&lt;&gt;"",1+(Skills!T24/10)*($Z$3/1000)/100,1)</f>
        <v/>
      </c>
      <c r="J630" t="inlineStr"/>
      <c r="K630" t="inlineStr"/>
      <c r="L630" t="inlineStr"/>
      <c r="M630" t="inlineStr"/>
      <c r="N630" t="inlineStr"/>
      <c r="O630" t="n">
        <v>0</v>
      </c>
      <c r="P630">
        <f>IF(B644=0,0,O630/B644)</f>
        <v/>
      </c>
      <c r="S630" t="n">
        <v>0</v>
      </c>
      <c r="V630">
        <f>IFERROR(1/IF(Inputs!$B$4="pvp",15,MAX(0.1,Skills!D24-IF(Skills!E24=TRUE,Inputs!$B$31,0))),0)</f>
        <v/>
      </c>
    </row>
    <row r="631">
      <c r="A631">
        <f>Skills!A25</f>
        <v/>
      </c>
      <c r="B631">
        <f>Skills!B25</f>
        <v/>
      </c>
      <c r="C631">
        <f>Inputs!$B$3&gt;=117</f>
        <v/>
      </c>
      <c r="D631">
        <f>IF(Skills!C25=1,60+Inputs!$B$24+Inputs!$B$28,IF(Skills!C25=2,90+Inputs!$B$25+Inputs!$B$28,IF(Skills!C25=3,120+Inputs!$B$26+Inputs!$B$28,MAX(0,(Inputs!$B$3-100)*3)+Inputs!$B$27+Inputs!$B$28)))</f>
        <v/>
      </c>
      <c r="E631">
        <f>INDEX(FactorTable!$B$2:$Y$301, MATCH(ROUND(MIN(300,MAX(1,D631)),0), FactorTable!$A$2:$A$301,0), Skills!L25+1)</f>
        <v/>
      </c>
      <c r="F631">
        <f>IF(Skills!M25=TRUE,(Skills!K25/10)*(E631/1000),Skills!K25/10)+Skills!N25</f>
        <v/>
      </c>
      <c r="G631">
        <f>Calc!G25</f>
        <v/>
      </c>
      <c r="H631">
        <f>Calc!H25</f>
        <v/>
      </c>
      <c r="I631">
        <f>IF(Skills!T25&lt;&gt;"",1+(Skills!T25/10)*($Z$3/1000)/100,1)</f>
        <v/>
      </c>
      <c r="J631" t="inlineStr"/>
      <c r="K631" t="inlineStr"/>
      <c r="L631" t="inlineStr"/>
      <c r="M631" t="inlineStr"/>
      <c r="N631" t="inlineStr"/>
      <c r="O631" t="n">
        <v>0</v>
      </c>
      <c r="P631">
        <f>IF(B644=0,0,O631/B644)</f>
        <v/>
      </c>
      <c r="S631" t="n">
        <v>0</v>
      </c>
      <c r="V631">
        <f>IFERROR(1/IF(Inputs!$B$4="pvp",15,MAX(0.1,Skills!D25-IF(Skills!E25=TRUE,Inputs!$B$31,0))),0)</f>
        <v/>
      </c>
    </row>
    <row r="632">
      <c r="A632">
        <f>Skills!A26</f>
        <v/>
      </c>
      <c r="B632">
        <f>Skills!B26</f>
        <v/>
      </c>
      <c r="C632">
        <f>Inputs!$B$3&gt;=120</f>
        <v/>
      </c>
      <c r="D632">
        <f>IF(Skills!C26=1,60+Inputs!$B$24+Inputs!$B$28,IF(Skills!C26=2,90+Inputs!$B$25+Inputs!$B$28,IF(Skills!C26=3,120+Inputs!$B$26+Inputs!$B$28,MAX(0,(Inputs!$B$3-100)*3)+Inputs!$B$27+Inputs!$B$28)))</f>
        <v/>
      </c>
      <c r="E632">
        <f>INDEX(FactorTable!$B$2:$Y$301, MATCH(ROUND(MIN(300,MAX(1,D632)),0), FactorTable!$A$2:$A$301,0), Skills!L26+1)</f>
        <v/>
      </c>
      <c r="F632">
        <f>IF(Skills!M26=TRUE,(Skills!K26/10)*(E632/1000),Skills!K26/10)+Skills!N26</f>
        <v/>
      </c>
      <c r="G632">
        <f>Calc!G26</f>
        <v/>
      </c>
      <c r="H632">
        <f>Calc!H26</f>
        <v/>
      </c>
      <c r="I632">
        <f>IF(Skills!T26&lt;&gt;"",1+(Skills!T26/10)*($Z$3/1000)/100,1)</f>
        <v/>
      </c>
      <c r="J632" t="inlineStr"/>
      <c r="K632" t="inlineStr"/>
      <c r="L632" t="inlineStr"/>
      <c r="M632" t="inlineStr"/>
      <c r="N632" t="inlineStr"/>
      <c r="O632" t="n">
        <v>0</v>
      </c>
      <c r="P632">
        <f>IF(B644=0,0,O632/B644)</f>
        <v/>
      </c>
      <c r="S632" t="n">
        <v>0</v>
      </c>
      <c r="V632">
        <f>IFERROR(1/IF(Inputs!$B$4="pvp",15,MAX(0.1,Skills!D26-IF(Skills!E26=TRUE,Inputs!$B$31,0))),0)</f>
        <v/>
      </c>
    </row>
    <row r="634">
      <c r="A634" t="inlineStr">
        <is>
          <t>Average Buff Multiplier</t>
        </is>
      </c>
      <c r="B634">
        <f>(1+(IF(C609=TRUE,F609*IF(AND(Inputs!$B$4&lt;&gt;"pvp",Inputs!$B$35&gt;0),(((S609-1)*(Skills!S3*(1+(Inputs!$B$33+IF(Inputs!$B$3&gt;=117,F631,0))/100))+MIN((Skills!S3*(1+(Inputs!$B$33+IF(Inputs!$B$3&gt;=117,F631,0))/100)),MAX(0,Inputs!$B$35-((S609-1)*Skills!D3))))/Inputs!$B$35),IF(Inputs!$B$4="pvp",MIN((Skills!S3*(1+(Inputs!$B$33+IF(Inputs!$B$3&gt;=117,F631,0))/100)),15)/15,(Skills!S3*(1+(Inputs!$B$33+IF(Inputs!$B$3&gt;=117,F631,0))/100))/Skills!D3)),0)+IF(C610=TRUE,F610*IF(AND(Inputs!$B$4&lt;&gt;"pvp",Inputs!$B$35&gt;0),(((S610-1)*(Skills!S4*(1+(Inputs!$B$33+IF(Inputs!$B$3&gt;=117,F631,0))/100))+MIN((Skills!S4*(1+(Inputs!$B$33+IF(Inputs!$B$3&gt;=117,F631,0))/100)),MAX(0,Inputs!$B$35-((S610-1)*Skills!D4))))/Inputs!$B$35),IF(Inputs!$B$4="pvp",MIN((Skills!S4*(1+(Inputs!$B$33+IF(Inputs!$B$3&gt;=117,F631,0))/100)),15)/15,(Skills!S4*(1+(Inputs!$B$33+IF(Inputs!$B$3&gt;=117,F631,0))/100))/Skills!D4)),0)+IF(C611=TRUE,F611*IF(AND(Inputs!$B$4&lt;&gt;"pvp",Inputs!$B$35&gt;0),(((S611-1)*(Skills!S5*(1+(Inputs!$B$33+IF(Inputs!$B$3&gt;=117,F631,0))/100))+MIN((Skills!S5*(1+(Inputs!$B$33+IF(Inputs!$B$3&gt;=117,F631,0))/100)),MAX(0,Inputs!$B$35-((S611-1)*Skills!D5))))/Inputs!$B$35),IF(Inputs!$B$4="pvp",MIN((Skills!S5*(1+(Inputs!$B$33+IF(Inputs!$B$3&gt;=117,F631,0))/100)),15)/15,(Skills!S5*(1+(Inputs!$B$33+IF(Inputs!$B$3&gt;=117,F631,0))/100))/Skills!D5)),0)+IF(C617=TRUE,F617*IF(AND(Inputs!$B$4&lt;&gt;"pvp",Inputs!$B$35&gt;0),(((S617-1)*(Skills!S11*(1+(Inputs!$B$33+IF(Inputs!$B$3&gt;=117,F631,0))/100))+MIN((Skills!S11*(1+(Inputs!$B$33+IF(Inputs!$B$3&gt;=117,F631,0))/100)),MAX(0,Inputs!$B$35-((S617-1)*Skills!D11))))/Inputs!$B$35),IF(Inputs!$B$4="pvp",MIN((Skills!S11*(1+(Inputs!$B$33+IF(Inputs!$B$3&gt;=117,F631,0))/100)),15)/15,(Skills!S11*(1+(Inputs!$B$33+IF(Inputs!$B$3&gt;=117,F631,0))/100))/Skills!D11)),0))/100)*IF(C619=TRUE,(1+F619*IF(AND(Inputs!$B$4&lt;&gt;"pvp",Inputs!$B$35&gt;0),(((S619-1)*(Skills!S13*(1+(Inputs!$B$33+IF(Inputs!$B$3&gt;=117,F631,0))/100))+MIN((Skills!S13*(1+(Inputs!$B$33+IF(Inputs!$B$3&gt;=117,F631,0))/100)),MAX(0,Inputs!$B$35-((S619-1)*Skills!D13))))/Inputs!$B$35),IF(Inputs!$B$4="pvp",MIN((Skills!S13*(1+(Inputs!$B$33+IF(Inputs!$B$3&gt;=117,F631,0))/100)),15)/15,(Skills!S13*(1+(Inputs!$B$33+IF(Inputs!$B$3&gt;=117,F631,0))/100))/Skills!D13))/100),1)*IF(C624=TRUE,(1+F624*IF(AND(Inputs!$B$4&lt;&gt;"pvp",Inputs!$B$35&gt;0),(((S624-1)*(Skills!S18*(1+(Inputs!$B$33+IF(Inputs!$B$3&gt;=117,F631,0))/100))+MIN((Skills!S18*(1+(Inputs!$B$33+IF(Inputs!$B$3&gt;=117,F631,0))/100)),MAX(0,Inputs!$B$35-((S624-1)*Skills!D18))))/Inputs!$B$35),IF(Inputs!$B$4="pvp",MIN((Skills!S18*(1+(Inputs!$B$33+IF(Inputs!$B$3&gt;=117,F631,0))/100)),15)/15,(Skills!S18*(1+(Inputs!$B$33+IF(Inputs!$B$3&gt;=117,F631,0))/100))/Skills!D18))/100),1)</f>
        <v/>
      </c>
    </row>
    <row r="635">
      <c r="A635" t="inlineStr">
        <is>
          <t>Monster Damage Taken Bonus % (Holy Fountain)</t>
        </is>
      </c>
      <c r="B635">
        <f>IF(Inputs!$B$3&gt;=68,20*IF(Inputs!$B$4="pvp",MIN((15*(1+(Inputs!$B$33+IF(Inputs!$B$3&gt;=117,F631,0))/100)),15)/15,(15*(1+(Inputs!$B$33+IF(Inputs!$B$3&gt;=117,F631,0))/100))/Skills!D10),0)</f>
        <v/>
      </c>
    </row>
    <row r="636">
      <c r="A636" t="inlineStr">
        <is>
          <t>Normal Monster Damage Bonus % (Holy Symbol)</t>
        </is>
      </c>
      <c r="B636">
        <f>IF(C618=TRUE,F618*IF(AND(Inputs!$B$4&lt;&gt;"pvp",Inputs!$B$35&gt;0),(((S618-1)*(Skills!S12*(1+(Inputs!$B$33+IF(Inputs!$B$3&gt;=117,F631,0))/100))+MIN((Skills!S12*(1+(Inputs!$B$33+IF(Inputs!$B$3&gt;=117,F631,0))/100)),MAX(0,Inputs!$B$35-((S618-1)*Skills!D12))))/Inputs!$B$35),IF(Inputs!$B$4="pvp",MIN((Skills!S12*(1+(Inputs!$B$33+IF(Inputs!$B$3&gt;=117,F631,0))/100)),15)/15,(Skills!S12*(1+(Inputs!$B$33+IF(Inputs!$B$3&gt;=117,F631,0))/100))/Skills!D12)),0)</f>
        <v/>
      </c>
    </row>
    <row r="637">
      <c r="A637" t="inlineStr">
        <is>
          <t>Damage % Bonus (Holy Symbol - Damage Boost)</t>
        </is>
      </c>
      <c r="B637">
        <f>Skills!O12</f>
        <v/>
      </c>
    </row>
    <row r="638">
      <c r="A638" t="inlineStr">
        <is>
          <t>Crit Damage % Bonus (Blood of the Divine)</t>
        </is>
      </c>
      <c r="B638">
        <f>4*IF(C625=TRUE,F625,0)</f>
        <v/>
      </c>
    </row>
    <row r="639">
      <c r="A639" t="inlineStr">
        <is>
          <t>Attack Speed Bonus %</t>
        </is>
      </c>
      <c r="B639">
        <f>IF(C622=TRUE,F622+(F626-Calc!F20),0)+IF(Inputs!$B$3&gt;=134,15,0)</f>
        <v/>
      </c>
    </row>
    <row r="640">
      <c r="A640" t="inlineStr">
        <is>
          <t>Actions Per Second</t>
        </is>
      </c>
      <c r="B640">
        <f>1+MIN(150,150*(1-(1-Inputs!$B$10/150)*(1-B639/150)))/100</f>
        <v/>
      </c>
    </row>
    <row r="641">
      <c r="A641" t="inlineStr">
        <is>
          <t>Skill + Buff Cast Rate</t>
        </is>
      </c>
      <c r="B641">
        <f>IF(AND(Inputs!$B$4&lt;&gt;"pvp",Inputs!$B$35&gt;0),SUMPRODUCT((Skills!E2:E26=TRUE)*(C608:C632=TRUE)*S608:S632)/Inputs!$B$35,SUMPRODUCT((Skills!E2:E26=TRUE)*(C608:C632=TRUE)*V608:V632))</f>
        <v/>
      </c>
    </row>
    <row r="642">
      <c r="A642" t="inlineStr">
        <is>
          <t>Big Bang Casts Per Second</t>
        </is>
      </c>
      <c r="B642">
        <f>MAX(0,B640-B641)</f>
        <v/>
      </c>
    </row>
    <row r="644">
      <c r="A644" s="5" t="inlineStr">
        <is>
          <t>TOTAL DPS</t>
        </is>
      </c>
      <c r="B644" s="5">
        <f>SUM(O608:O632)</f>
        <v/>
      </c>
    </row>
    <row r="647">
      <c r="A647" s="5" t="inlineStr">
        <is>
          <t>Stat: Skill Level Bonus — 1st Job</t>
        </is>
      </c>
    </row>
    <row r="648">
      <c r="A648" s="8" t="inlineStr">
        <is>
          <t>Key</t>
        </is>
      </c>
      <c r="B648" s="8" t="inlineStr">
        <is>
          <t>Name</t>
        </is>
      </c>
      <c r="C648" s="8" t="inlineStr">
        <is>
          <t>Unlocked</t>
        </is>
      </c>
      <c r="D648" s="8" t="inlineStr">
        <is>
          <t>InputLevel</t>
        </is>
      </c>
      <c r="E648" s="8" t="inlineStr">
        <is>
          <t>Factor</t>
        </is>
      </c>
      <c r="F648" s="8" t="inlineStr">
        <is>
          <t>CoefficientPercent</t>
        </is>
      </c>
      <c r="G648" s="8" t="inlineStr">
        <is>
          <t>EffectiveHits</t>
        </is>
      </c>
      <c r="H648" s="8" t="inlineStr">
        <is>
          <t>ProcProbability</t>
        </is>
      </c>
      <c r="I648" s="8" t="inlineStr">
        <is>
          <t>MapleHeroMultiplier</t>
        </is>
      </c>
      <c r="J648" s="8" t="inlineStr">
        <is>
          <t>BaseDamage</t>
        </is>
      </c>
      <c r="K648" s="8" t="inlineStr">
        <is>
          <t>BaseHitDamage</t>
        </is>
      </c>
      <c r="L648" s="8" t="inlineStr">
        <is>
          <t>NonCritAvg</t>
        </is>
      </c>
      <c r="M648" s="8" t="inlineStr">
        <is>
          <t>CritAvg</t>
        </is>
      </c>
      <c r="N648" s="8" t="inlineStr">
        <is>
          <t>ExpectedDamage(perHit)</t>
        </is>
      </c>
      <c r="O648" s="8" t="inlineStr">
        <is>
          <t>DPS</t>
        </is>
      </c>
      <c r="P648" s="8" t="inlineStr">
        <is>
          <t>% of Total</t>
        </is>
      </c>
      <c r="R648" t="inlineStr">
        <is>
          <t>helpers</t>
        </is>
      </c>
    </row>
    <row r="649">
      <c r="A649">
        <f>Skills!A2</f>
        <v/>
      </c>
      <c r="B649">
        <f>Skills!B2</f>
        <v/>
      </c>
      <c r="C649">
        <f>Inputs!$B$3&gt;=100</f>
        <v/>
      </c>
      <c r="D649" t="inlineStr"/>
      <c r="E649" t="inlineStr"/>
      <c r="F649">
        <f>T651+Skills!N2</f>
        <v/>
      </c>
      <c r="G649">
        <f>Calc!G2</f>
        <v/>
      </c>
      <c r="H649">
        <f>Calc!H2</f>
        <v/>
      </c>
      <c r="I649">
        <f>IF(Skills!T2&lt;&gt;"",1+(Skills!T2/10)*($Z$3/1000)/100,1)</f>
        <v/>
      </c>
      <c r="J649">
        <f>((Inputs!$B$5*(1+Inputs!$B$6/100))+((Inputs!$B$11*(1+Inputs!$B$12/100))-(Inputs!$B$11*(1+Inputs!$B$12/100)))*(1+Inputs!$B$6/100))*(F649/100)</f>
        <v/>
      </c>
      <c r="K649">
        <f>J649*(1+((Inputs!$B$11*(1+Inputs!$B$12/100))*0.01+Inputs!$B$13*0.0025)/100)*(1+(Inputs!$B$14+B678)/100)*(1+IF(Inputs!$B$4="pvp",0,(1-Summary!$B$48)*(Inputs!$B$19+Skills!O2+B676)+Summary!$B$48*(Inputs!$B$20+Skills!P2+B677))/100)*(1+Inputs!$B$15/100)*(5000/(6000+Inputs!$B$7*(1-Inputs!$B$18/100)))*(1+Inputs!$B$23/100)*(1+IF(C664=TRUE,F664,0)/100)*(1+IF(C666=TRUE,F666,0)/100)*(1+IF(Skills!A2="TRIUMPH_FEATHER",IF(C662=TRUE,F662,0),0)/100)*(1+IF(C673=TRUE,F673,0)/100)^5*(1+(IF(Skills!A2="BIG_BANG",Inputs!$B$16,Inputs!$B$17))/100)*(B675*I649)</f>
        <v/>
      </c>
      <c r="L649">
        <f>K649*(MIN(Inputs!$B$21+(F668-Calc!F21),Inputs!$B$22)/100+Inputs!$B$22/100)/2</f>
        <v/>
      </c>
      <c r="M649">
        <f>L649*(1+(Inputs!$B$9+B679+(F671-Calc!F24))/100)</f>
        <v/>
      </c>
      <c r="N649">
        <f>L649*(1-MIN(Inputs!$B$8+((F670-Calc!F23)+(F669-Calc!F22)),100)/100)+M649*(MIN(Inputs!$B$8+((F670-Calc!F23)+(F669-Calc!F22)),100)/100)</f>
        <v/>
      </c>
      <c r="O649">
        <f>IF(C649,Skills!F2*N649*B683*IF(Inputs!$B$4="pvp",1,(1-Summary!$B$48)*(1)+Summary!$B$48*(MIN((6+Inputs!$B$32),Inputs!$B$37))),0)</f>
        <v/>
      </c>
      <c r="P649">
        <f>IF(B685=0,0,O649/B685)</f>
        <v/>
      </c>
      <c r="S649" t="n">
        <v>0</v>
      </c>
      <c r="T649">
        <f>MAX(0,(Inputs!$B$3-100)*3)+Inputs!$B$27+Inputs!$B$28</f>
        <v/>
      </c>
      <c r="V649">
        <f>IFERROR(1/IF(Inputs!$B$4="pvp",15,MAX(0.1,Skills!D2-IF(Skills!E2=TRUE,Inputs!$B$31,0))),0)</f>
        <v/>
      </c>
    </row>
    <row r="650">
      <c r="A650">
        <f>Skills!A3</f>
        <v/>
      </c>
      <c r="B650">
        <f>Skills!B3</f>
        <v/>
      </c>
      <c r="C650">
        <f>Inputs!$B$3&gt;=15</f>
        <v/>
      </c>
      <c r="D650">
        <f>IF(Skills!C3=1,60+(Inputs!$B$24+1)+Inputs!$B$28,IF(Skills!C3=2,90+Inputs!$B$25+Inputs!$B$28,IF(Skills!C3=3,120+Inputs!$B$26+Inputs!$B$28,MAX(0,(Inputs!$B$3-100)*3)+Inputs!$B$27+Inputs!$B$28)))</f>
        <v/>
      </c>
      <c r="E650">
        <f>INDEX(FactorTable!$B$2:$Y$301, MATCH(ROUND(MIN(300,MAX(1,D650)),0), FactorTable!$A$2:$A$301,0), Skills!L3+1)</f>
        <v/>
      </c>
      <c r="F650">
        <f>IF(Skills!M3=TRUE,(Skills!K3/10)*(E650/1000),Skills!K3/10)+Skills!N3</f>
        <v/>
      </c>
      <c r="G650">
        <f>Calc!G3</f>
        <v/>
      </c>
      <c r="H650">
        <f>Calc!H3</f>
        <v/>
      </c>
      <c r="I650">
        <f>IF(Skills!T3&lt;&gt;"",1+(Skills!T3/10)*($Z$3/1000)/100,1)</f>
        <v/>
      </c>
      <c r="J650" t="inlineStr"/>
      <c r="K650" t="inlineStr"/>
      <c r="L650" t="inlineStr"/>
      <c r="M650" t="inlineStr"/>
      <c r="N650" t="inlineStr"/>
      <c r="O650" t="n">
        <v>0</v>
      </c>
      <c r="P650">
        <f>IF(B685=0,0,O650/B685)</f>
        <v/>
      </c>
      <c r="S650">
        <f>IF(AND(Inputs!$B$4&lt;&gt;"pvp",Inputs!$B$35&gt;0),(INT(Inputs!$B$35/IF(Inputs!$B$4="pvp",15,MAX(0.1,Skills!D3-IF(Skills!E3=TRUE,Inputs!$B$31,0))))+1),0)</f>
        <v/>
      </c>
      <c r="T650">
        <f>INDEX(FactorTable!$B$2:$Y$301, MATCH(ROUND(MIN(300,MAX(1,T649)),0), FactorTable!$A$2:$A$301,0), 22)</f>
        <v/>
      </c>
      <c r="V650">
        <f>IFERROR(1/IF(Inputs!$B$4="pvp",15,MAX(0.1,Skills!D3-IF(Skills!E3=TRUE,Inputs!$B$31,0))),0)</f>
        <v/>
      </c>
    </row>
    <row r="651">
      <c r="A651">
        <f>Skills!A4</f>
        <v/>
      </c>
      <c r="B651">
        <f>Skills!B4</f>
        <v/>
      </c>
      <c r="C651">
        <f>Inputs!$B$3&gt;=38</f>
        <v/>
      </c>
      <c r="D651">
        <f>IF(Skills!C4=1,60+(Inputs!$B$24+1)+Inputs!$B$28,IF(Skills!C4=2,90+Inputs!$B$25+Inputs!$B$28,IF(Skills!C4=3,120+Inputs!$B$26+Inputs!$B$28,MAX(0,(Inputs!$B$3-100)*3)+Inputs!$B$27+Inputs!$B$28)))</f>
        <v/>
      </c>
      <c r="E651">
        <f>INDEX(FactorTable!$B$2:$Y$301, MATCH(ROUND(MIN(300,MAX(1,D651)),0), FactorTable!$A$2:$A$301,0), Skills!L4+1)</f>
        <v/>
      </c>
      <c r="F651">
        <f>IF(Skills!M4=TRUE,(Skills!K4/10)*(E651/1000),Skills!K4/10)+Skills!N4</f>
        <v/>
      </c>
      <c r="G651">
        <f>Calc!G4</f>
        <v/>
      </c>
      <c r="H651">
        <f>Calc!H4</f>
        <v/>
      </c>
      <c r="I651">
        <f>IF(Skills!T4&lt;&gt;"",1+(Skills!T4/10)*($Z$3/1000)/100,1)</f>
        <v/>
      </c>
      <c r="J651" t="inlineStr"/>
      <c r="K651" t="inlineStr"/>
      <c r="L651" t="inlineStr"/>
      <c r="M651" t="inlineStr"/>
      <c r="N651" t="inlineStr"/>
      <c r="O651" t="n">
        <v>0</v>
      </c>
      <c r="P651">
        <f>IF(B685=0,0,O651/B685)</f>
        <v/>
      </c>
      <c r="S651">
        <f>IF(AND(Inputs!$B$4&lt;&gt;"pvp",Inputs!$B$35&gt;0),(INT(Inputs!$B$35/IF(Inputs!$B$4="pvp",15,MAX(0.1,Skills!D4-IF(Skills!E4=TRUE,Inputs!$B$31,0))))+1),0)</f>
        <v/>
      </c>
      <c r="T651">
        <f>290*T650/1000</f>
        <v/>
      </c>
      <c r="V651">
        <f>IFERROR(1/IF(Inputs!$B$4="pvp",15,MAX(0.1,Skills!D4-IF(Skills!E4=TRUE,Inputs!$B$31,0))),0)</f>
        <v/>
      </c>
    </row>
    <row r="652">
      <c r="A652">
        <f>Skills!A5</f>
        <v/>
      </c>
      <c r="B652">
        <f>Skills!B5</f>
        <v/>
      </c>
      <c r="C652">
        <f>Inputs!$B$3&gt;=40</f>
        <v/>
      </c>
      <c r="D652">
        <f>IF(Skills!C5=1,60+(Inputs!$B$24+1)+Inputs!$B$28,IF(Skills!C5=2,90+Inputs!$B$25+Inputs!$B$28,IF(Skills!C5=3,120+Inputs!$B$26+Inputs!$B$28,MAX(0,(Inputs!$B$3-100)*3)+Inputs!$B$27+Inputs!$B$28)))</f>
        <v/>
      </c>
      <c r="E652">
        <f>INDEX(FactorTable!$B$2:$Y$301, MATCH(ROUND(MIN(300,MAX(1,D652)),0), FactorTable!$A$2:$A$301,0), Skills!L5+1)</f>
        <v/>
      </c>
      <c r="F652">
        <f>IF(Skills!M5=TRUE,(Skills!K5/10)*(E652/1000),Skills!K5/10)+Skills!N5</f>
        <v/>
      </c>
      <c r="G652">
        <f>Calc!G5</f>
        <v/>
      </c>
      <c r="H652">
        <f>Calc!H5</f>
        <v/>
      </c>
      <c r="I652">
        <f>IF(Skills!T5&lt;&gt;"",1+(Skills!T5/10)*($Z$3/1000)/100,1)</f>
        <v/>
      </c>
      <c r="J652" t="inlineStr"/>
      <c r="K652" t="inlineStr"/>
      <c r="L652" t="inlineStr"/>
      <c r="M652" t="inlineStr"/>
      <c r="N652" t="inlineStr"/>
      <c r="O652" t="n">
        <v>0</v>
      </c>
      <c r="P652">
        <f>IF(B685=0,0,O652/B685)</f>
        <v/>
      </c>
      <c r="S652">
        <f>IF(AND(Inputs!$B$4&lt;&gt;"pvp",Inputs!$B$35&gt;0),(INT(Inputs!$B$35/IF(Inputs!$B$4="pvp",15,MAX(0.1,Skills!D5-IF(Skills!E5=TRUE,Inputs!$B$31,0))))+1),0)</f>
        <v/>
      </c>
      <c r="V652">
        <f>IFERROR(1/IF(Inputs!$B$4="pvp",15,MAX(0.1,Skills!D5-IF(Skills!E5=TRUE,Inputs!$B$31,0))),0)</f>
        <v/>
      </c>
    </row>
    <row r="653">
      <c r="A653">
        <f>Skills!A6</f>
        <v/>
      </c>
      <c r="B653">
        <f>Skills!B6</f>
        <v/>
      </c>
      <c r="C653">
        <f>Inputs!$B$3&gt;=103</f>
        <v/>
      </c>
      <c r="D653">
        <f>IF(Skills!C6=1,60+(Inputs!$B$24+1)+Inputs!$B$28,IF(Skills!C6=2,90+Inputs!$B$25+Inputs!$B$28,IF(Skills!C6=3,120+Inputs!$B$26+Inputs!$B$28,MAX(0,(Inputs!$B$3-100)*3)+Inputs!$B$27+Inputs!$B$28)))</f>
        <v/>
      </c>
      <c r="E653">
        <f>INDEX(FactorTable!$B$2:$Y$301, MATCH(ROUND(MIN(300,MAX(1,D653)),0), FactorTable!$A$2:$A$301,0), Skills!L6+1)</f>
        <v/>
      </c>
      <c r="F653">
        <f>IF(Skills!M6=TRUE,(Skills!K6/10)*(E653/1000),Skills!K6/10)+Skills!N6</f>
        <v/>
      </c>
      <c r="G653">
        <f>Calc!G6</f>
        <v/>
      </c>
      <c r="H653">
        <f>Calc!H6</f>
        <v/>
      </c>
      <c r="I653">
        <f>IF(Skills!T6&lt;&gt;"",1+(Skills!T6/10)*($Z$3/1000)/100,1)</f>
        <v/>
      </c>
      <c r="J653">
        <f>((Inputs!$B$5*(1+Inputs!$B$6/100))+((Inputs!$B$11*(1+Inputs!$B$12/100))-(Inputs!$B$11*(1+Inputs!$B$12/100)))*(1+Inputs!$B$6/100))*(F653/100)</f>
        <v/>
      </c>
      <c r="K653">
        <f>J653*(1+((Inputs!$B$11*(1+Inputs!$B$12/100))*0.01+Inputs!$B$13*0.0025)/100)*(1+(Inputs!$B$14+B678)/100)*(1+IF(Inputs!$B$4="pvp",0,(1-Summary!$B$48)*(Inputs!$B$19+Skills!O6+B676)+Summary!$B$48*(Inputs!$B$20+Skills!P6+B677))/100)*(1+Inputs!$B$15/100)*(5000/(6000+Inputs!$B$7*(1-Inputs!$B$18/100)))*(1+Inputs!$B$23/100)*(1+IF(C664=TRUE,F664,0)/100)*(1+IF(C666=TRUE,F666,0)/100)*(1+IF(Skills!A6="TRIUMPH_FEATHER",IF(C662=TRUE,F662,0),0)/100)*(1+IF(C673=TRUE,F673,0)/100)^5*(1+(IF(Skills!A6="BIG_BANG",Inputs!$B$16,Inputs!$B$17))/100)*(B675*I653)</f>
        <v/>
      </c>
      <c r="L653">
        <f>K653*(MIN(Inputs!$B$21+(F668-Calc!F21),Inputs!$B$22)/100+Inputs!$B$22/100)/2</f>
        <v/>
      </c>
      <c r="M653">
        <f>L653*(1+(Inputs!$B$9+B679+(F671-Calc!F24))/100)</f>
        <v/>
      </c>
      <c r="N653">
        <f>L653*(1-MIN(Inputs!$B$8+((F670-Calc!F23)+(F669-Calc!F22)),100)/100)+M653*(MIN(Inputs!$B$8+((F670-Calc!F23)+(F669-Calc!F22)),100)/100)</f>
        <v/>
      </c>
      <c r="O653">
        <f>IF(C653,H653*N653*IF(AND(Inputs!$B$4&lt;&gt;"pvp",Inputs!$B$35&gt;0),((Skills!F6*((S653-1)*IF(Skills!G6&gt;0,Skills!H6/Skills!G6,1)+IF(Skills!G6&gt;0,MIN(Skills!H6,MAX(0,Inputs!$B$35-((S653-1)*IF(Inputs!$B$4="pvp",15,MAX(0.1,Skills!D6-IF(Skills!E6=TRUE,Inputs!$B$31,0))))))/Skills!G6,1)))/Inputs!$B$35),G653*V653)*IF(Inputs!$B$4="pvp",1,(1-Summary!$B$48)*(1)+Summary!$B$48*(MIN(Skills!Q6,Inputs!$B$37))),0)</f>
        <v/>
      </c>
      <c r="P653">
        <f>IF(B685=0,0,O653/B685)</f>
        <v/>
      </c>
      <c r="S653">
        <f>IF(AND(Inputs!$B$4&lt;&gt;"pvp",Inputs!$B$35&gt;0),(INT(Inputs!$B$35/IF(Inputs!$B$4="pvp",15,MAX(0.1,Skills!D6-IF(Skills!E6=TRUE,Inputs!$B$31,0))))+1),0)</f>
        <v/>
      </c>
      <c r="V653">
        <f>IFERROR(1/IF(Inputs!$B$4="pvp",15,MAX(0.1,Skills!D6-IF(Skills!E6=TRUE,Inputs!$B$31,0))),0)</f>
        <v/>
      </c>
    </row>
    <row r="654">
      <c r="A654">
        <f>Skills!A7</f>
        <v/>
      </c>
      <c r="B654">
        <f>Skills!B7</f>
        <v/>
      </c>
      <c r="C654">
        <f>Inputs!$B$3&gt;=122</f>
        <v/>
      </c>
      <c r="D654">
        <f>IF(Skills!C7=1,60+(Inputs!$B$24+1)+Inputs!$B$28,IF(Skills!C7=2,90+Inputs!$B$25+Inputs!$B$28,IF(Skills!C7=3,120+Inputs!$B$26+Inputs!$B$28,MAX(0,(Inputs!$B$3-100)*3)+Inputs!$B$27+Inputs!$B$28)))</f>
        <v/>
      </c>
      <c r="E654">
        <f>INDEX(FactorTable!$B$2:$Y$301, MATCH(ROUND(MIN(300,MAX(1,D654)),0), FactorTable!$A$2:$A$301,0), Skills!L7+1)</f>
        <v/>
      </c>
      <c r="F654">
        <f>IF(Skills!M7=TRUE,(Skills!K7/10)*(E654/1000),Skills!K7/10)+Skills!N7</f>
        <v/>
      </c>
      <c r="G654">
        <f>Calc!G7</f>
        <v/>
      </c>
      <c r="H654">
        <f>Calc!H7</f>
        <v/>
      </c>
      <c r="I654">
        <f>IF(Skills!T7&lt;&gt;"",1+(Skills!T7/10)*($Z$3/1000)/100,1)</f>
        <v/>
      </c>
      <c r="J654">
        <f>((Inputs!$B$5*(1+Inputs!$B$6/100))+((Inputs!$B$11*(1+Inputs!$B$12/100))-(Inputs!$B$11*(1+Inputs!$B$12/100)))*(1+Inputs!$B$6/100))*(F654/100)</f>
        <v/>
      </c>
      <c r="K654">
        <f>J654*(1+((Inputs!$B$11*(1+Inputs!$B$12/100))*0.01+Inputs!$B$13*0.0025)/100)*(1+(Inputs!$B$14+B678)/100)*(1+IF(Inputs!$B$4="pvp",0,(1-Summary!$B$48)*(Inputs!$B$19+Skills!O7+B676)+Summary!$B$48*(Inputs!$B$20+Skills!P7+B677))/100)*(1+Inputs!$B$15/100)*(5000/(6000+Inputs!$B$7*(1-Inputs!$B$18/100)))*(1+Inputs!$B$23/100)*(1+IF(C664=TRUE,F664,0)/100)*(1+IF(C666=TRUE,F666,0)/100)*(1+IF(Skills!A7="TRIUMPH_FEATHER",IF(C662=TRUE,F662,0),0)/100)*(1+IF(C673=TRUE,F673,0)/100)^5*(1+(IF(Skills!A7="BIG_BANG",Inputs!$B$16,Inputs!$B$17))/100)*(B675*I654)</f>
        <v/>
      </c>
      <c r="L654">
        <f>K654*(MIN(Inputs!$B$21+(F668-Calc!F21),Inputs!$B$22)/100+Inputs!$B$22/100)/2</f>
        <v/>
      </c>
      <c r="M654">
        <f>L654*(1+(Inputs!$B$9+B679+(F671-Calc!F24))/100)</f>
        <v/>
      </c>
      <c r="N654">
        <f>L654*(1-MIN(Inputs!$B$8+((F670-Calc!F23)+(F669-Calc!F22)),100)/100)+M654*(MIN(Inputs!$B$8+((F670-Calc!F23)+(F669-Calc!F22)),100)/100)</f>
        <v/>
      </c>
      <c r="O654">
        <f>IF(C654,H654*N654*IF(AND(Inputs!$B$4&lt;&gt;"pvp",Inputs!$B$35&gt;0),((Skills!F7*((S654-1)*IF(Skills!G7&gt;0,Skills!H7/Skills!G7,1)+IF(Skills!G7&gt;0,MIN(Skills!H7,MAX(0,Inputs!$B$35-((S654-1)*IF(Inputs!$B$4="pvp",15,MAX(0.1,Skills!D7-IF(Skills!E6=TRUE,Inputs!$B$31,0))))))/Skills!G7,1)))/Inputs!$B$35),G654*V654)*(1-Summary!$B$48),0)</f>
        <v/>
      </c>
      <c r="P654">
        <f>IF(B685=0,0,O654/B685)</f>
        <v/>
      </c>
      <c r="S654">
        <f>IF(AND(Inputs!$B$4&lt;&gt;"pvp",Inputs!$B$35&gt;0),(INT(Inputs!$B$35/IF(Inputs!$B$4="pvp",15,MAX(0.1,Skills!D7-IF(Skills!E6=TRUE,Inputs!$B$31,0))))+1),0)</f>
        <v/>
      </c>
      <c r="V654">
        <f>IFERROR(1/IF(Inputs!$B$4="pvp",15,MAX(0.1,Skills!D7-IF(Skills!E6=TRUE,Inputs!$B$31,0))),0)</f>
        <v/>
      </c>
    </row>
    <row r="655">
      <c r="A655">
        <f>Skills!A8</f>
        <v/>
      </c>
      <c r="B655">
        <f>Skills!B8</f>
        <v/>
      </c>
      <c r="C655">
        <f>Inputs!$B$3&gt;=105</f>
        <v/>
      </c>
      <c r="D655">
        <f>IF(Skills!C8=1,60+(Inputs!$B$24+1)+Inputs!$B$28,IF(Skills!C8=2,90+Inputs!$B$25+Inputs!$B$28,IF(Skills!C8=3,120+Inputs!$B$26+Inputs!$B$28,MAX(0,(Inputs!$B$3-100)*3)+Inputs!$B$27+Inputs!$B$28)))</f>
        <v/>
      </c>
      <c r="E655">
        <f>INDEX(FactorTable!$B$2:$Y$301, MATCH(ROUND(MIN(300,MAX(1,D655)),0), FactorTable!$A$2:$A$301,0), Skills!L8+1)</f>
        <v/>
      </c>
      <c r="F655">
        <f>IF(Skills!M8=TRUE,(Skills!K8/10)*(E655/1000),Skills!K8/10)+Skills!N8</f>
        <v/>
      </c>
      <c r="G655">
        <f>Calc!G8</f>
        <v/>
      </c>
      <c r="H655">
        <f>Calc!H8</f>
        <v/>
      </c>
      <c r="I655">
        <f>IF(Skills!T8&lt;&gt;"",1+(Skills!T8/10)*($Z$3/1000)/100,1)</f>
        <v/>
      </c>
      <c r="J655">
        <f>((Inputs!$B$5*(1+Inputs!$B$6/100))+((Inputs!$B$11*(1+Inputs!$B$12/100))-(Inputs!$B$11*(1+Inputs!$B$12/100)))*(1+Inputs!$B$6/100))*(F655/100)</f>
        <v/>
      </c>
      <c r="K655">
        <f>J655*(1+((Inputs!$B$11*(1+Inputs!$B$12/100))*0.01+Inputs!$B$13*0.0025)/100)*(1+(Inputs!$B$14+B678)/100)*(1+IF(Inputs!$B$4="pvp",0,(1-Summary!$B$48)*(Inputs!$B$19+Skills!O8+B676)+Summary!$B$48*(Inputs!$B$20+Skills!P8+B677))/100)*(1+Inputs!$B$15/100)*(5000/(6000+Inputs!$B$7*(1-Inputs!$B$18/100)))*(1+Inputs!$B$23/100)*(1+IF(C664=TRUE,F664,0)/100)*(1+IF(C666=TRUE,F666,0)/100)*(1+IF(Skills!A8="TRIUMPH_FEATHER",IF(C662=TRUE,F662,0),0)/100)*(1+IF(C673=TRUE,F673,0)/100)^5*(1+(IF(Skills!A8="BIG_BANG",Inputs!$B$16,Inputs!$B$17))/100)*(B675*I655)</f>
        <v/>
      </c>
      <c r="L655">
        <f>K655*(MIN(Inputs!$B$21+(F668-Calc!F21),Inputs!$B$22)/100+Inputs!$B$22/100)/2</f>
        <v/>
      </c>
      <c r="M655">
        <f>L655*(1+(Inputs!$B$9+B679+(F671-Calc!F24))/100)</f>
        <v/>
      </c>
      <c r="N655">
        <f>L655*(1-MIN(Inputs!$B$8+((F670-Calc!F23)+(F669-Calc!F22)),100)/100)+M655*(MIN(Inputs!$B$8+((F670-Calc!F23)+(F669-Calc!F22)),100)/100)</f>
        <v/>
      </c>
      <c r="O655">
        <f>IF(C655,H655*N655*IF(AND(Inputs!$B$4&lt;&gt;"pvp",Inputs!$B$35&gt;0),((Skills!F8*((S655-1)*IF(Skills!G8&gt;0,Skills!H8/Skills!G8,1)+IF(Skills!G8&gt;0,MIN(Skills!H8,MAX(0,Inputs!$B$35-((S655-1)*IF(Inputs!$B$4="pvp",15,MAX(0.1,Skills!D8-IF(Skills!E8=TRUE,Inputs!$B$31,0))))))/Skills!G8,1)))/Inputs!$B$35),G655*V655)*IF(Inputs!$B$4="pvp",1,(1-Summary!$B$48)*(1)+Summary!$B$48*(MIN(Skills!Q8,Inputs!$B$37))),0)</f>
        <v/>
      </c>
      <c r="P655">
        <f>IF(B685=0,0,O655/B685)</f>
        <v/>
      </c>
      <c r="S655">
        <f>IF(AND(Inputs!$B$4&lt;&gt;"pvp",Inputs!$B$35&gt;0),(INT(Inputs!$B$35/IF(Inputs!$B$4="pvp",15,MAX(0.1,Skills!D8-IF(Skills!E8=TRUE,Inputs!$B$31,0))))+1),0)</f>
        <v/>
      </c>
      <c r="V655">
        <f>IFERROR(1/IF(Inputs!$B$4="pvp",15,MAX(0.1,Skills!D8-IF(Skills!E8=TRUE,Inputs!$B$31,0))),0)</f>
        <v/>
      </c>
    </row>
    <row r="656">
      <c r="A656">
        <f>Skills!A9</f>
        <v/>
      </c>
      <c r="B656">
        <f>Skills!B9</f>
        <v/>
      </c>
      <c r="C656">
        <f>Inputs!$B$3&gt;=115</f>
        <v/>
      </c>
      <c r="D656">
        <f>IF(Skills!C9=1,60+(Inputs!$B$24+1)+Inputs!$B$28,IF(Skills!C9=2,90+Inputs!$B$25+Inputs!$B$28,IF(Skills!C9=3,120+Inputs!$B$26+Inputs!$B$28,MAX(0,(Inputs!$B$3-100)*3)+Inputs!$B$27+Inputs!$B$28)))</f>
        <v/>
      </c>
      <c r="E656">
        <f>INDEX(FactorTable!$B$2:$Y$301, MATCH(ROUND(MIN(300,MAX(1,D656)),0), FactorTable!$A$2:$A$301,0), Skills!L9+1)</f>
        <v/>
      </c>
      <c r="F656">
        <f>IF(Skills!M9=TRUE,(Skills!K9/10)*(E656/1000),Skills!K9/10)+Skills!N9</f>
        <v/>
      </c>
      <c r="G656">
        <f>Calc!G9</f>
        <v/>
      </c>
      <c r="H656">
        <f>Calc!H9</f>
        <v/>
      </c>
      <c r="I656">
        <f>IF(Skills!T9&lt;&gt;"",1+(Skills!T9/10)*($Z$3/1000)/100,1)</f>
        <v/>
      </c>
      <c r="J656">
        <f>((Inputs!$B$5*(1+Inputs!$B$6/100))+((Inputs!$B$11*(1+Inputs!$B$12/100))-(Inputs!$B$11*(1+Inputs!$B$12/100)))*(1+Inputs!$B$6/100))*(F656/100)</f>
        <v/>
      </c>
      <c r="K656">
        <f>J656*(1+((Inputs!$B$11*(1+Inputs!$B$12/100))*0.01+Inputs!$B$13*0.0025)/100)*(1+(Inputs!$B$14+B678)/100)*(1+IF(Inputs!$B$4="pvp",0,(1-Summary!$B$48)*(Inputs!$B$19+Skills!O9+B676)+Summary!$B$48*(Inputs!$B$20+Skills!P9+B677))/100)*(1+Inputs!$B$15/100)*(5000/(6000+Inputs!$B$7*(1-Inputs!$B$18/100)))*(1+Inputs!$B$23/100)*(1+IF(C664=TRUE,F664,0)/100)*(1+IF(C666=TRUE,F666,0)/100)*(1+IF(Skills!A9="TRIUMPH_FEATHER",IF(C662=TRUE,F662,0),0)/100)*(1+IF(C673=TRUE,F673,0)/100)^5*(1+(IF(Skills!A9="BIG_BANG",Inputs!$B$16,Inputs!$B$17))/100)*(B675*I656)</f>
        <v/>
      </c>
      <c r="L656">
        <f>K656*(MIN(Inputs!$B$21+(F668-Calc!F21),Inputs!$B$22)/100+Inputs!$B$22/100)/2</f>
        <v/>
      </c>
      <c r="M656">
        <f>L656*(1+(Inputs!$B$9+B679+(F671-Calc!F24))/100)</f>
        <v/>
      </c>
      <c r="N656">
        <f>L656*(1-MIN(Inputs!$B$8+((F670-Calc!F23)+(F669-Calc!F22)),100)/100)+M656*(MIN(Inputs!$B$8+((F670-Calc!F23)+(F669-Calc!F22)),100)/100)</f>
        <v/>
      </c>
      <c r="O656">
        <f>IF(C656,H656*N656*IF(AND(Inputs!$B$4&lt;&gt;"pvp",Inputs!$B$35&gt;0),((Skills!F9*((S656-1)*IF(Skills!G9&gt;0,Skills!H9/Skills!G9,1)+IF(Skills!G9&gt;0,MIN(Skills!H9,MAX(0,Inputs!$B$35-((S656-1)*IF(Inputs!$B$4="pvp",15,MAX(0.1,Skills!D9-IF(Skills!E9=TRUE,Inputs!$B$31,0))))))/Skills!G9,1)))/Inputs!$B$35),G656*V656)*IF(Inputs!$B$4="pvp",1,(1-Summary!$B$48)*(1)+Summary!$B$48*(MIN(Skills!Q9,Inputs!$B$37))),0)</f>
        <v/>
      </c>
      <c r="P656">
        <f>IF(B685=0,0,O656/B685)</f>
        <v/>
      </c>
      <c r="S656">
        <f>IF(AND(Inputs!$B$4&lt;&gt;"pvp",Inputs!$B$35&gt;0),(INT(Inputs!$B$35/IF(Inputs!$B$4="pvp",15,MAX(0.1,Skills!D9-IF(Skills!E9=TRUE,Inputs!$B$31,0))))+1),0)</f>
        <v/>
      </c>
      <c r="V656">
        <f>IFERROR(1/IF(Inputs!$B$4="pvp",15,MAX(0.1,Skills!D9-IF(Skills!E9=TRUE,Inputs!$B$31,0))),0)</f>
        <v/>
      </c>
    </row>
    <row r="657">
      <c r="A657">
        <f>Skills!A10</f>
        <v/>
      </c>
      <c r="B657">
        <f>Skills!B10</f>
        <v/>
      </c>
      <c r="C657">
        <f>Inputs!$B$3&gt;=66</f>
        <v/>
      </c>
      <c r="D657">
        <f>IF(Skills!C10=1,60+(Inputs!$B$24+1)+Inputs!$B$28,IF(Skills!C10=2,90+Inputs!$B$25+Inputs!$B$28,IF(Skills!C10=3,120+Inputs!$B$26+Inputs!$B$28,MAX(0,(Inputs!$B$3-100)*3)+Inputs!$B$27+Inputs!$B$28)))</f>
        <v/>
      </c>
      <c r="E657">
        <f>INDEX(FactorTable!$B$2:$Y$301, MATCH(ROUND(MIN(300,MAX(1,D657)),0), FactorTable!$A$2:$A$301,0), Skills!L10+1)</f>
        <v/>
      </c>
      <c r="F657" t="n">
        <v>0</v>
      </c>
      <c r="G657">
        <f>Calc!G10</f>
        <v/>
      </c>
      <c r="H657">
        <f>Calc!H10</f>
        <v/>
      </c>
      <c r="I657">
        <f>IF(Skills!T10&lt;&gt;"",1+(Skills!T10/10)*($Z$3/1000)/100,1)</f>
        <v/>
      </c>
      <c r="J657" t="inlineStr"/>
      <c r="K657" t="inlineStr"/>
      <c r="L657" t="inlineStr"/>
      <c r="M657" t="inlineStr"/>
      <c r="N657" t="inlineStr"/>
      <c r="O657" t="n">
        <v>0</v>
      </c>
      <c r="P657">
        <f>IF(B685=0,0,O657/B685)</f>
        <v/>
      </c>
      <c r="S657">
        <f>IF(AND(Inputs!$B$4&lt;&gt;"pvp",Inputs!$B$35&gt;0),(INT(Inputs!$B$35/IF(Inputs!$B$4="pvp",15,MAX(0.1,Skills!D10-IF(Skills!E10=TRUE,Inputs!$B$31,0))))+1),0)</f>
        <v/>
      </c>
      <c r="V657">
        <f>IFERROR(1/IF(Inputs!$B$4="pvp",15,MAX(0.1,Skills!D10-IF(Skills!E10=TRUE,Inputs!$B$31,0))),0)</f>
        <v/>
      </c>
    </row>
    <row r="658">
      <c r="A658">
        <f>Skills!A11</f>
        <v/>
      </c>
      <c r="B658">
        <f>Skills!B11</f>
        <v/>
      </c>
      <c r="C658">
        <f>Inputs!$B$3&gt;=69</f>
        <v/>
      </c>
      <c r="D658">
        <f>IF(Skills!C11=1,60+(Inputs!$B$24+1)+Inputs!$B$28,IF(Skills!C11=2,90+Inputs!$B$25+Inputs!$B$28,IF(Skills!C11=3,120+Inputs!$B$26+Inputs!$B$28,MAX(0,(Inputs!$B$3-100)*3)+Inputs!$B$27+Inputs!$B$28)))</f>
        <v/>
      </c>
      <c r="E658">
        <f>INDEX(FactorTable!$B$2:$Y$301, MATCH(ROUND(MIN(300,MAX(1,D658)),0), FactorTable!$A$2:$A$301,0), Skills!L11+1)</f>
        <v/>
      </c>
      <c r="F658">
        <f>IF(Skills!M11=TRUE,(Skills!K11/10)*(E658/1000),Skills!K11/10)+Skills!N11</f>
        <v/>
      </c>
      <c r="G658">
        <f>Calc!G11</f>
        <v/>
      </c>
      <c r="H658">
        <f>Calc!H11</f>
        <v/>
      </c>
      <c r="I658">
        <f>IF(Skills!T11&lt;&gt;"",1+(Skills!T11/10)*($Z$3/1000)/100,1)</f>
        <v/>
      </c>
      <c r="J658" t="inlineStr"/>
      <c r="K658" t="inlineStr"/>
      <c r="L658" t="inlineStr"/>
      <c r="M658" t="inlineStr"/>
      <c r="N658" t="inlineStr"/>
      <c r="O658" t="n">
        <v>0</v>
      </c>
      <c r="P658">
        <f>IF(B685=0,0,O658/B685)</f>
        <v/>
      </c>
      <c r="S658">
        <f>IF(AND(Inputs!$B$4&lt;&gt;"pvp",Inputs!$B$35&gt;0),(INT(Inputs!$B$35/IF(Inputs!$B$4="pvp",15,MAX(0.1,Skills!D11-IF(Skills!E11=TRUE,Inputs!$B$31,0))))+1),0)</f>
        <v/>
      </c>
      <c r="V658">
        <f>IFERROR(1/IF(Inputs!$B$4="pvp",15,MAX(0.1,Skills!D11-IF(Skills!E11=TRUE,Inputs!$B$31,0))),0)</f>
        <v/>
      </c>
    </row>
    <row r="659">
      <c r="A659">
        <f>Skills!A12</f>
        <v/>
      </c>
      <c r="B659">
        <f>Skills!B12</f>
        <v/>
      </c>
      <c r="C659">
        <f>Inputs!$B$3&gt;=72</f>
        <v/>
      </c>
      <c r="D659">
        <f>IF(Skills!C12=1,60+(Inputs!$B$24+1)+Inputs!$B$28,IF(Skills!C12=2,90+Inputs!$B$25+Inputs!$B$28,IF(Skills!C12=3,120+Inputs!$B$26+Inputs!$B$28,MAX(0,(Inputs!$B$3-100)*3)+Inputs!$B$27+Inputs!$B$28)))</f>
        <v/>
      </c>
      <c r="E659">
        <f>INDEX(FactorTable!$B$2:$Y$301, MATCH(ROUND(MIN(300,MAX(1,D659)),0), FactorTable!$A$2:$A$301,0), Skills!L12+1)</f>
        <v/>
      </c>
      <c r="F659">
        <f>IF(Skills!M12=TRUE,(Skills!K12/10)*(E659/1000),Skills!K12/10)+Skills!N12</f>
        <v/>
      </c>
      <c r="G659">
        <f>Calc!G12</f>
        <v/>
      </c>
      <c r="H659">
        <f>Calc!H12</f>
        <v/>
      </c>
      <c r="I659">
        <f>IF(Skills!T12&lt;&gt;"",1+(Skills!T12/10)*($Z$3/1000)/100,1)</f>
        <v/>
      </c>
      <c r="J659" t="inlineStr"/>
      <c r="K659" t="inlineStr"/>
      <c r="L659" t="inlineStr"/>
      <c r="M659" t="inlineStr"/>
      <c r="N659" t="inlineStr"/>
      <c r="O659" t="n">
        <v>0</v>
      </c>
      <c r="P659">
        <f>IF(B685=0,0,O659/B685)</f>
        <v/>
      </c>
      <c r="S659">
        <f>IF(AND(Inputs!$B$4&lt;&gt;"pvp",Inputs!$B$35&gt;0),(INT(Inputs!$B$35/IF(Inputs!$B$4="pvp",15,MAX(0.1,Skills!D12-IF(Skills!E12=TRUE,Inputs!$B$31,0))))+1),0)</f>
        <v/>
      </c>
      <c r="V659">
        <f>IFERROR(1/IF(Inputs!$B$4="pvp",15,MAX(0.1,Skills!D12-IF(Skills!E12=TRUE,Inputs!$B$31,0))),0)</f>
        <v/>
      </c>
    </row>
    <row r="660">
      <c r="A660">
        <f>Skills!A13</f>
        <v/>
      </c>
      <c r="B660">
        <f>Skills!B13</f>
        <v/>
      </c>
      <c r="C660">
        <f>Inputs!$B$3&gt;=107</f>
        <v/>
      </c>
      <c r="D660">
        <f>IF(Skills!C13=1,60+(Inputs!$B$24+1)+Inputs!$B$28,IF(Skills!C13=2,90+Inputs!$B$25+Inputs!$B$28,IF(Skills!C13=3,120+Inputs!$B$26+Inputs!$B$28,MAX(0,(Inputs!$B$3-100)*3)+Inputs!$B$27+Inputs!$B$28)))</f>
        <v/>
      </c>
      <c r="E660">
        <f>INDEX(FactorTable!$B$2:$Y$301, MATCH(ROUND(MIN(300,MAX(1,D660)),0), FactorTable!$A$2:$A$301,0), Skills!L13+1)</f>
        <v/>
      </c>
      <c r="F660">
        <f>IF(Skills!M13=TRUE,(Skills!K13/10)*(E660/1000),Skills!K13/10)+Skills!N13</f>
        <v/>
      </c>
      <c r="G660">
        <f>Calc!G13</f>
        <v/>
      </c>
      <c r="H660">
        <f>Calc!H13</f>
        <v/>
      </c>
      <c r="I660">
        <f>IF(Skills!T13&lt;&gt;"",1+(Skills!T13/10)*($Z$3/1000)/100,1)</f>
        <v/>
      </c>
      <c r="J660" t="inlineStr"/>
      <c r="K660" t="inlineStr"/>
      <c r="L660" t="inlineStr"/>
      <c r="M660" t="inlineStr"/>
      <c r="N660" t="inlineStr"/>
      <c r="O660" t="n">
        <v>0</v>
      </c>
      <c r="P660">
        <f>IF(B685=0,0,O660/B685)</f>
        <v/>
      </c>
      <c r="S660">
        <f>IF(AND(Inputs!$B$4&lt;&gt;"pvp",Inputs!$B$35&gt;0),(INT(Inputs!$B$35/IF(Inputs!$B$4="pvp",15,MAX(0.1,Skills!D13-IF(Skills!E13=TRUE,Inputs!$B$31,0))))+1),0)</f>
        <v/>
      </c>
      <c r="V660">
        <f>IFERROR(1/IF(Inputs!$B$4="pvp",15,MAX(0.1,Skills!D13-IF(Skills!E13=TRUE,Inputs!$B$31,0))),0)</f>
        <v/>
      </c>
    </row>
    <row r="661">
      <c r="A661">
        <f>Skills!A14</f>
        <v/>
      </c>
      <c r="B661">
        <f>Skills!B14</f>
        <v/>
      </c>
      <c r="C661">
        <f>Inputs!$B$3&gt;=63</f>
        <v/>
      </c>
      <c r="D661">
        <f>IF(Skills!C14=1,60+(Inputs!$B$24+1)+Inputs!$B$28,IF(Skills!C14=2,90+Inputs!$B$25+Inputs!$B$28,IF(Skills!C14=3,120+Inputs!$B$26+Inputs!$B$28,MAX(0,(Inputs!$B$3-100)*3)+Inputs!$B$27+Inputs!$B$28)))</f>
        <v/>
      </c>
      <c r="E661">
        <f>INDEX(FactorTable!$B$2:$Y$301, MATCH(ROUND(MIN(300,MAX(1,D661)),0), FactorTable!$A$2:$A$301,0), Skills!L14+1)</f>
        <v/>
      </c>
      <c r="F661">
        <f>IF(Skills!M14=TRUE,(Skills!K14/10)*(E661/1000),Skills!K14/10)+Skills!N14</f>
        <v/>
      </c>
      <c r="G661">
        <f>Calc!G14</f>
        <v/>
      </c>
      <c r="H661">
        <f>Calc!H14</f>
        <v/>
      </c>
      <c r="I661">
        <f>IF(Skills!T14&lt;&gt;"",1+(Skills!T14/10)*($Z$3/1000)/100,1)</f>
        <v/>
      </c>
      <c r="J661">
        <f>((Inputs!$B$5*(1+Inputs!$B$6/100))+((Inputs!$B$11*(1+Inputs!$B$12/100))-(Inputs!$B$11*(1+Inputs!$B$12/100)))*(1+Inputs!$B$6/100))*(F661/100)</f>
        <v/>
      </c>
      <c r="K661">
        <f>J661*(1+((Inputs!$B$11*(1+Inputs!$B$12/100))*0.01+Inputs!$B$13*0.0025)/100)*(1+(Inputs!$B$14+B678)/100)*(1+IF(Inputs!$B$4="pvp",0,(1-Summary!$B$48)*(Inputs!$B$19+Skills!O14+B676)+Summary!$B$48*(Inputs!$B$20+Skills!P14+B677))/100)*(1+Inputs!$B$15/100)*(5000/(6000+Inputs!$B$7*(1-Inputs!$B$18/100)))*(1+Inputs!$B$23/100)*(1+IF(C664=TRUE,F664,0)/100)*(1+IF(C666=TRUE,F666,0)/100)*(1+IF(Skills!A14="TRIUMPH_FEATHER",IF(C662=TRUE,F662,0),0)/100)*(1+IF(C673=TRUE,F673,0)/100)^5*(1+(IF(Skills!A14="BIG_BANG",Inputs!$B$16,Inputs!$B$17))/100)*(B675*I661)</f>
        <v/>
      </c>
      <c r="L661">
        <f>K661*(MIN(Inputs!$B$21+(F668-Calc!F21),Inputs!$B$22)/100+Inputs!$B$22/100)/2</f>
        <v/>
      </c>
      <c r="M661">
        <f>L661*(1+(Inputs!$B$9+B679+(F671-Calc!F24))/100)</f>
        <v/>
      </c>
      <c r="N661">
        <f>L661*(1-MIN(Inputs!$B$8+((F670-Calc!F23)+(F669-Calc!F22)),100)/100)+M661*(MIN(Inputs!$B$8+((F670-Calc!F23)+(F669-Calc!F22)),100)/100)</f>
        <v/>
      </c>
      <c r="O661">
        <f>IF(C661,Skills!F14*N661*((IF(Inputs!$B$3&gt;=78,25,15)/100*B681*10)/(1+IF(Inputs!$B$3&gt;=78,25,15)/100*B681*10))*(Skills!I14/100*B681)/(1+Skills!G14*Skills!I14/100*B681)*IF(Inputs!$B$4="pvp",1,(1-Summary!$B$48)*(1)+Summary!$B$48*(MIN(Skills!Q14,Inputs!$B$37))),0)</f>
        <v/>
      </c>
      <c r="P661">
        <f>IF(B685=0,0,O661/B685)</f>
        <v/>
      </c>
      <c r="S661" t="n">
        <v>0</v>
      </c>
      <c r="V661">
        <f>IFERROR(1/IF(Inputs!$B$4="pvp",15,MAX(0.1,Skills!D14-IF(Skills!E14=TRUE,Inputs!$B$31,0))),0)</f>
        <v/>
      </c>
    </row>
    <row r="662">
      <c r="A662">
        <f>Skills!A15</f>
        <v/>
      </c>
      <c r="B662">
        <f>Skills!B15</f>
        <v/>
      </c>
      <c r="C662">
        <f>Inputs!$B$3&gt;=100</f>
        <v/>
      </c>
      <c r="D662">
        <f>IF(Skills!C15=1,60+(Inputs!$B$24+1)+Inputs!$B$28,IF(Skills!C15=2,90+Inputs!$B$25+Inputs!$B$28,IF(Skills!C15=3,120+Inputs!$B$26+Inputs!$B$28,MAX(0,(Inputs!$B$3-100)*3)+Inputs!$B$27+Inputs!$B$28)))</f>
        <v/>
      </c>
      <c r="E662">
        <f>INDEX(FactorTable!$B$2:$Y$301, MATCH(ROUND(MIN(300,MAX(1,D662)),0), FactorTable!$A$2:$A$301,0), Skills!L15+1)</f>
        <v/>
      </c>
      <c r="F662">
        <f>IF(Skills!M15=TRUE,(Skills!K15/10)*(E662/1000),Skills!K15/10)+Skills!N15</f>
        <v/>
      </c>
      <c r="G662">
        <f>Calc!G15</f>
        <v/>
      </c>
      <c r="H662">
        <f>Calc!H15</f>
        <v/>
      </c>
      <c r="I662">
        <f>IF(Skills!T15&lt;&gt;"",1+(Skills!T15/10)*($Z$3/1000)/100,1)</f>
        <v/>
      </c>
      <c r="J662" t="inlineStr"/>
      <c r="K662" t="inlineStr"/>
      <c r="L662" t="inlineStr"/>
      <c r="M662" t="inlineStr"/>
      <c r="N662" t="inlineStr"/>
      <c r="O662" t="n">
        <v>0</v>
      </c>
      <c r="P662">
        <f>IF(B685=0,0,O662/B685)</f>
        <v/>
      </c>
      <c r="S662" t="n">
        <v>0</v>
      </c>
      <c r="V662">
        <f>IFERROR(1/IF(Inputs!$B$4="pvp",15,MAX(0.1,Skills!D15-IF(Skills!E15=TRUE,Inputs!$B$31,0))),0)</f>
        <v/>
      </c>
    </row>
    <row r="663">
      <c r="A663">
        <f>Skills!A16</f>
        <v/>
      </c>
      <c r="B663">
        <f>Skills!B16</f>
        <v/>
      </c>
      <c r="C663">
        <f>Inputs!$B$3&gt;=49</f>
        <v/>
      </c>
      <c r="D663">
        <f>IF(Skills!C16=1,60+(Inputs!$B$24+1)+Inputs!$B$28,IF(Skills!C16=2,90+Inputs!$B$25+Inputs!$B$28,IF(Skills!C16=3,120+Inputs!$B$26+Inputs!$B$28,MAX(0,(Inputs!$B$3-100)*3)+Inputs!$B$27+Inputs!$B$28)))</f>
        <v/>
      </c>
      <c r="E663">
        <f>INDEX(FactorTable!$B$2:$Y$301, MATCH(ROUND(MIN(300,MAX(1,D663)),0), FactorTable!$A$2:$A$301,0), Skills!L16+1)</f>
        <v/>
      </c>
      <c r="F663">
        <f>IF(Skills!M16=TRUE,(Skills!K16/10)*(E663/1000),Skills!K16/10)+Skills!N16</f>
        <v/>
      </c>
      <c r="G663">
        <f>Calc!G16</f>
        <v/>
      </c>
      <c r="H663">
        <f>Calc!H16</f>
        <v/>
      </c>
      <c r="I663">
        <f>IF(Skills!T16&lt;&gt;"",1+(Skills!T16/10)*($Z$3/1000)/100,1)</f>
        <v/>
      </c>
      <c r="J663" t="inlineStr"/>
      <c r="K663" t="inlineStr"/>
      <c r="L663" t="inlineStr"/>
      <c r="M663" t="inlineStr"/>
      <c r="N663" t="inlineStr"/>
      <c r="O663" t="n">
        <v>0</v>
      </c>
      <c r="P663">
        <f>IF(B685=0,0,O663/B685)</f>
        <v/>
      </c>
      <c r="S663" t="n">
        <v>0</v>
      </c>
      <c r="V663">
        <f>IFERROR(1/IF(Inputs!$B$4="pvp",15,MAX(0.1,Skills!D16-IF(Skills!E16=TRUE,Inputs!$B$31,0))),0)</f>
        <v/>
      </c>
    </row>
    <row r="664">
      <c r="A664">
        <f>Skills!A17</f>
        <v/>
      </c>
      <c r="B664">
        <f>Skills!B17</f>
        <v/>
      </c>
      <c r="C664">
        <f>Inputs!$B$3&gt;=75</f>
        <v/>
      </c>
      <c r="D664">
        <f>IF(Skills!C17=1,60+(Inputs!$B$24+1)+Inputs!$B$28,IF(Skills!C17=2,90+Inputs!$B$25+Inputs!$B$28,IF(Skills!C17=3,120+Inputs!$B$26+Inputs!$B$28,MAX(0,(Inputs!$B$3-100)*3)+Inputs!$B$27+Inputs!$B$28)))</f>
        <v/>
      </c>
      <c r="E664">
        <f>INDEX(FactorTable!$B$2:$Y$301, MATCH(ROUND(MIN(300,MAX(1,D664)),0), FactorTable!$A$2:$A$301,0), Skills!L17+1)</f>
        <v/>
      </c>
      <c r="F664">
        <f>IF(Skills!M17=TRUE,(Skills!K17/10)*(E664/1000),Skills!K17/10)+Skills!N17</f>
        <v/>
      </c>
      <c r="G664">
        <f>Calc!G17</f>
        <v/>
      </c>
      <c r="H664">
        <f>Calc!H17</f>
        <v/>
      </c>
      <c r="I664">
        <f>IF(Skills!T17&lt;&gt;"",1+(Skills!T17/10)*($Z$3/1000)/100,1)</f>
        <v/>
      </c>
      <c r="J664" t="inlineStr"/>
      <c r="K664" t="inlineStr"/>
      <c r="L664" t="inlineStr"/>
      <c r="M664" t="inlineStr"/>
      <c r="N664" t="inlineStr"/>
      <c r="O664" t="n">
        <v>0</v>
      </c>
      <c r="P664">
        <f>IF(B685=0,0,O664/B685)</f>
        <v/>
      </c>
      <c r="S664" t="n">
        <v>0</v>
      </c>
      <c r="V664">
        <f>IFERROR(1/IF(Inputs!$B$4="pvp",15,MAX(0.1,Skills!D17-IF(Skills!E17=TRUE,Inputs!$B$31,0))),0)</f>
        <v/>
      </c>
    </row>
    <row r="665">
      <c r="A665">
        <f>Skills!A18</f>
        <v/>
      </c>
      <c r="B665">
        <f>Skills!B18</f>
        <v/>
      </c>
      <c r="C665">
        <f>Inputs!$B$3&gt;=110</f>
        <v/>
      </c>
      <c r="D665">
        <f>IF(Skills!C18=1,60+(Inputs!$B$24+1)+Inputs!$B$28,IF(Skills!C18=2,90+Inputs!$B$25+Inputs!$B$28,IF(Skills!C18=3,120+Inputs!$B$26+Inputs!$B$28,MAX(0,(Inputs!$B$3-100)*3)+Inputs!$B$27+Inputs!$B$28)))</f>
        <v/>
      </c>
      <c r="E665">
        <f>INDEX(FactorTable!$B$2:$Y$301, MATCH(ROUND(MIN(300,MAX(1,D665)),0), FactorTable!$A$2:$A$301,0), Skills!L18+1)</f>
        <v/>
      </c>
      <c r="F665">
        <f>(Skills!K18/10)*(E665/1000)*64/45+Skills!N18</f>
        <v/>
      </c>
      <c r="G665">
        <f>Calc!G18</f>
        <v/>
      </c>
      <c r="H665">
        <f>Calc!H18</f>
        <v/>
      </c>
      <c r="I665">
        <f>IF(Skills!T18&lt;&gt;"",1+(Skills!T18/10)*($Z$3/1000)/100,1)</f>
        <v/>
      </c>
      <c r="J665" t="inlineStr"/>
      <c r="K665" t="inlineStr"/>
      <c r="L665" t="inlineStr"/>
      <c r="M665" t="inlineStr"/>
      <c r="N665" t="inlineStr"/>
      <c r="O665" t="n">
        <v>0</v>
      </c>
      <c r="P665">
        <f>IF(B685=0,0,O665/B685)</f>
        <v/>
      </c>
      <c r="S665">
        <f>IF(AND(Inputs!$B$4&lt;&gt;"pvp",Inputs!$B$35&gt;0),(INT(Inputs!$B$35/IF(Inputs!$B$4="pvp",15,MAX(0.1,Skills!D18-IF(Skills!E18=TRUE,Inputs!$B$31,0))))+1),0)</f>
        <v/>
      </c>
      <c r="V665">
        <f>IFERROR(1/IF(Inputs!$B$4="pvp",15,MAX(0.1,Skills!D18-IF(Skills!E18=TRUE,Inputs!$B$31,0))),0)</f>
        <v/>
      </c>
    </row>
    <row r="666">
      <c r="A666">
        <f>Skills!A19</f>
        <v/>
      </c>
      <c r="B666">
        <f>Skills!B19</f>
        <v/>
      </c>
      <c r="C666">
        <f>Inputs!$B$3&gt;=125</f>
        <v/>
      </c>
      <c r="D666">
        <f>IF(Skills!C19=1,60+(Inputs!$B$24+1)+Inputs!$B$28,IF(Skills!C19=2,90+Inputs!$B$25+Inputs!$B$28,IF(Skills!C19=3,120+Inputs!$B$26+Inputs!$B$28,MAX(0,(Inputs!$B$3-100)*3)+Inputs!$B$27+Inputs!$B$28)))</f>
        <v/>
      </c>
      <c r="E666">
        <f>INDEX(FactorTable!$B$2:$Y$301, MATCH(ROUND(MIN(300,MAX(1,D666)),0), FactorTable!$A$2:$A$301,0), Skills!L19+1)</f>
        <v/>
      </c>
      <c r="F666">
        <f>IF(Skills!M19=TRUE,(Skills!K19/10)*(E666/1000),Skills!K19/10)+Skills!N19</f>
        <v/>
      </c>
      <c r="G666">
        <f>Calc!G19</f>
        <v/>
      </c>
      <c r="H666">
        <f>Calc!H19</f>
        <v/>
      </c>
      <c r="I666">
        <f>IF(Skills!T19&lt;&gt;"",1+(Skills!T19/10)*($Z$3/1000)/100,1)</f>
        <v/>
      </c>
      <c r="J666" t="inlineStr"/>
      <c r="K666" t="inlineStr"/>
      <c r="L666" t="inlineStr"/>
      <c r="M666" t="inlineStr"/>
      <c r="N666" t="inlineStr"/>
      <c r="O666" t="n">
        <v>0</v>
      </c>
      <c r="P666">
        <f>IF(B685=0,0,O666/B685)</f>
        <v/>
      </c>
      <c r="S666" t="n">
        <v>0</v>
      </c>
      <c r="V666">
        <f>IFERROR(1/IF(Inputs!$B$4="pvp",15,MAX(0.1,Skills!D19-IF(Skills!E19=TRUE,Inputs!$B$31,0))),0)</f>
        <v/>
      </c>
    </row>
    <row r="667">
      <c r="A667">
        <f>Skills!A20</f>
        <v/>
      </c>
      <c r="B667">
        <f>Skills!B20</f>
        <v/>
      </c>
      <c r="C667">
        <f>Inputs!$B$3&gt;=33</f>
        <v/>
      </c>
      <c r="D667">
        <f>IF(Skills!C20=1,60+(Inputs!$B$24+1)+Inputs!$B$28,IF(Skills!C20=2,90+Inputs!$B$25+Inputs!$B$28,IF(Skills!C20=3,120+Inputs!$B$26+Inputs!$B$28,MAX(0,(Inputs!$B$3-100)*3)+Inputs!$B$27+Inputs!$B$28)))</f>
        <v/>
      </c>
      <c r="E667">
        <f>INDEX(FactorTable!$B$2:$Y$301, MATCH(ROUND(MIN(300,MAX(1,D667)),0), FactorTable!$A$2:$A$301,0), Skills!L20+1)</f>
        <v/>
      </c>
      <c r="F667">
        <f>IF(Skills!M20=TRUE,(Skills!K20/10)*(E667/1000),Skills!K20/10)+Skills!N20</f>
        <v/>
      </c>
      <c r="G667">
        <f>Calc!G20</f>
        <v/>
      </c>
      <c r="H667">
        <f>Calc!H20</f>
        <v/>
      </c>
      <c r="I667">
        <f>IF(Skills!T20&lt;&gt;"",1+(Skills!T20/10)*($Z$3/1000)/100,1)</f>
        <v/>
      </c>
      <c r="J667" t="inlineStr"/>
      <c r="K667" t="inlineStr"/>
      <c r="L667" t="inlineStr"/>
      <c r="M667" t="inlineStr"/>
      <c r="N667" t="inlineStr"/>
      <c r="O667" t="n">
        <v>0</v>
      </c>
      <c r="P667">
        <f>IF(B685=0,0,O667/B685)</f>
        <v/>
      </c>
      <c r="S667" t="n">
        <v>0</v>
      </c>
      <c r="V667">
        <f>IFERROR(1/IF(Inputs!$B$4="pvp",15,MAX(0.1,Skills!D20-IF(Skills!E20=TRUE,Inputs!$B$31,0))),0)</f>
        <v/>
      </c>
    </row>
    <row r="668">
      <c r="A668">
        <f>Skills!A21</f>
        <v/>
      </c>
      <c r="B668">
        <f>Skills!B21</f>
        <v/>
      </c>
      <c r="C668">
        <f>Inputs!$B$3&gt;=43</f>
        <v/>
      </c>
      <c r="D668">
        <f>IF(Skills!C21=1,60+(Inputs!$B$24+1)+Inputs!$B$28,IF(Skills!C21=2,90+Inputs!$B$25+Inputs!$B$28,IF(Skills!C21=3,120+Inputs!$B$26+Inputs!$B$28,MAX(0,(Inputs!$B$3-100)*3)+Inputs!$B$27+Inputs!$B$28)))</f>
        <v/>
      </c>
      <c r="E668">
        <f>INDEX(FactorTable!$B$2:$Y$301, MATCH(ROUND(MIN(300,MAX(1,D668)),0), FactorTable!$A$2:$A$301,0), Skills!L21+1)</f>
        <v/>
      </c>
      <c r="F668">
        <f>IF(Skills!M21=TRUE,(Skills!K21/10)*(E668/1000),Skills!K21/10)+Skills!N21</f>
        <v/>
      </c>
      <c r="G668">
        <f>Calc!G21</f>
        <v/>
      </c>
      <c r="H668">
        <f>Calc!H21</f>
        <v/>
      </c>
      <c r="I668">
        <f>IF(Skills!T21&lt;&gt;"",1+(Skills!T21/10)*($Z$3/1000)/100,1)</f>
        <v/>
      </c>
      <c r="J668" t="inlineStr"/>
      <c r="K668" t="inlineStr"/>
      <c r="L668" t="inlineStr"/>
      <c r="M668" t="inlineStr"/>
      <c r="N668" t="inlineStr"/>
      <c r="O668" t="n">
        <v>0</v>
      </c>
      <c r="P668">
        <f>IF(B685=0,0,O668/B685)</f>
        <v/>
      </c>
      <c r="S668" t="n">
        <v>0</v>
      </c>
      <c r="V668">
        <f>IFERROR(1/IF(Inputs!$B$4="pvp",15,MAX(0.1,Skills!D21-IF(Skills!E21=TRUE,Inputs!$B$31,0))),0)</f>
        <v/>
      </c>
    </row>
    <row r="669">
      <c r="A669">
        <f>Skills!A22</f>
        <v/>
      </c>
      <c r="B669">
        <f>Skills!B22</f>
        <v/>
      </c>
      <c r="C669">
        <f>Inputs!$B$3&gt;=50</f>
        <v/>
      </c>
      <c r="D669">
        <f>IF(Skills!C22=1,60+(Inputs!$B$24+1)+Inputs!$B$28,IF(Skills!C22=2,90+Inputs!$B$25+Inputs!$B$28,IF(Skills!C22=3,120+Inputs!$B$26+Inputs!$B$28,MAX(0,(Inputs!$B$3-100)*3)+Inputs!$B$27+Inputs!$B$28)))</f>
        <v/>
      </c>
      <c r="E669">
        <f>INDEX(FactorTable!$B$2:$Y$301, MATCH(ROUND(MIN(300,MAX(1,D669)),0), FactorTable!$A$2:$A$301,0), Skills!L22+1)</f>
        <v/>
      </c>
      <c r="F669">
        <f>IF(Skills!M22=TRUE,(Skills!K22/10)*(E669/1000),Skills!K22/10)+Skills!N22</f>
        <v/>
      </c>
      <c r="G669">
        <f>Calc!G22</f>
        <v/>
      </c>
      <c r="H669">
        <f>Calc!H22</f>
        <v/>
      </c>
      <c r="I669">
        <f>IF(Skills!T22&lt;&gt;"",1+(Skills!T22/10)*($Z$3/1000)/100,1)</f>
        <v/>
      </c>
      <c r="J669" t="inlineStr"/>
      <c r="K669" t="inlineStr"/>
      <c r="L669" t="inlineStr"/>
      <c r="M669" t="inlineStr"/>
      <c r="N669" t="inlineStr"/>
      <c r="O669" t="n">
        <v>0</v>
      </c>
      <c r="P669">
        <f>IF(B685=0,0,O669/B685)</f>
        <v/>
      </c>
      <c r="S669" t="n">
        <v>0</v>
      </c>
      <c r="V669">
        <f>IFERROR(1/IF(Inputs!$B$4="pvp",15,MAX(0.1,Skills!D22-IF(Skills!E22=TRUE,Inputs!$B$31,0))),0)</f>
        <v/>
      </c>
    </row>
    <row r="670">
      <c r="A670">
        <f>Skills!A23</f>
        <v/>
      </c>
      <c r="B670">
        <f>Skills!B23</f>
        <v/>
      </c>
      <c r="C670">
        <f>Inputs!$B$3&gt;=74</f>
        <v/>
      </c>
      <c r="D670">
        <f>IF(Skills!C23=1,60+(Inputs!$B$24+1)+Inputs!$B$28,IF(Skills!C23=2,90+Inputs!$B$25+Inputs!$B$28,IF(Skills!C23=3,120+Inputs!$B$26+Inputs!$B$28,MAX(0,(Inputs!$B$3-100)*3)+Inputs!$B$27+Inputs!$B$28)))</f>
        <v/>
      </c>
      <c r="E670">
        <f>INDEX(FactorTable!$B$2:$Y$301, MATCH(ROUND(MIN(300,MAX(1,D670)),0), FactorTable!$A$2:$A$301,0), Skills!L23+1)</f>
        <v/>
      </c>
      <c r="F670">
        <f>IF(Skills!M23=TRUE,(Skills!K23/10)*(E670/1000),Skills!K23/10)+Skills!N23</f>
        <v/>
      </c>
      <c r="G670">
        <f>Calc!G23</f>
        <v/>
      </c>
      <c r="H670">
        <f>Calc!H23</f>
        <v/>
      </c>
      <c r="I670">
        <f>IF(Skills!T23&lt;&gt;"",1+(Skills!T23/10)*($Z$3/1000)/100,1)</f>
        <v/>
      </c>
      <c r="J670" t="inlineStr"/>
      <c r="K670" t="inlineStr"/>
      <c r="L670" t="inlineStr"/>
      <c r="M670" t="inlineStr"/>
      <c r="N670" t="inlineStr"/>
      <c r="O670" t="n">
        <v>0</v>
      </c>
      <c r="P670">
        <f>IF(B685=0,0,O670/B685)</f>
        <v/>
      </c>
      <c r="S670" t="n">
        <v>0</v>
      </c>
      <c r="V670">
        <f>IFERROR(1/IF(Inputs!$B$4="pvp",15,MAX(0.1,Skills!D23-IF(Skills!E23=TRUE,Inputs!$B$31,0))),0)</f>
        <v/>
      </c>
    </row>
    <row r="671">
      <c r="A671">
        <f>Skills!A24</f>
        <v/>
      </c>
      <c r="B671">
        <f>Skills!B24</f>
        <v/>
      </c>
      <c r="C671">
        <f>Inputs!$B$3&gt;=74</f>
        <v/>
      </c>
      <c r="D671">
        <f>IF(Skills!C24=1,60+(Inputs!$B$24+1)+Inputs!$B$28,IF(Skills!C24=2,90+Inputs!$B$25+Inputs!$B$28,IF(Skills!C24=3,120+Inputs!$B$26+Inputs!$B$28,MAX(0,(Inputs!$B$3-100)*3)+Inputs!$B$27+Inputs!$B$28)))</f>
        <v/>
      </c>
      <c r="E671">
        <f>INDEX(FactorTable!$B$2:$Y$301, MATCH(ROUND(MIN(300,MAX(1,D671)),0), FactorTable!$A$2:$A$301,0), Skills!L24+1)</f>
        <v/>
      </c>
      <c r="F671">
        <f>IF(Skills!M24=TRUE,(Skills!K24/10)*(E671/1000),Skills!K24/10)+Skills!N24</f>
        <v/>
      </c>
      <c r="G671">
        <f>Calc!G24</f>
        <v/>
      </c>
      <c r="H671">
        <f>Calc!H24</f>
        <v/>
      </c>
      <c r="I671">
        <f>IF(Skills!T24&lt;&gt;"",1+(Skills!T24/10)*($Z$3/1000)/100,1)</f>
        <v/>
      </c>
      <c r="J671" t="inlineStr"/>
      <c r="K671" t="inlineStr"/>
      <c r="L671" t="inlineStr"/>
      <c r="M671" t="inlineStr"/>
      <c r="N671" t="inlineStr"/>
      <c r="O671" t="n">
        <v>0</v>
      </c>
      <c r="P671">
        <f>IF(B685=0,0,O671/B685)</f>
        <v/>
      </c>
      <c r="S671" t="n">
        <v>0</v>
      </c>
      <c r="V671">
        <f>IFERROR(1/IF(Inputs!$B$4="pvp",15,MAX(0.1,Skills!D24-IF(Skills!E24=TRUE,Inputs!$B$31,0))),0)</f>
        <v/>
      </c>
    </row>
    <row r="672">
      <c r="A672">
        <f>Skills!A25</f>
        <v/>
      </c>
      <c r="B672">
        <f>Skills!B25</f>
        <v/>
      </c>
      <c r="C672">
        <f>Inputs!$B$3&gt;=117</f>
        <v/>
      </c>
      <c r="D672">
        <f>IF(Skills!C25=1,60+(Inputs!$B$24+1)+Inputs!$B$28,IF(Skills!C25=2,90+Inputs!$B$25+Inputs!$B$28,IF(Skills!C25=3,120+Inputs!$B$26+Inputs!$B$28,MAX(0,(Inputs!$B$3-100)*3)+Inputs!$B$27+Inputs!$B$28)))</f>
        <v/>
      </c>
      <c r="E672">
        <f>INDEX(FactorTable!$B$2:$Y$301, MATCH(ROUND(MIN(300,MAX(1,D672)),0), FactorTable!$A$2:$A$301,0), Skills!L25+1)</f>
        <v/>
      </c>
      <c r="F672">
        <f>IF(Skills!M25=TRUE,(Skills!K25/10)*(E672/1000),Skills!K25/10)+Skills!N25</f>
        <v/>
      </c>
      <c r="G672">
        <f>Calc!G25</f>
        <v/>
      </c>
      <c r="H672">
        <f>Calc!H25</f>
        <v/>
      </c>
      <c r="I672">
        <f>IF(Skills!T25&lt;&gt;"",1+(Skills!T25/10)*($Z$3/1000)/100,1)</f>
        <v/>
      </c>
      <c r="J672" t="inlineStr"/>
      <c r="K672" t="inlineStr"/>
      <c r="L672" t="inlineStr"/>
      <c r="M672" t="inlineStr"/>
      <c r="N672" t="inlineStr"/>
      <c r="O672" t="n">
        <v>0</v>
      </c>
      <c r="P672">
        <f>IF(B685=0,0,O672/B685)</f>
        <v/>
      </c>
      <c r="S672" t="n">
        <v>0</v>
      </c>
      <c r="V672">
        <f>IFERROR(1/IF(Inputs!$B$4="pvp",15,MAX(0.1,Skills!D25-IF(Skills!E25=TRUE,Inputs!$B$31,0))),0)</f>
        <v/>
      </c>
    </row>
    <row r="673">
      <c r="A673">
        <f>Skills!A26</f>
        <v/>
      </c>
      <c r="B673">
        <f>Skills!B26</f>
        <v/>
      </c>
      <c r="C673">
        <f>Inputs!$B$3&gt;=120</f>
        <v/>
      </c>
      <c r="D673">
        <f>IF(Skills!C26=1,60+(Inputs!$B$24+1)+Inputs!$B$28,IF(Skills!C26=2,90+Inputs!$B$25+Inputs!$B$28,IF(Skills!C26=3,120+Inputs!$B$26+Inputs!$B$28,MAX(0,(Inputs!$B$3-100)*3)+Inputs!$B$27+Inputs!$B$28)))</f>
        <v/>
      </c>
      <c r="E673">
        <f>INDEX(FactorTable!$B$2:$Y$301, MATCH(ROUND(MIN(300,MAX(1,D673)),0), FactorTable!$A$2:$A$301,0), Skills!L26+1)</f>
        <v/>
      </c>
      <c r="F673">
        <f>IF(Skills!M26=TRUE,(Skills!K26/10)*(E673/1000),Skills!K26/10)+Skills!N26</f>
        <v/>
      </c>
      <c r="G673">
        <f>Calc!G26</f>
        <v/>
      </c>
      <c r="H673">
        <f>Calc!H26</f>
        <v/>
      </c>
      <c r="I673">
        <f>IF(Skills!T26&lt;&gt;"",1+(Skills!T26/10)*($Z$3/1000)/100,1)</f>
        <v/>
      </c>
      <c r="J673" t="inlineStr"/>
      <c r="K673" t="inlineStr"/>
      <c r="L673" t="inlineStr"/>
      <c r="M673" t="inlineStr"/>
      <c r="N673" t="inlineStr"/>
      <c r="O673" t="n">
        <v>0</v>
      </c>
      <c r="P673">
        <f>IF(B685=0,0,O673/B685)</f>
        <v/>
      </c>
      <c r="S673" t="n">
        <v>0</v>
      </c>
      <c r="V673">
        <f>IFERROR(1/IF(Inputs!$B$4="pvp",15,MAX(0.1,Skills!D26-IF(Skills!E26=TRUE,Inputs!$B$31,0))),0)</f>
        <v/>
      </c>
    </row>
    <row r="675">
      <c r="A675" t="inlineStr">
        <is>
          <t>Average Buff Multiplier</t>
        </is>
      </c>
      <c r="B675">
        <f>(1+(IF(C650=TRUE,F650*IF(AND(Inputs!$B$4&lt;&gt;"pvp",Inputs!$B$35&gt;0),(((S650-1)*(Skills!S3*(1+(Inputs!$B$33+IF(Inputs!$B$3&gt;=117,F672,0))/100))+MIN((Skills!S3*(1+(Inputs!$B$33+IF(Inputs!$B$3&gt;=117,F672,0))/100)),MAX(0,Inputs!$B$35-((S650-1)*Skills!D3))))/Inputs!$B$35),IF(Inputs!$B$4="pvp",MIN((Skills!S3*(1+(Inputs!$B$33+IF(Inputs!$B$3&gt;=117,F672,0))/100)),15)/15,(Skills!S3*(1+(Inputs!$B$33+IF(Inputs!$B$3&gt;=117,F672,0))/100))/Skills!D3)),0)+IF(C651=TRUE,F651*IF(AND(Inputs!$B$4&lt;&gt;"pvp",Inputs!$B$35&gt;0),(((S651-1)*(Skills!S4*(1+(Inputs!$B$33+IF(Inputs!$B$3&gt;=117,F672,0))/100))+MIN((Skills!S4*(1+(Inputs!$B$33+IF(Inputs!$B$3&gt;=117,F672,0))/100)),MAX(0,Inputs!$B$35-((S651-1)*Skills!D4))))/Inputs!$B$35),IF(Inputs!$B$4="pvp",MIN((Skills!S4*(1+(Inputs!$B$33+IF(Inputs!$B$3&gt;=117,F672,0))/100)),15)/15,(Skills!S4*(1+(Inputs!$B$33+IF(Inputs!$B$3&gt;=117,F672,0))/100))/Skills!D4)),0)+IF(C652=TRUE,F652*IF(AND(Inputs!$B$4&lt;&gt;"pvp",Inputs!$B$35&gt;0),(((S652-1)*(Skills!S5*(1+(Inputs!$B$33+IF(Inputs!$B$3&gt;=117,F672,0))/100))+MIN((Skills!S5*(1+(Inputs!$B$33+IF(Inputs!$B$3&gt;=117,F672,0))/100)),MAX(0,Inputs!$B$35-((S652-1)*Skills!D5))))/Inputs!$B$35),IF(Inputs!$B$4="pvp",MIN((Skills!S5*(1+(Inputs!$B$33+IF(Inputs!$B$3&gt;=117,F672,0))/100)),15)/15,(Skills!S5*(1+(Inputs!$B$33+IF(Inputs!$B$3&gt;=117,F672,0))/100))/Skills!D5)),0)+IF(C658=TRUE,F658*IF(AND(Inputs!$B$4&lt;&gt;"pvp",Inputs!$B$35&gt;0),(((S658-1)*(Skills!S11*(1+(Inputs!$B$33+IF(Inputs!$B$3&gt;=117,F672,0))/100))+MIN((Skills!S11*(1+(Inputs!$B$33+IF(Inputs!$B$3&gt;=117,F672,0))/100)),MAX(0,Inputs!$B$35-((S658-1)*Skills!D11))))/Inputs!$B$35),IF(Inputs!$B$4="pvp",MIN((Skills!S11*(1+(Inputs!$B$33+IF(Inputs!$B$3&gt;=117,F672,0))/100)),15)/15,(Skills!S11*(1+(Inputs!$B$33+IF(Inputs!$B$3&gt;=117,F672,0))/100))/Skills!D11)),0))/100)*IF(C660=TRUE,(1+F660*IF(AND(Inputs!$B$4&lt;&gt;"pvp",Inputs!$B$35&gt;0),(((S660-1)*(Skills!S13*(1+(Inputs!$B$33+IF(Inputs!$B$3&gt;=117,F672,0))/100))+MIN((Skills!S13*(1+(Inputs!$B$33+IF(Inputs!$B$3&gt;=117,F672,0))/100)),MAX(0,Inputs!$B$35-((S660-1)*Skills!D13))))/Inputs!$B$35),IF(Inputs!$B$4="pvp",MIN((Skills!S13*(1+(Inputs!$B$33+IF(Inputs!$B$3&gt;=117,F672,0))/100)),15)/15,(Skills!S13*(1+(Inputs!$B$33+IF(Inputs!$B$3&gt;=117,F672,0))/100))/Skills!D13))/100),1)*IF(C665=TRUE,(1+F665*IF(AND(Inputs!$B$4&lt;&gt;"pvp",Inputs!$B$35&gt;0),(((S665-1)*(Skills!S18*(1+(Inputs!$B$33+IF(Inputs!$B$3&gt;=117,F672,0))/100))+MIN((Skills!S18*(1+(Inputs!$B$33+IF(Inputs!$B$3&gt;=117,F672,0))/100)),MAX(0,Inputs!$B$35-((S665-1)*Skills!D18))))/Inputs!$B$35),IF(Inputs!$B$4="pvp",MIN((Skills!S18*(1+(Inputs!$B$33+IF(Inputs!$B$3&gt;=117,F672,0))/100)),15)/15,(Skills!S18*(1+(Inputs!$B$33+IF(Inputs!$B$3&gt;=117,F672,0))/100))/Skills!D18))/100),1)</f>
        <v/>
      </c>
    </row>
    <row r="676">
      <c r="A676" t="inlineStr">
        <is>
          <t>Monster Damage Taken Bonus % (Holy Fountain)</t>
        </is>
      </c>
      <c r="B676">
        <f>IF(Inputs!$B$3&gt;=68,20*IF(Inputs!$B$4="pvp",MIN((15*(1+(Inputs!$B$33+IF(Inputs!$B$3&gt;=117,F672,0))/100)),15)/15,(15*(1+(Inputs!$B$33+IF(Inputs!$B$3&gt;=117,F672,0))/100))/Skills!D10),0)</f>
        <v/>
      </c>
    </row>
    <row r="677">
      <c r="A677" t="inlineStr">
        <is>
          <t>Normal Monster Damage Bonus % (Holy Symbol)</t>
        </is>
      </c>
      <c r="B677">
        <f>IF(C659=TRUE,F659*IF(AND(Inputs!$B$4&lt;&gt;"pvp",Inputs!$B$35&gt;0),(((S659-1)*(Skills!S12*(1+(Inputs!$B$33+IF(Inputs!$B$3&gt;=117,F672,0))/100))+MIN((Skills!S12*(1+(Inputs!$B$33+IF(Inputs!$B$3&gt;=117,F672,0))/100)),MAX(0,Inputs!$B$35-((S659-1)*Skills!D12))))/Inputs!$B$35),IF(Inputs!$B$4="pvp",MIN((Skills!S12*(1+(Inputs!$B$33+IF(Inputs!$B$3&gt;=117,F672,0))/100)),15)/15,(Skills!S12*(1+(Inputs!$B$33+IF(Inputs!$B$3&gt;=117,F672,0))/100))/Skills!D12)),0)</f>
        <v/>
      </c>
    </row>
    <row r="678">
      <c r="A678" t="inlineStr">
        <is>
          <t>Damage % Bonus (Holy Symbol - Damage Boost)</t>
        </is>
      </c>
      <c r="B678">
        <f>Skills!O12</f>
        <v/>
      </c>
    </row>
    <row r="679">
      <c r="A679" t="inlineStr">
        <is>
          <t>Crit Damage % Bonus (Blood of the Divine)</t>
        </is>
      </c>
      <c r="B679">
        <f>4*IF(C666=TRUE,F666,0)</f>
        <v/>
      </c>
    </row>
    <row r="680">
      <c r="A680" t="inlineStr">
        <is>
          <t>Attack Speed Bonus %</t>
        </is>
      </c>
      <c r="B680">
        <f>IF(C663=TRUE,F663+(F667-Calc!F20),0)+IF(Inputs!$B$3&gt;=134,15,0)</f>
        <v/>
      </c>
    </row>
    <row r="681">
      <c r="A681" t="inlineStr">
        <is>
          <t>Actions Per Second</t>
        </is>
      </c>
      <c r="B681">
        <f>1+MIN(150,150*(1-(1-Inputs!$B$10/150)*(1-B680/150)))/100</f>
        <v/>
      </c>
    </row>
    <row r="682">
      <c r="A682" t="inlineStr">
        <is>
          <t>Skill + Buff Cast Rate</t>
        </is>
      </c>
      <c r="B682">
        <f>IF(AND(Inputs!$B$4&lt;&gt;"pvp",Inputs!$B$35&gt;0),SUMPRODUCT((Skills!E2:E26=TRUE)*(C649:C673=TRUE)*S649:S673)/Inputs!$B$35,SUMPRODUCT((Skills!E2:E26=TRUE)*(C649:C673=TRUE)*V649:V673))</f>
        <v/>
      </c>
    </row>
    <row r="683">
      <c r="A683" t="inlineStr">
        <is>
          <t>Big Bang Casts Per Second</t>
        </is>
      </c>
      <c r="B683">
        <f>MAX(0,B681-B682)</f>
        <v/>
      </c>
    </row>
    <row r="685">
      <c r="A685" s="5" t="inlineStr">
        <is>
          <t>TOTAL DPS</t>
        </is>
      </c>
      <c r="B685" s="5">
        <f>SUM(O649:O673)</f>
        <v/>
      </c>
    </row>
    <row r="688">
      <c r="A688" s="5" t="inlineStr">
        <is>
          <t>Stat: Skill Level Bonus — 2nd Job</t>
        </is>
      </c>
    </row>
    <row r="689">
      <c r="A689" s="8" t="inlineStr">
        <is>
          <t>Key</t>
        </is>
      </c>
      <c r="B689" s="8" t="inlineStr">
        <is>
          <t>Name</t>
        </is>
      </c>
      <c r="C689" s="8" t="inlineStr">
        <is>
          <t>Unlocked</t>
        </is>
      </c>
      <c r="D689" s="8" t="inlineStr">
        <is>
          <t>InputLevel</t>
        </is>
      </c>
      <c r="E689" s="8" t="inlineStr">
        <is>
          <t>Factor</t>
        </is>
      </c>
      <c r="F689" s="8" t="inlineStr">
        <is>
          <t>CoefficientPercent</t>
        </is>
      </c>
      <c r="G689" s="8" t="inlineStr">
        <is>
          <t>EffectiveHits</t>
        </is>
      </c>
      <c r="H689" s="8" t="inlineStr">
        <is>
          <t>ProcProbability</t>
        </is>
      </c>
      <c r="I689" s="8" t="inlineStr">
        <is>
          <t>MapleHeroMultiplier</t>
        </is>
      </c>
      <c r="J689" s="8" t="inlineStr">
        <is>
          <t>BaseDamage</t>
        </is>
      </c>
      <c r="K689" s="8" t="inlineStr">
        <is>
          <t>BaseHitDamage</t>
        </is>
      </c>
      <c r="L689" s="8" t="inlineStr">
        <is>
          <t>NonCritAvg</t>
        </is>
      </c>
      <c r="M689" s="8" t="inlineStr">
        <is>
          <t>CritAvg</t>
        </is>
      </c>
      <c r="N689" s="8" t="inlineStr">
        <is>
          <t>ExpectedDamage(perHit)</t>
        </is>
      </c>
      <c r="O689" s="8" t="inlineStr">
        <is>
          <t>DPS</t>
        </is>
      </c>
      <c r="P689" s="8" t="inlineStr">
        <is>
          <t>% of Total</t>
        </is>
      </c>
      <c r="R689" t="inlineStr">
        <is>
          <t>helpers</t>
        </is>
      </c>
    </row>
    <row r="690">
      <c r="A690">
        <f>Skills!A2</f>
        <v/>
      </c>
      <c r="B690">
        <f>Skills!B2</f>
        <v/>
      </c>
      <c r="C690">
        <f>Inputs!$B$3&gt;=100</f>
        <v/>
      </c>
      <c r="D690" t="inlineStr"/>
      <c r="E690" t="inlineStr"/>
      <c r="F690">
        <f>T692+Skills!N2</f>
        <v/>
      </c>
      <c r="G690">
        <f>Calc!G2</f>
        <v/>
      </c>
      <c r="H690">
        <f>Calc!H2</f>
        <v/>
      </c>
      <c r="I690">
        <f>IF(Skills!T2&lt;&gt;"",1+(Skills!T2/10)*($Z$3/1000)/100,1)</f>
        <v/>
      </c>
      <c r="J690">
        <f>((Inputs!$B$5*(1+Inputs!$B$6/100))+((Inputs!$B$11*(1+Inputs!$B$12/100))-(Inputs!$B$11*(1+Inputs!$B$12/100)))*(1+Inputs!$B$6/100))*(F690/100)</f>
        <v/>
      </c>
      <c r="K690">
        <f>J690*(1+((Inputs!$B$11*(1+Inputs!$B$12/100))*0.01+Inputs!$B$13*0.0025)/100)*(1+(Inputs!$B$14+B719)/100)*(1+IF(Inputs!$B$4="pvp",0,(1-Summary!$B$48)*(Inputs!$B$19+Skills!O2+B717)+Summary!$B$48*(Inputs!$B$20+Skills!P2+B718))/100)*(1+Inputs!$B$15/100)*(5000/(6000+Inputs!$B$7*(1-Inputs!$B$18/100)))*(1+Inputs!$B$23/100)*(1+IF(C705=TRUE,F705,0)/100)*(1+IF(C707=TRUE,F707,0)/100)*(1+IF(Skills!A2="TRIUMPH_FEATHER",IF(C703=TRUE,F703,0),0)/100)*(1+IF(C714=TRUE,F714,0)/100)^5*(1+(IF(Skills!A2="BIG_BANG",Inputs!$B$16,Inputs!$B$17))/100)*(B716*I690)</f>
        <v/>
      </c>
      <c r="L690">
        <f>K690*(MIN(Inputs!$B$21+(F709-Calc!F21),Inputs!$B$22)/100+Inputs!$B$22/100)/2</f>
        <v/>
      </c>
      <c r="M690">
        <f>L690*(1+(Inputs!$B$9+B720+(F712-Calc!F24))/100)</f>
        <v/>
      </c>
      <c r="N690">
        <f>L690*(1-MIN(Inputs!$B$8+((F711-Calc!F23)+(F710-Calc!F22)),100)/100)+M690*(MIN(Inputs!$B$8+((F711-Calc!F23)+(F710-Calc!F22)),100)/100)</f>
        <v/>
      </c>
      <c r="O690">
        <f>IF(C690,Skills!F2*N690*B724*IF(Inputs!$B$4="pvp",1,(1-Summary!$B$48)*(1)+Summary!$B$48*(MIN((6+Inputs!$B$32),Inputs!$B$37))),0)</f>
        <v/>
      </c>
      <c r="P690">
        <f>IF(B726=0,0,O690/B726)</f>
        <v/>
      </c>
      <c r="S690" t="n">
        <v>0</v>
      </c>
      <c r="T690">
        <f>MAX(0,(Inputs!$B$3-100)*3)+Inputs!$B$27+Inputs!$B$28</f>
        <v/>
      </c>
      <c r="V690">
        <f>IFERROR(1/IF(Inputs!$B$4="pvp",15,MAX(0.1,Skills!D2-IF(Skills!E2=TRUE,Inputs!$B$31,0))),0)</f>
        <v/>
      </c>
    </row>
    <row r="691">
      <c r="A691">
        <f>Skills!A3</f>
        <v/>
      </c>
      <c r="B691">
        <f>Skills!B3</f>
        <v/>
      </c>
      <c r="C691">
        <f>Inputs!$B$3&gt;=15</f>
        <v/>
      </c>
      <c r="D691">
        <f>IF(Skills!C3=1,60+Inputs!$B$24+Inputs!$B$28,IF(Skills!C3=2,90+(Inputs!$B$25+1)+Inputs!$B$28,IF(Skills!C3=3,120+Inputs!$B$26+Inputs!$B$28,MAX(0,(Inputs!$B$3-100)*3)+Inputs!$B$27+Inputs!$B$28)))</f>
        <v/>
      </c>
      <c r="E691">
        <f>INDEX(FactorTable!$B$2:$Y$301, MATCH(ROUND(MIN(300,MAX(1,D691)),0), FactorTable!$A$2:$A$301,0), Skills!L3+1)</f>
        <v/>
      </c>
      <c r="F691">
        <f>IF(Skills!M3=TRUE,(Skills!K3/10)*(E691/1000),Skills!K3/10)+Skills!N3</f>
        <v/>
      </c>
      <c r="G691">
        <f>Calc!G3</f>
        <v/>
      </c>
      <c r="H691">
        <f>Calc!H3</f>
        <v/>
      </c>
      <c r="I691">
        <f>IF(Skills!T3&lt;&gt;"",1+(Skills!T3/10)*($Z$3/1000)/100,1)</f>
        <v/>
      </c>
      <c r="J691" t="inlineStr"/>
      <c r="K691" t="inlineStr"/>
      <c r="L691" t="inlineStr"/>
      <c r="M691" t="inlineStr"/>
      <c r="N691" t="inlineStr"/>
      <c r="O691" t="n">
        <v>0</v>
      </c>
      <c r="P691">
        <f>IF(B726=0,0,O691/B726)</f>
        <v/>
      </c>
      <c r="S691">
        <f>IF(AND(Inputs!$B$4&lt;&gt;"pvp",Inputs!$B$35&gt;0),(INT(Inputs!$B$35/IF(Inputs!$B$4="pvp",15,MAX(0.1,Skills!D3-IF(Skills!E3=TRUE,Inputs!$B$31,0))))+1),0)</f>
        <v/>
      </c>
      <c r="T691">
        <f>INDEX(FactorTable!$B$2:$Y$301, MATCH(ROUND(MIN(300,MAX(1,T690)),0), FactorTable!$A$2:$A$301,0), 22)</f>
        <v/>
      </c>
      <c r="V691">
        <f>IFERROR(1/IF(Inputs!$B$4="pvp",15,MAX(0.1,Skills!D3-IF(Skills!E3=TRUE,Inputs!$B$31,0))),0)</f>
        <v/>
      </c>
    </row>
    <row r="692">
      <c r="A692">
        <f>Skills!A4</f>
        <v/>
      </c>
      <c r="B692">
        <f>Skills!B4</f>
        <v/>
      </c>
      <c r="C692">
        <f>Inputs!$B$3&gt;=38</f>
        <v/>
      </c>
      <c r="D692">
        <f>IF(Skills!C4=1,60+Inputs!$B$24+Inputs!$B$28,IF(Skills!C4=2,90+(Inputs!$B$25+1)+Inputs!$B$28,IF(Skills!C4=3,120+Inputs!$B$26+Inputs!$B$28,MAX(0,(Inputs!$B$3-100)*3)+Inputs!$B$27+Inputs!$B$28)))</f>
        <v/>
      </c>
      <c r="E692">
        <f>INDEX(FactorTable!$B$2:$Y$301, MATCH(ROUND(MIN(300,MAX(1,D692)),0), FactorTable!$A$2:$A$301,0), Skills!L4+1)</f>
        <v/>
      </c>
      <c r="F692">
        <f>IF(Skills!M4=TRUE,(Skills!K4/10)*(E692/1000),Skills!K4/10)+Skills!N4</f>
        <v/>
      </c>
      <c r="G692">
        <f>Calc!G4</f>
        <v/>
      </c>
      <c r="H692">
        <f>Calc!H4</f>
        <v/>
      </c>
      <c r="I692">
        <f>IF(Skills!T4&lt;&gt;"",1+(Skills!T4/10)*($Z$3/1000)/100,1)</f>
        <v/>
      </c>
      <c r="J692" t="inlineStr"/>
      <c r="K692" t="inlineStr"/>
      <c r="L692" t="inlineStr"/>
      <c r="M692" t="inlineStr"/>
      <c r="N692" t="inlineStr"/>
      <c r="O692" t="n">
        <v>0</v>
      </c>
      <c r="P692">
        <f>IF(B726=0,0,O692/B726)</f>
        <v/>
      </c>
      <c r="S692">
        <f>IF(AND(Inputs!$B$4&lt;&gt;"pvp",Inputs!$B$35&gt;0),(INT(Inputs!$B$35/IF(Inputs!$B$4="pvp",15,MAX(0.1,Skills!D4-IF(Skills!E4=TRUE,Inputs!$B$31,0))))+1),0)</f>
        <v/>
      </c>
      <c r="T692">
        <f>290*T691/1000</f>
        <v/>
      </c>
      <c r="V692">
        <f>IFERROR(1/IF(Inputs!$B$4="pvp",15,MAX(0.1,Skills!D4-IF(Skills!E4=TRUE,Inputs!$B$31,0))),0)</f>
        <v/>
      </c>
    </row>
    <row r="693">
      <c r="A693">
        <f>Skills!A5</f>
        <v/>
      </c>
      <c r="B693">
        <f>Skills!B5</f>
        <v/>
      </c>
      <c r="C693">
        <f>Inputs!$B$3&gt;=40</f>
        <v/>
      </c>
      <c r="D693">
        <f>IF(Skills!C5=1,60+Inputs!$B$24+Inputs!$B$28,IF(Skills!C5=2,90+(Inputs!$B$25+1)+Inputs!$B$28,IF(Skills!C5=3,120+Inputs!$B$26+Inputs!$B$28,MAX(0,(Inputs!$B$3-100)*3)+Inputs!$B$27+Inputs!$B$28)))</f>
        <v/>
      </c>
      <c r="E693">
        <f>INDEX(FactorTable!$B$2:$Y$301, MATCH(ROUND(MIN(300,MAX(1,D693)),0), FactorTable!$A$2:$A$301,0), Skills!L5+1)</f>
        <v/>
      </c>
      <c r="F693">
        <f>IF(Skills!M5=TRUE,(Skills!K5/10)*(E693/1000),Skills!K5/10)+Skills!N5</f>
        <v/>
      </c>
      <c r="G693">
        <f>Calc!G5</f>
        <v/>
      </c>
      <c r="H693">
        <f>Calc!H5</f>
        <v/>
      </c>
      <c r="I693">
        <f>IF(Skills!T5&lt;&gt;"",1+(Skills!T5/10)*($Z$3/1000)/100,1)</f>
        <v/>
      </c>
      <c r="J693" t="inlineStr"/>
      <c r="K693" t="inlineStr"/>
      <c r="L693" t="inlineStr"/>
      <c r="M693" t="inlineStr"/>
      <c r="N693" t="inlineStr"/>
      <c r="O693" t="n">
        <v>0</v>
      </c>
      <c r="P693">
        <f>IF(B726=0,0,O693/B726)</f>
        <v/>
      </c>
      <c r="S693">
        <f>IF(AND(Inputs!$B$4&lt;&gt;"pvp",Inputs!$B$35&gt;0),(INT(Inputs!$B$35/IF(Inputs!$B$4="pvp",15,MAX(0.1,Skills!D5-IF(Skills!E5=TRUE,Inputs!$B$31,0))))+1),0)</f>
        <v/>
      </c>
      <c r="V693">
        <f>IFERROR(1/IF(Inputs!$B$4="pvp",15,MAX(0.1,Skills!D5-IF(Skills!E5=TRUE,Inputs!$B$31,0))),0)</f>
        <v/>
      </c>
    </row>
    <row r="694">
      <c r="A694">
        <f>Skills!A6</f>
        <v/>
      </c>
      <c r="B694">
        <f>Skills!B6</f>
        <v/>
      </c>
      <c r="C694">
        <f>Inputs!$B$3&gt;=103</f>
        <v/>
      </c>
      <c r="D694">
        <f>IF(Skills!C6=1,60+Inputs!$B$24+Inputs!$B$28,IF(Skills!C6=2,90+(Inputs!$B$25+1)+Inputs!$B$28,IF(Skills!C6=3,120+Inputs!$B$26+Inputs!$B$28,MAX(0,(Inputs!$B$3-100)*3)+Inputs!$B$27+Inputs!$B$28)))</f>
        <v/>
      </c>
      <c r="E694">
        <f>INDEX(FactorTable!$B$2:$Y$301, MATCH(ROUND(MIN(300,MAX(1,D694)),0), FactorTable!$A$2:$A$301,0), Skills!L6+1)</f>
        <v/>
      </c>
      <c r="F694">
        <f>IF(Skills!M6=TRUE,(Skills!K6/10)*(E694/1000),Skills!K6/10)+Skills!N6</f>
        <v/>
      </c>
      <c r="G694">
        <f>Calc!G6</f>
        <v/>
      </c>
      <c r="H694">
        <f>Calc!H6</f>
        <v/>
      </c>
      <c r="I694">
        <f>IF(Skills!T6&lt;&gt;"",1+(Skills!T6/10)*($Z$3/1000)/100,1)</f>
        <v/>
      </c>
      <c r="J694">
        <f>((Inputs!$B$5*(1+Inputs!$B$6/100))+((Inputs!$B$11*(1+Inputs!$B$12/100))-(Inputs!$B$11*(1+Inputs!$B$12/100)))*(1+Inputs!$B$6/100))*(F694/100)</f>
        <v/>
      </c>
      <c r="K694">
        <f>J694*(1+((Inputs!$B$11*(1+Inputs!$B$12/100))*0.01+Inputs!$B$13*0.0025)/100)*(1+(Inputs!$B$14+B719)/100)*(1+IF(Inputs!$B$4="pvp",0,(1-Summary!$B$48)*(Inputs!$B$19+Skills!O6+B717)+Summary!$B$48*(Inputs!$B$20+Skills!P6+B718))/100)*(1+Inputs!$B$15/100)*(5000/(6000+Inputs!$B$7*(1-Inputs!$B$18/100)))*(1+Inputs!$B$23/100)*(1+IF(C705=TRUE,F705,0)/100)*(1+IF(C707=TRUE,F707,0)/100)*(1+IF(Skills!A6="TRIUMPH_FEATHER",IF(C703=TRUE,F703,0),0)/100)*(1+IF(C714=TRUE,F714,0)/100)^5*(1+(IF(Skills!A6="BIG_BANG",Inputs!$B$16,Inputs!$B$17))/100)*(B716*I694)</f>
        <v/>
      </c>
      <c r="L694">
        <f>K694*(MIN(Inputs!$B$21+(F709-Calc!F21),Inputs!$B$22)/100+Inputs!$B$22/100)/2</f>
        <v/>
      </c>
      <c r="M694">
        <f>L694*(1+(Inputs!$B$9+B720+(F712-Calc!F24))/100)</f>
        <v/>
      </c>
      <c r="N694">
        <f>L694*(1-MIN(Inputs!$B$8+((F711-Calc!F23)+(F710-Calc!F22)),100)/100)+M694*(MIN(Inputs!$B$8+((F711-Calc!F23)+(F710-Calc!F22)),100)/100)</f>
        <v/>
      </c>
      <c r="O694">
        <f>IF(C694,H694*N694*IF(AND(Inputs!$B$4&lt;&gt;"pvp",Inputs!$B$35&gt;0),((Skills!F6*((S694-1)*IF(Skills!G6&gt;0,Skills!H6/Skills!G6,1)+IF(Skills!G6&gt;0,MIN(Skills!H6,MAX(0,Inputs!$B$35-((S694-1)*IF(Inputs!$B$4="pvp",15,MAX(0.1,Skills!D6-IF(Skills!E6=TRUE,Inputs!$B$31,0))))))/Skills!G6,1)))/Inputs!$B$35),G694*V694)*IF(Inputs!$B$4="pvp",1,(1-Summary!$B$48)*(1)+Summary!$B$48*(MIN(Skills!Q6,Inputs!$B$37))),0)</f>
        <v/>
      </c>
      <c r="P694">
        <f>IF(B726=0,0,O694/B726)</f>
        <v/>
      </c>
      <c r="S694">
        <f>IF(AND(Inputs!$B$4&lt;&gt;"pvp",Inputs!$B$35&gt;0),(INT(Inputs!$B$35/IF(Inputs!$B$4="pvp",15,MAX(0.1,Skills!D6-IF(Skills!E6=TRUE,Inputs!$B$31,0))))+1),0)</f>
        <v/>
      </c>
      <c r="V694">
        <f>IFERROR(1/IF(Inputs!$B$4="pvp",15,MAX(0.1,Skills!D6-IF(Skills!E6=TRUE,Inputs!$B$31,0))),0)</f>
        <v/>
      </c>
    </row>
    <row r="695">
      <c r="A695">
        <f>Skills!A7</f>
        <v/>
      </c>
      <c r="B695">
        <f>Skills!B7</f>
        <v/>
      </c>
      <c r="C695">
        <f>Inputs!$B$3&gt;=122</f>
        <v/>
      </c>
      <c r="D695">
        <f>IF(Skills!C7=1,60+Inputs!$B$24+Inputs!$B$28,IF(Skills!C7=2,90+(Inputs!$B$25+1)+Inputs!$B$28,IF(Skills!C7=3,120+Inputs!$B$26+Inputs!$B$28,MAX(0,(Inputs!$B$3-100)*3)+Inputs!$B$27+Inputs!$B$28)))</f>
        <v/>
      </c>
      <c r="E695">
        <f>INDEX(FactorTable!$B$2:$Y$301, MATCH(ROUND(MIN(300,MAX(1,D695)),0), FactorTable!$A$2:$A$301,0), Skills!L7+1)</f>
        <v/>
      </c>
      <c r="F695">
        <f>IF(Skills!M7=TRUE,(Skills!K7/10)*(E695/1000),Skills!K7/10)+Skills!N7</f>
        <v/>
      </c>
      <c r="G695">
        <f>Calc!G7</f>
        <v/>
      </c>
      <c r="H695">
        <f>Calc!H7</f>
        <v/>
      </c>
      <c r="I695">
        <f>IF(Skills!T7&lt;&gt;"",1+(Skills!T7/10)*($Z$3/1000)/100,1)</f>
        <v/>
      </c>
      <c r="J695">
        <f>((Inputs!$B$5*(1+Inputs!$B$6/100))+((Inputs!$B$11*(1+Inputs!$B$12/100))-(Inputs!$B$11*(1+Inputs!$B$12/100)))*(1+Inputs!$B$6/100))*(F695/100)</f>
        <v/>
      </c>
      <c r="K695">
        <f>J695*(1+((Inputs!$B$11*(1+Inputs!$B$12/100))*0.01+Inputs!$B$13*0.0025)/100)*(1+(Inputs!$B$14+B719)/100)*(1+IF(Inputs!$B$4="pvp",0,(1-Summary!$B$48)*(Inputs!$B$19+Skills!O7+B717)+Summary!$B$48*(Inputs!$B$20+Skills!P7+B718))/100)*(1+Inputs!$B$15/100)*(5000/(6000+Inputs!$B$7*(1-Inputs!$B$18/100)))*(1+Inputs!$B$23/100)*(1+IF(C705=TRUE,F705,0)/100)*(1+IF(C707=TRUE,F707,0)/100)*(1+IF(Skills!A7="TRIUMPH_FEATHER",IF(C703=TRUE,F703,0),0)/100)*(1+IF(C714=TRUE,F714,0)/100)^5*(1+(IF(Skills!A7="BIG_BANG",Inputs!$B$16,Inputs!$B$17))/100)*(B716*I695)</f>
        <v/>
      </c>
      <c r="L695">
        <f>K695*(MIN(Inputs!$B$21+(F709-Calc!F21),Inputs!$B$22)/100+Inputs!$B$22/100)/2</f>
        <v/>
      </c>
      <c r="M695">
        <f>L695*(1+(Inputs!$B$9+B720+(F712-Calc!F24))/100)</f>
        <v/>
      </c>
      <c r="N695">
        <f>L695*(1-MIN(Inputs!$B$8+((F711-Calc!F23)+(F710-Calc!F22)),100)/100)+M695*(MIN(Inputs!$B$8+((F711-Calc!F23)+(F710-Calc!F22)),100)/100)</f>
        <v/>
      </c>
      <c r="O695">
        <f>IF(C695,H695*N695*IF(AND(Inputs!$B$4&lt;&gt;"pvp",Inputs!$B$35&gt;0),((Skills!F7*((S695-1)*IF(Skills!G7&gt;0,Skills!H7/Skills!G7,1)+IF(Skills!G7&gt;0,MIN(Skills!H7,MAX(0,Inputs!$B$35-((S695-1)*IF(Inputs!$B$4="pvp",15,MAX(0.1,Skills!D7-IF(Skills!E6=TRUE,Inputs!$B$31,0))))))/Skills!G7,1)))/Inputs!$B$35),G695*V695)*(1-Summary!$B$48),0)</f>
        <v/>
      </c>
      <c r="P695">
        <f>IF(B726=0,0,O695/B726)</f>
        <v/>
      </c>
      <c r="S695">
        <f>IF(AND(Inputs!$B$4&lt;&gt;"pvp",Inputs!$B$35&gt;0),(INT(Inputs!$B$35/IF(Inputs!$B$4="pvp",15,MAX(0.1,Skills!D7-IF(Skills!E6=TRUE,Inputs!$B$31,0))))+1),0)</f>
        <v/>
      </c>
      <c r="V695">
        <f>IFERROR(1/IF(Inputs!$B$4="pvp",15,MAX(0.1,Skills!D7-IF(Skills!E6=TRUE,Inputs!$B$31,0))),0)</f>
        <v/>
      </c>
    </row>
    <row r="696">
      <c r="A696">
        <f>Skills!A8</f>
        <v/>
      </c>
      <c r="B696">
        <f>Skills!B8</f>
        <v/>
      </c>
      <c r="C696">
        <f>Inputs!$B$3&gt;=105</f>
        <v/>
      </c>
      <c r="D696">
        <f>IF(Skills!C8=1,60+Inputs!$B$24+Inputs!$B$28,IF(Skills!C8=2,90+(Inputs!$B$25+1)+Inputs!$B$28,IF(Skills!C8=3,120+Inputs!$B$26+Inputs!$B$28,MAX(0,(Inputs!$B$3-100)*3)+Inputs!$B$27+Inputs!$B$28)))</f>
        <v/>
      </c>
      <c r="E696">
        <f>INDEX(FactorTable!$B$2:$Y$301, MATCH(ROUND(MIN(300,MAX(1,D696)),0), FactorTable!$A$2:$A$301,0), Skills!L8+1)</f>
        <v/>
      </c>
      <c r="F696">
        <f>IF(Skills!M8=TRUE,(Skills!K8/10)*(E696/1000),Skills!K8/10)+Skills!N8</f>
        <v/>
      </c>
      <c r="G696">
        <f>Calc!G8</f>
        <v/>
      </c>
      <c r="H696">
        <f>Calc!H8</f>
        <v/>
      </c>
      <c r="I696">
        <f>IF(Skills!T8&lt;&gt;"",1+(Skills!T8/10)*($Z$3/1000)/100,1)</f>
        <v/>
      </c>
      <c r="J696">
        <f>((Inputs!$B$5*(1+Inputs!$B$6/100))+((Inputs!$B$11*(1+Inputs!$B$12/100))-(Inputs!$B$11*(1+Inputs!$B$12/100)))*(1+Inputs!$B$6/100))*(F696/100)</f>
        <v/>
      </c>
      <c r="K696">
        <f>J696*(1+((Inputs!$B$11*(1+Inputs!$B$12/100))*0.01+Inputs!$B$13*0.0025)/100)*(1+(Inputs!$B$14+B719)/100)*(1+IF(Inputs!$B$4="pvp",0,(1-Summary!$B$48)*(Inputs!$B$19+Skills!O8+B717)+Summary!$B$48*(Inputs!$B$20+Skills!P8+B718))/100)*(1+Inputs!$B$15/100)*(5000/(6000+Inputs!$B$7*(1-Inputs!$B$18/100)))*(1+Inputs!$B$23/100)*(1+IF(C705=TRUE,F705,0)/100)*(1+IF(C707=TRUE,F707,0)/100)*(1+IF(Skills!A8="TRIUMPH_FEATHER",IF(C703=TRUE,F703,0),0)/100)*(1+IF(C714=TRUE,F714,0)/100)^5*(1+(IF(Skills!A8="BIG_BANG",Inputs!$B$16,Inputs!$B$17))/100)*(B716*I696)</f>
        <v/>
      </c>
      <c r="L696">
        <f>K696*(MIN(Inputs!$B$21+(F709-Calc!F21),Inputs!$B$22)/100+Inputs!$B$22/100)/2</f>
        <v/>
      </c>
      <c r="M696">
        <f>L696*(1+(Inputs!$B$9+B720+(F712-Calc!F24))/100)</f>
        <v/>
      </c>
      <c r="N696">
        <f>L696*(1-MIN(Inputs!$B$8+((F711-Calc!F23)+(F710-Calc!F22)),100)/100)+M696*(MIN(Inputs!$B$8+((F711-Calc!F23)+(F710-Calc!F22)),100)/100)</f>
        <v/>
      </c>
      <c r="O696">
        <f>IF(C696,H696*N696*IF(AND(Inputs!$B$4&lt;&gt;"pvp",Inputs!$B$35&gt;0),((Skills!F8*((S696-1)*IF(Skills!G8&gt;0,Skills!H8/Skills!G8,1)+IF(Skills!G8&gt;0,MIN(Skills!H8,MAX(0,Inputs!$B$35-((S696-1)*IF(Inputs!$B$4="pvp",15,MAX(0.1,Skills!D8-IF(Skills!E8=TRUE,Inputs!$B$31,0))))))/Skills!G8,1)))/Inputs!$B$35),G696*V696)*IF(Inputs!$B$4="pvp",1,(1-Summary!$B$48)*(1)+Summary!$B$48*(MIN(Skills!Q8,Inputs!$B$37))),0)</f>
        <v/>
      </c>
      <c r="P696">
        <f>IF(B726=0,0,O696/B726)</f>
        <v/>
      </c>
      <c r="S696">
        <f>IF(AND(Inputs!$B$4&lt;&gt;"pvp",Inputs!$B$35&gt;0),(INT(Inputs!$B$35/IF(Inputs!$B$4="pvp",15,MAX(0.1,Skills!D8-IF(Skills!E8=TRUE,Inputs!$B$31,0))))+1),0)</f>
        <v/>
      </c>
      <c r="V696">
        <f>IFERROR(1/IF(Inputs!$B$4="pvp",15,MAX(0.1,Skills!D8-IF(Skills!E8=TRUE,Inputs!$B$31,0))),0)</f>
        <v/>
      </c>
    </row>
    <row r="697">
      <c r="A697">
        <f>Skills!A9</f>
        <v/>
      </c>
      <c r="B697">
        <f>Skills!B9</f>
        <v/>
      </c>
      <c r="C697">
        <f>Inputs!$B$3&gt;=115</f>
        <v/>
      </c>
      <c r="D697">
        <f>IF(Skills!C9=1,60+Inputs!$B$24+Inputs!$B$28,IF(Skills!C9=2,90+(Inputs!$B$25+1)+Inputs!$B$28,IF(Skills!C9=3,120+Inputs!$B$26+Inputs!$B$28,MAX(0,(Inputs!$B$3-100)*3)+Inputs!$B$27+Inputs!$B$28)))</f>
        <v/>
      </c>
      <c r="E697">
        <f>INDEX(FactorTable!$B$2:$Y$301, MATCH(ROUND(MIN(300,MAX(1,D697)),0), FactorTable!$A$2:$A$301,0), Skills!L9+1)</f>
        <v/>
      </c>
      <c r="F697">
        <f>IF(Skills!M9=TRUE,(Skills!K9/10)*(E697/1000),Skills!K9/10)+Skills!N9</f>
        <v/>
      </c>
      <c r="G697">
        <f>Calc!G9</f>
        <v/>
      </c>
      <c r="H697">
        <f>Calc!H9</f>
        <v/>
      </c>
      <c r="I697">
        <f>IF(Skills!T9&lt;&gt;"",1+(Skills!T9/10)*($Z$3/1000)/100,1)</f>
        <v/>
      </c>
      <c r="J697">
        <f>((Inputs!$B$5*(1+Inputs!$B$6/100))+((Inputs!$B$11*(1+Inputs!$B$12/100))-(Inputs!$B$11*(1+Inputs!$B$12/100)))*(1+Inputs!$B$6/100))*(F697/100)</f>
        <v/>
      </c>
      <c r="K697">
        <f>J697*(1+((Inputs!$B$11*(1+Inputs!$B$12/100))*0.01+Inputs!$B$13*0.0025)/100)*(1+(Inputs!$B$14+B719)/100)*(1+IF(Inputs!$B$4="pvp",0,(1-Summary!$B$48)*(Inputs!$B$19+Skills!O9+B717)+Summary!$B$48*(Inputs!$B$20+Skills!P9+B718))/100)*(1+Inputs!$B$15/100)*(5000/(6000+Inputs!$B$7*(1-Inputs!$B$18/100)))*(1+Inputs!$B$23/100)*(1+IF(C705=TRUE,F705,0)/100)*(1+IF(C707=TRUE,F707,0)/100)*(1+IF(Skills!A9="TRIUMPH_FEATHER",IF(C703=TRUE,F703,0),0)/100)*(1+IF(C714=TRUE,F714,0)/100)^5*(1+(IF(Skills!A9="BIG_BANG",Inputs!$B$16,Inputs!$B$17))/100)*(B716*I697)</f>
        <v/>
      </c>
      <c r="L697">
        <f>K697*(MIN(Inputs!$B$21+(F709-Calc!F21),Inputs!$B$22)/100+Inputs!$B$22/100)/2</f>
        <v/>
      </c>
      <c r="M697">
        <f>L697*(1+(Inputs!$B$9+B720+(F712-Calc!F24))/100)</f>
        <v/>
      </c>
      <c r="N697">
        <f>L697*(1-MIN(Inputs!$B$8+((F711-Calc!F23)+(F710-Calc!F22)),100)/100)+M697*(MIN(Inputs!$B$8+((F711-Calc!F23)+(F710-Calc!F22)),100)/100)</f>
        <v/>
      </c>
      <c r="O697">
        <f>IF(C697,H697*N697*IF(AND(Inputs!$B$4&lt;&gt;"pvp",Inputs!$B$35&gt;0),((Skills!F9*((S697-1)*IF(Skills!G9&gt;0,Skills!H9/Skills!G9,1)+IF(Skills!G9&gt;0,MIN(Skills!H9,MAX(0,Inputs!$B$35-((S697-1)*IF(Inputs!$B$4="pvp",15,MAX(0.1,Skills!D9-IF(Skills!E9=TRUE,Inputs!$B$31,0))))))/Skills!G9,1)))/Inputs!$B$35),G697*V697)*IF(Inputs!$B$4="pvp",1,(1-Summary!$B$48)*(1)+Summary!$B$48*(MIN(Skills!Q9,Inputs!$B$37))),0)</f>
        <v/>
      </c>
      <c r="P697">
        <f>IF(B726=0,0,O697/B726)</f>
        <v/>
      </c>
      <c r="S697">
        <f>IF(AND(Inputs!$B$4&lt;&gt;"pvp",Inputs!$B$35&gt;0),(INT(Inputs!$B$35/IF(Inputs!$B$4="pvp",15,MAX(0.1,Skills!D9-IF(Skills!E9=TRUE,Inputs!$B$31,0))))+1),0)</f>
        <v/>
      </c>
      <c r="V697">
        <f>IFERROR(1/IF(Inputs!$B$4="pvp",15,MAX(0.1,Skills!D9-IF(Skills!E9=TRUE,Inputs!$B$31,0))),0)</f>
        <v/>
      </c>
    </row>
    <row r="698">
      <c r="A698">
        <f>Skills!A10</f>
        <v/>
      </c>
      <c r="B698">
        <f>Skills!B10</f>
        <v/>
      </c>
      <c r="C698">
        <f>Inputs!$B$3&gt;=66</f>
        <v/>
      </c>
      <c r="D698">
        <f>IF(Skills!C10=1,60+Inputs!$B$24+Inputs!$B$28,IF(Skills!C10=2,90+(Inputs!$B$25+1)+Inputs!$B$28,IF(Skills!C10=3,120+Inputs!$B$26+Inputs!$B$28,MAX(0,(Inputs!$B$3-100)*3)+Inputs!$B$27+Inputs!$B$28)))</f>
        <v/>
      </c>
      <c r="E698">
        <f>INDEX(FactorTable!$B$2:$Y$301, MATCH(ROUND(MIN(300,MAX(1,D698)),0), FactorTable!$A$2:$A$301,0), Skills!L10+1)</f>
        <v/>
      </c>
      <c r="F698" t="n">
        <v>0</v>
      </c>
      <c r="G698">
        <f>Calc!G10</f>
        <v/>
      </c>
      <c r="H698">
        <f>Calc!H10</f>
        <v/>
      </c>
      <c r="I698">
        <f>IF(Skills!T10&lt;&gt;"",1+(Skills!T10/10)*($Z$3/1000)/100,1)</f>
        <v/>
      </c>
      <c r="J698" t="inlineStr"/>
      <c r="K698" t="inlineStr"/>
      <c r="L698" t="inlineStr"/>
      <c r="M698" t="inlineStr"/>
      <c r="N698" t="inlineStr"/>
      <c r="O698" t="n">
        <v>0</v>
      </c>
      <c r="P698">
        <f>IF(B726=0,0,O698/B726)</f>
        <v/>
      </c>
      <c r="S698">
        <f>IF(AND(Inputs!$B$4&lt;&gt;"pvp",Inputs!$B$35&gt;0),(INT(Inputs!$B$35/IF(Inputs!$B$4="pvp",15,MAX(0.1,Skills!D10-IF(Skills!E10=TRUE,Inputs!$B$31,0))))+1),0)</f>
        <v/>
      </c>
      <c r="V698">
        <f>IFERROR(1/IF(Inputs!$B$4="pvp",15,MAX(0.1,Skills!D10-IF(Skills!E10=TRUE,Inputs!$B$31,0))),0)</f>
        <v/>
      </c>
    </row>
    <row r="699">
      <c r="A699">
        <f>Skills!A11</f>
        <v/>
      </c>
      <c r="B699">
        <f>Skills!B11</f>
        <v/>
      </c>
      <c r="C699">
        <f>Inputs!$B$3&gt;=69</f>
        <v/>
      </c>
      <c r="D699">
        <f>IF(Skills!C11=1,60+Inputs!$B$24+Inputs!$B$28,IF(Skills!C11=2,90+(Inputs!$B$25+1)+Inputs!$B$28,IF(Skills!C11=3,120+Inputs!$B$26+Inputs!$B$28,MAX(0,(Inputs!$B$3-100)*3)+Inputs!$B$27+Inputs!$B$28)))</f>
        <v/>
      </c>
      <c r="E699">
        <f>INDEX(FactorTable!$B$2:$Y$301, MATCH(ROUND(MIN(300,MAX(1,D699)),0), FactorTable!$A$2:$A$301,0), Skills!L11+1)</f>
        <v/>
      </c>
      <c r="F699">
        <f>IF(Skills!M11=TRUE,(Skills!K11/10)*(E699/1000),Skills!K11/10)+Skills!N11</f>
        <v/>
      </c>
      <c r="G699">
        <f>Calc!G11</f>
        <v/>
      </c>
      <c r="H699">
        <f>Calc!H11</f>
        <v/>
      </c>
      <c r="I699">
        <f>IF(Skills!T11&lt;&gt;"",1+(Skills!T11/10)*($Z$3/1000)/100,1)</f>
        <v/>
      </c>
      <c r="J699" t="inlineStr"/>
      <c r="K699" t="inlineStr"/>
      <c r="L699" t="inlineStr"/>
      <c r="M699" t="inlineStr"/>
      <c r="N699" t="inlineStr"/>
      <c r="O699" t="n">
        <v>0</v>
      </c>
      <c r="P699">
        <f>IF(B726=0,0,O699/B726)</f>
        <v/>
      </c>
      <c r="S699">
        <f>IF(AND(Inputs!$B$4&lt;&gt;"pvp",Inputs!$B$35&gt;0),(INT(Inputs!$B$35/IF(Inputs!$B$4="pvp",15,MAX(0.1,Skills!D11-IF(Skills!E11=TRUE,Inputs!$B$31,0))))+1),0)</f>
        <v/>
      </c>
      <c r="V699">
        <f>IFERROR(1/IF(Inputs!$B$4="pvp",15,MAX(0.1,Skills!D11-IF(Skills!E11=TRUE,Inputs!$B$31,0))),0)</f>
        <v/>
      </c>
    </row>
    <row r="700">
      <c r="A700">
        <f>Skills!A12</f>
        <v/>
      </c>
      <c r="B700">
        <f>Skills!B12</f>
        <v/>
      </c>
      <c r="C700">
        <f>Inputs!$B$3&gt;=72</f>
        <v/>
      </c>
      <c r="D700">
        <f>IF(Skills!C12=1,60+Inputs!$B$24+Inputs!$B$28,IF(Skills!C12=2,90+(Inputs!$B$25+1)+Inputs!$B$28,IF(Skills!C12=3,120+Inputs!$B$26+Inputs!$B$28,MAX(0,(Inputs!$B$3-100)*3)+Inputs!$B$27+Inputs!$B$28)))</f>
        <v/>
      </c>
      <c r="E700">
        <f>INDEX(FactorTable!$B$2:$Y$301, MATCH(ROUND(MIN(300,MAX(1,D700)),0), FactorTable!$A$2:$A$301,0), Skills!L12+1)</f>
        <v/>
      </c>
      <c r="F700">
        <f>IF(Skills!M12=TRUE,(Skills!K12/10)*(E700/1000),Skills!K12/10)+Skills!N12</f>
        <v/>
      </c>
      <c r="G700">
        <f>Calc!G12</f>
        <v/>
      </c>
      <c r="H700">
        <f>Calc!H12</f>
        <v/>
      </c>
      <c r="I700">
        <f>IF(Skills!T12&lt;&gt;"",1+(Skills!T12/10)*($Z$3/1000)/100,1)</f>
        <v/>
      </c>
      <c r="J700" t="inlineStr"/>
      <c r="K700" t="inlineStr"/>
      <c r="L700" t="inlineStr"/>
      <c r="M700" t="inlineStr"/>
      <c r="N700" t="inlineStr"/>
      <c r="O700" t="n">
        <v>0</v>
      </c>
      <c r="P700">
        <f>IF(B726=0,0,O700/B726)</f>
        <v/>
      </c>
      <c r="S700">
        <f>IF(AND(Inputs!$B$4&lt;&gt;"pvp",Inputs!$B$35&gt;0),(INT(Inputs!$B$35/IF(Inputs!$B$4="pvp",15,MAX(0.1,Skills!D12-IF(Skills!E12=TRUE,Inputs!$B$31,0))))+1),0)</f>
        <v/>
      </c>
      <c r="V700">
        <f>IFERROR(1/IF(Inputs!$B$4="pvp",15,MAX(0.1,Skills!D12-IF(Skills!E12=TRUE,Inputs!$B$31,0))),0)</f>
        <v/>
      </c>
    </row>
    <row r="701">
      <c r="A701">
        <f>Skills!A13</f>
        <v/>
      </c>
      <c r="B701">
        <f>Skills!B13</f>
        <v/>
      </c>
      <c r="C701">
        <f>Inputs!$B$3&gt;=107</f>
        <v/>
      </c>
      <c r="D701">
        <f>IF(Skills!C13=1,60+Inputs!$B$24+Inputs!$B$28,IF(Skills!C13=2,90+(Inputs!$B$25+1)+Inputs!$B$28,IF(Skills!C13=3,120+Inputs!$B$26+Inputs!$B$28,MAX(0,(Inputs!$B$3-100)*3)+Inputs!$B$27+Inputs!$B$28)))</f>
        <v/>
      </c>
      <c r="E701">
        <f>INDEX(FactorTable!$B$2:$Y$301, MATCH(ROUND(MIN(300,MAX(1,D701)),0), FactorTable!$A$2:$A$301,0), Skills!L13+1)</f>
        <v/>
      </c>
      <c r="F701">
        <f>IF(Skills!M13=TRUE,(Skills!K13/10)*(E701/1000),Skills!K13/10)+Skills!N13</f>
        <v/>
      </c>
      <c r="G701">
        <f>Calc!G13</f>
        <v/>
      </c>
      <c r="H701">
        <f>Calc!H13</f>
        <v/>
      </c>
      <c r="I701">
        <f>IF(Skills!T13&lt;&gt;"",1+(Skills!T13/10)*($Z$3/1000)/100,1)</f>
        <v/>
      </c>
      <c r="J701" t="inlineStr"/>
      <c r="K701" t="inlineStr"/>
      <c r="L701" t="inlineStr"/>
      <c r="M701" t="inlineStr"/>
      <c r="N701" t="inlineStr"/>
      <c r="O701" t="n">
        <v>0</v>
      </c>
      <c r="P701">
        <f>IF(B726=0,0,O701/B726)</f>
        <v/>
      </c>
      <c r="S701">
        <f>IF(AND(Inputs!$B$4&lt;&gt;"pvp",Inputs!$B$35&gt;0),(INT(Inputs!$B$35/IF(Inputs!$B$4="pvp",15,MAX(0.1,Skills!D13-IF(Skills!E13=TRUE,Inputs!$B$31,0))))+1),0)</f>
        <v/>
      </c>
      <c r="V701">
        <f>IFERROR(1/IF(Inputs!$B$4="pvp",15,MAX(0.1,Skills!D13-IF(Skills!E13=TRUE,Inputs!$B$31,0))),0)</f>
        <v/>
      </c>
    </row>
    <row r="702">
      <c r="A702">
        <f>Skills!A14</f>
        <v/>
      </c>
      <c r="B702">
        <f>Skills!B14</f>
        <v/>
      </c>
      <c r="C702">
        <f>Inputs!$B$3&gt;=63</f>
        <v/>
      </c>
      <c r="D702">
        <f>IF(Skills!C14=1,60+Inputs!$B$24+Inputs!$B$28,IF(Skills!C14=2,90+(Inputs!$B$25+1)+Inputs!$B$28,IF(Skills!C14=3,120+Inputs!$B$26+Inputs!$B$28,MAX(0,(Inputs!$B$3-100)*3)+Inputs!$B$27+Inputs!$B$28)))</f>
        <v/>
      </c>
      <c r="E702">
        <f>INDEX(FactorTable!$B$2:$Y$301, MATCH(ROUND(MIN(300,MAX(1,D702)),0), FactorTable!$A$2:$A$301,0), Skills!L14+1)</f>
        <v/>
      </c>
      <c r="F702">
        <f>IF(Skills!M14=TRUE,(Skills!K14/10)*(E702/1000),Skills!K14/10)+Skills!N14</f>
        <v/>
      </c>
      <c r="G702">
        <f>Calc!G14</f>
        <v/>
      </c>
      <c r="H702">
        <f>Calc!H14</f>
        <v/>
      </c>
      <c r="I702">
        <f>IF(Skills!T14&lt;&gt;"",1+(Skills!T14/10)*($Z$3/1000)/100,1)</f>
        <v/>
      </c>
      <c r="J702">
        <f>((Inputs!$B$5*(1+Inputs!$B$6/100))+((Inputs!$B$11*(1+Inputs!$B$12/100))-(Inputs!$B$11*(1+Inputs!$B$12/100)))*(1+Inputs!$B$6/100))*(F702/100)</f>
        <v/>
      </c>
      <c r="K702">
        <f>J702*(1+((Inputs!$B$11*(1+Inputs!$B$12/100))*0.01+Inputs!$B$13*0.0025)/100)*(1+(Inputs!$B$14+B719)/100)*(1+IF(Inputs!$B$4="pvp",0,(1-Summary!$B$48)*(Inputs!$B$19+Skills!O14+B717)+Summary!$B$48*(Inputs!$B$20+Skills!P14+B718))/100)*(1+Inputs!$B$15/100)*(5000/(6000+Inputs!$B$7*(1-Inputs!$B$18/100)))*(1+Inputs!$B$23/100)*(1+IF(C705=TRUE,F705,0)/100)*(1+IF(C707=TRUE,F707,0)/100)*(1+IF(Skills!A14="TRIUMPH_FEATHER",IF(C703=TRUE,F703,0),0)/100)*(1+IF(C714=TRUE,F714,0)/100)^5*(1+(IF(Skills!A14="BIG_BANG",Inputs!$B$16,Inputs!$B$17))/100)*(B716*I702)</f>
        <v/>
      </c>
      <c r="L702">
        <f>K702*(MIN(Inputs!$B$21+(F709-Calc!F21),Inputs!$B$22)/100+Inputs!$B$22/100)/2</f>
        <v/>
      </c>
      <c r="M702">
        <f>L702*(1+(Inputs!$B$9+B720+(F712-Calc!F24))/100)</f>
        <v/>
      </c>
      <c r="N702">
        <f>L702*(1-MIN(Inputs!$B$8+((F711-Calc!F23)+(F710-Calc!F22)),100)/100)+M702*(MIN(Inputs!$B$8+((F711-Calc!F23)+(F710-Calc!F22)),100)/100)</f>
        <v/>
      </c>
      <c r="O702">
        <f>IF(C702,Skills!F14*N702*((IF(Inputs!$B$3&gt;=78,25,15)/100*B722*10)/(1+IF(Inputs!$B$3&gt;=78,25,15)/100*B722*10))*(Skills!I14/100*B722)/(1+Skills!G14*Skills!I14/100*B722)*IF(Inputs!$B$4="pvp",1,(1-Summary!$B$48)*(1)+Summary!$B$48*(MIN(Skills!Q14,Inputs!$B$37))),0)</f>
        <v/>
      </c>
      <c r="P702">
        <f>IF(B726=0,0,O702/B726)</f>
        <v/>
      </c>
      <c r="S702" t="n">
        <v>0</v>
      </c>
      <c r="V702">
        <f>IFERROR(1/IF(Inputs!$B$4="pvp",15,MAX(0.1,Skills!D14-IF(Skills!E14=TRUE,Inputs!$B$31,0))),0)</f>
        <v/>
      </c>
    </row>
    <row r="703">
      <c r="A703">
        <f>Skills!A15</f>
        <v/>
      </c>
      <c r="B703">
        <f>Skills!B15</f>
        <v/>
      </c>
      <c r="C703">
        <f>Inputs!$B$3&gt;=100</f>
        <v/>
      </c>
      <c r="D703">
        <f>IF(Skills!C15=1,60+Inputs!$B$24+Inputs!$B$28,IF(Skills!C15=2,90+(Inputs!$B$25+1)+Inputs!$B$28,IF(Skills!C15=3,120+Inputs!$B$26+Inputs!$B$28,MAX(0,(Inputs!$B$3-100)*3)+Inputs!$B$27+Inputs!$B$28)))</f>
        <v/>
      </c>
      <c r="E703">
        <f>INDEX(FactorTable!$B$2:$Y$301, MATCH(ROUND(MIN(300,MAX(1,D703)),0), FactorTable!$A$2:$A$301,0), Skills!L15+1)</f>
        <v/>
      </c>
      <c r="F703">
        <f>IF(Skills!M15=TRUE,(Skills!K15/10)*(E703/1000),Skills!K15/10)+Skills!N15</f>
        <v/>
      </c>
      <c r="G703">
        <f>Calc!G15</f>
        <v/>
      </c>
      <c r="H703">
        <f>Calc!H15</f>
        <v/>
      </c>
      <c r="I703">
        <f>IF(Skills!T15&lt;&gt;"",1+(Skills!T15/10)*($Z$3/1000)/100,1)</f>
        <v/>
      </c>
      <c r="J703" t="inlineStr"/>
      <c r="K703" t="inlineStr"/>
      <c r="L703" t="inlineStr"/>
      <c r="M703" t="inlineStr"/>
      <c r="N703" t="inlineStr"/>
      <c r="O703" t="n">
        <v>0</v>
      </c>
      <c r="P703">
        <f>IF(B726=0,0,O703/B726)</f>
        <v/>
      </c>
      <c r="S703" t="n">
        <v>0</v>
      </c>
      <c r="V703">
        <f>IFERROR(1/IF(Inputs!$B$4="pvp",15,MAX(0.1,Skills!D15-IF(Skills!E15=TRUE,Inputs!$B$31,0))),0)</f>
        <v/>
      </c>
    </row>
    <row r="704">
      <c r="A704">
        <f>Skills!A16</f>
        <v/>
      </c>
      <c r="B704">
        <f>Skills!B16</f>
        <v/>
      </c>
      <c r="C704">
        <f>Inputs!$B$3&gt;=49</f>
        <v/>
      </c>
      <c r="D704">
        <f>IF(Skills!C16=1,60+Inputs!$B$24+Inputs!$B$28,IF(Skills!C16=2,90+(Inputs!$B$25+1)+Inputs!$B$28,IF(Skills!C16=3,120+Inputs!$B$26+Inputs!$B$28,MAX(0,(Inputs!$B$3-100)*3)+Inputs!$B$27+Inputs!$B$28)))</f>
        <v/>
      </c>
      <c r="E704">
        <f>INDEX(FactorTable!$B$2:$Y$301, MATCH(ROUND(MIN(300,MAX(1,D704)),0), FactorTable!$A$2:$A$301,0), Skills!L16+1)</f>
        <v/>
      </c>
      <c r="F704">
        <f>IF(Skills!M16=TRUE,(Skills!K16/10)*(E704/1000),Skills!K16/10)+Skills!N16</f>
        <v/>
      </c>
      <c r="G704">
        <f>Calc!G16</f>
        <v/>
      </c>
      <c r="H704">
        <f>Calc!H16</f>
        <v/>
      </c>
      <c r="I704">
        <f>IF(Skills!T16&lt;&gt;"",1+(Skills!T16/10)*($Z$3/1000)/100,1)</f>
        <v/>
      </c>
      <c r="J704" t="inlineStr"/>
      <c r="K704" t="inlineStr"/>
      <c r="L704" t="inlineStr"/>
      <c r="M704" t="inlineStr"/>
      <c r="N704" t="inlineStr"/>
      <c r="O704" t="n">
        <v>0</v>
      </c>
      <c r="P704">
        <f>IF(B726=0,0,O704/B726)</f>
        <v/>
      </c>
      <c r="S704" t="n">
        <v>0</v>
      </c>
      <c r="V704">
        <f>IFERROR(1/IF(Inputs!$B$4="pvp",15,MAX(0.1,Skills!D16-IF(Skills!E16=TRUE,Inputs!$B$31,0))),0)</f>
        <v/>
      </c>
    </row>
    <row r="705">
      <c r="A705">
        <f>Skills!A17</f>
        <v/>
      </c>
      <c r="B705">
        <f>Skills!B17</f>
        <v/>
      </c>
      <c r="C705">
        <f>Inputs!$B$3&gt;=75</f>
        <v/>
      </c>
      <c r="D705">
        <f>IF(Skills!C17=1,60+Inputs!$B$24+Inputs!$B$28,IF(Skills!C17=2,90+(Inputs!$B$25+1)+Inputs!$B$28,IF(Skills!C17=3,120+Inputs!$B$26+Inputs!$B$28,MAX(0,(Inputs!$B$3-100)*3)+Inputs!$B$27+Inputs!$B$28)))</f>
        <v/>
      </c>
      <c r="E705">
        <f>INDEX(FactorTable!$B$2:$Y$301, MATCH(ROUND(MIN(300,MAX(1,D705)),0), FactorTable!$A$2:$A$301,0), Skills!L17+1)</f>
        <v/>
      </c>
      <c r="F705">
        <f>IF(Skills!M17=TRUE,(Skills!K17/10)*(E705/1000),Skills!K17/10)+Skills!N17</f>
        <v/>
      </c>
      <c r="G705">
        <f>Calc!G17</f>
        <v/>
      </c>
      <c r="H705">
        <f>Calc!H17</f>
        <v/>
      </c>
      <c r="I705">
        <f>IF(Skills!T17&lt;&gt;"",1+(Skills!T17/10)*($Z$3/1000)/100,1)</f>
        <v/>
      </c>
      <c r="J705" t="inlineStr"/>
      <c r="K705" t="inlineStr"/>
      <c r="L705" t="inlineStr"/>
      <c r="M705" t="inlineStr"/>
      <c r="N705" t="inlineStr"/>
      <c r="O705" t="n">
        <v>0</v>
      </c>
      <c r="P705">
        <f>IF(B726=0,0,O705/B726)</f>
        <v/>
      </c>
      <c r="S705" t="n">
        <v>0</v>
      </c>
      <c r="V705">
        <f>IFERROR(1/IF(Inputs!$B$4="pvp",15,MAX(0.1,Skills!D17-IF(Skills!E17=TRUE,Inputs!$B$31,0))),0)</f>
        <v/>
      </c>
    </row>
    <row r="706">
      <c r="A706">
        <f>Skills!A18</f>
        <v/>
      </c>
      <c r="B706">
        <f>Skills!B18</f>
        <v/>
      </c>
      <c r="C706">
        <f>Inputs!$B$3&gt;=110</f>
        <v/>
      </c>
      <c r="D706">
        <f>IF(Skills!C18=1,60+Inputs!$B$24+Inputs!$B$28,IF(Skills!C18=2,90+(Inputs!$B$25+1)+Inputs!$B$28,IF(Skills!C18=3,120+Inputs!$B$26+Inputs!$B$28,MAX(0,(Inputs!$B$3-100)*3)+Inputs!$B$27+Inputs!$B$28)))</f>
        <v/>
      </c>
      <c r="E706">
        <f>INDEX(FactorTable!$B$2:$Y$301, MATCH(ROUND(MIN(300,MAX(1,D706)),0), FactorTable!$A$2:$A$301,0), Skills!L18+1)</f>
        <v/>
      </c>
      <c r="F706">
        <f>(Skills!K18/10)*(E706/1000)*64/45+Skills!N18</f>
        <v/>
      </c>
      <c r="G706">
        <f>Calc!G18</f>
        <v/>
      </c>
      <c r="H706">
        <f>Calc!H18</f>
        <v/>
      </c>
      <c r="I706">
        <f>IF(Skills!T18&lt;&gt;"",1+(Skills!T18/10)*($Z$3/1000)/100,1)</f>
        <v/>
      </c>
      <c r="J706" t="inlineStr"/>
      <c r="K706" t="inlineStr"/>
      <c r="L706" t="inlineStr"/>
      <c r="M706" t="inlineStr"/>
      <c r="N706" t="inlineStr"/>
      <c r="O706" t="n">
        <v>0</v>
      </c>
      <c r="P706">
        <f>IF(B726=0,0,O706/B726)</f>
        <v/>
      </c>
      <c r="S706">
        <f>IF(AND(Inputs!$B$4&lt;&gt;"pvp",Inputs!$B$35&gt;0),(INT(Inputs!$B$35/IF(Inputs!$B$4="pvp",15,MAX(0.1,Skills!D18-IF(Skills!E18=TRUE,Inputs!$B$31,0))))+1),0)</f>
        <v/>
      </c>
      <c r="V706">
        <f>IFERROR(1/IF(Inputs!$B$4="pvp",15,MAX(0.1,Skills!D18-IF(Skills!E18=TRUE,Inputs!$B$31,0))),0)</f>
        <v/>
      </c>
    </row>
    <row r="707">
      <c r="A707">
        <f>Skills!A19</f>
        <v/>
      </c>
      <c r="B707">
        <f>Skills!B19</f>
        <v/>
      </c>
      <c r="C707">
        <f>Inputs!$B$3&gt;=125</f>
        <v/>
      </c>
      <c r="D707">
        <f>IF(Skills!C19=1,60+Inputs!$B$24+Inputs!$B$28,IF(Skills!C19=2,90+(Inputs!$B$25+1)+Inputs!$B$28,IF(Skills!C19=3,120+Inputs!$B$26+Inputs!$B$28,MAX(0,(Inputs!$B$3-100)*3)+Inputs!$B$27+Inputs!$B$28)))</f>
        <v/>
      </c>
      <c r="E707">
        <f>INDEX(FactorTable!$B$2:$Y$301, MATCH(ROUND(MIN(300,MAX(1,D707)),0), FactorTable!$A$2:$A$301,0), Skills!L19+1)</f>
        <v/>
      </c>
      <c r="F707">
        <f>IF(Skills!M19=TRUE,(Skills!K19/10)*(E707/1000),Skills!K19/10)+Skills!N19</f>
        <v/>
      </c>
      <c r="G707">
        <f>Calc!G19</f>
        <v/>
      </c>
      <c r="H707">
        <f>Calc!H19</f>
        <v/>
      </c>
      <c r="I707">
        <f>IF(Skills!T19&lt;&gt;"",1+(Skills!T19/10)*($Z$3/1000)/100,1)</f>
        <v/>
      </c>
      <c r="J707" t="inlineStr"/>
      <c r="K707" t="inlineStr"/>
      <c r="L707" t="inlineStr"/>
      <c r="M707" t="inlineStr"/>
      <c r="N707" t="inlineStr"/>
      <c r="O707" t="n">
        <v>0</v>
      </c>
      <c r="P707">
        <f>IF(B726=0,0,O707/B726)</f>
        <v/>
      </c>
      <c r="S707" t="n">
        <v>0</v>
      </c>
      <c r="V707">
        <f>IFERROR(1/IF(Inputs!$B$4="pvp",15,MAX(0.1,Skills!D19-IF(Skills!E19=TRUE,Inputs!$B$31,0))),0)</f>
        <v/>
      </c>
    </row>
    <row r="708">
      <c r="A708">
        <f>Skills!A20</f>
        <v/>
      </c>
      <c r="B708">
        <f>Skills!B20</f>
        <v/>
      </c>
      <c r="C708">
        <f>Inputs!$B$3&gt;=33</f>
        <v/>
      </c>
      <c r="D708">
        <f>IF(Skills!C20=1,60+Inputs!$B$24+Inputs!$B$28,IF(Skills!C20=2,90+(Inputs!$B$25+1)+Inputs!$B$28,IF(Skills!C20=3,120+Inputs!$B$26+Inputs!$B$28,MAX(0,(Inputs!$B$3-100)*3)+Inputs!$B$27+Inputs!$B$28)))</f>
        <v/>
      </c>
      <c r="E708">
        <f>INDEX(FactorTable!$B$2:$Y$301, MATCH(ROUND(MIN(300,MAX(1,D708)),0), FactorTable!$A$2:$A$301,0), Skills!L20+1)</f>
        <v/>
      </c>
      <c r="F708">
        <f>IF(Skills!M20=TRUE,(Skills!K20/10)*(E708/1000),Skills!K20/10)+Skills!N20</f>
        <v/>
      </c>
      <c r="G708">
        <f>Calc!G20</f>
        <v/>
      </c>
      <c r="H708">
        <f>Calc!H20</f>
        <v/>
      </c>
      <c r="I708">
        <f>IF(Skills!T20&lt;&gt;"",1+(Skills!T20/10)*($Z$3/1000)/100,1)</f>
        <v/>
      </c>
      <c r="J708" t="inlineStr"/>
      <c r="K708" t="inlineStr"/>
      <c r="L708" t="inlineStr"/>
      <c r="M708" t="inlineStr"/>
      <c r="N708" t="inlineStr"/>
      <c r="O708" t="n">
        <v>0</v>
      </c>
      <c r="P708">
        <f>IF(B726=0,0,O708/B726)</f>
        <v/>
      </c>
      <c r="S708" t="n">
        <v>0</v>
      </c>
      <c r="V708">
        <f>IFERROR(1/IF(Inputs!$B$4="pvp",15,MAX(0.1,Skills!D20-IF(Skills!E20=TRUE,Inputs!$B$31,0))),0)</f>
        <v/>
      </c>
    </row>
    <row r="709">
      <c r="A709">
        <f>Skills!A21</f>
        <v/>
      </c>
      <c r="B709">
        <f>Skills!B21</f>
        <v/>
      </c>
      <c r="C709">
        <f>Inputs!$B$3&gt;=43</f>
        <v/>
      </c>
      <c r="D709">
        <f>IF(Skills!C21=1,60+Inputs!$B$24+Inputs!$B$28,IF(Skills!C21=2,90+(Inputs!$B$25+1)+Inputs!$B$28,IF(Skills!C21=3,120+Inputs!$B$26+Inputs!$B$28,MAX(0,(Inputs!$B$3-100)*3)+Inputs!$B$27+Inputs!$B$28)))</f>
        <v/>
      </c>
      <c r="E709">
        <f>INDEX(FactorTable!$B$2:$Y$301, MATCH(ROUND(MIN(300,MAX(1,D709)),0), FactorTable!$A$2:$A$301,0), Skills!L21+1)</f>
        <v/>
      </c>
      <c r="F709">
        <f>IF(Skills!M21=TRUE,(Skills!K21/10)*(E709/1000),Skills!K21/10)+Skills!N21</f>
        <v/>
      </c>
      <c r="G709">
        <f>Calc!G21</f>
        <v/>
      </c>
      <c r="H709">
        <f>Calc!H21</f>
        <v/>
      </c>
      <c r="I709">
        <f>IF(Skills!T21&lt;&gt;"",1+(Skills!T21/10)*($Z$3/1000)/100,1)</f>
        <v/>
      </c>
      <c r="J709" t="inlineStr"/>
      <c r="K709" t="inlineStr"/>
      <c r="L709" t="inlineStr"/>
      <c r="M709" t="inlineStr"/>
      <c r="N709" t="inlineStr"/>
      <c r="O709" t="n">
        <v>0</v>
      </c>
      <c r="P709">
        <f>IF(B726=0,0,O709/B726)</f>
        <v/>
      </c>
      <c r="S709" t="n">
        <v>0</v>
      </c>
      <c r="V709">
        <f>IFERROR(1/IF(Inputs!$B$4="pvp",15,MAX(0.1,Skills!D21-IF(Skills!E21=TRUE,Inputs!$B$31,0))),0)</f>
        <v/>
      </c>
    </row>
    <row r="710">
      <c r="A710">
        <f>Skills!A22</f>
        <v/>
      </c>
      <c r="B710">
        <f>Skills!B22</f>
        <v/>
      </c>
      <c r="C710">
        <f>Inputs!$B$3&gt;=50</f>
        <v/>
      </c>
      <c r="D710">
        <f>IF(Skills!C22=1,60+Inputs!$B$24+Inputs!$B$28,IF(Skills!C22=2,90+(Inputs!$B$25+1)+Inputs!$B$28,IF(Skills!C22=3,120+Inputs!$B$26+Inputs!$B$28,MAX(0,(Inputs!$B$3-100)*3)+Inputs!$B$27+Inputs!$B$28)))</f>
        <v/>
      </c>
      <c r="E710">
        <f>INDEX(FactorTable!$B$2:$Y$301, MATCH(ROUND(MIN(300,MAX(1,D710)),0), FactorTable!$A$2:$A$301,0), Skills!L22+1)</f>
        <v/>
      </c>
      <c r="F710">
        <f>IF(Skills!M22=TRUE,(Skills!K22/10)*(E710/1000),Skills!K22/10)+Skills!N22</f>
        <v/>
      </c>
      <c r="G710">
        <f>Calc!G22</f>
        <v/>
      </c>
      <c r="H710">
        <f>Calc!H22</f>
        <v/>
      </c>
      <c r="I710">
        <f>IF(Skills!T22&lt;&gt;"",1+(Skills!T22/10)*($Z$3/1000)/100,1)</f>
        <v/>
      </c>
      <c r="J710" t="inlineStr"/>
      <c r="K710" t="inlineStr"/>
      <c r="L710" t="inlineStr"/>
      <c r="M710" t="inlineStr"/>
      <c r="N710" t="inlineStr"/>
      <c r="O710" t="n">
        <v>0</v>
      </c>
      <c r="P710">
        <f>IF(B726=0,0,O710/B726)</f>
        <v/>
      </c>
      <c r="S710" t="n">
        <v>0</v>
      </c>
      <c r="V710">
        <f>IFERROR(1/IF(Inputs!$B$4="pvp",15,MAX(0.1,Skills!D22-IF(Skills!E22=TRUE,Inputs!$B$31,0))),0)</f>
        <v/>
      </c>
    </row>
    <row r="711">
      <c r="A711">
        <f>Skills!A23</f>
        <v/>
      </c>
      <c r="B711">
        <f>Skills!B23</f>
        <v/>
      </c>
      <c r="C711">
        <f>Inputs!$B$3&gt;=74</f>
        <v/>
      </c>
      <c r="D711">
        <f>IF(Skills!C23=1,60+Inputs!$B$24+Inputs!$B$28,IF(Skills!C23=2,90+(Inputs!$B$25+1)+Inputs!$B$28,IF(Skills!C23=3,120+Inputs!$B$26+Inputs!$B$28,MAX(0,(Inputs!$B$3-100)*3)+Inputs!$B$27+Inputs!$B$28)))</f>
        <v/>
      </c>
      <c r="E711">
        <f>INDEX(FactorTable!$B$2:$Y$301, MATCH(ROUND(MIN(300,MAX(1,D711)),0), FactorTable!$A$2:$A$301,0), Skills!L23+1)</f>
        <v/>
      </c>
      <c r="F711">
        <f>IF(Skills!M23=TRUE,(Skills!K23/10)*(E711/1000),Skills!K23/10)+Skills!N23</f>
        <v/>
      </c>
      <c r="G711">
        <f>Calc!G23</f>
        <v/>
      </c>
      <c r="H711">
        <f>Calc!H23</f>
        <v/>
      </c>
      <c r="I711">
        <f>IF(Skills!T23&lt;&gt;"",1+(Skills!T23/10)*($Z$3/1000)/100,1)</f>
        <v/>
      </c>
      <c r="J711" t="inlineStr"/>
      <c r="K711" t="inlineStr"/>
      <c r="L711" t="inlineStr"/>
      <c r="M711" t="inlineStr"/>
      <c r="N711" t="inlineStr"/>
      <c r="O711" t="n">
        <v>0</v>
      </c>
      <c r="P711">
        <f>IF(B726=0,0,O711/B726)</f>
        <v/>
      </c>
      <c r="S711" t="n">
        <v>0</v>
      </c>
      <c r="V711">
        <f>IFERROR(1/IF(Inputs!$B$4="pvp",15,MAX(0.1,Skills!D23-IF(Skills!E23=TRUE,Inputs!$B$31,0))),0)</f>
        <v/>
      </c>
    </row>
    <row r="712">
      <c r="A712">
        <f>Skills!A24</f>
        <v/>
      </c>
      <c r="B712">
        <f>Skills!B24</f>
        <v/>
      </c>
      <c r="C712">
        <f>Inputs!$B$3&gt;=74</f>
        <v/>
      </c>
      <c r="D712">
        <f>IF(Skills!C24=1,60+Inputs!$B$24+Inputs!$B$28,IF(Skills!C24=2,90+(Inputs!$B$25+1)+Inputs!$B$28,IF(Skills!C24=3,120+Inputs!$B$26+Inputs!$B$28,MAX(0,(Inputs!$B$3-100)*3)+Inputs!$B$27+Inputs!$B$28)))</f>
        <v/>
      </c>
      <c r="E712">
        <f>INDEX(FactorTable!$B$2:$Y$301, MATCH(ROUND(MIN(300,MAX(1,D712)),0), FactorTable!$A$2:$A$301,0), Skills!L24+1)</f>
        <v/>
      </c>
      <c r="F712">
        <f>IF(Skills!M24=TRUE,(Skills!K24/10)*(E712/1000),Skills!K24/10)+Skills!N24</f>
        <v/>
      </c>
      <c r="G712">
        <f>Calc!G24</f>
        <v/>
      </c>
      <c r="H712">
        <f>Calc!H24</f>
        <v/>
      </c>
      <c r="I712">
        <f>IF(Skills!T24&lt;&gt;"",1+(Skills!T24/10)*($Z$3/1000)/100,1)</f>
        <v/>
      </c>
      <c r="J712" t="inlineStr"/>
      <c r="K712" t="inlineStr"/>
      <c r="L712" t="inlineStr"/>
      <c r="M712" t="inlineStr"/>
      <c r="N712" t="inlineStr"/>
      <c r="O712" t="n">
        <v>0</v>
      </c>
      <c r="P712">
        <f>IF(B726=0,0,O712/B726)</f>
        <v/>
      </c>
      <c r="S712" t="n">
        <v>0</v>
      </c>
      <c r="V712">
        <f>IFERROR(1/IF(Inputs!$B$4="pvp",15,MAX(0.1,Skills!D24-IF(Skills!E24=TRUE,Inputs!$B$31,0))),0)</f>
        <v/>
      </c>
    </row>
    <row r="713">
      <c r="A713">
        <f>Skills!A25</f>
        <v/>
      </c>
      <c r="B713">
        <f>Skills!B25</f>
        <v/>
      </c>
      <c r="C713">
        <f>Inputs!$B$3&gt;=117</f>
        <v/>
      </c>
      <c r="D713">
        <f>IF(Skills!C25=1,60+Inputs!$B$24+Inputs!$B$28,IF(Skills!C25=2,90+(Inputs!$B$25+1)+Inputs!$B$28,IF(Skills!C25=3,120+Inputs!$B$26+Inputs!$B$28,MAX(0,(Inputs!$B$3-100)*3)+Inputs!$B$27+Inputs!$B$28)))</f>
        <v/>
      </c>
      <c r="E713">
        <f>INDEX(FactorTable!$B$2:$Y$301, MATCH(ROUND(MIN(300,MAX(1,D713)),0), FactorTable!$A$2:$A$301,0), Skills!L25+1)</f>
        <v/>
      </c>
      <c r="F713">
        <f>IF(Skills!M25=TRUE,(Skills!K25/10)*(E713/1000),Skills!K25/10)+Skills!N25</f>
        <v/>
      </c>
      <c r="G713">
        <f>Calc!G25</f>
        <v/>
      </c>
      <c r="H713">
        <f>Calc!H25</f>
        <v/>
      </c>
      <c r="I713">
        <f>IF(Skills!T25&lt;&gt;"",1+(Skills!T25/10)*($Z$3/1000)/100,1)</f>
        <v/>
      </c>
      <c r="J713" t="inlineStr"/>
      <c r="K713" t="inlineStr"/>
      <c r="L713" t="inlineStr"/>
      <c r="M713" t="inlineStr"/>
      <c r="N713" t="inlineStr"/>
      <c r="O713" t="n">
        <v>0</v>
      </c>
      <c r="P713">
        <f>IF(B726=0,0,O713/B726)</f>
        <v/>
      </c>
      <c r="S713" t="n">
        <v>0</v>
      </c>
      <c r="V713">
        <f>IFERROR(1/IF(Inputs!$B$4="pvp",15,MAX(0.1,Skills!D25-IF(Skills!E25=TRUE,Inputs!$B$31,0))),0)</f>
        <v/>
      </c>
    </row>
    <row r="714">
      <c r="A714">
        <f>Skills!A26</f>
        <v/>
      </c>
      <c r="B714">
        <f>Skills!B26</f>
        <v/>
      </c>
      <c r="C714">
        <f>Inputs!$B$3&gt;=120</f>
        <v/>
      </c>
      <c r="D714">
        <f>IF(Skills!C26=1,60+Inputs!$B$24+Inputs!$B$28,IF(Skills!C26=2,90+(Inputs!$B$25+1)+Inputs!$B$28,IF(Skills!C26=3,120+Inputs!$B$26+Inputs!$B$28,MAX(0,(Inputs!$B$3-100)*3)+Inputs!$B$27+Inputs!$B$28)))</f>
        <v/>
      </c>
      <c r="E714">
        <f>INDEX(FactorTable!$B$2:$Y$301, MATCH(ROUND(MIN(300,MAX(1,D714)),0), FactorTable!$A$2:$A$301,0), Skills!L26+1)</f>
        <v/>
      </c>
      <c r="F714">
        <f>IF(Skills!M26=TRUE,(Skills!K26/10)*(E714/1000),Skills!K26/10)+Skills!N26</f>
        <v/>
      </c>
      <c r="G714">
        <f>Calc!G26</f>
        <v/>
      </c>
      <c r="H714">
        <f>Calc!H26</f>
        <v/>
      </c>
      <c r="I714">
        <f>IF(Skills!T26&lt;&gt;"",1+(Skills!T26/10)*($Z$3/1000)/100,1)</f>
        <v/>
      </c>
      <c r="J714" t="inlineStr"/>
      <c r="K714" t="inlineStr"/>
      <c r="L714" t="inlineStr"/>
      <c r="M714" t="inlineStr"/>
      <c r="N714" t="inlineStr"/>
      <c r="O714" t="n">
        <v>0</v>
      </c>
      <c r="P714">
        <f>IF(B726=0,0,O714/B726)</f>
        <v/>
      </c>
      <c r="S714" t="n">
        <v>0</v>
      </c>
      <c r="V714">
        <f>IFERROR(1/IF(Inputs!$B$4="pvp",15,MAX(0.1,Skills!D26-IF(Skills!E26=TRUE,Inputs!$B$31,0))),0)</f>
        <v/>
      </c>
    </row>
    <row r="716">
      <c r="A716" t="inlineStr">
        <is>
          <t>Average Buff Multiplier</t>
        </is>
      </c>
      <c r="B716">
        <f>(1+(IF(C691=TRUE,F691*IF(AND(Inputs!$B$4&lt;&gt;"pvp",Inputs!$B$35&gt;0),(((S691-1)*(Skills!S3*(1+(Inputs!$B$33+IF(Inputs!$B$3&gt;=117,F713,0))/100))+MIN((Skills!S3*(1+(Inputs!$B$33+IF(Inputs!$B$3&gt;=117,F713,0))/100)),MAX(0,Inputs!$B$35-((S691-1)*Skills!D3))))/Inputs!$B$35),IF(Inputs!$B$4="pvp",MIN((Skills!S3*(1+(Inputs!$B$33+IF(Inputs!$B$3&gt;=117,F713,0))/100)),15)/15,(Skills!S3*(1+(Inputs!$B$33+IF(Inputs!$B$3&gt;=117,F713,0))/100))/Skills!D3)),0)+IF(C692=TRUE,F692*IF(AND(Inputs!$B$4&lt;&gt;"pvp",Inputs!$B$35&gt;0),(((S692-1)*(Skills!S4*(1+(Inputs!$B$33+IF(Inputs!$B$3&gt;=117,F713,0))/100))+MIN((Skills!S4*(1+(Inputs!$B$33+IF(Inputs!$B$3&gt;=117,F713,0))/100)),MAX(0,Inputs!$B$35-((S692-1)*Skills!D4))))/Inputs!$B$35),IF(Inputs!$B$4="pvp",MIN((Skills!S4*(1+(Inputs!$B$33+IF(Inputs!$B$3&gt;=117,F713,0))/100)),15)/15,(Skills!S4*(1+(Inputs!$B$33+IF(Inputs!$B$3&gt;=117,F713,0))/100))/Skills!D4)),0)+IF(C693=TRUE,F693*IF(AND(Inputs!$B$4&lt;&gt;"pvp",Inputs!$B$35&gt;0),(((S693-1)*(Skills!S5*(1+(Inputs!$B$33+IF(Inputs!$B$3&gt;=117,F713,0))/100))+MIN((Skills!S5*(1+(Inputs!$B$33+IF(Inputs!$B$3&gt;=117,F713,0))/100)),MAX(0,Inputs!$B$35-((S693-1)*Skills!D5))))/Inputs!$B$35),IF(Inputs!$B$4="pvp",MIN((Skills!S5*(1+(Inputs!$B$33+IF(Inputs!$B$3&gt;=117,F713,0))/100)),15)/15,(Skills!S5*(1+(Inputs!$B$33+IF(Inputs!$B$3&gt;=117,F713,0))/100))/Skills!D5)),0)+IF(C699=TRUE,F699*IF(AND(Inputs!$B$4&lt;&gt;"pvp",Inputs!$B$35&gt;0),(((S699-1)*(Skills!S11*(1+(Inputs!$B$33+IF(Inputs!$B$3&gt;=117,F713,0))/100))+MIN((Skills!S11*(1+(Inputs!$B$33+IF(Inputs!$B$3&gt;=117,F713,0))/100)),MAX(0,Inputs!$B$35-((S699-1)*Skills!D11))))/Inputs!$B$35),IF(Inputs!$B$4="pvp",MIN((Skills!S11*(1+(Inputs!$B$33+IF(Inputs!$B$3&gt;=117,F713,0))/100)),15)/15,(Skills!S11*(1+(Inputs!$B$33+IF(Inputs!$B$3&gt;=117,F713,0))/100))/Skills!D11)),0))/100)*IF(C701=TRUE,(1+F701*IF(AND(Inputs!$B$4&lt;&gt;"pvp",Inputs!$B$35&gt;0),(((S701-1)*(Skills!S13*(1+(Inputs!$B$33+IF(Inputs!$B$3&gt;=117,F713,0))/100))+MIN((Skills!S13*(1+(Inputs!$B$33+IF(Inputs!$B$3&gt;=117,F713,0))/100)),MAX(0,Inputs!$B$35-((S701-1)*Skills!D13))))/Inputs!$B$35),IF(Inputs!$B$4="pvp",MIN((Skills!S13*(1+(Inputs!$B$33+IF(Inputs!$B$3&gt;=117,F713,0))/100)),15)/15,(Skills!S13*(1+(Inputs!$B$33+IF(Inputs!$B$3&gt;=117,F713,0))/100))/Skills!D13))/100),1)*IF(C706=TRUE,(1+F706*IF(AND(Inputs!$B$4&lt;&gt;"pvp",Inputs!$B$35&gt;0),(((S706-1)*(Skills!S18*(1+(Inputs!$B$33+IF(Inputs!$B$3&gt;=117,F713,0))/100))+MIN((Skills!S18*(1+(Inputs!$B$33+IF(Inputs!$B$3&gt;=117,F713,0))/100)),MAX(0,Inputs!$B$35-((S706-1)*Skills!D18))))/Inputs!$B$35),IF(Inputs!$B$4="pvp",MIN((Skills!S18*(1+(Inputs!$B$33+IF(Inputs!$B$3&gt;=117,F713,0))/100)),15)/15,(Skills!S18*(1+(Inputs!$B$33+IF(Inputs!$B$3&gt;=117,F713,0))/100))/Skills!D18))/100),1)</f>
        <v/>
      </c>
    </row>
    <row r="717">
      <c r="A717" t="inlineStr">
        <is>
          <t>Monster Damage Taken Bonus % (Holy Fountain)</t>
        </is>
      </c>
      <c r="B717">
        <f>IF(Inputs!$B$3&gt;=68,20*IF(Inputs!$B$4="pvp",MIN((15*(1+(Inputs!$B$33+IF(Inputs!$B$3&gt;=117,F713,0))/100)),15)/15,(15*(1+(Inputs!$B$33+IF(Inputs!$B$3&gt;=117,F713,0))/100))/Skills!D10),0)</f>
        <v/>
      </c>
    </row>
    <row r="718">
      <c r="A718" t="inlineStr">
        <is>
          <t>Normal Monster Damage Bonus % (Holy Symbol)</t>
        </is>
      </c>
      <c r="B718">
        <f>IF(C700=TRUE,F700*IF(AND(Inputs!$B$4&lt;&gt;"pvp",Inputs!$B$35&gt;0),(((S700-1)*(Skills!S12*(1+(Inputs!$B$33+IF(Inputs!$B$3&gt;=117,F713,0))/100))+MIN((Skills!S12*(1+(Inputs!$B$33+IF(Inputs!$B$3&gt;=117,F713,0))/100)),MAX(0,Inputs!$B$35-((S700-1)*Skills!D12))))/Inputs!$B$35),IF(Inputs!$B$4="pvp",MIN((Skills!S12*(1+(Inputs!$B$33+IF(Inputs!$B$3&gt;=117,F713,0))/100)),15)/15,(Skills!S12*(1+(Inputs!$B$33+IF(Inputs!$B$3&gt;=117,F713,0))/100))/Skills!D12)),0)</f>
        <v/>
      </c>
    </row>
    <row r="719">
      <c r="A719" t="inlineStr">
        <is>
          <t>Damage % Bonus (Holy Symbol - Damage Boost)</t>
        </is>
      </c>
      <c r="B719">
        <f>Skills!O12</f>
        <v/>
      </c>
    </row>
    <row r="720">
      <c r="A720" t="inlineStr">
        <is>
          <t>Crit Damage % Bonus (Blood of the Divine)</t>
        </is>
      </c>
      <c r="B720">
        <f>4*IF(C707=TRUE,F707,0)</f>
        <v/>
      </c>
    </row>
    <row r="721">
      <c r="A721" t="inlineStr">
        <is>
          <t>Attack Speed Bonus %</t>
        </is>
      </c>
      <c r="B721">
        <f>IF(C704=TRUE,F704+(F708-Calc!F20),0)+IF(Inputs!$B$3&gt;=134,15,0)</f>
        <v/>
      </c>
    </row>
    <row r="722">
      <c r="A722" t="inlineStr">
        <is>
          <t>Actions Per Second</t>
        </is>
      </c>
      <c r="B722">
        <f>1+MIN(150,150*(1-(1-Inputs!$B$10/150)*(1-B721/150)))/100</f>
        <v/>
      </c>
    </row>
    <row r="723">
      <c r="A723" t="inlineStr">
        <is>
          <t>Skill + Buff Cast Rate</t>
        </is>
      </c>
      <c r="B723">
        <f>IF(AND(Inputs!$B$4&lt;&gt;"pvp",Inputs!$B$35&gt;0),SUMPRODUCT((Skills!E2:E26=TRUE)*(C690:C714=TRUE)*S690:S714)/Inputs!$B$35,SUMPRODUCT((Skills!E2:E26=TRUE)*(C690:C714=TRUE)*V690:V714))</f>
        <v/>
      </c>
    </row>
    <row r="724">
      <c r="A724" t="inlineStr">
        <is>
          <t>Big Bang Casts Per Second</t>
        </is>
      </c>
      <c r="B724">
        <f>MAX(0,B722-B723)</f>
        <v/>
      </c>
    </row>
    <row r="726">
      <c r="A726" s="5" t="inlineStr">
        <is>
          <t>TOTAL DPS</t>
        </is>
      </c>
      <c r="B726" s="5">
        <f>SUM(O690:O714)</f>
        <v/>
      </c>
    </row>
    <row r="729">
      <c r="A729" s="5" t="inlineStr">
        <is>
          <t>Stat: Skill Level Bonus — 3rd Job</t>
        </is>
      </c>
    </row>
    <row r="730">
      <c r="A730" s="8" t="inlineStr">
        <is>
          <t>Key</t>
        </is>
      </c>
      <c r="B730" s="8" t="inlineStr">
        <is>
          <t>Name</t>
        </is>
      </c>
      <c r="C730" s="8" t="inlineStr">
        <is>
          <t>Unlocked</t>
        </is>
      </c>
      <c r="D730" s="8" t="inlineStr">
        <is>
          <t>InputLevel</t>
        </is>
      </c>
      <c r="E730" s="8" t="inlineStr">
        <is>
          <t>Factor</t>
        </is>
      </c>
      <c r="F730" s="8" t="inlineStr">
        <is>
          <t>CoefficientPercent</t>
        </is>
      </c>
      <c r="G730" s="8" t="inlineStr">
        <is>
          <t>EffectiveHits</t>
        </is>
      </c>
      <c r="H730" s="8" t="inlineStr">
        <is>
          <t>ProcProbability</t>
        </is>
      </c>
      <c r="I730" s="8" t="inlineStr">
        <is>
          <t>MapleHeroMultiplier</t>
        </is>
      </c>
      <c r="J730" s="8" t="inlineStr">
        <is>
          <t>BaseDamage</t>
        </is>
      </c>
      <c r="K730" s="8" t="inlineStr">
        <is>
          <t>BaseHitDamage</t>
        </is>
      </c>
      <c r="L730" s="8" t="inlineStr">
        <is>
          <t>NonCritAvg</t>
        </is>
      </c>
      <c r="M730" s="8" t="inlineStr">
        <is>
          <t>CritAvg</t>
        </is>
      </c>
      <c r="N730" s="8" t="inlineStr">
        <is>
          <t>ExpectedDamage(perHit)</t>
        </is>
      </c>
      <c r="O730" s="8" t="inlineStr">
        <is>
          <t>DPS</t>
        </is>
      </c>
      <c r="P730" s="8" t="inlineStr">
        <is>
          <t>% of Total</t>
        </is>
      </c>
      <c r="R730" t="inlineStr">
        <is>
          <t>helpers</t>
        </is>
      </c>
    </row>
    <row r="731">
      <c r="A731">
        <f>Skills!A2</f>
        <v/>
      </c>
      <c r="B731">
        <f>Skills!B2</f>
        <v/>
      </c>
      <c r="C731">
        <f>Inputs!$B$3&gt;=100</f>
        <v/>
      </c>
      <c r="D731" t="inlineStr"/>
      <c r="E731" t="inlineStr"/>
      <c r="F731">
        <f>T733+Skills!N2</f>
        <v/>
      </c>
      <c r="G731">
        <f>Calc!G2</f>
        <v/>
      </c>
      <c r="H731">
        <f>Calc!H2</f>
        <v/>
      </c>
      <c r="I731">
        <f>IF(Skills!T2&lt;&gt;"",1+(Skills!T2/10)*($Z$3/1000)/100,1)</f>
        <v/>
      </c>
      <c r="J731">
        <f>((Inputs!$B$5*(1+Inputs!$B$6/100))+((Inputs!$B$11*(1+Inputs!$B$12/100))-(Inputs!$B$11*(1+Inputs!$B$12/100)))*(1+Inputs!$B$6/100))*(F731/100)</f>
        <v/>
      </c>
      <c r="K731">
        <f>J731*(1+((Inputs!$B$11*(1+Inputs!$B$12/100))*0.01+Inputs!$B$13*0.0025)/100)*(1+(Inputs!$B$14+B760)/100)*(1+IF(Inputs!$B$4="pvp",0,(1-Summary!$B$48)*(Inputs!$B$19+Skills!O2+B758)+Summary!$B$48*(Inputs!$B$20+Skills!P2+B759))/100)*(1+Inputs!$B$15/100)*(5000/(6000+Inputs!$B$7*(1-Inputs!$B$18/100)))*(1+Inputs!$B$23/100)*(1+IF(C746=TRUE,F746,0)/100)*(1+IF(C748=TRUE,F748,0)/100)*(1+IF(Skills!A2="TRIUMPH_FEATHER",IF(C744=TRUE,F744,0),0)/100)*(1+IF(C755=TRUE,F755,0)/100)^5*(1+(IF(Skills!A2="BIG_BANG",Inputs!$B$16,Inputs!$B$17))/100)*(B757*I731)</f>
        <v/>
      </c>
      <c r="L731">
        <f>K731*(MIN(Inputs!$B$21+(F750-Calc!F21),Inputs!$B$22)/100+Inputs!$B$22/100)/2</f>
        <v/>
      </c>
      <c r="M731">
        <f>L731*(1+(Inputs!$B$9+B761+(F753-Calc!F24))/100)</f>
        <v/>
      </c>
      <c r="N731">
        <f>L731*(1-MIN(Inputs!$B$8+((F752-Calc!F23)+(F751-Calc!F22)),100)/100)+M731*(MIN(Inputs!$B$8+((F752-Calc!F23)+(F751-Calc!F22)),100)/100)</f>
        <v/>
      </c>
      <c r="O731">
        <f>IF(C731,Skills!F2*N731*B765*IF(Inputs!$B$4="pvp",1,(1-Summary!$B$48)*(1)+Summary!$B$48*(MIN((6+Inputs!$B$32),Inputs!$B$37))),0)</f>
        <v/>
      </c>
      <c r="P731">
        <f>IF(B767=0,0,O731/B767)</f>
        <v/>
      </c>
      <c r="S731" t="n">
        <v>0</v>
      </c>
      <c r="T731">
        <f>MAX(0,(Inputs!$B$3-100)*3)+Inputs!$B$27+Inputs!$B$28</f>
        <v/>
      </c>
      <c r="V731">
        <f>IFERROR(1/IF(Inputs!$B$4="pvp",15,MAX(0.1,Skills!D2-IF(Skills!E2=TRUE,Inputs!$B$31,0))),0)</f>
        <v/>
      </c>
    </row>
    <row r="732">
      <c r="A732">
        <f>Skills!A3</f>
        <v/>
      </c>
      <c r="B732">
        <f>Skills!B3</f>
        <v/>
      </c>
      <c r="C732">
        <f>Inputs!$B$3&gt;=15</f>
        <v/>
      </c>
      <c r="D732">
        <f>IF(Skills!C3=1,60+Inputs!$B$24+Inputs!$B$28,IF(Skills!C3=2,90+Inputs!$B$25+Inputs!$B$28,IF(Skills!C3=3,120+(Inputs!$B$26+1)+Inputs!$B$28,MAX(0,(Inputs!$B$3-100)*3)+Inputs!$B$27+Inputs!$B$28)))</f>
        <v/>
      </c>
      <c r="E732">
        <f>INDEX(FactorTable!$B$2:$Y$301, MATCH(ROUND(MIN(300,MAX(1,D732)),0), FactorTable!$A$2:$A$301,0), Skills!L3+1)</f>
        <v/>
      </c>
      <c r="F732">
        <f>IF(Skills!M3=TRUE,(Skills!K3/10)*(E732/1000),Skills!K3/10)+Skills!N3</f>
        <v/>
      </c>
      <c r="G732">
        <f>Calc!G3</f>
        <v/>
      </c>
      <c r="H732">
        <f>Calc!H3</f>
        <v/>
      </c>
      <c r="I732">
        <f>IF(Skills!T3&lt;&gt;"",1+(Skills!T3/10)*($Z$3/1000)/100,1)</f>
        <v/>
      </c>
      <c r="J732" t="inlineStr"/>
      <c r="K732" t="inlineStr"/>
      <c r="L732" t="inlineStr"/>
      <c r="M732" t="inlineStr"/>
      <c r="N732" t="inlineStr"/>
      <c r="O732" t="n">
        <v>0</v>
      </c>
      <c r="P732">
        <f>IF(B767=0,0,O732/B767)</f>
        <v/>
      </c>
      <c r="S732">
        <f>IF(AND(Inputs!$B$4&lt;&gt;"pvp",Inputs!$B$35&gt;0),(INT(Inputs!$B$35/IF(Inputs!$B$4="pvp",15,MAX(0.1,Skills!D3-IF(Skills!E3=TRUE,Inputs!$B$31,0))))+1),0)</f>
        <v/>
      </c>
      <c r="T732">
        <f>INDEX(FactorTable!$B$2:$Y$301, MATCH(ROUND(MIN(300,MAX(1,T731)),0), FactorTable!$A$2:$A$301,0), 22)</f>
        <v/>
      </c>
      <c r="V732">
        <f>IFERROR(1/IF(Inputs!$B$4="pvp",15,MAX(0.1,Skills!D3-IF(Skills!E3=TRUE,Inputs!$B$31,0))),0)</f>
        <v/>
      </c>
    </row>
    <row r="733">
      <c r="A733">
        <f>Skills!A4</f>
        <v/>
      </c>
      <c r="B733">
        <f>Skills!B4</f>
        <v/>
      </c>
      <c r="C733">
        <f>Inputs!$B$3&gt;=38</f>
        <v/>
      </c>
      <c r="D733">
        <f>IF(Skills!C4=1,60+Inputs!$B$24+Inputs!$B$28,IF(Skills!C4=2,90+Inputs!$B$25+Inputs!$B$28,IF(Skills!C4=3,120+(Inputs!$B$26+1)+Inputs!$B$28,MAX(0,(Inputs!$B$3-100)*3)+Inputs!$B$27+Inputs!$B$28)))</f>
        <v/>
      </c>
      <c r="E733">
        <f>INDEX(FactorTable!$B$2:$Y$301, MATCH(ROUND(MIN(300,MAX(1,D733)),0), FactorTable!$A$2:$A$301,0), Skills!L4+1)</f>
        <v/>
      </c>
      <c r="F733">
        <f>IF(Skills!M4=TRUE,(Skills!K4/10)*(E733/1000),Skills!K4/10)+Skills!N4</f>
        <v/>
      </c>
      <c r="G733">
        <f>Calc!G4</f>
        <v/>
      </c>
      <c r="H733">
        <f>Calc!H4</f>
        <v/>
      </c>
      <c r="I733">
        <f>IF(Skills!T4&lt;&gt;"",1+(Skills!T4/10)*($Z$3/1000)/100,1)</f>
        <v/>
      </c>
      <c r="J733" t="inlineStr"/>
      <c r="K733" t="inlineStr"/>
      <c r="L733" t="inlineStr"/>
      <c r="M733" t="inlineStr"/>
      <c r="N733" t="inlineStr"/>
      <c r="O733" t="n">
        <v>0</v>
      </c>
      <c r="P733">
        <f>IF(B767=0,0,O733/B767)</f>
        <v/>
      </c>
      <c r="S733">
        <f>IF(AND(Inputs!$B$4&lt;&gt;"pvp",Inputs!$B$35&gt;0),(INT(Inputs!$B$35/IF(Inputs!$B$4="pvp",15,MAX(0.1,Skills!D4-IF(Skills!E4=TRUE,Inputs!$B$31,0))))+1),0)</f>
        <v/>
      </c>
      <c r="T733">
        <f>290*T732/1000</f>
        <v/>
      </c>
      <c r="V733">
        <f>IFERROR(1/IF(Inputs!$B$4="pvp",15,MAX(0.1,Skills!D4-IF(Skills!E4=TRUE,Inputs!$B$31,0))),0)</f>
        <v/>
      </c>
    </row>
    <row r="734">
      <c r="A734">
        <f>Skills!A5</f>
        <v/>
      </c>
      <c r="B734">
        <f>Skills!B5</f>
        <v/>
      </c>
      <c r="C734">
        <f>Inputs!$B$3&gt;=40</f>
        <v/>
      </c>
      <c r="D734">
        <f>IF(Skills!C5=1,60+Inputs!$B$24+Inputs!$B$28,IF(Skills!C5=2,90+Inputs!$B$25+Inputs!$B$28,IF(Skills!C5=3,120+(Inputs!$B$26+1)+Inputs!$B$28,MAX(0,(Inputs!$B$3-100)*3)+Inputs!$B$27+Inputs!$B$28)))</f>
        <v/>
      </c>
      <c r="E734">
        <f>INDEX(FactorTable!$B$2:$Y$301, MATCH(ROUND(MIN(300,MAX(1,D734)),0), FactorTable!$A$2:$A$301,0), Skills!L5+1)</f>
        <v/>
      </c>
      <c r="F734">
        <f>IF(Skills!M5=TRUE,(Skills!K5/10)*(E734/1000),Skills!K5/10)+Skills!N5</f>
        <v/>
      </c>
      <c r="G734">
        <f>Calc!G5</f>
        <v/>
      </c>
      <c r="H734">
        <f>Calc!H5</f>
        <v/>
      </c>
      <c r="I734">
        <f>IF(Skills!T5&lt;&gt;"",1+(Skills!T5/10)*($Z$3/1000)/100,1)</f>
        <v/>
      </c>
      <c r="J734" t="inlineStr"/>
      <c r="K734" t="inlineStr"/>
      <c r="L734" t="inlineStr"/>
      <c r="M734" t="inlineStr"/>
      <c r="N734" t="inlineStr"/>
      <c r="O734" t="n">
        <v>0</v>
      </c>
      <c r="P734">
        <f>IF(B767=0,0,O734/B767)</f>
        <v/>
      </c>
      <c r="S734">
        <f>IF(AND(Inputs!$B$4&lt;&gt;"pvp",Inputs!$B$35&gt;0),(INT(Inputs!$B$35/IF(Inputs!$B$4="pvp",15,MAX(0.1,Skills!D5-IF(Skills!E5=TRUE,Inputs!$B$31,0))))+1),0)</f>
        <v/>
      </c>
      <c r="V734">
        <f>IFERROR(1/IF(Inputs!$B$4="pvp",15,MAX(0.1,Skills!D5-IF(Skills!E5=TRUE,Inputs!$B$31,0))),0)</f>
        <v/>
      </c>
    </row>
    <row r="735">
      <c r="A735">
        <f>Skills!A6</f>
        <v/>
      </c>
      <c r="B735">
        <f>Skills!B6</f>
        <v/>
      </c>
      <c r="C735">
        <f>Inputs!$B$3&gt;=103</f>
        <v/>
      </c>
      <c r="D735">
        <f>IF(Skills!C6=1,60+Inputs!$B$24+Inputs!$B$28,IF(Skills!C6=2,90+Inputs!$B$25+Inputs!$B$28,IF(Skills!C6=3,120+(Inputs!$B$26+1)+Inputs!$B$28,MAX(0,(Inputs!$B$3-100)*3)+Inputs!$B$27+Inputs!$B$28)))</f>
        <v/>
      </c>
      <c r="E735">
        <f>INDEX(FactorTable!$B$2:$Y$301, MATCH(ROUND(MIN(300,MAX(1,D735)),0), FactorTable!$A$2:$A$301,0), Skills!L6+1)</f>
        <v/>
      </c>
      <c r="F735">
        <f>IF(Skills!M6=TRUE,(Skills!K6/10)*(E735/1000),Skills!K6/10)+Skills!N6</f>
        <v/>
      </c>
      <c r="G735">
        <f>Calc!G6</f>
        <v/>
      </c>
      <c r="H735">
        <f>Calc!H6</f>
        <v/>
      </c>
      <c r="I735">
        <f>IF(Skills!T6&lt;&gt;"",1+(Skills!T6/10)*($Z$3/1000)/100,1)</f>
        <v/>
      </c>
      <c r="J735">
        <f>((Inputs!$B$5*(1+Inputs!$B$6/100))+((Inputs!$B$11*(1+Inputs!$B$12/100))-(Inputs!$B$11*(1+Inputs!$B$12/100)))*(1+Inputs!$B$6/100))*(F735/100)</f>
        <v/>
      </c>
      <c r="K735">
        <f>J735*(1+((Inputs!$B$11*(1+Inputs!$B$12/100))*0.01+Inputs!$B$13*0.0025)/100)*(1+(Inputs!$B$14+B760)/100)*(1+IF(Inputs!$B$4="pvp",0,(1-Summary!$B$48)*(Inputs!$B$19+Skills!O6+B758)+Summary!$B$48*(Inputs!$B$20+Skills!P6+B759))/100)*(1+Inputs!$B$15/100)*(5000/(6000+Inputs!$B$7*(1-Inputs!$B$18/100)))*(1+Inputs!$B$23/100)*(1+IF(C746=TRUE,F746,0)/100)*(1+IF(C748=TRUE,F748,0)/100)*(1+IF(Skills!A6="TRIUMPH_FEATHER",IF(C744=TRUE,F744,0),0)/100)*(1+IF(C755=TRUE,F755,0)/100)^5*(1+(IF(Skills!A6="BIG_BANG",Inputs!$B$16,Inputs!$B$17))/100)*(B757*I735)</f>
        <v/>
      </c>
      <c r="L735">
        <f>K735*(MIN(Inputs!$B$21+(F750-Calc!F21),Inputs!$B$22)/100+Inputs!$B$22/100)/2</f>
        <v/>
      </c>
      <c r="M735">
        <f>L735*(1+(Inputs!$B$9+B761+(F753-Calc!F24))/100)</f>
        <v/>
      </c>
      <c r="N735">
        <f>L735*(1-MIN(Inputs!$B$8+((F752-Calc!F23)+(F751-Calc!F22)),100)/100)+M735*(MIN(Inputs!$B$8+((F752-Calc!F23)+(F751-Calc!F22)),100)/100)</f>
        <v/>
      </c>
      <c r="O735">
        <f>IF(C735,H735*N735*IF(AND(Inputs!$B$4&lt;&gt;"pvp",Inputs!$B$35&gt;0),((Skills!F6*((S735-1)*IF(Skills!G6&gt;0,Skills!H6/Skills!G6,1)+IF(Skills!G6&gt;0,MIN(Skills!H6,MAX(0,Inputs!$B$35-((S735-1)*IF(Inputs!$B$4="pvp",15,MAX(0.1,Skills!D6-IF(Skills!E6=TRUE,Inputs!$B$31,0))))))/Skills!G6,1)))/Inputs!$B$35),G735*V735)*IF(Inputs!$B$4="pvp",1,(1-Summary!$B$48)*(1)+Summary!$B$48*(MIN(Skills!Q6,Inputs!$B$37))),0)</f>
        <v/>
      </c>
      <c r="P735">
        <f>IF(B767=0,0,O735/B767)</f>
        <v/>
      </c>
      <c r="S735">
        <f>IF(AND(Inputs!$B$4&lt;&gt;"pvp",Inputs!$B$35&gt;0),(INT(Inputs!$B$35/IF(Inputs!$B$4="pvp",15,MAX(0.1,Skills!D6-IF(Skills!E6=TRUE,Inputs!$B$31,0))))+1),0)</f>
        <v/>
      </c>
      <c r="V735">
        <f>IFERROR(1/IF(Inputs!$B$4="pvp",15,MAX(0.1,Skills!D6-IF(Skills!E6=TRUE,Inputs!$B$31,0))),0)</f>
        <v/>
      </c>
    </row>
    <row r="736">
      <c r="A736">
        <f>Skills!A7</f>
        <v/>
      </c>
      <c r="B736">
        <f>Skills!B7</f>
        <v/>
      </c>
      <c r="C736">
        <f>Inputs!$B$3&gt;=122</f>
        <v/>
      </c>
      <c r="D736">
        <f>IF(Skills!C7=1,60+Inputs!$B$24+Inputs!$B$28,IF(Skills!C7=2,90+Inputs!$B$25+Inputs!$B$28,IF(Skills!C7=3,120+(Inputs!$B$26+1)+Inputs!$B$28,MAX(0,(Inputs!$B$3-100)*3)+Inputs!$B$27+Inputs!$B$28)))</f>
        <v/>
      </c>
      <c r="E736">
        <f>INDEX(FactorTable!$B$2:$Y$301, MATCH(ROUND(MIN(300,MAX(1,D736)),0), FactorTable!$A$2:$A$301,0), Skills!L7+1)</f>
        <v/>
      </c>
      <c r="F736">
        <f>IF(Skills!M7=TRUE,(Skills!K7/10)*(E736/1000),Skills!K7/10)+Skills!N7</f>
        <v/>
      </c>
      <c r="G736">
        <f>Calc!G7</f>
        <v/>
      </c>
      <c r="H736">
        <f>Calc!H7</f>
        <v/>
      </c>
      <c r="I736">
        <f>IF(Skills!T7&lt;&gt;"",1+(Skills!T7/10)*($Z$3/1000)/100,1)</f>
        <v/>
      </c>
      <c r="J736">
        <f>((Inputs!$B$5*(1+Inputs!$B$6/100))+((Inputs!$B$11*(1+Inputs!$B$12/100))-(Inputs!$B$11*(1+Inputs!$B$12/100)))*(1+Inputs!$B$6/100))*(F736/100)</f>
        <v/>
      </c>
      <c r="K736">
        <f>J736*(1+((Inputs!$B$11*(1+Inputs!$B$12/100))*0.01+Inputs!$B$13*0.0025)/100)*(1+(Inputs!$B$14+B760)/100)*(1+IF(Inputs!$B$4="pvp",0,(1-Summary!$B$48)*(Inputs!$B$19+Skills!O7+B758)+Summary!$B$48*(Inputs!$B$20+Skills!P7+B759))/100)*(1+Inputs!$B$15/100)*(5000/(6000+Inputs!$B$7*(1-Inputs!$B$18/100)))*(1+Inputs!$B$23/100)*(1+IF(C746=TRUE,F746,0)/100)*(1+IF(C748=TRUE,F748,0)/100)*(1+IF(Skills!A7="TRIUMPH_FEATHER",IF(C744=TRUE,F744,0),0)/100)*(1+IF(C755=TRUE,F755,0)/100)^5*(1+(IF(Skills!A7="BIG_BANG",Inputs!$B$16,Inputs!$B$17))/100)*(B757*I736)</f>
        <v/>
      </c>
      <c r="L736">
        <f>K736*(MIN(Inputs!$B$21+(F750-Calc!F21),Inputs!$B$22)/100+Inputs!$B$22/100)/2</f>
        <v/>
      </c>
      <c r="M736">
        <f>L736*(1+(Inputs!$B$9+B761+(F753-Calc!F24))/100)</f>
        <v/>
      </c>
      <c r="N736">
        <f>L736*(1-MIN(Inputs!$B$8+((F752-Calc!F23)+(F751-Calc!F22)),100)/100)+M736*(MIN(Inputs!$B$8+((F752-Calc!F23)+(F751-Calc!F22)),100)/100)</f>
        <v/>
      </c>
      <c r="O736">
        <f>IF(C736,H736*N736*IF(AND(Inputs!$B$4&lt;&gt;"pvp",Inputs!$B$35&gt;0),((Skills!F7*((S736-1)*IF(Skills!G7&gt;0,Skills!H7/Skills!G7,1)+IF(Skills!G7&gt;0,MIN(Skills!H7,MAX(0,Inputs!$B$35-((S736-1)*IF(Inputs!$B$4="pvp",15,MAX(0.1,Skills!D7-IF(Skills!E6=TRUE,Inputs!$B$31,0))))))/Skills!G7,1)))/Inputs!$B$35),G736*V736)*(1-Summary!$B$48),0)</f>
        <v/>
      </c>
      <c r="P736">
        <f>IF(B767=0,0,O736/B767)</f>
        <v/>
      </c>
      <c r="S736">
        <f>IF(AND(Inputs!$B$4&lt;&gt;"pvp",Inputs!$B$35&gt;0),(INT(Inputs!$B$35/IF(Inputs!$B$4="pvp",15,MAX(0.1,Skills!D7-IF(Skills!E6=TRUE,Inputs!$B$31,0))))+1),0)</f>
        <v/>
      </c>
      <c r="V736">
        <f>IFERROR(1/IF(Inputs!$B$4="pvp",15,MAX(0.1,Skills!D7-IF(Skills!E6=TRUE,Inputs!$B$31,0))),0)</f>
        <v/>
      </c>
    </row>
    <row r="737">
      <c r="A737">
        <f>Skills!A8</f>
        <v/>
      </c>
      <c r="B737">
        <f>Skills!B8</f>
        <v/>
      </c>
      <c r="C737">
        <f>Inputs!$B$3&gt;=105</f>
        <v/>
      </c>
      <c r="D737">
        <f>IF(Skills!C8=1,60+Inputs!$B$24+Inputs!$B$28,IF(Skills!C8=2,90+Inputs!$B$25+Inputs!$B$28,IF(Skills!C8=3,120+(Inputs!$B$26+1)+Inputs!$B$28,MAX(0,(Inputs!$B$3-100)*3)+Inputs!$B$27+Inputs!$B$28)))</f>
        <v/>
      </c>
      <c r="E737">
        <f>INDEX(FactorTable!$B$2:$Y$301, MATCH(ROUND(MIN(300,MAX(1,D737)),0), FactorTable!$A$2:$A$301,0), Skills!L8+1)</f>
        <v/>
      </c>
      <c r="F737">
        <f>IF(Skills!M8=TRUE,(Skills!K8/10)*(E737/1000),Skills!K8/10)+Skills!N8</f>
        <v/>
      </c>
      <c r="G737">
        <f>Calc!G8</f>
        <v/>
      </c>
      <c r="H737">
        <f>Calc!H8</f>
        <v/>
      </c>
      <c r="I737">
        <f>IF(Skills!T8&lt;&gt;"",1+(Skills!T8/10)*($Z$3/1000)/100,1)</f>
        <v/>
      </c>
      <c r="J737">
        <f>((Inputs!$B$5*(1+Inputs!$B$6/100))+((Inputs!$B$11*(1+Inputs!$B$12/100))-(Inputs!$B$11*(1+Inputs!$B$12/100)))*(1+Inputs!$B$6/100))*(F737/100)</f>
        <v/>
      </c>
      <c r="K737">
        <f>J737*(1+((Inputs!$B$11*(1+Inputs!$B$12/100))*0.01+Inputs!$B$13*0.0025)/100)*(1+(Inputs!$B$14+B760)/100)*(1+IF(Inputs!$B$4="pvp",0,(1-Summary!$B$48)*(Inputs!$B$19+Skills!O8+B758)+Summary!$B$48*(Inputs!$B$20+Skills!P8+B759))/100)*(1+Inputs!$B$15/100)*(5000/(6000+Inputs!$B$7*(1-Inputs!$B$18/100)))*(1+Inputs!$B$23/100)*(1+IF(C746=TRUE,F746,0)/100)*(1+IF(C748=TRUE,F748,0)/100)*(1+IF(Skills!A8="TRIUMPH_FEATHER",IF(C744=TRUE,F744,0),0)/100)*(1+IF(C755=TRUE,F755,0)/100)^5*(1+(IF(Skills!A8="BIG_BANG",Inputs!$B$16,Inputs!$B$17))/100)*(B757*I737)</f>
        <v/>
      </c>
      <c r="L737">
        <f>K737*(MIN(Inputs!$B$21+(F750-Calc!F21),Inputs!$B$22)/100+Inputs!$B$22/100)/2</f>
        <v/>
      </c>
      <c r="M737">
        <f>L737*(1+(Inputs!$B$9+B761+(F753-Calc!F24))/100)</f>
        <v/>
      </c>
      <c r="N737">
        <f>L737*(1-MIN(Inputs!$B$8+((F752-Calc!F23)+(F751-Calc!F22)),100)/100)+M737*(MIN(Inputs!$B$8+((F752-Calc!F23)+(F751-Calc!F22)),100)/100)</f>
        <v/>
      </c>
      <c r="O737">
        <f>IF(C737,H737*N737*IF(AND(Inputs!$B$4&lt;&gt;"pvp",Inputs!$B$35&gt;0),((Skills!F8*((S737-1)*IF(Skills!G8&gt;0,Skills!H8/Skills!G8,1)+IF(Skills!G8&gt;0,MIN(Skills!H8,MAX(0,Inputs!$B$35-((S737-1)*IF(Inputs!$B$4="pvp",15,MAX(0.1,Skills!D8-IF(Skills!E8=TRUE,Inputs!$B$31,0))))))/Skills!G8,1)))/Inputs!$B$35),G737*V737)*IF(Inputs!$B$4="pvp",1,(1-Summary!$B$48)*(1)+Summary!$B$48*(MIN(Skills!Q8,Inputs!$B$37))),0)</f>
        <v/>
      </c>
      <c r="P737">
        <f>IF(B767=0,0,O737/B767)</f>
        <v/>
      </c>
      <c r="S737">
        <f>IF(AND(Inputs!$B$4&lt;&gt;"pvp",Inputs!$B$35&gt;0),(INT(Inputs!$B$35/IF(Inputs!$B$4="pvp",15,MAX(0.1,Skills!D8-IF(Skills!E8=TRUE,Inputs!$B$31,0))))+1),0)</f>
        <v/>
      </c>
      <c r="V737">
        <f>IFERROR(1/IF(Inputs!$B$4="pvp",15,MAX(0.1,Skills!D8-IF(Skills!E8=TRUE,Inputs!$B$31,0))),0)</f>
        <v/>
      </c>
    </row>
    <row r="738">
      <c r="A738">
        <f>Skills!A9</f>
        <v/>
      </c>
      <c r="B738">
        <f>Skills!B9</f>
        <v/>
      </c>
      <c r="C738">
        <f>Inputs!$B$3&gt;=115</f>
        <v/>
      </c>
      <c r="D738">
        <f>IF(Skills!C9=1,60+Inputs!$B$24+Inputs!$B$28,IF(Skills!C9=2,90+Inputs!$B$25+Inputs!$B$28,IF(Skills!C9=3,120+(Inputs!$B$26+1)+Inputs!$B$28,MAX(0,(Inputs!$B$3-100)*3)+Inputs!$B$27+Inputs!$B$28)))</f>
        <v/>
      </c>
      <c r="E738">
        <f>INDEX(FactorTable!$B$2:$Y$301, MATCH(ROUND(MIN(300,MAX(1,D738)),0), FactorTable!$A$2:$A$301,0), Skills!L9+1)</f>
        <v/>
      </c>
      <c r="F738">
        <f>IF(Skills!M9=TRUE,(Skills!K9/10)*(E738/1000),Skills!K9/10)+Skills!N9</f>
        <v/>
      </c>
      <c r="G738">
        <f>Calc!G9</f>
        <v/>
      </c>
      <c r="H738">
        <f>Calc!H9</f>
        <v/>
      </c>
      <c r="I738">
        <f>IF(Skills!T9&lt;&gt;"",1+(Skills!T9/10)*($Z$3/1000)/100,1)</f>
        <v/>
      </c>
      <c r="J738">
        <f>((Inputs!$B$5*(1+Inputs!$B$6/100))+((Inputs!$B$11*(1+Inputs!$B$12/100))-(Inputs!$B$11*(1+Inputs!$B$12/100)))*(1+Inputs!$B$6/100))*(F738/100)</f>
        <v/>
      </c>
      <c r="K738">
        <f>J738*(1+((Inputs!$B$11*(1+Inputs!$B$12/100))*0.01+Inputs!$B$13*0.0025)/100)*(1+(Inputs!$B$14+B760)/100)*(1+IF(Inputs!$B$4="pvp",0,(1-Summary!$B$48)*(Inputs!$B$19+Skills!O9+B758)+Summary!$B$48*(Inputs!$B$20+Skills!P9+B759))/100)*(1+Inputs!$B$15/100)*(5000/(6000+Inputs!$B$7*(1-Inputs!$B$18/100)))*(1+Inputs!$B$23/100)*(1+IF(C746=TRUE,F746,0)/100)*(1+IF(C748=TRUE,F748,0)/100)*(1+IF(Skills!A9="TRIUMPH_FEATHER",IF(C744=TRUE,F744,0),0)/100)*(1+IF(C755=TRUE,F755,0)/100)^5*(1+(IF(Skills!A9="BIG_BANG",Inputs!$B$16,Inputs!$B$17))/100)*(B757*I738)</f>
        <v/>
      </c>
      <c r="L738">
        <f>K738*(MIN(Inputs!$B$21+(F750-Calc!F21),Inputs!$B$22)/100+Inputs!$B$22/100)/2</f>
        <v/>
      </c>
      <c r="M738">
        <f>L738*(1+(Inputs!$B$9+B761+(F753-Calc!F24))/100)</f>
        <v/>
      </c>
      <c r="N738">
        <f>L738*(1-MIN(Inputs!$B$8+((F752-Calc!F23)+(F751-Calc!F22)),100)/100)+M738*(MIN(Inputs!$B$8+((F752-Calc!F23)+(F751-Calc!F22)),100)/100)</f>
        <v/>
      </c>
      <c r="O738">
        <f>IF(C738,H738*N738*IF(AND(Inputs!$B$4&lt;&gt;"pvp",Inputs!$B$35&gt;0),((Skills!F9*((S738-1)*IF(Skills!G9&gt;0,Skills!H9/Skills!G9,1)+IF(Skills!G9&gt;0,MIN(Skills!H9,MAX(0,Inputs!$B$35-((S738-1)*IF(Inputs!$B$4="pvp",15,MAX(0.1,Skills!D9-IF(Skills!E9=TRUE,Inputs!$B$31,0))))))/Skills!G9,1)))/Inputs!$B$35),G738*V738)*IF(Inputs!$B$4="pvp",1,(1-Summary!$B$48)*(1)+Summary!$B$48*(MIN(Skills!Q9,Inputs!$B$37))),0)</f>
        <v/>
      </c>
      <c r="P738">
        <f>IF(B767=0,0,O738/B767)</f>
        <v/>
      </c>
      <c r="S738">
        <f>IF(AND(Inputs!$B$4&lt;&gt;"pvp",Inputs!$B$35&gt;0),(INT(Inputs!$B$35/IF(Inputs!$B$4="pvp",15,MAX(0.1,Skills!D9-IF(Skills!E9=TRUE,Inputs!$B$31,0))))+1),0)</f>
        <v/>
      </c>
      <c r="V738">
        <f>IFERROR(1/IF(Inputs!$B$4="pvp",15,MAX(0.1,Skills!D9-IF(Skills!E9=TRUE,Inputs!$B$31,0))),0)</f>
        <v/>
      </c>
    </row>
    <row r="739">
      <c r="A739">
        <f>Skills!A10</f>
        <v/>
      </c>
      <c r="B739">
        <f>Skills!B10</f>
        <v/>
      </c>
      <c r="C739">
        <f>Inputs!$B$3&gt;=66</f>
        <v/>
      </c>
      <c r="D739">
        <f>IF(Skills!C10=1,60+Inputs!$B$24+Inputs!$B$28,IF(Skills!C10=2,90+Inputs!$B$25+Inputs!$B$28,IF(Skills!C10=3,120+(Inputs!$B$26+1)+Inputs!$B$28,MAX(0,(Inputs!$B$3-100)*3)+Inputs!$B$27+Inputs!$B$28)))</f>
        <v/>
      </c>
      <c r="E739">
        <f>INDEX(FactorTable!$B$2:$Y$301, MATCH(ROUND(MIN(300,MAX(1,D739)),0), FactorTable!$A$2:$A$301,0), Skills!L10+1)</f>
        <v/>
      </c>
      <c r="F739" t="n">
        <v>0</v>
      </c>
      <c r="G739">
        <f>Calc!G10</f>
        <v/>
      </c>
      <c r="H739">
        <f>Calc!H10</f>
        <v/>
      </c>
      <c r="I739">
        <f>IF(Skills!T10&lt;&gt;"",1+(Skills!T10/10)*($Z$3/1000)/100,1)</f>
        <v/>
      </c>
      <c r="J739" t="inlineStr"/>
      <c r="K739" t="inlineStr"/>
      <c r="L739" t="inlineStr"/>
      <c r="M739" t="inlineStr"/>
      <c r="N739" t="inlineStr"/>
      <c r="O739" t="n">
        <v>0</v>
      </c>
      <c r="P739">
        <f>IF(B767=0,0,O739/B767)</f>
        <v/>
      </c>
      <c r="S739">
        <f>IF(AND(Inputs!$B$4&lt;&gt;"pvp",Inputs!$B$35&gt;0),(INT(Inputs!$B$35/IF(Inputs!$B$4="pvp",15,MAX(0.1,Skills!D10-IF(Skills!E10=TRUE,Inputs!$B$31,0))))+1),0)</f>
        <v/>
      </c>
      <c r="V739">
        <f>IFERROR(1/IF(Inputs!$B$4="pvp",15,MAX(0.1,Skills!D10-IF(Skills!E10=TRUE,Inputs!$B$31,0))),0)</f>
        <v/>
      </c>
    </row>
    <row r="740">
      <c r="A740">
        <f>Skills!A11</f>
        <v/>
      </c>
      <c r="B740">
        <f>Skills!B11</f>
        <v/>
      </c>
      <c r="C740">
        <f>Inputs!$B$3&gt;=69</f>
        <v/>
      </c>
      <c r="D740">
        <f>IF(Skills!C11=1,60+Inputs!$B$24+Inputs!$B$28,IF(Skills!C11=2,90+Inputs!$B$25+Inputs!$B$28,IF(Skills!C11=3,120+(Inputs!$B$26+1)+Inputs!$B$28,MAX(0,(Inputs!$B$3-100)*3)+Inputs!$B$27+Inputs!$B$28)))</f>
        <v/>
      </c>
      <c r="E740">
        <f>INDEX(FactorTable!$B$2:$Y$301, MATCH(ROUND(MIN(300,MAX(1,D740)),0), FactorTable!$A$2:$A$301,0), Skills!L11+1)</f>
        <v/>
      </c>
      <c r="F740">
        <f>IF(Skills!M11=TRUE,(Skills!K11/10)*(E740/1000),Skills!K11/10)+Skills!N11</f>
        <v/>
      </c>
      <c r="G740">
        <f>Calc!G11</f>
        <v/>
      </c>
      <c r="H740">
        <f>Calc!H11</f>
        <v/>
      </c>
      <c r="I740">
        <f>IF(Skills!T11&lt;&gt;"",1+(Skills!T11/10)*($Z$3/1000)/100,1)</f>
        <v/>
      </c>
      <c r="J740" t="inlineStr"/>
      <c r="K740" t="inlineStr"/>
      <c r="L740" t="inlineStr"/>
      <c r="M740" t="inlineStr"/>
      <c r="N740" t="inlineStr"/>
      <c r="O740" t="n">
        <v>0</v>
      </c>
      <c r="P740">
        <f>IF(B767=0,0,O740/B767)</f>
        <v/>
      </c>
      <c r="S740">
        <f>IF(AND(Inputs!$B$4&lt;&gt;"pvp",Inputs!$B$35&gt;0),(INT(Inputs!$B$35/IF(Inputs!$B$4="pvp",15,MAX(0.1,Skills!D11-IF(Skills!E11=TRUE,Inputs!$B$31,0))))+1),0)</f>
        <v/>
      </c>
      <c r="V740">
        <f>IFERROR(1/IF(Inputs!$B$4="pvp",15,MAX(0.1,Skills!D11-IF(Skills!E11=TRUE,Inputs!$B$31,0))),0)</f>
        <v/>
      </c>
    </row>
    <row r="741">
      <c r="A741">
        <f>Skills!A12</f>
        <v/>
      </c>
      <c r="B741">
        <f>Skills!B12</f>
        <v/>
      </c>
      <c r="C741">
        <f>Inputs!$B$3&gt;=72</f>
        <v/>
      </c>
      <c r="D741">
        <f>IF(Skills!C12=1,60+Inputs!$B$24+Inputs!$B$28,IF(Skills!C12=2,90+Inputs!$B$25+Inputs!$B$28,IF(Skills!C12=3,120+(Inputs!$B$26+1)+Inputs!$B$28,MAX(0,(Inputs!$B$3-100)*3)+Inputs!$B$27+Inputs!$B$28)))</f>
        <v/>
      </c>
      <c r="E741">
        <f>INDEX(FactorTable!$B$2:$Y$301, MATCH(ROUND(MIN(300,MAX(1,D741)),0), FactorTable!$A$2:$A$301,0), Skills!L12+1)</f>
        <v/>
      </c>
      <c r="F741">
        <f>IF(Skills!M12=TRUE,(Skills!K12/10)*(E741/1000),Skills!K12/10)+Skills!N12</f>
        <v/>
      </c>
      <c r="G741">
        <f>Calc!G12</f>
        <v/>
      </c>
      <c r="H741">
        <f>Calc!H12</f>
        <v/>
      </c>
      <c r="I741">
        <f>IF(Skills!T12&lt;&gt;"",1+(Skills!T12/10)*($Z$3/1000)/100,1)</f>
        <v/>
      </c>
      <c r="J741" t="inlineStr"/>
      <c r="K741" t="inlineStr"/>
      <c r="L741" t="inlineStr"/>
      <c r="M741" t="inlineStr"/>
      <c r="N741" t="inlineStr"/>
      <c r="O741" t="n">
        <v>0</v>
      </c>
      <c r="P741">
        <f>IF(B767=0,0,O741/B767)</f>
        <v/>
      </c>
      <c r="S741">
        <f>IF(AND(Inputs!$B$4&lt;&gt;"pvp",Inputs!$B$35&gt;0),(INT(Inputs!$B$35/IF(Inputs!$B$4="pvp",15,MAX(0.1,Skills!D12-IF(Skills!E12=TRUE,Inputs!$B$31,0))))+1),0)</f>
        <v/>
      </c>
      <c r="V741">
        <f>IFERROR(1/IF(Inputs!$B$4="pvp",15,MAX(0.1,Skills!D12-IF(Skills!E12=TRUE,Inputs!$B$31,0))),0)</f>
        <v/>
      </c>
    </row>
    <row r="742">
      <c r="A742">
        <f>Skills!A13</f>
        <v/>
      </c>
      <c r="B742">
        <f>Skills!B13</f>
        <v/>
      </c>
      <c r="C742">
        <f>Inputs!$B$3&gt;=107</f>
        <v/>
      </c>
      <c r="D742">
        <f>IF(Skills!C13=1,60+Inputs!$B$24+Inputs!$B$28,IF(Skills!C13=2,90+Inputs!$B$25+Inputs!$B$28,IF(Skills!C13=3,120+(Inputs!$B$26+1)+Inputs!$B$28,MAX(0,(Inputs!$B$3-100)*3)+Inputs!$B$27+Inputs!$B$28)))</f>
        <v/>
      </c>
      <c r="E742">
        <f>INDEX(FactorTable!$B$2:$Y$301, MATCH(ROUND(MIN(300,MAX(1,D742)),0), FactorTable!$A$2:$A$301,0), Skills!L13+1)</f>
        <v/>
      </c>
      <c r="F742">
        <f>IF(Skills!M13=TRUE,(Skills!K13/10)*(E742/1000),Skills!K13/10)+Skills!N13</f>
        <v/>
      </c>
      <c r="G742">
        <f>Calc!G13</f>
        <v/>
      </c>
      <c r="H742">
        <f>Calc!H13</f>
        <v/>
      </c>
      <c r="I742">
        <f>IF(Skills!T13&lt;&gt;"",1+(Skills!T13/10)*($Z$3/1000)/100,1)</f>
        <v/>
      </c>
      <c r="J742" t="inlineStr"/>
      <c r="K742" t="inlineStr"/>
      <c r="L742" t="inlineStr"/>
      <c r="M742" t="inlineStr"/>
      <c r="N742" t="inlineStr"/>
      <c r="O742" t="n">
        <v>0</v>
      </c>
      <c r="P742">
        <f>IF(B767=0,0,O742/B767)</f>
        <v/>
      </c>
      <c r="S742">
        <f>IF(AND(Inputs!$B$4&lt;&gt;"pvp",Inputs!$B$35&gt;0),(INT(Inputs!$B$35/IF(Inputs!$B$4="pvp",15,MAX(0.1,Skills!D13-IF(Skills!E13=TRUE,Inputs!$B$31,0))))+1),0)</f>
        <v/>
      </c>
      <c r="V742">
        <f>IFERROR(1/IF(Inputs!$B$4="pvp",15,MAX(0.1,Skills!D13-IF(Skills!E13=TRUE,Inputs!$B$31,0))),0)</f>
        <v/>
      </c>
    </row>
    <row r="743">
      <c r="A743">
        <f>Skills!A14</f>
        <v/>
      </c>
      <c r="B743">
        <f>Skills!B14</f>
        <v/>
      </c>
      <c r="C743">
        <f>Inputs!$B$3&gt;=63</f>
        <v/>
      </c>
      <c r="D743">
        <f>IF(Skills!C14=1,60+Inputs!$B$24+Inputs!$B$28,IF(Skills!C14=2,90+Inputs!$B$25+Inputs!$B$28,IF(Skills!C14=3,120+(Inputs!$B$26+1)+Inputs!$B$28,MAX(0,(Inputs!$B$3-100)*3)+Inputs!$B$27+Inputs!$B$28)))</f>
        <v/>
      </c>
      <c r="E743">
        <f>INDEX(FactorTable!$B$2:$Y$301, MATCH(ROUND(MIN(300,MAX(1,D743)),0), FactorTable!$A$2:$A$301,0), Skills!L14+1)</f>
        <v/>
      </c>
      <c r="F743">
        <f>IF(Skills!M14=TRUE,(Skills!K14/10)*(E743/1000),Skills!K14/10)+Skills!N14</f>
        <v/>
      </c>
      <c r="G743">
        <f>Calc!G14</f>
        <v/>
      </c>
      <c r="H743">
        <f>Calc!H14</f>
        <v/>
      </c>
      <c r="I743">
        <f>IF(Skills!T14&lt;&gt;"",1+(Skills!T14/10)*($Z$3/1000)/100,1)</f>
        <v/>
      </c>
      <c r="J743">
        <f>((Inputs!$B$5*(1+Inputs!$B$6/100))+((Inputs!$B$11*(1+Inputs!$B$12/100))-(Inputs!$B$11*(1+Inputs!$B$12/100)))*(1+Inputs!$B$6/100))*(F743/100)</f>
        <v/>
      </c>
      <c r="K743">
        <f>J743*(1+((Inputs!$B$11*(1+Inputs!$B$12/100))*0.01+Inputs!$B$13*0.0025)/100)*(1+(Inputs!$B$14+B760)/100)*(1+IF(Inputs!$B$4="pvp",0,(1-Summary!$B$48)*(Inputs!$B$19+Skills!O14+B758)+Summary!$B$48*(Inputs!$B$20+Skills!P14+B759))/100)*(1+Inputs!$B$15/100)*(5000/(6000+Inputs!$B$7*(1-Inputs!$B$18/100)))*(1+Inputs!$B$23/100)*(1+IF(C746=TRUE,F746,0)/100)*(1+IF(C748=TRUE,F748,0)/100)*(1+IF(Skills!A14="TRIUMPH_FEATHER",IF(C744=TRUE,F744,0),0)/100)*(1+IF(C755=TRUE,F755,0)/100)^5*(1+(IF(Skills!A14="BIG_BANG",Inputs!$B$16,Inputs!$B$17))/100)*(B757*I743)</f>
        <v/>
      </c>
      <c r="L743">
        <f>K743*(MIN(Inputs!$B$21+(F750-Calc!F21),Inputs!$B$22)/100+Inputs!$B$22/100)/2</f>
        <v/>
      </c>
      <c r="M743">
        <f>L743*(1+(Inputs!$B$9+B761+(F753-Calc!F24))/100)</f>
        <v/>
      </c>
      <c r="N743">
        <f>L743*(1-MIN(Inputs!$B$8+((F752-Calc!F23)+(F751-Calc!F22)),100)/100)+M743*(MIN(Inputs!$B$8+((F752-Calc!F23)+(F751-Calc!F22)),100)/100)</f>
        <v/>
      </c>
      <c r="O743">
        <f>IF(C743,Skills!F14*N743*((IF(Inputs!$B$3&gt;=78,25,15)/100*B763*10)/(1+IF(Inputs!$B$3&gt;=78,25,15)/100*B763*10))*(Skills!I14/100*B763)/(1+Skills!G14*Skills!I14/100*B763)*IF(Inputs!$B$4="pvp",1,(1-Summary!$B$48)*(1)+Summary!$B$48*(MIN(Skills!Q14,Inputs!$B$37))),0)</f>
        <v/>
      </c>
      <c r="P743">
        <f>IF(B767=0,0,O743/B767)</f>
        <v/>
      </c>
      <c r="S743" t="n">
        <v>0</v>
      </c>
      <c r="V743">
        <f>IFERROR(1/IF(Inputs!$B$4="pvp",15,MAX(0.1,Skills!D14-IF(Skills!E14=TRUE,Inputs!$B$31,0))),0)</f>
        <v/>
      </c>
    </row>
    <row r="744">
      <c r="A744">
        <f>Skills!A15</f>
        <v/>
      </c>
      <c r="B744">
        <f>Skills!B15</f>
        <v/>
      </c>
      <c r="C744">
        <f>Inputs!$B$3&gt;=100</f>
        <v/>
      </c>
      <c r="D744">
        <f>IF(Skills!C15=1,60+Inputs!$B$24+Inputs!$B$28,IF(Skills!C15=2,90+Inputs!$B$25+Inputs!$B$28,IF(Skills!C15=3,120+(Inputs!$B$26+1)+Inputs!$B$28,MAX(0,(Inputs!$B$3-100)*3)+Inputs!$B$27+Inputs!$B$28)))</f>
        <v/>
      </c>
      <c r="E744">
        <f>INDEX(FactorTable!$B$2:$Y$301, MATCH(ROUND(MIN(300,MAX(1,D744)),0), FactorTable!$A$2:$A$301,0), Skills!L15+1)</f>
        <v/>
      </c>
      <c r="F744">
        <f>IF(Skills!M15=TRUE,(Skills!K15/10)*(E744/1000),Skills!K15/10)+Skills!N15</f>
        <v/>
      </c>
      <c r="G744">
        <f>Calc!G15</f>
        <v/>
      </c>
      <c r="H744">
        <f>Calc!H15</f>
        <v/>
      </c>
      <c r="I744">
        <f>IF(Skills!T15&lt;&gt;"",1+(Skills!T15/10)*($Z$3/1000)/100,1)</f>
        <v/>
      </c>
      <c r="J744" t="inlineStr"/>
      <c r="K744" t="inlineStr"/>
      <c r="L744" t="inlineStr"/>
      <c r="M744" t="inlineStr"/>
      <c r="N744" t="inlineStr"/>
      <c r="O744" t="n">
        <v>0</v>
      </c>
      <c r="P744">
        <f>IF(B767=0,0,O744/B767)</f>
        <v/>
      </c>
      <c r="S744" t="n">
        <v>0</v>
      </c>
      <c r="V744">
        <f>IFERROR(1/IF(Inputs!$B$4="pvp",15,MAX(0.1,Skills!D15-IF(Skills!E15=TRUE,Inputs!$B$31,0))),0)</f>
        <v/>
      </c>
    </row>
    <row r="745">
      <c r="A745">
        <f>Skills!A16</f>
        <v/>
      </c>
      <c r="B745">
        <f>Skills!B16</f>
        <v/>
      </c>
      <c r="C745">
        <f>Inputs!$B$3&gt;=49</f>
        <v/>
      </c>
      <c r="D745">
        <f>IF(Skills!C16=1,60+Inputs!$B$24+Inputs!$B$28,IF(Skills!C16=2,90+Inputs!$B$25+Inputs!$B$28,IF(Skills!C16=3,120+(Inputs!$B$26+1)+Inputs!$B$28,MAX(0,(Inputs!$B$3-100)*3)+Inputs!$B$27+Inputs!$B$28)))</f>
        <v/>
      </c>
      <c r="E745">
        <f>INDEX(FactorTable!$B$2:$Y$301, MATCH(ROUND(MIN(300,MAX(1,D745)),0), FactorTable!$A$2:$A$301,0), Skills!L16+1)</f>
        <v/>
      </c>
      <c r="F745">
        <f>IF(Skills!M16=TRUE,(Skills!K16/10)*(E745/1000),Skills!K16/10)+Skills!N16</f>
        <v/>
      </c>
      <c r="G745">
        <f>Calc!G16</f>
        <v/>
      </c>
      <c r="H745">
        <f>Calc!H16</f>
        <v/>
      </c>
      <c r="I745">
        <f>IF(Skills!T16&lt;&gt;"",1+(Skills!T16/10)*($Z$3/1000)/100,1)</f>
        <v/>
      </c>
      <c r="J745" t="inlineStr"/>
      <c r="K745" t="inlineStr"/>
      <c r="L745" t="inlineStr"/>
      <c r="M745" t="inlineStr"/>
      <c r="N745" t="inlineStr"/>
      <c r="O745" t="n">
        <v>0</v>
      </c>
      <c r="P745">
        <f>IF(B767=0,0,O745/B767)</f>
        <v/>
      </c>
      <c r="S745" t="n">
        <v>0</v>
      </c>
      <c r="V745">
        <f>IFERROR(1/IF(Inputs!$B$4="pvp",15,MAX(0.1,Skills!D16-IF(Skills!E16=TRUE,Inputs!$B$31,0))),0)</f>
        <v/>
      </c>
    </row>
    <row r="746">
      <c r="A746">
        <f>Skills!A17</f>
        <v/>
      </c>
      <c r="B746">
        <f>Skills!B17</f>
        <v/>
      </c>
      <c r="C746">
        <f>Inputs!$B$3&gt;=75</f>
        <v/>
      </c>
      <c r="D746">
        <f>IF(Skills!C17=1,60+Inputs!$B$24+Inputs!$B$28,IF(Skills!C17=2,90+Inputs!$B$25+Inputs!$B$28,IF(Skills!C17=3,120+(Inputs!$B$26+1)+Inputs!$B$28,MAX(0,(Inputs!$B$3-100)*3)+Inputs!$B$27+Inputs!$B$28)))</f>
        <v/>
      </c>
      <c r="E746">
        <f>INDEX(FactorTable!$B$2:$Y$301, MATCH(ROUND(MIN(300,MAX(1,D746)),0), FactorTable!$A$2:$A$301,0), Skills!L17+1)</f>
        <v/>
      </c>
      <c r="F746">
        <f>IF(Skills!M17=TRUE,(Skills!K17/10)*(E746/1000),Skills!K17/10)+Skills!N17</f>
        <v/>
      </c>
      <c r="G746">
        <f>Calc!G17</f>
        <v/>
      </c>
      <c r="H746">
        <f>Calc!H17</f>
        <v/>
      </c>
      <c r="I746">
        <f>IF(Skills!T17&lt;&gt;"",1+(Skills!T17/10)*($Z$3/1000)/100,1)</f>
        <v/>
      </c>
      <c r="J746" t="inlineStr"/>
      <c r="K746" t="inlineStr"/>
      <c r="L746" t="inlineStr"/>
      <c r="M746" t="inlineStr"/>
      <c r="N746" t="inlineStr"/>
      <c r="O746" t="n">
        <v>0</v>
      </c>
      <c r="P746">
        <f>IF(B767=0,0,O746/B767)</f>
        <v/>
      </c>
      <c r="S746" t="n">
        <v>0</v>
      </c>
      <c r="V746">
        <f>IFERROR(1/IF(Inputs!$B$4="pvp",15,MAX(0.1,Skills!D17-IF(Skills!E17=TRUE,Inputs!$B$31,0))),0)</f>
        <v/>
      </c>
    </row>
    <row r="747">
      <c r="A747">
        <f>Skills!A18</f>
        <v/>
      </c>
      <c r="B747">
        <f>Skills!B18</f>
        <v/>
      </c>
      <c r="C747">
        <f>Inputs!$B$3&gt;=110</f>
        <v/>
      </c>
      <c r="D747">
        <f>IF(Skills!C18=1,60+Inputs!$B$24+Inputs!$B$28,IF(Skills!C18=2,90+Inputs!$B$25+Inputs!$B$28,IF(Skills!C18=3,120+(Inputs!$B$26+1)+Inputs!$B$28,MAX(0,(Inputs!$B$3-100)*3)+Inputs!$B$27+Inputs!$B$28)))</f>
        <v/>
      </c>
      <c r="E747">
        <f>INDEX(FactorTable!$B$2:$Y$301, MATCH(ROUND(MIN(300,MAX(1,D747)),0), FactorTable!$A$2:$A$301,0), Skills!L18+1)</f>
        <v/>
      </c>
      <c r="F747">
        <f>(Skills!K18/10)*(E747/1000)*64/45+Skills!N18</f>
        <v/>
      </c>
      <c r="G747">
        <f>Calc!G18</f>
        <v/>
      </c>
      <c r="H747">
        <f>Calc!H18</f>
        <v/>
      </c>
      <c r="I747">
        <f>IF(Skills!T18&lt;&gt;"",1+(Skills!T18/10)*($Z$3/1000)/100,1)</f>
        <v/>
      </c>
      <c r="J747" t="inlineStr"/>
      <c r="K747" t="inlineStr"/>
      <c r="L747" t="inlineStr"/>
      <c r="M747" t="inlineStr"/>
      <c r="N747" t="inlineStr"/>
      <c r="O747" t="n">
        <v>0</v>
      </c>
      <c r="P747">
        <f>IF(B767=0,0,O747/B767)</f>
        <v/>
      </c>
      <c r="S747">
        <f>IF(AND(Inputs!$B$4&lt;&gt;"pvp",Inputs!$B$35&gt;0),(INT(Inputs!$B$35/IF(Inputs!$B$4="pvp",15,MAX(0.1,Skills!D18-IF(Skills!E18=TRUE,Inputs!$B$31,0))))+1),0)</f>
        <v/>
      </c>
      <c r="V747">
        <f>IFERROR(1/IF(Inputs!$B$4="pvp",15,MAX(0.1,Skills!D18-IF(Skills!E18=TRUE,Inputs!$B$31,0))),0)</f>
        <v/>
      </c>
    </row>
    <row r="748">
      <c r="A748">
        <f>Skills!A19</f>
        <v/>
      </c>
      <c r="B748">
        <f>Skills!B19</f>
        <v/>
      </c>
      <c r="C748">
        <f>Inputs!$B$3&gt;=125</f>
        <v/>
      </c>
      <c r="D748">
        <f>IF(Skills!C19=1,60+Inputs!$B$24+Inputs!$B$28,IF(Skills!C19=2,90+Inputs!$B$25+Inputs!$B$28,IF(Skills!C19=3,120+(Inputs!$B$26+1)+Inputs!$B$28,MAX(0,(Inputs!$B$3-100)*3)+Inputs!$B$27+Inputs!$B$28)))</f>
        <v/>
      </c>
      <c r="E748">
        <f>INDEX(FactorTable!$B$2:$Y$301, MATCH(ROUND(MIN(300,MAX(1,D748)),0), FactorTable!$A$2:$A$301,0), Skills!L19+1)</f>
        <v/>
      </c>
      <c r="F748">
        <f>IF(Skills!M19=TRUE,(Skills!K19/10)*(E748/1000),Skills!K19/10)+Skills!N19</f>
        <v/>
      </c>
      <c r="G748">
        <f>Calc!G19</f>
        <v/>
      </c>
      <c r="H748">
        <f>Calc!H19</f>
        <v/>
      </c>
      <c r="I748">
        <f>IF(Skills!T19&lt;&gt;"",1+(Skills!T19/10)*($Z$3/1000)/100,1)</f>
        <v/>
      </c>
      <c r="J748" t="inlineStr"/>
      <c r="K748" t="inlineStr"/>
      <c r="L748" t="inlineStr"/>
      <c r="M748" t="inlineStr"/>
      <c r="N748" t="inlineStr"/>
      <c r="O748" t="n">
        <v>0</v>
      </c>
      <c r="P748">
        <f>IF(B767=0,0,O748/B767)</f>
        <v/>
      </c>
      <c r="S748" t="n">
        <v>0</v>
      </c>
      <c r="V748">
        <f>IFERROR(1/IF(Inputs!$B$4="pvp",15,MAX(0.1,Skills!D19-IF(Skills!E19=TRUE,Inputs!$B$31,0))),0)</f>
        <v/>
      </c>
    </row>
    <row r="749">
      <c r="A749">
        <f>Skills!A20</f>
        <v/>
      </c>
      <c r="B749">
        <f>Skills!B20</f>
        <v/>
      </c>
      <c r="C749">
        <f>Inputs!$B$3&gt;=33</f>
        <v/>
      </c>
      <c r="D749">
        <f>IF(Skills!C20=1,60+Inputs!$B$24+Inputs!$B$28,IF(Skills!C20=2,90+Inputs!$B$25+Inputs!$B$28,IF(Skills!C20=3,120+(Inputs!$B$26+1)+Inputs!$B$28,MAX(0,(Inputs!$B$3-100)*3)+Inputs!$B$27+Inputs!$B$28)))</f>
        <v/>
      </c>
      <c r="E749">
        <f>INDEX(FactorTable!$B$2:$Y$301, MATCH(ROUND(MIN(300,MAX(1,D749)),0), FactorTable!$A$2:$A$301,0), Skills!L20+1)</f>
        <v/>
      </c>
      <c r="F749">
        <f>IF(Skills!M20=TRUE,(Skills!K20/10)*(E749/1000),Skills!K20/10)+Skills!N20</f>
        <v/>
      </c>
      <c r="G749">
        <f>Calc!G20</f>
        <v/>
      </c>
      <c r="H749">
        <f>Calc!H20</f>
        <v/>
      </c>
      <c r="I749">
        <f>IF(Skills!T20&lt;&gt;"",1+(Skills!T20/10)*($Z$3/1000)/100,1)</f>
        <v/>
      </c>
      <c r="J749" t="inlineStr"/>
      <c r="K749" t="inlineStr"/>
      <c r="L749" t="inlineStr"/>
      <c r="M749" t="inlineStr"/>
      <c r="N749" t="inlineStr"/>
      <c r="O749" t="n">
        <v>0</v>
      </c>
      <c r="P749">
        <f>IF(B767=0,0,O749/B767)</f>
        <v/>
      </c>
      <c r="S749" t="n">
        <v>0</v>
      </c>
      <c r="V749">
        <f>IFERROR(1/IF(Inputs!$B$4="pvp",15,MAX(0.1,Skills!D20-IF(Skills!E20=TRUE,Inputs!$B$31,0))),0)</f>
        <v/>
      </c>
    </row>
    <row r="750">
      <c r="A750">
        <f>Skills!A21</f>
        <v/>
      </c>
      <c r="B750">
        <f>Skills!B21</f>
        <v/>
      </c>
      <c r="C750">
        <f>Inputs!$B$3&gt;=43</f>
        <v/>
      </c>
      <c r="D750">
        <f>IF(Skills!C21=1,60+Inputs!$B$24+Inputs!$B$28,IF(Skills!C21=2,90+Inputs!$B$25+Inputs!$B$28,IF(Skills!C21=3,120+(Inputs!$B$26+1)+Inputs!$B$28,MAX(0,(Inputs!$B$3-100)*3)+Inputs!$B$27+Inputs!$B$28)))</f>
        <v/>
      </c>
      <c r="E750">
        <f>INDEX(FactorTable!$B$2:$Y$301, MATCH(ROUND(MIN(300,MAX(1,D750)),0), FactorTable!$A$2:$A$301,0), Skills!L21+1)</f>
        <v/>
      </c>
      <c r="F750">
        <f>IF(Skills!M21=TRUE,(Skills!K21/10)*(E750/1000),Skills!K21/10)+Skills!N21</f>
        <v/>
      </c>
      <c r="G750">
        <f>Calc!G21</f>
        <v/>
      </c>
      <c r="H750">
        <f>Calc!H21</f>
        <v/>
      </c>
      <c r="I750">
        <f>IF(Skills!T21&lt;&gt;"",1+(Skills!T21/10)*($Z$3/1000)/100,1)</f>
        <v/>
      </c>
      <c r="J750" t="inlineStr"/>
      <c r="K750" t="inlineStr"/>
      <c r="L750" t="inlineStr"/>
      <c r="M750" t="inlineStr"/>
      <c r="N750" t="inlineStr"/>
      <c r="O750" t="n">
        <v>0</v>
      </c>
      <c r="P750">
        <f>IF(B767=0,0,O750/B767)</f>
        <v/>
      </c>
      <c r="S750" t="n">
        <v>0</v>
      </c>
      <c r="V750">
        <f>IFERROR(1/IF(Inputs!$B$4="pvp",15,MAX(0.1,Skills!D21-IF(Skills!E21=TRUE,Inputs!$B$31,0))),0)</f>
        <v/>
      </c>
    </row>
    <row r="751">
      <c r="A751">
        <f>Skills!A22</f>
        <v/>
      </c>
      <c r="B751">
        <f>Skills!B22</f>
        <v/>
      </c>
      <c r="C751">
        <f>Inputs!$B$3&gt;=50</f>
        <v/>
      </c>
      <c r="D751">
        <f>IF(Skills!C22=1,60+Inputs!$B$24+Inputs!$B$28,IF(Skills!C22=2,90+Inputs!$B$25+Inputs!$B$28,IF(Skills!C22=3,120+(Inputs!$B$26+1)+Inputs!$B$28,MAX(0,(Inputs!$B$3-100)*3)+Inputs!$B$27+Inputs!$B$28)))</f>
        <v/>
      </c>
      <c r="E751">
        <f>INDEX(FactorTable!$B$2:$Y$301, MATCH(ROUND(MIN(300,MAX(1,D751)),0), FactorTable!$A$2:$A$301,0), Skills!L22+1)</f>
        <v/>
      </c>
      <c r="F751">
        <f>IF(Skills!M22=TRUE,(Skills!K22/10)*(E751/1000),Skills!K22/10)+Skills!N22</f>
        <v/>
      </c>
      <c r="G751">
        <f>Calc!G22</f>
        <v/>
      </c>
      <c r="H751">
        <f>Calc!H22</f>
        <v/>
      </c>
      <c r="I751">
        <f>IF(Skills!T22&lt;&gt;"",1+(Skills!T22/10)*($Z$3/1000)/100,1)</f>
        <v/>
      </c>
      <c r="J751" t="inlineStr"/>
      <c r="K751" t="inlineStr"/>
      <c r="L751" t="inlineStr"/>
      <c r="M751" t="inlineStr"/>
      <c r="N751" t="inlineStr"/>
      <c r="O751" t="n">
        <v>0</v>
      </c>
      <c r="P751">
        <f>IF(B767=0,0,O751/B767)</f>
        <v/>
      </c>
      <c r="S751" t="n">
        <v>0</v>
      </c>
      <c r="V751">
        <f>IFERROR(1/IF(Inputs!$B$4="pvp",15,MAX(0.1,Skills!D22-IF(Skills!E22=TRUE,Inputs!$B$31,0))),0)</f>
        <v/>
      </c>
    </row>
    <row r="752">
      <c r="A752">
        <f>Skills!A23</f>
        <v/>
      </c>
      <c r="B752">
        <f>Skills!B23</f>
        <v/>
      </c>
      <c r="C752">
        <f>Inputs!$B$3&gt;=74</f>
        <v/>
      </c>
      <c r="D752">
        <f>IF(Skills!C23=1,60+Inputs!$B$24+Inputs!$B$28,IF(Skills!C23=2,90+Inputs!$B$25+Inputs!$B$28,IF(Skills!C23=3,120+(Inputs!$B$26+1)+Inputs!$B$28,MAX(0,(Inputs!$B$3-100)*3)+Inputs!$B$27+Inputs!$B$28)))</f>
        <v/>
      </c>
      <c r="E752">
        <f>INDEX(FactorTable!$B$2:$Y$301, MATCH(ROUND(MIN(300,MAX(1,D752)),0), FactorTable!$A$2:$A$301,0), Skills!L23+1)</f>
        <v/>
      </c>
      <c r="F752">
        <f>IF(Skills!M23=TRUE,(Skills!K23/10)*(E752/1000),Skills!K23/10)+Skills!N23</f>
        <v/>
      </c>
      <c r="G752">
        <f>Calc!G23</f>
        <v/>
      </c>
      <c r="H752">
        <f>Calc!H23</f>
        <v/>
      </c>
      <c r="I752">
        <f>IF(Skills!T23&lt;&gt;"",1+(Skills!T23/10)*($Z$3/1000)/100,1)</f>
        <v/>
      </c>
      <c r="J752" t="inlineStr"/>
      <c r="K752" t="inlineStr"/>
      <c r="L752" t="inlineStr"/>
      <c r="M752" t="inlineStr"/>
      <c r="N752" t="inlineStr"/>
      <c r="O752" t="n">
        <v>0</v>
      </c>
      <c r="P752">
        <f>IF(B767=0,0,O752/B767)</f>
        <v/>
      </c>
      <c r="S752" t="n">
        <v>0</v>
      </c>
      <c r="V752">
        <f>IFERROR(1/IF(Inputs!$B$4="pvp",15,MAX(0.1,Skills!D23-IF(Skills!E23=TRUE,Inputs!$B$31,0))),0)</f>
        <v/>
      </c>
    </row>
    <row r="753">
      <c r="A753">
        <f>Skills!A24</f>
        <v/>
      </c>
      <c r="B753">
        <f>Skills!B24</f>
        <v/>
      </c>
      <c r="C753">
        <f>Inputs!$B$3&gt;=74</f>
        <v/>
      </c>
      <c r="D753">
        <f>IF(Skills!C24=1,60+Inputs!$B$24+Inputs!$B$28,IF(Skills!C24=2,90+Inputs!$B$25+Inputs!$B$28,IF(Skills!C24=3,120+(Inputs!$B$26+1)+Inputs!$B$28,MAX(0,(Inputs!$B$3-100)*3)+Inputs!$B$27+Inputs!$B$28)))</f>
        <v/>
      </c>
      <c r="E753">
        <f>INDEX(FactorTable!$B$2:$Y$301, MATCH(ROUND(MIN(300,MAX(1,D753)),0), FactorTable!$A$2:$A$301,0), Skills!L24+1)</f>
        <v/>
      </c>
      <c r="F753">
        <f>IF(Skills!M24=TRUE,(Skills!K24/10)*(E753/1000),Skills!K24/10)+Skills!N24</f>
        <v/>
      </c>
      <c r="G753">
        <f>Calc!G24</f>
        <v/>
      </c>
      <c r="H753">
        <f>Calc!H24</f>
        <v/>
      </c>
      <c r="I753">
        <f>IF(Skills!T24&lt;&gt;"",1+(Skills!T24/10)*($Z$3/1000)/100,1)</f>
        <v/>
      </c>
      <c r="J753" t="inlineStr"/>
      <c r="K753" t="inlineStr"/>
      <c r="L753" t="inlineStr"/>
      <c r="M753" t="inlineStr"/>
      <c r="N753" t="inlineStr"/>
      <c r="O753" t="n">
        <v>0</v>
      </c>
      <c r="P753">
        <f>IF(B767=0,0,O753/B767)</f>
        <v/>
      </c>
      <c r="S753" t="n">
        <v>0</v>
      </c>
      <c r="V753">
        <f>IFERROR(1/IF(Inputs!$B$4="pvp",15,MAX(0.1,Skills!D24-IF(Skills!E24=TRUE,Inputs!$B$31,0))),0)</f>
        <v/>
      </c>
    </row>
    <row r="754">
      <c r="A754">
        <f>Skills!A25</f>
        <v/>
      </c>
      <c r="B754">
        <f>Skills!B25</f>
        <v/>
      </c>
      <c r="C754">
        <f>Inputs!$B$3&gt;=117</f>
        <v/>
      </c>
      <c r="D754">
        <f>IF(Skills!C25=1,60+Inputs!$B$24+Inputs!$B$28,IF(Skills!C25=2,90+Inputs!$B$25+Inputs!$B$28,IF(Skills!C25=3,120+(Inputs!$B$26+1)+Inputs!$B$28,MAX(0,(Inputs!$B$3-100)*3)+Inputs!$B$27+Inputs!$B$28)))</f>
        <v/>
      </c>
      <c r="E754">
        <f>INDEX(FactorTable!$B$2:$Y$301, MATCH(ROUND(MIN(300,MAX(1,D754)),0), FactorTable!$A$2:$A$301,0), Skills!L25+1)</f>
        <v/>
      </c>
      <c r="F754">
        <f>IF(Skills!M25=TRUE,(Skills!K25/10)*(E754/1000),Skills!K25/10)+Skills!N25</f>
        <v/>
      </c>
      <c r="G754">
        <f>Calc!G25</f>
        <v/>
      </c>
      <c r="H754">
        <f>Calc!H25</f>
        <v/>
      </c>
      <c r="I754">
        <f>IF(Skills!T25&lt;&gt;"",1+(Skills!T25/10)*($Z$3/1000)/100,1)</f>
        <v/>
      </c>
      <c r="J754" t="inlineStr"/>
      <c r="K754" t="inlineStr"/>
      <c r="L754" t="inlineStr"/>
      <c r="M754" t="inlineStr"/>
      <c r="N754" t="inlineStr"/>
      <c r="O754" t="n">
        <v>0</v>
      </c>
      <c r="P754">
        <f>IF(B767=0,0,O754/B767)</f>
        <v/>
      </c>
      <c r="S754" t="n">
        <v>0</v>
      </c>
      <c r="V754">
        <f>IFERROR(1/IF(Inputs!$B$4="pvp",15,MAX(0.1,Skills!D25-IF(Skills!E25=TRUE,Inputs!$B$31,0))),0)</f>
        <v/>
      </c>
    </row>
    <row r="755">
      <c r="A755">
        <f>Skills!A26</f>
        <v/>
      </c>
      <c r="B755">
        <f>Skills!B26</f>
        <v/>
      </c>
      <c r="C755">
        <f>Inputs!$B$3&gt;=120</f>
        <v/>
      </c>
      <c r="D755">
        <f>IF(Skills!C26=1,60+Inputs!$B$24+Inputs!$B$28,IF(Skills!C26=2,90+Inputs!$B$25+Inputs!$B$28,IF(Skills!C26=3,120+(Inputs!$B$26+1)+Inputs!$B$28,MAX(0,(Inputs!$B$3-100)*3)+Inputs!$B$27+Inputs!$B$28)))</f>
        <v/>
      </c>
      <c r="E755">
        <f>INDEX(FactorTable!$B$2:$Y$301, MATCH(ROUND(MIN(300,MAX(1,D755)),0), FactorTable!$A$2:$A$301,0), Skills!L26+1)</f>
        <v/>
      </c>
      <c r="F755">
        <f>IF(Skills!M26=TRUE,(Skills!K26/10)*(E755/1000),Skills!K26/10)+Skills!N26</f>
        <v/>
      </c>
      <c r="G755">
        <f>Calc!G26</f>
        <v/>
      </c>
      <c r="H755">
        <f>Calc!H26</f>
        <v/>
      </c>
      <c r="I755">
        <f>IF(Skills!T26&lt;&gt;"",1+(Skills!T26/10)*($Z$3/1000)/100,1)</f>
        <v/>
      </c>
      <c r="J755" t="inlineStr"/>
      <c r="K755" t="inlineStr"/>
      <c r="L755" t="inlineStr"/>
      <c r="M755" t="inlineStr"/>
      <c r="N755" t="inlineStr"/>
      <c r="O755" t="n">
        <v>0</v>
      </c>
      <c r="P755">
        <f>IF(B767=0,0,O755/B767)</f>
        <v/>
      </c>
      <c r="S755" t="n">
        <v>0</v>
      </c>
      <c r="V755">
        <f>IFERROR(1/IF(Inputs!$B$4="pvp",15,MAX(0.1,Skills!D26-IF(Skills!E26=TRUE,Inputs!$B$31,0))),0)</f>
        <v/>
      </c>
    </row>
    <row r="757">
      <c r="A757" t="inlineStr">
        <is>
          <t>Average Buff Multiplier</t>
        </is>
      </c>
      <c r="B757">
        <f>(1+(IF(C732=TRUE,F732*IF(AND(Inputs!$B$4&lt;&gt;"pvp",Inputs!$B$35&gt;0),(((S732-1)*(Skills!S3*(1+(Inputs!$B$33+IF(Inputs!$B$3&gt;=117,F754,0))/100))+MIN((Skills!S3*(1+(Inputs!$B$33+IF(Inputs!$B$3&gt;=117,F754,0))/100)),MAX(0,Inputs!$B$35-((S732-1)*Skills!D3))))/Inputs!$B$35),IF(Inputs!$B$4="pvp",MIN((Skills!S3*(1+(Inputs!$B$33+IF(Inputs!$B$3&gt;=117,F754,0))/100)),15)/15,(Skills!S3*(1+(Inputs!$B$33+IF(Inputs!$B$3&gt;=117,F754,0))/100))/Skills!D3)),0)+IF(C733=TRUE,F733*IF(AND(Inputs!$B$4&lt;&gt;"pvp",Inputs!$B$35&gt;0),(((S733-1)*(Skills!S4*(1+(Inputs!$B$33+IF(Inputs!$B$3&gt;=117,F754,0))/100))+MIN((Skills!S4*(1+(Inputs!$B$33+IF(Inputs!$B$3&gt;=117,F754,0))/100)),MAX(0,Inputs!$B$35-((S733-1)*Skills!D4))))/Inputs!$B$35),IF(Inputs!$B$4="pvp",MIN((Skills!S4*(1+(Inputs!$B$33+IF(Inputs!$B$3&gt;=117,F754,0))/100)),15)/15,(Skills!S4*(1+(Inputs!$B$33+IF(Inputs!$B$3&gt;=117,F754,0))/100))/Skills!D4)),0)+IF(C734=TRUE,F734*IF(AND(Inputs!$B$4&lt;&gt;"pvp",Inputs!$B$35&gt;0),(((S734-1)*(Skills!S5*(1+(Inputs!$B$33+IF(Inputs!$B$3&gt;=117,F754,0))/100))+MIN((Skills!S5*(1+(Inputs!$B$33+IF(Inputs!$B$3&gt;=117,F754,0))/100)),MAX(0,Inputs!$B$35-((S734-1)*Skills!D5))))/Inputs!$B$35),IF(Inputs!$B$4="pvp",MIN((Skills!S5*(1+(Inputs!$B$33+IF(Inputs!$B$3&gt;=117,F754,0))/100)),15)/15,(Skills!S5*(1+(Inputs!$B$33+IF(Inputs!$B$3&gt;=117,F754,0))/100))/Skills!D5)),0)+IF(C740=TRUE,F740*IF(AND(Inputs!$B$4&lt;&gt;"pvp",Inputs!$B$35&gt;0),(((S740-1)*(Skills!S11*(1+(Inputs!$B$33+IF(Inputs!$B$3&gt;=117,F754,0))/100))+MIN((Skills!S11*(1+(Inputs!$B$33+IF(Inputs!$B$3&gt;=117,F754,0))/100)),MAX(0,Inputs!$B$35-((S740-1)*Skills!D11))))/Inputs!$B$35),IF(Inputs!$B$4="pvp",MIN((Skills!S11*(1+(Inputs!$B$33+IF(Inputs!$B$3&gt;=117,F754,0))/100)),15)/15,(Skills!S11*(1+(Inputs!$B$33+IF(Inputs!$B$3&gt;=117,F754,0))/100))/Skills!D11)),0))/100)*IF(C742=TRUE,(1+F742*IF(AND(Inputs!$B$4&lt;&gt;"pvp",Inputs!$B$35&gt;0),(((S742-1)*(Skills!S13*(1+(Inputs!$B$33+IF(Inputs!$B$3&gt;=117,F754,0))/100))+MIN((Skills!S13*(1+(Inputs!$B$33+IF(Inputs!$B$3&gt;=117,F754,0))/100)),MAX(0,Inputs!$B$35-((S742-1)*Skills!D13))))/Inputs!$B$35),IF(Inputs!$B$4="pvp",MIN((Skills!S13*(1+(Inputs!$B$33+IF(Inputs!$B$3&gt;=117,F754,0))/100)),15)/15,(Skills!S13*(1+(Inputs!$B$33+IF(Inputs!$B$3&gt;=117,F754,0))/100))/Skills!D13))/100),1)*IF(C747=TRUE,(1+F747*IF(AND(Inputs!$B$4&lt;&gt;"pvp",Inputs!$B$35&gt;0),(((S747-1)*(Skills!S18*(1+(Inputs!$B$33+IF(Inputs!$B$3&gt;=117,F754,0))/100))+MIN((Skills!S18*(1+(Inputs!$B$33+IF(Inputs!$B$3&gt;=117,F754,0))/100)),MAX(0,Inputs!$B$35-((S747-1)*Skills!D18))))/Inputs!$B$35),IF(Inputs!$B$4="pvp",MIN((Skills!S18*(1+(Inputs!$B$33+IF(Inputs!$B$3&gt;=117,F754,0))/100)),15)/15,(Skills!S18*(1+(Inputs!$B$33+IF(Inputs!$B$3&gt;=117,F754,0))/100))/Skills!D18))/100),1)</f>
        <v/>
      </c>
    </row>
    <row r="758">
      <c r="A758" t="inlineStr">
        <is>
          <t>Monster Damage Taken Bonus % (Holy Fountain)</t>
        </is>
      </c>
      <c r="B758">
        <f>IF(Inputs!$B$3&gt;=68,20*IF(Inputs!$B$4="pvp",MIN((15*(1+(Inputs!$B$33+IF(Inputs!$B$3&gt;=117,F754,0))/100)),15)/15,(15*(1+(Inputs!$B$33+IF(Inputs!$B$3&gt;=117,F754,0))/100))/Skills!D10),0)</f>
        <v/>
      </c>
    </row>
    <row r="759">
      <c r="A759" t="inlineStr">
        <is>
          <t>Normal Monster Damage Bonus % (Holy Symbol)</t>
        </is>
      </c>
      <c r="B759">
        <f>IF(C741=TRUE,F741*IF(AND(Inputs!$B$4&lt;&gt;"pvp",Inputs!$B$35&gt;0),(((S741-1)*(Skills!S12*(1+(Inputs!$B$33+IF(Inputs!$B$3&gt;=117,F754,0))/100))+MIN((Skills!S12*(1+(Inputs!$B$33+IF(Inputs!$B$3&gt;=117,F754,0))/100)),MAX(0,Inputs!$B$35-((S741-1)*Skills!D12))))/Inputs!$B$35),IF(Inputs!$B$4="pvp",MIN((Skills!S12*(1+(Inputs!$B$33+IF(Inputs!$B$3&gt;=117,F754,0))/100)),15)/15,(Skills!S12*(1+(Inputs!$B$33+IF(Inputs!$B$3&gt;=117,F754,0))/100))/Skills!D12)),0)</f>
        <v/>
      </c>
    </row>
    <row r="760">
      <c r="A760" t="inlineStr">
        <is>
          <t>Damage % Bonus (Holy Symbol - Damage Boost)</t>
        </is>
      </c>
      <c r="B760">
        <f>Skills!O12</f>
        <v/>
      </c>
    </row>
    <row r="761">
      <c r="A761" t="inlineStr">
        <is>
          <t>Crit Damage % Bonus (Blood of the Divine)</t>
        </is>
      </c>
      <c r="B761">
        <f>4*IF(C748=TRUE,F748,0)</f>
        <v/>
      </c>
    </row>
    <row r="762">
      <c r="A762" t="inlineStr">
        <is>
          <t>Attack Speed Bonus %</t>
        </is>
      </c>
      <c r="B762">
        <f>IF(C745=TRUE,F745+(F749-Calc!F20),0)+IF(Inputs!$B$3&gt;=134,15,0)</f>
        <v/>
      </c>
    </row>
    <row r="763">
      <c r="A763" t="inlineStr">
        <is>
          <t>Actions Per Second</t>
        </is>
      </c>
      <c r="B763">
        <f>1+MIN(150,150*(1-(1-Inputs!$B$10/150)*(1-B762/150)))/100</f>
        <v/>
      </c>
    </row>
    <row r="764">
      <c r="A764" t="inlineStr">
        <is>
          <t>Skill + Buff Cast Rate</t>
        </is>
      </c>
      <c r="B764">
        <f>IF(AND(Inputs!$B$4&lt;&gt;"pvp",Inputs!$B$35&gt;0),SUMPRODUCT((Skills!E2:E26=TRUE)*(C731:C755=TRUE)*S731:S755)/Inputs!$B$35,SUMPRODUCT((Skills!E2:E26=TRUE)*(C731:C755=TRUE)*V731:V755))</f>
        <v/>
      </c>
    </row>
    <row r="765">
      <c r="A765" t="inlineStr">
        <is>
          <t>Big Bang Casts Per Second</t>
        </is>
      </c>
      <c r="B765">
        <f>MAX(0,B763-B764)</f>
        <v/>
      </c>
    </row>
    <row r="767">
      <c r="A767" s="5" t="inlineStr">
        <is>
          <t>TOTAL DPS</t>
        </is>
      </c>
      <c r="B767" s="5">
        <f>SUM(O731:O755)</f>
        <v/>
      </c>
    </row>
    <row r="770">
      <c r="A770" s="5" t="inlineStr">
        <is>
          <t>Stat: Skill Level Bonus — 4th Job</t>
        </is>
      </c>
    </row>
    <row r="771">
      <c r="A771" s="8" t="inlineStr">
        <is>
          <t>Key</t>
        </is>
      </c>
      <c r="B771" s="8" t="inlineStr">
        <is>
          <t>Name</t>
        </is>
      </c>
      <c r="C771" s="8" t="inlineStr">
        <is>
          <t>Unlocked</t>
        </is>
      </c>
      <c r="D771" s="8" t="inlineStr">
        <is>
          <t>InputLevel</t>
        </is>
      </c>
      <c r="E771" s="8" t="inlineStr">
        <is>
          <t>Factor</t>
        </is>
      </c>
      <c r="F771" s="8" t="inlineStr">
        <is>
          <t>CoefficientPercent</t>
        </is>
      </c>
      <c r="G771" s="8" t="inlineStr">
        <is>
          <t>EffectiveHits</t>
        </is>
      </c>
      <c r="H771" s="8" t="inlineStr">
        <is>
          <t>ProcProbability</t>
        </is>
      </c>
      <c r="I771" s="8" t="inlineStr">
        <is>
          <t>MapleHeroMultiplier</t>
        </is>
      </c>
      <c r="J771" s="8" t="inlineStr">
        <is>
          <t>BaseDamage</t>
        </is>
      </c>
      <c r="K771" s="8" t="inlineStr">
        <is>
          <t>BaseHitDamage</t>
        </is>
      </c>
      <c r="L771" s="8" t="inlineStr">
        <is>
          <t>NonCritAvg</t>
        </is>
      </c>
      <c r="M771" s="8" t="inlineStr">
        <is>
          <t>CritAvg</t>
        </is>
      </c>
      <c r="N771" s="8" t="inlineStr">
        <is>
          <t>ExpectedDamage(perHit)</t>
        </is>
      </c>
      <c r="O771" s="8" t="inlineStr">
        <is>
          <t>DPS</t>
        </is>
      </c>
      <c r="P771" s="8" t="inlineStr">
        <is>
          <t>% of Total</t>
        </is>
      </c>
      <c r="R771" t="inlineStr">
        <is>
          <t>helpers</t>
        </is>
      </c>
    </row>
    <row r="772">
      <c r="A772">
        <f>Skills!A2</f>
        <v/>
      </c>
      <c r="B772">
        <f>Skills!B2</f>
        <v/>
      </c>
      <c r="C772">
        <f>Inputs!$B$3&gt;=100</f>
        <v/>
      </c>
      <c r="D772" t="inlineStr"/>
      <c r="E772" t="inlineStr"/>
      <c r="F772">
        <f>T774+Skills!N2</f>
        <v/>
      </c>
      <c r="G772">
        <f>Calc!G2</f>
        <v/>
      </c>
      <c r="H772">
        <f>Calc!H2</f>
        <v/>
      </c>
      <c r="I772">
        <f>IF(Skills!T2&lt;&gt;"",1+(Skills!T2/10)*($Z$3/1000)/100,1)</f>
        <v/>
      </c>
      <c r="J772">
        <f>((Inputs!$B$5*(1+Inputs!$B$6/100))+((Inputs!$B$11*(1+Inputs!$B$12/100))-(Inputs!$B$11*(1+Inputs!$B$12/100)))*(1+Inputs!$B$6/100))*(F772/100)</f>
        <v/>
      </c>
      <c r="K772">
        <f>J772*(1+((Inputs!$B$11*(1+Inputs!$B$12/100))*0.01+Inputs!$B$13*0.0025)/100)*(1+(Inputs!$B$14+B801)/100)*(1+IF(Inputs!$B$4="pvp",0,(1-Summary!$B$48)*(Inputs!$B$19+Skills!O2+B799)+Summary!$B$48*(Inputs!$B$20+Skills!P2+B800))/100)*(1+Inputs!$B$15/100)*(5000/(6000+Inputs!$B$7*(1-Inputs!$B$18/100)))*(1+Inputs!$B$23/100)*(1+IF(C787=TRUE,F787,0)/100)*(1+IF(C789=TRUE,F789,0)/100)*(1+IF(Skills!A2="TRIUMPH_FEATHER",IF(C785=TRUE,F785,0),0)/100)*(1+IF(C796=TRUE,F796,0)/100)^5*(1+(IF(Skills!A2="BIG_BANG",Inputs!$B$16,Inputs!$B$17))/100)*(B798*I772)</f>
        <v/>
      </c>
      <c r="L772">
        <f>K772*(MIN(Inputs!$B$21+(F791-Calc!F21),Inputs!$B$22)/100+Inputs!$B$22/100)/2</f>
        <v/>
      </c>
      <c r="M772">
        <f>L772*(1+(Inputs!$B$9+B802+(F794-Calc!F24))/100)</f>
        <v/>
      </c>
      <c r="N772">
        <f>L772*(1-MIN(Inputs!$B$8+((F793-Calc!F23)+(F792-Calc!F22)),100)/100)+M772*(MIN(Inputs!$B$8+((F793-Calc!F23)+(F792-Calc!F22)),100)/100)</f>
        <v/>
      </c>
      <c r="O772">
        <f>IF(C772,Skills!F2*N772*B806*IF(Inputs!$B$4="pvp",1,(1-Summary!$B$48)*(1)+Summary!$B$48*(MIN((6+Inputs!$B$32),Inputs!$B$37))),0)</f>
        <v/>
      </c>
      <c r="P772">
        <f>IF(B808=0,0,O772/B808)</f>
        <v/>
      </c>
      <c r="S772" t="n">
        <v>0</v>
      </c>
      <c r="T772">
        <f>MAX(0,(Inputs!$B$3-100)*3)+(Inputs!$B$27+1)+Inputs!$B$28</f>
        <v/>
      </c>
      <c r="V772">
        <f>IFERROR(1/IF(Inputs!$B$4="pvp",15,MAX(0.1,Skills!D2-IF(Skills!E2=TRUE,Inputs!$B$31,0))),0)</f>
        <v/>
      </c>
    </row>
    <row r="773">
      <c r="A773">
        <f>Skills!A3</f>
        <v/>
      </c>
      <c r="B773">
        <f>Skills!B3</f>
        <v/>
      </c>
      <c r="C773">
        <f>Inputs!$B$3&gt;=15</f>
        <v/>
      </c>
      <c r="D773">
        <f>IF(Skills!C3=1,60+Inputs!$B$24+Inputs!$B$28,IF(Skills!C3=2,90+Inputs!$B$25+Inputs!$B$28,IF(Skills!C3=3,120+Inputs!$B$26+Inputs!$B$28,MAX(0,(Inputs!$B$3-100)*3)+(Inputs!$B$27+1)+Inputs!$B$28)))</f>
        <v/>
      </c>
      <c r="E773">
        <f>INDEX(FactorTable!$B$2:$Y$301, MATCH(ROUND(MIN(300,MAX(1,D773)),0), FactorTable!$A$2:$A$301,0), Skills!L3+1)</f>
        <v/>
      </c>
      <c r="F773">
        <f>IF(Skills!M3=TRUE,(Skills!K3/10)*(E773/1000),Skills!K3/10)+Skills!N3</f>
        <v/>
      </c>
      <c r="G773">
        <f>Calc!G3</f>
        <v/>
      </c>
      <c r="H773">
        <f>Calc!H3</f>
        <v/>
      </c>
      <c r="I773">
        <f>IF(Skills!T3&lt;&gt;"",1+(Skills!T3/10)*($Z$3/1000)/100,1)</f>
        <v/>
      </c>
      <c r="J773" t="inlineStr"/>
      <c r="K773" t="inlineStr"/>
      <c r="L773" t="inlineStr"/>
      <c r="M773" t="inlineStr"/>
      <c r="N773" t="inlineStr"/>
      <c r="O773" t="n">
        <v>0</v>
      </c>
      <c r="P773">
        <f>IF(B808=0,0,O773/B808)</f>
        <v/>
      </c>
      <c r="S773">
        <f>IF(AND(Inputs!$B$4&lt;&gt;"pvp",Inputs!$B$35&gt;0),(INT(Inputs!$B$35/IF(Inputs!$B$4="pvp",15,MAX(0.1,Skills!D3-IF(Skills!E3=TRUE,Inputs!$B$31,0))))+1),0)</f>
        <v/>
      </c>
      <c r="T773">
        <f>INDEX(FactorTable!$B$2:$Y$301, MATCH(ROUND(MIN(300,MAX(1,T772)),0), FactorTable!$A$2:$A$301,0), 22)</f>
        <v/>
      </c>
      <c r="V773">
        <f>IFERROR(1/IF(Inputs!$B$4="pvp",15,MAX(0.1,Skills!D3-IF(Skills!E3=TRUE,Inputs!$B$31,0))),0)</f>
        <v/>
      </c>
    </row>
    <row r="774">
      <c r="A774">
        <f>Skills!A4</f>
        <v/>
      </c>
      <c r="B774">
        <f>Skills!B4</f>
        <v/>
      </c>
      <c r="C774">
        <f>Inputs!$B$3&gt;=38</f>
        <v/>
      </c>
      <c r="D774">
        <f>IF(Skills!C4=1,60+Inputs!$B$24+Inputs!$B$28,IF(Skills!C4=2,90+Inputs!$B$25+Inputs!$B$28,IF(Skills!C4=3,120+Inputs!$B$26+Inputs!$B$28,MAX(0,(Inputs!$B$3-100)*3)+(Inputs!$B$27+1)+Inputs!$B$28)))</f>
        <v/>
      </c>
      <c r="E774">
        <f>INDEX(FactorTable!$B$2:$Y$301, MATCH(ROUND(MIN(300,MAX(1,D774)),0), FactorTable!$A$2:$A$301,0), Skills!L4+1)</f>
        <v/>
      </c>
      <c r="F774">
        <f>IF(Skills!M4=TRUE,(Skills!K4/10)*(E774/1000),Skills!K4/10)+Skills!N4</f>
        <v/>
      </c>
      <c r="G774">
        <f>Calc!G4</f>
        <v/>
      </c>
      <c r="H774">
        <f>Calc!H4</f>
        <v/>
      </c>
      <c r="I774">
        <f>IF(Skills!T4&lt;&gt;"",1+(Skills!T4/10)*($Z$3/1000)/100,1)</f>
        <v/>
      </c>
      <c r="J774" t="inlineStr"/>
      <c r="K774" t="inlineStr"/>
      <c r="L774" t="inlineStr"/>
      <c r="M774" t="inlineStr"/>
      <c r="N774" t="inlineStr"/>
      <c r="O774" t="n">
        <v>0</v>
      </c>
      <c r="P774">
        <f>IF(B808=0,0,O774/B808)</f>
        <v/>
      </c>
      <c r="S774">
        <f>IF(AND(Inputs!$B$4&lt;&gt;"pvp",Inputs!$B$35&gt;0),(INT(Inputs!$B$35/IF(Inputs!$B$4="pvp",15,MAX(0.1,Skills!D4-IF(Skills!E4=TRUE,Inputs!$B$31,0))))+1),0)</f>
        <v/>
      </c>
      <c r="T774">
        <f>290*T773/1000</f>
        <v/>
      </c>
      <c r="V774">
        <f>IFERROR(1/IF(Inputs!$B$4="pvp",15,MAX(0.1,Skills!D4-IF(Skills!E4=TRUE,Inputs!$B$31,0))),0)</f>
        <v/>
      </c>
    </row>
    <row r="775">
      <c r="A775">
        <f>Skills!A5</f>
        <v/>
      </c>
      <c r="B775">
        <f>Skills!B5</f>
        <v/>
      </c>
      <c r="C775">
        <f>Inputs!$B$3&gt;=40</f>
        <v/>
      </c>
      <c r="D775">
        <f>IF(Skills!C5=1,60+Inputs!$B$24+Inputs!$B$28,IF(Skills!C5=2,90+Inputs!$B$25+Inputs!$B$28,IF(Skills!C5=3,120+Inputs!$B$26+Inputs!$B$28,MAX(0,(Inputs!$B$3-100)*3)+(Inputs!$B$27+1)+Inputs!$B$28)))</f>
        <v/>
      </c>
      <c r="E775">
        <f>INDEX(FactorTable!$B$2:$Y$301, MATCH(ROUND(MIN(300,MAX(1,D775)),0), FactorTable!$A$2:$A$301,0), Skills!L5+1)</f>
        <v/>
      </c>
      <c r="F775">
        <f>IF(Skills!M5=TRUE,(Skills!K5/10)*(E775/1000),Skills!K5/10)+Skills!N5</f>
        <v/>
      </c>
      <c r="G775">
        <f>Calc!G5</f>
        <v/>
      </c>
      <c r="H775">
        <f>Calc!H5</f>
        <v/>
      </c>
      <c r="I775">
        <f>IF(Skills!T5&lt;&gt;"",1+(Skills!T5/10)*($Z$3/1000)/100,1)</f>
        <v/>
      </c>
      <c r="J775" t="inlineStr"/>
      <c r="K775" t="inlineStr"/>
      <c r="L775" t="inlineStr"/>
      <c r="M775" t="inlineStr"/>
      <c r="N775" t="inlineStr"/>
      <c r="O775" t="n">
        <v>0</v>
      </c>
      <c r="P775">
        <f>IF(B808=0,0,O775/B808)</f>
        <v/>
      </c>
      <c r="S775">
        <f>IF(AND(Inputs!$B$4&lt;&gt;"pvp",Inputs!$B$35&gt;0),(INT(Inputs!$B$35/IF(Inputs!$B$4="pvp",15,MAX(0.1,Skills!D5-IF(Skills!E5=TRUE,Inputs!$B$31,0))))+1),0)</f>
        <v/>
      </c>
      <c r="V775">
        <f>IFERROR(1/IF(Inputs!$B$4="pvp",15,MAX(0.1,Skills!D5-IF(Skills!E5=TRUE,Inputs!$B$31,0))),0)</f>
        <v/>
      </c>
    </row>
    <row r="776">
      <c r="A776">
        <f>Skills!A6</f>
        <v/>
      </c>
      <c r="B776">
        <f>Skills!B6</f>
        <v/>
      </c>
      <c r="C776">
        <f>Inputs!$B$3&gt;=103</f>
        <v/>
      </c>
      <c r="D776">
        <f>IF(Skills!C6=1,60+Inputs!$B$24+Inputs!$B$28,IF(Skills!C6=2,90+Inputs!$B$25+Inputs!$B$28,IF(Skills!C6=3,120+Inputs!$B$26+Inputs!$B$28,MAX(0,(Inputs!$B$3-100)*3)+(Inputs!$B$27+1)+Inputs!$B$28)))</f>
        <v/>
      </c>
      <c r="E776">
        <f>INDEX(FactorTable!$B$2:$Y$301, MATCH(ROUND(MIN(300,MAX(1,D776)),0), FactorTable!$A$2:$A$301,0), Skills!L6+1)</f>
        <v/>
      </c>
      <c r="F776">
        <f>IF(Skills!M6=TRUE,(Skills!K6/10)*(E776/1000),Skills!K6/10)+Skills!N6</f>
        <v/>
      </c>
      <c r="G776">
        <f>Calc!G6</f>
        <v/>
      </c>
      <c r="H776">
        <f>Calc!H6</f>
        <v/>
      </c>
      <c r="I776">
        <f>IF(Skills!T6&lt;&gt;"",1+(Skills!T6/10)*($Z$3/1000)/100,1)</f>
        <v/>
      </c>
      <c r="J776">
        <f>((Inputs!$B$5*(1+Inputs!$B$6/100))+((Inputs!$B$11*(1+Inputs!$B$12/100))-(Inputs!$B$11*(1+Inputs!$B$12/100)))*(1+Inputs!$B$6/100))*(F776/100)</f>
        <v/>
      </c>
      <c r="K776">
        <f>J776*(1+((Inputs!$B$11*(1+Inputs!$B$12/100))*0.01+Inputs!$B$13*0.0025)/100)*(1+(Inputs!$B$14+B801)/100)*(1+IF(Inputs!$B$4="pvp",0,(1-Summary!$B$48)*(Inputs!$B$19+Skills!O6+B799)+Summary!$B$48*(Inputs!$B$20+Skills!P6+B800))/100)*(1+Inputs!$B$15/100)*(5000/(6000+Inputs!$B$7*(1-Inputs!$B$18/100)))*(1+Inputs!$B$23/100)*(1+IF(C787=TRUE,F787,0)/100)*(1+IF(C789=TRUE,F789,0)/100)*(1+IF(Skills!A6="TRIUMPH_FEATHER",IF(C785=TRUE,F785,0),0)/100)*(1+IF(C796=TRUE,F796,0)/100)^5*(1+(IF(Skills!A6="BIG_BANG",Inputs!$B$16,Inputs!$B$17))/100)*(B798*I776)</f>
        <v/>
      </c>
      <c r="L776">
        <f>K776*(MIN(Inputs!$B$21+(F791-Calc!F21),Inputs!$B$22)/100+Inputs!$B$22/100)/2</f>
        <v/>
      </c>
      <c r="M776">
        <f>L776*(1+(Inputs!$B$9+B802+(F794-Calc!F24))/100)</f>
        <v/>
      </c>
      <c r="N776">
        <f>L776*(1-MIN(Inputs!$B$8+((F793-Calc!F23)+(F792-Calc!F22)),100)/100)+M776*(MIN(Inputs!$B$8+((F793-Calc!F23)+(F792-Calc!F22)),100)/100)</f>
        <v/>
      </c>
      <c r="O776">
        <f>IF(C776,H776*N776*IF(AND(Inputs!$B$4&lt;&gt;"pvp",Inputs!$B$35&gt;0),((Skills!F6*((S776-1)*IF(Skills!G6&gt;0,Skills!H6/Skills!G6,1)+IF(Skills!G6&gt;0,MIN(Skills!H6,MAX(0,Inputs!$B$35-((S776-1)*IF(Inputs!$B$4="pvp",15,MAX(0.1,Skills!D6-IF(Skills!E6=TRUE,Inputs!$B$31,0))))))/Skills!G6,1)))/Inputs!$B$35),G776*V776)*IF(Inputs!$B$4="pvp",1,(1-Summary!$B$48)*(1)+Summary!$B$48*(MIN(Skills!Q6,Inputs!$B$37))),0)</f>
        <v/>
      </c>
      <c r="P776">
        <f>IF(B808=0,0,O776/B808)</f>
        <v/>
      </c>
      <c r="S776">
        <f>IF(AND(Inputs!$B$4&lt;&gt;"pvp",Inputs!$B$35&gt;0),(INT(Inputs!$B$35/IF(Inputs!$B$4="pvp",15,MAX(0.1,Skills!D6-IF(Skills!E6=TRUE,Inputs!$B$31,0))))+1),0)</f>
        <v/>
      </c>
      <c r="V776">
        <f>IFERROR(1/IF(Inputs!$B$4="pvp",15,MAX(0.1,Skills!D6-IF(Skills!E6=TRUE,Inputs!$B$31,0))),0)</f>
        <v/>
      </c>
    </row>
    <row r="777">
      <c r="A777">
        <f>Skills!A7</f>
        <v/>
      </c>
      <c r="B777">
        <f>Skills!B7</f>
        <v/>
      </c>
      <c r="C777">
        <f>Inputs!$B$3&gt;=122</f>
        <v/>
      </c>
      <c r="D777">
        <f>IF(Skills!C7=1,60+Inputs!$B$24+Inputs!$B$28,IF(Skills!C7=2,90+Inputs!$B$25+Inputs!$B$28,IF(Skills!C7=3,120+Inputs!$B$26+Inputs!$B$28,MAX(0,(Inputs!$B$3-100)*3)+(Inputs!$B$27+1)+Inputs!$B$28)))</f>
        <v/>
      </c>
      <c r="E777">
        <f>INDEX(FactorTable!$B$2:$Y$301, MATCH(ROUND(MIN(300,MAX(1,D777)),0), FactorTable!$A$2:$A$301,0), Skills!L7+1)</f>
        <v/>
      </c>
      <c r="F777">
        <f>IF(Skills!M7=TRUE,(Skills!K7/10)*(E777/1000),Skills!K7/10)+Skills!N7</f>
        <v/>
      </c>
      <c r="G777">
        <f>Calc!G7</f>
        <v/>
      </c>
      <c r="H777">
        <f>Calc!H7</f>
        <v/>
      </c>
      <c r="I777">
        <f>IF(Skills!T7&lt;&gt;"",1+(Skills!T7/10)*($Z$3/1000)/100,1)</f>
        <v/>
      </c>
      <c r="J777">
        <f>((Inputs!$B$5*(1+Inputs!$B$6/100))+((Inputs!$B$11*(1+Inputs!$B$12/100))-(Inputs!$B$11*(1+Inputs!$B$12/100)))*(1+Inputs!$B$6/100))*(F777/100)</f>
        <v/>
      </c>
      <c r="K777">
        <f>J777*(1+((Inputs!$B$11*(1+Inputs!$B$12/100))*0.01+Inputs!$B$13*0.0025)/100)*(1+(Inputs!$B$14+B801)/100)*(1+IF(Inputs!$B$4="pvp",0,(1-Summary!$B$48)*(Inputs!$B$19+Skills!O7+B799)+Summary!$B$48*(Inputs!$B$20+Skills!P7+B800))/100)*(1+Inputs!$B$15/100)*(5000/(6000+Inputs!$B$7*(1-Inputs!$B$18/100)))*(1+Inputs!$B$23/100)*(1+IF(C787=TRUE,F787,0)/100)*(1+IF(C789=TRUE,F789,0)/100)*(1+IF(Skills!A7="TRIUMPH_FEATHER",IF(C785=TRUE,F785,0),0)/100)*(1+IF(C796=TRUE,F796,0)/100)^5*(1+(IF(Skills!A7="BIG_BANG",Inputs!$B$16,Inputs!$B$17))/100)*(B798*I777)</f>
        <v/>
      </c>
      <c r="L777">
        <f>K777*(MIN(Inputs!$B$21+(F791-Calc!F21),Inputs!$B$22)/100+Inputs!$B$22/100)/2</f>
        <v/>
      </c>
      <c r="M777">
        <f>L777*(1+(Inputs!$B$9+B802+(F794-Calc!F24))/100)</f>
        <v/>
      </c>
      <c r="N777">
        <f>L777*(1-MIN(Inputs!$B$8+((F793-Calc!F23)+(F792-Calc!F22)),100)/100)+M777*(MIN(Inputs!$B$8+((F793-Calc!F23)+(F792-Calc!F22)),100)/100)</f>
        <v/>
      </c>
      <c r="O777">
        <f>IF(C777,H777*N777*IF(AND(Inputs!$B$4&lt;&gt;"pvp",Inputs!$B$35&gt;0),((Skills!F7*((S777-1)*IF(Skills!G7&gt;0,Skills!H7/Skills!G7,1)+IF(Skills!G7&gt;0,MIN(Skills!H7,MAX(0,Inputs!$B$35-((S777-1)*IF(Inputs!$B$4="pvp",15,MAX(0.1,Skills!D7-IF(Skills!E6=TRUE,Inputs!$B$31,0))))))/Skills!G7,1)))/Inputs!$B$35),G777*V777)*(1-Summary!$B$48),0)</f>
        <v/>
      </c>
      <c r="P777">
        <f>IF(B808=0,0,O777/B808)</f>
        <v/>
      </c>
      <c r="S777">
        <f>IF(AND(Inputs!$B$4&lt;&gt;"pvp",Inputs!$B$35&gt;0),(INT(Inputs!$B$35/IF(Inputs!$B$4="pvp",15,MAX(0.1,Skills!D7-IF(Skills!E6=TRUE,Inputs!$B$31,0))))+1),0)</f>
        <v/>
      </c>
      <c r="V777">
        <f>IFERROR(1/IF(Inputs!$B$4="pvp",15,MAX(0.1,Skills!D7-IF(Skills!E6=TRUE,Inputs!$B$31,0))),0)</f>
        <v/>
      </c>
    </row>
    <row r="778">
      <c r="A778">
        <f>Skills!A8</f>
        <v/>
      </c>
      <c r="B778">
        <f>Skills!B8</f>
        <v/>
      </c>
      <c r="C778">
        <f>Inputs!$B$3&gt;=105</f>
        <v/>
      </c>
      <c r="D778">
        <f>IF(Skills!C8=1,60+Inputs!$B$24+Inputs!$B$28,IF(Skills!C8=2,90+Inputs!$B$25+Inputs!$B$28,IF(Skills!C8=3,120+Inputs!$B$26+Inputs!$B$28,MAX(0,(Inputs!$B$3-100)*3)+(Inputs!$B$27+1)+Inputs!$B$28)))</f>
        <v/>
      </c>
      <c r="E778">
        <f>INDEX(FactorTable!$B$2:$Y$301, MATCH(ROUND(MIN(300,MAX(1,D778)),0), FactorTable!$A$2:$A$301,0), Skills!L8+1)</f>
        <v/>
      </c>
      <c r="F778">
        <f>IF(Skills!M8=TRUE,(Skills!K8/10)*(E778/1000),Skills!K8/10)+Skills!N8</f>
        <v/>
      </c>
      <c r="G778">
        <f>Calc!G8</f>
        <v/>
      </c>
      <c r="H778">
        <f>Calc!H8</f>
        <v/>
      </c>
      <c r="I778">
        <f>IF(Skills!T8&lt;&gt;"",1+(Skills!T8/10)*($Z$3/1000)/100,1)</f>
        <v/>
      </c>
      <c r="J778">
        <f>((Inputs!$B$5*(1+Inputs!$B$6/100))+((Inputs!$B$11*(1+Inputs!$B$12/100))-(Inputs!$B$11*(1+Inputs!$B$12/100)))*(1+Inputs!$B$6/100))*(F778/100)</f>
        <v/>
      </c>
      <c r="K778">
        <f>J778*(1+((Inputs!$B$11*(1+Inputs!$B$12/100))*0.01+Inputs!$B$13*0.0025)/100)*(1+(Inputs!$B$14+B801)/100)*(1+IF(Inputs!$B$4="pvp",0,(1-Summary!$B$48)*(Inputs!$B$19+Skills!O8+B799)+Summary!$B$48*(Inputs!$B$20+Skills!P8+B800))/100)*(1+Inputs!$B$15/100)*(5000/(6000+Inputs!$B$7*(1-Inputs!$B$18/100)))*(1+Inputs!$B$23/100)*(1+IF(C787=TRUE,F787,0)/100)*(1+IF(C789=TRUE,F789,0)/100)*(1+IF(Skills!A8="TRIUMPH_FEATHER",IF(C785=TRUE,F785,0),0)/100)*(1+IF(C796=TRUE,F796,0)/100)^5*(1+(IF(Skills!A8="BIG_BANG",Inputs!$B$16,Inputs!$B$17))/100)*(B798*I778)</f>
        <v/>
      </c>
      <c r="L778">
        <f>K778*(MIN(Inputs!$B$21+(F791-Calc!F21),Inputs!$B$22)/100+Inputs!$B$22/100)/2</f>
        <v/>
      </c>
      <c r="M778">
        <f>L778*(1+(Inputs!$B$9+B802+(F794-Calc!F24))/100)</f>
        <v/>
      </c>
      <c r="N778">
        <f>L778*(1-MIN(Inputs!$B$8+((F793-Calc!F23)+(F792-Calc!F22)),100)/100)+M778*(MIN(Inputs!$B$8+((F793-Calc!F23)+(F792-Calc!F22)),100)/100)</f>
        <v/>
      </c>
      <c r="O778">
        <f>IF(C778,H778*N778*IF(AND(Inputs!$B$4&lt;&gt;"pvp",Inputs!$B$35&gt;0),((Skills!F8*((S778-1)*IF(Skills!G8&gt;0,Skills!H8/Skills!G8,1)+IF(Skills!G8&gt;0,MIN(Skills!H8,MAX(0,Inputs!$B$35-((S778-1)*IF(Inputs!$B$4="pvp",15,MAX(0.1,Skills!D8-IF(Skills!E8=TRUE,Inputs!$B$31,0))))))/Skills!G8,1)))/Inputs!$B$35),G778*V778)*IF(Inputs!$B$4="pvp",1,(1-Summary!$B$48)*(1)+Summary!$B$48*(MIN(Skills!Q8,Inputs!$B$37))),0)</f>
        <v/>
      </c>
      <c r="P778">
        <f>IF(B808=0,0,O778/B808)</f>
        <v/>
      </c>
      <c r="S778">
        <f>IF(AND(Inputs!$B$4&lt;&gt;"pvp",Inputs!$B$35&gt;0),(INT(Inputs!$B$35/IF(Inputs!$B$4="pvp",15,MAX(0.1,Skills!D8-IF(Skills!E8=TRUE,Inputs!$B$31,0))))+1),0)</f>
        <v/>
      </c>
      <c r="V778">
        <f>IFERROR(1/IF(Inputs!$B$4="pvp",15,MAX(0.1,Skills!D8-IF(Skills!E8=TRUE,Inputs!$B$31,0))),0)</f>
        <v/>
      </c>
    </row>
    <row r="779">
      <c r="A779">
        <f>Skills!A9</f>
        <v/>
      </c>
      <c r="B779">
        <f>Skills!B9</f>
        <v/>
      </c>
      <c r="C779">
        <f>Inputs!$B$3&gt;=115</f>
        <v/>
      </c>
      <c r="D779">
        <f>IF(Skills!C9=1,60+Inputs!$B$24+Inputs!$B$28,IF(Skills!C9=2,90+Inputs!$B$25+Inputs!$B$28,IF(Skills!C9=3,120+Inputs!$B$26+Inputs!$B$28,MAX(0,(Inputs!$B$3-100)*3)+(Inputs!$B$27+1)+Inputs!$B$28)))</f>
        <v/>
      </c>
      <c r="E779">
        <f>INDEX(FactorTable!$B$2:$Y$301, MATCH(ROUND(MIN(300,MAX(1,D779)),0), FactorTable!$A$2:$A$301,0), Skills!L9+1)</f>
        <v/>
      </c>
      <c r="F779">
        <f>IF(Skills!M9=TRUE,(Skills!K9/10)*(E779/1000),Skills!K9/10)+Skills!N9</f>
        <v/>
      </c>
      <c r="G779">
        <f>Calc!G9</f>
        <v/>
      </c>
      <c r="H779">
        <f>Calc!H9</f>
        <v/>
      </c>
      <c r="I779">
        <f>IF(Skills!T9&lt;&gt;"",1+(Skills!T9/10)*($Z$3/1000)/100,1)</f>
        <v/>
      </c>
      <c r="J779">
        <f>((Inputs!$B$5*(1+Inputs!$B$6/100))+((Inputs!$B$11*(1+Inputs!$B$12/100))-(Inputs!$B$11*(1+Inputs!$B$12/100)))*(1+Inputs!$B$6/100))*(F779/100)</f>
        <v/>
      </c>
      <c r="K779">
        <f>J779*(1+((Inputs!$B$11*(1+Inputs!$B$12/100))*0.01+Inputs!$B$13*0.0025)/100)*(1+(Inputs!$B$14+B801)/100)*(1+IF(Inputs!$B$4="pvp",0,(1-Summary!$B$48)*(Inputs!$B$19+Skills!O9+B799)+Summary!$B$48*(Inputs!$B$20+Skills!P9+B800))/100)*(1+Inputs!$B$15/100)*(5000/(6000+Inputs!$B$7*(1-Inputs!$B$18/100)))*(1+Inputs!$B$23/100)*(1+IF(C787=TRUE,F787,0)/100)*(1+IF(C789=TRUE,F789,0)/100)*(1+IF(Skills!A9="TRIUMPH_FEATHER",IF(C785=TRUE,F785,0),0)/100)*(1+IF(C796=TRUE,F796,0)/100)^5*(1+(IF(Skills!A9="BIG_BANG",Inputs!$B$16,Inputs!$B$17))/100)*(B798*I779)</f>
        <v/>
      </c>
      <c r="L779">
        <f>K779*(MIN(Inputs!$B$21+(F791-Calc!F21),Inputs!$B$22)/100+Inputs!$B$22/100)/2</f>
        <v/>
      </c>
      <c r="M779">
        <f>L779*(1+(Inputs!$B$9+B802+(F794-Calc!F24))/100)</f>
        <v/>
      </c>
      <c r="N779">
        <f>L779*(1-MIN(Inputs!$B$8+((F793-Calc!F23)+(F792-Calc!F22)),100)/100)+M779*(MIN(Inputs!$B$8+((F793-Calc!F23)+(F792-Calc!F22)),100)/100)</f>
        <v/>
      </c>
      <c r="O779">
        <f>IF(C779,H779*N779*IF(AND(Inputs!$B$4&lt;&gt;"pvp",Inputs!$B$35&gt;0),((Skills!F9*((S779-1)*IF(Skills!G9&gt;0,Skills!H9/Skills!G9,1)+IF(Skills!G9&gt;0,MIN(Skills!H9,MAX(0,Inputs!$B$35-((S779-1)*IF(Inputs!$B$4="pvp",15,MAX(0.1,Skills!D9-IF(Skills!E9=TRUE,Inputs!$B$31,0))))))/Skills!G9,1)))/Inputs!$B$35),G779*V779)*IF(Inputs!$B$4="pvp",1,(1-Summary!$B$48)*(1)+Summary!$B$48*(MIN(Skills!Q9,Inputs!$B$37))),0)</f>
        <v/>
      </c>
      <c r="P779">
        <f>IF(B808=0,0,O779/B808)</f>
        <v/>
      </c>
      <c r="S779">
        <f>IF(AND(Inputs!$B$4&lt;&gt;"pvp",Inputs!$B$35&gt;0),(INT(Inputs!$B$35/IF(Inputs!$B$4="pvp",15,MAX(0.1,Skills!D9-IF(Skills!E9=TRUE,Inputs!$B$31,0))))+1),0)</f>
        <v/>
      </c>
      <c r="V779">
        <f>IFERROR(1/IF(Inputs!$B$4="pvp",15,MAX(0.1,Skills!D9-IF(Skills!E9=TRUE,Inputs!$B$31,0))),0)</f>
        <v/>
      </c>
    </row>
    <row r="780">
      <c r="A780">
        <f>Skills!A10</f>
        <v/>
      </c>
      <c r="B780">
        <f>Skills!B10</f>
        <v/>
      </c>
      <c r="C780">
        <f>Inputs!$B$3&gt;=66</f>
        <v/>
      </c>
      <c r="D780">
        <f>IF(Skills!C10=1,60+Inputs!$B$24+Inputs!$B$28,IF(Skills!C10=2,90+Inputs!$B$25+Inputs!$B$28,IF(Skills!C10=3,120+Inputs!$B$26+Inputs!$B$28,MAX(0,(Inputs!$B$3-100)*3)+(Inputs!$B$27+1)+Inputs!$B$28)))</f>
        <v/>
      </c>
      <c r="E780">
        <f>INDEX(FactorTable!$B$2:$Y$301, MATCH(ROUND(MIN(300,MAX(1,D780)),0), FactorTable!$A$2:$A$301,0), Skills!L10+1)</f>
        <v/>
      </c>
      <c r="F780" t="n">
        <v>0</v>
      </c>
      <c r="G780">
        <f>Calc!G10</f>
        <v/>
      </c>
      <c r="H780">
        <f>Calc!H10</f>
        <v/>
      </c>
      <c r="I780">
        <f>IF(Skills!T10&lt;&gt;"",1+(Skills!T10/10)*($Z$3/1000)/100,1)</f>
        <v/>
      </c>
      <c r="J780" t="inlineStr"/>
      <c r="K780" t="inlineStr"/>
      <c r="L780" t="inlineStr"/>
      <c r="M780" t="inlineStr"/>
      <c r="N780" t="inlineStr"/>
      <c r="O780" t="n">
        <v>0</v>
      </c>
      <c r="P780">
        <f>IF(B808=0,0,O780/B808)</f>
        <v/>
      </c>
      <c r="S780">
        <f>IF(AND(Inputs!$B$4&lt;&gt;"pvp",Inputs!$B$35&gt;0),(INT(Inputs!$B$35/IF(Inputs!$B$4="pvp",15,MAX(0.1,Skills!D10-IF(Skills!E10=TRUE,Inputs!$B$31,0))))+1),0)</f>
        <v/>
      </c>
      <c r="V780">
        <f>IFERROR(1/IF(Inputs!$B$4="pvp",15,MAX(0.1,Skills!D10-IF(Skills!E10=TRUE,Inputs!$B$31,0))),0)</f>
        <v/>
      </c>
    </row>
    <row r="781">
      <c r="A781">
        <f>Skills!A11</f>
        <v/>
      </c>
      <c r="B781">
        <f>Skills!B11</f>
        <v/>
      </c>
      <c r="C781">
        <f>Inputs!$B$3&gt;=69</f>
        <v/>
      </c>
      <c r="D781">
        <f>IF(Skills!C11=1,60+Inputs!$B$24+Inputs!$B$28,IF(Skills!C11=2,90+Inputs!$B$25+Inputs!$B$28,IF(Skills!C11=3,120+Inputs!$B$26+Inputs!$B$28,MAX(0,(Inputs!$B$3-100)*3)+(Inputs!$B$27+1)+Inputs!$B$28)))</f>
        <v/>
      </c>
      <c r="E781">
        <f>INDEX(FactorTable!$B$2:$Y$301, MATCH(ROUND(MIN(300,MAX(1,D781)),0), FactorTable!$A$2:$A$301,0), Skills!L11+1)</f>
        <v/>
      </c>
      <c r="F781">
        <f>IF(Skills!M11=TRUE,(Skills!K11/10)*(E781/1000),Skills!K11/10)+Skills!N11</f>
        <v/>
      </c>
      <c r="G781">
        <f>Calc!G11</f>
        <v/>
      </c>
      <c r="H781">
        <f>Calc!H11</f>
        <v/>
      </c>
      <c r="I781">
        <f>IF(Skills!T11&lt;&gt;"",1+(Skills!T11/10)*($Z$3/1000)/100,1)</f>
        <v/>
      </c>
      <c r="J781" t="inlineStr"/>
      <c r="K781" t="inlineStr"/>
      <c r="L781" t="inlineStr"/>
      <c r="M781" t="inlineStr"/>
      <c r="N781" t="inlineStr"/>
      <c r="O781" t="n">
        <v>0</v>
      </c>
      <c r="P781">
        <f>IF(B808=0,0,O781/B808)</f>
        <v/>
      </c>
      <c r="S781">
        <f>IF(AND(Inputs!$B$4&lt;&gt;"pvp",Inputs!$B$35&gt;0),(INT(Inputs!$B$35/IF(Inputs!$B$4="pvp",15,MAX(0.1,Skills!D11-IF(Skills!E11=TRUE,Inputs!$B$31,0))))+1),0)</f>
        <v/>
      </c>
      <c r="V781">
        <f>IFERROR(1/IF(Inputs!$B$4="pvp",15,MAX(0.1,Skills!D11-IF(Skills!E11=TRUE,Inputs!$B$31,0))),0)</f>
        <v/>
      </c>
    </row>
    <row r="782">
      <c r="A782">
        <f>Skills!A12</f>
        <v/>
      </c>
      <c r="B782">
        <f>Skills!B12</f>
        <v/>
      </c>
      <c r="C782">
        <f>Inputs!$B$3&gt;=72</f>
        <v/>
      </c>
      <c r="D782">
        <f>IF(Skills!C12=1,60+Inputs!$B$24+Inputs!$B$28,IF(Skills!C12=2,90+Inputs!$B$25+Inputs!$B$28,IF(Skills!C12=3,120+Inputs!$B$26+Inputs!$B$28,MAX(0,(Inputs!$B$3-100)*3)+(Inputs!$B$27+1)+Inputs!$B$28)))</f>
        <v/>
      </c>
      <c r="E782">
        <f>INDEX(FactorTable!$B$2:$Y$301, MATCH(ROUND(MIN(300,MAX(1,D782)),0), FactorTable!$A$2:$A$301,0), Skills!L12+1)</f>
        <v/>
      </c>
      <c r="F782">
        <f>IF(Skills!M12=TRUE,(Skills!K12/10)*(E782/1000),Skills!K12/10)+Skills!N12</f>
        <v/>
      </c>
      <c r="G782">
        <f>Calc!G12</f>
        <v/>
      </c>
      <c r="H782">
        <f>Calc!H12</f>
        <v/>
      </c>
      <c r="I782">
        <f>IF(Skills!T12&lt;&gt;"",1+(Skills!T12/10)*($Z$3/1000)/100,1)</f>
        <v/>
      </c>
      <c r="J782" t="inlineStr"/>
      <c r="K782" t="inlineStr"/>
      <c r="L782" t="inlineStr"/>
      <c r="M782" t="inlineStr"/>
      <c r="N782" t="inlineStr"/>
      <c r="O782" t="n">
        <v>0</v>
      </c>
      <c r="P782">
        <f>IF(B808=0,0,O782/B808)</f>
        <v/>
      </c>
      <c r="S782">
        <f>IF(AND(Inputs!$B$4&lt;&gt;"pvp",Inputs!$B$35&gt;0),(INT(Inputs!$B$35/IF(Inputs!$B$4="pvp",15,MAX(0.1,Skills!D12-IF(Skills!E12=TRUE,Inputs!$B$31,0))))+1),0)</f>
        <v/>
      </c>
      <c r="V782">
        <f>IFERROR(1/IF(Inputs!$B$4="pvp",15,MAX(0.1,Skills!D12-IF(Skills!E12=TRUE,Inputs!$B$31,0))),0)</f>
        <v/>
      </c>
    </row>
    <row r="783">
      <c r="A783">
        <f>Skills!A13</f>
        <v/>
      </c>
      <c r="B783">
        <f>Skills!B13</f>
        <v/>
      </c>
      <c r="C783">
        <f>Inputs!$B$3&gt;=107</f>
        <v/>
      </c>
      <c r="D783">
        <f>IF(Skills!C13=1,60+Inputs!$B$24+Inputs!$B$28,IF(Skills!C13=2,90+Inputs!$B$25+Inputs!$B$28,IF(Skills!C13=3,120+Inputs!$B$26+Inputs!$B$28,MAX(0,(Inputs!$B$3-100)*3)+(Inputs!$B$27+1)+Inputs!$B$28)))</f>
        <v/>
      </c>
      <c r="E783">
        <f>INDEX(FactorTable!$B$2:$Y$301, MATCH(ROUND(MIN(300,MAX(1,D783)),0), FactorTable!$A$2:$A$301,0), Skills!L13+1)</f>
        <v/>
      </c>
      <c r="F783">
        <f>IF(Skills!M13=TRUE,(Skills!K13/10)*(E783/1000),Skills!K13/10)+Skills!N13</f>
        <v/>
      </c>
      <c r="G783">
        <f>Calc!G13</f>
        <v/>
      </c>
      <c r="H783">
        <f>Calc!H13</f>
        <v/>
      </c>
      <c r="I783">
        <f>IF(Skills!T13&lt;&gt;"",1+(Skills!T13/10)*($Z$3/1000)/100,1)</f>
        <v/>
      </c>
      <c r="J783" t="inlineStr"/>
      <c r="K783" t="inlineStr"/>
      <c r="L783" t="inlineStr"/>
      <c r="M783" t="inlineStr"/>
      <c r="N783" t="inlineStr"/>
      <c r="O783" t="n">
        <v>0</v>
      </c>
      <c r="P783">
        <f>IF(B808=0,0,O783/B808)</f>
        <v/>
      </c>
      <c r="S783">
        <f>IF(AND(Inputs!$B$4&lt;&gt;"pvp",Inputs!$B$35&gt;0),(INT(Inputs!$B$35/IF(Inputs!$B$4="pvp",15,MAX(0.1,Skills!D13-IF(Skills!E13=TRUE,Inputs!$B$31,0))))+1),0)</f>
        <v/>
      </c>
      <c r="V783">
        <f>IFERROR(1/IF(Inputs!$B$4="pvp",15,MAX(0.1,Skills!D13-IF(Skills!E13=TRUE,Inputs!$B$31,0))),0)</f>
        <v/>
      </c>
    </row>
    <row r="784">
      <c r="A784">
        <f>Skills!A14</f>
        <v/>
      </c>
      <c r="B784">
        <f>Skills!B14</f>
        <v/>
      </c>
      <c r="C784">
        <f>Inputs!$B$3&gt;=63</f>
        <v/>
      </c>
      <c r="D784">
        <f>IF(Skills!C14=1,60+Inputs!$B$24+Inputs!$B$28,IF(Skills!C14=2,90+Inputs!$B$25+Inputs!$B$28,IF(Skills!C14=3,120+Inputs!$B$26+Inputs!$B$28,MAX(0,(Inputs!$B$3-100)*3)+(Inputs!$B$27+1)+Inputs!$B$28)))</f>
        <v/>
      </c>
      <c r="E784">
        <f>INDEX(FactorTable!$B$2:$Y$301, MATCH(ROUND(MIN(300,MAX(1,D784)),0), FactorTable!$A$2:$A$301,0), Skills!L14+1)</f>
        <v/>
      </c>
      <c r="F784">
        <f>IF(Skills!M14=TRUE,(Skills!K14/10)*(E784/1000),Skills!K14/10)+Skills!N14</f>
        <v/>
      </c>
      <c r="G784">
        <f>Calc!G14</f>
        <v/>
      </c>
      <c r="H784">
        <f>Calc!H14</f>
        <v/>
      </c>
      <c r="I784">
        <f>IF(Skills!T14&lt;&gt;"",1+(Skills!T14/10)*($Z$3/1000)/100,1)</f>
        <v/>
      </c>
      <c r="J784">
        <f>((Inputs!$B$5*(1+Inputs!$B$6/100))+((Inputs!$B$11*(1+Inputs!$B$12/100))-(Inputs!$B$11*(1+Inputs!$B$12/100)))*(1+Inputs!$B$6/100))*(F784/100)</f>
        <v/>
      </c>
      <c r="K784">
        <f>J784*(1+((Inputs!$B$11*(1+Inputs!$B$12/100))*0.01+Inputs!$B$13*0.0025)/100)*(1+(Inputs!$B$14+B801)/100)*(1+IF(Inputs!$B$4="pvp",0,(1-Summary!$B$48)*(Inputs!$B$19+Skills!O14+B799)+Summary!$B$48*(Inputs!$B$20+Skills!P14+B800))/100)*(1+Inputs!$B$15/100)*(5000/(6000+Inputs!$B$7*(1-Inputs!$B$18/100)))*(1+Inputs!$B$23/100)*(1+IF(C787=TRUE,F787,0)/100)*(1+IF(C789=TRUE,F789,0)/100)*(1+IF(Skills!A14="TRIUMPH_FEATHER",IF(C785=TRUE,F785,0),0)/100)*(1+IF(C796=TRUE,F796,0)/100)^5*(1+(IF(Skills!A14="BIG_BANG",Inputs!$B$16,Inputs!$B$17))/100)*(B798*I784)</f>
        <v/>
      </c>
      <c r="L784">
        <f>K784*(MIN(Inputs!$B$21+(F791-Calc!F21),Inputs!$B$22)/100+Inputs!$B$22/100)/2</f>
        <v/>
      </c>
      <c r="M784">
        <f>L784*(1+(Inputs!$B$9+B802+(F794-Calc!F24))/100)</f>
        <v/>
      </c>
      <c r="N784">
        <f>L784*(1-MIN(Inputs!$B$8+((F793-Calc!F23)+(F792-Calc!F22)),100)/100)+M784*(MIN(Inputs!$B$8+((F793-Calc!F23)+(F792-Calc!F22)),100)/100)</f>
        <v/>
      </c>
      <c r="O784">
        <f>IF(C784,Skills!F14*N784*((IF(Inputs!$B$3&gt;=78,25,15)/100*B804*10)/(1+IF(Inputs!$B$3&gt;=78,25,15)/100*B804*10))*(Skills!I14/100*B804)/(1+Skills!G14*Skills!I14/100*B804)*IF(Inputs!$B$4="pvp",1,(1-Summary!$B$48)*(1)+Summary!$B$48*(MIN(Skills!Q14,Inputs!$B$37))),0)</f>
        <v/>
      </c>
      <c r="P784">
        <f>IF(B808=0,0,O784/B808)</f>
        <v/>
      </c>
      <c r="S784" t="n">
        <v>0</v>
      </c>
      <c r="V784">
        <f>IFERROR(1/IF(Inputs!$B$4="pvp",15,MAX(0.1,Skills!D14-IF(Skills!E14=TRUE,Inputs!$B$31,0))),0)</f>
        <v/>
      </c>
    </row>
    <row r="785">
      <c r="A785">
        <f>Skills!A15</f>
        <v/>
      </c>
      <c r="B785">
        <f>Skills!B15</f>
        <v/>
      </c>
      <c r="C785">
        <f>Inputs!$B$3&gt;=100</f>
        <v/>
      </c>
      <c r="D785">
        <f>IF(Skills!C15=1,60+Inputs!$B$24+Inputs!$B$28,IF(Skills!C15=2,90+Inputs!$B$25+Inputs!$B$28,IF(Skills!C15=3,120+Inputs!$B$26+Inputs!$B$28,MAX(0,(Inputs!$B$3-100)*3)+(Inputs!$B$27+1)+Inputs!$B$28)))</f>
        <v/>
      </c>
      <c r="E785">
        <f>INDEX(FactorTable!$B$2:$Y$301, MATCH(ROUND(MIN(300,MAX(1,D785)),0), FactorTable!$A$2:$A$301,0), Skills!L15+1)</f>
        <v/>
      </c>
      <c r="F785">
        <f>IF(Skills!M15=TRUE,(Skills!K15/10)*(E785/1000),Skills!K15/10)+Skills!N15</f>
        <v/>
      </c>
      <c r="G785">
        <f>Calc!G15</f>
        <v/>
      </c>
      <c r="H785">
        <f>Calc!H15</f>
        <v/>
      </c>
      <c r="I785">
        <f>IF(Skills!T15&lt;&gt;"",1+(Skills!T15/10)*($Z$3/1000)/100,1)</f>
        <v/>
      </c>
      <c r="J785" t="inlineStr"/>
      <c r="K785" t="inlineStr"/>
      <c r="L785" t="inlineStr"/>
      <c r="M785" t="inlineStr"/>
      <c r="N785" t="inlineStr"/>
      <c r="O785" t="n">
        <v>0</v>
      </c>
      <c r="P785">
        <f>IF(B808=0,0,O785/B808)</f>
        <v/>
      </c>
      <c r="S785" t="n">
        <v>0</v>
      </c>
      <c r="V785">
        <f>IFERROR(1/IF(Inputs!$B$4="pvp",15,MAX(0.1,Skills!D15-IF(Skills!E15=TRUE,Inputs!$B$31,0))),0)</f>
        <v/>
      </c>
    </row>
    <row r="786">
      <c r="A786">
        <f>Skills!A16</f>
        <v/>
      </c>
      <c r="B786">
        <f>Skills!B16</f>
        <v/>
      </c>
      <c r="C786">
        <f>Inputs!$B$3&gt;=49</f>
        <v/>
      </c>
      <c r="D786">
        <f>IF(Skills!C16=1,60+Inputs!$B$24+Inputs!$B$28,IF(Skills!C16=2,90+Inputs!$B$25+Inputs!$B$28,IF(Skills!C16=3,120+Inputs!$B$26+Inputs!$B$28,MAX(0,(Inputs!$B$3-100)*3)+(Inputs!$B$27+1)+Inputs!$B$28)))</f>
        <v/>
      </c>
      <c r="E786">
        <f>INDEX(FactorTable!$B$2:$Y$301, MATCH(ROUND(MIN(300,MAX(1,D786)),0), FactorTable!$A$2:$A$301,0), Skills!L16+1)</f>
        <v/>
      </c>
      <c r="F786">
        <f>IF(Skills!M16=TRUE,(Skills!K16/10)*(E786/1000),Skills!K16/10)+Skills!N16</f>
        <v/>
      </c>
      <c r="G786">
        <f>Calc!G16</f>
        <v/>
      </c>
      <c r="H786">
        <f>Calc!H16</f>
        <v/>
      </c>
      <c r="I786">
        <f>IF(Skills!T16&lt;&gt;"",1+(Skills!T16/10)*($Z$3/1000)/100,1)</f>
        <v/>
      </c>
      <c r="J786" t="inlineStr"/>
      <c r="K786" t="inlineStr"/>
      <c r="L786" t="inlineStr"/>
      <c r="M786" t="inlineStr"/>
      <c r="N786" t="inlineStr"/>
      <c r="O786" t="n">
        <v>0</v>
      </c>
      <c r="P786">
        <f>IF(B808=0,0,O786/B808)</f>
        <v/>
      </c>
      <c r="S786" t="n">
        <v>0</v>
      </c>
      <c r="V786">
        <f>IFERROR(1/IF(Inputs!$B$4="pvp",15,MAX(0.1,Skills!D16-IF(Skills!E16=TRUE,Inputs!$B$31,0))),0)</f>
        <v/>
      </c>
    </row>
    <row r="787">
      <c r="A787">
        <f>Skills!A17</f>
        <v/>
      </c>
      <c r="B787">
        <f>Skills!B17</f>
        <v/>
      </c>
      <c r="C787">
        <f>Inputs!$B$3&gt;=75</f>
        <v/>
      </c>
      <c r="D787">
        <f>IF(Skills!C17=1,60+Inputs!$B$24+Inputs!$B$28,IF(Skills!C17=2,90+Inputs!$B$25+Inputs!$B$28,IF(Skills!C17=3,120+Inputs!$B$26+Inputs!$B$28,MAX(0,(Inputs!$B$3-100)*3)+(Inputs!$B$27+1)+Inputs!$B$28)))</f>
        <v/>
      </c>
      <c r="E787">
        <f>INDEX(FactorTable!$B$2:$Y$301, MATCH(ROUND(MIN(300,MAX(1,D787)),0), FactorTable!$A$2:$A$301,0), Skills!L17+1)</f>
        <v/>
      </c>
      <c r="F787">
        <f>IF(Skills!M17=TRUE,(Skills!K17/10)*(E787/1000),Skills!K17/10)+Skills!N17</f>
        <v/>
      </c>
      <c r="G787">
        <f>Calc!G17</f>
        <v/>
      </c>
      <c r="H787">
        <f>Calc!H17</f>
        <v/>
      </c>
      <c r="I787">
        <f>IF(Skills!T17&lt;&gt;"",1+(Skills!T17/10)*($Z$3/1000)/100,1)</f>
        <v/>
      </c>
      <c r="J787" t="inlineStr"/>
      <c r="K787" t="inlineStr"/>
      <c r="L787" t="inlineStr"/>
      <c r="M787" t="inlineStr"/>
      <c r="N787" t="inlineStr"/>
      <c r="O787" t="n">
        <v>0</v>
      </c>
      <c r="P787">
        <f>IF(B808=0,0,O787/B808)</f>
        <v/>
      </c>
      <c r="S787" t="n">
        <v>0</v>
      </c>
      <c r="V787">
        <f>IFERROR(1/IF(Inputs!$B$4="pvp",15,MAX(0.1,Skills!D17-IF(Skills!E17=TRUE,Inputs!$B$31,0))),0)</f>
        <v/>
      </c>
    </row>
    <row r="788">
      <c r="A788">
        <f>Skills!A18</f>
        <v/>
      </c>
      <c r="B788">
        <f>Skills!B18</f>
        <v/>
      </c>
      <c r="C788">
        <f>Inputs!$B$3&gt;=110</f>
        <v/>
      </c>
      <c r="D788">
        <f>IF(Skills!C18=1,60+Inputs!$B$24+Inputs!$B$28,IF(Skills!C18=2,90+Inputs!$B$25+Inputs!$B$28,IF(Skills!C18=3,120+Inputs!$B$26+Inputs!$B$28,MAX(0,(Inputs!$B$3-100)*3)+(Inputs!$B$27+1)+Inputs!$B$28)))</f>
        <v/>
      </c>
      <c r="E788">
        <f>INDEX(FactorTable!$B$2:$Y$301, MATCH(ROUND(MIN(300,MAX(1,D788)),0), FactorTable!$A$2:$A$301,0), Skills!L18+1)</f>
        <v/>
      </c>
      <c r="F788">
        <f>(Skills!K18/10)*(E788/1000)*64/45+Skills!N18</f>
        <v/>
      </c>
      <c r="G788">
        <f>Calc!G18</f>
        <v/>
      </c>
      <c r="H788">
        <f>Calc!H18</f>
        <v/>
      </c>
      <c r="I788">
        <f>IF(Skills!T18&lt;&gt;"",1+(Skills!T18/10)*($Z$3/1000)/100,1)</f>
        <v/>
      </c>
      <c r="J788" t="inlineStr"/>
      <c r="K788" t="inlineStr"/>
      <c r="L788" t="inlineStr"/>
      <c r="M788" t="inlineStr"/>
      <c r="N788" t="inlineStr"/>
      <c r="O788" t="n">
        <v>0</v>
      </c>
      <c r="P788">
        <f>IF(B808=0,0,O788/B808)</f>
        <v/>
      </c>
      <c r="S788">
        <f>IF(AND(Inputs!$B$4&lt;&gt;"pvp",Inputs!$B$35&gt;0),(INT(Inputs!$B$35/IF(Inputs!$B$4="pvp",15,MAX(0.1,Skills!D18-IF(Skills!E18=TRUE,Inputs!$B$31,0))))+1),0)</f>
        <v/>
      </c>
      <c r="V788">
        <f>IFERROR(1/IF(Inputs!$B$4="pvp",15,MAX(0.1,Skills!D18-IF(Skills!E18=TRUE,Inputs!$B$31,0))),0)</f>
        <v/>
      </c>
    </row>
    <row r="789">
      <c r="A789">
        <f>Skills!A19</f>
        <v/>
      </c>
      <c r="B789">
        <f>Skills!B19</f>
        <v/>
      </c>
      <c r="C789">
        <f>Inputs!$B$3&gt;=125</f>
        <v/>
      </c>
      <c r="D789">
        <f>IF(Skills!C19=1,60+Inputs!$B$24+Inputs!$B$28,IF(Skills!C19=2,90+Inputs!$B$25+Inputs!$B$28,IF(Skills!C19=3,120+Inputs!$B$26+Inputs!$B$28,MAX(0,(Inputs!$B$3-100)*3)+(Inputs!$B$27+1)+Inputs!$B$28)))</f>
        <v/>
      </c>
      <c r="E789">
        <f>INDEX(FactorTable!$B$2:$Y$301, MATCH(ROUND(MIN(300,MAX(1,D789)),0), FactorTable!$A$2:$A$301,0), Skills!L19+1)</f>
        <v/>
      </c>
      <c r="F789">
        <f>IF(Skills!M19=TRUE,(Skills!K19/10)*(E789/1000),Skills!K19/10)+Skills!N19</f>
        <v/>
      </c>
      <c r="G789">
        <f>Calc!G19</f>
        <v/>
      </c>
      <c r="H789">
        <f>Calc!H19</f>
        <v/>
      </c>
      <c r="I789">
        <f>IF(Skills!T19&lt;&gt;"",1+(Skills!T19/10)*($Z$3/1000)/100,1)</f>
        <v/>
      </c>
      <c r="J789" t="inlineStr"/>
      <c r="K789" t="inlineStr"/>
      <c r="L789" t="inlineStr"/>
      <c r="M789" t="inlineStr"/>
      <c r="N789" t="inlineStr"/>
      <c r="O789" t="n">
        <v>0</v>
      </c>
      <c r="P789">
        <f>IF(B808=0,0,O789/B808)</f>
        <v/>
      </c>
      <c r="S789" t="n">
        <v>0</v>
      </c>
      <c r="V789">
        <f>IFERROR(1/IF(Inputs!$B$4="pvp",15,MAX(0.1,Skills!D19-IF(Skills!E19=TRUE,Inputs!$B$31,0))),0)</f>
        <v/>
      </c>
    </row>
    <row r="790">
      <c r="A790">
        <f>Skills!A20</f>
        <v/>
      </c>
      <c r="B790">
        <f>Skills!B20</f>
        <v/>
      </c>
      <c r="C790">
        <f>Inputs!$B$3&gt;=33</f>
        <v/>
      </c>
      <c r="D790">
        <f>IF(Skills!C20=1,60+Inputs!$B$24+Inputs!$B$28,IF(Skills!C20=2,90+Inputs!$B$25+Inputs!$B$28,IF(Skills!C20=3,120+Inputs!$B$26+Inputs!$B$28,MAX(0,(Inputs!$B$3-100)*3)+(Inputs!$B$27+1)+Inputs!$B$28)))</f>
        <v/>
      </c>
      <c r="E790">
        <f>INDEX(FactorTable!$B$2:$Y$301, MATCH(ROUND(MIN(300,MAX(1,D790)),0), FactorTable!$A$2:$A$301,0), Skills!L20+1)</f>
        <v/>
      </c>
      <c r="F790">
        <f>IF(Skills!M20=TRUE,(Skills!K20/10)*(E790/1000),Skills!K20/10)+Skills!N20</f>
        <v/>
      </c>
      <c r="G790">
        <f>Calc!G20</f>
        <v/>
      </c>
      <c r="H790">
        <f>Calc!H20</f>
        <v/>
      </c>
      <c r="I790">
        <f>IF(Skills!T20&lt;&gt;"",1+(Skills!T20/10)*($Z$3/1000)/100,1)</f>
        <v/>
      </c>
      <c r="J790" t="inlineStr"/>
      <c r="K790" t="inlineStr"/>
      <c r="L790" t="inlineStr"/>
      <c r="M790" t="inlineStr"/>
      <c r="N790" t="inlineStr"/>
      <c r="O790" t="n">
        <v>0</v>
      </c>
      <c r="P790">
        <f>IF(B808=0,0,O790/B808)</f>
        <v/>
      </c>
      <c r="S790" t="n">
        <v>0</v>
      </c>
      <c r="V790">
        <f>IFERROR(1/IF(Inputs!$B$4="pvp",15,MAX(0.1,Skills!D20-IF(Skills!E20=TRUE,Inputs!$B$31,0))),0)</f>
        <v/>
      </c>
    </row>
    <row r="791">
      <c r="A791">
        <f>Skills!A21</f>
        <v/>
      </c>
      <c r="B791">
        <f>Skills!B21</f>
        <v/>
      </c>
      <c r="C791">
        <f>Inputs!$B$3&gt;=43</f>
        <v/>
      </c>
      <c r="D791">
        <f>IF(Skills!C21=1,60+Inputs!$B$24+Inputs!$B$28,IF(Skills!C21=2,90+Inputs!$B$25+Inputs!$B$28,IF(Skills!C21=3,120+Inputs!$B$26+Inputs!$B$28,MAX(0,(Inputs!$B$3-100)*3)+(Inputs!$B$27+1)+Inputs!$B$28)))</f>
        <v/>
      </c>
      <c r="E791">
        <f>INDEX(FactorTable!$B$2:$Y$301, MATCH(ROUND(MIN(300,MAX(1,D791)),0), FactorTable!$A$2:$A$301,0), Skills!L21+1)</f>
        <v/>
      </c>
      <c r="F791">
        <f>IF(Skills!M21=TRUE,(Skills!K21/10)*(E791/1000),Skills!K21/10)+Skills!N21</f>
        <v/>
      </c>
      <c r="G791">
        <f>Calc!G21</f>
        <v/>
      </c>
      <c r="H791">
        <f>Calc!H21</f>
        <v/>
      </c>
      <c r="I791">
        <f>IF(Skills!T21&lt;&gt;"",1+(Skills!T21/10)*($Z$3/1000)/100,1)</f>
        <v/>
      </c>
      <c r="J791" t="inlineStr"/>
      <c r="K791" t="inlineStr"/>
      <c r="L791" t="inlineStr"/>
      <c r="M791" t="inlineStr"/>
      <c r="N791" t="inlineStr"/>
      <c r="O791" t="n">
        <v>0</v>
      </c>
      <c r="P791">
        <f>IF(B808=0,0,O791/B808)</f>
        <v/>
      </c>
      <c r="S791" t="n">
        <v>0</v>
      </c>
      <c r="V791">
        <f>IFERROR(1/IF(Inputs!$B$4="pvp",15,MAX(0.1,Skills!D21-IF(Skills!E21=TRUE,Inputs!$B$31,0))),0)</f>
        <v/>
      </c>
    </row>
    <row r="792">
      <c r="A792">
        <f>Skills!A22</f>
        <v/>
      </c>
      <c r="B792">
        <f>Skills!B22</f>
        <v/>
      </c>
      <c r="C792">
        <f>Inputs!$B$3&gt;=50</f>
        <v/>
      </c>
      <c r="D792">
        <f>IF(Skills!C22=1,60+Inputs!$B$24+Inputs!$B$28,IF(Skills!C22=2,90+Inputs!$B$25+Inputs!$B$28,IF(Skills!C22=3,120+Inputs!$B$26+Inputs!$B$28,MAX(0,(Inputs!$B$3-100)*3)+(Inputs!$B$27+1)+Inputs!$B$28)))</f>
        <v/>
      </c>
      <c r="E792">
        <f>INDEX(FactorTable!$B$2:$Y$301, MATCH(ROUND(MIN(300,MAX(1,D792)),0), FactorTable!$A$2:$A$301,0), Skills!L22+1)</f>
        <v/>
      </c>
      <c r="F792">
        <f>IF(Skills!M22=TRUE,(Skills!K22/10)*(E792/1000),Skills!K22/10)+Skills!N22</f>
        <v/>
      </c>
      <c r="G792">
        <f>Calc!G22</f>
        <v/>
      </c>
      <c r="H792">
        <f>Calc!H22</f>
        <v/>
      </c>
      <c r="I792">
        <f>IF(Skills!T22&lt;&gt;"",1+(Skills!T22/10)*($Z$3/1000)/100,1)</f>
        <v/>
      </c>
      <c r="J792" t="inlineStr"/>
      <c r="K792" t="inlineStr"/>
      <c r="L792" t="inlineStr"/>
      <c r="M792" t="inlineStr"/>
      <c r="N792" t="inlineStr"/>
      <c r="O792" t="n">
        <v>0</v>
      </c>
      <c r="P792">
        <f>IF(B808=0,0,O792/B808)</f>
        <v/>
      </c>
      <c r="S792" t="n">
        <v>0</v>
      </c>
      <c r="V792">
        <f>IFERROR(1/IF(Inputs!$B$4="pvp",15,MAX(0.1,Skills!D22-IF(Skills!E22=TRUE,Inputs!$B$31,0))),0)</f>
        <v/>
      </c>
    </row>
    <row r="793">
      <c r="A793">
        <f>Skills!A23</f>
        <v/>
      </c>
      <c r="B793">
        <f>Skills!B23</f>
        <v/>
      </c>
      <c r="C793">
        <f>Inputs!$B$3&gt;=74</f>
        <v/>
      </c>
      <c r="D793">
        <f>IF(Skills!C23=1,60+Inputs!$B$24+Inputs!$B$28,IF(Skills!C23=2,90+Inputs!$B$25+Inputs!$B$28,IF(Skills!C23=3,120+Inputs!$B$26+Inputs!$B$28,MAX(0,(Inputs!$B$3-100)*3)+(Inputs!$B$27+1)+Inputs!$B$28)))</f>
        <v/>
      </c>
      <c r="E793">
        <f>INDEX(FactorTable!$B$2:$Y$301, MATCH(ROUND(MIN(300,MAX(1,D793)),0), FactorTable!$A$2:$A$301,0), Skills!L23+1)</f>
        <v/>
      </c>
      <c r="F793">
        <f>IF(Skills!M23=TRUE,(Skills!K23/10)*(E793/1000),Skills!K23/10)+Skills!N23</f>
        <v/>
      </c>
      <c r="G793">
        <f>Calc!G23</f>
        <v/>
      </c>
      <c r="H793">
        <f>Calc!H23</f>
        <v/>
      </c>
      <c r="I793">
        <f>IF(Skills!T23&lt;&gt;"",1+(Skills!T23/10)*($Z$3/1000)/100,1)</f>
        <v/>
      </c>
      <c r="J793" t="inlineStr"/>
      <c r="K793" t="inlineStr"/>
      <c r="L793" t="inlineStr"/>
      <c r="M793" t="inlineStr"/>
      <c r="N793" t="inlineStr"/>
      <c r="O793" t="n">
        <v>0</v>
      </c>
      <c r="P793">
        <f>IF(B808=0,0,O793/B808)</f>
        <v/>
      </c>
      <c r="S793" t="n">
        <v>0</v>
      </c>
      <c r="V793">
        <f>IFERROR(1/IF(Inputs!$B$4="pvp",15,MAX(0.1,Skills!D23-IF(Skills!E23=TRUE,Inputs!$B$31,0))),0)</f>
        <v/>
      </c>
    </row>
    <row r="794">
      <c r="A794">
        <f>Skills!A24</f>
        <v/>
      </c>
      <c r="B794">
        <f>Skills!B24</f>
        <v/>
      </c>
      <c r="C794">
        <f>Inputs!$B$3&gt;=74</f>
        <v/>
      </c>
      <c r="D794">
        <f>IF(Skills!C24=1,60+Inputs!$B$24+Inputs!$B$28,IF(Skills!C24=2,90+Inputs!$B$25+Inputs!$B$28,IF(Skills!C24=3,120+Inputs!$B$26+Inputs!$B$28,MAX(0,(Inputs!$B$3-100)*3)+(Inputs!$B$27+1)+Inputs!$B$28)))</f>
        <v/>
      </c>
      <c r="E794">
        <f>INDEX(FactorTable!$B$2:$Y$301, MATCH(ROUND(MIN(300,MAX(1,D794)),0), FactorTable!$A$2:$A$301,0), Skills!L24+1)</f>
        <v/>
      </c>
      <c r="F794">
        <f>IF(Skills!M24=TRUE,(Skills!K24/10)*(E794/1000),Skills!K24/10)+Skills!N24</f>
        <v/>
      </c>
      <c r="G794">
        <f>Calc!G24</f>
        <v/>
      </c>
      <c r="H794">
        <f>Calc!H24</f>
        <v/>
      </c>
      <c r="I794">
        <f>IF(Skills!T24&lt;&gt;"",1+(Skills!T24/10)*($Z$3/1000)/100,1)</f>
        <v/>
      </c>
      <c r="J794" t="inlineStr"/>
      <c r="K794" t="inlineStr"/>
      <c r="L794" t="inlineStr"/>
      <c r="M794" t="inlineStr"/>
      <c r="N794" t="inlineStr"/>
      <c r="O794" t="n">
        <v>0</v>
      </c>
      <c r="P794">
        <f>IF(B808=0,0,O794/B808)</f>
        <v/>
      </c>
      <c r="S794" t="n">
        <v>0</v>
      </c>
      <c r="V794">
        <f>IFERROR(1/IF(Inputs!$B$4="pvp",15,MAX(0.1,Skills!D24-IF(Skills!E24=TRUE,Inputs!$B$31,0))),0)</f>
        <v/>
      </c>
    </row>
    <row r="795">
      <c r="A795">
        <f>Skills!A25</f>
        <v/>
      </c>
      <c r="B795">
        <f>Skills!B25</f>
        <v/>
      </c>
      <c r="C795">
        <f>Inputs!$B$3&gt;=117</f>
        <v/>
      </c>
      <c r="D795">
        <f>IF(Skills!C25=1,60+Inputs!$B$24+Inputs!$B$28,IF(Skills!C25=2,90+Inputs!$B$25+Inputs!$B$28,IF(Skills!C25=3,120+Inputs!$B$26+Inputs!$B$28,MAX(0,(Inputs!$B$3-100)*3)+(Inputs!$B$27+1)+Inputs!$B$28)))</f>
        <v/>
      </c>
      <c r="E795">
        <f>INDEX(FactorTable!$B$2:$Y$301, MATCH(ROUND(MIN(300,MAX(1,D795)),0), FactorTable!$A$2:$A$301,0), Skills!L25+1)</f>
        <v/>
      </c>
      <c r="F795">
        <f>IF(Skills!M25=TRUE,(Skills!K25/10)*(E795/1000),Skills!K25/10)+Skills!N25</f>
        <v/>
      </c>
      <c r="G795">
        <f>Calc!G25</f>
        <v/>
      </c>
      <c r="H795">
        <f>Calc!H25</f>
        <v/>
      </c>
      <c r="I795">
        <f>IF(Skills!T25&lt;&gt;"",1+(Skills!T25/10)*($Z$3/1000)/100,1)</f>
        <v/>
      </c>
      <c r="J795" t="inlineStr"/>
      <c r="K795" t="inlineStr"/>
      <c r="L795" t="inlineStr"/>
      <c r="M795" t="inlineStr"/>
      <c r="N795" t="inlineStr"/>
      <c r="O795" t="n">
        <v>0</v>
      </c>
      <c r="P795">
        <f>IF(B808=0,0,O795/B808)</f>
        <v/>
      </c>
      <c r="S795" t="n">
        <v>0</v>
      </c>
      <c r="V795">
        <f>IFERROR(1/IF(Inputs!$B$4="pvp",15,MAX(0.1,Skills!D25-IF(Skills!E25=TRUE,Inputs!$B$31,0))),0)</f>
        <v/>
      </c>
    </row>
    <row r="796">
      <c r="A796">
        <f>Skills!A26</f>
        <v/>
      </c>
      <c r="B796">
        <f>Skills!B26</f>
        <v/>
      </c>
      <c r="C796">
        <f>Inputs!$B$3&gt;=120</f>
        <v/>
      </c>
      <c r="D796">
        <f>IF(Skills!C26=1,60+Inputs!$B$24+Inputs!$B$28,IF(Skills!C26=2,90+Inputs!$B$25+Inputs!$B$28,IF(Skills!C26=3,120+Inputs!$B$26+Inputs!$B$28,MAX(0,(Inputs!$B$3-100)*3)+(Inputs!$B$27+1)+Inputs!$B$28)))</f>
        <v/>
      </c>
      <c r="E796">
        <f>INDEX(FactorTable!$B$2:$Y$301, MATCH(ROUND(MIN(300,MAX(1,D796)),0), FactorTable!$A$2:$A$301,0), Skills!L26+1)</f>
        <v/>
      </c>
      <c r="F796">
        <f>IF(Skills!M26=TRUE,(Skills!K26/10)*(E796/1000),Skills!K26/10)+Skills!N26</f>
        <v/>
      </c>
      <c r="G796">
        <f>Calc!G26</f>
        <v/>
      </c>
      <c r="H796">
        <f>Calc!H26</f>
        <v/>
      </c>
      <c r="I796">
        <f>IF(Skills!T26&lt;&gt;"",1+(Skills!T26/10)*($Z$3/1000)/100,1)</f>
        <v/>
      </c>
      <c r="J796" t="inlineStr"/>
      <c r="K796" t="inlineStr"/>
      <c r="L796" t="inlineStr"/>
      <c r="M796" t="inlineStr"/>
      <c r="N796" t="inlineStr"/>
      <c r="O796" t="n">
        <v>0</v>
      </c>
      <c r="P796">
        <f>IF(B808=0,0,O796/B808)</f>
        <v/>
      </c>
      <c r="S796" t="n">
        <v>0</v>
      </c>
      <c r="V796">
        <f>IFERROR(1/IF(Inputs!$B$4="pvp",15,MAX(0.1,Skills!D26-IF(Skills!E26=TRUE,Inputs!$B$31,0))),0)</f>
        <v/>
      </c>
    </row>
    <row r="798">
      <c r="A798" t="inlineStr">
        <is>
          <t>Average Buff Multiplier</t>
        </is>
      </c>
      <c r="B798">
        <f>(1+(IF(C773=TRUE,F773*IF(AND(Inputs!$B$4&lt;&gt;"pvp",Inputs!$B$35&gt;0),(((S773-1)*(Skills!S3*(1+(Inputs!$B$33+IF(Inputs!$B$3&gt;=117,F795,0))/100))+MIN((Skills!S3*(1+(Inputs!$B$33+IF(Inputs!$B$3&gt;=117,F795,0))/100)),MAX(0,Inputs!$B$35-((S773-1)*Skills!D3))))/Inputs!$B$35),IF(Inputs!$B$4="pvp",MIN((Skills!S3*(1+(Inputs!$B$33+IF(Inputs!$B$3&gt;=117,F795,0))/100)),15)/15,(Skills!S3*(1+(Inputs!$B$33+IF(Inputs!$B$3&gt;=117,F795,0))/100))/Skills!D3)),0)+IF(C774=TRUE,F774*IF(AND(Inputs!$B$4&lt;&gt;"pvp",Inputs!$B$35&gt;0),(((S774-1)*(Skills!S4*(1+(Inputs!$B$33+IF(Inputs!$B$3&gt;=117,F795,0))/100))+MIN((Skills!S4*(1+(Inputs!$B$33+IF(Inputs!$B$3&gt;=117,F795,0))/100)),MAX(0,Inputs!$B$35-((S774-1)*Skills!D4))))/Inputs!$B$35),IF(Inputs!$B$4="pvp",MIN((Skills!S4*(1+(Inputs!$B$33+IF(Inputs!$B$3&gt;=117,F795,0))/100)),15)/15,(Skills!S4*(1+(Inputs!$B$33+IF(Inputs!$B$3&gt;=117,F795,0))/100))/Skills!D4)),0)+IF(C775=TRUE,F775*IF(AND(Inputs!$B$4&lt;&gt;"pvp",Inputs!$B$35&gt;0),(((S775-1)*(Skills!S5*(1+(Inputs!$B$33+IF(Inputs!$B$3&gt;=117,F795,0))/100))+MIN((Skills!S5*(1+(Inputs!$B$33+IF(Inputs!$B$3&gt;=117,F795,0))/100)),MAX(0,Inputs!$B$35-((S775-1)*Skills!D5))))/Inputs!$B$35),IF(Inputs!$B$4="pvp",MIN((Skills!S5*(1+(Inputs!$B$33+IF(Inputs!$B$3&gt;=117,F795,0))/100)),15)/15,(Skills!S5*(1+(Inputs!$B$33+IF(Inputs!$B$3&gt;=117,F795,0))/100))/Skills!D5)),0)+IF(C781=TRUE,F781*IF(AND(Inputs!$B$4&lt;&gt;"pvp",Inputs!$B$35&gt;0),(((S781-1)*(Skills!S11*(1+(Inputs!$B$33+IF(Inputs!$B$3&gt;=117,F795,0))/100))+MIN((Skills!S11*(1+(Inputs!$B$33+IF(Inputs!$B$3&gt;=117,F795,0))/100)),MAX(0,Inputs!$B$35-((S781-1)*Skills!D11))))/Inputs!$B$35),IF(Inputs!$B$4="pvp",MIN((Skills!S11*(1+(Inputs!$B$33+IF(Inputs!$B$3&gt;=117,F795,0))/100)),15)/15,(Skills!S11*(1+(Inputs!$B$33+IF(Inputs!$B$3&gt;=117,F795,0))/100))/Skills!D11)),0))/100)*IF(C783=TRUE,(1+F783*IF(AND(Inputs!$B$4&lt;&gt;"pvp",Inputs!$B$35&gt;0),(((S783-1)*(Skills!S13*(1+(Inputs!$B$33+IF(Inputs!$B$3&gt;=117,F795,0))/100))+MIN((Skills!S13*(1+(Inputs!$B$33+IF(Inputs!$B$3&gt;=117,F795,0))/100)),MAX(0,Inputs!$B$35-((S783-1)*Skills!D13))))/Inputs!$B$35),IF(Inputs!$B$4="pvp",MIN((Skills!S13*(1+(Inputs!$B$33+IF(Inputs!$B$3&gt;=117,F795,0))/100)),15)/15,(Skills!S13*(1+(Inputs!$B$33+IF(Inputs!$B$3&gt;=117,F795,0))/100))/Skills!D13))/100),1)*IF(C788=TRUE,(1+F788*IF(AND(Inputs!$B$4&lt;&gt;"pvp",Inputs!$B$35&gt;0),(((S788-1)*(Skills!S18*(1+(Inputs!$B$33+IF(Inputs!$B$3&gt;=117,F795,0))/100))+MIN((Skills!S18*(1+(Inputs!$B$33+IF(Inputs!$B$3&gt;=117,F795,0))/100)),MAX(0,Inputs!$B$35-((S788-1)*Skills!D18))))/Inputs!$B$35),IF(Inputs!$B$4="pvp",MIN((Skills!S18*(1+(Inputs!$B$33+IF(Inputs!$B$3&gt;=117,F795,0))/100)),15)/15,(Skills!S18*(1+(Inputs!$B$33+IF(Inputs!$B$3&gt;=117,F795,0))/100))/Skills!D18))/100),1)</f>
        <v/>
      </c>
    </row>
    <row r="799">
      <c r="A799" t="inlineStr">
        <is>
          <t>Monster Damage Taken Bonus % (Holy Fountain)</t>
        </is>
      </c>
      <c r="B799">
        <f>IF(Inputs!$B$3&gt;=68,20*IF(Inputs!$B$4="pvp",MIN((15*(1+(Inputs!$B$33+IF(Inputs!$B$3&gt;=117,F795,0))/100)),15)/15,(15*(1+(Inputs!$B$33+IF(Inputs!$B$3&gt;=117,F795,0))/100))/Skills!D10),0)</f>
        <v/>
      </c>
    </row>
    <row r="800">
      <c r="A800" t="inlineStr">
        <is>
          <t>Normal Monster Damage Bonus % (Holy Symbol)</t>
        </is>
      </c>
      <c r="B800">
        <f>IF(C782=TRUE,F782*IF(AND(Inputs!$B$4&lt;&gt;"pvp",Inputs!$B$35&gt;0),(((S782-1)*(Skills!S12*(1+(Inputs!$B$33+IF(Inputs!$B$3&gt;=117,F795,0))/100))+MIN((Skills!S12*(1+(Inputs!$B$33+IF(Inputs!$B$3&gt;=117,F795,0))/100)),MAX(0,Inputs!$B$35-((S782-1)*Skills!D12))))/Inputs!$B$35),IF(Inputs!$B$4="pvp",MIN((Skills!S12*(1+(Inputs!$B$33+IF(Inputs!$B$3&gt;=117,F795,0))/100)),15)/15,(Skills!S12*(1+(Inputs!$B$33+IF(Inputs!$B$3&gt;=117,F795,0))/100))/Skills!D12)),0)</f>
        <v/>
      </c>
    </row>
    <row r="801">
      <c r="A801" t="inlineStr">
        <is>
          <t>Damage % Bonus (Holy Symbol - Damage Boost)</t>
        </is>
      </c>
      <c r="B801">
        <f>Skills!O12</f>
        <v/>
      </c>
    </row>
    <row r="802">
      <c r="A802" t="inlineStr">
        <is>
          <t>Crit Damage % Bonus (Blood of the Divine)</t>
        </is>
      </c>
      <c r="B802">
        <f>4*IF(C789=TRUE,F789,0)</f>
        <v/>
      </c>
    </row>
    <row r="803">
      <c r="A803" t="inlineStr">
        <is>
          <t>Attack Speed Bonus %</t>
        </is>
      </c>
      <c r="B803">
        <f>IF(C786=TRUE,F786+(F790-Calc!F20),0)+IF(Inputs!$B$3&gt;=134,15,0)</f>
        <v/>
      </c>
    </row>
    <row r="804">
      <c r="A804" t="inlineStr">
        <is>
          <t>Actions Per Second</t>
        </is>
      </c>
      <c r="B804">
        <f>1+MIN(150,150*(1-(1-Inputs!$B$10/150)*(1-B803/150)))/100</f>
        <v/>
      </c>
    </row>
    <row r="805">
      <c r="A805" t="inlineStr">
        <is>
          <t>Skill + Buff Cast Rate</t>
        </is>
      </c>
      <c r="B805">
        <f>IF(AND(Inputs!$B$4&lt;&gt;"pvp",Inputs!$B$35&gt;0),SUMPRODUCT((Skills!E2:E26=TRUE)*(C772:C796=TRUE)*S772:S796)/Inputs!$B$35,SUMPRODUCT((Skills!E2:E26=TRUE)*(C772:C796=TRUE)*V772:V796))</f>
        <v/>
      </c>
    </row>
    <row r="806">
      <c r="A806" t="inlineStr">
        <is>
          <t>Big Bang Casts Per Second</t>
        </is>
      </c>
      <c r="B806">
        <f>MAX(0,B804-B805)</f>
        <v/>
      </c>
    </row>
    <row r="808">
      <c r="A808" s="5" t="inlineStr">
        <is>
          <t>TOTAL DPS</t>
        </is>
      </c>
      <c r="B808" s="5">
        <f>SUM(O772:O796)</f>
        <v/>
      </c>
    </row>
    <row r="811">
      <c r="A811" s="5" t="inlineStr">
        <is>
          <t>Stat: Skill Level Bonus — All Skills</t>
        </is>
      </c>
    </row>
    <row r="812">
      <c r="A812" s="8" t="inlineStr">
        <is>
          <t>Key</t>
        </is>
      </c>
      <c r="B812" s="8" t="inlineStr">
        <is>
          <t>Name</t>
        </is>
      </c>
      <c r="C812" s="8" t="inlineStr">
        <is>
          <t>Unlocked</t>
        </is>
      </c>
      <c r="D812" s="8" t="inlineStr">
        <is>
          <t>InputLevel</t>
        </is>
      </c>
      <c r="E812" s="8" t="inlineStr">
        <is>
          <t>Factor</t>
        </is>
      </c>
      <c r="F812" s="8" t="inlineStr">
        <is>
          <t>CoefficientPercent</t>
        </is>
      </c>
      <c r="G812" s="8" t="inlineStr">
        <is>
          <t>EffectiveHits</t>
        </is>
      </c>
      <c r="H812" s="8" t="inlineStr">
        <is>
          <t>ProcProbability</t>
        </is>
      </c>
      <c r="I812" s="8" t="inlineStr">
        <is>
          <t>MapleHeroMultiplier</t>
        </is>
      </c>
      <c r="J812" s="8" t="inlineStr">
        <is>
          <t>BaseDamage</t>
        </is>
      </c>
      <c r="K812" s="8" t="inlineStr">
        <is>
          <t>BaseHitDamage</t>
        </is>
      </c>
      <c r="L812" s="8" t="inlineStr">
        <is>
          <t>NonCritAvg</t>
        </is>
      </c>
      <c r="M812" s="8" t="inlineStr">
        <is>
          <t>CritAvg</t>
        </is>
      </c>
      <c r="N812" s="8" t="inlineStr">
        <is>
          <t>ExpectedDamage(perHit)</t>
        </is>
      </c>
      <c r="O812" s="8" t="inlineStr">
        <is>
          <t>DPS</t>
        </is>
      </c>
      <c r="P812" s="8" t="inlineStr">
        <is>
          <t>% of Total</t>
        </is>
      </c>
      <c r="R812" t="inlineStr">
        <is>
          <t>helpers</t>
        </is>
      </c>
    </row>
    <row r="813">
      <c r="A813">
        <f>Skills!A2</f>
        <v/>
      </c>
      <c r="B813">
        <f>Skills!B2</f>
        <v/>
      </c>
      <c r="C813">
        <f>Inputs!$B$3&gt;=100</f>
        <v/>
      </c>
      <c r="D813" t="inlineStr"/>
      <c r="E813" t="inlineStr"/>
      <c r="F813">
        <f>T815+Skills!N2</f>
        <v/>
      </c>
      <c r="G813">
        <f>Calc!G2</f>
        <v/>
      </c>
      <c r="H813">
        <f>Calc!H2</f>
        <v/>
      </c>
      <c r="I813">
        <f>IF(Skills!T2&lt;&gt;"",1+(Skills!T2/10)*($Z$3/1000)/100,1)</f>
        <v/>
      </c>
      <c r="J813">
        <f>((Inputs!$B$5*(1+Inputs!$B$6/100))+((Inputs!$B$11*(1+Inputs!$B$12/100))-(Inputs!$B$11*(1+Inputs!$B$12/100)))*(1+Inputs!$B$6/100))*(F813/100)</f>
        <v/>
      </c>
      <c r="K813">
        <f>J813*(1+((Inputs!$B$11*(1+Inputs!$B$12/100))*0.01+Inputs!$B$13*0.0025)/100)*(1+(Inputs!$B$14+B842)/100)*(1+IF(Inputs!$B$4="pvp",0,(1-Summary!$B$48)*(Inputs!$B$19+Skills!O2+B840)+Summary!$B$48*(Inputs!$B$20+Skills!P2+B841))/100)*(1+Inputs!$B$15/100)*(5000/(6000+Inputs!$B$7*(1-Inputs!$B$18/100)))*(1+Inputs!$B$23/100)*(1+IF(C828=TRUE,F828,0)/100)*(1+IF(C830=TRUE,F830,0)/100)*(1+IF(Skills!A2="TRIUMPH_FEATHER",IF(C826=TRUE,F826,0),0)/100)*(1+IF(C837=TRUE,F837,0)/100)^5*(1+(IF(Skills!A2="BIG_BANG",Inputs!$B$16,Inputs!$B$17))/100)*(B839*I813)</f>
        <v/>
      </c>
      <c r="L813">
        <f>K813*(MIN(Inputs!$B$21+(F832-Calc!F21),Inputs!$B$22)/100+Inputs!$B$22/100)/2</f>
        <v/>
      </c>
      <c r="M813">
        <f>L813*(1+(Inputs!$B$9+B843+(F835-Calc!F24))/100)</f>
        <v/>
      </c>
      <c r="N813">
        <f>L813*(1-MIN(Inputs!$B$8+((F834-Calc!F23)+(F833-Calc!F22)),100)/100)+M813*(MIN(Inputs!$B$8+((F834-Calc!F23)+(F833-Calc!F22)),100)/100)</f>
        <v/>
      </c>
      <c r="O813">
        <f>IF(C813,Skills!F2*N813*B847*IF(Inputs!$B$4="pvp",1,(1-Summary!$B$48)*(1)+Summary!$B$48*(MIN((6+Inputs!$B$32),Inputs!$B$37))),0)</f>
        <v/>
      </c>
      <c r="P813">
        <f>IF(B849=0,0,O813/B849)</f>
        <v/>
      </c>
      <c r="S813" t="n">
        <v>0</v>
      </c>
      <c r="T813">
        <f>MAX(0,(Inputs!$B$3-100)*3)+Inputs!$B$27+(Inputs!$B$28+1)</f>
        <v/>
      </c>
      <c r="V813">
        <f>IFERROR(1/IF(Inputs!$B$4="pvp",15,MAX(0.1,Skills!D2-IF(Skills!E2=TRUE,Inputs!$B$31,0))),0)</f>
        <v/>
      </c>
    </row>
    <row r="814">
      <c r="A814">
        <f>Skills!A3</f>
        <v/>
      </c>
      <c r="B814">
        <f>Skills!B3</f>
        <v/>
      </c>
      <c r="C814">
        <f>Inputs!$B$3&gt;=15</f>
        <v/>
      </c>
      <c r="D814">
        <f>IF(Skills!C3=1,60+Inputs!$B$24+(Inputs!$B$28+1),IF(Skills!C3=2,90+Inputs!$B$25+(Inputs!$B$28+1),IF(Skills!C3=3,120+Inputs!$B$26+(Inputs!$B$28+1),MAX(0,(Inputs!$B$3-100)*3)+Inputs!$B$27+(Inputs!$B$28+1))))</f>
        <v/>
      </c>
      <c r="E814">
        <f>INDEX(FactorTable!$B$2:$Y$301, MATCH(ROUND(MIN(300,MAX(1,D814)),0), FactorTable!$A$2:$A$301,0), Skills!L3+1)</f>
        <v/>
      </c>
      <c r="F814">
        <f>IF(Skills!M3=TRUE,(Skills!K3/10)*(E814/1000),Skills!K3/10)+Skills!N3</f>
        <v/>
      </c>
      <c r="G814">
        <f>Calc!G3</f>
        <v/>
      </c>
      <c r="H814">
        <f>Calc!H3</f>
        <v/>
      </c>
      <c r="I814">
        <f>IF(Skills!T3&lt;&gt;"",1+(Skills!T3/10)*($Z$3/1000)/100,1)</f>
        <v/>
      </c>
      <c r="J814" t="inlineStr"/>
      <c r="K814" t="inlineStr"/>
      <c r="L814" t="inlineStr"/>
      <c r="M814" t="inlineStr"/>
      <c r="N814" t="inlineStr"/>
      <c r="O814" t="n">
        <v>0</v>
      </c>
      <c r="P814">
        <f>IF(B849=0,0,O814/B849)</f>
        <v/>
      </c>
      <c r="S814">
        <f>IF(AND(Inputs!$B$4&lt;&gt;"pvp",Inputs!$B$35&gt;0),(INT(Inputs!$B$35/IF(Inputs!$B$4="pvp",15,MAX(0.1,Skills!D3-IF(Skills!E3=TRUE,Inputs!$B$31,0))))+1),0)</f>
        <v/>
      </c>
      <c r="T814">
        <f>INDEX(FactorTable!$B$2:$Y$301, MATCH(ROUND(MIN(300,MAX(1,T813)),0), FactorTable!$A$2:$A$301,0), 22)</f>
        <v/>
      </c>
      <c r="V814">
        <f>IFERROR(1/IF(Inputs!$B$4="pvp",15,MAX(0.1,Skills!D3-IF(Skills!E3=TRUE,Inputs!$B$31,0))),0)</f>
        <v/>
      </c>
    </row>
    <row r="815">
      <c r="A815">
        <f>Skills!A4</f>
        <v/>
      </c>
      <c r="B815">
        <f>Skills!B4</f>
        <v/>
      </c>
      <c r="C815">
        <f>Inputs!$B$3&gt;=38</f>
        <v/>
      </c>
      <c r="D815">
        <f>IF(Skills!C4=1,60+Inputs!$B$24+(Inputs!$B$28+1),IF(Skills!C4=2,90+Inputs!$B$25+(Inputs!$B$28+1),IF(Skills!C4=3,120+Inputs!$B$26+(Inputs!$B$28+1),MAX(0,(Inputs!$B$3-100)*3)+Inputs!$B$27+(Inputs!$B$28+1))))</f>
        <v/>
      </c>
      <c r="E815">
        <f>INDEX(FactorTable!$B$2:$Y$301, MATCH(ROUND(MIN(300,MAX(1,D815)),0), FactorTable!$A$2:$A$301,0), Skills!L4+1)</f>
        <v/>
      </c>
      <c r="F815">
        <f>IF(Skills!M4=TRUE,(Skills!K4/10)*(E815/1000),Skills!K4/10)+Skills!N4</f>
        <v/>
      </c>
      <c r="G815">
        <f>Calc!G4</f>
        <v/>
      </c>
      <c r="H815">
        <f>Calc!H4</f>
        <v/>
      </c>
      <c r="I815">
        <f>IF(Skills!T4&lt;&gt;"",1+(Skills!T4/10)*($Z$3/1000)/100,1)</f>
        <v/>
      </c>
      <c r="J815" t="inlineStr"/>
      <c r="K815" t="inlineStr"/>
      <c r="L815" t="inlineStr"/>
      <c r="M815" t="inlineStr"/>
      <c r="N815" t="inlineStr"/>
      <c r="O815" t="n">
        <v>0</v>
      </c>
      <c r="P815">
        <f>IF(B849=0,0,O815/B849)</f>
        <v/>
      </c>
      <c r="S815">
        <f>IF(AND(Inputs!$B$4&lt;&gt;"pvp",Inputs!$B$35&gt;0),(INT(Inputs!$B$35/IF(Inputs!$B$4="pvp",15,MAX(0.1,Skills!D4-IF(Skills!E4=TRUE,Inputs!$B$31,0))))+1),0)</f>
        <v/>
      </c>
      <c r="T815">
        <f>290*T814/1000</f>
        <v/>
      </c>
      <c r="V815">
        <f>IFERROR(1/IF(Inputs!$B$4="pvp",15,MAX(0.1,Skills!D4-IF(Skills!E4=TRUE,Inputs!$B$31,0))),0)</f>
        <v/>
      </c>
    </row>
    <row r="816">
      <c r="A816">
        <f>Skills!A5</f>
        <v/>
      </c>
      <c r="B816">
        <f>Skills!B5</f>
        <v/>
      </c>
      <c r="C816">
        <f>Inputs!$B$3&gt;=40</f>
        <v/>
      </c>
      <c r="D816">
        <f>IF(Skills!C5=1,60+Inputs!$B$24+(Inputs!$B$28+1),IF(Skills!C5=2,90+Inputs!$B$25+(Inputs!$B$28+1),IF(Skills!C5=3,120+Inputs!$B$26+(Inputs!$B$28+1),MAX(0,(Inputs!$B$3-100)*3)+Inputs!$B$27+(Inputs!$B$28+1))))</f>
        <v/>
      </c>
      <c r="E816">
        <f>INDEX(FactorTable!$B$2:$Y$301, MATCH(ROUND(MIN(300,MAX(1,D816)),0), FactorTable!$A$2:$A$301,0), Skills!L5+1)</f>
        <v/>
      </c>
      <c r="F816">
        <f>IF(Skills!M5=TRUE,(Skills!K5/10)*(E816/1000),Skills!K5/10)+Skills!N5</f>
        <v/>
      </c>
      <c r="G816">
        <f>Calc!G5</f>
        <v/>
      </c>
      <c r="H816">
        <f>Calc!H5</f>
        <v/>
      </c>
      <c r="I816">
        <f>IF(Skills!T5&lt;&gt;"",1+(Skills!T5/10)*($Z$3/1000)/100,1)</f>
        <v/>
      </c>
      <c r="J816" t="inlineStr"/>
      <c r="K816" t="inlineStr"/>
      <c r="L816" t="inlineStr"/>
      <c r="M816" t="inlineStr"/>
      <c r="N816" t="inlineStr"/>
      <c r="O816" t="n">
        <v>0</v>
      </c>
      <c r="P816">
        <f>IF(B849=0,0,O816/B849)</f>
        <v/>
      </c>
      <c r="S816">
        <f>IF(AND(Inputs!$B$4&lt;&gt;"pvp",Inputs!$B$35&gt;0),(INT(Inputs!$B$35/IF(Inputs!$B$4="pvp",15,MAX(0.1,Skills!D5-IF(Skills!E5=TRUE,Inputs!$B$31,0))))+1),0)</f>
        <v/>
      </c>
      <c r="V816">
        <f>IFERROR(1/IF(Inputs!$B$4="pvp",15,MAX(0.1,Skills!D5-IF(Skills!E5=TRUE,Inputs!$B$31,0))),0)</f>
        <v/>
      </c>
    </row>
    <row r="817">
      <c r="A817">
        <f>Skills!A6</f>
        <v/>
      </c>
      <c r="B817">
        <f>Skills!B6</f>
        <v/>
      </c>
      <c r="C817">
        <f>Inputs!$B$3&gt;=103</f>
        <v/>
      </c>
      <c r="D817">
        <f>IF(Skills!C6=1,60+Inputs!$B$24+(Inputs!$B$28+1),IF(Skills!C6=2,90+Inputs!$B$25+(Inputs!$B$28+1),IF(Skills!C6=3,120+Inputs!$B$26+(Inputs!$B$28+1),MAX(0,(Inputs!$B$3-100)*3)+Inputs!$B$27+(Inputs!$B$28+1))))</f>
        <v/>
      </c>
      <c r="E817">
        <f>INDEX(FactorTable!$B$2:$Y$301, MATCH(ROUND(MIN(300,MAX(1,D817)),0), FactorTable!$A$2:$A$301,0), Skills!L6+1)</f>
        <v/>
      </c>
      <c r="F817">
        <f>IF(Skills!M6=TRUE,(Skills!K6/10)*(E817/1000),Skills!K6/10)+Skills!N6</f>
        <v/>
      </c>
      <c r="G817">
        <f>Calc!G6</f>
        <v/>
      </c>
      <c r="H817">
        <f>Calc!H6</f>
        <v/>
      </c>
      <c r="I817">
        <f>IF(Skills!T6&lt;&gt;"",1+(Skills!T6/10)*($Z$3/1000)/100,1)</f>
        <v/>
      </c>
      <c r="J817">
        <f>((Inputs!$B$5*(1+Inputs!$B$6/100))+((Inputs!$B$11*(1+Inputs!$B$12/100))-(Inputs!$B$11*(1+Inputs!$B$12/100)))*(1+Inputs!$B$6/100))*(F817/100)</f>
        <v/>
      </c>
      <c r="K817">
        <f>J817*(1+((Inputs!$B$11*(1+Inputs!$B$12/100))*0.01+Inputs!$B$13*0.0025)/100)*(1+(Inputs!$B$14+B842)/100)*(1+IF(Inputs!$B$4="pvp",0,(1-Summary!$B$48)*(Inputs!$B$19+Skills!O6+B840)+Summary!$B$48*(Inputs!$B$20+Skills!P6+B841))/100)*(1+Inputs!$B$15/100)*(5000/(6000+Inputs!$B$7*(1-Inputs!$B$18/100)))*(1+Inputs!$B$23/100)*(1+IF(C828=TRUE,F828,0)/100)*(1+IF(C830=TRUE,F830,0)/100)*(1+IF(Skills!A6="TRIUMPH_FEATHER",IF(C826=TRUE,F826,0),0)/100)*(1+IF(C837=TRUE,F837,0)/100)^5*(1+(IF(Skills!A6="BIG_BANG",Inputs!$B$16,Inputs!$B$17))/100)*(B839*I817)</f>
        <v/>
      </c>
      <c r="L817">
        <f>K817*(MIN(Inputs!$B$21+(F832-Calc!F21),Inputs!$B$22)/100+Inputs!$B$22/100)/2</f>
        <v/>
      </c>
      <c r="M817">
        <f>L817*(1+(Inputs!$B$9+B843+(F835-Calc!F24))/100)</f>
        <v/>
      </c>
      <c r="N817">
        <f>L817*(1-MIN(Inputs!$B$8+((F834-Calc!F23)+(F833-Calc!F22)),100)/100)+M817*(MIN(Inputs!$B$8+((F834-Calc!F23)+(F833-Calc!F22)),100)/100)</f>
        <v/>
      </c>
      <c r="O817">
        <f>IF(C817,H817*N817*IF(AND(Inputs!$B$4&lt;&gt;"pvp",Inputs!$B$35&gt;0),((Skills!F6*((S817-1)*IF(Skills!G6&gt;0,Skills!H6/Skills!G6,1)+IF(Skills!G6&gt;0,MIN(Skills!H6,MAX(0,Inputs!$B$35-((S817-1)*IF(Inputs!$B$4="pvp",15,MAX(0.1,Skills!D6-IF(Skills!E6=TRUE,Inputs!$B$31,0))))))/Skills!G6,1)))/Inputs!$B$35),G817*V817)*IF(Inputs!$B$4="pvp",1,(1-Summary!$B$48)*(1)+Summary!$B$48*(MIN(Skills!Q6,Inputs!$B$37))),0)</f>
        <v/>
      </c>
      <c r="P817">
        <f>IF(B849=0,0,O817/B849)</f>
        <v/>
      </c>
      <c r="S817">
        <f>IF(AND(Inputs!$B$4&lt;&gt;"pvp",Inputs!$B$35&gt;0),(INT(Inputs!$B$35/IF(Inputs!$B$4="pvp",15,MAX(0.1,Skills!D6-IF(Skills!E6=TRUE,Inputs!$B$31,0))))+1),0)</f>
        <v/>
      </c>
      <c r="V817">
        <f>IFERROR(1/IF(Inputs!$B$4="pvp",15,MAX(0.1,Skills!D6-IF(Skills!E6=TRUE,Inputs!$B$31,0))),0)</f>
        <v/>
      </c>
    </row>
    <row r="818">
      <c r="A818">
        <f>Skills!A7</f>
        <v/>
      </c>
      <c r="B818">
        <f>Skills!B7</f>
        <v/>
      </c>
      <c r="C818">
        <f>Inputs!$B$3&gt;=122</f>
        <v/>
      </c>
      <c r="D818">
        <f>IF(Skills!C7=1,60+Inputs!$B$24+(Inputs!$B$28+1),IF(Skills!C7=2,90+Inputs!$B$25+(Inputs!$B$28+1),IF(Skills!C7=3,120+Inputs!$B$26+(Inputs!$B$28+1),MAX(0,(Inputs!$B$3-100)*3)+Inputs!$B$27+(Inputs!$B$28+1))))</f>
        <v/>
      </c>
      <c r="E818">
        <f>INDEX(FactorTable!$B$2:$Y$301, MATCH(ROUND(MIN(300,MAX(1,D818)),0), FactorTable!$A$2:$A$301,0), Skills!L7+1)</f>
        <v/>
      </c>
      <c r="F818">
        <f>IF(Skills!M7=TRUE,(Skills!K7/10)*(E818/1000),Skills!K7/10)+Skills!N7</f>
        <v/>
      </c>
      <c r="G818">
        <f>Calc!G7</f>
        <v/>
      </c>
      <c r="H818">
        <f>Calc!H7</f>
        <v/>
      </c>
      <c r="I818">
        <f>IF(Skills!T7&lt;&gt;"",1+(Skills!T7/10)*($Z$3/1000)/100,1)</f>
        <v/>
      </c>
      <c r="J818">
        <f>((Inputs!$B$5*(1+Inputs!$B$6/100))+((Inputs!$B$11*(1+Inputs!$B$12/100))-(Inputs!$B$11*(1+Inputs!$B$12/100)))*(1+Inputs!$B$6/100))*(F818/100)</f>
        <v/>
      </c>
      <c r="K818">
        <f>J818*(1+((Inputs!$B$11*(1+Inputs!$B$12/100))*0.01+Inputs!$B$13*0.0025)/100)*(1+(Inputs!$B$14+B842)/100)*(1+IF(Inputs!$B$4="pvp",0,(1-Summary!$B$48)*(Inputs!$B$19+Skills!O7+B840)+Summary!$B$48*(Inputs!$B$20+Skills!P7+B841))/100)*(1+Inputs!$B$15/100)*(5000/(6000+Inputs!$B$7*(1-Inputs!$B$18/100)))*(1+Inputs!$B$23/100)*(1+IF(C828=TRUE,F828,0)/100)*(1+IF(C830=TRUE,F830,0)/100)*(1+IF(Skills!A7="TRIUMPH_FEATHER",IF(C826=TRUE,F826,0),0)/100)*(1+IF(C837=TRUE,F837,0)/100)^5*(1+(IF(Skills!A7="BIG_BANG",Inputs!$B$16,Inputs!$B$17))/100)*(B839*I818)</f>
        <v/>
      </c>
      <c r="L818">
        <f>K818*(MIN(Inputs!$B$21+(F832-Calc!F21),Inputs!$B$22)/100+Inputs!$B$22/100)/2</f>
        <v/>
      </c>
      <c r="M818">
        <f>L818*(1+(Inputs!$B$9+B843+(F835-Calc!F24))/100)</f>
        <v/>
      </c>
      <c r="N818">
        <f>L818*(1-MIN(Inputs!$B$8+((F834-Calc!F23)+(F833-Calc!F22)),100)/100)+M818*(MIN(Inputs!$B$8+((F834-Calc!F23)+(F833-Calc!F22)),100)/100)</f>
        <v/>
      </c>
      <c r="O818">
        <f>IF(C818,H818*N818*IF(AND(Inputs!$B$4&lt;&gt;"pvp",Inputs!$B$35&gt;0),((Skills!F7*((S818-1)*IF(Skills!G7&gt;0,Skills!H7/Skills!G7,1)+IF(Skills!G7&gt;0,MIN(Skills!H7,MAX(0,Inputs!$B$35-((S818-1)*IF(Inputs!$B$4="pvp",15,MAX(0.1,Skills!D7-IF(Skills!E6=TRUE,Inputs!$B$31,0))))))/Skills!G7,1)))/Inputs!$B$35),G818*V818)*(1-Summary!$B$48),0)</f>
        <v/>
      </c>
      <c r="P818">
        <f>IF(B849=0,0,O818/B849)</f>
        <v/>
      </c>
      <c r="S818">
        <f>IF(AND(Inputs!$B$4&lt;&gt;"pvp",Inputs!$B$35&gt;0),(INT(Inputs!$B$35/IF(Inputs!$B$4="pvp",15,MAX(0.1,Skills!D7-IF(Skills!E6=TRUE,Inputs!$B$31,0))))+1),0)</f>
        <v/>
      </c>
      <c r="V818">
        <f>IFERROR(1/IF(Inputs!$B$4="pvp",15,MAX(0.1,Skills!D7-IF(Skills!E6=TRUE,Inputs!$B$31,0))),0)</f>
        <v/>
      </c>
    </row>
    <row r="819">
      <c r="A819">
        <f>Skills!A8</f>
        <v/>
      </c>
      <c r="B819">
        <f>Skills!B8</f>
        <v/>
      </c>
      <c r="C819">
        <f>Inputs!$B$3&gt;=105</f>
        <v/>
      </c>
      <c r="D819">
        <f>IF(Skills!C8=1,60+Inputs!$B$24+(Inputs!$B$28+1),IF(Skills!C8=2,90+Inputs!$B$25+(Inputs!$B$28+1),IF(Skills!C8=3,120+Inputs!$B$26+(Inputs!$B$28+1),MAX(0,(Inputs!$B$3-100)*3)+Inputs!$B$27+(Inputs!$B$28+1))))</f>
        <v/>
      </c>
      <c r="E819">
        <f>INDEX(FactorTable!$B$2:$Y$301, MATCH(ROUND(MIN(300,MAX(1,D819)),0), FactorTable!$A$2:$A$301,0), Skills!L8+1)</f>
        <v/>
      </c>
      <c r="F819">
        <f>IF(Skills!M8=TRUE,(Skills!K8/10)*(E819/1000),Skills!K8/10)+Skills!N8</f>
        <v/>
      </c>
      <c r="G819">
        <f>Calc!G8</f>
        <v/>
      </c>
      <c r="H819">
        <f>Calc!H8</f>
        <v/>
      </c>
      <c r="I819">
        <f>IF(Skills!T8&lt;&gt;"",1+(Skills!T8/10)*($Z$3/1000)/100,1)</f>
        <v/>
      </c>
      <c r="J819">
        <f>((Inputs!$B$5*(1+Inputs!$B$6/100))+((Inputs!$B$11*(1+Inputs!$B$12/100))-(Inputs!$B$11*(1+Inputs!$B$12/100)))*(1+Inputs!$B$6/100))*(F819/100)</f>
        <v/>
      </c>
      <c r="K819">
        <f>J819*(1+((Inputs!$B$11*(1+Inputs!$B$12/100))*0.01+Inputs!$B$13*0.0025)/100)*(1+(Inputs!$B$14+B842)/100)*(1+IF(Inputs!$B$4="pvp",0,(1-Summary!$B$48)*(Inputs!$B$19+Skills!O8+B840)+Summary!$B$48*(Inputs!$B$20+Skills!P8+B841))/100)*(1+Inputs!$B$15/100)*(5000/(6000+Inputs!$B$7*(1-Inputs!$B$18/100)))*(1+Inputs!$B$23/100)*(1+IF(C828=TRUE,F828,0)/100)*(1+IF(C830=TRUE,F830,0)/100)*(1+IF(Skills!A8="TRIUMPH_FEATHER",IF(C826=TRUE,F826,0),0)/100)*(1+IF(C837=TRUE,F837,0)/100)^5*(1+(IF(Skills!A8="BIG_BANG",Inputs!$B$16,Inputs!$B$17))/100)*(B839*I819)</f>
        <v/>
      </c>
      <c r="L819">
        <f>K819*(MIN(Inputs!$B$21+(F832-Calc!F21),Inputs!$B$22)/100+Inputs!$B$22/100)/2</f>
        <v/>
      </c>
      <c r="M819">
        <f>L819*(1+(Inputs!$B$9+B843+(F835-Calc!F24))/100)</f>
        <v/>
      </c>
      <c r="N819">
        <f>L819*(1-MIN(Inputs!$B$8+((F834-Calc!F23)+(F833-Calc!F22)),100)/100)+M819*(MIN(Inputs!$B$8+((F834-Calc!F23)+(F833-Calc!F22)),100)/100)</f>
        <v/>
      </c>
      <c r="O819">
        <f>IF(C819,H819*N819*IF(AND(Inputs!$B$4&lt;&gt;"pvp",Inputs!$B$35&gt;0),((Skills!F8*((S819-1)*IF(Skills!G8&gt;0,Skills!H8/Skills!G8,1)+IF(Skills!G8&gt;0,MIN(Skills!H8,MAX(0,Inputs!$B$35-((S819-1)*IF(Inputs!$B$4="pvp",15,MAX(0.1,Skills!D8-IF(Skills!E8=TRUE,Inputs!$B$31,0))))))/Skills!G8,1)))/Inputs!$B$35),G819*V819)*IF(Inputs!$B$4="pvp",1,(1-Summary!$B$48)*(1)+Summary!$B$48*(MIN(Skills!Q8,Inputs!$B$37))),0)</f>
        <v/>
      </c>
      <c r="P819">
        <f>IF(B849=0,0,O819/B849)</f>
        <v/>
      </c>
      <c r="S819">
        <f>IF(AND(Inputs!$B$4&lt;&gt;"pvp",Inputs!$B$35&gt;0),(INT(Inputs!$B$35/IF(Inputs!$B$4="pvp",15,MAX(0.1,Skills!D8-IF(Skills!E8=TRUE,Inputs!$B$31,0))))+1),0)</f>
        <v/>
      </c>
      <c r="V819">
        <f>IFERROR(1/IF(Inputs!$B$4="pvp",15,MAX(0.1,Skills!D8-IF(Skills!E8=TRUE,Inputs!$B$31,0))),0)</f>
        <v/>
      </c>
    </row>
    <row r="820">
      <c r="A820">
        <f>Skills!A9</f>
        <v/>
      </c>
      <c r="B820">
        <f>Skills!B9</f>
        <v/>
      </c>
      <c r="C820">
        <f>Inputs!$B$3&gt;=115</f>
        <v/>
      </c>
      <c r="D820">
        <f>IF(Skills!C9=1,60+Inputs!$B$24+(Inputs!$B$28+1),IF(Skills!C9=2,90+Inputs!$B$25+(Inputs!$B$28+1),IF(Skills!C9=3,120+Inputs!$B$26+(Inputs!$B$28+1),MAX(0,(Inputs!$B$3-100)*3)+Inputs!$B$27+(Inputs!$B$28+1))))</f>
        <v/>
      </c>
      <c r="E820">
        <f>INDEX(FactorTable!$B$2:$Y$301, MATCH(ROUND(MIN(300,MAX(1,D820)),0), FactorTable!$A$2:$A$301,0), Skills!L9+1)</f>
        <v/>
      </c>
      <c r="F820">
        <f>IF(Skills!M9=TRUE,(Skills!K9/10)*(E820/1000),Skills!K9/10)+Skills!N9</f>
        <v/>
      </c>
      <c r="G820">
        <f>Calc!G9</f>
        <v/>
      </c>
      <c r="H820">
        <f>Calc!H9</f>
        <v/>
      </c>
      <c r="I820">
        <f>IF(Skills!T9&lt;&gt;"",1+(Skills!T9/10)*($Z$3/1000)/100,1)</f>
        <v/>
      </c>
      <c r="J820">
        <f>((Inputs!$B$5*(1+Inputs!$B$6/100))+((Inputs!$B$11*(1+Inputs!$B$12/100))-(Inputs!$B$11*(1+Inputs!$B$12/100)))*(1+Inputs!$B$6/100))*(F820/100)</f>
        <v/>
      </c>
      <c r="K820">
        <f>J820*(1+((Inputs!$B$11*(1+Inputs!$B$12/100))*0.01+Inputs!$B$13*0.0025)/100)*(1+(Inputs!$B$14+B842)/100)*(1+IF(Inputs!$B$4="pvp",0,(1-Summary!$B$48)*(Inputs!$B$19+Skills!O9+B840)+Summary!$B$48*(Inputs!$B$20+Skills!P9+B841))/100)*(1+Inputs!$B$15/100)*(5000/(6000+Inputs!$B$7*(1-Inputs!$B$18/100)))*(1+Inputs!$B$23/100)*(1+IF(C828=TRUE,F828,0)/100)*(1+IF(C830=TRUE,F830,0)/100)*(1+IF(Skills!A9="TRIUMPH_FEATHER",IF(C826=TRUE,F826,0),0)/100)*(1+IF(C837=TRUE,F837,0)/100)^5*(1+(IF(Skills!A9="BIG_BANG",Inputs!$B$16,Inputs!$B$17))/100)*(B839*I820)</f>
        <v/>
      </c>
      <c r="L820">
        <f>K820*(MIN(Inputs!$B$21+(F832-Calc!F21),Inputs!$B$22)/100+Inputs!$B$22/100)/2</f>
        <v/>
      </c>
      <c r="M820">
        <f>L820*(1+(Inputs!$B$9+B843+(F835-Calc!F24))/100)</f>
        <v/>
      </c>
      <c r="N820">
        <f>L820*(1-MIN(Inputs!$B$8+((F834-Calc!F23)+(F833-Calc!F22)),100)/100)+M820*(MIN(Inputs!$B$8+((F834-Calc!F23)+(F833-Calc!F22)),100)/100)</f>
        <v/>
      </c>
      <c r="O820">
        <f>IF(C820,H820*N820*IF(AND(Inputs!$B$4&lt;&gt;"pvp",Inputs!$B$35&gt;0),((Skills!F9*((S820-1)*IF(Skills!G9&gt;0,Skills!H9/Skills!G9,1)+IF(Skills!G9&gt;0,MIN(Skills!H9,MAX(0,Inputs!$B$35-((S820-1)*IF(Inputs!$B$4="pvp",15,MAX(0.1,Skills!D9-IF(Skills!E9=TRUE,Inputs!$B$31,0))))))/Skills!G9,1)))/Inputs!$B$35),G820*V820)*IF(Inputs!$B$4="pvp",1,(1-Summary!$B$48)*(1)+Summary!$B$48*(MIN(Skills!Q9,Inputs!$B$37))),0)</f>
        <v/>
      </c>
      <c r="P820">
        <f>IF(B849=0,0,O820/B849)</f>
        <v/>
      </c>
      <c r="S820">
        <f>IF(AND(Inputs!$B$4&lt;&gt;"pvp",Inputs!$B$35&gt;0),(INT(Inputs!$B$35/IF(Inputs!$B$4="pvp",15,MAX(0.1,Skills!D9-IF(Skills!E9=TRUE,Inputs!$B$31,0))))+1),0)</f>
        <v/>
      </c>
      <c r="V820">
        <f>IFERROR(1/IF(Inputs!$B$4="pvp",15,MAX(0.1,Skills!D9-IF(Skills!E9=TRUE,Inputs!$B$31,0))),0)</f>
        <v/>
      </c>
    </row>
    <row r="821">
      <c r="A821">
        <f>Skills!A10</f>
        <v/>
      </c>
      <c r="B821">
        <f>Skills!B10</f>
        <v/>
      </c>
      <c r="C821">
        <f>Inputs!$B$3&gt;=66</f>
        <v/>
      </c>
      <c r="D821">
        <f>IF(Skills!C10=1,60+Inputs!$B$24+(Inputs!$B$28+1),IF(Skills!C10=2,90+Inputs!$B$25+(Inputs!$B$28+1),IF(Skills!C10=3,120+Inputs!$B$26+(Inputs!$B$28+1),MAX(0,(Inputs!$B$3-100)*3)+Inputs!$B$27+(Inputs!$B$28+1))))</f>
        <v/>
      </c>
      <c r="E821">
        <f>INDEX(FactorTable!$B$2:$Y$301, MATCH(ROUND(MIN(300,MAX(1,D821)),0), FactorTable!$A$2:$A$301,0), Skills!L10+1)</f>
        <v/>
      </c>
      <c r="F821" t="n">
        <v>0</v>
      </c>
      <c r="G821">
        <f>Calc!G10</f>
        <v/>
      </c>
      <c r="H821">
        <f>Calc!H10</f>
        <v/>
      </c>
      <c r="I821">
        <f>IF(Skills!T10&lt;&gt;"",1+(Skills!T10/10)*($Z$3/1000)/100,1)</f>
        <v/>
      </c>
      <c r="J821" t="inlineStr"/>
      <c r="K821" t="inlineStr"/>
      <c r="L821" t="inlineStr"/>
      <c r="M821" t="inlineStr"/>
      <c r="N821" t="inlineStr"/>
      <c r="O821" t="n">
        <v>0</v>
      </c>
      <c r="P821">
        <f>IF(B849=0,0,O821/B849)</f>
        <v/>
      </c>
      <c r="S821">
        <f>IF(AND(Inputs!$B$4&lt;&gt;"pvp",Inputs!$B$35&gt;0),(INT(Inputs!$B$35/IF(Inputs!$B$4="pvp",15,MAX(0.1,Skills!D10-IF(Skills!E10=TRUE,Inputs!$B$31,0))))+1),0)</f>
        <v/>
      </c>
      <c r="V821">
        <f>IFERROR(1/IF(Inputs!$B$4="pvp",15,MAX(0.1,Skills!D10-IF(Skills!E10=TRUE,Inputs!$B$31,0))),0)</f>
        <v/>
      </c>
    </row>
    <row r="822">
      <c r="A822">
        <f>Skills!A11</f>
        <v/>
      </c>
      <c r="B822">
        <f>Skills!B11</f>
        <v/>
      </c>
      <c r="C822">
        <f>Inputs!$B$3&gt;=69</f>
        <v/>
      </c>
      <c r="D822">
        <f>IF(Skills!C11=1,60+Inputs!$B$24+(Inputs!$B$28+1),IF(Skills!C11=2,90+Inputs!$B$25+(Inputs!$B$28+1),IF(Skills!C11=3,120+Inputs!$B$26+(Inputs!$B$28+1),MAX(0,(Inputs!$B$3-100)*3)+Inputs!$B$27+(Inputs!$B$28+1))))</f>
        <v/>
      </c>
      <c r="E822">
        <f>INDEX(FactorTable!$B$2:$Y$301, MATCH(ROUND(MIN(300,MAX(1,D822)),0), FactorTable!$A$2:$A$301,0), Skills!L11+1)</f>
        <v/>
      </c>
      <c r="F822">
        <f>IF(Skills!M11=TRUE,(Skills!K11/10)*(E822/1000),Skills!K11/10)+Skills!N11</f>
        <v/>
      </c>
      <c r="G822">
        <f>Calc!G11</f>
        <v/>
      </c>
      <c r="H822">
        <f>Calc!H11</f>
        <v/>
      </c>
      <c r="I822">
        <f>IF(Skills!T11&lt;&gt;"",1+(Skills!T11/10)*($Z$3/1000)/100,1)</f>
        <v/>
      </c>
      <c r="J822" t="inlineStr"/>
      <c r="K822" t="inlineStr"/>
      <c r="L822" t="inlineStr"/>
      <c r="M822" t="inlineStr"/>
      <c r="N822" t="inlineStr"/>
      <c r="O822" t="n">
        <v>0</v>
      </c>
      <c r="P822">
        <f>IF(B849=0,0,O822/B849)</f>
        <v/>
      </c>
      <c r="S822">
        <f>IF(AND(Inputs!$B$4&lt;&gt;"pvp",Inputs!$B$35&gt;0),(INT(Inputs!$B$35/IF(Inputs!$B$4="pvp",15,MAX(0.1,Skills!D11-IF(Skills!E11=TRUE,Inputs!$B$31,0))))+1),0)</f>
        <v/>
      </c>
      <c r="V822">
        <f>IFERROR(1/IF(Inputs!$B$4="pvp",15,MAX(0.1,Skills!D11-IF(Skills!E11=TRUE,Inputs!$B$31,0))),0)</f>
        <v/>
      </c>
    </row>
    <row r="823">
      <c r="A823">
        <f>Skills!A12</f>
        <v/>
      </c>
      <c r="B823">
        <f>Skills!B12</f>
        <v/>
      </c>
      <c r="C823">
        <f>Inputs!$B$3&gt;=72</f>
        <v/>
      </c>
      <c r="D823">
        <f>IF(Skills!C12=1,60+Inputs!$B$24+(Inputs!$B$28+1),IF(Skills!C12=2,90+Inputs!$B$25+(Inputs!$B$28+1),IF(Skills!C12=3,120+Inputs!$B$26+(Inputs!$B$28+1),MAX(0,(Inputs!$B$3-100)*3)+Inputs!$B$27+(Inputs!$B$28+1))))</f>
        <v/>
      </c>
      <c r="E823">
        <f>INDEX(FactorTable!$B$2:$Y$301, MATCH(ROUND(MIN(300,MAX(1,D823)),0), FactorTable!$A$2:$A$301,0), Skills!L12+1)</f>
        <v/>
      </c>
      <c r="F823">
        <f>IF(Skills!M12=TRUE,(Skills!K12/10)*(E823/1000),Skills!K12/10)+Skills!N12</f>
        <v/>
      </c>
      <c r="G823">
        <f>Calc!G12</f>
        <v/>
      </c>
      <c r="H823">
        <f>Calc!H12</f>
        <v/>
      </c>
      <c r="I823">
        <f>IF(Skills!T12&lt;&gt;"",1+(Skills!T12/10)*($Z$3/1000)/100,1)</f>
        <v/>
      </c>
      <c r="J823" t="inlineStr"/>
      <c r="K823" t="inlineStr"/>
      <c r="L823" t="inlineStr"/>
      <c r="M823" t="inlineStr"/>
      <c r="N823" t="inlineStr"/>
      <c r="O823" t="n">
        <v>0</v>
      </c>
      <c r="P823">
        <f>IF(B849=0,0,O823/B849)</f>
        <v/>
      </c>
      <c r="S823">
        <f>IF(AND(Inputs!$B$4&lt;&gt;"pvp",Inputs!$B$35&gt;0),(INT(Inputs!$B$35/IF(Inputs!$B$4="pvp",15,MAX(0.1,Skills!D12-IF(Skills!E12=TRUE,Inputs!$B$31,0))))+1),0)</f>
        <v/>
      </c>
      <c r="V823">
        <f>IFERROR(1/IF(Inputs!$B$4="pvp",15,MAX(0.1,Skills!D12-IF(Skills!E12=TRUE,Inputs!$B$31,0))),0)</f>
        <v/>
      </c>
    </row>
    <row r="824">
      <c r="A824">
        <f>Skills!A13</f>
        <v/>
      </c>
      <c r="B824">
        <f>Skills!B13</f>
        <v/>
      </c>
      <c r="C824">
        <f>Inputs!$B$3&gt;=107</f>
        <v/>
      </c>
      <c r="D824">
        <f>IF(Skills!C13=1,60+Inputs!$B$24+(Inputs!$B$28+1),IF(Skills!C13=2,90+Inputs!$B$25+(Inputs!$B$28+1),IF(Skills!C13=3,120+Inputs!$B$26+(Inputs!$B$28+1),MAX(0,(Inputs!$B$3-100)*3)+Inputs!$B$27+(Inputs!$B$28+1))))</f>
        <v/>
      </c>
      <c r="E824">
        <f>INDEX(FactorTable!$B$2:$Y$301, MATCH(ROUND(MIN(300,MAX(1,D824)),0), FactorTable!$A$2:$A$301,0), Skills!L13+1)</f>
        <v/>
      </c>
      <c r="F824">
        <f>IF(Skills!M13=TRUE,(Skills!K13/10)*(E824/1000),Skills!K13/10)+Skills!N13</f>
        <v/>
      </c>
      <c r="G824">
        <f>Calc!G13</f>
        <v/>
      </c>
      <c r="H824">
        <f>Calc!H13</f>
        <v/>
      </c>
      <c r="I824">
        <f>IF(Skills!T13&lt;&gt;"",1+(Skills!T13/10)*($Z$3/1000)/100,1)</f>
        <v/>
      </c>
      <c r="J824" t="inlineStr"/>
      <c r="K824" t="inlineStr"/>
      <c r="L824" t="inlineStr"/>
      <c r="M824" t="inlineStr"/>
      <c r="N824" t="inlineStr"/>
      <c r="O824" t="n">
        <v>0</v>
      </c>
      <c r="P824">
        <f>IF(B849=0,0,O824/B849)</f>
        <v/>
      </c>
      <c r="S824">
        <f>IF(AND(Inputs!$B$4&lt;&gt;"pvp",Inputs!$B$35&gt;0),(INT(Inputs!$B$35/IF(Inputs!$B$4="pvp",15,MAX(0.1,Skills!D13-IF(Skills!E13=TRUE,Inputs!$B$31,0))))+1),0)</f>
        <v/>
      </c>
      <c r="V824">
        <f>IFERROR(1/IF(Inputs!$B$4="pvp",15,MAX(0.1,Skills!D13-IF(Skills!E13=TRUE,Inputs!$B$31,0))),0)</f>
        <v/>
      </c>
    </row>
    <row r="825">
      <c r="A825">
        <f>Skills!A14</f>
        <v/>
      </c>
      <c r="B825">
        <f>Skills!B14</f>
        <v/>
      </c>
      <c r="C825">
        <f>Inputs!$B$3&gt;=63</f>
        <v/>
      </c>
      <c r="D825">
        <f>IF(Skills!C14=1,60+Inputs!$B$24+(Inputs!$B$28+1),IF(Skills!C14=2,90+Inputs!$B$25+(Inputs!$B$28+1),IF(Skills!C14=3,120+Inputs!$B$26+(Inputs!$B$28+1),MAX(0,(Inputs!$B$3-100)*3)+Inputs!$B$27+(Inputs!$B$28+1))))</f>
        <v/>
      </c>
      <c r="E825">
        <f>INDEX(FactorTable!$B$2:$Y$301, MATCH(ROUND(MIN(300,MAX(1,D825)),0), FactorTable!$A$2:$A$301,0), Skills!L14+1)</f>
        <v/>
      </c>
      <c r="F825">
        <f>IF(Skills!M14=TRUE,(Skills!K14/10)*(E825/1000),Skills!K14/10)+Skills!N14</f>
        <v/>
      </c>
      <c r="G825">
        <f>Calc!G14</f>
        <v/>
      </c>
      <c r="H825">
        <f>Calc!H14</f>
        <v/>
      </c>
      <c r="I825">
        <f>IF(Skills!T14&lt;&gt;"",1+(Skills!T14/10)*($Z$3/1000)/100,1)</f>
        <v/>
      </c>
      <c r="J825">
        <f>((Inputs!$B$5*(1+Inputs!$B$6/100))+((Inputs!$B$11*(1+Inputs!$B$12/100))-(Inputs!$B$11*(1+Inputs!$B$12/100)))*(1+Inputs!$B$6/100))*(F825/100)</f>
        <v/>
      </c>
      <c r="K825">
        <f>J825*(1+((Inputs!$B$11*(1+Inputs!$B$12/100))*0.01+Inputs!$B$13*0.0025)/100)*(1+(Inputs!$B$14+B842)/100)*(1+IF(Inputs!$B$4="pvp",0,(1-Summary!$B$48)*(Inputs!$B$19+Skills!O14+B840)+Summary!$B$48*(Inputs!$B$20+Skills!P14+B841))/100)*(1+Inputs!$B$15/100)*(5000/(6000+Inputs!$B$7*(1-Inputs!$B$18/100)))*(1+Inputs!$B$23/100)*(1+IF(C828=TRUE,F828,0)/100)*(1+IF(C830=TRUE,F830,0)/100)*(1+IF(Skills!A14="TRIUMPH_FEATHER",IF(C826=TRUE,F826,0),0)/100)*(1+IF(C837=TRUE,F837,0)/100)^5*(1+(IF(Skills!A14="BIG_BANG",Inputs!$B$16,Inputs!$B$17))/100)*(B839*I825)</f>
        <v/>
      </c>
      <c r="L825">
        <f>K825*(MIN(Inputs!$B$21+(F832-Calc!F21),Inputs!$B$22)/100+Inputs!$B$22/100)/2</f>
        <v/>
      </c>
      <c r="M825">
        <f>L825*(1+(Inputs!$B$9+B843+(F835-Calc!F24))/100)</f>
        <v/>
      </c>
      <c r="N825">
        <f>L825*(1-MIN(Inputs!$B$8+((F834-Calc!F23)+(F833-Calc!F22)),100)/100)+M825*(MIN(Inputs!$B$8+((F834-Calc!F23)+(F833-Calc!F22)),100)/100)</f>
        <v/>
      </c>
      <c r="O825">
        <f>IF(C825,Skills!F14*N825*((IF(Inputs!$B$3&gt;=78,25,15)/100*B845*10)/(1+IF(Inputs!$B$3&gt;=78,25,15)/100*B845*10))*(Skills!I14/100*B845)/(1+Skills!G14*Skills!I14/100*B845)*IF(Inputs!$B$4="pvp",1,(1-Summary!$B$48)*(1)+Summary!$B$48*(MIN(Skills!Q14,Inputs!$B$37))),0)</f>
        <v/>
      </c>
      <c r="P825">
        <f>IF(B849=0,0,O825/B849)</f>
        <v/>
      </c>
      <c r="S825" t="n">
        <v>0</v>
      </c>
      <c r="V825">
        <f>IFERROR(1/IF(Inputs!$B$4="pvp",15,MAX(0.1,Skills!D14-IF(Skills!E14=TRUE,Inputs!$B$31,0))),0)</f>
        <v/>
      </c>
    </row>
    <row r="826">
      <c r="A826">
        <f>Skills!A15</f>
        <v/>
      </c>
      <c r="B826">
        <f>Skills!B15</f>
        <v/>
      </c>
      <c r="C826">
        <f>Inputs!$B$3&gt;=100</f>
        <v/>
      </c>
      <c r="D826">
        <f>IF(Skills!C15=1,60+Inputs!$B$24+(Inputs!$B$28+1),IF(Skills!C15=2,90+Inputs!$B$25+(Inputs!$B$28+1),IF(Skills!C15=3,120+Inputs!$B$26+(Inputs!$B$28+1),MAX(0,(Inputs!$B$3-100)*3)+Inputs!$B$27+(Inputs!$B$28+1))))</f>
        <v/>
      </c>
      <c r="E826">
        <f>INDEX(FactorTable!$B$2:$Y$301, MATCH(ROUND(MIN(300,MAX(1,D826)),0), FactorTable!$A$2:$A$301,0), Skills!L15+1)</f>
        <v/>
      </c>
      <c r="F826">
        <f>IF(Skills!M15=TRUE,(Skills!K15/10)*(E826/1000),Skills!K15/10)+Skills!N15</f>
        <v/>
      </c>
      <c r="G826">
        <f>Calc!G15</f>
        <v/>
      </c>
      <c r="H826">
        <f>Calc!H15</f>
        <v/>
      </c>
      <c r="I826">
        <f>IF(Skills!T15&lt;&gt;"",1+(Skills!T15/10)*($Z$3/1000)/100,1)</f>
        <v/>
      </c>
      <c r="J826" t="inlineStr"/>
      <c r="K826" t="inlineStr"/>
      <c r="L826" t="inlineStr"/>
      <c r="M826" t="inlineStr"/>
      <c r="N826" t="inlineStr"/>
      <c r="O826" t="n">
        <v>0</v>
      </c>
      <c r="P826">
        <f>IF(B849=0,0,O826/B849)</f>
        <v/>
      </c>
      <c r="S826" t="n">
        <v>0</v>
      </c>
      <c r="V826">
        <f>IFERROR(1/IF(Inputs!$B$4="pvp",15,MAX(0.1,Skills!D15-IF(Skills!E15=TRUE,Inputs!$B$31,0))),0)</f>
        <v/>
      </c>
    </row>
    <row r="827">
      <c r="A827">
        <f>Skills!A16</f>
        <v/>
      </c>
      <c r="B827">
        <f>Skills!B16</f>
        <v/>
      </c>
      <c r="C827">
        <f>Inputs!$B$3&gt;=49</f>
        <v/>
      </c>
      <c r="D827">
        <f>IF(Skills!C16=1,60+Inputs!$B$24+(Inputs!$B$28+1),IF(Skills!C16=2,90+Inputs!$B$25+(Inputs!$B$28+1),IF(Skills!C16=3,120+Inputs!$B$26+(Inputs!$B$28+1),MAX(0,(Inputs!$B$3-100)*3)+Inputs!$B$27+(Inputs!$B$28+1))))</f>
        <v/>
      </c>
      <c r="E827">
        <f>INDEX(FactorTable!$B$2:$Y$301, MATCH(ROUND(MIN(300,MAX(1,D827)),0), FactorTable!$A$2:$A$301,0), Skills!L16+1)</f>
        <v/>
      </c>
      <c r="F827">
        <f>IF(Skills!M16=TRUE,(Skills!K16/10)*(E827/1000),Skills!K16/10)+Skills!N16</f>
        <v/>
      </c>
      <c r="G827">
        <f>Calc!G16</f>
        <v/>
      </c>
      <c r="H827">
        <f>Calc!H16</f>
        <v/>
      </c>
      <c r="I827">
        <f>IF(Skills!T16&lt;&gt;"",1+(Skills!T16/10)*($Z$3/1000)/100,1)</f>
        <v/>
      </c>
      <c r="J827" t="inlineStr"/>
      <c r="K827" t="inlineStr"/>
      <c r="L827" t="inlineStr"/>
      <c r="M827" t="inlineStr"/>
      <c r="N827" t="inlineStr"/>
      <c r="O827" t="n">
        <v>0</v>
      </c>
      <c r="P827">
        <f>IF(B849=0,0,O827/B849)</f>
        <v/>
      </c>
      <c r="S827" t="n">
        <v>0</v>
      </c>
      <c r="V827">
        <f>IFERROR(1/IF(Inputs!$B$4="pvp",15,MAX(0.1,Skills!D16-IF(Skills!E16=TRUE,Inputs!$B$31,0))),0)</f>
        <v/>
      </c>
    </row>
    <row r="828">
      <c r="A828">
        <f>Skills!A17</f>
        <v/>
      </c>
      <c r="B828">
        <f>Skills!B17</f>
        <v/>
      </c>
      <c r="C828">
        <f>Inputs!$B$3&gt;=75</f>
        <v/>
      </c>
      <c r="D828">
        <f>IF(Skills!C17=1,60+Inputs!$B$24+(Inputs!$B$28+1),IF(Skills!C17=2,90+Inputs!$B$25+(Inputs!$B$28+1),IF(Skills!C17=3,120+Inputs!$B$26+(Inputs!$B$28+1),MAX(0,(Inputs!$B$3-100)*3)+Inputs!$B$27+(Inputs!$B$28+1))))</f>
        <v/>
      </c>
      <c r="E828">
        <f>INDEX(FactorTable!$B$2:$Y$301, MATCH(ROUND(MIN(300,MAX(1,D828)),0), FactorTable!$A$2:$A$301,0), Skills!L17+1)</f>
        <v/>
      </c>
      <c r="F828">
        <f>IF(Skills!M17=TRUE,(Skills!K17/10)*(E828/1000),Skills!K17/10)+Skills!N17</f>
        <v/>
      </c>
      <c r="G828">
        <f>Calc!G17</f>
        <v/>
      </c>
      <c r="H828">
        <f>Calc!H17</f>
        <v/>
      </c>
      <c r="I828">
        <f>IF(Skills!T17&lt;&gt;"",1+(Skills!T17/10)*($Z$3/1000)/100,1)</f>
        <v/>
      </c>
      <c r="J828" t="inlineStr"/>
      <c r="K828" t="inlineStr"/>
      <c r="L828" t="inlineStr"/>
      <c r="M828" t="inlineStr"/>
      <c r="N828" t="inlineStr"/>
      <c r="O828" t="n">
        <v>0</v>
      </c>
      <c r="P828">
        <f>IF(B849=0,0,O828/B849)</f>
        <v/>
      </c>
      <c r="S828" t="n">
        <v>0</v>
      </c>
      <c r="V828">
        <f>IFERROR(1/IF(Inputs!$B$4="pvp",15,MAX(0.1,Skills!D17-IF(Skills!E17=TRUE,Inputs!$B$31,0))),0)</f>
        <v/>
      </c>
    </row>
    <row r="829">
      <c r="A829">
        <f>Skills!A18</f>
        <v/>
      </c>
      <c r="B829">
        <f>Skills!B18</f>
        <v/>
      </c>
      <c r="C829">
        <f>Inputs!$B$3&gt;=110</f>
        <v/>
      </c>
      <c r="D829">
        <f>IF(Skills!C18=1,60+Inputs!$B$24+(Inputs!$B$28+1),IF(Skills!C18=2,90+Inputs!$B$25+(Inputs!$B$28+1),IF(Skills!C18=3,120+Inputs!$B$26+(Inputs!$B$28+1),MAX(0,(Inputs!$B$3-100)*3)+Inputs!$B$27+(Inputs!$B$28+1))))</f>
        <v/>
      </c>
      <c r="E829">
        <f>INDEX(FactorTable!$B$2:$Y$301, MATCH(ROUND(MIN(300,MAX(1,D829)),0), FactorTable!$A$2:$A$301,0), Skills!L18+1)</f>
        <v/>
      </c>
      <c r="F829">
        <f>(Skills!K18/10)*(E829/1000)*64/45+Skills!N18</f>
        <v/>
      </c>
      <c r="G829">
        <f>Calc!G18</f>
        <v/>
      </c>
      <c r="H829">
        <f>Calc!H18</f>
        <v/>
      </c>
      <c r="I829">
        <f>IF(Skills!T18&lt;&gt;"",1+(Skills!T18/10)*($Z$3/1000)/100,1)</f>
        <v/>
      </c>
      <c r="J829" t="inlineStr"/>
      <c r="K829" t="inlineStr"/>
      <c r="L829" t="inlineStr"/>
      <c r="M829" t="inlineStr"/>
      <c r="N829" t="inlineStr"/>
      <c r="O829" t="n">
        <v>0</v>
      </c>
      <c r="P829">
        <f>IF(B849=0,0,O829/B849)</f>
        <v/>
      </c>
      <c r="S829">
        <f>IF(AND(Inputs!$B$4&lt;&gt;"pvp",Inputs!$B$35&gt;0),(INT(Inputs!$B$35/IF(Inputs!$B$4="pvp",15,MAX(0.1,Skills!D18-IF(Skills!E18=TRUE,Inputs!$B$31,0))))+1),0)</f>
        <v/>
      </c>
      <c r="V829">
        <f>IFERROR(1/IF(Inputs!$B$4="pvp",15,MAX(0.1,Skills!D18-IF(Skills!E18=TRUE,Inputs!$B$31,0))),0)</f>
        <v/>
      </c>
    </row>
    <row r="830">
      <c r="A830">
        <f>Skills!A19</f>
        <v/>
      </c>
      <c r="B830">
        <f>Skills!B19</f>
        <v/>
      </c>
      <c r="C830">
        <f>Inputs!$B$3&gt;=125</f>
        <v/>
      </c>
      <c r="D830">
        <f>IF(Skills!C19=1,60+Inputs!$B$24+(Inputs!$B$28+1),IF(Skills!C19=2,90+Inputs!$B$25+(Inputs!$B$28+1),IF(Skills!C19=3,120+Inputs!$B$26+(Inputs!$B$28+1),MAX(0,(Inputs!$B$3-100)*3)+Inputs!$B$27+(Inputs!$B$28+1))))</f>
        <v/>
      </c>
      <c r="E830">
        <f>INDEX(FactorTable!$B$2:$Y$301, MATCH(ROUND(MIN(300,MAX(1,D830)),0), FactorTable!$A$2:$A$301,0), Skills!L19+1)</f>
        <v/>
      </c>
      <c r="F830">
        <f>IF(Skills!M19=TRUE,(Skills!K19/10)*(E830/1000),Skills!K19/10)+Skills!N19</f>
        <v/>
      </c>
      <c r="G830">
        <f>Calc!G19</f>
        <v/>
      </c>
      <c r="H830">
        <f>Calc!H19</f>
        <v/>
      </c>
      <c r="I830">
        <f>IF(Skills!T19&lt;&gt;"",1+(Skills!T19/10)*($Z$3/1000)/100,1)</f>
        <v/>
      </c>
      <c r="J830" t="inlineStr"/>
      <c r="K830" t="inlineStr"/>
      <c r="L830" t="inlineStr"/>
      <c r="M830" t="inlineStr"/>
      <c r="N830" t="inlineStr"/>
      <c r="O830" t="n">
        <v>0</v>
      </c>
      <c r="P830">
        <f>IF(B849=0,0,O830/B849)</f>
        <v/>
      </c>
      <c r="S830" t="n">
        <v>0</v>
      </c>
      <c r="V830">
        <f>IFERROR(1/IF(Inputs!$B$4="pvp",15,MAX(0.1,Skills!D19-IF(Skills!E19=TRUE,Inputs!$B$31,0))),0)</f>
        <v/>
      </c>
    </row>
    <row r="831">
      <c r="A831">
        <f>Skills!A20</f>
        <v/>
      </c>
      <c r="B831">
        <f>Skills!B20</f>
        <v/>
      </c>
      <c r="C831">
        <f>Inputs!$B$3&gt;=33</f>
        <v/>
      </c>
      <c r="D831">
        <f>IF(Skills!C20=1,60+Inputs!$B$24+(Inputs!$B$28+1),IF(Skills!C20=2,90+Inputs!$B$25+(Inputs!$B$28+1),IF(Skills!C20=3,120+Inputs!$B$26+(Inputs!$B$28+1),MAX(0,(Inputs!$B$3-100)*3)+Inputs!$B$27+(Inputs!$B$28+1))))</f>
        <v/>
      </c>
      <c r="E831">
        <f>INDEX(FactorTable!$B$2:$Y$301, MATCH(ROUND(MIN(300,MAX(1,D831)),0), FactorTable!$A$2:$A$301,0), Skills!L20+1)</f>
        <v/>
      </c>
      <c r="F831">
        <f>IF(Skills!M20=TRUE,(Skills!K20/10)*(E831/1000),Skills!K20/10)+Skills!N20</f>
        <v/>
      </c>
      <c r="G831">
        <f>Calc!G20</f>
        <v/>
      </c>
      <c r="H831">
        <f>Calc!H20</f>
        <v/>
      </c>
      <c r="I831">
        <f>IF(Skills!T20&lt;&gt;"",1+(Skills!T20/10)*($Z$3/1000)/100,1)</f>
        <v/>
      </c>
      <c r="J831" t="inlineStr"/>
      <c r="K831" t="inlineStr"/>
      <c r="L831" t="inlineStr"/>
      <c r="M831" t="inlineStr"/>
      <c r="N831" t="inlineStr"/>
      <c r="O831" t="n">
        <v>0</v>
      </c>
      <c r="P831">
        <f>IF(B849=0,0,O831/B849)</f>
        <v/>
      </c>
      <c r="S831" t="n">
        <v>0</v>
      </c>
      <c r="V831">
        <f>IFERROR(1/IF(Inputs!$B$4="pvp",15,MAX(0.1,Skills!D20-IF(Skills!E20=TRUE,Inputs!$B$31,0))),0)</f>
        <v/>
      </c>
    </row>
    <row r="832">
      <c r="A832">
        <f>Skills!A21</f>
        <v/>
      </c>
      <c r="B832">
        <f>Skills!B21</f>
        <v/>
      </c>
      <c r="C832">
        <f>Inputs!$B$3&gt;=43</f>
        <v/>
      </c>
      <c r="D832">
        <f>IF(Skills!C21=1,60+Inputs!$B$24+(Inputs!$B$28+1),IF(Skills!C21=2,90+Inputs!$B$25+(Inputs!$B$28+1),IF(Skills!C21=3,120+Inputs!$B$26+(Inputs!$B$28+1),MAX(0,(Inputs!$B$3-100)*3)+Inputs!$B$27+(Inputs!$B$28+1))))</f>
        <v/>
      </c>
      <c r="E832">
        <f>INDEX(FactorTable!$B$2:$Y$301, MATCH(ROUND(MIN(300,MAX(1,D832)),0), FactorTable!$A$2:$A$301,0), Skills!L21+1)</f>
        <v/>
      </c>
      <c r="F832">
        <f>IF(Skills!M21=TRUE,(Skills!K21/10)*(E832/1000),Skills!K21/10)+Skills!N21</f>
        <v/>
      </c>
      <c r="G832">
        <f>Calc!G21</f>
        <v/>
      </c>
      <c r="H832">
        <f>Calc!H21</f>
        <v/>
      </c>
      <c r="I832">
        <f>IF(Skills!T21&lt;&gt;"",1+(Skills!T21/10)*($Z$3/1000)/100,1)</f>
        <v/>
      </c>
      <c r="J832" t="inlineStr"/>
      <c r="K832" t="inlineStr"/>
      <c r="L832" t="inlineStr"/>
      <c r="M832" t="inlineStr"/>
      <c r="N832" t="inlineStr"/>
      <c r="O832" t="n">
        <v>0</v>
      </c>
      <c r="P832">
        <f>IF(B849=0,0,O832/B849)</f>
        <v/>
      </c>
      <c r="S832" t="n">
        <v>0</v>
      </c>
      <c r="V832">
        <f>IFERROR(1/IF(Inputs!$B$4="pvp",15,MAX(0.1,Skills!D21-IF(Skills!E21=TRUE,Inputs!$B$31,0))),0)</f>
        <v/>
      </c>
    </row>
    <row r="833">
      <c r="A833">
        <f>Skills!A22</f>
        <v/>
      </c>
      <c r="B833">
        <f>Skills!B22</f>
        <v/>
      </c>
      <c r="C833">
        <f>Inputs!$B$3&gt;=50</f>
        <v/>
      </c>
      <c r="D833">
        <f>IF(Skills!C22=1,60+Inputs!$B$24+(Inputs!$B$28+1),IF(Skills!C22=2,90+Inputs!$B$25+(Inputs!$B$28+1),IF(Skills!C22=3,120+Inputs!$B$26+(Inputs!$B$28+1),MAX(0,(Inputs!$B$3-100)*3)+Inputs!$B$27+(Inputs!$B$28+1))))</f>
        <v/>
      </c>
      <c r="E833">
        <f>INDEX(FactorTable!$B$2:$Y$301, MATCH(ROUND(MIN(300,MAX(1,D833)),0), FactorTable!$A$2:$A$301,0), Skills!L22+1)</f>
        <v/>
      </c>
      <c r="F833">
        <f>IF(Skills!M22=TRUE,(Skills!K22/10)*(E833/1000),Skills!K22/10)+Skills!N22</f>
        <v/>
      </c>
      <c r="G833">
        <f>Calc!G22</f>
        <v/>
      </c>
      <c r="H833">
        <f>Calc!H22</f>
        <v/>
      </c>
      <c r="I833">
        <f>IF(Skills!T22&lt;&gt;"",1+(Skills!T22/10)*($Z$3/1000)/100,1)</f>
        <v/>
      </c>
      <c r="J833" t="inlineStr"/>
      <c r="K833" t="inlineStr"/>
      <c r="L833" t="inlineStr"/>
      <c r="M833" t="inlineStr"/>
      <c r="N833" t="inlineStr"/>
      <c r="O833" t="n">
        <v>0</v>
      </c>
      <c r="P833">
        <f>IF(B849=0,0,O833/B849)</f>
        <v/>
      </c>
      <c r="S833" t="n">
        <v>0</v>
      </c>
      <c r="V833">
        <f>IFERROR(1/IF(Inputs!$B$4="pvp",15,MAX(0.1,Skills!D22-IF(Skills!E22=TRUE,Inputs!$B$31,0))),0)</f>
        <v/>
      </c>
    </row>
    <row r="834">
      <c r="A834">
        <f>Skills!A23</f>
        <v/>
      </c>
      <c r="B834">
        <f>Skills!B23</f>
        <v/>
      </c>
      <c r="C834">
        <f>Inputs!$B$3&gt;=74</f>
        <v/>
      </c>
      <c r="D834">
        <f>IF(Skills!C23=1,60+Inputs!$B$24+(Inputs!$B$28+1),IF(Skills!C23=2,90+Inputs!$B$25+(Inputs!$B$28+1),IF(Skills!C23=3,120+Inputs!$B$26+(Inputs!$B$28+1),MAX(0,(Inputs!$B$3-100)*3)+Inputs!$B$27+(Inputs!$B$28+1))))</f>
        <v/>
      </c>
      <c r="E834">
        <f>INDEX(FactorTable!$B$2:$Y$301, MATCH(ROUND(MIN(300,MAX(1,D834)),0), FactorTable!$A$2:$A$301,0), Skills!L23+1)</f>
        <v/>
      </c>
      <c r="F834">
        <f>IF(Skills!M23=TRUE,(Skills!K23/10)*(E834/1000),Skills!K23/10)+Skills!N23</f>
        <v/>
      </c>
      <c r="G834">
        <f>Calc!G23</f>
        <v/>
      </c>
      <c r="H834">
        <f>Calc!H23</f>
        <v/>
      </c>
      <c r="I834">
        <f>IF(Skills!T23&lt;&gt;"",1+(Skills!T23/10)*($Z$3/1000)/100,1)</f>
        <v/>
      </c>
      <c r="J834" t="inlineStr"/>
      <c r="K834" t="inlineStr"/>
      <c r="L834" t="inlineStr"/>
      <c r="M834" t="inlineStr"/>
      <c r="N834" t="inlineStr"/>
      <c r="O834" t="n">
        <v>0</v>
      </c>
      <c r="P834">
        <f>IF(B849=0,0,O834/B849)</f>
        <v/>
      </c>
      <c r="S834" t="n">
        <v>0</v>
      </c>
      <c r="V834">
        <f>IFERROR(1/IF(Inputs!$B$4="pvp",15,MAX(0.1,Skills!D23-IF(Skills!E23=TRUE,Inputs!$B$31,0))),0)</f>
        <v/>
      </c>
    </row>
    <row r="835">
      <c r="A835">
        <f>Skills!A24</f>
        <v/>
      </c>
      <c r="B835">
        <f>Skills!B24</f>
        <v/>
      </c>
      <c r="C835">
        <f>Inputs!$B$3&gt;=74</f>
        <v/>
      </c>
      <c r="D835">
        <f>IF(Skills!C24=1,60+Inputs!$B$24+(Inputs!$B$28+1),IF(Skills!C24=2,90+Inputs!$B$25+(Inputs!$B$28+1),IF(Skills!C24=3,120+Inputs!$B$26+(Inputs!$B$28+1),MAX(0,(Inputs!$B$3-100)*3)+Inputs!$B$27+(Inputs!$B$28+1))))</f>
        <v/>
      </c>
      <c r="E835">
        <f>INDEX(FactorTable!$B$2:$Y$301, MATCH(ROUND(MIN(300,MAX(1,D835)),0), FactorTable!$A$2:$A$301,0), Skills!L24+1)</f>
        <v/>
      </c>
      <c r="F835">
        <f>IF(Skills!M24=TRUE,(Skills!K24/10)*(E835/1000),Skills!K24/10)+Skills!N24</f>
        <v/>
      </c>
      <c r="G835">
        <f>Calc!G24</f>
        <v/>
      </c>
      <c r="H835">
        <f>Calc!H24</f>
        <v/>
      </c>
      <c r="I835">
        <f>IF(Skills!T24&lt;&gt;"",1+(Skills!T24/10)*($Z$3/1000)/100,1)</f>
        <v/>
      </c>
      <c r="J835" t="inlineStr"/>
      <c r="K835" t="inlineStr"/>
      <c r="L835" t="inlineStr"/>
      <c r="M835" t="inlineStr"/>
      <c r="N835" t="inlineStr"/>
      <c r="O835" t="n">
        <v>0</v>
      </c>
      <c r="P835">
        <f>IF(B849=0,0,O835/B849)</f>
        <v/>
      </c>
      <c r="S835" t="n">
        <v>0</v>
      </c>
      <c r="V835">
        <f>IFERROR(1/IF(Inputs!$B$4="pvp",15,MAX(0.1,Skills!D24-IF(Skills!E24=TRUE,Inputs!$B$31,0))),0)</f>
        <v/>
      </c>
    </row>
    <row r="836">
      <c r="A836">
        <f>Skills!A25</f>
        <v/>
      </c>
      <c r="B836">
        <f>Skills!B25</f>
        <v/>
      </c>
      <c r="C836">
        <f>Inputs!$B$3&gt;=117</f>
        <v/>
      </c>
      <c r="D836">
        <f>IF(Skills!C25=1,60+Inputs!$B$24+(Inputs!$B$28+1),IF(Skills!C25=2,90+Inputs!$B$25+(Inputs!$B$28+1),IF(Skills!C25=3,120+Inputs!$B$26+(Inputs!$B$28+1),MAX(0,(Inputs!$B$3-100)*3)+Inputs!$B$27+(Inputs!$B$28+1))))</f>
        <v/>
      </c>
      <c r="E836">
        <f>INDEX(FactorTable!$B$2:$Y$301, MATCH(ROUND(MIN(300,MAX(1,D836)),0), FactorTable!$A$2:$A$301,0), Skills!L25+1)</f>
        <v/>
      </c>
      <c r="F836">
        <f>IF(Skills!M25=TRUE,(Skills!K25/10)*(E836/1000),Skills!K25/10)+Skills!N25</f>
        <v/>
      </c>
      <c r="G836">
        <f>Calc!G25</f>
        <v/>
      </c>
      <c r="H836">
        <f>Calc!H25</f>
        <v/>
      </c>
      <c r="I836">
        <f>IF(Skills!T25&lt;&gt;"",1+(Skills!T25/10)*($Z$3/1000)/100,1)</f>
        <v/>
      </c>
      <c r="J836" t="inlineStr"/>
      <c r="K836" t="inlineStr"/>
      <c r="L836" t="inlineStr"/>
      <c r="M836" t="inlineStr"/>
      <c r="N836" t="inlineStr"/>
      <c r="O836" t="n">
        <v>0</v>
      </c>
      <c r="P836">
        <f>IF(B849=0,0,O836/B849)</f>
        <v/>
      </c>
      <c r="S836" t="n">
        <v>0</v>
      </c>
      <c r="V836">
        <f>IFERROR(1/IF(Inputs!$B$4="pvp",15,MAX(0.1,Skills!D25-IF(Skills!E25=TRUE,Inputs!$B$31,0))),0)</f>
        <v/>
      </c>
    </row>
    <row r="837">
      <c r="A837">
        <f>Skills!A26</f>
        <v/>
      </c>
      <c r="B837">
        <f>Skills!B26</f>
        <v/>
      </c>
      <c r="C837">
        <f>Inputs!$B$3&gt;=120</f>
        <v/>
      </c>
      <c r="D837">
        <f>IF(Skills!C26=1,60+Inputs!$B$24+(Inputs!$B$28+1),IF(Skills!C26=2,90+Inputs!$B$25+(Inputs!$B$28+1),IF(Skills!C26=3,120+Inputs!$B$26+(Inputs!$B$28+1),MAX(0,(Inputs!$B$3-100)*3)+Inputs!$B$27+(Inputs!$B$28+1))))</f>
        <v/>
      </c>
      <c r="E837">
        <f>INDEX(FactorTable!$B$2:$Y$301, MATCH(ROUND(MIN(300,MAX(1,D837)),0), FactorTable!$A$2:$A$301,0), Skills!L26+1)</f>
        <v/>
      </c>
      <c r="F837">
        <f>IF(Skills!M26=TRUE,(Skills!K26/10)*(E837/1000),Skills!K26/10)+Skills!N26</f>
        <v/>
      </c>
      <c r="G837">
        <f>Calc!G26</f>
        <v/>
      </c>
      <c r="H837">
        <f>Calc!H26</f>
        <v/>
      </c>
      <c r="I837">
        <f>IF(Skills!T26&lt;&gt;"",1+(Skills!T26/10)*($Z$3/1000)/100,1)</f>
        <v/>
      </c>
      <c r="J837" t="inlineStr"/>
      <c r="K837" t="inlineStr"/>
      <c r="L837" t="inlineStr"/>
      <c r="M837" t="inlineStr"/>
      <c r="N837" t="inlineStr"/>
      <c r="O837" t="n">
        <v>0</v>
      </c>
      <c r="P837">
        <f>IF(B849=0,0,O837/B849)</f>
        <v/>
      </c>
      <c r="S837" t="n">
        <v>0</v>
      </c>
      <c r="V837">
        <f>IFERROR(1/IF(Inputs!$B$4="pvp",15,MAX(0.1,Skills!D26-IF(Skills!E26=TRUE,Inputs!$B$31,0))),0)</f>
        <v/>
      </c>
    </row>
    <row r="839">
      <c r="A839" t="inlineStr">
        <is>
          <t>Average Buff Multiplier</t>
        </is>
      </c>
      <c r="B839">
        <f>(1+(IF(C814=TRUE,F814*IF(AND(Inputs!$B$4&lt;&gt;"pvp",Inputs!$B$35&gt;0),(((S814-1)*(Skills!S3*(1+(Inputs!$B$33+IF(Inputs!$B$3&gt;=117,F836,0))/100))+MIN((Skills!S3*(1+(Inputs!$B$33+IF(Inputs!$B$3&gt;=117,F836,0))/100)),MAX(0,Inputs!$B$35-((S814-1)*Skills!D3))))/Inputs!$B$35),IF(Inputs!$B$4="pvp",MIN((Skills!S3*(1+(Inputs!$B$33+IF(Inputs!$B$3&gt;=117,F836,0))/100)),15)/15,(Skills!S3*(1+(Inputs!$B$33+IF(Inputs!$B$3&gt;=117,F836,0))/100))/Skills!D3)),0)+IF(C815=TRUE,F815*IF(AND(Inputs!$B$4&lt;&gt;"pvp",Inputs!$B$35&gt;0),(((S815-1)*(Skills!S4*(1+(Inputs!$B$33+IF(Inputs!$B$3&gt;=117,F836,0))/100))+MIN((Skills!S4*(1+(Inputs!$B$33+IF(Inputs!$B$3&gt;=117,F836,0))/100)),MAX(0,Inputs!$B$35-((S815-1)*Skills!D4))))/Inputs!$B$35),IF(Inputs!$B$4="pvp",MIN((Skills!S4*(1+(Inputs!$B$33+IF(Inputs!$B$3&gt;=117,F836,0))/100)),15)/15,(Skills!S4*(1+(Inputs!$B$33+IF(Inputs!$B$3&gt;=117,F836,0))/100))/Skills!D4)),0)+IF(C816=TRUE,F816*IF(AND(Inputs!$B$4&lt;&gt;"pvp",Inputs!$B$35&gt;0),(((S816-1)*(Skills!S5*(1+(Inputs!$B$33+IF(Inputs!$B$3&gt;=117,F836,0))/100))+MIN((Skills!S5*(1+(Inputs!$B$33+IF(Inputs!$B$3&gt;=117,F836,0))/100)),MAX(0,Inputs!$B$35-((S816-1)*Skills!D5))))/Inputs!$B$35),IF(Inputs!$B$4="pvp",MIN((Skills!S5*(1+(Inputs!$B$33+IF(Inputs!$B$3&gt;=117,F836,0))/100)),15)/15,(Skills!S5*(1+(Inputs!$B$33+IF(Inputs!$B$3&gt;=117,F836,0))/100))/Skills!D5)),0)+IF(C822=TRUE,F822*IF(AND(Inputs!$B$4&lt;&gt;"pvp",Inputs!$B$35&gt;0),(((S822-1)*(Skills!S11*(1+(Inputs!$B$33+IF(Inputs!$B$3&gt;=117,F836,0))/100))+MIN((Skills!S11*(1+(Inputs!$B$33+IF(Inputs!$B$3&gt;=117,F836,0))/100)),MAX(0,Inputs!$B$35-((S822-1)*Skills!D11))))/Inputs!$B$35),IF(Inputs!$B$4="pvp",MIN((Skills!S11*(1+(Inputs!$B$33+IF(Inputs!$B$3&gt;=117,F836,0))/100)),15)/15,(Skills!S11*(1+(Inputs!$B$33+IF(Inputs!$B$3&gt;=117,F836,0))/100))/Skills!D11)),0))/100)*IF(C824=TRUE,(1+F824*IF(AND(Inputs!$B$4&lt;&gt;"pvp",Inputs!$B$35&gt;0),(((S824-1)*(Skills!S13*(1+(Inputs!$B$33+IF(Inputs!$B$3&gt;=117,F836,0))/100))+MIN((Skills!S13*(1+(Inputs!$B$33+IF(Inputs!$B$3&gt;=117,F836,0))/100)),MAX(0,Inputs!$B$35-((S824-1)*Skills!D13))))/Inputs!$B$35),IF(Inputs!$B$4="pvp",MIN((Skills!S13*(1+(Inputs!$B$33+IF(Inputs!$B$3&gt;=117,F836,0))/100)),15)/15,(Skills!S13*(1+(Inputs!$B$33+IF(Inputs!$B$3&gt;=117,F836,0))/100))/Skills!D13))/100),1)*IF(C829=TRUE,(1+F829*IF(AND(Inputs!$B$4&lt;&gt;"pvp",Inputs!$B$35&gt;0),(((S829-1)*(Skills!S18*(1+(Inputs!$B$33+IF(Inputs!$B$3&gt;=117,F836,0))/100))+MIN((Skills!S18*(1+(Inputs!$B$33+IF(Inputs!$B$3&gt;=117,F836,0))/100)),MAX(0,Inputs!$B$35-((S829-1)*Skills!D18))))/Inputs!$B$35),IF(Inputs!$B$4="pvp",MIN((Skills!S18*(1+(Inputs!$B$33+IF(Inputs!$B$3&gt;=117,F836,0))/100)),15)/15,(Skills!S18*(1+(Inputs!$B$33+IF(Inputs!$B$3&gt;=117,F836,0))/100))/Skills!D18))/100),1)</f>
        <v/>
      </c>
    </row>
    <row r="840">
      <c r="A840" t="inlineStr">
        <is>
          <t>Monster Damage Taken Bonus % (Holy Fountain)</t>
        </is>
      </c>
      <c r="B840">
        <f>IF(Inputs!$B$3&gt;=68,20*IF(Inputs!$B$4="pvp",MIN((15*(1+(Inputs!$B$33+IF(Inputs!$B$3&gt;=117,F836,0))/100)),15)/15,(15*(1+(Inputs!$B$33+IF(Inputs!$B$3&gt;=117,F836,0))/100))/Skills!D10),0)</f>
        <v/>
      </c>
    </row>
    <row r="841">
      <c r="A841" t="inlineStr">
        <is>
          <t>Normal Monster Damage Bonus % (Holy Symbol)</t>
        </is>
      </c>
      <c r="B841">
        <f>IF(C823=TRUE,F823*IF(AND(Inputs!$B$4&lt;&gt;"pvp",Inputs!$B$35&gt;0),(((S823-1)*(Skills!S12*(1+(Inputs!$B$33+IF(Inputs!$B$3&gt;=117,F836,0))/100))+MIN((Skills!S12*(1+(Inputs!$B$33+IF(Inputs!$B$3&gt;=117,F836,0))/100)),MAX(0,Inputs!$B$35-((S823-1)*Skills!D12))))/Inputs!$B$35),IF(Inputs!$B$4="pvp",MIN((Skills!S12*(1+(Inputs!$B$33+IF(Inputs!$B$3&gt;=117,F836,0))/100)),15)/15,(Skills!S12*(1+(Inputs!$B$33+IF(Inputs!$B$3&gt;=117,F836,0))/100))/Skills!D12)),0)</f>
        <v/>
      </c>
    </row>
    <row r="842">
      <c r="A842" t="inlineStr">
        <is>
          <t>Damage % Bonus (Holy Symbol - Damage Boost)</t>
        </is>
      </c>
      <c r="B842">
        <f>Skills!O12</f>
        <v/>
      </c>
    </row>
    <row r="843">
      <c r="A843" t="inlineStr">
        <is>
          <t>Crit Damage % Bonus (Blood of the Divine)</t>
        </is>
      </c>
      <c r="B843">
        <f>4*IF(C830=TRUE,F830,0)</f>
        <v/>
      </c>
    </row>
    <row r="844">
      <c r="A844" t="inlineStr">
        <is>
          <t>Attack Speed Bonus %</t>
        </is>
      </c>
      <c r="B844">
        <f>IF(C827=TRUE,F827+(F831-Calc!F20),0)+IF(Inputs!$B$3&gt;=134,15,0)</f>
        <v/>
      </c>
    </row>
    <row r="845">
      <c r="A845" t="inlineStr">
        <is>
          <t>Actions Per Second</t>
        </is>
      </c>
      <c r="B845">
        <f>1+MIN(150,150*(1-(1-Inputs!$B$10/150)*(1-B844/150)))/100</f>
        <v/>
      </c>
    </row>
    <row r="846">
      <c r="A846" t="inlineStr">
        <is>
          <t>Skill + Buff Cast Rate</t>
        </is>
      </c>
      <c r="B846">
        <f>IF(AND(Inputs!$B$4&lt;&gt;"pvp",Inputs!$B$35&gt;0),SUMPRODUCT((Skills!E2:E26=TRUE)*(C813:C837=TRUE)*S813:S837)/Inputs!$B$35,SUMPRODUCT((Skills!E2:E26=TRUE)*(C813:C837=TRUE)*V813:V837))</f>
        <v/>
      </c>
    </row>
    <row r="847">
      <c r="A847" t="inlineStr">
        <is>
          <t>Big Bang Casts Per Second</t>
        </is>
      </c>
      <c r="B847">
        <f>MAX(0,B845-B846)</f>
        <v/>
      </c>
    </row>
    <row r="849">
      <c r="A849" s="5" t="inlineStr">
        <is>
          <t>TOTAL DPS</t>
        </is>
      </c>
      <c r="B849" s="5">
        <f>SUM(O813:O837)</f>
        <v/>
      </c>
    </row>
    <row r="852">
      <c r="A852" s="5" t="inlineStr">
        <is>
          <t>Stat: Flat ATTACK</t>
        </is>
      </c>
    </row>
    <row r="853">
      <c r="A853" s="8" t="inlineStr">
        <is>
          <t>Key</t>
        </is>
      </c>
      <c r="B853" s="8" t="inlineStr">
        <is>
          <t>Name</t>
        </is>
      </c>
      <c r="C853" s="8" t="inlineStr">
        <is>
          <t>Unlocked</t>
        </is>
      </c>
      <c r="D853" s="8" t="inlineStr">
        <is>
          <t>InputLevel</t>
        </is>
      </c>
      <c r="E853" s="8" t="inlineStr">
        <is>
          <t>Factor</t>
        </is>
      </c>
      <c r="F853" s="8" t="inlineStr">
        <is>
          <t>CoefficientPercent</t>
        </is>
      </c>
      <c r="G853" s="8" t="inlineStr">
        <is>
          <t>EffectiveHits</t>
        </is>
      </c>
      <c r="H853" s="8" t="inlineStr">
        <is>
          <t>ProcProbability</t>
        </is>
      </c>
      <c r="I853" s="8" t="inlineStr">
        <is>
          <t>MapleHeroMultiplier</t>
        </is>
      </c>
      <c r="J853" s="8" t="inlineStr">
        <is>
          <t>BaseDamage</t>
        </is>
      </c>
      <c r="K853" s="8" t="inlineStr">
        <is>
          <t>BaseHitDamage</t>
        </is>
      </c>
      <c r="L853" s="8" t="inlineStr">
        <is>
          <t>NonCritAvg</t>
        </is>
      </c>
      <c r="M853" s="8" t="inlineStr">
        <is>
          <t>CritAvg</t>
        </is>
      </c>
      <c r="N853" s="8" t="inlineStr">
        <is>
          <t>ExpectedDamage(perHit)</t>
        </is>
      </c>
      <c r="O853" s="8" t="inlineStr">
        <is>
          <t>DPS</t>
        </is>
      </c>
      <c r="P853" s="8" t="inlineStr">
        <is>
          <t>% of Total</t>
        </is>
      </c>
      <c r="R853" t="inlineStr">
        <is>
          <t>helpers</t>
        </is>
      </c>
    </row>
    <row r="854">
      <c r="A854">
        <f>Skills!A2</f>
        <v/>
      </c>
      <c r="B854">
        <f>Skills!B2</f>
        <v/>
      </c>
      <c r="C854">
        <f>Inputs!$B$3&gt;=100</f>
        <v/>
      </c>
      <c r="D854" t="inlineStr"/>
      <c r="E854" t="inlineStr"/>
      <c r="F854">
        <f>T856+Skills!N2</f>
        <v/>
      </c>
      <c r="G854">
        <f>Calc!G2</f>
        <v/>
      </c>
      <c r="H854">
        <f>Calc!H2</f>
        <v/>
      </c>
      <c r="I854">
        <f>IF(Skills!T2&lt;&gt;"",1+(Skills!T2/10)*($Z$3/1000)/100,1)</f>
        <v/>
      </c>
      <c r="J854">
        <f>(((Inputs!$B$5+1)*(1+Inputs!$B$6/100))+((Inputs!$B$11*(1+Inputs!$B$12/100))-(Inputs!$B$11*(1+Inputs!$B$12/100)))*(1+Inputs!$B$6/100))*(F854/100)</f>
        <v/>
      </c>
      <c r="K854">
        <f>J854*(1+((Inputs!$B$11*(1+Inputs!$B$12/100))*0.01+Inputs!$B$13*0.0025)/100)*(1+(Inputs!$B$14+B883)/100)*(1+IF(Inputs!$B$4="pvp",0,(1-Summary!$B$48)*(Inputs!$B$19+Skills!O2+B881)+Summary!$B$48*(Inputs!$B$20+Skills!P2+B882))/100)*(1+Inputs!$B$15/100)*(5000/(6000+Inputs!$B$7*(1-Inputs!$B$18/100)))*(1+Inputs!$B$23/100)*(1+IF(C869=TRUE,F869,0)/100)*(1+IF(C871=TRUE,F871,0)/100)*(1+IF(Skills!A2="TRIUMPH_FEATHER",IF(C867=TRUE,F867,0),0)/100)*(1+IF(C878=TRUE,F878,0)/100)^5*(1+(IF(Skills!A2="BIG_BANG",Inputs!$B$16,Inputs!$B$17))/100)*(B880*I854)</f>
        <v/>
      </c>
      <c r="L854">
        <f>K854*(MIN(Inputs!$B$21+(F873-Calc!F21),Inputs!$B$22)/100+Inputs!$B$22/100)/2</f>
        <v/>
      </c>
      <c r="M854">
        <f>L854*(1+(Inputs!$B$9+B884+(F876-Calc!F24))/100)</f>
        <v/>
      </c>
      <c r="N854">
        <f>L854*(1-MIN(Inputs!$B$8+((F875-Calc!F23)+(F874-Calc!F22)),100)/100)+M854*(MIN(Inputs!$B$8+((F875-Calc!F23)+(F874-Calc!F22)),100)/100)</f>
        <v/>
      </c>
      <c r="O854">
        <f>IF(C854,Skills!F2*N854*B888*IF(Inputs!$B$4="pvp",1,(1-Summary!$B$48)*(1)+Summary!$B$48*(MIN((6+Inputs!$B$32),Inputs!$B$37))),0)</f>
        <v/>
      </c>
      <c r="P854">
        <f>IF(B890=0,0,O854/B890)</f>
        <v/>
      </c>
      <c r="S854" t="n">
        <v>0</v>
      </c>
      <c r="T854">
        <f>MAX(0,(Inputs!$B$3-100)*3)+Inputs!$B$27+Inputs!$B$28</f>
        <v/>
      </c>
      <c r="V854">
        <f>IFERROR(1/IF(Inputs!$B$4="pvp",15,MAX(0.1,Skills!D2-IF(Skills!E2=TRUE,Inputs!$B$31,0))),0)</f>
        <v/>
      </c>
    </row>
    <row r="855">
      <c r="A855">
        <f>Skills!A3</f>
        <v/>
      </c>
      <c r="B855">
        <f>Skills!B3</f>
        <v/>
      </c>
      <c r="C855">
        <f>Inputs!$B$3&gt;=15</f>
        <v/>
      </c>
      <c r="D855">
        <f>IF(Skills!C3=1,60+Inputs!$B$24+Inputs!$B$28,IF(Skills!C3=2,90+Inputs!$B$25+Inputs!$B$28,IF(Skills!C3=3,120+Inputs!$B$26+Inputs!$B$28,MAX(0,(Inputs!$B$3-100)*3)+Inputs!$B$27+Inputs!$B$28)))</f>
        <v/>
      </c>
      <c r="E855">
        <f>INDEX(FactorTable!$B$2:$Y$301, MATCH(ROUND(MIN(300,MAX(1,D855)),0), FactorTable!$A$2:$A$301,0), Skills!L3+1)</f>
        <v/>
      </c>
      <c r="F855">
        <f>IF(Skills!M3=TRUE,(Skills!K3/10)*(E855/1000),Skills!K3/10)+Skills!N3</f>
        <v/>
      </c>
      <c r="G855">
        <f>Calc!G3</f>
        <v/>
      </c>
      <c r="H855">
        <f>Calc!H3</f>
        <v/>
      </c>
      <c r="I855">
        <f>IF(Skills!T3&lt;&gt;"",1+(Skills!T3/10)*($Z$3/1000)/100,1)</f>
        <v/>
      </c>
      <c r="J855" t="inlineStr"/>
      <c r="K855" t="inlineStr"/>
      <c r="L855" t="inlineStr"/>
      <c r="M855" t="inlineStr"/>
      <c r="N855" t="inlineStr"/>
      <c r="O855" t="n">
        <v>0</v>
      </c>
      <c r="P855">
        <f>IF(B890=0,0,O855/B890)</f>
        <v/>
      </c>
      <c r="S855">
        <f>IF(AND(Inputs!$B$4&lt;&gt;"pvp",Inputs!$B$35&gt;0),(INT(Inputs!$B$35/IF(Inputs!$B$4="pvp",15,MAX(0.1,Skills!D3-IF(Skills!E3=TRUE,Inputs!$B$31,0))))+1),0)</f>
        <v/>
      </c>
      <c r="T855">
        <f>INDEX(FactorTable!$B$2:$Y$301, MATCH(ROUND(MIN(300,MAX(1,T854)),0), FactorTable!$A$2:$A$301,0), 22)</f>
        <v/>
      </c>
      <c r="V855">
        <f>IFERROR(1/IF(Inputs!$B$4="pvp",15,MAX(0.1,Skills!D3-IF(Skills!E3=TRUE,Inputs!$B$31,0))),0)</f>
        <v/>
      </c>
    </row>
    <row r="856">
      <c r="A856">
        <f>Skills!A4</f>
        <v/>
      </c>
      <c r="B856">
        <f>Skills!B4</f>
        <v/>
      </c>
      <c r="C856">
        <f>Inputs!$B$3&gt;=38</f>
        <v/>
      </c>
      <c r="D856">
        <f>IF(Skills!C4=1,60+Inputs!$B$24+Inputs!$B$28,IF(Skills!C4=2,90+Inputs!$B$25+Inputs!$B$28,IF(Skills!C4=3,120+Inputs!$B$26+Inputs!$B$28,MAX(0,(Inputs!$B$3-100)*3)+Inputs!$B$27+Inputs!$B$28)))</f>
        <v/>
      </c>
      <c r="E856">
        <f>INDEX(FactorTable!$B$2:$Y$301, MATCH(ROUND(MIN(300,MAX(1,D856)),0), FactorTable!$A$2:$A$301,0), Skills!L4+1)</f>
        <v/>
      </c>
      <c r="F856">
        <f>IF(Skills!M4=TRUE,(Skills!K4/10)*(E856/1000),Skills!K4/10)+Skills!N4</f>
        <v/>
      </c>
      <c r="G856">
        <f>Calc!G4</f>
        <v/>
      </c>
      <c r="H856">
        <f>Calc!H4</f>
        <v/>
      </c>
      <c r="I856">
        <f>IF(Skills!T4&lt;&gt;"",1+(Skills!T4/10)*($Z$3/1000)/100,1)</f>
        <v/>
      </c>
      <c r="J856" t="inlineStr"/>
      <c r="K856" t="inlineStr"/>
      <c r="L856" t="inlineStr"/>
      <c r="M856" t="inlineStr"/>
      <c r="N856" t="inlineStr"/>
      <c r="O856" t="n">
        <v>0</v>
      </c>
      <c r="P856">
        <f>IF(B890=0,0,O856/B890)</f>
        <v/>
      </c>
      <c r="S856">
        <f>IF(AND(Inputs!$B$4&lt;&gt;"pvp",Inputs!$B$35&gt;0),(INT(Inputs!$B$35/IF(Inputs!$B$4="pvp",15,MAX(0.1,Skills!D4-IF(Skills!E4=TRUE,Inputs!$B$31,0))))+1),0)</f>
        <v/>
      </c>
      <c r="T856">
        <f>290*T855/1000</f>
        <v/>
      </c>
      <c r="V856">
        <f>IFERROR(1/IF(Inputs!$B$4="pvp",15,MAX(0.1,Skills!D4-IF(Skills!E4=TRUE,Inputs!$B$31,0))),0)</f>
        <v/>
      </c>
    </row>
    <row r="857">
      <c r="A857">
        <f>Skills!A5</f>
        <v/>
      </c>
      <c r="B857">
        <f>Skills!B5</f>
        <v/>
      </c>
      <c r="C857">
        <f>Inputs!$B$3&gt;=40</f>
        <v/>
      </c>
      <c r="D857">
        <f>IF(Skills!C5=1,60+Inputs!$B$24+Inputs!$B$28,IF(Skills!C5=2,90+Inputs!$B$25+Inputs!$B$28,IF(Skills!C5=3,120+Inputs!$B$26+Inputs!$B$28,MAX(0,(Inputs!$B$3-100)*3)+Inputs!$B$27+Inputs!$B$28)))</f>
        <v/>
      </c>
      <c r="E857">
        <f>INDEX(FactorTable!$B$2:$Y$301, MATCH(ROUND(MIN(300,MAX(1,D857)),0), FactorTable!$A$2:$A$301,0), Skills!L5+1)</f>
        <v/>
      </c>
      <c r="F857">
        <f>IF(Skills!M5=TRUE,(Skills!K5/10)*(E857/1000),Skills!K5/10)+Skills!N5</f>
        <v/>
      </c>
      <c r="G857">
        <f>Calc!G5</f>
        <v/>
      </c>
      <c r="H857">
        <f>Calc!H5</f>
        <v/>
      </c>
      <c r="I857">
        <f>IF(Skills!T5&lt;&gt;"",1+(Skills!T5/10)*($Z$3/1000)/100,1)</f>
        <v/>
      </c>
      <c r="J857" t="inlineStr"/>
      <c r="K857" t="inlineStr"/>
      <c r="L857" t="inlineStr"/>
      <c r="M857" t="inlineStr"/>
      <c r="N857" t="inlineStr"/>
      <c r="O857" t="n">
        <v>0</v>
      </c>
      <c r="P857">
        <f>IF(B890=0,0,O857/B890)</f>
        <v/>
      </c>
      <c r="S857">
        <f>IF(AND(Inputs!$B$4&lt;&gt;"pvp",Inputs!$B$35&gt;0),(INT(Inputs!$B$35/IF(Inputs!$B$4="pvp",15,MAX(0.1,Skills!D5-IF(Skills!E5=TRUE,Inputs!$B$31,0))))+1),0)</f>
        <v/>
      </c>
      <c r="V857">
        <f>IFERROR(1/IF(Inputs!$B$4="pvp",15,MAX(0.1,Skills!D5-IF(Skills!E5=TRUE,Inputs!$B$31,0))),0)</f>
        <v/>
      </c>
    </row>
    <row r="858">
      <c r="A858">
        <f>Skills!A6</f>
        <v/>
      </c>
      <c r="B858">
        <f>Skills!B6</f>
        <v/>
      </c>
      <c r="C858">
        <f>Inputs!$B$3&gt;=103</f>
        <v/>
      </c>
      <c r="D858">
        <f>IF(Skills!C6=1,60+Inputs!$B$24+Inputs!$B$28,IF(Skills!C6=2,90+Inputs!$B$25+Inputs!$B$28,IF(Skills!C6=3,120+Inputs!$B$26+Inputs!$B$28,MAX(0,(Inputs!$B$3-100)*3)+Inputs!$B$27+Inputs!$B$28)))</f>
        <v/>
      </c>
      <c r="E858">
        <f>INDEX(FactorTable!$B$2:$Y$301, MATCH(ROUND(MIN(300,MAX(1,D858)),0), FactorTable!$A$2:$A$301,0), Skills!L6+1)</f>
        <v/>
      </c>
      <c r="F858">
        <f>IF(Skills!M6=TRUE,(Skills!K6/10)*(E858/1000),Skills!K6/10)+Skills!N6</f>
        <v/>
      </c>
      <c r="G858">
        <f>Calc!G6</f>
        <v/>
      </c>
      <c r="H858">
        <f>Calc!H6</f>
        <v/>
      </c>
      <c r="I858">
        <f>IF(Skills!T6&lt;&gt;"",1+(Skills!T6/10)*($Z$3/1000)/100,1)</f>
        <v/>
      </c>
      <c r="J858">
        <f>(((Inputs!$B$5+1)*(1+Inputs!$B$6/100))+((Inputs!$B$11*(1+Inputs!$B$12/100))-(Inputs!$B$11*(1+Inputs!$B$12/100)))*(1+Inputs!$B$6/100))*(F858/100)</f>
        <v/>
      </c>
      <c r="K858">
        <f>J858*(1+((Inputs!$B$11*(1+Inputs!$B$12/100))*0.01+Inputs!$B$13*0.0025)/100)*(1+(Inputs!$B$14+B883)/100)*(1+IF(Inputs!$B$4="pvp",0,(1-Summary!$B$48)*(Inputs!$B$19+Skills!O6+B881)+Summary!$B$48*(Inputs!$B$20+Skills!P6+B882))/100)*(1+Inputs!$B$15/100)*(5000/(6000+Inputs!$B$7*(1-Inputs!$B$18/100)))*(1+Inputs!$B$23/100)*(1+IF(C869=TRUE,F869,0)/100)*(1+IF(C871=TRUE,F871,0)/100)*(1+IF(Skills!A6="TRIUMPH_FEATHER",IF(C867=TRUE,F867,0),0)/100)*(1+IF(C878=TRUE,F878,0)/100)^5*(1+(IF(Skills!A6="BIG_BANG",Inputs!$B$16,Inputs!$B$17))/100)*(B880*I858)</f>
        <v/>
      </c>
      <c r="L858">
        <f>K858*(MIN(Inputs!$B$21+(F873-Calc!F21),Inputs!$B$22)/100+Inputs!$B$22/100)/2</f>
        <v/>
      </c>
      <c r="M858">
        <f>L858*(1+(Inputs!$B$9+B884+(F876-Calc!F24))/100)</f>
        <v/>
      </c>
      <c r="N858">
        <f>L858*(1-MIN(Inputs!$B$8+((F875-Calc!F23)+(F874-Calc!F22)),100)/100)+M858*(MIN(Inputs!$B$8+((F875-Calc!F23)+(F874-Calc!F22)),100)/100)</f>
        <v/>
      </c>
      <c r="O858">
        <f>IF(C858,H858*N858*IF(AND(Inputs!$B$4&lt;&gt;"pvp",Inputs!$B$35&gt;0),((Skills!F6*((S858-1)*IF(Skills!G6&gt;0,Skills!H6/Skills!G6,1)+IF(Skills!G6&gt;0,MIN(Skills!H6,MAX(0,Inputs!$B$35-((S858-1)*IF(Inputs!$B$4="pvp",15,MAX(0.1,Skills!D6-IF(Skills!E6=TRUE,Inputs!$B$31,0))))))/Skills!G6,1)))/Inputs!$B$35),G858*V858)*IF(Inputs!$B$4="pvp",1,(1-Summary!$B$48)*(1)+Summary!$B$48*(MIN(Skills!Q6,Inputs!$B$37))),0)</f>
        <v/>
      </c>
      <c r="P858">
        <f>IF(B890=0,0,O858/B890)</f>
        <v/>
      </c>
      <c r="S858">
        <f>IF(AND(Inputs!$B$4&lt;&gt;"pvp",Inputs!$B$35&gt;0),(INT(Inputs!$B$35/IF(Inputs!$B$4="pvp",15,MAX(0.1,Skills!D6-IF(Skills!E6=TRUE,Inputs!$B$31,0))))+1),0)</f>
        <v/>
      </c>
      <c r="V858">
        <f>IFERROR(1/IF(Inputs!$B$4="pvp",15,MAX(0.1,Skills!D6-IF(Skills!E6=TRUE,Inputs!$B$31,0))),0)</f>
        <v/>
      </c>
    </row>
    <row r="859">
      <c r="A859">
        <f>Skills!A7</f>
        <v/>
      </c>
      <c r="B859">
        <f>Skills!B7</f>
        <v/>
      </c>
      <c r="C859">
        <f>Inputs!$B$3&gt;=122</f>
        <v/>
      </c>
      <c r="D859">
        <f>IF(Skills!C7=1,60+Inputs!$B$24+Inputs!$B$28,IF(Skills!C7=2,90+Inputs!$B$25+Inputs!$B$28,IF(Skills!C7=3,120+Inputs!$B$26+Inputs!$B$28,MAX(0,(Inputs!$B$3-100)*3)+Inputs!$B$27+Inputs!$B$28)))</f>
        <v/>
      </c>
      <c r="E859">
        <f>INDEX(FactorTable!$B$2:$Y$301, MATCH(ROUND(MIN(300,MAX(1,D859)),0), FactorTable!$A$2:$A$301,0), Skills!L7+1)</f>
        <v/>
      </c>
      <c r="F859">
        <f>IF(Skills!M7=TRUE,(Skills!K7/10)*(E859/1000),Skills!K7/10)+Skills!N7</f>
        <v/>
      </c>
      <c r="G859">
        <f>Calc!G7</f>
        <v/>
      </c>
      <c r="H859">
        <f>Calc!H7</f>
        <v/>
      </c>
      <c r="I859">
        <f>IF(Skills!T7&lt;&gt;"",1+(Skills!T7/10)*($Z$3/1000)/100,1)</f>
        <v/>
      </c>
      <c r="J859">
        <f>(((Inputs!$B$5+1)*(1+Inputs!$B$6/100))+((Inputs!$B$11*(1+Inputs!$B$12/100))-(Inputs!$B$11*(1+Inputs!$B$12/100)))*(1+Inputs!$B$6/100))*(F859/100)</f>
        <v/>
      </c>
      <c r="K859">
        <f>J859*(1+((Inputs!$B$11*(1+Inputs!$B$12/100))*0.01+Inputs!$B$13*0.0025)/100)*(1+(Inputs!$B$14+B883)/100)*(1+IF(Inputs!$B$4="pvp",0,(1-Summary!$B$48)*(Inputs!$B$19+Skills!O7+B881)+Summary!$B$48*(Inputs!$B$20+Skills!P7+B882))/100)*(1+Inputs!$B$15/100)*(5000/(6000+Inputs!$B$7*(1-Inputs!$B$18/100)))*(1+Inputs!$B$23/100)*(1+IF(C869=TRUE,F869,0)/100)*(1+IF(C871=TRUE,F871,0)/100)*(1+IF(Skills!A7="TRIUMPH_FEATHER",IF(C867=TRUE,F867,0),0)/100)*(1+IF(C878=TRUE,F878,0)/100)^5*(1+(IF(Skills!A7="BIG_BANG",Inputs!$B$16,Inputs!$B$17))/100)*(B880*I859)</f>
        <v/>
      </c>
      <c r="L859">
        <f>K859*(MIN(Inputs!$B$21+(F873-Calc!F21),Inputs!$B$22)/100+Inputs!$B$22/100)/2</f>
        <v/>
      </c>
      <c r="M859">
        <f>L859*(1+(Inputs!$B$9+B884+(F876-Calc!F24))/100)</f>
        <v/>
      </c>
      <c r="N859">
        <f>L859*(1-MIN(Inputs!$B$8+((F875-Calc!F23)+(F874-Calc!F22)),100)/100)+M859*(MIN(Inputs!$B$8+((F875-Calc!F23)+(F874-Calc!F22)),100)/100)</f>
        <v/>
      </c>
      <c r="O859">
        <f>IF(C859,H859*N859*IF(AND(Inputs!$B$4&lt;&gt;"pvp",Inputs!$B$35&gt;0),((Skills!F7*((S859-1)*IF(Skills!G7&gt;0,Skills!H7/Skills!G7,1)+IF(Skills!G7&gt;0,MIN(Skills!H7,MAX(0,Inputs!$B$35-((S859-1)*IF(Inputs!$B$4="pvp",15,MAX(0.1,Skills!D7-IF(Skills!E6=TRUE,Inputs!$B$31,0))))))/Skills!G7,1)))/Inputs!$B$35),G859*V859)*(1-Summary!$B$48),0)</f>
        <v/>
      </c>
      <c r="P859">
        <f>IF(B890=0,0,O859/B890)</f>
        <v/>
      </c>
      <c r="S859">
        <f>IF(AND(Inputs!$B$4&lt;&gt;"pvp",Inputs!$B$35&gt;0),(INT(Inputs!$B$35/IF(Inputs!$B$4="pvp",15,MAX(0.1,Skills!D7-IF(Skills!E6=TRUE,Inputs!$B$31,0))))+1),0)</f>
        <v/>
      </c>
      <c r="V859">
        <f>IFERROR(1/IF(Inputs!$B$4="pvp",15,MAX(0.1,Skills!D7-IF(Skills!E6=TRUE,Inputs!$B$31,0))),0)</f>
        <v/>
      </c>
    </row>
    <row r="860">
      <c r="A860">
        <f>Skills!A8</f>
        <v/>
      </c>
      <c r="B860">
        <f>Skills!B8</f>
        <v/>
      </c>
      <c r="C860">
        <f>Inputs!$B$3&gt;=105</f>
        <v/>
      </c>
      <c r="D860">
        <f>IF(Skills!C8=1,60+Inputs!$B$24+Inputs!$B$28,IF(Skills!C8=2,90+Inputs!$B$25+Inputs!$B$28,IF(Skills!C8=3,120+Inputs!$B$26+Inputs!$B$28,MAX(0,(Inputs!$B$3-100)*3)+Inputs!$B$27+Inputs!$B$28)))</f>
        <v/>
      </c>
      <c r="E860">
        <f>INDEX(FactorTable!$B$2:$Y$301, MATCH(ROUND(MIN(300,MAX(1,D860)),0), FactorTable!$A$2:$A$301,0), Skills!L8+1)</f>
        <v/>
      </c>
      <c r="F860">
        <f>IF(Skills!M8=TRUE,(Skills!K8/10)*(E860/1000),Skills!K8/10)+Skills!N8</f>
        <v/>
      </c>
      <c r="G860">
        <f>Calc!G8</f>
        <v/>
      </c>
      <c r="H860">
        <f>Calc!H8</f>
        <v/>
      </c>
      <c r="I860">
        <f>IF(Skills!T8&lt;&gt;"",1+(Skills!T8/10)*($Z$3/1000)/100,1)</f>
        <v/>
      </c>
      <c r="J860">
        <f>(((Inputs!$B$5+1)*(1+Inputs!$B$6/100))+((Inputs!$B$11*(1+Inputs!$B$12/100))-(Inputs!$B$11*(1+Inputs!$B$12/100)))*(1+Inputs!$B$6/100))*(F860/100)</f>
        <v/>
      </c>
      <c r="K860">
        <f>J860*(1+((Inputs!$B$11*(1+Inputs!$B$12/100))*0.01+Inputs!$B$13*0.0025)/100)*(1+(Inputs!$B$14+B883)/100)*(1+IF(Inputs!$B$4="pvp",0,(1-Summary!$B$48)*(Inputs!$B$19+Skills!O8+B881)+Summary!$B$48*(Inputs!$B$20+Skills!P8+B882))/100)*(1+Inputs!$B$15/100)*(5000/(6000+Inputs!$B$7*(1-Inputs!$B$18/100)))*(1+Inputs!$B$23/100)*(1+IF(C869=TRUE,F869,0)/100)*(1+IF(C871=TRUE,F871,0)/100)*(1+IF(Skills!A8="TRIUMPH_FEATHER",IF(C867=TRUE,F867,0),0)/100)*(1+IF(C878=TRUE,F878,0)/100)^5*(1+(IF(Skills!A8="BIG_BANG",Inputs!$B$16,Inputs!$B$17))/100)*(B880*I860)</f>
        <v/>
      </c>
      <c r="L860">
        <f>K860*(MIN(Inputs!$B$21+(F873-Calc!F21),Inputs!$B$22)/100+Inputs!$B$22/100)/2</f>
        <v/>
      </c>
      <c r="M860">
        <f>L860*(1+(Inputs!$B$9+B884+(F876-Calc!F24))/100)</f>
        <v/>
      </c>
      <c r="N860">
        <f>L860*(1-MIN(Inputs!$B$8+((F875-Calc!F23)+(F874-Calc!F22)),100)/100)+M860*(MIN(Inputs!$B$8+((F875-Calc!F23)+(F874-Calc!F22)),100)/100)</f>
        <v/>
      </c>
      <c r="O860">
        <f>IF(C860,H860*N860*IF(AND(Inputs!$B$4&lt;&gt;"pvp",Inputs!$B$35&gt;0),((Skills!F8*((S860-1)*IF(Skills!G8&gt;0,Skills!H8/Skills!G8,1)+IF(Skills!G8&gt;0,MIN(Skills!H8,MAX(0,Inputs!$B$35-((S860-1)*IF(Inputs!$B$4="pvp",15,MAX(0.1,Skills!D8-IF(Skills!E8=TRUE,Inputs!$B$31,0))))))/Skills!G8,1)))/Inputs!$B$35),G860*V860)*IF(Inputs!$B$4="pvp",1,(1-Summary!$B$48)*(1)+Summary!$B$48*(MIN(Skills!Q8,Inputs!$B$37))),0)</f>
        <v/>
      </c>
      <c r="P860">
        <f>IF(B890=0,0,O860/B890)</f>
        <v/>
      </c>
      <c r="S860">
        <f>IF(AND(Inputs!$B$4&lt;&gt;"pvp",Inputs!$B$35&gt;0),(INT(Inputs!$B$35/IF(Inputs!$B$4="pvp",15,MAX(0.1,Skills!D8-IF(Skills!E8=TRUE,Inputs!$B$31,0))))+1),0)</f>
        <v/>
      </c>
      <c r="V860">
        <f>IFERROR(1/IF(Inputs!$B$4="pvp",15,MAX(0.1,Skills!D8-IF(Skills!E8=TRUE,Inputs!$B$31,0))),0)</f>
        <v/>
      </c>
    </row>
    <row r="861">
      <c r="A861">
        <f>Skills!A9</f>
        <v/>
      </c>
      <c r="B861">
        <f>Skills!B9</f>
        <v/>
      </c>
      <c r="C861">
        <f>Inputs!$B$3&gt;=115</f>
        <v/>
      </c>
      <c r="D861">
        <f>IF(Skills!C9=1,60+Inputs!$B$24+Inputs!$B$28,IF(Skills!C9=2,90+Inputs!$B$25+Inputs!$B$28,IF(Skills!C9=3,120+Inputs!$B$26+Inputs!$B$28,MAX(0,(Inputs!$B$3-100)*3)+Inputs!$B$27+Inputs!$B$28)))</f>
        <v/>
      </c>
      <c r="E861">
        <f>INDEX(FactorTable!$B$2:$Y$301, MATCH(ROUND(MIN(300,MAX(1,D861)),0), FactorTable!$A$2:$A$301,0), Skills!L9+1)</f>
        <v/>
      </c>
      <c r="F861">
        <f>IF(Skills!M9=TRUE,(Skills!K9/10)*(E861/1000),Skills!K9/10)+Skills!N9</f>
        <v/>
      </c>
      <c r="G861">
        <f>Calc!G9</f>
        <v/>
      </c>
      <c r="H861">
        <f>Calc!H9</f>
        <v/>
      </c>
      <c r="I861">
        <f>IF(Skills!T9&lt;&gt;"",1+(Skills!T9/10)*($Z$3/1000)/100,1)</f>
        <v/>
      </c>
      <c r="J861">
        <f>(((Inputs!$B$5+1)*(1+Inputs!$B$6/100))+((Inputs!$B$11*(1+Inputs!$B$12/100))-(Inputs!$B$11*(1+Inputs!$B$12/100)))*(1+Inputs!$B$6/100))*(F861/100)</f>
        <v/>
      </c>
      <c r="K861">
        <f>J861*(1+((Inputs!$B$11*(1+Inputs!$B$12/100))*0.01+Inputs!$B$13*0.0025)/100)*(1+(Inputs!$B$14+B883)/100)*(1+IF(Inputs!$B$4="pvp",0,(1-Summary!$B$48)*(Inputs!$B$19+Skills!O9+B881)+Summary!$B$48*(Inputs!$B$20+Skills!P9+B882))/100)*(1+Inputs!$B$15/100)*(5000/(6000+Inputs!$B$7*(1-Inputs!$B$18/100)))*(1+Inputs!$B$23/100)*(1+IF(C869=TRUE,F869,0)/100)*(1+IF(C871=TRUE,F871,0)/100)*(1+IF(Skills!A9="TRIUMPH_FEATHER",IF(C867=TRUE,F867,0),0)/100)*(1+IF(C878=TRUE,F878,0)/100)^5*(1+(IF(Skills!A9="BIG_BANG",Inputs!$B$16,Inputs!$B$17))/100)*(B880*I861)</f>
        <v/>
      </c>
      <c r="L861">
        <f>K861*(MIN(Inputs!$B$21+(F873-Calc!F21),Inputs!$B$22)/100+Inputs!$B$22/100)/2</f>
        <v/>
      </c>
      <c r="M861">
        <f>L861*(1+(Inputs!$B$9+B884+(F876-Calc!F24))/100)</f>
        <v/>
      </c>
      <c r="N861">
        <f>L861*(1-MIN(Inputs!$B$8+((F875-Calc!F23)+(F874-Calc!F22)),100)/100)+M861*(MIN(Inputs!$B$8+((F875-Calc!F23)+(F874-Calc!F22)),100)/100)</f>
        <v/>
      </c>
      <c r="O861">
        <f>IF(C861,H861*N861*IF(AND(Inputs!$B$4&lt;&gt;"pvp",Inputs!$B$35&gt;0),((Skills!F9*((S861-1)*IF(Skills!G9&gt;0,Skills!H9/Skills!G9,1)+IF(Skills!G9&gt;0,MIN(Skills!H9,MAX(0,Inputs!$B$35-((S861-1)*IF(Inputs!$B$4="pvp",15,MAX(0.1,Skills!D9-IF(Skills!E9=TRUE,Inputs!$B$31,0))))))/Skills!G9,1)))/Inputs!$B$35),G861*V861)*IF(Inputs!$B$4="pvp",1,(1-Summary!$B$48)*(1)+Summary!$B$48*(MIN(Skills!Q9,Inputs!$B$37))),0)</f>
        <v/>
      </c>
      <c r="P861">
        <f>IF(B890=0,0,O861/B890)</f>
        <v/>
      </c>
      <c r="S861">
        <f>IF(AND(Inputs!$B$4&lt;&gt;"pvp",Inputs!$B$35&gt;0),(INT(Inputs!$B$35/IF(Inputs!$B$4="pvp",15,MAX(0.1,Skills!D9-IF(Skills!E9=TRUE,Inputs!$B$31,0))))+1),0)</f>
        <v/>
      </c>
      <c r="V861">
        <f>IFERROR(1/IF(Inputs!$B$4="pvp",15,MAX(0.1,Skills!D9-IF(Skills!E9=TRUE,Inputs!$B$31,0))),0)</f>
        <v/>
      </c>
    </row>
    <row r="862">
      <c r="A862">
        <f>Skills!A10</f>
        <v/>
      </c>
      <c r="B862">
        <f>Skills!B10</f>
        <v/>
      </c>
      <c r="C862">
        <f>Inputs!$B$3&gt;=66</f>
        <v/>
      </c>
      <c r="D862">
        <f>IF(Skills!C10=1,60+Inputs!$B$24+Inputs!$B$28,IF(Skills!C10=2,90+Inputs!$B$25+Inputs!$B$28,IF(Skills!C10=3,120+Inputs!$B$26+Inputs!$B$28,MAX(0,(Inputs!$B$3-100)*3)+Inputs!$B$27+Inputs!$B$28)))</f>
        <v/>
      </c>
      <c r="E862">
        <f>INDEX(FactorTable!$B$2:$Y$301, MATCH(ROUND(MIN(300,MAX(1,D862)),0), FactorTable!$A$2:$A$301,0), Skills!L10+1)</f>
        <v/>
      </c>
      <c r="F862" t="n">
        <v>0</v>
      </c>
      <c r="G862">
        <f>Calc!G10</f>
        <v/>
      </c>
      <c r="H862">
        <f>Calc!H10</f>
        <v/>
      </c>
      <c r="I862">
        <f>IF(Skills!T10&lt;&gt;"",1+(Skills!T10/10)*($Z$3/1000)/100,1)</f>
        <v/>
      </c>
      <c r="J862" t="inlineStr"/>
      <c r="K862" t="inlineStr"/>
      <c r="L862" t="inlineStr"/>
      <c r="M862" t="inlineStr"/>
      <c r="N862" t="inlineStr"/>
      <c r="O862" t="n">
        <v>0</v>
      </c>
      <c r="P862">
        <f>IF(B890=0,0,O862/B890)</f>
        <v/>
      </c>
      <c r="S862">
        <f>IF(AND(Inputs!$B$4&lt;&gt;"pvp",Inputs!$B$35&gt;0),(INT(Inputs!$B$35/IF(Inputs!$B$4="pvp",15,MAX(0.1,Skills!D10-IF(Skills!E10=TRUE,Inputs!$B$31,0))))+1),0)</f>
        <v/>
      </c>
      <c r="V862">
        <f>IFERROR(1/IF(Inputs!$B$4="pvp",15,MAX(0.1,Skills!D10-IF(Skills!E10=TRUE,Inputs!$B$31,0))),0)</f>
        <v/>
      </c>
    </row>
    <row r="863">
      <c r="A863">
        <f>Skills!A11</f>
        <v/>
      </c>
      <c r="B863">
        <f>Skills!B11</f>
        <v/>
      </c>
      <c r="C863">
        <f>Inputs!$B$3&gt;=69</f>
        <v/>
      </c>
      <c r="D863">
        <f>IF(Skills!C11=1,60+Inputs!$B$24+Inputs!$B$28,IF(Skills!C11=2,90+Inputs!$B$25+Inputs!$B$28,IF(Skills!C11=3,120+Inputs!$B$26+Inputs!$B$28,MAX(0,(Inputs!$B$3-100)*3)+Inputs!$B$27+Inputs!$B$28)))</f>
        <v/>
      </c>
      <c r="E863">
        <f>INDEX(FactorTable!$B$2:$Y$301, MATCH(ROUND(MIN(300,MAX(1,D863)),0), FactorTable!$A$2:$A$301,0), Skills!L11+1)</f>
        <v/>
      </c>
      <c r="F863">
        <f>IF(Skills!M11=TRUE,(Skills!K11/10)*(E863/1000),Skills!K11/10)+Skills!N11</f>
        <v/>
      </c>
      <c r="G863">
        <f>Calc!G11</f>
        <v/>
      </c>
      <c r="H863">
        <f>Calc!H11</f>
        <v/>
      </c>
      <c r="I863">
        <f>IF(Skills!T11&lt;&gt;"",1+(Skills!T11/10)*($Z$3/1000)/100,1)</f>
        <v/>
      </c>
      <c r="J863" t="inlineStr"/>
      <c r="K863" t="inlineStr"/>
      <c r="L863" t="inlineStr"/>
      <c r="M863" t="inlineStr"/>
      <c r="N863" t="inlineStr"/>
      <c r="O863" t="n">
        <v>0</v>
      </c>
      <c r="P863">
        <f>IF(B890=0,0,O863/B890)</f>
        <v/>
      </c>
      <c r="S863">
        <f>IF(AND(Inputs!$B$4&lt;&gt;"pvp",Inputs!$B$35&gt;0),(INT(Inputs!$B$35/IF(Inputs!$B$4="pvp",15,MAX(0.1,Skills!D11-IF(Skills!E11=TRUE,Inputs!$B$31,0))))+1),0)</f>
        <v/>
      </c>
      <c r="V863">
        <f>IFERROR(1/IF(Inputs!$B$4="pvp",15,MAX(0.1,Skills!D11-IF(Skills!E11=TRUE,Inputs!$B$31,0))),0)</f>
        <v/>
      </c>
    </row>
    <row r="864">
      <c r="A864">
        <f>Skills!A12</f>
        <v/>
      </c>
      <c r="B864">
        <f>Skills!B12</f>
        <v/>
      </c>
      <c r="C864">
        <f>Inputs!$B$3&gt;=72</f>
        <v/>
      </c>
      <c r="D864">
        <f>IF(Skills!C12=1,60+Inputs!$B$24+Inputs!$B$28,IF(Skills!C12=2,90+Inputs!$B$25+Inputs!$B$28,IF(Skills!C12=3,120+Inputs!$B$26+Inputs!$B$28,MAX(0,(Inputs!$B$3-100)*3)+Inputs!$B$27+Inputs!$B$28)))</f>
        <v/>
      </c>
      <c r="E864">
        <f>INDEX(FactorTable!$B$2:$Y$301, MATCH(ROUND(MIN(300,MAX(1,D864)),0), FactorTable!$A$2:$A$301,0), Skills!L12+1)</f>
        <v/>
      </c>
      <c r="F864">
        <f>IF(Skills!M12=TRUE,(Skills!K12/10)*(E864/1000),Skills!K12/10)+Skills!N12</f>
        <v/>
      </c>
      <c r="G864">
        <f>Calc!G12</f>
        <v/>
      </c>
      <c r="H864">
        <f>Calc!H12</f>
        <v/>
      </c>
      <c r="I864">
        <f>IF(Skills!T12&lt;&gt;"",1+(Skills!T12/10)*($Z$3/1000)/100,1)</f>
        <v/>
      </c>
      <c r="J864" t="inlineStr"/>
      <c r="K864" t="inlineStr"/>
      <c r="L864" t="inlineStr"/>
      <c r="M864" t="inlineStr"/>
      <c r="N864" t="inlineStr"/>
      <c r="O864" t="n">
        <v>0</v>
      </c>
      <c r="P864">
        <f>IF(B890=0,0,O864/B890)</f>
        <v/>
      </c>
      <c r="S864">
        <f>IF(AND(Inputs!$B$4&lt;&gt;"pvp",Inputs!$B$35&gt;0),(INT(Inputs!$B$35/IF(Inputs!$B$4="pvp",15,MAX(0.1,Skills!D12-IF(Skills!E12=TRUE,Inputs!$B$31,0))))+1),0)</f>
        <v/>
      </c>
      <c r="V864">
        <f>IFERROR(1/IF(Inputs!$B$4="pvp",15,MAX(0.1,Skills!D12-IF(Skills!E12=TRUE,Inputs!$B$31,0))),0)</f>
        <v/>
      </c>
    </row>
    <row r="865">
      <c r="A865">
        <f>Skills!A13</f>
        <v/>
      </c>
      <c r="B865">
        <f>Skills!B13</f>
        <v/>
      </c>
      <c r="C865">
        <f>Inputs!$B$3&gt;=107</f>
        <v/>
      </c>
      <c r="D865">
        <f>IF(Skills!C13=1,60+Inputs!$B$24+Inputs!$B$28,IF(Skills!C13=2,90+Inputs!$B$25+Inputs!$B$28,IF(Skills!C13=3,120+Inputs!$B$26+Inputs!$B$28,MAX(0,(Inputs!$B$3-100)*3)+Inputs!$B$27+Inputs!$B$28)))</f>
        <v/>
      </c>
      <c r="E865">
        <f>INDEX(FactorTable!$B$2:$Y$301, MATCH(ROUND(MIN(300,MAX(1,D865)),0), FactorTable!$A$2:$A$301,0), Skills!L13+1)</f>
        <v/>
      </c>
      <c r="F865">
        <f>IF(Skills!M13=TRUE,(Skills!K13/10)*(E865/1000),Skills!K13/10)+Skills!N13</f>
        <v/>
      </c>
      <c r="G865">
        <f>Calc!G13</f>
        <v/>
      </c>
      <c r="H865">
        <f>Calc!H13</f>
        <v/>
      </c>
      <c r="I865">
        <f>IF(Skills!T13&lt;&gt;"",1+(Skills!T13/10)*($Z$3/1000)/100,1)</f>
        <v/>
      </c>
      <c r="J865" t="inlineStr"/>
      <c r="K865" t="inlineStr"/>
      <c r="L865" t="inlineStr"/>
      <c r="M865" t="inlineStr"/>
      <c r="N865" t="inlineStr"/>
      <c r="O865" t="n">
        <v>0</v>
      </c>
      <c r="P865">
        <f>IF(B890=0,0,O865/B890)</f>
        <v/>
      </c>
      <c r="S865">
        <f>IF(AND(Inputs!$B$4&lt;&gt;"pvp",Inputs!$B$35&gt;0),(INT(Inputs!$B$35/IF(Inputs!$B$4="pvp",15,MAX(0.1,Skills!D13-IF(Skills!E13=TRUE,Inputs!$B$31,0))))+1),0)</f>
        <v/>
      </c>
      <c r="V865">
        <f>IFERROR(1/IF(Inputs!$B$4="pvp",15,MAX(0.1,Skills!D13-IF(Skills!E13=TRUE,Inputs!$B$31,0))),0)</f>
        <v/>
      </c>
    </row>
    <row r="866">
      <c r="A866">
        <f>Skills!A14</f>
        <v/>
      </c>
      <c r="B866">
        <f>Skills!B14</f>
        <v/>
      </c>
      <c r="C866">
        <f>Inputs!$B$3&gt;=63</f>
        <v/>
      </c>
      <c r="D866">
        <f>IF(Skills!C14=1,60+Inputs!$B$24+Inputs!$B$28,IF(Skills!C14=2,90+Inputs!$B$25+Inputs!$B$28,IF(Skills!C14=3,120+Inputs!$B$26+Inputs!$B$28,MAX(0,(Inputs!$B$3-100)*3)+Inputs!$B$27+Inputs!$B$28)))</f>
        <v/>
      </c>
      <c r="E866">
        <f>INDEX(FactorTable!$B$2:$Y$301, MATCH(ROUND(MIN(300,MAX(1,D866)),0), FactorTable!$A$2:$A$301,0), Skills!L14+1)</f>
        <v/>
      </c>
      <c r="F866">
        <f>IF(Skills!M14=TRUE,(Skills!K14/10)*(E866/1000),Skills!K14/10)+Skills!N14</f>
        <v/>
      </c>
      <c r="G866">
        <f>Calc!G14</f>
        <v/>
      </c>
      <c r="H866">
        <f>Calc!H14</f>
        <v/>
      </c>
      <c r="I866">
        <f>IF(Skills!T14&lt;&gt;"",1+(Skills!T14/10)*($Z$3/1000)/100,1)</f>
        <v/>
      </c>
      <c r="J866">
        <f>(((Inputs!$B$5+1)*(1+Inputs!$B$6/100))+((Inputs!$B$11*(1+Inputs!$B$12/100))-(Inputs!$B$11*(1+Inputs!$B$12/100)))*(1+Inputs!$B$6/100))*(F866/100)</f>
        <v/>
      </c>
      <c r="K866">
        <f>J866*(1+((Inputs!$B$11*(1+Inputs!$B$12/100))*0.01+Inputs!$B$13*0.0025)/100)*(1+(Inputs!$B$14+B883)/100)*(1+IF(Inputs!$B$4="pvp",0,(1-Summary!$B$48)*(Inputs!$B$19+Skills!O14+B881)+Summary!$B$48*(Inputs!$B$20+Skills!P14+B882))/100)*(1+Inputs!$B$15/100)*(5000/(6000+Inputs!$B$7*(1-Inputs!$B$18/100)))*(1+Inputs!$B$23/100)*(1+IF(C869=TRUE,F869,0)/100)*(1+IF(C871=TRUE,F871,0)/100)*(1+IF(Skills!A14="TRIUMPH_FEATHER",IF(C867=TRUE,F867,0),0)/100)*(1+IF(C878=TRUE,F878,0)/100)^5*(1+(IF(Skills!A14="BIG_BANG",Inputs!$B$16,Inputs!$B$17))/100)*(B880*I866)</f>
        <v/>
      </c>
      <c r="L866">
        <f>K866*(MIN(Inputs!$B$21+(F873-Calc!F21),Inputs!$B$22)/100+Inputs!$B$22/100)/2</f>
        <v/>
      </c>
      <c r="M866">
        <f>L866*(1+(Inputs!$B$9+B884+(F876-Calc!F24))/100)</f>
        <v/>
      </c>
      <c r="N866">
        <f>L866*(1-MIN(Inputs!$B$8+((F875-Calc!F23)+(F874-Calc!F22)),100)/100)+M866*(MIN(Inputs!$B$8+((F875-Calc!F23)+(F874-Calc!F22)),100)/100)</f>
        <v/>
      </c>
      <c r="O866">
        <f>IF(C866,Skills!F14*N866*((IF(Inputs!$B$3&gt;=78,25,15)/100*B886*10)/(1+IF(Inputs!$B$3&gt;=78,25,15)/100*B886*10))*(Skills!I14/100*B886)/(1+Skills!G14*Skills!I14/100*B886)*IF(Inputs!$B$4="pvp",1,(1-Summary!$B$48)*(1)+Summary!$B$48*(MIN(Skills!Q14,Inputs!$B$37))),0)</f>
        <v/>
      </c>
      <c r="P866">
        <f>IF(B890=0,0,O866/B890)</f>
        <v/>
      </c>
      <c r="S866" t="n">
        <v>0</v>
      </c>
      <c r="V866">
        <f>IFERROR(1/IF(Inputs!$B$4="pvp",15,MAX(0.1,Skills!D14-IF(Skills!E14=TRUE,Inputs!$B$31,0))),0)</f>
        <v/>
      </c>
    </row>
    <row r="867">
      <c r="A867">
        <f>Skills!A15</f>
        <v/>
      </c>
      <c r="B867">
        <f>Skills!B15</f>
        <v/>
      </c>
      <c r="C867">
        <f>Inputs!$B$3&gt;=100</f>
        <v/>
      </c>
      <c r="D867">
        <f>IF(Skills!C15=1,60+Inputs!$B$24+Inputs!$B$28,IF(Skills!C15=2,90+Inputs!$B$25+Inputs!$B$28,IF(Skills!C15=3,120+Inputs!$B$26+Inputs!$B$28,MAX(0,(Inputs!$B$3-100)*3)+Inputs!$B$27+Inputs!$B$28)))</f>
        <v/>
      </c>
      <c r="E867">
        <f>INDEX(FactorTable!$B$2:$Y$301, MATCH(ROUND(MIN(300,MAX(1,D867)),0), FactorTable!$A$2:$A$301,0), Skills!L15+1)</f>
        <v/>
      </c>
      <c r="F867">
        <f>IF(Skills!M15=TRUE,(Skills!K15/10)*(E867/1000),Skills!K15/10)+Skills!N15</f>
        <v/>
      </c>
      <c r="G867">
        <f>Calc!G15</f>
        <v/>
      </c>
      <c r="H867">
        <f>Calc!H15</f>
        <v/>
      </c>
      <c r="I867">
        <f>IF(Skills!T15&lt;&gt;"",1+(Skills!T15/10)*($Z$3/1000)/100,1)</f>
        <v/>
      </c>
      <c r="J867" t="inlineStr"/>
      <c r="K867" t="inlineStr"/>
      <c r="L867" t="inlineStr"/>
      <c r="M867" t="inlineStr"/>
      <c r="N867" t="inlineStr"/>
      <c r="O867" t="n">
        <v>0</v>
      </c>
      <c r="P867">
        <f>IF(B890=0,0,O867/B890)</f>
        <v/>
      </c>
      <c r="S867" t="n">
        <v>0</v>
      </c>
      <c r="V867">
        <f>IFERROR(1/IF(Inputs!$B$4="pvp",15,MAX(0.1,Skills!D15-IF(Skills!E15=TRUE,Inputs!$B$31,0))),0)</f>
        <v/>
      </c>
    </row>
    <row r="868">
      <c r="A868">
        <f>Skills!A16</f>
        <v/>
      </c>
      <c r="B868">
        <f>Skills!B16</f>
        <v/>
      </c>
      <c r="C868">
        <f>Inputs!$B$3&gt;=49</f>
        <v/>
      </c>
      <c r="D868">
        <f>IF(Skills!C16=1,60+Inputs!$B$24+Inputs!$B$28,IF(Skills!C16=2,90+Inputs!$B$25+Inputs!$B$28,IF(Skills!C16=3,120+Inputs!$B$26+Inputs!$B$28,MAX(0,(Inputs!$B$3-100)*3)+Inputs!$B$27+Inputs!$B$28)))</f>
        <v/>
      </c>
      <c r="E868">
        <f>INDEX(FactorTable!$B$2:$Y$301, MATCH(ROUND(MIN(300,MAX(1,D868)),0), FactorTable!$A$2:$A$301,0), Skills!L16+1)</f>
        <v/>
      </c>
      <c r="F868">
        <f>IF(Skills!M16=TRUE,(Skills!K16/10)*(E868/1000),Skills!K16/10)+Skills!N16</f>
        <v/>
      </c>
      <c r="G868">
        <f>Calc!G16</f>
        <v/>
      </c>
      <c r="H868">
        <f>Calc!H16</f>
        <v/>
      </c>
      <c r="I868">
        <f>IF(Skills!T16&lt;&gt;"",1+(Skills!T16/10)*($Z$3/1000)/100,1)</f>
        <v/>
      </c>
      <c r="J868" t="inlineStr"/>
      <c r="K868" t="inlineStr"/>
      <c r="L868" t="inlineStr"/>
      <c r="M868" t="inlineStr"/>
      <c r="N868" t="inlineStr"/>
      <c r="O868" t="n">
        <v>0</v>
      </c>
      <c r="P868">
        <f>IF(B890=0,0,O868/B890)</f>
        <v/>
      </c>
      <c r="S868" t="n">
        <v>0</v>
      </c>
      <c r="V868">
        <f>IFERROR(1/IF(Inputs!$B$4="pvp",15,MAX(0.1,Skills!D16-IF(Skills!E16=TRUE,Inputs!$B$31,0))),0)</f>
        <v/>
      </c>
    </row>
    <row r="869">
      <c r="A869">
        <f>Skills!A17</f>
        <v/>
      </c>
      <c r="B869">
        <f>Skills!B17</f>
        <v/>
      </c>
      <c r="C869">
        <f>Inputs!$B$3&gt;=75</f>
        <v/>
      </c>
      <c r="D869">
        <f>IF(Skills!C17=1,60+Inputs!$B$24+Inputs!$B$28,IF(Skills!C17=2,90+Inputs!$B$25+Inputs!$B$28,IF(Skills!C17=3,120+Inputs!$B$26+Inputs!$B$28,MAX(0,(Inputs!$B$3-100)*3)+Inputs!$B$27+Inputs!$B$28)))</f>
        <v/>
      </c>
      <c r="E869">
        <f>INDEX(FactorTable!$B$2:$Y$301, MATCH(ROUND(MIN(300,MAX(1,D869)),0), FactorTable!$A$2:$A$301,0), Skills!L17+1)</f>
        <v/>
      </c>
      <c r="F869">
        <f>IF(Skills!M17=TRUE,(Skills!K17/10)*(E869/1000),Skills!K17/10)+Skills!N17</f>
        <v/>
      </c>
      <c r="G869">
        <f>Calc!G17</f>
        <v/>
      </c>
      <c r="H869">
        <f>Calc!H17</f>
        <v/>
      </c>
      <c r="I869">
        <f>IF(Skills!T17&lt;&gt;"",1+(Skills!T17/10)*($Z$3/1000)/100,1)</f>
        <v/>
      </c>
      <c r="J869" t="inlineStr"/>
      <c r="K869" t="inlineStr"/>
      <c r="L869" t="inlineStr"/>
      <c r="M869" t="inlineStr"/>
      <c r="N869" t="inlineStr"/>
      <c r="O869" t="n">
        <v>0</v>
      </c>
      <c r="P869">
        <f>IF(B890=0,0,O869/B890)</f>
        <v/>
      </c>
      <c r="S869" t="n">
        <v>0</v>
      </c>
      <c r="V869">
        <f>IFERROR(1/IF(Inputs!$B$4="pvp",15,MAX(0.1,Skills!D17-IF(Skills!E17=TRUE,Inputs!$B$31,0))),0)</f>
        <v/>
      </c>
    </row>
    <row r="870">
      <c r="A870">
        <f>Skills!A18</f>
        <v/>
      </c>
      <c r="B870">
        <f>Skills!B18</f>
        <v/>
      </c>
      <c r="C870">
        <f>Inputs!$B$3&gt;=110</f>
        <v/>
      </c>
      <c r="D870">
        <f>IF(Skills!C18=1,60+Inputs!$B$24+Inputs!$B$28,IF(Skills!C18=2,90+Inputs!$B$25+Inputs!$B$28,IF(Skills!C18=3,120+Inputs!$B$26+Inputs!$B$28,MAX(0,(Inputs!$B$3-100)*3)+Inputs!$B$27+Inputs!$B$28)))</f>
        <v/>
      </c>
      <c r="E870">
        <f>INDEX(FactorTable!$B$2:$Y$301, MATCH(ROUND(MIN(300,MAX(1,D870)),0), FactorTable!$A$2:$A$301,0), Skills!L18+1)</f>
        <v/>
      </c>
      <c r="F870">
        <f>(Skills!K18/10)*(E870/1000)*64/45+Skills!N18</f>
        <v/>
      </c>
      <c r="G870">
        <f>Calc!G18</f>
        <v/>
      </c>
      <c r="H870">
        <f>Calc!H18</f>
        <v/>
      </c>
      <c r="I870">
        <f>IF(Skills!T18&lt;&gt;"",1+(Skills!T18/10)*($Z$3/1000)/100,1)</f>
        <v/>
      </c>
      <c r="J870" t="inlineStr"/>
      <c r="K870" t="inlineStr"/>
      <c r="L870" t="inlineStr"/>
      <c r="M870" t="inlineStr"/>
      <c r="N870" t="inlineStr"/>
      <c r="O870" t="n">
        <v>0</v>
      </c>
      <c r="P870">
        <f>IF(B890=0,0,O870/B890)</f>
        <v/>
      </c>
      <c r="S870">
        <f>IF(AND(Inputs!$B$4&lt;&gt;"pvp",Inputs!$B$35&gt;0),(INT(Inputs!$B$35/IF(Inputs!$B$4="pvp",15,MAX(0.1,Skills!D18-IF(Skills!E18=TRUE,Inputs!$B$31,0))))+1),0)</f>
        <v/>
      </c>
      <c r="V870">
        <f>IFERROR(1/IF(Inputs!$B$4="pvp",15,MAX(0.1,Skills!D18-IF(Skills!E18=TRUE,Inputs!$B$31,0))),0)</f>
        <v/>
      </c>
    </row>
    <row r="871">
      <c r="A871">
        <f>Skills!A19</f>
        <v/>
      </c>
      <c r="B871">
        <f>Skills!B19</f>
        <v/>
      </c>
      <c r="C871">
        <f>Inputs!$B$3&gt;=125</f>
        <v/>
      </c>
      <c r="D871">
        <f>IF(Skills!C19=1,60+Inputs!$B$24+Inputs!$B$28,IF(Skills!C19=2,90+Inputs!$B$25+Inputs!$B$28,IF(Skills!C19=3,120+Inputs!$B$26+Inputs!$B$28,MAX(0,(Inputs!$B$3-100)*3)+Inputs!$B$27+Inputs!$B$28)))</f>
        <v/>
      </c>
      <c r="E871">
        <f>INDEX(FactorTable!$B$2:$Y$301, MATCH(ROUND(MIN(300,MAX(1,D871)),0), FactorTable!$A$2:$A$301,0), Skills!L19+1)</f>
        <v/>
      </c>
      <c r="F871">
        <f>IF(Skills!M19=TRUE,(Skills!K19/10)*(E871/1000),Skills!K19/10)+Skills!N19</f>
        <v/>
      </c>
      <c r="G871">
        <f>Calc!G19</f>
        <v/>
      </c>
      <c r="H871">
        <f>Calc!H19</f>
        <v/>
      </c>
      <c r="I871">
        <f>IF(Skills!T19&lt;&gt;"",1+(Skills!T19/10)*($Z$3/1000)/100,1)</f>
        <v/>
      </c>
      <c r="J871" t="inlineStr"/>
      <c r="K871" t="inlineStr"/>
      <c r="L871" t="inlineStr"/>
      <c r="M871" t="inlineStr"/>
      <c r="N871" t="inlineStr"/>
      <c r="O871" t="n">
        <v>0</v>
      </c>
      <c r="P871">
        <f>IF(B890=0,0,O871/B890)</f>
        <v/>
      </c>
      <c r="S871" t="n">
        <v>0</v>
      </c>
      <c r="V871">
        <f>IFERROR(1/IF(Inputs!$B$4="pvp",15,MAX(0.1,Skills!D19-IF(Skills!E19=TRUE,Inputs!$B$31,0))),0)</f>
        <v/>
      </c>
    </row>
    <row r="872">
      <c r="A872">
        <f>Skills!A20</f>
        <v/>
      </c>
      <c r="B872">
        <f>Skills!B20</f>
        <v/>
      </c>
      <c r="C872">
        <f>Inputs!$B$3&gt;=33</f>
        <v/>
      </c>
      <c r="D872">
        <f>IF(Skills!C20=1,60+Inputs!$B$24+Inputs!$B$28,IF(Skills!C20=2,90+Inputs!$B$25+Inputs!$B$28,IF(Skills!C20=3,120+Inputs!$B$26+Inputs!$B$28,MAX(0,(Inputs!$B$3-100)*3)+Inputs!$B$27+Inputs!$B$28)))</f>
        <v/>
      </c>
      <c r="E872">
        <f>INDEX(FactorTable!$B$2:$Y$301, MATCH(ROUND(MIN(300,MAX(1,D872)),0), FactorTable!$A$2:$A$301,0), Skills!L20+1)</f>
        <v/>
      </c>
      <c r="F872">
        <f>IF(Skills!M20=TRUE,(Skills!K20/10)*(E872/1000),Skills!K20/10)+Skills!N20</f>
        <v/>
      </c>
      <c r="G872">
        <f>Calc!G20</f>
        <v/>
      </c>
      <c r="H872">
        <f>Calc!H20</f>
        <v/>
      </c>
      <c r="I872">
        <f>IF(Skills!T20&lt;&gt;"",1+(Skills!T20/10)*($Z$3/1000)/100,1)</f>
        <v/>
      </c>
      <c r="J872" t="inlineStr"/>
      <c r="K872" t="inlineStr"/>
      <c r="L872" t="inlineStr"/>
      <c r="M872" t="inlineStr"/>
      <c r="N872" t="inlineStr"/>
      <c r="O872" t="n">
        <v>0</v>
      </c>
      <c r="P872">
        <f>IF(B890=0,0,O872/B890)</f>
        <v/>
      </c>
      <c r="S872" t="n">
        <v>0</v>
      </c>
      <c r="V872">
        <f>IFERROR(1/IF(Inputs!$B$4="pvp",15,MAX(0.1,Skills!D20-IF(Skills!E20=TRUE,Inputs!$B$31,0))),0)</f>
        <v/>
      </c>
    </row>
    <row r="873">
      <c r="A873">
        <f>Skills!A21</f>
        <v/>
      </c>
      <c r="B873">
        <f>Skills!B21</f>
        <v/>
      </c>
      <c r="C873">
        <f>Inputs!$B$3&gt;=43</f>
        <v/>
      </c>
      <c r="D873">
        <f>IF(Skills!C21=1,60+Inputs!$B$24+Inputs!$B$28,IF(Skills!C21=2,90+Inputs!$B$25+Inputs!$B$28,IF(Skills!C21=3,120+Inputs!$B$26+Inputs!$B$28,MAX(0,(Inputs!$B$3-100)*3)+Inputs!$B$27+Inputs!$B$28)))</f>
        <v/>
      </c>
      <c r="E873">
        <f>INDEX(FactorTable!$B$2:$Y$301, MATCH(ROUND(MIN(300,MAX(1,D873)),0), FactorTable!$A$2:$A$301,0), Skills!L21+1)</f>
        <v/>
      </c>
      <c r="F873">
        <f>IF(Skills!M21=TRUE,(Skills!K21/10)*(E873/1000),Skills!K21/10)+Skills!N21</f>
        <v/>
      </c>
      <c r="G873">
        <f>Calc!G21</f>
        <v/>
      </c>
      <c r="H873">
        <f>Calc!H21</f>
        <v/>
      </c>
      <c r="I873">
        <f>IF(Skills!T21&lt;&gt;"",1+(Skills!T21/10)*($Z$3/1000)/100,1)</f>
        <v/>
      </c>
      <c r="J873" t="inlineStr"/>
      <c r="K873" t="inlineStr"/>
      <c r="L873" t="inlineStr"/>
      <c r="M873" t="inlineStr"/>
      <c r="N873" t="inlineStr"/>
      <c r="O873" t="n">
        <v>0</v>
      </c>
      <c r="P873">
        <f>IF(B890=0,0,O873/B890)</f>
        <v/>
      </c>
      <c r="S873" t="n">
        <v>0</v>
      </c>
      <c r="V873">
        <f>IFERROR(1/IF(Inputs!$B$4="pvp",15,MAX(0.1,Skills!D21-IF(Skills!E21=TRUE,Inputs!$B$31,0))),0)</f>
        <v/>
      </c>
    </row>
    <row r="874">
      <c r="A874">
        <f>Skills!A22</f>
        <v/>
      </c>
      <c r="B874">
        <f>Skills!B22</f>
        <v/>
      </c>
      <c r="C874">
        <f>Inputs!$B$3&gt;=50</f>
        <v/>
      </c>
      <c r="D874">
        <f>IF(Skills!C22=1,60+Inputs!$B$24+Inputs!$B$28,IF(Skills!C22=2,90+Inputs!$B$25+Inputs!$B$28,IF(Skills!C22=3,120+Inputs!$B$26+Inputs!$B$28,MAX(0,(Inputs!$B$3-100)*3)+Inputs!$B$27+Inputs!$B$28)))</f>
        <v/>
      </c>
      <c r="E874">
        <f>INDEX(FactorTable!$B$2:$Y$301, MATCH(ROUND(MIN(300,MAX(1,D874)),0), FactorTable!$A$2:$A$301,0), Skills!L22+1)</f>
        <v/>
      </c>
      <c r="F874">
        <f>IF(Skills!M22=TRUE,(Skills!K22/10)*(E874/1000),Skills!K22/10)+Skills!N22</f>
        <v/>
      </c>
      <c r="G874">
        <f>Calc!G22</f>
        <v/>
      </c>
      <c r="H874">
        <f>Calc!H22</f>
        <v/>
      </c>
      <c r="I874">
        <f>IF(Skills!T22&lt;&gt;"",1+(Skills!T22/10)*($Z$3/1000)/100,1)</f>
        <v/>
      </c>
      <c r="J874" t="inlineStr"/>
      <c r="K874" t="inlineStr"/>
      <c r="L874" t="inlineStr"/>
      <c r="M874" t="inlineStr"/>
      <c r="N874" t="inlineStr"/>
      <c r="O874" t="n">
        <v>0</v>
      </c>
      <c r="P874">
        <f>IF(B890=0,0,O874/B890)</f>
        <v/>
      </c>
      <c r="S874" t="n">
        <v>0</v>
      </c>
      <c r="V874">
        <f>IFERROR(1/IF(Inputs!$B$4="pvp",15,MAX(0.1,Skills!D22-IF(Skills!E22=TRUE,Inputs!$B$31,0))),0)</f>
        <v/>
      </c>
    </row>
    <row r="875">
      <c r="A875">
        <f>Skills!A23</f>
        <v/>
      </c>
      <c r="B875">
        <f>Skills!B23</f>
        <v/>
      </c>
      <c r="C875">
        <f>Inputs!$B$3&gt;=74</f>
        <v/>
      </c>
      <c r="D875">
        <f>IF(Skills!C23=1,60+Inputs!$B$24+Inputs!$B$28,IF(Skills!C23=2,90+Inputs!$B$25+Inputs!$B$28,IF(Skills!C23=3,120+Inputs!$B$26+Inputs!$B$28,MAX(0,(Inputs!$B$3-100)*3)+Inputs!$B$27+Inputs!$B$28)))</f>
        <v/>
      </c>
      <c r="E875">
        <f>INDEX(FactorTable!$B$2:$Y$301, MATCH(ROUND(MIN(300,MAX(1,D875)),0), FactorTable!$A$2:$A$301,0), Skills!L23+1)</f>
        <v/>
      </c>
      <c r="F875">
        <f>IF(Skills!M23=TRUE,(Skills!K23/10)*(E875/1000),Skills!K23/10)+Skills!N23</f>
        <v/>
      </c>
      <c r="G875">
        <f>Calc!G23</f>
        <v/>
      </c>
      <c r="H875">
        <f>Calc!H23</f>
        <v/>
      </c>
      <c r="I875">
        <f>IF(Skills!T23&lt;&gt;"",1+(Skills!T23/10)*($Z$3/1000)/100,1)</f>
        <v/>
      </c>
      <c r="J875" t="inlineStr"/>
      <c r="K875" t="inlineStr"/>
      <c r="L875" t="inlineStr"/>
      <c r="M875" t="inlineStr"/>
      <c r="N875" t="inlineStr"/>
      <c r="O875" t="n">
        <v>0</v>
      </c>
      <c r="P875">
        <f>IF(B890=0,0,O875/B890)</f>
        <v/>
      </c>
      <c r="S875" t="n">
        <v>0</v>
      </c>
      <c r="V875">
        <f>IFERROR(1/IF(Inputs!$B$4="pvp",15,MAX(0.1,Skills!D23-IF(Skills!E23=TRUE,Inputs!$B$31,0))),0)</f>
        <v/>
      </c>
    </row>
    <row r="876">
      <c r="A876">
        <f>Skills!A24</f>
        <v/>
      </c>
      <c r="B876">
        <f>Skills!B24</f>
        <v/>
      </c>
      <c r="C876">
        <f>Inputs!$B$3&gt;=74</f>
        <v/>
      </c>
      <c r="D876">
        <f>IF(Skills!C24=1,60+Inputs!$B$24+Inputs!$B$28,IF(Skills!C24=2,90+Inputs!$B$25+Inputs!$B$28,IF(Skills!C24=3,120+Inputs!$B$26+Inputs!$B$28,MAX(0,(Inputs!$B$3-100)*3)+Inputs!$B$27+Inputs!$B$28)))</f>
        <v/>
      </c>
      <c r="E876">
        <f>INDEX(FactorTable!$B$2:$Y$301, MATCH(ROUND(MIN(300,MAX(1,D876)),0), FactorTable!$A$2:$A$301,0), Skills!L24+1)</f>
        <v/>
      </c>
      <c r="F876">
        <f>IF(Skills!M24=TRUE,(Skills!K24/10)*(E876/1000),Skills!K24/10)+Skills!N24</f>
        <v/>
      </c>
      <c r="G876">
        <f>Calc!G24</f>
        <v/>
      </c>
      <c r="H876">
        <f>Calc!H24</f>
        <v/>
      </c>
      <c r="I876">
        <f>IF(Skills!T24&lt;&gt;"",1+(Skills!T24/10)*($Z$3/1000)/100,1)</f>
        <v/>
      </c>
      <c r="J876" t="inlineStr"/>
      <c r="K876" t="inlineStr"/>
      <c r="L876" t="inlineStr"/>
      <c r="M876" t="inlineStr"/>
      <c r="N876" t="inlineStr"/>
      <c r="O876" t="n">
        <v>0</v>
      </c>
      <c r="P876">
        <f>IF(B890=0,0,O876/B890)</f>
        <v/>
      </c>
      <c r="S876" t="n">
        <v>0</v>
      </c>
      <c r="V876">
        <f>IFERROR(1/IF(Inputs!$B$4="pvp",15,MAX(0.1,Skills!D24-IF(Skills!E24=TRUE,Inputs!$B$31,0))),0)</f>
        <v/>
      </c>
    </row>
    <row r="877">
      <c r="A877">
        <f>Skills!A25</f>
        <v/>
      </c>
      <c r="B877">
        <f>Skills!B25</f>
        <v/>
      </c>
      <c r="C877">
        <f>Inputs!$B$3&gt;=117</f>
        <v/>
      </c>
      <c r="D877">
        <f>IF(Skills!C25=1,60+Inputs!$B$24+Inputs!$B$28,IF(Skills!C25=2,90+Inputs!$B$25+Inputs!$B$28,IF(Skills!C25=3,120+Inputs!$B$26+Inputs!$B$28,MAX(0,(Inputs!$B$3-100)*3)+Inputs!$B$27+Inputs!$B$28)))</f>
        <v/>
      </c>
      <c r="E877">
        <f>INDEX(FactorTable!$B$2:$Y$301, MATCH(ROUND(MIN(300,MAX(1,D877)),0), FactorTable!$A$2:$A$301,0), Skills!L25+1)</f>
        <v/>
      </c>
      <c r="F877">
        <f>IF(Skills!M25=TRUE,(Skills!K25/10)*(E877/1000),Skills!K25/10)+Skills!N25</f>
        <v/>
      </c>
      <c r="G877">
        <f>Calc!G25</f>
        <v/>
      </c>
      <c r="H877">
        <f>Calc!H25</f>
        <v/>
      </c>
      <c r="I877">
        <f>IF(Skills!T25&lt;&gt;"",1+(Skills!T25/10)*($Z$3/1000)/100,1)</f>
        <v/>
      </c>
      <c r="J877" t="inlineStr"/>
      <c r="K877" t="inlineStr"/>
      <c r="L877" t="inlineStr"/>
      <c r="M877" t="inlineStr"/>
      <c r="N877" t="inlineStr"/>
      <c r="O877" t="n">
        <v>0</v>
      </c>
      <c r="P877">
        <f>IF(B890=0,0,O877/B890)</f>
        <v/>
      </c>
      <c r="S877" t="n">
        <v>0</v>
      </c>
      <c r="V877">
        <f>IFERROR(1/IF(Inputs!$B$4="pvp",15,MAX(0.1,Skills!D25-IF(Skills!E25=TRUE,Inputs!$B$31,0))),0)</f>
        <v/>
      </c>
    </row>
    <row r="878">
      <c r="A878">
        <f>Skills!A26</f>
        <v/>
      </c>
      <c r="B878">
        <f>Skills!B26</f>
        <v/>
      </c>
      <c r="C878">
        <f>Inputs!$B$3&gt;=120</f>
        <v/>
      </c>
      <c r="D878">
        <f>IF(Skills!C26=1,60+Inputs!$B$24+Inputs!$B$28,IF(Skills!C26=2,90+Inputs!$B$25+Inputs!$B$28,IF(Skills!C26=3,120+Inputs!$B$26+Inputs!$B$28,MAX(0,(Inputs!$B$3-100)*3)+Inputs!$B$27+Inputs!$B$28)))</f>
        <v/>
      </c>
      <c r="E878">
        <f>INDEX(FactorTable!$B$2:$Y$301, MATCH(ROUND(MIN(300,MAX(1,D878)),0), FactorTable!$A$2:$A$301,0), Skills!L26+1)</f>
        <v/>
      </c>
      <c r="F878">
        <f>IF(Skills!M26=TRUE,(Skills!K26/10)*(E878/1000),Skills!K26/10)+Skills!N26</f>
        <v/>
      </c>
      <c r="G878">
        <f>Calc!G26</f>
        <v/>
      </c>
      <c r="H878">
        <f>Calc!H26</f>
        <v/>
      </c>
      <c r="I878">
        <f>IF(Skills!T26&lt;&gt;"",1+(Skills!T26/10)*($Z$3/1000)/100,1)</f>
        <v/>
      </c>
      <c r="J878" t="inlineStr"/>
      <c r="K878" t="inlineStr"/>
      <c r="L878" t="inlineStr"/>
      <c r="M878" t="inlineStr"/>
      <c r="N878" t="inlineStr"/>
      <c r="O878" t="n">
        <v>0</v>
      </c>
      <c r="P878">
        <f>IF(B890=0,0,O878/B890)</f>
        <v/>
      </c>
      <c r="S878" t="n">
        <v>0</v>
      </c>
      <c r="V878">
        <f>IFERROR(1/IF(Inputs!$B$4="pvp",15,MAX(0.1,Skills!D26-IF(Skills!E26=TRUE,Inputs!$B$31,0))),0)</f>
        <v/>
      </c>
    </row>
    <row r="880">
      <c r="A880" t="inlineStr">
        <is>
          <t>Average Buff Multiplier</t>
        </is>
      </c>
      <c r="B880">
        <f>(1+(IF(C855=TRUE,F855*IF(AND(Inputs!$B$4&lt;&gt;"pvp",Inputs!$B$35&gt;0),(((S855-1)*(Skills!S3*(1+(Inputs!$B$33+IF(Inputs!$B$3&gt;=117,F877,0))/100))+MIN((Skills!S3*(1+(Inputs!$B$33+IF(Inputs!$B$3&gt;=117,F877,0))/100)),MAX(0,Inputs!$B$35-((S855-1)*Skills!D3))))/Inputs!$B$35),IF(Inputs!$B$4="pvp",MIN((Skills!S3*(1+(Inputs!$B$33+IF(Inputs!$B$3&gt;=117,F877,0))/100)),15)/15,(Skills!S3*(1+(Inputs!$B$33+IF(Inputs!$B$3&gt;=117,F877,0))/100))/Skills!D3)),0)+IF(C856=TRUE,F856*IF(AND(Inputs!$B$4&lt;&gt;"pvp",Inputs!$B$35&gt;0),(((S856-1)*(Skills!S4*(1+(Inputs!$B$33+IF(Inputs!$B$3&gt;=117,F877,0))/100))+MIN((Skills!S4*(1+(Inputs!$B$33+IF(Inputs!$B$3&gt;=117,F877,0))/100)),MAX(0,Inputs!$B$35-((S856-1)*Skills!D4))))/Inputs!$B$35),IF(Inputs!$B$4="pvp",MIN((Skills!S4*(1+(Inputs!$B$33+IF(Inputs!$B$3&gt;=117,F877,0))/100)),15)/15,(Skills!S4*(1+(Inputs!$B$33+IF(Inputs!$B$3&gt;=117,F877,0))/100))/Skills!D4)),0)+IF(C857=TRUE,F857*IF(AND(Inputs!$B$4&lt;&gt;"pvp",Inputs!$B$35&gt;0),(((S857-1)*(Skills!S5*(1+(Inputs!$B$33+IF(Inputs!$B$3&gt;=117,F877,0))/100))+MIN((Skills!S5*(1+(Inputs!$B$33+IF(Inputs!$B$3&gt;=117,F877,0))/100)),MAX(0,Inputs!$B$35-((S857-1)*Skills!D5))))/Inputs!$B$35),IF(Inputs!$B$4="pvp",MIN((Skills!S5*(1+(Inputs!$B$33+IF(Inputs!$B$3&gt;=117,F877,0))/100)),15)/15,(Skills!S5*(1+(Inputs!$B$33+IF(Inputs!$B$3&gt;=117,F877,0))/100))/Skills!D5)),0)+IF(C863=TRUE,F863*IF(AND(Inputs!$B$4&lt;&gt;"pvp",Inputs!$B$35&gt;0),(((S863-1)*(Skills!S11*(1+(Inputs!$B$33+IF(Inputs!$B$3&gt;=117,F877,0))/100))+MIN((Skills!S11*(1+(Inputs!$B$33+IF(Inputs!$B$3&gt;=117,F877,0))/100)),MAX(0,Inputs!$B$35-((S863-1)*Skills!D11))))/Inputs!$B$35),IF(Inputs!$B$4="pvp",MIN((Skills!S11*(1+(Inputs!$B$33+IF(Inputs!$B$3&gt;=117,F877,0))/100)),15)/15,(Skills!S11*(1+(Inputs!$B$33+IF(Inputs!$B$3&gt;=117,F877,0))/100))/Skills!D11)),0))/100)*IF(C865=TRUE,(1+F865*IF(AND(Inputs!$B$4&lt;&gt;"pvp",Inputs!$B$35&gt;0),(((S865-1)*(Skills!S13*(1+(Inputs!$B$33+IF(Inputs!$B$3&gt;=117,F877,0))/100))+MIN((Skills!S13*(1+(Inputs!$B$33+IF(Inputs!$B$3&gt;=117,F877,0))/100)),MAX(0,Inputs!$B$35-((S865-1)*Skills!D13))))/Inputs!$B$35),IF(Inputs!$B$4="pvp",MIN((Skills!S13*(1+(Inputs!$B$33+IF(Inputs!$B$3&gt;=117,F877,0))/100)),15)/15,(Skills!S13*(1+(Inputs!$B$33+IF(Inputs!$B$3&gt;=117,F877,0))/100))/Skills!D13))/100),1)*IF(C870=TRUE,(1+F870*IF(AND(Inputs!$B$4&lt;&gt;"pvp",Inputs!$B$35&gt;0),(((S870-1)*(Skills!S18*(1+(Inputs!$B$33+IF(Inputs!$B$3&gt;=117,F877,0))/100))+MIN((Skills!S18*(1+(Inputs!$B$33+IF(Inputs!$B$3&gt;=117,F877,0))/100)),MAX(0,Inputs!$B$35-((S870-1)*Skills!D18))))/Inputs!$B$35),IF(Inputs!$B$4="pvp",MIN((Skills!S18*(1+(Inputs!$B$33+IF(Inputs!$B$3&gt;=117,F877,0))/100)),15)/15,(Skills!S18*(1+(Inputs!$B$33+IF(Inputs!$B$3&gt;=117,F877,0))/100))/Skills!D18))/100),1)</f>
        <v/>
      </c>
    </row>
    <row r="881">
      <c r="A881" t="inlineStr">
        <is>
          <t>Monster Damage Taken Bonus % (Holy Fountain)</t>
        </is>
      </c>
      <c r="B881">
        <f>IF(Inputs!$B$3&gt;=68,20*IF(Inputs!$B$4="pvp",MIN((15*(1+(Inputs!$B$33+IF(Inputs!$B$3&gt;=117,F877,0))/100)),15)/15,(15*(1+(Inputs!$B$33+IF(Inputs!$B$3&gt;=117,F877,0))/100))/Skills!D10),0)</f>
        <v/>
      </c>
    </row>
    <row r="882">
      <c r="A882" t="inlineStr">
        <is>
          <t>Normal Monster Damage Bonus % (Holy Symbol)</t>
        </is>
      </c>
      <c r="B882">
        <f>IF(C864=TRUE,F864*IF(AND(Inputs!$B$4&lt;&gt;"pvp",Inputs!$B$35&gt;0),(((S864-1)*(Skills!S12*(1+(Inputs!$B$33+IF(Inputs!$B$3&gt;=117,F877,0))/100))+MIN((Skills!S12*(1+(Inputs!$B$33+IF(Inputs!$B$3&gt;=117,F877,0))/100)),MAX(0,Inputs!$B$35-((S864-1)*Skills!D12))))/Inputs!$B$35),IF(Inputs!$B$4="pvp",MIN((Skills!S12*(1+(Inputs!$B$33+IF(Inputs!$B$3&gt;=117,F877,0))/100)),15)/15,(Skills!S12*(1+(Inputs!$B$33+IF(Inputs!$B$3&gt;=117,F877,0))/100))/Skills!D12)),0)</f>
        <v/>
      </c>
    </row>
    <row r="883">
      <c r="A883" t="inlineStr">
        <is>
          <t>Damage % Bonus (Holy Symbol - Damage Boost)</t>
        </is>
      </c>
      <c r="B883">
        <f>Skills!O12</f>
        <v/>
      </c>
    </row>
    <row r="884">
      <c r="A884" t="inlineStr">
        <is>
          <t>Crit Damage % Bonus (Blood of the Divine)</t>
        </is>
      </c>
      <c r="B884">
        <f>4*IF(C871=TRUE,F871,0)</f>
        <v/>
      </c>
    </row>
    <row r="885">
      <c r="A885" t="inlineStr">
        <is>
          <t>Attack Speed Bonus %</t>
        </is>
      </c>
      <c r="B885">
        <f>IF(C868=TRUE,F868+(F872-Calc!F20),0)+IF(Inputs!$B$3&gt;=134,15,0)</f>
        <v/>
      </c>
    </row>
    <row r="886">
      <c r="A886" t="inlineStr">
        <is>
          <t>Actions Per Second</t>
        </is>
      </c>
      <c r="B886">
        <f>1+MIN(150,150*(1-(1-Inputs!$B$10/150)*(1-B885/150)))/100</f>
        <v/>
      </c>
    </row>
    <row r="887">
      <c r="A887" t="inlineStr">
        <is>
          <t>Skill + Buff Cast Rate</t>
        </is>
      </c>
      <c r="B887">
        <f>IF(AND(Inputs!$B$4&lt;&gt;"pvp",Inputs!$B$35&gt;0),SUMPRODUCT((Skills!E2:E26=TRUE)*(C854:C878=TRUE)*S854:S878)/Inputs!$B$35,SUMPRODUCT((Skills!E2:E26=TRUE)*(C854:C878=TRUE)*V854:V878))</f>
        <v/>
      </c>
    </row>
    <row r="888">
      <c r="A888" t="inlineStr">
        <is>
          <t>Big Bang Casts Per Second</t>
        </is>
      </c>
      <c r="B888">
        <f>MAX(0,B886-B887)</f>
        <v/>
      </c>
    </row>
    <row r="890">
      <c r="A890" s="5" t="inlineStr">
        <is>
          <t>TOTAL DPS</t>
        </is>
      </c>
      <c r="B890" s="5">
        <f>SUM(O854:O878)</f>
        <v/>
      </c>
    </row>
    <row r="893">
      <c r="A893" s="5" t="inlineStr">
        <is>
          <t>Stat: ATTACK %</t>
        </is>
      </c>
    </row>
    <row r="894">
      <c r="A894" s="8" t="inlineStr">
        <is>
          <t>Key</t>
        </is>
      </c>
      <c r="B894" s="8" t="inlineStr">
        <is>
          <t>Name</t>
        </is>
      </c>
      <c r="C894" s="8" t="inlineStr">
        <is>
          <t>Unlocked</t>
        </is>
      </c>
      <c r="D894" s="8" t="inlineStr">
        <is>
          <t>InputLevel</t>
        </is>
      </c>
      <c r="E894" s="8" t="inlineStr">
        <is>
          <t>Factor</t>
        </is>
      </c>
      <c r="F894" s="8" t="inlineStr">
        <is>
          <t>CoefficientPercent</t>
        </is>
      </c>
      <c r="G894" s="8" t="inlineStr">
        <is>
          <t>EffectiveHits</t>
        </is>
      </c>
      <c r="H894" s="8" t="inlineStr">
        <is>
          <t>ProcProbability</t>
        </is>
      </c>
      <c r="I894" s="8" t="inlineStr">
        <is>
          <t>MapleHeroMultiplier</t>
        </is>
      </c>
      <c r="J894" s="8" t="inlineStr">
        <is>
          <t>BaseDamage</t>
        </is>
      </c>
      <c r="K894" s="8" t="inlineStr">
        <is>
          <t>BaseHitDamage</t>
        </is>
      </c>
      <c r="L894" s="8" t="inlineStr">
        <is>
          <t>NonCritAvg</t>
        </is>
      </c>
      <c r="M894" s="8" t="inlineStr">
        <is>
          <t>CritAvg</t>
        </is>
      </c>
      <c r="N894" s="8" t="inlineStr">
        <is>
          <t>ExpectedDamage(perHit)</t>
        </is>
      </c>
      <c r="O894" s="8" t="inlineStr">
        <is>
          <t>DPS</t>
        </is>
      </c>
      <c r="P894" s="8" t="inlineStr">
        <is>
          <t>% of Total</t>
        </is>
      </c>
      <c r="R894" t="inlineStr">
        <is>
          <t>helpers</t>
        </is>
      </c>
    </row>
    <row r="895">
      <c r="A895">
        <f>Skills!A2</f>
        <v/>
      </c>
      <c r="B895">
        <f>Skills!B2</f>
        <v/>
      </c>
      <c r="C895">
        <f>Inputs!$B$3&gt;=100</f>
        <v/>
      </c>
      <c r="D895" t="inlineStr"/>
      <c r="E895" t="inlineStr"/>
      <c r="F895">
        <f>T897+Skills!N2</f>
        <v/>
      </c>
      <c r="G895">
        <f>Calc!G2</f>
        <v/>
      </c>
      <c r="H895">
        <f>Calc!H2</f>
        <v/>
      </c>
      <c r="I895">
        <f>IF(Skills!T2&lt;&gt;"",1+(Skills!T2/10)*($Z$3/1000)/100,1)</f>
        <v/>
      </c>
      <c r="J895">
        <f>((Inputs!$B$5*(1+(Inputs!$B$6+1)/100))+((Inputs!$B$11*(1+Inputs!$B$12/100))-(Inputs!$B$11*(1+Inputs!$B$12/100)))*(1+(Inputs!$B$6+1)/100))*(F895/100)</f>
        <v/>
      </c>
      <c r="K895">
        <f>J895*(1+((Inputs!$B$11*(1+Inputs!$B$12/100))*0.01+Inputs!$B$13*0.0025)/100)*(1+(Inputs!$B$14+B924)/100)*(1+IF(Inputs!$B$4="pvp",0,(1-Summary!$B$48)*(Inputs!$B$19+Skills!O2+B922)+Summary!$B$48*(Inputs!$B$20+Skills!P2+B923))/100)*(1+Inputs!$B$15/100)*(5000/(6000+Inputs!$B$7*(1-Inputs!$B$18/100)))*(1+Inputs!$B$23/100)*(1+IF(C910=TRUE,F910,0)/100)*(1+IF(C912=TRUE,F912,0)/100)*(1+IF(Skills!A2="TRIUMPH_FEATHER",IF(C908=TRUE,F908,0),0)/100)*(1+IF(C919=TRUE,F919,0)/100)^5*(1+(IF(Skills!A2="BIG_BANG",Inputs!$B$16,Inputs!$B$17))/100)*(B921*I895)</f>
        <v/>
      </c>
      <c r="L895">
        <f>K895*(MIN(Inputs!$B$21+(F914-Calc!F21),Inputs!$B$22)/100+Inputs!$B$22/100)/2</f>
        <v/>
      </c>
      <c r="M895">
        <f>L895*(1+(Inputs!$B$9+B925+(F917-Calc!F24))/100)</f>
        <v/>
      </c>
      <c r="N895">
        <f>L895*(1-MIN(Inputs!$B$8+((F916-Calc!F23)+(F915-Calc!F22)),100)/100)+M895*(MIN(Inputs!$B$8+((F916-Calc!F23)+(F915-Calc!F22)),100)/100)</f>
        <v/>
      </c>
      <c r="O895">
        <f>IF(C895,Skills!F2*N895*B929*IF(Inputs!$B$4="pvp",1,(1-Summary!$B$48)*(1)+Summary!$B$48*(MIN((6+Inputs!$B$32),Inputs!$B$37))),0)</f>
        <v/>
      </c>
      <c r="P895">
        <f>IF(B931=0,0,O895/B931)</f>
        <v/>
      </c>
      <c r="S895" t="n">
        <v>0</v>
      </c>
      <c r="T895">
        <f>MAX(0,(Inputs!$B$3-100)*3)+Inputs!$B$27+Inputs!$B$28</f>
        <v/>
      </c>
      <c r="V895">
        <f>IFERROR(1/IF(Inputs!$B$4="pvp",15,MAX(0.1,Skills!D2-IF(Skills!E2=TRUE,Inputs!$B$31,0))),0)</f>
        <v/>
      </c>
    </row>
    <row r="896">
      <c r="A896">
        <f>Skills!A3</f>
        <v/>
      </c>
      <c r="B896">
        <f>Skills!B3</f>
        <v/>
      </c>
      <c r="C896">
        <f>Inputs!$B$3&gt;=15</f>
        <v/>
      </c>
      <c r="D896">
        <f>IF(Skills!C3=1,60+Inputs!$B$24+Inputs!$B$28,IF(Skills!C3=2,90+Inputs!$B$25+Inputs!$B$28,IF(Skills!C3=3,120+Inputs!$B$26+Inputs!$B$28,MAX(0,(Inputs!$B$3-100)*3)+Inputs!$B$27+Inputs!$B$28)))</f>
        <v/>
      </c>
      <c r="E896">
        <f>INDEX(FactorTable!$B$2:$Y$301, MATCH(ROUND(MIN(300,MAX(1,D896)),0), FactorTable!$A$2:$A$301,0), Skills!L3+1)</f>
        <v/>
      </c>
      <c r="F896">
        <f>IF(Skills!M3=TRUE,(Skills!K3/10)*(E896/1000),Skills!K3/10)+Skills!N3</f>
        <v/>
      </c>
      <c r="G896">
        <f>Calc!G3</f>
        <v/>
      </c>
      <c r="H896">
        <f>Calc!H3</f>
        <v/>
      </c>
      <c r="I896">
        <f>IF(Skills!T3&lt;&gt;"",1+(Skills!T3/10)*($Z$3/1000)/100,1)</f>
        <v/>
      </c>
      <c r="J896" t="inlineStr"/>
      <c r="K896" t="inlineStr"/>
      <c r="L896" t="inlineStr"/>
      <c r="M896" t="inlineStr"/>
      <c r="N896" t="inlineStr"/>
      <c r="O896" t="n">
        <v>0</v>
      </c>
      <c r="P896">
        <f>IF(B931=0,0,O896/B931)</f>
        <v/>
      </c>
      <c r="S896">
        <f>IF(AND(Inputs!$B$4&lt;&gt;"pvp",Inputs!$B$35&gt;0),(INT(Inputs!$B$35/IF(Inputs!$B$4="pvp",15,MAX(0.1,Skills!D3-IF(Skills!E3=TRUE,Inputs!$B$31,0))))+1),0)</f>
        <v/>
      </c>
      <c r="T896">
        <f>INDEX(FactorTable!$B$2:$Y$301, MATCH(ROUND(MIN(300,MAX(1,T895)),0), FactorTable!$A$2:$A$301,0), 22)</f>
        <v/>
      </c>
      <c r="V896">
        <f>IFERROR(1/IF(Inputs!$B$4="pvp",15,MAX(0.1,Skills!D3-IF(Skills!E3=TRUE,Inputs!$B$31,0))),0)</f>
        <v/>
      </c>
    </row>
    <row r="897">
      <c r="A897">
        <f>Skills!A4</f>
        <v/>
      </c>
      <c r="B897">
        <f>Skills!B4</f>
        <v/>
      </c>
      <c r="C897">
        <f>Inputs!$B$3&gt;=38</f>
        <v/>
      </c>
      <c r="D897">
        <f>IF(Skills!C4=1,60+Inputs!$B$24+Inputs!$B$28,IF(Skills!C4=2,90+Inputs!$B$25+Inputs!$B$28,IF(Skills!C4=3,120+Inputs!$B$26+Inputs!$B$28,MAX(0,(Inputs!$B$3-100)*3)+Inputs!$B$27+Inputs!$B$28)))</f>
        <v/>
      </c>
      <c r="E897">
        <f>INDEX(FactorTable!$B$2:$Y$301, MATCH(ROUND(MIN(300,MAX(1,D897)),0), FactorTable!$A$2:$A$301,0), Skills!L4+1)</f>
        <v/>
      </c>
      <c r="F897">
        <f>IF(Skills!M4=TRUE,(Skills!K4/10)*(E897/1000),Skills!K4/10)+Skills!N4</f>
        <v/>
      </c>
      <c r="G897">
        <f>Calc!G4</f>
        <v/>
      </c>
      <c r="H897">
        <f>Calc!H4</f>
        <v/>
      </c>
      <c r="I897">
        <f>IF(Skills!T4&lt;&gt;"",1+(Skills!T4/10)*($Z$3/1000)/100,1)</f>
        <v/>
      </c>
      <c r="J897" t="inlineStr"/>
      <c r="K897" t="inlineStr"/>
      <c r="L897" t="inlineStr"/>
      <c r="M897" t="inlineStr"/>
      <c r="N897" t="inlineStr"/>
      <c r="O897" t="n">
        <v>0</v>
      </c>
      <c r="P897">
        <f>IF(B931=0,0,O897/B931)</f>
        <v/>
      </c>
      <c r="S897">
        <f>IF(AND(Inputs!$B$4&lt;&gt;"pvp",Inputs!$B$35&gt;0),(INT(Inputs!$B$35/IF(Inputs!$B$4="pvp",15,MAX(0.1,Skills!D4-IF(Skills!E4=TRUE,Inputs!$B$31,0))))+1),0)</f>
        <v/>
      </c>
      <c r="T897">
        <f>290*T896/1000</f>
        <v/>
      </c>
      <c r="V897">
        <f>IFERROR(1/IF(Inputs!$B$4="pvp",15,MAX(0.1,Skills!D4-IF(Skills!E4=TRUE,Inputs!$B$31,0))),0)</f>
        <v/>
      </c>
    </row>
    <row r="898">
      <c r="A898">
        <f>Skills!A5</f>
        <v/>
      </c>
      <c r="B898">
        <f>Skills!B5</f>
        <v/>
      </c>
      <c r="C898">
        <f>Inputs!$B$3&gt;=40</f>
        <v/>
      </c>
      <c r="D898">
        <f>IF(Skills!C5=1,60+Inputs!$B$24+Inputs!$B$28,IF(Skills!C5=2,90+Inputs!$B$25+Inputs!$B$28,IF(Skills!C5=3,120+Inputs!$B$26+Inputs!$B$28,MAX(0,(Inputs!$B$3-100)*3)+Inputs!$B$27+Inputs!$B$28)))</f>
        <v/>
      </c>
      <c r="E898">
        <f>INDEX(FactorTable!$B$2:$Y$301, MATCH(ROUND(MIN(300,MAX(1,D898)),0), FactorTable!$A$2:$A$301,0), Skills!L5+1)</f>
        <v/>
      </c>
      <c r="F898">
        <f>IF(Skills!M5=TRUE,(Skills!K5/10)*(E898/1000),Skills!K5/10)+Skills!N5</f>
        <v/>
      </c>
      <c r="G898">
        <f>Calc!G5</f>
        <v/>
      </c>
      <c r="H898">
        <f>Calc!H5</f>
        <v/>
      </c>
      <c r="I898">
        <f>IF(Skills!T5&lt;&gt;"",1+(Skills!T5/10)*($Z$3/1000)/100,1)</f>
        <v/>
      </c>
      <c r="J898" t="inlineStr"/>
      <c r="K898" t="inlineStr"/>
      <c r="L898" t="inlineStr"/>
      <c r="M898" t="inlineStr"/>
      <c r="N898" t="inlineStr"/>
      <c r="O898" t="n">
        <v>0</v>
      </c>
      <c r="P898">
        <f>IF(B931=0,0,O898/B931)</f>
        <v/>
      </c>
      <c r="S898">
        <f>IF(AND(Inputs!$B$4&lt;&gt;"pvp",Inputs!$B$35&gt;0),(INT(Inputs!$B$35/IF(Inputs!$B$4="pvp",15,MAX(0.1,Skills!D5-IF(Skills!E5=TRUE,Inputs!$B$31,0))))+1),0)</f>
        <v/>
      </c>
      <c r="V898">
        <f>IFERROR(1/IF(Inputs!$B$4="pvp",15,MAX(0.1,Skills!D5-IF(Skills!E5=TRUE,Inputs!$B$31,0))),0)</f>
        <v/>
      </c>
    </row>
    <row r="899">
      <c r="A899">
        <f>Skills!A6</f>
        <v/>
      </c>
      <c r="B899">
        <f>Skills!B6</f>
        <v/>
      </c>
      <c r="C899">
        <f>Inputs!$B$3&gt;=103</f>
        <v/>
      </c>
      <c r="D899">
        <f>IF(Skills!C6=1,60+Inputs!$B$24+Inputs!$B$28,IF(Skills!C6=2,90+Inputs!$B$25+Inputs!$B$28,IF(Skills!C6=3,120+Inputs!$B$26+Inputs!$B$28,MAX(0,(Inputs!$B$3-100)*3)+Inputs!$B$27+Inputs!$B$28)))</f>
        <v/>
      </c>
      <c r="E899">
        <f>INDEX(FactorTable!$B$2:$Y$301, MATCH(ROUND(MIN(300,MAX(1,D899)),0), FactorTable!$A$2:$A$301,0), Skills!L6+1)</f>
        <v/>
      </c>
      <c r="F899">
        <f>IF(Skills!M6=TRUE,(Skills!K6/10)*(E899/1000),Skills!K6/10)+Skills!N6</f>
        <v/>
      </c>
      <c r="G899">
        <f>Calc!G6</f>
        <v/>
      </c>
      <c r="H899">
        <f>Calc!H6</f>
        <v/>
      </c>
      <c r="I899">
        <f>IF(Skills!T6&lt;&gt;"",1+(Skills!T6/10)*($Z$3/1000)/100,1)</f>
        <v/>
      </c>
      <c r="J899">
        <f>((Inputs!$B$5*(1+(Inputs!$B$6+1)/100))+((Inputs!$B$11*(1+Inputs!$B$12/100))-(Inputs!$B$11*(1+Inputs!$B$12/100)))*(1+(Inputs!$B$6+1)/100))*(F899/100)</f>
        <v/>
      </c>
      <c r="K899">
        <f>J899*(1+((Inputs!$B$11*(1+Inputs!$B$12/100))*0.01+Inputs!$B$13*0.0025)/100)*(1+(Inputs!$B$14+B924)/100)*(1+IF(Inputs!$B$4="pvp",0,(1-Summary!$B$48)*(Inputs!$B$19+Skills!O6+B922)+Summary!$B$48*(Inputs!$B$20+Skills!P6+B923))/100)*(1+Inputs!$B$15/100)*(5000/(6000+Inputs!$B$7*(1-Inputs!$B$18/100)))*(1+Inputs!$B$23/100)*(1+IF(C910=TRUE,F910,0)/100)*(1+IF(C912=TRUE,F912,0)/100)*(1+IF(Skills!A6="TRIUMPH_FEATHER",IF(C908=TRUE,F908,0),0)/100)*(1+IF(C919=TRUE,F919,0)/100)^5*(1+(IF(Skills!A6="BIG_BANG",Inputs!$B$16,Inputs!$B$17))/100)*(B921*I899)</f>
        <v/>
      </c>
      <c r="L899">
        <f>K899*(MIN(Inputs!$B$21+(F914-Calc!F21),Inputs!$B$22)/100+Inputs!$B$22/100)/2</f>
        <v/>
      </c>
      <c r="M899">
        <f>L899*(1+(Inputs!$B$9+B925+(F917-Calc!F24))/100)</f>
        <v/>
      </c>
      <c r="N899">
        <f>L899*(1-MIN(Inputs!$B$8+((F916-Calc!F23)+(F915-Calc!F22)),100)/100)+M899*(MIN(Inputs!$B$8+((F916-Calc!F23)+(F915-Calc!F22)),100)/100)</f>
        <v/>
      </c>
      <c r="O899">
        <f>IF(C899,H899*N899*IF(AND(Inputs!$B$4&lt;&gt;"pvp",Inputs!$B$35&gt;0),((Skills!F6*((S899-1)*IF(Skills!G6&gt;0,Skills!H6/Skills!G6,1)+IF(Skills!G6&gt;0,MIN(Skills!H6,MAX(0,Inputs!$B$35-((S899-1)*IF(Inputs!$B$4="pvp",15,MAX(0.1,Skills!D6-IF(Skills!E6=TRUE,Inputs!$B$31,0))))))/Skills!G6,1)))/Inputs!$B$35),G899*V899)*IF(Inputs!$B$4="pvp",1,(1-Summary!$B$48)*(1)+Summary!$B$48*(MIN(Skills!Q6,Inputs!$B$37))),0)</f>
        <v/>
      </c>
      <c r="P899">
        <f>IF(B931=0,0,O899/B931)</f>
        <v/>
      </c>
      <c r="S899">
        <f>IF(AND(Inputs!$B$4&lt;&gt;"pvp",Inputs!$B$35&gt;0),(INT(Inputs!$B$35/IF(Inputs!$B$4="pvp",15,MAX(0.1,Skills!D6-IF(Skills!E6=TRUE,Inputs!$B$31,0))))+1),0)</f>
        <v/>
      </c>
      <c r="V899">
        <f>IFERROR(1/IF(Inputs!$B$4="pvp",15,MAX(0.1,Skills!D6-IF(Skills!E6=TRUE,Inputs!$B$31,0))),0)</f>
        <v/>
      </c>
    </row>
    <row r="900">
      <c r="A900">
        <f>Skills!A7</f>
        <v/>
      </c>
      <c r="B900">
        <f>Skills!B7</f>
        <v/>
      </c>
      <c r="C900">
        <f>Inputs!$B$3&gt;=122</f>
        <v/>
      </c>
      <c r="D900">
        <f>IF(Skills!C7=1,60+Inputs!$B$24+Inputs!$B$28,IF(Skills!C7=2,90+Inputs!$B$25+Inputs!$B$28,IF(Skills!C7=3,120+Inputs!$B$26+Inputs!$B$28,MAX(0,(Inputs!$B$3-100)*3)+Inputs!$B$27+Inputs!$B$28)))</f>
        <v/>
      </c>
      <c r="E900">
        <f>INDEX(FactorTable!$B$2:$Y$301, MATCH(ROUND(MIN(300,MAX(1,D900)),0), FactorTable!$A$2:$A$301,0), Skills!L7+1)</f>
        <v/>
      </c>
      <c r="F900">
        <f>IF(Skills!M7=TRUE,(Skills!K7/10)*(E900/1000),Skills!K7/10)+Skills!N7</f>
        <v/>
      </c>
      <c r="G900">
        <f>Calc!G7</f>
        <v/>
      </c>
      <c r="H900">
        <f>Calc!H7</f>
        <v/>
      </c>
      <c r="I900">
        <f>IF(Skills!T7&lt;&gt;"",1+(Skills!T7/10)*($Z$3/1000)/100,1)</f>
        <v/>
      </c>
      <c r="J900">
        <f>((Inputs!$B$5*(1+(Inputs!$B$6+1)/100))+((Inputs!$B$11*(1+Inputs!$B$12/100))-(Inputs!$B$11*(1+Inputs!$B$12/100)))*(1+(Inputs!$B$6+1)/100))*(F900/100)</f>
        <v/>
      </c>
      <c r="K900">
        <f>J900*(1+((Inputs!$B$11*(1+Inputs!$B$12/100))*0.01+Inputs!$B$13*0.0025)/100)*(1+(Inputs!$B$14+B924)/100)*(1+IF(Inputs!$B$4="pvp",0,(1-Summary!$B$48)*(Inputs!$B$19+Skills!O7+B922)+Summary!$B$48*(Inputs!$B$20+Skills!P7+B923))/100)*(1+Inputs!$B$15/100)*(5000/(6000+Inputs!$B$7*(1-Inputs!$B$18/100)))*(1+Inputs!$B$23/100)*(1+IF(C910=TRUE,F910,0)/100)*(1+IF(C912=TRUE,F912,0)/100)*(1+IF(Skills!A7="TRIUMPH_FEATHER",IF(C908=TRUE,F908,0),0)/100)*(1+IF(C919=TRUE,F919,0)/100)^5*(1+(IF(Skills!A7="BIG_BANG",Inputs!$B$16,Inputs!$B$17))/100)*(B921*I900)</f>
        <v/>
      </c>
      <c r="L900">
        <f>K900*(MIN(Inputs!$B$21+(F914-Calc!F21),Inputs!$B$22)/100+Inputs!$B$22/100)/2</f>
        <v/>
      </c>
      <c r="M900">
        <f>L900*(1+(Inputs!$B$9+B925+(F917-Calc!F24))/100)</f>
        <v/>
      </c>
      <c r="N900">
        <f>L900*(1-MIN(Inputs!$B$8+((F916-Calc!F23)+(F915-Calc!F22)),100)/100)+M900*(MIN(Inputs!$B$8+((F916-Calc!F23)+(F915-Calc!F22)),100)/100)</f>
        <v/>
      </c>
      <c r="O900">
        <f>IF(C900,H900*N900*IF(AND(Inputs!$B$4&lt;&gt;"pvp",Inputs!$B$35&gt;0),((Skills!F7*((S900-1)*IF(Skills!G7&gt;0,Skills!H7/Skills!G7,1)+IF(Skills!G7&gt;0,MIN(Skills!H7,MAX(0,Inputs!$B$35-((S900-1)*IF(Inputs!$B$4="pvp",15,MAX(0.1,Skills!D7-IF(Skills!E6=TRUE,Inputs!$B$31,0))))))/Skills!G7,1)))/Inputs!$B$35),G900*V900)*(1-Summary!$B$48),0)</f>
        <v/>
      </c>
      <c r="P900">
        <f>IF(B931=0,0,O900/B931)</f>
        <v/>
      </c>
      <c r="S900">
        <f>IF(AND(Inputs!$B$4&lt;&gt;"pvp",Inputs!$B$35&gt;0),(INT(Inputs!$B$35/IF(Inputs!$B$4="pvp",15,MAX(0.1,Skills!D7-IF(Skills!E6=TRUE,Inputs!$B$31,0))))+1),0)</f>
        <v/>
      </c>
      <c r="V900">
        <f>IFERROR(1/IF(Inputs!$B$4="pvp",15,MAX(0.1,Skills!D7-IF(Skills!E6=TRUE,Inputs!$B$31,0))),0)</f>
        <v/>
      </c>
    </row>
    <row r="901">
      <c r="A901">
        <f>Skills!A8</f>
        <v/>
      </c>
      <c r="B901">
        <f>Skills!B8</f>
        <v/>
      </c>
      <c r="C901">
        <f>Inputs!$B$3&gt;=105</f>
        <v/>
      </c>
      <c r="D901">
        <f>IF(Skills!C8=1,60+Inputs!$B$24+Inputs!$B$28,IF(Skills!C8=2,90+Inputs!$B$25+Inputs!$B$28,IF(Skills!C8=3,120+Inputs!$B$26+Inputs!$B$28,MAX(0,(Inputs!$B$3-100)*3)+Inputs!$B$27+Inputs!$B$28)))</f>
        <v/>
      </c>
      <c r="E901">
        <f>INDEX(FactorTable!$B$2:$Y$301, MATCH(ROUND(MIN(300,MAX(1,D901)),0), FactorTable!$A$2:$A$301,0), Skills!L8+1)</f>
        <v/>
      </c>
      <c r="F901">
        <f>IF(Skills!M8=TRUE,(Skills!K8/10)*(E901/1000),Skills!K8/10)+Skills!N8</f>
        <v/>
      </c>
      <c r="G901">
        <f>Calc!G8</f>
        <v/>
      </c>
      <c r="H901">
        <f>Calc!H8</f>
        <v/>
      </c>
      <c r="I901">
        <f>IF(Skills!T8&lt;&gt;"",1+(Skills!T8/10)*($Z$3/1000)/100,1)</f>
        <v/>
      </c>
      <c r="J901">
        <f>((Inputs!$B$5*(1+(Inputs!$B$6+1)/100))+((Inputs!$B$11*(1+Inputs!$B$12/100))-(Inputs!$B$11*(1+Inputs!$B$12/100)))*(1+(Inputs!$B$6+1)/100))*(F901/100)</f>
        <v/>
      </c>
      <c r="K901">
        <f>J901*(1+((Inputs!$B$11*(1+Inputs!$B$12/100))*0.01+Inputs!$B$13*0.0025)/100)*(1+(Inputs!$B$14+B924)/100)*(1+IF(Inputs!$B$4="pvp",0,(1-Summary!$B$48)*(Inputs!$B$19+Skills!O8+B922)+Summary!$B$48*(Inputs!$B$20+Skills!P8+B923))/100)*(1+Inputs!$B$15/100)*(5000/(6000+Inputs!$B$7*(1-Inputs!$B$18/100)))*(1+Inputs!$B$23/100)*(1+IF(C910=TRUE,F910,0)/100)*(1+IF(C912=TRUE,F912,0)/100)*(1+IF(Skills!A8="TRIUMPH_FEATHER",IF(C908=TRUE,F908,0),0)/100)*(1+IF(C919=TRUE,F919,0)/100)^5*(1+(IF(Skills!A8="BIG_BANG",Inputs!$B$16,Inputs!$B$17))/100)*(B921*I901)</f>
        <v/>
      </c>
      <c r="L901">
        <f>K901*(MIN(Inputs!$B$21+(F914-Calc!F21),Inputs!$B$22)/100+Inputs!$B$22/100)/2</f>
        <v/>
      </c>
      <c r="M901">
        <f>L901*(1+(Inputs!$B$9+B925+(F917-Calc!F24))/100)</f>
        <v/>
      </c>
      <c r="N901">
        <f>L901*(1-MIN(Inputs!$B$8+((F916-Calc!F23)+(F915-Calc!F22)),100)/100)+M901*(MIN(Inputs!$B$8+((F916-Calc!F23)+(F915-Calc!F22)),100)/100)</f>
        <v/>
      </c>
      <c r="O901">
        <f>IF(C901,H901*N901*IF(AND(Inputs!$B$4&lt;&gt;"pvp",Inputs!$B$35&gt;0),((Skills!F8*((S901-1)*IF(Skills!G8&gt;0,Skills!H8/Skills!G8,1)+IF(Skills!G8&gt;0,MIN(Skills!H8,MAX(0,Inputs!$B$35-((S901-1)*IF(Inputs!$B$4="pvp",15,MAX(0.1,Skills!D8-IF(Skills!E8=TRUE,Inputs!$B$31,0))))))/Skills!G8,1)))/Inputs!$B$35),G901*V901)*IF(Inputs!$B$4="pvp",1,(1-Summary!$B$48)*(1)+Summary!$B$48*(MIN(Skills!Q8,Inputs!$B$37))),0)</f>
        <v/>
      </c>
      <c r="P901">
        <f>IF(B931=0,0,O901/B931)</f>
        <v/>
      </c>
      <c r="S901">
        <f>IF(AND(Inputs!$B$4&lt;&gt;"pvp",Inputs!$B$35&gt;0),(INT(Inputs!$B$35/IF(Inputs!$B$4="pvp",15,MAX(0.1,Skills!D8-IF(Skills!E8=TRUE,Inputs!$B$31,0))))+1),0)</f>
        <v/>
      </c>
      <c r="V901">
        <f>IFERROR(1/IF(Inputs!$B$4="pvp",15,MAX(0.1,Skills!D8-IF(Skills!E8=TRUE,Inputs!$B$31,0))),0)</f>
        <v/>
      </c>
    </row>
    <row r="902">
      <c r="A902">
        <f>Skills!A9</f>
        <v/>
      </c>
      <c r="B902">
        <f>Skills!B9</f>
        <v/>
      </c>
      <c r="C902">
        <f>Inputs!$B$3&gt;=115</f>
        <v/>
      </c>
      <c r="D902">
        <f>IF(Skills!C9=1,60+Inputs!$B$24+Inputs!$B$28,IF(Skills!C9=2,90+Inputs!$B$25+Inputs!$B$28,IF(Skills!C9=3,120+Inputs!$B$26+Inputs!$B$28,MAX(0,(Inputs!$B$3-100)*3)+Inputs!$B$27+Inputs!$B$28)))</f>
        <v/>
      </c>
      <c r="E902">
        <f>INDEX(FactorTable!$B$2:$Y$301, MATCH(ROUND(MIN(300,MAX(1,D902)),0), FactorTable!$A$2:$A$301,0), Skills!L9+1)</f>
        <v/>
      </c>
      <c r="F902">
        <f>IF(Skills!M9=TRUE,(Skills!K9/10)*(E902/1000),Skills!K9/10)+Skills!N9</f>
        <v/>
      </c>
      <c r="G902">
        <f>Calc!G9</f>
        <v/>
      </c>
      <c r="H902">
        <f>Calc!H9</f>
        <v/>
      </c>
      <c r="I902">
        <f>IF(Skills!T9&lt;&gt;"",1+(Skills!T9/10)*($Z$3/1000)/100,1)</f>
        <v/>
      </c>
      <c r="J902">
        <f>((Inputs!$B$5*(1+(Inputs!$B$6+1)/100))+((Inputs!$B$11*(1+Inputs!$B$12/100))-(Inputs!$B$11*(1+Inputs!$B$12/100)))*(1+(Inputs!$B$6+1)/100))*(F902/100)</f>
        <v/>
      </c>
      <c r="K902">
        <f>J902*(1+((Inputs!$B$11*(1+Inputs!$B$12/100))*0.01+Inputs!$B$13*0.0025)/100)*(1+(Inputs!$B$14+B924)/100)*(1+IF(Inputs!$B$4="pvp",0,(1-Summary!$B$48)*(Inputs!$B$19+Skills!O9+B922)+Summary!$B$48*(Inputs!$B$20+Skills!P9+B923))/100)*(1+Inputs!$B$15/100)*(5000/(6000+Inputs!$B$7*(1-Inputs!$B$18/100)))*(1+Inputs!$B$23/100)*(1+IF(C910=TRUE,F910,0)/100)*(1+IF(C912=TRUE,F912,0)/100)*(1+IF(Skills!A9="TRIUMPH_FEATHER",IF(C908=TRUE,F908,0),0)/100)*(1+IF(C919=TRUE,F919,0)/100)^5*(1+(IF(Skills!A9="BIG_BANG",Inputs!$B$16,Inputs!$B$17))/100)*(B921*I902)</f>
        <v/>
      </c>
      <c r="L902">
        <f>K902*(MIN(Inputs!$B$21+(F914-Calc!F21),Inputs!$B$22)/100+Inputs!$B$22/100)/2</f>
        <v/>
      </c>
      <c r="M902">
        <f>L902*(1+(Inputs!$B$9+B925+(F917-Calc!F24))/100)</f>
        <v/>
      </c>
      <c r="N902">
        <f>L902*(1-MIN(Inputs!$B$8+((F916-Calc!F23)+(F915-Calc!F22)),100)/100)+M902*(MIN(Inputs!$B$8+((F916-Calc!F23)+(F915-Calc!F22)),100)/100)</f>
        <v/>
      </c>
      <c r="O902">
        <f>IF(C902,H902*N902*IF(AND(Inputs!$B$4&lt;&gt;"pvp",Inputs!$B$35&gt;0),((Skills!F9*((S902-1)*IF(Skills!G9&gt;0,Skills!H9/Skills!G9,1)+IF(Skills!G9&gt;0,MIN(Skills!H9,MAX(0,Inputs!$B$35-((S902-1)*IF(Inputs!$B$4="pvp",15,MAX(0.1,Skills!D9-IF(Skills!E9=TRUE,Inputs!$B$31,0))))))/Skills!G9,1)))/Inputs!$B$35),G902*V902)*IF(Inputs!$B$4="pvp",1,(1-Summary!$B$48)*(1)+Summary!$B$48*(MIN(Skills!Q9,Inputs!$B$37))),0)</f>
        <v/>
      </c>
      <c r="P902">
        <f>IF(B931=0,0,O902/B931)</f>
        <v/>
      </c>
      <c r="S902">
        <f>IF(AND(Inputs!$B$4&lt;&gt;"pvp",Inputs!$B$35&gt;0),(INT(Inputs!$B$35/IF(Inputs!$B$4="pvp",15,MAX(0.1,Skills!D9-IF(Skills!E9=TRUE,Inputs!$B$31,0))))+1),0)</f>
        <v/>
      </c>
      <c r="V902">
        <f>IFERROR(1/IF(Inputs!$B$4="pvp",15,MAX(0.1,Skills!D9-IF(Skills!E9=TRUE,Inputs!$B$31,0))),0)</f>
        <v/>
      </c>
    </row>
    <row r="903">
      <c r="A903">
        <f>Skills!A10</f>
        <v/>
      </c>
      <c r="B903">
        <f>Skills!B10</f>
        <v/>
      </c>
      <c r="C903">
        <f>Inputs!$B$3&gt;=66</f>
        <v/>
      </c>
      <c r="D903">
        <f>IF(Skills!C10=1,60+Inputs!$B$24+Inputs!$B$28,IF(Skills!C10=2,90+Inputs!$B$25+Inputs!$B$28,IF(Skills!C10=3,120+Inputs!$B$26+Inputs!$B$28,MAX(0,(Inputs!$B$3-100)*3)+Inputs!$B$27+Inputs!$B$28)))</f>
        <v/>
      </c>
      <c r="E903">
        <f>INDEX(FactorTable!$B$2:$Y$301, MATCH(ROUND(MIN(300,MAX(1,D903)),0), FactorTable!$A$2:$A$301,0), Skills!L10+1)</f>
        <v/>
      </c>
      <c r="F903" t="n">
        <v>0</v>
      </c>
      <c r="G903">
        <f>Calc!G10</f>
        <v/>
      </c>
      <c r="H903">
        <f>Calc!H10</f>
        <v/>
      </c>
      <c r="I903">
        <f>IF(Skills!T10&lt;&gt;"",1+(Skills!T10/10)*($Z$3/1000)/100,1)</f>
        <v/>
      </c>
      <c r="J903" t="inlineStr"/>
      <c r="K903" t="inlineStr"/>
      <c r="L903" t="inlineStr"/>
      <c r="M903" t="inlineStr"/>
      <c r="N903" t="inlineStr"/>
      <c r="O903" t="n">
        <v>0</v>
      </c>
      <c r="P903">
        <f>IF(B931=0,0,O903/B931)</f>
        <v/>
      </c>
      <c r="S903">
        <f>IF(AND(Inputs!$B$4&lt;&gt;"pvp",Inputs!$B$35&gt;0),(INT(Inputs!$B$35/IF(Inputs!$B$4="pvp",15,MAX(0.1,Skills!D10-IF(Skills!E10=TRUE,Inputs!$B$31,0))))+1),0)</f>
        <v/>
      </c>
      <c r="V903">
        <f>IFERROR(1/IF(Inputs!$B$4="pvp",15,MAX(0.1,Skills!D10-IF(Skills!E10=TRUE,Inputs!$B$31,0))),0)</f>
        <v/>
      </c>
    </row>
    <row r="904">
      <c r="A904">
        <f>Skills!A11</f>
        <v/>
      </c>
      <c r="B904">
        <f>Skills!B11</f>
        <v/>
      </c>
      <c r="C904">
        <f>Inputs!$B$3&gt;=69</f>
        <v/>
      </c>
      <c r="D904">
        <f>IF(Skills!C11=1,60+Inputs!$B$24+Inputs!$B$28,IF(Skills!C11=2,90+Inputs!$B$25+Inputs!$B$28,IF(Skills!C11=3,120+Inputs!$B$26+Inputs!$B$28,MAX(0,(Inputs!$B$3-100)*3)+Inputs!$B$27+Inputs!$B$28)))</f>
        <v/>
      </c>
      <c r="E904">
        <f>INDEX(FactorTable!$B$2:$Y$301, MATCH(ROUND(MIN(300,MAX(1,D904)),0), FactorTable!$A$2:$A$301,0), Skills!L11+1)</f>
        <v/>
      </c>
      <c r="F904">
        <f>IF(Skills!M11=TRUE,(Skills!K11/10)*(E904/1000),Skills!K11/10)+Skills!N11</f>
        <v/>
      </c>
      <c r="G904">
        <f>Calc!G11</f>
        <v/>
      </c>
      <c r="H904">
        <f>Calc!H11</f>
        <v/>
      </c>
      <c r="I904">
        <f>IF(Skills!T11&lt;&gt;"",1+(Skills!T11/10)*($Z$3/1000)/100,1)</f>
        <v/>
      </c>
      <c r="J904" t="inlineStr"/>
      <c r="K904" t="inlineStr"/>
      <c r="L904" t="inlineStr"/>
      <c r="M904" t="inlineStr"/>
      <c r="N904" t="inlineStr"/>
      <c r="O904" t="n">
        <v>0</v>
      </c>
      <c r="P904">
        <f>IF(B931=0,0,O904/B931)</f>
        <v/>
      </c>
      <c r="S904">
        <f>IF(AND(Inputs!$B$4&lt;&gt;"pvp",Inputs!$B$35&gt;0),(INT(Inputs!$B$35/IF(Inputs!$B$4="pvp",15,MAX(0.1,Skills!D11-IF(Skills!E11=TRUE,Inputs!$B$31,0))))+1),0)</f>
        <v/>
      </c>
      <c r="V904">
        <f>IFERROR(1/IF(Inputs!$B$4="pvp",15,MAX(0.1,Skills!D11-IF(Skills!E11=TRUE,Inputs!$B$31,0))),0)</f>
        <v/>
      </c>
    </row>
    <row r="905">
      <c r="A905">
        <f>Skills!A12</f>
        <v/>
      </c>
      <c r="B905">
        <f>Skills!B12</f>
        <v/>
      </c>
      <c r="C905">
        <f>Inputs!$B$3&gt;=72</f>
        <v/>
      </c>
      <c r="D905">
        <f>IF(Skills!C12=1,60+Inputs!$B$24+Inputs!$B$28,IF(Skills!C12=2,90+Inputs!$B$25+Inputs!$B$28,IF(Skills!C12=3,120+Inputs!$B$26+Inputs!$B$28,MAX(0,(Inputs!$B$3-100)*3)+Inputs!$B$27+Inputs!$B$28)))</f>
        <v/>
      </c>
      <c r="E905">
        <f>INDEX(FactorTable!$B$2:$Y$301, MATCH(ROUND(MIN(300,MAX(1,D905)),0), FactorTable!$A$2:$A$301,0), Skills!L12+1)</f>
        <v/>
      </c>
      <c r="F905">
        <f>IF(Skills!M12=TRUE,(Skills!K12/10)*(E905/1000),Skills!K12/10)+Skills!N12</f>
        <v/>
      </c>
      <c r="G905">
        <f>Calc!G12</f>
        <v/>
      </c>
      <c r="H905">
        <f>Calc!H12</f>
        <v/>
      </c>
      <c r="I905">
        <f>IF(Skills!T12&lt;&gt;"",1+(Skills!T12/10)*($Z$3/1000)/100,1)</f>
        <v/>
      </c>
      <c r="J905" t="inlineStr"/>
      <c r="K905" t="inlineStr"/>
      <c r="L905" t="inlineStr"/>
      <c r="M905" t="inlineStr"/>
      <c r="N905" t="inlineStr"/>
      <c r="O905" t="n">
        <v>0</v>
      </c>
      <c r="P905">
        <f>IF(B931=0,0,O905/B931)</f>
        <v/>
      </c>
      <c r="S905">
        <f>IF(AND(Inputs!$B$4&lt;&gt;"pvp",Inputs!$B$35&gt;0),(INT(Inputs!$B$35/IF(Inputs!$B$4="pvp",15,MAX(0.1,Skills!D12-IF(Skills!E12=TRUE,Inputs!$B$31,0))))+1),0)</f>
        <v/>
      </c>
      <c r="V905">
        <f>IFERROR(1/IF(Inputs!$B$4="pvp",15,MAX(0.1,Skills!D12-IF(Skills!E12=TRUE,Inputs!$B$31,0))),0)</f>
        <v/>
      </c>
    </row>
    <row r="906">
      <c r="A906">
        <f>Skills!A13</f>
        <v/>
      </c>
      <c r="B906">
        <f>Skills!B13</f>
        <v/>
      </c>
      <c r="C906">
        <f>Inputs!$B$3&gt;=107</f>
        <v/>
      </c>
      <c r="D906">
        <f>IF(Skills!C13=1,60+Inputs!$B$24+Inputs!$B$28,IF(Skills!C13=2,90+Inputs!$B$25+Inputs!$B$28,IF(Skills!C13=3,120+Inputs!$B$26+Inputs!$B$28,MAX(0,(Inputs!$B$3-100)*3)+Inputs!$B$27+Inputs!$B$28)))</f>
        <v/>
      </c>
      <c r="E906">
        <f>INDEX(FactorTable!$B$2:$Y$301, MATCH(ROUND(MIN(300,MAX(1,D906)),0), FactorTable!$A$2:$A$301,0), Skills!L13+1)</f>
        <v/>
      </c>
      <c r="F906">
        <f>IF(Skills!M13=TRUE,(Skills!K13/10)*(E906/1000),Skills!K13/10)+Skills!N13</f>
        <v/>
      </c>
      <c r="G906">
        <f>Calc!G13</f>
        <v/>
      </c>
      <c r="H906">
        <f>Calc!H13</f>
        <v/>
      </c>
      <c r="I906">
        <f>IF(Skills!T13&lt;&gt;"",1+(Skills!T13/10)*($Z$3/1000)/100,1)</f>
        <v/>
      </c>
      <c r="J906" t="inlineStr"/>
      <c r="K906" t="inlineStr"/>
      <c r="L906" t="inlineStr"/>
      <c r="M906" t="inlineStr"/>
      <c r="N906" t="inlineStr"/>
      <c r="O906" t="n">
        <v>0</v>
      </c>
      <c r="P906">
        <f>IF(B931=0,0,O906/B931)</f>
        <v/>
      </c>
      <c r="S906">
        <f>IF(AND(Inputs!$B$4&lt;&gt;"pvp",Inputs!$B$35&gt;0),(INT(Inputs!$B$35/IF(Inputs!$B$4="pvp",15,MAX(0.1,Skills!D13-IF(Skills!E13=TRUE,Inputs!$B$31,0))))+1),0)</f>
        <v/>
      </c>
      <c r="V906">
        <f>IFERROR(1/IF(Inputs!$B$4="pvp",15,MAX(0.1,Skills!D13-IF(Skills!E13=TRUE,Inputs!$B$31,0))),0)</f>
        <v/>
      </c>
    </row>
    <row r="907">
      <c r="A907">
        <f>Skills!A14</f>
        <v/>
      </c>
      <c r="B907">
        <f>Skills!B14</f>
        <v/>
      </c>
      <c r="C907">
        <f>Inputs!$B$3&gt;=63</f>
        <v/>
      </c>
      <c r="D907">
        <f>IF(Skills!C14=1,60+Inputs!$B$24+Inputs!$B$28,IF(Skills!C14=2,90+Inputs!$B$25+Inputs!$B$28,IF(Skills!C14=3,120+Inputs!$B$26+Inputs!$B$28,MAX(0,(Inputs!$B$3-100)*3)+Inputs!$B$27+Inputs!$B$28)))</f>
        <v/>
      </c>
      <c r="E907">
        <f>INDEX(FactorTable!$B$2:$Y$301, MATCH(ROUND(MIN(300,MAX(1,D907)),0), FactorTable!$A$2:$A$301,0), Skills!L14+1)</f>
        <v/>
      </c>
      <c r="F907">
        <f>IF(Skills!M14=TRUE,(Skills!K14/10)*(E907/1000),Skills!K14/10)+Skills!N14</f>
        <v/>
      </c>
      <c r="G907">
        <f>Calc!G14</f>
        <v/>
      </c>
      <c r="H907">
        <f>Calc!H14</f>
        <v/>
      </c>
      <c r="I907">
        <f>IF(Skills!T14&lt;&gt;"",1+(Skills!T14/10)*($Z$3/1000)/100,1)</f>
        <v/>
      </c>
      <c r="J907">
        <f>((Inputs!$B$5*(1+(Inputs!$B$6+1)/100))+((Inputs!$B$11*(1+Inputs!$B$12/100))-(Inputs!$B$11*(1+Inputs!$B$12/100)))*(1+(Inputs!$B$6+1)/100))*(F907/100)</f>
        <v/>
      </c>
      <c r="K907">
        <f>J907*(1+((Inputs!$B$11*(1+Inputs!$B$12/100))*0.01+Inputs!$B$13*0.0025)/100)*(1+(Inputs!$B$14+B924)/100)*(1+IF(Inputs!$B$4="pvp",0,(1-Summary!$B$48)*(Inputs!$B$19+Skills!O14+B922)+Summary!$B$48*(Inputs!$B$20+Skills!P14+B923))/100)*(1+Inputs!$B$15/100)*(5000/(6000+Inputs!$B$7*(1-Inputs!$B$18/100)))*(1+Inputs!$B$23/100)*(1+IF(C910=TRUE,F910,0)/100)*(1+IF(C912=TRUE,F912,0)/100)*(1+IF(Skills!A14="TRIUMPH_FEATHER",IF(C908=TRUE,F908,0),0)/100)*(1+IF(C919=TRUE,F919,0)/100)^5*(1+(IF(Skills!A14="BIG_BANG",Inputs!$B$16,Inputs!$B$17))/100)*(B921*I907)</f>
        <v/>
      </c>
      <c r="L907">
        <f>K907*(MIN(Inputs!$B$21+(F914-Calc!F21),Inputs!$B$22)/100+Inputs!$B$22/100)/2</f>
        <v/>
      </c>
      <c r="M907">
        <f>L907*(1+(Inputs!$B$9+B925+(F917-Calc!F24))/100)</f>
        <v/>
      </c>
      <c r="N907">
        <f>L907*(1-MIN(Inputs!$B$8+((F916-Calc!F23)+(F915-Calc!F22)),100)/100)+M907*(MIN(Inputs!$B$8+((F916-Calc!F23)+(F915-Calc!F22)),100)/100)</f>
        <v/>
      </c>
      <c r="O907">
        <f>IF(C907,Skills!F14*N907*((IF(Inputs!$B$3&gt;=78,25,15)/100*B927*10)/(1+IF(Inputs!$B$3&gt;=78,25,15)/100*B927*10))*(Skills!I14/100*B927)/(1+Skills!G14*Skills!I14/100*B927)*IF(Inputs!$B$4="pvp",1,(1-Summary!$B$48)*(1)+Summary!$B$48*(MIN(Skills!Q14,Inputs!$B$37))),0)</f>
        <v/>
      </c>
      <c r="P907">
        <f>IF(B931=0,0,O907/B931)</f>
        <v/>
      </c>
      <c r="S907" t="n">
        <v>0</v>
      </c>
      <c r="V907">
        <f>IFERROR(1/IF(Inputs!$B$4="pvp",15,MAX(0.1,Skills!D14-IF(Skills!E14=TRUE,Inputs!$B$31,0))),0)</f>
        <v/>
      </c>
    </row>
    <row r="908">
      <c r="A908">
        <f>Skills!A15</f>
        <v/>
      </c>
      <c r="B908">
        <f>Skills!B15</f>
        <v/>
      </c>
      <c r="C908">
        <f>Inputs!$B$3&gt;=100</f>
        <v/>
      </c>
      <c r="D908">
        <f>IF(Skills!C15=1,60+Inputs!$B$24+Inputs!$B$28,IF(Skills!C15=2,90+Inputs!$B$25+Inputs!$B$28,IF(Skills!C15=3,120+Inputs!$B$26+Inputs!$B$28,MAX(0,(Inputs!$B$3-100)*3)+Inputs!$B$27+Inputs!$B$28)))</f>
        <v/>
      </c>
      <c r="E908">
        <f>INDEX(FactorTable!$B$2:$Y$301, MATCH(ROUND(MIN(300,MAX(1,D908)),0), FactorTable!$A$2:$A$301,0), Skills!L15+1)</f>
        <v/>
      </c>
      <c r="F908">
        <f>IF(Skills!M15=TRUE,(Skills!K15/10)*(E908/1000),Skills!K15/10)+Skills!N15</f>
        <v/>
      </c>
      <c r="G908">
        <f>Calc!G15</f>
        <v/>
      </c>
      <c r="H908">
        <f>Calc!H15</f>
        <v/>
      </c>
      <c r="I908">
        <f>IF(Skills!T15&lt;&gt;"",1+(Skills!T15/10)*($Z$3/1000)/100,1)</f>
        <v/>
      </c>
      <c r="J908" t="inlineStr"/>
      <c r="K908" t="inlineStr"/>
      <c r="L908" t="inlineStr"/>
      <c r="M908" t="inlineStr"/>
      <c r="N908" t="inlineStr"/>
      <c r="O908" t="n">
        <v>0</v>
      </c>
      <c r="P908">
        <f>IF(B931=0,0,O908/B931)</f>
        <v/>
      </c>
      <c r="S908" t="n">
        <v>0</v>
      </c>
      <c r="V908">
        <f>IFERROR(1/IF(Inputs!$B$4="pvp",15,MAX(0.1,Skills!D15-IF(Skills!E15=TRUE,Inputs!$B$31,0))),0)</f>
        <v/>
      </c>
    </row>
    <row r="909">
      <c r="A909">
        <f>Skills!A16</f>
        <v/>
      </c>
      <c r="B909">
        <f>Skills!B16</f>
        <v/>
      </c>
      <c r="C909">
        <f>Inputs!$B$3&gt;=49</f>
        <v/>
      </c>
      <c r="D909">
        <f>IF(Skills!C16=1,60+Inputs!$B$24+Inputs!$B$28,IF(Skills!C16=2,90+Inputs!$B$25+Inputs!$B$28,IF(Skills!C16=3,120+Inputs!$B$26+Inputs!$B$28,MAX(0,(Inputs!$B$3-100)*3)+Inputs!$B$27+Inputs!$B$28)))</f>
        <v/>
      </c>
      <c r="E909">
        <f>INDEX(FactorTable!$B$2:$Y$301, MATCH(ROUND(MIN(300,MAX(1,D909)),0), FactorTable!$A$2:$A$301,0), Skills!L16+1)</f>
        <v/>
      </c>
      <c r="F909">
        <f>IF(Skills!M16=TRUE,(Skills!K16/10)*(E909/1000),Skills!K16/10)+Skills!N16</f>
        <v/>
      </c>
      <c r="G909">
        <f>Calc!G16</f>
        <v/>
      </c>
      <c r="H909">
        <f>Calc!H16</f>
        <v/>
      </c>
      <c r="I909">
        <f>IF(Skills!T16&lt;&gt;"",1+(Skills!T16/10)*($Z$3/1000)/100,1)</f>
        <v/>
      </c>
      <c r="J909" t="inlineStr"/>
      <c r="K909" t="inlineStr"/>
      <c r="L909" t="inlineStr"/>
      <c r="M909" t="inlineStr"/>
      <c r="N909" t="inlineStr"/>
      <c r="O909" t="n">
        <v>0</v>
      </c>
      <c r="P909">
        <f>IF(B931=0,0,O909/B931)</f>
        <v/>
      </c>
      <c r="S909" t="n">
        <v>0</v>
      </c>
      <c r="V909">
        <f>IFERROR(1/IF(Inputs!$B$4="pvp",15,MAX(0.1,Skills!D16-IF(Skills!E16=TRUE,Inputs!$B$31,0))),0)</f>
        <v/>
      </c>
    </row>
    <row r="910">
      <c r="A910">
        <f>Skills!A17</f>
        <v/>
      </c>
      <c r="B910">
        <f>Skills!B17</f>
        <v/>
      </c>
      <c r="C910">
        <f>Inputs!$B$3&gt;=75</f>
        <v/>
      </c>
      <c r="D910">
        <f>IF(Skills!C17=1,60+Inputs!$B$24+Inputs!$B$28,IF(Skills!C17=2,90+Inputs!$B$25+Inputs!$B$28,IF(Skills!C17=3,120+Inputs!$B$26+Inputs!$B$28,MAX(0,(Inputs!$B$3-100)*3)+Inputs!$B$27+Inputs!$B$28)))</f>
        <v/>
      </c>
      <c r="E910">
        <f>INDEX(FactorTable!$B$2:$Y$301, MATCH(ROUND(MIN(300,MAX(1,D910)),0), FactorTable!$A$2:$A$301,0), Skills!L17+1)</f>
        <v/>
      </c>
      <c r="F910">
        <f>IF(Skills!M17=TRUE,(Skills!K17/10)*(E910/1000),Skills!K17/10)+Skills!N17</f>
        <v/>
      </c>
      <c r="G910">
        <f>Calc!G17</f>
        <v/>
      </c>
      <c r="H910">
        <f>Calc!H17</f>
        <v/>
      </c>
      <c r="I910">
        <f>IF(Skills!T17&lt;&gt;"",1+(Skills!T17/10)*($Z$3/1000)/100,1)</f>
        <v/>
      </c>
      <c r="J910" t="inlineStr"/>
      <c r="K910" t="inlineStr"/>
      <c r="L910" t="inlineStr"/>
      <c r="M910" t="inlineStr"/>
      <c r="N910" t="inlineStr"/>
      <c r="O910" t="n">
        <v>0</v>
      </c>
      <c r="P910">
        <f>IF(B931=0,0,O910/B931)</f>
        <v/>
      </c>
      <c r="S910" t="n">
        <v>0</v>
      </c>
      <c r="V910">
        <f>IFERROR(1/IF(Inputs!$B$4="pvp",15,MAX(0.1,Skills!D17-IF(Skills!E17=TRUE,Inputs!$B$31,0))),0)</f>
        <v/>
      </c>
    </row>
    <row r="911">
      <c r="A911">
        <f>Skills!A18</f>
        <v/>
      </c>
      <c r="B911">
        <f>Skills!B18</f>
        <v/>
      </c>
      <c r="C911">
        <f>Inputs!$B$3&gt;=110</f>
        <v/>
      </c>
      <c r="D911">
        <f>IF(Skills!C18=1,60+Inputs!$B$24+Inputs!$B$28,IF(Skills!C18=2,90+Inputs!$B$25+Inputs!$B$28,IF(Skills!C18=3,120+Inputs!$B$26+Inputs!$B$28,MAX(0,(Inputs!$B$3-100)*3)+Inputs!$B$27+Inputs!$B$28)))</f>
        <v/>
      </c>
      <c r="E911">
        <f>INDEX(FactorTable!$B$2:$Y$301, MATCH(ROUND(MIN(300,MAX(1,D911)),0), FactorTable!$A$2:$A$301,0), Skills!L18+1)</f>
        <v/>
      </c>
      <c r="F911">
        <f>(Skills!K18/10)*(E911/1000)*64/45+Skills!N18</f>
        <v/>
      </c>
      <c r="G911">
        <f>Calc!G18</f>
        <v/>
      </c>
      <c r="H911">
        <f>Calc!H18</f>
        <v/>
      </c>
      <c r="I911">
        <f>IF(Skills!T18&lt;&gt;"",1+(Skills!T18/10)*($Z$3/1000)/100,1)</f>
        <v/>
      </c>
      <c r="J911" t="inlineStr"/>
      <c r="K911" t="inlineStr"/>
      <c r="L911" t="inlineStr"/>
      <c r="M911" t="inlineStr"/>
      <c r="N911" t="inlineStr"/>
      <c r="O911" t="n">
        <v>0</v>
      </c>
      <c r="P911">
        <f>IF(B931=0,0,O911/B931)</f>
        <v/>
      </c>
      <c r="S911">
        <f>IF(AND(Inputs!$B$4&lt;&gt;"pvp",Inputs!$B$35&gt;0),(INT(Inputs!$B$35/IF(Inputs!$B$4="pvp",15,MAX(0.1,Skills!D18-IF(Skills!E18=TRUE,Inputs!$B$31,0))))+1),0)</f>
        <v/>
      </c>
      <c r="V911">
        <f>IFERROR(1/IF(Inputs!$B$4="pvp",15,MAX(0.1,Skills!D18-IF(Skills!E18=TRUE,Inputs!$B$31,0))),0)</f>
        <v/>
      </c>
    </row>
    <row r="912">
      <c r="A912">
        <f>Skills!A19</f>
        <v/>
      </c>
      <c r="B912">
        <f>Skills!B19</f>
        <v/>
      </c>
      <c r="C912">
        <f>Inputs!$B$3&gt;=125</f>
        <v/>
      </c>
      <c r="D912">
        <f>IF(Skills!C19=1,60+Inputs!$B$24+Inputs!$B$28,IF(Skills!C19=2,90+Inputs!$B$25+Inputs!$B$28,IF(Skills!C19=3,120+Inputs!$B$26+Inputs!$B$28,MAX(0,(Inputs!$B$3-100)*3)+Inputs!$B$27+Inputs!$B$28)))</f>
        <v/>
      </c>
      <c r="E912">
        <f>INDEX(FactorTable!$B$2:$Y$301, MATCH(ROUND(MIN(300,MAX(1,D912)),0), FactorTable!$A$2:$A$301,0), Skills!L19+1)</f>
        <v/>
      </c>
      <c r="F912">
        <f>IF(Skills!M19=TRUE,(Skills!K19/10)*(E912/1000),Skills!K19/10)+Skills!N19</f>
        <v/>
      </c>
      <c r="G912">
        <f>Calc!G19</f>
        <v/>
      </c>
      <c r="H912">
        <f>Calc!H19</f>
        <v/>
      </c>
      <c r="I912">
        <f>IF(Skills!T19&lt;&gt;"",1+(Skills!T19/10)*($Z$3/1000)/100,1)</f>
        <v/>
      </c>
      <c r="J912" t="inlineStr"/>
      <c r="K912" t="inlineStr"/>
      <c r="L912" t="inlineStr"/>
      <c r="M912" t="inlineStr"/>
      <c r="N912" t="inlineStr"/>
      <c r="O912" t="n">
        <v>0</v>
      </c>
      <c r="P912">
        <f>IF(B931=0,0,O912/B931)</f>
        <v/>
      </c>
      <c r="S912" t="n">
        <v>0</v>
      </c>
      <c r="V912">
        <f>IFERROR(1/IF(Inputs!$B$4="pvp",15,MAX(0.1,Skills!D19-IF(Skills!E19=TRUE,Inputs!$B$31,0))),0)</f>
        <v/>
      </c>
    </row>
    <row r="913">
      <c r="A913">
        <f>Skills!A20</f>
        <v/>
      </c>
      <c r="B913">
        <f>Skills!B20</f>
        <v/>
      </c>
      <c r="C913">
        <f>Inputs!$B$3&gt;=33</f>
        <v/>
      </c>
      <c r="D913">
        <f>IF(Skills!C20=1,60+Inputs!$B$24+Inputs!$B$28,IF(Skills!C20=2,90+Inputs!$B$25+Inputs!$B$28,IF(Skills!C20=3,120+Inputs!$B$26+Inputs!$B$28,MAX(0,(Inputs!$B$3-100)*3)+Inputs!$B$27+Inputs!$B$28)))</f>
        <v/>
      </c>
      <c r="E913">
        <f>INDEX(FactorTable!$B$2:$Y$301, MATCH(ROUND(MIN(300,MAX(1,D913)),0), FactorTable!$A$2:$A$301,0), Skills!L20+1)</f>
        <v/>
      </c>
      <c r="F913">
        <f>IF(Skills!M20=TRUE,(Skills!K20/10)*(E913/1000),Skills!K20/10)+Skills!N20</f>
        <v/>
      </c>
      <c r="G913">
        <f>Calc!G20</f>
        <v/>
      </c>
      <c r="H913">
        <f>Calc!H20</f>
        <v/>
      </c>
      <c r="I913">
        <f>IF(Skills!T20&lt;&gt;"",1+(Skills!T20/10)*($Z$3/1000)/100,1)</f>
        <v/>
      </c>
      <c r="J913" t="inlineStr"/>
      <c r="K913" t="inlineStr"/>
      <c r="L913" t="inlineStr"/>
      <c r="M913" t="inlineStr"/>
      <c r="N913" t="inlineStr"/>
      <c r="O913" t="n">
        <v>0</v>
      </c>
      <c r="P913">
        <f>IF(B931=0,0,O913/B931)</f>
        <v/>
      </c>
      <c r="S913" t="n">
        <v>0</v>
      </c>
      <c r="V913">
        <f>IFERROR(1/IF(Inputs!$B$4="pvp",15,MAX(0.1,Skills!D20-IF(Skills!E20=TRUE,Inputs!$B$31,0))),0)</f>
        <v/>
      </c>
    </row>
    <row r="914">
      <c r="A914">
        <f>Skills!A21</f>
        <v/>
      </c>
      <c r="B914">
        <f>Skills!B21</f>
        <v/>
      </c>
      <c r="C914">
        <f>Inputs!$B$3&gt;=43</f>
        <v/>
      </c>
      <c r="D914">
        <f>IF(Skills!C21=1,60+Inputs!$B$24+Inputs!$B$28,IF(Skills!C21=2,90+Inputs!$B$25+Inputs!$B$28,IF(Skills!C21=3,120+Inputs!$B$26+Inputs!$B$28,MAX(0,(Inputs!$B$3-100)*3)+Inputs!$B$27+Inputs!$B$28)))</f>
        <v/>
      </c>
      <c r="E914">
        <f>INDEX(FactorTable!$B$2:$Y$301, MATCH(ROUND(MIN(300,MAX(1,D914)),0), FactorTable!$A$2:$A$301,0), Skills!L21+1)</f>
        <v/>
      </c>
      <c r="F914">
        <f>IF(Skills!M21=TRUE,(Skills!K21/10)*(E914/1000),Skills!K21/10)+Skills!N21</f>
        <v/>
      </c>
      <c r="G914">
        <f>Calc!G21</f>
        <v/>
      </c>
      <c r="H914">
        <f>Calc!H21</f>
        <v/>
      </c>
      <c r="I914">
        <f>IF(Skills!T21&lt;&gt;"",1+(Skills!T21/10)*($Z$3/1000)/100,1)</f>
        <v/>
      </c>
      <c r="J914" t="inlineStr"/>
      <c r="K914" t="inlineStr"/>
      <c r="L914" t="inlineStr"/>
      <c r="M914" t="inlineStr"/>
      <c r="N914" t="inlineStr"/>
      <c r="O914" t="n">
        <v>0</v>
      </c>
      <c r="P914">
        <f>IF(B931=0,0,O914/B931)</f>
        <v/>
      </c>
      <c r="S914" t="n">
        <v>0</v>
      </c>
      <c r="V914">
        <f>IFERROR(1/IF(Inputs!$B$4="pvp",15,MAX(0.1,Skills!D21-IF(Skills!E21=TRUE,Inputs!$B$31,0))),0)</f>
        <v/>
      </c>
    </row>
    <row r="915">
      <c r="A915">
        <f>Skills!A22</f>
        <v/>
      </c>
      <c r="B915">
        <f>Skills!B22</f>
        <v/>
      </c>
      <c r="C915">
        <f>Inputs!$B$3&gt;=50</f>
        <v/>
      </c>
      <c r="D915">
        <f>IF(Skills!C22=1,60+Inputs!$B$24+Inputs!$B$28,IF(Skills!C22=2,90+Inputs!$B$25+Inputs!$B$28,IF(Skills!C22=3,120+Inputs!$B$26+Inputs!$B$28,MAX(0,(Inputs!$B$3-100)*3)+Inputs!$B$27+Inputs!$B$28)))</f>
        <v/>
      </c>
      <c r="E915">
        <f>INDEX(FactorTable!$B$2:$Y$301, MATCH(ROUND(MIN(300,MAX(1,D915)),0), FactorTable!$A$2:$A$301,0), Skills!L22+1)</f>
        <v/>
      </c>
      <c r="F915">
        <f>IF(Skills!M22=TRUE,(Skills!K22/10)*(E915/1000),Skills!K22/10)+Skills!N22</f>
        <v/>
      </c>
      <c r="G915">
        <f>Calc!G22</f>
        <v/>
      </c>
      <c r="H915">
        <f>Calc!H22</f>
        <v/>
      </c>
      <c r="I915">
        <f>IF(Skills!T22&lt;&gt;"",1+(Skills!T22/10)*($Z$3/1000)/100,1)</f>
        <v/>
      </c>
      <c r="J915" t="inlineStr"/>
      <c r="K915" t="inlineStr"/>
      <c r="L915" t="inlineStr"/>
      <c r="M915" t="inlineStr"/>
      <c r="N915" t="inlineStr"/>
      <c r="O915" t="n">
        <v>0</v>
      </c>
      <c r="P915">
        <f>IF(B931=0,0,O915/B931)</f>
        <v/>
      </c>
      <c r="S915" t="n">
        <v>0</v>
      </c>
      <c r="V915">
        <f>IFERROR(1/IF(Inputs!$B$4="pvp",15,MAX(0.1,Skills!D22-IF(Skills!E22=TRUE,Inputs!$B$31,0))),0)</f>
        <v/>
      </c>
    </row>
    <row r="916">
      <c r="A916">
        <f>Skills!A23</f>
        <v/>
      </c>
      <c r="B916">
        <f>Skills!B23</f>
        <v/>
      </c>
      <c r="C916">
        <f>Inputs!$B$3&gt;=74</f>
        <v/>
      </c>
      <c r="D916">
        <f>IF(Skills!C23=1,60+Inputs!$B$24+Inputs!$B$28,IF(Skills!C23=2,90+Inputs!$B$25+Inputs!$B$28,IF(Skills!C23=3,120+Inputs!$B$26+Inputs!$B$28,MAX(0,(Inputs!$B$3-100)*3)+Inputs!$B$27+Inputs!$B$28)))</f>
        <v/>
      </c>
      <c r="E916">
        <f>INDEX(FactorTable!$B$2:$Y$301, MATCH(ROUND(MIN(300,MAX(1,D916)),0), FactorTable!$A$2:$A$301,0), Skills!L23+1)</f>
        <v/>
      </c>
      <c r="F916">
        <f>IF(Skills!M23=TRUE,(Skills!K23/10)*(E916/1000),Skills!K23/10)+Skills!N23</f>
        <v/>
      </c>
      <c r="G916">
        <f>Calc!G23</f>
        <v/>
      </c>
      <c r="H916">
        <f>Calc!H23</f>
        <v/>
      </c>
      <c r="I916">
        <f>IF(Skills!T23&lt;&gt;"",1+(Skills!T23/10)*($Z$3/1000)/100,1)</f>
        <v/>
      </c>
      <c r="J916" t="inlineStr"/>
      <c r="K916" t="inlineStr"/>
      <c r="L916" t="inlineStr"/>
      <c r="M916" t="inlineStr"/>
      <c r="N916" t="inlineStr"/>
      <c r="O916" t="n">
        <v>0</v>
      </c>
      <c r="P916">
        <f>IF(B931=0,0,O916/B931)</f>
        <v/>
      </c>
      <c r="S916" t="n">
        <v>0</v>
      </c>
      <c r="V916">
        <f>IFERROR(1/IF(Inputs!$B$4="pvp",15,MAX(0.1,Skills!D23-IF(Skills!E23=TRUE,Inputs!$B$31,0))),0)</f>
        <v/>
      </c>
    </row>
    <row r="917">
      <c r="A917">
        <f>Skills!A24</f>
        <v/>
      </c>
      <c r="B917">
        <f>Skills!B24</f>
        <v/>
      </c>
      <c r="C917">
        <f>Inputs!$B$3&gt;=74</f>
        <v/>
      </c>
      <c r="D917">
        <f>IF(Skills!C24=1,60+Inputs!$B$24+Inputs!$B$28,IF(Skills!C24=2,90+Inputs!$B$25+Inputs!$B$28,IF(Skills!C24=3,120+Inputs!$B$26+Inputs!$B$28,MAX(0,(Inputs!$B$3-100)*3)+Inputs!$B$27+Inputs!$B$28)))</f>
        <v/>
      </c>
      <c r="E917">
        <f>INDEX(FactorTable!$B$2:$Y$301, MATCH(ROUND(MIN(300,MAX(1,D917)),0), FactorTable!$A$2:$A$301,0), Skills!L24+1)</f>
        <v/>
      </c>
      <c r="F917">
        <f>IF(Skills!M24=TRUE,(Skills!K24/10)*(E917/1000),Skills!K24/10)+Skills!N24</f>
        <v/>
      </c>
      <c r="G917">
        <f>Calc!G24</f>
        <v/>
      </c>
      <c r="H917">
        <f>Calc!H24</f>
        <v/>
      </c>
      <c r="I917">
        <f>IF(Skills!T24&lt;&gt;"",1+(Skills!T24/10)*($Z$3/1000)/100,1)</f>
        <v/>
      </c>
      <c r="J917" t="inlineStr"/>
      <c r="K917" t="inlineStr"/>
      <c r="L917" t="inlineStr"/>
      <c r="M917" t="inlineStr"/>
      <c r="N917" t="inlineStr"/>
      <c r="O917" t="n">
        <v>0</v>
      </c>
      <c r="P917">
        <f>IF(B931=0,0,O917/B931)</f>
        <v/>
      </c>
      <c r="S917" t="n">
        <v>0</v>
      </c>
      <c r="V917">
        <f>IFERROR(1/IF(Inputs!$B$4="pvp",15,MAX(0.1,Skills!D24-IF(Skills!E24=TRUE,Inputs!$B$31,0))),0)</f>
        <v/>
      </c>
    </row>
    <row r="918">
      <c r="A918">
        <f>Skills!A25</f>
        <v/>
      </c>
      <c r="B918">
        <f>Skills!B25</f>
        <v/>
      </c>
      <c r="C918">
        <f>Inputs!$B$3&gt;=117</f>
        <v/>
      </c>
      <c r="D918">
        <f>IF(Skills!C25=1,60+Inputs!$B$24+Inputs!$B$28,IF(Skills!C25=2,90+Inputs!$B$25+Inputs!$B$28,IF(Skills!C25=3,120+Inputs!$B$26+Inputs!$B$28,MAX(0,(Inputs!$B$3-100)*3)+Inputs!$B$27+Inputs!$B$28)))</f>
        <v/>
      </c>
      <c r="E918">
        <f>INDEX(FactorTable!$B$2:$Y$301, MATCH(ROUND(MIN(300,MAX(1,D918)),0), FactorTable!$A$2:$A$301,0), Skills!L25+1)</f>
        <v/>
      </c>
      <c r="F918">
        <f>IF(Skills!M25=TRUE,(Skills!K25/10)*(E918/1000),Skills!K25/10)+Skills!N25</f>
        <v/>
      </c>
      <c r="G918">
        <f>Calc!G25</f>
        <v/>
      </c>
      <c r="H918">
        <f>Calc!H25</f>
        <v/>
      </c>
      <c r="I918">
        <f>IF(Skills!T25&lt;&gt;"",1+(Skills!T25/10)*($Z$3/1000)/100,1)</f>
        <v/>
      </c>
      <c r="J918" t="inlineStr"/>
      <c r="K918" t="inlineStr"/>
      <c r="L918" t="inlineStr"/>
      <c r="M918" t="inlineStr"/>
      <c r="N918" t="inlineStr"/>
      <c r="O918" t="n">
        <v>0</v>
      </c>
      <c r="P918">
        <f>IF(B931=0,0,O918/B931)</f>
        <v/>
      </c>
      <c r="S918" t="n">
        <v>0</v>
      </c>
      <c r="V918">
        <f>IFERROR(1/IF(Inputs!$B$4="pvp",15,MAX(0.1,Skills!D25-IF(Skills!E25=TRUE,Inputs!$B$31,0))),0)</f>
        <v/>
      </c>
    </row>
    <row r="919">
      <c r="A919">
        <f>Skills!A26</f>
        <v/>
      </c>
      <c r="B919">
        <f>Skills!B26</f>
        <v/>
      </c>
      <c r="C919">
        <f>Inputs!$B$3&gt;=120</f>
        <v/>
      </c>
      <c r="D919">
        <f>IF(Skills!C26=1,60+Inputs!$B$24+Inputs!$B$28,IF(Skills!C26=2,90+Inputs!$B$25+Inputs!$B$28,IF(Skills!C26=3,120+Inputs!$B$26+Inputs!$B$28,MAX(0,(Inputs!$B$3-100)*3)+Inputs!$B$27+Inputs!$B$28)))</f>
        <v/>
      </c>
      <c r="E919">
        <f>INDEX(FactorTable!$B$2:$Y$301, MATCH(ROUND(MIN(300,MAX(1,D919)),0), FactorTable!$A$2:$A$301,0), Skills!L26+1)</f>
        <v/>
      </c>
      <c r="F919">
        <f>IF(Skills!M26=TRUE,(Skills!K26/10)*(E919/1000),Skills!K26/10)+Skills!N26</f>
        <v/>
      </c>
      <c r="G919">
        <f>Calc!G26</f>
        <v/>
      </c>
      <c r="H919">
        <f>Calc!H26</f>
        <v/>
      </c>
      <c r="I919">
        <f>IF(Skills!T26&lt;&gt;"",1+(Skills!T26/10)*($Z$3/1000)/100,1)</f>
        <v/>
      </c>
      <c r="J919" t="inlineStr"/>
      <c r="K919" t="inlineStr"/>
      <c r="L919" t="inlineStr"/>
      <c r="M919" t="inlineStr"/>
      <c r="N919" t="inlineStr"/>
      <c r="O919" t="n">
        <v>0</v>
      </c>
      <c r="P919">
        <f>IF(B931=0,0,O919/B931)</f>
        <v/>
      </c>
      <c r="S919" t="n">
        <v>0</v>
      </c>
      <c r="V919">
        <f>IFERROR(1/IF(Inputs!$B$4="pvp",15,MAX(0.1,Skills!D26-IF(Skills!E26=TRUE,Inputs!$B$31,0))),0)</f>
        <v/>
      </c>
    </row>
    <row r="921">
      <c r="A921" t="inlineStr">
        <is>
          <t>Average Buff Multiplier</t>
        </is>
      </c>
      <c r="B921">
        <f>(1+(IF(C896=TRUE,F896*IF(AND(Inputs!$B$4&lt;&gt;"pvp",Inputs!$B$35&gt;0),(((S896-1)*(Skills!S3*(1+(Inputs!$B$33+IF(Inputs!$B$3&gt;=117,F918,0))/100))+MIN((Skills!S3*(1+(Inputs!$B$33+IF(Inputs!$B$3&gt;=117,F918,0))/100)),MAX(0,Inputs!$B$35-((S896-1)*Skills!D3))))/Inputs!$B$35),IF(Inputs!$B$4="pvp",MIN((Skills!S3*(1+(Inputs!$B$33+IF(Inputs!$B$3&gt;=117,F918,0))/100)),15)/15,(Skills!S3*(1+(Inputs!$B$33+IF(Inputs!$B$3&gt;=117,F918,0))/100))/Skills!D3)),0)+IF(C897=TRUE,F897*IF(AND(Inputs!$B$4&lt;&gt;"pvp",Inputs!$B$35&gt;0),(((S897-1)*(Skills!S4*(1+(Inputs!$B$33+IF(Inputs!$B$3&gt;=117,F918,0))/100))+MIN((Skills!S4*(1+(Inputs!$B$33+IF(Inputs!$B$3&gt;=117,F918,0))/100)),MAX(0,Inputs!$B$35-((S897-1)*Skills!D4))))/Inputs!$B$35),IF(Inputs!$B$4="pvp",MIN((Skills!S4*(1+(Inputs!$B$33+IF(Inputs!$B$3&gt;=117,F918,0))/100)),15)/15,(Skills!S4*(1+(Inputs!$B$33+IF(Inputs!$B$3&gt;=117,F918,0))/100))/Skills!D4)),0)+IF(C898=TRUE,F898*IF(AND(Inputs!$B$4&lt;&gt;"pvp",Inputs!$B$35&gt;0),(((S898-1)*(Skills!S5*(1+(Inputs!$B$33+IF(Inputs!$B$3&gt;=117,F918,0))/100))+MIN((Skills!S5*(1+(Inputs!$B$33+IF(Inputs!$B$3&gt;=117,F918,0))/100)),MAX(0,Inputs!$B$35-((S898-1)*Skills!D5))))/Inputs!$B$35),IF(Inputs!$B$4="pvp",MIN((Skills!S5*(1+(Inputs!$B$33+IF(Inputs!$B$3&gt;=117,F918,0))/100)),15)/15,(Skills!S5*(1+(Inputs!$B$33+IF(Inputs!$B$3&gt;=117,F918,0))/100))/Skills!D5)),0)+IF(C904=TRUE,F904*IF(AND(Inputs!$B$4&lt;&gt;"pvp",Inputs!$B$35&gt;0),(((S904-1)*(Skills!S11*(1+(Inputs!$B$33+IF(Inputs!$B$3&gt;=117,F918,0))/100))+MIN((Skills!S11*(1+(Inputs!$B$33+IF(Inputs!$B$3&gt;=117,F918,0))/100)),MAX(0,Inputs!$B$35-((S904-1)*Skills!D11))))/Inputs!$B$35),IF(Inputs!$B$4="pvp",MIN((Skills!S11*(1+(Inputs!$B$33+IF(Inputs!$B$3&gt;=117,F918,0))/100)),15)/15,(Skills!S11*(1+(Inputs!$B$33+IF(Inputs!$B$3&gt;=117,F918,0))/100))/Skills!D11)),0))/100)*IF(C906=TRUE,(1+F906*IF(AND(Inputs!$B$4&lt;&gt;"pvp",Inputs!$B$35&gt;0),(((S906-1)*(Skills!S13*(1+(Inputs!$B$33+IF(Inputs!$B$3&gt;=117,F918,0))/100))+MIN((Skills!S13*(1+(Inputs!$B$33+IF(Inputs!$B$3&gt;=117,F918,0))/100)),MAX(0,Inputs!$B$35-((S906-1)*Skills!D13))))/Inputs!$B$35),IF(Inputs!$B$4="pvp",MIN((Skills!S13*(1+(Inputs!$B$33+IF(Inputs!$B$3&gt;=117,F918,0))/100)),15)/15,(Skills!S13*(1+(Inputs!$B$33+IF(Inputs!$B$3&gt;=117,F918,0))/100))/Skills!D13))/100),1)*IF(C911=TRUE,(1+F911*IF(AND(Inputs!$B$4&lt;&gt;"pvp",Inputs!$B$35&gt;0),(((S911-1)*(Skills!S18*(1+(Inputs!$B$33+IF(Inputs!$B$3&gt;=117,F918,0))/100))+MIN((Skills!S18*(1+(Inputs!$B$33+IF(Inputs!$B$3&gt;=117,F918,0))/100)),MAX(0,Inputs!$B$35-((S911-1)*Skills!D18))))/Inputs!$B$35),IF(Inputs!$B$4="pvp",MIN((Skills!S18*(1+(Inputs!$B$33+IF(Inputs!$B$3&gt;=117,F918,0))/100)),15)/15,(Skills!S18*(1+(Inputs!$B$33+IF(Inputs!$B$3&gt;=117,F918,0))/100))/Skills!D18))/100),1)</f>
        <v/>
      </c>
    </row>
    <row r="922">
      <c r="A922" t="inlineStr">
        <is>
          <t>Monster Damage Taken Bonus % (Holy Fountain)</t>
        </is>
      </c>
      <c r="B922">
        <f>IF(Inputs!$B$3&gt;=68,20*IF(Inputs!$B$4="pvp",MIN((15*(1+(Inputs!$B$33+IF(Inputs!$B$3&gt;=117,F918,0))/100)),15)/15,(15*(1+(Inputs!$B$33+IF(Inputs!$B$3&gt;=117,F918,0))/100))/Skills!D10),0)</f>
        <v/>
      </c>
    </row>
    <row r="923">
      <c r="A923" t="inlineStr">
        <is>
          <t>Normal Monster Damage Bonus % (Holy Symbol)</t>
        </is>
      </c>
      <c r="B923">
        <f>IF(C905=TRUE,F905*IF(AND(Inputs!$B$4&lt;&gt;"pvp",Inputs!$B$35&gt;0),(((S905-1)*(Skills!S12*(1+(Inputs!$B$33+IF(Inputs!$B$3&gt;=117,F918,0))/100))+MIN((Skills!S12*(1+(Inputs!$B$33+IF(Inputs!$B$3&gt;=117,F918,0))/100)),MAX(0,Inputs!$B$35-((S905-1)*Skills!D12))))/Inputs!$B$35),IF(Inputs!$B$4="pvp",MIN((Skills!S12*(1+(Inputs!$B$33+IF(Inputs!$B$3&gt;=117,F918,0))/100)),15)/15,(Skills!S12*(1+(Inputs!$B$33+IF(Inputs!$B$3&gt;=117,F918,0))/100))/Skills!D12)),0)</f>
        <v/>
      </c>
    </row>
    <row r="924">
      <c r="A924" t="inlineStr">
        <is>
          <t>Damage % Bonus (Holy Symbol - Damage Boost)</t>
        </is>
      </c>
      <c r="B924">
        <f>Skills!O12</f>
        <v/>
      </c>
    </row>
    <row r="925">
      <c r="A925" t="inlineStr">
        <is>
          <t>Crit Damage % Bonus (Blood of the Divine)</t>
        </is>
      </c>
      <c r="B925">
        <f>4*IF(C912=TRUE,F912,0)</f>
        <v/>
      </c>
    </row>
    <row r="926">
      <c r="A926" t="inlineStr">
        <is>
          <t>Attack Speed Bonus %</t>
        </is>
      </c>
      <c r="B926">
        <f>IF(C909=TRUE,F909+(F913-Calc!F20),0)+IF(Inputs!$B$3&gt;=134,15,0)</f>
        <v/>
      </c>
    </row>
    <row r="927">
      <c r="A927" t="inlineStr">
        <is>
          <t>Actions Per Second</t>
        </is>
      </c>
      <c r="B927">
        <f>1+MIN(150,150*(1-(1-Inputs!$B$10/150)*(1-B926/150)))/100</f>
        <v/>
      </c>
    </row>
    <row r="928">
      <c r="A928" t="inlineStr">
        <is>
          <t>Skill + Buff Cast Rate</t>
        </is>
      </c>
      <c r="B928">
        <f>IF(AND(Inputs!$B$4&lt;&gt;"pvp",Inputs!$B$35&gt;0),SUMPRODUCT((Skills!E2:E26=TRUE)*(C895:C919=TRUE)*S895:S919)/Inputs!$B$35,SUMPRODUCT((Skills!E2:E26=TRUE)*(C895:C919=TRUE)*V895:V919))</f>
        <v/>
      </c>
    </row>
    <row r="929">
      <c r="A929" t="inlineStr">
        <is>
          <t>Big Bang Casts Per Second</t>
        </is>
      </c>
      <c r="B929">
        <f>MAX(0,B927-B928)</f>
        <v/>
      </c>
    </row>
    <row r="931">
      <c r="A931" s="5" t="inlineStr">
        <is>
          <t>TOTAL DPS</t>
        </is>
      </c>
      <c r="B931" s="5">
        <f>SUM(O895:O919)</f>
        <v/>
      </c>
    </row>
    <row r="934">
      <c r="A934" s="5" t="inlineStr">
        <is>
          <t>Stat: Skill Cooldown Decrease (seconds)</t>
        </is>
      </c>
    </row>
    <row r="935">
      <c r="A935" s="8" t="inlineStr">
        <is>
          <t>Key</t>
        </is>
      </c>
      <c r="B935" s="8" t="inlineStr">
        <is>
          <t>Name</t>
        </is>
      </c>
      <c r="C935" s="8" t="inlineStr">
        <is>
          <t>Unlocked</t>
        </is>
      </c>
      <c r="D935" s="8" t="inlineStr">
        <is>
          <t>InputLevel</t>
        </is>
      </c>
      <c r="E935" s="8" t="inlineStr">
        <is>
          <t>Factor</t>
        </is>
      </c>
      <c r="F935" s="8" t="inlineStr">
        <is>
          <t>CoefficientPercent</t>
        </is>
      </c>
      <c r="G935" s="8" t="inlineStr">
        <is>
          <t>EffectiveHits</t>
        </is>
      </c>
      <c r="H935" s="8" t="inlineStr">
        <is>
          <t>ProcProbability</t>
        </is>
      </c>
      <c r="I935" s="8" t="inlineStr">
        <is>
          <t>MapleHeroMultiplier</t>
        </is>
      </c>
      <c r="J935" s="8" t="inlineStr">
        <is>
          <t>BaseDamage</t>
        </is>
      </c>
      <c r="K935" s="8" t="inlineStr">
        <is>
          <t>BaseHitDamage</t>
        </is>
      </c>
      <c r="L935" s="8" t="inlineStr">
        <is>
          <t>NonCritAvg</t>
        </is>
      </c>
      <c r="M935" s="8" t="inlineStr">
        <is>
          <t>CritAvg</t>
        </is>
      </c>
      <c r="N935" s="8" t="inlineStr">
        <is>
          <t>ExpectedDamage(perHit)</t>
        </is>
      </c>
      <c r="O935" s="8" t="inlineStr">
        <is>
          <t>DPS</t>
        </is>
      </c>
      <c r="P935" s="8" t="inlineStr">
        <is>
          <t>% of Total</t>
        </is>
      </c>
      <c r="R935" t="inlineStr">
        <is>
          <t>helpers</t>
        </is>
      </c>
    </row>
    <row r="936">
      <c r="A936">
        <f>Skills!A2</f>
        <v/>
      </c>
      <c r="B936">
        <f>Skills!B2</f>
        <v/>
      </c>
      <c r="C936">
        <f>Inputs!$B$3&gt;=100</f>
        <v/>
      </c>
      <c r="D936" t="inlineStr"/>
      <c r="E936" t="inlineStr"/>
      <c r="F936">
        <f>T938+Skills!N2</f>
        <v/>
      </c>
      <c r="G936">
        <f>Calc!G2</f>
        <v/>
      </c>
      <c r="H936">
        <f>Calc!H2</f>
        <v/>
      </c>
      <c r="I936">
        <f>IF(Skills!T2&lt;&gt;"",1+(Skills!T2/10)*($Z$3/1000)/100,1)</f>
        <v/>
      </c>
      <c r="J936">
        <f>((Inputs!$B$5*(1+Inputs!$B$6/100))+((Inputs!$B$11*(1+Inputs!$B$12/100))-(Inputs!$B$11*(1+Inputs!$B$12/100)))*(1+Inputs!$B$6/100))*(F936/100)</f>
        <v/>
      </c>
      <c r="K936">
        <f>J936*(1+((Inputs!$B$11*(1+Inputs!$B$12/100))*0.01+Inputs!$B$13*0.0025)/100)*(1+(Inputs!$B$14+B965)/100)*(1+IF(Inputs!$B$4="pvp",0,(1-Summary!$B$48)*(Inputs!$B$19+Skills!O2+B963)+Summary!$B$48*(Inputs!$B$20+Skills!P2+B964))/100)*(1+Inputs!$B$15/100)*(5000/(6000+Inputs!$B$7*(1-Inputs!$B$18/100)))*(1+Inputs!$B$23/100)*(1+IF(C951=TRUE,F951,0)/100)*(1+IF(C953=TRUE,F953,0)/100)*(1+IF(Skills!A2="TRIUMPH_FEATHER",IF(C949=TRUE,F949,0),0)/100)*(1+IF(C960=TRUE,F960,0)/100)^5*(1+(IF(Skills!A2="BIG_BANG",Inputs!$B$16,Inputs!$B$17))/100)*(B962*I936)</f>
        <v/>
      </c>
      <c r="L936">
        <f>K936*(MIN(Inputs!$B$21+(F955-Calc!F21),Inputs!$B$22)/100+Inputs!$B$22/100)/2</f>
        <v/>
      </c>
      <c r="M936">
        <f>L936*(1+(Inputs!$B$9+B966+(F958-Calc!F24))/100)</f>
        <v/>
      </c>
      <c r="N936">
        <f>L936*(1-MIN(Inputs!$B$8+((F957-Calc!F23)+(F956-Calc!F22)),100)/100)+M936*(MIN(Inputs!$B$8+((F957-Calc!F23)+(F956-Calc!F22)),100)/100)</f>
        <v/>
      </c>
      <c r="O936">
        <f>IF(C936,Skills!F2*N936*B970*IF(Inputs!$B$4="pvp",1,(1-Summary!$B$48)*(1)+Summary!$B$48*(MIN((6+Inputs!$B$32),Inputs!$B$37))),0)</f>
        <v/>
      </c>
      <c r="P936">
        <f>IF(B972=0,0,O936/B972)</f>
        <v/>
      </c>
      <c r="S936" t="n">
        <v>0</v>
      </c>
      <c r="T936">
        <f>MAX(0,(Inputs!$B$3-100)*3)+Inputs!$B$27+Inputs!$B$28</f>
        <v/>
      </c>
      <c r="V936">
        <f>IFERROR(1/IF(Inputs!$B$4="pvp",15,MAX(0.1,Skills!D2-IF(Skills!E2=TRUE,(Inputs!$B$31+1),0))),0)</f>
        <v/>
      </c>
    </row>
    <row r="937">
      <c r="A937">
        <f>Skills!A3</f>
        <v/>
      </c>
      <c r="B937">
        <f>Skills!B3</f>
        <v/>
      </c>
      <c r="C937">
        <f>Inputs!$B$3&gt;=15</f>
        <v/>
      </c>
      <c r="D937">
        <f>IF(Skills!C3=1,60+Inputs!$B$24+Inputs!$B$28,IF(Skills!C3=2,90+Inputs!$B$25+Inputs!$B$28,IF(Skills!C3=3,120+Inputs!$B$26+Inputs!$B$28,MAX(0,(Inputs!$B$3-100)*3)+Inputs!$B$27+Inputs!$B$28)))</f>
        <v/>
      </c>
      <c r="E937">
        <f>INDEX(FactorTable!$B$2:$Y$301, MATCH(ROUND(MIN(300,MAX(1,D937)),0), FactorTable!$A$2:$A$301,0), Skills!L3+1)</f>
        <v/>
      </c>
      <c r="F937">
        <f>IF(Skills!M3=TRUE,(Skills!K3/10)*(E937/1000),Skills!K3/10)+Skills!N3</f>
        <v/>
      </c>
      <c r="G937">
        <f>Calc!G3</f>
        <v/>
      </c>
      <c r="H937">
        <f>Calc!H3</f>
        <v/>
      </c>
      <c r="I937">
        <f>IF(Skills!T3&lt;&gt;"",1+(Skills!T3/10)*($Z$3/1000)/100,1)</f>
        <v/>
      </c>
      <c r="J937" t="inlineStr"/>
      <c r="K937" t="inlineStr"/>
      <c r="L937" t="inlineStr"/>
      <c r="M937" t="inlineStr"/>
      <c r="N937" t="inlineStr"/>
      <c r="O937" t="n">
        <v>0</v>
      </c>
      <c r="P937">
        <f>IF(B972=0,0,O937/B972)</f>
        <v/>
      </c>
      <c r="S937">
        <f>IF(AND(Inputs!$B$4&lt;&gt;"pvp",Inputs!$B$35&gt;0),(INT(Inputs!$B$35/IF(Inputs!$B$4="pvp",15,MAX(0.1,Skills!D3-IF(Skills!E3=TRUE,(Inputs!$B$31+1),0))))+1),0)</f>
        <v/>
      </c>
      <c r="T937">
        <f>INDEX(FactorTable!$B$2:$Y$301, MATCH(ROUND(MIN(300,MAX(1,T936)),0), FactorTable!$A$2:$A$301,0), 22)</f>
        <v/>
      </c>
      <c r="V937">
        <f>IFERROR(1/IF(Inputs!$B$4="pvp",15,MAX(0.1,Skills!D3-IF(Skills!E3=TRUE,(Inputs!$B$31+1),0))),0)</f>
        <v/>
      </c>
    </row>
    <row r="938">
      <c r="A938">
        <f>Skills!A4</f>
        <v/>
      </c>
      <c r="B938">
        <f>Skills!B4</f>
        <v/>
      </c>
      <c r="C938">
        <f>Inputs!$B$3&gt;=38</f>
        <v/>
      </c>
      <c r="D938">
        <f>IF(Skills!C4=1,60+Inputs!$B$24+Inputs!$B$28,IF(Skills!C4=2,90+Inputs!$B$25+Inputs!$B$28,IF(Skills!C4=3,120+Inputs!$B$26+Inputs!$B$28,MAX(0,(Inputs!$B$3-100)*3)+Inputs!$B$27+Inputs!$B$28)))</f>
        <v/>
      </c>
      <c r="E938">
        <f>INDEX(FactorTable!$B$2:$Y$301, MATCH(ROUND(MIN(300,MAX(1,D938)),0), FactorTable!$A$2:$A$301,0), Skills!L4+1)</f>
        <v/>
      </c>
      <c r="F938">
        <f>IF(Skills!M4=TRUE,(Skills!K4/10)*(E938/1000),Skills!K4/10)+Skills!N4</f>
        <v/>
      </c>
      <c r="G938">
        <f>Calc!G4</f>
        <v/>
      </c>
      <c r="H938">
        <f>Calc!H4</f>
        <v/>
      </c>
      <c r="I938">
        <f>IF(Skills!T4&lt;&gt;"",1+(Skills!T4/10)*($Z$3/1000)/100,1)</f>
        <v/>
      </c>
      <c r="J938" t="inlineStr"/>
      <c r="K938" t="inlineStr"/>
      <c r="L938" t="inlineStr"/>
      <c r="M938" t="inlineStr"/>
      <c r="N938" t="inlineStr"/>
      <c r="O938" t="n">
        <v>0</v>
      </c>
      <c r="P938">
        <f>IF(B972=0,0,O938/B972)</f>
        <v/>
      </c>
      <c r="S938">
        <f>IF(AND(Inputs!$B$4&lt;&gt;"pvp",Inputs!$B$35&gt;0),(INT(Inputs!$B$35/IF(Inputs!$B$4="pvp",15,MAX(0.1,Skills!D4-IF(Skills!E4=TRUE,(Inputs!$B$31+1),0))))+1),0)</f>
        <v/>
      </c>
      <c r="T938">
        <f>290*T937/1000</f>
        <v/>
      </c>
      <c r="V938">
        <f>IFERROR(1/IF(Inputs!$B$4="pvp",15,MAX(0.1,Skills!D4-IF(Skills!E4=TRUE,(Inputs!$B$31+1),0))),0)</f>
        <v/>
      </c>
    </row>
    <row r="939">
      <c r="A939">
        <f>Skills!A5</f>
        <v/>
      </c>
      <c r="B939">
        <f>Skills!B5</f>
        <v/>
      </c>
      <c r="C939">
        <f>Inputs!$B$3&gt;=40</f>
        <v/>
      </c>
      <c r="D939">
        <f>IF(Skills!C5=1,60+Inputs!$B$24+Inputs!$B$28,IF(Skills!C5=2,90+Inputs!$B$25+Inputs!$B$28,IF(Skills!C5=3,120+Inputs!$B$26+Inputs!$B$28,MAX(0,(Inputs!$B$3-100)*3)+Inputs!$B$27+Inputs!$B$28)))</f>
        <v/>
      </c>
      <c r="E939">
        <f>INDEX(FactorTable!$B$2:$Y$301, MATCH(ROUND(MIN(300,MAX(1,D939)),0), FactorTable!$A$2:$A$301,0), Skills!L5+1)</f>
        <v/>
      </c>
      <c r="F939">
        <f>IF(Skills!M5=TRUE,(Skills!K5/10)*(E939/1000),Skills!K5/10)+Skills!N5</f>
        <v/>
      </c>
      <c r="G939">
        <f>Calc!G5</f>
        <v/>
      </c>
      <c r="H939">
        <f>Calc!H5</f>
        <v/>
      </c>
      <c r="I939">
        <f>IF(Skills!T5&lt;&gt;"",1+(Skills!T5/10)*($Z$3/1000)/100,1)</f>
        <v/>
      </c>
      <c r="J939" t="inlineStr"/>
      <c r="K939" t="inlineStr"/>
      <c r="L939" t="inlineStr"/>
      <c r="M939" t="inlineStr"/>
      <c r="N939" t="inlineStr"/>
      <c r="O939" t="n">
        <v>0</v>
      </c>
      <c r="P939">
        <f>IF(B972=0,0,O939/B972)</f>
        <v/>
      </c>
      <c r="S939">
        <f>IF(AND(Inputs!$B$4&lt;&gt;"pvp",Inputs!$B$35&gt;0),(INT(Inputs!$B$35/IF(Inputs!$B$4="pvp",15,MAX(0.1,Skills!D5-IF(Skills!E5=TRUE,(Inputs!$B$31+1),0))))+1),0)</f>
        <v/>
      </c>
      <c r="V939">
        <f>IFERROR(1/IF(Inputs!$B$4="pvp",15,MAX(0.1,Skills!D5-IF(Skills!E5=TRUE,(Inputs!$B$31+1),0))),0)</f>
        <v/>
      </c>
    </row>
    <row r="940">
      <c r="A940">
        <f>Skills!A6</f>
        <v/>
      </c>
      <c r="B940">
        <f>Skills!B6</f>
        <v/>
      </c>
      <c r="C940">
        <f>Inputs!$B$3&gt;=103</f>
        <v/>
      </c>
      <c r="D940">
        <f>IF(Skills!C6=1,60+Inputs!$B$24+Inputs!$B$28,IF(Skills!C6=2,90+Inputs!$B$25+Inputs!$B$28,IF(Skills!C6=3,120+Inputs!$B$26+Inputs!$B$28,MAX(0,(Inputs!$B$3-100)*3)+Inputs!$B$27+Inputs!$B$28)))</f>
        <v/>
      </c>
      <c r="E940">
        <f>INDEX(FactorTable!$B$2:$Y$301, MATCH(ROUND(MIN(300,MAX(1,D940)),0), FactorTable!$A$2:$A$301,0), Skills!L6+1)</f>
        <v/>
      </c>
      <c r="F940">
        <f>IF(Skills!M6=TRUE,(Skills!K6/10)*(E940/1000),Skills!K6/10)+Skills!N6</f>
        <v/>
      </c>
      <c r="G940">
        <f>Calc!G6</f>
        <v/>
      </c>
      <c r="H940">
        <f>Calc!H6</f>
        <v/>
      </c>
      <c r="I940">
        <f>IF(Skills!T6&lt;&gt;"",1+(Skills!T6/10)*($Z$3/1000)/100,1)</f>
        <v/>
      </c>
      <c r="J940">
        <f>((Inputs!$B$5*(1+Inputs!$B$6/100))+((Inputs!$B$11*(1+Inputs!$B$12/100))-(Inputs!$B$11*(1+Inputs!$B$12/100)))*(1+Inputs!$B$6/100))*(F940/100)</f>
        <v/>
      </c>
      <c r="K940">
        <f>J940*(1+((Inputs!$B$11*(1+Inputs!$B$12/100))*0.01+Inputs!$B$13*0.0025)/100)*(1+(Inputs!$B$14+B965)/100)*(1+IF(Inputs!$B$4="pvp",0,(1-Summary!$B$48)*(Inputs!$B$19+Skills!O6+B963)+Summary!$B$48*(Inputs!$B$20+Skills!P6+B964))/100)*(1+Inputs!$B$15/100)*(5000/(6000+Inputs!$B$7*(1-Inputs!$B$18/100)))*(1+Inputs!$B$23/100)*(1+IF(C951=TRUE,F951,0)/100)*(1+IF(C953=TRUE,F953,0)/100)*(1+IF(Skills!A6="TRIUMPH_FEATHER",IF(C949=TRUE,F949,0),0)/100)*(1+IF(C960=TRUE,F960,0)/100)^5*(1+(IF(Skills!A6="BIG_BANG",Inputs!$B$16,Inputs!$B$17))/100)*(B962*I940)</f>
        <v/>
      </c>
      <c r="L940">
        <f>K940*(MIN(Inputs!$B$21+(F955-Calc!F21),Inputs!$B$22)/100+Inputs!$B$22/100)/2</f>
        <v/>
      </c>
      <c r="M940">
        <f>L940*(1+(Inputs!$B$9+B966+(F958-Calc!F24))/100)</f>
        <v/>
      </c>
      <c r="N940">
        <f>L940*(1-MIN(Inputs!$B$8+((F957-Calc!F23)+(F956-Calc!F22)),100)/100)+M940*(MIN(Inputs!$B$8+((F957-Calc!F23)+(F956-Calc!F22)),100)/100)</f>
        <v/>
      </c>
      <c r="O940">
        <f>IF(C940,H940*N940*IF(AND(Inputs!$B$4&lt;&gt;"pvp",Inputs!$B$35&gt;0),((Skills!F6*((S940-1)*IF(Skills!G6&gt;0,Skills!H6/Skills!G6,1)+IF(Skills!G6&gt;0,MIN(Skills!H6,MAX(0,Inputs!$B$35-((S940-1)*IF(Inputs!$B$4="pvp",15,MAX(0.1,Skills!D6-IF(Skills!E6=TRUE,(Inputs!$B$31+1),0))))))/Skills!G6,1)))/Inputs!$B$35),G940*V940)*IF(Inputs!$B$4="pvp",1,(1-Summary!$B$48)*(1)+Summary!$B$48*(MIN(Skills!Q6,Inputs!$B$37))),0)</f>
        <v/>
      </c>
      <c r="P940">
        <f>IF(B972=0,0,O940/B972)</f>
        <v/>
      </c>
      <c r="S940">
        <f>IF(AND(Inputs!$B$4&lt;&gt;"pvp",Inputs!$B$35&gt;0),(INT(Inputs!$B$35/IF(Inputs!$B$4="pvp",15,MAX(0.1,Skills!D6-IF(Skills!E6=TRUE,(Inputs!$B$31+1),0))))+1),0)</f>
        <v/>
      </c>
      <c r="V940">
        <f>IFERROR(1/IF(Inputs!$B$4="pvp",15,MAX(0.1,Skills!D6-IF(Skills!E6=TRUE,(Inputs!$B$31+1),0))),0)</f>
        <v/>
      </c>
    </row>
    <row r="941">
      <c r="A941">
        <f>Skills!A7</f>
        <v/>
      </c>
      <c r="B941">
        <f>Skills!B7</f>
        <v/>
      </c>
      <c r="C941">
        <f>Inputs!$B$3&gt;=122</f>
        <v/>
      </c>
      <c r="D941">
        <f>IF(Skills!C7=1,60+Inputs!$B$24+Inputs!$B$28,IF(Skills!C7=2,90+Inputs!$B$25+Inputs!$B$28,IF(Skills!C7=3,120+Inputs!$B$26+Inputs!$B$28,MAX(0,(Inputs!$B$3-100)*3)+Inputs!$B$27+Inputs!$B$28)))</f>
        <v/>
      </c>
      <c r="E941">
        <f>INDEX(FactorTable!$B$2:$Y$301, MATCH(ROUND(MIN(300,MAX(1,D941)),0), FactorTable!$A$2:$A$301,0), Skills!L7+1)</f>
        <v/>
      </c>
      <c r="F941">
        <f>IF(Skills!M7=TRUE,(Skills!K7/10)*(E941/1000),Skills!K7/10)+Skills!N7</f>
        <v/>
      </c>
      <c r="G941">
        <f>Calc!G7</f>
        <v/>
      </c>
      <c r="H941">
        <f>Calc!H7</f>
        <v/>
      </c>
      <c r="I941">
        <f>IF(Skills!T7&lt;&gt;"",1+(Skills!T7/10)*($Z$3/1000)/100,1)</f>
        <v/>
      </c>
      <c r="J941">
        <f>((Inputs!$B$5*(1+Inputs!$B$6/100))+((Inputs!$B$11*(1+Inputs!$B$12/100))-(Inputs!$B$11*(1+Inputs!$B$12/100)))*(1+Inputs!$B$6/100))*(F941/100)</f>
        <v/>
      </c>
      <c r="K941">
        <f>J941*(1+((Inputs!$B$11*(1+Inputs!$B$12/100))*0.01+Inputs!$B$13*0.0025)/100)*(1+(Inputs!$B$14+B965)/100)*(1+IF(Inputs!$B$4="pvp",0,(1-Summary!$B$48)*(Inputs!$B$19+Skills!O7+B963)+Summary!$B$48*(Inputs!$B$20+Skills!P7+B964))/100)*(1+Inputs!$B$15/100)*(5000/(6000+Inputs!$B$7*(1-Inputs!$B$18/100)))*(1+Inputs!$B$23/100)*(1+IF(C951=TRUE,F951,0)/100)*(1+IF(C953=TRUE,F953,0)/100)*(1+IF(Skills!A7="TRIUMPH_FEATHER",IF(C949=TRUE,F949,0),0)/100)*(1+IF(C960=TRUE,F960,0)/100)^5*(1+(IF(Skills!A7="BIG_BANG",Inputs!$B$16,Inputs!$B$17))/100)*(B962*I941)</f>
        <v/>
      </c>
      <c r="L941">
        <f>K941*(MIN(Inputs!$B$21+(F955-Calc!F21),Inputs!$B$22)/100+Inputs!$B$22/100)/2</f>
        <v/>
      </c>
      <c r="M941">
        <f>L941*(1+(Inputs!$B$9+B966+(F958-Calc!F24))/100)</f>
        <v/>
      </c>
      <c r="N941">
        <f>L941*(1-MIN(Inputs!$B$8+((F957-Calc!F23)+(F956-Calc!F22)),100)/100)+M941*(MIN(Inputs!$B$8+((F957-Calc!F23)+(F956-Calc!F22)),100)/100)</f>
        <v/>
      </c>
      <c r="O941">
        <f>IF(C941,H941*N941*IF(AND(Inputs!$B$4&lt;&gt;"pvp",Inputs!$B$35&gt;0),((Skills!F7*((S941-1)*IF(Skills!G7&gt;0,Skills!H7/Skills!G7,1)+IF(Skills!G7&gt;0,MIN(Skills!H7,MAX(0,Inputs!$B$35-((S941-1)*IF(Inputs!$B$4="pvp",15,MAX(0.1,Skills!D7-IF(Skills!E6=TRUE,(Inputs!$B$31+1),0))))))/Skills!G7,1)))/Inputs!$B$35),G941*V941)*(1-Summary!$B$48),0)</f>
        <v/>
      </c>
      <c r="P941">
        <f>IF(B972=0,0,O941/B972)</f>
        <v/>
      </c>
      <c r="S941">
        <f>IF(AND(Inputs!$B$4&lt;&gt;"pvp",Inputs!$B$35&gt;0),(INT(Inputs!$B$35/IF(Inputs!$B$4="pvp",15,MAX(0.1,Skills!D7-IF(Skills!E6=TRUE,(Inputs!$B$31+1),0))))+1),0)</f>
        <v/>
      </c>
      <c r="V941">
        <f>IFERROR(1/IF(Inputs!$B$4="pvp",15,MAX(0.1,Skills!D7-IF(Skills!E6=TRUE,(Inputs!$B$31+1),0))),0)</f>
        <v/>
      </c>
    </row>
    <row r="942">
      <c r="A942">
        <f>Skills!A8</f>
        <v/>
      </c>
      <c r="B942">
        <f>Skills!B8</f>
        <v/>
      </c>
      <c r="C942">
        <f>Inputs!$B$3&gt;=105</f>
        <v/>
      </c>
      <c r="D942">
        <f>IF(Skills!C8=1,60+Inputs!$B$24+Inputs!$B$28,IF(Skills!C8=2,90+Inputs!$B$25+Inputs!$B$28,IF(Skills!C8=3,120+Inputs!$B$26+Inputs!$B$28,MAX(0,(Inputs!$B$3-100)*3)+Inputs!$B$27+Inputs!$B$28)))</f>
        <v/>
      </c>
      <c r="E942">
        <f>INDEX(FactorTable!$B$2:$Y$301, MATCH(ROUND(MIN(300,MAX(1,D942)),0), FactorTable!$A$2:$A$301,0), Skills!L8+1)</f>
        <v/>
      </c>
      <c r="F942">
        <f>IF(Skills!M8=TRUE,(Skills!K8/10)*(E942/1000),Skills!K8/10)+Skills!N8</f>
        <v/>
      </c>
      <c r="G942">
        <f>Calc!G8</f>
        <v/>
      </c>
      <c r="H942">
        <f>Calc!H8</f>
        <v/>
      </c>
      <c r="I942">
        <f>IF(Skills!T8&lt;&gt;"",1+(Skills!T8/10)*($Z$3/1000)/100,1)</f>
        <v/>
      </c>
      <c r="J942">
        <f>((Inputs!$B$5*(1+Inputs!$B$6/100))+((Inputs!$B$11*(1+Inputs!$B$12/100))-(Inputs!$B$11*(1+Inputs!$B$12/100)))*(1+Inputs!$B$6/100))*(F942/100)</f>
        <v/>
      </c>
      <c r="K942">
        <f>J942*(1+((Inputs!$B$11*(1+Inputs!$B$12/100))*0.01+Inputs!$B$13*0.0025)/100)*(1+(Inputs!$B$14+B965)/100)*(1+IF(Inputs!$B$4="pvp",0,(1-Summary!$B$48)*(Inputs!$B$19+Skills!O8+B963)+Summary!$B$48*(Inputs!$B$20+Skills!P8+B964))/100)*(1+Inputs!$B$15/100)*(5000/(6000+Inputs!$B$7*(1-Inputs!$B$18/100)))*(1+Inputs!$B$23/100)*(1+IF(C951=TRUE,F951,0)/100)*(1+IF(C953=TRUE,F953,0)/100)*(1+IF(Skills!A8="TRIUMPH_FEATHER",IF(C949=TRUE,F949,0),0)/100)*(1+IF(C960=TRUE,F960,0)/100)^5*(1+(IF(Skills!A8="BIG_BANG",Inputs!$B$16,Inputs!$B$17))/100)*(B962*I942)</f>
        <v/>
      </c>
      <c r="L942">
        <f>K942*(MIN(Inputs!$B$21+(F955-Calc!F21),Inputs!$B$22)/100+Inputs!$B$22/100)/2</f>
        <v/>
      </c>
      <c r="M942">
        <f>L942*(1+(Inputs!$B$9+B966+(F958-Calc!F24))/100)</f>
        <v/>
      </c>
      <c r="N942">
        <f>L942*(1-MIN(Inputs!$B$8+((F957-Calc!F23)+(F956-Calc!F22)),100)/100)+M942*(MIN(Inputs!$B$8+((F957-Calc!F23)+(F956-Calc!F22)),100)/100)</f>
        <v/>
      </c>
      <c r="O942">
        <f>IF(C942,H942*N942*IF(AND(Inputs!$B$4&lt;&gt;"pvp",Inputs!$B$35&gt;0),((Skills!F8*((S942-1)*IF(Skills!G8&gt;0,Skills!H8/Skills!G8,1)+IF(Skills!G8&gt;0,MIN(Skills!H8,MAX(0,Inputs!$B$35-((S942-1)*IF(Inputs!$B$4="pvp",15,MAX(0.1,Skills!D8-IF(Skills!E8=TRUE,(Inputs!$B$31+1),0))))))/Skills!G8,1)))/Inputs!$B$35),G942*V942)*IF(Inputs!$B$4="pvp",1,(1-Summary!$B$48)*(1)+Summary!$B$48*(MIN(Skills!Q8,Inputs!$B$37))),0)</f>
        <v/>
      </c>
      <c r="P942">
        <f>IF(B972=0,0,O942/B972)</f>
        <v/>
      </c>
      <c r="S942">
        <f>IF(AND(Inputs!$B$4&lt;&gt;"pvp",Inputs!$B$35&gt;0),(INT(Inputs!$B$35/IF(Inputs!$B$4="pvp",15,MAX(0.1,Skills!D8-IF(Skills!E8=TRUE,(Inputs!$B$31+1),0))))+1),0)</f>
        <v/>
      </c>
      <c r="V942">
        <f>IFERROR(1/IF(Inputs!$B$4="pvp",15,MAX(0.1,Skills!D8-IF(Skills!E8=TRUE,(Inputs!$B$31+1),0))),0)</f>
        <v/>
      </c>
    </row>
    <row r="943">
      <c r="A943">
        <f>Skills!A9</f>
        <v/>
      </c>
      <c r="B943">
        <f>Skills!B9</f>
        <v/>
      </c>
      <c r="C943">
        <f>Inputs!$B$3&gt;=115</f>
        <v/>
      </c>
      <c r="D943">
        <f>IF(Skills!C9=1,60+Inputs!$B$24+Inputs!$B$28,IF(Skills!C9=2,90+Inputs!$B$25+Inputs!$B$28,IF(Skills!C9=3,120+Inputs!$B$26+Inputs!$B$28,MAX(0,(Inputs!$B$3-100)*3)+Inputs!$B$27+Inputs!$B$28)))</f>
        <v/>
      </c>
      <c r="E943">
        <f>INDEX(FactorTable!$B$2:$Y$301, MATCH(ROUND(MIN(300,MAX(1,D943)),0), FactorTable!$A$2:$A$301,0), Skills!L9+1)</f>
        <v/>
      </c>
      <c r="F943">
        <f>IF(Skills!M9=TRUE,(Skills!K9/10)*(E943/1000),Skills!K9/10)+Skills!N9</f>
        <v/>
      </c>
      <c r="G943">
        <f>Calc!G9</f>
        <v/>
      </c>
      <c r="H943">
        <f>Calc!H9</f>
        <v/>
      </c>
      <c r="I943">
        <f>IF(Skills!T9&lt;&gt;"",1+(Skills!T9/10)*($Z$3/1000)/100,1)</f>
        <v/>
      </c>
      <c r="J943">
        <f>((Inputs!$B$5*(1+Inputs!$B$6/100))+((Inputs!$B$11*(1+Inputs!$B$12/100))-(Inputs!$B$11*(1+Inputs!$B$12/100)))*(1+Inputs!$B$6/100))*(F943/100)</f>
        <v/>
      </c>
      <c r="K943">
        <f>J943*(1+((Inputs!$B$11*(1+Inputs!$B$12/100))*0.01+Inputs!$B$13*0.0025)/100)*(1+(Inputs!$B$14+B965)/100)*(1+IF(Inputs!$B$4="pvp",0,(1-Summary!$B$48)*(Inputs!$B$19+Skills!O9+B963)+Summary!$B$48*(Inputs!$B$20+Skills!P9+B964))/100)*(1+Inputs!$B$15/100)*(5000/(6000+Inputs!$B$7*(1-Inputs!$B$18/100)))*(1+Inputs!$B$23/100)*(1+IF(C951=TRUE,F951,0)/100)*(1+IF(C953=TRUE,F953,0)/100)*(1+IF(Skills!A9="TRIUMPH_FEATHER",IF(C949=TRUE,F949,0),0)/100)*(1+IF(C960=TRUE,F960,0)/100)^5*(1+(IF(Skills!A9="BIG_BANG",Inputs!$B$16,Inputs!$B$17))/100)*(B962*I943)</f>
        <v/>
      </c>
      <c r="L943">
        <f>K943*(MIN(Inputs!$B$21+(F955-Calc!F21),Inputs!$B$22)/100+Inputs!$B$22/100)/2</f>
        <v/>
      </c>
      <c r="M943">
        <f>L943*(1+(Inputs!$B$9+B966+(F958-Calc!F24))/100)</f>
        <v/>
      </c>
      <c r="N943">
        <f>L943*(1-MIN(Inputs!$B$8+((F957-Calc!F23)+(F956-Calc!F22)),100)/100)+M943*(MIN(Inputs!$B$8+((F957-Calc!F23)+(F956-Calc!F22)),100)/100)</f>
        <v/>
      </c>
      <c r="O943">
        <f>IF(C943,H943*N943*IF(AND(Inputs!$B$4&lt;&gt;"pvp",Inputs!$B$35&gt;0),((Skills!F9*((S943-1)*IF(Skills!G9&gt;0,Skills!H9/Skills!G9,1)+IF(Skills!G9&gt;0,MIN(Skills!H9,MAX(0,Inputs!$B$35-((S943-1)*IF(Inputs!$B$4="pvp",15,MAX(0.1,Skills!D9-IF(Skills!E9=TRUE,(Inputs!$B$31+1),0))))))/Skills!G9,1)))/Inputs!$B$35),G943*V943)*IF(Inputs!$B$4="pvp",1,(1-Summary!$B$48)*(1)+Summary!$B$48*(MIN(Skills!Q9,Inputs!$B$37))),0)</f>
        <v/>
      </c>
      <c r="P943">
        <f>IF(B972=0,0,O943/B972)</f>
        <v/>
      </c>
      <c r="S943">
        <f>IF(AND(Inputs!$B$4&lt;&gt;"pvp",Inputs!$B$35&gt;0),(INT(Inputs!$B$35/IF(Inputs!$B$4="pvp",15,MAX(0.1,Skills!D9-IF(Skills!E9=TRUE,(Inputs!$B$31+1),0))))+1),0)</f>
        <v/>
      </c>
      <c r="V943">
        <f>IFERROR(1/IF(Inputs!$B$4="pvp",15,MAX(0.1,Skills!D9-IF(Skills!E9=TRUE,(Inputs!$B$31+1),0))),0)</f>
        <v/>
      </c>
    </row>
    <row r="944">
      <c r="A944">
        <f>Skills!A10</f>
        <v/>
      </c>
      <c r="B944">
        <f>Skills!B10</f>
        <v/>
      </c>
      <c r="C944">
        <f>Inputs!$B$3&gt;=66</f>
        <v/>
      </c>
      <c r="D944">
        <f>IF(Skills!C10=1,60+Inputs!$B$24+Inputs!$B$28,IF(Skills!C10=2,90+Inputs!$B$25+Inputs!$B$28,IF(Skills!C10=3,120+Inputs!$B$26+Inputs!$B$28,MAX(0,(Inputs!$B$3-100)*3)+Inputs!$B$27+Inputs!$B$28)))</f>
        <v/>
      </c>
      <c r="E944">
        <f>INDEX(FactorTable!$B$2:$Y$301, MATCH(ROUND(MIN(300,MAX(1,D944)),0), FactorTable!$A$2:$A$301,0), Skills!L10+1)</f>
        <v/>
      </c>
      <c r="F944" t="n">
        <v>0</v>
      </c>
      <c r="G944">
        <f>Calc!G10</f>
        <v/>
      </c>
      <c r="H944">
        <f>Calc!H10</f>
        <v/>
      </c>
      <c r="I944">
        <f>IF(Skills!T10&lt;&gt;"",1+(Skills!T10/10)*($Z$3/1000)/100,1)</f>
        <v/>
      </c>
      <c r="J944" t="inlineStr"/>
      <c r="K944" t="inlineStr"/>
      <c r="L944" t="inlineStr"/>
      <c r="M944" t="inlineStr"/>
      <c r="N944" t="inlineStr"/>
      <c r="O944" t="n">
        <v>0</v>
      </c>
      <c r="P944">
        <f>IF(B972=0,0,O944/B972)</f>
        <v/>
      </c>
      <c r="S944">
        <f>IF(AND(Inputs!$B$4&lt;&gt;"pvp",Inputs!$B$35&gt;0),(INT(Inputs!$B$35/IF(Inputs!$B$4="pvp",15,MAX(0.1,Skills!D10-IF(Skills!E10=TRUE,(Inputs!$B$31+1),0))))+1),0)</f>
        <v/>
      </c>
      <c r="V944">
        <f>IFERROR(1/IF(Inputs!$B$4="pvp",15,MAX(0.1,Skills!D10-IF(Skills!E10=TRUE,(Inputs!$B$31+1),0))),0)</f>
        <v/>
      </c>
    </row>
    <row r="945">
      <c r="A945">
        <f>Skills!A11</f>
        <v/>
      </c>
      <c r="B945">
        <f>Skills!B11</f>
        <v/>
      </c>
      <c r="C945">
        <f>Inputs!$B$3&gt;=69</f>
        <v/>
      </c>
      <c r="D945">
        <f>IF(Skills!C11=1,60+Inputs!$B$24+Inputs!$B$28,IF(Skills!C11=2,90+Inputs!$B$25+Inputs!$B$28,IF(Skills!C11=3,120+Inputs!$B$26+Inputs!$B$28,MAX(0,(Inputs!$B$3-100)*3)+Inputs!$B$27+Inputs!$B$28)))</f>
        <v/>
      </c>
      <c r="E945">
        <f>INDEX(FactorTable!$B$2:$Y$301, MATCH(ROUND(MIN(300,MAX(1,D945)),0), FactorTable!$A$2:$A$301,0), Skills!L11+1)</f>
        <v/>
      </c>
      <c r="F945">
        <f>IF(Skills!M11=TRUE,(Skills!K11/10)*(E945/1000),Skills!K11/10)+Skills!N11</f>
        <v/>
      </c>
      <c r="G945">
        <f>Calc!G11</f>
        <v/>
      </c>
      <c r="H945">
        <f>Calc!H11</f>
        <v/>
      </c>
      <c r="I945">
        <f>IF(Skills!T11&lt;&gt;"",1+(Skills!T11/10)*($Z$3/1000)/100,1)</f>
        <v/>
      </c>
      <c r="J945" t="inlineStr"/>
      <c r="K945" t="inlineStr"/>
      <c r="L945" t="inlineStr"/>
      <c r="M945" t="inlineStr"/>
      <c r="N945" t="inlineStr"/>
      <c r="O945" t="n">
        <v>0</v>
      </c>
      <c r="P945">
        <f>IF(B972=0,0,O945/B972)</f>
        <v/>
      </c>
      <c r="S945">
        <f>IF(AND(Inputs!$B$4&lt;&gt;"pvp",Inputs!$B$35&gt;0),(INT(Inputs!$B$35/IF(Inputs!$B$4="pvp",15,MAX(0.1,Skills!D11-IF(Skills!E11=TRUE,(Inputs!$B$31+1),0))))+1),0)</f>
        <v/>
      </c>
      <c r="V945">
        <f>IFERROR(1/IF(Inputs!$B$4="pvp",15,MAX(0.1,Skills!D11-IF(Skills!E11=TRUE,(Inputs!$B$31+1),0))),0)</f>
        <v/>
      </c>
    </row>
    <row r="946">
      <c r="A946">
        <f>Skills!A12</f>
        <v/>
      </c>
      <c r="B946">
        <f>Skills!B12</f>
        <v/>
      </c>
      <c r="C946">
        <f>Inputs!$B$3&gt;=72</f>
        <v/>
      </c>
      <c r="D946">
        <f>IF(Skills!C12=1,60+Inputs!$B$24+Inputs!$B$28,IF(Skills!C12=2,90+Inputs!$B$25+Inputs!$B$28,IF(Skills!C12=3,120+Inputs!$B$26+Inputs!$B$28,MAX(0,(Inputs!$B$3-100)*3)+Inputs!$B$27+Inputs!$B$28)))</f>
        <v/>
      </c>
      <c r="E946">
        <f>INDEX(FactorTable!$B$2:$Y$301, MATCH(ROUND(MIN(300,MAX(1,D946)),0), FactorTable!$A$2:$A$301,0), Skills!L12+1)</f>
        <v/>
      </c>
      <c r="F946">
        <f>IF(Skills!M12=TRUE,(Skills!K12/10)*(E946/1000),Skills!K12/10)+Skills!N12</f>
        <v/>
      </c>
      <c r="G946">
        <f>Calc!G12</f>
        <v/>
      </c>
      <c r="H946">
        <f>Calc!H12</f>
        <v/>
      </c>
      <c r="I946">
        <f>IF(Skills!T12&lt;&gt;"",1+(Skills!T12/10)*($Z$3/1000)/100,1)</f>
        <v/>
      </c>
      <c r="J946" t="inlineStr"/>
      <c r="K946" t="inlineStr"/>
      <c r="L946" t="inlineStr"/>
      <c r="M946" t="inlineStr"/>
      <c r="N946" t="inlineStr"/>
      <c r="O946" t="n">
        <v>0</v>
      </c>
      <c r="P946">
        <f>IF(B972=0,0,O946/B972)</f>
        <v/>
      </c>
      <c r="S946">
        <f>IF(AND(Inputs!$B$4&lt;&gt;"pvp",Inputs!$B$35&gt;0),(INT(Inputs!$B$35/IF(Inputs!$B$4="pvp",15,MAX(0.1,Skills!D12-IF(Skills!E12=TRUE,(Inputs!$B$31+1),0))))+1),0)</f>
        <v/>
      </c>
      <c r="V946">
        <f>IFERROR(1/IF(Inputs!$B$4="pvp",15,MAX(0.1,Skills!D12-IF(Skills!E12=TRUE,(Inputs!$B$31+1),0))),0)</f>
        <v/>
      </c>
    </row>
    <row r="947">
      <c r="A947">
        <f>Skills!A13</f>
        <v/>
      </c>
      <c r="B947">
        <f>Skills!B13</f>
        <v/>
      </c>
      <c r="C947">
        <f>Inputs!$B$3&gt;=107</f>
        <v/>
      </c>
      <c r="D947">
        <f>IF(Skills!C13=1,60+Inputs!$B$24+Inputs!$B$28,IF(Skills!C13=2,90+Inputs!$B$25+Inputs!$B$28,IF(Skills!C13=3,120+Inputs!$B$26+Inputs!$B$28,MAX(0,(Inputs!$B$3-100)*3)+Inputs!$B$27+Inputs!$B$28)))</f>
        <v/>
      </c>
      <c r="E947">
        <f>INDEX(FactorTable!$B$2:$Y$301, MATCH(ROUND(MIN(300,MAX(1,D947)),0), FactorTable!$A$2:$A$301,0), Skills!L13+1)</f>
        <v/>
      </c>
      <c r="F947">
        <f>IF(Skills!M13=TRUE,(Skills!K13/10)*(E947/1000),Skills!K13/10)+Skills!N13</f>
        <v/>
      </c>
      <c r="G947">
        <f>Calc!G13</f>
        <v/>
      </c>
      <c r="H947">
        <f>Calc!H13</f>
        <v/>
      </c>
      <c r="I947">
        <f>IF(Skills!T13&lt;&gt;"",1+(Skills!T13/10)*($Z$3/1000)/100,1)</f>
        <v/>
      </c>
      <c r="J947" t="inlineStr"/>
      <c r="K947" t="inlineStr"/>
      <c r="L947" t="inlineStr"/>
      <c r="M947" t="inlineStr"/>
      <c r="N947" t="inlineStr"/>
      <c r="O947" t="n">
        <v>0</v>
      </c>
      <c r="P947">
        <f>IF(B972=0,0,O947/B972)</f>
        <v/>
      </c>
      <c r="S947">
        <f>IF(AND(Inputs!$B$4&lt;&gt;"pvp",Inputs!$B$35&gt;0),(INT(Inputs!$B$35/IF(Inputs!$B$4="pvp",15,MAX(0.1,Skills!D13-IF(Skills!E13=TRUE,(Inputs!$B$31+1),0))))+1),0)</f>
        <v/>
      </c>
      <c r="V947">
        <f>IFERROR(1/IF(Inputs!$B$4="pvp",15,MAX(0.1,Skills!D13-IF(Skills!E13=TRUE,(Inputs!$B$31+1),0))),0)</f>
        <v/>
      </c>
    </row>
    <row r="948">
      <c r="A948">
        <f>Skills!A14</f>
        <v/>
      </c>
      <c r="B948">
        <f>Skills!B14</f>
        <v/>
      </c>
      <c r="C948">
        <f>Inputs!$B$3&gt;=63</f>
        <v/>
      </c>
      <c r="D948">
        <f>IF(Skills!C14=1,60+Inputs!$B$24+Inputs!$B$28,IF(Skills!C14=2,90+Inputs!$B$25+Inputs!$B$28,IF(Skills!C14=3,120+Inputs!$B$26+Inputs!$B$28,MAX(0,(Inputs!$B$3-100)*3)+Inputs!$B$27+Inputs!$B$28)))</f>
        <v/>
      </c>
      <c r="E948">
        <f>INDEX(FactorTable!$B$2:$Y$301, MATCH(ROUND(MIN(300,MAX(1,D948)),0), FactorTable!$A$2:$A$301,0), Skills!L14+1)</f>
        <v/>
      </c>
      <c r="F948">
        <f>IF(Skills!M14=TRUE,(Skills!K14/10)*(E948/1000),Skills!K14/10)+Skills!N14</f>
        <v/>
      </c>
      <c r="G948">
        <f>Calc!G14</f>
        <v/>
      </c>
      <c r="H948">
        <f>Calc!H14</f>
        <v/>
      </c>
      <c r="I948">
        <f>IF(Skills!T14&lt;&gt;"",1+(Skills!T14/10)*($Z$3/1000)/100,1)</f>
        <v/>
      </c>
      <c r="J948">
        <f>((Inputs!$B$5*(1+Inputs!$B$6/100))+((Inputs!$B$11*(1+Inputs!$B$12/100))-(Inputs!$B$11*(1+Inputs!$B$12/100)))*(1+Inputs!$B$6/100))*(F948/100)</f>
        <v/>
      </c>
      <c r="K948">
        <f>J948*(1+((Inputs!$B$11*(1+Inputs!$B$12/100))*0.01+Inputs!$B$13*0.0025)/100)*(1+(Inputs!$B$14+B965)/100)*(1+IF(Inputs!$B$4="pvp",0,(1-Summary!$B$48)*(Inputs!$B$19+Skills!O14+B963)+Summary!$B$48*(Inputs!$B$20+Skills!P14+B964))/100)*(1+Inputs!$B$15/100)*(5000/(6000+Inputs!$B$7*(1-Inputs!$B$18/100)))*(1+Inputs!$B$23/100)*(1+IF(C951=TRUE,F951,0)/100)*(1+IF(C953=TRUE,F953,0)/100)*(1+IF(Skills!A14="TRIUMPH_FEATHER",IF(C949=TRUE,F949,0),0)/100)*(1+IF(C960=TRUE,F960,0)/100)^5*(1+(IF(Skills!A14="BIG_BANG",Inputs!$B$16,Inputs!$B$17))/100)*(B962*I948)</f>
        <v/>
      </c>
      <c r="L948">
        <f>K948*(MIN(Inputs!$B$21+(F955-Calc!F21),Inputs!$B$22)/100+Inputs!$B$22/100)/2</f>
        <v/>
      </c>
      <c r="M948">
        <f>L948*(1+(Inputs!$B$9+B966+(F958-Calc!F24))/100)</f>
        <v/>
      </c>
      <c r="N948">
        <f>L948*(1-MIN(Inputs!$B$8+((F957-Calc!F23)+(F956-Calc!F22)),100)/100)+M948*(MIN(Inputs!$B$8+((F957-Calc!F23)+(F956-Calc!F22)),100)/100)</f>
        <v/>
      </c>
      <c r="O948">
        <f>IF(C948,Skills!F14*N948*((IF(Inputs!$B$3&gt;=78,25,15)/100*B968*10)/(1+IF(Inputs!$B$3&gt;=78,25,15)/100*B968*10))*(Skills!I14/100*B968)/(1+Skills!G14*Skills!I14/100*B968)*IF(Inputs!$B$4="pvp",1,(1-Summary!$B$48)*(1)+Summary!$B$48*(MIN(Skills!Q14,Inputs!$B$37))),0)</f>
        <v/>
      </c>
      <c r="P948">
        <f>IF(B972=0,0,O948/B972)</f>
        <v/>
      </c>
      <c r="S948" t="n">
        <v>0</v>
      </c>
      <c r="V948">
        <f>IFERROR(1/IF(Inputs!$B$4="pvp",15,MAX(0.1,Skills!D14-IF(Skills!E14=TRUE,(Inputs!$B$31+1),0))),0)</f>
        <v/>
      </c>
    </row>
    <row r="949">
      <c r="A949">
        <f>Skills!A15</f>
        <v/>
      </c>
      <c r="B949">
        <f>Skills!B15</f>
        <v/>
      </c>
      <c r="C949">
        <f>Inputs!$B$3&gt;=100</f>
        <v/>
      </c>
      <c r="D949">
        <f>IF(Skills!C15=1,60+Inputs!$B$24+Inputs!$B$28,IF(Skills!C15=2,90+Inputs!$B$25+Inputs!$B$28,IF(Skills!C15=3,120+Inputs!$B$26+Inputs!$B$28,MAX(0,(Inputs!$B$3-100)*3)+Inputs!$B$27+Inputs!$B$28)))</f>
        <v/>
      </c>
      <c r="E949">
        <f>INDEX(FactorTable!$B$2:$Y$301, MATCH(ROUND(MIN(300,MAX(1,D949)),0), FactorTable!$A$2:$A$301,0), Skills!L15+1)</f>
        <v/>
      </c>
      <c r="F949">
        <f>IF(Skills!M15=TRUE,(Skills!K15/10)*(E949/1000),Skills!K15/10)+Skills!N15</f>
        <v/>
      </c>
      <c r="G949">
        <f>Calc!G15</f>
        <v/>
      </c>
      <c r="H949">
        <f>Calc!H15</f>
        <v/>
      </c>
      <c r="I949">
        <f>IF(Skills!T15&lt;&gt;"",1+(Skills!T15/10)*($Z$3/1000)/100,1)</f>
        <v/>
      </c>
      <c r="J949" t="inlineStr"/>
      <c r="K949" t="inlineStr"/>
      <c r="L949" t="inlineStr"/>
      <c r="M949" t="inlineStr"/>
      <c r="N949" t="inlineStr"/>
      <c r="O949" t="n">
        <v>0</v>
      </c>
      <c r="P949">
        <f>IF(B972=0,0,O949/B972)</f>
        <v/>
      </c>
      <c r="S949" t="n">
        <v>0</v>
      </c>
      <c r="V949">
        <f>IFERROR(1/IF(Inputs!$B$4="pvp",15,MAX(0.1,Skills!D15-IF(Skills!E15=TRUE,(Inputs!$B$31+1),0))),0)</f>
        <v/>
      </c>
    </row>
    <row r="950">
      <c r="A950">
        <f>Skills!A16</f>
        <v/>
      </c>
      <c r="B950">
        <f>Skills!B16</f>
        <v/>
      </c>
      <c r="C950">
        <f>Inputs!$B$3&gt;=49</f>
        <v/>
      </c>
      <c r="D950">
        <f>IF(Skills!C16=1,60+Inputs!$B$24+Inputs!$B$28,IF(Skills!C16=2,90+Inputs!$B$25+Inputs!$B$28,IF(Skills!C16=3,120+Inputs!$B$26+Inputs!$B$28,MAX(0,(Inputs!$B$3-100)*3)+Inputs!$B$27+Inputs!$B$28)))</f>
        <v/>
      </c>
      <c r="E950">
        <f>INDEX(FactorTable!$B$2:$Y$301, MATCH(ROUND(MIN(300,MAX(1,D950)),0), FactorTable!$A$2:$A$301,0), Skills!L16+1)</f>
        <v/>
      </c>
      <c r="F950">
        <f>IF(Skills!M16=TRUE,(Skills!K16/10)*(E950/1000),Skills!K16/10)+Skills!N16</f>
        <v/>
      </c>
      <c r="G950">
        <f>Calc!G16</f>
        <v/>
      </c>
      <c r="H950">
        <f>Calc!H16</f>
        <v/>
      </c>
      <c r="I950">
        <f>IF(Skills!T16&lt;&gt;"",1+(Skills!T16/10)*($Z$3/1000)/100,1)</f>
        <v/>
      </c>
      <c r="J950" t="inlineStr"/>
      <c r="K950" t="inlineStr"/>
      <c r="L950" t="inlineStr"/>
      <c r="M950" t="inlineStr"/>
      <c r="N950" t="inlineStr"/>
      <c r="O950" t="n">
        <v>0</v>
      </c>
      <c r="P950">
        <f>IF(B972=0,0,O950/B972)</f>
        <v/>
      </c>
      <c r="S950" t="n">
        <v>0</v>
      </c>
      <c r="V950">
        <f>IFERROR(1/IF(Inputs!$B$4="pvp",15,MAX(0.1,Skills!D16-IF(Skills!E16=TRUE,(Inputs!$B$31+1),0))),0)</f>
        <v/>
      </c>
    </row>
    <row r="951">
      <c r="A951">
        <f>Skills!A17</f>
        <v/>
      </c>
      <c r="B951">
        <f>Skills!B17</f>
        <v/>
      </c>
      <c r="C951">
        <f>Inputs!$B$3&gt;=75</f>
        <v/>
      </c>
      <c r="D951">
        <f>IF(Skills!C17=1,60+Inputs!$B$24+Inputs!$B$28,IF(Skills!C17=2,90+Inputs!$B$25+Inputs!$B$28,IF(Skills!C17=3,120+Inputs!$B$26+Inputs!$B$28,MAX(0,(Inputs!$B$3-100)*3)+Inputs!$B$27+Inputs!$B$28)))</f>
        <v/>
      </c>
      <c r="E951">
        <f>INDEX(FactorTable!$B$2:$Y$301, MATCH(ROUND(MIN(300,MAX(1,D951)),0), FactorTable!$A$2:$A$301,0), Skills!L17+1)</f>
        <v/>
      </c>
      <c r="F951">
        <f>IF(Skills!M17=TRUE,(Skills!K17/10)*(E951/1000),Skills!K17/10)+Skills!N17</f>
        <v/>
      </c>
      <c r="G951">
        <f>Calc!G17</f>
        <v/>
      </c>
      <c r="H951">
        <f>Calc!H17</f>
        <v/>
      </c>
      <c r="I951">
        <f>IF(Skills!T17&lt;&gt;"",1+(Skills!T17/10)*($Z$3/1000)/100,1)</f>
        <v/>
      </c>
      <c r="J951" t="inlineStr"/>
      <c r="K951" t="inlineStr"/>
      <c r="L951" t="inlineStr"/>
      <c r="M951" t="inlineStr"/>
      <c r="N951" t="inlineStr"/>
      <c r="O951" t="n">
        <v>0</v>
      </c>
      <c r="P951">
        <f>IF(B972=0,0,O951/B972)</f>
        <v/>
      </c>
      <c r="S951" t="n">
        <v>0</v>
      </c>
      <c r="V951">
        <f>IFERROR(1/IF(Inputs!$B$4="pvp",15,MAX(0.1,Skills!D17-IF(Skills!E17=TRUE,(Inputs!$B$31+1),0))),0)</f>
        <v/>
      </c>
    </row>
    <row r="952">
      <c r="A952">
        <f>Skills!A18</f>
        <v/>
      </c>
      <c r="B952">
        <f>Skills!B18</f>
        <v/>
      </c>
      <c r="C952">
        <f>Inputs!$B$3&gt;=110</f>
        <v/>
      </c>
      <c r="D952">
        <f>IF(Skills!C18=1,60+Inputs!$B$24+Inputs!$B$28,IF(Skills!C18=2,90+Inputs!$B$25+Inputs!$B$28,IF(Skills!C18=3,120+Inputs!$B$26+Inputs!$B$28,MAX(0,(Inputs!$B$3-100)*3)+Inputs!$B$27+Inputs!$B$28)))</f>
        <v/>
      </c>
      <c r="E952">
        <f>INDEX(FactorTable!$B$2:$Y$301, MATCH(ROUND(MIN(300,MAX(1,D952)),0), FactorTable!$A$2:$A$301,0), Skills!L18+1)</f>
        <v/>
      </c>
      <c r="F952">
        <f>(Skills!K18/10)*(E952/1000)*64/45+Skills!N18</f>
        <v/>
      </c>
      <c r="G952">
        <f>Calc!G18</f>
        <v/>
      </c>
      <c r="H952">
        <f>Calc!H18</f>
        <v/>
      </c>
      <c r="I952">
        <f>IF(Skills!T18&lt;&gt;"",1+(Skills!T18/10)*($Z$3/1000)/100,1)</f>
        <v/>
      </c>
      <c r="J952" t="inlineStr"/>
      <c r="K952" t="inlineStr"/>
      <c r="L952" t="inlineStr"/>
      <c r="M952" t="inlineStr"/>
      <c r="N952" t="inlineStr"/>
      <c r="O952" t="n">
        <v>0</v>
      </c>
      <c r="P952">
        <f>IF(B972=0,0,O952/B972)</f>
        <v/>
      </c>
      <c r="S952">
        <f>IF(AND(Inputs!$B$4&lt;&gt;"pvp",Inputs!$B$35&gt;0),(INT(Inputs!$B$35/IF(Inputs!$B$4="pvp",15,MAX(0.1,Skills!D18-IF(Skills!E18=TRUE,(Inputs!$B$31+1),0))))+1),0)</f>
        <v/>
      </c>
      <c r="V952">
        <f>IFERROR(1/IF(Inputs!$B$4="pvp",15,MAX(0.1,Skills!D18-IF(Skills!E18=TRUE,(Inputs!$B$31+1),0))),0)</f>
        <v/>
      </c>
    </row>
    <row r="953">
      <c r="A953">
        <f>Skills!A19</f>
        <v/>
      </c>
      <c r="B953">
        <f>Skills!B19</f>
        <v/>
      </c>
      <c r="C953">
        <f>Inputs!$B$3&gt;=125</f>
        <v/>
      </c>
      <c r="D953">
        <f>IF(Skills!C19=1,60+Inputs!$B$24+Inputs!$B$28,IF(Skills!C19=2,90+Inputs!$B$25+Inputs!$B$28,IF(Skills!C19=3,120+Inputs!$B$26+Inputs!$B$28,MAX(0,(Inputs!$B$3-100)*3)+Inputs!$B$27+Inputs!$B$28)))</f>
        <v/>
      </c>
      <c r="E953">
        <f>INDEX(FactorTable!$B$2:$Y$301, MATCH(ROUND(MIN(300,MAX(1,D953)),0), FactorTable!$A$2:$A$301,0), Skills!L19+1)</f>
        <v/>
      </c>
      <c r="F953">
        <f>IF(Skills!M19=TRUE,(Skills!K19/10)*(E953/1000),Skills!K19/10)+Skills!N19</f>
        <v/>
      </c>
      <c r="G953">
        <f>Calc!G19</f>
        <v/>
      </c>
      <c r="H953">
        <f>Calc!H19</f>
        <v/>
      </c>
      <c r="I953">
        <f>IF(Skills!T19&lt;&gt;"",1+(Skills!T19/10)*($Z$3/1000)/100,1)</f>
        <v/>
      </c>
      <c r="J953" t="inlineStr"/>
      <c r="K953" t="inlineStr"/>
      <c r="L953" t="inlineStr"/>
      <c r="M953" t="inlineStr"/>
      <c r="N953" t="inlineStr"/>
      <c r="O953" t="n">
        <v>0</v>
      </c>
      <c r="P953">
        <f>IF(B972=0,0,O953/B972)</f>
        <v/>
      </c>
      <c r="S953" t="n">
        <v>0</v>
      </c>
      <c r="V953">
        <f>IFERROR(1/IF(Inputs!$B$4="pvp",15,MAX(0.1,Skills!D19-IF(Skills!E19=TRUE,(Inputs!$B$31+1),0))),0)</f>
        <v/>
      </c>
    </row>
    <row r="954">
      <c r="A954">
        <f>Skills!A20</f>
        <v/>
      </c>
      <c r="B954">
        <f>Skills!B20</f>
        <v/>
      </c>
      <c r="C954">
        <f>Inputs!$B$3&gt;=33</f>
        <v/>
      </c>
      <c r="D954">
        <f>IF(Skills!C20=1,60+Inputs!$B$24+Inputs!$B$28,IF(Skills!C20=2,90+Inputs!$B$25+Inputs!$B$28,IF(Skills!C20=3,120+Inputs!$B$26+Inputs!$B$28,MAX(0,(Inputs!$B$3-100)*3)+Inputs!$B$27+Inputs!$B$28)))</f>
        <v/>
      </c>
      <c r="E954">
        <f>INDEX(FactorTable!$B$2:$Y$301, MATCH(ROUND(MIN(300,MAX(1,D954)),0), FactorTable!$A$2:$A$301,0), Skills!L20+1)</f>
        <v/>
      </c>
      <c r="F954">
        <f>IF(Skills!M20=TRUE,(Skills!K20/10)*(E954/1000),Skills!K20/10)+Skills!N20</f>
        <v/>
      </c>
      <c r="G954">
        <f>Calc!G20</f>
        <v/>
      </c>
      <c r="H954">
        <f>Calc!H20</f>
        <v/>
      </c>
      <c r="I954">
        <f>IF(Skills!T20&lt;&gt;"",1+(Skills!T20/10)*($Z$3/1000)/100,1)</f>
        <v/>
      </c>
      <c r="J954" t="inlineStr"/>
      <c r="K954" t="inlineStr"/>
      <c r="L954" t="inlineStr"/>
      <c r="M954" t="inlineStr"/>
      <c r="N954" t="inlineStr"/>
      <c r="O954" t="n">
        <v>0</v>
      </c>
      <c r="P954">
        <f>IF(B972=0,0,O954/B972)</f>
        <v/>
      </c>
      <c r="S954" t="n">
        <v>0</v>
      </c>
      <c r="V954">
        <f>IFERROR(1/IF(Inputs!$B$4="pvp",15,MAX(0.1,Skills!D20-IF(Skills!E20=TRUE,(Inputs!$B$31+1),0))),0)</f>
        <v/>
      </c>
    </row>
    <row r="955">
      <c r="A955">
        <f>Skills!A21</f>
        <v/>
      </c>
      <c r="B955">
        <f>Skills!B21</f>
        <v/>
      </c>
      <c r="C955">
        <f>Inputs!$B$3&gt;=43</f>
        <v/>
      </c>
      <c r="D955">
        <f>IF(Skills!C21=1,60+Inputs!$B$24+Inputs!$B$28,IF(Skills!C21=2,90+Inputs!$B$25+Inputs!$B$28,IF(Skills!C21=3,120+Inputs!$B$26+Inputs!$B$28,MAX(0,(Inputs!$B$3-100)*3)+Inputs!$B$27+Inputs!$B$28)))</f>
        <v/>
      </c>
      <c r="E955">
        <f>INDEX(FactorTable!$B$2:$Y$301, MATCH(ROUND(MIN(300,MAX(1,D955)),0), FactorTable!$A$2:$A$301,0), Skills!L21+1)</f>
        <v/>
      </c>
      <c r="F955">
        <f>IF(Skills!M21=TRUE,(Skills!K21/10)*(E955/1000),Skills!K21/10)+Skills!N21</f>
        <v/>
      </c>
      <c r="G955">
        <f>Calc!G21</f>
        <v/>
      </c>
      <c r="H955">
        <f>Calc!H21</f>
        <v/>
      </c>
      <c r="I955">
        <f>IF(Skills!T21&lt;&gt;"",1+(Skills!T21/10)*($Z$3/1000)/100,1)</f>
        <v/>
      </c>
      <c r="J955" t="inlineStr"/>
      <c r="K955" t="inlineStr"/>
      <c r="L955" t="inlineStr"/>
      <c r="M955" t="inlineStr"/>
      <c r="N955" t="inlineStr"/>
      <c r="O955" t="n">
        <v>0</v>
      </c>
      <c r="P955">
        <f>IF(B972=0,0,O955/B972)</f>
        <v/>
      </c>
      <c r="S955" t="n">
        <v>0</v>
      </c>
      <c r="V955">
        <f>IFERROR(1/IF(Inputs!$B$4="pvp",15,MAX(0.1,Skills!D21-IF(Skills!E21=TRUE,(Inputs!$B$31+1),0))),0)</f>
        <v/>
      </c>
    </row>
    <row r="956">
      <c r="A956">
        <f>Skills!A22</f>
        <v/>
      </c>
      <c r="B956">
        <f>Skills!B22</f>
        <v/>
      </c>
      <c r="C956">
        <f>Inputs!$B$3&gt;=50</f>
        <v/>
      </c>
      <c r="D956">
        <f>IF(Skills!C22=1,60+Inputs!$B$24+Inputs!$B$28,IF(Skills!C22=2,90+Inputs!$B$25+Inputs!$B$28,IF(Skills!C22=3,120+Inputs!$B$26+Inputs!$B$28,MAX(0,(Inputs!$B$3-100)*3)+Inputs!$B$27+Inputs!$B$28)))</f>
        <v/>
      </c>
      <c r="E956">
        <f>INDEX(FactorTable!$B$2:$Y$301, MATCH(ROUND(MIN(300,MAX(1,D956)),0), FactorTable!$A$2:$A$301,0), Skills!L22+1)</f>
        <v/>
      </c>
      <c r="F956">
        <f>IF(Skills!M22=TRUE,(Skills!K22/10)*(E956/1000),Skills!K22/10)+Skills!N22</f>
        <v/>
      </c>
      <c r="G956">
        <f>Calc!G22</f>
        <v/>
      </c>
      <c r="H956">
        <f>Calc!H22</f>
        <v/>
      </c>
      <c r="I956">
        <f>IF(Skills!T22&lt;&gt;"",1+(Skills!T22/10)*($Z$3/1000)/100,1)</f>
        <v/>
      </c>
      <c r="J956" t="inlineStr"/>
      <c r="K956" t="inlineStr"/>
      <c r="L956" t="inlineStr"/>
      <c r="M956" t="inlineStr"/>
      <c r="N956" t="inlineStr"/>
      <c r="O956" t="n">
        <v>0</v>
      </c>
      <c r="P956">
        <f>IF(B972=0,0,O956/B972)</f>
        <v/>
      </c>
      <c r="S956" t="n">
        <v>0</v>
      </c>
      <c r="V956">
        <f>IFERROR(1/IF(Inputs!$B$4="pvp",15,MAX(0.1,Skills!D22-IF(Skills!E22=TRUE,(Inputs!$B$31+1),0))),0)</f>
        <v/>
      </c>
    </row>
    <row r="957">
      <c r="A957">
        <f>Skills!A23</f>
        <v/>
      </c>
      <c r="B957">
        <f>Skills!B23</f>
        <v/>
      </c>
      <c r="C957">
        <f>Inputs!$B$3&gt;=74</f>
        <v/>
      </c>
      <c r="D957">
        <f>IF(Skills!C23=1,60+Inputs!$B$24+Inputs!$B$28,IF(Skills!C23=2,90+Inputs!$B$25+Inputs!$B$28,IF(Skills!C23=3,120+Inputs!$B$26+Inputs!$B$28,MAX(0,(Inputs!$B$3-100)*3)+Inputs!$B$27+Inputs!$B$28)))</f>
        <v/>
      </c>
      <c r="E957">
        <f>INDEX(FactorTable!$B$2:$Y$301, MATCH(ROUND(MIN(300,MAX(1,D957)),0), FactorTable!$A$2:$A$301,0), Skills!L23+1)</f>
        <v/>
      </c>
      <c r="F957">
        <f>IF(Skills!M23=TRUE,(Skills!K23/10)*(E957/1000),Skills!K23/10)+Skills!N23</f>
        <v/>
      </c>
      <c r="G957">
        <f>Calc!G23</f>
        <v/>
      </c>
      <c r="H957">
        <f>Calc!H23</f>
        <v/>
      </c>
      <c r="I957">
        <f>IF(Skills!T23&lt;&gt;"",1+(Skills!T23/10)*($Z$3/1000)/100,1)</f>
        <v/>
      </c>
      <c r="J957" t="inlineStr"/>
      <c r="K957" t="inlineStr"/>
      <c r="L957" t="inlineStr"/>
      <c r="M957" t="inlineStr"/>
      <c r="N957" t="inlineStr"/>
      <c r="O957" t="n">
        <v>0</v>
      </c>
      <c r="P957">
        <f>IF(B972=0,0,O957/B972)</f>
        <v/>
      </c>
      <c r="S957" t="n">
        <v>0</v>
      </c>
      <c r="V957">
        <f>IFERROR(1/IF(Inputs!$B$4="pvp",15,MAX(0.1,Skills!D23-IF(Skills!E23=TRUE,(Inputs!$B$31+1),0))),0)</f>
        <v/>
      </c>
    </row>
    <row r="958">
      <c r="A958">
        <f>Skills!A24</f>
        <v/>
      </c>
      <c r="B958">
        <f>Skills!B24</f>
        <v/>
      </c>
      <c r="C958">
        <f>Inputs!$B$3&gt;=74</f>
        <v/>
      </c>
      <c r="D958">
        <f>IF(Skills!C24=1,60+Inputs!$B$24+Inputs!$B$28,IF(Skills!C24=2,90+Inputs!$B$25+Inputs!$B$28,IF(Skills!C24=3,120+Inputs!$B$26+Inputs!$B$28,MAX(0,(Inputs!$B$3-100)*3)+Inputs!$B$27+Inputs!$B$28)))</f>
        <v/>
      </c>
      <c r="E958">
        <f>INDEX(FactorTable!$B$2:$Y$301, MATCH(ROUND(MIN(300,MAX(1,D958)),0), FactorTable!$A$2:$A$301,0), Skills!L24+1)</f>
        <v/>
      </c>
      <c r="F958">
        <f>IF(Skills!M24=TRUE,(Skills!K24/10)*(E958/1000),Skills!K24/10)+Skills!N24</f>
        <v/>
      </c>
      <c r="G958">
        <f>Calc!G24</f>
        <v/>
      </c>
      <c r="H958">
        <f>Calc!H24</f>
        <v/>
      </c>
      <c r="I958">
        <f>IF(Skills!T24&lt;&gt;"",1+(Skills!T24/10)*($Z$3/1000)/100,1)</f>
        <v/>
      </c>
      <c r="J958" t="inlineStr"/>
      <c r="K958" t="inlineStr"/>
      <c r="L958" t="inlineStr"/>
      <c r="M958" t="inlineStr"/>
      <c r="N958" t="inlineStr"/>
      <c r="O958" t="n">
        <v>0</v>
      </c>
      <c r="P958">
        <f>IF(B972=0,0,O958/B972)</f>
        <v/>
      </c>
      <c r="S958" t="n">
        <v>0</v>
      </c>
      <c r="V958">
        <f>IFERROR(1/IF(Inputs!$B$4="pvp",15,MAX(0.1,Skills!D24-IF(Skills!E24=TRUE,(Inputs!$B$31+1),0))),0)</f>
        <v/>
      </c>
    </row>
    <row r="959">
      <c r="A959">
        <f>Skills!A25</f>
        <v/>
      </c>
      <c r="B959">
        <f>Skills!B25</f>
        <v/>
      </c>
      <c r="C959">
        <f>Inputs!$B$3&gt;=117</f>
        <v/>
      </c>
      <c r="D959">
        <f>IF(Skills!C25=1,60+Inputs!$B$24+Inputs!$B$28,IF(Skills!C25=2,90+Inputs!$B$25+Inputs!$B$28,IF(Skills!C25=3,120+Inputs!$B$26+Inputs!$B$28,MAX(0,(Inputs!$B$3-100)*3)+Inputs!$B$27+Inputs!$B$28)))</f>
        <v/>
      </c>
      <c r="E959">
        <f>INDEX(FactorTable!$B$2:$Y$301, MATCH(ROUND(MIN(300,MAX(1,D959)),0), FactorTable!$A$2:$A$301,0), Skills!L25+1)</f>
        <v/>
      </c>
      <c r="F959">
        <f>IF(Skills!M25=TRUE,(Skills!K25/10)*(E959/1000),Skills!K25/10)+Skills!N25</f>
        <v/>
      </c>
      <c r="G959">
        <f>Calc!G25</f>
        <v/>
      </c>
      <c r="H959">
        <f>Calc!H25</f>
        <v/>
      </c>
      <c r="I959">
        <f>IF(Skills!T25&lt;&gt;"",1+(Skills!T25/10)*($Z$3/1000)/100,1)</f>
        <v/>
      </c>
      <c r="J959" t="inlineStr"/>
      <c r="K959" t="inlineStr"/>
      <c r="L959" t="inlineStr"/>
      <c r="M959" t="inlineStr"/>
      <c r="N959" t="inlineStr"/>
      <c r="O959" t="n">
        <v>0</v>
      </c>
      <c r="P959">
        <f>IF(B972=0,0,O959/B972)</f>
        <v/>
      </c>
      <c r="S959" t="n">
        <v>0</v>
      </c>
      <c r="V959">
        <f>IFERROR(1/IF(Inputs!$B$4="pvp",15,MAX(0.1,Skills!D25-IF(Skills!E25=TRUE,(Inputs!$B$31+1),0))),0)</f>
        <v/>
      </c>
    </row>
    <row r="960">
      <c r="A960">
        <f>Skills!A26</f>
        <v/>
      </c>
      <c r="B960">
        <f>Skills!B26</f>
        <v/>
      </c>
      <c r="C960">
        <f>Inputs!$B$3&gt;=120</f>
        <v/>
      </c>
      <c r="D960">
        <f>IF(Skills!C26=1,60+Inputs!$B$24+Inputs!$B$28,IF(Skills!C26=2,90+Inputs!$B$25+Inputs!$B$28,IF(Skills!C26=3,120+Inputs!$B$26+Inputs!$B$28,MAX(0,(Inputs!$B$3-100)*3)+Inputs!$B$27+Inputs!$B$28)))</f>
        <v/>
      </c>
      <c r="E960">
        <f>INDEX(FactorTable!$B$2:$Y$301, MATCH(ROUND(MIN(300,MAX(1,D960)),0), FactorTable!$A$2:$A$301,0), Skills!L26+1)</f>
        <v/>
      </c>
      <c r="F960">
        <f>IF(Skills!M26=TRUE,(Skills!K26/10)*(E960/1000),Skills!K26/10)+Skills!N26</f>
        <v/>
      </c>
      <c r="G960">
        <f>Calc!G26</f>
        <v/>
      </c>
      <c r="H960">
        <f>Calc!H26</f>
        <v/>
      </c>
      <c r="I960">
        <f>IF(Skills!T26&lt;&gt;"",1+(Skills!T26/10)*($Z$3/1000)/100,1)</f>
        <v/>
      </c>
      <c r="J960" t="inlineStr"/>
      <c r="K960" t="inlineStr"/>
      <c r="L960" t="inlineStr"/>
      <c r="M960" t="inlineStr"/>
      <c r="N960" t="inlineStr"/>
      <c r="O960" t="n">
        <v>0</v>
      </c>
      <c r="P960">
        <f>IF(B972=0,0,O960/B972)</f>
        <v/>
      </c>
      <c r="S960" t="n">
        <v>0</v>
      </c>
      <c r="V960">
        <f>IFERROR(1/IF(Inputs!$B$4="pvp",15,MAX(0.1,Skills!D26-IF(Skills!E26=TRUE,(Inputs!$B$31+1),0))),0)</f>
        <v/>
      </c>
    </row>
    <row r="962">
      <c r="A962" t="inlineStr">
        <is>
          <t>Average Buff Multiplier</t>
        </is>
      </c>
      <c r="B962">
        <f>(1+(IF(C937=TRUE,F937*IF(AND(Inputs!$B$4&lt;&gt;"pvp",Inputs!$B$35&gt;0),(((S937-1)*(Skills!S3*(1+(Inputs!$B$33+IF(Inputs!$B$3&gt;=117,F959,0))/100))+MIN((Skills!S3*(1+(Inputs!$B$33+IF(Inputs!$B$3&gt;=117,F959,0))/100)),MAX(0,Inputs!$B$35-((S937-1)*Skills!D3))))/Inputs!$B$35),IF(Inputs!$B$4="pvp",MIN((Skills!S3*(1+(Inputs!$B$33+IF(Inputs!$B$3&gt;=117,F959,0))/100)),15)/15,(Skills!S3*(1+(Inputs!$B$33+IF(Inputs!$B$3&gt;=117,F959,0))/100))/Skills!D3)),0)+IF(C938=TRUE,F938*IF(AND(Inputs!$B$4&lt;&gt;"pvp",Inputs!$B$35&gt;0),(((S938-1)*(Skills!S4*(1+(Inputs!$B$33+IF(Inputs!$B$3&gt;=117,F959,0))/100))+MIN((Skills!S4*(1+(Inputs!$B$33+IF(Inputs!$B$3&gt;=117,F959,0))/100)),MAX(0,Inputs!$B$35-((S938-1)*Skills!D4))))/Inputs!$B$35),IF(Inputs!$B$4="pvp",MIN((Skills!S4*(1+(Inputs!$B$33+IF(Inputs!$B$3&gt;=117,F959,0))/100)),15)/15,(Skills!S4*(1+(Inputs!$B$33+IF(Inputs!$B$3&gt;=117,F959,0))/100))/Skills!D4)),0)+IF(C939=TRUE,F939*IF(AND(Inputs!$B$4&lt;&gt;"pvp",Inputs!$B$35&gt;0),(((S939-1)*(Skills!S5*(1+(Inputs!$B$33+IF(Inputs!$B$3&gt;=117,F959,0))/100))+MIN((Skills!S5*(1+(Inputs!$B$33+IF(Inputs!$B$3&gt;=117,F959,0))/100)),MAX(0,Inputs!$B$35-((S939-1)*Skills!D5))))/Inputs!$B$35),IF(Inputs!$B$4="pvp",MIN((Skills!S5*(1+(Inputs!$B$33+IF(Inputs!$B$3&gt;=117,F959,0))/100)),15)/15,(Skills!S5*(1+(Inputs!$B$33+IF(Inputs!$B$3&gt;=117,F959,0))/100))/Skills!D5)),0)+IF(C945=TRUE,F945*IF(AND(Inputs!$B$4&lt;&gt;"pvp",Inputs!$B$35&gt;0),(((S945-1)*(Skills!S11*(1+(Inputs!$B$33+IF(Inputs!$B$3&gt;=117,F959,0))/100))+MIN((Skills!S11*(1+(Inputs!$B$33+IF(Inputs!$B$3&gt;=117,F959,0))/100)),MAX(0,Inputs!$B$35-((S945-1)*Skills!D11))))/Inputs!$B$35),IF(Inputs!$B$4="pvp",MIN((Skills!S11*(1+(Inputs!$B$33+IF(Inputs!$B$3&gt;=117,F959,0))/100)),15)/15,(Skills!S11*(1+(Inputs!$B$33+IF(Inputs!$B$3&gt;=117,F959,0))/100))/Skills!D11)),0))/100)*IF(C947=TRUE,(1+F947*IF(AND(Inputs!$B$4&lt;&gt;"pvp",Inputs!$B$35&gt;0),(((S947-1)*(Skills!S13*(1+(Inputs!$B$33+IF(Inputs!$B$3&gt;=117,F959,0))/100))+MIN((Skills!S13*(1+(Inputs!$B$33+IF(Inputs!$B$3&gt;=117,F959,0))/100)),MAX(0,Inputs!$B$35-((S947-1)*Skills!D13))))/Inputs!$B$35),IF(Inputs!$B$4="pvp",MIN((Skills!S13*(1+(Inputs!$B$33+IF(Inputs!$B$3&gt;=117,F959,0))/100)),15)/15,(Skills!S13*(1+(Inputs!$B$33+IF(Inputs!$B$3&gt;=117,F959,0))/100))/Skills!D13))/100),1)*IF(C952=TRUE,(1+F952*IF(AND(Inputs!$B$4&lt;&gt;"pvp",Inputs!$B$35&gt;0),(((S952-1)*(Skills!S18*(1+(Inputs!$B$33+IF(Inputs!$B$3&gt;=117,F959,0))/100))+MIN((Skills!S18*(1+(Inputs!$B$33+IF(Inputs!$B$3&gt;=117,F959,0))/100)),MAX(0,Inputs!$B$35-((S952-1)*Skills!D18))))/Inputs!$B$35),IF(Inputs!$B$4="pvp",MIN((Skills!S18*(1+(Inputs!$B$33+IF(Inputs!$B$3&gt;=117,F959,0))/100)),15)/15,(Skills!S18*(1+(Inputs!$B$33+IF(Inputs!$B$3&gt;=117,F959,0))/100))/Skills!D18))/100),1)</f>
        <v/>
      </c>
    </row>
    <row r="963">
      <c r="A963" t="inlineStr">
        <is>
          <t>Monster Damage Taken Bonus % (Holy Fountain)</t>
        </is>
      </c>
      <c r="B963">
        <f>IF(Inputs!$B$3&gt;=68,20*IF(Inputs!$B$4="pvp",MIN((15*(1+(Inputs!$B$33+IF(Inputs!$B$3&gt;=117,F959,0))/100)),15)/15,(15*(1+(Inputs!$B$33+IF(Inputs!$B$3&gt;=117,F959,0))/100))/Skills!D10),0)</f>
        <v/>
      </c>
    </row>
    <row r="964">
      <c r="A964" t="inlineStr">
        <is>
          <t>Normal Monster Damage Bonus % (Holy Symbol)</t>
        </is>
      </c>
      <c r="B964">
        <f>IF(C946=TRUE,F946*IF(AND(Inputs!$B$4&lt;&gt;"pvp",Inputs!$B$35&gt;0),(((S946-1)*(Skills!S12*(1+(Inputs!$B$33+IF(Inputs!$B$3&gt;=117,F959,0))/100))+MIN((Skills!S12*(1+(Inputs!$B$33+IF(Inputs!$B$3&gt;=117,F959,0))/100)),MAX(0,Inputs!$B$35-((S946-1)*Skills!D12))))/Inputs!$B$35),IF(Inputs!$B$4="pvp",MIN((Skills!S12*(1+(Inputs!$B$33+IF(Inputs!$B$3&gt;=117,F959,0))/100)),15)/15,(Skills!S12*(1+(Inputs!$B$33+IF(Inputs!$B$3&gt;=117,F959,0))/100))/Skills!D12)),0)</f>
        <v/>
      </c>
    </row>
    <row r="965">
      <c r="A965" t="inlineStr">
        <is>
          <t>Damage % Bonus (Holy Symbol - Damage Boost)</t>
        </is>
      </c>
      <c r="B965">
        <f>Skills!O12</f>
        <v/>
      </c>
    </row>
    <row r="966">
      <c r="A966" t="inlineStr">
        <is>
          <t>Crit Damage % Bonus (Blood of the Divine)</t>
        </is>
      </c>
      <c r="B966">
        <f>4*IF(C953=TRUE,F953,0)</f>
        <v/>
      </c>
    </row>
    <row r="967">
      <c r="A967" t="inlineStr">
        <is>
          <t>Attack Speed Bonus %</t>
        </is>
      </c>
      <c r="B967">
        <f>IF(C950=TRUE,F950+(F954-Calc!F20),0)+IF(Inputs!$B$3&gt;=134,15,0)</f>
        <v/>
      </c>
    </row>
    <row r="968">
      <c r="A968" t="inlineStr">
        <is>
          <t>Actions Per Second</t>
        </is>
      </c>
      <c r="B968">
        <f>1+MIN(150,150*(1-(1-Inputs!$B$10/150)*(1-B967/150)))/100</f>
        <v/>
      </c>
    </row>
    <row r="969">
      <c r="A969" t="inlineStr">
        <is>
          <t>Skill + Buff Cast Rate</t>
        </is>
      </c>
      <c r="B969">
        <f>IF(AND(Inputs!$B$4&lt;&gt;"pvp",Inputs!$B$35&gt;0),SUMPRODUCT((Skills!E2:E26=TRUE)*(C936:C960=TRUE)*S936:S960)/Inputs!$B$35,SUMPRODUCT((Skills!E2:E26=TRUE)*(C936:C960=TRUE)*V936:V960))</f>
        <v/>
      </c>
    </row>
    <row r="970">
      <c r="A970" t="inlineStr">
        <is>
          <t>Big Bang Casts Per Second</t>
        </is>
      </c>
      <c r="B970">
        <f>MAX(0,B968-B969)</f>
        <v/>
      </c>
    </row>
    <row r="972">
      <c r="A972" s="5" t="inlineStr">
        <is>
          <t>TOTAL DPS</t>
        </is>
      </c>
      <c r="B972" s="5">
        <f>SUM(O936:O960)</f>
        <v/>
      </c>
    </row>
    <row r="975">
      <c r="A975" s="5" t="inlineStr">
        <is>
          <t>Stat: Basic Attack Target Increase (flat)</t>
        </is>
      </c>
    </row>
    <row r="976">
      <c r="A976" s="8" t="inlineStr">
        <is>
          <t>Key</t>
        </is>
      </c>
      <c r="B976" s="8" t="inlineStr">
        <is>
          <t>Name</t>
        </is>
      </c>
      <c r="C976" s="8" t="inlineStr">
        <is>
          <t>Unlocked</t>
        </is>
      </c>
      <c r="D976" s="8" t="inlineStr">
        <is>
          <t>InputLevel</t>
        </is>
      </c>
      <c r="E976" s="8" t="inlineStr">
        <is>
          <t>Factor</t>
        </is>
      </c>
      <c r="F976" s="8" t="inlineStr">
        <is>
          <t>CoefficientPercent</t>
        </is>
      </c>
      <c r="G976" s="8" t="inlineStr">
        <is>
          <t>EffectiveHits</t>
        </is>
      </c>
      <c r="H976" s="8" t="inlineStr">
        <is>
          <t>ProcProbability</t>
        </is>
      </c>
      <c r="I976" s="8" t="inlineStr">
        <is>
          <t>MapleHeroMultiplier</t>
        </is>
      </c>
      <c r="J976" s="8" t="inlineStr">
        <is>
          <t>BaseDamage</t>
        </is>
      </c>
      <c r="K976" s="8" t="inlineStr">
        <is>
          <t>BaseHitDamage</t>
        </is>
      </c>
      <c r="L976" s="8" t="inlineStr">
        <is>
          <t>NonCritAvg</t>
        </is>
      </c>
      <c r="M976" s="8" t="inlineStr">
        <is>
          <t>CritAvg</t>
        </is>
      </c>
      <c r="N976" s="8" t="inlineStr">
        <is>
          <t>ExpectedDamage(perHit)</t>
        </is>
      </c>
      <c r="O976" s="8" t="inlineStr">
        <is>
          <t>DPS</t>
        </is>
      </c>
      <c r="P976" s="8" t="inlineStr">
        <is>
          <t>% of Total</t>
        </is>
      </c>
      <c r="R976" t="inlineStr">
        <is>
          <t>helpers</t>
        </is>
      </c>
    </row>
    <row r="977">
      <c r="A977">
        <f>Skills!A2</f>
        <v/>
      </c>
      <c r="B977">
        <f>Skills!B2</f>
        <v/>
      </c>
      <c r="C977">
        <f>Inputs!$B$3&gt;=100</f>
        <v/>
      </c>
      <c r="D977" t="inlineStr"/>
      <c r="E977" t="inlineStr"/>
      <c r="F977">
        <f>T979+Skills!N2</f>
        <v/>
      </c>
      <c r="G977">
        <f>Calc!G2</f>
        <v/>
      </c>
      <c r="H977">
        <f>Calc!H2</f>
        <v/>
      </c>
      <c r="I977">
        <f>IF(Skills!T2&lt;&gt;"",1+(Skills!T2/10)*($Z$3/1000)/100,1)</f>
        <v/>
      </c>
      <c r="J977">
        <f>((Inputs!$B$5*(1+Inputs!$B$6/100))+((Inputs!$B$11*(1+Inputs!$B$12/100))-(Inputs!$B$11*(1+Inputs!$B$12/100)))*(1+Inputs!$B$6/100))*(F977/100)</f>
        <v/>
      </c>
      <c r="K977">
        <f>J977*(1+((Inputs!$B$11*(1+Inputs!$B$12/100))*0.01+Inputs!$B$13*0.0025)/100)*(1+(Inputs!$B$14+B1006)/100)*(1+IF(Inputs!$B$4="pvp",0,(1-Summary!$B$48)*(Inputs!$B$19+Skills!O2+B1004)+Summary!$B$48*(Inputs!$B$20+Skills!P2+B1005))/100)*(1+Inputs!$B$15/100)*(5000/(6000+Inputs!$B$7*(1-Inputs!$B$18/100)))*(1+Inputs!$B$23/100)*(1+IF(C992=TRUE,F992,0)/100)*(1+IF(C994=TRUE,F994,0)/100)*(1+IF(Skills!A2="TRIUMPH_FEATHER",IF(C990=TRUE,F990,0),0)/100)*(1+IF(C1001=TRUE,F1001,0)/100)^5*(1+(IF(Skills!A2="BIG_BANG",Inputs!$B$16,Inputs!$B$17))/100)*(B1003*I977)</f>
        <v/>
      </c>
      <c r="L977">
        <f>K977*(MIN(Inputs!$B$21+(F996-Calc!F21),Inputs!$B$22)/100+Inputs!$B$22/100)/2</f>
        <v/>
      </c>
      <c r="M977">
        <f>L977*(1+(Inputs!$B$9+B1007+(F999-Calc!F24))/100)</f>
        <v/>
      </c>
      <c r="N977">
        <f>L977*(1-MIN(Inputs!$B$8+((F998-Calc!F23)+(F997-Calc!F22)),100)/100)+M977*(MIN(Inputs!$B$8+((F998-Calc!F23)+(F997-Calc!F22)),100)/100)</f>
        <v/>
      </c>
      <c r="O977">
        <f>IF(C977,Skills!F2*N977*B1011*IF(Inputs!$B$4="pvp",1,(1-Summary!$B$48)*(1)+Summary!$B$48*(MIN((6+(Inputs!$B$32+1)),Inputs!$B$37))),0)</f>
        <v/>
      </c>
      <c r="P977">
        <f>IF(B1013=0,0,O977/B1013)</f>
        <v/>
      </c>
      <c r="S977" t="n">
        <v>0</v>
      </c>
      <c r="T977">
        <f>MAX(0,(Inputs!$B$3-100)*3)+Inputs!$B$27+Inputs!$B$28</f>
        <v/>
      </c>
      <c r="V977">
        <f>IFERROR(1/IF(Inputs!$B$4="pvp",15,MAX(0.1,Skills!D2-IF(Skills!E2=TRUE,Inputs!$B$31,0))),0)</f>
        <v/>
      </c>
    </row>
    <row r="978">
      <c r="A978">
        <f>Skills!A3</f>
        <v/>
      </c>
      <c r="B978">
        <f>Skills!B3</f>
        <v/>
      </c>
      <c r="C978">
        <f>Inputs!$B$3&gt;=15</f>
        <v/>
      </c>
      <c r="D978">
        <f>IF(Skills!C3=1,60+Inputs!$B$24+Inputs!$B$28,IF(Skills!C3=2,90+Inputs!$B$25+Inputs!$B$28,IF(Skills!C3=3,120+Inputs!$B$26+Inputs!$B$28,MAX(0,(Inputs!$B$3-100)*3)+Inputs!$B$27+Inputs!$B$28)))</f>
        <v/>
      </c>
      <c r="E978">
        <f>INDEX(FactorTable!$B$2:$Y$301, MATCH(ROUND(MIN(300,MAX(1,D978)),0), FactorTable!$A$2:$A$301,0), Skills!L3+1)</f>
        <v/>
      </c>
      <c r="F978">
        <f>IF(Skills!M3=TRUE,(Skills!K3/10)*(E978/1000),Skills!K3/10)+Skills!N3</f>
        <v/>
      </c>
      <c r="G978">
        <f>Calc!G3</f>
        <v/>
      </c>
      <c r="H978">
        <f>Calc!H3</f>
        <v/>
      </c>
      <c r="I978">
        <f>IF(Skills!T3&lt;&gt;"",1+(Skills!T3/10)*($Z$3/1000)/100,1)</f>
        <v/>
      </c>
      <c r="J978" t="inlineStr"/>
      <c r="K978" t="inlineStr"/>
      <c r="L978" t="inlineStr"/>
      <c r="M978" t="inlineStr"/>
      <c r="N978" t="inlineStr"/>
      <c r="O978" t="n">
        <v>0</v>
      </c>
      <c r="P978">
        <f>IF(B1013=0,0,O978/B1013)</f>
        <v/>
      </c>
      <c r="S978">
        <f>IF(AND(Inputs!$B$4&lt;&gt;"pvp",Inputs!$B$35&gt;0),(INT(Inputs!$B$35/IF(Inputs!$B$4="pvp",15,MAX(0.1,Skills!D3-IF(Skills!E3=TRUE,Inputs!$B$31,0))))+1),0)</f>
        <v/>
      </c>
      <c r="T978">
        <f>INDEX(FactorTable!$B$2:$Y$301, MATCH(ROUND(MIN(300,MAX(1,T977)),0), FactorTable!$A$2:$A$301,0), 22)</f>
        <v/>
      </c>
      <c r="V978">
        <f>IFERROR(1/IF(Inputs!$B$4="pvp",15,MAX(0.1,Skills!D3-IF(Skills!E3=TRUE,Inputs!$B$31,0))),0)</f>
        <v/>
      </c>
    </row>
    <row r="979">
      <c r="A979">
        <f>Skills!A4</f>
        <v/>
      </c>
      <c r="B979">
        <f>Skills!B4</f>
        <v/>
      </c>
      <c r="C979">
        <f>Inputs!$B$3&gt;=38</f>
        <v/>
      </c>
      <c r="D979">
        <f>IF(Skills!C4=1,60+Inputs!$B$24+Inputs!$B$28,IF(Skills!C4=2,90+Inputs!$B$25+Inputs!$B$28,IF(Skills!C4=3,120+Inputs!$B$26+Inputs!$B$28,MAX(0,(Inputs!$B$3-100)*3)+Inputs!$B$27+Inputs!$B$28)))</f>
        <v/>
      </c>
      <c r="E979">
        <f>INDEX(FactorTable!$B$2:$Y$301, MATCH(ROUND(MIN(300,MAX(1,D979)),0), FactorTable!$A$2:$A$301,0), Skills!L4+1)</f>
        <v/>
      </c>
      <c r="F979">
        <f>IF(Skills!M4=TRUE,(Skills!K4/10)*(E979/1000),Skills!K4/10)+Skills!N4</f>
        <v/>
      </c>
      <c r="G979">
        <f>Calc!G4</f>
        <v/>
      </c>
      <c r="H979">
        <f>Calc!H4</f>
        <v/>
      </c>
      <c r="I979">
        <f>IF(Skills!T4&lt;&gt;"",1+(Skills!T4/10)*($Z$3/1000)/100,1)</f>
        <v/>
      </c>
      <c r="J979" t="inlineStr"/>
      <c r="K979" t="inlineStr"/>
      <c r="L979" t="inlineStr"/>
      <c r="M979" t="inlineStr"/>
      <c r="N979" t="inlineStr"/>
      <c r="O979" t="n">
        <v>0</v>
      </c>
      <c r="P979">
        <f>IF(B1013=0,0,O979/B1013)</f>
        <v/>
      </c>
      <c r="S979">
        <f>IF(AND(Inputs!$B$4&lt;&gt;"pvp",Inputs!$B$35&gt;0),(INT(Inputs!$B$35/IF(Inputs!$B$4="pvp",15,MAX(0.1,Skills!D4-IF(Skills!E4=TRUE,Inputs!$B$31,0))))+1),0)</f>
        <v/>
      </c>
      <c r="T979">
        <f>290*T978/1000</f>
        <v/>
      </c>
      <c r="V979">
        <f>IFERROR(1/IF(Inputs!$B$4="pvp",15,MAX(0.1,Skills!D4-IF(Skills!E4=TRUE,Inputs!$B$31,0))),0)</f>
        <v/>
      </c>
    </row>
    <row r="980">
      <c r="A980">
        <f>Skills!A5</f>
        <v/>
      </c>
      <c r="B980">
        <f>Skills!B5</f>
        <v/>
      </c>
      <c r="C980">
        <f>Inputs!$B$3&gt;=40</f>
        <v/>
      </c>
      <c r="D980">
        <f>IF(Skills!C5=1,60+Inputs!$B$24+Inputs!$B$28,IF(Skills!C5=2,90+Inputs!$B$25+Inputs!$B$28,IF(Skills!C5=3,120+Inputs!$B$26+Inputs!$B$28,MAX(0,(Inputs!$B$3-100)*3)+Inputs!$B$27+Inputs!$B$28)))</f>
        <v/>
      </c>
      <c r="E980">
        <f>INDEX(FactorTable!$B$2:$Y$301, MATCH(ROUND(MIN(300,MAX(1,D980)),0), FactorTable!$A$2:$A$301,0), Skills!L5+1)</f>
        <v/>
      </c>
      <c r="F980">
        <f>IF(Skills!M5=TRUE,(Skills!K5/10)*(E980/1000),Skills!K5/10)+Skills!N5</f>
        <v/>
      </c>
      <c r="G980">
        <f>Calc!G5</f>
        <v/>
      </c>
      <c r="H980">
        <f>Calc!H5</f>
        <v/>
      </c>
      <c r="I980">
        <f>IF(Skills!T5&lt;&gt;"",1+(Skills!T5/10)*($Z$3/1000)/100,1)</f>
        <v/>
      </c>
      <c r="J980" t="inlineStr"/>
      <c r="K980" t="inlineStr"/>
      <c r="L980" t="inlineStr"/>
      <c r="M980" t="inlineStr"/>
      <c r="N980" t="inlineStr"/>
      <c r="O980" t="n">
        <v>0</v>
      </c>
      <c r="P980">
        <f>IF(B1013=0,0,O980/B1013)</f>
        <v/>
      </c>
      <c r="S980">
        <f>IF(AND(Inputs!$B$4&lt;&gt;"pvp",Inputs!$B$35&gt;0),(INT(Inputs!$B$35/IF(Inputs!$B$4="pvp",15,MAX(0.1,Skills!D5-IF(Skills!E5=TRUE,Inputs!$B$31,0))))+1),0)</f>
        <v/>
      </c>
      <c r="V980">
        <f>IFERROR(1/IF(Inputs!$B$4="pvp",15,MAX(0.1,Skills!D5-IF(Skills!E5=TRUE,Inputs!$B$31,0))),0)</f>
        <v/>
      </c>
    </row>
    <row r="981">
      <c r="A981">
        <f>Skills!A6</f>
        <v/>
      </c>
      <c r="B981">
        <f>Skills!B6</f>
        <v/>
      </c>
      <c r="C981">
        <f>Inputs!$B$3&gt;=103</f>
        <v/>
      </c>
      <c r="D981">
        <f>IF(Skills!C6=1,60+Inputs!$B$24+Inputs!$B$28,IF(Skills!C6=2,90+Inputs!$B$25+Inputs!$B$28,IF(Skills!C6=3,120+Inputs!$B$26+Inputs!$B$28,MAX(0,(Inputs!$B$3-100)*3)+Inputs!$B$27+Inputs!$B$28)))</f>
        <v/>
      </c>
      <c r="E981">
        <f>INDEX(FactorTable!$B$2:$Y$301, MATCH(ROUND(MIN(300,MAX(1,D981)),0), FactorTable!$A$2:$A$301,0), Skills!L6+1)</f>
        <v/>
      </c>
      <c r="F981">
        <f>IF(Skills!M6=TRUE,(Skills!K6/10)*(E981/1000),Skills!K6/10)+Skills!N6</f>
        <v/>
      </c>
      <c r="G981">
        <f>Calc!G6</f>
        <v/>
      </c>
      <c r="H981">
        <f>Calc!H6</f>
        <v/>
      </c>
      <c r="I981">
        <f>IF(Skills!T6&lt;&gt;"",1+(Skills!T6/10)*($Z$3/1000)/100,1)</f>
        <v/>
      </c>
      <c r="J981">
        <f>((Inputs!$B$5*(1+Inputs!$B$6/100))+((Inputs!$B$11*(1+Inputs!$B$12/100))-(Inputs!$B$11*(1+Inputs!$B$12/100)))*(1+Inputs!$B$6/100))*(F981/100)</f>
        <v/>
      </c>
      <c r="K981">
        <f>J981*(1+((Inputs!$B$11*(1+Inputs!$B$12/100))*0.01+Inputs!$B$13*0.0025)/100)*(1+(Inputs!$B$14+B1006)/100)*(1+IF(Inputs!$B$4="pvp",0,(1-Summary!$B$48)*(Inputs!$B$19+Skills!O6+B1004)+Summary!$B$48*(Inputs!$B$20+Skills!P6+B1005))/100)*(1+Inputs!$B$15/100)*(5000/(6000+Inputs!$B$7*(1-Inputs!$B$18/100)))*(1+Inputs!$B$23/100)*(1+IF(C992=TRUE,F992,0)/100)*(1+IF(C994=TRUE,F994,0)/100)*(1+IF(Skills!A6="TRIUMPH_FEATHER",IF(C990=TRUE,F990,0),0)/100)*(1+IF(C1001=TRUE,F1001,0)/100)^5*(1+(IF(Skills!A6="BIG_BANG",Inputs!$B$16,Inputs!$B$17))/100)*(B1003*I981)</f>
        <v/>
      </c>
      <c r="L981">
        <f>K981*(MIN(Inputs!$B$21+(F996-Calc!F21),Inputs!$B$22)/100+Inputs!$B$22/100)/2</f>
        <v/>
      </c>
      <c r="M981">
        <f>L981*(1+(Inputs!$B$9+B1007+(F999-Calc!F24))/100)</f>
        <v/>
      </c>
      <c r="N981">
        <f>L981*(1-MIN(Inputs!$B$8+((F998-Calc!F23)+(F997-Calc!F22)),100)/100)+M981*(MIN(Inputs!$B$8+((F998-Calc!F23)+(F997-Calc!F22)),100)/100)</f>
        <v/>
      </c>
      <c r="O981">
        <f>IF(C981,H981*N981*IF(AND(Inputs!$B$4&lt;&gt;"pvp",Inputs!$B$35&gt;0),((Skills!F6*((S981-1)*IF(Skills!G6&gt;0,Skills!H6/Skills!G6,1)+IF(Skills!G6&gt;0,MIN(Skills!H6,MAX(0,Inputs!$B$35-((S981-1)*IF(Inputs!$B$4="pvp",15,MAX(0.1,Skills!D6-IF(Skills!E6=TRUE,Inputs!$B$31,0))))))/Skills!G6,1)))/Inputs!$B$35),G981*V981)*IF(Inputs!$B$4="pvp",1,(1-Summary!$B$48)*(1)+Summary!$B$48*(MIN(Skills!Q6,Inputs!$B$37))),0)</f>
        <v/>
      </c>
      <c r="P981">
        <f>IF(B1013=0,0,O981/B1013)</f>
        <v/>
      </c>
      <c r="S981">
        <f>IF(AND(Inputs!$B$4&lt;&gt;"pvp",Inputs!$B$35&gt;0),(INT(Inputs!$B$35/IF(Inputs!$B$4="pvp",15,MAX(0.1,Skills!D6-IF(Skills!E6=TRUE,Inputs!$B$31,0))))+1),0)</f>
        <v/>
      </c>
      <c r="V981">
        <f>IFERROR(1/IF(Inputs!$B$4="pvp",15,MAX(0.1,Skills!D6-IF(Skills!E6=TRUE,Inputs!$B$31,0))),0)</f>
        <v/>
      </c>
    </row>
    <row r="982">
      <c r="A982">
        <f>Skills!A7</f>
        <v/>
      </c>
      <c r="B982">
        <f>Skills!B7</f>
        <v/>
      </c>
      <c r="C982">
        <f>Inputs!$B$3&gt;=122</f>
        <v/>
      </c>
      <c r="D982">
        <f>IF(Skills!C7=1,60+Inputs!$B$24+Inputs!$B$28,IF(Skills!C7=2,90+Inputs!$B$25+Inputs!$B$28,IF(Skills!C7=3,120+Inputs!$B$26+Inputs!$B$28,MAX(0,(Inputs!$B$3-100)*3)+Inputs!$B$27+Inputs!$B$28)))</f>
        <v/>
      </c>
      <c r="E982">
        <f>INDEX(FactorTable!$B$2:$Y$301, MATCH(ROUND(MIN(300,MAX(1,D982)),0), FactorTable!$A$2:$A$301,0), Skills!L7+1)</f>
        <v/>
      </c>
      <c r="F982">
        <f>IF(Skills!M7=TRUE,(Skills!K7/10)*(E982/1000),Skills!K7/10)+Skills!N7</f>
        <v/>
      </c>
      <c r="G982">
        <f>Calc!G7</f>
        <v/>
      </c>
      <c r="H982">
        <f>Calc!H7</f>
        <v/>
      </c>
      <c r="I982">
        <f>IF(Skills!T7&lt;&gt;"",1+(Skills!T7/10)*($Z$3/1000)/100,1)</f>
        <v/>
      </c>
      <c r="J982">
        <f>((Inputs!$B$5*(1+Inputs!$B$6/100))+((Inputs!$B$11*(1+Inputs!$B$12/100))-(Inputs!$B$11*(1+Inputs!$B$12/100)))*(1+Inputs!$B$6/100))*(F982/100)</f>
        <v/>
      </c>
      <c r="K982">
        <f>J982*(1+((Inputs!$B$11*(1+Inputs!$B$12/100))*0.01+Inputs!$B$13*0.0025)/100)*(1+(Inputs!$B$14+B1006)/100)*(1+IF(Inputs!$B$4="pvp",0,(1-Summary!$B$48)*(Inputs!$B$19+Skills!O7+B1004)+Summary!$B$48*(Inputs!$B$20+Skills!P7+B1005))/100)*(1+Inputs!$B$15/100)*(5000/(6000+Inputs!$B$7*(1-Inputs!$B$18/100)))*(1+Inputs!$B$23/100)*(1+IF(C992=TRUE,F992,0)/100)*(1+IF(C994=TRUE,F994,0)/100)*(1+IF(Skills!A7="TRIUMPH_FEATHER",IF(C990=TRUE,F990,0),0)/100)*(1+IF(C1001=TRUE,F1001,0)/100)^5*(1+(IF(Skills!A7="BIG_BANG",Inputs!$B$16,Inputs!$B$17))/100)*(B1003*I982)</f>
        <v/>
      </c>
      <c r="L982">
        <f>K982*(MIN(Inputs!$B$21+(F996-Calc!F21),Inputs!$B$22)/100+Inputs!$B$22/100)/2</f>
        <v/>
      </c>
      <c r="M982">
        <f>L982*(1+(Inputs!$B$9+B1007+(F999-Calc!F24))/100)</f>
        <v/>
      </c>
      <c r="N982">
        <f>L982*(1-MIN(Inputs!$B$8+((F998-Calc!F23)+(F997-Calc!F22)),100)/100)+M982*(MIN(Inputs!$B$8+((F998-Calc!F23)+(F997-Calc!F22)),100)/100)</f>
        <v/>
      </c>
      <c r="O982">
        <f>IF(C982,H982*N982*IF(AND(Inputs!$B$4&lt;&gt;"pvp",Inputs!$B$35&gt;0),((Skills!F7*((S982-1)*IF(Skills!G7&gt;0,Skills!H7/Skills!G7,1)+IF(Skills!G7&gt;0,MIN(Skills!H7,MAX(0,Inputs!$B$35-((S982-1)*IF(Inputs!$B$4="pvp",15,MAX(0.1,Skills!D7-IF(Skills!E6=TRUE,Inputs!$B$31,0))))))/Skills!G7,1)))/Inputs!$B$35),G982*V982)*(1-Summary!$B$48),0)</f>
        <v/>
      </c>
      <c r="P982">
        <f>IF(B1013=0,0,O982/B1013)</f>
        <v/>
      </c>
      <c r="S982">
        <f>IF(AND(Inputs!$B$4&lt;&gt;"pvp",Inputs!$B$35&gt;0),(INT(Inputs!$B$35/IF(Inputs!$B$4="pvp",15,MAX(0.1,Skills!D7-IF(Skills!E6=TRUE,Inputs!$B$31,0))))+1),0)</f>
        <v/>
      </c>
      <c r="V982">
        <f>IFERROR(1/IF(Inputs!$B$4="pvp",15,MAX(0.1,Skills!D7-IF(Skills!E6=TRUE,Inputs!$B$31,0))),0)</f>
        <v/>
      </c>
    </row>
    <row r="983">
      <c r="A983">
        <f>Skills!A8</f>
        <v/>
      </c>
      <c r="B983">
        <f>Skills!B8</f>
        <v/>
      </c>
      <c r="C983">
        <f>Inputs!$B$3&gt;=105</f>
        <v/>
      </c>
      <c r="D983">
        <f>IF(Skills!C8=1,60+Inputs!$B$24+Inputs!$B$28,IF(Skills!C8=2,90+Inputs!$B$25+Inputs!$B$28,IF(Skills!C8=3,120+Inputs!$B$26+Inputs!$B$28,MAX(0,(Inputs!$B$3-100)*3)+Inputs!$B$27+Inputs!$B$28)))</f>
        <v/>
      </c>
      <c r="E983">
        <f>INDEX(FactorTable!$B$2:$Y$301, MATCH(ROUND(MIN(300,MAX(1,D983)),0), FactorTable!$A$2:$A$301,0), Skills!L8+1)</f>
        <v/>
      </c>
      <c r="F983">
        <f>IF(Skills!M8=TRUE,(Skills!K8/10)*(E983/1000),Skills!K8/10)+Skills!N8</f>
        <v/>
      </c>
      <c r="G983">
        <f>Calc!G8</f>
        <v/>
      </c>
      <c r="H983">
        <f>Calc!H8</f>
        <v/>
      </c>
      <c r="I983">
        <f>IF(Skills!T8&lt;&gt;"",1+(Skills!T8/10)*($Z$3/1000)/100,1)</f>
        <v/>
      </c>
      <c r="J983">
        <f>((Inputs!$B$5*(1+Inputs!$B$6/100))+((Inputs!$B$11*(1+Inputs!$B$12/100))-(Inputs!$B$11*(1+Inputs!$B$12/100)))*(1+Inputs!$B$6/100))*(F983/100)</f>
        <v/>
      </c>
      <c r="K983">
        <f>J983*(1+((Inputs!$B$11*(1+Inputs!$B$12/100))*0.01+Inputs!$B$13*0.0025)/100)*(1+(Inputs!$B$14+B1006)/100)*(1+IF(Inputs!$B$4="pvp",0,(1-Summary!$B$48)*(Inputs!$B$19+Skills!O8+B1004)+Summary!$B$48*(Inputs!$B$20+Skills!P8+B1005))/100)*(1+Inputs!$B$15/100)*(5000/(6000+Inputs!$B$7*(1-Inputs!$B$18/100)))*(1+Inputs!$B$23/100)*(1+IF(C992=TRUE,F992,0)/100)*(1+IF(C994=TRUE,F994,0)/100)*(1+IF(Skills!A8="TRIUMPH_FEATHER",IF(C990=TRUE,F990,0),0)/100)*(1+IF(C1001=TRUE,F1001,0)/100)^5*(1+(IF(Skills!A8="BIG_BANG",Inputs!$B$16,Inputs!$B$17))/100)*(B1003*I983)</f>
        <v/>
      </c>
      <c r="L983">
        <f>K983*(MIN(Inputs!$B$21+(F996-Calc!F21),Inputs!$B$22)/100+Inputs!$B$22/100)/2</f>
        <v/>
      </c>
      <c r="M983">
        <f>L983*(1+(Inputs!$B$9+B1007+(F999-Calc!F24))/100)</f>
        <v/>
      </c>
      <c r="N983">
        <f>L983*(1-MIN(Inputs!$B$8+((F998-Calc!F23)+(F997-Calc!F22)),100)/100)+M983*(MIN(Inputs!$B$8+((F998-Calc!F23)+(F997-Calc!F22)),100)/100)</f>
        <v/>
      </c>
      <c r="O983">
        <f>IF(C983,H983*N983*IF(AND(Inputs!$B$4&lt;&gt;"pvp",Inputs!$B$35&gt;0),((Skills!F8*((S983-1)*IF(Skills!G8&gt;0,Skills!H8/Skills!G8,1)+IF(Skills!G8&gt;0,MIN(Skills!H8,MAX(0,Inputs!$B$35-((S983-1)*IF(Inputs!$B$4="pvp",15,MAX(0.1,Skills!D8-IF(Skills!E8=TRUE,Inputs!$B$31,0))))))/Skills!G8,1)))/Inputs!$B$35),G983*V983)*IF(Inputs!$B$4="pvp",1,(1-Summary!$B$48)*(1)+Summary!$B$48*(MIN(Skills!Q8,Inputs!$B$37))),0)</f>
        <v/>
      </c>
      <c r="P983">
        <f>IF(B1013=0,0,O983/B1013)</f>
        <v/>
      </c>
      <c r="S983">
        <f>IF(AND(Inputs!$B$4&lt;&gt;"pvp",Inputs!$B$35&gt;0),(INT(Inputs!$B$35/IF(Inputs!$B$4="pvp",15,MAX(0.1,Skills!D8-IF(Skills!E8=TRUE,Inputs!$B$31,0))))+1),0)</f>
        <v/>
      </c>
      <c r="V983">
        <f>IFERROR(1/IF(Inputs!$B$4="pvp",15,MAX(0.1,Skills!D8-IF(Skills!E8=TRUE,Inputs!$B$31,0))),0)</f>
        <v/>
      </c>
    </row>
    <row r="984">
      <c r="A984">
        <f>Skills!A9</f>
        <v/>
      </c>
      <c r="B984">
        <f>Skills!B9</f>
        <v/>
      </c>
      <c r="C984">
        <f>Inputs!$B$3&gt;=115</f>
        <v/>
      </c>
      <c r="D984">
        <f>IF(Skills!C9=1,60+Inputs!$B$24+Inputs!$B$28,IF(Skills!C9=2,90+Inputs!$B$25+Inputs!$B$28,IF(Skills!C9=3,120+Inputs!$B$26+Inputs!$B$28,MAX(0,(Inputs!$B$3-100)*3)+Inputs!$B$27+Inputs!$B$28)))</f>
        <v/>
      </c>
      <c r="E984">
        <f>INDEX(FactorTable!$B$2:$Y$301, MATCH(ROUND(MIN(300,MAX(1,D984)),0), FactorTable!$A$2:$A$301,0), Skills!L9+1)</f>
        <v/>
      </c>
      <c r="F984">
        <f>IF(Skills!M9=TRUE,(Skills!K9/10)*(E984/1000),Skills!K9/10)+Skills!N9</f>
        <v/>
      </c>
      <c r="G984">
        <f>Calc!G9</f>
        <v/>
      </c>
      <c r="H984">
        <f>Calc!H9</f>
        <v/>
      </c>
      <c r="I984">
        <f>IF(Skills!T9&lt;&gt;"",1+(Skills!T9/10)*($Z$3/1000)/100,1)</f>
        <v/>
      </c>
      <c r="J984">
        <f>((Inputs!$B$5*(1+Inputs!$B$6/100))+((Inputs!$B$11*(1+Inputs!$B$12/100))-(Inputs!$B$11*(1+Inputs!$B$12/100)))*(1+Inputs!$B$6/100))*(F984/100)</f>
        <v/>
      </c>
      <c r="K984">
        <f>J984*(1+((Inputs!$B$11*(1+Inputs!$B$12/100))*0.01+Inputs!$B$13*0.0025)/100)*(1+(Inputs!$B$14+B1006)/100)*(1+IF(Inputs!$B$4="pvp",0,(1-Summary!$B$48)*(Inputs!$B$19+Skills!O9+B1004)+Summary!$B$48*(Inputs!$B$20+Skills!P9+B1005))/100)*(1+Inputs!$B$15/100)*(5000/(6000+Inputs!$B$7*(1-Inputs!$B$18/100)))*(1+Inputs!$B$23/100)*(1+IF(C992=TRUE,F992,0)/100)*(1+IF(C994=TRUE,F994,0)/100)*(1+IF(Skills!A9="TRIUMPH_FEATHER",IF(C990=TRUE,F990,0),0)/100)*(1+IF(C1001=TRUE,F1001,0)/100)^5*(1+(IF(Skills!A9="BIG_BANG",Inputs!$B$16,Inputs!$B$17))/100)*(B1003*I984)</f>
        <v/>
      </c>
      <c r="L984">
        <f>K984*(MIN(Inputs!$B$21+(F996-Calc!F21),Inputs!$B$22)/100+Inputs!$B$22/100)/2</f>
        <v/>
      </c>
      <c r="M984">
        <f>L984*(1+(Inputs!$B$9+B1007+(F999-Calc!F24))/100)</f>
        <v/>
      </c>
      <c r="N984">
        <f>L984*(1-MIN(Inputs!$B$8+((F998-Calc!F23)+(F997-Calc!F22)),100)/100)+M984*(MIN(Inputs!$B$8+((F998-Calc!F23)+(F997-Calc!F22)),100)/100)</f>
        <v/>
      </c>
      <c r="O984">
        <f>IF(C984,H984*N984*IF(AND(Inputs!$B$4&lt;&gt;"pvp",Inputs!$B$35&gt;0),((Skills!F9*((S984-1)*IF(Skills!G9&gt;0,Skills!H9/Skills!G9,1)+IF(Skills!G9&gt;0,MIN(Skills!H9,MAX(0,Inputs!$B$35-((S984-1)*IF(Inputs!$B$4="pvp",15,MAX(0.1,Skills!D9-IF(Skills!E9=TRUE,Inputs!$B$31,0))))))/Skills!G9,1)))/Inputs!$B$35),G984*V984)*IF(Inputs!$B$4="pvp",1,(1-Summary!$B$48)*(1)+Summary!$B$48*(MIN(Skills!Q9,Inputs!$B$37))),0)</f>
        <v/>
      </c>
      <c r="P984">
        <f>IF(B1013=0,0,O984/B1013)</f>
        <v/>
      </c>
      <c r="S984">
        <f>IF(AND(Inputs!$B$4&lt;&gt;"pvp",Inputs!$B$35&gt;0),(INT(Inputs!$B$35/IF(Inputs!$B$4="pvp",15,MAX(0.1,Skills!D9-IF(Skills!E9=TRUE,Inputs!$B$31,0))))+1),0)</f>
        <v/>
      </c>
      <c r="V984">
        <f>IFERROR(1/IF(Inputs!$B$4="pvp",15,MAX(0.1,Skills!D9-IF(Skills!E9=TRUE,Inputs!$B$31,0))),0)</f>
        <v/>
      </c>
    </row>
    <row r="985">
      <c r="A985">
        <f>Skills!A10</f>
        <v/>
      </c>
      <c r="B985">
        <f>Skills!B10</f>
        <v/>
      </c>
      <c r="C985">
        <f>Inputs!$B$3&gt;=66</f>
        <v/>
      </c>
      <c r="D985">
        <f>IF(Skills!C10=1,60+Inputs!$B$24+Inputs!$B$28,IF(Skills!C10=2,90+Inputs!$B$25+Inputs!$B$28,IF(Skills!C10=3,120+Inputs!$B$26+Inputs!$B$28,MAX(0,(Inputs!$B$3-100)*3)+Inputs!$B$27+Inputs!$B$28)))</f>
        <v/>
      </c>
      <c r="E985">
        <f>INDEX(FactorTable!$B$2:$Y$301, MATCH(ROUND(MIN(300,MAX(1,D985)),0), FactorTable!$A$2:$A$301,0), Skills!L10+1)</f>
        <v/>
      </c>
      <c r="F985" t="n">
        <v>0</v>
      </c>
      <c r="G985">
        <f>Calc!G10</f>
        <v/>
      </c>
      <c r="H985">
        <f>Calc!H10</f>
        <v/>
      </c>
      <c r="I985">
        <f>IF(Skills!T10&lt;&gt;"",1+(Skills!T10/10)*($Z$3/1000)/100,1)</f>
        <v/>
      </c>
      <c r="J985" t="inlineStr"/>
      <c r="K985" t="inlineStr"/>
      <c r="L985" t="inlineStr"/>
      <c r="M985" t="inlineStr"/>
      <c r="N985" t="inlineStr"/>
      <c r="O985" t="n">
        <v>0</v>
      </c>
      <c r="P985">
        <f>IF(B1013=0,0,O985/B1013)</f>
        <v/>
      </c>
      <c r="S985">
        <f>IF(AND(Inputs!$B$4&lt;&gt;"pvp",Inputs!$B$35&gt;0),(INT(Inputs!$B$35/IF(Inputs!$B$4="pvp",15,MAX(0.1,Skills!D10-IF(Skills!E10=TRUE,Inputs!$B$31,0))))+1),0)</f>
        <v/>
      </c>
      <c r="V985">
        <f>IFERROR(1/IF(Inputs!$B$4="pvp",15,MAX(0.1,Skills!D10-IF(Skills!E10=TRUE,Inputs!$B$31,0))),0)</f>
        <v/>
      </c>
    </row>
    <row r="986">
      <c r="A986">
        <f>Skills!A11</f>
        <v/>
      </c>
      <c r="B986">
        <f>Skills!B11</f>
        <v/>
      </c>
      <c r="C986">
        <f>Inputs!$B$3&gt;=69</f>
        <v/>
      </c>
      <c r="D986">
        <f>IF(Skills!C11=1,60+Inputs!$B$24+Inputs!$B$28,IF(Skills!C11=2,90+Inputs!$B$25+Inputs!$B$28,IF(Skills!C11=3,120+Inputs!$B$26+Inputs!$B$28,MAX(0,(Inputs!$B$3-100)*3)+Inputs!$B$27+Inputs!$B$28)))</f>
        <v/>
      </c>
      <c r="E986">
        <f>INDEX(FactorTable!$B$2:$Y$301, MATCH(ROUND(MIN(300,MAX(1,D986)),0), FactorTable!$A$2:$A$301,0), Skills!L11+1)</f>
        <v/>
      </c>
      <c r="F986">
        <f>IF(Skills!M11=TRUE,(Skills!K11/10)*(E986/1000),Skills!K11/10)+Skills!N11</f>
        <v/>
      </c>
      <c r="G986">
        <f>Calc!G11</f>
        <v/>
      </c>
      <c r="H986">
        <f>Calc!H11</f>
        <v/>
      </c>
      <c r="I986">
        <f>IF(Skills!T11&lt;&gt;"",1+(Skills!T11/10)*($Z$3/1000)/100,1)</f>
        <v/>
      </c>
      <c r="J986" t="inlineStr"/>
      <c r="K986" t="inlineStr"/>
      <c r="L986" t="inlineStr"/>
      <c r="M986" t="inlineStr"/>
      <c r="N986" t="inlineStr"/>
      <c r="O986" t="n">
        <v>0</v>
      </c>
      <c r="P986">
        <f>IF(B1013=0,0,O986/B1013)</f>
        <v/>
      </c>
      <c r="S986">
        <f>IF(AND(Inputs!$B$4&lt;&gt;"pvp",Inputs!$B$35&gt;0),(INT(Inputs!$B$35/IF(Inputs!$B$4="pvp",15,MAX(0.1,Skills!D11-IF(Skills!E11=TRUE,Inputs!$B$31,0))))+1),0)</f>
        <v/>
      </c>
      <c r="V986">
        <f>IFERROR(1/IF(Inputs!$B$4="pvp",15,MAX(0.1,Skills!D11-IF(Skills!E11=TRUE,Inputs!$B$31,0))),0)</f>
        <v/>
      </c>
    </row>
    <row r="987">
      <c r="A987">
        <f>Skills!A12</f>
        <v/>
      </c>
      <c r="B987">
        <f>Skills!B12</f>
        <v/>
      </c>
      <c r="C987">
        <f>Inputs!$B$3&gt;=72</f>
        <v/>
      </c>
      <c r="D987">
        <f>IF(Skills!C12=1,60+Inputs!$B$24+Inputs!$B$28,IF(Skills!C12=2,90+Inputs!$B$25+Inputs!$B$28,IF(Skills!C12=3,120+Inputs!$B$26+Inputs!$B$28,MAX(0,(Inputs!$B$3-100)*3)+Inputs!$B$27+Inputs!$B$28)))</f>
        <v/>
      </c>
      <c r="E987">
        <f>INDEX(FactorTable!$B$2:$Y$301, MATCH(ROUND(MIN(300,MAX(1,D987)),0), FactorTable!$A$2:$A$301,0), Skills!L12+1)</f>
        <v/>
      </c>
      <c r="F987">
        <f>IF(Skills!M12=TRUE,(Skills!K12/10)*(E987/1000),Skills!K12/10)+Skills!N12</f>
        <v/>
      </c>
      <c r="G987">
        <f>Calc!G12</f>
        <v/>
      </c>
      <c r="H987">
        <f>Calc!H12</f>
        <v/>
      </c>
      <c r="I987">
        <f>IF(Skills!T12&lt;&gt;"",1+(Skills!T12/10)*($Z$3/1000)/100,1)</f>
        <v/>
      </c>
      <c r="J987" t="inlineStr"/>
      <c r="K987" t="inlineStr"/>
      <c r="L987" t="inlineStr"/>
      <c r="M987" t="inlineStr"/>
      <c r="N987" t="inlineStr"/>
      <c r="O987" t="n">
        <v>0</v>
      </c>
      <c r="P987">
        <f>IF(B1013=0,0,O987/B1013)</f>
        <v/>
      </c>
      <c r="S987">
        <f>IF(AND(Inputs!$B$4&lt;&gt;"pvp",Inputs!$B$35&gt;0),(INT(Inputs!$B$35/IF(Inputs!$B$4="pvp",15,MAX(0.1,Skills!D12-IF(Skills!E12=TRUE,Inputs!$B$31,0))))+1),0)</f>
        <v/>
      </c>
      <c r="V987">
        <f>IFERROR(1/IF(Inputs!$B$4="pvp",15,MAX(0.1,Skills!D12-IF(Skills!E12=TRUE,Inputs!$B$31,0))),0)</f>
        <v/>
      </c>
    </row>
    <row r="988">
      <c r="A988">
        <f>Skills!A13</f>
        <v/>
      </c>
      <c r="B988">
        <f>Skills!B13</f>
        <v/>
      </c>
      <c r="C988">
        <f>Inputs!$B$3&gt;=107</f>
        <v/>
      </c>
      <c r="D988">
        <f>IF(Skills!C13=1,60+Inputs!$B$24+Inputs!$B$28,IF(Skills!C13=2,90+Inputs!$B$25+Inputs!$B$28,IF(Skills!C13=3,120+Inputs!$B$26+Inputs!$B$28,MAX(0,(Inputs!$B$3-100)*3)+Inputs!$B$27+Inputs!$B$28)))</f>
        <v/>
      </c>
      <c r="E988">
        <f>INDEX(FactorTable!$B$2:$Y$301, MATCH(ROUND(MIN(300,MAX(1,D988)),0), FactorTable!$A$2:$A$301,0), Skills!L13+1)</f>
        <v/>
      </c>
      <c r="F988">
        <f>IF(Skills!M13=TRUE,(Skills!K13/10)*(E988/1000),Skills!K13/10)+Skills!N13</f>
        <v/>
      </c>
      <c r="G988">
        <f>Calc!G13</f>
        <v/>
      </c>
      <c r="H988">
        <f>Calc!H13</f>
        <v/>
      </c>
      <c r="I988">
        <f>IF(Skills!T13&lt;&gt;"",1+(Skills!T13/10)*($Z$3/1000)/100,1)</f>
        <v/>
      </c>
      <c r="J988" t="inlineStr"/>
      <c r="K988" t="inlineStr"/>
      <c r="L988" t="inlineStr"/>
      <c r="M988" t="inlineStr"/>
      <c r="N988" t="inlineStr"/>
      <c r="O988" t="n">
        <v>0</v>
      </c>
      <c r="P988">
        <f>IF(B1013=0,0,O988/B1013)</f>
        <v/>
      </c>
      <c r="S988">
        <f>IF(AND(Inputs!$B$4&lt;&gt;"pvp",Inputs!$B$35&gt;0),(INT(Inputs!$B$35/IF(Inputs!$B$4="pvp",15,MAX(0.1,Skills!D13-IF(Skills!E13=TRUE,Inputs!$B$31,0))))+1),0)</f>
        <v/>
      </c>
      <c r="V988">
        <f>IFERROR(1/IF(Inputs!$B$4="pvp",15,MAX(0.1,Skills!D13-IF(Skills!E13=TRUE,Inputs!$B$31,0))),0)</f>
        <v/>
      </c>
    </row>
    <row r="989">
      <c r="A989">
        <f>Skills!A14</f>
        <v/>
      </c>
      <c r="B989">
        <f>Skills!B14</f>
        <v/>
      </c>
      <c r="C989">
        <f>Inputs!$B$3&gt;=63</f>
        <v/>
      </c>
      <c r="D989">
        <f>IF(Skills!C14=1,60+Inputs!$B$24+Inputs!$B$28,IF(Skills!C14=2,90+Inputs!$B$25+Inputs!$B$28,IF(Skills!C14=3,120+Inputs!$B$26+Inputs!$B$28,MAX(0,(Inputs!$B$3-100)*3)+Inputs!$B$27+Inputs!$B$28)))</f>
        <v/>
      </c>
      <c r="E989">
        <f>INDEX(FactorTable!$B$2:$Y$301, MATCH(ROUND(MIN(300,MAX(1,D989)),0), FactorTable!$A$2:$A$301,0), Skills!L14+1)</f>
        <v/>
      </c>
      <c r="F989">
        <f>IF(Skills!M14=TRUE,(Skills!K14/10)*(E989/1000),Skills!K14/10)+Skills!N14</f>
        <v/>
      </c>
      <c r="G989">
        <f>Calc!G14</f>
        <v/>
      </c>
      <c r="H989">
        <f>Calc!H14</f>
        <v/>
      </c>
      <c r="I989">
        <f>IF(Skills!T14&lt;&gt;"",1+(Skills!T14/10)*($Z$3/1000)/100,1)</f>
        <v/>
      </c>
      <c r="J989">
        <f>((Inputs!$B$5*(1+Inputs!$B$6/100))+((Inputs!$B$11*(1+Inputs!$B$12/100))-(Inputs!$B$11*(1+Inputs!$B$12/100)))*(1+Inputs!$B$6/100))*(F989/100)</f>
        <v/>
      </c>
      <c r="K989">
        <f>J989*(1+((Inputs!$B$11*(1+Inputs!$B$12/100))*0.01+Inputs!$B$13*0.0025)/100)*(1+(Inputs!$B$14+B1006)/100)*(1+IF(Inputs!$B$4="pvp",0,(1-Summary!$B$48)*(Inputs!$B$19+Skills!O14+B1004)+Summary!$B$48*(Inputs!$B$20+Skills!P14+B1005))/100)*(1+Inputs!$B$15/100)*(5000/(6000+Inputs!$B$7*(1-Inputs!$B$18/100)))*(1+Inputs!$B$23/100)*(1+IF(C992=TRUE,F992,0)/100)*(1+IF(C994=TRUE,F994,0)/100)*(1+IF(Skills!A14="TRIUMPH_FEATHER",IF(C990=TRUE,F990,0),0)/100)*(1+IF(C1001=TRUE,F1001,0)/100)^5*(1+(IF(Skills!A14="BIG_BANG",Inputs!$B$16,Inputs!$B$17))/100)*(B1003*I989)</f>
        <v/>
      </c>
      <c r="L989">
        <f>K989*(MIN(Inputs!$B$21+(F996-Calc!F21),Inputs!$B$22)/100+Inputs!$B$22/100)/2</f>
        <v/>
      </c>
      <c r="M989">
        <f>L989*(1+(Inputs!$B$9+B1007+(F999-Calc!F24))/100)</f>
        <v/>
      </c>
      <c r="N989">
        <f>L989*(1-MIN(Inputs!$B$8+((F998-Calc!F23)+(F997-Calc!F22)),100)/100)+M989*(MIN(Inputs!$B$8+((F998-Calc!F23)+(F997-Calc!F22)),100)/100)</f>
        <v/>
      </c>
      <c r="O989">
        <f>IF(C989,Skills!F14*N989*((IF(Inputs!$B$3&gt;=78,25,15)/100*B1009*10)/(1+IF(Inputs!$B$3&gt;=78,25,15)/100*B1009*10))*(Skills!I14/100*B1009)/(1+Skills!G14*Skills!I14/100*B1009)*IF(Inputs!$B$4="pvp",1,(1-Summary!$B$48)*(1)+Summary!$B$48*(MIN(Skills!Q14,Inputs!$B$37))),0)</f>
        <v/>
      </c>
      <c r="P989">
        <f>IF(B1013=0,0,O989/B1013)</f>
        <v/>
      </c>
      <c r="S989" t="n">
        <v>0</v>
      </c>
      <c r="V989">
        <f>IFERROR(1/IF(Inputs!$B$4="pvp",15,MAX(0.1,Skills!D14-IF(Skills!E14=TRUE,Inputs!$B$31,0))),0)</f>
        <v/>
      </c>
    </row>
    <row r="990">
      <c r="A990">
        <f>Skills!A15</f>
        <v/>
      </c>
      <c r="B990">
        <f>Skills!B15</f>
        <v/>
      </c>
      <c r="C990">
        <f>Inputs!$B$3&gt;=100</f>
        <v/>
      </c>
      <c r="D990">
        <f>IF(Skills!C15=1,60+Inputs!$B$24+Inputs!$B$28,IF(Skills!C15=2,90+Inputs!$B$25+Inputs!$B$28,IF(Skills!C15=3,120+Inputs!$B$26+Inputs!$B$28,MAX(0,(Inputs!$B$3-100)*3)+Inputs!$B$27+Inputs!$B$28)))</f>
        <v/>
      </c>
      <c r="E990">
        <f>INDEX(FactorTable!$B$2:$Y$301, MATCH(ROUND(MIN(300,MAX(1,D990)),0), FactorTable!$A$2:$A$301,0), Skills!L15+1)</f>
        <v/>
      </c>
      <c r="F990">
        <f>IF(Skills!M15=TRUE,(Skills!K15/10)*(E990/1000),Skills!K15/10)+Skills!N15</f>
        <v/>
      </c>
      <c r="G990">
        <f>Calc!G15</f>
        <v/>
      </c>
      <c r="H990">
        <f>Calc!H15</f>
        <v/>
      </c>
      <c r="I990">
        <f>IF(Skills!T15&lt;&gt;"",1+(Skills!T15/10)*($Z$3/1000)/100,1)</f>
        <v/>
      </c>
      <c r="J990" t="inlineStr"/>
      <c r="K990" t="inlineStr"/>
      <c r="L990" t="inlineStr"/>
      <c r="M990" t="inlineStr"/>
      <c r="N990" t="inlineStr"/>
      <c r="O990" t="n">
        <v>0</v>
      </c>
      <c r="P990">
        <f>IF(B1013=0,0,O990/B1013)</f>
        <v/>
      </c>
      <c r="S990" t="n">
        <v>0</v>
      </c>
      <c r="V990">
        <f>IFERROR(1/IF(Inputs!$B$4="pvp",15,MAX(0.1,Skills!D15-IF(Skills!E15=TRUE,Inputs!$B$31,0))),0)</f>
        <v/>
      </c>
    </row>
    <row r="991">
      <c r="A991">
        <f>Skills!A16</f>
        <v/>
      </c>
      <c r="B991">
        <f>Skills!B16</f>
        <v/>
      </c>
      <c r="C991">
        <f>Inputs!$B$3&gt;=49</f>
        <v/>
      </c>
      <c r="D991">
        <f>IF(Skills!C16=1,60+Inputs!$B$24+Inputs!$B$28,IF(Skills!C16=2,90+Inputs!$B$25+Inputs!$B$28,IF(Skills!C16=3,120+Inputs!$B$26+Inputs!$B$28,MAX(0,(Inputs!$B$3-100)*3)+Inputs!$B$27+Inputs!$B$28)))</f>
        <v/>
      </c>
      <c r="E991">
        <f>INDEX(FactorTable!$B$2:$Y$301, MATCH(ROUND(MIN(300,MAX(1,D991)),0), FactorTable!$A$2:$A$301,0), Skills!L16+1)</f>
        <v/>
      </c>
      <c r="F991">
        <f>IF(Skills!M16=TRUE,(Skills!K16/10)*(E991/1000),Skills!K16/10)+Skills!N16</f>
        <v/>
      </c>
      <c r="G991">
        <f>Calc!G16</f>
        <v/>
      </c>
      <c r="H991">
        <f>Calc!H16</f>
        <v/>
      </c>
      <c r="I991">
        <f>IF(Skills!T16&lt;&gt;"",1+(Skills!T16/10)*($Z$3/1000)/100,1)</f>
        <v/>
      </c>
      <c r="J991" t="inlineStr"/>
      <c r="K991" t="inlineStr"/>
      <c r="L991" t="inlineStr"/>
      <c r="M991" t="inlineStr"/>
      <c r="N991" t="inlineStr"/>
      <c r="O991" t="n">
        <v>0</v>
      </c>
      <c r="P991">
        <f>IF(B1013=0,0,O991/B1013)</f>
        <v/>
      </c>
      <c r="S991" t="n">
        <v>0</v>
      </c>
      <c r="V991">
        <f>IFERROR(1/IF(Inputs!$B$4="pvp",15,MAX(0.1,Skills!D16-IF(Skills!E16=TRUE,Inputs!$B$31,0))),0)</f>
        <v/>
      </c>
    </row>
    <row r="992">
      <c r="A992">
        <f>Skills!A17</f>
        <v/>
      </c>
      <c r="B992">
        <f>Skills!B17</f>
        <v/>
      </c>
      <c r="C992">
        <f>Inputs!$B$3&gt;=75</f>
        <v/>
      </c>
      <c r="D992">
        <f>IF(Skills!C17=1,60+Inputs!$B$24+Inputs!$B$28,IF(Skills!C17=2,90+Inputs!$B$25+Inputs!$B$28,IF(Skills!C17=3,120+Inputs!$B$26+Inputs!$B$28,MAX(0,(Inputs!$B$3-100)*3)+Inputs!$B$27+Inputs!$B$28)))</f>
        <v/>
      </c>
      <c r="E992">
        <f>INDEX(FactorTable!$B$2:$Y$301, MATCH(ROUND(MIN(300,MAX(1,D992)),0), FactorTable!$A$2:$A$301,0), Skills!L17+1)</f>
        <v/>
      </c>
      <c r="F992">
        <f>IF(Skills!M17=TRUE,(Skills!K17/10)*(E992/1000),Skills!K17/10)+Skills!N17</f>
        <v/>
      </c>
      <c r="G992">
        <f>Calc!G17</f>
        <v/>
      </c>
      <c r="H992">
        <f>Calc!H17</f>
        <v/>
      </c>
      <c r="I992">
        <f>IF(Skills!T17&lt;&gt;"",1+(Skills!T17/10)*($Z$3/1000)/100,1)</f>
        <v/>
      </c>
      <c r="J992" t="inlineStr"/>
      <c r="K992" t="inlineStr"/>
      <c r="L992" t="inlineStr"/>
      <c r="M992" t="inlineStr"/>
      <c r="N992" t="inlineStr"/>
      <c r="O992" t="n">
        <v>0</v>
      </c>
      <c r="P992">
        <f>IF(B1013=0,0,O992/B1013)</f>
        <v/>
      </c>
      <c r="S992" t="n">
        <v>0</v>
      </c>
      <c r="V992">
        <f>IFERROR(1/IF(Inputs!$B$4="pvp",15,MAX(0.1,Skills!D17-IF(Skills!E17=TRUE,Inputs!$B$31,0))),0)</f>
        <v/>
      </c>
    </row>
    <row r="993">
      <c r="A993">
        <f>Skills!A18</f>
        <v/>
      </c>
      <c r="B993">
        <f>Skills!B18</f>
        <v/>
      </c>
      <c r="C993">
        <f>Inputs!$B$3&gt;=110</f>
        <v/>
      </c>
      <c r="D993">
        <f>IF(Skills!C18=1,60+Inputs!$B$24+Inputs!$B$28,IF(Skills!C18=2,90+Inputs!$B$25+Inputs!$B$28,IF(Skills!C18=3,120+Inputs!$B$26+Inputs!$B$28,MAX(0,(Inputs!$B$3-100)*3)+Inputs!$B$27+Inputs!$B$28)))</f>
        <v/>
      </c>
      <c r="E993">
        <f>INDEX(FactorTable!$B$2:$Y$301, MATCH(ROUND(MIN(300,MAX(1,D993)),0), FactorTable!$A$2:$A$301,0), Skills!L18+1)</f>
        <v/>
      </c>
      <c r="F993">
        <f>(Skills!K18/10)*(E993/1000)*64/45+Skills!N18</f>
        <v/>
      </c>
      <c r="G993">
        <f>Calc!G18</f>
        <v/>
      </c>
      <c r="H993">
        <f>Calc!H18</f>
        <v/>
      </c>
      <c r="I993">
        <f>IF(Skills!T18&lt;&gt;"",1+(Skills!T18/10)*($Z$3/1000)/100,1)</f>
        <v/>
      </c>
      <c r="J993" t="inlineStr"/>
      <c r="K993" t="inlineStr"/>
      <c r="L993" t="inlineStr"/>
      <c r="M993" t="inlineStr"/>
      <c r="N993" t="inlineStr"/>
      <c r="O993" t="n">
        <v>0</v>
      </c>
      <c r="P993">
        <f>IF(B1013=0,0,O993/B1013)</f>
        <v/>
      </c>
      <c r="S993">
        <f>IF(AND(Inputs!$B$4&lt;&gt;"pvp",Inputs!$B$35&gt;0),(INT(Inputs!$B$35/IF(Inputs!$B$4="pvp",15,MAX(0.1,Skills!D18-IF(Skills!E18=TRUE,Inputs!$B$31,0))))+1),0)</f>
        <v/>
      </c>
      <c r="V993">
        <f>IFERROR(1/IF(Inputs!$B$4="pvp",15,MAX(0.1,Skills!D18-IF(Skills!E18=TRUE,Inputs!$B$31,0))),0)</f>
        <v/>
      </c>
    </row>
    <row r="994">
      <c r="A994">
        <f>Skills!A19</f>
        <v/>
      </c>
      <c r="B994">
        <f>Skills!B19</f>
        <v/>
      </c>
      <c r="C994">
        <f>Inputs!$B$3&gt;=125</f>
        <v/>
      </c>
      <c r="D994">
        <f>IF(Skills!C19=1,60+Inputs!$B$24+Inputs!$B$28,IF(Skills!C19=2,90+Inputs!$B$25+Inputs!$B$28,IF(Skills!C19=3,120+Inputs!$B$26+Inputs!$B$28,MAX(0,(Inputs!$B$3-100)*3)+Inputs!$B$27+Inputs!$B$28)))</f>
        <v/>
      </c>
      <c r="E994">
        <f>INDEX(FactorTable!$B$2:$Y$301, MATCH(ROUND(MIN(300,MAX(1,D994)),0), FactorTable!$A$2:$A$301,0), Skills!L19+1)</f>
        <v/>
      </c>
      <c r="F994">
        <f>IF(Skills!M19=TRUE,(Skills!K19/10)*(E994/1000),Skills!K19/10)+Skills!N19</f>
        <v/>
      </c>
      <c r="G994">
        <f>Calc!G19</f>
        <v/>
      </c>
      <c r="H994">
        <f>Calc!H19</f>
        <v/>
      </c>
      <c r="I994">
        <f>IF(Skills!T19&lt;&gt;"",1+(Skills!T19/10)*($Z$3/1000)/100,1)</f>
        <v/>
      </c>
      <c r="J994" t="inlineStr"/>
      <c r="K994" t="inlineStr"/>
      <c r="L994" t="inlineStr"/>
      <c r="M994" t="inlineStr"/>
      <c r="N994" t="inlineStr"/>
      <c r="O994" t="n">
        <v>0</v>
      </c>
      <c r="P994">
        <f>IF(B1013=0,0,O994/B1013)</f>
        <v/>
      </c>
      <c r="S994" t="n">
        <v>0</v>
      </c>
      <c r="V994">
        <f>IFERROR(1/IF(Inputs!$B$4="pvp",15,MAX(0.1,Skills!D19-IF(Skills!E19=TRUE,Inputs!$B$31,0))),0)</f>
        <v/>
      </c>
    </row>
    <row r="995">
      <c r="A995">
        <f>Skills!A20</f>
        <v/>
      </c>
      <c r="B995">
        <f>Skills!B20</f>
        <v/>
      </c>
      <c r="C995">
        <f>Inputs!$B$3&gt;=33</f>
        <v/>
      </c>
      <c r="D995">
        <f>IF(Skills!C20=1,60+Inputs!$B$24+Inputs!$B$28,IF(Skills!C20=2,90+Inputs!$B$25+Inputs!$B$28,IF(Skills!C20=3,120+Inputs!$B$26+Inputs!$B$28,MAX(0,(Inputs!$B$3-100)*3)+Inputs!$B$27+Inputs!$B$28)))</f>
        <v/>
      </c>
      <c r="E995">
        <f>INDEX(FactorTable!$B$2:$Y$301, MATCH(ROUND(MIN(300,MAX(1,D995)),0), FactorTable!$A$2:$A$301,0), Skills!L20+1)</f>
        <v/>
      </c>
      <c r="F995">
        <f>IF(Skills!M20=TRUE,(Skills!K20/10)*(E995/1000),Skills!K20/10)+Skills!N20</f>
        <v/>
      </c>
      <c r="G995">
        <f>Calc!G20</f>
        <v/>
      </c>
      <c r="H995">
        <f>Calc!H20</f>
        <v/>
      </c>
      <c r="I995">
        <f>IF(Skills!T20&lt;&gt;"",1+(Skills!T20/10)*($Z$3/1000)/100,1)</f>
        <v/>
      </c>
      <c r="J995" t="inlineStr"/>
      <c r="K995" t="inlineStr"/>
      <c r="L995" t="inlineStr"/>
      <c r="M995" t="inlineStr"/>
      <c r="N995" t="inlineStr"/>
      <c r="O995" t="n">
        <v>0</v>
      </c>
      <c r="P995">
        <f>IF(B1013=0,0,O995/B1013)</f>
        <v/>
      </c>
      <c r="S995" t="n">
        <v>0</v>
      </c>
      <c r="V995">
        <f>IFERROR(1/IF(Inputs!$B$4="pvp",15,MAX(0.1,Skills!D20-IF(Skills!E20=TRUE,Inputs!$B$31,0))),0)</f>
        <v/>
      </c>
    </row>
    <row r="996">
      <c r="A996">
        <f>Skills!A21</f>
        <v/>
      </c>
      <c r="B996">
        <f>Skills!B21</f>
        <v/>
      </c>
      <c r="C996">
        <f>Inputs!$B$3&gt;=43</f>
        <v/>
      </c>
      <c r="D996">
        <f>IF(Skills!C21=1,60+Inputs!$B$24+Inputs!$B$28,IF(Skills!C21=2,90+Inputs!$B$25+Inputs!$B$28,IF(Skills!C21=3,120+Inputs!$B$26+Inputs!$B$28,MAX(0,(Inputs!$B$3-100)*3)+Inputs!$B$27+Inputs!$B$28)))</f>
        <v/>
      </c>
      <c r="E996">
        <f>INDEX(FactorTable!$B$2:$Y$301, MATCH(ROUND(MIN(300,MAX(1,D996)),0), FactorTable!$A$2:$A$301,0), Skills!L21+1)</f>
        <v/>
      </c>
      <c r="F996">
        <f>IF(Skills!M21=TRUE,(Skills!K21/10)*(E996/1000),Skills!K21/10)+Skills!N21</f>
        <v/>
      </c>
      <c r="G996">
        <f>Calc!G21</f>
        <v/>
      </c>
      <c r="H996">
        <f>Calc!H21</f>
        <v/>
      </c>
      <c r="I996">
        <f>IF(Skills!T21&lt;&gt;"",1+(Skills!T21/10)*($Z$3/1000)/100,1)</f>
        <v/>
      </c>
      <c r="J996" t="inlineStr"/>
      <c r="K996" t="inlineStr"/>
      <c r="L996" t="inlineStr"/>
      <c r="M996" t="inlineStr"/>
      <c r="N996" t="inlineStr"/>
      <c r="O996" t="n">
        <v>0</v>
      </c>
      <c r="P996">
        <f>IF(B1013=0,0,O996/B1013)</f>
        <v/>
      </c>
      <c r="S996" t="n">
        <v>0</v>
      </c>
      <c r="V996">
        <f>IFERROR(1/IF(Inputs!$B$4="pvp",15,MAX(0.1,Skills!D21-IF(Skills!E21=TRUE,Inputs!$B$31,0))),0)</f>
        <v/>
      </c>
    </row>
    <row r="997">
      <c r="A997">
        <f>Skills!A22</f>
        <v/>
      </c>
      <c r="B997">
        <f>Skills!B22</f>
        <v/>
      </c>
      <c r="C997">
        <f>Inputs!$B$3&gt;=50</f>
        <v/>
      </c>
      <c r="D997">
        <f>IF(Skills!C22=1,60+Inputs!$B$24+Inputs!$B$28,IF(Skills!C22=2,90+Inputs!$B$25+Inputs!$B$28,IF(Skills!C22=3,120+Inputs!$B$26+Inputs!$B$28,MAX(0,(Inputs!$B$3-100)*3)+Inputs!$B$27+Inputs!$B$28)))</f>
        <v/>
      </c>
      <c r="E997">
        <f>INDEX(FactorTable!$B$2:$Y$301, MATCH(ROUND(MIN(300,MAX(1,D997)),0), FactorTable!$A$2:$A$301,0), Skills!L22+1)</f>
        <v/>
      </c>
      <c r="F997">
        <f>IF(Skills!M22=TRUE,(Skills!K22/10)*(E997/1000),Skills!K22/10)+Skills!N22</f>
        <v/>
      </c>
      <c r="G997">
        <f>Calc!G22</f>
        <v/>
      </c>
      <c r="H997">
        <f>Calc!H22</f>
        <v/>
      </c>
      <c r="I997">
        <f>IF(Skills!T22&lt;&gt;"",1+(Skills!T22/10)*($Z$3/1000)/100,1)</f>
        <v/>
      </c>
      <c r="J997" t="inlineStr"/>
      <c r="K997" t="inlineStr"/>
      <c r="L997" t="inlineStr"/>
      <c r="M997" t="inlineStr"/>
      <c r="N997" t="inlineStr"/>
      <c r="O997" t="n">
        <v>0</v>
      </c>
      <c r="P997">
        <f>IF(B1013=0,0,O997/B1013)</f>
        <v/>
      </c>
      <c r="S997" t="n">
        <v>0</v>
      </c>
      <c r="V997">
        <f>IFERROR(1/IF(Inputs!$B$4="pvp",15,MAX(0.1,Skills!D22-IF(Skills!E22=TRUE,Inputs!$B$31,0))),0)</f>
        <v/>
      </c>
    </row>
    <row r="998">
      <c r="A998">
        <f>Skills!A23</f>
        <v/>
      </c>
      <c r="B998">
        <f>Skills!B23</f>
        <v/>
      </c>
      <c r="C998">
        <f>Inputs!$B$3&gt;=74</f>
        <v/>
      </c>
      <c r="D998">
        <f>IF(Skills!C23=1,60+Inputs!$B$24+Inputs!$B$28,IF(Skills!C23=2,90+Inputs!$B$25+Inputs!$B$28,IF(Skills!C23=3,120+Inputs!$B$26+Inputs!$B$28,MAX(0,(Inputs!$B$3-100)*3)+Inputs!$B$27+Inputs!$B$28)))</f>
        <v/>
      </c>
      <c r="E998">
        <f>INDEX(FactorTable!$B$2:$Y$301, MATCH(ROUND(MIN(300,MAX(1,D998)),0), FactorTable!$A$2:$A$301,0), Skills!L23+1)</f>
        <v/>
      </c>
      <c r="F998">
        <f>IF(Skills!M23=TRUE,(Skills!K23/10)*(E998/1000),Skills!K23/10)+Skills!N23</f>
        <v/>
      </c>
      <c r="G998">
        <f>Calc!G23</f>
        <v/>
      </c>
      <c r="H998">
        <f>Calc!H23</f>
        <v/>
      </c>
      <c r="I998">
        <f>IF(Skills!T23&lt;&gt;"",1+(Skills!T23/10)*($Z$3/1000)/100,1)</f>
        <v/>
      </c>
      <c r="J998" t="inlineStr"/>
      <c r="K998" t="inlineStr"/>
      <c r="L998" t="inlineStr"/>
      <c r="M998" t="inlineStr"/>
      <c r="N998" t="inlineStr"/>
      <c r="O998" t="n">
        <v>0</v>
      </c>
      <c r="P998">
        <f>IF(B1013=0,0,O998/B1013)</f>
        <v/>
      </c>
      <c r="S998" t="n">
        <v>0</v>
      </c>
      <c r="V998">
        <f>IFERROR(1/IF(Inputs!$B$4="pvp",15,MAX(0.1,Skills!D23-IF(Skills!E23=TRUE,Inputs!$B$31,0))),0)</f>
        <v/>
      </c>
    </row>
    <row r="999">
      <c r="A999">
        <f>Skills!A24</f>
        <v/>
      </c>
      <c r="B999">
        <f>Skills!B24</f>
        <v/>
      </c>
      <c r="C999">
        <f>Inputs!$B$3&gt;=74</f>
        <v/>
      </c>
      <c r="D999">
        <f>IF(Skills!C24=1,60+Inputs!$B$24+Inputs!$B$28,IF(Skills!C24=2,90+Inputs!$B$25+Inputs!$B$28,IF(Skills!C24=3,120+Inputs!$B$26+Inputs!$B$28,MAX(0,(Inputs!$B$3-100)*3)+Inputs!$B$27+Inputs!$B$28)))</f>
        <v/>
      </c>
      <c r="E999">
        <f>INDEX(FactorTable!$B$2:$Y$301, MATCH(ROUND(MIN(300,MAX(1,D999)),0), FactorTable!$A$2:$A$301,0), Skills!L24+1)</f>
        <v/>
      </c>
      <c r="F999">
        <f>IF(Skills!M24=TRUE,(Skills!K24/10)*(E999/1000),Skills!K24/10)+Skills!N24</f>
        <v/>
      </c>
      <c r="G999">
        <f>Calc!G24</f>
        <v/>
      </c>
      <c r="H999">
        <f>Calc!H24</f>
        <v/>
      </c>
      <c r="I999">
        <f>IF(Skills!T24&lt;&gt;"",1+(Skills!T24/10)*($Z$3/1000)/100,1)</f>
        <v/>
      </c>
      <c r="J999" t="inlineStr"/>
      <c r="K999" t="inlineStr"/>
      <c r="L999" t="inlineStr"/>
      <c r="M999" t="inlineStr"/>
      <c r="N999" t="inlineStr"/>
      <c r="O999" t="n">
        <v>0</v>
      </c>
      <c r="P999">
        <f>IF(B1013=0,0,O999/B1013)</f>
        <v/>
      </c>
      <c r="S999" t="n">
        <v>0</v>
      </c>
      <c r="V999">
        <f>IFERROR(1/IF(Inputs!$B$4="pvp",15,MAX(0.1,Skills!D24-IF(Skills!E24=TRUE,Inputs!$B$31,0))),0)</f>
        <v/>
      </c>
    </row>
    <row r="1000">
      <c r="A1000">
        <f>Skills!A25</f>
        <v/>
      </c>
      <c r="B1000">
        <f>Skills!B25</f>
        <v/>
      </c>
      <c r="C1000">
        <f>Inputs!$B$3&gt;=117</f>
        <v/>
      </c>
      <c r="D1000">
        <f>IF(Skills!C25=1,60+Inputs!$B$24+Inputs!$B$28,IF(Skills!C25=2,90+Inputs!$B$25+Inputs!$B$28,IF(Skills!C25=3,120+Inputs!$B$26+Inputs!$B$28,MAX(0,(Inputs!$B$3-100)*3)+Inputs!$B$27+Inputs!$B$28)))</f>
        <v/>
      </c>
      <c r="E1000">
        <f>INDEX(FactorTable!$B$2:$Y$301, MATCH(ROUND(MIN(300,MAX(1,D1000)),0), FactorTable!$A$2:$A$301,0), Skills!L25+1)</f>
        <v/>
      </c>
      <c r="F1000">
        <f>IF(Skills!M25=TRUE,(Skills!K25/10)*(E1000/1000),Skills!K25/10)+Skills!N25</f>
        <v/>
      </c>
      <c r="G1000">
        <f>Calc!G25</f>
        <v/>
      </c>
      <c r="H1000">
        <f>Calc!H25</f>
        <v/>
      </c>
      <c r="I1000">
        <f>IF(Skills!T25&lt;&gt;"",1+(Skills!T25/10)*($Z$3/1000)/100,1)</f>
        <v/>
      </c>
      <c r="J1000" t="inlineStr"/>
      <c r="K1000" t="inlineStr"/>
      <c r="L1000" t="inlineStr"/>
      <c r="M1000" t="inlineStr"/>
      <c r="N1000" t="inlineStr"/>
      <c r="O1000" t="n">
        <v>0</v>
      </c>
      <c r="P1000">
        <f>IF(B1013=0,0,O1000/B1013)</f>
        <v/>
      </c>
      <c r="S1000" t="n">
        <v>0</v>
      </c>
      <c r="V1000">
        <f>IFERROR(1/IF(Inputs!$B$4="pvp",15,MAX(0.1,Skills!D25-IF(Skills!E25=TRUE,Inputs!$B$31,0))),0)</f>
        <v/>
      </c>
    </row>
    <row r="1001">
      <c r="A1001">
        <f>Skills!A26</f>
        <v/>
      </c>
      <c r="B1001">
        <f>Skills!B26</f>
        <v/>
      </c>
      <c r="C1001">
        <f>Inputs!$B$3&gt;=120</f>
        <v/>
      </c>
      <c r="D1001">
        <f>IF(Skills!C26=1,60+Inputs!$B$24+Inputs!$B$28,IF(Skills!C26=2,90+Inputs!$B$25+Inputs!$B$28,IF(Skills!C26=3,120+Inputs!$B$26+Inputs!$B$28,MAX(0,(Inputs!$B$3-100)*3)+Inputs!$B$27+Inputs!$B$28)))</f>
        <v/>
      </c>
      <c r="E1001">
        <f>INDEX(FactorTable!$B$2:$Y$301, MATCH(ROUND(MIN(300,MAX(1,D1001)),0), FactorTable!$A$2:$A$301,0), Skills!L26+1)</f>
        <v/>
      </c>
      <c r="F1001">
        <f>IF(Skills!M26=TRUE,(Skills!K26/10)*(E1001/1000),Skills!K26/10)+Skills!N26</f>
        <v/>
      </c>
      <c r="G1001">
        <f>Calc!G26</f>
        <v/>
      </c>
      <c r="H1001">
        <f>Calc!H26</f>
        <v/>
      </c>
      <c r="I1001">
        <f>IF(Skills!T26&lt;&gt;"",1+(Skills!T26/10)*($Z$3/1000)/100,1)</f>
        <v/>
      </c>
      <c r="J1001" t="inlineStr"/>
      <c r="K1001" t="inlineStr"/>
      <c r="L1001" t="inlineStr"/>
      <c r="M1001" t="inlineStr"/>
      <c r="N1001" t="inlineStr"/>
      <c r="O1001" t="n">
        <v>0</v>
      </c>
      <c r="P1001">
        <f>IF(B1013=0,0,O1001/B1013)</f>
        <v/>
      </c>
      <c r="S1001" t="n">
        <v>0</v>
      </c>
      <c r="V1001">
        <f>IFERROR(1/IF(Inputs!$B$4="pvp",15,MAX(0.1,Skills!D26-IF(Skills!E26=TRUE,Inputs!$B$31,0))),0)</f>
        <v/>
      </c>
    </row>
    <row r="1003">
      <c r="A1003" t="inlineStr">
        <is>
          <t>Average Buff Multiplier</t>
        </is>
      </c>
      <c r="B1003">
        <f>(1+(IF(C978=TRUE,F978*IF(AND(Inputs!$B$4&lt;&gt;"pvp",Inputs!$B$35&gt;0),(((S978-1)*(Skills!S3*(1+(Inputs!$B$33+IF(Inputs!$B$3&gt;=117,F1000,0))/100))+MIN((Skills!S3*(1+(Inputs!$B$33+IF(Inputs!$B$3&gt;=117,F1000,0))/100)),MAX(0,Inputs!$B$35-((S978-1)*Skills!D3))))/Inputs!$B$35),IF(Inputs!$B$4="pvp",MIN((Skills!S3*(1+(Inputs!$B$33+IF(Inputs!$B$3&gt;=117,F1000,0))/100)),15)/15,(Skills!S3*(1+(Inputs!$B$33+IF(Inputs!$B$3&gt;=117,F1000,0))/100))/Skills!D3)),0)+IF(C979=TRUE,F979*IF(AND(Inputs!$B$4&lt;&gt;"pvp",Inputs!$B$35&gt;0),(((S979-1)*(Skills!S4*(1+(Inputs!$B$33+IF(Inputs!$B$3&gt;=117,F1000,0))/100))+MIN((Skills!S4*(1+(Inputs!$B$33+IF(Inputs!$B$3&gt;=117,F1000,0))/100)),MAX(0,Inputs!$B$35-((S979-1)*Skills!D4))))/Inputs!$B$35),IF(Inputs!$B$4="pvp",MIN((Skills!S4*(1+(Inputs!$B$33+IF(Inputs!$B$3&gt;=117,F1000,0))/100)),15)/15,(Skills!S4*(1+(Inputs!$B$33+IF(Inputs!$B$3&gt;=117,F1000,0))/100))/Skills!D4)),0)+IF(C980=TRUE,F980*IF(AND(Inputs!$B$4&lt;&gt;"pvp",Inputs!$B$35&gt;0),(((S980-1)*(Skills!S5*(1+(Inputs!$B$33+IF(Inputs!$B$3&gt;=117,F1000,0))/100))+MIN((Skills!S5*(1+(Inputs!$B$33+IF(Inputs!$B$3&gt;=117,F1000,0))/100)),MAX(0,Inputs!$B$35-((S980-1)*Skills!D5))))/Inputs!$B$35),IF(Inputs!$B$4="pvp",MIN((Skills!S5*(1+(Inputs!$B$33+IF(Inputs!$B$3&gt;=117,F1000,0))/100)),15)/15,(Skills!S5*(1+(Inputs!$B$33+IF(Inputs!$B$3&gt;=117,F1000,0))/100))/Skills!D5)),0)+IF(C986=TRUE,F986*IF(AND(Inputs!$B$4&lt;&gt;"pvp",Inputs!$B$35&gt;0),(((S986-1)*(Skills!S11*(1+(Inputs!$B$33+IF(Inputs!$B$3&gt;=117,F1000,0))/100))+MIN((Skills!S11*(1+(Inputs!$B$33+IF(Inputs!$B$3&gt;=117,F1000,0))/100)),MAX(0,Inputs!$B$35-((S986-1)*Skills!D11))))/Inputs!$B$35),IF(Inputs!$B$4="pvp",MIN((Skills!S11*(1+(Inputs!$B$33+IF(Inputs!$B$3&gt;=117,F1000,0))/100)),15)/15,(Skills!S11*(1+(Inputs!$B$33+IF(Inputs!$B$3&gt;=117,F1000,0))/100))/Skills!D11)),0))/100)*IF(C988=TRUE,(1+F988*IF(AND(Inputs!$B$4&lt;&gt;"pvp",Inputs!$B$35&gt;0),(((S988-1)*(Skills!S13*(1+(Inputs!$B$33+IF(Inputs!$B$3&gt;=117,F1000,0))/100))+MIN((Skills!S13*(1+(Inputs!$B$33+IF(Inputs!$B$3&gt;=117,F1000,0))/100)),MAX(0,Inputs!$B$35-((S988-1)*Skills!D13))))/Inputs!$B$35),IF(Inputs!$B$4="pvp",MIN((Skills!S13*(1+(Inputs!$B$33+IF(Inputs!$B$3&gt;=117,F1000,0))/100)),15)/15,(Skills!S13*(1+(Inputs!$B$33+IF(Inputs!$B$3&gt;=117,F1000,0))/100))/Skills!D13))/100),1)*IF(C993=TRUE,(1+F993*IF(AND(Inputs!$B$4&lt;&gt;"pvp",Inputs!$B$35&gt;0),(((S993-1)*(Skills!S18*(1+(Inputs!$B$33+IF(Inputs!$B$3&gt;=117,F1000,0))/100))+MIN((Skills!S18*(1+(Inputs!$B$33+IF(Inputs!$B$3&gt;=117,F1000,0))/100)),MAX(0,Inputs!$B$35-((S993-1)*Skills!D18))))/Inputs!$B$35),IF(Inputs!$B$4="pvp",MIN((Skills!S18*(1+(Inputs!$B$33+IF(Inputs!$B$3&gt;=117,F1000,0))/100)),15)/15,(Skills!S18*(1+(Inputs!$B$33+IF(Inputs!$B$3&gt;=117,F1000,0))/100))/Skills!D18))/100),1)</f>
        <v/>
      </c>
    </row>
    <row r="1004">
      <c r="A1004" t="inlineStr">
        <is>
          <t>Monster Damage Taken Bonus % (Holy Fountain)</t>
        </is>
      </c>
      <c r="B1004">
        <f>IF(Inputs!$B$3&gt;=68,20*IF(Inputs!$B$4="pvp",MIN((15*(1+(Inputs!$B$33+IF(Inputs!$B$3&gt;=117,F1000,0))/100)),15)/15,(15*(1+(Inputs!$B$33+IF(Inputs!$B$3&gt;=117,F1000,0))/100))/Skills!D10),0)</f>
        <v/>
      </c>
    </row>
    <row r="1005">
      <c r="A1005" t="inlineStr">
        <is>
          <t>Normal Monster Damage Bonus % (Holy Symbol)</t>
        </is>
      </c>
      <c r="B1005">
        <f>IF(C987=TRUE,F987*IF(AND(Inputs!$B$4&lt;&gt;"pvp",Inputs!$B$35&gt;0),(((S987-1)*(Skills!S12*(1+(Inputs!$B$33+IF(Inputs!$B$3&gt;=117,F1000,0))/100))+MIN((Skills!S12*(1+(Inputs!$B$33+IF(Inputs!$B$3&gt;=117,F1000,0))/100)),MAX(0,Inputs!$B$35-((S987-1)*Skills!D12))))/Inputs!$B$35),IF(Inputs!$B$4="pvp",MIN((Skills!S12*(1+(Inputs!$B$33+IF(Inputs!$B$3&gt;=117,F1000,0))/100)),15)/15,(Skills!S12*(1+(Inputs!$B$33+IF(Inputs!$B$3&gt;=117,F1000,0))/100))/Skills!D12)),0)</f>
        <v/>
      </c>
    </row>
    <row r="1006">
      <c r="A1006" t="inlineStr">
        <is>
          <t>Damage % Bonus (Holy Symbol - Damage Boost)</t>
        </is>
      </c>
      <c r="B1006">
        <f>Skills!O12</f>
        <v/>
      </c>
    </row>
    <row r="1007">
      <c r="A1007" t="inlineStr">
        <is>
          <t>Crit Damage % Bonus (Blood of the Divine)</t>
        </is>
      </c>
      <c r="B1007">
        <f>4*IF(C994=TRUE,F994,0)</f>
        <v/>
      </c>
    </row>
    <row r="1008">
      <c r="A1008" t="inlineStr">
        <is>
          <t>Attack Speed Bonus %</t>
        </is>
      </c>
      <c r="B1008">
        <f>IF(C991=TRUE,F991+(F995-Calc!F20),0)+IF(Inputs!$B$3&gt;=134,15,0)</f>
        <v/>
      </c>
    </row>
    <row r="1009">
      <c r="A1009" t="inlineStr">
        <is>
          <t>Actions Per Second</t>
        </is>
      </c>
      <c r="B1009">
        <f>1+MIN(150,150*(1-(1-Inputs!$B$10/150)*(1-B1008/150)))/100</f>
        <v/>
      </c>
    </row>
    <row r="1010">
      <c r="A1010" t="inlineStr">
        <is>
          <t>Skill + Buff Cast Rate</t>
        </is>
      </c>
      <c r="B1010">
        <f>IF(AND(Inputs!$B$4&lt;&gt;"pvp",Inputs!$B$35&gt;0),SUMPRODUCT((Skills!E2:E26=TRUE)*(C977:C1001=TRUE)*S977:S1001)/Inputs!$B$35,SUMPRODUCT((Skills!E2:E26=TRUE)*(C977:C1001=TRUE)*V977:V1001))</f>
        <v/>
      </c>
    </row>
    <row r="1011">
      <c r="A1011" t="inlineStr">
        <is>
          <t>Big Bang Casts Per Second</t>
        </is>
      </c>
      <c r="B1011">
        <f>MAX(0,B1009-B1010)</f>
        <v/>
      </c>
    </row>
    <row r="1013">
      <c r="A1013" s="5" t="inlineStr">
        <is>
          <t>TOTAL DPS</t>
        </is>
      </c>
      <c r="B1013" s="5">
        <f>SUM(O977:O1001)</f>
        <v/>
      </c>
    </row>
    <row r="1016">
      <c r="A1016" s="5" t="inlineStr">
        <is>
          <t>Stat: Buff Duration Increase %</t>
        </is>
      </c>
    </row>
    <row r="1017">
      <c r="A1017" s="8" t="inlineStr">
        <is>
          <t>Key</t>
        </is>
      </c>
      <c r="B1017" s="8" t="inlineStr">
        <is>
          <t>Name</t>
        </is>
      </c>
      <c r="C1017" s="8" t="inlineStr">
        <is>
          <t>Unlocked</t>
        </is>
      </c>
      <c r="D1017" s="8" t="inlineStr">
        <is>
          <t>InputLevel</t>
        </is>
      </c>
      <c r="E1017" s="8" t="inlineStr">
        <is>
          <t>Factor</t>
        </is>
      </c>
      <c r="F1017" s="8" t="inlineStr">
        <is>
          <t>CoefficientPercent</t>
        </is>
      </c>
      <c r="G1017" s="8" t="inlineStr">
        <is>
          <t>EffectiveHits</t>
        </is>
      </c>
      <c r="H1017" s="8" t="inlineStr">
        <is>
          <t>ProcProbability</t>
        </is>
      </c>
      <c r="I1017" s="8" t="inlineStr">
        <is>
          <t>MapleHeroMultiplier</t>
        </is>
      </c>
      <c r="J1017" s="8" t="inlineStr">
        <is>
          <t>BaseDamage</t>
        </is>
      </c>
      <c r="K1017" s="8" t="inlineStr">
        <is>
          <t>BaseHitDamage</t>
        </is>
      </c>
      <c r="L1017" s="8" t="inlineStr">
        <is>
          <t>NonCritAvg</t>
        </is>
      </c>
      <c r="M1017" s="8" t="inlineStr">
        <is>
          <t>CritAvg</t>
        </is>
      </c>
      <c r="N1017" s="8" t="inlineStr">
        <is>
          <t>ExpectedDamage(perHit)</t>
        </is>
      </c>
      <c r="O1017" s="8" t="inlineStr">
        <is>
          <t>DPS</t>
        </is>
      </c>
      <c r="P1017" s="8" t="inlineStr">
        <is>
          <t>% of Total</t>
        </is>
      </c>
      <c r="R1017" t="inlineStr">
        <is>
          <t>helpers</t>
        </is>
      </c>
    </row>
    <row r="1018">
      <c r="A1018">
        <f>Skills!A2</f>
        <v/>
      </c>
      <c r="B1018">
        <f>Skills!B2</f>
        <v/>
      </c>
      <c r="C1018">
        <f>Inputs!$B$3&gt;=100</f>
        <v/>
      </c>
      <c r="D1018" t="inlineStr"/>
      <c r="E1018" t="inlineStr"/>
      <c r="F1018">
        <f>T1020+Skills!N2</f>
        <v/>
      </c>
      <c r="G1018">
        <f>Calc!G2</f>
        <v/>
      </c>
      <c r="H1018">
        <f>Calc!H2</f>
        <v/>
      </c>
      <c r="I1018">
        <f>IF(Skills!T2&lt;&gt;"",1+(Skills!T2/10)*($Z$3/1000)/100,1)</f>
        <v/>
      </c>
      <c r="J1018">
        <f>((Inputs!$B$5*(1+Inputs!$B$6/100))+((Inputs!$B$11*(1+Inputs!$B$12/100))-(Inputs!$B$11*(1+Inputs!$B$12/100)))*(1+Inputs!$B$6/100))*(F1018/100)</f>
        <v/>
      </c>
      <c r="K1018">
        <f>J1018*(1+((Inputs!$B$11*(1+Inputs!$B$12/100))*0.01+Inputs!$B$13*0.0025)/100)*(1+(Inputs!$B$14+B1047)/100)*(1+IF(Inputs!$B$4="pvp",0,(1-Summary!$B$48)*(Inputs!$B$19+Skills!O2+B1045)+Summary!$B$48*(Inputs!$B$20+Skills!P2+B1046))/100)*(1+Inputs!$B$15/100)*(5000/(6000+Inputs!$B$7*(1-Inputs!$B$18/100)))*(1+Inputs!$B$23/100)*(1+IF(C1033=TRUE,F1033,0)/100)*(1+IF(C1035=TRUE,F1035,0)/100)*(1+IF(Skills!A2="TRIUMPH_FEATHER",IF(C1031=TRUE,F1031,0),0)/100)*(1+IF(C1042=TRUE,F1042,0)/100)^5*(1+(IF(Skills!A2="BIG_BANG",Inputs!$B$16,Inputs!$B$17))/100)*(B1044*I1018)</f>
        <v/>
      </c>
      <c r="L1018">
        <f>K1018*(MIN(Inputs!$B$21+(F1037-Calc!F21),Inputs!$B$22)/100+Inputs!$B$22/100)/2</f>
        <v/>
      </c>
      <c r="M1018">
        <f>L1018*(1+(Inputs!$B$9+B1048+(F1040-Calc!F24))/100)</f>
        <v/>
      </c>
      <c r="N1018">
        <f>L1018*(1-MIN(Inputs!$B$8+((F1039-Calc!F23)+(F1038-Calc!F22)),100)/100)+M1018*(MIN(Inputs!$B$8+((F1039-Calc!F23)+(F1038-Calc!F22)),100)/100)</f>
        <v/>
      </c>
      <c r="O1018">
        <f>IF(C1018,Skills!F2*N1018*B1052*IF(Inputs!$B$4="pvp",1,(1-Summary!$B$48)*(1)+Summary!$B$48*(MIN((6+Inputs!$B$32),Inputs!$B$37))),0)</f>
        <v/>
      </c>
      <c r="P1018">
        <f>IF(B1054=0,0,O1018/B1054)</f>
        <v/>
      </c>
      <c r="S1018" t="n">
        <v>0</v>
      </c>
      <c r="T1018">
        <f>MAX(0,(Inputs!$B$3-100)*3)+Inputs!$B$27+Inputs!$B$28</f>
        <v/>
      </c>
      <c r="V1018">
        <f>IFERROR(1/IF(Inputs!$B$4="pvp",15,MAX(0.1,Skills!D2-IF(Skills!E2=TRUE,Inputs!$B$31,0))),0)</f>
        <v/>
      </c>
    </row>
    <row r="1019">
      <c r="A1019">
        <f>Skills!A3</f>
        <v/>
      </c>
      <c r="B1019">
        <f>Skills!B3</f>
        <v/>
      </c>
      <c r="C1019">
        <f>Inputs!$B$3&gt;=15</f>
        <v/>
      </c>
      <c r="D1019">
        <f>IF(Skills!C3=1,60+Inputs!$B$24+Inputs!$B$28,IF(Skills!C3=2,90+Inputs!$B$25+Inputs!$B$28,IF(Skills!C3=3,120+Inputs!$B$26+Inputs!$B$28,MAX(0,(Inputs!$B$3-100)*3)+Inputs!$B$27+Inputs!$B$28)))</f>
        <v/>
      </c>
      <c r="E1019">
        <f>INDEX(FactorTable!$B$2:$Y$301, MATCH(ROUND(MIN(300,MAX(1,D1019)),0), FactorTable!$A$2:$A$301,0), Skills!L3+1)</f>
        <v/>
      </c>
      <c r="F1019">
        <f>IF(Skills!M3=TRUE,(Skills!K3/10)*(E1019/1000),Skills!K3/10)+Skills!N3</f>
        <v/>
      </c>
      <c r="G1019">
        <f>Calc!G3</f>
        <v/>
      </c>
      <c r="H1019">
        <f>Calc!H3</f>
        <v/>
      </c>
      <c r="I1019">
        <f>IF(Skills!T3&lt;&gt;"",1+(Skills!T3/10)*($Z$3/1000)/100,1)</f>
        <v/>
      </c>
      <c r="J1019" t="inlineStr"/>
      <c r="K1019" t="inlineStr"/>
      <c r="L1019" t="inlineStr"/>
      <c r="M1019" t="inlineStr"/>
      <c r="N1019" t="inlineStr"/>
      <c r="O1019" t="n">
        <v>0</v>
      </c>
      <c r="P1019">
        <f>IF(B1054=0,0,O1019/B1054)</f>
        <v/>
      </c>
      <c r="S1019">
        <f>IF(AND(Inputs!$B$4&lt;&gt;"pvp",Inputs!$B$35&gt;0),(INT(Inputs!$B$35/IF(Inputs!$B$4="pvp",15,MAX(0.1,Skills!D3-IF(Skills!E3=TRUE,Inputs!$B$31,0))))+1),0)</f>
        <v/>
      </c>
      <c r="T1019">
        <f>INDEX(FactorTable!$B$2:$Y$301, MATCH(ROUND(MIN(300,MAX(1,T1018)),0), FactorTable!$A$2:$A$301,0), 22)</f>
        <v/>
      </c>
      <c r="V1019">
        <f>IFERROR(1/IF(Inputs!$B$4="pvp",15,MAX(0.1,Skills!D3-IF(Skills!E3=TRUE,Inputs!$B$31,0))),0)</f>
        <v/>
      </c>
    </row>
    <row r="1020">
      <c r="A1020">
        <f>Skills!A4</f>
        <v/>
      </c>
      <c r="B1020">
        <f>Skills!B4</f>
        <v/>
      </c>
      <c r="C1020">
        <f>Inputs!$B$3&gt;=38</f>
        <v/>
      </c>
      <c r="D1020">
        <f>IF(Skills!C4=1,60+Inputs!$B$24+Inputs!$B$28,IF(Skills!C4=2,90+Inputs!$B$25+Inputs!$B$28,IF(Skills!C4=3,120+Inputs!$B$26+Inputs!$B$28,MAX(0,(Inputs!$B$3-100)*3)+Inputs!$B$27+Inputs!$B$28)))</f>
        <v/>
      </c>
      <c r="E1020">
        <f>INDEX(FactorTable!$B$2:$Y$301, MATCH(ROUND(MIN(300,MAX(1,D1020)),0), FactorTable!$A$2:$A$301,0), Skills!L4+1)</f>
        <v/>
      </c>
      <c r="F1020">
        <f>IF(Skills!M4=TRUE,(Skills!K4/10)*(E1020/1000),Skills!K4/10)+Skills!N4</f>
        <v/>
      </c>
      <c r="G1020">
        <f>Calc!G4</f>
        <v/>
      </c>
      <c r="H1020">
        <f>Calc!H4</f>
        <v/>
      </c>
      <c r="I1020">
        <f>IF(Skills!T4&lt;&gt;"",1+(Skills!T4/10)*($Z$3/1000)/100,1)</f>
        <v/>
      </c>
      <c r="J1020" t="inlineStr"/>
      <c r="K1020" t="inlineStr"/>
      <c r="L1020" t="inlineStr"/>
      <c r="M1020" t="inlineStr"/>
      <c r="N1020" t="inlineStr"/>
      <c r="O1020" t="n">
        <v>0</v>
      </c>
      <c r="P1020">
        <f>IF(B1054=0,0,O1020/B1054)</f>
        <v/>
      </c>
      <c r="S1020">
        <f>IF(AND(Inputs!$B$4&lt;&gt;"pvp",Inputs!$B$35&gt;0),(INT(Inputs!$B$35/IF(Inputs!$B$4="pvp",15,MAX(0.1,Skills!D4-IF(Skills!E4=TRUE,Inputs!$B$31,0))))+1),0)</f>
        <v/>
      </c>
      <c r="T1020">
        <f>290*T1019/1000</f>
        <v/>
      </c>
      <c r="V1020">
        <f>IFERROR(1/IF(Inputs!$B$4="pvp",15,MAX(0.1,Skills!D4-IF(Skills!E4=TRUE,Inputs!$B$31,0))),0)</f>
        <v/>
      </c>
    </row>
    <row r="1021">
      <c r="A1021">
        <f>Skills!A5</f>
        <v/>
      </c>
      <c r="B1021">
        <f>Skills!B5</f>
        <v/>
      </c>
      <c r="C1021">
        <f>Inputs!$B$3&gt;=40</f>
        <v/>
      </c>
      <c r="D1021">
        <f>IF(Skills!C5=1,60+Inputs!$B$24+Inputs!$B$28,IF(Skills!C5=2,90+Inputs!$B$25+Inputs!$B$28,IF(Skills!C5=3,120+Inputs!$B$26+Inputs!$B$28,MAX(0,(Inputs!$B$3-100)*3)+Inputs!$B$27+Inputs!$B$28)))</f>
        <v/>
      </c>
      <c r="E1021">
        <f>INDEX(FactorTable!$B$2:$Y$301, MATCH(ROUND(MIN(300,MAX(1,D1021)),0), FactorTable!$A$2:$A$301,0), Skills!L5+1)</f>
        <v/>
      </c>
      <c r="F1021">
        <f>IF(Skills!M5=TRUE,(Skills!K5/10)*(E1021/1000),Skills!K5/10)+Skills!N5</f>
        <v/>
      </c>
      <c r="G1021">
        <f>Calc!G5</f>
        <v/>
      </c>
      <c r="H1021">
        <f>Calc!H5</f>
        <v/>
      </c>
      <c r="I1021">
        <f>IF(Skills!T5&lt;&gt;"",1+(Skills!T5/10)*($Z$3/1000)/100,1)</f>
        <v/>
      </c>
      <c r="J1021" t="inlineStr"/>
      <c r="K1021" t="inlineStr"/>
      <c r="L1021" t="inlineStr"/>
      <c r="M1021" t="inlineStr"/>
      <c r="N1021" t="inlineStr"/>
      <c r="O1021" t="n">
        <v>0</v>
      </c>
      <c r="P1021">
        <f>IF(B1054=0,0,O1021/B1054)</f>
        <v/>
      </c>
      <c r="S1021">
        <f>IF(AND(Inputs!$B$4&lt;&gt;"pvp",Inputs!$B$35&gt;0),(INT(Inputs!$B$35/IF(Inputs!$B$4="pvp",15,MAX(0.1,Skills!D5-IF(Skills!E5=TRUE,Inputs!$B$31,0))))+1),0)</f>
        <v/>
      </c>
      <c r="V1021">
        <f>IFERROR(1/IF(Inputs!$B$4="pvp",15,MAX(0.1,Skills!D5-IF(Skills!E5=TRUE,Inputs!$B$31,0))),0)</f>
        <v/>
      </c>
    </row>
    <row r="1022">
      <c r="A1022">
        <f>Skills!A6</f>
        <v/>
      </c>
      <c r="B1022">
        <f>Skills!B6</f>
        <v/>
      </c>
      <c r="C1022">
        <f>Inputs!$B$3&gt;=103</f>
        <v/>
      </c>
      <c r="D1022">
        <f>IF(Skills!C6=1,60+Inputs!$B$24+Inputs!$B$28,IF(Skills!C6=2,90+Inputs!$B$25+Inputs!$B$28,IF(Skills!C6=3,120+Inputs!$B$26+Inputs!$B$28,MAX(0,(Inputs!$B$3-100)*3)+Inputs!$B$27+Inputs!$B$28)))</f>
        <v/>
      </c>
      <c r="E1022">
        <f>INDEX(FactorTable!$B$2:$Y$301, MATCH(ROUND(MIN(300,MAX(1,D1022)),0), FactorTable!$A$2:$A$301,0), Skills!L6+1)</f>
        <v/>
      </c>
      <c r="F1022">
        <f>IF(Skills!M6=TRUE,(Skills!K6/10)*(E1022/1000),Skills!K6/10)+Skills!N6</f>
        <v/>
      </c>
      <c r="G1022">
        <f>Calc!G6</f>
        <v/>
      </c>
      <c r="H1022">
        <f>Calc!H6</f>
        <v/>
      </c>
      <c r="I1022">
        <f>IF(Skills!T6&lt;&gt;"",1+(Skills!T6/10)*($Z$3/1000)/100,1)</f>
        <v/>
      </c>
      <c r="J1022">
        <f>((Inputs!$B$5*(1+Inputs!$B$6/100))+((Inputs!$B$11*(1+Inputs!$B$12/100))-(Inputs!$B$11*(1+Inputs!$B$12/100)))*(1+Inputs!$B$6/100))*(F1022/100)</f>
        <v/>
      </c>
      <c r="K1022">
        <f>J1022*(1+((Inputs!$B$11*(1+Inputs!$B$12/100))*0.01+Inputs!$B$13*0.0025)/100)*(1+(Inputs!$B$14+B1047)/100)*(1+IF(Inputs!$B$4="pvp",0,(1-Summary!$B$48)*(Inputs!$B$19+Skills!O6+B1045)+Summary!$B$48*(Inputs!$B$20+Skills!P6+B1046))/100)*(1+Inputs!$B$15/100)*(5000/(6000+Inputs!$B$7*(1-Inputs!$B$18/100)))*(1+Inputs!$B$23/100)*(1+IF(C1033=TRUE,F1033,0)/100)*(1+IF(C1035=TRUE,F1035,0)/100)*(1+IF(Skills!A6="TRIUMPH_FEATHER",IF(C1031=TRUE,F1031,0),0)/100)*(1+IF(C1042=TRUE,F1042,0)/100)^5*(1+(IF(Skills!A6="BIG_BANG",Inputs!$B$16,Inputs!$B$17))/100)*(B1044*I1022)</f>
        <v/>
      </c>
      <c r="L1022">
        <f>K1022*(MIN(Inputs!$B$21+(F1037-Calc!F21),Inputs!$B$22)/100+Inputs!$B$22/100)/2</f>
        <v/>
      </c>
      <c r="M1022">
        <f>L1022*(1+(Inputs!$B$9+B1048+(F1040-Calc!F24))/100)</f>
        <v/>
      </c>
      <c r="N1022">
        <f>L1022*(1-MIN(Inputs!$B$8+((F1039-Calc!F23)+(F1038-Calc!F22)),100)/100)+M1022*(MIN(Inputs!$B$8+((F1039-Calc!F23)+(F1038-Calc!F22)),100)/100)</f>
        <v/>
      </c>
      <c r="O1022">
        <f>IF(C1022,H1022*N1022*IF(AND(Inputs!$B$4&lt;&gt;"pvp",Inputs!$B$35&gt;0),((Skills!F6*((S1022-1)*IF(Skills!G6&gt;0,Skills!H6/Skills!G6,1)+IF(Skills!G6&gt;0,MIN(Skills!H6,MAX(0,Inputs!$B$35-((S1022-1)*IF(Inputs!$B$4="pvp",15,MAX(0.1,Skills!D6-IF(Skills!E6=TRUE,Inputs!$B$31,0))))))/Skills!G6,1)))/Inputs!$B$35),G1022*V1022)*IF(Inputs!$B$4="pvp",1,(1-Summary!$B$48)*(1)+Summary!$B$48*(MIN(Skills!Q6,Inputs!$B$37))),0)</f>
        <v/>
      </c>
      <c r="P1022">
        <f>IF(B1054=0,0,O1022/B1054)</f>
        <v/>
      </c>
      <c r="S1022">
        <f>IF(AND(Inputs!$B$4&lt;&gt;"pvp",Inputs!$B$35&gt;0),(INT(Inputs!$B$35/IF(Inputs!$B$4="pvp",15,MAX(0.1,Skills!D6-IF(Skills!E6=TRUE,Inputs!$B$31,0))))+1),0)</f>
        <v/>
      </c>
      <c r="V1022">
        <f>IFERROR(1/IF(Inputs!$B$4="pvp",15,MAX(0.1,Skills!D6-IF(Skills!E6=TRUE,Inputs!$B$31,0))),0)</f>
        <v/>
      </c>
    </row>
    <row r="1023">
      <c r="A1023">
        <f>Skills!A7</f>
        <v/>
      </c>
      <c r="B1023">
        <f>Skills!B7</f>
        <v/>
      </c>
      <c r="C1023">
        <f>Inputs!$B$3&gt;=122</f>
        <v/>
      </c>
      <c r="D1023">
        <f>IF(Skills!C7=1,60+Inputs!$B$24+Inputs!$B$28,IF(Skills!C7=2,90+Inputs!$B$25+Inputs!$B$28,IF(Skills!C7=3,120+Inputs!$B$26+Inputs!$B$28,MAX(0,(Inputs!$B$3-100)*3)+Inputs!$B$27+Inputs!$B$28)))</f>
        <v/>
      </c>
      <c r="E1023">
        <f>INDEX(FactorTable!$B$2:$Y$301, MATCH(ROUND(MIN(300,MAX(1,D1023)),0), FactorTable!$A$2:$A$301,0), Skills!L7+1)</f>
        <v/>
      </c>
      <c r="F1023">
        <f>IF(Skills!M7=TRUE,(Skills!K7/10)*(E1023/1000),Skills!K7/10)+Skills!N7</f>
        <v/>
      </c>
      <c r="G1023">
        <f>Calc!G7</f>
        <v/>
      </c>
      <c r="H1023">
        <f>Calc!H7</f>
        <v/>
      </c>
      <c r="I1023">
        <f>IF(Skills!T7&lt;&gt;"",1+(Skills!T7/10)*($Z$3/1000)/100,1)</f>
        <v/>
      </c>
      <c r="J1023">
        <f>((Inputs!$B$5*(1+Inputs!$B$6/100))+((Inputs!$B$11*(1+Inputs!$B$12/100))-(Inputs!$B$11*(1+Inputs!$B$12/100)))*(1+Inputs!$B$6/100))*(F1023/100)</f>
        <v/>
      </c>
      <c r="K1023">
        <f>J1023*(1+((Inputs!$B$11*(1+Inputs!$B$12/100))*0.01+Inputs!$B$13*0.0025)/100)*(1+(Inputs!$B$14+B1047)/100)*(1+IF(Inputs!$B$4="pvp",0,(1-Summary!$B$48)*(Inputs!$B$19+Skills!O7+B1045)+Summary!$B$48*(Inputs!$B$20+Skills!P7+B1046))/100)*(1+Inputs!$B$15/100)*(5000/(6000+Inputs!$B$7*(1-Inputs!$B$18/100)))*(1+Inputs!$B$23/100)*(1+IF(C1033=TRUE,F1033,0)/100)*(1+IF(C1035=TRUE,F1035,0)/100)*(1+IF(Skills!A7="TRIUMPH_FEATHER",IF(C1031=TRUE,F1031,0),0)/100)*(1+IF(C1042=TRUE,F1042,0)/100)^5*(1+(IF(Skills!A7="BIG_BANG",Inputs!$B$16,Inputs!$B$17))/100)*(B1044*I1023)</f>
        <v/>
      </c>
      <c r="L1023">
        <f>K1023*(MIN(Inputs!$B$21+(F1037-Calc!F21),Inputs!$B$22)/100+Inputs!$B$22/100)/2</f>
        <v/>
      </c>
      <c r="M1023">
        <f>L1023*(1+(Inputs!$B$9+B1048+(F1040-Calc!F24))/100)</f>
        <v/>
      </c>
      <c r="N1023">
        <f>L1023*(1-MIN(Inputs!$B$8+((F1039-Calc!F23)+(F1038-Calc!F22)),100)/100)+M1023*(MIN(Inputs!$B$8+((F1039-Calc!F23)+(F1038-Calc!F22)),100)/100)</f>
        <v/>
      </c>
      <c r="O1023">
        <f>IF(C1023,H1023*N1023*IF(AND(Inputs!$B$4&lt;&gt;"pvp",Inputs!$B$35&gt;0),((Skills!F7*((S1023-1)*IF(Skills!G7&gt;0,Skills!H7/Skills!G7,1)+IF(Skills!G7&gt;0,MIN(Skills!H7,MAX(0,Inputs!$B$35-((S1023-1)*IF(Inputs!$B$4="pvp",15,MAX(0.1,Skills!D7-IF(Skills!E6=TRUE,Inputs!$B$31,0))))))/Skills!G7,1)))/Inputs!$B$35),G1023*V1023)*(1-Summary!$B$48),0)</f>
        <v/>
      </c>
      <c r="P1023">
        <f>IF(B1054=0,0,O1023/B1054)</f>
        <v/>
      </c>
      <c r="S1023">
        <f>IF(AND(Inputs!$B$4&lt;&gt;"pvp",Inputs!$B$35&gt;0),(INT(Inputs!$B$35/IF(Inputs!$B$4="pvp",15,MAX(0.1,Skills!D7-IF(Skills!E6=TRUE,Inputs!$B$31,0))))+1),0)</f>
        <v/>
      </c>
      <c r="V1023">
        <f>IFERROR(1/IF(Inputs!$B$4="pvp",15,MAX(0.1,Skills!D7-IF(Skills!E6=TRUE,Inputs!$B$31,0))),0)</f>
        <v/>
      </c>
    </row>
    <row r="1024">
      <c r="A1024">
        <f>Skills!A8</f>
        <v/>
      </c>
      <c r="B1024">
        <f>Skills!B8</f>
        <v/>
      </c>
      <c r="C1024">
        <f>Inputs!$B$3&gt;=105</f>
        <v/>
      </c>
      <c r="D1024">
        <f>IF(Skills!C8=1,60+Inputs!$B$24+Inputs!$B$28,IF(Skills!C8=2,90+Inputs!$B$25+Inputs!$B$28,IF(Skills!C8=3,120+Inputs!$B$26+Inputs!$B$28,MAX(0,(Inputs!$B$3-100)*3)+Inputs!$B$27+Inputs!$B$28)))</f>
        <v/>
      </c>
      <c r="E1024">
        <f>INDEX(FactorTable!$B$2:$Y$301, MATCH(ROUND(MIN(300,MAX(1,D1024)),0), FactorTable!$A$2:$A$301,0), Skills!L8+1)</f>
        <v/>
      </c>
      <c r="F1024">
        <f>IF(Skills!M8=TRUE,(Skills!K8/10)*(E1024/1000),Skills!K8/10)+Skills!N8</f>
        <v/>
      </c>
      <c r="G1024">
        <f>Calc!G8</f>
        <v/>
      </c>
      <c r="H1024">
        <f>Calc!H8</f>
        <v/>
      </c>
      <c r="I1024">
        <f>IF(Skills!T8&lt;&gt;"",1+(Skills!T8/10)*($Z$3/1000)/100,1)</f>
        <v/>
      </c>
      <c r="J1024">
        <f>((Inputs!$B$5*(1+Inputs!$B$6/100))+((Inputs!$B$11*(1+Inputs!$B$12/100))-(Inputs!$B$11*(1+Inputs!$B$12/100)))*(1+Inputs!$B$6/100))*(F1024/100)</f>
        <v/>
      </c>
      <c r="K1024">
        <f>J1024*(1+((Inputs!$B$11*(1+Inputs!$B$12/100))*0.01+Inputs!$B$13*0.0025)/100)*(1+(Inputs!$B$14+B1047)/100)*(1+IF(Inputs!$B$4="pvp",0,(1-Summary!$B$48)*(Inputs!$B$19+Skills!O8+B1045)+Summary!$B$48*(Inputs!$B$20+Skills!P8+B1046))/100)*(1+Inputs!$B$15/100)*(5000/(6000+Inputs!$B$7*(1-Inputs!$B$18/100)))*(1+Inputs!$B$23/100)*(1+IF(C1033=TRUE,F1033,0)/100)*(1+IF(C1035=TRUE,F1035,0)/100)*(1+IF(Skills!A8="TRIUMPH_FEATHER",IF(C1031=TRUE,F1031,0),0)/100)*(1+IF(C1042=TRUE,F1042,0)/100)^5*(1+(IF(Skills!A8="BIG_BANG",Inputs!$B$16,Inputs!$B$17))/100)*(B1044*I1024)</f>
        <v/>
      </c>
      <c r="L1024">
        <f>K1024*(MIN(Inputs!$B$21+(F1037-Calc!F21),Inputs!$B$22)/100+Inputs!$B$22/100)/2</f>
        <v/>
      </c>
      <c r="M1024">
        <f>L1024*(1+(Inputs!$B$9+B1048+(F1040-Calc!F24))/100)</f>
        <v/>
      </c>
      <c r="N1024">
        <f>L1024*(1-MIN(Inputs!$B$8+((F1039-Calc!F23)+(F1038-Calc!F22)),100)/100)+M1024*(MIN(Inputs!$B$8+((F1039-Calc!F23)+(F1038-Calc!F22)),100)/100)</f>
        <v/>
      </c>
      <c r="O1024">
        <f>IF(C1024,H1024*N1024*IF(AND(Inputs!$B$4&lt;&gt;"pvp",Inputs!$B$35&gt;0),((Skills!F8*((S1024-1)*IF(Skills!G8&gt;0,Skills!H8/Skills!G8,1)+IF(Skills!G8&gt;0,MIN(Skills!H8,MAX(0,Inputs!$B$35-((S1024-1)*IF(Inputs!$B$4="pvp",15,MAX(0.1,Skills!D8-IF(Skills!E8=TRUE,Inputs!$B$31,0))))))/Skills!G8,1)))/Inputs!$B$35),G1024*V1024)*IF(Inputs!$B$4="pvp",1,(1-Summary!$B$48)*(1)+Summary!$B$48*(MIN(Skills!Q8,Inputs!$B$37))),0)</f>
        <v/>
      </c>
      <c r="P1024">
        <f>IF(B1054=0,0,O1024/B1054)</f>
        <v/>
      </c>
      <c r="S1024">
        <f>IF(AND(Inputs!$B$4&lt;&gt;"pvp",Inputs!$B$35&gt;0),(INT(Inputs!$B$35/IF(Inputs!$B$4="pvp",15,MAX(0.1,Skills!D8-IF(Skills!E8=TRUE,Inputs!$B$31,0))))+1),0)</f>
        <v/>
      </c>
      <c r="V1024">
        <f>IFERROR(1/IF(Inputs!$B$4="pvp",15,MAX(0.1,Skills!D8-IF(Skills!E8=TRUE,Inputs!$B$31,0))),0)</f>
        <v/>
      </c>
    </row>
    <row r="1025">
      <c r="A1025">
        <f>Skills!A9</f>
        <v/>
      </c>
      <c r="B1025">
        <f>Skills!B9</f>
        <v/>
      </c>
      <c r="C1025">
        <f>Inputs!$B$3&gt;=115</f>
        <v/>
      </c>
      <c r="D1025">
        <f>IF(Skills!C9=1,60+Inputs!$B$24+Inputs!$B$28,IF(Skills!C9=2,90+Inputs!$B$25+Inputs!$B$28,IF(Skills!C9=3,120+Inputs!$B$26+Inputs!$B$28,MAX(0,(Inputs!$B$3-100)*3)+Inputs!$B$27+Inputs!$B$28)))</f>
        <v/>
      </c>
      <c r="E1025">
        <f>INDEX(FactorTable!$B$2:$Y$301, MATCH(ROUND(MIN(300,MAX(1,D1025)),0), FactorTable!$A$2:$A$301,0), Skills!L9+1)</f>
        <v/>
      </c>
      <c r="F1025">
        <f>IF(Skills!M9=TRUE,(Skills!K9/10)*(E1025/1000),Skills!K9/10)+Skills!N9</f>
        <v/>
      </c>
      <c r="G1025">
        <f>Calc!G9</f>
        <v/>
      </c>
      <c r="H1025">
        <f>Calc!H9</f>
        <v/>
      </c>
      <c r="I1025">
        <f>IF(Skills!T9&lt;&gt;"",1+(Skills!T9/10)*($Z$3/1000)/100,1)</f>
        <v/>
      </c>
      <c r="J1025">
        <f>((Inputs!$B$5*(1+Inputs!$B$6/100))+((Inputs!$B$11*(1+Inputs!$B$12/100))-(Inputs!$B$11*(1+Inputs!$B$12/100)))*(1+Inputs!$B$6/100))*(F1025/100)</f>
        <v/>
      </c>
      <c r="K1025">
        <f>J1025*(1+((Inputs!$B$11*(1+Inputs!$B$12/100))*0.01+Inputs!$B$13*0.0025)/100)*(1+(Inputs!$B$14+B1047)/100)*(1+IF(Inputs!$B$4="pvp",0,(1-Summary!$B$48)*(Inputs!$B$19+Skills!O9+B1045)+Summary!$B$48*(Inputs!$B$20+Skills!P9+B1046))/100)*(1+Inputs!$B$15/100)*(5000/(6000+Inputs!$B$7*(1-Inputs!$B$18/100)))*(1+Inputs!$B$23/100)*(1+IF(C1033=TRUE,F1033,0)/100)*(1+IF(C1035=TRUE,F1035,0)/100)*(1+IF(Skills!A9="TRIUMPH_FEATHER",IF(C1031=TRUE,F1031,0),0)/100)*(1+IF(C1042=TRUE,F1042,0)/100)^5*(1+(IF(Skills!A9="BIG_BANG",Inputs!$B$16,Inputs!$B$17))/100)*(B1044*I1025)</f>
        <v/>
      </c>
      <c r="L1025">
        <f>K1025*(MIN(Inputs!$B$21+(F1037-Calc!F21),Inputs!$B$22)/100+Inputs!$B$22/100)/2</f>
        <v/>
      </c>
      <c r="M1025">
        <f>L1025*(1+(Inputs!$B$9+B1048+(F1040-Calc!F24))/100)</f>
        <v/>
      </c>
      <c r="N1025">
        <f>L1025*(1-MIN(Inputs!$B$8+((F1039-Calc!F23)+(F1038-Calc!F22)),100)/100)+M1025*(MIN(Inputs!$B$8+((F1039-Calc!F23)+(F1038-Calc!F22)),100)/100)</f>
        <v/>
      </c>
      <c r="O1025">
        <f>IF(C1025,H1025*N1025*IF(AND(Inputs!$B$4&lt;&gt;"pvp",Inputs!$B$35&gt;0),((Skills!F9*((S1025-1)*IF(Skills!G9&gt;0,Skills!H9/Skills!G9,1)+IF(Skills!G9&gt;0,MIN(Skills!H9,MAX(0,Inputs!$B$35-((S1025-1)*IF(Inputs!$B$4="pvp",15,MAX(0.1,Skills!D9-IF(Skills!E9=TRUE,Inputs!$B$31,0))))))/Skills!G9,1)))/Inputs!$B$35),G1025*V1025)*IF(Inputs!$B$4="pvp",1,(1-Summary!$B$48)*(1)+Summary!$B$48*(MIN(Skills!Q9,Inputs!$B$37))),0)</f>
        <v/>
      </c>
      <c r="P1025">
        <f>IF(B1054=0,0,O1025/B1054)</f>
        <v/>
      </c>
      <c r="S1025">
        <f>IF(AND(Inputs!$B$4&lt;&gt;"pvp",Inputs!$B$35&gt;0),(INT(Inputs!$B$35/IF(Inputs!$B$4="pvp",15,MAX(0.1,Skills!D9-IF(Skills!E9=TRUE,Inputs!$B$31,0))))+1),0)</f>
        <v/>
      </c>
      <c r="V1025">
        <f>IFERROR(1/IF(Inputs!$B$4="pvp",15,MAX(0.1,Skills!D9-IF(Skills!E9=TRUE,Inputs!$B$31,0))),0)</f>
        <v/>
      </c>
    </row>
    <row r="1026">
      <c r="A1026">
        <f>Skills!A10</f>
        <v/>
      </c>
      <c r="B1026">
        <f>Skills!B10</f>
        <v/>
      </c>
      <c r="C1026">
        <f>Inputs!$B$3&gt;=66</f>
        <v/>
      </c>
      <c r="D1026">
        <f>IF(Skills!C10=1,60+Inputs!$B$24+Inputs!$B$28,IF(Skills!C10=2,90+Inputs!$B$25+Inputs!$B$28,IF(Skills!C10=3,120+Inputs!$B$26+Inputs!$B$28,MAX(0,(Inputs!$B$3-100)*3)+Inputs!$B$27+Inputs!$B$28)))</f>
        <v/>
      </c>
      <c r="E1026">
        <f>INDEX(FactorTable!$B$2:$Y$301, MATCH(ROUND(MIN(300,MAX(1,D1026)),0), FactorTable!$A$2:$A$301,0), Skills!L10+1)</f>
        <v/>
      </c>
      <c r="F1026" t="n">
        <v>0</v>
      </c>
      <c r="G1026">
        <f>Calc!G10</f>
        <v/>
      </c>
      <c r="H1026">
        <f>Calc!H10</f>
        <v/>
      </c>
      <c r="I1026">
        <f>IF(Skills!T10&lt;&gt;"",1+(Skills!T10/10)*($Z$3/1000)/100,1)</f>
        <v/>
      </c>
      <c r="J1026" t="inlineStr"/>
      <c r="K1026" t="inlineStr"/>
      <c r="L1026" t="inlineStr"/>
      <c r="M1026" t="inlineStr"/>
      <c r="N1026" t="inlineStr"/>
      <c r="O1026" t="n">
        <v>0</v>
      </c>
      <c r="P1026">
        <f>IF(B1054=0,0,O1026/B1054)</f>
        <v/>
      </c>
      <c r="S1026">
        <f>IF(AND(Inputs!$B$4&lt;&gt;"pvp",Inputs!$B$35&gt;0),(INT(Inputs!$B$35/IF(Inputs!$B$4="pvp",15,MAX(0.1,Skills!D10-IF(Skills!E10=TRUE,Inputs!$B$31,0))))+1),0)</f>
        <v/>
      </c>
      <c r="V1026">
        <f>IFERROR(1/IF(Inputs!$B$4="pvp",15,MAX(0.1,Skills!D10-IF(Skills!E10=TRUE,Inputs!$B$31,0))),0)</f>
        <v/>
      </c>
    </row>
    <row r="1027">
      <c r="A1027">
        <f>Skills!A11</f>
        <v/>
      </c>
      <c r="B1027">
        <f>Skills!B11</f>
        <v/>
      </c>
      <c r="C1027">
        <f>Inputs!$B$3&gt;=69</f>
        <v/>
      </c>
      <c r="D1027">
        <f>IF(Skills!C11=1,60+Inputs!$B$24+Inputs!$B$28,IF(Skills!C11=2,90+Inputs!$B$25+Inputs!$B$28,IF(Skills!C11=3,120+Inputs!$B$26+Inputs!$B$28,MAX(0,(Inputs!$B$3-100)*3)+Inputs!$B$27+Inputs!$B$28)))</f>
        <v/>
      </c>
      <c r="E1027">
        <f>INDEX(FactorTable!$B$2:$Y$301, MATCH(ROUND(MIN(300,MAX(1,D1027)),0), FactorTable!$A$2:$A$301,0), Skills!L11+1)</f>
        <v/>
      </c>
      <c r="F1027">
        <f>IF(Skills!M11=TRUE,(Skills!K11/10)*(E1027/1000),Skills!K11/10)+Skills!N11</f>
        <v/>
      </c>
      <c r="G1027">
        <f>Calc!G11</f>
        <v/>
      </c>
      <c r="H1027">
        <f>Calc!H11</f>
        <v/>
      </c>
      <c r="I1027">
        <f>IF(Skills!T11&lt;&gt;"",1+(Skills!T11/10)*($Z$3/1000)/100,1)</f>
        <v/>
      </c>
      <c r="J1027" t="inlineStr"/>
      <c r="K1027" t="inlineStr"/>
      <c r="L1027" t="inlineStr"/>
      <c r="M1027" t="inlineStr"/>
      <c r="N1027" t="inlineStr"/>
      <c r="O1027" t="n">
        <v>0</v>
      </c>
      <c r="P1027">
        <f>IF(B1054=0,0,O1027/B1054)</f>
        <v/>
      </c>
      <c r="S1027">
        <f>IF(AND(Inputs!$B$4&lt;&gt;"pvp",Inputs!$B$35&gt;0),(INT(Inputs!$B$35/IF(Inputs!$B$4="pvp",15,MAX(0.1,Skills!D11-IF(Skills!E11=TRUE,Inputs!$B$31,0))))+1),0)</f>
        <v/>
      </c>
      <c r="V1027">
        <f>IFERROR(1/IF(Inputs!$B$4="pvp",15,MAX(0.1,Skills!D11-IF(Skills!E11=TRUE,Inputs!$B$31,0))),0)</f>
        <v/>
      </c>
    </row>
    <row r="1028">
      <c r="A1028">
        <f>Skills!A12</f>
        <v/>
      </c>
      <c r="B1028">
        <f>Skills!B12</f>
        <v/>
      </c>
      <c r="C1028">
        <f>Inputs!$B$3&gt;=72</f>
        <v/>
      </c>
      <c r="D1028">
        <f>IF(Skills!C12=1,60+Inputs!$B$24+Inputs!$B$28,IF(Skills!C12=2,90+Inputs!$B$25+Inputs!$B$28,IF(Skills!C12=3,120+Inputs!$B$26+Inputs!$B$28,MAX(0,(Inputs!$B$3-100)*3)+Inputs!$B$27+Inputs!$B$28)))</f>
        <v/>
      </c>
      <c r="E1028">
        <f>INDEX(FactorTable!$B$2:$Y$301, MATCH(ROUND(MIN(300,MAX(1,D1028)),0), FactorTable!$A$2:$A$301,0), Skills!L12+1)</f>
        <v/>
      </c>
      <c r="F1028">
        <f>IF(Skills!M12=TRUE,(Skills!K12/10)*(E1028/1000),Skills!K12/10)+Skills!N12</f>
        <v/>
      </c>
      <c r="G1028">
        <f>Calc!G12</f>
        <v/>
      </c>
      <c r="H1028">
        <f>Calc!H12</f>
        <v/>
      </c>
      <c r="I1028">
        <f>IF(Skills!T12&lt;&gt;"",1+(Skills!T12/10)*($Z$3/1000)/100,1)</f>
        <v/>
      </c>
      <c r="J1028" t="inlineStr"/>
      <c r="K1028" t="inlineStr"/>
      <c r="L1028" t="inlineStr"/>
      <c r="M1028" t="inlineStr"/>
      <c r="N1028" t="inlineStr"/>
      <c r="O1028" t="n">
        <v>0</v>
      </c>
      <c r="P1028">
        <f>IF(B1054=0,0,O1028/B1054)</f>
        <v/>
      </c>
      <c r="S1028">
        <f>IF(AND(Inputs!$B$4&lt;&gt;"pvp",Inputs!$B$35&gt;0),(INT(Inputs!$B$35/IF(Inputs!$B$4="pvp",15,MAX(0.1,Skills!D12-IF(Skills!E12=TRUE,Inputs!$B$31,0))))+1),0)</f>
        <v/>
      </c>
      <c r="V1028">
        <f>IFERROR(1/IF(Inputs!$B$4="pvp",15,MAX(0.1,Skills!D12-IF(Skills!E12=TRUE,Inputs!$B$31,0))),0)</f>
        <v/>
      </c>
    </row>
    <row r="1029">
      <c r="A1029">
        <f>Skills!A13</f>
        <v/>
      </c>
      <c r="B1029">
        <f>Skills!B13</f>
        <v/>
      </c>
      <c r="C1029">
        <f>Inputs!$B$3&gt;=107</f>
        <v/>
      </c>
      <c r="D1029">
        <f>IF(Skills!C13=1,60+Inputs!$B$24+Inputs!$B$28,IF(Skills!C13=2,90+Inputs!$B$25+Inputs!$B$28,IF(Skills!C13=3,120+Inputs!$B$26+Inputs!$B$28,MAX(0,(Inputs!$B$3-100)*3)+Inputs!$B$27+Inputs!$B$28)))</f>
        <v/>
      </c>
      <c r="E1029">
        <f>INDEX(FactorTable!$B$2:$Y$301, MATCH(ROUND(MIN(300,MAX(1,D1029)),0), FactorTable!$A$2:$A$301,0), Skills!L13+1)</f>
        <v/>
      </c>
      <c r="F1029">
        <f>IF(Skills!M13=TRUE,(Skills!K13/10)*(E1029/1000),Skills!K13/10)+Skills!N13</f>
        <v/>
      </c>
      <c r="G1029">
        <f>Calc!G13</f>
        <v/>
      </c>
      <c r="H1029">
        <f>Calc!H13</f>
        <v/>
      </c>
      <c r="I1029">
        <f>IF(Skills!T13&lt;&gt;"",1+(Skills!T13/10)*($Z$3/1000)/100,1)</f>
        <v/>
      </c>
      <c r="J1029" t="inlineStr"/>
      <c r="K1029" t="inlineStr"/>
      <c r="L1029" t="inlineStr"/>
      <c r="M1029" t="inlineStr"/>
      <c r="N1029" t="inlineStr"/>
      <c r="O1029" t="n">
        <v>0</v>
      </c>
      <c r="P1029">
        <f>IF(B1054=0,0,O1029/B1054)</f>
        <v/>
      </c>
      <c r="S1029">
        <f>IF(AND(Inputs!$B$4&lt;&gt;"pvp",Inputs!$B$35&gt;0),(INT(Inputs!$B$35/IF(Inputs!$B$4="pvp",15,MAX(0.1,Skills!D13-IF(Skills!E13=TRUE,Inputs!$B$31,0))))+1),0)</f>
        <v/>
      </c>
      <c r="V1029">
        <f>IFERROR(1/IF(Inputs!$B$4="pvp",15,MAX(0.1,Skills!D13-IF(Skills!E13=TRUE,Inputs!$B$31,0))),0)</f>
        <v/>
      </c>
    </row>
    <row r="1030">
      <c r="A1030">
        <f>Skills!A14</f>
        <v/>
      </c>
      <c r="B1030">
        <f>Skills!B14</f>
        <v/>
      </c>
      <c r="C1030">
        <f>Inputs!$B$3&gt;=63</f>
        <v/>
      </c>
      <c r="D1030">
        <f>IF(Skills!C14=1,60+Inputs!$B$24+Inputs!$B$28,IF(Skills!C14=2,90+Inputs!$B$25+Inputs!$B$28,IF(Skills!C14=3,120+Inputs!$B$26+Inputs!$B$28,MAX(0,(Inputs!$B$3-100)*3)+Inputs!$B$27+Inputs!$B$28)))</f>
        <v/>
      </c>
      <c r="E1030">
        <f>INDEX(FactorTable!$B$2:$Y$301, MATCH(ROUND(MIN(300,MAX(1,D1030)),0), FactorTable!$A$2:$A$301,0), Skills!L14+1)</f>
        <v/>
      </c>
      <c r="F1030">
        <f>IF(Skills!M14=TRUE,(Skills!K14/10)*(E1030/1000),Skills!K14/10)+Skills!N14</f>
        <v/>
      </c>
      <c r="G1030">
        <f>Calc!G14</f>
        <v/>
      </c>
      <c r="H1030">
        <f>Calc!H14</f>
        <v/>
      </c>
      <c r="I1030">
        <f>IF(Skills!T14&lt;&gt;"",1+(Skills!T14/10)*($Z$3/1000)/100,1)</f>
        <v/>
      </c>
      <c r="J1030">
        <f>((Inputs!$B$5*(1+Inputs!$B$6/100))+((Inputs!$B$11*(1+Inputs!$B$12/100))-(Inputs!$B$11*(1+Inputs!$B$12/100)))*(1+Inputs!$B$6/100))*(F1030/100)</f>
        <v/>
      </c>
      <c r="K1030">
        <f>J1030*(1+((Inputs!$B$11*(1+Inputs!$B$12/100))*0.01+Inputs!$B$13*0.0025)/100)*(1+(Inputs!$B$14+B1047)/100)*(1+IF(Inputs!$B$4="pvp",0,(1-Summary!$B$48)*(Inputs!$B$19+Skills!O14+B1045)+Summary!$B$48*(Inputs!$B$20+Skills!P14+B1046))/100)*(1+Inputs!$B$15/100)*(5000/(6000+Inputs!$B$7*(1-Inputs!$B$18/100)))*(1+Inputs!$B$23/100)*(1+IF(C1033=TRUE,F1033,0)/100)*(1+IF(C1035=TRUE,F1035,0)/100)*(1+IF(Skills!A14="TRIUMPH_FEATHER",IF(C1031=TRUE,F1031,0),0)/100)*(1+IF(C1042=TRUE,F1042,0)/100)^5*(1+(IF(Skills!A14="BIG_BANG",Inputs!$B$16,Inputs!$B$17))/100)*(B1044*I1030)</f>
        <v/>
      </c>
      <c r="L1030">
        <f>K1030*(MIN(Inputs!$B$21+(F1037-Calc!F21),Inputs!$B$22)/100+Inputs!$B$22/100)/2</f>
        <v/>
      </c>
      <c r="M1030">
        <f>L1030*(1+(Inputs!$B$9+B1048+(F1040-Calc!F24))/100)</f>
        <v/>
      </c>
      <c r="N1030">
        <f>L1030*(1-MIN(Inputs!$B$8+((F1039-Calc!F23)+(F1038-Calc!F22)),100)/100)+M1030*(MIN(Inputs!$B$8+((F1039-Calc!F23)+(F1038-Calc!F22)),100)/100)</f>
        <v/>
      </c>
      <c r="O1030">
        <f>IF(C1030,Skills!F14*N1030*((IF(Inputs!$B$3&gt;=78,25,15)/100*B1050*10)/(1+IF(Inputs!$B$3&gt;=78,25,15)/100*B1050*10))*(Skills!I14/100*B1050)/(1+Skills!G14*Skills!I14/100*B1050)*IF(Inputs!$B$4="pvp",1,(1-Summary!$B$48)*(1)+Summary!$B$48*(MIN(Skills!Q14,Inputs!$B$37))),0)</f>
        <v/>
      </c>
      <c r="P1030">
        <f>IF(B1054=0,0,O1030/B1054)</f>
        <v/>
      </c>
      <c r="S1030" t="n">
        <v>0</v>
      </c>
      <c r="V1030">
        <f>IFERROR(1/IF(Inputs!$B$4="pvp",15,MAX(0.1,Skills!D14-IF(Skills!E14=TRUE,Inputs!$B$31,0))),0)</f>
        <v/>
      </c>
    </row>
    <row r="1031">
      <c r="A1031">
        <f>Skills!A15</f>
        <v/>
      </c>
      <c r="B1031">
        <f>Skills!B15</f>
        <v/>
      </c>
      <c r="C1031">
        <f>Inputs!$B$3&gt;=100</f>
        <v/>
      </c>
      <c r="D1031">
        <f>IF(Skills!C15=1,60+Inputs!$B$24+Inputs!$B$28,IF(Skills!C15=2,90+Inputs!$B$25+Inputs!$B$28,IF(Skills!C15=3,120+Inputs!$B$26+Inputs!$B$28,MAX(0,(Inputs!$B$3-100)*3)+Inputs!$B$27+Inputs!$B$28)))</f>
        <v/>
      </c>
      <c r="E1031">
        <f>INDEX(FactorTable!$B$2:$Y$301, MATCH(ROUND(MIN(300,MAX(1,D1031)),0), FactorTable!$A$2:$A$301,0), Skills!L15+1)</f>
        <v/>
      </c>
      <c r="F1031">
        <f>IF(Skills!M15=TRUE,(Skills!K15/10)*(E1031/1000),Skills!K15/10)+Skills!N15</f>
        <v/>
      </c>
      <c r="G1031">
        <f>Calc!G15</f>
        <v/>
      </c>
      <c r="H1031">
        <f>Calc!H15</f>
        <v/>
      </c>
      <c r="I1031">
        <f>IF(Skills!T15&lt;&gt;"",1+(Skills!T15/10)*($Z$3/1000)/100,1)</f>
        <v/>
      </c>
      <c r="J1031" t="inlineStr"/>
      <c r="K1031" t="inlineStr"/>
      <c r="L1031" t="inlineStr"/>
      <c r="M1031" t="inlineStr"/>
      <c r="N1031" t="inlineStr"/>
      <c r="O1031" t="n">
        <v>0</v>
      </c>
      <c r="P1031">
        <f>IF(B1054=0,0,O1031/B1054)</f>
        <v/>
      </c>
      <c r="S1031" t="n">
        <v>0</v>
      </c>
      <c r="V1031">
        <f>IFERROR(1/IF(Inputs!$B$4="pvp",15,MAX(0.1,Skills!D15-IF(Skills!E15=TRUE,Inputs!$B$31,0))),0)</f>
        <v/>
      </c>
    </row>
    <row r="1032">
      <c r="A1032">
        <f>Skills!A16</f>
        <v/>
      </c>
      <c r="B1032">
        <f>Skills!B16</f>
        <v/>
      </c>
      <c r="C1032">
        <f>Inputs!$B$3&gt;=49</f>
        <v/>
      </c>
      <c r="D1032">
        <f>IF(Skills!C16=1,60+Inputs!$B$24+Inputs!$B$28,IF(Skills!C16=2,90+Inputs!$B$25+Inputs!$B$28,IF(Skills!C16=3,120+Inputs!$B$26+Inputs!$B$28,MAX(0,(Inputs!$B$3-100)*3)+Inputs!$B$27+Inputs!$B$28)))</f>
        <v/>
      </c>
      <c r="E1032">
        <f>INDEX(FactorTable!$B$2:$Y$301, MATCH(ROUND(MIN(300,MAX(1,D1032)),0), FactorTable!$A$2:$A$301,0), Skills!L16+1)</f>
        <v/>
      </c>
      <c r="F1032">
        <f>IF(Skills!M16=TRUE,(Skills!K16/10)*(E1032/1000),Skills!K16/10)+Skills!N16</f>
        <v/>
      </c>
      <c r="G1032">
        <f>Calc!G16</f>
        <v/>
      </c>
      <c r="H1032">
        <f>Calc!H16</f>
        <v/>
      </c>
      <c r="I1032">
        <f>IF(Skills!T16&lt;&gt;"",1+(Skills!T16/10)*($Z$3/1000)/100,1)</f>
        <v/>
      </c>
      <c r="J1032" t="inlineStr"/>
      <c r="K1032" t="inlineStr"/>
      <c r="L1032" t="inlineStr"/>
      <c r="M1032" t="inlineStr"/>
      <c r="N1032" t="inlineStr"/>
      <c r="O1032" t="n">
        <v>0</v>
      </c>
      <c r="P1032">
        <f>IF(B1054=0,0,O1032/B1054)</f>
        <v/>
      </c>
      <c r="S1032" t="n">
        <v>0</v>
      </c>
      <c r="V1032">
        <f>IFERROR(1/IF(Inputs!$B$4="pvp",15,MAX(0.1,Skills!D16-IF(Skills!E16=TRUE,Inputs!$B$31,0))),0)</f>
        <v/>
      </c>
    </row>
    <row r="1033">
      <c r="A1033">
        <f>Skills!A17</f>
        <v/>
      </c>
      <c r="B1033">
        <f>Skills!B17</f>
        <v/>
      </c>
      <c r="C1033">
        <f>Inputs!$B$3&gt;=75</f>
        <v/>
      </c>
      <c r="D1033">
        <f>IF(Skills!C17=1,60+Inputs!$B$24+Inputs!$B$28,IF(Skills!C17=2,90+Inputs!$B$25+Inputs!$B$28,IF(Skills!C17=3,120+Inputs!$B$26+Inputs!$B$28,MAX(0,(Inputs!$B$3-100)*3)+Inputs!$B$27+Inputs!$B$28)))</f>
        <v/>
      </c>
      <c r="E1033">
        <f>INDEX(FactorTable!$B$2:$Y$301, MATCH(ROUND(MIN(300,MAX(1,D1033)),0), FactorTable!$A$2:$A$301,0), Skills!L17+1)</f>
        <v/>
      </c>
      <c r="F1033">
        <f>IF(Skills!M17=TRUE,(Skills!K17/10)*(E1033/1000),Skills!K17/10)+Skills!N17</f>
        <v/>
      </c>
      <c r="G1033">
        <f>Calc!G17</f>
        <v/>
      </c>
      <c r="H1033">
        <f>Calc!H17</f>
        <v/>
      </c>
      <c r="I1033">
        <f>IF(Skills!T17&lt;&gt;"",1+(Skills!T17/10)*($Z$3/1000)/100,1)</f>
        <v/>
      </c>
      <c r="J1033" t="inlineStr"/>
      <c r="K1033" t="inlineStr"/>
      <c r="L1033" t="inlineStr"/>
      <c r="M1033" t="inlineStr"/>
      <c r="N1033" t="inlineStr"/>
      <c r="O1033" t="n">
        <v>0</v>
      </c>
      <c r="P1033">
        <f>IF(B1054=0,0,O1033/B1054)</f>
        <v/>
      </c>
      <c r="S1033" t="n">
        <v>0</v>
      </c>
      <c r="V1033">
        <f>IFERROR(1/IF(Inputs!$B$4="pvp",15,MAX(0.1,Skills!D17-IF(Skills!E17=TRUE,Inputs!$B$31,0))),0)</f>
        <v/>
      </c>
    </row>
    <row r="1034">
      <c r="A1034">
        <f>Skills!A18</f>
        <v/>
      </c>
      <c r="B1034">
        <f>Skills!B18</f>
        <v/>
      </c>
      <c r="C1034">
        <f>Inputs!$B$3&gt;=110</f>
        <v/>
      </c>
      <c r="D1034">
        <f>IF(Skills!C18=1,60+Inputs!$B$24+Inputs!$B$28,IF(Skills!C18=2,90+Inputs!$B$25+Inputs!$B$28,IF(Skills!C18=3,120+Inputs!$B$26+Inputs!$B$28,MAX(0,(Inputs!$B$3-100)*3)+Inputs!$B$27+Inputs!$B$28)))</f>
        <v/>
      </c>
      <c r="E1034">
        <f>INDEX(FactorTable!$B$2:$Y$301, MATCH(ROUND(MIN(300,MAX(1,D1034)),0), FactorTable!$A$2:$A$301,0), Skills!L18+1)</f>
        <v/>
      </c>
      <c r="F1034">
        <f>(Skills!K18/10)*(E1034/1000)*64/45+Skills!N18</f>
        <v/>
      </c>
      <c r="G1034">
        <f>Calc!G18</f>
        <v/>
      </c>
      <c r="H1034">
        <f>Calc!H18</f>
        <v/>
      </c>
      <c r="I1034">
        <f>IF(Skills!T18&lt;&gt;"",1+(Skills!T18/10)*($Z$3/1000)/100,1)</f>
        <v/>
      </c>
      <c r="J1034" t="inlineStr"/>
      <c r="K1034" t="inlineStr"/>
      <c r="L1034" t="inlineStr"/>
      <c r="M1034" t="inlineStr"/>
      <c r="N1034" t="inlineStr"/>
      <c r="O1034" t="n">
        <v>0</v>
      </c>
      <c r="P1034">
        <f>IF(B1054=0,0,O1034/B1054)</f>
        <v/>
      </c>
      <c r="S1034">
        <f>IF(AND(Inputs!$B$4&lt;&gt;"pvp",Inputs!$B$35&gt;0),(INT(Inputs!$B$35/IF(Inputs!$B$4="pvp",15,MAX(0.1,Skills!D18-IF(Skills!E18=TRUE,Inputs!$B$31,0))))+1),0)</f>
        <v/>
      </c>
      <c r="V1034">
        <f>IFERROR(1/IF(Inputs!$B$4="pvp",15,MAX(0.1,Skills!D18-IF(Skills!E18=TRUE,Inputs!$B$31,0))),0)</f>
        <v/>
      </c>
    </row>
    <row r="1035">
      <c r="A1035">
        <f>Skills!A19</f>
        <v/>
      </c>
      <c r="B1035">
        <f>Skills!B19</f>
        <v/>
      </c>
      <c r="C1035">
        <f>Inputs!$B$3&gt;=125</f>
        <v/>
      </c>
      <c r="D1035">
        <f>IF(Skills!C19=1,60+Inputs!$B$24+Inputs!$B$28,IF(Skills!C19=2,90+Inputs!$B$25+Inputs!$B$28,IF(Skills!C19=3,120+Inputs!$B$26+Inputs!$B$28,MAX(0,(Inputs!$B$3-100)*3)+Inputs!$B$27+Inputs!$B$28)))</f>
        <v/>
      </c>
      <c r="E1035">
        <f>INDEX(FactorTable!$B$2:$Y$301, MATCH(ROUND(MIN(300,MAX(1,D1035)),0), FactorTable!$A$2:$A$301,0), Skills!L19+1)</f>
        <v/>
      </c>
      <c r="F1035">
        <f>IF(Skills!M19=TRUE,(Skills!K19/10)*(E1035/1000),Skills!K19/10)+Skills!N19</f>
        <v/>
      </c>
      <c r="G1035">
        <f>Calc!G19</f>
        <v/>
      </c>
      <c r="H1035">
        <f>Calc!H19</f>
        <v/>
      </c>
      <c r="I1035">
        <f>IF(Skills!T19&lt;&gt;"",1+(Skills!T19/10)*($Z$3/1000)/100,1)</f>
        <v/>
      </c>
      <c r="J1035" t="inlineStr"/>
      <c r="K1035" t="inlineStr"/>
      <c r="L1035" t="inlineStr"/>
      <c r="M1035" t="inlineStr"/>
      <c r="N1035" t="inlineStr"/>
      <c r="O1035" t="n">
        <v>0</v>
      </c>
      <c r="P1035">
        <f>IF(B1054=0,0,O1035/B1054)</f>
        <v/>
      </c>
      <c r="S1035" t="n">
        <v>0</v>
      </c>
      <c r="V1035">
        <f>IFERROR(1/IF(Inputs!$B$4="pvp",15,MAX(0.1,Skills!D19-IF(Skills!E19=TRUE,Inputs!$B$31,0))),0)</f>
        <v/>
      </c>
    </row>
    <row r="1036">
      <c r="A1036">
        <f>Skills!A20</f>
        <v/>
      </c>
      <c r="B1036">
        <f>Skills!B20</f>
        <v/>
      </c>
      <c r="C1036">
        <f>Inputs!$B$3&gt;=33</f>
        <v/>
      </c>
      <c r="D1036">
        <f>IF(Skills!C20=1,60+Inputs!$B$24+Inputs!$B$28,IF(Skills!C20=2,90+Inputs!$B$25+Inputs!$B$28,IF(Skills!C20=3,120+Inputs!$B$26+Inputs!$B$28,MAX(0,(Inputs!$B$3-100)*3)+Inputs!$B$27+Inputs!$B$28)))</f>
        <v/>
      </c>
      <c r="E1036">
        <f>INDEX(FactorTable!$B$2:$Y$301, MATCH(ROUND(MIN(300,MAX(1,D1036)),0), FactorTable!$A$2:$A$301,0), Skills!L20+1)</f>
        <v/>
      </c>
      <c r="F1036">
        <f>IF(Skills!M20=TRUE,(Skills!K20/10)*(E1036/1000),Skills!K20/10)+Skills!N20</f>
        <v/>
      </c>
      <c r="G1036">
        <f>Calc!G20</f>
        <v/>
      </c>
      <c r="H1036">
        <f>Calc!H20</f>
        <v/>
      </c>
      <c r="I1036">
        <f>IF(Skills!T20&lt;&gt;"",1+(Skills!T20/10)*($Z$3/1000)/100,1)</f>
        <v/>
      </c>
      <c r="J1036" t="inlineStr"/>
      <c r="K1036" t="inlineStr"/>
      <c r="L1036" t="inlineStr"/>
      <c r="M1036" t="inlineStr"/>
      <c r="N1036" t="inlineStr"/>
      <c r="O1036" t="n">
        <v>0</v>
      </c>
      <c r="P1036">
        <f>IF(B1054=0,0,O1036/B1054)</f>
        <v/>
      </c>
      <c r="S1036" t="n">
        <v>0</v>
      </c>
      <c r="V1036">
        <f>IFERROR(1/IF(Inputs!$B$4="pvp",15,MAX(0.1,Skills!D20-IF(Skills!E20=TRUE,Inputs!$B$31,0))),0)</f>
        <v/>
      </c>
    </row>
    <row r="1037">
      <c r="A1037">
        <f>Skills!A21</f>
        <v/>
      </c>
      <c r="B1037">
        <f>Skills!B21</f>
        <v/>
      </c>
      <c r="C1037">
        <f>Inputs!$B$3&gt;=43</f>
        <v/>
      </c>
      <c r="D1037">
        <f>IF(Skills!C21=1,60+Inputs!$B$24+Inputs!$B$28,IF(Skills!C21=2,90+Inputs!$B$25+Inputs!$B$28,IF(Skills!C21=3,120+Inputs!$B$26+Inputs!$B$28,MAX(0,(Inputs!$B$3-100)*3)+Inputs!$B$27+Inputs!$B$28)))</f>
        <v/>
      </c>
      <c r="E1037">
        <f>INDEX(FactorTable!$B$2:$Y$301, MATCH(ROUND(MIN(300,MAX(1,D1037)),0), FactorTable!$A$2:$A$301,0), Skills!L21+1)</f>
        <v/>
      </c>
      <c r="F1037">
        <f>IF(Skills!M21=TRUE,(Skills!K21/10)*(E1037/1000),Skills!K21/10)+Skills!N21</f>
        <v/>
      </c>
      <c r="G1037">
        <f>Calc!G21</f>
        <v/>
      </c>
      <c r="H1037">
        <f>Calc!H21</f>
        <v/>
      </c>
      <c r="I1037">
        <f>IF(Skills!T21&lt;&gt;"",1+(Skills!T21/10)*($Z$3/1000)/100,1)</f>
        <v/>
      </c>
      <c r="J1037" t="inlineStr"/>
      <c r="K1037" t="inlineStr"/>
      <c r="L1037" t="inlineStr"/>
      <c r="M1037" t="inlineStr"/>
      <c r="N1037" t="inlineStr"/>
      <c r="O1037" t="n">
        <v>0</v>
      </c>
      <c r="P1037">
        <f>IF(B1054=0,0,O1037/B1054)</f>
        <v/>
      </c>
      <c r="S1037" t="n">
        <v>0</v>
      </c>
      <c r="V1037">
        <f>IFERROR(1/IF(Inputs!$B$4="pvp",15,MAX(0.1,Skills!D21-IF(Skills!E21=TRUE,Inputs!$B$31,0))),0)</f>
        <v/>
      </c>
    </row>
    <row r="1038">
      <c r="A1038">
        <f>Skills!A22</f>
        <v/>
      </c>
      <c r="B1038">
        <f>Skills!B22</f>
        <v/>
      </c>
      <c r="C1038">
        <f>Inputs!$B$3&gt;=50</f>
        <v/>
      </c>
      <c r="D1038">
        <f>IF(Skills!C22=1,60+Inputs!$B$24+Inputs!$B$28,IF(Skills!C22=2,90+Inputs!$B$25+Inputs!$B$28,IF(Skills!C22=3,120+Inputs!$B$26+Inputs!$B$28,MAX(0,(Inputs!$B$3-100)*3)+Inputs!$B$27+Inputs!$B$28)))</f>
        <v/>
      </c>
      <c r="E1038">
        <f>INDEX(FactorTable!$B$2:$Y$301, MATCH(ROUND(MIN(300,MAX(1,D1038)),0), FactorTable!$A$2:$A$301,0), Skills!L22+1)</f>
        <v/>
      </c>
      <c r="F1038">
        <f>IF(Skills!M22=TRUE,(Skills!K22/10)*(E1038/1000),Skills!K22/10)+Skills!N22</f>
        <v/>
      </c>
      <c r="G1038">
        <f>Calc!G22</f>
        <v/>
      </c>
      <c r="H1038">
        <f>Calc!H22</f>
        <v/>
      </c>
      <c r="I1038">
        <f>IF(Skills!T22&lt;&gt;"",1+(Skills!T22/10)*($Z$3/1000)/100,1)</f>
        <v/>
      </c>
      <c r="J1038" t="inlineStr"/>
      <c r="K1038" t="inlineStr"/>
      <c r="L1038" t="inlineStr"/>
      <c r="M1038" t="inlineStr"/>
      <c r="N1038" t="inlineStr"/>
      <c r="O1038" t="n">
        <v>0</v>
      </c>
      <c r="P1038">
        <f>IF(B1054=0,0,O1038/B1054)</f>
        <v/>
      </c>
      <c r="S1038" t="n">
        <v>0</v>
      </c>
      <c r="V1038">
        <f>IFERROR(1/IF(Inputs!$B$4="pvp",15,MAX(0.1,Skills!D22-IF(Skills!E22=TRUE,Inputs!$B$31,0))),0)</f>
        <v/>
      </c>
    </row>
    <row r="1039">
      <c r="A1039">
        <f>Skills!A23</f>
        <v/>
      </c>
      <c r="B1039">
        <f>Skills!B23</f>
        <v/>
      </c>
      <c r="C1039">
        <f>Inputs!$B$3&gt;=74</f>
        <v/>
      </c>
      <c r="D1039">
        <f>IF(Skills!C23=1,60+Inputs!$B$24+Inputs!$B$28,IF(Skills!C23=2,90+Inputs!$B$25+Inputs!$B$28,IF(Skills!C23=3,120+Inputs!$B$26+Inputs!$B$28,MAX(0,(Inputs!$B$3-100)*3)+Inputs!$B$27+Inputs!$B$28)))</f>
        <v/>
      </c>
      <c r="E1039">
        <f>INDEX(FactorTable!$B$2:$Y$301, MATCH(ROUND(MIN(300,MAX(1,D1039)),0), FactorTable!$A$2:$A$301,0), Skills!L23+1)</f>
        <v/>
      </c>
      <c r="F1039">
        <f>IF(Skills!M23=TRUE,(Skills!K23/10)*(E1039/1000),Skills!K23/10)+Skills!N23</f>
        <v/>
      </c>
      <c r="G1039">
        <f>Calc!G23</f>
        <v/>
      </c>
      <c r="H1039">
        <f>Calc!H23</f>
        <v/>
      </c>
      <c r="I1039">
        <f>IF(Skills!T23&lt;&gt;"",1+(Skills!T23/10)*($Z$3/1000)/100,1)</f>
        <v/>
      </c>
      <c r="J1039" t="inlineStr"/>
      <c r="K1039" t="inlineStr"/>
      <c r="L1039" t="inlineStr"/>
      <c r="M1039" t="inlineStr"/>
      <c r="N1039" t="inlineStr"/>
      <c r="O1039" t="n">
        <v>0</v>
      </c>
      <c r="P1039">
        <f>IF(B1054=0,0,O1039/B1054)</f>
        <v/>
      </c>
      <c r="S1039" t="n">
        <v>0</v>
      </c>
      <c r="V1039">
        <f>IFERROR(1/IF(Inputs!$B$4="pvp",15,MAX(0.1,Skills!D23-IF(Skills!E23=TRUE,Inputs!$B$31,0))),0)</f>
        <v/>
      </c>
    </row>
    <row r="1040">
      <c r="A1040">
        <f>Skills!A24</f>
        <v/>
      </c>
      <c r="B1040">
        <f>Skills!B24</f>
        <v/>
      </c>
      <c r="C1040">
        <f>Inputs!$B$3&gt;=74</f>
        <v/>
      </c>
      <c r="D1040">
        <f>IF(Skills!C24=1,60+Inputs!$B$24+Inputs!$B$28,IF(Skills!C24=2,90+Inputs!$B$25+Inputs!$B$28,IF(Skills!C24=3,120+Inputs!$B$26+Inputs!$B$28,MAX(0,(Inputs!$B$3-100)*3)+Inputs!$B$27+Inputs!$B$28)))</f>
        <v/>
      </c>
      <c r="E1040">
        <f>INDEX(FactorTable!$B$2:$Y$301, MATCH(ROUND(MIN(300,MAX(1,D1040)),0), FactorTable!$A$2:$A$301,0), Skills!L24+1)</f>
        <v/>
      </c>
      <c r="F1040">
        <f>IF(Skills!M24=TRUE,(Skills!K24/10)*(E1040/1000),Skills!K24/10)+Skills!N24</f>
        <v/>
      </c>
      <c r="G1040">
        <f>Calc!G24</f>
        <v/>
      </c>
      <c r="H1040">
        <f>Calc!H24</f>
        <v/>
      </c>
      <c r="I1040">
        <f>IF(Skills!T24&lt;&gt;"",1+(Skills!T24/10)*($Z$3/1000)/100,1)</f>
        <v/>
      </c>
      <c r="J1040" t="inlineStr"/>
      <c r="K1040" t="inlineStr"/>
      <c r="L1040" t="inlineStr"/>
      <c r="M1040" t="inlineStr"/>
      <c r="N1040" t="inlineStr"/>
      <c r="O1040" t="n">
        <v>0</v>
      </c>
      <c r="P1040">
        <f>IF(B1054=0,0,O1040/B1054)</f>
        <v/>
      </c>
      <c r="S1040" t="n">
        <v>0</v>
      </c>
      <c r="V1040">
        <f>IFERROR(1/IF(Inputs!$B$4="pvp",15,MAX(0.1,Skills!D24-IF(Skills!E24=TRUE,Inputs!$B$31,0))),0)</f>
        <v/>
      </c>
    </row>
    <row r="1041">
      <c r="A1041">
        <f>Skills!A25</f>
        <v/>
      </c>
      <c r="B1041">
        <f>Skills!B25</f>
        <v/>
      </c>
      <c r="C1041">
        <f>Inputs!$B$3&gt;=117</f>
        <v/>
      </c>
      <c r="D1041">
        <f>IF(Skills!C25=1,60+Inputs!$B$24+Inputs!$B$28,IF(Skills!C25=2,90+Inputs!$B$25+Inputs!$B$28,IF(Skills!C25=3,120+Inputs!$B$26+Inputs!$B$28,MAX(0,(Inputs!$B$3-100)*3)+Inputs!$B$27+Inputs!$B$28)))</f>
        <v/>
      </c>
      <c r="E1041">
        <f>INDEX(FactorTable!$B$2:$Y$301, MATCH(ROUND(MIN(300,MAX(1,D1041)),0), FactorTable!$A$2:$A$301,0), Skills!L25+1)</f>
        <v/>
      </c>
      <c r="F1041">
        <f>IF(Skills!M25=TRUE,(Skills!K25/10)*(E1041/1000),Skills!K25/10)+Skills!N25</f>
        <v/>
      </c>
      <c r="G1041">
        <f>Calc!G25</f>
        <v/>
      </c>
      <c r="H1041">
        <f>Calc!H25</f>
        <v/>
      </c>
      <c r="I1041">
        <f>IF(Skills!T25&lt;&gt;"",1+(Skills!T25/10)*($Z$3/1000)/100,1)</f>
        <v/>
      </c>
      <c r="J1041" t="inlineStr"/>
      <c r="K1041" t="inlineStr"/>
      <c r="L1041" t="inlineStr"/>
      <c r="M1041" t="inlineStr"/>
      <c r="N1041" t="inlineStr"/>
      <c r="O1041" t="n">
        <v>0</v>
      </c>
      <c r="P1041">
        <f>IF(B1054=0,0,O1041/B1054)</f>
        <v/>
      </c>
      <c r="S1041" t="n">
        <v>0</v>
      </c>
      <c r="V1041">
        <f>IFERROR(1/IF(Inputs!$B$4="pvp",15,MAX(0.1,Skills!D25-IF(Skills!E25=TRUE,Inputs!$B$31,0))),0)</f>
        <v/>
      </c>
    </row>
    <row r="1042">
      <c r="A1042">
        <f>Skills!A26</f>
        <v/>
      </c>
      <c r="B1042">
        <f>Skills!B26</f>
        <v/>
      </c>
      <c r="C1042">
        <f>Inputs!$B$3&gt;=120</f>
        <v/>
      </c>
      <c r="D1042">
        <f>IF(Skills!C26=1,60+Inputs!$B$24+Inputs!$B$28,IF(Skills!C26=2,90+Inputs!$B$25+Inputs!$B$28,IF(Skills!C26=3,120+Inputs!$B$26+Inputs!$B$28,MAX(0,(Inputs!$B$3-100)*3)+Inputs!$B$27+Inputs!$B$28)))</f>
        <v/>
      </c>
      <c r="E1042">
        <f>INDEX(FactorTable!$B$2:$Y$301, MATCH(ROUND(MIN(300,MAX(1,D1042)),0), FactorTable!$A$2:$A$301,0), Skills!L26+1)</f>
        <v/>
      </c>
      <c r="F1042">
        <f>IF(Skills!M26=TRUE,(Skills!K26/10)*(E1042/1000),Skills!K26/10)+Skills!N26</f>
        <v/>
      </c>
      <c r="G1042">
        <f>Calc!G26</f>
        <v/>
      </c>
      <c r="H1042">
        <f>Calc!H26</f>
        <v/>
      </c>
      <c r="I1042">
        <f>IF(Skills!T26&lt;&gt;"",1+(Skills!T26/10)*($Z$3/1000)/100,1)</f>
        <v/>
      </c>
      <c r="J1042" t="inlineStr"/>
      <c r="K1042" t="inlineStr"/>
      <c r="L1042" t="inlineStr"/>
      <c r="M1042" t="inlineStr"/>
      <c r="N1042" t="inlineStr"/>
      <c r="O1042" t="n">
        <v>0</v>
      </c>
      <c r="P1042">
        <f>IF(B1054=0,0,O1042/B1054)</f>
        <v/>
      </c>
      <c r="S1042" t="n">
        <v>0</v>
      </c>
      <c r="V1042">
        <f>IFERROR(1/IF(Inputs!$B$4="pvp",15,MAX(0.1,Skills!D26-IF(Skills!E26=TRUE,Inputs!$B$31,0))),0)</f>
        <v/>
      </c>
    </row>
    <row r="1044">
      <c r="A1044" t="inlineStr">
        <is>
          <t>Average Buff Multiplier</t>
        </is>
      </c>
      <c r="B1044">
        <f>(1+(IF(C1019=TRUE,F1019*IF(AND(Inputs!$B$4&lt;&gt;"pvp",Inputs!$B$35&gt;0),(((S1019-1)*(Skills!S3*(1+((Inputs!$B$33+1)+IF(Inputs!$B$3&gt;=117,F1041,0))/100))+MIN((Skills!S3*(1+((Inputs!$B$33+1)+IF(Inputs!$B$3&gt;=117,F1041,0))/100)),MAX(0,Inputs!$B$35-((S1019-1)*Skills!D3))))/Inputs!$B$35),IF(Inputs!$B$4="pvp",MIN((Skills!S3*(1+((Inputs!$B$33+1)+IF(Inputs!$B$3&gt;=117,F1041,0))/100)),15)/15,(Skills!S3*(1+((Inputs!$B$33+1)+IF(Inputs!$B$3&gt;=117,F1041,0))/100))/Skills!D3)),0)+IF(C1020=TRUE,F1020*IF(AND(Inputs!$B$4&lt;&gt;"pvp",Inputs!$B$35&gt;0),(((S1020-1)*(Skills!S4*(1+((Inputs!$B$33+1)+IF(Inputs!$B$3&gt;=117,F1041,0))/100))+MIN((Skills!S4*(1+((Inputs!$B$33+1)+IF(Inputs!$B$3&gt;=117,F1041,0))/100)),MAX(0,Inputs!$B$35-((S1020-1)*Skills!D4))))/Inputs!$B$35),IF(Inputs!$B$4="pvp",MIN((Skills!S4*(1+((Inputs!$B$33+1)+IF(Inputs!$B$3&gt;=117,F1041,0))/100)),15)/15,(Skills!S4*(1+((Inputs!$B$33+1)+IF(Inputs!$B$3&gt;=117,F1041,0))/100))/Skills!D4)),0)+IF(C1021=TRUE,F1021*IF(AND(Inputs!$B$4&lt;&gt;"pvp",Inputs!$B$35&gt;0),(((S1021-1)*(Skills!S5*(1+((Inputs!$B$33+1)+IF(Inputs!$B$3&gt;=117,F1041,0))/100))+MIN((Skills!S5*(1+((Inputs!$B$33+1)+IF(Inputs!$B$3&gt;=117,F1041,0))/100)),MAX(0,Inputs!$B$35-((S1021-1)*Skills!D5))))/Inputs!$B$35),IF(Inputs!$B$4="pvp",MIN((Skills!S5*(1+((Inputs!$B$33+1)+IF(Inputs!$B$3&gt;=117,F1041,0))/100)),15)/15,(Skills!S5*(1+((Inputs!$B$33+1)+IF(Inputs!$B$3&gt;=117,F1041,0))/100))/Skills!D5)),0)+IF(C1027=TRUE,F1027*IF(AND(Inputs!$B$4&lt;&gt;"pvp",Inputs!$B$35&gt;0),(((S1027-1)*(Skills!S11*(1+((Inputs!$B$33+1)+IF(Inputs!$B$3&gt;=117,F1041,0))/100))+MIN((Skills!S11*(1+((Inputs!$B$33+1)+IF(Inputs!$B$3&gt;=117,F1041,0))/100)),MAX(0,Inputs!$B$35-((S1027-1)*Skills!D11))))/Inputs!$B$35),IF(Inputs!$B$4="pvp",MIN((Skills!S11*(1+((Inputs!$B$33+1)+IF(Inputs!$B$3&gt;=117,F1041,0))/100)),15)/15,(Skills!S11*(1+((Inputs!$B$33+1)+IF(Inputs!$B$3&gt;=117,F1041,0))/100))/Skills!D11)),0))/100)*IF(C1029=TRUE,(1+F1029*IF(AND(Inputs!$B$4&lt;&gt;"pvp",Inputs!$B$35&gt;0),(((S1029-1)*(Skills!S13*(1+((Inputs!$B$33+1)+IF(Inputs!$B$3&gt;=117,F1041,0))/100))+MIN((Skills!S13*(1+((Inputs!$B$33+1)+IF(Inputs!$B$3&gt;=117,F1041,0))/100)),MAX(0,Inputs!$B$35-((S1029-1)*Skills!D13))))/Inputs!$B$35),IF(Inputs!$B$4="pvp",MIN((Skills!S13*(1+((Inputs!$B$33+1)+IF(Inputs!$B$3&gt;=117,F1041,0))/100)),15)/15,(Skills!S13*(1+((Inputs!$B$33+1)+IF(Inputs!$B$3&gt;=117,F1041,0))/100))/Skills!D13))/100),1)*IF(C1034=TRUE,(1+F1034*IF(AND(Inputs!$B$4&lt;&gt;"pvp",Inputs!$B$35&gt;0),(((S1034-1)*(Skills!S18*(1+((Inputs!$B$33+1)+IF(Inputs!$B$3&gt;=117,F1041,0))/100))+MIN((Skills!S18*(1+((Inputs!$B$33+1)+IF(Inputs!$B$3&gt;=117,F1041,0))/100)),MAX(0,Inputs!$B$35-((S1034-1)*Skills!D18))))/Inputs!$B$35),IF(Inputs!$B$4="pvp",MIN((Skills!S18*(1+((Inputs!$B$33+1)+IF(Inputs!$B$3&gt;=117,F1041,0))/100)),15)/15,(Skills!S18*(1+((Inputs!$B$33+1)+IF(Inputs!$B$3&gt;=117,F1041,0))/100))/Skills!D18))/100),1)</f>
        <v/>
      </c>
    </row>
    <row r="1045">
      <c r="A1045" t="inlineStr">
        <is>
          <t>Monster Damage Taken Bonus % (Holy Fountain)</t>
        </is>
      </c>
      <c r="B1045">
        <f>IF(Inputs!$B$3&gt;=68,20*IF(Inputs!$B$4="pvp",MIN((15*(1+((Inputs!$B$33+1)+IF(Inputs!$B$3&gt;=117,F1041,0))/100)),15)/15,(15*(1+((Inputs!$B$33+1)+IF(Inputs!$B$3&gt;=117,F1041,0))/100))/Skills!D10),0)</f>
        <v/>
      </c>
    </row>
    <row r="1046">
      <c r="A1046" t="inlineStr">
        <is>
          <t>Normal Monster Damage Bonus % (Holy Symbol)</t>
        </is>
      </c>
      <c r="B1046">
        <f>IF(C1028=TRUE,F1028*IF(AND(Inputs!$B$4&lt;&gt;"pvp",Inputs!$B$35&gt;0),(((S1028-1)*(Skills!S12*(1+((Inputs!$B$33+1)+IF(Inputs!$B$3&gt;=117,F1041,0))/100))+MIN((Skills!S12*(1+((Inputs!$B$33+1)+IF(Inputs!$B$3&gt;=117,F1041,0))/100)),MAX(0,Inputs!$B$35-((S1028-1)*Skills!D12))))/Inputs!$B$35),IF(Inputs!$B$4="pvp",MIN((Skills!S12*(1+((Inputs!$B$33+1)+IF(Inputs!$B$3&gt;=117,F1041,0))/100)),15)/15,(Skills!S12*(1+((Inputs!$B$33+1)+IF(Inputs!$B$3&gt;=117,F1041,0))/100))/Skills!D12)),0)</f>
        <v/>
      </c>
    </row>
    <row r="1047">
      <c r="A1047" t="inlineStr">
        <is>
          <t>Damage % Bonus (Holy Symbol - Damage Boost)</t>
        </is>
      </c>
      <c r="B1047">
        <f>Skills!O12</f>
        <v/>
      </c>
    </row>
    <row r="1048">
      <c r="A1048" t="inlineStr">
        <is>
          <t>Crit Damage % Bonus (Blood of the Divine)</t>
        </is>
      </c>
      <c r="B1048">
        <f>4*IF(C1035=TRUE,F1035,0)</f>
        <v/>
      </c>
    </row>
    <row r="1049">
      <c r="A1049" t="inlineStr">
        <is>
          <t>Attack Speed Bonus %</t>
        </is>
      </c>
      <c r="B1049">
        <f>IF(C1032=TRUE,F1032+(F1036-Calc!F20),0)+IF(Inputs!$B$3&gt;=134,15,0)</f>
        <v/>
      </c>
    </row>
    <row r="1050">
      <c r="A1050" t="inlineStr">
        <is>
          <t>Actions Per Second</t>
        </is>
      </c>
      <c r="B1050">
        <f>1+MIN(150,150*(1-(1-Inputs!$B$10/150)*(1-B1049/150)))/100</f>
        <v/>
      </c>
    </row>
    <row r="1051">
      <c r="A1051" t="inlineStr">
        <is>
          <t>Skill + Buff Cast Rate</t>
        </is>
      </c>
      <c r="B1051">
        <f>IF(AND(Inputs!$B$4&lt;&gt;"pvp",Inputs!$B$35&gt;0),SUMPRODUCT((Skills!E2:E26=TRUE)*(C1018:C1042=TRUE)*S1018:S1042)/Inputs!$B$35,SUMPRODUCT((Skills!E2:E26=TRUE)*(C1018:C1042=TRUE)*V1018:V1042))</f>
        <v/>
      </c>
    </row>
    <row r="1052">
      <c r="A1052" t="inlineStr">
        <is>
          <t>Big Bang Casts Per Second</t>
        </is>
      </c>
      <c r="B1052">
        <f>MAX(0,B1050-B1051)</f>
        <v/>
      </c>
    </row>
    <row r="1054">
      <c r="A1054" s="5" t="inlineStr">
        <is>
          <t>TOTAL DPS</t>
        </is>
      </c>
      <c r="B1054" s="5">
        <f>SUM(O1018:O1042)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IF(Inputs!$B$8&gt;=100,Sensitivity!H15,Sensitivity!H14)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IF(Inputs!$B$8&gt;=100,Sensitivity!H15,Sensitivity!H14)</f>
        <v/>
      </c>
    </row>
    <row r="67">
      <c r="A67" t="inlineStr">
        <is>
          <t>ALL</t>
        </is>
      </c>
      <c r="B67" t="inlineStr">
        <is>
          <t>rare</t>
        </is>
      </c>
      <c r="C67" t="n">
        <v>2</v>
      </c>
      <c r="D67" t="inlineStr">
        <is>
          <t>Critical Rate %</t>
        </is>
      </c>
      <c r="E67" t="n">
        <v>4.5</v>
      </c>
      <c r="F67" t="n">
        <v>0.6</v>
      </c>
      <c r="G67" t="b">
        <v>1</v>
      </c>
      <c r="H67">
        <f>IF(Inputs!$B$8&gt;=100,Sensitivity!H15,Sensitivity!H14)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IF(Inputs!$B$8&gt;=100,Sensitivity!H15,Sensitivity!H14)</f>
        <v/>
      </c>
    </row>
    <row r="99">
      <c r="A99" t="inlineStr">
        <is>
          <t>ALL</t>
        </is>
      </c>
      <c r="B99" t="inlineStr">
        <is>
          <t>rare</t>
        </is>
      </c>
      <c r="C99" t="n">
        <v>3</v>
      </c>
      <c r="D99" t="inlineStr">
        <is>
          <t>Critical Rate %</t>
        </is>
      </c>
      <c r="E99" t="n">
        <v>4.5</v>
      </c>
      <c r="F99" t="n">
        <v>0.2</v>
      </c>
      <c r="G99" t="b">
        <v>1</v>
      </c>
      <c r="H99">
        <f>IF(Inputs!$B$8&gt;=100,Sensitivity!H15,Sensitivity!H14)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IF(Inputs!$B$8&gt;=100,Sensitivity!H15,Sensitivity!H14)</f>
        <v/>
      </c>
    </row>
    <row r="147">
      <c r="A147" t="inlineStr">
        <is>
          <t>ALL</t>
        </is>
      </c>
      <c r="B147" t="inlineStr">
        <is>
          <t>epic</t>
        </is>
      </c>
      <c r="C147" t="n">
        <v>2</v>
      </c>
      <c r="D147" t="inlineStr">
        <is>
          <t>Critical Rate %</t>
        </is>
      </c>
      <c r="E147" t="n">
        <v>6</v>
      </c>
      <c r="F147" t="n">
        <v>0.6</v>
      </c>
      <c r="G147" t="b">
        <v>1</v>
      </c>
      <c r="H147">
        <f>IF(Inputs!$B$8&gt;=100,Sensitivity!H15,Sensitivity!H14)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IF(Inputs!$B$8&gt;=100,Sensitivity!H15,Sensitivity!H14)</f>
        <v/>
      </c>
    </row>
    <row r="179">
      <c r="A179" t="inlineStr">
        <is>
          <t>ALL</t>
        </is>
      </c>
      <c r="B179" t="inlineStr">
        <is>
          <t>epic</t>
        </is>
      </c>
      <c r="C179" t="n">
        <v>3</v>
      </c>
      <c r="D179" t="inlineStr">
        <is>
          <t>Critical Rate %</t>
        </is>
      </c>
      <c r="E179" t="n">
        <v>6</v>
      </c>
      <c r="F179" t="n">
        <v>0.2</v>
      </c>
      <c r="G179" t="b">
        <v>1</v>
      </c>
      <c r="H179">
        <f>IF(Inputs!$B$8&gt;=100,Sensitivity!H15,Sensitivity!H14)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IF(Inputs!$B$8&gt;=100,Sensitivity!H15,Sensitivity!H14)</f>
        <v/>
      </c>
    </row>
    <row r="227">
      <c r="A227" t="inlineStr">
        <is>
          <t>ALL</t>
        </is>
      </c>
      <c r="B227" t="inlineStr">
        <is>
          <t>unique</t>
        </is>
      </c>
      <c r="C227" t="n">
        <v>2</v>
      </c>
      <c r="D227" t="inlineStr">
        <is>
          <t>Critical Rate %</t>
        </is>
      </c>
      <c r="E227" t="n">
        <v>9</v>
      </c>
      <c r="F227" t="n">
        <v>0.6</v>
      </c>
      <c r="G227" t="b">
        <v>1</v>
      </c>
      <c r="H227">
        <f>IF(Inputs!$B$8&gt;=100,Sensitivity!H15,Sensitivity!H14)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IF(Inputs!$B$8&gt;=100,Sensitivity!H15,Sensitivity!H14)</f>
        <v/>
      </c>
    </row>
    <row r="259">
      <c r="A259" t="inlineStr">
        <is>
          <t>ALL</t>
        </is>
      </c>
      <c r="B259" t="inlineStr">
        <is>
          <t>unique</t>
        </is>
      </c>
      <c r="C259" t="n">
        <v>3</v>
      </c>
      <c r="D259" t="inlineStr">
        <is>
          <t>Critical Rate %</t>
        </is>
      </c>
      <c r="E259" t="n">
        <v>9</v>
      </c>
      <c r="F259" t="n">
        <v>0.2</v>
      </c>
      <c r="G259" t="b">
        <v>1</v>
      </c>
      <c r="H259">
        <f>IF(Inputs!$B$8&gt;=100,Sensitivity!H15,Sensitivity!H14)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IF(Inputs!$B$8&gt;=100,Sensitivity!H15,Sensitivity!H14)</f>
        <v/>
      </c>
    </row>
    <row r="307">
      <c r="A307" t="inlineStr">
        <is>
          <t>ALL</t>
        </is>
      </c>
      <c r="B307" t="inlineStr">
        <is>
          <t>legendary</t>
        </is>
      </c>
      <c r="C307" t="n">
        <v>2</v>
      </c>
      <c r="D307" t="inlineStr">
        <is>
          <t>Critical Rate %</t>
        </is>
      </c>
      <c r="E307" t="n">
        <v>12</v>
      </c>
      <c r="F307" t="n">
        <v>0.6</v>
      </c>
      <c r="G307" t="b">
        <v>1</v>
      </c>
      <c r="H307">
        <f>IF(Inputs!$B$8&gt;=100,Sensitivity!H15,Sensitivity!H14)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IF(Inputs!$B$8&gt;=100,Sensitivity!H15,Sensitivity!H14)</f>
        <v/>
      </c>
    </row>
    <row r="339">
      <c r="A339" t="inlineStr">
        <is>
          <t>ALL</t>
        </is>
      </c>
      <c r="B339" t="inlineStr">
        <is>
          <t>legendary</t>
        </is>
      </c>
      <c r="C339" t="n">
        <v>3</v>
      </c>
      <c r="D339" t="inlineStr">
        <is>
          <t>Critical Rate %</t>
        </is>
      </c>
      <c r="E339" t="n">
        <v>12</v>
      </c>
      <c r="F339" t="n">
        <v>0.2</v>
      </c>
      <c r="G339" t="b">
        <v>1</v>
      </c>
      <c r="H339">
        <f>IF(Inputs!$B$8&gt;=100,Sensitivity!H15,Sensitivity!H14)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IF(Inputs!$B$8&gt;=100,Sensitivity!H15,Sensitivity!H14)</f>
        <v/>
      </c>
    </row>
    <row r="387">
      <c r="A387" t="inlineStr">
        <is>
          <t>ALL</t>
        </is>
      </c>
      <c r="B387" t="inlineStr">
        <is>
          <t>mystic</t>
        </is>
      </c>
      <c r="C387" t="n">
        <v>2</v>
      </c>
      <c r="D387" t="inlineStr">
        <is>
          <t>Critical Rate %</t>
        </is>
      </c>
      <c r="E387" t="n">
        <v>15</v>
      </c>
      <c r="F387" t="n">
        <v>0.6</v>
      </c>
      <c r="G387" t="b">
        <v>1</v>
      </c>
      <c r="H387">
        <f>IF(Inputs!$B$8&gt;=100,Sensitivity!H15,Sensitivity!H14)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IF(Inputs!$B$8&gt;=100,Sensitivity!H15,Sensitivity!H14)</f>
        <v/>
      </c>
    </row>
    <row r="419">
      <c r="A419" t="inlineStr">
        <is>
          <t>ALL</t>
        </is>
      </c>
      <c r="B419" t="inlineStr">
        <is>
          <t>mystic</t>
        </is>
      </c>
      <c r="C419" t="n">
        <v>3</v>
      </c>
      <c r="D419" t="inlineStr">
        <is>
          <t>Critical Rate %</t>
        </is>
      </c>
      <c r="E419" t="n">
        <v>15</v>
      </c>
      <c r="F419" t="n">
        <v>0.2</v>
      </c>
      <c r="G419" t="b">
        <v>1</v>
      </c>
      <c r="H419">
        <f>IF(Inputs!$B$8&gt;=100,Sensitivity!H15,Sensitivity!H14)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2026-09-16T11:58:57Z</dcterms:created>
  <dcterms:modified xsi:type="dcterms:W3CDTF">2026-09-16T11:58:57Z</dcterms:modified>
</cp:coreProperties>
</file>