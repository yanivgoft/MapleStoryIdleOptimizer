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Bishop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Invincible converts a level-scaling % (10% at Lv.1, growing with level) of it into INT,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(Invincible converts total Defense, incl. this %, into INT,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Nimble Feet/MP Eater/Blood of the Divine)</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INT</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INT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LUK</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 excludes Infinity/Blood of the Divine)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Hunt"),4860+20*Inputs!$B$42,(Inputs!$B$8*(1+(Inputs!$B$9+Summary!$B$23)/100)))))))))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verbatim w/ FP-Mage/Ice-Lightning-Mage: feeds bdi_with_buff_mastery_expr (Buff Duration Increase %) at unlock level 117 — not reflected in Inputs.</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row r="28">
      <c r="A28" t="inlineStr">
        <is>
          <t>NIMBLE_FEET</t>
        </is>
      </c>
      <c r="B28" t="inlineStr">
        <is>
          <t>Nimble Feet</t>
        </is>
      </c>
      <c r="C28" t="n">
        <v>1</v>
      </c>
      <c r="D28" t="n">
        <v>60</v>
      </c>
      <c r="E28" t="b">
        <v>1</v>
      </c>
      <c r="F28" t="n">
        <v>1</v>
      </c>
      <c r="G28" t="n">
        <v>0</v>
      </c>
      <c r="H28" t="n">
        <v>0</v>
      </c>
      <c r="I28" t="n">
        <v>100</v>
      </c>
      <c r="J28" t="n">
        <v>1</v>
      </c>
      <c r="K28" t="n">
        <v>150</v>
      </c>
      <c r="L28" t="n">
        <v>0</v>
      </c>
      <c r="M28" t="b">
        <v>0</v>
      </c>
      <c r="N28" t="n">
        <v>0</v>
      </c>
      <c r="O28" t="n">
        <v>0</v>
      </c>
      <c r="P28" t="n">
        <v>0</v>
      </c>
      <c r="Q28" t="n">
        <v>1</v>
      </c>
      <c r="R28" t="inlineStr">
        <is>
          <t>ATTACK_SPEED</t>
        </is>
      </c>
      <c r="S28" t="n">
        <v>15</v>
      </c>
      <c r="T28" t="inlineStr"/>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Bishop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0.2*Summary!$B$19</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0.15*Summary!$B$19*5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(unused — see Note on MAPLE_HERO_BISHOP row)</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$16+Summary!$B$16+Artifacts!$B$38+Artifacts!$B$36)/100)*(1+Inputs!$B$17/100)*(5000/(6000+Inputs!$B$43*(1-Inputs!$B$20/100)))*(1+Inputs!$B$25/100)*(1+Artifacts!$B$34/100)*(1+IF(C18=TRUE,F18,0)/100)*(1+IF(C20=TRUE,F20,0)/100)*(1+IF(Skills!A2="TRIUMPH_FEATHER",IF(C16=TRUE,F16,0),0)/100)*(1+IF(C27=TRUE,F27,0)/100)^5*(1+(IF(Skills!A2="BIG_BANG",Inputs!$B$18+Artifacts!$B$40,Inputs!$B$19+Artifacts!$B$39))/100)*(Summary!$B$13*I2)</f>
        <v/>
      </c>
      <c r="L2">
        <f>K2*(MIN(Inputs!$B$23,Inputs!$B$24)/100+Inputs!$B$24/100)/2</f>
        <v/>
      </c>
      <c r="M2">
        <f>L2*(1+(Inputs!$B$11+Summary!$B$17+Artifacts!$B$33)/100)</f>
        <v/>
      </c>
      <c r="N2">
        <f>L2*(1-MIN((Inputs!$B$10+Artifacts!$B$32),100)/100)+M2*(MIN((Inputs!$B$10+Artifacts!$B$32),100)/100)</f>
        <v/>
      </c>
      <c r="O2">
        <f>(1-Summary!$B$11)*S2+Summary!$B$11*U2</f>
        <v/>
      </c>
      <c r="P2">
        <f>IF(Summary!$B$3=0,0,O2/Summary!$B$3)</f>
        <v/>
      </c>
      <c r="Q2">
        <f>IFERROR(1/(IF(Inputs!$B$39="pvp",15,MAX(0.1,Skills!D2-IF(Skills!E2=TRUE,Inputs!$B$33,0)))*(1-IF(AND(ArtifactsInput!$M$27,Inputs!$B$4="Chapter Hunt"),CHOOSE(ArtifactsInput!$N$27+1,20,24,28,32,36,40),0)/100)),0)</f>
        <v/>
      </c>
      <c r="R2" t="n">
        <v>0</v>
      </c>
      <c r="S2">
        <f>IF(C2,(Skills!F2*N2*Summary!$B$21)*IF(Inputs!$B$39="pvp",1,1+(Inputs!$B$21+Skills!O2+Summary!$B$14+Artifacts!$B$35)/100)*((((5000/(6000+Inputs!$B$43*(1-(100*(1-(1-Inputs!$B$20/100)*(1-Artifacts!$B$51/100)^IF(Inputs!$B$39="pvp",1,2)))/100)))/(5000/(6000+Inputs!$B$43*(1-Inputs!$B$20/100))))*((L2*(1-MIN(100,(Inputs!$B$10+Artifacts!$B$32)+Artifacts!$B$69)/100)+M2*(MIN(100,(Inputs!$B$10+Artifacts!$B$32)+Artifacts!$B$69)/100))/(L2*(1-MIN(100,(Inputs!$B$10+Artifacts!$B$32))/100)+M2*(MIN(100,(Inputs!$B$10+Artifacts!$B$32))/100)))*(1+Artifacts!$B$81/100))),0)</f>
        <v/>
      </c>
      <c r="U2">
        <f>IF(C2,(Skills!F2*N2*Summary!$B$21)*IF(Inputs!$B$39="pvp",1,(1+(Inputs!$B$22+Skills!P2+Summary!$B$15+Artifacts!$B$80)/100)*(MIN(Skills!Q2,Inputs!$B$38)))*((1+Artifacts!$B$53/100)),0)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IFERROR(1/(IF(Inputs!$B$39="pvp",15,MAX(0.1,Skills!D3-IF(Skills!E3=TRUE,Inputs!$B$33,0)))*(1-IF(AND(ArtifactsInput!$M$27,Inputs!$B$4="Chapter Hunt"),CHOOSE(ArtifactsInput!$N$27+1,20,24,28,32,36,40),0)/100)),0)</f>
        <v/>
      </c>
      <c r="R3">
        <f>IF(AND(Inputs!$B$39&lt;&gt;"pvp",Inputs!$B$44&gt;0),IF(Inputs!$B$44&lt;=0,0,(INT(Inputs!$B$44/(IF(Inputs!$B$39="pvp",15,MAX(0.1,Skills!D3-IF(Skills!E3=TRUE,Inputs!$B$33,0)))*(1-IF(AND(ArtifactsInput!$M$27,Inputs!$B$4="Chapter Hunt"),CHOOSE(ArtifactsInput!$N$27+1,20,24,28,32,36,40),0)/100)))+1)),0)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IFERROR(1/(IF(Inputs!$B$39="pvp",15,MAX(0.1,Skills!D4-IF(Skills!E4=TRUE,Inputs!$B$33,0)))*(1-IF(AND(ArtifactsInput!$M$27,Inputs!$B$4="Chapter Hunt"),CHOOSE(ArtifactsInput!$N$27+1,20,24,28,32,36,40),0)/100)),0)</f>
        <v/>
      </c>
      <c r="R4">
        <f>IF(AND(Inputs!$B$39&lt;&gt;"pvp",Inputs!$B$44&gt;0),IF(Inputs!$B$44&lt;=0,0,(INT(Inputs!$B$44/(IF(Inputs!$B$39="pvp",15,MAX(0.1,Skills!D4-IF(Skills!E4=TRUE,Inputs!$B$33,0)))*(1-IF(AND(ArtifactsInput!$M$27,Inputs!$B$4="Chapter Hunt"),CHOOSE(ArtifactsInput!$N$27+1,20,24,28,32,36,40),0)/100)))+1)),0)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f>(1-Summary!$B$11)*S5+Summary!$B$11*U5</f>
        <v/>
      </c>
      <c r="P5">
        <f>IF(Summary!$B$3=0,0,O5/Summary!$B$3)</f>
        <v/>
      </c>
      <c r="Q5">
        <f>IFERROR(1/(IF(Inputs!$B$39="pvp",15,MAX(0.1,Skills!D5-IF(Skills!E5=TRUE,Inputs!$B$33,0)))*(1-IF(AND(ArtifactsInput!$M$27,Inputs!$B$4="Chapter Hunt"),CHOOSE(ArtifactsInput!$N$27+1,20,24,28,32,36,40),0)/100)),0)</f>
        <v/>
      </c>
      <c r="R5">
        <f>IF(AND(Inputs!$B$39&lt;&gt;"pvp",Inputs!$B$44&gt;0),IF(Inputs!$B$44&lt;=0,0,(INT(Inputs!$B$44/(IF(Inputs!$B$39="pvp",15,MAX(0.1,Skills!D5-IF(Skills!E5=TRUE,Inputs!$B$33,0)))*(1-IF(AND(ArtifactsInput!$M$27,Inputs!$B$4="Chapter Hunt"),CHOOSE(ArtifactsInput!$N$27+1,20,24,28,32,36,40),0)/100)))+1)),0)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$16+Summary!$B$16+Artifacts!$B$38+Artifacts!$B$36)/100)*(1+Inputs!$B$17/100)*(5000/(6000+Inputs!$B$43*(1-Inputs!$B$20/100)))*(1+Inputs!$B$25/100)*(1+Artifacts!$B$34/100)*(1+IF(C18=TRUE,F18,0)/100)*(1+IF(C20=TRUE,F20,0)/100)*(1+IF(Skills!A6="TRIUMPH_FEATHER",IF(C16=TRUE,F16,0),0)/100)*(1+IF(C27=TRUE,F27,0)/100)^5*(1+(IF(Skills!A6="BIG_BANG",Inputs!$B$18+Artifacts!$B$40,Inputs!$B$19+Artifacts!$B$39))/100)*(Summary!$B$13*I6)</f>
        <v/>
      </c>
      <c r="L6">
        <f>K6*(MIN(Inputs!$B$23,Inputs!$B$24)/100+Inputs!$B$24/100)/2</f>
        <v/>
      </c>
      <c r="M6">
        <f>L6*(1+(Inputs!$B$11+Summary!$B$17+Artifacts!$B$33)/100)</f>
        <v/>
      </c>
      <c r="N6">
        <f>L6*(1-MIN((Inputs!$B$10+Artifacts!$B$32),100)/100)+M6*(MIN((Inputs!$B$10+Artifacts!$B$32),100)/100)</f>
        <v/>
      </c>
      <c r="O6">
        <f>(1-Summary!$B$11)*S6+Summary!$B$11*U6</f>
        <v/>
      </c>
      <c r="P6">
        <f>IF(Summary!$B$3=0,0,O6/Summary!$B$3)</f>
        <v/>
      </c>
      <c r="Q6">
        <f>IFERROR(1/(IF(Inputs!$B$39="pvp",15,MAX(0.1,Skills!D6-IF(Skills!E6=TRUE,Inputs!$B$33,0)))*(1-IF(AND(ArtifactsInput!$M$27,Inputs!$B$4="Chapter Hunt"),CHOOSE(ArtifactsInput!$N$27+1,20,24,28,32,36,40),0)/100)),0)</f>
        <v/>
      </c>
      <c r="R6">
        <f>IF(AND(Inputs!$B$39&lt;&gt;"pvp",Inputs!$B$44&gt;0),IF(MAX(0,Inputs!$B$44-Summary!$B$24)&lt;=0,0,(INT(MAX(0,Inputs!$B$44-Summary!$B$24)/(IF(Inputs!$B$39="pvp",15,MAX(0.1,Skills!D6-IF(Skills!E6=TRUE,Inputs!$B$33,0)))*(1-IF(AND(ArtifactsInput!$M$27,Inputs!$B$4="Chapter Hunt"),CHOOSE(ArtifactsInput!$N$27+1,20,24,28,32,36,40),0)/100)))+1)),0)</f>
        <v/>
      </c>
      <c r="S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$21+Skills!O6+Summary!$B$14+Artifacts!$B$35)/100)*((((5000/(6000+Inputs!$B$43*(1-(100*(1-(1-Inputs!$B$20/100)*(1-Artifacts!$B$51/100)^IF(Inputs!$B$39="pvp",1,2)))/100)))/(5000/(6000+Inputs!$B$43*(1-Inputs!$B$20/100))))*((L6*(1-MIN(100,(Inputs!$B$10+Artifacts!$B$32)+Artifacts!$B$69)/100)+M6*(MIN(100,(Inputs!$B$10+Artifacts!$B$32)+Artifacts!$B$69)/100))/(L6*(1-MIN(100,(Inputs!$B$10+Artifacts!$B$32))/100)+M6*(MIN(100,(Inputs!$B$10+Artifacts!$B$32))/100)))*(1+Artifacts!$B$81/100))),0)</f>
        <v/>
      </c>
      <c r="U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Hunt"),CHOOSE(ArtifactsInput!$N$27+1,20,24,28,32,36,40),0)/100)))))/Skills!G6,1)))/Inputs!$B$44),G6*Q6))*IF(Inputs!$B$39="pvp",1,(1+(Inputs!$B$22+Skills!P6+Summary!$B$15+Artifacts!$B$80)/100)*(MIN(Skills!Q6,Inputs!$B$38)))*((1+Artifacts!$B$53/100)),0)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$16+Summary!$B$16+Artifacts!$B$38+Artifacts!$B$36)/100)*(1+Inputs!$B$17/100)*(5000/(6000+Inputs!$B$43*(1-Inputs!$B$20/100)))*(1+Inputs!$B$25/100)*(1+Artifacts!$B$34/100)*(1+IF(C18=TRUE,F18,0)/100)*(1+IF(C20=TRUE,F20,0)/100)*(1+IF(Skills!A7="TRIUMPH_FEATHER",IF(C16=TRUE,F16,0),0)/100)*(1+IF(C27=TRUE,F27,0)/100)^5*(1+(IF(Skills!A7="BIG_BANG",Inputs!$B$18+Artifacts!$B$40,Inputs!$B$19+Artifacts!$B$39))/100)*(Summary!$B$13*I7)</f>
        <v/>
      </c>
      <c r="L7">
        <f>K7*(MIN(Inputs!$B$23,Inputs!$B$24)/100+Inputs!$B$24/100)/2</f>
        <v/>
      </c>
      <c r="M7">
        <f>L7*(1+(Inputs!$B$11+Summary!$B$17+Artifacts!$B$33)/100)</f>
        <v/>
      </c>
      <c r="N7">
        <f>L7*(1-MIN((Inputs!$B$10+Artifacts!$B$32),100)/100)+M7*(MIN((Inputs!$B$10+Artifacts!$B$32),100)/100)</f>
        <v/>
      </c>
      <c r="O7">
        <f>(1-Summary!$B$11)*S7+Summary!$B$11*U7</f>
        <v/>
      </c>
      <c r="P7">
        <f>IF(Summary!$B$3=0,0,O7/Summary!$B$3)</f>
        <v/>
      </c>
      <c r="Q7">
        <f>IFERROR(1/(IF(Inputs!$B$39="pvp",15,MAX(0.1,Skills!D7-IF(Skills!E6=TRUE,Inputs!$B$33,0)))*(1-IF(AND(ArtifactsInput!$M$27,Inputs!$B$4="Chapter Hunt"),CHOOSE(ArtifactsInput!$N$27+1,20,24,28,32,36,40),0)/100)),0)</f>
        <v/>
      </c>
      <c r="R7">
        <f>IF(AND(Inputs!$B$39&lt;&gt;"pvp",Inputs!$B$44&gt;0),IF(MAX(0,Inputs!$B$44-Summary!$B$24)&lt;=0,0,(INT(MAX(0,Inputs!$B$44-Summary!$B$24)/(IF(Inputs!$B$39="pvp",15,MAX(0.1,Skills!D7-IF(Skills!E6=TRUE,Inputs!$B$33,0)))*(1-IF(AND(ArtifactsInput!$M$27,Inputs!$B$4="Chapter Hunt"),CHOOSE(ArtifactsInput!$N$27+1,20,24,28,32,36,40),0)/100)))+1)),0)</f>
        <v/>
      </c>
      <c r="S7">
        <f>IF(C7,H7*N7*IF(AND(Inputs!$B$39&lt;&gt;"pvp",Inputs!$B$44&gt;0),((Skills!F7*((R7-1)*IF(Skills!G7&gt;0,Skills!H7/Skills!G7,1)+IF(Skills!G7&gt;0,MIN(Skills!H7,MAX(0,MAX(0,Inputs!$B$44-Summary!$B$24)-((R7-1)*(IF(Inputs!$B$39="pvp",15,MAX(0.1,Skills!D7-IF(Skills!E6=TRUE,Inputs!$B$33,0)))*(1-IF(AND(ArtifactsInput!$M$27,Inputs!$B$4="Chapter Hunt"),CHOOSE(ArtifactsInput!$N$27+1,20,24,28,32,36,40),0)/100)))))/Skills!G7,1)))/Inputs!$B$44),G7*Q7)*IF(Inputs!$B$39="pvp",1,1+(Inputs!$B$21+Skills!O7+Summary!$B$14+Artifacts!$B$35)/100)*(((5000/(6000+Inputs!$B$43*(1-(100*(1-(1-Inputs!$B$20/100)*(1-Artifacts!$B$51/100)^IF(Inputs!$B$39="pvp",1,2)))/100)))/(5000/(6000+Inputs!$B$43*(1-Inputs!$B$20/100))))*((L7*(1-MIN(100,(Inputs!$B$10+Artifacts!$B$32)+Artifacts!$B$69)/100)+M7*(MIN(100,(Inputs!$B$10+Artifacts!$B$32)+Artifacts!$B$69)/100))/(L7*(1-MIN(100,(Inputs!$B$10+Artifacts!$B$32))/100)+M7*(MIN(100,(Inputs!$B$10+Artifacts!$B$32))/100)))*(1+Artifacts!$B$81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$16+Summary!$B$16+Artifacts!$B$38+Artifacts!$B$36)/100)*(1+Inputs!$B$17/100)*(5000/(6000+Inputs!$B$43*(1-Inputs!$B$20/100)))*(1+Inputs!$B$25/100)*(1+Artifacts!$B$34/100)*(1+IF(C18=TRUE,F18,0)/100)*(1+IF(C20=TRUE,F20,0)/100)*(1+IF(Skills!A8="TRIUMPH_FEATHER",IF(C16=TRUE,F16,0),0)/100)*(1+IF(C27=TRUE,F27,0)/100)^5*(1+(IF(Skills!A8="BIG_BANG",Inputs!$B$18+Artifacts!$B$40,Inputs!$B$19+Artifacts!$B$39))/100)*(Summary!$B$13*I8)</f>
        <v/>
      </c>
      <c r="L8">
        <f>K8*(MIN(Inputs!$B$23,Inputs!$B$24)/100+Inputs!$B$24/100)/2</f>
        <v/>
      </c>
      <c r="M8">
        <f>L8*(1+(Inputs!$B$11+Summary!$B$17+Artifacts!$B$33)/100)</f>
        <v/>
      </c>
      <c r="N8">
        <f>L8*(1-MIN((Inputs!$B$10+Artifacts!$B$32),100)/100)+M8*(MIN((Inputs!$B$10+Artifacts!$B$32),100)/100)</f>
        <v/>
      </c>
      <c r="O8">
        <f>(1-Summary!$B$11)*S8+Summary!$B$11*U8</f>
        <v/>
      </c>
      <c r="P8">
        <f>IF(Summary!$B$3=0,0,O8/Summary!$B$3)</f>
        <v/>
      </c>
      <c r="Q8">
        <f>IFERROR(1/(IF(Inputs!$B$39="pvp",15,MAX(0.1,Skills!D8-IF(Skills!E8=TRUE,Inputs!$B$33,0)))*(1-IF(AND(ArtifactsInput!$M$27,Inputs!$B$4="Chapter Hunt"),CHOOSE(ArtifactsInput!$N$27+1,20,24,28,32,36,40),0)/100)),0)</f>
        <v/>
      </c>
      <c r="R8">
        <f>IF(AND(Inputs!$B$39&lt;&gt;"pvp",Inputs!$B$44&gt;0),IF(MAX(0,Inputs!$B$44-Summary!$B$24)&lt;=0,0,(INT(MAX(0,Inputs!$B$44-Summary!$B$24)/(IF(Inputs!$B$39="pvp",15,MAX(0.1,Skills!D8-IF(Skills!E8=TRUE,Inputs!$B$33,0)))*(1-IF(AND(ArtifactsInput!$M$27,Inputs!$B$4="Chapter Hunt"),CHOOSE(ArtifactsInput!$N$27+1,20,24,28,32,36,40),0)/100)))+1)),0)</f>
        <v/>
      </c>
      <c r="S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$21+Skills!O8+Summary!$B$14+Artifacts!$B$35)/100)*((((5000/(6000+Inputs!$B$43*(1-(100*(1-(1-Inputs!$B$20/100)*(1-Artifacts!$B$51/100)^IF(Inputs!$B$39="pvp",1,2)))/100)))/(5000/(6000+Inputs!$B$43*(1-Inputs!$B$20/100))))*((L8*(1-MIN(100,(Inputs!$B$10+Artifacts!$B$32)+Artifacts!$B$69)/100)+M8*(MIN(100,(Inputs!$B$10+Artifacts!$B$32)+Artifacts!$B$69)/100))/(L8*(1-MIN(100,(Inputs!$B$10+Artifacts!$B$32))/100)+M8*(MIN(100,(Inputs!$B$10+Artifacts!$B$32))/100)))*(1+Artifacts!$B$81/100))),0)</f>
        <v/>
      </c>
      <c r="U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Hunt"),CHOOSE(ArtifactsInput!$N$27+1,20,24,28,32,36,40),0)/100)))))/Skills!G8,1)))/Inputs!$B$44),G8*Q8))*IF(Inputs!$B$39="pvp",1,(1+(Inputs!$B$22+Skills!P8+Summary!$B$15+Artifacts!$B$80)/100)*(MIN(Skills!Q8,Inputs!$B$38)))*((1+Artifacts!$B$53/100)),0)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$16+Summary!$B$16+Artifacts!$B$38+Artifacts!$B$36)/100)*(1+Inputs!$B$17/100)*(5000/(6000+Inputs!$B$43*(1-Inputs!$B$20/100)))*(1+Inputs!$B$25/100)*(1+Artifacts!$B$34/100)*(1+IF(C18=TRUE,F18,0)/100)*(1+IF(C20=TRUE,F20,0)/100)*(1+IF(Skills!A9="TRIUMPH_FEATHER",IF(C16=TRUE,F16,0),0)/100)*(1+IF(C27=TRUE,F27,0)/100)^5*(1+(IF(Skills!A9="BIG_BANG",Inputs!$B$18+Artifacts!$B$40,Inputs!$B$19+Artifacts!$B$39))/100)*(Summary!$B$13*I9)</f>
        <v/>
      </c>
      <c r="L9">
        <f>K9*(MIN(Inputs!$B$23,Inputs!$B$24)/100+Inputs!$B$24/100)/2</f>
        <v/>
      </c>
      <c r="M9">
        <f>L9*(1+(Inputs!$B$11+Summary!$B$17+Artifacts!$B$33)/100)</f>
        <v/>
      </c>
      <c r="N9">
        <f>L9*(1-MIN((Inputs!$B$10+Artifacts!$B$32),100)/100)+M9*(MIN((Inputs!$B$10+Artifacts!$B$32),100)/100)</f>
        <v/>
      </c>
      <c r="O9">
        <f>(1-Summary!$B$11)*S9+Summary!$B$11*U9</f>
        <v/>
      </c>
      <c r="P9">
        <f>IF(Summary!$B$3=0,0,O9/Summary!$B$3)</f>
        <v/>
      </c>
      <c r="Q9">
        <f>IFERROR(1/(IF(Inputs!$B$39="pvp",15,MAX(0.1,Skills!D9-IF(Skills!E9=TRUE,Inputs!$B$33,0)))*(1-IF(AND(ArtifactsInput!$M$27,Inputs!$B$4="Chapter Hunt"),CHOOSE(ArtifactsInput!$N$27+1,20,24,28,32,36,40),0)/100)),0)</f>
        <v/>
      </c>
      <c r="R9">
        <f>IF(AND(Inputs!$B$39&lt;&gt;"pvp",Inputs!$B$44&gt;0),IF(MAX(0,Inputs!$B$44-Summary!$B$24)&lt;=0,0,(INT(MAX(0,Inputs!$B$44-Summary!$B$24)/(IF(Inputs!$B$39="pvp",15,MAX(0.1,Skills!D9-IF(Skills!E9=TRUE,Inputs!$B$33,0)))*(1-IF(AND(ArtifactsInput!$M$27,Inputs!$B$4="Chapter Hunt"),CHOOSE(ArtifactsInput!$N$27+1,20,24,28,32,36,40),0)/100)))+1)),0)</f>
        <v/>
      </c>
      <c r="S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$21+Skills!O9+Summary!$B$14+Artifacts!$B$35)/100)*((((5000/(6000+Inputs!$B$43*(1-(100*(1-(1-Inputs!$B$20/100)*(1-Artifacts!$B$51/100)^IF(Inputs!$B$39="pvp",1,2)))/100)))/(5000/(6000+Inputs!$B$43*(1-Inputs!$B$20/100))))*((L9*(1-MIN(100,(Inputs!$B$10+Artifacts!$B$32)+Artifacts!$B$69)/100)+M9*(MIN(100,(Inputs!$B$10+Artifacts!$B$32)+Artifacts!$B$69)/100))/(L9*(1-MIN(100,(Inputs!$B$10+Artifacts!$B$32))/100)+M9*(MIN(100,(Inputs!$B$10+Artifacts!$B$32))/100)))*(1+Artifacts!$B$81/100))),0)</f>
        <v/>
      </c>
      <c r="U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Hunt"),CHOOSE(ArtifactsInput!$N$27+1,20,24,28,32,36,40),0)/100)))))/Skills!G9,1)))/Inputs!$B$44),G9*Q9))*IF(Inputs!$B$39="pvp",1,(1+(Inputs!$B$22+Skills!P9+Summary!$B$15+Artifacts!$B$80)/100)*(MIN(Skills!Q9,Inputs!$B$38)))*((1+Artifacts!$B$53/100)),0)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f>(1-Summary!$B$11)*S10+Summary!$B$11*U10</f>
        <v/>
      </c>
      <c r="P10">
        <f>IF(Summary!$B$3=0,0,O10/Summary!$B$3)</f>
        <v/>
      </c>
      <c r="Q10">
        <f>IFERROR(1/(IF(Inputs!$B$39="pvp",15,MAX(0.1,Skills!D10-IF(Skills!E10=TRUE,Inputs!$B$33,0)))*(1-IF(AND(ArtifactsInput!$M$27,Inputs!$B$4="Chapter Hunt"),CHOOSE(ArtifactsInput!$N$27+1,20,24,28,32,36,40),0)/100)),0)</f>
        <v/>
      </c>
      <c r="R10">
        <f>IF(AND(Inputs!$B$39&lt;&gt;"pvp",Inputs!$B$44&gt;0),IF(MAX(0,Inputs!$B$44-Summary!$B$24)&lt;=0,0,(INT(MAX(0,Inputs!$B$44-Summary!$B$24)/(IF(Inputs!$B$39="pvp",15,MAX(0.1,Skills!D10-IF(Skills!E10=TRUE,Inputs!$B$33,0)))*(1-IF(AND(ArtifactsInput!$M$27,Inputs!$B$4="Chapter Hunt"),CHOOSE(ArtifactsInput!$N$27+1,20,24,28,32,36,40),0)/100)))+1)),0)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f>(1-Summary!$B$11)*S11+Summary!$B$11*U11</f>
        <v/>
      </c>
      <c r="P11">
        <f>IF(Summary!$B$3=0,0,O11/Summary!$B$3)</f>
        <v/>
      </c>
      <c r="Q11">
        <f>IFERROR(1/(IF(Inputs!$B$39="pvp",15,MAX(0.1,Skills!D11-IF(Skills!E11=TRUE,Inputs!$B$33,0)))*(1-IF(AND(ArtifactsInput!$M$27,Inputs!$B$4="Chapter Hunt"),CHOOSE(ArtifactsInput!$N$27+1,20,24,28,32,36,40),0)/100)),0)</f>
        <v/>
      </c>
      <c r="R11">
        <f>IF(AND(Inputs!$B$39&lt;&gt;"pvp",Inputs!$B$44&gt;0),IF(Inputs!$B$44&lt;=0,0,(INT(Inputs!$B$44/(IF(Inputs!$B$39="pvp",15,MAX(0.1,Skills!D11-IF(Skills!E11=TRUE,Inputs!$B$33,0)))*(1-IF(AND(ArtifactsInput!$M$27,Inputs!$B$4="Chapter Hunt"),CHOOSE(ArtifactsInput!$N$27+1,20,24,28,32,36,40),0)/100)))+1)),0)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f>(1-Summary!$B$11)*S12+Summary!$B$11*U12</f>
        <v/>
      </c>
      <c r="P12">
        <f>IF(Summary!$B$3=0,0,O12/Summary!$B$3)</f>
        <v/>
      </c>
      <c r="Q12">
        <f>IFERROR(1/(IF(Inputs!$B$39="pvp",15,MAX(0.1,Skills!D12-IF(Skills!E12=TRUE,Inputs!$B$33,0)))*(1-IF(AND(ArtifactsInput!$M$27,Inputs!$B$4="Chapter Hunt"),CHOOSE(ArtifactsInput!$N$27+1,20,24,28,32,36,40),0)/100)),0)</f>
        <v/>
      </c>
      <c r="R12">
        <f>IF(AND(Inputs!$B$39&lt;&gt;"pvp",Inputs!$B$44&gt;0),IF(MAX(0,Inputs!$B$44-Summary!$B$24)&lt;=0,0,(INT(MAX(0,Inputs!$B$44-Summary!$B$24)/(IF(Inputs!$B$39="pvp",15,MAX(0.1,Skills!D12-IF(Skills!E12=TRUE,Inputs!$B$33,0)))*(1-IF(AND(ArtifactsInput!$M$27,Inputs!$B$4="Chapter Hunt"),CHOOSE(ArtifactsInput!$N$27+1,20,24,28,32,36,40),0)/100)))+1)),0)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IFERROR(1/(IF(Inputs!$B$39="pvp",15,MAX(0.1,Skills!D13-IF(Skills!E13=TRUE,Inputs!$B$33,0)))*(1-IF(AND(ArtifactsInput!$M$27,Inputs!$B$4="Chapter Hunt"),CHOOSE(ArtifactsInput!$N$27+1,20,24,28,32,36,40),0)/100)),0)</f>
        <v/>
      </c>
      <c r="R13">
        <f>IF(AND(Inputs!$B$39&lt;&gt;"pvp",Inputs!$B$44&gt;0),IF(MAX(0,Inputs!$B$44-Summary!$B$24)&lt;=0,0,(INT(MAX(0,Inputs!$B$44-Summary!$B$24)/(IF(Inputs!$B$39="pvp",15,MAX(0.1,Skills!D13-IF(Skills!E13=TRUE,Inputs!$B$33,0)))*(1-IF(AND(ArtifactsInput!$M$27,Inputs!$B$4="Chapter Hunt"),CHOOSE(ArtifactsInput!$N$27+1,20,24,28,32,36,40),0)/100)))+1)),0)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IFERROR(1/(IF(Inputs!$B$39="pvp",15,MAX(0.1,Skills!D14-IF(Skills!E14=TRUE,Inputs!$B$33,0)))*(1-IF(AND(ArtifactsInput!$M$27,Inputs!$B$4="Chapter Hunt"),CHOOSE(ArtifactsInput!$N$27+1,20,24,28,32,36,40),0)/100)),0)</f>
        <v/>
      </c>
      <c r="R14">
        <f>IF(AND(Inputs!$B$39&lt;&gt;"pvp",Inputs!$B$44&gt;0),IF(Inputs!$B$44&lt;=0,0,(INT(Inputs!$B$44/(IF(Inputs!$B$39="pvp",15,MAX(0.1,Skills!D14-IF(Skills!E14=TRUE,Inputs!$B$33,0)))*(1-IF(AND(ArtifactsInput!$M$27,Inputs!$B$4="Chapter Hunt"),CHOOSE(ArtifactsInput!$N$27+1,20,24,28,32,36,40),0)/100)))+1)),0)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Summary!$B$6*(F15/100)</f>
        <v/>
      </c>
      <c r="K15">
        <f>J15*(1+Summary!$B$7/100)*(1+(Inputs!$B$16+Summary!$B$16+Artifacts!$B$38+Artifacts!$B$36)/100)*(1+Inputs!$B$17/100)*(5000/(6000+Inputs!$B$43*(1-Inputs!$B$20/100)))*(1+Inputs!$B$25/100)*(1+Artifacts!$B$34/100)*(1+IF(C18=TRUE,F18,0)/100)*(1+IF(C20=TRUE,F20,0)/100)*(1+IF(Skills!A15="TRIUMPH_FEATHER",IF(C16=TRUE,F16,0),0)/100)*(1+IF(C27=TRUE,F27,0)/100)^5*(1+(IF(Skills!A15="BIG_BANG",Inputs!$B$18+Artifacts!$B$40,Inputs!$B$19+Artifacts!$B$39))/100)*(Summary!$B$13*I15)</f>
        <v/>
      </c>
      <c r="L15">
        <f>K15*(MIN(Inputs!$B$23,Inputs!$B$24)/100+Inputs!$B$24/100)/2</f>
        <v/>
      </c>
      <c r="M15">
        <f>L15*(1+(Inputs!$B$11+Summary!$B$17+Artifacts!$B$33)/100)</f>
        <v/>
      </c>
      <c r="N15">
        <f>L15*(1-MIN((Inputs!$B$10+Artifacts!$B$32),100)/100)+M15*(MIN((Inputs!$B$10+Artifacts!$B$32),100)/100)</f>
        <v/>
      </c>
      <c r="O15">
        <f>(1-Summary!$B$11)*S15+Summary!$B$11*U15</f>
        <v/>
      </c>
      <c r="P15">
        <f>IF(Summary!$B$3=0,0,O15/Summary!$B$3)</f>
        <v/>
      </c>
      <c r="Q15">
        <f>IFERROR(1/(IF(Inputs!$B$39="pvp",15,MAX(0.1,Skills!D15-IF(Skills!E15=TRUE,Inputs!$B$33,0)))*(1-IF(AND(ArtifactsInput!$M$27,Inputs!$B$4="Chapter Hunt"),CHOOSE(ArtifactsInput!$N$27+1,20,24,28,32,36,40),0)/100)),0)</f>
        <v/>
      </c>
      <c r="R15" t="n">
        <v>0</v>
      </c>
      <c r="S15">
        <f>IF(C15,(Skills!F15*N15*((IF(Inputs!$B$3&gt;=78,25,15)/100*Summary!$B$19*10)/(1+IF(Inputs!$B$3&gt;=78,25,15)/100*Summary!$B$19*10))*(Skills!I15/100*Summary!$B$19)/(1+Skills!G15*Skills!I15/100*Summary!$B$19))*IF(Inputs!$B$39="pvp",1,1+(Inputs!$B$21+Skills!O15+Summary!$B$14+Artifacts!$B$35)/100)*((((5000/(6000+Inputs!$B$43*(1-(100*(1-(1-Inputs!$B$20/100)*(1-Artifacts!$B$51/100)^IF(Inputs!$B$39="pvp",1,2)))/100)))/(5000/(6000+Inputs!$B$43*(1-Inputs!$B$20/100))))*((L15*(1-MIN(100,(Inputs!$B$10+Artifacts!$B$32)+Artifacts!$B$69)/100)+M15*(MIN(100,(Inputs!$B$10+Artifacts!$B$32)+Artifacts!$B$69)/100))/(L15*(1-MIN(100,(Inputs!$B$10+Artifacts!$B$32))/100)+M15*(MIN(100,(Inputs!$B$10+Artifacts!$B$32))/100)))*(1+Artifacts!$B$81/100))),0)</f>
        <v/>
      </c>
      <c r="U15">
        <f>IF(C15,(Skills!F15*N15*((IF(Inputs!$B$3&gt;=78,25,15)/100*Summary!$B$19*10)/(1+IF(Inputs!$B$3&gt;=78,25,15)/100*Summary!$B$19*10))*(Skills!I15/100*Summary!$B$19)/(1+Skills!G15*Skills!I15/100*Summary!$B$19))*IF(Inputs!$B$39="pvp",1,(1+(Inputs!$B$22+Skills!P15+Summary!$B$15+Artifacts!$B$80)/100)*(MIN(Skills!Q15,Inputs!$B$38)))*((1+Artifacts!$B$53/100)),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IFERROR(1/(IF(Inputs!$B$39="pvp",15,MAX(0.1,Skills!D16-IF(Skills!E16=TRUE,Inputs!$B$33,0)))*(1-IF(AND(ArtifactsInput!$M$27,Inputs!$B$4="Chapter Hunt"),CHOOSE(ArtifactsInput!$N$27+1,20,24,28,32,36,40),0)/100)),0)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IFERROR(1/(IF(Inputs!$B$39="pvp",15,MAX(0.1,Skills!D17-IF(Skills!E17=TRUE,Inputs!$B$33,0)))*(1-IF(AND(ArtifactsInput!$M$27,Inputs!$B$4="Chapter Hunt"),CHOOSE(ArtifactsInput!$N$27+1,20,24,28,32,36,40),0)/100)),0)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IFERROR(1/(IF(Inputs!$B$39="pvp",15,MAX(0.1,Skills!D18-IF(Skills!E18=TRUE,Inputs!$B$33,0)))*(1-IF(AND(ArtifactsInput!$M$27,Inputs!$B$4="Chapter Hunt"),CHOOSE(ArtifactsInput!$N$27+1,20,24,28,32,36,40),0)/100)),0)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IFERROR(1/(IF(Inputs!$B$39="pvp",15,MAX(0.1,Skills!D19-IF(Skills!E19=TRUE,Inputs!$B$33,0)))*(1-IF(AND(ArtifactsInput!$M$27,Inputs!$B$4="Chapter Hunt"),CHOOSE(ArtifactsInput!$N$27+1,20,24,28,32,36,40),0)/100)),0)</f>
        <v/>
      </c>
      <c r="R19">
        <f>IF(AND(Inputs!$B$39&lt;&gt;"pvp",Inputs!$B$44&gt;0),IF(Inputs!$B$44&lt;=0,0,(INT(Inputs!$B$44/(IF(Inputs!$B$39="pvp",15,MAX(0.1,Skills!D19-IF(Skills!E19=TRUE,Inputs!$B$33,0)))*(1-IF(AND(ArtifactsInput!$M$27,Inputs!$B$4="Chapter Hunt"),CHOOSE(ArtifactsInput!$N$27+1,20,24,28,32,36,40),0)/100)))+1)),0)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IFERROR(1/(IF(Inputs!$B$39="pvp",15,MAX(0.1,Skills!D20-IF(Skills!E20=TRUE,Inputs!$B$33,0)))*(1-IF(AND(ArtifactsInput!$M$27,Inputs!$B$4="Chapter Hunt"),CHOOSE(ArtifactsInput!$N$27+1,20,24,28,32,36,40),0)/100)),0)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IFERROR(1/(IF(Inputs!$B$39="pvp",15,MAX(0.1,Skills!D21-IF(Skills!E21=TRUE,Inputs!$B$33,0)))*(1-IF(AND(ArtifactsInput!$M$27,Inputs!$B$4="Chapter Hunt"),CHOOSE(ArtifactsInput!$N$27+1,20,24,28,32,36,40),0)/100)),0)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IFERROR(1/(IF(Inputs!$B$39="pvp",15,MAX(0.1,Skills!D22-IF(Skills!E22=TRUE,Inputs!$B$33,0)))*(1-IF(AND(ArtifactsInput!$M$27,Inputs!$B$4="Chapter Hunt"),CHOOSE(ArtifactsInput!$N$27+1,20,24,28,32,36,40),0)/100)),0)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IFERROR(1/(IF(Inputs!$B$39="pvp",15,MAX(0.1,Skills!D23-IF(Skills!E23=TRUE,Inputs!$B$33,0)))*(1-IF(AND(ArtifactsInput!$M$27,Inputs!$B$4="Chapter Hunt"),CHOOSE(ArtifactsInput!$N$27+1,20,24,28,32,36,40),0)/100)),0)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IFERROR(1/(IF(Inputs!$B$39="pvp",15,MAX(0.1,Skills!D24-IF(Skills!E24=TRUE,Inputs!$B$33,0)))*(1-IF(AND(ArtifactsInput!$M$27,Inputs!$B$4="Chapter Hunt"),CHOOSE(ArtifactsInput!$N$27+1,20,24,28,32,36,40),0)/100)),0)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f>(1-Summary!$B$11)*S25+Summary!$B$11*U25</f>
        <v/>
      </c>
      <c r="P25">
        <f>IF(Summary!$B$3=0,0,O25/Summary!$B$3)</f>
        <v/>
      </c>
      <c r="Q25">
        <f>IFERROR(1/(IF(Inputs!$B$39="pvp",15,MAX(0.1,Skills!D25-IF(Skills!E25=TRUE,Inputs!$B$33,0)))*(1-IF(AND(ArtifactsInput!$M$27,Inputs!$B$4="Chapter Hunt"),CHOOSE(ArtifactsInput!$N$27+1,20,24,28,32,36,40),0)/100)),0)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f>(1-Summary!$B$11)*S26+Summary!$B$11*U26</f>
        <v/>
      </c>
      <c r="P26">
        <f>IF(Summary!$B$3=0,0,O26/Summary!$B$3)</f>
        <v/>
      </c>
      <c r="Q26">
        <f>IFERROR(1/(IF(Inputs!$B$39="pvp",15,MAX(0.1,Skills!D26-IF(Skills!E26=TRUE,Inputs!$B$33,0)))*(1-IF(AND(ArtifactsInput!$M$27,Inputs!$B$4="Chapter Hunt"),CHOOSE(ArtifactsInput!$N$27+1,20,24,28,32,36,40),0)/100)),0)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f>(1-Summary!$B$11)*S27+Summary!$B$11*U27</f>
        <v/>
      </c>
      <c r="P27">
        <f>IF(Summary!$B$3=0,0,O27/Summary!$B$3)</f>
        <v/>
      </c>
      <c r="Q27">
        <f>IFERROR(1/(IF(Inputs!$B$39="pvp",15,MAX(0.1,Skills!D27-IF(Skills!E27=TRUE,Inputs!$B$33,0)))*(1-IF(AND(ArtifactsInput!$M$27,Inputs!$B$4="Chapter Hunt"),CHOOSE(ArtifactsInput!$N$27+1,20,24,28,32,36,40),0)/100)),0)</f>
        <v/>
      </c>
      <c r="R27" t="n">
        <v>0</v>
      </c>
      <c r="S27" t="n">
        <v>0</v>
      </c>
      <c r="U27" t="n">
        <v>0</v>
      </c>
    </row>
    <row r="28">
      <c r="A28">
        <f>Skills!A28</f>
        <v/>
      </c>
      <c r="B28">
        <f>Skills!B28</f>
        <v/>
      </c>
      <c r="C28">
        <f>TRUE</f>
        <v/>
      </c>
      <c r="D28">
        <f>IF(Skills!C28=1,60+Inputs!$B$26+Inputs!$B$30,IF(Skills!C28=2,90+Inputs!$B$27+Inputs!$B$30,IF(Skills!C28=3,120+Inputs!$B$28+Inputs!$B$30,MAX(0,(Inputs!$B$3-100)*3)+Inputs!$B$29+Inputs!$B$30)))</f>
        <v/>
      </c>
      <c r="E28">
        <f>INDEX(FactorTable!$B$2:$Y$301, MATCH(ROUND(MIN(300,MAX(1,D28)),0), FactorTable!$A$2:$A$301,0), Skills!L28+1)</f>
        <v/>
      </c>
      <c r="F28">
        <f>IF(Skills!M28=TRUE,(Skills!K28/10)*(E28/1000),Skills!K28/10)+Skills!N28</f>
        <v/>
      </c>
      <c r="G28">
        <f>Skills!F28*IF(Skills!G28&gt;0,Skills!H28/Skills!G28,1)</f>
        <v/>
      </c>
      <c r="H28">
        <f>1-(1-Skills!I28/100)^Skills!J28</f>
        <v/>
      </c>
      <c r="I28">
        <f>IF(Skills!T28&lt;&gt;"",1+(Skills!T28/10)*($Z$3/1000)/100,1)</f>
        <v/>
      </c>
      <c r="J28" t="inlineStr"/>
      <c r="K28" t="inlineStr"/>
      <c r="L28" t="inlineStr"/>
      <c r="M28" t="inlineStr"/>
      <c r="N28" t="inlineStr"/>
      <c r="O28">
        <f>(1-Summary!$B$11)*S28+Summary!$B$11*U28</f>
        <v/>
      </c>
      <c r="P28">
        <f>IF(Summary!$B$3=0,0,O28/Summary!$B$3)</f>
        <v/>
      </c>
      <c r="Q28">
        <f>IFERROR(1/(IF(Inputs!$B$39="pvp",15,MAX(0.1,Skills!D28-IF(Skills!E28=TRUE,Inputs!$B$33,0)))*(1-IF(AND(ArtifactsInput!$M$27,Inputs!$B$4="Chapter Hunt"),CHOOSE(ArtifactsInput!$N$27+1,20,24,28,32,36,40),0)/100)),0)</f>
        <v/>
      </c>
      <c r="R28">
        <f>IF(AND(Inputs!$B$39&lt;&gt;"pvp",Inputs!$B$44&gt;0),IF(Inputs!$B$44&lt;=0,0,(INT(Inputs!$B$44/(IF(Inputs!$B$39="pvp",15,MAX(0.1,Skills!D28-IF(Skills!E28=TRUE,Inputs!$B$33,0)))*(1-IF(AND(ArtifactsInput!$M$27,Inputs!$B$4="Chapter Hunt"),CHOOSE(ArtifactsInput!$N$27+1,20,24,28,32,36,40),0)/100)))+1)),0)</f>
        <v/>
      </c>
      <c r="S28" t="n">
        <v>0</v>
      </c>
      <c r="U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[incl. Invincible's Defense-&gt; INT] + 0.25% of LUK)</t>
        </is>
      </c>
      <c r="B7">
        <f>((Inputs!$B$13+IF(Inputs!$B$3&gt;=35,(10*INDEX(FactorTable!$B$2:$Y$301, MATCH(ROUND(MIN(300,MAX(1,Inputs!$B$3)),0), FactorTable!$A$2:$A$301,0), 23)/1000)/100*(Inputs!$B$8*(1+(Inputs!$B$9+Summary!$B$23)/100)),0))*(1+Inputs!$B$14/100))*0.01+Inputs!$B$15*0.0025</f>
        <v/>
      </c>
    </row>
    <row r="8">
      <c r="A8" t="inlineStr">
        <is>
          <t>Basic Attack (Big Bang) Input Level (4th job formula)</t>
        </is>
      </c>
      <c r="B8">
        <f>MAX(0,(Inputs!$B$3-100)*3)+Inputs!$B$29+Inputs!$B$30</f>
        <v/>
      </c>
    </row>
    <row r="9">
      <c r="A9" t="inlineStr">
        <is>
          <t>Basic Attack Factor (factorIndex 21, from Big Bang == Chain Lightning reuse)</t>
        </is>
      </c>
      <c r="B9">
        <f>INDEX(FactorTable!$B$2:$Y$301, MATCH(ROUND(MIN(300,MAX(1,Summary!$B$8)),0), FactorTable!$A$2:$A$301,0), 22)</f>
        <v/>
      </c>
    </row>
    <row r="10">
      <c r="A10" t="inlineStr">
        <is>
          <t>SKILL_COEFFICIENT — Big Bang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(Magic Guard + Heal + Bless + Holy Magic Shell, summed; then Advanced Blessing, Infinity)</t>
        </is>
      </c>
      <c r="B13">
        <f>(1+(IF(Calc!C3=TRUE,Calc!F3*IF(AND(Inputs!$B$39&lt;&gt;"pvp",Inputs!$B$44&gt;0),(((Calc!R3-1)*(Skills!S3*(1+(Inputs!$B$35+IF(Inputs!$B$3&gt;=117,Calc!F26,0))/100))+MIN((Skills!S3*(1+(Inputs!$B$35+IF(Inputs!$B$3&gt;=117,Calc!F26,0))/100)),MAX(0,Inputs!$B$44-((Calc!R3-1)*Skills!D3))))/Inputs!$B$44),IF(Inputs!$B$39="pvp",MIN((Skills!S3*(1+(Inputs!$B$35+IF(Inputs!$B$3&gt;=117,Calc!F26,0))/100)),15)/15,(Skills!S3*(1+(Inputs!$B$35+IF(Inputs!$B$3&gt;=117,Calc!F26,0))/100))/Skills!D3)),0)+IF(Calc!C4=TRUE,Calc!F4*IF(AND(Inputs!$B$39&lt;&gt;"pvp",Inputs!$B$44&gt;0),(((Calc!R4-1)*(Skills!S4*(1+(Inputs!$B$35+IF(Inputs!$B$3&gt;=117,Calc!F26,0))/100))+MIN((Skills!S4*(1+(Inputs!$B$35+IF(Inputs!$B$3&gt;=117,Calc!F26,0))/100)),MAX(0,Inputs!$B$44-((Calc!R4-1)*Skills!D4))))/Inputs!$B$44),IF(Inputs!$B$39="pvp",MIN((Skills!S4*(1+(Inputs!$B$35+IF(Inputs!$B$3&gt;=117,Calc!F26,0))/100)),15)/15,(Skills!S4*(1+(Inputs!$B$35+IF(Inputs!$B$3&gt;=117,Calc!F26,0))/100))/Skills!D4)),0)+IF(Calc!C5=TRUE,Calc!F5*IF(AND(Inputs!$B$39&lt;&gt;"pvp",Inputs!$B$44&gt;0),(((Calc!R5-1)*(Skills!S5*(1+(Inputs!$B$35+IF(Inputs!$B$3&gt;=117,Calc!F26,0))/100))+MIN((Skills!S5*(1+(Inputs!$B$35+IF(Inputs!$B$3&gt;=117,Calc!F26,0))/100)),MAX(0,Inputs!$B$44-((Calc!R5-1)*Skills!D5))))/Inputs!$B$44),IF(Inputs!$B$39="pvp",MIN((Skills!S5*(1+(Inputs!$B$35+IF(Inputs!$B$3&gt;=117,Calc!F26,0))/100)),15)/15,(Skills!S5*(1+(Inputs!$B$35+IF(Inputs!$B$3&gt;=117,Calc!F26,0))/100))/Skills!D5)),0)+IF(Calc!C11=TRUE,Calc!F11*IF(AND(Inputs!$B$39&lt;&gt;"pvp",Inputs!$B$44&gt;0),(((Calc!R11-1)*(Skills!S11*(1+(Inputs!$B$35+IF(Inputs!$B$3&gt;=117,Calc!F26,0))/100))+MIN((Skills!S11*(1+(Inputs!$B$35+IF(Inputs!$B$3&gt;=117,Calc!F26,0))/100)),MAX(0,Inputs!$B$44-((Calc!R11-1)*Skills!D11))))/Inputs!$B$44),IF(Inputs!$B$39="pvp",MIN((Skills!S11*(1+(Inputs!$B$35+IF(Inputs!$B$3&gt;=117,Calc!F26,0))/100)),15)/15,(Skills!S11*(1+(Inputs!$B$35+IF(Inputs!$B$3&gt;=117,Calc!F26,0))/100))/Skills!D11)),0)+Artifacts!$B$52)/100)*IF(Calc!C14=TRUE,(1+Calc!F14*IF(AND(Inputs!$B$39&lt;&gt;"pvp",Inputs!$B$44&gt;0),(((Calc!R14-1)*(Skills!S14*(1+(Inputs!$B$35+IF(Inputs!$B$3&gt;=117,Calc!F26,0))/100))+MIN((Skills!S14*(1+(Inputs!$B$35+IF(Inputs!$B$3&gt;=117,Calc!F26,0))/100)),MAX(0,Inputs!$B$44-((Calc!R14-1)*Skills!D14))))/Inputs!$B$44),IF(Inputs!$B$39="pvp",MIN((Skills!S14*(1+(Inputs!$B$35+IF(Inputs!$B$3&gt;=117,Calc!F26,0))/100)),15)/15,(Skills!S14*(1+(Inputs!$B$35+IF(Inputs!$B$3&gt;=117,Calc!F26,0))/100))/Skills!D14))/100),1)*IF(Calc!C19=TRUE,(1+Calc!F19*IF(AND(Inputs!$B$39&lt;&gt;"pvp",Inputs!$B$44&gt;0),(((Calc!R19-1)*(Skills!S19*(1+(Inputs!$B$35+IF(Inputs!$B$3&gt;=117,Calc!F26,0))/100))+MIN((Skills!S19*(1+(Inputs!$B$35+IF(Inputs!$B$3&gt;=117,Calc!F26,0))/100)),MAX(0,Inputs!$B$44-((Calc!R19-1)*Skills!D19))))/Inputs!$B$44),IF(Inputs!$B$39="pvp",MIN((Skills!S19*(1+(Inputs!$B$35+IF(Inputs!$B$3&gt;=117,Calc!F26,0))/100)),15)/15,(Skills!S19*(1+(Inputs!$B$35+IF(Inputs!$B$3&gt;=117,Calc!F26,0))/100))/Skills!D19))/100),1)</f>
        <v/>
      </c>
    </row>
    <row r="14">
      <c r="A14" t="inlineStr">
        <is>
          <t>Monster Damage Taken Bonus % (Holy Fountain - Boss Monster Damage, averaged)</t>
        </is>
      </c>
      <c r="B14">
        <f>IF(Inputs!$B$3&gt;=68,20*IF(Inputs!$B$39="pvp",MIN((15*(1+(Inputs!$B$35+IF(Inputs!$B$3&gt;=117,Calc!F26,0))/100)),15)/15,(15*(1+(Inputs!$B$35+IF(Inputs!$B$3&gt;=117,Calc!F26,0))/100))/Skills!D10),0)</f>
        <v/>
      </c>
    </row>
    <row r="15">
      <c r="A15" t="inlineStr">
        <is>
          <t>Normal Monster Damage Bonus % (Holy Symbol, averaged)</t>
        </is>
      </c>
      <c r="B15">
        <f>IF(Calc!C12=TRUE,Calc!F12*IF(AND(Inputs!$B$39&lt;&gt;"pvp",Inputs!$B$44&gt;0),(((Calc!R12-1)*(Skills!S12*(1+(Inputs!$B$35+IF(Inputs!$B$3&gt;=117,Calc!F26,0))/100))+MIN((Skills!S12*(1+(Inputs!$B$35+IF(Inputs!$B$3&gt;=117,Calc!F26,0))/100)),MAX(0,Inputs!$B$44-((Calc!R12-1)*Skills!D12))))/Inputs!$B$44),IF(Inputs!$B$39="pvp",MIN((Skills!S12*(1+(Inputs!$B$35+IF(Inputs!$B$3&gt;=117,Calc!F26,0))/100)),15)/15,(Skills!S12*(1+(Inputs!$B$35+IF(Inputs!$B$3&gt;=117,Calc!F26,0))/100))/Skills!D12)),0)</f>
        <v/>
      </c>
    </row>
    <row r="16">
      <c r="A16" t="inlineStr">
        <is>
          <t>Damage % Bonus (Holy Symbol - Damage Boost, solo-always-true)</t>
        </is>
      </c>
      <c r="B16">
        <f>Skills!O12</f>
        <v/>
      </c>
    </row>
    <row r="17">
      <c r="A17" t="inlineStr">
        <is>
          <t>Crit Damage % Bonus (Blood of the Divine, assumed 100% HP)</t>
        </is>
      </c>
      <c r="B17">
        <f>4*IF(Calc!C20=TRUE,Calc!F20,0)</f>
        <v/>
      </c>
    </row>
    <row r="18">
      <c r="A18" t="inlineStr">
        <is>
          <t>Attack Speed Bonus % (MP Eater - MP Boost + Blood of the Divine - Attack Speed + Nimble Feet, always-on/duty-cycle)</t>
        </is>
      </c>
      <c r="B18">
        <f>IF(Calc!C17=TRUE,Calc!F17,0)+IF(Inputs!$B$3&gt;=134,15,0)+((Calc!C28=TRUE)*Calc!F28*IF(AND(Inputs!$B$39&lt;&gt;"pvp",Inputs!$B$44&gt;0),(((Calc!R28-1)*(Skills!S28*(1+(Inputs!$B$35+IF(Inputs!$B$3&gt;=117,Calc!F26,0))/100))+MIN((Skills!S28*(1+(Inputs!$B$35+IF(Inputs!$B$3&gt;=117,Calc!F26,0))/100)),MAX(0,Inputs!$B$44-((Calc!R28-1)*Skills!D28))))/Inputs!$B$44),IF(Inputs!$B$39="pvp",MIN((Skills!S28*(1+(Inputs!$B$35+IF(Inputs!$B$3&gt;=117,Calc!F26,0))/100)),15)/15,(Skills!S28*(1+(Inputs!$B$35+IF(Inputs!$B$3&gt;=117,Calc!F26,0))/100))/Skills!D28)))</f>
        <v/>
      </c>
    </row>
    <row r="19">
      <c r="A19" t="inlineStr">
        <is>
          <t>Actions Per Second (Attack Speed combined via diminishing-returns stack, factor 150, then capped)</t>
        </is>
      </c>
      <c r="B19">
        <f>1+MIN(150,150*(1-(1-Inputs!$B$12/150)*(1-B18/150)))/100</f>
        <v/>
      </c>
    </row>
    <row r="20">
      <c r="A20" t="inlineStr">
        <is>
          <t>Skill + Buff Cast Rate (subtracted from Big Bang, 1/s)</t>
        </is>
      </c>
      <c r="B20">
        <f>IF(AND(Inputs!$B$39&lt;&gt;"pvp",Inputs!$B$44&gt;0),SUMPRODUCT((Skills!E2:E28=TRUE)*(Calc!C2:C28=TRUE)*Calc!R2:R28)/Inputs!$B$44,SUMPRODUCT((Skills!E2:E28=TRUE)*(Calc!C2:C28=TRUE)*Calc!Q2:Q28))</f>
        <v/>
      </c>
    </row>
    <row r="21">
      <c r="A21" t="inlineStr">
        <is>
          <t>Big Bang Casts Per Second (basic-attack rate)</t>
        </is>
      </c>
      <c r="B21">
        <f>MAX(0,B19-B20)</f>
        <v/>
      </c>
    </row>
    <row r="22">
      <c r="A22" t="inlineStr">
        <is>
          <t>Big Bang DPS</t>
        </is>
      </c>
      <c r="B22">
        <f>Calc!O2</f>
        <v/>
      </c>
    </row>
    <row r="23">
      <c r="A23" t="inlineStr">
        <is>
          <t>Defense % Bonus (Divine Protection, averaged)</t>
        </is>
      </c>
      <c r="B23">
        <f>IF(Calc!C13=TRUE,Calc!F13*IF(AND(Inputs!$B$39&lt;&gt;"pvp",Inputs!$B$44&gt;0),(((Calc!R13-1)*(Skills!S13*(1+(Inputs!$B$35+IF(Inputs!$B$3&gt;=117,Calc!F26,0))/100))+MIN((Skills!S13*(1+(Inputs!$B$35+IF(Inputs!$B$3&gt;=117,Calc!F26,0))/100)),MAX(0,Inputs!$B$44-((Calc!R13-1)*Skills!D13))))/Inputs!$B$44),IF(Inputs!$B$39="pvp",MIN((Skills!S13*(1+(Inputs!$B$35+IF(Inputs!$B$3&gt;=117,Calc!F26,0))/100)),15)/15,(Skills!S13*(1+(Inputs!$B$35+IF(Inputs!$B$3&gt;=117,Calc!F26,0))/100))/Skills!D13)),0)</f>
        <v/>
      </c>
    </row>
    <row r="24">
      <c r="A24" t="inlineStr">
        <is>
          <t>Buff-Casting Startup Delay (s, before first damage-skill cast; fixed-duration only)</t>
        </is>
      </c>
      <c r="B24">
        <f>IF(AND(Inputs!$B$39&lt;&gt;"pvp",Inputs!$B$44&gt;0),SUMPRODUCT((Skills!S2:S28&gt;0)*(Skills!E2:E28=TRUE)*(Calc!C2:C28=TRUE))/B19,0)</f>
        <v/>
      </c>
    </row>
    <row r="25">
      <c r="A25" t="inlineStr">
        <is>
          <t>Boss-Only Total DPS (Sensitivity baseline)</t>
        </is>
      </c>
      <c r="B25">
        <f>SUM(Calc!S2:S28)</f>
        <v/>
      </c>
    </row>
    <row r="26">
      <c r="A26" t="inlineStr">
        <is>
          <t>Normal-Only Total DPS (Sensitivity baseline)</t>
        </is>
      </c>
      <c r="B26">
        <f>SUM(Calc!U2:U28)</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Calc!B15</f>
        <v/>
      </c>
      <c r="B35">
        <f>Calc!O15</f>
        <v/>
      </c>
      <c r="C35">
        <f>Calc!P15*100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6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Inputs!$B$13</f>
        <v/>
      </c>
      <c r="E5">
        <f>(Inputs!$B$13+1)</f>
        <v/>
      </c>
      <c r="F5">
        <f>Summary!$B$3</f>
        <v/>
      </c>
      <c r="G5">
        <f>B115</f>
        <v/>
      </c>
      <c r="H5">
        <f>Summary!$B$3*(((1-Summary!$B$11)*IFERROR(B113/Summary!$B$25,1)+Summary!$B$11*IFERROR(B114/Summary!$B$26,1))-1)</f>
        <v/>
      </c>
      <c r="I5">
        <f>((1-Summary!$B$11)*IFERROR(B113/Summary!$B$25,1)+Summary!$B$11*IFERROR(B114/Summary!$B$26,1))*100</f>
        <v/>
      </c>
    </row>
    <row r="6">
      <c r="A6" t="inlineStr">
        <is>
          <t>INT %</t>
        </is>
      </c>
      <c r="B6">
        <f>IFERROR(1/(I6-100),"n/a")</f>
        <v/>
      </c>
      <c r="C6" t="inlineStr">
        <is>
          <t>pct</t>
        </is>
      </c>
      <c r="D6">
        <f>Inputs!$B$14</f>
        <v/>
      </c>
      <c r="E6">
        <f>(Inputs!$B$14+1)</f>
        <v/>
      </c>
      <c r="F6">
        <f>Summary!$B$3</f>
        <v/>
      </c>
      <c r="G6">
        <f>B160</f>
        <v/>
      </c>
      <c r="H6">
        <f>Summary!$B$3*(((1-Summary!$B$11)*IFERROR(B158/Summary!$B$25,1)+Summary!$B$11*IFERROR(B159/Summary!$B$26,1))-1)</f>
        <v/>
      </c>
      <c r="I6">
        <f>((1-Summary!$B$11)*IFERROR(B158/Summary!$B$25,1)+Summary!$B$11*IFERROR(B159/Summary!$B$26,1))*100</f>
        <v/>
      </c>
    </row>
    <row r="7">
      <c r="A7" t="inlineStr">
        <is>
          <t>Defense (flat) — Invincible converts a level-scaling % (10%+) into INT</t>
        </is>
      </c>
      <c r="B7">
        <f>IFERROR(1/(I7-100),"n/a")</f>
        <v/>
      </c>
      <c r="C7" t="inlineStr">
        <is>
          <t>flat</t>
        </is>
      </c>
      <c r="D7">
        <f>Inputs!$B$8</f>
        <v/>
      </c>
      <c r="E7">
        <f>(Inputs!$B$8+1)</f>
        <v/>
      </c>
      <c r="F7">
        <f>Summary!$B$3</f>
        <v/>
      </c>
      <c r="G7">
        <f>B205</f>
        <v/>
      </c>
      <c r="H7">
        <f>Summary!$B$3*(((1-Summary!$B$11)*IFERROR(B203/Summary!$B$25,1)+Summary!$B$11*IFERROR(B204/Summary!$B$26,1))-1)</f>
        <v/>
      </c>
      <c r="I7">
        <f>((1-Summary!$B$11)*IFERROR(B203/Summary!$B$25,1)+Summary!$B$11*IFERROR(B204/Summary!$B$26,1))*100</f>
        <v/>
      </c>
    </row>
    <row r="8">
      <c r="A8" t="inlineStr">
        <is>
          <t>Defense %</t>
        </is>
      </c>
      <c r="B8">
        <f>IFERROR(1/(I8-100),"n/a")</f>
        <v/>
      </c>
      <c r="C8" t="inlineStr">
        <is>
          <t>pct</t>
        </is>
      </c>
      <c r="D8">
        <f>Inputs!$B$9</f>
        <v/>
      </c>
      <c r="E8">
        <f>(Inputs!$B$9+1)</f>
        <v/>
      </c>
      <c r="F8">
        <f>Summary!$B$3</f>
        <v/>
      </c>
      <c r="G8">
        <f>B250</f>
        <v/>
      </c>
      <c r="H8">
        <f>Summary!$B$3*(((1-Summary!$B$11)*IFERROR(B248/Summary!$B$25,1)+Summary!$B$11*IFERROR(B249/Summary!$B$26,1))-1)</f>
        <v/>
      </c>
      <c r="I8">
        <f>((1-Summary!$B$11)*IFERROR(B248/Summary!$B$25,1)+Summary!$B$11*IFERROR(B249/Summary!$B$26,1))*100</f>
        <v/>
      </c>
    </row>
    <row r="9">
      <c r="A9" t="inlineStr">
        <is>
          <t>DAMAGE %</t>
        </is>
      </c>
      <c r="B9">
        <f>IFERROR(1/(I9-100),"n/a")</f>
        <v/>
      </c>
      <c r="C9" t="inlineStr">
        <is>
          <t>pct</t>
        </is>
      </c>
      <c r="D9">
        <f>Inputs!$B$16</f>
        <v/>
      </c>
      <c r="E9">
        <f>(Inputs!$B$16+1)</f>
        <v/>
      </c>
      <c r="F9">
        <f>Summary!$B$3</f>
        <v/>
      </c>
      <c r="G9">
        <f>B295</f>
        <v/>
      </c>
      <c r="H9">
        <f>Summary!$B$3*(((1-Summary!$B$11)*IFERROR(B293/Summary!$B$25,1)+Summary!$B$11*IFERROR(B294/Summary!$B$26,1))-1)</f>
        <v/>
      </c>
      <c r="I9">
        <f>((1-Summary!$B$11)*IFERROR(B293/Summary!$B$25,1)+Summary!$B$11*IFERROR(B294/Summary!$B$26,1))*100</f>
        <v/>
      </c>
    </row>
    <row r="10">
      <c r="A10" t="inlineStr">
        <is>
          <t>DAMAGE_AMP %</t>
        </is>
      </c>
      <c r="B10">
        <f>IFERROR(1/(I10-100),"n/a")</f>
        <v/>
      </c>
      <c r="C10" t="inlineStr">
        <is>
          <t>pct</t>
        </is>
      </c>
      <c r="D10">
        <f>Inputs!$B$17</f>
        <v/>
      </c>
      <c r="E10">
        <f>(Inputs!$B$17+1)</f>
        <v/>
      </c>
      <c r="F10">
        <f>Summary!$B$3</f>
        <v/>
      </c>
      <c r="G10">
        <f>B340</f>
        <v/>
      </c>
      <c r="H10">
        <f>Summary!$B$3*(((1-Summary!$B$11)*IFERROR(B338/Summary!$B$25,1)+Summary!$B$11*IFERROR(B339/Summary!$B$26,1))-1)</f>
        <v/>
      </c>
      <c r="I10">
        <f>((1-Summary!$B$11)*IFERROR(B338/Summary!$B$25,1)+Summary!$B$11*IFERROR(B339/Summary!$B$26,1))*100</f>
        <v/>
      </c>
    </row>
    <row r="11">
      <c r="A11" t="inlineStr">
        <is>
          <t>BOSS_DAMAGE %</t>
        </is>
      </c>
      <c r="B11">
        <f>IFERROR(1/(I11-100),"n/a")</f>
        <v/>
      </c>
      <c r="C11" t="inlineStr">
        <is>
          <t>pct</t>
        </is>
      </c>
      <c r="D11">
        <f>Inputs!$B$21</f>
        <v/>
      </c>
      <c r="E11">
        <f>(Inputs!$B$21+1)</f>
        <v/>
      </c>
      <c r="F11">
        <f>Summary!$B$3</f>
        <v/>
      </c>
      <c r="G11">
        <f>B385</f>
        <v/>
      </c>
      <c r="H11">
        <f>Summary!$B$3*(((1-Summary!$B$11)*IFERROR(B383/Summary!$B$25,1)+Summary!$B$11*IFERROR(B384/Summary!$B$26,1))-1)</f>
        <v/>
      </c>
      <c r="I11">
        <f>((1-Summary!$B$11)*IFERROR(B383/Summary!$B$25,1)+Summary!$B$11*IFERROR(B384/Summary!$B$26,1))*100</f>
        <v/>
      </c>
    </row>
    <row r="12">
      <c r="A12" t="inlineStr">
        <is>
          <t>NORMAL_DAMAGE %</t>
        </is>
      </c>
      <c r="B12">
        <f>IFERROR(1/(I12-100),"n/a")</f>
        <v/>
      </c>
      <c r="C12" t="inlineStr">
        <is>
          <t>pct</t>
        </is>
      </c>
      <c r="D12">
        <f>Inputs!$B$22</f>
        <v/>
      </c>
      <c r="E12">
        <f>(Inputs!$B$22+1)</f>
        <v/>
      </c>
      <c r="F12">
        <f>Summary!$B$3</f>
        <v/>
      </c>
      <c r="G12">
        <f>B430</f>
        <v/>
      </c>
      <c r="H12">
        <f>Summary!$B$3*(((1-Summary!$B$11)*IFERROR(B428/Summary!$B$25,1)+Summary!$B$11*IFERROR(B429/Summary!$B$26,1))-1)</f>
        <v/>
      </c>
      <c r="I12">
        <f>((1-Summary!$B$11)*IFERROR(B428/Summary!$B$25,1)+Summary!$B$11*IFERROR(B429/Summary!$B$26,1))*100</f>
        <v/>
      </c>
    </row>
    <row r="13">
      <c r="A13" t="inlineStr">
        <is>
          <t>FINAL_DAMAGE % (multiplicative source)</t>
        </is>
      </c>
      <c r="B13">
        <f>IFERROR(1/(I13-100),"n/a")</f>
        <v/>
      </c>
      <c r="C13" t="inlineStr">
        <is>
          <t>mult</t>
        </is>
      </c>
      <c r="D13">
        <f>Inputs!$B$25</f>
        <v/>
      </c>
      <c r="E13">
        <f>((((1+Inputs!$B$25/100)*(1.01))-1)*100)</f>
        <v/>
      </c>
      <c r="F13">
        <f>Summary!$B$3</f>
        <v/>
      </c>
      <c r="G13">
        <f>B475</f>
        <v/>
      </c>
      <c r="H13">
        <f>Summary!$B$3*(((1-Summary!$B$11)*IFERROR(B473/Summary!$B$25,1)+Summary!$B$11*IFERROR(B474/Summary!$B$26,1))-1)</f>
        <v/>
      </c>
      <c r="I13">
        <f>((1-Summary!$B$11)*IFERROR(B473/Summary!$B$25,1)+Summary!$B$11*IFERROR(B474/Summary!$B$26,1))*100</f>
        <v/>
      </c>
    </row>
    <row r="14">
      <c r="A14" t="inlineStr">
        <is>
          <t>MIN_DAMAGE %</t>
        </is>
      </c>
      <c r="B14">
        <f>IFERROR(1/(I14-100),"n/a")</f>
        <v/>
      </c>
      <c r="C14" t="inlineStr">
        <is>
          <t>pct</t>
        </is>
      </c>
      <c r="D14">
        <f>Inputs!$B$23</f>
        <v/>
      </c>
      <c r="E14">
        <f>(Inputs!$B$23+1)</f>
        <v/>
      </c>
      <c r="F14">
        <f>Summary!$B$3</f>
        <v/>
      </c>
      <c r="G14">
        <f>B520</f>
        <v/>
      </c>
      <c r="H14">
        <f>Summary!$B$3*(((1-Summary!$B$11)*IFERROR(B518/Summary!$B$25,1)+Summary!$B$11*IFERROR(B519/Summary!$B$26,1))-1)</f>
        <v/>
      </c>
      <c r="I14">
        <f>((1-Summary!$B$11)*IFERROR(B518/Summary!$B$25,1)+Summary!$B$11*IFERROR(B519/Summary!$B$26,1))*100</f>
        <v/>
      </c>
    </row>
    <row r="15">
      <c r="A15" t="inlineStr">
        <is>
          <t>MAX_DAMAGE %</t>
        </is>
      </c>
      <c r="B15">
        <f>IFERROR(1/(I15-100),"n/a")</f>
        <v/>
      </c>
      <c r="C15" t="inlineStr">
        <is>
          <t>pct</t>
        </is>
      </c>
      <c r="D15">
        <f>Inputs!$B$24</f>
        <v/>
      </c>
      <c r="E15">
        <f>(Inputs!$B$24+1)</f>
        <v/>
      </c>
      <c r="F15">
        <f>Summary!$B$3</f>
        <v/>
      </c>
      <c r="G15">
        <f>B565</f>
        <v/>
      </c>
      <c r="H15">
        <f>Summary!$B$3*(((1-Summary!$B$11)*IFERROR(B563/Summary!$B$25,1)+Summary!$B$11*IFERROR(B564/Summary!$B$26,1))-1)</f>
        <v/>
      </c>
      <c r="I15">
        <f>((1-Summary!$B$11)*IFERROR(B563/Summary!$B$25,1)+Summary!$B$11*IFERROR(B564/Summary!$B$26,1))*100</f>
        <v/>
      </c>
    </row>
    <row r="16">
      <c r="A16" t="inlineStr">
        <is>
          <t>CRIT_RATE %</t>
        </is>
      </c>
      <c r="B16">
        <f>IFERROR(1/(I16-100),"n/a")</f>
        <v/>
      </c>
      <c r="C16" t="inlineStr">
        <is>
          <t>pct</t>
        </is>
      </c>
      <c r="D16">
        <f>Inputs!$B$10</f>
        <v/>
      </c>
      <c r="E16">
        <f>(Inputs!$B$10+1)</f>
        <v/>
      </c>
      <c r="F16">
        <f>Summary!$B$3</f>
        <v/>
      </c>
      <c r="G16">
        <f>B610</f>
        <v/>
      </c>
      <c r="H16">
        <f>Summary!$B$3*(((1-Summary!$B$11)*IFERROR(B608/Summary!$B$25,1)+Summary!$B$11*IFERROR(B609/Summary!$B$26,1))-1)</f>
        <v/>
      </c>
      <c r="I16">
        <f>((1-Summary!$B$11)*IFERROR(B608/Summary!$B$25,1)+Summary!$B$11*IFERROR(B609/Summary!$B$26,1))*100</f>
        <v/>
      </c>
    </row>
    <row r="17">
      <c r="A17" t="inlineStr">
        <is>
          <t>CRIT_DAMAGE %</t>
        </is>
      </c>
      <c r="B17">
        <f>IFERROR(1/(I17-100),"n/a")</f>
        <v/>
      </c>
      <c r="C17" t="inlineStr">
        <is>
          <t>pct</t>
        </is>
      </c>
      <c r="D17">
        <f>Inputs!$B$11</f>
        <v/>
      </c>
      <c r="E17">
        <f>(Inputs!$B$11+1)</f>
        <v/>
      </c>
      <c r="F17">
        <f>Summary!$B$3</f>
        <v/>
      </c>
      <c r="G17">
        <f>B655</f>
        <v/>
      </c>
      <c r="H17">
        <f>Summary!$B$3*(((1-Summary!$B$11)*IFERROR(B653/Summary!$B$25,1)+Summary!$B$11*IFERROR(B654/Summary!$B$26,1))-1)</f>
        <v/>
      </c>
      <c r="I17">
        <f>((1-Summary!$B$11)*IFERROR(B653/Summary!$B$25,1)+Summary!$B$11*IFERROR(B654/Summary!$B$26,1))*100</f>
        <v/>
      </c>
    </row>
    <row r="18">
      <c r="A18" t="inlineStr">
        <is>
          <t>ATTACK_SPEED % (diminishing returns, factor 150)</t>
        </is>
      </c>
      <c r="B18">
        <f>IFERROR(1/(I18-100),"n/a")</f>
        <v/>
      </c>
      <c r="C18" t="inlineStr">
        <is>
          <t>dr150</t>
        </is>
      </c>
      <c r="D18">
        <f>Inputs!$B$12</f>
        <v/>
      </c>
      <c r="E18">
        <f>((1-(1-Inputs!$B$12/150)*(1-1/150))*150)</f>
        <v/>
      </c>
      <c r="F18">
        <f>Summary!$B$3</f>
        <v/>
      </c>
      <c r="G18">
        <f>B700</f>
        <v/>
      </c>
      <c r="H18">
        <f>Summary!$B$3*(((1-Summary!$B$11)*IFERROR(B698/Summary!$B$25,1)+Summary!$B$11*IFERROR(B699/Summary!$B$26,1))-1)</f>
        <v/>
      </c>
      <c r="I18">
        <f>((1-Summary!$B$11)*IFERROR(B698/Summary!$B$25,1)+Summary!$B$11*IFERROR(B699/Summary!$B$26,1))*100</f>
        <v/>
      </c>
    </row>
    <row r="19">
      <c r="A19" t="inlineStr">
        <is>
          <t>DEF_PEN % (diminishing returns, factor 100)</t>
        </is>
      </c>
      <c r="B19">
        <f>IFERROR(1/(I19-100),"n/a")</f>
        <v/>
      </c>
      <c r="C19" t="inlineStr">
        <is>
          <t>dr100</t>
        </is>
      </c>
      <c r="D19">
        <f>Inputs!$B$20</f>
        <v/>
      </c>
      <c r="E19">
        <f>((1-(1-Inputs!$B$20/100)*(1-1/100))*100)</f>
        <v/>
      </c>
      <c r="F19">
        <f>Summary!$B$3</f>
        <v/>
      </c>
      <c r="G19">
        <f>B745</f>
        <v/>
      </c>
      <c r="H19">
        <f>Summary!$B$3*(((1-Summary!$B$11)*IFERROR(B743/Summary!$B$25,1)+Summary!$B$11*IFERROR(B744/Summary!$B$26,1))-1)</f>
        <v/>
      </c>
      <c r="I19">
        <f>((1-Summary!$B$11)*IFERROR(B743/Summary!$B$25,1)+Summary!$B$11*IFERROR(B744/Summary!$B$26,1))*100</f>
        <v/>
      </c>
    </row>
    <row r="20">
      <c r="A20" t="inlineStr">
        <is>
          <t>BASIC_ATTACK_DAMAGE %</t>
        </is>
      </c>
      <c r="B20">
        <f>IFERROR(1/(I20-100),"n/a")</f>
        <v/>
      </c>
      <c r="C20" t="inlineStr">
        <is>
          <t>pct</t>
        </is>
      </c>
      <c r="D20">
        <f>Inputs!$B$18</f>
        <v/>
      </c>
      <c r="E20">
        <f>(Inputs!$B$18+1)</f>
        <v/>
      </c>
      <c r="F20">
        <f>Summary!$B$3</f>
        <v/>
      </c>
      <c r="G20">
        <f>B790</f>
        <v/>
      </c>
      <c r="H20">
        <f>Summary!$B$3*(((1-Summary!$B$11)*IFERROR(B788/Summary!$B$25,1)+Summary!$B$11*IFERROR(B789/Summary!$B$26,1))-1)</f>
        <v/>
      </c>
      <c r="I20">
        <f>((1-Summary!$B$11)*IFERROR(B788/Summary!$B$25,1)+Summary!$B$11*IFERROR(B789/Summary!$B$26,1))*100</f>
        <v/>
      </c>
    </row>
    <row r="21">
      <c r="A21" t="inlineStr">
        <is>
          <t>SKILL_DAMAGE %</t>
        </is>
      </c>
      <c r="B21">
        <f>IFERROR(1/(I21-100),"n/a")</f>
        <v/>
      </c>
      <c r="C21" t="inlineStr">
        <is>
          <t>pct</t>
        </is>
      </c>
      <c r="D21">
        <f>Inputs!$B$19</f>
        <v/>
      </c>
      <c r="E21">
        <f>(Inputs!$B$19+1)</f>
        <v/>
      </c>
      <c r="F21">
        <f>Summary!$B$3</f>
        <v/>
      </c>
      <c r="G21">
        <f>B835</f>
        <v/>
      </c>
      <c r="H21">
        <f>Summary!$B$3*(((1-Summary!$B$11)*IFERROR(B833/Summary!$B$25,1)+Summary!$B$11*IFERROR(B834/Summary!$B$26,1))-1)</f>
        <v/>
      </c>
      <c r="I21">
        <f>((1-Summary!$B$11)*IFERROR(B833/Summary!$B$25,1)+Summary!$B$11*IFERROR(B834/Summary!$B$26,1))*100</f>
        <v/>
      </c>
    </row>
    <row r="22">
      <c r="A22" t="inlineStr">
        <is>
          <t>Skill Level Bonus — 1st Job</t>
        </is>
      </c>
      <c r="B22">
        <f>IFERROR(1/(I22-100),"n/a")</f>
        <v/>
      </c>
      <c r="C22" t="inlineStr">
        <is>
          <t>level</t>
        </is>
      </c>
      <c r="D22">
        <f>Inputs!$B$26</f>
        <v/>
      </c>
      <c r="E22">
        <f>(Inputs!$B$26+1)</f>
        <v/>
      </c>
      <c r="F22">
        <f>Summary!$B$3</f>
        <v/>
      </c>
      <c r="G22">
        <f>B880</f>
        <v/>
      </c>
      <c r="H22">
        <f>Summary!$B$3*(((1-Summary!$B$11)*IFERROR(B878/Summary!$B$25,1)+Summary!$B$11*IFERROR(B879/Summary!$B$26,1))-1)</f>
        <v/>
      </c>
      <c r="I22">
        <f>((1-Summary!$B$11)*IFERROR(B878/Summary!$B$25,1)+Summary!$B$11*IFERROR(B879/Summary!$B$26,1))*100</f>
        <v/>
      </c>
    </row>
    <row r="23">
      <c r="A23" t="inlineStr">
        <is>
          <t>Skill Level Bonus — 2nd Job</t>
        </is>
      </c>
      <c r="B23">
        <f>IFERROR(1/(I23-100),"n/a")</f>
        <v/>
      </c>
      <c r="C23" t="inlineStr">
        <is>
          <t>level</t>
        </is>
      </c>
      <c r="D23">
        <f>Inputs!$B$27</f>
        <v/>
      </c>
      <c r="E23">
        <f>(Inputs!$B$27+1)</f>
        <v/>
      </c>
      <c r="F23">
        <f>Summary!$B$3</f>
        <v/>
      </c>
      <c r="G23">
        <f>B925</f>
        <v/>
      </c>
      <c r="H23">
        <f>Summary!$B$3*(((1-Summary!$B$11)*IFERROR(B923/Summary!$B$25,1)+Summary!$B$11*IFERROR(B924/Summary!$B$26,1))-1)</f>
        <v/>
      </c>
      <c r="I23">
        <f>((1-Summary!$B$11)*IFERROR(B923/Summary!$B$25,1)+Summary!$B$11*IFERROR(B924/Summary!$B$26,1))*100</f>
        <v/>
      </c>
    </row>
    <row r="24">
      <c r="A24" t="inlineStr">
        <is>
          <t>Skill Level Bonus — 3rd Job</t>
        </is>
      </c>
      <c r="B24">
        <f>IFERROR(1/(I24-100),"n/a")</f>
        <v/>
      </c>
      <c r="C24" t="inlineStr">
        <is>
          <t>level</t>
        </is>
      </c>
      <c r="D24">
        <f>Inputs!$B$28</f>
        <v/>
      </c>
      <c r="E24">
        <f>(Inputs!$B$28+1)</f>
        <v/>
      </c>
      <c r="F24">
        <f>Summary!$B$3</f>
        <v/>
      </c>
      <c r="G24">
        <f>B970</f>
        <v/>
      </c>
      <c r="H24">
        <f>Summary!$B$3*(((1-Summary!$B$11)*IFERROR(B968/Summary!$B$25,1)+Summary!$B$11*IFERROR(B969/Summary!$B$26,1))-1)</f>
        <v/>
      </c>
      <c r="I24">
        <f>((1-Summary!$B$11)*IFERROR(B968/Summary!$B$25,1)+Summary!$B$11*IFERROR(B969/Summary!$B$26,1))*100</f>
        <v/>
      </c>
    </row>
    <row r="25">
      <c r="A25" t="inlineStr">
        <is>
          <t>Skill Level Bonus — 4th Job</t>
        </is>
      </c>
      <c r="B25">
        <f>IFERROR(1/(I25-100),"n/a")</f>
        <v/>
      </c>
      <c r="C25" t="inlineStr">
        <is>
          <t>level</t>
        </is>
      </c>
      <c r="D25">
        <f>Inputs!$B$29</f>
        <v/>
      </c>
      <c r="E25">
        <f>(Inputs!$B$29+1)</f>
        <v/>
      </c>
      <c r="F25">
        <f>Summary!$B$3</f>
        <v/>
      </c>
      <c r="G25">
        <f>B1015</f>
        <v/>
      </c>
      <c r="H25">
        <f>Summary!$B$3*(((1-Summary!$B$11)*IFERROR(B1013/Summary!$B$25,1)+Summary!$B$11*IFERROR(B1014/Summary!$B$26,1))-1)</f>
        <v/>
      </c>
      <c r="I25">
        <f>((1-Summary!$B$11)*IFERROR(B1013/Summary!$B$25,1)+Summary!$B$11*IFERROR(B1014/Summary!$B$26,1))*100</f>
        <v/>
      </c>
    </row>
    <row r="26">
      <c r="A26" t="inlineStr">
        <is>
          <t>Skill Level Bonus — All Skills</t>
        </is>
      </c>
      <c r="B26">
        <f>IFERROR(1/(I26-100),"n/a")</f>
        <v/>
      </c>
      <c r="C26" t="inlineStr">
        <is>
          <t>level</t>
        </is>
      </c>
      <c r="D26">
        <f>Inputs!$B$30</f>
        <v/>
      </c>
      <c r="E26">
        <f>(Inputs!$B$30+1)</f>
        <v/>
      </c>
      <c r="F26">
        <f>Summary!$B$3</f>
        <v/>
      </c>
      <c r="G26">
        <f>B1060</f>
        <v/>
      </c>
      <c r="H26">
        <f>Summary!$B$3*(((1-Summary!$B$11)*IFERROR(B1058/Summary!$B$25,1)+Summary!$B$11*IFERROR(B1059/Summary!$B$26,1))-1)</f>
        <v/>
      </c>
      <c r="I26">
        <f>((1-Summary!$B$11)*IFERROR(B1058/Summary!$B$25,1)+Summary!$B$11*IFERROR(B1059/Summary!$B$26,1))*100</f>
        <v/>
      </c>
    </row>
    <row r="27">
      <c r="A27" t="inlineStr">
        <is>
          <t>Flat ATTACK</t>
        </is>
      </c>
      <c r="B27">
        <f>IFERROR(1/(I27-100),"n/a")</f>
        <v/>
      </c>
      <c r="C27" t="inlineStr">
        <is>
          <t>flat</t>
        </is>
      </c>
      <c r="D27">
        <f>Inputs!$B$6</f>
        <v/>
      </c>
      <c r="E27">
        <f>(Inputs!$B$6+1)</f>
        <v/>
      </c>
      <c r="F27">
        <f>Summary!$B$3</f>
        <v/>
      </c>
      <c r="G27">
        <f>B1105</f>
        <v/>
      </c>
      <c r="H27">
        <f>Summary!$B$3*(((1-Summary!$B$11)*IFERROR(B1103/Summary!$B$25,1)+Summary!$B$11*IFERROR(B1104/Summary!$B$26,1))-1)</f>
        <v/>
      </c>
      <c r="I27">
        <f>((1-Summary!$B$11)*IFERROR(B1103/Summary!$B$25,1)+Summary!$B$11*IFERROR(B1104/Summary!$B$26,1))*100</f>
        <v/>
      </c>
    </row>
    <row r="28">
      <c r="A28" t="inlineStr">
        <is>
          <t>ATTACK %</t>
        </is>
      </c>
      <c r="B28">
        <f>IFERROR(1/(I28-100),"n/a")</f>
        <v/>
      </c>
      <c r="C28" t="inlineStr">
        <is>
          <t>pct</t>
        </is>
      </c>
      <c r="D28">
        <f>Inputs!$B$7</f>
        <v/>
      </c>
      <c r="E28">
        <f>(Inputs!$B$7+1)</f>
        <v/>
      </c>
      <c r="F28">
        <f>Summary!$B$3</f>
        <v/>
      </c>
      <c r="G28">
        <f>B1150</f>
        <v/>
      </c>
      <c r="H28">
        <f>Summary!$B$3*(((1-Summary!$B$11)*IFERROR(B1148/Summary!$B$25,1)+Summary!$B$11*IFERROR(B1149/Summary!$B$26,1))-1)</f>
        <v/>
      </c>
      <c r="I28">
        <f>((1-Summary!$B$11)*IFERROR(B1148/Summary!$B$25,1)+Summary!$B$11*IFERROR(B1149/Summary!$B$26,1))*100</f>
        <v/>
      </c>
    </row>
    <row r="29">
      <c r="A29" t="inlineStr">
        <is>
          <t>Skill Cooldown Decrease (seconds)</t>
        </is>
      </c>
      <c r="B29">
        <f>IFERROR(1/(I29-100),"n/a")</f>
        <v/>
      </c>
      <c r="C29" t="inlineStr">
        <is>
          <t>flat</t>
        </is>
      </c>
      <c r="D29">
        <f>Inputs!$B$33</f>
        <v/>
      </c>
      <c r="E29">
        <f>(Inputs!$B$33+1)</f>
        <v/>
      </c>
      <c r="F29">
        <f>Summary!$B$3</f>
        <v/>
      </c>
      <c r="G29">
        <f>B1195</f>
        <v/>
      </c>
      <c r="H29">
        <f>Summary!$B$3*(((1-Summary!$B$11)*IFERROR(B1193/Summary!$B$25,1)+Summary!$B$11*IFERROR(B1194/Summary!$B$26,1))-1)</f>
        <v/>
      </c>
      <c r="I29">
        <f>((1-Summary!$B$11)*IFERROR(B1193/Summary!$B$25,1)+Summary!$B$11*IFERROR(B1194/Summary!$B$26,1))*100</f>
        <v/>
      </c>
    </row>
    <row r="30">
      <c r="A30" t="inlineStr">
        <is>
          <t>Basic Attack Target Increase (flat)</t>
        </is>
      </c>
      <c r="B30">
        <f>IFERROR(1/(I30-100),"n/a")</f>
        <v/>
      </c>
      <c r="C30" t="inlineStr">
        <is>
          <t>flat</t>
        </is>
      </c>
      <c r="D30">
        <f>Inputs!$B$34</f>
        <v/>
      </c>
      <c r="E30">
        <f>(Inputs!$B$34+1)</f>
        <v/>
      </c>
      <c r="F30">
        <f>Summary!$B$3</f>
        <v/>
      </c>
      <c r="G30">
        <f>B1240</f>
        <v/>
      </c>
      <c r="H30">
        <f>Summary!$B$3*(((1-Summary!$B$11)*IFERROR(B1238/Summary!$B$25,1)+Summary!$B$11*IFERROR(B1239/Summary!$B$26,1))-1)</f>
        <v/>
      </c>
      <c r="I30">
        <f>((1-Summary!$B$11)*IFERROR(B1238/Summary!$B$25,1)+Summary!$B$11*IFERROR(B1239/Summary!$B$26,1))*100</f>
        <v/>
      </c>
    </row>
    <row r="31">
      <c r="A31" t="inlineStr">
        <is>
          <t>Buff Duration Increase %</t>
        </is>
      </c>
      <c r="B31">
        <f>IFERROR(1/(I31-100),"n/a")</f>
        <v/>
      </c>
      <c r="C31" t="inlineStr">
        <is>
          <t>pct</t>
        </is>
      </c>
      <c r="D31">
        <f>Inputs!$B$35</f>
        <v/>
      </c>
      <c r="E31">
        <f>(Inputs!$B$35+1)</f>
        <v/>
      </c>
      <c r="F31">
        <f>Summary!$B$3</f>
        <v/>
      </c>
      <c r="G31">
        <f>B1285</f>
        <v/>
      </c>
      <c r="H31">
        <f>Summary!$B$3*(((1-Summary!$B$11)*IFERROR(B1283/Summary!$B$25,1)+Summary!$B$11*IFERROR(B1284/Summary!$B$26,1))-1)</f>
        <v/>
      </c>
      <c r="I31">
        <f>((1-Summary!$B$11)*IFERROR(B1283/Summary!$B$25,1)+Summary!$B$11*IFERROR(B1284/Summary!$B$26,1))*100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(IF(ArtifactsInput!$M$5,-1,1)*Summary!$B$3*(((1-Summary!$B$11)*IFERROR(B1328/Summary!$B$25,1)+Summary!$B$11*IFERROR(B1329/Summary!$B$26,1))-1)+ArtifactsInput!$L$5)</f>
        <v/>
      </c>
      <c r="AC34">
        <f>(Summary!$B$3+(IF(ArtifactsInput!$M$5,-1,1)*Summary!$B$3*(((1-Summary!$B$11)*IFERROR(B1328/Summary!$B$25,1)+Summary!$B$11*IFERROR(B1329/Summary!$B$26,1))-1)+ArtifactsInput!$L$5))/Summary!$B$3*100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(IF(ArtifactsInput!$M$6,-1,1)*Summary!$B$3*(((1-Summary!$B$11)*IFERROR(B1373/Summary!$B$25,1)+Summary!$B$11*IFERROR(B1374/Summary!$B$26,1))-1)+ArtifactsInput!$L$6)</f>
        <v/>
      </c>
      <c r="AC35">
        <f>(Summary!$B$3+(IF(ArtifactsInput!$M$6,-1,1)*Summary!$B$3*(((1-Summary!$B$11)*IFERROR(B1373/Summary!$B$25,1)+Summary!$B$11*IFERROR(B1374/Summary!$B$26,1))-1)+ArtifactsInput!$L$6))/Summary!$B$3*100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(IF(ArtifactsInput!$M$7,-1,1)*Summary!$B$3*(((1-Summary!$B$11)*IFERROR(B1418/Summary!$B$25,1)+Summary!$B$11*IFERROR(B1419/Summary!$B$26,1))-1)+ArtifactsInput!$L$7)</f>
        <v/>
      </c>
      <c r="AC36">
        <f>(Summary!$B$3+(IF(ArtifactsInput!$M$7,-1,1)*Summary!$B$3*(((1-Summary!$B$11)*IFERROR(B1418/Summary!$B$25,1)+Summary!$B$11*IFERROR(B1419/Summary!$B$26,1))-1)+ArtifactsInput!$L$7))/Summary!$B$3*100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(IF(ArtifactsInput!$M$8,-1,1)*Summary!$B$3*(((1-Summary!$B$11)*IFERROR(B1463/Summary!$B$25,1)+Summary!$B$11*IFERROR(B1464/Summary!$B$26,1))-1)+ArtifactsInput!$L$8)</f>
        <v/>
      </c>
      <c r="AC37">
        <f>(Summary!$B$3+(IF(ArtifactsInput!$M$8,-1,1)*Summary!$B$3*(((1-Summary!$B$11)*IFERROR(B1463/Summary!$B$25,1)+Summary!$B$11*IFERROR(B1464/Summary!$B$26,1))-1)+ArtifactsInput!$L$8))/Summary!$B$3*100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(IF(ArtifactsInput!$M$10,-1,1)*Summary!$B$3*(((1-Summary!$B$11)*IFERROR(B1508/Summary!$B$25,1)+Summary!$B$11*IFERROR(B1509/Summary!$B$26,1))-1)+ArtifactsInput!$L$10)</f>
        <v/>
      </c>
      <c r="AC38">
        <f>(Summary!$B$3+(IF(ArtifactsInput!$M$10,-1,1)*Summary!$B$3*(((1-Summary!$B$11)*IFERROR(B1508/Summary!$B$25,1)+Summary!$B$11*IFERROR(B1509/Summary!$B$26,1))-1)+ArtifactsInput!$L$10))/Summary!$B$3*100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(IF(ArtifactsInput!$M$11,-1,1)*Summary!$B$3*(((1-Summary!$B$11)*IFERROR(B1553/Summary!$B$25,1)+Summary!$B$11*IFERROR(B1554/Summary!$B$26,1))-1)+ArtifactsInput!$L$11)</f>
        <v/>
      </c>
      <c r="AC39">
        <f>(Summary!$B$3+(IF(ArtifactsInput!$M$11,-1,1)*Summary!$B$3*(((1-Summary!$B$11)*IFERROR(B1553/Summary!$B$25,1)+Summary!$B$11*IFERROR(B1554/Summary!$B$26,1))-1)+ArtifactsInput!$L$11))/Summary!$B$3*100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(IF(ArtifactsInput!$M$12,-1,1)*Summary!$B$3*(((1-Summary!$B$11)*IFERROR(B1598/Summary!$B$25,1)+Summary!$B$11*IFERROR(B1599/Summary!$B$26,1))-1)+ArtifactsInput!$L$12)</f>
        <v/>
      </c>
      <c r="AC40">
        <f>(Summary!$B$3+(IF(ArtifactsInput!$M$12,-1,1)*Summary!$B$3*(((1-Summary!$B$11)*IFERROR(B1598/Summary!$B$25,1)+Summary!$B$11*IFERROR(B1599/Summary!$B$26,1))-1)+ArtifactsInput!$L$12))/Summary!$B$3*100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(IF(ArtifactsInput!$M$13,-1,1)*Summary!$B$3*(((1-Summary!$B$11)*IFERROR(B1643/Summary!$B$25,1)+Summary!$B$11*IFERROR(B1644/Summary!$B$26,1))-1)+ArtifactsInput!$L$13)</f>
        <v/>
      </c>
      <c r="AC41">
        <f>(Summary!$B$3+(IF(ArtifactsInput!$M$13,-1,1)*Summary!$B$3*(((1-Summary!$B$11)*IFERROR(B1643/Summary!$B$25,1)+Summary!$B$11*IFERROR(B1644/Summary!$B$26,1))-1)+ArtifactsInput!$L$13))/Summary!$B$3*100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(IF(ArtifactsInput!$M$14,-1,1)*Summary!$B$3*(((1-Summary!$B$11)*IFERROR(B1688/Summary!$B$25,1)+Summary!$B$11*IFERROR(B1689/Summary!$B$26,1))-1)+ArtifactsInput!$L$14)</f>
        <v/>
      </c>
      <c r="AC42">
        <f>(Summary!$B$3+(IF(ArtifactsInput!$M$14,-1,1)*Summary!$B$3*(((1-Summary!$B$11)*IFERROR(B1688/Summary!$B$25,1)+Summary!$B$11*IFERROR(B1689/Summary!$B$26,1))-1)+ArtifactsInput!$L$14))/Summary!$B$3*100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(IF(ArtifactsInput!$M$15,-1,1)*Summary!$B$3*(((1-Summary!$B$11)*IFERROR(B1733/Summary!$B$25,1)+Summary!$B$11*IFERROR(B1734/Summary!$B$26,1))-1)+ArtifactsInput!$L$15)</f>
        <v/>
      </c>
      <c r="AC43">
        <f>(Summary!$B$3+(IF(ArtifactsInput!$M$15,-1,1)*Summary!$B$3*(((1-Summary!$B$11)*IFERROR(B1733/Summary!$B$25,1)+Summary!$B$11*IFERROR(B1734/Summary!$B$26,1))-1)+ArtifactsInput!$L$15))/Summary!$B$3*100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(IF(ArtifactsInput!$M$16,-1,1)*Summary!$B$3*(((1-Summary!$B$11)*IFERROR(B1778/Summary!$B$25,1)+Summary!$B$11*IFERROR(B1779/Summary!$B$26,1))-1)+ArtifactsInput!$L$16)</f>
        <v/>
      </c>
      <c r="AC44">
        <f>(Summary!$B$3+(IF(ArtifactsInput!$M$16,-1,1)*Summary!$B$3*(((1-Summary!$B$11)*IFERROR(B1778/Summary!$B$25,1)+Summary!$B$11*IFERROR(B1779/Summary!$B$26,1))-1)+ArtifactsInput!$L$16))/Summary!$B$3*100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(IF(ArtifactsInput!$M$17,-1,1)*Summary!$B$3*(((1-Summary!$B$11)*IFERROR(B1823/Summary!$B$25,1)+Summary!$B$11*IFERROR(B1824/Summary!$B$26,1))-1)+ArtifactsInput!$L$17)</f>
        <v/>
      </c>
      <c r="AC45">
        <f>(Summary!$B$3+(IF(ArtifactsInput!$M$17,-1,1)*Summary!$B$3*(((1-Summary!$B$11)*IFERROR(B1823/Summary!$B$25,1)+Summary!$B$11*IFERROR(B1824/Summary!$B$26,1))-1)+ArtifactsInput!$L$17))/Summary!$B$3*100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(IF(ArtifactsInput!$M$18,-1,1)*Summary!$B$3*(((1-Summary!$B$11)*IFERROR(B1868/Summary!$B$25,1)+Summary!$B$11*IFERROR(B1869/Summary!$B$26,1))-1)+ArtifactsInput!$L$18)</f>
        <v/>
      </c>
      <c r="AC46">
        <f>(Summary!$B$3+(IF(ArtifactsInput!$M$18,-1,1)*Summary!$B$3*(((1-Summary!$B$11)*IFERROR(B1868/Summary!$B$25,1)+Summary!$B$11*IFERROR(B1869/Summary!$B$26,1))-1)+ArtifactsInput!$L$18))/Summary!$B$3*100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(IF(ArtifactsInput!$M$20,-1,1)*Summary!$B$3*(((1-Summary!$B$11)*IFERROR(B1913/Summary!$B$25,1)+Summary!$B$11*IFERROR(B1914/Summary!$B$26,1))-1)+ArtifactsInput!$L$20)</f>
        <v/>
      </c>
      <c r="AC47">
        <f>(Summary!$B$3+(IF(ArtifactsInput!$M$20,-1,1)*Summary!$B$3*(((1-Summary!$B$11)*IFERROR(B1913/Summary!$B$25,1)+Summary!$B$11*IFERROR(B1914/Summary!$B$26,1))-1)+ArtifactsInput!$L$20))/Summary!$B$3*100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(IF(ArtifactsInput!$M$21,-1,1)*Summary!$B$3*(((1-Summary!$B$11)*IFERROR(B1958/Summary!$B$25,1)+Summary!$B$11*IFERROR(B1959/Summary!$B$26,1))-1)+ArtifactsInput!$L$21)</f>
        <v/>
      </c>
      <c r="AC48">
        <f>(Summary!$B$3+(IF(ArtifactsInput!$M$21,-1,1)*Summary!$B$3*(((1-Summary!$B$11)*IFERROR(B1958/Summary!$B$25,1)+Summary!$B$11*IFERROR(B1959/Summary!$B$26,1))-1)+ArtifactsInput!$L$21))/Summary!$B$3*100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(IF(ArtifactsInput!$M$22,-1,1)*Summary!$B$3*(((1-Summary!$B$11)*IFERROR(B2003/Summary!$B$25,1)+Summary!$B$11*IFERROR(B2004/Summary!$B$26,1))-1)+ArtifactsInput!$L$22)</f>
        <v/>
      </c>
      <c r="AC49">
        <f>(Summary!$B$3+(IF(ArtifactsInput!$M$22,-1,1)*Summary!$B$3*(((1-Summary!$B$11)*IFERROR(B2003/Summary!$B$25,1)+Summary!$B$11*IFERROR(B2004/Summary!$B$26,1))-1)+ArtifactsInput!$L$22))/Summary!$B$3*100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(IF(ArtifactsInput!$M$23,-1,1)*Summary!$B$3*(((1-Summary!$B$11)*IFERROR(B2048/Summary!$B$25,1)+Summary!$B$11*IFERROR(B2049/Summary!$B$26,1))-1)+ArtifactsInput!$L$23)</f>
        <v/>
      </c>
      <c r="AC50">
        <f>(Summary!$B$3+(IF(ArtifactsInput!$M$23,-1,1)*Summary!$B$3*(((1-Summary!$B$11)*IFERROR(B2048/Summary!$B$25,1)+Summary!$B$11*IFERROR(B2049/Summary!$B$26,1))-1)+ArtifactsInput!$L$23))/Summary!$B$3*100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(IF(ArtifactsInput!$M$24,-1,1)*Summary!$B$3*(((1-Summary!$B$11)*IFERROR(B2093/Summary!$B$25,1)+Summary!$B$11*IFERROR(B2094/Summary!$B$26,1))-1)+ArtifactsInput!$L$24)</f>
        <v/>
      </c>
      <c r="AC51">
        <f>(Summary!$B$3+(IF(ArtifactsInput!$M$24,-1,1)*Summary!$B$3*(((1-Summary!$B$11)*IFERROR(B2093/Summary!$B$25,1)+Summary!$B$11*IFERROR(B2094/Summary!$B$26,1))-1)+ArtifactsInput!$L$24))/Summary!$B$3*100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(IF(ArtifactsInput!$M$25,-1,1)*Summary!$B$3*(((1-Summary!$B$11)*IFERROR(B2138/Summary!$B$25,1)+Summary!$B$11*IFERROR(B2139/Summary!$B$26,1))-1)+ArtifactsInput!$L$25)</f>
        <v/>
      </c>
      <c r="AC52">
        <f>(Summary!$B$3+(IF(ArtifactsInput!$M$25,-1,1)*Summary!$B$3*(((1-Summary!$B$11)*IFERROR(B2138/Summary!$B$25,1)+Summary!$B$11*IFERROR(B2139/Summary!$B$26,1))-1)+ArtifactsInput!$L$25))/Summary!$B$3*100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(IF(ArtifactsInput!$M$26,-1,1)*Summary!$B$3*(((1-Summary!$B$11)*IFERROR(B2183/Summary!$B$25,1)+Summary!$B$11*IFERROR(B2184/Summary!$B$26,1))-1)+ArtifactsInput!$L$26)</f>
        <v/>
      </c>
      <c r="AC53">
        <f>(Summary!$B$3+(IF(ArtifactsInput!$M$26,-1,1)*Summary!$B$3*(((1-Summary!$B$11)*IFERROR(B2183/Summary!$B$25,1)+Summary!$B$11*IFERROR(B2184/Summary!$B$26,1))-1)+ArtifactsInput!$L$26))/Summary!$B$3*100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(IF(ArtifactsInput!$M$27,-1,1)*Summary!$B$3*(((1-Summary!$B$11)*IFERROR(B2228/Summary!$B$25,1)+Summary!$B$11*IFERROR(B2229/Summary!$B$26,1))-1)+ArtifactsInput!$L$27)</f>
        <v/>
      </c>
      <c r="AC54">
        <f>(Summary!$B$3+(IF(ArtifactsInput!$M$27,-1,1)*Summary!$B$3*(((1-Summary!$B$11)*IFERROR(B2228/Summary!$B$25,1)+Summary!$B$11*IFERROR(B2229/Summary!$B$26,1))-1)+ArtifactsInput!$L$27))/Summary!$B$3*100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(IF(ArtifactsInput!$M$28,-1,1)*Summary!$B$3*(((1-Summary!$B$11)*IFERROR(B2273/Summary!$B$25,1)+Summary!$B$11*IFERROR(B2274/Summary!$B$26,1))-1)+ArtifactsInput!$L$28)</f>
        <v/>
      </c>
      <c r="AC55">
        <f>(Summary!$B$3+(IF(ArtifactsInput!$M$28,-1,1)*Summary!$B$3*(((1-Summary!$B$11)*IFERROR(B2273/Summary!$B$25,1)+Summary!$B$11*IFERROR(B2274/Summary!$B$26,1))-1)+ArtifactsInput!$L$28))/Summary!$B$3*100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(IF(ArtifactsInput!$M$29,-1,1)*Summary!$B$3*(((1-Summary!$B$11)*IFERROR(B2318/Summary!$B$25,1)+Summary!$B$11*IFERROR(B2319/Summary!$B$26,1))-1)+ArtifactsInput!$L$29)</f>
        <v/>
      </c>
      <c r="AC56">
        <f>(Summary!$B$3+(IF(ArtifactsInput!$M$29,-1,1)*Summary!$B$3*(((1-Summary!$B$11)*IFERROR(B2318/Summary!$B$25,1)+Summary!$B$11*IFERROR(B2319/Summary!$B$26,1))-1)+ArtifactsInput!$L$29))/Summary!$B$3*100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(IF(ArtifactsInput!$M$30,-1,1)*Summary!$B$3*(((1-Summary!$B$11)*IFERROR(B2363/Summary!$B$25,1)+Summary!$B$11*IFERROR(B2364/Summary!$B$26,1))-1)+ArtifactsInput!$L$30)</f>
        <v/>
      </c>
      <c r="AC57">
        <f>(Summary!$B$3+(IF(ArtifactsInput!$M$30,-1,1)*Summary!$B$3*(((1-Summary!$B$11)*IFERROR(B2363/Summary!$B$25,1)+Summary!$B$11*IFERROR(B2364/Summary!$B$26,1))-1)+ArtifactsInput!$L$30))/Summary!$B$3*100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(IF(ArtifactsInput!$M$31,-1,1)*Summary!$B$3*(((1-Summary!$B$11)*IFERROR(B2408/Summary!$B$25,1)+Summary!$B$11*IFERROR(B2409/Summary!$B$26,1))-1)+ArtifactsInput!$L$31)</f>
        <v/>
      </c>
      <c r="AC58">
        <f>(Summary!$B$3+(IF(ArtifactsInput!$M$31,-1,1)*Summary!$B$3*(((1-Summary!$B$11)*IFERROR(B2408/Summary!$B$25,1)+Summary!$B$11*IFERROR(B2409/Summary!$B$26,1))-1)+ArtifactsInput!$L$31))/Summary!$B$3*100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(IF(ArtifactsInput!$M$32,-1,1)*Summary!$B$3*(((1-Summary!$B$11)*IFERROR(B2453/Summary!$B$25,1)+Summary!$B$11*IFERROR(B2454/Summary!$B$26,1))-1)+ArtifactsInput!$L$32)</f>
        <v/>
      </c>
      <c r="AC59">
        <f>(Summary!$B$3+(IF(ArtifactsInput!$M$32,-1,1)*Summary!$B$3*(((1-Summary!$B$11)*IFERROR(B2453/Summary!$B$25,1)+Summary!$B$11*IFERROR(B2454/Summary!$B$26,1))-1)+ArtifactsInput!$L$32))/Summary!$B$3*100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(IF(ArtifactsInput!$M$33,-1,1)*Summary!$B$3*(((1-Summary!$B$11)*IFERROR(B2498/Summary!$B$25,1)+Summary!$B$11*IFERROR(B2499/Summary!$B$26,1))-1)+ArtifactsInput!$L$33)</f>
        <v/>
      </c>
      <c r="AC60">
        <f>(Summary!$B$3+(IF(ArtifactsInput!$M$33,-1,1)*Summary!$B$3*(((1-Summary!$B$11)*IFERROR(B2498/Summary!$B$25,1)+Summary!$B$11*IFERROR(B2499/Summary!$B$26,1))-1)+ArtifactsInput!$L$33))/Summary!$B$3*100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(IF(ArtifactsInput!$M$34,-1,1)*Summary!$B$3*(((1-Summary!$B$11)*IFERROR(B2543/Summary!$B$25,1)+Summary!$B$11*IFERROR(B2544/Summary!$B$26,1))-1)+ArtifactsInput!$L$34)</f>
        <v/>
      </c>
      <c r="AC61">
        <f>(Summary!$B$3+(IF(ArtifactsInput!$M$34,-1,1)*Summary!$B$3*(((1-Summary!$B$11)*IFERROR(B2543/Summary!$B$25,1)+Summary!$B$11*IFERROR(B2544/Summary!$B$26,1))-1)+ArtifactsInput!$L$34))/Summary!$B$3*100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(IF(ArtifactsInput!$M$35,-1,1)*Summary!$B$3*(((1-Summary!$B$11)*IFERROR(B2588/Summary!$B$25,1)+Summary!$B$11*IFERROR(B2589/Summary!$B$26,1))-1)+ArtifactsInput!$L$35)</f>
        <v/>
      </c>
      <c r="AC62">
        <f>(Summary!$B$3+(IF(ArtifactsInput!$M$35,-1,1)*Summary!$B$3*(((1-Summary!$B$11)*IFERROR(B2588/Summary!$B$25,1)+Summary!$B$11*IFERROR(B2589/Summary!$B$26,1))-1)+ArtifactsInput!$L$35))/Summary!$B$3*100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(IF(ArtifactsInput!$M$36,-1,1)*Summary!$B$3*(((1-Summary!$B$11)*IFERROR(B2633/Summary!$B$25,1)+Summary!$B$11*IFERROR(B2634/Summary!$B$26,1))-1)+ArtifactsInput!$L$36)</f>
        <v/>
      </c>
      <c r="AC63">
        <f>(Summary!$B$3+(IF(ArtifactsInput!$M$36,-1,1)*Summary!$B$3*(((1-Summary!$B$11)*IFERROR(B2633/Summary!$B$25,1)+Summary!$B$11*IFERROR(B2634/Summary!$B$26,1))-1)+ArtifactsInput!$L$36))/Summary!$B$3*100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(IF(ArtifactsInput!$M$37,-1,1)*Summary!$B$3*(((1-Summary!$B$11)*IFERROR(B2678/Summary!$B$25,1)+Summary!$B$11*IFERROR(B2679/Summary!$B$26,1))-1)+ArtifactsInput!$L$37)</f>
        <v/>
      </c>
      <c r="AC64">
        <f>(Summary!$B$3+(IF(ArtifactsInput!$M$37,-1,1)*Summary!$B$3*(((1-Summary!$B$11)*IFERROR(B2678/Summary!$B$25,1)+Summary!$B$11*IFERROR(B2679/Summary!$B$26,1))-1)+ArtifactsInput!$L$37))/Summary!$B$3*100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(IF(ArtifactsInput!$M$38,-1,1)*Summary!$B$3*(((1-Summary!$B$11)*IFERROR(B2723/Summary!$B$25,1)+Summary!$B$11*IFERROR(B2724/Summary!$B$26,1))-1)+ArtifactsInput!$L$38)</f>
        <v/>
      </c>
      <c r="AC65">
        <f>(Summary!$B$3+(IF(ArtifactsInput!$M$38,-1,1)*Summary!$B$3*(((1-Summary!$B$11)*IFERROR(B2723/Summary!$B$25,1)+Summary!$B$11*IFERROR(B2724/Summary!$B$26,1))-1)+ArtifactsInput!$L$38))/Summary!$B$3*100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(IF(ArtifactsInput!$M$39,-1,1)*Summary!$B$3*(((1-Summary!$B$11)*IFERROR(B2768/Summary!$B$25,1)+Summary!$B$11*IFERROR(B2769/Summary!$B$26,1))-1)+ArtifactsInput!$L$39)</f>
        <v/>
      </c>
      <c r="AC66">
        <f>(Summary!$B$3+(IF(ArtifactsInput!$M$39,-1,1)*Summary!$B$3*(((1-Summary!$B$11)*IFERROR(B2768/Summary!$B$25,1)+Summary!$B$11*IFERROR(B2769/Summary!$B$26,1))-1)+ArtifactsInput!$L$39))/Summary!$B$3*100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(IF(ArtifactsInput!$M$40,-1,1)*Summary!$B$3*(((1-Summary!$B$11)*IFERROR(B2813/Summary!$B$25,1)+Summary!$B$11*IFERROR(B2814/Summary!$B$26,1))-1)+ArtifactsInput!$L$40)</f>
        <v/>
      </c>
      <c r="AC67">
        <f>(Summary!$B$3+(IF(ArtifactsInput!$M$40,-1,1)*Summary!$B$3*(((1-Summary!$B$11)*IFERROR(B2813/Summary!$B$25,1)+Summary!$B$11*IFERROR(B2814/Summary!$B$26,1))-1)+ArtifactsInput!$L$40))/Summary!$B$3*100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(IF(ArtifactsInput!$M$41,-1,1)*Summary!$B$3*(((1-Summary!$B$11)*IFERROR(B2858/Summary!$B$25,1)+Summary!$B$11*IFERROR(B2859/Summary!$B$26,1))-1)+ArtifactsInput!$L$41)</f>
        <v/>
      </c>
      <c r="AC68">
        <f>(Summary!$B$3+(IF(ArtifactsInput!$M$41,-1,1)*Summary!$B$3*(((1-Summary!$B$11)*IFERROR(B2858/Summary!$B$25,1)+Summary!$B$11*IFERROR(B2859/Summary!$B$26,1))-1)+ArtifactsInput!$L$41))/Summary!$B$3*100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(IF(ArtifactsInput!$M$42,-1,1)*Summary!$B$3*(((1-Summary!$B$11)*IFERROR(B2903/Summary!$B$25,1)+Summary!$B$11*IFERROR(B2904/Summary!$B$26,1))-1)+ArtifactsInput!$L$42)</f>
        <v/>
      </c>
      <c r="AC69">
        <f>(Summary!$B$3+(IF(ArtifactsInput!$M$42,-1,1)*Summary!$B$3*(((1-Summary!$B$11)*IFERROR(B2903/Summary!$B$25,1)+Summary!$B$11*IFERROR(B2904/Summary!$B$26,1))-1)+ArtifactsInput!$L$42))/Summary!$B$3*100</f>
        <v/>
      </c>
      <c r="AD69">
        <f>ArtifactsInput!$B$42&lt;&gt;"Not Unlocked"</f>
        <v/>
      </c>
      <c r="AE69">
        <f>IF(AD69,SUMPRODUCT(($AD$34:$AD$69)*($AC$34:$AC$69&gt;AC69))+COUNTIFS($AD$34:AD69,TRUE,$AC$34:AC69,AC69),"")</f>
        <v/>
      </c>
    </row>
    <row r="72">
      <c r="A72" s="6" t="inlineStr">
        <is>
          <t>Stat: Flat INT</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R73" t="inlineStr">
        <is>
          <t>helpers</t>
        </is>
      </c>
    </row>
    <row r="74">
      <c r="A74">
        <f>Skills!A2</f>
        <v/>
      </c>
      <c r="B74">
        <f>Skills!B2</f>
        <v/>
      </c>
      <c r="C74">
        <f>Inputs!$B$3&gt;=100</f>
        <v/>
      </c>
      <c r="D74" t="inlineStr"/>
      <c r="E74" t="inlineStr"/>
      <c r="F74">
        <f>T76+Skills!N2</f>
        <v/>
      </c>
      <c r="G74">
        <f>Calc!G2</f>
        <v/>
      </c>
      <c r="H74">
        <f>Calc!H2</f>
        <v/>
      </c>
      <c r="I74">
        <f>IF(Skills!T2&lt;&gt;"",1+(Skills!T2/10)*($Z$3/1000)/100,1)</f>
        <v/>
      </c>
      <c r="J74">
        <f>((Inputs!$B$6*(1+Inputs!$B$7/100))+((((Inputs!$B$13+1)*(1+Inputs!$B$14/100))-(Inputs!$B$13*(1+Inputs!$B$14/100)))+0.25*(Inputs!$B$15-Inputs!$B$15))*(1+Inputs!$B$7/100))*(F74/100)</f>
        <v/>
      </c>
      <c r="K74">
        <f>J74*(1+((((Inputs!$B$13+1)+IF(Inputs!$B$3&gt;=35,(10*INDEX(FactorTable!$B$2:$Y$301,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2="TRIUMPH_FEATHER",IF(C88=TRUE,F88,0),0)/100)*(1+IF(C99=TRUE,F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74)</f>
        <v/>
      </c>
      <c r="L74">
        <f>K74*(MIN(Inputs!$B$23+(F94-Calc!F22),(Inputs!$B$24+IF(ArtifactsInput!$M$15,CHOOSE(ArtifactsInput!$N$15+1,25,30,35,40,45,50)/100*(Inputs!$B$12-Inputs!$B$12),0)))/100+(Inputs!$B$24+IF(ArtifactsInput!$M$15,CHOOSE(ArtifactsInput!$N$15+1,25,30,35,40,45,50)/100*(Inputs!$B$12-Inputs!$B$12),0))/100)/2</f>
        <v/>
      </c>
      <c r="M74">
        <f>L74*(1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
        <f>L74*(1-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(1-Summary!$B$11)*S74+Summary!$B$11*U74</f>
        <v/>
      </c>
      <c r="P74">
        <f>IF(B115=0,0,O74/B115)</f>
        <v/>
      </c>
      <c r="Q74">
        <f>IFERROR(1/(IF(Inputs!$B$39="pvp",15,MAX(0.1,Skills!D2-IF(Skills!E2=TRUE,Inputs!$B$33,0)))*(1-IF(AND(ArtifactsInput!$M$27,Inputs!$B$4="Chapter Hunt"),CHOOSE(ArtifactsInput!$N$27+1,20,24,28,32,36,40),0)/100)),0)</f>
        <v/>
      </c>
      <c r="R74" t="n">
        <v>0</v>
      </c>
      <c r="S74">
        <f>IF(C74,(Skills!F2*N74*B110)*IF(Inputs!$B$39="pvp",1,1+(Inputs!$B$21+Skills!O2+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
        <f>MAX(0,(Inputs!$B$3-100)*3)+Inputs!$B$29+Inputs!$B$30</f>
        <v/>
      </c>
      <c r="U74">
        <f>IF(C74,(Skills!F2*N74*B110)*IF(Inputs!$B$39="pvp",1,(1+(Inputs!$B$22+Skills!P2+B104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Inputs!$B$3&gt;=15</f>
        <v/>
      </c>
      <c r="D75">
        <f>IF(Skills!C3=1,60+Inputs!$B$26+Inputs!$B$30,IF(Skills!C3=2,90+Inputs!$B$27+Inputs!$B$30,IF(Skills!C3=3,120+Inputs!$B$28+Inputs!$B$30,MAX(0,(Inputs!$B$3-100)*3)+Inputs!$B$29+Inputs!$B$30)))</f>
        <v/>
      </c>
      <c r="E75">
        <f>INDEX(FactorTable!$B$2:$Y$301, MATCH(ROUND(MIN(300,MAX(1,D75)),0), FactorTable!$A$2:$A$301,0), Skills!L3+1)</f>
        <v/>
      </c>
      <c r="F75">
        <f>IF(Skills!M3=TRUE,(Skills!K3/10)*(E75/1000),Skills!K3/10)+Skills!N3</f>
        <v/>
      </c>
      <c r="G75">
        <f>Calc!G3</f>
        <v/>
      </c>
      <c r="H75">
        <f>Calc!H3</f>
        <v/>
      </c>
      <c r="I75">
        <f>IF(Skills!T3&lt;&gt;"",1+(Skills!T3/10)*($Z$3/1000)/100,1)</f>
        <v/>
      </c>
      <c r="J75" t="inlineStr"/>
      <c r="K75" t="inlineStr"/>
      <c r="L75" t="inlineStr"/>
      <c r="M75" t="inlineStr"/>
      <c r="N75" t="inlineStr"/>
      <c r="O75">
        <f>(1-Summary!$B$11)*S75+Summary!$B$11*U75</f>
        <v/>
      </c>
      <c r="P75">
        <f>IF(B115=0,0,O75/B115)</f>
        <v/>
      </c>
      <c r="Q75">
        <f>IFERROR(1/(IF(Inputs!$B$39="pvp",15,MAX(0.1,Skills!D3-IF(Skills!E3=TRUE,Inputs!$B$33,0)))*(1-IF(AND(ArtifactsInput!$M$27,Inputs!$B$4="Chapter Hunt"),CHOOSE(ArtifactsInput!$N$27+1,20,24,28,32,36,40),0)/100)),0)</f>
        <v/>
      </c>
      <c r="R75">
        <f>IF(AND(Inputs!$B$39&lt;&gt;"pvp",Inputs!$B$44&gt;0),IF(Inputs!$B$44&lt;=0,0,(INT(Inputs!$B$44/(IF(Inputs!$B$39="pvp",15,MAX(0.1,Skills!D3-IF(Skills!E3=TRUE,Inputs!$B$33,0)))*(1-IF(AND(ArtifactsInput!$M$27,Inputs!$B$4="Chapter Hunt"),CHOOSE(ArtifactsInput!$N$27+1,20,24,28,32,36,40),0)/100)))+1)),0)</f>
        <v/>
      </c>
      <c r="S75" t="n">
        <v>0</v>
      </c>
      <c r="T75">
        <f>INDEX(FactorTable!$B$2:$Y$301, MATCH(ROUND(MIN(300,MAX(1,T74)),0), FactorTable!$A$2:$A$301,0), 22)</f>
        <v/>
      </c>
      <c r="U75" t="n">
        <v>0</v>
      </c>
    </row>
    <row r="76">
      <c r="A76">
        <f>Skills!A4</f>
        <v/>
      </c>
      <c r="B76">
        <f>Skills!B4</f>
        <v/>
      </c>
      <c r="C76">
        <f>Inputs!$B$3&gt;=38</f>
        <v/>
      </c>
      <c r="D76">
        <f>IF(Skills!C4=1,60+Inputs!$B$26+Inputs!$B$30,IF(Skills!C4=2,90+Inputs!$B$27+Inputs!$B$30,IF(Skills!C4=3,120+Inputs!$B$28+Inputs!$B$30,MAX(0,(Inputs!$B$3-100)*3)+Inputs!$B$29+Inputs!$B$30)))</f>
        <v/>
      </c>
      <c r="E76">
        <f>INDEX(FactorTable!$B$2:$Y$301, MATCH(ROUND(MIN(300,MAX(1,D76)),0), FactorTable!$A$2:$A$301,0), Skills!L4+1)</f>
        <v/>
      </c>
      <c r="F76">
        <f>IF(Skills!M4=TRUE,(Skills!K4/10)*(E76/1000),Skills!K4/10)+Skills!N4</f>
        <v/>
      </c>
      <c r="G76">
        <f>Calc!G4</f>
        <v/>
      </c>
      <c r="H76">
        <f>Calc!H4</f>
        <v/>
      </c>
      <c r="I76">
        <f>IF(Skills!T4&lt;&gt;"",1+(Skills!T4/10)*($Z$3/1000)/100,1)</f>
        <v/>
      </c>
      <c r="J76" t="inlineStr"/>
      <c r="K76" t="inlineStr"/>
      <c r="L76" t="inlineStr"/>
      <c r="M76" t="inlineStr"/>
      <c r="N76" t="inlineStr"/>
      <c r="O76">
        <f>(1-Summary!$B$11)*S76+Summary!$B$11*U76</f>
        <v/>
      </c>
      <c r="P76">
        <f>IF(B115=0,0,O76/B115)</f>
        <v/>
      </c>
      <c r="Q76">
        <f>IFERROR(1/(IF(Inputs!$B$39="pvp",15,MAX(0.1,Skills!D4-IF(Skills!E4=TRUE,Inputs!$B$33,0)))*(1-IF(AND(ArtifactsInput!$M$27,Inputs!$B$4="Chapter Hunt"),CHOOSE(ArtifactsInput!$N$27+1,20,24,28,32,36,40),0)/100)),0)</f>
        <v/>
      </c>
      <c r="R76">
        <f>IF(AND(Inputs!$B$39&lt;&gt;"pvp",Inputs!$B$44&gt;0),IF(Inputs!$B$44&lt;=0,0,(INT(Inputs!$B$44/(IF(Inputs!$B$39="pvp",15,MAX(0.1,Skills!D4-IF(Skills!E4=TRUE,Inputs!$B$33,0)))*(1-IF(AND(ArtifactsInput!$M$27,Inputs!$B$4="Chapter Hunt"),CHOOSE(ArtifactsInput!$N$27+1,20,24,28,32,36,40),0)/100)))+1)),0)</f>
        <v/>
      </c>
      <c r="S76" t="n">
        <v>0</v>
      </c>
      <c r="T76">
        <f>290*T75/1000</f>
        <v/>
      </c>
      <c r="U76" t="n">
        <v>0</v>
      </c>
    </row>
    <row r="77">
      <c r="A77">
        <f>Skills!A5</f>
        <v/>
      </c>
      <c r="B77">
        <f>Skills!B5</f>
        <v/>
      </c>
      <c r="C77">
        <f>Inputs!$B$3&gt;=40</f>
        <v/>
      </c>
      <c r="D77">
        <f>IF(Skills!C5=1,60+Inputs!$B$26+Inputs!$B$30,IF(Skills!C5=2,90+Inputs!$B$27+Inputs!$B$30,IF(Skills!C5=3,120+Inputs!$B$28+Inputs!$B$30,MAX(0,(Inputs!$B$3-100)*3)+Inputs!$B$29+Inputs!$B$30)))</f>
        <v/>
      </c>
      <c r="E77">
        <f>INDEX(FactorTable!$B$2:$Y$301, MATCH(ROUND(MIN(300,MAX(1,D77)),0), FactorTable!$A$2:$A$301,0), Skills!L5+1)</f>
        <v/>
      </c>
      <c r="F77">
        <f>IF(Skills!M5=TRUE,(Skills!K5/10)*(E77/1000),Skills!K5/10)+Skills!N5</f>
        <v/>
      </c>
      <c r="G77">
        <f>Calc!G5</f>
        <v/>
      </c>
      <c r="H77">
        <f>Calc!H5</f>
        <v/>
      </c>
      <c r="I77">
        <f>IF(Skills!T5&lt;&gt;"",1+(Skills!T5/10)*($Z$3/1000)/100,1)</f>
        <v/>
      </c>
      <c r="J77" t="inlineStr"/>
      <c r="K77" t="inlineStr"/>
      <c r="L77" t="inlineStr"/>
      <c r="M77" t="inlineStr"/>
      <c r="N77" t="inlineStr"/>
      <c r="O77">
        <f>(1-Summary!$B$11)*S77+Summary!$B$11*U77</f>
        <v/>
      </c>
      <c r="P77">
        <f>IF(B115=0,0,O77/B115)</f>
        <v/>
      </c>
      <c r="Q77">
        <f>IFERROR(1/(IF(Inputs!$B$39="pvp",15,MAX(0.1,Skills!D5-IF(Skills!E5=TRUE,Inputs!$B$33,0)))*(1-IF(AND(ArtifactsInput!$M$27,Inputs!$B$4="Chapter Hunt"),CHOOSE(ArtifactsInput!$N$27+1,20,24,28,32,36,40),0)/100)),0)</f>
        <v/>
      </c>
      <c r="R77">
        <f>IF(AND(Inputs!$B$39&lt;&gt;"pvp",Inputs!$B$44&gt;0),IF(Inputs!$B$44&lt;=0,0,(INT(Inputs!$B$44/(IF(Inputs!$B$39="pvp",15,MAX(0.1,Skills!D5-IF(Skills!E5=TRUE,Inputs!$B$33,0)))*(1-IF(AND(ArtifactsInput!$M$27,Inputs!$B$4="Chapter Hunt"),CHOOSE(ArtifactsInput!$N$27+1,20,24,28,32,36,40),0)/100)))+1)),0)</f>
        <v/>
      </c>
      <c r="S77" t="n">
        <v>0</v>
      </c>
      <c r="U77" t="n">
        <v>0</v>
      </c>
    </row>
    <row r="78">
      <c r="A78">
        <f>Skills!A6</f>
        <v/>
      </c>
      <c r="B78">
        <f>Skills!B6</f>
        <v/>
      </c>
      <c r="C78">
        <f>Inputs!$B$3&gt;=103</f>
        <v/>
      </c>
      <c r="D78">
        <f>IF(Skills!C6=1,60+Inputs!$B$26+Inputs!$B$30,IF(Skills!C6=2,90+Inputs!$B$27+Inputs!$B$30,IF(Skills!C6=3,120+Inputs!$B$28+Inputs!$B$30,MAX(0,(Inputs!$B$3-100)*3)+Inputs!$B$29+Inputs!$B$30)))</f>
        <v/>
      </c>
      <c r="E78">
        <f>INDEX(FactorTable!$B$2:$Y$301, MATCH(ROUND(MIN(300,MAX(1,D78)),0), FactorTable!$A$2:$A$301,0), Skills!L6+1)</f>
        <v/>
      </c>
      <c r="F78">
        <f>IF(Skills!M6=TRUE,(Skills!K6/10)*(E78/1000),Skills!K6/10)+Skills!N6</f>
        <v/>
      </c>
      <c r="G78">
        <f>Calc!G6</f>
        <v/>
      </c>
      <c r="H78">
        <f>Calc!H6</f>
        <v/>
      </c>
      <c r="I78">
        <f>IF(Skills!T6&lt;&gt;"",1+(Skills!T6/10)*($Z$3/1000)/100,1)</f>
        <v/>
      </c>
      <c r="J78">
        <f>((Inputs!$B$6*(1+Inputs!$B$7/100))+((((Inputs!$B$13+1)*(1+Inputs!$B$14/100))-(Inputs!$B$13*(1+Inputs!$B$14/100)))+0.25*(Inputs!$B$15-Inputs!$B$15))*(1+Inputs!$B$7/100))*(F78/100)</f>
        <v/>
      </c>
      <c r="K78">
        <f>J78*(1+((((Inputs!$B$13+1)+IF(Inputs!$B$3&gt;=35,(10*INDEX(FactorTable!$B$2:$Y$301,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6="TRIUMPH_FEATHER",IF(C88=TRUE,F88,0),0)/100)*(1+IF(C99=TRUE,F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78)</f>
        <v/>
      </c>
      <c r="L78">
        <f>K78*(MIN(Inputs!$B$23+(F94-Calc!F22),(Inputs!$B$24+IF(ArtifactsInput!$M$15,CHOOSE(ArtifactsInput!$N$15+1,25,30,35,40,45,50)/100*(Inputs!$B$12-Inputs!$B$12),0)))/100+(Inputs!$B$24+IF(ArtifactsInput!$M$15,CHOOSE(ArtifactsInput!$N$15+1,25,30,35,40,45,50)/100*(Inputs!$B$12-Inputs!$B$12),0))/100)/2</f>
        <v/>
      </c>
      <c r="M78">
        <f>L78*(1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
        <f>L78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(1-Summary!$B$11)*S78+Summary!$B$11*U78</f>
        <v/>
      </c>
      <c r="P78">
        <f>IF(B115=0,0,O78/B115)</f>
        <v/>
      </c>
      <c r="Q78">
        <f>IFERROR(1/(IF(Inputs!$B$39="pvp",15,MAX(0.1,Skills!D6-IF(Skills!E6=TRUE,Inputs!$B$33,0)))*(1-IF(AND(ArtifactsInput!$M$27,Inputs!$B$4="Chapter Hunt"),CHOOSE(ArtifactsInput!$N$27+1,20,24,28,32,36,40),0)/100)),0)</f>
        <v/>
      </c>
      <c r="R78">
        <f>IF(AND(Inputs!$B$39&lt;&gt;"pvp",Inputs!$B$44&gt;0),IF(MAX(0,Inputs!$B$44-B112)&lt;=0,0,(INT(MAX(0,Inputs!$B$44-B112)/(IF(Inputs!$B$39="pvp",15,MAX(0.1,Skills!D6-IF(Skills!E6=TRUE,Inputs!$B$33,0)))*(1-IF(AND(ArtifactsInput!$M$27,Inputs!$B$4="Chapter Hunt"),CHOOSE(ArtifactsInput!$N$27+1,20,24,28,32,36,40),0)/100)))+1)),0)</f>
        <v/>
      </c>
      <c r="S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$21+Skills!O6+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$22+Skills!P6+B104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Skills!A7</f>
        <v/>
      </c>
      <c r="B79">
        <f>Skills!B7</f>
        <v/>
      </c>
      <c r="C79">
        <f>Inputs!$B$3&gt;=122</f>
        <v/>
      </c>
      <c r="D79">
        <f>IF(Skills!C7=1,60+Inputs!$B$26+Inputs!$B$30,IF(Skills!C7=2,90+Inputs!$B$27+Inputs!$B$30,IF(Skills!C7=3,120+Inputs!$B$28+Inputs!$B$30,MAX(0,(Inputs!$B$3-100)*3)+Inputs!$B$29+Inputs!$B$30)))</f>
        <v/>
      </c>
      <c r="E79">
        <f>INDEX(FactorTable!$B$2:$Y$301, MATCH(ROUND(MIN(300,MAX(1,D79)),0), FactorTable!$A$2:$A$301,0), Skills!L7+1)</f>
        <v/>
      </c>
      <c r="F79">
        <f>IF(Skills!M7=TRUE,(Skills!K7/10)*(E79/1000),Skills!K7/10)+Skills!N7</f>
        <v/>
      </c>
      <c r="G79">
        <f>Calc!G7</f>
        <v/>
      </c>
      <c r="H79">
        <f>Calc!H7</f>
        <v/>
      </c>
      <c r="I79">
        <f>IF(Skills!T7&lt;&gt;"",1+(Skills!T7/10)*($Z$3/1000)/100,1)</f>
        <v/>
      </c>
      <c r="J79">
        <f>((Inputs!$B$6*(1+Inputs!$B$7/100))+((((Inputs!$B$13+1)*(1+Inputs!$B$14/100))-(Inputs!$B$13*(1+Inputs!$B$14/100)))+0.25*(Inputs!$B$15-Inputs!$B$15))*(1+Inputs!$B$7/100))*(F79/100)</f>
        <v/>
      </c>
      <c r="K79">
        <f>J79*(1+((((Inputs!$B$13+1)+IF(Inputs!$B$3&gt;=35,(10*INDEX(FactorTable!$B$2:$Y$301,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7="TRIUMPH_FEATHER",IF(C88=TRUE,F88,0),0)/100)*(1+IF(C99=TRUE,F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79)</f>
        <v/>
      </c>
      <c r="L79">
        <f>K79*(MIN(Inputs!$B$23+(F94-Calc!F22),(Inputs!$B$24+IF(ArtifactsInput!$M$15,CHOOSE(ArtifactsInput!$N$15+1,25,30,35,40,45,50)/100*(Inputs!$B$12-Inputs!$B$12),0)))/100+(Inputs!$B$24+IF(ArtifactsInput!$M$15,CHOOSE(ArtifactsInput!$N$15+1,25,30,35,40,45,50)/100*(Inputs!$B$12-Inputs!$B$12),0))/100)/2</f>
        <v/>
      </c>
      <c r="M79">
        <f>L79*(1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
        <f>L79*(1-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(1-Summary!$B$11)*S79+Summary!$B$11*U79</f>
        <v/>
      </c>
      <c r="P79">
        <f>IF(B115=0,0,O79/B115)</f>
        <v/>
      </c>
      <c r="Q79">
        <f>IFERROR(1/(IF(Inputs!$B$39="pvp",15,MAX(0.1,Skills!D7-IF(Skills!E6=TRUE,Inputs!$B$33,0)))*(1-IF(AND(ArtifactsInput!$M$27,Inputs!$B$4="Chapter Hunt"),CHOOSE(ArtifactsInput!$N$27+1,20,24,28,32,36,40),0)/100)),0)</f>
        <v/>
      </c>
      <c r="R79">
        <f>IF(AND(Inputs!$B$39&lt;&gt;"pvp",Inputs!$B$44&gt;0),IF(MAX(0,Inputs!$B$44-B112)&lt;=0,0,(INT(MAX(0,Inputs!$B$44-B112)/(IF(Inputs!$B$39="pvp",15,MAX(0.1,Skills!D7-IF(Skills!E6=TRUE,Inputs!$B$33,0)))*(1-IF(AND(ArtifactsInput!$M$27,Inputs!$B$4="Chapter Hunt"),CHOOSE(ArtifactsInput!$N$27+1,20,24,28,32,36,40),0)/100)))+1)),0)</f>
        <v/>
      </c>
      <c r="S79">
        <f>IF(C79,H79*N79*IF(AND(Inputs!$B$39&lt;&gt;"pvp",Inputs!$B$44&gt;0),((Skills!F7*((R79-1)*IF(Skills!G7&gt;0,Skills!H7/Skills!G7,1)+IF(Skills!G7&gt;0,MIN(Skills!H7,MAX(0,MAX(0,Inputs!$B$44-B112)-((R79-1)*(IF(Inputs!$B$39="pvp",15,MAX(0.1,Skills!D7-IF(Skills!E6=TRUE,Inputs!$B$33,0)))*(1-IF(AND(ArtifactsInput!$M$27,Inputs!$B$4="Chapter Hunt"),CHOOSE(ArtifactsInput!$N$27+1,20,24,28,32,36,40),0)/100)))))/Skills!G7,1)))/Inputs!$B$44),G79*Q79)*IF(Inputs!$B$39="pvp",1,1+(Inputs!$B$21+Skills!O7+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 t="n">
        <v>0</v>
      </c>
    </row>
    <row r="80">
      <c r="A80">
        <f>Skills!A8</f>
        <v/>
      </c>
      <c r="B80">
        <f>Skills!B8</f>
        <v/>
      </c>
      <c r="C80">
        <f>Inputs!$B$3&gt;=105</f>
        <v/>
      </c>
      <c r="D80">
        <f>IF(Skills!C8=1,60+Inputs!$B$26+Inputs!$B$30,IF(Skills!C8=2,90+Inputs!$B$27+Inputs!$B$30,IF(Skills!C8=3,120+Inputs!$B$28+Inputs!$B$30,MAX(0,(Inputs!$B$3-100)*3)+Inputs!$B$29+Inputs!$B$30)))</f>
        <v/>
      </c>
      <c r="E80">
        <f>INDEX(FactorTable!$B$2:$Y$301, MATCH(ROUND(MIN(300,MAX(1,D80)),0), FactorTable!$A$2:$A$301,0), Skills!L8+1)</f>
        <v/>
      </c>
      <c r="F80">
        <f>IF(Skills!M8=TRUE,(Skills!K8/10)*(E80/1000),Skills!K8/10)+Skills!N8</f>
        <v/>
      </c>
      <c r="G80">
        <f>Calc!G8</f>
        <v/>
      </c>
      <c r="H80">
        <f>Calc!H8</f>
        <v/>
      </c>
      <c r="I80">
        <f>IF(Skills!T8&lt;&gt;"",1+(Skills!T8/10)*($Z$3/1000)/100,1)</f>
        <v/>
      </c>
      <c r="J80">
        <f>((Inputs!$B$6*(1+Inputs!$B$7/100))+((((Inputs!$B$13+1)*(1+Inputs!$B$14/100))-(Inputs!$B$13*(1+Inputs!$B$14/100)))+0.25*(Inputs!$B$15-Inputs!$B$15))*(1+Inputs!$B$7/100))*(F80/100)</f>
        <v/>
      </c>
      <c r="K80">
        <f>J80*(1+((((Inputs!$B$13+1)+IF(Inputs!$B$3&gt;=35,(10*INDEX(FactorTable!$B$2:$Y$301,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8="TRIUMPH_FEATHER",IF(C88=TRUE,F88,0),0)/100)*(1+IF(C99=TRUE,F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80)</f>
        <v/>
      </c>
      <c r="L80">
        <f>K80*(MIN(Inputs!$B$23+(F94-Calc!F22),(Inputs!$B$24+IF(ArtifactsInput!$M$15,CHOOSE(ArtifactsInput!$N$15+1,25,30,35,40,45,50)/100*(Inputs!$B$12-Inputs!$B$12),0)))/100+(Inputs!$B$24+IF(ArtifactsInput!$M$15,CHOOSE(ArtifactsInput!$N$15+1,25,30,35,40,45,50)/100*(Inputs!$B$12-Inputs!$B$12),0))/100)/2</f>
        <v/>
      </c>
      <c r="M80">
        <f>L80*(1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
        <f>L80*(1-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(1-Summary!$B$11)*S80+Summary!$B$11*U80</f>
        <v/>
      </c>
      <c r="P80">
        <f>IF(B115=0,0,O80/B115)</f>
        <v/>
      </c>
      <c r="Q80">
        <f>IFERROR(1/(IF(Inputs!$B$39="pvp",15,MAX(0.1,Skills!D8-IF(Skills!E8=TRUE,Inputs!$B$33,0)))*(1-IF(AND(ArtifactsInput!$M$27,Inputs!$B$4="Chapter Hunt"),CHOOSE(ArtifactsInput!$N$27+1,20,24,28,32,36,40),0)/100)),0)</f>
        <v/>
      </c>
      <c r="R80">
        <f>IF(AND(Inputs!$B$39&lt;&gt;"pvp",Inputs!$B$44&gt;0),IF(MAX(0,Inputs!$B$44-B112)&lt;=0,0,(INT(MAX(0,Inputs!$B$44-B112)/(IF(Inputs!$B$39="pvp",15,MAX(0.1,Skills!D8-IF(Skills!E8=TRUE,Inputs!$B$33,0)))*(1-IF(AND(ArtifactsInput!$M$27,Inputs!$B$4="Chapter Hunt"),CHOOSE(ArtifactsInput!$N$27+1,20,24,28,32,36,40),0)/100)))+1)),0)</f>
        <v/>
      </c>
      <c r="S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$21+Skills!O8+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$22+Skills!P8+B104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Inputs!$B$3&gt;=115</f>
        <v/>
      </c>
      <c r="D81">
        <f>IF(Skills!C9=1,60+Inputs!$B$26+Inputs!$B$30,IF(Skills!C9=2,90+Inputs!$B$27+Inputs!$B$30,IF(Skills!C9=3,120+Inputs!$B$28+Inputs!$B$30,MAX(0,(Inputs!$B$3-100)*3)+Inputs!$B$29+Inputs!$B$30)))</f>
        <v/>
      </c>
      <c r="E81">
        <f>INDEX(FactorTable!$B$2:$Y$301, MATCH(ROUND(MIN(300,MAX(1,D81)),0), FactorTable!$A$2:$A$301,0), Skills!L9+1)</f>
        <v/>
      </c>
      <c r="F81">
        <f>IF(Skills!M9=TRUE,(Skills!K9/10)*(E81/1000),Skills!K9/10)+Skills!N9</f>
        <v/>
      </c>
      <c r="G81">
        <f>Calc!G9</f>
        <v/>
      </c>
      <c r="H81">
        <f>Calc!H9</f>
        <v/>
      </c>
      <c r="I81">
        <f>IF(Skills!T9&lt;&gt;"",1+(Skills!T9/10)*($Z$3/1000)/100,1)</f>
        <v/>
      </c>
      <c r="J81">
        <f>((Inputs!$B$6*(1+Inputs!$B$7/100))+((((Inputs!$B$13+1)*(1+Inputs!$B$14/100))-(Inputs!$B$13*(1+Inputs!$B$14/100)))+0.25*(Inputs!$B$15-Inputs!$B$15))*(1+Inputs!$B$7/100))*(F81/100)</f>
        <v/>
      </c>
      <c r="K81">
        <f>J81*(1+((((Inputs!$B$13+1)+IF(Inputs!$B$3&gt;=35,(10*INDEX(FactorTable!$B$2:$Y$301,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9="TRIUMPH_FEATHER",IF(C88=TRUE,F88,0),0)/100)*(1+IF(C99=TRUE,F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81)</f>
        <v/>
      </c>
      <c r="L81">
        <f>K81*(MIN(Inputs!$B$23+(F94-Calc!F22),(Inputs!$B$24+IF(ArtifactsInput!$M$15,CHOOSE(ArtifactsInput!$N$15+1,25,30,35,40,45,50)/100*(Inputs!$B$12-Inputs!$B$12),0)))/100+(Inputs!$B$24+IF(ArtifactsInput!$M$15,CHOOSE(ArtifactsInput!$N$15+1,25,30,35,40,45,50)/100*(Inputs!$B$12-Inputs!$B$12),0))/100)/2</f>
        <v/>
      </c>
      <c r="M81">
        <f>L81*(1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1">
        <f>L81*(1-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(1-Summary!$B$11)*S81+Summary!$B$11*U81</f>
        <v/>
      </c>
      <c r="P81">
        <f>IF(B115=0,0,O81/B115)</f>
        <v/>
      </c>
      <c r="Q81">
        <f>IFERROR(1/(IF(Inputs!$B$39="pvp",15,MAX(0.1,Skills!D9-IF(Skills!E9=TRUE,Inputs!$B$33,0)))*(1-IF(AND(ArtifactsInput!$M$27,Inputs!$B$4="Chapter Hunt"),CHOOSE(ArtifactsInput!$N$27+1,20,24,28,32,36,40),0)/100)),0)</f>
        <v/>
      </c>
      <c r="R81">
        <f>IF(AND(Inputs!$B$39&lt;&gt;"pvp",Inputs!$B$44&gt;0),IF(MAX(0,Inputs!$B$44-B112)&lt;=0,0,(INT(MAX(0,Inputs!$B$44-B112)/(IF(Inputs!$B$39="pvp",15,MAX(0.1,Skills!D9-IF(Skills!E9=TRUE,Inputs!$B$33,0)))*(1-IF(AND(ArtifactsInput!$M$27,Inputs!$B$4="Chapter Hunt"),CHOOSE(ArtifactsInput!$N$27+1,20,24,28,32,36,40),0)/100)))+1)),0)</f>
        <v/>
      </c>
      <c r="S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$21+Skills!O9+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$22+Skills!P9+B104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Inputs!$B$3&gt;=66</f>
        <v/>
      </c>
      <c r="D82">
        <f>IF(Skills!C10=1,60+Inputs!$B$26+Inputs!$B$30,IF(Skills!C10=2,90+Inputs!$B$27+Inputs!$B$30,IF(Skills!C10=3,120+Inputs!$B$28+Inputs!$B$30,MAX(0,(Inputs!$B$3-100)*3)+Inputs!$B$29+Inputs!$B$30)))</f>
        <v/>
      </c>
      <c r="E82">
        <f>INDEX(FactorTable!$B$2:$Y$301, MATCH(ROUND(MIN(300,MAX(1,D82)),0), FactorTable!$A$2:$A$301,0), Skills!L10+1)</f>
        <v/>
      </c>
      <c r="F82" t="n">
        <v>0</v>
      </c>
      <c r="G82">
        <f>Calc!G10</f>
        <v/>
      </c>
      <c r="H82">
        <f>Calc!H10</f>
        <v/>
      </c>
      <c r="I82">
        <f>IF(Skills!T10&lt;&gt;"",1+(Skills!T10/10)*($Z$3/1000)/100,1)</f>
        <v/>
      </c>
      <c r="J82" t="inlineStr"/>
      <c r="K82" t="inlineStr"/>
      <c r="L82" t="inlineStr"/>
      <c r="M82" t="inlineStr"/>
      <c r="N82" t="inlineStr"/>
      <c r="O82">
        <f>(1-Summary!$B$11)*S82+Summary!$B$11*U82</f>
        <v/>
      </c>
      <c r="P82">
        <f>IF(B115=0,0,O82/B115)</f>
        <v/>
      </c>
      <c r="Q82">
        <f>IFERROR(1/(IF(Inputs!$B$39="pvp",15,MAX(0.1,Skills!D10-IF(Skills!E10=TRUE,Inputs!$B$33,0)))*(1-IF(AND(ArtifactsInput!$M$27,Inputs!$B$4="Chapter Hunt"),CHOOSE(ArtifactsInput!$N$27+1,20,24,28,32,36,40),0)/100)),0)</f>
        <v/>
      </c>
      <c r="R82">
        <f>IF(AND(Inputs!$B$39&lt;&gt;"pvp",Inputs!$B$44&gt;0),IF(MAX(0,Inputs!$B$44-B112)&lt;=0,0,(INT(MAX(0,Inputs!$B$44-B112)/(IF(Inputs!$B$39="pvp",15,MAX(0.1,Skills!D10-IF(Skills!E10=TRUE,Inputs!$B$33,0)))*(1-IF(AND(ArtifactsInput!$M$27,Inputs!$B$4="Chapter Hunt"),CHOOSE(ArtifactsInput!$N$27+1,20,24,28,32,36,40),0)/100)))+1)),0)</f>
        <v/>
      </c>
      <c r="S82" t="n">
        <v>0</v>
      </c>
      <c r="U82" t="n">
        <v>0</v>
      </c>
    </row>
    <row r="83">
      <c r="A83">
        <f>Skills!A11</f>
        <v/>
      </c>
      <c r="B83">
        <f>Skills!B11</f>
        <v/>
      </c>
      <c r="C83">
        <f>Inputs!$B$3&gt;=69</f>
        <v/>
      </c>
      <c r="D83">
        <f>IF(Skills!C11=1,60+Inputs!$B$26+Inputs!$B$30,IF(Skills!C11=2,90+Inputs!$B$27+Inputs!$B$30,IF(Skills!C11=3,120+Inputs!$B$28+Inputs!$B$30,MAX(0,(Inputs!$B$3-100)*3)+Inputs!$B$29+Inputs!$B$30)))</f>
        <v/>
      </c>
      <c r="E83">
        <f>INDEX(FactorTable!$B$2:$Y$301, MATCH(ROUND(MIN(300,MAX(1,D83)),0), FactorTable!$A$2:$A$301,0), Skills!L11+1)</f>
        <v/>
      </c>
      <c r="F83">
        <f>IF(Skills!M11=TRUE,(Skills!K11/10)*(E83/1000),Skills!K11/10)+Skills!N11</f>
        <v/>
      </c>
      <c r="G83">
        <f>Calc!G11</f>
        <v/>
      </c>
      <c r="H83">
        <f>Calc!H11</f>
        <v/>
      </c>
      <c r="I83">
        <f>IF(Skills!T11&lt;&gt;"",1+(Skills!T11/10)*($Z$3/1000)/100,1)</f>
        <v/>
      </c>
      <c r="J83" t="inlineStr"/>
      <c r="K83" t="inlineStr"/>
      <c r="L83" t="inlineStr"/>
      <c r="M83" t="inlineStr"/>
      <c r="N83" t="inlineStr"/>
      <c r="O83">
        <f>(1-Summary!$B$11)*S83+Summary!$B$11*U83</f>
        <v/>
      </c>
      <c r="P83">
        <f>IF(B115=0,0,O83/B115)</f>
        <v/>
      </c>
      <c r="Q83">
        <f>IFERROR(1/(IF(Inputs!$B$39="pvp",15,MAX(0.1,Skills!D11-IF(Skills!E11=TRUE,Inputs!$B$33,0)))*(1-IF(AND(ArtifactsInput!$M$27,Inputs!$B$4="Chapter Hunt"),CHOOSE(ArtifactsInput!$N$27+1,20,24,28,32,36,40),0)/100)),0)</f>
        <v/>
      </c>
      <c r="R83">
        <f>IF(AND(Inputs!$B$39&lt;&gt;"pvp",Inputs!$B$44&gt;0),IF(Inputs!$B$44&lt;=0,0,(INT(Inputs!$B$44/(IF(Inputs!$B$39="pvp",15,MAX(0.1,Skills!D11-IF(Skills!E11=TRUE,Inputs!$B$33,0)))*(1-IF(AND(ArtifactsInput!$M$27,Inputs!$B$4="Chapter Hunt"),CHOOSE(ArtifactsInput!$N$27+1,20,24,28,32,36,40),0)/100)))+1)),0)</f>
        <v/>
      </c>
      <c r="S83" t="n">
        <v>0</v>
      </c>
      <c r="U83" t="n">
        <v>0</v>
      </c>
    </row>
    <row r="84">
      <c r="A84">
        <f>Skills!A12</f>
        <v/>
      </c>
      <c r="B84">
        <f>Skills!B12</f>
        <v/>
      </c>
      <c r="C84">
        <f>Inputs!$B$3&gt;=72</f>
        <v/>
      </c>
      <c r="D84">
        <f>IF(Skills!C12=1,60+Inputs!$B$26+Inputs!$B$30,IF(Skills!C12=2,90+Inputs!$B$27+Inputs!$B$30,IF(Skills!C12=3,120+Inputs!$B$28+Inputs!$B$30,MAX(0,(Inputs!$B$3-100)*3)+Inputs!$B$29+Inputs!$B$30)))</f>
        <v/>
      </c>
      <c r="E84">
        <f>INDEX(FactorTable!$B$2:$Y$301, MATCH(ROUND(MIN(300,MAX(1,D84)),0), FactorTable!$A$2:$A$301,0), Skills!L12+1)</f>
        <v/>
      </c>
      <c r="F84">
        <f>IF(Skills!M12=TRUE,(Skills!K12/10)*(E84/1000),Skills!K12/10)+Skills!N12</f>
        <v/>
      </c>
      <c r="G84">
        <f>Calc!G12</f>
        <v/>
      </c>
      <c r="H84">
        <f>Calc!H12</f>
        <v/>
      </c>
      <c r="I84">
        <f>IF(Skills!T12&lt;&gt;"",1+(Skills!T12/10)*($Z$3/1000)/100,1)</f>
        <v/>
      </c>
      <c r="J84" t="inlineStr"/>
      <c r="K84" t="inlineStr"/>
      <c r="L84" t="inlineStr"/>
      <c r="M84" t="inlineStr"/>
      <c r="N84" t="inlineStr"/>
      <c r="O84">
        <f>(1-Summary!$B$11)*S84+Summary!$B$11*U84</f>
        <v/>
      </c>
      <c r="P84">
        <f>IF(B115=0,0,O84/B115)</f>
        <v/>
      </c>
      <c r="Q84">
        <f>IFERROR(1/(IF(Inputs!$B$39="pvp",15,MAX(0.1,Skills!D12-IF(Skills!E12=TRUE,Inputs!$B$33,0)))*(1-IF(AND(ArtifactsInput!$M$27,Inputs!$B$4="Chapter Hunt"),CHOOSE(ArtifactsInput!$N$27+1,20,24,28,32,36,40),0)/100)),0)</f>
        <v/>
      </c>
      <c r="R84">
        <f>IF(AND(Inputs!$B$39&lt;&gt;"pvp",Inputs!$B$44&gt;0),IF(MAX(0,Inputs!$B$44-B112)&lt;=0,0,(INT(MAX(0,Inputs!$B$44-B112)/(IF(Inputs!$B$39="pvp",15,MAX(0.1,Skills!D12-IF(Skills!E12=TRUE,Inputs!$B$33,0)))*(1-IF(AND(ArtifactsInput!$M$27,Inputs!$B$4="Chapter Hunt"),CHOOSE(ArtifactsInput!$N$27+1,20,24,28,32,36,40),0)/100)))+1)),0)</f>
        <v/>
      </c>
      <c r="S84" t="n">
        <v>0</v>
      </c>
      <c r="U84" t="n">
        <v>0</v>
      </c>
    </row>
    <row r="85">
      <c r="A85">
        <f>Skills!A13</f>
        <v/>
      </c>
      <c r="B85">
        <f>Skills!B13</f>
        <v/>
      </c>
      <c r="C85">
        <f>Inputs!$B$3&gt;=60</f>
        <v/>
      </c>
      <c r="D85">
        <f>IF(Skills!C13=1,60+Inputs!$B$26+Inputs!$B$30,IF(Skills!C13=2,90+Inputs!$B$27+Inputs!$B$30,IF(Skills!C13=3,120+Inputs!$B$28+Inputs!$B$30,MAX(0,(Inputs!$B$3-100)*3)+Inputs!$B$29+Inputs!$B$30)))</f>
        <v/>
      </c>
      <c r="E85">
        <f>INDEX(FactorTable!$B$2:$Y$301, MATCH(ROUND(MIN(300,MAX(1,D85)),0), FactorTable!$A$2:$A$301,0), Skills!L13+1)</f>
        <v/>
      </c>
      <c r="F85">
        <f>IF(Skills!M13=TRUE,(Skills!K13/10)*(E85/1000),Skills!K13/10)+Skills!N13</f>
        <v/>
      </c>
      <c r="G85">
        <f>Calc!G13</f>
        <v/>
      </c>
      <c r="H85">
        <f>Calc!H13</f>
        <v/>
      </c>
      <c r="I85">
        <f>IF(Skills!T13&lt;&gt;"",1+(Skills!T13/10)*($Z$3/1000)/100,1)</f>
        <v/>
      </c>
      <c r="J85" t="inlineStr"/>
      <c r="K85" t="inlineStr"/>
      <c r="L85" t="inlineStr"/>
      <c r="M85" t="inlineStr"/>
      <c r="N85" t="inlineStr"/>
      <c r="O85">
        <f>(1-Summary!$B$11)*S85+Summary!$B$11*U85</f>
        <v/>
      </c>
      <c r="P85">
        <f>IF(B115=0,0,O85/B115)</f>
        <v/>
      </c>
      <c r="Q85">
        <f>IFERROR(1/(IF(Inputs!$B$39="pvp",15,MAX(0.1,Skills!D13-IF(Skills!E13=TRUE,Inputs!$B$33,0)))*(1-IF(AND(ArtifactsInput!$M$27,Inputs!$B$4="Chapter Hunt"),CHOOSE(ArtifactsInput!$N$27+1,20,24,28,32,36,40),0)/100)),0)</f>
        <v/>
      </c>
      <c r="R85">
        <f>IF(AND(Inputs!$B$39&lt;&gt;"pvp",Inputs!$B$44&gt;0),IF(MAX(0,Inputs!$B$44-B112)&lt;=0,0,(INT(MAX(0,Inputs!$B$44-B112)/(IF(Inputs!$B$39="pvp",15,MAX(0.1,Skills!D13-IF(Skills!E13=TRUE,Inputs!$B$33,0)))*(1-IF(AND(ArtifactsInput!$M$27,Inputs!$B$4="Chapter Hunt"),CHOOSE(ArtifactsInput!$N$27+1,20,24,28,32,36,40),0)/100)))+1)),0)</f>
        <v/>
      </c>
      <c r="S85" t="n">
        <v>0</v>
      </c>
      <c r="U85" t="n">
        <v>0</v>
      </c>
    </row>
    <row r="86">
      <c r="A86">
        <f>Skills!A14</f>
        <v/>
      </c>
      <c r="B86">
        <f>Skills!B14</f>
        <v/>
      </c>
      <c r="C86">
        <f>Inputs!$B$3&gt;=107</f>
        <v/>
      </c>
      <c r="D86">
        <f>IF(Skills!C14=1,60+Inputs!$B$26+Inputs!$B$30,IF(Skills!C14=2,90+Inputs!$B$27+Inputs!$B$30,IF(Skills!C14=3,120+Inputs!$B$28+Inputs!$B$30,MAX(0,(Inputs!$B$3-100)*3)+Inputs!$B$29+Inputs!$B$30)))</f>
        <v/>
      </c>
      <c r="E86">
        <f>INDEX(FactorTable!$B$2:$Y$301, MATCH(ROUND(MIN(300,MAX(1,D86)),0), FactorTable!$A$2:$A$301,0), Skills!L14+1)</f>
        <v/>
      </c>
      <c r="F86">
        <f>IF(Skills!M14=TRUE,(Skills!K14/10)*(E86/1000),Skills!K14/10)+Skills!N14</f>
        <v/>
      </c>
      <c r="G86">
        <f>Calc!G14</f>
        <v/>
      </c>
      <c r="H86">
        <f>Calc!H14</f>
        <v/>
      </c>
      <c r="I86">
        <f>IF(Skills!T14&lt;&gt;"",1+(Skills!T14/10)*($Z$3/1000)/100,1)</f>
        <v/>
      </c>
      <c r="J86" t="inlineStr"/>
      <c r="K86" t="inlineStr"/>
      <c r="L86" t="inlineStr"/>
      <c r="M86" t="inlineStr"/>
      <c r="N86" t="inlineStr"/>
      <c r="O86">
        <f>(1-Summary!$B$11)*S86+Summary!$B$11*U86</f>
        <v/>
      </c>
      <c r="P86">
        <f>IF(B115=0,0,O86/B115)</f>
        <v/>
      </c>
      <c r="Q86">
        <f>IFERROR(1/(IF(Inputs!$B$39="pvp",15,MAX(0.1,Skills!D14-IF(Skills!E14=TRUE,Inputs!$B$33,0)))*(1-IF(AND(ArtifactsInput!$M$27,Inputs!$B$4="Chapter Hunt"),CHOOSE(ArtifactsInput!$N$27+1,20,24,28,32,36,40),0)/100)),0)</f>
        <v/>
      </c>
      <c r="R86">
        <f>IF(AND(Inputs!$B$39&lt;&gt;"pvp",Inputs!$B$44&gt;0),IF(Inputs!$B$44&lt;=0,0,(INT(Inputs!$B$44/(IF(Inputs!$B$39="pvp",15,MAX(0.1,Skills!D14-IF(Skills!E14=TRUE,Inputs!$B$33,0)))*(1-IF(AND(ArtifactsInput!$M$27,Inputs!$B$4="Chapter Hunt"),CHOOSE(ArtifactsInput!$N$27+1,20,24,28,32,36,40),0)/100)))+1)),0)</f>
        <v/>
      </c>
      <c r="S86" t="n">
        <v>0</v>
      </c>
      <c r="U86" t="n">
        <v>0</v>
      </c>
    </row>
    <row r="87">
      <c r="A87">
        <f>Skills!A15</f>
        <v/>
      </c>
      <c r="B87">
        <f>Skills!B15</f>
        <v/>
      </c>
      <c r="C87">
        <f>Inputs!$B$3&gt;=63</f>
        <v/>
      </c>
      <c r="D87">
        <f>IF(Skills!C15=1,60+Inputs!$B$26+Inputs!$B$30,IF(Skills!C15=2,90+Inputs!$B$27+Inputs!$B$30,IF(Skills!C15=3,120+Inputs!$B$28+Inputs!$B$30,MAX(0,(Inputs!$B$3-100)*3)+Inputs!$B$29+Inputs!$B$30)))</f>
        <v/>
      </c>
      <c r="E87">
        <f>INDEX(FactorTable!$B$2:$Y$301, MATCH(ROUND(MIN(300,MAX(1,D87)),0), FactorTable!$A$2:$A$301,0), Skills!L15+1)</f>
        <v/>
      </c>
      <c r="F87">
        <f>IF(Skills!M15=TRUE,(Skills!K15/10)*(E87/1000),Skills!K15/10)+Skills!N15</f>
        <v/>
      </c>
      <c r="G87">
        <f>Calc!G15</f>
        <v/>
      </c>
      <c r="H87">
        <f>Calc!H15</f>
        <v/>
      </c>
      <c r="I87">
        <f>IF(Skills!T15&lt;&gt;"",1+(Skills!T15/10)*($Z$3/1000)/100,1)</f>
        <v/>
      </c>
      <c r="J87">
        <f>((Inputs!$B$6*(1+Inputs!$B$7/100))+((((Inputs!$B$13+1)*(1+Inputs!$B$14/100))-(Inputs!$B$13*(1+Inputs!$B$14/100)))+0.25*(Inputs!$B$15-Inputs!$B$15))*(1+Inputs!$B$7/100))*(F87/100)</f>
        <v/>
      </c>
      <c r="K87">
        <f>J87*(1+((((Inputs!$B$13+1)+IF(Inputs!$B$3&gt;=35,(10*INDEX(FactorTable!$B$2:$Y$301,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15="TRIUMPH_FEATHER",IF(C88=TRUE,F88,0),0)/100)*(1+IF(C99=TRUE,F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87)</f>
        <v/>
      </c>
      <c r="L87">
        <f>K87*(MIN(Inputs!$B$23+(F94-Calc!F22),(Inputs!$B$24+IF(ArtifactsInput!$M$15,CHOOSE(ArtifactsInput!$N$15+1,25,30,35,40,45,50)/100*(Inputs!$B$12-Inputs!$B$12),0)))/100+(Inputs!$B$24+IF(ArtifactsInput!$M$15,CHOOSE(ArtifactsInput!$N$15+1,25,30,35,40,45,50)/100*(Inputs!$B$12-Inputs!$B$12),0))/100)/2</f>
        <v/>
      </c>
      <c r="M87">
        <f>L87*(1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
        <f>L87*(1-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(1-Summary!$B$11)*S87+Summary!$B$11*U87</f>
        <v/>
      </c>
      <c r="P87">
        <f>IF(B115=0,0,O87/B115)</f>
        <v/>
      </c>
      <c r="Q87">
        <f>IFERROR(1/(IF(Inputs!$B$39="pvp",15,MAX(0.1,Skills!D15-IF(Skills!E15=TRUE,Inputs!$B$33,0)))*(1-IF(AND(ArtifactsInput!$M$27,Inputs!$B$4="Chapter Hunt"),CHOOSE(ArtifactsInput!$N$27+1,20,24,28,32,36,40),0)/100)),0)</f>
        <v/>
      </c>
      <c r="R87" t="n">
        <v>0</v>
      </c>
      <c r="S87">
        <f>IF(C87,(Skills!F15*N87*((IF(Inputs!$B$3&gt;=78,25,15)/100*B108*10)/(1+IF(Inputs!$B$3&gt;=78,25,15)/100*B108*10))*(Skills!I15/100*B108)/(1+Skills!G15*Skills!I15/100*B108))*IF(Inputs!$B$39="pvp",1,1+(Inputs!$B$21+Skills!O15+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
        <f>IF(C87,(Skills!F15*N87*((IF(Inputs!$B$3&gt;=78,25,15)/100*B108*10)/(1+IF(Inputs!$B$3&gt;=78,25,15)/100*B108*10))*(Skills!I15/100*B108)/(1+Skills!G15*Skills!I15/100*B108))*IF(Inputs!$B$39="pvp",1,(1+(Inputs!$B$22+Skills!P15+B104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Skills!A16</f>
        <v/>
      </c>
      <c r="B88">
        <f>Skills!B16</f>
        <v/>
      </c>
      <c r="C88">
        <f>Inputs!$B$3&gt;=100</f>
        <v/>
      </c>
      <c r="D88">
        <f>IF(Skills!C16=1,60+Inputs!$B$26+Inputs!$B$30,IF(Skills!C16=2,90+Inputs!$B$27+Inputs!$B$30,IF(Skills!C16=3,120+Inputs!$B$28+Inputs!$B$30,MAX(0,(Inputs!$B$3-100)*3)+Inputs!$B$29+Inputs!$B$30)))</f>
        <v/>
      </c>
      <c r="E88">
        <f>INDEX(FactorTable!$B$2:$Y$301, MATCH(ROUND(MIN(300,MAX(1,D88)),0), FactorTable!$A$2:$A$301,0), Skills!L16+1)</f>
        <v/>
      </c>
      <c r="F88">
        <f>IF(Skills!M16=TRUE,(Skills!K16/10)*(E88/1000),Skills!K16/10)+Skills!N16</f>
        <v/>
      </c>
      <c r="G88">
        <f>Calc!G16</f>
        <v/>
      </c>
      <c r="H88">
        <f>Calc!H16</f>
        <v/>
      </c>
      <c r="I88">
        <f>IF(Skills!T16&lt;&gt;"",1+(Skills!T16/10)*($Z$3/1000)/100,1)</f>
        <v/>
      </c>
      <c r="J88" t="inlineStr"/>
      <c r="K88" t="inlineStr"/>
      <c r="L88" t="inlineStr"/>
      <c r="M88" t="inlineStr"/>
      <c r="N88" t="inlineStr"/>
      <c r="O88">
        <f>(1-Summary!$B$11)*S88+Summary!$B$11*U88</f>
        <v/>
      </c>
      <c r="P88">
        <f>IF(B115=0,0,O88/B115)</f>
        <v/>
      </c>
      <c r="Q88">
        <f>IFERROR(1/(IF(Inputs!$B$39="pvp",15,MAX(0.1,Skills!D16-IF(Skills!E16=TRUE,Inputs!$B$33,0)))*(1-IF(AND(ArtifactsInput!$M$27,Inputs!$B$4="Chapter Hunt"),CHOOSE(ArtifactsInput!$N$27+1,20,24,28,32,36,40),0)/100)),0)</f>
        <v/>
      </c>
      <c r="R88" t="n">
        <v>0</v>
      </c>
      <c r="S88" t="n">
        <v>0</v>
      </c>
      <c r="U88" t="n">
        <v>0</v>
      </c>
    </row>
    <row r="89">
      <c r="A89">
        <f>Skills!A17</f>
        <v/>
      </c>
      <c r="B89">
        <f>Skills!B17</f>
        <v/>
      </c>
      <c r="C89">
        <f>Inputs!$B$3&gt;=49</f>
        <v/>
      </c>
      <c r="D89">
        <f>IF(Skills!C17=1,60+Inputs!$B$26+Inputs!$B$30,IF(Skills!C17=2,90+Inputs!$B$27+Inputs!$B$30,IF(Skills!C17=3,120+Inputs!$B$28+Inputs!$B$30,MAX(0,(Inputs!$B$3-100)*3)+Inputs!$B$29+Inputs!$B$30)))</f>
        <v/>
      </c>
      <c r="E89">
        <f>INDEX(FactorTable!$B$2:$Y$301, MATCH(ROUND(MIN(300,MAX(1,D89)),0), FactorTable!$A$2:$A$301,0), Skills!L17+1)</f>
        <v/>
      </c>
      <c r="F89">
        <f>IF(Skills!M17=TRUE,(Skills!K17/10)*(E89/1000),Skills!K17/10)+Skills!N17</f>
        <v/>
      </c>
      <c r="G89">
        <f>Calc!G17</f>
        <v/>
      </c>
      <c r="H89">
        <f>Calc!H17</f>
        <v/>
      </c>
      <c r="I89">
        <f>IF(Skills!T17&lt;&gt;"",1+(Skills!T17/10)*($Z$3/1000)/100,1)</f>
        <v/>
      </c>
      <c r="J89" t="inlineStr"/>
      <c r="K89" t="inlineStr"/>
      <c r="L89" t="inlineStr"/>
      <c r="M89" t="inlineStr"/>
      <c r="N89" t="inlineStr"/>
      <c r="O89">
        <f>(1-Summary!$B$11)*S89+Summary!$B$11*U89</f>
        <v/>
      </c>
      <c r="P89">
        <f>IF(B115=0,0,O89/B115)</f>
        <v/>
      </c>
      <c r="Q89">
        <f>IFERROR(1/(IF(Inputs!$B$39="pvp",15,MAX(0.1,Skills!D17-IF(Skills!E17=TRUE,Inputs!$B$33,0)))*(1-IF(AND(ArtifactsInput!$M$27,Inputs!$B$4="Chapter Hunt"),CHOOSE(ArtifactsInput!$N$27+1,20,24,28,32,36,40),0)/100)),0)</f>
        <v/>
      </c>
      <c r="R89" t="n">
        <v>0</v>
      </c>
      <c r="S89" t="n">
        <v>0</v>
      </c>
      <c r="U89" t="n">
        <v>0</v>
      </c>
    </row>
    <row r="90">
      <c r="A90">
        <f>Skills!A18</f>
        <v/>
      </c>
      <c r="B90">
        <f>Skills!B18</f>
        <v/>
      </c>
      <c r="C90">
        <f>Inputs!$B$3&gt;=75</f>
        <v/>
      </c>
      <c r="D90">
        <f>IF(Skills!C18=1,60+Inputs!$B$26+Inputs!$B$30,IF(Skills!C18=2,90+Inputs!$B$27+Inputs!$B$30,IF(Skills!C18=3,120+Inputs!$B$28+Inputs!$B$30,MAX(0,(Inputs!$B$3-100)*3)+Inputs!$B$29+Inputs!$B$30)))</f>
        <v/>
      </c>
      <c r="E90">
        <f>INDEX(FactorTable!$B$2:$Y$301, MATCH(ROUND(MIN(300,MAX(1,D90)),0), FactorTable!$A$2:$A$301,0), Skills!L18+1)</f>
        <v/>
      </c>
      <c r="F90">
        <f>IF(Skills!M18=TRUE,(Skills!K18/10)*(E90/1000),Skills!K18/10)+Skills!N18</f>
        <v/>
      </c>
      <c r="G90">
        <f>Calc!G18</f>
        <v/>
      </c>
      <c r="H90">
        <f>Calc!H18</f>
        <v/>
      </c>
      <c r="I90">
        <f>IF(Skills!T18&lt;&gt;"",1+(Skills!T18/10)*($Z$3/1000)/100,1)</f>
        <v/>
      </c>
      <c r="J90" t="inlineStr"/>
      <c r="K90" t="inlineStr"/>
      <c r="L90" t="inlineStr"/>
      <c r="M90" t="inlineStr"/>
      <c r="N90" t="inlineStr"/>
      <c r="O90">
        <f>(1-Summary!$B$11)*S90+Summary!$B$11*U90</f>
        <v/>
      </c>
      <c r="P90">
        <f>IF(B115=0,0,O90/B115)</f>
        <v/>
      </c>
      <c r="Q90">
        <f>IFERROR(1/(IF(Inputs!$B$39="pvp",15,MAX(0.1,Skills!D18-IF(Skills!E18=TRUE,Inputs!$B$33,0)))*(1-IF(AND(ArtifactsInput!$M$27,Inputs!$B$4="Chapter Hunt"),CHOOSE(ArtifactsInput!$N$27+1,20,24,28,32,36,40),0)/100)),0)</f>
        <v/>
      </c>
      <c r="R90" t="n">
        <v>0</v>
      </c>
      <c r="S90" t="n">
        <v>0</v>
      </c>
      <c r="U90" t="n">
        <v>0</v>
      </c>
    </row>
    <row r="91">
      <c r="A91">
        <f>Skills!A19</f>
        <v/>
      </c>
      <c r="B91">
        <f>Skills!B19</f>
        <v/>
      </c>
      <c r="C91">
        <f>Inputs!$B$3&gt;=110</f>
        <v/>
      </c>
      <c r="D91">
        <f>IF(Skills!C19=1,60+Inputs!$B$26+Inputs!$B$30,IF(Skills!C19=2,90+Inputs!$B$27+Inputs!$B$30,IF(Skills!C19=3,120+Inputs!$B$28+Inputs!$B$30,MAX(0,(Inputs!$B$3-100)*3)+Inputs!$B$29+Inputs!$B$30)))</f>
        <v/>
      </c>
      <c r="E91">
        <f>INDEX(FactorTable!$B$2:$Y$301, MATCH(ROUND(MIN(300,MAX(1,D91)),0), FactorTable!$A$2:$A$301,0), Skills!L19+1)</f>
        <v/>
      </c>
      <c r="F91">
        <f>(Skills!K19/10)*(E91/1000)*64/45+Skills!N19</f>
        <v/>
      </c>
      <c r="G91">
        <f>Calc!G19</f>
        <v/>
      </c>
      <c r="H91">
        <f>Calc!H19</f>
        <v/>
      </c>
      <c r="I91">
        <f>IF(Skills!T19&lt;&gt;"",1+(Skills!T19/10)*($Z$3/1000)/100,1)</f>
        <v/>
      </c>
      <c r="J91" t="inlineStr"/>
      <c r="K91" t="inlineStr"/>
      <c r="L91" t="inlineStr"/>
      <c r="M91" t="inlineStr"/>
      <c r="N91" t="inlineStr"/>
      <c r="O91">
        <f>(1-Summary!$B$11)*S91+Summary!$B$11*U91</f>
        <v/>
      </c>
      <c r="P91">
        <f>IF(B115=0,0,O91/B115)</f>
        <v/>
      </c>
      <c r="Q91">
        <f>IFERROR(1/(IF(Inputs!$B$39="pvp",15,MAX(0.1,Skills!D19-IF(Skills!E19=TRUE,Inputs!$B$33,0)))*(1-IF(AND(ArtifactsInput!$M$27,Inputs!$B$4="Chapter Hunt"),CHOOSE(ArtifactsInput!$N$27+1,20,24,28,32,36,40),0)/100)),0)</f>
        <v/>
      </c>
      <c r="R91">
        <f>IF(AND(Inputs!$B$39&lt;&gt;"pvp",Inputs!$B$44&gt;0),IF(Inputs!$B$44&lt;=0,0,(INT(Inputs!$B$44/(IF(Inputs!$B$39="pvp",15,MAX(0.1,Skills!D19-IF(Skills!E19=TRUE,Inputs!$B$33,0)))*(1-IF(AND(ArtifactsInput!$M$27,Inputs!$B$4="Chapter Hunt"),CHOOSE(ArtifactsInput!$N$27+1,20,24,28,32,36,40),0)/100)))+1)),0)</f>
        <v/>
      </c>
      <c r="S91" t="n">
        <v>0</v>
      </c>
      <c r="U91" t="n">
        <v>0</v>
      </c>
    </row>
    <row r="92">
      <c r="A92">
        <f>Skills!A20</f>
        <v/>
      </c>
      <c r="B92">
        <f>Skills!B20</f>
        <v/>
      </c>
      <c r="C92">
        <f>Inputs!$B$3&gt;=125</f>
        <v/>
      </c>
      <c r="D92">
        <f>IF(Skills!C20=1,60+Inputs!$B$26+Inputs!$B$30,IF(Skills!C20=2,90+Inputs!$B$27+Inputs!$B$30,IF(Skills!C20=3,120+Inputs!$B$28+Inputs!$B$30,MAX(0,(Inputs!$B$3-100)*3)+Inputs!$B$29+Inputs!$B$30)))</f>
        <v/>
      </c>
      <c r="E92">
        <f>INDEX(FactorTable!$B$2:$Y$301, MATCH(ROUND(MIN(300,MAX(1,D92)),0), FactorTable!$A$2:$A$301,0), Skills!L20+1)</f>
        <v/>
      </c>
      <c r="F92">
        <f>IF(Skills!M20=TRUE,(Skills!K20/10)*(E92/1000),Skills!K20/10)+Skills!N20</f>
        <v/>
      </c>
      <c r="G92">
        <f>Calc!G20</f>
        <v/>
      </c>
      <c r="H92">
        <f>Calc!H20</f>
        <v/>
      </c>
      <c r="I92">
        <f>IF(Skills!T20&lt;&gt;"",1+(Skills!T20/10)*($Z$3/1000)/100,1)</f>
        <v/>
      </c>
      <c r="J92" t="inlineStr"/>
      <c r="K92" t="inlineStr"/>
      <c r="L92" t="inlineStr"/>
      <c r="M92" t="inlineStr"/>
      <c r="N92" t="inlineStr"/>
      <c r="O92">
        <f>(1-Summary!$B$11)*S92+Summary!$B$11*U92</f>
        <v/>
      </c>
      <c r="P92">
        <f>IF(B115=0,0,O92/B115)</f>
        <v/>
      </c>
      <c r="Q92">
        <f>IFERROR(1/(IF(Inputs!$B$39="pvp",15,MAX(0.1,Skills!D20-IF(Skills!E20=TRUE,Inputs!$B$33,0)))*(1-IF(AND(ArtifactsInput!$M$27,Inputs!$B$4="Chapter Hunt"),CHOOSE(ArtifactsInput!$N$27+1,20,24,28,32,36,40),0)/100)),0)</f>
        <v/>
      </c>
      <c r="R92" t="n">
        <v>0</v>
      </c>
      <c r="S92" t="n">
        <v>0</v>
      </c>
      <c r="U92" t="n">
        <v>0</v>
      </c>
    </row>
    <row r="93">
      <c r="A93">
        <f>Skills!A21</f>
        <v/>
      </c>
      <c r="B93">
        <f>Skills!B21</f>
        <v/>
      </c>
      <c r="C93">
        <f>Inputs!$B$3&gt;=33</f>
        <v/>
      </c>
      <c r="D93">
        <f>IF(Skills!C21=1,60+Inputs!$B$26+Inputs!$B$30,IF(Skills!C21=2,90+Inputs!$B$27+Inputs!$B$30,IF(Skills!C21=3,120+Inputs!$B$28+Inputs!$B$30,MAX(0,(Inputs!$B$3-100)*3)+Inputs!$B$29+Inputs!$B$30)))</f>
        <v/>
      </c>
      <c r="E93">
        <f>INDEX(FactorTable!$B$2:$Y$301, MATCH(ROUND(MIN(300,MAX(1,D93)),0), FactorTable!$A$2:$A$301,0), Skills!L21+1)</f>
        <v/>
      </c>
      <c r="F93">
        <f>IF(Skills!M21=TRUE,(Skills!K21/10)*(E93/1000),Skills!K21/10)+Skills!N21</f>
        <v/>
      </c>
      <c r="G93">
        <f>Calc!G21</f>
        <v/>
      </c>
      <c r="H93">
        <f>Calc!H21</f>
        <v/>
      </c>
      <c r="I93">
        <f>IF(Skills!T21&lt;&gt;"",1+(Skills!T21/10)*($Z$3/1000)/100,1)</f>
        <v/>
      </c>
      <c r="J93" t="inlineStr"/>
      <c r="K93" t="inlineStr"/>
      <c r="L93" t="inlineStr"/>
      <c r="M93" t="inlineStr"/>
      <c r="N93" t="inlineStr"/>
      <c r="O93">
        <f>(1-Summary!$B$11)*S93+Summary!$B$11*U93</f>
        <v/>
      </c>
      <c r="P93">
        <f>IF(B115=0,0,O93/B115)</f>
        <v/>
      </c>
      <c r="Q93">
        <f>IFERROR(1/(IF(Inputs!$B$39="pvp",15,MAX(0.1,Skills!D21-IF(Skills!E21=TRUE,Inputs!$B$33,0)))*(1-IF(AND(ArtifactsInput!$M$27,Inputs!$B$4="Chapter Hunt"),CHOOSE(ArtifactsInput!$N$27+1,20,24,28,32,36,40),0)/100)),0)</f>
        <v/>
      </c>
      <c r="R93" t="n">
        <v>0</v>
      </c>
      <c r="S93" t="n">
        <v>0</v>
      </c>
      <c r="U93" t="n">
        <v>0</v>
      </c>
    </row>
    <row r="94">
      <c r="A94">
        <f>Skills!A22</f>
        <v/>
      </c>
      <c r="B94">
        <f>Skills!B22</f>
        <v/>
      </c>
      <c r="C94">
        <f>Inputs!$B$3&gt;=43</f>
        <v/>
      </c>
      <c r="D94">
        <f>IF(Skills!C22=1,60+Inputs!$B$26+Inputs!$B$30,IF(Skills!C22=2,90+Inputs!$B$27+Inputs!$B$30,IF(Skills!C22=3,120+Inputs!$B$28+Inputs!$B$30,MAX(0,(Inputs!$B$3-100)*3)+Inputs!$B$29+Inputs!$B$30)))</f>
        <v/>
      </c>
      <c r="E94">
        <f>INDEX(FactorTable!$B$2:$Y$301, MATCH(ROUND(MIN(300,MAX(1,D94)),0), FactorTable!$A$2:$A$301,0), Skills!L22+1)</f>
        <v/>
      </c>
      <c r="F94">
        <f>IF(Skills!M22=TRUE,(Skills!K22/10)*(E94/1000),Skills!K22/10)+Skills!N22</f>
        <v/>
      </c>
      <c r="G94">
        <f>Calc!G22</f>
        <v/>
      </c>
      <c r="H94">
        <f>Calc!H22</f>
        <v/>
      </c>
      <c r="I94">
        <f>IF(Skills!T22&lt;&gt;"",1+(Skills!T22/10)*($Z$3/1000)/100,1)</f>
        <v/>
      </c>
      <c r="J94" t="inlineStr"/>
      <c r="K94" t="inlineStr"/>
      <c r="L94" t="inlineStr"/>
      <c r="M94" t="inlineStr"/>
      <c r="N94" t="inlineStr"/>
      <c r="O94">
        <f>(1-Summary!$B$11)*S94+Summary!$B$11*U94</f>
        <v/>
      </c>
      <c r="P94">
        <f>IF(B115=0,0,O94/B115)</f>
        <v/>
      </c>
      <c r="Q94">
        <f>IFERROR(1/(IF(Inputs!$B$39="pvp",15,MAX(0.1,Skills!D22-IF(Skills!E22=TRUE,Inputs!$B$33,0)))*(1-IF(AND(ArtifactsInput!$M$27,Inputs!$B$4="Chapter Hunt"),CHOOSE(ArtifactsInput!$N$27+1,20,24,28,32,36,40),0)/100)),0)</f>
        <v/>
      </c>
      <c r="R94" t="n">
        <v>0</v>
      </c>
      <c r="S94" t="n">
        <v>0</v>
      </c>
      <c r="U94" t="n">
        <v>0</v>
      </c>
    </row>
    <row r="95">
      <c r="A95">
        <f>Skills!A23</f>
        <v/>
      </c>
      <c r="B95">
        <f>Skills!B23</f>
        <v/>
      </c>
      <c r="C95">
        <f>Inputs!$B$3&gt;=50</f>
        <v/>
      </c>
      <c r="D95">
        <f>IF(Skills!C23=1,60+Inputs!$B$26+Inputs!$B$30,IF(Skills!C23=2,90+Inputs!$B$27+Inputs!$B$30,IF(Skills!C23=3,120+Inputs!$B$28+Inputs!$B$30,MAX(0,(Inputs!$B$3-100)*3)+Inputs!$B$29+Inputs!$B$30)))</f>
        <v/>
      </c>
      <c r="E95">
        <f>INDEX(FactorTable!$B$2:$Y$301, MATCH(ROUND(MIN(300,MAX(1,D95)),0), FactorTable!$A$2:$A$301,0), Skills!L23+1)</f>
        <v/>
      </c>
      <c r="F95">
        <f>IF(Skills!M23=TRUE,(Skills!K23/10)*(E95/1000),Skills!K23/10)+Skills!N23</f>
        <v/>
      </c>
      <c r="G95">
        <f>Calc!G23</f>
        <v/>
      </c>
      <c r="H95">
        <f>Calc!H23</f>
        <v/>
      </c>
      <c r="I95">
        <f>IF(Skills!T23&lt;&gt;"",1+(Skills!T23/10)*($Z$3/1000)/100,1)</f>
        <v/>
      </c>
      <c r="J95" t="inlineStr"/>
      <c r="K95" t="inlineStr"/>
      <c r="L95" t="inlineStr"/>
      <c r="M95" t="inlineStr"/>
      <c r="N95" t="inlineStr"/>
      <c r="O95">
        <f>(1-Summary!$B$11)*S95+Summary!$B$11*U95</f>
        <v/>
      </c>
      <c r="P95">
        <f>IF(B115=0,0,O95/B115)</f>
        <v/>
      </c>
      <c r="Q95">
        <f>IFERROR(1/(IF(Inputs!$B$39="pvp",15,MAX(0.1,Skills!D23-IF(Skills!E23=TRUE,Inputs!$B$33,0)))*(1-IF(AND(ArtifactsInput!$M$27,Inputs!$B$4="Chapter Hunt"),CHOOSE(ArtifactsInput!$N$27+1,20,24,28,32,36,40),0)/100)),0)</f>
        <v/>
      </c>
      <c r="R95" t="n">
        <v>0</v>
      </c>
      <c r="S95" t="n">
        <v>0</v>
      </c>
      <c r="U95" t="n">
        <v>0</v>
      </c>
    </row>
    <row r="96">
      <c r="A96">
        <f>Skills!A24</f>
        <v/>
      </c>
      <c r="B96">
        <f>Skills!B24</f>
        <v/>
      </c>
      <c r="C96">
        <f>Inputs!$B$3&gt;=74</f>
        <v/>
      </c>
      <c r="D96">
        <f>IF(Skills!C24=1,60+Inputs!$B$26+Inputs!$B$30,IF(Skills!C24=2,90+Inputs!$B$27+Inputs!$B$30,IF(Skills!C24=3,120+Inputs!$B$28+Inputs!$B$30,MAX(0,(Inputs!$B$3-100)*3)+Inputs!$B$29+Inputs!$B$30)))</f>
        <v/>
      </c>
      <c r="E96">
        <f>INDEX(FactorTable!$B$2:$Y$301, MATCH(ROUND(MIN(300,MAX(1,D96)),0), FactorTable!$A$2:$A$301,0), Skills!L24+1)</f>
        <v/>
      </c>
      <c r="F96">
        <f>IF(Skills!M24=TRUE,(Skills!K24/10)*(E96/1000),Skills!K24/10)+Skills!N24</f>
        <v/>
      </c>
      <c r="G96">
        <f>Calc!G24</f>
        <v/>
      </c>
      <c r="H96">
        <f>Calc!H24</f>
        <v/>
      </c>
      <c r="I96">
        <f>IF(Skills!T24&lt;&gt;"",1+(Skills!T24/10)*($Z$3/1000)/100,1)</f>
        <v/>
      </c>
      <c r="J96" t="inlineStr"/>
      <c r="K96" t="inlineStr"/>
      <c r="L96" t="inlineStr"/>
      <c r="M96" t="inlineStr"/>
      <c r="N96" t="inlineStr"/>
      <c r="O96">
        <f>(1-Summary!$B$11)*S96+Summary!$B$11*U96</f>
        <v/>
      </c>
      <c r="P96">
        <f>IF(B115=0,0,O96/B115)</f>
        <v/>
      </c>
      <c r="Q96">
        <f>IFERROR(1/(IF(Inputs!$B$39="pvp",15,MAX(0.1,Skills!D24-IF(Skills!E24=TRUE,Inputs!$B$33,0)))*(1-IF(AND(ArtifactsInput!$M$27,Inputs!$B$4="Chapter Hunt"),CHOOSE(ArtifactsInput!$N$27+1,20,24,28,32,36,40),0)/100)),0)</f>
        <v/>
      </c>
      <c r="R96" t="n">
        <v>0</v>
      </c>
      <c r="S96" t="n">
        <v>0</v>
      </c>
      <c r="U96" t="n">
        <v>0</v>
      </c>
    </row>
    <row r="97">
      <c r="A97">
        <f>Skills!A25</f>
        <v/>
      </c>
      <c r="B97">
        <f>Skills!B25</f>
        <v/>
      </c>
      <c r="C97">
        <f>Inputs!$B$3&gt;=74</f>
        <v/>
      </c>
      <c r="D97">
        <f>IF(Skills!C25=1,60+Inputs!$B$26+Inputs!$B$30,IF(Skills!C25=2,90+Inputs!$B$27+Inputs!$B$30,IF(Skills!C25=3,120+Inputs!$B$28+Inputs!$B$30,MAX(0,(Inputs!$B$3-100)*3)+Inputs!$B$29+Inputs!$B$30)))</f>
        <v/>
      </c>
      <c r="E97">
        <f>INDEX(FactorTable!$B$2:$Y$301, MATCH(ROUND(MIN(300,MAX(1,D97)),0), FactorTable!$A$2:$A$301,0), Skills!L25+1)</f>
        <v/>
      </c>
      <c r="F97">
        <f>IF(Skills!M25=TRUE,(Skills!K25/10)*(E97/1000),Skills!K25/10)+Skills!N25</f>
        <v/>
      </c>
      <c r="G97">
        <f>Calc!G25</f>
        <v/>
      </c>
      <c r="H97">
        <f>Calc!H25</f>
        <v/>
      </c>
      <c r="I97">
        <f>IF(Skills!T25&lt;&gt;"",1+(Skills!T25/10)*($Z$3/1000)/100,1)</f>
        <v/>
      </c>
      <c r="J97" t="inlineStr"/>
      <c r="K97" t="inlineStr"/>
      <c r="L97" t="inlineStr"/>
      <c r="M97" t="inlineStr"/>
      <c r="N97" t="inlineStr"/>
      <c r="O97">
        <f>(1-Summary!$B$11)*S97+Summary!$B$11*U97</f>
        <v/>
      </c>
      <c r="P97">
        <f>IF(B115=0,0,O97/B115)</f>
        <v/>
      </c>
      <c r="Q97">
        <f>IFERROR(1/(IF(Inputs!$B$39="pvp",15,MAX(0.1,Skills!D25-IF(Skills!E25=TRUE,Inputs!$B$33,0)))*(1-IF(AND(ArtifactsInput!$M$27,Inputs!$B$4="Chapter Hunt"),CHOOSE(ArtifactsInput!$N$27+1,20,24,28,32,36,40),0)/100)),0)</f>
        <v/>
      </c>
      <c r="R97" t="n">
        <v>0</v>
      </c>
      <c r="S97" t="n">
        <v>0</v>
      </c>
      <c r="U97" t="n">
        <v>0</v>
      </c>
    </row>
    <row r="98">
      <c r="A98">
        <f>Skills!A26</f>
        <v/>
      </c>
      <c r="B98">
        <f>Skills!B26</f>
        <v/>
      </c>
      <c r="C98">
        <f>Inputs!$B$3&gt;=117</f>
        <v/>
      </c>
      <c r="D98">
        <f>IF(Skills!C26=1,60+Inputs!$B$26+Inputs!$B$30,IF(Skills!C26=2,90+Inputs!$B$27+Inputs!$B$30,IF(Skills!C26=3,120+Inputs!$B$28+Inputs!$B$30,MAX(0,(Inputs!$B$3-100)*3)+Inputs!$B$29+Inputs!$B$30)))</f>
        <v/>
      </c>
      <c r="E98">
        <f>INDEX(FactorTable!$B$2:$Y$301, MATCH(ROUND(MIN(300,MAX(1,D98)),0), FactorTable!$A$2:$A$301,0), Skills!L26+1)</f>
        <v/>
      </c>
      <c r="F98">
        <f>IF(Skills!M26=TRUE,(Skills!K26/10)*(E98/1000),Skills!K26/10)+Skills!N26</f>
        <v/>
      </c>
      <c r="G98">
        <f>Calc!G26</f>
        <v/>
      </c>
      <c r="H98">
        <f>Calc!H26</f>
        <v/>
      </c>
      <c r="I98">
        <f>IF(Skills!T26&lt;&gt;"",1+(Skills!T26/10)*($Z$3/1000)/100,1)</f>
        <v/>
      </c>
      <c r="J98" t="inlineStr"/>
      <c r="K98" t="inlineStr"/>
      <c r="L98" t="inlineStr"/>
      <c r="M98" t="inlineStr"/>
      <c r="N98" t="inlineStr"/>
      <c r="O98">
        <f>(1-Summary!$B$11)*S98+Summary!$B$11*U98</f>
        <v/>
      </c>
      <c r="P98">
        <f>IF(B115=0,0,O98/B115)</f>
        <v/>
      </c>
      <c r="Q98">
        <f>IFERROR(1/(IF(Inputs!$B$39="pvp",15,MAX(0.1,Skills!D26-IF(Skills!E26=TRUE,Inputs!$B$33,0)))*(1-IF(AND(ArtifactsInput!$M$27,Inputs!$B$4="Chapter Hunt"),CHOOSE(ArtifactsInput!$N$27+1,20,24,28,32,36,40),0)/100)),0)</f>
        <v/>
      </c>
      <c r="R98" t="n">
        <v>0</v>
      </c>
      <c r="S98" t="n">
        <v>0</v>
      </c>
      <c r="U98" t="n">
        <v>0</v>
      </c>
    </row>
    <row r="99">
      <c r="A99">
        <f>Skills!A27</f>
        <v/>
      </c>
      <c r="B99">
        <f>Skills!B27</f>
        <v/>
      </c>
      <c r="C99">
        <f>Inputs!$B$3&gt;=120</f>
        <v/>
      </c>
      <c r="D99">
        <f>IF(Skills!C27=1,60+Inputs!$B$26+Inputs!$B$30,IF(Skills!C27=2,90+Inputs!$B$27+Inputs!$B$30,IF(Skills!C27=3,120+Inputs!$B$28+Inputs!$B$30,MAX(0,(Inputs!$B$3-100)*3)+Inputs!$B$29+Inputs!$B$30)))</f>
        <v/>
      </c>
      <c r="E99">
        <f>INDEX(FactorTable!$B$2:$Y$301, MATCH(ROUND(MIN(300,MAX(1,D99)),0), FactorTable!$A$2:$A$301,0), Skills!L27+1)</f>
        <v/>
      </c>
      <c r="F99">
        <f>IF(Skills!M27=TRUE,(Skills!K27/10)*(E99/1000),Skills!K27/10)+Skills!N27</f>
        <v/>
      </c>
      <c r="G99">
        <f>Calc!G27</f>
        <v/>
      </c>
      <c r="H99">
        <f>Calc!H27</f>
        <v/>
      </c>
      <c r="I99">
        <f>IF(Skills!T27&lt;&gt;"",1+(Skills!T27/10)*($Z$3/1000)/100,1)</f>
        <v/>
      </c>
      <c r="J99" t="inlineStr"/>
      <c r="K99" t="inlineStr"/>
      <c r="L99" t="inlineStr"/>
      <c r="M99" t="inlineStr"/>
      <c r="N99" t="inlineStr"/>
      <c r="O99">
        <f>(1-Summary!$B$11)*S99+Summary!$B$11*U99</f>
        <v/>
      </c>
      <c r="P99">
        <f>IF(B115=0,0,O99/B115)</f>
        <v/>
      </c>
      <c r="Q99">
        <f>IFERROR(1/(IF(Inputs!$B$39="pvp",15,MAX(0.1,Skills!D27-IF(Skills!E27=TRUE,Inputs!$B$33,0)))*(1-IF(AND(ArtifactsInput!$M$27,Inputs!$B$4="Chapter Hunt"),CHOOSE(ArtifactsInput!$N$27+1,20,24,28,32,36,40),0)/100)),0)</f>
        <v/>
      </c>
      <c r="R99" t="n">
        <v>0</v>
      </c>
      <c r="S99" t="n">
        <v>0</v>
      </c>
      <c r="U99" t="n">
        <v>0</v>
      </c>
    </row>
    <row r="100">
      <c r="A100">
        <f>Skills!A28</f>
        <v/>
      </c>
      <c r="B100">
        <f>Skills!B28</f>
        <v/>
      </c>
      <c r="C100">
        <f>TRUE</f>
        <v/>
      </c>
      <c r="D100">
        <f>IF(Skills!C28=1,60+Inputs!$B$26+Inputs!$B$30,IF(Skills!C28=2,90+Inputs!$B$27+Inputs!$B$30,IF(Skills!C28=3,120+Inputs!$B$28+Inputs!$B$30,MAX(0,(Inputs!$B$3-100)*3)+Inputs!$B$29+Inputs!$B$30)))</f>
        <v/>
      </c>
      <c r="E100">
        <f>INDEX(FactorTable!$B$2:$Y$301, MATCH(ROUND(MIN(300,MAX(1,D100)),0), FactorTable!$A$2:$A$301,0), Skills!L28+1)</f>
        <v/>
      </c>
      <c r="F100">
        <f>IF(Skills!M28=TRUE,(Skills!K28/10)*(E100/1000),Skills!K28/10)+Skills!N28</f>
        <v/>
      </c>
      <c r="G100">
        <f>Calc!G28</f>
        <v/>
      </c>
      <c r="H100">
        <f>Calc!H28</f>
        <v/>
      </c>
      <c r="I100">
        <f>IF(Skills!T28&lt;&gt;"",1+(Skills!T28/10)*($Z$3/1000)/100,1)</f>
        <v/>
      </c>
      <c r="J100" t="inlineStr"/>
      <c r="K100" t="inlineStr"/>
      <c r="L100" t="inlineStr"/>
      <c r="M100" t="inlineStr"/>
      <c r="N100" t="inlineStr"/>
      <c r="O100">
        <f>(1-Summary!$B$11)*S100+Summary!$B$11*U100</f>
        <v/>
      </c>
      <c r="P100">
        <f>IF(B115=0,0,O100/B115)</f>
        <v/>
      </c>
      <c r="Q100">
        <f>IFERROR(1/(IF(Inputs!$B$39="pvp",15,MAX(0.1,Skills!D28-IF(Skills!E28=TRUE,Inputs!$B$33,0)))*(1-IF(AND(ArtifactsInput!$M$27,Inputs!$B$4="Chapter Hunt"),CHOOSE(ArtifactsInput!$N$27+1,20,24,28,32,36,40),0)/100)),0)</f>
        <v/>
      </c>
      <c r="R100">
        <f>IF(AND(Inputs!$B$39&lt;&gt;"pvp",Inputs!$B$44&gt;0),IF(Inputs!$B$44&lt;=0,0,(INT(Inputs!$B$44/(IF(Inputs!$B$39="pvp",15,MAX(0.1,Skills!D28-IF(Skills!E28=TRUE,Inputs!$B$33,0)))*(1-IF(AND(ArtifactsInput!$M$27,Inputs!$B$4="Chapter Hunt"),CHOOSE(ArtifactsInput!$N$27+1,20,24,28,32,36,40),0)/100)))+1)),0)</f>
        <v/>
      </c>
      <c r="S100" t="n">
        <v>0</v>
      </c>
      <c r="U100" t="n">
        <v>0</v>
      </c>
    </row>
    <row r="102">
      <c r="A102" t="inlineStr">
        <is>
          <t>Average Buff Multiplier</t>
        </is>
      </c>
      <c r="B102">
        <f>(1+(IF(C75=TRUE,F75*IF(AND(Inputs!$B$39&lt;&gt;"pvp",Inputs!$B$44&gt;0),(((R75-1)*(Skills!S3*(1+((Inputs!$B$35+(ArtifactsInput!$M$7-ArtifactsInput!$M$7)*CHOOSE(ArtifactsInput!$N$7+1,6,7.2,8.4,9.6,10.8,12))+IF(Inputs!$B$3&gt;=117,F98,0))/100))+MIN((Skills!S3*(1+((Inputs!$B$35+(ArtifactsInput!$M$7-ArtifactsInput!$M$7)*CHOOSE(ArtifactsInput!$N$7+1,6,7.2,8.4,9.6,10.8,12))+IF(Inputs!$B$3&gt;=117,F98,0))/100)),MAX(0,Inputs!$B$44-((R75-1)*Skills!D3))))/Inputs!$B$44),IF(Inputs!$B$39="pvp",MIN((Skills!S3*(1+((Inputs!$B$35+(ArtifactsInput!$M$7-ArtifactsInput!$M$7)*CHOOSE(ArtifactsInput!$N$7+1,6,7.2,8.4,9.6,10.8,12))+IF(Inputs!$B$3&gt;=117,F98,0))/100)),15)/15,(Skills!S3*(1+((Inputs!$B$35+(ArtifactsInput!$M$7-ArtifactsInput!$M$7)*CHOOSE(ArtifactsInput!$N$7+1,6,7.2,8.4,9.6,10.8,12))+IF(Inputs!$B$3&gt;=117,F98,0))/100))/Skills!D3)),0)+IF(C76=TRUE,F76*IF(AND(Inputs!$B$39&lt;&gt;"pvp",Inputs!$B$44&gt;0),(((R76-1)*(Skills!S4*(1+((Inputs!$B$35+(ArtifactsInput!$M$7-ArtifactsInput!$M$7)*CHOOSE(ArtifactsInput!$N$7+1,6,7.2,8.4,9.6,10.8,12))+IF(Inputs!$B$3&gt;=117,F98,0))/100))+MIN((Skills!S4*(1+((Inputs!$B$35+(ArtifactsInput!$M$7-ArtifactsInput!$M$7)*CHOOSE(ArtifactsInput!$N$7+1,6,7.2,8.4,9.6,10.8,12))+IF(Inputs!$B$3&gt;=117,F98,0))/100)),MAX(0,Inputs!$B$44-((R76-1)*Skills!D4))))/Inputs!$B$44),IF(Inputs!$B$39="pvp",MIN((Skills!S4*(1+((Inputs!$B$35+(ArtifactsInput!$M$7-ArtifactsInput!$M$7)*CHOOSE(ArtifactsInput!$N$7+1,6,7.2,8.4,9.6,10.8,12))+IF(Inputs!$B$3&gt;=117,F98,0))/100)),15)/15,(Skills!S4*(1+((Inputs!$B$35+(ArtifactsInput!$M$7-ArtifactsInput!$M$7)*CHOOSE(ArtifactsInput!$N$7+1,6,7.2,8.4,9.6,10.8,12))+IF(Inputs!$B$3&gt;=117,F98,0))/100))/Skills!D4)),0)+IF(C77=TRUE,F77*IF(AND(Inputs!$B$39&lt;&gt;"pvp",Inputs!$B$44&gt;0),(((R77-1)*(Skills!S5*(1+((Inputs!$B$35+(ArtifactsInput!$M$7-ArtifactsInput!$M$7)*CHOOSE(ArtifactsInput!$N$7+1,6,7.2,8.4,9.6,10.8,12))+IF(Inputs!$B$3&gt;=117,F98,0))/100))+MIN((Skills!S5*(1+((Inputs!$B$35+(ArtifactsInput!$M$7-ArtifactsInput!$M$7)*CHOOSE(ArtifactsInput!$N$7+1,6,7.2,8.4,9.6,10.8,12))+IF(Inputs!$B$3&gt;=117,F98,0))/100)),MAX(0,Inputs!$B$44-((R77-1)*Skills!D5))))/Inputs!$B$44),IF(Inputs!$B$39="pvp",MIN((Skills!S5*(1+((Inputs!$B$35+(ArtifactsInput!$M$7-ArtifactsInput!$M$7)*CHOOSE(ArtifactsInput!$N$7+1,6,7.2,8.4,9.6,10.8,12))+IF(Inputs!$B$3&gt;=117,F98,0))/100)),15)/15,(Skills!S5*(1+((Inputs!$B$35+(ArtifactsInput!$M$7-ArtifactsInput!$M$7)*CHOOSE(ArtifactsInput!$N$7+1,6,7.2,8.4,9.6,10.8,12))+IF(Inputs!$B$3&gt;=117,F98,0))/100))/Skills!D5)),0)+IF(C83=TRUE,F83*IF(AND(Inputs!$B$39&lt;&gt;"pvp",Inputs!$B$44&gt;0),(((R83-1)*(Skills!S11*(1+((Inputs!$B$35+(ArtifactsInput!$M$7-ArtifactsInput!$M$7)*CHOOSE(ArtifactsInput!$N$7+1,6,7.2,8.4,9.6,10.8,12))+IF(Inputs!$B$3&gt;=117,F98,0))/100))+MIN((Skills!S11*(1+((Inputs!$B$35+(ArtifactsInput!$M$7-ArtifactsInput!$M$7)*CHOOSE(ArtifactsInput!$N$7+1,6,7.2,8.4,9.6,10.8,12))+IF(Inputs!$B$3&gt;=117,F98,0))/100)),MAX(0,Inputs!$B$44-((R83-1)*Skills!D11))))/Inputs!$B$44),IF(Inputs!$B$39="pvp",MIN((Skills!S11*(1+((Inputs!$B$35+(ArtifactsInput!$M$7-ArtifactsInput!$M$7)*CHOOSE(ArtifactsInput!$N$7+1,6,7.2,8.4,9.6,10.8,12))+IF(Inputs!$B$3&gt;=117,F98,0))/100)),15)/15,(Skills!S11*(1+((Inputs!$B$35+(ArtifactsInput!$M$7-ArtifactsInput!$M$7)*CHOOSE(ArtifactsInput!$N$7+1,6,7.2,8.4,9.6,10.8,12))+IF(Inputs!$B$3&gt;=117,F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86=TRUE,(1+F86*IF(AND(Inputs!$B$39&lt;&gt;"pvp",Inputs!$B$44&gt;0),(((R86-1)*(Skills!S14*(1+((Inputs!$B$35+(ArtifactsInput!$M$7-ArtifactsInput!$M$7)*CHOOSE(ArtifactsInput!$N$7+1,6,7.2,8.4,9.6,10.8,12))+IF(Inputs!$B$3&gt;=117,F98,0))/100))+MIN((Skills!S14*(1+((Inputs!$B$35+(ArtifactsInput!$M$7-ArtifactsInput!$M$7)*CHOOSE(ArtifactsInput!$N$7+1,6,7.2,8.4,9.6,10.8,12))+IF(Inputs!$B$3&gt;=117,F98,0))/100)),MAX(0,Inputs!$B$44-((R86-1)*Skills!D14))))/Inputs!$B$44),IF(Inputs!$B$39="pvp",MIN((Skills!S14*(1+((Inputs!$B$35+(ArtifactsInput!$M$7-ArtifactsInput!$M$7)*CHOOSE(ArtifactsInput!$N$7+1,6,7.2,8.4,9.6,10.8,12))+IF(Inputs!$B$3&gt;=117,F98,0))/100)),15)/15,(Skills!S14*(1+((Inputs!$B$35+(ArtifactsInput!$M$7-ArtifactsInput!$M$7)*CHOOSE(ArtifactsInput!$N$7+1,6,7.2,8.4,9.6,10.8,12))+IF(Inputs!$B$3&gt;=117,F98,0))/100))/Skills!D14))/100),1)*IF(C91=TRUE,(1+F91*IF(AND(Inputs!$B$39&lt;&gt;"pvp",Inputs!$B$44&gt;0),(((R91-1)*(Skills!S19*(1+((Inputs!$B$35+(ArtifactsInput!$M$7-ArtifactsInput!$M$7)*CHOOSE(ArtifactsInput!$N$7+1,6,7.2,8.4,9.6,10.8,12))+IF(Inputs!$B$3&gt;=117,F98,0))/100))+MIN((Skills!S19*(1+((Inputs!$B$35+(ArtifactsInput!$M$7-ArtifactsInput!$M$7)*CHOOSE(ArtifactsInput!$N$7+1,6,7.2,8.4,9.6,10.8,12))+IF(Inputs!$B$3&gt;=117,F98,0))/100)),MAX(0,Inputs!$B$44-((R91-1)*Skills!D19))))/Inputs!$B$44),IF(Inputs!$B$39="pvp",MIN((Skills!S19*(1+((Inputs!$B$35+(ArtifactsInput!$M$7-ArtifactsInput!$M$7)*CHOOSE(ArtifactsInput!$N$7+1,6,7.2,8.4,9.6,10.8,12))+IF(Inputs!$B$3&gt;=117,F98,0))/100)),15)/15,(Skills!S19*(1+((Inputs!$B$35+(ArtifactsInput!$M$7-ArtifactsInput!$M$7)*CHOOSE(ArtifactsInput!$N$7+1,6,7.2,8.4,9.6,10.8,12))+IF(Inputs!$B$3&gt;=117,F98,0))/100))/Skills!D19))/100),1)</f>
        <v/>
      </c>
    </row>
    <row r="103">
      <c r="A103" t="inlineStr">
        <is>
          <t>Monster Damage Taken Bonus % (Holy Fountain)</t>
        </is>
      </c>
      <c r="B103">
        <f>IF(Inputs!$B$3&gt;=68,20*IF(Inputs!$B$39="pvp",MIN((15*(1+((Inputs!$B$35+(ArtifactsInput!$M$7-ArtifactsInput!$M$7)*CHOOSE(ArtifactsInput!$N$7+1,6,7.2,8.4,9.6,10.8,12))+IF(Inputs!$B$3&gt;=117,F98,0))/100)),15)/15,(15*(1+((Inputs!$B$35+(ArtifactsInput!$M$7-ArtifactsInput!$M$7)*CHOOSE(ArtifactsInput!$N$7+1,6,7.2,8.4,9.6,10.8,12))+IF(Inputs!$B$3&gt;=117,F98,0))/100))/Skills!D10),0)</f>
        <v/>
      </c>
    </row>
    <row r="104">
      <c r="A104" t="inlineStr">
        <is>
          <t>Normal Monster Damage Bonus % (Holy Symbol)</t>
        </is>
      </c>
      <c r="B104">
        <f>IF(C84=TRUE,F84*IF(AND(Inputs!$B$39&lt;&gt;"pvp",Inputs!$B$44&gt;0),(((R84-1)*(Skills!S12*(1+((Inputs!$B$35+(ArtifactsInput!$M$7-ArtifactsInput!$M$7)*CHOOSE(ArtifactsInput!$N$7+1,6,7.2,8.4,9.6,10.8,12))+IF(Inputs!$B$3&gt;=117,F98,0))/100))+MIN((Skills!S12*(1+((Inputs!$B$35+(ArtifactsInput!$M$7-ArtifactsInput!$M$7)*CHOOSE(ArtifactsInput!$N$7+1,6,7.2,8.4,9.6,10.8,12))+IF(Inputs!$B$3&gt;=117,F98,0))/100)),MAX(0,Inputs!$B$44-((R84-1)*Skills!D12))))/Inputs!$B$44),IF(Inputs!$B$39="pvp",MIN((Skills!S12*(1+((Inputs!$B$35+(ArtifactsInput!$M$7-ArtifactsInput!$M$7)*CHOOSE(ArtifactsInput!$N$7+1,6,7.2,8.4,9.6,10.8,12))+IF(Inputs!$B$3&gt;=117,F98,0))/100)),15)/15,(Skills!S12*(1+((Inputs!$B$35+(ArtifactsInput!$M$7-ArtifactsInput!$M$7)*CHOOSE(ArtifactsInput!$N$7+1,6,7.2,8.4,9.6,10.8,12))+IF(Inputs!$B$3&gt;=117,F98,0))/100))/Skills!D12)),0)</f>
        <v/>
      </c>
    </row>
    <row r="105">
      <c r="A105" t="inlineStr">
        <is>
          <t>Damage % Bonus (Holy Symbol - Damage Boost)</t>
        </is>
      </c>
      <c r="B105">
        <f>Skills!O12</f>
        <v/>
      </c>
    </row>
    <row r="106">
      <c r="A106" t="inlineStr">
        <is>
          <t>Crit Damage % Bonus (Blood of the Divine)</t>
        </is>
      </c>
      <c r="B106">
        <f>4*IF(C92=TRUE,F92,0)</f>
        <v/>
      </c>
    </row>
    <row r="107">
      <c r="A107" t="inlineStr">
        <is>
          <t>Attack Speed Bonus %</t>
        </is>
      </c>
      <c r="B107">
        <f>IF(C89=TRUE,F89+(F93-Calc!F21),0)+IF(Inputs!$B$3&gt;=134,15,0)+((C100=TRUE)*F100*IF(AND(Inputs!$B$39&lt;&gt;"pvp",Inputs!$B$44&gt;0),(((R100-1)*(Skills!S28*(1+((Inputs!$B$35+(ArtifactsInput!$M$7-ArtifactsInput!$M$7)*CHOOSE(ArtifactsInput!$N$7+1,6,7.2,8.4,9.6,10.8,12))+IF(Inputs!$B$3&gt;=117,F98,0))/100))+MIN((Skills!S28*(1+((Inputs!$B$35+(ArtifactsInput!$M$7-ArtifactsInput!$M$7)*CHOOSE(ArtifactsInput!$N$7+1,6,7.2,8.4,9.6,10.8,12))+IF(Inputs!$B$3&gt;=117,F98,0))/100)),MAX(0,Inputs!$B$44-((R100-1)*Skills!D28))))/Inputs!$B$44),IF(Inputs!$B$39="pvp",MIN((Skills!S28*(1+((Inputs!$B$35+(ArtifactsInput!$M$7-ArtifactsInput!$M$7)*CHOOSE(ArtifactsInput!$N$7+1,6,7.2,8.4,9.6,10.8,12))+IF(Inputs!$B$3&gt;=117,F98,0))/100)),15)/15,(Skills!S28*(1+((Inputs!$B$35+(ArtifactsInput!$M$7-ArtifactsInput!$M$7)*CHOOSE(ArtifactsInput!$N$7+1,6,7.2,8.4,9.6,10.8,12))+IF(Inputs!$B$3&gt;=117,F98,0))/100))/Skills!D28)))</f>
        <v/>
      </c>
    </row>
    <row r="108">
      <c r="A108" t="inlineStr">
        <is>
          <t>Actions Per Second</t>
        </is>
      </c>
      <c r="B108">
        <f>1+MIN(150,150*(1-(1-Inputs!$B$12/150)*(1-B107/150)))/100</f>
        <v/>
      </c>
    </row>
    <row r="109">
      <c r="A109" t="inlineStr">
        <is>
          <t>Skill + Buff Cast Rate</t>
        </is>
      </c>
      <c r="B109">
        <f>IF(AND(Inputs!$B$39&lt;&gt;"pvp",Inputs!$B$44&gt;0),SUMPRODUCT((Skills!E2:E28=TRUE)*(C74:C100=TRUE)*R74:R100)/Inputs!$B$44,SUMPRODUCT((Skills!E2:E28=TRUE)*(C74:C100=TRUE)*Q74:Q100))</f>
        <v/>
      </c>
    </row>
    <row r="110">
      <c r="A110" t="inlineStr">
        <is>
          <t>Big Bang Casts Per Second</t>
        </is>
      </c>
      <c r="B110">
        <f>MAX(0,B108-B109)</f>
        <v/>
      </c>
    </row>
    <row r="111">
      <c r="A111" t="inlineStr">
        <is>
          <t>Defense % Bonus (Divine Protection)</t>
        </is>
      </c>
      <c r="B111">
        <f>IF(C85=TRUE,F85*IF(AND(Inputs!$B$39&lt;&gt;"pvp",Inputs!$B$44&gt;0),(((R85-1)*(Skills!S13*(1+((Inputs!$B$35+(ArtifactsInput!$M$7-ArtifactsInput!$M$7)*CHOOSE(ArtifactsInput!$N$7+1,6,7.2,8.4,9.6,10.8,12))+IF(Inputs!$B$3&gt;=117,F98,0))/100))+MIN((Skills!S13*(1+((Inputs!$B$35+(ArtifactsInput!$M$7-ArtifactsInput!$M$7)*CHOOSE(ArtifactsInput!$N$7+1,6,7.2,8.4,9.6,10.8,12))+IF(Inputs!$B$3&gt;=117,F98,0))/100)),MAX(0,Inputs!$B$44-((R85-1)*Skills!D13))))/Inputs!$B$44),IF(Inputs!$B$39="pvp",MIN((Skills!S13*(1+((Inputs!$B$35+(ArtifactsInput!$M$7-ArtifactsInput!$M$7)*CHOOSE(ArtifactsInput!$N$7+1,6,7.2,8.4,9.6,10.8,12))+IF(Inputs!$B$3&gt;=117,F98,0))/100)),15)/15,(Skills!S13*(1+((Inputs!$B$35+(ArtifactsInput!$M$7-ArtifactsInput!$M$7)*CHOOSE(ArtifactsInput!$N$7+1,6,7.2,8.4,9.6,10.8,12))+IF(Inputs!$B$3&gt;=117,F98,0))/100))/Skills!D13)),0)</f>
        <v/>
      </c>
    </row>
    <row r="112">
      <c r="A112" t="inlineStr">
        <is>
          <t>Buff-Casting Startup Delay (s, fixed-duration only)</t>
        </is>
      </c>
      <c r="B112">
        <f>IF(AND(Inputs!$B$39&lt;&gt;"pvp",Inputs!$B$44&gt;0),SUMPRODUCT((Skills!S2:S28&gt;0)*(Skills!E2:E28=TRUE)*(C74:C100=TRUE))/B108,0)</f>
        <v/>
      </c>
    </row>
    <row r="113">
      <c r="A113" t="inlineStr">
        <is>
          <t>Boss-Only Total DPS (this block's swept value)</t>
        </is>
      </c>
      <c r="B113">
        <f>SUM(S74:S100)</f>
        <v/>
      </c>
    </row>
    <row r="114">
      <c r="A114" t="inlineStr">
        <is>
          <t>Normal-Only Total DPS (this block's swept value)</t>
        </is>
      </c>
      <c r="B114">
        <f>SUM(U74:U100)</f>
        <v/>
      </c>
    </row>
    <row r="115">
      <c r="A115" s="6" t="inlineStr">
        <is>
          <t>TOTAL DPS</t>
        </is>
      </c>
      <c r="B115" s="6">
        <f>SUM(O74:O100)</f>
        <v/>
      </c>
    </row>
    <row r="117">
      <c r="A117" s="6" t="inlineStr">
        <is>
          <t>Stat: INT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R118" t="inlineStr">
        <is>
          <t>helpers</t>
        </is>
      </c>
    </row>
    <row r="119">
      <c r="A119">
        <f>Skills!A2</f>
        <v/>
      </c>
      <c r="B119">
        <f>Skills!B2</f>
        <v/>
      </c>
      <c r="C119">
        <f>Inputs!$B$3&gt;=100</f>
        <v/>
      </c>
      <c r="D119" t="inlineStr"/>
      <c r="E119" t="inlineStr"/>
      <c r="F119">
        <f>T121+Skills!N2</f>
        <v/>
      </c>
      <c r="G119">
        <f>Calc!G2</f>
        <v/>
      </c>
      <c r="H119">
        <f>Calc!H2</f>
        <v/>
      </c>
      <c r="I119">
        <f>IF(Skills!T2&lt;&gt;"",1+(Skills!T2/10)*($Z$3/1000)/100,1)</f>
        <v/>
      </c>
      <c r="J119">
        <f>((Inputs!$B$6*(1+Inputs!$B$7/100))+(((Inputs!$B$13*(1+(Inputs!$B$14+1)/100))-(Inputs!$B$13*(1+Inputs!$B$14/100)))+0.25*(Inputs!$B$15-Inputs!$B$15))*(1+Inputs!$B$7/100))*(F119/100)</f>
        <v/>
      </c>
      <c r="K119">
        <f>J119*(1+(((Inputs!$B$13+IF(Inputs!$B$3&gt;=35,(10*INDEX(FactorTable!$B$2:$Y$301,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2="TRIUMPH_FEATHER",IF(C133=TRUE,F133,0),0)/100)*(1+IF(C144=TRUE,F144,0)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119)</f>
        <v/>
      </c>
      <c r="L119">
        <f>K119*(MIN(Inputs!$B$23+(F139-Calc!F22),(Inputs!$B$24+IF(ArtifactsInput!$M$15,CHOOSE(ArtifactsInput!$N$15+1,25,30,35,40,45,50)/100*(Inputs!$B$12-Inputs!$B$12),0)))/100+(Inputs!$B$24+IF(ArtifactsInput!$M$15,CHOOSE(ArtifactsInput!$N$15+1,25,30,35,40,45,50)/100*(Inputs!$B$12-Inputs!$B$12),0))/100)/2</f>
        <v/>
      </c>
      <c r="M119">
        <f>L119*(1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
        <f>L119*(1-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
        <f>(1-Summary!$B$11)*S119+Summary!$B$11*U119</f>
        <v/>
      </c>
      <c r="P119">
        <f>IF(B160=0,0,O119/B160)</f>
        <v/>
      </c>
      <c r="Q119">
        <f>IFERROR(1/(IF(Inputs!$B$39="pvp",15,MAX(0.1,Skills!D2-IF(Skills!E2=TRUE,Inputs!$B$33,0)))*(1-IF(AND(ArtifactsInput!$M$27,Inputs!$B$4="Chapter Hunt"),CHOOSE(ArtifactsInput!$N$27+1,20,24,28,32,36,40),0)/100)),0)</f>
        <v/>
      </c>
      <c r="R119" t="n">
        <v>0</v>
      </c>
      <c r="S119">
        <f>IF(C119,(Skills!F2*N119*B155)*IF(Inputs!$B$39="pvp",1,1+(Inputs!$B$21+Skills!O2+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
        <f>MAX(0,(Inputs!$B$3-100)*3)+Inputs!$B$29+Inputs!$B$30</f>
        <v/>
      </c>
      <c r="U119">
        <f>IF(C119,(Skills!F2*N119*B155)*IF(Inputs!$B$39="pvp",1,(1+(Inputs!$B$22+Skills!P2+B149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
      <c r="A120">
        <f>Skills!A3</f>
        <v/>
      </c>
      <c r="B120">
        <f>Skills!B3</f>
        <v/>
      </c>
      <c r="C120">
        <f>Inputs!$B$3&gt;=15</f>
        <v/>
      </c>
      <c r="D120">
        <f>IF(Skills!C3=1,60+Inputs!$B$26+Inputs!$B$30,IF(Skills!C3=2,90+Inputs!$B$27+Inputs!$B$30,IF(Skills!C3=3,120+Inputs!$B$28+Inputs!$B$30,MAX(0,(Inputs!$B$3-100)*3)+Inputs!$B$29+Inputs!$B$30)))</f>
        <v/>
      </c>
      <c r="E120">
        <f>INDEX(FactorTable!$B$2:$Y$301, MATCH(ROUND(MIN(300,MAX(1,D120)),0), FactorTable!$A$2:$A$301,0), Skills!L3+1)</f>
        <v/>
      </c>
      <c r="F120">
        <f>IF(Skills!M3=TRUE,(Skills!K3/10)*(E120/1000),Skills!K3/10)+Skills!N3</f>
        <v/>
      </c>
      <c r="G120">
        <f>Calc!G3</f>
        <v/>
      </c>
      <c r="H120">
        <f>Calc!H3</f>
        <v/>
      </c>
      <c r="I120">
        <f>IF(Skills!T3&lt;&gt;"",1+(Skills!T3/10)*($Z$3/1000)/100,1)</f>
        <v/>
      </c>
      <c r="J120" t="inlineStr"/>
      <c r="K120" t="inlineStr"/>
      <c r="L120" t="inlineStr"/>
      <c r="M120" t="inlineStr"/>
      <c r="N120" t="inlineStr"/>
      <c r="O120">
        <f>(1-Summary!$B$11)*S120+Summary!$B$11*U120</f>
        <v/>
      </c>
      <c r="P120">
        <f>IF(B160=0,0,O120/B160)</f>
        <v/>
      </c>
      <c r="Q120">
        <f>IFERROR(1/(IF(Inputs!$B$39="pvp",15,MAX(0.1,Skills!D3-IF(Skills!E3=TRUE,Inputs!$B$33,0)))*(1-IF(AND(ArtifactsInput!$M$27,Inputs!$B$4="Chapter Hunt"),CHOOSE(ArtifactsInput!$N$27+1,20,24,28,32,36,40),0)/100)),0)</f>
        <v/>
      </c>
      <c r="R120">
        <f>IF(AND(Inputs!$B$39&lt;&gt;"pvp",Inputs!$B$44&gt;0),IF(Inputs!$B$44&lt;=0,0,(INT(Inputs!$B$44/(IF(Inputs!$B$39="pvp",15,MAX(0.1,Skills!D3-IF(Skills!E3=TRUE,Inputs!$B$33,0)))*(1-IF(AND(ArtifactsInput!$M$27,Inputs!$B$4="Chapter Hunt"),CHOOSE(ArtifactsInput!$N$27+1,20,24,28,32,36,40),0)/100)))+1)),0)</f>
        <v/>
      </c>
      <c r="S120" t="n">
        <v>0</v>
      </c>
      <c r="T120">
        <f>INDEX(FactorTable!$B$2:$Y$301, MATCH(ROUND(MIN(300,MAX(1,T119)),0), FactorTable!$A$2:$A$301,0), 22)</f>
        <v/>
      </c>
      <c r="U120" t="n">
        <v>0</v>
      </c>
    </row>
    <row r="121">
      <c r="A121">
        <f>Skills!A4</f>
        <v/>
      </c>
      <c r="B121">
        <f>Skills!B4</f>
        <v/>
      </c>
      <c r="C121">
        <f>Inputs!$B$3&gt;=38</f>
        <v/>
      </c>
      <c r="D121">
        <f>IF(Skills!C4=1,60+Inputs!$B$26+Inputs!$B$30,IF(Skills!C4=2,90+Inputs!$B$27+Inputs!$B$30,IF(Skills!C4=3,120+Inputs!$B$28+Inputs!$B$30,MAX(0,(Inputs!$B$3-100)*3)+Inputs!$B$29+Inputs!$B$30)))</f>
        <v/>
      </c>
      <c r="E121">
        <f>INDEX(FactorTable!$B$2:$Y$301, MATCH(ROUND(MIN(300,MAX(1,D121)),0), FactorTable!$A$2:$A$301,0), Skills!L4+1)</f>
        <v/>
      </c>
      <c r="F121">
        <f>IF(Skills!M4=TRUE,(Skills!K4/10)*(E121/1000),Skills!K4/10)+Skills!N4</f>
        <v/>
      </c>
      <c r="G121">
        <f>Calc!G4</f>
        <v/>
      </c>
      <c r="H121">
        <f>Calc!H4</f>
        <v/>
      </c>
      <c r="I121">
        <f>IF(Skills!T4&lt;&gt;"",1+(Skills!T4/10)*($Z$3/1000)/100,1)</f>
        <v/>
      </c>
      <c r="J121" t="inlineStr"/>
      <c r="K121" t="inlineStr"/>
      <c r="L121" t="inlineStr"/>
      <c r="M121" t="inlineStr"/>
      <c r="N121" t="inlineStr"/>
      <c r="O121">
        <f>(1-Summary!$B$11)*S121+Summary!$B$11*U121</f>
        <v/>
      </c>
      <c r="P121">
        <f>IF(B160=0,0,O121/B160)</f>
        <v/>
      </c>
      <c r="Q121">
        <f>IFERROR(1/(IF(Inputs!$B$39="pvp",15,MAX(0.1,Skills!D4-IF(Skills!E4=TRUE,Inputs!$B$33,0)))*(1-IF(AND(ArtifactsInput!$M$27,Inputs!$B$4="Chapter Hunt"),CHOOSE(ArtifactsInput!$N$27+1,20,24,28,32,36,40),0)/100)),0)</f>
        <v/>
      </c>
      <c r="R121">
        <f>IF(AND(Inputs!$B$39&lt;&gt;"pvp",Inputs!$B$44&gt;0),IF(Inputs!$B$44&lt;=0,0,(INT(Inputs!$B$44/(IF(Inputs!$B$39="pvp",15,MAX(0.1,Skills!D4-IF(Skills!E4=TRUE,Inputs!$B$33,0)))*(1-IF(AND(ArtifactsInput!$M$27,Inputs!$B$4="Chapter Hunt"),CHOOSE(ArtifactsInput!$N$27+1,20,24,28,32,36,40),0)/100)))+1)),0)</f>
        <v/>
      </c>
      <c r="S121" t="n">
        <v>0</v>
      </c>
      <c r="T121">
        <f>290*T120/1000</f>
        <v/>
      </c>
      <c r="U121" t="n">
        <v>0</v>
      </c>
    </row>
    <row r="122">
      <c r="A122">
        <f>Skills!A5</f>
        <v/>
      </c>
      <c r="B122">
        <f>Skills!B5</f>
        <v/>
      </c>
      <c r="C122">
        <f>Inputs!$B$3&gt;=40</f>
        <v/>
      </c>
      <c r="D122">
        <f>IF(Skills!C5=1,60+Inputs!$B$26+Inputs!$B$30,IF(Skills!C5=2,90+Inputs!$B$27+Inputs!$B$30,IF(Skills!C5=3,120+Inputs!$B$28+Inputs!$B$30,MAX(0,(Inputs!$B$3-100)*3)+Inputs!$B$29+Inputs!$B$30)))</f>
        <v/>
      </c>
      <c r="E122">
        <f>INDEX(FactorTable!$B$2:$Y$301, MATCH(ROUND(MIN(300,MAX(1,D122)),0), FactorTable!$A$2:$A$301,0), Skills!L5+1)</f>
        <v/>
      </c>
      <c r="F122">
        <f>IF(Skills!M5=TRUE,(Skills!K5/10)*(E122/1000),Skills!K5/10)+Skills!N5</f>
        <v/>
      </c>
      <c r="G122">
        <f>Calc!G5</f>
        <v/>
      </c>
      <c r="H122">
        <f>Calc!H5</f>
        <v/>
      </c>
      <c r="I122">
        <f>IF(Skills!T5&lt;&gt;"",1+(Skills!T5/10)*($Z$3/1000)/100,1)</f>
        <v/>
      </c>
      <c r="J122" t="inlineStr"/>
      <c r="K122" t="inlineStr"/>
      <c r="L122" t="inlineStr"/>
      <c r="M122" t="inlineStr"/>
      <c r="N122" t="inlineStr"/>
      <c r="O122">
        <f>(1-Summary!$B$11)*S122+Summary!$B$11*U122</f>
        <v/>
      </c>
      <c r="P122">
        <f>IF(B160=0,0,O122/B160)</f>
        <v/>
      </c>
      <c r="Q122">
        <f>IFERROR(1/(IF(Inputs!$B$39="pvp",15,MAX(0.1,Skills!D5-IF(Skills!E5=TRUE,Inputs!$B$33,0)))*(1-IF(AND(ArtifactsInput!$M$27,Inputs!$B$4="Chapter Hunt"),CHOOSE(ArtifactsInput!$N$27+1,20,24,28,32,36,40),0)/100)),0)</f>
        <v/>
      </c>
      <c r="R122">
        <f>IF(AND(Inputs!$B$39&lt;&gt;"pvp",Inputs!$B$44&gt;0),IF(Inputs!$B$44&lt;=0,0,(INT(Inputs!$B$44/(IF(Inputs!$B$39="pvp",15,MAX(0.1,Skills!D5-IF(Skills!E5=TRUE,Inputs!$B$33,0)))*(1-IF(AND(ArtifactsInput!$M$27,Inputs!$B$4="Chapter Hunt"),CHOOSE(ArtifactsInput!$N$27+1,20,24,28,32,36,40),0)/100)))+1)),0)</f>
        <v/>
      </c>
      <c r="S122" t="n">
        <v>0</v>
      </c>
      <c r="U122" t="n">
        <v>0</v>
      </c>
    </row>
    <row r="123">
      <c r="A123">
        <f>Skills!A6</f>
        <v/>
      </c>
      <c r="B123">
        <f>Skills!B6</f>
        <v/>
      </c>
      <c r="C123">
        <f>Inputs!$B$3&gt;=103</f>
        <v/>
      </c>
      <c r="D123">
        <f>IF(Skills!C6=1,60+Inputs!$B$26+Inputs!$B$30,IF(Skills!C6=2,90+Inputs!$B$27+Inputs!$B$30,IF(Skills!C6=3,120+Inputs!$B$28+Inputs!$B$30,MAX(0,(Inputs!$B$3-100)*3)+Inputs!$B$29+Inputs!$B$30)))</f>
        <v/>
      </c>
      <c r="E123">
        <f>INDEX(FactorTable!$B$2:$Y$301, MATCH(ROUND(MIN(300,MAX(1,D123)),0), FactorTable!$A$2:$A$301,0), Skills!L6+1)</f>
        <v/>
      </c>
      <c r="F123">
        <f>IF(Skills!M6=TRUE,(Skills!K6/10)*(E123/1000),Skills!K6/10)+Skills!N6</f>
        <v/>
      </c>
      <c r="G123">
        <f>Calc!G6</f>
        <v/>
      </c>
      <c r="H123">
        <f>Calc!H6</f>
        <v/>
      </c>
      <c r="I123">
        <f>IF(Skills!T6&lt;&gt;"",1+(Skills!T6/10)*($Z$3/1000)/100,1)</f>
        <v/>
      </c>
      <c r="J123">
        <f>((Inputs!$B$6*(1+Inputs!$B$7/100))+(((Inputs!$B$13*(1+(Inputs!$B$14+1)/100))-(Inputs!$B$13*(1+Inputs!$B$14/100)))+0.25*(Inputs!$B$15-Inputs!$B$15))*(1+Inputs!$B$7/100))*(F123/100)</f>
        <v/>
      </c>
      <c r="K123">
        <f>J123*(1+(((Inputs!$B$13+IF(Inputs!$B$3&gt;=35,(10*INDEX(FactorTable!$B$2:$Y$301,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6="TRIUMPH_FEATHER",IF(C133=TRUE,F133,0),0)/100)*(1+IF(C144=TRUE,F144,0)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123)</f>
        <v/>
      </c>
      <c r="L123">
        <f>K123*(MIN(Inputs!$B$23+(F139-Calc!F22),(Inputs!$B$24+IF(ArtifactsInput!$M$15,CHOOSE(ArtifactsInput!$N$15+1,25,30,35,40,45,50)/100*(Inputs!$B$12-Inputs!$B$12),0)))/100+(Inputs!$B$24+IF(ArtifactsInput!$M$15,CHOOSE(ArtifactsInput!$N$15+1,25,30,35,40,45,50)/100*(Inputs!$B$12-Inputs!$B$12),0))/100)/2</f>
        <v/>
      </c>
      <c r="M123">
        <f>L123*(1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
        <f>L123*(1-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(1-Summary!$B$11)*S123+Summary!$B$11*U123</f>
        <v/>
      </c>
      <c r="P123">
        <f>IF(B160=0,0,O123/B160)</f>
        <v/>
      </c>
      <c r="Q123">
        <f>IFERROR(1/(IF(Inputs!$B$39="pvp",15,MAX(0.1,Skills!D6-IF(Skills!E6=TRUE,Inputs!$B$33,0)))*(1-IF(AND(ArtifactsInput!$M$27,Inputs!$B$4="Chapter Hunt"),CHOOSE(ArtifactsInput!$N$27+1,20,24,28,32,36,40),0)/100)),0)</f>
        <v/>
      </c>
      <c r="R123">
        <f>IF(AND(Inputs!$B$39&lt;&gt;"pvp",Inputs!$B$44&gt;0),IF(MAX(0,Inputs!$B$44-B157)&lt;=0,0,(INT(MAX(0,Inputs!$B$44-B157)/(IF(Inputs!$B$39="pvp",15,MAX(0.1,Skills!D6-IF(Skills!E6=TRUE,Inputs!$B$33,0)))*(1-IF(AND(ArtifactsInput!$M$27,Inputs!$B$4="Chapter Hunt"),CHOOSE(ArtifactsInput!$N$27+1,20,24,28,32,36,40),0)/100)))+1)),0)</f>
        <v/>
      </c>
      <c r="S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$21+Skills!O6+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$22+Skills!P6+B149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Skills!A7</f>
        <v/>
      </c>
      <c r="B124">
        <f>Skills!B7</f>
        <v/>
      </c>
      <c r="C124">
        <f>Inputs!$B$3&gt;=122</f>
        <v/>
      </c>
      <c r="D124">
        <f>IF(Skills!C7=1,60+Inputs!$B$26+Inputs!$B$30,IF(Skills!C7=2,90+Inputs!$B$27+Inputs!$B$30,IF(Skills!C7=3,120+Inputs!$B$28+Inputs!$B$30,MAX(0,(Inputs!$B$3-100)*3)+Inputs!$B$29+Inputs!$B$30)))</f>
        <v/>
      </c>
      <c r="E124">
        <f>INDEX(FactorTable!$B$2:$Y$301, MATCH(ROUND(MIN(300,MAX(1,D124)),0), FactorTable!$A$2:$A$301,0), Skills!L7+1)</f>
        <v/>
      </c>
      <c r="F124">
        <f>IF(Skills!M7=TRUE,(Skills!K7/10)*(E124/1000),Skills!K7/10)+Skills!N7</f>
        <v/>
      </c>
      <c r="G124">
        <f>Calc!G7</f>
        <v/>
      </c>
      <c r="H124">
        <f>Calc!H7</f>
        <v/>
      </c>
      <c r="I124">
        <f>IF(Skills!T7&lt;&gt;"",1+(Skills!T7/10)*($Z$3/1000)/100,1)</f>
        <v/>
      </c>
      <c r="J124">
        <f>((Inputs!$B$6*(1+Inputs!$B$7/100))+(((Inputs!$B$13*(1+(Inputs!$B$14+1)/100))-(Inputs!$B$13*(1+Inputs!$B$14/100)))+0.25*(Inputs!$B$15-Inputs!$B$15))*(1+Inputs!$B$7/100))*(F124/100)</f>
        <v/>
      </c>
      <c r="K124">
        <f>J124*(1+(((Inputs!$B$13+IF(Inputs!$B$3&gt;=35,(10*INDEX(FactorTable!$B$2:$Y$301,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7="TRIUMPH_FEATHER",IF(C133=TRUE,F133,0),0)/100)*(1+IF(C144=TRUE,F144,0)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124)</f>
        <v/>
      </c>
      <c r="L124">
        <f>K124*(MIN(Inputs!$B$23+(F139-Calc!F22),(Inputs!$B$24+IF(ArtifactsInput!$M$15,CHOOSE(ArtifactsInput!$N$15+1,25,30,35,40,45,50)/100*(Inputs!$B$12-Inputs!$B$12),0)))/100+(Inputs!$B$24+IF(ArtifactsInput!$M$15,CHOOSE(ArtifactsInput!$N$15+1,25,30,35,40,45,50)/100*(Inputs!$B$12-Inputs!$B$12),0))/100)/2</f>
        <v/>
      </c>
      <c r="M124">
        <f>L124*(1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
        <f>L124*(1-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(1-Summary!$B$11)*S124+Summary!$B$11*U124</f>
        <v/>
      </c>
      <c r="P124">
        <f>IF(B160=0,0,O124/B160)</f>
        <v/>
      </c>
      <c r="Q124">
        <f>IFERROR(1/(IF(Inputs!$B$39="pvp",15,MAX(0.1,Skills!D7-IF(Skills!E6=TRUE,Inputs!$B$33,0)))*(1-IF(AND(ArtifactsInput!$M$27,Inputs!$B$4="Chapter Hunt"),CHOOSE(ArtifactsInput!$N$27+1,20,24,28,32,36,40),0)/100)),0)</f>
        <v/>
      </c>
      <c r="R124">
        <f>IF(AND(Inputs!$B$39&lt;&gt;"pvp",Inputs!$B$44&gt;0),IF(MAX(0,Inputs!$B$44-B157)&lt;=0,0,(INT(MAX(0,Inputs!$B$44-B157)/(IF(Inputs!$B$39="pvp",15,MAX(0.1,Skills!D7-IF(Skills!E6=TRUE,Inputs!$B$33,0)))*(1-IF(AND(ArtifactsInput!$M$27,Inputs!$B$4="Chapter Hunt"),CHOOSE(ArtifactsInput!$N$27+1,20,24,28,32,36,40),0)/100)))+1)),0)</f>
        <v/>
      </c>
      <c r="S124">
        <f>IF(C124,H124*N124*IF(AND(Inputs!$B$39&lt;&gt;"pvp",Inputs!$B$44&gt;0),((Skills!F7*((R124-1)*IF(Skills!G7&gt;0,Skills!H7/Skills!G7,1)+IF(Skills!G7&gt;0,MIN(Skills!H7,MAX(0,MAX(0,Inputs!$B$44-B157)-((R124-1)*(IF(Inputs!$B$39="pvp",15,MAX(0.1,Skills!D7-IF(Skills!E6=TRUE,Inputs!$B$33,0)))*(1-IF(AND(ArtifactsInput!$M$27,Inputs!$B$4="Chapter Hunt"),CHOOSE(ArtifactsInput!$N$27+1,20,24,28,32,36,40),0)/100)))))/Skills!G7,1)))/Inputs!$B$44),G124*Q124)*IF(Inputs!$B$39="pvp",1,1+(Inputs!$B$21+Skills!O7+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t="n">
        <v>0</v>
      </c>
    </row>
    <row r="125">
      <c r="A125">
        <f>Skills!A8</f>
        <v/>
      </c>
      <c r="B125">
        <f>Skills!B8</f>
        <v/>
      </c>
      <c r="C125">
        <f>Inputs!$B$3&gt;=105</f>
        <v/>
      </c>
      <c r="D125">
        <f>IF(Skills!C8=1,60+Inputs!$B$26+Inputs!$B$30,IF(Skills!C8=2,90+Inputs!$B$27+Inputs!$B$30,IF(Skills!C8=3,120+Inputs!$B$28+Inputs!$B$30,MAX(0,(Inputs!$B$3-100)*3)+Inputs!$B$29+Inputs!$B$30)))</f>
        <v/>
      </c>
      <c r="E125">
        <f>INDEX(FactorTable!$B$2:$Y$301, MATCH(ROUND(MIN(300,MAX(1,D125)),0), FactorTable!$A$2:$A$301,0), Skills!L8+1)</f>
        <v/>
      </c>
      <c r="F125">
        <f>IF(Skills!M8=TRUE,(Skills!K8/10)*(E125/1000),Skills!K8/10)+Skills!N8</f>
        <v/>
      </c>
      <c r="G125">
        <f>Calc!G8</f>
        <v/>
      </c>
      <c r="H125">
        <f>Calc!H8</f>
        <v/>
      </c>
      <c r="I125">
        <f>IF(Skills!T8&lt;&gt;"",1+(Skills!T8/10)*($Z$3/1000)/100,1)</f>
        <v/>
      </c>
      <c r="J125">
        <f>((Inputs!$B$6*(1+Inputs!$B$7/100))+(((Inputs!$B$13*(1+(Inputs!$B$14+1)/100))-(Inputs!$B$13*(1+Inputs!$B$14/100)))+0.25*(Inputs!$B$15-Inputs!$B$15))*(1+Inputs!$B$7/100))*(F125/100)</f>
        <v/>
      </c>
      <c r="K125">
        <f>J125*(1+(((Inputs!$B$13+IF(Inputs!$B$3&gt;=35,(10*INDEX(FactorTable!$B$2:$Y$301,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8="TRIUMPH_FEATHER",IF(C133=TRUE,F133,0),0)/100)*(1+IF(C144=TRUE,F144,0)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125)</f>
        <v/>
      </c>
      <c r="L125">
        <f>K125*(MIN(Inputs!$B$23+(F139-Calc!F22),(Inputs!$B$24+IF(ArtifactsInput!$M$15,CHOOSE(ArtifactsInput!$N$15+1,25,30,35,40,45,50)/100*(Inputs!$B$12-Inputs!$B$12),0)))/100+(Inputs!$B$24+IF(ArtifactsInput!$M$15,CHOOSE(ArtifactsInput!$N$15+1,25,30,35,40,45,50)/100*(Inputs!$B$12-Inputs!$B$12),0))/100)/2</f>
        <v/>
      </c>
      <c r="M125">
        <f>L125*(1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
        <f>L125*(1-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(1-Summary!$B$11)*S125+Summary!$B$11*U125</f>
        <v/>
      </c>
      <c r="P125">
        <f>IF(B160=0,0,O125/B160)</f>
        <v/>
      </c>
      <c r="Q125">
        <f>IFERROR(1/(IF(Inputs!$B$39="pvp",15,MAX(0.1,Skills!D8-IF(Skills!E8=TRUE,Inputs!$B$33,0)))*(1-IF(AND(ArtifactsInput!$M$27,Inputs!$B$4="Chapter Hunt"),CHOOSE(ArtifactsInput!$N$27+1,20,24,28,32,36,40),0)/100)),0)</f>
        <v/>
      </c>
      <c r="R125">
        <f>IF(AND(Inputs!$B$39&lt;&gt;"pvp",Inputs!$B$44&gt;0),IF(MAX(0,Inputs!$B$44-B157)&lt;=0,0,(INT(MAX(0,Inputs!$B$44-B157)/(IF(Inputs!$B$39="pvp",15,MAX(0.1,Skills!D8-IF(Skills!E8=TRUE,Inputs!$B$33,0)))*(1-IF(AND(ArtifactsInput!$M$27,Inputs!$B$4="Chapter Hunt"),CHOOSE(ArtifactsInput!$N$27+1,20,24,28,32,36,40),0)/100)))+1)),0)</f>
        <v/>
      </c>
      <c r="S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$21+Skills!O8+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$22+Skills!P8+B149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Skills!A9</f>
        <v/>
      </c>
      <c r="B126">
        <f>Skills!B9</f>
        <v/>
      </c>
      <c r="C126">
        <f>Inputs!$B$3&gt;=115</f>
        <v/>
      </c>
      <c r="D126">
        <f>IF(Skills!C9=1,60+Inputs!$B$26+Inputs!$B$30,IF(Skills!C9=2,90+Inputs!$B$27+Inputs!$B$30,IF(Skills!C9=3,120+Inputs!$B$28+Inputs!$B$30,MAX(0,(Inputs!$B$3-100)*3)+Inputs!$B$29+Inputs!$B$30)))</f>
        <v/>
      </c>
      <c r="E126">
        <f>INDEX(FactorTable!$B$2:$Y$301, MATCH(ROUND(MIN(300,MAX(1,D126)),0), FactorTable!$A$2:$A$301,0), Skills!L9+1)</f>
        <v/>
      </c>
      <c r="F126">
        <f>IF(Skills!M9=TRUE,(Skills!K9/10)*(E126/1000),Skills!K9/10)+Skills!N9</f>
        <v/>
      </c>
      <c r="G126">
        <f>Calc!G9</f>
        <v/>
      </c>
      <c r="H126">
        <f>Calc!H9</f>
        <v/>
      </c>
      <c r="I126">
        <f>IF(Skills!T9&lt;&gt;"",1+(Skills!T9/10)*($Z$3/1000)/100,1)</f>
        <v/>
      </c>
      <c r="J126">
        <f>((Inputs!$B$6*(1+Inputs!$B$7/100))+(((Inputs!$B$13*(1+(Inputs!$B$14+1)/100))-(Inputs!$B$13*(1+Inputs!$B$14/100)))+0.25*(Inputs!$B$15-Inputs!$B$15))*(1+Inputs!$B$7/100))*(F126/100)</f>
        <v/>
      </c>
      <c r="K126">
        <f>J126*(1+(((Inputs!$B$13+IF(Inputs!$B$3&gt;=35,(10*INDEX(FactorTable!$B$2:$Y$301,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9="TRIUMPH_FEATHER",IF(C133=TRUE,F133,0),0)/100)*(1+IF(C144=TRUE,F144,0)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126)</f>
        <v/>
      </c>
      <c r="L126">
        <f>K126*(MIN(Inputs!$B$23+(F139-Calc!F22),(Inputs!$B$24+IF(ArtifactsInput!$M$15,CHOOSE(ArtifactsInput!$N$15+1,25,30,35,40,45,50)/100*(Inputs!$B$12-Inputs!$B$12),0)))/100+(Inputs!$B$24+IF(ArtifactsInput!$M$15,CHOOSE(ArtifactsInput!$N$15+1,25,30,35,40,45,50)/100*(Inputs!$B$12-Inputs!$B$12),0))/100)/2</f>
        <v/>
      </c>
      <c r="M126">
        <f>L126*(1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
        <f>L126*(1-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(1-Summary!$B$11)*S126+Summary!$B$11*U126</f>
        <v/>
      </c>
      <c r="P126">
        <f>IF(B160=0,0,O126/B160)</f>
        <v/>
      </c>
      <c r="Q126">
        <f>IFERROR(1/(IF(Inputs!$B$39="pvp",15,MAX(0.1,Skills!D9-IF(Skills!E9=TRUE,Inputs!$B$33,0)))*(1-IF(AND(ArtifactsInput!$M$27,Inputs!$B$4="Chapter Hunt"),CHOOSE(ArtifactsInput!$N$27+1,20,24,28,32,36,40),0)/100)),0)</f>
        <v/>
      </c>
      <c r="R126">
        <f>IF(AND(Inputs!$B$39&lt;&gt;"pvp",Inputs!$B$44&gt;0),IF(MAX(0,Inputs!$B$44-B157)&lt;=0,0,(INT(MAX(0,Inputs!$B$44-B157)/(IF(Inputs!$B$39="pvp",15,MAX(0.1,Skills!D9-IF(Skills!E9=TRUE,Inputs!$B$33,0)))*(1-IF(AND(ArtifactsInput!$M$27,Inputs!$B$4="Chapter Hunt"),CHOOSE(ArtifactsInput!$N$27+1,20,24,28,32,36,40),0)/100)))+1)),0)</f>
        <v/>
      </c>
      <c r="S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$21+Skills!O9+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$22+Skills!P9+B149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Skills!A10</f>
        <v/>
      </c>
      <c r="B127">
        <f>Skills!B10</f>
        <v/>
      </c>
      <c r="C127">
        <f>Inputs!$B$3&gt;=66</f>
        <v/>
      </c>
      <c r="D127">
        <f>IF(Skills!C10=1,60+Inputs!$B$26+Inputs!$B$30,IF(Skills!C10=2,90+Inputs!$B$27+Inputs!$B$30,IF(Skills!C10=3,120+Inputs!$B$28+Inputs!$B$30,MAX(0,(Inputs!$B$3-100)*3)+Inputs!$B$29+Inputs!$B$30)))</f>
        <v/>
      </c>
      <c r="E127">
        <f>INDEX(FactorTable!$B$2:$Y$301, MATCH(ROUND(MIN(300,MAX(1,D127)),0), FactorTable!$A$2:$A$301,0), Skills!L10+1)</f>
        <v/>
      </c>
      <c r="F127" t="n">
        <v>0</v>
      </c>
      <c r="G127">
        <f>Calc!G10</f>
        <v/>
      </c>
      <c r="H127">
        <f>Calc!H10</f>
        <v/>
      </c>
      <c r="I127">
        <f>IF(Skills!T10&lt;&gt;"",1+(Skills!T10/10)*($Z$3/1000)/100,1)</f>
        <v/>
      </c>
      <c r="J127" t="inlineStr"/>
      <c r="K127" t="inlineStr"/>
      <c r="L127" t="inlineStr"/>
      <c r="M127" t="inlineStr"/>
      <c r="N127" t="inlineStr"/>
      <c r="O127">
        <f>(1-Summary!$B$11)*S127+Summary!$B$11*U127</f>
        <v/>
      </c>
      <c r="P127">
        <f>IF(B160=0,0,O127/B160)</f>
        <v/>
      </c>
      <c r="Q127">
        <f>IFERROR(1/(IF(Inputs!$B$39="pvp",15,MAX(0.1,Skills!D10-IF(Skills!E10=TRUE,Inputs!$B$33,0)))*(1-IF(AND(ArtifactsInput!$M$27,Inputs!$B$4="Chapter Hunt"),CHOOSE(ArtifactsInput!$N$27+1,20,24,28,32,36,40),0)/100)),0)</f>
        <v/>
      </c>
      <c r="R127">
        <f>IF(AND(Inputs!$B$39&lt;&gt;"pvp",Inputs!$B$44&gt;0),IF(MAX(0,Inputs!$B$44-B157)&lt;=0,0,(INT(MAX(0,Inputs!$B$44-B157)/(IF(Inputs!$B$39="pvp",15,MAX(0.1,Skills!D10-IF(Skills!E10=TRUE,Inputs!$B$33,0)))*(1-IF(AND(ArtifactsInput!$M$27,Inputs!$B$4="Chapter Hunt"),CHOOSE(ArtifactsInput!$N$27+1,20,24,28,32,36,40),0)/100)))+1)),0)</f>
        <v/>
      </c>
      <c r="S127" t="n">
        <v>0</v>
      </c>
      <c r="U127" t="n">
        <v>0</v>
      </c>
    </row>
    <row r="128">
      <c r="A128">
        <f>Skills!A11</f>
        <v/>
      </c>
      <c r="B128">
        <f>Skills!B11</f>
        <v/>
      </c>
      <c r="C128">
        <f>Inputs!$B$3&gt;=69</f>
        <v/>
      </c>
      <c r="D128">
        <f>IF(Skills!C11=1,60+Inputs!$B$26+Inputs!$B$30,IF(Skills!C11=2,90+Inputs!$B$27+Inputs!$B$30,IF(Skills!C11=3,120+Inputs!$B$28+Inputs!$B$30,MAX(0,(Inputs!$B$3-100)*3)+Inputs!$B$29+Inputs!$B$30)))</f>
        <v/>
      </c>
      <c r="E128">
        <f>INDEX(FactorTable!$B$2:$Y$301, MATCH(ROUND(MIN(300,MAX(1,D128)),0), FactorTable!$A$2:$A$301,0), Skills!L11+1)</f>
        <v/>
      </c>
      <c r="F128">
        <f>IF(Skills!M11=TRUE,(Skills!K11/10)*(E128/1000),Skills!K11/10)+Skills!N11</f>
        <v/>
      </c>
      <c r="G128">
        <f>Calc!G11</f>
        <v/>
      </c>
      <c r="H128">
        <f>Calc!H11</f>
        <v/>
      </c>
      <c r="I128">
        <f>IF(Skills!T11&lt;&gt;"",1+(Skills!T11/10)*($Z$3/1000)/100,1)</f>
        <v/>
      </c>
      <c r="J128" t="inlineStr"/>
      <c r="K128" t="inlineStr"/>
      <c r="L128" t="inlineStr"/>
      <c r="M128" t="inlineStr"/>
      <c r="N128" t="inlineStr"/>
      <c r="O128">
        <f>(1-Summary!$B$11)*S128+Summary!$B$11*U128</f>
        <v/>
      </c>
      <c r="P128">
        <f>IF(B160=0,0,O128/B160)</f>
        <v/>
      </c>
      <c r="Q128">
        <f>IFERROR(1/(IF(Inputs!$B$39="pvp",15,MAX(0.1,Skills!D11-IF(Skills!E11=TRUE,Inputs!$B$33,0)))*(1-IF(AND(ArtifactsInput!$M$27,Inputs!$B$4="Chapter Hunt"),CHOOSE(ArtifactsInput!$N$27+1,20,24,28,32,36,40),0)/100)),0)</f>
        <v/>
      </c>
      <c r="R128">
        <f>IF(AND(Inputs!$B$39&lt;&gt;"pvp",Inputs!$B$44&gt;0),IF(Inputs!$B$44&lt;=0,0,(INT(Inputs!$B$44/(IF(Inputs!$B$39="pvp",15,MAX(0.1,Skills!D11-IF(Skills!E11=TRUE,Inputs!$B$33,0)))*(1-IF(AND(ArtifactsInput!$M$27,Inputs!$B$4="Chapter Hunt"),CHOOSE(ArtifactsInput!$N$27+1,20,24,28,32,36,40),0)/100)))+1)),0)</f>
        <v/>
      </c>
      <c r="S128" t="n">
        <v>0</v>
      </c>
      <c r="U128" t="n">
        <v>0</v>
      </c>
    </row>
    <row r="129">
      <c r="A129">
        <f>Skills!A12</f>
        <v/>
      </c>
      <c r="B129">
        <f>Skills!B12</f>
        <v/>
      </c>
      <c r="C129">
        <f>Inputs!$B$3&gt;=72</f>
        <v/>
      </c>
      <c r="D129">
        <f>IF(Skills!C12=1,60+Inputs!$B$26+Inputs!$B$30,IF(Skills!C12=2,90+Inputs!$B$27+Inputs!$B$30,IF(Skills!C12=3,120+Inputs!$B$28+Inputs!$B$30,MAX(0,(Inputs!$B$3-100)*3)+Inputs!$B$29+Inputs!$B$30)))</f>
        <v/>
      </c>
      <c r="E129">
        <f>INDEX(FactorTable!$B$2:$Y$301, MATCH(ROUND(MIN(300,MAX(1,D129)),0), FactorTable!$A$2:$A$301,0), Skills!L12+1)</f>
        <v/>
      </c>
      <c r="F129">
        <f>IF(Skills!M12=TRUE,(Skills!K12/10)*(E129/1000),Skills!K12/10)+Skills!N12</f>
        <v/>
      </c>
      <c r="G129">
        <f>Calc!G12</f>
        <v/>
      </c>
      <c r="H129">
        <f>Calc!H12</f>
        <v/>
      </c>
      <c r="I129">
        <f>IF(Skills!T12&lt;&gt;"",1+(Skills!T12/10)*($Z$3/1000)/100,1)</f>
        <v/>
      </c>
      <c r="J129" t="inlineStr"/>
      <c r="K129" t="inlineStr"/>
      <c r="L129" t="inlineStr"/>
      <c r="M129" t="inlineStr"/>
      <c r="N129" t="inlineStr"/>
      <c r="O129">
        <f>(1-Summary!$B$11)*S129+Summary!$B$11*U129</f>
        <v/>
      </c>
      <c r="P129">
        <f>IF(B160=0,0,O129/B160)</f>
        <v/>
      </c>
      <c r="Q129">
        <f>IFERROR(1/(IF(Inputs!$B$39="pvp",15,MAX(0.1,Skills!D12-IF(Skills!E12=TRUE,Inputs!$B$33,0)))*(1-IF(AND(ArtifactsInput!$M$27,Inputs!$B$4="Chapter Hunt"),CHOOSE(ArtifactsInput!$N$27+1,20,24,28,32,36,40),0)/100)),0)</f>
        <v/>
      </c>
      <c r="R129">
        <f>IF(AND(Inputs!$B$39&lt;&gt;"pvp",Inputs!$B$44&gt;0),IF(MAX(0,Inputs!$B$44-B157)&lt;=0,0,(INT(MAX(0,Inputs!$B$44-B157)/(IF(Inputs!$B$39="pvp",15,MAX(0.1,Skills!D12-IF(Skills!E12=TRUE,Inputs!$B$33,0)))*(1-IF(AND(ArtifactsInput!$M$27,Inputs!$B$4="Chapter Hunt"),CHOOSE(ArtifactsInput!$N$27+1,20,24,28,32,36,40),0)/100)))+1)),0)</f>
        <v/>
      </c>
      <c r="S129" t="n">
        <v>0</v>
      </c>
      <c r="U129" t="n">
        <v>0</v>
      </c>
    </row>
    <row r="130">
      <c r="A130">
        <f>Skills!A13</f>
        <v/>
      </c>
      <c r="B130">
        <f>Skills!B13</f>
        <v/>
      </c>
      <c r="C130">
        <f>Inputs!$B$3&gt;=60</f>
        <v/>
      </c>
      <c r="D130">
        <f>IF(Skills!C13=1,60+Inputs!$B$26+Inputs!$B$30,IF(Skills!C13=2,90+Inputs!$B$27+Inputs!$B$30,IF(Skills!C13=3,120+Inputs!$B$28+Inputs!$B$30,MAX(0,(Inputs!$B$3-100)*3)+Inputs!$B$29+Inputs!$B$30)))</f>
        <v/>
      </c>
      <c r="E130">
        <f>INDEX(FactorTable!$B$2:$Y$301, MATCH(ROUND(MIN(300,MAX(1,D130)),0), FactorTable!$A$2:$A$301,0), Skills!L13+1)</f>
        <v/>
      </c>
      <c r="F130">
        <f>IF(Skills!M13=TRUE,(Skills!K13/10)*(E130/1000),Skills!K13/10)+Skills!N13</f>
        <v/>
      </c>
      <c r="G130">
        <f>Calc!G13</f>
        <v/>
      </c>
      <c r="H130">
        <f>Calc!H13</f>
        <v/>
      </c>
      <c r="I130">
        <f>IF(Skills!T13&lt;&gt;"",1+(Skills!T13/10)*($Z$3/1000)/100,1)</f>
        <v/>
      </c>
      <c r="J130" t="inlineStr"/>
      <c r="K130" t="inlineStr"/>
      <c r="L130" t="inlineStr"/>
      <c r="M130" t="inlineStr"/>
      <c r="N130" t="inlineStr"/>
      <c r="O130">
        <f>(1-Summary!$B$11)*S130+Summary!$B$11*U130</f>
        <v/>
      </c>
      <c r="P130">
        <f>IF(B160=0,0,O130/B160)</f>
        <v/>
      </c>
      <c r="Q130">
        <f>IFERROR(1/(IF(Inputs!$B$39="pvp",15,MAX(0.1,Skills!D13-IF(Skills!E13=TRUE,Inputs!$B$33,0)))*(1-IF(AND(ArtifactsInput!$M$27,Inputs!$B$4="Chapter Hunt"),CHOOSE(ArtifactsInput!$N$27+1,20,24,28,32,36,40),0)/100)),0)</f>
        <v/>
      </c>
      <c r="R130">
        <f>IF(AND(Inputs!$B$39&lt;&gt;"pvp",Inputs!$B$44&gt;0),IF(MAX(0,Inputs!$B$44-B157)&lt;=0,0,(INT(MAX(0,Inputs!$B$44-B157)/(IF(Inputs!$B$39="pvp",15,MAX(0.1,Skills!D13-IF(Skills!E13=TRUE,Inputs!$B$33,0)))*(1-IF(AND(ArtifactsInput!$M$27,Inputs!$B$4="Chapter Hunt"),CHOOSE(ArtifactsInput!$N$27+1,20,24,28,32,36,40),0)/100)))+1)),0)</f>
        <v/>
      </c>
      <c r="S130" t="n">
        <v>0</v>
      </c>
      <c r="U130" t="n">
        <v>0</v>
      </c>
    </row>
    <row r="131">
      <c r="A131">
        <f>Skills!A14</f>
        <v/>
      </c>
      <c r="B131">
        <f>Skills!B14</f>
        <v/>
      </c>
      <c r="C131">
        <f>Inputs!$B$3&gt;=107</f>
        <v/>
      </c>
      <c r="D131">
        <f>IF(Skills!C14=1,60+Inputs!$B$26+Inputs!$B$30,IF(Skills!C14=2,90+Inputs!$B$27+Inputs!$B$30,IF(Skills!C14=3,120+Inputs!$B$28+Inputs!$B$30,MAX(0,(Inputs!$B$3-100)*3)+Inputs!$B$29+Inputs!$B$30)))</f>
        <v/>
      </c>
      <c r="E131">
        <f>INDEX(FactorTable!$B$2:$Y$301, MATCH(ROUND(MIN(300,MAX(1,D131)),0), FactorTable!$A$2:$A$301,0), Skills!L14+1)</f>
        <v/>
      </c>
      <c r="F131">
        <f>IF(Skills!M14=TRUE,(Skills!K14/10)*(E131/1000),Skills!K14/10)+Skills!N14</f>
        <v/>
      </c>
      <c r="G131">
        <f>Calc!G14</f>
        <v/>
      </c>
      <c r="H131">
        <f>Calc!H14</f>
        <v/>
      </c>
      <c r="I131">
        <f>IF(Skills!T14&lt;&gt;"",1+(Skills!T14/10)*($Z$3/1000)/100,1)</f>
        <v/>
      </c>
      <c r="J131" t="inlineStr"/>
      <c r="K131" t="inlineStr"/>
      <c r="L131" t="inlineStr"/>
      <c r="M131" t="inlineStr"/>
      <c r="N131" t="inlineStr"/>
      <c r="O131">
        <f>(1-Summary!$B$11)*S131+Summary!$B$11*U131</f>
        <v/>
      </c>
      <c r="P131">
        <f>IF(B160=0,0,O131/B160)</f>
        <v/>
      </c>
      <c r="Q131">
        <f>IFERROR(1/(IF(Inputs!$B$39="pvp",15,MAX(0.1,Skills!D14-IF(Skills!E14=TRUE,Inputs!$B$33,0)))*(1-IF(AND(ArtifactsInput!$M$27,Inputs!$B$4="Chapter Hunt"),CHOOSE(ArtifactsInput!$N$27+1,20,24,28,32,36,40),0)/100)),0)</f>
        <v/>
      </c>
      <c r="R131">
        <f>IF(AND(Inputs!$B$39&lt;&gt;"pvp",Inputs!$B$44&gt;0),IF(Inputs!$B$44&lt;=0,0,(INT(Inputs!$B$44/(IF(Inputs!$B$39="pvp",15,MAX(0.1,Skills!D14-IF(Skills!E14=TRUE,Inputs!$B$33,0)))*(1-IF(AND(ArtifactsInput!$M$27,Inputs!$B$4="Chapter Hunt"),CHOOSE(ArtifactsInput!$N$27+1,20,24,28,32,36,40),0)/100)))+1)),0)</f>
        <v/>
      </c>
      <c r="S131" t="n">
        <v>0</v>
      </c>
      <c r="U131" t="n">
        <v>0</v>
      </c>
    </row>
    <row r="132">
      <c r="A132">
        <f>Skills!A15</f>
        <v/>
      </c>
      <c r="B132">
        <f>Skills!B15</f>
        <v/>
      </c>
      <c r="C132">
        <f>Inputs!$B$3&gt;=63</f>
        <v/>
      </c>
      <c r="D132">
        <f>IF(Skills!C15=1,60+Inputs!$B$26+Inputs!$B$30,IF(Skills!C15=2,90+Inputs!$B$27+Inputs!$B$30,IF(Skills!C15=3,120+Inputs!$B$28+Inputs!$B$30,MAX(0,(Inputs!$B$3-100)*3)+Inputs!$B$29+Inputs!$B$30)))</f>
        <v/>
      </c>
      <c r="E132">
        <f>INDEX(FactorTable!$B$2:$Y$301, MATCH(ROUND(MIN(300,MAX(1,D132)),0), FactorTable!$A$2:$A$301,0), Skills!L15+1)</f>
        <v/>
      </c>
      <c r="F132">
        <f>IF(Skills!M15=TRUE,(Skills!K15/10)*(E132/1000),Skills!K15/10)+Skills!N15</f>
        <v/>
      </c>
      <c r="G132">
        <f>Calc!G15</f>
        <v/>
      </c>
      <c r="H132">
        <f>Calc!H15</f>
        <v/>
      </c>
      <c r="I132">
        <f>IF(Skills!T15&lt;&gt;"",1+(Skills!T15/10)*($Z$3/1000)/100,1)</f>
        <v/>
      </c>
      <c r="J132">
        <f>((Inputs!$B$6*(1+Inputs!$B$7/100))+(((Inputs!$B$13*(1+(Inputs!$B$14+1)/100))-(Inputs!$B$13*(1+Inputs!$B$14/100)))+0.25*(Inputs!$B$15-Inputs!$B$15))*(1+Inputs!$B$7/100))*(F132/100)</f>
        <v/>
      </c>
      <c r="K132">
        <f>J132*(1+(((Inputs!$B$13+IF(Inputs!$B$3&gt;=35,(10*INDEX(FactorTable!$B$2:$Y$301,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15="TRIUMPH_FEATHER",IF(C133=TRUE,F133,0),0)/100)*(1+IF(C144=TRUE,F144,0)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132)</f>
        <v/>
      </c>
      <c r="L132">
        <f>K132*(MIN(Inputs!$B$23+(F139-Calc!F22),(Inputs!$B$24+IF(ArtifactsInput!$M$15,CHOOSE(ArtifactsInput!$N$15+1,25,30,35,40,45,50)/100*(Inputs!$B$12-Inputs!$B$12),0)))/100+(Inputs!$B$24+IF(ArtifactsInput!$M$15,CHOOSE(ArtifactsInput!$N$15+1,25,30,35,40,45,50)/100*(Inputs!$B$12-Inputs!$B$12),0))/100)/2</f>
        <v/>
      </c>
      <c r="M132">
        <f>L132*(1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2">
        <f>L132*(1-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(1-Summary!$B$11)*S132+Summary!$B$11*U132</f>
        <v/>
      </c>
      <c r="P132">
        <f>IF(B160=0,0,O132/B160)</f>
        <v/>
      </c>
      <c r="Q132">
        <f>IFERROR(1/(IF(Inputs!$B$39="pvp",15,MAX(0.1,Skills!D15-IF(Skills!E15=TRUE,Inputs!$B$33,0)))*(1-IF(AND(ArtifactsInput!$M$27,Inputs!$B$4="Chapter Hunt"),CHOOSE(ArtifactsInput!$N$27+1,20,24,28,32,36,40),0)/100)),0)</f>
        <v/>
      </c>
      <c r="R132" t="n">
        <v>0</v>
      </c>
      <c r="S132">
        <f>IF(C132,(Skills!F15*N132*((IF(Inputs!$B$3&gt;=78,25,15)/100*B153*10)/(1+IF(Inputs!$B$3&gt;=78,25,15)/100*B153*10))*(Skills!I15/100*B153)/(1+Skills!G15*Skills!I15/100*B153))*IF(Inputs!$B$39="pvp",1,1+(Inputs!$B$21+Skills!O15+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132*(1-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
        <f>IF(C132,(Skills!F15*N132*((IF(Inputs!$B$3&gt;=78,25,15)/100*B153*10)/(1+IF(Inputs!$B$3&gt;=78,25,15)/100*B153*10))*(Skills!I15/100*B153)/(1+Skills!G15*Skills!I15/100*B153))*IF(Inputs!$B$39="pvp",1,(1+(Inputs!$B$22+Skills!P15+B149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Skills!A16</f>
        <v/>
      </c>
      <c r="B133">
        <f>Skills!B16</f>
        <v/>
      </c>
      <c r="C133">
        <f>Inputs!$B$3&gt;=100</f>
        <v/>
      </c>
      <c r="D133">
        <f>IF(Skills!C16=1,60+Inputs!$B$26+Inputs!$B$30,IF(Skills!C16=2,90+Inputs!$B$27+Inputs!$B$30,IF(Skills!C16=3,120+Inputs!$B$28+Inputs!$B$30,MAX(0,(Inputs!$B$3-100)*3)+Inputs!$B$29+Inputs!$B$30)))</f>
        <v/>
      </c>
      <c r="E133">
        <f>INDEX(FactorTable!$B$2:$Y$301, MATCH(ROUND(MIN(300,MAX(1,D133)),0), FactorTable!$A$2:$A$301,0), Skills!L16+1)</f>
        <v/>
      </c>
      <c r="F133">
        <f>IF(Skills!M16=TRUE,(Skills!K16/10)*(E133/1000),Skills!K16/10)+Skills!N16</f>
        <v/>
      </c>
      <c r="G133">
        <f>Calc!G16</f>
        <v/>
      </c>
      <c r="H133">
        <f>Calc!H16</f>
        <v/>
      </c>
      <c r="I133">
        <f>IF(Skills!T16&lt;&gt;"",1+(Skills!T16/10)*($Z$3/1000)/100,1)</f>
        <v/>
      </c>
      <c r="J133" t="inlineStr"/>
      <c r="K133" t="inlineStr"/>
      <c r="L133" t="inlineStr"/>
      <c r="M133" t="inlineStr"/>
      <c r="N133" t="inlineStr"/>
      <c r="O133">
        <f>(1-Summary!$B$11)*S133+Summary!$B$11*U133</f>
        <v/>
      </c>
      <c r="P133">
        <f>IF(B160=0,0,O133/B160)</f>
        <v/>
      </c>
      <c r="Q133">
        <f>IFERROR(1/(IF(Inputs!$B$39="pvp",15,MAX(0.1,Skills!D16-IF(Skills!E16=TRUE,Inputs!$B$33,0)))*(1-IF(AND(ArtifactsInput!$M$27,Inputs!$B$4="Chapter Hunt"),CHOOSE(ArtifactsInput!$N$27+1,20,24,28,32,36,40),0)/100)),0)</f>
        <v/>
      </c>
      <c r="R133" t="n">
        <v>0</v>
      </c>
      <c r="S133" t="n">
        <v>0</v>
      </c>
      <c r="U133" t="n">
        <v>0</v>
      </c>
    </row>
    <row r="134">
      <c r="A134">
        <f>Skills!A17</f>
        <v/>
      </c>
      <c r="B134">
        <f>Skills!B17</f>
        <v/>
      </c>
      <c r="C134">
        <f>Inputs!$B$3&gt;=49</f>
        <v/>
      </c>
      <c r="D134">
        <f>IF(Skills!C17=1,60+Inputs!$B$26+Inputs!$B$30,IF(Skills!C17=2,90+Inputs!$B$27+Inputs!$B$30,IF(Skills!C17=3,120+Inputs!$B$28+Inputs!$B$30,MAX(0,(Inputs!$B$3-100)*3)+Inputs!$B$29+Inputs!$B$30)))</f>
        <v/>
      </c>
      <c r="E134">
        <f>INDEX(FactorTable!$B$2:$Y$301, MATCH(ROUND(MIN(300,MAX(1,D134)),0), FactorTable!$A$2:$A$301,0), Skills!L17+1)</f>
        <v/>
      </c>
      <c r="F134">
        <f>IF(Skills!M17=TRUE,(Skills!K17/10)*(E134/1000),Skills!K17/10)+Skills!N17</f>
        <v/>
      </c>
      <c r="G134">
        <f>Calc!G17</f>
        <v/>
      </c>
      <c r="H134">
        <f>Calc!H17</f>
        <v/>
      </c>
      <c r="I134">
        <f>IF(Skills!T17&lt;&gt;"",1+(Skills!T17/10)*($Z$3/1000)/100,1)</f>
        <v/>
      </c>
      <c r="J134" t="inlineStr"/>
      <c r="K134" t="inlineStr"/>
      <c r="L134" t="inlineStr"/>
      <c r="M134" t="inlineStr"/>
      <c r="N134" t="inlineStr"/>
      <c r="O134">
        <f>(1-Summary!$B$11)*S134+Summary!$B$11*U134</f>
        <v/>
      </c>
      <c r="P134">
        <f>IF(B160=0,0,O134/B160)</f>
        <v/>
      </c>
      <c r="Q134">
        <f>IFERROR(1/(IF(Inputs!$B$39="pvp",15,MAX(0.1,Skills!D17-IF(Skills!E17=TRUE,Inputs!$B$33,0)))*(1-IF(AND(ArtifactsInput!$M$27,Inputs!$B$4="Chapter Hunt"),CHOOSE(ArtifactsInput!$N$27+1,20,24,28,32,36,40),0)/100)),0)</f>
        <v/>
      </c>
      <c r="R134" t="n">
        <v>0</v>
      </c>
      <c r="S134" t="n">
        <v>0</v>
      </c>
      <c r="U134" t="n">
        <v>0</v>
      </c>
    </row>
    <row r="135">
      <c r="A135">
        <f>Skills!A18</f>
        <v/>
      </c>
      <c r="B135">
        <f>Skills!B18</f>
        <v/>
      </c>
      <c r="C135">
        <f>Inputs!$B$3&gt;=75</f>
        <v/>
      </c>
      <c r="D135">
        <f>IF(Skills!C18=1,60+Inputs!$B$26+Inputs!$B$30,IF(Skills!C18=2,90+Inputs!$B$27+Inputs!$B$30,IF(Skills!C18=3,120+Inputs!$B$28+Inputs!$B$30,MAX(0,(Inputs!$B$3-100)*3)+Inputs!$B$29+Inputs!$B$30)))</f>
        <v/>
      </c>
      <c r="E135">
        <f>INDEX(FactorTable!$B$2:$Y$301, MATCH(ROUND(MIN(300,MAX(1,D135)),0), FactorTable!$A$2:$A$301,0), Skills!L18+1)</f>
        <v/>
      </c>
      <c r="F135">
        <f>IF(Skills!M18=TRUE,(Skills!K18/10)*(E135/1000),Skills!K18/10)+Skills!N18</f>
        <v/>
      </c>
      <c r="G135">
        <f>Calc!G18</f>
        <v/>
      </c>
      <c r="H135">
        <f>Calc!H18</f>
        <v/>
      </c>
      <c r="I135">
        <f>IF(Skills!T18&lt;&gt;"",1+(Skills!T18/10)*($Z$3/1000)/100,1)</f>
        <v/>
      </c>
      <c r="J135" t="inlineStr"/>
      <c r="K135" t="inlineStr"/>
      <c r="L135" t="inlineStr"/>
      <c r="M135" t="inlineStr"/>
      <c r="N135" t="inlineStr"/>
      <c r="O135">
        <f>(1-Summary!$B$11)*S135+Summary!$B$11*U135</f>
        <v/>
      </c>
      <c r="P135">
        <f>IF(B160=0,0,O135/B160)</f>
        <v/>
      </c>
      <c r="Q135">
        <f>IFERROR(1/(IF(Inputs!$B$39="pvp",15,MAX(0.1,Skills!D18-IF(Skills!E18=TRUE,Inputs!$B$33,0)))*(1-IF(AND(ArtifactsInput!$M$27,Inputs!$B$4="Chapter Hunt"),CHOOSE(ArtifactsInput!$N$27+1,20,24,28,32,36,40),0)/100)),0)</f>
        <v/>
      </c>
      <c r="R135" t="n">
        <v>0</v>
      </c>
      <c r="S135" t="n">
        <v>0</v>
      </c>
      <c r="U135" t="n">
        <v>0</v>
      </c>
    </row>
    <row r="136">
      <c r="A136">
        <f>Skills!A19</f>
        <v/>
      </c>
      <c r="B136">
        <f>Skills!B19</f>
        <v/>
      </c>
      <c r="C136">
        <f>Inputs!$B$3&gt;=110</f>
        <v/>
      </c>
      <c r="D136">
        <f>IF(Skills!C19=1,60+Inputs!$B$26+Inputs!$B$30,IF(Skills!C19=2,90+Inputs!$B$27+Inputs!$B$30,IF(Skills!C19=3,120+Inputs!$B$28+Inputs!$B$30,MAX(0,(Inputs!$B$3-100)*3)+Inputs!$B$29+Inputs!$B$30)))</f>
        <v/>
      </c>
      <c r="E136">
        <f>INDEX(FactorTable!$B$2:$Y$301, MATCH(ROUND(MIN(300,MAX(1,D136)),0), FactorTable!$A$2:$A$301,0), Skills!L19+1)</f>
        <v/>
      </c>
      <c r="F136">
        <f>(Skills!K19/10)*(E136/1000)*64/45+Skills!N19</f>
        <v/>
      </c>
      <c r="G136">
        <f>Calc!G19</f>
        <v/>
      </c>
      <c r="H136">
        <f>Calc!H19</f>
        <v/>
      </c>
      <c r="I136">
        <f>IF(Skills!T19&lt;&gt;"",1+(Skills!T19/10)*($Z$3/1000)/100,1)</f>
        <v/>
      </c>
      <c r="J136" t="inlineStr"/>
      <c r="K136" t="inlineStr"/>
      <c r="L136" t="inlineStr"/>
      <c r="M136" t="inlineStr"/>
      <c r="N136" t="inlineStr"/>
      <c r="O136">
        <f>(1-Summary!$B$11)*S136+Summary!$B$11*U136</f>
        <v/>
      </c>
      <c r="P136">
        <f>IF(B160=0,0,O136/B160)</f>
        <v/>
      </c>
      <c r="Q136">
        <f>IFERROR(1/(IF(Inputs!$B$39="pvp",15,MAX(0.1,Skills!D19-IF(Skills!E19=TRUE,Inputs!$B$33,0)))*(1-IF(AND(ArtifactsInput!$M$27,Inputs!$B$4="Chapter Hunt"),CHOOSE(ArtifactsInput!$N$27+1,20,24,28,32,36,40),0)/100)),0)</f>
        <v/>
      </c>
      <c r="R136">
        <f>IF(AND(Inputs!$B$39&lt;&gt;"pvp",Inputs!$B$44&gt;0),IF(Inputs!$B$44&lt;=0,0,(INT(Inputs!$B$44/(IF(Inputs!$B$39="pvp",15,MAX(0.1,Skills!D19-IF(Skills!E19=TRUE,Inputs!$B$33,0)))*(1-IF(AND(ArtifactsInput!$M$27,Inputs!$B$4="Chapter Hunt"),CHOOSE(ArtifactsInput!$N$27+1,20,24,28,32,36,40),0)/100)))+1)),0)</f>
        <v/>
      </c>
      <c r="S136" t="n">
        <v>0</v>
      </c>
      <c r="U136" t="n">
        <v>0</v>
      </c>
    </row>
    <row r="137">
      <c r="A137">
        <f>Skills!A20</f>
        <v/>
      </c>
      <c r="B137">
        <f>Skills!B20</f>
        <v/>
      </c>
      <c r="C137">
        <f>Inputs!$B$3&gt;=125</f>
        <v/>
      </c>
      <c r="D137">
        <f>IF(Skills!C20=1,60+Inputs!$B$26+Inputs!$B$30,IF(Skills!C20=2,90+Inputs!$B$27+Inputs!$B$30,IF(Skills!C20=3,120+Inputs!$B$28+Inputs!$B$30,MAX(0,(Inputs!$B$3-100)*3)+Inputs!$B$29+Inputs!$B$30)))</f>
        <v/>
      </c>
      <c r="E137">
        <f>INDEX(FactorTable!$B$2:$Y$301, MATCH(ROUND(MIN(300,MAX(1,D137)),0), FactorTable!$A$2:$A$301,0), Skills!L20+1)</f>
        <v/>
      </c>
      <c r="F137">
        <f>IF(Skills!M20=TRUE,(Skills!K20/10)*(E137/1000),Skills!K20/10)+Skills!N20</f>
        <v/>
      </c>
      <c r="G137">
        <f>Calc!G20</f>
        <v/>
      </c>
      <c r="H137">
        <f>Calc!H20</f>
        <v/>
      </c>
      <c r="I137">
        <f>IF(Skills!T20&lt;&gt;"",1+(Skills!T20/10)*($Z$3/1000)/100,1)</f>
        <v/>
      </c>
      <c r="J137" t="inlineStr"/>
      <c r="K137" t="inlineStr"/>
      <c r="L137" t="inlineStr"/>
      <c r="M137" t="inlineStr"/>
      <c r="N137" t="inlineStr"/>
      <c r="O137">
        <f>(1-Summary!$B$11)*S137+Summary!$B$11*U137</f>
        <v/>
      </c>
      <c r="P137">
        <f>IF(B160=0,0,O137/B160)</f>
        <v/>
      </c>
      <c r="Q137">
        <f>IFERROR(1/(IF(Inputs!$B$39="pvp",15,MAX(0.1,Skills!D20-IF(Skills!E20=TRUE,Inputs!$B$33,0)))*(1-IF(AND(ArtifactsInput!$M$27,Inputs!$B$4="Chapter Hunt"),CHOOSE(ArtifactsInput!$N$27+1,20,24,28,32,36,40),0)/100)),0)</f>
        <v/>
      </c>
      <c r="R137" t="n">
        <v>0</v>
      </c>
      <c r="S137" t="n">
        <v>0</v>
      </c>
      <c r="U137" t="n">
        <v>0</v>
      </c>
    </row>
    <row r="138">
      <c r="A138">
        <f>Skills!A21</f>
        <v/>
      </c>
      <c r="B138">
        <f>Skills!B21</f>
        <v/>
      </c>
      <c r="C138">
        <f>Inputs!$B$3&gt;=33</f>
        <v/>
      </c>
      <c r="D138">
        <f>IF(Skills!C21=1,60+Inputs!$B$26+Inputs!$B$30,IF(Skills!C21=2,90+Inputs!$B$27+Inputs!$B$30,IF(Skills!C21=3,120+Inputs!$B$28+Inputs!$B$30,MAX(0,(Inputs!$B$3-100)*3)+Inputs!$B$29+Inputs!$B$30)))</f>
        <v/>
      </c>
      <c r="E138">
        <f>INDEX(FactorTable!$B$2:$Y$301, MATCH(ROUND(MIN(300,MAX(1,D138)),0), FactorTable!$A$2:$A$301,0), Skills!L21+1)</f>
        <v/>
      </c>
      <c r="F138">
        <f>IF(Skills!M21=TRUE,(Skills!K21/10)*(E138/1000),Skills!K21/10)+Skills!N21</f>
        <v/>
      </c>
      <c r="G138">
        <f>Calc!G21</f>
        <v/>
      </c>
      <c r="H138">
        <f>Calc!H21</f>
        <v/>
      </c>
      <c r="I138">
        <f>IF(Skills!T21&lt;&gt;"",1+(Skills!T21/10)*($Z$3/1000)/100,1)</f>
        <v/>
      </c>
      <c r="J138" t="inlineStr"/>
      <c r="K138" t="inlineStr"/>
      <c r="L138" t="inlineStr"/>
      <c r="M138" t="inlineStr"/>
      <c r="N138" t="inlineStr"/>
      <c r="O138">
        <f>(1-Summary!$B$11)*S138+Summary!$B$11*U138</f>
        <v/>
      </c>
      <c r="P138">
        <f>IF(B160=0,0,O138/B160)</f>
        <v/>
      </c>
      <c r="Q138">
        <f>IFERROR(1/(IF(Inputs!$B$39="pvp",15,MAX(0.1,Skills!D21-IF(Skills!E21=TRUE,Inputs!$B$33,0)))*(1-IF(AND(ArtifactsInput!$M$27,Inputs!$B$4="Chapter Hunt"),CHOOSE(ArtifactsInput!$N$27+1,20,24,28,32,36,40),0)/100)),0)</f>
        <v/>
      </c>
      <c r="R138" t="n">
        <v>0</v>
      </c>
      <c r="S138" t="n">
        <v>0</v>
      </c>
      <c r="U138" t="n">
        <v>0</v>
      </c>
    </row>
    <row r="139">
      <c r="A139">
        <f>Skills!A22</f>
        <v/>
      </c>
      <c r="B139">
        <f>Skills!B22</f>
        <v/>
      </c>
      <c r="C139">
        <f>Inputs!$B$3&gt;=43</f>
        <v/>
      </c>
      <c r="D139">
        <f>IF(Skills!C22=1,60+Inputs!$B$26+Inputs!$B$30,IF(Skills!C22=2,90+Inputs!$B$27+Inputs!$B$30,IF(Skills!C22=3,120+Inputs!$B$28+Inputs!$B$30,MAX(0,(Inputs!$B$3-100)*3)+Inputs!$B$29+Inputs!$B$30)))</f>
        <v/>
      </c>
      <c r="E139">
        <f>INDEX(FactorTable!$B$2:$Y$301, MATCH(ROUND(MIN(300,MAX(1,D139)),0), FactorTable!$A$2:$A$301,0), Skills!L22+1)</f>
        <v/>
      </c>
      <c r="F139">
        <f>IF(Skills!M22=TRUE,(Skills!K22/10)*(E139/1000),Skills!K22/10)+Skills!N22</f>
        <v/>
      </c>
      <c r="G139">
        <f>Calc!G22</f>
        <v/>
      </c>
      <c r="H139">
        <f>Calc!H22</f>
        <v/>
      </c>
      <c r="I139">
        <f>IF(Skills!T22&lt;&gt;"",1+(Skills!T22/10)*($Z$3/1000)/100,1)</f>
        <v/>
      </c>
      <c r="J139" t="inlineStr"/>
      <c r="K139" t="inlineStr"/>
      <c r="L139" t="inlineStr"/>
      <c r="M139" t="inlineStr"/>
      <c r="N139" t="inlineStr"/>
      <c r="O139">
        <f>(1-Summary!$B$11)*S139+Summary!$B$11*U139</f>
        <v/>
      </c>
      <c r="P139">
        <f>IF(B160=0,0,O139/B160)</f>
        <v/>
      </c>
      <c r="Q139">
        <f>IFERROR(1/(IF(Inputs!$B$39="pvp",15,MAX(0.1,Skills!D22-IF(Skills!E22=TRUE,Inputs!$B$33,0)))*(1-IF(AND(ArtifactsInput!$M$27,Inputs!$B$4="Chapter Hunt"),CHOOSE(ArtifactsInput!$N$27+1,20,24,28,32,36,40),0)/100)),0)</f>
        <v/>
      </c>
      <c r="R139" t="n">
        <v>0</v>
      </c>
      <c r="S139" t="n">
        <v>0</v>
      </c>
      <c r="U139" t="n">
        <v>0</v>
      </c>
    </row>
    <row r="140">
      <c r="A140">
        <f>Skills!A23</f>
        <v/>
      </c>
      <c r="B140">
        <f>Skills!B23</f>
        <v/>
      </c>
      <c r="C140">
        <f>Inputs!$B$3&gt;=50</f>
        <v/>
      </c>
      <c r="D140">
        <f>IF(Skills!C23=1,60+Inputs!$B$26+Inputs!$B$30,IF(Skills!C23=2,90+Inputs!$B$27+Inputs!$B$30,IF(Skills!C23=3,120+Inputs!$B$28+Inputs!$B$30,MAX(0,(Inputs!$B$3-100)*3)+Inputs!$B$29+Inputs!$B$30)))</f>
        <v/>
      </c>
      <c r="E140">
        <f>INDEX(FactorTable!$B$2:$Y$301, MATCH(ROUND(MIN(300,MAX(1,D140)),0), FactorTable!$A$2:$A$301,0), Skills!L23+1)</f>
        <v/>
      </c>
      <c r="F140">
        <f>IF(Skills!M23=TRUE,(Skills!K23/10)*(E140/1000),Skills!K23/10)+Skills!N23</f>
        <v/>
      </c>
      <c r="G140">
        <f>Calc!G23</f>
        <v/>
      </c>
      <c r="H140">
        <f>Calc!H23</f>
        <v/>
      </c>
      <c r="I140">
        <f>IF(Skills!T23&lt;&gt;"",1+(Skills!T23/10)*($Z$3/1000)/100,1)</f>
        <v/>
      </c>
      <c r="J140" t="inlineStr"/>
      <c r="K140" t="inlineStr"/>
      <c r="L140" t="inlineStr"/>
      <c r="M140" t="inlineStr"/>
      <c r="N140" t="inlineStr"/>
      <c r="O140">
        <f>(1-Summary!$B$11)*S140+Summary!$B$11*U140</f>
        <v/>
      </c>
      <c r="P140">
        <f>IF(B160=0,0,O140/B160)</f>
        <v/>
      </c>
      <c r="Q140">
        <f>IFERROR(1/(IF(Inputs!$B$39="pvp",15,MAX(0.1,Skills!D23-IF(Skills!E23=TRUE,Inputs!$B$33,0)))*(1-IF(AND(ArtifactsInput!$M$27,Inputs!$B$4="Chapter Hunt"),CHOOSE(ArtifactsInput!$N$27+1,20,24,28,32,36,40),0)/100)),0)</f>
        <v/>
      </c>
      <c r="R140" t="n">
        <v>0</v>
      </c>
      <c r="S140" t="n">
        <v>0</v>
      </c>
      <c r="U140" t="n">
        <v>0</v>
      </c>
    </row>
    <row r="141">
      <c r="A141">
        <f>Skills!A24</f>
        <v/>
      </c>
      <c r="B141">
        <f>Skills!B24</f>
        <v/>
      </c>
      <c r="C141">
        <f>Inputs!$B$3&gt;=74</f>
        <v/>
      </c>
      <c r="D141">
        <f>IF(Skills!C24=1,60+Inputs!$B$26+Inputs!$B$30,IF(Skills!C24=2,90+Inputs!$B$27+Inputs!$B$30,IF(Skills!C24=3,120+Inputs!$B$28+Inputs!$B$30,MAX(0,(Inputs!$B$3-100)*3)+Inputs!$B$29+Inputs!$B$30)))</f>
        <v/>
      </c>
      <c r="E141">
        <f>INDEX(FactorTable!$B$2:$Y$301, MATCH(ROUND(MIN(300,MAX(1,D141)),0), FactorTable!$A$2:$A$301,0), Skills!L24+1)</f>
        <v/>
      </c>
      <c r="F141">
        <f>IF(Skills!M24=TRUE,(Skills!K24/10)*(E141/1000),Skills!K24/10)+Skills!N24</f>
        <v/>
      </c>
      <c r="G141">
        <f>Calc!G24</f>
        <v/>
      </c>
      <c r="H141">
        <f>Calc!H24</f>
        <v/>
      </c>
      <c r="I141">
        <f>IF(Skills!T24&lt;&gt;"",1+(Skills!T24/10)*($Z$3/1000)/100,1)</f>
        <v/>
      </c>
      <c r="J141" t="inlineStr"/>
      <c r="K141" t="inlineStr"/>
      <c r="L141" t="inlineStr"/>
      <c r="M141" t="inlineStr"/>
      <c r="N141" t="inlineStr"/>
      <c r="O141">
        <f>(1-Summary!$B$11)*S141+Summary!$B$11*U141</f>
        <v/>
      </c>
      <c r="P141">
        <f>IF(B160=0,0,O141/B160)</f>
        <v/>
      </c>
      <c r="Q141">
        <f>IFERROR(1/(IF(Inputs!$B$39="pvp",15,MAX(0.1,Skills!D24-IF(Skills!E24=TRUE,Inputs!$B$33,0)))*(1-IF(AND(ArtifactsInput!$M$27,Inputs!$B$4="Chapter Hunt"),CHOOSE(ArtifactsInput!$N$27+1,20,24,28,32,36,40),0)/100)),0)</f>
        <v/>
      </c>
      <c r="R141" t="n">
        <v>0</v>
      </c>
      <c r="S141" t="n">
        <v>0</v>
      </c>
      <c r="U141" t="n">
        <v>0</v>
      </c>
    </row>
    <row r="142">
      <c r="A142">
        <f>Skills!A25</f>
        <v/>
      </c>
      <c r="B142">
        <f>Skills!B25</f>
        <v/>
      </c>
      <c r="C142">
        <f>Inputs!$B$3&gt;=74</f>
        <v/>
      </c>
      <c r="D142">
        <f>IF(Skills!C25=1,60+Inputs!$B$26+Inputs!$B$30,IF(Skills!C25=2,90+Inputs!$B$27+Inputs!$B$30,IF(Skills!C25=3,120+Inputs!$B$28+Inputs!$B$30,MAX(0,(Inputs!$B$3-100)*3)+Inputs!$B$29+Inputs!$B$30)))</f>
        <v/>
      </c>
      <c r="E142">
        <f>INDEX(FactorTable!$B$2:$Y$301, MATCH(ROUND(MIN(300,MAX(1,D142)),0), FactorTable!$A$2:$A$301,0), Skills!L25+1)</f>
        <v/>
      </c>
      <c r="F142">
        <f>IF(Skills!M25=TRUE,(Skills!K25/10)*(E142/1000),Skills!K25/10)+Skills!N25</f>
        <v/>
      </c>
      <c r="G142">
        <f>Calc!G25</f>
        <v/>
      </c>
      <c r="H142">
        <f>Calc!H25</f>
        <v/>
      </c>
      <c r="I142">
        <f>IF(Skills!T25&lt;&gt;"",1+(Skills!T25/10)*($Z$3/1000)/100,1)</f>
        <v/>
      </c>
      <c r="J142" t="inlineStr"/>
      <c r="K142" t="inlineStr"/>
      <c r="L142" t="inlineStr"/>
      <c r="M142" t="inlineStr"/>
      <c r="N142" t="inlineStr"/>
      <c r="O142">
        <f>(1-Summary!$B$11)*S142+Summary!$B$11*U142</f>
        <v/>
      </c>
      <c r="P142">
        <f>IF(B160=0,0,O142/B160)</f>
        <v/>
      </c>
      <c r="Q142">
        <f>IFERROR(1/(IF(Inputs!$B$39="pvp",15,MAX(0.1,Skills!D25-IF(Skills!E25=TRUE,Inputs!$B$33,0)))*(1-IF(AND(ArtifactsInput!$M$27,Inputs!$B$4="Chapter Hunt"),CHOOSE(ArtifactsInput!$N$27+1,20,24,28,32,36,40),0)/100)),0)</f>
        <v/>
      </c>
      <c r="R142" t="n">
        <v>0</v>
      </c>
      <c r="S142" t="n">
        <v>0</v>
      </c>
      <c r="U142" t="n">
        <v>0</v>
      </c>
    </row>
    <row r="143">
      <c r="A143">
        <f>Skills!A26</f>
        <v/>
      </c>
      <c r="B143">
        <f>Skills!B26</f>
        <v/>
      </c>
      <c r="C143">
        <f>Inputs!$B$3&gt;=117</f>
        <v/>
      </c>
      <c r="D143">
        <f>IF(Skills!C26=1,60+Inputs!$B$26+Inputs!$B$30,IF(Skills!C26=2,90+Inputs!$B$27+Inputs!$B$30,IF(Skills!C26=3,120+Inputs!$B$28+Inputs!$B$30,MAX(0,(Inputs!$B$3-100)*3)+Inputs!$B$29+Inputs!$B$30)))</f>
        <v/>
      </c>
      <c r="E143">
        <f>INDEX(FactorTable!$B$2:$Y$301, MATCH(ROUND(MIN(300,MAX(1,D143)),0), FactorTable!$A$2:$A$301,0), Skills!L26+1)</f>
        <v/>
      </c>
      <c r="F143">
        <f>IF(Skills!M26=TRUE,(Skills!K26/10)*(E143/1000),Skills!K26/10)+Skills!N26</f>
        <v/>
      </c>
      <c r="G143">
        <f>Calc!G26</f>
        <v/>
      </c>
      <c r="H143">
        <f>Calc!H26</f>
        <v/>
      </c>
      <c r="I143">
        <f>IF(Skills!T26&lt;&gt;"",1+(Skills!T26/10)*($Z$3/1000)/100,1)</f>
        <v/>
      </c>
      <c r="J143" t="inlineStr"/>
      <c r="K143" t="inlineStr"/>
      <c r="L143" t="inlineStr"/>
      <c r="M143" t="inlineStr"/>
      <c r="N143" t="inlineStr"/>
      <c r="O143">
        <f>(1-Summary!$B$11)*S143+Summary!$B$11*U143</f>
        <v/>
      </c>
      <c r="P143">
        <f>IF(B160=0,0,O143/B160)</f>
        <v/>
      </c>
      <c r="Q143">
        <f>IFERROR(1/(IF(Inputs!$B$39="pvp",15,MAX(0.1,Skills!D26-IF(Skills!E26=TRUE,Inputs!$B$33,0)))*(1-IF(AND(ArtifactsInput!$M$27,Inputs!$B$4="Chapter Hunt"),CHOOSE(ArtifactsInput!$N$27+1,20,24,28,32,36,40),0)/100)),0)</f>
        <v/>
      </c>
      <c r="R143" t="n">
        <v>0</v>
      </c>
      <c r="S143" t="n">
        <v>0</v>
      </c>
      <c r="U143" t="n">
        <v>0</v>
      </c>
    </row>
    <row r="144">
      <c r="A144">
        <f>Skills!A27</f>
        <v/>
      </c>
      <c r="B144">
        <f>Skills!B27</f>
        <v/>
      </c>
      <c r="C144">
        <f>Inputs!$B$3&gt;=120</f>
        <v/>
      </c>
      <c r="D144">
        <f>IF(Skills!C27=1,60+Inputs!$B$26+Inputs!$B$30,IF(Skills!C27=2,90+Inputs!$B$27+Inputs!$B$30,IF(Skills!C27=3,120+Inputs!$B$28+Inputs!$B$30,MAX(0,(Inputs!$B$3-100)*3)+Inputs!$B$29+Inputs!$B$30)))</f>
        <v/>
      </c>
      <c r="E144">
        <f>INDEX(FactorTable!$B$2:$Y$301, MATCH(ROUND(MIN(300,MAX(1,D144)),0), FactorTable!$A$2:$A$301,0), Skills!L27+1)</f>
        <v/>
      </c>
      <c r="F144">
        <f>IF(Skills!M27=TRUE,(Skills!K27/10)*(E144/1000),Skills!K27/10)+Skills!N27</f>
        <v/>
      </c>
      <c r="G144">
        <f>Calc!G27</f>
        <v/>
      </c>
      <c r="H144">
        <f>Calc!H27</f>
        <v/>
      </c>
      <c r="I144">
        <f>IF(Skills!T27&lt;&gt;"",1+(Skills!T27/10)*($Z$3/1000)/100,1)</f>
        <v/>
      </c>
      <c r="J144" t="inlineStr"/>
      <c r="K144" t="inlineStr"/>
      <c r="L144" t="inlineStr"/>
      <c r="M144" t="inlineStr"/>
      <c r="N144" t="inlineStr"/>
      <c r="O144">
        <f>(1-Summary!$B$11)*S144+Summary!$B$11*U144</f>
        <v/>
      </c>
      <c r="P144">
        <f>IF(B160=0,0,O144/B160)</f>
        <v/>
      </c>
      <c r="Q144">
        <f>IFERROR(1/(IF(Inputs!$B$39="pvp",15,MAX(0.1,Skills!D27-IF(Skills!E27=TRUE,Inputs!$B$33,0)))*(1-IF(AND(ArtifactsInput!$M$27,Inputs!$B$4="Chapter Hunt"),CHOOSE(ArtifactsInput!$N$27+1,20,24,28,32,36,40),0)/100)),0)</f>
        <v/>
      </c>
      <c r="R144" t="n">
        <v>0</v>
      </c>
      <c r="S144" t="n">
        <v>0</v>
      </c>
      <c r="U144" t="n">
        <v>0</v>
      </c>
    </row>
    <row r="145">
      <c r="A145">
        <f>Skills!A28</f>
        <v/>
      </c>
      <c r="B145">
        <f>Skills!B28</f>
        <v/>
      </c>
      <c r="C145">
        <f>TRUE</f>
        <v/>
      </c>
      <c r="D145">
        <f>IF(Skills!C28=1,60+Inputs!$B$26+Inputs!$B$30,IF(Skills!C28=2,90+Inputs!$B$27+Inputs!$B$30,IF(Skills!C28=3,120+Inputs!$B$28+Inputs!$B$30,MAX(0,(Inputs!$B$3-100)*3)+Inputs!$B$29+Inputs!$B$30)))</f>
        <v/>
      </c>
      <c r="E145">
        <f>INDEX(FactorTable!$B$2:$Y$301, MATCH(ROUND(MIN(300,MAX(1,D145)),0), FactorTable!$A$2:$A$301,0), Skills!L28+1)</f>
        <v/>
      </c>
      <c r="F145">
        <f>IF(Skills!M28=TRUE,(Skills!K28/10)*(E145/1000),Skills!K28/10)+Skills!N28</f>
        <v/>
      </c>
      <c r="G145">
        <f>Calc!G28</f>
        <v/>
      </c>
      <c r="H145">
        <f>Calc!H28</f>
        <v/>
      </c>
      <c r="I145">
        <f>IF(Skills!T28&lt;&gt;"",1+(Skills!T28/10)*($Z$3/1000)/100,1)</f>
        <v/>
      </c>
      <c r="J145" t="inlineStr"/>
      <c r="K145" t="inlineStr"/>
      <c r="L145" t="inlineStr"/>
      <c r="M145" t="inlineStr"/>
      <c r="N145" t="inlineStr"/>
      <c r="O145">
        <f>(1-Summary!$B$11)*S145+Summary!$B$11*U145</f>
        <v/>
      </c>
      <c r="P145">
        <f>IF(B160=0,0,O145/B160)</f>
        <v/>
      </c>
      <c r="Q145">
        <f>IFERROR(1/(IF(Inputs!$B$39="pvp",15,MAX(0.1,Skills!D28-IF(Skills!E28=TRUE,Inputs!$B$33,0)))*(1-IF(AND(ArtifactsInput!$M$27,Inputs!$B$4="Chapter Hunt"),CHOOSE(ArtifactsInput!$N$27+1,20,24,28,32,36,40),0)/100)),0)</f>
        <v/>
      </c>
      <c r="R145">
        <f>IF(AND(Inputs!$B$39&lt;&gt;"pvp",Inputs!$B$44&gt;0),IF(Inputs!$B$44&lt;=0,0,(INT(Inputs!$B$44/(IF(Inputs!$B$39="pvp",15,MAX(0.1,Skills!D28-IF(Skills!E28=TRUE,Inputs!$B$33,0)))*(1-IF(AND(ArtifactsInput!$M$27,Inputs!$B$4="Chapter Hunt"),CHOOSE(ArtifactsInput!$N$27+1,20,24,28,32,36,40),0)/100)))+1)),0)</f>
        <v/>
      </c>
      <c r="S145" t="n">
        <v>0</v>
      </c>
      <c r="U145" t="n">
        <v>0</v>
      </c>
    </row>
    <row r="147">
      <c r="A147" t="inlineStr">
        <is>
          <t>Average Buff Multiplier</t>
        </is>
      </c>
      <c r="B147">
        <f>(1+(IF(C120=TRUE,F120*IF(AND(Inputs!$B$39&lt;&gt;"pvp",Inputs!$B$44&gt;0),(((R120-1)*(Skills!S3*(1+((Inputs!$B$35+(ArtifactsInput!$M$7-ArtifactsInput!$M$7)*CHOOSE(ArtifactsInput!$N$7+1,6,7.2,8.4,9.6,10.8,12))+IF(Inputs!$B$3&gt;=117,F143,0))/100))+MIN((Skills!S3*(1+((Inputs!$B$35+(ArtifactsInput!$M$7-ArtifactsInput!$M$7)*CHOOSE(ArtifactsInput!$N$7+1,6,7.2,8.4,9.6,10.8,12))+IF(Inputs!$B$3&gt;=117,F143,0))/100)),MAX(0,Inputs!$B$44-((R120-1)*Skills!D3))))/Inputs!$B$44),IF(Inputs!$B$39="pvp",MIN((Skills!S3*(1+((Inputs!$B$35+(ArtifactsInput!$M$7-ArtifactsInput!$M$7)*CHOOSE(ArtifactsInput!$N$7+1,6,7.2,8.4,9.6,10.8,12))+IF(Inputs!$B$3&gt;=117,F143,0))/100)),15)/15,(Skills!S3*(1+((Inputs!$B$35+(ArtifactsInput!$M$7-ArtifactsInput!$M$7)*CHOOSE(ArtifactsInput!$N$7+1,6,7.2,8.4,9.6,10.8,12))+IF(Inputs!$B$3&gt;=117,F143,0))/100))/Skills!D3)),0)+IF(C121=TRUE,F121*IF(AND(Inputs!$B$39&lt;&gt;"pvp",Inputs!$B$44&gt;0),(((R121-1)*(Skills!S4*(1+((Inputs!$B$35+(ArtifactsInput!$M$7-ArtifactsInput!$M$7)*CHOOSE(ArtifactsInput!$N$7+1,6,7.2,8.4,9.6,10.8,12))+IF(Inputs!$B$3&gt;=117,F143,0))/100))+MIN((Skills!S4*(1+((Inputs!$B$35+(ArtifactsInput!$M$7-ArtifactsInput!$M$7)*CHOOSE(ArtifactsInput!$N$7+1,6,7.2,8.4,9.6,10.8,12))+IF(Inputs!$B$3&gt;=117,F143,0))/100)),MAX(0,Inputs!$B$44-((R121-1)*Skills!D4))))/Inputs!$B$44),IF(Inputs!$B$39="pvp",MIN((Skills!S4*(1+((Inputs!$B$35+(ArtifactsInput!$M$7-ArtifactsInput!$M$7)*CHOOSE(ArtifactsInput!$N$7+1,6,7.2,8.4,9.6,10.8,12))+IF(Inputs!$B$3&gt;=117,F143,0))/100)),15)/15,(Skills!S4*(1+((Inputs!$B$35+(ArtifactsInput!$M$7-ArtifactsInput!$M$7)*CHOOSE(ArtifactsInput!$N$7+1,6,7.2,8.4,9.6,10.8,12))+IF(Inputs!$B$3&gt;=117,F143,0))/100))/Skills!D4)),0)+IF(C122=TRUE,F122*IF(AND(Inputs!$B$39&lt;&gt;"pvp",Inputs!$B$44&gt;0),(((R122-1)*(Skills!S5*(1+((Inputs!$B$35+(ArtifactsInput!$M$7-ArtifactsInput!$M$7)*CHOOSE(ArtifactsInput!$N$7+1,6,7.2,8.4,9.6,10.8,12))+IF(Inputs!$B$3&gt;=117,F143,0))/100))+MIN((Skills!S5*(1+((Inputs!$B$35+(ArtifactsInput!$M$7-ArtifactsInput!$M$7)*CHOOSE(ArtifactsInput!$N$7+1,6,7.2,8.4,9.6,10.8,12))+IF(Inputs!$B$3&gt;=117,F143,0))/100)),MAX(0,Inputs!$B$44-((R122-1)*Skills!D5))))/Inputs!$B$44),IF(Inputs!$B$39="pvp",MIN((Skills!S5*(1+((Inputs!$B$35+(ArtifactsInput!$M$7-ArtifactsInput!$M$7)*CHOOSE(ArtifactsInput!$N$7+1,6,7.2,8.4,9.6,10.8,12))+IF(Inputs!$B$3&gt;=117,F143,0))/100)),15)/15,(Skills!S5*(1+((Inputs!$B$35+(ArtifactsInput!$M$7-ArtifactsInput!$M$7)*CHOOSE(ArtifactsInput!$N$7+1,6,7.2,8.4,9.6,10.8,12))+IF(Inputs!$B$3&gt;=117,F143,0))/100))/Skills!D5)),0)+IF(C128=TRUE,F128*IF(AND(Inputs!$B$39&lt;&gt;"pvp",Inputs!$B$44&gt;0),(((R128-1)*(Skills!S11*(1+((Inputs!$B$35+(ArtifactsInput!$M$7-ArtifactsInput!$M$7)*CHOOSE(ArtifactsInput!$N$7+1,6,7.2,8.4,9.6,10.8,12))+IF(Inputs!$B$3&gt;=117,F143,0))/100))+MIN((Skills!S11*(1+((Inputs!$B$35+(ArtifactsInput!$M$7-ArtifactsInput!$M$7)*CHOOSE(ArtifactsInput!$N$7+1,6,7.2,8.4,9.6,10.8,12))+IF(Inputs!$B$3&gt;=117,F143,0))/100)),MAX(0,Inputs!$B$44-((R128-1)*Skills!D11))))/Inputs!$B$44),IF(Inputs!$B$39="pvp",MIN((Skills!S11*(1+((Inputs!$B$35+(ArtifactsInput!$M$7-ArtifactsInput!$M$7)*CHOOSE(ArtifactsInput!$N$7+1,6,7.2,8.4,9.6,10.8,12))+IF(Inputs!$B$3&gt;=117,F143,0))/100)),15)/15,(Skills!S11*(1+((Inputs!$B$35+(ArtifactsInput!$M$7-ArtifactsInput!$M$7)*CHOOSE(ArtifactsInput!$N$7+1,6,7.2,8.4,9.6,10.8,12))+IF(Inputs!$B$3&gt;=117,F143,0)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131=TRUE,(1+F131*IF(AND(Inputs!$B$39&lt;&gt;"pvp",Inputs!$B$44&gt;0),(((R131-1)*(Skills!S14*(1+((Inputs!$B$35+(ArtifactsInput!$M$7-ArtifactsInput!$M$7)*CHOOSE(ArtifactsInput!$N$7+1,6,7.2,8.4,9.6,10.8,12))+IF(Inputs!$B$3&gt;=117,F143,0))/100))+MIN((Skills!S14*(1+((Inputs!$B$35+(ArtifactsInput!$M$7-ArtifactsInput!$M$7)*CHOOSE(ArtifactsInput!$N$7+1,6,7.2,8.4,9.6,10.8,12))+IF(Inputs!$B$3&gt;=117,F143,0))/100)),MAX(0,Inputs!$B$44-((R131-1)*Skills!D14))))/Inputs!$B$44),IF(Inputs!$B$39="pvp",MIN((Skills!S14*(1+((Inputs!$B$35+(ArtifactsInput!$M$7-ArtifactsInput!$M$7)*CHOOSE(ArtifactsInput!$N$7+1,6,7.2,8.4,9.6,10.8,12))+IF(Inputs!$B$3&gt;=117,F143,0))/100)),15)/15,(Skills!S14*(1+((Inputs!$B$35+(ArtifactsInput!$M$7-ArtifactsInput!$M$7)*CHOOSE(ArtifactsInput!$N$7+1,6,7.2,8.4,9.6,10.8,12))+IF(Inputs!$B$3&gt;=117,F143,0))/100))/Skills!D14))/100),1)*IF(C136=TRUE,(1+F136*IF(AND(Inputs!$B$39&lt;&gt;"pvp",Inputs!$B$44&gt;0),(((R136-1)*(Skills!S19*(1+((Inputs!$B$35+(ArtifactsInput!$M$7-ArtifactsInput!$M$7)*CHOOSE(ArtifactsInput!$N$7+1,6,7.2,8.4,9.6,10.8,12))+IF(Inputs!$B$3&gt;=117,F143,0))/100))+MIN((Skills!S19*(1+((Inputs!$B$35+(ArtifactsInput!$M$7-ArtifactsInput!$M$7)*CHOOSE(ArtifactsInput!$N$7+1,6,7.2,8.4,9.6,10.8,12))+IF(Inputs!$B$3&gt;=117,F143,0))/100)),MAX(0,Inputs!$B$44-((R136-1)*Skills!D19))))/Inputs!$B$44),IF(Inputs!$B$39="pvp",MIN((Skills!S19*(1+((Inputs!$B$35+(ArtifactsInput!$M$7-ArtifactsInput!$M$7)*CHOOSE(ArtifactsInput!$N$7+1,6,7.2,8.4,9.6,10.8,12))+IF(Inputs!$B$3&gt;=117,F143,0))/100)),15)/15,(Skills!S19*(1+((Inputs!$B$35+(ArtifactsInput!$M$7-ArtifactsInput!$M$7)*CHOOSE(ArtifactsInput!$N$7+1,6,7.2,8.4,9.6,10.8,12))+IF(Inputs!$B$3&gt;=117,F143,0))/100))/Skills!D19))/100),1)</f>
        <v/>
      </c>
    </row>
    <row r="148">
      <c r="A148" t="inlineStr">
        <is>
          <t>Monster Damage Taken Bonus % (Holy Fountain)</t>
        </is>
      </c>
      <c r="B148">
        <f>IF(Inputs!$B$3&gt;=68,20*IF(Inputs!$B$39="pvp",MIN((15*(1+((Inputs!$B$35+(ArtifactsInput!$M$7-ArtifactsInput!$M$7)*CHOOSE(ArtifactsInput!$N$7+1,6,7.2,8.4,9.6,10.8,12))+IF(Inputs!$B$3&gt;=117,F143,0))/100)),15)/15,(15*(1+((Inputs!$B$35+(ArtifactsInput!$M$7-ArtifactsInput!$M$7)*CHOOSE(ArtifactsInput!$N$7+1,6,7.2,8.4,9.6,10.8,12))+IF(Inputs!$B$3&gt;=117,F143,0))/100))/Skills!D10),0)</f>
        <v/>
      </c>
    </row>
    <row r="149">
      <c r="A149" t="inlineStr">
        <is>
          <t>Normal Monster Damage Bonus % (Holy Symbol)</t>
        </is>
      </c>
      <c r="B149">
        <f>IF(C129=TRUE,F129*IF(AND(Inputs!$B$39&lt;&gt;"pvp",Inputs!$B$44&gt;0),(((R129-1)*(Skills!S12*(1+((Inputs!$B$35+(ArtifactsInput!$M$7-ArtifactsInput!$M$7)*CHOOSE(ArtifactsInput!$N$7+1,6,7.2,8.4,9.6,10.8,12))+IF(Inputs!$B$3&gt;=117,F143,0))/100))+MIN((Skills!S12*(1+((Inputs!$B$35+(ArtifactsInput!$M$7-ArtifactsInput!$M$7)*CHOOSE(ArtifactsInput!$N$7+1,6,7.2,8.4,9.6,10.8,12))+IF(Inputs!$B$3&gt;=117,F143,0))/100)),MAX(0,Inputs!$B$44-((R129-1)*Skills!D12))))/Inputs!$B$44),IF(Inputs!$B$39="pvp",MIN((Skills!S12*(1+((Inputs!$B$35+(ArtifactsInput!$M$7-ArtifactsInput!$M$7)*CHOOSE(ArtifactsInput!$N$7+1,6,7.2,8.4,9.6,10.8,12))+IF(Inputs!$B$3&gt;=117,F143,0))/100)),15)/15,(Skills!S12*(1+((Inputs!$B$35+(ArtifactsInput!$M$7-ArtifactsInput!$M$7)*CHOOSE(ArtifactsInput!$N$7+1,6,7.2,8.4,9.6,10.8,12))+IF(Inputs!$B$3&gt;=117,F143,0))/100))/Skills!D12)),0)</f>
        <v/>
      </c>
    </row>
    <row r="150">
      <c r="A150" t="inlineStr">
        <is>
          <t>Damage % Bonus (Holy Symbol - Damage Boost)</t>
        </is>
      </c>
      <c r="B150">
        <f>Skills!O12</f>
        <v/>
      </c>
    </row>
    <row r="151">
      <c r="A151" t="inlineStr">
        <is>
          <t>Crit Damage % Bonus (Blood of the Divine)</t>
        </is>
      </c>
      <c r="B151">
        <f>4*IF(C137=TRUE,F137,0)</f>
        <v/>
      </c>
    </row>
    <row r="152">
      <c r="A152" t="inlineStr">
        <is>
          <t>Attack Speed Bonus %</t>
        </is>
      </c>
      <c r="B152">
        <f>IF(C134=TRUE,F134+(F138-Calc!F21),0)+IF(Inputs!$B$3&gt;=134,15,0)+((C145=TRUE)*F145*IF(AND(Inputs!$B$39&lt;&gt;"pvp",Inputs!$B$44&gt;0),(((R145-1)*(Skills!S28*(1+((Inputs!$B$35+(ArtifactsInput!$M$7-ArtifactsInput!$M$7)*CHOOSE(ArtifactsInput!$N$7+1,6,7.2,8.4,9.6,10.8,12))+IF(Inputs!$B$3&gt;=117,F143,0))/100))+MIN((Skills!S28*(1+((Inputs!$B$35+(ArtifactsInput!$M$7-ArtifactsInput!$M$7)*CHOOSE(ArtifactsInput!$N$7+1,6,7.2,8.4,9.6,10.8,12))+IF(Inputs!$B$3&gt;=117,F143,0))/100)),MAX(0,Inputs!$B$44-((R145-1)*Skills!D28))))/Inputs!$B$44),IF(Inputs!$B$39="pvp",MIN((Skills!S28*(1+((Inputs!$B$35+(ArtifactsInput!$M$7-ArtifactsInput!$M$7)*CHOOSE(ArtifactsInput!$N$7+1,6,7.2,8.4,9.6,10.8,12))+IF(Inputs!$B$3&gt;=117,F143,0))/100)),15)/15,(Skills!S28*(1+((Inputs!$B$35+(ArtifactsInput!$M$7-ArtifactsInput!$M$7)*CHOOSE(ArtifactsInput!$N$7+1,6,7.2,8.4,9.6,10.8,12))+IF(Inputs!$B$3&gt;=117,F143,0))/100))/Skills!D28)))</f>
        <v/>
      </c>
    </row>
    <row r="153">
      <c r="A153" t="inlineStr">
        <is>
          <t>Actions Per Second</t>
        </is>
      </c>
      <c r="B153">
        <f>1+MIN(150,150*(1-(1-Inputs!$B$12/150)*(1-B152/150)))/100</f>
        <v/>
      </c>
    </row>
    <row r="154">
      <c r="A154" t="inlineStr">
        <is>
          <t>Skill + Buff Cast Rate</t>
        </is>
      </c>
      <c r="B154">
        <f>IF(AND(Inputs!$B$39&lt;&gt;"pvp",Inputs!$B$44&gt;0),SUMPRODUCT((Skills!E2:E28=TRUE)*(C119:C145=TRUE)*R119:R145)/Inputs!$B$44,SUMPRODUCT((Skills!E2:E28=TRUE)*(C119:C145=TRUE)*Q119:Q145))</f>
        <v/>
      </c>
    </row>
    <row r="155">
      <c r="A155" t="inlineStr">
        <is>
          <t>Big Bang Casts Per Second</t>
        </is>
      </c>
      <c r="B155">
        <f>MAX(0,B153-B154)</f>
        <v/>
      </c>
    </row>
    <row r="156">
      <c r="A156" t="inlineStr">
        <is>
          <t>Defense % Bonus (Divine Protection)</t>
        </is>
      </c>
      <c r="B156">
        <f>IF(C130=TRUE,F130*IF(AND(Inputs!$B$39&lt;&gt;"pvp",Inputs!$B$44&gt;0),(((R130-1)*(Skills!S13*(1+((Inputs!$B$35+(ArtifactsInput!$M$7-ArtifactsInput!$M$7)*CHOOSE(ArtifactsInput!$N$7+1,6,7.2,8.4,9.6,10.8,12))+IF(Inputs!$B$3&gt;=117,F143,0))/100))+MIN((Skills!S13*(1+((Inputs!$B$35+(ArtifactsInput!$M$7-ArtifactsInput!$M$7)*CHOOSE(ArtifactsInput!$N$7+1,6,7.2,8.4,9.6,10.8,12))+IF(Inputs!$B$3&gt;=117,F143,0))/100)),MAX(0,Inputs!$B$44-((R130-1)*Skills!D13))))/Inputs!$B$44),IF(Inputs!$B$39="pvp",MIN((Skills!S13*(1+((Inputs!$B$35+(ArtifactsInput!$M$7-ArtifactsInput!$M$7)*CHOOSE(ArtifactsInput!$N$7+1,6,7.2,8.4,9.6,10.8,12))+IF(Inputs!$B$3&gt;=117,F143,0))/100)),15)/15,(Skills!S13*(1+((Inputs!$B$35+(ArtifactsInput!$M$7-ArtifactsInput!$M$7)*CHOOSE(ArtifactsInput!$N$7+1,6,7.2,8.4,9.6,10.8,12))+IF(Inputs!$B$3&gt;=117,F143,0))/100))/Skills!D13)),0)</f>
        <v/>
      </c>
    </row>
    <row r="157">
      <c r="A157" t="inlineStr">
        <is>
          <t>Buff-Casting Startup Delay (s, fixed-duration only)</t>
        </is>
      </c>
      <c r="B157">
        <f>IF(AND(Inputs!$B$39&lt;&gt;"pvp",Inputs!$B$44&gt;0),SUMPRODUCT((Skills!S2:S28&gt;0)*(Skills!E2:E28=TRUE)*(C119:C145=TRUE))/B153,0)</f>
        <v/>
      </c>
    </row>
    <row r="158">
      <c r="A158" t="inlineStr">
        <is>
          <t>Boss-Only Total DPS (this block's swept value)</t>
        </is>
      </c>
      <c r="B158">
        <f>SUM(S119:S145)</f>
        <v/>
      </c>
    </row>
    <row r="159">
      <c r="A159" t="inlineStr">
        <is>
          <t>Normal-Only Total DPS (this block's swept value)</t>
        </is>
      </c>
      <c r="B159">
        <f>SUM(U119:U145)</f>
        <v/>
      </c>
    </row>
    <row r="160">
      <c r="A160" s="6" t="inlineStr">
        <is>
          <t>TOTAL DPS</t>
        </is>
      </c>
      <c r="B160" s="6">
        <f>SUM(O119:O145)</f>
        <v/>
      </c>
    </row>
    <row r="162">
      <c r="A162" s="6" t="inlineStr">
        <is>
          <t>Stat: Defense (flat) — Invincible converts a level-scaling % (10%+) into INT</t>
        </is>
      </c>
    </row>
    <row r="163">
      <c r="A163" s="5" t="inlineStr">
        <is>
          <t>Key</t>
        </is>
      </c>
      <c r="B163" s="5" t="inlineStr">
        <is>
          <t>Name</t>
        </is>
      </c>
      <c r="C163" s="5" t="inlineStr">
        <is>
          <t>Unlocked</t>
        </is>
      </c>
      <c r="D163" s="5" t="inlineStr">
        <is>
          <t>InputLevel</t>
        </is>
      </c>
      <c r="E163" s="5" t="inlineStr">
        <is>
          <t>Factor</t>
        </is>
      </c>
      <c r="F163" s="5" t="inlineStr">
        <is>
          <t>CoefficientPercent</t>
        </is>
      </c>
      <c r="G163" s="5" t="inlineStr">
        <is>
          <t>EffectiveHits</t>
        </is>
      </c>
      <c r="H163" s="5" t="inlineStr">
        <is>
          <t>ProcProbability</t>
        </is>
      </c>
      <c r="I163" s="5" t="inlineStr">
        <is>
          <t>MapleHeroMultiplier</t>
        </is>
      </c>
      <c r="J163" s="5" t="inlineStr">
        <is>
          <t>BaseDamage</t>
        </is>
      </c>
      <c r="K163" s="5" t="inlineStr">
        <is>
          <t>BaseHitDamage</t>
        </is>
      </c>
      <c r="L163" s="5" t="inlineStr">
        <is>
          <t>NonCritAvg</t>
        </is>
      </c>
      <c r="M163" s="5" t="inlineStr">
        <is>
          <t>CritAvg</t>
        </is>
      </c>
      <c r="N163" s="5" t="inlineStr">
        <is>
          <t>ExpectedDamage(perHit)</t>
        </is>
      </c>
      <c r="O163" s="5" t="inlineStr">
        <is>
          <t>DPS</t>
        </is>
      </c>
      <c r="P163" s="5" t="inlineStr">
        <is>
          <t>% of Total</t>
        </is>
      </c>
      <c r="R163" t="inlineStr">
        <is>
          <t>helpers</t>
        </is>
      </c>
    </row>
    <row r="164">
      <c r="A164">
        <f>Skills!A2</f>
        <v/>
      </c>
      <c r="B164">
        <f>Skills!B2</f>
        <v/>
      </c>
      <c r="C164">
        <f>Inputs!$B$3&gt;=100</f>
        <v/>
      </c>
      <c r="D164" t="inlineStr"/>
      <c r="E164" t="inlineStr"/>
      <c r="F164">
        <f>T166+Skills!N2</f>
        <v/>
      </c>
      <c r="G164">
        <f>Calc!G2</f>
        <v/>
      </c>
      <c r="H164">
        <f>Calc!H2</f>
        <v/>
      </c>
      <c r="I164">
        <f>IF(Skills!T2&lt;&gt;"",1+(Skills!T2/10)*($Z$3/1000)/100,1)</f>
        <v/>
      </c>
      <c r="J164">
        <f>((Inputs!$B$6*(1+Inputs!$B$7/100))+(((Inputs!$B$13*(1+Inputs!$B$14/100))-(Inputs!$B$13*(1+Inputs!$B$14/100)))+0.25*(Inputs!$B$15-Inputs!$B$15))*(1+Inputs!$B$7/100))*(F164/100)</f>
        <v/>
      </c>
      <c r="K164">
        <f>J164*(1+(((Inputs!$B$13+IF(Inputs!$B$3&gt;=35,(10*INDEX(FactorTable!$B$2:$Y$301,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2="TRIUMPH_FEATHER",IF(C178=TRUE,F178,0),0)/100)*(1+IF(C189=TRUE,F189,0)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164)</f>
        <v/>
      </c>
      <c r="L164">
        <f>K164*(MIN(Inputs!$B$23+(F184-Calc!F22),(Inputs!$B$24+IF(ArtifactsInput!$M$15,CHOOSE(ArtifactsInput!$N$15+1,25,30,35,40,45,50)/100*(Inputs!$B$12-Inputs!$B$12),0)))/100+(Inputs!$B$24+IF(ArtifactsInput!$M$15,CHOOSE(ArtifactsInput!$N$15+1,25,30,35,40,45,50)/100*(Inputs!$B$12-Inputs!$B$12),0))/100)/2</f>
        <v/>
      </c>
      <c r="M164">
        <f>L164*(1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
        <f>L164*(1-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(1-Summary!$B$11)*S164+Summary!$B$11*U164</f>
        <v/>
      </c>
      <c r="P164">
        <f>IF(B205=0,0,O164/B205)</f>
        <v/>
      </c>
      <c r="Q164">
        <f>IFERROR(1/(IF(Inputs!$B$39="pvp",15,MAX(0.1,Skills!D2-IF(Skills!E2=TRUE,Inputs!$B$33,0)))*(1-IF(AND(ArtifactsInput!$M$27,Inputs!$B$4="Chapter Hunt"),CHOOSE(ArtifactsInput!$N$27+1,20,24,28,32,36,40),0)/100)),0)</f>
        <v/>
      </c>
      <c r="R164" t="n">
        <v>0</v>
      </c>
      <c r="S164">
        <f>IF(C164,(Skills!F2*N164*B200)*IF(Inputs!$B$39="pvp",1,1+(Inputs!$B$21+Skills!O2+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
        <f>MAX(0,(Inputs!$B$3-100)*3)+Inputs!$B$29+Inputs!$B$30</f>
        <v/>
      </c>
      <c r="U164">
        <f>IF(C164,(Skills!F2*N164*B200)*IF(Inputs!$B$39="pvp",1,(1+(Inputs!$B$22+Skills!P2+B194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Skills!A3</f>
        <v/>
      </c>
      <c r="B165">
        <f>Skills!B3</f>
        <v/>
      </c>
      <c r="C165">
        <f>Inputs!$B$3&gt;=15</f>
        <v/>
      </c>
      <c r="D165">
        <f>IF(Skills!C3=1,60+Inputs!$B$26+Inputs!$B$30,IF(Skills!C3=2,90+Inputs!$B$27+Inputs!$B$30,IF(Skills!C3=3,120+Inputs!$B$28+Inputs!$B$30,MAX(0,(Inputs!$B$3-100)*3)+Inputs!$B$29+Inputs!$B$30)))</f>
        <v/>
      </c>
      <c r="E165">
        <f>INDEX(FactorTable!$B$2:$Y$301, MATCH(ROUND(MIN(300,MAX(1,D165)),0), FactorTable!$A$2:$A$301,0), Skills!L3+1)</f>
        <v/>
      </c>
      <c r="F165">
        <f>IF(Skills!M3=TRUE,(Skills!K3/10)*(E165/1000),Skills!K3/10)+Skills!N3</f>
        <v/>
      </c>
      <c r="G165">
        <f>Calc!G3</f>
        <v/>
      </c>
      <c r="H165">
        <f>Calc!H3</f>
        <v/>
      </c>
      <c r="I165">
        <f>IF(Skills!T3&lt;&gt;"",1+(Skills!T3/10)*($Z$3/1000)/100,1)</f>
        <v/>
      </c>
      <c r="J165" t="inlineStr"/>
      <c r="K165" t="inlineStr"/>
      <c r="L165" t="inlineStr"/>
      <c r="M165" t="inlineStr"/>
      <c r="N165" t="inlineStr"/>
      <c r="O165">
        <f>(1-Summary!$B$11)*S165+Summary!$B$11*U165</f>
        <v/>
      </c>
      <c r="P165">
        <f>IF(B205=0,0,O165/B205)</f>
        <v/>
      </c>
      <c r="Q165">
        <f>IFERROR(1/(IF(Inputs!$B$39="pvp",15,MAX(0.1,Skills!D3-IF(Skills!E3=TRUE,Inputs!$B$33,0)))*(1-IF(AND(ArtifactsInput!$M$27,Inputs!$B$4="Chapter Hunt"),CHOOSE(ArtifactsInput!$N$27+1,20,24,28,32,36,40),0)/100)),0)</f>
        <v/>
      </c>
      <c r="R165">
        <f>IF(AND(Inputs!$B$39&lt;&gt;"pvp",Inputs!$B$44&gt;0),IF(Inputs!$B$44&lt;=0,0,(INT(Inputs!$B$44/(IF(Inputs!$B$39="pvp",15,MAX(0.1,Skills!D3-IF(Skills!E3=TRUE,Inputs!$B$33,0)))*(1-IF(AND(ArtifactsInput!$M$27,Inputs!$B$4="Chapter Hunt"),CHOOSE(ArtifactsInput!$N$27+1,20,24,28,32,36,40),0)/100)))+1)),0)</f>
        <v/>
      </c>
      <c r="S165" t="n">
        <v>0</v>
      </c>
      <c r="T165">
        <f>INDEX(FactorTable!$B$2:$Y$301, MATCH(ROUND(MIN(300,MAX(1,T164)),0), FactorTable!$A$2:$A$301,0), 22)</f>
        <v/>
      </c>
      <c r="U165" t="n">
        <v>0</v>
      </c>
    </row>
    <row r="166">
      <c r="A166">
        <f>Skills!A4</f>
        <v/>
      </c>
      <c r="B166">
        <f>Skills!B4</f>
        <v/>
      </c>
      <c r="C166">
        <f>Inputs!$B$3&gt;=38</f>
        <v/>
      </c>
      <c r="D166">
        <f>IF(Skills!C4=1,60+Inputs!$B$26+Inputs!$B$30,IF(Skills!C4=2,90+Inputs!$B$27+Inputs!$B$30,IF(Skills!C4=3,120+Inputs!$B$28+Inputs!$B$30,MAX(0,(Inputs!$B$3-100)*3)+Inputs!$B$29+Inputs!$B$30)))</f>
        <v/>
      </c>
      <c r="E166">
        <f>INDEX(FactorTable!$B$2:$Y$301, MATCH(ROUND(MIN(300,MAX(1,D166)),0), FactorTable!$A$2:$A$301,0), Skills!L4+1)</f>
        <v/>
      </c>
      <c r="F166">
        <f>IF(Skills!M4=TRUE,(Skills!K4/10)*(E166/1000),Skills!K4/10)+Skills!N4</f>
        <v/>
      </c>
      <c r="G166">
        <f>Calc!G4</f>
        <v/>
      </c>
      <c r="H166">
        <f>Calc!H4</f>
        <v/>
      </c>
      <c r="I166">
        <f>IF(Skills!T4&lt;&gt;"",1+(Skills!T4/10)*($Z$3/1000)/100,1)</f>
        <v/>
      </c>
      <c r="J166" t="inlineStr"/>
      <c r="K166" t="inlineStr"/>
      <c r="L166" t="inlineStr"/>
      <c r="M166" t="inlineStr"/>
      <c r="N166" t="inlineStr"/>
      <c r="O166">
        <f>(1-Summary!$B$11)*S166+Summary!$B$11*U166</f>
        <v/>
      </c>
      <c r="P166">
        <f>IF(B205=0,0,O166/B205)</f>
        <v/>
      </c>
      <c r="Q166">
        <f>IFERROR(1/(IF(Inputs!$B$39="pvp",15,MAX(0.1,Skills!D4-IF(Skills!E4=TRUE,Inputs!$B$33,0)))*(1-IF(AND(ArtifactsInput!$M$27,Inputs!$B$4="Chapter Hunt"),CHOOSE(ArtifactsInput!$N$27+1,20,24,28,32,36,40),0)/100)),0)</f>
        <v/>
      </c>
      <c r="R166">
        <f>IF(AND(Inputs!$B$39&lt;&gt;"pvp",Inputs!$B$44&gt;0),IF(Inputs!$B$44&lt;=0,0,(INT(Inputs!$B$44/(IF(Inputs!$B$39="pvp",15,MAX(0.1,Skills!D4-IF(Skills!E4=TRUE,Inputs!$B$33,0)))*(1-IF(AND(ArtifactsInput!$M$27,Inputs!$B$4="Chapter Hunt"),CHOOSE(ArtifactsInput!$N$27+1,20,24,28,32,36,40),0)/100)))+1)),0)</f>
        <v/>
      </c>
      <c r="S166" t="n">
        <v>0</v>
      </c>
      <c r="T166">
        <f>290*T165/1000</f>
        <v/>
      </c>
      <c r="U166" t="n">
        <v>0</v>
      </c>
    </row>
    <row r="167">
      <c r="A167">
        <f>Skills!A5</f>
        <v/>
      </c>
      <c r="B167">
        <f>Skills!B5</f>
        <v/>
      </c>
      <c r="C167">
        <f>Inputs!$B$3&gt;=40</f>
        <v/>
      </c>
      <c r="D167">
        <f>IF(Skills!C5=1,60+Inputs!$B$26+Inputs!$B$30,IF(Skills!C5=2,90+Inputs!$B$27+Inputs!$B$30,IF(Skills!C5=3,120+Inputs!$B$28+Inputs!$B$30,MAX(0,(Inputs!$B$3-100)*3)+Inputs!$B$29+Inputs!$B$30)))</f>
        <v/>
      </c>
      <c r="E167">
        <f>INDEX(FactorTable!$B$2:$Y$301, MATCH(ROUND(MIN(300,MAX(1,D167)),0), FactorTable!$A$2:$A$301,0), Skills!L5+1)</f>
        <v/>
      </c>
      <c r="F167">
        <f>IF(Skills!M5=TRUE,(Skills!K5/10)*(E167/1000),Skills!K5/10)+Skills!N5</f>
        <v/>
      </c>
      <c r="G167">
        <f>Calc!G5</f>
        <v/>
      </c>
      <c r="H167">
        <f>Calc!H5</f>
        <v/>
      </c>
      <c r="I167">
        <f>IF(Skills!T5&lt;&gt;"",1+(Skills!T5/10)*($Z$3/1000)/100,1)</f>
        <v/>
      </c>
      <c r="J167" t="inlineStr"/>
      <c r="K167" t="inlineStr"/>
      <c r="L167" t="inlineStr"/>
      <c r="M167" t="inlineStr"/>
      <c r="N167" t="inlineStr"/>
      <c r="O167">
        <f>(1-Summary!$B$11)*S167+Summary!$B$11*U167</f>
        <v/>
      </c>
      <c r="P167">
        <f>IF(B205=0,0,O167/B205)</f>
        <v/>
      </c>
      <c r="Q167">
        <f>IFERROR(1/(IF(Inputs!$B$39="pvp",15,MAX(0.1,Skills!D5-IF(Skills!E5=TRUE,Inputs!$B$33,0)))*(1-IF(AND(ArtifactsInput!$M$27,Inputs!$B$4="Chapter Hunt"),CHOOSE(ArtifactsInput!$N$27+1,20,24,28,32,36,40),0)/100)),0)</f>
        <v/>
      </c>
      <c r="R167">
        <f>IF(AND(Inputs!$B$39&lt;&gt;"pvp",Inputs!$B$44&gt;0),IF(Inputs!$B$44&lt;=0,0,(INT(Inputs!$B$44/(IF(Inputs!$B$39="pvp",15,MAX(0.1,Skills!D5-IF(Skills!E5=TRUE,Inputs!$B$33,0)))*(1-IF(AND(ArtifactsInput!$M$27,Inputs!$B$4="Chapter Hunt"),CHOOSE(ArtifactsInput!$N$27+1,20,24,28,32,36,40),0)/100)))+1)),0)</f>
        <v/>
      </c>
      <c r="S167" t="n">
        <v>0</v>
      </c>
      <c r="U167" t="n">
        <v>0</v>
      </c>
    </row>
    <row r="168">
      <c r="A168">
        <f>Skills!A6</f>
        <v/>
      </c>
      <c r="B168">
        <f>Skills!B6</f>
        <v/>
      </c>
      <c r="C168">
        <f>Inputs!$B$3&gt;=103</f>
        <v/>
      </c>
      <c r="D168">
        <f>IF(Skills!C6=1,60+Inputs!$B$26+Inputs!$B$30,IF(Skills!C6=2,90+Inputs!$B$27+Inputs!$B$30,IF(Skills!C6=3,120+Inputs!$B$28+Inputs!$B$30,MAX(0,(Inputs!$B$3-100)*3)+Inputs!$B$29+Inputs!$B$30)))</f>
        <v/>
      </c>
      <c r="E168">
        <f>INDEX(FactorTable!$B$2:$Y$301, MATCH(ROUND(MIN(300,MAX(1,D168)),0), FactorTable!$A$2:$A$301,0), Skills!L6+1)</f>
        <v/>
      </c>
      <c r="F168">
        <f>IF(Skills!M6=TRUE,(Skills!K6/10)*(E168/1000),Skills!K6/10)+Skills!N6</f>
        <v/>
      </c>
      <c r="G168">
        <f>Calc!G6</f>
        <v/>
      </c>
      <c r="H168">
        <f>Calc!H6</f>
        <v/>
      </c>
      <c r="I168">
        <f>IF(Skills!T6&lt;&gt;"",1+(Skills!T6/10)*($Z$3/1000)/100,1)</f>
        <v/>
      </c>
      <c r="J168">
        <f>((Inputs!$B$6*(1+Inputs!$B$7/100))+(((Inputs!$B$13*(1+Inputs!$B$14/100))-(Inputs!$B$13*(1+Inputs!$B$14/100)))+0.25*(Inputs!$B$15-Inputs!$B$15))*(1+Inputs!$B$7/100))*(F168/100)</f>
        <v/>
      </c>
      <c r="K168">
        <f>J168*(1+(((Inputs!$B$13+IF(Inputs!$B$3&gt;=35,(10*INDEX(FactorTable!$B$2:$Y$301,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6="TRIUMPH_FEATHER",IF(C178=TRUE,F178,0),0)/100)*(1+IF(C189=TRUE,F189,0)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168)</f>
        <v/>
      </c>
      <c r="L168">
        <f>K168*(MIN(Inputs!$B$23+(F184-Calc!F22),(Inputs!$B$24+IF(ArtifactsInput!$M$15,CHOOSE(ArtifactsInput!$N$15+1,25,30,35,40,45,50)/100*(Inputs!$B$12-Inputs!$B$12),0)))/100+(Inputs!$B$24+IF(ArtifactsInput!$M$15,CHOOSE(ArtifactsInput!$N$15+1,25,30,35,40,45,50)/100*(Inputs!$B$12-Inputs!$B$12),0))/100)/2</f>
        <v/>
      </c>
      <c r="M168">
        <f>L168*(1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8">
        <f>L168*(1-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
        <f>(1-Summary!$B$11)*S168+Summary!$B$11*U168</f>
        <v/>
      </c>
      <c r="P168">
        <f>IF(B205=0,0,O168/B205)</f>
        <v/>
      </c>
      <c r="Q168">
        <f>IFERROR(1/(IF(Inputs!$B$39="pvp",15,MAX(0.1,Skills!D6-IF(Skills!E6=TRUE,Inputs!$B$33,0)))*(1-IF(AND(ArtifactsInput!$M$27,Inputs!$B$4="Chapter Hunt"),CHOOSE(ArtifactsInput!$N$27+1,20,24,28,32,36,40),0)/100)),0)</f>
        <v/>
      </c>
      <c r="R168">
        <f>IF(AND(Inputs!$B$39&lt;&gt;"pvp",Inputs!$B$44&gt;0),IF(MAX(0,Inputs!$B$44-B202)&lt;=0,0,(INT(MAX(0,Inputs!$B$44-B202)/(IF(Inputs!$B$39="pvp",15,MAX(0.1,Skills!D6-IF(Skills!E6=TRUE,Inputs!$B$33,0)))*(1-IF(AND(ArtifactsInput!$M$27,Inputs!$B$4="Chapter Hunt"),CHOOSE(ArtifactsInput!$N$27+1,20,24,28,32,36,40),0)/100)))+1)),0)</f>
        <v/>
      </c>
      <c r="S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$21+Skills!O6+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168*(1-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$22+Skills!P6+B194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
      <c r="A169">
        <f>Skills!A7</f>
        <v/>
      </c>
      <c r="B169">
        <f>Skills!B7</f>
        <v/>
      </c>
      <c r="C169">
        <f>Inputs!$B$3&gt;=122</f>
        <v/>
      </c>
      <c r="D169">
        <f>IF(Skills!C7=1,60+Inputs!$B$26+Inputs!$B$30,IF(Skills!C7=2,90+Inputs!$B$27+Inputs!$B$30,IF(Skills!C7=3,120+Inputs!$B$28+Inputs!$B$30,MAX(0,(Inputs!$B$3-100)*3)+Inputs!$B$29+Inputs!$B$30)))</f>
        <v/>
      </c>
      <c r="E169">
        <f>INDEX(FactorTable!$B$2:$Y$301, MATCH(ROUND(MIN(300,MAX(1,D169)),0), FactorTable!$A$2:$A$301,0), Skills!L7+1)</f>
        <v/>
      </c>
      <c r="F169">
        <f>IF(Skills!M7=TRUE,(Skills!K7/10)*(E169/1000),Skills!K7/10)+Skills!N7</f>
        <v/>
      </c>
      <c r="G169">
        <f>Calc!G7</f>
        <v/>
      </c>
      <c r="H169">
        <f>Calc!H7</f>
        <v/>
      </c>
      <c r="I169">
        <f>IF(Skills!T7&lt;&gt;"",1+(Skills!T7/10)*($Z$3/1000)/100,1)</f>
        <v/>
      </c>
      <c r="J169">
        <f>((Inputs!$B$6*(1+Inputs!$B$7/100))+(((Inputs!$B$13*(1+Inputs!$B$14/100))-(Inputs!$B$13*(1+Inputs!$B$14/100)))+0.25*(Inputs!$B$15-Inputs!$B$15))*(1+Inputs!$B$7/100))*(F169/100)</f>
        <v/>
      </c>
      <c r="K169">
        <f>J169*(1+(((Inputs!$B$13+IF(Inputs!$B$3&gt;=35,(10*INDEX(FactorTable!$B$2:$Y$301,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7="TRIUMPH_FEATHER",IF(C178=TRUE,F178,0),0)/100)*(1+IF(C189=TRUE,F189,0)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169)</f>
        <v/>
      </c>
      <c r="L169">
        <f>K169*(MIN(Inputs!$B$23+(F184-Calc!F22),(Inputs!$B$24+IF(ArtifactsInput!$M$15,CHOOSE(ArtifactsInput!$N$15+1,25,30,35,40,45,50)/100*(Inputs!$B$12-Inputs!$B$12),0)))/100+(Inputs!$B$24+IF(ArtifactsInput!$M$15,CHOOSE(ArtifactsInput!$N$15+1,25,30,35,40,45,50)/100*(Inputs!$B$12-Inputs!$B$12),0))/100)/2</f>
        <v/>
      </c>
      <c r="M169">
        <f>L169*(1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
        <f>L169*(1-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(1-Summary!$B$11)*S169+Summary!$B$11*U169</f>
        <v/>
      </c>
      <c r="P169">
        <f>IF(B205=0,0,O169/B205)</f>
        <v/>
      </c>
      <c r="Q169">
        <f>IFERROR(1/(IF(Inputs!$B$39="pvp",15,MAX(0.1,Skills!D7-IF(Skills!E6=TRUE,Inputs!$B$33,0)))*(1-IF(AND(ArtifactsInput!$M$27,Inputs!$B$4="Chapter Hunt"),CHOOSE(ArtifactsInput!$N$27+1,20,24,28,32,36,40),0)/100)),0)</f>
        <v/>
      </c>
      <c r="R169">
        <f>IF(AND(Inputs!$B$39&lt;&gt;"pvp",Inputs!$B$44&gt;0),IF(MAX(0,Inputs!$B$44-B202)&lt;=0,0,(INT(MAX(0,Inputs!$B$44-B202)/(IF(Inputs!$B$39="pvp",15,MAX(0.1,Skills!D7-IF(Skills!E6=TRUE,Inputs!$B$33,0)))*(1-IF(AND(ArtifactsInput!$M$27,Inputs!$B$4="Chapter Hunt"),CHOOSE(ArtifactsInput!$N$27+1,20,24,28,32,36,40),0)/100)))+1)),0)</f>
        <v/>
      </c>
      <c r="S169">
        <f>IF(C169,H169*N169*IF(AND(Inputs!$B$39&lt;&gt;"pvp",Inputs!$B$44&gt;0),((Skills!F7*((R169-1)*IF(Skills!G7&gt;0,Skills!H7/Skills!G7,1)+IF(Skills!G7&gt;0,MIN(Skills!H7,MAX(0,MAX(0,Inputs!$B$44-B202)-((R169-1)*(IF(Inputs!$B$39="pvp",15,MAX(0.1,Skills!D7-IF(Skills!E6=TRUE,Inputs!$B$33,0)))*(1-IF(AND(ArtifactsInput!$M$27,Inputs!$B$4="Chapter Hunt"),CHOOSE(ArtifactsInput!$N$27+1,20,24,28,32,36,40),0)/100)))))/Skills!G7,1)))/Inputs!$B$44),G169*Q169)*IF(Inputs!$B$39="pvp",1,1+(Inputs!$B$21+Skills!O7+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 t="n">
        <v>0</v>
      </c>
    </row>
    <row r="170">
      <c r="A170">
        <f>Skills!A8</f>
        <v/>
      </c>
      <c r="B170">
        <f>Skills!B8</f>
        <v/>
      </c>
      <c r="C170">
        <f>Inputs!$B$3&gt;=105</f>
        <v/>
      </c>
      <c r="D170">
        <f>IF(Skills!C8=1,60+Inputs!$B$26+Inputs!$B$30,IF(Skills!C8=2,90+Inputs!$B$27+Inputs!$B$30,IF(Skills!C8=3,120+Inputs!$B$28+Inputs!$B$30,MAX(0,(Inputs!$B$3-100)*3)+Inputs!$B$29+Inputs!$B$30)))</f>
        <v/>
      </c>
      <c r="E170">
        <f>INDEX(FactorTable!$B$2:$Y$301, MATCH(ROUND(MIN(300,MAX(1,D170)),0), FactorTable!$A$2:$A$301,0), Skills!L8+1)</f>
        <v/>
      </c>
      <c r="F170">
        <f>IF(Skills!M8=TRUE,(Skills!K8/10)*(E170/1000),Skills!K8/10)+Skills!N8</f>
        <v/>
      </c>
      <c r="G170">
        <f>Calc!G8</f>
        <v/>
      </c>
      <c r="H170">
        <f>Calc!H8</f>
        <v/>
      </c>
      <c r="I170">
        <f>IF(Skills!T8&lt;&gt;"",1+(Skills!T8/10)*($Z$3/1000)/100,1)</f>
        <v/>
      </c>
      <c r="J170">
        <f>((Inputs!$B$6*(1+Inputs!$B$7/100))+(((Inputs!$B$13*(1+Inputs!$B$14/100))-(Inputs!$B$13*(1+Inputs!$B$14/100)))+0.25*(Inputs!$B$15-Inputs!$B$15))*(1+Inputs!$B$7/100))*(F170/100)</f>
        <v/>
      </c>
      <c r="K170">
        <f>J170*(1+(((Inputs!$B$13+IF(Inputs!$B$3&gt;=35,(10*INDEX(FactorTable!$B$2:$Y$301,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8="TRIUMPH_FEATHER",IF(C178=TRUE,F178,0),0)/100)*(1+IF(C189=TRUE,F189,0)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170)</f>
        <v/>
      </c>
      <c r="L170">
        <f>K170*(MIN(Inputs!$B$23+(F184-Calc!F22),(Inputs!$B$24+IF(ArtifactsInput!$M$15,CHOOSE(ArtifactsInput!$N$15+1,25,30,35,40,45,50)/100*(Inputs!$B$12-Inputs!$B$12),0)))/100+(Inputs!$B$24+IF(ArtifactsInput!$M$15,CHOOSE(ArtifactsInput!$N$15+1,25,30,35,40,45,50)/100*(Inputs!$B$12-Inputs!$B$12),0))/100)/2</f>
        <v/>
      </c>
      <c r="M170">
        <f>L170*(1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
        <f>L170*(1-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
        <f>(1-Summary!$B$11)*S170+Summary!$B$11*U170</f>
        <v/>
      </c>
      <c r="P170">
        <f>IF(B205=0,0,O170/B205)</f>
        <v/>
      </c>
      <c r="Q170">
        <f>IFERROR(1/(IF(Inputs!$B$39="pvp",15,MAX(0.1,Skills!D8-IF(Skills!E8=TRUE,Inputs!$B$33,0)))*(1-IF(AND(ArtifactsInput!$M$27,Inputs!$B$4="Chapter Hunt"),CHOOSE(ArtifactsInput!$N$27+1,20,24,28,32,36,40),0)/100)),0)</f>
        <v/>
      </c>
      <c r="R170">
        <f>IF(AND(Inputs!$B$39&lt;&gt;"pvp",Inputs!$B$44&gt;0),IF(MAX(0,Inputs!$B$44-B202)&lt;=0,0,(INT(MAX(0,Inputs!$B$44-B202)/(IF(Inputs!$B$39="pvp",15,MAX(0.1,Skills!D8-IF(Skills!E8=TRUE,Inputs!$B$33,0)))*(1-IF(AND(ArtifactsInput!$M$27,Inputs!$B$4="Chapter Hunt"),CHOOSE(ArtifactsInput!$N$27+1,20,24,28,32,36,40),0)/100)))+1)),0)</f>
        <v/>
      </c>
      <c r="S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$21+Skills!O8+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$22+Skills!P8+B194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
      <c r="A171">
        <f>Skills!A9</f>
        <v/>
      </c>
      <c r="B171">
        <f>Skills!B9</f>
        <v/>
      </c>
      <c r="C171">
        <f>Inputs!$B$3&gt;=115</f>
        <v/>
      </c>
      <c r="D171">
        <f>IF(Skills!C9=1,60+Inputs!$B$26+Inputs!$B$30,IF(Skills!C9=2,90+Inputs!$B$27+Inputs!$B$30,IF(Skills!C9=3,120+Inputs!$B$28+Inputs!$B$30,MAX(0,(Inputs!$B$3-100)*3)+Inputs!$B$29+Inputs!$B$30)))</f>
        <v/>
      </c>
      <c r="E171">
        <f>INDEX(FactorTable!$B$2:$Y$301, MATCH(ROUND(MIN(300,MAX(1,D171)),0), FactorTable!$A$2:$A$301,0), Skills!L9+1)</f>
        <v/>
      </c>
      <c r="F171">
        <f>IF(Skills!M9=TRUE,(Skills!K9/10)*(E171/1000),Skills!K9/10)+Skills!N9</f>
        <v/>
      </c>
      <c r="G171">
        <f>Calc!G9</f>
        <v/>
      </c>
      <c r="H171">
        <f>Calc!H9</f>
        <v/>
      </c>
      <c r="I171">
        <f>IF(Skills!T9&lt;&gt;"",1+(Skills!T9/10)*($Z$3/1000)/100,1)</f>
        <v/>
      </c>
      <c r="J171">
        <f>((Inputs!$B$6*(1+Inputs!$B$7/100))+(((Inputs!$B$13*(1+Inputs!$B$14/100))-(Inputs!$B$13*(1+Inputs!$B$14/100)))+0.25*(Inputs!$B$15-Inputs!$B$15))*(1+Inputs!$B$7/100))*(F171/100)</f>
        <v/>
      </c>
      <c r="K171">
        <f>J171*(1+(((Inputs!$B$13+IF(Inputs!$B$3&gt;=35,(10*INDEX(FactorTable!$B$2:$Y$301,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9="TRIUMPH_FEATHER",IF(C178=TRUE,F178,0),0)/100)*(1+IF(C189=TRUE,F189,0)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171)</f>
        <v/>
      </c>
      <c r="L171">
        <f>K171*(MIN(Inputs!$B$23+(F184-Calc!F22),(Inputs!$B$24+IF(ArtifactsInput!$M$15,CHOOSE(ArtifactsInput!$N$15+1,25,30,35,40,45,50)/100*(Inputs!$B$12-Inputs!$B$12),0)))/100+(Inputs!$B$24+IF(ArtifactsInput!$M$15,CHOOSE(ArtifactsInput!$N$15+1,25,30,35,40,45,50)/100*(Inputs!$B$12-Inputs!$B$12),0))/100)/2</f>
        <v/>
      </c>
      <c r="M171">
        <f>L171*(1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1">
        <f>L171*(1-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
        <f>(1-Summary!$B$11)*S171+Summary!$B$11*U171</f>
        <v/>
      </c>
      <c r="P171">
        <f>IF(B205=0,0,O171/B205)</f>
        <v/>
      </c>
      <c r="Q171">
        <f>IFERROR(1/(IF(Inputs!$B$39="pvp",15,MAX(0.1,Skills!D9-IF(Skills!E9=TRUE,Inputs!$B$33,0)))*(1-IF(AND(ArtifactsInput!$M$27,Inputs!$B$4="Chapter Hunt"),CHOOSE(ArtifactsInput!$N$27+1,20,24,28,32,36,40),0)/100)),0)</f>
        <v/>
      </c>
      <c r="R171">
        <f>IF(AND(Inputs!$B$39&lt;&gt;"pvp",Inputs!$B$44&gt;0),IF(MAX(0,Inputs!$B$44-B202)&lt;=0,0,(INT(MAX(0,Inputs!$B$44-B202)/(IF(Inputs!$B$39="pvp",15,MAX(0.1,Skills!D9-IF(Skills!E9=TRUE,Inputs!$B$33,0)))*(1-IF(AND(ArtifactsInput!$M$27,Inputs!$B$4="Chapter Hunt"),CHOOSE(ArtifactsInput!$N$27+1,20,24,28,32,36,40),0)/100)))+1)),0)</f>
        <v/>
      </c>
      <c r="S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$21+Skills!O9+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171*(1-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$22+Skills!P9+B194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
      <c r="A172">
        <f>Skills!A10</f>
        <v/>
      </c>
      <c r="B172">
        <f>Skills!B10</f>
        <v/>
      </c>
      <c r="C172">
        <f>Inputs!$B$3&gt;=66</f>
        <v/>
      </c>
      <c r="D172">
        <f>IF(Skills!C10=1,60+Inputs!$B$26+Inputs!$B$30,IF(Skills!C10=2,90+Inputs!$B$27+Inputs!$B$30,IF(Skills!C10=3,120+Inputs!$B$28+Inputs!$B$30,MAX(0,(Inputs!$B$3-100)*3)+Inputs!$B$29+Inputs!$B$30)))</f>
        <v/>
      </c>
      <c r="E172">
        <f>INDEX(FactorTable!$B$2:$Y$301, MATCH(ROUND(MIN(300,MAX(1,D172)),0), FactorTable!$A$2:$A$301,0), Skills!L10+1)</f>
        <v/>
      </c>
      <c r="F172" t="n">
        <v>0</v>
      </c>
      <c r="G172">
        <f>Calc!G10</f>
        <v/>
      </c>
      <c r="H172">
        <f>Calc!H10</f>
        <v/>
      </c>
      <c r="I172">
        <f>IF(Skills!T10&lt;&gt;"",1+(Skills!T10/10)*($Z$3/1000)/100,1)</f>
        <v/>
      </c>
      <c r="J172" t="inlineStr"/>
      <c r="K172" t="inlineStr"/>
      <c r="L172" t="inlineStr"/>
      <c r="M172" t="inlineStr"/>
      <c r="N172" t="inlineStr"/>
      <c r="O172">
        <f>(1-Summary!$B$11)*S172+Summary!$B$11*U172</f>
        <v/>
      </c>
      <c r="P172">
        <f>IF(B205=0,0,O172/B205)</f>
        <v/>
      </c>
      <c r="Q172">
        <f>IFERROR(1/(IF(Inputs!$B$39="pvp",15,MAX(0.1,Skills!D10-IF(Skills!E10=TRUE,Inputs!$B$33,0)))*(1-IF(AND(ArtifactsInput!$M$27,Inputs!$B$4="Chapter Hunt"),CHOOSE(ArtifactsInput!$N$27+1,20,24,28,32,36,40),0)/100)),0)</f>
        <v/>
      </c>
      <c r="R172">
        <f>IF(AND(Inputs!$B$39&lt;&gt;"pvp",Inputs!$B$44&gt;0),IF(MAX(0,Inputs!$B$44-B202)&lt;=0,0,(INT(MAX(0,Inputs!$B$44-B202)/(IF(Inputs!$B$39="pvp",15,MAX(0.1,Skills!D10-IF(Skills!E10=TRUE,Inputs!$B$33,0)))*(1-IF(AND(ArtifactsInput!$M$27,Inputs!$B$4="Chapter Hunt"),CHOOSE(ArtifactsInput!$N$27+1,20,24,28,32,36,40),0)/100)))+1)),0)</f>
        <v/>
      </c>
      <c r="S172" t="n">
        <v>0</v>
      </c>
      <c r="U172" t="n">
        <v>0</v>
      </c>
    </row>
    <row r="173">
      <c r="A173">
        <f>Skills!A11</f>
        <v/>
      </c>
      <c r="B173">
        <f>Skills!B11</f>
        <v/>
      </c>
      <c r="C173">
        <f>Inputs!$B$3&gt;=69</f>
        <v/>
      </c>
      <c r="D173">
        <f>IF(Skills!C11=1,60+Inputs!$B$26+Inputs!$B$30,IF(Skills!C11=2,90+Inputs!$B$27+Inputs!$B$30,IF(Skills!C11=3,120+Inputs!$B$28+Inputs!$B$30,MAX(0,(Inputs!$B$3-100)*3)+Inputs!$B$29+Inputs!$B$30)))</f>
        <v/>
      </c>
      <c r="E173">
        <f>INDEX(FactorTable!$B$2:$Y$301, MATCH(ROUND(MIN(300,MAX(1,D173)),0), FactorTable!$A$2:$A$301,0), Skills!L11+1)</f>
        <v/>
      </c>
      <c r="F173">
        <f>IF(Skills!M11=TRUE,(Skills!K11/10)*(E173/1000),Skills!K11/10)+Skills!N11</f>
        <v/>
      </c>
      <c r="G173">
        <f>Calc!G11</f>
        <v/>
      </c>
      <c r="H173">
        <f>Calc!H11</f>
        <v/>
      </c>
      <c r="I173">
        <f>IF(Skills!T11&lt;&gt;"",1+(Skills!T11/10)*($Z$3/1000)/100,1)</f>
        <v/>
      </c>
      <c r="J173" t="inlineStr"/>
      <c r="K173" t="inlineStr"/>
      <c r="L173" t="inlineStr"/>
      <c r="M173" t="inlineStr"/>
      <c r="N173" t="inlineStr"/>
      <c r="O173">
        <f>(1-Summary!$B$11)*S173+Summary!$B$11*U173</f>
        <v/>
      </c>
      <c r="P173">
        <f>IF(B205=0,0,O173/B205)</f>
        <v/>
      </c>
      <c r="Q173">
        <f>IFERROR(1/(IF(Inputs!$B$39="pvp",15,MAX(0.1,Skills!D11-IF(Skills!E11=TRUE,Inputs!$B$33,0)))*(1-IF(AND(ArtifactsInput!$M$27,Inputs!$B$4="Chapter Hunt"),CHOOSE(ArtifactsInput!$N$27+1,20,24,28,32,36,40),0)/100)),0)</f>
        <v/>
      </c>
      <c r="R173">
        <f>IF(AND(Inputs!$B$39&lt;&gt;"pvp",Inputs!$B$44&gt;0),IF(Inputs!$B$44&lt;=0,0,(INT(Inputs!$B$44/(IF(Inputs!$B$39="pvp",15,MAX(0.1,Skills!D11-IF(Skills!E11=TRUE,Inputs!$B$33,0)))*(1-IF(AND(ArtifactsInput!$M$27,Inputs!$B$4="Chapter Hunt"),CHOOSE(ArtifactsInput!$N$27+1,20,24,28,32,36,40),0)/100)))+1)),0)</f>
        <v/>
      </c>
      <c r="S173" t="n">
        <v>0</v>
      </c>
      <c r="U173" t="n">
        <v>0</v>
      </c>
    </row>
    <row r="174">
      <c r="A174">
        <f>Skills!A12</f>
        <v/>
      </c>
      <c r="B174">
        <f>Skills!B12</f>
        <v/>
      </c>
      <c r="C174">
        <f>Inputs!$B$3&gt;=72</f>
        <v/>
      </c>
      <c r="D174">
        <f>IF(Skills!C12=1,60+Inputs!$B$26+Inputs!$B$30,IF(Skills!C12=2,90+Inputs!$B$27+Inputs!$B$30,IF(Skills!C12=3,120+Inputs!$B$28+Inputs!$B$30,MAX(0,(Inputs!$B$3-100)*3)+Inputs!$B$29+Inputs!$B$30)))</f>
        <v/>
      </c>
      <c r="E174">
        <f>INDEX(FactorTable!$B$2:$Y$301, MATCH(ROUND(MIN(300,MAX(1,D174)),0), FactorTable!$A$2:$A$301,0), Skills!L12+1)</f>
        <v/>
      </c>
      <c r="F174">
        <f>IF(Skills!M12=TRUE,(Skills!K12/10)*(E174/1000),Skills!K12/10)+Skills!N12</f>
        <v/>
      </c>
      <c r="G174">
        <f>Calc!G12</f>
        <v/>
      </c>
      <c r="H174">
        <f>Calc!H12</f>
        <v/>
      </c>
      <c r="I174">
        <f>IF(Skills!T12&lt;&gt;"",1+(Skills!T12/10)*($Z$3/1000)/100,1)</f>
        <v/>
      </c>
      <c r="J174" t="inlineStr"/>
      <c r="K174" t="inlineStr"/>
      <c r="L174" t="inlineStr"/>
      <c r="M174" t="inlineStr"/>
      <c r="N174" t="inlineStr"/>
      <c r="O174">
        <f>(1-Summary!$B$11)*S174+Summary!$B$11*U174</f>
        <v/>
      </c>
      <c r="P174">
        <f>IF(B205=0,0,O174/B205)</f>
        <v/>
      </c>
      <c r="Q174">
        <f>IFERROR(1/(IF(Inputs!$B$39="pvp",15,MAX(0.1,Skills!D12-IF(Skills!E12=TRUE,Inputs!$B$33,0)))*(1-IF(AND(ArtifactsInput!$M$27,Inputs!$B$4="Chapter Hunt"),CHOOSE(ArtifactsInput!$N$27+1,20,24,28,32,36,40),0)/100)),0)</f>
        <v/>
      </c>
      <c r="R174">
        <f>IF(AND(Inputs!$B$39&lt;&gt;"pvp",Inputs!$B$44&gt;0),IF(MAX(0,Inputs!$B$44-B202)&lt;=0,0,(INT(MAX(0,Inputs!$B$44-B202)/(IF(Inputs!$B$39="pvp",15,MAX(0.1,Skills!D12-IF(Skills!E12=TRUE,Inputs!$B$33,0)))*(1-IF(AND(ArtifactsInput!$M$27,Inputs!$B$4="Chapter Hunt"),CHOOSE(ArtifactsInput!$N$27+1,20,24,28,32,36,40),0)/100)))+1)),0)</f>
        <v/>
      </c>
      <c r="S174" t="n">
        <v>0</v>
      </c>
      <c r="U174" t="n">
        <v>0</v>
      </c>
    </row>
    <row r="175">
      <c r="A175">
        <f>Skills!A13</f>
        <v/>
      </c>
      <c r="B175">
        <f>Skills!B13</f>
        <v/>
      </c>
      <c r="C175">
        <f>Inputs!$B$3&gt;=60</f>
        <v/>
      </c>
      <c r="D175">
        <f>IF(Skills!C13=1,60+Inputs!$B$26+Inputs!$B$30,IF(Skills!C13=2,90+Inputs!$B$27+Inputs!$B$30,IF(Skills!C13=3,120+Inputs!$B$28+Inputs!$B$30,MAX(0,(Inputs!$B$3-100)*3)+Inputs!$B$29+Inputs!$B$30)))</f>
        <v/>
      </c>
      <c r="E175">
        <f>INDEX(FactorTable!$B$2:$Y$301, MATCH(ROUND(MIN(300,MAX(1,D175)),0), FactorTable!$A$2:$A$301,0), Skills!L13+1)</f>
        <v/>
      </c>
      <c r="F175">
        <f>IF(Skills!M13=TRUE,(Skills!K13/10)*(E175/1000),Skills!K13/10)+Skills!N13</f>
        <v/>
      </c>
      <c r="G175">
        <f>Calc!G13</f>
        <v/>
      </c>
      <c r="H175">
        <f>Calc!H13</f>
        <v/>
      </c>
      <c r="I175">
        <f>IF(Skills!T13&lt;&gt;"",1+(Skills!T13/10)*($Z$3/1000)/100,1)</f>
        <v/>
      </c>
      <c r="J175" t="inlineStr"/>
      <c r="K175" t="inlineStr"/>
      <c r="L175" t="inlineStr"/>
      <c r="M175" t="inlineStr"/>
      <c r="N175" t="inlineStr"/>
      <c r="O175">
        <f>(1-Summary!$B$11)*S175+Summary!$B$11*U175</f>
        <v/>
      </c>
      <c r="P175">
        <f>IF(B205=0,0,O175/B205)</f>
        <v/>
      </c>
      <c r="Q175">
        <f>IFERROR(1/(IF(Inputs!$B$39="pvp",15,MAX(0.1,Skills!D13-IF(Skills!E13=TRUE,Inputs!$B$33,0)))*(1-IF(AND(ArtifactsInput!$M$27,Inputs!$B$4="Chapter Hunt"),CHOOSE(ArtifactsInput!$N$27+1,20,24,28,32,36,40),0)/100)),0)</f>
        <v/>
      </c>
      <c r="R175">
        <f>IF(AND(Inputs!$B$39&lt;&gt;"pvp",Inputs!$B$44&gt;0),IF(MAX(0,Inputs!$B$44-B202)&lt;=0,0,(INT(MAX(0,Inputs!$B$44-B202)/(IF(Inputs!$B$39="pvp",15,MAX(0.1,Skills!D13-IF(Skills!E13=TRUE,Inputs!$B$33,0)))*(1-IF(AND(ArtifactsInput!$M$27,Inputs!$B$4="Chapter Hunt"),CHOOSE(ArtifactsInput!$N$27+1,20,24,28,32,36,40),0)/100)))+1)),0)</f>
        <v/>
      </c>
      <c r="S175" t="n">
        <v>0</v>
      </c>
      <c r="U175" t="n">
        <v>0</v>
      </c>
    </row>
    <row r="176">
      <c r="A176">
        <f>Skills!A14</f>
        <v/>
      </c>
      <c r="B176">
        <f>Skills!B14</f>
        <v/>
      </c>
      <c r="C176">
        <f>Inputs!$B$3&gt;=107</f>
        <v/>
      </c>
      <c r="D176">
        <f>IF(Skills!C14=1,60+Inputs!$B$26+Inputs!$B$30,IF(Skills!C14=2,90+Inputs!$B$27+Inputs!$B$30,IF(Skills!C14=3,120+Inputs!$B$28+Inputs!$B$30,MAX(0,(Inputs!$B$3-100)*3)+Inputs!$B$29+Inputs!$B$30)))</f>
        <v/>
      </c>
      <c r="E176">
        <f>INDEX(FactorTable!$B$2:$Y$301, MATCH(ROUND(MIN(300,MAX(1,D176)),0), FactorTable!$A$2:$A$301,0), Skills!L14+1)</f>
        <v/>
      </c>
      <c r="F176">
        <f>IF(Skills!M14=TRUE,(Skills!K14/10)*(E176/1000),Skills!K14/10)+Skills!N14</f>
        <v/>
      </c>
      <c r="G176">
        <f>Calc!G14</f>
        <v/>
      </c>
      <c r="H176">
        <f>Calc!H14</f>
        <v/>
      </c>
      <c r="I176">
        <f>IF(Skills!T14&lt;&gt;"",1+(Skills!T14/10)*($Z$3/1000)/100,1)</f>
        <v/>
      </c>
      <c r="J176" t="inlineStr"/>
      <c r="K176" t="inlineStr"/>
      <c r="L176" t="inlineStr"/>
      <c r="M176" t="inlineStr"/>
      <c r="N176" t="inlineStr"/>
      <c r="O176">
        <f>(1-Summary!$B$11)*S176+Summary!$B$11*U176</f>
        <v/>
      </c>
      <c r="P176">
        <f>IF(B205=0,0,O176/B205)</f>
        <v/>
      </c>
      <c r="Q176">
        <f>IFERROR(1/(IF(Inputs!$B$39="pvp",15,MAX(0.1,Skills!D14-IF(Skills!E14=TRUE,Inputs!$B$33,0)))*(1-IF(AND(ArtifactsInput!$M$27,Inputs!$B$4="Chapter Hunt"),CHOOSE(ArtifactsInput!$N$27+1,20,24,28,32,36,40),0)/100)),0)</f>
        <v/>
      </c>
      <c r="R176">
        <f>IF(AND(Inputs!$B$39&lt;&gt;"pvp",Inputs!$B$44&gt;0),IF(Inputs!$B$44&lt;=0,0,(INT(Inputs!$B$44/(IF(Inputs!$B$39="pvp",15,MAX(0.1,Skills!D14-IF(Skills!E14=TRUE,Inputs!$B$33,0)))*(1-IF(AND(ArtifactsInput!$M$27,Inputs!$B$4="Chapter Hunt"),CHOOSE(ArtifactsInput!$N$27+1,20,24,28,32,36,40),0)/100)))+1)),0)</f>
        <v/>
      </c>
      <c r="S176" t="n">
        <v>0</v>
      </c>
      <c r="U176" t="n">
        <v>0</v>
      </c>
    </row>
    <row r="177">
      <c r="A177">
        <f>Skills!A15</f>
        <v/>
      </c>
      <c r="B177">
        <f>Skills!B15</f>
        <v/>
      </c>
      <c r="C177">
        <f>Inputs!$B$3&gt;=63</f>
        <v/>
      </c>
      <c r="D177">
        <f>IF(Skills!C15=1,60+Inputs!$B$26+Inputs!$B$30,IF(Skills!C15=2,90+Inputs!$B$27+Inputs!$B$30,IF(Skills!C15=3,120+Inputs!$B$28+Inputs!$B$30,MAX(0,(Inputs!$B$3-100)*3)+Inputs!$B$29+Inputs!$B$30)))</f>
        <v/>
      </c>
      <c r="E177">
        <f>INDEX(FactorTable!$B$2:$Y$301, MATCH(ROUND(MIN(300,MAX(1,D177)),0), FactorTable!$A$2:$A$301,0), Skills!L15+1)</f>
        <v/>
      </c>
      <c r="F177">
        <f>IF(Skills!M15=TRUE,(Skills!K15/10)*(E177/1000),Skills!K15/10)+Skills!N15</f>
        <v/>
      </c>
      <c r="G177">
        <f>Calc!G15</f>
        <v/>
      </c>
      <c r="H177">
        <f>Calc!H15</f>
        <v/>
      </c>
      <c r="I177">
        <f>IF(Skills!T15&lt;&gt;"",1+(Skills!T15/10)*($Z$3/1000)/100,1)</f>
        <v/>
      </c>
      <c r="J177">
        <f>((Inputs!$B$6*(1+Inputs!$B$7/100))+(((Inputs!$B$13*(1+Inputs!$B$14/100))-(Inputs!$B$13*(1+Inputs!$B$14/100)))+0.25*(Inputs!$B$15-Inputs!$B$15))*(1+Inputs!$B$7/100))*(F177/100)</f>
        <v/>
      </c>
      <c r="K177">
        <f>J177*(1+(((Inputs!$B$13+IF(Inputs!$B$3&gt;=35,(10*INDEX(FactorTable!$B$2:$Y$301,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15="TRIUMPH_FEATHER",IF(C178=TRUE,F178,0),0)/100)*(1+IF(C189=TRUE,F189,0)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177)</f>
        <v/>
      </c>
      <c r="L177">
        <f>K177*(MIN(Inputs!$B$23+(F184-Calc!F22),(Inputs!$B$24+IF(ArtifactsInput!$M$15,CHOOSE(ArtifactsInput!$N$15+1,25,30,35,40,45,50)/100*(Inputs!$B$12-Inputs!$B$12),0)))/100+(Inputs!$B$24+IF(ArtifactsInput!$M$15,CHOOSE(ArtifactsInput!$N$15+1,25,30,35,40,45,50)/100*(Inputs!$B$12-Inputs!$B$12),0))/100)/2</f>
        <v/>
      </c>
      <c r="M177">
        <f>L177*(1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7">
        <f>L177*(1-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
        <f>(1-Summary!$B$11)*S177+Summary!$B$11*U177</f>
        <v/>
      </c>
      <c r="P177">
        <f>IF(B205=0,0,O177/B205)</f>
        <v/>
      </c>
      <c r="Q177">
        <f>IFERROR(1/(IF(Inputs!$B$39="pvp",15,MAX(0.1,Skills!D15-IF(Skills!E15=TRUE,Inputs!$B$33,0)))*(1-IF(AND(ArtifactsInput!$M$27,Inputs!$B$4="Chapter Hunt"),CHOOSE(ArtifactsInput!$N$27+1,20,24,28,32,36,40),0)/100)),0)</f>
        <v/>
      </c>
      <c r="R177" t="n">
        <v>0</v>
      </c>
      <c r="S177">
        <f>IF(C177,(Skills!F15*N177*((IF(Inputs!$B$3&gt;=78,25,15)/100*B198*10)/(1+IF(Inputs!$B$3&gt;=78,25,15)/100*B198*10))*(Skills!I15/100*B198)/(1+Skills!G15*Skills!I15/100*B198))*IF(Inputs!$B$39="pvp",1,1+(Inputs!$B$21+Skills!O15+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
        <f>IF(C177,(Skills!F15*N177*((IF(Inputs!$B$3&gt;=78,25,15)/100*B198*10)/(1+IF(Inputs!$B$3&gt;=78,25,15)/100*B198*10))*(Skills!I15/100*B198)/(1+Skills!G15*Skills!I15/100*B198))*IF(Inputs!$B$39="pvp",1,(1+(Inputs!$B$22+Skills!P15+B194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
      <c r="A178">
        <f>Skills!A16</f>
        <v/>
      </c>
      <c r="B178">
        <f>Skills!B16</f>
        <v/>
      </c>
      <c r="C178">
        <f>Inputs!$B$3&gt;=100</f>
        <v/>
      </c>
      <c r="D178">
        <f>IF(Skills!C16=1,60+Inputs!$B$26+Inputs!$B$30,IF(Skills!C16=2,90+Inputs!$B$27+Inputs!$B$30,IF(Skills!C16=3,120+Inputs!$B$28+Inputs!$B$30,MAX(0,(Inputs!$B$3-100)*3)+Inputs!$B$29+Inputs!$B$30)))</f>
        <v/>
      </c>
      <c r="E178">
        <f>INDEX(FactorTable!$B$2:$Y$301, MATCH(ROUND(MIN(300,MAX(1,D178)),0), FactorTable!$A$2:$A$301,0), Skills!L16+1)</f>
        <v/>
      </c>
      <c r="F178">
        <f>IF(Skills!M16=TRUE,(Skills!K16/10)*(E178/1000),Skills!K16/10)+Skills!N16</f>
        <v/>
      </c>
      <c r="G178">
        <f>Calc!G16</f>
        <v/>
      </c>
      <c r="H178">
        <f>Calc!H16</f>
        <v/>
      </c>
      <c r="I178">
        <f>IF(Skills!T16&lt;&gt;"",1+(Skills!T16/10)*($Z$3/1000)/100,1)</f>
        <v/>
      </c>
      <c r="J178" t="inlineStr"/>
      <c r="K178" t="inlineStr"/>
      <c r="L178" t="inlineStr"/>
      <c r="M178" t="inlineStr"/>
      <c r="N178" t="inlineStr"/>
      <c r="O178">
        <f>(1-Summary!$B$11)*S178+Summary!$B$11*U178</f>
        <v/>
      </c>
      <c r="P178">
        <f>IF(B205=0,0,O178/B205)</f>
        <v/>
      </c>
      <c r="Q178">
        <f>IFERROR(1/(IF(Inputs!$B$39="pvp",15,MAX(0.1,Skills!D16-IF(Skills!E16=TRUE,Inputs!$B$33,0)))*(1-IF(AND(ArtifactsInput!$M$27,Inputs!$B$4="Chapter Hunt"),CHOOSE(ArtifactsInput!$N$27+1,20,24,28,32,36,40),0)/100)),0)</f>
        <v/>
      </c>
      <c r="R178" t="n">
        <v>0</v>
      </c>
      <c r="S178" t="n">
        <v>0</v>
      </c>
      <c r="U178" t="n">
        <v>0</v>
      </c>
    </row>
    <row r="179">
      <c r="A179">
        <f>Skills!A17</f>
        <v/>
      </c>
      <c r="B179">
        <f>Skills!B17</f>
        <v/>
      </c>
      <c r="C179">
        <f>Inputs!$B$3&gt;=49</f>
        <v/>
      </c>
      <c r="D179">
        <f>IF(Skills!C17=1,60+Inputs!$B$26+Inputs!$B$30,IF(Skills!C17=2,90+Inputs!$B$27+Inputs!$B$30,IF(Skills!C17=3,120+Inputs!$B$28+Inputs!$B$30,MAX(0,(Inputs!$B$3-100)*3)+Inputs!$B$29+Inputs!$B$30)))</f>
        <v/>
      </c>
      <c r="E179">
        <f>INDEX(FactorTable!$B$2:$Y$301, MATCH(ROUND(MIN(300,MAX(1,D179)),0), FactorTable!$A$2:$A$301,0), Skills!L17+1)</f>
        <v/>
      </c>
      <c r="F179">
        <f>IF(Skills!M17=TRUE,(Skills!K17/10)*(E179/1000),Skills!K17/10)+Skills!N17</f>
        <v/>
      </c>
      <c r="G179">
        <f>Calc!G17</f>
        <v/>
      </c>
      <c r="H179">
        <f>Calc!H17</f>
        <v/>
      </c>
      <c r="I179">
        <f>IF(Skills!T17&lt;&gt;"",1+(Skills!T17/10)*($Z$3/1000)/100,1)</f>
        <v/>
      </c>
      <c r="J179" t="inlineStr"/>
      <c r="K179" t="inlineStr"/>
      <c r="L179" t="inlineStr"/>
      <c r="M179" t="inlineStr"/>
      <c r="N179" t="inlineStr"/>
      <c r="O179">
        <f>(1-Summary!$B$11)*S179+Summary!$B$11*U179</f>
        <v/>
      </c>
      <c r="P179">
        <f>IF(B205=0,0,O179/B205)</f>
        <v/>
      </c>
      <c r="Q179">
        <f>IFERROR(1/(IF(Inputs!$B$39="pvp",15,MAX(0.1,Skills!D17-IF(Skills!E17=TRUE,Inputs!$B$33,0)))*(1-IF(AND(ArtifactsInput!$M$27,Inputs!$B$4="Chapter Hunt"),CHOOSE(ArtifactsInput!$N$27+1,20,24,28,32,36,40),0)/100)),0)</f>
        <v/>
      </c>
      <c r="R179" t="n">
        <v>0</v>
      </c>
      <c r="S179" t="n">
        <v>0</v>
      </c>
      <c r="U179" t="n">
        <v>0</v>
      </c>
    </row>
    <row r="180">
      <c r="A180">
        <f>Skills!A18</f>
        <v/>
      </c>
      <c r="B180">
        <f>Skills!B18</f>
        <v/>
      </c>
      <c r="C180">
        <f>Inputs!$B$3&gt;=75</f>
        <v/>
      </c>
      <c r="D180">
        <f>IF(Skills!C18=1,60+Inputs!$B$26+Inputs!$B$30,IF(Skills!C18=2,90+Inputs!$B$27+Inputs!$B$30,IF(Skills!C18=3,120+Inputs!$B$28+Inputs!$B$30,MAX(0,(Inputs!$B$3-100)*3)+Inputs!$B$29+Inputs!$B$30)))</f>
        <v/>
      </c>
      <c r="E180">
        <f>INDEX(FactorTable!$B$2:$Y$301, MATCH(ROUND(MIN(300,MAX(1,D180)),0), FactorTable!$A$2:$A$301,0), Skills!L18+1)</f>
        <v/>
      </c>
      <c r="F180">
        <f>IF(Skills!M18=TRUE,(Skills!K18/10)*(E180/1000),Skills!K18/10)+Skills!N18</f>
        <v/>
      </c>
      <c r="G180">
        <f>Calc!G18</f>
        <v/>
      </c>
      <c r="H180">
        <f>Calc!H18</f>
        <v/>
      </c>
      <c r="I180">
        <f>IF(Skills!T18&lt;&gt;"",1+(Skills!T18/10)*($Z$3/1000)/100,1)</f>
        <v/>
      </c>
      <c r="J180" t="inlineStr"/>
      <c r="K180" t="inlineStr"/>
      <c r="L180" t="inlineStr"/>
      <c r="M180" t="inlineStr"/>
      <c r="N180" t="inlineStr"/>
      <c r="O180">
        <f>(1-Summary!$B$11)*S180+Summary!$B$11*U180</f>
        <v/>
      </c>
      <c r="P180">
        <f>IF(B205=0,0,O180/B205)</f>
        <v/>
      </c>
      <c r="Q180">
        <f>IFERROR(1/(IF(Inputs!$B$39="pvp",15,MAX(0.1,Skills!D18-IF(Skills!E18=TRUE,Inputs!$B$33,0)))*(1-IF(AND(ArtifactsInput!$M$27,Inputs!$B$4="Chapter Hunt"),CHOOSE(ArtifactsInput!$N$27+1,20,24,28,32,36,40),0)/100)),0)</f>
        <v/>
      </c>
      <c r="R180" t="n">
        <v>0</v>
      </c>
      <c r="S180" t="n">
        <v>0</v>
      </c>
      <c r="U180" t="n">
        <v>0</v>
      </c>
    </row>
    <row r="181">
      <c r="A181">
        <f>Skills!A19</f>
        <v/>
      </c>
      <c r="B181">
        <f>Skills!B19</f>
        <v/>
      </c>
      <c r="C181">
        <f>Inputs!$B$3&gt;=110</f>
        <v/>
      </c>
      <c r="D181">
        <f>IF(Skills!C19=1,60+Inputs!$B$26+Inputs!$B$30,IF(Skills!C19=2,90+Inputs!$B$27+Inputs!$B$30,IF(Skills!C19=3,120+Inputs!$B$28+Inputs!$B$30,MAX(0,(Inputs!$B$3-100)*3)+Inputs!$B$29+Inputs!$B$30)))</f>
        <v/>
      </c>
      <c r="E181">
        <f>INDEX(FactorTable!$B$2:$Y$301, MATCH(ROUND(MIN(300,MAX(1,D181)),0), FactorTable!$A$2:$A$301,0), Skills!L19+1)</f>
        <v/>
      </c>
      <c r="F181">
        <f>(Skills!K19/10)*(E181/1000)*64/45+Skills!N19</f>
        <v/>
      </c>
      <c r="G181">
        <f>Calc!G19</f>
        <v/>
      </c>
      <c r="H181">
        <f>Calc!H19</f>
        <v/>
      </c>
      <c r="I181">
        <f>IF(Skills!T19&lt;&gt;"",1+(Skills!T19/10)*($Z$3/1000)/100,1)</f>
        <v/>
      </c>
      <c r="J181" t="inlineStr"/>
      <c r="K181" t="inlineStr"/>
      <c r="L181" t="inlineStr"/>
      <c r="M181" t="inlineStr"/>
      <c r="N181" t="inlineStr"/>
      <c r="O181">
        <f>(1-Summary!$B$11)*S181+Summary!$B$11*U181</f>
        <v/>
      </c>
      <c r="P181">
        <f>IF(B205=0,0,O181/B205)</f>
        <v/>
      </c>
      <c r="Q181">
        <f>IFERROR(1/(IF(Inputs!$B$39="pvp",15,MAX(0.1,Skills!D19-IF(Skills!E19=TRUE,Inputs!$B$33,0)))*(1-IF(AND(ArtifactsInput!$M$27,Inputs!$B$4="Chapter Hunt"),CHOOSE(ArtifactsInput!$N$27+1,20,24,28,32,36,40),0)/100)),0)</f>
        <v/>
      </c>
      <c r="R181">
        <f>IF(AND(Inputs!$B$39&lt;&gt;"pvp",Inputs!$B$44&gt;0),IF(Inputs!$B$44&lt;=0,0,(INT(Inputs!$B$44/(IF(Inputs!$B$39="pvp",15,MAX(0.1,Skills!D19-IF(Skills!E19=TRUE,Inputs!$B$33,0)))*(1-IF(AND(ArtifactsInput!$M$27,Inputs!$B$4="Chapter Hunt"),CHOOSE(ArtifactsInput!$N$27+1,20,24,28,32,36,40),0)/100)))+1)),0)</f>
        <v/>
      </c>
      <c r="S181" t="n">
        <v>0</v>
      </c>
      <c r="U181" t="n">
        <v>0</v>
      </c>
    </row>
    <row r="182">
      <c r="A182">
        <f>Skills!A20</f>
        <v/>
      </c>
      <c r="B182">
        <f>Skills!B20</f>
        <v/>
      </c>
      <c r="C182">
        <f>Inputs!$B$3&gt;=125</f>
        <v/>
      </c>
      <c r="D182">
        <f>IF(Skills!C20=1,60+Inputs!$B$26+Inputs!$B$30,IF(Skills!C20=2,90+Inputs!$B$27+Inputs!$B$30,IF(Skills!C20=3,120+Inputs!$B$28+Inputs!$B$30,MAX(0,(Inputs!$B$3-100)*3)+Inputs!$B$29+Inputs!$B$30)))</f>
        <v/>
      </c>
      <c r="E182">
        <f>INDEX(FactorTable!$B$2:$Y$301, MATCH(ROUND(MIN(300,MAX(1,D182)),0), FactorTable!$A$2:$A$301,0), Skills!L20+1)</f>
        <v/>
      </c>
      <c r="F182">
        <f>IF(Skills!M20=TRUE,(Skills!K20/10)*(E182/1000),Skills!K20/10)+Skills!N20</f>
        <v/>
      </c>
      <c r="G182">
        <f>Calc!G20</f>
        <v/>
      </c>
      <c r="H182">
        <f>Calc!H20</f>
        <v/>
      </c>
      <c r="I182">
        <f>IF(Skills!T20&lt;&gt;"",1+(Skills!T20/10)*($Z$3/1000)/100,1)</f>
        <v/>
      </c>
      <c r="J182" t="inlineStr"/>
      <c r="K182" t="inlineStr"/>
      <c r="L182" t="inlineStr"/>
      <c r="M182" t="inlineStr"/>
      <c r="N182" t="inlineStr"/>
      <c r="O182">
        <f>(1-Summary!$B$11)*S182+Summary!$B$11*U182</f>
        <v/>
      </c>
      <c r="P182">
        <f>IF(B205=0,0,O182/B205)</f>
        <v/>
      </c>
      <c r="Q182">
        <f>IFERROR(1/(IF(Inputs!$B$39="pvp",15,MAX(0.1,Skills!D20-IF(Skills!E20=TRUE,Inputs!$B$33,0)))*(1-IF(AND(ArtifactsInput!$M$27,Inputs!$B$4="Chapter Hunt"),CHOOSE(ArtifactsInput!$N$27+1,20,24,28,32,36,40),0)/100)),0)</f>
        <v/>
      </c>
      <c r="R182" t="n">
        <v>0</v>
      </c>
      <c r="S182" t="n">
        <v>0</v>
      </c>
      <c r="U182" t="n">
        <v>0</v>
      </c>
    </row>
    <row r="183">
      <c r="A183">
        <f>Skills!A21</f>
        <v/>
      </c>
      <c r="B183">
        <f>Skills!B21</f>
        <v/>
      </c>
      <c r="C183">
        <f>Inputs!$B$3&gt;=33</f>
        <v/>
      </c>
      <c r="D183">
        <f>IF(Skills!C21=1,60+Inputs!$B$26+Inputs!$B$30,IF(Skills!C21=2,90+Inputs!$B$27+Inputs!$B$30,IF(Skills!C21=3,120+Inputs!$B$28+Inputs!$B$30,MAX(0,(Inputs!$B$3-100)*3)+Inputs!$B$29+Inputs!$B$30)))</f>
        <v/>
      </c>
      <c r="E183">
        <f>INDEX(FactorTable!$B$2:$Y$301, MATCH(ROUND(MIN(300,MAX(1,D183)),0), FactorTable!$A$2:$A$301,0), Skills!L21+1)</f>
        <v/>
      </c>
      <c r="F183">
        <f>IF(Skills!M21=TRUE,(Skills!K21/10)*(E183/1000),Skills!K21/10)+Skills!N21</f>
        <v/>
      </c>
      <c r="G183">
        <f>Calc!G21</f>
        <v/>
      </c>
      <c r="H183">
        <f>Calc!H21</f>
        <v/>
      </c>
      <c r="I183">
        <f>IF(Skills!T21&lt;&gt;"",1+(Skills!T21/10)*($Z$3/1000)/100,1)</f>
        <v/>
      </c>
      <c r="J183" t="inlineStr"/>
      <c r="K183" t="inlineStr"/>
      <c r="L183" t="inlineStr"/>
      <c r="M183" t="inlineStr"/>
      <c r="N183" t="inlineStr"/>
      <c r="O183">
        <f>(1-Summary!$B$11)*S183+Summary!$B$11*U183</f>
        <v/>
      </c>
      <c r="P183">
        <f>IF(B205=0,0,O183/B205)</f>
        <v/>
      </c>
      <c r="Q183">
        <f>IFERROR(1/(IF(Inputs!$B$39="pvp",15,MAX(0.1,Skills!D21-IF(Skills!E21=TRUE,Inputs!$B$33,0)))*(1-IF(AND(ArtifactsInput!$M$27,Inputs!$B$4="Chapter Hunt"),CHOOSE(ArtifactsInput!$N$27+1,20,24,28,32,36,40),0)/100)),0)</f>
        <v/>
      </c>
      <c r="R183" t="n">
        <v>0</v>
      </c>
      <c r="S183" t="n">
        <v>0</v>
      </c>
      <c r="U183" t="n">
        <v>0</v>
      </c>
    </row>
    <row r="184">
      <c r="A184">
        <f>Skills!A22</f>
        <v/>
      </c>
      <c r="B184">
        <f>Skills!B22</f>
        <v/>
      </c>
      <c r="C184">
        <f>Inputs!$B$3&gt;=43</f>
        <v/>
      </c>
      <c r="D184">
        <f>IF(Skills!C22=1,60+Inputs!$B$26+Inputs!$B$30,IF(Skills!C22=2,90+Inputs!$B$27+Inputs!$B$30,IF(Skills!C22=3,120+Inputs!$B$28+Inputs!$B$30,MAX(0,(Inputs!$B$3-100)*3)+Inputs!$B$29+Inputs!$B$30)))</f>
        <v/>
      </c>
      <c r="E184">
        <f>INDEX(FactorTable!$B$2:$Y$301, MATCH(ROUND(MIN(300,MAX(1,D184)),0), FactorTable!$A$2:$A$301,0), Skills!L22+1)</f>
        <v/>
      </c>
      <c r="F184">
        <f>IF(Skills!M22=TRUE,(Skills!K22/10)*(E184/1000),Skills!K22/10)+Skills!N22</f>
        <v/>
      </c>
      <c r="G184">
        <f>Calc!G22</f>
        <v/>
      </c>
      <c r="H184">
        <f>Calc!H22</f>
        <v/>
      </c>
      <c r="I184">
        <f>IF(Skills!T22&lt;&gt;"",1+(Skills!T22/10)*($Z$3/1000)/100,1)</f>
        <v/>
      </c>
      <c r="J184" t="inlineStr"/>
      <c r="K184" t="inlineStr"/>
      <c r="L184" t="inlineStr"/>
      <c r="M184" t="inlineStr"/>
      <c r="N184" t="inlineStr"/>
      <c r="O184">
        <f>(1-Summary!$B$11)*S184+Summary!$B$11*U184</f>
        <v/>
      </c>
      <c r="P184">
        <f>IF(B205=0,0,O184/B205)</f>
        <v/>
      </c>
      <c r="Q184">
        <f>IFERROR(1/(IF(Inputs!$B$39="pvp",15,MAX(0.1,Skills!D22-IF(Skills!E22=TRUE,Inputs!$B$33,0)))*(1-IF(AND(ArtifactsInput!$M$27,Inputs!$B$4="Chapter Hunt"),CHOOSE(ArtifactsInput!$N$27+1,20,24,28,32,36,40),0)/100)),0)</f>
        <v/>
      </c>
      <c r="R184" t="n">
        <v>0</v>
      </c>
      <c r="S184" t="n">
        <v>0</v>
      </c>
      <c r="U184" t="n">
        <v>0</v>
      </c>
    </row>
    <row r="185">
      <c r="A185">
        <f>Skills!A23</f>
        <v/>
      </c>
      <c r="B185">
        <f>Skills!B23</f>
        <v/>
      </c>
      <c r="C185">
        <f>Inputs!$B$3&gt;=50</f>
        <v/>
      </c>
      <c r="D185">
        <f>IF(Skills!C23=1,60+Inputs!$B$26+Inputs!$B$30,IF(Skills!C23=2,90+Inputs!$B$27+Inputs!$B$30,IF(Skills!C23=3,120+Inputs!$B$28+Inputs!$B$30,MAX(0,(Inputs!$B$3-100)*3)+Inputs!$B$29+Inputs!$B$30)))</f>
        <v/>
      </c>
      <c r="E185">
        <f>INDEX(FactorTable!$B$2:$Y$301, MATCH(ROUND(MIN(300,MAX(1,D185)),0), FactorTable!$A$2:$A$301,0), Skills!L23+1)</f>
        <v/>
      </c>
      <c r="F185">
        <f>IF(Skills!M23=TRUE,(Skills!K23/10)*(E185/1000),Skills!K23/10)+Skills!N23</f>
        <v/>
      </c>
      <c r="G185">
        <f>Calc!G23</f>
        <v/>
      </c>
      <c r="H185">
        <f>Calc!H23</f>
        <v/>
      </c>
      <c r="I185">
        <f>IF(Skills!T23&lt;&gt;"",1+(Skills!T23/10)*($Z$3/1000)/100,1)</f>
        <v/>
      </c>
      <c r="J185" t="inlineStr"/>
      <c r="K185" t="inlineStr"/>
      <c r="L185" t="inlineStr"/>
      <c r="M185" t="inlineStr"/>
      <c r="N185" t="inlineStr"/>
      <c r="O185">
        <f>(1-Summary!$B$11)*S185+Summary!$B$11*U185</f>
        <v/>
      </c>
      <c r="P185">
        <f>IF(B205=0,0,O185/B205)</f>
        <v/>
      </c>
      <c r="Q185">
        <f>IFERROR(1/(IF(Inputs!$B$39="pvp",15,MAX(0.1,Skills!D23-IF(Skills!E23=TRUE,Inputs!$B$33,0)))*(1-IF(AND(ArtifactsInput!$M$27,Inputs!$B$4="Chapter Hunt"),CHOOSE(ArtifactsInput!$N$27+1,20,24,28,32,36,40),0)/100)),0)</f>
        <v/>
      </c>
      <c r="R185" t="n">
        <v>0</v>
      </c>
      <c r="S185" t="n">
        <v>0</v>
      </c>
      <c r="U185" t="n">
        <v>0</v>
      </c>
    </row>
    <row r="186">
      <c r="A186">
        <f>Skills!A24</f>
        <v/>
      </c>
      <c r="B186">
        <f>Skills!B24</f>
        <v/>
      </c>
      <c r="C186">
        <f>Inputs!$B$3&gt;=74</f>
        <v/>
      </c>
      <c r="D186">
        <f>IF(Skills!C24=1,60+Inputs!$B$26+Inputs!$B$30,IF(Skills!C24=2,90+Inputs!$B$27+Inputs!$B$30,IF(Skills!C24=3,120+Inputs!$B$28+Inputs!$B$30,MAX(0,(Inputs!$B$3-100)*3)+Inputs!$B$29+Inputs!$B$30)))</f>
        <v/>
      </c>
      <c r="E186">
        <f>INDEX(FactorTable!$B$2:$Y$301, MATCH(ROUND(MIN(300,MAX(1,D186)),0), FactorTable!$A$2:$A$301,0), Skills!L24+1)</f>
        <v/>
      </c>
      <c r="F186">
        <f>IF(Skills!M24=TRUE,(Skills!K24/10)*(E186/1000),Skills!K24/10)+Skills!N24</f>
        <v/>
      </c>
      <c r="G186">
        <f>Calc!G24</f>
        <v/>
      </c>
      <c r="H186">
        <f>Calc!H24</f>
        <v/>
      </c>
      <c r="I186">
        <f>IF(Skills!T24&lt;&gt;"",1+(Skills!T24/10)*($Z$3/1000)/100,1)</f>
        <v/>
      </c>
      <c r="J186" t="inlineStr"/>
      <c r="K186" t="inlineStr"/>
      <c r="L186" t="inlineStr"/>
      <c r="M186" t="inlineStr"/>
      <c r="N186" t="inlineStr"/>
      <c r="O186">
        <f>(1-Summary!$B$11)*S186+Summary!$B$11*U186</f>
        <v/>
      </c>
      <c r="P186">
        <f>IF(B205=0,0,O186/B205)</f>
        <v/>
      </c>
      <c r="Q186">
        <f>IFERROR(1/(IF(Inputs!$B$39="pvp",15,MAX(0.1,Skills!D24-IF(Skills!E24=TRUE,Inputs!$B$33,0)))*(1-IF(AND(ArtifactsInput!$M$27,Inputs!$B$4="Chapter Hunt"),CHOOSE(ArtifactsInput!$N$27+1,20,24,28,32,36,40),0)/100)),0)</f>
        <v/>
      </c>
      <c r="R186" t="n">
        <v>0</v>
      </c>
      <c r="S186" t="n">
        <v>0</v>
      </c>
      <c r="U186" t="n">
        <v>0</v>
      </c>
    </row>
    <row r="187">
      <c r="A187">
        <f>Skills!A25</f>
        <v/>
      </c>
      <c r="B187">
        <f>Skills!B25</f>
        <v/>
      </c>
      <c r="C187">
        <f>Inputs!$B$3&gt;=74</f>
        <v/>
      </c>
      <c r="D187">
        <f>IF(Skills!C25=1,60+Inputs!$B$26+Inputs!$B$30,IF(Skills!C25=2,90+Inputs!$B$27+Inputs!$B$30,IF(Skills!C25=3,120+Inputs!$B$28+Inputs!$B$30,MAX(0,(Inputs!$B$3-100)*3)+Inputs!$B$29+Inputs!$B$30)))</f>
        <v/>
      </c>
      <c r="E187">
        <f>INDEX(FactorTable!$B$2:$Y$301, MATCH(ROUND(MIN(300,MAX(1,D187)),0), FactorTable!$A$2:$A$301,0), Skills!L25+1)</f>
        <v/>
      </c>
      <c r="F187">
        <f>IF(Skills!M25=TRUE,(Skills!K25/10)*(E187/1000),Skills!K25/10)+Skills!N25</f>
        <v/>
      </c>
      <c r="G187">
        <f>Calc!G25</f>
        <v/>
      </c>
      <c r="H187">
        <f>Calc!H25</f>
        <v/>
      </c>
      <c r="I187">
        <f>IF(Skills!T25&lt;&gt;"",1+(Skills!T25/10)*($Z$3/1000)/100,1)</f>
        <v/>
      </c>
      <c r="J187" t="inlineStr"/>
      <c r="K187" t="inlineStr"/>
      <c r="L187" t="inlineStr"/>
      <c r="M187" t="inlineStr"/>
      <c r="N187" t="inlineStr"/>
      <c r="O187">
        <f>(1-Summary!$B$11)*S187+Summary!$B$11*U187</f>
        <v/>
      </c>
      <c r="P187">
        <f>IF(B205=0,0,O187/B205)</f>
        <v/>
      </c>
      <c r="Q187">
        <f>IFERROR(1/(IF(Inputs!$B$39="pvp",15,MAX(0.1,Skills!D25-IF(Skills!E25=TRUE,Inputs!$B$33,0)))*(1-IF(AND(ArtifactsInput!$M$27,Inputs!$B$4="Chapter Hunt"),CHOOSE(ArtifactsInput!$N$27+1,20,24,28,32,36,40),0)/100)),0)</f>
        <v/>
      </c>
      <c r="R187" t="n">
        <v>0</v>
      </c>
      <c r="S187" t="n">
        <v>0</v>
      </c>
      <c r="U187" t="n">
        <v>0</v>
      </c>
    </row>
    <row r="188">
      <c r="A188">
        <f>Skills!A26</f>
        <v/>
      </c>
      <c r="B188">
        <f>Skills!B26</f>
        <v/>
      </c>
      <c r="C188">
        <f>Inputs!$B$3&gt;=117</f>
        <v/>
      </c>
      <c r="D188">
        <f>IF(Skills!C26=1,60+Inputs!$B$26+Inputs!$B$30,IF(Skills!C26=2,90+Inputs!$B$27+Inputs!$B$30,IF(Skills!C26=3,120+Inputs!$B$28+Inputs!$B$30,MAX(0,(Inputs!$B$3-100)*3)+Inputs!$B$29+Inputs!$B$30)))</f>
        <v/>
      </c>
      <c r="E188">
        <f>INDEX(FactorTable!$B$2:$Y$301, MATCH(ROUND(MIN(300,MAX(1,D188)),0), FactorTable!$A$2:$A$301,0), Skills!L26+1)</f>
        <v/>
      </c>
      <c r="F188">
        <f>IF(Skills!M26=TRUE,(Skills!K26/10)*(E188/1000),Skills!K26/10)+Skills!N26</f>
        <v/>
      </c>
      <c r="G188">
        <f>Calc!G26</f>
        <v/>
      </c>
      <c r="H188">
        <f>Calc!H26</f>
        <v/>
      </c>
      <c r="I188">
        <f>IF(Skills!T26&lt;&gt;"",1+(Skills!T26/10)*($Z$3/1000)/100,1)</f>
        <v/>
      </c>
      <c r="J188" t="inlineStr"/>
      <c r="K188" t="inlineStr"/>
      <c r="L188" t="inlineStr"/>
      <c r="M188" t="inlineStr"/>
      <c r="N188" t="inlineStr"/>
      <c r="O188">
        <f>(1-Summary!$B$11)*S188+Summary!$B$11*U188</f>
        <v/>
      </c>
      <c r="P188">
        <f>IF(B205=0,0,O188/B205)</f>
        <v/>
      </c>
      <c r="Q188">
        <f>IFERROR(1/(IF(Inputs!$B$39="pvp",15,MAX(0.1,Skills!D26-IF(Skills!E26=TRUE,Inputs!$B$33,0)))*(1-IF(AND(ArtifactsInput!$M$27,Inputs!$B$4="Chapter Hunt"),CHOOSE(ArtifactsInput!$N$27+1,20,24,28,32,36,40),0)/100)),0)</f>
        <v/>
      </c>
      <c r="R188" t="n">
        <v>0</v>
      </c>
      <c r="S188" t="n">
        <v>0</v>
      </c>
      <c r="U188" t="n">
        <v>0</v>
      </c>
    </row>
    <row r="189">
      <c r="A189">
        <f>Skills!A27</f>
        <v/>
      </c>
      <c r="B189">
        <f>Skills!B27</f>
        <v/>
      </c>
      <c r="C189">
        <f>Inputs!$B$3&gt;=120</f>
        <v/>
      </c>
      <c r="D189">
        <f>IF(Skills!C27=1,60+Inputs!$B$26+Inputs!$B$30,IF(Skills!C27=2,90+Inputs!$B$27+Inputs!$B$30,IF(Skills!C27=3,120+Inputs!$B$28+Inputs!$B$30,MAX(0,(Inputs!$B$3-100)*3)+Inputs!$B$29+Inputs!$B$30)))</f>
        <v/>
      </c>
      <c r="E189">
        <f>INDEX(FactorTable!$B$2:$Y$301, MATCH(ROUND(MIN(300,MAX(1,D189)),0), FactorTable!$A$2:$A$301,0), Skills!L27+1)</f>
        <v/>
      </c>
      <c r="F189">
        <f>IF(Skills!M27=TRUE,(Skills!K27/10)*(E189/1000),Skills!K27/10)+Skills!N27</f>
        <v/>
      </c>
      <c r="G189">
        <f>Calc!G27</f>
        <v/>
      </c>
      <c r="H189">
        <f>Calc!H27</f>
        <v/>
      </c>
      <c r="I189">
        <f>IF(Skills!T27&lt;&gt;"",1+(Skills!T27/10)*($Z$3/1000)/100,1)</f>
        <v/>
      </c>
      <c r="J189" t="inlineStr"/>
      <c r="K189" t="inlineStr"/>
      <c r="L189" t="inlineStr"/>
      <c r="M189" t="inlineStr"/>
      <c r="N189" t="inlineStr"/>
      <c r="O189">
        <f>(1-Summary!$B$11)*S189+Summary!$B$11*U189</f>
        <v/>
      </c>
      <c r="P189">
        <f>IF(B205=0,0,O189/B205)</f>
        <v/>
      </c>
      <c r="Q189">
        <f>IFERROR(1/(IF(Inputs!$B$39="pvp",15,MAX(0.1,Skills!D27-IF(Skills!E27=TRUE,Inputs!$B$33,0)))*(1-IF(AND(ArtifactsInput!$M$27,Inputs!$B$4="Chapter Hunt"),CHOOSE(ArtifactsInput!$N$27+1,20,24,28,32,36,40),0)/100)),0)</f>
        <v/>
      </c>
      <c r="R189" t="n">
        <v>0</v>
      </c>
      <c r="S189" t="n">
        <v>0</v>
      </c>
      <c r="U189" t="n">
        <v>0</v>
      </c>
    </row>
    <row r="190">
      <c r="A190">
        <f>Skills!A28</f>
        <v/>
      </c>
      <c r="B190">
        <f>Skills!B28</f>
        <v/>
      </c>
      <c r="C190">
        <f>TRUE</f>
        <v/>
      </c>
      <c r="D190">
        <f>IF(Skills!C28=1,60+Inputs!$B$26+Inputs!$B$30,IF(Skills!C28=2,90+Inputs!$B$27+Inputs!$B$30,IF(Skills!C28=3,120+Inputs!$B$28+Inputs!$B$30,MAX(0,(Inputs!$B$3-100)*3)+Inputs!$B$29+Inputs!$B$30)))</f>
        <v/>
      </c>
      <c r="E190">
        <f>INDEX(FactorTable!$B$2:$Y$301, MATCH(ROUND(MIN(300,MAX(1,D190)),0), FactorTable!$A$2:$A$301,0), Skills!L28+1)</f>
        <v/>
      </c>
      <c r="F190">
        <f>IF(Skills!M28=TRUE,(Skills!K28/10)*(E190/1000),Skills!K28/10)+Skills!N28</f>
        <v/>
      </c>
      <c r="G190">
        <f>Calc!G28</f>
        <v/>
      </c>
      <c r="H190">
        <f>Calc!H28</f>
        <v/>
      </c>
      <c r="I190">
        <f>IF(Skills!T28&lt;&gt;"",1+(Skills!T28/10)*($Z$3/1000)/100,1)</f>
        <v/>
      </c>
      <c r="J190" t="inlineStr"/>
      <c r="K190" t="inlineStr"/>
      <c r="L190" t="inlineStr"/>
      <c r="M190" t="inlineStr"/>
      <c r="N190" t="inlineStr"/>
      <c r="O190">
        <f>(1-Summary!$B$11)*S190+Summary!$B$11*U190</f>
        <v/>
      </c>
      <c r="P190">
        <f>IF(B205=0,0,O190/B205)</f>
        <v/>
      </c>
      <c r="Q190">
        <f>IFERROR(1/(IF(Inputs!$B$39="pvp",15,MAX(0.1,Skills!D28-IF(Skills!E28=TRUE,Inputs!$B$33,0)))*(1-IF(AND(ArtifactsInput!$M$27,Inputs!$B$4="Chapter Hunt"),CHOOSE(ArtifactsInput!$N$27+1,20,24,28,32,36,40),0)/100)),0)</f>
        <v/>
      </c>
      <c r="R190">
        <f>IF(AND(Inputs!$B$39&lt;&gt;"pvp",Inputs!$B$44&gt;0),IF(Inputs!$B$44&lt;=0,0,(INT(Inputs!$B$44/(IF(Inputs!$B$39="pvp",15,MAX(0.1,Skills!D28-IF(Skills!E28=TRUE,Inputs!$B$33,0)))*(1-IF(AND(ArtifactsInput!$M$27,Inputs!$B$4="Chapter Hunt"),CHOOSE(ArtifactsInput!$N$27+1,20,24,28,32,36,40),0)/100)))+1)),0)</f>
        <v/>
      </c>
      <c r="S190" t="n">
        <v>0</v>
      </c>
      <c r="U190" t="n">
        <v>0</v>
      </c>
    </row>
    <row r="192">
      <c r="A192" t="inlineStr">
        <is>
          <t>Average Buff Multiplier</t>
        </is>
      </c>
      <c r="B192">
        <f>(1+(IF(C165=TRUE,F165*IF(AND(Inputs!$B$39&lt;&gt;"pvp",Inputs!$B$44&gt;0),(((R165-1)*(Skills!S3*(1+((Inputs!$B$35+(ArtifactsInput!$M$7-ArtifactsInput!$M$7)*CHOOSE(ArtifactsInput!$N$7+1,6,7.2,8.4,9.6,10.8,12))+IF(Inputs!$B$3&gt;=117,F188,0))/100))+MIN((Skills!S3*(1+((Inputs!$B$35+(ArtifactsInput!$M$7-ArtifactsInput!$M$7)*CHOOSE(ArtifactsInput!$N$7+1,6,7.2,8.4,9.6,10.8,12))+IF(Inputs!$B$3&gt;=117,F188,0))/100)),MAX(0,Inputs!$B$44-((R165-1)*Skills!D3))))/Inputs!$B$44),IF(Inputs!$B$39="pvp",MIN((Skills!S3*(1+((Inputs!$B$35+(ArtifactsInput!$M$7-ArtifactsInput!$M$7)*CHOOSE(ArtifactsInput!$N$7+1,6,7.2,8.4,9.6,10.8,12))+IF(Inputs!$B$3&gt;=117,F188,0))/100)),15)/15,(Skills!S3*(1+((Inputs!$B$35+(ArtifactsInput!$M$7-ArtifactsInput!$M$7)*CHOOSE(ArtifactsInput!$N$7+1,6,7.2,8.4,9.6,10.8,12))+IF(Inputs!$B$3&gt;=117,F188,0))/100))/Skills!D3)),0)+IF(C166=TRUE,F166*IF(AND(Inputs!$B$39&lt;&gt;"pvp",Inputs!$B$44&gt;0),(((R166-1)*(Skills!S4*(1+((Inputs!$B$35+(ArtifactsInput!$M$7-ArtifactsInput!$M$7)*CHOOSE(ArtifactsInput!$N$7+1,6,7.2,8.4,9.6,10.8,12))+IF(Inputs!$B$3&gt;=117,F188,0))/100))+MIN((Skills!S4*(1+((Inputs!$B$35+(ArtifactsInput!$M$7-ArtifactsInput!$M$7)*CHOOSE(ArtifactsInput!$N$7+1,6,7.2,8.4,9.6,10.8,12))+IF(Inputs!$B$3&gt;=117,F188,0))/100)),MAX(0,Inputs!$B$44-((R166-1)*Skills!D4))))/Inputs!$B$44),IF(Inputs!$B$39="pvp",MIN((Skills!S4*(1+((Inputs!$B$35+(ArtifactsInput!$M$7-ArtifactsInput!$M$7)*CHOOSE(ArtifactsInput!$N$7+1,6,7.2,8.4,9.6,10.8,12))+IF(Inputs!$B$3&gt;=117,F188,0))/100)),15)/15,(Skills!S4*(1+((Inputs!$B$35+(ArtifactsInput!$M$7-ArtifactsInput!$M$7)*CHOOSE(ArtifactsInput!$N$7+1,6,7.2,8.4,9.6,10.8,12))+IF(Inputs!$B$3&gt;=117,F188,0))/100))/Skills!D4)),0)+IF(C167=TRUE,F167*IF(AND(Inputs!$B$39&lt;&gt;"pvp",Inputs!$B$44&gt;0),(((R167-1)*(Skills!S5*(1+((Inputs!$B$35+(ArtifactsInput!$M$7-ArtifactsInput!$M$7)*CHOOSE(ArtifactsInput!$N$7+1,6,7.2,8.4,9.6,10.8,12))+IF(Inputs!$B$3&gt;=117,F188,0))/100))+MIN((Skills!S5*(1+((Inputs!$B$35+(ArtifactsInput!$M$7-ArtifactsInput!$M$7)*CHOOSE(ArtifactsInput!$N$7+1,6,7.2,8.4,9.6,10.8,12))+IF(Inputs!$B$3&gt;=117,F188,0))/100)),MAX(0,Inputs!$B$44-((R167-1)*Skills!D5))))/Inputs!$B$44),IF(Inputs!$B$39="pvp",MIN((Skills!S5*(1+((Inputs!$B$35+(ArtifactsInput!$M$7-ArtifactsInput!$M$7)*CHOOSE(ArtifactsInput!$N$7+1,6,7.2,8.4,9.6,10.8,12))+IF(Inputs!$B$3&gt;=117,F188,0))/100)),15)/15,(Skills!S5*(1+((Inputs!$B$35+(ArtifactsInput!$M$7-ArtifactsInput!$M$7)*CHOOSE(ArtifactsInput!$N$7+1,6,7.2,8.4,9.6,10.8,12))+IF(Inputs!$B$3&gt;=117,F188,0))/100))/Skills!D5)),0)+IF(C173=TRUE,F173*IF(AND(Inputs!$B$39&lt;&gt;"pvp",Inputs!$B$44&gt;0),(((R173-1)*(Skills!S11*(1+((Inputs!$B$35+(ArtifactsInput!$M$7-ArtifactsInput!$M$7)*CHOOSE(ArtifactsInput!$N$7+1,6,7.2,8.4,9.6,10.8,12))+IF(Inputs!$B$3&gt;=117,F188,0))/100))+MIN((Skills!S11*(1+((Inputs!$B$35+(ArtifactsInput!$M$7-ArtifactsInput!$M$7)*CHOOSE(ArtifactsInput!$N$7+1,6,7.2,8.4,9.6,10.8,12))+IF(Inputs!$B$3&gt;=117,F188,0))/100)),MAX(0,Inputs!$B$44-((R173-1)*Skills!D11))))/Inputs!$B$44),IF(Inputs!$B$39="pvp",MIN((Skills!S11*(1+((Inputs!$B$35+(ArtifactsInput!$M$7-ArtifactsInput!$M$7)*CHOOSE(ArtifactsInput!$N$7+1,6,7.2,8.4,9.6,10.8,12))+IF(Inputs!$B$3&gt;=117,F188,0))/100)),15)/15,(Skills!S11*(1+((Inputs!$B$35+(ArtifactsInput!$M$7-ArtifactsInput!$M$7)*CHOOSE(ArtifactsInput!$N$7+1,6,7.2,8.4,9.6,10.8,12))+IF(Inputs!$B$3&gt;=117,F188,0)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176=TRUE,(1+F176*IF(AND(Inputs!$B$39&lt;&gt;"pvp",Inputs!$B$44&gt;0),(((R176-1)*(Skills!S14*(1+((Inputs!$B$35+(ArtifactsInput!$M$7-ArtifactsInput!$M$7)*CHOOSE(ArtifactsInput!$N$7+1,6,7.2,8.4,9.6,10.8,12))+IF(Inputs!$B$3&gt;=117,F188,0))/100))+MIN((Skills!S14*(1+((Inputs!$B$35+(ArtifactsInput!$M$7-ArtifactsInput!$M$7)*CHOOSE(ArtifactsInput!$N$7+1,6,7.2,8.4,9.6,10.8,12))+IF(Inputs!$B$3&gt;=117,F188,0))/100)),MAX(0,Inputs!$B$44-((R176-1)*Skills!D14))))/Inputs!$B$44),IF(Inputs!$B$39="pvp",MIN((Skills!S14*(1+((Inputs!$B$35+(ArtifactsInput!$M$7-ArtifactsInput!$M$7)*CHOOSE(ArtifactsInput!$N$7+1,6,7.2,8.4,9.6,10.8,12))+IF(Inputs!$B$3&gt;=117,F188,0))/100)),15)/15,(Skills!S14*(1+((Inputs!$B$35+(ArtifactsInput!$M$7-ArtifactsInput!$M$7)*CHOOSE(ArtifactsInput!$N$7+1,6,7.2,8.4,9.6,10.8,12))+IF(Inputs!$B$3&gt;=117,F188,0))/100))/Skills!D14))/100),1)*IF(C181=TRUE,(1+F181*IF(AND(Inputs!$B$39&lt;&gt;"pvp",Inputs!$B$44&gt;0),(((R181-1)*(Skills!S19*(1+((Inputs!$B$35+(ArtifactsInput!$M$7-ArtifactsInput!$M$7)*CHOOSE(ArtifactsInput!$N$7+1,6,7.2,8.4,9.6,10.8,12))+IF(Inputs!$B$3&gt;=117,F188,0))/100))+MIN((Skills!S19*(1+((Inputs!$B$35+(ArtifactsInput!$M$7-ArtifactsInput!$M$7)*CHOOSE(ArtifactsInput!$N$7+1,6,7.2,8.4,9.6,10.8,12))+IF(Inputs!$B$3&gt;=117,F188,0))/100)),MAX(0,Inputs!$B$44-((R181-1)*Skills!D19))))/Inputs!$B$44),IF(Inputs!$B$39="pvp",MIN((Skills!S19*(1+((Inputs!$B$35+(ArtifactsInput!$M$7-ArtifactsInput!$M$7)*CHOOSE(ArtifactsInput!$N$7+1,6,7.2,8.4,9.6,10.8,12))+IF(Inputs!$B$3&gt;=117,F188,0))/100)),15)/15,(Skills!S19*(1+((Inputs!$B$35+(ArtifactsInput!$M$7-ArtifactsInput!$M$7)*CHOOSE(ArtifactsInput!$N$7+1,6,7.2,8.4,9.6,10.8,12))+IF(Inputs!$B$3&gt;=117,F188,0))/100))/Skills!D19))/100),1)</f>
        <v/>
      </c>
    </row>
    <row r="193">
      <c r="A193" t="inlineStr">
        <is>
          <t>Monster Damage Taken Bonus % (Holy Fountain)</t>
        </is>
      </c>
      <c r="B193">
        <f>IF(Inputs!$B$3&gt;=68,20*IF(Inputs!$B$39="pvp",MIN((15*(1+((Inputs!$B$35+(ArtifactsInput!$M$7-ArtifactsInput!$M$7)*CHOOSE(ArtifactsInput!$N$7+1,6,7.2,8.4,9.6,10.8,12))+IF(Inputs!$B$3&gt;=117,F188,0))/100)),15)/15,(15*(1+((Inputs!$B$35+(ArtifactsInput!$M$7-ArtifactsInput!$M$7)*CHOOSE(ArtifactsInput!$N$7+1,6,7.2,8.4,9.6,10.8,12))+IF(Inputs!$B$3&gt;=117,F188,0))/100))/Skills!D10),0)</f>
        <v/>
      </c>
    </row>
    <row r="194">
      <c r="A194" t="inlineStr">
        <is>
          <t>Normal Monster Damage Bonus % (Holy Symbol)</t>
        </is>
      </c>
      <c r="B194">
        <f>IF(C174=TRUE,F174*IF(AND(Inputs!$B$39&lt;&gt;"pvp",Inputs!$B$44&gt;0),(((R174-1)*(Skills!S12*(1+((Inputs!$B$35+(ArtifactsInput!$M$7-ArtifactsInput!$M$7)*CHOOSE(ArtifactsInput!$N$7+1,6,7.2,8.4,9.6,10.8,12))+IF(Inputs!$B$3&gt;=117,F188,0))/100))+MIN((Skills!S12*(1+((Inputs!$B$35+(ArtifactsInput!$M$7-ArtifactsInput!$M$7)*CHOOSE(ArtifactsInput!$N$7+1,6,7.2,8.4,9.6,10.8,12))+IF(Inputs!$B$3&gt;=117,F188,0))/100)),MAX(0,Inputs!$B$44-((R174-1)*Skills!D12))))/Inputs!$B$44),IF(Inputs!$B$39="pvp",MIN((Skills!S12*(1+((Inputs!$B$35+(ArtifactsInput!$M$7-ArtifactsInput!$M$7)*CHOOSE(ArtifactsInput!$N$7+1,6,7.2,8.4,9.6,10.8,12))+IF(Inputs!$B$3&gt;=117,F188,0))/100)),15)/15,(Skills!S12*(1+((Inputs!$B$35+(ArtifactsInput!$M$7-ArtifactsInput!$M$7)*CHOOSE(ArtifactsInput!$N$7+1,6,7.2,8.4,9.6,10.8,12))+IF(Inputs!$B$3&gt;=117,F188,0))/100))/Skills!D12)),0)</f>
        <v/>
      </c>
    </row>
    <row r="195">
      <c r="A195" t="inlineStr">
        <is>
          <t>Damage % Bonus (Holy Symbol - Damage Boost)</t>
        </is>
      </c>
      <c r="B195">
        <f>Skills!O12</f>
        <v/>
      </c>
    </row>
    <row r="196">
      <c r="A196" t="inlineStr">
        <is>
          <t>Crit Damage % Bonus (Blood of the Divine)</t>
        </is>
      </c>
      <c r="B196">
        <f>4*IF(C182=TRUE,F182,0)</f>
        <v/>
      </c>
    </row>
    <row r="197">
      <c r="A197" t="inlineStr">
        <is>
          <t>Attack Speed Bonus %</t>
        </is>
      </c>
      <c r="B197">
        <f>IF(C179=TRUE,F179+(F183-Calc!F21),0)+IF(Inputs!$B$3&gt;=134,15,0)+((C190=TRUE)*F190*IF(AND(Inputs!$B$39&lt;&gt;"pvp",Inputs!$B$44&gt;0),(((R190-1)*(Skills!S28*(1+((Inputs!$B$35+(ArtifactsInput!$M$7-ArtifactsInput!$M$7)*CHOOSE(ArtifactsInput!$N$7+1,6,7.2,8.4,9.6,10.8,12))+IF(Inputs!$B$3&gt;=117,F188,0))/100))+MIN((Skills!S28*(1+((Inputs!$B$35+(ArtifactsInput!$M$7-ArtifactsInput!$M$7)*CHOOSE(ArtifactsInput!$N$7+1,6,7.2,8.4,9.6,10.8,12))+IF(Inputs!$B$3&gt;=117,F188,0))/100)),MAX(0,Inputs!$B$44-((R190-1)*Skills!D28))))/Inputs!$B$44),IF(Inputs!$B$39="pvp",MIN((Skills!S28*(1+((Inputs!$B$35+(ArtifactsInput!$M$7-ArtifactsInput!$M$7)*CHOOSE(ArtifactsInput!$N$7+1,6,7.2,8.4,9.6,10.8,12))+IF(Inputs!$B$3&gt;=117,F188,0))/100)),15)/15,(Skills!S28*(1+((Inputs!$B$35+(ArtifactsInput!$M$7-ArtifactsInput!$M$7)*CHOOSE(ArtifactsInput!$N$7+1,6,7.2,8.4,9.6,10.8,12))+IF(Inputs!$B$3&gt;=117,F188,0))/100))/Skills!D28)))</f>
        <v/>
      </c>
    </row>
    <row r="198">
      <c r="A198" t="inlineStr">
        <is>
          <t>Actions Per Second</t>
        </is>
      </c>
      <c r="B198">
        <f>1+MIN(150,150*(1-(1-Inputs!$B$12/150)*(1-B197/150)))/100</f>
        <v/>
      </c>
    </row>
    <row r="199">
      <c r="A199" t="inlineStr">
        <is>
          <t>Skill + Buff Cast Rate</t>
        </is>
      </c>
      <c r="B199">
        <f>IF(AND(Inputs!$B$39&lt;&gt;"pvp",Inputs!$B$44&gt;0),SUMPRODUCT((Skills!E2:E28=TRUE)*(C164:C190=TRUE)*R164:R190)/Inputs!$B$44,SUMPRODUCT((Skills!E2:E28=TRUE)*(C164:C190=TRUE)*Q164:Q190))</f>
        <v/>
      </c>
    </row>
    <row r="200">
      <c r="A200" t="inlineStr">
        <is>
          <t>Big Bang Casts Per Second</t>
        </is>
      </c>
      <c r="B200">
        <f>MAX(0,B198-B199)</f>
        <v/>
      </c>
    </row>
    <row r="201">
      <c r="A201" t="inlineStr">
        <is>
          <t>Defense % Bonus (Divine Protection)</t>
        </is>
      </c>
      <c r="B201">
        <f>IF(C175=TRUE,F175*IF(AND(Inputs!$B$39&lt;&gt;"pvp",Inputs!$B$44&gt;0),(((R175-1)*(Skills!S13*(1+((Inputs!$B$35+(ArtifactsInput!$M$7-ArtifactsInput!$M$7)*CHOOSE(ArtifactsInput!$N$7+1,6,7.2,8.4,9.6,10.8,12))+IF(Inputs!$B$3&gt;=117,F188,0))/100))+MIN((Skills!S13*(1+((Inputs!$B$35+(ArtifactsInput!$M$7-ArtifactsInput!$M$7)*CHOOSE(ArtifactsInput!$N$7+1,6,7.2,8.4,9.6,10.8,12))+IF(Inputs!$B$3&gt;=117,F188,0))/100)),MAX(0,Inputs!$B$44-((R175-1)*Skills!D13))))/Inputs!$B$44),IF(Inputs!$B$39="pvp",MIN((Skills!S13*(1+((Inputs!$B$35+(ArtifactsInput!$M$7-ArtifactsInput!$M$7)*CHOOSE(ArtifactsInput!$N$7+1,6,7.2,8.4,9.6,10.8,12))+IF(Inputs!$B$3&gt;=117,F188,0))/100)),15)/15,(Skills!S13*(1+((Inputs!$B$35+(ArtifactsInput!$M$7-ArtifactsInput!$M$7)*CHOOSE(ArtifactsInput!$N$7+1,6,7.2,8.4,9.6,10.8,12))+IF(Inputs!$B$3&gt;=117,F188,0))/100))/Skills!D13)),0)</f>
        <v/>
      </c>
    </row>
    <row r="202">
      <c r="A202" t="inlineStr">
        <is>
          <t>Buff-Casting Startup Delay (s, fixed-duration only)</t>
        </is>
      </c>
      <c r="B202">
        <f>IF(AND(Inputs!$B$39&lt;&gt;"pvp",Inputs!$B$44&gt;0),SUMPRODUCT((Skills!S2:S28&gt;0)*(Skills!E2:E28=TRUE)*(C164:C190=TRUE))/B198,0)</f>
        <v/>
      </c>
    </row>
    <row r="203">
      <c r="A203" t="inlineStr">
        <is>
          <t>Boss-Only Total DPS (this block's swept value)</t>
        </is>
      </c>
      <c r="B203">
        <f>SUM(S164:S190)</f>
        <v/>
      </c>
    </row>
    <row r="204">
      <c r="A204" t="inlineStr">
        <is>
          <t>Normal-Only Total DPS (this block's swept value)</t>
        </is>
      </c>
      <c r="B204">
        <f>SUM(U164:U190)</f>
        <v/>
      </c>
    </row>
    <row r="205">
      <c r="A205" s="6" t="inlineStr">
        <is>
          <t>TOTAL DPS</t>
        </is>
      </c>
      <c r="B205" s="6">
        <f>SUM(O164:O190)</f>
        <v/>
      </c>
    </row>
    <row r="207">
      <c r="A207" s="6" t="inlineStr">
        <is>
          <t>Stat: Defense %</t>
        </is>
      </c>
    </row>
    <row r="208">
      <c r="A208" s="5" t="inlineStr">
        <is>
          <t>Key</t>
        </is>
      </c>
      <c r="B208" s="5" t="inlineStr">
        <is>
          <t>Name</t>
        </is>
      </c>
      <c r="C208" s="5" t="inlineStr">
        <is>
          <t>Unlocked</t>
        </is>
      </c>
      <c r="D208" s="5" t="inlineStr">
        <is>
          <t>InputLevel</t>
        </is>
      </c>
      <c r="E208" s="5" t="inlineStr">
        <is>
          <t>Factor</t>
        </is>
      </c>
      <c r="F208" s="5" t="inlineStr">
        <is>
          <t>CoefficientPercent</t>
        </is>
      </c>
      <c r="G208" s="5" t="inlineStr">
        <is>
          <t>EffectiveHits</t>
        </is>
      </c>
      <c r="H208" s="5" t="inlineStr">
        <is>
          <t>ProcProbability</t>
        </is>
      </c>
      <c r="I208" s="5" t="inlineStr">
        <is>
          <t>MapleHeroMultiplier</t>
        </is>
      </c>
      <c r="J208" s="5" t="inlineStr">
        <is>
          <t>BaseDamage</t>
        </is>
      </c>
      <c r="K208" s="5" t="inlineStr">
        <is>
          <t>BaseHitDamage</t>
        </is>
      </c>
      <c r="L208" s="5" t="inlineStr">
        <is>
          <t>NonCritAvg</t>
        </is>
      </c>
      <c r="M208" s="5" t="inlineStr">
        <is>
          <t>CritAvg</t>
        </is>
      </c>
      <c r="N208" s="5" t="inlineStr">
        <is>
          <t>ExpectedDamage(perHit)</t>
        </is>
      </c>
      <c r="O208" s="5" t="inlineStr">
        <is>
          <t>DPS</t>
        </is>
      </c>
      <c r="P208" s="5" t="inlineStr">
        <is>
          <t>% of Total</t>
        </is>
      </c>
      <c r="R208" t="inlineStr">
        <is>
          <t>helpers</t>
        </is>
      </c>
    </row>
    <row r="209">
      <c r="A209">
        <f>Skills!A2</f>
        <v/>
      </c>
      <c r="B209">
        <f>Skills!B2</f>
        <v/>
      </c>
      <c r="C209">
        <f>Inputs!$B$3&gt;=100</f>
        <v/>
      </c>
      <c r="D209" t="inlineStr"/>
      <c r="E209" t="inlineStr"/>
      <c r="F209">
        <f>T211+Skills!N2</f>
        <v/>
      </c>
      <c r="G209">
        <f>Calc!G2</f>
        <v/>
      </c>
      <c r="H209">
        <f>Calc!H2</f>
        <v/>
      </c>
      <c r="I209">
        <f>IF(Skills!T2&lt;&gt;"",1+(Skills!T2/10)*($Z$3/1000)/100,1)</f>
        <v/>
      </c>
      <c r="J209">
        <f>((Inputs!$B$6*(1+Inputs!$B$7/100))+(((Inputs!$B$13*(1+Inputs!$B$14/100))-(Inputs!$B$13*(1+Inputs!$B$14/100)))+0.25*(Inputs!$B$15-Inputs!$B$15))*(1+Inputs!$B$7/100))*(F209/100)</f>
        <v/>
      </c>
      <c r="K209">
        <f>J209*(1+(((Inputs!$B$13+IF(Inputs!$B$3&gt;=35,(10*INDEX(FactorTable!$B$2:$Y$301,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2="TRIUMPH_FEATHER",IF(C223=TRUE,F223,0),0)/100)*(1+IF(C234=TRUE,F234,0)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209)</f>
        <v/>
      </c>
      <c r="L209">
        <f>K209*(MIN(Inputs!$B$23+(F229-Calc!F22),(Inputs!$B$24+IF(ArtifactsInput!$M$15,CHOOSE(ArtifactsInput!$N$15+1,25,30,35,40,45,50)/100*(Inputs!$B$12-Inputs!$B$12),0)))/100+(Inputs!$B$24+IF(ArtifactsInput!$M$15,CHOOSE(ArtifactsInput!$N$15+1,25,30,35,40,45,50)/100*(Inputs!$B$12-Inputs!$B$12),0))/100)/2</f>
        <v/>
      </c>
      <c r="M209">
        <f>L209*(1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
        <f>L209*(1-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(1-Summary!$B$11)*S209+Summary!$B$11*U209</f>
        <v/>
      </c>
      <c r="P209">
        <f>IF(B250=0,0,O209/B250)</f>
        <v/>
      </c>
      <c r="Q209">
        <f>IFERROR(1/(IF(Inputs!$B$39="pvp",15,MAX(0.1,Skills!D2-IF(Skills!E2=TRUE,Inputs!$B$33,0)))*(1-IF(AND(ArtifactsInput!$M$27,Inputs!$B$4="Chapter Hunt"),CHOOSE(ArtifactsInput!$N$27+1,20,24,28,32,36,40),0)/100)),0)</f>
        <v/>
      </c>
      <c r="R209" t="n">
        <v>0</v>
      </c>
      <c r="S209">
        <f>IF(C209,(Skills!F2*N209*B245)*IF(Inputs!$B$39="pvp",1,1+(Inputs!$B$21+Skills!O2+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
        <f>MAX(0,(Inputs!$B$3-100)*3)+Inputs!$B$29+Inputs!$B$30</f>
        <v/>
      </c>
      <c r="U209">
        <f>IF(C209,(Skills!F2*N209*B245)*IF(Inputs!$B$39="pvp",1,(1+(Inputs!$B$22+Skills!P2+B239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Skills!A3</f>
        <v/>
      </c>
      <c r="B210">
        <f>Skills!B3</f>
        <v/>
      </c>
      <c r="C210">
        <f>Inputs!$B$3&gt;=15</f>
        <v/>
      </c>
      <c r="D210">
        <f>IF(Skills!C3=1,60+Inputs!$B$26+Inputs!$B$30,IF(Skills!C3=2,90+Inputs!$B$27+Inputs!$B$30,IF(Skills!C3=3,120+Inputs!$B$28+Inputs!$B$30,MAX(0,(Inputs!$B$3-100)*3)+Inputs!$B$29+Inputs!$B$30)))</f>
        <v/>
      </c>
      <c r="E210">
        <f>INDEX(FactorTable!$B$2:$Y$301, MATCH(ROUND(MIN(300,MAX(1,D210)),0), FactorTable!$A$2:$A$301,0), Skills!L3+1)</f>
        <v/>
      </c>
      <c r="F210">
        <f>IF(Skills!M3=TRUE,(Skills!K3/10)*(E210/1000),Skills!K3/10)+Skills!N3</f>
        <v/>
      </c>
      <c r="G210">
        <f>Calc!G3</f>
        <v/>
      </c>
      <c r="H210">
        <f>Calc!H3</f>
        <v/>
      </c>
      <c r="I210">
        <f>IF(Skills!T3&lt;&gt;"",1+(Skills!T3/10)*($Z$3/1000)/100,1)</f>
        <v/>
      </c>
      <c r="J210" t="inlineStr"/>
      <c r="K210" t="inlineStr"/>
      <c r="L210" t="inlineStr"/>
      <c r="M210" t="inlineStr"/>
      <c r="N210" t="inlineStr"/>
      <c r="O210">
        <f>(1-Summary!$B$11)*S210+Summary!$B$11*U210</f>
        <v/>
      </c>
      <c r="P210">
        <f>IF(B250=0,0,O210/B250)</f>
        <v/>
      </c>
      <c r="Q210">
        <f>IFERROR(1/(IF(Inputs!$B$39="pvp",15,MAX(0.1,Skills!D3-IF(Skills!E3=TRUE,Inputs!$B$33,0)))*(1-IF(AND(ArtifactsInput!$M$27,Inputs!$B$4="Chapter Hunt"),CHOOSE(ArtifactsInput!$N$27+1,20,24,28,32,36,40),0)/100)),0)</f>
        <v/>
      </c>
      <c r="R210">
        <f>IF(AND(Inputs!$B$39&lt;&gt;"pvp",Inputs!$B$44&gt;0),IF(Inputs!$B$44&lt;=0,0,(INT(Inputs!$B$44/(IF(Inputs!$B$39="pvp",15,MAX(0.1,Skills!D3-IF(Skills!E3=TRUE,Inputs!$B$33,0)))*(1-IF(AND(ArtifactsInput!$M$27,Inputs!$B$4="Chapter Hunt"),CHOOSE(ArtifactsInput!$N$27+1,20,24,28,32,36,40),0)/100)))+1)),0)</f>
        <v/>
      </c>
      <c r="S210" t="n">
        <v>0</v>
      </c>
      <c r="T210">
        <f>INDEX(FactorTable!$B$2:$Y$301, MATCH(ROUND(MIN(300,MAX(1,T209)),0), FactorTable!$A$2:$A$301,0), 22)</f>
        <v/>
      </c>
      <c r="U210" t="n">
        <v>0</v>
      </c>
    </row>
    <row r="211">
      <c r="A211">
        <f>Skills!A4</f>
        <v/>
      </c>
      <c r="B211">
        <f>Skills!B4</f>
        <v/>
      </c>
      <c r="C211">
        <f>Inputs!$B$3&gt;=38</f>
        <v/>
      </c>
      <c r="D211">
        <f>IF(Skills!C4=1,60+Inputs!$B$26+Inputs!$B$30,IF(Skills!C4=2,90+Inputs!$B$27+Inputs!$B$30,IF(Skills!C4=3,120+Inputs!$B$28+Inputs!$B$30,MAX(0,(Inputs!$B$3-100)*3)+Inputs!$B$29+Inputs!$B$30)))</f>
        <v/>
      </c>
      <c r="E211">
        <f>INDEX(FactorTable!$B$2:$Y$301, MATCH(ROUND(MIN(300,MAX(1,D211)),0), FactorTable!$A$2:$A$301,0), Skills!L4+1)</f>
        <v/>
      </c>
      <c r="F211">
        <f>IF(Skills!M4=TRUE,(Skills!K4/10)*(E211/1000),Skills!K4/10)+Skills!N4</f>
        <v/>
      </c>
      <c r="G211">
        <f>Calc!G4</f>
        <v/>
      </c>
      <c r="H211">
        <f>Calc!H4</f>
        <v/>
      </c>
      <c r="I211">
        <f>IF(Skills!T4&lt;&gt;"",1+(Skills!T4/10)*($Z$3/1000)/100,1)</f>
        <v/>
      </c>
      <c r="J211" t="inlineStr"/>
      <c r="K211" t="inlineStr"/>
      <c r="L211" t="inlineStr"/>
      <c r="M211" t="inlineStr"/>
      <c r="N211" t="inlineStr"/>
      <c r="O211">
        <f>(1-Summary!$B$11)*S211+Summary!$B$11*U211</f>
        <v/>
      </c>
      <c r="P211">
        <f>IF(B250=0,0,O211/B250)</f>
        <v/>
      </c>
      <c r="Q211">
        <f>IFERROR(1/(IF(Inputs!$B$39="pvp",15,MAX(0.1,Skills!D4-IF(Skills!E4=TRUE,Inputs!$B$33,0)))*(1-IF(AND(ArtifactsInput!$M$27,Inputs!$B$4="Chapter Hunt"),CHOOSE(ArtifactsInput!$N$27+1,20,24,28,32,36,40),0)/100)),0)</f>
        <v/>
      </c>
      <c r="R211">
        <f>IF(AND(Inputs!$B$39&lt;&gt;"pvp",Inputs!$B$44&gt;0),IF(Inputs!$B$44&lt;=0,0,(INT(Inputs!$B$44/(IF(Inputs!$B$39="pvp",15,MAX(0.1,Skills!D4-IF(Skills!E4=TRUE,Inputs!$B$33,0)))*(1-IF(AND(ArtifactsInput!$M$27,Inputs!$B$4="Chapter Hunt"),CHOOSE(ArtifactsInput!$N$27+1,20,24,28,32,36,40),0)/100)))+1)),0)</f>
        <v/>
      </c>
      <c r="S211" t="n">
        <v>0</v>
      </c>
      <c r="T211">
        <f>290*T210/1000</f>
        <v/>
      </c>
      <c r="U211" t="n">
        <v>0</v>
      </c>
    </row>
    <row r="212">
      <c r="A212">
        <f>Skills!A5</f>
        <v/>
      </c>
      <c r="B212">
        <f>Skills!B5</f>
        <v/>
      </c>
      <c r="C212">
        <f>Inputs!$B$3&gt;=40</f>
        <v/>
      </c>
      <c r="D212">
        <f>IF(Skills!C5=1,60+Inputs!$B$26+Inputs!$B$30,IF(Skills!C5=2,90+Inputs!$B$27+Inputs!$B$30,IF(Skills!C5=3,120+Inputs!$B$28+Inputs!$B$30,MAX(0,(Inputs!$B$3-100)*3)+Inputs!$B$29+Inputs!$B$30)))</f>
        <v/>
      </c>
      <c r="E212">
        <f>INDEX(FactorTable!$B$2:$Y$301, MATCH(ROUND(MIN(300,MAX(1,D212)),0), FactorTable!$A$2:$A$301,0), Skills!L5+1)</f>
        <v/>
      </c>
      <c r="F212">
        <f>IF(Skills!M5=TRUE,(Skills!K5/10)*(E212/1000),Skills!K5/10)+Skills!N5</f>
        <v/>
      </c>
      <c r="G212">
        <f>Calc!G5</f>
        <v/>
      </c>
      <c r="H212">
        <f>Calc!H5</f>
        <v/>
      </c>
      <c r="I212">
        <f>IF(Skills!T5&lt;&gt;"",1+(Skills!T5/10)*($Z$3/1000)/100,1)</f>
        <v/>
      </c>
      <c r="J212" t="inlineStr"/>
      <c r="K212" t="inlineStr"/>
      <c r="L212" t="inlineStr"/>
      <c r="M212" t="inlineStr"/>
      <c r="N212" t="inlineStr"/>
      <c r="O212">
        <f>(1-Summary!$B$11)*S212+Summary!$B$11*U212</f>
        <v/>
      </c>
      <c r="P212">
        <f>IF(B250=0,0,O212/B250)</f>
        <v/>
      </c>
      <c r="Q212">
        <f>IFERROR(1/(IF(Inputs!$B$39="pvp",15,MAX(0.1,Skills!D5-IF(Skills!E5=TRUE,Inputs!$B$33,0)))*(1-IF(AND(ArtifactsInput!$M$27,Inputs!$B$4="Chapter Hunt"),CHOOSE(ArtifactsInput!$N$27+1,20,24,28,32,36,40),0)/100)),0)</f>
        <v/>
      </c>
      <c r="R212">
        <f>IF(AND(Inputs!$B$39&lt;&gt;"pvp",Inputs!$B$44&gt;0),IF(Inputs!$B$44&lt;=0,0,(INT(Inputs!$B$44/(IF(Inputs!$B$39="pvp",15,MAX(0.1,Skills!D5-IF(Skills!E5=TRUE,Inputs!$B$33,0)))*(1-IF(AND(ArtifactsInput!$M$27,Inputs!$B$4="Chapter Hunt"),CHOOSE(ArtifactsInput!$N$27+1,20,24,28,32,36,40),0)/100)))+1)),0)</f>
        <v/>
      </c>
      <c r="S212" t="n">
        <v>0</v>
      </c>
      <c r="U212" t="n">
        <v>0</v>
      </c>
    </row>
    <row r="213">
      <c r="A213">
        <f>Skills!A6</f>
        <v/>
      </c>
      <c r="B213">
        <f>Skills!B6</f>
        <v/>
      </c>
      <c r="C213">
        <f>Inputs!$B$3&gt;=103</f>
        <v/>
      </c>
      <c r="D213">
        <f>IF(Skills!C6=1,60+Inputs!$B$26+Inputs!$B$30,IF(Skills!C6=2,90+Inputs!$B$27+Inputs!$B$30,IF(Skills!C6=3,120+Inputs!$B$28+Inputs!$B$30,MAX(0,(Inputs!$B$3-100)*3)+Inputs!$B$29+Inputs!$B$30)))</f>
        <v/>
      </c>
      <c r="E213">
        <f>INDEX(FactorTable!$B$2:$Y$301, MATCH(ROUND(MIN(300,MAX(1,D213)),0), FactorTable!$A$2:$A$301,0), Skills!L6+1)</f>
        <v/>
      </c>
      <c r="F213">
        <f>IF(Skills!M6=TRUE,(Skills!K6/10)*(E213/1000),Skills!K6/10)+Skills!N6</f>
        <v/>
      </c>
      <c r="G213">
        <f>Calc!G6</f>
        <v/>
      </c>
      <c r="H213">
        <f>Calc!H6</f>
        <v/>
      </c>
      <c r="I213">
        <f>IF(Skills!T6&lt;&gt;"",1+(Skills!T6/10)*($Z$3/1000)/100,1)</f>
        <v/>
      </c>
      <c r="J213">
        <f>((Inputs!$B$6*(1+Inputs!$B$7/100))+(((Inputs!$B$13*(1+Inputs!$B$14/100))-(Inputs!$B$13*(1+Inputs!$B$14/100)))+0.25*(Inputs!$B$15-Inputs!$B$15))*(1+Inputs!$B$7/100))*(F213/100)</f>
        <v/>
      </c>
      <c r="K213">
        <f>J213*(1+(((Inputs!$B$13+IF(Inputs!$B$3&gt;=35,(10*INDEX(FactorTable!$B$2:$Y$301,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6="TRIUMPH_FEATHER",IF(C223=TRUE,F223,0),0)/100)*(1+IF(C234=TRUE,F234,0)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213)</f>
        <v/>
      </c>
      <c r="L213">
        <f>K213*(MIN(Inputs!$B$23+(F229-Calc!F22),(Inputs!$B$24+IF(ArtifactsInput!$M$15,CHOOSE(ArtifactsInput!$N$15+1,25,30,35,40,45,50)/100*(Inputs!$B$12-Inputs!$B$12),0)))/100+(Inputs!$B$24+IF(ArtifactsInput!$M$15,CHOOSE(ArtifactsInput!$N$15+1,25,30,35,40,45,50)/100*(Inputs!$B$12-Inputs!$B$12),0))/100)/2</f>
        <v/>
      </c>
      <c r="M213">
        <f>L213*(1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3">
        <f>L213*(1-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
        <f>(1-Summary!$B$11)*S213+Summary!$B$11*U213</f>
        <v/>
      </c>
      <c r="P213">
        <f>IF(B250=0,0,O213/B250)</f>
        <v/>
      </c>
      <c r="Q213">
        <f>IFERROR(1/(IF(Inputs!$B$39="pvp",15,MAX(0.1,Skills!D6-IF(Skills!E6=TRUE,Inputs!$B$33,0)))*(1-IF(AND(ArtifactsInput!$M$27,Inputs!$B$4="Chapter Hunt"),CHOOSE(ArtifactsInput!$N$27+1,20,24,28,32,36,40),0)/100)),0)</f>
        <v/>
      </c>
      <c r="R213">
        <f>IF(AND(Inputs!$B$39&lt;&gt;"pvp",Inputs!$B$44&gt;0),IF(MAX(0,Inputs!$B$44-B247)&lt;=0,0,(INT(MAX(0,Inputs!$B$44-B247)/(IF(Inputs!$B$39="pvp",15,MAX(0.1,Skills!D6-IF(Skills!E6=TRUE,Inputs!$B$33,0)))*(1-IF(AND(ArtifactsInput!$M$27,Inputs!$B$4="Chapter Hunt"),CHOOSE(ArtifactsInput!$N$27+1,20,24,28,32,36,40),0)/100)))+1)),0)</f>
        <v/>
      </c>
      <c r="S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$21+Skills!O6+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213*(1-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$22+Skills!P6+B239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
      <c r="A214">
        <f>Skills!A7</f>
        <v/>
      </c>
      <c r="B214">
        <f>Skills!B7</f>
        <v/>
      </c>
      <c r="C214">
        <f>Inputs!$B$3&gt;=122</f>
        <v/>
      </c>
      <c r="D214">
        <f>IF(Skills!C7=1,60+Inputs!$B$26+Inputs!$B$30,IF(Skills!C7=2,90+Inputs!$B$27+Inputs!$B$30,IF(Skills!C7=3,120+Inputs!$B$28+Inputs!$B$30,MAX(0,(Inputs!$B$3-100)*3)+Inputs!$B$29+Inputs!$B$30)))</f>
        <v/>
      </c>
      <c r="E214">
        <f>INDEX(FactorTable!$B$2:$Y$301, MATCH(ROUND(MIN(300,MAX(1,D214)),0), FactorTable!$A$2:$A$301,0), Skills!L7+1)</f>
        <v/>
      </c>
      <c r="F214">
        <f>IF(Skills!M7=TRUE,(Skills!K7/10)*(E214/1000),Skills!K7/10)+Skills!N7</f>
        <v/>
      </c>
      <c r="G214">
        <f>Calc!G7</f>
        <v/>
      </c>
      <c r="H214">
        <f>Calc!H7</f>
        <v/>
      </c>
      <c r="I214">
        <f>IF(Skills!T7&lt;&gt;"",1+(Skills!T7/10)*($Z$3/1000)/100,1)</f>
        <v/>
      </c>
      <c r="J214">
        <f>((Inputs!$B$6*(1+Inputs!$B$7/100))+(((Inputs!$B$13*(1+Inputs!$B$14/100))-(Inputs!$B$13*(1+Inputs!$B$14/100)))+0.25*(Inputs!$B$15-Inputs!$B$15))*(1+Inputs!$B$7/100))*(F214/100)</f>
        <v/>
      </c>
      <c r="K214">
        <f>J214*(1+(((Inputs!$B$13+IF(Inputs!$B$3&gt;=35,(10*INDEX(FactorTable!$B$2:$Y$301,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7="TRIUMPH_FEATHER",IF(C223=TRUE,F223,0),0)/100)*(1+IF(C234=TRUE,F234,0)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214)</f>
        <v/>
      </c>
      <c r="L214">
        <f>K214*(MIN(Inputs!$B$23+(F229-Calc!F22),(Inputs!$B$24+IF(ArtifactsInput!$M$15,CHOOSE(ArtifactsInput!$N$15+1,25,30,35,40,45,50)/100*(Inputs!$B$12-Inputs!$B$12),0)))/100+(Inputs!$B$24+IF(ArtifactsInput!$M$15,CHOOSE(ArtifactsInput!$N$15+1,25,30,35,40,45,50)/100*(Inputs!$B$12-Inputs!$B$12),0))/100)/2</f>
        <v/>
      </c>
      <c r="M214">
        <f>L214*(1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
        <f>L214*(1-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
        <f>(1-Summary!$B$11)*S214+Summary!$B$11*U214</f>
        <v/>
      </c>
      <c r="P214">
        <f>IF(B250=0,0,O214/B250)</f>
        <v/>
      </c>
      <c r="Q214">
        <f>IFERROR(1/(IF(Inputs!$B$39="pvp",15,MAX(0.1,Skills!D7-IF(Skills!E6=TRUE,Inputs!$B$33,0)))*(1-IF(AND(ArtifactsInput!$M$27,Inputs!$B$4="Chapter Hunt"),CHOOSE(ArtifactsInput!$N$27+1,20,24,28,32,36,40),0)/100)),0)</f>
        <v/>
      </c>
      <c r="R214">
        <f>IF(AND(Inputs!$B$39&lt;&gt;"pvp",Inputs!$B$44&gt;0),IF(MAX(0,Inputs!$B$44-B247)&lt;=0,0,(INT(MAX(0,Inputs!$B$44-B247)/(IF(Inputs!$B$39="pvp",15,MAX(0.1,Skills!D7-IF(Skills!E6=TRUE,Inputs!$B$33,0)))*(1-IF(AND(ArtifactsInput!$M$27,Inputs!$B$4="Chapter Hunt"),CHOOSE(ArtifactsInput!$N$27+1,20,24,28,32,36,40),0)/100)))+1)),0)</f>
        <v/>
      </c>
      <c r="S214">
        <f>IF(C214,H214*N214*IF(AND(Inputs!$B$39&lt;&gt;"pvp",Inputs!$B$44&gt;0),((Skills!F7*((R214-1)*IF(Skills!G7&gt;0,Skills!H7/Skills!G7,1)+IF(Skills!G7&gt;0,MIN(Skills!H7,MAX(0,MAX(0,Inputs!$B$44-B247)-((R214-1)*(IF(Inputs!$B$39="pvp",15,MAX(0.1,Skills!D7-IF(Skills!E6=TRUE,Inputs!$B$33,0)))*(1-IF(AND(ArtifactsInput!$M$27,Inputs!$B$4="Chapter Hunt"),CHOOSE(ArtifactsInput!$N$27+1,20,24,28,32,36,40),0)/100)))))/Skills!G7,1)))/Inputs!$B$44),G214*Q214)*IF(Inputs!$B$39="pvp",1,1+(Inputs!$B$21+Skills!O7+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 t="n">
        <v>0</v>
      </c>
    </row>
    <row r="215">
      <c r="A215">
        <f>Skills!A8</f>
        <v/>
      </c>
      <c r="B215">
        <f>Skills!B8</f>
        <v/>
      </c>
      <c r="C215">
        <f>Inputs!$B$3&gt;=105</f>
        <v/>
      </c>
      <c r="D215">
        <f>IF(Skills!C8=1,60+Inputs!$B$26+Inputs!$B$30,IF(Skills!C8=2,90+Inputs!$B$27+Inputs!$B$30,IF(Skills!C8=3,120+Inputs!$B$28+Inputs!$B$30,MAX(0,(Inputs!$B$3-100)*3)+Inputs!$B$29+Inputs!$B$30)))</f>
        <v/>
      </c>
      <c r="E215">
        <f>INDEX(FactorTable!$B$2:$Y$301, MATCH(ROUND(MIN(300,MAX(1,D215)),0), FactorTable!$A$2:$A$301,0), Skills!L8+1)</f>
        <v/>
      </c>
      <c r="F215">
        <f>IF(Skills!M8=TRUE,(Skills!K8/10)*(E215/1000),Skills!K8/10)+Skills!N8</f>
        <v/>
      </c>
      <c r="G215">
        <f>Calc!G8</f>
        <v/>
      </c>
      <c r="H215">
        <f>Calc!H8</f>
        <v/>
      </c>
      <c r="I215">
        <f>IF(Skills!T8&lt;&gt;"",1+(Skills!T8/10)*($Z$3/1000)/100,1)</f>
        <v/>
      </c>
      <c r="J215">
        <f>((Inputs!$B$6*(1+Inputs!$B$7/100))+(((Inputs!$B$13*(1+Inputs!$B$14/100))-(Inputs!$B$13*(1+Inputs!$B$14/100)))+0.25*(Inputs!$B$15-Inputs!$B$15))*(1+Inputs!$B$7/100))*(F215/100)</f>
        <v/>
      </c>
      <c r="K215">
        <f>J215*(1+(((Inputs!$B$13+IF(Inputs!$B$3&gt;=35,(10*INDEX(FactorTable!$B$2:$Y$301,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8="TRIUMPH_FEATHER",IF(C223=TRUE,F223,0),0)/100)*(1+IF(C234=TRUE,F234,0)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215)</f>
        <v/>
      </c>
      <c r="L215">
        <f>K215*(MIN(Inputs!$B$23+(F229-Calc!F22),(Inputs!$B$24+IF(ArtifactsInput!$M$15,CHOOSE(ArtifactsInput!$N$15+1,25,30,35,40,45,50)/100*(Inputs!$B$12-Inputs!$B$12),0)))/100+(Inputs!$B$24+IF(ArtifactsInput!$M$15,CHOOSE(ArtifactsInput!$N$15+1,25,30,35,40,45,50)/100*(Inputs!$B$12-Inputs!$B$12),0))/100)/2</f>
        <v/>
      </c>
      <c r="M215">
        <f>L215*(1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
        <f>L215*(1-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
        <f>(1-Summary!$B$11)*S215+Summary!$B$11*U215</f>
        <v/>
      </c>
      <c r="P215">
        <f>IF(B250=0,0,O215/B250)</f>
        <v/>
      </c>
      <c r="Q215">
        <f>IFERROR(1/(IF(Inputs!$B$39="pvp",15,MAX(0.1,Skills!D8-IF(Skills!E8=TRUE,Inputs!$B$33,0)))*(1-IF(AND(ArtifactsInput!$M$27,Inputs!$B$4="Chapter Hunt"),CHOOSE(ArtifactsInput!$N$27+1,20,24,28,32,36,40),0)/100)),0)</f>
        <v/>
      </c>
      <c r="R215">
        <f>IF(AND(Inputs!$B$39&lt;&gt;"pvp",Inputs!$B$44&gt;0),IF(MAX(0,Inputs!$B$44-B247)&lt;=0,0,(INT(MAX(0,Inputs!$B$44-B247)/(IF(Inputs!$B$39="pvp",15,MAX(0.1,Skills!D8-IF(Skills!E8=TRUE,Inputs!$B$33,0)))*(1-IF(AND(ArtifactsInput!$M$27,Inputs!$B$4="Chapter Hunt"),CHOOSE(ArtifactsInput!$N$27+1,20,24,28,32,36,40),0)/100)))+1)),0)</f>
        <v/>
      </c>
      <c r="S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$21+Skills!O8+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$22+Skills!P8+B239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
      <c r="A216">
        <f>Skills!A9</f>
        <v/>
      </c>
      <c r="B216">
        <f>Skills!B9</f>
        <v/>
      </c>
      <c r="C216">
        <f>Inputs!$B$3&gt;=115</f>
        <v/>
      </c>
      <c r="D216">
        <f>IF(Skills!C9=1,60+Inputs!$B$26+Inputs!$B$30,IF(Skills!C9=2,90+Inputs!$B$27+Inputs!$B$30,IF(Skills!C9=3,120+Inputs!$B$28+Inputs!$B$30,MAX(0,(Inputs!$B$3-100)*3)+Inputs!$B$29+Inputs!$B$30)))</f>
        <v/>
      </c>
      <c r="E216">
        <f>INDEX(FactorTable!$B$2:$Y$301, MATCH(ROUND(MIN(300,MAX(1,D216)),0), FactorTable!$A$2:$A$301,0), Skills!L9+1)</f>
        <v/>
      </c>
      <c r="F216">
        <f>IF(Skills!M9=TRUE,(Skills!K9/10)*(E216/1000),Skills!K9/10)+Skills!N9</f>
        <v/>
      </c>
      <c r="G216">
        <f>Calc!G9</f>
        <v/>
      </c>
      <c r="H216">
        <f>Calc!H9</f>
        <v/>
      </c>
      <c r="I216">
        <f>IF(Skills!T9&lt;&gt;"",1+(Skills!T9/10)*($Z$3/1000)/100,1)</f>
        <v/>
      </c>
      <c r="J216">
        <f>((Inputs!$B$6*(1+Inputs!$B$7/100))+(((Inputs!$B$13*(1+Inputs!$B$14/100))-(Inputs!$B$13*(1+Inputs!$B$14/100)))+0.25*(Inputs!$B$15-Inputs!$B$15))*(1+Inputs!$B$7/100))*(F216/100)</f>
        <v/>
      </c>
      <c r="K216">
        <f>J216*(1+(((Inputs!$B$13+IF(Inputs!$B$3&gt;=35,(10*INDEX(FactorTable!$B$2:$Y$301,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9="TRIUMPH_FEATHER",IF(C223=TRUE,F223,0),0)/100)*(1+IF(C234=TRUE,F234,0)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216)</f>
        <v/>
      </c>
      <c r="L216">
        <f>K216*(MIN(Inputs!$B$23+(F229-Calc!F22),(Inputs!$B$24+IF(ArtifactsInput!$M$15,CHOOSE(ArtifactsInput!$N$15+1,25,30,35,40,45,50)/100*(Inputs!$B$12-Inputs!$B$12),0)))/100+(Inputs!$B$24+IF(ArtifactsInput!$M$15,CHOOSE(ArtifactsInput!$N$15+1,25,30,35,40,45,50)/100*(Inputs!$B$12-Inputs!$B$12),0))/100)/2</f>
        <v/>
      </c>
      <c r="M216">
        <f>L216*(1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6">
        <f>L216*(1-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
        <f>(1-Summary!$B$11)*S216+Summary!$B$11*U216</f>
        <v/>
      </c>
      <c r="P216">
        <f>IF(B250=0,0,O216/B250)</f>
        <v/>
      </c>
      <c r="Q216">
        <f>IFERROR(1/(IF(Inputs!$B$39="pvp",15,MAX(0.1,Skills!D9-IF(Skills!E9=TRUE,Inputs!$B$33,0)))*(1-IF(AND(ArtifactsInput!$M$27,Inputs!$B$4="Chapter Hunt"),CHOOSE(ArtifactsInput!$N$27+1,20,24,28,32,36,40),0)/100)),0)</f>
        <v/>
      </c>
      <c r="R216">
        <f>IF(AND(Inputs!$B$39&lt;&gt;"pvp",Inputs!$B$44&gt;0),IF(MAX(0,Inputs!$B$44-B247)&lt;=0,0,(INT(MAX(0,Inputs!$B$44-B247)/(IF(Inputs!$B$39="pvp",15,MAX(0.1,Skills!D9-IF(Skills!E9=TRUE,Inputs!$B$33,0)))*(1-IF(AND(ArtifactsInput!$M$27,Inputs!$B$4="Chapter Hunt"),CHOOSE(ArtifactsInput!$N$27+1,20,24,28,32,36,40),0)/100)))+1)),0)</f>
        <v/>
      </c>
      <c r="S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$21+Skills!O9+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216*(1-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$22+Skills!P9+B239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
      <c r="A217">
        <f>Skills!A10</f>
        <v/>
      </c>
      <c r="B217">
        <f>Skills!B10</f>
        <v/>
      </c>
      <c r="C217">
        <f>Inputs!$B$3&gt;=66</f>
        <v/>
      </c>
      <c r="D217">
        <f>IF(Skills!C10=1,60+Inputs!$B$26+Inputs!$B$30,IF(Skills!C10=2,90+Inputs!$B$27+Inputs!$B$30,IF(Skills!C10=3,120+Inputs!$B$28+Inputs!$B$30,MAX(0,(Inputs!$B$3-100)*3)+Inputs!$B$29+Inputs!$B$30)))</f>
        <v/>
      </c>
      <c r="E217">
        <f>INDEX(FactorTable!$B$2:$Y$301, MATCH(ROUND(MIN(300,MAX(1,D217)),0), FactorTable!$A$2:$A$301,0), Skills!L10+1)</f>
        <v/>
      </c>
      <c r="F217" t="n">
        <v>0</v>
      </c>
      <c r="G217">
        <f>Calc!G10</f>
        <v/>
      </c>
      <c r="H217">
        <f>Calc!H10</f>
        <v/>
      </c>
      <c r="I217">
        <f>IF(Skills!T10&lt;&gt;"",1+(Skills!T10/10)*($Z$3/1000)/100,1)</f>
        <v/>
      </c>
      <c r="J217" t="inlineStr"/>
      <c r="K217" t="inlineStr"/>
      <c r="L217" t="inlineStr"/>
      <c r="M217" t="inlineStr"/>
      <c r="N217" t="inlineStr"/>
      <c r="O217">
        <f>(1-Summary!$B$11)*S217+Summary!$B$11*U217</f>
        <v/>
      </c>
      <c r="P217">
        <f>IF(B250=0,0,O217/B250)</f>
        <v/>
      </c>
      <c r="Q217">
        <f>IFERROR(1/(IF(Inputs!$B$39="pvp",15,MAX(0.1,Skills!D10-IF(Skills!E10=TRUE,Inputs!$B$33,0)))*(1-IF(AND(ArtifactsInput!$M$27,Inputs!$B$4="Chapter Hunt"),CHOOSE(ArtifactsInput!$N$27+1,20,24,28,32,36,40),0)/100)),0)</f>
        <v/>
      </c>
      <c r="R217">
        <f>IF(AND(Inputs!$B$39&lt;&gt;"pvp",Inputs!$B$44&gt;0),IF(MAX(0,Inputs!$B$44-B247)&lt;=0,0,(INT(MAX(0,Inputs!$B$44-B247)/(IF(Inputs!$B$39="pvp",15,MAX(0.1,Skills!D10-IF(Skills!E10=TRUE,Inputs!$B$33,0)))*(1-IF(AND(ArtifactsInput!$M$27,Inputs!$B$4="Chapter Hunt"),CHOOSE(ArtifactsInput!$N$27+1,20,24,28,32,36,40),0)/100)))+1)),0)</f>
        <v/>
      </c>
      <c r="S217" t="n">
        <v>0</v>
      </c>
      <c r="U217" t="n">
        <v>0</v>
      </c>
    </row>
    <row r="218">
      <c r="A218">
        <f>Skills!A11</f>
        <v/>
      </c>
      <c r="B218">
        <f>Skills!B11</f>
        <v/>
      </c>
      <c r="C218">
        <f>Inputs!$B$3&gt;=69</f>
        <v/>
      </c>
      <c r="D218">
        <f>IF(Skills!C11=1,60+Inputs!$B$26+Inputs!$B$30,IF(Skills!C11=2,90+Inputs!$B$27+Inputs!$B$30,IF(Skills!C11=3,120+Inputs!$B$28+Inputs!$B$30,MAX(0,(Inputs!$B$3-100)*3)+Inputs!$B$29+Inputs!$B$30)))</f>
        <v/>
      </c>
      <c r="E218">
        <f>INDEX(FactorTable!$B$2:$Y$301, MATCH(ROUND(MIN(300,MAX(1,D218)),0), FactorTable!$A$2:$A$301,0), Skills!L11+1)</f>
        <v/>
      </c>
      <c r="F218">
        <f>IF(Skills!M11=TRUE,(Skills!K11/10)*(E218/1000),Skills!K11/10)+Skills!N11</f>
        <v/>
      </c>
      <c r="G218">
        <f>Calc!G11</f>
        <v/>
      </c>
      <c r="H218">
        <f>Calc!H11</f>
        <v/>
      </c>
      <c r="I218">
        <f>IF(Skills!T11&lt;&gt;"",1+(Skills!T11/10)*($Z$3/1000)/100,1)</f>
        <v/>
      </c>
      <c r="J218" t="inlineStr"/>
      <c r="K218" t="inlineStr"/>
      <c r="L218" t="inlineStr"/>
      <c r="M218" t="inlineStr"/>
      <c r="N218" t="inlineStr"/>
      <c r="O218">
        <f>(1-Summary!$B$11)*S218+Summary!$B$11*U218</f>
        <v/>
      </c>
      <c r="P218">
        <f>IF(B250=0,0,O218/B250)</f>
        <v/>
      </c>
      <c r="Q218">
        <f>IFERROR(1/(IF(Inputs!$B$39="pvp",15,MAX(0.1,Skills!D11-IF(Skills!E11=TRUE,Inputs!$B$33,0)))*(1-IF(AND(ArtifactsInput!$M$27,Inputs!$B$4="Chapter Hunt"),CHOOSE(ArtifactsInput!$N$27+1,20,24,28,32,36,40),0)/100)),0)</f>
        <v/>
      </c>
      <c r="R218">
        <f>IF(AND(Inputs!$B$39&lt;&gt;"pvp",Inputs!$B$44&gt;0),IF(Inputs!$B$44&lt;=0,0,(INT(Inputs!$B$44/(IF(Inputs!$B$39="pvp",15,MAX(0.1,Skills!D11-IF(Skills!E11=TRUE,Inputs!$B$33,0)))*(1-IF(AND(ArtifactsInput!$M$27,Inputs!$B$4="Chapter Hunt"),CHOOSE(ArtifactsInput!$N$27+1,20,24,28,32,36,40),0)/100)))+1)),0)</f>
        <v/>
      </c>
      <c r="S218" t="n">
        <v>0</v>
      </c>
      <c r="U218" t="n">
        <v>0</v>
      </c>
    </row>
    <row r="219">
      <c r="A219">
        <f>Skills!A12</f>
        <v/>
      </c>
      <c r="B219">
        <f>Skills!B12</f>
        <v/>
      </c>
      <c r="C219">
        <f>Inputs!$B$3&gt;=72</f>
        <v/>
      </c>
      <c r="D219">
        <f>IF(Skills!C12=1,60+Inputs!$B$26+Inputs!$B$30,IF(Skills!C12=2,90+Inputs!$B$27+Inputs!$B$30,IF(Skills!C12=3,120+Inputs!$B$28+Inputs!$B$30,MAX(0,(Inputs!$B$3-100)*3)+Inputs!$B$29+Inputs!$B$30)))</f>
        <v/>
      </c>
      <c r="E219">
        <f>INDEX(FactorTable!$B$2:$Y$301, MATCH(ROUND(MIN(300,MAX(1,D219)),0), FactorTable!$A$2:$A$301,0), Skills!L12+1)</f>
        <v/>
      </c>
      <c r="F219">
        <f>IF(Skills!M12=TRUE,(Skills!K12/10)*(E219/1000),Skills!K12/10)+Skills!N12</f>
        <v/>
      </c>
      <c r="G219">
        <f>Calc!G12</f>
        <v/>
      </c>
      <c r="H219">
        <f>Calc!H12</f>
        <v/>
      </c>
      <c r="I219">
        <f>IF(Skills!T12&lt;&gt;"",1+(Skills!T12/10)*($Z$3/1000)/100,1)</f>
        <v/>
      </c>
      <c r="J219" t="inlineStr"/>
      <c r="K219" t="inlineStr"/>
      <c r="L219" t="inlineStr"/>
      <c r="M219" t="inlineStr"/>
      <c r="N219" t="inlineStr"/>
      <c r="O219">
        <f>(1-Summary!$B$11)*S219+Summary!$B$11*U219</f>
        <v/>
      </c>
      <c r="P219">
        <f>IF(B250=0,0,O219/B250)</f>
        <v/>
      </c>
      <c r="Q219">
        <f>IFERROR(1/(IF(Inputs!$B$39="pvp",15,MAX(0.1,Skills!D12-IF(Skills!E12=TRUE,Inputs!$B$33,0)))*(1-IF(AND(ArtifactsInput!$M$27,Inputs!$B$4="Chapter Hunt"),CHOOSE(ArtifactsInput!$N$27+1,20,24,28,32,36,40),0)/100)),0)</f>
        <v/>
      </c>
      <c r="R219">
        <f>IF(AND(Inputs!$B$39&lt;&gt;"pvp",Inputs!$B$44&gt;0),IF(MAX(0,Inputs!$B$44-B247)&lt;=0,0,(INT(MAX(0,Inputs!$B$44-B247)/(IF(Inputs!$B$39="pvp",15,MAX(0.1,Skills!D12-IF(Skills!E12=TRUE,Inputs!$B$33,0)))*(1-IF(AND(ArtifactsInput!$M$27,Inputs!$B$4="Chapter Hunt"),CHOOSE(ArtifactsInput!$N$27+1,20,24,28,32,36,40),0)/100)))+1)),0)</f>
        <v/>
      </c>
      <c r="S219" t="n">
        <v>0</v>
      </c>
      <c r="U219" t="n">
        <v>0</v>
      </c>
    </row>
    <row r="220">
      <c r="A220">
        <f>Skills!A13</f>
        <v/>
      </c>
      <c r="B220">
        <f>Skills!B13</f>
        <v/>
      </c>
      <c r="C220">
        <f>Inputs!$B$3&gt;=60</f>
        <v/>
      </c>
      <c r="D220">
        <f>IF(Skills!C13=1,60+Inputs!$B$26+Inputs!$B$30,IF(Skills!C13=2,90+Inputs!$B$27+Inputs!$B$30,IF(Skills!C13=3,120+Inputs!$B$28+Inputs!$B$30,MAX(0,(Inputs!$B$3-100)*3)+Inputs!$B$29+Inputs!$B$30)))</f>
        <v/>
      </c>
      <c r="E220">
        <f>INDEX(FactorTable!$B$2:$Y$301, MATCH(ROUND(MIN(300,MAX(1,D220)),0), FactorTable!$A$2:$A$301,0), Skills!L13+1)</f>
        <v/>
      </c>
      <c r="F220">
        <f>IF(Skills!M13=TRUE,(Skills!K13/10)*(E220/1000),Skills!K13/10)+Skills!N13</f>
        <v/>
      </c>
      <c r="G220">
        <f>Calc!G13</f>
        <v/>
      </c>
      <c r="H220">
        <f>Calc!H13</f>
        <v/>
      </c>
      <c r="I220">
        <f>IF(Skills!T13&lt;&gt;"",1+(Skills!T13/10)*($Z$3/1000)/100,1)</f>
        <v/>
      </c>
      <c r="J220" t="inlineStr"/>
      <c r="K220" t="inlineStr"/>
      <c r="L220" t="inlineStr"/>
      <c r="M220" t="inlineStr"/>
      <c r="N220" t="inlineStr"/>
      <c r="O220">
        <f>(1-Summary!$B$11)*S220+Summary!$B$11*U220</f>
        <v/>
      </c>
      <c r="P220">
        <f>IF(B250=0,0,O220/B250)</f>
        <v/>
      </c>
      <c r="Q220">
        <f>IFERROR(1/(IF(Inputs!$B$39="pvp",15,MAX(0.1,Skills!D13-IF(Skills!E13=TRUE,Inputs!$B$33,0)))*(1-IF(AND(ArtifactsInput!$M$27,Inputs!$B$4="Chapter Hunt"),CHOOSE(ArtifactsInput!$N$27+1,20,24,28,32,36,40),0)/100)),0)</f>
        <v/>
      </c>
      <c r="R220">
        <f>IF(AND(Inputs!$B$39&lt;&gt;"pvp",Inputs!$B$44&gt;0),IF(MAX(0,Inputs!$B$44-B247)&lt;=0,0,(INT(MAX(0,Inputs!$B$44-B247)/(IF(Inputs!$B$39="pvp",15,MAX(0.1,Skills!D13-IF(Skills!E13=TRUE,Inputs!$B$33,0)))*(1-IF(AND(ArtifactsInput!$M$27,Inputs!$B$4="Chapter Hunt"),CHOOSE(ArtifactsInput!$N$27+1,20,24,28,32,36,40),0)/100)))+1)),0)</f>
        <v/>
      </c>
      <c r="S220" t="n">
        <v>0</v>
      </c>
      <c r="U220" t="n">
        <v>0</v>
      </c>
    </row>
    <row r="221">
      <c r="A221">
        <f>Skills!A14</f>
        <v/>
      </c>
      <c r="B221">
        <f>Skills!B14</f>
        <v/>
      </c>
      <c r="C221">
        <f>Inputs!$B$3&gt;=107</f>
        <v/>
      </c>
      <c r="D221">
        <f>IF(Skills!C14=1,60+Inputs!$B$26+Inputs!$B$30,IF(Skills!C14=2,90+Inputs!$B$27+Inputs!$B$30,IF(Skills!C14=3,120+Inputs!$B$28+Inputs!$B$30,MAX(0,(Inputs!$B$3-100)*3)+Inputs!$B$29+Inputs!$B$30)))</f>
        <v/>
      </c>
      <c r="E221">
        <f>INDEX(FactorTable!$B$2:$Y$301, MATCH(ROUND(MIN(300,MAX(1,D221)),0), FactorTable!$A$2:$A$301,0), Skills!L14+1)</f>
        <v/>
      </c>
      <c r="F221">
        <f>IF(Skills!M14=TRUE,(Skills!K14/10)*(E221/1000),Skills!K14/10)+Skills!N14</f>
        <v/>
      </c>
      <c r="G221">
        <f>Calc!G14</f>
        <v/>
      </c>
      <c r="H221">
        <f>Calc!H14</f>
        <v/>
      </c>
      <c r="I221">
        <f>IF(Skills!T14&lt;&gt;"",1+(Skills!T14/10)*($Z$3/1000)/100,1)</f>
        <v/>
      </c>
      <c r="J221" t="inlineStr"/>
      <c r="K221" t="inlineStr"/>
      <c r="L221" t="inlineStr"/>
      <c r="M221" t="inlineStr"/>
      <c r="N221" t="inlineStr"/>
      <c r="O221">
        <f>(1-Summary!$B$11)*S221+Summary!$B$11*U221</f>
        <v/>
      </c>
      <c r="P221">
        <f>IF(B250=0,0,O221/B250)</f>
        <v/>
      </c>
      <c r="Q221">
        <f>IFERROR(1/(IF(Inputs!$B$39="pvp",15,MAX(0.1,Skills!D14-IF(Skills!E14=TRUE,Inputs!$B$33,0)))*(1-IF(AND(ArtifactsInput!$M$27,Inputs!$B$4="Chapter Hunt"),CHOOSE(ArtifactsInput!$N$27+1,20,24,28,32,36,40),0)/100)),0)</f>
        <v/>
      </c>
      <c r="R221">
        <f>IF(AND(Inputs!$B$39&lt;&gt;"pvp",Inputs!$B$44&gt;0),IF(Inputs!$B$44&lt;=0,0,(INT(Inputs!$B$44/(IF(Inputs!$B$39="pvp",15,MAX(0.1,Skills!D14-IF(Skills!E14=TRUE,Inputs!$B$33,0)))*(1-IF(AND(ArtifactsInput!$M$27,Inputs!$B$4="Chapter Hunt"),CHOOSE(ArtifactsInput!$N$27+1,20,24,28,32,36,40),0)/100)))+1)),0)</f>
        <v/>
      </c>
      <c r="S221" t="n">
        <v>0</v>
      </c>
      <c r="U221" t="n">
        <v>0</v>
      </c>
    </row>
    <row r="222">
      <c r="A222">
        <f>Skills!A15</f>
        <v/>
      </c>
      <c r="B222">
        <f>Skills!B15</f>
        <v/>
      </c>
      <c r="C222">
        <f>Inputs!$B$3&gt;=63</f>
        <v/>
      </c>
      <c r="D222">
        <f>IF(Skills!C15=1,60+Inputs!$B$26+Inputs!$B$30,IF(Skills!C15=2,90+Inputs!$B$27+Inputs!$B$30,IF(Skills!C15=3,120+Inputs!$B$28+Inputs!$B$30,MAX(0,(Inputs!$B$3-100)*3)+Inputs!$B$29+Inputs!$B$30)))</f>
        <v/>
      </c>
      <c r="E222">
        <f>INDEX(FactorTable!$B$2:$Y$301, MATCH(ROUND(MIN(300,MAX(1,D222)),0), FactorTable!$A$2:$A$301,0), Skills!L15+1)</f>
        <v/>
      </c>
      <c r="F222">
        <f>IF(Skills!M15=TRUE,(Skills!K15/10)*(E222/1000),Skills!K15/10)+Skills!N15</f>
        <v/>
      </c>
      <c r="G222">
        <f>Calc!G15</f>
        <v/>
      </c>
      <c r="H222">
        <f>Calc!H15</f>
        <v/>
      </c>
      <c r="I222">
        <f>IF(Skills!T15&lt;&gt;"",1+(Skills!T15/10)*($Z$3/1000)/100,1)</f>
        <v/>
      </c>
      <c r="J222">
        <f>((Inputs!$B$6*(1+Inputs!$B$7/100))+(((Inputs!$B$13*(1+Inputs!$B$14/100))-(Inputs!$B$13*(1+Inputs!$B$14/100)))+0.25*(Inputs!$B$15-Inputs!$B$15))*(1+Inputs!$B$7/100))*(F222/100)</f>
        <v/>
      </c>
      <c r="K222">
        <f>J222*(1+(((Inputs!$B$13+IF(Inputs!$B$3&gt;=35,(10*INDEX(FactorTable!$B$2:$Y$301,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15="TRIUMPH_FEATHER",IF(C223=TRUE,F223,0),0)/100)*(1+IF(C234=TRUE,F234,0)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222)</f>
        <v/>
      </c>
      <c r="L222">
        <f>K222*(MIN(Inputs!$B$23+(F229-Calc!F22),(Inputs!$B$24+IF(ArtifactsInput!$M$15,CHOOSE(ArtifactsInput!$N$15+1,25,30,35,40,45,50)/100*(Inputs!$B$12-Inputs!$B$12),0)))/100+(Inputs!$B$24+IF(ArtifactsInput!$M$15,CHOOSE(ArtifactsInput!$N$15+1,25,30,35,40,45,50)/100*(Inputs!$B$12-Inputs!$B$12),0))/100)/2</f>
        <v/>
      </c>
      <c r="M222">
        <f>L222*(1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2">
        <f>L222*(1-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(1-Summary!$B$11)*S222+Summary!$B$11*U222</f>
        <v/>
      </c>
      <c r="P222">
        <f>IF(B250=0,0,O222/B250)</f>
        <v/>
      </c>
      <c r="Q222">
        <f>IFERROR(1/(IF(Inputs!$B$39="pvp",15,MAX(0.1,Skills!D15-IF(Skills!E15=TRUE,Inputs!$B$33,0)))*(1-IF(AND(ArtifactsInput!$M$27,Inputs!$B$4="Chapter Hunt"),CHOOSE(ArtifactsInput!$N$27+1,20,24,28,32,36,40),0)/100)),0)</f>
        <v/>
      </c>
      <c r="R222" t="n">
        <v>0</v>
      </c>
      <c r="S222">
        <f>IF(C222,(Skills!F15*N222*((IF(Inputs!$B$3&gt;=78,25,15)/100*B243*10)/(1+IF(Inputs!$B$3&gt;=78,25,15)/100*B243*10))*(Skills!I15/100*B243)/(1+Skills!G15*Skills!I15/100*B243))*IF(Inputs!$B$39="pvp",1,1+(Inputs!$B$21+Skills!O15+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222*(1-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F(C222,(Skills!F15*N222*((IF(Inputs!$B$3&gt;=78,25,15)/100*B243*10)/(1+IF(Inputs!$B$3&gt;=78,25,15)/100*B243*10))*(Skills!I15/100*B243)/(1+Skills!G15*Skills!I15/100*B243))*IF(Inputs!$B$39="pvp",1,(1+(Inputs!$B$22+Skills!P15+B239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Skills!A16</f>
        <v/>
      </c>
      <c r="B223">
        <f>Skills!B16</f>
        <v/>
      </c>
      <c r="C223">
        <f>Inputs!$B$3&gt;=100</f>
        <v/>
      </c>
      <c r="D223">
        <f>IF(Skills!C16=1,60+Inputs!$B$26+Inputs!$B$30,IF(Skills!C16=2,90+Inputs!$B$27+Inputs!$B$30,IF(Skills!C16=3,120+Inputs!$B$28+Inputs!$B$30,MAX(0,(Inputs!$B$3-100)*3)+Inputs!$B$29+Inputs!$B$30)))</f>
        <v/>
      </c>
      <c r="E223">
        <f>INDEX(FactorTable!$B$2:$Y$301, MATCH(ROUND(MIN(300,MAX(1,D223)),0), FactorTable!$A$2:$A$301,0), Skills!L16+1)</f>
        <v/>
      </c>
      <c r="F223">
        <f>IF(Skills!M16=TRUE,(Skills!K16/10)*(E223/1000),Skills!K16/10)+Skills!N16</f>
        <v/>
      </c>
      <c r="G223">
        <f>Calc!G16</f>
        <v/>
      </c>
      <c r="H223">
        <f>Calc!H16</f>
        <v/>
      </c>
      <c r="I223">
        <f>IF(Skills!T16&lt;&gt;"",1+(Skills!T16/10)*($Z$3/1000)/100,1)</f>
        <v/>
      </c>
      <c r="J223" t="inlineStr"/>
      <c r="K223" t="inlineStr"/>
      <c r="L223" t="inlineStr"/>
      <c r="M223" t="inlineStr"/>
      <c r="N223" t="inlineStr"/>
      <c r="O223">
        <f>(1-Summary!$B$11)*S223+Summary!$B$11*U223</f>
        <v/>
      </c>
      <c r="P223">
        <f>IF(B250=0,0,O223/B250)</f>
        <v/>
      </c>
      <c r="Q223">
        <f>IFERROR(1/(IF(Inputs!$B$39="pvp",15,MAX(0.1,Skills!D16-IF(Skills!E16=TRUE,Inputs!$B$33,0)))*(1-IF(AND(ArtifactsInput!$M$27,Inputs!$B$4="Chapter Hunt"),CHOOSE(ArtifactsInput!$N$27+1,20,24,28,32,36,40),0)/100)),0)</f>
        <v/>
      </c>
      <c r="R223" t="n">
        <v>0</v>
      </c>
      <c r="S223" t="n">
        <v>0</v>
      </c>
      <c r="U223" t="n">
        <v>0</v>
      </c>
    </row>
    <row r="224">
      <c r="A224">
        <f>Skills!A17</f>
        <v/>
      </c>
      <c r="B224">
        <f>Skills!B17</f>
        <v/>
      </c>
      <c r="C224">
        <f>Inputs!$B$3&gt;=49</f>
        <v/>
      </c>
      <c r="D224">
        <f>IF(Skills!C17=1,60+Inputs!$B$26+Inputs!$B$30,IF(Skills!C17=2,90+Inputs!$B$27+Inputs!$B$30,IF(Skills!C17=3,120+Inputs!$B$28+Inputs!$B$30,MAX(0,(Inputs!$B$3-100)*3)+Inputs!$B$29+Inputs!$B$30)))</f>
        <v/>
      </c>
      <c r="E224">
        <f>INDEX(FactorTable!$B$2:$Y$301, MATCH(ROUND(MIN(300,MAX(1,D224)),0), FactorTable!$A$2:$A$301,0), Skills!L17+1)</f>
        <v/>
      </c>
      <c r="F224">
        <f>IF(Skills!M17=TRUE,(Skills!K17/10)*(E224/1000),Skills!K17/10)+Skills!N17</f>
        <v/>
      </c>
      <c r="G224">
        <f>Calc!G17</f>
        <v/>
      </c>
      <c r="H224">
        <f>Calc!H17</f>
        <v/>
      </c>
      <c r="I224">
        <f>IF(Skills!T17&lt;&gt;"",1+(Skills!T17/10)*($Z$3/1000)/100,1)</f>
        <v/>
      </c>
      <c r="J224" t="inlineStr"/>
      <c r="K224" t="inlineStr"/>
      <c r="L224" t="inlineStr"/>
      <c r="M224" t="inlineStr"/>
      <c r="N224" t="inlineStr"/>
      <c r="O224">
        <f>(1-Summary!$B$11)*S224+Summary!$B$11*U224</f>
        <v/>
      </c>
      <c r="P224">
        <f>IF(B250=0,0,O224/B250)</f>
        <v/>
      </c>
      <c r="Q224">
        <f>IFERROR(1/(IF(Inputs!$B$39="pvp",15,MAX(0.1,Skills!D17-IF(Skills!E17=TRUE,Inputs!$B$33,0)))*(1-IF(AND(ArtifactsInput!$M$27,Inputs!$B$4="Chapter Hunt"),CHOOSE(ArtifactsInput!$N$27+1,20,24,28,32,36,40),0)/100)),0)</f>
        <v/>
      </c>
      <c r="R224" t="n">
        <v>0</v>
      </c>
      <c r="S224" t="n">
        <v>0</v>
      </c>
      <c r="U224" t="n">
        <v>0</v>
      </c>
    </row>
    <row r="225">
      <c r="A225">
        <f>Skills!A18</f>
        <v/>
      </c>
      <c r="B225">
        <f>Skills!B18</f>
        <v/>
      </c>
      <c r="C225">
        <f>Inputs!$B$3&gt;=75</f>
        <v/>
      </c>
      <c r="D225">
        <f>IF(Skills!C18=1,60+Inputs!$B$26+Inputs!$B$30,IF(Skills!C18=2,90+Inputs!$B$27+Inputs!$B$30,IF(Skills!C18=3,120+Inputs!$B$28+Inputs!$B$30,MAX(0,(Inputs!$B$3-100)*3)+Inputs!$B$29+Inputs!$B$30)))</f>
        <v/>
      </c>
      <c r="E225">
        <f>INDEX(FactorTable!$B$2:$Y$301, MATCH(ROUND(MIN(300,MAX(1,D225)),0), FactorTable!$A$2:$A$301,0), Skills!L18+1)</f>
        <v/>
      </c>
      <c r="F225">
        <f>IF(Skills!M18=TRUE,(Skills!K18/10)*(E225/1000),Skills!K18/10)+Skills!N18</f>
        <v/>
      </c>
      <c r="G225">
        <f>Calc!G18</f>
        <v/>
      </c>
      <c r="H225">
        <f>Calc!H18</f>
        <v/>
      </c>
      <c r="I225">
        <f>IF(Skills!T18&lt;&gt;"",1+(Skills!T18/10)*($Z$3/1000)/100,1)</f>
        <v/>
      </c>
      <c r="J225" t="inlineStr"/>
      <c r="K225" t="inlineStr"/>
      <c r="L225" t="inlineStr"/>
      <c r="M225" t="inlineStr"/>
      <c r="N225" t="inlineStr"/>
      <c r="O225">
        <f>(1-Summary!$B$11)*S225+Summary!$B$11*U225</f>
        <v/>
      </c>
      <c r="P225">
        <f>IF(B250=0,0,O225/B250)</f>
        <v/>
      </c>
      <c r="Q225">
        <f>IFERROR(1/(IF(Inputs!$B$39="pvp",15,MAX(0.1,Skills!D18-IF(Skills!E18=TRUE,Inputs!$B$33,0)))*(1-IF(AND(ArtifactsInput!$M$27,Inputs!$B$4="Chapter Hunt"),CHOOSE(ArtifactsInput!$N$27+1,20,24,28,32,36,40),0)/100)),0)</f>
        <v/>
      </c>
      <c r="R225" t="n">
        <v>0</v>
      </c>
      <c r="S225" t="n">
        <v>0</v>
      </c>
      <c r="U225" t="n">
        <v>0</v>
      </c>
    </row>
    <row r="226">
      <c r="A226">
        <f>Skills!A19</f>
        <v/>
      </c>
      <c r="B226">
        <f>Skills!B19</f>
        <v/>
      </c>
      <c r="C226">
        <f>Inputs!$B$3&gt;=110</f>
        <v/>
      </c>
      <c r="D226">
        <f>IF(Skills!C19=1,60+Inputs!$B$26+Inputs!$B$30,IF(Skills!C19=2,90+Inputs!$B$27+Inputs!$B$30,IF(Skills!C19=3,120+Inputs!$B$28+Inputs!$B$30,MAX(0,(Inputs!$B$3-100)*3)+Inputs!$B$29+Inputs!$B$30)))</f>
        <v/>
      </c>
      <c r="E226">
        <f>INDEX(FactorTable!$B$2:$Y$301, MATCH(ROUND(MIN(300,MAX(1,D226)),0), FactorTable!$A$2:$A$301,0), Skills!L19+1)</f>
        <v/>
      </c>
      <c r="F226">
        <f>(Skills!K19/10)*(E226/1000)*64/45+Skills!N19</f>
        <v/>
      </c>
      <c r="G226">
        <f>Calc!G19</f>
        <v/>
      </c>
      <c r="H226">
        <f>Calc!H19</f>
        <v/>
      </c>
      <c r="I226">
        <f>IF(Skills!T19&lt;&gt;"",1+(Skills!T19/10)*($Z$3/1000)/100,1)</f>
        <v/>
      </c>
      <c r="J226" t="inlineStr"/>
      <c r="K226" t="inlineStr"/>
      <c r="L226" t="inlineStr"/>
      <c r="M226" t="inlineStr"/>
      <c r="N226" t="inlineStr"/>
      <c r="O226">
        <f>(1-Summary!$B$11)*S226+Summary!$B$11*U226</f>
        <v/>
      </c>
      <c r="P226">
        <f>IF(B250=0,0,O226/B250)</f>
        <v/>
      </c>
      <c r="Q226">
        <f>IFERROR(1/(IF(Inputs!$B$39="pvp",15,MAX(0.1,Skills!D19-IF(Skills!E19=TRUE,Inputs!$B$33,0)))*(1-IF(AND(ArtifactsInput!$M$27,Inputs!$B$4="Chapter Hunt"),CHOOSE(ArtifactsInput!$N$27+1,20,24,28,32,36,40),0)/100)),0)</f>
        <v/>
      </c>
      <c r="R226">
        <f>IF(AND(Inputs!$B$39&lt;&gt;"pvp",Inputs!$B$44&gt;0),IF(Inputs!$B$44&lt;=0,0,(INT(Inputs!$B$44/(IF(Inputs!$B$39="pvp",15,MAX(0.1,Skills!D19-IF(Skills!E19=TRUE,Inputs!$B$33,0)))*(1-IF(AND(ArtifactsInput!$M$27,Inputs!$B$4="Chapter Hunt"),CHOOSE(ArtifactsInput!$N$27+1,20,24,28,32,36,40),0)/100)))+1)),0)</f>
        <v/>
      </c>
      <c r="S226" t="n">
        <v>0</v>
      </c>
      <c r="U226" t="n">
        <v>0</v>
      </c>
    </row>
    <row r="227">
      <c r="A227">
        <f>Skills!A20</f>
        <v/>
      </c>
      <c r="B227">
        <f>Skills!B20</f>
        <v/>
      </c>
      <c r="C227">
        <f>Inputs!$B$3&gt;=125</f>
        <v/>
      </c>
      <c r="D227">
        <f>IF(Skills!C20=1,60+Inputs!$B$26+Inputs!$B$30,IF(Skills!C20=2,90+Inputs!$B$27+Inputs!$B$30,IF(Skills!C20=3,120+Inputs!$B$28+Inputs!$B$30,MAX(0,(Inputs!$B$3-100)*3)+Inputs!$B$29+Inputs!$B$30)))</f>
        <v/>
      </c>
      <c r="E227">
        <f>INDEX(FactorTable!$B$2:$Y$301, MATCH(ROUND(MIN(300,MAX(1,D227)),0), FactorTable!$A$2:$A$301,0), Skills!L20+1)</f>
        <v/>
      </c>
      <c r="F227">
        <f>IF(Skills!M20=TRUE,(Skills!K20/10)*(E227/1000),Skills!K20/10)+Skills!N20</f>
        <v/>
      </c>
      <c r="G227">
        <f>Calc!G20</f>
        <v/>
      </c>
      <c r="H227">
        <f>Calc!H20</f>
        <v/>
      </c>
      <c r="I227">
        <f>IF(Skills!T20&lt;&gt;"",1+(Skills!T20/10)*($Z$3/1000)/100,1)</f>
        <v/>
      </c>
      <c r="J227" t="inlineStr"/>
      <c r="K227" t="inlineStr"/>
      <c r="L227" t="inlineStr"/>
      <c r="M227" t="inlineStr"/>
      <c r="N227" t="inlineStr"/>
      <c r="O227">
        <f>(1-Summary!$B$11)*S227+Summary!$B$11*U227</f>
        <v/>
      </c>
      <c r="P227">
        <f>IF(B250=0,0,O227/B250)</f>
        <v/>
      </c>
      <c r="Q227">
        <f>IFERROR(1/(IF(Inputs!$B$39="pvp",15,MAX(0.1,Skills!D20-IF(Skills!E20=TRUE,Inputs!$B$33,0)))*(1-IF(AND(ArtifactsInput!$M$27,Inputs!$B$4="Chapter Hunt"),CHOOSE(ArtifactsInput!$N$27+1,20,24,28,32,36,40),0)/100)),0)</f>
        <v/>
      </c>
      <c r="R227" t="n">
        <v>0</v>
      </c>
      <c r="S227" t="n">
        <v>0</v>
      </c>
      <c r="U227" t="n">
        <v>0</v>
      </c>
    </row>
    <row r="228">
      <c r="A228">
        <f>Skills!A21</f>
        <v/>
      </c>
      <c r="B228">
        <f>Skills!B21</f>
        <v/>
      </c>
      <c r="C228">
        <f>Inputs!$B$3&gt;=33</f>
        <v/>
      </c>
      <c r="D228">
        <f>IF(Skills!C21=1,60+Inputs!$B$26+Inputs!$B$30,IF(Skills!C21=2,90+Inputs!$B$27+Inputs!$B$30,IF(Skills!C21=3,120+Inputs!$B$28+Inputs!$B$30,MAX(0,(Inputs!$B$3-100)*3)+Inputs!$B$29+Inputs!$B$30)))</f>
        <v/>
      </c>
      <c r="E228">
        <f>INDEX(FactorTable!$B$2:$Y$301, MATCH(ROUND(MIN(300,MAX(1,D228)),0), FactorTable!$A$2:$A$301,0), Skills!L21+1)</f>
        <v/>
      </c>
      <c r="F228">
        <f>IF(Skills!M21=TRUE,(Skills!K21/10)*(E228/1000),Skills!K21/10)+Skills!N21</f>
        <v/>
      </c>
      <c r="G228">
        <f>Calc!G21</f>
        <v/>
      </c>
      <c r="H228">
        <f>Calc!H21</f>
        <v/>
      </c>
      <c r="I228">
        <f>IF(Skills!T21&lt;&gt;"",1+(Skills!T21/10)*($Z$3/1000)/100,1)</f>
        <v/>
      </c>
      <c r="J228" t="inlineStr"/>
      <c r="K228" t="inlineStr"/>
      <c r="L228" t="inlineStr"/>
      <c r="M228" t="inlineStr"/>
      <c r="N228" t="inlineStr"/>
      <c r="O228">
        <f>(1-Summary!$B$11)*S228+Summary!$B$11*U228</f>
        <v/>
      </c>
      <c r="P228">
        <f>IF(B250=0,0,O228/B250)</f>
        <v/>
      </c>
      <c r="Q228">
        <f>IFERROR(1/(IF(Inputs!$B$39="pvp",15,MAX(0.1,Skills!D21-IF(Skills!E21=TRUE,Inputs!$B$33,0)))*(1-IF(AND(ArtifactsInput!$M$27,Inputs!$B$4="Chapter Hunt"),CHOOSE(ArtifactsInput!$N$27+1,20,24,28,32,36,40),0)/100)),0)</f>
        <v/>
      </c>
      <c r="R228" t="n">
        <v>0</v>
      </c>
      <c r="S228" t="n">
        <v>0</v>
      </c>
      <c r="U228" t="n">
        <v>0</v>
      </c>
    </row>
    <row r="229">
      <c r="A229">
        <f>Skills!A22</f>
        <v/>
      </c>
      <c r="B229">
        <f>Skills!B22</f>
        <v/>
      </c>
      <c r="C229">
        <f>Inputs!$B$3&gt;=43</f>
        <v/>
      </c>
      <c r="D229">
        <f>IF(Skills!C22=1,60+Inputs!$B$26+Inputs!$B$30,IF(Skills!C22=2,90+Inputs!$B$27+Inputs!$B$30,IF(Skills!C22=3,120+Inputs!$B$28+Inputs!$B$30,MAX(0,(Inputs!$B$3-100)*3)+Inputs!$B$29+Inputs!$B$30)))</f>
        <v/>
      </c>
      <c r="E229">
        <f>INDEX(FactorTable!$B$2:$Y$301, MATCH(ROUND(MIN(300,MAX(1,D229)),0), FactorTable!$A$2:$A$301,0), Skills!L22+1)</f>
        <v/>
      </c>
      <c r="F229">
        <f>IF(Skills!M22=TRUE,(Skills!K22/10)*(E229/1000),Skills!K22/10)+Skills!N22</f>
        <v/>
      </c>
      <c r="G229">
        <f>Calc!G22</f>
        <v/>
      </c>
      <c r="H229">
        <f>Calc!H22</f>
        <v/>
      </c>
      <c r="I229">
        <f>IF(Skills!T22&lt;&gt;"",1+(Skills!T22/10)*($Z$3/1000)/100,1)</f>
        <v/>
      </c>
      <c r="J229" t="inlineStr"/>
      <c r="K229" t="inlineStr"/>
      <c r="L229" t="inlineStr"/>
      <c r="M229" t="inlineStr"/>
      <c r="N229" t="inlineStr"/>
      <c r="O229">
        <f>(1-Summary!$B$11)*S229+Summary!$B$11*U229</f>
        <v/>
      </c>
      <c r="P229">
        <f>IF(B250=0,0,O229/B250)</f>
        <v/>
      </c>
      <c r="Q229">
        <f>IFERROR(1/(IF(Inputs!$B$39="pvp",15,MAX(0.1,Skills!D22-IF(Skills!E22=TRUE,Inputs!$B$33,0)))*(1-IF(AND(ArtifactsInput!$M$27,Inputs!$B$4="Chapter Hunt"),CHOOSE(ArtifactsInput!$N$27+1,20,24,28,32,36,40),0)/100)),0)</f>
        <v/>
      </c>
      <c r="R229" t="n">
        <v>0</v>
      </c>
      <c r="S229" t="n">
        <v>0</v>
      </c>
      <c r="U229" t="n">
        <v>0</v>
      </c>
    </row>
    <row r="230">
      <c r="A230">
        <f>Skills!A23</f>
        <v/>
      </c>
      <c r="B230">
        <f>Skills!B23</f>
        <v/>
      </c>
      <c r="C230">
        <f>Inputs!$B$3&gt;=50</f>
        <v/>
      </c>
      <c r="D230">
        <f>IF(Skills!C23=1,60+Inputs!$B$26+Inputs!$B$30,IF(Skills!C23=2,90+Inputs!$B$27+Inputs!$B$30,IF(Skills!C23=3,120+Inputs!$B$28+Inputs!$B$30,MAX(0,(Inputs!$B$3-100)*3)+Inputs!$B$29+Inputs!$B$30)))</f>
        <v/>
      </c>
      <c r="E230">
        <f>INDEX(FactorTable!$B$2:$Y$301, MATCH(ROUND(MIN(300,MAX(1,D230)),0), FactorTable!$A$2:$A$301,0), Skills!L23+1)</f>
        <v/>
      </c>
      <c r="F230">
        <f>IF(Skills!M23=TRUE,(Skills!K23/10)*(E230/1000),Skills!K23/10)+Skills!N23</f>
        <v/>
      </c>
      <c r="G230">
        <f>Calc!G23</f>
        <v/>
      </c>
      <c r="H230">
        <f>Calc!H23</f>
        <v/>
      </c>
      <c r="I230">
        <f>IF(Skills!T23&lt;&gt;"",1+(Skills!T23/10)*($Z$3/1000)/100,1)</f>
        <v/>
      </c>
      <c r="J230" t="inlineStr"/>
      <c r="K230" t="inlineStr"/>
      <c r="L230" t="inlineStr"/>
      <c r="M230" t="inlineStr"/>
      <c r="N230" t="inlineStr"/>
      <c r="O230">
        <f>(1-Summary!$B$11)*S230+Summary!$B$11*U230</f>
        <v/>
      </c>
      <c r="P230">
        <f>IF(B250=0,0,O230/B250)</f>
        <v/>
      </c>
      <c r="Q230">
        <f>IFERROR(1/(IF(Inputs!$B$39="pvp",15,MAX(0.1,Skills!D23-IF(Skills!E23=TRUE,Inputs!$B$33,0)))*(1-IF(AND(ArtifactsInput!$M$27,Inputs!$B$4="Chapter Hunt"),CHOOSE(ArtifactsInput!$N$27+1,20,24,28,32,36,40),0)/100)),0)</f>
        <v/>
      </c>
      <c r="R230" t="n">
        <v>0</v>
      </c>
      <c r="S230" t="n">
        <v>0</v>
      </c>
      <c r="U230" t="n">
        <v>0</v>
      </c>
    </row>
    <row r="231">
      <c r="A231">
        <f>Skills!A24</f>
        <v/>
      </c>
      <c r="B231">
        <f>Skills!B24</f>
        <v/>
      </c>
      <c r="C231">
        <f>Inputs!$B$3&gt;=74</f>
        <v/>
      </c>
      <c r="D231">
        <f>IF(Skills!C24=1,60+Inputs!$B$26+Inputs!$B$30,IF(Skills!C24=2,90+Inputs!$B$27+Inputs!$B$30,IF(Skills!C24=3,120+Inputs!$B$28+Inputs!$B$30,MAX(0,(Inputs!$B$3-100)*3)+Inputs!$B$29+Inputs!$B$30)))</f>
        <v/>
      </c>
      <c r="E231">
        <f>INDEX(FactorTable!$B$2:$Y$301, MATCH(ROUND(MIN(300,MAX(1,D231)),0), FactorTable!$A$2:$A$301,0), Skills!L24+1)</f>
        <v/>
      </c>
      <c r="F231">
        <f>IF(Skills!M24=TRUE,(Skills!K24/10)*(E231/1000),Skills!K24/10)+Skills!N24</f>
        <v/>
      </c>
      <c r="G231">
        <f>Calc!G24</f>
        <v/>
      </c>
      <c r="H231">
        <f>Calc!H24</f>
        <v/>
      </c>
      <c r="I231">
        <f>IF(Skills!T24&lt;&gt;"",1+(Skills!T24/10)*($Z$3/1000)/100,1)</f>
        <v/>
      </c>
      <c r="J231" t="inlineStr"/>
      <c r="K231" t="inlineStr"/>
      <c r="L231" t="inlineStr"/>
      <c r="M231" t="inlineStr"/>
      <c r="N231" t="inlineStr"/>
      <c r="O231">
        <f>(1-Summary!$B$11)*S231+Summary!$B$11*U231</f>
        <v/>
      </c>
      <c r="P231">
        <f>IF(B250=0,0,O231/B250)</f>
        <v/>
      </c>
      <c r="Q231">
        <f>IFERROR(1/(IF(Inputs!$B$39="pvp",15,MAX(0.1,Skills!D24-IF(Skills!E24=TRUE,Inputs!$B$33,0)))*(1-IF(AND(ArtifactsInput!$M$27,Inputs!$B$4="Chapter Hunt"),CHOOSE(ArtifactsInput!$N$27+1,20,24,28,32,36,40),0)/100)),0)</f>
        <v/>
      </c>
      <c r="R231" t="n">
        <v>0</v>
      </c>
      <c r="S231" t="n">
        <v>0</v>
      </c>
      <c r="U231" t="n">
        <v>0</v>
      </c>
    </row>
    <row r="232">
      <c r="A232">
        <f>Skills!A25</f>
        <v/>
      </c>
      <c r="B232">
        <f>Skills!B25</f>
        <v/>
      </c>
      <c r="C232">
        <f>Inputs!$B$3&gt;=74</f>
        <v/>
      </c>
      <c r="D232">
        <f>IF(Skills!C25=1,60+Inputs!$B$26+Inputs!$B$30,IF(Skills!C25=2,90+Inputs!$B$27+Inputs!$B$30,IF(Skills!C25=3,120+Inputs!$B$28+Inputs!$B$30,MAX(0,(Inputs!$B$3-100)*3)+Inputs!$B$29+Inputs!$B$30)))</f>
        <v/>
      </c>
      <c r="E232">
        <f>INDEX(FactorTable!$B$2:$Y$301, MATCH(ROUND(MIN(300,MAX(1,D232)),0), FactorTable!$A$2:$A$301,0), Skills!L25+1)</f>
        <v/>
      </c>
      <c r="F232">
        <f>IF(Skills!M25=TRUE,(Skills!K25/10)*(E232/1000),Skills!K25/10)+Skills!N25</f>
        <v/>
      </c>
      <c r="G232">
        <f>Calc!G25</f>
        <v/>
      </c>
      <c r="H232">
        <f>Calc!H25</f>
        <v/>
      </c>
      <c r="I232">
        <f>IF(Skills!T25&lt;&gt;"",1+(Skills!T25/10)*($Z$3/1000)/100,1)</f>
        <v/>
      </c>
      <c r="J232" t="inlineStr"/>
      <c r="K232" t="inlineStr"/>
      <c r="L232" t="inlineStr"/>
      <c r="M232" t="inlineStr"/>
      <c r="N232" t="inlineStr"/>
      <c r="O232">
        <f>(1-Summary!$B$11)*S232+Summary!$B$11*U232</f>
        <v/>
      </c>
      <c r="P232">
        <f>IF(B250=0,0,O232/B250)</f>
        <v/>
      </c>
      <c r="Q232">
        <f>IFERROR(1/(IF(Inputs!$B$39="pvp",15,MAX(0.1,Skills!D25-IF(Skills!E25=TRUE,Inputs!$B$33,0)))*(1-IF(AND(ArtifactsInput!$M$27,Inputs!$B$4="Chapter Hunt"),CHOOSE(ArtifactsInput!$N$27+1,20,24,28,32,36,40),0)/100)),0)</f>
        <v/>
      </c>
      <c r="R232" t="n">
        <v>0</v>
      </c>
      <c r="S232" t="n">
        <v>0</v>
      </c>
      <c r="U232" t="n">
        <v>0</v>
      </c>
    </row>
    <row r="233">
      <c r="A233">
        <f>Skills!A26</f>
        <v/>
      </c>
      <c r="B233">
        <f>Skills!B26</f>
        <v/>
      </c>
      <c r="C233">
        <f>Inputs!$B$3&gt;=117</f>
        <v/>
      </c>
      <c r="D233">
        <f>IF(Skills!C26=1,60+Inputs!$B$26+Inputs!$B$30,IF(Skills!C26=2,90+Inputs!$B$27+Inputs!$B$30,IF(Skills!C26=3,120+Inputs!$B$28+Inputs!$B$30,MAX(0,(Inputs!$B$3-100)*3)+Inputs!$B$29+Inputs!$B$30)))</f>
        <v/>
      </c>
      <c r="E233">
        <f>INDEX(FactorTable!$B$2:$Y$301, MATCH(ROUND(MIN(300,MAX(1,D233)),0), FactorTable!$A$2:$A$301,0), Skills!L26+1)</f>
        <v/>
      </c>
      <c r="F233">
        <f>IF(Skills!M26=TRUE,(Skills!K26/10)*(E233/1000),Skills!K26/10)+Skills!N26</f>
        <v/>
      </c>
      <c r="G233">
        <f>Calc!G26</f>
        <v/>
      </c>
      <c r="H233">
        <f>Calc!H26</f>
        <v/>
      </c>
      <c r="I233">
        <f>IF(Skills!T26&lt;&gt;"",1+(Skills!T26/10)*($Z$3/1000)/100,1)</f>
        <v/>
      </c>
      <c r="J233" t="inlineStr"/>
      <c r="K233" t="inlineStr"/>
      <c r="L233" t="inlineStr"/>
      <c r="M233" t="inlineStr"/>
      <c r="N233" t="inlineStr"/>
      <c r="O233">
        <f>(1-Summary!$B$11)*S233+Summary!$B$11*U233</f>
        <v/>
      </c>
      <c r="P233">
        <f>IF(B250=0,0,O233/B250)</f>
        <v/>
      </c>
      <c r="Q233">
        <f>IFERROR(1/(IF(Inputs!$B$39="pvp",15,MAX(0.1,Skills!D26-IF(Skills!E26=TRUE,Inputs!$B$33,0)))*(1-IF(AND(ArtifactsInput!$M$27,Inputs!$B$4="Chapter Hunt"),CHOOSE(ArtifactsInput!$N$27+1,20,24,28,32,36,40),0)/100)),0)</f>
        <v/>
      </c>
      <c r="R233" t="n">
        <v>0</v>
      </c>
      <c r="S233" t="n">
        <v>0</v>
      </c>
      <c r="U233" t="n">
        <v>0</v>
      </c>
    </row>
    <row r="234">
      <c r="A234">
        <f>Skills!A27</f>
        <v/>
      </c>
      <c r="B234">
        <f>Skills!B27</f>
        <v/>
      </c>
      <c r="C234">
        <f>Inputs!$B$3&gt;=120</f>
        <v/>
      </c>
      <c r="D234">
        <f>IF(Skills!C27=1,60+Inputs!$B$26+Inputs!$B$30,IF(Skills!C27=2,90+Inputs!$B$27+Inputs!$B$30,IF(Skills!C27=3,120+Inputs!$B$28+Inputs!$B$30,MAX(0,(Inputs!$B$3-100)*3)+Inputs!$B$29+Inputs!$B$30)))</f>
        <v/>
      </c>
      <c r="E234">
        <f>INDEX(FactorTable!$B$2:$Y$301, MATCH(ROUND(MIN(300,MAX(1,D234)),0), FactorTable!$A$2:$A$301,0), Skills!L27+1)</f>
        <v/>
      </c>
      <c r="F234">
        <f>IF(Skills!M27=TRUE,(Skills!K27/10)*(E234/1000),Skills!K27/10)+Skills!N27</f>
        <v/>
      </c>
      <c r="G234">
        <f>Calc!G27</f>
        <v/>
      </c>
      <c r="H234">
        <f>Calc!H27</f>
        <v/>
      </c>
      <c r="I234">
        <f>IF(Skills!T27&lt;&gt;"",1+(Skills!T27/10)*($Z$3/1000)/100,1)</f>
        <v/>
      </c>
      <c r="J234" t="inlineStr"/>
      <c r="K234" t="inlineStr"/>
      <c r="L234" t="inlineStr"/>
      <c r="M234" t="inlineStr"/>
      <c r="N234" t="inlineStr"/>
      <c r="O234">
        <f>(1-Summary!$B$11)*S234+Summary!$B$11*U234</f>
        <v/>
      </c>
      <c r="P234">
        <f>IF(B250=0,0,O234/B250)</f>
        <v/>
      </c>
      <c r="Q234">
        <f>IFERROR(1/(IF(Inputs!$B$39="pvp",15,MAX(0.1,Skills!D27-IF(Skills!E27=TRUE,Inputs!$B$33,0)))*(1-IF(AND(ArtifactsInput!$M$27,Inputs!$B$4="Chapter Hunt"),CHOOSE(ArtifactsInput!$N$27+1,20,24,28,32,36,40),0)/100)),0)</f>
        <v/>
      </c>
      <c r="R234" t="n">
        <v>0</v>
      </c>
      <c r="S234" t="n">
        <v>0</v>
      </c>
      <c r="U234" t="n">
        <v>0</v>
      </c>
    </row>
    <row r="235">
      <c r="A235">
        <f>Skills!A28</f>
        <v/>
      </c>
      <c r="B235">
        <f>Skills!B28</f>
        <v/>
      </c>
      <c r="C235">
        <f>TRUE</f>
        <v/>
      </c>
      <c r="D235">
        <f>IF(Skills!C28=1,60+Inputs!$B$26+Inputs!$B$30,IF(Skills!C28=2,90+Inputs!$B$27+Inputs!$B$30,IF(Skills!C28=3,120+Inputs!$B$28+Inputs!$B$30,MAX(0,(Inputs!$B$3-100)*3)+Inputs!$B$29+Inputs!$B$30)))</f>
        <v/>
      </c>
      <c r="E235">
        <f>INDEX(FactorTable!$B$2:$Y$301, MATCH(ROUND(MIN(300,MAX(1,D235)),0), FactorTable!$A$2:$A$301,0), Skills!L28+1)</f>
        <v/>
      </c>
      <c r="F235">
        <f>IF(Skills!M28=TRUE,(Skills!K28/10)*(E235/1000),Skills!K28/10)+Skills!N28</f>
        <v/>
      </c>
      <c r="G235">
        <f>Calc!G28</f>
        <v/>
      </c>
      <c r="H235">
        <f>Calc!H28</f>
        <v/>
      </c>
      <c r="I235">
        <f>IF(Skills!T28&lt;&gt;"",1+(Skills!T28/10)*($Z$3/1000)/100,1)</f>
        <v/>
      </c>
      <c r="J235" t="inlineStr"/>
      <c r="K235" t="inlineStr"/>
      <c r="L235" t="inlineStr"/>
      <c r="M235" t="inlineStr"/>
      <c r="N235" t="inlineStr"/>
      <c r="O235">
        <f>(1-Summary!$B$11)*S235+Summary!$B$11*U235</f>
        <v/>
      </c>
      <c r="P235">
        <f>IF(B250=0,0,O235/B250)</f>
        <v/>
      </c>
      <c r="Q235">
        <f>IFERROR(1/(IF(Inputs!$B$39="pvp",15,MAX(0.1,Skills!D28-IF(Skills!E28=TRUE,Inputs!$B$33,0)))*(1-IF(AND(ArtifactsInput!$M$27,Inputs!$B$4="Chapter Hunt"),CHOOSE(ArtifactsInput!$N$27+1,20,24,28,32,36,40),0)/100)),0)</f>
        <v/>
      </c>
      <c r="R235">
        <f>IF(AND(Inputs!$B$39&lt;&gt;"pvp",Inputs!$B$44&gt;0),IF(Inputs!$B$44&lt;=0,0,(INT(Inputs!$B$44/(IF(Inputs!$B$39="pvp",15,MAX(0.1,Skills!D28-IF(Skills!E28=TRUE,Inputs!$B$33,0)))*(1-IF(AND(ArtifactsInput!$M$27,Inputs!$B$4="Chapter Hunt"),CHOOSE(ArtifactsInput!$N$27+1,20,24,28,32,36,40),0)/100)))+1)),0)</f>
        <v/>
      </c>
      <c r="S235" t="n">
        <v>0</v>
      </c>
      <c r="U235" t="n">
        <v>0</v>
      </c>
    </row>
    <row r="237">
      <c r="A237" t="inlineStr">
        <is>
          <t>Average Buff Multiplier</t>
        </is>
      </c>
      <c r="B237">
        <f>(1+(IF(C210=TRUE,F210*IF(AND(Inputs!$B$39&lt;&gt;"pvp",Inputs!$B$44&gt;0),(((R210-1)*(Skills!S3*(1+((Inputs!$B$35+(ArtifactsInput!$M$7-ArtifactsInput!$M$7)*CHOOSE(ArtifactsInput!$N$7+1,6,7.2,8.4,9.6,10.8,12))+IF(Inputs!$B$3&gt;=117,F233,0))/100))+MIN((Skills!S3*(1+((Inputs!$B$35+(ArtifactsInput!$M$7-ArtifactsInput!$M$7)*CHOOSE(ArtifactsInput!$N$7+1,6,7.2,8.4,9.6,10.8,12))+IF(Inputs!$B$3&gt;=117,F233,0))/100)),MAX(0,Inputs!$B$44-((R210-1)*Skills!D3))))/Inputs!$B$44),IF(Inputs!$B$39="pvp",MIN((Skills!S3*(1+((Inputs!$B$35+(ArtifactsInput!$M$7-ArtifactsInput!$M$7)*CHOOSE(ArtifactsInput!$N$7+1,6,7.2,8.4,9.6,10.8,12))+IF(Inputs!$B$3&gt;=117,F233,0))/100)),15)/15,(Skills!S3*(1+((Inputs!$B$35+(ArtifactsInput!$M$7-ArtifactsInput!$M$7)*CHOOSE(ArtifactsInput!$N$7+1,6,7.2,8.4,9.6,10.8,12))+IF(Inputs!$B$3&gt;=117,F233,0))/100))/Skills!D3)),0)+IF(C211=TRUE,F211*IF(AND(Inputs!$B$39&lt;&gt;"pvp",Inputs!$B$44&gt;0),(((R211-1)*(Skills!S4*(1+((Inputs!$B$35+(ArtifactsInput!$M$7-ArtifactsInput!$M$7)*CHOOSE(ArtifactsInput!$N$7+1,6,7.2,8.4,9.6,10.8,12))+IF(Inputs!$B$3&gt;=117,F233,0))/100))+MIN((Skills!S4*(1+((Inputs!$B$35+(ArtifactsInput!$M$7-ArtifactsInput!$M$7)*CHOOSE(ArtifactsInput!$N$7+1,6,7.2,8.4,9.6,10.8,12))+IF(Inputs!$B$3&gt;=117,F233,0))/100)),MAX(0,Inputs!$B$44-((R211-1)*Skills!D4))))/Inputs!$B$44),IF(Inputs!$B$39="pvp",MIN((Skills!S4*(1+((Inputs!$B$35+(ArtifactsInput!$M$7-ArtifactsInput!$M$7)*CHOOSE(ArtifactsInput!$N$7+1,6,7.2,8.4,9.6,10.8,12))+IF(Inputs!$B$3&gt;=117,F233,0))/100)),15)/15,(Skills!S4*(1+((Inputs!$B$35+(ArtifactsInput!$M$7-ArtifactsInput!$M$7)*CHOOSE(ArtifactsInput!$N$7+1,6,7.2,8.4,9.6,10.8,12))+IF(Inputs!$B$3&gt;=117,F233,0))/100))/Skills!D4)),0)+IF(C212=TRUE,F212*IF(AND(Inputs!$B$39&lt;&gt;"pvp",Inputs!$B$44&gt;0),(((R212-1)*(Skills!S5*(1+((Inputs!$B$35+(ArtifactsInput!$M$7-ArtifactsInput!$M$7)*CHOOSE(ArtifactsInput!$N$7+1,6,7.2,8.4,9.6,10.8,12))+IF(Inputs!$B$3&gt;=117,F233,0))/100))+MIN((Skills!S5*(1+((Inputs!$B$35+(ArtifactsInput!$M$7-ArtifactsInput!$M$7)*CHOOSE(ArtifactsInput!$N$7+1,6,7.2,8.4,9.6,10.8,12))+IF(Inputs!$B$3&gt;=117,F233,0))/100)),MAX(0,Inputs!$B$44-((R212-1)*Skills!D5))))/Inputs!$B$44),IF(Inputs!$B$39="pvp",MIN((Skills!S5*(1+((Inputs!$B$35+(ArtifactsInput!$M$7-ArtifactsInput!$M$7)*CHOOSE(ArtifactsInput!$N$7+1,6,7.2,8.4,9.6,10.8,12))+IF(Inputs!$B$3&gt;=117,F233,0))/100)),15)/15,(Skills!S5*(1+((Inputs!$B$35+(ArtifactsInput!$M$7-ArtifactsInput!$M$7)*CHOOSE(ArtifactsInput!$N$7+1,6,7.2,8.4,9.6,10.8,12))+IF(Inputs!$B$3&gt;=117,F233,0))/100))/Skills!D5)),0)+IF(C218=TRUE,F218*IF(AND(Inputs!$B$39&lt;&gt;"pvp",Inputs!$B$44&gt;0),(((R218-1)*(Skills!S11*(1+((Inputs!$B$35+(ArtifactsInput!$M$7-ArtifactsInput!$M$7)*CHOOSE(ArtifactsInput!$N$7+1,6,7.2,8.4,9.6,10.8,12))+IF(Inputs!$B$3&gt;=117,F233,0))/100))+MIN((Skills!S11*(1+((Inputs!$B$35+(ArtifactsInput!$M$7-ArtifactsInput!$M$7)*CHOOSE(ArtifactsInput!$N$7+1,6,7.2,8.4,9.6,10.8,12))+IF(Inputs!$B$3&gt;=117,F233,0))/100)),MAX(0,Inputs!$B$44-((R218-1)*Skills!D11))))/Inputs!$B$44),IF(Inputs!$B$39="pvp",MIN((Skills!S11*(1+((Inputs!$B$35+(ArtifactsInput!$M$7-ArtifactsInput!$M$7)*CHOOSE(ArtifactsInput!$N$7+1,6,7.2,8.4,9.6,10.8,12))+IF(Inputs!$B$3&gt;=117,F233,0))/100)),15)/15,(Skills!S11*(1+((Inputs!$B$35+(ArtifactsInput!$M$7-ArtifactsInput!$M$7)*CHOOSE(ArtifactsInput!$N$7+1,6,7.2,8.4,9.6,10.8,12))+IF(Inputs!$B$3&gt;=117,F233,0)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221=TRUE,(1+F221*IF(AND(Inputs!$B$39&lt;&gt;"pvp",Inputs!$B$44&gt;0),(((R221-1)*(Skills!S14*(1+((Inputs!$B$35+(ArtifactsInput!$M$7-ArtifactsInput!$M$7)*CHOOSE(ArtifactsInput!$N$7+1,6,7.2,8.4,9.6,10.8,12))+IF(Inputs!$B$3&gt;=117,F233,0))/100))+MIN((Skills!S14*(1+((Inputs!$B$35+(ArtifactsInput!$M$7-ArtifactsInput!$M$7)*CHOOSE(ArtifactsInput!$N$7+1,6,7.2,8.4,9.6,10.8,12))+IF(Inputs!$B$3&gt;=117,F233,0))/100)),MAX(0,Inputs!$B$44-((R221-1)*Skills!D14))))/Inputs!$B$44),IF(Inputs!$B$39="pvp",MIN((Skills!S14*(1+((Inputs!$B$35+(ArtifactsInput!$M$7-ArtifactsInput!$M$7)*CHOOSE(ArtifactsInput!$N$7+1,6,7.2,8.4,9.6,10.8,12))+IF(Inputs!$B$3&gt;=117,F233,0))/100)),15)/15,(Skills!S14*(1+((Inputs!$B$35+(ArtifactsInput!$M$7-ArtifactsInput!$M$7)*CHOOSE(ArtifactsInput!$N$7+1,6,7.2,8.4,9.6,10.8,12))+IF(Inputs!$B$3&gt;=117,F233,0))/100))/Skills!D14))/100),1)*IF(C226=TRUE,(1+F226*IF(AND(Inputs!$B$39&lt;&gt;"pvp",Inputs!$B$44&gt;0),(((R226-1)*(Skills!S19*(1+((Inputs!$B$35+(ArtifactsInput!$M$7-ArtifactsInput!$M$7)*CHOOSE(ArtifactsInput!$N$7+1,6,7.2,8.4,9.6,10.8,12))+IF(Inputs!$B$3&gt;=117,F233,0))/100))+MIN((Skills!S19*(1+((Inputs!$B$35+(ArtifactsInput!$M$7-ArtifactsInput!$M$7)*CHOOSE(ArtifactsInput!$N$7+1,6,7.2,8.4,9.6,10.8,12))+IF(Inputs!$B$3&gt;=117,F233,0))/100)),MAX(0,Inputs!$B$44-((R226-1)*Skills!D19))))/Inputs!$B$44),IF(Inputs!$B$39="pvp",MIN((Skills!S19*(1+((Inputs!$B$35+(ArtifactsInput!$M$7-ArtifactsInput!$M$7)*CHOOSE(ArtifactsInput!$N$7+1,6,7.2,8.4,9.6,10.8,12))+IF(Inputs!$B$3&gt;=117,F233,0))/100)),15)/15,(Skills!S19*(1+((Inputs!$B$35+(ArtifactsInput!$M$7-ArtifactsInput!$M$7)*CHOOSE(ArtifactsInput!$N$7+1,6,7.2,8.4,9.6,10.8,12))+IF(Inputs!$B$3&gt;=117,F233,0))/100))/Skills!D19))/100),1)</f>
        <v/>
      </c>
    </row>
    <row r="238">
      <c r="A238" t="inlineStr">
        <is>
          <t>Monster Damage Taken Bonus % (Holy Fountain)</t>
        </is>
      </c>
      <c r="B238">
        <f>IF(Inputs!$B$3&gt;=68,20*IF(Inputs!$B$39="pvp",MIN((15*(1+((Inputs!$B$35+(ArtifactsInput!$M$7-ArtifactsInput!$M$7)*CHOOSE(ArtifactsInput!$N$7+1,6,7.2,8.4,9.6,10.8,12))+IF(Inputs!$B$3&gt;=117,F233,0))/100)),15)/15,(15*(1+((Inputs!$B$35+(ArtifactsInput!$M$7-ArtifactsInput!$M$7)*CHOOSE(ArtifactsInput!$N$7+1,6,7.2,8.4,9.6,10.8,12))+IF(Inputs!$B$3&gt;=117,F233,0))/100))/Skills!D10),0)</f>
        <v/>
      </c>
    </row>
    <row r="239">
      <c r="A239" t="inlineStr">
        <is>
          <t>Normal Monster Damage Bonus % (Holy Symbol)</t>
        </is>
      </c>
      <c r="B239">
        <f>IF(C219=TRUE,F219*IF(AND(Inputs!$B$39&lt;&gt;"pvp",Inputs!$B$44&gt;0),(((R219-1)*(Skills!S12*(1+((Inputs!$B$35+(ArtifactsInput!$M$7-ArtifactsInput!$M$7)*CHOOSE(ArtifactsInput!$N$7+1,6,7.2,8.4,9.6,10.8,12))+IF(Inputs!$B$3&gt;=117,F233,0))/100))+MIN((Skills!S12*(1+((Inputs!$B$35+(ArtifactsInput!$M$7-ArtifactsInput!$M$7)*CHOOSE(ArtifactsInput!$N$7+1,6,7.2,8.4,9.6,10.8,12))+IF(Inputs!$B$3&gt;=117,F233,0))/100)),MAX(0,Inputs!$B$44-((R219-1)*Skills!D12))))/Inputs!$B$44),IF(Inputs!$B$39="pvp",MIN((Skills!S12*(1+((Inputs!$B$35+(ArtifactsInput!$M$7-ArtifactsInput!$M$7)*CHOOSE(ArtifactsInput!$N$7+1,6,7.2,8.4,9.6,10.8,12))+IF(Inputs!$B$3&gt;=117,F233,0))/100)),15)/15,(Skills!S12*(1+((Inputs!$B$35+(ArtifactsInput!$M$7-ArtifactsInput!$M$7)*CHOOSE(ArtifactsInput!$N$7+1,6,7.2,8.4,9.6,10.8,12))+IF(Inputs!$B$3&gt;=117,F233,0))/100))/Skills!D12)),0)</f>
        <v/>
      </c>
    </row>
    <row r="240">
      <c r="A240" t="inlineStr">
        <is>
          <t>Damage % Bonus (Holy Symbol - Damage Boost)</t>
        </is>
      </c>
      <c r="B240">
        <f>Skills!O12</f>
        <v/>
      </c>
    </row>
    <row r="241">
      <c r="A241" t="inlineStr">
        <is>
          <t>Crit Damage % Bonus (Blood of the Divine)</t>
        </is>
      </c>
      <c r="B241">
        <f>4*IF(C227=TRUE,F227,0)</f>
        <v/>
      </c>
    </row>
    <row r="242">
      <c r="A242" t="inlineStr">
        <is>
          <t>Attack Speed Bonus %</t>
        </is>
      </c>
      <c r="B242">
        <f>IF(C224=TRUE,F224+(F228-Calc!F21),0)+IF(Inputs!$B$3&gt;=134,15,0)+((C235=TRUE)*F235*IF(AND(Inputs!$B$39&lt;&gt;"pvp",Inputs!$B$44&gt;0),(((R235-1)*(Skills!S28*(1+((Inputs!$B$35+(ArtifactsInput!$M$7-ArtifactsInput!$M$7)*CHOOSE(ArtifactsInput!$N$7+1,6,7.2,8.4,9.6,10.8,12))+IF(Inputs!$B$3&gt;=117,F233,0))/100))+MIN((Skills!S28*(1+((Inputs!$B$35+(ArtifactsInput!$M$7-ArtifactsInput!$M$7)*CHOOSE(ArtifactsInput!$N$7+1,6,7.2,8.4,9.6,10.8,12))+IF(Inputs!$B$3&gt;=117,F233,0))/100)),MAX(0,Inputs!$B$44-((R235-1)*Skills!D28))))/Inputs!$B$44),IF(Inputs!$B$39="pvp",MIN((Skills!S28*(1+((Inputs!$B$35+(ArtifactsInput!$M$7-ArtifactsInput!$M$7)*CHOOSE(ArtifactsInput!$N$7+1,6,7.2,8.4,9.6,10.8,12))+IF(Inputs!$B$3&gt;=117,F233,0))/100)),15)/15,(Skills!S28*(1+((Inputs!$B$35+(ArtifactsInput!$M$7-ArtifactsInput!$M$7)*CHOOSE(ArtifactsInput!$N$7+1,6,7.2,8.4,9.6,10.8,12))+IF(Inputs!$B$3&gt;=117,F233,0))/100))/Skills!D28)))</f>
        <v/>
      </c>
    </row>
    <row r="243">
      <c r="A243" t="inlineStr">
        <is>
          <t>Actions Per Second</t>
        </is>
      </c>
      <c r="B243">
        <f>1+MIN(150,150*(1-(1-Inputs!$B$12/150)*(1-B242/150)))/100</f>
        <v/>
      </c>
    </row>
    <row r="244">
      <c r="A244" t="inlineStr">
        <is>
          <t>Skill + Buff Cast Rate</t>
        </is>
      </c>
      <c r="B244">
        <f>IF(AND(Inputs!$B$39&lt;&gt;"pvp",Inputs!$B$44&gt;0),SUMPRODUCT((Skills!E2:E28=TRUE)*(C209:C235=TRUE)*R209:R235)/Inputs!$B$44,SUMPRODUCT((Skills!E2:E28=TRUE)*(C209:C235=TRUE)*Q209:Q235))</f>
        <v/>
      </c>
    </row>
    <row r="245">
      <c r="A245" t="inlineStr">
        <is>
          <t>Big Bang Casts Per Second</t>
        </is>
      </c>
      <c r="B245">
        <f>MAX(0,B243-B244)</f>
        <v/>
      </c>
    </row>
    <row r="246">
      <c r="A246" t="inlineStr">
        <is>
          <t>Defense % Bonus (Divine Protection)</t>
        </is>
      </c>
      <c r="B246">
        <f>IF(C220=TRUE,F220*IF(AND(Inputs!$B$39&lt;&gt;"pvp",Inputs!$B$44&gt;0),(((R220-1)*(Skills!S13*(1+((Inputs!$B$35+(ArtifactsInput!$M$7-ArtifactsInput!$M$7)*CHOOSE(ArtifactsInput!$N$7+1,6,7.2,8.4,9.6,10.8,12))+IF(Inputs!$B$3&gt;=117,F233,0))/100))+MIN((Skills!S13*(1+((Inputs!$B$35+(ArtifactsInput!$M$7-ArtifactsInput!$M$7)*CHOOSE(ArtifactsInput!$N$7+1,6,7.2,8.4,9.6,10.8,12))+IF(Inputs!$B$3&gt;=117,F233,0))/100)),MAX(0,Inputs!$B$44-((R220-1)*Skills!D13))))/Inputs!$B$44),IF(Inputs!$B$39="pvp",MIN((Skills!S13*(1+((Inputs!$B$35+(ArtifactsInput!$M$7-ArtifactsInput!$M$7)*CHOOSE(ArtifactsInput!$N$7+1,6,7.2,8.4,9.6,10.8,12))+IF(Inputs!$B$3&gt;=117,F233,0))/100)),15)/15,(Skills!S13*(1+((Inputs!$B$35+(ArtifactsInput!$M$7-ArtifactsInput!$M$7)*CHOOSE(ArtifactsInput!$N$7+1,6,7.2,8.4,9.6,10.8,12))+IF(Inputs!$B$3&gt;=117,F233,0))/100))/Skills!D13)),0)</f>
        <v/>
      </c>
    </row>
    <row r="247">
      <c r="A247" t="inlineStr">
        <is>
          <t>Buff-Casting Startup Delay (s, fixed-duration only)</t>
        </is>
      </c>
      <c r="B247">
        <f>IF(AND(Inputs!$B$39&lt;&gt;"pvp",Inputs!$B$44&gt;0),SUMPRODUCT((Skills!S2:S28&gt;0)*(Skills!E2:E28=TRUE)*(C209:C235=TRUE))/B243,0)</f>
        <v/>
      </c>
    </row>
    <row r="248">
      <c r="A248" t="inlineStr">
        <is>
          <t>Boss-Only Total DPS (this block's swept value)</t>
        </is>
      </c>
      <c r="B248">
        <f>SUM(S209:S235)</f>
        <v/>
      </c>
    </row>
    <row r="249">
      <c r="A249" t="inlineStr">
        <is>
          <t>Normal-Only Total DPS (this block's swept value)</t>
        </is>
      </c>
      <c r="B249">
        <f>SUM(U209:U235)</f>
        <v/>
      </c>
    </row>
    <row r="250">
      <c r="A250" s="6" t="inlineStr">
        <is>
          <t>TOTAL DPS</t>
        </is>
      </c>
      <c r="B250" s="6">
        <f>SUM(O209:O235)</f>
        <v/>
      </c>
    </row>
    <row r="252">
      <c r="A252" s="6" t="inlineStr">
        <is>
          <t>Stat: DAMAGE %</t>
        </is>
      </c>
    </row>
    <row r="253">
      <c r="A253" s="5" t="inlineStr">
        <is>
          <t>Key</t>
        </is>
      </c>
      <c r="B253" s="5" t="inlineStr">
        <is>
          <t>Name</t>
        </is>
      </c>
      <c r="C253" s="5" t="inlineStr">
        <is>
          <t>Unlocked</t>
        </is>
      </c>
      <c r="D253" s="5" t="inlineStr">
        <is>
          <t>InputLevel</t>
        </is>
      </c>
      <c r="E253" s="5" t="inlineStr">
        <is>
          <t>Factor</t>
        </is>
      </c>
      <c r="F253" s="5" t="inlineStr">
        <is>
          <t>CoefficientPercent</t>
        </is>
      </c>
      <c r="G253" s="5" t="inlineStr">
        <is>
          <t>EffectiveHits</t>
        </is>
      </c>
      <c r="H253" s="5" t="inlineStr">
        <is>
          <t>ProcProbability</t>
        </is>
      </c>
      <c r="I253" s="5" t="inlineStr">
        <is>
          <t>MapleHeroMultiplier</t>
        </is>
      </c>
      <c r="J253" s="5" t="inlineStr">
        <is>
          <t>BaseDamage</t>
        </is>
      </c>
      <c r="K253" s="5" t="inlineStr">
        <is>
          <t>BaseHitDamage</t>
        </is>
      </c>
      <c r="L253" s="5" t="inlineStr">
        <is>
          <t>NonCritAvg</t>
        </is>
      </c>
      <c r="M253" s="5" t="inlineStr">
        <is>
          <t>CritAvg</t>
        </is>
      </c>
      <c r="N253" s="5" t="inlineStr">
        <is>
          <t>ExpectedDamage(perHit)</t>
        </is>
      </c>
      <c r="O253" s="5" t="inlineStr">
        <is>
          <t>DPS</t>
        </is>
      </c>
      <c r="P253" s="5" t="inlineStr">
        <is>
          <t>% of Total</t>
        </is>
      </c>
      <c r="R253" t="inlineStr">
        <is>
          <t>helpers</t>
        </is>
      </c>
    </row>
    <row r="254">
      <c r="A254">
        <f>Skills!A2</f>
        <v/>
      </c>
      <c r="B254">
        <f>Skills!B2</f>
        <v/>
      </c>
      <c r="C254">
        <f>Inputs!$B$3&gt;=100</f>
        <v/>
      </c>
      <c r="D254" t="inlineStr"/>
      <c r="E254" t="inlineStr"/>
      <c r="F254">
        <f>T256+Skills!N2</f>
        <v/>
      </c>
      <c r="G254">
        <f>Calc!G2</f>
        <v/>
      </c>
      <c r="H254">
        <f>Calc!H2</f>
        <v/>
      </c>
      <c r="I254">
        <f>IF(Skills!T2&lt;&gt;"",1+(Skills!T2/10)*($Z$3/1000)/100,1)</f>
        <v/>
      </c>
      <c r="J254">
        <f>((Inputs!$B$6*(1+Inputs!$B$7/100))+(((Inputs!$B$13*(1+Inputs!$B$14/100))-(Inputs!$B$13*(1+Inputs!$B$14/100)))+0.25*(Inputs!$B$15-Inputs!$B$15))*(1+Inputs!$B$7/100))*(F254/100)</f>
        <v/>
      </c>
      <c r="K254">
        <f>J254*(1+(((Inputs!$B$13+IF(Inputs!$B$3&gt;=35,(10*INDEX(FactorTable!$B$2:$Y$301,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2="TRIUMPH_FEATHER",IF(C268=TRUE,F268,0),0)/100)*(1+IF(C279=TRUE,F279,0)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254)</f>
        <v/>
      </c>
      <c r="L254">
        <f>K254*(MIN(Inputs!$B$23+(F274-Calc!F22),(Inputs!$B$24+IF(ArtifactsInput!$M$15,CHOOSE(ArtifactsInput!$N$15+1,25,30,35,40,45,50)/100*(Inputs!$B$12-Inputs!$B$12),0)))/100+(Inputs!$B$24+IF(ArtifactsInput!$M$15,CHOOSE(ArtifactsInput!$N$15+1,25,30,35,40,45,50)/100*(Inputs!$B$12-Inputs!$B$12),0))/100)/2</f>
        <v/>
      </c>
      <c r="M254">
        <f>L254*(1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
        <f>L254*(1-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
        <f>(1-Summary!$B$11)*S254+Summary!$B$11*U254</f>
        <v/>
      </c>
      <c r="P254">
        <f>IF(B295=0,0,O254/B295)</f>
        <v/>
      </c>
      <c r="Q254">
        <f>IFERROR(1/(IF(Inputs!$B$39="pvp",15,MAX(0.1,Skills!D2-IF(Skills!E2=TRUE,Inputs!$B$33,0)))*(1-IF(AND(ArtifactsInput!$M$27,Inputs!$B$4="Chapter Hunt"),CHOOSE(ArtifactsInput!$N$27+1,20,24,28,32,36,40),0)/100)),0)</f>
        <v/>
      </c>
      <c r="R254" t="n">
        <v>0</v>
      </c>
      <c r="S254">
        <f>IF(C254,(Skills!F2*N254*B290)*IF(Inputs!$B$39="pvp",1,1+(Inputs!$B$21+Skills!O2+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
        <f>MAX(0,(Inputs!$B$3-100)*3)+Inputs!$B$29+Inputs!$B$30</f>
        <v/>
      </c>
      <c r="U254">
        <f>IF(C254,(Skills!F2*N254*B290)*IF(Inputs!$B$39="pvp",1,(1+(Inputs!$B$22+Skills!P2+B284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
      <c r="A255">
        <f>Skills!A3</f>
        <v/>
      </c>
      <c r="B255">
        <f>Skills!B3</f>
        <v/>
      </c>
      <c r="C255">
        <f>Inputs!$B$3&gt;=15</f>
        <v/>
      </c>
      <c r="D255">
        <f>IF(Skills!C3=1,60+Inputs!$B$26+Inputs!$B$30,IF(Skills!C3=2,90+Inputs!$B$27+Inputs!$B$30,IF(Skills!C3=3,120+Inputs!$B$28+Inputs!$B$30,MAX(0,(Inputs!$B$3-100)*3)+Inputs!$B$29+Inputs!$B$30)))</f>
        <v/>
      </c>
      <c r="E255">
        <f>INDEX(FactorTable!$B$2:$Y$301, MATCH(ROUND(MIN(300,MAX(1,D255)),0), FactorTable!$A$2:$A$301,0), Skills!L3+1)</f>
        <v/>
      </c>
      <c r="F255">
        <f>IF(Skills!M3=TRUE,(Skills!K3/10)*(E255/1000),Skills!K3/10)+Skills!N3</f>
        <v/>
      </c>
      <c r="G255">
        <f>Calc!G3</f>
        <v/>
      </c>
      <c r="H255">
        <f>Calc!H3</f>
        <v/>
      </c>
      <c r="I255">
        <f>IF(Skills!T3&lt;&gt;"",1+(Skills!T3/10)*($Z$3/1000)/100,1)</f>
        <v/>
      </c>
      <c r="J255" t="inlineStr"/>
      <c r="K255" t="inlineStr"/>
      <c r="L255" t="inlineStr"/>
      <c r="M255" t="inlineStr"/>
      <c r="N255" t="inlineStr"/>
      <c r="O255">
        <f>(1-Summary!$B$11)*S255+Summary!$B$11*U255</f>
        <v/>
      </c>
      <c r="P255">
        <f>IF(B295=0,0,O255/B295)</f>
        <v/>
      </c>
      <c r="Q255">
        <f>IFERROR(1/(IF(Inputs!$B$39="pvp",15,MAX(0.1,Skills!D3-IF(Skills!E3=TRUE,Inputs!$B$33,0)))*(1-IF(AND(ArtifactsInput!$M$27,Inputs!$B$4="Chapter Hunt"),CHOOSE(ArtifactsInput!$N$27+1,20,24,28,32,36,40),0)/100)),0)</f>
        <v/>
      </c>
      <c r="R255">
        <f>IF(AND(Inputs!$B$39&lt;&gt;"pvp",Inputs!$B$44&gt;0),IF(Inputs!$B$44&lt;=0,0,(INT(Inputs!$B$44/(IF(Inputs!$B$39="pvp",15,MAX(0.1,Skills!D3-IF(Skills!E3=TRUE,Inputs!$B$33,0)))*(1-IF(AND(ArtifactsInput!$M$27,Inputs!$B$4="Chapter Hunt"),CHOOSE(ArtifactsInput!$N$27+1,20,24,28,32,36,40),0)/100)))+1)),0)</f>
        <v/>
      </c>
      <c r="S255" t="n">
        <v>0</v>
      </c>
      <c r="T255">
        <f>INDEX(FactorTable!$B$2:$Y$301, MATCH(ROUND(MIN(300,MAX(1,T254)),0), FactorTable!$A$2:$A$301,0), 22)</f>
        <v/>
      </c>
      <c r="U255" t="n">
        <v>0</v>
      </c>
    </row>
    <row r="256">
      <c r="A256">
        <f>Skills!A4</f>
        <v/>
      </c>
      <c r="B256">
        <f>Skills!B4</f>
        <v/>
      </c>
      <c r="C256">
        <f>Inputs!$B$3&gt;=38</f>
        <v/>
      </c>
      <c r="D256">
        <f>IF(Skills!C4=1,60+Inputs!$B$26+Inputs!$B$30,IF(Skills!C4=2,90+Inputs!$B$27+Inputs!$B$30,IF(Skills!C4=3,120+Inputs!$B$28+Inputs!$B$30,MAX(0,(Inputs!$B$3-100)*3)+Inputs!$B$29+Inputs!$B$30)))</f>
        <v/>
      </c>
      <c r="E256">
        <f>INDEX(FactorTable!$B$2:$Y$301, MATCH(ROUND(MIN(300,MAX(1,D256)),0), FactorTable!$A$2:$A$301,0), Skills!L4+1)</f>
        <v/>
      </c>
      <c r="F256">
        <f>IF(Skills!M4=TRUE,(Skills!K4/10)*(E256/1000),Skills!K4/10)+Skills!N4</f>
        <v/>
      </c>
      <c r="G256">
        <f>Calc!G4</f>
        <v/>
      </c>
      <c r="H256">
        <f>Calc!H4</f>
        <v/>
      </c>
      <c r="I256">
        <f>IF(Skills!T4&lt;&gt;"",1+(Skills!T4/10)*($Z$3/1000)/100,1)</f>
        <v/>
      </c>
      <c r="J256" t="inlineStr"/>
      <c r="K256" t="inlineStr"/>
      <c r="L256" t="inlineStr"/>
      <c r="M256" t="inlineStr"/>
      <c r="N256" t="inlineStr"/>
      <c r="O256">
        <f>(1-Summary!$B$11)*S256+Summary!$B$11*U256</f>
        <v/>
      </c>
      <c r="P256">
        <f>IF(B295=0,0,O256/B295)</f>
        <v/>
      </c>
      <c r="Q256">
        <f>IFERROR(1/(IF(Inputs!$B$39="pvp",15,MAX(0.1,Skills!D4-IF(Skills!E4=TRUE,Inputs!$B$33,0)))*(1-IF(AND(ArtifactsInput!$M$27,Inputs!$B$4="Chapter Hunt"),CHOOSE(ArtifactsInput!$N$27+1,20,24,28,32,36,40),0)/100)),0)</f>
        <v/>
      </c>
      <c r="R256">
        <f>IF(AND(Inputs!$B$39&lt;&gt;"pvp",Inputs!$B$44&gt;0),IF(Inputs!$B$44&lt;=0,0,(INT(Inputs!$B$44/(IF(Inputs!$B$39="pvp",15,MAX(0.1,Skills!D4-IF(Skills!E4=TRUE,Inputs!$B$33,0)))*(1-IF(AND(ArtifactsInput!$M$27,Inputs!$B$4="Chapter Hunt"),CHOOSE(ArtifactsInput!$N$27+1,20,24,28,32,36,40),0)/100)))+1)),0)</f>
        <v/>
      </c>
      <c r="S256" t="n">
        <v>0</v>
      </c>
      <c r="T256">
        <f>290*T255/1000</f>
        <v/>
      </c>
      <c r="U256" t="n">
        <v>0</v>
      </c>
    </row>
    <row r="257">
      <c r="A257">
        <f>Skills!A5</f>
        <v/>
      </c>
      <c r="B257">
        <f>Skills!B5</f>
        <v/>
      </c>
      <c r="C257">
        <f>Inputs!$B$3&gt;=40</f>
        <v/>
      </c>
      <c r="D257">
        <f>IF(Skills!C5=1,60+Inputs!$B$26+Inputs!$B$30,IF(Skills!C5=2,90+Inputs!$B$27+Inputs!$B$30,IF(Skills!C5=3,120+Inputs!$B$28+Inputs!$B$30,MAX(0,(Inputs!$B$3-100)*3)+Inputs!$B$29+Inputs!$B$30)))</f>
        <v/>
      </c>
      <c r="E257">
        <f>INDEX(FactorTable!$B$2:$Y$301, MATCH(ROUND(MIN(300,MAX(1,D257)),0), FactorTable!$A$2:$A$301,0), Skills!L5+1)</f>
        <v/>
      </c>
      <c r="F257">
        <f>IF(Skills!M5=TRUE,(Skills!K5/10)*(E257/1000),Skills!K5/10)+Skills!N5</f>
        <v/>
      </c>
      <c r="G257">
        <f>Calc!G5</f>
        <v/>
      </c>
      <c r="H257">
        <f>Calc!H5</f>
        <v/>
      </c>
      <c r="I257">
        <f>IF(Skills!T5&lt;&gt;"",1+(Skills!T5/10)*($Z$3/1000)/100,1)</f>
        <v/>
      </c>
      <c r="J257" t="inlineStr"/>
      <c r="K257" t="inlineStr"/>
      <c r="L257" t="inlineStr"/>
      <c r="M257" t="inlineStr"/>
      <c r="N257" t="inlineStr"/>
      <c r="O257">
        <f>(1-Summary!$B$11)*S257+Summary!$B$11*U257</f>
        <v/>
      </c>
      <c r="P257">
        <f>IF(B295=0,0,O257/B295)</f>
        <v/>
      </c>
      <c r="Q257">
        <f>IFERROR(1/(IF(Inputs!$B$39="pvp",15,MAX(0.1,Skills!D5-IF(Skills!E5=TRUE,Inputs!$B$33,0)))*(1-IF(AND(ArtifactsInput!$M$27,Inputs!$B$4="Chapter Hunt"),CHOOSE(ArtifactsInput!$N$27+1,20,24,28,32,36,40),0)/100)),0)</f>
        <v/>
      </c>
      <c r="R257">
        <f>IF(AND(Inputs!$B$39&lt;&gt;"pvp",Inputs!$B$44&gt;0),IF(Inputs!$B$44&lt;=0,0,(INT(Inputs!$B$44/(IF(Inputs!$B$39="pvp",15,MAX(0.1,Skills!D5-IF(Skills!E5=TRUE,Inputs!$B$33,0)))*(1-IF(AND(ArtifactsInput!$M$27,Inputs!$B$4="Chapter Hunt"),CHOOSE(ArtifactsInput!$N$27+1,20,24,28,32,36,40),0)/100)))+1)),0)</f>
        <v/>
      </c>
      <c r="S257" t="n">
        <v>0</v>
      </c>
      <c r="U257" t="n">
        <v>0</v>
      </c>
    </row>
    <row r="258">
      <c r="A258">
        <f>Skills!A6</f>
        <v/>
      </c>
      <c r="B258">
        <f>Skills!B6</f>
        <v/>
      </c>
      <c r="C258">
        <f>Inputs!$B$3&gt;=103</f>
        <v/>
      </c>
      <c r="D258">
        <f>IF(Skills!C6=1,60+Inputs!$B$26+Inputs!$B$30,IF(Skills!C6=2,90+Inputs!$B$27+Inputs!$B$30,IF(Skills!C6=3,120+Inputs!$B$28+Inputs!$B$30,MAX(0,(Inputs!$B$3-100)*3)+Inputs!$B$29+Inputs!$B$30)))</f>
        <v/>
      </c>
      <c r="E258">
        <f>INDEX(FactorTable!$B$2:$Y$301, MATCH(ROUND(MIN(300,MAX(1,D258)),0), FactorTable!$A$2:$A$301,0), Skills!L6+1)</f>
        <v/>
      </c>
      <c r="F258">
        <f>IF(Skills!M6=TRUE,(Skills!K6/10)*(E258/1000),Skills!K6/10)+Skills!N6</f>
        <v/>
      </c>
      <c r="G258">
        <f>Calc!G6</f>
        <v/>
      </c>
      <c r="H258">
        <f>Calc!H6</f>
        <v/>
      </c>
      <c r="I258">
        <f>IF(Skills!T6&lt;&gt;"",1+(Skills!T6/10)*($Z$3/1000)/100,1)</f>
        <v/>
      </c>
      <c r="J258">
        <f>((Inputs!$B$6*(1+Inputs!$B$7/100))+(((Inputs!$B$13*(1+Inputs!$B$14/100))-(Inputs!$B$13*(1+Inputs!$B$14/100)))+0.25*(Inputs!$B$15-Inputs!$B$15))*(1+Inputs!$B$7/100))*(F258/100)</f>
        <v/>
      </c>
      <c r="K258">
        <f>J258*(1+(((Inputs!$B$13+IF(Inputs!$B$3&gt;=35,(10*INDEX(FactorTable!$B$2:$Y$301,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6="TRIUMPH_FEATHER",IF(C268=TRUE,F268,0),0)/100)*(1+IF(C279=TRUE,F279,0)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258)</f>
        <v/>
      </c>
      <c r="L258">
        <f>K258*(MIN(Inputs!$B$23+(F274-Calc!F22),(Inputs!$B$24+IF(ArtifactsInput!$M$15,CHOOSE(ArtifactsInput!$N$15+1,25,30,35,40,45,50)/100*(Inputs!$B$12-Inputs!$B$12),0)))/100+(Inputs!$B$24+IF(ArtifactsInput!$M$15,CHOOSE(ArtifactsInput!$N$15+1,25,30,35,40,45,50)/100*(Inputs!$B$12-Inputs!$B$12),0))/100)/2</f>
        <v/>
      </c>
      <c r="M258">
        <f>L258*(1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
        <f>L258*(1-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
        <f>(1-Summary!$B$11)*S258+Summary!$B$11*U258</f>
        <v/>
      </c>
      <c r="P258">
        <f>IF(B295=0,0,O258/B295)</f>
        <v/>
      </c>
      <c r="Q258">
        <f>IFERROR(1/(IF(Inputs!$B$39="pvp",15,MAX(0.1,Skills!D6-IF(Skills!E6=TRUE,Inputs!$B$33,0)))*(1-IF(AND(ArtifactsInput!$M$27,Inputs!$B$4="Chapter Hunt"),CHOOSE(ArtifactsInput!$N$27+1,20,24,28,32,36,40),0)/100)),0)</f>
        <v/>
      </c>
      <c r="R258">
        <f>IF(AND(Inputs!$B$39&lt;&gt;"pvp",Inputs!$B$44&gt;0),IF(MAX(0,Inputs!$B$44-B292)&lt;=0,0,(INT(MAX(0,Inputs!$B$44-B292)/(IF(Inputs!$B$39="pvp",15,MAX(0.1,Skills!D6-IF(Skills!E6=TRUE,Inputs!$B$33,0)))*(1-IF(AND(ArtifactsInput!$M$27,Inputs!$B$4="Chapter Hunt"),CHOOSE(ArtifactsInput!$N$27+1,20,24,28,32,36,40),0)/100)))+1)),0)</f>
        <v/>
      </c>
      <c r="S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$21+Skills!O6+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$22+Skills!P6+B284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
      <c r="A259">
        <f>Skills!A7</f>
        <v/>
      </c>
      <c r="B259">
        <f>Skills!B7</f>
        <v/>
      </c>
      <c r="C259">
        <f>Inputs!$B$3&gt;=122</f>
        <v/>
      </c>
      <c r="D259">
        <f>IF(Skills!C7=1,60+Inputs!$B$26+Inputs!$B$30,IF(Skills!C7=2,90+Inputs!$B$27+Inputs!$B$30,IF(Skills!C7=3,120+Inputs!$B$28+Inputs!$B$30,MAX(0,(Inputs!$B$3-100)*3)+Inputs!$B$29+Inputs!$B$30)))</f>
        <v/>
      </c>
      <c r="E259">
        <f>INDEX(FactorTable!$B$2:$Y$301, MATCH(ROUND(MIN(300,MAX(1,D259)),0), FactorTable!$A$2:$A$301,0), Skills!L7+1)</f>
        <v/>
      </c>
      <c r="F259">
        <f>IF(Skills!M7=TRUE,(Skills!K7/10)*(E259/1000),Skills!K7/10)+Skills!N7</f>
        <v/>
      </c>
      <c r="G259">
        <f>Calc!G7</f>
        <v/>
      </c>
      <c r="H259">
        <f>Calc!H7</f>
        <v/>
      </c>
      <c r="I259">
        <f>IF(Skills!T7&lt;&gt;"",1+(Skills!T7/10)*($Z$3/1000)/100,1)</f>
        <v/>
      </c>
      <c r="J259">
        <f>((Inputs!$B$6*(1+Inputs!$B$7/100))+(((Inputs!$B$13*(1+Inputs!$B$14/100))-(Inputs!$B$13*(1+Inputs!$B$14/100)))+0.25*(Inputs!$B$15-Inputs!$B$15))*(1+Inputs!$B$7/100))*(F259/100)</f>
        <v/>
      </c>
      <c r="K259">
        <f>J259*(1+(((Inputs!$B$13+IF(Inputs!$B$3&gt;=35,(10*INDEX(FactorTable!$B$2:$Y$301,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7="TRIUMPH_FEATHER",IF(C268=TRUE,F268,0),0)/100)*(1+IF(C279=TRUE,F279,0)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259)</f>
        <v/>
      </c>
      <c r="L259">
        <f>K259*(MIN(Inputs!$B$23+(F274-Calc!F22),(Inputs!$B$24+IF(ArtifactsInput!$M$15,CHOOSE(ArtifactsInput!$N$15+1,25,30,35,40,45,50)/100*(Inputs!$B$12-Inputs!$B$12),0)))/100+(Inputs!$B$24+IF(ArtifactsInput!$M$15,CHOOSE(ArtifactsInput!$N$15+1,25,30,35,40,45,50)/100*(Inputs!$B$12-Inputs!$B$12),0))/100)/2</f>
        <v/>
      </c>
      <c r="M259">
        <f>L259*(1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
        <f>L259*(1-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
        <f>(1-Summary!$B$11)*S259+Summary!$B$11*U259</f>
        <v/>
      </c>
      <c r="P259">
        <f>IF(B295=0,0,O259/B295)</f>
        <v/>
      </c>
      <c r="Q259">
        <f>IFERROR(1/(IF(Inputs!$B$39="pvp",15,MAX(0.1,Skills!D7-IF(Skills!E6=TRUE,Inputs!$B$33,0)))*(1-IF(AND(ArtifactsInput!$M$27,Inputs!$B$4="Chapter Hunt"),CHOOSE(ArtifactsInput!$N$27+1,20,24,28,32,36,40),0)/100)),0)</f>
        <v/>
      </c>
      <c r="R259">
        <f>IF(AND(Inputs!$B$39&lt;&gt;"pvp",Inputs!$B$44&gt;0),IF(MAX(0,Inputs!$B$44-B292)&lt;=0,0,(INT(MAX(0,Inputs!$B$44-B292)/(IF(Inputs!$B$39="pvp",15,MAX(0.1,Skills!D7-IF(Skills!E6=TRUE,Inputs!$B$33,0)))*(1-IF(AND(ArtifactsInput!$M$27,Inputs!$B$4="Chapter Hunt"),CHOOSE(ArtifactsInput!$N$27+1,20,24,28,32,36,40),0)/100)))+1)),0)</f>
        <v/>
      </c>
      <c r="S259">
        <f>IF(C259,H259*N259*IF(AND(Inputs!$B$39&lt;&gt;"pvp",Inputs!$B$44&gt;0),((Skills!F7*((R259-1)*IF(Skills!G7&gt;0,Skills!H7/Skills!G7,1)+IF(Skills!G7&gt;0,MIN(Skills!H7,MAX(0,MAX(0,Inputs!$B$44-B292)-((R259-1)*(IF(Inputs!$B$39="pvp",15,MAX(0.1,Skills!D7-IF(Skills!E6=TRUE,Inputs!$B$33,0)))*(1-IF(AND(ArtifactsInput!$M$27,Inputs!$B$4="Chapter Hunt"),CHOOSE(ArtifactsInput!$N$27+1,20,24,28,32,36,40),0)/100)))))/Skills!G7,1)))/Inputs!$B$44),G259*Q259)*IF(Inputs!$B$39="pvp",1,1+(Inputs!$B$21+Skills!O7+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 t="n">
        <v>0</v>
      </c>
    </row>
    <row r="260">
      <c r="A260">
        <f>Skills!A8</f>
        <v/>
      </c>
      <c r="B260">
        <f>Skills!B8</f>
        <v/>
      </c>
      <c r="C260">
        <f>Inputs!$B$3&gt;=105</f>
        <v/>
      </c>
      <c r="D260">
        <f>IF(Skills!C8=1,60+Inputs!$B$26+Inputs!$B$30,IF(Skills!C8=2,90+Inputs!$B$27+Inputs!$B$30,IF(Skills!C8=3,120+Inputs!$B$28+Inputs!$B$30,MAX(0,(Inputs!$B$3-100)*3)+Inputs!$B$29+Inputs!$B$30)))</f>
        <v/>
      </c>
      <c r="E260">
        <f>INDEX(FactorTable!$B$2:$Y$301, MATCH(ROUND(MIN(300,MAX(1,D260)),0), FactorTable!$A$2:$A$301,0), Skills!L8+1)</f>
        <v/>
      </c>
      <c r="F260">
        <f>IF(Skills!M8=TRUE,(Skills!K8/10)*(E260/1000),Skills!K8/10)+Skills!N8</f>
        <v/>
      </c>
      <c r="G260">
        <f>Calc!G8</f>
        <v/>
      </c>
      <c r="H260">
        <f>Calc!H8</f>
        <v/>
      </c>
      <c r="I260">
        <f>IF(Skills!T8&lt;&gt;"",1+(Skills!T8/10)*($Z$3/1000)/100,1)</f>
        <v/>
      </c>
      <c r="J260">
        <f>((Inputs!$B$6*(1+Inputs!$B$7/100))+(((Inputs!$B$13*(1+Inputs!$B$14/100))-(Inputs!$B$13*(1+Inputs!$B$14/100)))+0.25*(Inputs!$B$15-Inputs!$B$15))*(1+Inputs!$B$7/100))*(F260/100)</f>
        <v/>
      </c>
      <c r="K260">
        <f>J260*(1+(((Inputs!$B$13+IF(Inputs!$B$3&gt;=35,(10*INDEX(FactorTable!$B$2:$Y$301,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8="TRIUMPH_FEATHER",IF(C268=TRUE,F268,0),0)/100)*(1+IF(C279=TRUE,F279,0)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260)</f>
        <v/>
      </c>
      <c r="L260">
        <f>K260*(MIN(Inputs!$B$23+(F274-Calc!F22),(Inputs!$B$24+IF(ArtifactsInput!$M$15,CHOOSE(ArtifactsInput!$N$15+1,25,30,35,40,45,50)/100*(Inputs!$B$12-Inputs!$B$12),0)))/100+(Inputs!$B$24+IF(ArtifactsInput!$M$15,CHOOSE(ArtifactsInput!$N$15+1,25,30,35,40,45,50)/100*(Inputs!$B$12-Inputs!$B$12),0))/100)/2</f>
        <v/>
      </c>
      <c r="M260">
        <f>L260*(1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
        <f>L260*(1-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
        <f>(1-Summary!$B$11)*S260+Summary!$B$11*U260</f>
        <v/>
      </c>
      <c r="P260">
        <f>IF(B295=0,0,O260/B295)</f>
        <v/>
      </c>
      <c r="Q260">
        <f>IFERROR(1/(IF(Inputs!$B$39="pvp",15,MAX(0.1,Skills!D8-IF(Skills!E8=TRUE,Inputs!$B$33,0)))*(1-IF(AND(ArtifactsInput!$M$27,Inputs!$B$4="Chapter Hunt"),CHOOSE(ArtifactsInput!$N$27+1,20,24,28,32,36,40),0)/100)),0)</f>
        <v/>
      </c>
      <c r="R260">
        <f>IF(AND(Inputs!$B$39&lt;&gt;"pvp",Inputs!$B$44&gt;0),IF(MAX(0,Inputs!$B$44-B292)&lt;=0,0,(INT(MAX(0,Inputs!$B$44-B292)/(IF(Inputs!$B$39="pvp",15,MAX(0.1,Skills!D8-IF(Skills!E8=TRUE,Inputs!$B$33,0)))*(1-IF(AND(ArtifactsInput!$M$27,Inputs!$B$4="Chapter Hunt"),CHOOSE(ArtifactsInput!$N$27+1,20,24,28,32,36,40),0)/100)))+1)),0)</f>
        <v/>
      </c>
      <c r="S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$21+Skills!O8+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$22+Skills!P8+B284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1">
      <c r="A261">
        <f>Skills!A9</f>
        <v/>
      </c>
      <c r="B261">
        <f>Skills!B9</f>
        <v/>
      </c>
      <c r="C261">
        <f>Inputs!$B$3&gt;=115</f>
        <v/>
      </c>
      <c r="D261">
        <f>IF(Skills!C9=1,60+Inputs!$B$26+Inputs!$B$30,IF(Skills!C9=2,90+Inputs!$B$27+Inputs!$B$30,IF(Skills!C9=3,120+Inputs!$B$28+Inputs!$B$30,MAX(0,(Inputs!$B$3-100)*3)+Inputs!$B$29+Inputs!$B$30)))</f>
        <v/>
      </c>
      <c r="E261">
        <f>INDEX(FactorTable!$B$2:$Y$301, MATCH(ROUND(MIN(300,MAX(1,D261)),0), FactorTable!$A$2:$A$301,0), Skills!L9+1)</f>
        <v/>
      </c>
      <c r="F261">
        <f>IF(Skills!M9=TRUE,(Skills!K9/10)*(E261/1000),Skills!K9/10)+Skills!N9</f>
        <v/>
      </c>
      <c r="G261">
        <f>Calc!G9</f>
        <v/>
      </c>
      <c r="H261">
        <f>Calc!H9</f>
        <v/>
      </c>
      <c r="I261">
        <f>IF(Skills!T9&lt;&gt;"",1+(Skills!T9/10)*($Z$3/1000)/100,1)</f>
        <v/>
      </c>
      <c r="J261">
        <f>((Inputs!$B$6*(1+Inputs!$B$7/100))+(((Inputs!$B$13*(1+Inputs!$B$14/100))-(Inputs!$B$13*(1+Inputs!$B$14/100)))+0.25*(Inputs!$B$15-Inputs!$B$15))*(1+Inputs!$B$7/100))*(F261/100)</f>
        <v/>
      </c>
      <c r="K261">
        <f>J261*(1+(((Inputs!$B$13+IF(Inputs!$B$3&gt;=35,(10*INDEX(FactorTable!$B$2:$Y$301,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9="TRIUMPH_FEATHER",IF(C268=TRUE,F268,0),0)/100)*(1+IF(C279=TRUE,F279,0)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261)</f>
        <v/>
      </c>
      <c r="L261">
        <f>K261*(MIN(Inputs!$B$23+(F274-Calc!F22),(Inputs!$B$24+IF(ArtifactsInput!$M$15,CHOOSE(ArtifactsInput!$N$15+1,25,30,35,40,45,50)/100*(Inputs!$B$12-Inputs!$B$12),0)))/100+(Inputs!$B$24+IF(ArtifactsInput!$M$15,CHOOSE(ArtifactsInput!$N$15+1,25,30,35,40,45,50)/100*(Inputs!$B$12-Inputs!$B$12),0))/100)/2</f>
        <v/>
      </c>
      <c r="M261">
        <f>L261*(1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1">
        <f>L261*(1-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1">
        <f>(1-Summary!$B$11)*S261+Summary!$B$11*U261</f>
        <v/>
      </c>
      <c r="P261">
        <f>IF(B295=0,0,O261/B295)</f>
        <v/>
      </c>
      <c r="Q261">
        <f>IFERROR(1/(IF(Inputs!$B$39="pvp",15,MAX(0.1,Skills!D9-IF(Skills!E9=TRUE,Inputs!$B$33,0)))*(1-IF(AND(ArtifactsInput!$M$27,Inputs!$B$4="Chapter Hunt"),CHOOSE(ArtifactsInput!$N$27+1,20,24,28,32,36,40),0)/100)),0)</f>
        <v/>
      </c>
      <c r="R261">
        <f>IF(AND(Inputs!$B$39&lt;&gt;"pvp",Inputs!$B$44&gt;0),IF(MAX(0,Inputs!$B$44-B292)&lt;=0,0,(INT(MAX(0,Inputs!$B$44-B292)/(IF(Inputs!$B$39="pvp",15,MAX(0.1,Skills!D9-IF(Skills!E9=TRUE,Inputs!$B$33,0)))*(1-IF(AND(ArtifactsInput!$M$27,Inputs!$B$4="Chapter Hunt"),CHOOSE(ArtifactsInput!$N$27+1,20,24,28,32,36,40),0)/100)))+1)),0)</f>
        <v/>
      </c>
      <c r="S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$21+Skills!O9+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261*(1-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261*(1-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$22+Skills!P9+B284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
      <c r="A262">
        <f>Skills!A10</f>
        <v/>
      </c>
      <c r="B262">
        <f>Skills!B10</f>
        <v/>
      </c>
      <c r="C262">
        <f>Inputs!$B$3&gt;=66</f>
        <v/>
      </c>
      <c r="D262">
        <f>IF(Skills!C10=1,60+Inputs!$B$26+Inputs!$B$30,IF(Skills!C10=2,90+Inputs!$B$27+Inputs!$B$30,IF(Skills!C10=3,120+Inputs!$B$28+Inputs!$B$30,MAX(0,(Inputs!$B$3-100)*3)+Inputs!$B$29+Inputs!$B$30)))</f>
        <v/>
      </c>
      <c r="E262">
        <f>INDEX(FactorTable!$B$2:$Y$301, MATCH(ROUND(MIN(300,MAX(1,D262)),0), FactorTable!$A$2:$A$301,0), Skills!L10+1)</f>
        <v/>
      </c>
      <c r="F262" t="n">
        <v>0</v>
      </c>
      <c r="G262">
        <f>Calc!G10</f>
        <v/>
      </c>
      <c r="H262">
        <f>Calc!H10</f>
        <v/>
      </c>
      <c r="I262">
        <f>IF(Skills!T10&lt;&gt;"",1+(Skills!T10/10)*($Z$3/1000)/100,1)</f>
        <v/>
      </c>
      <c r="J262" t="inlineStr"/>
      <c r="K262" t="inlineStr"/>
      <c r="L262" t="inlineStr"/>
      <c r="M262" t="inlineStr"/>
      <c r="N262" t="inlineStr"/>
      <c r="O262">
        <f>(1-Summary!$B$11)*S262+Summary!$B$11*U262</f>
        <v/>
      </c>
      <c r="P262">
        <f>IF(B295=0,0,O262/B295)</f>
        <v/>
      </c>
      <c r="Q262">
        <f>IFERROR(1/(IF(Inputs!$B$39="pvp",15,MAX(0.1,Skills!D10-IF(Skills!E10=TRUE,Inputs!$B$33,0)))*(1-IF(AND(ArtifactsInput!$M$27,Inputs!$B$4="Chapter Hunt"),CHOOSE(ArtifactsInput!$N$27+1,20,24,28,32,36,40),0)/100)),0)</f>
        <v/>
      </c>
      <c r="R262">
        <f>IF(AND(Inputs!$B$39&lt;&gt;"pvp",Inputs!$B$44&gt;0),IF(MAX(0,Inputs!$B$44-B292)&lt;=0,0,(INT(MAX(0,Inputs!$B$44-B292)/(IF(Inputs!$B$39="pvp",15,MAX(0.1,Skills!D10-IF(Skills!E10=TRUE,Inputs!$B$33,0)))*(1-IF(AND(ArtifactsInput!$M$27,Inputs!$B$4="Chapter Hunt"),CHOOSE(ArtifactsInput!$N$27+1,20,24,28,32,36,40),0)/100)))+1)),0)</f>
        <v/>
      </c>
      <c r="S262" t="n">
        <v>0</v>
      </c>
      <c r="U262" t="n">
        <v>0</v>
      </c>
    </row>
    <row r="263">
      <c r="A263">
        <f>Skills!A11</f>
        <v/>
      </c>
      <c r="B263">
        <f>Skills!B11</f>
        <v/>
      </c>
      <c r="C263">
        <f>Inputs!$B$3&gt;=69</f>
        <v/>
      </c>
      <c r="D263">
        <f>IF(Skills!C11=1,60+Inputs!$B$26+Inputs!$B$30,IF(Skills!C11=2,90+Inputs!$B$27+Inputs!$B$30,IF(Skills!C11=3,120+Inputs!$B$28+Inputs!$B$30,MAX(0,(Inputs!$B$3-100)*3)+Inputs!$B$29+Inputs!$B$30)))</f>
        <v/>
      </c>
      <c r="E263">
        <f>INDEX(FactorTable!$B$2:$Y$301, MATCH(ROUND(MIN(300,MAX(1,D263)),0), FactorTable!$A$2:$A$301,0), Skills!L11+1)</f>
        <v/>
      </c>
      <c r="F263">
        <f>IF(Skills!M11=TRUE,(Skills!K11/10)*(E263/1000),Skills!K11/10)+Skills!N11</f>
        <v/>
      </c>
      <c r="G263">
        <f>Calc!G11</f>
        <v/>
      </c>
      <c r="H263">
        <f>Calc!H11</f>
        <v/>
      </c>
      <c r="I263">
        <f>IF(Skills!T11&lt;&gt;"",1+(Skills!T11/10)*($Z$3/1000)/100,1)</f>
        <v/>
      </c>
      <c r="J263" t="inlineStr"/>
      <c r="K263" t="inlineStr"/>
      <c r="L263" t="inlineStr"/>
      <c r="M263" t="inlineStr"/>
      <c r="N263" t="inlineStr"/>
      <c r="O263">
        <f>(1-Summary!$B$11)*S263+Summary!$B$11*U263</f>
        <v/>
      </c>
      <c r="P263">
        <f>IF(B295=0,0,O263/B295)</f>
        <v/>
      </c>
      <c r="Q263">
        <f>IFERROR(1/(IF(Inputs!$B$39="pvp",15,MAX(0.1,Skills!D11-IF(Skills!E11=TRUE,Inputs!$B$33,0)))*(1-IF(AND(ArtifactsInput!$M$27,Inputs!$B$4="Chapter Hunt"),CHOOSE(ArtifactsInput!$N$27+1,20,24,28,32,36,40),0)/100)),0)</f>
        <v/>
      </c>
      <c r="R263">
        <f>IF(AND(Inputs!$B$39&lt;&gt;"pvp",Inputs!$B$44&gt;0),IF(Inputs!$B$44&lt;=0,0,(INT(Inputs!$B$44/(IF(Inputs!$B$39="pvp",15,MAX(0.1,Skills!D11-IF(Skills!E11=TRUE,Inputs!$B$33,0)))*(1-IF(AND(ArtifactsInput!$M$27,Inputs!$B$4="Chapter Hunt"),CHOOSE(ArtifactsInput!$N$27+1,20,24,28,32,36,40),0)/100)))+1)),0)</f>
        <v/>
      </c>
      <c r="S263" t="n">
        <v>0</v>
      </c>
      <c r="U263" t="n">
        <v>0</v>
      </c>
    </row>
    <row r="264">
      <c r="A264">
        <f>Skills!A12</f>
        <v/>
      </c>
      <c r="B264">
        <f>Skills!B12</f>
        <v/>
      </c>
      <c r="C264">
        <f>Inputs!$B$3&gt;=72</f>
        <v/>
      </c>
      <c r="D264">
        <f>IF(Skills!C12=1,60+Inputs!$B$26+Inputs!$B$30,IF(Skills!C12=2,90+Inputs!$B$27+Inputs!$B$30,IF(Skills!C12=3,120+Inputs!$B$28+Inputs!$B$30,MAX(0,(Inputs!$B$3-100)*3)+Inputs!$B$29+Inputs!$B$30)))</f>
        <v/>
      </c>
      <c r="E264">
        <f>INDEX(FactorTable!$B$2:$Y$301, MATCH(ROUND(MIN(300,MAX(1,D264)),0), FactorTable!$A$2:$A$301,0), Skills!L12+1)</f>
        <v/>
      </c>
      <c r="F264">
        <f>IF(Skills!M12=TRUE,(Skills!K12/10)*(E264/1000),Skills!K12/10)+Skills!N12</f>
        <v/>
      </c>
      <c r="G264">
        <f>Calc!G12</f>
        <v/>
      </c>
      <c r="H264">
        <f>Calc!H12</f>
        <v/>
      </c>
      <c r="I264">
        <f>IF(Skills!T12&lt;&gt;"",1+(Skills!T12/10)*($Z$3/1000)/100,1)</f>
        <v/>
      </c>
      <c r="J264" t="inlineStr"/>
      <c r="K264" t="inlineStr"/>
      <c r="L264" t="inlineStr"/>
      <c r="M264" t="inlineStr"/>
      <c r="N264" t="inlineStr"/>
      <c r="O264">
        <f>(1-Summary!$B$11)*S264+Summary!$B$11*U264</f>
        <v/>
      </c>
      <c r="P264">
        <f>IF(B295=0,0,O264/B295)</f>
        <v/>
      </c>
      <c r="Q264">
        <f>IFERROR(1/(IF(Inputs!$B$39="pvp",15,MAX(0.1,Skills!D12-IF(Skills!E12=TRUE,Inputs!$B$33,0)))*(1-IF(AND(ArtifactsInput!$M$27,Inputs!$B$4="Chapter Hunt"),CHOOSE(ArtifactsInput!$N$27+1,20,24,28,32,36,40),0)/100)),0)</f>
        <v/>
      </c>
      <c r="R264">
        <f>IF(AND(Inputs!$B$39&lt;&gt;"pvp",Inputs!$B$44&gt;0),IF(MAX(0,Inputs!$B$44-B292)&lt;=0,0,(INT(MAX(0,Inputs!$B$44-B292)/(IF(Inputs!$B$39="pvp",15,MAX(0.1,Skills!D12-IF(Skills!E12=TRUE,Inputs!$B$33,0)))*(1-IF(AND(ArtifactsInput!$M$27,Inputs!$B$4="Chapter Hunt"),CHOOSE(ArtifactsInput!$N$27+1,20,24,28,32,36,40),0)/100)))+1)),0)</f>
        <v/>
      </c>
      <c r="S264" t="n">
        <v>0</v>
      </c>
      <c r="U264" t="n">
        <v>0</v>
      </c>
    </row>
    <row r="265">
      <c r="A265">
        <f>Skills!A13</f>
        <v/>
      </c>
      <c r="B265">
        <f>Skills!B13</f>
        <v/>
      </c>
      <c r="C265">
        <f>Inputs!$B$3&gt;=60</f>
        <v/>
      </c>
      <c r="D265">
        <f>IF(Skills!C13=1,60+Inputs!$B$26+Inputs!$B$30,IF(Skills!C13=2,90+Inputs!$B$27+Inputs!$B$30,IF(Skills!C13=3,120+Inputs!$B$28+Inputs!$B$30,MAX(0,(Inputs!$B$3-100)*3)+Inputs!$B$29+Inputs!$B$30)))</f>
        <v/>
      </c>
      <c r="E265">
        <f>INDEX(FactorTable!$B$2:$Y$301, MATCH(ROUND(MIN(300,MAX(1,D265)),0), FactorTable!$A$2:$A$301,0), Skills!L13+1)</f>
        <v/>
      </c>
      <c r="F265">
        <f>IF(Skills!M13=TRUE,(Skills!K13/10)*(E265/1000),Skills!K13/10)+Skills!N13</f>
        <v/>
      </c>
      <c r="G265">
        <f>Calc!G13</f>
        <v/>
      </c>
      <c r="H265">
        <f>Calc!H13</f>
        <v/>
      </c>
      <c r="I265">
        <f>IF(Skills!T13&lt;&gt;"",1+(Skills!T13/10)*($Z$3/1000)/100,1)</f>
        <v/>
      </c>
      <c r="J265" t="inlineStr"/>
      <c r="K265" t="inlineStr"/>
      <c r="L265" t="inlineStr"/>
      <c r="M265" t="inlineStr"/>
      <c r="N265" t="inlineStr"/>
      <c r="O265">
        <f>(1-Summary!$B$11)*S265+Summary!$B$11*U265</f>
        <v/>
      </c>
      <c r="P265">
        <f>IF(B295=0,0,O265/B295)</f>
        <v/>
      </c>
      <c r="Q265">
        <f>IFERROR(1/(IF(Inputs!$B$39="pvp",15,MAX(0.1,Skills!D13-IF(Skills!E13=TRUE,Inputs!$B$33,0)))*(1-IF(AND(ArtifactsInput!$M$27,Inputs!$B$4="Chapter Hunt"),CHOOSE(ArtifactsInput!$N$27+1,20,24,28,32,36,40),0)/100)),0)</f>
        <v/>
      </c>
      <c r="R265">
        <f>IF(AND(Inputs!$B$39&lt;&gt;"pvp",Inputs!$B$44&gt;0),IF(MAX(0,Inputs!$B$44-B292)&lt;=0,0,(INT(MAX(0,Inputs!$B$44-B292)/(IF(Inputs!$B$39="pvp",15,MAX(0.1,Skills!D13-IF(Skills!E13=TRUE,Inputs!$B$33,0)))*(1-IF(AND(ArtifactsInput!$M$27,Inputs!$B$4="Chapter Hunt"),CHOOSE(ArtifactsInput!$N$27+1,20,24,28,32,36,40),0)/100)))+1)),0)</f>
        <v/>
      </c>
      <c r="S265" t="n">
        <v>0</v>
      </c>
      <c r="U265" t="n">
        <v>0</v>
      </c>
    </row>
    <row r="266">
      <c r="A266">
        <f>Skills!A14</f>
        <v/>
      </c>
      <c r="B266">
        <f>Skills!B14</f>
        <v/>
      </c>
      <c r="C266">
        <f>Inputs!$B$3&gt;=107</f>
        <v/>
      </c>
      <c r="D266">
        <f>IF(Skills!C14=1,60+Inputs!$B$26+Inputs!$B$30,IF(Skills!C14=2,90+Inputs!$B$27+Inputs!$B$30,IF(Skills!C14=3,120+Inputs!$B$28+Inputs!$B$30,MAX(0,(Inputs!$B$3-100)*3)+Inputs!$B$29+Inputs!$B$30)))</f>
        <v/>
      </c>
      <c r="E266">
        <f>INDEX(FactorTable!$B$2:$Y$301, MATCH(ROUND(MIN(300,MAX(1,D266)),0), FactorTable!$A$2:$A$301,0), Skills!L14+1)</f>
        <v/>
      </c>
      <c r="F266">
        <f>IF(Skills!M14=TRUE,(Skills!K14/10)*(E266/1000),Skills!K14/10)+Skills!N14</f>
        <v/>
      </c>
      <c r="G266">
        <f>Calc!G14</f>
        <v/>
      </c>
      <c r="H266">
        <f>Calc!H14</f>
        <v/>
      </c>
      <c r="I266">
        <f>IF(Skills!T14&lt;&gt;"",1+(Skills!T14/10)*($Z$3/1000)/100,1)</f>
        <v/>
      </c>
      <c r="J266" t="inlineStr"/>
      <c r="K266" t="inlineStr"/>
      <c r="L266" t="inlineStr"/>
      <c r="M266" t="inlineStr"/>
      <c r="N266" t="inlineStr"/>
      <c r="O266">
        <f>(1-Summary!$B$11)*S266+Summary!$B$11*U266</f>
        <v/>
      </c>
      <c r="P266">
        <f>IF(B295=0,0,O266/B295)</f>
        <v/>
      </c>
      <c r="Q266">
        <f>IFERROR(1/(IF(Inputs!$B$39="pvp",15,MAX(0.1,Skills!D14-IF(Skills!E14=TRUE,Inputs!$B$33,0)))*(1-IF(AND(ArtifactsInput!$M$27,Inputs!$B$4="Chapter Hunt"),CHOOSE(ArtifactsInput!$N$27+1,20,24,28,32,36,40),0)/100)),0)</f>
        <v/>
      </c>
      <c r="R266">
        <f>IF(AND(Inputs!$B$39&lt;&gt;"pvp",Inputs!$B$44&gt;0),IF(Inputs!$B$44&lt;=0,0,(INT(Inputs!$B$44/(IF(Inputs!$B$39="pvp",15,MAX(0.1,Skills!D14-IF(Skills!E14=TRUE,Inputs!$B$33,0)))*(1-IF(AND(ArtifactsInput!$M$27,Inputs!$B$4="Chapter Hunt"),CHOOSE(ArtifactsInput!$N$27+1,20,24,28,32,36,40),0)/100)))+1)),0)</f>
        <v/>
      </c>
      <c r="S266" t="n">
        <v>0</v>
      </c>
      <c r="U266" t="n">
        <v>0</v>
      </c>
    </row>
    <row r="267">
      <c r="A267">
        <f>Skills!A15</f>
        <v/>
      </c>
      <c r="B267">
        <f>Skills!B15</f>
        <v/>
      </c>
      <c r="C267">
        <f>Inputs!$B$3&gt;=63</f>
        <v/>
      </c>
      <c r="D267">
        <f>IF(Skills!C15=1,60+Inputs!$B$26+Inputs!$B$30,IF(Skills!C15=2,90+Inputs!$B$27+Inputs!$B$30,IF(Skills!C15=3,120+Inputs!$B$28+Inputs!$B$30,MAX(0,(Inputs!$B$3-100)*3)+Inputs!$B$29+Inputs!$B$30)))</f>
        <v/>
      </c>
      <c r="E267">
        <f>INDEX(FactorTable!$B$2:$Y$301, MATCH(ROUND(MIN(300,MAX(1,D267)),0), FactorTable!$A$2:$A$301,0), Skills!L15+1)</f>
        <v/>
      </c>
      <c r="F267">
        <f>IF(Skills!M15=TRUE,(Skills!K15/10)*(E267/1000),Skills!K15/10)+Skills!N15</f>
        <v/>
      </c>
      <c r="G267">
        <f>Calc!G15</f>
        <v/>
      </c>
      <c r="H267">
        <f>Calc!H15</f>
        <v/>
      </c>
      <c r="I267">
        <f>IF(Skills!T15&lt;&gt;"",1+(Skills!T15/10)*($Z$3/1000)/100,1)</f>
        <v/>
      </c>
      <c r="J267">
        <f>((Inputs!$B$6*(1+Inputs!$B$7/100))+(((Inputs!$B$13*(1+Inputs!$B$14/100))-(Inputs!$B$13*(1+Inputs!$B$14/100)))+0.25*(Inputs!$B$15-Inputs!$B$15))*(1+Inputs!$B$7/100))*(F267/100)</f>
        <v/>
      </c>
      <c r="K267">
        <f>J267*(1+(((Inputs!$B$13+IF(Inputs!$B$3&gt;=35,(10*INDEX(FactorTable!$B$2:$Y$301,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15="TRIUMPH_FEATHER",IF(C268=TRUE,F268,0),0)/100)*(1+IF(C279=TRUE,F279,0)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267)</f>
        <v/>
      </c>
      <c r="L267">
        <f>K267*(MIN(Inputs!$B$23+(F274-Calc!F22),(Inputs!$B$24+IF(ArtifactsInput!$M$15,CHOOSE(ArtifactsInput!$N$15+1,25,30,35,40,45,50)/100*(Inputs!$B$12-Inputs!$B$12),0)))/100+(Inputs!$B$24+IF(ArtifactsInput!$M$15,CHOOSE(ArtifactsInput!$N$15+1,25,30,35,40,45,50)/100*(Inputs!$B$12-Inputs!$B$12),0))/100)/2</f>
        <v/>
      </c>
      <c r="M267">
        <f>L267*(1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
        <f>L267*(1-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
        <f>(1-Summary!$B$11)*S267+Summary!$B$11*U267</f>
        <v/>
      </c>
      <c r="P267">
        <f>IF(B295=0,0,O267/B295)</f>
        <v/>
      </c>
      <c r="Q267">
        <f>IFERROR(1/(IF(Inputs!$B$39="pvp",15,MAX(0.1,Skills!D15-IF(Skills!E15=TRUE,Inputs!$B$33,0)))*(1-IF(AND(ArtifactsInput!$M$27,Inputs!$B$4="Chapter Hunt"),CHOOSE(ArtifactsInput!$N$27+1,20,24,28,32,36,40),0)/100)),0)</f>
        <v/>
      </c>
      <c r="R267" t="n">
        <v>0</v>
      </c>
      <c r="S267">
        <f>IF(C267,(Skills!F15*N267*((IF(Inputs!$B$3&gt;=78,25,15)/100*B288*10)/(1+IF(Inputs!$B$3&gt;=78,25,15)/100*B288*10))*(Skills!I15/100*B288)/(1+Skills!G15*Skills!I15/100*B288))*IF(Inputs!$B$39="pvp",1,1+(Inputs!$B$21+Skills!O15+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
        <f>IF(C267,(Skills!F15*N267*((IF(Inputs!$B$3&gt;=78,25,15)/100*B288*10)/(1+IF(Inputs!$B$3&gt;=78,25,15)/100*B288*10))*(Skills!I15/100*B288)/(1+Skills!G15*Skills!I15/100*B288))*IF(Inputs!$B$39="pvp",1,(1+(Inputs!$B$22+Skills!P15+B284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
      <c r="A268">
        <f>Skills!A16</f>
        <v/>
      </c>
      <c r="B268">
        <f>Skills!B16</f>
        <v/>
      </c>
      <c r="C268">
        <f>Inputs!$B$3&gt;=100</f>
        <v/>
      </c>
      <c r="D268">
        <f>IF(Skills!C16=1,60+Inputs!$B$26+Inputs!$B$30,IF(Skills!C16=2,90+Inputs!$B$27+Inputs!$B$30,IF(Skills!C16=3,120+Inputs!$B$28+Inputs!$B$30,MAX(0,(Inputs!$B$3-100)*3)+Inputs!$B$29+Inputs!$B$30)))</f>
        <v/>
      </c>
      <c r="E268">
        <f>INDEX(FactorTable!$B$2:$Y$301, MATCH(ROUND(MIN(300,MAX(1,D268)),0), FactorTable!$A$2:$A$301,0), Skills!L16+1)</f>
        <v/>
      </c>
      <c r="F268">
        <f>IF(Skills!M16=TRUE,(Skills!K16/10)*(E268/1000),Skills!K16/10)+Skills!N16</f>
        <v/>
      </c>
      <c r="G268">
        <f>Calc!G16</f>
        <v/>
      </c>
      <c r="H268">
        <f>Calc!H16</f>
        <v/>
      </c>
      <c r="I268">
        <f>IF(Skills!T16&lt;&gt;"",1+(Skills!T16/10)*($Z$3/1000)/100,1)</f>
        <v/>
      </c>
      <c r="J268" t="inlineStr"/>
      <c r="K268" t="inlineStr"/>
      <c r="L268" t="inlineStr"/>
      <c r="M268" t="inlineStr"/>
      <c r="N268" t="inlineStr"/>
      <c r="O268">
        <f>(1-Summary!$B$11)*S268+Summary!$B$11*U268</f>
        <v/>
      </c>
      <c r="P268">
        <f>IF(B295=0,0,O268/B295)</f>
        <v/>
      </c>
      <c r="Q268">
        <f>IFERROR(1/(IF(Inputs!$B$39="pvp",15,MAX(0.1,Skills!D16-IF(Skills!E16=TRUE,Inputs!$B$33,0)))*(1-IF(AND(ArtifactsInput!$M$27,Inputs!$B$4="Chapter Hunt"),CHOOSE(ArtifactsInput!$N$27+1,20,24,28,32,36,40),0)/100)),0)</f>
        <v/>
      </c>
      <c r="R268" t="n">
        <v>0</v>
      </c>
      <c r="S268" t="n">
        <v>0</v>
      </c>
      <c r="U268" t="n">
        <v>0</v>
      </c>
    </row>
    <row r="269">
      <c r="A269">
        <f>Skills!A17</f>
        <v/>
      </c>
      <c r="B269">
        <f>Skills!B17</f>
        <v/>
      </c>
      <c r="C269">
        <f>Inputs!$B$3&gt;=49</f>
        <v/>
      </c>
      <c r="D269">
        <f>IF(Skills!C17=1,60+Inputs!$B$26+Inputs!$B$30,IF(Skills!C17=2,90+Inputs!$B$27+Inputs!$B$30,IF(Skills!C17=3,120+Inputs!$B$28+Inputs!$B$30,MAX(0,(Inputs!$B$3-100)*3)+Inputs!$B$29+Inputs!$B$30)))</f>
        <v/>
      </c>
      <c r="E269">
        <f>INDEX(FactorTable!$B$2:$Y$301, MATCH(ROUND(MIN(300,MAX(1,D269)),0), FactorTable!$A$2:$A$301,0), Skills!L17+1)</f>
        <v/>
      </c>
      <c r="F269">
        <f>IF(Skills!M17=TRUE,(Skills!K17/10)*(E269/1000),Skills!K17/10)+Skills!N17</f>
        <v/>
      </c>
      <c r="G269">
        <f>Calc!G17</f>
        <v/>
      </c>
      <c r="H269">
        <f>Calc!H17</f>
        <v/>
      </c>
      <c r="I269">
        <f>IF(Skills!T17&lt;&gt;"",1+(Skills!T17/10)*($Z$3/1000)/100,1)</f>
        <v/>
      </c>
      <c r="J269" t="inlineStr"/>
      <c r="K269" t="inlineStr"/>
      <c r="L269" t="inlineStr"/>
      <c r="M269" t="inlineStr"/>
      <c r="N269" t="inlineStr"/>
      <c r="O269">
        <f>(1-Summary!$B$11)*S269+Summary!$B$11*U269</f>
        <v/>
      </c>
      <c r="P269">
        <f>IF(B295=0,0,O269/B295)</f>
        <v/>
      </c>
      <c r="Q269">
        <f>IFERROR(1/(IF(Inputs!$B$39="pvp",15,MAX(0.1,Skills!D17-IF(Skills!E17=TRUE,Inputs!$B$33,0)))*(1-IF(AND(ArtifactsInput!$M$27,Inputs!$B$4="Chapter Hunt"),CHOOSE(ArtifactsInput!$N$27+1,20,24,28,32,36,40),0)/100)),0)</f>
        <v/>
      </c>
      <c r="R269" t="n">
        <v>0</v>
      </c>
      <c r="S269" t="n">
        <v>0</v>
      </c>
      <c r="U269" t="n">
        <v>0</v>
      </c>
    </row>
    <row r="270">
      <c r="A270">
        <f>Skills!A18</f>
        <v/>
      </c>
      <c r="B270">
        <f>Skills!B18</f>
        <v/>
      </c>
      <c r="C270">
        <f>Inputs!$B$3&gt;=75</f>
        <v/>
      </c>
      <c r="D270">
        <f>IF(Skills!C18=1,60+Inputs!$B$26+Inputs!$B$30,IF(Skills!C18=2,90+Inputs!$B$27+Inputs!$B$30,IF(Skills!C18=3,120+Inputs!$B$28+Inputs!$B$30,MAX(0,(Inputs!$B$3-100)*3)+Inputs!$B$29+Inputs!$B$30)))</f>
        <v/>
      </c>
      <c r="E270">
        <f>INDEX(FactorTable!$B$2:$Y$301, MATCH(ROUND(MIN(300,MAX(1,D270)),0), FactorTable!$A$2:$A$301,0), Skills!L18+1)</f>
        <v/>
      </c>
      <c r="F270">
        <f>IF(Skills!M18=TRUE,(Skills!K18/10)*(E270/1000),Skills!K18/10)+Skills!N18</f>
        <v/>
      </c>
      <c r="G270">
        <f>Calc!G18</f>
        <v/>
      </c>
      <c r="H270">
        <f>Calc!H18</f>
        <v/>
      </c>
      <c r="I270">
        <f>IF(Skills!T18&lt;&gt;"",1+(Skills!T18/10)*($Z$3/1000)/100,1)</f>
        <v/>
      </c>
      <c r="J270" t="inlineStr"/>
      <c r="K270" t="inlineStr"/>
      <c r="L270" t="inlineStr"/>
      <c r="M270" t="inlineStr"/>
      <c r="N270" t="inlineStr"/>
      <c r="O270">
        <f>(1-Summary!$B$11)*S270+Summary!$B$11*U270</f>
        <v/>
      </c>
      <c r="P270">
        <f>IF(B295=0,0,O270/B295)</f>
        <v/>
      </c>
      <c r="Q270">
        <f>IFERROR(1/(IF(Inputs!$B$39="pvp",15,MAX(0.1,Skills!D18-IF(Skills!E18=TRUE,Inputs!$B$33,0)))*(1-IF(AND(ArtifactsInput!$M$27,Inputs!$B$4="Chapter Hunt"),CHOOSE(ArtifactsInput!$N$27+1,20,24,28,32,36,40),0)/100)),0)</f>
        <v/>
      </c>
      <c r="R270" t="n">
        <v>0</v>
      </c>
      <c r="S270" t="n">
        <v>0</v>
      </c>
      <c r="U270" t="n">
        <v>0</v>
      </c>
    </row>
    <row r="271">
      <c r="A271">
        <f>Skills!A19</f>
        <v/>
      </c>
      <c r="B271">
        <f>Skills!B19</f>
        <v/>
      </c>
      <c r="C271">
        <f>Inputs!$B$3&gt;=110</f>
        <v/>
      </c>
      <c r="D271">
        <f>IF(Skills!C19=1,60+Inputs!$B$26+Inputs!$B$30,IF(Skills!C19=2,90+Inputs!$B$27+Inputs!$B$30,IF(Skills!C19=3,120+Inputs!$B$28+Inputs!$B$30,MAX(0,(Inputs!$B$3-100)*3)+Inputs!$B$29+Inputs!$B$30)))</f>
        <v/>
      </c>
      <c r="E271">
        <f>INDEX(FactorTable!$B$2:$Y$301, MATCH(ROUND(MIN(300,MAX(1,D271)),0), FactorTable!$A$2:$A$301,0), Skills!L19+1)</f>
        <v/>
      </c>
      <c r="F271">
        <f>(Skills!K19/10)*(E271/1000)*64/45+Skills!N19</f>
        <v/>
      </c>
      <c r="G271">
        <f>Calc!G19</f>
        <v/>
      </c>
      <c r="H271">
        <f>Calc!H19</f>
        <v/>
      </c>
      <c r="I271">
        <f>IF(Skills!T19&lt;&gt;"",1+(Skills!T19/10)*($Z$3/1000)/100,1)</f>
        <v/>
      </c>
      <c r="J271" t="inlineStr"/>
      <c r="K271" t="inlineStr"/>
      <c r="L271" t="inlineStr"/>
      <c r="M271" t="inlineStr"/>
      <c r="N271" t="inlineStr"/>
      <c r="O271">
        <f>(1-Summary!$B$11)*S271+Summary!$B$11*U271</f>
        <v/>
      </c>
      <c r="P271">
        <f>IF(B295=0,0,O271/B295)</f>
        <v/>
      </c>
      <c r="Q271">
        <f>IFERROR(1/(IF(Inputs!$B$39="pvp",15,MAX(0.1,Skills!D19-IF(Skills!E19=TRUE,Inputs!$B$33,0)))*(1-IF(AND(ArtifactsInput!$M$27,Inputs!$B$4="Chapter Hunt"),CHOOSE(ArtifactsInput!$N$27+1,20,24,28,32,36,40),0)/100)),0)</f>
        <v/>
      </c>
      <c r="R271">
        <f>IF(AND(Inputs!$B$39&lt;&gt;"pvp",Inputs!$B$44&gt;0),IF(Inputs!$B$44&lt;=0,0,(INT(Inputs!$B$44/(IF(Inputs!$B$39="pvp",15,MAX(0.1,Skills!D19-IF(Skills!E19=TRUE,Inputs!$B$33,0)))*(1-IF(AND(ArtifactsInput!$M$27,Inputs!$B$4="Chapter Hunt"),CHOOSE(ArtifactsInput!$N$27+1,20,24,28,32,36,40),0)/100)))+1)),0)</f>
        <v/>
      </c>
      <c r="S271" t="n">
        <v>0</v>
      </c>
      <c r="U271" t="n">
        <v>0</v>
      </c>
    </row>
    <row r="272">
      <c r="A272">
        <f>Skills!A20</f>
        <v/>
      </c>
      <c r="B272">
        <f>Skills!B20</f>
        <v/>
      </c>
      <c r="C272">
        <f>Inputs!$B$3&gt;=125</f>
        <v/>
      </c>
      <c r="D272">
        <f>IF(Skills!C20=1,60+Inputs!$B$26+Inputs!$B$30,IF(Skills!C20=2,90+Inputs!$B$27+Inputs!$B$30,IF(Skills!C20=3,120+Inputs!$B$28+Inputs!$B$30,MAX(0,(Inputs!$B$3-100)*3)+Inputs!$B$29+Inputs!$B$30)))</f>
        <v/>
      </c>
      <c r="E272">
        <f>INDEX(FactorTable!$B$2:$Y$301, MATCH(ROUND(MIN(300,MAX(1,D272)),0), FactorTable!$A$2:$A$301,0), Skills!L20+1)</f>
        <v/>
      </c>
      <c r="F272">
        <f>IF(Skills!M20=TRUE,(Skills!K20/10)*(E272/1000),Skills!K20/10)+Skills!N20</f>
        <v/>
      </c>
      <c r="G272">
        <f>Calc!G20</f>
        <v/>
      </c>
      <c r="H272">
        <f>Calc!H20</f>
        <v/>
      </c>
      <c r="I272">
        <f>IF(Skills!T20&lt;&gt;"",1+(Skills!T20/10)*($Z$3/1000)/100,1)</f>
        <v/>
      </c>
      <c r="J272" t="inlineStr"/>
      <c r="K272" t="inlineStr"/>
      <c r="L272" t="inlineStr"/>
      <c r="M272" t="inlineStr"/>
      <c r="N272" t="inlineStr"/>
      <c r="O272">
        <f>(1-Summary!$B$11)*S272+Summary!$B$11*U272</f>
        <v/>
      </c>
      <c r="P272">
        <f>IF(B295=0,0,O272/B295)</f>
        <v/>
      </c>
      <c r="Q272">
        <f>IFERROR(1/(IF(Inputs!$B$39="pvp",15,MAX(0.1,Skills!D20-IF(Skills!E20=TRUE,Inputs!$B$33,0)))*(1-IF(AND(ArtifactsInput!$M$27,Inputs!$B$4="Chapter Hunt"),CHOOSE(ArtifactsInput!$N$27+1,20,24,28,32,36,40),0)/100)),0)</f>
        <v/>
      </c>
      <c r="R272" t="n">
        <v>0</v>
      </c>
      <c r="S272" t="n">
        <v>0</v>
      </c>
      <c r="U272" t="n">
        <v>0</v>
      </c>
    </row>
    <row r="273">
      <c r="A273">
        <f>Skills!A21</f>
        <v/>
      </c>
      <c r="B273">
        <f>Skills!B21</f>
        <v/>
      </c>
      <c r="C273">
        <f>Inputs!$B$3&gt;=33</f>
        <v/>
      </c>
      <c r="D273">
        <f>IF(Skills!C21=1,60+Inputs!$B$26+Inputs!$B$30,IF(Skills!C21=2,90+Inputs!$B$27+Inputs!$B$30,IF(Skills!C21=3,120+Inputs!$B$28+Inputs!$B$30,MAX(0,(Inputs!$B$3-100)*3)+Inputs!$B$29+Inputs!$B$30)))</f>
        <v/>
      </c>
      <c r="E273">
        <f>INDEX(FactorTable!$B$2:$Y$301, MATCH(ROUND(MIN(300,MAX(1,D273)),0), FactorTable!$A$2:$A$301,0), Skills!L21+1)</f>
        <v/>
      </c>
      <c r="F273">
        <f>IF(Skills!M21=TRUE,(Skills!K21/10)*(E273/1000),Skills!K21/10)+Skills!N21</f>
        <v/>
      </c>
      <c r="G273">
        <f>Calc!G21</f>
        <v/>
      </c>
      <c r="H273">
        <f>Calc!H21</f>
        <v/>
      </c>
      <c r="I273">
        <f>IF(Skills!T21&lt;&gt;"",1+(Skills!T21/10)*($Z$3/1000)/100,1)</f>
        <v/>
      </c>
      <c r="J273" t="inlineStr"/>
      <c r="K273" t="inlineStr"/>
      <c r="L273" t="inlineStr"/>
      <c r="M273" t="inlineStr"/>
      <c r="N273" t="inlineStr"/>
      <c r="O273">
        <f>(1-Summary!$B$11)*S273+Summary!$B$11*U273</f>
        <v/>
      </c>
      <c r="P273">
        <f>IF(B295=0,0,O273/B295)</f>
        <v/>
      </c>
      <c r="Q273">
        <f>IFERROR(1/(IF(Inputs!$B$39="pvp",15,MAX(0.1,Skills!D21-IF(Skills!E21=TRUE,Inputs!$B$33,0)))*(1-IF(AND(ArtifactsInput!$M$27,Inputs!$B$4="Chapter Hunt"),CHOOSE(ArtifactsInput!$N$27+1,20,24,28,32,36,40),0)/100)),0)</f>
        <v/>
      </c>
      <c r="R273" t="n">
        <v>0</v>
      </c>
      <c r="S273" t="n">
        <v>0</v>
      </c>
      <c r="U273" t="n">
        <v>0</v>
      </c>
    </row>
    <row r="274">
      <c r="A274">
        <f>Skills!A22</f>
        <v/>
      </c>
      <c r="B274">
        <f>Skills!B22</f>
        <v/>
      </c>
      <c r="C274">
        <f>Inputs!$B$3&gt;=43</f>
        <v/>
      </c>
      <c r="D274">
        <f>IF(Skills!C22=1,60+Inputs!$B$26+Inputs!$B$30,IF(Skills!C22=2,90+Inputs!$B$27+Inputs!$B$30,IF(Skills!C22=3,120+Inputs!$B$28+Inputs!$B$30,MAX(0,(Inputs!$B$3-100)*3)+Inputs!$B$29+Inputs!$B$30)))</f>
        <v/>
      </c>
      <c r="E274">
        <f>INDEX(FactorTable!$B$2:$Y$301, MATCH(ROUND(MIN(300,MAX(1,D274)),0), FactorTable!$A$2:$A$301,0), Skills!L22+1)</f>
        <v/>
      </c>
      <c r="F274">
        <f>IF(Skills!M22=TRUE,(Skills!K22/10)*(E274/1000),Skills!K22/10)+Skills!N22</f>
        <v/>
      </c>
      <c r="G274">
        <f>Calc!G22</f>
        <v/>
      </c>
      <c r="H274">
        <f>Calc!H22</f>
        <v/>
      </c>
      <c r="I274">
        <f>IF(Skills!T22&lt;&gt;"",1+(Skills!T22/10)*($Z$3/1000)/100,1)</f>
        <v/>
      </c>
      <c r="J274" t="inlineStr"/>
      <c r="K274" t="inlineStr"/>
      <c r="L274" t="inlineStr"/>
      <c r="M274" t="inlineStr"/>
      <c r="N274" t="inlineStr"/>
      <c r="O274">
        <f>(1-Summary!$B$11)*S274+Summary!$B$11*U274</f>
        <v/>
      </c>
      <c r="P274">
        <f>IF(B295=0,0,O274/B295)</f>
        <v/>
      </c>
      <c r="Q274">
        <f>IFERROR(1/(IF(Inputs!$B$39="pvp",15,MAX(0.1,Skills!D22-IF(Skills!E22=TRUE,Inputs!$B$33,0)))*(1-IF(AND(ArtifactsInput!$M$27,Inputs!$B$4="Chapter Hunt"),CHOOSE(ArtifactsInput!$N$27+1,20,24,28,32,36,40),0)/100)),0)</f>
        <v/>
      </c>
      <c r="R274" t="n">
        <v>0</v>
      </c>
      <c r="S274" t="n">
        <v>0</v>
      </c>
      <c r="U274" t="n">
        <v>0</v>
      </c>
    </row>
    <row r="275">
      <c r="A275">
        <f>Skills!A23</f>
        <v/>
      </c>
      <c r="B275">
        <f>Skills!B23</f>
        <v/>
      </c>
      <c r="C275">
        <f>Inputs!$B$3&gt;=50</f>
        <v/>
      </c>
      <c r="D275">
        <f>IF(Skills!C23=1,60+Inputs!$B$26+Inputs!$B$30,IF(Skills!C23=2,90+Inputs!$B$27+Inputs!$B$30,IF(Skills!C23=3,120+Inputs!$B$28+Inputs!$B$30,MAX(0,(Inputs!$B$3-100)*3)+Inputs!$B$29+Inputs!$B$30)))</f>
        <v/>
      </c>
      <c r="E275">
        <f>INDEX(FactorTable!$B$2:$Y$301, MATCH(ROUND(MIN(300,MAX(1,D275)),0), FactorTable!$A$2:$A$301,0), Skills!L23+1)</f>
        <v/>
      </c>
      <c r="F275">
        <f>IF(Skills!M23=TRUE,(Skills!K23/10)*(E275/1000),Skills!K23/10)+Skills!N23</f>
        <v/>
      </c>
      <c r="G275">
        <f>Calc!G23</f>
        <v/>
      </c>
      <c r="H275">
        <f>Calc!H23</f>
        <v/>
      </c>
      <c r="I275">
        <f>IF(Skills!T23&lt;&gt;"",1+(Skills!T23/10)*($Z$3/1000)/100,1)</f>
        <v/>
      </c>
      <c r="J275" t="inlineStr"/>
      <c r="K275" t="inlineStr"/>
      <c r="L275" t="inlineStr"/>
      <c r="M275" t="inlineStr"/>
      <c r="N275" t="inlineStr"/>
      <c r="O275">
        <f>(1-Summary!$B$11)*S275+Summary!$B$11*U275</f>
        <v/>
      </c>
      <c r="P275">
        <f>IF(B295=0,0,O275/B295)</f>
        <v/>
      </c>
      <c r="Q275">
        <f>IFERROR(1/(IF(Inputs!$B$39="pvp",15,MAX(0.1,Skills!D23-IF(Skills!E23=TRUE,Inputs!$B$33,0)))*(1-IF(AND(ArtifactsInput!$M$27,Inputs!$B$4="Chapter Hunt"),CHOOSE(ArtifactsInput!$N$27+1,20,24,28,32,36,40),0)/100)),0)</f>
        <v/>
      </c>
      <c r="R275" t="n">
        <v>0</v>
      </c>
      <c r="S275" t="n">
        <v>0</v>
      </c>
      <c r="U275" t="n">
        <v>0</v>
      </c>
    </row>
    <row r="276">
      <c r="A276">
        <f>Skills!A24</f>
        <v/>
      </c>
      <c r="B276">
        <f>Skills!B24</f>
        <v/>
      </c>
      <c r="C276">
        <f>Inputs!$B$3&gt;=74</f>
        <v/>
      </c>
      <c r="D276">
        <f>IF(Skills!C24=1,60+Inputs!$B$26+Inputs!$B$30,IF(Skills!C24=2,90+Inputs!$B$27+Inputs!$B$30,IF(Skills!C24=3,120+Inputs!$B$28+Inputs!$B$30,MAX(0,(Inputs!$B$3-100)*3)+Inputs!$B$29+Inputs!$B$30)))</f>
        <v/>
      </c>
      <c r="E276">
        <f>INDEX(FactorTable!$B$2:$Y$301, MATCH(ROUND(MIN(300,MAX(1,D276)),0), FactorTable!$A$2:$A$301,0), Skills!L24+1)</f>
        <v/>
      </c>
      <c r="F276">
        <f>IF(Skills!M24=TRUE,(Skills!K24/10)*(E276/1000),Skills!K24/10)+Skills!N24</f>
        <v/>
      </c>
      <c r="G276">
        <f>Calc!G24</f>
        <v/>
      </c>
      <c r="H276">
        <f>Calc!H24</f>
        <v/>
      </c>
      <c r="I276">
        <f>IF(Skills!T24&lt;&gt;"",1+(Skills!T24/10)*($Z$3/1000)/100,1)</f>
        <v/>
      </c>
      <c r="J276" t="inlineStr"/>
      <c r="K276" t="inlineStr"/>
      <c r="L276" t="inlineStr"/>
      <c r="M276" t="inlineStr"/>
      <c r="N276" t="inlineStr"/>
      <c r="O276">
        <f>(1-Summary!$B$11)*S276+Summary!$B$11*U276</f>
        <v/>
      </c>
      <c r="P276">
        <f>IF(B295=0,0,O276/B295)</f>
        <v/>
      </c>
      <c r="Q276">
        <f>IFERROR(1/(IF(Inputs!$B$39="pvp",15,MAX(0.1,Skills!D24-IF(Skills!E24=TRUE,Inputs!$B$33,0)))*(1-IF(AND(ArtifactsInput!$M$27,Inputs!$B$4="Chapter Hunt"),CHOOSE(ArtifactsInput!$N$27+1,20,24,28,32,36,40),0)/100)),0)</f>
        <v/>
      </c>
      <c r="R276" t="n">
        <v>0</v>
      </c>
      <c r="S276" t="n">
        <v>0</v>
      </c>
      <c r="U276" t="n">
        <v>0</v>
      </c>
    </row>
    <row r="277">
      <c r="A277">
        <f>Skills!A25</f>
        <v/>
      </c>
      <c r="B277">
        <f>Skills!B25</f>
        <v/>
      </c>
      <c r="C277">
        <f>Inputs!$B$3&gt;=74</f>
        <v/>
      </c>
      <c r="D277">
        <f>IF(Skills!C25=1,60+Inputs!$B$26+Inputs!$B$30,IF(Skills!C25=2,90+Inputs!$B$27+Inputs!$B$30,IF(Skills!C25=3,120+Inputs!$B$28+Inputs!$B$30,MAX(0,(Inputs!$B$3-100)*3)+Inputs!$B$29+Inputs!$B$30)))</f>
        <v/>
      </c>
      <c r="E277">
        <f>INDEX(FactorTable!$B$2:$Y$301, MATCH(ROUND(MIN(300,MAX(1,D277)),0), FactorTable!$A$2:$A$301,0), Skills!L25+1)</f>
        <v/>
      </c>
      <c r="F277">
        <f>IF(Skills!M25=TRUE,(Skills!K25/10)*(E277/1000),Skills!K25/10)+Skills!N25</f>
        <v/>
      </c>
      <c r="G277">
        <f>Calc!G25</f>
        <v/>
      </c>
      <c r="H277">
        <f>Calc!H25</f>
        <v/>
      </c>
      <c r="I277">
        <f>IF(Skills!T25&lt;&gt;"",1+(Skills!T25/10)*($Z$3/1000)/100,1)</f>
        <v/>
      </c>
      <c r="J277" t="inlineStr"/>
      <c r="K277" t="inlineStr"/>
      <c r="L277" t="inlineStr"/>
      <c r="M277" t="inlineStr"/>
      <c r="N277" t="inlineStr"/>
      <c r="O277">
        <f>(1-Summary!$B$11)*S277+Summary!$B$11*U277</f>
        <v/>
      </c>
      <c r="P277">
        <f>IF(B295=0,0,O277/B295)</f>
        <v/>
      </c>
      <c r="Q277">
        <f>IFERROR(1/(IF(Inputs!$B$39="pvp",15,MAX(0.1,Skills!D25-IF(Skills!E25=TRUE,Inputs!$B$33,0)))*(1-IF(AND(ArtifactsInput!$M$27,Inputs!$B$4="Chapter Hunt"),CHOOSE(ArtifactsInput!$N$27+1,20,24,28,32,36,40),0)/100)),0)</f>
        <v/>
      </c>
      <c r="R277" t="n">
        <v>0</v>
      </c>
      <c r="S277" t="n">
        <v>0</v>
      </c>
      <c r="U277" t="n">
        <v>0</v>
      </c>
    </row>
    <row r="278">
      <c r="A278">
        <f>Skills!A26</f>
        <v/>
      </c>
      <c r="B278">
        <f>Skills!B26</f>
        <v/>
      </c>
      <c r="C278">
        <f>Inputs!$B$3&gt;=117</f>
        <v/>
      </c>
      <c r="D278">
        <f>IF(Skills!C26=1,60+Inputs!$B$26+Inputs!$B$30,IF(Skills!C26=2,90+Inputs!$B$27+Inputs!$B$30,IF(Skills!C26=3,120+Inputs!$B$28+Inputs!$B$30,MAX(0,(Inputs!$B$3-100)*3)+Inputs!$B$29+Inputs!$B$30)))</f>
        <v/>
      </c>
      <c r="E278">
        <f>INDEX(FactorTable!$B$2:$Y$301, MATCH(ROUND(MIN(300,MAX(1,D278)),0), FactorTable!$A$2:$A$301,0), Skills!L26+1)</f>
        <v/>
      </c>
      <c r="F278">
        <f>IF(Skills!M26=TRUE,(Skills!K26/10)*(E278/1000),Skills!K26/10)+Skills!N26</f>
        <v/>
      </c>
      <c r="G278">
        <f>Calc!G26</f>
        <v/>
      </c>
      <c r="H278">
        <f>Calc!H26</f>
        <v/>
      </c>
      <c r="I278">
        <f>IF(Skills!T26&lt;&gt;"",1+(Skills!T26/10)*($Z$3/1000)/100,1)</f>
        <v/>
      </c>
      <c r="J278" t="inlineStr"/>
      <c r="K278" t="inlineStr"/>
      <c r="L278" t="inlineStr"/>
      <c r="M278" t="inlineStr"/>
      <c r="N278" t="inlineStr"/>
      <c r="O278">
        <f>(1-Summary!$B$11)*S278+Summary!$B$11*U278</f>
        <v/>
      </c>
      <c r="P278">
        <f>IF(B295=0,0,O278/B295)</f>
        <v/>
      </c>
      <c r="Q278">
        <f>IFERROR(1/(IF(Inputs!$B$39="pvp",15,MAX(0.1,Skills!D26-IF(Skills!E26=TRUE,Inputs!$B$33,0)))*(1-IF(AND(ArtifactsInput!$M$27,Inputs!$B$4="Chapter Hunt"),CHOOSE(ArtifactsInput!$N$27+1,20,24,28,32,36,40),0)/100)),0)</f>
        <v/>
      </c>
      <c r="R278" t="n">
        <v>0</v>
      </c>
      <c r="S278" t="n">
        <v>0</v>
      </c>
      <c r="U278" t="n">
        <v>0</v>
      </c>
    </row>
    <row r="279">
      <c r="A279">
        <f>Skills!A27</f>
        <v/>
      </c>
      <c r="B279">
        <f>Skills!B27</f>
        <v/>
      </c>
      <c r="C279">
        <f>Inputs!$B$3&gt;=120</f>
        <v/>
      </c>
      <c r="D279">
        <f>IF(Skills!C27=1,60+Inputs!$B$26+Inputs!$B$30,IF(Skills!C27=2,90+Inputs!$B$27+Inputs!$B$30,IF(Skills!C27=3,120+Inputs!$B$28+Inputs!$B$30,MAX(0,(Inputs!$B$3-100)*3)+Inputs!$B$29+Inputs!$B$30)))</f>
        <v/>
      </c>
      <c r="E279">
        <f>INDEX(FactorTable!$B$2:$Y$301, MATCH(ROUND(MIN(300,MAX(1,D279)),0), FactorTable!$A$2:$A$301,0), Skills!L27+1)</f>
        <v/>
      </c>
      <c r="F279">
        <f>IF(Skills!M27=TRUE,(Skills!K27/10)*(E279/1000),Skills!K27/10)+Skills!N27</f>
        <v/>
      </c>
      <c r="G279">
        <f>Calc!G27</f>
        <v/>
      </c>
      <c r="H279">
        <f>Calc!H27</f>
        <v/>
      </c>
      <c r="I279">
        <f>IF(Skills!T27&lt;&gt;"",1+(Skills!T27/10)*($Z$3/1000)/100,1)</f>
        <v/>
      </c>
      <c r="J279" t="inlineStr"/>
      <c r="K279" t="inlineStr"/>
      <c r="L279" t="inlineStr"/>
      <c r="M279" t="inlineStr"/>
      <c r="N279" t="inlineStr"/>
      <c r="O279">
        <f>(1-Summary!$B$11)*S279+Summary!$B$11*U279</f>
        <v/>
      </c>
      <c r="P279">
        <f>IF(B295=0,0,O279/B295)</f>
        <v/>
      </c>
      <c r="Q279">
        <f>IFERROR(1/(IF(Inputs!$B$39="pvp",15,MAX(0.1,Skills!D27-IF(Skills!E27=TRUE,Inputs!$B$33,0)))*(1-IF(AND(ArtifactsInput!$M$27,Inputs!$B$4="Chapter Hunt"),CHOOSE(ArtifactsInput!$N$27+1,20,24,28,32,36,40),0)/100)),0)</f>
        <v/>
      </c>
      <c r="R279" t="n">
        <v>0</v>
      </c>
      <c r="S279" t="n">
        <v>0</v>
      </c>
      <c r="U279" t="n">
        <v>0</v>
      </c>
    </row>
    <row r="280">
      <c r="A280">
        <f>Skills!A28</f>
        <v/>
      </c>
      <c r="B280">
        <f>Skills!B28</f>
        <v/>
      </c>
      <c r="C280">
        <f>TRUE</f>
        <v/>
      </c>
      <c r="D280">
        <f>IF(Skills!C28=1,60+Inputs!$B$26+Inputs!$B$30,IF(Skills!C28=2,90+Inputs!$B$27+Inputs!$B$30,IF(Skills!C28=3,120+Inputs!$B$28+Inputs!$B$30,MAX(0,(Inputs!$B$3-100)*3)+Inputs!$B$29+Inputs!$B$30)))</f>
        <v/>
      </c>
      <c r="E280">
        <f>INDEX(FactorTable!$B$2:$Y$301, MATCH(ROUND(MIN(300,MAX(1,D280)),0), FactorTable!$A$2:$A$301,0), Skills!L28+1)</f>
        <v/>
      </c>
      <c r="F280">
        <f>IF(Skills!M28=TRUE,(Skills!K28/10)*(E280/1000),Skills!K28/10)+Skills!N28</f>
        <v/>
      </c>
      <c r="G280">
        <f>Calc!G28</f>
        <v/>
      </c>
      <c r="H280">
        <f>Calc!H28</f>
        <v/>
      </c>
      <c r="I280">
        <f>IF(Skills!T28&lt;&gt;"",1+(Skills!T28/10)*($Z$3/1000)/100,1)</f>
        <v/>
      </c>
      <c r="J280" t="inlineStr"/>
      <c r="K280" t="inlineStr"/>
      <c r="L280" t="inlineStr"/>
      <c r="M280" t="inlineStr"/>
      <c r="N280" t="inlineStr"/>
      <c r="O280">
        <f>(1-Summary!$B$11)*S280+Summary!$B$11*U280</f>
        <v/>
      </c>
      <c r="P280">
        <f>IF(B295=0,0,O280/B295)</f>
        <v/>
      </c>
      <c r="Q280">
        <f>IFERROR(1/(IF(Inputs!$B$39="pvp",15,MAX(0.1,Skills!D28-IF(Skills!E28=TRUE,Inputs!$B$33,0)))*(1-IF(AND(ArtifactsInput!$M$27,Inputs!$B$4="Chapter Hunt"),CHOOSE(ArtifactsInput!$N$27+1,20,24,28,32,36,40),0)/100)),0)</f>
        <v/>
      </c>
      <c r="R280">
        <f>IF(AND(Inputs!$B$39&lt;&gt;"pvp",Inputs!$B$44&gt;0),IF(Inputs!$B$44&lt;=0,0,(INT(Inputs!$B$44/(IF(Inputs!$B$39="pvp",15,MAX(0.1,Skills!D28-IF(Skills!E28=TRUE,Inputs!$B$33,0)))*(1-IF(AND(ArtifactsInput!$M$27,Inputs!$B$4="Chapter Hunt"),CHOOSE(ArtifactsInput!$N$27+1,20,24,28,32,36,40),0)/100)))+1)),0)</f>
        <v/>
      </c>
      <c r="S280" t="n">
        <v>0</v>
      </c>
      <c r="U280" t="n">
        <v>0</v>
      </c>
    </row>
    <row r="282">
      <c r="A282" t="inlineStr">
        <is>
          <t>Average Buff Multiplier</t>
        </is>
      </c>
      <c r="B282">
        <f>(1+(IF(C255=TRUE,F255*IF(AND(Inputs!$B$39&lt;&gt;"pvp",Inputs!$B$44&gt;0),(((R255-1)*(Skills!S3*(1+((Inputs!$B$35+(ArtifactsInput!$M$7-ArtifactsInput!$M$7)*CHOOSE(ArtifactsInput!$N$7+1,6,7.2,8.4,9.6,10.8,12))+IF(Inputs!$B$3&gt;=117,F278,0))/100))+MIN((Skills!S3*(1+((Inputs!$B$35+(ArtifactsInput!$M$7-ArtifactsInput!$M$7)*CHOOSE(ArtifactsInput!$N$7+1,6,7.2,8.4,9.6,10.8,12))+IF(Inputs!$B$3&gt;=117,F278,0))/100)),MAX(0,Inputs!$B$44-((R255-1)*Skills!D3))))/Inputs!$B$44),IF(Inputs!$B$39="pvp",MIN((Skills!S3*(1+((Inputs!$B$35+(ArtifactsInput!$M$7-ArtifactsInput!$M$7)*CHOOSE(ArtifactsInput!$N$7+1,6,7.2,8.4,9.6,10.8,12))+IF(Inputs!$B$3&gt;=117,F278,0))/100)),15)/15,(Skills!S3*(1+((Inputs!$B$35+(ArtifactsInput!$M$7-ArtifactsInput!$M$7)*CHOOSE(ArtifactsInput!$N$7+1,6,7.2,8.4,9.6,10.8,12))+IF(Inputs!$B$3&gt;=117,F278,0))/100))/Skills!D3)),0)+IF(C256=TRUE,F256*IF(AND(Inputs!$B$39&lt;&gt;"pvp",Inputs!$B$44&gt;0),(((R256-1)*(Skills!S4*(1+((Inputs!$B$35+(ArtifactsInput!$M$7-ArtifactsInput!$M$7)*CHOOSE(ArtifactsInput!$N$7+1,6,7.2,8.4,9.6,10.8,12))+IF(Inputs!$B$3&gt;=117,F278,0))/100))+MIN((Skills!S4*(1+((Inputs!$B$35+(ArtifactsInput!$M$7-ArtifactsInput!$M$7)*CHOOSE(ArtifactsInput!$N$7+1,6,7.2,8.4,9.6,10.8,12))+IF(Inputs!$B$3&gt;=117,F278,0))/100)),MAX(0,Inputs!$B$44-((R256-1)*Skills!D4))))/Inputs!$B$44),IF(Inputs!$B$39="pvp",MIN((Skills!S4*(1+((Inputs!$B$35+(ArtifactsInput!$M$7-ArtifactsInput!$M$7)*CHOOSE(ArtifactsInput!$N$7+1,6,7.2,8.4,9.6,10.8,12))+IF(Inputs!$B$3&gt;=117,F278,0))/100)),15)/15,(Skills!S4*(1+((Inputs!$B$35+(ArtifactsInput!$M$7-ArtifactsInput!$M$7)*CHOOSE(ArtifactsInput!$N$7+1,6,7.2,8.4,9.6,10.8,12))+IF(Inputs!$B$3&gt;=117,F278,0))/100))/Skills!D4)),0)+IF(C257=TRUE,F257*IF(AND(Inputs!$B$39&lt;&gt;"pvp",Inputs!$B$44&gt;0),(((R257-1)*(Skills!S5*(1+((Inputs!$B$35+(ArtifactsInput!$M$7-ArtifactsInput!$M$7)*CHOOSE(ArtifactsInput!$N$7+1,6,7.2,8.4,9.6,10.8,12))+IF(Inputs!$B$3&gt;=117,F278,0))/100))+MIN((Skills!S5*(1+((Inputs!$B$35+(ArtifactsInput!$M$7-ArtifactsInput!$M$7)*CHOOSE(ArtifactsInput!$N$7+1,6,7.2,8.4,9.6,10.8,12))+IF(Inputs!$B$3&gt;=117,F278,0))/100)),MAX(0,Inputs!$B$44-((R257-1)*Skills!D5))))/Inputs!$B$44),IF(Inputs!$B$39="pvp",MIN((Skills!S5*(1+((Inputs!$B$35+(ArtifactsInput!$M$7-ArtifactsInput!$M$7)*CHOOSE(ArtifactsInput!$N$7+1,6,7.2,8.4,9.6,10.8,12))+IF(Inputs!$B$3&gt;=117,F278,0))/100)),15)/15,(Skills!S5*(1+((Inputs!$B$35+(ArtifactsInput!$M$7-ArtifactsInput!$M$7)*CHOOSE(ArtifactsInput!$N$7+1,6,7.2,8.4,9.6,10.8,12))+IF(Inputs!$B$3&gt;=117,F278,0))/100))/Skills!D5)),0)+IF(C263=TRUE,F263*IF(AND(Inputs!$B$39&lt;&gt;"pvp",Inputs!$B$44&gt;0),(((R263-1)*(Skills!S11*(1+((Inputs!$B$35+(ArtifactsInput!$M$7-ArtifactsInput!$M$7)*CHOOSE(ArtifactsInput!$N$7+1,6,7.2,8.4,9.6,10.8,12))+IF(Inputs!$B$3&gt;=117,F278,0))/100))+MIN((Skills!S11*(1+((Inputs!$B$35+(ArtifactsInput!$M$7-ArtifactsInput!$M$7)*CHOOSE(ArtifactsInput!$N$7+1,6,7.2,8.4,9.6,10.8,12))+IF(Inputs!$B$3&gt;=117,F278,0))/100)),MAX(0,Inputs!$B$44-((R263-1)*Skills!D11))))/Inputs!$B$44),IF(Inputs!$B$39="pvp",MIN((Skills!S11*(1+((Inputs!$B$35+(ArtifactsInput!$M$7-ArtifactsInput!$M$7)*CHOOSE(ArtifactsInput!$N$7+1,6,7.2,8.4,9.6,10.8,12))+IF(Inputs!$B$3&gt;=117,F278,0))/100)),15)/15,(Skills!S11*(1+((Inputs!$B$35+(ArtifactsInput!$M$7-ArtifactsInput!$M$7)*CHOOSE(ArtifactsInput!$N$7+1,6,7.2,8.4,9.6,10.8,12))+IF(Inputs!$B$3&gt;=117,F278,0)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266=TRUE,(1+F266*IF(AND(Inputs!$B$39&lt;&gt;"pvp",Inputs!$B$44&gt;0),(((R266-1)*(Skills!S14*(1+((Inputs!$B$35+(ArtifactsInput!$M$7-ArtifactsInput!$M$7)*CHOOSE(ArtifactsInput!$N$7+1,6,7.2,8.4,9.6,10.8,12))+IF(Inputs!$B$3&gt;=117,F278,0))/100))+MIN((Skills!S14*(1+((Inputs!$B$35+(ArtifactsInput!$M$7-ArtifactsInput!$M$7)*CHOOSE(ArtifactsInput!$N$7+1,6,7.2,8.4,9.6,10.8,12))+IF(Inputs!$B$3&gt;=117,F278,0))/100)),MAX(0,Inputs!$B$44-((R266-1)*Skills!D14))))/Inputs!$B$44),IF(Inputs!$B$39="pvp",MIN((Skills!S14*(1+((Inputs!$B$35+(ArtifactsInput!$M$7-ArtifactsInput!$M$7)*CHOOSE(ArtifactsInput!$N$7+1,6,7.2,8.4,9.6,10.8,12))+IF(Inputs!$B$3&gt;=117,F278,0))/100)),15)/15,(Skills!S14*(1+((Inputs!$B$35+(ArtifactsInput!$M$7-ArtifactsInput!$M$7)*CHOOSE(ArtifactsInput!$N$7+1,6,7.2,8.4,9.6,10.8,12))+IF(Inputs!$B$3&gt;=117,F278,0))/100))/Skills!D14))/100),1)*IF(C271=TRUE,(1+F271*IF(AND(Inputs!$B$39&lt;&gt;"pvp",Inputs!$B$44&gt;0),(((R271-1)*(Skills!S19*(1+((Inputs!$B$35+(ArtifactsInput!$M$7-ArtifactsInput!$M$7)*CHOOSE(ArtifactsInput!$N$7+1,6,7.2,8.4,9.6,10.8,12))+IF(Inputs!$B$3&gt;=117,F278,0))/100))+MIN((Skills!S19*(1+((Inputs!$B$35+(ArtifactsInput!$M$7-ArtifactsInput!$M$7)*CHOOSE(ArtifactsInput!$N$7+1,6,7.2,8.4,9.6,10.8,12))+IF(Inputs!$B$3&gt;=117,F278,0))/100)),MAX(0,Inputs!$B$44-((R271-1)*Skills!D19))))/Inputs!$B$44),IF(Inputs!$B$39="pvp",MIN((Skills!S19*(1+((Inputs!$B$35+(ArtifactsInput!$M$7-ArtifactsInput!$M$7)*CHOOSE(ArtifactsInput!$N$7+1,6,7.2,8.4,9.6,10.8,12))+IF(Inputs!$B$3&gt;=117,F278,0))/100)),15)/15,(Skills!S19*(1+((Inputs!$B$35+(ArtifactsInput!$M$7-ArtifactsInput!$M$7)*CHOOSE(ArtifactsInput!$N$7+1,6,7.2,8.4,9.6,10.8,12))+IF(Inputs!$B$3&gt;=117,F278,0))/100))/Skills!D19))/100),1)</f>
        <v/>
      </c>
    </row>
    <row r="283">
      <c r="A283" t="inlineStr">
        <is>
          <t>Monster Damage Taken Bonus % (Holy Fountain)</t>
        </is>
      </c>
      <c r="B283">
        <f>IF(Inputs!$B$3&gt;=68,20*IF(Inputs!$B$39="pvp",MIN((15*(1+((Inputs!$B$35+(ArtifactsInput!$M$7-ArtifactsInput!$M$7)*CHOOSE(ArtifactsInput!$N$7+1,6,7.2,8.4,9.6,10.8,12))+IF(Inputs!$B$3&gt;=117,F278,0))/100)),15)/15,(15*(1+((Inputs!$B$35+(ArtifactsInput!$M$7-ArtifactsInput!$M$7)*CHOOSE(ArtifactsInput!$N$7+1,6,7.2,8.4,9.6,10.8,12))+IF(Inputs!$B$3&gt;=117,F278,0))/100))/Skills!D10),0)</f>
        <v/>
      </c>
    </row>
    <row r="284">
      <c r="A284" t="inlineStr">
        <is>
          <t>Normal Monster Damage Bonus % (Holy Symbol)</t>
        </is>
      </c>
      <c r="B284">
        <f>IF(C264=TRUE,F264*IF(AND(Inputs!$B$39&lt;&gt;"pvp",Inputs!$B$44&gt;0),(((R264-1)*(Skills!S12*(1+((Inputs!$B$35+(ArtifactsInput!$M$7-ArtifactsInput!$M$7)*CHOOSE(ArtifactsInput!$N$7+1,6,7.2,8.4,9.6,10.8,12))+IF(Inputs!$B$3&gt;=117,F278,0))/100))+MIN((Skills!S12*(1+((Inputs!$B$35+(ArtifactsInput!$M$7-ArtifactsInput!$M$7)*CHOOSE(ArtifactsInput!$N$7+1,6,7.2,8.4,9.6,10.8,12))+IF(Inputs!$B$3&gt;=117,F278,0))/100)),MAX(0,Inputs!$B$44-((R264-1)*Skills!D12))))/Inputs!$B$44),IF(Inputs!$B$39="pvp",MIN((Skills!S12*(1+((Inputs!$B$35+(ArtifactsInput!$M$7-ArtifactsInput!$M$7)*CHOOSE(ArtifactsInput!$N$7+1,6,7.2,8.4,9.6,10.8,12))+IF(Inputs!$B$3&gt;=117,F278,0))/100)),15)/15,(Skills!S12*(1+((Inputs!$B$35+(ArtifactsInput!$M$7-ArtifactsInput!$M$7)*CHOOSE(ArtifactsInput!$N$7+1,6,7.2,8.4,9.6,10.8,12))+IF(Inputs!$B$3&gt;=117,F278,0))/100))/Skills!D12)),0)</f>
        <v/>
      </c>
    </row>
    <row r="285">
      <c r="A285" t="inlineStr">
        <is>
          <t>Damage % Bonus (Holy Symbol - Damage Boost)</t>
        </is>
      </c>
      <c r="B285">
        <f>Skills!O12</f>
        <v/>
      </c>
    </row>
    <row r="286">
      <c r="A286" t="inlineStr">
        <is>
          <t>Crit Damage % Bonus (Blood of the Divine)</t>
        </is>
      </c>
      <c r="B286">
        <f>4*IF(C272=TRUE,F272,0)</f>
        <v/>
      </c>
    </row>
    <row r="287">
      <c r="A287" t="inlineStr">
        <is>
          <t>Attack Speed Bonus %</t>
        </is>
      </c>
      <c r="B287">
        <f>IF(C269=TRUE,F269+(F273-Calc!F21),0)+IF(Inputs!$B$3&gt;=134,15,0)+((C280=TRUE)*F280*IF(AND(Inputs!$B$39&lt;&gt;"pvp",Inputs!$B$44&gt;0),(((R280-1)*(Skills!S28*(1+((Inputs!$B$35+(ArtifactsInput!$M$7-ArtifactsInput!$M$7)*CHOOSE(ArtifactsInput!$N$7+1,6,7.2,8.4,9.6,10.8,12))+IF(Inputs!$B$3&gt;=117,F278,0))/100))+MIN((Skills!S28*(1+((Inputs!$B$35+(ArtifactsInput!$M$7-ArtifactsInput!$M$7)*CHOOSE(ArtifactsInput!$N$7+1,6,7.2,8.4,9.6,10.8,12))+IF(Inputs!$B$3&gt;=117,F278,0))/100)),MAX(0,Inputs!$B$44-((R280-1)*Skills!D28))))/Inputs!$B$44),IF(Inputs!$B$39="pvp",MIN((Skills!S28*(1+((Inputs!$B$35+(ArtifactsInput!$M$7-ArtifactsInput!$M$7)*CHOOSE(ArtifactsInput!$N$7+1,6,7.2,8.4,9.6,10.8,12))+IF(Inputs!$B$3&gt;=117,F278,0))/100)),15)/15,(Skills!S28*(1+((Inputs!$B$35+(ArtifactsInput!$M$7-ArtifactsInput!$M$7)*CHOOSE(ArtifactsInput!$N$7+1,6,7.2,8.4,9.6,10.8,12))+IF(Inputs!$B$3&gt;=117,F278,0))/100))/Skills!D28)))</f>
        <v/>
      </c>
    </row>
    <row r="288">
      <c r="A288" t="inlineStr">
        <is>
          <t>Actions Per Second</t>
        </is>
      </c>
      <c r="B288">
        <f>1+MIN(150,150*(1-(1-Inputs!$B$12/150)*(1-B287/150)))/100</f>
        <v/>
      </c>
    </row>
    <row r="289">
      <c r="A289" t="inlineStr">
        <is>
          <t>Skill + Buff Cast Rate</t>
        </is>
      </c>
      <c r="B289">
        <f>IF(AND(Inputs!$B$39&lt;&gt;"pvp",Inputs!$B$44&gt;0),SUMPRODUCT((Skills!E2:E28=TRUE)*(C254:C280=TRUE)*R254:R280)/Inputs!$B$44,SUMPRODUCT((Skills!E2:E28=TRUE)*(C254:C280=TRUE)*Q254:Q280))</f>
        <v/>
      </c>
    </row>
    <row r="290">
      <c r="A290" t="inlineStr">
        <is>
          <t>Big Bang Casts Per Second</t>
        </is>
      </c>
      <c r="B290">
        <f>MAX(0,B288-B289)</f>
        <v/>
      </c>
    </row>
    <row r="291">
      <c r="A291" t="inlineStr">
        <is>
          <t>Defense % Bonus (Divine Protection)</t>
        </is>
      </c>
      <c r="B291">
        <f>IF(C265=TRUE,F265*IF(AND(Inputs!$B$39&lt;&gt;"pvp",Inputs!$B$44&gt;0),(((R265-1)*(Skills!S13*(1+((Inputs!$B$35+(ArtifactsInput!$M$7-ArtifactsInput!$M$7)*CHOOSE(ArtifactsInput!$N$7+1,6,7.2,8.4,9.6,10.8,12))+IF(Inputs!$B$3&gt;=117,F278,0))/100))+MIN((Skills!S13*(1+((Inputs!$B$35+(ArtifactsInput!$M$7-ArtifactsInput!$M$7)*CHOOSE(ArtifactsInput!$N$7+1,6,7.2,8.4,9.6,10.8,12))+IF(Inputs!$B$3&gt;=117,F278,0))/100)),MAX(0,Inputs!$B$44-((R265-1)*Skills!D13))))/Inputs!$B$44),IF(Inputs!$B$39="pvp",MIN((Skills!S13*(1+((Inputs!$B$35+(ArtifactsInput!$M$7-ArtifactsInput!$M$7)*CHOOSE(ArtifactsInput!$N$7+1,6,7.2,8.4,9.6,10.8,12))+IF(Inputs!$B$3&gt;=117,F278,0))/100)),15)/15,(Skills!S13*(1+((Inputs!$B$35+(ArtifactsInput!$M$7-ArtifactsInput!$M$7)*CHOOSE(ArtifactsInput!$N$7+1,6,7.2,8.4,9.6,10.8,12))+IF(Inputs!$B$3&gt;=117,F278,0))/100))/Skills!D13)),0)</f>
        <v/>
      </c>
    </row>
    <row r="292">
      <c r="A292" t="inlineStr">
        <is>
          <t>Buff-Casting Startup Delay (s, fixed-duration only)</t>
        </is>
      </c>
      <c r="B292">
        <f>IF(AND(Inputs!$B$39&lt;&gt;"pvp",Inputs!$B$44&gt;0),SUMPRODUCT((Skills!S2:S28&gt;0)*(Skills!E2:E28=TRUE)*(C254:C280=TRUE))/B288,0)</f>
        <v/>
      </c>
    </row>
    <row r="293">
      <c r="A293" t="inlineStr">
        <is>
          <t>Boss-Only Total DPS (this block's swept value)</t>
        </is>
      </c>
      <c r="B293">
        <f>SUM(S254:S280)</f>
        <v/>
      </c>
    </row>
    <row r="294">
      <c r="A294" t="inlineStr">
        <is>
          <t>Normal-Only Total DPS (this block's swept value)</t>
        </is>
      </c>
      <c r="B294">
        <f>SUM(U254:U280)</f>
        <v/>
      </c>
    </row>
    <row r="295">
      <c r="A295" s="6" t="inlineStr">
        <is>
          <t>TOTAL DPS</t>
        </is>
      </c>
      <c r="B295" s="6">
        <f>SUM(O254:O280)</f>
        <v/>
      </c>
    </row>
    <row r="297">
      <c r="A297" s="6" t="inlineStr">
        <is>
          <t>Stat: DAMAGE_AMP %</t>
        </is>
      </c>
    </row>
    <row r="298">
      <c r="A298" s="5" t="inlineStr">
        <is>
          <t>Key</t>
        </is>
      </c>
      <c r="B298" s="5" t="inlineStr">
        <is>
          <t>Name</t>
        </is>
      </c>
      <c r="C298" s="5" t="inlineStr">
        <is>
          <t>Unlocked</t>
        </is>
      </c>
      <c r="D298" s="5" t="inlineStr">
        <is>
          <t>InputLevel</t>
        </is>
      </c>
      <c r="E298" s="5" t="inlineStr">
        <is>
          <t>Factor</t>
        </is>
      </c>
      <c r="F298" s="5" t="inlineStr">
        <is>
          <t>CoefficientPercent</t>
        </is>
      </c>
      <c r="G298" s="5" t="inlineStr">
        <is>
          <t>EffectiveHits</t>
        </is>
      </c>
      <c r="H298" s="5" t="inlineStr">
        <is>
          <t>ProcProbability</t>
        </is>
      </c>
      <c r="I298" s="5" t="inlineStr">
        <is>
          <t>MapleHeroMultiplier</t>
        </is>
      </c>
      <c r="J298" s="5" t="inlineStr">
        <is>
          <t>BaseDamage</t>
        </is>
      </c>
      <c r="K298" s="5" t="inlineStr">
        <is>
          <t>BaseHitDamage</t>
        </is>
      </c>
      <c r="L298" s="5" t="inlineStr">
        <is>
          <t>NonCritAvg</t>
        </is>
      </c>
      <c r="M298" s="5" t="inlineStr">
        <is>
          <t>CritAvg</t>
        </is>
      </c>
      <c r="N298" s="5" t="inlineStr">
        <is>
          <t>ExpectedDamage(perHit)</t>
        </is>
      </c>
      <c r="O298" s="5" t="inlineStr">
        <is>
          <t>DPS</t>
        </is>
      </c>
      <c r="P298" s="5" t="inlineStr">
        <is>
          <t>% of Total</t>
        </is>
      </c>
      <c r="R298" t="inlineStr">
        <is>
          <t>helpers</t>
        </is>
      </c>
    </row>
    <row r="299">
      <c r="A299">
        <f>Skills!A2</f>
        <v/>
      </c>
      <c r="B299">
        <f>Skills!B2</f>
        <v/>
      </c>
      <c r="C299">
        <f>Inputs!$B$3&gt;=100</f>
        <v/>
      </c>
      <c r="D299" t="inlineStr"/>
      <c r="E299" t="inlineStr"/>
      <c r="F299">
        <f>T301+Skills!N2</f>
        <v/>
      </c>
      <c r="G299">
        <f>Calc!G2</f>
        <v/>
      </c>
      <c r="H299">
        <f>Calc!H2</f>
        <v/>
      </c>
      <c r="I299">
        <f>IF(Skills!T2&lt;&gt;"",1+(Skills!T2/10)*($Z$3/1000)/100,1)</f>
        <v/>
      </c>
      <c r="J299">
        <f>((Inputs!$B$6*(1+Inputs!$B$7/100))+(((Inputs!$B$13*(1+Inputs!$B$14/100))-(Inputs!$B$13*(1+Inputs!$B$14/100)))+0.25*(Inputs!$B$15-Inputs!$B$15))*(1+Inputs!$B$7/100))*(F299/100)</f>
        <v/>
      </c>
      <c r="K299">
        <f>J299*(1+(((Inputs!$B$13+IF(Inputs!$B$3&gt;=35,(10*INDEX(FactorTable!$B$2:$Y$301,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2="TRIUMPH_FEATHER",IF(C313=TRUE,F313,0),0)/100)*(1+IF(C324=TRUE,F324,0)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299)</f>
        <v/>
      </c>
      <c r="L299">
        <f>K299*(MIN(Inputs!$B$23+(F319-Calc!F22),(Inputs!$B$24+IF(ArtifactsInput!$M$15,CHOOSE(ArtifactsInput!$N$15+1,25,30,35,40,45,50)/100*(Inputs!$B$12-Inputs!$B$12),0)))/100+(Inputs!$B$24+IF(ArtifactsInput!$M$15,CHOOSE(ArtifactsInput!$N$15+1,25,30,35,40,45,50)/100*(Inputs!$B$12-Inputs!$B$12),0))/100)/2</f>
        <v/>
      </c>
      <c r="M299">
        <f>L299*(1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
        <f>L299*(1-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
        <f>(1-Summary!$B$11)*S299+Summary!$B$11*U299</f>
        <v/>
      </c>
      <c r="P299">
        <f>IF(B340=0,0,O299/B340)</f>
        <v/>
      </c>
      <c r="Q299">
        <f>IFERROR(1/(IF(Inputs!$B$39="pvp",15,MAX(0.1,Skills!D2-IF(Skills!E2=TRUE,Inputs!$B$33,0)))*(1-IF(AND(ArtifactsInput!$M$27,Inputs!$B$4="Chapter Hunt"),CHOOSE(ArtifactsInput!$N$27+1,20,24,28,32,36,40),0)/100)),0)</f>
        <v/>
      </c>
      <c r="R299" t="n">
        <v>0</v>
      </c>
      <c r="S299">
        <f>IF(C299,(Skills!F2*N299*B335)*IF(Inputs!$B$39="pvp",1,1+(Inputs!$B$21+Skills!O2+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9">
        <f>MAX(0,(Inputs!$B$3-100)*3)+Inputs!$B$29+Inputs!$B$30</f>
        <v/>
      </c>
      <c r="U299">
        <f>IF(C299,(Skills!F2*N299*B335)*IF(Inputs!$B$39="pvp",1,(1+(Inputs!$B$22+Skills!P2+B329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
      <c r="A300">
        <f>Skills!A3</f>
        <v/>
      </c>
      <c r="B300">
        <f>Skills!B3</f>
        <v/>
      </c>
      <c r="C300">
        <f>Inputs!$B$3&gt;=15</f>
        <v/>
      </c>
      <c r="D300">
        <f>IF(Skills!C3=1,60+Inputs!$B$26+Inputs!$B$30,IF(Skills!C3=2,90+Inputs!$B$27+Inputs!$B$30,IF(Skills!C3=3,120+Inputs!$B$28+Inputs!$B$30,MAX(0,(Inputs!$B$3-100)*3)+Inputs!$B$29+Inputs!$B$30)))</f>
        <v/>
      </c>
      <c r="E300">
        <f>INDEX(FactorTable!$B$2:$Y$301, MATCH(ROUND(MIN(300,MAX(1,D300)),0), FactorTable!$A$2:$A$301,0), Skills!L3+1)</f>
        <v/>
      </c>
      <c r="F300">
        <f>IF(Skills!M3=TRUE,(Skills!K3/10)*(E300/1000),Skills!K3/10)+Skills!N3</f>
        <v/>
      </c>
      <c r="G300">
        <f>Calc!G3</f>
        <v/>
      </c>
      <c r="H300">
        <f>Calc!H3</f>
        <v/>
      </c>
      <c r="I300">
        <f>IF(Skills!T3&lt;&gt;"",1+(Skills!T3/10)*($Z$3/1000)/100,1)</f>
        <v/>
      </c>
      <c r="J300" t="inlineStr"/>
      <c r="K300" t="inlineStr"/>
      <c r="L300" t="inlineStr"/>
      <c r="M300" t="inlineStr"/>
      <c r="N300" t="inlineStr"/>
      <c r="O300">
        <f>(1-Summary!$B$11)*S300+Summary!$B$11*U300</f>
        <v/>
      </c>
      <c r="P300">
        <f>IF(B340=0,0,O300/B340)</f>
        <v/>
      </c>
      <c r="Q300">
        <f>IFERROR(1/(IF(Inputs!$B$39="pvp",15,MAX(0.1,Skills!D3-IF(Skills!E3=TRUE,Inputs!$B$33,0)))*(1-IF(AND(ArtifactsInput!$M$27,Inputs!$B$4="Chapter Hunt"),CHOOSE(ArtifactsInput!$N$27+1,20,24,28,32,36,40),0)/100)),0)</f>
        <v/>
      </c>
      <c r="R300">
        <f>IF(AND(Inputs!$B$39&lt;&gt;"pvp",Inputs!$B$44&gt;0),IF(Inputs!$B$44&lt;=0,0,(INT(Inputs!$B$44/(IF(Inputs!$B$39="pvp",15,MAX(0.1,Skills!D3-IF(Skills!E3=TRUE,Inputs!$B$33,0)))*(1-IF(AND(ArtifactsInput!$M$27,Inputs!$B$4="Chapter Hunt"),CHOOSE(ArtifactsInput!$N$27+1,20,24,28,32,36,40),0)/100)))+1)),0)</f>
        <v/>
      </c>
      <c r="S300" t="n">
        <v>0</v>
      </c>
      <c r="T300">
        <f>INDEX(FactorTable!$B$2:$Y$301, MATCH(ROUND(MIN(300,MAX(1,T299)),0), FactorTable!$A$2:$A$301,0), 22)</f>
        <v/>
      </c>
      <c r="U300" t="n">
        <v>0</v>
      </c>
    </row>
    <row r="301">
      <c r="A301">
        <f>Skills!A4</f>
        <v/>
      </c>
      <c r="B301">
        <f>Skills!B4</f>
        <v/>
      </c>
      <c r="C301">
        <f>Inputs!$B$3&gt;=38</f>
        <v/>
      </c>
      <c r="D301">
        <f>IF(Skills!C4=1,60+Inputs!$B$26+Inputs!$B$30,IF(Skills!C4=2,90+Inputs!$B$27+Inputs!$B$30,IF(Skills!C4=3,120+Inputs!$B$28+Inputs!$B$30,MAX(0,(Inputs!$B$3-100)*3)+Inputs!$B$29+Inputs!$B$30)))</f>
        <v/>
      </c>
      <c r="E301">
        <f>INDEX(FactorTable!$B$2:$Y$301, MATCH(ROUND(MIN(300,MAX(1,D301)),0), FactorTable!$A$2:$A$301,0), Skills!L4+1)</f>
        <v/>
      </c>
      <c r="F301">
        <f>IF(Skills!M4=TRUE,(Skills!K4/10)*(E301/1000),Skills!K4/10)+Skills!N4</f>
        <v/>
      </c>
      <c r="G301">
        <f>Calc!G4</f>
        <v/>
      </c>
      <c r="H301">
        <f>Calc!H4</f>
        <v/>
      </c>
      <c r="I301">
        <f>IF(Skills!T4&lt;&gt;"",1+(Skills!T4/10)*($Z$3/1000)/100,1)</f>
        <v/>
      </c>
      <c r="J301" t="inlineStr"/>
      <c r="K301" t="inlineStr"/>
      <c r="L301" t="inlineStr"/>
      <c r="M301" t="inlineStr"/>
      <c r="N301" t="inlineStr"/>
      <c r="O301">
        <f>(1-Summary!$B$11)*S301+Summary!$B$11*U301</f>
        <v/>
      </c>
      <c r="P301">
        <f>IF(B340=0,0,O301/B340)</f>
        <v/>
      </c>
      <c r="Q301">
        <f>IFERROR(1/(IF(Inputs!$B$39="pvp",15,MAX(0.1,Skills!D4-IF(Skills!E4=TRUE,Inputs!$B$33,0)))*(1-IF(AND(ArtifactsInput!$M$27,Inputs!$B$4="Chapter Hunt"),CHOOSE(ArtifactsInput!$N$27+1,20,24,28,32,36,40),0)/100)),0)</f>
        <v/>
      </c>
      <c r="R301">
        <f>IF(AND(Inputs!$B$39&lt;&gt;"pvp",Inputs!$B$44&gt;0),IF(Inputs!$B$44&lt;=0,0,(INT(Inputs!$B$44/(IF(Inputs!$B$39="pvp",15,MAX(0.1,Skills!D4-IF(Skills!E4=TRUE,Inputs!$B$33,0)))*(1-IF(AND(ArtifactsInput!$M$27,Inputs!$B$4="Chapter Hunt"),CHOOSE(ArtifactsInput!$N$27+1,20,24,28,32,36,40),0)/100)))+1)),0)</f>
        <v/>
      </c>
      <c r="S301" t="n">
        <v>0</v>
      </c>
      <c r="T301">
        <f>290*T300/1000</f>
        <v/>
      </c>
      <c r="U301" t="n">
        <v>0</v>
      </c>
    </row>
    <row r="302">
      <c r="A302">
        <f>Skills!A5</f>
        <v/>
      </c>
      <c r="B302">
        <f>Skills!B5</f>
        <v/>
      </c>
      <c r="C302">
        <f>Inputs!$B$3&gt;=40</f>
        <v/>
      </c>
      <c r="D302">
        <f>IF(Skills!C5=1,60+Inputs!$B$26+Inputs!$B$30,IF(Skills!C5=2,90+Inputs!$B$27+Inputs!$B$30,IF(Skills!C5=3,120+Inputs!$B$28+Inputs!$B$30,MAX(0,(Inputs!$B$3-100)*3)+Inputs!$B$29+Inputs!$B$30)))</f>
        <v/>
      </c>
      <c r="E302">
        <f>INDEX(FactorTable!$B$2:$Y$301, MATCH(ROUND(MIN(300,MAX(1,D302)),0), FactorTable!$A$2:$A$301,0), Skills!L5+1)</f>
        <v/>
      </c>
      <c r="F302">
        <f>IF(Skills!M5=TRUE,(Skills!K5/10)*(E302/1000),Skills!K5/10)+Skills!N5</f>
        <v/>
      </c>
      <c r="G302">
        <f>Calc!G5</f>
        <v/>
      </c>
      <c r="H302">
        <f>Calc!H5</f>
        <v/>
      </c>
      <c r="I302">
        <f>IF(Skills!T5&lt;&gt;"",1+(Skills!T5/10)*($Z$3/1000)/100,1)</f>
        <v/>
      </c>
      <c r="J302" t="inlineStr"/>
      <c r="K302" t="inlineStr"/>
      <c r="L302" t="inlineStr"/>
      <c r="M302" t="inlineStr"/>
      <c r="N302" t="inlineStr"/>
      <c r="O302">
        <f>(1-Summary!$B$11)*S302+Summary!$B$11*U302</f>
        <v/>
      </c>
      <c r="P302">
        <f>IF(B340=0,0,O302/B340)</f>
        <v/>
      </c>
      <c r="Q302">
        <f>IFERROR(1/(IF(Inputs!$B$39="pvp",15,MAX(0.1,Skills!D5-IF(Skills!E5=TRUE,Inputs!$B$33,0)))*(1-IF(AND(ArtifactsInput!$M$27,Inputs!$B$4="Chapter Hunt"),CHOOSE(ArtifactsInput!$N$27+1,20,24,28,32,36,40),0)/100)),0)</f>
        <v/>
      </c>
      <c r="R302">
        <f>IF(AND(Inputs!$B$39&lt;&gt;"pvp",Inputs!$B$44&gt;0),IF(Inputs!$B$44&lt;=0,0,(INT(Inputs!$B$44/(IF(Inputs!$B$39="pvp",15,MAX(0.1,Skills!D5-IF(Skills!E5=TRUE,Inputs!$B$33,0)))*(1-IF(AND(ArtifactsInput!$M$27,Inputs!$B$4="Chapter Hunt"),CHOOSE(ArtifactsInput!$N$27+1,20,24,28,32,36,40),0)/100)))+1)),0)</f>
        <v/>
      </c>
      <c r="S302" t="n">
        <v>0</v>
      </c>
      <c r="U302" t="n">
        <v>0</v>
      </c>
    </row>
    <row r="303">
      <c r="A303">
        <f>Skills!A6</f>
        <v/>
      </c>
      <c r="B303">
        <f>Skills!B6</f>
        <v/>
      </c>
      <c r="C303">
        <f>Inputs!$B$3&gt;=103</f>
        <v/>
      </c>
      <c r="D303">
        <f>IF(Skills!C6=1,60+Inputs!$B$26+Inputs!$B$30,IF(Skills!C6=2,90+Inputs!$B$27+Inputs!$B$30,IF(Skills!C6=3,120+Inputs!$B$28+Inputs!$B$30,MAX(0,(Inputs!$B$3-100)*3)+Inputs!$B$29+Inputs!$B$30)))</f>
        <v/>
      </c>
      <c r="E303">
        <f>INDEX(FactorTable!$B$2:$Y$301, MATCH(ROUND(MIN(300,MAX(1,D303)),0), FactorTable!$A$2:$A$301,0), Skills!L6+1)</f>
        <v/>
      </c>
      <c r="F303">
        <f>IF(Skills!M6=TRUE,(Skills!K6/10)*(E303/1000),Skills!K6/10)+Skills!N6</f>
        <v/>
      </c>
      <c r="G303">
        <f>Calc!G6</f>
        <v/>
      </c>
      <c r="H303">
        <f>Calc!H6</f>
        <v/>
      </c>
      <c r="I303">
        <f>IF(Skills!T6&lt;&gt;"",1+(Skills!T6/10)*($Z$3/1000)/100,1)</f>
        <v/>
      </c>
      <c r="J303">
        <f>((Inputs!$B$6*(1+Inputs!$B$7/100))+(((Inputs!$B$13*(1+Inputs!$B$14/100))-(Inputs!$B$13*(1+Inputs!$B$14/100)))+0.25*(Inputs!$B$15-Inputs!$B$15))*(1+Inputs!$B$7/100))*(F303/100)</f>
        <v/>
      </c>
      <c r="K303">
        <f>J303*(1+(((Inputs!$B$13+IF(Inputs!$B$3&gt;=35,(10*INDEX(FactorTable!$B$2:$Y$301,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6="TRIUMPH_FEATHER",IF(C313=TRUE,F313,0),0)/100)*(1+IF(C324=TRUE,F324,0)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303)</f>
        <v/>
      </c>
      <c r="L303">
        <f>K303*(MIN(Inputs!$B$23+(F319-Calc!F22),(Inputs!$B$24+IF(ArtifactsInput!$M$15,CHOOSE(ArtifactsInput!$N$15+1,25,30,35,40,45,50)/100*(Inputs!$B$12-Inputs!$B$12),0)))/100+(Inputs!$B$24+IF(ArtifactsInput!$M$15,CHOOSE(ArtifactsInput!$N$15+1,25,30,35,40,45,50)/100*(Inputs!$B$12-Inputs!$B$12),0))/100)/2</f>
        <v/>
      </c>
      <c r="M303">
        <f>L303*(1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3">
        <f>L303*(1-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
        <f>(1-Summary!$B$11)*S303+Summary!$B$11*U303</f>
        <v/>
      </c>
      <c r="P303">
        <f>IF(B340=0,0,O303/B340)</f>
        <v/>
      </c>
      <c r="Q303">
        <f>IFERROR(1/(IF(Inputs!$B$39="pvp",15,MAX(0.1,Skills!D6-IF(Skills!E6=TRUE,Inputs!$B$33,0)))*(1-IF(AND(ArtifactsInput!$M$27,Inputs!$B$4="Chapter Hunt"),CHOOSE(ArtifactsInput!$N$27+1,20,24,28,32,36,40),0)/100)),0)</f>
        <v/>
      </c>
      <c r="R303">
        <f>IF(AND(Inputs!$B$39&lt;&gt;"pvp",Inputs!$B$44&gt;0),IF(MAX(0,Inputs!$B$44-B337)&lt;=0,0,(INT(MAX(0,Inputs!$B$44-B337)/(IF(Inputs!$B$39="pvp",15,MAX(0.1,Skills!D6-IF(Skills!E6=TRUE,Inputs!$B$33,0)))*(1-IF(AND(ArtifactsInput!$M$27,Inputs!$B$4="Chapter Hunt"),CHOOSE(ArtifactsInput!$N$27+1,20,24,28,32,36,40),0)/100)))+1)),0)</f>
        <v/>
      </c>
      <c r="S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$21+Skills!O6+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303*(1-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$22+Skills!P6+B329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
      <c r="A304">
        <f>Skills!A7</f>
        <v/>
      </c>
      <c r="B304">
        <f>Skills!B7</f>
        <v/>
      </c>
      <c r="C304">
        <f>Inputs!$B$3&gt;=122</f>
        <v/>
      </c>
      <c r="D304">
        <f>IF(Skills!C7=1,60+Inputs!$B$26+Inputs!$B$30,IF(Skills!C7=2,90+Inputs!$B$27+Inputs!$B$30,IF(Skills!C7=3,120+Inputs!$B$28+Inputs!$B$30,MAX(0,(Inputs!$B$3-100)*3)+Inputs!$B$29+Inputs!$B$30)))</f>
        <v/>
      </c>
      <c r="E304">
        <f>INDEX(FactorTable!$B$2:$Y$301, MATCH(ROUND(MIN(300,MAX(1,D304)),0), FactorTable!$A$2:$A$301,0), Skills!L7+1)</f>
        <v/>
      </c>
      <c r="F304">
        <f>IF(Skills!M7=TRUE,(Skills!K7/10)*(E304/1000),Skills!K7/10)+Skills!N7</f>
        <v/>
      </c>
      <c r="G304">
        <f>Calc!G7</f>
        <v/>
      </c>
      <c r="H304">
        <f>Calc!H7</f>
        <v/>
      </c>
      <c r="I304">
        <f>IF(Skills!T7&lt;&gt;"",1+(Skills!T7/10)*($Z$3/1000)/100,1)</f>
        <v/>
      </c>
      <c r="J304">
        <f>((Inputs!$B$6*(1+Inputs!$B$7/100))+(((Inputs!$B$13*(1+Inputs!$B$14/100))-(Inputs!$B$13*(1+Inputs!$B$14/100)))+0.25*(Inputs!$B$15-Inputs!$B$15))*(1+Inputs!$B$7/100))*(F304/100)</f>
        <v/>
      </c>
      <c r="K304">
        <f>J304*(1+(((Inputs!$B$13+IF(Inputs!$B$3&gt;=35,(10*INDEX(FactorTable!$B$2:$Y$301,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7="TRIUMPH_FEATHER",IF(C313=TRUE,F313,0),0)/100)*(1+IF(C324=TRUE,F324,0)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304)</f>
        <v/>
      </c>
      <c r="L304">
        <f>K304*(MIN(Inputs!$B$23+(F319-Calc!F22),(Inputs!$B$24+IF(ArtifactsInput!$M$15,CHOOSE(ArtifactsInput!$N$15+1,25,30,35,40,45,50)/100*(Inputs!$B$12-Inputs!$B$12),0)))/100+(Inputs!$B$24+IF(ArtifactsInput!$M$15,CHOOSE(ArtifactsInput!$N$15+1,25,30,35,40,45,50)/100*(Inputs!$B$12-Inputs!$B$12),0))/100)/2</f>
        <v/>
      </c>
      <c r="M304">
        <f>L304*(1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
        <f>L304*(1-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
        <f>(1-Summary!$B$11)*S304+Summary!$B$11*U304</f>
        <v/>
      </c>
      <c r="P304">
        <f>IF(B340=0,0,O304/B340)</f>
        <v/>
      </c>
      <c r="Q304">
        <f>IFERROR(1/(IF(Inputs!$B$39="pvp",15,MAX(0.1,Skills!D7-IF(Skills!E6=TRUE,Inputs!$B$33,0)))*(1-IF(AND(ArtifactsInput!$M$27,Inputs!$B$4="Chapter Hunt"),CHOOSE(ArtifactsInput!$N$27+1,20,24,28,32,36,40),0)/100)),0)</f>
        <v/>
      </c>
      <c r="R304">
        <f>IF(AND(Inputs!$B$39&lt;&gt;"pvp",Inputs!$B$44&gt;0),IF(MAX(0,Inputs!$B$44-B337)&lt;=0,0,(INT(MAX(0,Inputs!$B$44-B337)/(IF(Inputs!$B$39="pvp",15,MAX(0.1,Skills!D7-IF(Skills!E6=TRUE,Inputs!$B$33,0)))*(1-IF(AND(ArtifactsInput!$M$27,Inputs!$B$4="Chapter Hunt"),CHOOSE(ArtifactsInput!$N$27+1,20,24,28,32,36,40),0)/100)))+1)),0)</f>
        <v/>
      </c>
      <c r="S304">
        <f>IF(C304,H304*N304*IF(AND(Inputs!$B$39&lt;&gt;"pvp",Inputs!$B$44&gt;0),((Skills!F7*((R304-1)*IF(Skills!G7&gt;0,Skills!H7/Skills!G7,1)+IF(Skills!G7&gt;0,MIN(Skills!H7,MAX(0,MAX(0,Inputs!$B$44-B337)-((R304-1)*(IF(Inputs!$B$39="pvp",15,MAX(0.1,Skills!D7-IF(Skills!E6=TRUE,Inputs!$B$33,0)))*(1-IF(AND(ArtifactsInput!$M$27,Inputs!$B$4="Chapter Hunt"),CHOOSE(ArtifactsInput!$N$27+1,20,24,28,32,36,40),0)/100)))))/Skills!G7,1)))/Inputs!$B$44),G304*Q304)*IF(Inputs!$B$39="pvp",1,1+(Inputs!$B$21+Skills!O7+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 t="n">
        <v>0</v>
      </c>
    </row>
    <row r="305">
      <c r="A305">
        <f>Skills!A8</f>
        <v/>
      </c>
      <c r="B305">
        <f>Skills!B8</f>
        <v/>
      </c>
      <c r="C305">
        <f>Inputs!$B$3&gt;=105</f>
        <v/>
      </c>
      <c r="D305">
        <f>IF(Skills!C8=1,60+Inputs!$B$26+Inputs!$B$30,IF(Skills!C8=2,90+Inputs!$B$27+Inputs!$B$30,IF(Skills!C8=3,120+Inputs!$B$28+Inputs!$B$30,MAX(0,(Inputs!$B$3-100)*3)+Inputs!$B$29+Inputs!$B$30)))</f>
        <v/>
      </c>
      <c r="E305">
        <f>INDEX(FactorTable!$B$2:$Y$301, MATCH(ROUND(MIN(300,MAX(1,D305)),0), FactorTable!$A$2:$A$301,0), Skills!L8+1)</f>
        <v/>
      </c>
      <c r="F305">
        <f>IF(Skills!M8=TRUE,(Skills!K8/10)*(E305/1000),Skills!K8/10)+Skills!N8</f>
        <v/>
      </c>
      <c r="G305">
        <f>Calc!G8</f>
        <v/>
      </c>
      <c r="H305">
        <f>Calc!H8</f>
        <v/>
      </c>
      <c r="I305">
        <f>IF(Skills!T8&lt;&gt;"",1+(Skills!T8/10)*($Z$3/1000)/100,1)</f>
        <v/>
      </c>
      <c r="J305">
        <f>((Inputs!$B$6*(1+Inputs!$B$7/100))+(((Inputs!$B$13*(1+Inputs!$B$14/100))-(Inputs!$B$13*(1+Inputs!$B$14/100)))+0.25*(Inputs!$B$15-Inputs!$B$15))*(1+Inputs!$B$7/100))*(F305/100)</f>
        <v/>
      </c>
      <c r="K305">
        <f>J305*(1+(((Inputs!$B$13+IF(Inputs!$B$3&gt;=35,(10*INDEX(FactorTable!$B$2:$Y$301,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8="TRIUMPH_FEATHER",IF(C313=TRUE,F313,0),0)/100)*(1+IF(C324=TRUE,F324,0)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305)</f>
        <v/>
      </c>
      <c r="L305">
        <f>K305*(MIN(Inputs!$B$23+(F319-Calc!F22),(Inputs!$B$24+IF(ArtifactsInput!$M$15,CHOOSE(ArtifactsInput!$N$15+1,25,30,35,40,45,50)/100*(Inputs!$B$12-Inputs!$B$12),0)))/100+(Inputs!$B$24+IF(ArtifactsInput!$M$15,CHOOSE(ArtifactsInput!$N$15+1,25,30,35,40,45,50)/100*(Inputs!$B$12-Inputs!$B$12),0))/100)/2</f>
        <v/>
      </c>
      <c r="M305">
        <f>L305*(1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
        <f>L305*(1-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
        <f>(1-Summary!$B$11)*S305+Summary!$B$11*U305</f>
        <v/>
      </c>
      <c r="P305">
        <f>IF(B340=0,0,O305/B340)</f>
        <v/>
      </c>
      <c r="Q305">
        <f>IFERROR(1/(IF(Inputs!$B$39="pvp",15,MAX(0.1,Skills!D8-IF(Skills!E8=TRUE,Inputs!$B$33,0)))*(1-IF(AND(ArtifactsInput!$M$27,Inputs!$B$4="Chapter Hunt"),CHOOSE(ArtifactsInput!$N$27+1,20,24,28,32,36,40),0)/100)),0)</f>
        <v/>
      </c>
      <c r="R305">
        <f>IF(AND(Inputs!$B$39&lt;&gt;"pvp",Inputs!$B$44&gt;0),IF(MAX(0,Inputs!$B$44-B337)&lt;=0,0,(INT(MAX(0,Inputs!$B$44-B337)/(IF(Inputs!$B$39="pvp",15,MAX(0.1,Skills!D8-IF(Skills!E8=TRUE,Inputs!$B$33,0)))*(1-IF(AND(ArtifactsInput!$M$27,Inputs!$B$4="Chapter Hunt"),CHOOSE(ArtifactsInput!$N$27+1,20,24,28,32,36,40),0)/100)))+1)),0)</f>
        <v/>
      </c>
      <c r="S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$21+Skills!O8+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$22+Skills!P8+B329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
      <c r="A306">
        <f>Skills!A9</f>
        <v/>
      </c>
      <c r="B306">
        <f>Skills!B9</f>
        <v/>
      </c>
      <c r="C306">
        <f>Inputs!$B$3&gt;=115</f>
        <v/>
      </c>
      <c r="D306">
        <f>IF(Skills!C9=1,60+Inputs!$B$26+Inputs!$B$30,IF(Skills!C9=2,90+Inputs!$B$27+Inputs!$B$30,IF(Skills!C9=3,120+Inputs!$B$28+Inputs!$B$30,MAX(0,(Inputs!$B$3-100)*3)+Inputs!$B$29+Inputs!$B$30)))</f>
        <v/>
      </c>
      <c r="E306">
        <f>INDEX(FactorTable!$B$2:$Y$301, MATCH(ROUND(MIN(300,MAX(1,D306)),0), FactorTable!$A$2:$A$301,0), Skills!L9+1)</f>
        <v/>
      </c>
      <c r="F306">
        <f>IF(Skills!M9=TRUE,(Skills!K9/10)*(E306/1000),Skills!K9/10)+Skills!N9</f>
        <v/>
      </c>
      <c r="G306">
        <f>Calc!G9</f>
        <v/>
      </c>
      <c r="H306">
        <f>Calc!H9</f>
        <v/>
      </c>
      <c r="I306">
        <f>IF(Skills!T9&lt;&gt;"",1+(Skills!T9/10)*($Z$3/1000)/100,1)</f>
        <v/>
      </c>
      <c r="J306">
        <f>((Inputs!$B$6*(1+Inputs!$B$7/100))+(((Inputs!$B$13*(1+Inputs!$B$14/100))-(Inputs!$B$13*(1+Inputs!$B$14/100)))+0.25*(Inputs!$B$15-Inputs!$B$15))*(1+Inputs!$B$7/100))*(F306/100)</f>
        <v/>
      </c>
      <c r="K306">
        <f>J306*(1+(((Inputs!$B$13+IF(Inputs!$B$3&gt;=35,(10*INDEX(FactorTable!$B$2:$Y$301,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9="TRIUMPH_FEATHER",IF(C313=TRUE,F313,0),0)/100)*(1+IF(C324=TRUE,F324,0)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306)</f>
        <v/>
      </c>
      <c r="L306">
        <f>K306*(MIN(Inputs!$B$23+(F319-Calc!F22),(Inputs!$B$24+IF(ArtifactsInput!$M$15,CHOOSE(ArtifactsInput!$N$15+1,25,30,35,40,45,50)/100*(Inputs!$B$12-Inputs!$B$12),0)))/100+(Inputs!$B$24+IF(ArtifactsInput!$M$15,CHOOSE(ArtifactsInput!$N$15+1,25,30,35,40,45,50)/100*(Inputs!$B$12-Inputs!$B$12),0))/100)/2</f>
        <v/>
      </c>
      <c r="M306">
        <f>L306*(1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
        <f>L306*(1-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
        <f>(1-Summary!$B$11)*S306+Summary!$B$11*U306</f>
        <v/>
      </c>
      <c r="P306">
        <f>IF(B340=0,0,O306/B340)</f>
        <v/>
      </c>
      <c r="Q306">
        <f>IFERROR(1/(IF(Inputs!$B$39="pvp",15,MAX(0.1,Skills!D9-IF(Skills!E9=TRUE,Inputs!$B$33,0)))*(1-IF(AND(ArtifactsInput!$M$27,Inputs!$B$4="Chapter Hunt"),CHOOSE(ArtifactsInput!$N$27+1,20,24,28,32,36,40),0)/100)),0)</f>
        <v/>
      </c>
      <c r="R306">
        <f>IF(AND(Inputs!$B$39&lt;&gt;"pvp",Inputs!$B$44&gt;0),IF(MAX(0,Inputs!$B$44-B337)&lt;=0,0,(INT(MAX(0,Inputs!$B$44-B337)/(IF(Inputs!$B$39="pvp",15,MAX(0.1,Skills!D9-IF(Skills!E9=TRUE,Inputs!$B$33,0)))*(1-IF(AND(ArtifactsInput!$M$27,Inputs!$B$4="Chapter Hunt"),CHOOSE(ArtifactsInput!$N$27+1,20,24,28,32,36,40),0)/100)))+1)),0)</f>
        <v/>
      </c>
      <c r="S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$21+Skills!O9+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$22+Skills!P9+B329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
      <c r="A307">
        <f>Skills!A10</f>
        <v/>
      </c>
      <c r="B307">
        <f>Skills!B10</f>
        <v/>
      </c>
      <c r="C307">
        <f>Inputs!$B$3&gt;=66</f>
        <v/>
      </c>
      <c r="D307">
        <f>IF(Skills!C10=1,60+Inputs!$B$26+Inputs!$B$30,IF(Skills!C10=2,90+Inputs!$B$27+Inputs!$B$30,IF(Skills!C10=3,120+Inputs!$B$28+Inputs!$B$30,MAX(0,(Inputs!$B$3-100)*3)+Inputs!$B$29+Inputs!$B$30)))</f>
        <v/>
      </c>
      <c r="E307">
        <f>INDEX(FactorTable!$B$2:$Y$301, MATCH(ROUND(MIN(300,MAX(1,D307)),0), FactorTable!$A$2:$A$301,0), Skills!L10+1)</f>
        <v/>
      </c>
      <c r="F307" t="n">
        <v>0</v>
      </c>
      <c r="G307">
        <f>Calc!G10</f>
        <v/>
      </c>
      <c r="H307">
        <f>Calc!H10</f>
        <v/>
      </c>
      <c r="I307">
        <f>IF(Skills!T10&lt;&gt;"",1+(Skills!T10/10)*($Z$3/1000)/100,1)</f>
        <v/>
      </c>
      <c r="J307" t="inlineStr"/>
      <c r="K307" t="inlineStr"/>
      <c r="L307" t="inlineStr"/>
      <c r="M307" t="inlineStr"/>
      <c r="N307" t="inlineStr"/>
      <c r="O307">
        <f>(1-Summary!$B$11)*S307+Summary!$B$11*U307</f>
        <v/>
      </c>
      <c r="P307">
        <f>IF(B340=0,0,O307/B340)</f>
        <v/>
      </c>
      <c r="Q307">
        <f>IFERROR(1/(IF(Inputs!$B$39="pvp",15,MAX(0.1,Skills!D10-IF(Skills!E10=TRUE,Inputs!$B$33,0)))*(1-IF(AND(ArtifactsInput!$M$27,Inputs!$B$4="Chapter Hunt"),CHOOSE(ArtifactsInput!$N$27+1,20,24,28,32,36,40),0)/100)),0)</f>
        <v/>
      </c>
      <c r="R307">
        <f>IF(AND(Inputs!$B$39&lt;&gt;"pvp",Inputs!$B$44&gt;0),IF(MAX(0,Inputs!$B$44-B337)&lt;=0,0,(INT(MAX(0,Inputs!$B$44-B337)/(IF(Inputs!$B$39="pvp",15,MAX(0.1,Skills!D10-IF(Skills!E10=TRUE,Inputs!$B$33,0)))*(1-IF(AND(ArtifactsInput!$M$27,Inputs!$B$4="Chapter Hunt"),CHOOSE(ArtifactsInput!$N$27+1,20,24,28,32,36,40),0)/100)))+1)),0)</f>
        <v/>
      </c>
      <c r="S307" t="n">
        <v>0</v>
      </c>
      <c r="U307" t="n">
        <v>0</v>
      </c>
    </row>
    <row r="308">
      <c r="A308">
        <f>Skills!A11</f>
        <v/>
      </c>
      <c r="B308">
        <f>Skills!B11</f>
        <v/>
      </c>
      <c r="C308">
        <f>Inputs!$B$3&gt;=69</f>
        <v/>
      </c>
      <c r="D308">
        <f>IF(Skills!C11=1,60+Inputs!$B$26+Inputs!$B$30,IF(Skills!C11=2,90+Inputs!$B$27+Inputs!$B$30,IF(Skills!C11=3,120+Inputs!$B$28+Inputs!$B$30,MAX(0,(Inputs!$B$3-100)*3)+Inputs!$B$29+Inputs!$B$30)))</f>
        <v/>
      </c>
      <c r="E308">
        <f>INDEX(FactorTable!$B$2:$Y$301, MATCH(ROUND(MIN(300,MAX(1,D308)),0), FactorTable!$A$2:$A$301,0), Skills!L11+1)</f>
        <v/>
      </c>
      <c r="F308">
        <f>IF(Skills!M11=TRUE,(Skills!K11/10)*(E308/1000),Skills!K11/10)+Skills!N11</f>
        <v/>
      </c>
      <c r="G308">
        <f>Calc!G11</f>
        <v/>
      </c>
      <c r="H308">
        <f>Calc!H11</f>
        <v/>
      </c>
      <c r="I308">
        <f>IF(Skills!T11&lt;&gt;"",1+(Skills!T11/10)*($Z$3/1000)/100,1)</f>
        <v/>
      </c>
      <c r="J308" t="inlineStr"/>
      <c r="K308" t="inlineStr"/>
      <c r="L308" t="inlineStr"/>
      <c r="M308" t="inlineStr"/>
      <c r="N308" t="inlineStr"/>
      <c r="O308">
        <f>(1-Summary!$B$11)*S308+Summary!$B$11*U308</f>
        <v/>
      </c>
      <c r="P308">
        <f>IF(B340=0,0,O308/B340)</f>
        <v/>
      </c>
      <c r="Q308">
        <f>IFERROR(1/(IF(Inputs!$B$39="pvp",15,MAX(0.1,Skills!D11-IF(Skills!E11=TRUE,Inputs!$B$33,0)))*(1-IF(AND(ArtifactsInput!$M$27,Inputs!$B$4="Chapter Hunt"),CHOOSE(ArtifactsInput!$N$27+1,20,24,28,32,36,40),0)/100)),0)</f>
        <v/>
      </c>
      <c r="R308">
        <f>IF(AND(Inputs!$B$39&lt;&gt;"pvp",Inputs!$B$44&gt;0),IF(Inputs!$B$44&lt;=0,0,(INT(Inputs!$B$44/(IF(Inputs!$B$39="pvp",15,MAX(0.1,Skills!D11-IF(Skills!E11=TRUE,Inputs!$B$33,0)))*(1-IF(AND(ArtifactsInput!$M$27,Inputs!$B$4="Chapter Hunt"),CHOOSE(ArtifactsInput!$N$27+1,20,24,28,32,36,40),0)/100)))+1)),0)</f>
        <v/>
      </c>
      <c r="S308" t="n">
        <v>0</v>
      </c>
      <c r="U308" t="n">
        <v>0</v>
      </c>
    </row>
    <row r="309">
      <c r="A309">
        <f>Skills!A12</f>
        <v/>
      </c>
      <c r="B309">
        <f>Skills!B12</f>
        <v/>
      </c>
      <c r="C309">
        <f>Inputs!$B$3&gt;=72</f>
        <v/>
      </c>
      <c r="D309">
        <f>IF(Skills!C12=1,60+Inputs!$B$26+Inputs!$B$30,IF(Skills!C12=2,90+Inputs!$B$27+Inputs!$B$30,IF(Skills!C12=3,120+Inputs!$B$28+Inputs!$B$30,MAX(0,(Inputs!$B$3-100)*3)+Inputs!$B$29+Inputs!$B$30)))</f>
        <v/>
      </c>
      <c r="E309">
        <f>INDEX(FactorTable!$B$2:$Y$301, MATCH(ROUND(MIN(300,MAX(1,D309)),0), FactorTable!$A$2:$A$301,0), Skills!L12+1)</f>
        <v/>
      </c>
      <c r="F309">
        <f>IF(Skills!M12=TRUE,(Skills!K12/10)*(E309/1000),Skills!K12/10)+Skills!N12</f>
        <v/>
      </c>
      <c r="G309">
        <f>Calc!G12</f>
        <v/>
      </c>
      <c r="H309">
        <f>Calc!H12</f>
        <v/>
      </c>
      <c r="I309">
        <f>IF(Skills!T12&lt;&gt;"",1+(Skills!T12/10)*($Z$3/1000)/100,1)</f>
        <v/>
      </c>
      <c r="J309" t="inlineStr"/>
      <c r="K309" t="inlineStr"/>
      <c r="L309" t="inlineStr"/>
      <c r="M309" t="inlineStr"/>
      <c r="N309" t="inlineStr"/>
      <c r="O309">
        <f>(1-Summary!$B$11)*S309+Summary!$B$11*U309</f>
        <v/>
      </c>
      <c r="P309">
        <f>IF(B340=0,0,O309/B340)</f>
        <v/>
      </c>
      <c r="Q309">
        <f>IFERROR(1/(IF(Inputs!$B$39="pvp",15,MAX(0.1,Skills!D12-IF(Skills!E12=TRUE,Inputs!$B$33,0)))*(1-IF(AND(ArtifactsInput!$M$27,Inputs!$B$4="Chapter Hunt"),CHOOSE(ArtifactsInput!$N$27+1,20,24,28,32,36,40),0)/100)),0)</f>
        <v/>
      </c>
      <c r="R309">
        <f>IF(AND(Inputs!$B$39&lt;&gt;"pvp",Inputs!$B$44&gt;0),IF(MAX(0,Inputs!$B$44-B337)&lt;=0,0,(INT(MAX(0,Inputs!$B$44-B337)/(IF(Inputs!$B$39="pvp",15,MAX(0.1,Skills!D12-IF(Skills!E12=TRUE,Inputs!$B$33,0)))*(1-IF(AND(ArtifactsInput!$M$27,Inputs!$B$4="Chapter Hunt"),CHOOSE(ArtifactsInput!$N$27+1,20,24,28,32,36,40),0)/100)))+1)),0)</f>
        <v/>
      </c>
      <c r="S309" t="n">
        <v>0</v>
      </c>
      <c r="U309" t="n">
        <v>0</v>
      </c>
    </row>
    <row r="310">
      <c r="A310">
        <f>Skills!A13</f>
        <v/>
      </c>
      <c r="B310">
        <f>Skills!B13</f>
        <v/>
      </c>
      <c r="C310">
        <f>Inputs!$B$3&gt;=60</f>
        <v/>
      </c>
      <c r="D310">
        <f>IF(Skills!C13=1,60+Inputs!$B$26+Inputs!$B$30,IF(Skills!C13=2,90+Inputs!$B$27+Inputs!$B$30,IF(Skills!C13=3,120+Inputs!$B$28+Inputs!$B$30,MAX(0,(Inputs!$B$3-100)*3)+Inputs!$B$29+Inputs!$B$30)))</f>
        <v/>
      </c>
      <c r="E310">
        <f>INDEX(FactorTable!$B$2:$Y$301, MATCH(ROUND(MIN(300,MAX(1,D310)),0), FactorTable!$A$2:$A$301,0), Skills!L13+1)</f>
        <v/>
      </c>
      <c r="F310">
        <f>IF(Skills!M13=TRUE,(Skills!K13/10)*(E310/1000),Skills!K13/10)+Skills!N13</f>
        <v/>
      </c>
      <c r="G310">
        <f>Calc!G13</f>
        <v/>
      </c>
      <c r="H310">
        <f>Calc!H13</f>
        <v/>
      </c>
      <c r="I310">
        <f>IF(Skills!T13&lt;&gt;"",1+(Skills!T13/10)*($Z$3/1000)/100,1)</f>
        <v/>
      </c>
      <c r="J310" t="inlineStr"/>
      <c r="K310" t="inlineStr"/>
      <c r="L310" t="inlineStr"/>
      <c r="M310" t="inlineStr"/>
      <c r="N310" t="inlineStr"/>
      <c r="O310">
        <f>(1-Summary!$B$11)*S310+Summary!$B$11*U310</f>
        <v/>
      </c>
      <c r="P310">
        <f>IF(B340=0,0,O310/B340)</f>
        <v/>
      </c>
      <c r="Q310">
        <f>IFERROR(1/(IF(Inputs!$B$39="pvp",15,MAX(0.1,Skills!D13-IF(Skills!E13=TRUE,Inputs!$B$33,0)))*(1-IF(AND(ArtifactsInput!$M$27,Inputs!$B$4="Chapter Hunt"),CHOOSE(ArtifactsInput!$N$27+1,20,24,28,32,36,40),0)/100)),0)</f>
        <v/>
      </c>
      <c r="R310">
        <f>IF(AND(Inputs!$B$39&lt;&gt;"pvp",Inputs!$B$44&gt;0),IF(MAX(0,Inputs!$B$44-B337)&lt;=0,0,(INT(MAX(0,Inputs!$B$44-B337)/(IF(Inputs!$B$39="pvp",15,MAX(0.1,Skills!D13-IF(Skills!E13=TRUE,Inputs!$B$33,0)))*(1-IF(AND(ArtifactsInput!$M$27,Inputs!$B$4="Chapter Hunt"),CHOOSE(ArtifactsInput!$N$27+1,20,24,28,32,36,40),0)/100)))+1)),0)</f>
        <v/>
      </c>
      <c r="S310" t="n">
        <v>0</v>
      </c>
      <c r="U310" t="n">
        <v>0</v>
      </c>
    </row>
    <row r="311">
      <c r="A311">
        <f>Skills!A14</f>
        <v/>
      </c>
      <c r="B311">
        <f>Skills!B14</f>
        <v/>
      </c>
      <c r="C311">
        <f>Inputs!$B$3&gt;=107</f>
        <v/>
      </c>
      <c r="D311">
        <f>IF(Skills!C14=1,60+Inputs!$B$26+Inputs!$B$30,IF(Skills!C14=2,90+Inputs!$B$27+Inputs!$B$30,IF(Skills!C14=3,120+Inputs!$B$28+Inputs!$B$30,MAX(0,(Inputs!$B$3-100)*3)+Inputs!$B$29+Inputs!$B$30)))</f>
        <v/>
      </c>
      <c r="E311">
        <f>INDEX(FactorTable!$B$2:$Y$301, MATCH(ROUND(MIN(300,MAX(1,D311)),0), FactorTable!$A$2:$A$301,0), Skills!L14+1)</f>
        <v/>
      </c>
      <c r="F311">
        <f>IF(Skills!M14=TRUE,(Skills!K14/10)*(E311/1000),Skills!K14/10)+Skills!N14</f>
        <v/>
      </c>
      <c r="G311">
        <f>Calc!G14</f>
        <v/>
      </c>
      <c r="H311">
        <f>Calc!H14</f>
        <v/>
      </c>
      <c r="I311">
        <f>IF(Skills!T14&lt;&gt;"",1+(Skills!T14/10)*($Z$3/1000)/100,1)</f>
        <v/>
      </c>
      <c r="J311" t="inlineStr"/>
      <c r="K311" t="inlineStr"/>
      <c r="L311" t="inlineStr"/>
      <c r="M311" t="inlineStr"/>
      <c r="N311" t="inlineStr"/>
      <c r="O311">
        <f>(1-Summary!$B$11)*S311+Summary!$B$11*U311</f>
        <v/>
      </c>
      <c r="P311">
        <f>IF(B340=0,0,O311/B340)</f>
        <v/>
      </c>
      <c r="Q311">
        <f>IFERROR(1/(IF(Inputs!$B$39="pvp",15,MAX(0.1,Skills!D14-IF(Skills!E14=TRUE,Inputs!$B$33,0)))*(1-IF(AND(ArtifactsInput!$M$27,Inputs!$B$4="Chapter Hunt"),CHOOSE(ArtifactsInput!$N$27+1,20,24,28,32,36,40),0)/100)),0)</f>
        <v/>
      </c>
      <c r="R311">
        <f>IF(AND(Inputs!$B$39&lt;&gt;"pvp",Inputs!$B$44&gt;0),IF(Inputs!$B$44&lt;=0,0,(INT(Inputs!$B$44/(IF(Inputs!$B$39="pvp",15,MAX(0.1,Skills!D14-IF(Skills!E14=TRUE,Inputs!$B$33,0)))*(1-IF(AND(ArtifactsInput!$M$27,Inputs!$B$4="Chapter Hunt"),CHOOSE(ArtifactsInput!$N$27+1,20,24,28,32,36,40),0)/100)))+1)),0)</f>
        <v/>
      </c>
      <c r="S311" t="n">
        <v>0</v>
      </c>
      <c r="U311" t="n">
        <v>0</v>
      </c>
    </row>
    <row r="312">
      <c r="A312">
        <f>Skills!A15</f>
        <v/>
      </c>
      <c r="B312">
        <f>Skills!B15</f>
        <v/>
      </c>
      <c r="C312">
        <f>Inputs!$B$3&gt;=63</f>
        <v/>
      </c>
      <c r="D312">
        <f>IF(Skills!C15=1,60+Inputs!$B$26+Inputs!$B$30,IF(Skills!C15=2,90+Inputs!$B$27+Inputs!$B$30,IF(Skills!C15=3,120+Inputs!$B$28+Inputs!$B$30,MAX(0,(Inputs!$B$3-100)*3)+Inputs!$B$29+Inputs!$B$30)))</f>
        <v/>
      </c>
      <c r="E312">
        <f>INDEX(FactorTable!$B$2:$Y$301, MATCH(ROUND(MIN(300,MAX(1,D312)),0), FactorTable!$A$2:$A$301,0), Skills!L15+1)</f>
        <v/>
      </c>
      <c r="F312">
        <f>IF(Skills!M15=TRUE,(Skills!K15/10)*(E312/1000),Skills!K15/10)+Skills!N15</f>
        <v/>
      </c>
      <c r="G312">
        <f>Calc!G15</f>
        <v/>
      </c>
      <c r="H312">
        <f>Calc!H15</f>
        <v/>
      </c>
      <c r="I312">
        <f>IF(Skills!T15&lt;&gt;"",1+(Skills!T15/10)*($Z$3/1000)/100,1)</f>
        <v/>
      </c>
      <c r="J312">
        <f>((Inputs!$B$6*(1+Inputs!$B$7/100))+(((Inputs!$B$13*(1+Inputs!$B$14/100))-(Inputs!$B$13*(1+Inputs!$B$14/100)))+0.25*(Inputs!$B$15-Inputs!$B$15))*(1+Inputs!$B$7/100))*(F312/100)</f>
        <v/>
      </c>
      <c r="K312">
        <f>J312*(1+(((Inputs!$B$13+IF(Inputs!$B$3&gt;=35,(10*INDEX(FactorTable!$B$2:$Y$301,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15="TRIUMPH_FEATHER",IF(C313=TRUE,F313,0),0)/100)*(1+IF(C324=TRUE,F324,0)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312)</f>
        <v/>
      </c>
      <c r="L312">
        <f>K312*(MIN(Inputs!$B$23+(F319-Calc!F22),(Inputs!$B$24+IF(ArtifactsInput!$M$15,CHOOSE(ArtifactsInput!$N$15+1,25,30,35,40,45,50)/100*(Inputs!$B$12-Inputs!$B$12),0)))/100+(Inputs!$B$24+IF(ArtifactsInput!$M$15,CHOOSE(ArtifactsInput!$N$15+1,25,30,35,40,45,50)/100*(Inputs!$B$12-Inputs!$B$12),0))/100)/2</f>
        <v/>
      </c>
      <c r="M312">
        <f>L312*(1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
        <f>L312*(1-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
        <f>(1-Summary!$B$11)*S312+Summary!$B$11*U312</f>
        <v/>
      </c>
      <c r="P312">
        <f>IF(B340=0,0,O312/B340)</f>
        <v/>
      </c>
      <c r="Q312">
        <f>IFERROR(1/(IF(Inputs!$B$39="pvp",15,MAX(0.1,Skills!D15-IF(Skills!E15=TRUE,Inputs!$B$33,0)))*(1-IF(AND(ArtifactsInput!$M$27,Inputs!$B$4="Chapter Hunt"),CHOOSE(ArtifactsInput!$N$27+1,20,24,28,32,36,40),0)/100)),0)</f>
        <v/>
      </c>
      <c r="R312" t="n">
        <v>0</v>
      </c>
      <c r="S312">
        <f>IF(C312,(Skills!F15*N312*((IF(Inputs!$B$3&gt;=78,25,15)/100*B333*10)/(1+IF(Inputs!$B$3&gt;=78,25,15)/100*B333*10))*(Skills!I15/100*B333)/(1+Skills!G15*Skills!I15/100*B333))*IF(Inputs!$B$39="pvp",1,1+(Inputs!$B$21+Skills!O15+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
        <f>IF(C312,(Skills!F15*N312*((IF(Inputs!$B$3&gt;=78,25,15)/100*B333*10)/(1+IF(Inputs!$B$3&gt;=78,25,15)/100*B333*10))*(Skills!I15/100*B333)/(1+Skills!G15*Skills!I15/100*B333))*IF(Inputs!$B$39="pvp",1,(1+(Inputs!$B$22+Skills!P15+B329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
      <c r="A313">
        <f>Skills!A16</f>
        <v/>
      </c>
      <c r="B313">
        <f>Skills!B16</f>
        <v/>
      </c>
      <c r="C313">
        <f>Inputs!$B$3&gt;=100</f>
        <v/>
      </c>
      <c r="D313">
        <f>IF(Skills!C16=1,60+Inputs!$B$26+Inputs!$B$30,IF(Skills!C16=2,90+Inputs!$B$27+Inputs!$B$30,IF(Skills!C16=3,120+Inputs!$B$28+Inputs!$B$30,MAX(0,(Inputs!$B$3-100)*3)+Inputs!$B$29+Inputs!$B$30)))</f>
        <v/>
      </c>
      <c r="E313">
        <f>INDEX(FactorTable!$B$2:$Y$301, MATCH(ROUND(MIN(300,MAX(1,D313)),0), FactorTable!$A$2:$A$301,0), Skills!L16+1)</f>
        <v/>
      </c>
      <c r="F313">
        <f>IF(Skills!M16=TRUE,(Skills!K16/10)*(E313/1000),Skills!K16/10)+Skills!N16</f>
        <v/>
      </c>
      <c r="G313">
        <f>Calc!G16</f>
        <v/>
      </c>
      <c r="H313">
        <f>Calc!H16</f>
        <v/>
      </c>
      <c r="I313">
        <f>IF(Skills!T16&lt;&gt;"",1+(Skills!T16/10)*($Z$3/1000)/100,1)</f>
        <v/>
      </c>
      <c r="J313" t="inlineStr"/>
      <c r="K313" t="inlineStr"/>
      <c r="L313" t="inlineStr"/>
      <c r="M313" t="inlineStr"/>
      <c r="N313" t="inlineStr"/>
      <c r="O313">
        <f>(1-Summary!$B$11)*S313+Summary!$B$11*U313</f>
        <v/>
      </c>
      <c r="P313">
        <f>IF(B340=0,0,O313/B340)</f>
        <v/>
      </c>
      <c r="Q313">
        <f>IFERROR(1/(IF(Inputs!$B$39="pvp",15,MAX(0.1,Skills!D16-IF(Skills!E16=TRUE,Inputs!$B$33,0)))*(1-IF(AND(ArtifactsInput!$M$27,Inputs!$B$4="Chapter Hunt"),CHOOSE(ArtifactsInput!$N$27+1,20,24,28,32,36,40),0)/100)),0)</f>
        <v/>
      </c>
      <c r="R313" t="n">
        <v>0</v>
      </c>
      <c r="S313" t="n">
        <v>0</v>
      </c>
      <c r="U313" t="n">
        <v>0</v>
      </c>
    </row>
    <row r="314">
      <c r="A314">
        <f>Skills!A17</f>
        <v/>
      </c>
      <c r="B314">
        <f>Skills!B17</f>
        <v/>
      </c>
      <c r="C314">
        <f>Inputs!$B$3&gt;=49</f>
        <v/>
      </c>
      <c r="D314">
        <f>IF(Skills!C17=1,60+Inputs!$B$26+Inputs!$B$30,IF(Skills!C17=2,90+Inputs!$B$27+Inputs!$B$30,IF(Skills!C17=3,120+Inputs!$B$28+Inputs!$B$30,MAX(0,(Inputs!$B$3-100)*3)+Inputs!$B$29+Inputs!$B$30)))</f>
        <v/>
      </c>
      <c r="E314">
        <f>INDEX(FactorTable!$B$2:$Y$301, MATCH(ROUND(MIN(300,MAX(1,D314)),0), FactorTable!$A$2:$A$301,0), Skills!L17+1)</f>
        <v/>
      </c>
      <c r="F314">
        <f>IF(Skills!M17=TRUE,(Skills!K17/10)*(E314/1000),Skills!K17/10)+Skills!N17</f>
        <v/>
      </c>
      <c r="G314">
        <f>Calc!G17</f>
        <v/>
      </c>
      <c r="H314">
        <f>Calc!H17</f>
        <v/>
      </c>
      <c r="I314">
        <f>IF(Skills!T17&lt;&gt;"",1+(Skills!T17/10)*($Z$3/1000)/100,1)</f>
        <v/>
      </c>
      <c r="J314" t="inlineStr"/>
      <c r="K314" t="inlineStr"/>
      <c r="L314" t="inlineStr"/>
      <c r="M314" t="inlineStr"/>
      <c r="N314" t="inlineStr"/>
      <c r="O314">
        <f>(1-Summary!$B$11)*S314+Summary!$B$11*U314</f>
        <v/>
      </c>
      <c r="P314">
        <f>IF(B340=0,0,O314/B340)</f>
        <v/>
      </c>
      <c r="Q314">
        <f>IFERROR(1/(IF(Inputs!$B$39="pvp",15,MAX(0.1,Skills!D17-IF(Skills!E17=TRUE,Inputs!$B$33,0)))*(1-IF(AND(ArtifactsInput!$M$27,Inputs!$B$4="Chapter Hunt"),CHOOSE(ArtifactsInput!$N$27+1,20,24,28,32,36,40),0)/100)),0)</f>
        <v/>
      </c>
      <c r="R314" t="n">
        <v>0</v>
      </c>
      <c r="S314" t="n">
        <v>0</v>
      </c>
      <c r="U314" t="n">
        <v>0</v>
      </c>
    </row>
    <row r="315">
      <c r="A315">
        <f>Skills!A18</f>
        <v/>
      </c>
      <c r="B315">
        <f>Skills!B18</f>
        <v/>
      </c>
      <c r="C315">
        <f>Inputs!$B$3&gt;=75</f>
        <v/>
      </c>
      <c r="D315">
        <f>IF(Skills!C18=1,60+Inputs!$B$26+Inputs!$B$30,IF(Skills!C18=2,90+Inputs!$B$27+Inputs!$B$30,IF(Skills!C18=3,120+Inputs!$B$28+Inputs!$B$30,MAX(0,(Inputs!$B$3-100)*3)+Inputs!$B$29+Inputs!$B$30)))</f>
        <v/>
      </c>
      <c r="E315">
        <f>INDEX(FactorTable!$B$2:$Y$301, MATCH(ROUND(MIN(300,MAX(1,D315)),0), FactorTable!$A$2:$A$301,0), Skills!L18+1)</f>
        <v/>
      </c>
      <c r="F315">
        <f>IF(Skills!M18=TRUE,(Skills!K18/10)*(E315/1000),Skills!K18/10)+Skills!N18</f>
        <v/>
      </c>
      <c r="G315">
        <f>Calc!G18</f>
        <v/>
      </c>
      <c r="H315">
        <f>Calc!H18</f>
        <v/>
      </c>
      <c r="I315">
        <f>IF(Skills!T18&lt;&gt;"",1+(Skills!T18/10)*($Z$3/1000)/100,1)</f>
        <v/>
      </c>
      <c r="J315" t="inlineStr"/>
      <c r="K315" t="inlineStr"/>
      <c r="L315" t="inlineStr"/>
      <c r="M315" t="inlineStr"/>
      <c r="N315" t="inlineStr"/>
      <c r="O315">
        <f>(1-Summary!$B$11)*S315+Summary!$B$11*U315</f>
        <v/>
      </c>
      <c r="P315">
        <f>IF(B340=0,0,O315/B340)</f>
        <v/>
      </c>
      <c r="Q315">
        <f>IFERROR(1/(IF(Inputs!$B$39="pvp",15,MAX(0.1,Skills!D18-IF(Skills!E18=TRUE,Inputs!$B$33,0)))*(1-IF(AND(ArtifactsInput!$M$27,Inputs!$B$4="Chapter Hunt"),CHOOSE(ArtifactsInput!$N$27+1,20,24,28,32,36,40),0)/100)),0)</f>
        <v/>
      </c>
      <c r="R315" t="n">
        <v>0</v>
      </c>
      <c r="S315" t="n">
        <v>0</v>
      </c>
      <c r="U315" t="n">
        <v>0</v>
      </c>
    </row>
    <row r="316">
      <c r="A316">
        <f>Skills!A19</f>
        <v/>
      </c>
      <c r="B316">
        <f>Skills!B19</f>
        <v/>
      </c>
      <c r="C316">
        <f>Inputs!$B$3&gt;=110</f>
        <v/>
      </c>
      <c r="D316">
        <f>IF(Skills!C19=1,60+Inputs!$B$26+Inputs!$B$30,IF(Skills!C19=2,90+Inputs!$B$27+Inputs!$B$30,IF(Skills!C19=3,120+Inputs!$B$28+Inputs!$B$30,MAX(0,(Inputs!$B$3-100)*3)+Inputs!$B$29+Inputs!$B$30)))</f>
        <v/>
      </c>
      <c r="E316">
        <f>INDEX(FactorTable!$B$2:$Y$301, MATCH(ROUND(MIN(300,MAX(1,D316)),0), FactorTable!$A$2:$A$301,0), Skills!L19+1)</f>
        <v/>
      </c>
      <c r="F316">
        <f>(Skills!K19/10)*(E316/1000)*64/45+Skills!N19</f>
        <v/>
      </c>
      <c r="G316">
        <f>Calc!G19</f>
        <v/>
      </c>
      <c r="H316">
        <f>Calc!H19</f>
        <v/>
      </c>
      <c r="I316">
        <f>IF(Skills!T19&lt;&gt;"",1+(Skills!T19/10)*($Z$3/1000)/100,1)</f>
        <v/>
      </c>
      <c r="J316" t="inlineStr"/>
      <c r="K316" t="inlineStr"/>
      <c r="L316" t="inlineStr"/>
      <c r="M316" t="inlineStr"/>
      <c r="N316" t="inlineStr"/>
      <c r="O316">
        <f>(1-Summary!$B$11)*S316+Summary!$B$11*U316</f>
        <v/>
      </c>
      <c r="P316">
        <f>IF(B340=0,0,O316/B340)</f>
        <v/>
      </c>
      <c r="Q316">
        <f>IFERROR(1/(IF(Inputs!$B$39="pvp",15,MAX(0.1,Skills!D19-IF(Skills!E19=TRUE,Inputs!$B$33,0)))*(1-IF(AND(ArtifactsInput!$M$27,Inputs!$B$4="Chapter Hunt"),CHOOSE(ArtifactsInput!$N$27+1,20,24,28,32,36,40),0)/100)),0)</f>
        <v/>
      </c>
      <c r="R316">
        <f>IF(AND(Inputs!$B$39&lt;&gt;"pvp",Inputs!$B$44&gt;0),IF(Inputs!$B$44&lt;=0,0,(INT(Inputs!$B$44/(IF(Inputs!$B$39="pvp",15,MAX(0.1,Skills!D19-IF(Skills!E19=TRUE,Inputs!$B$33,0)))*(1-IF(AND(ArtifactsInput!$M$27,Inputs!$B$4="Chapter Hunt"),CHOOSE(ArtifactsInput!$N$27+1,20,24,28,32,36,40),0)/100)))+1)),0)</f>
        <v/>
      </c>
      <c r="S316" t="n">
        <v>0</v>
      </c>
      <c r="U316" t="n">
        <v>0</v>
      </c>
    </row>
    <row r="317">
      <c r="A317">
        <f>Skills!A20</f>
        <v/>
      </c>
      <c r="B317">
        <f>Skills!B20</f>
        <v/>
      </c>
      <c r="C317">
        <f>Inputs!$B$3&gt;=125</f>
        <v/>
      </c>
      <c r="D317">
        <f>IF(Skills!C20=1,60+Inputs!$B$26+Inputs!$B$30,IF(Skills!C20=2,90+Inputs!$B$27+Inputs!$B$30,IF(Skills!C20=3,120+Inputs!$B$28+Inputs!$B$30,MAX(0,(Inputs!$B$3-100)*3)+Inputs!$B$29+Inputs!$B$30)))</f>
        <v/>
      </c>
      <c r="E317">
        <f>INDEX(FactorTable!$B$2:$Y$301, MATCH(ROUND(MIN(300,MAX(1,D317)),0), FactorTable!$A$2:$A$301,0), Skills!L20+1)</f>
        <v/>
      </c>
      <c r="F317">
        <f>IF(Skills!M20=TRUE,(Skills!K20/10)*(E317/1000),Skills!K20/10)+Skills!N20</f>
        <v/>
      </c>
      <c r="G317">
        <f>Calc!G20</f>
        <v/>
      </c>
      <c r="H317">
        <f>Calc!H20</f>
        <v/>
      </c>
      <c r="I317">
        <f>IF(Skills!T20&lt;&gt;"",1+(Skills!T20/10)*($Z$3/1000)/100,1)</f>
        <v/>
      </c>
      <c r="J317" t="inlineStr"/>
      <c r="K317" t="inlineStr"/>
      <c r="L317" t="inlineStr"/>
      <c r="M317" t="inlineStr"/>
      <c r="N317" t="inlineStr"/>
      <c r="O317">
        <f>(1-Summary!$B$11)*S317+Summary!$B$11*U317</f>
        <v/>
      </c>
      <c r="P317">
        <f>IF(B340=0,0,O317/B340)</f>
        <v/>
      </c>
      <c r="Q317">
        <f>IFERROR(1/(IF(Inputs!$B$39="pvp",15,MAX(0.1,Skills!D20-IF(Skills!E20=TRUE,Inputs!$B$33,0)))*(1-IF(AND(ArtifactsInput!$M$27,Inputs!$B$4="Chapter Hunt"),CHOOSE(ArtifactsInput!$N$27+1,20,24,28,32,36,40),0)/100)),0)</f>
        <v/>
      </c>
      <c r="R317" t="n">
        <v>0</v>
      </c>
      <c r="S317" t="n">
        <v>0</v>
      </c>
      <c r="U317" t="n">
        <v>0</v>
      </c>
    </row>
    <row r="318">
      <c r="A318">
        <f>Skills!A21</f>
        <v/>
      </c>
      <c r="B318">
        <f>Skills!B21</f>
        <v/>
      </c>
      <c r="C318">
        <f>Inputs!$B$3&gt;=33</f>
        <v/>
      </c>
      <c r="D318">
        <f>IF(Skills!C21=1,60+Inputs!$B$26+Inputs!$B$30,IF(Skills!C21=2,90+Inputs!$B$27+Inputs!$B$30,IF(Skills!C21=3,120+Inputs!$B$28+Inputs!$B$30,MAX(0,(Inputs!$B$3-100)*3)+Inputs!$B$29+Inputs!$B$30)))</f>
        <v/>
      </c>
      <c r="E318">
        <f>INDEX(FactorTable!$B$2:$Y$301, MATCH(ROUND(MIN(300,MAX(1,D318)),0), FactorTable!$A$2:$A$301,0), Skills!L21+1)</f>
        <v/>
      </c>
      <c r="F318">
        <f>IF(Skills!M21=TRUE,(Skills!K21/10)*(E318/1000),Skills!K21/10)+Skills!N21</f>
        <v/>
      </c>
      <c r="G318">
        <f>Calc!G21</f>
        <v/>
      </c>
      <c r="H318">
        <f>Calc!H21</f>
        <v/>
      </c>
      <c r="I318">
        <f>IF(Skills!T21&lt;&gt;"",1+(Skills!T21/10)*($Z$3/1000)/100,1)</f>
        <v/>
      </c>
      <c r="J318" t="inlineStr"/>
      <c r="K318" t="inlineStr"/>
      <c r="L318" t="inlineStr"/>
      <c r="M318" t="inlineStr"/>
      <c r="N318" t="inlineStr"/>
      <c r="O318">
        <f>(1-Summary!$B$11)*S318+Summary!$B$11*U318</f>
        <v/>
      </c>
      <c r="P318">
        <f>IF(B340=0,0,O318/B340)</f>
        <v/>
      </c>
      <c r="Q318">
        <f>IFERROR(1/(IF(Inputs!$B$39="pvp",15,MAX(0.1,Skills!D21-IF(Skills!E21=TRUE,Inputs!$B$33,0)))*(1-IF(AND(ArtifactsInput!$M$27,Inputs!$B$4="Chapter Hunt"),CHOOSE(ArtifactsInput!$N$27+1,20,24,28,32,36,40),0)/100)),0)</f>
        <v/>
      </c>
      <c r="R318" t="n">
        <v>0</v>
      </c>
      <c r="S318" t="n">
        <v>0</v>
      </c>
      <c r="U318" t="n">
        <v>0</v>
      </c>
    </row>
    <row r="319">
      <c r="A319">
        <f>Skills!A22</f>
        <v/>
      </c>
      <c r="B319">
        <f>Skills!B22</f>
        <v/>
      </c>
      <c r="C319">
        <f>Inputs!$B$3&gt;=43</f>
        <v/>
      </c>
      <c r="D319">
        <f>IF(Skills!C22=1,60+Inputs!$B$26+Inputs!$B$30,IF(Skills!C22=2,90+Inputs!$B$27+Inputs!$B$30,IF(Skills!C22=3,120+Inputs!$B$28+Inputs!$B$30,MAX(0,(Inputs!$B$3-100)*3)+Inputs!$B$29+Inputs!$B$30)))</f>
        <v/>
      </c>
      <c r="E319">
        <f>INDEX(FactorTable!$B$2:$Y$301, MATCH(ROUND(MIN(300,MAX(1,D319)),0), FactorTable!$A$2:$A$301,0), Skills!L22+1)</f>
        <v/>
      </c>
      <c r="F319">
        <f>IF(Skills!M22=TRUE,(Skills!K22/10)*(E319/1000),Skills!K22/10)+Skills!N22</f>
        <v/>
      </c>
      <c r="G319">
        <f>Calc!G22</f>
        <v/>
      </c>
      <c r="H319">
        <f>Calc!H22</f>
        <v/>
      </c>
      <c r="I319">
        <f>IF(Skills!T22&lt;&gt;"",1+(Skills!T22/10)*($Z$3/1000)/100,1)</f>
        <v/>
      </c>
      <c r="J319" t="inlineStr"/>
      <c r="K319" t="inlineStr"/>
      <c r="L319" t="inlineStr"/>
      <c r="M319" t="inlineStr"/>
      <c r="N319" t="inlineStr"/>
      <c r="O319">
        <f>(1-Summary!$B$11)*S319+Summary!$B$11*U319</f>
        <v/>
      </c>
      <c r="P319">
        <f>IF(B340=0,0,O319/B340)</f>
        <v/>
      </c>
      <c r="Q319">
        <f>IFERROR(1/(IF(Inputs!$B$39="pvp",15,MAX(0.1,Skills!D22-IF(Skills!E22=TRUE,Inputs!$B$33,0)))*(1-IF(AND(ArtifactsInput!$M$27,Inputs!$B$4="Chapter Hunt"),CHOOSE(ArtifactsInput!$N$27+1,20,24,28,32,36,40),0)/100)),0)</f>
        <v/>
      </c>
      <c r="R319" t="n">
        <v>0</v>
      </c>
      <c r="S319" t="n">
        <v>0</v>
      </c>
      <c r="U319" t="n">
        <v>0</v>
      </c>
    </row>
    <row r="320">
      <c r="A320">
        <f>Skills!A23</f>
        <v/>
      </c>
      <c r="B320">
        <f>Skills!B23</f>
        <v/>
      </c>
      <c r="C320">
        <f>Inputs!$B$3&gt;=50</f>
        <v/>
      </c>
      <c r="D320">
        <f>IF(Skills!C23=1,60+Inputs!$B$26+Inputs!$B$30,IF(Skills!C23=2,90+Inputs!$B$27+Inputs!$B$30,IF(Skills!C23=3,120+Inputs!$B$28+Inputs!$B$30,MAX(0,(Inputs!$B$3-100)*3)+Inputs!$B$29+Inputs!$B$30)))</f>
        <v/>
      </c>
      <c r="E320">
        <f>INDEX(FactorTable!$B$2:$Y$301, MATCH(ROUND(MIN(300,MAX(1,D320)),0), FactorTable!$A$2:$A$301,0), Skills!L23+1)</f>
        <v/>
      </c>
      <c r="F320">
        <f>IF(Skills!M23=TRUE,(Skills!K23/10)*(E320/1000),Skills!K23/10)+Skills!N23</f>
        <v/>
      </c>
      <c r="G320">
        <f>Calc!G23</f>
        <v/>
      </c>
      <c r="H320">
        <f>Calc!H23</f>
        <v/>
      </c>
      <c r="I320">
        <f>IF(Skills!T23&lt;&gt;"",1+(Skills!T23/10)*($Z$3/1000)/100,1)</f>
        <v/>
      </c>
      <c r="J320" t="inlineStr"/>
      <c r="K320" t="inlineStr"/>
      <c r="L320" t="inlineStr"/>
      <c r="M320" t="inlineStr"/>
      <c r="N320" t="inlineStr"/>
      <c r="O320">
        <f>(1-Summary!$B$11)*S320+Summary!$B$11*U320</f>
        <v/>
      </c>
      <c r="P320">
        <f>IF(B340=0,0,O320/B340)</f>
        <v/>
      </c>
      <c r="Q320">
        <f>IFERROR(1/(IF(Inputs!$B$39="pvp",15,MAX(0.1,Skills!D23-IF(Skills!E23=TRUE,Inputs!$B$33,0)))*(1-IF(AND(ArtifactsInput!$M$27,Inputs!$B$4="Chapter Hunt"),CHOOSE(ArtifactsInput!$N$27+1,20,24,28,32,36,40),0)/100)),0)</f>
        <v/>
      </c>
      <c r="R320" t="n">
        <v>0</v>
      </c>
      <c r="S320" t="n">
        <v>0</v>
      </c>
      <c r="U320" t="n">
        <v>0</v>
      </c>
    </row>
    <row r="321">
      <c r="A321">
        <f>Skills!A24</f>
        <v/>
      </c>
      <c r="B321">
        <f>Skills!B24</f>
        <v/>
      </c>
      <c r="C321">
        <f>Inputs!$B$3&gt;=74</f>
        <v/>
      </c>
      <c r="D321">
        <f>IF(Skills!C24=1,60+Inputs!$B$26+Inputs!$B$30,IF(Skills!C24=2,90+Inputs!$B$27+Inputs!$B$30,IF(Skills!C24=3,120+Inputs!$B$28+Inputs!$B$30,MAX(0,(Inputs!$B$3-100)*3)+Inputs!$B$29+Inputs!$B$30)))</f>
        <v/>
      </c>
      <c r="E321">
        <f>INDEX(FactorTable!$B$2:$Y$301, MATCH(ROUND(MIN(300,MAX(1,D321)),0), FactorTable!$A$2:$A$301,0), Skills!L24+1)</f>
        <v/>
      </c>
      <c r="F321">
        <f>IF(Skills!M24=TRUE,(Skills!K24/10)*(E321/1000),Skills!K24/10)+Skills!N24</f>
        <v/>
      </c>
      <c r="G321">
        <f>Calc!G24</f>
        <v/>
      </c>
      <c r="H321">
        <f>Calc!H24</f>
        <v/>
      </c>
      <c r="I321">
        <f>IF(Skills!T24&lt;&gt;"",1+(Skills!T24/10)*($Z$3/1000)/100,1)</f>
        <v/>
      </c>
      <c r="J321" t="inlineStr"/>
      <c r="K321" t="inlineStr"/>
      <c r="L321" t="inlineStr"/>
      <c r="M321" t="inlineStr"/>
      <c r="N321" t="inlineStr"/>
      <c r="O321">
        <f>(1-Summary!$B$11)*S321+Summary!$B$11*U321</f>
        <v/>
      </c>
      <c r="P321">
        <f>IF(B340=0,0,O321/B340)</f>
        <v/>
      </c>
      <c r="Q321">
        <f>IFERROR(1/(IF(Inputs!$B$39="pvp",15,MAX(0.1,Skills!D24-IF(Skills!E24=TRUE,Inputs!$B$33,0)))*(1-IF(AND(ArtifactsInput!$M$27,Inputs!$B$4="Chapter Hunt"),CHOOSE(ArtifactsInput!$N$27+1,20,24,28,32,36,40),0)/100)),0)</f>
        <v/>
      </c>
      <c r="R321" t="n">
        <v>0</v>
      </c>
      <c r="S321" t="n">
        <v>0</v>
      </c>
      <c r="U321" t="n">
        <v>0</v>
      </c>
    </row>
    <row r="322">
      <c r="A322">
        <f>Skills!A25</f>
        <v/>
      </c>
      <c r="B322">
        <f>Skills!B25</f>
        <v/>
      </c>
      <c r="C322">
        <f>Inputs!$B$3&gt;=74</f>
        <v/>
      </c>
      <c r="D322">
        <f>IF(Skills!C25=1,60+Inputs!$B$26+Inputs!$B$30,IF(Skills!C25=2,90+Inputs!$B$27+Inputs!$B$30,IF(Skills!C25=3,120+Inputs!$B$28+Inputs!$B$30,MAX(0,(Inputs!$B$3-100)*3)+Inputs!$B$29+Inputs!$B$30)))</f>
        <v/>
      </c>
      <c r="E322">
        <f>INDEX(FactorTable!$B$2:$Y$301, MATCH(ROUND(MIN(300,MAX(1,D322)),0), FactorTable!$A$2:$A$301,0), Skills!L25+1)</f>
        <v/>
      </c>
      <c r="F322">
        <f>IF(Skills!M25=TRUE,(Skills!K25/10)*(E322/1000),Skills!K25/10)+Skills!N25</f>
        <v/>
      </c>
      <c r="G322">
        <f>Calc!G25</f>
        <v/>
      </c>
      <c r="H322">
        <f>Calc!H25</f>
        <v/>
      </c>
      <c r="I322">
        <f>IF(Skills!T25&lt;&gt;"",1+(Skills!T25/10)*($Z$3/1000)/100,1)</f>
        <v/>
      </c>
      <c r="J322" t="inlineStr"/>
      <c r="K322" t="inlineStr"/>
      <c r="L322" t="inlineStr"/>
      <c r="M322" t="inlineStr"/>
      <c r="N322" t="inlineStr"/>
      <c r="O322">
        <f>(1-Summary!$B$11)*S322+Summary!$B$11*U322</f>
        <v/>
      </c>
      <c r="P322">
        <f>IF(B340=0,0,O322/B340)</f>
        <v/>
      </c>
      <c r="Q322">
        <f>IFERROR(1/(IF(Inputs!$B$39="pvp",15,MAX(0.1,Skills!D25-IF(Skills!E25=TRUE,Inputs!$B$33,0)))*(1-IF(AND(ArtifactsInput!$M$27,Inputs!$B$4="Chapter Hunt"),CHOOSE(ArtifactsInput!$N$27+1,20,24,28,32,36,40),0)/100)),0)</f>
        <v/>
      </c>
      <c r="R322" t="n">
        <v>0</v>
      </c>
      <c r="S322" t="n">
        <v>0</v>
      </c>
      <c r="U322" t="n">
        <v>0</v>
      </c>
    </row>
    <row r="323">
      <c r="A323">
        <f>Skills!A26</f>
        <v/>
      </c>
      <c r="B323">
        <f>Skills!B26</f>
        <v/>
      </c>
      <c r="C323">
        <f>Inputs!$B$3&gt;=117</f>
        <v/>
      </c>
      <c r="D323">
        <f>IF(Skills!C26=1,60+Inputs!$B$26+Inputs!$B$30,IF(Skills!C26=2,90+Inputs!$B$27+Inputs!$B$30,IF(Skills!C26=3,120+Inputs!$B$28+Inputs!$B$30,MAX(0,(Inputs!$B$3-100)*3)+Inputs!$B$29+Inputs!$B$30)))</f>
        <v/>
      </c>
      <c r="E323">
        <f>INDEX(FactorTable!$B$2:$Y$301, MATCH(ROUND(MIN(300,MAX(1,D323)),0), FactorTable!$A$2:$A$301,0), Skills!L26+1)</f>
        <v/>
      </c>
      <c r="F323">
        <f>IF(Skills!M26=TRUE,(Skills!K26/10)*(E323/1000),Skills!K26/10)+Skills!N26</f>
        <v/>
      </c>
      <c r="G323">
        <f>Calc!G26</f>
        <v/>
      </c>
      <c r="H323">
        <f>Calc!H26</f>
        <v/>
      </c>
      <c r="I323">
        <f>IF(Skills!T26&lt;&gt;"",1+(Skills!T26/10)*($Z$3/1000)/100,1)</f>
        <v/>
      </c>
      <c r="J323" t="inlineStr"/>
      <c r="K323" t="inlineStr"/>
      <c r="L323" t="inlineStr"/>
      <c r="M323" t="inlineStr"/>
      <c r="N323" t="inlineStr"/>
      <c r="O323">
        <f>(1-Summary!$B$11)*S323+Summary!$B$11*U323</f>
        <v/>
      </c>
      <c r="P323">
        <f>IF(B340=0,0,O323/B340)</f>
        <v/>
      </c>
      <c r="Q323">
        <f>IFERROR(1/(IF(Inputs!$B$39="pvp",15,MAX(0.1,Skills!D26-IF(Skills!E26=TRUE,Inputs!$B$33,0)))*(1-IF(AND(ArtifactsInput!$M$27,Inputs!$B$4="Chapter Hunt"),CHOOSE(ArtifactsInput!$N$27+1,20,24,28,32,36,40),0)/100)),0)</f>
        <v/>
      </c>
      <c r="R323" t="n">
        <v>0</v>
      </c>
      <c r="S323" t="n">
        <v>0</v>
      </c>
      <c r="U323" t="n">
        <v>0</v>
      </c>
    </row>
    <row r="324">
      <c r="A324">
        <f>Skills!A27</f>
        <v/>
      </c>
      <c r="B324">
        <f>Skills!B27</f>
        <v/>
      </c>
      <c r="C324">
        <f>Inputs!$B$3&gt;=120</f>
        <v/>
      </c>
      <c r="D324">
        <f>IF(Skills!C27=1,60+Inputs!$B$26+Inputs!$B$30,IF(Skills!C27=2,90+Inputs!$B$27+Inputs!$B$30,IF(Skills!C27=3,120+Inputs!$B$28+Inputs!$B$30,MAX(0,(Inputs!$B$3-100)*3)+Inputs!$B$29+Inputs!$B$30)))</f>
        <v/>
      </c>
      <c r="E324">
        <f>INDEX(FactorTable!$B$2:$Y$301, MATCH(ROUND(MIN(300,MAX(1,D324)),0), FactorTable!$A$2:$A$301,0), Skills!L27+1)</f>
        <v/>
      </c>
      <c r="F324">
        <f>IF(Skills!M27=TRUE,(Skills!K27/10)*(E324/1000),Skills!K27/10)+Skills!N27</f>
        <v/>
      </c>
      <c r="G324">
        <f>Calc!G27</f>
        <v/>
      </c>
      <c r="H324">
        <f>Calc!H27</f>
        <v/>
      </c>
      <c r="I324">
        <f>IF(Skills!T27&lt;&gt;"",1+(Skills!T27/10)*($Z$3/1000)/100,1)</f>
        <v/>
      </c>
      <c r="J324" t="inlineStr"/>
      <c r="K324" t="inlineStr"/>
      <c r="L324" t="inlineStr"/>
      <c r="M324" t="inlineStr"/>
      <c r="N324" t="inlineStr"/>
      <c r="O324">
        <f>(1-Summary!$B$11)*S324+Summary!$B$11*U324</f>
        <v/>
      </c>
      <c r="P324">
        <f>IF(B340=0,0,O324/B340)</f>
        <v/>
      </c>
      <c r="Q324">
        <f>IFERROR(1/(IF(Inputs!$B$39="pvp",15,MAX(0.1,Skills!D27-IF(Skills!E27=TRUE,Inputs!$B$33,0)))*(1-IF(AND(ArtifactsInput!$M$27,Inputs!$B$4="Chapter Hunt"),CHOOSE(ArtifactsInput!$N$27+1,20,24,28,32,36,40),0)/100)),0)</f>
        <v/>
      </c>
      <c r="R324" t="n">
        <v>0</v>
      </c>
      <c r="S324" t="n">
        <v>0</v>
      </c>
      <c r="U324" t="n">
        <v>0</v>
      </c>
    </row>
    <row r="325">
      <c r="A325">
        <f>Skills!A28</f>
        <v/>
      </c>
      <c r="B325">
        <f>Skills!B28</f>
        <v/>
      </c>
      <c r="C325">
        <f>TRUE</f>
        <v/>
      </c>
      <c r="D325">
        <f>IF(Skills!C28=1,60+Inputs!$B$26+Inputs!$B$30,IF(Skills!C28=2,90+Inputs!$B$27+Inputs!$B$30,IF(Skills!C28=3,120+Inputs!$B$28+Inputs!$B$30,MAX(0,(Inputs!$B$3-100)*3)+Inputs!$B$29+Inputs!$B$30)))</f>
        <v/>
      </c>
      <c r="E325">
        <f>INDEX(FactorTable!$B$2:$Y$301, MATCH(ROUND(MIN(300,MAX(1,D325)),0), FactorTable!$A$2:$A$301,0), Skills!L28+1)</f>
        <v/>
      </c>
      <c r="F325">
        <f>IF(Skills!M28=TRUE,(Skills!K28/10)*(E325/1000),Skills!K28/10)+Skills!N28</f>
        <v/>
      </c>
      <c r="G325">
        <f>Calc!G28</f>
        <v/>
      </c>
      <c r="H325">
        <f>Calc!H28</f>
        <v/>
      </c>
      <c r="I325">
        <f>IF(Skills!T28&lt;&gt;"",1+(Skills!T28/10)*($Z$3/1000)/100,1)</f>
        <v/>
      </c>
      <c r="J325" t="inlineStr"/>
      <c r="K325" t="inlineStr"/>
      <c r="L325" t="inlineStr"/>
      <c r="M325" t="inlineStr"/>
      <c r="N325" t="inlineStr"/>
      <c r="O325">
        <f>(1-Summary!$B$11)*S325+Summary!$B$11*U325</f>
        <v/>
      </c>
      <c r="P325">
        <f>IF(B340=0,0,O325/B340)</f>
        <v/>
      </c>
      <c r="Q325">
        <f>IFERROR(1/(IF(Inputs!$B$39="pvp",15,MAX(0.1,Skills!D28-IF(Skills!E28=TRUE,Inputs!$B$33,0)))*(1-IF(AND(ArtifactsInput!$M$27,Inputs!$B$4="Chapter Hunt"),CHOOSE(ArtifactsInput!$N$27+1,20,24,28,32,36,40),0)/100)),0)</f>
        <v/>
      </c>
      <c r="R325">
        <f>IF(AND(Inputs!$B$39&lt;&gt;"pvp",Inputs!$B$44&gt;0),IF(Inputs!$B$44&lt;=0,0,(INT(Inputs!$B$44/(IF(Inputs!$B$39="pvp",15,MAX(0.1,Skills!D28-IF(Skills!E28=TRUE,Inputs!$B$33,0)))*(1-IF(AND(ArtifactsInput!$M$27,Inputs!$B$4="Chapter Hunt"),CHOOSE(ArtifactsInput!$N$27+1,20,24,28,32,36,40),0)/100)))+1)),0)</f>
        <v/>
      </c>
      <c r="S325" t="n">
        <v>0</v>
      </c>
      <c r="U325" t="n">
        <v>0</v>
      </c>
    </row>
    <row r="327">
      <c r="A327" t="inlineStr">
        <is>
          <t>Average Buff Multiplier</t>
        </is>
      </c>
      <c r="B327">
        <f>(1+(IF(C300=TRUE,F300*IF(AND(Inputs!$B$39&lt;&gt;"pvp",Inputs!$B$44&gt;0),(((R300-1)*(Skills!S3*(1+((Inputs!$B$35+(ArtifactsInput!$M$7-ArtifactsInput!$M$7)*CHOOSE(ArtifactsInput!$N$7+1,6,7.2,8.4,9.6,10.8,12))+IF(Inputs!$B$3&gt;=117,F323,0))/100))+MIN((Skills!S3*(1+((Inputs!$B$35+(ArtifactsInput!$M$7-ArtifactsInput!$M$7)*CHOOSE(ArtifactsInput!$N$7+1,6,7.2,8.4,9.6,10.8,12))+IF(Inputs!$B$3&gt;=117,F323,0))/100)),MAX(0,Inputs!$B$44-((R300-1)*Skills!D3))))/Inputs!$B$44),IF(Inputs!$B$39="pvp",MIN((Skills!S3*(1+((Inputs!$B$35+(ArtifactsInput!$M$7-ArtifactsInput!$M$7)*CHOOSE(ArtifactsInput!$N$7+1,6,7.2,8.4,9.6,10.8,12))+IF(Inputs!$B$3&gt;=117,F323,0))/100)),15)/15,(Skills!S3*(1+((Inputs!$B$35+(ArtifactsInput!$M$7-ArtifactsInput!$M$7)*CHOOSE(ArtifactsInput!$N$7+1,6,7.2,8.4,9.6,10.8,12))+IF(Inputs!$B$3&gt;=117,F323,0))/100))/Skills!D3)),0)+IF(C301=TRUE,F301*IF(AND(Inputs!$B$39&lt;&gt;"pvp",Inputs!$B$44&gt;0),(((R301-1)*(Skills!S4*(1+((Inputs!$B$35+(ArtifactsInput!$M$7-ArtifactsInput!$M$7)*CHOOSE(ArtifactsInput!$N$7+1,6,7.2,8.4,9.6,10.8,12))+IF(Inputs!$B$3&gt;=117,F323,0))/100))+MIN((Skills!S4*(1+((Inputs!$B$35+(ArtifactsInput!$M$7-ArtifactsInput!$M$7)*CHOOSE(ArtifactsInput!$N$7+1,6,7.2,8.4,9.6,10.8,12))+IF(Inputs!$B$3&gt;=117,F323,0))/100)),MAX(0,Inputs!$B$44-((R301-1)*Skills!D4))))/Inputs!$B$44),IF(Inputs!$B$39="pvp",MIN((Skills!S4*(1+((Inputs!$B$35+(ArtifactsInput!$M$7-ArtifactsInput!$M$7)*CHOOSE(ArtifactsInput!$N$7+1,6,7.2,8.4,9.6,10.8,12))+IF(Inputs!$B$3&gt;=117,F323,0))/100)),15)/15,(Skills!S4*(1+((Inputs!$B$35+(ArtifactsInput!$M$7-ArtifactsInput!$M$7)*CHOOSE(ArtifactsInput!$N$7+1,6,7.2,8.4,9.6,10.8,12))+IF(Inputs!$B$3&gt;=117,F323,0))/100))/Skills!D4)),0)+IF(C302=TRUE,F302*IF(AND(Inputs!$B$39&lt;&gt;"pvp",Inputs!$B$44&gt;0),(((R302-1)*(Skills!S5*(1+((Inputs!$B$35+(ArtifactsInput!$M$7-ArtifactsInput!$M$7)*CHOOSE(ArtifactsInput!$N$7+1,6,7.2,8.4,9.6,10.8,12))+IF(Inputs!$B$3&gt;=117,F323,0))/100))+MIN((Skills!S5*(1+((Inputs!$B$35+(ArtifactsInput!$M$7-ArtifactsInput!$M$7)*CHOOSE(ArtifactsInput!$N$7+1,6,7.2,8.4,9.6,10.8,12))+IF(Inputs!$B$3&gt;=117,F323,0))/100)),MAX(0,Inputs!$B$44-((R302-1)*Skills!D5))))/Inputs!$B$44),IF(Inputs!$B$39="pvp",MIN((Skills!S5*(1+((Inputs!$B$35+(ArtifactsInput!$M$7-ArtifactsInput!$M$7)*CHOOSE(ArtifactsInput!$N$7+1,6,7.2,8.4,9.6,10.8,12))+IF(Inputs!$B$3&gt;=117,F323,0))/100)),15)/15,(Skills!S5*(1+((Inputs!$B$35+(ArtifactsInput!$M$7-ArtifactsInput!$M$7)*CHOOSE(ArtifactsInput!$N$7+1,6,7.2,8.4,9.6,10.8,12))+IF(Inputs!$B$3&gt;=117,F323,0))/100))/Skills!D5)),0)+IF(C308=TRUE,F308*IF(AND(Inputs!$B$39&lt;&gt;"pvp",Inputs!$B$44&gt;0),(((R308-1)*(Skills!S11*(1+((Inputs!$B$35+(ArtifactsInput!$M$7-ArtifactsInput!$M$7)*CHOOSE(ArtifactsInput!$N$7+1,6,7.2,8.4,9.6,10.8,12))+IF(Inputs!$B$3&gt;=117,F323,0))/100))+MIN((Skills!S11*(1+((Inputs!$B$35+(ArtifactsInput!$M$7-ArtifactsInput!$M$7)*CHOOSE(ArtifactsInput!$N$7+1,6,7.2,8.4,9.6,10.8,12))+IF(Inputs!$B$3&gt;=117,F323,0))/100)),MAX(0,Inputs!$B$44-((R308-1)*Skills!D11))))/Inputs!$B$44),IF(Inputs!$B$39="pvp",MIN((Skills!S11*(1+((Inputs!$B$35+(ArtifactsInput!$M$7-ArtifactsInput!$M$7)*CHOOSE(ArtifactsInput!$N$7+1,6,7.2,8.4,9.6,10.8,12))+IF(Inputs!$B$3&gt;=117,F323,0))/100)),15)/15,(Skills!S11*(1+((Inputs!$B$35+(ArtifactsInput!$M$7-ArtifactsInput!$M$7)*CHOOSE(ArtifactsInput!$N$7+1,6,7.2,8.4,9.6,10.8,12))+IF(Inputs!$B$3&gt;=117,F323,0)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TRUE,(1+F311*IF(AND(Inputs!$B$39&lt;&gt;"pvp",Inputs!$B$44&gt;0),(((R311-1)*(Skills!S14*(1+((Inputs!$B$35+(ArtifactsInput!$M$7-ArtifactsInput!$M$7)*CHOOSE(ArtifactsInput!$N$7+1,6,7.2,8.4,9.6,10.8,12))+IF(Inputs!$B$3&gt;=117,F323,0))/100))+MIN((Skills!S14*(1+((Inputs!$B$35+(ArtifactsInput!$M$7-ArtifactsInput!$M$7)*CHOOSE(ArtifactsInput!$N$7+1,6,7.2,8.4,9.6,10.8,12))+IF(Inputs!$B$3&gt;=117,F323,0))/100)),MAX(0,Inputs!$B$44-((R311-1)*Skills!D14))))/Inputs!$B$44),IF(Inputs!$B$39="pvp",MIN((Skills!S14*(1+((Inputs!$B$35+(ArtifactsInput!$M$7-ArtifactsInput!$M$7)*CHOOSE(ArtifactsInput!$N$7+1,6,7.2,8.4,9.6,10.8,12))+IF(Inputs!$B$3&gt;=117,F323,0))/100)),15)/15,(Skills!S14*(1+((Inputs!$B$35+(ArtifactsInput!$M$7-ArtifactsInput!$M$7)*CHOOSE(ArtifactsInput!$N$7+1,6,7.2,8.4,9.6,10.8,12))+IF(Inputs!$B$3&gt;=117,F323,0))/100))/Skills!D14))/100),1)*IF(C316=TRUE,(1+F316*IF(AND(Inputs!$B$39&lt;&gt;"pvp",Inputs!$B$44&gt;0),(((R316-1)*(Skills!S19*(1+((Inputs!$B$35+(ArtifactsInput!$M$7-ArtifactsInput!$M$7)*CHOOSE(ArtifactsInput!$N$7+1,6,7.2,8.4,9.6,10.8,12))+IF(Inputs!$B$3&gt;=117,F323,0))/100))+MIN((Skills!S19*(1+((Inputs!$B$35+(ArtifactsInput!$M$7-ArtifactsInput!$M$7)*CHOOSE(ArtifactsInput!$N$7+1,6,7.2,8.4,9.6,10.8,12))+IF(Inputs!$B$3&gt;=117,F323,0))/100)),MAX(0,Inputs!$B$44-((R316-1)*Skills!D19))))/Inputs!$B$44),IF(Inputs!$B$39="pvp",MIN((Skills!S19*(1+((Inputs!$B$35+(ArtifactsInput!$M$7-ArtifactsInput!$M$7)*CHOOSE(ArtifactsInput!$N$7+1,6,7.2,8.4,9.6,10.8,12))+IF(Inputs!$B$3&gt;=117,F323,0))/100)),15)/15,(Skills!S19*(1+((Inputs!$B$35+(ArtifactsInput!$M$7-ArtifactsInput!$M$7)*CHOOSE(ArtifactsInput!$N$7+1,6,7.2,8.4,9.6,10.8,12))+IF(Inputs!$B$3&gt;=117,F323,0))/100))/Skills!D19))/100),1)</f>
        <v/>
      </c>
    </row>
    <row r="328">
      <c r="A328" t="inlineStr">
        <is>
          <t>Monster Damage Taken Bonus % (Holy Fountain)</t>
        </is>
      </c>
      <c r="B328">
        <f>IF(Inputs!$B$3&gt;=68,20*IF(Inputs!$B$39="pvp",MIN((15*(1+((Inputs!$B$35+(ArtifactsInput!$M$7-ArtifactsInput!$M$7)*CHOOSE(ArtifactsInput!$N$7+1,6,7.2,8.4,9.6,10.8,12))+IF(Inputs!$B$3&gt;=117,F323,0))/100)),15)/15,(15*(1+((Inputs!$B$35+(ArtifactsInput!$M$7-ArtifactsInput!$M$7)*CHOOSE(ArtifactsInput!$N$7+1,6,7.2,8.4,9.6,10.8,12))+IF(Inputs!$B$3&gt;=117,F323,0))/100))/Skills!D10),0)</f>
        <v/>
      </c>
    </row>
    <row r="329">
      <c r="A329" t="inlineStr">
        <is>
          <t>Normal Monster Damage Bonus % (Holy Symbol)</t>
        </is>
      </c>
      <c r="B329">
        <f>IF(C309=TRUE,F309*IF(AND(Inputs!$B$39&lt;&gt;"pvp",Inputs!$B$44&gt;0),(((R309-1)*(Skills!S12*(1+((Inputs!$B$35+(ArtifactsInput!$M$7-ArtifactsInput!$M$7)*CHOOSE(ArtifactsInput!$N$7+1,6,7.2,8.4,9.6,10.8,12))+IF(Inputs!$B$3&gt;=117,F323,0))/100))+MIN((Skills!S12*(1+((Inputs!$B$35+(ArtifactsInput!$M$7-ArtifactsInput!$M$7)*CHOOSE(ArtifactsInput!$N$7+1,6,7.2,8.4,9.6,10.8,12))+IF(Inputs!$B$3&gt;=117,F323,0))/100)),MAX(0,Inputs!$B$44-((R309-1)*Skills!D12))))/Inputs!$B$44),IF(Inputs!$B$39="pvp",MIN((Skills!S12*(1+((Inputs!$B$35+(ArtifactsInput!$M$7-ArtifactsInput!$M$7)*CHOOSE(ArtifactsInput!$N$7+1,6,7.2,8.4,9.6,10.8,12))+IF(Inputs!$B$3&gt;=117,F323,0))/100)),15)/15,(Skills!S12*(1+((Inputs!$B$35+(ArtifactsInput!$M$7-ArtifactsInput!$M$7)*CHOOSE(ArtifactsInput!$N$7+1,6,7.2,8.4,9.6,10.8,12))+IF(Inputs!$B$3&gt;=117,F323,0))/100))/Skills!D12)),0)</f>
        <v/>
      </c>
    </row>
    <row r="330">
      <c r="A330" t="inlineStr">
        <is>
          <t>Damage % Bonus (Holy Symbol - Damage Boost)</t>
        </is>
      </c>
      <c r="B330">
        <f>Skills!O12</f>
        <v/>
      </c>
    </row>
    <row r="331">
      <c r="A331" t="inlineStr">
        <is>
          <t>Crit Damage % Bonus (Blood of the Divine)</t>
        </is>
      </c>
      <c r="B331">
        <f>4*IF(C317=TRUE,F317,0)</f>
        <v/>
      </c>
    </row>
    <row r="332">
      <c r="A332" t="inlineStr">
        <is>
          <t>Attack Speed Bonus %</t>
        </is>
      </c>
      <c r="B332">
        <f>IF(C314=TRUE,F314+(F318-Calc!F21),0)+IF(Inputs!$B$3&gt;=134,15,0)+((C325=TRUE)*F325*IF(AND(Inputs!$B$39&lt;&gt;"pvp",Inputs!$B$44&gt;0),(((R325-1)*(Skills!S28*(1+((Inputs!$B$35+(ArtifactsInput!$M$7-ArtifactsInput!$M$7)*CHOOSE(ArtifactsInput!$N$7+1,6,7.2,8.4,9.6,10.8,12))+IF(Inputs!$B$3&gt;=117,F323,0))/100))+MIN((Skills!S28*(1+((Inputs!$B$35+(ArtifactsInput!$M$7-ArtifactsInput!$M$7)*CHOOSE(ArtifactsInput!$N$7+1,6,7.2,8.4,9.6,10.8,12))+IF(Inputs!$B$3&gt;=117,F323,0))/100)),MAX(0,Inputs!$B$44-((R325-1)*Skills!D28))))/Inputs!$B$44),IF(Inputs!$B$39="pvp",MIN((Skills!S28*(1+((Inputs!$B$35+(ArtifactsInput!$M$7-ArtifactsInput!$M$7)*CHOOSE(ArtifactsInput!$N$7+1,6,7.2,8.4,9.6,10.8,12))+IF(Inputs!$B$3&gt;=117,F323,0))/100)),15)/15,(Skills!S28*(1+((Inputs!$B$35+(ArtifactsInput!$M$7-ArtifactsInput!$M$7)*CHOOSE(ArtifactsInput!$N$7+1,6,7.2,8.4,9.6,10.8,12))+IF(Inputs!$B$3&gt;=117,F323,0))/100))/Skills!D28)))</f>
        <v/>
      </c>
    </row>
    <row r="333">
      <c r="A333" t="inlineStr">
        <is>
          <t>Actions Per Second</t>
        </is>
      </c>
      <c r="B333">
        <f>1+MIN(150,150*(1-(1-Inputs!$B$12/150)*(1-B332/150)))/100</f>
        <v/>
      </c>
    </row>
    <row r="334">
      <c r="A334" t="inlineStr">
        <is>
          <t>Skill + Buff Cast Rate</t>
        </is>
      </c>
      <c r="B334">
        <f>IF(AND(Inputs!$B$39&lt;&gt;"pvp",Inputs!$B$44&gt;0),SUMPRODUCT((Skills!E2:E28=TRUE)*(C299:C325=TRUE)*R299:R325)/Inputs!$B$44,SUMPRODUCT((Skills!E2:E28=TRUE)*(C299:C325=TRUE)*Q299:Q325))</f>
        <v/>
      </c>
    </row>
    <row r="335">
      <c r="A335" t="inlineStr">
        <is>
          <t>Big Bang Casts Per Second</t>
        </is>
      </c>
      <c r="B335">
        <f>MAX(0,B333-B334)</f>
        <v/>
      </c>
    </row>
    <row r="336">
      <c r="A336" t="inlineStr">
        <is>
          <t>Defense % Bonus (Divine Protection)</t>
        </is>
      </c>
      <c r="B336">
        <f>IF(C310=TRUE,F310*IF(AND(Inputs!$B$39&lt;&gt;"pvp",Inputs!$B$44&gt;0),(((R310-1)*(Skills!S13*(1+((Inputs!$B$35+(ArtifactsInput!$M$7-ArtifactsInput!$M$7)*CHOOSE(ArtifactsInput!$N$7+1,6,7.2,8.4,9.6,10.8,12))+IF(Inputs!$B$3&gt;=117,F323,0))/100))+MIN((Skills!S13*(1+((Inputs!$B$35+(ArtifactsInput!$M$7-ArtifactsInput!$M$7)*CHOOSE(ArtifactsInput!$N$7+1,6,7.2,8.4,9.6,10.8,12))+IF(Inputs!$B$3&gt;=117,F323,0))/100)),MAX(0,Inputs!$B$44-((R310-1)*Skills!D13))))/Inputs!$B$44),IF(Inputs!$B$39="pvp",MIN((Skills!S13*(1+((Inputs!$B$35+(ArtifactsInput!$M$7-ArtifactsInput!$M$7)*CHOOSE(ArtifactsInput!$N$7+1,6,7.2,8.4,9.6,10.8,12))+IF(Inputs!$B$3&gt;=117,F323,0))/100)),15)/15,(Skills!S13*(1+((Inputs!$B$35+(ArtifactsInput!$M$7-ArtifactsInput!$M$7)*CHOOSE(ArtifactsInput!$N$7+1,6,7.2,8.4,9.6,10.8,12))+IF(Inputs!$B$3&gt;=117,F323,0))/100))/Skills!D13)),0)</f>
        <v/>
      </c>
    </row>
    <row r="337">
      <c r="A337" t="inlineStr">
        <is>
          <t>Buff-Casting Startup Delay (s, fixed-duration only)</t>
        </is>
      </c>
      <c r="B337">
        <f>IF(AND(Inputs!$B$39&lt;&gt;"pvp",Inputs!$B$44&gt;0),SUMPRODUCT((Skills!S2:S28&gt;0)*(Skills!E2:E28=TRUE)*(C299:C325=TRUE))/B333,0)</f>
        <v/>
      </c>
    </row>
    <row r="338">
      <c r="A338" t="inlineStr">
        <is>
          <t>Boss-Only Total DPS (this block's swept value)</t>
        </is>
      </c>
      <c r="B338">
        <f>SUM(S299:S325)</f>
        <v/>
      </c>
    </row>
    <row r="339">
      <c r="A339" t="inlineStr">
        <is>
          <t>Normal-Only Total DPS (this block's swept value)</t>
        </is>
      </c>
      <c r="B339">
        <f>SUM(U299:U325)</f>
        <v/>
      </c>
    </row>
    <row r="340">
      <c r="A340" s="6" t="inlineStr">
        <is>
          <t>TOTAL DPS</t>
        </is>
      </c>
      <c r="B340" s="6">
        <f>SUM(O299:O325)</f>
        <v/>
      </c>
    </row>
    <row r="342">
      <c r="A342" s="6" t="inlineStr">
        <is>
          <t>Stat: BOSS_DAMAGE %</t>
        </is>
      </c>
    </row>
    <row r="343">
      <c r="A343" s="5" t="inlineStr">
        <is>
          <t>Key</t>
        </is>
      </c>
      <c r="B343" s="5" t="inlineStr">
        <is>
          <t>Name</t>
        </is>
      </c>
      <c r="C343" s="5" t="inlineStr">
        <is>
          <t>Unlocked</t>
        </is>
      </c>
      <c r="D343" s="5" t="inlineStr">
        <is>
          <t>InputLevel</t>
        </is>
      </c>
      <c r="E343" s="5" t="inlineStr">
        <is>
          <t>Factor</t>
        </is>
      </c>
      <c r="F343" s="5" t="inlineStr">
        <is>
          <t>CoefficientPercent</t>
        </is>
      </c>
      <c r="G343" s="5" t="inlineStr">
        <is>
          <t>EffectiveHits</t>
        </is>
      </c>
      <c r="H343" s="5" t="inlineStr">
        <is>
          <t>ProcProbability</t>
        </is>
      </c>
      <c r="I343" s="5" t="inlineStr">
        <is>
          <t>MapleHeroMultiplier</t>
        </is>
      </c>
      <c r="J343" s="5" t="inlineStr">
        <is>
          <t>BaseDamage</t>
        </is>
      </c>
      <c r="K343" s="5" t="inlineStr">
        <is>
          <t>BaseHitDamage</t>
        </is>
      </c>
      <c r="L343" s="5" t="inlineStr">
        <is>
          <t>NonCritAvg</t>
        </is>
      </c>
      <c r="M343" s="5" t="inlineStr">
        <is>
          <t>CritAvg</t>
        </is>
      </c>
      <c r="N343" s="5" t="inlineStr">
        <is>
          <t>ExpectedDamage(perHit)</t>
        </is>
      </c>
      <c r="O343" s="5" t="inlineStr">
        <is>
          <t>DPS</t>
        </is>
      </c>
      <c r="P343" s="5" t="inlineStr">
        <is>
          <t>% of Total</t>
        </is>
      </c>
      <c r="R343" t="inlineStr">
        <is>
          <t>helpers</t>
        </is>
      </c>
    </row>
    <row r="344">
      <c r="A344">
        <f>Skills!A2</f>
        <v/>
      </c>
      <c r="B344">
        <f>Skills!B2</f>
        <v/>
      </c>
      <c r="C344">
        <f>Inputs!$B$3&gt;=100</f>
        <v/>
      </c>
      <c r="D344" t="inlineStr"/>
      <c r="E344" t="inlineStr"/>
      <c r="F344">
        <f>T346+Skills!N2</f>
        <v/>
      </c>
      <c r="G344">
        <f>Calc!G2</f>
        <v/>
      </c>
      <c r="H344">
        <f>Calc!H2</f>
        <v/>
      </c>
      <c r="I344">
        <f>IF(Skills!T2&lt;&gt;"",1+(Skills!T2/10)*($Z$3/1000)/100,1)</f>
        <v/>
      </c>
      <c r="J344">
        <f>((Inputs!$B$6*(1+Inputs!$B$7/100))+(((Inputs!$B$13*(1+Inputs!$B$14/100))-(Inputs!$B$13*(1+Inputs!$B$14/100)))+0.25*(Inputs!$B$15-Inputs!$B$15))*(1+Inputs!$B$7/100))*(F344/100)</f>
        <v/>
      </c>
      <c r="K344">
        <f>J344*(1+(((Inputs!$B$13+IF(Inputs!$B$3&gt;=35,(10*INDEX(FactorTable!$B$2:$Y$301,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2="TRIUMPH_FEATHER",IF(C358=TRUE,F358,0),0)/100)*(1+IF(C369=TRUE,F369,0)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344)</f>
        <v/>
      </c>
      <c r="L344">
        <f>K344*(MIN(Inputs!$B$23+(F364-Calc!F22),(Inputs!$B$24+IF(ArtifactsInput!$M$15,CHOOSE(ArtifactsInput!$N$15+1,25,30,35,40,45,50)/100*(Inputs!$B$12-Inputs!$B$12),0)))/100+(Inputs!$B$24+IF(ArtifactsInput!$M$15,CHOOSE(ArtifactsInput!$N$15+1,25,30,35,40,45,50)/100*(Inputs!$B$12-Inputs!$B$12),0))/100)/2</f>
        <v/>
      </c>
      <c r="M344">
        <f>L344*(1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4">
        <f>L344*(1-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
        <f>(1-Summary!$B$11)*S344+Summary!$B$11*U344</f>
        <v/>
      </c>
      <c r="P344">
        <f>IF(B385=0,0,O344/B385)</f>
        <v/>
      </c>
      <c r="Q344">
        <f>IFERROR(1/(IF(Inputs!$B$39="pvp",15,MAX(0.1,Skills!D2-IF(Skills!E2=TRUE,Inputs!$B$33,0)))*(1-IF(AND(ArtifactsInput!$M$27,Inputs!$B$4="Chapter Hunt"),CHOOSE(ArtifactsInput!$N$27+1,20,24,28,32,36,40),0)/100)),0)</f>
        <v/>
      </c>
      <c r="R344" t="n">
        <v>0</v>
      </c>
      <c r="S344">
        <f>IF(C344,(Skills!F2*N344*B380)*IF(Inputs!$B$39="pvp",1,1+((Inputs!$B$21+1)+Skills!O2+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344*(1-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44">
        <f>MAX(0,(Inputs!$B$3-100)*3)+Inputs!$B$29+Inputs!$B$30</f>
        <v/>
      </c>
      <c r="U344">
        <f>IF(C344,(Skills!F2*N344*B380)*IF(Inputs!$B$39="pvp",1,(1+(Inputs!$B$22+Skills!P2+B374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
      <c r="A345">
        <f>Skills!A3</f>
        <v/>
      </c>
      <c r="B345">
        <f>Skills!B3</f>
        <v/>
      </c>
      <c r="C345">
        <f>Inputs!$B$3&gt;=15</f>
        <v/>
      </c>
      <c r="D345">
        <f>IF(Skills!C3=1,60+Inputs!$B$26+Inputs!$B$30,IF(Skills!C3=2,90+Inputs!$B$27+Inputs!$B$30,IF(Skills!C3=3,120+Inputs!$B$28+Inputs!$B$30,MAX(0,(Inputs!$B$3-100)*3)+Inputs!$B$29+Inputs!$B$30)))</f>
        <v/>
      </c>
      <c r="E345">
        <f>INDEX(FactorTable!$B$2:$Y$301, MATCH(ROUND(MIN(300,MAX(1,D345)),0), FactorTable!$A$2:$A$301,0), Skills!L3+1)</f>
        <v/>
      </c>
      <c r="F345">
        <f>IF(Skills!M3=TRUE,(Skills!K3/10)*(E345/1000),Skills!K3/10)+Skills!N3</f>
        <v/>
      </c>
      <c r="G345">
        <f>Calc!G3</f>
        <v/>
      </c>
      <c r="H345">
        <f>Calc!H3</f>
        <v/>
      </c>
      <c r="I345">
        <f>IF(Skills!T3&lt;&gt;"",1+(Skills!T3/10)*($Z$3/1000)/100,1)</f>
        <v/>
      </c>
      <c r="J345" t="inlineStr"/>
      <c r="K345" t="inlineStr"/>
      <c r="L345" t="inlineStr"/>
      <c r="M345" t="inlineStr"/>
      <c r="N345" t="inlineStr"/>
      <c r="O345">
        <f>(1-Summary!$B$11)*S345+Summary!$B$11*U345</f>
        <v/>
      </c>
      <c r="P345">
        <f>IF(B385=0,0,O345/B385)</f>
        <v/>
      </c>
      <c r="Q345">
        <f>IFERROR(1/(IF(Inputs!$B$39="pvp",15,MAX(0.1,Skills!D3-IF(Skills!E3=TRUE,Inputs!$B$33,0)))*(1-IF(AND(ArtifactsInput!$M$27,Inputs!$B$4="Chapter Hunt"),CHOOSE(ArtifactsInput!$N$27+1,20,24,28,32,36,40),0)/100)),0)</f>
        <v/>
      </c>
      <c r="R345">
        <f>IF(AND(Inputs!$B$39&lt;&gt;"pvp",Inputs!$B$44&gt;0),IF(Inputs!$B$44&lt;=0,0,(INT(Inputs!$B$44/(IF(Inputs!$B$39="pvp",15,MAX(0.1,Skills!D3-IF(Skills!E3=TRUE,Inputs!$B$33,0)))*(1-IF(AND(ArtifactsInput!$M$27,Inputs!$B$4="Chapter Hunt"),CHOOSE(ArtifactsInput!$N$27+1,20,24,28,32,36,40),0)/100)))+1)),0)</f>
        <v/>
      </c>
      <c r="S345" t="n">
        <v>0</v>
      </c>
      <c r="T345">
        <f>INDEX(FactorTable!$B$2:$Y$301, MATCH(ROUND(MIN(300,MAX(1,T344)),0), FactorTable!$A$2:$A$301,0), 22)</f>
        <v/>
      </c>
      <c r="U345" t="n">
        <v>0</v>
      </c>
    </row>
    <row r="346">
      <c r="A346">
        <f>Skills!A4</f>
        <v/>
      </c>
      <c r="B346">
        <f>Skills!B4</f>
        <v/>
      </c>
      <c r="C346">
        <f>Inputs!$B$3&gt;=38</f>
        <v/>
      </c>
      <c r="D346">
        <f>IF(Skills!C4=1,60+Inputs!$B$26+Inputs!$B$30,IF(Skills!C4=2,90+Inputs!$B$27+Inputs!$B$30,IF(Skills!C4=3,120+Inputs!$B$28+Inputs!$B$30,MAX(0,(Inputs!$B$3-100)*3)+Inputs!$B$29+Inputs!$B$30)))</f>
        <v/>
      </c>
      <c r="E346">
        <f>INDEX(FactorTable!$B$2:$Y$301, MATCH(ROUND(MIN(300,MAX(1,D346)),0), FactorTable!$A$2:$A$301,0), Skills!L4+1)</f>
        <v/>
      </c>
      <c r="F346">
        <f>IF(Skills!M4=TRUE,(Skills!K4/10)*(E346/1000),Skills!K4/10)+Skills!N4</f>
        <v/>
      </c>
      <c r="G346">
        <f>Calc!G4</f>
        <v/>
      </c>
      <c r="H346">
        <f>Calc!H4</f>
        <v/>
      </c>
      <c r="I346">
        <f>IF(Skills!T4&lt;&gt;"",1+(Skills!T4/10)*($Z$3/1000)/100,1)</f>
        <v/>
      </c>
      <c r="J346" t="inlineStr"/>
      <c r="K346" t="inlineStr"/>
      <c r="L346" t="inlineStr"/>
      <c r="M346" t="inlineStr"/>
      <c r="N346" t="inlineStr"/>
      <c r="O346">
        <f>(1-Summary!$B$11)*S346+Summary!$B$11*U346</f>
        <v/>
      </c>
      <c r="P346">
        <f>IF(B385=0,0,O346/B385)</f>
        <v/>
      </c>
      <c r="Q346">
        <f>IFERROR(1/(IF(Inputs!$B$39="pvp",15,MAX(0.1,Skills!D4-IF(Skills!E4=TRUE,Inputs!$B$33,0)))*(1-IF(AND(ArtifactsInput!$M$27,Inputs!$B$4="Chapter Hunt"),CHOOSE(ArtifactsInput!$N$27+1,20,24,28,32,36,40),0)/100)),0)</f>
        <v/>
      </c>
      <c r="R346">
        <f>IF(AND(Inputs!$B$39&lt;&gt;"pvp",Inputs!$B$44&gt;0),IF(Inputs!$B$44&lt;=0,0,(INT(Inputs!$B$44/(IF(Inputs!$B$39="pvp",15,MAX(0.1,Skills!D4-IF(Skills!E4=TRUE,Inputs!$B$33,0)))*(1-IF(AND(ArtifactsInput!$M$27,Inputs!$B$4="Chapter Hunt"),CHOOSE(ArtifactsInput!$N$27+1,20,24,28,32,36,40),0)/100)))+1)),0)</f>
        <v/>
      </c>
      <c r="S346" t="n">
        <v>0</v>
      </c>
      <c r="T346">
        <f>290*T345/1000</f>
        <v/>
      </c>
      <c r="U346" t="n">
        <v>0</v>
      </c>
    </row>
    <row r="347">
      <c r="A347">
        <f>Skills!A5</f>
        <v/>
      </c>
      <c r="B347">
        <f>Skills!B5</f>
        <v/>
      </c>
      <c r="C347">
        <f>Inputs!$B$3&gt;=40</f>
        <v/>
      </c>
      <c r="D347">
        <f>IF(Skills!C5=1,60+Inputs!$B$26+Inputs!$B$30,IF(Skills!C5=2,90+Inputs!$B$27+Inputs!$B$30,IF(Skills!C5=3,120+Inputs!$B$28+Inputs!$B$30,MAX(0,(Inputs!$B$3-100)*3)+Inputs!$B$29+Inputs!$B$30)))</f>
        <v/>
      </c>
      <c r="E347">
        <f>INDEX(FactorTable!$B$2:$Y$301, MATCH(ROUND(MIN(300,MAX(1,D347)),0), FactorTable!$A$2:$A$301,0), Skills!L5+1)</f>
        <v/>
      </c>
      <c r="F347">
        <f>IF(Skills!M5=TRUE,(Skills!K5/10)*(E347/1000),Skills!K5/10)+Skills!N5</f>
        <v/>
      </c>
      <c r="G347">
        <f>Calc!G5</f>
        <v/>
      </c>
      <c r="H347">
        <f>Calc!H5</f>
        <v/>
      </c>
      <c r="I347">
        <f>IF(Skills!T5&lt;&gt;"",1+(Skills!T5/10)*($Z$3/1000)/100,1)</f>
        <v/>
      </c>
      <c r="J347" t="inlineStr"/>
      <c r="K347" t="inlineStr"/>
      <c r="L347" t="inlineStr"/>
      <c r="M347" t="inlineStr"/>
      <c r="N347" t="inlineStr"/>
      <c r="O347">
        <f>(1-Summary!$B$11)*S347+Summary!$B$11*U347</f>
        <v/>
      </c>
      <c r="P347">
        <f>IF(B385=0,0,O347/B385)</f>
        <v/>
      </c>
      <c r="Q347">
        <f>IFERROR(1/(IF(Inputs!$B$39="pvp",15,MAX(0.1,Skills!D5-IF(Skills!E5=TRUE,Inputs!$B$33,0)))*(1-IF(AND(ArtifactsInput!$M$27,Inputs!$B$4="Chapter Hunt"),CHOOSE(ArtifactsInput!$N$27+1,20,24,28,32,36,40),0)/100)),0)</f>
        <v/>
      </c>
      <c r="R347">
        <f>IF(AND(Inputs!$B$39&lt;&gt;"pvp",Inputs!$B$44&gt;0),IF(Inputs!$B$44&lt;=0,0,(INT(Inputs!$B$44/(IF(Inputs!$B$39="pvp",15,MAX(0.1,Skills!D5-IF(Skills!E5=TRUE,Inputs!$B$33,0)))*(1-IF(AND(ArtifactsInput!$M$27,Inputs!$B$4="Chapter Hunt"),CHOOSE(ArtifactsInput!$N$27+1,20,24,28,32,36,40),0)/100)))+1)),0)</f>
        <v/>
      </c>
      <c r="S347" t="n">
        <v>0</v>
      </c>
      <c r="U347" t="n">
        <v>0</v>
      </c>
    </row>
    <row r="348">
      <c r="A348">
        <f>Skills!A6</f>
        <v/>
      </c>
      <c r="B348">
        <f>Skills!B6</f>
        <v/>
      </c>
      <c r="C348">
        <f>Inputs!$B$3&gt;=103</f>
        <v/>
      </c>
      <c r="D348">
        <f>IF(Skills!C6=1,60+Inputs!$B$26+Inputs!$B$30,IF(Skills!C6=2,90+Inputs!$B$27+Inputs!$B$30,IF(Skills!C6=3,120+Inputs!$B$28+Inputs!$B$30,MAX(0,(Inputs!$B$3-100)*3)+Inputs!$B$29+Inputs!$B$30)))</f>
        <v/>
      </c>
      <c r="E348">
        <f>INDEX(FactorTable!$B$2:$Y$301, MATCH(ROUND(MIN(300,MAX(1,D348)),0), FactorTable!$A$2:$A$301,0), Skills!L6+1)</f>
        <v/>
      </c>
      <c r="F348">
        <f>IF(Skills!M6=TRUE,(Skills!K6/10)*(E348/1000),Skills!K6/10)+Skills!N6</f>
        <v/>
      </c>
      <c r="G348">
        <f>Calc!G6</f>
        <v/>
      </c>
      <c r="H348">
        <f>Calc!H6</f>
        <v/>
      </c>
      <c r="I348">
        <f>IF(Skills!T6&lt;&gt;"",1+(Skills!T6/10)*($Z$3/1000)/100,1)</f>
        <v/>
      </c>
      <c r="J348">
        <f>((Inputs!$B$6*(1+Inputs!$B$7/100))+(((Inputs!$B$13*(1+Inputs!$B$14/100))-(Inputs!$B$13*(1+Inputs!$B$14/100)))+0.25*(Inputs!$B$15-Inputs!$B$15))*(1+Inputs!$B$7/100))*(F348/100)</f>
        <v/>
      </c>
      <c r="K348">
        <f>J348*(1+(((Inputs!$B$13+IF(Inputs!$B$3&gt;=35,(10*INDEX(FactorTable!$B$2:$Y$301,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6="TRIUMPH_FEATHER",IF(C358=TRUE,F358,0),0)/100)*(1+IF(C369=TRUE,F369,0)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348)</f>
        <v/>
      </c>
      <c r="L348">
        <f>K348*(MIN(Inputs!$B$23+(F364-Calc!F22),(Inputs!$B$24+IF(ArtifactsInput!$M$15,CHOOSE(ArtifactsInput!$N$15+1,25,30,35,40,45,50)/100*(Inputs!$B$12-Inputs!$B$12),0)))/100+(Inputs!$B$24+IF(ArtifactsInput!$M$15,CHOOSE(ArtifactsInput!$N$15+1,25,30,35,40,45,50)/100*(Inputs!$B$12-Inputs!$B$12),0))/100)/2</f>
        <v/>
      </c>
      <c r="M348">
        <f>L348*(1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8">
        <f>L348*(1-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
        <f>(1-Summary!$B$11)*S348+Summary!$B$11*U348</f>
        <v/>
      </c>
      <c r="P348">
        <f>IF(B385=0,0,O348/B385)</f>
        <v/>
      </c>
      <c r="Q348">
        <f>IFERROR(1/(IF(Inputs!$B$39="pvp",15,MAX(0.1,Skills!D6-IF(Skills!E6=TRUE,Inputs!$B$33,0)))*(1-IF(AND(ArtifactsInput!$M$27,Inputs!$B$4="Chapter Hunt"),CHOOSE(ArtifactsInput!$N$27+1,20,24,28,32,36,40),0)/100)),0)</f>
        <v/>
      </c>
      <c r="R348">
        <f>IF(AND(Inputs!$B$39&lt;&gt;"pvp",Inputs!$B$44&gt;0),IF(MAX(0,Inputs!$B$44-B382)&lt;=0,0,(INT(MAX(0,Inputs!$B$44-B382)/(IF(Inputs!$B$39="pvp",15,MAX(0.1,Skills!D6-IF(Skills!E6=TRUE,Inputs!$B$33,0)))*(1-IF(AND(ArtifactsInput!$M$27,Inputs!$B$4="Chapter Hunt"),CHOOSE(ArtifactsInput!$N$27+1,20,24,28,32,36,40),0)/100)))+1)),0)</f>
        <v/>
      </c>
      <c r="S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$21+1)+Skills!O6+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348*(1-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$22+Skills!P6+B374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
      <c r="A349">
        <f>Skills!A7</f>
        <v/>
      </c>
      <c r="B349">
        <f>Skills!B7</f>
        <v/>
      </c>
      <c r="C349">
        <f>Inputs!$B$3&gt;=122</f>
        <v/>
      </c>
      <c r="D349">
        <f>IF(Skills!C7=1,60+Inputs!$B$26+Inputs!$B$30,IF(Skills!C7=2,90+Inputs!$B$27+Inputs!$B$30,IF(Skills!C7=3,120+Inputs!$B$28+Inputs!$B$30,MAX(0,(Inputs!$B$3-100)*3)+Inputs!$B$29+Inputs!$B$30)))</f>
        <v/>
      </c>
      <c r="E349">
        <f>INDEX(FactorTable!$B$2:$Y$301, MATCH(ROUND(MIN(300,MAX(1,D349)),0), FactorTable!$A$2:$A$301,0), Skills!L7+1)</f>
        <v/>
      </c>
      <c r="F349">
        <f>IF(Skills!M7=TRUE,(Skills!K7/10)*(E349/1000),Skills!K7/10)+Skills!N7</f>
        <v/>
      </c>
      <c r="G349">
        <f>Calc!G7</f>
        <v/>
      </c>
      <c r="H349">
        <f>Calc!H7</f>
        <v/>
      </c>
      <c r="I349">
        <f>IF(Skills!T7&lt;&gt;"",1+(Skills!T7/10)*($Z$3/1000)/100,1)</f>
        <v/>
      </c>
      <c r="J349">
        <f>((Inputs!$B$6*(1+Inputs!$B$7/100))+(((Inputs!$B$13*(1+Inputs!$B$14/100))-(Inputs!$B$13*(1+Inputs!$B$14/100)))+0.25*(Inputs!$B$15-Inputs!$B$15))*(1+Inputs!$B$7/100))*(F349/100)</f>
        <v/>
      </c>
      <c r="K349">
        <f>J349*(1+(((Inputs!$B$13+IF(Inputs!$B$3&gt;=35,(10*INDEX(FactorTable!$B$2:$Y$301,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7="TRIUMPH_FEATHER",IF(C358=TRUE,F358,0),0)/100)*(1+IF(C369=TRUE,F369,0)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349)</f>
        <v/>
      </c>
      <c r="L349">
        <f>K349*(MIN(Inputs!$B$23+(F364-Calc!F22),(Inputs!$B$24+IF(ArtifactsInput!$M$15,CHOOSE(ArtifactsInput!$N$15+1,25,30,35,40,45,50)/100*(Inputs!$B$12-Inputs!$B$12),0)))/100+(Inputs!$B$24+IF(ArtifactsInput!$M$15,CHOOSE(ArtifactsInput!$N$15+1,25,30,35,40,45,50)/100*(Inputs!$B$12-Inputs!$B$12),0))/100)/2</f>
        <v/>
      </c>
      <c r="M349">
        <f>L349*(1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9">
        <f>L349*(1-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
        <f>(1-Summary!$B$11)*S349+Summary!$B$11*U349</f>
        <v/>
      </c>
      <c r="P349">
        <f>IF(B385=0,0,O349/B385)</f>
        <v/>
      </c>
      <c r="Q349">
        <f>IFERROR(1/(IF(Inputs!$B$39="pvp",15,MAX(0.1,Skills!D7-IF(Skills!E6=TRUE,Inputs!$B$33,0)))*(1-IF(AND(ArtifactsInput!$M$27,Inputs!$B$4="Chapter Hunt"),CHOOSE(ArtifactsInput!$N$27+1,20,24,28,32,36,40),0)/100)),0)</f>
        <v/>
      </c>
      <c r="R349">
        <f>IF(AND(Inputs!$B$39&lt;&gt;"pvp",Inputs!$B$44&gt;0),IF(MAX(0,Inputs!$B$44-B382)&lt;=0,0,(INT(MAX(0,Inputs!$B$44-B382)/(IF(Inputs!$B$39="pvp",15,MAX(0.1,Skills!D7-IF(Skills!E6=TRUE,Inputs!$B$33,0)))*(1-IF(AND(ArtifactsInput!$M$27,Inputs!$B$4="Chapter Hunt"),CHOOSE(ArtifactsInput!$N$27+1,20,24,28,32,36,40),0)/100)))+1)),0)</f>
        <v/>
      </c>
      <c r="S349">
        <f>IF(C349,H349*N349*IF(AND(Inputs!$B$39&lt;&gt;"pvp",Inputs!$B$44&gt;0),((Skills!F7*((R349-1)*IF(Skills!G7&gt;0,Skills!H7/Skills!G7,1)+IF(Skills!G7&gt;0,MIN(Skills!H7,MAX(0,MAX(0,Inputs!$B$44-B382)-((R349-1)*(IF(Inputs!$B$39="pvp",15,MAX(0.1,Skills!D7-IF(Skills!E6=TRUE,Inputs!$B$33,0)))*(1-IF(AND(ArtifactsInput!$M$27,Inputs!$B$4="Chapter Hunt"),CHOOSE(ArtifactsInput!$N$27+1,20,24,28,32,36,40),0)/100)))))/Skills!G7,1)))/Inputs!$B$44),G349*Q349)*IF(Inputs!$B$39="pvp",1,1+((Inputs!$B$21+1)+Skills!O7+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349*(1-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9" t="n">
        <v>0</v>
      </c>
    </row>
    <row r="350">
      <c r="A350">
        <f>Skills!A8</f>
        <v/>
      </c>
      <c r="B350">
        <f>Skills!B8</f>
        <v/>
      </c>
      <c r="C350">
        <f>Inputs!$B$3&gt;=105</f>
        <v/>
      </c>
      <c r="D350">
        <f>IF(Skills!C8=1,60+Inputs!$B$26+Inputs!$B$30,IF(Skills!C8=2,90+Inputs!$B$27+Inputs!$B$30,IF(Skills!C8=3,120+Inputs!$B$28+Inputs!$B$30,MAX(0,(Inputs!$B$3-100)*3)+Inputs!$B$29+Inputs!$B$30)))</f>
        <v/>
      </c>
      <c r="E350">
        <f>INDEX(FactorTable!$B$2:$Y$301, MATCH(ROUND(MIN(300,MAX(1,D350)),0), FactorTable!$A$2:$A$301,0), Skills!L8+1)</f>
        <v/>
      </c>
      <c r="F350">
        <f>IF(Skills!M8=TRUE,(Skills!K8/10)*(E350/1000),Skills!K8/10)+Skills!N8</f>
        <v/>
      </c>
      <c r="G350">
        <f>Calc!G8</f>
        <v/>
      </c>
      <c r="H350">
        <f>Calc!H8</f>
        <v/>
      </c>
      <c r="I350">
        <f>IF(Skills!T8&lt;&gt;"",1+(Skills!T8/10)*($Z$3/1000)/100,1)</f>
        <v/>
      </c>
      <c r="J350">
        <f>((Inputs!$B$6*(1+Inputs!$B$7/100))+(((Inputs!$B$13*(1+Inputs!$B$14/100))-(Inputs!$B$13*(1+Inputs!$B$14/100)))+0.25*(Inputs!$B$15-Inputs!$B$15))*(1+Inputs!$B$7/100))*(F350/100)</f>
        <v/>
      </c>
      <c r="K350">
        <f>J350*(1+(((Inputs!$B$13+IF(Inputs!$B$3&gt;=35,(10*INDEX(FactorTable!$B$2:$Y$301,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8="TRIUMPH_FEATHER",IF(C358=TRUE,F358,0),0)/100)*(1+IF(C369=TRUE,F369,0)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350)</f>
        <v/>
      </c>
      <c r="L350">
        <f>K350*(MIN(Inputs!$B$23+(F364-Calc!F22),(Inputs!$B$24+IF(ArtifactsInput!$M$15,CHOOSE(ArtifactsInput!$N$15+1,25,30,35,40,45,50)/100*(Inputs!$B$12-Inputs!$B$12),0)))/100+(Inputs!$B$24+IF(ArtifactsInput!$M$15,CHOOSE(ArtifactsInput!$N$15+1,25,30,35,40,45,50)/100*(Inputs!$B$12-Inputs!$B$12),0))/100)/2</f>
        <v/>
      </c>
      <c r="M350">
        <f>L350*(1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0">
        <f>L350*(1-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
        <f>(1-Summary!$B$11)*S350+Summary!$B$11*U350</f>
        <v/>
      </c>
      <c r="P350">
        <f>IF(B385=0,0,O350/B385)</f>
        <v/>
      </c>
      <c r="Q350">
        <f>IFERROR(1/(IF(Inputs!$B$39="pvp",15,MAX(0.1,Skills!D8-IF(Skills!E8=TRUE,Inputs!$B$33,0)))*(1-IF(AND(ArtifactsInput!$M$27,Inputs!$B$4="Chapter Hunt"),CHOOSE(ArtifactsInput!$N$27+1,20,24,28,32,36,40),0)/100)),0)</f>
        <v/>
      </c>
      <c r="R350">
        <f>IF(AND(Inputs!$B$39&lt;&gt;"pvp",Inputs!$B$44&gt;0),IF(MAX(0,Inputs!$B$44-B382)&lt;=0,0,(INT(MAX(0,Inputs!$B$44-B382)/(IF(Inputs!$B$39="pvp",15,MAX(0.1,Skills!D8-IF(Skills!E8=TRUE,Inputs!$B$33,0)))*(1-IF(AND(ArtifactsInput!$M$27,Inputs!$B$4="Chapter Hunt"),CHOOSE(ArtifactsInput!$N$27+1,20,24,28,32,36,40),0)/100)))+1)),0)</f>
        <v/>
      </c>
      <c r="S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$21+1)+Skills!O8+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350*(1-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$22+Skills!P8+B374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
      <c r="A351">
        <f>Skills!A9</f>
        <v/>
      </c>
      <c r="B351">
        <f>Skills!B9</f>
        <v/>
      </c>
      <c r="C351">
        <f>Inputs!$B$3&gt;=115</f>
        <v/>
      </c>
      <c r="D351">
        <f>IF(Skills!C9=1,60+Inputs!$B$26+Inputs!$B$30,IF(Skills!C9=2,90+Inputs!$B$27+Inputs!$B$30,IF(Skills!C9=3,120+Inputs!$B$28+Inputs!$B$30,MAX(0,(Inputs!$B$3-100)*3)+Inputs!$B$29+Inputs!$B$30)))</f>
        <v/>
      </c>
      <c r="E351">
        <f>INDEX(FactorTable!$B$2:$Y$301, MATCH(ROUND(MIN(300,MAX(1,D351)),0), FactorTable!$A$2:$A$301,0), Skills!L9+1)</f>
        <v/>
      </c>
      <c r="F351">
        <f>IF(Skills!M9=TRUE,(Skills!K9/10)*(E351/1000),Skills!K9/10)+Skills!N9</f>
        <v/>
      </c>
      <c r="G351">
        <f>Calc!G9</f>
        <v/>
      </c>
      <c r="H351">
        <f>Calc!H9</f>
        <v/>
      </c>
      <c r="I351">
        <f>IF(Skills!T9&lt;&gt;"",1+(Skills!T9/10)*($Z$3/1000)/100,1)</f>
        <v/>
      </c>
      <c r="J351">
        <f>((Inputs!$B$6*(1+Inputs!$B$7/100))+(((Inputs!$B$13*(1+Inputs!$B$14/100))-(Inputs!$B$13*(1+Inputs!$B$14/100)))+0.25*(Inputs!$B$15-Inputs!$B$15))*(1+Inputs!$B$7/100))*(F351/100)</f>
        <v/>
      </c>
      <c r="K351">
        <f>J351*(1+(((Inputs!$B$13+IF(Inputs!$B$3&gt;=35,(10*INDEX(FactorTable!$B$2:$Y$301,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9="TRIUMPH_FEATHER",IF(C358=TRUE,F358,0),0)/100)*(1+IF(C369=TRUE,F369,0)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351)</f>
        <v/>
      </c>
      <c r="L351">
        <f>K351*(MIN(Inputs!$B$23+(F364-Calc!F22),(Inputs!$B$24+IF(ArtifactsInput!$M$15,CHOOSE(ArtifactsInput!$N$15+1,25,30,35,40,45,50)/100*(Inputs!$B$12-Inputs!$B$12),0)))/100+(Inputs!$B$24+IF(ArtifactsInput!$M$15,CHOOSE(ArtifactsInput!$N$15+1,25,30,35,40,45,50)/100*(Inputs!$B$12-Inputs!$B$12),0))/100)/2</f>
        <v/>
      </c>
      <c r="M351">
        <f>L351*(1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1">
        <f>L351*(1-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
        <f>(1-Summary!$B$11)*S351+Summary!$B$11*U351</f>
        <v/>
      </c>
      <c r="P351">
        <f>IF(B385=0,0,O351/B385)</f>
        <v/>
      </c>
      <c r="Q351">
        <f>IFERROR(1/(IF(Inputs!$B$39="pvp",15,MAX(0.1,Skills!D9-IF(Skills!E9=TRUE,Inputs!$B$33,0)))*(1-IF(AND(ArtifactsInput!$M$27,Inputs!$B$4="Chapter Hunt"),CHOOSE(ArtifactsInput!$N$27+1,20,24,28,32,36,40),0)/100)),0)</f>
        <v/>
      </c>
      <c r="R351">
        <f>IF(AND(Inputs!$B$39&lt;&gt;"pvp",Inputs!$B$44&gt;0),IF(MAX(0,Inputs!$B$44-B382)&lt;=0,0,(INT(MAX(0,Inputs!$B$44-B382)/(IF(Inputs!$B$39="pvp",15,MAX(0.1,Skills!D9-IF(Skills!E9=TRUE,Inputs!$B$33,0)))*(1-IF(AND(ArtifactsInput!$M$27,Inputs!$B$4="Chapter Hunt"),CHOOSE(ArtifactsInput!$N$27+1,20,24,28,32,36,40),0)/100)))+1)),0)</f>
        <v/>
      </c>
      <c r="S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$21+1)+Skills!O9+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351*(1-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$22+Skills!P9+B374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
      <c r="A352">
        <f>Skills!A10</f>
        <v/>
      </c>
      <c r="B352">
        <f>Skills!B10</f>
        <v/>
      </c>
      <c r="C352">
        <f>Inputs!$B$3&gt;=66</f>
        <v/>
      </c>
      <c r="D352">
        <f>IF(Skills!C10=1,60+Inputs!$B$26+Inputs!$B$30,IF(Skills!C10=2,90+Inputs!$B$27+Inputs!$B$30,IF(Skills!C10=3,120+Inputs!$B$28+Inputs!$B$30,MAX(0,(Inputs!$B$3-100)*3)+Inputs!$B$29+Inputs!$B$30)))</f>
        <v/>
      </c>
      <c r="E352">
        <f>INDEX(FactorTable!$B$2:$Y$301, MATCH(ROUND(MIN(300,MAX(1,D352)),0), FactorTable!$A$2:$A$301,0), Skills!L10+1)</f>
        <v/>
      </c>
      <c r="F352" t="n">
        <v>0</v>
      </c>
      <c r="G352">
        <f>Calc!G10</f>
        <v/>
      </c>
      <c r="H352">
        <f>Calc!H10</f>
        <v/>
      </c>
      <c r="I352">
        <f>IF(Skills!T10&lt;&gt;"",1+(Skills!T10/10)*($Z$3/1000)/100,1)</f>
        <v/>
      </c>
      <c r="J352" t="inlineStr"/>
      <c r="K352" t="inlineStr"/>
      <c r="L352" t="inlineStr"/>
      <c r="M352" t="inlineStr"/>
      <c r="N352" t="inlineStr"/>
      <c r="O352">
        <f>(1-Summary!$B$11)*S352+Summary!$B$11*U352</f>
        <v/>
      </c>
      <c r="P352">
        <f>IF(B385=0,0,O352/B385)</f>
        <v/>
      </c>
      <c r="Q352">
        <f>IFERROR(1/(IF(Inputs!$B$39="pvp",15,MAX(0.1,Skills!D10-IF(Skills!E10=TRUE,Inputs!$B$33,0)))*(1-IF(AND(ArtifactsInput!$M$27,Inputs!$B$4="Chapter Hunt"),CHOOSE(ArtifactsInput!$N$27+1,20,24,28,32,36,40),0)/100)),0)</f>
        <v/>
      </c>
      <c r="R352">
        <f>IF(AND(Inputs!$B$39&lt;&gt;"pvp",Inputs!$B$44&gt;0),IF(MAX(0,Inputs!$B$44-B382)&lt;=0,0,(INT(MAX(0,Inputs!$B$44-B382)/(IF(Inputs!$B$39="pvp",15,MAX(0.1,Skills!D10-IF(Skills!E10=TRUE,Inputs!$B$33,0)))*(1-IF(AND(ArtifactsInput!$M$27,Inputs!$B$4="Chapter Hunt"),CHOOSE(ArtifactsInput!$N$27+1,20,24,28,32,36,40),0)/100)))+1)),0)</f>
        <v/>
      </c>
      <c r="S352" t="n">
        <v>0</v>
      </c>
      <c r="U352" t="n">
        <v>0</v>
      </c>
    </row>
    <row r="353">
      <c r="A353">
        <f>Skills!A11</f>
        <v/>
      </c>
      <c r="B353">
        <f>Skills!B11</f>
        <v/>
      </c>
      <c r="C353">
        <f>Inputs!$B$3&gt;=69</f>
        <v/>
      </c>
      <c r="D353">
        <f>IF(Skills!C11=1,60+Inputs!$B$26+Inputs!$B$30,IF(Skills!C11=2,90+Inputs!$B$27+Inputs!$B$30,IF(Skills!C11=3,120+Inputs!$B$28+Inputs!$B$30,MAX(0,(Inputs!$B$3-100)*3)+Inputs!$B$29+Inputs!$B$30)))</f>
        <v/>
      </c>
      <c r="E353">
        <f>INDEX(FactorTable!$B$2:$Y$301, MATCH(ROUND(MIN(300,MAX(1,D353)),0), FactorTable!$A$2:$A$301,0), Skills!L11+1)</f>
        <v/>
      </c>
      <c r="F353">
        <f>IF(Skills!M11=TRUE,(Skills!K11/10)*(E353/1000),Skills!K11/10)+Skills!N11</f>
        <v/>
      </c>
      <c r="G353">
        <f>Calc!G11</f>
        <v/>
      </c>
      <c r="H353">
        <f>Calc!H11</f>
        <v/>
      </c>
      <c r="I353">
        <f>IF(Skills!T11&lt;&gt;"",1+(Skills!T11/10)*($Z$3/1000)/100,1)</f>
        <v/>
      </c>
      <c r="J353" t="inlineStr"/>
      <c r="K353" t="inlineStr"/>
      <c r="L353" t="inlineStr"/>
      <c r="M353" t="inlineStr"/>
      <c r="N353" t="inlineStr"/>
      <c r="O353">
        <f>(1-Summary!$B$11)*S353+Summary!$B$11*U353</f>
        <v/>
      </c>
      <c r="P353">
        <f>IF(B385=0,0,O353/B385)</f>
        <v/>
      </c>
      <c r="Q353">
        <f>IFERROR(1/(IF(Inputs!$B$39="pvp",15,MAX(0.1,Skills!D11-IF(Skills!E11=TRUE,Inputs!$B$33,0)))*(1-IF(AND(ArtifactsInput!$M$27,Inputs!$B$4="Chapter Hunt"),CHOOSE(ArtifactsInput!$N$27+1,20,24,28,32,36,40),0)/100)),0)</f>
        <v/>
      </c>
      <c r="R353">
        <f>IF(AND(Inputs!$B$39&lt;&gt;"pvp",Inputs!$B$44&gt;0),IF(Inputs!$B$44&lt;=0,0,(INT(Inputs!$B$44/(IF(Inputs!$B$39="pvp",15,MAX(0.1,Skills!D11-IF(Skills!E11=TRUE,Inputs!$B$33,0)))*(1-IF(AND(ArtifactsInput!$M$27,Inputs!$B$4="Chapter Hunt"),CHOOSE(ArtifactsInput!$N$27+1,20,24,28,32,36,40),0)/100)))+1)),0)</f>
        <v/>
      </c>
      <c r="S353" t="n">
        <v>0</v>
      </c>
      <c r="U353" t="n">
        <v>0</v>
      </c>
    </row>
    <row r="354">
      <c r="A354">
        <f>Skills!A12</f>
        <v/>
      </c>
      <c r="B354">
        <f>Skills!B12</f>
        <v/>
      </c>
      <c r="C354">
        <f>Inputs!$B$3&gt;=72</f>
        <v/>
      </c>
      <c r="D354">
        <f>IF(Skills!C12=1,60+Inputs!$B$26+Inputs!$B$30,IF(Skills!C12=2,90+Inputs!$B$27+Inputs!$B$30,IF(Skills!C12=3,120+Inputs!$B$28+Inputs!$B$30,MAX(0,(Inputs!$B$3-100)*3)+Inputs!$B$29+Inputs!$B$30)))</f>
        <v/>
      </c>
      <c r="E354">
        <f>INDEX(FactorTable!$B$2:$Y$301, MATCH(ROUND(MIN(300,MAX(1,D354)),0), FactorTable!$A$2:$A$301,0), Skills!L12+1)</f>
        <v/>
      </c>
      <c r="F354">
        <f>IF(Skills!M12=TRUE,(Skills!K12/10)*(E354/1000),Skills!K12/10)+Skills!N12</f>
        <v/>
      </c>
      <c r="G354">
        <f>Calc!G12</f>
        <v/>
      </c>
      <c r="H354">
        <f>Calc!H12</f>
        <v/>
      </c>
      <c r="I354">
        <f>IF(Skills!T12&lt;&gt;"",1+(Skills!T12/10)*($Z$3/1000)/100,1)</f>
        <v/>
      </c>
      <c r="J354" t="inlineStr"/>
      <c r="K354" t="inlineStr"/>
      <c r="L354" t="inlineStr"/>
      <c r="M354" t="inlineStr"/>
      <c r="N354" t="inlineStr"/>
      <c r="O354">
        <f>(1-Summary!$B$11)*S354+Summary!$B$11*U354</f>
        <v/>
      </c>
      <c r="P354">
        <f>IF(B385=0,0,O354/B385)</f>
        <v/>
      </c>
      <c r="Q354">
        <f>IFERROR(1/(IF(Inputs!$B$39="pvp",15,MAX(0.1,Skills!D12-IF(Skills!E12=TRUE,Inputs!$B$33,0)))*(1-IF(AND(ArtifactsInput!$M$27,Inputs!$B$4="Chapter Hunt"),CHOOSE(ArtifactsInput!$N$27+1,20,24,28,32,36,40),0)/100)),0)</f>
        <v/>
      </c>
      <c r="R354">
        <f>IF(AND(Inputs!$B$39&lt;&gt;"pvp",Inputs!$B$44&gt;0),IF(MAX(0,Inputs!$B$44-B382)&lt;=0,0,(INT(MAX(0,Inputs!$B$44-B382)/(IF(Inputs!$B$39="pvp",15,MAX(0.1,Skills!D12-IF(Skills!E12=TRUE,Inputs!$B$33,0)))*(1-IF(AND(ArtifactsInput!$M$27,Inputs!$B$4="Chapter Hunt"),CHOOSE(ArtifactsInput!$N$27+1,20,24,28,32,36,40),0)/100)))+1)),0)</f>
        <v/>
      </c>
      <c r="S354" t="n">
        <v>0</v>
      </c>
      <c r="U354" t="n">
        <v>0</v>
      </c>
    </row>
    <row r="355">
      <c r="A355">
        <f>Skills!A13</f>
        <v/>
      </c>
      <c r="B355">
        <f>Skills!B13</f>
        <v/>
      </c>
      <c r="C355">
        <f>Inputs!$B$3&gt;=60</f>
        <v/>
      </c>
      <c r="D355">
        <f>IF(Skills!C13=1,60+Inputs!$B$26+Inputs!$B$30,IF(Skills!C13=2,90+Inputs!$B$27+Inputs!$B$30,IF(Skills!C13=3,120+Inputs!$B$28+Inputs!$B$30,MAX(0,(Inputs!$B$3-100)*3)+Inputs!$B$29+Inputs!$B$30)))</f>
        <v/>
      </c>
      <c r="E355">
        <f>INDEX(FactorTable!$B$2:$Y$301, MATCH(ROUND(MIN(300,MAX(1,D355)),0), FactorTable!$A$2:$A$301,0), Skills!L13+1)</f>
        <v/>
      </c>
      <c r="F355">
        <f>IF(Skills!M13=TRUE,(Skills!K13/10)*(E355/1000),Skills!K13/10)+Skills!N13</f>
        <v/>
      </c>
      <c r="G355">
        <f>Calc!G13</f>
        <v/>
      </c>
      <c r="H355">
        <f>Calc!H13</f>
        <v/>
      </c>
      <c r="I355">
        <f>IF(Skills!T13&lt;&gt;"",1+(Skills!T13/10)*($Z$3/1000)/100,1)</f>
        <v/>
      </c>
      <c r="J355" t="inlineStr"/>
      <c r="K355" t="inlineStr"/>
      <c r="L355" t="inlineStr"/>
      <c r="M355" t="inlineStr"/>
      <c r="N355" t="inlineStr"/>
      <c r="O355">
        <f>(1-Summary!$B$11)*S355+Summary!$B$11*U355</f>
        <v/>
      </c>
      <c r="P355">
        <f>IF(B385=0,0,O355/B385)</f>
        <v/>
      </c>
      <c r="Q355">
        <f>IFERROR(1/(IF(Inputs!$B$39="pvp",15,MAX(0.1,Skills!D13-IF(Skills!E13=TRUE,Inputs!$B$33,0)))*(1-IF(AND(ArtifactsInput!$M$27,Inputs!$B$4="Chapter Hunt"),CHOOSE(ArtifactsInput!$N$27+1,20,24,28,32,36,40),0)/100)),0)</f>
        <v/>
      </c>
      <c r="R355">
        <f>IF(AND(Inputs!$B$39&lt;&gt;"pvp",Inputs!$B$44&gt;0),IF(MAX(0,Inputs!$B$44-B382)&lt;=0,0,(INT(MAX(0,Inputs!$B$44-B382)/(IF(Inputs!$B$39="pvp",15,MAX(0.1,Skills!D13-IF(Skills!E13=TRUE,Inputs!$B$33,0)))*(1-IF(AND(ArtifactsInput!$M$27,Inputs!$B$4="Chapter Hunt"),CHOOSE(ArtifactsInput!$N$27+1,20,24,28,32,36,40),0)/100)))+1)),0)</f>
        <v/>
      </c>
      <c r="S355" t="n">
        <v>0</v>
      </c>
      <c r="U355" t="n">
        <v>0</v>
      </c>
    </row>
    <row r="356">
      <c r="A356">
        <f>Skills!A14</f>
        <v/>
      </c>
      <c r="B356">
        <f>Skills!B14</f>
        <v/>
      </c>
      <c r="C356">
        <f>Inputs!$B$3&gt;=107</f>
        <v/>
      </c>
      <c r="D356">
        <f>IF(Skills!C14=1,60+Inputs!$B$26+Inputs!$B$30,IF(Skills!C14=2,90+Inputs!$B$27+Inputs!$B$30,IF(Skills!C14=3,120+Inputs!$B$28+Inputs!$B$30,MAX(0,(Inputs!$B$3-100)*3)+Inputs!$B$29+Inputs!$B$30)))</f>
        <v/>
      </c>
      <c r="E356">
        <f>INDEX(FactorTable!$B$2:$Y$301, MATCH(ROUND(MIN(300,MAX(1,D356)),0), FactorTable!$A$2:$A$301,0), Skills!L14+1)</f>
        <v/>
      </c>
      <c r="F356">
        <f>IF(Skills!M14=TRUE,(Skills!K14/10)*(E356/1000),Skills!K14/10)+Skills!N14</f>
        <v/>
      </c>
      <c r="G356">
        <f>Calc!G14</f>
        <v/>
      </c>
      <c r="H356">
        <f>Calc!H14</f>
        <v/>
      </c>
      <c r="I356">
        <f>IF(Skills!T14&lt;&gt;"",1+(Skills!T14/10)*($Z$3/1000)/100,1)</f>
        <v/>
      </c>
      <c r="J356" t="inlineStr"/>
      <c r="K356" t="inlineStr"/>
      <c r="L356" t="inlineStr"/>
      <c r="M356" t="inlineStr"/>
      <c r="N356" t="inlineStr"/>
      <c r="O356">
        <f>(1-Summary!$B$11)*S356+Summary!$B$11*U356</f>
        <v/>
      </c>
      <c r="P356">
        <f>IF(B385=0,0,O356/B385)</f>
        <v/>
      </c>
      <c r="Q356">
        <f>IFERROR(1/(IF(Inputs!$B$39="pvp",15,MAX(0.1,Skills!D14-IF(Skills!E14=TRUE,Inputs!$B$33,0)))*(1-IF(AND(ArtifactsInput!$M$27,Inputs!$B$4="Chapter Hunt"),CHOOSE(ArtifactsInput!$N$27+1,20,24,28,32,36,40),0)/100)),0)</f>
        <v/>
      </c>
      <c r="R356">
        <f>IF(AND(Inputs!$B$39&lt;&gt;"pvp",Inputs!$B$44&gt;0),IF(Inputs!$B$44&lt;=0,0,(INT(Inputs!$B$44/(IF(Inputs!$B$39="pvp",15,MAX(0.1,Skills!D14-IF(Skills!E14=TRUE,Inputs!$B$33,0)))*(1-IF(AND(ArtifactsInput!$M$27,Inputs!$B$4="Chapter Hunt"),CHOOSE(ArtifactsInput!$N$27+1,20,24,28,32,36,40),0)/100)))+1)),0)</f>
        <v/>
      </c>
      <c r="S356" t="n">
        <v>0</v>
      </c>
      <c r="U356" t="n">
        <v>0</v>
      </c>
    </row>
    <row r="357">
      <c r="A357">
        <f>Skills!A15</f>
        <v/>
      </c>
      <c r="B357">
        <f>Skills!B15</f>
        <v/>
      </c>
      <c r="C357">
        <f>Inputs!$B$3&gt;=63</f>
        <v/>
      </c>
      <c r="D357">
        <f>IF(Skills!C15=1,60+Inputs!$B$26+Inputs!$B$30,IF(Skills!C15=2,90+Inputs!$B$27+Inputs!$B$30,IF(Skills!C15=3,120+Inputs!$B$28+Inputs!$B$30,MAX(0,(Inputs!$B$3-100)*3)+Inputs!$B$29+Inputs!$B$30)))</f>
        <v/>
      </c>
      <c r="E357">
        <f>INDEX(FactorTable!$B$2:$Y$301, MATCH(ROUND(MIN(300,MAX(1,D357)),0), FactorTable!$A$2:$A$301,0), Skills!L15+1)</f>
        <v/>
      </c>
      <c r="F357">
        <f>IF(Skills!M15=TRUE,(Skills!K15/10)*(E357/1000),Skills!K15/10)+Skills!N15</f>
        <v/>
      </c>
      <c r="G357">
        <f>Calc!G15</f>
        <v/>
      </c>
      <c r="H357">
        <f>Calc!H15</f>
        <v/>
      </c>
      <c r="I357">
        <f>IF(Skills!T15&lt;&gt;"",1+(Skills!T15/10)*($Z$3/1000)/100,1)</f>
        <v/>
      </c>
      <c r="J357">
        <f>((Inputs!$B$6*(1+Inputs!$B$7/100))+(((Inputs!$B$13*(1+Inputs!$B$14/100))-(Inputs!$B$13*(1+Inputs!$B$14/100)))+0.25*(Inputs!$B$15-Inputs!$B$15))*(1+Inputs!$B$7/100))*(F357/100)</f>
        <v/>
      </c>
      <c r="K357">
        <f>J357*(1+(((Inputs!$B$13+IF(Inputs!$B$3&gt;=35,(10*INDEX(FactorTable!$B$2:$Y$301,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15="TRIUMPH_FEATHER",IF(C358=TRUE,F358,0),0)/100)*(1+IF(C369=TRUE,F369,0)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357)</f>
        <v/>
      </c>
      <c r="L357">
        <f>K357*(MIN(Inputs!$B$23+(F364-Calc!F22),(Inputs!$B$24+IF(ArtifactsInput!$M$15,CHOOSE(ArtifactsInput!$N$15+1,25,30,35,40,45,50)/100*(Inputs!$B$12-Inputs!$B$12),0)))/100+(Inputs!$B$24+IF(ArtifactsInput!$M$15,CHOOSE(ArtifactsInput!$N$15+1,25,30,35,40,45,50)/100*(Inputs!$B$12-Inputs!$B$12),0))/100)/2</f>
        <v/>
      </c>
      <c r="M357">
        <f>L357*(1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7">
        <f>L357*(1-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
        <f>(1-Summary!$B$11)*S357+Summary!$B$11*U357</f>
        <v/>
      </c>
      <c r="P357">
        <f>IF(B385=0,0,O357/B385)</f>
        <v/>
      </c>
      <c r="Q357">
        <f>IFERROR(1/(IF(Inputs!$B$39="pvp",15,MAX(0.1,Skills!D15-IF(Skills!E15=TRUE,Inputs!$B$33,0)))*(1-IF(AND(ArtifactsInput!$M$27,Inputs!$B$4="Chapter Hunt"),CHOOSE(ArtifactsInput!$N$27+1,20,24,28,32,36,40),0)/100)),0)</f>
        <v/>
      </c>
      <c r="R357" t="n">
        <v>0</v>
      </c>
      <c r="S357">
        <f>IF(C357,(Skills!F15*N357*((IF(Inputs!$B$3&gt;=78,25,15)/100*B378*10)/(1+IF(Inputs!$B$3&gt;=78,25,15)/100*B378*10))*(Skills!I15/100*B378)/(1+Skills!G15*Skills!I15/100*B378))*IF(Inputs!$B$39="pvp",1,1+((Inputs!$B$21+1)+Skills!O15+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357*(1-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
        <f>IF(C357,(Skills!F15*N357*((IF(Inputs!$B$3&gt;=78,25,15)/100*B378*10)/(1+IF(Inputs!$B$3&gt;=78,25,15)/100*B378*10))*(Skills!I15/100*B378)/(1+Skills!G15*Skills!I15/100*B378))*IF(Inputs!$B$39="pvp",1,(1+(Inputs!$B$22+Skills!P15+B374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
      <c r="A358">
        <f>Skills!A16</f>
        <v/>
      </c>
      <c r="B358">
        <f>Skills!B16</f>
        <v/>
      </c>
      <c r="C358">
        <f>Inputs!$B$3&gt;=100</f>
        <v/>
      </c>
      <c r="D358">
        <f>IF(Skills!C16=1,60+Inputs!$B$26+Inputs!$B$30,IF(Skills!C16=2,90+Inputs!$B$27+Inputs!$B$30,IF(Skills!C16=3,120+Inputs!$B$28+Inputs!$B$30,MAX(0,(Inputs!$B$3-100)*3)+Inputs!$B$29+Inputs!$B$30)))</f>
        <v/>
      </c>
      <c r="E358">
        <f>INDEX(FactorTable!$B$2:$Y$301, MATCH(ROUND(MIN(300,MAX(1,D358)),0), FactorTable!$A$2:$A$301,0), Skills!L16+1)</f>
        <v/>
      </c>
      <c r="F358">
        <f>IF(Skills!M16=TRUE,(Skills!K16/10)*(E358/1000),Skills!K16/10)+Skills!N16</f>
        <v/>
      </c>
      <c r="G358">
        <f>Calc!G16</f>
        <v/>
      </c>
      <c r="H358">
        <f>Calc!H16</f>
        <v/>
      </c>
      <c r="I358">
        <f>IF(Skills!T16&lt;&gt;"",1+(Skills!T16/10)*($Z$3/1000)/100,1)</f>
        <v/>
      </c>
      <c r="J358" t="inlineStr"/>
      <c r="K358" t="inlineStr"/>
      <c r="L358" t="inlineStr"/>
      <c r="M358" t="inlineStr"/>
      <c r="N358" t="inlineStr"/>
      <c r="O358">
        <f>(1-Summary!$B$11)*S358+Summary!$B$11*U358</f>
        <v/>
      </c>
      <c r="P358">
        <f>IF(B385=0,0,O358/B385)</f>
        <v/>
      </c>
      <c r="Q358">
        <f>IFERROR(1/(IF(Inputs!$B$39="pvp",15,MAX(0.1,Skills!D16-IF(Skills!E16=TRUE,Inputs!$B$33,0)))*(1-IF(AND(ArtifactsInput!$M$27,Inputs!$B$4="Chapter Hunt"),CHOOSE(ArtifactsInput!$N$27+1,20,24,28,32,36,40),0)/100)),0)</f>
        <v/>
      </c>
      <c r="R358" t="n">
        <v>0</v>
      </c>
      <c r="S358" t="n">
        <v>0</v>
      </c>
      <c r="U358" t="n">
        <v>0</v>
      </c>
    </row>
    <row r="359">
      <c r="A359">
        <f>Skills!A17</f>
        <v/>
      </c>
      <c r="B359">
        <f>Skills!B17</f>
        <v/>
      </c>
      <c r="C359">
        <f>Inputs!$B$3&gt;=49</f>
        <v/>
      </c>
      <c r="D359">
        <f>IF(Skills!C17=1,60+Inputs!$B$26+Inputs!$B$30,IF(Skills!C17=2,90+Inputs!$B$27+Inputs!$B$30,IF(Skills!C17=3,120+Inputs!$B$28+Inputs!$B$30,MAX(0,(Inputs!$B$3-100)*3)+Inputs!$B$29+Inputs!$B$30)))</f>
        <v/>
      </c>
      <c r="E359">
        <f>INDEX(FactorTable!$B$2:$Y$301, MATCH(ROUND(MIN(300,MAX(1,D359)),0), FactorTable!$A$2:$A$301,0), Skills!L17+1)</f>
        <v/>
      </c>
      <c r="F359">
        <f>IF(Skills!M17=TRUE,(Skills!K17/10)*(E359/1000),Skills!K17/10)+Skills!N17</f>
        <v/>
      </c>
      <c r="G359">
        <f>Calc!G17</f>
        <v/>
      </c>
      <c r="H359">
        <f>Calc!H17</f>
        <v/>
      </c>
      <c r="I359">
        <f>IF(Skills!T17&lt;&gt;"",1+(Skills!T17/10)*($Z$3/1000)/100,1)</f>
        <v/>
      </c>
      <c r="J359" t="inlineStr"/>
      <c r="K359" t="inlineStr"/>
      <c r="L359" t="inlineStr"/>
      <c r="M359" t="inlineStr"/>
      <c r="N359" t="inlineStr"/>
      <c r="O359">
        <f>(1-Summary!$B$11)*S359+Summary!$B$11*U359</f>
        <v/>
      </c>
      <c r="P359">
        <f>IF(B385=0,0,O359/B385)</f>
        <v/>
      </c>
      <c r="Q359">
        <f>IFERROR(1/(IF(Inputs!$B$39="pvp",15,MAX(0.1,Skills!D17-IF(Skills!E17=TRUE,Inputs!$B$33,0)))*(1-IF(AND(ArtifactsInput!$M$27,Inputs!$B$4="Chapter Hunt"),CHOOSE(ArtifactsInput!$N$27+1,20,24,28,32,36,40),0)/100)),0)</f>
        <v/>
      </c>
      <c r="R359" t="n">
        <v>0</v>
      </c>
      <c r="S359" t="n">
        <v>0</v>
      </c>
      <c r="U359" t="n">
        <v>0</v>
      </c>
    </row>
    <row r="360">
      <c r="A360">
        <f>Skills!A18</f>
        <v/>
      </c>
      <c r="B360">
        <f>Skills!B18</f>
        <v/>
      </c>
      <c r="C360">
        <f>Inputs!$B$3&gt;=75</f>
        <v/>
      </c>
      <c r="D360">
        <f>IF(Skills!C18=1,60+Inputs!$B$26+Inputs!$B$30,IF(Skills!C18=2,90+Inputs!$B$27+Inputs!$B$30,IF(Skills!C18=3,120+Inputs!$B$28+Inputs!$B$30,MAX(0,(Inputs!$B$3-100)*3)+Inputs!$B$29+Inputs!$B$30)))</f>
        <v/>
      </c>
      <c r="E360">
        <f>INDEX(FactorTable!$B$2:$Y$301, MATCH(ROUND(MIN(300,MAX(1,D360)),0), FactorTable!$A$2:$A$301,0), Skills!L18+1)</f>
        <v/>
      </c>
      <c r="F360">
        <f>IF(Skills!M18=TRUE,(Skills!K18/10)*(E360/1000),Skills!K18/10)+Skills!N18</f>
        <v/>
      </c>
      <c r="G360">
        <f>Calc!G18</f>
        <v/>
      </c>
      <c r="H360">
        <f>Calc!H18</f>
        <v/>
      </c>
      <c r="I360">
        <f>IF(Skills!T18&lt;&gt;"",1+(Skills!T18/10)*($Z$3/1000)/100,1)</f>
        <v/>
      </c>
      <c r="J360" t="inlineStr"/>
      <c r="K360" t="inlineStr"/>
      <c r="L360" t="inlineStr"/>
      <c r="M360" t="inlineStr"/>
      <c r="N360" t="inlineStr"/>
      <c r="O360">
        <f>(1-Summary!$B$11)*S360+Summary!$B$11*U360</f>
        <v/>
      </c>
      <c r="P360">
        <f>IF(B385=0,0,O360/B385)</f>
        <v/>
      </c>
      <c r="Q360">
        <f>IFERROR(1/(IF(Inputs!$B$39="pvp",15,MAX(0.1,Skills!D18-IF(Skills!E18=TRUE,Inputs!$B$33,0)))*(1-IF(AND(ArtifactsInput!$M$27,Inputs!$B$4="Chapter Hunt"),CHOOSE(ArtifactsInput!$N$27+1,20,24,28,32,36,40),0)/100)),0)</f>
        <v/>
      </c>
      <c r="R360" t="n">
        <v>0</v>
      </c>
      <c r="S360" t="n">
        <v>0</v>
      </c>
      <c r="U360" t="n">
        <v>0</v>
      </c>
    </row>
    <row r="361">
      <c r="A361">
        <f>Skills!A19</f>
        <v/>
      </c>
      <c r="B361">
        <f>Skills!B19</f>
        <v/>
      </c>
      <c r="C361">
        <f>Inputs!$B$3&gt;=110</f>
        <v/>
      </c>
      <c r="D361">
        <f>IF(Skills!C19=1,60+Inputs!$B$26+Inputs!$B$30,IF(Skills!C19=2,90+Inputs!$B$27+Inputs!$B$30,IF(Skills!C19=3,120+Inputs!$B$28+Inputs!$B$30,MAX(0,(Inputs!$B$3-100)*3)+Inputs!$B$29+Inputs!$B$30)))</f>
        <v/>
      </c>
      <c r="E361">
        <f>INDEX(FactorTable!$B$2:$Y$301, MATCH(ROUND(MIN(300,MAX(1,D361)),0), FactorTable!$A$2:$A$301,0), Skills!L19+1)</f>
        <v/>
      </c>
      <c r="F361">
        <f>(Skills!K19/10)*(E361/1000)*64/45+Skills!N19</f>
        <v/>
      </c>
      <c r="G361">
        <f>Calc!G19</f>
        <v/>
      </c>
      <c r="H361">
        <f>Calc!H19</f>
        <v/>
      </c>
      <c r="I361">
        <f>IF(Skills!T19&lt;&gt;"",1+(Skills!T19/10)*($Z$3/1000)/100,1)</f>
        <v/>
      </c>
      <c r="J361" t="inlineStr"/>
      <c r="K361" t="inlineStr"/>
      <c r="L361" t="inlineStr"/>
      <c r="M361" t="inlineStr"/>
      <c r="N361" t="inlineStr"/>
      <c r="O361">
        <f>(1-Summary!$B$11)*S361+Summary!$B$11*U361</f>
        <v/>
      </c>
      <c r="P361">
        <f>IF(B385=0,0,O361/B385)</f>
        <v/>
      </c>
      <c r="Q361">
        <f>IFERROR(1/(IF(Inputs!$B$39="pvp",15,MAX(0.1,Skills!D19-IF(Skills!E19=TRUE,Inputs!$B$33,0)))*(1-IF(AND(ArtifactsInput!$M$27,Inputs!$B$4="Chapter Hunt"),CHOOSE(ArtifactsInput!$N$27+1,20,24,28,32,36,40),0)/100)),0)</f>
        <v/>
      </c>
      <c r="R361">
        <f>IF(AND(Inputs!$B$39&lt;&gt;"pvp",Inputs!$B$44&gt;0),IF(Inputs!$B$44&lt;=0,0,(INT(Inputs!$B$44/(IF(Inputs!$B$39="pvp",15,MAX(0.1,Skills!D19-IF(Skills!E19=TRUE,Inputs!$B$33,0)))*(1-IF(AND(ArtifactsInput!$M$27,Inputs!$B$4="Chapter Hunt"),CHOOSE(ArtifactsInput!$N$27+1,20,24,28,32,36,40),0)/100)))+1)),0)</f>
        <v/>
      </c>
      <c r="S361" t="n">
        <v>0</v>
      </c>
      <c r="U361" t="n">
        <v>0</v>
      </c>
    </row>
    <row r="362">
      <c r="A362">
        <f>Skills!A20</f>
        <v/>
      </c>
      <c r="B362">
        <f>Skills!B20</f>
        <v/>
      </c>
      <c r="C362">
        <f>Inputs!$B$3&gt;=125</f>
        <v/>
      </c>
      <c r="D362">
        <f>IF(Skills!C20=1,60+Inputs!$B$26+Inputs!$B$30,IF(Skills!C20=2,90+Inputs!$B$27+Inputs!$B$30,IF(Skills!C20=3,120+Inputs!$B$28+Inputs!$B$30,MAX(0,(Inputs!$B$3-100)*3)+Inputs!$B$29+Inputs!$B$30)))</f>
        <v/>
      </c>
      <c r="E362">
        <f>INDEX(FactorTable!$B$2:$Y$301, MATCH(ROUND(MIN(300,MAX(1,D362)),0), FactorTable!$A$2:$A$301,0), Skills!L20+1)</f>
        <v/>
      </c>
      <c r="F362">
        <f>IF(Skills!M20=TRUE,(Skills!K20/10)*(E362/1000),Skills!K20/10)+Skills!N20</f>
        <v/>
      </c>
      <c r="G362">
        <f>Calc!G20</f>
        <v/>
      </c>
      <c r="H362">
        <f>Calc!H20</f>
        <v/>
      </c>
      <c r="I362">
        <f>IF(Skills!T20&lt;&gt;"",1+(Skills!T20/10)*($Z$3/1000)/100,1)</f>
        <v/>
      </c>
      <c r="J362" t="inlineStr"/>
      <c r="K362" t="inlineStr"/>
      <c r="L362" t="inlineStr"/>
      <c r="M362" t="inlineStr"/>
      <c r="N362" t="inlineStr"/>
      <c r="O362">
        <f>(1-Summary!$B$11)*S362+Summary!$B$11*U362</f>
        <v/>
      </c>
      <c r="P362">
        <f>IF(B385=0,0,O362/B385)</f>
        <v/>
      </c>
      <c r="Q362">
        <f>IFERROR(1/(IF(Inputs!$B$39="pvp",15,MAX(0.1,Skills!D20-IF(Skills!E20=TRUE,Inputs!$B$33,0)))*(1-IF(AND(ArtifactsInput!$M$27,Inputs!$B$4="Chapter Hunt"),CHOOSE(ArtifactsInput!$N$27+1,20,24,28,32,36,40),0)/100)),0)</f>
        <v/>
      </c>
      <c r="R362" t="n">
        <v>0</v>
      </c>
      <c r="S362" t="n">
        <v>0</v>
      </c>
      <c r="U362" t="n">
        <v>0</v>
      </c>
    </row>
    <row r="363">
      <c r="A363">
        <f>Skills!A21</f>
        <v/>
      </c>
      <c r="B363">
        <f>Skills!B21</f>
        <v/>
      </c>
      <c r="C363">
        <f>Inputs!$B$3&gt;=33</f>
        <v/>
      </c>
      <c r="D363">
        <f>IF(Skills!C21=1,60+Inputs!$B$26+Inputs!$B$30,IF(Skills!C21=2,90+Inputs!$B$27+Inputs!$B$30,IF(Skills!C21=3,120+Inputs!$B$28+Inputs!$B$30,MAX(0,(Inputs!$B$3-100)*3)+Inputs!$B$29+Inputs!$B$30)))</f>
        <v/>
      </c>
      <c r="E363">
        <f>INDEX(FactorTable!$B$2:$Y$301, MATCH(ROUND(MIN(300,MAX(1,D363)),0), FactorTable!$A$2:$A$301,0), Skills!L21+1)</f>
        <v/>
      </c>
      <c r="F363">
        <f>IF(Skills!M21=TRUE,(Skills!K21/10)*(E363/1000),Skills!K21/10)+Skills!N21</f>
        <v/>
      </c>
      <c r="G363">
        <f>Calc!G21</f>
        <v/>
      </c>
      <c r="H363">
        <f>Calc!H21</f>
        <v/>
      </c>
      <c r="I363">
        <f>IF(Skills!T21&lt;&gt;"",1+(Skills!T21/10)*($Z$3/1000)/100,1)</f>
        <v/>
      </c>
      <c r="J363" t="inlineStr"/>
      <c r="K363" t="inlineStr"/>
      <c r="L363" t="inlineStr"/>
      <c r="M363" t="inlineStr"/>
      <c r="N363" t="inlineStr"/>
      <c r="O363">
        <f>(1-Summary!$B$11)*S363+Summary!$B$11*U363</f>
        <v/>
      </c>
      <c r="P363">
        <f>IF(B385=0,0,O363/B385)</f>
        <v/>
      </c>
      <c r="Q363">
        <f>IFERROR(1/(IF(Inputs!$B$39="pvp",15,MAX(0.1,Skills!D21-IF(Skills!E21=TRUE,Inputs!$B$33,0)))*(1-IF(AND(ArtifactsInput!$M$27,Inputs!$B$4="Chapter Hunt"),CHOOSE(ArtifactsInput!$N$27+1,20,24,28,32,36,40),0)/100)),0)</f>
        <v/>
      </c>
      <c r="R363" t="n">
        <v>0</v>
      </c>
      <c r="S363" t="n">
        <v>0</v>
      </c>
      <c r="U363" t="n">
        <v>0</v>
      </c>
    </row>
    <row r="364">
      <c r="A364">
        <f>Skills!A22</f>
        <v/>
      </c>
      <c r="B364">
        <f>Skills!B22</f>
        <v/>
      </c>
      <c r="C364">
        <f>Inputs!$B$3&gt;=43</f>
        <v/>
      </c>
      <c r="D364">
        <f>IF(Skills!C22=1,60+Inputs!$B$26+Inputs!$B$30,IF(Skills!C22=2,90+Inputs!$B$27+Inputs!$B$30,IF(Skills!C22=3,120+Inputs!$B$28+Inputs!$B$30,MAX(0,(Inputs!$B$3-100)*3)+Inputs!$B$29+Inputs!$B$30)))</f>
        <v/>
      </c>
      <c r="E364">
        <f>INDEX(FactorTable!$B$2:$Y$301, MATCH(ROUND(MIN(300,MAX(1,D364)),0), FactorTable!$A$2:$A$301,0), Skills!L22+1)</f>
        <v/>
      </c>
      <c r="F364">
        <f>IF(Skills!M22=TRUE,(Skills!K22/10)*(E364/1000),Skills!K22/10)+Skills!N22</f>
        <v/>
      </c>
      <c r="G364">
        <f>Calc!G22</f>
        <v/>
      </c>
      <c r="H364">
        <f>Calc!H22</f>
        <v/>
      </c>
      <c r="I364">
        <f>IF(Skills!T22&lt;&gt;"",1+(Skills!T22/10)*($Z$3/1000)/100,1)</f>
        <v/>
      </c>
      <c r="J364" t="inlineStr"/>
      <c r="K364" t="inlineStr"/>
      <c r="L364" t="inlineStr"/>
      <c r="M364" t="inlineStr"/>
      <c r="N364" t="inlineStr"/>
      <c r="O364">
        <f>(1-Summary!$B$11)*S364+Summary!$B$11*U364</f>
        <v/>
      </c>
      <c r="P364">
        <f>IF(B385=0,0,O364/B385)</f>
        <v/>
      </c>
      <c r="Q364">
        <f>IFERROR(1/(IF(Inputs!$B$39="pvp",15,MAX(0.1,Skills!D22-IF(Skills!E22=TRUE,Inputs!$B$33,0)))*(1-IF(AND(ArtifactsInput!$M$27,Inputs!$B$4="Chapter Hunt"),CHOOSE(ArtifactsInput!$N$27+1,20,24,28,32,36,40),0)/100)),0)</f>
        <v/>
      </c>
      <c r="R364" t="n">
        <v>0</v>
      </c>
      <c r="S364" t="n">
        <v>0</v>
      </c>
      <c r="U364" t="n">
        <v>0</v>
      </c>
    </row>
    <row r="365">
      <c r="A365">
        <f>Skills!A23</f>
        <v/>
      </c>
      <c r="B365">
        <f>Skills!B23</f>
        <v/>
      </c>
      <c r="C365">
        <f>Inputs!$B$3&gt;=50</f>
        <v/>
      </c>
      <c r="D365">
        <f>IF(Skills!C23=1,60+Inputs!$B$26+Inputs!$B$30,IF(Skills!C23=2,90+Inputs!$B$27+Inputs!$B$30,IF(Skills!C23=3,120+Inputs!$B$28+Inputs!$B$30,MAX(0,(Inputs!$B$3-100)*3)+Inputs!$B$29+Inputs!$B$30)))</f>
        <v/>
      </c>
      <c r="E365">
        <f>INDEX(FactorTable!$B$2:$Y$301, MATCH(ROUND(MIN(300,MAX(1,D365)),0), FactorTable!$A$2:$A$301,0), Skills!L23+1)</f>
        <v/>
      </c>
      <c r="F365">
        <f>IF(Skills!M23=TRUE,(Skills!K23/10)*(E365/1000),Skills!K23/10)+Skills!N23</f>
        <v/>
      </c>
      <c r="G365">
        <f>Calc!G23</f>
        <v/>
      </c>
      <c r="H365">
        <f>Calc!H23</f>
        <v/>
      </c>
      <c r="I365">
        <f>IF(Skills!T23&lt;&gt;"",1+(Skills!T23/10)*($Z$3/1000)/100,1)</f>
        <v/>
      </c>
      <c r="J365" t="inlineStr"/>
      <c r="K365" t="inlineStr"/>
      <c r="L365" t="inlineStr"/>
      <c r="M365" t="inlineStr"/>
      <c r="N365" t="inlineStr"/>
      <c r="O365">
        <f>(1-Summary!$B$11)*S365+Summary!$B$11*U365</f>
        <v/>
      </c>
      <c r="P365">
        <f>IF(B385=0,0,O365/B385)</f>
        <v/>
      </c>
      <c r="Q365">
        <f>IFERROR(1/(IF(Inputs!$B$39="pvp",15,MAX(0.1,Skills!D23-IF(Skills!E23=TRUE,Inputs!$B$33,0)))*(1-IF(AND(ArtifactsInput!$M$27,Inputs!$B$4="Chapter Hunt"),CHOOSE(ArtifactsInput!$N$27+1,20,24,28,32,36,40),0)/100)),0)</f>
        <v/>
      </c>
      <c r="R365" t="n">
        <v>0</v>
      </c>
      <c r="S365" t="n">
        <v>0</v>
      </c>
      <c r="U365" t="n">
        <v>0</v>
      </c>
    </row>
    <row r="366">
      <c r="A366">
        <f>Skills!A24</f>
        <v/>
      </c>
      <c r="B366">
        <f>Skills!B24</f>
        <v/>
      </c>
      <c r="C366">
        <f>Inputs!$B$3&gt;=74</f>
        <v/>
      </c>
      <c r="D366">
        <f>IF(Skills!C24=1,60+Inputs!$B$26+Inputs!$B$30,IF(Skills!C24=2,90+Inputs!$B$27+Inputs!$B$30,IF(Skills!C24=3,120+Inputs!$B$28+Inputs!$B$30,MAX(0,(Inputs!$B$3-100)*3)+Inputs!$B$29+Inputs!$B$30)))</f>
        <v/>
      </c>
      <c r="E366">
        <f>INDEX(FactorTable!$B$2:$Y$301, MATCH(ROUND(MIN(300,MAX(1,D366)),0), FactorTable!$A$2:$A$301,0), Skills!L24+1)</f>
        <v/>
      </c>
      <c r="F366">
        <f>IF(Skills!M24=TRUE,(Skills!K24/10)*(E366/1000),Skills!K24/10)+Skills!N24</f>
        <v/>
      </c>
      <c r="G366">
        <f>Calc!G24</f>
        <v/>
      </c>
      <c r="H366">
        <f>Calc!H24</f>
        <v/>
      </c>
      <c r="I366">
        <f>IF(Skills!T24&lt;&gt;"",1+(Skills!T24/10)*($Z$3/1000)/100,1)</f>
        <v/>
      </c>
      <c r="J366" t="inlineStr"/>
      <c r="K366" t="inlineStr"/>
      <c r="L366" t="inlineStr"/>
      <c r="M366" t="inlineStr"/>
      <c r="N366" t="inlineStr"/>
      <c r="O366">
        <f>(1-Summary!$B$11)*S366+Summary!$B$11*U366</f>
        <v/>
      </c>
      <c r="P366">
        <f>IF(B385=0,0,O366/B385)</f>
        <v/>
      </c>
      <c r="Q366">
        <f>IFERROR(1/(IF(Inputs!$B$39="pvp",15,MAX(0.1,Skills!D24-IF(Skills!E24=TRUE,Inputs!$B$33,0)))*(1-IF(AND(ArtifactsInput!$M$27,Inputs!$B$4="Chapter Hunt"),CHOOSE(ArtifactsInput!$N$27+1,20,24,28,32,36,40),0)/100)),0)</f>
        <v/>
      </c>
      <c r="R366" t="n">
        <v>0</v>
      </c>
      <c r="S366" t="n">
        <v>0</v>
      </c>
      <c r="U366" t="n">
        <v>0</v>
      </c>
    </row>
    <row r="367">
      <c r="A367">
        <f>Skills!A25</f>
        <v/>
      </c>
      <c r="B367">
        <f>Skills!B25</f>
        <v/>
      </c>
      <c r="C367">
        <f>Inputs!$B$3&gt;=74</f>
        <v/>
      </c>
      <c r="D367">
        <f>IF(Skills!C25=1,60+Inputs!$B$26+Inputs!$B$30,IF(Skills!C25=2,90+Inputs!$B$27+Inputs!$B$30,IF(Skills!C25=3,120+Inputs!$B$28+Inputs!$B$30,MAX(0,(Inputs!$B$3-100)*3)+Inputs!$B$29+Inputs!$B$30)))</f>
        <v/>
      </c>
      <c r="E367">
        <f>INDEX(FactorTable!$B$2:$Y$301, MATCH(ROUND(MIN(300,MAX(1,D367)),0), FactorTable!$A$2:$A$301,0), Skills!L25+1)</f>
        <v/>
      </c>
      <c r="F367">
        <f>IF(Skills!M25=TRUE,(Skills!K25/10)*(E367/1000),Skills!K25/10)+Skills!N25</f>
        <v/>
      </c>
      <c r="G367">
        <f>Calc!G25</f>
        <v/>
      </c>
      <c r="H367">
        <f>Calc!H25</f>
        <v/>
      </c>
      <c r="I367">
        <f>IF(Skills!T25&lt;&gt;"",1+(Skills!T25/10)*($Z$3/1000)/100,1)</f>
        <v/>
      </c>
      <c r="J367" t="inlineStr"/>
      <c r="K367" t="inlineStr"/>
      <c r="L367" t="inlineStr"/>
      <c r="M367" t="inlineStr"/>
      <c r="N367" t="inlineStr"/>
      <c r="O367">
        <f>(1-Summary!$B$11)*S367+Summary!$B$11*U367</f>
        <v/>
      </c>
      <c r="P367">
        <f>IF(B385=0,0,O367/B385)</f>
        <v/>
      </c>
      <c r="Q367">
        <f>IFERROR(1/(IF(Inputs!$B$39="pvp",15,MAX(0.1,Skills!D25-IF(Skills!E25=TRUE,Inputs!$B$33,0)))*(1-IF(AND(ArtifactsInput!$M$27,Inputs!$B$4="Chapter Hunt"),CHOOSE(ArtifactsInput!$N$27+1,20,24,28,32,36,40),0)/100)),0)</f>
        <v/>
      </c>
      <c r="R367" t="n">
        <v>0</v>
      </c>
      <c r="S367" t="n">
        <v>0</v>
      </c>
      <c r="U367" t="n">
        <v>0</v>
      </c>
    </row>
    <row r="368">
      <c r="A368">
        <f>Skills!A26</f>
        <v/>
      </c>
      <c r="B368">
        <f>Skills!B26</f>
        <v/>
      </c>
      <c r="C368">
        <f>Inputs!$B$3&gt;=117</f>
        <v/>
      </c>
      <c r="D368">
        <f>IF(Skills!C26=1,60+Inputs!$B$26+Inputs!$B$30,IF(Skills!C26=2,90+Inputs!$B$27+Inputs!$B$30,IF(Skills!C26=3,120+Inputs!$B$28+Inputs!$B$30,MAX(0,(Inputs!$B$3-100)*3)+Inputs!$B$29+Inputs!$B$30)))</f>
        <v/>
      </c>
      <c r="E368">
        <f>INDEX(FactorTable!$B$2:$Y$301, MATCH(ROUND(MIN(300,MAX(1,D368)),0), FactorTable!$A$2:$A$301,0), Skills!L26+1)</f>
        <v/>
      </c>
      <c r="F368">
        <f>IF(Skills!M26=TRUE,(Skills!K26/10)*(E368/1000),Skills!K26/10)+Skills!N26</f>
        <v/>
      </c>
      <c r="G368">
        <f>Calc!G26</f>
        <v/>
      </c>
      <c r="H368">
        <f>Calc!H26</f>
        <v/>
      </c>
      <c r="I368">
        <f>IF(Skills!T26&lt;&gt;"",1+(Skills!T26/10)*($Z$3/1000)/100,1)</f>
        <v/>
      </c>
      <c r="J368" t="inlineStr"/>
      <c r="K368" t="inlineStr"/>
      <c r="L368" t="inlineStr"/>
      <c r="M368" t="inlineStr"/>
      <c r="N368" t="inlineStr"/>
      <c r="O368">
        <f>(1-Summary!$B$11)*S368+Summary!$B$11*U368</f>
        <v/>
      </c>
      <c r="P368">
        <f>IF(B385=0,0,O368/B385)</f>
        <v/>
      </c>
      <c r="Q368">
        <f>IFERROR(1/(IF(Inputs!$B$39="pvp",15,MAX(0.1,Skills!D26-IF(Skills!E26=TRUE,Inputs!$B$33,0)))*(1-IF(AND(ArtifactsInput!$M$27,Inputs!$B$4="Chapter Hunt"),CHOOSE(ArtifactsInput!$N$27+1,20,24,28,32,36,40),0)/100)),0)</f>
        <v/>
      </c>
      <c r="R368" t="n">
        <v>0</v>
      </c>
      <c r="S368" t="n">
        <v>0</v>
      </c>
      <c r="U368" t="n">
        <v>0</v>
      </c>
    </row>
    <row r="369">
      <c r="A369">
        <f>Skills!A27</f>
        <v/>
      </c>
      <c r="B369">
        <f>Skills!B27</f>
        <v/>
      </c>
      <c r="C369">
        <f>Inputs!$B$3&gt;=120</f>
        <v/>
      </c>
      <c r="D369">
        <f>IF(Skills!C27=1,60+Inputs!$B$26+Inputs!$B$30,IF(Skills!C27=2,90+Inputs!$B$27+Inputs!$B$30,IF(Skills!C27=3,120+Inputs!$B$28+Inputs!$B$30,MAX(0,(Inputs!$B$3-100)*3)+Inputs!$B$29+Inputs!$B$30)))</f>
        <v/>
      </c>
      <c r="E369">
        <f>INDEX(FactorTable!$B$2:$Y$301, MATCH(ROUND(MIN(300,MAX(1,D369)),0), FactorTable!$A$2:$A$301,0), Skills!L27+1)</f>
        <v/>
      </c>
      <c r="F369">
        <f>IF(Skills!M27=TRUE,(Skills!K27/10)*(E369/1000),Skills!K27/10)+Skills!N27</f>
        <v/>
      </c>
      <c r="G369">
        <f>Calc!G27</f>
        <v/>
      </c>
      <c r="H369">
        <f>Calc!H27</f>
        <v/>
      </c>
      <c r="I369">
        <f>IF(Skills!T27&lt;&gt;"",1+(Skills!T27/10)*($Z$3/1000)/100,1)</f>
        <v/>
      </c>
      <c r="J369" t="inlineStr"/>
      <c r="K369" t="inlineStr"/>
      <c r="L369" t="inlineStr"/>
      <c r="M369" t="inlineStr"/>
      <c r="N369" t="inlineStr"/>
      <c r="O369">
        <f>(1-Summary!$B$11)*S369+Summary!$B$11*U369</f>
        <v/>
      </c>
      <c r="P369">
        <f>IF(B385=0,0,O369/B385)</f>
        <v/>
      </c>
      <c r="Q369">
        <f>IFERROR(1/(IF(Inputs!$B$39="pvp",15,MAX(0.1,Skills!D27-IF(Skills!E27=TRUE,Inputs!$B$33,0)))*(1-IF(AND(ArtifactsInput!$M$27,Inputs!$B$4="Chapter Hunt"),CHOOSE(ArtifactsInput!$N$27+1,20,24,28,32,36,40),0)/100)),0)</f>
        <v/>
      </c>
      <c r="R369" t="n">
        <v>0</v>
      </c>
      <c r="S369" t="n">
        <v>0</v>
      </c>
      <c r="U369" t="n">
        <v>0</v>
      </c>
    </row>
    <row r="370">
      <c r="A370">
        <f>Skills!A28</f>
        <v/>
      </c>
      <c r="B370">
        <f>Skills!B28</f>
        <v/>
      </c>
      <c r="C370">
        <f>TRUE</f>
        <v/>
      </c>
      <c r="D370">
        <f>IF(Skills!C28=1,60+Inputs!$B$26+Inputs!$B$30,IF(Skills!C28=2,90+Inputs!$B$27+Inputs!$B$30,IF(Skills!C28=3,120+Inputs!$B$28+Inputs!$B$30,MAX(0,(Inputs!$B$3-100)*3)+Inputs!$B$29+Inputs!$B$30)))</f>
        <v/>
      </c>
      <c r="E370">
        <f>INDEX(FactorTable!$B$2:$Y$301, MATCH(ROUND(MIN(300,MAX(1,D370)),0), FactorTable!$A$2:$A$301,0), Skills!L28+1)</f>
        <v/>
      </c>
      <c r="F370">
        <f>IF(Skills!M28=TRUE,(Skills!K28/10)*(E370/1000),Skills!K28/10)+Skills!N28</f>
        <v/>
      </c>
      <c r="G370">
        <f>Calc!G28</f>
        <v/>
      </c>
      <c r="H370">
        <f>Calc!H28</f>
        <v/>
      </c>
      <c r="I370">
        <f>IF(Skills!T28&lt;&gt;"",1+(Skills!T28/10)*($Z$3/1000)/100,1)</f>
        <v/>
      </c>
      <c r="J370" t="inlineStr"/>
      <c r="K370" t="inlineStr"/>
      <c r="L370" t="inlineStr"/>
      <c r="M370" t="inlineStr"/>
      <c r="N370" t="inlineStr"/>
      <c r="O370">
        <f>(1-Summary!$B$11)*S370+Summary!$B$11*U370</f>
        <v/>
      </c>
      <c r="P370">
        <f>IF(B385=0,0,O370/B385)</f>
        <v/>
      </c>
      <c r="Q370">
        <f>IFERROR(1/(IF(Inputs!$B$39="pvp",15,MAX(0.1,Skills!D28-IF(Skills!E28=TRUE,Inputs!$B$33,0)))*(1-IF(AND(ArtifactsInput!$M$27,Inputs!$B$4="Chapter Hunt"),CHOOSE(ArtifactsInput!$N$27+1,20,24,28,32,36,40),0)/100)),0)</f>
        <v/>
      </c>
      <c r="R370">
        <f>IF(AND(Inputs!$B$39&lt;&gt;"pvp",Inputs!$B$44&gt;0),IF(Inputs!$B$44&lt;=0,0,(INT(Inputs!$B$44/(IF(Inputs!$B$39="pvp",15,MAX(0.1,Skills!D28-IF(Skills!E28=TRUE,Inputs!$B$33,0)))*(1-IF(AND(ArtifactsInput!$M$27,Inputs!$B$4="Chapter Hunt"),CHOOSE(ArtifactsInput!$N$27+1,20,24,28,32,36,40),0)/100)))+1)),0)</f>
        <v/>
      </c>
      <c r="S370" t="n">
        <v>0</v>
      </c>
      <c r="U370" t="n">
        <v>0</v>
      </c>
    </row>
    <row r="372">
      <c r="A372" t="inlineStr">
        <is>
          <t>Average Buff Multiplier</t>
        </is>
      </c>
      <c r="B372">
        <f>(1+(IF(C345=TRUE,F345*IF(AND(Inputs!$B$39&lt;&gt;"pvp",Inputs!$B$44&gt;0),(((R345-1)*(Skills!S3*(1+((Inputs!$B$35+(ArtifactsInput!$M$7-ArtifactsInput!$M$7)*CHOOSE(ArtifactsInput!$N$7+1,6,7.2,8.4,9.6,10.8,12))+IF(Inputs!$B$3&gt;=117,F368,0))/100))+MIN((Skills!S3*(1+((Inputs!$B$35+(ArtifactsInput!$M$7-ArtifactsInput!$M$7)*CHOOSE(ArtifactsInput!$N$7+1,6,7.2,8.4,9.6,10.8,12))+IF(Inputs!$B$3&gt;=117,F368,0))/100)),MAX(0,Inputs!$B$44-((R345-1)*Skills!D3))))/Inputs!$B$44),IF(Inputs!$B$39="pvp",MIN((Skills!S3*(1+((Inputs!$B$35+(ArtifactsInput!$M$7-ArtifactsInput!$M$7)*CHOOSE(ArtifactsInput!$N$7+1,6,7.2,8.4,9.6,10.8,12))+IF(Inputs!$B$3&gt;=117,F368,0))/100)),15)/15,(Skills!S3*(1+((Inputs!$B$35+(ArtifactsInput!$M$7-ArtifactsInput!$M$7)*CHOOSE(ArtifactsInput!$N$7+1,6,7.2,8.4,9.6,10.8,12))+IF(Inputs!$B$3&gt;=117,F368,0))/100))/Skills!D3)),0)+IF(C346=TRUE,F346*IF(AND(Inputs!$B$39&lt;&gt;"pvp",Inputs!$B$44&gt;0),(((R346-1)*(Skills!S4*(1+((Inputs!$B$35+(ArtifactsInput!$M$7-ArtifactsInput!$M$7)*CHOOSE(ArtifactsInput!$N$7+1,6,7.2,8.4,9.6,10.8,12))+IF(Inputs!$B$3&gt;=117,F368,0))/100))+MIN((Skills!S4*(1+((Inputs!$B$35+(ArtifactsInput!$M$7-ArtifactsInput!$M$7)*CHOOSE(ArtifactsInput!$N$7+1,6,7.2,8.4,9.6,10.8,12))+IF(Inputs!$B$3&gt;=117,F368,0))/100)),MAX(0,Inputs!$B$44-((R346-1)*Skills!D4))))/Inputs!$B$44),IF(Inputs!$B$39="pvp",MIN((Skills!S4*(1+((Inputs!$B$35+(ArtifactsInput!$M$7-ArtifactsInput!$M$7)*CHOOSE(ArtifactsInput!$N$7+1,6,7.2,8.4,9.6,10.8,12))+IF(Inputs!$B$3&gt;=117,F368,0))/100)),15)/15,(Skills!S4*(1+((Inputs!$B$35+(ArtifactsInput!$M$7-ArtifactsInput!$M$7)*CHOOSE(ArtifactsInput!$N$7+1,6,7.2,8.4,9.6,10.8,12))+IF(Inputs!$B$3&gt;=117,F368,0))/100))/Skills!D4)),0)+IF(C347=TRUE,F347*IF(AND(Inputs!$B$39&lt;&gt;"pvp",Inputs!$B$44&gt;0),(((R347-1)*(Skills!S5*(1+((Inputs!$B$35+(ArtifactsInput!$M$7-ArtifactsInput!$M$7)*CHOOSE(ArtifactsInput!$N$7+1,6,7.2,8.4,9.6,10.8,12))+IF(Inputs!$B$3&gt;=117,F368,0))/100))+MIN((Skills!S5*(1+((Inputs!$B$35+(ArtifactsInput!$M$7-ArtifactsInput!$M$7)*CHOOSE(ArtifactsInput!$N$7+1,6,7.2,8.4,9.6,10.8,12))+IF(Inputs!$B$3&gt;=117,F368,0))/100)),MAX(0,Inputs!$B$44-((R347-1)*Skills!D5))))/Inputs!$B$44),IF(Inputs!$B$39="pvp",MIN((Skills!S5*(1+((Inputs!$B$35+(ArtifactsInput!$M$7-ArtifactsInput!$M$7)*CHOOSE(ArtifactsInput!$N$7+1,6,7.2,8.4,9.6,10.8,12))+IF(Inputs!$B$3&gt;=117,F368,0))/100)),15)/15,(Skills!S5*(1+((Inputs!$B$35+(ArtifactsInput!$M$7-ArtifactsInput!$M$7)*CHOOSE(ArtifactsInput!$N$7+1,6,7.2,8.4,9.6,10.8,12))+IF(Inputs!$B$3&gt;=117,F368,0))/100))/Skills!D5)),0)+IF(C353=TRUE,F353*IF(AND(Inputs!$B$39&lt;&gt;"pvp",Inputs!$B$44&gt;0),(((R353-1)*(Skills!S11*(1+((Inputs!$B$35+(ArtifactsInput!$M$7-ArtifactsInput!$M$7)*CHOOSE(ArtifactsInput!$N$7+1,6,7.2,8.4,9.6,10.8,12))+IF(Inputs!$B$3&gt;=117,F368,0))/100))+MIN((Skills!S11*(1+((Inputs!$B$35+(ArtifactsInput!$M$7-ArtifactsInput!$M$7)*CHOOSE(ArtifactsInput!$N$7+1,6,7.2,8.4,9.6,10.8,12))+IF(Inputs!$B$3&gt;=117,F368,0))/100)),MAX(0,Inputs!$B$44-((R353-1)*Skills!D11))))/Inputs!$B$44),IF(Inputs!$B$39="pvp",MIN((Skills!S11*(1+((Inputs!$B$35+(ArtifactsInput!$M$7-ArtifactsInput!$M$7)*CHOOSE(ArtifactsInput!$N$7+1,6,7.2,8.4,9.6,10.8,12))+IF(Inputs!$B$3&gt;=117,F368,0))/100)),15)/15,(Skills!S11*(1+((Inputs!$B$35+(ArtifactsInput!$M$7-ArtifactsInput!$M$7)*CHOOSE(ArtifactsInput!$N$7+1,6,7.2,8.4,9.6,10.8,12))+IF(Inputs!$B$3&gt;=117,F368,0)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356=TRUE,(1+F356*IF(AND(Inputs!$B$39&lt;&gt;"pvp",Inputs!$B$44&gt;0),(((R356-1)*(Skills!S14*(1+((Inputs!$B$35+(ArtifactsInput!$M$7-ArtifactsInput!$M$7)*CHOOSE(ArtifactsInput!$N$7+1,6,7.2,8.4,9.6,10.8,12))+IF(Inputs!$B$3&gt;=117,F368,0))/100))+MIN((Skills!S14*(1+((Inputs!$B$35+(ArtifactsInput!$M$7-ArtifactsInput!$M$7)*CHOOSE(ArtifactsInput!$N$7+1,6,7.2,8.4,9.6,10.8,12))+IF(Inputs!$B$3&gt;=117,F368,0))/100)),MAX(0,Inputs!$B$44-((R356-1)*Skills!D14))))/Inputs!$B$44),IF(Inputs!$B$39="pvp",MIN((Skills!S14*(1+((Inputs!$B$35+(ArtifactsInput!$M$7-ArtifactsInput!$M$7)*CHOOSE(ArtifactsInput!$N$7+1,6,7.2,8.4,9.6,10.8,12))+IF(Inputs!$B$3&gt;=117,F368,0))/100)),15)/15,(Skills!S14*(1+((Inputs!$B$35+(ArtifactsInput!$M$7-ArtifactsInput!$M$7)*CHOOSE(ArtifactsInput!$N$7+1,6,7.2,8.4,9.6,10.8,12))+IF(Inputs!$B$3&gt;=117,F368,0))/100))/Skills!D14))/100),1)*IF(C361=TRUE,(1+F361*IF(AND(Inputs!$B$39&lt;&gt;"pvp",Inputs!$B$44&gt;0),(((R361-1)*(Skills!S19*(1+((Inputs!$B$35+(ArtifactsInput!$M$7-ArtifactsInput!$M$7)*CHOOSE(ArtifactsInput!$N$7+1,6,7.2,8.4,9.6,10.8,12))+IF(Inputs!$B$3&gt;=117,F368,0))/100))+MIN((Skills!S19*(1+((Inputs!$B$35+(ArtifactsInput!$M$7-ArtifactsInput!$M$7)*CHOOSE(ArtifactsInput!$N$7+1,6,7.2,8.4,9.6,10.8,12))+IF(Inputs!$B$3&gt;=117,F368,0))/100)),MAX(0,Inputs!$B$44-((R361-1)*Skills!D19))))/Inputs!$B$44),IF(Inputs!$B$39="pvp",MIN((Skills!S19*(1+((Inputs!$B$35+(ArtifactsInput!$M$7-ArtifactsInput!$M$7)*CHOOSE(ArtifactsInput!$N$7+1,6,7.2,8.4,9.6,10.8,12))+IF(Inputs!$B$3&gt;=117,F368,0))/100)),15)/15,(Skills!S19*(1+((Inputs!$B$35+(ArtifactsInput!$M$7-ArtifactsInput!$M$7)*CHOOSE(ArtifactsInput!$N$7+1,6,7.2,8.4,9.6,10.8,12))+IF(Inputs!$B$3&gt;=117,F368,0))/100))/Skills!D19))/100),1)</f>
        <v/>
      </c>
    </row>
    <row r="373">
      <c r="A373" t="inlineStr">
        <is>
          <t>Monster Damage Taken Bonus % (Holy Fountain)</t>
        </is>
      </c>
      <c r="B373">
        <f>IF(Inputs!$B$3&gt;=68,20*IF(Inputs!$B$39="pvp",MIN((15*(1+((Inputs!$B$35+(ArtifactsInput!$M$7-ArtifactsInput!$M$7)*CHOOSE(ArtifactsInput!$N$7+1,6,7.2,8.4,9.6,10.8,12))+IF(Inputs!$B$3&gt;=117,F368,0))/100)),15)/15,(15*(1+((Inputs!$B$35+(ArtifactsInput!$M$7-ArtifactsInput!$M$7)*CHOOSE(ArtifactsInput!$N$7+1,6,7.2,8.4,9.6,10.8,12))+IF(Inputs!$B$3&gt;=117,F368,0))/100))/Skills!D10),0)</f>
        <v/>
      </c>
    </row>
    <row r="374">
      <c r="A374" t="inlineStr">
        <is>
          <t>Normal Monster Damage Bonus % (Holy Symbol)</t>
        </is>
      </c>
      <c r="B374">
        <f>IF(C354=TRUE,F354*IF(AND(Inputs!$B$39&lt;&gt;"pvp",Inputs!$B$44&gt;0),(((R354-1)*(Skills!S12*(1+((Inputs!$B$35+(ArtifactsInput!$M$7-ArtifactsInput!$M$7)*CHOOSE(ArtifactsInput!$N$7+1,6,7.2,8.4,9.6,10.8,12))+IF(Inputs!$B$3&gt;=117,F368,0))/100))+MIN((Skills!S12*(1+((Inputs!$B$35+(ArtifactsInput!$M$7-ArtifactsInput!$M$7)*CHOOSE(ArtifactsInput!$N$7+1,6,7.2,8.4,9.6,10.8,12))+IF(Inputs!$B$3&gt;=117,F368,0))/100)),MAX(0,Inputs!$B$44-((R354-1)*Skills!D12))))/Inputs!$B$44),IF(Inputs!$B$39="pvp",MIN((Skills!S12*(1+((Inputs!$B$35+(ArtifactsInput!$M$7-ArtifactsInput!$M$7)*CHOOSE(ArtifactsInput!$N$7+1,6,7.2,8.4,9.6,10.8,12))+IF(Inputs!$B$3&gt;=117,F368,0))/100)),15)/15,(Skills!S12*(1+((Inputs!$B$35+(ArtifactsInput!$M$7-ArtifactsInput!$M$7)*CHOOSE(ArtifactsInput!$N$7+1,6,7.2,8.4,9.6,10.8,12))+IF(Inputs!$B$3&gt;=117,F368,0))/100))/Skills!D12)),0)</f>
        <v/>
      </c>
    </row>
    <row r="375">
      <c r="A375" t="inlineStr">
        <is>
          <t>Damage % Bonus (Holy Symbol - Damage Boost)</t>
        </is>
      </c>
      <c r="B375">
        <f>Skills!O12</f>
        <v/>
      </c>
    </row>
    <row r="376">
      <c r="A376" t="inlineStr">
        <is>
          <t>Crit Damage % Bonus (Blood of the Divine)</t>
        </is>
      </c>
      <c r="B376">
        <f>4*IF(C362=TRUE,F362,0)</f>
        <v/>
      </c>
    </row>
    <row r="377">
      <c r="A377" t="inlineStr">
        <is>
          <t>Attack Speed Bonus %</t>
        </is>
      </c>
      <c r="B377">
        <f>IF(C359=TRUE,F359+(F363-Calc!F21),0)+IF(Inputs!$B$3&gt;=134,15,0)+((C370=TRUE)*F370*IF(AND(Inputs!$B$39&lt;&gt;"pvp",Inputs!$B$44&gt;0),(((R370-1)*(Skills!S28*(1+((Inputs!$B$35+(ArtifactsInput!$M$7-ArtifactsInput!$M$7)*CHOOSE(ArtifactsInput!$N$7+1,6,7.2,8.4,9.6,10.8,12))+IF(Inputs!$B$3&gt;=117,F368,0))/100))+MIN((Skills!S28*(1+((Inputs!$B$35+(ArtifactsInput!$M$7-ArtifactsInput!$M$7)*CHOOSE(ArtifactsInput!$N$7+1,6,7.2,8.4,9.6,10.8,12))+IF(Inputs!$B$3&gt;=117,F368,0))/100)),MAX(0,Inputs!$B$44-((R370-1)*Skills!D28))))/Inputs!$B$44),IF(Inputs!$B$39="pvp",MIN((Skills!S28*(1+((Inputs!$B$35+(ArtifactsInput!$M$7-ArtifactsInput!$M$7)*CHOOSE(ArtifactsInput!$N$7+1,6,7.2,8.4,9.6,10.8,12))+IF(Inputs!$B$3&gt;=117,F368,0))/100)),15)/15,(Skills!S28*(1+((Inputs!$B$35+(ArtifactsInput!$M$7-ArtifactsInput!$M$7)*CHOOSE(ArtifactsInput!$N$7+1,6,7.2,8.4,9.6,10.8,12))+IF(Inputs!$B$3&gt;=117,F368,0))/100))/Skills!D28)))</f>
        <v/>
      </c>
    </row>
    <row r="378">
      <c r="A378" t="inlineStr">
        <is>
          <t>Actions Per Second</t>
        </is>
      </c>
      <c r="B378">
        <f>1+MIN(150,150*(1-(1-Inputs!$B$12/150)*(1-B377/150)))/100</f>
        <v/>
      </c>
    </row>
    <row r="379">
      <c r="A379" t="inlineStr">
        <is>
          <t>Skill + Buff Cast Rate</t>
        </is>
      </c>
      <c r="B379">
        <f>IF(AND(Inputs!$B$39&lt;&gt;"pvp",Inputs!$B$44&gt;0),SUMPRODUCT((Skills!E2:E28=TRUE)*(C344:C370=TRUE)*R344:R370)/Inputs!$B$44,SUMPRODUCT((Skills!E2:E28=TRUE)*(C344:C370=TRUE)*Q344:Q370))</f>
        <v/>
      </c>
    </row>
    <row r="380">
      <c r="A380" t="inlineStr">
        <is>
          <t>Big Bang Casts Per Second</t>
        </is>
      </c>
      <c r="B380">
        <f>MAX(0,B378-B379)</f>
        <v/>
      </c>
    </row>
    <row r="381">
      <c r="A381" t="inlineStr">
        <is>
          <t>Defense % Bonus (Divine Protection)</t>
        </is>
      </c>
      <c r="B381">
        <f>IF(C355=TRUE,F355*IF(AND(Inputs!$B$39&lt;&gt;"pvp",Inputs!$B$44&gt;0),(((R355-1)*(Skills!S13*(1+((Inputs!$B$35+(ArtifactsInput!$M$7-ArtifactsInput!$M$7)*CHOOSE(ArtifactsInput!$N$7+1,6,7.2,8.4,9.6,10.8,12))+IF(Inputs!$B$3&gt;=117,F368,0))/100))+MIN((Skills!S13*(1+((Inputs!$B$35+(ArtifactsInput!$M$7-ArtifactsInput!$M$7)*CHOOSE(ArtifactsInput!$N$7+1,6,7.2,8.4,9.6,10.8,12))+IF(Inputs!$B$3&gt;=117,F368,0))/100)),MAX(0,Inputs!$B$44-((R355-1)*Skills!D13))))/Inputs!$B$44),IF(Inputs!$B$39="pvp",MIN((Skills!S13*(1+((Inputs!$B$35+(ArtifactsInput!$M$7-ArtifactsInput!$M$7)*CHOOSE(ArtifactsInput!$N$7+1,6,7.2,8.4,9.6,10.8,12))+IF(Inputs!$B$3&gt;=117,F368,0))/100)),15)/15,(Skills!S13*(1+((Inputs!$B$35+(ArtifactsInput!$M$7-ArtifactsInput!$M$7)*CHOOSE(ArtifactsInput!$N$7+1,6,7.2,8.4,9.6,10.8,12))+IF(Inputs!$B$3&gt;=117,F368,0))/100))/Skills!D13)),0)</f>
        <v/>
      </c>
    </row>
    <row r="382">
      <c r="A382" t="inlineStr">
        <is>
          <t>Buff-Casting Startup Delay (s, fixed-duration only)</t>
        </is>
      </c>
      <c r="B382">
        <f>IF(AND(Inputs!$B$39&lt;&gt;"pvp",Inputs!$B$44&gt;0),SUMPRODUCT((Skills!S2:S28&gt;0)*(Skills!E2:E28=TRUE)*(C344:C370=TRUE))/B378,0)</f>
        <v/>
      </c>
    </row>
    <row r="383">
      <c r="A383" t="inlineStr">
        <is>
          <t>Boss-Only Total DPS (this block's swept value)</t>
        </is>
      </c>
      <c r="B383">
        <f>SUM(S344:S370)</f>
        <v/>
      </c>
    </row>
    <row r="384">
      <c r="A384" t="inlineStr">
        <is>
          <t>Normal-Only Total DPS (this block's swept value)</t>
        </is>
      </c>
      <c r="B384">
        <f>SUM(U344:U370)</f>
        <v/>
      </c>
    </row>
    <row r="385">
      <c r="A385" s="6" t="inlineStr">
        <is>
          <t>TOTAL DPS</t>
        </is>
      </c>
      <c r="B385" s="6">
        <f>SUM(O344:O370)</f>
        <v/>
      </c>
    </row>
    <row r="387">
      <c r="A387" s="6" t="inlineStr">
        <is>
          <t>Stat: NORMAL_DAMAGE %</t>
        </is>
      </c>
    </row>
    <row r="388">
      <c r="A388" s="5" t="inlineStr">
        <is>
          <t>Key</t>
        </is>
      </c>
      <c r="B388" s="5" t="inlineStr">
        <is>
          <t>Name</t>
        </is>
      </c>
      <c r="C388" s="5" t="inlineStr">
        <is>
          <t>Unlocked</t>
        </is>
      </c>
      <c r="D388" s="5" t="inlineStr">
        <is>
          <t>InputLevel</t>
        </is>
      </c>
      <c r="E388" s="5" t="inlineStr">
        <is>
          <t>Factor</t>
        </is>
      </c>
      <c r="F388" s="5" t="inlineStr">
        <is>
          <t>CoefficientPercent</t>
        </is>
      </c>
      <c r="G388" s="5" t="inlineStr">
        <is>
          <t>EffectiveHits</t>
        </is>
      </c>
      <c r="H388" s="5" t="inlineStr">
        <is>
          <t>ProcProbability</t>
        </is>
      </c>
      <c r="I388" s="5" t="inlineStr">
        <is>
          <t>MapleHeroMultiplier</t>
        </is>
      </c>
      <c r="J388" s="5" t="inlineStr">
        <is>
          <t>BaseDamage</t>
        </is>
      </c>
      <c r="K388" s="5" t="inlineStr">
        <is>
          <t>BaseHitDamage</t>
        </is>
      </c>
      <c r="L388" s="5" t="inlineStr">
        <is>
          <t>NonCritAvg</t>
        </is>
      </c>
      <c r="M388" s="5" t="inlineStr">
        <is>
          <t>CritAvg</t>
        </is>
      </c>
      <c r="N388" s="5" t="inlineStr">
        <is>
          <t>ExpectedDamage(perHit)</t>
        </is>
      </c>
      <c r="O388" s="5" t="inlineStr">
        <is>
          <t>DPS</t>
        </is>
      </c>
      <c r="P388" s="5" t="inlineStr">
        <is>
          <t>% of Total</t>
        </is>
      </c>
      <c r="R388" t="inlineStr">
        <is>
          <t>helpers</t>
        </is>
      </c>
    </row>
    <row r="389">
      <c r="A389">
        <f>Skills!A2</f>
        <v/>
      </c>
      <c r="B389">
        <f>Skills!B2</f>
        <v/>
      </c>
      <c r="C389">
        <f>Inputs!$B$3&gt;=100</f>
        <v/>
      </c>
      <c r="D389" t="inlineStr"/>
      <c r="E389" t="inlineStr"/>
      <c r="F389">
        <f>T391+Skills!N2</f>
        <v/>
      </c>
      <c r="G389">
        <f>Calc!G2</f>
        <v/>
      </c>
      <c r="H389">
        <f>Calc!H2</f>
        <v/>
      </c>
      <c r="I389">
        <f>IF(Skills!T2&lt;&gt;"",1+(Skills!T2/10)*($Z$3/1000)/100,1)</f>
        <v/>
      </c>
      <c r="J389">
        <f>((Inputs!$B$6*(1+Inputs!$B$7/100))+(((Inputs!$B$13*(1+Inputs!$B$14/100))-(Inputs!$B$13*(1+Inputs!$B$14/100)))+0.25*(Inputs!$B$15-Inputs!$B$15))*(1+Inputs!$B$7/100))*(F389/100)</f>
        <v/>
      </c>
      <c r="K389">
        <f>J389*(1+(((Inputs!$B$13+IF(Inputs!$B$3&gt;=35,(10*INDEX(FactorTable!$B$2:$Y$301,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2="TRIUMPH_FEATHER",IF(C403=TRUE,F403,0),0)/100)*(1+IF(C414=TRUE,F414,0)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389)</f>
        <v/>
      </c>
      <c r="L389">
        <f>K389*(MIN(Inputs!$B$23+(F409-Calc!F22),(Inputs!$B$24+IF(ArtifactsInput!$M$15,CHOOSE(ArtifactsInput!$N$15+1,25,30,35,40,45,50)/100*(Inputs!$B$12-Inputs!$B$12),0)))/100+(Inputs!$B$24+IF(ArtifactsInput!$M$15,CHOOSE(ArtifactsInput!$N$15+1,25,30,35,40,45,50)/100*(Inputs!$B$12-Inputs!$B$12),0))/100)/2</f>
        <v/>
      </c>
      <c r="M389">
        <f>L389*(1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9">
        <f>L389*(1-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(1-Summary!$B$11)*S389+Summary!$B$11*U389</f>
        <v/>
      </c>
      <c r="P389">
        <f>IF(B430=0,0,O389/B430)</f>
        <v/>
      </c>
      <c r="Q389">
        <f>IFERROR(1/(IF(Inputs!$B$39="pvp",15,MAX(0.1,Skills!D2-IF(Skills!E2=TRUE,Inputs!$B$33,0)))*(1-IF(AND(ArtifactsInput!$M$27,Inputs!$B$4="Chapter Hunt"),CHOOSE(ArtifactsInput!$N$27+1,20,24,28,32,36,40),0)/100)),0)</f>
        <v/>
      </c>
      <c r="R389" t="n">
        <v>0</v>
      </c>
      <c r="S389">
        <f>IF(C389,(Skills!F2*N389*B425)*IF(Inputs!$B$39="pvp",1,1+(Inputs!$B$21+Skills!O2+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389*(1-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89">
        <f>MAX(0,(Inputs!$B$3-100)*3)+Inputs!$B$29+Inputs!$B$30</f>
        <v/>
      </c>
      <c r="U389">
        <f>IF(C389,(Skills!F2*N389*B425)*IF(Inputs!$B$39="pvp",1,(1+((Inputs!$B$22+1)+Skills!P2+B419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Skills!A3</f>
        <v/>
      </c>
      <c r="B390">
        <f>Skills!B3</f>
        <v/>
      </c>
      <c r="C390">
        <f>Inputs!$B$3&gt;=15</f>
        <v/>
      </c>
      <c r="D390">
        <f>IF(Skills!C3=1,60+Inputs!$B$26+Inputs!$B$30,IF(Skills!C3=2,90+Inputs!$B$27+Inputs!$B$30,IF(Skills!C3=3,120+Inputs!$B$28+Inputs!$B$30,MAX(0,(Inputs!$B$3-100)*3)+Inputs!$B$29+Inputs!$B$30)))</f>
        <v/>
      </c>
      <c r="E390">
        <f>INDEX(FactorTable!$B$2:$Y$301, MATCH(ROUND(MIN(300,MAX(1,D390)),0), FactorTable!$A$2:$A$301,0), Skills!L3+1)</f>
        <v/>
      </c>
      <c r="F390">
        <f>IF(Skills!M3=TRUE,(Skills!K3/10)*(E390/1000),Skills!K3/10)+Skills!N3</f>
        <v/>
      </c>
      <c r="G390">
        <f>Calc!G3</f>
        <v/>
      </c>
      <c r="H390">
        <f>Calc!H3</f>
        <v/>
      </c>
      <c r="I390">
        <f>IF(Skills!T3&lt;&gt;"",1+(Skills!T3/10)*($Z$3/1000)/100,1)</f>
        <v/>
      </c>
      <c r="J390" t="inlineStr"/>
      <c r="K390" t="inlineStr"/>
      <c r="L390" t="inlineStr"/>
      <c r="M390" t="inlineStr"/>
      <c r="N390" t="inlineStr"/>
      <c r="O390">
        <f>(1-Summary!$B$11)*S390+Summary!$B$11*U390</f>
        <v/>
      </c>
      <c r="P390">
        <f>IF(B430=0,0,O390/B430)</f>
        <v/>
      </c>
      <c r="Q390">
        <f>IFERROR(1/(IF(Inputs!$B$39="pvp",15,MAX(0.1,Skills!D3-IF(Skills!E3=TRUE,Inputs!$B$33,0)))*(1-IF(AND(ArtifactsInput!$M$27,Inputs!$B$4="Chapter Hunt"),CHOOSE(ArtifactsInput!$N$27+1,20,24,28,32,36,40),0)/100)),0)</f>
        <v/>
      </c>
      <c r="R390">
        <f>IF(AND(Inputs!$B$39&lt;&gt;"pvp",Inputs!$B$44&gt;0),IF(Inputs!$B$44&lt;=0,0,(INT(Inputs!$B$44/(IF(Inputs!$B$39="pvp",15,MAX(0.1,Skills!D3-IF(Skills!E3=TRUE,Inputs!$B$33,0)))*(1-IF(AND(ArtifactsInput!$M$27,Inputs!$B$4="Chapter Hunt"),CHOOSE(ArtifactsInput!$N$27+1,20,24,28,32,36,40),0)/100)))+1)),0)</f>
        <v/>
      </c>
      <c r="S390" t="n">
        <v>0</v>
      </c>
      <c r="T390">
        <f>INDEX(FactorTable!$B$2:$Y$301, MATCH(ROUND(MIN(300,MAX(1,T389)),0), FactorTable!$A$2:$A$301,0), 22)</f>
        <v/>
      </c>
      <c r="U390" t="n">
        <v>0</v>
      </c>
    </row>
    <row r="391">
      <c r="A391">
        <f>Skills!A4</f>
        <v/>
      </c>
      <c r="B391">
        <f>Skills!B4</f>
        <v/>
      </c>
      <c r="C391">
        <f>Inputs!$B$3&gt;=38</f>
        <v/>
      </c>
      <c r="D391">
        <f>IF(Skills!C4=1,60+Inputs!$B$26+Inputs!$B$30,IF(Skills!C4=2,90+Inputs!$B$27+Inputs!$B$30,IF(Skills!C4=3,120+Inputs!$B$28+Inputs!$B$30,MAX(0,(Inputs!$B$3-100)*3)+Inputs!$B$29+Inputs!$B$30)))</f>
        <v/>
      </c>
      <c r="E391">
        <f>INDEX(FactorTable!$B$2:$Y$301, MATCH(ROUND(MIN(300,MAX(1,D391)),0), FactorTable!$A$2:$A$301,0), Skills!L4+1)</f>
        <v/>
      </c>
      <c r="F391">
        <f>IF(Skills!M4=TRUE,(Skills!K4/10)*(E391/1000),Skills!K4/10)+Skills!N4</f>
        <v/>
      </c>
      <c r="G391">
        <f>Calc!G4</f>
        <v/>
      </c>
      <c r="H391">
        <f>Calc!H4</f>
        <v/>
      </c>
      <c r="I391">
        <f>IF(Skills!T4&lt;&gt;"",1+(Skills!T4/10)*($Z$3/1000)/100,1)</f>
        <v/>
      </c>
      <c r="J391" t="inlineStr"/>
      <c r="K391" t="inlineStr"/>
      <c r="L391" t="inlineStr"/>
      <c r="M391" t="inlineStr"/>
      <c r="N391" t="inlineStr"/>
      <c r="O391">
        <f>(1-Summary!$B$11)*S391+Summary!$B$11*U391</f>
        <v/>
      </c>
      <c r="P391">
        <f>IF(B430=0,0,O391/B430)</f>
        <v/>
      </c>
      <c r="Q391">
        <f>IFERROR(1/(IF(Inputs!$B$39="pvp",15,MAX(0.1,Skills!D4-IF(Skills!E4=TRUE,Inputs!$B$33,0)))*(1-IF(AND(ArtifactsInput!$M$27,Inputs!$B$4="Chapter Hunt"),CHOOSE(ArtifactsInput!$N$27+1,20,24,28,32,36,40),0)/100)),0)</f>
        <v/>
      </c>
      <c r="R391">
        <f>IF(AND(Inputs!$B$39&lt;&gt;"pvp",Inputs!$B$44&gt;0),IF(Inputs!$B$44&lt;=0,0,(INT(Inputs!$B$44/(IF(Inputs!$B$39="pvp",15,MAX(0.1,Skills!D4-IF(Skills!E4=TRUE,Inputs!$B$33,0)))*(1-IF(AND(ArtifactsInput!$M$27,Inputs!$B$4="Chapter Hunt"),CHOOSE(ArtifactsInput!$N$27+1,20,24,28,32,36,40),0)/100)))+1)),0)</f>
        <v/>
      </c>
      <c r="S391" t="n">
        <v>0</v>
      </c>
      <c r="T391">
        <f>290*T390/1000</f>
        <v/>
      </c>
      <c r="U391" t="n">
        <v>0</v>
      </c>
    </row>
    <row r="392">
      <c r="A392">
        <f>Skills!A5</f>
        <v/>
      </c>
      <c r="B392">
        <f>Skills!B5</f>
        <v/>
      </c>
      <c r="C392">
        <f>Inputs!$B$3&gt;=40</f>
        <v/>
      </c>
      <c r="D392">
        <f>IF(Skills!C5=1,60+Inputs!$B$26+Inputs!$B$30,IF(Skills!C5=2,90+Inputs!$B$27+Inputs!$B$30,IF(Skills!C5=3,120+Inputs!$B$28+Inputs!$B$30,MAX(0,(Inputs!$B$3-100)*3)+Inputs!$B$29+Inputs!$B$30)))</f>
        <v/>
      </c>
      <c r="E392">
        <f>INDEX(FactorTable!$B$2:$Y$301, MATCH(ROUND(MIN(300,MAX(1,D392)),0), FactorTable!$A$2:$A$301,0), Skills!L5+1)</f>
        <v/>
      </c>
      <c r="F392">
        <f>IF(Skills!M5=TRUE,(Skills!K5/10)*(E392/1000),Skills!K5/10)+Skills!N5</f>
        <v/>
      </c>
      <c r="G392">
        <f>Calc!G5</f>
        <v/>
      </c>
      <c r="H392">
        <f>Calc!H5</f>
        <v/>
      </c>
      <c r="I392">
        <f>IF(Skills!T5&lt;&gt;"",1+(Skills!T5/10)*($Z$3/1000)/100,1)</f>
        <v/>
      </c>
      <c r="J392" t="inlineStr"/>
      <c r="K392" t="inlineStr"/>
      <c r="L392" t="inlineStr"/>
      <c r="M392" t="inlineStr"/>
      <c r="N392" t="inlineStr"/>
      <c r="O392">
        <f>(1-Summary!$B$11)*S392+Summary!$B$11*U392</f>
        <v/>
      </c>
      <c r="P392">
        <f>IF(B430=0,0,O392/B430)</f>
        <v/>
      </c>
      <c r="Q392">
        <f>IFERROR(1/(IF(Inputs!$B$39="pvp",15,MAX(0.1,Skills!D5-IF(Skills!E5=TRUE,Inputs!$B$33,0)))*(1-IF(AND(ArtifactsInput!$M$27,Inputs!$B$4="Chapter Hunt"),CHOOSE(ArtifactsInput!$N$27+1,20,24,28,32,36,40),0)/100)),0)</f>
        <v/>
      </c>
      <c r="R392">
        <f>IF(AND(Inputs!$B$39&lt;&gt;"pvp",Inputs!$B$44&gt;0),IF(Inputs!$B$44&lt;=0,0,(INT(Inputs!$B$44/(IF(Inputs!$B$39="pvp",15,MAX(0.1,Skills!D5-IF(Skills!E5=TRUE,Inputs!$B$33,0)))*(1-IF(AND(ArtifactsInput!$M$27,Inputs!$B$4="Chapter Hunt"),CHOOSE(ArtifactsInput!$N$27+1,20,24,28,32,36,40),0)/100)))+1)),0)</f>
        <v/>
      </c>
      <c r="S392" t="n">
        <v>0</v>
      </c>
      <c r="U392" t="n">
        <v>0</v>
      </c>
    </row>
    <row r="393">
      <c r="A393">
        <f>Skills!A6</f>
        <v/>
      </c>
      <c r="B393">
        <f>Skills!B6</f>
        <v/>
      </c>
      <c r="C393">
        <f>Inputs!$B$3&gt;=103</f>
        <v/>
      </c>
      <c r="D393">
        <f>IF(Skills!C6=1,60+Inputs!$B$26+Inputs!$B$30,IF(Skills!C6=2,90+Inputs!$B$27+Inputs!$B$30,IF(Skills!C6=3,120+Inputs!$B$28+Inputs!$B$30,MAX(0,(Inputs!$B$3-100)*3)+Inputs!$B$29+Inputs!$B$30)))</f>
        <v/>
      </c>
      <c r="E393">
        <f>INDEX(FactorTable!$B$2:$Y$301, MATCH(ROUND(MIN(300,MAX(1,D393)),0), FactorTable!$A$2:$A$301,0), Skills!L6+1)</f>
        <v/>
      </c>
      <c r="F393">
        <f>IF(Skills!M6=TRUE,(Skills!K6/10)*(E393/1000),Skills!K6/10)+Skills!N6</f>
        <v/>
      </c>
      <c r="G393">
        <f>Calc!G6</f>
        <v/>
      </c>
      <c r="H393">
        <f>Calc!H6</f>
        <v/>
      </c>
      <c r="I393">
        <f>IF(Skills!T6&lt;&gt;"",1+(Skills!T6/10)*($Z$3/1000)/100,1)</f>
        <v/>
      </c>
      <c r="J393">
        <f>((Inputs!$B$6*(1+Inputs!$B$7/100))+(((Inputs!$B$13*(1+Inputs!$B$14/100))-(Inputs!$B$13*(1+Inputs!$B$14/100)))+0.25*(Inputs!$B$15-Inputs!$B$15))*(1+Inputs!$B$7/100))*(F393/100)</f>
        <v/>
      </c>
      <c r="K393">
        <f>J393*(1+(((Inputs!$B$13+IF(Inputs!$B$3&gt;=35,(10*INDEX(FactorTable!$B$2:$Y$301,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6="TRIUMPH_FEATHER",IF(C403=TRUE,F403,0),0)/100)*(1+IF(C414=TRUE,F414,0)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393)</f>
        <v/>
      </c>
      <c r="L393">
        <f>K393*(MIN(Inputs!$B$23+(F409-Calc!F22),(Inputs!$B$24+IF(ArtifactsInput!$M$15,CHOOSE(ArtifactsInput!$N$15+1,25,30,35,40,45,50)/100*(Inputs!$B$12-Inputs!$B$12),0)))/100+(Inputs!$B$24+IF(ArtifactsInput!$M$15,CHOOSE(ArtifactsInput!$N$15+1,25,30,35,40,45,50)/100*(Inputs!$B$12-Inputs!$B$12),0))/100)/2</f>
        <v/>
      </c>
      <c r="M393">
        <f>L393*(1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3">
        <f>L393*(1-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393*(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3">
        <f>(1-Summary!$B$11)*S393+Summary!$B$11*U393</f>
        <v/>
      </c>
      <c r="P393">
        <f>IF(B430=0,0,O393/B430)</f>
        <v/>
      </c>
      <c r="Q393">
        <f>IFERROR(1/(IF(Inputs!$B$39="pvp",15,MAX(0.1,Skills!D6-IF(Skills!E6=TRUE,Inputs!$B$33,0)))*(1-IF(AND(ArtifactsInput!$M$27,Inputs!$B$4="Chapter Hunt"),CHOOSE(ArtifactsInput!$N$27+1,20,24,28,32,36,40),0)/100)),0)</f>
        <v/>
      </c>
      <c r="R393">
        <f>IF(AND(Inputs!$B$39&lt;&gt;"pvp",Inputs!$B$44&gt;0),IF(MAX(0,Inputs!$B$44-B427)&lt;=0,0,(INT(MAX(0,Inputs!$B$44-B427)/(IF(Inputs!$B$39="pvp",15,MAX(0.1,Skills!D6-IF(Skills!E6=TRUE,Inputs!$B$33,0)))*(1-IF(AND(ArtifactsInput!$M$27,Inputs!$B$4="Chapter Hunt"),CHOOSE(ArtifactsInput!$N$27+1,20,24,28,32,36,40),0)/100)))+1)),0)</f>
        <v/>
      </c>
      <c r="S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$21+Skills!O6+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393*(1-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393*(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393*(1-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393*(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$22+1)+Skills!P6+B419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4">
      <c r="A394">
        <f>Skills!A7</f>
        <v/>
      </c>
      <c r="B394">
        <f>Skills!B7</f>
        <v/>
      </c>
      <c r="C394">
        <f>Inputs!$B$3&gt;=122</f>
        <v/>
      </c>
      <c r="D394">
        <f>IF(Skills!C7=1,60+Inputs!$B$26+Inputs!$B$30,IF(Skills!C7=2,90+Inputs!$B$27+Inputs!$B$30,IF(Skills!C7=3,120+Inputs!$B$28+Inputs!$B$30,MAX(0,(Inputs!$B$3-100)*3)+Inputs!$B$29+Inputs!$B$30)))</f>
        <v/>
      </c>
      <c r="E394">
        <f>INDEX(FactorTable!$B$2:$Y$301, MATCH(ROUND(MIN(300,MAX(1,D394)),0), FactorTable!$A$2:$A$301,0), Skills!L7+1)</f>
        <v/>
      </c>
      <c r="F394">
        <f>IF(Skills!M7=TRUE,(Skills!K7/10)*(E394/1000),Skills!K7/10)+Skills!N7</f>
        <v/>
      </c>
      <c r="G394">
        <f>Calc!G7</f>
        <v/>
      </c>
      <c r="H394">
        <f>Calc!H7</f>
        <v/>
      </c>
      <c r="I394">
        <f>IF(Skills!T7&lt;&gt;"",1+(Skills!T7/10)*($Z$3/1000)/100,1)</f>
        <v/>
      </c>
      <c r="J394">
        <f>((Inputs!$B$6*(1+Inputs!$B$7/100))+(((Inputs!$B$13*(1+Inputs!$B$14/100))-(Inputs!$B$13*(1+Inputs!$B$14/100)))+0.25*(Inputs!$B$15-Inputs!$B$15))*(1+Inputs!$B$7/100))*(F394/100)</f>
        <v/>
      </c>
      <c r="K394">
        <f>J394*(1+(((Inputs!$B$13+IF(Inputs!$B$3&gt;=35,(10*INDEX(FactorTable!$B$2:$Y$301,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7="TRIUMPH_FEATHER",IF(C403=TRUE,F403,0),0)/100)*(1+IF(C414=TRUE,F414,0)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394)</f>
        <v/>
      </c>
      <c r="L394">
        <f>K394*(MIN(Inputs!$B$23+(F409-Calc!F22),(Inputs!$B$24+IF(ArtifactsInput!$M$15,CHOOSE(ArtifactsInput!$N$15+1,25,30,35,40,45,50)/100*(Inputs!$B$12-Inputs!$B$12),0)))/100+(Inputs!$B$24+IF(ArtifactsInput!$M$15,CHOOSE(ArtifactsInput!$N$15+1,25,30,35,40,45,50)/100*(Inputs!$B$12-Inputs!$B$12),0))/100)/2</f>
        <v/>
      </c>
      <c r="M394">
        <f>L394*(1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4">
        <f>L394*(1-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394*(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4">
        <f>(1-Summary!$B$11)*S394+Summary!$B$11*U394</f>
        <v/>
      </c>
      <c r="P394">
        <f>IF(B430=0,0,O394/B430)</f>
        <v/>
      </c>
      <c r="Q394">
        <f>IFERROR(1/(IF(Inputs!$B$39="pvp",15,MAX(0.1,Skills!D7-IF(Skills!E6=TRUE,Inputs!$B$33,0)))*(1-IF(AND(ArtifactsInput!$M$27,Inputs!$B$4="Chapter Hunt"),CHOOSE(ArtifactsInput!$N$27+1,20,24,28,32,36,40),0)/100)),0)</f>
        <v/>
      </c>
      <c r="R394">
        <f>IF(AND(Inputs!$B$39&lt;&gt;"pvp",Inputs!$B$44&gt;0),IF(MAX(0,Inputs!$B$44-B427)&lt;=0,0,(INT(MAX(0,Inputs!$B$44-B427)/(IF(Inputs!$B$39="pvp",15,MAX(0.1,Skills!D7-IF(Skills!E6=TRUE,Inputs!$B$33,0)))*(1-IF(AND(ArtifactsInput!$M$27,Inputs!$B$4="Chapter Hunt"),CHOOSE(ArtifactsInput!$N$27+1,20,24,28,32,36,40),0)/100)))+1)),0)</f>
        <v/>
      </c>
      <c r="S394">
        <f>IF(C394,H394*N394*IF(AND(Inputs!$B$39&lt;&gt;"pvp",Inputs!$B$44&gt;0),((Skills!F7*((R394-1)*IF(Skills!G7&gt;0,Skills!H7/Skills!G7,1)+IF(Skills!G7&gt;0,MIN(Skills!H7,MAX(0,MAX(0,Inputs!$B$44-B427)-((R394-1)*(IF(Inputs!$B$39="pvp",15,MAX(0.1,Skills!D7-IF(Skills!E6=TRUE,Inputs!$B$33,0)))*(1-IF(AND(ArtifactsInput!$M$27,Inputs!$B$4="Chapter Hunt"),CHOOSE(ArtifactsInput!$N$27+1,20,24,28,32,36,40),0)/100)))))/Skills!G7,1)))/Inputs!$B$44),G394*Q394)*IF(Inputs!$B$39="pvp",1,1+(Inputs!$B$21+Skills!O7+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394*(1-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394*(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394*(1-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394*(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4" t="n">
        <v>0</v>
      </c>
    </row>
    <row r="395">
      <c r="A395">
        <f>Skills!A8</f>
        <v/>
      </c>
      <c r="B395">
        <f>Skills!B8</f>
        <v/>
      </c>
      <c r="C395">
        <f>Inputs!$B$3&gt;=105</f>
        <v/>
      </c>
      <c r="D395">
        <f>IF(Skills!C8=1,60+Inputs!$B$26+Inputs!$B$30,IF(Skills!C8=2,90+Inputs!$B$27+Inputs!$B$30,IF(Skills!C8=3,120+Inputs!$B$28+Inputs!$B$30,MAX(0,(Inputs!$B$3-100)*3)+Inputs!$B$29+Inputs!$B$30)))</f>
        <v/>
      </c>
      <c r="E395">
        <f>INDEX(FactorTable!$B$2:$Y$301, MATCH(ROUND(MIN(300,MAX(1,D395)),0), FactorTable!$A$2:$A$301,0), Skills!L8+1)</f>
        <v/>
      </c>
      <c r="F395">
        <f>IF(Skills!M8=TRUE,(Skills!K8/10)*(E395/1000),Skills!K8/10)+Skills!N8</f>
        <v/>
      </c>
      <c r="G395">
        <f>Calc!G8</f>
        <v/>
      </c>
      <c r="H395">
        <f>Calc!H8</f>
        <v/>
      </c>
      <c r="I395">
        <f>IF(Skills!T8&lt;&gt;"",1+(Skills!T8/10)*($Z$3/1000)/100,1)</f>
        <v/>
      </c>
      <c r="J395">
        <f>((Inputs!$B$6*(1+Inputs!$B$7/100))+(((Inputs!$B$13*(1+Inputs!$B$14/100))-(Inputs!$B$13*(1+Inputs!$B$14/100)))+0.25*(Inputs!$B$15-Inputs!$B$15))*(1+Inputs!$B$7/100))*(F395/100)</f>
        <v/>
      </c>
      <c r="K395">
        <f>J395*(1+(((Inputs!$B$13+IF(Inputs!$B$3&gt;=35,(10*INDEX(FactorTable!$B$2:$Y$301,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8="TRIUMPH_FEATHER",IF(C403=TRUE,F403,0),0)/100)*(1+IF(C414=TRUE,F414,0)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395)</f>
        <v/>
      </c>
      <c r="L395">
        <f>K395*(MIN(Inputs!$B$23+(F409-Calc!F22),(Inputs!$B$24+IF(ArtifactsInput!$M$15,CHOOSE(ArtifactsInput!$N$15+1,25,30,35,40,45,50)/100*(Inputs!$B$12-Inputs!$B$12),0)))/100+(Inputs!$B$24+IF(ArtifactsInput!$M$15,CHOOSE(ArtifactsInput!$N$15+1,25,30,35,40,45,50)/100*(Inputs!$B$12-Inputs!$B$12),0))/100)/2</f>
        <v/>
      </c>
      <c r="M395">
        <f>L395*(1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5">
        <f>L395*(1-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395*(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5">
        <f>(1-Summary!$B$11)*S395+Summary!$B$11*U395</f>
        <v/>
      </c>
      <c r="P395">
        <f>IF(B430=0,0,O395/B430)</f>
        <v/>
      </c>
      <c r="Q395">
        <f>IFERROR(1/(IF(Inputs!$B$39="pvp",15,MAX(0.1,Skills!D8-IF(Skills!E8=TRUE,Inputs!$B$33,0)))*(1-IF(AND(ArtifactsInput!$M$27,Inputs!$B$4="Chapter Hunt"),CHOOSE(ArtifactsInput!$N$27+1,20,24,28,32,36,40),0)/100)),0)</f>
        <v/>
      </c>
      <c r="R395">
        <f>IF(AND(Inputs!$B$39&lt;&gt;"pvp",Inputs!$B$44&gt;0),IF(MAX(0,Inputs!$B$44-B427)&lt;=0,0,(INT(MAX(0,Inputs!$B$44-B427)/(IF(Inputs!$B$39="pvp",15,MAX(0.1,Skills!D8-IF(Skills!E8=TRUE,Inputs!$B$33,0)))*(1-IF(AND(ArtifactsInput!$M$27,Inputs!$B$4="Chapter Hunt"),CHOOSE(ArtifactsInput!$N$27+1,20,24,28,32,36,40),0)/100)))+1)),0)</f>
        <v/>
      </c>
      <c r="S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$21+Skills!O8+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395*(1-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395*(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395*(1-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395*(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$22+1)+Skills!P8+B419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6">
      <c r="A396">
        <f>Skills!A9</f>
        <v/>
      </c>
      <c r="B396">
        <f>Skills!B9</f>
        <v/>
      </c>
      <c r="C396">
        <f>Inputs!$B$3&gt;=115</f>
        <v/>
      </c>
      <c r="D396">
        <f>IF(Skills!C9=1,60+Inputs!$B$26+Inputs!$B$30,IF(Skills!C9=2,90+Inputs!$B$27+Inputs!$B$30,IF(Skills!C9=3,120+Inputs!$B$28+Inputs!$B$30,MAX(0,(Inputs!$B$3-100)*3)+Inputs!$B$29+Inputs!$B$30)))</f>
        <v/>
      </c>
      <c r="E396">
        <f>INDEX(FactorTable!$B$2:$Y$301, MATCH(ROUND(MIN(300,MAX(1,D396)),0), FactorTable!$A$2:$A$301,0), Skills!L9+1)</f>
        <v/>
      </c>
      <c r="F396">
        <f>IF(Skills!M9=TRUE,(Skills!K9/10)*(E396/1000),Skills!K9/10)+Skills!N9</f>
        <v/>
      </c>
      <c r="G396">
        <f>Calc!G9</f>
        <v/>
      </c>
      <c r="H396">
        <f>Calc!H9</f>
        <v/>
      </c>
      <c r="I396">
        <f>IF(Skills!T9&lt;&gt;"",1+(Skills!T9/10)*($Z$3/1000)/100,1)</f>
        <v/>
      </c>
      <c r="J396">
        <f>((Inputs!$B$6*(1+Inputs!$B$7/100))+(((Inputs!$B$13*(1+Inputs!$B$14/100))-(Inputs!$B$13*(1+Inputs!$B$14/100)))+0.25*(Inputs!$B$15-Inputs!$B$15))*(1+Inputs!$B$7/100))*(F396/100)</f>
        <v/>
      </c>
      <c r="K396">
        <f>J396*(1+(((Inputs!$B$13+IF(Inputs!$B$3&gt;=35,(10*INDEX(FactorTable!$B$2:$Y$301,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9="TRIUMPH_FEATHER",IF(C403=TRUE,F403,0),0)/100)*(1+IF(C414=TRUE,F414,0)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396)</f>
        <v/>
      </c>
      <c r="L396">
        <f>K396*(MIN(Inputs!$B$23+(F409-Calc!F22),(Inputs!$B$24+IF(ArtifactsInput!$M$15,CHOOSE(ArtifactsInput!$N$15+1,25,30,35,40,45,50)/100*(Inputs!$B$12-Inputs!$B$12),0)))/100+(Inputs!$B$24+IF(ArtifactsInput!$M$15,CHOOSE(ArtifactsInput!$N$15+1,25,30,35,40,45,50)/100*(Inputs!$B$12-Inputs!$B$12),0))/100)/2</f>
        <v/>
      </c>
      <c r="M396">
        <f>L396*(1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6">
        <f>L396*(1-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396*(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6">
        <f>(1-Summary!$B$11)*S396+Summary!$B$11*U396</f>
        <v/>
      </c>
      <c r="P396">
        <f>IF(B430=0,0,O396/B430)</f>
        <v/>
      </c>
      <c r="Q396">
        <f>IFERROR(1/(IF(Inputs!$B$39="pvp",15,MAX(0.1,Skills!D9-IF(Skills!E9=TRUE,Inputs!$B$33,0)))*(1-IF(AND(ArtifactsInput!$M$27,Inputs!$B$4="Chapter Hunt"),CHOOSE(ArtifactsInput!$N$27+1,20,24,28,32,36,40),0)/100)),0)</f>
        <v/>
      </c>
      <c r="R396">
        <f>IF(AND(Inputs!$B$39&lt;&gt;"pvp",Inputs!$B$44&gt;0),IF(MAX(0,Inputs!$B$44-B427)&lt;=0,0,(INT(MAX(0,Inputs!$B$44-B427)/(IF(Inputs!$B$39="pvp",15,MAX(0.1,Skills!D9-IF(Skills!E9=TRUE,Inputs!$B$33,0)))*(1-IF(AND(ArtifactsInput!$M$27,Inputs!$B$4="Chapter Hunt"),CHOOSE(ArtifactsInput!$N$27+1,20,24,28,32,36,40),0)/100)))+1)),0)</f>
        <v/>
      </c>
      <c r="S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$21+Skills!O9+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396*(1-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396*(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396*(1-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396*(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$22+1)+Skills!P9+B419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7">
      <c r="A397">
        <f>Skills!A10</f>
        <v/>
      </c>
      <c r="B397">
        <f>Skills!B10</f>
        <v/>
      </c>
      <c r="C397">
        <f>Inputs!$B$3&gt;=66</f>
        <v/>
      </c>
      <c r="D397">
        <f>IF(Skills!C10=1,60+Inputs!$B$26+Inputs!$B$30,IF(Skills!C10=2,90+Inputs!$B$27+Inputs!$B$30,IF(Skills!C10=3,120+Inputs!$B$28+Inputs!$B$30,MAX(0,(Inputs!$B$3-100)*3)+Inputs!$B$29+Inputs!$B$30)))</f>
        <v/>
      </c>
      <c r="E397">
        <f>INDEX(FactorTable!$B$2:$Y$301, MATCH(ROUND(MIN(300,MAX(1,D397)),0), FactorTable!$A$2:$A$301,0), Skills!L10+1)</f>
        <v/>
      </c>
      <c r="F397" t="n">
        <v>0</v>
      </c>
      <c r="G397">
        <f>Calc!G10</f>
        <v/>
      </c>
      <c r="H397">
        <f>Calc!H10</f>
        <v/>
      </c>
      <c r="I397">
        <f>IF(Skills!T10&lt;&gt;"",1+(Skills!T10/10)*($Z$3/1000)/100,1)</f>
        <v/>
      </c>
      <c r="J397" t="inlineStr"/>
      <c r="K397" t="inlineStr"/>
      <c r="L397" t="inlineStr"/>
      <c r="M397" t="inlineStr"/>
      <c r="N397" t="inlineStr"/>
      <c r="O397">
        <f>(1-Summary!$B$11)*S397+Summary!$B$11*U397</f>
        <v/>
      </c>
      <c r="P397">
        <f>IF(B430=0,0,O397/B430)</f>
        <v/>
      </c>
      <c r="Q397">
        <f>IFERROR(1/(IF(Inputs!$B$39="pvp",15,MAX(0.1,Skills!D10-IF(Skills!E10=TRUE,Inputs!$B$33,0)))*(1-IF(AND(ArtifactsInput!$M$27,Inputs!$B$4="Chapter Hunt"),CHOOSE(ArtifactsInput!$N$27+1,20,24,28,32,36,40),0)/100)),0)</f>
        <v/>
      </c>
      <c r="R397">
        <f>IF(AND(Inputs!$B$39&lt;&gt;"pvp",Inputs!$B$44&gt;0),IF(MAX(0,Inputs!$B$44-B427)&lt;=0,0,(INT(MAX(0,Inputs!$B$44-B427)/(IF(Inputs!$B$39="pvp",15,MAX(0.1,Skills!D10-IF(Skills!E10=TRUE,Inputs!$B$33,0)))*(1-IF(AND(ArtifactsInput!$M$27,Inputs!$B$4="Chapter Hunt"),CHOOSE(ArtifactsInput!$N$27+1,20,24,28,32,36,40),0)/100)))+1)),0)</f>
        <v/>
      </c>
      <c r="S397" t="n">
        <v>0</v>
      </c>
      <c r="U397" t="n">
        <v>0</v>
      </c>
    </row>
    <row r="398">
      <c r="A398">
        <f>Skills!A11</f>
        <v/>
      </c>
      <c r="B398">
        <f>Skills!B11</f>
        <v/>
      </c>
      <c r="C398">
        <f>Inputs!$B$3&gt;=69</f>
        <v/>
      </c>
      <c r="D398">
        <f>IF(Skills!C11=1,60+Inputs!$B$26+Inputs!$B$30,IF(Skills!C11=2,90+Inputs!$B$27+Inputs!$B$30,IF(Skills!C11=3,120+Inputs!$B$28+Inputs!$B$30,MAX(0,(Inputs!$B$3-100)*3)+Inputs!$B$29+Inputs!$B$30)))</f>
        <v/>
      </c>
      <c r="E398">
        <f>INDEX(FactorTable!$B$2:$Y$301, MATCH(ROUND(MIN(300,MAX(1,D398)),0), FactorTable!$A$2:$A$301,0), Skills!L11+1)</f>
        <v/>
      </c>
      <c r="F398">
        <f>IF(Skills!M11=TRUE,(Skills!K11/10)*(E398/1000),Skills!K11/10)+Skills!N11</f>
        <v/>
      </c>
      <c r="G398">
        <f>Calc!G11</f>
        <v/>
      </c>
      <c r="H398">
        <f>Calc!H11</f>
        <v/>
      </c>
      <c r="I398">
        <f>IF(Skills!T11&lt;&gt;"",1+(Skills!T11/10)*($Z$3/1000)/100,1)</f>
        <v/>
      </c>
      <c r="J398" t="inlineStr"/>
      <c r="K398" t="inlineStr"/>
      <c r="L398" t="inlineStr"/>
      <c r="M398" t="inlineStr"/>
      <c r="N398" t="inlineStr"/>
      <c r="O398">
        <f>(1-Summary!$B$11)*S398+Summary!$B$11*U398</f>
        <v/>
      </c>
      <c r="P398">
        <f>IF(B430=0,0,O398/B430)</f>
        <v/>
      </c>
      <c r="Q398">
        <f>IFERROR(1/(IF(Inputs!$B$39="pvp",15,MAX(0.1,Skills!D11-IF(Skills!E11=TRUE,Inputs!$B$33,0)))*(1-IF(AND(ArtifactsInput!$M$27,Inputs!$B$4="Chapter Hunt"),CHOOSE(ArtifactsInput!$N$27+1,20,24,28,32,36,40),0)/100)),0)</f>
        <v/>
      </c>
      <c r="R398">
        <f>IF(AND(Inputs!$B$39&lt;&gt;"pvp",Inputs!$B$44&gt;0),IF(Inputs!$B$44&lt;=0,0,(INT(Inputs!$B$44/(IF(Inputs!$B$39="pvp",15,MAX(0.1,Skills!D11-IF(Skills!E11=TRUE,Inputs!$B$33,0)))*(1-IF(AND(ArtifactsInput!$M$27,Inputs!$B$4="Chapter Hunt"),CHOOSE(ArtifactsInput!$N$27+1,20,24,28,32,36,40),0)/100)))+1)),0)</f>
        <v/>
      </c>
      <c r="S398" t="n">
        <v>0</v>
      </c>
      <c r="U398" t="n">
        <v>0</v>
      </c>
    </row>
    <row r="399">
      <c r="A399">
        <f>Skills!A12</f>
        <v/>
      </c>
      <c r="B399">
        <f>Skills!B12</f>
        <v/>
      </c>
      <c r="C399">
        <f>Inputs!$B$3&gt;=72</f>
        <v/>
      </c>
      <c r="D399">
        <f>IF(Skills!C12=1,60+Inputs!$B$26+Inputs!$B$30,IF(Skills!C12=2,90+Inputs!$B$27+Inputs!$B$30,IF(Skills!C12=3,120+Inputs!$B$28+Inputs!$B$30,MAX(0,(Inputs!$B$3-100)*3)+Inputs!$B$29+Inputs!$B$30)))</f>
        <v/>
      </c>
      <c r="E399">
        <f>INDEX(FactorTable!$B$2:$Y$301, MATCH(ROUND(MIN(300,MAX(1,D399)),0), FactorTable!$A$2:$A$301,0), Skills!L12+1)</f>
        <v/>
      </c>
      <c r="F399">
        <f>IF(Skills!M12=TRUE,(Skills!K12/10)*(E399/1000),Skills!K12/10)+Skills!N12</f>
        <v/>
      </c>
      <c r="G399">
        <f>Calc!G12</f>
        <v/>
      </c>
      <c r="H399">
        <f>Calc!H12</f>
        <v/>
      </c>
      <c r="I399">
        <f>IF(Skills!T12&lt;&gt;"",1+(Skills!T12/10)*($Z$3/1000)/100,1)</f>
        <v/>
      </c>
      <c r="J399" t="inlineStr"/>
      <c r="K399" t="inlineStr"/>
      <c r="L399" t="inlineStr"/>
      <c r="M399" t="inlineStr"/>
      <c r="N399" t="inlineStr"/>
      <c r="O399">
        <f>(1-Summary!$B$11)*S399+Summary!$B$11*U399</f>
        <v/>
      </c>
      <c r="P399">
        <f>IF(B430=0,0,O399/B430)</f>
        <v/>
      </c>
      <c r="Q399">
        <f>IFERROR(1/(IF(Inputs!$B$39="pvp",15,MAX(0.1,Skills!D12-IF(Skills!E12=TRUE,Inputs!$B$33,0)))*(1-IF(AND(ArtifactsInput!$M$27,Inputs!$B$4="Chapter Hunt"),CHOOSE(ArtifactsInput!$N$27+1,20,24,28,32,36,40),0)/100)),0)</f>
        <v/>
      </c>
      <c r="R399">
        <f>IF(AND(Inputs!$B$39&lt;&gt;"pvp",Inputs!$B$44&gt;0),IF(MAX(0,Inputs!$B$44-B427)&lt;=0,0,(INT(MAX(0,Inputs!$B$44-B427)/(IF(Inputs!$B$39="pvp",15,MAX(0.1,Skills!D12-IF(Skills!E12=TRUE,Inputs!$B$33,0)))*(1-IF(AND(ArtifactsInput!$M$27,Inputs!$B$4="Chapter Hunt"),CHOOSE(ArtifactsInput!$N$27+1,20,24,28,32,36,40),0)/100)))+1)),0)</f>
        <v/>
      </c>
      <c r="S399" t="n">
        <v>0</v>
      </c>
      <c r="U399" t="n">
        <v>0</v>
      </c>
    </row>
    <row r="400">
      <c r="A400">
        <f>Skills!A13</f>
        <v/>
      </c>
      <c r="B400">
        <f>Skills!B13</f>
        <v/>
      </c>
      <c r="C400">
        <f>Inputs!$B$3&gt;=60</f>
        <v/>
      </c>
      <c r="D400">
        <f>IF(Skills!C13=1,60+Inputs!$B$26+Inputs!$B$30,IF(Skills!C13=2,90+Inputs!$B$27+Inputs!$B$30,IF(Skills!C13=3,120+Inputs!$B$28+Inputs!$B$30,MAX(0,(Inputs!$B$3-100)*3)+Inputs!$B$29+Inputs!$B$30)))</f>
        <v/>
      </c>
      <c r="E400">
        <f>INDEX(FactorTable!$B$2:$Y$301, MATCH(ROUND(MIN(300,MAX(1,D400)),0), FactorTable!$A$2:$A$301,0), Skills!L13+1)</f>
        <v/>
      </c>
      <c r="F400">
        <f>IF(Skills!M13=TRUE,(Skills!K13/10)*(E400/1000),Skills!K13/10)+Skills!N13</f>
        <v/>
      </c>
      <c r="G400">
        <f>Calc!G13</f>
        <v/>
      </c>
      <c r="H400">
        <f>Calc!H13</f>
        <v/>
      </c>
      <c r="I400">
        <f>IF(Skills!T13&lt;&gt;"",1+(Skills!T13/10)*($Z$3/1000)/100,1)</f>
        <v/>
      </c>
      <c r="J400" t="inlineStr"/>
      <c r="K400" t="inlineStr"/>
      <c r="L400" t="inlineStr"/>
      <c r="M400" t="inlineStr"/>
      <c r="N400" t="inlineStr"/>
      <c r="O400">
        <f>(1-Summary!$B$11)*S400+Summary!$B$11*U400</f>
        <v/>
      </c>
      <c r="P400">
        <f>IF(B430=0,0,O400/B430)</f>
        <v/>
      </c>
      <c r="Q400">
        <f>IFERROR(1/(IF(Inputs!$B$39="pvp",15,MAX(0.1,Skills!D13-IF(Skills!E13=TRUE,Inputs!$B$33,0)))*(1-IF(AND(ArtifactsInput!$M$27,Inputs!$B$4="Chapter Hunt"),CHOOSE(ArtifactsInput!$N$27+1,20,24,28,32,36,40),0)/100)),0)</f>
        <v/>
      </c>
      <c r="R400">
        <f>IF(AND(Inputs!$B$39&lt;&gt;"pvp",Inputs!$B$44&gt;0),IF(MAX(0,Inputs!$B$44-B427)&lt;=0,0,(INT(MAX(0,Inputs!$B$44-B427)/(IF(Inputs!$B$39="pvp",15,MAX(0.1,Skills!D13-IF(Skills!E13=TRUE,Inputs!$B$33,0)))*(1-IF(AND(ArtifactsInput!$M$27,Inputs!$B$4="Chapter Hunt"),CHOOSE(ArtifactsInput!$N$27+1,20,24,28,32,36,40),0)/100)))+1)),0)</f>
        <v/>
      </c>
      <c r="S400" t="n">
        <v>0</v>
      </c>
      <c r="U400" t="n">
        <v>0</v>
      </c>
    </row>
    <row r="401">
      <c r="A401">
        <f>Skills!A14</f>
        <v/>
      </c>
      <c r="B401">
        <f>Skills!B14</f>
        <v/>
      </c>
      <c r="C401">
        <f>Inputs!$B$3&gt;=107</f>
        <v/>
      </c>
      <c r="D401">
        <f>IF(Skills!C14=1,60+Inputs!$B$26+Inputs!$B$30,IF(Skills!C14=2,90+Inputs!$B$27+Inputs!$B$30,IF(Skills!C14=3,120+Inputs!$B$28+Inputs!$B$30,MAX(0,(Inputs!$B$3-100)*3)+Inputs!$B$29+Inputs!$B$30)))</f>
        <v/>
      </c>
      <c r="E401">
        <f>INDEX(FactorTable!$B$2:$Y$301, MATCH(ROUND(MIN(300,MAX(1,D401)),0), FactorTable!$A$2:$A$301,0), Skills!L14+1)</f>
        <v/>
      </c>
      <c r="F401">
        <f>IF(Skills!M14=TRUE,(Skills!K14/10)*(E401/1000),Skills!K14/10)+Skills!N14</f>
        <v/>
      </c>
      <c r="G401">
        <f>Calc!G14</f>
        <v/>
      </c>
      <c r="H401">
        <f>Calc!H14</f>
        <v/>
      </c>
      <c r="I401">
        <f>IF(Skills!T14&lt;&gt;"",1+(Skills!T14/10)*($Z$3/1000)/100,1)</f>
        <v/>
      </c>
      <c r="J401" t="inlineStr"/>
      <c r="K401" t="inlineStr"/>
      <c r="L401" t="inlineStr"/>
      <c r="M401" t="inlineStr"/>
      <c r="N401" t="inlineStr"/>
      <c r="O401">
        <f>(1-Summary!$B$11)*S401+Summary!$B$11*U401</f>
        <v/>
      </c>
      <c r="P401">
        <f>IF(B430=0,0,O401/B430)</f>
        <v/>
      </c>
      <c r="Q401">
        <f>IFERROR(1/(IF(Inputs!$B$39="pvp",15,MAX(0.1,Skills!D14-IF(Skills!E14=TRUE,Inputs!$B$33,0)))*(1-IF(AND(ArtifactsInput!$M$27,Inputs!$B$4="Chapter Hunt"),CHOOSE(ArtifactsInput!$N$27+1,20,24,28,32,36,40),0)/100)),0)</f>
        <v/>
      </c>
      <c r="R401">
        <f>IF(AND(Inputs!$B$39&lt;&gt;"pvp",Inputs!$B$44&gt;0),IF(Inputs!$B$44&lt;=0,0,(INT(Inputs!$B$44/(IF(Inputs!$B$39="pvp",15,MAX(0.1,Skills!D14-IF(Skills!E14=TRUE,Inputs!$B$33,0)))*(1-IF(AND(ArtifactsInput!$M$27,Inputs!$B$4="Chapter Hunt"),CHOOSE(ArtifactsInput!$N$27+1,20,24,28,32,36,40),0)/100)))+1)),0)</f>
        <v/>
      </c>
      <c r="S401" t="n">
        <v>0</v>
      </c>
      <c r="U401" t="n">
        <v>0</v>
      </c>
    </row>
    <row r="402">
      <c r="A402">
        <f>Skills!A15</f>
        <v/>
      </c>
      <c r="B402">
        <f>Skills!B15</f>
        <v/>
      </c>
      <c r="C402">
        <f>Inputs!$B$3&gt;=63</f>
        <v/>
      </c>
      <c r="D402">
        <f>IF(Skills!C15=1,60+Inputs!$B$26+Inputs!$B$30,IF(Skills!C15=2,90+Inputs!$B$27+Inputs!$B$30,IF(Skills!C15=3,120+Inputs!$B$28+Inputs!$B$30,MAX(0,(Inputs!$B$3-100)*3)+Inputs!$B$29+Inputs!$B$30)))</f>
        <v/>
      </c>
      <c r="E402">
        <f>INDEX(FactorTable!$B$2:$Y$301, MATCH(ROUND(MIN(300,MAX(1,D402)),0), FactorTable!$A$2:$A$301,0), Skills!L15+1)</f>
        <v/>
      </c>
      <c r="F402">
        <f>IF(Skills!M15=TRUE,(Skills!K15/10)*(E402/1000),Skills!K15/10)+Skills!N15</f>
        <v/>
      </c>
      <c r="G402">
        <f>Calc!G15</f>
        <v/>
      </c>
      <c r="H402">
        <f>Calc!H15</f>
        <v/>
      </c>
      <c r="I402">
        <f>IF(Skills!T15&lt;&gt;"",1+(Skills!T15/10)*($Z$3/1000)/100,1)</f>
        <v/>
      </c>
      <c r="J402">
        <f>((Inputs!$B$6*(1+Inputs!$B$7/100))+(((Inputs!$B$13*(1+Inputs!$B$14/100))-(Inputs!$B$13*(1+Inputs!$B$14/100)))+0.25*(Inputs!$B$15-Inputs!$B$15))*(1+Inputs!$B$7/100))*(F402/100)</f>
        <v/>
      </c>
      <c r="K402">
        <f>J402*(1+(((Inputs!$B$13+IF(Inputs!$B$3&gt;=35,(10*INDEX(FactorTable!$B$2:$Y$301,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15="TRIUMPH_FEATHER",IF(C403=TRUE,F403,0),0)/100)*(1+IF(C414=TRUE,F414,0)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402)</f>
        <v/>
      </c>
      <c r="L402">
        <f>K402*(MIN(Inputs!$B$23+(F409-Calc!F22),(Inputs!$B$24+IF(ArtifactsInput!$M$15,CHOOSE(ArtifactsInput!$N$15+1,25,30,35,40,45,50)/100*(Inputs!$B$12-Inputs!$B$12),0)))/100+(Inputs!$B$24+IF(ArtifactsInput!$M$15,CHOOSE(ArtifactsInput!$N$15+1,25,30,35,40,45,50)/100*(Inputs!$B$12-Inputs!$B$12),0))/100)/2</f>
        <v/>
      </c>
      <c r="M402">
        <f>L402*(1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02">
        <f>L402*(1-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402*(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02">
        <f>(1-Summary!$B$11)*S402+Summary!$B$11*U402</f>
        <v/>
      </c>
      <c r="P402">
        <f>IF(B430=0,0,O402/B430)</f>
        <v/>
      </c>
      <c r="Q402">
        <f>IFERROR(1/(IF(Inputs!$B$39="pvp",15,MAX(0.1,Skills!D15-IF(Skills!E15=TRUE,Inputs!$B$33,0)))*(1-IF(AND(ArtifactsInput!$M$27,Inputs!$B$4="Chapter Hunt"),CHOOSE(ArtifactsInput!$N$27+1,20,24,28,32,36,40),0)/100)),0)</f>
        <v/>
      </c>
      <c r="R402" t="n">
        <v>0</v>
      </c>
      <c r="S402">
        <f>IF(C402,(Skills!F15*N402*((IF(Inputs!$B$3&gt;=78,25,15)/100*B423*10)/(1+IF(Inputs!$B$3&gt;=78,25,15)/100*B423*10))*(Skills!I15/100*B423)/(1+Skills!G15*Skills!I15/100*B423))*IF(Inputs!$B$39="pvp",1,1+(Inputs!$B$21+Skills!O15+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402*(1-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402*(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402*(1-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402*(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02">
        <f>IF(C402,(Skills!F15*N402*((IF(Inputs!$B$3&gt;=78,25,15)/100*B423*10)/(1+IF(Inputs!$B$3&gt;=78,25,15)/100*B423*10))*(Skills!I15/100*B423)/(1+Skills!G15*Skills!I15/100*B423))*IF(Inputs!$B$39="pvp",1,(1+((Inputs!$B$22+1)+Skills!P15+B419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03">
      <c r="A403">
        <f>Skills!A16</f>
        <v/>
      </c>
      <c r="B403">
        <f>Skills!B16</f>
        <v/>
      </c>
      <c r="C403">
        <f>Inputs!$B$3&gt;=100</f>
        <v/>
      </c>
      <c r="D403">
        <f>IF(Skills!C16=1,60+Inputs!$B$26+Inputs!$B$30,IF(Skills!C16=2,90+Inputs!$B$27+Inputs!$B$30,IF(Skills!C16=3,120+Inputs!$B$28+Inputs!$B$30,MAX(0,(Inputs!$B$3-100)*3)+Inputs!$B$29+Inputs!$B$30)))</f>
        <v/>
      </c>
      <c r="E403">
        <f>INDEX(FactorTable!$B$2:$Y$301, MATCH(ROUND(MIN(300,MAX(1,D403)),0), FactorTable!$A$2:$A$301,0), Skills!L16+1)</f>
        <v/>
      </c>
      <c r="F403">
        <f>IF(Skills!M16=TRUE,(Skills!K16/10)*(E403/1000),Skills!K16/10)+Skills!N16</f>
        <v/>
      </c>
      <c r="G403">
        <f>Calc!G16</f>
        <v/>
      </c>
      <c r="H403">
        <f>Calc!H16</f>
        <v/>
      </c>
      <c r="I403">
        <f>IF(Skills!T16&lt;&gt;"",1+(Skills!T16/10)*($Z$3/1000)/100,1)</f>
        <v/>
      </c>
      <c r="J403" t="inlineStr"/>
      <c r="K403" t="inlineStr"/>
      <c r="L403" t="inlineStr"/>
      <c r="M403" t="inlineStr"/>
      <c r="N403" t="inlineStr"/>
      <c r="O403">
        <f>(1-Summary!$B$11)*S403+Summary!$B$11*U403</f>
        <v/>
      </c>
      <c r="P403">
        <f>IF(B430=0,0,O403/B430)</f>
        <v/>
      </c>
      <c r="Q403">
        <f>IFERROR(1/(IF(Inputs!$B$39="pvp",15,MAX(0.1,Skills!D16-IF(Skills!E16=TRUE,Inputs!$B$33,0)))*(1-IF(AND(ArtifactsInput!$M$27,Inputs!$B$4="Chapter Hunt"),CHOOSE(ArtifactsInput!$N$27+1,20,24,28,32,36,40),0)/100)),0)</f>
        <v/>
      </c>
      <c r="R403" t="n">
        <v>0</v>
      </c>
      <c r="S403" t="n">
        <v>0</v>
      </c>
      <c r="U403" t="n">
        <v>0</v>
      </c>
    </row>
    <row r="404">
      <c r="A404">
        <f>Skills!A17</f>
        <v/>
      </c>
      <c r="B404">
        <f>Skills!B17</f>
        <v/>
      </c>
      <c r="C404">
        <f>Inputs!$B$3&gt;=49</f>
        <v/>
      </c>
      <c r="D404">
        <f>IF(Skills!C17=1,60+Inputs!$B$26+Inputs!$B$30,IF(Skills!C17=2,90+Inputs!$B$27+Inputs!$B$30,IF(Skills!C17=3,120+Inputs!$B$28+Inputs!$B$30,MAX(0,(Inputs!$B$3-100)*3)+Inputs!$B$29+Inputs!$B$30)))</f>
        <v/>
      </c>
      <c r="E404">
        <f>INDEX(FactorTable!$B$2:$Y$301, MATCH(ROUND(MIN(300,MAX(1,D404)),0), FactorTable!$A$2:$A$301,0), Skills!L17+1)</f>
        <v/>
      </c>
      <c r="F404">
        <f>IF(Skills!M17=TRUE,(Skills!K17/10)*(E404/1000),Skills!K17/10)+Skills!N17</f>
        <v/>
      </c>
      <c r="G404">
        <f>Calc!G17</f>
        <v/>
      </c>
      <c r="H404">
        <f>Calc!H17</f>
        <v/>
      </c>
      <c r="I404">
        <f>IF(Skills!T17&lt;&gt;"",1+(Skills!T17/10)*($Z$3/1000)/100,1)</f>
        <v/>
      </c>
      <c r="J404" t="inlineStr"/>
      <c r="K404" t="inlineStr"/>
      <c r="L404" t="inlineStr"/>
      <c r="M404" t="inlineStr"/>
      <c r="N404" t="inlineStr"/>
      <c r="O404">
        <f>(1-Summary!$B$11)*S404+Summary!$B$11*U404</f>
        <v/>
      </c>
      <c r="P404">
        <f>IF(B430=0,0,O404/B430)</f>
        <v/>
      </c>
      <c r="Q404">
        <f>IFERROR(1/(IF(Inputs!$B$39="pvp",15,MAX(0.1,Skills!D17-IF(Skills!E17=TRUE,Inputs!$B$33,0)))*(1-IF(AND(ArtifactsInput!$M$27,Inputs!$B$4="Chapter Hunt"),CHOOSE(ArtifactsInput!$N$27+1,20,24,28,32,36,40),0)/100)),0)</f>
        <v/>
      </c>
      <c r="R404" t="n">
        <v>0</v>
      </c>
      <c r="S404" t="n">
        <v>0</v>
      </c>
      <c r="U404" t="n">
        <v>0</v>
      </c>
    </row>
    <row r="405">
      <c r="A405">
        <f>Skills!A18</f>
        <v/>
      </c>
      <c r="B405">
        <f>Skills!B18</f>
        <v/>
      </c>
      <c r="C405">
        <f>Inputs!$B$3&gt;=75</f>
        <v/>
      </c>
      <c r="D405">
        <f>IF(Skills!C18=1,60+Inputs!$B$26+Inputs!$B$30,IF(Skills!C18=2,90+Inputs!$B$27+Inputs!$B$30,IF(Skills!C18=3,120+Inputs!$B$28+Inputs!$B$30,MAX(0,(Inputs!$B$3-100)*3)+Inputs!$B$29+Inputs!$B$30)))</f>
        <v/>
      </c>
      <c r="E405">
        <f>INDEX(FactorTable!$B$2:$Y$301, MATCH(ROUND(MIN(300,MAX(1,D405)),0), FactorTable!$A$2:$A$301,0), Skills!L18+1)</f>
        <v/>
      </c>
      <c r="F405">
        <f>IF(Skills!M18=TRUE,(Skills!K18/10)*(E405/1000),Skills!K18/10)+Skills!N18</f>
        <v/>
      </c>
      <c r="G405">
        <f>Calc!G18</f>
        <v/>
      </c>
      <c r="H405">
        <f>Calc!H18</f>
        <v/>
      </c>
      <c r="I405">
        <f>IF(Skills!T18&lt;&gt;"",1+(Skills!T18/10)*($Z$3/1000)/100,1)</f>
        <v/>
      </c>
      <c r="J405" t="inlineStr"/>
      <c r="K405" t="inlineStr"/>
      <c r="L405" t="inlineStr"/>
      <c r="M405" t="inlineStr"/>
      <c r="N405" t="inlineStr"/>
      <c r="O405">
        <f>(1-Summary!$B$11)*S405+Summary!$B$11*U405</f>
        <v/>
      </c>
      <c r="P405">
        <f>IF(B430=0,0,O405/B430)</f>
        <v/>
      </c>
      <c r="Q405">
        <f>IFERROR(1/(IF(Inputs!$B$39="pvp",15,MAX(0.1,Skills!D18-IF(Skills!E18=TRUE,Inputs!$B$33,0)))*(1-IF(AND(ArtifactsInput!$M$27,Inputs!$B$4="Chapter Hunt"),CHOOSE(ArtifactsInput!$N$27+1,20,24,28,32,36,40),0)/100)),0)</f>
        <v/>
      </c>
      <c r="R405" t="n">
        <v>0</v>
      </c>
      <c r="S405" t="n">
        <v>0</v>
      </c>
      <c r="U405" t="n">
        <v>0</v>
      </c>
    </row>
    <row r="406">
      <c r="A406">
        <f>Skills!A19</f>
        <v/>
      </c>
      <c r="B406">
        <f>Skills!B19</f>
        <v/>
      </c>
      <c r="C406">
        <f>Inputs!$B$3&gt;=110</f>
        <v/>
      </c>
      <c r="D406">
        <f>IF(Skills!C19=1,60+Inputs!$B$26+Inputs!$B$30,IF(Skills!C19=2,90+Inputs!$B$27+Inputs!$B$30,IF(Skills!C19=3,120+Inputs!$B$28+Inputs!$B$30,MAX(0,(Inputs!$B$3-100)*3)+Inputs!$B$29+Inputs!$B$30)))</f>
        <v/>
      </c>
      <c r="E406">
        <f>INDEX(FactorTable!$B$2:$Y$301, MATCH(ROUND(MIN(300,MAX(1,D406)),0), FactorTable!$A$2:$A$301,0), Skills!L19+1)</f>
        <v/>
      </c>
      <c r="F406">
        <f>(Skills!K19/10)*(E406/1000)*64/45+Skills!N19</f>
        <v/>
      </c>
      <c r="G406">
        <f>Calc!G19</f>
        <v/>
      </c>
      <c r="H406">
        <f>Calc!H19</f>
        <v/>
      </c>
      <c r="I406">
        <f>IF(Skills!T19&lt;&gt;"",1+(Skills!T19/10)*($Z$3/1000)/100,1)</f>
        <v/>
      </c>
      <c r="J406" t="inlineStr"/>
      <c r="K406" t="inlineStr"/>
      <c r="L406" t="inlineStr"/>
      <c r="M406" t="inlineStr"/>
      <c r="N406" t="inlineStr"/>
      <c r="O406">
        <f>(1-Summary!$B$11)*S406+Summary!$B$11*U406</f>
        <v/>
      </c>
      <c r="P406">
        <f>IF(B430=0,0,O406/B430)</f>
        <v/>
      </c>
      <c r="Q406">
        <f>IFERROR(1/(IF(Inputs!$B$39="pvp",15,MAX(0.1,Skills!D19-IF(Skills!E19=TRUE,Inputs!$B$33,0)))*(1-IF(AND(ArtifactsInput!$M$27,Inputs!$B$4="Chapter Hunt"),CHOOSE(ArtifactsInput!$N$27+1,20,24,28,32,36,40),0)/100)),0)</f>
        <v/>
      </c>
      <c r="R406">
        <f>IF(AND(Inputs!$B$39&lt;&gt;"pvp",Inputs!$B$44&gt;0),IF(Inputs!$B$44&lt;=0,0,(INT(Inputs!$B$44/(IF(Inputs!$B$39="pvp",15,MAX(0.1,Skills!D19-IF(Skills!E19=TRUE,Inputs!$B$33,0)))*(1-IF(AND(ArtifactsInput!$M$27,Inputs!$B$4="Chapter Hunt"),CHOOSE(ArtifactsInput!$N$27+1,20,24,28,32,36,40),0)/100)))+1)),0)</f>
        <v/>
      </c>
      <c r="S406" t="n">
        <v>0</v>
      </c>
      <c r="U406" t="n">
        <v>0</v>
      </c>
    </row>
    <row r="407">
      <c r="A407">
        <f>Skills!A20</f>
        <v/>
      </c>
      <c r="B407">
        <f>Skills!B20</f>
        <v/>
      </c>
      <c r="C407">
        <f>Inputs!$B$3&gt;=125</f>
        <v/>
      </c>
      <c r="D407">
        <f>IF(Skills!C20=1,60+Inputs!$B$26+Inputs!$B$30,IF(Skills!C20=2,90+Inputs!$B$27+Inputs!$B$30,IF(Skills!C20=3,120+Inputs!$B$28+Inputs!$B$30,MAX(0,(Inputs!$B$3-100)*3)+Inputs!$B$29+Inputs!$B$30)))</f>
        <v/>
      </c>
      <c r="E407">
        <f>INDEX(FactorTable!$B$2:$Y$301, MATCH(ROUND(MIN(300,MAX(1,D407)),0), FactorTable!$A$2:$A$301,0), Skills!L20+1)</f>
        <v/>
      </c>
      <c r="F407">
        <f>IF(Skills!M20=TRUE,(Skills!K20/10)*(E407/1000),Skills!K20/10)+Skills!N20</f>
        <v/>
      </c>
      <c r="G407">
        <f>Calc!G20</f>
        <v/>
      </c>
      <c r="H407">
        <f>Calc!H20</f>
        <v/>
      </c>
      <c r="I407">
        <f>IF(Skills!T20&lt;&gt;"",1+(Skills!T20/10)*($Z$3/1000)/100,1)</f>
        <v/>
      </c>
      <c r="J407" t="inlineStr"/>
      <c r="K407" t="inlineStr"/>
      <c r="L407" t="inlineStr"/>
      <c r="M407" t="inlineStr"/>
      <c r="N407" t="inlineStr"/>
      <c r="O407">
        <f>(1-Summary!$B$11)*S407+Summary!$B$11*U407</f>
        <v/>
      </c>
      <c r="P407">
        <f>IF(B430=0,0,O407/B430)</f>
        <v/>
      </c>
      <c r="Q407">
        <f>IFERROR(1/(IF(Inputs!$B$39="pvp",15,MAX(0.1,Skills!D20-IF(Skills!E20=TRUE,Inputs!$B$33,0)))*(1-IF(AND(ArtifactsInput!$M$27,Inputs!$B$4="Chapter Hunt"),CHOOSE(ArtifactsInput!$N$27+1,20,24,28,32,36,40),0)/100)),0)</f>
        <v/>
      </c>
      <c r="R407" t="n">
        <v>0</v>
      </c>
      <c r="S407" t="n">
        <v>0</v>
      </c>
      <c r="U407" t="n">
        <v>0</v>
      </c>
    </row>
    <row r="408">
      <c r="A408">
        <f>Skills!A21</f>
        <v/>
      </c>
      <c r="B408">
        <f>Skills!B21</f>
        <v/>
      </c>
      <c r="C408">
        <f>Inputs!$B$3&gt;=33</f>
        <v/>
      </c>
      <c r="D408">
        <f>IF(Skills!C21=1,60+Inputs!$B$26+Inputs!$B$30,IF(Skills!C21=2,90+Inputs!$B$27+Inputs!$B$30,IF(Skills!C21=3,120+Inputs!$B$28+Inputs!$B$30,MAX(0,(Inputs!$B$3-100)*3)+Inputs!$B$29+Inputs!$B$30)))</f>
        <v/>
      </c>
      <c r="E408">
        <f>INDEX(FactorTable!$B$2:$Y$301, MATCH(ROUND(MIN(300,MAX(1,D408)),0), FactorTable!$A$2:$A$301,0), Skills!L21+1)</f>
        <v/>
      </c>
      <c r="F408">
        <f>IF(Skills!M21=TRUE,(Skills!K21/10)*(E408/1000),Skills!K21/10)+Skills!N21</f>
        <v/>
      </c>
      <c r="G408">
        <f>Calc!G21</f>
        <v/>
      </c>
      <c r="H408">
        <f>Calc!H21</f>
        <v/>
      </c>
      <c r="I408">
        <f>IF(Skills!T21&lt;&gt;"",1+(Skills!T21/10)*($Z$3/1000)/100,1)</f>
        <v/>
      </c>
      <c r="J408" t="inlineStr"/>
      <c r="K408" t="inlineStr"/>
      <c r="L408" t="inlineStr"/>
      <c r="M408" t="inlineStr"/>
      <c r="N408" t="inlineStr"/>
      <c r="O408">
        <f>(1-Summary!$B$11)*S408+Summary!$B$11*U408</f>
        <v/>
      </c>
      <c r="P408">
        <f>IF(B430=0,0,O408/B430)</f>
        <v/>
      </c>
      <c r="Q408">
        <f>IFERROR(1/(IF(Inputs!$B$39="pvp",15,MAX(0.1,Skills!D21-IF(Skills!E21=TRUE,Inputs!$B$33,0)))*(1-IF(AND(ArtifactsInput!$M$27,Inputs!$B$4="Chapter Hunt"),CHOOSE(ArtifactsInput!$N$27+1,20,24,28,32,36,40),0)/100)),0)</f>
        <v/>
      </c>
      <c r="R408" t="n">
        <v>0</v>
      </c>
      <c r="S408" t="n">
        <v>0</v>
      </c>
      <c r="U408" t="n">
        <v>0</v>
      </c>
    </row>
    <row r="409">
      <c r="A409">
        <f>Skills!A22</f>
        <v/>
      </c>
      <c r="B409">
        <f>Skills!B22</f>
        <v/>
      </c>
      <c r="C409">
        <f>Inputs!$B$3&gt;=43</f>
        <v/>
      </c>
      <c r="D409">
        <f>IF(Skills!C22=1,60+Inputs!$B$26+Inputs!$B$30,IF(Skills!C22=2,90+Inputs!$B$27+Inputs!$B$30,IF(Skills!C22=3,120+Inputs!$B$28+Inputs!$B$30,MAX(0,(Inputs!$B$3-100)*3)+Inputs!$B$29+Inputs!$B$30)))</f>
        <v/>
      </c>
      <c r="E409">
        <f>INDEX(FactorTable!$B$2:$Y$301, MATCH(ROUND(MIN(300,MAX(1,D409)),0), FactorTable!$A$2:$A$301,0), Skills!L22+1)</f>
        <v/>
      </c>
      <c r="F409">
        <f>IF(Skills!M22=TRUE,(Skills!K22/10)*(E409/1000),Skills!K22/10)+Skills!N22</f>
        <v/>
      </c>
      <c r="G409">
        <f>Calc!G22</f>
        <v/>
      </c>
      <c r="H409">
        <f>Calc!H22</f>
        <v/>
      </c>
      <c r="I409">
        <f>IF(Skills!T22&lt;&gt;"",1+(Skills!T22/10)*($Z$3/1000)/100,1)</f>
        <v/>
      </c>
      <c r="J409" t="inlineStr"/>
      <c r="K409" t="inlineStr"/>
      <c r="L409" t="inlineStr"/>
      <c r="M409" t="inlineStr"/>
      <c r="N409" t="inlineStr"/>
      <c r="O409">
        <f>(1-Summary!$B$11)*S409+Summary!$B$11*U409</f>
        <v/>
      </c>
      <c r="P409">
        <f>IF(B430=0,0,O409/B430)</f>
        <v/>
      </c>
      <c r="Q409">
        <f>IFERROR(1/(IF(Inputs!$B$39="pvp",15,MAX(0.1,Skills!D22-IF(Skills!E22=TRUE,Inputs!$B$33,0)))*(1-IF(AND(ArtifactsInput!$M$27,Inputs!$B$4="Chapter Hunt"),CHOOSE(ArtifactsInput!$N$27+1,20,24,28,32,36,40),0)/100)),0)</f>
        <v/>
      </c>
      <c r="R409" t="n">
        <v>0</v>
      </c>
      <c r="S409" t="n">
        <v>0</v>
      </c>
      <c r="U409" t="n">
        <v>0</v>
      </c>
    </row>
    <row r="410">
      <c r="A410">
        <f>Skills!A23</f>
        <v/>
      </c>
      <c r="B410">
        <f>Skills!B23</f>
        <v/>
      </c>
      <c r="C410">
        <f>Inputs!$B$3&gt;=50</f>
        <v/>
      </c>
      <c r="D410">
        <f>IF(Skills!C23=1,60+Inputs!$B$26+Inputs!$B$30,IF(Skills!C23=2,90+Inputs!$B$27+Inputs!$B$30,IF(Skills!C23=3,120+Inputs!$B$28+Inputs!$B$30,MAX(0,(Inputs!$B$3-100)*3)+Inputs!$B$29+Inputs!$B$30)))</f>
        <v/>
      </c>
      <c r="E410">
        <f>INDEX(FactorTable!$B$2:$Y$301, MATCH(ROUND(MIN(300,MAX(1,D410)),0), FactorTable!$A$2:$A$301,0), Skills!L23+1)</f>
        <v/>
      </c>
      <c r="F410">
        <f>IF(Skills!M23=TRUE,(Skills!K23/10)*(E410/1000),Skills!K23/10)+Skills!N23</f>
        <v/>
      </c>
      <c r="G410">
        <f>Calc!G23</f>
        <v/>
      </c>
      <c r="H410">
        <f>Calc!H23</f>
        <v/>
      </c>
      <c r="I410">
        <f>IF(Skills!T23&lt;&gt;"",1+(Skills!T23/10)*($Z$3/1000)/100,1)</f>
        <v/>
      </c>
      <c r="J410" t="inlineStr"/>
      <c r="K410" t="inlineStr"/>
      <c r="L410" t="inlineStr"/>
      <c r="M410" t="inlineStr"/>
      <c r="N410" t="inlineStr"/>
      <c r="O410">
        <f>(1-Summary!$B$11)*S410+Summary!$B$11*U410</f>
        <v/>
      </c>
      <c r="P410">
        <f>IF(B430=0,0,O410/B430)</f>
        <v/>
      </c>
      <c r="Q410">
        <f>IFERROR(1/(IF(Inputs!$B$39="pvp",15,MAX(0.1,Skills!D23-IF(Skills!E23=TRUE,Inputs!$B$33,0)))*(1-IF(AND(ArtifactsInput!$M$27,Inputs!$B$4="Chapter Hunt"),CHOOSE(ArtifactsInput!$N$27+1,20,24,28,32,36,40),0)/100)),0)</f>
        <v/>
      </c>
      <c r="R410" t="n">
        <v>0</v>
      </c>
      <c r="S410" t="n">
        <v>0</v>
      </c>
      <c r="U410" t="n">
        <v>0</v>
      </c>
    </row>
    <row r="411">
      <c r="A411">
        <f>Skills!A24</f>
        <v/>
      </c>
      <c r="B411">
        <f>Skills!B24</f>
        <v/>
      </c>
      <c r="C411">
        <f>Inputs!$B$3&gt;=74</f>
        <v/>
      </c>
      <c r="D411">
        <f>IF(Skills!C24=1,60+Inputs!$B$26+Inputs!$B$30,IF(Skills!C24=2,90+Inputs!$B$27+Inputs!$B$30,IF(Skills!C24=3,120+Inputs!$B$28+Inputs!$B$30,MAX(0,(Inputs!$B$3-100)*3)+Inputs!$B$29+Inputs!$B$30)))</f>
        <v/>
      </c>
      <c r="E411">
        <f>INDEX(FactorTable!$B$2:$Y$301, MATCH(ROUND(MIN(300,MAX(1,D411)),0), FactorTable!$A$2:$A$301,0), Skills!L24+1)</f>
        <v/>
      </c>
      <c r="F411">
        <f>IF(Skills!M24=TRUE,(Skills!K24/10)*(E411/1000),Skills!K24/10)+Skills!N24</f>
        <v/>
      </c>
      <c r="G411">
        <f>Calc!G24</f>
        <v/>
      </c>
      <c r="H411">
        <f>Calc!H24</f>
        <v/>
      </c>
      <c r="I411">
        <f>IF(Skills!T24&lt;&gt;"",1+(Skills!T24/10)*($Z$3/1000)/100,1)</f>
        <v/>
      </c>
      <c r="J411" t="inlineStr"/>
      <c r="K411" t="inlineStr"/>
      <c r="L411" t="inlineStr"/>
      <c r="M411" t="inlineStr"/>
      <c r="N411" t="inlineStr"/>
      <c r="O411">
        <f>(1-Summary!$B$11)*S411+Summary!$B$11*U411</f>
        <v/>
      </c>
      <c r="P411">
        <f>IF(B430=0,0,O411/B430)</f>
        <v/>
      </c>
      <c r="Q411">
        <f>IFERROR(1/(IF(Inputs!$B$39="pvp",15,MAX(0.1,Skills!D24-IF(Skills!E24=TRUE,Inputs!$B$33,0)))*(1-IF(AND(ArtifactsInput!$M$27,Inputs!$B$4="Chapter Hunt"),CHOOSE(ArtifactsInput!$N$27+1,20,24,28,32,36,40),0)/100)),0)</f>
        <v/>
      </c>
      <c r="R411" t="n">
        <v>0</v>
      </c>
      <c r="S411" t="n">
        <v>0</v>
      </c>
      <c r="U411" t="n">
        <v>0</v>
      </c>
    </row>
    <row r="412">
      <c r="A412">
        <f>Skills!A25</f>
        <v/>
      </c>
      <c r="B412">
        <f>Skills!B25</f>
        <v/>
      </c>
      <c r="C412">
        <f>Inputs!$B$3&gt;=74</f>
        <v/>
      </c>
      <c r="D412">
        <f>IF(Skills!C25=1,60+Inputs!$B$26+Inputs!$B$30,IF(Skills!C25=2,90+Inputs!$B$27+Inputs!$B$30,IF(Skills!C25=3,120+Inputs!$B$28+Inputs!$B$30,MAX(0,(Inputs!$B$3-100)*3)+Inputs!$B$29+Inputs!$B$30)))</f>
        <v/>
      </c>
      <c r="E412">
        <f>INDEX(FactorTable!$B$2:$Y$301, MATCH(ROUND(MIN(300,MAX(1,D412)),0), FactorTable!$A$2:$A$301,0), Skills!L25+1)</f>
        <v/>
      </c>
      <c r="F412">
        <f>IF(Skills!M25=TRUE,(Skills!K25/10)*(E412/1000),Skills!K25/10)+Skills!N25</f>
        <v/>
      </c>
      <c r="G412">
        <f>Calc!G25</f>
        <v/>
      </c>
      <c r="H412">
        <f>Calc!H25</f>
        <v/>
      </c>
      <c r="I412">
        <f>IF(Skills!T25&lt;&gt;"",1+(Skills!T25/10)*($Z$3/1000)/100,1)</f>
        <v/>
      </c>
      <c r="J412" t="inlineStr"/>
      <c r="K412" t="inlineStr"/>
      <c r="L412" t="inlineStr"/>
      <c r="M412" t="inlineStr"/>
      <c r="N412" t="inlineStr"/>
      <c r="O412">
        <f>(1-Summary!$B$11)*S412+Summary!$B$11*U412</f>
        <v/>
      </c>
      <c r="P412">
        <f>IF(B430=0,0,O412/B430)</f>
        <v/>
      </c>
      <c r="Q412">
        <f>IFERROR(1/(IF(Inputs!$B$39="pvp",15,MAX(0.1,Skills!D25-IF(Skills!E25=TRUE,Inputs!$B$33,0)))*(1-IF(AND(ArtifactsInput!$M$27,Inputs!$B$4="Chapter Hunt"),CHOOSE(ArtifactsInput!$N$27+1,20,24,28,32,36,40),0)/100)),0)</f>
        <v/>
      </c>
      <c r="R412" t="n">
        <v>0</v>
      </c>
      <c r="S412" t="n">
        <v>0</v>
      </c>
      <c r="U412" t="n">
        <v>0</v>
      </c>
    </row>
    <row r="413">
      <c r="A413">
        <f>Skills!A26</f>
        <v/>
      </c>
      <c r="B413">
        <f>Skills!B26</f>
        <v/>
      </c>
      <c r="C413">
        <f>Inputs!$B$3&gt;=117</f>
        <v/>
      </c>
      <c r="D413">
        <f>IF(Skills!C26=1,60+Inputs!$B$26+Inputs!$B$30,IF(Skills!C26=2,90+Inputs!$B$27+Inputs!$B$30,IF(Skills!C26=3,120+Inputs!$B$28+Inputs!$B$30,MAX(0,(Inputs!$B$3-100)*3)+Inputs!$B$29+Inputs!$B$30)))</f>
        <v/>
      </c>
      <c r="E413">
        <f>INDEX(FactorTable!$B$2:$Y$301, MATCH(ROUND(MIN(300,MAX(1,D413)),0), FactorTable!$A$2:$A$301,0), Skills!L26+1)</f>
        <v/>
      </c>
      <c r="F413">
        <f>IF(Skills!M26=TRUE,(Skills!K26/10)*(E413/1000),Skills!K26/10)+Skills!N26</f>
        <v/>
      </c>
      <c r="G413">
        <f>Calc!G26</f>
        <v/>
      </c>
      <c r="H413">
        <f>Calc!H26</f>
        <v/>
      </c>
      <c r="I413">
        <f>IF(Skills!T26&lt;&gt;"",1+(Skills!T26/10)*($Z$3/1000)/100,1)</f>
        <v/>
      </c>
      <c r="J413" t="inlineStr"/>
      <c r="K413" t="inlineStr"/>
      <c r="L413" t="inlineStr"/>
      <c r="M413" t="inlineStr"/>
      <c r="N413" t="inlineStr"/>
      <c r="O413">
        <f>(1-Summary!$B$11)*S413+Summary!$B$11*U413</f>
        <v/>
      </c>
      <c r="P413">
        <f>IF(B430=0,0,O413/B430)</f>
        <v/>
      </c>
      <c r="Q413">
        <f>IFERROR(1/(IF(Inputs!$B$39="pvp",15,MAX(0.1,Skills!D26-IF(Skills!E26=TRUE,Inputs!$B$33,0)))*(1-IF(AND(ArtifactsInput!$M$27,Inputs!$B$4="Chapter Hunt"),CHOOSE(ArtifactsInput!$N$27+1,20,24,28,32,36,40),0)/100)),0)</f>
        <v/>
      </c>
      <c r="R413" t="n">
        <v>0</v>
      </c>
      <c r="S413" t="n">
        <v>0</v>
      </c>
      <c r="U413" t="n">
        <v>0</v>
      </c>
    </row>
    <row r="414">
      <c r="A414">
        <f>Skills!A27</f>
        <v/>
      </c>
      <c r="B414">
        <f>Skills!B27</f>
        <v/>
      </c>
      <c r="C414">
        <f>Inputs!$B$3&gt;=120</f>
        <v/>
      </c>
      <c r="D414">
        <f>IF(Skills!C27=1,60+Inputs!$B$26+Inputs!$B$30,IF(Skills!C27=2,90+Inputs!$B$27+Inputs!$B$30,IF(Skills!C27=3,120+Inputs!$B$28+Inputs!$B$30,MAX(0,(Inputs!$B$3-100)*3)+Inputs!$B$29+Inputs!$B$30)))</f>
        <v/>
      </c>
      <c r="E414">
        <f>INDEX(FactorTable!$B$2:$Y$301, MATCH(ROUND(MIN(300,MAX(1,D414)),0), FactorTable!$A$2:$A$301,0), Skills!L27+1)</f>
        <v/>
      </c>
      <c r="F414">
        <f>IF(Skills!M27=TRUE,(Skills!K27/10)*(E414/1000),Skills!K27/10)+Skills!N27</f>
        <v/>
      </c>
      <c r="G414">
        <f>Calc!G27</f>
        <v/>
      </c>
      <c r="H414">
        <f>Calc!H27</f>
        <v/>
      </c>
      <c r="I414">
        <f>IF(Skills!T27&lt;&gt;"",1+(Skills!T27/10)*($Z$3/1000)/100,1)</f>
        <v/>
      </c>
      <c r="J414" t="inlineStr"/>
      <c r="K414" t="inlineStr"/>
      <c r="L414" t="inlineStr"/>
      <c r="M414" t="inlineStr"/>
      <c r="N414" t="inlineStr"/>
      <c r="O414">
        <f>(1-Summary!$B$11)*S414+Summary!$B$11*U414</f>
        <v/>
      </c>
      <c r="P414">
        <f>IF(B430=0,0,O414/B430)</f>
        <v/>
      </c>
      <c r="Q414">
        <f>IFERROR(1/(IF(Inputs!$B$39="pvp",15,MAX(0.1,Skills!D27-IF(Skills!E27=TRUE,Inputs!$B$33,0)))*(1-IF(AND(ArtifactsInput!$M$27,Inputs!$B$4="Chapter Hunt"),CHOOSE(ArtifactsInput!$N$27+1,20,24,28,32,36,40),0)/100)),0)</f>
        <v/>
      </c>
      <c r="R414" t="n">
        <v>0</v>
      </c>
      <c r="S414" t="n">
        <v>0</v>
      </c>
      <c r="U414" t="n">
        <v>0</v>
      </c>
    </row>
    <row r="415">
      <c r="A415">
        <f>Skills!A28</f>
        <v/>
      </c>
      <c r="B415">
        <f>Skills!B28</f>
        <v/>
      </c>
      <c r="C415">
        <f>TRUE</f>
        <v/>
      </c>
      <c r="D415">
        <f>IF(Skills!C28=1,60+Inputs!$B$26+Inputs!$B$30,IF(Skills!C28=2,90+Inputs!$B$27+Inputs!$B$30,IF(Skills!C28=3,120+Inputs!$B$28+Inputs!$B$30,MAX(0,(Inputs!$B$3-100)*3)+Inputs!$B$29+Inputs!$B$30)))</f>
        <v/>
      </c>
      <c r="E415">
        <f>INDEX(FactorTable!$B$2:$Y$301, MATCH(ROUND(MIN(300,MAX(1,D415)),0), FactorTable!$A$2:$A$301,0), Skills!L28+1)</f>
        <v/>
      </c>
      <c r="F415">
        <f>IF(Skills!M28=TRUE,(Skills!K28/10)*(E415/1000),Skills!K28/10)+Skills!N28</f>
        <v/>
      </c>
      <c r="G415">
        <f>Calc!G28</f>
        <v/>
      </c>
      <c r="H415">
        <f>Calc!H28</f>
        <v/>
      </c>
      <c r="I415">
        <f>IF(Skills!T28&lt;&gt;"",1+(Skills!T28/10)*($Z$3/1000)/100,1)</f>
        <v/>
      </c>
      <c r="J415" t="inlineStr"/>
      <c r="K415" t="inlineStr"/>
      <c r="L415" t="inlineStr"/>
      <c r="M415" t="inlineStr"/>
      <c r="N415" t="inlineStr"/>
      <c r="O415">
        <f>(1-Summary!$B$11)*S415+Summary!$B$11*U415</f>
        <v/>
      </c>
      <c r="P415">
        <f>IF(B430=0,0,O415/B430)</f>
        <v/>
      </c>
      <c r="Q415">
        <f>IFERROR(1/(IF(Inputs!$B$39="pvp",15,MAX(0.1,Skills!D28-IF(Skills!E28=TRUE,Inputs!$B$33,0)))*(1-IF(AND(ArtifactsInput!$M$27,Inputs!$B$4="Chapter Hunt"),CHOOSE(ArtifactsInput!$N$27+1,20,24,28,32,36,40),0)/100)),0)</f>
        <v/>
      </c>
      <c r="R415">
        <f>IF(AND(Inputs!$B$39&lt;&gt;"pvp",Inputs!$B$44&gt;0),IF(Inputs!$B$44&lt;=0,0,(INT(Inputs!$B$44/(IF(Inputs!$B$39="pvp",15,MAX(0.1,Skills!D28-IF(Skills!E28=TRUE,Inputs!$B$33,0)))*(1-IF(AND(ArtifactsInput!$M$27,Inputs!$B$4="Chapter Hunt"),CHOOSE(ArtifactsInput!$N$27+1,20,24,28,32,36,40),0)/100)))+1)),0)</f>
        <v/>
      </c>
      <c r="S415" t="n">
        <v>0</v>
      </c>
      <c r="U415" t="n">
        <v>0</v>
      </c>
    </row>
    <row r="417">
      <c r="A417" t="inlineStr">
        <is>
          <t>Average Buff Multiplier</t>
        </is>
      </c>
      <c r="B417">
        <f>(1+(IF(C390=TRUE,F390*IF(AND(Inputs!$B$39&lt;&gt;"pvp",Inputs!$B$44&gt;0),(((R390-1)*(Skills!S3*(1+((Inputs!$B$35+(ArtifactsInput!$M$7-ArtifactsInput!$M$7)*CHOOSE(ArtifactsInput!$N$7+1,6,7.2,8.4,9.6,10.8,12))+IF(Inputs!$B$3&gt;=117,F413,0))/100))+MIN((Skills!S3*(1+((Inputs!$B$35+(ArtifactsInput!$M$7-ArtifactsInput!$M$7)*CHOOSE(ArtifactsInput!$N$7+1,6,7.2,8.4,9.6,10.8,12))+IF(Inputs!$B$3&gt;=117,F413,0))/100)),MAX(0,Inputs!$B$44-((R390-1)*Skills!D3))))/Inputs!$B$44),IF(Inputs!$B$39="pvp",MIN((Skills!S3*(1+((Inputs!$B$35+(ArtifactsInput!$M$7-ArtifactsInput!$M$7)*CHOOSE(ArtifactsInput!$N$7+1,6,7.2,8.4,9.6,10.8,12))+IF(Inputs!$B$3&gt;=117,F413,0))/100)),15)/15,(Skills!S3*(1+((Inputs!$B$35+(ArtifactsInput!$M$7-ArtifactsInput!$M$7)*CHOOSE(ArtifactsInput!$N$7+1,6,7.2,8.4,9.6,10.8,12))+IF(Inputs!$B$3&gt;=117,F413,0))/100))/Skills!D3)),0)+IF(C391=TRUE,F391*IF(AND(Inputs!$B$39&lt;&gt;"pvp",Inputs!$B$44&gt;0),(((R391-1)*(Skills!S4*(1+((Inputs!$B$35+(ArtifactsInput!$M$7-ArtifactsInput!$M$7)*CHOOSE(ArtifactsInput!$N$7+1,6,7.2,8.4,9.6,10.8,12))+IF(Inputs!$B$3&gt;=117,F413,0))/100))+MIN((Skills!S4*(1+((Inputs!$B$35+(ArtifactsInput!$M$7-ArtifactsInput!$M$7)*CHOOSE(ArtifactsInput!$N$7+1,6,7.2,8.4,9.6,10.8,12))+IF(Inputs!$B$3&gt;=117,F413,0))/100)),MAX(0,Inputs!$B$44-((R391-1)*Skills!D4))))/Inputs!$B$44),IF(Inputs!$B$39="pvp",MIN((Skills!S4*(1+((Inputs!$B$35+(ArtifactsInput!$M$7-ArtifactsInput!$M$7)*CHOOSE(ArtifactsInput!$N$7+1,6,7.2,8.4,9.6,10.8,12))+IF(Inputs!$B$3&gt;=117,F413,0))/100)),15)/15,(Skills!S4*(1+((Inputs!$B$35+(ArtifactsInput!$M$7-ArtifactsInput!$M$7)*CHOOSE(ArtifactsInput!$N$7+1,6,7.2,8.4,9.6,10.8,12))+IF(Inputs!$B$3&gt;=117,F413,0))/100))/Skills!D4)),0)+IF(C392=TRUE,F392*IF(AND(Inputs!$B$39&lt;&gt;"pvp",Inputs!$B$44&gt;0),(((R392-1)*(Skills!S5*(1+((Inputs!$B$35+(ArtifactsInput!$M$7-ArtifactsInput!$M$7)*CHOOSE(ArtifactsInput!$N$7+1,6,7.2,8.4,9.6,10.8,12))+IF(Inputs!$B$3&gt;=117,F413,0))/100))+MIN((Skills!S5*(1+((Inputs!$B$35+(ArtifactsInput!$M$7-ArtifactsInput!$M$7)*CHOOSE(ArtifactsInput!$N$7+1,6,7.2,8.4,9.6,10.8,12))+IF(Inputs!$B$3&gt;=117,F413,0))/100)),MAX(0,Inputs!$B$44-((R392-1)*Skills!D5))))/Inputs!$B$44),IF(Inputs!$B$39="pvp",MIN((Skills!S5*(1+((Inputs!$B$35+(ArtifactsInput!$M$7-ArtifactsInput!$M$7)*CHOOSE(ArtifactsInput!$N$7+1,6,7.2,8.4,9.6,10.8,12))+IF(Inputs!$B$3&gt;=117,F413,0))/100)),15)/15,(Skills!S5*(1+((Inputs!$B$35+(ArtifactsInput!$M$7-ArtifactsInput!$M$7)*CHOOSE(ArtifactsInput!$N$7+1,6,7.2,8.4,9.6,10.8,12))+IF(Inputs!$B$3&gt;=117,F413,0))/100))/Skills!D5)),0)+IF(C398=TRUE,F398*IF(AND(Inputs!$B$39&lt;&gt;"pvp",Inputs!$B$44&gt;0),(((R398-1)*(Skills!S11*(1+((Inputs!$B$35+(ArtifactsInput!$M$7-ArtifactsInput!$M$7)*CHOOSE(ArtifactsInput!$N$7+1,6,7.2,8.4,9.6,10.8,12))+IF(Inputs!$B$3&gt;=117,F413,0))/100))+MIN((Skills!S11*(1+((Inputs!$B$35+(ArtifactsInput!$M$7-ArtifactsInput!$M$7)*CHOOSE(ArtifactsInput!$N$7+1,6,7.2,8.4,9.6,10.8,12))+IF(Inputs!$B$3&gt;=117,F413,0))/100)),MAX(0,Inputs!$B$44-((R398-1)*Skills!D11))))/Inputs!$B$44),IF(Inputs!$B$39="pvp",MIN((Skills!S11*(1+((Inputs!$B$35+(ArtifactsInput!$M$7-ArtifactsInput!$M$7)*CHOOSE(ArtifactsInput!$N$7+1,6,7.2,8.4,9.6,10.8,12))+IF(Inputs!$B$3&gt;=117,F413,0))/100)),15)/15,(Skills!S11*(1+((Inputs!$B$35+(ArtifactsInput!$M$7-ArtifactsInput!$M$7)*CHOOSE(ArtifactsInput!$N$7+1,6,7.2,8.4,9.6,10.8,12))+IF(Inputs!$B$3&gt;=117,F413,0)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401=TRUE,(1+F401*IF(AND(Inputs!$B$39&lt;&gt;"pvp",Inputs!$B$44&gt;0),(((R401-1)*(Skills!S14*(1+((Inputs!$B$35+(ArtifactsInput!$M$7-ArtifactsInput!$M$7)*CHOOSE(ArtifactsInput!$N$7+1,6,7.2,8.4,9.6,10.8,12))+IF(Inputs!$B$3&gt;=117,F413,0))/100))+MIN((Skills!S14*(1+((Inputs!$B$35+(ArtifactsInput!$M$7-ArtifactsInput!$M$7)*CHOOSE(ArtifactsInput!$N$7+1,6,7.2,8.4,9.6,10.8,12))+IF(Inputs!$B$3&gt;=117,F413,0))/100)),MAX(0,Inputs!$B$44-((R401-1)*Skills!D14))))/Inputs!$B$44),IF(Inputs!$B$39="pvp",MIN((Skills!S14*(1+((Inputs!$B$35+(ArtifactsInput!$M$7-ArtifactsInput!$M$7)*CHOOSE(ArtifactsInput!$N$7+1,6,7.2,8.4,9.6,10.8,12))+IF(Inputs!$B$3&gt;=117,F413,0))/100)),15)/15,(Skills!S14*(1+((Inputs!$B$35+(ArtifactsInput!$M$7-ArtifactsInput!$M$7)*CHOOSE(ArtifactsInput!$N$7+1,6,7.2,8.4,9.6,10.8,12))+IF(Inputs!$B$3&gt;=117,F413,0))/100))/Skills!D14))/100),1)*IF(C406=TRUE,(1+F406*IF(AND(Inputs!$B$39&lt;&gt;"pvp",Inputs!$B$44&gt;0),(((R406-1)*(Skills!S19*(1+((Inputs!$B$35+(ArtifactsInput!$M$7-ArtifactsInput!$M$7)*CHOOSE(ArtifactsInput!$N$7+1,6,7.2,8.4,9.6,10.8,12))+IF(Inputs!$B$3&gt;=117,F413,0))/100))+MIN((Skills!S19*(1+((Inputs!$B$35+(ArtifactsInput!$M$7-ArtifactsInput!$M$7)*CHOOSE(ArtifactsInput!$N$7+1,6,7.2,8.4,9.6,10.8,12))+IF(Inputs!$B$3&gt;=117,F413,0))/100)),MAX(0,Inputs!$B$44-((R406-1)*Skills!D19))))/Inputs!$B$44),IF(Inputs!$B$39="pvp",MIN((Skills!S19*(1+((Inputs!$B$35+(ArtifactsInput!$M$7-ArtifactsInput!$M$7)*CHOOSE(ArtifactsInput!$N$7+1,6,7.2,8.4,9.6,10.8,12))+IF(Inputs!$B$3&gt;=117,F413,0))/100)),15)/15,(Skills!S19*(1+((Inputs!$B$35+(ArtifactsInput!$M$7-ArtifactsInput!$M$7)*CHOOSE(ArtifactsInput!$N$7+1,6,7.2,8.4,9.6,10.8,12))+IF(Inputs!$B$3&gt;=117,F413,0))/100))/Skills!D19))/100),1)</f>
        <v/>
      </c>
    </row>
    <row r="418">
      <c r="A418" t="inlineStr">
        <is>
          <t>Monster Damage Taken Bonus % (Holy Fountain)</t>
        </is>
      </c>
      <c r="B418">
        <f>IF(Inputs!$B$3&gt;=68,20*IF(Inputs!$B$39="pvp",MIN((15*(1+((Inputs!$B$35+(ArtifactsInput!$M$7-ArtifactsInput!$M$7)*CHOOSE(ArtifactsInput!$N$7+1,6,7.2,8.4,9.6,10.8,12))+IF(Inputs!$B$3&gt;=117,F413,0))/100)),15)/15,(15*(1+((Inputs!$B$35+(ArtifactsInput!$M$7-ArtifactsInput!$M$7)*CHOOSE(ArtifactsInput!$N$7+1,6,7.2,8.4,9.6,10.8,12))+IF(Inputs!$B$3&gt;=117,F413,0))/100))/Skills!D10),0)</f>
        <v/>
      </c>
    </row>
    <row r="419">
      <c r="A419" t="inlineStr">
        <is>
          <t>Normal Monster Damage Bonus % (Holy Symbol)</t>
        </is>
      </c>
      <c r="B419">
        <f>IF(C399=TRUE,F399*IF(AND(Inputs!$B$39&lt;&gt;"pvp",Inputs!$B$44&gt;0),(((R399-1)*(Skills!S12*(1+((Inputs!$B$35+(ArtifactsInput!$M$7-ArtifactsInput!$M$7)*CHOOSE(ArtifactsInput!$N$7+1,6,7.2,8.4,9.6,10.8,12))+IF(Inputs!$B$3&gt;=117,F413,0))/100))+MIN((Skills!S12*(1+((Inputs!$B$35+(ArtifactsInput!$M$7-ArtifactsInput!$M$7)*CHOOSE(ArtifactsInput!$N$7+1,6,7.2,8.4,9.6,10.8,12))+IF(Inputs!$B$3&gt;=117,F413,0))/100)),MAX(0,Inputs!$B$44-((R399-1)*Skills!D12))))/Inputs!$B$44),IF(Inputs!$B$39="pvp",MIN((Skills!S12*(1+((Inputs!$B$35+(ArtifactsInput!$M$7-ArtifactsInput!$M$7)*CHOOSE(ArtifactsInput!$N$7+1,6,7.2,8.4,9.6,10.8,12))+IF(Inputs!$B$3&gt;=117,F413,0))/100)),15)/15,(Skills!S12*(1+((Inputs!$B$35+(ArtifactsInput!$M$7-ArtifactsInput!$M$7)*CHOOSE(ArtifactsInput!$N$7+1,6,7.2,8.4,9.6,10.8,12))+IF(Inputs!$B$3&gt;=117,F413,0))/100))/Skills!D12)),0)</f>
        <v/>
      </c>
    </row>
    <row r="420">
      <c r="A420" t="inlineStr">
        <is>
          <t>Damage % Bonus (Holy Symbol - Damage Boost)</t>
        </is>
      </c>
      <c r="B420">
        <f>Skills!O12</f>
        <v/>
      </c>
    </row>
    <row r="421">
      <c r="A421" t="inlineStr">
        <is>
          <t>Crit Damage % Bonus (Blood of the Divine)</t>
        </is>
      </c>
      <c r="B421">
        <f>4*IF(C407=TRUE,F407,0)</f>
        <v/>
      </c>
    </row>
    <row r="422">
      <c r="A422" t="inlineStr">
        <is>
          <t>Attack Speed Bonus %</t>
        </is>
      </c>
      <c r="B422">
        <f>IF(C404=TRUE,F404+(F408-Calc!F21),0)+IF(Inputs!$B$3&gt;=134,15,0)+((C415=TRUE)*F415*IF(AND(Inputs!$B$39&lt;&gt;"pvp",Inputs!$B$44&gt;0),(((R415-1)*(Skills!S28*(1+((Inputs!$B$35+(ArtifactsInput!$M$7-ArtifactsInput!$M$7)*CHOOSE(ArtifactsInput!$N$7+1,6,7.2,8.4,9.6,10.8,12))+IF(Inputs!$B$3&gt;=117,F413,0))/100))+MIN((Skills!S28*(1+((Inputs!$B$35+(ArtifactsInput!$M$7-ArtifactsInput!$M$7)*CHOOSE(ArtifactsInput!$N$7+1,6,7.2,8.4,9.6,10.8,12))+IF(Inputs!$B$3&gt;=117,F413,0))/100)),MAX(0,Inputs!$B$44-((R415-1)*Skills!D28))))/Inputs!$B$44),IF(Inputs!$B$39="pvp",MIN((Skills!S28*(1+((Inputs!$B$35+(ArtifactsInput!$M$7-ArtifactsInput!$M$7)*CHOOSE(ArtifactsInput!$N$7+1,6,7.2,8.4,9.6,10.8,12))+IF(Inputs!$B$3&gt;=117,F413,0))/100)),15)/15,(Skills!S28*(1+((Inputs!$B$35+(ArtifactsInput!$M$7-ArtifactsInput!$M$7)*CHOOSE(ArtifactsInput!$N$7+1,6,7.2,8.4,9.6,10.8,12))+IF(Inputs!$B$3&gt;=117,F413,0))/100))/Skills!D28)))</f>
        <v/>
      </c>
    </row>
    <row r="423">
      <c r="A423" t="inlineStr">
        <is>
          <t>Actions Per Second</t>
        </is>
      </c>
      <c r="B423">
        <f>1+MIN(150,150*(1-(1-Inputs!$B$12/150)*(1-B422/150)))/100</f>
        <v/>
      </c>
    </row>
    <row r="424">
      <c r="A424" t="inlineStr">
        <is>
          <t>Skill + Buff Cast Rate</t>
        </is>
      </c>
      <c r="B424">
        <f>IF(AND(Inputs!$B$39&lt;&gt;"pvp",Inputs!$B$44&gt;0),SUMPRODUCT((Skills!E2:E28=TRUE)*(C389:C415=TRUE)*R389:R415)/Inputs!$B$44,SUMPRODUCT((Skills!E2:E28=TRUE)*(C389:C415=TRUE)*Q389:Q415))</f>
        <v/>
      </c>
    </row>
    <row r="425">
      <c r="A425" t="inlineStr">
        <is>
          <t>Big Bang Casts Per Second</t>
        </is>
      </c>
      <c r="B425">
        <f>MAX(0,B423-B424)</f>
        <v/>
      </c>
    </row>
    <row r="426">
      <c r="A426" t="inlineStr">
        <is>
          <t>Defense % Bonus (Divine Protection)</t>
        </is>
      </c>
      <c r="B426">
        <f>IF(C400=TRUE,F400*IF(AND(Inputs!$B$39&lt;&gt;"pvp",Inputs!$B$44&gt;0),(((R400-1)*(Skills!S13*(1+((Inputs!$B$35+(ArtifactsInput!$M$7-ArtifactsInput!$M$7)*CHOOSE(ArtifactsInput!$N$7+1,6,7.2,8.4,9.6,10.8,12))+IF(Inputs!$B$3&gt;=117,F413,0))/100))+MIN((Skills!S13*(1+((Inputs!$B$35+(ArtifactsInput!$M$7-ArtifactsInput!$M$7)*CHOOSE(ArtifactsInput!$N$7+1,6,7.2,8.4,9.6,10.8,12))+IF(Inputs!$B$3&gt;=117,F413,0))/100)),MAX(0,Inputs!$B$44-((R400-1)*Skills!D13))))/Inputs!$B$44),IF(Inputs!$B$39="pvp",MIN((Skills!S13*(1+((Inputs!$B$35+(ArtifactsInput!$M$7-ArtifactsInput!$M$7)*CHOOSE(ArtifactsInput!$N$7+1,6,7.2,8.4,9.6,10.8,12))+IF(Inputs!$B$3&gt;=117,F413,0))/100)),15)/15,(Skills!S13*(1+((Inputs!$B$35+(ArtifactsInput!$M$7-ArtifactsInput!$M$7)*CHOOSE(ArtifactsInput!$N$7+1,6,7.2,8.4,9.6,10.8,12))+IF(Inputs!$B$3&gt;=117,F413,0))/100))/Skills!D13)),0)</f>
        <v/>
      </c>
    </row>
    <row r="427">
      <c r="A427" t="inlineStr">
        <is>
          <t>Buff-Casting Startup Delay (s, fixed-duration only)</t>
        </is>
      </c>
      <c r="B427">
        <f>IF(AND(Inputs!$B$39&lt;&gt;"pvp",Inputs!$B$44&gt;0),SUMPRODUCT((Skills!S2:S28&gt;0)*(Skills!E2:E28=TRUE)*(C389:C415=TRUE))/B423,0)</f>
        <v/>
      </c>
    </row>
    <row r="428">
      <c r="A428" t="inlineStr">
        <is>
          <t>Boss-Only Total DPS (this block's swept value)</t>
        </is>
      </c>
      <c r="B428">
        <f>SUM(S389:S415)</f>
        <v/>
      </c>
    </row>
    <row r="429">
      <c r="A429" t="inlineStr">
        <is>
          <t>Normal-Only Total DPS (this block's swept value)</t>
        </is>
      </c>
      <c r="B429">
        <f>SUM(U389:U415)</f>
        <v/>
      </c>
    </row>
    <row r="430">
      <c r="A430" s="6" t="inlineStr">
        <is>
          <t>TOTAL DPS</t>
        </is>
      </c>
      <c r="B430" s="6">
        <f>SUM(O389:O415)</f>
        <v/>
      </c>
    </row>
    <row r="432">
      <c r="A432" s="6" t="inlineStr">
        <is>
          <t>Stat: FINAL_DAMAGE % (multiplicative source)</t>
        </is>
      </c>
    </row>
    <row r="433">
      <c r="A433" s="5" t="inlineStr">
        <is>
          <t>Key</t>
        </is>
      </c>
      <c r="B433" s="5" t="inlineStr">
        <is>
          <t>Name</t>
        </is>
      </c>
      <c r="C433" s="5" t="inlineStr">
        <is>
          <t>Unlocked</t>
        </is>
      </c>
      <c r="D433" s="5" t="inlineStr">
        <is>
          <t>InputLevel</t>
        </is>
      </c>
      <c r="E433" s="5" t="inlineStr">
        <is>
          <t>Factor</t>
        </is>
      </c>
      <c r="F433" s="5" t="inlineStr">
        <is>
          <t>CoefficientPercent</t>
        </is>
      </c>
      <c r="G433" s="5" t="inlineStr">
        <is>
          <t>EffectiveHits</t>
        </is>
      </c>
      <c r="H433" s="5" t="inlineStr">
        <is>
          <t>ProcProbability</t>
        </is>
      </c>
      <c r="I433" s="5" t="inlineStr">
        <is>
          <t>MapleHeroMultiplier</t>
        </is>
      </c>
      <c r="J433" s="5" t="inlineStr">
        <is>
          <t>BaseDamage</t>
        </is>
      </c>
      <c r="K433" s="5" t="inlineStr">
        <is>
          <t>BaseHitDamage</t>
        </is>
      </c>
      <c r="L433" s="5" t="inlineStr">
        <is>
          <t>NonCritAvg</t>
        </is>
      </c>
      <c r="M433" s="5" t="inlineStr">
        <is>
          <t>CritAvg</t>
        </is>
      </c>
      <c r="N433" s="5" t="inlineStr">
        <is>
          <t>ExpectedDamage(perHit)</t>
        </is>
      </c>
      <c r="O433" s="5" t="inlineStr">
        <is>
          <t>DPS</t>
        </is>
      </c>
      <c r="P433" s="5" t="inlineStr">
        <is>
          <t>% of Total</t>
        </is>
      </c>
      <c r="R433" t="inlineStr">
        <is>
          <t>helpers</t>
        </is>
      </c>
    </row>
    <row r="434">
      <c r="A434">
        <f>Skills!A2</f>
        <v/>
      </c>
      <c r="B434">
        <f>Skills!B2</f>
        <v/>
      </c>
      <c r="C434">
        <f>Inputs!$B$3&gt;=100</f>
        <v/>
      </c>
      <c r="D434" t="inlineStr"/>
      <c r="E434" t="inlineStr"/>
      <c r="F434">
        <f>T436+Skills!N2</f>
        <v/>
      </c>
      <c r="G434">
        <f>Calc!G2</f>
        <v/>
      </c>
      <c r="H434">
        <f>Calc!H2</f>
        <v/>
      </c>
      <c r="I434">
        <f>IF(Skills!T2&lt;&gt;"",1+(Skills!T2/10)*($Z$3/1000)/100,1)</f>
        <v/>
      </c>
      <c r="J434">
        <f>((Inputs!$B$6*(1+Inputs!$B$7/100))+(((Inputs!$B$13*(1+Inputs!$B$14/100))-(Inputs!$B$13*(1+Inputs!$B$14/100)))+0.25*(Inputs!$B$15-Inputs!$B$15))*(1+Inputs!$B$7/100))*(F434/100)</f>
        <v/>
      </c>
      <c r="K434">
        <f>J434*(1+(((Inputs!$B$13+IF(Inputs!$B$3&gt;=35,(10*INDEX(FactorTable!$B$2:$Y$301,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2="TRIUMPH_FEATHER",IF(C448=TRUE,F448,0),0)/100)*(1+IF(C459=TRUE,F459,0)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434)</f>
        <v/>
      </c>
      <c r="L434">
        <f>K434*(MIN(Inputs!$B$23+(F454-Calc!F22),(Inputs!$B$24+IF(ArtifactsInput!$M$15,CHOOSE(ArtifactsInput!$N$15+1,25,30,35,40,45,50)/100*(Inputs!$B$12-Inputs!$B$12),0)))/100+(Inputs!$B$24+IF(ArtifactsInput!$M$15,CHOOSE(ArtifactsInput!$N$15+1,25,30,35,40,45,50)/100*(Inputs!$B$12-Inputs!$B$12),0))/100)/2</f>
        <v/>
      </c>
      <c r="M434">
        <f>L434*(1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4">
        <f>L434*(1-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(1-Summary!$B$11)*S434+Summary!$B$11*U434</f>
        <v/>
      </c>
      <c r="P434">
        <f>IF(B475=0,0,O434/B475)</f>
        <v/>
      </c>
      <c r="Q434">
        <f>IFERROR(1/(IF(Inputs!$B$39="pvp",15,MAX(0.1,Skills!D2-IF(Skills!E2=TRUE,Inputs!$B$33,0)))*(1-IF(AND(ArtifactsInput!$M$27,Inputs!$B$4="Chapter Hunt"),CHOOSE(ArtifactsInput!$N$27+1,20,24,28,32,36,40),0)/100)),0)</f>
        <v/>
      </c>
      <c r="R434" t="n">
        <v>0</v>
      </c>
      <c r="S434">
        <f>IF(C434,(Skills!F2*N434*B470)*IF(Inputs!$B$39="pvp",1,1+(Inputs!$B$21+Skills!O2+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34">
        <f>MAX(0,(Inputs!$B$3-100)*3)+Inputs!$B$29+Inputs!$B$30</f>
        <v/>
      </c>
      <c r="U434">
        <f>IF(C434,(Skills!F2*N434*B470)*IF(Inputs!$B$39="pvp",1,(1+(Inputs!$B$22+Skills!P2+B464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Skills!A3</f>
        <v/>
      </c>
      <c r="B435">
        <f>Skills!B3</f>
        <v/>
      </c>
      <c r="C435">
        <f>Inputs!$B$3&gt;=15</f>
        <v/>
      </c>
      <c r="D435">
        <f>IF(Skills!C3=1,60+Inputs!$B$26+Inputs!$B$30,IF(Skills!C3=2,90+Inputs!$B$27+Inputs!$B$30,IF(Skills!C3=3,120+Inputs!$B$28+Inputs!$B$30,MAX(0,(Inputs!$B$3-100)*3)+Inputs!$B$29+Inputs!$B$30)))</f>
        <v/>
      </c>
      <c r="E435">
        <f>INDEX(FactorTable!$B$2:$Y$301, MATCH(ROUND(MIN(300,MAX(1,D435)),0), FactorTable!$A$2:$A$301,0), Skills!L3+1)</f>
        <v/>
      </c>
      <c r="F435">
        <f>IF(Skills!M3=TRUE,(Skills!K3/10)*(E435/1000),Skills!K3/10)+Skills!N3</f>
        <v/>
      </c>
      <c r="G435">
        <f>Calc!G3</f>
        <v/>
      </c>
      <c r="H435">
        <f>Calc!H3</f>
        <v/>
      </c>
      <c r="I435">
        <f>IF(Skills!T3&lt;&gt;"",1+(Skills!T3/10)*($Z$3/1000)/100,1)</f>
        <v/>
      </c>
      <c r="J435" t="inlineStr"/>
      <c r="K435" t="inlineStr"/>
      <c r="L435" t="inlineStr"/>
      <c r="M435" t="inlineStr"/>
      <c r="N435" t="inlineStr"/>
      <c r="O435">
        <f>(1-Summary!$B$11)*S435+Summary!$B$11*U435</f>
        <v/>
      </c>
      <c r="P435">
        <f>IF(B475=0,0,O435/B475)</f>
        <v/>
      </c>
      <c r="Q435">
        <f>IFERROR(1/(IF(Inputs!$B$39="pvp",15,MAX(0.1,Skills!D3-IF(Skills!E3=TRUE,Inputs!$B$33,0)))*(1-IF(AND(ArtifactsInput!$M$27,Inputs!$B$4="Chapter Hunt"),CHOOSE(ArtifactsInput!$N$27+1,20,24,28,32,36,40),0)/100)),0)</f>
        <v/>
      </c>
      <c r="R435">
        <f>IF(AND(Inputs!$B$39&lt;&gt;"pvp",Inputs!$B$44&gt;0),IF(Inputs!$B$44&lt;=0,0,(INT(Inputs!$B$44/(IF(Inputs!$B$39="pvp",15,MAX(0.1,Skills!D3-IF(Skills!E3=TRUE,Inputs!$B$33,0)))*(1-IF(AND(ArtifactsInput!$M$27,Inputs!$B$4="Chapter Hunt"),CHOOSE(ArtifactsInput!$N$27+1,20,24,28,32,36,40),0)/100)))+1)),0)</f>
        <v/>
      </c>
      <c r="S435" t="n">
        <v>0</v>
      </c>
      <c r="T435">
        <f>INDEX(FactorTable!$B$2:$Y$301, MATCH(ROUND(MIN(300,MAX(1,T434)),0), FactorTable!$A$2:$A$301,0), 22)</f>
        <v/>
      </c>
      <c r="U435" t="n">
        <v>0</v>
      </c>
    </row>
    <row r="436">
      <c r="A436">
        <f>Skills!A4</f>
        <v/>
      </c>
      <c r="B436">
        <f>Skills!B4</f>
        <v/>
      </c>
      <c r="C436">
        <f>Inputs!$B$3&gt;=38</f>
        <v/>
      </c>
      <c r="D436">
        <f>IF(Skills!C4=1,60+Inputs!$B$26+Inputs!$B$30,IF(Skills!C4=2,90+Inputs!$B$27+Inputs!$B$30,IF(Skills!C4=3,120+Inputs!$B$28+Inputs!$B$30,MAX(0,(Inputs!$B$3-100)*3)+Inputs!$B$29+Inputs!$B$30)))</f>
        <v/>
      </c>
      <c r="E436">
        <f>INDEX(FactorTable!$B$2:$Y$301, MATCH(ROUND(MIN(300,MAX(1,D436)),0), FactorTable!$A$2:$A$301,0), Skills!L4+1)</f>
        <v/>
      </c>
      <c r="F436">
        <f>IF(Skills!M4=TRUE,(Skills!K4/10)*(E436/1000),Skills!K4/10)+Skills!N4</f>
        <v/>
      </c>
      <c r="G436">
        <f>Calc!G4</f>
        <v/>
      </c>
      <c r="H436">
        <f>Calc!H4</f>
        <v/>
      </c>
      <c r="I436">
        <f>IF(Skills!T4&lt;&gt;"",1+(Skills!T4/10)*($Z$3/1000)/100,1)</f>
        <v/>
      </c>
      <c r="J436" t="inlineStr"/>
      <c r="K436" t="inlineStr"/>
      <c r="L436" t="inlineStr"/>
      <c r="M436" t="inlineStr"/>
      <c r="N436" t="inlineStr"/>
      <c r="O436">
        <f>(1-Summary!$B$11)*S436+Summary!$B$11*U436</f>
        <v/>
      </c>
      <c r="P436">
        <f>IF(B475=0,0,O436/B475)</f>
        <v/>
      </c>
      <c r="Q436">
        <f>IFERROR(1/(IF(Inputs!$B$39="pvp",15,MAX(0.1,Skills!D4-IF(Skills!E4=TRUE,Inputs!$B$33,0)))*(1-IF(AND(ArtifactsInput!$M$27,Inputs!$B$4="Chapter Hunt"),CHOOSE(ArtifactsInput!$N$27+1,20,24,28,32,36,40),0)/100)),0)</f>
        <v/>
      </c>
      <c r="R436">
        <f>IF(AND(Inputs!$B$39&lt;&gt;"pvp",Inputs!$B$44&gt;0),IF(Inputs!$B$44&lt;=0,0,(INT(Inputs!$B$44/(IF(Inputs!$B$39="pvp",15,MAX(0.1,Skills!D4-IF(Skills!E4=TRUE,Inputs!$B$33,0)))*(1-IF(AND(ArtifactsInput!$M$27,Inputs!$B$4="Chapter Hunt"),CHOOSE(ArtifactsInput!$N$27+1,20,24,28,32,36,40),0)/100)))+1)),0)</f>
        <v/>
      </c>
      <c r="S436" t="n">
        <v>0</v>
      </c>
      <c r="T436">
        <f>290*T435/1000</f>
        <v/>
      </c>
      <c r="U436" t="n">
        <v>0</v>
      </c>
    </row>
    <row r="437">
      <c r="A437">
        <f>Skills!A5</f>
        <v/>
      </c>
      <c r="B437">
        <f>Skills!B5</f>
        <v/>
      </c>
      <c r="C437">
        <f>Inputs!$B$3&gt;=40</f>
        <v/>
      </c>
      <c r="D437">
        <f>IF(Skills!C5=1,60+Inputs!$B$26+Inputs!$B$30,IF(Skills!C5=2,90+Inputs!$B$27+Inputs!$B$30,IF(Skills!C5=3,120+Inputs!$B$28+Inputs!$B$30,MAX(0,(Inputs!$B$3-100)*3)+Inputs!$B$29+Inputs!$B$30)))</f>
        <v/>
      </c>
      <c r="E437">
        <f>INDEX(FactorTable!$B$2:$Y$301, MATCH(ROUND(MIN(300,MAX(1,D437)),0), FactorTable!$A$2:$A$301,0), Skills!L5+1)</f>
        <v/>
      </c>
      <c r="F437">
        <f>IF(Skills!M5=TRUE,(Skills!K5/10)*(E437/1000),Skills!K5/10)+Skills!N5</f>
        <v/>
      </c>
      <c r="G437">
        <f>Calc!G5</f>
        <v/>
      </c>
      <c r="H437">
        <f>Calc!H5</f>
        <v/>
      </c>
      <c r="I437">
        <f>IF(Skills!T5&lt;&gt;"",1+(Skills!T5/10)*($Z$3/1000)/100,1)</f>
        <v/>
      </c>
      <c r="J437" t="inlineStr"/>
      <c r="K437" t="inlineStr"/>
      <c r="L437" t="inlineStr"/>
      <c r="M437" t="inlineStr"/>
      <c r="N437" t="inlineStr"/>
      <c r="O437">
        <f>(1-Summary!$B$11)*S437+Summary!$B$11*U437</f>
        <v/>
      </c>
      <c r="P437">
        <f>IF(B475=0,0,O437/B475)</f>
        <v/>
      </c>
      <c r="Q437">
        <f>IFERROR(1/(IF(Inputs!$B$39="pvp",15,MAX(0.1,Skills!D5-IF(Skills!E5=TRUE,Inputs!$B$33,0)))*(1-IF(AND(ArtifactsInput!$M$27,Inputs!$B$4="Chapter Hunt"),CHOOSE(ArtifactsInput!$N$27+1,20,24,28,32,36,40),0)/100)),0)</f>
        <v/>
      </c>
      <c r="R437">
        <f>IF(AND(Inputs!$B$39&lt;&gt;"pvp",Inputs!$B$44&gt;0),IF(Inputs!$B$44&lt;=0,0,(INT(Inputs!$B$44/(IF(Inputs!$B$39="pvp",15,MAX(0.1,Skills!D5-IF(Skills!E5=TRUE,Inputs!$B$33,0)))*(1-IF(AND(ArtifactsInput!$M$27,Inputs!$B$4="Chapter Hunt"),CHOOSE(ArtifactsInput!$N$27+1,20,24,28,32,36,40),0)/100)))+1)),0)</f>
        <v/>
      </c>
      <c r="S437" t="n">
        <v>0</v>
      </c>
      <c r="U437" t="n">
        <v>0</v>
      </c>
    </row>
    <row r="438">
      <c r="A438">
        <f>Skills!A6</f>
        <v/>
      </c>
      <c r="B438">
        <f>Skills!B6</f>
        <v/>
      </c>
      <c r="C438">
        <f>Inputs!$B$3&gt;=103</f>
        <v/>
      </c>
      <c r="D438">
        <f>IF(Skills!C6=1,60+Inputs!$B$26+Inputs!$B$30,IF(Skills!C6=2,90+Inputs!$B$27+Inputs!$B$30,IF(Skills!C6=3,120+Inputs!$B$28+Inputs!$B$30,MAX(0,(Inputs!$B$3-100)*3)+Inputs!$B$29+Inputs!$B$30)))</f>
        <v/>
      </c>
      <c r="E438">
        <f>INDEX(FactorTable!$B$2:$Y$301, MATCH(ROUND(MIN(300,MAX(1,D438)),0), FactorTable!$A$2:$A$301,0), Skills!L6+1)</f>
        <v/>
      </c>
      <c r="F438">
        <f>IF(Skills!M6=TRUE,(Skills!K6/10)*(E438/1000),Skills!K6/10)+Skills!N6</f>
        <v/>
      </c>
      <c r="G438">
        <f>Calc!G6</f>
        <v/>
      </c>
      <c r="H438">
        <f>Calc!H6</f>
        <v/>
      </c>
      <c r="I438">
        <f>IF(Skills!T6&lt;&gt;"",1+(Skills!T6/10)*($Z$3/1000)/100,1)</f>
        <v/>
      </c>
      <c r="J438">
        <f>((Inputs!$B$6*(1+Inputs!$B$7/100))+(((Inputs!$B$13*(1+Inputs!$B$14/100))-(Inputs!$B$13*(1+Inputs!$B$14/100)))+0.25*(Inputs!$B$15-Inputs!$B$15))*(1+Inputs!$B$7/100))*(F438/100)</f>
        <v/>
      </c>
      <c r="K438">
        <f>J438*(1+(((Inputs!$B$13+IF(Inputs!$B$3&gt;=35,(10*INDEX(FactorTable!$B$2:$Y$301,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6="TRIUMPH_FEATHER",IF(C448=TRUE,F448,0),0)/100)*(1+IF(C459=TRUE,F459,0)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438)</f>
        <v/>
      </c>
      <c r="L438">
        <f>K438*(MIN(Inputs!$B$23+(F454-Calc!F22),(Inputs!$B$24+IF(ArtifactsInput!$M$15,CHOOSE(ArtifactsInput!$N$15+1,25,30,35,40,45,50)/100*(Inputs!$B$12-Inputs!$B$12),0)))/100+(Inputs!$B$24+IF(ArtifactsInput!$M$15,CHOOSE(ArtifactsInput!$N$15+1,25,30,35,40,45,50)/100*(Inputs!$B$12-Inputs!$B$12),0))/100)/2</f>
        <v/>
      </c>
      <c r="M438">
        <f>L438*(1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8">
        <f>L438*(1-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438*(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8">
        <f>(1-Summary!$B$11)*S438+Summary!$B$11*U438</f>
        <v/>
      </c>
      <c r="P438">
        <f>IF(B475=0,0,O438/B475)</f>
        <v/>
      </c>
      <c r="Q438">
        <f>IFERROR(1/(IF(Inputs!$B$39="pvp",15,MAX(0.1,Skills!D6-IF(Skills!E6=TRUE,Inputs!$B$33,0)))*(1-IF(AND(ArtifactsInput!$M$27,Inputs!$B$4="Chapter Hunt"),CHOOSE(ArtifactsInput!$N$27+1,20,24,28,32,36,40),0)/100)),0)</f>
        <v/>
      </c>
      <c r="R438">
        <f>IF(AND(Inputs!$B$39&lt;&gt;"pvp",Inputs!$B$44&gt;0),IF(MAX(0,Inputs!$B$44-B472)&lt;=0,0,(INT(MAX(0,Inputs!$B$44-B472)/(IF(Inputs!$B$39="pvp",15,MAX(0.1,Skills!D6-IF(Skills!E6=TRUE,Inputs!$B$33,0)))*(1-IF(AND(ArtifactsInput!$M$27,Inputs!$B$4="Chapter Hunt"),CHOOSE(ArtifactsInput!$N$27+1,20,24,28,32,36,40),0)/100)))+1)),0)</f>
        <v/>
      </c>
      <c r="S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$21+Skills!O6+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438*(1-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438*(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438*(1-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438*(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$22+Skills!P6+B464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9">
      <c r="A439">
        <f>Skills!A7</f>
        <v/>
      </c>
      <c r="B439">
        <f>Skills!B7</f>
        <v/>
      </c>
      <c r="C439">
        <f>Inputs!$B$3&gt;=122</f>
        <v/>
      </c>
      <c r="D439">
        <f>IF(Skills!C7=1,60+Inputs!$B$26+Inputs!$B$30,IF(Skills!C7=2,90+Inputs!$B$27+Inputs!$B$30,IF(Skills!C7=3,120+Inputs!$B$28+Inputs!$B$30,MAX(0,(Inputs!$B$3-100)*3)+Inputs!$B$29+Inputs!$B$30)))</f>
        <v/>
      </c>
      <c r="E439">
        <f>INDEX(FactorTable!$B$2:$Y$301, MATCH(ROUND(MIN(300,MAX(1,D439)),0), FactorTable!$A$2:$A$301,0), Skills!L7+1)</f>
        <v/>
      </c>
      <c r="F439">
        <f>IF(Skills!M7=TRUE,(Skills!K7/10)*(E439/1000),Skills!K7/10)+Skills!N7</f>
        <v/>
      </c>
      <c r="G439">
        <f>Calc!G7</f>
        <v/>
      </c>
      <c r="H439">
        <f>Calc!H7</f>
        <v/>
      </c>
      <c r="I439">
        <f>IF(Skills!T7&lt;&gt;"",1+(Skills!T7/10)*($Z$3/1000)/100,1)</f>
        <v/>
      </c>
      <c r="J439">
        <f>((Inputs!$B$6*(1+Inputs!$B$7/100))+(((Inputs!$B$13*(1+Inputs!$B$14/100))-(Inputs!$B$13*(1+Inputs!$B$14/100)))+0.25*(Inputs!$B$15-Inputs!$B$15))*(1+Inputs!$B$7/100))*(F439/100)</f>
        <v/>
      </c>
      <c r="K439">
        <f>J439*(1+(((Inputs!$B$13+IF(Inputs!$B$3&gt;=35,(10*INDEX(FactorTable!$B$2:$Y$301,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7="TRIUMPH_FEATHER",IF(C448=TRUE,F448,0),0)/100)*(1+IF(C459=TRUE,F459,0)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439)</f>
        <v/>
      </c>
      <c r="L439">
        <f>K439*(MIN(Inputs!$B$23+(F454-Calc!F22),(Inputs!$B$24+IF(ArtifactsInput!$M$15,CHOOSE(ArtifactsInput!$N$15+1,25,30,35,40,45,50)/100*(Inputs!$B$12-Inputs!$B$12),0)))/100+(Inputs!$B$24+IF(ArtifactsInput!$M$15,CHOOSE(ArtifactsInput!$N$15+1,25,30,35,40,45,50)/100*(Inputs!$B$12-Inputs!$B$12),0))/100)/2</f>
        <v/>
      </c>
      <c r="M439">
        <f>L439*(1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9">
        <f>L439*(1-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(1-Summary!$B$11)*S439+Summary!$B$11*U439</f>
        <v/>
      </c>
      <c r="P439">
        <f>IF(B475=0,0,O439/B475)</f>
        <v/>
      </c>
      <c r="Q439">
        <f>IFERROR(1/(IF(Inputs!$B$39="pvp",15,MAX(0.1,Skills!D7-IF(Skills!E6=TRUE,Inputs!$B$33,0)))*(1-IF(AND(ArtifactsInput!$M$27,Inputs!$B$4="Chapter Hunt"),CHOOSE(ArtifactsInput!$N$27+1,20,24,28,32,36,40),0)/100)),0)</f>
        <v/>
      </c>
      <c r="R439">
        <f>IF(AND(Inputs!$B$39&lt;&gt;"pvp",Inputs!$B$44&gt;0),IF(MAX(0,Inputs!$B$44-B472)&lt;=0,0,(INT(MAX(0,Inputs!$B$44-B472)/(IF(Inputs!$B$39="pvp",15,MAX(0.1,Skills!D7-IF(Skills!E6=TRUE,Inputs!$B$33,0)))*(1-IF(AND(ArtifactsInput!$M$27,Inputs!$B$4="Chapter Hunt"),CHOOSE(ArtifactsInput!$N$27+1,20,24,28,32,36,40),0)/100)))+1)),0)</f>
        <v/>
      </c>
      <c r="S439">
        <f>IF(C439,H439*N439*IF(AND(Inputs!$B$39&lt;&gt;"pvp",Inputs!$B$44&gt;0),((Skills!F7*((R439-1)*IF(Skills!G7&gt;0,Skills!H7/Skills!G7,1)+IF(Skills!G7&gt;0,MIN(Skills!H7,MAX(0,MAX(0,Inputs!$B$44-B472)-((R439-1)*(IF(Inputs!$B$39="pvp",15,MAX(0.1,Skills!D7-IF(Skills!E6=TRUE,Inputs!$B$33,0)))*(1-IF(AND(ArtifactsInput!$M$27,Inputs!$B$4="Chapter Hunt"),CHOOSE(ArtifactsInput!$N$27+1,20,24,28,32,36,40),0)/100)))))/Skills!G7,1)))/Inputs!$B$44),G439*Q439)*IF(Inputs!$B$39="pvp",1,1+(Inputs!$B$21+Skills!O7+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439*(1-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9" t="n">
        <v>0</v>
      </c>
    </row>
    <row r="440">
      <c r="A440">
        <f>Skills!A8</f>
        <v/>
      </c>
      <c r="B440">
        <f>Skills!B8</f>
        <v/>
      </c>
      <c r="C440">
        <f>Inputs!$B$3&gt;=105</f>
        <v/>
      </c>
      <c r="D440">
        <f>IF(Skills!C8=1,60+Inputs!$B$26+Inputs!$B$30,IF(Skills!C8=2,90+Inputs!$B$27+Inputs!$B$30,IF(Skills!C8=3,120+Inputs!$B$28+Inputs!$B$30,MAX(0,(Inputs!$B$3-100)*3)+Inputs!$B$29+Inputs!$B$30)))</f>
        <v/>
      </c>
      <c r="E440">
        <f>INDEX(FactorTable!$B$2:$Y$301, MATCH(ROUND(MIN(300,MAX(1,D440)),0), FactorTable!$A$2:$A$301,0), Skills!L8+1)</f>
        <v/>
      </c>
      <c r="F440">
        <f>IF(Skills!M8=TRUE,(Skills!K8/10)*(E440/1000),Skills!K8/10)+Skills!N8</f>
        <v/>
      </c>
      <c r="G440">
        <f>Calc!G8</f>
        <v/>
      </c>
      <c r="H440">
        <f>Calc!H8</f>
        <v/>
      </c>
      <c r="I440">
        <f>IF(Skills!T8&lt;&gt;"",1+(Skills!T8/10)*($Z$3/1000)/100,1)</f>
        <v/>
      </c>
      <c r="J440">
        <f>((Inputs!$B$6*(1+Inputs!$B$7/100))+(((Inputs!$B$13*(1+Inputs!$B$14/100))-(Inputs!$B$13*(1+Inputs!$B$14/100)))+0.25*(Inputs!$B$15-Inputs!$B$15))*(1+Inputs!$B$7/100))*(F440/100)</f>
        <v/>
      </c>
      <c r="K440">
        <f>J440*(1+(((Inputs!$B$13+IF(Inputs!$B$3&gt;=35,(10*INDEX(FactorTable!$B$2:$Y$301,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8="TRIUMPH_FEATHER",IF(C448=TRUE,F448,0),0)/100)*(1+IF(C459=TRUE,F459,0)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440)</f>
        <v/>
      </c>
      <c r="L440">
        <f>K440*(MIN(Inputs!$B$23+(F454-Calc!F22),(Inputs!$B$24+IF(ArtifactsInput!$M$15,CHOOSE(ArtifactsInput!$N$15+1,25,30,35,40,45,50)/100*(Inputs!$B$12-Inputs!$B$12),0)))/100+(Inputs!$B$24+IF(ArtifactsInput!$M$15,CHOOSE(ArtifactsInput!$N$15+1,25,30,35,40,45,50)/100*(Inputs!$B$12-Inputs!$B$12),0))/100)/2</f>
        <v/>
      </c>
      <c r="M440">
        <f>L440*(1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0">
        <f>L440*(1-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440*(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0">
        <f>(1-Summary!$B$11)*S440+Summary!$B$11*U440</f>
        <v/>
      </c>
      <c r="P440">
        <f>IF(B475=0,0,O440/B475)</f>
        <v/>
      </c>
      <c r="Q440">
        <f>IFERROR(1/(IF(Inputs!$B$39="pvp",15,MAX(0.1,Skills!D8-IF(Skills!E8=TRUE,Inputs!$B$33,0)))*(1-IF(AND(ArtifactsInput!$M$27,Inputs!$B$4="Chapter Hunt"),CHOOSE(ArtifactsInput!$N$27+1,20,24,28,32,36,40),0)/100)),0)</f>
        <v/>
      </c>
      <c r="R440">
        <f>IF(AND(Inputs!$B$39&lt;&gt;"pvp",Inputs!$B$44&gt;0),IF(MAX(0,Inputs!$B$44-B472)&lt;=0,0,(INT(MAX(0,Inputs!$B$44-B472)/(IF(Inputs!$B$39="pvp",15,MAX(0.1,Skills!D8-IF(Skills!E8=TRUE,Inputs!$B$33,0)))*(1-IF(AND(ArtifactsInput!$M$27,Inputs!$B$4="Chapter Hunt"),CHOOSE(ArtifactsInput!$N$27+1,20,24,28,32,36,40),0)/100)))+1)),0)</f>
        <v/>
      </c>
      <c r="S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$21+Skills!O8+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440*(1-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440*(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440*(1-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440*(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$22+Skills!P8+B464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1">
      <c r="A441">
        <f>Skills!A9</f>
        <v/>
      </c>
      <c r="B441">
        <f>Skills!B9</f>
        <v/>
      </c>
      <c r="C441">
        <f>Inputs!$B$3&gt;=115</f>
        <v/>
      </c>
      <c r="D441">
        <f>IF(Skills!C9=1,60+Inputs!$B$26+Inputs!$B$30,IF(Skills!C9=2,90+Inputs!$B$27+Inputs!$B$30,IF(Skills!C9=3,120+Inputs!$B$28+Inputs!$B$30,MAX(0,(Inputs!$B$3-100)*3)+Inputs!$B$29+Inputs!$B$30)))</f>
        <v/>
      </c>
      <c r="E441">
        <f>INDEX(FactorTable!$B$2:$Y$301, MATCH(ROUND(MIN(300,MAX(1,D441)),0), FactorTable!$A$2:$A$301,0), Skills!L9+1)</f>
        <v/>
      </c>
      <c r="F441">
        <f>IF(Skills!M9=TRUE,(Skills!K9/10)*(E441/1000),Skills!K9/10)+Skills!N9</f>
        <v/>
      </c>
      <c r="G441">
        <f>Calc!G9</f>
        <v/>
      </c>
      <c r="H441">
        <f>Calc!H9</f>
        <v/>
      </c>
      <c r="I441">
        <f>IF(Skills!T9&lt;&gt;"",1+(Skills!T9/10)*($Z$3/1000)/100,1)</f>
        <v/>
      </c>
      <c r="J441">
        <f>((Inputs!$B$6*(1+Inputs!$B$7/100))+(((Inputs!$B$13*(1+Inputs!$B$14/100))-(Inputs!$B$13*(1+Inputs!$B$14/100)))+0.25*(Inputs!$B$15-Inputs!$B$15))*(1+Inputs!$B$7/100))*(F441/100)</f>
        <v/>
      </c>
      <c r="K441">
        <f>J441*(1+(((Inputs!$B$13+IF(Inputs!$B$3&gt;=35,(10*INDEX(FactorTable!$B$2:$Y$301,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9="TRIUMPH_FEATHER",IF(C448=TRUE,F448,0),0)/100)*(1+IF(C459=TRUE,F459,0)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441)</f>
        <v/>
      </c>
      <c r="L441">
        <f>K441*(MIN(Inputs!$B$23+(F454-Calc!F22),(Inputs!$B$24+IF(ArtifactsInput!$M$15,CHOOSE(ArtifactsInput!$N$15+1,25,30,35,40,45,50)/100*(Inputs!$B$12-Inputs!$B$12),0)))/100+(Inputs!$B$24+IF(ArtifactsInput!$M$15,CHOOSE(ArtifactsInput!$N$15+1,25,30,35,40,45,50)/100*(Inputs!$B$12-Inputs!$B$12),0))/100)/2</f>
        <v/>
      </c>
      <c r="M441">
        <f>L441*(1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1">
        <f>L441*(1-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1">
        <f>(1-Summary!$B$11)*S441+Summary!$B$11*U441</f>
        <v/>
      </c>
      <c r="P441">
        <f>IF(B475=0,0,O441/B475)</f>
        <v/>
      </c>
      <c r="Q441">
        <f>IFERROR(1/(IF(Inputs!$B$39="pvp",15,MAX(0.1,Skills!D9-IF(Skills!E9=TRUE,Inputs!$B$33,0)))*(1-IF(AND(ArtifactsInput!$M$27,Inputs!$B$4="Chapter Hunt"),CHOOSE(ArtifactsInput!$N$27+1,20,24,28,32,36,40),0)/100)),0)</f>
        <v/>
      </c>
      <c r="R441">
        <f>IF(AND(Inputs!$B$39&lt;&gt;"pvp",Inputs!$B$44&gt;0),IF(MAX(0,Inputs!$B$44-B472)&lt;=0,0,(INT(MAX(0,Inputs!$B$44-B472)/(IF(Inputs!$B$39="pvp",15,MAX(0.1,Skills!D9-IF(Skills!E9=TRUE,Inputs!$B$33,0)))*(1-IF(AND(ArtifactsInput!$M$27,Inputs!$B$4="Chapter Hunt"),CHOOSE(ArtifactsInput!$N$27+1,20,24,28,32,36,40),0)/100)))+1)),0)</f>
        <v/>
      </c>
      <c r="S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$21+Skills!O9+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441*(1-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441*(1-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$22+Skills!P9+B464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2">
      <c r="A442">
        <f>Skills!A10</f>
        <v/>
      </c>
      <c r="B442">
        <f>Skills!B10</f>
        <v/>
      </c>
      <c r="C442">
        <f>Inputs!$B$3&gt;=66</f>
        <v/>
      </c>
      <c r="D442">
        <f>IF(Skills!C10=1,60+Inputs!$B$26+Inputs!$B$30,IF(Skills!C10=2,90+Inputs!$B$27+Inputs!$B$30,IF(Skills!C10=3,120+Inputs!$B$28+Inputs!$B$30,MAX(0,(Inputs!$B$3-100)*3)+Inputs!$B$29+Inputs!$B$30)))</f>
        <v/>
      </c>
      <c r="E442">
        <f>INDEX(FactorTable!$B$2:$Y$301, MATCH(ROUND(MIN(300,MAX(1,D442)),0), FactorTable!$A$2:$A$301,0), Skills!L10+1)</f>
        <v/>
      </c>
      <c r="F442" t="n">
        <v>0</v>
      </c>
      <c r="G442">
        <f>Calc!G10</f>
        <v/>
      </c>
      <c r="H442">
        <f>Calc!H10</f>
        <v/>
      </c>
      <c r="I442">
        <f>IF(Skills!T10&lt;&gt;"",1+(Skills!T10/10)*($Z$3/1000)/100,1)</f>
        <v/>
      </c>
      <c r="J442" t="inlineStr"/>
      <c r="K442" t="inlineStr"/>
      <c r="L442" t="inlineStr"/>
      <c r="M442" t="inlineStr"/>
      <c r="N442" t="inlineStr"/>
      <c r="O442">
        <f>(1-Summary!$B$11)*S442+Summary!$B$11*U442</f>
        <v/>
      </c>
      <c r="P442">
        <f>IF(B475=0,0,O442/B475)</f>
        <v/>
      </c>
      <c r="Q442">
        <f>IFERROR(1/(IF(Inputs!$B$39="pvp",15,MAX(0.1,Skills!D10-IF(Skills!E10=TRUE,Inputs!$B$33,0)))*(1-IF(AND(ArtifactsInput!$M$27,Inputs!$B$4="Chapter Hunt"),CHOOSE(ArtifactsInput!$N$27+1,20,24,28,32,36,40),0)/100)),0)</f>
        <v/>
      </c>
      <c r="R442">
        <f>IF(AND(Inputs!$B$39&lt;&gt;"pvp",Inputs!$B$44&gt;0),IF(MAX(0,Inputs!$B$44-B472)&lt;=0,0,(INT(MAX(0,Inputs!$B$44-B472)/(IF(Inputs!$B$39="pvp",15,MAX(0.1,Skills!D10-IF(Skills!E10=TRUE,Inputs!$B$33,0)))*(1-IF(AND(ArtifactsInput!$M$27,Inputs!$B$4="Chapter Hunt"),CHOOSE(ArtifactsInput!$N$27+1,20,24,28,32,36,40),0)/100)))+1)),0)</f>
        <v/>
      </c>
      <c r="S442" t="n">
        <v>0</v>
      </c>
      <c r="U442" t="n">
        <v>0</v>
      </c>
    </row>
    <row r="443">
      <c r="A443">
        <f>Skills!A11</f>
        <v/>
      </c>
      <c r="B443">
        <f>Skills!B11</f>
        <v/>
      </c>
      <c r="C443">
        <f>Inputs!$B$3&gt;=69</f>
        <v/>
      </c>
      <c r="D443">
        <f>IF(Skills!C11=1,60+Inputs!$B$26+Inputs!$B$30,IF(Skills!C11=2,90+Inputs!$B$27+Inputs!$B$30,IF(Skills!C11=3,120+Inputs!$B$28+Inputs!$B$30,MAX(0,(Inputs!$B$3-100)*3)+Inputs!$B$29+Inputs!$B$30)))</f>
        <v/>
      </c>
      <c r="E443">
        <f>INDEX(FactorTable!$B$2:$Y$301, MATCH(ROUND(MIN(300,MAX(1,D443)),0), FactorTable!$A$2:$A$301,0), Skills!L11+1)</f>
        <v/>
      </c>
      <c r="F443">
        <f>IF(Skills!M11=TRUE,(Skills!K11/10)*(E443/1000),Skills!K11/10)+Skills!N11</f>
        <v/>
      </c>
      <c r="G443">
        <f>Calc!G11</f>
        <v/>
      </c>
      <c r="H443">
        <f>Calc!H11</f>
        <v/>
      </c>
      <c r="I443">
        <f>IF(Skills!T11&lt;&gt;"",1+(Skills!T11/10)*($Z$3/1000)/100,1)</f>
        <v/>
      </c>
      <c r="J443" t="inlineStr"/>
      <c r="K443" t="inlineStr"/>
      <c r="L443" t="inlineStr"/>
      <c r="M443" t="inlineStr"/>
      <c r="N443" t="inlineStr"/>
      <c r="O443">
        <f>(1-Summary!$B$11)*S443+Summary!$B$11*U443</f>
        <v/>
      </c>
      <c r="P443">
        <f>IF(B475=0,0,O443/B475)</f>
        <v/>
      </c>
      <c r="Q443">
        <f>IFERROR(1/(IF(Inputs!$B$39="pvp",15,MAX(0.1,Skills!D11-IF(Skills!E11=TRUE,Inputs!$B$33,0)))*(1-IF(AND(ArtifactsInput!$M$27,Inputs!$B$4="Chapter Hunt"),CHOOSE(ArtifactsInput!$N$27+1,20,24,28,32,36,40),0)/100)),0)</f>
        <v/>
      </c>
      <c r="R443">
        <f>IF(AND(Inputs!$B$39&lt;&gt;"pvp",Inputs!$B$44&gt;0),IF(Inputs!$B$44&lt;=0,0,(INT(Inputs!$B$44/(IF(Inputs!$B$39="pvp",15,MAX(0.1,Skills!D11-IF(Skills!E11=TRUE,Inputs!$B$33,0)))*(1-IF(AND(ArtifactsInput!$M$27,Inputs!$B$4="Chapter Hunt"),CHOOSE(ArtifactsInput!$N$27+1,20,24,28,32,36,40),0)/100)))+1)),0)</f>
        <v/>
      </c>
      <c r="S443" t="n">
        <v>0</v>
      </c>
      <c r="U443" t="n">
        <v>0</v>
      </c>
    </row>
    <row r="444">
      <c r="A444">
        <f>Skills!A12</f>
        <v/>
      </c>
      <c r="B444">
        <f>Skills!B12</f>
        <v/>
      </c>
      <c r="C444">
        <f>Inputs!$B$3&gt;=72</f>
        <v/>
      </c>
      <c r="D444">
        <f>IF(Skills!C12=1,60+Inputs!$B$26+Inputs!$B$30,IF(Skills!C12=2,90+Inputs!$B$27+Inputs!$B$30,IF(Skills!C12=3,120+Inputs!$B$28+Inputs!$B$30,MAX(0,(Inputs!$B$3-100)*3)+Inputs!$B$29+Inputs!$B$30)))</f>
        <v/>
      </c>
      <c r="E444">
        <f>INDEX(FactorTable!$B$2:$Y$301, MATCH(ROUND(MIN(300,MAX(1,D444)),0), FactorTable!$A$2:$A$301,0), Skills!L12+1)</f>
        <v/>
      </c>
      <c r="F444">
        <f>IF(Skills!M12=TRUE,(Skills!K12/10)*(E444/1000),Skills!K12/10)+Skills!N12</f>
        <v/>
      </c>
      <c r="G444">
        <f>Calc!G12</f>
        <v/>
      </c>
      <c r="H444">
        <f>Calc!H12</f>
        <v/>
      </c>
      <c r="I444">
        <f>IF(Skills!T12&lt;&gt;"",1+(Skills!T12/10)*($Z$3/1000)/100,1)</f>
        <v/>
      </c>
      <c r="J444" t="inlineStr"/>
      <c r="K444" t="inlineStr"/>
      <c r="L444" t="inlineStr"/>
      <c r="M444" t="inlineStr"/>
      <c r="N444" t="inlineStr"/>
      <c r="O444">
        <f>(1-Summary!$B$11)*S444+Summary!$B$11*U444</f>
        <v/>
      </c>
      <c r="P444">
        <f>IF(B475=0,0,O444/B475)</f>
        <v/>
      </c>
      <c r="Q444">
        <f>IFERROR(1/(IF(Inputs!$B$39="pvp",15,MAX(0.1,Skills!D12-IF(Skills!E12=TRUE,Inputs!$B$33,0)))*(1-IF(AND(ArtifactsInput!$M$27,Inputs!$B$4="Chapter Hunt"),CHOOSE(ArtifactsInput!$N$27+1,20,24,28,32,36,40),0)/100)),0)</f>
        <v/>
      </c>
      <c r="R444">
        <f>IF(AND(Inputs!$B$39&lt;&gt;"pvp",Inputs!$B$44&gt;0),IF(MAX(0,Inputs!$B$44-B472)&lt;=0,0,(INT(MAX(0,Inputs!$B$44-B472)/(IF(Inputs!$B$39="pvp",15,MAX(0.1,Skills!D12-IF(Skills!E12=TRUE,Inputs!$B$33,0)))*(1-IF(AND(ArtifactsInput!$M$27,Inputs!$B$4="Chapter Hunt"),CHOOSE(ArtifactsInput!$N$27+1,20,24,28,32,36,40),0)/100)))+1)),0)</f>
        <v/>
      </c>
      <c r="S444" t="n">
        <v>0</v>
      </c>
      <c r="U444" t="n">
        <v>0</v>
      </c>
    </row>
    <row r="445">
      <c r="A445">
        <f>Skills!A13</f>
        <v/>
      </c>
      <c r="B445">
        <f>Skills!B13</f>
        <v/>
      </c>
      <c r="C445">
        <f>Inputs!$B$3&gt;=60</f>
        <v/>
      </c>
      <c r="D445">
        <f>IF(Skills!C13=1,60+Inputs!$B$26+Inputs!$B$30,IF(Skills!C13=2,90+Inputs!$B$27+Inputs!$B$30,IF(Skills!C13=3,120+Inputs!$B$28+Inputs!$B$30,MAX(0,(Inputs!$B$3-100)*3)+Inputs!$B$29+Inputs!$B$30)))</f>
        <v/>
      </c>
      <c r="E445">
        <f>INDEX(FactorTable!$B$2:$Y$301, MATCH(ROUND(MIN(300,MAX(1,D445)),0), FactorTable!$A$2:$A$301,0), Skills!L13+1)</f>
        <v/>
      </c>
      <c r="F445">
        <f>IF(Skills!M13=TRUE,(Skills!K13/10)*(E445/1000),Skills!K13/10)+Skills!N13</f>
        <v/>
      </c>
      <c r="G445">
        <f>Calc!G13</f>
        <v/>
      </c>
      <c r="H445">
        <f>Calc!H13</f>
        <v/>
      </c>
      <c r="I445">
        <f>IF(Skills!T13&lt;&gt;"",1+(Skills!T13/10)*($Z$3/1000)/100,1)</f>
        <v/>
      </c>
      <c r="J445" t="inlineStr"/>
      <c r="K445" t="inlineStr"/>
      <c r="L445" t="inlineStr"/>
      <c r="M445" t="inlineStr"/>
      <c r="N445" t="inlineStr"/>
      <c r="O445">
        <f>(1-Summary!$B$11)*S445+Summary!$B$11*U445</f>
        <v/>
      </c>
      <c r="P445">
        <f>IF(B475=0,0,O445/B475)</f>
        <v/>
      </c>
      <c r="Q445">
        <f>IFERROR(1/(IF(Inputs!$B$39="pvp",15,MAX(0.1,Skills!D13-IF(Skills!E13=TRUE,Inputs!$B$33,0)))*(1-IF(AND(ArtifactsInput!$M$27,Inputs!$B$4="Chapter Hunt"),CHOOSE(ArtifactsInput!$N$27+1,20,24,28,32,36,40),0)/100)),0)</f>
        <v/>
      </c>
      <c r="R445">
        <f>IF(AND(Inputs!$B$39&lt;&gt;"pvp",Inputs!$B$44&gt;0),IF(MAX(0,Inputs!$B$44-B472)&lt;=0,0,(INT(MAX(0,Inputs!$B$44-B472)/(IF(Inputs!$B$39="pvp",15,MAX(0.1,Skills!D13-IF(Skills!E13=TRUE,Inputs!$B$33,0)))*(1-IF(AND(ArtifactsInput!$M$27,Inputs!$B$4="Chapter Hunt"),CHOOSE(ArtifactsInput!$N$27+1,20,24,28,32,36,40),0)/100)))+1)),0)</f>
        <v/>
      </c>
      <c r="S445" t="n">
        <v>0</v>
      </c>
      <c r="U445" t="n">
        <v>0</v>
      </c>
    </row>
    <row r="446">
      <c r="A446">
        <f>Skills!A14</f>
        <v/>
      </c>
      <c r="B446">
        <f>Skills!B14</f>
        <v/>
      </c>
      <c r="C446">
        <f>Inputs!$B$3&gt;=107</f>
        <v/>
      </c>
      <c r="D446">
        <f>IF(Skills!C14=1,60+Inputs!$B$26+Inputs!$B$30,IF(Skills!C14=2,90+Inputs!$B$27+Inputs!$B$30,IF(Skills!C14=3,120+Inputs!$B$28+Inputs!$B$30,MAX(0,(Inputs!$B$3-100)*3)+Inputs!$B$29+Inputs!$B$30)))</f>
        <v/>
      </c>
      <c r="E446">
        <f>INDEX(FactorTable!$B$2:$Y$301, MATCH(ROUND(MIN(300,MAX(1,D446)),0), FactorTable!$A$2:$A$301,0), Skills!L14+1)</f>
        <v/>
      </c>
      <c r="F446">
        <f>IF(Skills!M14=TRUE,(Skills!K14/10)*(E446/1000),Skills!K14/10)+Skills!N14</f>
        <v/>
      </c>
      <c r="G446">
        <f>Calc!G14</f>
        <v/>
      </c>
      <c r="H446">
        <f>Calc!H14</f>
        <v/>
      </c>
      <c r="I446">
        <f>IF(Skills!T14&lt;&gt;"",1+(Skills!T14/10)*($Z$3/1000)/100,1)</f>
        <v/>
      </c>
      <c r="J446" t="inlineStr"/>
      <c r="K446" t="inlineStr"/>
      <c r="L446" t="inlineStr"/>
      <c r="M446" t="inlineStr"/>
      <c r="N446" t="inlineStr"/>
      <c r="O446">
        <f>(1-Summary!$B$11)*S446+Summary!$B$11*U446</f>
        <v/>
      </c>
      <c r="P446">
        <f>IF(B475=0,0,O446/B475)</f>
        <v/>
      </c>
      <c r="Q446">
        <f>IFERROR(1/(IF(Inputs!$B$39="pvp",15,MAX(0.1,Skills!D14-IF(Skills!E14=TRUE,Inputs!$B$33,0)))*(1-IF(AND(ArtifactsInput!$M$27,Inputs!$B$4="Chapter Hunt"),CHOOSE(ArtifactsInput!$N$27+1,20,24,28,32,36,40),0)/100)),0)</f>
        <v/>
      </c>
      <c r="R446">
        <f>IF(AND(Inputs!$B$39&lt;&gt;"pvp",Inputs!$B$44&gt;0),IF(Inputs!$B$44&lt;=0,0,(INT(Inputs!$B$44/(IF(Inputs!$B$39="pvp",15,MAX(0.1,Skills!D14-IF(Skills!E14=TRUE,Inputs!$B$33,0)))*(1-IF(AND(ArtifactsInput!$M$27,Inputs!$B$4="Chapter Hunt"),CHOOSE(ArtifactsInput!$N$27+1,20,24,28,32,36,40),0)/100)))+1)),0)</f>
        <v/>
      </c>
      <c r="S446" t="n">
        <v>0</v>
      </c>
      <c r="U446" t="n">
        <v>0</v>
      </c>
    </row>
    <row r="447">
      <c r="A447">
        <f>Skills!A15</f>
        <v/>
      </c>
      <c r="B447">
        <f>Skills!B15</f>
        <v/>
      </c>
      <c r="C447">
        <f>Inputs!$B$3&gt;=63</f>
        <v/>
      </c>
      <c r="D447">
        <f>IF(Skills!C15=1,60+Inputs!$B$26+Inputs!$B$30,IF(Skills!C15=2,90+Inputs!$B$27+Inputs!$B$30,IF(Skills!C15=3,120+Inputs!$B$28+Inputs!$B$30,MAX(0,(Inputs!$B$3-100)*3)+Inputs!$B$29+Inputs!$B$30)))</f>
        <v/>
      </c>
      <c r="E447">
        <f>INDEX(FactorTable!$B$2:$Y$301, MATCH(ROUND(MIN(300,MAX(1,D447)),0), FactorTable!$A$2:$A$301,0), Skills!L15+1)</f>
        <v/>
      </c>
      <c r="F447">
        <f>IF(Skills!M15=TRUE,(Skills!K15/10)*(E447/1000),Skills!K15/10)+Skills!N15</f>
        <v/>
      </c>
      <c r="G447">
        <f>Calc!G15</f>
        <v/>
      </c>
      <c r="H447">
        <f>Calc!H15</f>
        <v/>
      </c>
      <c r="I447">
        <f>IF(Skills!T15&lt;&gt;"",1+(Skills!T15/10)*($Z$3/1000)/100,1)</f>
        <v/>
      </c>
      <c r="J447">
        <f>((Inputs!$B$6*(1+Inputs!$B$7/100))+(((Inputs!$B$13*(1+Inputs!$B$14/100))-(Inputs!$B$13*(1+Inputs!$B$14/100)))+0.25*(Inputs!$B$15-Inputs!$B$15))*(1+Inputs!$B$7/100))*(F447/100)</f>
        <v/>
      </c>
      <c r="K447">
        <f>J447*(1+(((Inputs!$B$13+IF(Inputs!$B$3&gt;=35,(10*INDEX(FactorTable!$B$2:$Y$301,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15="TRIUMPH_FEATHER",IF(C448=TRUE,F448,0),0)/100)*(1+IF(C459=TRUE,F459,0)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447)</f>
        <v/>
      </c>
      <c r="L447">
        <f>K447*(MIN(Inputs!$B$23+(F454-Calc!F22),(Inputs!$B$24+IF(ArtifactsInput!$M$15,CHOOSE(ArtifactsInput!$N$15+1,25,30,35,40,45,50)/100*(Inputs!$B$12-Inputs!$B$12),0)))/100+(Inputs!$B$24+IF(ArtifactsInput!$M$15,CHOOSE(ArtifactsInput!$N$15+1,25,30,35,40,45,50)/100*(Inputs!$B$12-Inputs!$B$12),0))/100)/2</f>
        <v/>
      </c>
      <c r="M447">
        <f>L447*(1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7">
        <f>L447*(1-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447*(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7">
        <f>(1-Summary!$B$11)*S447+Summary!$B$11*U447</f>
        <v/>
      </c>
      <c r="P447">
        <f>IF(B475=0,0,O447/B475)</f>
        <v/>
      </c>
      <c r="Q447">
        <f>IFERROR(1/(IF(Inputs!$B$39="pvp",15,MAX(0.1,Skills!D15-IF(Skills!E15=TRUE,Inputs!$B$33,0)))*(1-IF(AND(ArtifactsInput!$M$27,Inputs!$B$4="Chapter Hunt"),CHOOSE(ArtifactsInput!$N$27+1,20,24,28,32,36,40),0)/100)),0)</f>
        <v/>
      </c>
      <c r="R447" t="n">
        <v>0</v>
      </c>
      <c r="S447">
        <f>IF(C447,(Skills!F15*N447*((IF(Inputs!$B$3&gt;=78,25,15)/100*B468*10)/(1+IF(Inputs!$B$3&gt;=78,25,15)/100*B468*10))*(Skills!I15/100*B468)/(1+Skills!G15*Skills!I15/100*B468))*IF(Inputs!$B$39="pvp",1,1+(Inputs!$B$21+Skills!O15+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447*(1-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447*(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447*(1-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447*(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7">
        <f>IF(C447,(Skills!F15*N447*((IF(Inputs!$B$3&gt;=78,25,15)/100*B468*10)/(1+IF(Inputs!$B$3&gt;=78,25,15)/100*B468*10))*(Skills!I15/100*B468)/(1+Skills!G15*Skills!I15/100*B468))*IF(Inputs!$B$39="pvp",1,(1+(Inputs!$B$22+Skills!P15+B464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8">
      <c r="A448">
        <f>Skills!A16</f>
        <v/>
      </c>
      <c r="B448">
        <f>Skills!B16</f>
        <v/>
      </c>
      <c r="C448">
        <f>Inputs!$B$3&gt;=100</f>
        <v/>
      </c>
      <c r="D448">
        <f>IF(Skills!C16=1,60+Inputs!$B$26+Inputs!$B$30,IF(Skills!C16=2,90+Inputs!$B$27+Inputs!$B$30,IF(Skills!C16=3,120+Inputs!$B$28+Inputs!$B$30,MAX(0,(Inputs!$B$3-100)*3)+Inputs!$B$29+Inputs!$B$30)))</f>
        <v/>
      </c>
      <c r="E448">
        <f>INDEX(FactorTable!$B$2:$Y$301, MATCH(ROUND(MIN(300,MAX(1,D448)),0), FactorTable!$A$2:$A$301,0), Skills!L16+1)</f>
        <v/>
      </c>
      <c r="F448">
        <f>IF(Skills!M16=TRUE,(Skills!K16/10)*(E448/1000),Skills!K16/10)+Skills!N16</f>
        <v/>
      </c>
      <c r="G448">
        <f>Calc!G16</f>
        <v/>
      </c>
      <c r="H448">
        <f>Calc!H16</f>
        <v/>
      </c>
      <c r="I448">
        <f>IF(Skills!T16&lt;&gt;"",1+(Skills!T16/10)*($Z$3/1000)/100,1)</f>
        <v/>
      </c>
      <c r="J448" t="inlineStr"/>
      <c r="K448" t="inlineStr"/>
      <c r="L448" t="inlineStr"/>
      <c r="M448" t="inlineStr"/>
      <c r="N448" t="inlineStr"/>
      <c r="O448">
        <f>(1-Summary!$B$11)*S448+Summary!$B$11*U448</f>
        <v/>
      </c>
      <c r="P448">
        <f>IF(B475=0,0,O448/B475)</f>
        <v/>
      </c>
      <c r="Q448">
        <f>IFERROR(1/(IF(Inputs!$B$39="pvp",15,MAX(0.1,Skills!D16-IF(Skills!E16=TRUE,Inputs!$B$33,0)))*(1-IF(AND(ArtifactsInput!$M$27,Inputs!$B$4="Chapter Hunt"),CHOOSE(ArtifactsInput!$N$27+1,20,24,28,32,36,40),0)/100)),0)</f>
        <v/>
      </c>
      <c r="R448" t="n">
        <v>0</v>
      </c>
      <c r="S448" t="n">
        <v>0</v>
      </c>
      <c r="U448" t="n">
        <v>0</v>
      </c>
    </row>
    <row r="449">
      <c r="A449">
        <f>Skills!A17</f>
        <v/>
      </c>
      <c r="B449">
        <f>Skills!B17</f>
        <v/>
      </c>
      <c r="C449">
        <f>Inputs!$B$3&gt;=49</f>
        <v/>
      </c>
      <c r="D449">
        <f>IF(Skills!C17=1,60+Inputs!$B$26+Inputs!$B$30,IF(Skills!C17=2,90+Inputs!$B$27+Inputs!$B$30,IF(Skills!C17=3,120+Inputs!$B$28+Inputs!$B$30,MAX(0,(Inputs!$B$3-100)*3)+Inputs!$B$29+Inputs!$B$30)))</f>
        <v/>
      </c>
      <c r="E449">
        <f>INDEX(FactorTable!$B$2:$Y$301, MATCH(ROUND(MIN(300,MAX(1,D449)),0), FactorTable!$A$2:$A$301,0), Skills!L17+1)</f>
        <v/>
      </c>
      <c r="F449">
        <f>IF(Skills!M17=TRUE,(Skills!K17/10)*(E449/1000),Skills!K17/10)+Skills!N17</f>
        <v/>
      </c>
      <c r="G449">
        <f>Calc!G17</f>
        <v/>
      </c>
      <c r="H449">
        <f>Calc!H17</f>
        <v/>
      </c>
      <c r="I449">
        <f>IF(Skills!T17&lt;&gt;"",1+(Skills!T17/10)*($Z$3/1000)/100,1)</f>
        <v/>
      </c>
      <c r="J449" t="inlineStr"/>
      <c r="K449" t="inlineStr"/>
      <c r="L449" t="inlineStr"/>
      <c r="M449" t="inlineStr"/>
      <c r="N449" t="inlineStr"/>
      <c r="O449">
        <f>(1-Summary!$B$11)*S449+Summary!$B$11*U449</f>
        <v/>
      </c>
      <c r="P449">
        <f>IF(B475=0,0,O449/B475)</f>
        <v/>
      </c>
      <c r="Q449">
        <f>IFERROR(1/(IF(Inputs!$B$39="pvp",15,MAX(0.1,Skills!D17-IF(Skills!E17=TRUE,Inputs!$B$33,0)))*(1-IF(AND(ArtifactsInput!$M$27,Inputs!$B$4="Chapter Hunt"),CHOOSE(ArtifactsInput!$N$27+1,20,24,28,32,36,40),0)/100)),0)</f>
        <v/>
      </c>
      <c r="R449" t="n">
        <v>0</v>
      </c>
      <c r="S449" t="n">
        <v>0</v>
      </c>
      <c r="U449" t="n">
        <v>0</v>
      </c>
    </row>
    <row r="450">
      <c r="A450">
        <f>Skills!A18</f>
        <v/>
      </c>
      <c r="B450">
        <f>Skills!B18</f>
        <v/>
      </c>
      <c r="C450">
        <f>Inputs!$B$3&gt;=75</f>
        <v/>
      </c>
      <c r="D450">
        <f>IF(Skills!C18=1,60+Inputs!$B$26+Inputs!$B$30,IF(Skills!C18=2,90+Inputs!$B$27+Inputs!$B$30,IF(Skills!C18=3,120+Inputs!$B$28+Inputs!$B$30,MAX(0,(Inputs!$B$3-100)*3)+Inputs!$B$29+Inputs!$B$30)))</f>
        <v/>
      </c>
      <c r="E450">
        <f>INDEX(FactorTable!$B$2:$Y$301, MATCH(ROUND(MIN(300,MAX(1,D450)),0), FactorTable!$A$2:$A$301,0), Skills!L18+1)</f>
        <v/>
      </c>
      <c r="F450">
        <f>IF(Skills!M18=TRUE,(Skills!K18/10)*(E450/1000),Skills!K18/10)+Skills!N18</f>
        <v/>
      </c>
      <c r="G450">
        <f>Calc!G18</f>
        <v/>
      </c>
      <c r="H450">
        <f>Calc!H18</f>
        <v/>
      </c>
      <c r="I450">
        <f>IF(Skills!T18&lt;&gt;"",1+(Skills!T18/10)*($Z$3/1000)/100,1)</f>
        <v/>
      </c>
      <c r="J450" t="inlineStr"/>
      <c r="K450" t="inlineStr"/>
      <c r="L450" t="inlineStr"/>
      <c r="M450" t="inlineStr"/>
      <c r="N450" t="inlineStr"/>
      <c r="O450">
        <f>(1-Summary!$B$11)*S450+Summary!$B$11*U450</f>
        <v/>
      </c>
      <c r="P450">
        <f>IF(B475=0,0,O450/B475)</f>
        <v/>
      </c>
      <c r="Q450">
        <f>IFERROR(1/(IF(Inputs!$B$39="pvp",15,MAX(0.1,Skills!D18-IF(Skills!E18=TRUE,Inputs!$B$33,0)))*(1-IF(AND(ArtifactsInput!$M$27,Inputs!$B$4="Chapter Hunt"),CHOOSE(ArtifactsInput!$N$27+1,20,24,28,32,36,40),0)/100)),0)</f>
        <v/>
      </c>
      <c r="R450" t="n">
        <v>0</v>
      </c>
      <c r="S450" t="n">
        <v>0</v>
      </c>
      <c r="U450" t="n">
        <v>0</v>
      </c>
    </row>
    <row r="451">
      <c r="A451">
        <f>Skills!A19</f>
        <v/>
      </c>
      <c r="B451">
        <f>Skills!B19</f>
        <v/>
      </c>
      <c r="C451">
        <f>Inputs!$B$3&gt;=110</f>
        <v/>
      </c>
      <c r="D451">
        <f>IF(Skills!C19=1,60+Inputs!$B$26+Inputs!$B$30,IF(Skills!C19=2,90+Inputs!$B$27+Inputs!$B$30,IF(Skills!C19=3,120+Inputs!$B$28+Inputs!$B$30,MAX(0,(Inputs!$B$3-100)*3)+Inputs!$B$29+Inputs!$B$30)))</f>
        <v/>
      </c>
      <c r="E451">
        <f>INDEX(FactorTable!$B$2:$Y$301, MATCH(ROUND(MIN(300,MAX(1,D451)),0), FactorTable!$A$2:$A$301,0), Skills!L19+1)</f>
        <v/>
      </c>
      <c r="F451">
        <f>(Skills!K19/10)*(E451/1000)*64/45+Skills!N19</f>
        <v/>
      </c>
      <c r="G451">
        <f>Calc!G19</f>
        <v/>
      </c>
      <c r="H451">
        <f>Calc!H19</f>
        <v/>
      </c>
      <c r="I451">
        <f>IF(Skills!T19&lt;&gt;"",1+(Skills!T19/10)*($Z$3/1000)/100,1)</f>
        <v/>
      </c>
      <c r="J451" t="inlineStr"/>
      <c r="K451" t="inlineStr"/>
      <c r="L451" t="inlineStr"/>
      <c r="M451" t="inlineStr"/>
      <c r="N451" t="inlineStr"/>
      <c r="O451">
        <f>(1-Summary!$B$11)*S451+Summary!$B$11*U451</f>
        <v/>
      </c>
      <c r="P451">
        <f>IF(B475=0,0,O451/B475)</f>
        <v/>
      </c>
      <c r="Q451">
        <f>IFERROR(1/(IF(Inputs!$B$39="pvp",15,MAX(0.1,Skills!D19-IF(Skills!E19=TRUE,Inputs!$B$33,0)))*(1-IF(AND(ArtifactsInput!$M$27,Inputs!$B$4="Chapter Hunt"),CHOOSE(ArtifactsInput!$N$27+1,20,24,28,32,36,40),0)/100)),0)</f>
        <v/>
      </c>
      <c r="R451">
        <f>IF(AND(Inputs!$B$39&lt;&gt;"pvp",Inputs!$B$44&gt;0),IF(Inputs!$B$44&lt;=0,0,(INT(Inputs!$B$44/(IF(Inputs!$B$39="pvp",15,MAX(0.1,Skills!D19-IF(Skills!E19=TRUE,Inputs!$B$33,0)))*(1-IF(AND(ArtifactsInput!$M$27,Inputs!$B$4="Chapter Hunt"),CHOOSE(ArtifactsInput!$N$27+1,20,24,28,32,36,40),0)/100)))+1)),0)</f>
        <v/>
      </c>
      <c r="S451" t="n">
        <v>0</v>
      </c>
      <c r="U451" t="n">
        <v>0</v>
      </c>
    </row>
    <row r="452">
      <c r="A452">
        <f>Skills!A20</f>
        <v/>
      </c>
      <c r="B452">
        <f>Skills!B20</f>
        <v/>
      </c>
      <c r="C452">
        <f>Inputs!$B$3&gt;=125</f>
        <v/>
      </c>
      <c r="D452">
        <f>IF(Skills!C20=1,60+Inputs!$B$26+Inputs!$B$30,IF(Skills!C20=2,90+Inputs!$B$27+Inputs!$B$30,IF(Skills!C20=3,120+Inputs!$B$28+Inputs!$B$30,MAX(0,(Inputs!$B$3-100)*3)+Inputs!$B$29+Inputs!$B$30)))</f>
        <v/>
      </c>
      <c r="E452">
        <f>INDEX(FactorTable!$B$2:$Y$301, MATCH(ROUND(MIN(300,MAX(1,D452)),0), FactorTable!$A$2:$A$301,0), Skills!L20+1)</f>
        <v/>
      </c>
      <c r="F452">
        <f>IF(Skills!M20=TRUE,(Skills!K20/10)*(E452/1000),Skills!K20/10)+Skills!N20</f>
        <v/>
      </c>
      <c r="G452">
        <f>Calc!G20</f>
        <v/>
      </c>
      <c r="H452">
        <f>Calc!H20</f>
        <v/>
      </c>
      <c r="I452">
        <f>IF(Skills!T20&lt;&gt;"",1+(Skills!T20/10)*($Z$3/1000)/100,1)</f>
        <v/>
      </c>
      <c r="J452" t="inlineStr"/>
      <c r="K452" t="inlineStr"/>
      <c r="L452" t="inlineStr"/>
      <c r="M452" t="inlineStr"/>
      <c r="N452" t="inlineStr"/>
      <c r="O452">
        <f>(1-Summary!$B$11)*S452+Summary!$B$11*U452</f>
        <v/>
      </c>
      <c r="P452">
        <f>IF(B475=0,0,O452/B475)</f>
        <v/>
      </c>
      <c r="Q452">
        <f>IFERROR(1/(IF(Inputs!$B$39="pvp",15,MAX(0.1,Skills!D20-IF(Skills!E20=TRUE,Inputs!$B$33,0)))*(1-IF(AND(ArtifactsInput!$M$27,Inputs!$B$4="Chapter Hunt"),CHOOSE(ArtifactsInput!$N$27+1,20,24,28,32,36,40),0)/100)),0)</f>
        <v/>
      </c>
      <c r="R452" t="n">
        <v>0</v>
      </c>
      <c r="S452" t="n">
        <v>0</v>
      </c>
      <c r="U452" t="n">
        <v>0</v>
      </c>
    </row>
    <row r="453">
      <c r="A453">
        <f>Skills!A21</f>
        <v/>
      </c>
      <c r="B453">
        <f>Skills!B21</f>
        <v/>
      </c>
      <c r="C453">
        <f>Inputs!$B$3&gt;=33</f>
        <v/>
      </c>
      <c r="D453">
        <f>IF(Skills!C21=1,60+Inputs!$B$26+Inputs!$B$30,IF(Skills!C21=2,90+Inputs!$B$27+Inputs!$B$30,IF(Skills!C21=3,120+Inputs!$B$28+Inputs!$B$30,MAX(0,(Inputs!$B$3-100)*3)+Inputs!$B$29+Inputs!$B$30)))</f>
        <v/>
      </c>
      <c r="E453">
        <f>INDEX(FactorTable!$B$2:$Y$301, MATCH(ROUND(MIN(300,MAX(1,D453)),0), FactorTable!$A$2:$A$301,0), Skills!L21+1)</f>
        <v/>
      </c>
      <c r="F453">
        <f>IF(Skills!M21=TRUE,(Skills!K21/10)*(E453/1000),Skills!K21/10)+Skills!N21</f>
        <v/>
      </c>
      <c r="G453">
        <f>Calc!G21</f>
        <v/>
      </c>
      <c r="H453">
        <f>Calc!H21</f>
        <v/>
      </c>
      <c r="I453">
        <f>IF(Skills!T21&lt;&gt;"",1+(Skills!T21/10)*($Z$3/1000)/100,1)</f>
        <v/>
      </c>
      <c r="J453" t="inlineStr"/>
      <c r="K453" t="inlineStr"/>
      <c r="L453" t="inlineStr"/>
      <c r="M453" t="inlineStr"/>
      <c r="N453" t="inlineStr"/>
      <c r="O453">
        <f>(1-Summary!$B$11)*S453+Summary!$B$11*U453</f>
        <v/>
      </c>
      <c r="P453">
        <f>IF(B475=0,0,O453/B475)</f>
        <v/>
      </c>
      <c r="Q453">
        <f>IFERROR(1/(IF(Inputs!$B$39="pvp",15,MAX(0.1,Skills!D21-IF(Skills!E21=TRUE,Inputs!$B$33,0)))*(1-IF(AND(ArtifactsInput!$M$27,Inputs!$B$4="Chapter Hunt"),CHOOSE(ArtifactsInput!$N$27+1,20,24,28,32,36,40),0)/100)),0)</f>
        <v/>
      </c>
      <c r="R453" t="n">
        <v>0</v>
      </c>
      <c r="S453" t="n">
        <v>0</v>
      </c>
      <c r="U453" t="n">
        <v>0</v>
      </c>
    </row>
    <row r="454">
      <c r="A454">
        <f>Skills!A22</f>
        <v/>
      </c>
      <c r="B454">
        <f>Skills!B22</f>
        <v/>
      </c>
      <c r="C454">
        <f>Inputs!$B$3&gt;=43</f>
        <v/>
      </c>
      <c r="D454">
        <f>IF(Skills!C22=1,60+Inputs!$B$26+Inputs!$B$30,IF(Skills!C22=2,90+Inputs!$B$27+Inputs!$B$30,IF(Skills!C22=3,120+Inputs!$B$28+Inputs!$B$30,MAX(0,(Inputs!$B$3-100)*3)+Inputs!$B$29+Inputs!$B$30)))</f>
        <v/>
      </c>
      <c r="E454">
        <f>INDEX(FactorTable!$B$2:$Y$301, MATCH(ROUND(MIN(300,MAX(1,D454)),0), FactorTable!$A$2:$A$301,0), Skills!L22+1)</f>
        <v/>
      </c>
      <c r="F454">
        <f>IF(Skills!M22=TRUE,(Skills!K22/10)*(E454/1000),Skills!K22/10)+Skills!N22</f>
        <v/>
      </c>
      <c r="G454">
        <f>Calc!G22</f>
        <v/>
      </c>
      <c r="H454">
        <f>Calc!H22</f>
        <v/>
      </c>
      <c r="I454">
        <f>IF(Skills!T22&lt;&gt;"",1+(Skills!T22/10)*($Z$3/1000)/100,1)</f>
        <v/>
      </c>
      <c r="J454" t="inlineStr"/>
      <c r="K454" t="inlineStr"/>
      <c r="L454" t="inlineStr"/>
      <c r="M454" t="inlineStr"/>
      <c r="N454" t="inlineStr"/>
      <c r="O454">
        <f>(1-Summary!$B$11)*S454+Summary!$B$11*U454</f>
        <v/>
      </c>
      <c r="P454">
        <f>IF(B475=0,0,O454/B475)</f>
        <v/>
      </c>
      <c r="Q454">
        <f>IFERROR(1/(IF(Inputs!$B$39="pvp",15,MAX(0.1,Skills!D22-IF(Skills!E22=TRUE,Inputs!$B$33,0)))*(1-IF(AND(ArtifactsInput!$M$27,Inputs!$B$4="Chapter Hunt"),CHOOSE(ArtifactsInput!$N$27+1,20,24,28,32,36,40),0)/100)),0)</f>
        <v/>
      </c>
      <c r="R454" t="n">
        <v>0</v>
      </c>
      <c r="S454" t="n">
        <v>0</v>
      </c>
      <c r="U454" t="n">
        <v>0</v>
      </c>
    </row>
    <row r="455">
      <c r="A455">
        <f>Skills!A23</f>
        <v/>
      </c>
      <c r="B455">
        <f>Skills!B23</f>
        <v/>
      </c>
      <c r="C455">
        <f>Inputs!$B$3&gt;=50</f>
        <v/>
      </c>
      <c r="D455">
        <f>IF(Skills!C23=1,60+Inputs!$B$26+Inputs!$B$30,IF(Skills!C23=2,90+Inputs!$B$27+Inputs!$B$30,IF(Skills!C23=3,120+Inputs!$B$28+Inputs!$B$30,MAX(0,(Inputs!$B$3-100)*3)+Inputs!$B$29+Inputs!$B$30)))</f>
        <v/>
      </c>
      <c r="E455">
        <f>INDEX(FactorTable!$B$2:$Y$301, MATCH(ROUND(MIN(300,MAX(1,D455)),0), FactorTable!$A$2:$A$301,0), Skills!L23+1)</f>
        <v/>
      </c>
      <c r="F455">
        <f>IF(Skills!M23=TRUE,(Skills!K23/10)*(E455/1000),Skills!K23/10)+Skills!N23</f>
        <v/>
      </c>
      <c r="G455">
        <f>Calc!G23</f>
        <v/>
      </c>
      <c r="H455">
        <f>Calc!H23</f>
        <v/>
      </c>
      <c r="I455">
        <f>IF(Skills!T23&lt;&gt;"",1+(Skills!T23/10)*($Z$3/1000)/100,1)</f>
        <v/>
      </c>
      <c r="J455" t="inlineStr"/>
      <c r="K455" t="inlineStr"/>
      <c r="L455" t="inlineStr"/>
      <c r="M455" t="inlineStr"/>
      <c r="N455" t="inlineStr"/>
      <c r="O455">
        <f>(1-Summary!$B$11)*S455+Summary!$B$11*U455</f>
        <v/>
      </c>
      <c r="P455">
        <f>IF(B475=0,0,O455/B475)</f>
        <v/>
      </c>
      <c r="Q455">
        <f>IFERROR(1/(IF(Inputs!$B$39="pvp",15,MAX(0.1,Skills!D23-IF(Skills!E23=TRUE,Inputs!$B$33,0)))*(1-IF(AND(ArtifactsInput!$M$27,Inputs!$B$4="Chapter Hunt"),CHOOSE(ArtifactsInput!$N$27+1,20,24,28,32,36,40),0)/100)),0)</f>
        <v/>
      </c>
      <c r="R455" t="n">
        <v>0</v>
      </c>
      <c r="S455" t="n">
        <v>0</v>
      </c>
      <c r="U455" t="n">
        <v>0</v>
      </c>
    </row>
    <row r="456">
      <c r="A456">
        <f>Skills!A24</f>
        <v/>
      </c>
      <c r="B456">
        <f>Skills!B24</f>
        <v/>
      </c>
      <c r="C456">
        <f>Inputs!$B$3&gt;=74</f>
        <v/>
      </c>
      <c r="D456">
        <f>IF(Skills!C24=1,60+Inputs!$B$26+Inputs!$B$30,IF(Skills!C24=2,90+Inputs!$B$27+Inputs!$B$30,IF(Skills!C24=3,120+Inputs!$B$28+Inputs!$B$30,MAX(0,(Inputs!$B$3-100)*3)+Inputs!$B$29+Inputs!$B$30)))</f>
        <v/>
      </c>
      <c r="E456">
        <f>INDEX(FactorTable!$B$2:$Y$301, MATCH(ROUND(MIN(300,MAX(1,D456)),0), FactorTable!$A$2:$A$301,0), Skills!L24+1)</f>
        <v/>
      </c>
      <c r="F456">
        <f>IF(Skills!M24=TRUE,(Skills!K24/10)*(E456/1000),Skills!K24/10)+Skills!N24</f>
        <v/>
      </c>
      <c r="G456">
        <f>Calc!G24</f>
        <v/>
      </c>
      <c r="H456">
        <f>Calc!H24</f>
        <v/>
      </c>
      <c r="I456">
        <f>IF(Skills!T24&lt;&gt;"",1+(Skills!T24/10)*($Z$3/1000)/100,1)</f>
        <v/>
      </c>
      <c r="J456" t="inlineStr"/>
      <c r="K456" t="inlineStr"/>
      <c r="L456" t="inlineStr"/>
      <c r="M456" t="inlineStr"/>
      <c r="N456" t="inlineStr"/>
      <c r="O456">
        <f>(1-Summary!$B$11)*S456+Summary!$B$11*U456</f>
        <v/>
      </c>
      <c r="P456">
        <f>IF(B475=0,0,O456/B475)</f>
        <v/>
      </c>
      <c r="Q456">
        <f>IFERROR(1/(IF(Inputs!$B$39="pvp",15,MAX(0.1,Skills!D24-IF(Skills!E24=TRUE,Inputs!$B$33,0)))*(1-IF(AND(ArtifactsInput!$M$27,Inputs!$B$4="Chapter Hunt"),CHOOSE(ArtifactsInput!$N$27+1,20,24,28,32,36,40),0)/100)),0)</f>
        <v/>
      </c>
      <c r="R456" t="n">
        <v>0</v>
      </c>
      <c r="S456" t="n">
        <v>0</v>
      </c>
      <c r="U456" t="n">
        <v>0</v>
      </c>
    </row>
    <row r="457">
      <c r="A457">
        <f>Skills!A25</f>
        <v/>
      </c>
      <c r="B457">
        <f>Skills!B25</f>
        <v/>
      </c>
      <c r="C457">
        <f>Inputs!$B$3&gt;=74</f>
        <v/>
      </c>
      <c r="D457">
        <f>IF(Skills!C25=1,60+Inputs!$B$26+Inputs!$B$30,IF(Skills!C25=2,90+Inputs!$B$27+Inputs!$B$30,IF(Skills!C25=3,120+Inputs!$B$28+Inputs!$B$30,MAX(0,(Inputs!$B$3-100)*3)+Inputs!$B$29+Inputs!$B$30)))</f>
        <v/>
      </c>
      <c r="E457">
        <f>INDEX(FactorTable!$B$2:$Y$301, MATCH(ROUND(MIN(300,MAX(1,D457)),0), FactorTable!$A$2:$A$301,0), Skills!L25+1)</f>
        <v/>
      </c>
      <c r="F457">
        <f>IF(Skills!M25=TRUE,(Skills!K25/10)*(E457/1000),Skills!K25/10)+Skills!N25</f>
        <v/>
      </c>
      <c r="G457">
        <f>Calc!G25</f>
        <v/>
      </c>
      <c r="H457">
        <f>Calc!H25</f>
        <v/>
      </c>
      <c r="I457">
        <f>IF(Skills!T25&lt;&gt;"",1+(Skills!T25/10)*($Z$3/1000)/100,1)</f>
        <v/>
      </c>
      <c r="J457" t="inlineStr"/>
      <c r="K457" t="inlineStr"/>
      <c r="L457" t="inlineStr"/>
      <c r="M457" t="inlineStr"/>
      <c r="N457" t="inlineStr"/>
      <c r="O457">
        <f>(1-Summary!$B$11)*S457+Summary!$B$11*U457</f>
        <v/>
      </c>
      <c r="P457">
        <f>IF(B475=0,0,O457/B475)</f>
        <v/>
      </c>
      <c r="Q457">
        <f>IFERROR(1/(IF(Inputs!$B$39="pvp",15,MAX(0.1,Skills!D25-IF(Skills!E25=TRUE,Inputs!$B$33,0)))*(1-IF(AND(ArtifactsInput!$M$27,Inputs!$B$4="Chapter Hunt"),CHOOSE(ArtifactsInput!$N$27+1,20,24,28,32,36,40),0)/100)),0)</f>
        <v/>
      </c>
      <c r="R457" t="n">
        <v>0</v>
      </c>
      <c r="S457" t="n">
        <v>0</v>
      </c>
      <c r="U457" t="n">
        <v>0</v>
      </c>
    </row>
    <row r="458">
      <c r="A458">
        <f>Skills!A26</f>
        <v/>
      </c>
      <c r="B458">
        <f>Skills!B26</f>
        <v/>
      </c>
      <c r="C458">
        <f>Inputs!$B$3&gt;=117</f>
        <v/>
      </c>
      <c r="D458">
        <f>IF(Skills!C26=1,60+Inputs!$B$26+Inputs!$B$30,IF(Skills!C26=2,90+Inputs!$B$27+Inputs!$B$30,IF(Skills!C26=3,120+Inputs!$B$28+Inputs!$B$30,MAX(0,(Inputs!$B$3-100)*3)+Inputs!$B$29+Inputs!$B$30)))</f>
        <v/>
      </c>
      <c r="E458">
        <f>INDEX(FactorTable!$B$2:$Y$301, MATCH(ROUND(MIN(300,MAX(1,D458)),0), FactorTable!$A$2:$A$301,0), Skills!L26+1)</f>
        <v/>
      </c>
      <c r="F458">
        <f>IF(Skills!M26=TRUE,(Skills!K26/10)*(E458/1000),Skills!K26/10)+Skills!N26</f>
        <v/>
      </c>
      <c r="G458">
        <f>Calc!G26</f>
        <v/>
      </c>
      <c r="H458">
        <f>Calc!H26</f>
        <v/>
      </c>
      <c r="I458">
        <f>IF(Skills!T26&lt;&gt;"",1+(Skills!T26/10)*($Z$3/1000)/100,1)</f>
        <v/>
      </c>
      <c r="J458" t="inlineStr"/>
      <c r="K458" t="inlineStr"/>
      <c r="L458" t="inlineStr"/>
      <c r="M458" t="inlineStr"/>
      <c r="N458" t="inlineStr"/>
      <c r="O458">
        <f>(1-Summary!$B$11)*S458+Summary!$B$11*U458</f>
        <v/>
      </c>
      <c r="P458">
        <f>IF(B475=0,0,O458/B475)</f>
        <v/>
      </c>
      <c r="Q458">
        <f>IFERROR(1/(IF(Inputs!$B$39="pvp",15,MAX(0.1,Skills!D26-IF(Skills!E26=TRUE,Inputs!$B$33,0)))*(1-IF(AND(ArtifactsInput!$M$27,Inputs!$B$4="Chapter Hunt"),CHOOSE(ArtifactsInput!$N$27+1,20,24,28,32,36,40),0)/100)),0)</f>
        <v/>
      </c>
      <c r="R458" t="n">
        <v>0</v>
      </c>
      <c r="S458" t="n">
        <v>0</v>
      </c>
      <c r="U458" t="n">
        <v>0</v>
      </c>
    </row>
    <row r="459">
      <c r="A459">
        <f>Skills!A27</f>
        <v/>
      </c>
      <c r="B459">
        <f>Skills!B27</f>
        <v/>
      </c>
      <c r="C459">
        <f>Inputs!$B$3&gt;=120</f>
        <v/>
      </c>
      <c r="D459">
        <f>IF(Skills!C27=1,60+Inputs!$B$26+Inputs!$B$30,IF(Skills!C27=2,90+Inputs!$B$27+Inputs!$B$30,IF(Skills!C27=3,120+Inputs!$B$28+Inputs!$B$30,MAX(0,(Inputs!$B$3-100)*3)+Inputs!$B$29+Inputs!$B$30)))</f>
        <v/>
      </c>
      <c r="E459">
        <f>INDEX(FactorTable!$B$2:$Y$301, MATCH(ROUND(MIN(300,MAX(1,D459)),0), FactorTable!$A$2:$A$301,0), Skills!L27+1)</f>
        <v/>
      </c>
      <c r="F459">
        <f>IF(Skills!M27=TRUE,(Skills!K27/10)*(E459/1000),Skills!K27/10)+Skills!N27</f>
        <v/>
      </c>
      <c r="G459">
        <f>Calc!G27</f>
        <v/>
      </c>
      <c r="H459">
        <f>Calc!H27</f>
        <v/>
      </c>
      <c r="I459">
        <f>IF(Skills!T27&lt;&gt;"",1+(Skills!T27/10)*($Z$3/1000)/100,1)</f>
        <v/>
      </c>
      <c r="J459" t="inlineStr"/>
      <c r="K459" t="inlineStr"/>
      <c r="L459" t="inlineStr"/>
      <c r="M459" t="inlineStr"/>
      <c r="N459" t="inlineStr"/>
      <c r="O459">
        <f>(1-Summary!$B$11)*S459+Summary!$B$11*U459</f>
        <v/>
      </c>
      <c r="P459">
        <f>IF(B475=0,0,O459/B475)</f>
        <v/>
      </c>
      <c r="Q459">
        <f>IFERROR(1/(IF(Inputs!$B$39="pvp",15,MAX(0.1,Skills!D27-IF(Skills!E27=TRUE,Inputs!$B$33,0)))*(1-IF(AND(ArtifactsInput!$M$27,Inputs!$B$4="Chapter Hunt"),CHOOSE(ArtifactsInput!$N$27+1,20,24,28,32,36,40),0)/100)),0)</f>
        <v/>
      </c>
      <c r="R459" t="n">
        <v>0</v>
      </c>
      <c r="S459" t="n">
        <v>0</v>
      </c>
      <c r="U459" t="n">
        <v>0</v>
      </c>
    </row>
    <row r="460">
      <c r="A460">
        <f>Skills!A28</f>
        <v/>
      </c>
      <c r="B460">
        <f>Skills!B28</f>
        <v/>
      </c>
      <c r="C460">
        <f>TRUE</f>
        <v/>
      </c>
      <c r="D460">
        <f>IF(Skills!C28=1,60+Inputs!$B$26+Inputs!$B$30,IF(Skills!C28=2,90+Inputs!$B$27+Inputs!$B$30,IF(Skills!C28=3,120+Inputs!$B$28+Inputs!$B$30,MAX(0,(Inputs!$B$3-100)*3)+Inputs!$B$29+Inputs!$B$30)))</f>
        <v/>
      </c>
      <c r="E460">
        <f>INDEX(FactorTable!$B$2:$Y$301, MATCH(ROUND(MIN(300,MAX(1,D460)),0), FactorTable!$A$2:$A$301,0), Skills!L28+1)</f>
        <v/>
      </c>
      <c r="F460">
        <f>IF(Skills!M28=TRUE,(Skills!K28/10)*(E460/1000),Skills!K28/10)+Skills!N28</f>
        <v/>
      </c>
      <c r="G460">
        <f>Calc!G28</f>
        <v/>
      </c>
      <c r="H460">
        <f>Calc!H28</f>
        <v/>
      </c>
      <c r="I460">
        <f>IF(Skills!T28&lt;&gt;"",1+(Skills!T28/10)*($Z$3/1000)/100,1)</f>
        <v/>
      </c>
      <c r="J460" t="inlineStr"/>
      <c r="K460" t="inlineStr"/>
      <c r="L460" t="inlineStr"/>
      <c r="M460" t="inlineStr"/>
      <c r="N460" t="inlineStr"/>
      <c r="O460">
        <f>(1-Summary!$B$11)*S460+Summary!$B$11*U460</f>
        <v/>
      </c>
      <c r="P460">
        <f>IF(B475=0,0,O460/B475)</f>
        <v/>
      </c>
      <c r="Q460">
        <f>IFERROR(1/(IF(Inputs!$B$39="pvp",15,MAX(0.1,Skills!D28-IF(Skills!E28=TRUE,Inputs!$B$33,0)))*(1-IF(AND(ArtifactsInput!$M$27,Inputs!$B$4="Chapter Hunt"),CHOOSE(ArtifactsInput!$N$27+1,20,24,28,32,36,40),0)/100)),0)</f>
        <v/>
      </c>
      <c r="R460">
        <f>IF(AND(Inputs!$B$39&lt;&gt;"pvp",Inputs!$B$44&gt;0),IF(Inputs!$B$44&lt;=0,0,(INT(Inputs!$B$44/(IF(Inputs!$B$39="pvp",15,MAX(0.1,Skills!D28-IF(Skills!E28=TRUE,Inputs!$B$33,0)))*(1-IF(AND(ArtifactsInput!$M$27,Inputs!$B$4="Chapter Hunt"),CHOOSE(ArtifactsInput!$N$27+1,20,24,28,32,36,40),0)/100)))+1)),0)</f>
        <v/>
      </c>
      <c r="S460" t="n">
        <v>0</v>
      </c>
      <c r="U460" t="n">
        <v>0</v>
      </c>
    </row>
    <row r="462">
      <c r="A462" t="inlineStr">
        <is>
          <t>Average Buff Multiplier</t>
        </is>
      </c>
      <c r="B462">
        <f>(1+(IF(C435=TRUE,F435*IF(AND(Inputs!$B$39&lt;&gt;"pvp",Inputs!$B$44&gt;0),(((R435-1)*(Skills!S3*(1+((Inputs!$B$35+(ArtifactsInput!$M$7-ArtifactsInput!$M$7)*CHOOSE(ArtifactsInput!$N$7+1,6,7.2,8.4,9.6,10.8,12))+IF(Inputs!$B$3&gt;=117,F458,0))/100))+MIN((Skills!S3*(1+((Inputs!$B$35+(ArtifactsInput!$M$7-ArtifactsInput!$M$7)*CHOOSE(ArtifactsInput!$N$7+1,6,7.2,8.4,9.6,10.8,12))+IF(Inputs!$B$3&gt;=117,F458,0))/100)),MAX(0,Inputs!$B$44-((R435-1)*Skills!D3))))/Inputs!$B$44),IF(Inputs!$B$39="pvp",MIN((Skills!S3*(1+((Inputs!$B$35+(ArtifactsInput!$M$7-ArtifactsInput!$M$7)*CHOOSE(ArtifactsInput!$N$7+1,6,7.2,8.4,9.6,10.8,12))+IF(Inputs!$B$3&gt;=117,F458,0))/100)),15)/15,(Skills!S3*(1+((Inputs!$B$35+(ArtifactsInput!$M$7-ArtifactsInput!$M$7)*CHOOSE(ArtifactsInput!$N$7+1,6,7.2,8.4,9.6,10.8,12))+IF(Inputs!$B$3&gt;=117,F458,0))/100))/Skills!D3)),0)+IF(C436=TRUE,F436*IF(AND(Inputs!$B$39&lt;&gt;"pvp",Inputs!$B$44&gt;0),(((R436-1)*(Skills!S4*(1+((Inputs!$B$35+(ArtifactsInput!$M$7-ArtifactsInput!$M$7)*CHOOSE(ArtifactsInput!$N$7+1,6,7.2,8.4,9.6,10.8,12))+IF(Inputs!$B$3&gt;=117,F458,0))/100))+MIN((Skills!S4*(1+((Inputs!$B$35+(ArtifactsInput!$M$7-ArtifactsInput!$M$7)*CHOOSE(ArtifactsInput!$N$7+1,6,7.2,8.4,9.6,10.8,12))+IF(Inputs!$B$3&gt;=117,F458,0))/100)),MAX(0,Inputs!$B$44-((R436-1)*Skills!D4))))/Inputs!$B$44),IF(Inputs!$B$39="pvp",MIN((Skills!S4*(1+((Inputs!$B$35+(ArtifactsInput!$M$7-ArtifactsInput!$M$7)*CHOOSE(ArtifactsInput!$N$7+1,6,7.2,8.4,9.6,10.8,12))+IF(Inputs!$B$3&gt;=117,F458,0))/100)),15)/15,(Skills!S4*(1+((Inputs!$B$35+(ArtifactsInput!$M$7-ArtifactsInput!$M$7)*CHOOSE(ArtifactsInput!$N$7+1,6,7.2,8.4,9.6,10.8,12))+IF(Inputs!$B$3&gt;=117,F458,0))/100))/Skills!D4)),0)+IF(C437=TRUE,F437*IF(AND(Inputs!$B$39&lt;&gt;"pvp",Inputs!$B$44&gt;0),(((R437-1)*(Skills!S5*(1+((Inputs!$B$35+(ArtifactsInput!$M$7-ArtifactsInput!$M$7)*CHOOSE(ArtifactsInput!$N$7+1,6,7.2,8.4,9.6,10.8,12))+IF(Inputs!$B$3&gt;=117,F458,0))/100))+MIN((Skills!S5*(1+((Inputs!$B$35+(ArtifactsInput!$M$7-ArtifactsInput!$M$7)*CHOOSE(ArtifactsInput!$N$7+1,6,7.2,8.4,9.6,10.8,12))+IF(Inputs!$B$3&gt;=117,F458,0))/100)),MAX(0,Inputs!$B$44-((R437-1)*Skills!D5))))/Inputs!$B$44),IF(Inputs!$B$39="pvp",MIN((Skills!S5*(1+((Inputs!$B$35+(ArtifactsInput!$M$7-ArtifactsInput!$M$7)*CHOOSE(ArtifactsInput!$N$7+1,6,7.2,8.4,9.6,10.8,12))+IF(Inputs!$B$3&gt;=117,F458,0))/100)),15)/15,(Skills!S5*(1+((Inputs!$B$35+(ArtifactsInput!$M$7-ArtifactsInput!$M$7)*CHOOSE(ArtifactsInput!$N$7+1,6,7.2,8.4,9.6,10.8,12))+IF(Inputs!$B$3&gt;=117,F458,0))/100))/Skills!D5)),0)+IF(C443=TRUE,F443*IF(AND(Inputs!$B$39&lt;&gt;"pvp",Inputs!$B$44&gt;0),(((R443-1)*(Skills!S11*(1+((Inputs!$B$35+(ArtifactsInput!$M$7-ArtifactsInput!$M$7)*CHOOSE(ArtifactsInput!$N$7+1,6,7.2,8.4,9.6,10.8,12))+IF(Inputs!$B$3&gt;=117,F458,0))/100))+MIN((Skills!S11*(1+((Inputs!$B$35+(ArtifactsInput!$M$7-ArtifactsInput!$M$7)*CHOOSE(ArtifactsInput!$N$7+1,6,7.2,8.4,9.6,10.8,12))+IF(Inputs!$B$3&gt;=117,F458,0))/100)),MAX(0,Inputs!$B$44-((R443-1)*Skills!D11))))/Inputs!$B$44),IF(Inputs!$B$39="pvp",MIN((Skills!S11*(1+((Inputs!$B$35+(ArtifactsInput!$M$7-ArtifactsInput!$M$7)*CHOOSE(ArtifactsInput!$N$7+1,6,7.2,8.4,9.6,10.8,12))+IF(Inputs!$B$3&gt;=117,F458,0))/100)),15)/15,(Skills!S11*(1+((Inputs!$B$35+(ArtifactsInput!$M$7-ArtifactsInput!$M$7)*CHOOSE(ArtifactsInput!$N$7+1,6,7.2,8.4,9.6,10.8,12))+IF(Inputs!$B$3&gt;=117,F458,0)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446=TRUE,(1+F446*IF(AND(Inputs!$B$39&lt;&gt;"pvp",Inputs!$B$44&gt;0),(((R446-1)*(Skills!S14*(1+((Inputs!$B$35+(ArtifactsInput!$M$7-ArtifactsInput!$M$7)*CHOOSE(ArtifactsInput!$N$7+1,6,7.2,8.4,9.6,10.8,12))+IF(Inputs!$B$3&gt;=117,F458,0))/100))+MIN((Skills!S14*(1+((Inputs!$B$35+(ArtifactsInput!$M$7-ArtifactsInput!$M$7)*CHOOSE(ArtifactsInput!$N$7+1,6,7.2,8.4,9.6,10.8,12))+IF(Inputs!$B$3&gt;=117,F458,0))/100)),MAX(0,Inputs!$B$44-((R446-1)*Skills!D14))))/Inputs!$B$44),IF(Inputs!$B$39="pvp",MIN((Skills!S14*(1+((Inputs!$B$35+(ArtifactsInput!$M$7-ArtifactsInput!$M$7)*CHOOSE(ArtifactsInput!$N$7+1,6,7.2,8.4,9.6,10.8,12))+IF(Inputs!$B$3&gt;=117,F458,0))/100)),15)/15,(Skills!S14*(1+((Inputs!$B$35+(ArtifactsInput!$M$7-ArtifactsInput!$M$7)*CHOOSE(ArtifactsInput!$N$7+1,6,7.2,8.4,9.6,10.8,12))+IF(Inputs!$B$3&gt;=117,F458,0))/100))/Skills!D14))/100),1)*IF(C451=TRUE,(1+F451*IF(AND(Inputs!$B$39&lt;&gt;"pvp",Inputs!$B$44&gt;0),(((R451-1)*(Skills!S19*(1+((Inputs!$B$35+(ArtifactsInput!$M$7-ArtifactsInput!$M$7)*CHOOSE(ArtifactsInput!$N$7+1,6,7.2,8.4,9.6,10.8,12))+IF(Inputs!$B$3&gt;=117,F458,0))/100))+MIN((Skills!S19*(1+((Inputs!$B$35+(ArtifactsInput!$M$7-ArtifactsInput!$M$7)*CHOOSE(ArtifactsInput!$N$7+1,6,7.2,8.4,9.6,10.8,12))+IF(Inputs!$B$3&gt;=117,F458,0))/100)),MAX(0,Inputs!$B$44-((R451-1)*Skills!D19))))/Inputs!$B$44),IF(Inputs!$B$39="pvp",MIN((Skills!S19*(1+((Inputs!$B$35+(ArtifactsInput!$M$7-ArtifactsInput!$M$7)*CHOOSE(ArtifactsInput!$N$7+1,6,7.2,8.4,9.6,10.8,12))+IF(Inputs!$B$3&gt;=117,F458,0))/100)),15)/15,(Skills!S19*(1+((Inputs!$B$35+(ArtifactsInput!$M$7-ArtifactsInput!$M$7)*CHOOSE(ArtifactsInput!$N$7+1,6,7.2,8.4,9.6,10.8,12))+IF(Inputs!$B$3&gt;=117,F458,0))/100))/Skills!D19))/100),1)</f>
        <v/>
      </c>
    </row>
    <row r="463">
      <c r="A463" t="inlineStr">
        <is>
          <t>Monster Damage Taken Bonus % (Holy Fountain)</t>
        </is>
      </c>
      <c r="B463">
        <f>IF(Inputs!$B$3&gt;=68,20*IF(Inputs!$B$39="pvp",MIN((15*(1+((Inputs!$B$35+(ArtifactsInput!$M$7-ArtifactsInput!$M$7)*CHOOSE(ArtifactsInput!$N$7+1,6,7.2,8.4,9.6,10.8,12))+IF(Inputs!$B$3&gt;=117,F458,0))/100)),15)/15,(15*(1+((Inputs!$B$35+(ArtifactsInput!$M$7-ArtifactsInput!$M$7)*CHOOSE(ArtifactsInput!$N$7+1,6,7.2,8.4,9.6,10.8,12))+IF(Inputs!$B$3&gt;=117,F458,0))/100))/Skills!D10),0)</f>
        <v/>
      </c>
    </row>
    <row r="464">
      <c r="A464" t="inlineStr">
        <is>
          <t>Normal Monster Damage Bonus % (Holy Symbol)</t>
        </is>
      </c>
      <c r="B464">
        <f>IF(C444=TRUE,F444*IF(AND(Inputs!$B$39&lt;&gt;"pvp",Inputs!$B$44&gt;0),(((R444-1)*(Skills!S12*(1+((Inputs!$B$35+(ArtifactsInput!$M$7-ArtifactsInput!$M$7)*CHOOSE(ArtifactsInput!$N$7+1,6,7.2,8.4,9.6,10.8,12))+IF(Inputs!$B$3&gt;=117,F458,0))/100))+MIN((Skills!S12*(1+((Inputs!$B$35+(ArtifactsInput!$M$7-ArtifactsInput!$M$7)*CHOOSE(ArtifactsInput!$N$7+1,6,7.2,8.4,9.6,10.8,12))+IF(Inputs!$B$3&gt;=117,F458,0))/100)),MAX(0,Inputs!$B$44-((R444-1)*Skills!D12))))/Inputs!$B$44),IF(Inputs!$B$39="pvp",MIN((Skills!S12*(1+((Inputs!$B$35+(ArtifactsInput!$M$7-ArtifactsInput!$M$7)*CHOOSE(ArtifactsInput!$N$7+1,6,7.2,8.4,9.6,10.8,12))+IF(Inputs!$B$3&gt;=117,F458,0))/100)),15)/15,(Skills!S12*(1+((Inputs!$B$35+(ArtifactsInput!$M$7-ArtifactsInput!$M$7)*CHOOSE(ArtifactsInput!$N$7+1,6,7.2,8.4,9.6,10.8,12))+IF(Inputs!$B$3&gt;=117,F458,0))/100))/Skills!D12)),0)</f>
        <v/>
      </c>
    </row>
    <row r="465">
      <c r="A465" t="inlineStr">
        <is>
          <t>Damage % Bonus (Holy Symbol - Damage Boost)</t>
        </is>
      </c>
      <c r="B465">
        <f>Skills!O12</f>
        <v/>
      </c>
    </row>
    <row r="466">
      <c r="A466" t="inlineStr">
        <is>
          <t>Crit Damage % Bonus (Blood of the Divine)</t>
        </is>
      </c>
      <c r="B466">
        <f>4*IF(C452=TRUE,F452,0)</f>
        <v/>
      </c>
    </row>
    <row r="467">
      <c r="A467" t="inlineStr">
        <is>
          <t>Attack Speed Bonus %</t>
        </is>
      </c>
      <c r="B467">
        <f>IF(C449=TRUE,F449+(F453-Calc!F21),0)+IF(Inputs!$B$3&gt;=134,15,0)+((C460=TRUE)*F460*IF(AND(Inputs!$B$39&lt;&gt;"pvp",Inputs!$B$44&gt;0),(((R460-1)*(Skills!S28*(1+((Inputs!$B$35+(ArtifactsInput!$M$7-ArtifactsInput!$M$7)*CHOOSE(ArtifactsInput!$N$7+1,6,7.2,8.4,9.6,10.8,12))+IF(Inputs!$B$3&gt;=117,F458,0))/100))+MIN((Skills!S28*(1+((Inputs!$B$35+(ArtifactsInput!$M$7-ArtifactsInput!$M$7)*CHOOSE(ArtifactsInput!$N$7+1,6,7.2,8.4,9.6,10.8,12))+IF(Inputs!$B$3&gt;=117,F458,0))/100)),MAX(0,Inputs!$B$44-((R460-1)*Skills!D28))))/Inputs!$B$44),IF(Inputs!$B$39="pvp",MIN((Skills!S28*(1+((Inputs!$B$35+(ArtifactsInput!$M$7-ArtifactsInput!$M$7)*CHOOSE(ArtifactsInput!$N$7+1,6,7.2,8.4,9.6,10.8,12))+IF(Inputs!$B$3&gt;=117,F458,0))/100)),15)/15,(Skills!S28*(1+((Inputs!$B$35+(ArtifactsInput!$M$7-ArtifactsInput!$M$7)*CHOOSE(ArtifactsInput!$N$7+1,6,7.2,8.4,9.6,10.8,12))+IF(Inputs!$B$3&gt;=117,F458,0))/100))/Skills!D28)))</f>
        <v/>
      </c>
    </row>
    <row r="468">
      <c r="A468" t="inlineStr">
        <is>
          <t>Actions Per Second</t>
        </is>
      </c>
      <c r="B468">
        <f>1+MIN(150,150*(1-(1-Inputs!$B$12/150)*(1-B467/150)))/100</f>
        <v/>
      </c>
    </row>
    <row r="469">
      <c r="A469" t="inlineStr">
        <is>
          <t>Skill + Buff Cast Rate</t>
        </is>
      </c>
      <c r="B469">
        <f>IF(AND(Inputs!$B$39&lt;&gt;"pvp",Inputs!$B$44&gt;0),SUMPRODUCT((Skills!E2:E28=TRUE)*(C434:C460=TRUE)*R434:R460)/Inputs!$B$44,SUMPRODUCT((Skills!E2:E28=TRUE)*(C434:C460=TRUE)*Q434:Q460))</f>
        <v/>
      </c>
    </row>
    <row r="470">
      <c r="A470" t="inlineStr">
        <is>
          <t>Big Bang Casts Per Second</t>
        </is>
      </c>
      <c r="B470">
        <f>MAX(0,B468-B469)</f>
        <v/>
      </c>
    </row>
    <row r="471">
      <c r="A471" t="inlineStr">
        <is>
          <t>Defense % Bonus (Divine Protection)</t>
        </is>
      </c>
      <c r="B471">
        <f>IF(C445=TRUE,F445*IF(AND(Inputs!$B$39&lt;&gt;"pvp",Inputs!$B$44&gt;0),(((R445-1)*(Skills!S13*(1+((Inputs!$B$35+(ArtifactsInput!$M$7-ArtifactsInput!$M$7)*CHOOSE(ArtifactsInput!$N$7+1,6,7.2,8.4,9.6,10.8,12))+IF(Inputs!$B$3&gt;=117,F458,0))/100))+MIN((Skills!S13*(1+((Inputs!$B$35+(ArtifactsInput!$M$7-ArtifactsInput!$M$7)*CHOOSE(ArtifactsInput!$N$7+1,6,7.2,8.4,9.6,10.8,12))+IF(Inputs!$B$3&gt;=117,F458,0))/100)),MAX(0,Inputs!$B$44-((R445-1)*Skills!D13))))/Inputs!$B$44),IF(Inputs!$B$39="pvp",MIN((Skills!S13*(1+((Inputs!$B$35+(ArtifactsInput!$M$7-ArtifactsInput!$M$7)*CHOOSE(ArtifactsInput!$N$7+1,6,7.2,8.4,9.6,10.8,12))+IF(Inputs!$B$3&gt;=117,F458,0))/100)),15)/15,(Skills!S13*(1+((Inputs!$B$35+(ArtifactsInput!$M$7-ArtifactsInput!$M$7)*CHOOSE(ArtifactsInput!$N$7+1,6,7.2,8.4,9.6,10.8,12))+IF(Inputs!$B$3&gt;=117,F458,0))/100))/Skills!D13)),0)</f>
        <v/>
      </c>
    </row>
    <row r="472">
      <c r="A472" t="inlineStr">
        <is>
          <t>Buff-Casting Startup Delay (s, fixed-duration only)</t>
        </is>
      </c>
      <c r="B472">
        <f>IF(AND(Inputs!$B$39&lt;&gt;"pvp",Inputs!$B$44&gt;0),SUMPRODUCT((Skills!S2:S28&gt;0)*(Skills!E2:E28=TRUE)*(C434:C460=TRUE))/B468,0)</f>
        <v/>
      </c>
    </row>
    <row r="473">
      <c r="A473" t="inlineStr">
        <is>
          <t>Boss-Only Total DPS (this block's swept value)</t>
        </is>
      </c>
      <c r="B473">
        <f>SUM(S434:S460)</f>
        <v/>
      </c>
    </row>
    <row r="474">
      <c r="A474" t="inlineStr">
        <is>
          <t>Normal-Only Total DPS (this block's swept value)</t>
        </is>
      </c>
      <c r="B474">
        <f>SUM(U434:U460)</f>
        <v/>
      </c>
    </row>
    <row r="475">
      <c r="A475" s="6" t="inlineStr">
        <is>
          <t>TOTAL DPS</t>
        </is>
      </c>
      <c r="B475" s="6">
        <f>SUM(O434:O460)</f>
        <v/>
      </c>
    </row>
    <row r="477">
      <c r="A477" s="6" t="inlineStr">
        <is>
          <t>Stat: MIN_DAMAGE %</t>
        </is>
      </c>
    </row>
    <row r="478">
      <c r="A478" s="5" t="inlineStr">
        <is>
          <t>Key</t>
        </is>
      </c>
      <c r="B478" s="5" t="inlineStr">
        <is>
          <t>Name</t>
        </is>
      </c>
      <c r="C478" s="5" t="inlineStr">
        <is>
          <t>Unlocked</t>
        </is>
      </c>
      <c r="D478" s="5" t="inlineStr">
        <is>
          <t>InputLevel</t>
        </is>
      </c>
      <c r="E478" s="5" t="inlineStr">
        <is>
          <t>Factor</t>
        </is>
      </c>
      <c r="F478" s="5" t="inlineStr">
        <is>
          <t>CoefficientPercent</t>
        </is>
      </c>
      <c r="G478" s="5" t="inlineStr">
        <is>
          <t>EffectiveHits</t>
        </is>
      </c>
      <c r="H478" s="5" t="inlineStr">
        <is>
          <t>ProcProbability</t>
        </is>
      </c>
      <c r="I478" s="5" t="inlineStr">
        <is>
          <t>MapleHeroMultiplier</t>
        </is>
      </c>
      <c r="J478" s="5" t="inlineStr">
        <is>
          <t>BaseDamage</t>
        </is>
      </c>
      <c r="K478" s="5" t="inlineStr">
        <is>
          <t>BaseHitDamage</t>
        </is>
      </c>
      <c r="L478" s="5" t="inlineStr">
        <is>
          <t>NonCritAvg</t>
        </is>
      </c>
      <c r="M478" s="5" t="inlineStr">
        <is>
          <t>CritAvg</t>
        </is>
      </c>
      <c r="N478" s="5" t="inlineStr">
        <is>
          <t>ExpectedDamage(perHit)</t>
        </is>
      </c>
      <c r="O478" s="5" t="inlineStr">
        <is>
          <t>DPS</t>
        </is>
      </c>
      <c r="P478" s="5" t="inlineStr">
        <is>
          <t>% of Total</t>
        </is>
      </c>
      <c r="R478" t="inlineStr">
        <is>
          <t>helpers</t>
        </is>
      </c>
    </row>
    <row r="479">
      <c r="A479">
        <f>Skills!A2</f>
        <v/>
      </c>
      <c r="B479">
        <f>Skills!B2</f>
        <v/>
      </c>
      <c r="C479">
        <f>Inputs!$B$3&gt;=100</f>
        <v/>
      </c>
      <c r="D479" t="inlineStr"/>
      <c r="E479" t="inlineStr"/>
      <c r="F479">
        <f>T481+Skills!N2</f>
        <v/>
      </c>
      <c r="G479">
        <f>Calc!G2</f>
        <v/>
      </c>
      <c r="H479">
        <f>Calc!H2</f>
        <v/>
      </c>
      <c r="I479">
        <f>IF(Skills!T2&lt;&gt;"",1+(Skills!T2/10)*($Z$3/1000)/100,1)</f>
        <v/>
      </c>
      <c r="J479">
        <f>((Inputs!$B$6*(1+Inputs!$B$7/100))+(((Inputs!$B$13*(1+Inputs!$B$14/100))-(Inputs!$B$13*(1+Inputs!$B$14/100)))+0.25*(Inputs!$B$15-Inputs!$B$15))*(1+Inputs!$B$7/100))*(F479/100)</f>
        <v/>
      </c>
      <c r="K479">
        <f>J479*(1+(((Inputs!$B$13+IF(Inputs!$B$3&gt;=35,(10*INDEX(FactorTable!$B$2:$Y$301,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2="TRIUMPH_FEATHER",IF(C493=TRUE,F493,0),0)/100)*(1+IF(C504=TRUE,F504,0)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479)</f>
        <v/>
      </c>
      <c r="L479">
        <f>K479*(MIN((Inputs!$B$23+1)+(F499-Calc!F22),(Inputs!$B$24+IF(ArtifactsInput!$M$15,CHOOSE(ArtifactsInput!$N$15+1,25,30,35,40,45,50)/100*(Inputs!$B$12-Inputs!$B$12),0)))/100+(Inputs!$B$24+IF(ArtifactsInput!$M$15,CHOOSE(ArtifactsInput!$N$15+1,25,30,35,40,45,50)/100*(Inputs!$B$12-Inputs!$B$12),0))/100)/2</f>
        <v/>
      </c>
      <c r="M479">
        <f>L479*(1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9">
        <f>L479*(1-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(1-Summary!$B$11)*S479+Summary!$B$11*U479</f>
        <v/>
      </c>
      <c r="P479">
        <f>IF(B520=0,0,O479/B520)</f>
        <v/>
      </c>
      <c r="Q479">
        <f>IFERROR(1/(IF(Inputs!$B$39="pvp",15,MAX(0.1,Skills!D2-IF(Skills!E2=TRUE,Inputs!$B$33,0)))*(1-IF(AND(ArtifactsInput!$M$27,Inputs!$B$4="Chapter Hunt"),CHOOSE(ArtifactsInput!$N$27+1,20,24,28,32,36,40),0)/100)),0)</f>
        <v/>
      </c>
      <c r="R479" t="n">
        <v>0</v>
      </c>
      <c r="S479">
        <f>IF(C479,(Skills!F2*N479*B515)*IF(Inputs!$B$39="pvp",1,1+(Inputs!$B$21+Skills!O2+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479*(1-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79">
        <f>MAX(0,(Inputs!$B$3-100)*3)+Inputs!$B$29+Inputs!$B$30</f>
        <v/>
      </c>
      <c r="U479">
        <f>IF(C479,(Skills!F2*N479*B515)*IF(Inputs!$B$39="pvp",1,(1+(Inputs!$B$22+Skills!P2+B509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Skills!A3</f>
        <v/>
      </c>
      <c r="B480">
        <f>Skills!B3</f>
        <v/>
      </c>
      <c r="C480">
        <f>Inputs!$B$3&gt;=15</f>
        <v/>
      </c>
      <c r="D480">
        <f>IF(Skills!C3=1,60+Inputs!$B$26+Inputs!$B$30,IF(Skills!C3=2,90+Inputs!$B$27+Inputs!$B$30,IF(Skills!C3=3,120+Inputs!$B$28+Inputs!$B$30,MAX(0,(Inputs!$B$3-100)*3)+Inputs!$B$29+Inputs!$B$30)))</f>
        <v/>
      </c>
      <c r="E480">
        <f>INDEX(FactorTable!$B$2:$Y$301, MATCH(ROUND(MIN(300,MAX(1,D480)),0), FactorTable!$A$2:$A$301,0), Skills!L3+1)</f>
        <v/>
      </c>
      <c r="F480">
        <f>IF(Skills!M3=TRUE,(Skills!K3/10)*(E480/1000),Skills!K3/10)+Skills!N3</f>
        <v/>
      </c>
      <c r="G480">
        <f>Calc!G3</f>
        <v/>
      </c>
      <c r="H480">
        <f>Calc!H3</f>
        <v/>
      </c>
      <c r="I480">
        <f>IF(Skills!T3&lt;&gt;"",1+(Skills!T3/10)*($Z$3/1000)/100,1)</f>
        <v/>
      </c>
      <c r="J480" t="inlineStr"/>
      <c r="K480" t="inlineStr"/>
      <c r="L480" t="inlineStr"/>
      <c r="M480" t="inlineStr"/>
      <c r="N480" t="inlineStr"/>
      <c r="O480">
        <f>(1-Summary!$B$11)*S480+Summary!$B$11*U480</f>
        <v/>
      </c>
      <c r="P480">
        <f>IF(B520=0,0,O480/B520)</f>
        <v/>
      </c>
      <c r="Q480">
        <f>IFERROR(1/(IF(Inputs!$B$39="pvp",15,MAX(0.1,Skills!D3-IF(Skills!E3=TRUE,Inputs!$B$33,0)))*(1-IF(AND(ArtifactsInput!$M$27,Inputs!$B$4="Chapter Hunt"),CHOOSE(ArtifactsInput!$N$27+1,20,24,28,32,36,40),0)/100)),0)</f>
        <v/>
      </c>
      <c r="R480">
        <f>IF(AND(Inputs!$B$39&lt;&gt;"pvp",Inputs!$B$44&gt;0),IF(Inputs!$B$44&lt;=0,0,(INT(Inputs!$B$44/(IF(Inputs!$B$39="pvp",15,MAX(0.1,Skills!D3-IF(Skills!E3=TRUE,Inputs!$B$33,0)))*(1-IF(AND(ArtifactsInput!$M$27,Inputs!$B$4="Chapter Hunt"),CHOOSE(ArtifactsInput!$N$27+1,20,24,28,32,36,40),0)/100)))+1)),0)</f>
        <v/>
      </c>
      <c r="S480" t="n">
        <v>0</v>
      </c>
      <c r="T480">
        <f>INDEX(FactorTable!$B$2:$Y$301, MATCH(ROUND(MIN(300,MAX(1,T479)),0), FactorTable!$A$2:$A$301,0), 22)</f>
        <v/>
      </c>
      <c r="U480" t="n">
        <v>0</v>
      </c>
    </row>
    <row r="481">
      <c r="A481">
        <f>Skills!A4</f>
        <v/>
      </c>
      <c r="B481">
        <f>Skills!B4</f>
        <v/>
      </c>
      <c r="C481">
        <f>Inputs!$B$3&gt;=38</f>
        <v/>
      </c>
      <c r="D481">
        <f>IF(Skills!C4=1,60+Inputs!$B$26+Inputs!$B$30,IF(Skills!C4=2,90+Inputs!$B$27+Inputs!$B$30,IF(Skills!C4=3,120+Inputs!$B$28+Inputs!$B$30,MAX(0,(Inputs!$B$3-100)*3)+Inputs!$B$29+Inputs!$B$30)))</f>
        <v/>
      </c>
      <c r="E481">
        <f>INDEX(FactorTable!$B$2:$Y$301, MATCH(ROUND(MIN(300,MAX(1,D481)),0), FactorTable!$A$2:$A$301,0), Skills!L4+1)</f>
        <v/>
      </c>
      <c r="F481">
        <f>IF(Skills!M4=TRUE,(Skills!K4/10)*(E481/1000),Skills!K4/10)+Skills!N4</f>
        <v/>
      </c>
      <c r="G481">
        <f>Calc!G4</f>
        <v/>
      </c>
      <c r="H481">
        <f>Calc!H4</f>
        <v/>
      </c>
      <c r="I481">
        <f>IF(Skills!T4&lt;&gt;"",1+(Skills!T4/10)*($Z$3/1000)/100,1)</f>
        <v/>
      </c>
      <c r="J481" t="inlineStr"/>
      <c r="K481" t="inlineStr"/>
      <c r="L481" t="inlineStr"/>
      <c r="M481" t="inlineStr"/>
      <c r="N481" t="inlineStr"/>
      <c r="O481">
        <f>(1-Summary!$B$11)*S481+Summary!$B$11*U481</f>
        <v/>
      </c>
      <c r="P481">
        <f>IF(B520=0,0,O481/B520)</f>
        <v/>
      </c>
      <c r="Q481">
        <f>IFERROR(1/(IF(Inputs!$B$39="pvp",15,MAX(0.1,Skills!D4-IF(Skills!E4=TRUE,Inputs!$B$33,0)))*(1-IF(AND(ArtifactsInput!$M$27,Inputs!$B$4="Chapter Hunt"),CHOOSE(ArtifactsInput!$N$27+1,20,24,28,32,36,40),0)/100)),0)</f>
        <v/>
      </c>
      <c r="R481">
        <f>IF(AND(Inputs!$B$39&lt;&gt;"pvp",Inputs!$B$44&gt;0),IF(Inputs!$B$44&lt;=0,0,(INT(Inputs!$B$44/(IF(Inputs!$B$39="pvp",15,MAX(0.1,Skills!D4-IF(Skills!E4=TRUE,Inputs!$B$33,0)))*(1-IF(AND(ArtifactsInput!$M$27,Inputs!$B$4="Chapter Hunt"),CHOOSE(ArtifactsInput!$N$27+1,20,24,28,32,36,40),0)/100)))+1)),0)</f>
        <v/>
      </c>
      <c r="S481" t="n">
        <v>0</v>
      </c>
      <c r="T481">
        <f>290*T480/1000</f>
        <v/>
      </c>
      <c r="U481" t="n">
        <v>0</v>
      </c>
    </row>
    <row r="482">
      <c r="A482">
        <f>Skills!A5</f>
        <v/>
      </c>
      <c r="B482">
        <f>Skills!B5</f>
        <v/>
      </c>
      <c r="C482">
        <f>Inputs!$B$3&gt;=40</f>
        <v/>
      </c>
      <c r="D482">
        <f>IF(Skills!C5=1,60+Inputs!$B$26+Inputs!$B$30,IF(Skills!C5=2,90+Inputs!$B$27+Inputs!$B$30,IF(Skills!C5=3,120+Inputs!$B$28+Inputs!$B$30,MAX(0,(Inputs!$B$3-100)*3)+Inputs!$B$29+Inputs!$B$30)))</f>
        <v/>
      </c>
      <c r="E482">
        <f>INDEX(FactorTable!$B$2:$Y$301, MATCH(ROUND(MIN(300,MAX(1,D482)),0), FactorTable!$A$2:$A$301,0), Skills!L5+1)</f>
        <v/>
      </c>
      <c r="F482">
        <f>IF(Skills!M5=TRUE,(Skills!K5/10)*(E482/1000),Skills!K5/10)+Skills!N5</f>
        <v/>
      </c>
      <c r="G482">
        <f>Calc!G5</f>
        <v/>
      </c>
      <c r="H482">
        <f>Calc!H5</f>
        <v/>
      </c>
      <c r="I482">
        <f>IF(Skills!T5&lt;&gt;"",1+(Skills!T5/10)*($Z$3/1000)/100,1)</f>
        <v/>
      </c>
      <c r="J482" t="inlineStr"/>
      <c r="K482" t="inlineStr"/>
      <c r="L482" t="inlineStr"/>
      <c r="M482" t="inlineStr"/>
      <c r="N482" t="inlineStr"/>
      <c r="O482">
        <f>(1-Summary!$B$11)*S482+Summary!$B$11*U482</f>
        <v/>
      </c>
      <c r="P482">
        <f>IF(B520=0,0,O482/B520)</f>
        <v/>
      </c>
      <c r="Q482">
        <f>IFERROR(1/(IF(Inputs!$B$39="pvp",15,MAX(0.1,Skills!D5-IF(Skills!E5=TRUE,Inputs!$B$33,0)))*(1-IF(AND(ArtifactsInput!$M$27,Inputs!$B$4="Chapter Hunt"),CHOOSE(ArtifactsInput!$N$27+1,20,24,28,32,36,40),0)/100)),0)</f>
        <v/>
      </c>
      <c r="R482">
        <f>IF(AND(Inputs!$B$39&lt;&gt;"pvp",Inputs!$B$44&gt;0),IF(Inputs!$B$44&lt;=0,0,(INT(Inputs!$B$44/(IF(Inputs!$B$39="pvp",15,MAX(0.1,Skills!D5-IF(Skills!E5=TRUE,Inputs!$B$33,0)))*(1-IF(AND(ArtifactsInput!$M$27,Inputs!$B$4="Chapter Hunt"),CHOOSE(ArtifactsInput!$N$27+1,20,24,28,32,36,40),0)/100)))+1)),0)</f>
        <v/>
      </c>
      <c r="S482" t="n">
        <v>0</v>
      </c>
      <c r="U482" t="n">
        <v>0</v>
      </c>
    </row>
    <row r="483">
      <c r="A483">
        <f>Skills!A6</f>
        <v/>
      </c>
      <c r="B483">
        <f>Skills!B6</f>
        <v/>
      </c>
      <c r="C483">
        <f>Inputs!$B$3&gt;=103</f>
        <v/>
      </c>
      <c r="D483">
        <f>IF(Skills!C6=1,60+Inputs!$B$26+Inputs!$B$30,IF(Skills!C6=2,90+Inputs!$B$27+Inputs!$B$30,IF(Skills!C6=3,120+Inputs!$B$28+Inputs!$B$30,MAX(0,(Inputs!$B$3-100)*3)+Inputs!$B$29+Inputs!$B$30)))</f>
        <v/>
      </c>
      <c r="E483">
        <f>INDEX(FactorTable!$B$2:$Y$301, MATCH(ROUND(MIN(300,MAX(1,D483)),0), FactorTable!$A$2:$A$301,0), Skills!L6+1)</f>
        <v/>
      </c>
      <c r="F483">
        <f>IF(Skills!M6=TRUE,(Skills!K6/10)*(E483/1000),Skills!K6/10)+Skills!N6</f>
        <v/>
      </c>
      <c r="G483">
        <f>Calc!G6</f>
        <v/>
      </c>
      <c r="H483">
        <f>Calc!H6</f>
        <v/>
      </c>
      <c r="I483">
        <f>IF(Skills!T6&lt;&gt;"",1+(Skills!T6/10)*($Z$3/1000)/100,1)</f>
        <v/>
      </c>
      <c r="J483">
        <f>((Inputs!$B$6*(1+Inputs!$B$7/100))+(((Inputs!$B$13*(1+Inputs!$B$14/100))-(Inputs!$B$13*(1+Inputs!$B$14/100)))+0.25*(Inputs!$B$15-Inputs!$B$15))*(1+Inputs!$B$7/100))*(F483/100)</f>
        <v/>
      </c>
      <c r="K483">
        <f>J483*(1+(((Inputs!$B$13+IF(Inputs!$B$3&gt;=35,(10*INDEX(FactorTable!$B$2:$Y$301,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6="TRIUMPH_FEATHER",IF(C493=TRUE,F493,0),0)/100)*(1+IF(C504=TRUE,F504,0)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483)</f>
        <v/>
      </c>
      <c r="L483">
        <f>K483*(MIN((Inputs!$B$23+1)+(F499-Calc!F22),(Inputs!$B$24+IF(ArtifactsInput!$M$15,CHOOSE(ArtifactsInput!$N$15+1,25,30,35,40,45,50)/100*(Inputs!$B$12-Inputs!$B$12),0)))/100+(Inputs!$B$24+IF(ArtifactsInput!$M$15,CHOOSE(ArtifactsInput!$N$15+1,25,30,35,40,45,50)/100*(Inputs!$B$12-Inputs!$B$12),0))/100)/2</f>
        <v/>
      </c>
      <c r="M483">
        <f>L483*(1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3">
        <f>L483*(1-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(1-Summary!$B$11)*S483+Summary!$B$11*U483</f>
        <v/>
      </c>
      <c r="P483">
        <f>IF(B520=0,0,O483/B520)</f>
        <v/>
      </c>
      <c r="Q483">
        <f>IFERROR(1/(IF(Inputs!$B$39="pvp",15,MAX(0.1,Skills!D6-IF(Skills!E6=TRUE,Inputs!$B$33,0)))*(1-IF(AND(ArtifactsInput!$M$27,Inputs!$B$4="Chapter Hunt"),CHOOSE(ArtifactsInput!$N$27+1,20,24,28,32,36,40),0)/100)),0)</f>
        <v/>
      </c>
      <c r="R483">
        <f>IF(AND(Inputs!$B$39&lt;&gt;"pvp",Inputs!$B$44&gt;0),IF(MAX(0,Inputs!$B$44-B517)&lt;=0,0,(INT(MAX(0,Inputs!$B$44-B517)/(IF(Inputs!$B$39="pvp",15,MAX(0.1,Skills!D6-IF(Skills!E6=TRUE,Inputs!$B$33,0)))*(1-IF(AND(ArtifactsInput!$M$27,Inputs!$B$4="Chapter Hunt"),CHOOSE(ArtifactsInput!$N$27+1,20,24,28,32,36,40),0)/100)))+1)),0)</f>
        <v/>
      </c>
      <c r="S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$21+Skills!O6+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483*(1-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$22+Skills!P6+B509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Skills!A7</f>
        <v/>
      </c>
      <c r="B484">
        <f>Skills!B7</f>
        <v/>
      </c>
      <c r="C484">
        <f>Inputs!$B$3&gt;=122</f>
        <v/>
      </c>
      <c r="D484">
        <f>IF(Skills!C7=1,60+Inputs!$B$26+Inputs!$B$30,IF(Skills!C7=2,90+Inputs!$B$27+Inputs!$B$30,IF(Skills!C7=3,120+Inputs!$B$28+Inputs!$B$30,MAX(0,(Inputs!$B$3-100)*3)+Inputs!$B$29+Inputs!$B$30)))</f>
        <v/>
      </c>
      <c r="E484">
        <f>INDEX(FactorTable!$B$2:$Y$301, MATCH(ROUND(MIN(300,MAX(1,D484)),0), FactorTable!$A$2:$A$301,0), Skills!L7+1)</f>
        <v/>
      </c>
      <c r="F484">
        <f>IF(Skills!M7=TRUE,(Skills!K7/10)*(E484/1000),Skills!K7/10)+Skills!N7</f>
        <v/>
      </c>
      <c r="G484">
        <f>Calc!G7</f>
        <v/>
      </c>
      <c r="H484">
        <f>Calc!H7</f>
        <v/>
      </c>
      <c r="I484">
        <f>IF(Skills!T7&lt;&gt;"",1+(Skills!T7/10)*($Z$3/1000)/100,1)</f>
        <v/>
      </c>
      <c r="J484">
        <f>((Inputs!$B$6*(1+Inputs!$B$7/100))+(((Inputs!$B$13*(1+Inputs!$B$14/100))-(Inputs!$B$13*(1+Inputs!$B$14/100)))+0.25*(Inputs!$B$15-Inputs!$B$15))*(1+Inputs!$B$7/100))*(F484/100)</f>
        <v/>
      </c>
      <c r="K484">
        <f>J484*(1+(((Inputs!$B$13+IF(Inputs!$B$3&gt;=35,(10*INDEX(FactorTable!$B$2:$Y$301,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7="TRIUMPH_FEATHER",IF(C493=TRUE,F493,0),0)/100)*(1+IF(C504=TRUE,F504,0)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484)</f>
        <v/>
      </c>
      <c r="L484">
        <f>K484*(MIN((Inputs!$B$23+1)+(F499-Calc!F22),(Inputs!$B$24+IF(ArtifactsInput!$M$15,CHOOSE(ArtifactsInput!$N$15+1,25,30,35,40,45,50)/100*(Inputs!$B$12-Inputs!$B$12),0)))/100+(Inputs!$B$24+IF(ArtifactsInput!$M$15,CHOOSE(ArtifactsInput!$N$15+1,25,30,35,40,45,50)/100*(Inputs!$B$12-Inputs!$B$12),0))/100)/2</f>
        <v/>
      </c>
      <c r="M484">
        <f>L484*(1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4">
        <f>L484*(1-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(1-Summary!$B$11)*S484+Summary!$B$11*U484</f>
        <v/>
      </c>
      <c r="P484">
        <f>IF(B520=0,0,O484/B520)</f>
        <v/>
      </c>
      <c r="Q484">
        <f>IFERROR(1/(IF(Inputs!$B$39="pvp",15,MAX(0.1,Skills!D7-IF(Skills!E6=TRUE,Inputs!$B$33,0)))*(1-IF(AND(ArtifactsInput!$M$27,Inputs!$B$4="Chapter Hunt"),CHOOSE(ArtifactsInput!$N$27+1,20,24,28,32,36,40),0)/100)),0)</f>
        <v/>
      </c>
      <c r="R484">
        <f>IF(AND(Inputs!$B$39&lt;&gt;"pvp",Inputs!$B$44&gt;0),IF(MAX(0,Inputs!$B$44-B517)&lt;=0,0,(INT(MAX(0,Inputs!$B$44-B517)/(IF(Inputs!$B$39="pvp",15,MAX(0.1,Skills!D7-IF(Skills!E6=TRUE,Inputs!$B$33,0)))*(1-IF(AND(ArtifactsInput!$M$27,Inputs!$B$4="Chapter Hunt"),CHOOSE(ArtifactsInput!$N$27+1,20,24,28,32,36,40),0)/100)))+1)),0)</f>
        <v/>
      </c>
      <c r="S484">
        <f>IF(C484,H484*N484*IF(AND(Inputs!$B$39&lt;&gt;"pvp",Inputs!$B$44&gt;0),((Skills!F7*((R484-1)*IF(Skills!G7&gt;0,Skills!H7/Skills!G7,1)+IF(Skills!G7&gt;0,MIN(Skills!H7,MAX(0,MAX(0,Inputs!$B$44-B517)-((R484-1)*(IF(Inputs!$B$39="pvp",15,MAX(0.1,Skills!D7-IF(Skills!E6=TRUE,Inputs!$B$33,0)))*(1-IF(AND(ArtifactsInput!$M$27,Inputs!$B$4="Chapter Hunt"),CHOOSE(ArtifactsInput!$N$27+1,20,24,28,32,36,40),0)/100)))))/Skills!G7,1)))/Inputs!$B$44),G484*Q484)*IF(Inputs!$B$39="pvp",1,1+(Inputs!$B$21+Skills!O7+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484*(1-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4" t="n">
        <v>0</v>
      </c>
    </row>
    <row r="485">
      <c r="A485">
        <f>Skills!A8</f>
        <v/>
      </c>
      <c r="B485">
        <f>Skills!B8</f>
        <v/>
      </c>
      <c r="C485">
        <f>Inputs!$B$3&gt;=105</f>
        <v/>
      </c>
      <c r="D485">
        <f>IF(Skills!C8=1,60+Inputs!$B$26+Inputs!$B$30,IF(Skills!C8=2,90+Inputs!$B$27+Inputs!$B$30,IF(Skills!C8=3,120+Inputs!$B$28+Inputs!$B$30,MAX(0,(Inputs!$B$3-100)*3)+Inputs!$B$29+Inputs!$B$30)))</f>
        <v/>
      </c>
      <c r="E485">
        <f>INDEX(FactorTable!$B$2:$Y$301, MATCH(ROUND(MIN(300,MAX(1,D485)),0), FactorTable!$A$2:$A$301,0), Skills!L8+1)</f>
        <v/>
      </c>
      <c r="F485">
        <f>IF(Skills!M8=TRUE,(Skills!K8/10)*(E485/1000),Skills!K8/10)+Skills!N8</f>
        <v/>
      </c>
      <c r="G485">
        <f>Calc!G8</f>
        <v/>
      </c>
      <c r="H485">
        <f>Calc!H8</f>
        <v/>
      </c>
      <c r="I485">
        <f>IF(Skills!T8&lt;&gt;"",1+(Skills!T8/10)*($Z$3/1000)/100,1)</f>
        <v/>
      </c>
      <c r="J485">
        <f>((Inputs!$B$6*(1+Inputs!$B$7/100))+(((Inputs!$B$13*(1+Inputs!$B$14/100))-(Inputs!$B$13*(1+Inputs!$B$14/100)))+0.25*(Inputs!$B$15-Inputs!$B$15))*(1+Inputs!$B$7/100))*(F485/100)</f>
        <v/>
      </c>
      <c r="K485">
        <f>J485*(1+(((Inputs!$B$13+IF(Inputs!$B$3&gt;=35,(10*INDEX(FactorTable!$B$2:$Y$301,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8="TRIUMPH_FEATHER",IF(C493=TRUE,F493,0),0)/100)*(1+IF(C504=TRUE,F504,0)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485)</f>
        <v/>
      </c>
      <c r="L485">
        <f>K485*(MIN((Inputs!$B$23+1)+(F499-Calc!F22),(Inputs!$B$24+IF(ArtifactsInput!$M$15,CHOOSE(ArtifactsInput!$N$15+1,25,30,35,40,45,50)/100*(Inputs!$B$12-Inputs!$B$12),0)))/100+(Inputs!$B$24+IF(ArtifactsInput!$M$15,CHOOSE(ArtifactsInput!$N$15+1,25,30,35,40,45,50)/100*(Inputs!$B$12-Inputs!$B$12),0))/100)/2</f>
        <v/>
      </c>
      <c r="M485">
        <f>L485*(1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5">
        <f>L485*(1-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485*(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5">
        <f>(1-Summary!$B$11)*S485+Summary!$B$11*U485</f>
        <v/>
      </c>
      <c r="P485">
        <f>IF(B520=0,0,O485/B520)</f>
        <v/>
      </c>
      <c r="Q485">
        <f>IFERROR(1/(IF(Inputs!$B$39="pvp",15,MAX(0.1,Skills!D8-IF(Skills!E8=TRUE,Inputs!$B$33,0)))*(1-IF(AND(ArtifactsInput!$M$27,Inputs!$B$4="Chapter Hunt"),CHOOSE(ArtifactsInput!$N$27+1,20,24,28,32,36,40),0)/100)),0)</f>
        <v/>
      </c>
      <c r="R485">
        <f>IF(AND(Inputs!$B$39&lt;&gt;"pvp",Inputs!$B$44&gt;0),IF(MAX(0,Inputs!$B$44-B517)&lt;=0,0,(INT(MAX(0,Inputs!$B$44-B517)/(IF(Inputs!$B$39="pvp",15,MAX(0.1,Skills!D8-IF(Skills!E8=TRUE,Inputs!$B$33,0)))*(1-IF(AND(ArtifactsInput!$M$27,Inputs!$B$4="Chapter Hunt"),CHOOSE(ArtifactsInput!$N$27+1,20,24,28,32,36,40),0)/100)))+1)),0)</f>
        <v/>
      </c>
      <c r="S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$21+Skills!O8+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485*(1-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485*(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485*(1-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485*(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$22+Skills!P8+B509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6">
      <c r="A486">
        <f>Skills!A9</f>
        <v/>
      </c>
      <c r="B486">
        <f>Skills!B9</f>
        <v/>
      </c>
      <c r="C486">
        <f>Inputs!$B$3&gt;=115</f>
        <v/>
      </c>
      <c r="D486">
        <f>IF(Skills!C9=1,60+Inputs!$B$26+Inputs!$B$30,IF(Skills!C9=2,90+Inputs!$B$27+Inputs!$B$30,IF(Skills!C9=3,120+Inputs!$B$28+Inputs!$B$30,MAX(0,(Inputs!$B$3-100)*3)+Inputs!$B$29+Inputs!$B$30)))</f>
        <v/>
      </c>
      <c r="E486">
        <f>INDEX(FactorTable!$B$2:$Y$301, MATCH(ROUND(MIN(300,MAX(1,D486)),0), FactorTable!$A$2:$A$301,0), Skills!L9+1)</f>
        <v/>
      </c>
      <c r="F486">
        <f>IF(Skills!M9=TRUE,(Skills!K9/10)*(E486/1000),Skills!K9/10)+Skills!N9</f>
        <v/>
      </c>
      <c r="G486">
        <f>Calc!G9</f>
        <v/>
      </c>
      <c r="H486">
        <f>Calc!H9</f>
        <v/>
      </c>
      <c r="I486">
        <f>IF(Skills!T9&lt;&gt;"",1+(Skills!T9/10)*($Z$3/1000)/100,1)</f>
        <v/>
      </c>
      <c r="J486">
        <f>((Inputs!$B$6*(1+Inputs!$B$7/100))+(((Inputs!$B$13*(1+Inputs!$B$14/100))-(Inputs!$B$13*(1+Inputs!$B$14/100)))+0.25*(Inputs!$B$15-Inputs!$B$15))*(1+Inputs!$B$7/100))*(F486/100)</f>
        <v/>
      </c>
      <c r="K486">
        <f>J486*(1+(((Inputs!$B$13+IF(Inputs!$B$3&gt;=35,(10*INDEX(FactorTable!$B$2:$Y$301,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9="TRIUMPH_FEATHER",IF(C493=TRUE,F493,0),0)/100)*(1+IF(C504=TRUE,F504,0)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486)</f>
        <v/>
      </c>
      <c r="L486">
        <f>K486*(MIN((Inputs!$B$23+1)+(F499-Calc!F22),(Inputs!$B$24+IF(ArtifactsInput!$M$15,CHOOSE(ArtifactsInput!$N$15+1,25,30,35,40,45,50)/100*(Inputs!$B$12-Inputs!$B$12),0)))/100+(Inputs!$B$24+IF(ArtifactsInput!$M$15,CHOOSE(ArtifactsInput!$N$15+1,25,30,35,40,45,50)/100*(Inputs!$B$12-Inputs!$B$12),0))/100)/2</f>
        <v/>
      </c>
      <c r="M486">
        <f>L486*(1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6">
        <f>L486*(1-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(1-Summary!$B$11)*S486+Summary!$B$11*U486</f>
        <v/>
      </c>
      <c r="P486">
        <f>IF(B520=0,0,O486/B520)</f>
        <v/>
      </c>
      <c r="Q486">
        <f>IFERROR(1/(IF(Inputs!$B$39="pvp",15,MAX(0.1,Skills!D9-IF(Skills!E9=TRUE,Inputs!$B$33,0)))*(1-IF(AND(ArtifactsInput!$M$27,Inputs!$B$4="Chapter Hunt"),CHOOSE(ArtifactsInput!$N$27+1,20,24,28,32,36,40),0)/100)),0)</f>
        <v/>
      </c>
      <c r="R486">
        <f>IF(AND(Inputs!$B$39&lt;&gt;"pvp",Inputs!$B$44&gt;0),IF(MAX(0,Inputs!$B$44-B517)&lt;=0,0,(INT(MAX(0,Inputs!$B$44-B517)/(IF(Inputs!$B$39="pvp",15,MAX(0.1,Skills!D9-IF(Skills!E9=TRUE,Inputs!$B$33,0)))*(1-IF(AND(ArtifactsInput!$M$27,Inputs!$B$4="Chapter Hunt"),CHOOSE(ArtifactsInput!$N$27+1,20,24,28,32,36,40),0)/100)))+1)),0)</f>
        <v/>
      </c>
      <c r="S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$21+Skills!O9+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486*(1-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$22+Skills!P9+B509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Skills!A10</f>
        <v/>
      </c>
      <c r="B487">
        <f>Skills!B10</f>
        <v/>
      </c>
      <c r="C487">
        <f>Inputs!$B$3&gt;=66</f>
        <v/>
      </c>
      <c r="D487">
        <f>IF(Skills!C10=1,60+Inputs!$B$26+Inputs!$B$30,IF(Skills!C10=2,90+Inputs!$B$27+Inputs!$B$30,IF(Skills!C10=3,120+Inputs!$B$28+Inputs!$B$30,MAX(0,(Inputs!$B$3-100)*3)+Inputs!$B$29+Inputs!$B$30)))</f>
        <v/>
      </c>
      <c r="E487">
        <f>INDEX(FactorTable!$B$2:$Y$301, MATCH(ROUND(MIN(300,MAX(1,D487)),0), FactorTable!$A$2:$A$301,0), Skills!L10+1)</f>
        <v/>
      </c>
      <c r="F487" t="n">
        <v>0</v>
      </c>
      <c r="G487">
        <f>Calc!G10</f>
        <v/>
      </c>
      <c r="H487">
        <f>Calc!H10</f>
        <v/>
      </c>
      <c r="I487">
        <f>IF(Skills!T10&lt;&gt;"",1+(Skills!T10/10)*($Z$3/1000)/100,1)</f>
        <v/>
      </c>
      <c r="J487" t="inlineStr"/>
      <c r="K487" t="inlineStr"/>
      <c r="L487" t="inlineStr"/>
      <c r="M487" t="inlineStr"/>
      <c r="N487" t="inlineStr"/>
      <c r="O487">
        <f>(1-Summary!$B$11)*S487+Summary!$B$11*U487</f>
        <v/>
      </c>
      <c r="P487">
        <f>IF(B520=0,0,O487/B520)</f>
        <v/>
      </c>
      <c r="Q487">
        <f>IFERROR(1/(IF(Inputs!$B$39="pvp",15,MAX(0.1,Skills!D10-IF(Skills!E10=TRUE,Inputs!$B$33,0)))*(1-IF(AND(ArtifactsInput!$M$27,Inputs!$B$4="Chapter Hunt"),CHOOSE(ArtifactsInput!$N$27+1,20,24,28,32,36,40),0)/100)),0)</f>
        <v/>
      </c>
      <c r="R487">
        <f>IF(AND(Inputs!$B$39&lt;&gt;"pvp",Inputs!$B$44&gt;0),IF(MAX(0,Inputs!$B$44-B517)&lt;=0,0,(INT(MAX(0,Inputs!$B$44-B517)/(IF(Inputs!$B$39="pvp",15,MAX(0.1,Skills!D10-IF(Skills!E10=TRUE,Inputs!$B$33,0)))*(1-IF(AND(ArtifactsInput!$M$27,Inputs!$B$4="Chapter Hunt"),CHOOSE(ArtifactsInput!$N$27+1,20,24,28,32,36,40),0)/100)))+1)),0)</f>
        <v/>
      </c>
      <c r="S487" t="n">
        <v>0</v>
      </c>
      <c r="U487" t="n">
        <v>0</v>
      </c>
    </row>
    <row r="488">
      <c r="A488">
        <f>Skills!A11</f>
        <v/>
      </c>
      <c r="B488">
        <f>Skills!B11</f>
        <v/>
      </c>
      <c r="C488">
        <f>Inputs!$B$3&gt;=69</f>
        <v/>
      </c>
      <c r="D488">
        <f>IF(Skills!C11=1,60+Inputs!$B$26+Inputs!$B$30,IF(Skills!C11=2,90+Inputs!$B$27+Inputs!$B$30,IF(Skills!C11=3,120+Inputs!$B$28+Inputs!$B$30,MAX(0,(Inputs!$B$3-100)*3)+Inputs!$B$29+Inputs!$B$30)))</f>
        <v/>
      </c>
      <c r="E488">
        <f>INDEX(FactorTable!$B$2:$Y$301, MATCH(ROUND(MIN(300,MAX(1,D488)),0), FactorTable!$A$2:$A$301,0), Skills!L11+1)</f>
        <v/>
      </c>
      <c r="F488">
        <f>IF(Skills!M11=TRUE,(Skills!K11/10)*(E488/1000),Skills!K11/10)+Skills!N11</f>
        <v/>
      </c>
      <c r="G488">
        <f>Calc!G11</f>
        <v/>
      </c>
      <c r="H488">
        <f>Calc!H11</f>
        <v/>
      </c>
      <c r="I488">
        <f>IF(Skills!T11&lt;&gt;"",1+(Skills!T11/10)*($Z$3/1000)/100,1)</f>
        <v/>
      </c>
      <c r="J488" t="inlineStr"/>
      <c r="K488" t="inlineStr"/>
      <c r="L488" t="inlineStr"/>
      <c r="M488" t="inlineStr"/>
      <c r="N488" t="inlineStr"/>
      <c r="O488">
        <f>(1-Summary!$B$11)*S488+Summary!$B$11*U488</f>
        <v/>
      </c>
      <c r="P488">
        <f>IF(B520=0,0,O488/B520)</f>
        <v/>
      </c>
      <c r="Q488">
        <f>IFERROR(1/(IF(Inputs!$B$39="pvp",15,MAX(0.1,Skills!D11-IF(Skills!E11=TRUE,Inputs!$B$33,0)))*(1-IF(AND(ArtifactsInput!$M$27,Inputs!$B$4="Chapter Hunt"),CHOOSE(ArtifactsInput!$N$27+1,20,24,28,32,36,40),0)/100)),0)</f>
        <v/>
      </c>
      <c r="R488">
        <f>IF(AND(Inputs!$B$39&lt;&gt;"pvp",Inputs!$B$44&gt;0),IF(Inputs!$B$44&lt;=0,0,(INT(Inputs!$B$44/(IF(Inputs!$B$39="pvp",15,MAX(0.1,Skills!D11-IF(Skills!E11=TRUE,Inputs!$B$33,0)))*(1-IF(AND(ArtifactsInput!$M$27,Inputs!$B$4="Chapter Hunt"),CHOOSE(ArtifactsInput!$N$27+1,20,24,28,32,36,40),0)/100)))+1)),0)</f>
        <v/>
      </c>
      <c r="S488" t="n">
        <v>0</v>
      </c>
      <c r="U488" t="n">
        <v>0</v>
      </c>
    </row>
    <row r="489">
      <c r="A489">
        <f>Skills!A12</f>
        <v/>
      </c>
      <c r="B489">
        <f>Skills!B12</f>
        <v/>
      </c>
      <c r="C489">
        <f>Inputs!$B$3&gt;=72</f>
        <v/>
      </c>
      <c r="D489">
        <f>IF(Skills!C12=1,60+Inputs!$B$26+Inputs!$B$30,IF(Skills!C12=2,90+Inputs!$B$27+Inputs!$B$30,IF(Skills!C12=3,120+Inputs!$B$28+Inputs!$B$30,MAX(0,(Inputs!$B$3-100)*3)+Inputs!$B$29+Inputs!$B$30)))</f>
        <v/>
      </c>
      <c r="E489">
        <f>INDEX(FactorTable!$B$2:$Y$301, MATCH(ROUND(MIN(300,MAX(1,D489)),0), FactorTable!$A$2:$A$301,0), Skills!L12+1)</f>
        <v/>
      </c>
      <c r="F489">
        <f>IF(Skills!M12=TRUE,(Skills!K12/10)*(E489/1000),Skills!K12/10)+Skills!N12</f>
        <v/>
      </c>
      <c r="G489">
        <f>Calc!G12</f>
        <v/>
      </c>
      <c r="H489">
        <f>Calc!H12</f>
        <v/>
      </c>
      <c r="I489">
        <f>IF(Skills!T12&lt;&gt;"",1+(Skills!T12/10)*($Z$3/1000)/100,1)</f>
        <v/>
      </c>
      <c r="J489" t="inlineStr"/>
      <c r="K489" t="inlineStr"/>
      <c r="L489" t="inlineStr"/>
      <c r="M489" t="inlineStr"/>
      <c r="N489" t="inlineStr"/>
      <c r="O489">
        <f>(1-Summary!$B$11)*S489+Summary!$B$11*U489</f>
        <v/>
      </c>
      <c r="P489">
        <f>IF(B520=0,0,O489/B520)</f>
        <v/>
      </c>
      <c r="Q489">
        <f>IFERROR(1/(IF(Inputs!$B$39="pvp",15,MAX(0.1,Skills!D12-IF(Skills!E12=TRUE,Inputs!$B$33,0)))*(1-IF(AND(ArtifactsInput!$M$27,Inputs!$B$4="Chapter Hunt"),CHOOSE(ArtifactsInput!$N$27+1,20,24,28,32,36,40),0)/100)),0)</f>
        <v/>
      </c>
      <c r="R489">
        <f>IF(AND(Inputs!$B$39&lt;&gt;"pvp",Inputs!$B$44&gt;0),IF(MAX(0,Inputs!$B$44-B517)&lt;=0,0,(INT(MAX(0,Inputs!$B$44-B517)/(IF(Inputs!$B$39="pvp",15,MAX(0.1,Skills!D12-IF(Skills!E12=TRUE,Inputs!$B$33,0)))*(1-IF(AND(ArtifactsInput!$M$27,Inputs!$B$4="Chapter Hunt"),CHOOSE(ArtifactsInput!$N$27+1,20,24,28,32,36,40),0)/100)))+1)),0)</f>
        <v/>
      </c>
      <c r="S489" t="n">
        <v>0</v>
      </c>
      <c r="U489" t="n">
        <v>0</v>
      </c>
    </row>
    <row r="490">
      <c r="A490">
        <f>Skills!A13</f>
        <v/>
      </c>
      <c r="B490">
        <f>Skills!B13</f>
        <v/>
      </c>
      <c r="C490">
        <f>Inputs!$B$3&gt;=60</f>
        <v/>
      </c>
      <c r="D490">
        <f>IF(Skills!C13=1,60+Inputs!$B$26+Inputs!$B$30,IF(Skills!C13=2,90+Inputs!$B$27+Inputs!$B$30,IF(Skills!C13=3,120+Inputs!$B$28+Inputs!$B$30,MAX(0,(Inputs!$B$3-100)*3)+Inputs!$B$29+Inputs!$B$30)))</f>
        <v/>
      </c>
      <c r="E490">
        <f>INDEX(FactorTable!$B$2:$Y$301, MATCH(ROUND(MIN(300,MAX(1,D490)),0), FactorTable!$A$2:$A$301,0), Skills!L13+1)</f>
        <v/>
      </c>
      <c r="F490">
        <f>IF(Skills!M13=TRUE,(Skills!K13/10)*(E490/1000),Skills!K13/10)+Skills!N13</f>
        <v/>
      </c>
      <c r="G490">
        <f>Calc!G13</f>
        <v/>
      </c>
      <c r="H490">
        <f>Calc!H13</f>
        <v/>
      </c>
      <c r="I490">
        <f>IF(Skills!T13&lt;&gt;"",1+(Skills!T13/10)*($Z$3/1000)/100,1)</f>
        <v/>
      </c>
      <c r="J490" t="inlineStr"/>
      <c r="K490" t="inlineStr"/>
      <c r="L490" t="inlineStr"/>
      <c r="M490" t="inlineStr"/>
      <c r="N490" t="inlineStr"/>
      <c r="O490">
        <f>(1-Summary!$B$11)*S490+Summary!$B$11*U490</f>
        <v/>
      </c>
      <c r="P490">
        <f>IF(B520=0,0,O490/B520)</f>
        <v/>
      </c>
      <c r="Q490">
        <f>IFERROR(1/(IF(Inputs!$B$39="pvp",15,MAX(0.1,Skills!D13-IF(Skills!E13=TRUE,Inputs!$B$33,0)))*(1-IF(AND(ArtifactsInput!$M$27,Inputs!$B$4="Chapter Hunt"),CHOOSE(ArtifactsInput!$N$27+1,20,24,28,32,36,40),0)/100)),0)</f>
        <v/>
      </c>
      <c r="R490">
        <f>IF(AND(Inputs!$B$39&lt;&gt;"pvp",Inputs!$B$44&gt;0),IF(MAX(0,Inputs!$B$44-B517)&lt;=0,0,(INT(MAX(0,Inputs!$B$44-B517)/(IF(Inputs!$B$39="pvp",15,MAX(0.1,Skills!D13-IF(Skills!E13=TRUE,Inputs!$B$33,0)))*(1-IF(AND(ArtifactsInput!$M$27,Inputs!$B$4="Chapter Hunt"),CHOOSE(ArtifactsInput!$N$27+1,20,24,28,32,36,40),0)/100)))+1)),0)</f>
        <v/>
      </c>
      <c r="S490" t="n">
        <v>0</v>
      </c>
      <c r="U490" t="n">
        <v>0</v>
      </c>
    </row>
    <row r="491">
      <c r="A491">
        <f>Skills!A14</f>
        <v/>
      </c>
      <c r="B491">
        <f>Skills!B14</f>
        <v/>
      </c>
      <c r="C491">
        <f>Inputs!$B$3&gt;=107</f>
        <v/>
      </c>
      <c r="D491">
        <f>IF(Skills!C14=1,60+Inputs!$B$26+Inputs!$B$30,IF(Skills!C14=2,90+Inputs!$B$27+Inputs!$B$30,IF(Skills!C14=3,120+Inputs!$B$28+Inputs!$B$30,MAX(0,(Inputs!$B$3-100)*3)+Inputs!$B$29+Inputs!$B$30)))</f>
        <v/>
      </c>
      <c r="E491">
        <f>INDEX(FactorTable!$B$2:$Y$301, MATCH(ROUND(MIN(300,MAX(1,D491)),0), FactorTable!$A$2:$A$301,0), Skills!L14+1)</f>
        <v/>
      </c>
      <c r="F491">
        <f>IF(Skills!M14=TRUE,(Skills!K14/10)*(E491/1000),Skills!K14/10)+Skills!N14</f>
        <v/>
      </c>
      <c r="G491">
        <f>Calc!G14</f>
        <v/>
      </c>
      <c r="H491">
        <f>Calc!H14</f>
        <v/>
      </c>
      <c r="I491">
        <f>IF(Skills!T14&lt;&gt;"",1+(Skills!T14/10)*($Z$3/1000)/100,1)</f>
        <v/>
      </c>
      <c r="J491" t="inlineStr"/>
      <c r="K491" t="inlineStr"/>
      <c r="L491" t="inlineStr"/>
      <c r="M491" t="inlineStr"/>
      <c r="N491" t="inlineStr"/>
      <c r="O491">
        <f>(1-Summary!$B$11)*S491+Summary!$B$11*U491</f>
        <v/>
      </c>
      <c r="P491">
        <f>IF(B520=0,0,O491/B520)</f>
        <v/>
      </c>
      <c r="Q491">
        <f>IFERROR(1/(IF(Inputs!$B$39="pvp",15,MAX(0.1,Skills!D14-IF(Skills!E14=TRUE,Inputs!$B$33,0)))*(1-IF(AND(ArtifactsInput!$M$27,Inputs!$B$4="Chapter Hunt"),CHOOSE(ArtifactsInput!$N$27+1,20,24,28,32,36,40),0)/100)),0)</f>
        <v/>
      </c>
      <c r="R491">
        <f>IF(AND(Inputs!$B$39&lt;&gt;"pvp",Inputs!$B$44&gt;0),IF(Inputs!$B$44&lt;=0,0,(INT(Inputs!$B$44/(IF(Inputs!$B$39="pvp",15,MAX(0.1,Skills!D14-IF(Skills!E14=TRUE,Inputs!$B$33,0)))*(1-IF(AND(ArtifactsInput!$M$27,Inputs!$B$4="Chapter Hunt"),CHOOSE(ArtifactsInput!$N$27+1,20,24,28,32,36,40),0)/100)))+1)),0)</f>
        <v/>
      </c>
      <c r="S491" t="n">
        <v>0</v>
      </c>
      <c r="U491" t="n">
        <v>0</v>
      </c>
    </row>
    <row r="492">
      <c r="A492">
        <f>Skills!A15</f>
        <v/>
      </c>
      <c r="B492">
        <f>Skills!B15</f>
        <v/>
      </c>
      <c r="C492">
        <f>Inputs!$B$3&gt;=63</f>
        <v/>
      </c>
      <c r="D492">
        <f>IF(Skills!C15=1,60+Inputs!$B$26+Inputs!$B$30,IF(Skills!C15=2,90+Inputs!$B$27+Inputs!$B$30,IF(Skills!C15=3,120+Inputs!$B$28+Inputs!$B$30,MAX(0,(Inputs!$B$3-100)*3)+Inputs!$B$29+Inputs!$B$30)))</f>
        <v/>
      </c>
      <c r="E492">
        <f>INDEX(FactorTable!$B$2:$Y$301, MATCH(ROUND(MIN(300,MAX(1,D492)),0), FactorTable!$A$2:$A$301,0), Skills!L15+1)</f>
        <v/>
      </c>
      <c r="F492">
        <f>IF(Skills!M15=TRUE,(Skills!K15/10)*(E492/1000),Skills!K15/10)+Skills!N15</f>
        <v/>
      </c>
      <c r="G492">
        <f>Calc!G15</f>
        <v/>
      </c>
      <c r="H492">
        <f>Calc!H15</f>
        <v/>
      </c>
      <c r="I492">
        <f>IF(Skills!T15&lt;&gt;"",1+(Skills!T15/10)*($Z$3/1000)/100,1)</f>
        <v/>
      </c>
      <c r="J492">
        <f>((Inputs!$B$6*(1+Inputs!$B$7/100))+(((Inputs!$B$13*(1+Inputs!$B$14/100))-(Inputs!$B$13*(1+Inputs!$B$14/100)))+0.25*(Inputs!$B$15-Inputs!$B$15))*(1+Inputs!$B$7/100))*(F492/100)</f>
        <v/>
      </c>
      <c r="K492">
        <f>J492*(1+(((Inputs!$B$13+IF(Inputs!$B$3&gt;=35,(10*INDEX(FactorTable!$B$2:$Y$301,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15="TRIUMPH_FEATHER",IF(C493=TRUE,F493,0),0)/100)*(1+IF(C504=TRUE,F504,0)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492)</f>
        <v/>
      </c>
      <c r="L492">
        <f>K492*(MIN((Inputs!$B$23+1)+(F499-Calc!F22),(Inputs!$B$24+IF(ArtifactsInput!$M$15,CHOOSE(ArtifactsInput!$N$15+1,25,30,35,40,45,50)/100*(Inputs!$B$12-Inputs!$B$12),0)))/100+(Inputs!$B$24+IF(ArtifactsInput!$M$15,CHOOSE(ArtifactsInput!$N$15+1,25,30,35,40,45,50)/100*(Inputs!$B$12-Inputs!$B$12),0))/100)/2</f>
        <v/>
      </c>
      <c r="M492">
        <f>L492*(1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92">
        <f>L492*(1-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492*(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2">
        <f>(1-Summary!$B$11)*S492+Summary!$B$11*U492</f>
        <v/>
      </c>
      <c r="P492">
        <f>IF(B520=0,0,O492/B520)</f>
        <v/>
      </c>
      <c r="Q492">
        <f>IFERROR(1/(IF(Inputs!$B$39="pvp",15,MAX(0.1,Skills!D15-IF(Skills!E15=TRUE,Inputs!$B$33,0)))*(1-IF(AND(ArtifactsInput!$M$27,Inputs!$B$4="Chapter Hunt"),CHOOSE(ArtifactsInput!$N$27+1,20,24,28,32,36,40),0)/100)),0)</f>
        <v/>
      </c>
      <c r="R492" t="n">
        <v>0</v>
      </c>
      <c r="S492">
        <f>IF(C492,(Skills!F15*N492*((IF(Inputs!$B$3&gt;=78,25,15)/100*B513*10)/(1+IF(Inputs!$B$3&gt;=78,25,15)/100*B513*10))*(Skills!I15/100*B513)/(1+Skills!G15*Skills!I15/100*B513))*IF(Inputs!$B$39="pvp",1,1+(Inputs!$B$21+Skills!O15+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492*(1-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492*(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492*(1-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492*(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2">
        <f>IF(C492,(Skills!F15*N492*((IF(Inputs!$B$3&gt;=78,25,15)/100*B513*10)/(1+IF(Inputs!$B$3&gt;=78,25,15)/100*B513*10))*(Skills!I15/100*B513)/(1+Skills!G15*Skills!I15/100*B513))*IF(Inputs!$B$39="pvp",1,(1+(Inputs!$B$22+Skills!P15+B509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3">
      <c r="A493">
        <f>Skills!A16</f>
        <v/>
      </c>
      <c r="B493">
        <f>Skills!B16</f>
        <v/>
      </c>
      <c r="C493">
        <f>Inputs!$B$3&gt;=100</f>
        <v/>
      </c>
      <c r="D493">
        <f>IF(Skills!C16=1,60+Inputs!$B$26+Inputs!$B$30,IF(Skills!C16=2,90+Inputs!$B$27+Inputs!$B$30,IF(Skills!C16=3,120+Inputs!$B$28+Inputs!$B$30,MAX(0,(Inputs!$B$3-100)*3)+Inputs!$B$29+Inputs!$B$30)))</f>
        <v/>
      </c>
      <c r="E493">
        <f>INDEX(FactorTable!$B$2:$Y$301, MATCH(ROUND(MIN(300,MAX(1,D493)),0), FactorTable!$A$2:$A$301,0), Skills!L16+1)</f>
        <v/>
      </c>
      <c r="F493">
        <f>IF(Skills!M16=TRUE,(Skills!K16/10)*(E493/1000),Skills!K16/10)+Skills!N16</f>
        <v/>
      </c>
      <c r="G493">
        <f>Calc!G16</f>
        <v/>
      </c>
      <c r="H493">
        <f>Calc!H16</f>
        <v/>
      </c>
      <c r="I493">
        <f>IF(Skills!T16&lt;&gt;"",1+(Skills!T16/10)*($Z$3/1000)/100,1)</f>
        <v/>
      </c>
      <c r="J493" t="inlineStr"/>
      <c r="K493" t="inlineStr"/>
      <c r="L493" t="inlineStr"/>
      <c r="M493" t="inlineStr"/>
      <c r="N493" t="inlineStr"/>
      <c r="O493">
        <f>(1-Summary!$B$11)*S493+Summary!$B$11*U493</f>
        <v/>
      </c>
      <c r="P493">
        <f>IF(B520=0,0,O493/B520)</f>
        <v/>
      </c>
      <c r="Q493">
        <f>IFERROR(1/(IF(Inputs!$B$39="pvp",15,MAX(0.1,Skills!D16-IF(Skills!E16=TRUE,Inputs!$B$33,0)))*(1-IF(AND(ArtifactsInput!$M$27,Inputs!$B$4="Chapter Hunt"),CHOOSE(ArtifactsInput!$N$27+1,20,24,28,32,36,40),0)/100)),0)</f>
        <v/>
      </c>
      <c r="R493" t="n">
        <v>0</v>
      </c>
      <c r="S493" t="n">
        <v>0</v>
      </c>
      <c r="U493" t="n">
        <v>0</v>
      </c>
    </row>
    <row r="494">
      <c r="A494">
        <f>Skills!A17</f>
        <v/>
      </c>
      <c r="B494">
        <f>Skills!B17</f>
        <v/>
      </c>
      <c r="C494">
        <f>Inputs!$B$3&gt;=49</f>
        <v/>
      </c>
      <c r="D494">
        <f>IF(Skills!C17=1,60+Inputs!$B$26+Inputs!$B$30,IF(Skills!C17=2,90+Inputs!$B$27+Inputs!$B$30,IF(Skills!C17=3,120+Inputs!$B$28+Inputs!$B$30,MAX(0,(Inputs!$B$3-100)*3)+Inputs!$B$29+Inputs!$B$30)))</f>
        <v/>
      </c>
      <c r="E494">
        <f>INDEX(FactorTable!$B$2:$Y$301, MATCH(ROUND(MIN(300,MAX(1,D494)),0), FactorTable!$A$2:$A$301,0), Skills!L17+1)</f>
        <v/>
      </c>
      <c r="F494">
        <f>IF(Skills!M17=TRUE,(Skills!K17/10)*(E494/1000),Skills!K17/10)+Skills!N17</f>
        <v/>
      </c>
      <c r="G494">
        <f>Calc!G17</f>
        <v/>
      </c>
      <c r="H494">
        <f>Calc!H17</f>
        <v/>
      </c>
      <c r="I494">
        <f>IF(Skills!T17&lt;&gt;"",1+(Skills!T17/10)*($Z$3/1000)/100,1)</f>
        <v/>
      </c>
      <c r="J494" t="inlineStr"/>
      <c r="K494" t="inlineStr"/>
      <c r="L494" t="inlineStr"/>
      <c r="M494" t="inlineStr"/>
      <c r="N494" t="inlineStr"/>
      <c r="O494">
        <f>(1-Summary!$B$11)*S494+Summary!$B$11*U494</f>
        <v/>
      </c>
      <c r="P494">
        <f>IF(B520=0,0,O494/B520)</f>
        <v/>
      </c>
      <c r="Q494">
        <f>IFERROR(1/(IF(Inputs!$B$39="pvp",15,MAX(0.1,Skills!D17-IF(Skills!E17=TRUE,Inputs!$B$33,0)))*(1-IF(AND(ArtifactsInput!$M$27,Inputs!$B$4="Chapter Hunt"),CHOOSE(ArtifactsInput!$N$27+1,20,24,28,32,36,40),0)/100)),0)</f>
        <v/>
      </c>
      <c r="R494" t="n">
        <v>0</v>
      </c>
      <c r="S494" t="n">
        <v>0</v>
      </c>
      <c r="U494" t="n">
        <v>0</v>
      </c>
    </row>
    <row r="495">
      <c r="A495">
        <f>Skills!A18</f>
        <v/>
      </c>
      <c r="B495">
        <f>Skills!B18</f>
        <v/>
      </c>
      <c r="C495">
        <f>Inputs!$B$3&gt;=75</f>
        <v/>
      </c>
      <c r="D495">
        <f>IF(Skills!C18=1,60+Inputs!$B$26+Inputs!$B$30,IF(Skills!C18=2,90+Inputs!$B$27+Inputs!$B$30,IF(Skills!C18=3,120+Inputs!$B$28+Inputs!$B$30,MAX(0,(Inputs!$B$3-100)*3)+Inputs!$B$29+Inputs!$B$30)))</f>
        <v/>
      </c>
      <c r="E495">
        <f>INDEX(FactorTable!$B$2:$Y$301, MATCH(ROUND(MIN(300,MAX(1,D495)),0), FactorTable!$A$2:$A$301,0), Skills!L18+1)</f>
        <v/>
      </c>
      <c r="F495">
        <f>IF(Skills!M18=TRUE,(Skills!K18/10)*(E495/1000),Skills!K18/10)+Skills!N18</f>
        <v/>
      </c>
      <c r="G495">
        <f>Calc!G18</f>
        <v/>
      </c>
      <c r="H495">
        <f>Calc!H18</f>
        <v/>
      </c>
      <c r="I495">
        <f>IF(Skills!T18&lt;&gt;"",1+(Skills!T18/10)*($Z$3/1000)/100,1)</f>
        <v/>
      </c>
      <c r="J495" t="inlineStr"/>
      <c r="K495" t="inlineStr"/>
      <c r="L495" t="inlineStr"/>
      <c r="M495" t="inlineStr"/>
      <c r="N495" t="inlineStr"/>
      <c r="O495">
        <f>(1-Summary!$B$11)*S495+Summary!$B$11*U495</f>
        <v/>
      </c>
      <c r="P495">
        <f>IF(B520=0,0,O495/B520)</f>
        <v/>
      </c>
      <c r="Q495">
        <f>IFERROR(1/(IF(Inputs!$B$39="pvp",15,MAX(0.1,Skills!D18-IF(Skills!E18=TRUE,Inputs!$B$33,0)))*(1-IF(AND(ArtifactsInput!$M$27,Inputs!$B$4="Chapter Hunt"),CHOOSE(ArtifactsInput!$N$27+1,20,24,28,32,36,40),0)/100)),0)</f>
        <v/>
      </c>
      <c r="R495" t="n">
        <v>0</v>
      </c>
      <c r="S495" t="n">
        <v>0</v>
      </c>
      <c r="U495" t="n">
        <v>0</v>
      </c>
    </row>
    <row r="496">
      <c r="A496">
        <f>Skills!A19</f>
        <v/>
      </c>
      <c r="B496">
        <f>Skills!B19</f>
        <v/>
      </c>
      <c r="C496">
        <f>Inputs!$B$3&gt;=110</f>
        <v/>
      </c>
      <c r="D496">
        <f>IF(Skills!C19=1,60+Inputs!$B$26+Inputs!$B$30,IF(Skills!C19=2,90+Inputs!$B$27+Inputs!$B$30,IF(Skills!C19=3,120+Inputs!$B$28+Inputs!$B$30,MAX(0,(Inputs!$B$3-100)*3)+Inputs!$B$29+Inputs!$B$30)))</f>
        <v/>
      </c>
      <c r="E496">
        <f>INDEX(FactorTable!$B$2:$Y$301, MATCH(ROUND(MIN(300,MAX(1,D496)),0), FactorTable!$A$2:$A$301,0), Skills!L19+1)</f>
        <v/>
      </c>
      <c r="F496">
        <f>(Skills!K19/10)*(E496/1000)*64/45+Skills!N19</f>
        <v/>
      </c>
      <c r="G496">
        <f>Calc!G19</f>
        <v/>
      </c>
      <c r="H496">
        <f>Calc!H19</f>
        <v/>
      </c>
      <c r="I496">
        <f>IF(Skills!T19&lt;&gt;"",1+(Skills!T19/10)*($Z$3/1000)/100,1)</f>
        <v/>
      </c>
      <c r="J496" t="inlineStr"/>
      <c r="K496" t="inlineStr"/>
      <c r="L496" t="inlineStr"/>
      <c r="M496" t="inlineStr"/>
      <c r="N496" t="inlineStr"/>
      <c r="O496">
        <f>(1-Summary!$B$11)*S496+Summary!$B$11*U496</f>
        <v/>
      </c>
      <c r="P496">
        <f>IF(B520=0,0,O496/B520)</f>
        <v/>
      </c>
      <c r="Q496">
        <f>IFERROR(1/(IF(Inputs!$B$39="pvp",15,MAX(0.1,Skills!D19-IF(Skills!E19=TRUE,Inputs!$B$33,0)))*(1-IF(AND(ArtifactsInput!$M$27,Inputs!$B$4="Chapter Hunt"),CHOOSE(ArtifactsInput!$N$27+1,20,24,28,32,36,40),0)/100)),0)</f>
        <v/>
      </c>
      <c r="R496">
        <f>IF(AND(Inputs!$B$39&lt;&gt;"pvp",Inputs!$B$44&gt;0),IF(Inputs!$B$44&lt;=0,0,(INT(Inputs!$B$44/(IF(Inputs!$B$39="pvp",15,MAX(0.1,Skills!D19-IF(Skills!E19=TRUE,Inputs!$B$33,0)))*(1-IF(AND(ArtifactsInput!$M$27,Inputs!$B$4="Chapter Hunt"),CHOOSE(ArtifactsInput!$N$27+1,20,24,28,32,36,40),0)/100)))+1)),0)</f>
        <v/>
      </c>
      <c r="S496" t="n">
        <v>0</v>
      </c>
      <c r="U496" t="n">
        <v>0</v>
      </c>
    </row>
    <row r="497">
      <c r="A497">
        <f>Skills!A20</f>
        <v/>
      </c>
      <c r="B497">
        <f>Skills!B20</f>
        <v/>
      </c>
      <c r="C497">
        <f>Inputs!$B$3&gt;=125</f>
        <v/>
      </c>
      <c r="D497">
        <f>IF(Skills!C20=1,60+Inputs!$B$26+Inputs!$B$30,IF(Skills!C20=2,90+Inputs!$B$27+Inputs!$B$30,IF(Skills!C20=3,120+Inputs!$B$28+Inputs!$B$30,MAX(0,(Inputs!$B$3-100)*3)+Inputs!$B$29+Inputs!$B$30)))</f>
        <v/>
      </c>
      <c r="E497">
        <f>INDEX(FactorTable!$B$2:$Y$301, MATCH(ROUND(MIN(300,MAX(1,D497)),0), FactorTable!$A$2:$A$301,0), Skills!L20+1)</f>
        <v/>
      </c>
      <c r="F497">
        <f>IF(Skills!M20=TRUE,(Skills!K20/10)*(E497/1000),Skills!K20/10)+Skills!N20</f>
        <v/>
      </c>
      <c r="G497">
        <f>Calc!G20</f>
        <v/>
      </c>
      <c r="H497">
        <f>Calc!H20</f>
        <v/>
      </c>
      <c r="I497">
        <f>IF(Skills!T20&lt;&gt;"",1+(Skills!T20/10)*($Z$3/1000)/100,1)</f>
        <v/>
      </c>
      <c r="J497" t="inlineStr"/>
      <c r="K497" t="inlineStr"/>
      <c r="L497" t="inlineStr"/>
      <c r="M497" t="inlineStr"/>
      <c r="N497" t="inlineStr"/>
      <c r="O497">
        <f>(1-Summary!$B$11)*S497+Summary!$B$11*U497</f>
        <v/>
      </c>
      <c r="P497">
        <f>IF(B520=0,0,O497/B520)</f>
        <v/>
      </c>
      <c r="Q497">
        <f>IFERROR(1/(IF(Inputs!$B$39="pvp",15,MAX(0.1,Skills!D20-IF(Skills!E20=TRUE,Inputs!$B$33,0)))*(1-IF(AND(ArtifactsInput!$M$27,Inputs!$B$4="Chapter Hunt"),CHOOSE(ArtifactsInput!$N$27+1,20,24,28,32,36,40),0)/100)),0)</f>
        <v/>
      </c>
      <c r="R497" t="n">
        <v>0</v>
      </c>
      <c r="S497" t="n">
        <v>0</v>
      </c>
      <c r="U497" t="n">
        <v>0</v>
      </c>
    </row>
    <row r="498">
      <c r="A498">
        <f>Skills!A21</f>
        <v/>
      </c>
      <c r="B498">
        <f>Skills!B21</f>
        <v/>
      </c>
      <c r="C498">
        <f>Inputs!$B$3&gt;=33</f>
        <v/>
      </c>
      <c r="D498">
        <f>IF(Skills!C21=1,60+Inputs!$B$26+Inputs!$B$30,IF(Skills!C21=2,90+Inputs!$B$27+Inputs!$B$30,IF(Skills!C21=3,120+Inputs!$B$28+Inputs!$B$30,MAX(0,(Inputs!$B$3-100)*3)+Inputs!$B$29+Inputs!$B$30)))</f>
        <v/>
      </c>
      <c r="E498">
        <f>INDEX(FactorTable!$B$2:$Y$301, MATCH(ROUND(MIN(300,MAX(1,D498)),0), FactorTable!$A$2:$A$301,0), Skills!L21+1)</f>
        <v/>
      </c>
      <c r="F498">
        <f>IF(Skills!M21=TRUE,(Skills!K21/10)*(E498/1000),Skills!K21/10)+Skills!N21</f>
        <v/>
      </c>
      <c r="G498">
        <f>Calc!G21</f>
        <v/>
      </c>
      <c r="H498">
        <f>Calc!H21</f>
        <v/>
      </c>
      <c r="I498">
        <f>IF(Skills!T21&lt;&gt;"",1+(Skills!T21/10)*($Z$3/1000)/100,1)</f>
        <v/>
      </c>
      <c r="J498" t="inlineStr"/>
      <c r="K498" t="inlineStr"/>
      <c r="L498" t="inlineStr"/>
      <c r="M498" t="inlineStr"/>
      <c r="N498" t="inlineStr"/>
      <c r="O498">
        <f>(1-Summary!$B$11)*S498+Summary!$B$11*U498</f>
        <v/>
      </c>
      <c r="P498">
        <f>IF(B520=0,0,O498/B520)</f>
        <v/>
      </c>
      <c r="Q498">
        <f>IFERROR(1/(IF(Inputs!$B$39="pvp",15,MAX(0.1,Skills!D21-IF(Skills!E21=TRUE,Inputs!$B$33,0)))*(1-IF(AND(ArtifactsInput!$M$27,Inputs!$B$4="Chapter Hunt"),CHOOSE(ArtifactsInput!$N$27+1,20,24,28,32,36,40),0)/100)),0)</f>
        <v/>
      </c>
      <c r="R498" t="n">
        <v>0</v>
      </c>
      <c r="S498" t="n">
        <v>0</v>
      </c>
      <c r="U498" t="n">
        <v>0</v>
      </c>
    </row>
    <row r="499">
      <c r="A499">
        <f>Skills!A22</f>
        <v/>
      </c>
      <c r="B499">
        <f>Skills!B22</f>
        <v/>
      </c>
      <c r="C499">
        <f>Inputs!$B$3&gt;=43</f>
        <v/>
      </c>
      <c r="D499">
        <f>IF(Skills!C22=1,60+Inputs!$B$26+Inputs!$B$30,IF(Skills!C22=2,90+Inputs!$B$27+Inputs!$B$30,IF(Skills!C22=3,120+Inputs!$B$28+Inputs!$B$30,MAX(0,(Inputs!$B$3-100)*3)+Inputs!$B$29+Inputs!$B$30)))</f>
        <v/>
      </c>
      <c r="E499">
        <f>INDEX(FactorTable!$B$2:$Y$301, MATCH(ROUND(MIN(300,MAX(1,D499)),0), FactorTable!$A$2:$A$301,0), Skills!L22+1)</f>
        <v/>
      </c>
      <c r="F499">
        <f>IF(Skills!M22=TRUE,(Skills!K22/10)*(E499/1000),Skills!K22/10)+Skills!N22</f>
        <v/>
      </c>
      <c r="G499">
        <f>Calc!G22</f>
        <v/>
      </c>
      <c r="H499">
        <f>Calc!H22</f>
        <v/>
      </c>
      <c r="I499">
        <f>IF(Skills!T22&lt;&gt;"",1+(Skills!T22/10)*($Z$3/1000)/100,1)</f>
        <v/>
      </c>
      <c r="J499" t="inlineStr"/>
      <c r="K499" t="inlineStr"/>
      <c r="L499" t="inlineStr"/>
      <c r="M499" t="inlineStr"/>
      <c r="N499" t="inlineStr"/>
      <c r="O499">
        <f>(1-Summary!$B$11)*S499+Summary!$B$11*U499</f>
        <v/>
      </c>
      <c r="P499">
        <f>IF(B520=0,0,O499/B520)</f>
        <v/>
      </c>
      <c r="Q499">
        <f>IFERROR(1/(IF(Inputs!$B$39="pvp",15,MAX(0.1,Skills!D22-IF(Skills!E22=TRUE,Inputs!$B$33,0)))*(1-IF(AND(ArtifactsInput!$M$27,Inputs!$B$4="Chapter Hunt"),CHOOSE(ArtifactsInput!$N$27+1,20,24,28,32,36,40),0)/100)),0)</f>
        <v/>
      </c>
      <c r="R499" t="n">
        <v>0</v>
      </c>
      <c r="S499" t="n">
        <v>0</v>
      </c>
      <c r="U499" t="n">
        <v>0</v>
      </c>
    </row>
    <row r="500">
      <c r="A500">
        <f>Skills!A23</f>
        <v/>
      </c>
      <c r="B500">
        <f>Skills!B23</f>
        <v/>
      </c>
      <c r="C500">
        <f>Inputs!$B$3&gt;=50</f>
        <v/>
      </c>
      <c r="D500">
        <f>IF(Skills!C23=1,60+Inputs!$B$26+Inputs!$B$30,IF(Skills!C23=2,90+Inputs!$B$27+Inputs!$B$30,IF(Skills!C23=3,120+Inputs!$B$28+Inputs!$B$30,MAX(0,(Inputs!$B$3-100)*3)+Inputs!$B$29+Inputs!$B$30)))</f>
        <v/>
      </c>
      <c r="E500">
        <f>INDEX(FactorTable!$B$2:$Y$301, MATCH(ROUND(MIN(300,MAX(1,D500)),0), FactorTable!$A$2:$A$301,0), Skills!L23+1)</f>
        <v/>
      </c>
      <c r="F500">
        <f>IF(Skills!M23=TRUE,(Skills!K23/10)*(E500/1000),Skills!K23/10)+Skills!N23</f>
        <v/>
      </c>
      <c r="G500">
        <f>Calc!G23</f>
        <v/>
      </c>
      <c r="H500">
        <f>Calc!H23</f>
        <v/>
      </c>
      <c r="I500">
        <f>IF(Skills!T23&lt;&gt;"",1+(Skills!T23/10)*($Z$3/1000)/100,1)</f>
        <v/>
      </c>
      <c r="J500" t="inlineStr"/>
      <c r="K500" t="inlineStr"/>
      <c r="L500" t="inlineStr"/>
      <c r="M500" t="inlineStr"/>
      <c r="N500" t="inlineStr"/>
      <c r="O500">
        <f>(1-Summary!$B$11)*S500+Summary!$B$11*U500</f>
        <v/>
      </c>
      <c r="P500">
        <f>IF(B520=0,0,O500/B520)</f>
        <v/>
      </c>
      <c r="Q500">
        <f>IFERROR(1/(IF(Inputs!$B$39="pvp",15,MAX(0.1,Skills!D23-IF(Skills!E23=TRUE,Inputs!$B$33,0)))*(1-IF(AND(ArtifactsInput!$M$27,Inputs!$B$4="Chapter Hunt"),CHOOSE(ArtifactsInput!$N$27+1,20,24,28,32,36,40),0)/100)),0)</f>
        <v/>
      </c>
      <c r="R500" t="n">
        <v>0</v>
      </c>
      <c r="S500" t="n">
        <v>0</v>
      </c>
      <c r="U500" t="n">
        <v>0</v>
      </c>
    </row>
    <row r="501">
      <c r="A501">
        <f>Skills!A24</f>
        <v/>
      </c>
      <c r="B501">
        <f>Skills!B24</f>
        <v/>
      </c>
      <c r="C501">
        <f>Inputs!$B$3&gt;=74</f>
        <v/>
      </c>
      <c r="D501">
        <f>IF(Skills!C24=1,60+Inputs!$B$26+Inputs!$B$30,IF(Skills!C24=2,90+Inputs!$B$27+Inputs!$B$30,IF(Skills!C24=3,120+Inputs!$B$28+Inputs!$B$30,MAX(0,(Inputs!$B$3-100)*3)+Inputs!$B$29+Inputs!$B$30)))</f>
        <v/>
      </c>
      <c r="E501">
        <f>INDEX(FactorTable!$B$2:$Y$301, MATCH(ROUND(MIN(300,MAX(1,D501)),0), FactorTable!$A$2:$A$301,0), Skills!L24+1)</f>
        <v/>
      </c>
      <c r="F501">
        <f>IF(Skills!M24=TRUE,(Skills!K24/10)*(E501/1000),Skills!K24/10)+Skills!N24</f>
        <v/>
      </c>
      <c r="G501">
        <f>Calc!G24</f>
        <v/>
      </c>
      <c r="H501">
        <f>Calc!H24</f>
        <v/>
      </c>
      <c r="I501">
        <f>IF(Skills!T24&lt;&gt;"",1+(Skills!T24/10)*($Z$3/1000)/100,1)</f>
        <v/>
      </c>
      <c r="J501" t="inlineStr"/>
      <c r="K501" t="inlineStr"/>
      <c r="L501" t="inlineStr"/>
      <c r="M501" t="inlineStr"/>
      <c r="N501" t="inlineStr"/>
      <c r="O501">
        <f>(1-Summary!$B$11)*S501+Summary!$B$11*U501</f>
        <v/>
      </c>
      <c r="P501">
        <f>IF(B520=0,0,O501/B520)</f>
        <v/>
      </c>
      <c r="Q501">
        <f>IFERROR(1/(IF(Inputs!$B$39="pvp",15,MAX(0.1,Skills!D24-IF(Skills!E24=TRUE,Inputs!$B$33,0)))*(1-IF(AND(ArtifactsInput!$M$27,Inputs!$B$4="Chapter Hunt"),CHOOSE(ArtifactsInput!$N$27+1,20,24,28,32,36,40),0)/100)),0)</f>
        <v/>
      </c>
      <c r="R501" t="n">
        <v>0</v>
      </c>
      <c r="S501" t="n">
        <v>0</v>
      </c>
      <c r="U501" t="n">
        <v>0</v>
      </c>
    </row>
    <row r="502">
      <c r="A502">
        <f>Skills!A25</f>
        <v/>
      </c>
      <c r="B502">
        <f>Skills!B25</f>
        <v/>
      </c>
      <c r="C502">
        <f>Inputs!$B$3&gt;=74</f>
        <v/>
      </c>
      <c r="D502">
        <f>IF(Skills!C25=1,60+Inputs!$B$26+Inputs!$B$30,IF(Skills!C25=2,90+Inputs!$B$27+Inputs!$B$30,IF(Skills!C25=3,120+Inputs!$B$28+Inputs!$B$30,MAX(0,(Inputs!$B$3-100)*3)+Inputs!$B$29+Inputs!$B$30)))</f>
        <v/>
      </c>
      <c r="E502">
        <f>INDEX(FactorTable!$B$2:$Y$301, MATCH(ROUND(MIN(300,MAX(1,D502)),0), FactorTable!$A$2:$A$301,0), Skills!L25+1)</f>
        <v/>
      </c>
      <c r="F502">
        <f>IF(Skills!M25=TRUE,(Skills!K25/10)*(E502/1000),Skills!K25/10)+Skills!N25</f>
        <v/>
      </c>
      <c r="G502">
        <f>Calc!G25</f>
        <v/>
      </c>
      <c r="H502">
        <f>Calc!H25</f>
        <v/>
      </c>
      <c r="I502">
        <f>IF(Skills!T25&lt;&gt;"",1+(Skills!T25/10)*($Z$3/1000)/100,1)</f>
        <v/>
      </c>
      <c r="J502" t="inlineStr"/>
      <c r="K502" t="inlineStr"/>
      <c r="L502" t="inlineStr"/>
      <c r="M502" t="inlineStr"/>
      <c r="N502" t="inlineStr"/>
      <c r="O502">
        <f>(1-Summary!$B$11)*S502+Summary!$B$11*U502</f>
        <v/>
      </c>
      <c r="P502">
        <f>IF(B520=0,0,O502/B520)</f>
        <v/>
      </c>
      <c r="Q502">
        <f>IFERROR(1/(IF(Inputs!$B$39="pvp",15,MAX(0.1,Skills!D25-IF(Skills!E25=TRUE,Inputs!$B$33,0)))*(1-IF(AND(ArtifactsInput!$M$27,Inputs!$B$4="Chapter Hunt"),CHOOSE(ArtifactsInput!$N$27+1,20,24,28,32,36,40),0)/100)),0)</f>
        <v/>
      </c>
      <c r="R502" t="n">
        <v>0</v>
      </c>
      <c r="S502" t="n">
        <v>0</v>
      </c>
      <c r="U502" t="n">
        <v>0</v>
      </c>
    </row>
    <row r="503">
      <c r="A503">
        <f>Skills!A26</f>
        <v/>
      </c>
      <c r="B503">
        <f>Skills!B26</f>
        <v/>
      </c>
      <c r="C503">
        <f>Inputs!$B$3&gt;=117</f>
        <v/>
      </c>
      <c r="D503">
        <f>IF(Skills!C26=1,60+Inputs!$B$26+Inputs!$B$30,IF(Skills!C26=2,90+Inputs!$B$27+Inputs!$B$30,IF(Skills!C26=3,120+Inputs!$B$28+Inputs!$B$30,MAX(0,(Inputs!$B$3-100)*3)+Inputs!$B$29+Inputs!$B$30)))</f>
        <v/>
      </c>
      <c r="E503">
        <f>INDEX(FactorTable!$B$2:$Y$301, MATCH(ROUND(MIN(300,MAX(1,D503)),0), FactorTable!$A$2:$A$301,0), Skills!L26+1)</f>
        <v/>
      </c>
      <c r="F503">
        <f>IF(Skills!M26=TRUE,(Skills!K26/10)*(E503/1000),Skills!K26/10)+Skills!N26</f>
        <v/>
      </c>
      <c r="G503">
        <f>Calc!G26</f>
        <v/>
      </c>
      <c r="H503">
        <f>Calc!H26</f>
        <v/>
      </c>
      <c r="I503">
        <f>IF(Skills!T26&lt;&gt;"",1+(Skills!T26/10)*($Z$3/1000)/100,1)</f>
        <v/>
      </c>
      <c r="J503" t="inlineStr"/>
      <c r="K503" t="inlineStr"/>
      <c r="L503" t="inlineStr"/>
      <c r="M503" t="inlineStr"/>
      <c r="N503" t="inlineStr"/>
      <c r="O503">
        <f>(1-Summary!$B$11)*S503+Summary!$B$11*U503</f>
        <v/>
      </c>
      <c r="P503">
        <f>IF(B520=0,0,O503/B520)</f>
        <v/>
      </c>
      <c r="Q503">
        <f>IFERROR(1/(IF(Inputs!$B$39="pvp",15,MAX(0.1,Skills!D26-IF(Skills!E26=TRUE,Inputs!$B$33,0)))*(1-IF(AND(ArtifactsInput!$M$27,Inputs!$B$4="Chapter Hunt"),CHOOSE(ArtifactsInput!$N$27+1,20,24,28,32,36,40),0)/100)),0)</f>
        <v/>
      </c>
      <c r="R503" t="n">
        <v>0</v>
      </c>
      <c r="S503" t="n">
        <v>0</v>
      </c>
      <c r="U503" t="n">
        <v>0</v>
      </c>
    </row>
    <row r="504">
      <c r="A504">
        <f>Skills!A27</f>
        <v/>
      </c>
      <c r="B504">
        <f>Skills!B27</f>
        <v/>
      </c>
      <c r="C504">
        <f>Inputs!$B$3&gt;=120</f>
        <v/>
      </c>
      <c r="D504">
        <f>IF(Skills!C27=1,60+Inputs!$B$26+Inputs!$B$30,IF(Skills!C27=2,90+Inputs!$B$27+Inputs!$B$30,IF(Skills!C27=3,120+Inputs!$B$28+Inputs!$B$30,MAX(0,(Inputs!$B$3-100)*3)+Inputs!$B$29+Inputs!$B$30)))</f>
        <v/>
      </c>
      <c r="E504">
        <f>INDEX(FactorTable!$B$2:$Y$301, MATCH(ROUND(MIN(300,MAX(1,D504)),0), FactorTable!$A$2:$A$301,0), Skills!L27+1)</f>
        <v/>
      </c>
      <c r="F504">
        <f>IF(Skills!M27=TRUE,(Skills!K27/10)*(E504/1000),Skills!K27/10)+Skills!N27</f>
        <v/>
      </c>
      <c r="G504">
        <f>Calc!G27</f>
        <v/>
      </c>
      <c r="H504">
        <f>Calc!H27</f>
        <v/>
      </c>
      <c r="I504">
        <f>IF(Skills!T27&lt;&gt;"",1+(Skills!T27/10)*($Z$3/1000)/100,1)</f>
        <v/>
      </c>
      <c r="J504" t="inlineStr"/>
      <c r="K504" t="inlineStr"/>
      <c r="L504" t="inlineStr"/>
      <c r="M504" t="inlineStr"/>
      <c r="N504" t="inlineStr"/>
      <c r="O504">
        <f>(1-Summary!$B$11)*S504+Summary!$B$11*U504</f>
        <v/>
      </c>
      <c r="P504">
        <f>IF(B520=0,0,O504/B520)</f>
        <v/>
      </c>
      <c r="Q504">
        <f>IFERROR(1/(IF(Inputs!$B$39="pvp",15,MAX(0.1,Skills!D27-IF(Skills!E27=TRUE,Inputs!$B$33,0)))*(1-IF(AND(ArtifactsInput!$M$27,Inputs!$B$4="Chapter Hunt"),CHOOSE(ArtifactsInput!$N$27+1,20,24,28,32,36,40),0)/100)),0)</f>
        <v/>
      </c>
      <c r="R504" t="n">
        <v>0</v>
      </c>
      <c r="S504" t="n">
        <v>0</v>
      </c>
      <c r="U504" t="n">
        <v>0</v>
      </c>
    </row>
    <row r="505">
      <c r="A505">
        <f>Skills!A28</f>
        <v/>
      </c>
      <c r="B505">
        <f>Skills!B28</f>
        <v/>
      </c>
      <c r="C505">
        <f>TRUE</f>
        <v/>
      </c>
      <c r="D505">
        <f>IF(Skills!C28=1,60+Inputs!$B$26+Inputs!$B$30,IF(Skills!C28=2,90+Inputs!$B$27+Inputs!$B$30,IF(Skills!C28=3,120+Inputs!$B$28+Inputs!$B$30,MAX(0,(Inputs!$B$3-100)*3)+Inputs!$B$29+Inputs!$B$30)))</f>
        <v/>
      </c>
      <c r="E505">
        <f>INDEX(FactorTable!$B$2:$Y$301, MATCH(ROUND(MIN(300,MAX(1,D505)),0), FactorTable!$A$2:$A$301,0), Skills!L28+1)</f>
        <v/>
      </c>
      <c r="F505">
        <f>IF(Skills!M28=TRUE,(Skills!K28/10)*(E505/1000),Skills!K28/10)+Skills!N28</f>
        <v/>
      </c>
      <c r="G505">
        <f>Calc!G28</f>
        <v/>
      </c>
      <c r="H505">
        <f>Calc!H28</f>
        <v/>
      </c>
      <c r="I505">
        <f>IF(Skills!T28&lt;&gt;"",1+(Skills!T28/10)*($Z$3/1000)/100,1)</f>
        <v/>
      </c>
      <c r="J505" t="inlineStr"/>
      <c r="K505" t="inlineStr"/>
      <c r="L505" t="inlineStr"/>
      <c r="M505" t="inlineStr"/>
      <c r="N505" t="inlineStr"/>
      <c r="O505">
        <f>(1-Summary!$B$11)*S505+Summary!$B$11*U505</f>
        <v/>
      </c>
      <c r="P505">
        <f>IF(B520=0,0,O505/B520)</f>
        <v/>
      </c>
      <c r="Q505">
        <f>IFERROR(1/(IF(Inputs!$B$39="pvp",15,MAX(0.1,Skills!D28-IF(Skills!E28=TRUE,Inputs!$B$33,0)))*(1-IF(AND(ArtifactsInput!$M$27,Inputs!$B$4="Chapter Hunt"),CHOOSE(ArtifactsInput!$N$27+1,20,24,28,32,36,40),0)/100)),0)</f>
        <v/>
      </c>
      <c r="R505">
        <f>IF(AND(Inputs!$B$39&lt;&gt;"pvp",Inputs!$B$44&gt;0),IF(Inputs!$B$44&lt;=0,0,(INT(Inputs!$B$44/(IF(Inputs!$B$39="pvp",15,MAX(0.1,Skills!D28-IF(Skills!E28=TRUE,Inputs!$B$33,0)))*(1-IF(AND(ArtifactsInput!$M$27,Inputs!$B$4="Chapter Hunt"),CHOOSE(ArtifactsInput!$N$27+1,20,24,28,32,36,40),0)/100)))+1)),0)</f>
        <v/>
      </c>
      <c r="S505" t="n">
        <v>0</v>
      </c>
      <c r="U505" t="n">
        <v>0</v>
      </c>
    </row>
    <row r="507">
      <c r="A507" t="inlineStr">
        <is>
          <t>Average Buff Multiplier</t>
        </is>
      </c>
      <c r="B507">
        <f>(1+(IF(C480=TRUE,F480*IF(AND(Inputs!$B$39&lt;&gt;"pvp",Inputs!$B$44&gt;0),(((R480-1)*(Skills!S3*(1+((Inputs!$B$35+(ArtifactsInput!$M$7-ArtifactsInput!$M$7)*CHOOSE(ArtifactsInput!$N$7+1,6,7.2,8.4,9.6,10.8,12))+IF(Inputs!$B$3&gt;=117,F503,0))/100))+MIN((Skills!S3*(1+((Inputs!$B$35+(ArtifactsInput!$M$7-ArtifactsInput!$M$7)*CHOOSE(ArtifactsInput!$N$7+1,6,7.2,8.4,9.6,10.8,12))+IF(Inputs!$B$3&gt;=117,F503,0))/100)),MAX(0,Inputs!$B$44-((R480-1)*Skills!D3))))/Inputs!$B$44),IF(Inputs!$B$39="pvp",MIN((Skills!S3*(1+((Inputs!$B$35+(ArtifactsInput!$M$7-ArtifactsInput!$M$7)*CHOOSE(ArtifactsInput!$N$7+1,6,7.2,8.4,9.6,10.8,12))+IF(Inputs!$B$3&gt;=117,F503,0))/100)),15)/15,(Skills!S3*(1+((Inputs!$B$35+(ArtifactsInput!$M$7-ArtifactsInput!$M$7)*CHOOSE(ArtifactsInput!$N$7+1,6,7.2,8.4,9.6,10.8,12))+IF(Inputs!$B$3&gt;=117,F503,0))/100))/Skills!D3)),0)+IF(C481=TRUE,F481*IF(AND(Inputs!$B$39&lt;&gt;"pvp",Inputs!$B$44&gt;0),(((R481-1)*(Skills!S4*(1+((Inputs!$B$35+(ArtifactsInput!$M$7-ArtifactsInput!$M$7)*CHOOSE(ArtifactsInput!$N$7+1,6,7.2,8.4,9.6,10.8,12))+IF(Inputs!$B$3&gt;=117,F503,0))/100))+MIN((Skills!S4*(1+((Inputs!$B$35+(ArtifactsInput!$M$7-ArtifactsInput!$M$7)*CHOOSE(ArtifactsInput!$N$7+1,6,7.2,8.4,9.6,10.8,12))+IF(Inputs!$B$3&gt;=117,F503,0))/100)),MAX(0,Inputs!$B$44-((R481-1)*Skills!D4))))/Inputs!$B$44),IF(Inputs!$B$39="pvp",MIN((Skills!S4*(1+((Inputs!$B$35+(ArtifactsInput!$M$7-ArtifactsInput!$M$7)*CHOOSE(ArtifactsInput!$N$7+1,6,7.2,8.4,9.6,10.8,12))+IF(Inputs!$B$3&gt;=117,F503,0))/100)),15)/15,(Skills!S4*(1+((Inputs!$B$35+(ArtifactsInput!$M$7-ArtifactsInput!$M$7)*CHOOSE(ArtifactsInput!$N$7+1,6,7.2,8.4,9.6,10.8,12))+IF(Inputs!$B$3&gt;=117,F503,0))/100))/Skills!D4)),0)+IF(C482=TRUE,F482*IF(AND(Inputs!$B$39&lt;&gt;"pvp",Inputs!$B$44&gt;0),(((R482-1)*(Skills!S5*(1+((Inputs!$B$35+(ArtifactsInput!$M$7-ArtifactsInput!$M$7)*CHOOSE(ArtifactsInput!$N$7+1,6,7.2,8.4,9.6,10.8,12))+IF(Inputs!$B$3&gt;=117,F503,0))/100))+MIN((Skills!S5*(1+((Inputs!$B$35+(ArtifactsInput!$M$7-ArtifactsInput!$M$7)*CHOOSE(ArtifactsInput!$N$7+1,6,7.2,8.4,9.6,10.8,12))+IF(Inputs!$B$3&gt;=117,F503,0))/100)),MAX(0,Inputs!$B$44-((R482-1)*Skills!D5))))/Inputs!$B$44),IF(Inputs!$B$39="pvp",MIN((Skills!S5*(1+((Inputs!$B$35+(ArtifactsInput!$M$7-ArtifactsInput!$M$7)*CHOOSE(ArtifactsInput!$N$7+1,6,7.2,8.4,9.6,10.8,12))+IF(Inputs!$B$3&gt;=117,F503,0))/100)),15)/15,(Skills!S5*(1+((Inputs!$B$35+(ArtifactsInput!$M$7-ArtifactsInput!$M$7)*CHOOSE(ArtifactsInput!$N$7+1,6,7.2,8.4,9.6,10.8,12))+IF(Inputs!$B$3&gt;=117,F503,0))/100))/Skills!D5)),0)+IF(C488=TRUE,F488*IF(AND(Inputs!$B$39&lt;&gt;"pvp",Inputs!$B$44&gt;0),(((R488-1)*(Skills!S11*(1+((Inputs!$B$35+(ArtifactsInput!$M$7-ArtifactsInput!$M$7)*CHOOSE(ArtifactsInput!$N$7+1,6,7.2,8.4,9.6,10.8,12))+IF(Inputs!$B$3&gt;=117,F503,0))/100))+MIN((Skills!S11*(1+((Inputs!$B$35+(ArtifactsInput!$M$7-ArtifactsInput!$M$7)*CHOOSE(ArtifactsInput!$N$7+1,6,7.2,8.4,9.6,10.8,12))+IF(Inputs!$B$3&gt;=117,F503,0))/100)),MAX(0,Inputs!$B$44-((R488-1)*Skills!D11))))/Inputs!$B$44),IF(Inputs!$B$39="pvp",MIN((Skills!S11*(1+((Inputs!$B$35+(ArtifactsInput!$M$7-ArtifactsInput!$M$7)*CHOOSE(ArtifactsInput!$N$7+1,6,7.2,8.4,9.6,10.8,12))+IF(Inputs!$B$3&gt;=117,F503,0))/100)),15)/15,(Skills!S11*(1+((Inputs!$B$35+(ArtifactsInput!$M$7-ArtifactsInput!$M$7)*CHOOSE(ArtifactsInput!$N$7+1,6,7.2,8.4,9.6,10.8,12))+IF(Inputs!$B$3&gt;=117,F503,0)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491=TRUE,(1+F491*IF(AND(Inputs!$B$39&lt;&gt;"pvp",Inputs!$B$44&gt;0),(((R491-1)*(Skills!S14*(1+((Inputs!$B$35+(ArtifactsInput!$M$7-ArtifactsInput!$M$7)*CHOOSE(ArtifactsInput!$N$7+1,6,7.2,8.4,9.6,10.8,12))+IF(Inputs!$B$3&gt;=117,F503,0))/100))+MIN((Skills!S14*(1+((Inputs!$B$35+(ArtifactsInput!$M$7-ArtifactsInput!$M$7)*CHOOSE(ArtifactsInput!$N$7+1,6,7.2,8.4,9.6,10.8,12))+IF(Inputs!$B$3&gt;=117,F503,0))/100)),MAX(0,Inputs!$B$44-((R491-1)*Skills!D14))))/Inputs!$B$44),IF(Inputs!$B$39="pvp",MIN((Skills!S14*(1+((Inputs!$B$35+(ArtifactsInput!$M$7-ArtifactsInput!$M$7)*CHOOSE(ArtifactsInput!$N$7+1,6,7.2,8.4,9.6,10.8,12))+IF(Inputs!$B$3&gt;=117,F503,0))/100)),15)/15,(Skills!S14*(1+((Inputs!$B$35+(ArtifactsInput!$M$7-ArtifactsInput!$M$7)*CHOOSE(ArtifactsInput!$N$7+1,6,7.2,8.4,9.6,10.8,12))+IF(Inputs!$B$3&gt;=117,F503,0))/100))/Skills!D14))/100),1)*IF(C496=TRUE,(1+F496*IF(AND(Inputs!$B$39&lt;&gt;"pvp",Inputs!$B$44&gt;0),(((R496-1)*(Skills!S19*(1+((Inputs!$B$35+(ArtifactsInput!$M$7-ArtifactsInput!$M$7)*CHOOSE(ArtifactsInput!$N$7+1,6,7.2,8.4,9.6,10.8,12))+IF(Inputs!$B$3&gt;=117,F503,0))/100))+MIN((Skills!S19*(1+((Inputs!$B$35+(ArtifactsInput!$M$7-ArtifactsInput!$M$7)*CHOOSE(ArtifactsInput!$N$7+1,6,7.2,8.4,9.6,10.8,12))+IF(Inputs!$B$3&gt;=117,F503,0))/100)),MAX(0,Inputs!$B$44-((R496-1)*Skills!D19))))/Inputs!$B$44),IF(Inputs!$B$39="pvp",MIN((Skills!S19*(1+((Inputs!$B$35+(ArtifactsInput!$M$7-ArtifactsInput!$M$7)*CHOOSE(ArtifactsInput!$N$7+1,6,7.2,8.4,9.6,10.8,12))+IF(Inputs!$B$3&gt;=117,F503,0))/100)),15)/15,(Skills!S19*(1+((Inputs!$B$35+(ArtifactsInput!$M$7-ArtifactsInput!$M$7)*CHOOSE(ArtifactsInput!$N$7+1,6,7.2,8.4,9.6,10.8,12))+IF(Inputs!$B$3&gt;=117,F503,0))/100))/Skills!D19))/100),1)</f>
        <v/>
      </c>
    </row>
    <row r="508">
      <c r="A508" t="inlineStr">
        <is>
          <t>Monster Damage Taken Bonus % (Holy Fountain)</t>
        </is>
      </c>
      <c r="B508">
        <f>IF(Inputs!$B$3&gt;=68,20*IF(Inputs!$B$39="pvp",MIN((15*(1+((Inputs!$B$35+(ArtifactsInput!$M$7-ArtifactsInput!$M$7)*CHOOSE(ArtifactsInput!$N$7+1,6,7.2,8.4,9.6,10.8,12))+IF(Inputs!$B$3&gt;=117,F503,0))/100)),15)/15,(15*(1+((Inputs!$B$35+(ArtifactsInput!$M$7-ArtifactsInput!$M$7)*CHOOSE(ArtifactsInput!$N$7+1,6,7.2,8.4,9.6,10.8,12))+IF(Inputs!$B$3&gt;=117,F503,0))/100))/Skills!D10),0)</f>
        <v/>
      </c>
    </row>
    <row r="509">
      <c r="A509" t="inlineStr">
        <is>
          <t>Normal Monster Damage Bonus % (Holy Symbol)</t>
        </is>
      </c>
      <c r="B509">
        <f>IF(C489=TRUE,F489*IF(AND(Inputs!$B$39&lt;&gt;"pvp",Inputs!$B$44&gt;0),(((R489-1)*(Skills!S12*(1+((Inputs!$B$35+(ArtifactsInput!$M$7-ArtifactsInput!$M$7)*CHOOSE(ArtifactsInput!$N$7+1,6,7.2,8.4,9.6,10.8,12))+IF(Inputs!$B$3&gt;=117,F503,0))/100))+MIN((Skills!S12*(1+((Inputs!$B$35+(ArtifactsInput!$M$7-ArtifactsInput!$M$7)*CHOOSE(ArtifactsInput!$N$7+1,6,7.2,8.4,9.6,10.8,12))+IF(Inputs!$B$3&gt;=117,F503,0))/100)),MAX(0,Inputs!$B$44-((R489-1)*Skills!D12))))/Inputs!$B$44),IF(Inputs!$B$39="pvp",MIN((Skills!S12*(1+((Inputs!$B$35+(ArtifactsInput!$M$7-ArtifactsInput!$M$7)*CHOOSE(ArtifactsInput!$N$7+1,6,7.2,8.4,9.6,10.8,12))+IF(Inputs!$B$3&gt;=117,F503,0))/100)),15)/15,(Skills!S12*(1+((Inputs!$B$35+(ArtifactsInput!$M$7-ArtifactsInput!$M$7)*CHOOSE(ArtifactsInput!$N$7+1,6,7.2,8.4,9.6,10.8,12))+IF(Inputs!$B$3&gt;=117,F503,0))/100))/Skills!D12)),0)</f>
        <v/>
      </c>
    </row>
    <row r="510">
      <c r="A510" t="inlineStr">
        <is>
          <t>Damage % Bonus (Holy Symbol - Damage Boost)</t>
        </is>
      </c>
      <c r="B510">
        <f>Skills!O12</f>
        <v/>
      </c>
    </row>
    <row r="511">
      <c r="A511" t="inlineStr">
        <is>
          <t>Crit Damage % Bonus (Blood of the Divine)</t>
        </is>
      </c>
      <c r="B511">
        <f>4*IF(C497=TRUE,F497,0)</f>
        <v/>
      </c>
    </row>
    <row r="512">
      <c r="A512" t="inlineStr">
        <is>
          <t>Attack Speed Bonus %</t>
        </is>
      </c>
      <c r="B512">
        <f>IF(C494=TRUE,F494+(F498-Calc!F21),0)+IF(Inputs!$B$3&gt;=134,15,0)+((C505=TRUE)*F505*IF(AND(Inputs!$B$39&lt;&gt;"pvp",Inputs!$B$44&gt;0),(((R505-1)*(Skills!S28*(1+((Inputs!$B$35+(ArtifactsInput!$M$7-ArtifactsInput!$M$7)*CHOOSE(ArtifactsInput!$N$7+1,6,7.2,8.4,9.6,10.8,12))+IF(Inputs!$B$3&gt;=117,F503,0))/100))+MIN((Skills!S28*(1+((Inputs!$B$35+(ArtifactsInput!$M$7-ArtifactsInput!$M$7)*CHOOSE(ArtifactsInput!$N$7+1,6,7.2,8.4,9.6,10.8,12))+IF(Inputs!$B$3&gt;=117,F503,0))/100)),MAX(0,Inputs!$B$44-((R505-1)*Skills!D28))))/Inputs!$B$44),IF(Inputs!$B$39="pvp",MIN((Skills!S28*(1+((Inputs!$B$35+(ArtifactsInput!$M$7-ArtifactsInput!$M$7)*CHOOSE(ArtifactsInput!$N$7+1,6,7.2,8.4,9.6,10.8,12))+IF(Inputs!$B$3&gt;=117,F503,0))/100)),15)/15,(Skills!S28*(1+((Inputs!$B$35+(ArtifactsInput!$M$7-ArtifactsInput!$M$7)*CHOOSE(ArtifactsInput!$N$7+1,6,7.2,8.4,9.6,10.8,12))+IF(Inputs!$B$3&gt;=117,F503,0))/100))/Skills!D28)))</f>
        <v/>
      </c>
    </row>
    <row r="513">
      <c r="A513" t="inlineStr">
        <is>
          <t>Actions Per Second</t>
        </is>
      </c>
      <c r="B513">
        <f>1+MIN(150,150*(1-(1-Inputs!$B$12/150)*(1-B512/150)))/100</f>
        <v/>
      </c>
    </row>
    <row r="514">
      <c r="A514" t="inlineStr">
        <is>
          <t>Skill + Buff Cast Rate</t>
        </is>
      </c>
      <c r="B514">
        <f>IF(AND(Inputs!$B$39&lt;&gt;"pvp",Inputs!$B$44&gt;0),SUMPRODUCT((Skills!E2:E28=TRUE)*(C479:C505=TRUE)*R479:R505)/Inputs!$B$44,SUMPRODUCT((Skills!E2:E28=TRUE)*(C479:C505=TRUE)*Q479:Q505))</f>
        <v/>
      </c>
    </row>
    <row r="515">
      <c r="A515" t="inlineStr">
        <is>
          <t>Big Bang Casts Per Second</t>
        </is>
      </c>
      <c r="B515">
        <f>MAX(0,B513-B514)</f>
        <v/>
      </c>
    </row>
    <row r="516">
      <c r="A516" t="inlineStr">
        <is>
          <t>Defense % Bonus (Divine Protection)</t>
        </is>
      </c>
      <c r="B516">
        <f>IF(C490=TRUE,F490*IF(AND(Inputs!$B$39&lt;&gt;"pvp",Inputs!$B$44&gt;0),(((R490-1)*(Skills!S13*(1+((Inputs!$B$35+(ArtifactsInput!$M$7-ArtifactsInput!$M$7)*CHOOSE(ArtifactsInput!$N$7+1,6,7.2,8.4,9.6,10.8,12))+IF(Inputs!$B$3&gt;=117,F503,0))/100))+MIN((Skills!S13*(1+((Inputs!$B$35+(ArtifactsInput!$M$7-ArtifactsInput!$M$7)*CHOOSE(ArtifactsInput!$N$7+1,6,7.2,8.4,9.6,10.8,12))+IF(Inputs!$B$3&gt;=117,F503,0))/100)),MAX(0,Inputs!$B$44-((R490-1)*Skills!D13))))/Inputs!$B$44),IF(Inputs!$B$39="pvp",MIN((Skills!S13*(1+((Inputs!$B$35+(ArtifactsInput!$M$7-ArtifactsInput!$M$7)*CHOOSE(ArtifactsInput!$N$7+1,6,7.2,8.4,9.6,10.8,12))+IF(Inputs!$B$3&gt;=117,F503,0))/100)),15)/15,(Skills!S13*(1+((Inputs!$B$35+(ArtifactsInput!$M$7-ArtifactsInput!$M$7)*CHOOSE(ArtifactsInput!$N$7+1,6,7.2,8.4,9.6,10.8,12))+IF(Inputs!$B$3&gt;=117,F503,0))/100))/Skills!D13)),0)</f>
        <v/>
      </c>
    </row>
    <row r="517">
      <c r="A517" t="inlineStr">
        <is>
          <t>Buff-Casting Startup Delay (s, fixed-duration only)</t>
        </is>
      </c>
      <c r="B517">
        <f>IF(AND(Inputs!$B$39&lt;&gt;"pvp",Inputs!$B$44&gt;0),SUMPRODUCT((Skills!S2:S28&gt;0)*(Skills!E2:E28=TRUE)*(C479:C505=TRUE))/B513,0)</f>
        <v/>
      </c>
    </row>
    <row r="518">
      <c r="A518" t="inlineStr">
        <is>
          <t>Boss-Only Total DPS (this block's swept value)</t>
        </is>
      </c>
      <c r="B518">
        <f>SUM(S479:S505)</f>
        <v/>
      </c>
    </row>
    <row r="519">
      <c r="A519" t="inlineStr">
        <is>
          <t>Normal-Only Total DPS (this block's swept value)</t>
        </is>
      </c>
      <c r="B519">
        <f>SUM(U479:U505)</f>
        <v/>
      </c>
    </row>
    <row r="520">
      <c r="A520" s="6" t="inlineStr">
        <is>
          <t>TOTAL DPS</t>
        </is>
      </c>
      <c r="B520" s="6">
        <f>SUM(O479:O505)</f>
        <v/>
      </c>
    </row>
    <row r="522">
      <c r="A522" s="6" t="inlineStr">
        <is>
          <t>Stat: MAX_DAMAGE %</t>
        </is>
      </c>
    </row>
    <row r="523">
      <c r="A523" s="5" t="inlineStr">
        <is>
          <t>Key</t>
        </is>
      </c>
      <c r="B523" s="5" t="inlineStr">
        <is>
          <t>Name</t>
        </is>
      </c>
      <c r="C523" s="5" t="inlineStr">
        <is>
          <t>Unlocked</t>
        </is>
      </c>
      <c r="D523" s="5" t="inlineStr">
        <is>
          <t>InputLevel</t>
        </is>
      </c>
      <c r="E523" s="5" t="inlineStr">
        <is>
          <t>Factor</t>
        </is>
      </c>
      <c r="F523" s="5" t="inlineStr">
        <is>
          <t>CoefficientPercent</t>
        </is>
      </c>
      <c r="G523" s="5" t="inlineStr">
        <is>
          <t>EffectiveHits</t>
        </is>
      </c>
      <c r="H523" s="5" t="inlineStr">
        <is>
          <t>ProcProbability</t>
        </is>
      </c>
      <c r="I523" s="5" t="inlineStr">
        <is>
          <t>MapleHeroMultiplier</t>
        </is>
      </c>
      <c r="J523" s="5" t="inlineStr">
        <is>
          <t>BaseDamage</t>
        </is>
      </c>
      <c r="K523" s="5" t="inlineStr">
        <is>
          <t>BaseHitDamage</t>
        </is>
      </c>
      <c r="L523" s="5" t="inlineStr">
        <is>
          <t>NonCritAvg</t>
        </is>
      </c>
      <c r="M523" s="5" t="inlineStr">
        <is>
          <t>CritAvg</t>
        </is>
      </c>
      <c r="N523" s="5" t="inlineStr">
        <is>
          <t>ExpectedDamage(perHit)</t>
        </is>
      </c>
      <c r="O523" s="5" t="inlineStr">
        <is>
          <t>DPS</t>
        </is>
      </c>
      <c r="P523" s="5" t="inlineStr">
        <is>
          <t>% of Total</t>
        </is>
      </c>
      <c r="R523" t="inlineStr">
        <is>
          <t>helpers</t>
        </is>
      </c>
    </row>
    <row r="524">
      <c r="A524">
        <f>Skills!A2</f>
        <v/>
      </c>
      <c r="B524">
        <f>Skills!B2</f>
        <v/>
      </c>
      <c r="C524">
        <f>Inputs!$B$3&gt;=100</f>
        <v/>
      </c>
      <c r="D524" t="inlineStr"/>
      <c r="E524" t="inlineStr"/>
      <c r="F524">
        <f>T526+Skills!N2</f>
        <v/>
      </c>
      <c r="G524">
        <f>Calc!G2</f>
        <v/>
      </c>
      <c r="H524">
        <f>Calc!H2</f>
        <v/>
      </c>
      <c r="I524">
        <f>IF(Skills!T2&lt;&gt;"",1+(Skills!T2/10)*($Z$3/1000)/100,1)</f>
        <v/>
      </c>
      <c r="J524">
        <f>((Inputs!$B$6*(1+Inputs!$B$7/100))+(((Inputs!$B$13*(1+Inputs!$B$14/100))-(Inputs!$B$13*(1+Inputs!$B$14/100)))+0.25*(Inputs!$B$15-Inputs!$B$15))*(1+Inputs!$B$7/100))*(F524/100)</f>
        <v/>
      </c>
      <c r="K524">
        <f>J524*(1+(((Inputs!$B$13+IF(Inputs!$B$3&gt;=35,(10*INDEX(FactorTable!$B$2:$Y$301,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2="TRIUMPH_FEATHER",IF(C538=TRUE,F538,0),0)/100)*(1+IF(C549=TRUE,F549,0)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524)</f>
        <v/>
      </c>
      <c r="L524">
        <f>K524*(MIN(Inputs!$B$23+(F544-Calc!F22),((Inputs!$B$24+1)+IF(ArtifactsInput!$M$15,CHOOSE(ArtifactsInput!$N$15+1,25,30,35,40,45,50)/100*(Inputs!$B$12-Inputs!$B$12),0)))/100+((Inputs!$B$24+1)+IF(ArtifactsInput!$M$15,CHOOSE(ArtifactsInput!$N$15+1,25,30,35,40,45,50)/100*(Inputs!$B$12-Inputs!$B$12),0))/100)/2</f>
        <v/>
      </c>
      <c r="M524">
        <f>L524*(1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4">
        <f>L524*(1-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(1-Summary!$B$11)*S524+Summary!$B$11*U524</f>
        <v/>
      </c>
      <c r="P524">
        <f>IF(B565=0,0,O524/B565)</f>
        <v/>
      </c>
      <c r="Q524">
        <f>IFERROR(1/(IF(Inputs!$B$39="pvp",15,MAX(0.1,Skills!D2-IF(Skills!E2=TRUE,Inputs!$B$33,0)))*(1-IF(AND(ArtifactsInput!$M$27,Inputs!$B$4="Chapter Hunt"),CHOOSE(ArtifactsInput!$N$27+1,20,24,28,32,36,40),0)/100)),0)</f>
        <v/>
      </c>
      <c r="R524" t="n">
        <v>0</v>
      </c>
      <c r="S524">
        <f>IF(C524,(Skills!F2*N524*B560)*IF(Inputs!$B$39="pvp",1,1+(Inputs!$B$21+Skills!O2+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524*(1-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24">
        <f>MAX(0,(Inputs!$B$3-100)*3)+Inputs!$B$29+Inputs!$B$30</f>
        <v/>
      </c>
      <c r="U524">
        <f>IF(C524,(Skills!F2*N524*B560)*IF(Inputs!$B$39="pvp",1,(1+(Inputs!$B$22+Skills!P2+B554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Skills!A3</f>
        <v/>
      </c>
      <c r="B525">
        <f>Skills!B3</f>
        <v/>
      </c>
      <c r="C525">
        <f>Inputs!$B$3&gt;=15</f>
        <v/>
      </c>
      <c r="D525">
        <f>IF(Skills!C3=1,60+Inputs!$B$26+Inputs!$B$30,IF(Skills!C3=2,90+Inputs!$B$27+Inputs!$B$30,IF(Skills!C3=3,120+Inputs!$B$28+Inputs!$B$30,MAX(0,(Inputs!$B$3-100)*3)+Inputs!$B$29+Inputs!$B$30)))</f>
        <v/>
      </c>
      <c r="E525">
        <f>INDEX(FactorTable!$B$2:$Y$301, MATCH(ROUND(MIN(300,MAX(1,D525)),0), FactorTable!$A$2:$A$301,0), Skills!L3+1)</f>
        <v/>
      </c>
      <c r="F525">
        <f>IF(Skills!M3=TRUE,(Skills!K3/10)*(E525/1000),Skills!K3/10)+Skills!N3</f>
        <v/>
      </c>
      <c r="G525">
        <f>Calc!G3</f>
        <v/>
      </c>
      <c r="H525">
        <f>Calc!H3</f>
        <v/>
      </c>
      <c r="I525">
        <f>IF(Skills!T3&lt;&gt;"",1+(Skills!T3/10)*($Z$3/1000)/100,1)</f>
        <v/>
      </c>
      <c r="J525" t="inlineStr"/>
      <c r="K525" t="inlineStr"/>
      <c r="L525" t="inlineStr"/>
      <c r="M525" t="inlineStr"/>
      <c r="N525" t="inlineStr"/>
      <c r="O525">
        <f>(1-Summary!$B$11)*S525+Summary!$B$11*U525</f>
        <v/>
      </c>
      <c r="P525">
        <f>IF(B565=0,0,O525/B565)</f>
        <v/>
      </c>
      <c r="Q525">
        <f>IFERROR(1/(IF(Inputs!$B$39="pvp",15,MAX(0.1,Skills!D3-IF(Skills!E3=TRUE,Inputs!$B$33,0)))*(1-IF(AND(ArtifactsInput!$M$27,Inputs!$B$4="Chapter Hunt"),CHOOSE(ArtifactsInput!$N$27+1,20,24,28,32,36,40),0)/100)),0)</f>
        <v/>
      </c>
      <c r="R525">
        <f>IF(AND(Inputs!$B$39&lt;&gt;"pvp",Inputs!$B$44&gt;0),IF(Inputs!$B$44&lt;=0,0,(INT(Inputs!$B$44/(IF(Inputs!$B$39="pvp",15,MAX(0.1,Skills!D3-IF(Skills!E3=TRUE,Inputs!$B$33,0)))*(1-IF(AND(ArtifactsInput!$M$27,Inputs!$B$4="Chapter Hunt"),CHOOSE(ArtifactsInput!$N$27+1,20,24,28,32,36,40),0)/100)))+1)),0)</f>
        <v/>
      </c>
      <c r="S525" t="n">
        <v>0</v>
      </c>
      <c r="T525">
        <f>INDEX(FactorTable!$B$2:$Y$301, MATCH(ROUND(MIN(300,MAX(1,T524)),0), FactorTable!$A$2:$A$301,0), 22)</f>
        <v/>
      </c>
      <c r="U525" t="n">
        <v>0</v>
      </c>
    </row>
    <row r="526">
      <c r="A526">
        <f>Skills!A4</f>
        <v/>
      </c>
      <c r="B526">
        <f>Skills!B4</f>
        <v/>
      </c>
      <c r="C526">
        <f>Inputs!$B$3&gt;=38</f>
        <v/>
      </c>
      <c r="D526">
        <f>IF(Skills!C4=1,60+Inputs!$B$26+Inputs!$B$30,IF(Skills!C4=2,90+Inputs!$B$27+Inputs!$B$30,IF(Skills!C4=3,120+Inputs!$B$28+Inputs!$B$30,MAX(0,(Inputs!$B$3-100)*3)+Inputs!$B$29+Inputs!$B$30)))</f>
        <v/>
      </c>
      <c r="E526">
        <f>INDEX(FactorTable!$B$2:$Y$301, MATCH(ROUND(MIN(300,MAX(1,D526)),0), FactorTable!$A$2:$A$301,0), Skills!L4+1)</f>
        <v/>
      </c>
      <c r="F526">
        <f>IF(Skills!M4=TRUE,(Skills!K4/10)*(E526/1000),Skills!K4/10)+Skills!N4</f>
        <v/>
      </c>
      <c r="G526">
        <f>Calc!G4</f>
        <v/>
      </c>
      <c r="H526">
        <f>Calc!H4</f>
        <v/>
      </c>
      <c r="I526">
        <f>IF(Skills!T4&lt;&gt;"",1+(Skills!T4/10)*($Z$3/1000)/100,1)</f>
        <v/>
      </c>
      <c r="J526" t="inlineStr"/>
      <c r="K526" t="inlineStr"/>
      <c r="L526" t="inlineStr"/>
      <c r="M526" t="inlineStr"/>
      <c r="N526" t="inlineStr"/>
      <c r="O526">
        <f>(1-Summary!$B$11)*S526+Summary!$B$11*U526</f>
        <v/>
      </c>
      <c r="P526">
        <f>IF(B565=0,0,O526/B565)</f>
        <v/>
      </c>
      <c r="Q526">
        <f>IFERROR(1/(IF(Inputs!$B$39="pvp",15,MAX(0.1,Skills!D4-IF(Skills!E4=TRUE,Inputs!$B$33,0)))*(1-IF(AND(ArtifactsInput!$M$27,Inputs!$B$4="Chapter Hunt"),CHOOSE(ArtifactsInput!$N$27+1,20,24,28,32,36,40),0)/100)),0)</f>
        <v/>
      </c>
      <c r="R526">
        <f>IF(AND(Inputs!$B$39&lt;&gt;"pvp",Inputs!$B$44&gt;0),IF(Inputs!$B$44&lt;=0,0,(INT(Inputs!$B$44/(IF(Inputs!$B$39="pvp",15,MAX(0.1,Skills!D4-IF(Skills!E4=TRUE,Inputs!$B$33,0)))*(1-IF(AND(ArtifactsInput!$M$27,Inputs!$B$4="Chapter Hunt"),CHOOSE(ArtifactsInput!$N$27+1,20,24,28,32,36,40),0)/100)))+1)),0)</f>
        <v/>
      </c>
      <c r="S526" t="n">
        <v>0</v>
      </c>
      <c r="T526">
        <f>290*T525/1000</f>
        <v/>
      </c>
      <c r="U526" t="n">
        <v>0</v>
      </c>
    </row>
    <row r="527">
      <c r="A527">
        <f>Skills!A5</f>
        <v/>
      </c>
      <c r="B527">
        <f>Skills!B5</f>
        <v/>
      </c>
      <c r="C527">
        <f>Inputs!$B$3&gt;=40</f>
        <v/>
      </c>
      <c r="D527">
        <f>IF(Skills!C5=1,60+Inputs!$B$26+Inputs!$B$30,IF(Skills!C5=2,90+Inputs!$B$27+Inputs!$B$30,IF(Skills!C5=3,120+Inputs!$B$28+Inputs!$B$30,MAX(0,(Inputs!$B$3-100)*3)+Inputs!$B$29+Inputs!$B$30)))</f>
        <v/>
      </c>
      <c r="E527">
        <f>INDEX(FactorTable!$B$2:$Y$301, MATCH(ROUND(MIN(300,MAX(1,D527)),0), FactorTable!$A$2:$A$301,0), Skills!L5+1)</f>
        <v/>
      </c>
      <c r="F527">
        <f>IF(Skills!M5=TRUE,(Skills!K5/10)*(E527/1000),Skills!K5/10)+Skills!N5</f>
        <v/>
      </c>
      <c r="G527">
        <f>Calc!G5</f>
        <v/>
      </c>
      <c r="H527">
        <f>Calc!H5</f>
        <v/>
      </c>
      <c r="I527">
        <f>IF(Skills!T5&lt;&gt;"",1+(Skills!T5/10)*($Z$3/1000)/100,1)</f>
        <v/>
      </c>
      <c r="J527" t="inlineStr"/>
      <c r="K527" t="inlineStr"/>
      <c r="L527" t="inlineStr"/>
      <c r="M527" t="inlineStr"/>
      <c r="N527" t="inlineStr"/>
      <c r="O527">
        <f>(1-Summary!$B$11)*S527+Summary!$B$11*U527</f>
        <v/>
      </c>
      <c r="P527">
        <f>IF(B565=0,0,O527/B565)</f>
        <v/>
      </c>
      <c r="Q527">
        <f>IFERROR(1/(IF(Inputs!$B$39="pvp",15,MAX(0.1,Skills!D5-IF(Skills!E5=TRUE,Inputs!$B$33,0)))*(1-IF(AND(ArtifactsInput!$M$27,Inputs!$B$4="Chapter Hunt"),CHOOSE(ArtifactsInput!$N$27+1,20,24,28,32,36,40),0)/100)),0)</f>
        <v/>
      </c>
      <c r="R527">
        <f>IF(AND(Inputs!$B$39&lt;&gt;"pvp",Inputs!$B$44&gt;0),IF(Inputs!$B$44&lt;=0,0,(INT(Inputs!$B$44/(IF(Inputs!$B$39="pvp",15,MAX(0.1,Skills!D5-IF(Skills!E5=TRUE,Inputs!$B$33,0)))*(1-IF(AND(ArtifactsInput!$M$27,Inputs!$B$4="Chapter Hunt"),CHOOSE(ArtifactsInput!$N$27+1,20,24,28,32,36,40),0)/100)))+1)),0)</f>
        <v/>
      </c>
      <c r="S527" t="n">
        <v>0</v>
      </c>
      <c r="U527" t="n">
        <v>0</v>
      </c>
    </row>
    <row r="528">
      <c r="A528">
        <f>Skills!A6</f>
        <v/>
      </c>
      <c r="B528">
        <f>Skills!B6</f>
        <v/>
      </c>
      <c r="C528">
        <f>Inputs!$B$3&gt;=103</f>
        <v/>
      </c>
      <c r="D528">
        <f>IF(Skills!C6=1,60+Inputs!$B$26+Inputs!$B$30,IF(Skills!C6=2,90+Inputs!$B$27+Inputs!$B$30,IF(Skills!C6=3,120+Inputs!$B$28+Inputs!$B$30,MAX(0,(Inputs!$B$3-100)*3)+Inputs!$B$29+Inputs!$B$30)))</f>
        <v/>
      </c>
      <c r="E528">
        <f>INDEX(FactorTable!$B$2:$Y$301, MATCH(ROUND(MIN(300,MAX(1,D528)),0), FactorTable!$A$2:$A$301,0), Skills!L6+1)</f>
        <v/>
      </c>
      <c r="F528">
        <f>IF(Skills!M6=TRUE,(Skills!K6/10)*(E528/1000),Skills!K6/10)+Skills!N6</f>
        <v/>
      </c>
      <c r="G528">
        <f>Calc!G6</f>
        <v/>
      </c>
      <c r="H528">
        <f>Calc!H6</f>
        <v/>
      </c>
      <c r="I528">
        <f>IF(Skills!T6&lt;&gt;"",1+(Skills!T6/10)*($Z$3/1000)/100,1)</f>
        <v/>
      </c>
      <c r="J528">
        <f>((Inputs!$B$6*(1+Inputs!$B$7/100))+(((Inputs!$B$13*(1+Inputs!$B$14/100))-(Inputs!$B$13*(1+Inputs!$B$14/100)))+0.25*(Inputs!$B$15-Inputs!$B$15))*(1+Inputs!$B$7/100))*(F528/100)</f>
        <v/>
      </c>
      <c r="K528">
        <f>J528*(1+(((Inputs!$B$13+IF(Inputs!$B$3&gt;=35,(10*INDEX(FactorTable!$B$2:$Y$301,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6="TRIUMPH_FEATHER",IF(C538=TRUE,F538,0),0)/100)*(1+IF(C549=TRUE,F549,0)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528)</f>
        <v/>
      </c>
      <c r="L528">
        <f>K528*(MIN(Inputs!$B$23+(F544-Calc!F22),((Inputs!$B$24+1)+IF(ArtifactsInput!$M$15,CHOOSE(ArtifactsInput!$N$15+1,25,30,35,40,45,50)/100*(Inputs!$B$12-Inputs!$B$12),0)))/100+((Inputs!$B$24+1)+IF(ArtifactsInput!$M$15,CHOOSE(ArtifactsInput!$N$15+1,25,30,35,40,45,50)/100*(Inputs!$B$12-Inputs!$B$12),0))/100)/2</f>
        <v/>
      </c>
      <c r="M528">
        <f>L528*(1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8">
        <f>L528*(1-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(1-Summary!$B$11)*S528+Summary!$B$11*U528</f>
        <v/>
      </c>
      <c r="P528">
        <f>IF(B565=0,0,O528/B565)</f>
        <v/>
      </c>
      <c r="Q528">
        <f>IFERROR(1/(IF(Inputs!$B$39="pvp",15,MAX(0.1,Skills!D6-IF(Skills!E6=TRUE,Inputs!$B$33,0)))*(1-IF(AND(ArtifactsInput!$M$27,Inputs!$B$4="Chapter Hunt"),CHOOSE(ArtifactsInput!$N$27+1,20,24,28,32,36,40),0)/100)),0)</f>
        <v/>
      </c>
      <c r="R528">
        <f>IF(AND(Inputs!$B$39&lt;&gt;"pvp",Inputs!$B$44&gt;0),IF(MAX(0,Inputs!$B$44-B562)&lt;=0,0,(INT(MAX(0,Inputs!$B$44-B562)/(IF(Inputs!$B$39="pvp",15,MAX(0.1,Skills!D6-IF(Skills!E6=TRUE,Inputs!$B$33,0)))*(1-IF(AND(ArtifactsInput!$M$27,Inputs!$B$4="Chapter Hunt"),CHOOSE(ArtifactsInput!$N$27+1,20,24,28,32,36,40),0)/100)))+1)),0)</f>
        <v/>
      </c>
      <c r="S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$21+Skills!O6+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528*(1-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$22+Skills!P6+B554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Skills!A7</f>
        <v/>
      </c>
      <c r="B529">
        <f>Skills!B7</f>
        <v/>
      </c>
      <c r="C529">
        <f>Inputs!$B$3&gt;=122</f>
        <v/>
      </c>
      <c r="D529">
        <f>IF(Skills!C7=1,60+Inputs!$B$26+Inputs!$B$30,IF(Skills!C7=2,90+Inputs!$B$27+Inputs!$B$30,IF(Skills!C7=3,120+Inputs!$B$28+Inputs!$B$30,MAX(0,(Inputs!$B$3-100)*3)+Inputs!$B$29+Inputs!$B$30)))</f>
        <v/>
      </c>
      <c r="E529">
        <f>INDEX(FactorTable!$B$2:$Y$301, MATCH(ROUND(MIN(300,MAX(1,D529)),0), FactorTable!$A$2:$A$301,0), Skills!L7+1)</f>
        <v/>
      </c>
      <c r="F529">
        <f>IF(Skills!M7=TRUE,(Skills!K7/10)*(E529/1000),Skills!K7/10)+Skills!N7</f>
        <v/>
      </c>
      <c r="G529">
        <f>Calc!G7</f>
        <v/>
      </c>
      <c r="H529">
        <f>Calc!H7</f>
        <v/>
      </c>
      <c r="I529">
        <f>IF(Skills!T7&lt;&gt;"",1+(Skills!T7/10)*($Z$3/1000)/100,1)</f>
        <v/>
      </c>
      <c r="J529">
        <f>((Inputs!$B$6*(1+Inputs!$B$7/100))+(((Inputs!$B$13*(1+Inputs!$B$14/100))-(Inputs!$B$13*(1+Inputs!$B$14/100)))+0.25*(Inputs!$B$15-Inputs!$B$15))*(1+Inputs!$B$7/100))*(F529/100)</f>
        <v/>
      </c>
      <c r="K529">
        <f>J529*(1+(((Inputs!$B$13+IF(Inputs!$B$3&gt;=35,(10*INDEX(FactorTable!$B$2:$Y$301,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7="TRIUMPH_FEATHER",IF(C538=TRUE,F538,0),0)/100)*(1+IF(C549=TRUE,F549,0)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529)</f>
        <v/>
      </c>
      <c r="L529">
        <f>K529*(MIN(Inputs!$B$23+(F544-Calc!F22),((Inputs!$B$24+1)+IF(ArtifactsInput!$M$15,CHOOSE(ArtifactsInput!$N$15+1,25,30,35,40,45,50)/100*(Inputs!$B$12-Inputs!$B$12),0)))/100+((Inputs!$B$24+1)+IF(ArtifactsInput!$M$15,CHOOSE(ArtifactsInput!$N$15+1,25,30,35,40,45,50)/100*(Inputs!$B$12-Inputs!$B$12),0))/100)/2</f>
        <v/>
      </c>
      <c r="M529">
        <f>L529*(1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9">
        <f>L529*(1-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(1-Summary!$B$11)*S529+Summary!$B$11*U529</f>
        <v/>
      </c>
      <c r="P529">
        <f>IF(B565=0,0,O529/B565)</f>
        <v/>
      </c>
      <c r="Q529">
        <f>IFERROR(1/(IF(Inputs!$B$39="pvp",15,MAX(0.1,Skills!D7-IF(Skills!E6=TRUE,Inputs!$B$33,0)))*(1-IF(AND(ArtifactsInput!$M$27,Inputs!$B$4="Chapter Hunt"),CHOOSE(ArtifactsInput!$N$27+1,20,24,28,32,36,40),0)/100)),0)</f>
        <v/>
      </c>
      <c r="R529">
        <f>IF(AND(Inputs!$B$39&lt;&gt;"pvp",Inputs!$B$44&gt;0),IF(MAX(0,Inputs!$B$44-B562)&lt;=0,0,(INT(MAX(0,Inputs!$B$44-B562)/(IF(Inputs!$B$39="pvp",15,MAX(0.1,Skills!D7-IF(Skills!E6=TRUE,Inputs!$B$33,0)))*(1-IF(AND(ArtifactsInput!$M$27,Inputs!$B$4="Chapter Hunt"),CHOOSE(ArtifactsInput!$N$27+1,20,24,28,32,36,40),0)/100)))+1)),0)</f>
        <v/>
      </c>
      <c r="S529">
        <f>IF(C529,H529*N529*IF(AND(Inputs!$B$39&lt;&gt;"pvp",Inputs!$B$44&gt;0),((Skills!F7*((R529-1)*IF(Skills!G7&gt;0,Skills!H7/Skills!G7,1)+IF(Skills!G7&gt;0,MIN(Skills!H7,MAX(0,MAX(0,Inputs!$B$44-B562)-((R529-1)*(IF(Inputs!$B$39="pvp",15,MAX(0.1,Skills!D7-IF(Skills!E6=TRUE,Inputs!$B$33,0)))*(1-IF(AND(ArtifactsInput!$M$27,Inputs!$B$4="Chapter Hunt"),CHOOSE(ArtifactsInput!$N$27+1,20,24,28,32,36,40),0)/100)))))/Skills!G7,1)))/Inputs!$B$44),G529*Q529)*IF(Inputs!$B$39="pvp",1,1+(Inputs!$B$21+Skills!O7+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529*(1-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9" t="n">
        <v>0</v>
      </c>
    </row>
    <row r="530">
      <c r="A530">
        <f>Skills!A8</f>
        <v/>
      </c>
      <c r="B530">
        <f>Skills!B8</f>
        <v/>
      </c>
      <c r="C530">
        <f>Inputs!$B$3&gt;=105</f>
        <v/>
      </c>
      <c r="D530">
        <f>IF(Skills!C8=1,60+Inputs!$B$26+Inputs!$B$30,IF(Skills!C8=2,90+Inputs!$B$27+Inputs!$B$30,IF(Skills!C8=3,120+Inputs!$B$28+Inputs!$B$30,MAX(0,(Inputs!$B$3-100)*3)+Inputs!$B$29+Inputs!$B$30)))</f>
        <v/>
      </c>
      <c r="E530">
        <f>INDEX(FactorTable!$B$2:$Y$301, MATCH(ROUND(MIN(300,MAX(1,D530)),0), FactorTable!$A$2:$A$301,0), Skills!L8+1)</f>
        <v/>
      </c>
      <c r="F530">
        <f>IF(Skills!M8=TRUE,(Skills!K8/10)*(E530/1000),Skills!K8/10)+Skills!N8</f>
        <v/>
      </c>
      <c r="G530">
        <f>Calc!G8</f>
        <v/>
      </c>
      <c r="H530">
        <f>Calc!H8</f>
        <v/>
      </c>
      <c r="I530">
        <f>IF(Skills!T8&lt;&gt;"",1+(Skills!T8/10)*($Z$3/1000)/100,1)</f>
        <v/>
      </c>
      <c r="J530">
        <f>((Inputs!$B$6*(1+Inputs!$B$7/100))+(((Inputs!$B$13*(1+Inputs!$B$14/100))-(Inputs!$B$13*(1+Inputs!$B$14/100)))+0.25*(Inputs!$B$15-Inputs!$B$15))*(1+Inputs!$B$7/100))*(F530/100)</f>
        <v/>
      </c>
      <c r="K530">
        <f>J530*(1+(((Inputs!$B$13+IF(Inputs!$B$3&gt;=35,(10*INDEX(FactorTable!$B$2:$Y$301,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8="TRIUMPH_FEATHER",IF(C538=TRUE,F538,0),0)/100)*(1+IF(C549=TRUE,F549,0)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530)</f>
        <v/>
      </c>
      <c r="L530">
        <f>K530*(MIN(Inputs!$B$23+(F544-Calc!F22),((Inputs!$B$24+1)+IF(ArtifactsInput!$M$15,CHOOSE(ArtifactsInput!$N$15+1,25,30,35,40,45,50)/100*(Inputs!$B$12-Inputs!$B$12),0)))/100+((Inputs!$B$24+1)+IF(ArtifactsInput!$M$15,CHOOSE(ArtifactsInput!$N$15+1,25,30,35,40,45,50)/100*(Inputs!$B$12-Inputs!$B$12),0))/100)/2</f>
        <v/>
      </c>
      <c r="M530">
        <f>L530*(1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0">
        <f>L530*(1-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(1-Summary!$B$11)*S530+Summary!$B$11*U530</f>
        <v/>
      </c>
      <c r="P530">
        <f>IF(B565=0,0,O530/B565)</f>
        <v/>
      </c>
      <c r="Q530">
        <f>IFERROR(1/(IF(Inputs!$B$39="pvp",15,MAX(0.1,Skills!D8-IF(Skills!E8=TRUE,Inputs!$B$33,0)))*(1-IF(AND(ArtifactsInput!$M$27,Inputs!$B$4="Chapter Hunt"),CHOOSE(ArtifactsInput!$N$27+1,20,24,28,32,36,40),0)/100)),0)</f>
        <v/>
      </c>
      <c r="R530">
        <f>IF(AND(Inputs!$B$39&lt;&gt;"pvp",Inputs!$B$44&gt;0),IF(MAX(0,Inputs!$B$44-B562)&lt;=0,0,(INT(MAX(0,Inputs!$B$44-B562)/(IF(Inputs!$B$39="pvp",15,MAX(0.1,Skills!D8-IF(Skills!E8=TRUE,Inputs!$B$33,0)))*(1-IF(AND(ArtifactsInput!$M$27,Inputs!$B$4="Chapter Hunt"),CHOOSE(ArtifactsInput!$N$27+1,20,24,28,32,36,40),0)/100)))+1)),0)</f>
        <v/>
      </c>
      <c r="S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$21+Skills!O8+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530*(1-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$22+Skills!P8+B554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Skills!A9</f>
        <v/>
      </c>
      <c r="B531">
        <f>Skills!B9</f>
        <v/>
      </c>
      <c r="C531">
        <f>Inputs!$B$3&gt;=115</f>
        <v/>
      </c>
      <c r="D531">
        <f>IF(Skills!C9=1,60+Inputs!$B$26+Inputs!$B$30,IF(Skills!C9=2,90+Inputs!$B$27+Inputs!$B$30,IF(Skills!C9=3,120+Inputs!$B$28+Inputs!$B$30,MAX(0,(Inputs!$B$3-100)*3)+Inputs!$B$29+Inputs!$B$30)))</f>
        <v/>
      </c>
      <c r="E531">
        <f>INDEX(FactorTable!$B$2:$Y$301, MATCH(ROUND(MIN(300,MAX(1,D531)),0), FactorTable!$A$2:$A$301,0), Skills!L9+1)</f>
        <v/>
      </c>
      <c r="F531">
        <f>IF(Skills!M9=TRUE,(Skills!K9/10)*(E531/1000),Skills!K9/10)+Skills!N9</f>
        <v/>
      </c>
      <c r="G531">
        <f>Calc!G9</f>
        <v/>
      </c>
      <c r="H531">
        <f>Calc!H9</f>
        <v/>
      </c>
      <c r="I531">
        <f>IF(Skills!T9&lt;&gt;"",1+(Skills!T9/10)*($Z$3/1000)/100,1)</f>
        <v/>
      </c>
      <c r="J531">
        <f>((Inputs!$B$6*(1+Inputs!$B$7/100))+(((Inputs!$B$13*(1+Inputs!$B$14/100))-(Inputs!$B$13*(1+Inputs!$B$14/100)))+0.25*(Inputs!$B$15-Inputs!$B$15))*(1+Inputs!$B$7/100))*(F531/100)</f>
        <v/>
      </c>
      <c r="K531">
        <f>J531*(1+(((Inputs!$B$13+IF(Inputs!$B$3&gt;=35,(10*INDEX(FactorTable!$B$2:$Y$301,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9="TRIUMPH_FEATHER",IF(C538=TRUE,F538,0),0)/100)*(1+IF(C549=TRUE,F549,0)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531)</f>
        <v/>
      </c>
      <c r="L531">
        <f>K531*(MIN(Inputs!$B$23+(F544-Calc!F22),((Inputs!$B$24+1)+IF(ArtifactsInput!$M$15,CHOOSE(ArtifactsInput!$N$15+1,25,30,35,40,45,50)/100*(Inputs!$B$12-Inputs!$B$12),0)))/100+((Inputs!$B$24+1)+IF(ArtifactsInput!$M$15,CHOOSE(ArtifactsInput!$N$15+1,25,30,35,40,45,50)/100*(Inputs!$B$12-Inputs!$B$12),0))/100)/2</f>
        <v/>
      </c>
      <c r="M531">
        <f>L531*(1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1">
        <f>L531*(1-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(1-Summary!$B$11)*S531+Summary!$B$11*U531</f>
        <v/>
      </c>
      <c r="P531">
        <f>IF(B565=0,0,O531/B565)</f>
        <v/>
      </c>
      <c r="Q531">
        <f>IFERROR(1/(IF(Inputs!$B$39="pvp",15,MAX(0.1,Skills!D9-IF(Skills!E9=TRUE,Inputs!$B$33,0)))*(1-IF(AND(ArtifactsInput!$M$27,Inputs!$B$4="Chapter Hunt"),CHOOSE(ArtifactsInput!$N$27+1,20,24,28,32,36,40),0)/100)),0)</f>
        <v/>
      </c>
      <c r="R531">
        <f>IF(AND(Inputs!$B$39&lt;&gt;"pvp",Inputs!$B$44&gt;0),IF(MAX(0,Inputs!$B$44-B562)&lt;=0,0,(INT(MAX(0,Inputs!$B$44-B562)/(IF(Inputs!$B$39="pvp",15,MAX(0.1,Skills!D9-IF(Skills!E9=TRUE,Inputs!$B$33,0)))*(1-IF(AND(ArtifactsInput!$M$27,Inputs!$B$4="Chapter Hunt"),CHOOSE(ArtifactsInput!$N$27+1,20,24,28,32,36,40),0)/100)))+1)),0)</f>
        <v/>
      </c>
      <c r="S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$21+Skills!O9+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531*(1-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$22+Skills!P9+B554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Skills!A10</f>
        <v/>
      </c>
      <c r="B532">
        <f>Skills!B10</f>
        <v/>
      </c>
      <c r="C532">
        <f>Inputs!$B$3&gt;=66</f>
        <v/>
      </c>
      <c r="D532">
        <f>IF(Skills!C10=1,60+Inputs!$B$26+Inputs!$B$30,IF(Skills!C10=2,90+Inputs!$B$27+Inputs!$B$30,IF(Skills!C10=3,120+Inputs!$B$28+Inputs!$B$30,MAX(0,(Inputs!$B$3-100)*3)+Inputs!$B$29+Inputs!$B$30)))</f>
        <v/>
      </c>
      <c r="E532">
        <f>INDEX(FactorTable!$B$2:$Y$301, MATCH(ROUND(MIN(300,MAX(1,D532)),0), FactorTable!$A$2:$A$301,0), Skills!L10+1)</f>
        <v/>
      </c>
      <c r="F532" t="n">
        <v>0</v>
      </c>
      <c r="G532">
        <f>Calc!G10</f>
        <v/>
      </c>
      <c r="H532">
        <f>Calc!H10</f>
        <v/>
      </c>
      <c r="I532">
        <f>IF(Skills!T10&lt;&gt;"",1+(Skills!T10/10)*($Z$3/1000)/100,1)</f>
        <v/>
      </c>
      <c r="J532" t="inlineStr"/>
      <c r="K532" t="inlineStr"/>
      <c r="L532" t="inlineStr"/>
      <c r="M532" t="inlineStr"/>
      <c r="N532" t="inlineStr"/>
      <c r="O532">
        <f>(1-Summary!$B$11)*S532+Summary!$B$11*U532</f>
        <v/>
      </c>
      <c r="P532">
        <f>IF(B565=0,0,O532/B565)</f>
        <v/>
      </c>
      <c r="Q532">
        <f>IFERROR(1/(IF(Inputs!$B$39="pvp",15,MAX(0.1,Skills!D10-IF(Skills!E10=TRUE,Inputs!$B$33,0)))*(1-IF(AND(ArtifactsInput!$M$27,Inputs!$B$4="Chapter Hunt"),CHOOSE(ArtifactsInput!$N$27+1,20,24,28,32,36,40),0)/100)),0)</f>
        <v/>
      </c>
      <c r="R532">
        <f>IF(AND(Inputs!$B$39&lt;&gt;"pvp",Inputs!$B$44&gt;0),IF(MAX(0,Inputs!$B$44-B562)&lt;=0,0,(INT(MAX(0,Inputs!$B$44-B562)/(IF(Inputs!$B$39="pvp",15,MAX(0.1,Skills!D10-IF(Skills!E10=TRUE,Inputs!$B$33,0)))*(1-IF(AND(ArtifactsInput!$M$27,Inputs!$B$4="Chapter Hunt"),CHOOSE(ArtifactsInput!$N$27+1,20,24,28,32,36,40),0)/100)))+1)),0)</f>
        <v/>
      </c>
      <c r="S532" t="n">
        <v>0</v>
      </c>
      <c r="U532" t="n">
        <v>0</v>
      </c>
    </row>
    <row r="533">
      <c r="A533">
        <f>Skills!A11</f>
        <v/>
      </c>
      <c r="B533">
        <f>Skills!B11</f>
        <v/>
      </c>
      <c r="C533">
        <f>Inputs!$B$3&gt;=69</f>
        <v/>
      </c>
      <c r="D533">
        <f>IF(Skills!C11=1,60+Inputs!$B$26+Inputs!$B$30,IF(Skills!C11=2,90+Inputs!$B$27+Inputs!$B$30,IF(Skills!C11=3,120+Inputs!$B$28+Inputs!$B$30,MAX(0,(Inputs!$B$3-100)*3)+Inputs!$B$29+Inputs!$B$30)))</f>
        <v/>
      </c>
      <c r="E533">
        <f>INDEX(FactorTable!$B$2:$Y$301, MATCH(ROUND(MIN(300,MAX(1,D533)),0), FactorTable!$A$2:$A$301,0), Skills!L11+1)</f>
        <v/>
      </c>
      <c r="F533">
        <f>IF(Skills!M11=TRUE,(Skills!K11/10)*(E533/1000),Skills!K11/10)+Skills!N11</f>
        <v/>
      </c>
      <c r="G533">
        <f>Calc!G11</f>
        <v/>
      </c>
      <c r="H533">
        <f>Calc!H11</f>
        <v/>
      </c>
      <c r="I533">
        <f>IF(Skills!T11&lt;&gt;"",1+(Skills!T11/10)*($Z$3/1000)/100,1)</f>
        <v/>
      </c>
      <c r="J533" t="inlineStr"/>
      <c r="K533" t="inlineStr"/>
      <c r="L533" t="inlineStr"/>
      <c r="M533" t="inlineStr"/>
      <c r="N533" t="inlineStr"/>
      <c r="O533">
        <f>(1-Summary!$B$11)*S533+Summary!$B$11*U533</f>
        <v/>
      </c>
      <c r="P533">
        <f>IF(B565=0,0,O533/B565)</f>
        <v/>
      </c>
      <c r="Q533">
        <f>IFERROR(1/(IF(Inputs!$B$39="pvp",15,MAX(0.1,Skills!D11-IF(Skills!E11=TRUE,Inputs!$B$33,0)))*(1-IF(AND(ArtifactsInput!$M$27,Inputs!$B$4="Chapter Hunt"),CHOOSE(ArtifactsInput!$N$27+1,20,24,28,32,36,40),0)/100)),0)</f>
        <v/>
      </c>
      <c r="R533">
        <f>IF(AND(Inputs!$B$39&lt;&gt;"pvp",Inputs!$B$44&gt;0),IF(Inputs!$B$44&lt;=0,0,(INT(Inputs!$B$44/(IF(Inputs!$B$39="pvp",15,MAX(0.1,Skills!D11-IF(Skills!E11=TRUE,Inputs!$B$33,0)))*(1-IF(AND(ArtifactsInput!$M$27,Inputs!$B$4="Chapter Hunt"),CHOOSE(ArtifactsInput!$N$27+1,20,24,28,32,36,40),0)/100)))+1)),0)</f>
        <v/>
      </c>
      <c r="S533" t="n">
        <v>0</v>
      </c>
      <c r="U533" t="n">
        <v>0</v>
      </c>
    </row>
    <row r="534">
      <c r="A534">
        <f>Skills!A12</f>
        <v/>
      </c>
      <c r="B534">
        <f>Skills!B12</f>
        <v/>
      </c>
      <c r="C534">
        <f>Inputs!$B$3&gt;=72</f>
        <v/>
      </c>
      <c r="D534">
        <f>IF(Skills!C12=1,60+Inputs!$B$26+Inputs!$B$30,IF(Skills!C12=2,90+Inputs!$B$27+Inputs!$B$30,IF(Skills!C12=3,120+Inputs!$B$28+Inputs!$B$30,MAX(0,(Inputs!$B$3-100)*3)+Inputs!$B$29+Inputs!$B$30)))</f>
        <v/>
      </c>
      <c r="E534">
        <f>INDEX(FactorTable!$B$2:$Y$301, MATCH(ROUND(MIN(300,MAX(1,D534)),0), FactorTable!$A$2:$A$301,0), Skills!L12+1)</f>
        <v/>
      </c>
      <c r="F534">
        <f>IF(Skills!M12=TRUE,(Skills!K12/10)*(E534/1000),Skills!K12/10)+Skills!N12</f>
        <v/>
      </c>
      <c r="G534">
        <f>Calc!G12</f>
        <v/>
      </c>
      <c r="H534">
        <f>Calc!H12</f>
        <v/>
      </c>
      <c r="I534">
        <f>IF(Skills!T12&lt;&gt;"",1+(Skills!T12/10)*($Z$3/1000)/100,1)</f>
        <v/>
      </c>
      <c r="J534" t="inlineStr"/>
      <c r="K534" t="inlineStr"/>
      <c r="L534" t="inlineStr"/>
      <c r="M534" t="inlineStr"/>
      <c r="N534" t="inlineStr"/>
      <c r="O534">
        <f>(1-Summary!$B$11)*S534+Summary!$B$11*U534</f>
        <v/>
      </c>
      <c r="P534">
        <f>IF(B565=0,0,O534/B565)</f>
        <v/>
      </c>
      <c r="Q534">
        <f>IFERROR(1/(IF(Inputs!$B$39="pvp",15,MAX(0.1,Skills!D12-IF(Skills!E12=TRUE,Inputs!$B$33,0)))*(1-IF(AND(ArtifactsInput!$M$27,Inputs!$B$4="Chapter Hunt"),CHOOSE(ArtifactsInput!$N$27+1,20,24,28,32,36,40),0)/100)),0)</f>
        <v/>
      </c>
      <c r="R534">
        <f>IF(AND(Inputs!$B$39&lt;&gt;"pvp",Inputs!$B$44&gt;0),IF(MAX(0,Inputs!$B$44-B562)&lt;=0,0,(INT(MAX(0,Inputs!$B$44-B562)/(IF(Inputs!$B$39="pvp",15,MAX(0.1,Skills!D12-IF(Skills!E12=TRUE,Inputs!$B$33,0)))*(1-IF(AND(ArtifactsInput!$M$27,Inputs!$B$4="Chapter Hunt"),CHOOSE(ArtifactsInput!$N$27+1,20,24,28,32,36,40),0)/100)))+1)),0)</f>
        <v/>
      </c>
      <c r="S534" t="n">
        <v>0</v>
      </c>
      <c r="U534" t="n">
        <v>0</v>
      </c>
    </row>
    <row r="535">
      <c r="A535">
        <f>Skills!A13</f>
        <v/>
      </c>
      <c r="B535">
        <f>Skills!B13</f>
        <v/>
      </c>
      <c r="C535">
        <f>Inputs!$B$3&gt;=60</f>
        <v/>
      </c>
      <c r="D535">
        <f>IF(Skills!C13=1,60+Inputs!$B$26+Inputs!$B$30,IF(Skills!C13=2,90+Inputs!$B$27+Inputs!$B$30,IF(Skills!C13=3,120+Inputs!$B$28+Inputs!$B$30,MAX(0,(Inputs!$B$3-100)*3)+Inputs!$B$29+Inputs!$B$30)))</f>
        <v/>
      </c>
      <c r="E535">
        <f>INDEX(FactorTable!$B$2:$Y$301, MATCH(ROUND(MIN(300,MAX(1,D535)),0), FactorTable!$A$2:$A$301,0), Skills!L13+1)</f>
        <v/>
      </c>
      <c r="F535">
        <f>IF(Skills!M13=TRUE,(Skills!K13/10)*(E535/1000),Skills!K13/10)+Skills!N13</f>
        <v/>
      </c>
      <c r="G535">
        <f>Calc!G13</f>
        <v/>
      </c>
      <c r="H535">
        <f>Calc!H13</f>
        <v/>
      </c>
      <c r="I535">
        <f>IF(Skills!T13&lt;&gt;"",1+(Skills!T13/10)*($Z$3/1000)/100,1)</f>
        <v/>
      </c>
      <c r="J535" t="inlineStr"/>
      <c r="K535" t="inlineStr"/>
      <c r="L535" t="inlineStr"/>
      <c r="M535" t="inlineStr"/>
      <c r="N535" t="inlineStr"/>
      <c r="O535">
        <f>(1-Summary!$B$11)*S535+Summary!$B$11*U535</f>
        <v/>
      </c>
      <c r="P535">
        <f>IF(B565=0,0,O535/B565)</f>
        <v/>
      </c>
      <c r="Q535">
        <f>IFERROR(1/(IF(Inputs!$B$39="pvp",15,MAX(0.1,Skills!D13-IF(Skills!E13=TRUE,Inputs!$B$33,0)))*(1-IF(AND(ArtifactsInput!$M$27,Inputs!$B$4="Chapter Hunt"),CHOOSE(ArtifactsInput!$N$27+1,20,24,28,32,36,40),0)/100)),0)</f>
        <v/>
      </c>
      <c r="R535">
        <f>IF(AND(Inputs!$B$39&lt;&gt;"pvp",Inputs!$B$44&gt;0),IF(MAX(0,Inputs!$B$44-B562)&lt;=0,0,(INT(MAX(0,Inputs!$B$44-B562)/(IF(Inputs!$B$39="pvp",15,MAX(0.1,Skills!D13-IF(Skills!E13=TRUE,Inputs!$B$33,0)))*(1-IF(AND(ArtifactsInput!$M$27,Inputs!$B$4="Chapter Hunt"),CHOOSE(ArtifactsInput!$N$27+1,20,24,28,32,36,40),0)/100)))+1)),0)</f>
        <v/>
      </c>
      <c r="S535" t="n">
        <v>0</v>
      </c>
      <c r="U535" t="n">
        <v>0</v>
      </c>
    </row>
    <row r="536">
      <c r="A536">
        <f>Skills!A14</f>
        <v/>
      </c>
      <c r="B536">
        <f>Skills!B14</f>
        <v/>
      </c>
      <c r="C536">
        <f>Inputs!$B$3&gt;=107</f>
        <v/>
      </c>
      <c r="D536">
        <f>IF(Skills!C14=1,60+Inputs!$B$26+Inputs!$B$30,IF(Skills!C14=2,90+Inputs!$B$27+Inputs!$B$30,IF(Skills!C14=3,120+Inputs!$B$28+Inputs!$B$30,MAX(0,(Inputs!$B$3-100)*3)+Inputs!$B$29+Inputs!$B$30)))</f>
        <v/>
      </c>
      <c r="E536">
        <f>INDEX(FactorTable!$B$2:$Y$301, MATCH(ROUND(MIN(300,MAX(1,D536)),0), FactorTable!$A$2:$A$301,0), Skills!L14+1)</f>
        <v/>
      </c>
      <c r="F536">
        <f>IF(Skills!M14=TRUE,(Skills!K14/10)*(E536/1000),Skills!K14/10)+Skills!N14</f>
        <v/>
      </c>
      <c r="G536">
        <f>Calc!G14</f>
        <v/>
      </c>
      <c r="H536">
        <f>Calc!H14</f>
        <v/>
      </c>
      <c r="I536">
        <f>IF(Skills!T14&lt;&gt;"",1+(Skills!T14/10)*($Z$3/1000)/100,1)</f>
        <v/>
      </c>
      <c r="J536" t="inlineStr"/>
      <c r="K536" t="inlineStr"/>
      <c r="L536" t="inlineStr"/>
      <c r="M536" t="inlineStr"/>
      <c r="N536" t="inlineStr"/>
      <c r="O536">
        <f>(1-Summary!$B$11)*S536+Summary!$B$11*U536</f>
        <v/>
      </c>
      <c r="P536">
        <f>IF(B565=0,0,O536/B565)</f>
        <v/>
      </c>
      <c r="Q536">
        <f>IFERROR(1/(IF(Inputs!$B$39="pvp",15,MAX(0.1,Skills!D14-IF(Skills!E14=TRUE,Inputs!$B$33,0)))*(1-IF(AND(ArtifactsInput!$M$27,Inputs!$B$4="Chapter Hunt"),CHOOSE(ArtifactsInput!$N$27+1,20,24,28,32,36,40),0)/100)),0)</f>
        <v/>
      </c>
      <c r="R536">
        <f>IF(AND(Inputs!$B$39&lt;&gt;"pvp",Inputs!$B$44&gt;0),IF(Inputs!$B$44&lt;=0,0,(INT(Inputs!$B$44/(IF(Inputs!$B$39="pvp",15,MAX(0.1,Skills!D14-IF(Skills!E14=TRUE,Inputs!$B$33,0)))*(1-IF(AND(ArtifactsInput!$M$27,Inputs!$B$4="Chapter Hunt"),CHOOSE(ArtifactsInput!$N$27+1,20,24,28,32,36,40),0)/100)))+1)),0)</f>
        <v/>
      </c>
      <c r="S536" t="n">
        <v>0</v>
      </c>
      <c r="U536" t="n">
        <v>0</v>
      </c>
    </row>
    <row r="537">
      <c r="A537">
        <f>Skills!A15</f>
        <v/>
      </c>
      <c r="B537">
        <f>Skills!B15</f>
        <v/>
      </c>
      <c r="C537">
        <f>Inputs!$B$3&gt;=63</f>
        <v/>
      </c>
      <c r="D537">
        <f>IF(Skills!C15=1,60+Inputs!$B$26+Inputs!$B$30,IF(Skills!C15=2,90+Inputs!$B$27+Inputs!$B$30,IF(Skills!C15=3,120+Inputs!$B$28+Inputs!$B$30,MAX(0,(Inputs!$B$3-100)*3)+Inputs!$B$29+Inputs!$B$30)))</f>
        <v/>
      </c>
      <c r="E537">
        <f>INDEX(FactorTable!$B$2:$Y$301, MATCH(ROUND(MIN(300,MAX(1,D537)),0), FactorTable!$A$2:$A$301,0), Skills!L15+1)</f>
        <v/>
      </c>
      <c r="F537">
        <f>IF(Skills!M15=TRUE,(Skills!K15/10)*(E537/1000),Skills!K15/10)+Skills!N15</f>
        <v/>
      </c>
      <c r="G537">
        <f>Calc!G15</f>
        <v/>
      </c>
      <c r="H537">
        <f>Calc!H15</f>
        <v/>
      </c>
      <c r="I537">
        <f>IF(Skills!T15&lt;&gt;"",1+(Skills!T15/10)*($Z$3/1000)/100,1)</f>
        <v/>
      </c>
      <c r="J537">
        <f>((Inputs!$B$6*(1+Inputs!$B$7/100))+(((Inputs!$B$13*(1+Inputs!$B$14/100))-(Inputs!$B$13*(1+Inputs!$B$14/100)))+0.25*(Inputs!$B$15-Inputs!$B$15))*(1+Inputs!$B$7/100))*(F537/100)</f>
        <v/>
      </c>
      <c r="K537">
        <f>J537*(1+(((Inputs!$B$13+IF(Inputs!$B$3&gt;=35,(10*INDEX(FactorTable!$B$2:$Y$301,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15="TRIUMPH_FEATHER",IF(C538=TRUE,F538,0),0)/100)*(1+IF(C549=TRUE,F549,0)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537)</f>
        <v/>
      </c>
      <c r="L537">
        <f>K537*(MIN(Inputs!$B$23+(F544-Calc!F22),((Inputs!$B$24+1)+IF(ArtifactsInput!$M$15,CHOOSE(ArtifactsInput!$N$15+1,25,30,35,40,45,50)/100*(Inputs!$B$12-Inputs!$B$12),0)))/100+((Inputs!$B$24+1)+IF(ArtifactsInput!$M$15,CHOOSE(ArtifactsInput!$N$15+1,25,30,35,40,45,50)/100*(Inputs!$B$12-Inputs!$B$12),0))/100)/2</f>
        <v/>
      </c>
      <c r="M537">
        <f>L537*(1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7">
        <f>L537*(1-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(1-Summary!$B$11)*S537+Summary!$B$11*U537</f>
        <v/>
      </c>
      <c r="P537">
        <f>IF(B565=0,0,O537/B565)</f>
        <v/>
      </c>
      <c r="Q537">
        <f>IFERROR(1/(IF(Inputs!$B$39="pvp",15,MAX(0.1,Skills!D15-IF(Skills!E15=TRUE,Inputs!$B$33,0)))*(1-IF(AND(ArtifactsInput!$M$27,Inputs!$B$4="Chapter Hunt"),CHOOSE(ArtifactsInput!$N$27+1,20,24,28,32,36,40),0)/100)),0)</f>
        <v/>
      </c>
      <c r="R537" t="n">
        <v>0</v>
      </c>
      <c r="S537">
        <f>IF(C537,(Skills!F15*N537*((IF(Inputs!$B$3&gt;=78,25,15)/100*B558*10)/(1+IF(Inputs!$B$3&gt;=78,25,15)/100*B558*10))*(Skills!I15/100*B558)/(1+Skills!G15*Skills!I15/100*B558))*IF(Inputs!$B$39="pvp",1,1+(Inputs!$B$21+Skills!O15+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537*(1-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IF(C537,(Skills!F15*N537*((IF(Inputs!$B$3&gt;=78,25,15)/100*B558*10)/(1+IF(Inputs!$B$3&gt;=78,25,15)/100*B558*10))*(Skills!I15/100*B558)/(1+Skills!G15*Skills!I15/100*B558))*IF(Inputs!$B$39="pvp",1,(1+(Inputs!$B$22+Skills!P15+B554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Skills!A16</f>
        <v/>
      </c>
      <c r="B538">
        <f>Skills!B16</f>
        <v/>
      </c>
      <c r="C538">
        <f>Inputs!$B$3&gt;=100</f>
        <v/>
      </c>
      <c r="D538">
        <f>IF(Skills!C16=1,60+Inputs!$B$26+Inputs!$B$30,IF(Skills!C16=2,90+Inputs!$B$27+Inputs!$B$30,IF(Skills!C16=3,120+Inputs!$B$28+Inputs!$B$30,MAX(0,(Inputs!$B$3-100)*3)+Inputs!$B$29+Inputs!$B$30)))</f>
        <v/>
      </c>
      <c r="E538">
        <f>INDEX(FactorTable!$B$2:$Y$301, MATCH(ROUND(MIN(300,MAX(1,D538)),0), FactorTable!$A$2:$A$301,0), Skills!L16+1)</f>
        <v/>
      </c>
      <c r="F538">
        <f>IF(Skills!M16=TRUE,(Skills!K16/10)*(E538/1000),Skills!K16/10)+Skills!N16</f>
        <v/>
      </c>
      <c r="G538">
        <f>Calc!G16</f>
        <v/>
      </c>
      <c r="H538">
        <f>Calc!H16</f>
        <v/>
      </c>
      <c r="I538">
        <f>IF(Skills!T16&lt;&gt;"",1+(Skills!T16/10)*($Z$3/1000)/100,1)</f>
        <v/>
      </c>
      <c r="J538" t="inlineStr"/>
      <c r="K538" t="inlineStr"/>
      <c r="L538" t="inlineStr"/>
      <c r="M538" t="inlineStr"/>
      <c r="N538" t="inlineStr"/>
      <c r="O538">
        <f>(1-Summary!$B$11)*S538+Summary!$B$11*U538</f>
        <v/>
      </c>
      <c r="P538">
        <f>IF(B565=0,0,O538/B565)</f>
        <v/>
      </c>
      <c r="Q538">
        <f>IFERROR(1/(IF(Inputs!$B$39="pvp",15,MAX(0.1,Skills!D16-IF(Skills!E16=TRUE,Inputs!$B$33,0)))*(1-IF(AND(ArtifactsInput!$M$27,Inputs!$B$4="Chapter Hunt"),CHOOSE(ArtifactsInput!$N$27+1,20,24,28,32,36,40),0)/100)),0)</f>
        <v/>
      </c>
      <c r="R538" t="n">
        <v>0</v>
      </c>
      <c r="S538" t="n">
        <v>0</v>
      </c>
      <c r="U538" t="n">
        <v>0</v>
      </c>
    </row>
    <row r="539">
      <c r="A539">
        <f>Skills!A17</f>
        <v/>
      </c>
      <c r="B539">
        <f>Skills!B17</f>
        <v/>
      </c>
      <c r="C539">
        <f>Inputs!$B$3&gt;=49</f>
        <v/>
      </c>
      <c r="D539">
        <f>IF(Skills!C17=1,60+Inputs!$B$26+Inputs!$B$30,IF(Skills!C17=2,90+Inputs!$B$27+Inputs!$B$30,IF(Skills!C17=3,120+Inputs!$B$28+Inputs!$B$30,MAX(0,(Inputs!$B$3-100)*3)+Inputs!$B$29+Inputs!$B$30)))</f>
        <v/>
      </c>
      <c r="E539">
        <f>INDEX(FactorTable!$B$2:$Y$301, MATCH(ROUND(MIN(300,MAX(1,D539)),0), FactorTable!$A$2:$A$301,0), Skills!L17+1)</f>
        <v/>
      </c>
      <c r="F539">
        <f>IF(Skills!M17=TRUE,(Skills!K17/10)*(E539/1000),Skills!K17/10)+Skills!N17</f>
        <v/>
      </c>
      <c r="G539">
        <f>Calc!G17</f>
        <v/>
      </c>
      <c r="H539">
        <f>Calc!H17</f>
        <v/>
      </c>
      <c r="I539">
        <f>IF(Skills!T17&lt;&gt;"",1+(Skills!T17/10)*($Z$3/1000)/100,1)</f>
        <v/>
      </c>
      <c r="J539" t="inlineStr"/>
      <c r="K539" t="inlineStr"/>
      <c r="L539" t="inlineStr"/>
      <c r="M539" t="inlineStr"/>
      <c r="N539" t="inlineStr"/>
      <c r="O539">
        <f>(1-Summary!$B$11)*S539+Summary!$B$11*U539</f>
        <v/>
      </c>
      <c r="P539">
        <f>IF(B565=0,0,O539/B565)</f>
        <v/>
      </c>
      <c r="Q539">
        <f>IFERROR(1/(IF(Inputs!$B$39="pvp",15,MAX(0.1,Skills!D17-IF(Skills!E17=TRUE,Inputs!$B$33,0)))*(1-IF(AND(ArtifactsInput!$M$27,Inputs!$B$4="Chapter Hunt"),CHOOSE(ArtifactsInput!$N$27+1,20,24,28,32,36,40),0)/100)),0)</f>
        <v/>
      </c>
      <c r="R539" t="n">
        <v>0</v>
      </c>
      <c r="S539" t="n">
        <v>0</v>
      </c>
      <c r="U539" t="n">
        <v>0</v>
      </c>
    </row>
    <row r="540">
      <c r="A540">
        <f>Skills!A18</f>
        <v/>
      </c>
      <c r="B540">
        <f>Skills!B18</f>
        <v/>
      </c>
      <c r="C540">
        <f>Inputs!$B$3&gt;=75</f>
        <v/>
      </c>
      <c r="D540">
        <f>IF(Skills!C18=1,60+Inputs!$B$26+Inputs!$B$30,IF(Skills!C18=2,90+Inputs!$B$27+Inputs!$B$30,IF(Skills!C18=3,120+Inputs!$B$28+Inputs!$B$30,MAX(0,(Inputs!$B$3-100)*3)+Inputs!$B$29+Inputs!$B$30)))</f>
        <v/>
      </c>
      <c r="E540">
        <f>INDEX(FactorTable!$B$2:$Y$301, MATCH(ROUND(MIN(300,MAX(1,D540)),0), FactorTable!$A$2:$A$301,0), Skills!L18+1)</f>
        <v/>
      </c>
      <c r="F540">
        <f>IF(Skills!M18=TRUE,(Skills!K18/10)*(E540/1000),Skills!K18/10)+Skills!N18</f>
        <v/>
      </c>
      <c r="G540">
        <f>Calc!G18</f>
        <v/>
      </c>
      <c r="H540">
        <f>Calc!H18</f>
        <v/>
      </c>
      <c r="I540">
        <f>IF(Skills!T18&lt;&gt;"",1+(Skills!T18/10)*($Z$3/1000)/100,1)</f>
        <v/>
      </c>
      <c r="J540" t="inlineStr"/>
      <c r="K540" t="inlineStr"/>
      <c r="L540" t="inlineStr"/>
      <c r="M540" t="inlineStr"/>
      <c r="N540" t="inlineStr"/>
      <c r="O540">
        <f>(1-Summary!$B$11)*S540+Summary!$B$11*U540</f>
        <v/>
      </c>
      <c r="P540">
        <f>IF(B565=0,0,O540/B565)</f>
        <v/>
      </c>
      <c r="Q540">
        <f>IFERROR(1/(IF(Inputs!$B$39="pvp",15,MAX(0.1,Skills!D18-IF(Skills!E18=TRUE,Inputs!$B$33,0)))*(1-IF(AND(ArtifactsInput!$M$27,Inputs!$B$4="Chapter Hunt"),CHOOSE(ArtifactsInput!$N$27+1,20,24,28,32,36,40),0)/100)),0)</f>
        <v/>
      </c>
      <c r="R540" t="n">
        <v>0</v>
      </c>
      <c r="S540" t="n">
        <v>0</v>
      </c>
      <c r="U540" t="n">
        <v>0</v>
      </c>
    </row>
    <row r="541">
      <c r="A541">
        <f>Skills!A19</f>
        <v/>
      </c>
      <c r="B541">
        <f>Skills!B19</f>
        <v/>
      </c>
      <c r="C541">
        <f>Inputs!$B$3&gt;=110</f>
        <v/>
      </c>
      <c r="D541">
        <f>IF(Skills!C19=1,60+Inputs!$B$26+Inputs!$B$30,IF(Skills!C19=2,90+Inputs!$B$27+Inputs!$B$30,IF(Skills!C19=3,120+Inputs!$B$28+Inputs!$B$30,MAX(0,(Inputs!$B$3-100)*3)+Inputs!$B$29+Inputs!$B$30)))</f>
        <v/>
      </c>
      <c r="E541">
        <f>INDEX(FactorTable!$B$2:$Y$301, MATCH(ROUND(MIN(300,MAX(1,D541)),0), FactorTable!$A$2:$A$301,0), Skills!L19+1)</f>
        <v/>
      </c>
      <c r="F541">
        <f>(Skills!K19/10)*(E541/1000)*64/45+Skills!N19</f>
        <v/>
      </c>
      <c r="G541">
        <f>Calc!G19</f>
        <v/>
      </c>
      <c r="H541">
        <f>Calc!H19</f>
        <v/>
      </c>
      <c r="I541">
        <f>IF(Skills!T19&lt;&gt;"",1+(Skills!T19/10)*($Z$3/1000)/100,1)</f>
        <v/>
      </c>
      <c r="J541" t="inlineStr"/>
      <c r="K541" t="inlineStr"/>
      <c r="L541" t="inlineStr"/>
      <c r="M541" t="inlineStr"/>
      <c r="N541" t="inlineStr"/>
      <c r="O541">
        <f>(1-Summary!$B$11)*S541+Summary!$B$11*U541</f>
        <v/>
      </c>
      <c r="P541">
        <f>IF(B565=0,0,O541/B565)</f>
        <v/>
      </c>
      <c r="Q541">
        <f>IFERROR(1/(IF(Inputs!$B$39="pvp",15,MAX(0.1,Skills!D19-IF(Skills!E19=TRUE,Inputs!$B$33,0)))*(1-IF(AND(ArtifactsInput!$M$27,Inputs!$B$4="Chapter Hunt"),CHOOSE(ArtifactsInput!$N$27+1,20,24,28,32,36,40),0)/100)),0)</f>
        <v/>
      </c>
      <c r="R541">
        <f>IF(AND(Inputs!$B$39&lt;&gt;"pvp",Inputs!$B$44&gt;0),IF(Inputs!$B$44&lt;=0,0,(INT(Inputs!$B$44/(IF(Inputs!$B$39="pvp",15,MAX(0.1,Skills!D19-IF(Skills!E19=TRUE,Inputs!$B$33,0)))*(1-IF(AND(ArtifactsInput!$M$27,Inputs!$B$4="Chapter Hunt"),CHOOSE(ArtifactsInput!$N$27+1,20,24,28,32,36,40),0)/100)))+1)),0)</f>
        <v/>
      </c>
      <c r="S541" t="n">
        <v>0</v>
      </c>
      <c r="U541" t="n">
        <v>0</v>
      </c>
    </row>
    <row r="542">
      <c r="A542">
        <f>Skills!A20</f>
        <v/>
      </c>
      <c r="B542">
        <f>Skills!B20</f>
        <v/>
      </c>
      <c r="C542">
        <f>Inputs!$B$3&gt;=125</f>
        <v/>
      </c>
      <c r="D542">
        <f>IF(Skills!C20=1,60+Inputs!$B$26+Inputs!$B$30,IF(Skills!C20=2,90+Inputs!$B$27+Inputs!$B$30,IF(Skills!C20=3,120+Inputs!$B$28+Inputs!$B$30,MAX(0,(Inputs!$B$3-100)*3)+Inputs!$B$29+Inputs!$B$30)))</f>
        <v/>
      </c>
      <c r="E542">
        <f>INDEX(FactorTable!$B$2:$Y$301, MATCH(ROUND(MIN(300,MAX(1,D542)),0), FactorTable!$A$2:$A$301,0), Skills!L20+1)</f>
        <v/>
      </c>
      <c r="F542">
        <f>IF(Skills!M20=TRUE,(Skills!K20/10)*(E542/1000),Skills!K20/10)+Skills!N20</f>
        <v/>
      </c>
      <c r="G542">
        <f>Calc!G20</f>
        <v/>
      </c>
      <c r="H542">
        <f>Calc!H20</f>
        <v/>
      </c>
      <c r="I542">
        <f>IF(Skills!T20&lt;&gt;"",1+(Skills!T20/10)*($Z$3/1000)/100,1)</f>
        <v/>
      </c>
      <c r="J542" t="inlineStr"/>
      <c r="K542" t="inlineStr"/>
      <c r="L542" t="inlineStr"/>
      <c r="M542" t="inlineStr"/>
      <c r="N542" t="inlineStr"/>
      <c r="O542">
        <f>(1-Summary!$B$11)*S542+Summary!$B$11*U542</f>
        <v/>
      </c>
      <c r="P542">
        <f>IF(B565=0,0,O542/B565)</f>
        <v/>
      </c>
      <c r="Q542">
        <f>IFERROR(1/(IF(Inputs!$B$39="pvp",15,MAX(0.1,Skills!D20-IF(Skills!E20=TRUE,Inputs!$B$33,0)))*(1-IF(AND(ArtifactsInput!$M$27,Inputs!$B$4="Chapter Hunt"),CHOOSE(ArtifactsInput!$N$27+1,20,24,28,32,36,40),0)/100)),0)</f>
        <v/>
      </c>
      <c r="R542" t="n">
        <v>0</v>
      </c>
      <c r="S542" t="n">
        <v>0</v>
      </c>
      <c r="U542" t="n">
        <v>0</v>
      </c>
    </row>
    <row r="543">
      <c r="A543">
        <f>Skills!A21</f>
        <v/>
      </c>
      <c r="B543">
        <f>Skills!B21</f>
        <v/>
      </c>
      <c r="C543">
        <f>Inputs!$B$3&gt;=33</f>
        <v/>
      </c>
      <c r="D543">
        <f>IF(Skills!C21=1,60+Inputs!$B$26+Inputs!$B$30,IF(Skills!C21=2,90+Inputs!$B$27+Inputs!$B$30,IF(Skills!C21=3,120+Inputs!$B$28+Inputs!$B$30,MAX(0,(Inputs!$B$3-100)*3)+Inputs!$B$29+Inputs!$B$30)))</f>
        <v/>
      </c>
      <c r="E543">
        <f>INDEX(FactorTable!$B$2:$Y$301, MATCH(ROUND(MIN(300,MAX(1,D543)),0), FactorTable!$A$2:$A$301,0), Skills!L21+1)</f>
        <v/>
      </c>
      <c r="F543">
        <f>IF(Skills!M21=TRUE,(Skills!K21/10)*(E543/1000),Skills!K21/10)+Skills!N21</f>
        <v/>
      </c>
      <c r="G543">
        <f>Calc!G21</f>
        <v/>
      </c>
      <c r="H543">
        <f>Calc!H21</f>
        <v/>
      </c>
      <c r="I543">
        <f>IF(Skills!T21&lt;&gt;"",1+(Skills!T21/10)*($Z$3/1000)/100,1)</f>
        <v/>
      </c>
      <c r="J543" t="inlineStr"/>
      <c r="K543" t="inlineStr"/>
      <c r="L543" t="inlineStr"/>
      <c r="M543" t="inlineStr"/>
      <c r="N543" t="inlineStr"/>
      <c r="O543">
        <f>(1-Summary!$B$11)*S543+Summary!$B$11*U543</f>
        <v/>
      </c>
      <c r="P543">
        <f>IF(B565=0,0,O543/B565)</f>
        <v/>
      </c>
      <c r="Q543">
        <f>IFERROR(1/(IF(Inputs!$B$39="pvp",15,MAX(0.1,Skills!D21-IF(Skills!E21=TRUE,Inputs!$B$33,0)))*(1-IF(AND(ArtifactsInput!$M$27,Inputs!$B$4="Chapter Hunt"),CHOOSE(ArtifactsInput!$N$27+1,20,24,28,32,36,40),0)/100)),0)</f>
        <v/>
      </c>
      <c r="R543" t="n">
        <v>0</v>
      </c>
      <c r="S543" t="n">
        <v>0</v>
      </c>
      <c r="U543" t="n">
        <v>0</v>
      </c>
    </row>
    <row r="544">
      <c r="A544">
        <f>Skills!A22</f>
        <v/>
      </c>
      <c r="B544">
        <f>Skills!B22</f>
        <v/>
      </c>
      <c r="C544">
        <f>Inputs!$B$3&gt;=43</f>
        <v/>
      </c>
      <c r="D544">
        <f>IF(Skills!C22=1,60+Inputs!$B$26+Inputs!$B$30,IF(Skills!C22=2,90+Inputs!$B$27+Inputs!$B$30,IF(Skills!C22=3,120+Inputs!$B$28+Inputs!$B$30,MAX(0,(Inputs!$B$3-100)*3)+Inputs!$B$29+Inputs!$B$30)))</f>
        <v/>
      </c>
      <c r="E544">
        <f>INDEX(FactorTable!$B$2:$Y$301, MATCH(ROUND(MIN(300,MAX(1,D544)),0), FactorTable!$A$2:$A$301,0), Skills!L22+1)</f>
        <v/>
      </c>
      <c r="F544">
        <f>IF(Skills!M22=TRUE,(Skills!K22/10)*(E544/1000),Skills!K22/10)+Skills!N22</f>
        <v/>
      </c>
      <c r="G544">
        <f>Calc!G22</f>
        <v/>
      </c>
      <c r="H544">
        <f>Calc!H22</f>
        <v/>
      </c>
      <c r="I544">
        <f>IF(Skills!T22&lt;&gt;"",1+(Skills!T22/10)*($Z$3/1000)/100,1)</f>
        <v/>
      </c>
      <c r="J544" t="inlineStr"/>
      <c r="K544" t="inlineStr"/>
      <c r="L544" t="inlineStr"/>
      <c r="M544" t="inlineStr"/>
      <c r="N544" t="inlineStr"/>
      <c r="O544">
        <f>(1-Summary!$B$11)*S544+Summary!$B$11*U544</f>
        <v/>
      </c>
      <c r="P544">
        <f>IF(B565=0,0,O544/B565)</f>
        <v/>
      </c>
      <c r="Q544">
        <f>IFERROR(1/(IF(Inputs!$B$39="pvp",15,MAX(0.1,Skills!D22-IF(Skills!E22=TRUE,Inputs!$B$33,0)))*(1-IF(AND(ArtifactsInput!$M$27,Inputs!$B$4="Chapter Hunt"),CHOOSE(ArtifactsInput!$N$27+1,20,24,28,32,36,40),0)/100)),0)</f>
        <v/>
      </c>
      <c r="R544" t="n">
        <v>0</v>
      </c>
      <c r="S544" t="n">
        <v>0</v>
      </c>
      <c r="U544" t="n">
        <v>0</v>
      </c>
    </row>
    <row r="545">
      <c r="A545">
        <f>Skills!A23</f>
        <v/>
      </c>
      <c r="B545">
        <f>Skills!B23</f>
        <v/>
      </c>
      <c r="C545">
        <f>Inputs!$B$3&gt;=50</f>
        <v/>
      </c>
      <c r="D545">
        <f>IF(Skills!C23=1,60+Inputs!$B$26+Inputs!$B$30,IF(Skills!C23=2,90+Inputs!$B$27+Inputs!$B$30,IF(Skills!C23=3,120+Inputs!$B$28+Inputs!$B$30,MAX(0,(Inputs!$B$3-100)*3)+Inputs!$B$29+Inputs!$B$30)))</f>
        <v/>
      </c>
      <c r="E545">
        <f>INDEX(FactorTable!$B$2:$Y$301, MATCH(ROUND(MIN(300,MAX(1,D545)),0), FactorTable!$A$2:$A$301,0), Skills!L23+1)</f>
        <v/>
      </c>
      <c r="F545">
        <f>IF(Skills!M23=TRUE,(Skills!K23/10)*(E545/1000),Skills!K23/10)+Skills!N23</f>
        <v/>
      </c>
      <c r="G545">
        <f>Calc!G23</f>
        <v/>
      </c>
      <c r="H545">
        <f>Calc!H23</f>
        <v/>
      </c>
      <c r="I545">
        <f>IF(Skills!T23&lt;&gt;"",1+(Skills!T23/10)*($Z$3/1000)/100,1)</f>
        <v/>
      </c>
      <c r="J545" t="inlineStr"/>
      <c r="K545" t="inlineStr"/>
      <c r="L545" t="inlineStr"/>
      <c r="M545" t="inlineStr"/>
      <c r="N545" t="inlineStr"/>
      <c r="O545">
        <f>(1-Summary!$B$11)*S545+Summary!$B$11*U545</f>
        <v/>
      </c>
      <c r="P545">
        <f>IF(B565=0,0,O545/B565)</f>
        <v/>
      </c>
      <c r="Q545">
        <f>IFERROR(1/(IF(Inputs!$B$39="pvp",15,MAX(0.1,Skills!D23-IF(Skills!E23=TRUE,Inputs!$B$33,0)))*(1-IF(AND(ArtifactsInput!$M$27,Inputs!$B$4="Chapter Hunt"),CHOOSE(ArtifactsInput!$N$27+1,20,24,28,32,36,40),0)/100)),0)</f>
        <v/>
      </c>
      <c r="R545" t="n">
        <v>0</v>
      </c>
      <c r="S545" t="n">
        <v>0</v>
      </c>
      <c r="U545" t="n">
        <v>0</v>
      </c>
    </row>
    <row r="546">
      <c r="A546">
        <f>Skills!A24</f>
        <v/>
      </c>
      <c r="B546">
        <f>Skills!B24</f>
        <v/>
      </c>
      <c r="C546">
        <f>Inputs!$B$3&gt;=74</f>
        <v/>
      </c>
      <c r="D546">
        <f>IF(Skills!C24=1,60+Inputs!$B$26+Inputs!$B$30,IF(Skills!C24=2,90+Inputs!$B$27+Inputs!$B$30,IF(Skills!C24=3,120+Inputs!$B$28+Inputs!$B$30,MAX(0,(Inputs!$B$3-100)*3)+Inputs!$B$29+Inputs!$B$30)))</f>
        <v/>
      </c>
      <c r="E546">
        <f>INDEX(FactorTable!$B$2:$Y$301, MATCH(ROUND(MIN(300,MAX(1,D546)),0), FactorTable!$A$2:$A$301,0), Skills!L24+1)</f>
        <v/>
      </c>
      <c r="F546">
        <f>IF(Skills!M24=TRUE,(Skills!K24/10)*(E546/1000),Skills!K24/10)+Skills!N24</f>
        <v/>
      </c>
      <c r="G546">
        <f>Calc!G24</f>
        <v/>
      </c>
      <c r="H546">
        <f>Calc!H24</f>
        <v/>
      </c>
      <c r="I546">
        <f>IF(Skills!T24&lt;&gt;"",1+(Skills!T24/10)*($Z$3/1000)/100,1)</f>
        <v/>
      </c>
      <c r="J546" t="inlineStr"/>
      <c r="K546" t="inlineStr"/>
      <c r="L546" t="inlineStr"/>
      <c r="M546" t="inlineStr"/>
      <c r="N546" t="inlineStr"/>
      <c r="O546">
        <f>(1-Summary!$B$11)*S546+Summary!$B$11*U546</f>
        <v/>
      </c>
      <c r="P546">
        <f>IF(B565=0,0,O546/B565)</f>
        <v/>
      </c>
      <c r="Q546">
        <f>IFERROR(1/(IF(Inputs!$B$39="pvp",15,MAX(0.1,Skills!D24-IF(Skills!E24=TRUE,Inputs!$B$33,0)))*(1-IF(AND(ArtifactsInput!$M$27,Inputs!$B$4="Chapter Hunt"),CHOOSE(ArtifactsInput!$N$27+1,20,24,28,32,36,40),0)/100)),0)</f>
        <v/>
      </c>
      <c r="R546" t="n">
        <v>0</v>
      </c>
      <c r="S546" t="n">
        <v>0</v>
      </c>
      <c r="U546" t="n">
        <v>0</v>
      </c>
    </row>
    <row r="547">
      <c r="A547">
        <f>Skills!A25</f>
        <v/>
      </c>
      <c r="B547">
        <f>Skills!B25</f>
        <v/>
      </c>
      <c r="C547">
        <f>Inputs!$B$3&gt;=74</f>
        <v/>
      </c>
      <c r="D547">
        <f>IF(Skills!C25=1,60+Inputs!$B$26+Inputs!$B$30,IF(Skills!C25=2,90+Inputs!$B$27+Inputs!$B$30,IF(Skills!C25=3,120+Inputs!$B$28+Inputs!$B$30,MAX(0,(Inputs!$B$3-100)*3)+Inputs!$B$29+Inputs!$B$30)))</f>
        <v/>
      </c>
      <c r="E547">
        <f>INDEX(FactorTable!$B$2:$Y$301, MATCH(ROUND(MIN(300,MAX(1,D547)),0), FactorTable!$A$2:$A$301,0), Skills!L25+1)</f>
        <v/>
      </c>
      <c r="F547">
        <f>IF(Skills!M25=TRUE,(Skills!K25/10)*(E547/1000),Skills!K25/10)+Skills!N25</f>
        <v/>
      </c>
      <c r="G547">
        <f>Calc!G25</f>
        <v/>
      </c>
      <c r="H547">
        <f>Calc!H25</f>
        <v/>
      </c>
      <c r="I547">
        <f>IF(Skills!T25&lt;&gt;"",1+(Skills!T25/10)*($Z$3/1000)/100,1)</f>
        <v/>
      </c>
      <c r="J547" t="inlineStr"/>
      <c r="K547" t="inlineStr"/>
      <c r="L547" t="inlineStr"/>
      <c r="M547" t="inlineStr"/>
      <c r="N547" t="inlineStr"/>
      <c r="O547">
        <f>(1-Summary!$B$11)*S547+Summary!$B$11*U547</f>
        <v/>
      </c>
      <c r="P547">
        <f>IF(B565=0,0,O547/B565)</f>
        <v/>
      </c>
      <c r="Q547">
        <f>IFERROR(1/(IF(Inputs!$B$39="pvp",15,MAX(0.1,Skills!D25-IF(Skills!E25=TRUE,Inputs!$B$33,0)))*(1-IF(AND(ArtifactsInput!$M$27,Inputs!$B$4="Chapter Hunt"),CHOOSE(ArtifactsInput!$N$27+1,20,24,28,32,36,40),0)/100)),0)</f>
        <v/>
      </c>
      <c r="R547" t="n">
        <v>0</v>
      </c>
      <c r="S547" t="n">
        <v>0</v>
      </c>
      <c r="U547" t="n">
        <v>0</v>
      </c>
    </row>
    <row r="548">
      <c r="A548">
        <f>Skills!A26</f>
        <v/>
      </c>
      <c r="B548">
        <f>Skills!B26</f>
        <v/>
      </c>
      <c r="C548">
        <f>Inputs!$B$3&gt;=117</f>
        <v/>
      </c>
      <c r="D548">
        <f>IF(Skills!C26=1,60+Inputs!$B$26+Inputs!$B$30,IF(Skills!C26=2,90+Inputs!$B$27+Inputs!$B$30,IF(Skills!C26=3,120+Inputs!$B$28+Inputs!$B$30,MAX(0,(Inputs!$B$3-100)*3)+Inputs!$B$29+Inputs!$B$30)))</f>
        <v/>
      </c>
      <c r="E548">
        <f>INDEX(FactorTable!$B$2:$Y$301, MATCH(ROUND(MIN(300,MAX(1,D548)),0), FactorTable!$A$2:$A$301,0), Skills!L26+1)</f>
        <v/>
      </c>
      <c r="F548">
        <f>IF(Skills!M26=TRUE,(Skills!K26/10)*(E548/1000),Skills!K26/10)+Skills!N26</f>
        <v/>
      </c>
      <c r="G548">
        <f>Calc!G26</f>
        <v/>
      </c>
      <c r="H548">
        <f>Calc!H26</f>
        <v/>
      </c>
      <c r="I548">
        <f>IF(Skills!T26&lt;&gt;"",1+(Skills!T26/10)*($Z$3/1000)/100,1)</f>
        <v/>
      </c>
      <c r="J548" t="inlineStr"/>
      <c r="K548" t="inlineStr"/>
      <c r="L548" t="inlineStr"/>
      <c r="M548" t="inlineStr"/>
      <c r="N548" t="inlineStr"/>
      <c r="O548">
        <f>(1-Summary!$B$11)*S548+Summary!$B$11*U548</f>
        <v/>
      </c>
      <c r="P548">
        <f>IF(B565=0,0,O548/B565)</f>
        <v/>
      </c>
      <c r="Q548">
        <f>IFERROR(1/(IF(Inputs!$B$39="pvp",15,MAX(0.1,Skills!D26-IF(Skills!E26=TRUE,Inputs!$B$33,0)))*(1-IF(AND(ArtifactsInput!$M$27,Inputs!$B$4="Chapter Hunt"),CHOOSE(ArtifactsInput!$N$27+1,20,24,28,32,36,40),0)/100)),0)</f>
        <v/>
      </c>
      <c r="R548" t="n">
        <v>0</v>
      </c>
      <c r="S548" t="n">
        <v>0</v>
      </c>
      <c r="U548" t="n">
        <v>0</v>
      </c>
    </row>
    <row r="549">
      <c r="A549">
        <f>Skills!A27</f>
        <v/>
      </c>
      <c r="B549">
        <f>Skills!B27</f>
        <v/>
      </c>
      <c r="C549">
        <f>Inputs!$B$3&gt;=120</f>
        <v/>
      </c>
      <c r="D549">
        <f>IF(Skills!C27=1,60+Inputs!$B$26+Inputs!$B$30,IF(Skills!C27=2,90+Inputs!$B$27+Inputs!$B$30,IF(Skills!C27=3,120+Inputs!$B$28+Inputs!$B$30,MAX(0,(Inputs!$B$3-100)*3)+Inputs!$B$29+Inputs!$B$30)))</f>
        <v/>
      </c>
      <c r="E549">
        <f>INDEX(FactorTable!$B$2:$Y$301, MATCH(ROUND(MIN(300,MAX(1,D549)),0), FactorTable!$A$2:$A$301,0), Skills!L27+1)</f>
        <v/>
      </c>
      <c r="F549">
        <f>IF(Skills!M27=TRUE,(Skills!K27/10)*(E549/1000),Skills!K27/10)+Skills!N27</f>
        <v/>
      </c>
      <c r="G549">
        <f>Calc!G27</f>
        <v/>
      </c>
      <c r="H549">
        <f>Calc!H27</f>
        <v/>
      </c>
      <c r="I549">
        <f>IF(Skills!T27&lt;&gt;"",1+(Skills!T27/10)*($Z$3/1000)/100,1)</f>
        <v/>
      </c>
      <c r="J549" t="inlineStr"/>
      <c r="K549" t="inlineStr"/>
      <c r="L549" t="inlineStr"/>
      <c r="M549" t="inlineStr"/>
      <c r="N549" t="inlineStr"/>
      <c r="O549">
        <f>(1-Summary!$B$11)*S549+Summary!$B$11*U549</f>
        <v/>
      </c>
      <c r="P549">
        <f>IF(B565=0,0,O549/B565)</f>
        <v/>
      </c>
      <c r="Q549">
        <f>IFERROR(1/(IF(Inputs!$B$39="pvp",15,MAX(0.1,Skills!D27-IF(Skills!E27=TRUE,Inputs!$B$33,0)))*(1-IF(AND(ArtifactsInput!$M$27,Inputs!$B$4="Chapter Hunt"),CHOOSE(ArtifactsInput!$N$27+1,20,24,28,32,36,40),0)/100)),0)</f>
        <v/>
      </c>
      <c r="R549" t="n">
        <v>0</v>
      </c>
      <c r="S549" t="n">
        <v>0</v>
      </c>
      <c r="U549" t="n">
        <v>0</v>
      </c>
    </row>
    <row r="550">
      <c r="A550">
        <f>Skills!A28</f>
        <v/>
      </c>
      <c r="B550">
        <f>Skills!B28</f>
        <v/>
      </c>
      <c r="C550">
        <f>TRUE</f>
        <v/>
      </c>
      <c r="D550">
        <f>IF(Skills!C28=1,60+Inputs!$B$26+Inputs!$B$30,IF(Skills!C28=2,90+Inputs!$B$27+Inputs!$B$30,IF(Skills!C28=3,120+Inputs!$B$28+Inputs!$B$30,MAX(0,(Inputs!$B$3-100)*3)+Inputs!$B$29+Inputs!$B$30)))</f>
        <v/>
      </c>
      <c r="E550">
        <f>INDEX(FactorTable!$B$2:$Y$301, MATCH(ROUND(MIN(300,MAX(1,D550)),0), FactorTable!$A$2:$A$301,0), Skills!L28+1)</f>
        <v/>
      </c>
      <c r="F550">
        <f>IF(Skills!M28=TRUE,(Skills!K28/10)*(E550/1000),Skills!K28/10)+Skills!N28</f>
        <v/>
      </c>
      <c r="G550">
        <f>Calc!G28</f>
        <v/>
      </c>
      <c r="H550">
        <f>Calc!H28</f>
        <v/>
      </c>
      <c r="I550">
        <f>IF(Skills!T28&lt;&gt;"",1+(Skills!T28/10)*($Z$3/1000)/100,1)</f>
        <v/>
      </c>
      <c r="J550" t="inlineStr"/>
      <c r="K550" t="inlineStr"/>
      <c r="L550" t="inlineStr"/>
      <c r="M550" t="inlineStr"/>
      <c r="N550" t="inlineStr"/>
      <c r="O550">
        <f>(1-Summary!$B$11)*S550+Summary!$B$11*U550</f>
        <v/>
      </c>
      <c r="P550">
        <f>IF(B565=0,0,O550/B565)</f>
        <v/>
      </c>
      <c r="Q550">
        <f>IFERROR(1/(IF(Inputs!$B$39="pvp",15,MAX(0.1,Skills!D28-IF(Skills!E28=TRUE,Inputs!$B$33,0)))*(1-IF(AND(ArtifactsInput!$M$27,Inputs!$B$4="Chapter Hunt"),CHOOSE(ArtifactsInput!$N$27+1,20,24,28,32,36,40),0)/100)),0)</f>
        <v/>
      </c>
      <c r="R550">
        <f>IF(AND(Inputs!$B$39&lt;&gt;"pvp",Inputs!$B$44&gt;0),IF(Inputs!$B$44&lt;=0,0,(INT(Inputs!$B$44/(IF(Inputs!$B$39="pvp",15,MAX(0.1,Skills!D28-IF(Skills!E28=TRUE,Inputs!$B$33,0)))*(1-IF(AND(ArtifactsInput!$M$27,Inputs!$B$4="Chapter Hunt"),CHOOSE(ArtifactsInput!$N$27+1,20,24,28,32,36,40),0)/100)))+1)),0)</f>
        <v/>
      </c>
      <c r="S550" t="n">
        <v>0</v>
      </c>
      <c r="U550" t="n">
        <v>0</v>
      </c>
    </row>
    <row r="552">
      <c r="A552" t="inlineStr">
        <is>
          <t>Average Buff Multiplier</t>
        </is>
      </c>
      <c r="B552">
        <f>(1+(IF(C525=TRUE,F525*IF(AND(Inputs!$B$39&lt;&gt;"pvp",Inputs!$B$44&gt;0),(((R525-1)*(Skills!S3*(1+((Inputs!$B$35+(ArtifactsInput!$M$7-ArtifactsInput!$M$7)*CHOOSE(ArtifactsInput!$N$7+1,6,7.2,8.4,9.6,10.8,12))+IF(Inputs!$B$3&gt;=117,F548,0))/100))+MIN((Skills!S3*(1+((Inputs!$B$35+(ArtifactsInput!$M$7-ArtifactsInput!$M$7)*CHOOSE(ArtifactsInput!$N$7+1,6,7.2,8.4,9.6,10.8,12))+IF(Inputs!$B$3&gt;=117,F548,0))/100)),MAX(0,Inputs!$B$44-((R525-1)*Skills!D3))))/Inputs!$B$44),IF(Inputs!$B$39="pvp",MIN((Skills!S3*(1+((Inputs!$B$35+(ArtifactsInput!$M$7-ArtifactsInput!$M$7)*CHOOSE(ArtifactsInput!$N$7+1,6,7.2,8.4,9.6,10.8,12))+IF(Inputs!$B$3&gt;=117,F548,0))/100)),15)/15,(Skills!S3*(1+((Inputs!$B$35+(ArtifactsInput!$M$7-ArtifactsInput!$M$7)*CHOOSE(ArtifactsInput!$N$7+1,6,7.2,8.4,9.6,10.8,12))+IF(Inputs!$B$3&gt;=117,F548,0))/100))/Skills!D3)),0)+IF(C526=TRUE,F526*IF(AND(Inputs!$B$39&lt;&gt;"pvp",Inputs!$B$44&gt;0),(((R526-1)*(Skills!S4*(1+((Inputs!$B$35+(ArtifactsInput!$M$7-ArtifactsInput!$M$7)*CHOOSE(ArtifactsInput!$N$7+1,6,7.2,8.4,9.6,10.8,12))+IF(Inputs!$B$3&gt;=117,F548,0))/100))+MIN((Skills!S4*(1+((Inputs!$B$35+(ArtifactsInput!$M$7-ArtifactsInput!$M$7)*CHOOSE(ArtifactsInput!$N$7+1,6,7.2,8.4,9.6,10.8,12))+IF(Inputs!$B$3&gt;=117,F548,0))/100)),MAX(0,Inputs!$B$44-((R526-1)*Skills!D4))))/Inputs!$B$44),IF(Inputs!$B$39="pvp",MIN((Skills!S4*(1+((Inputs!$B$35+(ArtifactsInput!$M$7-ArtifactsInput!$M$7)*CHOOSE(ArtifactsInput!$N$7+1,6,7.2,8.4,9.6,10.8,12))+IF(Inputs!$B$3&gt;=117,F548,0))/100)),15)/15,(Skills!S4*(1+((Inputs!$B$35+(ArtifactsInput!$M$7-ArtifactsInput!$M$7)*CHOOSE(ArtifactsInput!$N$7+1,6,7.2,8.4,9.6,10.8,12))+IF(Inputs!$B$3&gt;=117,F548,0))/100))/Skills!D4)),0)+IF(C527=TRUE,F527*IF(AND(Inputs!$B$39&lt;&gt;"pvp",Inputs!$B$44&gt;0),(((R527-1)*(Skills!S5*(1+((Inputs!$B$35+(ArtifactsInput!$M$7-ArtifactsInput!$M$7)*CHOOSE(ArtifactsInput!$N$7+1,6,7.2,8.4,9.6,10.8,12))+IF(Inputs!$B$3&gt;=117,F548,0))/100))+MIN((Skills!S5*(1+((Inputs!$B$35+(ArtifactsInput!$M$7-ArtifactsInput!$M$7)*CHOOSE(ArtifactsInput!$N$7+1,6,7.2,8.4,9.6,10.8,12))+IF(Inputs!$B$3&gt;=117,F548,0))/100)),MAX(0,Inputs!$B$44-((R527-1)*Skills!D5))))/Inputs!$B$44),IF(Inputs!$B$39="pvp",MIN((Skills!S5*(1+((Inputs!$B$35+(ArtifactsInput!$M$7-ArtifactsInput!$M$7)*CHOOSE(ArtifactsInput!$N$7+1,6,7.2,8.4,9.6,10.8,12))+IF(Inputs!$B$3&gt;=117,F548,0))/100)),15)/15,(Skills!S5*(1+((Inputs!$B$35+(ArtifactsInput!$M$7-ArtifactsInput!$M$7)*CHOOSE(ArtifactsInput!$N$7+1,6,7.2,8.4,9.6,10.8,12))+IF(Inputs!$B$3&gt;=117,F548,0))/100))/Skills!D5)),0)+IF(C533=TRUE,F533*IF(AND(Inputs!$B$39&lt;&gt;"pvp",Inputs!$B$44&gt;0),(((R533-1)*(Skills!S11*(1+((Inputs!$B$35+(ArtifactsInput!$M$7-ArtifactsInput!$M$7)*CHOOSE(ArtifactsInput!$N$7+1,6,7.2,8.4,9.6,10.8,12))+IF(Inputs!$B$3&gt;=117,F548,0))/100))+MIN((Skills!S11*(1+((Inputs!$B$35+(ArtifactsInput!$M$7-ArtifactsInput!$M$7)*CHOOSE(ArtifactsInput!$N$7+1,6,7.2,8.4,9.6,10.8,12))+IF(Inputs!$B$3&gt;=117,F548,0))/100)),MAX(0,Inputs!$B$44-((R533-1)*Skills!D11))))/Inputs!$B$44),IF(Inputs!$B$39="pvp",MIN((Skills!S11*(1+((Inputs!$B$35+(ArtifactsInput!$M$7-ArtifactsInput!$M$7)*CHOOSE(ArtifactsInput!$N$7+1,6,7.2,8.4,9.6,10.8,12))+IF(Inputs!$B$3&gt;=117,F548,0))/100)),15)/15,(Skills!S11*(1+((Inputs!$B$35+(ArtifactsInput!$M$7-ArtifactsInput!$M$7)*CHOOSE(ArtifactsInput!$N$7+1,6,7.2,8.4,9.6,10.8,12))+IF(Inputs!$B$3&gt;=117,F548,0)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536=TRUE,(1+F536*IF(AND(Inputs!$B$39&lt;&gt;"pvp",Inputs!$B$44&gt;0),(((R536-1)*(Skills!S14*(1+((Inputs!$B$35+(ArtifactsInput!$M$7-ArtifactsInput!$M$7)*CHOOSE(ArtifactsInput!$N$7+1,6,7.2,8.4,9.6,10.8,12))+IF(Inputs!$B$3&gt;=117,F548,0))/100))+MIN((Skills!S14*(1+((Inputs!$B$35+(ArtifactsInput!$M$7-ArtifactsInput!$M$7)*CHOOSE(ArtifactsInput!$N$7+1,6,7.2,8.4,9.6,10.8,12))+IF(Inputs!$B$3&gt;=117,F548,0))/100)),MAX(0,Inputs!$B$44-((R536-1)*Skills!D14))))/Inputs!$B$44),IF(Inputs!$B$39="pvp",MIN((Skills!S14*(1+((Inputs!$B$35+(ArtifactsInput!$M$7-ArtifactsInput!$M$7)*CHOOSE(ArtifactsInput!$N$7+1,6,7.2,8.4,9.6,10.8,12))+IF(Inputs!$B$3&gt;=117,F548,0))/100)),15)/15,(Skills!S14*(1+((Inputs!$B$35+(ArtifactsInput!$M$7-ArtifactsInput!$M$7)*CHOOSE(ArtifactsInput!$N$7+1,6,7.2,8.4,9.6,10.8,12))+IF(Inputs!$B$3&gt;=117,F548,0))/100))/Skills!D14))/100),1)*IF(C541=TRUE,(1+F541*IF(AND(Inputs!$B$39&lt;&gt;"pvp",Inputs!$B$44&gt;0),(((R541-1)*(Skills!S19*(1+((Inputs!$B$35+(ArtifactsInput!$M$7-ArtifactsInput!$M$7)*CHOOSE(ArtifactsInput!$N$7+1,6,7.2,8.4,9.6,10.8,12))+IF(Inputs!$B$3&gt;=117,F548,0))/100))+MIN((Skills!S19*(1+((Inputs!$B$35+(ArtifactsInput!$M$7-ArtifactsInput!$M$7)*CHOOSE(ArtifactsInput!$N$7+1,6,7.2,8.4,9.6,10.8,12))+IF(Inputs!$B$3&gt;=117,F548,0))/100)),MAX(0,Inputs!$B$44-((R541-1)*Skills!D19))))/Inputs!$B$44),IF(Inputs!$B$39="pvp",MIN((Skills!S19*(1+((Inputs!$B$35+(ArtifactsInput!$M$7-ArtifactsInput!$M$7)*CHOOSE(ArtifactsInput!$N$7+1,6,7.2,8.4,9.6,10.8,12))+IF(Inputs!$B$3&gt;=117,F548,0))/100)),15)/15,(Skills!S19*(1+((Inputs!$B$35+(ArtifactsInput!$M$7-ArtifactsInput!$M$7)*CHOOSE(ArtifactsInput!$N$7+1,6,7.2,8.4,9.6,10.8,12))+IF(Inputs!$B$3&gt;=117,F548,0))/100))/Skills!D19))/100),1)</f>
        <v/>
      </c>
    </row>
    <row r="553">
      <c r="A553" t="inlineStr">
        <is>
          <t>Monster Damage Taken Bonus % (Holy Fountain)</t>
        </is>
      </c>
      <c r="B553">
        <f>IF(Inputs!$B$3&gt;=68,20*IF(Inputs!$B$39="pvp",MIN((15*(1+((Inputs!$B$35+(ArtifactsInput!$M$7-ArtifactsInput!$M$7)*CHOOSE(ArtifactsInput!$N$7+1,6,7.2,8.4,9.6,10.8,12))+IF(Inputs!$B$3&gt;=117,F548,0))/100)),15)/15,(15*(1+((Inputs!$B$35+(ArtifactsInput!$M$7-ArtifactsInput!$M$7)*CHOOSE(ArtifactsInput!$N$7+1,6,7.2,8.4,9.6,10.8,12))+IF(Inputs!$B$3&gt;=117,F548,0))/100))/Skills!D10),0)</f>
        <v/>
      </c>
    </row>
    <row r="554">
      <c r="A554" t="inlineStr">
        <is>
          <t>Normal Monster Damage Bonus % (Holy Symbol)</t>
        </is>
      </c>
      <c r="B554">
        <f>IF(C534=TRUE,F534*IF(AND(Inputs!$B$39&lt;&gt;"pvp",Inputs!$B$44&gt;0),(((R534-1)*(Skills!S12*(1+((Inputs!$B$35+(ArtifactsInput!$M$7-ArtifactsInput!$M$7)*CHOOSE(ArtifactsInput!$N$7+1,6,7.2,8.4,9.6,10.8,12))+IF(Inputs!$B$3&gt;=117,F548,0))/100))+MIN((Skills!S12*(1+((Inputs!$B$35+(ArtifactsInput!$M$7-ArtifactsInput!$M$7)*CHOOSE(ArtifactsInput!$N$7+1,6,7.2,8.4,9.6,10.8,12))+IF(Inputs!$B$3&gt;=117,F548,0))/100)),MAX(0,Inputs!$B$44-((R534-1)*Skills!D12))))/Inputs!$B$44),IF(Inputs!$B$39="pvp",MIN((Skills!S12*(1+((Inputs!$B$35+(ArtifactsInput!$M$7-ArtifactsInput!$M$7)*CHOOSE(ArtifactsInput!$N$7+1,6,7.2,8.4,9.6,10.8,12))+IF(Inputs!$B$3&gt;=117,F548,0))/100)),15)/15,(Skills!S12*(1+((Inputs!$B$35+(ArtifactsInput!$M$7-ArtifactsInput!$M$7)*CHOOSE(ArtifactsInput!$N$7+1,6,7.2,8.4,9.6,10.8,12))+IF(Inputs!$B$3&gt;=117,F548,0))/100))/Skills!D12)),0)</f>
        <v/>
      </c>
    </row>
    <row r="555">
      <c r="A555" t="inlineStr">
        <is>
          <t>Damage % Bonus (Holy Symbol - Damage Boost)</t>
        </is>
      </c>
      <c r="B555">
        <f>Skills!O12</f>
        <v/>
      </c>
    </row>
    <row r="556">
      <c r="A556" t="inlineStr">
        <is>
          <t>Crit Damage % Bonus (Blood of the Divine)</t>
        </is>
      </c>
      <c r="B556">
        <f>4*IF(C542=TRUE,F542,0)</f>
        <v/>
      </c>
    </row>
    <row r="557">
      <c r="A557" t="inlineStr">
        <is>
          <t>Attack Speed Bonus %</t>
        </is>
      </c>
      <c r="B557">
        <f>IF(C539=TRUE,F539+(F543-Calc!F21),0)+IF(Inputs!$B$3&gt;=134,15,0)+((C550=TRUE)*F550*IF(AND(Inputs!$B$39&lt;&gt;"pvp",Inputs!$B$44&gt;0),(((R550-1)*(Skills!S28*(1+((Inputs!$B$35+(ArtifactsInput!$M$7-ArtifactsInput!$M$7)*CHOOSE(ArtifactsInput!$N$7+1,6,7.2,8.4,9.6,10.8,12))+IF(Inputs!$B$3&gt;=117,F548,0))/100))+MIN((Skills!S28*(1+((Inputs!$B$35+(ArtifactsInput!$M$7-ArtifactsInput!$M$7)*CHOOSE(ArtifactsInput!$N$7+1,6,7.2,8.4,9.6,10.8,12))+IF(Inputs!$B$3&gt;=117,F548,0))/100)),MAX(0,Inputs!$B$44-((R550-1)*Skills!D28))))/Inputs!$B$44),IF(Inputs!$B$39="pvp",MIN((Skills!S28*(1+((Inputs!$B$35+(ArtifactsInput!$M$7-ArtifactsInput!$M$7)*CHOOSE(ArtifactsInput!$N$7+1,6,7.2,8.4,9.6,10.8,12))+IF(Inputs!$B$3&gt;=117,F548,0))/100)),15)/15,(Skills!S28*(1+((Inputs!$B$35+(ArtifactsInput!$M$7-ArtifactsInput!$M$7)*CHOOSE(ArtifactsInput!$N$7+1,6,7.2,8.4,9.6,10.8,12))+IF(Inputs!$B$3&gt;=117,F548,0))/100))/Skills!D28)))</f>
        <v/>
      </c>
    </row>
    <row r="558">
      <c r="A558" t="inlineStr">
        <is>
          <t>Actions Per Second</t>
        </is>
      </c>
      <c r="B558">
        <f>1+MIN(150,150*(1-(1-Inputs!$B$12/150)*(1-B557/150)))/100</f>
        <v/>
      </c>
    </row>
    <row r="559">
      <c r="A559" t="inlineStr">
        <is>
          <t>Skill + Buff Cast Rate</t>
        </is>
      </c>
      <c r="B559">
        <f>IF(AND(Inputs!$B$39&lt;&gt;"pvp",Inputs!$B$44&gt;0),SUMPRODUCT((Skills!E2:E28=TRUE)*(C524:C550=TRUE)*R524:R550)/Inputs!$B$44,SUMPRODUCT((Skills!E2:E28=TRUE)*(C524:C550=TRUE)*Q524:Q550))</f>
        <v/>
      </c>
    </row>
    <row r="560">
      <c r="A560" t="inlineStr">
        <is>
          <t>Big Bang Casts Per Second</t>
        </is>
      </c>
      <c r="B560">
        <f>MAX(0,B558-B559)</f>
        <v/>
      </c>
    </row>
    <row r="561">
      <c r="A561" t="inlineStr">
        <is>
          <t>Defense % Bonus (Divine Protection)</t>
        </is>
      </c>
      <c r="B561">
        <f>IF(C535=TRUE,F535*IF(AND(Inputs!$B$39&lt;&gt;"pvp",Inputs!$B$44&gt;0),(((R535-1)*(Skills!S13*(1+((Inputs!$B$35+(ArtifactsInput!$M$7-ArtifactsInput!$M$7)*CHOOSE(ArtifactsInput!$N$7+1,6,7.2,8.4,9.6,10.8,12))+IF(Inputs!$B$3&gt;=117,F548,0))/100))+MIN((Skills!S13*(1+((Inputs!$B$35+(ArtifactsInput!$M$7-ArtifactsInput!$M$7)*CHOOSE(ArtifactsInput!$N$7+1,6,7.2,8.4,9.6,10.8,12))+IF(Inputs!$B$3&gt;=117,F548,0))/100)),MAX(0,Inputs!$B$44-((R535-1)*Skills!D13))))/Inputs!$B$44),IF(Inputs!$B$39="pvp",MIN((Skills!S13*(1+((Inputs!$B$35+(ArtifactsInput!$M$7-ArtifactsInput!$M$7)*CHOOSE(ArtifactsInput!$N$7+1,6,7.2,8.4,9.6,10.8,12))+IF(Inputs!$B$3&gt;=117,F548,0))/100)),15)/15,(Skills!S13*(1+((Inputs!$B$35+(ArtifactsInput!$M$7-ArtifactsInput!$M$7)*CHOOSE(ArtifactsInput!$N$7+1,6,7.2,8.4,9.6,10.8,12))+IF(Inputs!$B$3&gt;=117,F548,0))/100))/Skills!D13)),0)</f>
        <v/>
      </c>
    </row>
    <row r="562">
      <c r="A562" t="inlineStr">
        <is>
          <t>Buff-Casting Startup Delay (s, fixed-duration only)</t>
        </is>
      </c>
      <c r="B562">
        <f>IF(AND(Inputs!$B$39&lt;&gt;"pvp",Inputs!$B$44&gt;0),SUMPRODUCT((Skills!S2:S28&gt;0)*(Skills!E2:E28=TRUE)*(C524:C550=TRUE))/B558,0)</f>
        <v/>
      </c>
    </row>
    <row r="563">
      <c r="A563" t="inlineStr">
        <is>
          <t>Boss-Only Total DPS (this block's swept value)</t>
        </is>
      </c>
      <c r="B563">
        <f>SUM(S524:S550)</f>
        <v/>
      </c>
    </row>
    <row r="564">
      <c r="A564" t="inlineStr">
        <is>
          <t>Normal-Only Total DPS (this block's swept value)</t>
        </is>
      </c>
      <c r="B564">
        <f>SUM(U524:U550)</f>
        <v/>
      </c>
    </row>
    <row r="565">
      <c r="A565" s="6" t="inlineStr">
        <is>
          <t>TOTAL DPS</t>
        </is>
      </c>
      <c r="B565" s="6">
        <f>SUM(O524:O550)</f>
        <v/>
      </c>
    </row>
    <row r="567">
      <c r="A567" s="6" t="inlineStr">
        <is>
          <t>Stat: CRIT_RATE %</t>
        </is>
      </c>
    </row>
    <row r="568">
      <c r="A568" s="5" t="inlineStr">
        <is>
          <t>Key</t>
        </is>
      </c>
      <c r="B568" s="5" t="inlineStr">
        <is>
          <t>Name</t>
        </is>
      </c>
      <c r="C568" s="5" t="inlineStr">
        <is>
          <t>Unlocked</t>
        </is>
      </c>
      <c r="D568" s="5" t="inlineStr">
        <is>
          <t>InputLevel</t>
        </is>
      </c>
      <c r="E568" s="5" t="inlineStr">
        <is>
          <t>Factor</t>
        </is>
      </c>
      <c r="F568" s="5" t="inlineStr">
        <is>
          <t>CoefficientPercent</t>
        </is>
      </c>
      <c r="G568" s="5" t="inlineStr">
        <is>
          <t>EffectiveHits</t>
        </is>
      </c>
      <c r="H568" s="5" t="inlineStr">
        <is>
          <t>ProcProbability</t>
        </is>
      </c>
      <c r="I568" s="5" t="inlineStr">
        <is>
          <t>MapleHeroMultiplier</t>
        </is>
      </c>
      <c r="J568" s="5" t="inlineStr">
        <is>
          <t>BaseDamage</t>
        </is>
      </c>
      <c r="K568" s="5" t="inlineStr">
        <is>
          <t>BaseHitDamage</t>
        </is>
      </c>
      <c r="L568" s="5" t="inlineStr">
        <is>
          <t>NonCritAvg</t>
        </is>
      </c>
      <c r="M568" s="5" t="inlineStr">
        <is>
          <t>CritAvg</t>
        </is>
      </c>
      <c r="N568" s="5" t="inlineStr">
        <is>
          <t>ExpectedDamage(perHit)</t>
        </is>
      </c>
      <c r="O568" s="5" t="inlineStr">
        <is>
          <t>DPS</t>
        </is>
      </c>
      <c r="P568" s="5" t="inlineStr">
        <is>
          <t>% of Total</t>
        </is>
      </c>
      <c r="R568" t="inlineStr">
        <is>
          <t>helpers</t>
        </is>
      </c>
    </row>
    <row r="569">
      <c r="A569">
        <f>Skills!A2</f>
        <v/>
      </c>
      <c r="B569">
        <f>Skills!B2</f>
        <v/>
      </c>
      <c r="C569">
        <f>Inputs!$B$3&gt;=100</f>
        <v/>
      </c>
      <c r="D569" t="inlineStr"/>
      <c r="E569" t="inlineStr"/>
      <c r="F569">
        <f>T571+Skills!N2</f>
        <v/>
      </c>
      <c r="G569">
        <f>Calc!G2</f>
        <v/>
      </c>
      <c r="H569">
        <f>Calc!H2</f>
        <v/>
      </c>
      <c r="I569">
        <f>IF(Skills!T2&lt;&gt;"",1+(Skills!T2/10)*($Z$3/1000)/100,1)</f>
        <v/>
      </c>
      <c r="J569">
        <f>((Inputs!$B$6*(1+Inputs!$B$7/100))+(((Inputs!$B$13*(1+Inputs!$B$14/100))-(Inputs!$B$13*(1+Inputs!$B$14/100)))+0.25*(Inputs!$B$15-Inputs!$B$15))*(1+Inputs!$B$7/100))*(F569/100)</f>
        <v/>
      </c>
      <c r="K569">
        <f>J569*(1+(((Inputs!$B$13+IF(Inputs!$B$3&gt;=35,(10*INDEX(FactorTable!$B$2:$Y$301,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2="TRIUMPH_FEATHER",IF(C583=TRUE,F583,0),0)/100)*(1+IF(C594=TRUE,F594,0)/100)^5*(1+(IF(Skills!A2="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569)</f>
        <v/>
      </c>
      <c r="L569">
        <f>K569*(MIN(Inputs!$B$23+(F589-Calc!F22),(Inputs!$B$24+IF(ArtifactsInput!$M$15,CHOOSE(ArtifactsInput!$N$15+1,25,30,35,40,45,50)/100*(Inputs!$B$12-Inputs!$B$12),0)))/100+(Inputs!$B$24+IF(ArtifactsInput!$M$15,CHOOSE(ArtifactsInput!$N$15+1,25,30,35,40,45,50)/100*(Inputs!$B$12-Inputs!$B$12),0))/100)/2</f>
        <v/>
      </c>
      <c r="M569">
        <f>L569*(1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9">
        <f>L569*(1-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569*(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9">
        <f>(1-Summary!$B$11)*S569+Summary!$B$11*U569</f>
        <v/>
      </c>
      <c r="P569">
        <f>IF(B610=0,0,O569/B610)</f>
        <v/>
      </c>
      <c r="Q569">
        <f>IFERROR(1/(IF(Inputs!$B$39="pvp",15,MAX(0.1,Skills!D2-IF(Skills!E2=TRUE,Inputs!$B$33,0)))*(1-IF(AND(ArtifactsInput!$M$27,Inputs!$B$4="Chapter Hunt"),CHOOSE(ArtifactsInput!$N$27+1,20,24,28,32,36,40),0)/100)),0)</f>
        <v/>
      </c>
      <c r="R569" t="n">
        <v>0</v>
      </c>
      <c r="S569">
        <f>IF(C569,(Skills!F2*N569*B605)*IF(Inputs!$B$39="pvp",1,1+(Inputs!$B$21+Skills!O2+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569*(1-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569*(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569*(1-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569*(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69">
        <f>MAX(0,(Inputs!$B$3-100)*3)+Inputs!$B$29+Inputs!$B$30</f>
        <v/>
      </c>
      <c r="U569">
        <f>IF(C569,(Skills!F2*N569*B605)*IF(Inputs!$B$39="pvp",1,(1+(Inputs!$B$22+Skills!P2+B599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0">
      <c r="A570">
        <f>Skills!A3</f>
        <v/>
      </c>
      <c r="B570">
        <f>Skills!B3</f>
        <v/>
      </c>
      <c r="C570">
        <f>Inputs!$B$3&gt;=15</f>
        <v/>
      </c>
      <c r="D570">
        <f>IF(Skills!C3=1,60+Inputs!$B$26+Inputs!$B$30,IF(Skills!C3=2,90+Inputs!$B$27+Inputs!$B$30,IF(Skills!C3=3,120+Inputs!$B$28+Inputs!$B$30,MAX(0,(Inputs!$B$3-100)*3)+Inputs!$B$29+Inputs!$B$30)))</f>
        <v/>
      </c>
      <c r="E570">
        <f>INDEX(FactorTable!$B$2:$Y$301, MATCH(ROUND(MIN(300,MAX(1,D570)),0), FactorTable!$A$2:$A$301,0), Skills!L3+1)</f>
        <v/>
      </c>
      <c r="F570">
        <f>IF(Skills!M3=TRUE,(Skills!K3/10)*(E570/1000),Skills!K3/10)+Skills!N3</f>
        <v/>
      </c>
      <c r="G570">
        <f>Calc!G3</f>
        <v/>
      </c>
      <c r="H570">
        <f>Calc!H3</f>
        <v/>
      </c>
      <c r="I570">
        <f>IF(Skills!T3&lt;&gt;"",1+(Skills!T3/10)*($Z$3/1000)/100,1)</f>
        <v/>
      </c>
      <c r="J570" t="inlineStr"/>
      <c r="K570" t="inlineStr"/>
      <c r="L570" t="inlineStr"/>
      <c r="M570" t="inlineStr"/>
      <c r="N570" t="inlineStr"/>
      <c r="O570">
        <f>(1-Summary!$B$11)*S570+Summary!$B$11*U570</f>
        <v/>
      </c>
      <c r="P570">
        <f>IF(B610=0,0,O570/B610)</f>
        <v/>
      </c>
      <c r="Q570">
        <f>IFERROR(1/(IF(Inputs!$B$39="pvp",15,MAX(0.1,Skills!D3-IF(Skills!E3=TRUE,Inputs!$B$33,0)))*(1-IF(AND(ArtifactsInput!$M$27,Inputs!$B$4="Chapter Hunt"),CHOOSE(ArtifactsInput!$N$27+1,20,24,28,32,36,40),0)/100)),0)</f>
        <v/>
      </c>
      <c r="R570">
        <f>IF(AND(Inputs!$B$39&lt;&gt;"pvp",Inputs!$B$44&gt;0),IF(Inputs!$B$44&lt;=0,0,(INT(Inputs!$B$44/(IF(Inputs!$B$39="pvp",15,MAX(0.1,Skills!D3-IF(Skills!E3=TRUE,Inputs!$B$33,0)))*(1-IF(AND(ArtifactsInput!$M$27,Inputs!$B$4="Chapter Hunt"),CHOOSE(ArtifactsInput!$N$27+1,20,24,28,32,36,40),0)/100)))+1)),0)</f>
        <v/>
      </c>
      <c r="S570" t="n">
        <v>0</v>
      </c>
      <c r="T570">
        <f>INDEX(FactorTable!$B$2:$Y$301, MATCH(ROUND(MIN(300,MAX(1,T569)),0), FactorTable!$A$2:$A$301,0), 22)</f>
        <v/>
      </c>
      <c r="U570" t="n">
        <v>0</v>
      </c>
    </row>
    <row r="571">
      <c r="A571">
        <f>Skills!A4</f>
        <v/>
      </c>
      <c r="B571">
        <f>Skills!B4</f>
        <v/>
      </c>
      <c r="C571">
        <f>Inputs!$B$3&gt;=38</f>
        <v/>
      </c>
      <c r="D571">
        <f>IF(Skills!C4=1,60+Inputs!$B$26+Inputs!$B$30,IF(Skills!C4=2,90+Inputs!$B$27+Inputs!$B$30,IF(Skills!C4=3,120+Inputs!$B$28+Inputs!$B$30,MAX(0,(Inputs!$B$3-100)*3)+Inputs!$B$29+Inputs!$B$30)))</f>
        <v/>
      </c>
      <c r="E571">
        <f>INDEX(FactorTable!$B$2:$Y$301, MATCH(ROUND(MIN(300,MAX(1,D571)),0), FactorTable!$A$2:$A$301,0), Skills!L4+1)</f>
        <v/>
      </c>
      <c r="F571">
        <f>IF(Skills!M4=TRUE,(Skills!K4/10)*(E571/1000),Skills!K4/10)+Skills!N4</f>
        <v/>
      </c>
      <c r="G571">
        <f>Calc!G4</f>
        <v/>
      </c>
      <c r="H571">
        <f>Calc!H4</f>
        <v/>
      </c>
      <c r="I571">
        <f>IF(Skills!T4&lt;&gt;"",1+(Skills!T4/10)*($Z$3/1000)/100,1)</f>
        <v/>
      </c>
      <c r="J571" t="inlineStr"/>
      <c r="K571" t="inlineStr"/>
      <c r="L571" t="inlineStr"/>
      <c r="M571" t="inlineStr"/>
      <c r="N571" t="inlineStr"/>
      <c r="O571">
        <f>(1-Summary!$B$11)*S571+Summary!$B$11*U571</f>
        <v/>
      </c>
      <c r="P571">
        <f>IF(B610=0,0,O571/B610)</f>
        <v/>
      </c>
      <c r="Q571">
        <f>IFERROR(1/(IF(Inputs!$B$39="pvp",15,MAX(0.1,Skills!D4-IF(Skills!E4=TRUE,Inputs!$B$33,0)))*(1-IF(AND(ArtifactsInput!$M$27,Inputs!$B$4="Chapter Hunt"),CHOOSE(ArtifactsInput!$N$27+1,20,24,28,32,36,40),0)/100)),0)</f>
        <v/>
      </c>
      <c r="R571">
        <f>IF(AND(Inputs!$B$39&lt;&gt;"pvp",Inputs!$B$44&gt;0),IF(Inputs!$B$44&lt;=0,0,(INT(Inputs!$B$44/(IF(Inputs!$B$39="pvp",15,MAX(0.1,Skills!D4-IF(Skills!E4=TRUE,Inputs!$B$33,0)))*(1-IF(AND(ArtifactsInput!$M$27,Inputs!$B$4="Chapter Hunt"),CHOOSE(ArtifactsInput!$N$27+1,20,24,28,32,36,40),0)/100)))+1)),0)</f>
        <v/>
      </c>
      <c r="S571" t="n">
        <v>0</v>
      </c>
      <c r="T571">
        <f>290*T570/1000</f>
        <v/>
      </c>
      <c r="U571" t="n">
        <v>0</v>
      </c>
    </row>
    <row r="572">
      <c r="A572">
        <f>Skills!A5</f>
        <v/>
      </c>
      <c r="B572">
        <f>Skills!B5</f>
        <v/>
      </c>
      <c r="C572">
        <f>Inputs!$B$3&gt;=40</f>
        <v/>
      </c>
      <c r="D572">
        <f>IF(Skills!C5=1,60+Inputs!$B$26+Inputs!$B$30,IF(Skills!C5=2,90+Inputs!$B$27+Inputs!$B$30,IF(Skills!C5=3,120+Inputs!$B$28+Inputs!$B$30,MAX(0,(Inputs!$B$3-100)*3)+Inputs!$B$29+Inputs!$B$30)))</f>
        <v/>
      </c>
      <c r="E572">
        <f>INDEX(FactorTable!$B$2:$Y$301, MATCH(ROUND(MIN(300,MAX(1,D572)),0), FactorTable!$A$2:$A$301,0), Skills!L5+1)</f>
        <v/>
      </c>
      <c r="F572">
        <f>IF(Skills!M5=TRUE,(Skills!K5/10)*(E572/1000),Skills!K5/10)+Skills!N5</f>
        <v/>
      </c>
      <c r="G572">
        <f>Calc!G5</f>
        <v/>
      </c>
      <c r="H572">
        <f>Calc!H5</f>
        <v/>
      </c>
      <c r="I572">
        <f>IF(Skills!T5&lt;&gt;"",1+(Skills!T5/10)*($Z$3/1000)/100,1)</f>
        <v/>
      </c>
      <c r="J572" t="inlineStr"/>
      <c r="K572" t="inlineStr"/>
      <c r="L572" t="inlineStr"/>
      <c r="M572" t="inlineStr"/>
      <c r="N572" t="inlineStr"/>
      <c r="O572">
        <f>(1-Summary!$B$11)*S572+Summary!$B$11*U572</f>
        <v/>
      </c>
      <c r="P572">
        <f>IF(B610=0,0,O572/B610)</f>
        <v/>
      </c>
      <c r="Q572">
        <f>IFERROR(1/(IF(Inputs!$B$39="pvp",15,MAX(0.1,Skills!D5-IF(Skills!E5=TRUE,Inputs!$B$33,0)))*(1-IF(AND(ArtifactsInput!$M$27,Inputs!$B$4="Chapter Hunt"),CHOOSE(ArtifactsInput!$N$27+1,20,24,28,32,36,40),0)/100)),0)</f>
        <v/>
      </c>
      <c r="R572">
        <f>IF(AND(Inputs!$B$39&lt;&gt;"pvp",Inputs!$B$44&gt;0),IF(Inputs!$B$44&lt;=0,0,(INT(Inputs!$B$44/(IF(Inputs!$B$39="pvp",15,MAX(0.1,Skills!D5-IF(Skills!E5=TRUE,Inputs!$B$33,0)))*(1-IF(AND(ArtifactsInput!$M$27,Inputs!$B$4="Chapter Hunt"),CHOOSE(ArtifactsInput!$N$27+1,20,24,28,32,36,40),0)/100)))+1)),0)</f>
        <v/>
      </c>
      <c r="S572" t="n">
        <v>0</v>
      </c>
      <c r="U572" t="n">
        <v>0</v>
      </c>
    </row>
    <row r="573">
      <c r="A573">
        <f>Skills!A6</f>
        <v/>
      </c>
      <c r="B573">
        <f>Skills!B6</f>
        <v/>
      </c>
      <c r="C573">
        <f>Inputs!$B$3&gt;=103</f>
        <v/>
      </c>
      <c r="D573">
        <f>IF(Skills!C6=1,60+Inputs!$B$26+Inputs!$B$30,IF(Skills!C6=2,90+Inputs!$B$27+Inputs!$B$30,IF(Skills!C6=3,120+Inputs!$B$28+Inputs!$B$30,MAX(0,(Inputs!$B$3-100)*3)+Inputs!$B$29+Inputs!$B$30)))</f>
        <v/>
      </c>
      <c r="E573">
        <f>INDEX(FactorTable!$B$2:$Y$301, MATCH(ROUND(MIN(300,MAX(1,D573)),0), FactorTable!$A$2:$A$301,0), Skills!L6+1)</f>
        <v/>
      </c>
      <c r="F573">
        <f>IF(Skills!M6=TRUE,(Skills!K6/10)*(E573/1000),Skills!K6/10)+Skills!N6</f>
        <v/>
      </c>
      <c r="G573">
        <f>Calc!G6</f>
        <v/>
      </c>
      <c r="H573">
        <f>Calc!H6</f>
        <v/>
      </c>
      <c r="I573">
        <f>IF(Skills!T6&lt;&gt;"",1+(Skills!T6/10)*($Z$3/1000)/100,1)</f>
        <v/>
      </c>
      <c r="J573">
        <f>((Inputs!$B$6*(1+Inputs!$B$7/100))+(((Inputs!$B$13*(1+Inputs!$B$14/100))-(Inputs!$B$13*(1+Inputs!$B$14/100)))+0.25*(Inputs!$B$15-Inputs!$B$15))*(1+Inputs!$B$7/100))*(F573/100)</f>
        <v/>
      </c>
      <c r="K573">
        <f>J573*(1+(((Inputs!$B$13+IF(Inputs!$B$3&gt;=35,(10*INDEX(FactorTable!$B$2:$Y$301,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6="TRIUMPH_FEATHER",IF(C583=TRUE,F583,0),0)/100)*(1+IF(C594=TRUE,F594,0)/100)^5*(1+(IF(Skills!A6="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573)</f>
        <v/>
      </c>
      <c r="L573">
        <f>K573*(MIN(Inputs!$B$23+(F589-Calc!F22),(Inputs!$B$24+IF(ArtifactsInput!$M$15,CHOOSE(ArtifactsInput!$N$15+1,25,30,35,40,45,50)/100*(Inputs!$B$12-Inputs!$B$12),0)))/100+(Inputs!$B$24+IF(ArtifactsInput!$M$15,CHOOSE(ArtifactsInput!$N$15+1,25,30,35,40,45,50)/100*(Inputs!$B$12-Inputs!$B$12),0))/100)/2</f>
        <v/>
      </c>
      <c r="M573">
        <f>L573*(1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3">
        <f>L573*(1-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573*(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3">
        <f>(1-Summary!$B$11)*S573+Summary!$B$11*U573</f>
        <v/>
      </c>
      <c r="P573">
        <f>IF(B610=0,0,O573/B610)</f>
        <v/>
      </c>
      <c r="Q573">
        <f>IFERROR(1/(IF(Inputs!$B$39="pvp",15,MAX(0.1,Skills!D6-IF(Skills!E6=TRUE,Inputs!$B$33,0)))*(1-IF(AND(ArtifactsInput!$M$27,Inputs!$B$4="Chapter Hunt"),CHOOSE(ArtifactsInput!$N$27+1,20,24,28,32,36,40),0)/100)),0)</f>
        <v/>
      </c>
      <c r="R573">
        <f>IF(AND(Inputs!$B$39&lt;&gt;"pvp",Inputs!$B$44&gt;0),IF(MAX(0,Inputs!$B$44-B607)&lt;=0,0,(INT(MAX(0,Inputs!$B$44-B607)/(IF(Inputs!$B$39="pvp",15,MAX(0.1,Skills!D6-IF(Skills!E6=TRUE,Inputs!$B$33,0)))*(1-IF(AND(ArtifactsInput!$M$27,Inputs!$B$4="Chapter Hunt"),CHOOSE(ArtifactsInput!$N$27+1,20,24,28,32,36,40),0)/100)))+1)),0)</f>
        <v/>
      </c>
      <c r="S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$21+Skills!O6+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573*(1-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573*(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573*(1-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573*(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$22+Skills!P6+B599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4">
      <c r="A574">
        <f>Skills!A7</f>
        <v/>
      </c>
      <c r="B574">
        <f>Skills!B7</f>
        <v/>
      </c>
      <c r="C574">
        <f>Inputs!$B$3&gt;=122</f>
        <v/>
      </c>
      <c r="D574">
        <f>IF(Skills!C7=1,60+Inputs!$B$26+Inputs!$B$30,IF(Skills!C7=2,90+Inputs!$B$27+Inputs!$B$30,IF(Skills!C7=3,120+Inputs!$B$28+Inputs!$B$30,MAX(0,(Inputs!$B$3-100)*3)+Inputs!$B$29+Inputs!$B$30)))</f>
        <v/>
      </c>
      <c r="E574">
        <f>INDEX(FactorTable!$B$2:$Y$301, MATCH(ROUND(MIN(300,MAX(1,D574)),0), FactorTable!$A$2:$A$301,0), Skills!L7+1)</f>
        <v/>
      </c>
      <c r="F574">
        <f>IF(Skills!M7=TRUE,(Skills!K7/10)*(E574/1000),Skills!K7/10)+Skills!N7</f>
        <v/>
      </c>
      <c r="G574">
        <f>Calc!G7</f>
        <v/>
      </c>
      <c r="H574">
        <f>Calc!H7</f>
        <v/>
      </c>
      <c r="I574">
        <f>IF(Skills!T7&lt;&gt;"",1+(Skills!T7/10)*($Z$3/1000)/100,1)</f>
        <v/>
      </c>
      <c r="J574">
        <f>((Inputs!$B$6*(1+Inputs!$B$7/100))+(((Inputs!$B$13*(1+Inputs!$B$14/100))-(Inputs!$B$13*(1+Inputs!$B$14/100)))+0.25*(Inputs!$B$15-Inputs!$B$15))*(1+Inputs!$B$7/100))*(F574/100)</f>
        <v/>
      </c>
      <c r="K574">
        <f>J574*(1+(((Inputs!$B$13+IF(Inputs!$B$3&gt;=35,(10*INDEX(FactorTable!$B$2:$Y$301,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7="TRIUMPH_FEATHER",IF(C583=TRUE,F583,0),0)/100)*(1+IF(C594=TRUE,F594,0)/100)^5*(1+(IF(Skills!A7="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574)</f>
        <v/>
      </c>
      <c r="L574">
        <f>K574*(MIN(Inputs!$B$23+(F589-Calc!F22),(Inputs!$B$24+IF(ArtifactsInput!$M$15,CHOOSE(ArtifactsInput!$N$15+1,25,30,35,40,45,50)/100*(Inputs!$B$12-Inputs!$B$12),0)))/100+(Inputs!$B$24+IF(ArtifactsInput!$M$15,CHOOSE(ArtifactsInput!$N$15+1,25,30,35,40,45,50)/100*(Inputs!$B$12-Inputs!$B$12),0))/100)/2</f>
        <v/>
      </c>
      <c r="M574">
        <f>L574*(1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4">
        <f>L574*(1-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(1-Summary!$B$11)*S574+Summary!$B$11*U574</f>
        <v/>
      </c>
      <c r="P574">
        <f>IF(B610=0,0,O574/B610)</f>
        <v/>
      </c>
      <c r="Q574">
        <f>IFERROR(1/(IF(Inputs!$B$39="pvp",15,MAX(0.1,Skills!D7-IF(Skills!E6=TRUE,Inputs!$B$33,0)))*(1-IF(AND(ArtifactsInput!$M$27,Inputs!$B$4="Chapter Hunt"),CHOOSE(ArtifactsInput!$N$27+1,20,24,28,32,36,40),0)/100)),0)</f>
        <v/>
      </c>
      <c r="R574">
        <f>IF(AND(Inputs!$B$39&lt;&gt;"pvp",Inputs!$B$44&gt;0),IF(MAX(0,Inputs!$B$44-B607)&lt;=0,0,(INT(MAX(0,Inputs!$B$44-B607)/(IF(Inputs!$B$39="pvp",15,MAX(0.1,Skills!D7-IF(Skills!E6=TRUE,Inputs!$B$33,0)))*(1-IF(AND(ArtifactsInput!$M$27,Inputs!$B$4="Chapter Hunt"),CHOOSE(ArtifactsInput!$N$27+1,20,24,28,32,36,40),0)/100)))+1)),0)</f>
        <v/>
      </c>
      <c r="S574">
        <f>IF(C574,H574*N574*IF(AND(Inputs!$B$39&lt;&gt;"pvp",Inputs!$B$44&gt;0),((Skills!F7*((R574-1)*IF(Skills!G7&gt;0,Skills!H7/Skills!G7,1)+IF(Skills!G7&gt;0,MIN(Skills!H7,MAX(0,MAX(0,Inputs!$B$44-B607)-((R574-1)*(IF(Inputs!$B$39="pvp",15,MAX(0.1,Skills!D7-IF(Skills!E6=TRUE,Inputs!$B$33,0)))*(1-IF(AND(ArtifactsInput!$M$27,Inputs!$B$4="Chapter Hunt"),CHOOSE(ArtifactsInput!$N$27+1,20,24,28,32,36,40),0)/100)))))/Skills!G7,1)))/Inputs!$B$44),G574*Q574)*IF(Inputs!$B$39="pvp",1,1+(Inputs!$B$21+Skills!O7+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574*(1-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t="n">
        <v>0</v>
      </c>
    </row>
    <row r="575">
      <c r="A575">
        <f>Skills!A8</f>
        <v/>
      </c>
      <c r="B575">
        <f>Skills!B8</f>
        <v/>
      </c>
      <c r="C575">
        <f>Inputs!$B$3&gt;=105</f>
        <v/>
      </c>
      <c r="D575">
        <f>IF(Skills!C8=1,60+Inputs!$B$26+Inputs!$B$30,IF(Skills!C8=2,90+Inputs!$B$27+Inputs!$B$30,IF(Skills!C8=3,120+Inputs!$B$28+Inputs!$B$30,MAX(0,(Inputs!$B$3-100)*3)+Inputs!$B$29+Inputs!$B$30)))</f>
        <v/>
      </c>
      <c r="E575">
        <f>INDEX(FactorTable!$B$2:$Y$301, MATCH(ROUND(MIN(300,MAX(1,D575)),0), FactorTable!$A$2:$A$301,0), Skills!L8+1)</f>
        <v/>
      </c>
      <c r="F575">
        <f>IF(Skills!M8=TRUE,(Skills!K8/10)*(E575/1000),Skills!K8/10)+Skills!N8</f>
        <v/>
      </c>
      <c r="G575">
        <f>Calc!G8</f>
        <v/>
      </c>
      <c r="H575">
        <f>Calc!H8</f>
        <v/>
      </c>
      <c r="I575">
        <f>IF(Skills!T8&lt;&gt;"",1+(Skills!T8/10)*($Z$3/1000)/100,1)</f>
        <v/>
      </c>
      <c r="J575">
        <f>((Inputs!$B$6*(1+Inputs!$B$7/100))+(((Inputs!$B$13*(1+Inputs!$B$14/100))-(Inputs!$B$13*(1+Inputs!$B$14/100)))+0.25*(Inputs!$B$15-Inputs!$B$15))*(1+Inputs!$B$7/100))*(F575/100)</f>
        <v/>
      </c>
      <c r="K575">
        <f>J575*(1+(((Inputs!$B$13+IF(Inputs!$B$3&gt;=35,(10*INDEX(FactorTable!$B$2:$Y$301,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8="TRIUMPH_FEATHER",IF(C583=TRUE,F583,0),0)/100)*(1+IF(C594=TRUE,F594,0)/100)^5*(1+(IF(Skills!A8="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575)</f>
        <v/>
      </c>
      <c r="L575">
        <f>K575*(MIN(Inputs!$B$23+(F589-Calc!F22),(Inputs!$B$24+IF(ArtifactsInput!$M$15,CHOOSE(ArtifactsInput!$N$15+1,25,30,35,40,45,50)/100*(Inputs!$B$12-Inputs!$B$12),0)))/100+(Inputs!$B$24+IF(ArtifactsInput!$M$15,CHOOSE(ArtifactsInput!$N$15+1,25,30,35,40,45,50)/100*(Inputs!$B$12-Inputs!$B$12),0))/100)/2</f>
        <v/>
      </c>
      <c r="M575">
        <f>L575*(1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5">
        <f>L575*(1-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(1-Summary!$B$11)*S575+Summary!$B$11*U575</f>
        <v/>
      </c>
      <c r="P575">
        <f>IF(B610=0,0,O575/B610)</f>
        <v/>
      </c>
      <c r="Q575">
        <f>IFERROR(1/(IF(Inputs!$B$39="pvp",15,MAX(0.1,Skills!D8-IF(Skills!E8=TRUE,Inputs!$B$33,0)))*(1-IF(AND(ArtifactsInput!$M$27,Inputs!$B$4="Chapter Hunt"),CHOOSE(ArtifactsInput!$N$27+1,20,24,28,32,36,40),0)/100)),0)</f>
        <v/>
      </c>
      <c r="R575">
        <f>IF(AND(Inputs!$B$39&lt;&gt;"pvp",Inputs!$B$44&gt;0),IF(MAX(0,Inputs!$B$44-B607)&lt;=0,0,(INT(MAX(0,Inputs!$B$44-B607)/(IF(Inputs!$B$39="pvp",15,MAX(0.1,Skills!D8-IF(Skills!E8=TRUE,Inputs!$B$33,0)))*(1-IF(AND(ArtifactsInput!$M$27,Inputs!$B$4="Chapter Hunt"),CHOOSE(ArtifactsInput!$N$27+1,20,24,28,32,36,40),0)/100)))+1)),0)</f>
        <v/>
      </c>
      <c r="S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$21+Skills!O8+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575*(1-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$22+Skills!P8+B599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Skills!A9</f>
        <v/>
      </c>
      <c r="B576">
        <f>Skills!B9</f>
        <v/>
      </c>
      <c r="C576">
        <f>Inputs!$B$3&gt;=115</f>
        <v/>
      </c>
      <c r="D576">
        <f>IF(Skills!C9=1,60+Inputs!$B$26+Inputs!$B$30,IF(Skills!C9=2,90+Inputs!$B$27+Inputs!$B$30,IF(Skills!C9=3,120+Inputs!$B$28+Inputs!$B$30,MAX(0,(Inputs!$B$3-100)*3)+Inputs!$B$29+Inputs!$B$30)))</f>
        <v/>
      </c>
      <c r="E576">
        <f>INDEX(FactorTable!$B$2:$Y$301, MATCH(ROUND(MIN(300,MAX(1,D576)),0), FactorTable!$A$2:$A$301,0), Skills!L9+1)</f>
        <v/>
      </c>
      <c r="F576">
        <f>IF(Skills!M9=TRUE,(Skills!K9/10)*(E576/1000),Skills!K9/10)+Skills!N9</f>
        <v/>
      </c>
      <c r="G576">
        <f>Calc!G9</f>
        <v/>
      </c>
      <c r="H576">
        <f>Calc!H9</f>
        <v/>
      </c>
      <c r="I576">
        <f>IF(Skills!T9&lt;&gt;"",1+(Skills!T9/10)*($Z$3/1000)/100,1)</f>
        <v/>
      </c>
      <c r="J576">
        <f>((Inputs!$B$6*(1+Inputs!$B$7/100))+(((Inputs!$B$13*(1+Inputs!$B$14/100))-(Inputs!$B$13*(1+Inputs!$B$14/100)))+0.25*(Inputs!$B$15-Inputs!$B$15))*(1+Inputs!$B$7/100))*(F576/100)</f>
        <v/>
      </c>
      <c r="K576">
        <f>J576*(1+(((Inputs!$B$13+IF(Inputs!$B$3&gt;=35,(10*INDEX(FactorTable!$B$2:$Y$301,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9="TRIUMPH_FEATHER",IF(C583=TRUE,F583,0),0)/100)*(1+IF(C594=TRUE,F594,0)/100)^5*(1+(IF(Skills!A9="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576)</f>
        <v/>
      </c>
      <c r="L576">
        <f>K576*(MIN(Inputs!$B$23+(F589-Calc!F22),(Inputs!$B$24+IF(ArtifactsInput!$M$15,CHOOSE(ArtifactsInput!$N$15+1,25,30,35,40,45,50)/100*(Inputs!$B$12-Inputs!$B$12),0)))/100+(Inputs!$B$24+IF(ArtifactsInput!$M$15,CHOOSE(ArtifactsInput!$N$15+1,25,30,35,40,45,50)/100*(Inputs!$B$12-Inputs!$B$12),0))/100)/2</f>
        <v/>
      </c>
      <c r="M576">
        <f>L576*(1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6">
        <f>L576*(1-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(1-Summary!$B$11)*S576+Summary!$B$11*U576</f>
        <v/>
      </c>
      <c r="P576">
        <f>IF(B610=0,0,O576/B610)</f>
        <v/>
      </c>
      <c r="Q576">
        <f>IFERROR(1/(IF(Inputs!$B$39="pvp",15,MAX(0.1,Skills!D9-IF(Skills!E9=TRUE,Inputs!$B$33,0)))*(1-IF(AND(ArtifactsInput!$M$27,Inputs!$B$4="Chapter Hunt"),CHOOSE(ArtifactsInput!$N$27+1,20,24,28,32,36,40),0)/100)),0)</f>
        <v/>
      </c>
      <c r="R576">
        <f>IF(AND(Inputs!$B$39&lt;&gt;"pvp",Inputs!$B$44&gt;0),IF(MAX(0,Inputs!$B$44-B607)&lt;=0,0,(INT(MAX(0,Inputs!$B$44-B607)/(IF(Inputs!$B$39="pvp",15,MAX(0.1,Skills!D9-IF(Skills!E9=TRUE,Inputs!$B$33,0)))*(1-IF(AND(ArtifactsInput!$M$27,Inputs!$B$4="Chapter Hunt"),CHOOSE(ArtifactsInput!$N$27+1,20,24,28,32,36,40),0)/100)))+1)),0)</f>
        <v/>
      </c>
      <c r="S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$21+Skills!O9+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576*(1-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$22+Skills!P9+B599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Skills!A10</f>
        <v/>
      </c>
      <c r="B577">
        <f>Skills!B10</f>
        <v/>
      </c>
      <c r="C577">
        <f>Inputs!$B$3&gt;=66</f>
        <v/>
      </c>
      <c r="D577">
        <f>IF(Skills!C10=1,60+Inputs!$B$26+Inputs!$B$30,IF(Skills!C10=2,90+Inputs!$B$27+Inputs!$B$30,IF(Skills!C10=3,120+Inputs!$B$28+Inputs!$B$30,MAX(0,(Inputs!$B$3-100)*3)+Inputs!$B$29+Inputs!$B$30)))</f>
        <v/>
      </c>
      <c r="E577">
        <f>INDEX(FactorTable!$B$2:$Y$301, MATCH(ROUND(MIN(300,MAX(1,D577)),0), FactorTable!$A$2:$A$301,0), Skills!L10+1)</f>
        <v/>
      </c>
      <c r="F577" t="n">
        <v>0</v>
      </c>
      <c r="G577">
        <f>Calc!G10</f>
        <v/>
      </c>
      <c r="H577">
        <f>Calc!H10</f>
        <v/>
      </c>
      <c r="I577">
        <f>IF(Skills!T10&lt;&gt;"",1+(Skills!T10/10)*($Z$3/1000)/100,1)</f>
        <v/>
      </c>
      <c r="J577" t="inlineStr"/>
      <c r="K577" t="inlineStr"/>
      <c r="L577" t="inlineStr"/>
      <c r="M577" t="inlineStr"/>
      <c r="N577" t="inlineStr"/>
      <c r="O577">
        <f>(1-Summary!$B$11)*S577+Summary!$B$11*U577</f>
        <v/>
      </c>
      <c r="P577">
        <f>IF(B610=0,0,O577/B610)</f>
        <v/>
      </c>
      <c r="Q577">
        <f>IFERROR(1/(IF(Inputs!$B$39="pvp",15,MAX(0.1,Skills!D10-IF(Skills!E10=TRUE,Inputs!$B$33,0)))*(1-IF(AND(ArtifactsInput!$M$27,Inputs!$B$4="Chapter Hunt"),CHOOSE(ArtifactsInput!$N$27+1,20,24,28,32,36,40),0)/100)),0)</f>
        <v/>
      </c>
      <c r="R577">
        <f>IF(AND(Inputs!$B$39&lt;&gt;"pvp",Inputs!$B$44&gt;0),IF(MAX(0,Inputs!$B$44-B607)&lt;=0,0,(INT(MAX(0,Inputs!$B$44-B607)/(IF(Inputs!$B$39="pvp",15,MAX(0.1,Skills!D10-IF(Skills!E10=TRUE,Inputs!$B$33,0)))*(1-IF(AND(ArtifactsInput!$M$27,Inputs!$B$4="Chapter Hunt"),CHOOSE(ArtifactsInput!$N$27+1,20,24,28,32,36,40),0)/100)))+1)),0)</f>
        <v/>
      </c>
      <c r="S577" t="n">
        <v>0</v>
      </c>
      <c r="U577" t="n">
        <v>0</v>
      </c>
    </row>
    <row r="578">
      <c r="A578">
        <f>Skills!A11</f>
        <v/>
      </c>
      <c r="B578">
        <f>Skills!B11</f>
        <v/>
      </c>
      <c r="C578">
        <f>Inputs!$B$3&gt;=69</f>
        <v/>
      </c>
      <c r="D578">
        <f>IF(Skills!C11=1,60+Inputs!$B$26+Inputs!$B$30,IF(Skills!C11=2,90+Inputs!$B$27+Inputs!$B$30,IF(Skills!C11=3,120+Inputs!$B$28+Inputs!$B$30,MAX(0,(Inputs!$B$3-100)*3)+Inputs!$B$29+Inputs!$B$30)))</f>
        <v/>
      </c>
      <c r="E578">
        <f>INDEX(FactorTable!$B$2:$Y$301, MATCH(ROUND(MIN(300,MAX(1,D578)),0), FactorTable!$A$2:$A$301,0), Skills!L11+1)</f>
        <v/>
      </c>
      <c r="F578">
        <f>IF(Skills!M11=TRUE,(Skills!K11/10)*(E578/1000),Skills!K11/10)+Skills!N11</f>
        <v/>
      </c>
      <c r="G578">
        <f>Calc!G11</f>
        <v/>
      </c>
      <c r="H578">
        <f>Calc!H11</f>
        <v/>
      </c>
      <c r="I578">
        <f>IF(Skills!T11&lt;&gt;"",1+(Skills!T11/10)*($Z$3/1000)/100,1)</f>
        <v/>
      </c>
      <c r="J578" t="inlineStr"/>
      <c r="K578" t="inlineStr"/>
      <c r="L578" t="inlineStr"/>
      <c r="M578" t="inlineStr"/>
      <c r="N578" t="inlineStr"/>
      <c r="O578">
        <f>(1-Summary!$B$11)*S578+Summary!$B$11*U578</f>
        <v/>
      </c>
      <c r="P578">
        <f>IF(B610=0,0,O578/B610)</f>
        <v/>
      </c>
      <c r="Q578">
        <f>IFERROR(1/(IF(Inputs!$B$39="pvp",15,MAX(0.1,Skills!D11-IF(Skills!E11=TRUE,Inputs!$B$33,0)))*(1-IF(AND(ArtifactsInput!$M$27,Inputs!$B$4="Chapter Hunt"),CHOOSE(ArtifactsInput!$N$27+1,20,24,28,32,36,40),0)/100)),0)</f>
        <v/>
      </c>
      <c r="R578">
        <f>IF(AND(Inputs!$B$39&lt;&gt;"pvp",Inputs!$B$44&gt;0),IF(Inputs!$B$44&lt;=0,0,(INT(Inputs!$B$44/(IF(Inputs!$B$39="pvp",15,MAX(0.1,Skills!D11-IF(Skills!E11=TRUE,Inputs!$B$33,0)))*(1-IF(AND(ArtifactsInput!$M$27,Inputs!$B$4="Chapter Hunt"),CHOOSE(ArtifactsInput!$N$27+1,20,24,28,32,36,40),0)/100)))+1)),0)</f>
        <v/>
      </c>
      <c r="S578" t="n">
        <v>0</v>
      </c>
      <c r="U578" t="n">
        <v>0</v>
      </c>
    </row>
    <row r="579">
      <c r="A579">
        <f>Skills!A12</f>
        <v/>
      </c>
      <c r="B579">
        <f>Skills!B12</f>
        <v/>
      </c>
      <c r="C579">
        <f>Inputs!$B$3&gt;=72</f>
        <v/>
      </c>
      <c r="D579">
        <f>IF(Skills!C12=1,60+Inputs!$B$26+Inputs!$B$30,IF(Skills!C12=2,90+Inputs!$B$27+Inputs!$B$30,IF(Skills!C12=3,120+Inputs!$B$28+Inputs!$B$30,MAX(0,(Inputs!$B$3-100)*3)+Inputs!$B$29+Inputs!$B$30)))</f>
        <v/>
      </c>
      <c r="E579">
        <f>INDEX(FactorTable!$B$2:$Y$301, MATCH(ROUND(MIN(300,MAX(1,D579)),0), FactorTable!$A$2:$A$301,0), Skills!L12+1)</f>
        <v/>
      </c>
      <c r="F579">
        <f>IF(Skills!M12=TRUE,(Skills!K12/10)*(E579/1000),Skills!K12/10)+Skills!N12</f>
        <v/>
      </c>
      <c r="G579">
        <f>Calc!G12</f>
        <v/>
      </c>
      <c r="H579">
        <f>Calc!H12</f>
        <v/>
      </c>
      <c r="I579">
        <f>IF(Skills!T12&lt;&gt;"",1+(Skills!T12/10)*($Z$3/1000)/100,1)</f>
        <v/>
      </c>
      <c r="J579" t="inlineStr"/>
      <c r="K579" t="inlineStr"/>
      <c r="L579" t="inlineStr"/>
      <c r="M579" t="inlineStr"/>
      <c r="N579" t="inlineStr"/>
      <c r="O579">
        <f>(1-Summary!$B$11)*S579+Summary!$B$11*U579</f>
        <v/>
      </c>
      <c r="P579">
        <f>IF(B610=0,0,O579/B610)</f>
        <v/>
      </c>
      <c r="Q579">
        <f>IFERROR(1/(IF(Inputs!$B$39="pvp",15,MAX(0.1,Skills!D12-IF(Skills!E12=TRUE,Inputs!$B$33,0)))*(1-IF(AND(ArtifactsInput!$M$27,Inputs!$B$4="Chapter Hunt"),CHOOSE(ArtifactsInput!$N$27+1,20,24,28,32,36,40),0)/100)),0)</f>
        <v/>
      </c>
      <c r="R579">
        <f>IF(AND(Inputs!$B$39&lt;&gt;"pvp",Inputs!$B$44&gt;0),IF(MAX(0,Inputs!$B$44-B607)&lt;=0,0,(INT(MAX(0,Inputs!$B$44-B607)/(IF(Inputs!$B$39="pvp",15,MAX(0.1,Skills!D12-IF(Skills!E12=TRUE,Inputs!$B$33,0)))*(1-IF(AND(ArtifactsInput!$M$27,Inputs!$B$4="Chapter Hunt"),CHOOSE(ArtifactsInput!$N$27+1,20,24,28,32,36,40),0)/100)))+1)),0)</f>
        <v/>
      </c>
      <c r="S579" t="n">
        <v>0</v>
      </c>
      <c r="U579" t="n">
        <v>0</v>
      </c>
    </row>
    <row r="580">
      <c r="A580">
        <f>Skills!A13</f>
        <v/>
      </c>
      <c r="B580">
        <f>Skills!B13</f>
        <v/>
      </c>
      <c r="C580">
        <f>Inputs!$B$3&gt;=60</f>
        <v/>
      </c>
      <c r="D580">
        <f>IF(Skills!C13=1,60+Inputs!$B$26+Inputs!$B$30,IF(Skills!C13=2,90+Inputs!$B$27+Inputs!$B$30,IF(Skills!C13=3,120+Inputs!$B$28+Inputs!$B$30,MAX(0,(Inputs!$B$3-100)*3)+Inputs!$B$29+Inputs!$B$30)))</f>
        <v/>
      </c>
      <c r="E580">
        <f>INDEX(FactorTable!$B$2:$Y$301, MATCH(ROUND(MIN(300,MAX(1,D580)),0), FactorTable!$A$2:$A$301,0), Skills!L13+1)</f>
        <v/>
      </c>
      <c r="F580">
        <f>IF(Skills!M13=TRUE,(Skills!K13/10)*(E580/1000),Skills!K13/10)+Skills!N13</f>
        <v/>
      </c>
      <c r="G580">
        <f>Calc!G13</f>
        <v/>
      </c>
      <c r="H580">
        <f>Calc!H13</f>
        <v/>
      </c>
      <c r="I580">
        <f>IF(Skills!T13&lt;&gt;"",1+(Skills!T13/10)*($Z$3/1000)/100,1)</f>
        <v/>
      </c>
      <c r="J580" t="inlineStr"/>
      <c r="K580" t="inlineStr"/>
      <c r="L580" t="inlineStr"/>
      <c r="M580" t="inlineStr"/>
      <c r="N580" t="inlineStr"/>
      <c r="O580">
        <f>(1-Summary!$B$11)*S580+Summary!$B$11*U580</f>
        <v/>
      </c>
      <c r="P580">
        <f>IF(B610=0,0,O580/B610)</f>
        <v/>
      </c>
      <c r="Q580">
        <f>IFERROR(1/(IF(Inputs!$B$39="pvp",15,MAX(0.1,Skills!D13-IF(Skills!E13=TRUE,Inputs!$B$33,0)))*(1-IF(AND(ArtifactsInput!$M$27,Inputs!$B$4="Chapter Hunt"),CHOOSE(ArtifactsInput!$N$27+1,20,24,28,32,36,40),0)/100)),0)</f>
        <v/>
      </c>
      <c r="R580">
        <f>IF(AND(Inputs!$B$39&lt;&gt;"pvp",Inputs!$B$44&gt;0),IF(MAX(0,Inputs!$B$44-B607)&lt;=0,0,(INT(MAX(0,Inputs!$B$44-B607)/(IF(Inputs!$B$39="pvp",15,MAX(0.1,Skills!D13-IF(Skills!E13=TRUE,Inputs!$B$33,0)))*(1-IF(AND(ArtifactsInput!$M$27,Inputs!$B$4="Chapter Hunt"),CHOOSE(ArtifactsInput!$N$27+1,20,24,28,32,36,40),0)/100)))+1)),0)</f>
        <v/>
      </c>
      <c r="S580" t="n">
        <v>0</v>
      </c>
      <c r="U580" t="n">
        <v>0</v>
      </c>
    </row>
    <row r="581">
      <c r="A581">
        <f>Skills!A14</f>
        <v/>
      </c>
      <c r="B581">
        <f>Skills!B14</f>
        <v/>
      </c>
      <c r="C581">
        <f>Inputs!$B$3&gt;=107</f>
        <v/>
      </c>
      <c r="D581">
        <f>IF(Skills!C14=1,60+Inputs!$B$26+Inputs!$B$30,IF(Skills!C14=2,90+Inputs!$B$27+Inputs!$B$30,IF(Skills!C14=3,120+Inputs!$B$28+Inputs!$B$30,MAX(0,(Inputs!$B$3-100)*3)+Inputs!$B$29+Inputs!$B$30)))</f>
        <v/>
      </c>
      <c r="E581">
        <f>INDEX(FactorTable!$B$2:$Y$301, MATCH(ROUND(MIN(300,MAX(1,D581)),0), FactorTable!$A$2:$A$301,0), Skills!L14+1)</f>
        <v/>
      </c>
      <c r="F581">
        <f>IF(Skills!M14=TRUE,(Skills!K14/10)*(E581/1000),Skills!K14/10)+Skills!N14</f>
        <v/>
      </c>
      <c r="G581">
        <f>Calc!G14</f>
        <v/>
      </c>
      <c r="H581">
        <f>Calc!H14</f>
        <v/>
      </c>
      <c r="I581">
        <f>IF(Skills!T14&lt;&gt;"",1+(Skills!T14/10)*($Z$3/1000)/100,1)</f>
        <v/>
      </c>
      <c r="J581" t="inlineStr"/>
      <c r="K581" t="inlineStr"/>
      <c r="L581" t="inlineStr"/>
      <c r="M581" t="inlineStr"/>
      <c r="N581" t="inlineStr"/>
      <c r="O581">
        <f>(1-Summary!$B$11)*S581+Summary!$B$11*U581</f>
        <v/>
      </c>
      <c r="P581">
        <f>IF(B610=0,0,O581/B610)</f>
        <v/>
      </c>
      <c r="Q581">
        <f>IFERROR(1/(IF(Inputs!$B$39="pvp",15,MAX(0.1,Skills!D14-IF(Skills!E14=TRUE,Inputs!$B$33,0)))*(1-IF(AND(ArtifactsInput!$M$27,Inputs!$B$4="Chapter Hunt"),CHOOSE(ArtifactsInput!$N$27+1,20,24,28,32,36,40),0)/100)),0)</f>
        <v/>
      </c>
      <c r="R581">
        <f>IF(AND(Inputs!$B$39&lt;&gt;"pvp",Inputs!$B$44&gt;0),IF(Inputs!$B$44&lt;=0,0,(INT(Inputs!$B$44/(IF(Inputs!$B$39="pvp",15,MAX(0.1,Skills!D14-IF(Skills!E14=TRUE,Inputs!$B$33,0)))*(1-IF(AND(ArtifactsInput!$M$27,Inputs!$B$4="Chapter Hunt"),CHOOSE(ArtifactsInput!$N$27+1,20,24,28,32,36,40),0)/100)))+1)),0)</f>
        <v/>
      </c>
      <c r="S581" t="n">
        <v>0</v>
      </c>
      <c r="U581" t="n">
        <v>0</v>
      </c>
    </row>
    <row r="582">
      <c r="A582">
        <f>Skills!A15</f>
        <v/>
      </c>
      <c r="B582">
        <f>Skills!B15</f>
        <v/>
      </c>
      <c r="C582">
        <f>Inputs!$B$3&gt;=63</f>
        <v/>
      </c>
      <c r="D582">
        <f>IF(Skills!C15=1,60+Inputs!$B$26+Inputs!$B$30,IF(Skills!C15=2,90+Inputs!$B$27+Inputs!$B$30,IF(Skills!C15=3,120+Inputs!$B$28+Inputs!$B$30,MAX(0,(Inputs!$B$3-100)*3)+Inputs!$B$29+Inputs!$B$30)))</f>
        <v/>
      </c>
      <c r="E582">
        <f>INDEX(FactorTable!$B$2:$Y$301, MATCH(ROUND(MIN(300,MAX(1,D582)),0), FactorTable!$A$2:$A$301,0), Skills!L15+1)</f>
        <v/>
      </c>
      <c r="F582">
        <f>IF(Skills!M15=TRUE,(Skills!K15/10)*(E582/1000),Skills!K15/10)+Skills!N15</f>
        <v/>
      </c>
      <c r="G582">
        <f>Calc!G15</f>
        <v/>
      </c>
      <c r="H582">
        <f>Calc!H15</f>
        <v/>
      </c>
      <c r="I582">
        <f>IF(Skills!T15&lt;&gt;"",1+(Skills!T15/10)*($Z$3/1000)/100,1)</f>
        <v/>
      </c>
      <c r="J582">
        <f>((Inputs!$B$6*(1+Inputs!$B$7/100))+(((Inputs!$B$13*(1+Inputs!$B$14/100))-(Inputs!$B$13*(1+Inputs!$B$14/100)))+0.25*(Inputs!$B$15-Inputs!$B$15))*(1+Inputs!$B$7/100))*(F582/100)</f>
        <v/>
      </c>
      <c r="K582">
        <f>J582*(1+(((Inputs!$B$13+IF(Inputs!$B$3&gt;=35,(10*INDEX(FactorTable!$B$2:$Y$301,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15="TRIUMPH_FEATHER",IF(C583=TRUE,F583,0),0)/100)*(1+IF(C594=TRUE,F594,0)/100)^5*(1+(IF(Skills!A15="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582)</f>
        <v/>
      </c>
      <c r="L582">
        <f>K582*(MIN(Inputs!$B$23+(F589-Calc!F22),(Inputs!$B$24+IF(ArtifactsInput!$M$15,CHOOSE(ArtifactsInput!$N$15+1,25,30,35,40,45,50)/100*(Inputs!$B$12-Inputs!$B$12),0)))/100+(Inputs!$B$24+IF(ArtifactsInput!$M$15,CHOOSE(ArtifactsInput!$N$15+1,25,30,35,40,45,50)/100*(Inputs!$B$12-Inputs!$B$12),0))/100)/2</f>
        <v/>
      </c>
      <c r="M582">
        <f>L582*(1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82">
        <f>L582*(1-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(1-Summary!$B$11)*S582+Summary!$B$11*U582</f>
        <v/>
      </c>
      <c r="P582">
        <f>IF(B610=0,0,O582/B610)</f>
        <v/>
      </c>
      <c r="Q582">
        <f>IFERROR(1/(IF(Inputs!$B$39="pvp",15,MAX(0.1,Skills!D15-IF(Skills!E15=TRUE,Inputs!$B$33,0)))*(1-IF(AND(ArtifactsInput!$M$27,Inputs!$B$4="Chapter Hunt"),CHOOSE(ArtifactsInput!$N$27+1,20,24,28,32,36,40),0)/100)),0)</f>
        <v/>
      </c>
      <c r="R582" t="n">
        <v>0</v>
      </c>
      <c r="S582">
        <f>IF(C582,(Skills!F15*N582*((IF(Inputs!$B$3&gt;=78,25,15)/100*B603*10)/(1+IF(Inputs!$B$3&gt;=78,25,15)/100*B603*10))*(Skills!I15/100*B603)/(1+Skills!G15*Skills!I15/100*B603))*IF(Inputs!$B$39="pvp",1,1+(Inputs!$B$21+Skills!O15+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582*(1-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2">
        <f>IF(C582,(Skills!F15*N582*((IF(Inputs!$B$3&gt;=78,25,15)/100*B603*10)/(1+IF(Inputs!$B$3&gt;=78,25,15)/100*B603*10))*(Skills!I15/100*B603)/(1+Skills!G15*Skills!I15/100*B603))*IF(Inputs!$B$39="pvp",1,(1+(Inputs!$B$22+Skills!P15+B599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Skills!A16</f>
        <v/>
      </c>
      <c r="B583">
        <f>Skills!B16</f>
        <v/>
      </c>
      <c r="C583">
        <f>Inputs!$B$3&gt;=100</f>
        <v/>
      </c>
      <c r="D583">
        <f>IF(Skills!C16=1,60+Inputs!$B$26+Inputs!$B$30,IF(Skills!C16=2,90+Inputs!$B$27+Inputs!$B$30,IF(Skills!C16=3,120+Inputs!$B$28+Inputs!$B$30,MAX(0,(Inputs!$B$3-100)*3)+Inputs!$B$29+Inputs!$B$30)))</f>
        <v/>
      </c>
      <c r="E583">
        <f>INDEX(FactorTable!$B$2:$Y$301, MATCH(ROUND(MIN(300,MAX(1,D583)),0), FactorTable!$A$2:$A$301,0), Skills!L16+1)</f>
        <v/>
      </c>
      <c r="F583">
        <f>IF(Skills!M16=TRUE,(Skills!K16/10)*(E583/1000),Skills!K16/10)+Skills!N16</f>
        <v/>
      </c>
      <c r="G583">
        <f>Calc!G16</f>
        <v/>
      </c>
      <c r="H583">
        <f>Calc!H16</f>
        <v/>
      </c>
      <c r="I583">
        <f>IF(Skills!T16&lt;&gt;"",1+(Skills!T16/10)*($Z$3/1000)/100,1)</f>
        <v/>
      </c>
      <c r="J583" t="inlineStr"/>
      <c r="K583" t="inlineStr"/>
      <c r="L583" t="inlineStr"/>
      <c r="M583" t="inlineStr"/>
      <c r="N583" t="inlineStr"/>
      <c r="O583">
        <f>(1-Summary!$B$11)*S583+Summary!$B$11*U583</f>
        <v/>
      </c>
      <c r="P583">
        <f>IF(B610=0,0,O583/B610)</f>
        <v/>
      </c>
      <c r="Q583">
        <f>IFERROR(1/(IF(Inputs!$B$39="pvp",15,MAX(0.1,Skills!D16-IF(Skills!E16=TRUE,Inputs!$B$33,0)))*(1-IF(AND(ArtifactsInput!$M$27,Inputs!$B$4="Chapter Hunt"),CHOOSE(ArtifactsInput!$N$27+1,20,24,28,32,36,40),0)/100)),0)</f>
        <v/>
      </c>
      <c r="R583" t="n">
        <v>0</v>
      </c>
      <c r="S583" t="n">
        <v>0</v>
      </c>
      <c r="U583" t="n">
        <v>0</v>
      </c>
    </row>
    <row r="584">
      <c r="A584">
        <f>Skills!A17</f>
        <v/>
      </c>
      <c r="B584">
        <f>Skills!B17</f>
        <v/>
      </c>
      <c r="C584">
        <f>Inputs!$B$3&gt;=49</f>
        <v/>
      </c>
      <c r="D584">
        <f>IF(Skills!C17=1,60+Inputs!$B$26+Inputs!$B$30,IF(Skills!C17=2,90+Inputs!$B$27+Inputs!$B$30,IF(Skills!C17=3,120+Inputs!$B$28+Inputs!$B$30,MAX(0,(Inputs!$B$3-100)*3)+Inputs!$B$29+Inputs!$B$30)))</f>
        <v/>
      </c>
      <c r="E584">
        <f>INDEX(FactorTable!$B$2:$Y$301, MATCH(ROUND(MIN(300,MAX(1,D584)),0), FactorTable!$A$2:$A$301,0), Skills!L17+1)</f>
        <v/>
      </c>
      <c r="F584">
        <f>IF(Skills!M17=TRUE,(Skills!K17/10)*(E584/1000),Skills!K17/10)+Skills!N17</f>
        <v/>
      </c>
      <c r="G584">
        <f>Calc!G17</f>
        <v/>
      </c>
      <c r="H584">
        <f>Calc!H17</f>
        <v/>
      </c>
      <c r="I584">
        <f>IF(Skills!T17&lt;&gt;"",1+(Skills!T17/10)*($Z$3/1000)/100,1)</f>
        <v/>
      </c>
      <c r="J584" t="inlineStr"/>
      <c r="K584" t="inlineStr"/>
      <c r="L584" t="inlineStr"/>
      <c r="M584" t="inlineStr"/>
      <c r="N584" t="inlineStr"/>
      <c r="O584">
        <f>(1-Summary!$B$11)*S584+Summary!$B$11*U584</f>
        <v/>
      </c>
      <c r="P584">
        <f>IF(B610=0,0,O584/B610)</f>
        <v/>
      </c>
      <c r="Q584">
        <f>IFERROR(1/(IF(Inputs!$B$39="pvp",15,MAX(0.1,Skills!D17-IF(Skills!E17=TRUE,Inputs!$B$33,0)))*(1-IF(AND(ArtifactsInput!$M$27,Inputs!$B$4="Chapter Hunt"),CHOOSE(ArtifactsInput!$N$27+1,20,24,28,32,36,40),0)/100)),0)</f>
        <v/>
      </c>
      <c r="R584" t="n">
        <v>0</v>
      </c>
      <c r="S584" t="n">
        <v>0</v>
      </c>
      <c r="U584" t="n">
        <v>0</v>
      </c>
    </row>
    <row r="585">
      <c r="A585">
        <f>Skills!A18</f>
        <v/>
      </c>
      <c r="B585">
        <f>Skills!B18</f>
        <v/>
      </c>
      <c r="C585">
        <f>Inputs!$B$3&gt;=75</f>
        <v/>
      </c>
      <c r="D585">
        <f>IF(Skills!C18=1,60+Inputs!$B$26+Inputs!$B$30,IF(Skills!C18=2,90+Inputs!$B$27+Inputs!$B$30,IF(Skills!C18=3,120+Inputs!$B$28+Inputs!$B$30,MAX(0,(Inputs!$B$3-100)*3)+Inputs!$B$29+Inputs!$B$30)))</f>
        <v/>
      </c>
      <c r="E585">
        <f>INDEX(FactorTable!$B$2:$Y$301, MATCH(ROUND(MIN(300,MAX(1,D585)),0), FactorTable!$A$2:$A$301,0), Skills!L18+1)</f>
        <v/>
      </c>
      <c r="F585">
        <f>IF(Skills!M18=TRUE,(Skills!K18/10)*(E585/1000),Skills!K18/10)+Skills!N18</f>
        <v/>
      </c>
      <c r="G585">
        <f>Calc!G18</f>
        <v/>
      </c>
      <c r="H585">
        <f>Calc!H18</f>
        <v/>
      </c>
      <c r="I585">
        <f>IF(Skills!T18&lt;&gt;"",1+(Skills!T18/10)*($Z$3/1000)/100,1)</f>
        <v/>
      </c>
      <c r="J585" t="inlineStr"/>
      <c r="K585" t="inlineStr"/>
      <c r="L585" t="inlineStr"/>
      <c r="M585" t="inlineStr"/>
      <c r="N585" t="inlineStr"/>
      <c r="O585">
        <f>(1-Summary!$B$11)*S585+Summary!$B$11*U585</f>
        <v/>
      </c>
      <c r="P585">
        <f>IF(B610=0,0,O585/B610)</f>
        <v/>
      </c>
      <c r="Q585">
        <f>IFERROR(1/(IF(Inputs!$B$39="pvp",15,MAX(0.1,Skills!D18-IF(Skills!E18=TRUE,Inputs!$B$33,0)))*(1-IF(AND(ArtifactsInput!$M$27,Inputs!$B$4="Chapter Hunt"),CHOOSE(ArtifactsInput!$N$27+1,20,24,28,32,36,40),0)/100)),0)</f>
        <v/>
      </c>
      <c r="R585" t="n">
        <v>0</v>
      </c>
      <c r="S585" t="n">
        <v>0</v>
      </c>
      <c r="U585" t="n">
        <v>0</v>
      </c>
    </row>
    <row r="586">
      <c r="A586">
        <f>Skills!A19</f>
        <v/>
      </c>
      <c r="B586">
        <f>Skills!B19</f>
        <v/>
      </c>
      <c r="C586">
        <f>Inputs!$B$3&gt;=110</f>
        <v/>
      </c>
      <c r="D586">
        <f>IF(Skills!C19=1,60+Inputs!$B$26+Inputs!$B$30,IF(Skills!C19=2,90+Inputs!$B$27+Inputs!$B$30,IF(Skills!C19=3,120+Inputs!$B$28+Inputs!$B$30,MAX(0,(Inputs!$B$3-100)*3)+Inputs!$B$29+Inputs!$B$30)))</f>
        <v/>
      </c>
      <c r="E586">
        <f>INDEX(FactorTable!$B$2:$Y$301, MATCH(ROUND(MIN(300,MAX(1,D586)),0), FactorTable!$A$2:$A$301,0), Skills!L19+1)</f>
        <v/>
      </c>
      <c r="F586">
        <f>(Skills!K19/10)*(E586/1000)*64/45+Skills!N19</f>
        <v/>
      </c>
      <c r="G586">
        <f>Calc!G19</f>
        <v/>
      </c>
      <c r="H586">
        <f>Calc!H19</f>
        <v/>
      </c>
      <c r="I586">
        <f>IF(Skills!T19&lt;&gt;"",1+(Skills!T19/10)*($Z$3/1000)/100,1)</f>
        <v/>
      </c>
      <c r="J586" t="inlineStr"/>
      <c r="K586" t="inlineStr"/>
      <c r="L586" t="inlineStr"/>
      <c r="M586" t="inlineStr"/>
      <c r="N586" t="inlineStr"/>
      <c r="O586">
        <f>(1-Summary!$B$11)*S586+Summary!$B$11*U586</f>
        <v/>
      </c>
      <c r="P586">
        <f>IF(B610=0,0,O586/B610)</f>
        <v/>
      </c>
      <c r="Q586">
        <f>IFERROR(1/(IF(Inputs!$B$39="pvp",15,MAX(0.1,Skills!D19-IF(Skills!E19=TRUE,Inputs!$B$33,0)))*(1-IF(AND(ArtifactsInput!$M$27,Inputs!$B$4="Chapter Hunt"),CHOOSE(ArtifactsInput!$N$27+1,20,24,28,32,36,40),0)/100)),0)</f>
        <v/>
      </c>
      <c r="R586">
        <f>IF(AND(Inputs!$B$39&lt;&gt;"pvp",Inputs!$B$44&gt;0),IF(Inputs!$B$44&lt;=0,0,(INT(Inputs!$B$44/(IF(Inputs!$B$39="pvp",15,MAX(0.1,Skills!D19-IF(Skills!E19=TRUE,Inputs!$B$33,0)))*(1-IF(AND(ArtifactsInput!$M$27,Inputs!$B$4="Chapter Hunt"),CHOOSE(ArtifactsInput!$N$27+1,20,24,28,32,36,40),0)/100)))+1)),0)</f>
        <v/>
      </c>
      <c r="S586" t="n">
        <v>0</v>
      </c>
      <c r="U586" t="n">
        <v>0</v>
      </c>
    </row>
    <row r="587">
      <c r="A587">
        <f>Skills!A20</f>
        <v/>
      </c>
      <c r="B587">
        <f>Skills!B20</f>
        <v/>
      </c>
      <c r="C587">
        <f>Inputs!$B$3&gt;=125</f>
        <v/>
      </c>
      <c r="D587">
        <f>IF(Skills!C20=1,60+Inputs!$B$26+Inputs!$B$30,IF(Skills!C20=2,90+Inputs!$B$27+Inputs!$B$30,IF(Skills!C20=3,120+Inputs!$B$28+Inputs!$B$30,MAX(0,(Inputs!$B$3-100)*3)+Inputs!$B$29+Inputs!$B$30)))</f>
        <v/>
      </c>
      <c r="E587">
        <f>INDEX(FactorTable!$B$2:$Y$301, MATCH(ROUND(MIN(300,MAX(1,D587)),0), FactorTable!$A$2:$A$301,0), Skills!L20+1)</f>
        <v/>
      </c>
      <c r="F587">
        <f>IF(Skills!M20=TRUE,(Skills!K20/10)*(E587/1000),Skills!K20/10)+Skills!N20</f>
        <v/>
      </c>
      <c r="G587">
        <f>Calc!G20</f>
        <v/>
      </c>
      <c r="H587">
        <f>Calc!H20</f>
        <v/>
      </c>
      <c r="I587">
        <f>IF(Skills!T20&lt;&gt;"",1+(Skills!T20/10)*($Z$3/1000)/100,1)</f>
        <v/>
      </c>
      <c r="J587" t="inlineStr"/>
      <c r="K587" t="inlineStr"/>
      <c r="L587" t="inlineStr"/>
      <c r="M587" t="inlineStr"/>
      <c r="N587" t="inlineStr"/>
      <c r="O587">
        <f>(1-Summary!$B$11)*S587+Summary!$B$11*U587</f>
        <v/>
      </c>
      <c r="P587">
        <f>IF(B610=0,0,O587/B610)</f>
        <v/>
      </c>
      <c r="Q587">
        <f>IFERROR(1/(IF(Inputs!$B$39="pvp",15,MAX(0.1,Skills!D20-IF(Skills!E20=TRUE,Inputs!$B$33,0)))*(1-IF(AND(ArtifactsInput!$M$27,Inputs!$B$4="Chapter Hunt"),CHOOSE(ArtifactsInput!$N$27+1,20,24,28,32,36,40),0)/100)),0)</f>
        <v/>
      </c>
      <c r="R587" t="n">
        <v>0</v>
      </c>
      <c r="S587" t="n">
        <v>0</v>
      </c>
      <c r="U587" t="n">
        <v>0</v>
      </c>
    </row>
    <row r="588">
      <c r="A588">
        <f>Skills!A21</f>
        <v/>
      </c>
      <c r="B588">
        <f>Skills!B21</f>
        <v/>
      </c>
      <c r="C588">
        <f>Inputs!$B$3&gt;=33</f>
        <v/>
      </c>
      <c r="D588">
        <f>IF(Skills!C21=1,60+Inputs!$B$26+Inputs!$B$30,IF(Skills!C21=2,90+Inputs!$B$27+Inputs!$B$30,IF(Skills!C21=3,120+Inputs!$B$28+Inputs!$B$30,MAX(0,(Inputs!$B$3-100)*3)+Inputs!$B$29+Inputs!$B$30)))</f>
        <v/>
      </c>
      <c r="E588">
        <f>INDEX(FactorTable!$B$2:$Y$301, MATCH(ROUND(MIN(300,MAX(1,D588)),0), FactorTable!$A$2:$A$301,0), Skills!L21+1)</f>
        <v/>
      </c>
      <c r="F588">
        <f>IF(Skills!M21=TRUE,(Skills!K21/10)*(E588/1000),Skills!K21/10)+Skills!N21</f>
        <v/>
      </c>
      <c r="G588">
        <f>Calc!G21</f>
        <v/>
      </c>
      <c r="H588">
        <f>Calc!H21</f>
        <v/>
      </c>
      <c r="I588">
        <f>IF(Skills!T21&lt;&gt;"",1+(Skills!T21/10)*($Z$3/1000)/100,1)</f>
        <v/>
      </c>
      <c r="J588" t="inlineStr"/>
      <c r="K588" t="inlineStr"/>
      <c r="L588" t="inlineStr"/>
      <c r="M588" t="inlineStr"/>
      <c r="N588" t="inlineStr"/>
      <c r="O588">
        <f>(1-Summary!$B$11)*S588+Summary!$B$11*U588</f>
        <v/>
      </c>
      <c r="P588">
        <f>IF(B610=0,0,O588/B610)</f>
        <v/>
      </c>
      <c r="Q588">
        <f>IFERROR(1/(IF(Inputs!$B$39="pvp",15,MAX(0.1,Skills!D21-IF(Skills!E21=TRUE,Inputs!$B$33,0)))*(1-IF(AND(ArtifactsInput!$M$27,Inputs!$B$4="Chapter Hunt"),CHOOSE(ArtifactsInput!$N$27+1,20,24,28,32,36,40),0)/100)),0)</f>
        <v/>
      </c>
      <c r="R588" t="n">
        <v>0</v>
      </c>
      <c r="S588" t="n">
        <v>0</v>
      </c>
      <c r="U588" t="n">
        <v>0</v>
      </c>
    </row>
    <row r="589">
      <c r="A589">
        <f>Skills!A22</f>
        <v/>
      </c>
      <c r="B589">
        <f>Skills!B22</f>
        <v/>
      </c>
      <c r="C589">
        <f>Inputs!$B$3&gt;=43</f>
        <v/>
      </c>
      <c r="D589">
        <f>IF(Skills!C22=1,60+Inputs!$B$26+Inputs!$B$30,IF(Skills!C22=2,90+Inputs!$B$27+Inputs!$B$30,IF(Skills!C22=3,120+Inputs!$B$28+Inputs!$B$30,MAX(0,(Inputs!$B$3-100)*3)+Inputs!$B$29+Inputs!$B$30)))</f>
        <v/>
      </c>
      <c r="E589">
        <f>INDEX(FactorTable!$B$2:$Y$301, MATCH(ROUND(MIN(300,MAX(1,D589)),0), FactorTable!$A$2:$A$301,0), Skills!L22+1)</f>
        <v/>
      </c>
      <c r="F589">
        <f>IF(Skills!M22=TRUE,(Skills!K22/10)*(E589/1000),Skills!K22/10)+Skills!N22</f>
        <v/>
      </c>
      <c r="G589">
        <f>Calc!G22</f>
        <v/>
      </c>
      <c r="H589">
        <f>Calc!H22</f>
        <v/>
      </c>
      <c r="I589">
        <f>IF(Skills!T22&lt;&gt;"",1+(Skills!T22/10)*($Z$3/1000)/100,1)</f>
        <v/>
      </c>
      <c r="J589" t="inlineStr"/>
      <c r="K589" t="inlineStr"/>
      <c r="L589" t="inlineStr"/>
      <c r="M589" t="inlineStr"/>
      <c r="N589" t="inlineStr"/>
      <c r="O589">
        <f>(1-Summary!$B$11)*S589+Summary!$B$11*U589</f>
        <v/>
      </c>
      <c r="P589">
        <f>IF(B610=0,0,O589/B610)</f>
        <v/>
      </c>
      <c r="Q589">
        <f>IFERROR(1/(IF(Inputs!$B$39="pvp",15,MAX(0.1,Skills!D22-IF(Skills!E22=TRUE,Inputs!$B$33,0)))*(1-IF(AND(ArtifactsInput!$M$27,Inputs!$B$4="Chapter Hunt"),CHOOSE(ArtifactsInput!$N$27+1,20,24,28,32,36,40),0)/100)),0)</f>
        <v/>
      </c>
      <c r="R589" t="n">
        <v>0</v>
      </c>
      <c r="S589" t="n">
        <v>0</v>
      </c>
      <c r="U589" t="n">
        <v>0</v>
      </c>
    </row>
    <row r="590">
      <c r="A590">
        <f>Skills!A23</f>
        <v/>
      </c>
      <c r="B590">
        <f>Skills!B23</f>
        <v/>
      </c>
      <c r="C590">
        <f>Inputs!$B$3&gt;=50</f>
        <v/>
      </c>
      <c r="D590">
        <f>IF(Skills!C23=1,60+Inputs!$B$26+Inputs!$B$30,IF(Skills!C23=2,90+Inputs!$B$27+Inputs!$B$30,IF(Skills!C23=3,120+Inputs!$B$28+Inputs!$B$30,MAX(0,(Inputs!$B$3-100)*3)+Inputs!$B$29+Inputs!$B$30)))</f>
        <v/>
      </c>
      <c r="E590">
        <f>INDEX(FactorTable!$B$2:$Y$301, MATCH(ROUND(MIN(300,MAX(1,D590)),0), FactorTable!$A$2:$A$301,0), Skills!L23+1)</f>
        <v/>
      </c>
      <c r="F590">
        <f>IF(Skills!M23=TRUE,(Skills!K23/10)*(E590/1000),Skills!K23/10)+Skills!N23</f>
        <v/>
      </c>
      <c r="G590">
        <f>Calc!G23</f>
        <v/>
      </c>
      <c r="H590">
        <f>Calc!H23</f>
        <v/>
      </c>
      <c r="I590">
        <f>IF(Skills!T23&lt;&gt;"",1+(Skills!T23/10)*($Z$3/1000)/100,1)</f>
        <v/>
      </c>
      <c r="J590" t="inlineStr"/>
      <c r="K590" t="inlineStr"/>
      <c r="L590" t="inlineStr"/>
      <c r="M590" t="inlineStr"/>
      <c r="N590" t="inlineStr"/>
      <c r="O590">
        <f>(1-Summary!$B$11)*S590+Summary!$B$11*U590</f>
        <v/>
      </c>
      <c r="P590">
        <f>IF(B610=0,0,O590/B610)</f>
        <v/>
      </c>
      <c r="Q590">
        <f>IFERROR(1/(IF(Inputs!$B$39="pvp",15,MAX(0.1,Skills!D23-IF(Skills!E23=TRUE,Inputs!$B$33,0)))*(1-IF(AND(ArtifactsInput!$M$27,Inputs!$B$4="Chapter Hunt"),CHOOSE(ArtifactsInput!$N$27+1,20,24,28,32,36,40),0)/100)),0)</f>
        <v/>
      </c>
      <c r="R590" t="n">
        <v>0</v>
      </c>
      <c r="S590" t="n">
        <v>0</v>
      </c>
      <c r="U590" t="n">
        <v>0</v>
      </c>
    </row>
    <row r="591">
      <c r="A591">
        <f>Skills!A24</f>
        <v/>
      </c>
      <c r="B591">
        <f>Skills!B24</f>
        <v/>
      </c>
      <c r="C591">
        <f>Inputs!$B$3&gt;=74</f>
        <v/>
      </c>
      <c r="D591">
        <f>IF(Skills!C24=1,60+Inputs!$B$26+Inputs!$B$30,IF(Skills!C24=2,90+Inputs!$B$27+Inputs!$B$30,IF(Skills!C24=3,120+Inputs!$B$28+Inputs!$B$30,MAX(0,(Inputs!$B$3-100)*3)+Inputs!$B$29+Inputs!$B$30)))</f>
        <v/>
      </c>
      <c r="E591">
        <f>INDEX(FactorTable!$B$2:$Y$301, MATCH(ROUND(MIN(300,MAX(1,D591)),0), FactorTable!$A$2:$A$301,0), Skills!L24+1)</f>
        <v/>
      </c>
      <c r="F591">
        <f>IF(Skills!M24=TRUE,(Skills!K24/10)*(E591/1000),Skills!K24/10)+Skills!N24</f>
        <v/>
      </c>
      <c r="G591">
        <f>Calc!G24</f>
        <v/>
      </c>
      <c r="H591">
        <f>Calc!H24</f>
        <v/>
      </c>
      <c r="I591">
        <f>IF(Skills!T24&lt;&gt;"",1+(Skills!T24/10)*($Z$3/1000)/100,1)</f>
        <v/>
      </c>
      <c r="J591" t="inlineStr"/>
      <c r="K591" t="inlineStr"/>
      <c r="L591" t="inlineStr"/>
      <c r="M591" t="inlineStr"/>
      <c r="N591" t="inlineStr"/>
      <c r="O591">
        <f>(1-Summary!$B$11)*S591+Summary!$B$11*U591</f>
        <v/>
      </c>
      <c r="P591">
        <f>IF(B610=0,0,O591/B610)</f>
        <v/>
      </c>
      <c r="Q591">
        <f>IFERROR(1/(IF(Inputs!$B$39="pvp",15,MAX(0.1,Skills!D24-IF(Skills!E24=TRUE,Inputs!$B$33,0)))*(1-IF(AND(ArtifactsInput!$M$27,Inputs!$B$4="Chapter Hunt"),CHOOSE(ArtifactsInput!$N$27+1,20,24,28,32,36,40),0)/100)),0)</f>
        <v/>
      </c>
      <c r="R591" t="n">
        <v>0</v>
      </c>
      <c r="S591" t="n">
        <v>0</v>
      </c>
      <c r="U591" t="n">
        <v>0</v>
      </c>
    </row>
    <row r="592">
      <c r="A592">
        <f>Skills!A25</f>
        <v/>
      </c>
      <c r="B592">
        <f>Skills!B25</f>
        <v/>
      </c>
      <c r="C592">
        <f>Inputs!$B$3&gt;=74</f>
        <v/>
      </c>
      <c r="D592">
        <f>IF(Skills!C25=1,60+Inputs!$B$26+Inputs!$B$30,IF(Skills!C25=2,90+Inputs!$B$27+Inputs!$B$30,IF(Skills!C25=3,120+Inputs!$B$28+Inputs!$B$30,MAX(0,(Inputs!$B$3-100)*3)+Inputs!$B$29+Inputs!$B$30)))</f>
        <v/>
      </c>
      <c r="E592">
        <f>INDEX(FactorTable!$B$2:$Y$301, MATCH(ROUND(MIN(300,MAX(1,D592)),0), FactorTable!$A$2:$A$301,0), Skills!L25+1)</f>
        <v/>
      </c>
      <c r="F592">
        <f>IF(Skills!M25=TRUE,(Skills!K25/10)*(E592/1000),Skills!K25/10)+Skills!N25</f>
        <v/>
      </c>
      <c r="G592">
        <f>Calc!G25</f>
        <v/>
      </c>
      <c r="H592">
        <f>Calc!H25</f>
        <v/>
      </c>
      <c r="I592">
        <f>IF(Skills!T25&lt;&gt;"",1+(Skills!T25/10)*($Z$3/1000)/100,1)</f>
        <v/>
      </c>
      <c r="J592" t="inlineStr"/>
      <c r="K592" t="inlineStr"/>
      <c r="L592" t="inlineStr"/>
      <c r="M592" t="inlineStr"/>
      <c r="N592" t="inlineStr"/>
      <c r="O592">
        <f>(1-Summary!$B$11)*S592+Summary!$B$11*U592</f>
        <v/>
      </c>
      <c r="P592">
        <f>IF(B610=0,0,O592/B610)</f>
        <v/>
      </c>
      <c r="Q592">
        <f>IFERROR(1/(IF(Inputs!$B$39="pvp",15,MAX(0.1,Skills!D25-IF(Skills!E25=TRUE,Inputs!$B$33,0)))*(1-IF(AND(ArtifactsInput!$M$27,Inputs!$B$4="Chapter Hunt"),CHOOSE(ArtifactsInput!$N$27+1,20,24,28,32,36,40),0)/100)),0)</f>
        <v/>
      </c>
      <c r="R592" t="n">
        <v>0</v>
      </c>
      <c r="S592" t="n">
        <v>0</v>
      </c>
      <c r="U592" t="n">
        <v>0</v>
      </c>
    </row>
    <row r="593">
      <c r="A593">
        <f>Skills!A26</f>
        <v/>
      </c>
      <c r="B593">
        <f>Skills!B26</f>
        <v/>
      </c>
      <c r="C593">
        <f>Inputs!$B$3&gt;=117</f>
        <v/>
      </c>
      <c r="D593">
        <f>IF(Skills!C26=1,60+Inputs!$B$26+Inputs!$B$30,IF(Skills!C26=2,90+Inputs!$B$27+Inputs!$B$30,IF(Skills!C26=3,120+Inputs!$B$28+Inputs!$B$30,MAX(0,(Inputs!$B$3-100)*3)+Inputs!$B$29+Inputs!$B$30)))</f>
        <v/>
      </c>
      <c r="E593">
        <f>INDEX(FactorTable!$B$2:$Y$301, MATCH(ROUND(MIN(300,MAX(1,D593)),0), FactorTable!$A$2:$A$301,0), Skills!L26+1)</f>
        <v/>
      </c>
      <c r="F593">
        <f>IF(Skills!M26=TRUE,(Skills!K26/10)*(E593/1000),Skills!K26/10)+Skills!N26</f>
        <v/>
      </c>
      <c r="G593">
        <f>Calc!G26</f>
        <v/>
      </c>
      <c r="H593">
        <f>Calc!H26</f>
        <v/>
      </c>
      <c r="I593">
        <f>IF(Skills!T26&lt;&gt;"",1+(Skills!T26/10)*($Z$3/1000)/100,1)</f>
        <v/>
      </c>
      <c r="J593" t="inlineStr"/>
      <c r="K593" t="inlineStr"/>
      <c r="L593" t="inlineStr"/>
      <c r="M593" t="inlineStr"/>
      <c r="N593" t="inlineStr"/>
      <c r="O593">
        <f>(1-Summary!$B$11)*S593+Summary!$B$11*U593</f>
        <v/>
      </c>
      <c r="P593">
        <f>IF(B610=0,0,O593/B610)</f>
        <v/>
      </c>
      <c r="Q593">
        <f>IFERROR(1/(IF(Inputs!$B$39="pvp",15,MAX(0.1,Skills!D26-IF(Skills!E26=TRUE,Inputs!$B$33,0)))*(1-IF(AND(ArtifactsInput!$M$27,Inputs!$B$4="Chapter Hunt"),CHOOSE(ArtifactsInput!$N$27+1,20,24,28,32,36,40),0)/100)),0)</f>
        <v/>
      </c>
      <c r="R593" t="n">
        <v>0</v>
      </c>
      <c r="S593" t="n">
        <v>0</v>
      </c>
      <c r="U593" t="n">
        <v>0</v>
      </c>
    </row>
    <row r="594">
      <c r="A594">
        <f>Skills!A27</f>
        <v/>
      </c>
      <c r="B594">
        <f>Skills!B27</f>
        <v/>
      </c>
      <c r="C594">
        <f>Inputs!$B$3&gt;=120</f>
        <v/>
      </c>
      <c r="D594">
        <f>IF(Skills!C27=1,60+Inputs!$B$26+Inputs!$B$30,IF(Skills!C27=2,90+Inputs!$B$27+Inputs!$B$30,IF(Skills!C27=3,120+Inputs!$B$28+Inputs!$B$30,MAX(0,(Inputs!$B$3-100)*3)+Inputs!$B$29+Inputs!$B$30)))</f>
        <v/>
      </c>
      <c r="E594">
        <f>INDEX(FactorTable!$B$2:$Y$301, MATCH(ROUND(MIN(300,MAX(1,D594)),0), FactorTable!$A$2:$A$301,0), Skills!L27+1)</f>
        <v/>
      </c>
      <c r="F594">
        <f>IF(Skills!M27=TRUE,(Skills!K27/10)*(E594/1000),Skills!K27/10)+Skills!N27</f>
        <v/>
      </c>
      <c r="G594">
        <f>Calc!G27</f>
        <v/>
      </c>
      <c r="H594">
        <f>Calc!H27</f>
        <v/>
      </c>
      <c r="I594">
        <f>IF(Skills!T27&lt;&gt;"",1+(Skills!T27/10)*($Z$3/1000)/100,1)</f>
        <v/>
      </c>
      <c r="J594" t="inlineStr"/>
      <c r="K594" t="inlineStr"/>
      <c r="L594" t="inlineStr"/>
      <c r="M594" t="inlineStr"/>
      <c r="N594" t="inlineStr"/>
      <c r="O594">
        <f>(1-Summary!$B$11)*S594+Summary!$B$11*U594</f>
        <v/>
      </c>
      <c r="P594">
        <f>IF(B610=0,0,O594/B610)</f>
        <v/>
      </c>
      <c r="Q594">
        <f>IFERROR(1/(IF(Inputs!$B$39="pvp",15,MAX(0.1,Skills!D27-IF(Skills!E27=TRUE,Inputs!$B$33,0)))*(1-IF(AND(ArtifactsInput!$M$27,Inputs!$B$4="Chapter Hunt"),CHOOSE(ArtifactsInput!$N$27+1,20,24,28,32,36,40),0)/100)),0)</f>
        <v/>
      </c>
      <c r="R594" t="n">
        <v>0</v>
      </c>
      <c r="S594" t="n">
        <v>0</v>
      </c>
      <c r="U594" t="n">
        <v>0</v>
      </c>
    </row>
    <row r="595">
      <c r="A595">
        <f>Skills!A28</f>
        <v/>
      </c>
      <c r="B595">
        <f>Skills!B28</f>
        <v/>
      </c>
      <c r="C595">
        <f>TRUE</f>
        <v/>
      </c>
      <c r="D595">
        <f>IF(Skills!C28=1,60+Inputs!$B$26+Inputs!$B$30,IF(Skills!C28=2,90+Inputs!$B$27+Inputs!$B$30,IF(Skills!C28=3,120+Inputs!$B$28+Inputs!$B$30,MAX(0,(Inputs!$B$3-100)*3)+Inputs!$B$29+Inputs!$B$30)))</f>
        <v/>
      </c>
      <c r="E595">
        <f>INDEX(FactorTable!$B$2:$Y$301, MATCH(ROUND(MIN(300,MAX(1,D595)),0), FactorTable!$A$2:$A$301,0), Skills!L28+1)</f>
        <v/>
      </c>
      <c r="F595">
        <f>IF(Skills!M28=TRUE,(Skills!K28/10)*(E595/1000),Skills!K28/10)+Skills!N28</f>
        <v/>
      </c>
      <c r="G595">
        <f>Calc!G28</f>
        <v/>
      </c>
      <c r="H595">
        <f>Calc!H28</f>
        <v/>
      </c>
      <c r="I595">
        <f>IF(Skills!T28&lt;&gt;"",1+(Skills!T28/10)*($Z$3/1000)/100,1)</f>
        <v/>
      </c>
      <c r="J595" t="inlineStr"/>
      <c r="K595" t="inlineStr"/>
      <c r="L595" t="inlineStr"/>
      <c r="M595" t="inlineStr"/>
      <c r="N595" t="inlineStr"/>
      <c r="O595">
        <f>(1-Summary!$B$11)*S595+Summary!$B$11*U595</f>
        <v/>
      </c>
      <c r="P595">
        <f>IF(B610=0,0,O595/B610)</f>
        <v/>
      </c>
      <c r="Q595">
        <f>IFERROR(1/(IF(Inputs!$B$39="pvp",15,MAX(0.1,Skills!D28-IF(Skills!E28=TRUE,Inputs!$B$33,0)))*(1-IF(AND(ArtifactsInput!$M$27,Inputs!$B$4="Chapter Hunt"),CHOOSE(ArtifactsInput!$N$27+1,20,24,28,32,36,40),0)/100)),0)</f>
        <v/>
      </c>
      <c r="R595">
        <f>IF(AND(Inputs!$B$39&lt;&gt;"pvp",Inputs!$B$44&gt;0),IF(Inputs!$B$44&lt;=0,0,(INT(Inputs!$B$44/(IF(Inputs!$B$39="pvp",15,MAX(0.1,Skills!D28-IF(Skills!E28=TRUE,Inputs!$B$33,0)))*(1-IF(AND(ArtifactsInput!$M$27,Inputs!$B$4="Chapter Hunt"),CHOOSE(ArtifactsInput!$N$27+1,20,24,28,32,36,40),0)/100)))+1)),0)</f>
        <v/>
      </c>
      <c r="S595" t="n">
        <v>0</v>
      </c>
      <c r="U595" t="n">
        <v>0</v>
      </c>
    </row>
    <row r="597">
      <c r="A597" t="inlineStr">
        <is>
          <t>Average Buff Multiplier</t>
        </is>
      </c>
      <c r="B597">
        <f>(1+(IF(C570=TRUE,F570*IF(AND(Inputs!$B$39&lt;&gt;"pvp",Inputs!$B$44&gt;0),(((R570-1)*(Skills!S3*(1+((Inputs!$B$35+(ArtifactsInput!$M$7-ArtifactsInput!$M$7)*CHOOSE(ArtifactsInput!$N$7+1,6,7.2,8.4,9.6,10.8,12))+IF(Inputs!$B$3&gt;=117,F593,0))/100))+MIN((Skills!S3*(1+((Inputs!$B$35+(ArtifactsInput!$M$7-ArtifactsInput!$M$7)*CHOOSE(ArtifactsInput!$N$7+1,6,7.2,8.4,9.6,10.8,12))+IF(Inputs!$B$3&gt;=117,F593,0))/100)),MAX(0,Inputs!$B$44-((R570-1)*Skills!D3))))/Inputs!$B$44),IF(Inputs!$B$39="pvp",MIN((Skills!S3*(1+((Inputs!$B$35+(ArtifactsInput!$M$7-ArtifactsInput!$M$7)*CHOOSE(ArtifactsInput!$N$7+1,6,7.2,8.4,9.6,10.8,12))+IF(Inputs!$B$3&gt;=117,F593,0))/100)),15)/15,(Skills!S3*(1+((Inputs!$B$35+(ArtifactsInput!$M$7-ArtifactsInput!$M$7)*CHOOSE(ArtifactsInput!$N$7+1,6,7.2,8.4,9.6,10.8,12))+IF(Inputs!$B$3&gt;=117,F593,0))/100))/Skills!D3)),0)+IF(C571=TRUE,F571*IF(AND(Inputs!$B$39&lt;&gt;"pvp",Inputs!$B$44&gt;0),(((R571-1)*(Skills!S4*(1+((Inputs!$B$35+(ArtifactsInput!$M$7-ArtifactsInput!$M$7)*CHOOSE(ArtifactsInput!$N$7+1,6,7.2,8.4,9.6,10.8,12))+IF(Inputs!$B$3&gt;=117,F593,0))/100))+MIN((Skills!S4*(1+((Inputs!$B$35+(ArtifactsInput!$M$7-ArtifactsInput!$M$7)*CHOOSE(ArtifactsInput!$N$7+1,6,7.2,8.4,9.6,10.8,12))+IF(Inputs!$B$3&gt;=117,F593,0))/100)),MAX(0,Inputs!$B$44-((R571-1)*Skills!D4))))/Inputs!$B$44),IF(Inputs!$B$39="pvp",MIN((Skills!S4*(1+((Inputs!$B$35+(ArtifactsInput!$M$7-ArtifactsInput!$M$7)*CHOOSE(ArtifactsInput!$N$7+1,6,7.2,8.4,9.6,10.8,12))+IF(Inputs!$B$3&gt;=117,F593,0))/100)),15)/15,(Skills!S4*(1+((Inputs!$B$35+(ArtifactsInput!$M$7-ArtifactsInput!$M$7)*CHOOSE(ArtifactsInput!$N$7+1,6,7.2,8.4,9.6,10.8,12))+IF(Inputs!$B$3&gt;=117,F593,0))/100))/Skills!D4)),0)+IF(C572=TRUE,F572*IF(AND(Inputs!$B$39&lt;&gt;"pvp",Inputs!$B$44&gt;0),(((R572-1)*(Skills!S5*(1+((Inputs!$B$35+(ArtifactsInput!$M$7-ArtifactsInput!$M$7)*CHOOSE(ArtifactsInput!$N$7+1,6,7.2,8.4,9.6,10.8,12))+IF(Inputs!$B$3&gt;=117,F593,0))/100))+MIN((Skills!S5*(1+((Inputs!$B$35+(ArtifactsInput!$M$7-ArtifactsInput!$M$7)*CHOOSE(ArtifactsInput!$N$7+1,6,7.2,8.4,9.6,10.8,12))+IF(Inputs!$B$3&gt;=117,F593,0))/100)),MAX(0,Inputs!$B$44-((R572-1)*Skills!D5))))/Inputs!$B$44),IF(Inputs!$B$39="pvp",MIN((Skills!S5*(1+((Inputs!$B$35+(ArtifactsInput!$M$7-ArtifactsInput!$M$7)*CHOOSE(ArtifactsInput!$N$7+1,6,7.2,8.4,9.6,10.8,12))+IF(Inputs!$B$3&gt;=117,F593,0))/100)),15)/15,(Skills!S5*(1+((Inputs!$B$35+(ArtifactsInput!$M$7-ArtifactsInput!$M$7)*CHOOSE(ArtifactsInput!$N$7+1,6,7.2,8.4,9.6,10.8,12))+IF(Inputs!$B$3&gt;=117,F593,0))/100))/Skills!D5)),0)+IF(C578=TRUE,F578*IF(AND(Inputs!$B$39&lt;&gt;"pvp",Inputs!$B$44&gt;0),(((R578-1)*(Skills!S11*(1+((Inputs!$B$35+(ArtifactsInput!$M$7-ArtifactsInput!$M$7)*CHOOSE(ArtifactsInput!$N$7+1,6,7.2,8.4,9.6,10.8,12))+IF(Inputs!$B$3&gt;=117,F593,0))/100))+MIN((Skills!S11*(1+((Inputs!$B$35+(ArtifactsInput!$M$7-ArtifactsInput!$M$7)*CHOOSE(ArtifactsInput!$N$7+1,6,7.2,8.4,9.6,10.8,12))+IF(Inputs!$B$3&gt;=117,F593,0))/100)),MAX(0,Inputs!$B$44-((R578-1)*Skills!D11))))/Inputs!$B$44),IF(Inputs!$B$39="pvp",MIN((Skills!S11*(1+((Inputs!$B$35+(ArtifactsInput!$M$7-ArtifactsInput!$M$7)*CHOOSE(ArtifactsInput!$N$7+1,6,7.2,8.4,9.6,10.8,12))+IF(Inputs!$B$3&gt;=117,F593,0))/100)),15)/15,(Skills!S11*(1+((Inputs!$B$35+(ArtifactsInput!$M$7-ArtifactsInput!$M$7)*CHOOSE(ArtifactsInput!$N$7+1,6,7.2,8.4,9.6,10.8,12))+IF(Inputs!$B$3&gt;=117,F593,0)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581=TRUE,(1+F581*IF(AND(Inputs!$B$39&lt;&gt;"pvp",Inputs!$B$44&gt;0),(((R581-1)*(Skills!S14*(1+((Inputs!$B$35+(ArtifactsInput!$M$7-ArtifactsInput!$M$7)*CHOOSE(ArtifactsInput!$N$7+1,6,7.2,8.4,9.6,10.8,12))+IF(Inputs!$B$3&gt;=117,F593,0))/100))+MIN((Skills!S14*(1+((Inputs!$B$35+(ArtifactsInput!$M$7-ArtifactsInput!$M$7)*CHOOSE(ArtifactsInput!$N$7+1,6,7.2,8.4,9.6,10.8,12))+IF(Inputs!$B$3&gt;=117,F593,0))/100)),MAX(0,Inputs!$B$44-((R581-1)*Skills!D14))))/Inputs!$B$44),IF(Inputs!$B$39="pvp",MIN((Skills!S14*(1+((Inputs!$B$35+(ArtifactsInput!$M$7-ArtifactsInput!$M$7)*CHOOSE(ArtifactsInput!$N$7+1,6,7.2,8.4,9.6,10.8,12))+IF(Inputs!$B$3&gt;=117,F593,0))/100)),15)/15,(Skills!S14*(1+((Inputs!$B$35+(ArtifactsInput!$M$7-ArtifactsInput!$M$7)*CHOOSE(ArtifactsInput!$N$7+1,6,7.2,8.4,9.6,10.8,12))+IF(Inputs!$B$3&gt;=117,F593,0))/100))/Skills!D14))/100),1)*IF(C586=TRUE,(1+F586*IF(AND(Inputs!$B$39&lt;&gt;"pvp",Inputs!$B$44&gt;0),(((R586-1)*(Skills!S19*(1+((Inputs!$B$35+(ArtifactsInput!$M$7-ArtifactsInput!$M$7)*CHOOSE(ArtifactsInput!$N$7+1,6,7.2,8.4,9.6,10.8,12))+IF(Inputs!$B$3&gt;=117,F593,0))/100))+MIN((Skills!S19*(1+((Inputs!$B$35+(ArtifactsInput!$M$7-ArtifactsInput!$M$7)*CHOOSE(ArtifactsInput!$N$7+1,6,7.2,8.4,9.6,10.8,12))+IF(Inputs!$B$3&gt;=117,F593,0))/100)),MAX(0,Inputs!$B$44-((R586-1)*Skills!D19))))/Inputs!$B$44),IF(Inputs!$B$39="pvp",MIN((Skills!S19*(1+((Inputs!$B$35+(ArtifactsInput!$M$7-ArtifactsInput!$M$7)*CHOOSE(ArtifactsInput!$N$7+1,6,7.2,8.4,9.6,10.8,12))+IF(Inputs!$B$3&gt;=117,F593,0))/100)),15)/15,(Skills!S19*(1+((Inputs!$B$35+(ArtifactsInput!$M$7-ArtifactsInput!$M$7)*CHOOSE(ArtifactsInput!$N$7+1,6,7.2,8.4,9.6,10.8,12))+IF(Inputs!$B$3&gt;=117,F593,0))/100))/Skills!D19))/100),1)</f>
        <v/>
      </c>
    </row>
    <row r="598">
      <c r="A598" t="inlineStr">
        <is>
          <t>Monster Damage Taken Bonus % (Holy Fountain)</t>
        </is>
      </c>
      <c r="B598">
        <f>IF(Inputs!$B$3&gt;=68,20*IF(Inputs!$B$39="pvp",MIN((15*(1+((Inputs!$B$35+(ArtifactsInput!$M$7-ArtifactsInput!$M$7)*CHOOSE(ArtifactsInput!$N$7+1,6,7.2,8.4,9.6,10.8,12))+IF(Inputs!$B$3&gt;=117,F593,0))/100)),15)/15,(15*(1+((Inputs!$B$35+(ArtifactsInput!$M$7-ArtifactsInput!$M$7)*CHOOSE(ArtifactsInput!$N$7+1,6,7.2,8.4,9.6,10.8,12))+IF(Inputs!$B$3&gt;=117,F593,0))/100))/Skills!D10),0)</f>
        <v/>
      </c>
    </row>
    <row r="599">
      <c r="A599" t="inlineStr">
        <is>
          <t>Normal Monster Damage Bonus % (Holy Symbol)</t>
        </is>
      </c>
      <c r="B599">
        <f>IF(C579=TRUE,F579*IF(AND(Inputs!$B$39&lt;&gt;"pvp",Inputs!$B$44&gt;0),(((R579-1)*(Skills!S12*(1+((Inputs!$B$35+(ArtifactsInput!$M$7-ArtifactsInput!$M$7)*CHOOSE(ArtifactsInput!$N$7+1,6,7.2,8.4,9.6,10.8,12))+IF(Inputs!$B$3&gt;=117,F593,0))/100))+MIN((Skills!S12*(1+((Inputs!$B$35+(ArtifactsInput!$M$7-ArtifactsInput!$M$7)*CHOOSE(ArtifactsInput!$N$7+1,6,7.2,8.4,9.6,10.8,12))+IF(Inputs!$B$3&gt;=117,F593,0))/100)),MAX(0,Inputs!$B$44-((R579-1)*Skills!D12))))/Inputs!$B$44),IF(Inputs!$B$39="pvp",MIN((Skills!S12*(1+((Inputs!$B$35+(ArtifactsInput!$M$7-ArtifactsInput!$M$7)*CHOOSE(ArtifactsInput!$N$7+1,6,7.2,8.4,9.6,10.8,12))+IF(Inputs!$B$3&gt;=117,F593,0))/100)),15)/15,(Skills!S12*(1+((Inputs!$B$35+(ArtifactsInput!$M$7-ArtifactsInput!$M$7)*CHOOSE(ArtifactsInput!$N$7+1,6,7.2,8.4,9.6,10.8,12))+IF(Inputs!$B$3&gt;=117,F593,0))/100))/Skills!D12)),0)</f>
        <v/>
      </c>
    </row>
    <row r="600">
      <c r="A600" t="inlineStr">
        <is>
          <t>Damage % Bonus (Holy Symbol - Damage Boost)</t>
        </is>
      </c>
      <c r="B600">
        <f>Skills!O12</f>
        <v/>
      </c>
    </row>
    <row r="601">
      <c r="A601" t="inlineStr">
        <is>
          <t>Crit Damage % Bonus (Blood of the Divine)</t>
        </is>
      </c>
      <c r="B601">
        <f>4*IF(C587=TRUE,F587,0)</f>
        <v/>
      </c>
    </row>
    <row r="602">
      <c r="A602" t="inlineStr">
        <is>
          <t>Attack Speed Bonus %</t>
        </is>
      </c>
      <c r="B602">
        <f>IF(C584=TRUE,F584+(F588-Calc!F21),0)+IF(Inputs!$B$3&gt;=134,15,0)+((C595=TRUE)*F595*IF(AND(Inputs!$B$39&lt;&gt;"pvp",Inputs!$B$44&gt;0),(((R595-1)*(Skills!S28*(1+((Inputs!$B$35+(ArtifactsInput!$M$7-ArtifactsInput!$M$7)*CHOOSE(ArtifactsInput!$N$7+1,6,7.2,8.4,9.6,10.8,12))+IF(Inputs!$B$3&gt;=117,F593,0))/100))+MIN((Skills!S28*(1+((Inputs!$B$35+(ArtifactsInput!$M$7-ArtifactsInput!$M$7)*CHOOSE(ArtifactsInput!$N$7+1,6,7.2,8.4,9.6,10.8,12))+IF(Inputs!$B$3&gt;=117,F593,0))/100)),MAX(0,Inputs!$B$44-((R595-1)*Skills!D28))))/Inputs!$B$44),IF(Inputs!$B$39="pvp",MIN((Skills!S28*(1+((Inputs!$B$35+(ArtifactsInput!$M$7-ArtifactsInput!$M$7)*CHOOSE(ArtifactsInput!$N$7+1,6,7.2,8.4,9.6,10.8,12))+IF(Inputs!$B$3&gt;=117,F593,0))/100)),15)/15,(Skills!S28*(1+((Inputs!$B$35+(ArtifactsInput!$M$7-ArtifactsInput!$M$7)*CHOOSE(ArtifactsInput!$N$7+1,6,7.2,8.4,9.6,10.8,12))+IF(Inputs!$B$3&gt;=117,F593,0))/100))/Skills!D28)))</f>
        <v/>
      </c>
    </row>
    <row r="603">
      <c r="A603" t="inlineStr">
        <is>
          <t>Actions Per Second</t>
        </is>
      </c>
      <c r="B603">
        <f>1+MIN(150,150*(1-(1-Inputs!$B$12/150)*(1-B602/150)))/100</f>
        <v/>
      </c>
    </row>
    <row r="604">
      <c r="A604" t="inlineStr">
        <is>
          <t>Skill + Buff Cast Rate</t>
        </is>
      </c>
      <c r="B604">
        <f>IF(AND(Inputs!$B$39&lt;&gt;"pvp",Inputs!$B$44&gt;0),SUMPRODUCT((Skills!E2:E28=TRUE)*(C569:C595=TRUE)*R569:R595)/Inputs!$B$44,SUMPRODUCT((Skills!E2:E28=TRUE)*(C569:C595=TRUE)*Q569:Q595))</f>
        <v/>
      </c>
    </row>
    <row r="605">
      <c r="A605" t="inlineStr">
        <is>
          <t>Big Bang Casts Per Second</t>
        </is>
      </c>
      <c r="B605">
        <f>MAX(0,B603-B604)</f>
        <v/>
      </c>
    </row>
    <row r="606">
      <c r="A606" t="inlineStr">
        <is>
          <t>Defense % Bonus (Divine Protection)</t>
        </is>
      </c>
      <c r="B606">
        <f>IF(C580=TRUE,F580*IF(AND(Inputs!$B$39&lt;&gt;"pvp",Inputs!$B$44&gt;0),(((R580-1)*(Skills!S13*(1+((Inputs!$B$35+(ArtifactsInput!$M$7-ArtifactsInput!$M$7)*CHOOSE(ArtifactsInput!$N$7+1,6,7.2,8.4,9.6,10.8,12))+IF(Inputs!$B$3&gt;=117,F593,0))/100))+MIN((Skills!S13*(1+((Inputs!$B$35+(ArtifactsInput!$M$7-ArtifactsInput!$M$7)*CHOOSE(ArtifactsInput!$N$7+1,6,7.2,8.4,9.6,10.8,12))+IF(Inputs!$B$3&gt;=117,F593,0))/100)),MAX(0,Inputs!$B$44-((R580-1)*Skills!D13))))/Inputs!$B$44),IF(Inputs!$B$39="pvp",MIN((Skills!S13*(1+((Inputs!$B$35+(ArtifactsInput!$M$7-ArtifactsInput!$M$7)*CHOOSE(ArtifactsInput!$N$7+1,6,7.2,8.4,9.6,10.8,12))+IF(Inputs!$B$3&gt;=117,F593,0))/100)),15)/15,(Skills!S13*(1+((Inputs!$B$35+(ArtifactsInput!$M$7-ArtifactsInput!$M$7)*CHOOSE(ArtifactsInput!$N$7+1,6,7.2,8.4,9.6,10.8,12))+IF(Inputs!$B$3&gt;=117,F593,0))/100))/Skills!D13)),0)</f>
        <v/>
      </c>
    </row>
    <row r="607">
      <c r="A607" t="inlineStr">
        <is>
          <t>Buff-Casting Startup Delay (s, fixed-duration only)</t>
        </is>
      </c>
      <c r="B607">
        <f>IF(AND(Inputs!$B$39&lt;&gt;"pvp",Inputs!$B$44&gt;0),SUMPRODUCT((Skills!S2:S28&gt;0)*(Skills!E2:E28=TRUE)*(C569:C595=TRUE))/B603,0)</f>
        <v/>
      </c>
    </row>
    <row r="608">
      <c r="A608" t="inlineStr">
        <is>
          <t>Boss-Only Total DPS (this block's swept value)</t>
        </is>
      </c>
      <c r="B608">
        <f>SUM(S569:S595)</f>
        <v/>
      </c>
    </row>
    <row r="609">
      <c r="A609" t="inlineStr">
        <is>
          <t>Normal-Only Total DPS (this block's swept value)</t>
        </is>
      </c>
      <c r="B609">
        <f>SUM(U569:U595)</f>
        <v/>
      </c>
    </row>
    <row r="610">
      <c r="A610" s="6" t="inlineStr">
        <is>
          <t>TOTAL DPS</t>
        </is>
      </c>
      <c r="B610" s="6">
        <f>SUM(O569:O595)</f>
        <v/>
      </c>
    </row>
    <row r="612">
      <c r="A612" s="6" t="inlineStr">
        <is>
          <t>Stat: CRIT_DAMAGE %</t>
        </is>
      </c>
    </row>
    <row r="613">
      <c r="A613" s="5" t="inlineStr">
        <is>
          <t>Key</t>
        </is>
      </c>
      <c r="B613" s="5" t="inlineStr">
        <is>
          <t>Name</t>
        </is>
      </c>
      <c r="C613" s="5" t="inlineStr">
        <is>
          <t>Unlocked</t>
        </is>
      </c>
      <c r="D613" s="5" t="inlineStr">
        <is>
          <t>InputLevel</t>
        </is>
      </c>
      <c r="E613" s="5" t="inlineStr">
        <is>
          <t>Factor</t>
        </is>
      </c>
      <c r="F613" s="5" t="inlineStr">
        <is>
          <t>CoefficientPercent</t>
        </is>
      </c>
      <c r="G613" s="5" t="inlineStr">
        <is>
          <t>EffectiveHits</t>
        </is>
      </c>
      <c r="H613" s="5" t="inlineStr">
        <is>
          <t>ProcProbability</t>
        </is>
      </c>
      <c r="I613" s="5" t="inlineStr">
        <is>
          <t>MapleHeroMultiplier</t>
        </is>
      </c>
      <c r="J613" s="5" t="inlineStr">
        <is>
          <t>BaseDamage</t>
        </is>
      </c>
      <c r="K613" s="5" t="inlineStr">
        <is>
          <t>BaseHitDamage</t>
        </is>
      </c>
      <c r="L613" s="5" t="inlineStr">
        <is>
          <t>NonCritAvg</t>
        </is>
      </c>
      <c r="M613" s="5" t="inlineStr">
        <is>
          <t>CritAvg</t>
        </is>
      </c>
      <c r="N613" s="5" t="inlineStr">
        <is>
          <t>ExpectedDamage(perHit)</t>
        </is>
      </c>
      <c r="O613" s="5" t="inlineStr">
        <is>
          <t>DPS</t>
        </is>
      </c>
      <c r="P613" s="5" t="inlineStr">
        <is>
          <t>% of Total</t>
        </is>
      </c>
      <c r="R613" t="inlineStr">
        <is>
          <t>helpers</t>
        </is>
      </c>
    </row>
    <row r="614">
      <c r="A614">
        <f>Skills!A2</f>
        <v/>
      </c>
      <c r="B614">
        <f>Skills!B2</f>
        <v/>
      </c>
      <c r="C614">
        <f>Inputs!$B$3&gt;=100</f>
        <v/>
      </c>
      <c r="D614" t="inlineStr"/>
      <c r="E614" t="inlineStr"/>
      <c r="F614">
        <f>T616+Skills!N2</f>
        <v/>
      </c>
      <c r="G614">
        <f>Calc!G2</f>
        <v/>
      </c>
      <c r="H614">
        <f>Calc!H2</f>
        <v/>
      </c>
      <c r="I614">
        <f>IF(Skills!T2&lt;&gt;"",1+(Skills!T2/10)*($Z$3/1000)/100,1)</f>
        <v/>
      </c>
      <c r="J614">
        <f>((Inputs!$B$6*(1+Inputs!$B$7/100))+(((Inputs!$B$13*(1+Inputs!$B$14/100))-(Inputs!$B$13*(1+Inputs!$B$14/100)))+0.25*(Inputs!$B$15-Inputs!$B$15))*(1+Inputs!$B$7/100))*(F614/100)</f>
        <v/>
      </c>
      <c r="K614">
        <f>J614*(1+(((Inputs!$B$13+IF(Inputs!$B$3&gt;=35,(10*INDEX(FactorTable!$B$2:$Y$301,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2="TRIUMPH_FEATHER",IF(C628=TRUE,F628,0),0)/100)*(1+IF(C639=TRUE,F639,0)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614)</f>
        <v/>
      </c>
      <c r="L614">
        <f>K614*(MIN(Inputs!$B$23+(F634-Calc!F22),(Inputs!$B$24+IF(ArtifactsInput!$M$15,CHOOSE(ArtifactsInput!$N$15+1,25,30,35,40,45,50)/100*(Inputs!$B$12-Inputs!$B$12),0)))/100+(Inputs!$B$24+IF(ArtifactsInput!$M$15,CHOOSE(ArtifactsInput!$N$15+1,25,30,35,40,45,50)/100*(Inputs!$B$12-Inputs!$B$12),0))/100)/2</f>
        <v/>
      </c>
      <c r="M614">
        <f>L614*(1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4">
        <f>L614*(1-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(1-Summary!$B$11)*S614+Summary!$B$11*U614</f>
        <v/>
      </c>
      <c r="P614">
        <f>IF(B655=0,0,O614/B655)</f>
        <v/>
      </c>
      <c r="Q614">
        <f>IFERROR(1/(IF(Inputs!$B$39="pvp",15,MAX(0.1,Skills!D2-IF(Skills!E2=TRUE,Inputs!$B$33,0)))*(1-IF(AND(ArtifactsInput!$M$27,Inputs!$B$4="Chapter Hunt"),CHOOSE(ArtifactsInput!$N$27+1,20,24,28,32,36,40),0)/100)),0)</f>
        <v/>
      </c>
      <c r="R614" t="n">
        <v>0</v>
      </c>
      <c r="S614">
        <f>IF(C614,(Skills!F2*N614*B650)*IF(Inputs!$B$39="pvp",1,1+(Inputs!$B$21+Skills!O2+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614*(1-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14">
        <f>MAX(0,(Inputs!$B$3-100)*3)+Inputs!$B$29+Inputs!$B$30</f>
        <v/>
      </c>
      <c r="U614">
        <f>IF(C614,(Skills!F2*N614*B650)*IF(Inputs!$B$39="pvp",1,(1+(Inputs!$B$22+Skills!P2+B644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Skills!A3</f>
        <v/>
      </c>
      <c r="B615">
        <f>Skills!B3</f>
        <v/>
      </c>
      <c r="C615">
        <f>Inputs!$B$3&gt;=15</f>
        <v/>
      </c>
      <c r="D615">
        <f>IF(Skills!C3=1,60+Inputs!$B$26+Inputs!$B$30,IF(Skills!C3=2,90+Inputs!$B$27+Inputs!$B$30,IF(Skills!C3=3,120+Inputs!$B$28+Inputs!$B$30,MAX(0,(Inputs!$B$3-100)*3)+Inputs!$B$29+Inputs!$B$30)))</f>
        <v/>
      </c>
      <c r="E615">
        <f>INDEX(FactorTable!$B$2:$Y$301, MATCH(ROUND(MIN(300,MAX(1,D615)),0), FactorTable!$A$2:$A$301,0), Skills!L3+1)</f>
        <v/>
      </c>
      <c r="F615">
        <f>IF(Skills!M3=TRUE,(Skills!K3/10)*(E615/1000),Skills!K3/10)+Skills!N3</f>
        <v/>
      </c>
      <c r="G615">
        <f>Calc!G3</f>
        <v/>
      </c>
      <c r="H615">
        <f>Calc!H3</f>
        <v/>
      </c>
      <c r="I615">
        <f>IF(Skills!T3&lt;&gt;"",1+(Skills!T3/10)*($Z$3/1000)/100,1)</f>
        <v/>
      </c>
      <c r="J615" t="inlineStr"/>
      <c r="K615" t="inlineStr"/>
      <c r="L615" t="inlineStr"/>
      <c r="M615" t="inlineStr"/>
      <c r="N615" t="inlineStr"/>
      <c r="O615">
        <f>(1-Summary!$B$11)*S615+Summary!$B$11*U615</f>
        <v/>
      </c>
      <c r="P615">
        <f>IF(B655=0,0,O615/B655)</f>
        <v/>
      </c>
      <c r="Q615">
        <f>IFERROR(1/(IF(Inputs!$B$39="pvp",15,MAX(0.1,Skills!D3-IF(Skills!E3=TRUE,Inputs!$B$33,0)))*(1-IF(AND(ArtifactsInput!$M$27,Inputs!$B$4="Chapter Hunt"),CHOOSE(ArtifactsInput!$N$27+1,20,24,28,32,36,40),0)/100)),0)</f>
        <v/>
      </c>
      <c r="R615">
        <f>IF(AND(Inputs!$B$39&lt;&gt;"pvp",Inputs!$B$44&gt;0),IF(Inputs!$B$44&lt;=0,0,(INT(Inputs!$B$44/(IF(Inputs!$B$39="pvp",15,MAX(0.1,Skills!D3-IF(Skills!E3=TRUE,Inputs!$B$33,0)))*(1-IF(AND(ArtifactsInput!$M$27,Inputs!$B$4="Chapter Hunt"),CHOOSE(ArtifactsInput!$N$27+1,20,24,28,32,36,40),0)/100)))+1)),0)</f>
        <v/>
      </c>
      <c r="S615" t="n">
        <v>0</v>
      </c>
      <c r="T615">
        <f>INDEX(FactorTable!$B$2:$Y$301, MATCH(ROUND(MIN(300,MAX(1,T614)),0), FactorTable!$A$2:$A$301,0), 22)</f>
        <v/>
      </c>
      <c r="U615" t="n">
        <v>0</v>
      </c>
    </row>
    <row r="616">
      <c r="A616">
        <f>Skills!A4</f>
        <v/>
      </c>
      <c r="B616">
        <f>Skills!B4</f>
        <v/>
      </c>
      <c r="C616">
        <f>Inputs!$B$3&gt;=38</f>
        <v/>
      </c>
      <c r="D616">
        <f>IF(Skills!C4=1,60+Inputs!$B$26+Inputs!$B$30,IF(Skills!C4=2,90+Inputs!$B$27+Inputs!$B$30,IF(Skills!C4=3,120+Inputs!$B$28+Inputs!$B$30,MAX(0,(Inputs!$B$3-100)*3)+Inputs!$B$29+Inputs!$B$30)))</f>
        <v/>
      </c>
      <c r="E616">
        <f>INDEX(FactorTable!$B$2:$Y$301, MATCH(ROUND(MIN(300,MAX(1,D616)),0), FactorTable!$A$2:$A$301,0), Skills!L4+1)</f>
        <v/>
      </c>
      <c r="F616">
        <f>IF(Skills!M4=TRUE,(Skills!K4/10)*(E616/1000),Skills!K4/10)+Skills!N4</f>
        <v/>
      </c>
      <c r="G616">
        <f>Calc!G4</f>
        <v/>
      </c>
      <c r="H616">
        <f>Calc!H4</f>
        <v/>
      </c>
      <c r="I616">
        <f>IF(Skills!T4&lt;&gt;"",1+(Skills!T4/10)*($Z$3/1000)/100,1)</f>
        <v/>
      </c>
      <c r="J616" t="inlineStr"/>
      <c r="K616" t="inlineStr"/>
      <c r="L616" t="inlineStr"/>
      <c r="M616" t="inlineStr"/>
      <c r="N616" t="inlineStr"/>
      <c r="O616">
        <f>(1-Summary!$B$11)*S616+Summary!$B$11*U616</f>
        <v/>
      </c>
      <c r="P616">
        <f>IF(B655=0,0,O616/B655)</f>
        <v/>
      </c>
      <c r="Q616">
        <f>IFERROR(1/(IF(Inputs!$B$39="pvp",15,MAX(0.1,Skills!D4-IF(Skills!E4=TRUE,Inputs!$B$33,0)))*(1-IF(AND(ArtifactsInput!$M$27,Inputs!$B$4="Chapter Hunt"),CHOOSE(ArtifactsInput!$N$27+1,20,24,28,32,36,40),0)/100)),0)</f>
        <v/>
      </c>
      <c r="R616">
        <f>IF(AND(Inputs!$B$39&lt;&gt;"pvp",Inputs!$B$44&gt;0),IF(Inputs!$B$44&lt;=0,0,(INT(Inputs!$B$44/(IF(Inputs!$B$39="pvp",15,MAX(0.1,Skills!D4-IF(Skills!E4=TRUE,Inputs!$B$33,0)))*(1-IF(AND(ArtifactsInput!$M$27,Inputs!$B$4="Chapter Hunt"),CHOOSE(ArtifactsInput!$N$27+1,20,24,28,32,36,40),0)/100)))+1)),0)</f>
        <v/>
      </c>
      <c r="S616" t="n">
        <v>0</v>
      </c>
      <c r="T616">
        <f>290*T615/1000</f>
        <v/>
      </c>
      <c r="U616" t="n">
        <v>0</v>
      </c>
    </row>
    <row r="617">
      <c r="A617">
        <f>Skills!A5</f>
        <v/>
      </c>
      <c r="B617">
        <f>Skills!B5</f>
        <v/>
      </c>
      <c r="C617">
        <f>Inputs!$B$3&gt;=40</f>
        <v/>
      </c>
      <c r="D617">
        <f>IF(Skills!C5=1,60+Inputs!$B$26+Inputs!$B$30,IF(Skills!C5=2,90+Inputs!$B$27+Inputs!$B$30,IF(Skills!C5=3,120+Inputs!$B$28+Inputs!$B$30,MAX(0,(Inputs!$B$3-100)*3)+Inputs!$B$29+Inputs!$B$30)))</f>
        <v/>
      </c>
      <c r="E617">
        <f>INDEX(FactorTable!$B$2:$Y$301, MATCH(ROUND(MIN(300,MAX(1,D617)),0), FactorTable!$A$2:$A$301,0), Skills!L5+1)</f>
        <v/>
      </c>
      <c r="F617">
        <f>IF(Skills!M5=TRUE,(Skills!K5/10)*(E617/1000),Skills!K5/10)+Skills!N5</f>
        <v/>
      </c>
      <c r="G617">
        <f>Calc!G5</f>
        <v/>
      </c>
      <c r="H617">
        <f>Calc!H5</f>
        <v/>
      </c>
      <c r="I617">
        <f>IF(Skills!T5&lt;&gt;"",1+(Skills!T5/10)*($Z$3/1000)/100,1)</f>
        <v/>
      </c>
      <c r="J617" t="inlineStr"/>
      <c r="K617" t="inlineStr"/>
      <c r="L617" t="inlineStr"/>
      <c r="M617" t="inlineStr"/>
      <c r="N617" t="inlineStr"/>
      <c r="O617">
        <f>(1-Summary!$B$11)*S617+Summary!$B$11*U617</f>
        <v/>
      </c>
      <c r="P617">
        <f>IF(B655=0,0,O617/B655)</f>
        <v/>
      </c>
      <c r="Q617">
        <f>IFERROR(1/(IF(Inputs!$B$39="pvp",15,MAX(0.1,Skills!D5-IF(Skills!E5=TRUE,Inputs!$B$33,0)))*(1-IF(AND(ArtifactsInput!$M$27,Inputs!$B$4="Chapter Hunt"),CHOOSE(ArtifactsInput!$N$27+1,20,24,28,32,36,40),0)/100)),0)</f>
        <v/>
      </c>
      <c r="R617">
        <f>IF(AND(Inputs!$B$39&lt;&gt;"pvp",Inputs!$B$44&gt;0),IF(Inputs!$B$44&lt;=0,0,(INT(Inputs!$B$44/(IF(Inputs!$B$39="pvp",15,MAX(0.1,Skills!D5-IF(Skills!E5=TRUE,Inputs!$B$33,0)))*(1-IF(AND(ArtifactsInput!$M$27,Inputs!$B$4="Chapter Hunt"),CHOOSE(ArtifactsInput!$N$27+1,20,24,28,32,36,40),0)/100)))+1)),0)</f>
        <v/>
      </c>
      <c r="S617" t="n">
        <v>0</v>
      </c>
      <c r="U617" t="n">
        <v>0</v>
      </c>
    </row>
    <row r="618">
      <c r="A618">
        <f>Skills!A6</f>
        <v/>
      </c>
      <c r="B618">
        <f>Skills!B6</f>
        <v/>
      </c>
      <c r="C618">
        <f>Inputs!$B$3&gt;=103</f>
        <v/>
      </c>
      <c r="D618">
        <f>IF(Skills!C6=1,60+Inputs!$B$26+Inputs!$B$30,IF(Skills!C6=2,90+Inputs!$B$27+Inputs!$B$30,IF(Skills!C6=3,120+Inputs!$B$28+Inputs!$B$30,MAX(0,(Inputs!$B$3-100)*3)+Inputs!$B$29+Inputs!$B$30)))</f>
        <v/>
      </c>
      <c r="E618">
        <f>INDEX(FactorTable!$B$2:$Y$301, MATCH(ROUND(MIN(300,MAX(1,D618)),0), FactorTable!$A$2:$A$301,0), Skills!L6+1)</f>
        <v/>
      </c>
      <c r="F618">
        <f>IF(Skills!M6=TRUE,(Skills!K6/10)*(E618/1000),Skills!K6/10)+Skills!N6</f>
        <v/>
      </c>
      <c r="G618">
        <f>Calc!G6</f>
        <v/>
      </c>
      <c r="H618">
        <f>Calc!H6</f>
        <v/>
      </c>
      <c r="I618">
        <f>IF(Skills!T6&lt;&gt;"",1+(Skills!T6/10)*($Z$3/1000)/100,1)</f>
        <v/>
      </c>
      <c r="J618">
        <f>((Inputs!$B$6*(1+Inputs!$B$7/100))+(((Inputs!$B$13*(1+Inputs!$B$14/100))-(Inputs!$B$13*(1+Inputs!$B$14/100)))+0.25*(Inputs!$B$15-Inputs!$B$15))*(1+Inputs!$B$7/100))*(F618/100)</f>
        <v/>
      </c>
      <c r="K618">
        <f>J618*(1+(((Inputs!$B$13+IF(Inputs!$B$3&gt;=35,(10*INDEX(FactorTable!$B$2:$Y$301,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6="TRIUMPH_FEATHER",IF(C628=TRUE,F628,0),0)/100)*(1+IF(C639=TRUE,F639,0)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618)</f>
        <v/>
      </c>
      <c r="L618">
        <f>K618*(MIN(Inputs!$B$23+(F634-Calc!F22),(Inputs!$B$24+IF(ArtifactsInput!$M$15,CHOOSE(ArtifactsInput!$N$15+1,25,30,35,40,45,50)/100*(Inputs!$B$12-Inputs!$B$12),0)))/100+(Inputs!$B$24+IF(ArtifactsInput!$M$15,CHOOSE(ArtifactsInput!$N$15+1,25,30,35,40,45,50)/100*(Inputs!$B$12-Inputs!$B$12),0))/100)/2</f>
        <v/>
      </c>
      <c r="M618">
        <f>L618*(1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8">
        <f>L618*(1-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618*(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8">
        <f>(1-Summary!$B$11)*S618+Summary!$B$11*U618</f>
        <v/>
      </c>
      <c r="P618">
        <f>IF(B655=0,0,O618/B655)</f>
        <v/>
      </c>
      <c r="Q618">
        <f>IFERROR(1/(IF(Inputs!$B$39="pvp",15,MAX(0.1,Skills!D6-IF(Skills!E6=TRUE,Inputs!$B$33,0)))*(1-IF(AND(ArtifactsInput!$M$27,Inputs!$B$4="Chapter Hunt"),CHOOSE(ArtifactsInput!$N$27+1,20,24,28,32,36,40),0)/100)),0)</f>
        <v/>
      </c>
      <c r="R618">
        <f>IF(AND(Inputs!$B$39&lt;&gt;"pvp",Inputs!$B$44&gt;0),IF(MAX(0,Inputs!$B$44-B652)&lt;=0,0,(INT(MAX(0,Inputs!$B$44-B652)/(IF(Inputs!$B$39="pvp",15,MAX(0.1,Skills!D6-IF(Skills!E6=TRUE,Inputs!$B$33,0)))*(1-IF(AND(ArtifactsInput!$M$27,Inputs!$B$4="Chapter Hunt"),CHOOSE(ArtifactsInput!$N$27+1,20,24,28,32,36,40),0)/100)))+1)),0)</f>
        <v/>
      </c>
      <c r="S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$21+Skills!O6+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618*(1-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618*(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618*(1-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618*(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$22+Skills!P6+B644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9">
      <c r="A619">
        <f>Skills!A7</f>
        <v/>
      </c>
      <c r="B619">
        <f>Skills!B7</f>
        <v/>
      </c>
      <c r="C619">
        <f>Inputs!$B$3&gt;=122</f>
        <v/>
      </c>
      <c r="D619">
        <f>IF(Skills!C7=1,60+Inputs!$B$26+Inputs!$B$30,IF(Skills!C7=2,90+Inputs!$B$27+Inputs!$B$30,IF(Skills!C7=3,120+Inputs!$B$28+Inputs!$B$30,MAX(0,(Inputs!$B$3-100)*3)+Inputs!$B$29+Inputs!$B$30)))</f>
        <v/>
      </c>
      <c r="E619">
        <f>INDEX(FactorTable!$B$2:$Y$301, MATCH(ROUND(MIN(300,MAX(1,D619)),0), FactorTable!$A$2:$A$301,0), Skills!L7+1)</f>
        <v/>
      </c>
      <c r="F619">
        <f>IF(Skills!M7=TRUE,(Skills!K7/10)*(E619/1000),Skills!K7/10)+Skills!N7</f>
        <v/>
      </c>
      <c r="G619">
        <f>Calc!G7</f>
        <v/>
      </c>
      <c r="H619">
        <f>Calc!H7</f>
        <v/>
      </c>
      <c r="I619">
        <f>IF(Skills!T7&lt;&gt;"",1+(Skills!T7/10)*($Z$3/1000)/100,1)</f>
        <v/>
      </c>
      <c r="J619">
        <f>((Inputs!$B$6*(1+Inputs!$B$7/100))+(((Inputs!$B$13*(1+Inputs!$B$14/100))-(Inputs!$B$13*(1+Inputs!$B$14/100)))+0.25*(Inputs!$B$15-Inputs!$B$15))*(1+Inputs!$B$7/100))*(F619/100)</f>
        <v/>
      </c>
      <c r="K619">
        <f>J619*(1+(((Inputs!$B$13+IF(Inputs!$B$3&gt;=35,(10*INDEX(FactorTable!$B$2:$Y$301,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7="TRIUMPH_FEATHER",IF(C628=TRUE,F628,0),0)/100)*(1+IF(C639=TRUE,F639,0)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619)</f>
        <v/>
      </c>
      <c r="L619">
        <f>K619*(MIN(Inputs!$B$23+(F634-Calc!F22),(Inputs!$B$24+IF(ArtifactsInput!$M$15,CHOOSE(ArtifactsInput!$N$15+1,25,30,35,40,45,50)/100*(Inputs!$B$12-Inputs!$B$12),0)))/100+(Inputs!$B$24+IF(ArtifactsInput!$M$15,CHOOSE(ArtifactsInput!$N$15+1,25,30,35,40,45,50)/100*(Inputs!$B$12-Inputs!$B$12),0))/100)/2</f>
        <v/>
      </c>
      <c r="M619">
        <f>L619*(1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9">
        <f>L619*(1-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(1-Summary!$B$11)*S619+Summary!$B$11*U619</f>
        <v/>
      </c>
      <c r="P619">
        <f>IF(B655=0,0,O619/B655)</f>
        <v/>
      </c>
      <c r="Q619">
        <f>IFERROR(1/(IF(Inputs!$B$39="pvp",15,MAX(0.1,Skills!D7-IF(Skills!E6=TRUE,Inputs!$B$33,0)))*(1-IF(AND(ArtifactsInput!$M$27,Inputs!$B$4="Chapter Hunt"),CHOOSE(ArtifactsInput!$N$27+1,20,24,28,32,36,40),0)/100)),0)</f>
        <v/>
      </c>
      <c r="R619">
        <f>IF(AND(Inputs!$B$39&lt;&gt;"pvp",Inputs!$B$44&gt;0),IF(MAX(0,Inputs!$B$44-B652)&lt;=0,0,(INT(MAX(0,Inputs!$B$44-B652)/(IF(Inputs!$B$39="pvp",15,MAX(0.1,Skills!D7-IF(Skills!E6=TRUE,Inputs!$B$33,0)))*(1-IF(AND(ArtifactsInput!$M$27,Inputs!$B$4="Chapter Hunt"),CHOOSE(ArtifactsInput!$N$27+1,20,24,28,32,36,40),0)/100)))+1)),0)</f>
        <v/>
      </c>
      <c r="S619">
        <f>IF(C619,H619*N619*IF(AND(Inputs!$B$39&lt;&gt;"pvp",Inputs!$B$44&gt;0),((Skills!F7*((R619-1)*IF(Skills!G7&gt;0,Skills!H7/Skills!G7,1)+IF(Skills!G7&gt;0,MIN(Skills!H7,MAX(0,MAX(0,Inputs!$B$44-B652)-((R619-1)*(IF(Inputs!$B$39="pvp",15,MAX(0.1,Skills!D7-IF(Skills!E6=TRUE,Inputs!$B$33,0)))*(1-IF(AND(ArtifactsInput!$M$27,Inputs!$B$4="Chapter Hunt"),CHOOSE(ArtifactsInput!$N$27+1,20,24,28,32,36,40),0)/100)))))/Skills!G7,1)))/Inputs!$B$44),G619*Q619)*IF(Inputs!$B$39="pvp",1,1+(Inputs!$B$21+Skills!O7+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619*(1-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9" t="n">
        <v>0</v>
      </c>
    </row>
    <row r="620">
      <c r="A620">
        <f>Skills!A8</f>
        <v/>
      </c>
      <c r="B620">
        <f>Skills!B8</f>
        <v/>
      </c>
      <c r="C620">
        <f>Inputs!$B$3&gt;=105</f>
        <v/>
      </c>
      <c r="D620">
        <f>IF(Skills!C8=1,60+Inputs!$B$26+Inputs!$B$30,IF(Skills!C8=2,90+Inputs!$B$27+Inputs!$B$30,IF(Skills!C8=3,120+Inputs!$B$28+Inputs!$B$30,MAX(0,(Inputs!$B$3-100)*3)+Inputs!$B$29+Inputs!$B$30)))</f>
        <v/>
      </c>
      <c r="E620">
        <f>INDEX(FactorTable!$B$2:$Y$301, MATCH(ROUND(MIN(300,MAX(1,D620)),0), FactorTable!$A$2:$A$301,0), Skills!L8+1)</f>
        <v/>
      </c>
      <c r="F620">
        <f>IF(Skills!M8=TRUE,(Skills!K8/10)*(E620/1000),Skills!K8/10)+Skills!N8</f>
        <v/>
      </c>
      <c r="G620">
        <f>Calc!G8</f>
        <v/>
      </c>
      <c r="H620">
        <f>Calc!H8</f>
        <v/>
      </c>
      <c r="I620">
        <f>IF(Skills!T8&lt;&gt;"",1+(Skills!T8/10)*($Z$3/1000)/100,1)</f>
        <v/>
      </c>
      <c r="J620">
        <f>((Inputs!$B$6*(1+Inputs!$B$7/100))+(((Inputs!$B$13*(1+Inputs!$B$14/100))-(Inputs!$B$13*(1+Inputs!$B$14/100)))+0.25*(Inputs!$B$15-Inputs!$B$15))*(1+Inputs!$B$7/100))*(F620/100)</f>
        <v/>
      </c>
      <c r="K620">
        <f>J620*(1+(((Inputs!$B$13+IF(Inputs!$B$3&gt;=35,(10*INDEX(FactorTable!$B$2:$Y$301,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8="TRIUMPH_FEATHER",IF(C628=TRUE,F628,0),0)/100)*(1+IF(C639=TRUE,F639,0)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620)</f>
        <v/>
      </c>
      <c r="L620">
        <f>K620*(MIN(Inputs!$B$23+(F634-Calc!F22),(Inputs!$B$24+IF(ArtifactsInput!$M$15,CHOOSE(ArtifactsInput!$N$15+1,25,30,35,40,45,50)/100*(Inputs!$B$12-Inputs!$B$12),0)))/100+(Inputs!$B$24+IF(ArtifactsInput!$M$15,CHOOSE(ArtifactsInput!$N$15+1,25,30,35,40,45,50)/100*(Inputs!$B$12-Inputs!$B$12),0))/100)/2</f>
        <v/>
      </c>
      <c r="M620">
        <f>L620*(1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0">
        <f>L620*(1-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(1-Summary!$B$11)*S620+Summary!$B$11*U620</f>
        <v/>
      </c>
      <c r="P620">
        <f>IF(B655=0,0,O620/B655)</f>
        <v/>
      </c>
      <c r="Q620">
        <f>IFERROR(1/(IF(Inputs!$B$39="pvp",15,MAX(0.1,Skills!D8-IF(Skills!E8=TRUE,Inputs!$B$33,0)))*(1-IF(AND(ArtifactsInput!$M$27,Inputs!$B$4="Chapter Hunt"),CHOOSE(ArtifactsInput!$N$27+1,20,24,28,32,36,40),0)/100)),0)</f>
        <v/>
      </c>
      <c r="R620">
        <f>IF(AND(Inputs!$B$39&lt;&gt;"pvp",Inputs!$B$44&gt;0),IF(MAX(0,Inputs!$B$44-B652)&lt;=0,0,(INT(MAX(0,Inputs!$B$44-B652)/(IF(Inputs!$B$39="pvp",15,MAX(0.1,Skills!D8-IF(Skills!E8=TRUE,Inputs!$B$33,0)))*(1-IF(AND(ArtifactsInput!$M$27,Inputs!$B$4="Chapter Hunt"),CHOOSE(ArtifactsInput!$N$27+1,20,24,28,32,36,40),0)/100)))+1)),0)</f>
        <v/>
      </c>
      <c r="S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$21+Skills!O8+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620*(1-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$22+Skills!P8+B644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Skills!A9</f>
        <v/>
      </c>
      <c r="B621">
        <f>Skills!B9</f>
        <v/>
      </c>
      <c r="C621">
        <f>Inputs!$B$3&gt;=115</f>
        <v/>
      </c>
      <c r="D621">
        <f>IF(Skills!C9=1,60+Inputs!$B$26+Inputs!$B$30,IF(Skills!C9=2,90+Inputs!$B$27+Inputs!$B$30,IF(Skills!C9=3,120+Inputs!$B$28+Inputs!$B$30,MAX(0,(Inputs!$B$3-100)*3)+Inputs!$B$29+Inputs!$B$30)))</f>
        <v/>
      </c>
      <c r="E621">
        <f>INDEX(FactorTable!$B$2:$Y$301, MATCH(ROUND(MIN(300,MAX(1,D621)),0), FactorTable!$A$2:$A$301,0), Skills!L9+1)</f>
        <v/>
      </c>
      <c r="F621">
        <f>IF(Skills!M9=TRUE,(Skills!K9/10)*(E621/1000),Skills!K9/10)+Skills!N9</f>
        <v/>
      </c>
      <c r="G621">
        <f>Calc!G9</f>
        <v/>
      </c>
      <c r="H621">
        <f>Calc!H9</f>
        <v/>
      </c>
      <c r="I621">
        <f>IF(Skills!T9&lt;&gt;"",1+(Skills!T9/10)*($Z$3/1000)/100,1)</f>
        <v/>
      </c>
      <c r="J621">
        <f>((Inputs!$B$6*(1+Inputs!$B$7/100))+(((Inputs!$B$13*(1+Inputs!$B$14/100))-(Inputs!$B$13*(1+Inputs!$B$14/100)))+0.25*(Inputs!$B$15-Inputs!$B$15))*(1+Inputs!$B$7/100))*(F621/100)</f>
        <v/>
      </c>
      <c r="K621">
        <f>J621*(1+(((Inputs!$B$13+IF(Inputs!$B$3&gt;=35,(10*INDEX(FactorTable!$B$2:$Y$301,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9="TRIUMPH_FEATHER",IF(C628=TRUE,F628,0),0)/100)*(1+IF(C639=TRUE,F639,0)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621)</f>
        <v/>
      </c>
      <c r="L621">
        <f>K621*(MIN(Inputs!$B$23+(F634-Calc!F22),(Inputs!$B$24+IF(ArtifactsInput!$M$15,CHOOSE(ArtifactsInput!$N$15+1,25,30,35,40,45,50)/100*(Inputs!$B$12-Inputs!$B$12),0)))/100+(Inputs!$B$24+IF(ArtifactsInput!$M$15,CHOOSE(ArtifactsInput!$N$15+1,25,30,35,40,45,50)/100*(Inputs!$B$12-Inputs!$B$12),0))/100)/2</f>
        <v/>
      </c>
      <c r="M621">
        <f>L621*(1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1">
        <f>L621*(1-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(1-Summary!$B$11)*S621+Summary!$B$11*U621</f>
        <v/>
      </c>
      <c r="P621">
        <f>IF(B655=0,0,O621/B655)</f>
        <v/>
      </c>
      <c r="Q621">
        <f>IFERROR(1/(IF(Inputs!$B$39="pvp",15,MAX(0.1,Skills!D9-IF(Skills!E9=TRUE,Inputs!$B$33,0)))*(1-IF(AND(ArtifactsInput!$M$27,Inputs!$B$4="Chapter Hunt"),CHOOSE(ArtifactsInput!$N$27+1,20,24,28,32,36,40),0)/100)),0)</f>
        <v/>
      </c>
      <c r="R621">
        <f>IF(AND(Inputs!$B$39&lt;&gt;"pvp",Inputs!$B$44&gt;0),IF(MAX(0,Inputs!$B$44-B652)&lt;=0,0,(INT(MAX(0,Inputs!$B$44-B652)/(IF(Inputs!$B$39="pvp",15,MAX(0.1,Skills!D9-IF(Skills!E9=TRUE,Inputs!$B$33,0)))*(1-IF(AND(ArtifactsInput!$M$27,Inputs!$B$4="Chapter Hunt"),CHOOSE(ArtifactsInput!$N$27+1,20,24,28,32,36,40),0)/100)))+1)),0)</f>
        <v/>
      </c>
      <c r="S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$21+Skills!O9+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621*(1-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$22+Skills!P9+B644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Skills!A10</f>
        <v/>
      </c>
      <c r="B622">
        <f>Skills!B10</f>
        <v/>
      </c>
      <c r="C622">
        <f>Inputs!$B$3&gt;=66</f>
        <v/>
      </c>
      <c r="D622">
        <f>IF(Skills!C10=1,60+Inputs!$B$26+Inputs!$B$30,IF(Skills!C10=2,90+Inputs!$B$27+Inputs!$B$30,IF(Skills!C10=3,120+Inputs!$B$28+Inputs!$B$30,MAX(0,(Inputs!$B$3-100)*3)+Inputs!$B$29+Inputs!$B$30)))</f>
        <v/>
      </c>
      <c r="E622">
        <f>INDEX(FactorTable!$B$2:$Y$301, MATCH(ROUND(MIN(300,MAX(1,D622)),0), FactorTable!$A$2:$A$301,0), Skills!L10+1)</f>
        <v/>
      </c>
      <c r="F622" t="n">
        <v>0</v>
      </c>
      <c r="G622">
        <f>Calc!G10</f>
        <v/>
      </c>
      <c r="H622">
        <f>Calc!H10</f>
        <v/>
      </c>
      <c r="I622">
        <f>IF(Skills!T10&lt;&gt;"",1+(Skills!T10/10)*($Z$3/1000)/100,1)</f>
        <v/>
      </c>
      <c r="J622" t="inlineStr"/>
      <c r="K622" t="inlineStr"/>
      <c r="L622" t="inlineStr"/>
      <c r="M622" t="inlineStr"/>
      <c r="N622" t="inlineStr"/>
      <c r="O622">
        <f>(1-Summary!$B$11)*S622+Summary!$B$11*U622</f>
        <v/>
      </c>
      <c r="P622">
        <f>IF(B655=0,0,O622/B655)</f>
        <v/>
      </c>
      <c r="Q622">
        <f>IFERROR(1/(IF(Inputs!$B$39="pvp",15,MAX(0.1,Skills!D10-IF(Skills!E10=TRUE,Inputs!$B$33,0)))*(1-IF(AND(ArtifactsInput!$M$27,Inputs!$B$4="Chapter Hunt"),CHOOSE(ArtifactsInput!$N$27+1,20,24,28,32,36,40),0)/100)),0)</f>
        <v/>
      </c>
      <c r="R622">
        <f>IF(AND(Inputs!$B$39&lt;&gt;"pvp",Inputs!$B$44&gt;0),IF(MAX(0,Inputs!$B$44-B652)&lt;=0,0,(INT(MAX(0,Inputs!$B$44-B652)/(IF(Inputs!$B$39="pvp",15,MAX(0.1,Skills!D10-IF(Skills!E10=TRUE,Inputs!$B$33,0)))*(1-IF(AND(ArtifactsInput!$M$27,Inputs!$B$4="Chapter Hunt"),CHOOSE(ArtifactsInput!$N$27+1,20,24,28,32,36,40),0)/100)))+1)),0)</f>
        <v/>
      </c>
      <c r="S622" t="n">
        <v>0</v>
      </c>
      <c r="U622" t="n">
        <v>0</v>
      </c>
    </row>
    <row r="623">
      <c r="A623">
        <f>Skills!A11</f>
        <v/>
      </c>
      <c r="B623">
        <f>Skills!B11</f>
        <v/>
      </c>
      <c r="C623">
        <f>Inputs!$B$3&gt;=69</f>
        <v/>
      </c>
      <c r="D623">
        <f>IF(Skills!C11=1,60+Inputs!$B$26+Inputs!$B$30,IF(Skills!C11=2,90+Inputs!$B$27+Inputs!$B$30,IF(Skills!C11=3,120+Inputs!$B$28+Inputs!$B$30,MAX(0,(Inputs!$B$3-100)*3)+Inputs!$B$29+Inputs!$B$30)))</f>
        <v/>
      </c>
      <c r="E623">
        <f>INDEX(FactorTable!$B$2:$Y$301, MATCH(ROUND(MIN(300,MAX(1,D623)),0), FactorTable!$A$2:$A$301,0), Skills!L11+1)</f>
        <v/>
      </c>
      <c r="F623">
        <f>IF(Skills!M11=TRUE,(Skills!K11/10)*(E623/1000),Skills!K11/10)+Skills!N11</f>
        <v/>
      </c>
      <c r="G623">
        <f>Calc!G11</f>
        <v/>
      </c>
      <c r="H623">
        <f>Calc!H11</f>
        <v/>
      </c>
      <c r="I623">
        <f>IF(Skills!T11&lt;&gt;"",1+(Skills!T11/10)*($Z$3/1000)/100,1)</f>
        <v/>
      </c>
      <c r="J623" t="inlineStr"/>
      <c r="K623" t="inlineStr"/>
      <c r="L623" t="inlineStr"/>
      <c r="M623" t="inlineStr"/>
      <c r="N623" t="inlineStr"/>
      <c r="O623">
        <f>(1-Summary!$B$11)*S623+Summary!$B$11*U623</f>
        <v/>
      </c>
      <c r="P623">
        <f>IF(B655=0,0,O623/B655)</f>
        <v/>
      </c>
      <c r="Q623">
        <f>IFERROR(1/(IF(Inputs!$B$39="pvp",15,MAX(0.1,Skills!D11-IF(Skills!E11=TRUE,Inputs!$B$33,0)))*(1-IF(AND(ArtifactsInput!$M$27,Inputs!$B$4="Chapter Hunt"),CHOOSE(ArtifactsInput!$N$27+1,20,24,28,32,36,40),0)/100)),0)</f>
        <v/>
      </c>
      <c r="R623">
        <f>IF(AND(Inputs!$B$39&lt;&gt;"pvp",Inputs!$B$44&gt;0),IF(Inputs!$B$44&lt;=0,0,(INT(Inputs!$B$44/(IF(Inputs!$B$39="pvp",15,MAX(0.1,Skills!D11-IF(Skills!E11=TRUE,Inputs!$B$33,0)))*(1-IF(AND(ArtifactsInput!$M$27,Inputs!$B$4="Chapter Hunt"),CHOOSE(ArtifactsInput!$N$27+1,20,24,28,32,36,40),0)/100)))+1)),0)</f>
        <v/>
      </c>
      <c r="S623" t="n">
        <v>0</v>
      </c>
      <c r="U623" t="n">
        <v>0</v>
      </c>
    </row>
    <row r="624">
      <c r="A624">
        <f>Skills!A12</f>
        <v/>
      </c>
      <c r="B624">
        <f>Skills!B12</f>
        <v/>
      </c>
      <c r="C624">
        <f>Inputs!$B$3&gt;=72</f>
        <v/>
      </c>
      <c r="D624">
        <f>IF(Skills!C12=1,60+Inputs!$B$26+Inputs!$B$30,IF(Skills!C12=2,90+Inputs!$B$27+Inputs!$B$30,IF(Skills!C12=3,120+Inputs!$B$28+Inputs!$B$30,MAX(0,(Inputs!$B$3-100)*3)+Inputs!$B$29+Inputs!$B$30)))</f>
        <v/>
      </c>
      <c r="E624">
        <f>INDEX(FactorTable!$B$2:$Y$301, MATCH(ROUND(MIN(300,MAX(1,D624)),0), FactorTable!$A$2:$A$301,0), Skills!L12+1)</f>
        <v/>
      </c>
      <c r="F624">
        <f>IF(Skills!M12=TRUE,(Skills!K12/10)*(E624/1000),Skills!K12/10)+Skills!N12</f>
        <v/>
      </c>
      <c r="G624">
        <f>Calc!G12</f>
        <v/>
      </c>
      <c r="H624">
        <f>Calc!H12</f>
        <v/>
      </c>
      <c r="I624">
        <f>IF(Skills!T12&lt;&gt;"",1+(Skills!T12/10)*($Z$3/1000)/100,1)</f>
        <v/>
      </c>
      <c r="J624" t="inlineStr"/>
      <c r="K624" t="inlineStr"/>
      <c r="L624" t="inlineStr"/>
      <c r="M624" t="inlineStr"/>
      <c r="N624" t="inlineStr"/>
      <c r="O624">
        <f>(1-Summary!$B$11)*S624+Summary!$B$11*U624</f>
        <v/>
      </c>
      <c r="P624">
        <f>IF(B655=0,0,O624/B655)</f>
        <v/>
      </c>
      <c r="Q624">
        <f>IFERROR(1/(IF(Inputs!$B$39="pvp",15,MAX(0.1,Skills!D12-IF(Skills!E12=TRUE,Inputs!$B$33,0)))*(1-IF(AND(ArtifactsInput!$M$27,Inputs!$B$4="Chapter Hunt"),CHOOSE(ArtifactsInput!$N$27+1,20,24,28,32,36,40),0)/100)),0)</f>
        <v/>
      </c>
      <c r="R624">
        <f>IF(AND(Inputs!$B$39&lt;&gt;"pvp",Inputs!$B$44&gt;0),IF(MAX(0,Inputs!$B$44-B652)&lt;=0,0,(INT(MAX(0,Inputs!$B$44-B652)/(IF(Inputs!$B$39="pvp",15,MAX(0.1,Skills!D12-IF(Skills!E12=TRUE,Inputs!$B$33,0)))*(1-IF(AND(ArtifactsInput!$M$27,Inputs!$B$4="Chapter Hunt"),CHOOSE(ArtifactsInput!$N$27+1,20,24,28,32,36,40),0)/100)))+1)),0)</f>
        <v/>
      </c>
      <c r="S624" t="n">
        <v>0</v>
      </c>
      <c r="U624" t="n">
        <v>0</v>
      </c>
    </row>
    <row r="625">
      <c r="A625">
        <f>Skills!A13</f>
        <v/>
      </c>
      <c r="B625">
        <f>Skills!B13</f>
        <v/>
      </c>
      <c r="C625">
        <f>Inputs!$B$3&gt;=60</f>
        <v/>
      </c>
      <c r="D625">
        <f>IF(Skills!C13=1,60+Inputs!$B$26+Inputs!$B$30,IF(Skills!C13=2,90+Inputs!$B$27+Inputs!$B$30,IF(Skills!C13=3,120+Inputs!$B$28+Inputs!$B$30,MAX(0,(Inputs!$B$3-100)*3)+Inputs!$B$29+Inputs!$B$30)))</f>
        <v/>
      </c>
      <c r="E625">
        <f>INDEX(FactorTable!$B$2:$Y$301, MATCH(ROUND(MIN(300,MAX(1,D625)),0), FactorTable!$A$2:$A$301,0), Skills!L13+1)</f>
        <v/>
      </c>
      <c r="F625">
        <f>IF(Skills!M13=TRUE,(Skills!K13/10)*(E625/1000),Skills!K13/10)+Skills!N13</f>
        <v/>
      </c>
      <c r="G625">
        <f>Calc!G13</f>
        <v/>
      </c>
      <c r="H625">
        <f>Calc!H13</f>
        <v/>
      </c>
      <c r="I625">
        <f>IF(Skills!T13&lt;&gt;"",1+(Skills!T13/10)*($Z$3/1000)/100,1)</f>
        <v/>
      </c>
      <c r="J625" t="inlineStr"/>
      <c r="K625" t="inlineStr"/>
      <c r="L625" t="inlineStr"/>
      <c r="M625" t="inlineStr"/>
      <c r="N625" t="inlineStr"/>
      <c r="O625">
        <f>(1-Summary!$B$11)*S625+Summary!$B$11*U625</f>
        <v/>
      </c>
      <c r="P625">
        <f>IF(B655=0,0,O625/B655)</f>
        <v/>
      </c>
      <c r="Q625">
        <f>IFERROR(1/(IF(Inputs!$B$39="pvp",15,MAX(0.1,Skills!D13-IF(Skills!E13=TRUE,Inputs!$B$33,0)))*(1-IF(AND(ArtifactsInput!$M$27,Inputs!$B$4="Chapter Hunt"),CHOOSE(ArtifactsInput!$N$27+1,20,24,28,32,36,40),0)/100)),0)</f>
        <v/>
      </c>
      <c r="R625">
        <f>IF(AND(Inputs!$B$39&lt;&gt;"pvp",Inputs!$B$44&gt;0),IF(MAX(0,Inputs!$B$44-B652)&lt;=0,0,(INT(MAX(0,Inputs!$B$44-B652)/(IF(Inputs!$B$39="pvp",15,MAX(0.1,Skills!D13-IF(Skills!E13=TRUE,Inputs!$B$33,0)))*(1-IF(AND(ArtifactsInput!$M$27,Inputs!$B$4="Chapter Hunt"),CHOOSE(ArtifactsInput!$N$27+1,20,24,28,32,36,40),0)/100)))+1)),0)</f>
        <v/>
      </c>
      <c r="S625" t="n">
        <v>0</v>
      </c>
      <c r="U625" t="n">
        <v>0</v>
      </c>
    </row>
    <row r="626">
      <c r="A626">
        <f>Skills!A14</f>
        <v/>
      </c>
      <c r="B626">
        <f>Skills!B14</f>
        <v/>
      </c>
      <c r="C626">
        <f>Inputs!$B$3&gt;=107</f>
        <v/>
      </c>
      <c r="D626">
        <f>IF(Skills!C14=1,60+Inputs!$B$26+Inputs!$B$30,IF(Skills!C14=2,90+Inputs!$B$27+Inputs!$B$30,IF(Skills!C14=3,120+Inputs!$B$28+Inputs!$B$30,MAX(0,(Inputs!$B$3-100)*3)+Inputs!$B$29+Inputs!$B$30)))</f>
        <v/>
      </c>
      <c r="E626">
        <f>INDEX(FactorTable!$B$2:$Y$301, MATCH(ROUND(MIN(300,MAX(1,D626)),0), FactorTable!$A$2:$A$301,0), Skills!L14+1)</f>
        <v/>
      </c>
      <c r="F626">
        <f>IF(Skills!M14=TRUE,(Skills!K14/10)*(E626/1000),Skills!K14/10)+Skills!N14</f>
        <v/>
      </c>
      <c r="G626">
        <f>Calc!G14</f>
        <v/>
      </c>
      <c r="H626">
        <f>Calc!H14</f>
        <v/>
      </c>
      <c r="I626">
        <f>IF(Skills!T14&lt;&gt;"",1+(Skills!T14/10)*($Z$3/1000)/100,1)</f>
        <v/>
      </c>
      <c r="J626" t="inlineStr"/>
      <c r="K626" t="inlineStr"/>
      <c r="L626" t="inlineStr"/>
      <c r="M626" t="inlineStr"/>
      <c r="N626" t="inlineStr"/>
      <c r="O626">
        <f>(1-Summary!$B$11)*S626+Summary!$B$11*U626</f>
        <v/>
      </c>
      <c r="P626">
        <f>IF(B655=0,0,O626/B655)</f>
        <v/>
      </c>
      <c r="Q626">
        <f>IFERROR(1/(IF(Inputs!$B$39="pvp",15,MAX(0.1,Skills!D14-IF(Skills!E14=TRUE,Inputs!$B$33,0)))*(1-IF(AND(ArtifactsInput!$M$27,Inputs!$B$4="Chapter Hunt"),CHOOSE(ArtifactsInput!$N$27+1,20,24,28,32,36,40),0)/100)),0)</f>
        <v/>
      </c>
      <c r="R626">
        <f>IF(AND(Inputs!$B$39&lt;&gt;"pvp",Inputs!$B$44&gt;0),IF(Inputs!$B$44&lt;=0,0,(INT(Inputs!$B$44/(IF(Inputs!$B$39="pvp",15,MAX(0.1,Skills!D14-IF(Skills!E14=TRUE,Inputs!$B$33,0)))*(1-IF(AND(ArtifactsInput!$M$27,Inputs!$B$4="Chapter Hunt"),CHOOSE(ArtifactsInput!$N$27+1,20,24,28,32,36,40),0)/100)))+1)),0)</f>
        <v/>
      </c>
      <c r="S626" t="n">
        <v>0</v>
      </c>
      <c r="U626" t="n">
        <v>0</v>
      </c>
    </row>
    <row r="627">
      <c r="A627">
        <f>Skills!A15</f>
        <v/>
      </c>
      <c r="B627">
        <f>Skills!B15</f>
        <v/>
      </c>
      <c r="C627">
        <f>Inputs!$B$3&gt;=63</f>
        <v/>
      </c>
      <c r="D627">
        <f>IF(Skills!C15=1,60+Inputs!$B$26+Inputs!$B$30,IF(Skills!C15=2,90+Inputs!$B$27+Inputs!$B$30,IF(Skills!C15=3,120+Inputs!$B$28+Inputs!$B$30,MAX(0,(Inputs!$B$3-100)*3)+Inputs!$B$29+Inputs!$B$30)))</f>
        <v/>
      </c>
      <c r="E627">
        <f>INDEX(FactorTable!$B$2:$Y$301, MATCH(ROUND(MIN(300,MAX(1,D627)),0), FactorTable!$A$2:$A$301,0), Skills!L15+1)</f>
        <v/>
      </c>
      <c r="F627">
        <f>IF(Skills!M15=TRUE,(Skills!K15/10)*(E627/1000),Skills!K15/10)+Skills!N15</f>
        <v/>
      </c>
      <c r="G627">
        <f>Calc!G15</f>
        <v/>
      </c>
      <c r="H627">
        <f>Calc!H15</f>
        <v/>
      </c>
      <c r="I627">
        <f>IF(Skills!T15&lt;&gt;"",1+(Skills!T15/10)*($Z$3/1000)/100,1)</f>
        <v/>
      </c>
      <c r="J627">
        <f>((Inputs!$B$6*(1+Inputs!$B$7/100))+(((Inputs!$B$13*(1+Inputs!$B$14/100))-(Inputs!$B$13*(1+Inputs!$B$14/100)))+0.25*(Inputs!$B$15-Inputs!$B$15))*(1+Inputs!$B$7/100))*(F627/100)</f>
        <v/>
      </c>
      <c r="K627">
        <f>J627*(1+(((Inputs!$B$13+IF(Inputs!$B$3&gt;=35,(10*INDEX(FactorTable!$B$2:$Y$301,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15="TRIUMPH_FEATHER",IF(C628=TRUE,F628,0),0)/100)*(1+IF(C639=TRUE,F639,0)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627)</f>
        <v/>
      </c>
      <c r="L627">
        <f>K627*(MIN(Inputs!$B$23+(F634-Calc!F22),(Inputs!$B$24+IF(ArtifactsInput!$M$15,CHOOSE(ArtifactsInput!$N$15+1,25,30,35,40,45,50)/100*(Inputs!$B$12-Inputs!$B$12),0)))/100+(Inputs!$B$24+IF(ArtifactsInput!$M$15,CHOOSE(ArtifactsInput!$N$15+1,25,30,35,40,45,50)/100*(Inputs!$B$12-Inputs!$B$12),0))/100)/2</f>
        <v/>
      </c>
      <c r="M627">
        <f>L627*(1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7">
        <f>L627*(1-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627*(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7">
        <f>(1-Summary!$B$11)*S627+Summary!$B$11*U627</f>
        <v/>
      </c>
      <c r="P627">
        <f>IF(B655=0,0,O627/B655)</f>
        <v/>
      </c>
      <c r="Q627">
        <f>IFERROR(1/(IF(Inputs!$B$39="pvp",15,MAX(0.1,Skills!D15-IF(Skills!E15=TRUE,Inputs!$B$33,0)))*(1-IF(AND(ArtifactsInput!$M$27,Inputs!$B$4="Chapter Hunt"),CHOOSE(ArtifactsInput!$N$27+1,20,24,28,32,36,40),0)/100)),0)</f>
        <v/>
      </c>
      <c r="R627" t="n">
        <v>0</v>
      </c>
      <c r="S627">
        <f>IF(C627,(Skills!F15*N627*((IF(Inputs!$B$3&gt;=78,25,15)/100*B648*10)/(1+IF(Inputs!$B$3&gt;=78,25,15)/100*B648*10))*(Skills!I15/100*B648)/(1+Skills!G15*Skills!I15/100*B648))*IF(Inputs!$B$39="pvp",1,1+(Inputs!$B$21+Skills!O15+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627*(1-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627*(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627*(1-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627*(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7">
        <f>IF(C627,(Skills!F15*N627*((IF(Inputs!$B$3&gt;=78,25,15)/100*B648*10)/(1+IF(Inputs!$B$3&gt;=78,25,15)/100*B648*10))*(Skills!I15/100*B648)/(1+Skills!G15*Skills!I15/100*B648))*IF(Inputs!$B$39="pvp",1,(1+(Inputs!$B$22+Skills!P15+B644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8">
      <c r="A628">
        <f>Skills!A16</f>
        <v/>
      </c>
      <c r="B628">
        <f>Skills!B16</f>
        <v/>
      </c>
      <c r="C628">
        <f>Inputs!$B$3&gt;=100</f>
        <v/>
      </c>
      <c r="D628">
        <f>IF(Skills!C16=1,60+Inputs!$B$26+Inputs!$B$30,IF(Skills!C16=2,90+Inputs!$B$27+Inputs!$B$30,IF(Skills!C16=3,120+Inputs!$B$28+Inputs!$B$30,MAX(0,(Inputs!$B$3-100)*3)+Inputs!$B$29+Inputs!$B$30)))</f>
        <v/>
      </c>
      <c r="E628">
        <f>INDEX(FactorTable!$B$2:$Y$301, MATCH(ROUND(MIN(300,MAX(1,D628)),0), FactorTable!$A$2:$A$301,0), Skills!L16+1)</f>
        <v/>
      </c>
      <c r="F628">
        <f>IF(Skills!M16=TRUE,(Skills!K16/10)*(E628/1000),Skills!K16/10)+Skills!N16</f>
        <v/>
      </c>
      <c r="G628">
        <f>Calc!G16</f>
        <v/>
      </c>
      <c r="H628">
        <f>Calc!H16</f>
        <v/>
      </c>
      <c r="I628">
        <f>IF(Skills!T16&lt;&gt;"",1+(Skills!T16/10)*($Z$3/1000)/100,1)</f>
        <v/>
      </c>
      <c r="J628" t="inlineStr"/>
      <c r="K628" t="inlineStr"/>
      <c r="L628" t="inlineStr"/>
      <c r="M628" t="inlineStr"/>
      <c r="N628" t="inlineStr"/>
      <c r="O628">
        <f>(1-Summary!$B$11)*S628+Summary!$B$11*U628</f>
        <v/>
      </c>
      <c r="P628">
        <f>IF(B655=0,0,O628/B655)</f>
        <v/>
      </c>
      <c r="Q628">
        <f>IFERROR(1/(IF(Inputs!$B$39="pvp",15,MAX(0.1,Skills!D16-IF(Skills!E16=TRUE,Inputs!$B$33,0)))*(1-IF(AND(ArtifactsInput!$M$27,Inputs!$B$4="Chapter Hunt"),CHOOSE(ArtifactsInput!$N$27+1,20,24,28,32,36,40),0)/100)),0)</f>
        <v/>
      </c>
      <c r="R628" t="n">
        <v>0</v>
      </c>
      <c r="S628" t="n">
        <v>0</v>
      </c>
      <c r="U628" t="n">
        <v>0</v>
      </c>
    </row>
    <row r="629">
      <c r="A629">
        <f>Skills!A17</f>
        <v/>
      </c>
      <c r="B629">
        <f>Skills!B17</f>
        <v/>
      </c>
      <c r="C629">
        <f>Inputs!$B$3&gt;=49</f>
        <v/>
      </c>
      <c r="D629">
        <f>IF(Skills!C17=1,60+Inputs!$B$26+Inputs!$B$30,IF(Skills!C17=2,90+Inputs!$B$27+Inputs!$B$30,IF(Skills!C17=3,120+Inputs!$B$28+Inputs!$B$30,MAX(0,(Inputs!$B$3-100)*3)+Inputs!$B$29+Inputs!$B$30)))</f>
        <v/>
      </c>
      <c r="E629">
        <f>INDEX(FactorTable!$B$2:$Y$301, MATCH(ROUND(MIN(300,MAX(1,D629)),0), FactorTable!$A$2:$A$301,0), Skills!L17+1)</f>
        <v/>
      </c>
      <c r="F629">
        <f>IF(Skills!M17=TRUE,(Skills!K17/10)*(E629/1000),Skills!K17/10)+Skills!N17</f>
        <v/>
      </c>
      <c r="G629">
        <f>Calc!G17</f>
        <v/>
      </c>
      <c r="H629">
        <f>Calc!H17</f>
        <v/>
      </c>
      <c r="I629">
        <f>IF(Skills!T17&lt;&gt;"",1+(Skills!T17/10)*($Z$3/1000)/100,1)</f>
        <v/>
      </c>
      <c r="J629" t="inlineStr"/>
      <c r="K629" t="inlineStr"/>
      <c r="L629" t="inlineStr"/>
      <c r="M629" t="inlineStr"/>
      <c r="N629" t="inlineStr"/>
      <c r="O629">
        <f>(1-Summary!$B$11)*S629+Summary!$B$11*U629</f>
        <v/>
      </c>
      <c r="P629">
        <f>IF(B655=0,0,O629/B655)</f>
        <v/>
      </c>
      <c r="Q629">
        <f>IFERROR(1/(IF(Inputs!$B$39="pvp",15,MAX(0.1,Skills!D17-IF(Skills!E17=TRUE,Inputs!$B$33,0)))*(1-IF(AND(ArtifactsInput!$M$27,Inputs!$B$4="Chapter Hunt"),CHOOSE(ArtifactsInput!$N$27+1,20,24,28,32,36,40),0)/100)),0)</f>
        <v/>
      </c>
      <c r="R629" t="n">
        <v>0</v>
      </c>
      <c r="S629" t="n">
        <v>0</v>
      </c>
      <c r="U629" t="n">
        <v>0</v>
      </c>
    </row>
    <row r="630">
      <c r="A630">
        <f>Skills!A18</f>
        <v/>
      </c>
      <c r="B630">
        <f>Skills!B18</f>
        <v/>
      </c>
      <c r="C630">
        <f>Inputs!$B$3&gt;=75</f>
        <v/>
      </c>
      <c r="D630">
        <f>IF(Skills!C18=1,60+Inputs!$B$26+Inputs!$B$30,IF(Skills!C18=2,90+Inputs!$B$27+Inputs!$B$30,IF(Skills!C18=3,120+Inputs!$B$28+Inputs!$B$30,MAX(0,(Inputs!$B$3-100)*3)+Inputs!$B$29+Inputs!$B$30)))</f>
        <v/>
      </c>
      <c r="E630">
        <f>INDEX(FactorTable!$B$2:$Y$301, MATCH(ROUND(MIN(300,MAX(1,D630)),0), FactorTable!$A$2:$A$301,0), Skills!L18+1)</f>
        <v/>
      </c>
      <c r="F630">
        <f>IF(Skills!M18=TRUE,(Skills!K18/10)*(E630/1000),Skills!K18/10)+Skills!N18</f>
        <v/>
      </c>
      <c r="G630">
        <f>Calc!G18</f>
        <v/>
      </c>
      <c r="H630">
        <f>Calc!H18</f>
        <v/>
      </c>
      <c r="I630">
        <f>IF(Skills!T18&lt;&gt;"",1+(Skills!T18/10)*($Z$3/1000)/100,1)</f>
        <v/>
      </c>
      <c r="J630" t="inlineStr"/>
      <c r="K630" t="inlineStr"/>
      <c r="L630" t="inlineStr"/>
      <c r="M630" t="inlineStr"/>
      <c r="N630" t="inlineStr"/>
      <c r="O630">
        <f>(1-Summary!$B$11)*S630+Summary!$B$11*U630</f>
        <v/>
      </c>
      <c r="P630">
        <f>IF(B655=0,0,O630/B655)</f>
        <v/>
      </c>
      <c r="Q630">
        <f>IFERROR(1/(IF(Inputs!$B$39="pvp",15,MAX(0.1,Skills!D18-IF(Skills!E18=TRUE,Inputs!$B$33,0)))*(1-IF(AND(ArtifactsInput!$M$27,Inputs!$B$4="Chapter Hunt"),CHOOSE(ArtifactsInput!$N$27+1,20,24,28,32,36,40),0)/100)),0)</f>
        <v/>
      </c>
      <c r="R630" t="n">
        <v>0</v>
      </c>
      <c r="S630" t="n">
        <v>0</v>
      </c>
      <c r="U630" t="n">
        <v>0</v>
      </c>
    </row>
    <row r="631">
      <c r="A631">
        <f>Skills!A19</f>
        <v/>
      </c>
      <c r="B631">
        <f>Skills!B19</f>
        <v/>
      </c>
      <c r="C631">
        <f>Inputs!$B$3&gt;=110</f>
        <v/>
      </c>
      <c r="D631">
        <f>IF(Skills!C19=1,60+Inputs!$B$26+Inputs!$B$30,IF(Skills!C19=2,90+Inputs!$B$27+Inputs!$B$30,IF(Skills!C19=3,120+Inputs!$B$28+Inputs!$B$30,MAX(0,(Inputs!$B$3-100)*3)+Inputs!$B$29+Inputs!$B$30)))</f>
        <v/>
      </c>
      <c r="E631">
        <f>INDEX(FactorTable!$B$2:$Y$301, MATCH(ROUND(MIN(300,MAX(1,D631)),0), FactorTable!$A$2:$A$301,0), Skills!L19+1)</f>
        <v/>
      </c>
      <c r="F631">
        <f>(Skills!K19/10)*(E631/1000)*64/45+Skills!N19</f>
        <v/>
      </c>
      <c r="G631">
        <f>Calc!G19</f>
        <v/>
      </c>
      <c r="H631">
        <f>Calc!H19</f>
        <v/>
      </c>
      <c r="I631">
        <f>IF(Skills!T19&lt;&gt;"",1+(Skills!T19/10)*($Z$3/1000)/100,1)</f>
        <v/>
      </c>
      <c r="J631" t="inlineStr"/>
      <c r="K631" t="inlineStr"/>
      <c r="L631" t="inlineStr"/>
      <c r="M631" t="inlineStr"/>
      <c r="N631" t="inlineStr"/>
      <c r="O631">
        <f>(1-Summary!$B$11)*S631+Summary!$B$11*U631</f>
        <v/>
      </c>
      <c r="P631">
        <f>IF(B655=0,0,O631/B655)</f>
        <v/>
      </c>
      <c r="Q631">
        <f>IFERROR(1/(IF(Inputs!$B$39="pvp",15,MAX(0.1,Skills!D19-IF(Skills!E19=TRUE,Inputs!$B$33,0)))*(1-IF(AND(ArtifactsInput!$M$27,Inputs!$B$4="Chapter Hunt"),CHOOSE(ArtifactsInput!$N$27+1,20,24,28,32,36,40),0)/100)),0)</f>
        <v/>
      </c>
      <c r="R631">
        <f>IF(AND(Inputs!$B$39&lt;&gt;"pvp",Inputs!$B$44&gt;0),IF(Inputs!$B$44&lt;=0,0,(INT(Inputs!$B$44/(IF(Inputs!$B$39="pvp",15,MAX(0.1,Skills!D19-IF(Skills!E19=TRUE,Inputs!$B$33,0)))*(1-IF(AND(ArtifactsInput!$M$27,Inputs!$B$4="Chapter Hunt"),CHOOSE(ArtifactsInput!$N$27+1,20,24,28,32,36,40),0)/100)))+1)),0)</f>
        <v/>
      </c>
      <c r="S631" t="n">
        <v>0</v>
      </c>
      <c r="U631" t="n">
        <v>0</v>
      </c>
    </row>
    <row r="632">
      <c r="A632">
        <f>Skills!A20</f>
        <v/>
      </c>
      <c r="B632">
        <f>Skills!B20</f>
        <v/>
      </c>
      <c r="C632">
        <f>Inputs!$B$3&gt;=125</f>
        <v/>
      </c>
      <c r="D632">
        <f>IF(Skills!C20=1,60+Inputs!$B$26+Inputs!$B$30,IF(Skills!C20=2,90+Inputs!$B$27+Inputs!$B$30,IF(Skills!C20=3,120+Inputs!$B$28+Inputs!$B$30,MAX(0,(Inputs!$B$3-100)*3)+Inputs!$B$29+Inputs!$B$30)))</f>
        <v/>
      </c>
      <c r="E632">
        <f>INDEX(FactorTable!$B$2:$Y$301, MATCH(ROUND(MIN(300,MAX(1,D632)),0), FactorTable!$A$2:$A$301,0), Skills!L20+1)</f>
        <v/>
      </c>
      <c r="F632">
        <f>IF(Skills!M20=TRUE,(Skills!K20/10)*(E632/1000),Skills!K20/10)+Skills!N20</f>
        <v/>
      </c>
      <c r="G632">
        <f>Calc!G20</f>
        <v/>
      </c>
      <c r="H632">
        <f>Calc!H20</f>
        <v/>
      </c>
      <c r="I632">
        <f>IF(Skills!T20&lt;&gt;"",1+(Skills!T20/10)*($Z$3/1000)/100,1)</f>
        <v/>
      </c>
      <c r="J632" t="inlineStr"/>
      <c r="K632" t="inlineStr"/>
      <c r="L632" t="inlineStr"/>
      <c r="M632" t="inlineStr"/>
      <c r="N632" t="inlineStr"/>
      <c r="O632">
        <f>(1-Summary!$B$11)*S632+Summary!$B$11*U632</f>
        <v/>
      </c>
      <c r="P632">
        <f>IF(B655=0,0,O632/B655)</f>
        <v/>
      </c>
      <c r="Q632">
        <f>IFERROR(1/(IF(Inputs!$B$39="pvp",15,MAX(0.1,Skills!D20-IF(Skills!E20=TRUE,Inputs!$B$33,0)))*(1-IF(AND(ArtifactsInput!$M$27,Inputs!$B$4="Chapter Hunt"),CHOOSE(ArtifactsInput!$N$27+1,20,24,28,32,36,40),0)/100)),0)</f>
        <v/>
      </c>
      <c r="R632" t="n">
        <v>0</v>
      </c>
      <c r="S632" t="n">
        <v>0</v>
      </c>
      <c r="U632" t="n">
        <v>0</v>
      </c>
    </row>
    <row r="633">
      <c r="A633">
        <f>Skills!A21</f>
        <v/>
      </c>
      <c r="B633">
        <f>Skills!B21</f>
        <v/>
      </c>
      <c r="C633">
        <f>Inputs!$B$3&gt;=33</f>
        <v/>
      </c>
      <c r="D633">
        <f>IF(Skills!C21=1,60+Inputs!$B$26+Inputs!$B$30,IF(Skills!C21=2,90+Inputs!$B$27+Inputs!$B$30,IF(Skills!C21=3,120+Inputs!$B$28+Inputs!$B$30,MAX(0,(Inputs!$B$3-100)*3)+Inputs!$B$29+Inputs!$B$30)))</f>
        <v/>
      </c>
      <c r="E633">
        <f>INDEX(FactorTable!$B$2:$Y$301, MATCH(ROUND(MIN(300,MAX(1,D633)),0), FactorTable!$A$2:$A$301,0), Skills!L21+1)</f>
        <v/>
      </c>
      <c r="F633">
        <f>IF(Skills!M21=TRUE,(Skills!K21/10)*(E633/1000),Skills!K21/10)+Skills!N21</f>
        <v/>
      </c>
      <c r="G633">
        <f>Calc!G21</f>
        <v/>
      </c>
      <c r="H633">
        <f>Calc!H21</f>
        <v/>
      </c>
      <c r="I633">
        <f>IF(Skills!T21&lt;&gt;"",1+(Skills!T21/10)*($Z$3/1000)/100,1)</f>
        <v/>
      </c>
      <c r="J633" t="inlineStr"/>
      <c r="K633" t="inlineStr"/>
      <c r="L633" t="inlineStr"/>
      <c r="M633" t="inlineStr"/>
      <c r="N633" t="inlineStr"/>
      <c r="O633">
        <f>(1-Summary!$B$11)*S633+Summary!$B$11*U633</f>
        <v/>
      </c>
      <c r="P633">
        <f>IF(B655=0,0,O633/B655)</f>
        <v/>
      </c>
      <c r="Q633">
        <f>IFERROR(1/(IF(Inputs!$B$39="pvp",15,MAX(0.1,Skills!D21-IF(Skills!E21=TRUE,Inputs!$B$33,0)))*(1-IF(AND(ArtifactsInput!$M$27,Inputs!$B$4="Chapter Hunt"),CHOOSE(ArtifactsInput!$N$27+1,20,24,28,32,36,40),0)/100)),0)</f>
        <v/>
      </c>
      <c r="R633" t="n">
        <v>0</v>
      </c>
      <c r="S633" t="n">
        <v>0</v>
      </c>
      <c r="U633" t="n">
        <v>0</v>
      </c>
    </row>
    <row r="634">
      <c r="A634">
        <f>Skills!A22</f>
        <v/>
      </c>
      <c r="B634">
        <f>Skills!B22</f>
        <v/>
      </c>
      <c r="C634">
        <f>Inputs!$B$3&gt;=43</f>
        <v/>
      </c>
      <c r="D634">
        <f>IF(Skills!C22=1,60+Inputs!$B$26+Inputs!$B$30,IF(Skills!C22=2,90+Inputs!$B$27+Inputs!$B$30,IF(Skills!C22=3,120+Inputs!$B$28+Inputs!$B$30,MAX(0,(Inputs!$B$3-100)*3)+Inputs!$B$29+Inputs!$B$30)))</f>
        <v/>
      </c>
      <c r="E634">
        <f>INDEX(FactorTable!$B$2:$Y$301, MATCH(ROUND(MIN(300,MAX(1,D634)),0), FactorTable!$A$2:$A$301,0), Skills!L22+1)</f>
        <v/>
      </c>
      <c r="F634">
        <f>IF(Skills!M22=TRUE,(Skills!K22/10)*(E634/1000),Skills!K22/10)+Skills!N22</f>
        <v/>
      </c>
      <c r="G634">
        <f>Calc!G22</f>
        <v/>
      </c>
      <c r="H634">
        <f>Calc!H22</f>
        <v/>
      </c>
      <c r="I634">
        <f>IF(Skills!T22&lt;&gt;"",1+(Skills!T22/10)*($Z$3/1000)/100,1)</f>
        <v/>
      </c>
      <c r="J634" t="inlineStr"/>
      <c r="K634" t="inlineStr"/>
      <c r="L634" t="inlineStr"/>
      <c r="M634" t="inlineStr"/>
      <c r="N634" t="inlineStr"/>
      <c r="O634">
        <f>(1-Summary!$B$11)*S634+Summary!$B$11*U634</f>
        <v/>
      </c>
      <c r="P634">
        <f>IF(B655=0,0,O634/B655)</f>
        <v/>
      </c>
      <c r="Q634">
        <f>IFERROR(1/(IF(Inputs!$B$39="pvp",15,MAX(0.1,Skills!D22-IF(Skills!E22=TRUE,Inputs!$B$33,0)))*(1-IF(AND(ArtifactsInput!$M$27,Inputs!$B$4="Chapter Hunt"),CHOOSE(ArtifactsInput!$N$27+1,20,24,28,32,36,40),0)/100)),0)</f>
        <v/>
      </c>
      <c r="R634" t="n">
        <v>0</v>
      </c>
      <c r="S634" t="n">
        <v>0</v>
      </c>
      <c r="U634" t="n">
        <v>0</v>
      </c>
    </row>
    <row r="635">
      <c r="A635">
        <f>Skills!A23</f>
        <v/>
      </c>
      <c r="B635">
        <f>Skills!B23</f>
        <v/>
      </c>
      <c r="C635">
        <f>Inputs!$B$3&gt;=50</f>
        <v/>
      </c>
      <c r="D635">
        <f>IF(Skills!C23=1,60+Inputs!$B$26+Inputs!$B$30,IF(Skills!C23=2,90+Inputs!$B$27+Inputs!$B$30,IF(Skills!C23=3,120+Inputs!$B$28+Inputs!$B$30,MAX(0,(Inputs!$B$3-100)*3)+Inputs!$B$29+Inputs!$B$30)))</f>
        <v/>
      </c>
      <c r="E635">
        <f>INDEX(FactorTable!$B$2:$Y$301, MATCH(ROUND(MIN(300,MAX(1,D635)),0), FactorTable!$A$2:$A$301,0), Skills!L23+1)</f>
        <v/>
      </c>
      <c r="F635">
        <f>IF(Skills!M23=TRUE,(Skills!K23/10)*(E635/1000),Skills!K23/10)+Skills!N23</f>
        <v/>
      </c>
      <c r="G635">
        <f>Calc!G23</f>
        <v/>
      </c>
      <c r="H635">
        <f>Calc!H23</f>
        <v/>
      </c>
      <c r="I635">
        <f>IF(Skills!T23&lt;&gt;"",1+(Skills!T23/10)*($Z$3/1000)/100,1)</f>
        <v/>
      </c>
      <c r="J635" t="inlineStr"/>
      <c r="K635" t="inlineStr"/>
      <c r="L635" t="inlineStr"/>
      <c r="M635" t="inlineStr"/>
      <c r="N635" t="inlineStr"/>
      <c r="O635">
        <f>(1-Summary!$B$11)*S635+Summary!$B$11*U635</f>
        <v/>
      </c>
      <c r="P635">
        <f>IF(B655=0,0,O635/B655)</f>
        <v/>
      </c>
      <c r="Q635">
        <f>IFERROR(1/(IF(Inputs!$B$39="pvp",15,MAX(0.1,Skills!D23-IF(Skills!E23=TRUE,Inputs!$B$33,0)))*(1-IF(AND(ArtifactsInput!$M$27,Inputs!$B$4="Chapter Hunt"),CHOOSE(ArtifactsInput!$N$27+1,20,24,28,32,36,40),0)/100)),0)</f>
        <v/>
      </c>
      <c r="R635" t="n">
        <v>0</v>
      </c>
      <c r="S635" t="n">
        <v>0</v>
      </c>
      <c r="U635" t="n">
        <v>0</v>
      </c>
    </row>
    <row r="636">
      <c r="A636">
        <f>Skills!A24</f>
        <v/>
      </c>
      <c r="B636">
        <f>Skills!B24</f>
        <v/>
      </c>
      <c r="C636">
        <f>Inputs!$B$3&gt;=74</f>
        <v/>
      </c>
      <c r="D636">
        <f>IF(Skills!C24=1,60+Inputs!$B$26+Inputs!$B$30,IF(Skills!C24=2,90+Inputs!$B$27+Inputs!$B$30,IF(Skills!C24=3,120+Inputs!$B$28+Inputs!$B$30,MAX(0,(Inputs!$B$3-100)*3)+Inputs!$B$29+Inputs!$B$30)))</f>
        <v/>
      </c>
      <c r="E636">
        <f>INDEX(FactorTable!$B$2:$Y$301, MATCH(ROUND(MIN(300,MAX(1,D636)),0), FactorTable!$A$2:$A$301,0), Skills!L24+1)</f>
        <v/>
      </c>
      <c r="F636">
        <f>IF(Skills!M24=TRUE,(Skills!K24/10)*(E636/1000),Skills!K24/10)+Skills!N24</f>
        <v/>
      </c>
      <c r="G636">
        <f>Calc!G24</f>
        <v/>
      </c>
      <c r="H636">
        <f>Calc!H24</f>
        <v/>
      </c>
      <c r="I636">
        <f>IF(Skills!T24&lt;&gt;"",1+(Skills!T24/10)*($Z$3/1000)/100,1)</f>
        <v/>
      </c>
      <c r="J636" t="inlineStr"/>
      <c r="K636" t="inlineStr"/>
      <c r="L636" t="inlineStr"/>
      <c r="M636" t="inlineStr"/>
      <c r="N636" t="inlineStr"/>
      <c r="O636">
        <f>(1-Summary!$B$11)*S636+Summary!$B$11*U636</f>
        <v/>
      </c>
      <c r="P636">
        <f>IF(B655=0,0,O636/B655)</f>
        <v/>
      </c>
      <c r="Q636">
        <f>IFERROR(1/(IF(Inputs!$B$39="pvp",15,MAX(0.1,Skills!D24-IF(Skills!E24=TRUE,Inputs!$B$33,0)))*(1-IF(AND(ArtifactsInput!$M$27,Inputs!$B$4="Chapter Hunt"),CHOOSE(ArtifactsInput!$N$27+1,20,24,28,32,36,40),0)/100)),0)</f>
        <v/>
      </c>
      <c r="R636" t="n">
        <v>0</v>
      </c>
      <c r="S636" t="n">
        <v>0</v>
      </c>
      <c r="U636" t="n">
        <v>0</v>
      </c>
    </row>
    <row r="637">
      <c r="A637">
        <f>Skills!A25</f>
        <v/>
      </c>
      <c r="B637">
        <f>Skills!B25</f>
        <v/>
      </c>
      <c r="C637">
        <f>Inputs!$B$3&gt;=74</f>
        <v/>
      </c>
      <c r="D637">
        <f>IF(Skills!C25=1,60+Inputs!$B$26+Inputs!$B$30,IF(Skills!C25=2,90+Inputs!$B$27+Inputs!$B$30,IF(Skills!C25=3,120+Inputs!$B$28+Inputs!$B$30,MAX(0,(Inputs!$B$3-100)*3)+Inputs!$B$29+Inputs!$B$30)))</f>
        <v/>
      </c>
      <c r="E637">
        <f>INDEX(FactorTable!$B$2:$Y$301, MATCH(ROUND(MIN(300,MAX(1,D637)),0), FactorTable!$A$2:$A$301,0), Skills!L25+1)</f>
        <v/>
      </c>
      <c r="F637">
        <f>IF(Skills!M25=TRUE,(Skills!K25/10)*(E637/1000),Skills!K25/10)+Skills!N25</f>
        <v/>
      </c>
      <c r="G637">
        <f>Calc!G25</f>
        <v/>
      </c>
      <c r="H637">
        <f>Calc!H25</f>
        <v/>
      </c>
      <c r="I637">
        <f>IF(Skills!T25&lt;&gt;"",1+(Skills!T25/10)*($Z$3/1000)/100,1)</f>
        <v/>
      </c>
      <c r="J637" t="inlineStr"/>
      <c r="K637" t="inlineStr"/>
      <c r="L637" t="inlineStr"/>
      <c r="M637" t="inlineStr"/>
      <c r="N637" t="inlineStr"/>
      <c r="O637">
        <f>(1-Summary!$B$11)*S637+Summary!$B$11*U637</f>
        <v/>
      </c>
      <c r="P637">
        <f>IF(B655=0,0,O637/B655)</f>
        <v/>
      </c>
      <c r="Q637">
        <f>IFERROR(1/(IF(Inputs!$B$39="pvp",15,MAX(0.1,Skills!D25-IF(Skills!E25=TRUE,Inputs!$B$33,0)))*(1-IF(AND(ArtifactsInput!$M$27,Inputs!$B$4="Chapter Hunt"),CHOOSE(ArtifactsInput!$N$27+1,20,24,28,32,36,40),0)/100)),0)</f>
        <v/>
      </c>
      <c r="R637" t="n">
        <v>0</v>
      </c>
      <c r="S637" t="n">
        <v>0</v>
      </c>
      <c r="U637" t="n">
        <v>0</v>
      </c>
    </row>
    <row r="638">
      <c r="A638">
        <f>Skills!A26</f>
        <v/>
      </c>
      <c r="B638">
        <f>Skills!B26</f>
        <v/>
      </c>
      <c r="C638">
        <f>Inputs!$B$3&gt;=117</f>
        <v/>
      </c>
      <c r="D638">
        <f>IF(Skills!C26=1,60+Inputs!$B$26+Inputs!$B$30,IF(Skills!C26=2,90+Inputs!$B$27+Inputs!$B$30,IF(Skills!C26=3,120+Inputs!$B$28+Inputs!$B$30,MAX(0,(Inputs!$B$3-100)*3)+Inputs!$B$29+Inputs!$B$30)))</f>
        <v/>
      </c>
      <c r="E638">
        <f>INDEX(FactorTable!$B$2:$Y$301, MATCH(ROUND(MIN(300,MAX(1,D638)),0), FactorTable!$A$2:$A$301,0), Skills!L26+1)</f>
        <v/>
      </c>
      <c r="F638">
        <f>IF(Skills!M26=TRUE,(Skills!K26/10)*(E638/1000),Skills!K26/10)+Skills!N26</f>
        <v/>
      </c>
      <c r="G638">
        <f>Calc!G26</f>
        <v/>
      </c>
      <c r="H638">
        <f>Calc!H26</f>
        <v/>
      </c>
      <c r="I638">
        <f>IF(Skills!T26&lt;&gt;"",1+(Skills!T26/10)*($Z$3/1000)/100,1)</f>
        <v/>
      </c>
      <c r="J638" t="inlineStr"/>
      <c r="K638" t="inlineStr"/>
      <c r="L638" t="inlineStr"/>
      <c r="M638" t="inlineStr"/>
      <c r="N638" t="inlineStr"/>
      <c r="O638">
        <f>(1-Summary!$B$11)*S638+Summary!$B$11*U638</f>
        <v/>
      </c>
      <c r="P638">
        <f>IF(B655=0,0,O638/B655)</f>
        <v/>
      </c>
      <c r="Q638">
        <f>IFERROR(1/(IF(Inputs!$B$39="pvp",15,MAX(0.1,Skills!D26-IF(Skills!E26=TRUE,Inputs!$B$33,0)))*(1-IF(AND(ArtifactsInput!$M$27,Inputs!$B$4="Chapter Hunt"),CHOOSE(ArtifactsInput!$N$27+1,20,24,28,32,36,40),0)/100)),0)</f>
        <v/>
      </c>
      <c r="R638" t="n">
        <v>0</v>
      </c>
      <c r="S638" t="n">
        <v>0</v>
      </c>
      <c r="U638" t="n">
        <v>0</v>
      </c>
    </row>
    <row r="639">
      <c r="A639">
        <f>Skills!A27</f>
        <v/>
      </c>
      <c r="B639">
        <f>Skills!B27</f>
        <v/>
      </c>
      <c r="C639">
        <f>Inputs!$B$3&gt;=120</f>
        <v/>
      </c>
      <c r="D639">
        <f>IF(Skills!C27=1,60+Inputs!$B$26+Inputs!$B$30,IF(Skills!C27=2,90+Inputs!$B$27+Inputs!$B$30,IF(Skills!C27=3,120+Inputs!$B$28+Inputs!$B$30,MAX(0,(Inputs!$B$3-100)*3)+Inputs!$B$29+Inputs!$B$30)))</f>
        <v/>
      </c>
      <c r="E639">
        <f>INDEX(FactorTable!$B$2:$Y$301, MATCH(ROUND(MIN(300,MAX(1,D639)),0), FactorTable!$A$2:$A$301,0), Skills!L27+1)</f>
        <v/>
      </c>
      <c r="F639">
        <f>IF(Skills!M27=TRUE,(Skills!K27/10)*(E639/1000),Skills!K27/10)+Skills!N27</f>
        <v/>
      </c>
      <c r="G639">
        <f>Calc!G27</f>
        <v/>
      </c>
      <c r="H639">
        <f>Calc!H27</f>
        <v/>
      </c>
      <c r="I639">
        <f>IF(Skills!T27&lt;&gt;"",1+(Skills!T27/10)*($Z$3/1000)/100,1)</f>
        <v/>
      </c>
      <c r="J639" t="inlineStr"/>
      <c r="K639" t="inlineStr"/>
      <c r="L639" t="inlineStr"/>
      <c r="M639" t="inlineStr"/>
      <c r="N639" t="inlineStr"/>
      <c r="O639">
        <f>(1-Summary!$B$11)*S639+Summary!$B$11*U639</f>
        <v/>
      </c>
      <c r="P639">
        <f>IF(B655=0,0,O639/B655)</f>
        <v/>
      </c>
      <c r="Q639">
        <f>IFERROR(1/(IF(Inputs!$B$39="pvp",15,MAX(0.1,Skills!D27-IF(Skills!E27=TRUE,Inputs!$B$33,0)))*(1-IF(AND(ArtifactsInput!$M$27,Inputs!$B$4="Chapter Hunt"),CHOOSE(ArtifactsInput!$N$27+1,20,24,28,32,36,40),0)/100)),0)</f>
        <v/>
      </c>
      <c r="R639" t="n">
        <v>0</v>
      </c>
      <c r="S639" t="n">
        <v>0</v>
      </c>
      <c r="U639" t="n">
        <v>0</v>
      </c>
    </row>
    <row r="640">
      <c r="A640">
        <f>Skills!A28</f>
        <v/>
      </c>
      <c r="B640">
        <f>Skills!B28</f>
        <v/>
      </c>
      <c r="C640">
        <f>TRUE</f>
        <v/>
      </c>
      <c r="D640">
        <f>IF(Skills!C28=1,60+Inputs!$B$26+Inputs!$B$30,IF(Skills!C28=2,90+Inputs!$B$27+Inputs!$B$30,IF(Skills!C28=3,120+Inputs!$B$28+Inputs!$B$30,MAX(0,(Inputs!$B$3-100)*3)+Inputs!$B$29+Inputs!$B$30)))</f>
        <v/>
      </c>
      <c r="E640">
        <f>INDEX(FactorTable!$B$2:$Y$301, MATCH(ROUND(MIN(300,MAX(1,D640)),0), FactorTable!$A$2:$A$301,0), Skills!L28+1)</f>
        <v/>
      </c>
      <c r="F640">
        <f>IF(Skills!M28=TRUE,(Skills!K28/10)*(E640/1000),Skills!K28/10)+Skills!N28</f>
        <v/>
      </c>
      <c r="G640">
        <f>Calc!G28</f>
        <v/>
      </c>
      <c r="H640">
        <f>Calc!H28</f>
        <v/>
      </c>
      <c r="I640">
        <f>IF(Skills!T28&lt;&gt;"",1+(Skills!T28/10)*($Z$3/1000)/100,1)</f>
        <v/>
      </c>
      <c r="J640" t="inlineStr"/>
      <c r="K640" t="inlineStr"/>
      <c r="L640" t="inlineStr"/>
      <c r="M640" t="inlineStr"/>
      <c r="N640" t="inlineStr"/>
      <c r="O640">
        <f>(1-Summary!$B$11)*S640+Summary!$B$11*U640</f>
        <v/>
      </c>
      <c r="P640">
        <f>IF(B655=0,0,O640/B655)</f>
        <v/>
      </c>
      <c r="Q640">
        <f>IFERROR(1/(IF(Inputs!$B$39="pvp",15,MAX(0.1,Skills!D28-IF(Skills!E28=TRUE,Inputs!$B$33,0)))*(1-IF(AND(ArtifactsInput!$M$27,Inputs!$B$4="Chapter Hunt"),CHOOSE(ArtifactsInput!$N$27+1,20,24,28,32,36,40),0)/100)),0)</f>
        <v/>
      </c>
      <c r="R640">
        <f>IF(AND(Inputs!$B$39&lt;&gt;"pvp",Inputs!$B$44&gt;0),IF(Inputs!$B$44&lt;=0,0,(INT(Inputs!$B$44/(IF(Inputs!$B$39="pvp",15,MAX(0.1,Skills!D28-IF(Skills!E28=TRUE,Inputs!$B$33,0)))*(1-IF(AND(ArtifactsInput!$M$27,Inputs!$B$4="Chapter Hunt"),CHOOSE(ArtifactsInput!$N$27+1,20,24,28,32,36,40),0)/100)))+1)),0)</f>
        <v/>
      </c>
      <c r="S640" t="n">
        <v>0</v>
      </c>
      <c r="U640" t="n">
        <v>0</v>
      </c>
    </row>
    <row r="642">
      <c r="A642" t="inlineStr">
        <is>
          <t>Average Buff Multiplier</t>
        </is>
      </c>
      <c r="B642">
        <f>(1+(IF(C615=TRUE,F615*IF(AND(Inputs!$B$39&lt;&gt;"pvp",Inputs!$B$44&gt;0),(((R615-1)*(Skills!S3*(1+((Inputs!$B$35+(ArtifactsInput!$M$7-ArtifactsInput!$M$7)*CHOOSE(ArtifactsInput!$N$7+1,6,7.2,8.4,9.6,10.8,12))+IF(Inputs!$B$3&gt;=117,F638,0))/100))+MIN((Skills!S3*(1+((Inputs!$B$35+(ArtifactsInput!$M$7-ArtifactsInput!$M$7)*CHOOSE(ArtifactsInput!$N$7+1,6,7.2,8.4,9.6,10.8,12))+IF(Inputs!$B$3&gt;=117,F638,0))/100)),MAX(0,Inputs!$B$44-((R615-1)*Skills!D3))))/Inputs!$B$44),IF(Inputs!$B$39="pvp",MIN((Skills!S3*(1+((Inputs!$B$35+(ArtifactsInput!$M$7-ArtifactsInput!$M$7)*CHOOSE(ArtifactsInput!$N$7+1,6,7.2,8.4,9.6,10.8,12))+IF(Inputs!$B$3&gt;=117,F638,0))/100)),15)/15,(Skills!S3*(1+((Inputs!$B$35+(ArtifactsInput!$M$7-ArtifactsInput!$M$7)*CHOOSE(ArtifactsInput!$N$7+1,6,7.2,8.4,9.6,10.8,12))+IF(Inputs!$B$3&gt;=117,F638,0))/100))/Skills!D3)),0)+IF(C616=TRUE,F616*IF(AND(Inputs!$B$39&lt;&gt;"pvp",Inputs!$B$44&gt;0),(((R616-1)*(Skills!S4*(1+((Inputs!$B$35+(ArtifactsInput!$M$7-ArtifactsInput!$M$7)*CHOOSE(ArtifactsInput!$N$7+1,6,7.2,8.4,9.6,10.8,12))+IF(Inputs!$B$3&gt;=117,F638,0))/100))+MIN((Skills!S4*(1+((Inputs!$B$35+(ArtifactsInput!$M$7-ArtifactsInput!$M$7)*CHOOSE(ArtifactsInput!$N$7+1,6,7.2,8.4,9.6,10.8,12))+IF(Inputs!$B$3&gt;=117,F638,0))/100)),MAX(0,Inputs!$B$44-((R616-1)*Skills!D4))))/Inputs!$B$44),IF(Inputs!$B$39="pvp",MIN((Skills!S4*(1+((Inputs!$B$35+(ArtifactsInput!$M$7-ArtifactsInput!$M$7)*CHOOSE(ArtifactsInput!$N$7+1,6,7.2,8.4,9.6,10.8,12))+IF(Inputs!$B$3&gt;=117,F638,0))/100)),15)/15,(Skills!S4*(1+((Inputs!$B$35+(ArtifactsInput!$M$7-ArtifactsInput!$M$7)*CHOOSE(ArtifactsInput!$N$7+1,6,7.2,8.4,9.6,10.8,12))+IF(Inputs!$B$3&gt;=117,F638,0))/100))/Skills!D4)),0)+IF(C617=TRUE,F617*IF(AND(Inputs!$B$39&lt;&gt;"pvp",Inputs!$B$44&gt;0),(((R617-1)*(Skills!S5*(1+((Inputs!$B$35+(ArtifactsInput!$M$7-ArtifactsInput!$M$7)*CHOOSE(ArtifactsInput!$N$7+1,6,7.2,8.4,9.6,10.8,12))+IF(Inputs!$B$3&gt;=117,F638,0))/100))+MIN((Skills!S5*(1+((Inputs!$B$35+(ArtifactsInput!$M$7-ArtifactsInput!$M$7)*CHOOSE(ArtifactsInput!$N$7+1,6,7.2,8.4,9.6,10.8,12))+IF(Inputs!$B$3&gt;=117,F638,0))/100)),MAX(0,Inputs!$B$44-((R617-1)*Skills!D5))))/Inputs!$B$44),IF(Inputs!$B$39="pvp",MIN((Skills!S5*(1+((Inputs!$B$35+(ArtifactsInput!$M$7-ArtifactsInput!$M$7)*CHOOSE(ArtifactsInput!$N$7+1,6,7.2,8.4,9.6,10.8,12))+IF(Inputs!$B$3&gt;=117,F638,0))/100)),15)/15,(Skills!S5*(1+((Inputs!$B$35+(ArtifactsInput!$M$7-ArtifactsInput!$M$7)*CHOOSE(ArtifactsInput!$N$7+1,6,7.2,8.4,9.6,10.8,12))+IF(Inputs!$B$3&gt;=117,F638,0))/100))/Skills!D5)),0)+IF(C623=TRUE,F623*IF(AND(Inputs!$B$39&lt;&gt;"pvp",Inputs!$B$44&gt;0),(((R623-1)*(Skills!S11*(1+((Inputs!$B$35+(ArtifactsInput!$M$7-ArtifactsInput!$M$7)*CHOOSE(ArtifactsInput!$N$7+1,6,7.2,8.4,9.6,10.8,12))+IF(Inputs!$B$3&gt;=117,F638,0))/100))+MIN((Skills!S11*(1+((Inputs!$B$35+(ArtifactsInput!$M$7-ArtifactsInput!$M$7)*CHOOSE(ArtifactsInput!$N$7+1,6,7.2,8.4,9.6,10.8,12))+IF(Inputs!$B$3&gt;=117,F638,0))/100)),MAX(0,Inputs!$B$44-((R623-1)*Skills!D11))))/Inputs!$B$44),IF(Inputs!$B$39="pvp",MIN((Skills!S11*(1+((Inputs!$B$35+(ArtifactsInput!$M$7-ArtifactsInput!$M$7)*CHOOSE(ArtifactsInput!$N$7+1,6,7.2,8.4,9.6,10.8,12))+IF(Inputs!$B$3&gt;=117,F638,0))/100)),15)/15,(Skills!S11*(1+((Inputs!$B$35+(ArtifactsInput!$M$7-ArtifactsInput!$M$7)*CHOOSE(ArtifactsInput!$N$7+1,6,7.2,8.4,9.6,10.8,12))+IF(Inputs!$B$3&gt;=117,F638,0)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626=TRUE,(1+F626*IF(AND(Inputs!$B$39&lt;&gt;"pvp",Inputs!$B$44&gt;0),(((R626-1)*(Skills!S14*(1+((Inputs!$B$35+(ArtifactsInput!$M$7-ArtifactsInput!$M$7)*CHOOSE(ArtifactsInput!$N$7+1,6,7.2,8.4,9.6,10.8,12))+IF(Inputs!$B$3&gt;=117,F638,0))/100))+MIN((Skills!S14*(1+((Inputs!$B$35+(ArtifactsInput!$M$7-ArtifactsInput!$M$7)*CHOOSE(ArtifactsInput!$N$7+1,6,7.2,8.4,9.6,10.8,12))+IF(Inputs!$B$3&gt;=117,F638,0))/100)),MAX(0,Inputs!$B$44-((R626-1)*Skills!D14))))/Inputs!$B$44),IF(Inputs!$B$39="pvp",MIN((Skills!S14*(1+((Inputs!$B$35+(ArtifactsInput!$M$7-ArtifactsInput!$M$7)*CHOOSE(ArtifactsInput!$N$7+1,6,7.2,8.4,9.6,10.8,12))+IF(Inputs!$B$3&gt;=117,F638,0))/100)),15)/15,(Skills!S14*(1+((Inputs!$B$35+(ArtifactsInput!$M$7-ArtifactsInput!$M$7)*CHOOSE(ArtifactsInput!$N$7+1,6,7.2,8.4,9.6,10.8,12))+IF(Inputs!$B$3&gt;=117,F638,0))/100))/Skills!D14))/100),1)*IF(C631=TRUE,(1+F631*IF(AND(Inputs!$B$39&lt;&gt;"pvp",Inputs!$B$44&gt;0),(((R631-1)*(Skills!S19*(1+((Inputs!$B$35+(ArtifactsInput!$M$7-ArtifactsInput!$M$7)*CHOOSE(ArtifactsInput!$N$7+1,6,7.2,8.4,9.6,10.8,12))+IF(Inputs!$B$3&gt;=117,F638,0))/100))+MIN((Skills!S19*(1+((Inputs!$B$35+(ArtifactsInput!$M$7-ArtifactsInput!$M$7)*CHOOSE(ArtifactsInput!$N$7+1,6,7.2,8.4,9.6,10.8,12))+IF(Inputs!$B$3&gt;=117,F638,0))/100)),MAX(0,Inputs!$B$44-((R631-1)*Skills!D19))))/Inputs!$B$44),IF(Inputs!$B$39="pvp",MIN((Skills!S19*(1+((Inputs!$B$35+(ArtifactsInput!$M$7-ArtifactsInput!$M$7)*CHOOSE(ArtifactsInput!$N$7+1,6,7.2,8.4,9.6,10.8,12))+IF(Inputs!$B$3&gt;=117,F638,0))/100)),15)/15,(Skills!S19*(1+((Inputs!$B$35+(ArtifactsInput!$M$7-ArtifactsInput!$M$7)*CHOOSE(ArtifactsInput!$N$7+1,6,7.2,8.4,9.6,10.8,12))+IF(Inputs!$B$3&gt;=117,F638,0))/100))/Skills!D19))/100),1)</f>
        <v/>
      </c>
    </row>
    <row r="643">
      <c r="A643" t="inlineStr">
        <is>
          <t>Monster Damage Taken Bonus % (Holy Fountain)</t>
        </is>
      </c>
      <c r="B643">
        <f>IF(Inputs!$B$3&gt;=68,20*IF(Inputs!$B$39="pvp",MIN((15*(1+((Inputs!$B$35+(ArtifactsInput!$M$7-ArtifactsInput!$M$7)*CHOOSE(ArtifactsInput!$N$7+1,6,7.2,8.4,9.6,10.8,12))+IF(Inputs!$B$3&gt;=117,F638,0))/100)),15)/15,(15*(1+((Inputs!$B$35+(ArtifactsInput!$M$7-ArtifactsInput!$M$7)*CHOOSE(ArtifactsInput!$N$7+1,6,7.2,8.4,9.6,10.8,12))+IF(Inputs!$B$3&gt;=117,F638,0))/100))/Skills!D10),0)</f>
        <v/>
      </c>
    </row>
    <row r="644">
      <c r="A644" t="inlineStr">
        <is>
          <t>Normal Monster Damage Bonus % (Holy Symbol)</t>
        </is>
      </c>
      <c r="B644">
        <f>IF(C624=TRUE,F624*IF(AND(Inputs!$B$39&lt;&gt;"pvp",Inputs!$B$44&gt;0),(((R624-1)*(Skills!S12*(1+((Inputs!$B$35+(ArtifactsInput!$M$7-ArtifactsInput!$M$7)*CHOOSE(ArtifactsInput!$N$7+1,6,7.2,8.4,9.6,10.8,12))+IF(Inputs!$B$3&gt;=117,F638,0))/100))+MIN((Skills!S12*(1+((Inputs!$B$35+(ArtifactsInput!$M$7-ArtifactsInput!$M$7)*CHOOSE(ArtifactsInput!$N$7+1,6,7.2,8.4,9.6,10.8,12))+IF(Inputs!$B$3&gt;=117,F638,0))/100)),MAX(0,Inputs!$B$44-((R624-1)*Skills!D12))))/Inputs!$B$44),IF(Inputs!$B$39="pvp",MIN((Skills!S12*(1+((Inputs!$B$35+(ArtifactsInput!$M$7-ArtifactsInput!$M$7)*CHOOSE(ArtifactsInput!$N$7+1,6,7.2,8.4,9.6,10.8,12))+IF(Inputs!$B$3&gt;=117,F638,0))/100)),15)/15,(Skills!S12*(1+((Inputs!$B$35+(ArtifactsInput!$M$7-ArtifactsInput!$M$7)*CHOOSE(ArtifactsInput!$N$7+1,6,7.2,8.4,9.6,10.8,12))+IF(Inputs!$B$3&gt;=117,F638,0))/100))/Skills!D12)),0)</f>
        <v/>
      </c>
    </row>
    <row r="645">
      <c r="A645" t="inlineStr">
        <is>
          <t>Damage % Bonus (Holy Symbol - Damage Boost)</t>
        </is>
      </c>
      <c r="B645">
        <f>Skills!O12</f>
        <v/>
      </c>
    </row>
    <row r="646">
      <c r="A646" t="inlineStr">
        <is>
          <t>Crit Damage % Bonus (Blood of the Divine)</t>
        </is>
      </c>
      <c r="B646">
        <f>4*IF(C632=TRUE,F632,0)</f>
        <v/>
      </c>
    </row>
    <row r="647">
      <c r="A647" t="inlineStr">
        <is>
          <t>Attack Speed Bonus %</t>
        </is>
      </c>
      <c r="B647">
        <f>IF(C629=TRUE,F629+(F633-Calc!F21),0)+IF(Inputs!$B$3&gt;=134,15,0)+((C640=TRUE)*F640*IF(AND(Inputs!$B$39&lt;&gt;"pvp",Inputs!$B$44&gt;0),(((R640-1)*(Skills!S28*(1+((Inputs!$B$35+(ArtifactsInput!$M$7-ArtifactsInput!$M$7)*CHOOSE(ArtifactsInput!$N$7+1,6,7.2,8.4,9.6,10.8,12))+IF(Inputs!$B$3&gt;=117,F638,0))/100))+MIN((Skills!S28*(1+((Inputs!$B$35+(ArtifactsInput!$M$7-ArtifactsInput!$M$7)*CHOOSE(ArtifactsInput!$N$7+1,6,7.2,8.4,9.6,10.8,12))+IF(Inputs!$B$3&gt;=117,F638,0))/100)),MAX(0,Inputs!$B$44-((R640-1)*Skills!D28))))/Inputs!$B$44),IF(Inputs!$B$39="pvp",MIN((Skills!S28*(1+((Inputs!$B$35+(ArtifactsInput!$M$7-ArtifactsInput!$M$7)*CHOOSE(ArtifactsInput!$N$7+1,6,7.2,8.4,9.6,10.8,12))+IF(Inputs!$B$3&gt;=117,F638,0))/100)),15)/15,(Skills!S28*(1+((Inputs!$B$35+(ArtifactsInput!$M$7-ArtifactsInput!$M$7)*CHOOSE(ArtifactsInput!$N$7+1,6,7.2,8.4,9.6,10.8,12))+IF(Inputs!$B$3&gt;=117,F638,0))/100))/Skills!D28)))</f>
        <v/>
      </c>
    </row>
    <row r="648">
      <c r="A648" t="inlineStr">
        <is>
          <t>Actions Per Second</t>
        </is>
      </c>
      <c r="B648">
        <f>1+MIN(150,150*(1-(1-Inputs!$B$12/150)*(1-B647/150)))/100</f>
        <v/>
      </c>
    </row>
    <row r="649">
      <c r="A649" t="inlineStr">
        <is>
          <t>Skill + Buff Cast Rate</t>
        </is>
      </c>
      <c r="B649">
        <f>IF(AND(Inputs!$B$39&lt;&gt;"pvp",Inputs!$B$44&gt;0),SUMPRODUCT((Skills!E2:E28=TRUE)*(C614:C640=TRUE)*R614:R640)/Inputs!$B$44,SUMPRODUCT((Skills!E2:E28=TRUE)*(C614:C640=TRUE)*Q614:Q640))</f>
        <v/>
      </c>
    </row>
    <row r="650">
      <c r="A650" t="inlineStr">
        <is>
          <t>Big Bang Casts Per Second</t>
        </is>
      </c>
      <c r="B650">
        <f>MAX(0,B648-B649)</f>
        <v/>
      </c>
    </row>
    <row r="651">
      <c r="A651" t="inlineStr">
        <is>
          <t>Defense % Bonus (Divine Protection)</t>
        </is>
      </c>
      <c r="B651">
        <f>IF(C625=TRUE,F625*IF(AND(Inputs!$B$39&lt;&gt;"pvp",Inputs!$B$44&gt;0),(((R625-1)*(Skills!S13*(1+((Inputs!$B$35+(ArtifactsInput!$M$7-ArtifactsInput!$M$7)*CHOOSE(ArtifactsInput!$N$7+1,6,7.2,8.4,9.6,10.8,12))+IF(Inputs!$B$3&gt;=117,F638,0))/100))+MIN((Skills!S13*(1+((Inputs!$B$35+(ArtifactsInput!$M$7-ArtifactsInput!$M$7)*CHOOSE(ArtifactsInput!$N$7+1,6,7.2,8.4,9.6,10.8,12))+IF(Inputs!$B$3&gt;=117,F638,0))/100)),MAX(0,Inputs!$B$44-((R625-1)*Skills!D13))))/Inputs!$B$44),IF(Inputs!$B$39="pvp",MIN((Skills!S13*(1+((Inputs!$B$35+(ArtifactsInput!$M$7-ArtifactsInput!$M$7)*CHOOSE(ArtifactsInput!$N$7+1,6,7.2,8.4,9.6,10.8,12))+IF(Inputs!$B$3&gt;=117,F638,0))/100)),15)/15,(Skills!S13*(1+((Inputs!$B$35+(ArtifactsInput!$M$7-ArtifactsInput!$M$7)*CHOOSE(ArtifactsInput!$N$7+1,6,7.2,8.4,9.6,10.8,12))+IF(Inputs!$B$3&gt;=117,F638,0))/100))/Skills!D13)),0)</f>
        <v/>
      </c>
    </row>
    <row r="652">
      <c r="A652" t="inlineStr">
        <is>
          <t>Buff-Casting Startup Delay (s, fixed-duration only)</t>
        </is>
      </c>
      <c r="B652">
        <f>IF(AND(Inputs!$B$39&lt;&gt;"pvp",Inputs!$B$44&gt;0),SUMPRODUCT((Skills!S2:S28&gt;0)*(Skills!E2:E28=TRUE)*(C614:C640=TRUE))/B648,0)</f>
        <v/>
      </c>
    </row>
    <row r="653">
      <c r="A653" t="inlineStr">
        <is>
          <t>Boss-Only Total DPS (this block's swept value)</t>
        </is>
      </c>
      <c r="B653">
        <f>SUM(S614:S640)</f>
        <v/>
      </c>
    </row>
    <row r="654">
      <c r="A654" t="inlineStr">
        <is>
          <t>Normal-Only Total DPS (this block's swept value)</t>
        </is>
      </c>
      <c r="B654">
        <f>SUM(U614:U640)</f>
        <v/>
      </c>
    </row>
    <row r="655">
      <c r="A655" s="6" t="inlineStr">
        <is>
          <t>TOTAL DPS</t>
        </is>
      </c>
      <c r="B655" s="6">
        <f>SUM(O614:O640)</f>
        <v/>
      </c>
    </row>
    <row r="657">
      <c r="A657" s="6" t="inlineStr">
        <is>
          <t>Stat: ATTACK_SPEED % (diminishing returns, factor 150)</t>
        </is>
      </c>
    </row>
    <row r="658">
      <c r="A658" s="5" t="inlineStr">
        <is>
          <t>Key</t>
        </is>
      </c>
      <c r="B658" s="5" t="inlineStr">
        <is>
          <t>Name</t>
        </is>
      </c>
      <c r="C658" s="5" t="inlineStr">
        <is>
          <t>Unlocked</t>
        </is>
      </c>
      <c r="D658" s="5" t="inlineStr">
        <is>
          <t>InputLevel</t>
        </is>
      </c>
      <c r="E658" s="5" t="inlineStr">
        <is>
          <t>Factor</t>
        </is>
      </c>
      <c r="F658" s="5" t="inlineStr">
        <is>
          <t>CoefficientPercent</t>
        </is>
      </c>
      <c r="G658" s="5" t="inlineStr">
        <is>
          <t>EffectiveHits</t>
        </is>
      </c>
      <c r="H658" s="5" t="inlineStr">
        <is>
          <t>ProcProbability</t>
        </is>
      </c>
      <c r="I658" s="5" t="inlineStr">
        <is>
          <t>MapleHeroMultiplier</t>
        </is>
      </c>
      <c r="J658" s="5" t="inlineStr">
        <is>
          <t>BaseDamage</t>
        </is>
      </c>
      <c r="K658" s="5" t="inlineStr">
        <is>
          <t>BaseHitDamage</t>
        </is>
      </c>
      <c r="L658" s="5" t="inlineStr">
        <is>
          <t>NonCritAvg</t>
        </is>
      </c>
      <c r="M658" s="5" t="inlineStr">
        <is>
          <t>CritAvg</t>
        </is>
      </c>
      <c r="N658" s="5" t="inlineStr">
        <is>
          <t>ExpectedDamage(perHit)</t>
        </is>
      </c>
      <c r="O658" s="5" t="inlineStr">
        <is>
          <t>DPS</t>
        </is>
      </c>
      <c r="P658" s="5" t="inlineStr">
        <is>
          <t>% of Total</t>
        </is>
      </c>
      <c r="R658" t="inlineStr">
        <is>
          <t>helpers</t>
        </is>
      </c>
    </row>
    <row r="659">
      <c r="A659">
        <f>Skills!A2</f>
        <v/>
      </c>
      <c r="B659">
        <f>Skills!B2</f>
        <v/>
      </c>
      <c r="C659">
        <f>Inputs!$B$3&gt;=100</f>
        <v/>
      </c>
      <c r="D659" t="inlineStr"/>
      <c r="E659" t="inlineStr"/>
      <c r="F659">
        <f>T661+Skills!N2</f>
        <v/>
      </c>
      <c r="G659">
        <f>Calc!G2</f>
        <v/>
      </c>
      <c r="H659">
        <f>Calc!H2</f>
        <v/>
      </c>
      <c r="I659">
        <f>IF(Skills!T2&lt;&gt;"",1+(Skills!T2/10)*($Z$3/1000)/100,1)</f>
        <v/>
      </c>
      <c r="J659">
        <f>((Inputs!$B$6*(1+Inputs!$B$7/100))+(((Inputs!$B$13*(1+Inputs!$B$14/100))-(Inputs!$B$13*(1+Inputs!$B$14/100)))+0.25*(Inputs!$B$15-Inputs!$B$15))*(1+Inputs!$B$7/100))*(F659/100)</f>
        <v/>
      </c>
      <c r="K659">
        <f>J659*(1+(((Inputs!$B$13+IF(Inputs!$B$3&gt;=35,(10*INDEX(FactorTable!$B$2:$Y$301,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2="TRIUMPH_FEATHER",IF(C673=TRUE,F673,0),0)/100)*(1+IF(C684=TRUE,F684,0)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659)</f>
        <v/>
      </c>
      <c r="L659">
        <f>K659*(MIN(Inputs!$B$23+(F679-Calc!F22),(Inputs!$B$24+IF(ArtifactsInput!$M$15,CHOOSE(ArtifactsInput!$N$15+1,25,30,35,40,45,50)/100*(((1-(1-Inputs!$B$12/150)*(1-1/150))*150)-Inputs!$B$12),0)))/100+(Inputs!$B$24+IF(ArtifactsInput!$M$15,CHOOSE(ArtifactsInput!$N$15+1,25,30,35,40,45,50)/100*(((1-(1-Inputs!$B$12/150)*(1-1/150))*150)-Inputs!$B$12),0))/100)/2</f>
        <v/>
      </c>
      <c r="M659">
        <f>L659*(1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9">
        <f>L659*(1-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659*(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9">
        <f>(1-Summary!$B$11)*S659+Summary!$B$11*U659</f>
        <v/>
      </c>
      <c r="P659">
        <f>IF(B700=0,0,O659/B700)</f>
        <v/>
      </c>
      <c r="Q659">
        <f>IFERROR(1/(IF(Inputs!$B$39="pvp",15,MAX(0.1,Skills!D2-IF(Skills!E2=TRUE,Inputs!$B$33,0)))*(1-IF(AND(ArtifactsInput!$M$27,Inputs!$B$4="Chapter Hunt"),CHOOSE(ArtifactsInput!$N$27+1,20,24,28,32,36,40),0)/100)),0)</f>
        <v/>
      </c>
      <c r="R659" t="n">
        <v>0</v>
      </c>
      <c r="S659">
        <f>IF(C659,(Skills!F2*N659*B695)*IF(Inputs!$B$39="pvp",1,1+(Inputs!$B$21+Skills!O2+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659*(1-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659*(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659*(1-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659*(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59">
        <f>MAX(0,(Inputs!$B$3-100)*3)+Inputs!$B$29+Inputs!$B$30</f>
        <v/>
      </c>
      <c r="U659">
        <f>IF(C659,(Skills!F2*N659*B695)*IF(Inputs!$B$39="pvp",1,(1+(Inputs!$B$22+Skills!P2+B689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0">
      <c r="A660">
        <f>Skills!A3</f>
        <v/>
      </c>
      <c r="B660">
        <f>Skills!B3</f>
        <v/>
      </c>
      <c r="C660">
        <f>Inputs!$B$3&gt;=15</f>
        <v/>
      </c>
      <c r="D660">
        <f>IF(Skills!C3=1,60+Inputs!$B$26+Inputs!$B$30,IF(Skills!C3=2,90+Inputs!$B$27+Inputs!$B$30,IF(Skills!C3=3,120+Inputs!$B$28+Inputs!$B$30,MAX(0,(Inputs!$B$3-100)*3)+Inputs!$B$29+Inputs!$B$30)))</f>
        <v/>
      </c>
      <c r="E660">
        <f>INDEX(FactorTable!$B$2:$Y$301, MATCH(ROUND(MIN(300,MAX(1,D660)),0), FactorTable!$A$2:$A$301,0), Skills!L3+1)</f>
        <v/>
      </c>
      <c r="F660">
        <f>IF(Skills!M3=TRUE,(Skills!K3/10)*(E660/1000),Skills!K3/10)+Skills!N3</f>
        <v/>
      </c>
      <c r="G660">
        <f>Calc!G3</f>
        <v/>
      </c>
      <c r="H660">
        <f>Calc!H3</f>
        <v/>
      </c>
      <c r="I660">
        <f>IF(Skills!T3&lt;&gt;"",1+(Skills!T3/10)*($Z$3/1000)/100,1)</f>
        <v/>
      </c>
      <c r="J660" t="inlineStr"/>
      <c r="K660" t="inlineStr"/>
      <c r="L660" t="inlineStr"/>
      <c r="M660" t="inlineStr"/>
      <c r="N660" t="inlineStr"/>
      <c r="O660">
        <f>(1-Summary!$B$11)*S660+Summary!$B$11*U660</f>
        <v/>
      </c>
      <c r="P660">
        <f>IF(B700=0,0,O660/B700)</f>
        <v/>
      </c>
      <c r="Q660">
        <f>IFERROR(1/(IF(Inputs!$B$39="pvp",15,MAX(0.1,Skills!D3-IF(Skills!E3=TRUE,Inputs!$B$33,0)))*(1-IF(AND(ArtifactsInput!$M$27,Inputs!$B$4="Chapter Hunt"),CHOOSE(ArtifactsInput!$N$27+1,20,24,28,32,36,40),0)/100)),0)</f>
        <v/>
      </c>
      <c r="R660">
        <f>IF(AND(Inputs!$B$39&lt;&gt;"pvp",Inputs!$B$44&gt;0),IF(Inputs!$B$44&lt;=0,0,(INT(Inputs!$B$44/(IF(Inputs!$B$39="pvp",15,MAX(0.1,Skills!D3-IF(Skills!E3=TRUE,Inputs!$B$33,0)))*(1-IF(AND(ArtifactsInput!$M$27,Inputs!$B$4="Chapter Hunt"),CHOOSE(ArtifactsInput!$N$27+1,20,24,28,32,36,40),0)/100)))+1)),0)</f>
        <v/>
      </c>
      <c r="S660" t="n">
        <v>0</v>
      </c>
      <c r="T660">
        <f>INDEX(FactorTable!$B$2:$Y$301, MATCH(ROUND(MIN(300,MAX(1,T659)),0), FactorTable!$A$2:$A$301,0), 22)</f>
        <v/>
      </c>
      <c r="U660" t="n">
        <v>0</v>
      </c>
    </row>
    <row r="661">
      <c r="A661">
        <f>Skills!A4</f>
        <v/>
      </c>
      <c r="B661">
        <f>Skills!B4</f>
        <v/>
      </c>
      <c r="C661">
        <f>Inputs!$B$3&gt;=38</f>
        <v/>
      </c>
      <c r="D661">
        <f>IF(Skills!C4=1,60+Inputs!$B$26+Inputs!$B$30,IF(Skills!C4=2,90+Inputs!$B$27+Inputs!$B$30,IF(Skills!C4=3,120+Inputs!$B$28+Inputs!$B$30,MAX(0,(Inputs!$B$3-100)*3)+Inputs!$B$29+Inputs!$B$30)))</f>
        <v/>
      </c>
      <c r="E661">
        <f>INDEX(FactorTable!$B$2:$Y$301, MATCH(ROUND(MIN(300,MAX(1,D661)),0), FactorTable!$A$2:$A$301,0), Skills!L4+1)</f>
        <v/>
      </c>
      <c r="F661">
        <f>IF(Skills!M4=TRUE,(Skills!K4/10)*(E661/1000),Skills!K4/10)+Skills!N4</f>
        <v/>
      </c>
      <c r="G661">
        <f>Calc!G4</f>
        <v/>
      </c>
      <c r="H661">
        <f>Calc!H4</f>
        <v/>
      </c>
      <c r="I661">
        <f>IF(Skills!T4&lt;&gt;"",1+(Skills!T4/10)*($Z$3/1000)/100,1)</f>
        <v/>
      </c>
      <c r="J661" t="inlineStr"/>
      <c r="K661" t="inlineStr"/>
      <c r="L661" t="inlineStr"/>
      <c r="M661" t="inlineStr"/>
      <c r="N661" t="inlineStr"/>
      <c r="O661">
        <f>(1-Summary!$B$11)*S661+Summary!$B$11*U661</f>
        <v/>
      </c>
      <c r="P661">
        <f>IF(B700=0,0,O661/B700)</f>
        <v/>
      </c>
      <c r="Q661">
        <f>IFERROR(1/(IF(Inputs!$B$39="pvp",15,MAX(0.1,Skills!D4-IF(Skills!E4=TRUE,Inputs!$B$33,0)))*(1-IF(AND(ArtifactsInput!$M$27,Inputs!$B$4="Chapter Hunt"),CHOOSE(ArtifactsInput!$N$27+1,20,24,28,32,36,40),0)/100)),0)</f>
        <v/>
      </c>
      <c r="R661">
        <f>IF(AND(Inputs!$B$39&lt;&gt;"pvp",Inputs!$B$44&gt;0),IF(Inputs!$B$44&lt;=0,0,(INT(Inputs!$B$44/(IF(Inputs!$B$39="pvp",15,MAX(0.1,Skills!D4-IF(Skills!E4=TRUE,Inputs!$B$33,0)))*(1-IF(AND(ArtifactsInput!$M$27,Inputs!$B$4="Chapter Hunt"),CHOOSE(ArtifactsInput!$N$27+1,20,24,28,32,36,40),0)/100)))+1)),0)</f>
        <v/>
      </c>
      <c r="S661" t="n">
        <v>0</v>
      </c>
      <c r="T661">
        <f>290*T660/1000</f>
        <v/>
      </c>
      <c r="U661" t="n">
        <v>0</v>
      </c>
    </row>
    <row r="662">
      <c r="A662">
        <f>Skills!A5</f>
        <v/>
      </c>
      <c r="B662">
        <f>Skills!B5</f>
        <v/>
      </c>
      <c r="C662">
        <f>Inputs!$B$3&gt;=40</f>
        <v/>
      </c>
      <c r="D662">
        <f>IF(Skills!C5=1,60+Inputs!$B$26+Inputs!$B$30,IF(Skills!C5=2,90+Inputs!$B$27+Inputs!$B$30,IF(Skills!C5=3,120+Inputs!$B$28+Inputs!$B$30,MAX(0,(Inputs!$B$3-100)*3)+Inputs!$B$29+Inputs!$B$30)))</f>
        <v/>
      </c>
      <c r="E662">
        <f>INDEX(FactorTable!$B$2:$Y$301, MATCH(ROUND(MIN(300,MAX(1,D662)),0), FactorTable!$A$2:$A$301,0), Skills!L5+1)</f>
        <v/>
      </c>
      <c r="F662">
        <f>IF(Skills!M5=TRUE,(Skills!K5/10)*(E662/1000),Skills!K5/10)+Skills!N5</f>
        <v/>
      </c>
      <c r="G662">
        <f>Calc!G5</f>
        <v/>
      </c>
      <c r="H662">
        <f>Calc!H5</f>
        <v/>
      </c>
      <c r="I662">
        <f>IF(Skills!T5&lt;&gt;"",1+(Skills!T5/10)*($Z$3/1000)/100,1)</f>
        <v/>
      </c>
      <c r="J662" t="inlineStr"/>
      <c r="K662" t="inlineStr"/>
      <c r="L662" t="inlineStr"/>
      <c r="M662" t="inlineStr"/>
      <c r="N662" t="inlineStr"/>
      <c r="O662">
        <f>(1-Summary!$B$11)*S662+Summary!$B$11*U662</f>
        <v/>
      </c>
      <c r="P662">
        <f>IF(B700=0,0,O662/B700)</f>
        <v/>
      </c>
      <c r="Q662">
        <f>IFERROR(1/(IF(Inputs!$B$39="pvp",15,MAX(0.1,Skills!D5-IF(Skills!E5=TRUE,Inputs!$B$33,0)))*(1-IF(AND(ArtifactsInput!$M$27,Inputs!$B$4="Chapter Hunt"),CHOOSE(ArtifactsInput!$N$27+1,20,24,28,32,36,40),0)/100)),0)</f>
        <v/>
      </c>
      <c r="R662">
        <f>IF(AND(Inputs!$B$39&lt;&gt;"pvp",Inputs!$B$44&gt;0),IF(Inputs!$B$44&lt;=0,0,(INT(Inputs!$B$44/(IF(Inputs!$B$39="pvp",15,MAX(0.1,Skills!D5-IF(Skills!E5=TRUE,Inputs!$B$33,0)))*(1-IF(AND(ArtifactsInput!$M$27,Inputs!$B$4="Chapter Hunt"),CHOOSE(ArtifactsInput!$N$27+1,20,24,28,32,36,40),0)/100)))+1)),0)</f>
        <v/>
      </c>
      <c r="S662" t="n">
        <v>0</v>
      </c>
      <c r="U662" t="n">
        <v>0</v>
      </c>
    </row>
    <row r="663">
      <c r="A663">
        <f>Skills!A6</f>
        <v/>
      </c>
      <c r="B663">
        <f>Skills!B6</f>
        <v/>
      </c>
      <c r="C663">
        <f>Inputs!$B$3&gt;=103</f>
        <v/>
      </c>
      <c r="D663">
        <f>IF(Skills!C6=1,60+Inputs!$B$26+Inputs!$B$30,IF(Skills!C6=2,90+Inputs!$B$27+Inputs!$B$30,IF(Skills!C6=3,120+Inputs!$B$28+Inputs!$B$30,MAX(0,(Inputs!$B$3-100)*3)+Inputs!$B$29+Inputs!$B$30)))</f>
        <v/>
      </c>
      <c r="E663">
        <f>INDEX(FactorTable!$B$2:$Y$301, MATCH(ROUND(MIN(300,MAX(1,D663)),0), FactorTable!$A$2:$A$301,0), Skills!L6+1)</f>
        <v/>
      </c>
      <c r="F663">
        <f>IF(Skills!M6=TRUE,(Skills!K6/10)*(E663/1000),Skills!K6/10)+Skills!N6</f>
        <v/>
      </c>
      <c r="G663">
        <f>Calc!G6</f>
        <v/>
      </c>
      <c r="H663">
        <f>Calc!H6</f>
        <v/>
      </c>
      <c r="I663">
        <f>IF(Skills!T6&lt;&gt;"",1+(Skills!T6/10)*($Z$3/1000)/100,1)</f>
        <v/>
      </c>
      <c r="J663">
        <f>((Inputs!$B$6*(1+Inputs!$B$7/100))+(((Inputs!$B$13*(1+Inputs!$B$14/100))-(Inputs!$B$13*(1+Inputs!$B$14/100)))+0.25*(Inputs!$B$15-Inputs!$B$15))*(1+Inputs!$B$7/100))*(F663/100)</f>
        <v/>
      </c>
      <c r="K663">
        <f>J663*(1+(((Inputs!$B$13+IF(Inputs!$B$3&gt;=35,(10*INDEX(FactorTable!$B$2:$Y$301,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6="TRIUMPH_FEATHER",IF(C673=TRUE,F673,0),0)/100)*(1+IF(C684=TRUE,F684,0)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663)</f>
        <v/>
      </c>
      <c r="L663">
        <f>K663*(MIN(Inputs!$B$23+(F679-Calc!F22),(Inputs!$B$24+IF(ArtifactsInput!$M$15,CHOOSE(ArtifactsInput!$N$15+1,25,30,35,40,45,50)/100*(((1-(1-Inputs!$B$12/150)*(1-1/150))*150)-Inputs!$B$12),0)))/100+(Inputs!$B$24+IF(ArtifactsInput!$M$15,CHOOSE(ArtifactsInput!$N$15+1,25,30,35,40,45,50)/100*(((1-(1-Inputs!$B$12/150)*(1-1/150))*150)-Inputs!$B$12),0))/100)/2</f>
        <v/>
      </c>
      <c r="M663">
        <f>L663*(1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3">
        <f>L663*(1-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(1-Summary!$B$11)*S663+Summary!$B$11*U663</f>
        <v/>
      </c>
      <c r="P663">
        <f>IF(B700=0,0,O663/B700)</f>
        <v/>
      </c>
      <c r="Q663">
        <f>IFERROR(1/(IF(Inputs!$B$39="pvp",15,MAX(0.1,Skills!D6-IF(Skills!E6=TRUE,Inputs!$B$33,0)))*(1-IF(AND(ArtifactsInput!$M$27,Inputs!$B$4="Chapter Hunt"),CHOOSE(ArtifactsInput!$N$27+1,20,24,28,32,36,40),0)/100)),0)</f>
        <v/>
      </c>
      <c r="R663">
        <f>IF(AND(Inputs!$B$39&lt;&gt;"pvp",Inputs!$B$44&gt;0),IF(MAX(0,Inputs!$B$44-B697)&lt;=0,0,(INT(MAX(0,Inputs!$B$44-B697)/(IF(Inputs!$B$39="pvp",15,MAX(0.1,Skills!D6-IF(Skills!E6=TRUE,Inputs!$B$33,0)))*(1-IF(AND(ArtifactsInput!$M$27,Inputs!$B$4="Chapter Hunt"),CHOOSE(ArtifactsInput!$N$27+1,20,24,28,32,36,40),0)/100)))+1)),0)</f>
        <v/>
      </c>
      <c r="S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$21+Skills!O6+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663*(1-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$22+Skills!P6+B689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Skills!A7</f>
        <v/>
      </c>
      <c r="B664">
        <f>Skills!B7</f>
        <v/>
      </c>
      <c r="C664">
        <f>Inputs!$B$3&gt;=122</f>
        <v/>
      </c>
      <c r="D664">
        <f>IF(Skills!C7=1,60+Inputs!$B$26+Inputs!$B$30,IF(Skills!C7=2,90+Inputs!$B$27+Inputs!$B$30,IF(Skills!C7=3,120+Inputs!$B$28+Inputs!$B$30,MAX(0,(Inputs!$B$3-100)*3)+Inputs!$B$29+Inputs!$B$30)))</f>
        <v/>
      </c>
      <c r="E664">
        <f>INDEX(FactorTable!$B$2:$Y$301, MATCH(ROUND(MIN(300,MAX(1,D664)),0), FactorTable!$A$2:$A$301,0), Skills!L7+1)</f>
        <v/>
      </c>
      <c r="F664">
        <f>IF(Skills!M7=TRUE,(Skills!K7/10)*(E664/1000),Skills!K7/10)+Skills!N7</f>
        <v/>
      </c>
      <c r="G664">
        <f>Calc!G7</f>
        <v/>
      </c>
      <c r="H664">
        <f>Calc!H7</f>
        <v/>
      </c>
      <c r="I664">
        <f>IF(Skills!T7&lt;&gt;"",1+(Skills!T7/10)*($Z$3/1000)/100,1)</f>
        <v/>
      </c>
      <c r="J664">
        <f>((Inputs!$B$6*(1+Inputs!$B$7/100))+(((Inputs!$B$13*(1+Inputs!$B$14/100))-(Inputs!$B$13*(1+Inputs!$B$14/100)))+0.25*(Inputs!$B$15-Inputs!$B$15))*(1+Inputs!$B$7/100))*(F664/100)</f>
        <v/>
      </c>
      <c r="K664">
        <f>J664*(1+(((Inputs!$B$13+IF(Inputs!$B$3&gt;=35,(10*INDEX(FactorTable!$B$2:$Y$301,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7="TRIUMPH_FEATHER",IF(C673=TRUE,F673,0),0)/100)*(1+IF(C684=TRUE,F684,0)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664)</f>
        <v/>
      </c>
      <c r="L664">
        <f>K664*(MIN(Inputs!$B$23+(F679-Calc!F22),(Inputs!$B$24+IF(ArtifactsInput!$M$15,CHOOSE(ArtifactsInput!$N$15+1,25,30,35,40,45,50)/100*(((1-(1-Inputs!$B$12/150)*(1-1/150))*150)-Inputs!$B$12),0)))/100+(Inputs!$B$24+IF(ArtifactsInput!$M$15,CHOOSE(ArtifactsInput!$N$15+1,25,30,35,40,45,50)/100*(((1-(1-Inputs!$B$12/150)*(1-1/150))*150)-Inputs!$B$12),0))/100)/2</f>
        <v/>
      </c>
      <c r="M664">
        <f>L664*(1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4">
        <f>L664*(1-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(1-Summary!$B$11)*S664+Summary!$B$11*U664</f>
        <v/>
      </c>
      <c r="P664">
        <f>IF(B700=0,0,O664/B700)</f>
        <v/>
      </c>
      <c r="Q664">
        <f>IFERROR(1/(IF(Inputs!$B$39="pvp",15,MAX(0.1,Skills!D7-IF(Skills!E6=TRUE,Inputs!$B$33,0)))*(1-IF(AND(ArtifactsInput!$M$27,Inputs!$B$4="Chapter Hunt"),CHOOSE(ArtifactsInput!$N$27+1,20,24,28,32,36,40),0)/100)),0)</f>
        <v/>
      </c>
      <c r="R664">
        <f>IF(AND(Inputs!$B$39&lt;&gt;"pvp",Inputs!$B$44&gt;0),IF(MAX(0,Inputs!$B$44-B697)&lt;=0,0,(INT(MAX(0,Inputs!$B$44-B697)/(IF(Inputs!$B$39="pvp",15,MAX(0.1,Skills!D7-IF(Skills!E6=TRUE,Inputs!$B$33,0)))*(1-IF(AND(ArtifactsInput!$M$27,Inputs!$B$4="Chapter Hunt"),CHOOSE(ArtifactsInput!$N$27+1,20,24,28,32,36,40),0)/100)))+1)),0)</f>
        <v/>
      </c>
      <c r="S664">
        <f>IF(C664,H664*N664*IF(AND(Inputs!$B$39&lt;&gt;"pvp",Inputs!$B$44&gt;0),((Skills!F7*((R664-1)*IF(Skills!G7&gt;0,Skills!H7/Skills!G7,1)+IF(Skills!G7&gt;0,MIN(Skills!H7,MAX(0,MAX(0,Inputs!$B$44-B697)-((R664-1)*(IF(Inputs!$B$39="pvp",15,MAX(0.1,Skills!D7-IF(Skills!E6=TRUE,Inputs!$B$33,0)))*(1-IF(AND(ArtifactsInput!$M$27,Inputs!$B$4="Chapter Hunt"),CHOOSE(ArtifactsInput!$N$27+1,20,24,28,32,36,40),0)/100)))))/Skills!G7,1)))/Inputs!$B$44),G664*Q664)*IF(Inputs!$B$39="pvp",1,1+(Inputs!$B$21+Skills!O7+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664*(1-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t="n">
        <v>0</v>
      </c>
    </row>
    <row r="665">
      <c r="A665">
        <f>Skills!A8</f>
        <v/>
      </c>
      <c r="B665">
        <f>Skills!B8</f>
        <v/>
      </c>
      <c r="C665">
        <f>Inputs!$B$3&gt;=105</f>
        <v/>
      </c>
      <c r="D665">
        <f>IF(Skills!C8=1,60+Inputs!$B$26+Inputs!$B$30,IF(Skills!C8=2,90+Inputs!$B$27+Inputs!$B$30,IF(Skills!C8=3,120+Inputs!$B$28+Inputs!$B$30,MAX(0,(Inputs!$B$3-100)*3)+Inputs!$B$29+Inputs!$B$30)))</f>
        <v/>
      </c>
      <c r="E665">
        <f>INDEX(FactorTable!$B$2:$Y$301, MATCH(ROUND(MIN(300,MAX(1,D665)),0), FactorTable!$A$2:$A$301,0), Skills!L8+1)</f>
        <v/>
      </c>
      <c r="F665">
        <f>IF(Skills!M8=TRUE,(Skills!K8/10)*(E665/1000),Skills!K8/10)+Skills!N8</f>
        <v/>
      </c>
      <c r="G665">
        <f>Calc!G8</f>
        <v/>
      </c>
      <c r="H665">
        <f>Calc!H8</f>
        <v/>
      </c>
      <c r="I665">
        <f>IF(Skills!T8&lt;&gt;"",1+(Skills!T8/10)*($Z$3/1000)/100,1)</f>
        <v/>
      </c>
      <c r="J665">
        <f>((Inputs!$B$6*(1+Inputs!$B$7/100))+(((Inputs!$B$13*(1+Inputs!$B$14/100))-(Inputs!$B$13*(1+Inputs!$B$14/100)))+0.25*(Inputs!$B$15-Inputs!$B$15))*(1+Inputs!$B$7/100))*(F665/100)</f>
        <v/>
      </c>
      <c r="K665">
        <f>J665*(1+(((Inputs!$B$13+IF(Inputs!$B$3&gt;=35,(10*INDEX(FactorTable!$B$2:$Y$301,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8="TRIUMPH_FEATHER",IF(C673=TRUE,F673,0),0)/100)*(1+IF(C684=TRUE,F684,0)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665)</f>
        <v/>
      </c>
      <c r="L665">
        <f>K665*(MIN(Inputs!$B$23+(F679-Calc!F22),(Inputs!$B$24+IF(ArtifactsInput!$M$15,CHOOSE(ArtifactsInput!$N$15+1,25,30,35,40,45,50)/100*(((1-(1-Inputs!$B$12/150)*(1-1/150))*150)-Inputs!$B$12),0)))/100+(Inputs!$B$24+IF(ArtifactsInput!$M$15,CHOOSE(ArtifactsInput!$N$15+1,25,30,35,40,45,50)/100*(((1-(1-Inputs!$B$12/150)*(1-1/150))*150)-Inputs!$B$12),0))/100)/2</f>
        <v/>
      </c>
      <c r="M665">
        <f>L665*(1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5">
        <f>L665*(1-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(1-Summary!$B$11)*S665+Summary!$B$11*U665</f>
        <v/>
      </c>
      <c r="P665">
        <f>IF(B700=0,0,O665/B700)</f>
        <v/>
      </c>
      <c r="Q665">
        <f>IFERROR(1/(IF(Inputs!$B$39="pvp",15,MAX(0.1,Skills!D8-IF(Skills!E8=TRUE,Inputs!$B$33,0)))*(1-IF(AND(ArtifactsInput!$M$27,Inputs!$B$4="Chapter Hunt"),CHOOSE(ArtifactsInput!$N$27+1,20,24,28,32,36,40),0)/100)),0)</f>
        <v/>
      </c>
      <c r="R665">
        <f>IF(AND(Inputs!$B$39&lt;&gt;"pvp",Inputs!$B$44&gt;0),IF(MAX(0,Inputs!$B$44-B697)&lt;=0,0,(INT(MAX(0,Inputs!$B$44-B697)/(IF(Inputs!$B$39="pvp",15,MAX(0.1,Skills!D8-IF(Skills!E8=TRUE,Inputs!$B$33,0)))*(1-IF(AND(ArtifactsInput!$M$27,Inputs!$B$4="Chapter Hunt"),CHOOSE(ArtifactsInput!$N$27+1,20,24,28,32,36,40),0)/100)))+1)),0)</f>
        <v/>
      </c>
      <c r="S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$21+Skills!O8+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665*(1-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$22+Skills!P8+B689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Skills!A9</f>
        <v/>
      </c>
      <c r="B666">
        <f>Skills!B9</f>
        <v/>
      </c>
      <c r="C666">
        <f>Inputs!$B$3&gt;=115</f>
        <v/>
      </c>
      <c r="D666">
        <f>IF(Skills!C9=1,60+Inputs!$B$26+Inputs!$B$30,IF(Skills!C9=2,90+Inputs!$B$27+Inputs!$B$30,IF(Skills!C9=3,120+Inputs!$B$28+Inputs!$B$30,MAX(0,(Inputs!$B$3-100)*3)+Inputs!$B$29+Inputs!$B$30)))</f>
        <v/>
      </c>
      <c r="E666">
        <f>INDEX(FactorTable!$B$2:$Y$301, MATCH(ROUND(MIN(300,MAX(1,D666)),0), FactorTable!$A$2:$A$301,0), Skills!L9+1)</f>
        <v/>
      </c>
      <c r="F666">
        <f>IF(Skills!M9=TRUE,(Skills!K9/10)*(E666/1000),Skills!K9/10)+Skills!N9</f>
        <v/>
      </c>
      <c r="G666">
        <f>Calc!G9</f>
        <v/>
      </c>
      <c r="H666">
        <f>Calc!H9</f>
        <v/>
      </c>
      <c r="I666">
        <f>IF(Skills!T9&lt;&gt;"",1+(Skills!T9/10)*($Z$3/1000)/100,1)</f>
        <v/>
      </c>
      <c r="J666">
        <f>((Inputs!$B$6*(1+Inputs!$B$7/100))+(((Inputs!$B$13*(1+Inputs!$B$14/100))-(Inputs!$B$13*(1+Inputs!$B$14/100)))+0.25*(Inputs!$B$15-Inputs!$B$15))*(1+Inputs!$B$7/100))*(F666/100)</f>
        <v/>
      </c>
      <c r="K666">
        <f>J666*(1+(((Inputs!$B$13+IF(Inputs!$B$3&gt;=35,(10*INDEX(FactorTable!$B$2:$Y$301,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9="TRIUMPH_FEATHER",IF(C673=TRUE,F673,0),0)/100)*(1+IF(C684=TRUE,F684,0)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666)</f>
        <v/>
      </c>
      <c r="L666">
        <f>K666*(MIN(Inputs!$B$23+(F679-Calc!F22),(Inputs!$B$24+IF(ArtifactsInput!$M$15,CHOOSE(ArtifactsInput!$N$15+1,25,30,35,40,45,50)/100*(((1-(1-Inputs!$B$12/150)*(1-1/150))*150)-Inputs!$B$12),0)))/100+(Inputs!$B$24+IF(ArtifactsInput!$M$15,CHOOSE(ArtifactsInput!$N$15+1,25,30,35,40,45,50)/100*(((1-(1-Inputs!$B$12/150)*(1-1/150))*150)-Inputs!$B$12),0))/100)/2</f>
        <v/>
      </c>
      <c r="M666">
        <f>L666*(1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6">
        <f>L666*(1-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(1-Summary!$B$11)*S666+Summary!$B$11*U666</f>
        <v/>
      </c>
      <c r="P666">
        <f>IF(B700=0,0,O666/B700)</f>
        <v/>
      </c>
      <c r="Q666">
        <f>IFERROR(1/(IF(Inputs!$B$39="pvp",15,MAX(0.1,Skills!D9-IF(Skills!E9=TRUE,Inputs!$B$33,0)))*(1-IF(AND(ArtifactsInput!$M$27,Inputs!$B$4="Chapter Hunt"),CHOOSE(ArtifactsInput!$N$27+1,20,24,28,32,36,40),0)/100)),0)</f>
        <v/>
      </c>
      <c r="R666">
        <f>IF(AND(Inputs!$B$39&lt;&gt;"pvp",Inputs!$B$44&gt;0),IF(MAX(0,Inputs!$B$44-B697)&lt;=0,0,(INT(MAX(0,Inputs!$B$44-B697)/(IF(Inputs!$B$39="pvp",15,MAX(0.1,Skills!D9-IF(Skills!E9=TRUE,Inputs!$B$33,0)))*(1-IF(AND(ArtifactsInput!$M$27,Inputs!$B$4="Chapter Hunt"),CHOOSE(ArtifactsInput!$N$27+1,20,24,28,32,36,40),0)/100)))+1)),0)</f>
        <v/>
      </c>
      <c r="S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$21+Skills!O9+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666*(1-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$22+Skills!P9+B689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Skills!A10</f>
        <v/>
      </c>
      <c r="B667">
        <f>Skills!B10</f>
        <v/>
      </c>
      <c r="C667">
        <f>Inputs!$B$3&gt;=66</f>
        <v/>
      </c>
      <c r="D667">
        <f>IF(Skills!C10=1,60+Inputs!$B$26+Inputs!$B$30,IF(Skills!C10=2,90+Inputs!$B$27+Inputs!$B$30,IF(Skills!C10=3,120+Inputs!$B$28+Inputs!$B$30,MAX(0,(Inputs!$B$3-100)*3)+Inputs!$B$29+Inputs!$B$30)))</f>
        <v/>
      </c>
      <c r="E667">
        <f>INDEX(FactorTable!$B$2:$Y$301, MATCH(ROUND(MIN(300,MAX(1,D667)),0), FactorTable!$A$2:$A$301,0), Skills!L10+1)</f>
        <v/>
      </c>
      <c r="F667" t="n">
        <v>0</v>
      </c>
      <c r="G667">
        <f>Calc!G10</f>
        <v/>
      </c>
      <c r="H667">
        <f>Calc!H10</f>
        <v/>
      </c>
      <c r="I667">
        <f>IF(Skills!T10&lt;&gt;"",1+(Skills!T10/10)*($Z$3/1000)/100,1)</f>
        <v/>
      </c>
      <c r="J667" t="inlineStr"/>
      <c r="K667" t="inlineStr"/>
      <c r="L667" t="inlineStr"/>
      <c r="M667" t="inlineStr"/>
      <c r="N667" t="inlineStr"/>
      <c r="O667">
        <f>(1-Summary!$B$11)*S667+Summary!$B$11*U667</f>
        <v/>
      </c>
      <c r="P667">
        <f>IF(B700=0,0,O667/B700)</f>
        <v/>
      </c>
      <c r="Q667">
        <f>IFERROR(1/(IF(Inputs!$B$39="pvp",15,MAX(0.1,Skills!D10-IF(Skills!E10=TRUE,Inputs!$B$33,0)))*(1-IF(AND(ArtifactsInput!$M$27,Inputs!$B$4="Chapter Hunt"),CHOOSE(ArtifactsInput!$N$27+1,20,24,28,32,36,40),0)/100)),0)</f>
        <v/>
      </c>
      <c r="R667">
        <f>IF(AND(Inputs!$B$39&lt;&gt;"pvp",Inputs!$B$44&gt;0),IF(MAX(0,Inputs!$B$44-B697)&lt;=0,0,(INT(MAX(0,Inputs!$B$44-B697)/(IF(Inputs!$B$39="pvp",15,MAX(0.1,Skills!D10-IF(Skills!E10=TRUE,Inputs!$B$33,0)))*(1-IF(AND(ArtifactsInput!$M$27,Inputs!$B$4="Chapter Hunt"),CHOOSE(ArtifactsInput!$N$27+1,20,24,28,32,36,40),0)/100)))+1)),0)</f>
        <v/>
      </c>
      <c r="S667" t="n">
        <v>0</v>
      </c>
      <c r="U667" t="n">
        <v>0</v>
      </c>
    </row>
    <row r="668">
      <c r="A668">
        <f>Skills!A11</f>
        <v/>
      </c>
      <c r="B668">
        <f>Skills!B11</f>
        <v/>
      </c>
      <c r="C668">
        <f>Inputs!$B$3&gt;=69</f>
        <v/>
      </c>
      <c r="D668">
        <f>IF(Skills!C11=1,60+Inputs!$B$26+Inputs!$B$30,IF(Skills!C11=2,90+Inputs!$B$27+Inputs!$B$30,IF(Skills!C11=3,120+Inputs!$B$28+Inputs!$B$30,MAX(0,(Inputs!$B$3-100)*3)+Inputs!$B$29+Inputs!$B$30)))</f>
        <v/>
      </c>
      <c r="E668">
        <f>INDEX(FactorTable!$B$2:$Y$301, MATCH(ROUND(MIN(300,MAX(1,D668)),0), FactorTable!$A$2:$A$301,0), Skills!L11+1)</f>
        <v/>
      </c>
      <c r="F668">
        <f>IF(Skills!M11=TRUE,(Skills!K11/10)*(E668/1000),Skills!K11/10)+Skills!N11</f>
        <v/>
      </c>
      <c r="G668">
        <f>Calc!G11</f>
        <v/>
      </c>
      <c r="H668">
        <f>Calc!H11</f>
        <v/>
      </c>
      <c r="I668">
        <f>IF(Skills!T11&lt;&gt;"",1+(Skills!T11/10)*($Z$3/1000)/100,1)</f>
        <v/>
      </c>
      <c r="J668" t="inlineStr"/>
      <c r="K668" t="inlineStr"/>
      <c r="L668" t="inlineStr"/>
      <c r="M668" t="inlineStr"/>
      <c r="N668" t="inlineStr"/>
      <c r="O668">
        <f>(1-Summary!$B$11)*S668+Summary!$B$11*U668</f>
        <v/>
      </c>
      <c r="P668">
        <f>IF(B700=0,0,O668/B700)</f>
        <v/>
      </c>
      <c r="Q668">
        <f>IFERROR(1/(IF(Inputs!$B$39="pvp",15,MAX(0.1,Skills!D11-IF(Skills!E11=TRUE,Inputs!$B$33,0)))*(1-IF(AND(ArtifactsInput!$M$27,Inputs!$B$4="Chapter Hunt"),CHOOSE(ArtifactsInput!$N$27+1,20,24,28,32,36,40),0)/100)),0)</f>
        <v/>
      </c>
      <c r="R668">
        <f>IF(AND(Inputs!$B$39&lt;&gt;"pvp",Inputs!$B$44&gt;0),IF(Inputs!$B$44&lt;=0,0,(INT(Inputs!$B$44/(IF(Inputs!$B$39="pvp",15,MAX(0.1,Skills!D11-IF(Skills!E11=TRUE,Inputs!$B$33,0)))*(1-IF(AND(ArtifactsInput!$M$27,Inputs!$B$4="Chapter Hunt"),CHOOSE(ArtifactsInput!$N$27+1,20,24,28,32,36,40),0)/100)))+1)),0)</f>
        <v/>
      </c>
      <c r="S668" t="n">
        <v>0</v>
      </c>
      <c r="U668" t="n">
        <v>0</v>
      </c>
    </row>
    <row r="669">
      <c r="A669">
        <f>Skills!A12</f>
        <v/>
      </c>
      <c r="B669">
        <f>Skills!B12</f>
        <v/>
      </c>
      <c r="C669">
        <f>Inputs!$B$3&gt;=72</f>
        <v/>
      </c>
      <c r="D669">
        <f>IF(Skills!C12=1,60+Inputs!$B$26+Inputs!$B$30,IF(Skills!C12=2,90+Inputs!$B$27+Inputs!$B$30,IF(Skills!C12=3,120+Inputs!$B$28+Inputs!$B$30,MAX(0,(Inputs!$B$3-100)*3)+Inputs!$B$29+Inputs!$B$30)))</f>
        <v/>
      </c>
      <c r="E669">
        <f>INDEX(FactorTable!$B$2:$Y$301, MATCH(ROUND(MIN(300,MAX(1,D669)),0), FactorTable!$A$2:$A$301,0), Skills!L12+1)</f>
        <v/>
      </c>
      <c r="F669">
        <f>IF(Skills!M12=TRUE,(Skills!K12/10)*(E669/1000),Skills!K12/10)+Skills!N12</f>
        <v/>
      </c>
      <c r="G669">
        <f>Calc!G12</f>
        <v/>
      </c>
      <c r="H669">
        <f>Calc!H12</f>
        <v/>
      </c>
      <c r="I669">
        <f>IF(Skills!T12&lt;&gt;"",1+(Skills!T12/10)*($Z$3/1000)/100,1)</f>
        <v/>
      </c>
      <c r="J669" t="inlineStr"/>
      <c r="K669" t="inlineStr"/>
      <c r="L669" t="inlineStr"/>
      <c r="M669" t="inlineStr"/>
      <c r="N669" t="inlineStr"/>
      <c r="O669">
        <f>(1-Summary!$B$11)*S669+Summary!$B$11*U669</f>
        <v/>
      </c>
      <c r="P669">
        <f>IF(B700=0,0,O669/B700)</f>
        <v/>
      </c>
      <c r="Q669">
        <f>IFERROR(1/(IF(Inputs!$B$39="pvp",15,MAX(0.1,Skills!D12-IF(Skills!E12=TRUE,Inputs!$B$33,0)))*(1-IF(AND(ArtifactsInput!$M$27,Inputs!$B$4="Chapter Hunt"),CHOOSE(ArtifactsInput!$N$27+1,20,24,28,32,36,40),0)/100)),0)</f>
        <v/>
      </c>
      <c r="R669">
        <f>IF(AND(Inputs!$B$39&lt;&gt;"pvp",Inputs!$B$44&gt;0),IF(MAX(0,Inputs!$B$44-B697)&lt;=0,0,(INT(MAX(0,Inputs!$B$44-B697)/(IF(Inputs!$B$39="pvp",15,MAX(0.1,Skills!D12-IF(Skills!E12=TRUE,Inputs!$B$33,0)))*(1-IF(AND(ArtifactsInput!$M$27,Inputs!$B$4="Chapter Hunt"),CHOOSE(ArtifactsInput!$N$27+1,20,24,28,32,36,40),0)/100)))+1)),0)</f>
        <v/>
      </c>
      <c r="S669" t="n">
        <v>0</v>
      </c>
      <c r="U669" t="n">
        <v>0</v>
      </c>
    </row>
    <row r="670">
      <c r="A670">
        <f>Skills!A13</f>
        <v/>
      </c>
      <c r="B670">
        <f>Skills!B13</f>
        <v/>
      </c>
      <c r="C670">
        <f>Inputs!$B$3&gt;=60</f>
        <v/>
      </c>
      <c r="D670">
        <f>IF(Skills!C13=1,60+Inputs!$B$26+Inputs!$B$30,IF(Skills!C13=2,90+Inputs!$B$27+Inputs!$B$30,IF(Skills!C13=3,120+Inputs!$B$28+Inputs!$B$30,MAX(0,(Inputs!$B$3-100)*3)+Inputs!$B$29+Inputs!$B$30)))</f>
        <v/>
      </c>
      <c r="E670">
        <f>INDEX(FactorTable!$B$2:$Y$301, MATCH(ROUND(MIN(300,MAX(1,D670)),0), FactorTable!$A$2:$A$301,0), Skills!L13+1)</f>
        <v/>
      </c>
      <c r="F670">
        <f>IF(Skills!M13=TRUE,(Skills!K13/10)*(E670/1000),Skills!K13/10)+Skills!N13</f>
        <v/>
      </c>
      <c r="G670">
        <f>Calc!G13</f>
        <v/>
      </c>
      <c r="H670">
        <f>Calc!H13</f>
        <v/>
      </c>
      <c r="I670">
        <f>IF(Skills!T13&lt;&gt;"",1+(Skills!T13/10)*($Z$3/1000)/100,1)</f>
        <v/>
      </c>
      <c r="J670" t="inlineStr"/>
      <c r="K670" t="inlineStr"/>
      <c r="L670" t="inlineStr"/>
      <c r="M670" t="inlineStr"/>
      <c r="N670" t="inlineStr"/>
      <c r="O670">
        <f>(1-Summary!$B$11)*S670+Summary!$B$11*U670</f>
        <v/>
      </c>
      <c r="P670">
        <f>IF(B700=0,0,O670/B700)</f>
        <v/>
      </c>
      <c r="Q670">
        <f>IFERROR(1/(IF(Inputs!$B$39="pvp",15,MAX(0.1,Skills!D13-IF(Skills!E13=TRUE,Inputs!$B$33,0)))*(1-IF(AND(ArtifactsInput!$M$27,Inputs!$B$4="Chapter Hunt"),CHOOSE(ArtifactsInput!$N$27+1,20,24,28,32,36,40),0)/100)),0)</f>
        <v/>
      </c>
      <c r="R670">
        <f>IF(AND(Inputs!$B$39&lt;&gt;"pvp",Inputs!$B$44&gt;0),IF(MAX(0,Inputs!$B$44-B697)&lt;=0,0,(INT(MAX(0,Inputs!$B$44-B697)/(IF(Inputs!$B$39="pvp",15,MAX(0.1,Skills!D13-IF(Skills!E13=TRUE,Inputs!$B$33,0)))*(1-IF(AND(ArtifactsInput!$M$27,Inputs!$B$4="Chapter Hunt"),CHOOSE(ArtifactsInput!$N$27+1,20,24,28,32,36,40),0)/100)))+1)),0)</f>
        <v/>
      </c>
      <c r="S670" t="n">
        <v>0</v>
      </c>
      <c r="U670" t="n">
        <v>0</v>
      </c>
    </row>
    <row r="671">
      <c r="A671">
        <f>Skills!A14</f>
        <v/>
      </c>
      <c r="B671">
        <f>Skills!B14</f>
        <v/>
      </c>
      <c r="C671">
        <f>Inputs!$B$3&gt;=107</f>
        <v/>
      </c>
      <c r="D671">
        <f>IF(Skills!C14=1,60+Inputs!$B$26+Inputs!$B$30,IF(Skills!C14=2,90+Inputs!$B$27+Inputs!$B$30,IF(Skills!C14=3,120+Inputs!$B$28+Inputs!$B$30,MAX(0,(Inputs!$B$3-100)*3)+Inputs!$B$29+Inputs!$B$30)))</f>
        <v/>
      </c>
      <c r="E671">
        <f>INDEX(FactorTable!$B$2:$Y$301, MATCH(ROUND(MIN(300,MAX(1,D671)),0), FactorTable!$A$2:$A$301,0), Skills!L14+1)</f>
        <v/>
      </c>
      <c r="F671">
        <f>IF(Skills!M14=TRUE,(Skills!K14/10)*(E671/1000),Skills!K14/10)+Skills!N14</f>
        <v/>
      </c>
      <c r="G671">
        <f>Calc!G14</f>
        <v/>
      </c>
      <c r="H671">
        <f>Calc!H14</f>
        <v/>
      </c>
      <c r="I671">
        <f>IF(Skills!T14&lt;&gt;"",1+(Skills!T14/10)*($Z$3/1000)/100,1)</f>
        <v/>
      </c>
      <c r="J671" t="inlineStr"/>
      <c r="K671" t="inlineStr"/>
      <c r="L671" t="inlineStr"/>
      <c r="M671" t="inlineStr"/>
      <c r="N671" t="inlineStr"/>
      <c r="O671">
        <f>(1-Summary!$B$11)*S671+Summary!$B$11*U671</f>
        <v/>
      </c>
      <c r="P671">
        <f>IF(B700=0,0,O671/B700)</f>
        <v/>
      </c>
      <c r="Q671">
        <f>IFERROR(1/(IF(Inputs!$B$39="pvp",15,MAX(0.1,Skills!D14-IF(Skills!E14=TRUE,Inputs!$B$33,0)))*(1-IF(AND(ArtifactsInput!$M$27,Inputs!$B$4="Chapter Hunt"),CHOOSE(ArtifactsInput!$N$27+1,20,24,28,32,36,40),0)/100)),0)</f>
        <v/>
      </c>
      <c r="R671">
        <f>IF(AND(Inputs!$B$39&lt;&gt;"pvp",Inputs!$B$44&gt;0),IF(Inputs!$B$44&lt;=0,0,(INT(Inputs!$B$44/(IF(Inputs!$B$39="pvp",15,MAX(0.1,Skills!D14-IF(Skills!E14=TRUE,Inputs!$B$33,0)))*(1-IF(AND(ArtifactsInput!$M$27,Inputs!$B$4="Chapter Hunt"),CHOOSE(ArtifactsInput!$N$27+1,20,24,28,32,36,40),0)/100)))+1)),0)</f>
        <v/>
      </c>
      <c r="S671" t="n">
        <v>0</v>
      </c>
      <c r="U671" t="n">
        <v>0</v>
      </c>
    </row>
    <row r="672">
      <c r="A672">
        <f>Skills!A15</f>
        <v/>
      </c>
      <c r="B672">
        <f>Skills!B15</f>
        <v/>
      </c>
      <c r="C672">
        <f>Inputs!$B$3&gt;=63</f>
        <v/>
      </c>
      <c r="D672">
        <f>IF(Skills!C15=1,60+Inputs!$B$26+Inputs!$B$30,IF(Skills!C15=2,90+Inputs!$B$27+Inputs!$B$30,IF(Skills!C15=3,120+Inputs!$B$28+Inputs!$B$30,MAX(0,(Inputs!$B$3-100)*3)+Inputs!$B$29+Inputs!$B$30)))</f>
        <v/>
      </c>
      <c r="E672">
        <f>INDEX(FactorTable!$B$2:$Y$301, MATCH(ROUND(MIN(300,MAX(1,D672)),0), FactorTable!$A$2:$A$301,0), Skills!L15+1)</f>
        <v/>
      </c>
      <c r="F672">
        <f>IF(Skills!M15=TRUE,(Skills!K15/10)*(E672/1000),Skills!K15/10)+Skills!N15</f>
        <v/>
      </c>
      <c r="G672">
        <f>Calc!G15</f>
        <v/>
      </c>
      <c r="H672">
        <f>Calc!H15</f>
        <v/>
      </c>
      <c r="I672">
        <f>IF(Skills!T15&lt;&gt;"",1+(Skills!T15/10)*($Z$3/1000)/100,1)</f>
        <v/>
      </c>
      <c r="J672">
        <f>((Inputs!$B$6*(1+Inputs!$B$7/100))+(((Inputs!$B$13*(1+Inputs!$B$14/100))-(Inputs!$B$13*(1+Inputs!$B$14/100)))+0.25*(Inputs!$B$15-Inputs!$B$15))*(1+Inputs!$B$7/100))*(F672/100)</f>
        <v/>
      </c>
      <c r="K672">
        <f>J672*(1+(((Inputs!$B$13+IF(Inputs!$B$3&gt;=35,(10*INDEX(FactorTable!$B$2:$Y$301,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15="TRIUMPH_FEATHER",IF(C673=TRUE,F673,0),0)/100)*(1+IF(C684=TRUE,F684,0)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672)</f>
        <v/>
      </c>
      <c r="L672">
        <f>K672*(MIN(Inputs!$B$23+(F679-Calc!F22),(Inputs!$B$24+IF(ArtifactsInput!$M$15,CHOOSE(ArtifactsInput!$N$15+1,25,30,35,40,45,50)/100*(((1-(1-Inputs!$B$12/150)*(1-1/150))*150)-Inputs!$B$12),0)))/100+(Inputs!$B$24+IF(ArtifactsInput!$M$15,CHOOSE(ArtifactsInput!$N$15+1,25,30,35,40,45,50)/100*(((1-(1-Inputs!$B$12/150)*(1-1/150))*150)-Inputs!$B$12),0))/100)/2</f>
        <v/>
      </c>
      <c r="M672">
        <f>L672*(1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72">
        <f>L672*(1-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(1-Summary!$B$11)*S672+Summary!$B$11*U672</f>
        <v/>
      </c>
      <c r="P672">
        <f>IF(B700=0,0,O672/B700)</f>
        <v/>
      </c>
      <c r="Q672">
        <f>IFERROR(1/(IF(Inputs!$B$39="pvp",15,MAX(0.1,Skills!D15-IF(Skills!E15=TRUE,Inputs!$B$33,0)))*(1-IF(AND(ArtifactsInput!$M$27,Inputs!$B$4="Chapter Hunt"),CHOOSE(ArtifactsInput!$N$27+1,20,24,28,32,36,40),0)/100)),0)</f>
        <v/>
      </c>
      <c r="R672" t="n">
        <v>0</v>
      </c>
      <c r="S672">
        <f>IF(C672,(Skills!F15*N672*((IF(Inputs!$B$3&gt;=78,25,15)/100*B693*10)/(1+IF(Inputs!$B$3&gt;=78,25,15)/100*B693*10))*(Skills!I15/100*B693)/(1+Skills!G15*Skills!I15/100*B693))*IF(Inputs!$B$39="pvp",1,1+(Inputs!$B$21+Skills!O15+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672*(1-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IF(C672,(Skills!F15*N672*((IF(Inputs!$B$3&gt;=78,25,15)/100*B693*10)/(1+IF(Inputs!$B$3&gt;=78,25,15)/100*B693*10))*(Skills!I15/100*B693)/(1+Skills!G15*Skills!I15/100*B693))*IF(Inputs!$B$39="pvp",1,(1+(Inputs!$B$22+Skills!P15+B689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Skills!A16</f>
        <v/>
      </c>
      <c r="B673">
        <f>Skills!B16</f>
        <v/>
      </c>
      <c r="C673">
        <f>Inputs!$B$3&gt;=100</f>
        <v/>
      </c>
      <c r="D673">
        <f>IF(Skills!C16=1,60+Inputs!$B$26+Inputs!$B$30,IF(Skills!C16=2,90+Inputs!$B$27+Inputs!$B$30,IF(Skills!C16=3,120+Inputs!$B$28+Inputs!$B$30,MAX(0,(Inputs!$B$3-100)*3)+Inputs!$B$29+Inputs!$B$30)))</f>
        <v/>
      </c>
      <c r="E673">
        <f>INDEX(FactorTable!$B$2:$Y$301, MATCH(ROUND(MIN(300,MAX(1,D673)),0), FactorTable!$A$2:$A$301,0), Skills!L16+1)</f>
        <v/>
      </c>
      <c r="F673">
        <f>IF(Skills!M16=TRUE,(Skills!K16/10)*(E673/1000),Skills!K16/10)+Skills!N16</f>
        <v/>
      </c>
      <c r="G673">
        <f>Calc!G16</f>
        <v/>
      </c>
      <c r="H673">
        <f>Calc!H16</f>
        <v/>
      </c>
      <c r="I673">
        <f>IF(Skills!T16&lt;&gt;"",1+(Skills!T16/10)*($Z$3/1000)/100,1)</f>
        <v/>
      </c>
      <c r="J673" t="inlineStr"/>
      <c r="K673" t="inlineStr"/>
      <c r="L673" t="inlineStr"/>
      <c r="M673" t="inlineStr"/>
      <c r="N673" t="inlineStr"/>
      <c r="O673">
        <f>(1-Summary!$B$11)*S673+Summary!$B$11*U673</f>
        <v/>
      </c>
      <c r="P673">
        <f>IF(B700=0,0,O673/B700)</f>
        <v/>
      </c>
      <c r="Q673">
        <f>IFERROR(1/(IF(Inputs!$B$39="pvp",15,MAX(0.1,Skills!D16-IF(Skills!E16=TRUE,Inputs!$B$33,0)))*(1-IF(AND(ArtifactsInput!$M$27,Inputs!$B$4="Chapter Hunt"),CHOOSE(ArtifactsInput!$N$27+1,20,24,28,32,36,40),0)/100)),0)</f>
        <v/>
      </c>
      <c r="R673" t="n">
        <v>0</v>
      </c>
      <c r="S673" t="n">
        <v>0</v>
      </c>
      <c r="U673" t="n">
        <v>0</v>
      </c>
    </row>
    <row r="674">
      <c r="A674">
        <f>Skills!A17</f>
        <v/>
      </c>
      <c r="B674">
        <f>Skills!B17</f>
        <v/>
      </c>
      <c r="C674">
        <f>Inputs!$B$3&gt;=49</f>
        <v/>
      </c>
      <c r="D674">
        <f>IF(Skills!C17=1,60+Inputs!$B$26+Inputs!$B$30,IF(Skills!C17=2,90+Inputs!$B$27+Inputs!$B$30,IF(Skills!C17=3,120+Inputs!$B$28+Inputs!$B$30,MAX(0,(Inputs!$B$3-100)*3)+Inputs!$B$29+Inputs!$B$30)))</f>
        <v/>
      </c>
      <c r="E674">
        <f>INDEX(FactorTable!$B$2:$Y$301, MATCH(ROUND(MIN(300,MAX(1,D674)),0), FactorTable!$A$2:$A$301,0), Skills!L17+1)</f>
        <v/>
      </c>
      <c r="F674">
        <f>IF(Skills!M17=TRUE,(Skills!K17/10)*(E674/1000),Skills!K17/10)+Skills!N17</f>
        <v/>
      </c>
      <c r="G674">
        <f>Calc!G17</f>
        <v/>
      </c>
      <c r="H674">
        <f>Calc!H17</f>
        <v/>
      </c>
      <c r="I674">
        <f>IF(Skills!T17&lt;&gt;"",1+(Skills!T17/10)*($Z$3/1000)/100,1)</f>
        <v/>
      </c>
      <c r="J674" t="inlineStr"/>
      <c r="K674" t="inlineStr"/>
      <c r="L674" t="inlineStr"/>
      <c r="M674" t="inlineStr"/>
      <c r="N674" t="inlineStr"/>
      <c r="O674">
        <f>(1-Summary!$B$11)*S674+Summary!$B$11*U674</f>
        <v/>
      </c>
      <c r="P674">
        <f>IF(B700=0,0,O674/B700)</f>
        <v/>
      </c>
      <c r="Q674">
        <f>IFERROR(1/(IF(Inputs!$B$39="pvp",15,MAX(0.1,Skills!D17-IF(Skills!E17=TRUE,Inputs!$B$33,0)))*(1-IF(AND(ArtifactsInput!$M$27,Inputs!$B$4="Chapter Hunt"),CHOOSE(ArtifactsInput!$N$27+1,20,24,28,32,36,40),0)/100)),0)</f>
        <v/>
      </c>
      <c r="R674" t="n">
        <v>0</v>
      </c>
      <c r="S674" t="n">
        <v>0</v>
      </c>
      <c r="U674" t="n">
        <v>0</v>
      </c>
    </row>
    <row r="675">
      <c r="A675">
        <f>Skills!A18</f>
        <v/>
      </c>
      <c r="B675">
        <f>Skills!B18</f>
        <v/>
      </c>
      <c r="C675">
        <f>Inputs!$B$3&gt;=75</f>
        <v/>
      </c>
      <c r="D675">
        <f>IF(Skills!C18=1,60+Inputs!$B$26+Inputs!$B$30,IF(Skills!C18=2,90+Inputs!$B$27+Inputs!$B$30,IF(Skills!C18=3,120+Inputs!$B$28+Inputs!$B$30,MAX(0,(Inputs!$B$3-100)*3)+Inputs!$B$29+Inputs!$B$30)))</f>
        <v/>
      </c>
      <c r="E675">
        <f>INDEX(FactorTable!$B$2:$Y$301, MATCH(ROUND(MIN(300,MAX(1,D675)),0), FactorTable!$A$2:$A$301,0), Skills!L18+1)</f>
        <v/>
      </c>
      <c r="F675">
        <f>IF(Skills!M18=TRUE,(Skills!K18/10)*(E675/1000),Skills!K18/10)+Skills!N18</f>
        <v/>
      </c>
      <c r="G675">
        <f>Calc!G18</f>
        <v/>
      </c>
      <c r="H675">
        <f>Calc!H18</f>
        <v/>
      </c>
      <c r="I675">
        <f>IF(Skills!T18&lt;&gt;"",1+(Skills!T18/10)*($Z$3/1000)/100,1)</f>
        <v/>
      </c>
      <c r="J675" t="inlineStr"/>
      <c r="K675" t="inlineStr"/>
      <c r="L675" t="inlineStr"/>
      <c r="M675" t="inlineStr"/>
      <c r="N675" t="inlineStr"/>
      <c r="O675">
        <f>(1-Summary!$B$11)*S675+Summary!$B$11*U675</f>
        <v/>
      </c>
      <c r="P675">
        <f>IF(B700=0,0,O675/B700)</f>
        <v/>
      </c>
      <c r="Q675">
        <f>IFERROR(1/(IF(Inputs!$B$39="pvp",15,MAX(0.1,Skills!D18-IF(Skills!E18=TRUE,Inputs!$B$33,0)))*(1-IF(AND(ArtifactsInput!$M$27,Inputs!$B$4="Chapter Hunt"),CHOOSE(ArtifactsInput!$N$27+1,20,24,28,32,36,40),0)/100)),0)</f>
        <v/>
      </c>
      <c r="R675" t="n">
        <v>0</v>
      </c>
      <c r="S675" t="n">
        <v>0</v>
      </c>
      <c r="U675" t="n">
        <v>0</v>
      </c>
    </row>
    <row r="676">
      <c r="A676">
        <f>Skills!A19</f>
        <v/>
      </c>
      <c r="B676">
        <f>Skills!B19</f>
        <v/>
      </c>
      <c r="C676">
        <f>Inputs!$B$3&gt;=110</f>
        <v/>
      </c>
      <c r="D676">
        <f>IF(Skills!C19=1,60+Inputs!$B$26+Inputs!$B$30,IF(Skills!C19=2,90+Inputs!$B$27+Inputs!$B$30,IF(Skills!C19=3,120+Inputs!$B$28+Inputs!$B$30,MAX(0,(Inputs!$B$3-100)*3)+Inputs!$B$29+Inputs!$B$30)))</f>
        <v/>
      </c>
      <c r="E676">
        <f>INDEX(FactorTable!$B$2:$Y$301, MATCH(ROUND(MIN(300,MAX(1,D676)),0), FactorTable!$A$2:$A$301,0), Skills!L19+1)</f>
        <v/>
      </c>
      <c r="F676">
        <f>(Skills!K19/10)*(E676/1000)*64/45+Skills!N19</f>
        <v/>
      </c>
      <c r="G676">
        <f>Calc!G19</f>
        <v/>
      </c>
      <c r="H676">
        <f>Calc!H19</f>
        <v/>
      </c>
      <c r="I676">
        <f>IF(Skills!T19&lt;&gt;"",1+(Skills!T19/10)*($Z$3/1000)/100,1)</f>
        <v/>
      </c>
      <c r="J676" t="inlineStr"/>
      <c r="K676" t="inlineStr"/>
      <c r="L676" t="inlineStr"/>
      <c r="M676" t="inlineStr"/>
      <c r="N676" t="inlineStr"/>
      <c r="O676">
        <f>(1-Summary!$B$11)*S676+Summary!$B$11*U676</f>
        <v/>
      </c>
      <c r="P676">
        <f>IF(B700=0,0,O676/B700)</f>
        <v/>
      </c>
      <c r="Q676">
        <f>IFERROR(1/(IF(Inputs!$B$39="pvp",15,MAX(0.1,Skills!D19-IF(Skills!E19=TRUE,Inputs!$B$33,0)))*(1-IF(AND(ArtifactsInput!$M$27,Inputs!$B$4="Chapter Hunt"),CHOOSE(ArtifactsInput!$N$27+1,20,24,28,32,36,40),0)/100)),0)</f>
        <v/>
      </c>
      <c r="R676">
        <f>IF(AND(Inputs!$B$39&lt;&gt;"pvp",Inputs!$B$44&gt;0),IF(Inputs!$B$44&lt;=0,0,(INT(Inputs!$B$44/(IF(Inputs!$B$39="pvp",15,MAX(0.1,Skills!D19-IF(Skills!E19=TRUE,Inputs!$B$33,0)))*(1-IF(AND(ArtifactsInput!$M$27,Inputs!$B$4="Chapter Hunt"),CHOOSE(ArtifactsInput!$N$27+1,20,24,28,32,36,40),0)/100)))+1)),0)</f>
        <v/>
      </c>
      <c r="S676" t="n">
        <v>0</v>
      </c>
      <c r="U676" t="n">
        <v>0</v>
      </c>
    </row>
    <row r="677">
      <c r="A677">
        <f>Skills!A20</f>
        <v/>
      </c>
      <c r="B677">
        <f>Skills!B20</f>
        <v/>
      </c>
      <c r="C677">
        <f>Inputs!$B$3&gt;=125</f>
        <v/>
      </c>
      <c r="D677">
        <f>IF(Skills!C20=1,60+Inputs!$B$26+Inputs!$B$30,IF(Skills!C20=2,90+Inputs!$B$27+Inputs!$B$30,IF(Skills!C20=3,120+Inputs!$B$28+Inputs!$B$30,MAX(0,(Inputs!$B$3-100)*3)+Inputs!$B$29+Inputs!$B$30)))</f>
        <v/>
      </c>
      <c r="E677">
        <f>INDEX(FactorTable!$B$2:$Y$301, MATCH(ROUND(MIN(300,MAX(1,D677)),0), FactorTable!$A$2:$A$301,0), Skills!L20+1)</f>
        <v/>
      </c>
      <c r="F677">
        <f>IF(Skills!M20=TRUE,(Skills!K20/10)*(E677/1000),Skills!K20/10)+Skills!N20</f>
        <v/>
      </c>
      <c r="G677">
        <f>Calc!G20</f>
        <v/>
      </c>
      <c r="H677">
        <f>Calc!H20</f>
        <v/>
      </c>
      <c r="I677">
        <f>IF(Skills!T20&lt;&gt;"",1+(Skills!T20/10)*($Z$3/1000)/100,1)</f>
        <v/>
      </c>
      <c r="J677" t="inlineStr"/>
      <c r="K677" t="inlineStr"/>
      <c r="L677" t="inlineStr"/>
      <c r="M677" t="inlineStr"/>
      <c r="N677" t="inlineStr"/>
      <c r="O677">
        <f>(1-Summary!$B$11)*S677+Summary!$B$11*U677</f>
        <v/>
      </c>
      <c r="P677">
        <f>IF(B700=0,0,O677/B700)</f>
        <v/>
      </c>
      <c r="Q677">
        <f>IFERROR(1/(IF(Inputs!$B$39="pvp",15,MAX(0.1,Skills!D20-IF(Skills!E20=TRUE,Inputs!$B$33,0)))*(1-IF(AND(ArtifactsInput!$M$27,Inputs!$B$4="Chapter Hunt"),CHOOSE(ArtifactsInput!$N$27+1,20,24,28,32,36,40),0)/100)),0)</f>
        <v/>
      </c>
      <c r="R677" t="n">
        <v>0</v>
      </c>
      <c r="S677" t="n">
        <v>0</v>
      </c>
      <c r="U677" t="n">
        <v>0</v>
      </c>
    </row>
    <row r="678">
      <c r="A678">
        <f>Skills!A21</f>
        <v/>
      </c>
      <c r="B678">
        <f>Skills!B21</f>
        <v/>
      </c>
      <c r="C678">
        <f>Inputs!$B$3&gt;=33</f>
        <v/>
      </c>
      <c r="D678">
        <f>IF(Skills!C21=1,60+Inputs!$B$26+Inputs!$B$30,IF(Skills!C21=2,90+Inputs!$B$27+Inputs!$B$30,IF(Skills!C21=3,120+Inputs!$B$28+Inputs!$B$30,MAX(0,(Inputs!$B$3-100)*3)+Inputs!$B$29+Inputs!$B$30)))</f>
        <v/>
      </c>
      <c r="E678">
        <f>INDEX(FactorTable!$B$2:$Y$301, MATCH(ROUND(MIN(300,MAX(1,D678)),0), FactorTable!$A$2:$A$301,0), Skills!L21+1)</f>
        <v/>
      </c>
      <c r="F678">
        <f>IF(Skills!M21=TRUE,(Skills!K21/10)*(E678/1000),Skills!K21/10)+Skills!N21</f>
        <v/>
      </c>
      <c r="G678">
        <f>Calc!G21</f>
        <v/>
      </c>
      <c r="H678">
        <f>Calc!H21</f>
        <v/>
      </c>
      <c r="I678">
        <f>IF(Skills!T21&lt;&gt;"",1+(Skills!T21/10)*($Z$3/1000)/100,1)</f>
        <v/>
      </c>
      <c r="J678" t="inlineStr"/>
      <c r="K678" t="inlineStr"/>
      <c r="L678" t="inlineStr"/>
      <c r="M678" t="inlineStr"/>
      <c r="N678" t="inlineStr"/>
      <c r="O678">
        <f>(1-Summary!$B$11)*S678+Summary!$B$11*U678</f>
        <v/>
      </c>
      <c r="P678">
        <f>IF(B700=0,0,O678/B700)</f>
        <v/>
      </c>
      <c r="Q678">
        <f>IFERROR(1/(IF(Inputs!$B$39="pvp",15,MAX(0.1,Skills!D21-IF(Skills!E21=TRUE,Inputs!$B$33,0)))*(1-IF(AND(ArtifactsInput!$M$27,Inputs!$B$4="Chapter Hunt"),CHOOSE(ArtifactsInput!$N$27+1,20,24,28,32,36,40),0)/100)),0)</f>
        <v/>
      </c>
      <c r="R678" t="n">
        <v>0</v>
      </c>
      <c r="S678" t="n">
        <v>0</v>
      </c>
      <c r="U678" t="n">
        <v>0</v>
      </c>
    </row>
    <row r="679">
      <c r="A679">
        <f>Skills!A22</f>
        <v/>
      </c>
      <c r="B679">
        <f>Skills!B22</f>
        <v/>
      </c>
      <c r="C679">
        <f>Inputs!$B$3&gt;=43</f>
        <v/>
      </c>
      <c r="D679">
        <f>IF(Skills!C22=1,60+Inputs!$B$26+Inputs!$B$30,IF(Skills!C22=2,90+Inputs!$B$27+Inputs!$B$30,IF(Skills!C22=3,120+Inputs!$B$28+Inputs!$B$30,MAX(0,(Inputs!$B$3-100)*3)+Inputs!$B$29+Inputs!$B$30)))</f>
        <v/>
      </c>
      <c r="E679">
        <f>INDEX(FactorTable!$B$2:$Y$301, MATCH(ROUND(MIN(300,MAX(1,D679)),0), FactorTable!$A$2:$A$301,0), Skills!L22+1)</f>
        <v/>
      </c>
      <c r="F679">
        <f>IF(Skills!M22=TRUE,(Skills!K22/10)*(E679/1000),Skills!K22/10)+Skills!N22</f>
        <v/>
      </c>
      <c r="G679">
        <f>Calc!G22</f>
        <v/>
      </c>
      <c r="H679">
        <f>Calc!H22</f>
        <v/>
      </c>
      <c r="I679">
        <f>IF(Skills!T22&lt;&gt;"",1+(Skills!T22/10)*($Z$3/1000)/100,1)</f>
        <v/>
      </c>
      <c r="J679" t="inlineStr"/>
      <c r="K679" t="inlineStr"/>
      <c r="L679" t="inlineStr"/>
      <c r="M679" t="inlineStr"/>
      <c r="N679" t="inlineStr"/>
      <c r="O679">
        <f>(1-Summary!$B$11)*S679+Summary!$B$11*U679</f>
        <v/>
      </c>
      <c r="P679">
        <f>IF(B700=0,0,O679/B700)</f>
        <v/>
      </c>
      <c r="Q679">
        <f>IFERROR(1/(IF(Inputs!$B$39="pvp",15,MAX(0.1,Skills!D22-IF(Skills!E22=TRUE,Inputs!$B$33,0)))*(1-IF(AND(ArtifactsInput!$M$27,Inputs!$B$4="Chapter Hunt"),CHOOSE(ArtifactsInput!$N$27+1,20,24,28,32,36,40),0)/100)),0)</f>
        <v/>
      </c>
      <c r="R679" t="n">
        <v>0</v>
      </c>
      <c r="S679" t="n">
        <v>0</v>
      </c>
      <c r="U679" t="n">
        <v>0</v>
      </c>
    </row>
    <row r="680">
      <c r="A680">
        <f>Skills!A23</f>
        <v/>
      </c>
      <c r="B680">
        <f>Skills!B23</f>
        <v/>
      </c>
      <c r="C680">
        <f>Inputs!$B$3&gt;=50</f>
        <v/>
      </c>
      <c r="D680">
        <f>IF(Skills!C23=1,60+Inputs!$B$26+Inputs!$B$30,IF(Skills!C23=2,90+Inputs!$B$27+Inputs!$B$30,IF(Skills!C23=3,120+Inputs!$B$28+Inputs!$B$30,MAX(0,(Inputs!$B$3-100)*3)+Inputs!$B$29+Inputs!$B$30)))</f>
        <v/>
      </c>
      <c r="E680">
        <f>INDEX(FactorTable!$B$2:$Y$301, MATCH(ROUND(MIN(300,MAX(1,D680)),0), FactorTable!$A$2:$A$301,0), Skills!L23+1)</f>
        <v/>
      </c>
      <c r="F680">
        <f>IF(Skills!M23=TRUE,(Skills!K23/10)*(E680/1000),Skills!K23/10)+Skills!N23</f>
        <v/>
      </c>
      <c r="G680">
        <f>Calc!G23</f>
        <v/>
      </c>
      <c r="H680">
        <f>Calc!H23</f>
        <v/>
      </c>
      <c r="I680">
        <f>IF(Skills!T23&lt;&gt;"",1+(Skills!T23/10)*($Z$3/1000)/100,1)</f>
        <v/>
      </c>
      <c r="J680" t="inlineStr"/>
      <c r="K680" t="inlineStr"/>
      <c r="L680" t="inlineStr"/>
      <c r="M680" t="inlineStr"/>
      <c r="N680" t="inlineStr"/>
      <c r="O680">
        <f>(1-Summary!$B$11)*S680+Summary!$B$11*U680</f>
        <v/>
      </c>
      <c r="P680">
        <f>IF(B700=0,0,O680/B700)</f>
        <v/>
      </c>
      <c r="Q680">
        <f>IFERROR(1/(IF(Inputs!$B$39="pvp",15,MAX(0.1,Skills!D23-IF(Skills!E23=TRUE,Inputs!$B$33,0)))*(1-IF(AND(ArtifactsInput!$M$27,Inputs!$B$4="Chapter Hunt"),CHOOSE(ArtifactsInput!$N$27+1,20,24,28,32,36,40),0)/100)),0)</f>
        <v/>
      </c>
      <c r="R680" t="n">
        <v>0</v>
      </c>
      <c r="S680" t="n">
        <v>0</v>
      </c>
      <c r="U680" t="n">
        <v>0</v>
      </c>
    </row>
    <row r="681">
      <c r="A681">
        <f>Skills!A24</f>
        <v/>
      </c>
      <c r="B681">
        <f>Skills!B24</f>
        <v/>
      </c>
      <c r="C681">
        <f>Inputs!$B$3&gt;=74</f>
        <v/>
      </c>
      <c r="D681">
        <f>IF(Skills!C24=1,60+Inputs!$B$26+Inputs!$B$30,IF(Skills!C24=2,90+Inputs!$B$27+Inputs!$B$30,IF(Skills!C24=3,120+Inputs!$B$28+Inputs!$B$30,MAX(0,(Inputs!$B$3-100)*3)+Inputs!$B$29+Inputs!$B$30)))</f>
        <v/>
      </c>
      <c r="E681">
        <f>INDEX(FactorTable!$B$2:$Y$301, MATCH(ROUND(MIN(300,MAX(1,D681)),0), FactorTable!$A$2:$A$301,0), Skills!L24+1)</f>
        <v/>
      </c>
      <c r="F681">
        <f>IF(Skills!M24=TRUE,(Skills!K24/10)*(E681/1000),Skills!K24/10)+Skills!N24</f>
        <v/>
      </c>
      <c r="G681">
        <f>Calc!G24</f>
        <v/>
      </c>
      <c r="H681">
        <f>Calc!H24</f>
        <v/>
      </c>
      <c r="I681">
        <f>IF(Skills!T24&lt;&gt;"",1+(Skills!T24/10)*($Z$3/1000)/100,1)</f>
        <v/>
      </c>
      <c r="J681" t="inlineStr"/>
      <c r="K681" t="inlineStr"/>
      <c r="L681" t="inlineStr"/>
      <c r="M681" t="inlineStr"/>
      <c r="N681" t="inlineStr"/>
      <c r="O681">
        <f>(1-Summary!$B$11)*S681+Summary!$B$11*U681</f>
        <v/>
      </c>
      <c r="P681">
        <f>IF(B700=0,0,O681/B700)</f>
        <v/>
      </c>
      <c r="Q681">
        <f>IFERROR(1/(IF(Inputs!$B$39="pvp",15,MAX(0.1,Skills!D24-IF(Skills!E24=TRUE,Inputs!$B$33,0)))*(1-IF(AND(ArtifactsInput!$M$27,Inputs!$B$4="Chapter Hunt"),CHOOSE(ArtifactsInput!$N$27+1,20,24,28,32,36,40),0)/100)),0)</f>
        <v/>
      </c>
      <c r="R681" t="n">
        <v>0</v>
      </c>
      <c r="S681" t="n">
        <v>0</v>
      </c>
      <c r="U681" t="n">
        <v>0</v>
      </c>
    </row>
    <row r="682">
      <c r="A682">
        <f>Skills!A25</f>
        <v/>
      </c>
      <c r="B682">
        <f>Skills!B25</f>
        <v/>
      </c>
      <c r="C682">
        <f>Inputs!$B$3&gt;=74</f>
        <v/>
      </c>
      <c r="D682">
        <f>IF(Skills!C25=1,60+Inputs!$B$26+Inputs!$B$30,IF(Skills!C25=2,90+Inputs!$B$27+Inputs!$B$30,IF(Skills!C25=3,120+Inputs!$B$28+Inputs!$B$30,MAX(0,(Inputs!$B$3-100)*3)+Inputs!$B$29+Inputs!$B$30)))</f>
        <v/>
      </c>
      <c r="E682">
        <f>INDEX(FactorTable!$B$2:$Y$301, MATCH(ROUND(MIN(300,MAX(1,D682)),0), FactorTable!$A$2:$A$301,0), Skills!L25+1)</f>
        <v/>
      </c>
      <c r="F682">
        <f>IF(Skills!M25=TRUE,(Skills!K25/10)*(E682/1000),Skills!K25/10)+Skills!N25</f>
        <v/>
      </c>
      <c r="G682">
        <f>Calc!G25</f>
        <v/>
      </c>
      <c r="H682">
        <f>Calc!H25</f>
        <v/>
      </c>
      <c r="I682">
        <f>IF(Skills!T25&lt;&gt;"",1+(Skills!T25/10)*($Z$3/1000)/100,1)</f>
        <v/>
      </c>
      <c r="J682" t="inlineStr"/>
      <c r="K682" t="inlineStr"/>
      <c r="L682" t="inlineStr"/>
      <c r="M682" t="inlineStr"/>
      <c r="N682" t="inlineStr"/>
      <c r="O682">
        <f>(1-Summary!$B$11)*S682+Summary!$B$11*U682</f>
        <v/>
      </c>
      <c r="P682">
        <f>IF(B700=0,0,O682/B700)</f>
        <v/>
      </c>
      <c r="Q682">
        <f>IFERROR(1/(IF(Inputs!$B$39="pvp",15,MAX(0.1,Skills!D25-IF(Skills!E25=TRUE,Inputs!$B$33,0)))*(1-IF(AND(ArtifactsInput!$M$27,Inputs!$B$4="Chapter Hunt"),CHOOSE(ArtifactsInput!$N$27+1,20,24,28,32,36,40),0)/100)),0)</f>
        <v/>
      </c>
      <c r="R682" t="n">
        <v>0</v>
      </c>
      <c r="S682" t="n">
        <v>0</v>
      </c>
      <c r="U682" t="n">
        <v>0</v>
      </c>
    </row>
    <row r="683">
      <c r="A683">
        <f>Skills!A26</f>
        <v/>
      </c>
      <c r="B683">
        <f>Skills!B26</f>
        <v/>
      </c>
      <c r="C683">
        <f>Inputs!$B$3&gt;=117</f>
        <v/>
      </c>
      <c r="D683">
        <f>IF(Skills!C26=1,60+Inputs!$B$26+Inputs!$B$30,IF(Skills!C26=2,90+Inputs!$B$27+Inputs!$B$30,IF(Skills!C26=3,120+Inputs!$B$28+Inputs!$B$30,MAX(0,(Inputs!$B$3-100)*3)+Inputs!$B$29+Inputs!$B$30)))</f>
        <v/>
      </c>
      <c r="E683">
        <f>INDEX(FactorTable!$B$2:$Y$301, MATCH(ROUND(MIN(300,MAX(1,D683)),0), FactorTable!$A$2:$A$301,0), Skills!L26+1)</f>
        <v/>
      </c>
      <c r="F683">
        <f>IF(Skills!M26=TRUE,(Skills!K26/10)*(E683/1000),Skills!K26/10)+Skills!N26</f>
        <v/>
      </c>
      <c r="G683">
        <f>Calc!G26</f>
        <v/>
      </c>
      <c r="H683">
        <f>Calc!H26</f>
        <v/>
      </c>
      <c r="I683">
        <f>IF(Skills!T26&lt;&gt;"",1+(Skills!T26/10)*($Z$3/1000)/100,1)</f>
        <v/>
      </c>
      <c r="J683" t="inlineStr"/>
      <c r="K683" t="inlineStr"/>
      <c r="L683" t="inlineStr"/>
      <c r="M683" t="inlineStr"/>
      <c r="N683" t="inlineStr"/>
      <c r="O683">
        <f>(1-Summary!$B$11)*S683+Summary!$B$11*U683</f>
        <v/>
      </c>
      <c r="P683">
        <f>IF(B700=0,0,O683/B700)</f>
        <v/>
      </c>
      <c r="Q683">
        <f>IFERROR(1/(IF(Inputs!$B$39="pvp",15,MAX(0.1,Skills!D26-IF(Skills!E26=TRUE,Inputs!$B$33,0)))*(1-IF(AND(ArtifactsInput!$M$27,Inputs!$B$4="Chapter Hunt"),CHOOSE(ArtifactsInput!$N$27+1,20,24,28,32,36,40),0)/100)),0)</f>
        <v/>
      </c>
      <c r="R683" t="n">
        <v>0</v>
      </c>
      <c r="S683" t="n">
        <v>0</v>
      </c>
      <c r="U683" t="n">
        <v>0</v>
      </c>
    </row>
    <row r="684">
      <c r="A684">
        <f>Skills!A27</f>
        <v/>
      </c>
      <c r="B684">
        <f>Skills!B27</f>
        <v/>
      </c>
      <c r="C684">
        <f>Inputs!$B$3&gt;=120</f>
        <v/>
      </c>
      <c r="D684">
        <f>IF(Skills!C27=1,60+Inputs!$B$26+Inputs!$B$30,IF(Skills!C27=2,90+Inputs!$B$27+Inputs!$B$30,IF(Skills!C27=3,120+Inputs!$B$28+Inputs!$B$30,MAX(0,(Inputs!$B$3-100)*3)+Inputs!$B$29+Inputs!$B$30)))</f>
        <v/>
      </c>
      <c r="E684">
        <f>INDEX(FactorTable!$B$2:$Y$301, MATCH(ROUND(MIN(300,MAX(1,D684)),0), FactorTable!$A$2:$A$301,0), Skills!L27+1)</f>
        <v/>
      </c>
      <c r="F684">
        <f>IF(Skills!M27=TRUE,(Skills!K27/10)*(E684/1000),Skills!K27/10)+Skills!N27</f>
        <v/>
      </c>
      <c r="G684">
        <f>Calc!G27</f>
        <v/>
      </c>
      <c r="H684">
        <f>Calc!H27</f>
        <v/>
      </c>
      <c r="I684">
        <f>IF(Skills!T27&lt;&gt;"",1+(Skills!T27/10)*($Z$3/1000)/100,1)</f>
        <v/>
      </c>
      <c r="J684" t="inlineStr"/>
      <c r="K684" t="inlineStr"/>
      <c r="L684" t="inlineStr"/>
      <c r="M684" t="inlineStr"/>
      <c r="N684" t="inlineStr"/>
      <c r="O684">
        <f>(1-Summary!$B$11)*S684+Summary!$B$11*U684</f>
        <v/>
      </c>
      <c r="P684">
        <f>IF(B700=0,0,O684/B700)</f>
        <v/>
      </c>
      <c r="Q684">
        <f>IFERROR(1/(IF(Inputs!$B$39="pvp",15,MAX(0.1,Skills!D27-IF(Skills!E27=TRUE,Inputs!$B$33,0)))*(1-IF(AND(ArtifactsInput!$M$27,Inputs!$B$4="Chapter Hunt"),CHOOSE(ArtifactsInput!$N$27+1,20,24,28,32,36,40),0)/100)),0)</f>
        <v/>
      </c>
      <c r="R684" t="n">
        <v>0</v>
      </c>
      <c r="S684" t="n">
        <v>0</v>
      </c>
      <c r="U684" t="n">
        <v>0</v>
      </c>
    </row>
    <row r="685">
      <c r="A685">
        <f>Skills!A28</f>
        <v/>
      </c>
      <c r="B685">
        <f>Skills!B28</f>
        <v/>
      </c>
      <c r="C685">
        <f>TRUE</f>
        <v/>
      </c>
      <c r="D685">
        <f>IF(Skills!C28=1,60+Inputs!$B$26+Inputs!$B$30,IF(Skills!C28=2,90+Inputs!$B$27+Inputs!$B$30,IF(Skills!C28=3,120+Inputs!$B$28+Inputs!$B$30,MAX(0,(Inputs!$B$3-100)*3)+Inputs!$B$29+Inputs!$B$30)))</f>
        <v/>
      </c>
      <c r="E685">
        <f>INDEX(FactorTable!$B$2:$Y$301, MATCH(ROUND(MIN(300,MAX(1,D685)),0), FactorTable!$A$2:$A$301,0), Skills!L28+1)</f>
        <v/>
      </c>
      <c r="F685">
        <f>IF(Skills!M28=TRUE,(Skills!K28/10)*(E685/1000),Skills!K28/10)+Skills!N28</f>
        <v/>
      </c>
      <c r="G685">
        <f>Calc!G28</f>
        <v/>
      </c>
      <c r="H685">
        <f>Calc!H28</f>
        <v/>
      </c>
      <c r="I685">
        <f>IF(Skills!T28&lt;&gt;"",1+(Skills!T28/10)*($Z$3/1000)/100,1)</f>
        <v/>
      </c>
      <c r="J685" t="inlineStr"/>
      <c r="K685" t="inlineStr"/>
      <c r="L685" t="inlineStr"/>
      <c r="M685" t="inlineStr"/>
      <c r="N685" t="inlineStr"/>
      <c r="O685">
        <f>(1-Summary!$B$11)*S685+Summary!$B$11*U685</f>
        <v/>
      </c>
      <c r="P685">
        <f>IF(B700=0,0,O685/B700)</f>
        <v/>
      </c>
      <c r="Q685">
        <f>IFERROR(1/(IF(Inputs!$B$39="pvp",15,MAX(0.1,Skills!D28-IF(Skills!E28=TRUE,Inputs!$B$33,0)))*(1-IF(AND(ArtifactsInput!$M$27,Inputs!$B$4="Chapter Hunt"),CHOOSE(ArtifactsInput!$N$27+1,20,24,28,32,36,40),0)/100)),0)</f>
        <v/>
      </c>
      <c r="R685">
        <f>IF(AND(Inputs!$B$39&lt;&gt;"pvp",Inputs!$B$44&gt;0),IF(Inputs!$B$44&lt;=0,0,(INT(Inputs!$B$44/(IF(Inputs!$B$39="pvp",15,MAX(0.1,Skills!D28-IF(Skills!E28=TRUE,Inputs!$B$33,0)))*(1-IF(AND(ArtifactsInput!$M$27,Inputs!$B$4="Chapter Hunt"),CHOOSE(ArtifactsInput!$N$27+1,20,24,28,32,36,40),0)/100)))+1)),0)</f>
        <v/>
      </c>
      <c r="S685" t="n">
        <v>0</v>
      </c>
      <c r="U685" t="n">
        <v>0</v>
      </c>
    </row>
    <row r="687">
      <c r="A687" t="inlineStr">
        <is>
          <t>Average Buff Multiplier</t>
        </is>
      </c>
      <c r="B687">
        <f>(1+(IF(C660=TRUE,F660*IF(AND(Inputs!$B$39&lt;&gt;"pvp",Inputs!$B$44&gt;0),(((R660-1)*(Skills!S3*(1+((Inputs!$B$35+(ArtifactsInput!$M$7-ArtifactsInput!$M$7)*CHOOSE(ArtifactsInput!$N$7+1,6,7.2,8.4,9.6,10.8,12))+IF(Inputs!$B$3&gt;=117,F683,0))/100))+MIN((Skills!S3*(1+((Inputs!$B$35+(ArtifactsInput!$M$7-ArtifactsInput!$M$7)*CHOOSE(ArtifactsInput!$N$7+1,6,7.2,8.4,9.6,10.8,12))+IF(Inputs!$B$3&gt;=117,F683,0))/100)),MAX(0,Inputs!$B$44-((R660-1)*Skills!D3))))/Inputs!$B$44),IF(Inputs!$B$39="pvp",MIN((Skills!S3*(1+((Inputs!$B$35+(ArtifactsInput!$M$7-ArtifactsInput!$M$7)*CHOOSE(ArtifactsInput!$N$7+1,6,7.2,8.4,9.6,10.8,12))+IF(Inputs!$B$3&gt;=117,F683,0))/100)),15)/15,(Skills!S3*(1+((Inputs!$B$35+(ArtifactsInput!$M$7-ArtifactsInput!$M$7)*CHOOSE(ArtifactsInput!$N$7+1,6,7.2,8.4,9.6,10.8,12))+IF(Inputs!$B$3&gt;=117,F683,0))/100))/Skills!D3)),0)+IF(C661=TRUE,F661*IF(AND(Inputs!$B$39&lt;&gt;"pvp",Inputs!$B$44&gt;0),(((R661-1)*(Skills!S4*(1+((Inputs!$B$35+(ArtifactsInput!$M$7-ArtifactsInput!$M$7)*CHOOSE(ArtifactsInput!$N$7+1,6,7.2,8.4,9.6,10.8,12))+IF(Inputs!$B$3&gt;=117,F683,0))/100))+MIN((Skills!S4*(1+((Inputs!$B$35+(ArtifactsInput!$M$7-ArtifactsInput!$M$7)*CHOOSE(ArtifactsInput!$N$7+1,6,7.2,8.4,9.6,10.8,12))+IF(Inputs!$B$3&gt;=117,F683,0))/100)),MAX(0,Inputs!$B$44-((R661-1)*Skills!D4))))/Inputs!$B$44),IF(Inputs!$B$39="pvp",MIN((Skills!S4*(1+((Inputs!$B$35+(ArtifactsInput!$M$7-ArtifactsInput!$M$7)*CHOOSE(ArtifactsInput!$N$7+1,6,7.2,8.4,9.6,10.8,12))+IF(Inputs!$B$3&gt;=117,F683,0))/100)),15)/15,(Skills!S4*(1+((Inputs!$B$35+(ArtifactsInput!$M$7-ArtifactsInput!$M$7)*CHOOSE(ArtifactsInput!$N$7+1,6,7.2,8.4,9.6,10.8,12))+IF(Inputs!$B$3&gt;=117,F683,0))/100))/Skills!D4)),0)+IF(C662=TRUE,F662*IF(AND(Inputs!$B$39&lt;&gt;"pvp",Inputs!$B$44&gt;0),(((R662-1)*(Skills!S5*(1+((Inputs!$B$35+(ArtifactsInput!$M$7-ArtifactsInput!$M$7)*CHOOSE(ArtifactsInput!$N$7+1,6,7.2,8.4,9.6,10.8,12))+IF(Inputs!$B$3&gt;=117,F683,0))/100))+MIN((Skills!S5*(1+((Inputs!$B$35+(ArtifactsInput!$M$7-ArtifactsInput!$M$7)*CHOOSE(ArtifactsInput!$N$7+1,6,7.2,8.4,9.6,10.8,12))+IF(Inputs!$B$3&gt;=117,F683,0))/100)),MAX(0,Inputs!$B$44-((R662-1)*Skills!D5))))/Inputs!$B$44),IF(Inputs!$B$39="pvp",MIN((Skills!S5*(1+((Inputs!$B$35+(ArtifactsInput!$M$7-ArtifactsInput!$M$7)*CHOOSE(ArtifactsInput!$N$7+1,6,7.2,8.4,9.6,10.8,12))+IF(Inputs!$B$3&gt;=117,F683,0))/100)),15)/15,(Skills!S5*(1+((Inputs!$B$35+(ArtifactsInput!$M$7-ArtifactsInput!$M$7)*CHOOSE(ArtifactsInput!$N$7+1,6,7.2,8.4,9.6,10.8,12))+IF(Inputs!$B$3&gt;=117,F683,0))/100))/Skills!D5)),0)+IF(C668=TRUE,F668*IF(AND(Inputs!$B$39&lt;&gt;"pvp",Inputs!$B$44&gt;0),(((R668-1)*(Skills!S11*(1+((Inputs!$B$35+(ArtifactsInput!$M$7-ArtifactsInput!$M$7)*CHOOSE(ArtifactsInput!$N$7+1,6,7.2,8.4,9.6,10.8,12))+IF(Inputs!$B$3&gt;=117,F683,0))/100))+MIN((Skills!S11*(1+((Inputs!$B$35+(ArtifactsInput!$M$7-ArtifactsInput!$M$7)*CHOOSE(ArtifactsInput!$N$7+1,6,7.2,8.4,9.6,10.8,12))+IF(Inputs!$B$3&gt;=117,F683,0))/100)),MAX(0,Inputs!$B$44-((R668-1)*Skills!D11))))/Inputs!$B$44),IF(Inputs!$B$39="pvp",MIN((Skills!S11*(1+((Inputs!$B$35+(ArtifactsInput!$M$7-ArtifactsInput!$M$7)*CHOOSE(ArtifactsInput!$N$7+1,6,7.2,8.4,9.6,10.8,12))+IF(Inputs!$B$3&gt;=117,F683,0))/100)),15)/15,(Skills!S11*(1+((Inputs!$B$35+(ArtifactsInput!$M$7-ArtifactsInput!$M$7)*CHOOSE(ArtifactsInput!$N$7+1,6,7.2,8.4,9.6,10.8,12))+IF(Inputs!$B$3&gt;=117,F683,0)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671=TRUE,(1+F671*IF(AND(Inputs!$B$39&lt;&gt;"pvp",Inputs!$B$44&gt;0),(((R671-1)*(Skills!S14*(1+((Inputs!$B$35+(ArtifactsInput!$M$7-ArtifactsInput!$M$7)*CHOOSE(ArtifactsInput!$N$7+1,6,7.2,8.4,9.6,10.8,12))+IF(Inputs!$B$3&gt;=117,F683,0))/100))+MIN((Skills!S14*(1+((Inputs!$B$35+(ArtifactsInput!$M$7-ArtifactsInput!$M$7)*CHOOSE(ArtifactsInput!$N$7+1,6,7.2,8.4,9.6,10.8,12))+IF(Inputs!$B$3&gt;=117,F683,0))/100)),MAX(0,Inputs!$B$44-((R671-1)*Skills!D14))))/Inputs!$B$44),IF(Inputs!$B$39="pvp",MIN((Skills!S14*(1+((Inputs!$B$35+(ArtifactsInput!$M$7-ArtifactsInput!$M$7)*CHOOSE(ArtifactsInput!$N$7+1,6,7.2,8.4,9.6,10.8,12))+IF(Inputs!$B$3&gt;=117,F683,0))/100)),15)/15,(Skills!S14*(1+((Inputs!$B$35+(ArtifactsInput!$M$7-ArtifactsInput!$M$7)*CHOOSE(ArtifactsInput!$N$7+1,6,7.2,8.4,9.6,10.8,12))+IF(Inputs!$B$3&gt;=117,F683,0))/100))/Skills!D14))/100),1)*IF(C676=TRUE,(1+F676*IF(AND(Inputs!$B$39&lt;&gt;"pvp",Inputs!$B$44&gt;0),(((R676-1)*(Skills!S19*(1+((Inputs!$B$35+(ArtifactsInput!$M$7-ArtifactsInput!$M$7)*CHOOSE(ArtifactsInput!$N$7+1,6,7.2,8.4,9.6,10.8,12))+IF(Inputs!$B$3&gt;=117,F683,0))/100))+MIN((Skills!S19*(1+((Inputs!$B$35+(ArtifactsInput!$M$7-ArtifactsInput!$M$7)*CHOOSE(ArtifactsInput!$N$7+1,6,7.2,8.4,9.6,10.8,12))+IF(Inputs!$B$3&gt;=117,F683,0))/100)),MAX(0,Inputs!$B$44-((R676-1)*Skills!D19))))/Inputs!$B$44),IF(Inputs!$B$39="pvp",MIN((Skills!S19*(1+((Inputs!$B$35+(ArtifactsInput!$M$7-ArtifactsInput!$M$7)*CHOOSE(ArtifactsInput!$N$7+1,6,7.2,8.4,9.6,10.8,12))+IF(Inputs!$B$3&gt;=117,F683,0))/100)),15)/15,(Skills!S19*(1+((Inputs!$B$35+(ArtifactsInput!$M$7-ArtifactsInput!$M$7)*CHOOSE(ArtifactsInput!$N$7+1,6,7.2,8.4,9.6,10.8,12))+IF(Inputs!$B$3&gt;=117,F683,0))/100))/Skills!D19))/100),1)</f>
        <v/>
      </c>
    </row>
    <row r="688">
      <c r="A688" t="inlineStr">
        <is>
          <t>Monster Damage Taken Bonus % (Holy Fountain)</t>
        </is>
      </c>
      <c r="B688">
        <f>IF(Inputs!$B$3&gt;=68,20*IF(Inputs!$B$39="pvp",MIN((15*(1+((Inputs!$B$35+(ArtifactsInput!$M$7-ArtifactsInput!$M$7)*CHOOSE(ArtifactsInput!$N$7+1,6,7.2,8.4,9.6,10.8,12))+IF(Inputs!$B$3&gt;=117,F683,0))/100)),15)/15,(15*(1+((Inputs!$B$35+(ArtifactsInput!$M$7-ArtifactsInput!$M$7)*CHOOSE(ArtifactsInput!$N$7+1,6,7.2,8.4,9.6,10.8,12))+IF(Inputs!$B$3&gt;=117,F683,0))/100))/Skills!D10),0)</f>
        <v/>
      </c>
    </row>
    <row r="689">
      <c r="A689" t="inlineStr">
        <is>
          <t>Normal Monster Damage Bonus % (Holy Symbol)</t>
        </is>
      </c>
      <c r="B689">
        <f>IF(C669=TRUE,F669*IF(AND(Inputs!$B$39&lt;&gt;"pvp",Inputs!$B$44&gt;0),(((R669-1)*(Skills!S12*(1+((Inputs!$B$35+(ArtifactsInput!$M$7-ArtifactsInput!$M$7)*CHOOSE(ArtifactsInput!$N$7+1,6,7.2,8.4,9.6,10.8,12))+IF(Inputs!$B$3&gt;=117,F683,0))/100))+MIN((Skills!S12*(1+((Inputs!$B$35+(ArtifactsInput!$M$7-ArtifactsInput!$M$7)*CHOOSE(ArtifactsInput!$N$7+1,6,7.2,8.4,9.6,10.8,12))+IF(Inputs!$B$3&gt;=117,F683,0))/100)),MAX(0,Inputs!$B$44-((R669-1)*Skills!D12))))/Inputs!$B$44),IF(Inputs!$B$39="pvp",MIN((Skills!S12*(1+((Inputs!$B$35+(ArtifactsInput!$M$7-ArtifactsInput!$M$7)*CHOOSE(ArtifactsInput!$N$7+1,6,7.2,8.4,9.6,10.8,12))+IF(Inputs!$B$3&gt;=117,F683,0))/100)),15)/15,(Skills!S12*(1+((Inputs!$B$35+(ArtifactsInput!$M$7-ArtifactsInput!$M$7)*CHOOSE(ArtifactsInput!$N$7+1,6,7.2,8.4,9.6,10.8,12))+IF(Inputs!$B$3&gt;=117,F683,0))/100))/Skills!D12)),0)</f>
        <v/>
      </c>
    </row>
    <row r="690">
      <c r="A690" t="inlineStr">
        <is>
          <t>Damage % Bonus (Holy Symbol - Damage Boost)</t>
        </is>
      </c>
      <c r="B690">
        <f>Skills!O12</f>
        <v/>
      </c>
    </row>
    <row r="691">
      <c r="A691" t="inlineStr">
        <is>
          <t>Crit Damage % Bonus (Blood of the Divine)</t>
        </is>
      </c>
      <c r="B691">
        <f>4*IF(C677=TRUE,F677,0)</f>
        <v/>
      </c>
    </row>
    <row r="692">
      <c r="A692" t="inlineStr">
        <is>
          <t>Attack Speed Bonus %</t>
        </is>
      </c>
      <c r="B692">
        <f>IF(C674=TRUE,F674+(F678-Calc!F21),0)+IF(Inputs!$B$3&gt;=134,15,0)+((C685=TRUE)*F685*IF(AND(Inputs!$B$39&lt;&gt;"pvp",Inputs!$B$44&gt;0),(((R685-1)*(Skills!S28*(1+((Inputs!$B$35+(ArtifactsInput!$M$7-ArtifactsInput!$M$7)*CHOOSE(ArtifactsInput!$N$7+1,6,7.2,8.4,9.6,10.8,12))+IF(Inputs!$B$3&gt;=117,F683,0))/100))+MIN((Skills!S28*(1+((Inputs!$B$35+(ArtifactsInput!$M$7-ArtifactsInput!$M$7)*CHOOSE(ArtifactsInput!$N$7+1,6,7.2,8.4,9.6,10.8,12))+IF(Inputs!$B$3&gt;=117,F683,0))/100)),MAX(0,Inputs!$B$44-((R685-1)*Skills!D28))))/Inputs!$B$44),IF(Inputs!$B$39="pvp",MIN((Skills!S28*(1+((Inputs!$B$35+(ArtifactsInput!$M$7-ArtifactsInput!$M$7)*CHOOSE(ArtifactsInput!$N$7+1,6,7.2,8.4,9.6,10.8,12))+IF(Inputs!$B$3&gt;=117,F683,0))/100)),15)/15,(Skills!S28*(1+((Inputs!$B$35+(ArtifactsInput!$M$7-ArtifactsInput!$M$7)*CHOOSE(ArtifactsInput!$N$7+1,6,7.2,8.4,9.6,10.8,12))+IF(Inputs!$B$3&gt;=117,F683,0))/100))/Skills!D28)))</f>
        <v/>
      </c>
    </row>
    <row r="693">
      <c r="A693" t="inlineStr">
        <is>
          <t>Actions Per Second</t>
        </is>
      </c>
      <c r="B693">
        <f>1+MIN(150,150*(1-(1-((1-(1-Inputs!$B$12/150)*(1-1/150))*150)/150)*(1-B692/150)))/100</f>
        <v/>
      </c>
    </row>
    <row r="694">
      <c r="A694" t="inlineStr">
        <is>
          <t>Skill + Buff Cast Rate</t>
        </is>
      </c>
      <c r="B694">
        <f>IF(AND(Inputs!$B$39&lt;&gt;"pvp",Inputs!$B$44&gt;0),SUMPRODUCT((Skills!E2:E28=TRUE)*(C659:C685=TRUE)*R659:R685)/Inputs!$B$44,SUMPRODUCT((Skills!E2:E28=TRUE)*(C659:C685=TRUE)*Q659:Q685))</f>
        <v/>
      </c>
    </row>
    <row r="695">
      <c r="A695" t="inlineStr">
        <is>
          <t>Big Bang Casts Per Second</t>
        </is>
      </c>
      <c r="B695">
        <f>MAX(0,B693-B694)</f>
        <v/>
      </c>
    </row>
    <row r="696">
      <c r="A696" t="inlineStr">
        <is>
          <t>Defense % Bonus (Divine Protection)</t>
        </is>
      </c>
      <c r="B696">
        <f>IF(C670=TRUE,F670*IF(AND(Inputs!$B$39&lt;&gt;"pvp",Inputs!$B$44&gt;0),(((R670-1)*(Skills!S13*(1+((Inputs!$B$35+(ArtifactsInput!$M$7-ArtifactsInput!$M$7)*CHOOSE(ArtifactsInput!$N$7+1,6,7.2,8.4,9.6,10.8,12))+IF(Inputs!$B$3&gt;=117,F683,0))/100))+MIN((Skills!S13*(1+((Inputs!$B$35+(ArtifactsInput!$M$7-ArtifactsInput!$M$7)*CHOOSE(ArtifactsInput!$N$7+1,6,7.2,8.4,9.6,10.8,12))+IF(Inputs!$B$3&gt;=117,F683,0))/100)),MAX(0,Inputs!$B$44-((R670-1)*Skills!D13))))/Inputs!$B$44),IF(Inputs!$B$39="pvp",MIN((Skills!S13*(1+((Inputs!$B$35+(ArtifactsInput!$M$7-ArtifactsInput!$M$7)*CHOOSE(ArtifactsInput!$N$7+1,6,7.2,8.4,9.6,10.8,12))+IF(Inputs!$B$3&gt;=117,F683,0))/100)),15)/15,(Skills!S13*(1+((Inputs!$B$35+(ArtifactsInput!$M$7-ArtifactsInput!$M$7)*CHOOSE(ArtifactsInput!$N$7+1,6,7.2,8.4,9.6,10.8,12))+IF(Inputs!$B$3&gt;=117,F683,0))/100))/Skills!D13)),0)</f>
        <v/>
      </c>
    </row>
    <row r="697">
      <c r="A697" t="inlineStr">
        <is>
          <t>Buff-Casting Startup Delay (s, fixed-duration only)</t>
        </is>
      </c>
      <c r="B697">
        <f>IF(AND(Inputs!$B$39&lt;&gt;"pvp",Inputs!$B$44&gt;0),SUMPRODUCT((Skills!S2:S28&gt;0)*(Skills!E2:E28=TRUE)*(C659:C685=TRUE))/B693,0)</f>
        <v/>
      </c>
    </row>
    <row r="698">
      <c r="A698" t="inlineStr">
        <is>
          <t>Boss-Only Total DPS (this block's swept value)</t>
        </is>
      </c>
      <c r="B698">
        <f>SUM(S659:S685)</f>
        <v/>
      </c>
    </row>
    <row r="699">
      <c r="A699" t="inlineStr">
        <is>
          <t>Normal-Only Total DPS (this block's swept value)</t>
        </is>
      </c>
      <c r="B699">
        <f>SUM(U659:U685)</f>
        <v/>
      </c>
    </row>
    <row r="700">
      <c r="A700" s="6" t="inlineStr">
        <is>
          <t>TOTAL DPS</t>
        </is>
      </c>
      <c r="B700" s="6">
        <f>SUM(O659:O685)</f>
        <v/>
      </c>
    </row>
    <row r="702">
      <c r="A702" s="6" t="inlineStr">
        <is>
          <t>Stat: DEF_PEN % (diminishing returns, factor 100)</t>
        </is>
      </c>
    </row>
    <row r="703">
      <c r="A703" s="5" t="inlineStr">
        <is>
          <t>Key</t>
        </is>
      </c>
      <c r="B703" s="5" t="inlineStr">
        <is>
          <t>Name</t>
        </is>
      </c>
      <c r="C703" s="5" t="inlineStr">
        <is>
          <t>Unlocked</t>
        </is>
      </c>
      <c r="D703" s="5" t="inlineStr">
        <is>
          <t>InputLevel</t>
        </is>
      </c>
      <c r="E703" s="5" t="inlineStr">
        <is>
          <t>Factor</t>
        </is>
      </c>
      <c r="F703" s="5" t="inlineStr">
        <is>
          <t>CoefficientPercent</t>
        </is>
      </c>
      <c r="G703" s="5" t="inlineStr">
        <is>
          <t>EffectiveHits</t>
        </is>
      </c>
      <c r="H703" s="5" t="inlineStr">
        <is>
          <t>ProcProbability</t>
        </is>
      </c>
      <c r="I703" s="5" t="inlineStr">
        <is>
          <t>MapleHeroMultiplier</t>
        </is>
      </c>
      <c r="J703" s="5" t="inlineStr">
        <is>
          <t>BaseDamage</t>
        </is>
      </c>
      <c r="K703" s="5" t="inlineStr">
        <is>
          <t>BaseHitDamage</t>
        </is>
      </c>
      <c r="L703" s="5" t="inlineStr">
        <is>
          <t>NonCritAvg</t>
        </is>
      </c>
      <c r="M703" s="5" t="inlineStr">
        <is>
          <t>CritAvg</t>
        </is>
      </c>
      <c r="N703" s="5" t="inlineStr">
        <is>
          <t>ExpectedDamage(perHit)</t>
        </is>
      </c>
      <c r="O703" s="5" t="inlineStr">
        <is>
          <t>DPS</t>
        </is>
      </c>
      <c r="P703" s="5" t="inlineStr">
        <is>
          <t>% of Total</t>
        </is>
      </c>
      <c r="R703" t="inlineStr">
        <is>
          <t>helpers</t>
        </is>
      </c>
    </row>
    <row r="704">
      <c r="A704">
        <f>Skills!A2</f>
        <v/>
      </c>
      <c r="B704">
        <f>Skills!B2</f>
        <v/>
      </c>
      <c r="C704">
        <f>Inputs!$B$3&gt;=100</f>
        <v/>
      </c>
      <c r="D704" t="inlineStr"/>
      <c r="E704" t="inlineStr"/>
      <c r="F704">
        <f>T706+Skills!N2</f>
        <v/>
      </c>
      <c r="G704">
        <f>Calc!G2</f>
        <v/>
      </c>
      <c r="H704">
        <f>Calc!H2</f>
        <v/>
      </c>
      <c r="I704">
        <f>IF(Skills!T2&lt;&gt;"",1+(Skills!T2/10)*($Z$3/1000)/100,1)</f>
        <v/>
      </c>
      <c r="J704">
        <f>((Inputs!$B$6*(1+Inputs!$B$7/100))+(((Inputs!$B$13*(1+Inputs!$B$14/100))-(Inputs!$B$13*(1+Inputs!$B$14/100)))+0.25*(Inputs!$B$15-Inputs!$B$15))*(1+Inputs!$B$7/100))*(F704/100)</f>
        <v/>
      </c>
      <c r="K704">
        <f>J704*(1+(((Inputs!$B$13+IF(Inputs!$B$3&gt;=35,(10*INDEX(FactorTable!$B$2:$Y$301,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2="TRIUMPH_FEATHER",IF(C718=TRUE,F718,0),0)/100)*(1+IF(C729=TRUE,F729,0)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704)</f>
        <v/>
      </c>
      <c r="L704">
        <f>K704*(MIN(Inputs!$B$23+(F724-Calc!F22),(Inputs!$B$24+IF(ArtifactsInput!$M$15,CHOOSE(ArtifactsInput!$N$15+1,25,30,35,40,45,50)/100*(Inputs!$B$12-Inputs!$B$12),0)))/100+(Inputs!$B$24+IF(ArtifactsInput!$M$15,CHOOSE(ArtifactsInput!$N$15+1,25,30,35,40,45,50)/100*(Inputs!$B$12-Inputs!$B$12),0))/100)/2</f>
        <v/>
      </c>
      <c r="M704">
        <f>L704*(1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4">
        <f>L704*(1-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704*(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4">
        <f>(1-Summary!$B$11)*S704+Summary!$B$11*U704</f>
        <v/>
      </c>
      <c r="P704">
        <f>IF(B745=0,0,O704/B745)</f>
        <v/>
      </c>
      <c r="Q704">
        <f>IFERROR(1/(IF(Inputs!$B$39="pvp",15,MAX(0.1,Skills!D2-IF(Skills!E2=TRUE,Inputs!$B$33,0)))*(1-IF(AND(ArtifactsInput!$M$27,Inputs!$B$4="Chapter Hunt"),CHOOSE(ArtifactsInput!$N$27+1,20,24,28,32,36,40),0)/100)),0)</f>
        <v/>
      </c>
      <c r="R704" t="n">
        <v>0</v>
      </c>
      <c r="S704">
        <f>IF(C704,(Skills!F2*N704*B740)*IF(Inputs!$B$39="pvp",1,1+(Inputs!$B$21+Skills!O2+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704*(1-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704*(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704*(1-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704*(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04">
        <f>MAX(0,(Inputs!$B$3-100)*3)+Inputs!$B$29+Inputs!$B$30</f>
        <v/>
      </c>
      <c r="U704">
        <f>IF(C704,(Skills!F2*N704*B740)*IF(Inputs!$B$39="pvp",1,(1+(Inputs!$B$22+Skills!P2+B734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5">
      <c r="A705">
        <f>Skills!A3</f>
        <v/>
      </c>
      <c r="B705">
        <f>Skills!B3</f>
        <v/>
      </c>
      <c r="C705">
        <f>Inputs!$B$3&gt;=15</f>
        <v/>
      </c>
      <c r="D705">
        <f>IF(Skills!C3=1,60+Inputs!$B$26+Inputs!$B$30,IF(Skills!C3=2,90+Inputs!$B$27+Inputs!$B$30,IF(Skills!C3=3,120+Inputs!$B$28+Inputs!$B$30,MAX(0,(Inputs!$B$3-100)*3)+Inputs!$B$29+Inputs!$B$30)))</f>
        <v/>
      </c>
      <c r="E705">
        <f>INDEX(FactorTable!$B$2:$Y$301, MATCH(ROUND(MIN(300,MAX(1,D705)),0), FactorTable!$A$2:$A$301,0), Skills!L3+1)</f>
        <v/>
      </c>
      <c r="F705">
        <f>IF(Skills!M3=TRUE,(Skills!K3/10)*(E705/1000),Skills!K3/10)+Skills!N3</f>
        <v/>
      </c>
      <c r="G705">
        <f>Calc!G3</f>
        <v/>
      </c>
      <c r="H705">
        <f>Calc!H3</f>
        <v/>
      </c>
      <c r="I705">
        <f>IF(Skills!T3&lt;&gt;"",1+(Skills!T3/10)*($Z$3/1000)/100,1)</f>
        <v/>
      </c>
      <c r="J705" t="inlineStr"/>
      <c r="K705" t="inlineStr"/>
      <c r="L705" t="inlineStr"/>
      <c r="M705" t="inlineStr"/>
      <c r="N705" t="inlineStr"/>
      <c r="O705">
        <f>(1-Summary!$B$11)*S705+Summary!$B$11*U705</f>
        <v/>
      </c>
      <c r="P705">
        <f>IF(B745=0,0,O705/B745)</f>
        <v/>
      </c>
      <c r="Q705">
        <f>IFERROR(1/(IF(Inputs!$B$39="pvp",15,MAX(0.1,Skills!D3-IF(Skills!E3=TRUE,Inputs!$B$33,0)))*(1-IF(AND(ArtifactsInput!$M$27,Inputs!$B$4="Chapter Hunt"),CHOOSE(ArtifactsInput!$N$27+1,20,24,28,32,36,40),0)/100)),0)</f>
        <v/>
      </c>
      <c r="R705">
        <f>IF(AND(Inputs!$B$39&lt;&gt;"pvp",Inputs!$B$44&gt;0),IF(Inputs!$B$44&lt;=0,0,(INT(Inputs!$B$44/(IF(Inputs!$B$39="pvp",15,MAX(0.1,Skills!D3-IF(Skills!E3=TRUE,Inputs!$B$33,0)))*(1-IF(AND(ArtifactsInput!$M$27,Inputs!$B$4="Chapter Hunt"),CHOOSE(ArtifactsInput!$N$27+1,20,24,28,32,36,40),0)/100)))+1)),0)</f>
        <v/>
      </c>
      <c r="S705" t="n">
        <v>0</v>
      </c>
      <c r="T705">
        <f>INDEX(FactorTable!$B$2:$Y$301, MATCH(ROUND(MIN(300,MAX(1,T704)),0), FactorTable!$A$2:$A$301,0), 22)</f>
        <v/>
      </c>
      <c r="U705" t="n">
        <v>0</v>
      </c>
    </row>
    <row r="706">
      <c r="A706">
        <f>Skills!A4</f>
        <v/>
      </c>
      <c r="B706">
        <f>Skills!B4</f>
        <v/>
      </c>
      <c r="C706">
        <f>Inputs!$B$3&gt;=38</f>
        <v/>
      </c>
      <c r="D706">
        <f>IF(Skills!C4=1,60+Inputs!$B$26+Inputs!$B$30,IF(Skills!C4=2,90+Inputs!$B$27+Inputs!$B$30,IF(Skills!C4=3,120+Inputs!$B$28+Inputs!$B$30,MAX(0,(Inputs!$B$3-100)*3)+Inputs!$B$29+Inputs!$B$30)))</f>
        <v/>
      </c>
      <c r="E706">
        <f>INDEX(FactorTable!$B$2:$Y$301, MATCH(ROUND(MIN(300,MAX(1,D706)),0), FactorTable!$A$2:$A$301,0), Skills!L4+1)</f>
        <v/>
      </c>
      <c r="F706">
        <f>IF(Skills!M4=TRUE,(Skills!K4/10)*(E706/1000),Skills!K4/10)+Skills!N4</f>
        <v/>
      </c>
      <c r="G706">
        <f>Calc!G4</f>
        <v/>
      </c>
      <c r="H706">
        <f>Calc!H4</f>
        <v/>
      </c>
      <c r="I706">
        <f>IF(Skills!T4&lt;&gt;"",1+(Skills!T4/10)*($Z$3/1000)/100,1)</f>
        <v/>
      </c>
      <c r="J706" t="inlineStr"/>
      <c r="K706" t="inlineStr"/>
      <c r="L706" t="inlineStr"/>
      <c r="M706" t="inlineStr"/>
      <c r="N706" t="inlineStr"/>
      <c r="O706">
        <f>(1-Summary!$B$11)*S706+Summary!$B$11*U706</f>
        <v/>
      </c>
      <c r="P706">
        <f>IF(B745=0,0,O706/B745)</f>
        <v/>
      </c>
      <c r="Q706">
        <f>IFERROR(1/(IF(Inputs!$B$39="pvp",15,MAX(0.1,Skills!D4-IF(Skills!E4=TRUE,Inputs!$B$33,0)))*(1-IF(AND(ArtifactsInput!$M$27,Inputs!$B$4="Chapter Hunt"),CHOOSE(ArtifactsInput!$N$27+1,20,24,28,32,36,40),0)/100)),0)</f>
        <v/>
      </c>
      <c r="R706">
        <f>IF(AND(Inputs!$B$39&lt;&gt;"pvp",Inputs!$B$44&gt;0),IF(Inputs!$B$44&lt;=0,0,(INT(Inputs!$B$44/(IF(Inputs!$B$39="pvp",15,MAX(0.1,Skills!D4-IF(Skills!E4=TRUE,Inputs!$B$33,0)))*(1-IF(AND(ArtifactsInput!$M$27,Inputs!$B$4="Chapter Hunt"),CHOOSE(ArtifactsInput!$N$27+1,20,24,28,32,36,40),0)/100)))+1)),0)</f>
        <v/>
      </c>
      <c r="S706" t="n">
        <v>0</v>
      </c>
      <c r="T706">
        <f>290*T705/1000</f>
        <v/>
      </c>
      <c r="U706" t="n">
        <v>0</v>
      </c>
    </row>
    <row r="707">
      <c r="A707">
        <f>Skills!A5</f>
        <v/>
      </c>
      <c r="B707">
        <f>Skills!B5</f>
        <v/>
      </c>
      <c r="C707">
        <f>Inputs!$B$3&gt;=40</f>
        <v/>
      </c>
      <c r="D707">
        <f>IF(Skills!C5=1,60+Inputs!$B$26+Inputs!$B$30,IF(Skills!C5=2,90+Inputs!$B$27+Inputs!$B$30,IF(Skills!C5=3,120+Inputs!$B$28+Inputs!$B$30,MAX(0,(Inputs!$B$3-100)*3)+Inputs!$B$29+Inputs!$B$30)))</f>
        <v/>
      </c>
      <c r="E707">
        <f>INDEX(FactorTable!$B$2:$Y$301, MATCH(ROUND(MIN(300,MAX(1,D707)),0), FactorTable!$A$2:$A$301,0), Skills!L5+1)</f>
        <v/>
      </c>
      <c r="F707">
        <f>IF(Skills!M5=TRUE,(Skills!K5/10)*(E707/1000),Skills!K5/10)+Skills!N5</f>
        <v/>
      </c>
      <c r="G707">
        <f>Calc!G5</f>
        <v/>
      </c>
      <c r="H707">
        <f>Calc!H5</f>
        <v/>
      </c>
      <c r="I707">
        <f>IF(Skills!T5&lt;&gt;"",1+(Skills!T5/10)*($Z$3/1000)/100,1)</f>
        <v/>
      </c>
      <c r="J707" t="inlineStr"/>
      <c r="K707" t="inlineStr"/>
      <c r="L707" t="inlineStr"/>
      <c r="M707" t="inlineStr"/>
      <c r="N707" t="inlineStr"/>
      <c r="O707">
        <f>(1-Summary!$B$11)*S707+Summary!$B$11*U707</f>
        <v/>
      </c>
      <c r="P707">
        <f>IF(B745=0,0,O707/B745)</f>
        <v/>
      </c>
      <c r="Q707">
        <f>IFERROR(1/(IF(Inputs!$B$39="pvp",15,MAX(0.1,Skills!D5-IF(Skills!E5=TRUE,Inputs!$B$33,0)))*(1-IF(AND(ArtifactsInput!$M$27,Inputs!$B$4="Chapter Hunt"),CHOOSE(ArtifactsInput!$N$27+1,20,24,28,32,36,40),0)/100)),0)</f>
        <v/>
      </c>
      <c r="R707">
        <f>IF(AND(Inputs!$B$39&lt;&gt;"pvp",Inputs!$B$44&gt;0),IF(Inputs!$B$44&lt;=0,0,(INT(Inputs!$B$44/(IF(Inputs!$B$39="pvp",15,MAX(0.1,Skills!D5-IF(Skills!E5=TRUE,Inputs!$B$33,0)))*(1-IF(AND(ArtifactsInput!$M$27,Inputs!$B$4="Chapter Hunt"),CHOOSE(ArtifactsInput!$N$27+1,20,24,28,32,36,40),0)/100)))+1)),0)</f>
        <v/>
      </c>
      <c r="S707" t="n">
        <v>0</v>
      </c>
      <c r="U707" t="n">
        <v>0</v>
      </c>
    </row>
    <row r="708">
      <c r="A708">
        <f>Skills!A6</f>
        <v/>
      </c>
      <c r="B708">
        <f>Skills!B6</f>
        <v/>
      </c>
      <c r="C708">
        <f>Inputs!$B$3&gt;=103</f>
        <v/>
      </c>
      <c r="D708">
        <f>IF(Skills!C6=1,60+Inputs!$B$26+Inputs!$B$30,IF(Skills!C6=2,90+Inputs!$B$27+Inputs!$B$30,IF(Skills!C6=3,120+Inputs!$B$28+Inputs!$B$30,MAX(0,(Inputs!$B$3-100)*3)+Inputs!$B$29+Inputs!$B$30)))</f>
        <v/>
      </c>
      <c r="E708">
        <f>INDEX(FactorTable!$B$2:$Y$301, MATCH(ROUND(MIN(300,MAX(1,D708)),0), FactorTable!$A$2:$A$301,0), Skills!L6+1)</f>
        <v/>
      </c>
      <c r="F708">
        <f>IF(Skills!M6=TRUE,(Skills!K6/10)*(E708/1000),Skills!K6/10)+Skills!N6</f>
        <v/>
      </c>
      <c r="G708">
        <f>Calc!G6</f>
        <v/>
      </c>
      <c r="H708">
        <f>Calc!H6</f>
        <v/>
      </c>
      <c r="I708">
        <f>IF(Skills!T6&lt;&gt;"",1+(Skills!T6/10)*($Z$3/1000)/100,1)</f>
        <v/>
      </c>
      <c r="J708">
        <f>((Inputs!$B$6*(1+Inputs!$B$7/100))+(((Inputs!$B$13*(1+Inputs!$B$14/100))-(Inputs!$B$13*(1+Inputs!$B$14/100)))+0.25*(Inputs!$B$15-Inputs!$B$15))*(1+Inputs!$B$7/100))*(F708/100)</f>
        <v/>
      </c>
      <c r="K708">
        <f>J708*(1+(((Inputs!$B$13+IF(Inputs!$B$3&gt;=35,(10*INDEX(FactorTable!$B$2:$Y$301,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6="TRIUMPH_FEATHER",IF(C718=TRUE,F718,0),0)/100)*(1+IF(C729=TRUE,F729,0)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708)</f>
        <v/>
      </c>
      <c r="L708">
        <f>K708*(MIN(Inputs!$B$23+(F724-Calc!F22),(Inputs!$B$24+IF(ArtifactsInput!$M$15,CHOOSE(ArtifactsInput!$N$15+1,25,30,35,40,45,50)/100*(Inputs!$B$12-Inputs!$B$12),0)))/100+(Inputs!$B$24+IF(ArtifactsInput!$M$15,CHOOSE(ArtifactsInput!$N$15+1,25,30,35,40,45,50)/100*(Inputs!$B$12-Inputs!$B$12),0))/100)/2</f>
        <v/>
      </c>
      <c r="M708">
        <f>L708*(1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8">
        <f>L708*(1-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(1-Summary!$B$11)*S708+Summary!$B$11*U708</f>
        <v/>
      </c>
      <c r="P708">
        <f>IF(B745=0,0,O708/B745)</f>
        <v/>
      </c>
      <c r="Q708">
        <f>IFERROR(1/(IF(Inputs!$B$39="pvp",15,MAX(0.1,Skills!D6-IF(Skills!E6=TRUE,Inputs!$B$33,0)))*(1-IF(AND(ArtifactsInput!$M$27,Inputs!$B$4="Chapter Hunt"),CHOOSE(ArtifactsInput!$N$27+1,20,24,28,32,36,40),0)/100)),0)</f>
        <v/>
      </c>
      <c r="R708">
        <f>IF(AND(Inputs!$B$39&lt;&gt;"pvp",Inputs!$B$44&gt;0),IF(MAX(0,Inputs!$B$44-B742)&lt;=0,0,(INT(MAX(0,Inputs!$B$44-B742)/(IF(Inputs!$B$39="pvp",15,MAX(0.1,Skills!D6-IF(Skills!E6=TRUE,Inputs!$B$33,0)))*(1-IF(AND(ArtifactsInput!$M$27,Inputs!$B$4="Chapter Hunt"),CHOOSE(ArtifactsInput!$N$27+1,20,24,28,32,36,40),0)/100)))+1)),0)</f>
        <v/>
      </c>
      <c r="S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$21+Skills!O6+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708*(1-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$22+Skills!P6+B734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Skills!A7</f>
        <v/>
      </c>
      <c r="B709">
        <f>Skills!B7</f>
        <v/>
      </c>
      <c r="C709">
        <f>Inputs!$B$3&gt;=122</f>
        <v/>
      </c>
      <c r="D709">
        <f>IF(Skills!C7=1,60+Inputs!$B$26+Inputs!$B$30,IF(Skills!C7=2,90+Inputs!$B$27+Inputs!$B$30,IF(Skills!C7=3,120+Inputs!$B$28+Inputs!$B$30,MAX(0,(Inputs!$B$3-100)*3)+Inputs!$B$29+Inputs!$B$30)))</f>
        <v/>
      </c>
      <c r="E709">
        <f>INDEX(FactorTable!$B$2:$Y$301, MATCH(ROUND(MIN(300,MAX(1,D709)),0), FactorTable!$A$2:$A$301,0), Skills!L7+1)</f>
        <v/>
      </c>
      <c r="F709">
        <f>IF(Skills!M7=TRUE,(Skills!K7/10)*(E709/1000),Skills!K7/10)+Skills!N7</f>
        <v/>
      </c>
      <c r="G709">
        <f>Calc!G7</f>
        <v/>
      </c>
      <c r="H709">
        <f>Calc!H7</f>
        <v/>
      </c>
      <c r="I709">
        <f>IF(Skills!T7&lt;&gt;"",1+(Skills!T7/10)*($Z$3/1000)/100,1)</f>
        <v/>
      </c>
      <c r="J709">
        <f>((Inputs!$B$6*(1+Inputs!$B$7/100))+(((Inputs!$B$13*(1+Inputs!$B$14/100))-(Inputs!$B$13*(1+Inputs!$B$14/100)))+0.25*(Inputs!$B$15-Inputs!$B$15))*(1+Inputs!$B$7/100))*(F709/100)</f>
        <v/>
      </c>
      <c r="K709">
        <f>J709*(1+(((Inputs!$B$13+IF(Inputs!$B$3&gt;=35,(10*INDEX(FactorTable!$B$2:$Y$301,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7="TRIUMPH_FEATHER",IF(C718=TRUE,F718,0),0)/100)*(1+IF(C729=TRUE,F729,0)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709)</f>
        <v/>
      </c>
      <c r="L709">
        <f>K709*(MIN(Inputs!$B$23+(F724-Calc!F22),(Inputs!$B$24+IF(ArtifactsInput!$M$15,CHOOSE(ArtifactsInput!$N$15+1,25,30,35,40,45,50)/100*(Inputs!$B$12-Inputs!$B$12),0)))/100+(Inputs!$B$24+IF(ArtifactsInput!$M$15,CHOOSE(ArtifactsInput!$N$15+1,25,30,35,40,45,50)/100*(Inputs!$B$12-Inputs!$B$12),0))/100)/2</f>
        <v/>
      </c>
      <c r="M709">
        <f>L709*(1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9">
        <f>L709*(1-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(1-Summary!$B$11)*S709+Summary!$B$11*U709</f>
        <v/>
      </c>
      <c r="P709">
        <f>IF(B745=0,0,O709/B745)</f>
        <v/>
      </c>
      <c r="Q709">
        <f>IFERROR(1/(IF(Inputs!$B$39="pvp",15,MAX(0.1,Skills!D7-IF(Skills!E6=TRUE,Inputs!$B$33,0)))*(1-IF(AND(ArtifactsInput!$M$27,Inputs!$B$4="Chapter Hunt"),CHOOSE(ArtifactsInput!$N$27+1,20,24,28,32,36,40),0)/100)),0)</f>
        <v/>
      </c>
      <c r="R709">
        <f>IF(AND(Inputs!$B$39&lt;&gt;"pvp",Inputs!$B$44&gt;0),IF(MAX(0,Inputs!$B$44-B742)&lt;=0,0,(INT(MAX(0,Inputs!$B$44-B742)/(IF(Inputs!$B$39="pvp",15,MAX(0.1,Skills!D7-IF(Skills!E6=TRUE,Inputs!$B$33,0)))*(1-IF(AND(ArtifactsInput!$M$27,Inputs!$B$4="Chapter Hunt"),CHOOSE(ArtifactsInput!$N$27+1,20,24,28,32,36,40),0)/100)))+1)),0)</f>
        <v/>
      </c>
      <c r="S709">
        <f>IF(C709,H709*N709*IF(AND(Inputs!$B$39&lt;&gt;"pvp",Inputs!$B$44&gt;0),((Skills!F7*((R709-1)*IF(Skills!G7&gt;0,Skills!H7/Skills!G7,1)+IF(Skills!G7&gt;0,MIN(Skills!H7,MAX(0,MAX(0,Inputs!$B$44-B742)-((R709-1)*(IF(Inputs!$B$39="pvp",15,MAX(0.1,Skills!D7-IF(Skills!E6=TRUE,Inputs!$B$33,0)))*(1-IF(AND(ArtifactsInput!$M$27,Inputs!$B$4="Chapter Hunt"),CHOOSE(ArtifactsInput!$N$27+1,20,24,28,32,36,40),0)/100)))))/Skills!G7,1)))/Inputs!$B$44),G709*Q709)*IF(Inputs!$B$39="pvp",1,1+(Inputs!$B$21+Skills!O7+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709*(1-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9" t="n">
        <v>0</v>
      </c>
    </row>
    <row r="710">
      <c r="A710">
        <f>Skills!A8</f>
        <v/>
      </c>
      <c r="B710">
        <f>Skills!B8</f>
        <v/>
      </c>
      <c r="C710">
        <f>Inputs!$B$3&gt;=105</f>
        <v/>
      </c>
      <c r="D710">
        <f>IF(Skills!C8=1,60+Inputs!$B$26+Inputs!$B$30,IF(Skills!C8=2,90+Inputs!$B$27+Inputs!$B$30,IF(Skills!C8=3,120+Inputs!$B$28+Inputs!$B$30,MAX(0,(Inputs!$B$3-100)*3)+Inputs!$B$29+Inputs!$B$30)))</f>
        <v/>
      </c>
      <c r="E710">
        <f>INDEX(FactorTable!$B$2:$Y$301, MATCH(ROUND(MIN(300,MAX(1,D710)),0), FactorTable!$A$2:$A$301,0), Skills!L8+1)</f>
        <v/>
      </c>
      <c r="F710">
        <f>IF(Skills!M8=TRUE,(Skills!K8/10)*(E710/1000),Skills!K8/10)+Skills!N8</f>
        <v/>
      </c>
      <c r="G710">
        <f>Calc!G8</f>
        <v/>
      </c>
      <c r="H710">
        <f>Calc!H8</f>
        <v/>
      </c>
      <c r="I710">
        <f>IF(Skills!T8&lt;&gt;"",1+(Skills!T8/10)*($Z$3/1000)/100,1)</f>
        <v/>
      </c>
      <c r="J710">
        <f>((Inputs!$B$6*(1+Inputs!$B$7/100))+(((Inputs!$B$13*(1+Inputs!$B$14/100))-(Inputs!$B$13*(1+Inputs!$B$14/100)))+0.25*(Inputs!$B$15-Inputs!$B$15))*(1+Inputs!$B$7/100))*(F710/100)</f>
        <v/>
      </c>
      <c r="K710">
        <f>J710*(1+(((Inputs!$B$13+IF(Inputs!$B$3&gt;=35,(10*INDEX(FactorTable!$B$2:$Y$301,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8="TRIUMPH_FEATHER",IF(C718=TRUE,F718,0),0)/100)*(1+IF(C729=TRUE,F729,0)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710)</f>
        <v/>
      </c>
      <c r="L710">
        <f>K710*(MIN(Inputs!$B$23+(F724-Calc!F22),(Inputs!$B$24+IF(ArtifactsInput!$M$15,CHOOSE(ArtifactsInput!$N$15+1,25,30,35,40,45,50)/100*(Inputs!$B$12-Inputs!$B$12),0)))/100+(Inputs!$B$24+IF(ArtifactsInput!$M$15,CHOOSE(ArtifactsInput!$N$15+1,25,30,35,40,45,50)/100*(Inputs!$B$12-Inputs!$B$12),0))/100)/2</f>
        <v/>
      </c>
      <c r="M710">
        <f>L710*(1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0">
        <f>L710*(1-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(1-Summary!$B$11)*S710+Summary!$B$11*U710</f>
        <v/>
      </c>
      <c r="P710">
        <f>IF(B745=0,0,O710/B745)</f>
        <v/>
      </c>
      <c r="Q710">
        <f>IFERROR(1/(IF(Inputs!$B$39="pvp",15,MAX(0.1,Skills!D8-IF(Skills!E8=TRUE,Inputs!$B$33,0)))*(1-IF(AND(ArtifactsInput!$M$27,Inputs!$B$4="Chapter Hunt"),CHOOSE(ArtifactsInput!$N$27+1,20,24,28,32,36,40),0)/100)),0)</f>
        <v/>
      </c>
      <c r="R710">
        <f>IF(AND(Inputs!$B$39&lt;&gt;"pvp",Inputs!$B$44&gt;0),IF(MAX(0,Inputs!$B$44-B742)&lt;=0,0,(INT(MAX(0,Inputs!$B$44-B742)/(IF(Inputs!$B$39="pvp",15,MAX(0.1,Skills!D8-IF(Skills!E8=TRUE,Inputs!$B$33,0)))*(1-IF(AND(ArtifactsInput!$M$27,Inputs!$B$4="Chapter Hunt"),CHOOSE(ArtifactsInput!$N$27+1,20,24,28,32,36,40),0)/100)))+1)),0)</f>
        <v/>
      </c>
      <c r="S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$21+Skills!O8+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710*(1-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$22+Skills!P8+B734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Skills!A9</f>
        <v/>
      </c>
      <c r="B711">
        <f>Skills!B9</f>
        <v/>
      </c>
      <c r="C711">
        <f>Inputs!$B$3&gt;=115</f>
        <v/>
      </c>
      <c r="D711">
        <f>IF(Skills!C9=1,60+Inputs!$B$26+Inputs!$B$30,IF(Skills!C9=2,90+Inputs!$B$27+Inputs!$B$30,IF(Skills!C9=3,120+Inputs!$B$28+Inputs!$B$30,MAX(0,(Inputs!$B$3-100)*3)+Inputs!$B$29+Inputs!$B$30)))</f>
        <v/>
      </c>
      <c r="E711">
        <f>INDEX(FactorTable!$B$2:$Y$301, MATCH(ROUND(MIN(300,MAX(1,D711)),0), FactorTable!$A$2:$A$301,0), Skills!L9+1)</f>
        <v/>
      </c>
      <c r="F711">
        <f>IF(Skills!M9=TRUE,(Skills!K9/10)*(E711/1000),Skills!K9/10)+Skills!N9</f>
        <v/>
      </c>
      <c r="G711">
        <f>Calc!G9</f>
        <v/>
      </c>
      <c r="H711">
        <f>Calc!H9</f>
        <v/>
      </c>
      <c r="I711">
        <f>IF(Skills!T9&lt;&gt;"",1+(Skills!T9/10)*($Z$3/1000)/100,1)</f>
        <v/>
      </c>
      <c r="J711">
        <f>((Inputs!$B$6*(1+Inputs!$B$7/100))+(((Inputs!$B$13*(1+Inputs!$B$14/100))-(Inputs!$B$13*(1+Inputs!$B$14/100)))+0.25*(Inputs!$B$15-Inputs!$B$15))*(1+Inputs!$B$7/100))*(F711/100)</f>
        <v/>
      </c>
      <c r="K711">
        <f>J711*(1+(((Inputs!$B$13+IF(Inputs!$B$3&gt;=35,(10*INDEX(FactorTable!$B$2:$Y$301,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9="TRIUMPH_FEATHER",IF(C718=TRUE,F718,0),0)/100)*(1+IF(C729=TRUE,F729,0)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711)</f>
        <v/>
      </c>
      <c r="L711">
        <f>K711*(MIN(Inputs!$B$23+(F724-Calc!F22),(Inputs!$B$24+IF(ArtifactsInput!$M$15,CHOOSE(ArtifactsInput!$N$15+1,25,30,35,40,45,50)/100*(Inputs!$B$12-Inputs!$B$12),0)))/100+(Inputs!$B$24+IF(ArtifactsInput!$M$15,CHOOSE(ArtifactsInput!$N$15+1,25,30,35,40,45,50)/100*(Inputs!$B$12-Inputs!$B$12),0))/100)/2</f>
        <v/>
      </c>
      <c r="M711">
        <f>L711*(1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1">
        <f>L711*(1-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(1-Summary!$B$11)*S711+Summary!$B$11*U711</f>
        <v/>
      </c>
      <c r="P711">
        <f>IF(B745=0,0,O711/B745)</f>
        <v/>
      </c>
      <c r="Q711">
        <f>IFERROR(1/(IF(Inputs!$B$39="pvp",15,MAX(0.1,Skills!D9-IF(Skills!E9=TRUE,Inputs!$B$33,0)))*(1-IF(AND(ArtifactsInput!$M$27,Inputs!$B$4="Chapter Hunt"),CHOOSE(ArtifactsInput!$N$27+1,20,24,28,32,36,40),0)/100)),0)</f>
        <v/>
      </c>
      <c r="R711">
        <f>IF(AND(Inputs!$B$39&lt;&gt;"pvp",Inputs!$B$44&gt;0),IF(MAX(0,Inputs!$B$44-B742)&lt;=0,0,(INT(MAX(0,Inputs!$B$44-B742)/(IF(Inputs!$B$39="pvp",15,MAX(0.1,Skills!D9-IF(Skills!E9=TRUE,Inputs!$B$33,0)))*(1-IF(AND(ArtifactsInput!$M$27,Inputs!$B$4="Chapter Hunt"),CHOOSE(ArtifactsInput!$N$27+1,20,24,28,32,36,40),0)/100)))+1)),0)</f>
        <v/>
      </c>
      <c r="S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$21+Skills!O9+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$22+Skills!P9+B734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Skills!A10</f>
        <v/>
      </c>
      <c r="B712">
        <f>Skills!B10</f>
        <v/>
      </c>
      <c r="C712">
        <f>Inputs!$B$3&gt;=66</f>
        <v/>
      </c>
      <c r="D712">
        <f>IF(Skills!C10=1,60+Inputs!$B$26+Inputs!$B$30,IF(Skills!C10=2,90+Inputs!$B$27+Inputs!$B$30,IF(Skills!C10=3,120+Inputs!$B$28+Inputs!$B$30,MAX(0,(Inputs!$B$3-100)*3)+Inputs!$B$29+Inputs!$B$30)))</f>
        <v/>
      </c>
      <c r="E712">
        <f>INDEX(FactorTable!$B$2:$Y$301, MATCH(ROUND(MIN(300,MAX(1,D712)),0), FactorTable!$A$2:$A$301,0), Skills!L10+1)</f>
        <v/>
      </c>
      <c r="F712" t="n">
        <v>0</v>
      </c>
      <c r="G712">
        <f>Calc!G10</f>
        <v/>
      </c>
      <c r="H712">
        <f>Calc!H10</f>
        <v/>
      </c>
      <c r="I712">
        <f>IF(Skills!T10&lt;&gt;"",1+(Skills!T10/10)*($Z$3/1000)/100,1)</f>
        <v/>
      </c>
      <c r="J712" t="inlineStr"/>
      <c r="K712" t="inlineStr"/>
      <c r="L712" t="inlineStr"/>
      <c r="M712" t="inlineStr"/>
      <c r="N712" t="inlineStr"/>
      <c r="O712">
        <f>(1-Summary!$B$11)*S712+Summary!$B$11*U712</f>
        <v/>
      </c>
      <c r="P712">
        <f>IF(B745=0,0,O712/B745)</f>
        <v/>
      </c>
      <c r="Q712">
        <f>IFERROR(1/(IF(Inputs!$B$39="pvp",15,MAX(0.1,Skills!D10-IF(Skills!E10=TRUE,Inputs!$B$33,0)))*(1-IF(AND(ArtifactsInput!$M$27,Inputs!$B$4="Chapter Hunt"),CHOOSE(ArtifactsInput!$N$27+1,20,24,28,32,36,40),0)/100)),0)</f>
        <v/>
      </c>
      <c r="R712">
        <f>IF(AND(Inputs!$B$39&lt;&gt;"pvp",Inputs!$B$44&gt;0),IF(MAX(0,Inputs!$B$44-B742)&lt;=0,0,(INT(MAX(0,Inputs!$B$44-B742)/(IF(Inputs!$B$39="pvp",15,MAX(0.1,Skills!D10-IF(Skills!E10=TRUE,Inputs!$B$33,0)))*(1-IF(AND(ArtifactsInput!$M$27,Inputs!$B$4="Chapter Hunt"),CHOOSE(ArtifactsInput!$N$27+1,20,24,28,32,36,40),0)/100)))+1)),0)</f>
        <v/>
      </c>
      <c r="S712" t="n">
        <v>0</v>
      </c>
      <c r="U712" t="n">
        <v>0</v>
      </c>
    </row>
    <row r="713">
      <c r="A713">
        <f>Skills!A11</f>
        <v/>
      </c>
      <c r="B713">
        <f>Skills!B11</f>
        <v/>
      </c>
      <c r="C713">
        <f>Inputs!$B$3&gt;=69</f>
        <v/>
      </c>
      <c r="D713">
        <f>IF(Skills!C11=1,60+Inputs!$B$26+Inputs!$B$30,IF(Skills!C11=2,90+Inputs!$B$27+Inputs!$B$30,IF(Skills!C11=3,120+Inputs!$B$28+Inputs!$B$30,MAX(0,(Inputs!$B$3-100)*3)+Inputs!$B$29+Inputs!$B$30)))</f>
        <v/>
      </c>
      <c r="E713">
        <f>INDEX(FactorTable!$B$2:$Y$301, MATCH(ROUND(MIN(300,MAX(1,D713)),0), FactorTable!$A$2:$A$301,0), Skills!L11+1)</f>
        <v/>
      </c>
      <c r="F713">
        <f>IF(Skills!M11=TRUE,(Skills!K11/10)*(E713/1000),Skills!K11/10)+Skills!N11</f>
        <v/>
      </c>
      <c r="G713">
        <f>Calc!G11</f>
        <v/>
      </c>
      <c r="H713">
        <f>Calc!H11</f>
        <v/>
      </c>
      <c r="I713">
        <f>IF(Skills!T11&lt;&gt;"",1+(Skills!T11/10)*($Z$3/1000)/100,1)</f>
        <v/>
      </c>
      <c r="J713" t="inlineStr"/>
      <c r="K713" t="inlineStr"/>
      <c r="L713" t="inlineStr"/>
      <c r="M713" t="inlineStr"/>
      <c r="N713" t="inlineStr"/>
      <c r="O713">
        <f>(1-Summary!$B$11)*S713+Summary!$B$11*U713</f>
        <v/>
      </c>
      <c r="P713">
        <f>IF(B745=0,0,O713/B745)</f>
        <v/>
      </c>
      <c r="Q713">
        <f>IFERROR(1/(IF(Inputs!$B$39="pvp",15,MAX(0.1,Skills!D11-IF(Skills!E11=TRUE,Inputs!$B$33,0)))*(1-IF(AND(ArtifactsInput!$M$27,Inputs!$B$4="Chapter Hunt"),CHOOSE(ArtifactsInput!$N$27+1,20,24,28,32,36,40),0)/100)),0)</f>
        <v/>
      </c>
      <c r="R713">
        <f>IF(AND(Inputs!$B$39&lt;&gt;"pvp",Inputs!$B$44&gt;0),IF(Inputs!$B$44&lt;=0,0,(INT(Inputs!$B$44/(IF(Inputs!$B$39="pvp",15,MAX(0.1,Skills!D11-IF(Skills!E11=TRUE,Inputs!$B$33,0)))*(1-IF(AND(ArtifactsInput!$M$27,Inputs!$B$4="Chapter Hunt"),CHOOSE(ArtifactsInput!$N$27+1,20,24,28,32,36,40),0)/100)))+1)),0)</f>
        <v/>
      </c>
      <c r="S713" t="n">
        <v>0</v>
      </c>
      <c r="U713" t="n">
        <v>0</v>
      </c>
    </row>
    <row r="714">
      <c r="A714">
        <f>Skills!A12</f>
        <v/>
      </c>
      <c r="B714">
        <f>Skills!B12</f>
        <v/>
      </c>
      <c r="C714">
        <f>Inputs!$B$3&gt;=72</f>
        <v/>
      </c>
      <c r="D714">
        <f>IF(Skills!C12=1,60+Inputs!$B$26+Inputs!$B$30,IF(Skills!C12=2,90+Inputs!$B$27+Inputs!$B$30,IF(Skills!C12=3,120+Inputs!$B$28+Inputs!$B$30,MAX(0,(Inputs!$B$3-100)*3)+Inputs!$B$29+Inputs!$B$30)))</f>
        <v/>
      </c>
      <c r="E714">
        <f>INDEX(FactorTable!$B$2:$Y$301, MATCH(ROUND(MIN(300,MAX(1,D714)),0), FactorTable!$A$2:$A$301,0), Skills!L12+1)</f>
        <v/>
      </c>
      <c r="F714">
        <f>IF(Skills!M12=TRUE,(Skills!K12/10)*(E714/1000),Skills!K12/10)+Skills!N12</f>
        <v/>
      </c>
      <c r="G714">
        <f>Calc!G12</f>
        <v/>
      </c>
      <c r="H714">
        <f>Calc!H12</f>
        <v/>
      </c>
      <c r="I714">
        <f>IF(Skills!T12&lt;&gt;"",1+(Skills!T12/10)*($Z$3/1000)/100,1)</f>
        <v/>
      </c>
      <c r="J714" t="inlineStr"/>
      <c r="K714" t="inlineStr"/>
      <c r="L714" t="inlineStr"/>
      <c r="M714" t="inlineStr"/>
      <c r="N714" t="inlineStr"/>
      <c r="O714">
        <f>(1-Summary!$B$11)*S714+Summary!$B$11*U714</f>
        <v/>
      </c>
      <c r="P714">
        <f>IF(B745=0,0,O714/B745)</f>
        <v/>
      </c>
      <c r="Q714">
        <f>IFERROR(1/(IF(Inputs!$B$39="pvp",15,MAX(0.1,Skills!D12-IF(Skills!E12=TRUE,Inputs!$B$33,0)))*(1-IF(AND(ArtifactsInput!$M$27,Inputs!$B$4="Chapter Hunt"),CHOOSE(ArtifactsInput!$N$27+1,20,24,28,32,36,40),0)/100)),0)</f>
        <v/>
      </c>
      <c r="R714">
        <f>IF(AND(Inputs!$B$39&lt;&gt;"pvp",Inputs!$B$44&gt;0),IF(MAX(0,Inputs!$B$44-B742)&lt;=0,0,(INT(MAX(0,Inputs!$B$44-B742)/(IF(Inputs!$B$39="pvp",15,MAX(0.1,Skills!D12-IF(Skills!E12=TRUE,Inputs!$B$33,0)))*(1-IF(AND(ArtifactsInput!$M$27,Inputs!$B$4="Chapter Hunt"),CHOOSE(ArtifactsInput!$N$27+1,20,24,28,32,36,40),0)/100)))+1)),0)</f>
        <v/>
      </c>
      <c r="S714" t="n">
        <v>0</v>
      </c>
      <c r="U714" t="n">
        <v>0</v>
      </c>
    </row>
    <row r="715">
      <c r="A715">
        <f>Skills!A13</f>
        <v/>
      </c>
      <c r="B715">
        <f>Skills!B13</f>
        <v/>
      </c>
      <c r="C715">
        <f>Inputs!$B$3&gt;=60</f>
        <v/>
      </c>
      <c r="D715">
        <f>IF(Skills!C13=1,60+Inputs!$B$26+Inputs!$B$30,IF(Skills!C13=2,90+Inputs!$B$27+Inputs!$B$30,IF(Skills!C13=3,120+Inputs!$B$28+Inputs!$B$30,MAX(0,(Inputs!$B$3-100)*3)+Inputs!$B$29+Inputs!$B$30)))</f>
        <v/>
      </c>
      <c r="E715">
        <f>INDEX(FactorTable!$B$2:$Y$301, MATCH(ROUND(MIN(300,MAX(1,D715)),0), FactorTable!$A$2:$A$301,0), Skills!L13+1)</f>
        <v/>
      </c>
      <c r="F715">
        <f>IF(Skills!M13=TRUE,(Skills!K13/10)*(E715/1000),Skills!K13/10)+Skills!N13</f>
        <v/>
      </c>
      <c r="G715">
        <f>Calc!G13</f>
        <v/>
      </c>
      <c r="H715">
        <f>Calc!H13</f>
        <v/>
      </c>
      <c r="I715">
        <f>IF(Skills!T13&lt;&gt;"",1+(Skills!T13/10)*($Z$3/1000)/100,1)</f>
        <v/>
      </c>
      <c r="J715" t="inlineStr"/>
      <c r="K715" t="inlineStr"/>
      <c r="L715" t="inlineStr"/>
      <c r="M715" t="inlineStr"/>
      <c r="N715" t="inlineStr"/>
      <c r="O715">
        <f>(1-Summary!$B$11)*S715+Summary!$B$11*U715</f>
        <v/>
      </c>
      <c r="P715">
        <f>IF(B745=0,0,O715/B745)</f>
        <v/>
      </c>
      <c r="Q715">
        <f>IFERROR(1/(IF(Inputs!$B$39="pvp",15,MAX(0.1,Skills!D13-IF(Skills!E13=TRUE,Inputs!$B$33,0)))*(1-IF(AND(ArtifactsInput!$M$27,Inputs!$B$4="Chapter Hunt"),CHOOSE(ArtifactsInput!$N$27+1,20,24,28,32,36,40),0)/100)),0)</f>
        <v/>
      </c>
      <c r="R715">
        <f>IF(AND(Inputs!$B$39&lt;&gt;"pvp",Inputs!$B$44&gt;0),IF(MAX(0,Inputs!$B$44-B742)&lt;=0,0,(INT(MAX(0,Inputs!$B$44-B742)/(IF(Inputs!$B$39="pvp",15,MAX(0.1,Skills!D13-IF(Skills!E13=TRUE,Inputs!$B$33,0)))*(1-IF(AND(ArtifactsInput!$M$27,Inputs!$B$4="Chapter Hunt"),CHOOSE(ArtifactsInput!$N$27+1,20,24,28,32,36,40),0)/100)))+1)),0)</f>
        <v/>
      </c>
      <c r="S715" t="n">
        <v>0</v>
      </c>
      <c r="U715" t="n">
        <v>0</v>
      </c>
    </row>
    <row r="716">
      <c r="A716">
        <f>Skills!A14</f>
        <v/>
      </c>
      <c r="B716">
        <f>Skills!B14</f>
        <v/>
      </c>
      <c r="C716">
        <f>Inputs!$B$3&gt;=107</f>
        <v/>
      </c>
      <c r="D716">
        <f>IF(Skills!C14=1,60+Inputs!$B$26+Inputs!$B$30,IF(Skills!C14=2,90+Inputs!$B$27+Inputs!$B$30,IF(Skills!C14=3,120+Inputs!$B$28+Inputs!$B$30,MAX(0,(Inputs!$B$3-100)*3)+Inputs!$B$29+Inputs!$B$30)))</f>
        <v/>
      </c>
      <c r="E716">
        <f>INDEX(FactorTable!$B$2:$Y$301, MATCH(ROUND(MIN(300,MAX(1,D716)),0), FactorTable!$A$2:$A$301,0), Skills!L14+1)</f>
        <v/>
      </c>
      <c r="F716">
        <f>IF(Skills!M14=TRUE,(Skills!K14/10)*(E716/1000),Skills!K14/10)+Skills!N14</f>
        <v/>
      </c>
      <c r="G716">
        <f>Calc!G14</f>
        <v/>
      </c>
      <c r="H716">
        <f>Calc!H14</f>
        <v/>
      </c>
      <c r="I716">
        <f>IF(Skills!T14&lt;&gt;"",1+(Skills!T14/10)*($Z$3/1000)/100,1)</f>
        <v/>
      </c>
      <c r="J716" t="inlineStr"/>
      <c r="K716" t="inlineStr"/>
      <c r="L716" t="inlineStr"/>
      <c r="M716" t="inlineStr"/>
      <c r="N716" t="inlineStr"/>
      <c r="O716">
        <f>(1-Summary!$B$11)*S716+Summary!$B$11*U716</f>
        <v/>
      </c>
      <c r="P716">
        <f>IF(B745=0,0,O716/B745)</f>
        <v/>
      </c>
      <c r="Q716">
        <f>IFERROR(1/(IF(Inputs!$B$39="pvp",15,MAX(0.1,Skills!D14-IF(Skills!E14=TRUE,Inputs!$B$33,0)))*(1-IF(AND(ArtifactsInput!$M$27,Inputs!$B$4="Chapter Hunt"),CHOOSE(ArtifactsInput!$N$27+1,20,24,28,32,36,40),0)/100)),0)</f>
        <v/>
      </c>
      <c r="R716">
        <f>IF(AND(Inputs!$B$39&lt;&gt;"pvp",Inputs!$B$44&gt;0),IF(Inputs!$B$44&lt;=0,0,(INT(Inputs!$B$44/(IF(Inputs!$B$39="pvp",15,MAX(0.1,Skills!D14-IF(Skills!E14=TRUE,Inputs!$B$33,0)))*(1-IF(AND(ArtifactsInput!$M$27,Inputs!$B$4="Chapter Hunt"),CHOOSE(ArtifactsInput!$N$27+1,20,24,28,32,36,40),0)/100)))+1)),0)</f>
        <v/>
      </c>
      <c r="S716" t="n">
        <v>0</v>
      </c>
      <c r="U716" t="n">
        <v>0</v>
      </c>
    </row>
    <row r="717">
      <c r="A717">
        <f>Skills!A15</f>
        <v/>
      </c>
      <c r="B717">
        <f>Skills!B15</f>
        <v/>
      </c>
      <c r="C717">
        <f>Inputs!$B$3&gt;=63</f>
        <v/>
      </c>
      <c r="D717">
        <f>IF(Skills!C15=1,60+Inputs!$B$26+Inputs!$B$30,IF(Skills!C15=2,90+Inputs!$B$27+Inputs!$B$30,IF(Skills!C15=3,120+Inputs!$B$28+Inputs!$B$30,MAX(0,(Inputs!$B$3-100)*3)+Inputs!$B$29+Inputs!$B$30)))</f>
        <v/>
      </c>
      <c r="E717">
        <f>INDEX(FactorTable!$B$2:$Y$301, MATCH(ROUND(MIN(300,MAX(1,D717)),0), FactorTable!$A$2:$A$301,0), Skills!L15+1)</f>
        <v/>
      </c>
      <c r="F717">
        <f>IF(Skills!M15=TRUE,(Skills!K15/10)*(E717/1000),Skills!K15/10)+Skills!N15</f>
        <v/>
      </c>
      <c r="G717">
        <f>Calc!G15</f>
        <v/>
      </c>
      <c r="H717">
        <f>Calc!H15</f>
        <v/>
      </c>
      <c r="I717">
        <f>IF(Skills!T15&lt;&gt;"",1+(Skills!T15/10)*($Z$3/1000)/100,1)</f>
        <v/>
      </c>
      <c r="J717">
        <f>((Inputs!$B$6*(1+Inputs!$B$7/100))+(((Inputs!$B$13*(1+Inputs!$B$14/100))-(Inputs!$B$13*(1+Inputs!$B$14/100)))+0.25*(Inputs!$B$15-Inputs!$B$15))*(1+Inputs!$B$7/100))*(F717/100)</f>
        <v/>
      </c>
      <c r="K717">
        <f>J717*(1+(((Inputs!$B$13+IF(Inputs!$B$3&gt;=35,(10*INDEX(FactorTable!$B$2:$Y$301,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15="TRIUMPH_FEATHER",IF(C718=TRUE,F718,0),0)/100)*(1+IF(C729=TRUE,F729,0)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717)</f>
        <v/>
      </c>
      <c r="L717">
        <f>K717*(MIN(Inputs!$B$23+(F724-Calc!F22),(Inputs!$B$24+IF(ArtifactsInput!$M$15,CHOOSE(ArtifactsInput!$N$15+1,25,30,35,40,45,50)/100*(Inputs!$B$12-Inputs!$B$12),0)))/100+(Inputs!$B$24+IF(ArtifactsInput!$M$15,CHOOSE(ArtifactsInput!$N$15+1,25,30,35,40,45,50)/100*(Inputs!$B$12-Inputs!$B$12),0))/100)/2</f>
        <v/>
      </c>
      <c r="M717">
        <f>L717*(1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7">
        <f>L717*(1-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(1-Summary!$B$11)*S717+Summary!$B$11*U717</f>
        <v/>
      </c>
      <c r="P717">
        <f>IF(B745=0,0,O717/B745)</f>
        <v/>
      </c>
      <c r="Q717">
        <f>IFERROR(1/(IF(Inputs!$B$39="pvp",15,MAX(0.1,Skills!D15-IF(Skills!E15=TRUE,Inputs!$B$33,0)))*(1-IF(AND(ArtifactsInput!$M$27,Inputs!$B$4="Chapter Hunt"),CHOOSE(ArtifactsInput!$N$27+1,20,24,28,32,36,40),0)/100)),0)</f>
        <v/>
      </c>
      <c r="R717" t="n">
        <v>0</v>
      </c>
      <c r="S717">
        <f>IF(C717,(Skills!F15*N717*((IF(Inputs!$B$3&gt;=78,25,15)/100*B738*10)/(1+IF(Inputs!$B$3&gt;=78,25,15)/100*B738*10))*(Skills!I15/100*B738)/(1+Skills!G15*Skills!I15/100*B738))*IF(Inputs!$B$39="pvp",1,1+(Inputs!$B$21+Skills!O15+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717*(1-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7">
        <f>IF(C717,(Skills!F15*N717*((IF(Inputs!$B$3&gt;=78,25,15)/100*B738*10)/(1+IF(Inputs!$B$3&gt;=78,25,15)/100*B738*10))*(Skills!I15/100*B738)/(1+Skills!G15*Skills!I15/100*B738))*IF(Inputs!$B$39="pvp",1,(1+(Inputs!$B$22+Skills!P15+B734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Skills!A16</f>
        <v/>
      </c>
      <c r="B718">
        <f>Skills!B16</f>
        <v/>
      </c>
      <c r="C718">
        <f>Inputs!$B$3&gt;=100</f>
        <v/>
      </c>
      <c r="D718">
        <f>IF(Skills!C16=1,60+Inputs!$B$26+Inputs!$B$30,IF(Skills!C16=2,90+Inputs!$B$27+Inputs!$B$30,IF(Skills!C16=3,120+Inputs!$B$28+Inputs!$B$30,MAX(0,(Inputs!$B$3-100)*3)+Inputs!$B$29+Inputs!$B$30)))</f>
        <v/>
      </c>
      <c r="E718">
        <f>INDEX(FactorTable!$B$2:$Y$301, MATCH(ROUND(MIN(300,MAX(1,D718)),0), FactorTable!$A$2:$A$301,0), Skills!L16+1)</f>
        <v/>
      </c>
      <c r="F718">
        <f>IF(Skills!M16=TRUE,(Skills!K16/10)*(E718/1000),Skills!K16/10)+Skills!N16</f>
        <v/>
      </c>
      <c r="G718">
        <f>Calc!G16</f>
        <v/>
      </c>
      <c r="H718">
        <f>Calc!H16</f>
        <v/>
      </c>
      <c r="I718">
        <f>IF(Skills!T16&lt;&gt;"",1+(Skills!T16/10)*($Z$3/1000)/100,1)</f>
        <v/>
      </c>
      <c r="J718" t="inlineStr"/>
      <c r="K718" t="inlineStr"/>
      <c r="L718" t="inlineStr"/>
      <c r="M718" t="inlineStr"/>
      <c r="N718" t="inlineStr"/>
      <c r="O718">
        <f>(1-Summary!$B$11)*S718+Summary!$B$11*U718</f>
        <v/>
      </c>
      <c r="P718">
        <f>IF(B745=0,0,O718/B745)</f>
        <v/>
      </c>
      <c r="Q718">
        <f>IFERROR(1/(IF(Inputs!$B$39="pvp",15,MAX(0.1,Skills!D16-IF(Skills!E16=TRUE,Inputs!$B$33,0)))*(1-IF(AND(ArtifactsInput!$M$27,Inputs!$B$4="Chapter Hunt"),CHOOSE(ArtifactsInput!$N$27+1,20,24,28,32,36,40),0)/100)),0)</f>
        <v/>
      </c>
      <c r="R718" t="n">
        <v>0</v>
      </c>
      <c r="S718" t="n">
        <v>0</v>
      </c>
      <c r="U718" t="n">
        <v>0</v>
      </c>
    </row>
    <row r="719">
      <c r="A719">
        <f>Skills!A17</f>
        <v/>
      </c>
      <c r="B719">
        <f>Skills!B17</f>
        <v/>
      </c>
      <c r="C719">
        <f>Inputs!$B$3&gt;=49</f>
        <v/>
      </c>
      <c r="D719">
        <f>IF(Skills!C17=1,60+Inputs!$B$26+Inputs!$B$30,IF(Skills!C17=2,90+Inputs!$B$27+Inputs!$B$30,IF(Skills!C17=3,120+Inputs!$B$28+Inputs!$B$30,MAX(0,(Inputs!$B$3-100)*3)+Inputs!$B$29+Inputs!$B$30)))</f>
        <v/>
      </c>
      <c r="E719">
        <f>INDEX(FactorTable!$B$2:$Y$301, MATCH(ROUND(MIN(300,MAX(1,D719)),0), FactorTable!$A$2:$A$301,0), Skills!L17+1)</f>
        <v/>
      </c>
      <c r="F719">
        <f>IF(Skills!M17=TRUE,(Skills!K17/10)*(E719/1000),Skills!K17/10)+Skills!N17</f>
        <v/>
      </c>
      <c r="G719">
        <f>Calc!G17</f>
        <v/>
      </c>
      <c r="H719">
        <f>Calc!H17</f>
        <v/>
      </c>
      <c r="I719">
        <f>IF(Skills!T17&lt;&gt;"",1+(Skills!T17/10)*($Z$3/1000)/100,1)</f>
        <v/>
      </c>
      <c r="J719" t="inlineStr"/>
      <c r="K719" t="inlineStr"/>
      <c r="L719" t="inlineStr"/>
      <c r="M719" t="inlineStr"/>
      <c r="N719" t="inlineStr"/>
      <c r="O719">
        <f>(1-Summary!$B$11)*S719+Summary!$B$11*U719</f>
        <v/>
      </c>
      <c r="P719">
        <f>IF(B745=0,0,O719/B745)</f>
        <v/>
      </c>
      <c r="Q719">
        <f>IFERROR(1/(IF(Inputs!$B$39="pvp",15,MAX(0.1,Skills!D17-IF(Skills!E17=TRUE,Inputs!$B$33,0)))*(1-IF(AND(ArtifactsInput!$M$27,Inputs!$B$4="Chapter Hunt"),CHOOSE(ArtifactsInput!$N$27+1,20,24,28,32,36,40),0)/100)),0)</f>
        <v/>
      </c>
      <c r="R719" t="n">
        <v>0</v>
      </c>
      <c r="S719" t="n">
        <v>0</v>
      </c>
      <c r="U719" t="n">
        <v>0</v>
      </c>
    </row>
    <row r="720">
      <c r="A720">
        <f>Skills!A18</f>
        <v/>
      </c>
      <c r="B720">
        <f>Skills!B18</f>
        <v/>
      </c>
      <c r="C720">
        <f>Inputs!$B$3&gt;=75</f>
        <v/>
      </c>
      <c r="D720">
        <f>IF(Skills!C18=1,60+Inputs!$B$26+Inputs!$B$30,IF(Skills!C18=2,90+Inputs!$B$27+Inputs!$B$30,IF(Skills!C18=3,120+Inputs!$B$28+Inputs!$B$30,MAX(0,(Inputs!$B$3-100)*3)+Inputs!$B$29+Inputs!$B$30)))</f>
        <v/>
      </c>
      <c r="E720">
        <f>INDEX(FactorTable!$B$2:$Y$301, MATCH(ROUND(MIN(300,MAX(1,D720)),0), FactorTable!$A$2:$A$301,0), Skills!L18+1)</f>
        <v/>
      </c>
      <c r="F720">
        <f>IF(Skills!M18=TRUE,(Skills!K18/10)*(E720/1000),Skills!K18/10)+Skills!N18</f>
        <v/>
      </c>
      <c r="G720">
        <f>Calc!G18</f>
        <v/>
      </c>
      <c r="H720">
        <f>Calc!H18</f>
        <v/>
      </c>
      <c r="I720">
        <f>IF(Skills!T18&lt;&gt;"",1+(Skills!T18/10)*($Z$3/1000)/100,1)</f>
        <v/>
      </c>
      <c r="J720" t="inlineStr"/>
      <c r="K720" t="inlineStr"/>
      <c r="L720" t="inlineStr"/>
      <c r="M720" t="inlineStr"/>
      <c r="N720" t="inlineStr"/>
      <c r="O720">
        <f>(1-Summary!$B$11)*S720+Summary!$B$11*U720</f>
        <v/>
      </c>
      <c r="P720">
        <f>IF(B745=0,0,O720/B745)</f>
        <v/>
      </c>
      <c r="Q720">
        <f>IFERROR(1/(IF(Inputs!$B$39="pvp",15,MAX(0.1,Skills!D18-IF(Skills!E18=TRUE,Inputs!$B$33,0)))*(1-IF(AND(ArtifactsInput!$M$27,Inputs!$B$4="Chapter Hunt"),CHOOSE(ArtifactsInput!$N$27+1,20,24,28,32,36,40),0)/100)),0)</f>
        <v/>
      </c>
      <c r="R720" t="n">
        <v>0</v>
      </c>
      <c r="S720" t="n">
        <v>0</v>
      </c>
      <c r="U720" t="n">
        <v>0</v>
      </c>
    </row>
    <row r="721">
      <c r="A721">
        <f>Skills!A19</f>
        <v/>
      </c>
      <c r="B721">
        <f>Skills!B19</f>
        <v/>
      </c>
      <c r="C721">
        <f>Inputs!$B$3&gt;=110</f>
        <v/>
      </c>
      <c r="D721">
        <f>IF(Skills!C19=1,60+Inputs!$B$26+Inputs!$B$30,IF(Skills!C19=2,90+Inputs!$B$27+Inputs!$B$30,IF(Skills!C19=3,120+Inputs!$B$28+Inputs!$B$30,MAX(0,(Inputs!$B$3-100)*3)+Inputs!$B$29+Inputs!$B$30)))</f>
        <v/>
      </c>
      <c r="E721">
        <f>INDEX(FactorTable!$B$2:$Y$301, MATCH(ROUND(MIN(300,MAX(1,D721)),0), FactorTable!$A$2:$A$301,0), Skills!L19+1)</f>
        <v/>
      </c>
      <c r="F721">
        <f>(Skills!K19/10)*(E721/1000)*64/45+Skills!N19</f>
        <v/>
      </c>
      <c r="G721">
        <f>Calc!G19</f>
        <v/>
      </c>
      <c r="H721">
        <f>Calc!H19</f>
        <v/>
      </c>
      <c r="I721">
        <f>IF(Skills!T19&lt;&gt;"",1+(Skills!T19/10)*($Z$3/1000)/100,1)</f>
        <v/>
      </c>
      <c r="J721" t="inlineStr"/>
      <c r="K721" t="inlineStr"/>
      <c r="L721" t="inlineStr"/>
      <c r="M721" t="inlineStr"/>
      <c r="N721" t="inlineStr"/>
      <c r="O721">
        <f>(1-Summary!$B$11)*S721+Summary!$B$11*U721</f>
        <v/>
      </c>
      <c r="P721">
        <f>IF(B745=0,0,O721/B745)</f>
        <v/>
      </c>
      <c r="Q721">
        <f>IFERROR(1/(IF(Inputs!$B$39="pvp",15,MAX(0.1,Skills!D19-IF(Skills!E19=TRUE,Inputs!$B$33,0)))*(1-IF(AND(ArtifactsInput!$M$27,Inputs!$B$4="Chapter Hunt"),CHOOSE(ArtifactsInput!$N$27+1,20,24,28,32,36,40),0)/100)),0)</f>
        <v/>
      </c>
      <c r="R721">
        <f>IF(AND(Inputs!$B$39&lt;&gt;"pvp",Inputs!$B$44&gt;0),IF(Inputs!$B$44&lt;=0,0,(INT(Inputs!$B$44/(IF(Inputs!$B$39="pvp",15,MAX(0.1,Skills!D19-IF(Skills!E19=TRUE,Inputs!$B$33,0)))*(1-IF(AND(ArtifactsInput!$M$27,Inputs!$B$4="Chapter Hunt"),CHOOSE(ArtifactsInput!$N$27+1,20,24,28,32,36,40),0)/100)))+1)),0)</f>
        <v/>
      </c>
      <c r="S721" t="n">
        <v>0</v>
      </c>
      <c r="U721" t="n">
        <v>0</v>
      </c>
    </row>
    <row r="722">
      <c r="A722">
        <f>Skills!A20</f>
        <v/>
      </c>
      <c r="B722">
        <f>Skills!B20</f>
        <v/>
      </c>
      <c r="C722">
        <f>Inputs!$B$3&gt;=125</f>
        <v/>
      </c>
      <c r="D722">
        <f>IF(Skills!C20=1,60+Inputs!$B$26+Inputs!$B$30,IF(Skills!C20=2,90+Inputs!$B$27+Inputs!$B$30,IF(Skills!C20=3,120+Inputs!$B$28+Inputs!$B$30,MAX(0,(Inputs!$B$3-100)*3)+Inputs!$B$29+Inputs!$B$30)))</f>
        <v/>
      </c>
      <c r="E722">
        <f>INDEX(FactorTable!$B$2:$Y$301, MATCH(ROUND(MIN(300,MAX(1,D722)),0), FactorTable!$A$2:$A$301,0), Skills!L20+1)</f>
        <v/>
      </c>
      <c r="F722">
        <f>IF(Skills!M20=TRUE,(Skills!K20/10)*(E722/1000),Skills!K20/10)+Skills!N20</f>
        <v/>
      </c>
      <c r="G722">
        <f>Calc!G20</f>
        <v/>
      </c>
      <c r="H722">
        <f>Calc!H20</f>
        <v/>
      </c>
      <c r="I722">
        <f>IF(Skills!T20&lt;&gt;"",1+(Skills!T20/10)*($Z$3/1000)/100,1)</f>
        <v/>
      </c>
      <c r="J722" t="inlineStr"/>
      <c r="K722" t="inlineStr"/>
      <c r="L722" t="inlineStr"/>
      <c r="M722" t="inlineStr"/>
      <c r="N722" t="inlineStr"/>
      <c r="O722">
        <f>(1-Summary!$B$11)*S722+Summary!$B$11*U722</f>
        <v/>
      </c>
      <c r="P722">
        <f>IF(B745=0,0,O722/B745)</f>
        <v/>
      </c>
      <c r="Q722">
        <f>IFERROR(1/(IF(Inputs!$B$39="pvp",15,MAX(0.1,Skills!D20-IF(Skills!E20=TRUE,Inputs!$B$33,0)))*(1-IF(AND(ArtifactsInput!$M$27,Inputs!$B$4="Chapter Hunt"),CHOOSE(ArtifactsInput!$N$27+1,20,24,28,32,36,40),0)/100)),0)</f>
        <v/>
      </c>
      <c r="R722" t="n">
        <v>0</v>
      </c>
      <c r="S722" t="n">
        <v>0</v>
      </c>
      <c r="U722" t="n">
        <v>0</v>
      </c>
    </row>
    <row r="723">
      <c r="A723">
        <f>Skills!A21</f>
        <v/>
      </c>
      <c r="B723">
        <f>Skills!B21</f>
        <v/>
      </c>
      <c r="C723">
        <f>Inputs!$B$3&gt;=33</f>
        <v/>
      </c>
      <c r="D723">
        <f>IF(Skills!C21=1,60+Inputs!$B$26+Inputs!$B$30,IF(Skills!C21=2,90+Inputs!$B$27+Inputs!$B$30,IF(Skills!C21=3,120+Inputs!$B$28+Inputs!$B$30,MAX(0,(Inputs!$B$3-100)*3)+Inputs!$B$29+Inputs!$B$30)))</f>
        <v/>
      </c>
      <c r="E723">
        <f>INDEX(FactorTable!$B$2:$Y$301, MATCH(ROUND(MIN(300,MAX(1,D723)),0), FactorTable!$A$2:$A$301,0), Skills!L21+1)</f>
        <v/>
      </c>
      <c r="F723">
        <f>IF(Skills!M21=TRUE,(Skills!K21/10)*(E723/1000),Skills!K21/10)+Skills!N21</f>
        <v/>
      </c>
      <c r="G723">
        <f>Calc!G21</f>
        <v/>
      </c>
      <c r="H723">
        <f>Calc!H21</f>
        <v/>
      </c>
      <c r="I723">
        <f>IF(Skills!T21&lt;&gt;"",1+(Skills!T21/10)*($Z$3/1000)/100,1)</f>
        <v/>
      </c>
      <c r="J723" t="inlineStr"/>
      <c r="K723" t="inlineStr"/>
      <c r="L723" t="inlineStr"/>
      <c r="M723" t="inlineStr"/>
      <c r="N723" t="inlineStr"/>
      <c r="O723">
        <f>(1-Summary!$B$11)*S723+Summary!$B$11*U723</f>
        <v/>
      </c>
      <c r="P723">
        <f>IF(B745=0,0,O723/B745)</f>
        <v/>
      </c>
      <c r="Q723">
        <f>IFERROR(1/(IF(Inputs!$B$39="pvp",15,MAX(0.1,Skills!D21-IF(Skills!E21=TRUE,Inputs!$B$33,0)))*(1-IF(AND(ArtifactsInput!$M$27,Inputs!$B$4="Chapter Hunt"),CHOOSE(ArtifactsInput!$N$27+1,20,24,28,32,36,40),0)/100)),0)</f>
        <v/>
      </c>
      <c r="R723" t="n">
        <v>0</v>
      </c>
      <c r="S723" t="n">
        <v>0</v>
      </c>
      <c r="U723" t="n">
        <v>0</v>
      </c>
    </row>
    <row r="724">
      <c r="A724">
        <f>Skills!A22</f>
        <v/>
      </c>
      <c r="B724">
        <f>Skills!B22</f>
        <v/>
      </c>
      <c r="C724">
        <f>Inputs!$B$3&gt;=43</f>
        <v/>
      </c>
      <c r="D724">
        <f>IF(Skills!C22=1,60+Inputs!$B$26+Inputs!$B$30,IF(Skills!C22=2,90+Inputs!$B$27+Inputs!$B$30,IF(Skills!C22=3,120+Inputs!$B$28+Inputs!$B$30,MAX(0,(Inputs!$B$3-100)*3)+Inputs!$B$29+Inputs!$B$30)))</f>
        <v/>
      </c>
      <c r="E724">
        <f>INDEX(FactorTable!$B$2:$Y$301, MATCH(ROUND(MIN(300,MAX(1,D724)),0), FactorTable!$A$2:$A$301,0), Skills!L22+1)</f>
        <v/>
      </c>
      <c r="F724">
        <f>IF(Skills!M22=TRUE,(Skills!K22/10)*(E724/1000),Skills!K22/10)+Skills!N22</f>
        <v/>
      </c>
      <c r="G724">
        <f>Calc!G22</f>
        <v/>
      </c>
      <c r="H724">
        <f>Calc!H22</f>
        <v/>
      </c>
      <c r="I724">
        <f>IF(Skills!T22&lt;&gt;"",1+(Skills!T22/10)*($Z$3/1000)/100,1)</f>
        <v/>
      </c>
      <c r="J724" t="inlineStr"/>
      <c r="K724" t="inlineStr"/>
      <c r="L724" t="inlineStr"/>
      <c r="M724" t="inlineStr"/>
      <c r="N724" t="inlineStr"/>
      <c r="O724">
        <f>(1-Summary!$B$11)*S724+Summary!$B$11*U724</f>
        <v/>
      </c>
      <c r="P724">
        <f>IF(B745=0,0,O724/B745)</f>
        <v/>
      </c>
      <c r="Q724">
        <f>IFERROR(1/(IF(Inputs!$B$39="pvp",15,MAX(0.1,Skills!D22-IF(Skills!E22=TRUE,Inputs!$B$33,0)))*(1-IF(AND(ArtifactsInput!$M$27,Inputs!$B$4="Chapter Hunt"),CHOOSE(ArtifactsInput!$N$27+1,20,24,28,32,36,40),0)/100)),0)</f>
        <v/>
      </c>
      <c r="R724" t="n">
        <v>0</v>
      </c>
      <c r="S724" t="n">
        <v>0</v>
      </c>
      <c r="U724" t="n">
        <v>0</v>
      </c>
    </row>
    <row r="725">
      <c r="A725">
        <f>Skills!A23</f>
        <v/>
      </c>
      <c r="B725">
        <f>Skills!B23</f>
        <v/>
      </c>
      <c r="C725">
        <f>Inputs!$B$3&gt;=50</f>
        <v/>
      </c>
      <c r="D725">
        <f>IF(Skills!C23=1,60+Inputs!$B$26+Inputs!$B$30,IF(Skills!C23=2,90+Inputs!$B$27+Inputs!$B$30,IF(Skills!C23=3,120+Inputs!$B$28+Inputs!$B$30,MAX(0,(Inputs!$B$3-100)*3)+Inputs!$B$29+Inputs!$B$30)))</f>
        <v/>
      </c>
      <c r="E725">
        <f>INDEX(FactorTable!$B$2:$Y$301, MATCH(ROUND(MIN(300,MAX(1,D725)),0), FactorTable!$A$2:$A$301,0), Skills!L23+1)</f>
        <v/>
      </c>
      <c r="F725">
        <f>IF(Skills!M23=TRUE,(Skills!K23/10)*(E725/1000),Skills!K23/10)+Skills!N23</f>
        <v/>
      </c>
      <c r="G725">
        <f>Calc!G23</f>
        <v/>
      </c>
      <c r="H725">
        <f>Calc!H23</f>
        <v/>
      </c>
      <c r="I725">
        <f>IF(Skills!T23&lt;&gt;"",1+(Skills!T23/10)*($Z$3/1000)/100,1)</f>
        <v/>
      </c>
      <c r="J725" t="inlineStr"/>
      <c r="K725" t="inlineStr"/>
      <c r="L725" t="inlineStr"/>
      <c r="M725" t="inlineStr"/>
      <c r="N725" t="inlineStr"/>
      <c r="O725">
        <f>(1-Summary!$B$11)*S725+Summary!$B$11*U725</f>
        <v/>
      </c>
      <c r="P725">
        <f>IF(B745=0,0,O725/B745)</f>
        <v/>
      </c>
      <c r="Q725">
        <f>IFERROR(1/(IF(Inputs!$B$39="pvp",15,MAX(0.1,Skills!D23-IF(Skills!E23=TRUE,Inputs!$B$33,0)))*(1-IF(AND(ArtifactsInput!$M$27,Inputs!$B$4="Chapter Hunt"),CHOOSE(ArtifactsInput!$N$27+1,20,24,28,32,36,40),0)/100)),0)</f>
        <v/>
      </c>
      <c r="R725" t="n">
        <v>0</v>
      </c>
      <c r="S725" t="n">
        <v>0</v>
      </c>
      <c r="U725" t="n">
        <v>0</v>
      </c>
    </row>
    <row r="726">
      <c r="A726">
        <f>Skills!A24</f>
        <v/>
      </c>
      <c r="B726">
        <f>Skills!B24</f>
        <v/>
      </c>
      <c r="C726">
        <f>Inputs!$B$3&gt;=74</f>
        <v/>
      </c>
      <c r="D726">
        <f>IF(Skills!C24=1,60+Inputs!$B$26+Inputs!$B$30,IF(Skills!C24=2,90+Inputs!$B$27+Inputs!$B$30,IF(Skills!C24=3,120+Inputs!$B$28+Inputs!$B$30,MAX(0,(Inputs!$B$3-100)*3)+Inputs!$B$29+Inputs!$B$30)))</f>
        <v/>
      </c>
      <c r="E726">
        <f>INDEX(FactorTable!$B$2:$Y$301, MATCH(ROUND(MIN(300,MAX(1,D726)),0), FactorTable!$A$2:$A$301,0), Skills!L24+1)</f>
        <v/>
      </c>
      <c r="F726">
        <f>IF(Skills!M24=TRUE,(Skills!K24/10)*(E726/1000),Skills!K24/10)+Skills!N24</f>
        <v/>
      </c>
      <c r="G726">
        <f>Calc!G24</f>
        <v/>
      </c>
      <c r="H726">
        <f>Calc!H24</f>
        <v/>
      </c>
      <c r="I726">
        <f>IF(Skills!T24&lt;&gt;"",1+(Skills!T24/10)*($Z$3/1000)/100,1)</f>
        <v/>
      </c>
      <c r="J726" t="inlineStr"/>
      <c r="K726" t="inlineStr"/>
      <c r="L726" t="inlineStr"/>
      <c r="M726" t="inlineStr"/>
      <c r="N726" t="inlineStr"/>
      <c r="O726">
        <f>(1-Summary!$B$11)*S726+Summary!$B$11*U726</f>
        <v/>
      </c>
      <c r="P726">
        <f>IF(B745=0,0,O726/B745)</f>
        <v/>
      </c>
      <c r="Q726">
        <f>IFERROR(1/(IF(Inputs!$B$39="pvp",15,MAX(0.1,Skills!D24-IF(Skills!E24=TRUE,Inputs!$B$33,0)))*(1-IF(AND(ArtifactsInput!$M$27,Inputs!$B$4="Chapter Hunt"),CHOOSE(ArtifactsInput!$N$27+1,20,24,28,32,36,40),0)/100)),0)</f>
        <v/>
      </c>
      <c r="R726" t="n">
        <v>0</v>
      </c>
      <c r="S726" t="n">
        <v>0</v>
      </c>
      <c r="U726" t="n">
        <v>0</v>
      </c>
    </row>
    <row r="727">
      <c r="A727">
        <f>Skills!A25</f>
        <v/>
      </c>
      <c r="B727">
        <f>Skills!B25</f>
        <v/>
      </c>
      <c r="C727">
        <f>Inputs!$B$3&gt;=74</f>
        <v/>
      </c>
      <c r="D727">
        <f>IF(Skills!C25=1,60+Inputs!$B$26+Inputs!$B$30,IF(Skills!C25=2,90+Inputs!$B$27+Inputs!$B$30,IF(Skills!C25=3,120+Inputs!$B$28+Inputs!$B$30,MAX(0,(Inputs!$B$3-100)*3)+Inputs!$B$29+Inputs!$B$30)))</f>
        <v/>
      </c>
      <c r="E727">
        <f>INDEX(FactorTable!$B$2:$Y$301, MATCH(ROUND(MIN(300,MAX(1,D727)),0), FactorTable!$A$2:$A$301,0), Skills!L25+1)</f>
        <v/>
      </c>
      <c r="F727">
        <f>IF(Skills!M25=TRUE,(Skills!K25/10)*(E727/1000),Skills!K25/10)+Skills!N25</f>
        <v/>
      </c>
      <c r="G727">
        <f>Calc!G25</f>
        <v/>
      </c>
      <c r="H727">
        <f>Calc!H25</f>
        <v/>
      </c>
      <c r="I727">
        <f>IF(Skills!T25&lt;&gt;"",1+(Skills!T25/10)*($Z$3/1000)/100,1)</f>
        <v/>
      </c>
      <c r="J727" t="inlineStr"/>
      <c r="K727" t="inlineStr"/>
      <c r="L727" t="inlineStr"/>
      <c r="M727" t="inlineStr"/>
      <c r="N727" t="inlineStr"/>
      <c r="O727">
        <f>(1-Summary!$B$11)*S727+Summary!$B$11*U727</f>
        <v/>
      </c>
      <c r="P727">
        <f>IF(B745=0,0,O727/B745)</f>
        <v/>
      </c>
      <c r="Q727">
        <f>IFERROR(1/(IF(Inputs!$B$39="pvp",15,MAX(0.1,Skills!D25-IF(Skills!E25=TRUE,Inputs!$B$33,0)))*(1-IF(AND(ArtifactsInput!$M$27,Inputs!$B$4="Chapter Hunt"),CHOOSE(ArtifactsInput!$N$27+1,20,24,28,32,36,40),0)/100)),0)</f>
        <v/>
      </c>
      <c r="R727" t="n">
        <v>0</v>
      </c>
      <c r="S727" t="n">
        <v>0</v>
      </c>
      <c r="U727" t="n">
        <v>0</v>
      </c>
    </row>
    <row r="728">
      <c r="A728">
        <f>Skills!A26</f>
        <v/>
      </c>
      <c r="B728">
        <f>Skills!B26</f>
        <v/>
      </c>
      <c r="C728">
        <f>Inputs!$B$3&gt;=117</f>
        <v/>
      </c>
      <c r="D728">
        <f>IF(Skills!C26=1,60+Inputs!$B$26+Inputs!$B$30,IF(Skills!C26=2,90+Inputs!$B$27+Inputs!$B$30,IF(Skills!C26=3,120+Inputs!$B$28+Inputs!$B$30,MAX(0,(Inputs!$B$3-100)*3)+Inputs!$B$29+Inputs!$B$30)))</f>
        <v/>
      </c>
      <c r="E728">
        <f>INDEX(FactorTable!$B$2:$Y$301, MATCH(ROUND(MIN(300,MAX(1,D728)),0), FactorTable!$A$2:$A$301,0), Skills!L26+1)</f>
        <v/>
      </c>
      <c r="F728">
        <f>IF(Skills!M26=TRUE,(Skills!K26/10)*(E728/1000),Skills!K26/10)+Skills!N26</f>
        <v/>
      </c>
      <c r="G728">
        <f>Calc!G26</f>
        <v/>
      </c>
      <c r="H728">
        <f>Calc!H26</f>
        <v/>
      </c>
      <c r="I728">
        <f>IF(Skills!T26&lt;&gt;"",1+(Skills!T26/10)*($Z$3/1000)/100,1)</f>
        <v/>
      </c>
      <c r="J728" t="inlineStr"/>
      <c r="K728" t="inlineStr"/>
      <c r="L728" t="inlineStr"/>
      <c r="M728" t="inlineStr"/>
      <c r="N728" t="inlineStr"/>
      <c r="O728">
        <f>(1-Summary!$B$11)*S728+Summary!$B$11*U728</f>
        <v/>
      </c>
      <c r="P728">
        <f>IF(B745=0,0,O728/B745)</f>
        <v/>
      </c>
      <c r="Q728">
        <f>IFERROR(1/(IF(Inputs!$B$39="pvp",15,MAX(0.1,Skills!D26-IF(Skills!E26=TRUE,Inputs!$B$33,0)))*(1-IF(AND(ArtifactsInput!$M$27,Inputs!$B$4="Chapter Hunt"),CHOOSE(ArtifactsInput!$N$27+1,20,24,28,32,36,40),0)/100)),0)</f>
        <v/>
      </c>
      <c r="R728" t="n">
        <v>0</v>
      </c>
      <c r="S728" t="n">
        <v>0</v>
      </c>
      <c r="U728" t="n">
        <v>0</v>
      </c>
    </row>
    <row r="729">
      <c r="A729">
        <f>Skills!A27</f>
        <v/>
      </c>
      <c r="B729">
        <f>Skills!B27</f>
        <v/>
      </c>
      <c r="C729">
        <f>Inputs!$B$3&gt;=120</f>
        <v/>
      </c>
      <c r="D729">
        <f>IF(Skills!C27=1,60+Inputs!$B$26+Inputs!$B$30,IF(Skills!C27=2,90+Inputs!$B$27+Inputs!$B$30,IF(Skills!C27=3,120+Inputs!$B$28+Inputs!$B$30,MAX(0,(Inputs!$B$3-100)*3)+Inputs!$B$29+Inputs!$B$30)))</f>
        <v/>
      </c>
      <c r="E729">
        <f>INDEX(FactorTable!$B$2:$Y$301, MATCH(ROUND(MIN(300,MAX(1,D729)),0), FactorTable!$A$2:$A$301,0), Skills!L27+1)</f>
        <v/>
      </c>
      <c r="F729">
        <f>IF(Skills!M27=TRUE,(Skills!K27/10)*(E729/1000),Skills!K27/10)+Skills!N27</f>
        <v/>
      </c>
      <c r="G729">
        <f>Calc!G27</f>
        <v/>
      </c>
      <c r="H729">
        <f>Calc!H27</f>
        <v/>
      </c>
      <c r="I729">
        <f>IF(Skills!T27&lt;&gt;"",1+(Skills!T27/10)*($Z$3/1000)/100,1)</f>
        <v/>
      </c>
      <c r="J729" t="inlineStr"/>
      <c r="K729" t="inlineStr"/>
      <c r="L729" t="inlineStr"/>
      <c r="M729" t="inlineStr"/>
      <c r="N729" t="inlineStr"/>
      <c r="O729">
        <f>(1-Summary!$B$11)*S729+Summary!$B$11*U729</f>
        <v/>
      </c>
      <c r="P729">
        <f>IF(B745=0,0,O729/B745)</f>
        <v/>
      </c>
      <c r="Q729">
        <f>IFERROR(1/(IF(Inputs!$B$39="pvp",15,MAX(0.1,Skills!D27-IF(Skills!E27=TRUE,Inputs!$B$33,0)))*(1-IF(AND(ArtifactsInput!$M$27,Inputs!$B$4="Chapter Hunt"),CHOOSE(ArtifactsInput!$N$27+1,20,24,28,32,36,40),0)/100)),0)</f>
        <v/>
      </c>
      <c r="R729" t="n">
        <v>0</v>
      </c>
      <c r="S729" t="n">
        <v>0</v>
      </c>
      <c r="U729" t="n">
        <v>0</v>
      </c>
    </row>
    <row r="730">
      <c r="A730">
        <f>Skills!A28</f>
        <v/>
      </c>
      <c r="B730">
        <f>Skills!B28</f>
        <v/>
      </c>
      <c r="C730">
        <f>TRUE</f>
        <v/>
      </c>
      <c r="D730">
        <f>IF(Skills!C28=1,60+Inputs!$B$26+Inputs!$B$30,IF(Skills!C28=2,90+Inputs!$B$27+Inputs!$B$30,IF(Skills!C28=3,120+Inputs!$B$28+Inputs!$B$30,MAX(0,(Inputs!$B$3-100)*3)+Inputs!$B$29+Inputs!$B$30)))</f>
        <v/>
      </c>
      <c r="E730">
        <f>INDEX(FactorTable!$B$2:$Y$301, MATCH(ROUND(MIN(300,MAX(1,D730)),0), FactorTable!$A$2:$A$301,0), Skills!L28+1)</f>
        <v/>
      </c>
      <c r="F730">
        <f>IF(Skills!M28=TRUE,(Skills!K28/10)*(E730/1000),Skills!K28/10)+Skills!N28</f>
        <v/>
      </c>
      <c r="G730">
        <f>Calc!G28</f>
        <v/>
      </c>
      <c r="H730">
        <f>Calc!H28</f>
        <v/>
      </c>
      <c r="I730">
        <f>IF(Skills!T28&lt;&gt;"",1+(Skills!T28/10)*($Z$3/1000)/100,1)</f>
        <v/>
      </c>
      <c r="J730" t="inlineStr"/>
      <c r="K730" t="inlineStr"/>
      <c r="L730" t="inlineStr"/>
      <c r="M730" t="inlineStr"/>
      <c r="N730" t="inlineStr"/>
      <c r="O730">
        <f>(1-Summary!$B$11)*S730+Summary!$B$11*U730</f>
        <v/>
      </c>
      <c r="P730">
        <f>IF(B745=0,0,O730/B745)</f>
        <v/>
      </c>
      <c r="Q730">
        <f>IFERROR(1/(IF(Inputs!$B$39="pvp",15,MAX(0.1,Skills!D28-IF(Skills!E28=TRUE,Inputs!$B$33,0)))*(1-IF(AND(ArtifactsInput!$M$27,Inputs!$B$4="Chapter Hunt"),CHOOSE(ArtifactsInput!$N$27+1,20,24,28,32,36,40),0)/100)),0)</f>
        <v/>
      </c>
      <c r="R730">
        <f>IF(AND(Inputs!$B$39&lt;&gt;"pvp",Inputs!$B$44&gt;0),IF(Inputs!$B$44&lt;=0,0,(INT(Inputs!$B$44/(IF(Inputs!$B$39="pvp",15,MAX(0.1,Skills!D28-IF(Skills!E28=TRUE,Inputs!$B$33,0)))*(1-IF(AND(ArtifactsInput!$M$27,Inputs!$B$4="Chapter Hunt"),CHOOSE(ArtifactsInput!$N$27+1,20,24,28,32,36,40),0)/100)))+1)),0)</f>
        <v/>
      </c>
      <c r="S730" t="n">
        <v>0</v>
      </c>
      <c r="U730" t="n">
        <v>0</v>
      </c>
    </row>
    <row r="732">
      <c r="A732" t="inlineStr">
        <is>
          <t>Average Buff Multiplier</t>
        </is>
      </c>
      <c r="B732">
        <f>(1+(IF(C705=TRUE,F705*IF(AND(Inputs!$B$39&lt;&gt;"pvp",Inputs!$B$44&gt;0),(((R705-1)*(Skills!S3*(1+((Inputs!$B$35+(ArtifactsInput!$M$7-ArtifactsInput!$M$7)*CHOOSE(ArtifactsInput!$N$7+1,6,7.2,8.4,9.6,10.8,12))+IF(Inputs!$B$3&gt;=117,F728,0))/100))+MIN((Skills!S3*(1+((Inputs!$B$35+(ArtifactsInput!$M$7-ArtifactsInput!$M$7)*CHOOSE(ArtifactsInput!$N$7+1,6,7.2,8.4,9.6,10.8,12))+IF(Inputs!$B$3&gt;=117,F728,0))/100)),MAX(0,Inputs!$B$44-((R705-1)*Skills!D3))))/Inputs!$B$44),IF(Inputs!$B$39="pvp",MIN((Skills!S3*(1+((Inputs!$B$35+(ArtifactsInput!$M$7-ArtifactsInput!$M$7)*CHOOSE(ArtifactsInput!$N$7+1,6,7.2,8.4,9.6,10.8,12))+IF(Inputs!$B$3&gt;=117,F728,0))/100)),15)/15,(Skills!S3*(1+((Inputs!$B$35+(ArtifactsInput!$M$7-ArtifactsInput!$M$7)*CHOOSE(ArtifactsInput!$N$7+1,6,7.2,8.4,9.6,10.8,12))+IF(Inputs!$B$3&gt;=117,F728,0))/100))/Skills!D3)),0)+IF(C706=TRUE,F706*IF(AND(Inputs!$B$39&lt;&gt;"pvp",Inputs!$B$44&gt;0),(((R706-1)*(Skills!S4*(1+((Inputs!$B$35+(ArtifactsInput!$M$7-ArtifactsInput!$M$7)*CHOOSE(ArtifactsInput!$N$7+1,6,7.2,8.4,9.6,10.8,12))+IF(Inputs!$B$3&gt;=117,F728,0))/100))+MIN((Skills!S4*(1+((Inputs!$B$35+(ArtifactsInput!$M$7-ArtifactsInput!$M$7)*CHOOSE(ArtifactsInput!$N$7+1,6,7.2,8.4,9.6,10.8,12))+IF(Inputs!$B$3&gt;=117,F728,0))/100)),MAX(0,Inputs!$B$44-((R706-1)*Skills!D4))))/Inputs!$B$44),IF(Inputs!$B$39="pvp",MIN((Skills!S4*(1+((Inputs!$B$35+(ArtifactsInput!$M$7-ArtifactsInput!$M$7)*CHOOSE(ArtifactsInput!$N$7+1,6,7.2,8.4,9.6,10.8,12))+IF(Inputs!$B$3&gt;=117,F728,0))/100)),15)/15,(Skills!S4*(1+((Inputs!$B$35+(ArtifactsInput!$M$7-ArtifactsInput!$M$7)*CHOOSE(ArtifactsInput!$N$7+1,6,7.2,8.4,9.6,10.8,12))+IF(Inputs!$B$3&gt;=117,F728,0))/100))/Skills!D4)),0)+IF(C707=TRUE,F707*IF(AND(Inputs!$B$39&lt;&gt;"pvp",Inputs!$B$44&gt;0),(((R707-1)*(Skills!S5*(1+((Inputs!$B$35+(ArtifactsInput!$M$7-ArtifactsInput!$M$7)*CHOOSE(ArtifactsInput!$N$7+1,6,7.2,8.4,9.6,10.8,12))+IF(Inputs!$B$3&gt;=117,F728,0))/100))+MIN((Skills!S5*(1+((Inputs!$B$35+(ArtifactsInput!$M$7-ArtifactsInput!$M$7)*CHOOSE(ArtifactsInput!$N$7+1,6,7.2,8.4,9.6,10.8,12))+IF(Inputs!$B$3&gt;=117,F728,0))/100)),MAX(0,Inputs!$B$44-((R707-1)*Skills!D5))))/Inputs!$B$44),IF(Inputs!$B$39="pvp",MIN((Skills!S5*(1+((Inputs!$B$35+(ArtifactsInput!$M$7-ArtifactsInput!$M$7)*CHOOSE(ArtifactsInput!$N$7+1,6,7.2,8.4,9.6,10.8,12))+IF(Inputs!$B$3&gt;=117,F728,0))/100)),15)/15,(Skills!S5*(1+((Inputs!$B$35+(ArtifactsInput!$M$7-ArtifactsInput!$M$7)*CHOOSE(ArtifactsInput!$N$7+1,6,7.2,8.4,9.6,10.8,12))+IF(Inputs!$B$3&gt;=117,F728,0))/100))/Skills!D5)),0)+IF(C713=TRUE,F713*IF(AND(Inputs!$B$39&lt;&gt;"pvp",Inputs!$B$44&gt;0),(((R713-1)*(Skills!S11*(1+((Inputs!$B$35+(ArtifactsInput!$M$7-ArtifactsInput!$M$7)*CHOOSE(ArtifactsInput!$N$7+1,6,7.2,8.4,9.6,10.8,12))+IF(Inputs!$B$3&gt;=117,F728,0))/100))+MIN((Skills!S11*(1+((Inputs!$B$35+(ArtifactsInput!$M$7-ArtifactsInput!$M$7)*CHOOSE(ArtifactsInput!$N$7+1,6,7.2,8.4,9.6,10.8,12))+IF(Inputs!$B$3&gt;=117,F728,0))/100)),MAX(0,Inputs!$B$44-((R713-1)*Skills!D11))))/Inputs!$B$44),IF(Inputs!$B$39="pvp",MIN((Skills!S11*(1+((Inputs!$B$35+(ArtifactsInput!$M$7-ArtifactsInput!$M$7)*CHOOSE(ArtifactsInput!$N$7+1,6,7.2,8.4,9.6,10.8,12))+IF(Inputs!$B$3&gt;=117,F728,0))/100)),15)/15,(Skills!S11*(1+((Inputs!$B$35+(ArtifactsInput!$M$7-ArtifactsInput!$M$7)*CHOOSE(ArtifactsInput!$N$7+1,6,7.2,8.4,9.6,10.8,12))+IF(Inputs!$B$3&gt;=117,F728,0)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716=TRUE,(1+F716*IF(AND(Inputs!$B$39&lt;&gt;"pvp",Inputs!$B$44&gt;0),(((R716-1)*(Skills!S14*(1+((Inputs!$B$35+(ArtifactsInput!$M$7-ArtifactsInput!$M$7)*CHOOSE(ArtifactsInput!$N$7+1,6,7.2,8.4,9.6,10.8,12))+IF(Inputs!$B$3&gt;=117,F728,0))/100))+MIN((Skills!S14*(1+((Inputs!$B$35+(ArtifactsInput!$M$7-ArtifactsInput!$M$7)*CHOOSE(ArtifactsInput!$N$7+1,6,7.2,8.4,9.6,10.8,12))+IF(Inputs!$B$3&gt;=117,F728,0))/100)),MAX(0,Inputs!$B$44-((R716-1)*Skills!D14))))/Inputs!$B$44),IF(Inputs!$B$39="pvp",MIN((Skills!S14*(1+((Inputs!$B$35+(ArtifactsInput!$M$7-ArtifactsInput!$M$7)*CHOOSE(ArtifactsInput!$N$7+1,6,7.2,8.4,9.6,10.8,12))+IF(Inputs!$B$3&gt;=117,F728,0))/100)),15)/15,(Skills!S14*(1+((Inputs!$B$35+(ArtifactsInput!$M$7-ArtifactsInput!$M$7)*CHOOSE(ArtifactsInput!$N$7+1,6,7.2,8.4,9.6,10.8,12))+IF(Inputs!$B$3&gt;=117,F728,0))/100))/Skills!D14))/100),1)*IF(C721=TRUE,(1+F721*IF(AND(Inputs!$B$39&lt;&gt;"pvp",Inputs!$B$44&gt;0),(((R721-1)*(Skills!S19*(1+((Inputs!$B$35+(ArtifactsInput!$M$7-ArtifactsInput!$M$7)*CHOOSE(ArtifactsInput!$N$7+1,6,7.2,8.4,9.6,10.8,12))+IF(Inputs!$B$3&gt;=117,F728,0))/100))+MIN((Skills!S19*(1+((Inputs!$B$35+(ArtifactsInput!$M$7-ArtifactsInput!$M$7)*CHOOSE(ArtifactsInput!$N$7+1,6,7.2,8.4,9.6,10.8,12))+IF(Inputs!$B$3&gt;=117,F728,0))/100)),MAX(0,Inputs!$B$44-((R721-1)*Skills!D19))))/Inputs!$B$44),IF(Inputs!$B$39="pvp",MIN((Skills!S19*(1+((Inputs!$B$35+(ArtifactsInput!$M$7-ArtifactsInput!$M$7)*CHOOSE(ArtifactsInput!$N$7+1,6,7.2,8.4,9.6,10.8,12))+IF(Inputs!$B$3&gt;=117,F728,0))/100)),15)/15,(Skills!S19*(1+((Inputs!$B$35+(ArtifactsInput!$M$7-ArtifactsInput!$M$7)*CHOOSE(ArtifactsInput!$N$7+1,6,7.2,8.4,9.6,10.8,12))+IF(Inputs!$B$3&gt;=117,F728,0))/100))/Skills!D19))/100),1)</f>
        <v/>
      </c>
    </row>
    <row r="733">
      <c r="A733" t="inlineStr">
        <is>
          <t>Monster Damage Taken Bonus % (Holy Fountain)</t>
        </is>
      </c>
      <c r="B733">
        <f>IF(Inputs!$B$3&gt;=68,20*IF(Inputs!$B$39="pvp",MIN((15*(1+((Inputs!$B$35+(ArtifactsInput!$M$7-ArtifactsInput!$M$7)*CHOOSE(ArtifactsInput!$N$7+1,6,7.2,8.4,9.6,10.8,12))+IF(Inputs!$B$3&gt;=117,F728,0))/100)),15)/15,(15*(1+((Inputs!$B$35+(ArtifactsInput!$M$7-ArtifactsInput!$M$7)*CHOOSE(ArtifactsInput!$N$7+1,6,7.2,8.4,9.6,10.8,12))+IF(Inputs!$B$3&gt;=117,F728,0))/100))/Skills!D10),0)</f>
        <v/>
      </c>
    </row>
    <row r="734">
      <c r="A734" t="inlineStr">
        <is>
          <t>Normal Monster Damage Bonus % (Holy Symbol)</t>
        </is>
      </c>
      <c r="B734">
        <f>IF(C714=TRUE,F714*IF(AND(Inputs!$B$39&lt;&gt;"pvp",Inputs!$B$44&gt;0),(((R714-1)*(Skills!S12*(1+((Inputs!$B$35+(ArtifactsInput!$M$7-ArtifactsInput!$M$7)*CHOOSE(ArtifactsInput!$N$7+1,6,7.2,8.4,9.6,10.8,12))+IF(Inputs!$B$3&gt;=117,F728,0))/100))+MIN((Skills!S12*(1+((Inputs!$B$35+(ArtifactsInput!$M$7-ArtifactsInput!$M$7)*CHOOSE(ArtifactsInput!$N$7+1,6,7.2,8.4,9.6,10.8,12))+IF(Inputs!$B$3&gt;=117,F728,0))/100)),MAX(0,Inputs!$B$44-((R714-1)*Skills!D12))))/Inputs!$B$44),IF(Inputs!$B$39="pvp",MIN((Skills!S12*(1+((Inputs!$B$35+(ArtifactsInput!$M$7-ArtifactsInput!$M$7)*CHOOSE(ArtifactsInput!$N$7+1,6,7.2,8.4,9.6,10.8,12))+IF(Inputs!$B$3&gt;=117,F728,0))/100)),15)/15,(Skills!S12*(1+((Inputs!$B$35+(ArtifactsInput!$M$7-ArtifactsInput!$M$7)*CHOOSE(ArtifactsInput!$N$7+1,6,7.2,8.4,9.6,10.8,12))+IF(Inputs!$B$3&gt;=117,F728,0))/100))/Skills!D12)),0)</f>
        <v/>
      </c>
    </row>
    <row r="735">
      <c r="A735" t="inlineStr">
        <is>
          <t>Damage % Bonus (Holy Symbol - Damage Boost)</t>
        </is>
      </c>
      <c r="B735">
        <f>Skills!O12</f>
        <v/>
      </c>
    </row>
    <row r="736">
      <c r="A736" t="inlineStr">
        <is>
          <t>Crit Damage % Bonus (Blood of the Divine)</t>
        </is>
      </c>
      <c r="B736">
        <f>4*IF(C722=TRUE,F722,0)</f>
        <v/>
      </c>
    </row>
    <row r="737">
      <c r="A737" t="inlineStr">
        <is>
          <t>Attack Speed Bonus %</t>
        </is>
      </c>
      <c r="B737">
        <f>IF(C719=TRUE,F719+(F723-Calc!F21),0)+IF(Inputs!$B$3&gt;=134,15,0)+((C730=TRUE)*F730*IF(AND(Inputs!$B$39&lt;&gt;"pvp",Inputs!$B$44&gt;0),(((R730-1)*(Skills!S28*(1+((Inputs!$B$35+(ArtifactsInput!$M$7-ArtifactsInput!$M$7)*CHOOSE(ArtifactsInput!$N$7+1,6,7.2,8.4,9.6,10.8,12))+IF(Inputs!$B$3&gt;=117,F728,0))/100))+MIN((Skills!S28*(1+((Inputs!$B$35+(ArtifactsInput!$M$7-ArtifactsInput!$M$7)*CHOOSE(ArtifactsInput!$N$7+1,6,7.2,8.4,9.6,10.8,12))+IF(Inputs!$B$3&gt;=117,F728,0))/100)),MAX(0,Inputs!$B$44-((R730-1)*Skills!D28))))/Inputs!$B$44),IF(Inputs!$B$39="pvp",MIN((Skills!S28*(1+((Inputs!$B$35+(ArtifactsInput!$M$7-ArtifactsInput!$M$7)*CHOOSE(ArtifactsInput!$N$7+1,6,7.2,8.4,9.6,10.8,12))+IF(Inputs!$B$3&gt;=117,F728,0))/100)),15)/15,(Skills!S28*(1+((Inputs!$B$35+(ArtifactsInput!$M$7-ArtifactsInput!$M$7)*CHOOSE(ArtifactsInput!$N$7+1,6,7.2,8.4,9.6,10.8,12))+IF(Inputs!$B$3&gt;=117,F728,0))/100))/Skills!D28)))</f>
        <v/>
      </c>
    </row>
    <row r="738">
      <c r="A738" t="inlineStr">
        <is>
          <t>Actions Per Second</t>
        </is>
      </c>
      <c r="B738">
        <f>1+MIN(150,150*(1-(1-Inputs!$B$12/150)*(1-B737/150)))/100</f>
        <v/>
      </c>
    </row>
    <row r="739">
      <c r="A739" t="inlineStr">
        <is>
          <t>Skill + Buff Cast Rate</t>
        </is>
      </c>
      <c r="B739">
        <f>IF(AND(Inputs!$B$39&lt;&gt;"pvp",Inputs!$B$44&gt;0),SUMPRODUCT((Skills!E2:E28=TRUE)*(C704:C730=TRUE)*R704:R730)/Inputs!$B$44,SUMPRODUCT((Skills!E2:E28=TRUE)*(C704:C730=TRUE)*Q704:Q730))</f>
        <v/>
      </c>
    </row>
    <row r="740">
      <c r="A740" t="inlineStr">
        <is>
          <t>Big Bang Casts Per Second</t>
        </is>
      </c>
      <c r="B740">
        <f>MAX(0,B738-B739)</f>
        <v/>
      </c>
    </row>
    <row r="741">
      <c r="A741" t="inlineStr">
        <is>
          <t>Defense % Bonus (Divine Protection)</t>
        </is>
      </c>
      <c r="B741">
        <f>IF(C715=TRUE,F715*IF(AND(Inputs!$B$39&lt;&gt;"pvp",Inputs!$B$44&gt;0),(((R715-1)*(Skills!S13*(1+((Inputs!$B$35+(ArtifactsInput!$M$7-ArtifactsInput!$M$7)*CHOOSE(ArtifactsInput!$N$7+1,6,7.2,8.4,9.6,10.8,12))+IF(Inputs!$B$3&gt;=117,F728,0))/100))+MIN((Skills!S13*(1+((Inputs!$B$35+(ArtifactsInput!$M$7-ArtifactsInput!$M$7)*CHOOSE(ArtifactsInput!$N$7+1,6,7.2,8.4,9.6,10.8,12))+IF(Inputs!$B$3&gt;=117,F728,0))/100)),MAX(0,Inputs!$B$44-((R715-1)*Skills!D13))))/Inputs!$B$44),IF(Inputs!$B$39="pvp",MIN((Skills!S13*(1+((Inputs!$B$35+(ArtifactsInput!$M$7-ArtifactsInput!$M$7)*CHOOSE(ArtifactsInput!$N$7+1,6,7.2,8.4,9.6,10.8,12))+IF(Inputs!$B$3&gt;=117,F728,0))/100)),15)/15,(Skills!S13*(1+((Inputs!$B$35+(ArtifactsInput!$M$7-ArtifactsInput!$M$7)*CHOOSE(ArtifactsInput!$N$7+1,6,7.2,8.4,9.6,10.8,12))+IF(Inputs!$B$3&gt;=117,F728,0))/100))/Skills!D13)),0)</f>
        <v/>
      </c>
    </row>
    <row r="742">
      <c r="A742" t="inlineStr">
        <is>
          <t>Buff-Casting Startup Delay (s, fixed-duration only)</t>
        </is>
      </c>
      <c r="B742">
        <f>IF(AND(Inputs!$B$39&lt;&gt;"pvp",Inputs!$B$44&gt;0),SUMPRODUCT((Skills!S2:S28&gt;0)*(Skills!E2:E28=TRUE)*(C704:C730=TRUE))/B738,0)</f>
        <v/>
      </c>
    </row>
    <row r="743">
      <c r="A743" t="inlineStr">
        <is>
          <t>Boss-Only Total DPS (this block's swept value)</t>
        </is>
      </c>
      <c r="B743">
        <f>SUM(S704:S730)</f>
        <v/>
      </c>
    </row>
    <row r="744">
      <c r="A744" t="inlineStr">
        <is>
          <t>Normal-Only Total DPS (this block's swept value)</t>
        </is>
      </c>
      <c r="B744">
        <f>SUM(U704:U730)</f>
        <v/>
      </c>
    </row>
    <row r="745">
      <c r="A745" s="6" t="inlineStr">
        <is>
          <t>TOTAL DPS</t>
        </is>
      </c>
      <c r="B745" s="6">
        <f>SUM(O704:O730)</f>
        <v/>
      </c>
    </row>
    <row r="747">
      <c r="A747" s="6" t="inlineStr">
        <is>
          <t>Stat: BASIC_ATTACK_DAMAGE %</t>
        </is>
      </c>
    </row>
    <row r="748">
      <c r="A748" s="5" t="inlineStr">
        <is>
          <t>Key</t>
        </is>
      </c>
      <c r="B748" s="5" t="inlineStr">
        <is>
          <t>Name</t>
        </is>
      </c>
      <c r="C748" s="5" t="inlineStr">
        <is>
          <t>Unlocked</t>
        </is>
      </c>
      <c r="D748" s="5" t="inlineStr">
        <is>
          <t>InputLevel</t>
        </is>
      </c>
      <c r="E748" s="5" t="inlineStr">
        <is>
          <t>Factor</t>
        </is>
      </c>
      <c r="F748" s="5" t="inlineStr">
        <is>
          <t>CoefficientPercent</t>
        </is>
      </c>
      <c r="G748" s="5" t="inlineStr">
        <is>
          <t>EffectiveHits</t>
        </is>
      </c>
      <c r="H748" s="5" t="inlineStr">
        <is>
          <t>ProcProbability</t>
        </is>
      </c>
      <c r="I748" s="5" t="inlineStr">
        <is>
          <t>MapleHeroMultiplier</t>
        </is>
      </c>
      <c r="J748" s="5" t="inlineStr">
        <is>
          <t>BaseDamage</t>
        </is>
      </c>
      <c r="K748" s="5" t="inlineStr">
        <is>
          <t>BaseHitDamage</t>
        </is>
      </c>
      <c r="L748" s="5" t="inlineStr">
        <is>
          <t>NonCritAvg</t>
        </is>
      </c>
      <c r="M748" s="5" t="inlineStr">
        <is>
          <t>CritAvg</t>
        </is>
      </c>
      <c r="N748" s="5" t="inlineStr">
        <is>
          <t>ExpectedDamage(perHit)</t>
        </is>
      </c>
      <c r="O748" s="5" t="inlineStr">
        <is>
          <t>DPS</t>
        </is>
      </c>
      <c r="P748" s="5" t="inlineStr">
        <is>
          <t>% of Total</t>
        </is>
      </c>
      <c r="R748" t="inlineStr">
        <is>
          <t>helpers</t>
        </is>
      </c>
    </row>
    <row r="749">
      <c r="A749">
        <f>Skills!A2</f>
        <v/>
      </c>
      <c r="B749">
        <f>Skills!B2</f>
        <v/>
      </c>
      <c r="C749">
        <f>Inputs!$B$3&gt;=100</f>
        <v/>
      </c>
      <c r="D749" t="inlineStr"/>
      <c r="E749" t="inlineStr"/>
      <c r="F749">
        <f>T751+Skills!N2</f>
        <v/>
      </c>
      <c r="G749">
        <f>Calc!G2</f>
        <v/>
      </c>
      <c r="H749">
        <f>Calc!H2</f>
        <v/>
      </c>
      <c r="I749">
        <f>IF(Skills!T2&lt;&gt;"",1+(Skills!T2/10)*($Z$3/1000)/100,1)</f>
        <v/>
      </c>
      <c r="J749">
        <f>((Inputs!$B$6*(1+Inputs!$B$7/100))+(((Inputs!$B$13*(1+Inputs!$B$14/100))-(Inputs!$B$13*(1+Inputs!$B$14/100)))+0.25*(Inputs!$B$15-Inputs!$B$15))*(1+Inputs!$B$7/100))*(F749/100)</f>
        <v/>
      </c>
      <c r="K749">
        <f>J749*(1+(((Inputs!$B$13+IF(Inputs!$B$3&gt;=35,(10*INDEX(FactorTable!$B$2:$Y$301,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2="TRIUMPH_FEATHER",IF(C763=TRUE,F763,0),0)/100)*(1+IF(C774=TRUE,F774,0)/100)^5*(1+(IF(Skills!A2="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749)</f>
        <v/>
      </c>
      <c r="L749">
        <f>K749*(MIN(Inputs!$B$23+(F769-Calc!F22),(Inputs!$B$24+IF(ArtifactsInput!$M$15,CHOOSE(ArtifactsInput!$N$15+1,25,30,35,40,45,50)/100*(Inputs!$B$12-Inputs!$B$12),0)))/100+(Inputs!$B$24+IF(ArtifactsInput!$M$15,CHOOSE(ArtifactsInput!$N$15+1,25,30,35,40,45,50)/100*(Inputs!$B$12-Inputs!$B$12),0))/100)/2</f>
        <v/>
      </c>
      <c r="M749">
        <f>L749*(1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9">
        <f>L749*(1-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749*(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9">
        <f>(1-Summary!$B$11)*S749+Summary!$B$11*U749</f>
        <v/>
      </c>
      <c r="P749">
        <f>IF(B790=0,0,O749/B790)</f>
        <v/>
      </c>
      <c r="Q749">
        <f>IFERROR(1/(IF(Inputs!$B$39="pvp",15,MAX(0.1,Skills!D2-IF(Skills!E2=TRUE,Inputs!$B$33,0)))*(1-IF(AND(ArtifactsInput!$M$27,Inputs!$B$4="Chapter Hunt"),CHOOSE(ArtifactsInput!$N$27+1,20,24,28,32,36,40),0)/100)),0)</f>
        <v/>
      </c>
      <c r="R749" t="n">
        <v>0</v>
      </c>
      <c r="S749">
        <f>IF(C749,(Skills!F2*N749*B785)*IF(Inputs!$B$39="pvp",1,1+(Inputs!$B$21+Skills!O2+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749*(1-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749*(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749*(1-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749*(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9">
        <f>MAX(0,(Inputs!$B$3-100)*3)+Inputs!$B$29+Inputs!$B$30</f>
        <v/>
      </c>
      <c r="U749">
        <f>IF(C749,(Skills!F2*N749*B785)*IF(Inputs!$B$39="pvp",1,(1+(Inputs!$B$22+Skills!P2+B779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0">
      <c r="A750">
        <f>Skills!A3</f>
        <v/>
      </c>
      <c r="B750">
        <f>Skills!B3</f>
        <v/>
      </c>
      <c r="C750">
        <f>Inputs!$B$3&gt;=15</f>
        <v/>
      </c>
      <c r="D750">
        <f>IF(Skills!C3=1,60+Inputs!$B$26+Inputs!$B$30,IF(Skills!C3=2,90+Inputs!$B$27+Inputs!$B$30,IF(Skills!C3=3,120+Inputs!$B$28+Inputs!$B$30,MAX(0,(Inputs!$B$3-100)*3)+Inputs!$B$29+Inputs!$B$30)))</f>
        <v/>
      </c>
      <c r="E750">
        <f>INDEX(FactorTable!$B$2:$Y$301, MATCH(ROUND(MIN(300,MAX(1,D750)),0), FactorTable!$A$2:$A$301,0), Skills!L3+1)</f>
        <v/>
      </c>
      <c r="F750">
        <f>IF(Skills!M3=TRUE,(Skills!K3/10)*(E750/1000),Skills!K3/10)+Skills!N3</f>
        <v/>
      </c>
      <c r="G750">
        <f>Calc!G3</f>
        <v/>
      </c>
      <c r="H750">
        <f>Calc!H3</f>
        <v/>
      </c>
      <c r="I750">
        <f>IF(Skills!T3&lt;&gt;"",1+(Skills!T3/10)*($Z$3/1000)/100,1)</f>
        <v/>
      </c>
      <c r="J750" t="inlineStr"/>
      <c r="K750" t="inlineStr"/>
      <c r="L750" t="inlineStr"/>
      <c r="M750" t="inlineStr"/>
      <c r="N750" t="inlineStr"/>
      <c r="O750">
        <f>(1-Summary!$B$11)*S750+Summary!$B$11*U750</f>
        <v/>
      </c>
      <c r="P750">
        <f>IF(B790=0,0,O750/B790)</f>
        <v/>
      </c>
      <c r="Q750">
        <f>IFERROR(1/(IF(Inputs!$B$39="pvp",15,MAX(0.1,Skills!D3-IF(Skills!E3=TRUE,Inputs!$B$33,0)))*(1-IF(AND(ArtifactsInput!$M$27,Inputs!$B$4="Chapter Hunt"),CHOOSE(ArtifactsInput!$N$27+1,20,24,28,32,36,40),0)/100)),0)</f>
        <v/>
      </c>
      <c r="R750">
        <f>IF(AND(Inputs!$B$39&lt;&gt;"pvp",Inputs!$B$44&gt;0),IF(Inputs!$B$44&lt;=0,0,(INT(Inputs!$B$44/(IF(Inputs!$B$39="pvp",15,MAX(0.1,Skills!D3-IF(Skills!E3=TRUE,Inputs!$B$33,0)))*(1-IF(AND(ArtifactsInput!$M$27,Inputs!$B$4="Chapter Hunt"),CHOOSE(ArtifactsInput!$N$27+1,20,24,28,32,36,40),0)/100)))+1)),0)</f>
        <v/>
      </c>
      <c r="S750" t="n">
        <v>0</v>
      </c>
      <c r="T750">
        <f>INDEX(FactorTable!$B$2:$Y$301, MATCH(ROUND(MIN(300,MAX(1,T749)),0), FactorTable!$A$2:$A$301,0), 22)</f>
        <v/>
      </c>
      <c r="U750" t="n">
        <v>0</v>
      </c>
    </row>
    <row r="751">
      <c r="A751">
        <f>Skills!A4</f>
        <v/>
      </c>
      <c r="B751">
        <f>Skills!B4</f>
        <v/>
      </c>
      <c r="C751">
        <f>Inputs!$B$3&gt;=38</f>
        <v/>
      </c>
      <c r="D751">
        <f>IF(Skills!C4=1,60+Inputs!$B$26+Inputs!$B$30,IF(Skills!C4=2,90+Inputs!$B$27+Inputs!$B$30,IF(Skills!C4=3,120+Inputs!$B$28+Inputs!$B$30,MAX(0,(Inputs!$B$3-100)*3)+Inputs!$B$29+Inputs!$B$30)))</f>
        <v/>
      </c>
      <c r="E751">
        <f>INDEX(FactorTable!$B$2:$Y$301, MATCH(ROUND(MIN(300,MAX(1,D751)),0), FactorTable!$A$2:$A$301,0), Skills!L4+1)</f>
        <v/>
      </c>
      <c r="F751">
        <f>IF(Skills!M4=TRUE,(Skills!K4/10)*(E751/1000),Skills!K4/10)+Skills!N4</f>
        <v/>
      </c>
      <c r="G751">
        <f>Calc!G4</f>
        <v/>
      </c>
      <c r="H751">
        <f>Calc!H4</f>
        <v/>
      </c>
      <c r="I751">
        <f>IF(Skills!T4&lt;&gt;"",1+(Skills!T4/10)*($Z$3/1000)/100,1)</f>
        <v/>
      </c>
      <c r="J751" t="inlineStr"/>
      <c r="K751" t="inlineStr"/>
      <c r="L751" t="inlineStr"/>
      <c r="M751" t="inlineStr"/>
      <c r="N751" t="inlineStr"/>
      <c r="O751">
        <f>(1-Summary!$B$11)*S751+Summary!$B$11*U751</f>
        <v/>
      </c>
      <c r="P751">
        <f>IF(B790=0,0,O751/B790)</f>
        <v/>
      </c>
      <c r="Q751">
        <f>IFERROR(1/(IF(Inputs!$B$39="pvp",15,MAX(0.1,Skills!D4-IF(Skills!E4=TRUE,Inputs!$B$33,0)))*(1-IF(AND(ArtifactsInput!$M$27,Inputs!$B$4="Chapter Hunt"),CHOOSE(ArtifactsInput!$N$27+1,20,24,28,32,36,40),0)/100)),0)</f>
        <v/>
      </c>
      <c r="R751">
        <f>IF(AND(Inputs!$B$39&lt;&gt;"pvp",Inputs!$B$44&gt;0),IF(Inputs!$B$44&lt;=0,0,(INT(Inputs!$B$44/(IF(Inputs!$B$39="pvp",15,MAX(0.1,Skills!D4-IF(Skills!E4=TRUE,Inputs!$B$33,0)))*(1-IF(AND(ArtifactsInput!$M$27,Inputs!$B$4="Chapter Hunt"),CHOOSE(ArtifactsInput!$N$27+1,20,24,28,32,36,40),0)/100)))+1)),0)</f>
        <v/>
      </c>
      <c r="S751" t="n">
        <v>0</v>
      </c>
      <c r="T751">
        <f>290*T750/1000</f>
        <v/>
      </c>
      <c r="U751" t="n">
        <v>0</v>
      </c>
    </row>
    <row r="752">
      <c r="A752">
        <f>Skills!A5</f>
        <v/>
      </c>
      <c r="B752">
        <f>Skills!B5</f>
        <v/>
      </c>
      <c r="C752">
        <f>Inputs!$B$3&gt;=40</f>
        <v/>
      </c>
      <c r="D752">
        <f>IF(Skills!C5=1,60+Inputs!$B$26+Inputs!$B$30,IF(Skills!C5=2,90+Inputs!$B$27+Inputs!$B$30,IF(Skills!C5=3,120+Inputs!$B$28+Inputs!$B$30,MAX(0,(Inputs!$B$3-100)*3)+Inputs!$B$29+Inputs!$B$30)))</f>
        <v/>
      </c>
      <c r="E752">
        <f>INDEX(FactorTable!$B$2:$Y$301, MATCH(ROUND(MIN(300,MAX(1,D752)),0), FactorTable!$A$2:$A$301,0), Skills!L5+1)</f>
        <v/>
      </c>
      <c r="F752">
        <f>IF(Skills!M5=TRUE,(Skills!K5/10)*(E752/1000),Skills!K5/10)+Skills!N5</f>
        <v/>
      </c>
      <c r="G752">
        <f>Calc!G5</f>
        <v/>
      </c>
      <c r="H752">
        <f>Calc!H5</f>
        <v/>
      </c>
      <c r="I752">
        <f>IF(Skills!T5&lt;&gt;"",1+(Skills!T5/10)*($Z$3/1000)/100,1)</f>
        <v/>
      </c>
      <c r="J752" t="inlineStr"/>
      <c r="K752" t="inlineStr"/>
      <c r="L752" t="inlineStr"/>
      <c r="M752" t="inlineStr"/>
      <c r="N752" t="inlineStr"/>
      <c r="O752">
        <f>(1-Summary!$B$11)*S752+Summary!$B$11*U752</f>
        <v/>
      </c>
      <c r="P752">
        <f>IF(B790=0,0,O752/B790)</f>
        <v/>
      </c>
      <c r="Q752">
        <f>IFERROR(1/(IF(Inputs!$B$39="pvp",15,MAX(0.1,Skills!D5-IF(Skills!E5=TRUE,Inputs!$B$33,0)))*(1-IF(AND(ArtifactsInput!$M$27,Inputs!$B$4="Chapter Hunt"),CHOOSE(ArtifactsInput!$N$27+1,20,24,28,32,36,40),0)/100)),0)</f>
        <v/>
      </c>
      <c r="R752">
        <f>IF(AND(Inputs!$B$39&lt;&gt;"pvp",Inputs!$B$44&gt;0),IF(Inputs!$B$44&lt;=0,0,(INT(Inputs!$B$44/(IF(Inputs!$B$39="pvp",15,MAX(0.1,Skills!D5-IF(Skills!E5=TRUE,Inputs!$B$33,0)))*(1-IF(AND(ArtifactsInput!$M$27,Inputs!$B$4="Chapter Hunt"),CHOOSE(ArtifactsInput!$N$27+1,20,24,28,32,36,40),0)/100)))+1)),0)</f>
        <v/>
      </c>
      <c r="S752" t="n">
        <v>0</v>
      </c>
      <c r="U752" t="n">
        <v>0</v>
      </c>
    </row>
    <row r="753">
      <c r="A753">
        <f>Skills!A6</f>
        <v/>
      </c>
      <c r="B753">
        <f>Skills!B6</f>
        <v/>
      </c>
      <c r="C753">
        <f>Inputs!$B$3&gt;=103</f>
        <v/>
      </c>
      <c r="D753">
        <f>IF(Skills!C6=1,60+Inputs!$B$26+Inputs!$B$30,IF(Skills!C6=2,90+Inputs!$B$27+Inputs!$B$30,IF(Skills!C6=3,120+Inputs!$B$28+Inputs!$B$30,MAX(0,(Inputs!$B$3-100)*3)+Inputs!$B$29+Inputs!$B$30)))</f>
        <v/>
      </c>
      <c r="E753">
        <f>INDEX(FactorTable!$B$2:$Y$301, MATCH(ROUND(MIN(300,MAX(1,D753)),0), FactorTable!$A$2:$A$301,0), Skills!L6+1)</f>
        <v/>
      </c>
      <c r="F753">
        <f>IF(Skills!M6=TRUE,(Skills!K6/10)*(E753/1000),Skills!K6/10)+Skills!N6</f>
        <v/>
      </c>
      <c r="G753">
        <f>Calc!G6</f>
        <v/>
      </c>
      <c r="H753">
        <f>Calc!H6</f>
        <v/>
      </c>
      <c r="I753">
        <f>IF(Skills!T6&lt;&gt;"",1+(Skills!T6/10)*($Z$3/1000)/100,1)</f>
        <v/>
      </c>
      <c r="J753">
        <f>((Inputs!$B$6*(1+Inputs!$B$7/100))+(((Inputs!$B$13*(1+Inputs!$B$14/100))-(Inputs!$B$13*(1+Inputs!$B$14/100)))+0.25*(Inputs!$B$15-Inputs!$B$15))*(1+Inputs!$B$7/100))*(F753/100)</f>
        <v/>
      </c>
      <c r="K753">
        <f>J753*(1+(((Inputs!$B$13+IF(Inputs!$B$3&gt;=35,(10*INDEX(FactorTable!$B$2:$Y$301,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6="TRIUMPH_FEATHER",IF(C763=TRUE,F763,0),0)/100)*(1+IF(C774=TRUE,F774,0)/100)^5*(1+(IF(Skills!A6="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753)</f>
        <v/>
      </c>
      <c r="L753">
        <f>K753*(MIN(Inputs!$B$23+(F769-Calc!F22),(Inputs!$B$24+IF(ArtifactsInput!$M$15,CHOOSE(ArtifactsInput!$N$15+1,25,30,35,40,45,50)/100*(Inputs!$B$12-Inputs!$B$12),0)))/100+(Inputs!$B$24+IF(ArtifactsInput!$M$15,CHOOSE(ArtifactsInput!$N$15+1,25,30,35,40,45,50)/100*(Inputs!$B$12-Inputs!$B$12),0))/100)/2</f>
        <v/>
      </c>
      <c r="M753">
        <f>L753*(1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3">
        <f>L753*(1-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753*(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3">
        <f>(1-Summary!$B$11)*S753+Summary!$B$11*U753</f>
        <v/>
      </c>
      <c r="P753">
        <f>IF(B790=0,0,O753/B790)</f>
        <v/>
      </c>
      <c r="Q753">
        <f>IFERROR(1/(IF(Inputs!$B$39="pvp",15,MAX(0.1,Skills!D6-IF(Skills!E6=TRUE,Inputs!$B$33,0)))*(1-IF(AND(ArtifactsInput!$M$27,Inputs!$B$4="Chapter Hunt"),CHOOSE(ArtifactsInput!$N$27+1,20,24,28,32,36,40),0)/100)),0)</f>
        <v/>
      </c>
      <c r="R753">
        <f>IF(AND(Inputs!$B$39&lt;&gt;"pvp",Inputs!$B$44&gt;0),IF(MAX(0,Inputs!$B$44-B787)&lt;=0,0,(INT(MAX(0,Inputs!$B$44-B787)/(IF(Inputs!$B$39="pvp",15,MAX(0.1,Skills!D6-IF(Skills!E6=TRUE,Inputs!$B$33,0)))*(1-IF(AND(ArtifactsInput!$M$27,Inputs!$B$4="Chapter Hunt"),CHOOSE(ArtifactsInput!$N$27+1,20,24,28,32,36,40),0)/100)))+1)),0)</f>
        <v/>
      </c>
      <c r="S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$21+Skills!O6+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753*(1-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753*(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753*(1-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753*(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$22+Skills!P6+B779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4">
      <c r="A754">
        <f>Skills!A7</f>
        <v/>
      </c>
      <c r="B754">
        <f>Skills!B7</f>
        <v/>
      </c>
      <c r="C754">
        <f>Inputs!$B$3&gt;=122</f>
        <v/>
      </c>
      <c r="D754">
        <f>IF(Skills!C7=1,60+Inputs!$B$26+Inputs!$B$30,IF(Skills!C7=2,90+Inputs!$B$27+Inputs!$B$30,IF(Skills!C7=3,120+Inputs!$B$28+Inputs!$B$30,MAX(0,(Inputs!$B$3-100)*3)+Inputs!$B$29+Inputs!$B$30)))</f>
        <v/>
      </c>
      <c r="E754">
        <f>INDEX(FactorTable!$B$2:$Y$301, MATCH(ROUND(MIN(300,MAX(1,D754)),0), FactorTable!$A$2:$A$301,0), Skills!L7+1)</f>
        <v/>
      </c>
      <c r="F754">
        <f>IF(Skills!M7=TRUE,(Skills!K7/10)*(E754/1000),Skills!K7/10)+Skills!N7</f>
        <v/>
      </c>
      <c r="G754">
        <f>Calc!G7</f>
        <v/>
      </c>
      <c r="H754">
        <f>Calc!H7</f>
        <v/>
      </c>
      <c r="I754">
        <f>IF(Skills!T7&lt;&gt;"",1+(Skills!T7/10)*($Z$3/1000)/100,1)</f>
        <v/>
      </c>
      <c r="J754">
        <f>((Inputs!$B$6*(1+Inputs!$B$7/100))+(((Inputs!$B$13*(1+Inputs!$B$14/100))-(Inputs!$B$13*(1+Inputs!$B$14/100)))+0.25*(Inputs!$B$15-Inputs!$B$15))*(1+Inputs!$B$7/100))*(F754/100)</f>
        <v/>
      </c>
      <c r="K754">
        <f>J754*(1+(((Inputs!$B$13+IF(Inputs!$B$3&gt;=35,(10*INDEX(FactorTable!$B$2:$Y$301,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7="TRIUMPH_FEATHER",IF(C763=TRUE,F763,0),0)/100)*(1+IF(C774=TRUE,F774,0)/100)^5*(1+(IF(Skills!A7="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754)</f>
        <v/>
      </c>
      <c r="L754">
        <f>K754*(MIN(Inputs!$B$23+(F769-Calc!F22),(Inputs!$B$24+IF(ArtifactsInput!$M$15,CHOOSE(ArtifactsInput!$N$15+1,25,30,35,40,45,50)/100*(Inputs!$B$12-Inputs!$B$12),0)))/100+(Inputs!$B$24+IF(ArtifactsInput!$M$15,CHOOSE(ArtifactsInput!$N$15+1,25,30,35,40,45,50)/100*(Inputs!$B$12-Inputs!$B$12),0))/100)/2</f>
        <v/>
      </c>
      <c r="M754">
        <f>L754*(1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4">
        <f>L754*(1-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(1-Summary!$B$11)*S754+Summary!$B$11*U754</f>
        <v/>
      </c>
      <c r="P754">
        <f>IF(B790=0,0,O754/B790)</f>
        <v/>
      </c>
      <c r="Q754">
        <f>IFERROR(1/(IF(Inputs!$B$39="pvp",15,MAX(0.1,Skills!D7-IF(Skills!E6=TRUE,Inputs!$B$33,0)))*(1-IF(AND(ArtifactsInput!$M$27,Inputs!$B$4="Chapter Hunt"),CHOOSE(ArtifactsInput!$N$27+1,20,24,28,32,36,40),0)/100)),0)</f>
        <v/>
      </c>
      <c r="R754">
        <f>IF(AND(Inputs!$B$39&lt;&gt;"pvp",Inputs!$B$44&gt;0),IF(MAX(0,Inputs!$B$44-B787)&lt;=0,0,(INT(MAX(0,Inputs!$B$44-B787)/(IF(Inputs!$B$39="pvp",15,MAX(0.1,Skills!D7-IF(Skills!E6=TRUE,Inputs!$B$33,0)))*(1-IF(AND(ArtifactsInput!$M$27,Inputs!$B$4="Chapter Hunt"),CHOOSE(ArtifactsInput!$N$27+1,20,24,28,32,36,40),0)/100)))+1)),0)</f>
        <v/>
      </c>
      <c r="S754">
        <f>IF(C754,H754*N754*IF(AND(Inputs!$B$39&lt;&gt;"pvp",Inputs!$B$44&gt;0),((Skills!F7*((R754-1)*IF(Skills!G7&gt;0,Skills!H7/Skills!G7,1)+IF(Skills!G7&gt;0,MIN(Skills!H7,MAX(0,MAX(0,Inputs!$B$44-B787)-((R754-1)*(IF(Inputs!$B$39="pvp",15,MAX(0.1,Skills!D7-IF(Skills!E6=TRUE,Inputs!$B$33,0)))*(1-IF(AND(ArtifactsInput!$M$27,Inputs!$B$4="Chapter Hunt"),CHOOSE(ArtifactsInput!$N$27+1,20,24,28,32,36,40),0)/100)))))/Skills!G7,1)))/Inputs!$B$44),G754*Q754)*IF(Inputs!$B$39="pvp",1,1+(Inputs!$B$21+Skills!O7+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754*(1-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4" t="n">
        <v>0</v>
      </c>
    </row>
    <row r="755">
      <c r="A755">
        <f>Skills!A8</f>
        <v/>
      </c>
      <c r="B755">
        <f>Skills!B8</f>
        <v/>
      </c>
      <c r="C755">
        <f>Inputs!$B$3&gt;=105</f>
        <v/>
      </c>
      <c r="D755">
        <f>IF(Skills!C8=1,60+Inputs!$B$26+Inputs!$B$30,IF(Skills!C8=2,90+Inputs!$B$27+Inputs!$B$30,IF(Skills!C8=3,120+Inputs!$B$28+Inputs!$B$30,MAX(0,(Inputs!$B$3-100)*3)+Inputs!$B$29+Inputs!$B$30)))</f>
        <v/>
      </c>
      <c r="E755">
        <f>INDEX(FactorTable!$B$2:$Y$301, MATCH(ROUND(MIN(300,MAX(1,D755)),0), FactorTable!$A$2:$A$301,0), Skills!L8+1)</f>
        <v/>
      </c>
      <c r="F755">
        <f>IF(Skills!M8=TRUE,(Skills!K8/10)*(E755/1000),Skills!K8/10)+Skills!N8</f>
        <v/>
      </c>
      <c r="G755">
        <f>Calc!G8</f>
        <v/>
      </c>
      <c r="H755">
        <f>Calc!H8</f>
        <v/>
      </c>
      <c r="I755">
        <f>IF(Skills!T8&lt;&gt;"",1+(Skills!T8/10)*($Z$3/1000)/100,1)</f>
        <v/>
      </c>
      <c r="J755">
        <f>((Inputs!$B$6*(1+Inputs!$B$7/100))+(((Inputs!$B$13*(1+Inputs!$B$14/100))-(Inputs!$B$13*(1+Inputs!$B$14/100)))+0.25*(Inputs!$B$15-Inputs!$B$15))*(1+Inputs!$B$7/100))*(F755/100)</f>
        <v/>
      </c>
      <c r="K755">
        <f>J755*(1+(((Inputs!$B$13+IF(Inputs!$B$3&gt;=35,(10*INDEX(FactorTable!$B$2:$Y$301,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8="TRIUMPH_FEATHER",IF(C763=TRUE,F763,0),0)/100)*(1+IF(C774=TRUE,F774,0)/100)^5*(1+(IF(Skills!A8="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755)</f>
        <v/>
      </c>
      <c r="L755">
        <f>K755*(MIN(Inputs!$B$23+(F769-Calc!F22),(Inputs!$B$24+IF(ArtifactsInput!$M$15,CHOOSE(ArtifactsInput!$N$15+1,25,30,35,40,45,50)/100*(Inputs!$B$12-Inputs!$B$12),0)))/100+(Inputs!$B$24+IF(ArtifactsInput!$M$15,CHOOSE(ArtifactsInput!$N$15+1,25,30,35,40,45,50)/100*(Inputs!$B$12-Inputs!$B$12),0))/100)/2</f>
        <v/>
      </c>
      <c r="M755">
        <f>L755*(1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5">
        <f>L755*(1-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(1-Summary!$B$11)*S755+Summary!$B$11*U755</f>
        <v/>
      </c>
      <c r="P755">
        <f>IF(B790=0,0,O755/B790)</f>
        <v/>
      </c>
      <c r="Q755">
        <f>IFERROR(1/(IF(Inputs!$B$39="pvp",15,MAX(0.1,Skills!D8-IF(Skills!E8=TRUE,Inputs!$B$33,0)))*(1-IF(AND(ArtifactsInput!$M$27,Inputs!$B$4="Chapter Hunt"),CHOOSE(ArtifactsInput!$N$27+1,20,24,28,32,36,40),0)/100)),0)</f>
        <v/>
      </c>
      <c r="R755">
        <f>IF(AND(Inputs!$B$39&lt;&gt;"pvp",Inputs!$B$44&gt;0),IF(MAX(0,Inputs!$B$44-B787)&lt;=0,0,(INT(MAX(0,Inputs!$B$44-B787)/(IF(Inputs!$B$39="pvp",15,MAX(0.1,Skills!D8-IF(Skills!E8=TRUE,Inputs!$B$33,0)))*(1-IF(AND(ArtifactsInput!$M$27,Inputs!$B$4="Chapter Hunt"),CHOOSE(ArtifactsInput!$N$27+1,20,24,28,32,36,40),0)/100)))+1)),0)</f>
        <v/>
      </c>
      <c r="S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$21+Skills!O8+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755*(1-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$22+Skills!P8+B779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Skills!A9</f>
        <v/>
      </c>
      <c r="B756">
        <f>Skills!B9</f>
        <v/>
      </c>
      <c r="C756">
        <f>Inputs!$B$3&gt;=115</f>
        <v/>
      </c>
      <c r="D756">
        <f>IF(Skills!C9=1,60+Inputs!$B$26+Inputs!$B$30,IF(Skills!C9=2,90+Inputs!$B$27+Inputs!$B$30,IF(Skills!C9=3,120+Inputs!$B$28+Inputs!$B$30,MAX(0,(Inputs!$B$3-100)*3)+Inputs!$B$29+Inputs!$B$30)))</f>
        <v/>
      </c>
      <c r="E756">
        <f>INDEX(FactorTable!$B$2:$Y$301, MATCH(ROUND(MIN(300,MAX(1,D756)),0), FactorTable!$A$2:$A$301,0), Skills!L9+1)</f>
        <v/>
      </c>
      <c r="F756">
        <f>IF(Skills!M9=TRUE,(Skills!K9/10)*(E756/1000),Skills!K9/10)+Skills!N9</f>
        <v/>
      </c>
      <c r="G756">
        <f>Calc!G9</f>
        <v/>
      </c>
      <c r="H756">
        <f>Calc!H9</f>
        <v/>
      </c>
      <c r="I756">
        <f>IF(Skills!T9&lt;&gt;"",1+(Skills!T9/10)*($Z$3/1000)/100,1)</f>
        <v/>
      </c>
      <c r="J756">
        <f>((Inputs!$B$6*(1+Inputs!$B$7/100))+(((Inputs!$B$13*(1+Inputs!$B$14/100))-(Inputs!$B$13*(1+Inputs!$B$14/100)))+0.25*(Inputs!$B$15-Inputs!$B$15))*(1+Inputs!$B$7/100))*(F756/100)</f>
        <v/>
      </c>
      <c r="K756">
        <f>J756*(1+(((Inputs!$B$13+IF(Inputs!$B$3&gt;=35,(10*INDEX(FactorTable!$B$2:$Y$301,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9="TRIUMPH_FEATHER",IF(C763=TRUE,F763,0),0)/100)*(1+IF(C774=TRUE,F774,0)/100)^5*(1+(IF(Skills!A9="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756)</f>
        <v/>
      </c>
      <c r="L756">
        <f>K756*(MIN(Inputs!$B$23+(F769-Calc!F22),(Inputs!$B$24+IF(ArtifactsInput!$M$15,CHOOSE(ArtifactsInput!$N$15+1,25,30,35,40,45,50)/100*(Inputs!$B$12-Inputs!$B$12),0)))/100+(Inputs!$B$24+IF(ArtifactsInput!$M$15,CHOOSE(ArtifactsInput!$N$15+1,25,30,35,40,45,50)/100*(Inputs!$B$12-Inputs!$B$12),0))/100)/2</f>
        <v/>
      </c>
      <c r="M756">
        <f>L756*(1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6">
        <f>L756*(1-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756*(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6">
        <f>(1-Summary!$B$11)*S756+Summary!$B$11*U756</f>
        <v/>
      </c>
      <c r="P756">
        <f>IF(B790=0,0,O756/B790)</f>
        <v/>
      </c>
      <c r="Q756">
        <f>IFERROR(1/(IF(Inputs!$B$39="pvp",15,MAX(0.1,Skills!D9-IF(Skills!E9=TRUE,Inputs!$B$33,0)))*(1-IF(AND(ArtifactsInput!$M$27,Inputs!$B$4="Chapter Hunt"),CHOOSE(ArtifactsInput!$N$27+1,20,24,28,32,36,40),0)/100)),0)</f>
        <v/>
      </c>
      <c r="R756">
        <f>IF(AND(Inputs!$B$39&lt;&gt;"pvp",Inputs!$B$44&gt;0),IF(MAX(0,Inputs!$B$44-B787)&lt;=0,0,(INT(MAX(0,Inputs!$B$44-B787)/(IF(Inputs!$B$39="pvp",15,MAX(0.1,Skills!D9-IF(Skills!E9=TRUE,Inputs!$B$33,0)))*(1-IF(AND(ArtifactsInput!$M$27,Inputs!$B$4="Chapter Hunt"),CHOOSE(ArtifactsInput!$N$27+1,20,24,28,32,36,40),0)/100)))+1)),0)</f>
        <v/>
      </c>
      <c r="S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$21+Skills!O9+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756*(1-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756*(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756*(1-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756*(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$22+Skills!P9+B779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7">
      <c r="A757">
        <f>Skills!A10</f>
        <v/>
      </c>
      <c r="B757">
        <f>Skills!B10</f>
        <v/>
      </c>
      <c r="C757">
        <f>Inputs!$B$3&gt;=66</f>
        <v/>
      </c>
      <c r="D757">
        <f>IF(Skills!C10=1,60+Inputs!$B$26+Inputs!$B$30,IF(Skills!C10=2,90+Inputs!$B$27+Inputs!$B$30,IF(Skills!C10=3,120+Inputs!$B$28+Inputs!$B$30,MAX(0,(Inputs!$B$3-100)*3)+Inputs!$B$29+Inputs!$B$30)))</f>
        <v/>
      </c>
      <c r="E757">
        <f>INDEX(FactorTable!$B$2:$Y$301, MATCH(ROUND(MIN(300,MAX(1,D757)),0), FactorTable!$A$2:$A$301,0), Skills!L10+1)</f>
        <v/>
      </c>
      <c r="F757" t="n">
        <v>0</v>
      </c>
      <c r="G757">
        <f>Calc!G10</f>
        <v/>
      </c>
      <c r="H757">
        <f>Calc!H10</f>
        <v/>
      </c>
      <c r="I757">
        <f>IF(Skills!T10&lt;&gt;"",1+(Skills!T10/10)*($Z$3/1000)/100,1)</f>
        <v/>
      </c>
      <c r="J757" t="inlineStr"/>
      <c r="K757" t="inlineStr"/>
      <c r="L757" t="inlineStr"/>
      <c r="M757" t="inlineStr"/>
      <c r="N757" t="inlineStr"/>
      <c r="O757">
        <f>(1-Summary!$B$11)*S757+Summary!$B$11*U757</f>
        <v/>
      </c>
      <c r="P757">
        <f>IF(B790=0,0,O757/B790)</f>
        <v/>
      </c>
      <c r="Q757">
        <f>IFERROR(1/(IF(Inputs!$B$39="pvp",15,MAX(0.1,Skills!D10-IF(Skills!E10=TRUE,Inputs!$B$33,0)))*(1-IF(AND(ArtifactsInput!$M$27,Inputs!$B$4="Chapter Hunt"),CHOOSE(ArtifactsInput!$N$27+1,20,24,28,32,36,40),0)/100)),0)</f>
        <v/>
      </c>
      <c r="R757">
        <f>IF(AND(Inputs!$B$39&lt;&gt;"pvp",Inputs!$B$44&gt;0),IF(MAX(0,Inputs!$B$44-B787)&lt;=0,0,(INT(MAX(0,Inputs!$B$44-B787)/(IF(Inputs!$B$39="pvp",15,MAX(0.1,Skills!D10-IF(Skills!E10=TRUE,Inputs!$B$33,0)))*(1-IF(AND(ArtifactsInput!$M$27,Inputs!$B$4="Chapter Hunt"),CHOOSE(ArtifactsInput!$N$27+1,20,24,28,32,36,40),0)/100)))+1)),0)</f>
        <v/>
      </c>
      <c r="S757" t="n">
        <v>0</v>
      </c>
      <c r="U757" t="n">
        <v>0</v>
      </c>
    </row>
    <row r="758">
      <c r="A758">
        <f>Skills!A11</f>
        <v/>
      </c>
      <c r="B758">
        <f>Skills!B11</f>
        <v/>
      </c>
      <c r="C758">
        <f>Inputs!$B$3&gt;=69</f>
        <v/>
      </c>
      <c r="D758">
        <f>IF(Skills!C11=1,60+Inputs!$B$26+Inputs!$B$30,IF(Skills!C11=2,90+Inputs!$B$27+Inputs!$B$30,IF(Skills!C11=3,120+Inputs!$B$28+Inputs!$B$30,MAX(0,(Inputs!$B$3-100)*3)+Inputs!$B$29+Inputs!$B$30)))</f>
        <v/>
      </c>
      <c r="E758">
        <f>INDEX(FactorTable!$B$2:$Y$301, MATCH(ROUND(MIN(300,MAX(1,D758)),0), FactorTable!$A$2:$A$301,0), Skills!L11+1)</f>
        <v/>
      </c>
      <c r="F758">
        <f>IF(Skills!M11=TRUE,(Skills!K11/10)*(E758/1000),Skills!K11/10)+Skills!N11</f>
        <v/>
      </c>
      <c r="G758">
        <f>Calc!G11</f>
        <v/>
      </c>
      <c r="H758">
        <f>Calc!H11</f>
        <v/>
      </c>
      <c r="I758">
        <f>IF(Skills!T11&lt;&gt;"",1+(Skills!T11/10)*($Z$3/1000)/100,1)</f>
        <v/>
      </c>
      <c r="J758" t="inlineStr"/>
      <c r="K758" t="inlineStr"/>
      <c r="L758" t="inlineStr"/>
      <c r="M758" t="inlineStr"/>
      <c r="N758" t="inlineStr"/>
      <c r="O758">
        <f>(1-Summary!$B$11)*S758+Summary!$B$11*U758</f>
        <v/>
      </c>
      <c r="P758">
        <f>IF(B790=0,0,O758/B790)</f>
        <v/>
      </c>
      <c r="Q758">
        <f>IFERROR(1/(IF(Inputs!$B$39="pvp",15,MAX(0.1,Skills!D11-IF(Skills!E11=TRUE,Inputs!$B$33,0)))*(1-IF(AND(ArtifactsInput!$M$27,Inputs!$B$4="Chapter Hunt"),CHOOSE(ArtifactsInput!$N$27+1,20,24,28,32,36,40),0)/100)),0)</f>
        <v/>
      </c>
      <c r="R758">
        <f>IF(AND(Inputs!$B$39&lt;&gt;"pvp",Inputs!$B$44&gt;0),IF(Inputs!$B$44&lt;=0,0,(INT(Inputs!$B$44/(IF(Inputs!$B$39="pvp",15,MAX(0.1,Skills!D11-IF(Skills!E11=TRUE,Inputs!$B$33,0)))*(1-IF(AND(ArtifactsInput!$M$27,Inputs!$B$4="Chapter Hunt"),CHOOSE(ArtifactsInput!$N$27+1,20,24,28,32,36,40),0)/100)))+1)),0)</f>
        <v/>
      </c>
      <c r="S758" t="n">
        <v>0</v>
      </c>
      <c r="U758" t="n">
        <v>0</v>
      </c>
    </row>
    <row r="759">
      <c r="A759">
        <f>Skills!A12</f>
        <v/>
      </c>
      <c r="B759">
        <f>Skills!B12</f>
        <v/>
      </c>
      <c r="C759">
        <f>Inputs!$B$3&gt;=72</f>
        <v/>
      </c>
      <c r="D759">
        <f>IF(Skills!C12=1,60+Inputs!$B$26+Inputs!$B$30,IF(Skills!C12=2,90+Inputs!$B$27+Inputs!$B$30,IF(Skills!C12=3,120+Inputs!$B$28+Inputs!$B$30,MAX(0,(Inputs!$B$3-100)*3)+Inputs!$B$29+Inputs!$B$30)))</f>
        <v/>
      </c>
      <c r="E759">
        <f>INDEX(FactorTable!$B$2:$Y$301, MATCH(ROUND(MIN(300,MAX(1,D759)),0), FactorTable!$A$2:$A$301,0), Skills!L12+1)</f>
        <v/>
      </c>
      <c r="F759">
        <f>IF(Skills!M12=TRUE,(Skills!K12/10)*(E759/1000),Skills!K12/10)+Skills!N12</f>
        <v/>
      </c>
      <c r="G759">
        <f>Calc!G12</f>
        <v/>
      </c>
      <c r="H759">
        <f>Calc!H12</f>
        <v/>
      </c>
      <c r="I759">
        <f>IF(Skills!T12&lt;&gt;"",1+(Skills!T12/10)*($Z$3/1000)/100,1)</f>
        <v/>
      </c>
      <c r="J759" t="inlineStr"/>
      <c r="K759" t="inlineStr"/>
      <c r="L759" t="inlineStr"/>
      <c r="M759" t="inlineStr"/>
      <c r="N759" t="inlineStr"/>
      <c r="O759">
        <f>(1-Summary!$B$11)*S759+Summary!$B$11*U759</f>
        <v/>
      </c>
      <c r="P759">
        <f>IF(B790=0,0,O759/B790)</f>
        <v/>
      </c>
      <c r="Q759">
        <f>IFERROR(1/(IF(Inputs!$B$39="pvp",15,MAX(0.1,Skills!D12-IF(Skills!E12=TRUE,Inputs!$B$33,0)))*(1-IF(AND(ArtifactsInput!$M$27,Inputs!$B$4="Chapter Hunt"),CHOOSE(ArtifactsInput!$N$27+1,20,24,28,32,36,40),0)/100)),0)</f>
        <v/>
      </c>
      <c r="R759">
        <f>IF(AND(Inputs!$B$39&lt;&gt;"pvp",Inputs!$B$44&gt;0),IF(MAX(0,Inputs!$B$44-B787)&lt;=0,0,(INT(MAX(0,Inputs!$B$44-B787)/(IF(Inputs!$B$39="pvp",15,MAX(0.1,Skills!D12-IF(Skills!E12=TRUE,Inputs!$B$33,0)))*(1-IF(AND(ArtifactsInput!$M$27,Inputs!$B$4="Chapter Hunt"),CHOOSE(ArtifactsInput!$N$27+1,20,24,28,32,36,40),0)/100)))+1)),0)</f>
        <v/>
      </c>
      <c r="S759" t="n">
        <v>0</v>
      </c>
      <c r="U759" t="n">
        <v>0</v>
      </c>
    </row>
    <row r="760">
      <c r="A760">
        <f>Skills!A13</f>
        <v/>
      </c>
      <c r="B760">
        <f>Skills!B13</f>
        <v/>
      </c>
      <c r="C760">
        <f>Inputs!$B$3&gt;=60</f>
        <v/>
      </c>
      <c r="D760">
        <f>IF(Skills!C13=1,60+Inputs!$B$26+Inputs!$B$30,IF(Skills!C13=2,90+Inputs!$B$27+Inputs!$B$30,IF(Skills!C13=3,120+Inputs!$B$28+Inputs!$B$30,MAX(0,(Inputs!$B$3-100)*3)+Inputs!$B$29+Inputs!$B$30)))</f>
        <v/>
      </c>
      <c r="E760">
        <f>INDEX(FactorTable!$B$2:$Y$301, MATCH(ROUND(MIN(300,MAX(1,D760)),0), FactorTable!$A$2:$A$301,0), Skills!L13+1)</f>
        <v/>
      </c>
      <c r="F760">
        <f>IF(Skills!M13=TRUE,(Skills!K13/10)*(E760/1000),Skills!K13/10)+Skills!N13</f>
        <v/>
      </c>
      <c r="G760">
        <f>Calc!G13</f>
        <v/>
      </c>
      <c r="H760">
        <f>Calc!H13</f>
        <v/>
      </c>
      <c r="I760">
        <f>IF(Skills!T13&lt;&gt;"",1+(Skills!T13/10)*($Z$3/1000)/100,1)</f>
        <v/>
      </c>
      <c r="J760" t="inlineStr"/>
      <c r="K760" t="inlineStr"/>
      <c r="L760" t="inlineStr"/>
      <c r="M760" t="inlineStr"/>
      <c r="N760" t="inlineStr"/>
      <c r="O760">
        <f>(1-Summary!$B$11)*S760+Summary!$B$11*U760</f>
        <v/>
      </c>
      <c r="P760">
        <f>IF(B790=0,0,O760/B790)</f>
        <v/>
      </c>
      <c r="Q760">
        <f>IFERROR(1/(IF(Inputs!$B$39="pvp",15,MAX(0.1,Skills!D13-IF(Skills!E13=TRUE,Inputs!$B$33,0)))*(1-IF(AND(ArtifactsInput!$M$27,Inputs!$B$4="Chapter Hunt"),CHOOSE(ArtifactsInput!$N$27+1,20,24,28,32,36,40),0)/100)),0)</f>
        <v/>
      </c>
      <c r="R760">
        <f>IF(AND(Inputs!$B$39&lt;&gt;"pvp",Inputs!$B$44&gt;0),IF(MAX(0,Inputs!$B$44-B787)&lt;=0,0,(INT(MAX(0,Inputs!$B$44-B787)/(IF(Inputs!$B$39="pvp",15,MAX(0.1,Skills!D13-IF(Skills!E13=TRUE,Inputs!$B$33,0)))*(1-IF(AND(ArtifactsInput!$M$27,Inputs!$B$4="Chapter Hunt"),CHOOSE(ArtifactsInput!$N$27+1,20,24,28,32,36,40),0)/100)))+1)),0)</f>
        <v/>
      </c>
      <c r="S760" t="n">
        <v>0</v>
      </c>
      <c r="U760" t="n">
        <v>0</v>
      </c>
    </row>
    <row r="761">
      <c r="A761">
        <f>Skills!A14</f>
        <v/>
      </c>
      <c r="B761">
        <f>Skills!B14</f>
        <v/>
      </c>
      <c r="C761">
        <f>Inputs!$B$3&gt;=107</f>
        <v/>
      </c>
      <c r="D761">
        <f>IF(Skills!C14=1,60+Inputs!$B$26+Inputs!$B$30,IF(Skills!C14=2,90+Inputs!$B$27+Inputs!$B$30,IF(Skills!C14=3,120+Inputs!$B$28+Inputs!$B$30,MAX(0,(Inputs!$B$3-100)*3)+Inputs!$B$29+Inputs!$B$30)))</f>
        <v/>
      </c>
      <c r="E761">
        <f>INDEX(FactorTable!$B$2:$Y$301, MATCH(ROUND(MIN(300,MAX(1,D761)),0), FactorTable!$A$2:$A$301,0), Skills!L14+1)</f>
        <v/>
      </c>
      <c r="F761">
        <f>IF(Skills!M14=TRUE,(Skills!K14/10)*(E761/1000),Skills!K14/10)+Skills!N14</f>
        <v/>
      </c>
      <c r="G761">
        <f>Calc!G14</f>
        <v/>
      </c>
      <c r="H761">
        <f>Calc!H14</f>
        <v/>
      </c>
      <c r="I761">
        <f>IF(Skills!T14&lt;&gt;"",1+(Skills!T14/10)*($Z$3/1000)/100,1)</f>
        <v/>
      </c>
      <c r="J761" t="inlineStr"/>
      <c r="K761" t="inlineStr"/>
      <c r="L761" t="inlineStr"/>
      <c r="M761" t="inlineStr"/>
      <c r="N761" t="inlineStr"/>
      <c r="O761">
        <f>(1-Summary!$B$11)*S761+Summary!$B$11*U761</f>
        <v/>
      </c>
      <c r="P761">
        <f>IF(B790=0,0,O761/B790)</f>
        <v/>
      </c>
      <c r="Q761">
        <f>IFERROR(1/(IF(Inputs!$B$39="pvp",15,MAX(0.1,Skills!D14-IF(Skills!E14=TRUE,Inputs!$B$33,0)))*(1-IF(AND(ArtifactsInput!$M$27,Inputs!$B$4="Chapter Hunt"),CHOOSE(ArtifactsInput!$N$27+1,20,24,28,32,36,40),0)/100)),0)</f>
        <v/>
      </c>
      <c r="R761">
        <f>IF(AND(Inputs!$B$39&lt;&gt;"pvp",Inputs!$B$44&gt;0),IF(Inputs!$B$44&lt;=0,0,(INT(Inputs!$B$44/(IF(Inputs!$B$39="pvp",15,MAX(0.1,Skills!D14-IF(Skills!E14=TRUE,Inputs!$B$33,0)))*(1-IF(AND(ArtifactsInput!$M$27,Inputs!$B$4="Chapter Hunt"),CHOOSE(ArtifactsInput!$N$27+1,20,24,28,32,36,40),0)/100)))+1)),0)</f>
        <v/>
      </c>
      <c r="S761" t="n">
        <v>0</v>
      </c>
      <c r="U761" t="n">
        <v>0</v>
      </c>
    </row>
    <row r="762">
      <c r="A762">
        <f>Skills!A15</f>
        <v/>
      </c>
      <c r="B762">
        <f>Skills!B15</f>
        <v/>
      </c>
      <c r="C762">
        <f>Inputs!$B$3&gt;=63</f>
        <v/>
      </c>
      <c r="D762">
        <f>IF(Skills!C15=1,60+Inputs!$B$26+Inputs!$B$30,IF(Skills!C15=2,90+Inputs!$B$27+Inputs!$B$30,IF(Skills!C15=3,120+Inputs!$B$28+Inputs!$B$30,MAX(0,(Inputs!$B$3-100)*3)+Inputs!$B$29+Inputs!$B$30)))</f>
        <v/>
      </c>
      <c r="E762">
        <f>INDEX(FactorTable!$B$2:$Y$301, MATCH(ROUND(MIN(300,MAX(1,D762)),0), FactorTable!$A$2:$A$301,0), Skills!L15+1)</f>
        <v/>
      </c>
      <c r="F762">
        <f>IF(Skills!M15=TRUE,(Skills!K15/10)*(E762/1000),Skills!K15/10)+Skills!N15</f>
        <v/>
      </c>
      <c r="G762">
        <f>Calc!G15</f>
        <v/>
      </c>
      <c r="H762">
        <f>Calc!H15</f>
        <v/>
      </c>
      <c r="I762">
        <f>IF(Skills!T15&lt;&gt;"",1+(Skills!T15/10)*($Z$3/1000)/100,1)</f>
        <v/>
      </c>
      <c r="J762">
        <f>((Inputs!$B$6*(1+Inputs!$B$7/100))+(((Inputs!$B$13*(1+Inputs!$B$14/100))-(Inputs!$B$13*(1+Inputs!$B$14/100)))+0.25*(Inputs!$B$15-Inputs!$B$15))*(1+Inputs!$B$7/100))*(F762/100)</f>
        <v/>
      </c>
      <c r="K762">
        <f>J762*(1+(((Inputs!$B$13+IF(Inputs!$B$3&gt;=35,(10*INDEX(FactorTable!$B$2:$Y$301,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15="TRIUMPH_FEATHER",IF(C763=TRUE,F763,0),0)/100)*(1+IF(C774=TRUE,F774,0)/100)^5*(1+(IF(Skills!A15="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762)</f>
        <v/>
      </c>
      <c r="L762">
        <f>K762*(MIN(Inputs!$B$23+(F769-Calc!F22),(Inputs!$B$24+IF(ArtifactsInput!$M$15,CHOOSE(ArtifactsInput!$N$15+1,25,30,35,40,45,50)/100*(Inputs!$B$12-Inputs!$B$12),0)))/100+(Inputs!$B$24+IF(ArtifactsInput!$M$15,CHOOSE(ArtifactsInput!$N$15+1,25,30,35,40,45,50)/100*(Inputs!$B$12-Inputs!$B$12),0))/100)/2</f>
        <v/>
      </c>
      <c r="M762">
        <f>L762*(1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62">
        <f>L762*(1-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(1-Summary!$B$11)*S762+Summary!$B$11*U762</f>
        <v/>
      </c>
      <c r="P762">
        <f>IF(B790=0,0,O762/B790)</f>
        <v/>
      </c>
      <c r="Q762">
        <f>IFERROR(1/(IF(Inputs!$B$39="pvp",15,MAX(0.1,Skills!D15-IF(Skills!E15=TRUE,Inputs!$B$33,0)))*(1-IF(AND(ArtifactsInput!$M$27,Inputs!$B$4="Chapter Hunt"),CHOOSE(ArtifactsInput!$N$27+1,20,24,28,32,36,40),0)/100)),0)</f>
        <v/>
      </c>
      <c r="R762" t="n">
        <v>0</v>
      </c>
      <c r="S762">
        <f>IF(C762,(Skills!F15*N762*((IF(Inputs!$B$3&gt;=78,25,15)/100*B783*10)/(1+IF(Inputs!$B$3&gt;=78,25,15)/100*B783*10))*(Skills!I15/100*B783)/(1+Skills!G15*Skills!I15/100*B783))*IF(Inputs!$B$39="pvp",1,1+(Inputs!$B$21+Skills!O15+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762*(1-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IF(C762,(Skills!F15*N762*((IF(Inputs!$B$3&gt;=78,25,15)/100*B783*10)/(1+IF(Inputs!$B$3&gt;=78,25,15)/100*B783*10))*(Skills!I15/100*B783)/(1+Skills!G15*Skills!I15/100*B783))*IF(Inputs!$B$39="pvp",1,(1+(Inputs!$B$22+Skills!P15+B779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Skills!A16</f>
        <v/>
      </c>
      <c r="B763">
        <f>Skills!B16</f>
        <v/>
      </c>
      <c r="C763">
        <f>Inputs!$B$3&gt;=100</f>
        <v/>
      </c>
      <c r="D763">
        <f>IF(Skills!C16=1,60+Inputs!$B$26+Inputs!$B$30,IF(Skills!C16=2,90+Inputs!$B$27+Inputs!$B$30,IF(Skills!C16=3,120+Inputs!$B$28+Inputs!$B$30,MAX(0,(Inputs!$B$3-100)*3)+Inputs!$B$29+Inputs!$B$30)))</f>
        <v/>
      </c>
      <c r="E763">
        <f>INDEX(FactorTable!$B$2:$Y$301, MATCH(ROUND(MIN(300,MAX(1,D763)),0), FactorTable!$A$2:$A$301,0), Skills!L16+1)</f>
        <v/>
      </c>
      <c r="F763">
        <f>IF(Skills!M16=TRUE,(Skills!K16/10)*(E763/1000),Skills!K16/10)+Skills!N16</f>
        <v/>
      </c>
      <c r="G763">
        <f>Calc!G16</f>
        <v/>
      </c>
      <c r="H763">
        <f>Calc!H16</f>
        <v/>
      </c>
      <c r="I763">
        <f>IF(Skills!T16&lt;&gt;"",1+(Skills!T16/10)*($Z$3/1000)/100,1)</f>
        <v/>
      </c>
      <c r="J763" t="inlineStr"/>
      <c r="K763" t="inlineStr"/>
      <c r="L763" t="inlineStr"/>
      <c r="M763" t="inlineStr"/>
      <c r="N763" t="inlineStr"/>
      <c r="O763">
        <f>(1-Summary!$B$11)*S763+Summary!$B$11*U763</f>
        <v/>
      </c>
      <c r="P763">
        <f>IF(B790=0,0,O763/B790)</f>
        <v/>
      </c>
      <c r="Q763">
        <f>IFERROR(1/(IF(Inputs!$B$39="pvp",15,MAX(0.1,Skills!D16-IF(Skills!E16=TRUE,Inputs!$B$33,0)))*(1-IF(AND(ArtifactsInput!$M$27,Inputs!$B$4="Chapter Hunt"),CHOOSE(ArtifactsInput!$N$27+1,20,24,28,32,36,40),0)/100)),0)</f>
        <v/>
      </c>
      <c r="R763" t="n">
        <v>0</v>
      </c>
      <c r="S763" t="n">
        <v>0</v>
      </c>
      <c r="U763" t="n">
        <v>0</v>
      </c>
    </row>
    <row r="764">
      <c r="A764">
        <f>Skills!A17</f>
        <v/>
      </c>
      <c r="B764">
        <f>Skills!B17</f>
        <v/>
      </c>
      <c r="C764">
        <f>Inputs!$B$3&gt;=49</f>
        <v/>
      </c>
      <c r="D764">
        <f>IF(Skills!C17=1,60+Inputs!$B$26+Inputs!$B$30,IF(Skills!C17=2,90+Inputs!$B$27+Inputs!$B$30,IF(Skills!C17=3,120+Inputs!$B$28+Inputs!$B$30,MAX(0,(Inputs!$B$3-100)*3)+Inputs!$B$29+Inputs!$B$30)))</f>
        <v/>
      </c>
      <c r="E764">
        <f>INDEX(FactorTable!$B$2:$Y$301, MATCH(ROUND(MIN(300,MAX(1,D764)),0), FactorTable!$A$2:$A$301,0), Skills!L17+1)</f>
        <v/>
      </c>
      <c r="F764">
        <f>IF(Skills!M17=TRUE,(Skills!K17/10)*(E764/1000),Skills!K17/10)+Skills!N17</f>
        <v/>
      </c>
      <c r="G764">
        <f>Calc!G17</f>
        <v/>
      </c>
      <c r="H764">
        <f>Calc!H17</f>
        <v/>
      </c>
      <c r="I764">
        <f>IF(Skills!T17&lt;&gt;"",1+(Skills!T17/10)*($Z$3/1000)/100,1)</f>
        <v/>
      </c>
      <c r="J764" t="inlineStr"/>
      <c r="K764" t="inlineStr"/>
      <c r="L764" t="inlineStr"/>
      <c r="M764" t="inlineStr"/>
      <c r="N764" t="inlineStr"/>
      <c r="O764">
        <f>(1-Summary!$B$11)*S764+Summary!$B$11*U764</f>
        <v/>
      </c>
      <c r="P764">
        <f>IF(B790=0,0,O764/B790)</f>
        <v/>
      </c>
      <c r="Q764">
        <f>IFERROR(1/(IF(Inputs!$B$39="pvp",15,MAX(0.1,Skills!D17-IF(Skills!E17=TRUE,Inputs!$B$33,0)))*(1-IF(AND(ArtifactsInput!$M$27,Inputs!$B$4="Chapter Hunt"),CHOOSE(ArtifactsInput!$N$27+1,20,24,28,32,36,40),0)/100)),0)</f>
        <v/>
      </c>
      <c r="R764" t="n">
        <v>0</v>
      </c>
      <c r="S764" t="n">
        <v>0</v>
      </c>
      <c r="U764" t="n">
        <v>0</v>
      </c>
    </row>
    <row r="765">
      <c r="A765">
        <f>Skills!A18</f>
        <v/>
      </c>
      <c r="B765">
        <f>Skills!B18</f>
        <v/>
      </c>
      <c r="C765">
        <f>Inputs!$B$3&gt;=75</f>
        <v/>
      </c>
      <c r="D765">
        <f>IF(Skills!C18=1,60+Inputs!$B$26+Inputs!$B$30,IF(Skills!C18=2,90+Inputs!$B$27+Inputs!$B$30,IF(Skills!C18=3,120+Inputs!$B$28+Inputs!$B$30,MAX(0,(Inputs!$B$3-100)*3)+Inputs!$B$29+Inputs!$B$30)))</f>
        <v/>
      </c>
      <c r="E765">
        <f>INDEX(FactorTable!$B$2:$Y$301, MATCH(ROUND(MIN(300,MAX(1,D765)),0), FactorTable!$A$2:$A$301,0), Skills!L18+1)</f>
        <v/>
      </c>
      <c r="F765">
        <f>IF(Skills!M18=TRUE,(Skills!K18/10)*(E765/1000),Skills!K18/10)+Skills!N18</f>
        <v/>
      </c>
      <c r="G765">
        <f>Calc!G18</f>
        <v/>
      </c>
      <c r="H765">
        <f>Calc!H18</f>
        <v/>
      </c>
      <c r="I765">
        <f>IF(Skills!T18&lt;&gt;"",1+(Skills!T18/10)*($Z$3/1000)/100,1)</f>
        <v/>
      </c>
      <c r="J765" t="inlineStr"/>
      <c r="K765" t="inlineStr"/>
      <c r="L765" t="inlineStr"/>
      <c r="M765" t="inlineStr"/>
      <c r="N765" t="inlineStr"/>
      <c r="O765">
        <f>(1-Summary!$B$11)*S765+Summary!$B$11*U765</f>
        <v/>
      </c>
      <c r="P765">
        <f>IF(B790=0,0,O765/B790)</f>
        <v/>
      </c>
      <c r="Q765">
        <f>IFERROR(1/(IF(Inputs!$B$39="pvp",15,MAX(0.1,Skills!D18-IF(Skills!E18=TRUE,Inputs!$B$33,0)))*(1-IF(AND(ArtifactsInput!$M$27,Inputs!$B$4="Chapter Hunt"),CHOOSE(ArtifactsInput!$N$27+1,20,24,28,32,36,40),0)/100)),0)</f>
        <v/>
      </c>
      <c r="R765" t="n">
        <v>0</v>
      </c>
      <c r="S765" t="n">
        <v>0</v>
      </c>
      <c r="U765" t="n">
        <v>0</v>
      </c>
    </row>
    <row r="766">
      <c r="A766">
        <f>Skills!A19</f>
        <v/>
      </c>
      <c r="B766">
        <f>Skills!B19</f>
        <v/>
      </c>
      <c r="C766">
        <f>Inputs!$B$3&gt;=110</f>
        <v/>
      </c>
      <c r="D766">
        <f>IF(Skills!C19=1,60+Inputs!$B$26+Inputs!$B$30,IF(Skills!C19=2,90+Inputs!$B$27+Inputs!$B$30,IF(Skills!C19=3,120+Inputs!$B$28+Inputs!$B$30,MAX(0,(Inputs!$B$3-100)*3)+Inputs!$B$29+Inputs!$B$30)))</f>
        <v/>
      </c>
      <c r="E766">
        <f>INDEX(FactorTable!$B$2:$Y$301, MATCH(ROUND(MIN(300,MAX(1,D766)),0), FactorTable!$A$2:$A$301,0), Skills!L19+1)</f>
        <v/>
      </c>
      <c r="F766">
        <f>(Skills!K19/10)*(E766/1000)*64/45+Skills!N19</f>
        <v/>
      </c>
      <c r="G766">
        <f>Calc!G19</f>
        <v/>
      </c>
      <c r="H766">
        <f>Calc!H19</f>
        <v/>
      </c>
      <c r="I766">
        <f>IF(Skills!T19&lt;&gt;"",1+(Skills!T19/10)*($Z$3/1000)/100,1)</f>
        <v/>
      </c>
      <c r="J766" t="inlineStr"/>
      <c r="K766" t="inlineStr"/>
      <c r="L766" t="inlineStr"/>
      <c r="M766" t="inlineStr"/>
      <c r="N766" t="inlineStr"/>
      <c r="O766">
        <f>(1-Summary!$B$11)*S766+Summary!$B$11*U766</f>
        <v/>
      </c>
      <c r="P766">
        <f>IF(B790=0,0,O766/B790)</f>
        <v/>
      </c>
      <c r="Q766">
        <f>IFERROR(1/(IF(Inputs!$B$39="pvp",15,MAX(0.1,Skills!D19-IF(Skills!E19=TRUE,Inputs!$B$33,0)))*(1-IF(AND(ArtifactsInput!$M$27,Inputs!$B$4="Chapter Hunt"),CHOOSE(ArtifactsInput!$N$27+1,20,24,28,32,36,40),0)/100)),0)</f>
        <v/>
      </c>
      <c r="R766">
        <f>IF(AND(Inputs!$B$39&lt;&gt;"pvp",Inputs!$B$44&gt;0),IF(Inputs!$B$44&lt;=0,0,(INT(Inputs!$B$44/(IF(Inputs!$B$39="pvp",15,MAX(0.1,Skills!D19-IF(Skills!E19=TRUE,Inputs!$B$33,0)))*(1-IF(AND(ArtifactsInput!$M$27,Inputs!$B$4="Chapter Hunt"),CHOOSE(ArtifactsInput!$N$27+1,20,24,28,32,36,40),0)/100)))+1)),0)</f>
        <v/>
      </c>
      <c r="S766" t="n">
        <v>0</v>
      </c>
      <c r="U766" t="n">
        <v>0</v>
      </c>
    </row>
    <row r="767">
      <c r="A767">
        <f>Skills!A20</f>
        <v/>
      </c>
      <c r="B767">
        <f>Skills!B20</f>
        <v/>
      </c>
      <c r="C767">
        <f>Inputs!$B$3&gt;=125</f>
        <v/>
      </c>
      <c r="D767">
        <f>IF(Skills!C20=1,60+Inputs!$B$26+Inputs!$B$30,IF(Skills!C20=2,90+Inputs!$B$27+Inputs!$B$30,IF(Skills!C20=3,120+Inputs!$B$28+Inputs!$B$30,MAX(0,(Inputs!$B$3-100)*3)+Inputs!$B$29+Inputs!$B$30)))</f>
        <v/>
      </c>
      <c r="E767">
        <f>INDEX(FactorTable!$B$2:$Y$301, MATCH(ROUND(MIN(300,MAX(1,D767)),0), FactorTable!$A$2:$A$301,0), Skills!L20+1)</f>
        <v/>
      </c>
      <c r="F767">
        <f>IF(Skills!M20=TRUE,(Skills!K20/10)*(E767/1000),Skills!K20/10)+Skills!N20</f>
        <v/>
      </c>
      <c r="G767">
        <f>Calc!G20</f>
        <v/>
      </c>
      <c r="H767">
        <f>Calc!H20</f>
        <v/>
      </c>
      <c r="I767">
        <f>IF(Skills!T20&lt;&gt;"",1+(Skills!T20/10)*($Z$3/1000)/100,1)</f>
        <v/>
      </c>
      <c r="J767" t="inlineStr"/>
      <c r="K767" t="inlineStr"/>
      <c r="L767" t="inlineStr"/>
      <c r="M767" t="inlineStr"/>
      <c r="N767" t="inlineStr"/>
      <c r="O767">
        <f>(1-Summary!$B$11)*S767+Summary!$B$11*U767</f>
        <v/>
      </c>
      <c r="P767">
        <f>IF(B790=0,0,O767/B790)</f>
        <v/>
      </c>
      <c r="Q767">
        <f>IFERROR(1/(IF(Inputs!$B$39="pvp",15,MAX(0.1,Skills!D20-IF(Skills!E20=TRUE,Inputs!$B$33,0)))*(1-IF(AND(ArtifactsInput!$M$27,Inputs!$B$4="Chapter Hunt"),CHOOSE(ArtifactsInput!$N$27+1,20,24,28,32,36,40),0)/100)),0)</f>
        <v/>
      </c>
      <c r="R767" t="n">
        <v>0</v>
      </c>
      <c r="S767" t="n">
        <v>0</v>
      </c>
      <c r="U767" t="n">
        <v>0</v>
      </c>
    </row>
    <row r="768">
      <c r="A768">
        <f>Skills!A21</f>
        <v/>
      </c>
      <c r="B768">
        <f>Skills!B21</f>
        <v/>
      </c>
      <c r="C768">
        <f>Inputs!$B$3&gt;=33</f>
        <v/>
      </c>
      <c r="D768">
        <f>IF(Skills!C21=1,60+Inputs!$B$26+Inputs!$B$30,IF(Skills!C21=2,90+Inputs!$B$27+Inputs!$B$30,IF(Skills!C21=3,120+Inputs!$B$28+Inputs!$B$30,MAX(0,(Inputs!$B$3-100)*3)+Inputs!$B$29+Inputs!$B$30)))</f>
        <v/>
      </c>
      <c r="E768">
        <f>INDEX(FactorTable!$B$2:$Y$301, MATCH(ROUND(MIN(300,MAX(1,D768)),0), FactorTable!$A$2:$A$301,0), Skills!L21+1)</f>
        <v/>
      </c>
      <c r="F768">
        <f>IF(Skills!M21=TRUE,(Skills!K21/10)*(E768/1000),Skills!K21/10)+Skills!N21</f>
        <v/>
      </c>
      <c r="G768">
        <f>Calc!G21</f>
        <v/>
      </c>
      <c r="H768">
        <f>Calc!H21</f>
        <v/>
      </c>
      <c r="I768">
        <f>IF(Skills!T21&lt;&gt;"",1+(Skills!T21/10)*($Z$3/1000)/100,1)</f>
        <v/>
      </c>
      <c r="J768" t="inlineStr"/>
      <c r="K768" t="inlineStr"/>
      <c r="L768" t="inlineStr"/>
      <c r="M768" t="inlineStr"/>
      <c r="N768" t="inlineStr"/>
      <c r="O768">
        <f>(1-Summary!$B$11)*S768+Summary!$B$11*U768</f>
        <v/>
      </c>
      <c r="P768">
        <f>IF(B790=0,0,O768/B790)</f>
        <v/>
      </c>
      <c r="Q768">
        <f>IFERROR(1/(IF(Inputs!$B$39="pvp",15,MAX(0.1,Skills!D21-IF(Skills!E21=TRUE,Inputs!$B$33,0)))*(1-IF(AND(ArtifactsInput!$M$27,Inputs!$B$4="Chapter Hunt"),CHOOSE(ArtifactsInput!$N$27+1,20,24,28,32,36,40),0)/100)),0)</f>
        <v/>
      </c>
      <c r="R768" t="n">
        <v>0</v>
      </c>
      <c r="S768" t="n">
        <v>0</v>
      </c>
      <c r="U768" t="n">
        <v>0</v>
      </c>
    </row>
    <row r="769">
      <c r="A769">
        <f>Skills!A22</f>
        <v/>
      </c>
      <c r="B769">
        <f>Skills!B22</f>
        <v/>
      </c>
      <c r="C769">
        <f>Inputs!$B$3&gt;=43</f>
        <v/>
      </c>
      <c r="D769">
        <f>IF(Skills!C22=1,60+Inputs!$B$26+Inputs!$B$30,IF(Skills!C22=2,90+Inputs!$B$27+Inputs!$B$30,IF(Skills!C22=3,120+Inputs!$B$28+Inputs!$B$30,MAX(0,(Inputs!$B$3-100)*3)+Inputs!$B$29+Inputs!$B$30)))</f>
        <v/>
      </c>
      <c r="E769">
        <f>INDEX(FactorTable!$B$2:$Y$301, MATCH(ROUND(MIN(300,MAX(1,D769)),0), FactorTable!$A$2:$A$301,0), Skills!L22+1)</f>
        <v/>
      </c>
      <c r="F769">
        <f>IF(Skills!M22=TRUE,(Skills!K22/10)*(E769/1000),Skills!K22/10)+Skills!N22</f>
        <v/>
      </c>
      <c r="G769">
        <f>Calc!G22</f>
        <v/>
      </c>
      <c r="H769">
        <f>Calc!H22</f>
        <v/>
      </c>
      <c r="I769">
        <f>IF(Skills!T22&lt;&gt;"",1+(Skills!T22/10)*($Z$3/1000)/100,1)</f>
        <v/>
      </c>
      <c r="J769" t="inlineStr"/>
      <c r="K769" t="inlineStr"/>
      <c r="L769" t="inlineStr"/>
      <c r="M769" t="inlineStr"/>
      <c r="N769" t="inlineStr"/>
      <c r="O769">
        <f>(1-Summary!$B$11)*S769+Summary!$B$11*U769</f>
        <v/>
      </c>
      <c r="P769">
        <f>IF(B790=0,0,O769/B790)</f>
        <v/>
      </c>
      <c r="Q769">
        <f>IFERROR(1/(IF(Inputs!$B$39="pvp",15,MAX(0.1,Skills!D22-IF(Skills!E22=TRUE,Inputs!$B$33,0)))*(1-IF(AND(ArtifactsInput!$M$27,Inputs!$B$4="Chapter Hunt"),CHOOSE(ArtifactsInput!$N$27+1,20,24,28,32,36,40),0)/100)),0)</f>
        <v/>
      </c>
      <c r="R769" t="n">
        <v>0</v>
      </c>
      <c r="S769" t="n">
        <v>0</v>
      </c>
      <c r="U769" t="n">
        <v>0</v>
      </c>
    </row>
    <row r="770">
      <c r="A770">
        <f>Skills!A23</f>
        <v/>
      </c>
      <c r="B770">
        <f>Skills!B23</f>
        <v/>
      </c>
      <c r="C770">
        <f>Inputs!$B$3&gt;=50</f>
        <v/>
      </c>
      <c r="D770">
        <f>IF(Skills!C23=1,60+Inputs!$B$26+Inputs!$B$30,IF(Skills!C23=2,90+Inputs!$B$27+Inputs!$B$30,IF(Skills!C23=3,120+Inputs!$B$28+Inputs!$B$30,MAX(0,(Inputs!$B$3-100)*3)+Inputs!$B$29+Inputs!$B$30)))</f>
        <v/>
      </c>
      <c r="E770">
        <f>INDEX(FactorTable!$B$2:$Y$301, MATCH(ROUND(MIN(300,MAX(1,D770)),0), FactorTable!$A$2:$A$301,0), Skills!L23+1)</f>
        <v/>
      </c>
      <c r="F770">
        <f>IF(Skills!M23=TRUE,(Skills!K23/10)*(E770/1000),Skills!K23/10)+Skills!N23</f>
        <v/>
      </c>
      <c r="G770">
        <f>Calc!G23</f>
        <v/>
      </c>
      <c r="H770">
        <f>Calc!H23</f>
        <v/>
      </c>
      <c r="I770">
        <f>IF(Skills!T23&lt;&gt;"",1+(Skills!T23/10)*($Z$3/1000)/100,1)</f>
        <v/>
      </c>
      <c r="J770" t="inlineStr"/>
      <c r="K770" t="inlineStr"/>
      <c r="L770" t="inlineStr"/>
      <c r="M770" t="inlineStr"/>
      <c r="N770" t="inlineStr"/>
      <c r="O770">
        <f>(1-Summary!$B$11)*S770+Summary!$B$11*U770</f>
        <v/>
      </c>
      <c r="P770">
        <f>IF(B790=0,0,O770/B790)</f>
        <v/>
      </c>
      <c r="Q770">
        <f>IFERROR(1/(IF(Inputs!$B$39="pvp",15,MAX(0.1,Skills!D23-IF(Skills!E23=TRUE,Inputs!$B$33,0)))*(1-IF(AND(ArtifactsInput!$M$27,Inputs!$B$4="Chapter Hunt"),CHOOSE(ArtifactsInput!$N$27+1,20,24,28,32,36,40),0)/100)),0)</f>
        <v/>
      </c>
      <c r="R770" t="n">
        <v>0</v>
      </c>
      <c r="S770" t="n">
        <v>0</v>
      </c>
      <c r="U770" t="n">
        <v>0</v>
      </c>
    </row>
    <row r="771">
      <c r="A771">
        <f>Skills!A24</f>
        <v/>
      </c>
      <c r="B771">
        <f>Skills!B24</f>
        <v/>
      </c>
      <c r="C771">
        <f>Inputs!$B$3&gt;=74</f>
        <v/>
      </c>
      <c r="D771">
        <f>IF(Skills!C24=1,60+Inputs!$B$26+Inputs!$B$30,IF(Skills!C24=2,90+Inputs!$B$27+Inputs!$B$30,IF(Skills!C24=3,120+Inputs!$B$28+Inputs!$B$30,MAX(0,(Inputs!$B$3-100)*3)+Inputs!$B$29+Inputs!$B$30)))</f>
        <v/>
      </c>
      <c r="E771">
        <f>INDEX(FactorTable!$B$2:$Y$301, MATCH(ROUND(MIN(300,MAX(1,D771)),0), FactorTable!$A$2:$A$301,0), Skills!L24+1)</f>
        <v/>
      </c>
      <c r="F771">
        <f>IF(Skills!M24=TRUE,(Skills!K24/10)*(E771/1000),Skills!K24/10)+Skills!N24</f>
        <v/>
      </c>
      <c r="G771">
        <f>Calc!G24</f>
        <v/>
      </c>
      <c r="H771">
        <f>Calc!H24</f>
        <v/>
      </c>
      <c r="I771">
        <f>IF(Skills!T24&lt;&gt;"",1+(Skills!T24/10)*($Z$3/1000)/100,1)</f>
        <v/>
      </c>
      <c r="J771" t="inlineStr"/>
      <c r="K771" t="inlineStr"/>
      <c r="L771" t="inlineStr"/>
      <c r="M771" t="inlineStr"/>
      <c r="N771" t="inlineStr"/>
      <c r="O771">
        <f>(1-Summary!$B$11)*S771+Summary!$B$11*U771</f>
        <v/>
      </c>
      <c r="P771">
        <f>IF(B790=0,0,O771/B790)</f>
        <v/>
      </c>
      <c r="Q771">
        <f>IFERROR(1/(IF(Inputs!$B$39="pvp",15,MAX(0.1,Skills!D24-IF(Skills!E24=TRUE,Inputs!$B$33,0)))*(1-IF(AND(ArtifactsInput!$M$27,Inputs!$B$4="Chapter Hunt"),CHOOSE(ArtifactsInput!$N$27+1,20,24,28,32,36,40),0)/100)),0)</f>
        <v/>
      </c>
      <c r="R771" t="n">
        <v>0</v>
      </c>
      <c r="S771" t="n">
        <v>0</v>
      </c>
      <c r="U771" t="n">
        <v>0</v>
      </c>
    </row>
    <row r="772">
      <c r="A772">
        <f>Skills!A25</f>
        <v/>
      </c>
      <c r="B772">
        <f>Skills!B25</f>
        <v/>
      </c>
      <c r="C772">
        <f>Inputs!$B$3&gt;=74</f>
        <v/>
      </c>
      <c r="D772">
        <f>IF(Skills!C25=1,60+Inputs!$B$26+Inputs!$B$30,IF(Skills!C25=2,90+Inputs!$B$27+Inputs!$B$30,IF(Skills!C25=3,120+Inputs!$B$28+Inputs!$B$30,MAX(0,(Inputs!$B$3-100)*3)+Inputs!$B$29+Inputs!$B$30)))</f>
        <v/>
      </c>
      <c r="E772">
        <f>INDEX(FactorTable!$B$2:$Y$301, MATCH(ROUND(MIN(300,MAX(1,D772)),0), FactorTable!$A$2:$A$301,0), Skills!L25+1)</f>
        <v/>
      </c>
      <c r="F772">
        <f>IF(Skills!M25=TRUE,(Skills!K25/10)*(E772/1000),Skills!K25/10)+Skills!N25</f>
        <v/>
      </c>
      <c r="G772">
        <f>Calc!G25</f>
        <v/>
      </c>
      <c r="H772">
        <f>Calc!H25</f>
        <v/>
      </c>
      <c r="I772">
        <f>IF(Skills!T25&lt;&gt;"",1+(Skills!T25/10)*($Z$3/1000)/100,1)</f>
        <v/>
      </c>
      <c r="J772" t="inlineStr"/>
      <c r="K772" t="inlineStr"/>
      <c r="L772" t="inlineStr"/>
      <c r="M772" t="inlineStr"/>
      <c r="N772" t="inlineStr"/>
      <c r="O772">
        <f>(1-Summary!$B$11)*S772+Summary!$B$11*U772</f>
        <v/>
      </c>
      <c r="P772">
        <f>IF(B790=0,0,O772/B790)</f>
        <v/>
      </c>
      <c r="Q772">
        <f>IFERROR(1/(IF(Inputs!$B$39="pvp",15,MAX(0.1,Skills!D25-IF(Skills!E25=TRUE,Inputs!$B$33,0)))*(1-IF(AND(ArtifactsInput!$M$27,Inputs!$B$4="Chapter Hunt"),CHOOSE(ArtifactsInput!$N$27+1,20,24,28,32,36,40),0)/100)),0)</f>
        <v/>
      </c>
      <c r="R772" t="n">
        <v>0</v>
      </c>
      <c r="S772" t="n">
        <v>0</v>
      </c>
      <c r="U772" t="n">
        <v>0</v>
      </c>
    </row>
    <row r="773">
      <c r="A773">
        <f>Skills!A26</f>
        <v/>
      </c>
      <c r="B773">
        <f>Skills!B26</f>
        <v/>
      </c>
      <c r="C773">
        <f>Inputs!$B$3&gt;=117</f>
        <v/>
      </c>
      <c r="D773">
        <f>IF(Skills!C26=1,60+Inputs!$B$26+Inputs!$B$30,IF(Skills!C26=2,90+Inputs!$B$27+Inputs!$B$30,IF(Skills!C26=3,120+Inputs!$B$28+Inputs!$B$30,MAX(0,(Inputs!$B$3-100)*3)+Inputs!$B$29+Inputs!$B$30)))</f>
        <v/>
      </c>
      <c r="E773">
        <f>INDEX(FactorTable!$B$2:$Y$301, MATCH(ROUND(MIN(300,MAX(1,D773)),0), FactorTable!$A$2:$A$301,0), Skills!L26+1)</f>
        <v/>
      </c>
      <c r="F773">
        <f>IF(Skills!M26=TRUE,(Skills!K26/10)*(E773/1000),Skills!K26/10)+Skills!N26</f>
        <v/>
      </c>
      <c r="G773">
        <f>Calc!G26</f>
        <v/>
      </c>
      <c r="H773">
        <f>Calc!H26</f>
        <v/>
      </c>
      <c r="I773">
        <f>IF(Skills!T26&lt;&gt;"",1+(Skills!T26/10)*($Z$3/1000)/100,1)</f>
        <v/>
      </c>
      <c r="J773" t="inlineStr"/>
      <c r="K773" t="inlineStr"/>
      <c r="L773" t="inlineStr"/>
      <c r="M773" t="inlineStr"/>
      <c r="N773" t="inlineStr"/>
      <c r="O773">
        <f>(1-Summary!$B$11)*S773+Summary!$B$11*U773</f>
        <v/>
      </c>
      <c r="P773">
        <f>IF(B790=0,0,O773/B790)</f>
        <v/>
      </c>
      <c r="Q773">
        <f>IFERROR(1/(IF(Inputs!$B$39="pvp",15,MAX(0.1,Skills!D26-IF(Skills!E26=TRUE,Inputs!$B$33,0)))*(1-IF(AND(ArtifactsInput!$M$27,Inputs!$B$4="Chapter Hunt"),CHOOSE(ArtifactsInput!$N$27+1,20,24,28,32,36,40),0)/100)),0)</f>
        <v/>
      </c>
      <c r="R773" t="n">
        <v>0</v>
      </c>
      <c r="S773" t="n">
        <v>0</v>
      </c>
      <c r="U773" t="n">
        <v>0</v>
      </c>
    </row>
    <row r="774">
      <c r="A774">
        <f>Skills!A27</f>
        <v/>
      </c>
      <c r="B774">
        <f>Skills!B27</f>
        <v/>
      </c>
      <c r="C774">
        <f>Inputs!$B$3&gt;=120</f>
        <v/>
      </c>
      <c r="D774">
        <f>IF(Skills!C27=1,60+Inputs!$B$26+Inputs!$B$30,IF(Skills!C27=2,90+Inputs!$B$27+Inputs!$B$30,IF(Skills!C27=3,120+Inputs!$B$28+Inputs!$B$30,MAX(0,(Inputs!$B$3-100)*3)+Inputs!$B$29+Inputs!$B$30)))</f>
        <v/>
      </c>
      <c r="E774">
        <f>INDEX(FactorTable!$B$2:$Y$301, MATCH(ROUND(MIN(300,MAX(1,D774)),0), FactorTable!$A$2:$A$301,0), Skills!L27+1)</f>
        <v/>
      </c>
      <c r="F774">
        <f>IF(Skills!M27=TRUE,(Skills!K27/10)*(E774/1000),Skills!K27/10)+Skills!N27</f>
        <v/>
      </c>
      <c r="G774">
        <f>Calc!G27</f>
        <v/>
      </c>
      <c r="H774">
        <f>Calc!H27</f>
        <v/>
      </c>
      <c r="I774">
        <f>IF(Skills!T27&lt;&gt;"",1+(Skills!T27/10)*($Z$3/1000)/100,1)</f>
        <v/>
      </c>
      <c r="J774" t="inlineStr"/>
      <c r="K774" t="inlineStr"/>
      <c r="L774" t="inlineStr"/>
      <c r="M774" t="inlineStr"/>
      <c r="N774" t="inlineStr"/>
      <c r="O774">
        <f>(1-Summary!$B$11)*S774+Summary!$B$11*U774</f>
        <v/>
      </c>
      <c r="P774">
        <f>IF(B790=0,0,O774/B790)</f>
        <v/>
      </c>
      <c r="Q774">
        <f>IFERROR(1/(IF(Inputs!$B$39="pvp",15,MAX(0.1,Skills!D27-IF(Skills!E27=TRUE,Inputs!$B$33,0)))*(1-IF(AND(ArtifactsInput!$M$27,Inputs!$B$4="Chapter Hunt"),CHOOSE(ArtifactsInput!$N$27+1,20,24,28,32,36,40),0)/100)),0)</f>
        <v/>
      </c>
      <c r="R774" t="n">
        <v>0</v>
      </c>
      <c r="S774" t="n">
        <v>0</v>
      </c>
      <c r="U774" t="n">
        <v>0</v>
      </c>
    </row>
    <row r="775">
      <c r="A775">
        <f>Skills!A28</f>
        <v/>
      </c>
      <c r="B775">
        <f>Skills!B28</f>
        <v/>
      </c>
      <c r="C775">
        <f>TRUE</f>
        <v/>
      </c>
      <c r="D775">
        <f>IF(Skills!C28=1,60+Inputs!$B$26+Inputs!$B$30,IF(Skills!C28=2,90+Inputs!$B$27+Inputs!$B$30,IF(Skills!C28=3,120+Inputs!$B$28+Inputs!$B$30,MAX(0,(Inputs!$B$3-100)*3)+Inputs!$B$29+Inputs!$B$30)))</f>
        <v/>
      </c>
      <c r="E775">
        <f>INDEX(FactorTable!$B$2:$Y$301, MATCH(ROUND(MIN(300,MAX(1,D775)),0), FactorTable!$A$2:$A$301,0), Skills!L28+1)</f>
        <v/>
      </c>
      <c r="F775">
        <f>IF(Skills!M28=TRUE,(Skills!K28/10)*(E775/1000),Skills!K28/10)+Skills!N28</f>
        <v/>
      </c>
      <c r="G775">
        <f>Calc!G28</f>
        <v/>
      </c>
      <c r="H775">
        <f>Calc!H28</f>
        <v/>
      </c>
      <c r="I775">
        <f>IF(Skills!T28&lt;&gt;"",1+(Skills!T28/10)*($Z$3/1000)/100,1)</f>
        <v/>
      </c>
      <c r="J775" t="inlineStr"/>
      <c r="K775" t="inlineStr"/>
      <c r="L775" t="inlineStr"/>
      <c r="M775" t="inlineStr"/>
      <c r="N775" t="inlineStr"/>
      <c r="O775">
        <f>(1-Summary!$B$11)*S775+Summary!$B$11*U775</f>
        <v/>
      </c>
      <c r="P775">
        <f>IF(B790=0,0,O775/B790)</f>
        <v/>
      </c>
      <c r="Q775">
        <f>IFERROR(1/(IF(Inputs!$B$39="pvp",15,MAX(0.1,Skills!D28-IF(Skills!E28=TRUE,Inputs!$B$33,0)))*(1-IF(AND(ArtifactsInput!$M$27,Inputs!$B$4="Chapter Hunt"),CHOOSE(ArtifactsInput!$N$27+1,20,24,28,32,36,40),0)/100)),0)</f>
        <v/>
      </c>
      <c r="R775">
        <f>IF(AND(Inputs!$B$39&lt;&gt;"pvp",Inputs!$B$44&gt;0),IF(Inputs!$B$44&lt;=0,0,(INT(Inputs!$B$44/(IF(Inputs!$B$39="pvp",15,MAX(0.1,Skills!D28-IF(Skills!E28=TRUE,Inputs!$B$33,0)))*(1-IF(AND(ArtifactsInput!$M$27,Inputs!$B$4="Chapter Hunt"),CHOOSE(ArtifactsInput!$N$27+1,20,24,28,32,36,40),0)/100)))+1)),0)</f>
        <v/>
      </c>
      <c r="S775" t="n">
        <v>0</v>
      </c>
      <c r="U775" t="n">
        <v>0</v>
      </c>
    </row>
    <row r="777">
      <c r="A777" t="inlineStr">
        <is>
          <t>Average Buff Multiplier</t>
        </is>
      </c>
      <c r="B777">
        <f>(1+(IF(C750=TRUE,F750*IF(AND(Inputs!$B$39&lt;&gt;"pvp",Inputs!$B$44&gt;0),(((R750-1)*(Skills!S3*(1+((Inputs!$B$35+(ArtifactsInput!$M$7-ArtifactsInput!$M$7)*CHOOSE(ArtifactsInput!$N$7+1,6,7.2,8.4,9.6,10.8,12))+IF(Inputs!$B$3&gt;=117,F773,0))/100))+MIN((Skills!S3*(1+((Inputs!$B$35+(ArtifactsInput!$M$7-ArtifactsInput!$M$7)*CHOOSE(ArtifactsInput!$N$7+1,6,7.2,8.4,9.6,10.8,12))+IF(Inputs!$B$3&gt;=117,F773,0))/100)),MAX(0,Inputs!$B$44-((R750-1)*Skills!D3))))/Inputs!$B$44),IF(Inputs!$B$39="pvp",MIN((Skills!S3*(1+((Inputs!$B$35+(ArtifactsInput!$M$7-ArtifactsInput!$M$7)*CHOOSE(ArtifactsInput!$N$7+1,6,7.2,8.4,9.6,10.8,12))+IF(Inputs!$B$3&gt;=117,F773,0))/100)),15)/15,(Skills!S3*(1+((Inputs!$B$35+(ArtifactsInput!$M$7-ArtifactsInput!$M$7)*CHOOSE(ArtifactsInput!$N$7+1,6,7.2,8.4,9.6,10.8,12))+IF(Inputs!$B$3&gt;=117,F773,0))/100))/Skills!D3)),0)+IF(C751=TRUE,F751*IF(AND(Inputs!$B$39&lt;&gt;"pvp",Inputs!$B$44&gt;0),(((R751-1)*(Skills!S4*(1+((Inputs!$B$35+(ArtifactsInput!$M$7-ArtifactsInput!$M$7)*CHOOSE(ArtifactsInput!$N$7+1,6,7.2,8.4,9.6,10.8,12))+IF(Inputs!$B$3&gt;=117,F773,0))/100))+MIN((Skills!S4*(1+((Inputs!$B$35+(ArtifactsInput!$M$7-ArtifactsInput!$M$7)*CHOOSE(ArtifactsInput!$N$7+1,6,7.2,8.4,9.6,10.8,12))+IF(Inputs!$B$3&gt;=117,F773,0))/100)),MAX(0,Inputs!$B$44-((R751-1)*Skills!D4))))/Inputs!$B$44),IF(Inputs!$B$39="pvp",MIN((Skills!S4*(1+((Inputs!$B$35+(ArtifactsInput!$M$7-ArtifactsInput!$M$7)*CHOOSE(ArtifactsInput!$N$7+1,6,7.2,8.4,9.6,10.8,12))+IF(Inputs!$B$3&gt;=117,F773,0))/100)),15)/15,(Skills!S4*(1+((Inputs!$B$35+(ArtifactsInput!$M$7-ArtifactsInput!$M$7)*CHOOSE(ArtifactsInput!$N$7+1,6,7.2,8.4,9.6,10.8,12))+IF(Inputs!$B$3&gt;=117,F773,0))/100))/Skills!D4)),0)+IF(C752=TRUE,F752*IF(AND(Inputs!$B$39&lt;&gt;"pvp",Inputs!$B$44&gt;0),(((R752-1)*(Skills!S5*(1+((Inputs!$B$35+(ArtifactsInput!$M$7-ArtifactsInput!$M$7)*CHOOSE(ArtifactsInput!$N$7+1,6,7.2,8.4,9.6,10.8,12))+IF(Inputs!$B$3&gt;=117,F773,0))/100))+MIN((Skills!S5*(1+((Inputs!$B$35+(ArtifactsInput!$M$7-ArtifactsInput!$M$7)*CHOOSE(ArtifactsInput!$N$7+1,6,7.2,8.4,9.6,10.8,12))+IF(Inputs!$B$3&gt;=117,F773,0))/100)),MAX(0,Inputs!$B$44-((R752-1)*Skills!D5))))/Inputs!$B$44),IF(Inputs!$B$39="pvp",MIN((Skills!S5*(1+((Inputs!$B$35+(ArtifactsInput!$M$7-ArtifactsInput!$M$7)*CHOOSE(ArtifactsInput!$N$7+1,6,7.2,8.4,9.6,10.8,12))+IF(Inputs!$B$3&gt;=117,F773,0))/100)),15)/15,(Skills!S5*(1+((Inputs!$B$35+(ArtifactsInput!$M$7-ArtifactsInput!$M$7)*CHOOSE(ArtifactsInput!$N$7+1,6,7.2,8.4,9.6,10.8,12))+IF(Inputs!$B$3&gt;=117,F773,0))/100))/Skills!D5)),0)+IF(C758=TRUE,F758*IF(AND(Inputs!$B$39&lt;&gt;"pvp",Inputs!$B$44&gt;0),(((R758-1)*(Skills!S11*(1+((Inputs!$B$35+(ArtifactsInput!$M$7-ArtifactsInput!$M$7)*CHOOSE(ArtifactsInput!$N$7+1,6,7.2,8.4,9.6,10.8,12))+IF(Inputs!$B$3&gt;=117,F773,0))/100))+MIN((Skills!S11*(1+((Inputs!$B$35+(ArtifactsInput!$M$7-ArtifactsInput!$M$7)*CHOOSE(ArtifactsInput!$N$7+1,6,7.2,8.4,9.6,10.8,12))+IF(Inputs!$B$3&gt;=117,F773,0))/100)),MAX(0,Inputs!$B$44-((R758-1)*Skills!D11))))/Inputs!$B$44),IF(Inputs!$B$39="pvp",MIN((Skills!S11*(1+((Inputs!$B$35+(ArtifactsInput!$M$7-ArtifactsInput!$M$7)*CHOOSE(ArtifactsInput!$N$7+1,6,7.2,8.4,9.6,10.8,12))+IF(Inputs!$B$3&gt;=117,F773,0))/100)),15)/15,(Skills!S11*(1+((Inputs!$B$35+(ArtifactsInput!$M$7-ArtifactsInput!$M$7)*CHOOSE(ArtifactsInput!$N$7+1,6,7.2,8.4,9.6,10.8,12))+IF(Inputs!$B$3&gt;=117,F773,0)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761=TRUE,(1+F761*IF(AND(Inputs!$B$39&lt;&gt;"pvp",Inputs!$B$44&gt;0),(((R761-1)*(Skills!S14*(1+((Inputs!$B$35+(ArtifactsInput!$M$7-ArtifactsInput!$M$7)*CHOOSE(ArtifactsInput!$N$7+1,6,7.2,8.4,9.6,10.8,12))+IF(Inputs!$B$3&gt;=117,F773,0))/100))+MIN((Skills!S14*(1+((Inputs!$B$35+(ArtifactsInput!$M$7-ArtifactsInput!$M$7)*CHOOSE(ArtifactsInput!$N$7+1,6,7.2,8.4,9.6,10.8,12))+IF(Inputs!$B$3&gt;=117,F773,0))/100)),MAX(0,Inputs!$B$44-((R761-1)*Skills!D14))))/Inputs!$B$44),IF(Inputs!$B$39="pvp",MIN((Skills!S14*(1+((Inputs!$B$35+(ArtifactsInput!$M$7-ArtifactsInput!$M$7)*CHOOSE(ArtifactsInput!$N$7+1,6,7.2,8.4,9.6,10.8,12))+IF(Inputs!$B$3&gt;=117,F773,0))/100)),15)/15,(Skills!S14*(1+((Inputs!$B$35+(ArtifactsInput!$M$7-ArtifactsInput!$M$7)*CHOOSE(ArtifactsInput!$N$7+1,6,7.2,8.4,9.6,10.8,12))+IF(Inputs!$B$3&gt;=117,F773,0))/100))/Skills!D14))/100),1)*IF(C766=TRUE,(1+F766*IF(AND(Inputs!$B$39&lt;&gt;"pvp",Inputs!$B$44&gt;0),(((R766-1)*(Skills!S19*(1+((Inputs!$B$35+(ArtifactsInput!$M$7-ArtifactsInput!$M$7)*CHOOSE(ArtifactsInput!$N$7+1,6,7.2,8.4,9.6,10.8,12))+IF(Inputs!$B$3&gt;=117,F773,0))/100))+MIN((Skills!S19*(1+((Inputs!$B$35+(ArtifactsInput!$M$7-ArtifactsInput!$M$7)*CHOOSE(ArtifactsInput!$N$7+1,6,7.2,8.4,9.6,10.8,12))+IF(Inputs!$B$3&gt;=117,F773,0))/100)),MAX(0,Inputs!$B$44-((R766-1)*Skills!D19))))/Inputs!$B$44),IF(Inputs!$B$39="pvp",MIN((Skills!S19*(1+((Inputs!$B$35+(ArtifactsInput!$M$7-ArtifactsInput!$M$7)*CHOOSE(ArtifactsInput!$N$7+1,6,7.2,8.4,9.6,10.8,12))+IF(Inputs!$B$3&gt;=117,F773,0))/100)),15)/15,(Skills!S19*(1+((Inputs!$B$35+(ArtifactsInput!$M$7-ArtifactsInput!$M$7)*CHOOSE(ArtifactsInput!$N$7+1,6,7.2,8.4,9.6,10.8,12))+IF(Inputs!$B$3&gt;=117,F773,0))/100))/Skills!D19))/100),1)</f>
        <v/>
      </c>
    </row>
    <row r="778">
      <c r="A778" t="inlineStr">
        <is>
          <t>Monster Damage Taken Bonus % (Holy Fountain)</t>
        </is>
      </c>
      <c r="B778">
        <f>IF(Inputs!$B$3&gt;=68,20*IF(Inputs!$B$39="pvp",MIN((15*(1+((Inputs!$B$35+(ArtifactsInput!$M$7-ArtifactsInput!$M$7)*CHOOSE(ArtifactsInput!$N$7+1,6,7.2,8.4,9.6,10.8,12))+IF(Inputs!$B$3&gt;=117,F773,0))/100)),15)/15,(15*(1+((Inputs!$B$35+(ArtifactsInput!$M$7-ArtifactsInput!$M$7)*CHOOSE(ArtifactsInput!$N$7+1,6,7.2,8.4,9.6,10.8,12))+IF(Inputs!$B$3&gt;=117,F773,0))/100))/Skills!D10),0)</f>
        <v/>
      </c>
    </row>
    <row r="779">
      <c r="A779" t="inlineStr">
        <is>
          <t>Normal Monster Damage Bonus % (Holy Symbol)</t>
        </is>
      </c>
      <c r="B779">
        <f>IF(C759=TRUE,F759*IF(AND(Inputs!$B$39&lt;&gt;"pvp",Inputs!$B$44&gt;0),(((R759-1)*(Skills!S12*(1+((Inputs!$B$35+(ArtifactsInput!$M$7-ArtifactsInput!$M$7)*CHOOSE(ArtifactsInput!$N$7+1,6,7.2,8.4,9.6,10.8,12))+IF(Inputs!$B$3&gt;=117,F773,0))/100))+MIN((Skills!S12*(1+((Inputs!$B$35+(ArtifactsInput!$M$7-ArtifactsInput!$M$7)*CHOOSE(ArtifactsInput!$N$7+1,6,7.2,8.4,9.6,10.8,12))+IF(Inputs!$B$3&gt;=117,F773,0))/100)),MAX(0,Inputs!$B$44-((R759-1)*Skills!D12))))/Inputs!$B$44),IF(Inputs!$B$39="pvp",MIN((Skills!S12*(1+((Inputs!$B$35+(ArtifactsInput!$M$7-ArtifactsInput!$M$7)*CHOOSE(ArtifactsInput!$N$7+1,6,7.2,8.4,9.6,10.8,12))+IF(Inputs!$B$3&gt;=117,F773,0))/100)),15)/15,(Skills!S12*(1+((Inputs!$B$35+(ArtifactsInput!$M$7-ArtifactsInput!$M$7)*CHOOSE(ArtifactsInput!$N$7+1,6,7.2,8.4,9.6,10.8,12))+IF(Inputs!$B$3&gt;=117,F773,0))/100))/Skills!D12)),0)</f>
        <v/>
      </c>
    </row>
    <row r="780">
      <c r="A780" t="inlineStr">
        <is>
          <t>Damage % Bonus (Holy Symbol - Damage Boost)</t>
        </is>
      </c>
      <c r="B780">
        <f>Skills!O12</f>
        <v/>
      </c>
    </row>
    <row r="781">
      <c r="A781" t="inlineStr">
        <is>
          <t>Crit Damage % Bonus (Blood of the Divine)</t>
        </is>
      </c>
      <c r="B781">
        <f>4*IF(C767=TRUE,F767,0)</f>
        <v/>
      </c>
    </row>
    <row r="782">
      <c r="A782" t="inlineStr">
        <is>
          <t>Attack Speed Bonus %</t>
        </is>
      </c>
      <c r="B782">
        <f>IF(C764=TRUE,F764+(F768-Calc!F21),0)+IF(Inputs!$B$3&gt;=134,15,0)+((C775=TRUE)*F775*IF(AND(Inputs!$B$39&lt;&gt;"pvp",Inputs!$B$44&gt;0),(((R775-1)*(Skills!S28*(1+((Inputs!$B$35+(ArtifactsInput!$M$7-ArtifactsInput!$M$7)*CHOOSE(ArtifactsInput!$N$7+1,6,7.2,8.4,9.6,10.8,12))+IF(Inputs!$B$3&gt;=117,F773,0))/100))+MIN((Skills!S28*(1+((Inputs!$B$35+(ArtifactsInput!$M$7-ArtifactsInput!$M$7)*CHOOSE(ArtifactsInput!$N$7+1,6,7.2,8.4,9.6,10.8,12))+IF(Inputs!$B$3&gt;=117,F773,0))/100)),MAX(0,Inputs!$B$44-((R775-1)*Skills!D28))))/Inputs!$B$44),IF(Inputs!$B$39="pvp",MIN((Skills!S28*(1+((Inputs!$B$35+(ArtifactsInput!$M$7-ArtifactsInput!$M$7)*CHOOSE(ArtifactsInput!$N$7+1,6,7.2,8.4,9.6,10.8,12))+IF(Inputs!$B$3&gt;=117,F773,0))/100)),15)/15,(Skills!S28*(1+((Inputs!$B$35+(ArtifactsInput!$M$7-ArtifactsInput!$M$7)*CHOOSE(ArtifactsInput!$N$7+1,6,7.2,8.4,9.6,10.8,12))+IF(Inputs!$B$3&gt;=117,F773,0))/100))/Skills!D28)))</f>
        <v/>
      </c>
    </row>
    <row r="783">
      <c r="A783" t="inlineStr">
        <is>
          <t>Actions Per Second</t>
        </is>
      </c>
      <c r="B783">
        <f>1+MIN(150,150*(1-(1-Inputs!$B$12/150)*(1-B782/150)))/100</f>
        <v/>
      </c>
    </row>
    <row r="784">
      <c r="A784" t="inlineStr">
        <is>
          <t>Skill + Buff Cast Rate</t>
        </is>
      </c>
      <c r="B784">
        <f>IF(AND(Inputs!$B$39&lt;&gt;"pvp",Inputs!$B$44&gt;0),SUMPRODUCT((Skills!E2:E28=TRUE)*(C749:C775=TRUE)*R749:R775)/Inputs!$B$44,SUMPRODUCT((Skills!E2:E28=TRUE)*(C749:C775=TRUE)*Q749:Q775))</f>
        <v/>
      </c>
    </row>
    <row r="785">
      <c r="A785" t="inlineStr">
        <is>
          <t>Big Bang Casts Per Second</t>
        </is>
      </c>
      <c r="B785">
        <f>MAX(0,B783-B784)</f>
        <v/>
      </c>
    </row>
    <row r="786">
      <c r="A786" t="inlineStr">
        <is>
          <t>Defense % Bonus (Divine Protection)</t>
        </is>
      </c>
      <c r="B786">
        <f>IF(C760=TRUE,F760*IF(AND(Inputs!$B$39&lt;&gt;"pvp",Inputs!$B$44&gt;0),(((R760-1)*(Skills!S13*(1+((Inputs!$B$35+(ArtifactsInput!$M$7-ArtifactsInput!$M$7)*CHOOSE(ArtifactsInput!$N$7+1,6,7.2,8.4,9.6,10.8,12))+IF(Inputs!$B$3&gt;=117,F773,0))/100))+MIN((Skills!S13*(1+((Inputs!$B$35+(ArtifactsInput!$M$7-ArtifactsInput!$M$7)*CHOOSE(ArtifactsInput!$N$7+1,6,7.2,8.4,9.6,10.8,12))+IF(Inputs!$B$3&gt;=117,F773,0))/100)),MAX(0,Inputs!$B$44-((R760-1)*Skills!D13))))/Inputs!$B$44),IF(Inputs!$B$39="pvp",MIN((Skills!S13*(1+((Inputs!$B$35+(ArtifactsInput!$M$7-ArtifactsInput!$M$7)*CHOOSE(ArtifactsInput!$N$7+1,6,7.2,8.4,9.6,10.8,12))+IF(Inputs!$B$3&gt;=117,F773,0))/100)),15)/15,(Skills!S13*(1+((Inputs!$B$35+(ArtifactsInput!$M$7-ArtifactsInput!$M$7)*CHOOSE(ArtifactsInput!$N$7+1,6,7.2,8.4,9.6,10.8,12))+IF(Inputs!$B$3&gt;=117,F773,0))/100))/Skills!D13)),0)</f>
        <v/>
      </c>
    </row>
    <row r="787">
      <c r="A787" t="inlineStr">
        <is>
          <t>Buff-Casting Startup Delay (s, fixed-duration only)</t>
        </is>
      </c>
      <c r="B787">
        <f>IF(AND(Inputs!$B$39&lt;&gt;"pvp",Inputs!$B$44&gt;0),SUMPRODUCT((Skills!S2:S28&gt;0)*(Skills!E2:E28=TRUE)*(C749:C775=TRUE))/B783,0)</f>
        <v/>
      </c>
    </row>
    <row r="788">
      <c r="A788" t="inlineStr">
        <is>
          <t>Boss-Only Total DPS (this block's swept value)</t>
        </is>
      </c>
      <c r="B788">
        <f>SUM(S749:S775)</f>
        <v/>
      </c>
    </row>
    <row r="789">
      <c r="A789" t="inlineStr">
        <is>
          <t>Normal-Only Total DPS (this block's swept value)</t>
        </is>
      </c>
      <c r="B789">
        <f>SUM(U749:U775)</f>
        <v/>
      </c>
    </row>
    <row r="790">
      <c r="A790" s="6" t="inlineStr">
        <is>
          <t>TOTAL DPS</t>
        </is>
      </c>
      <c r="B790" s="6">
        <f>SUM(O749:O775)</f>
        <v/>
      </c>
    </row>
    <row r="792">
      <c r="A792" s="6" t="inlineStr">
        <is>
          <t>Stat: SKILL_DAMAGE %</t>
        </is>
      </c>
    </row>
    <row r="793">
      <c r="A793" s="5" t="inlineStr">
        <is>
          <t>Key</t>
        </is>
      </c>
      <c r="B793" s="5" t="inlineStr">
        <is>
          <t>Name</t>
        </is>
      </c>
      <c r="C793" s="5" t="inlineStr">
        <is>
          <t>Unlocked</t>
        </is>
      </c>
      <c r="D793" s="5" t="inlineStr">
        <is>
          <t>InputLevel</t>
        </is>
      </c>
      <c r="E793" s="5" t="inlineStr">
        <is>
          <t>Factor</t>
        </is>
      </c>
      <c r="F793" s="5" t="inlineStr">
        <is>
          <t>CoefficientPercent</t>
        </is>
      </c>
      <c r="G793" s="5" t="inlineStr">
        <is>
          <t>EffectiveHits</t>
        </is>
      </c>
      <c r="H793" s="5" t="inlineStr">
        <is>
          <t>ProcProbability</t>
        </is>
      </c>
      <c r="I793" s="5" t="inlineStr">
        <is>
          <t>MapleHeroMultiplier</t>
        </is>
      </c>
      <c r="J793" s="5" t="inlineStr">
        <is>
          <t>BaseDamage</t>
        </is>
      </c>
      <c r="K793" s="5" t="inlineStr">
        <is>
          <t>BaseHitDamage</t>
        </is>
      </c>
      <c r="L793" s="5" t="inlineStr">
        <is>
          <t>NonCritAvg</t>
        </is>
      </c>
      <c r="M793" s="5" t="inlineStr">
        <is>
          <t>CritAvg</t>
        </is>
      </c>
      <c r="N793" s="5" t="inlineStr">
        <is>
          <t>ExpectedDamage(perHit)</t>
        </is>
      </c>
      <c r="O793" s="5" t="inlineStr">
        <is>
          <t>DPS</t>
        </is>
      </c>
      <c r="P793" s="5" t="inlineStr">
        <is>
          <t>% of Total</t>
        </is>
      </c>
      <c r="R793" t="inlineStr">
        <is>
          <t>helpers</t>
        </is>
      </c>
    </row>
    <row r="794">
      <c r="A794">
        <f>Skills!A2</f>
        <v/>
      </c>
      <c r="B794">
        <f>Skills!B2</f>
        <v/>
      </c>
      <c r="C794">
        <f>Inputs!$B$3&gt;=100</f>
        <v/>
      </c>
      <c r="D794" t="inlineStr"/>
      <c r="E794" t="inlineStr"/>
      <c r="F794">
        <f>T796+Skills!N2</f>
        <v/>
      </c>
      <c r="G794">
        <f>Calc!G2</f>
        <v/>
      </c>
      <c r="H794">
        <f>Calc!H2</f>
        <v/>
      </c>
      <c r="I794">
        <f>IF(Skills!T2&lt;&gt;"",1+(Skills!T2/10)*($Z$3/1000)/100,1)</f>
        <v/>
      </c>
      <c r="J794">
        <f>((Inputs!$B$6*(1+Inputs!$B$7/100))+(((Inputs!$B$13*(1+Inputs!$B$14/100))-(Inputs!$B$13*(1+Inputs!$B$14/100)))+0.25*(Inputs!$B$15-Inputs!$B$15))*(1+Inputs!$B$7/100))*(F794/100)</f>
        <v/>
      </c>
      <c r="K794">
        <f>J794*(1+(((Inputs!$B$13+IF(Inputs!$B$3&gt;=35,(10*INDEX(FactorTable!$B$2:$Y$301,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2="TRIUMPH_FEATHER",IF(C808=TRUE,F808,0),0)/100)*(1+IF(C819=TRUE,F819,0)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794)</f>
        <v/>
      </c>
      <c r="L794">
        <f>K794*(MIN(Inputs!$B$23+(F814-Calc!F22),(Inputs!$B$24+IF(ArtifactsInput!$M$15,CHOOSE(ArtifactsInput!$N$15+1,25,30,35,40,45,50)/100*(Inputs!$B$12-Inputs!$B$12),0)))/100+(Inputs!$B$24+IF(ArtifactsInput!$M$15,CHOOSE(ArtifactsInput!$N$15+1,25,30,35,40,45,50)/100*(Inputs!$B$12-Inputs!$B$12),0))/100)/2</f>
        <v/>
      </c>
      <c r="M794">
        <f>L794*(1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4">
        <f>L794*(1-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(1-Summary!$B$11)*S794+Summary!$B$11*U794</f>
        <v/>
      </c>
      <c r="P794">
        <f>IF(B835=0,0,O794/B835)</f>
        <v/>
      </c>
      <c r="Q794">
        <f>IFERROR(1/(IF(Inputs!$B$39="pvp",15,MAX(0.1,Skills!D2-IF(Skills!E2=TRUE,Inputs!$B$33,0)))*(1-IF(AND(ArtifactsInput!$M$27,Inputs!$B$4="Chapter Hunt"),CHOOSE(ArtifactsInput!$N$27+1,20,24,28,32,36,40),0)/100)),0)</f>
        <v/>
      </c>
      <c r="R794" t="n">
        <v>0</v>
      </c>
      <c r="S794">
        <f>IF(C794,(Skills!F2*N794*B830)*IF(Inputs!$B$39="pvp",1,1+(Inputs!$B$21+Skills!O2+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794*(1-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94">
        <f>MAX(0,(Inputs!$B$3-100)*3)+Inputs!$B$29+Inputs!$B$30</f>
        <v/>
      </c>
      <c r="U794">
        <f>IF(C794,(Skills!F2*N794*B830)*IF(Inputs!$B$39="pvp",1,(1+(Inputs!$B$22+Skills!P2+B824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Skills!A3</f>
        <v/>
      </c>
      <c r="B795">
        <f>Skills!B3</f>
        <v/>
      </c>
      <c r="C795">
        <f>Inputs!$B$3&gt;=15</f>
        <v/>
      </c>
      <c r="D795">
        <f>IF(Skills!C3=1,60+Inputs!$B$26+Inputs!$B$30,IF(Skills!C3=2,90+Inputs!$B$27+Inputs!$B$30,IF(Skills!C3=3,120+Inputs!$B$28+Inputs!$B$30,MAX(0,(Inputs!$B$3-100)*3)+Inputs!$B$29+Inputs!$B$30)))</f>
        <v/>
      </c>
      <c r="E795">
        <f>INDEX(FactorTable!$B$2:$Y$301, MATCH(ROUND(MIN(300,MAX(1,D795)),0), FactorTable!$A$2:$A$301,0), Skills!L3+1)</f>
        <v/>
      </c>
      <c r="F795">
        <f>IF(Skills!M3=TRUE,(Skills!K3/10)*(E795/1000),Skills!K3/10)+Skills!N3</f>
        <v/>
      </c>
      <c r="G795">
        <f>Calc!G3</f>
        <v/>
      </c>
      <c r="H795">
        <f>Calc!H3</f>
        <v/>
      </c>
      <c r="I795">
        <f>IF(Skills!T3&lt;&gt;"",1+(Skills!T3/10)*($Z$3/1000)/100,1)</f>
        <v/>
      </c>
      <c r="J795" t="inlineStr"/>
      <c r="K795" t="inlineStr"/>
      <c r="L795" t="inlineStr"/>
      <c r="M795" t="inlineStr"/>
      <c r="N795" t="inlineStr"/>
      <c r="O795">
        <f>(1-Summary!$B$11)*S795+Summary!$B$11*U795</f>
        <v/>
      </c>
      <c r="P795">
        <f>IF(B835=0,0,O795/B835)</f>
        <v/>
      </c>
      <c r="Q795">
        <f>IFERROR(1/(IF(Inputs!$B$39="pvp",15,MAX(0.1,Skills!D3-IF(Skills!E3=TRUE,Inputs!$B$33,0)))*(1-IF(AND(ArtifactsInput!$M$27,Inputs!$B$4="Chapter Hunt"),CHOOSE(ArtifactsInput!$N$27+1,20,24,28,32,36,40),0)/100)),0)</f>
        <v/>
      </c>
      <c r="R795">
        <f>IF(AND(Inputs!$B$39&lt;&gt;"pvp",Inputs!$B$44&gt;0),IF(Inputs!$B$44&lt;=0,0,(INT(Inputs!$B$44/(IF(Inputs!$B$39="pvp",15,MAX(0.1,Skills!D3-IF(Skills!E3=TRUE,Inputs!$B$33,0)))*(1-IF(AND(ArtifactsInput!$M$27,Inputs!$B$4="Chapter Hunt"),CHOOSE(ArtifactsInput!$N$27+1,20,24,28,32,36,40),0)/100)))+1)),0)</f>
        <v/>
      </c>
      <c r="S795" t="n">
        <v>0</v>
      </c>
      <c r="T795">
        <f>INDEX(FactorTable!$B$2:$Y$301, MATCH(ROUND(MIN(300,MAX(1,T794)),0), FactorTable!$A$2:$A$301,0), 22)</f>
        <v/>
      </c>
      <c r="U795" t="n">
        <v>0</v>
      </c>
    </row>
    <row r="796">
      <c r="A796">
        <f>Skills!A4</f>
        <v/>
      </c>
      <c r="B796">
        <f>Skills!B4</f>
        <v/>
      </c>
      <c r="C796">
        <f>Inputs!$B$3&gt;=38</f>
        <v/>
      </c>
      <c r="D796">
        <f>IF(Skills!C4=1,60+Inputs!$B$26+Inputs!$B$30,IF(Skills!C4=2,90+Inputs!$B$27+Inputs!$B$30,IF(Skills!C4=3,120+Inputs!$B$28+Inputs!$B$30,MAX(0,(Inputs!$B$3-100)*3)+Inputs!$B$29+Inputs!$B$30)))</f>
        <v/>
      </c>
      <c r="E796">
        <f>INDEX(FactorTable!$B$2:$Y$301, MATCH(ROUND(MIN(300,MAX(1,D796)),0), FactorTable!$A$2:$A$301,0), Skills!L4+1)</f>
        <v/>
      </c>
      <c r="F796">
        <f>IF(Skills!M4=TRUE,(Skills!K4/10)*(E796/1000),Skills!K4/10)+Skills!N4</f>
        <v/>
      </c>
      <c r="G796">
        <f>Calc!G4</f>
        <v/>
      </c>
      <c r="H796">
        <f>Calc!H4</f>
        <v/>
      </c>
      <c r="I796">
        <f>IF(Skills!T4&lt;&gt;"",1+(Skills!T4/10)*($Z$3/1000)/100,1)</f>
        <v/>
      </c>
      <c r="J796" t="inlineStr"/>
      <c r="K796" t="inlineStr"/>
      <c r="L796" t="inlineStr"/>
      <c r="M796" t="inlineStr"/>
      <c r="N796" t="inlineStr"/>
      <c r="O796">
        <f>(1-Summary!$B$11)*S796+Summary!$B$11*U796</f>
        <v/>
      </c>
      <c r="P796">
        <f>IF(B835=0,0,O796/B835)</f>
        <v/>
      </c>
      <c r="Q796">
        <f>IFERROR(1/(IF(Inputs!$B$39="pvp",15,MAX(0.1,Skills!D4-IF(Skills!E4=TRUE,Inputs!$B$33,0)))*(1-IF(AND(ArtifactsInput!$M$27,Inputs!$B$4="Chapter Hunt"),CHOOSE(ArtifactsInput!$N$27+1,20,24,28,32,36,40),0)/100)),0)</f>
        <v/>
      </c>
      <c r="R796">
        <f>IF(AND(Inputs!$B$39&lt;&gt;"pvp",Inputs!$B$44&gt;0),IF(Inputs!$B$44&lt;=0,0,(INT(Inputs!$B$44/(IF(Inputs!$B$39="pvp",15,MAX(0.1,Skills!D4-IF(Skills!E4=TRUE,Inputs!$B$33,0)))*(1-IF(AND(ArtifactsInput!$M$27,Inputs!$B$4="Chapter Hunt"),CHOOSE(ArtifactsInput!$N$27+1,20,24,28,32,36,40),0)/100)))+1)),0)</f>
        <v/>
      </c>
      <c r="S796" t="n">
        <v>0</v>
      </c>
      <c r="T796">
        <f>290*T795/1000</f>
        <v/>
      </c>
      <c r="U796" t="n">
        <v>0</v>
      </c>
    </row>
    <row r="797">
      <c r="A797">
        <f>Skills!A5</f>
        <v/>
      </c>
      <c r="B797">
        <f>Skills!B5</f>
        <v/>
      </c>
      <c r="C797">
        <f>Inputs!$B$3&gt;=40</f>
        <v/>
      </c>
      <c r="D797">
        <f>IF(Skills!C5=1,60+Inputs!$B$26+Inputs!$B$30,IF(Skills!C5=2,90+Inputs!$B$27+Inputs!$B$30,IF(Skills!C5=3,120+Inputs!$B$28+Inputs!$B$30,MAX(0,(Inputs!$B$3-100)*3)+Inputs!$B$29+Inputs!$B$30)))</f>
        <v/>
      </c>
      <c r="E797">
        <f>INDEX(FactorTable!$B$2:$Y$301, MATCH(ROUND(MIN(300,MAX(1,D797)),0), FactorTable!$A$2:$A$301,0), Skills!L5+1)</f>
        <v/>
      </c>
      <c r="F797">
        <f>IF(Skills!M5=TRUE,(Skills!K5/10)*(E797/1000),Skills!K5/10)+Skills!N5</f>
        <v/>
      </c>
      <c r="G797">
        <f>Calc!G5</f>
        <v/>
      </c>
      <c r="H797">
        <f>Calc!H5</f>
        <v/>
      </c>
      <c r="I797">
        <f>IF(Skills!T5&lt;&gt;"",1+(Skills!T5/10)*($Z$3/1000)/100,1)</f>
        <v/>
      </c>
      <c r="J797" t="inlineStr"/>
      <c r="K797" t="inlineStr"/>
      <c r="L797" t="inlineStr"/>
      <c r="M797" t="inlineStr"/>
      <c r="N797" t="inlineStr"/>
      <c r="O797">
        <f>(1-Summary!$B$11)*S797+Summary!$B$11*U797</f>
        <v/>
      </c>
      <c r="P797">
        <f>IF(B835=0,0,O797/B835)</f>
        <v/>
      </c>
      <c r="Q797">
        <f>IFERROR(1/(IF(Inputs!$B$39="pvp",15,MAX(0.1,Skills!D5-IF(Skills!E5=TRUE,Inputs!$B$33,0)))*(1-IF(AND(ArtifactsInput!$M$27,Inputs!$B$4="Chapter Hunt"),CHOOSE(ArtifactsInput!$N$27+1,20,24,28,32,36,40),0)/100)),0)</f>
        <v/>
      </c>
      <c r="R797">
        <f>IF(AND(Inputs!$B$39&lt;&gt;"pvp",Inputs!$B$44&gt;0),IF(Inputs!$B$44&lt;=0,0,(INT(Inputs!$B$44/(IF(Inputs!$B$39="pvp",15,MAX(0.1,Skills!D5-IF(Skills!E5=TRUE,Inputs!$B$33,0)))*(1-IF(AND(ArtifactsInput!$M$27,Inputs!$B$4="Chapter Hunt"),CHOOSE(ArtifactsInput!$N$27+1,20,24,28,32,36,40),0)/100)))+1)),0)</f>
        <v/>
      </c>
      <c r="S797" t="n">
        <v>0</v>
      </c>
      <c r="U797" t="n">
        <v>0</v>
      </c>
    </row>
    <row r="798">
      <c r="A798">
        <f>Skills!A6</f>
        <v/>
      </c>
      <c r="B798">
        <f>Skills!B6</f>
        <v/>
      </c>
      <c r="C798">
        <f>Inputs!$B$3&gt;=103</f>
        <v/>
      </c>
      <c r="D798">
        <f>IF(Skills!C6=1,60+Inputs!$B$26+Inputs!$B$30,IF(Skills!C6=2,90+Inputs!$B$27+Inputs!$B$30,IF(Skills!C6=3,120+Inputs!$B$28+Inputs!$B$30,MAX(0,(Inputs!$B$3-100)*3)+Inputs!$B$29+Inputs!$B$30)))</f>
        <v/>
      </c>
      <c r="E798">
        <f>INDEX(FactorTable!$B$2:$Y$301, MATCH(ROUND(MIN(300,MAX(1,D798)),0), FactorTable!$A$2:$A$301,0), Skills!L6+1)</f>
        <v/>
      </c>
      <c r="F798">
        <f>IF(Skills!M6=TRUE,(Skills!K6/10)*(E798/1000),Skills!K6/10)+Skills!N6</f>
        <v/>
      </c>
      <c r="G798">
        <f>Calc!G6</f>
        <v/>
      </c>
      <c r="H798">
        <f>Calc!H6</f>
        <v/>
      </c>
      <c r="I798">
        <f>IF(Skills!T6&lt;&gt;"",1+(Skills!T6/10)*($Z$3/1000)/100,1)</f>
        <v/>
      </c>
      <c r="J798">
        <f>((Inputs!$B$6*(1+Inputs!$B$7/100))+(((Inputs!$B$13*(1+Inputs!$B$14/100))-(Inputs!$B$13*(1+Inputs!$B$14/100)))+0.25*(Inputs!$B$15-Inputs!$B$15))*(1+Inputs!$B$7/100))*(F798/100)</f>
        <v/>
      </c>
      <c r="K798">
        <f>J798*(1+(((Inputs!$B$13+IF(Inputs!$B$3&gt;=35,(10*INDEX(FactorTable!$B$2:$Y$301,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6="TRIUMPH_FEATHER",IF(C808=TRUE,F808,0),0)/100)*(1+IF(C819=TRUE,F819,0)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798)</f>
        <v/>
      </c>
      <c r="L798">
        <f>K798*(MIN(Inputs!$B$23+(F814-Calc!F22),(Inputs!$B$24+IF(ArtifactsInput!$M$15,CHOOSE(ArtifactsInput!$N$15+1,25,30,35,40,45,50)/100*(Inputs!$B$12-Inputs!$B$12),0)))/100+(Inputs!$B$24+IF(ArtifactsInput!$M$15,CHOOSE(ArtifactsInput!$N$15+1,25,30,35,40,45,50)/100*(Inputs!$B$12-Inputs!$B$12),0))/100)/2</f>
        <v/>
      </c>
      <c r="M798">
        <f>L798*(1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8">
        <f>L798*(1-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798*(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8">
        <f>(1-Summary!$B$11)*S798+Summary!$B$11*U798</f>
        <v/>
      </c>
      <c r="P798">
        <f>IF(B835=0,0,O798/B835)</f>
        <v/>
      </c>
      <c r="Q798">
        <f>IFERROR(1/(IF(Inputs!$B$39="pvp",15,MAX(0.1,Skills!D6-IF(Skills!E6=TRUE,Inputs!$B$33,0)))*(1-IF(AND(ArtifactsInput!$M$27,Inputs!$B$4="Chapter Hunt"),CHOOSE(ArtifactsInput!$N$27+1,20,24,28,32,36,40),0)/100)),0)</f>
        <v/>
      </c>
      <c r="R798">
        <f>IF(AND(Inputs!$B$39&lt;&gt;"pvp",Inputs!$B$44&gt;0),IF(MAX(0,Inputs!$B$44-B832)&lt;=0,0,(INT(MAX(0,Inputs!$B$44-B832)/(IF(Inputs!$B$39="pvp",15,MAX(0.1,Skills!D6-IF(Skills!E6=TRUE,Inputs!$B$33,0)))*(1-IF(AND(ArtifactsInput!$M$27,Inputs!$B$4="Chapter Hunt"),CHOOSE(ArtifactsInput!$N$27+1,20,24,28,32,36,40),0)/100)))+1)),0)</f>
        <v/>
      </c>
      <c r="S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$21+Skills!O6+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798*(1-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798*(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798*(1-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798*(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$22+Skills!P6+B824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9">
      <c r="A799">
        <f>Skills!A7</f>
        <v/>
      </c>
      <c r="B799">
        <f>Skills!B7</f>
        <v/>
      </c>
      <c r="C799">
        <f>Inputs!$B$3&gt;=122</f>
        <v/>
      </c>
      <c r="D799">
        <f>IF(Skills!C7=1,60+Inputs!$B$26+Inputs!$B$30,IF(Skills!C7=2,90+Inputs!$B$27+Inputs!$B$30,IF(Skills!C7=3,120+Inputs!$B$28+Inputs!$B$30,MAX(0,(Inputs!$B$3-100)*3)+Inputs!$B$29+Inputs!$B$30)))</f>
        <v/>
      </c>
      <c r="E799">
        <f>INDEX(FactorTable!$B$2:$Y$301, MATCH(ROUND(MIN(300,MAX(1,D799)),0), FactorTable!$A$2:$A$301,0), Skills!L7+1)</f>
        <v/>
      </c>
      <c r="F799">
        <f>IF(Skills!M7=TRUE,(Skills!K7/10)*(E799/1000),Skills!K7/10)+Skills!N7</f>
        <v/>
      </c>
      <c r="G799">
        <f>Calc!G7</f>
        <v/>
      </c>
      <c r="H799">
        <f>Calc!H7</f>
        <v/>
      </c>
      <c r="I799">
        <f>IF(Skills!T7&lt;&gt;"",1+(Skills!T7/10)*($Z$3/1000)/100,1)</f>
        <v/>
      </c>
      <c r="J799">
        <f>((Inputs!$B$6*(1+Inputs!$B$7/100))+(((Inputs!$B$13*(1+Inputs!$B$14/100))-(Inputs!$B$13*(1+Inputs!$B$14/100)))+0.25*(Inputs!$B$15-Inputs!$B$15))*(1+Inputs!$B$7/100))*(F799/100)</f>
        <v/>
      </c>
      <c r="K799">
        <f>J799*(1+(((Inputs!$B$13+IF(Inputs!$B$3&gt;=35,(10*INDEX(FactorTable!$B$2:$Y$301,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7="TRIUMPH_FEATHER",IF(C808=TRUE,F808,0),0)/100)*(1+IF(C819=TRUE,F819,0)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799)</f>
        <v/>
      </c>
      <c r="L799">
        <f>K799*(MIN(Inputs!$B$23+(F814-Calc!F22),(Inputs!$B$24+IF(ArtifactsInput!$M$15,CHOOSE(ArtifactsInput!$N$15+1,25,30,35,40,45,50)/100*(Inputs!$B$12-Inputs!$B$12),0)))/100+(Inputs!$B$24+IF(ArtifactsInput!$M$15,CHOOSE(ArtifactsInput!$N$15+1,25,30,35,40,45,50)/100*(Inputs!$B$12-Inputs!$B$12),0))/100)/2</f>
        <v/>
      </c>
      <c r="M799">
        <f>L799*(1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9">
        <f>L799*(1-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(1-Summary!$B$11)*S799+Summary!$B$11*U799</f>
        <v/>
      </c>
      <c r="P799">
        <f>IF(B835=0,0,O799/B835)</f>
        <v/>
      </c>
      <c r="Q799">
        <f>IFERROR(1/(IF(Inputs!$B$39="pvp",15,MAX(0.1,Skills!D7-IF(Skills!E6=TRUE,Inputs!$B$33,0)))*(1-IF(AND(ArtifactsInput!$M$27,Inputs!$B$4="Chapter Hunt"),CHOOSE(ArtifactsInput!$N$27+1,20,24,28,32,36,40),0)/100)),0)</f>
        <v/>
      </c>
      <c r="R799">
        <f>IF(AND(Inputs!$B$39&lt;&gt;"pvp",Inputs!$B$44&gt;0),IF(MAX(0,Inputs!$B$44-B832)&lt;=0,0,(INT(MAX(0,Inputs!$B$44-B832)/(IF(Inputs!$B$39="pvp",15,MAX(0.1,Skills!D7-IF(Skills!E6=TRUE,Inputs!$B$33,0)))*(1-IF(AND(ArtifactsInput!$M$27,Inputs!$B$4="Chapter Hunt"),CHOOSE(ArtifactsInput!$N$27+1,20,24,28,32,36,40),0)/100)))+1)),0)</f>
        <v/>
      </c>
      <c r="S799">
        <f>IF(C799,H799*N799*IF(AND(Inputs!$B$39&lt;&gt;"pvp",Inputs!$B$44&gt;0),((Skills!F7*((R799-1)*IF(Skills!G7&gt;0,Skills!H7/Skills!G7,1)+IF(Skills!G7&gt;0,MIN(Skills!H7,MAX(0,MAX(0,Inputs!$B$44-B832)-((R799-1)*(IF(Inputs!$B$39="pvp",15,MAX(0.1,Skills!D7-IF(Skills!E6=TRUE,Inputs!$B$33,0)))*(1-IF(AND(ArtifactsInput!$M$27,Inputs!$B$4="Chapter Hunt"),CHOOSE(ArtifactsInput!$N$27+1,20,24,28,32,36,40),0)/100)))))/Skills!G7,1)))/Inputs!$B$44),G799*Q799)*IF(Inputs!$B$39="pvp",1,1+(Inputs!$B$21+Skills!O7+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799*(1-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9" t="n">
        <v>0</v>
      </c>
    </row>
    <row r="800">
      <c r="A800">
        <f>Skills!A8</f>
        <v/>
      </c>
      <c r="B800">
        <f>Skills!B8</f>
        <v/>
      </c>
      <c r="C800">
        <f>Inputs!$B$3&gt;=105</f>
        <v/>
      </c>
      <c r="D800">
        <f>IF(Skills!C8=1,60+Inputs!$B$26+Inputs!$B$30,IF(Skills!C8=2,90+Inputs!$B$27+Inputs!$B$30,IF(Skills!C8=3,120+Inputs!$B$28+Inputs!$B$30,MAX(0,(Inputs!$B$3-100)*3)+Inputs!$B$29+Inputs!$B$30)))</f>
        <v/>
      </c>
      <c r="E800">
        <f>INDEX(FactorTable!$B$2:$Y$301, MATCH(ROUND(MIN(300,MAX(1,D800)),0), FactorTable!$A$2:$A$301,0), Skills!L8+1)</f>
        <v/>
      </c>
      <c r="F800">
        <f>IF(Skills!M8=TRUE,(Skills!K8/10)*(E800/1000),Skills!K8/10)+Skills!N8</f>
        <v/>
      </c>
      <c r="G800">
        <f>Calc!G8</f>
        <v/>
      </c>
      <c r="H800">
        <f>Calc!H8</f>
        <v/>
      </c>
      <c r="I800">
        <f>IF(Skills!T8&lt;&gt;"",1+(Skills!T8/10)*($Z$3/1000)/100,1)</f>
        <v/>
      </c>
      <c r="J800">
        <f>((Inputs!$B$6*(1+Inputs!$B$7/100))+(((Inputs!$B$13*(1+Inputs!$B$14/100))-(Inputs!$B$13*(1+Inputs!$B$14/100)))+0.25*(Inputs!$B$15-Inputs!$B$15))*(1+Inputs!$B$7/100))*(F800/100)</f>
        <v/>
      </c>
      <c r="K800">
        <f>J800*(1+(((Inputs!$B$13+IF(Inputs!$B$3&gt;=35,(10*INDEX(FactorTable!$B$2:$Y$301,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8="TRIUMPH_FEATHER",IF(C808=TRUE,F808,0),0)/100)*(1+IF(C819=TRUE,F819,0)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800)</f>
        <v/>
      </c>
      <c r="L800">
        <f>K800*(MIN(Inputs!$B$23+(F814-Calc!F22),(Inputs!$B$24+IF(ArtifactsInput!$M$15,CHOOSE(ArtifactsInput!$N$15+1,25,30,35,40,45,50)/100*(Inputs!$B$12-Inputs!$B$12),0)))/100+(Inputs!$B$24+IF(ArtifactsInput!$M$15,CHOOSE(ArtifactsInput!$N$15+1,25,30,35,40,45,50)/100*(Inputs!$B$12-Inputs!$B$12),0))/100)/2</f>
        <v/>
      </c>
      <c r="M800">
        <f>L800*(1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0">
        <f>L800*(1-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800*(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0">
        <f>(1-Summary!$B$11)*S800+Summary!$B$11*U800</f>
        <v/>
      </c>
      <c r="P800">
        <f>IF(B835=0,0,O800/B835)</f>
        <v/>
      </c>
      <c r="Q800">
        <f>IFERROR(1/(IF(Inputs!$B$39="pvp",15,MAX(0.1,Skills!D8-IF(Skills!E8=TRUE,Inputs!$B$33,0)))*(1-IF(AND(ArtifactsInput!$M$27,Inputs!$B$4="Chapter Hunt"),CHOOSE(ArtifactsInput!$N$27+1,20,24,28,32,36,40),0)/100)),0)</f>
        <v/>
      </c>
      <c r="R800">
        <f>IF(AND(Inputs!$B$39&lt;&gt;"pvp",Inputs!$B$44&gt;0),IF(MAX(0,Inputs!$B$44-B832)&lt;=0,0,(INT(MAX(0,Inputs!$B$44-B832)/(IF(Inputs!$B$39="pvp",15,MAX(0.1,Skills!D8-IF(Skills!E8=TRUE,Inputs!$B$33,0)))*(1-IF(AND(ArtifactsInput!$M$27,Inputs!$B$4="Chapter Hunt"),CHOOSE(ArtifactsInput!$N$27+1,20,24,28,32,36,40),0)/100)))+1)),0)</f>
        <v/>
      </c>
      <c r="S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$21+Skills!O8+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800*(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800*(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$22+Skills!P8+B824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1">
      <c r="A801">
        <f>Skills!A9</f>
        <v/>
      </c>
      <c r="B801">
        <f>Skills!B9</f>
        <v/>
      </c>
      <c r="C801">
        <f>Inputs!$B$3&gt;=115</f>
        <v/>
      </c>
      <c r="D801">
        <f>IF(Skills!C9=1,60+Inputs!$B$26+Inputs!$B$30,IF(Skills!C9=2,90+Inputs!$B$27+Inputs!$B$30,IF(Skills!C9=3,120+Inputs!$B$28+Inputs!$B$30,MAX(0,(Inputs!$B$3-100)*3)+Inputs!$B$29+Inputs!$B$30)))</f>
        <v/>
      </c>
      <c r="E801">
        <f>INDEX(FactorTable!$B$2:$Y$301, MATCH(ROUND(MIN(300,MAX(1,D801)),0), FactorTable!$A$2:$A$301,0), Skills!L9+1)</f>
        <v/>
      </c>
      <c r="F801">
        <f>IF(Skills!M9=TRUE,(Skills!K9/10)*(E801/1000),Skills!K9/10)+Skills!N9</f>
        <v/>
      </c>
      <c r="G801">
        <f>Calc!G9</f>
        <v/>
      </c>
      <c r="H801">
        <f>Calc!H9</f>
        <v/>
      </c>
      <c r="I801">
        <f>IF(Skills!T9&lt;&gt;"",1+(Skills!T9/10)*($Z$3/1000)/100,1)</f>
        <v/>
      </c>
      <c r="J801">
        <f>((Inputs!$B$6*(1+Inputs!$B$7/100))+(((Inputs!$B$13*(1+Inputs!$B$14/100))-(Inputs!$B$13*(1+Inputs!$B$14/100)))+0.25*(Inputs!$B$15-Inputs!$B$15))*(1+Inputs!$B$7/100))*(F801/100)</f>
        <v/>
      </c>
      <c r="K801">
        <f>J801*(1+(((Inputs!$B$13+IF(Inputs!$B$3&gt;=35,(10*INDEX(FactorTable!$B$2:$Y$301,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9="TRIUMPH_FEATHER",IF(C808=TRUE,F808,0),0)/100)*(1+IF(C819=TRUE,F819,0)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801)</f>
        <v/>
      </c>
      <c r="L801">
        <f>K801*(MIN(Inputs!$B$23+(F814-Calc!F22),(Inputs!$B$24+IF(ArtifactsInput!$M$15,CHOOSE(ArtifactsInput!$N$15+1,25,30,35,40,45,50)/100*(Inputs!$B$12-Inputs!$B$12),0)))/100+(Inputs!$B$24+IF(ArtifactsInput!$M$15,CHOOSE(ArtifactsInput!$N$15+1,25,30,35,40,45,50)/100*(Inputs!$B$12-Inputs!$B$12),0))/100)/2</f>
        <v/>
      </c>
      <c r="M801">
        <f>L801*(1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1">
        <f>L801*(1-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1">
        <f>(1-Summary!$B$11)*S801+Summary!$B$11*U801</f>
        <v/>
      </c>
      <c r="P801">
        <f>IF(B835=0,0,O801/B835)</f>
        <v/>
      </c>
      <c r="Q801">
        <f>IFERROR(1/(IF(Inputs!$B$39="pvp",15,MAX(0.1,Skills!D9-IF(Skills!E9=TRUE,Inputs!$B$33,0)))*(1-IF(AND(ArtifactsInput!$M$27,Inputs!$B$4="Chapter Hunt"),CHOOSE(ArtifactsInput!$N$27+1,20,24,28,32,36,40),0)/100)),0)</f>
        <v/>
      </c>
      <c r="R801">
        <f>IF(AND(Inputs!$B$39&lt;&gt;"pvp",Inputs!$B$44&gt;0),IF(MAX(0,Inputs!$B$44-B832)&lt;=0,0,(INT(MAX(0,Inputs!$B$44-B832)/(IF(Inputs!$B$39="pvp",15,MAX(0.1,Skills!D9-IF(Skills!E9=TRUE,Inputs!$B$33,0)))*(1-IF(AND(ArtifactsInput!$M$27,Inputs!$B$4="Chapter Hunt"),CHOOSE(ArtifactsInput!$N$27+1,20,24,28,32,36,40),0)/100)))+1)),0)</f>
        <v/>
      </c>
      <c r="S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$21+Skills!O9+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$22+Skills!P9+B824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2">
      <c r="A802">
        <f>Skills!A10</f>
        <v/>
      </c>
      <c r="B802">
        <f>Skills!B10</f>
        <v/>
      </c>
      <c r="C802">
        <f>Inputs!$B$3&gt;=66</f>
        <v/>
      </c>
      <c r="D802">
        <f>IF(Skills!C10=1,60+Inputs!$B$26+Inputs!$B$30,IF(Skills!C10=2,90+Inputs!$B$27+Inputs!$B$30,IF(Skills!C10=3,120+Inputs!$B$28+Inputs!$B$30,MAX(0,(Inputs!$B$3-100)*3)+Inputs!$B$29+Inputs!$B$30)))</f>
        <v/>
      </c>
      <c r="E802">
        <f>INDEX(FactorTable!$B$2:$Y$301, MATCH(ROUND(MIN(300,MAX(1,D802)),0), FactorTable!$A$2:$A$301,0), Skills!L10+1)</f>
        <v/>
      </c>
      <c r="F802" t="n">
        <v>0</v>
      </c>
      <c r="G802">
        <f>Calc!G10</f>
        <v/>
      </c>
      <c r="H802">
        <f>Calc!H10</f>
        <v/>
      </c>
      <c r="I802">
        <f>IF(Skills!T10&lt;&gt;"",1+(Skills!T10/10)*($Z$3/1000)/100,1)</f>
        <v/>
      </c>
      <c r="J802" t="inlineStr"/>
      <c r="K802" t="inlineStr"/>
      <c r="L802" t="inlineStr"/>
      <c r="M802" t="inlineStr"/>
      <c r="N802" t="inlineStr"/>
      <c r="O802">
        <f>(1-Summary!$B$11)*S802+Summary!$B$11*U802</f>
        <v/>
      </c>
      <c r="P802">
        <f>IF(B835=0,0,O802/B835)</f>
        <v/>
      </c>
      <c r="Q802">
        <f>IFERROR(1/(IF(Inputs!$B$39="pvp",15,MAX(0.1,Skills!D10-IF(Skills!E10=TRUE,Inputs!$B$33,0)))*(1-IF(AND(ArtifactsInput!$M$27,Inputs!$B$4="Chapter Hunt"),CHOOSE(ArtifactsInput!$N$27+1,20,24,28,32,36,40),0)/100)),0)</f>
        <v/>
      </c>
      <c r="R802">
        <f>IF(AND(Inputs!$B$39&lt;&gt;"pvp",Inputs!$B$44&gt;0),IF(MAX(0,Inputs!$B$44-B832)&lt;=0,0,(INT(MAX(0,Inputs!$B$44-B832)/(IF(Inputs!$B$39="pvp",15,MAX(0.1,Skills!D10-IF(Skills!E10=TRUE,Inputs!$B$33,0)))*(1-IF(AND(ArtifactsInput!$M$27,Inputs!$B$4="Chapter Hunt"),CHOOSE(ArtifactsInput!$N$27+1,20,24,28,32,36,40),0)/100)))+1)),0)</f>
        <v/>
      </c>
      <c r="S802" t="n">
        <v>0</v>
      </c>
      <c r="U802" t="n">
        <v>0</v>
      </c>
    </row>
    <row r="803">
      <c r="A803">
        <f>Skills!A11</f>
        <v/>
      </c>
      <c r="B803">
        <f>Skills!B11</f>
        <v/>
      </c>
      <c r="C803">
        <f>Inputs!$B$3&gt;=69</f>
        <v/>
      </c>
      <c r="D803">
        <f>IF(Skills!C11=1,60+Inputs!$B$26+Inputs!$B$30,IF(Skills!C11=2,90+Inputs!$B$27+Inputs!$B$30,IF(Skills!C11=3,120+Inputs!$B$28+Inputs!$B$30,MAX(0,(Inputs!$B$3-100)*3)+Inputs!$B$29+Inputs!$B$30)))</f>
        <v/>
      </c>
      <c r="E803">
        <f>INDEX(FactorTable!$B$2:$Y$301, MATCH(ROUND(MIN(300,MAX(1,D803)),0), FactorTable!$A$2:$A$301,0), Skills!L11+1)</f>
        <v/>
      </c>
      <c r="F803">
        <f>IF(Skills!M11=TRUE,(Skills!K11/10)*(E803/1000),Skills!K11/10)+Skills!N11</f>
        <v/>
      </c>
      <c r="G803">
        <f>Calc!G11</f>
        <v/>
      </c>
      <c r="H803">
        <f>Calc!H11</f>
        <v/>
      </c>
      <c r="I803">
        <f>IF(Skills!T11&lt;&gt;"",1+(Skills!T11/10)*($Z$3/1000)/100,1)</f>
        <v/>
      </c>
      <c r="J803" t="inlineStr"/>
      <c r="K803" t="inlineStr"/>
      <c r="L803" t="inlineStr"/>
      <c r="M803" t="inlineStr"/>
      <c r="N803" t="inlineStr"/>
      <c r="O803">
        <f>(1-Summary!$B$11)*S803+Summary!$B$11*U803</f>
        <v/>
      </c>
      <c r="P803">
        <f>IF(B835=0,0,O803/B835)</f>
        <v/>
      </c>
      <c r="Q803">
        <f>IFERROR(1/(IF(Inputs!$B$39="pvp",15,MAX(0.1,Skills!D11-IF(Skills!E11=TRUE,Inputs!$B$33,0)))*(1-IF(AND(ArtifactsInput!$M$27,Inputs!$B$4="Chapter Hunt"),CHOOSE(ArtifactsInput!$N$27+1,20,24,28,32,36,40),0)/100)),0)</f>
        <v/>
      </c>
      <c r="R803">
        <f>IF(AND(Inputs!$B$39&lt;&gt;"pvp",Inputs!$B$44&gt;0),IF(Inputs!$B$44&lt;=0,0,(INT(Inputs!$B$44/(IF(Inputs!$B$39="pvp",15,MAX(0.1,Skills!D11-IF(Skills!E11=TRUE,Inputs!$B$33,0)))*(1-IF(AND(ArtifactsInput!$M$27,Inputs!$B$4="Chapter Hunt"),CHOOSE(ArtifactsInput!$N$27+1,20,24,28,32,36,40),0)/100)))+1)),0)</f>
        <v/>
      </c>
      <c r="S803" t="n">
        <v>0</v>
      </c>
      <c r="U803" t="n">
        <v>0</v>
      </c>
    </row>
    <row r="804">
      <c r="A804">
        <f>Skills!A12</f>
        <v/>
      </c>
      <c r="B804">
        <f>Skills!B12</f>
        <v/>
      </c>
      <c r="C804">
        <f>Inputs!$B$3&gt;=72</f>
        <v/>
      </c>
      <c r="D804">
        <f>IF(Skills!C12=1,60+Inputs!$B$26+Inputs!$B$30,IF(Skills!C12=2,90+Inputs!$B$27+Inputs!$B$30,IF(Skills!C12=3,120+Inputs!$B$28+Inputs!$B$30,MAX(0,(Inputs!$B$3-100)*3)+Inputs!$B$29+Inputs!$B$30)))</f>
        <v/>
      </c>
      <c r="E804">
        <f>INDEX(FactorTable!$B$2:$Y$301, MATCH(ROUND(MIN(300,MAX(1,D804)),0), FactorTable!$A$2:$A$301,0), Skills!L12+1)</f>
        <v/>
      </c>
      <c r="F804">
        <f>IF(Skills!M12=TRUE,(Skills!K12/10)*(E804/1000),Skills!K12/10)+Skills!N12</f>
        <v/>
      </c>
      <c r="G804">
        <f>Calc!G12</f>
        <v/>
      </c>
      <c r="H804">
        <f>Calc!H12</f>
        <v/>
      </c>
      <c r="I804">
        <f>IF(Skills!T12&lt;&gt;"",1+(Skills!T12/10)*($Z$3/1000)/100,1)</f>
        <v/>
      </c>
      <c r="J804" t="inlineStr"/>
      <c r="K804" t="inlineStr"/>
      <c r="L804" t="inlineStr"/>
      <c r="M804" t="inlineStr"/>
      <c r="N804" t="inlineStr"/>
      <c r="O804">
        <f>(1-Summary!$B$11)*S804+Summary!$B$11*U804</f>
        <v/>
      </c>
      <c r="P804">
        <f>IF(B835=0,0,O804/B835)</f>
        <v/>
      </c>
      <c r="Q804">
        <f>IFERROR(1/(IF(Inputs!$B$39="pvp",15,MAX(0.1,Skills!D12-IF(Skills!E12=TRUE,Inputs!$B$33,0)))*(1-IF(AND(ArtifactsInput!$M$27,Inputs!$B$4="Chapter Hunt"),CHOOSE(ArtifactsInput!$N$27+1,20,24,28,32,36,40),0)/100)),0)</f>
        <v/>
      </c>
      <c r="R804">
        <f>IF(AND(Inputs!$B$39&lt;&gt;"pvp",Inputs!$B$44&gt;0),IF(MAX(0,Inputs!$B$44-B832)&lt;=0,0,(INT(MAX(0,Inputs!$B$44-B832)/(IF(Inputs!$B$39="pvp",15,MAX(0.1,Skills!D12-IF(Skills!E12=TRUE,Inputs!$B$33,0)))*(1-IF(AND(ArtifactsInput!$M$27,Inputs!$B$4="Chapter Hunt"),CHOOSE(ArtifactsInput!$N$27+1,20,24,28,32,36,40),0)/100)))+1)),0)</f>
        <v/>
      </c>
      <c r="S804" t="n">
        <v>0</v>
      </c>
      <c r="U804" t="n">
        <v>0</v>
      </c>
    </row>
    <row r="805">
      <c r="A805">
        <f>Skills!A13</f>
        <v/>
      </c>
      <c r="B805">
        <f>Skills!B13</f>
        <v/>
      </c>
      <c r="C805">
        <f>Inputs!$B$3&gt;=60</f>
        <v/>
      </c>
      <c r="D805">
        <f>IF(Skills!C13=1,60+Inputs!$B$26+Inputs!$B$30,IF(Skills!C13=2,90+Inputs!$B$27+Inputs!$B$30,IF(Skills!C13=3,120+Inputs!$B$28+Inputs!$B$30,MAX(0,(Inputs!$B$3-100)*3)+Inputs!$B$29+Inputs!$B$30)))</f>
        <v/>
      </c>
      <c r="E805">
        <f>INDEX(FactorTable!$B$2:$Y$301, MATCH(ROUND(MIN(300,MAX(1,D805)),0), FactorTable!$A$2:$A$301,0), Skills!L13+1)</f>
        <v/>
      </c>
      <c r="F805">
        <f>IF(Skills!M13=TRUE,(Skills!K13/10)*(E805/1000),Skills!K13/10)+Skills!N13</f>
        <v/>
      </c>
      <c r="G805">
        <f>Calc!G13</f>
        <v/>
      </c>
      <c r="H805">
        <f>Calc!H13</f>
        <v/>
      </c>
      <c r="I805">
        <f>IF(Skills!T13&lt;&gt;"",1+(Skills!T13/10)*($Z$3/1000)/100,1)</f>
        <v/>
      </c>
      <c r="J805" t="inlineStr"/>
      <c r="K805" t="inlineStr"/>
      <c r="L805" t="inlineStr"/>
      <c r="M805" t="inlineStr"/>
      <c r="N805" t="inlineStr"/>
      <c r="O805">
        <f>(1-Summary!$B$11)*S805+Summary!$B$11*U805</f>
        <v/>
      </c>
      <c r="P805">
        <f>IF(B835=0,0,O805/B835)</f>
        <v/>
      </c>
      <c r="Q805">
        <f>IFERROR(1/(IF(Inputs!$B$39="pvp",15,MAX(0.1,Skills!D13-IF(Skills!E13=TRUE,Inputs!$B$33,0)))*(1-IF(AND(ArtifactsInput!$M$27,Inputs!$B$4="Chapter Hunt"),CHOOSE(ArtifactsInput!$N$27+1,20,24,28,32,36,40),0)/100)),0)</f>
        <v/>
      </c>
      <c r="R805">
        <f>IF(AND(Inputs!$B$39&lt;&gt;"pvp",Inputs!$B$44&gt;0),IF(MAX(0,Inputs!$B$44-B832)&lt;=0,0,(INT(MAX(0,Inputs!$B$44-B832)/(IF(Inputs!$B$39="pvp",15,MAX(0.1,Skills!D13-IF(Skills!E13=TRUE,Inputs!$B$33,0)))*(1-IF(AND(ArtifactsInput!$M$27,Inputs!$B$4="Chapter Hunt"),CHOOSE(ArtifactsInput!$N$27+1,20,24,28,32,36,40),0)/100)))+1)),0)</f>
        <v/>
      </c>
      <c r="S805" t="n">
        <v>0</v>
      </c>
      <c r="U805" t="n">
        <v>0</v>
      </c>
    </row>
    <row r="806">
      <c r="A806">
        <f>Skills!A14</f>
        <v/>
      </c>
      <c r="B806">
        <f>Skills!B14</f>
        <v/>
      </c>
      <c r="C806">
        <f>Inputs!$B$3&gt;=107</f>
        <v/>
      </c>
      <c r="D806">
        <f>IF(Skills!C14=1,60+Inputs!$B$26+Inputs!$B$30,IF(Skills!C14=2,90+Inputs!$B$27+Inputs!$B$30,IF(Skills!C14=3,120+Inputs!$B$28+Inputs!$B$30,MAX(0,(Inputs!$B$3-100)*3)+Inputs!$B$29+Inputs!$B$30)))</f>
        <v/>
      </c>
      <c r="E806">
        <f>INDEX(FactorTable!$B$2:$Y$301, MATCH(ROUND(MIN(300,MAX(1,D806)),0), FactorTable!$A$2:$A$301,0), Skills!L14+1)</f>
        <v/>
      </c>
      <c r="F806">
        <f>IF(Skills!M14=TRUE,(Skills!K14/10)*(E806/1000),Skills!K14/10)+Skills!N14</f>
        <v/>
      </c>
      <c r="G806">
        <f>Calc!G14</f>
        <v/>
      </c>
      <c r="H806">
        <f>Calc!H14</f>
        <v/>
      </c>
      <c r="I806">
        <f>IF(Skills!T14&lt;&gt;"",1+(Skills!T14/10)*($Z$3/1000)/100,1)</f>
        <v/>
      </c>
      <c r="J806" t="inlineStr"/>
      <c r="K806" t="inlineStr"/>
      <c r="L806" t="inlineStr"/>
      <c r="M806" t="inlineStr"/>
      <c r="N806" t="inlineStr"/>
      <c r="O806">
        <f>(1-Summary!$B$11)*S806+Summary!$B$11*U806</f>
        <v/>
      </c>
      <c r="P806">
        <f>IF(B835=0,0,O806/B835)</f>
        <v/>
      </c>
      <c r="Q806">
        <f>IFERROR(1/(IF(Inputs!$B$39="pvp",15,MAX(0.1,Skills!D14-IF(Skills!E14=TRUE,Inputs!$B$33,0)))*(1-IF(AND(ArtifactsInput!$M$27,Inputs!$B$4="Chapter Hunt"),CHOOSE(ArtifactsInput!$N$27+1,20,24,28,32,36,40),0)/100)),0)</f>
        <v/>
      </c>
      <c r="R806">
        <f>IF(AND(Inputs!$B$39&lt;&gt;"pvp",Inputs!$B$44&gt;0),IF(Inputs!$B$44&lt;=0,0,(INT(Inputs!$B$44/(IF(Inputs!$B$39="pvp",15,MAX(0.1,Skills!D14-IF(Skills!E14=TRUE,Inputs!$B$33,0)))*(1-IF(AND(ArtifactsInput!$M$27,Inputs!$B$4="Chapter Hunt"),CHOOSE(ArtifactsInput!$N$27+1,20,24,28,32,36,40),0)/100)))+1)),0)</f>
        <v/>
      </c>
      <c r="S806" t="n">
        <v>0</v>
      </c>
      <c r="U806" t="n">
        <v>0</v>
      </c>
    </row>
    <row r="807">
      <c r="A807">
        <f>Skills!A15</f>
        <v/>
      </c>
      <c r="B807">
        <f>Skills!B15</f>
        <v/>
      </c>
      <c r="C807">
        <f>Inputs!$B$3&gt;=63</f>
        <v/>
      </c>
      <c r="D807">
        <f>IF(Skills!C15=1,60+Inputs!$B$26+Inputs!$B$30,IF(Skills!C15=2,90+Inputs!$B$27+Inputs!$B$30,IF(Skills!C15=3,120+Inputs!$B$28+Inputs!$B$30,MAX(0,(Inputs!$B$3-100)*3)+Inputs!$B$29+Inputs!$B$30)))</f>
        <v/>
      </c>
      <c r="E807">
        <f>INDEX(FactorTable!$B$2:$Y$301, MATCH(ROUND(MIN(300,MAX(1,D807)),0), FactorTable!$A$2:$A$301,0), Skills!L15+1)</f>
        <v/>
      </c>
      <c r="F807">
        <f>IF(Skills!M15=TRUE,(Skills!K15/10)*(E807/1000),Skills!K15/10)+Skills!N15</f>
        <v/>
      </c>
      <c r="G807">
        <f>Calc!G15</f>
        <v/>
      </c>
      <c r="H807">
        <f>Calc!H15</f>
        <v/>
      </c>
      <c r="I807">
        <f>IF(Skills!T15&lt;&gt;"",1+(Skills!T15/10)*($Z$3/1000)/100,1)</f>
        <v/>
      </c>
      <c r="J807">
        <f>((Inputs!$B$6*(1+Inputs!$B$7/100))+(((Inputs!$B$13*(1+Inputs!$B$14/100))-(Inputs!$B$13*(1+Inputs!$B$14/100)))+0.25*(Inputs!$B$15-Inputs!$B$15))*(1+Inputs!$B$7/100))*(F807/100)</f>
        <v/>
      </c>
      <c r="K807">
        <f>J807*(1+(((Inputs!$B$13+IF(Inputs!$B$3&gt;=35,(10*INDEX(FactorTable!$B$2:$Y$301,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15="TRIUMPH_FEATHER",IF(C808=TRUE,F808,0),0)/100)*(1+IF(C819=TRUE,F819,0)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807)</f>
        <v/>
      </c>
      <c r="L807">
        <f>K807*(MIN(Inputs!$B$23+(F814-Calc!F22),(Inputs!$B$24+IF(ArtifactsInput!$M$15,CHOOSE(ArtifactsInput!$N$15+1,25,30,35,40,45,50)/100*(Inputs!$B$12-Inputs!$B$12),0)))/100+(Inputs!$B$24+IF(ArtifactsInput!$M$15,CHOOSE(ArtifactsInput!$N$15+1,25,30,35,40,45,50)/100*(Inputs!$B$12-Inputs!$B$12),0))/100)/2</f>
        <v/>
      </c>
      <c r="M807">
        <f>L807*(1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7">
        <f>L807*(1-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807*(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7">
        <f>(1-Summary!$B$11)*S807+Summary!$B$11*U807</f>
        <v/>
      </c>
      <c r="P807">
        <f>IF(B835=0,0,O807/B835)</f>
        <v/>
      </c>
      <c r="Q807">
        <f>IFERROR(1/(IF(Inputs!$B$39="pvp",15,MAX(0.1,Skills!D15-IF(Skills!E15=TRUE,Inputs!$B$33,0)))*(1-IF(AND(ArtifactsInput!$M$27,Inputs!$B$4="Chapter Hunt"),CHOOSE(ArtifactsInput!$N$27+1,20,24,28,32,36,40),0)/100)),0)</f>
        <v/>
      </c>
      <c r="R807" t="n">
        <v>0</v>
      </c>
      <c r="S807">
        <f>IF(C807,(Skills!F15*N807*((IF(Inputs!$B$3&gt;=78,25,15)/100*B828*10)/(1+IF(Inputs!$B$3&gt;=78,25,15)/100*B828*10))*(Skills!I15/100*B828)/(1+Skills!G15*Skills!I15/100*B828))*IF(Inputs!$B$39="pvp",1,1+(Inputs!$B$21+Skills!O15+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807*(1-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807*(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807*(1-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807*(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7">
        <f>IF(C807,(Skills!F15*N807*((IF(Inputs!$B$3&gt;=78,25,15)/100*B828*10)/(1+IF(Inputs!$B$3&gt;=78,25,15)/100*B828*10))*(Skills!I15/100*B828)/(1+Skills!G15*Skills!I15/100*B828))*IF(Inputs!$B$39="pvp",1,(1+(Inputs!$B$22+Skills!P15+B824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8">
      <c r="A808">
        <f>Skills!A16</f>
        <v/>
      </c>
      <c r="B808">
        <f>Skills!B16</f>
        <v/>
      </c>
      <c r="C808">
        <f>Inputs!$B$3&gt;=100</f>
        <v/>
      </c>
      <c r="D808">
        <f>IF(Skills!C16=1,60+Inputs!$B$26+Inputs!$B$30,IF(Skills!C16=2,90+Inputs!$B$27+Inputs!$B$30,IF(Skills!C16=3,120+Inputs!$B$28+Inputs!$B$30,MAX(0,(Inputs!$B$3-100)*3)+Inputs!$B$29+Inputs!$B$30)))</f>
        <v/>
      </c>
      <c r="E808">
        <f>INDEX(FactorTable!$B$2:$Y$301, MATCH(ROUND(MIN(300,MAX(1,D808)),0), FactorTable!$A$2:$A$301,0), Skills!L16+1)</f>
        <v/>
      </c>
      <c r="F808">
        <f>IF(Skills!M16=TRUE,(Skills!K16/10)*(E808/1000),Skills!K16/10)+Skills!N16</f>
        <v/>
      </c>
      <c r="G808">
        <f>Calc!G16</f>
        <v/>
      </c>
      <c r="H808">
        <f>Calc!H16</f>
        <v/>
      </c>
      <c r="I808">
        <f>IF(Skills!T16&lt;&gt;"",1+(Skills!T16/10)*($Z$3/1000)/100,1)</f>
        <v/>
      </c>
      <c r="J808" t="inlineStr"/>
      <c r="K808" t="inlineStr"/>
      <c r="L808" t="inlineStr"/>
      <c r="M808" t="inlineStr"/>
      <c r="N808" t="inlineStr"/>
      <c r="O808">
        <f>(1-Summary!$B$11)*S808+Summary!$B$11*U808</f>
        <v/>
      </c>
      <c r="P808">
        <f>IF(B835=0,0,O808/B835)</f>
        <v/>
      </c>
      <c r="Q808">
        <f>IFERROR(1/(IF(Inputs!$B$39="pvp",15,MAX(0.1,Skills!D16-IF(Skills!E16=TRUE,Inputs!$B$33,0)))*(1-IF(AND(ArtifactsInput!$M$27,Inputs!$B$4="Chapter Hunt"),CHOOSE(ArtifactsInput!$N$27+1,20,24,28,32,36,40),0)/100)),0)</f>
        <v/>
      </c>
      <c r="R808" t="n">
        <v>0</v>
      </c>
      <c r="S808" t="n">
        <v>0</v>
      </c>
      <c r="U808" t="n">
        <v>0</v>
      </c>
    </row>
    <row r="809">
      <c r="A809">
        <f>Skills!A17</f>
        <v/>
      </c>
      <c r="B809">
        <f>Skills!B17</f>
        <v/>
      </c>
      <c r="C809">
        <f>Inputs!$B$3&gt;=49</f>
        <v/>
      </c>
      <c r="D809">
        <f>IF(Skills!C17=1,60+Inputs!$B$26+Inputs!$B$30,IF(Skills!C17=2,90+Inputs!$B$27+Inputs!$B$30,IF(Skills!C17=3,120+Inputs!$B$28+Inputs!$B$30,MAX(0,(Inputs!$B$3-100)*3)+Inputs!$B$29+Inputs!$B$30)))</f>
        <v/>
      </c>
      <c r="E809">
        <f>INDEX(FactorTable!$B$2:$Y$301, MATCH(ROUND(MIN(300,MAX(1,D809)),0), FactorTable!$A$2:$A$301,0), Skills!L17+1)</f>
        <v/>
      </c>
      <c r="F809">
        <f>IF(Skills!M17=TRUE,(Skills!K17/10)*(E809/1000),Skills!K17/10)+Skills!N17</f>
        <v/>
      </c>
      <c r="G809">
        <f>Calc!G17</f>
        <v/>
      </c>
      <c r="H809">
        <f>Calc!H17</f>
        <v/>
      </c>
      <c r="I809">
        <f>IF(Skills!T17&lt;&gt;"",1+(Skills!T17/10)*($Z$3/1000)/100,1)</f>
        <v/>
      </c>
      <c r="J809" t="inlineStr"/>
      <c r="K809" t="inlineStr"/>
      <c r="L809" t="inlineStr"/>
      <c r="M809" t="inlineStr"/>
      <c r="N809" t="inlineStr"/>
      <c r="O809">
        <f>(1-Summary!$B$11)*S809+Summary!$B$11*U809</f>
        <v/>
      </c>
      <c r="P809">
        <f>IF(B835=0,0,O809/B835)</f>
        <v/>
      </c>
      <c r="Q809">
        <f>IFERROR(1/(IF(Inputs!$B$39="pvp",15,MAX(0.1,Skills!D17-IF(Skills!E17=TRUE,Inputs!$B$33,0)))*(1-IF(AND(ArtifactsInput!$M$27,Inputs!$B$4="Chapter Hunt"),CHOOSE(ArtifactsInput!$N$27+1,20,24,28,32,36,40),0)/100)),0)</f>
        <v/>
      </c>
      <c r="R809" t="n">
        <v>0</v>
      </c>
      <c r="S809" t="n">
        <v>0</v>
      </c>
      <c r="U809" t="n">
        <v>0</v>
      </c>
    </row>
    <row r="810">
      <c r="A810">
        <f>Skills!A18</f>
        <v/>
      </c>
      <c r="B810">
        <f>Skills!B18</f>
        <v/>
      </c>
      <c r="C810">
        <f>Inputs!$B$3&gt;=75</f>
        <v/>
      </c>
      <c r="D810">
        <f>IF(Skills!C18=1,60+Inputs!$B$26+Inputs!$B$30,IF(Skills!C18=2,90+Inputs!$B$27+Inputs!$B$30,IF(Skills!C18=3,120+Inputs!$B$28+Inputs!$B$30,MAX(0,(Inputs!$B$3-100)*3)+Inputs!$B$29+Inputs!$B$30)))</f>
        <v/>
      </c>
      <c r="E810">
        <f>INDEX(FactorTable!$B$2:$Y$301, MATCH(ROUND(MIN(300,MAX(1,D810)),0), FactorTable!$A$2:$A$301,0), Skills!L18+1)</f>
        <v/>
      </c>
      <c r="F810">
        <f>IF(Skills!M18=TRUE,(Skills!K18/10)*(E810/1000),Skills!K18/10)+Skills!N18</f>
        <v/>
      </c>
      <c r="G810">
        <f>Calc!G18</f>
        <v/>
      </c>
      <c r="H810">
        <f>Calc!H18</f>
        <v/>
      </c>
      <c r="I810">
        <f>IF(Skills!T18&lt;&gt;"",1+(Skills!T18/10)*($Z$3/1000)/100,1)</f>
        <v/>
      </c>
      <c r="J810" t="inlineStr"/>
      <c r="K810" t="inlineStr"/>
      <c r="L810" t="inlineStr"/>
      <c r="M810" t="inlineStr"/>
      <c r="N810" t="inlineStr"/>
      <c r="O810">
        <f>(1-Summary!$B$11)*S810+Summary!$B$11*U810</f>
        <v/>
      </c>
      <c r="P810">
        <f>IF(B835=0,0,O810/B835)</f>
        <v/>
      </c>
      <c r="Q810">
        <f>IFERROR(1/(IF(Inputs!$B$39="pvp",15,MAX(0.1,Skills!D18-IF(Skills!E18=TRUE,Inputs!$B$33,0)))*(1-IF(AND(ArtifactsInput!$M$27,Inputs!$B$4="Chapter Hunt"),CHOOSE(ArtifactsInput!$N$27+1,20,24,28,32,36,40),0)/100)),0)</f>
        <v/>
      </c>
      <c r="R810" t="n">
        <v>0</v>
      </c>
      <c r="S810" t="n">
        <v>0</v>
      </c>
      <c r="U810" t="n">
        <v>0</v>
      </c>
    </row>
    <row r="811">
      <c r="A811">
        <f>Skills!A19</f>
        <v/>
      </c>
      <c r="B811">
        <f>Skills!B19</f>
        <v/>
      </c>
      <c r="C811">
        <f>Inputs!$B$3&gt;=110</f>
        <v/>
      </c>
      <c r="D811">
        <f>IF(Skills!C19=1,60+Inputs!$B$26+Inputs!$B$30,IF(Skills!C19=2,90+Inputs!$B$27+Inputs!$B$30,IF(Skills!C19=3,120+Inputs!$B$28+Inputs!$B$30,MAX(0,(Inputs!$B$3-100)*3)+Inputs!$B$29+Inputs!$B$30)))</f>
        <v/>
      </c>
      <c r="E811">
        <f>INDEX(FactorTable!$B$2:$Y$301, MATCH(ROUND(MIN(300,MAX(1,D811)),0), FactorTable!$A$2:$A$301,0), Skills!L19+1)</f>
        <v/>
      </c>
      <c r="F811">
        <f>(Skills!K19/10)*(E811/1000)*64/45+Skills!N19</f>
        <v/>
      </c>
      <c r="G811">
        <f>Calc!G19</f>
        <v/>
      </c>
      <c r="H811">
        <f>Calc!H19</f>
        <v/>
      </c>
      <c r="I811">
        <f>IF(Skills!T19&lt;&gt;"",1+(Skills!T19/10)*($Z$3/1000)/100,1)</f>
        <v/>
      </c>
      <c r="J811" t="inlineStr"/>
      <c r="K811" t="inlineStr"/>
      <c r="L811" t="inlineStr"/>
      <c r="M811" t="inlineStr"/>
      <c r="N811" t="inlineStr"/>
      <c r="O811">
        <f>(1-Summary!$B$11)*S811+Summary!$B$11*U811</f>
        <v/>
      </c>
      <c r="P811">
        <f>IF(B835=0,0,O811/B835)</f>
        <v/>
      </c>
      <c r="Q811">
        <f>IFERROR(1/(IF(Inputs!$B$39="pvp",15,MAX(0.1,Skills!D19-IF(Skills!E19=TRUE,Inputs!$B$33,0)))*(1-IF(AND(ArtifactsInput!$M$27,Inputs!$B$4="Chapter Hunt"),CHOOSE(ArtifactsInput!$N$27+1,20,24,28,32,36,40),0)/100)),0)</f>
        <v/>
      </c>
      <c r="R811">
        <f>IF(AND(Inputs!$B$39&lt;&gt;"pvp",Inputs!$B$44&gt;0),IF(Inputs!$B$44&lt;=0,0,(INT(Inputs!$B$44/(IF(Inputs!$B$39="pvp",15,MAX(0.1,Skills!D19-IF(Skills!E19=TRUE,Inputs!$B$33,0)))*(1-IF(AND(ArtifactsInput!$M$27,Inputs!$B$4="Chapter Hunt"),CHOOSE(ArtifactsInput!$N$27+1,20,24,28,32,36,40),0)/100)))+1)),0)</f>
        <v/>
      </c>
      <c r="S811" t="n">
        <v>0</v>
      </c>
      <c r="U811" t="n">
        <v>0</v>
      </c>
    </row>
    <row r="812">
      <c r="A812">
        <f>Skills!A20</f>
        <v/>
      </c>
      <c r="B812">
        <f>Skills!B20</f>
        <v/>
      </c>
      <c r="C812">
        <f>Inputs!$B$3&gt;=125</f>
        <v/>
      </c>
      <c r="D812">
        <f>IF(Skills!C20=1,60+Inputs!$B$26+Inputs!$B$30,IF(Skills!C20=2,90+Inputs!$B$27+Inputs!$B$30,IF(Skills!C20=3,120+Inputs!$B$28+Inputs!$B$30,MAX(0,(Inputs!$B$3-100)*3)+Inputs!$B$29+Inputs!$B$30)))</f>
        <v/>
      </c>
      <c r="E812">
        <f>INDEX(FactorTable!$B$2:$Y$301, MATCH(ROUND(MIN(300,MAX(1,D812)),0), FactorTable!$A$2:$A$301,0), Skills!L20+1)</f>
        <v/>
      </c>
      <c r="F812">
        <f>IF(Skills!M20=TRUE,(Skills!K20/10)*(E812/1000),Skills!K20/10)+Skills!N20</f>
        <v/>
      </c>
      <c r="G812">
        <f>Calc!G20</f>
        <v/>
      </c>
      <c r="H812">
        <f>Calc!H20</f>
        <v/>
      </c>
      <c r="I812">
        <f>IF(Skills!T20&lt;&gt;"",1+(Skills!T20/10)*($Z$3/1000)/100,1)</f>
        <v/>
      </c>
      <c r="J812" t="inlineStr"/>
      <c r="K812" t="inlineStr"/>
      <c r="L812" t="inlineStr"/>
      <c r="M812" t="inlineStr"/>
      <c r="N812" t="inlineStr"/>
      <c r="O812">
        <f>(1-Summary!$B$11)*S812+Summary!$B$11*U812</f>
        <v/>
      </c>
      <c r="P812">
        <f>IF(B835=0,0,O812/B835)</f>
        <v/>
      </c>
      <c r="Q812">
        <f>IFERROR(1/(IF(Inputs!$B$39="pvp",15,MAX(0.1,Skills!D20-IF(Skills!E20=TRUE,Inputs!$B$33,0)))*(1-IF(AND(ArtifactsInput!$M$27,Inputs!$B$4="Chapter Hunt"),CHOOSE(ArtifactsInput!$N$27+1,20,24,28,32,36,40),0)/100)),0)</f>
        <v/>
      </c>
      <c r="R812" t="n">
        <v>0</v>
      </c>
      <c r="S812" t="n">
        <v>0</v>
      </c>
      <c r="U812" t="n">
        <v>0</v>
      </c>
    </row>
    <row r="813">
      <c r="A813">
        <f>Skills!A21</f>
        <v/>
      </c>
      <c r="B813">
        <f>Skills!B21</f>
        <v/>
      </c>
      <c r="C813">
        <f>Inputs!$B$3&gt;=33</f>
        <v/>
      </c>
      <c r="D813">
        <f>IF(Skills!C21=1,60+Inputs!$B$26+Inputs!$B$30,IF(Skills!C21=2,90+Inputs!$B$27+Inputs!$B$30,IF(Skills!C21=3,120+Inputs!$B$28+Inputs!$B$30,MAX(0,(Inputs!$B$3-100)*3)+Inputs!$B$29+Inputs!$B$30)))</f>
        <v/>
      </c>
      <c r="E813">
        <f>INDEX(FactorTable!$B$2:$Y$301, MATCH(ROUND(MIN(300,MAX(1,D813)),0), FactorTable!$A$2:$A$301,0), Skills!L21+1)</f>
        <v/>
      </c>
      <c r="F813">
        <f>IF(Skills!M21=TRUE,(Skills!K21/10)*(E813/1000),Skills!K21/10)+Skills!N21</f>
        <v/>
      </c>
      <c r="G813">
        <f>Calc!G21</f>
        <v/>
      </c>
      <c r="H813">
        <f>Calc!H21</f>
        <v/>
      </c>
      <c r="I813">
        <f>IF(Skills!T21&lt;&gt;"",1+(Skills!T21/10)*($Z$3/1000)/100,1)</f>
        <v/>
      </c>
      <c r="J813" t="inlineStr"/>
      <c r="K813" t="inlineStr"/>
      <c r="L813" t="inlineStr"/>
      <c r="M813" t="inlineStr"/>
      <c r="N813" t="inlineStr"/>
      <c r="O813">
        <f>(1-Summary!$B$11)*S813+Summary!$B$11*U813</f>
        <v/>
      </c>
      <c r="P813">
        <f>IF(B835=0,0,O813/B835)</f>
        <v/>
      </c>
      <c r="Q813">
        <f>IFERROR(1/(IF(Inputs!$B$39="pvp",15,MAX(0.1,Skills!D21-IF(Skills!E21=TRUE,Inputs!$B$33,0)))*(1-IF(AND(ArtifactsInput!$M$27,Inputs!$B$4="Chapter Hunt"),CHOOSE(ArtifactsInput!$N$27+1,20,24,28,32,36,40),0)/100)),0)</f>
        <v/>
      </c>
      <c r="R813" t="n">
        <v>0</v>
      </c>
      <c r="S813" t="n">
        <v>0</v>
      </c>
      <c r="U813" t="n">
        <v>0</v>
      </c>
    </row>
    <row r="814">
      <c r="A814">
        <f>Skills!A22</f>
        <v/>
      </c>
      <c r="B814">
        <f>Skills!B22</f>
        <v/>
      </c>
      <c r="C814">
        <f>Inputs!$B$3&gt;=43</f>
        <v/>
      </c>
      <c r="D814">
        <f>IF(Skills!C22=1,60+Inputs!$B$26+Inputs!$B$30,IF(Skills!C22=2,90+Inputs!$B$27+Inputs!$B$30,IF(Skills!C22=3,120+Inputs!$B$28+Inputs!$B$30,MAX(0,(Inputs!$B$3-100)*3)+Inputs!$B$29+Inputs!$B$30)))</f>
        <v/>
      </c>
      <c r="E814">
        <f>INDEX(FactorTable!$B$2:$Y$301, MATCH(ROUND(MIN(300,MAX(1,D814)),0), FactorTable!$A$2:$A$301,0), Skills!L22+1)</f>
        <v/>
      </c>
      <c r="F814">
        <f>IF(Skills!M22=TRUE,(Skills!K22/10)*(E814/1000),Skills!K22/10)+Skills!N22</f>
        <v/>
      </c>
      <c r="G814">
        <f>Calc!G22</f>
        <v/>
      </c>
      <c r="H814">
        <f>Calc!H22</f>
        <v/>
      </c>
      <c r="I814">
        <f>IF(Skills!T22&lt;&gt;"",1+(Skills!T22/10)*($Z$3/1000)/100,1)</f>
        <v/>
      </c>
      <c r="J814" t="inlineStr"/>
      <c r="K814" t="inlineStr"/>
      <c r="L814" t="inlineStr"/>
      <c r="M814" t="inlineStr"/>
      <c r="N814" t="inlineStr"/>
      <c r="O814">
        <f>(1-Summary!$B$11)*S814+Summary!$B$11*U814</f>
        <v/>
      </c>
      <c r="P814">
        <f>IF(B835=0,0,O814/B835)</f>
        <v/>
      </c>
      <c r="Q814">
        <f>IFERROR(1/(IF(Inputs!$B$39="pvp",15,MAX(0.1,Skills!D22-IF(Skills!E22=TRUE,Inputs!$B$33,0)))*(1-IF(AND(ArtifactsInput!$M$27,Inputs!$B$4="Chapter Hunt"),CHOOSE(ArtifactsInput!$N$27+1,20,24,28,32,36,40),0)/100)),0)</f>
        <v/>
      </c>
      <c r="R814" t="n">
        <v>0</v>
      </c>
      <c r="S814" t="n">
        <v>0</v>
      </c>
      <c r="U814" t="n">
        <v>0</v>
      </c>
    </row>
    <row r="815">
      <c r="A815">
        <f>Skills!A23</f>
        <v/>
      </c>
      <c r="B815">
        <f>Skills!B23</f>
        <v/>
      </c>
      <c r="C815">
        <f>Inputs!$B$3&gt;=50</f>
        <v/>
      </c>
      <c r="D815">
        <f>IF(Skills!C23=1,60+Inputs!$B$26+Inputs!$B$30,IF(Skills!C23=2,90+Inputs!$B$27+Inputs!$B$30,IF(Skills!C23=3,120+Inputs!$B$28+Inputs!$B$30,MAX(0,(Inputs!$B$3-100)*3)+Inputs!$B$29+Inputs!$B$30)))</f>
        <v/>
      </c>
      <c r="E815">
        <f>INDEX(FactorTable!$B$2:$Y$301, MATCH(ROUND(MIN(300,MAX(1,D815)),0), FactorTable!$A$2:$A$301,0), Skills!L23+1)</f>
        <v/>
      </c>
      <c r="F815">
        <f>IF(Skills!M23=TRUE,(Skills!K23/10)*(E815/1000),Skills!K23/10)+Skills!N23</f>
        <v/>
      </c>
      <c r="G815">
        <f>Calc!G23</f>
        <v/>
      </c>
      <c r="H815">
        <f>Calc!H23</f>
        <v/>
      </c>
      <c r="I815">
        <f>IF(Skills!T23&lt;&gt;"",1+(Skills!T23/10)*($Z$3/1000)/100,1)</f>
        <v/>
      </c>
      <c r="J815" t="inlineStr"/>
      <c r="K815" t="inlineStr"/>
      <c r="L815" t="inlineStr"/>
      <c r="M815" t="inlineStr"/>
      <c r="N815" t="inlineStr"/>
      <c r="O815">
        <f>(1-Summary!$B$11)*S815+Summary!$B$11*U815</f>
        <v/>
      </c>
      <c r="P815">
        <f>IF(B835=0,0,O815/B835)</f>
        <v/>
      </c>
      <c r="Q815">
        <f>IFERROR(1/(IF(Inputs!$B$39="pvp",15,MAX(0.1,Skills!D23-IF(Skills!E23=TRUE,Inputs!$B$33,0)))*(1-IF(AND(ArtifactsInput!$M$27,Inputs!$B$4="Chapter Hunt"),CHOOSE(ArtifactsInput!$N$27+1,20,24,28,32,36,40),0)/100)),0)</f>
        <v/>
      </c>
      <c r="R815" t="n">
        <v>0</v>
      </c>
      <c r="S815" t="n">
        <v>0</v>
      </c>
      <c r="U815" t="n">
        <v>0</v>
      </c>
    </row>
    <row r="816">
      <c r="A816">
        <f>Skills!A24</f>
        <v/>
      </c>
      <c r="B816">
        <f>Skills!B24</f>
        <v/>
      </c>
      <c r="C816">
        <f>Inputs!$B$3&gt;=74</f>
        <v/>
      </c>
      <c r="D816">
        <f>IF(Skills!C24=1,60+Inputs!$B$26+Inputs!$B$30,IF(Skills!C24=2,90+Inputs!$B$27+Inputs!$B$30,IF(Skills!C24=3,120+Inputs!$B$28+Inputs!$B$30,MAX(0,(Inputs!$B$3-100)*3)+Inputs!$B$29+Inputs!$B$30)))</f>
        <v/>
      </c>
      <c r="E816">
        <f>INDEX(FactorTable!$B$2:$Y$301, MATCH(ROUND(MIN(300,MAX(1,D816)),0), FactorTable!$A$2:$A$301,0), Skills!L24+1)</f>
        <v/>
      </c>
      <c r="F816">
        <f>IF(Skills!M24=TRUE,(Skills!K24/10)*(E816/1000),Skills!K24/10)+Skills!N24</f>
        <v/>
      </c>
      <c r="G816">
        <f>Calc!G24</f>
        <v/>
      </c>
      <c r="H816">
        <f>Calc!H24</f>
        <v/>
      </c>
      <c r="I816">
        <f>IF(Skills!T24&lt;&gt;"",1+(Skills!T24/10)*($Z$3/1000)/100,1)</f>
        <v/>
      </c>
      <c r="J816" t="inlineStr"/>
      <c r="K816" t="inlineStr"/>
      <c r="L816" t="inlineStr"/>
      <c r="M816" t="inlineStr"/>
      <c r="N816" t="inlineStr"/>
      <c r="O816">
        <f>(1-Summary!$B$11)*S816+Summary!$B$11*U816</f>
        <v/>
      </c>
      <c r="P816">
        <f>IF(B835=0,0,O816/B835)</f>
        <v/>
      </c>
      <c r="Q816">
        <f>IFERROR(1/(IF(Inputs!$B$39="pvp",15,MAX(0.1,Skills!D24-IF(Skills!E24=TRUE,Inputs!$B$33,0)))*(1-IF(AND(ArtifactsInput!$M$27,Inputs!$B$4="Chapter Hunt"),CHOOSE(ArtifactsInput!$N$27+1,20,24,28,32,36,40),0)/100)),0)</f>
        <v/>
      </c>
      <c r="R816" t="n">
        <v>0</v>
      </c>
      <c r="S816" t="n">
        <v>0</v>
      </c>
      <c r="U816" t="n">
        <v>0</v>
      </c>
    </row>
    <row r="817">
      <c r="A817">
        <f>Skills!A25</f>
        <v/>
      </c>
      <c r="B817">
        <f>Skills!B25</f>
        <v/>
      </c>
      <c r="C817">
        <f>Inputs!$B$3&gt;=74</f>
        <v/>
      </c>
      <c r="D817">
        <f>IF(Skills!C25=1,60+Inputs!$B$26+Inputs!$B$30,IF(Skills!C25=2,90+Inputs!$B$27+Inputs!$B$30,IF(Skills!C25=3,120+Inputs!$B$28+Inputs!$B$30,MAX(0,(Inputs!$B$3-100)*3)+Inputs!$B$29+Inputs!$B$30)))</f>
        <v/>
      </c>
      <c r="E817">
        <f>INDEX(FactorTable!$B$2:$Y$301, MATCH(ROUND(MIN(300,MAX(1,D817)),0), FactorTable!$A$2:$A$301,0), Skills!L25+1)</f>
        <v/>
      </c>
      <c r="F817">
        <f>IF(Skills!M25=TRUE,(Skills!K25/10)*(E817/1000),Skills!K25/10)+Skills!N25</f>
        <v/>
      </c>
      <c r="G817">
        <f>Calc!G25</f>
        <v/>
      </c>
      <c r="H817">
        <f>Calc!H25</f>
        <v/>
      </c>
      <c r="I817">
        <f>IF(Skills!T25&lt;&gt;"",1+(Skills!T25/10)*($Z$3/1000)/100,1)</f>
        <v/>
      </c>
      <c r="J817" t="inlineStr"/>
      <c r="K817" t="inlineStr"/>
      <c r="L817" t="inlineStr"/>
      <c r="M817" t="inlineStr"/>
      <c r="N817" t="inlineStr"/>
      <c r="O817">
        <f>(1-Summary!$B$11)*S817+Summary!$B$11*U817</f>
        <v/>
      </c>
      <c r="P817">
        <f>IF(B835=0,0,O817/B835)</f>
        <v/>
      </c>
      <c r="Q817">
        <f>IFERROR(1/(IF(Inputs!$B$39="pvp",15,MAX(0.1,Skills!D25-IF(Skills!E25=TRUE,Inputs!$B$33,0)))*(1-IF(AND(ArtifactsInput!$M$27,Inputs!$B$4="Chapter Hunt"),CHOOSE(ArtifactsInput!$N$27+1,20,24,28,32,36,40),0)/100)),0)</f>
        <v/>
      </c>
      <c r="R817" t="n">
        <v>0</v>
      </c>
      <c r="S817" t="n">
        <v>0</v>
      </c>
      <c r="U817" t="n">
        <v>0</v>
      </c>
    </row>
    <row r="818">
      <c r="A818">
        <f>Skills!A26</f>
        <v/>
      </c>
      <c r="B818">
        <f>Skills!B26</f>
        <v/>
      </c>
      <c r="C818">
        <f>Inputs!$B$3&gt;=117</f>
        <v/>
      </c>
      <c r="D818">
        <f>IF(Skills!C26=1,60+Inputs!$B$26+Inputs!$B$30,IF(Skills!C26=2,90+Inputs!$B$27+Inputs!$B$30,IF(Skills!C26=3,120+Inputs!$B$28+Inputs!$B$30,MAX(0,(Inputs!$B$3-100)*3)+Inputs!$B$29+Inputs!$B$30)))</f>
        <v/>
      </c>
      <c r="E818">
        <f>INDEX(FactorTable!$B$2:$Y$301, MATCH(ROUND(MIN(300,MAX(1,D818)),0), FactorTable!$A$2:$A$301,0), Skills!L26+1)</f>
        <v/>
      </c>
      <c r="F818">
        <f>IF(Skills!M26=TRUE,(Skills!K26/10)*(E818/1000),Skills!K26/10)+Skills!N26</f>
        <v/>
      </c>
      <c r="G818">
        <f>Calc!G26</f>
        <v/>
      </c>
      <c r="H818">
        <f>Calc!H26</f>
        <v/>
      </c>
      <c r="I818">
        <f>IF(Skills!T26&lt;&gt;"",1+(Skills!T26/10)*($Z$3/1000)/100,1)</f>
        <v/>
      </c>
      <c r="J818" t="inlineStr"/>
      <c r="K818" t="inlineStr"/>
      <c r="L818" t="inlineStr"/>
      <c r="M818" t="inlineStr"/>
      <c r="N818" t="inlineStr"/>
      <c r="O818">
        <f>(1-Summary!$B$11)*S818+Summary!$B$11*U818</f>
        <v/>
      </c>
      <c r="P818">
        <f>IF(B835=0,0,O818/B835)</f>
        <v/>
      </c>
      <c r="Q818">
        <f>IFERROR(1/(IF(Inputs!$B$39="pvp",15,MAX(0.1,Skills!D26-IF(Skills!E26=TRUE,Inputs!$B$33,0)))*(1-IF(AND(ArtifactsInput!$M$27,Inputs!$B$4="Chapter Hunt"),CHOOSE(ArtifactsInput!$N$27+1,20,24,28,32,36,40),0)/100)),0)</f>
        <v/>
      </c>
      <c r="R818" t="n">
        <v>0</v>
      </c>
      <c r="S818" t="n">
        <v>0</v>
      </c>
      <c r="U818" t="n">
        <v>0</v>
      </c>
    </row>
    <row r="819">
      <c r="A819">
        <f>Skills!A27</f>
        <v/>
      </c>
      <c r="B819">
        <f>Skills!B27</f>
        <v/>
      </c>
      <c r="C819">
        <f>Inputs!$B$3&gt;=120</f>
        <v/>
      </c>
      <c r="D819">
        <f>IF(Skills!C27=1,60+Inputs!$B$26+Inputs!$B$30,IF(Skills!C27=2,90+Inputs!$B$27+Inputs!$B$30,IF(Skills!C27=3,120+Inputs!$B$28+Inputs!$B$30,MAX(0,(Inputs!$B$3-100)*3)+Inputs!$B$29+Inputs!$B$30)))</f>
        <v/>
      </c>
      <c r="E819">
        <f>INDEX(FactorTable!$B$2:$Y$301, MATCH(ROUND(MIN(300,MAX(1,D819)),0), FactorTable!$A$2:$A$301,0), Skills!L27+1)</f>
        <v/>
      </c>
      <c r="F819">
        <f>IF(Skills!M27=TRUE,(Skills!K27/10)*(E819/1000),Skills!K27/10)+Skills!N27</f>
        <v/>
      </c>
      <c r="G819">
        <f>Calc!G27</f>
        <v/>
      </c>
      <c r="H819">
        <f>Calc!H27</f>
        <v/>
      </c>
      <c r="I819">
        <f>IF(Skills!T27&lt;&gt;"",1+(Skills!T27/10)*($Z$3/1000)/100,1)</f>
        <v/>
      </c>
      <c r="J819" t="inlineStr"/>
      <c r="K819" t="inlineStr"/>
      <c r="L819" t="inlineStr"/>
      <c r="M819" t="inlineStr"/>
      <c r="N819" t="inlineStr"/>
      <c r="O819">
        <f>(1-Summary!$B$11)*S819+Summary!$B$11*U819</f>
        <v/>
      </c>
      <c r="P819">
        <f>IF(B835=0,0,O819/B835)</f>
        <v/>
      </c>
      <c r="Q819">
        <f>IFERROR(1/(IF(Inputs!$B$39="pvp",15,MAX(0.1,Skills!D27-IF(Skills!E27=TRUE,Inputs!$B$33,0)))*(1-IF(AND(ArtifactsInput!$M$27,Inputs!$B$4="Chapter Hunt"),CHOOSE(ArtifactsInput!$N$27+1,20,24,28,32,36,40),0)/100)),0)</f>
        <v/>
      </c>
      <c r="R819" t="n">
        <v>0</v>
      </c>
      <c r="S819" t="n">
        <v>0</v>
      </c>
      <c r="U819" t="n">
        <v>0</v>
      </c>
    </row>
    <row r="820">
      <c r="A820">
        <f>Skills!A28</f>
        <v/>
      </c>
      <c r="B820">
        <f>Skills!B28</f>
        <v/>
      </c>
      <c r="C820">
        <f>TRUE</f>
        <v/>
      </c>
      <c r="D820">
        <f>IF(Skills!C28=1,60+Inputs!$B$26+Inputs!$B$30,IF(Skills!C28=2,90+Inputs!$B$27+Inputs!$B$30,IF(Skills!C28=3,120+Inputs!$B$28+Inputs!$B$30,MAX(0,(Inputs!$B$3-100)*3)+Inputs!$B$29+Inputs!$B$30)))</f>
        <v/>
      </c>
      <c r="E820">
        <f>INDEX(FactorTable!$B$2:$Y$301, MATCH(ROUND(MIN(300,MAX(1,D820)),0), FactorTable!$A$2:$A$301,0), Skills!L28+1)</f>
        <v/>
      </c>
      <c r="F820">
        <f>IF(Skills!M28=TRUE,(Skills!K28/10)*(E820/1000),Skills!K28/10)+Skills!N28</f>
        <v/>
      </c>
      <c r="G820">
        <f>Calc!G28</f>
        <v/>
      </c>
      <c r="H820">
        <f>Calc!H28</f>
        <v/>
      </c>
      <c r="I820">
        <f>IF(Skills!T28&lt;&gt;"",1+(Skills!T28/10)*($Z$3/1000)/100,1)</f>
        <v/>
      </c>
      <c r="J820" t="inlineStr"/>
      <c r="K820" t="inlineStr"/>
      <c r="L820" t="inlineStr"/>
      <c r="M820" t="inlineStr"/>
      <c r="N820" t="inlineStr"/>
      <c r="O820">
        <f>(1-Summary!$B$11)*S820+Summary!$B$11*U820</f>
        <v/>
      </c>
      <c r="P820">
        <f>IF(B835=0,0,O820/B835)</f>
        <v/>
      </c>
      <c r="Q820">
        <f>IFERROR(1/(IF(Inputs!$B$39="pvp",15,MAX(0.1,Skills!D28-IF(Skills!E28=TRUE,Inputs!$B$33,0)))*(1-IF(AND(ArtifactsInput!$M$27,Inputs!$B$4="Chapter Hunt"),CHOOSE(ArtifactsInput!$N$27+1,20,24,28,32,36,40),0)/100)),0)</f>
        <v/>
      </c>
      <c r="R820">
        <f>IF(AND(Inputs!$B$39&lt;&gt;"pvp",Inputs!$B$44&gt;0),IF(Inputs!$B$44&lt;=0,0,(INT(Inputs!$B$44/(IF(Inputs!$B$39="pvp",15,MAX(0.1,Skills!D28-IF(Skills!E28=TRUE,Inputs!$B$33,0)))*(1-IF(AND(ArtifactsInput!$M$27,Inputs!$B$4="Chapter Hunt"),CHOOSE(ArtifactsInput!$N$27+1,20,24,28,32,36,40),0)/100)))+1)),0)</f>
        <v/>
      </c>
      <c r="S820" t="n">
        <v>0</v>
      </c>
      <c r="U820" t="n">
        <v>0</v>
      </c>
    </row>
    <row r="822">
      <c r="A822" t="inlineStr">
        <is>
          <t>Average Buff Multiplier</t>
        </is>
      </c>
      <c r="B822">
        <f>(1+(IF(C795=TRUE,F795*IF(AND(Inputs!$B$39&lt;&gt;"pvp",Inputs!$B$44&gt;0),(((R795-1)*(Skills!S3*(1+((Inputs!$B$35+(ArtifactsInput!$M$7-ArtifactsInput!$M$7)*CHOOSE(ArtifactsInput!$N$7+1,6,7.2,8.4,9.6,10.8,12))+IF(Inputs!$B$3&gt;=117,F818,0))/100))+MIN((Skills!S3*(1+((Inputs!$B$35+(ArtifactsInput!$M$7-ArtifactsInput!$M$7)*CHOOSE(ArtifactsInput!$N$7+1,6,7.2,8.4,9.6,10.8,12))+IF(Inputs!$B$3&gt;=117,F818,0))/100)),MAX(0,Inputs!$B$44-((R795-1)*Skills!D3))))/Inputs!$B$44),IF(Inputs!$B$39="pvp",MIN((Skills!S3*(1+((Inputs!$B$35+(ArtifactsInput!$M$7-ArtifactsInput!$M$7)*CHOOSE(ArtifactsInput!$N$7+1,6,7.2,8.4,9.6,10.8,12))+IF(Inputs!$B$3&gt;=117,F818,0))/100)),15)/15,(Skills!S3*(1+((Inputs!$B$35+(ArtifactsInput!$M$7-ArtifactsInput!$M$7)*CHOOSE(ArtifactsInput!$N$7+1,6,7.2,8.4,9.6,10.8,12))+IF(Inputs!$B$3&gt;=117,F818,0))/100))/Skills!D3)),0)+IF(C796=TRUE,F796*IF(AND(Inputs!$B$39&lt;&gt;"pvp",Inputs!$B$44&gt;0),(((R796-1)*(Skills!S4*(1+((Inputs!$B$35+(ArtifactsInput!$M$7-ArtifactsInput!$M$7)*CHOOSE(ArtifactsInput!$N$7+1,6,7.2,8.4,9.6,10.8,12))+IF(Inputs!$B$3&gt;=117,F818,0))/100))+MIN((Skills!S4*(1+((Inputs!$B$35+(ArtifactsInput!$M$7-ArtifactsInput!$M$7)*CHOOSE(ArtifactsInput!$N$7+1,6,7.2,8.4,9.6,10.8,12))+IF(Inputs!$B$3&gt;=117,F818,0))/100)),MAX(0,Inputs!$B$44-((R796-1)*Skills!D4))))/Inputs!$B$44),IF(Inputs!$B$39="pvp",MIN((Skills!S4*(1+((Inputs!$B$35+(ArtifactsInput!$M$7-ArtifactsInput!$M$7)*CHOOSE(ArtifactsInput!$N$7+1,6,7.2,8.4,9.6,10.8,12))+IF(Inputs!$B$3&gt;=117,F818,0))/100)),15)/15,(Skills!S4*(1+((Inputs!$B$35+(ArtifactsInput!$M$7-ArtifactsInput!$M$7)*CHOOSE(ArtifactsInput!$N$7+1,6,7.2,8.4,9.6,10.8,12))+IF(Inputs!$B$3&gt;=117,F818,0))/100))/Skills!D4)),0)+IF(C797=TRUE,F797*IF(AND(Inputs!$B$39&lt;&gt;"pvp",Inputs!$B$44&gt;0),(((R797-1)*(Skills!S5*(1+((Inputs!$B$35+(ArtifactsInput!$M$7-ArtifactsInput!$M$7)*CHOOSE(ArtifactsInput!$N$7+1,6,7.2,8.4,9.6,10.8,12))+IF(Inputs!$B$3&gt;=117,F818,0))/100))+MIN((Skills!S5*(1+((Inputs!$B$35+(ArtifactsInput!$M$7-ArtifactsInput!$M$7)*CHOOSE(ArtifactsInput!$N$7+1,6,7.2,8.4,9.6,10.8,12))+IF(Inputs!$B$3&gt;=117,F818,0))/100)),MAX(0,Inputs!$B$44-((R797-1)*Skills!D5))))/Inputs!$B$44),IF(Inputs!$B$39="pvp",MIN((Skills!S5*(1+((Inputs!$B$35+(ArtifactsInput!$M$7-ArtifactsInput!$M$7)*CHOOSE(ArtifactsInput!$N$7+1,6,7.2,8.4,9.6,10.8,12))+IF(Inputs!$B$3&gt;=117,F818,0))/100)),15)/15,(Skills!S5*(1+((Inputs!$B$35+(ArtifactsInput!$M$7-ArtifactsInput!$M$7)*CHOOSE(ArtifactsInput!$N$7+1,6,7.2,8.4,9.6,10.8,12))+IF(Inputs!$B$3&gt;=117,F818,0))/100))/Skills!D5)),0)+IF(C803=TRUE,F803*IF(AND(Inputs!$B$39&lt;&gt;"pvp",Inputs!$B$44&gt;0),(((R803-1)*(Skills!S11*(1+((Inputs!$B$35+(ArtifactsInput!$M$7-ArtifactsInput!$M$7)*CHOOSE(ArtifactsInput!$N$7+1,6,7.2,8.4,9.6,10.8,12))+IF(Inputs!$B$3&gt;=117,F818,0))/100))+MIN((Skills!S11*(1+((Inputs!$B$35+(ArtifactsInput!$M$7-ArtifactsInput!$M$7)*CHOOSE(ArtifactsInput!$N$7+1,6,7.2,8.4,9.6,10.8,12))+IF(Inputs!$B$3&gt;=117,F818,0))/100)),MAX(0,Inputs!$B$44-((R803-1)*Skills!D11))))/Inputs!$B$44),IF(Inputs!$B$39="pvp",MIN((Skills!S11*(1+((Inputs!$B$35+(ArtifactsInput!$M$7-ArtifactsInput!$M$7)*CHOOSE(ArtifactsInput!$N$7+1,6,7.2,8.4,9.6,10.8,12))+IF(Inputs!$B$3&gt;=117,F818,0))/100)),15)/15,(Skills!S11*(1+((Inputs!$B$35+(ArtifactsInput!$M$7-ArtifactsInput!$M$7)*CHOOSE(ArtifactsInput!$N$7+1,6,7.2,8.4,9.6,10.8,12))+IF(Inputs!$B$3&gt;=117,F818,0)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806=TRUE,(1+F806*IF(AND(Inputs!$B$39&lt;&gt;"pvp",Inputs!$B$44&gt;0),(((R806-1)*(Skills!S14*(1+((Inputs!$B$35+(ArtifactsInput!$M$7-ArtifactsInput!$M$7)*CHOOSE(ArtifactsInput!$N$7+1,6,7.2,8.4,9.6,10.8,12))+IF(Inputs!$B$3&gt;=117,F818,0))/100))+MIN((Skills!S14*(1+((Inputs!$B$35+(ArtifactsInput!$M$7-ArtifactsInput!$M$7)*CHOOSE(ArtifactsInput!$N$7+1,6,7.2,8.4,9.6,10.8,12))+IF(Inputs!$B$3&gt;=117,F818,0))/100)),MAX(0,Inputs!$B$44-((R806-1)*Skills!D14))))/Inputs!$B$44),IF(Inputs!$B$39="pvp",MIN((Skills!S14*(1+((Inputs!$B$35+(ArtifactsInput!$M$7-ArtifactsInput!$M$7)*CHOOSE(ArtifactsInput!$N$7+1,6,7.2,8.4,9.6,10.8,12))+IF(Inputs!$B$3&gt;=117,F818,0))/100)),15)/15,(Skills!S14*(1+((Inputs!$B$35+(ArtifactsInput!$M$7-ArtifactsInput!$M$7)*CHOOSE(ArtifactsInput!$N$7+1,6,7.2,8.4,9.6,10.8,12))+IF(Inputs!$B$3&gt;=117,F818,0))/100))/Skills!D14))/100),1)*IF(C811=TRUE,(1+F811*IF(AND(Inputs!$B$39&lt;&gt;"pvp",Inputs!$B$44&gt;0),(((R811-1)*(Skills!S19*(1+((Inputs!$B$35+(ArtifactsInput!$M$7-ArtifactsInput!$M$7)*CHOOSE(ArtifactsInput!$N$7+1,6,7.2,8.4,9.6,10.8,12))+IF(Inputs!$B$3&gt;=117,F818,0))/100))+MIN((Skills!S19*(1+((Inputs!$B$35+(ArtifactsInput!$M$7-ArtifactsInput!$M$7)*CHOOSE(ArtifactsInput!$N$7+1,6,7.2,8.4,9.6,10.8,12))+IF(Inputs!$B$3&gt;=117,F818,0))/100)),MAX(0,Inputs!$B$44-((R811-1)*Skills!D19))))/Inputs!$B$44),IF(Inputs!$B$39="pvp",MIN((Skills!S19*(1+((Inputs!$B$35+(ArtifactsInput!$M$7-ArtifactsInput!$M$7)*CHOOSE(ArtifactsInput!$N$7+1,6,7.2,8.4,9.6,10.8,12))+IF(Inputs!$B$3&gt;=117,F818,0))/100)),15)/15,(Skills!S19*(1+((Inputs!$B$35+(ArtifactsInput!$M$7-ArtifactsInput!$M$7)*CHOOSE(ArtifactsInput!$N$7+1,6,7.2,8.4,9.6,10.8,12))+IF(Inputs!$B$3&gt;=117,F818,0))/100))/Skills!D19))/100),1)</f>
        <v/>
      </c>
    </row>
    <row r="823">
      <c r="A823" t="inlineStr">
        <is>
          <t>Monster Damage Taken Bonus % (Holy Fountain)</t>
        </is>
      </c>
      <c r="B823">
        <f>IF(Inputs!$B$3&gt;=68,20*IF(Inputs!$B$39="pvp",MIN((15*(1+((Inputs!$B$35+(ArtifactsInput!$M$7-ArtifactsInput!$M$7)*CHOOSE(ArtifactsInput!$N$7+1,6,7.2,8.4,9.6,10.8,12))+IF(Inputs!$B$3&gt;=117,F818,0))/100)),15)/15,(15*(1+((Inputs!$B$35+(ArtifactsInput!$M$7-ArtifactsInput!$M$7)*CHOOSE(ArtifactsInput!$N$7+1,6,7.2,8.4,9.6,10.8,12))+IF(Inputs!$B$3&gt;=117,F818,0))/100))/Skills!D10),0)</f>
        <v/>
      </c>
    </row>
    <row r="824">
      <c r="A824" t="inlineStr">
        <is>
          <t>Normal Monster Damage Bonus % (Holy Symbol)</t>
        </is>
      </c>
      <c r="B824">
        <f>IF(C804=TRUE,F804*IF(AND(Inputs!$B$39&lt;&gt;"pvp",Inputs!$B$44&gt;0),(((R804-1)*(Skills!S12*(1+((Inputs!$B$35+(ArtifactsInput!$M$7-ArtifactsInput!$M$7)*CHOOSE(ArtifactsInput!$N$7+1,6,7.2,8.4,9.6,10.8,12))+IF(Inputs!$B$3&gt;=117,F818,0))/100))+MIN((Skills!S12*(1+((Inputs!$B$35+(ArtifactsInput!$M$7-ArtifactsInput!$M$7)*CHOOSE(ArtifactsInput!$N$7+1,6,7.2,8.4,9.6,10.8,12))+IF(Inputs!$B$3&gt;=117,F818,0))/100)),MAX(0,Inputs!$B$44-((R804-1)*Skills!D12))))/Inputs!$B$44),IF(Inputs!$B$39="pvp",MIN((Skills!S12*(1+((Inputs!$B$35+(ArtifactsInput!$M$7-ArtifactsInput!$M$7)*CHOOSE(ArtifactsInput!$N$7+1,6,7.2,8.4,9.6,10.8,12))+IF(Inputs!$B$3&gt;=117,F818,0))/100)),15)/15,(Skills!S12*(1+((Inputs!$B$35+(ArtifactsInput!$M$7-ArtifactsInput!$M$7)*CHOOSE(ArtifactsInput!$N$7+1,6,7.2,8.4,9.6,10.8,12))+IF(Inputs!$B$3&gt;=117,F818,0))/100))/Skills!D12)),0)</f>
        <v/>
      </c>
    </row>
    <row r="825">
      <c r="A825" t="inlineStr">
        <is>
          <t>Damage % Bonus (Holy Symbol - Damage Boost)</t>
        </is>
      </c>
      <c r="B825">
        <f>Skills!O12</f>
        <v/>
      </c>
    </row>
    <row r="826">
      <c r="A826" t="inlineStr">
        <is>
          <t>Crit Damage % Bonus (Blood of the Divine)</t>
        </is>
      </c>
      <c r="B826">
        <f>4*IF(C812=TRUE,F812,0)</f>
        <v/>
      </c>
    </row>
    <row r="827">
      <c r="A827" t="inlineStr">
        <is>
          <t>Attack Speed Bonus %</t>
        </is>
      </c>
      <c r="B827">
        <f>IF(C809=TRUE,F809+(F813-Calc!F21),0)+IF(Inputs!$B$3&gt;=134,15,0)+((C820=TRUE)*F820*IF(AND(Inputs!$B$39&lt;&gt;"pvp",Inputs!$B$44&gt;0),(((R820-1)*(Skills!S28*(1+((Inputs!$B$35+(ArtifactsInput!$M$7-ArtifactsInput!$M$7)*CHOOSE(ArtifactsInput!$N$7+1,6,7.2,8.4,9.6,10.8,12))+IF(Inputs!$B$3&gt;=117,F818,0))/100))+MIN((Skills!S28*(1+((Inputs!$B$35+(ArtifactsInput!$M$7-ArtifactsInput!$M$7)*CHOOSE(ArtifactsInput!$N$7+1,6,7.2,8.4,9.6,10.8,12))+IF(Inputs!$B$3&gt;=117,F818,0))/100)),MAX(0,Inputs!$B$44-((R820-1)*Skills!D28))))/Inputs!$B$44),IF(Inputs!$B$39="pvp",MIN((Skills!S28*(1+((Inputs!$B$35+(ArtifactsInput!$M$7-ArtifactsInput!$M$7)*CHOOSE(ArtifactsInput!$N$7+1,6,7.2,8.4,9.6,10.8,12))+IF(Inputs!$B$3&gt;=117,F818,0))/100)),15)/15,(Skills!S28*(1+((Inputs!$B$35+(ArtifactsInput!$M$7-ArtifactsInput!$M$7)*CHOOSE(ArtifactsInput!$N$7+1,6,7.2,8.4,9.6,10.8,12))+IF(Inputs!$B$3&gt;=117,F818,0))/100))/Skills!D28)))</f>
        <v/>
      </c>
    </row>
    <row r="828">
      <c r="A828" t="inlineStr">
        <is>
          <t>Actions Per Second</t>
        </is>
      </c>
      <c r="B828">
        <f>1+MIN(150,150*(1-(1-Inputs!$B$12/150)*(1-B827/150)))/100</f>
        <v/>
      </c>
    </row>
    <row r="829">
      <c r="A829" t="inlineStr">
        <is>
          <t>Skill + Buff Cast Rate</t>
        </is>
      </c>
      <c r="B829">
        <f>IF(AND(Inputs!$B$39&lt;&gt;"pvp",Inputs!$B$44&gt;0),SUMPRODUCT((Skills!E2:E28=TRUE)*(C794:C820=TRUE)*R794:R820)/Inputs!$B$44,SUMPRODUCT((Skills!E2:E28=TRUE)*(C794:C820=TRUE)*Q794:Q820))</f>
        <v/>
      </c>
    </row>
    <row r="830">
      <c r="A830" t="inlineStr">
        <is>
          <t>Big Bang Casts Per Second</t>
        </is>
      </c>
      <c r="B830">
        <f>MAX(0,B828-B829)</f>
        <v/>
      </c>
    </row>
    <row r="831">
      <c r="A831" t="inlineStr">
        <is>
          <t>Defense % Bonus (Divine Protection)</t>
        </is>
      </c>
      <c r="B831">
        <f>IF(C805=TRUE,F805*IF(AND(Inputs!$B$39&lt;&gt;"pvp",Inputs!$B$44&gt;0),(((R805-1)*(Skills!S13*(1+((Inputs!$B$35+(ArtifactsInput!$M$7-ArtifactsInput!$M$7)*CHOOSE(ArtifactsInput!$N$7+1,6,7.2,8.4,9.6,10.8,12))+IF(Inputs!$B$3&gt;=117,F818,0))/100))+MIN((Skills!S13*(1+((Inputs!$B$35+(ArtifactsInput!$M$7-ArtifactsInput!$M$7)*CHOOSE(ArtifactsInput!$N$7+1,6,7.2,8.4,9.6,10.8,12))+IF(Inputs!$B$3&gt;=117,F818,0))/100)),MAX(0,Inputs!$B$44-((R805-1)*Skills!D13))))/Inputs!$B$44),IF(Inputs!$B$39="pvp",MIN((Skills!S13*(1+((Inputs!$B$35+(ArtifactsInput!$M$7-ArtifactsInput!$M$7)*CHOOSE(ArtifactsInput!$N$7+1,6,7.2,8.4,9.6,10.8,12))+IF(Inputs!$B$3&gt;=117,F818,0))/100)),15)/15,(Skills!S13*(1+((Inputs!$B$35+(ArtifactsInput!$M$7-ArtifactsInput!$M$7)*CHOOSE(ArtifactsInput!$N$7+1,6,7.2,8.4,9.6,10.8,12))+IF(Inputs!$B$3&gt;=117,F818,0))/100))/Skills!D13)),0)</f>
        <v/>
      </c>
    </row>
    <row r="832">
      <c r="A832" t="inlineStr">
        <is>
          <t>Buff-Casting Startup Delay (s, fixed-duration only)</t>
        </is>
      </c>
      <c r="B832">
        <f>IF(AND(Inputs!$B$39&lt;&gt;"pvp",Inputs!$B$44&gt;0),SUMPRODUCT((Skills!S2:S28&gt;0)*(Skills!E2:E28=TRUE)*(C794:C820=TRUE))/B828,0)</f>
        <v/>
      </c>
    </row>
    <row r="833">
      <c r="A833" t="inlineStr">
        <is>
          <t>Boss-Only Total DPS (this block's swept value)</t>
        </is>
      </c>
      <c r="B833">
        <f>SUM(S794:S820)</f>
        <v/>
      </c>
    </row>
    <row r="834">
      <c r="A834" t="inlineStr">
        <is>
          <t>Normal-Only Total DPS (this block's swept value)</t>
        </is>
      </c>
      <c r="B834">
        <f>SUM(U794:U820)</f>
        <v/>
      </c>
    </row>
    <row r="835">
      <c r="A835" s="6" t="inlineStr">
        <is>
          <t>TOTAL DPS</t>
        </is>
      </c>
      <c r="B835" s="6">
        <f>SUM(O794:O820)</f>
        <v/>
      </c>
    </row>
    <row r="837">
      <c r="A837" s="6" t="inlineStr">
        <is>
          <t>Stat: Skill Level Bonus — 1st Job</t>
        </is>
      </c>
    </row>
    <row r="838">
      <c r="A838" s="5" t="inlineStr">
        <is>
          <t>Key</t>
        </is>
      </c>
      <c r="B838" s="5" t="inlineStr">
        <is>
          <t>Name</t>
        </is>
      </c>
      <c r="C838" s="5" t="inlineStr">
        <is>
          <t>Unlocked</t>
        </is>
      </c>
      <c r="D838" s="5" t="inlineStr">
        <is>
          <t>InputLevel</t>
        </is>
      </c>
      <c r="E838" s="5" t="inlineStr">
        <is>
          <t>Factor</t>
        </is>
      </c>
      <c r="F838" s="5" t="inlineStr">
        <is>
          <t>CoefficientPercent</t>
        </is>
      </c>
      <c r="G838" s="5" t="inlineStr">
        <is>
          <t>EffectiveHits</t>
        </is>
      </c>
      <c r="H838" s="5" t="inlineStr">
        <is>
          <t>ProcProbability</t>
        </is>
      </c>
      <c r="I838" s="5" t="inlineStr">
        <is>
          <t>MapleHeroMultiplier</t>
        </is>
      </c>
      <c r="J838" s="5" t="inlineStr">
        <is>
          <t>BaseDamage</t>
        </is>
      </c>
      <c r="K838" s="5" t="inlineStr">
        <is>
          <t>BaseHitDamage</t>
        </is>
      </c>
      <c r="L838" s="5" t="inlineStr">
        <is>
          <t>NonCritAvg</t>
        </is>
      </c>
      <c r="M838" s="5" t="inlineStr">
        <is>
          <t>CritAvg</t>
        </is>
      </c>
      <c r="N838" s="5" t="inlineStr">
        <is>
          <t>ExpectedDamage(perHit)</t>
        </is>
      </c>
      <c r="O838" s="5" t="inlineStr">
        <is>
          <t>DPS</t>
        </is>
      </c>
      <c r="P838" s="5" t="inlineStr">
        <is>
          <t>% of Total</t>
        </is>
      </c>
      <c r="R838" t="inlineStr">
        <is>
          <t>helpers</t>
        </is>
      </c>
    </row>
    <row r="839">
      <c r="A839">
        <f>Skills!A2</f>
        <v/>
      </c>
      <c r="B839">
        <f>Skills!B2</f>
        <v/>
      </c>
      <c r="C839">
        <f>Inputs!$B$3&gt;=100</f>
        <v/>
      </c>
      <c r="D839" t="inlineStr"/>
      <c r="E839" t="inlineStr"/>
      <c r="F839">
        <f>T841+Skills!N2</f>
        <v/>
      </c>
      <c r="G839">
        <f>Calc!G2</f>
        <v/>
      </c>
      <c r="H839">
        <f>Calc!H2</f>
        <v/>
      </c>
      <c r="I839">
        <f>IF(Skills!T2&lt;&gt;"",1+(Skills!T2/10)*($Z$3/1000)/100,1)</f>
        <v/>
      </c>
      <c r="J839">
        <f>((Inputs!$B$6*(1+Inputs!$B$7/100))+(((Inputs!$B$13*(1+Inputs!$B$14/100))-(Inputs!$B$13*(1+Inputs!$B$14/100)))+0.25*(Inputs!$B$15-Inputs!$B$15))*(1+Inputs!$B$7/100))*(F839/100)</f>
        <v/>
      </c>
      <c r="K839">
        <f>J839*(1+(((Inputs!$B$13+IF(Inputs!$B$3&gt;=35,(10*INDEX(FactorTable!$B$2:$Y$301,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2="TRIUMPH_FEATHER",IF(C853=TRUE,F853,0),0)/100)*(1+IF(C864=TRUE,F864,0)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839)</f>
        <v/>
      </c>
      <c r="L839">
        <f>K839*(MIN(Inputs!$B$23+(F859-Calc!F22),(Inputs!$B$24+IF(ArtifactsInput!$M$15,CHOOSE(ArtifactsInput!$N$15+1,25,30,35,40,45,50)/100*(Inputs!$B$12-Inputs!$B$12),0)))/100+(Inputs!$B$24+IF(ArtifactsInput!$M$15,CHOOSE(ArtifactsInput!$N$15+1,25,30,35,40,45,50)/100*(Inputs!$B$12-Inputs!$B$12),0))/100)/2</f>
        <v/>
      </c>
      <c r="M839">
        <f>L839*(1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39">
        <f>L839*(1-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(1-Summary!$B$11)*S839+Summary!$B$11*U839</f>
        <v/>
      </c>
      <c r="P839">
        <f>IF(B880=0,0,O839/B880)</f>
        <v/>
      </c>
      <c r="Q839">
        <f>IFERROR(1/(IF(Inputs!$B$39="pvp",15,MAX(0.1,Skills!D2-IF(Skills!E2=TRUE,Inputs!$B$33,0)))*(1-IF(AND(ArtifactsInput!$M$27,Inputs!$B$4="Chapter Hunt"),CHOOSE(ArtifactsInput!$N$27+1,20,24,28,32,36,40),0)/100)),0)</f>
        <v/>
      </c>
      <c r="R839" t="n">
        <v>0</v>
      </c>
      <c r="S839">
        <f>IF(C839,(Skills!F2*N839*B875)*IF(Inputs!$B$39="pvp",1,1+(Inputs!$B$21+Skills!O2+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839*(1-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39">
        <f>MAX(0,(Inputs!$B$3-100)*3)+Inputs!$B$29+Inputs!$B$30</f>
        <v/>
      </c>
      <c r="U839">
        <f>IF(C839,(Skills!F2*N839*B875)*IF(Inputs!$B$39="pvp",1,(1+(Inputs!$B$22+Skills!P2+B869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Skills!A3</f>
        <v/>
      </c>
      <c r="B840">
        <f>Skills!B3</f>
        <v/>
      </c>
      <c r="C840">
        <f>Inputs!$B$3&gt;=15</f>
        <v/>
      </c>
      <c r="D840">
        <f>IF(Skills!C3=1,60+(Inputs!$B$26+1)+Inputs!$B$30,IF(Skills!C3=2,90+Inputs!$B$27+Inputs!$B$30,IF(Skills!C3=3,120+Inputs!$B$28+Inputs!$B$30,MAX(0,(Inputs!$B$3-100)*3)+Inputs!$B$29+Inputs!$B$30)))</f>
        <v/>
      </c>
      <c r="E840">
        <f>INDEX(FactorTable!$B$2:$Y$301, MATCH(ROUND(MIN(300,MAX(1,D840)),0), FactorTable!$A$2:$A$301,0), Skills!L3+1)</f>
        <v/>
      </c>
      <c r="F840">
        <f>IF(Skills!M3=TRUE,(Skills!K3/10)*(E840/1000),Skills!K3/10)+Skills!N3</f>
        <v/>
      </c>
      <c r="G840">
        <f>Calc!G3</f>
        <v/>
      </c>
      <c r="H840">
        <f>Calc!H3</f>
        <v/>
      </c>
      <c r="I840">
        <f>IF(Skills!T3&lt;&gt;"",1+(Skills!T3/10)*($Z$3/1000)/100,1)</f>
        <v/>
      </c>
      <c r="J840" t="inlineStr"/>
      <c r="K840" t="inlineStr"/>
      <c r="L840" t="inlineStr"/>
      <c r="M840" t="inlineStr"/>
      <c r="N840" t="inlineStr"/>
      <c r="O840">
        <f>(1-Summary!$B$11)*S840+Summary!$B$11*U840</f>
        <v/>
      </c>
      <c r="P840">
        <f>IF(B880=0,0,O840/B880)</f>
        <v/>
      </c>
      <c r="Q840">
        <f>IFERROR(1/(IF(Inputs!$B$39="pvp",15,MAX(0.1,Skills!D3-IF(Skills!E3=TRUE,Inputs!$B$33,0)))*(1-IF(AND(ArtifactsInput!$M$27,Inputs!$B$4="Chapter Hunt"),CHOOSE(ArtifactsInput!$N$27+1,20,24,28,32,36,40),0)/100)),0)</f>
        <v/>
      </c>
      <c r="R840">
        <f>IF(AND(Inputs!$B$39&lt;&gt;"pvp",Inputs!$B$44&gt;0),IF(Inputs!$B$44&lt;=0,0,(INT(Inputs!$B$44/(IF(Inputs!$B$39="pvp",15,MAX(0.1,Skills!D3-IF(Skills!E3=TRUE,Inputs!$B$33,0)))*(1-IF(AND(ArtifactsInput!$M$27,Inputs!$B$4="Chapter Hunt"),CHOOSE(ArtifactsInput!$N$27+1,20,24,28,32,36,40),0)/100)))+1)),0)</f>
        <v/>
      </c>
      <c r="S840" t="n">
        <v>0</v>
      </c>
      <c r="T840">
        <f>INDEX(FactorTable!$B$2:$Y$301, MATCH(ROUND(MIN(300,MAX(1,T839)),0), FactorTable!$A$2:$A$301,0), 22)</f>
        <v/>
      </c>
      <c r="U840" t="n">
        <v>0</v>
      </c>
    </row>
    <row r="841">
      <c r="A841">
        <f>Skills!A4</f>
        <v/>
      </c>
      <c r="B841">
        <f>Skills!B4</f>
        <v/>
      </c>
      <c r="C841">
        <f>Inputs!$B$3&gt;=38</f>
        <v/>
      </c>
      <c r="D841">
        <f>IF(Skills!C4=1,60+(Inputs!$B$26+1)+Inputs!$B$30,IF(Skills!C4=2,90+Inputs!$B$27+Inputs!$B$30,IF(Skills!C4=3,120+Inputs!$B$28+Inputs!$B$30,MAX(0,(Inputs!$B$3-100)*3)+Inputs!$B$29+Inputs!$B$30)))</f>
        <v/>
      </c>
      <c r="E841">
        <f>INDEX(FactorTable!$B$2:$Y$301, MATCH(ROUND(MIN(300,MAX(1,D841)),0), FactorTable!$A$2:$A$301,0), Skills!L4+1)</f>
        <v/>
      </c>
      <c r="F841">
        <f>IF(Skills!M4=TRUE,(Skills!K4/10)*(E841/1000),Skills!K4/10)+Skills!N4</f>
        <v/>
      </c>
      <c r="G841">
        <f>Calc!G4</f>
        <v/>
      </c>
      <c r="H841">
        <f>Calc!H4</f>
        <v/>
      </c>
      <c r="I841">
        <f>IF(Skills!T4&lt;&gt;"",1+(Skills!T4/10)*($Z$3/1000)/100,1)</f>
        <v/>
      </c>
      <c r="J841" t="inlineStr"/>
      <c r="K841" t="inlineStr"/>
      <c r="L841" t="inlineStr"/>
      <c r="M841" t="inlineStr"/>
      <c r="N841" t="inlineStr"/>
      <c r="O841">
        <f>(1-Summary!$B$11)*S841+Summary!$B$11*U841</f>
        <v/>
      </c>
      <c r="P841">
        <f>IF(B880=0,0,O841/B880)</f>
        <v/>
      </c>
      <c r="Q841">
        <f>IFERROR(1/(IF(Inputs!$B$39="pvp",15,MAX(0.1,Skills!D4-IF(Skills!E4=TRUE,Inputs!$B$33,0)))*(1-IF(AND(ArtifactsInput!$M$27,Inputs!$B$4="Chapter Hunt"),CHOOSE(ArtifactsInput!$N$27+1,20,24,28,32,36,40),0)/100)),0)</f>
        <v/>
      </c>
      <c r="R841">
        <f>IF(AND(Inputs!$B$39&lt;&gt;"pvp",Inputs!$B$44&gt;0),IF(Inputs!$B$44&lt;=0,0,(INT(Inputs!$B$44/(IF(Inputs!$B$39="pvp",15,MAX(0.1,Skills!D4-IF(Skills!E4=TRUE,Inputs!$B$33,0)))*(1-IF(AND(ArtifactsInput!$M$27,Inputs!$B$4="Chapter Hunt"),CHOOSE(ArtifactsInput!$N$27+1,20,24,28,32,36,40),0)/100)))+1)),0)</f>
        <v/>
      </c>
      <c r="S841" t="n">
        <v>0</v>
      </c>
      <c r="T841">
        <f>290*T840/1000</f>
        <v/>
      </c>
      <c r="U841" t="n">
        <v>0</v>
      </c>
    </row>
    <row r="842">
      <c r="A842">
        <f>Skills!A5</f>
        <v/>
      </c>
      <c r="B842">
        <f>Skills!B5</f>
        <v/>
      </c>
      <c r="C842">
        <f>Inputs!$B$3&gt;=40</f>
        <v/>
      </c>
      <c r="D842">
        <f>IF(Skills!C5=1,60+(Inputs!$B$26+1)+Inputs!$B$30,IF(Skills!C5=2,90+Inputs!$B$27+Inputs!$B$30,IF(Skills!C5=3,120+Inputs!$B$28+Inputs!$B$30,MAX(0,(Inputs!$B$3-100)*3)+Inputs!$B$29+Inputs!$B$30)))</f>
        <v/>
      </c>
      <c r="E842">
        <f>INDEX(FactorTable!$B$2:$Y$301, MATCH(ROUND(MIN(300,MAX(1,D842)),0), FactorTable!$A$2:$A$301,0), Skills!L5+1)</f>
        <v/>
      </c>
      <c r="F842">
        <f>IF(Skills!M5=TRUE,(Skills!K5/10)*(E842/1000),Skills!K5/10)+Skills!N5</f>
        <v/>
      </c>
      <c r="G842">
        <f>Calc!G5</f>
        <v/>
      </c>
      <c r="H842">
        <f>Calc!H5</f>
        <v/>
      </c>
      <c r="I842">
        <f>IF(Skills!T5&lt;&gt;"",1+(Skills!T5/10)*($Z$3/1000)/100,1)</f>
        <v/>
      </c>
      <c r="J842" t="inlineStr"/>
      <c r="K842" t="inlineStr"/>
      <c r="L842" t="inlineStr"/>
      <c r="M842" t="inlineStr"/>
      <c r="N842" t="inlineStr"/>
      <c r="O842">
        <f>(1-Summary!$B$11)*S842+Summary!$B$11*U842</f>
        <v/>
      </c>
      <c r="P842">
        <f>IF(B880=0,0,O842/B880)</f>
        <v/>
      </c>
      <c r="Q842">
        <f>IFERROR(1/(IF(Inputs!$B$39="pvp",15,MAX(0.1,Skills!D5-IF(Skills!E5=TRUE,Inputs!$B$33,0)))*(1-IF(AND(ArtifactsInput!$M$27,Inputs!$B$4="Chapter Hunt"),CHOOSE(ArtifactsInput!$N$27+1,20,24,28,32,36,40),0)/100)),0)</f>
        <v/>
      </c>
      <c r="R842">
        <f>IF(AND(Inputs!$B$39&lt;&gt;"pvp",Inputs!$B$44&gt;0),IF(Inputs!$B$44&lt;=0,0,(INT(Inputs!$B$44/(IF(Inputs!$B$39="pvp",15,MAX(0.1,Skills!D5-IF(Skills!E5=TRUE,Inputs!$B$33,0)))*(1-IF(AND(ArtifactsInput!$M$27,Inputs!$B$4="Chapter Hunt"),CHOOSE(ArtifactsInput!$N$27+1,20,24,28,32,36,40),0)/100)))+1)),0)</f>
        <v/>
      </c>
      <c r="S842" t="n">
        <v>0</v>
      </c>
      <c r="U842" t="n">
        <v>0</v>
      </c>
    </row>
    <row r="843">
      <c r="A843">
        <f>Skills!A6</f>
        <v/>
      </c>
      <c r="B843">
        <f>Skills!B6</f>
        <v/>
      </c>
      <c r="C843">
        <f>Inputs!$B$3&gt;=103</f>
        <v/>
      </c>
      <c r="D843">
        <f>IF(Skills!C6=1,60+(Inputs!$B$26+1)+Inputs!$B$30,IF(Skills!C6=2,90+Inputs!$B$27+Inputs!$B$30,IF(Skills!C6=3,120+Inputs!$B$28+Inputs!$B$30,MAX(0,(Inputs!$B$3-100)*3)+Inputs!$B$29+Inputs!$B$30)))</f>
        <v/>
      </c>
      <c r="E843">
        <f>INDEX(FactorTable!$B$2:$Y$301, MATCH(ROUND(MIN(300,MAX(1,D843)),0), FactorTable!$A$2:$A$301,0), Skills!L6+1)</f>
        <v/>
      </c>
      <c r="F843">
        <f>IF(Skills!M6=TRUE,(Skills!K6/10)*(E843/1000),Skills!K6/10)+Skills!N6</f>
        <v/>
      </c>
      <c r="G843">
        <f>Calc!G6</f>
        <v/>
      </c>
      <c r="H843">
        <f>Calc!H6</f>
        <v/>
      </c>
      <c r="I843">
        <f>IF(Skills!T6&lt;&gt;"",1+(Skills!T6/10)*($Z$3/1000)/100,1)</f>
        <v/>
      </c>
      <c r="J843">
        <f>((Inputs!$B$6*(1+Inputs!$B$7/100))+(((Inputs!$B$13*(1+Inputs!$B$14/100))-(Inputs!$B$13*(1+Inputs!$B$14/100)))+0.25*(Inputs!$B$15-Inputs!$B$15))*(1+Inputs!$B$7/100))*(F843/100)</f>
        <v/>
      </c>
      <c r="K843">
        <f>J843*(1+(((Inputs!$B$13+IF(Inputs!$B$3&gt;=35,(10*INDEX(FactorTable!$B$2:$Y$301,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6="TRIUMPH_FEATHER",IF(C853=TRUE,F853,0),0)/100)*(1+IF(C864=TRUE,F864,0)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843)</f>
        <v/>
      </c>
      <c r="L843">
        <f>K843*(MIN(Inputs!$B$23+(F859-Calc!F22),(Inputs!$B$24+IF(ArtifactsInput!$M$15,CHOOSE(ArtifactsInput!$N$15+1,25,30,35,40,45,50)/100*(Inputs!$B$12-Inputs!$B$12),0)))/100+(Inputs!$B$24+IF(ArtifactsInput!$M$15,CHOOSE(ArtifactsInput!$N$15+1,25,30,35,40,45,50)/100*(Inputs!$B$12-Inputs!$B$12),0))/100)/2</f>
        <v/>
      </c>
      <c r="M843">
        <f>L843*(1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3">
        <f>L843*(1-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843*(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3">
        <f>(1-Summary!$B$11)*S843+Summary!$B$11*U843</f>
        <v/>
      </c>
      <c r="P843">
        <f>IF(B880=0,0,O843/B880)</f>
        <v/>
      </c>
      <c r="Q843">
        <f>IFERROR(1/(IF(Inputs!$B$39="pvp",15,MAX(0.1,Skills!D6-IF(Skills!E6=TRUE,Inputs!$B$33,0)))*(1-IF(AND(ArtifactsInput!$M$27,Inputs!$B$4="Chapter Hunt"),CHOOSE(ArtifactsInput!$N$27+1,20,24,28,32,36,40),0)/100)),0)</f>
        <v/>
      </c>
      <c r="R843">
        <f>IF(AND(Inputs!$B$39&lt;&gt;"pvp",Inputs!$B$44&gt;0),IF(MAX(0,Inputs!$B$44-B877)&lt;=0,0,(INT(MAX(0,Inputs!$B$44-B877)/(IF(Inputs!$B$39="pvp",15,MAX(0.1,Skills!D6-IF(Skills!E6=TRUE,Inputs!$B$33,0)))*(1-IF(AND(ArtifactsInput!$M$27,Inputs!$B$4="Chapter Hunt"),CHOOSE(ArtifactsInput!$N$27+1,20,24,28,32,36,40),0)/100)))+1)),0)</f>
        <v/>
      </c>
      <c r="S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$21+Skills!O6+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843*(1-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843*(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843*(1-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843*(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$22+Skills!P6+B869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4">
      <c r="A844">
        <f>Skills!A7</f>
        <v/>
      </c>
      <c r="B844">
        <f>Skills!B7</f>
        <v/>
      </c>
      <c r="C844">
        <f>Inputs!$B$3&gt;=122</f>
        <v/>
      </c>
      <c r="D844">
        <f>IF(Skills!C7=1,60+(Inputs!$B$26+1)+Inputs!$B$30,IF(Skills!C7=2,90+Inputs!$B$27+Inputs!$B$30,IF(Skills!C7=3,120+Inputs!$B$28+Inputs!$B$30,MAX(0,(Inputs!$B$3-100)*3)+Inputs!$B$29+Inputs!$B$30)))</f>
        <v/>
      </c>
      <c r="E844">
        <f>INDEX(FactorTable!$B$2:$Y$301, MATCH(ROUND(MIN(300,MAX(1,D844)),0), FactorTable!$A$2:$A$301,0), Skills!L7+1)</f>
        <v/>
      </c>
      <c r="F844">
        <f>IF(Skills!M7=TRUE,(Skills!K7/10)*(E844/1000),Skills!K7/10)+Skills!N7</f>
        <v/>
      </c>
      <c r="G844">
        <f>Calc!G7</f>
        <v/>
      </c>
      <c r="H844">
        <f>Calc!H7</f>
        <v/>
      </c>
      <c r="I844">
        <f>IF(Skills!T7&lt;&gt;"",1+(Skills!T7/10)*($Z$3/1000)/100,1)</f>
        <v/>
      </c>
      <c r="J844">
        <f>((Inputs!$B$6*(1+Inputs!$B$7/100))+(((Inputs!$B$13*(1+Inputs!$B$14/100))-(Inputs!$B$13*(1+Inputs!$B$14/100)))+0.25*(Inputs!$B$15-Inputs!$B$15))*(1+Inputs!$B$7/100))*(F844/100)</f>
        <v/>
      </c>
      <c r="K844">
        <f>J844*(1+(((Inputs!$B$13+IF(Inputs!$B$3&gt;=35,(10*INDEX(FactorTable!$B$2:$Y$301,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7="TRIUMPH_FEATHER",IF(C853=TRUE,F853,0),0)/100)*(1+IF(C864=TRUE,F864,0)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844)</f>
        <v/>
      </c>
      <c r="L844">
        <f>K844*(MIN(Inputs!$B$23+(F859-Calc!F22),(Inputs!$B$24+IF(ArtifactsInput!$M$15,CHOOSE(ArtifactsInput!$N$15+1,25,30,35,40,45,50)/100*(Inputs!$B$12-Inputs!$B$12),0)))/100+(Inputs!$B$24+IF(ArtifactsInput!$M$15,CHOOSE(ArtifactsInput!$N$15+1,25,30,35,40,45,50)/100*(Inputs!$B$12-Inputs!$B$12),0))/100)/2</f>
        <v/>
      </c>
      <c r="M844">
        <f>L844*(1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4">
        <f>L844*(1-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844*(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4">
        <f>(1-Summary!$B$11)*S844+Summary!$B$11*U844</f>
        <v/>
      </c>
      <c r="P844">
        <f>IF(B880=0,0,O844/B880)</f>
        <v/>
      </c>
      <c r="Q844">
        <f>IFERROR(1/(IF(Inputs!$B$39="pvp",15,MAX(0.1,Skills!D7-IF(Skills!E6=TRUE,Inputs!$B$33,0)))*(1-IF(AND(ArtifactsInput!$M$27,Inputs!$B$4="Chapter Hunt"),CHOOSE(ArtifactsInput!$N$27+1,20,24,28,32,36,40),0)/100)),0)</f>
        <v/>
      </c>
      <c r="R844">
        <f>IF(AND(Inputs!$B$39&lt;&gt;"pvp",Inputs!$B$44&gt;0),IF(MAX(0,Inputs!$B$44-B877)&lt;=0,0,(INT(MAX(0,Inputs!$B$44-B877)/(IF(Inputs!$B$39="pvp",15,MAX(0.1,Skills!D7-IF(Skills!E6=TRUE,Inputs!$B$33,0)))*(1-IF(AND(ArtifactsInput!$M$27,Inputs!$B$4="Chapter Hunt"),CHOOSE(ArtifactsInput!$N$27+1,20,24,28,32,36,40),0)/100)))+1)),0)</f>
        <v/>
      </c>
      <c r="S844">
        <f>IF(C844,H844*N844*IF(AND(Inputs!$B$39&lt;&gt;"pvp",Inputs!$B$44&gt;0),((Skills!F7*((R844-1)*IF(Skills!G7&gt;0,Skills!H7/Skills!G7,1)+IF(Skills!G7&gt;0,MIN(Skills!H7,MAX(0,MAX(0,Inputs!$B$44-B877)-((R844-1)*(IF(Inputs!$B$39="pvp",15,MAX(0.1,Skills!D7-IF(Skills!E6=TRUE,Inputs!$B$33,0)))*(1-IF(AND(ArtifactsInput!$M$27,Inputs!$B$4="Chapter Hunt"),CHOOSE(ArtifactsInput!$N$27+1,20,24,28,32,36,40),0)/100)))))/Skills!G7,1)))/Inputs!$B$44),G844*Q844)*IF(Inputs!$B$39="pvp",1,1+(Inputs!$B$21+Skills!O7+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844*(1-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844*(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844*(1-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844*(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4" t="n">
        <v>0</v>
      </c>
    </row>
    <row r="845">
      <c r="A845">
        <f>Skills!A8</f>
        <v/>
      </c>
      <c r="B845">
        <f>Skills!B8</f>
        <v/>
      </c>
      <c r="C845">
        <f>Inputs!$B$3&gt;=105</f>
        <v/>
      </c>
      <c r="D845">
        <f>IF(Skills!C8=1,60+(Inputs!$B$26+1)+Inputs!$B$30,IF(Skills!C8=2,90+Inputs!$B$27+Inputs!$B$30,IF(Skills!C8=3,120+Inputs!$B$28+Inputs!$B$30,MAX(0,(Inputs!$B$3-100)*3)+Inputs!$B$29+Inputs!$B$30)))</f>
        <v/>
      </c>
      <c r="E845">
        <f>INDEX(FactorTable!$B$2:$Y$301, MATCH(ROUND(MIN(300,MAX(1,D845)),0), FactorTable!$A$2:$A$301,0), Skills!L8+1)</f>
        <v/>
      </c>
      <c r="F845">
        <f>IF(Skills!M8=TRUE,(Skills!K8/10)*(E845/1000),Skills!K8/10)+Skills!N8</f>
        <v/>
      </c>
      <c r="G845">
        <f>Calc!G8</f>
        <v/>
      </c>
      <c r="H845">
        <f>Calc!H8</f>
        <v/>
      </c>
      <c r="I845">
        <f>IF(Skills!T8&lt;&gt;"",1+(Skills!T8/10)*($Z$3/1000)/100,1)</f>
        <v/>
      </c>
      <c r="J845">
        <f>((Inputs!$B$6*(1+Inputs!$B$7/100))+(((Inputs!$B$13*(1+Inputs!$B$14/100))-(Inputs!$B$13*(1+Inputs!$B$14/100)))+0.25*(Inputs!$B$15-Inputs!$B$15))*(1+Inputs!$B$7/100))*(F845/100)</f>
        <v/>
      </c>
      <c r="K845">
        <f>J845*(1+(((Inputs!$B$13+IF(Inputs!$B$3&gt;=35,(10*INDEX(FactorTable!$B$2:$Y$301,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8="TRIUMPH_FEATHER",IF(C853=TRUE,F853,0),0)/100)*(1+IF(C864=TRUE,F864,0)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845)</f>
        <v/>
      </c>
      <c r="L845">
        <f>K845*(MIN(Inputs!$B$23+(F859-Calc!F22),(Inputs!$B$24+IF(ArtifactsInput!$M$15,CHOOSE(ArtifactsInput!$N$15+1,25,30,35,40,45,50)/100*(Inputs!$B$12-Inputs!$B$12),0)))/100+(Inputs!$B$24+IF(ArtifactsInput!$M$15,CHOOSE(ArtifactsInput!$N$15+1,25,30,35,40,45,50)/100*(Inputs!$B$12-Inputs!$B$12),0))/100)/2</f>
        <v/>
      </c>
      <c r="M845">
        <f>L845*(1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5">
        <f>L845*(1-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845*(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5">
        <f>(1-Summary!$B$11)*S845+Summary!$B$11*U845</f>
        <v/>
      </c>
      <c r="P845">
        <f>IF(B880=0,0,O845/B880)</f>
        <v/>
      </c>
      <c r="Q845">
        <f>IFERROR(1/(IF(Inputs!$B$39="pvp",15,MAX(0.1,Skills!D8-IF(Skills!E8=TRUE,Inputs!$B$33,0)))*(1-IF(AND(ArtifactsInput!$M$27,Inputs!$B$4="Chapter Hunt"),CHOOSE(ArtifactsInput!$N$27+1,20,24,28,32,36,40),0)/100)),0)</f>
        <v/>
      </c>
      <c r="R845">
        <f>IF(AND(Inputs!$B$39&lt;&gt;"pvp",Inputs!$B$44&gt;0),IF(MAX(0,Inputs!$B$44-B877)&lt;=0,0,(INT(MAX(0,Inputs!$B$44-B877)/(IF(Inputs!$B$39="pvp",15,MAX(0.1,Skills!D8-IF(Skills!E8=TRUE,Inputs!$B$33,0)))*(1-IF(AND(ArtifactsInput!$M$27,Inputs!$B$4="Chapter Hunt"),CHOOSE(ArtifactsInput!$N$27+1,20,24,28,32,36,40),0)/100)))+1)),0)</f>
        <v/>
      </c>
      <c r="S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$21+Skills!O8+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845*(1-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845*(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845*(1-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845*(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$22+Skills!P8+B869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6">
      <c r="A846">
        <f>Skills!A9</f>
        <v/>
      </c>
      <c r="B846">
        <f>Skills!B9</f>
        <v/>
      </c>
      <c r="C846">
        <f>Inputs!$B$3&gt;=115</f>
        <v/>
      </c>
      <c r="D846">
        <f>IF(Skills!C9=1,60+(Inputs!$B$26+1)+Inputs!$B$30,IF(Skills!C9=2,90+Inputs!$B$27+Inputs!$B$30,IF(Skills!C9=3,120+Inputs!$B$28+Inputs!$B$30,MAX(0,(Inputs!$B$3-100)*3)+Inputs!$B$29+Inputs!$B$30)))</f>
        <v/>
      </c>
      <c r="E846">
        <f>INDEX(FactorTable!$B$2:$Y$301, MATCH(ROUND(MIN(300,MAX(1,D846)),0), FactorTable!$A$2:$A$301,0), Skills!L9+1)</f>
        <v/>
      </c>
      <c r="F846">
        <f>IF(Skills!M9=TRUE,(Skills!K9/10)*(E846/1000),Skills!K9/10)+Skills!N9</f>
        <v/>
      </c>
      <c r="G846">
        <f>Calc!G9</f>
        <v/>
      </c>
      <c r="H846">
        <f>Calc!H9</f>
        <v/>
      </c>
      <c r="I846">
        <f>IF(Skills!T9&lt;&gt;"",1+(Skills!T9/10)*($Z$3/1000)/100,1)</f>
        <v/>
      </c>
      <c r="J846">
        <f>((Inputs!$B$6*(1+Inputs!$B$7/100))+(((Inputs!$B$13*(1+Inputs!$B$14/100))-(Inputs!$B$13*(1+Inputs!$B$14/100)))+0.25*(Inputs!$B$15-Inputs!$B$15))*(1+Inputs!$B$7/100))*(F846/100)</f>
        <v/>
      </c>
      <c r="K846">
        <f>J846*(1+(((Inputs!$B$13+IF(Inputs!$B$3&gt;=35,(10*INDEX(FactorTable!$B$2:$Y$301,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9="TRIUMPH_FEATHER",IF(C853=TRUE,F853,0),0)/100)*(1+IF(C864=TRUE,F864,0)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846)</f>
        <v/>
      </c>
      <c r="L846">
        <f>K846*(MIN(Inputs!$B$23+(F859-Calc!F22),(Inputs!$B$24+IF(ArtifactsInput!$M$15,CHOOSE(ArtifactsInput!$N$15+1,25,30,35,40,45,50)/100*(Inputs!$B$12-Inputs!$B$12),0)))/100+(Inputs!$B$24+IF(ArtifactsInput!$M$15,CHOOSE(ArtifactsInput!$N$15+1,25,30,35,40,45,50)/100*(Inputs!$B$12-Inputs!$B$12),0))/100)/2</f>
        <v/>
      </c>
      <c r="M846">
        <f>L846*(1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6">
        <f>L846*(1-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846*(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6">
        <f>(1-Summary!$B$11)*S846+Summary!$B$11*U846</f>
        <v/>
      </c>
      <c r="P846">
        <f>IF(B880=0,0,O846/B880)</f>
        <v/>
      </c>
      <c r="Q846">
        <f>IFERROR(1/(IF(Inputs!$B$39="pvp",15,MAX(0.1,Skills!D9-IF(Skills!E9=TRUE,Inputs!$B$33,0)))*(1-IF(AND(ArtifactsInput!$M$27,Inputs!$B$4="Chapter Hunt"),CHOOSE(ArtifactsInput!$N$27+1,20,24,28,32,36,40),0)/100)),0)</f>
        <v/>
      </c>
      <c r="R846">
        <f>IF(AND(Inputs!$B$39&lt;&gt;"pvp",Inputs!$B$44&gt;0),IF(MAX(0,Inputs!$B$44-B877)&lt;=0,0,(INT(MAX(0,Inputs!$B$44-B877)/(IF(Inputs!$B$39="pvp",15,MAX(0.1,Skills!D9-IF(Skills!E9=TRUE,Inputs!$B$33,0)))*(1-IF(AND(ArtifactsInput!$M$27,Inputs!$B$4="Chapter Hunt"),CHOOSE(ArtifactsInput!$N$27+1,20,24,28,32,36,40),0)/100)))+1)),0)</f>
        <v/>
      </c>
      <c r="S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$21+Skills!O9+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846*(1-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846*(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846*(1-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846*(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$22+Skills!P9+B869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7">
      <c r="A847">
        <f>Skills!A10</f>
        <v/>
      </c>
      <c r="B847">
        <f>Skills!B10</f>
        <v/>
      </c>
      <c r="C847">
        <f>Inputs!$B$3&gt;=66</f>
        <v/>
      </c>
      <c r="D847">
        <f>IF(Skills!C10=1,60+(Inputs!$B$26+1)+Inputs!$B$30,IF(Skills!C10=2,90+Inputs!$B$27+Inputs!$B$30,IF(Skills!C10=3,120+Inputs!$B$28+Inputs!$B$30,MAX(0,(Inputs!$B$3-100)*3)+Inputs!$B$29+Inputs!$B$30)))</f>
        <v/>
      </c>
      <c r="E847">
        <f>INDEX(FactorTable!$B$2:$Y$301, MATCH(ROUND(MIN(300,MAX(1,D847)),0), FactorTable!$A$2:$A$301,0), Skills!L10+1)</f>
        <v/>
      </c>
      <c r="F847" t="n">
        <v>0</v>
      </c>
      <c r="G847">
        <f>Calc!G10</f>
        <v/>
      </c>
      <c r="H847">
        <f>Calc!H10</f>
        <v/>
      </c>
      <c r="I847">
        <f>IF(Skills!T10&lt;&gt;"",1+(Skills!T10/10)*($Z$3/1000)/100,1)</f>
        <v/>
      </c>
      <c r="J847" t="inlineStr"/>
      <c r="K847" t="inlineStr"/>
      <c r="L847" t="inlineStr"/>
      <c r="M847" t="inlineStr"/>
      <c r="N847" t="inlineStr"/>
      <c r="O847">
        <f>(1-Summary!$B$11)*S847+Summary!$B$11*U847</f>
        <v/>
      </c>
      <c r="P847">
        <f>IF(B880=0,0,O847/B880)</f>
        <v/>
      </c>
      <c r="Q847">
        <f>IFERROR(1/(IF(Inputs!$B$39="pvp",15,MAX(0.1,Skills!D10-IF(Skills!E10=TRUE,Inputs!$B$33,0)))*(1-IF(AND(ArtifactsInput!$M$27,Inputs!$B$4="Chapter Hunt"),CHOOSE(ArtifactsInput!$N$27+1,20,24,28,32,36,40),0)/100)),0)</f>
        <v/>
      </c>
      <c r="R847">
        <f>IF(AND(Inputs!$B$39&lt;&gt;"pvp",Inputs!$B$44&gt;0),IF(MAX(0,Inputs!$B$44-B877)&lt;=0,0,(INT(MAX(0,Inputs!$B$44-B877)/(IF(Inputs!$B$39="pvp",15,MAX(0.1,Skills!D10-IF(Skills!E10=TRUE,Inputs!$B$33,0)))*(1-IF(AND(ArtifactsInput!$M$27,Inputs!$B$4="Chapter Hunt"),CHOOSE(ArtifactsInput!$N$27+1,20,24,28,32,36,40),0)/100)))+1)),0)</f>
        <v/>
      </c>
      <c r="S847" t="n">
        <v>0</v>
      </c>
      <c r="U847" t="n">
        <v>0</v>
      </c>
    </row>
    <row r="848">
      <c r="A848">
        <f>Skills!A11</f>
        <v/>
      </c>
      <c r="B848">
        <f>Skills!B11</f>
        <v/>
      </c>
      <c r="C848">
        <f>Inputs!$B$3&gt;=69</f>
        <v/>
      </c>
      <c r="D848">
        <f>IF(Skills!C11=1,60+(Inputs!$B$26+1)+Inputs!$B$30,IF(Skills!C11=2,90+Inputs!$B$27+Inputs!$B$30,IF(Skills!C11=3,120+Inputs!$B$28+Inputs!$B$30,MAX(0,(Inputs!$B$3-100)*3)+Inputs!$B$29+Inputs!$B$30)))</f>
        <v/>
      </c>
      <c r="E848">
        <f>INDEX(FactorTable!$B$2:$Y$301, MATCH(ROUND(MIN(300,MAX(1,D848)),0), FactorTable!$A$2:$A$301,0), Skills!L11+1)</f>
        <v/>
      </c>
      <c r="F848">
        <f>IF(Skills!M11=TRUE,(Skills!K11/10)*(E848/1000),Skills!K11/10)+Skills!N11</f>
        <v/>
      </c>
      <c r="G848">
        <f>Calc!G11</f>
        <v/>
      </c>
      <c r="H848">
        <f>Calc!H11</f>
        <v/>
      </c>
      <c r="I848">
        <f>IF(Skills!T11&lt;&gt;"",1+(Skills!T11/10)*($Z$3/1000)/100,1)</f>
        <v/>
      </c>
      <c r="J848" t="inlineStr"/>
      <c r="K848" t="inlineStr"/>
      <c r="L848" t="inlineStr"/>
      <c r="M848" t="inlineStr"/>
      <c r="N848" t="inlineStr"/>
      <c r="O848">
        <f>(1-Summary!$B$11)*S848+Summary!$B$11*U848</f>
        <v/>
      </c>
      <c r="P848">
        <f>IF(B880=0,0,O848/B880)</f>
        <v/>
      </c>
      <c r="Q848">
        <f>IFERROR(1/(IF(Inputs!$B$39="pvp",15,MAX(0.1,Skills!D11-IF(Skills!E11=TRUE,Inputs!$B$33,0)))*(1-IF(AND(ArtifactsInput!$M$27,Inputs!$B$4="Chapter Hunt"),CHOOSE(ArtifactsInput!$N$27+1,20,24,28,32,36,40),0)/100)),0)</f>
        <v/>
      </c>
      <c r="R848">
        <f>IF(AND(Inputs!$B$39&lt;&gt;"pvp",Inputs!$B$44&gt;0),IF(Inputs!$B$44&lt;=0,0,(INT(Inputs!$B$44/(IF(Inputs!$B$39="pvp",15,MAX(0.1,Skills!D11-IF(Skills!E11=TRUE,Inputs!$B$33,0)))*(1-IF(AND(ArtifactsInput!$M$27,Inputs!$B$4="Chapter Hunt"),CHOOSE(ArtifactsInput!$N$27+1,20,24,28,32,36,40),0)/100)))+1)),0)</f>
        <v/>
      </c>
      <c r="S848" t="n">
        <v>0</v>
      </c>
      <c r="U848" t="n">
        <v>0</v>
      </c>
    </row>
    <row r="849">
      <c r="A849">
        <f>Skills!A12</f>
        <v/>
      </c>
      <c r="B849">
        <f>Skills!B12</f>
        <v/>
      </c>
      <c r="C849">
        <f>Inputs!$B$3&gt;=72</f>
        <v/>
      </c>
      <c r="D849">
        <f>IF(Skills!C12=1,60+(Inputs!$B$26+1)+Inputs!$B$30,IF(Skills!C12=2,90+Inputs!$B$27+Inputs!$B$30,IF(Skills!C12=3,120+Inputs!$B$28+Inputs!$B$30,MAX(0,(Inputs!$B$3-100)*3)+Inputs!$B$29+Inputs!$B$30)))</f>
        <v/>
      </c>
      <c r="E849">
        <f>INDEX(FactorTable!$B$2:$Y$301, MATCH(ROUND(MIN(300,MAX(1,D849)),0), FactorTable!$A$2:$A$301,0), Skills!L12+1)</f>
        <v/>
      </c>
      <c r="F849">
        <f>IF(Skills!M12=TRUE,(Skills!K12/10)*(E849/1000),Skills!K12/10)+Skills!N12</f>
        <v/>
      </c>
      <c r="G849">
        <f>Calc!G12</f>
        <v/>
      </c>
      <c r="H849">
        <f>Calc!H12</f>
        <v/>
      </c>
      <c r="I849">
        <f>IF(Skills!T12&lt;&gt;"",1+(Skills!T12/10)*($Z$3/1000)/100,1)</f>
        <v/>
      </c>
      <c r="J849" t="inlineStr"/>
      <c r="K849" t="inlineStr"/>
      <c r="L849" t="inlineStr"/>
      <c r="M849" t="inlineStr"/>
      <c r="N849" t="inlineStr"/>
      <c r="O849">
        <f>(1-Summary!$B$11)*S849+Summary!$B$11*U849</f>
        <v/>
      </c>
      <c r="P849">
        <f>IF(B880=0,0,O849/B880)</f>
        <v/>
      </c>
      <c r="Q849">
        <f>IFERROR(1/(IF(Inputs!$B$39="pvp",15,MAX(0.1,Skills!D12-IF(Skills!E12=TRUE,Inputs!$B$33,0)))*(1-IF(AND(ArtifactsInput!$M$27,Inputs!$B$4="Chapter Hunt"),CHOOSE(ArtifactsInput!$N$27+1,20,24,28,32,36,40),0)/100)),0)</f>
        <v/>
      </c>
      <c r="R849">
        <f>IF(AND(Inputs!$B$39&lt;&gt;"pvp",Inputs!$B$44&gt;0),IF(MAX(0,Inputs!$B$44-B877)&lt;=0,0,(INT(MAX(0,Inputs!$B$44-B877)/(IF(Inputs!$B$39="pvp",15,MAX(0.1,Skills!D12-IF(Skills!E12=TRUE,Inputs!$B$33,0)))*(1-IF(AND(ArtifactsInput!$M$27,Inputs!$B$4="Chapter Hunt"),CHOOSE(ArtifactsInput!$N$27+1,20,24,28,32,36,40),0)/100)))+1)),0)</f>
        <v/>
      </c>
      <c r="S849" t="n">
        <v>0</v>
      </c>
      <c r="U849" t="n">
        <v>0</v>
      </c>
    </row>
    <row r="850">
      <c r="A850">
        <f>Skills!A13</f>
        <v/>
      </c>
      <c r="B850">
        <f>Skills!B13</f>
        <v/>
      </c>
      <c r="C850">
        <f>Inputs!$B$3&gt;=60</f>
        <v/>
      </c>
      <c r="D850">
        <f>IF(Skills!C13=1,60+(Inputs!$B$26+1)+Inputs!$B$30,IF(Skills!C13=2,90+Inputs!$B$27+Inputs!$B$30,IF(Skills!C13=3,120+Inputs!$B$28+Inputs!$B$30,MAX(0,(Inputs!$B$3-100)*3)+Inputs!$B$29+Inputs!$B$30)))</f>
        <v/>
      </c>
      <c r="E850">
        <f>INDEX(FactorTable!$B$2:$Y$301, MATCH(ROUND(MIN(300,MAX(1,D850)),0), FactorTable!$A$2:$A$301,0), Skills!L13+1)</f>
        <v/>
      </c>
      <c r="F850">
        <f>IF(Skills!M13=TRUE,(Skills!K13/10)*(E850/1000),Skills!K13/10)+Skills!N13</f>
        <v/>
      </c>
      <c r="G850">
        <f>Calc!G13</f>
        <v/>
      </c>
      <c r="H850">
        <f>Calc!H13</f>
        <v/>
      </c>
      <c r="I850">
        <f>IF(Skills!T13&lt;&gt;"",1+(Skills!T13/10)*($Z$3/1000)/100,1)</f>
        <v/>
      </c>
      <c r="J850" t="inlineStr"/>
      <c r="K850" t="inlineStr"/>
      <c r="L850" t="inlineStr"/>
      <c r="M850" t="inlineStr"/>
      <c r="N850" t="inlineStr"/>
      <c r="O850">
        <f>(1-Summary!$B$11)*S850+Summary!$B$11*U850</f>
        <v/>
      </c>
      <c r="P850">
        <f>IF(B880=0,0,O850/B880)</f>
        <v/>
      </c>
      <c r="Q850">
        <f>IFERROR(1/(IF(Inputs!$B$39="pvp",15,MAX(0.1,Skills!D13-IF(Skills!E13=TRUE,Inputs!$B$33,0)))*(1-IF(AND(ArtifactsInput!$M$27,Inputs!$B$4="Chapter Hunt"),CHOOSE(ArtifactsInput!$N$27+1,20,24,28,32,36,40),0)/100)),0)</f>
        <v/>
      </c>
      <c r="R850">
        <f>IF(AND(Inputs!$B$39&lt;&gt;"pvp",Inputs!$B$44&gt;0),IF(MAX(0,Inputs!$B$44-B877)&lt;=0,0,(INT(MAX(0,Inputs!$B$44-B877)/(IF(Inputs!$B$39="pvp",15,MAX(0.1,Skills!D13-IF(Skills!E13=TRUE,Inputs!$B$33,0)))*(1-IF(AND(ArtifactsInput!$M$27,Inputs!$B$4="Chapter Hunt"),CHOOSE(ArtifactsInput!$N$27+1,20,24,28,32,36,40),0)/100)))+1)),0)</f>
        <v/>
      </c>
      <c r="S850" t="n">
        <v>0</v>
      </c>
      <c r="U850" t="n">
        <v>0</v>
      </c>
    </row>
    <row r="851">
      <c r="A851">
        <f>Skills!A14</f>
        <v/>
      </c>
      <c r="B851">
        <f>Skills!B14</f>
        <v/>
      </c>
      <c r="C851">
        <f>Inputs!$B$3&gt;=107</f>
        <v/>
      </c>
      <c r="D851">
        <f>IF(Skills!C14=1,60+(Inputs!$B$26+1)+Inputs!$B$30,IF(Skills!C14=2,90+Inputs!$B$27+Inputs!$B$30,IF(Skills!C14=3,120+Inputs!$B$28+Inputs!$B$30,MAX(0,(Inputs!$B$3-100)*3)+Inputs!$B$29+Inputs!$B$30)))</f>
        <v/>
      </c>
      <c r="E851">
        <f>INDEX(FactorTable!$B$2:$Y$301, MATCH(ROUND(MIN(300,MAX(1,D851)),0), FactorTable!$A$2:$A$301,0), Skills!L14+1)</f>
        <v/>
      </c>
      <c r="F851">
        <f>IF(Skills!M14=TRUE,(Skills!K14/10)*(E851/1000),Skills!K14/10)+Skills!N14</f>
        <v/>
      </c>
      <c r="G851">
        <f>Calc!G14</f>
        <v/>
      </c>
      <c r="H851">
        <f>Calc!H14</f>
        <v/>
      </c>
      <c r="I851">
        <f>IF(Skills!T14&lt;&gt;"",1+(Skills!T14/10)*($Z$3/1000)/100,1)</f>
        <v/>
      </c>
      <c r="J851" t="inlineStr"/>
      <c r="K851" t="inlineStr"/>
      <c r="L851" t="inlineStr"/>
      <c r="M851" t="inlineStr"/>
      <c r="N851" t="inlineStr"/>
      <c r="O851">
        <f>(1-Summary!$B$11)*S851+Summary!$B$11*U851</f>
        <v/>
      </c>
      <c r="P851">
        <f>IF(B880=0,0,O851/B880)</f>
        <v/>
      </c>
      <c r="Q851">
        <f>IFERROR(1/(IF(Inputs!$B$39="pvp",15,MAX(0.1,Skills!D14-IF(Skills!E14=TRUE,Inputs!$B$33,0)))*(1-IF(AND(ArtifactsInput!$M$27,Inputs!$B$4="Chapter Hunt"),CHOOSE(ArtifactsInput!$N$27+1,20,24,28,32,36,40),0)/100)),0)</f>
        <v/>
      </c>
      <c r="R851">
        <f>IF(AND(Inputs!$B$39&lt;&gt;"pvp",Inputs!$B$44&gt;0),IF(Inputs!$B$44&lt;=0,0,(INT(Inputs!$B$44/(IF(Inputs!$B$39="pvp",15,MAX(0.1,Skills!D14-IF(Skills!E14=TRUE,Inputs!$B$33,0)))*(1-IF(AND(ArtifactsInput!$M$27,Inputs!$B$4="Chapter Hunt"),CHOOSE(ArtifactsInput!$N$27+1,20,24,28,32,36,40),0)/100)))+1)),0)</f>
        <v/>
      </c>
      <c r="S851" t="n">
        <v>0</v>
      </c>
      <c r="U851" t="n">
        <v>0</v>
      </c>
    </row>
    <row r="852">
      <c r="A852">
        <f>Skills!A15</f>
        <v/>
      </c>
      <c r="B852">
        <f>Skills!B15</f>
        <v/>
      </c>
      <c r="C852">
        <f>Inputs!$B$3&gt;=63</f>
        <v/>
      </c>
      <c r="D852">
        <f>IF(Skills!C15=1,60+(Inputs!$B$26+1)+Inputs!$B$30,IF(Skills!C15=2,90+Inputs!$B$27+Inputs!$B$30,IF(Skills!C15=3,120+Inputs!$B$28+Inputs!$B$30,MAX(0,(Inputs!$B$3-100)*3)+Inputs!$B$29+Inputs!$B$30)))</f>
        <v/>
      </c>
      <c r="E852">
        <f>INDEX(FactorTable!$B$2:$Y$301, MATCH(ROUND(MIN(300,MAX(1,D852)),0), FactorTable!$A$2:$A$301,0), Skills!L15+1)</f>
        <v/>
      </c>
      <c r="F852">
        <f>IF(Skills!M15=TRUE,(Skills!K15/10)*(E852/1000),Skills!K15/10)+Skills!N15</f>
        <v/>
      </c>
      <c r="G852">
        <f>Calc!G15</f>
        <v/>
      </c>
      <c r="H852">
        <f>Calc!H15</f>
        <v/>
      </c>
      <c r="I852">
        <f>IF(Skills!T15&lt;&gt;"",1+(Skills!T15/10)*($Z$3/1000)/100,1)</f>
        <v/>
      </c>
      <c r="J852">
        <f>((Inputs!$B$6*(1+Inputs!$B$7/100))+(((Inputs!$B$13*(1+Inputs!$B$14/100))-(Inputs!$B$13*(1+Inputs!$B$14/100)))+0.25*(Inputs!$B$15-Inputs!$B$15))*(1+Inputs!$B$7/100))*(F852/100)</f>
        <v/>
      </c>
      <c r="K852">
        <f>J852*(1+(((Inputs!$B$13+IF(Inputs!$B$3&gt;=35,(10*INDEX(FactorTable!$B$2:$Y$301,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15="TRIUMPH_FEATHER",IF(C853=TRUE,F853,0),0)/100)*(1+IF(C864=TRUE,F864,0)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852)</f>
        <v/>
      </c>
      <c r="L852">
        <f>K852*(MIN(Inputs!$B$23+(F859-Calc!F22),(Inputs!$B$24+IF(ArtifactsInput!$M$15,CHOOSE(ArtifactsInput!$N$15+1,25,30,35,40,45,50)/100*(Inputs!$B$12-Inputs!$B$12),0)))/100+(Inputs!$B$24+IF(ArtifactsInput!$M$15,CHOOSE(ArtifactsInput!$N$15+1,25,30,35,40,45,50)/100*(Inputs!$B$12-Inputs!$B$12),0))/100)/2</f>
        <v/>
      </c>
      <c r="M852">
        <f>L852*(1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52">
        <f>L852*(1-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852*(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2">
        <f>(1-Summary!$B$11)*S852+Summary!$B$11*U852</f>
        <v/>
      </c>
      <c r="P852">
        <f>IF(B880=0,0,O852/B880)</f>
        <v/>
      </c>
      <c r="Q852">
        <f>IFERROR(1/(IF(Inputs!$B$39="pvp",15,MAX(0.1,Skills!D15-IF(Skills!E15=TRUE,Inputs!$B$33,0)))*(1-IF(AND(ArtifactsInput!$M$27,Inputs!$B$4="Chapter Hunt"),CHOOSE(ArtifactsInput!$N$27+1,20,24,28,32,36,40),0)/100)),0)</f>
        <v/>
      </c>
      <c r="R852" t="n">
        <v>0</v>
      </c>
      <c r="S852">
        <f>IF(C852,(Skills!F15*N852*((IF(Inputs!$B$3&gt;=78,25,15)/100*B873*10)/(1+IF(Inputs!$B$3&gt;=78,25,15)/100*B873*10))*(Skills!I15/100*B873)/(1+Skills!G15*Skills!I15/100*B873))*IF(Inputs!$B$39="pvp",1,1+(Inputs!$B$21+Skills!O15+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852*(1-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852*(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852*(1-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852*(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2">
        <f>IF(C852,(Skills!F15*N852*((IF(Inputs!$B$3&gt;=78,25,15)/100*B873*10)/(1+IF(Inputs!$B$3&gt;=78,25,15)/100*B873*10))*(Skills!I15/100*B873)/(1+Skills!G15*Skills!I15/100*B873))*IF(Inputs!$B$39="pvp",1,(1+(Inputs!$B$22+Skills!P15+B869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3">
      <c r="A853">
        <f>Skills!A16</f>
        <v/>
      </c>
      <c r="B853">
        <f>Skills!B16</f>
        <v/>
      </c>
      <c r="C853">
        <f>Inputs!$B$3&gt;=100</f>
        <v/>
      </c>
      <c r="D853">
        <f>IF(Skills!C16=1,60+(Inputs!$B$26+1)+Inputs!$B$30,IF(Skills!C16=2,90+Inputs!$B$27+Inputs!$B$30,IF(Skills!C16=3,120+Inputs!$B$28+Inputs!$B$30,MAX(0,(Inputs!$B$3-100)*3)+Inputs!$B$29+Inputs!$B$30)))</f>
        <v/>
      </c>
      <c r="E853">
        <f>INDEX(FactorTable!$B$2:$Y$301, MATCH(ROUND(MIN(300,MAX(1,D853)),0), FactorTable!$A$2:$A$301,0), Skills!L16+1)</f>
        <v/>
      </c>
      <c r="F853">
        <f>IF(Skills!M16=TRUE,(Skills!K16/10)*(E853/1000),Skills!K16/10)+Skills!N16</f>
        <v/>
      </c>
      <c r="G853">
        <f>Calc!G16</f>
        <v/>
      </c>
      <c r="H853">
        <f>Calc!H16</f>
        <v/>
      </c>
      <c r="I853">
        <f>IF(Skills!T16&lt;&gt;"",1+(Skills!T16/10)*($Z$3/1000)/100,1)</f>
        <v/>
      </c>
      <c r="J853" t="inlineStr"/>
      <c r="K853" t="inlineStr"/>
      <c r="L853" t="inlineStr"/>
      <c r="M853" t="inlineStr"/>
      <c r="N853" t="inlineStr"/>
      <c r="O853">
        <f>(1-Summary!$B$11)*S853+Summary!$B$11*U853</f>
        <v/>
      </c>
      <c r="P853">
        <f>IF(B880=0,0,O853/B880)</f>
        <v/>
      </c>
      <c r="Q853">
        <f>IFERROR(1/(IF(Inputs!$B$39="pvp",15,MAX(0.1,Skills!D16-IF(Skills!E16=TRUE,Inputs!$B$33,0)))*(1-IF(AND(ArtifactsInput!$M$27,Inputs!$B$4="Chapter Hunt"),CHOOSE(ArtifactsInput!$N$27+1,20,24,28,32,36,40),0)/100)),0)</f>
        <v/>
      </c>
      <c r="R853" t="n">
        <v>0</v>
      </c>
      <c r="S853" t="n">
        <v>0</v>
      </c>
      <c r="U853" t="n">
        <v>0</v>
      </c>
    </row>
    <row r="854">
      <c r="A854">
        <f>Skills!A17</f>
        <v/>
      </c>
      <c r="B854">
        <f>Skills!B17</f>
        <v/>
      </c>
      <c r="C854">
        <f>Inputs!$B$3&gt;=49</f>
        <v/>
      </c>
      <c r="D854">
        <f>IF(Skills!C17=1,60+(Inputs!$B$26+1)+Inputs!$B$30,IF(Skills!C17=2,90+Inputs!$B$27+Inputs!$B$30,IF(Skills!C17=3,120+Inputs!$B$28+Inputs!$B$30,MAX(0,(Inputs!$B$3-100)*3)+Inputs!$B$29+Inputs!$B$30)))</f>
        <v/>
      </c>
      <c r="E854">
        <f>INDEX(FactorTable!$B$2:$Y$301, MATCH(ROUND(MIN(300,MAX(1,D854)),0), FactorTable!$A$2:$A$301,0), Skills!L17+1)</f>
        <v/>
      </c>
      <c r="F854">
        <f>IF(Skills!M17=TRUE,(Skills!K17/10)*(E854/1000),Skills!K17/10)+Skills!N17</f>
        <v/>
      </c>
      <c r="G854">
        <f>Calc!G17</f>
        <v/>
      </c>
      <c r="H854">
        <f>Calc!H17</f>
        <v/>
      </c>
      <c r="I854">
        <f>IF(Skills!T17&lt;&gt;"",1+(Skills!T17/10)*($Z$3/1000)/100,1)</f>
        <v/>
      </c>
      <c r="J854" t="inlineStr"/>
      <c r="K854" t="inlineStr"/>
      <c r="L854" t="inlineStr"/>
      <c r="M854" t="inlineStr"/>
      <c r="N854" t="inlineStr"/>
      <c r="O854">
        <f>(1-Summary!$B$11)*S854+Summary!$B$11*U854</f>
        <v/>
      </c>
      <c r="P854">
        <f>IF(B880=0,0,O854/B880)</f>
        <v/>
      </c>
      <c r="Q854">
        <f>IFERROR(1/(IF(Inputs!$B$39="pvp",15,MAX(0.1,Skills!D17-IF(Skills!E17=TRUE,Inputs!$B$33,0)))*(1-IF(AND(ArtifactsInput!$M$27,Inputs!$B$4="Chapter Hunt"),CHOOSE(ArtifactsInput!$N$27+1,20,24,28,32,36,40),0)/100)),0)</f>
        <v/>
      </c>
      <c r="R854" t="n">
        <v>0</v>
      </c>
      <c r="S854" t="n">
        <v>0</v>
      </c>
      <c r="U854" t="n">
        <v>0</v>
      </c>
    </row>
    <row r="855">
      <c r="A855">
        <f>Skills!A18</f>
        <v/>
      </c>
      <c r="B855">
        <f>Skills!B18</f>
        <v/>
      </c>
      <c r="C855">
        <f>Inputs!$B$3&gt;=75</f>
        <v/>
      </c>
      <c r="D855">
        <f>IF(Skills!C18=1,60+(Inputs!$B$26+1)+Inputs!$B$30,IF(Skills!C18=2,90+Inputs!$B$27+Inputs!$B$30,IF(Skills!C18=3,120+Inputs!$B$28+Inputs!$B$30,MAX(0,(Inputs!$B$3-100)*3)+Inputs!$B$29+Inputs!$B$30)))</f>
        <v/>
      </c>
      <c r="E855">
        <f>INDEX(FactorTable!$B$2:$Y$301, MATCH(ROUND(MIN(300,MAX(1,D855)),0), FactorTable!$A$2:$A$301,0), Skills!L18+1)</f>
        <v/>
      </c>
      <c r="F855">
        <f>IF(Skills!M18=TRUE,(Skills!K18/10)*(E855/1000),Skills!K18/10)+Skills!N18</f>
        <v/>
      </c>
      <c r="G855">
        <f>Calc!G18</f>
        <v/>
      </c>
      <c r="H855">
        <f>Calc!H18</f>
        <v/>
      </c>
      <c r="I855">
        <f>IF(Skills!T18&lt;&gt;"",1+(Skills!T18/10)*($Z$3/1000)/100,1)</f>
        <v/>
      </c>
      <c r="J855" t="inlineStr"/>
      <c r="K855" t="inlineStr"/>
      <c r="L855" t="inlineStr"/>
      <c r="M855" t="inlineStr"/>
      <c r="N855" t="inlineStr"/>
      <c r="O855">
        <f>(1-Summary!$B$11)*S855+Summary!$B$11*U855</f>
        <v/>
      </c>
      <c r="P855">
        <f>IF(B880=0,0,O855/B880)</f>
        <v/>
      </c>
      <c r="Q855">
        <f>IFERROR(1/(IF(Inputs!$B$39="pvp",15,MAX(0.1,Skills!D18-IF(Skills!E18=TRUE,Inputs!$B$33,0)))*(1-IF(AND(ArtifactsInput!$M$27,Inputs!$B$4="Chapter Hunt"),CHOOSE(ArtifactsInput!$N$27+1,20,24,28,32,36,40),0)/100)),0)</f>
        <v/>
      </c>
      <c r="R855" t="n">
        <v>0</v>
      </c>
      <c r="S855" t="n">
        <v>0</v>
      </c>
      <c r="U855" t="n">
        <v>0</v>
      </c>
    </row>
    <row r="856">
      <c r="A856">
        <f>Skills!A19</f>
        <v/>
      </c>
      <c r="B856">
        <f>Skills!B19</f>
        <v/>
      </c>
      <c r="C856">
        <f>Inputs!$B$3&gt;=110</f>
        <v/>
      </c>
      <c r="D856">
        <f>IF(Skills!C19=1,60+(Inputs!$B$26+1)+Inputs!$B$30,IF(Skills!C19=2,90+Inputs!$B$27+Inputs!$B$30,IF(Skills!C19=3,120+Inputs!$B$28+Inputs!$B$30,MAX(0,(Inputs!$B$3-100)*3)+Inputs!$B$29+Inputs!$B$30)))</f>
        <v/>
      </c>
      <c r="E856">
        <f>INDEX(FactorTable!$B$2:$Y$301, MATCH(ROUND(MIN(300,MAX(1,D856)),0), FactorTable!$A$2:$A$301,0), Skills!L19+1)</f>
        <v/>
      </c>
      <c r="F856">
        <f>(Skills!K19/10)*(E856/1000)*64/45+Skills!N19</f>
        <v/>
      </c>
      <c r="G856">
        <f>Calc!G19</f>
        <v/>
      </c>
      <c r="H856">
        <f>Calc!H19</f>
        <v/>
      </c>
      <c r="I856">
        <f>IF(Skills!T19&lt;&gt;"",1+(Skills!T19/10)*($Z$3/1000)/100,1)</f>
        <v/>
      </c>
      <c r="J856" t="inlineStr"/>
      <c r="K856" t="inlineStr"/>
      <c r="L856" t="inlineStr"/>
      <c r="M856" t="inlineStr"/>
      <c r="N856" t="inlineStr"/>
      <c r="O856">
        <f>(1-Summary!$B$11)*S856+Summary!$B$11*U856</f>
        <v/>
      </c>
      <c r="P856">
        <f>IF(B880=0,0,O856/B880)</f>
        <v/>
      </c>
      <c r="Q856">
        <f>IFERROR(1/(IF(Inputs!$B$39="pvp",15,MAX(0.1,Skills!D19-IF(Skills!E19=TRUE,Inputs!$B$33,0)))*(1-IF(AND(ArtifactsInput!$M$27,Inputs!$B$4="Chapter Hunt"),CHOOSE(ArtifactsInput!$N$27+1,20,24,28,32,36,40),0)/100)),0)</f>
        <v/>
      </c>
      <c r="R856">
        <f>IF(AND(Inputs!$B$39&lt;&gt;"pvp",Inputs!$B$44&gt;0),IF(Inputs!$B$44&lt;=0,0,(INT(Inputs!$B$44/(IF(Inputs!$B$39="pvp",15,MAX(0.1,Skills!D19-IF(Skills!E19=TRUE,Inputs!$B$33,0)))*(1-IF(AND(ArtifactsInput!$M$27,Inputs!$B$4="Chapter Hunt"),CHOOSE(ArtifactsInput!$N$27+1,20,24,28,32,36,40),0)/100)))+1)),0)</f>
        <v/>
      </c>
      <c r="S856" t="n">
        <v>0</v>
      </c>
      <c r="U856" t="n">
        <v>0</v>
      </c>
    </row>
    <row r="857">
      <c r="A857">
        <f>Skills!A20</f>
        <v/>
      </c>
      <c r="B857">
        <f>Skills!B20</f>
        <v/>
      </c>
      <c r="C857">
        <f>Inputs!$B$3&gt;=125</f>
        <v/>
      </c>
      <c r="D857">
        <f>IF(Skills!C20=1,60+(Inputs!$B$26+1)+Inputs!$B$30,IF(Skills!C20=2,90+Inputs!$B$27+Inputs!$B$30,IF(Skills!C20=3,120+Inputs!$B$28+Inputs!$B$30,MAX(0,(Inputs!$B$3-100)*3)+Inputs!$B$29+Inputs!$B$30)))</f>
        <v/>
      </c>
      <c r="E857">
        <f>INDEX(FactorTable!$B$2:$Y$301, MATCH(ROUND(MIN(300,MAX(1,D857)),0), FactorTable!$A$2:$A$301,0), Skills!L20+1)</f>
        <v/>
      </c>
      <c r="F857">
        <f>IF(Skills!M20=TRUE,(Skills!K20/10)*(E857/1000),Skills!K20/10)+Skills!N20</f>
        <v/>
      </c>
      <c r="G857">
        <f>Calc!G20</f>
        <v/>
      </c>
      <c r="H857">
        <f>Calc!H20</f>
        <v/>
      </c>
      <c r="I857">
        <f>IF(Skills!T20&lt;&gt;"",1+(Skills!T20/10)*($Z$3/1000)/100,1)</f>
        <v/>
      </c>
      <c r="J857" t="inlineStr"/>
      <c r="K857" t="inlineStr"/>
      <c r="L857" t="inlineStr"/>
      <c r="M857" t="inlineStr"/>
      <c r="N857" t="inlineStr"/>
      <c r="O857">
        <f>(1-Summary!$B$11)*S857+Summary!$B$11*U857</f>
        <v/>
      </c>
      <c r="P857">
        <f>IF(B880=0,0,O857/B880)</f>
        <v/>
      </c>
      <c r="Q857">
        <f>IFERROR(1/(IF(Inputs!$B$39="pvp",15,MAX(0.1,Skills!D20-IF(Skills!E20=TRUE,Inputs!$B$33,0)))*(1-IF(AND(ArtifactsInput!$M$27,Inputs!$B$4="Chapter Hunt"),CHOOSE(ArtifactsInput!$N$27+1,20,24,28,32,36,40),0)/100)),0)</f>
        <v/>
      </c>
      <c r="R857" t="n">
        <v>0</v>
      </c>
      <c r="S857" t="n">
        <v>0</v>
      </c>
      <c r="U857" t="n">
        <v>0</v>
      </c>
    </row>
    <row r="858">
      <c r="A858">
        <f>Skills!A21</f>
        <v/>
      </c>
      <c r="B858">
        <f>Skills!B21</f>
        <v/>
      </c>
      <c r="C858">
        <f>Inputs!$B$3&gt;=33</f>
        <v/>
      </c>
      <c r="D858">
        <f>IF(Skills!C21=1,60+(Inputs!$B$26+1)+Inputs!$B$30,IF(Skills!C21=2,90+Inputs!$B$27+Inputs!$B$30,IF(Skills!C21=3,120+Inputs!$B$28+Inputs!$B$30,MAX(0,(Inputs!$B$3-100)*3)+Inputs!$B$29+Inputs!$B$30)))</f>
        <v/>
      </c>
      <c r="E858">
        <f>INDEX(FactorTable!$B$2:$Y$301, MATCH(ROUND(MIN(300,MAX(1,D858)),0), FactorTable!$A$2:$A$301,0), Skills!L21+1)</f>
        <v/>
      </c>
      <c r="F858">
        <f>IF(Skills!M21=TRUE,(Skills!K21/10)*(E858/1000),Skills!K21/10)+Skills!N21</f>
        <v/>
      </c>
      <c r="G858">
        <f>Calc!G21</f>
        <v/>
      </c>
      <c r="H858">
        <f>Calc!H21</f>
        <v/>
      </c>
      <c r="I858">
        <f>IF(Skills!T21&lt;&gt;"",1+(Skills!T21/10)*($Z$3/1000)/100,1)</f>
        <v/>
      </c>
      <c r="J858" t="inlineStr"/>
      <c r="K858" t="inlineStr"/>
      <c r="L858" t="inlineStr"/>
      <c r="M858" t="inlineStr"/>
      <c r="N858" t="inlineStr"/>
      <c r="O858">
        <f>(1-Summary!$B$11)*S858+Summary!$B$11*U858</f>
        <v/>
      </c>
      <c r="P858">
        <f>IF(B880=0,0,O858/B880)</f>
        <v/>
      </c>
      <c r="Q858">
        <f>IFERROR(1/(IF(Inputs!$B$39="pvp",15,MAX(0.1,Skills!D21-IF(Skills!E21=TRUE,Inputs!$B$33,0)))*(1-IF(AND(ArtifactsInput!$M$27,Inputs!$B$4="Chapter Hunt"),CHOOSE(ArtifactsInput!$N$27+1,20,24,28,32,36,40),0)/100)),0)</f>
        <v/>
      </c>
      <c r="R858" t="n">
        <v>0</v>
      </c>
      <c r="S858" t="n">
        <v>0</v>
      </c>
      <c r="U858" t="n">
        <v>0</v>
      </c>
    </row>
    <row r="859">
      <c r="A859">
        <f>Skills!A22</f>
        <v/>
      </c>
      <c r="B859">
        <f>Skills!B22</f>
        <v/>
      </c>
      <c r="C859">
        <f>Inputs!$B$3&gt;=43</f>
        <v/>
      </c>
      <c r="D859">
        <f>IF(Skills!C22=1,60+(Inputs!$B$26+1)+Inputs!$B$30,IF(Skills!C22=2,90+Inputs!$B$27+Inputs!$B$30,IF(Skills!C22=3,120+Inputs!$B$28+Inputs!$B$30,MAX(0,(Inputs!$B$3-100)*3)+Inputs!$B$29+Inputs!$B$30)))</f>
        <v/>
      </c>
      <c r="E859">
        <f>INDEX(FactorTable!$B$2:$Y$301, MATCH(ROUND(MIN(300,MAX(1,D859)),0), FactorTable!$A$2:$A$301,0), Skills!L22+1)</f>
        <v/>
      </c>
      <c r="F859">
        <f>IF(Skills!M22=TRUE,(Skills!K22/10)*(E859/1000),Skills!K22/10)+Skills!N22</f>
        <v/>
      </c>
      <c r="G859">
        <f>Calc!G22</f>
        <v/>
      </c>
      <c r="H859">
        <f>Calc!H22</f>
        <v/>
      </c>
      <c r="I859">
        <f>IF(Skills!T22&lt;&gt;"",1+(Skills!T22/10)*($Z$3/1000)/100,1)</f>
        <v/>
      </c>
      <c r="J859" t="inlineStr"/>
      <c r="K859" t="inlineStr"/>
      <c r="L859" t="inlineStr"/>
      <c r="M859" t="inlineStr"/>
      <c r="N859" t="inlineStr"/>
      <c r="O859">
        <f>(1-Summary!$B$11)*S859+Summary!$B$11*U859</f>
        <v/>
      </c>
      <c r="P859">
        <f>IF(B880=0,0,O859/B880)</f>
        <v/>
      </c>
      <c r="Q859">
        <f>IFERROR(1/(IF(Inputs!$B$39="pvp",15,MAX(0.1,Skills!D22-IF(Skills!E22=TRUE,Inputs!$B$33,0)))*(1-IF(AND(ArtifactsInput!$M$27,Inputs!$B$4="Chapter Hunt"),CHOOSE(ArtifactsInput!$N$27+1,20,24,28,32,36,40),0)/100)),0)</f>
        <v/>
      </c>
      <c r="R859" t="n">
        <v>0</v>
      </c>
      <c r="S859" t="n">
        <v>0</v>
      </c>
      <c r="U859" t="n">
        <v>0</v>
      </c>
    </row>
    <row r="860">
      <c r="A860">
        <f>Skills!A23</f>
        <v/>
      </c>
      <c r="B860">
        <f>Skills!B23</f>
        <v/>
      </c>
      <c r="C860">
        <f>Inputs!$B$3&gt;=50</f>
        <v/>
      </c>
      <c r="D860">
        <f>IF(Skills!C23=1,60+(Inputs!$B$26+1)+Inputs!$B$30,IF(Skills!C23=2,90+Inputs!$B$27+Inputs!$B$30,IF(Skills!C23=3,120+Inputs!$B$28+Inputs!$B$30,MAX(0,(Inputs!$B$3-100)*3)+Inputs!$B$29+Inputs!$B$30)))</f>
        <v/>
      </c>
      <c r="E860">
        <f>INDEX(FactorTable!$B$2:$Y$301, MATCH(ROUND(MIN(300,MAX(1,D860)),0), FactorTable!$A$2:$A$301,0), Skills!L23+1)</f>
        <v/>
      </c>
      <c r="F860">
        <f>IF(Skills!M23=TRUE,(Skills!K23/10)*(E860/1000),Skills!K23/10)+Skills!N23</f>
        <v/>
      </c>
      <c r="G860">
        <f>Calc!G23</f>
        <v/>
      </c>
      <c r="H860">
        <f>Calc!H23</f>
        <v/>
      </c>
      <c r="I860">
        <f>IF(Skills!T23&lt;&gt;"",1+(Skills!T23/10)*($Z$3/1000)/100,1)</f>
        <v/>
      </c>
      <c r="J860" t="inlineStr"/>
      <c r="K860" t="inlineStr"/>
      <c r="L860" t="inlineStr"/>
      <c r="M860" t="inlineStr"/>
      <c r="N860" t="inlineStr"/>
      <c r="O860">
        <f>(1-Summary!$B$11)*S860+Summary!$B$11*U860</f>
        <v/>
      </c>
      <c r="P860">
        <f>IF(B880=0,0,O860/B880)</f>
        <v/>
      </c>
      <c r="Q860">
        <f>IFERROR(1/(IF(Inputs!$B$39="pvp",15,MAX(0.1,Skills!D23-IF(Skills!E23=TRUE,Inputs!$B$33,0)))*(1-IF(AND(ArtifactsInput!$M$27,Inputs!$B$4="Chapter Hunt"),CHOOSE(ArtifactsInput!$N$27+1,20,24,28,32,36,40),0)/100)),0)</f>
        <v/>
      </c>
      <c r="R860" t="n">
        <v>0</v>
      </c>
      <c r="S860" t="n">
        <v>0</v>
      </c>
      <c r="U860" t="n">
        <v>0</v>
      </c>
    </row>
    <row r="861">
      <c r="A861">
        <f>Skills!A24</f>
        <v/>
      </c>
      <c r="B861">
        <f>Skills!B24</f>
        <v/>
      </c>
      <c r="C861">
        <f>Inputs!$B$3&gt;=74</f>
        <v/>
      </c>
      <c r="D861">
        <f>IF(Skills!C24=1,60+(Inputs!$B$26+1)+Inputs!$B$30,IF(Skills!C24=2,90+Inputs!$B$27+Inputs!$B$30,IF(Skills!C24=3,120+Inputs!$B$28+Inputs!$B$30,MAX(0,(Inputs!$B$3-100)*3)+Inputs!$B$29+Inputs!$B$30)))</f>
        <v/>
      </c>
      <c r="E861">
        <f>INDEX(FactorTable!$B$2:$Y$301, MATCH(ROUND(MIN(300,MAX(1,D861)),0), FactorTable!$A$2:$A$301,0), Skills!L24+1)</f>
        <v/>
      </c>
      <c r="F861">
        <f>IF(Skills!M24=TRUE,(Skills!K24/10)*(E861/1000),Skills!K24/10)+Skills!N24</f>
        <v/>
      </c>
      <c r="G861">
        <f>Calc!G24</f>
        <v/>
      </c>
      <c r="H861">
        <f>Calc!H24</f>
        <v/>
      </c>
      <c r="I861">
        <f>IF(Skills!T24&lt;&gt;"",1+(Skills!T24/10)*($Z$3/1000)/100,1)</f>
        <v/>
      </c>
      <c r="J861" t="inlineStr"/>
      <c r="K861" t="inlineStr"/>
      <c r="L861" t="inlineStr"/>
      <c r="M861" t="inlineStr"/>
      <c r="N861" t="inlineStr"/>
      <c r="O861">
        <f>(1-Summary!$B$11)*S861+Summary!$B$11*U861</f>
        <v/>
      </c>
      <c r="P861">
        <f>IF(B880=0,0,O861/B880)</f>
        <v/>
      </c>
      <c r="Q861">
        <f>IFERROR(1/(IF(Inputs!$B$39="pvp",15,MAX(0.1,Skills!D24-IF(Skills!E24=TRUE,Inputs!$B$33,0)))*(1-IF(AND(ArtifactsInput!$M$27,Inputs!$B$4="Chapter Hunt"),CHOOSE(ArtifactsInput!$N$27+1,20,24,28,32,36,40),0)/100)),0)</f>
        <v/>
      </c>
      <c r="R861" t="n">
        <v>0</v>
      </c>
      <c r="S861" t="n">
        <v>0</v>
      </c>
      <c r="U861" t="n">
        <v>0</v>
      </c>
    </row>
    <row r="862">
      <c r="A862">
        <f>Skills!A25</f>
        <v/>
      </c>
      <c r="B862">
        <f>Skills!B25</f>
        <v/>
      </c>
      <c r="C862">
        <f>Inputs!$B$3&gt;=74</f>
        <v/>
      </c>
      <c r="D862">
        <f>IF(Skills!C25=1,60+(Inputs!$B$26+1)+Inputs!$B$30,IF(Skills!C25=2,90+Inputs!$B$27+Inputs!$B$30,IF(Skills!C25=3,120+Inputs!$B$28+Inputs!$B$30,MAX(0,(Inputs!$B$3-100)*3)+Inputs!$B$29+Inputs!$B$30)))</f>
        <v/>
      </c>
      <c r="E862">
        <f>INDEX(FactorTable!$B$2:$Y$301, MATCH(ROUND(MIN(300,MAX(1,D862)),0), FactorTable!$A$2:$A$301,0), Skills!L25+1)</f>
        <v/>
      </c>
      <c r="F862">
        <f>IF(Skills!M25=TRUE,(Skills!K25/10)*(E862/1000),Skills!K25/10)+Skills!N25</f>
        <v/>
      </c>
      <c r="G862">
        <f>Calc!G25</f>
        <v/>
      </c>
      <c r="H862">
        <f>Calc!H25</f>
        <v/>
      </c>
      <c r="I862">
        <f>IF(Skills!T25&lt;&gt;"",1+(Skills!T25/10)*($Z$3/1000)/100,1)</f>
        <v/>
      </c>
      <c r="J862" t="inlineStr"/>
      <c r="K862" t="inlineStr"/>
      <c r="L862" t="inlineStr"/>
      <c r="M862" t="inlineStr"/>
      <c r="N862" t="inlineStr"/>
      <c r="O862">
        <f>(1-Summary!$B$11)*S862+Summary!$B$11*U862</f>
        <v/>
      </c>
      <c r="P862">
        <f>IF(B880=0,0,O862/B880)</f>
        <v/>
      </c>
      <c r="Q862">
        <f>IFERROR(1/(IF(Inputs!$B$39="pvp",15,MAX(0.1,Skills!D25-IF(Skills!E25=TRUE,Inputs!$B$33,0)))*(1-IF(AND(ArtifactsInput!$M$27,Inputs!$B$4="Chapter Hunt"),CHOOSE(ArtifactsInput!$N$27+1,20,24,28,32,36,40),0)/100)),0)</f>
        <v/>
      </c>
      <c r="R862" t="n">
        <v>0</v>
      </c>
      <c r="S862" t="n">
        <v>0</v>
      </c>
      <c r="U862" t="n">
        <v>0</v>
      </c>
    </row>
    <row r="863">
      <c r="A863">
        <f>Skills!A26</f>
        <v/>
      </c>
      <c r="B863">
        <f>Skills!B26</f>
        <v/>
      </c>
      <c r="C863">
        <f>Inputs!$B$3&gt;=117</f>
        <v/>
      </c>
      <c r="D863">
        <f>IF(Skills!C26=1,60+(Inputs!$B$26+1)+Inputs!$B$30,IF(Skills!C26=2,90+Inputs!$B$27+Inputs!$B$30,IF(Skills!C26=3,120+Inputs!$B$28+Inputs!$B$30,MAX(0,(Inputs!$B$3-100)*3)+Inputs!$B$29+Inputs!$B$30)))</f>
        <v/>
      </c>
      <c r="E863">
        <f>INDEX(FactorTable!$B$2:$Y$301, MATCH(ROUND(MIN(300,MAX(1,D863)),0), FactorTable!$A$2:$A$301,0), Skills!L26+1)</f>
        <v/>
      </c>
      <c r="F863">
        <f>IF(Skills!M26=TRUE,(Skills!K26/10)*(E863/1000),Skills!K26/10)+Skills!N26</f>
        <v/>
      </c>
      <c r="G863">
        <f>Calc!G26</f>
        <v/>
      </c>
      <c r="H863">
        <f>Calc!H26</f>
        <v/>
      </c>
      <c r="I863">
        <f>IF(Skills!T26&lt;&gt;"",1+(Skills!T26/10)*($Z$3/1000)/100,1)</f>
        <v/>
      </c>
      <c r="J863" t="inlineStr"/>
      <c r="K863" t="inlineStr"/>
      <c r="L863" t="inlineStr"/>
      <c r="M863" t="inlineStr"/>
      <c r="N863" t="inlineStr"/>
      <c r="O863">
        <f>(1-Summary!$B$11)*S863+Summary!$B$11*U863</f>
        <v/>
      </c>
      <c r="P863">
        <f>IF(B880=0,0,O863/B880)</f>
        <v/>
      </c>
      <c r="Q863">
        <f>IFERROR(1/(IF(Inputs!$B$39="pvp",15,MAX(0.1,Skills!D26-IF(Skills!E26=TRUE,Inputs!$B$33,0)))*(1-IF(AND(ArtifactsInput!$M$27,Inputs!$B$4="Chapter Hunt"),CHOOSE(ArtifactsInput!$N$27+1,20,24,28,32,36,40),0)/100)),0)</f>
        <v/>
      </c>
      <c r="R863" t="n">
        <v>0</v>
      </c>
      <c r="S863" t="n">
        <v>0</v>
      </c>
      <c r="U863" t="n">
        <v>0</v>
      </c>
    </row>
    <row r="864">
      <c r="A864">
        <f>Skills!A27</f>
        <v/>
      </c>
      <c r="B864">
        <f>Skills!B27</f>
        <v/>
      </c>
      <c r="C864">
        <f>Inputs!$B$3&gt;=120</f>
        <v/>
      </c>
      <c r="D864">
        <f>IF(Skills!C27=1,60+(Inputs!$B$26+1)+Inputs!$B$30,IF(Skills!C27=2,90+Inputs!$B$27+Inputs!$B$30,IF(Skills!C27=3,120+Inputs!$B$28+Inputs!$B$30,MAX(0,(Inputs!$B$3-100)*3)+Inputs!$B$29+Inputs!$B$30)))</f>
        <v/>
      </c>
      <c r="E864">
        <f>INDEX(FactorTable!$B$2:$Y$301, MATCH(ROUND(MIN(300,MAX(1,D864)),0), FactorTable!$A$2:$A$301,0), Skills!L27+1)</f>
        <v/>
      </c>
      <c r="F864">
        <f>IF(Skills!M27=TRUE,(Skills!K27/10)*(E864/1000),Skills!K27/10)+Skills!N27</f>
        <v/>
      </c>
      <c r="G864">
        <f>Calc!G27</f>
        <v/>
      </c>
      <c r="H864">
        <f>Calc!H27</f>
        <v/>
      </c>
      <c r="I864">
        <f>IF(Skills!T27&lt;&gt;"",1+(Skills!T27/10)*($Z$3/1000)/100,1)</f>
        <v/>
      </c>
      <c r="J864" t="inlineStr"/>
      <c r="K864" t="inlineStr"/>
      <c r="L864" t="inlineStr"/>
      <c r="M864" t="inlineStr"/>
      <c r="N864" t="inlineStr"/>
      <c r="O864">
        <f>(1-Summary!$B$11)*S864+Summary!$B$11*U864</f>
        <v/>
      </c>
      <c r="P864">
        <f>IF(B880=0,0,O864/B880)</f>
        <v/>
      </c>
      <c r="Q864">
        <f>IFERROR(1/(IF(Inputs!$B$39="pvp",15,MAX(0.1,Skills!D27-IF(Skills!E27=TRUE,Inputs!$B$33,0)))*(1-IF(AND(ArtifactsInput!$M$27,Inputs!$B$4="Chapter Hunt"),CHOOSE(ArtifactsInput!$N$27+1,20,24,28,32,36,40),0)/100)),0)</f>
        <v/>
      </c>
      <c r="R864" t="n">
        <v>0</v>
      </c>
      <c r="S864" t="n">
        <v>0</v>
      </c>
      <c r="U864" t="n">
        <v>0</v>
      </c>
    </row>
    <row r="865">
      <c r="A865">
        <f>Skills!A28</f>
        <v/>
      </c>
      <c r="B865">
        <f>Skills!B28</f>
        <v/>
      </c>
      <c r="C865">
        <f>TRUE</f>
        <v/>
      </c>
      <c r="D865">
        <f>IF(Skills!C28=1,60+(Inputs!$B$26+1)+Inputs!$B$30,IF(Skills!C28=2,90+Inputs!$B$27+Inputs!$B$30,IF(Skills!C28=3,120+Inputs!$B$28+Inputs!$B$30,MAX(0,(Inputs!$B$3-100)*3)+Inputs!$B$29+Inputs!$B$30)))</f>
        <v/>
      </c>
      <c r="E865">
        <f>INDEX(FactorTable!$B$2:$Y$301, MATCH(ROUND(MIN(300,MAX(1,D865)),0), FactorTable!$A$2:$A$301,0), Skills!L28+1)</f>
        <v/>
      </c>
      <c r="F865">
        <f>IF(Skills!M28=TRUE,(Skills!K28/10)*(E865/1000),Skills!K28/10)+Skills!N28</f>
        <v/>
      </c>
      <c r="G865">
        <f>Calc!G28</f>
        <v/>
      </c>
      <c r="H865">
        <f>Calc!H28</f>
        <v/>
      </c>
      <c r="I865">
        <f>IF(Skills!T28&lt;&gt;"",1+(Skills!T28/10)*($Z$3/1000)/100,1)</f>
        <v/>
      </c>
      <c r="J865" t="inlineStr"/>
      <c r="K865" t="inlineStr"/>
      <c r="L865" t="inlineStr"/>
      <c r="M865" t="inlineStr"/>
      <c r="N865" t="inlineStr"/>
      <c r="O865">
        <f>(1-Summary!$B$11)*S865+Summary!$B$11*U865</f>
        <v/>
      </c>
      <c r="P865">
        <f>IF(B880=0,0,O865/B880)</f>
        <v/>
      </c>
      <c r="Q865">
        <f>IFERROR(1/(IF(Inputs!$B$39="pvp",15,MAX(0.1,Skills!D28-IF(Skills!E28=TRUE,Inputs!$B$33,0)))*(1-IF(AND(ArtifactsInput!$M$27,Inputs!$B$4="Chapter Hunt"),CHOOSE(ArtifactsInput!$N$27+1,20,24,28,32,36,40),0)/100)),0)</f>
        <v/>
      </c>
      <c r="R865">
        <f>IF(AND(Inputs!$B$39&lt;&gt;"pvp",Inputs!$B$44&gt;0),IF(Inputs!$B$44&lt;=0,0,(INT(Inputs!$B$44/(IF(Inputs!$B$39="pvp",15,MAX(0.1,Skills!D28-IF(Skills!E28=TRUE,Inputs!$B$33,0)))*(1-IF(AND(ArtifactsInput!$M$27,Inputs!$B$4="Chapter Hunt"),CHOOSE(ArtifactsInput!$N$27+1,20,24,28,32,36,40),0)/100)))+1)),0)</f>
        <v/>
      </c>
      <c r="S865" t="n">
        <v>0</v>
      </c>
      <c r="U865" t="n">
        <v>0</v>
      </c>
    </row>
    <row r="867">
      <c r="A867" t="inlineStr">
        <is>
          <t>Average Buff Multiplier</t>
        </is>
      </c>
      <c r="B867">
        <f>(1+(IF(C840=TRUE,F840*IF(AND(Inputs!$B$39&lt;&gt;"pvp",Inputs!$B$44&gt;0),(((R840-1)*(Skills!S3*(1+((Inputs!$B$35+(ArtifactsInput!$M$7-ArtifactsInput!$M$7)*CHOOSE(ArtifactsInput!$N$7+1,6,7.2,8.4,9.6,10.8,12))+IF(Inputs!$B$3&gt;=117,F863,0))/100))+MIN((Skills!S3*(1+((Inputs!$B$35+(ArtifactsInput!$M$7-ArtifactsInput!$M$7)*CHOOSE(ArtifactsInput!$N$7+1,6,7.2,8.4,9.6,10.8,12))+IF(Inputs!$B$3&gt;=117,F863,0))/100)),MAX(0,Inputs!$B$44-((R840-1)*Skills!D3))))/Inputs!$B$44),IF(Inputs!$B$39="pvp",MIN((Skills!S3*(1+((Inputs!$B$35+(ArtifactsInput!$M$7-ArtifactsInput!$M$7)*CHOOSE(ArtifactsInput!$N$7+1,6,7.2,8.4,9.6,10.8,12))+IF(Inputs!$B$3&gt;=117,F863,0))/100)),15)/15,(Skills!S3*(1+((Inputs!$B$35+(ArtifactsInput!$M$7-ArtifactsInput!$M$7)*CHOOSE(ArtifactsInput!$N$7+1,6,7.2,8.4,9.6,10.8,12))+IF(Inputs!$B$3&gt;=117,F863,0))/100))/Skills!D3)),0)+IF(C841=TRUE,F841*IF(AND(Inputs!$B$39&lt;&gt;"pvp",Inputs!$B$44&gt;0),(((R841-1)*(Skills!S4*(1+((Inputs!$B$35+(ArtifactsInput!$M$7-ArtifactsInput!$M$7)*CHOOSE(ArtifactsInput!$N$7+1,6,7.2,8.4,9.6,10.8,12))+IF(Inputs!$B$3&gt;=117,F863,0))/100))+MIN((Skills!S4*(1+((Inputs!$B$35+(ArtifactsInput!$M$7-ArtifactsInput!$M$7)*CHOOSE(ArtifactsInput!$N$7+1,6,7.2,8.4,9.6,10.8,12))+IF(Inputs!$B$3&gt;=117,F863,0))/100)),MAX(0,Inputs!$B$44-((R841-1)*Skills!D4))))/Inputs!$B$44),IF(Inputs!$B$39="pvp",MIN((Skills!S4*(1+((Inputs!$B$35+(ArtifactsInput!$M$7-ArtifactsInput!$M$7)*CHOOSE(ArtifactsInput!$N$7+1,6,7.2,8.4,9.6,10.8,12))+IF(Inputs!$B$3&gt;=117,F863,0))/100)),15)/15,(Skills!S4*(1+((Inputs!$B$35+(ArtifactsInput!$M$7-ArtifactsInput!$M$7)*CHOOSE(ArtifactsInput!$N$7+1,6,7.2,8.4,9.6,10.8,12))+IF(Inputs!$B$3&gt;=117,F863,0))/100))/Skills!D4)),0)+IF(C842=TRUE,F842*IF(AND(Inputs!$B$39&lt;&gt;"pvp",Inputs!$B$44&gt;0),(((R842-1)*(Skills!S5*(1+((Inputs!$B$35+(ArtifactsInput!$M$7-ArtifactsInput!$M$7)*CHOOSE(ArtifactsInput!$N$7+1,6,7.2,8.4,9.6,10.8,12))+IF(Inputs!$B$3&gt;=117,F863,0))/100))+MIN((Skills!S5*(1+((Inputs!$B$35+(ArtifactsInput!$M$7-ArtifactsInput!$M$7)*CHOOSE(ArtifactsInput!$N$7+1,6,7.2,8.4,9.6,10.8,12))+IF(Inputs!$B$3&gt;=117,F863,0))/100)),MAX(0,Inputs!$B$44-((R842-1)*Skills!D5))))/Inputs!$B$44),IF(Inputs!$B$39="pvp",MIN((Skills!S5*(1+((Inputs!$B$35+(ArtifactsInput!$M$7-ArtifactsInput!$M$7)*CHOOSE(ArtifactsInput!$N$7+1,6,7.2,8.4,9.6,10.8,12))+IF(Inputs!$B$3&gt;=117,F863,0))/100)),15)/15,(Skills!S5*(1+((Inputs!$B$35+(ArtifactsInput!$M$7-ArtifactsInput!$M$7)*CHOOSE(ArtifactsInput!$N$7+1,6,7.2,8.4,9.6,10.8,12))+IF(Inputs!$B$3&gt;=117,F863,0))/100))/Skills!D5)),0)+IF(C848=TRUE,F848*IF(AND(Inputs!$B$39&lt;&gt;"pvp",Inputs!$B$44&gt;0),(((R848-1)*(Skills!S11*(1+((Inputs!$B$35+(ArtifactsInput!$M$7-ArtifactsInput!$M$7)*CHOOSE(ArtifactsInput!$N$7+1,6,7.2,8.4,9.6,10.8,12))+IF(Inputs!$B$3&gt;=117,F863,0))/100))+MIN((Skills!S11*(1+((Inputs!$B$35+(ArtifactsInput!$M$7-ArtifactsInput!$M$7)*CHOOSE(ArtifactsInput!$N$7+1,6,7.2,8.4,9.6,10.8,12))+IF(Inputs!$B$3&gt;=117,F863,0))/100)),MAX(0,Inputs!$B$44-((R848-1)*Skills!D11))))/Inputs!$B$44),IF(Inputs!$B$39="pvp",MIN((Skills!S11*(1+((Inputs!$B$35+(ArtifactsInput!$M$7-ArtifactsInput!$M$7)*CHOOSE(ArtifactsInput!$N$7+1,6,7.2,8.4,9.6,10.8,12))+IF(Inputs!$B$3&gt;=117,F863,0))/100)),15)/15,(Skills!S11*(1+((Inputs!$B$35+(ArtifactsInput!$M$7-ArtifactsInput!$M$7)*CHOOSE(ArtifactsInput!$N$7+1,6,7.2,8.4,9.6,10.8,12))+IF(Inputs!$B$3&gt;=117,F863,0)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851=TRUE,(1+F851*IF(AND(Inputs!$B$39&lt;&gt;"pvp",Inputs!$B$44&gt;0),(((R851-1)*(Skills!S14*(1+((Inputs!$B$35+(ArtifactsInput!$M$7-ArtifactsInput!$M$7)*CHOOSE(ArtifactsInput!$N$7+1,6,7.2,8.4,9.6,10.8,12))+IF(Inputs!$B$3&gt;=117,F863,0))/100))+MIN((Skills!S14*(1+((Inputs!$B$35+(ArtifactsInput!$M$7-ArtifactsInput!$M$7)*CHOOSE(ArtifactsInput!$N$7+1,6,7.2,8.4,9.6,10.8,12))+IF(Inputs!$B$3&gt;=117,F863,0))/100)),MAX(0,Inputs!$B$44-((R851-1)*Skills!D14))))/Inputs!$B$44),IF(Inputs!$B$39="pvp",MIN((Skills!S14*(1+((Inputs!$B$35+(ArtifactsInput!$M$7-ArtifactsInput!$M$7)*CHOOSE(ArtifactsInput!$N$7+1,6,7.2,8.4,9.6,10.8,12))+IF(Inputs!$B$3&gt;=117,F863,0))/100)),15)/15,(Skills!S14*(1+((Inputs!$B$35+(ArtifactsInput!$M$7-ArtifactsInput!$M$7)*CHOOSE(ArtifactsInput!$N$7+1,6,7.2,8.4,9.6,10.8,12))+IF(Inputs!$B$3&gt;=117,F863,0))/100))/Skills!D14))/100),1)*IF(C856=TRUE,(1+F856*IF(AND(Inputs!$B$39&lt;&gt;"pvp",Inputs!$B$44&gt;0),(((R856-1)*(Skills!S19*(1+((Inputs!$B$35+(ArtifactsInput!$M$7-ArtifactsInput!$M$7)*CHOOSE(ArtifactsInput!$N$7+1,6,7.2,8.4,9.6,10.8,12))+IF(Inputs!$B$3&gt;=117,F863,0))/100))+MIN((Skills!S19*(1+((Inputs!$B$35+(ArtifactsInput!$M$7-ArtifactsInput!$M$7)*CHOOSE(ArtifactsInput!$N$7+1,6,7.2,8.4,9.6,10.8,12))+IF(Inputs!$B$3&gt;=117,F863,0))/100)),MAX(0,Inputs!$B$44-((R856-1)*Skills!D19))))/Inputs!$B$44),IF(Inputs!$B$39="pvp",MIN((Skills!S19*(1+((Inputs!$B$35+(ArtifactsInput!$M$7-ArtifactsInput!$M$7)*CHOOSE(ArtifactsInput!$N$7+1,6,7.2,8.4,9.6,10.8,12))+IF(Inputs!$B$3&gt;=117,F863,0))/100)),15)/15,(Skills!S19*(1+((Inputs!$B$35+(ArtifactsInput!$M$7-ArtifactsInput!$M$7)*CHOOSE(ArtifactsInput!$N$7+1,6,7.2,8.4,9.6,10.8,12))+IF(Inputs!$B$3&gt;=117,F863,0))/100))/Skills!D19))/100),1)</f>
        <v/>
      </c>
    </row>
    <row r="868">
      <c r="A868" t="inlineStr">
        <is>
          <t>Monster Damage Taken Bonus % (Holy Fountain)</t>
        </is>
      </c>
      <c r="B868">
        <f>IF(Inputs!$B$3&gt;=68,20*IF(Inputs!$B$39="pvp",MIN((15*(1+((Inputs!$B$35+(ArtifactsInput!$M$7-ArtifactsInput!$M$7)*CHOOSE(ArtifactsInput!$N$7+1,6,7.2,8.4,9.6,10.8,12))+IF(Inputs!$B$3&gt;=117,F863,0))/100)),15)/15,(15*(1+((Inputs!$B$35+(ArtifactsInput!$M$7-ArtifactsInput!$M$7)*CHOOSE(ArtifactsInput!$N$7+1,6,7.2,8.4,9.6,10.8,12))+IF(Inputs!$B$3&gt;=117,F863,0))/100))/Skills!D10),0)</f>
        <v/>
      </c>
    </row>
    <row r="869">
      <c r="A869" t="inlineStr">
        <is>
          <t>Normal Monster Damage Bonus % (Holy Symbol)</t>
        </is>
      </c>
      <c r="B869">
        <f>IF(C849=TRUE,F849*IF(AND(Inputs!$B$39&lt;&gt;"pvp",Inputs!$B$44&gt;0),(((R849-1)*(Skills!S12*(1+((Inputs!$B$35+(ArtifactsInput!$M$7-ArtifactsInput!$M$7)*CHOOSE(ArtifactsInput!$N$7+1,6,7.2,8.4,9.6,10.8,12))+IF(Inputs!$B$3&gt;=117,F863,0))/100))+MIN((Skills!S12*(1+((Inputs!$B$35+(ArtifactsInput!$M$7-ArtifactsInput!$M$7)*CHOOSE(ArtifactsInput!$N$7+1,6,7.2,8.4,9.6,10.8,12))+IF(Inputs!$B$3&gt;=117,F863,0))/100)),MAX(0,Inputs!$B$44-((R849-1)*Skills!D12))))/Inputs!$B$44),IF(Inputs!$B$39="pvp",MIN((Skills!S12*(1+((Inputs!$B$35+(ArtifactsInput!$M$7-ArtifactsInput!$M$7)*CHOOSE(ArtifactsInput!$N$7+1,6,7.2,8.4,9.6,10.8,12))+IF(Inputs!$B$3&gt;=117,F863,0))/100)),15)/15,(Skills!S12*(1+((Inputs!$B$35+(ArtifactsInput!$M$7-ArtifactsInput!$M$7)*CHOOSE(ArtifactsInput!$N$7+1,6,7.2,8.4,9.6,10.8,12))+IF(Inputs!$B$3&gt;=117,F863,0))/100))/Skills!D12)),0)</f>
        <v/>
      </c>
    </row>
    <row r="870">
      <c r="A870" t="inlineStr">
        <is>
          <t>Damage % Bonus (Holy Symbol - Damage Boost)</t>
        </is>
      </c>
      <c r="B870">
        <f>Skills!O12</f>
        <v/>
      </c>
    </row>
    <row r="871">
      <c r="A871" t="inlineStr">
        <is>
          <t>Crit Damage % Bonus (Blood of the Divine)</t>
        </is>
      </c>
      <c r="B871">
        <f>4*IF(C857=TRUE,F857,0)</f>
        <v/>
      </c>
    </row>
    <row r="872">
      <c r="A872" t="inlineStr">
        <is>
          <t>Attack Speed Bonus %</t>
        </is>
      </c>
      <c r="B872">
        <f>IF(C854=TRUE,F854+(F858-Calc!F21),0)+IF(Inputs!$B$3&gt;=134,15,0)+((C865=TRUE)*F865*IF(AND(Inputs!$B$39&lt;&gt;"pvp",Inputs!$B$44&gt;0),(((R865-1)*(Skills!S28*(1+((Inputs!$B$35+(ArtifactsInput!$M$7-ArtifactsInput!$M$7)*CHOOSE(ArtifactsInput!$N$7+1,6,7.2,8.4,9.6,10.8,12))+IF(Inputs!$B$3&gt;=117,F863,0))/100))+MIN((Skills!S28*(1+((Inputs!$B$35+(ArtifactsInput!$M$7-ArtifactsInput!$M$7)*CHOOSE(ArtifactsInput!$N$7+1,6,7.2,8.4,9.6,10.8,12))+IF(Inputs!$B$3&gt;=117,F863,0))/100)),MAX(0,Inputs!$B$44-((R865-1)*Skills!D28))))/Inputs!$B$44),IF(Inputs!$B$39="pvp",MIN((Skills!S28*(1+((Inputs!$B$35+(ArtifactsInput!$M$7-ArtifactsInput!$M$7)*CHOOSE(ArtifactsInput!$N$7+1,6,7.2,8.4,9.6,10.8,12))+IF(Inputs!$B$3&gt;=117,F863,0))/100)),15)/15,(Skills!S28*(1+((Inputs!$B$35+(ArtifactsInput!$M$7-ArtifactsInput!$M$7)*CHOOSE(ArtifactsInput!$N$7+1,6,7.2,8.4,9.6,10.8,12))+IF(Inputs!$B$3&gt;=117,F863,0))/100))/Skills!D28)))</f>
        <v/>
      </c>
    </row>
    <row r="873">
      <c r="A873" t="inlineStr">
        <is>
          <t>Actions Per Second</t>
        </is>
      </c>
      <c r="B873">
        <f>1+MIN(150,150*(1-(1-Inputs!$B$12/150)*(1-B872/150)))/100</f>
        <v/>
      </c>
    </row>
    <row r="874">
      <c r="A874" t="inlineStr">
        <is>
          <t>Skill + Buff Cast Rate</t>
        </is>
      </c>
      <c r="B874">
        <f>IF(AND(Inputs!$B$39&lt;&gt;"pvp",Inputs!$B$44&gt;0),SUMPRODUCT((Skills!E2:E28=TRUE)*(C839:C865=TRUE)*R839:R865)/Inputs!$B$44,SUMPRODUCT((Skills!E2:E28=TRUE)*(C839:C865=TRUE)*Q839:Q865))</f>
        <v/>
      </c>
    </row>
    <row r="875">
      <c r="A875" t="inlineStr">
        <is>
          <t>Big Bang Casts Per Second</t>
        </is>
      </c>
      <c r="B875">
        <f>MAX(0,B873-B874)</f>
        <v/>
      </c>
    </row>
    <row r="876">
      <c r="A876" t="inlineStr">
        <is>
          <t>Defense % Bonus (Divine Protection)</t>
        </is>
      </c>
      <c r="B876">
        <f>IF(C850=TRUE,F850*IF(AND(Inputs!$B$39&lt;&gt;"pvp",Inputs!$B$44&gt;0),(((R850-1)*(Skills!S13*(1+((Inputs!$B$35+(ArtifactsInput!$M$7-ArtifactsInput!$M$7)*CHOOSE(ArtifactsInput!$N$7+1,6,7.2,8.4,9.6,10.8,12))+IF(Inputs!$B$3&gt;=117,F863,0))/100))+MIN((Skills!S13*(1+((Inputs!$B$35+(ArtifactsInput!$M$7-ArtifactsInput!$M$7)*CHOOSE(ArtifactsInput!$N$7+1,6,7.2,8.4,9.6,10.8,12))+IF(Inputs!$B$3&gt;=117,F863,0))/100)),MAX(0,Inputs!$B$44-((R850-1)*Skills!D13))))/Inputs!$B$44),IF(Inputs!$B$39="pvp",MIN((Skills!S13*(1+((Inputs!$B$35+(ArtifactsInput!$M$7-ArtifactsInput!$M$7)*CHOOSE(ArtifactsInput!$N$7+1,6,7.2,8.4,9.6,10.8,12))+IF(Inputs!$B$3&gt;=117,F863,0))/100)),15)/15,(Skills!S13*(1+((Inputs!$B$35+(ArtifactsInput!$M$7-ArtifactsInput!$M$7)*CHOOSE(ArtifactsInput!$N$7+1,6,7.2,8.4,9.6,10.8,12))+IF(Inputs!$B$3&gt;=117,F863,0))/100))/Skills!D13)),0)</f>
        <v/>
      </c>
    </row>
    <row r="877">
      <c r="A877" t="inlineStr">
        <is>
          <t>Buff-Casting Startup Delay (s, fixed-duration only)</t>
        </is>
      </c>
      <c r="B877">
        <f>IF(AND(Inputs!$B$39&lt;&gt;"pvp",Inputs!$B$44&gt;0),SUMPRODUCT((Skills!S2:S28&gt;0)*(Skills!E2:E28=TRUE)*(C839:C865=TRUE))/B873,0)</f>
        <v/>
      </c>
    </row>
    <row r="878">
      <c r="A878" t="inlineStr">
        <is>
          <t>Boss-Only Total DPS (this block's swept value)</t>
        </is>
      </c>
      <c r="B878">
        <f>SUM(S839:S865)</f>
        <v/>
      </c>
    </row>
    <row r="879">
      <c r="A879" t="inlineStr">
        <is>
          <t>Normal-Only Total DPS (this block's swept value)</t>
        </is>
      </c>
      <c r="B879">
        <f>SUM(U839:U865)</f>
        <v/>
      </c>
    </row>
    <row r="880">
      <c r="A880" s="6" t="inlineStr">
        <is>
          <t>TOTAL DPS</t>
        </is>
      </c>
      <c r="B880" s="6">
        <f>SUM(O839:O865)</f>
        <v/>
      </c>
    </row>
    <row r="882">
      <c r="A882" s="6" t="inlineStr">
        <is>
          <t>Stat: Skill Level Bonus — 2nd Job</t>
        </is>
      </c>
    </row>
    <row r="883">
      <c r="A883" s="5" t="inlineStr">
        <is>
          <t>Key</t>
        </is>
      </c>
      <c r="B883" s="5" t="inlineStr">
        <is>
          <t>Name</t>
        </is>
      </c>
      <c r="C883" s="5" t="inlineStr">
        <is>
          <t>Unlocked</t>
        </is>
      </c>
      <c r="D883" s="5" t="inlineStr">
        <is>
          <t>InputLevel</t>
        </is>
      </c>
      <c r="E883" s="5" t="inlineStr">
        <is>
          <t>Factor</t>
        </is>
      </c>
      <c r="F883" s="5" t="inlineStr">
        <is>
          <t>CoefficientPercent</t>
        </is>
      </c>
      <c r="G883" s="5" t="inlineStr">
        <is>
          <t>EffectiveHits</t>
        </is>
      </c>
      <c r="H883" s="5" t="inlineStr">
        <is>
          <t>ProcProbability</t>
        </is>
      </c>
      <c r="I883" s="5" t="inlineStr">
        <is>
          <t>MapleHeroMultiplier</t>
        </is>
      </c>
      <c r="J883" s="5" t="inlineStr">
        <is>
          <t>BaseDamage</t>
        </is>
      </c>
      <c r="K883" s="5" t="inlineStr">
        <is>
          <t>BaseHitDamage</t>
        </is>
      </c>
      <c r="L883" s="5" t="inlineStr">
        <is>
          <t>NonCritAvg</t>
        </is>
      </c>
      <c r="M883" s="5" t="inlineStr">
        <is>
          <t>CritAvg</t>
        </is>
      </c>
      <c r="N883" s="5" t="inlineStr">
        <is>
          <t>ExpectedDamage(perHit)</t>
        </is>
      </c>
      <c r="O883" s="5" t="inlineStr">
        <is>
          <t>DPS</t>
        </is>
      </c>
      <c r="P883" s="5" t="inlineStr">
        <is>
          <t>% of Total</t>
        </is>
      </c>
      <c r="R883" t="inlineStr">
        <is>
          <t>helpers</t>
        </is>
      </c>
    </row>
    <row r="884">
      <c r="A884">
        <f>Skills!A2</f>
        <v/>
      </c>
      <c r="B884">
        <f>Skills!B2</f>
        <v/>
      </c>
      <c r="C884">
        <f>Inputs!$B$3&gt;=100</f>
        <v/>
      </c>
      <c r="D884" t="inlineStr"/>
      <c r="E884" t="inlineStr"/>
      <c r="F884">
        <f>T886+Skills!N2</f>
        <v/>
      </c>
      <c r="G884">
        <f>Calc!G2</f>
        <v/>
      </c>
      <c r="H884">
        <f>Calc!H2</f>
        <v/>
      </c>
      <c r="I884">
        <f>IF(Skills!T2&lt;&gt;"",1+(Skills!T2/10)*($Z$3/1000)/100,1)</f>
        <v/>
      </c>
      <c r="J884">
        <f>((Inputs!$B$6*(1+Inputs!$B$7/100))+(((Inputs!$B$13*(1+Inputs!$B$14/100))-(Inputs!$B$13*(1+Inputs!$B$14/100)))+0.25*(Inputs!$B$15-Inputs!$B$15))*(1+Inputs!$B$7/100))*(F884/100)</f>
        <v/>
      </c>
      <c r="K884">
        <f>J884*(1+(((Inputs!$B$13+IF(Inputs!$B$3&gt;=35,(10*INDEX(FactorTable!$B$2:$Y$301,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2="TRIUMPH_FEATHER",IF(C898=TRUE,F898,0),0)/100)*(1+IF(C909=TRUE,F909,0)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884)</f>
        <v/>
      </c>
      <c r="L884">
        <f>K884*(MIN(Inputs!$B$23+(F904-Calc!F22),(Inputs!$B$24+IF(ArtifactsInput!$M$15,CHOOSE(ArtifactsInput!$N$15+1,25,30,35,40,45,50)/100*(Inputs!$B$12-Inputs!$B$12),0)))/100+(Inputs!$B$24+IF(ArtifactsInput!$M$15,CHOOSE(ArtifactsInput!$N$15+1,25,30,35,40,45,50)/100*(Inputs!$B$12-Inputs!$B$12),0))/100)/2</f>
        <v/>
      </c>
      <c r="M884">
        <f>L884*(1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4">
        <f>L884*(1-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(1-Summary!$B$11)*S884+Summary!$B$11*U884</f>
        <v/>
      </c>
      <c r="P884">
        <f>IF(B925=0,0,O884/B925)</f>
        <v/>
      </c>
      <c r="Q884">
        <f>IFERROR(1/(IF(Inputs!$B$39="pvp",15,MAX(0.1,Skills!D2-IF(Skills!E2=TRUE,Inputs!$B$33,0)))*(1-IF(AND(ArtifactsInput!$M$27,Inputs!$B$4="Chapter Hunt"),CHOOSE(ArtifactsInput!$N$27+1,20,24,28,32,36,40),0)/100)),0)</f>
        <v/>
      </c>
      <c r="R884" t="n">
        <v>0</v>
      </c>
      <c r="S884">
        <f>IF(C884,(Skills!F2*N884*B920)*IF(Inputs!$B$39="pvp",1,1+(Inputs!$B$21+Skills!O2+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884*(1-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84">
        <f>MAX(0,(Inputs!$B$3-100)*3)+Inputs!$B$29+Inputs!$B$30</f>
        <v/>
      </c>
      <c r="U884">
        <f>IF(C884,(Skills!F2*N884*B920)*IF(Inputs!$B$39="pvp",1,(1+(Inputs!$B$22+Skills!P2+B914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Skills!A3</f>
        <v/>
      </c>
      <c r="B885">
        <f>Skills!B3</f>
        <v/>
      </c>
      <c r="C885">
        <f>Inputs!$B$3&gt;=15</f>
        <v/>
      </c>
      <c r="D885">
        <f>IF(Skills!C3=1,60+Inputs!$B$26+Inputs!$B$30,IF(Skills!C3=2,90+(Inputs!$B$27+1)+Inputs!$B$30,IF(Skills!C3=3,120+Inputs!$B$28+Inputs!$B$30,MAX(0,(Inputs!$B$3-100)*3)+Inputs!$B$29+Inputs!$B$30)))</f>
        <v/>
      </c>
      <c r="E885">
        <f>INDEX(FactorTable!$B$2:$Y$301, MATCH(ROUND(MIN(300,MAX(1,D885)),0), FactorTable!$A$2:$A$301,0), Skills!L3+1)</f>
        <v/>
      </c>
      <c r="F885">
        <f>IF(Skills!M3=TRUE,(Skills!K3/10)*(E885/1000),Skills!K3/10)+Skills!N3</f>
        <v/>
      </c>
      <c r="G885">
        <f>Calc!G3</f>
        <v/>
      </c>
      <c r="H885">
        <f>Calc!H3</f>
        <v/>
      </c>
      <c r="I885">
        <f>IF(Skills!T3&lt;&gt;"",1+(Skills!T3/10)*($Z$3/1000)/100,1)</f>
        <v/>
      </c>
      <c r="J885" t="inlineStr"/>
      <c r="K885" t="inlineStr"/>
      <c r="L885" t="inlineStr"/>
      <c r="M885" t="inlineStr"/>
      <c r="N885" t="inlineStr"/>
      <c r="O885">
        <f>(1-Summary!$B$11)*S885+Summary!$B$11*U885</f>
        <v/>
      </c>
      <c r="P885">
        <f>IF(B925=0,0,O885/B925)</f>
        <v/>
      </c>
      <c r="Q885">
        <f>IFERROR(1/(IF(Inputs!$B$39="pvp",15,MAX(0.1,Skills!D3-IF(Skills!E3=TRUE,Inputs!$B$33,0)))*(1-IF(AND(ArtifactsInput!$M$27,Inputs!$B$4="Chapter Hunt"),CHOOSE(ArtifactsInput!$N$27+1,20,24,28,32,36,40),0)/100)),0)</f>
        <v/>
      </c>
      <c r="R885">
        <f>IF(AND(Inputs!$B$39&lt;&gt;"pvp",Inputs!$B$44&gt;0),IF(Inputs!$B$44&lt;=0,0,(INT(Inputs!$B$44/(IF(Inputs!$B$39="pvp",15,MAX(0.1,Skills!D3-IF(Skills!E3=TRUE,Inputs!$B$33,0)))*(1-IF(AND(ArtifactsInput!$M$27,Inputs!$B$4="Chapter Hunt"),CHOOSE(ArtifactsInput!$N$27+1,20,24,28,32,36,40),0)/100)))+1)),0)</f>
        <v/>
      </c>
      <c r="S885" t="n">
        <v>0</v>
      </c>
      <c r="T885">
        <f>INDEX(FactorTable!$B$2:$Y$301, MATCH(ROUND(MIN(300,MAX(1,T884)),0), FactorTable!$A$2:$A$301,0), 22)</f>
        <v/>
      </c>
      <c r="U885" t="n">
        <v>0</v>
      </c>
    </row>
    <row r="886">
      <c r="A886">
        <f>Skills!A4</f>
        <v/>
      </c>
      <c r="B886">
        <f>Skills!B4</f>
        <v/>
      </c>
      <c r="C886">
        <f>Inputs!$B$3&gt;=38</f>
        <v/>
      </c>
      <c r="D886">
        <f>IF(Skills!C4=1,60+Inputs!$B$26+Inputs!$B$30,IF(Skills!C4=2,90+(Inputs!$B$27+1)+Inputs!$B$30,IF(Skills!C4=3,120+Inputs!$B$28+Inputs!$B$30,MAX(0,(Inputs!$B$3-100)*3)+Inputs!$B$29+Inputs!$B$30)))</f>
        <v/>
      </c>
      <c r="E886">
        <f>INDEX(FactorTable!$B$2:$Y$301, MATCH(ROUND(MIN(300,MAX(1,D886)),0), FactorTable!$A$2:$A$301,0), Skills!L4+1)</f>
        <v/>
      </c>
      <c r="F886">
        <f>IF(Skills!M4=TRUE,(Skills!K4/10)*(E886/1000),Skills!K4/10)+Skills!N4</f>
        <v/>
      </c>
      <c r="G886">
        <f>Calc!G4</f>
        <v/>
      </c>
      <c r="H886">
        <f>Calc!H4</f>
        <v/>
      </c>
      <c r="I886">
        <f>IF(Skills!T4&lt;&gt;"",1+(Skills!T4/10)*($Z$3/1000)/100,1)</f>
        <v/>
      </c>
      <c r="J886" t="inlineStr"/>
      <c r="K886" t="inlineStr"/>
      <c r="L886" t="inlineStr"/>
      <c r="M886" t="inlineStr"/>
      <c r="N886" t="inlineStr"/>
      <c r="O886">
        <f>(1-Summary!$B$11)*S886+Summary!$B$11*U886</f>
        <v/>
      </c>
      <c r="P886">
        <f>IF(B925=0,0,O886/B925)</f>
        <v/>
      </c>
      <c r="Q886">
        <f>IFERROR(1/(IF(Inputs!$B$39="pvp",15,MAX(0.1,Skills!D4-IF(Skills!E4=TRUE,Inputs!$B$33,0)))*(1-IF(AND(ArtifactsInput!$M$27,Inputs!$B$4="Chapter Hunt"),CHOOSE(ArtifactsInput!$N$27+1,20,24,28,32,36,40),0)/100)),0)</f>
        <v/>
      </c>
      <c r="R886">
        <f>IF(AND(Inputs!$B$39&lt;&gt;"pvp",Inputs!$B$44&gt;0),IF(Inputs!$B$44&lt;=0,0,(INT(Inputs!$B$44/(IF(Inputs!$B$39="pvp",15,MAX(0.1,Skills!D4-IF(Skills!E4=TRUE,Inputs!$B$33,0)))*(1-IF(AND(ArtifactsInput!$M$27,Inputs!$B$4="Chapter Hunt"),CHOOSE(ArtifactsInput!$N$27+1,20,24,28,32,36,40),0)/100)))+1)),0)</f>
        <v/>
      </c>
      <c r="S886" t="n">
        <v>0</v>
      </c>
      <c r="T886">
        <f>290*T885/1000</f>
        <v/>
      </c>
      <c r="U886" t="n">
        <v>0</v>
      </c>
    </row>
    <row r="887">
      <c r="A887">
        <f>Skills!A5</f>
        <v/>
      </c>
      <c r="B887">
        <f>Skills!B5</f>
        <v/>
      </c>
      <c r="C887">
        <f>Inputs!$B$3&gt;=40</f>
        <v/>
      </c>
      <c r="D887">
        <f>IF(Skills!C5=1,60+Inputs!$B$26+Inputs!$B$30,IF(Skills!C5=2,90+(Inputs!$B$27+1)+Inputs!$B$30,IF(Skills!C5=3,120+Inputs!$B$28+Inputs!$B$30,MAX(0,(Inputs!$B$3-100)*3)+Inputs!$B$29+Inputs!$B$30)))</f>
        <v/>
      </c>
      <c r="E887">
        <f>INDEX(FactorTable!$B$2:$Y$301, MATCH(ROUND(MIN(300,MAX(1,D887)),0), FactorTable!$A$2:$A$301,0), Skills!L5+1)</f>
        <v/>
      </c>
      <c r="F887">
        <f>IF(Skills!M5=TRUE,(Skills!K5/10)*(E887/1000),Skills!K5/10)+Skills!N5</f>
        <v/>
      </c>
      <c r="G887">
        <f>Calc!G5</f>
        <v/>
      </c>
      <c r="H887">
        <f>Calc!H5</f>
        <v/>
      </c>
      <c r="I887">
        <f>IF(Skills!T5&lt;&gt;"",1+(Skills!T5/10)*($Z$3/1000)/100,1)</f>
        <v/>
      </c>
      <c r="J887" t="inlineStr"/>
      <c r="K887" t="inlineStr"/>
      <c r="L887" t="inlineStr"/>
      <c r="M887" t="inlineStr"/>
      <c r="N887" t="inlineStr"/>
      <c r="O887">
        <f>(1-Summary!$B$11)*S887+Summary!$B$11*U887</f>
        <v/>
      </c>
      <c r="P887">
        <f>IF(B925=0,0,O887/B925)</f>
        <v/>
      </c>
      <c r="Q887">
        <f>IFERROR(1/(IF(Inputs!$B$39="pvp",15,MAX(0.1,Skills!D5-IF(Skills!E5=TRUE,Inputs!$B$33,0)))*(1-IF(AND(ArtifactsInput!$M$27,Inputs!$B$4="Chapter Hunt"),CHOOSE(ArtifactsInput!$N$27+1,20,24,28,32,36,40),0)/100)),0)</f>
        <v/>
      </c>
      <c r="R887">
        <f>IF(AND(Inputs!$B$39&lt;&gt;"pvp",Inputs!$B$44&gt;0),IF(Inputs!$B$44&lt;=0,0,(INT(Inputs!$B$44/(IF(Inputs!$B$39="pvp",15,MAX(0.1,Skills!D5-IF(Skills!E5=TRUE,Inputs!$B$33,0)))*(1-IF(AND(ArtifactsInput!$M$27,Inputs!$B$4="Chapter Hunt"),CHOOSE(ArtifactsInput!$N$27+1,20,24,28,32,36,40),0)/100)))+1)),0)</f>
        <v/>
      </c>
      <c r="S887" t="n">
        <v>0</v>
      </c>
      <c r="U887" t="n">
        <v>0</v>
      </c>
    </row>
    <row r="888">
      <c r="A888">
        <f>Skills!A6</f>
        <v/>
      </c>
      <c r="B888">
        <f>Skills!B6</f>
        <v/>
      </c>
      <c r="C888">
        <f>Inputs!$B$3&gt;=103</f>
        <v/>
      </c>
      <c r="D888">
        <f>IF(Skills!C6=1,60+Inputs!$B$26+Inputs!$B$30,IF(Skills!C6=2,90+(Inputs!$B$27+1)+Inputs!$B$30,IF(Skills!C6=3,120+Inputs!$B$28+Inputs!$B$30,MAX(0,(Inputs!$B$3-100)*3)+Inputs!$B$29+Inputs!$B$30)))</f>
        <v/>
      </c>
      <c r="E888">
        <f>INDEX(FactorTable!$B$2:$Y$301, MATCH(ROUND(MIN(300,MAX(1,D888)),0), FactorTable!$A$2:$A$301,0), Skills!L6+1)</f>
        <v/>
      </c>
      <c r="F888">
        <f>IF(Skills!M6=TRUE,(Skills!K6/10)*(E888/1000),Skills!K6/10)+Skills!N6</f>
        <v/>
      </c>
      <c r="G888">
        <f>Calc!G6</f>
        <v/>
      </c>
      <c r="H888">
        <f>Calc!H6</f>
        <v/>
      </c>
      <c r="I888">
        <f>IF(Skills!T6&lt;&gt;"",1+(Skills!T6/10)*($Z$3/1000)/100,1)</f>
        <v/>
      </c>
      <c r="J888">
        <f>((Inputs!$B$6*(1+Inputs!$B$7/100))+(((Inputs!$B$13*(1+Inputs!$B$14/100))-(Inputs!$B$13*(1+Inputs!$B$14/100)))+0.25*(Inputs!$B$15-Inputs!$B$15))*(1+Inputs!$B$7/100))*(F888/100)</f>
        <v/>
      </c>
      <c r="K888">
        <f>J888*(1+(((Inputs!$B$13+IF(Inputs!$B$3&gt;=35,(10*INDEX(FactorTable!$B$2:$Y$301,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6="TRIUMPH_FEATHER",IF(C898=TRUE,F898,0),0)/100)*(1+IF(C909=TRUE,F909,0)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888)</f>
        <v/>
      </c>
      <c r="L888">
        <f>K888*(MIN(Inputs!$B$23+(F904-Calc!F22),(Inputs!$B$24+IF(ArtifactsInput!$M$15,CHOOSE(ArtifactsInput!$N$15+1,25,30,35,40,45,50)/100*(Inputs!$B$12-Inputs!$B$12),0)))/100+(Inputs!$B$24+IF(ArtifactsInput!$M$15,CHOOSE(ArtifactsInput!$N$15+1,25,30,35,40,45,50)/100*(Inputs!$B$12-Inputs!$B$12),0))/100)/2</f>
        <v/>
      </c>
      <c r="M888">
        <f>L888*(1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8">
        <f>L888*(1-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888*(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8">
        <f>(1-Summary!$B$11)*S888+Summary!$B$11*U888</f>
        <v/>
      </c>
      <c r="P888">
        <f>IF(B925=0,0,O888/B925)</f>
        <v/>
      </c>
      <c r="Q888">
        <f>IFERROR(1/(IF(Inputs!$B$39="pvp",15,MAX(0.1,Skills!D6-IF(Skills!E6=TRUE,Inputs!$B$33,0)))*(1-IF(AND(ArtifactsInput!$M$27,Inputs!$B$4="Chapter Hunt"),CHOOSE(ArtifactsInput!$N$27+1,20,24,28,32,36,40),0)/100)),0)</f>
        <v/>
      </c>
      <c r="R888">
        <f>IF(AND(Inputs!$B$39&lt;&gt;"pvp",Inputs!$B$44&gt;0),IF(MAX(0,Inputs!$B$44-B922)&lt;=0,0,(INT(MAX(0,Inputs!$B$44-B922)/(IF(Inputs!$B$39="pvp",15,MAX(0.1,Skills!D6-IF(Skills!E6=TRUE,Inputs!$B$33,0)))*(1-IF(AND(ArtifactsInput!$M$27,Inputs!$B$4="Chapter Hunt"),CHOOSE(ArtifactsInput!$N$27+1,20,24,28,32,36,40),0)/100)))+1)),0)</f>
        <v/>
      </c>
      <c r="S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$21+Skills!O6+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888*(1-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888*(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888*(1-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888*(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$22+Skills!P6+B914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9">
      <c r="A889">
        <f>Skills!A7</f>
        <v/>
      </c>
      <c r="B889">
        <f>Skills!B7</f>
        <v/>
      </c>
      <c r="C889">
        <f>Inputs!$B$3&gt;=122</f>
        <v/>
      </c>
      <c r="D889">
        <f>IF(Skills!C7=1,60+Inputs!$B$26+Inputs!$B$30,IF(Skills!C7=2,90+(Inputs!$B$27+1)+Inputs!$B$30,IF(Skills!C7=3,120+Inputs!$B$28+Inputs!$B$30,MAX(0,(Inputs!$B$3-100)*3)+Inputs!$B$29+Inputs!$B$30)))</f>
        <v/>
      </c>
      <c r="E889">
        <f>INDEX(FactorTable!$B$2:$Y$301, MATCH(ROUND(MIN(300,MAX(1,D889)),0), FactorTable!$A$2:$A$301,0), Skills!L7+1)</f>
        <v/>
      </c>
      <c r="F889">
        <f>IF(Skills!M7=TRUE,(Skills!K7/10)*(E889/1000),Skills!K7/10)+Skills!N7</f>
        <v/>
      </c>
      <c r="G889">
        <f>Calc!G7</f>
        <v/>
      </c>
      <c r="H889">
        <f>Calc!H7</f>
        <v/>
      </c>
      <c r="I889">
        <f>IF(Skills!T7&lt;&gt;"",1+(Skills!T7/10)*($Z$3/1000)/100,1)</f>
        <v/>
      </c>
      <c r="J889">
        <f>((Inputs!$B$6*(1+Inputs!$B$7/100))+(((Inputs!$B$13*(1+Inputs!$B$14/100))-(Inputs!$B$13*(1+Inputs!$B$14/100)))+0.25*(Inputs!$B$15-Inputs!$B$15))*(1+Inputs!$B$7/100))*(F889/100)</f>
        <v/>
      </c>
      <c r="K889">
        <f>J889*(1+(((Inputs!$B$13+IF(Inputs!$B$3&gt;=35,(10*INDEX(FactorTable!$B$2:$Y$301,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7="TRIUMPH_FEATHER",IF(C898=TRUE,F898,0),0)/100)*(1+IF(C909=TRUE,F909,0)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889)</f>
        <v/>
      </c>
      <c r="L889">
        <f>K889*(MIN(Inputs!$B$23+(F904-Calc!F22),(Inputs!$B$24+IF(ArtifactsInput!$M$15,CHOOSE(ArtifactsInput!$N$15+1,25,30,35,40,45,50)/100*(Inputs!$B$12-Inputs!$B$12),0)))/100+(Inputs!$B$24+IF(ArtifactsInput!$M$15,CHOOSE(ArtifactsInput!$N$15+1,25,30,35,40,45,50)/100*(Inputs!$B$12-Inputs!$B$12),0))/100)/2</f>
        <v/>
      </c>
      <c r="M889">
        <f>L889*(1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9">
        <f>L889*(1-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889*(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9">
        <f>(1-Summary!$B$11)*S889+Summary!$B$11*U889</f>
        <v/>
      </c>
      <c r="P889">
        <f>IF(B925=0,0,O889/B925)</f>
        <v/>
      </c>
      <c r="Q889">
        <f>IFERROR(1/(IF(Inputs!$B$39="pvp",15,MAX(0.1,Skills!D7-IF(Skills!E6=TRUE,Inputs!$B$33,0)))*(1-IF(AND(ArtifactsInput!$M$27,Inputs!$B$4="Chapter Hunt"),CHOOSE(ArtifactsInput!$N$27+1,20,24,28,32,36,40),0)/100)),0)</f>
        <v/>
      </c>
      <c r="R889">
        <f>IF(AND(Inputs!$B$39&lt;&gt;"pvp",Inputs!$B$44&gt;0),IF(MAX(0,Inputs!$B$44-B922)&lt;=0,0,(INT(MAX(0,Inputs!$B$44-B922)/(IF(Inputs!$B$39="pvp",15,MAX(0.1,Skills!D7-IF(Skills!E6=TRUE,Inputs!$B$33,0)))*(1-IF(AND(ArtifactsInput!$M$27,Inputs!$B$4="Chapter Hunt"),CHOOSE(ArtifactsInput!$N$27+1,20,24,28,32,36,40),0)/100)))+1)),0)</f>
        <v/>
      </c>
      <c r="S889">
        <f>IF(C889,H889*N889*IF(AND(Inputs!$B$39&lt;&gt;"pvp",Inputs!$B$44&gt;0),((Skills!F7*((R889-1)*IF(Skills!G7&gt;0,Skills!H7/Skills!G7,1)+IF(Skills!G7&gt;0,MIN(Skills!H7,MAX(0,MAX(0,Inputs!$B$44-B922)-((R889-1)*(IF(Inputs!$B$39="pvp",15,MAX(0.1,Skills!D7-IF(Skills!E6=TRUE,Inputs!$B$33,0)))*(1-IF(AND(ArtifactsInput!$M$27,Inputs!$B$4="Chapter Hunt"),CHOOSE(ArtifactsInput!$N$27+1,20,24,28,32,36,40),0)/100)))))/Skills!G7,1)))/Inputs!$B$44),G889*Q889)*IF(Inputs!$B$39="pvp",1,1+(Inputs!$B$21+Skills!O7+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889*(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889*(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9" t="n">
        <v>0</v>
      </c>
    </row>
    <row r="890">
      <c r="A890">
        <f>Skills!A8</f>
        <v/>
      </c>
      <c r="B890">
        <f>Skills!B8</f>
        <v/>
      </c>
      <c r="C890">
        <f>Inputs!$B$3&gt;=105</f>
        <v/>
      </c>
      <c r="D890">
        <f>IF(Skills!C8=1,60+Inputs!$B$26+Inputs!$B$30,IF(Skills!C8=2,90+(Inputs!$B$27+1)+Inputs!$B$30,IF(Skills!C8=3,120+Inputs!$B$28+Inputs!$B$30,MAX(0,(Inputs!$B$3-100)*3)+Inputs!$B$29+Inputs!$B$30)))</f>
        <v/>
      </c>
      <c r="E890">
        <f>INDEX(FactorTable!$B$2:$Y$301, MATCH(ROUND(MIN(300,MAX(1,D890)),0), FactorTable!$A$2:$A$301,0), Skills!L8+1)</f>
        <v/>
      </c>
      <c r="F890">
        <f>IF(Skills!M8=TRUE,(Skills!K8/10)*(E890/1000),Skills!K8/10)+Skills!N8</f>
        <v/>
      </c>
      <c r="G890">
        <f>Calc!G8</f>
        <v/>
      </c>
      <c r="H890">
        <f>Calc!H8</f>
        <v/>
      </c>
      <c r="I890">
        <f>IF(Skills!T8&lt;&gt;"",1+(Skills!T8/10)*($Z$3/1000)/100,1)</f>
        <v/>
      </c>
      <c r="J890">
        <f>((Inputs!$B$6*(1+Inputs!$B$7/100))+(((Inputs!$B$13*(1+Inputs!$B$14/100))-(Inputs!$B$13*(1+Inputs!$B$14/100)))+0.25*(Inputs!$B$15-Inputs!$B$15))*(1+Inputs!$B$7/100))*(F890/100)</f>
        <v/>
      </c>
      <c r="K890">
        <f>J890*(1+(((Inputs!$B$13+IF(Inputs!$B$3&gt;=35,(10*INDEX(FactorTable!$B$2:$Y$301,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8="TRIUMPH_FEATHER",IF(C898=TRUE,F898,0),0)/100)*(1+IF(C909=TRUE,F909,0)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890)</f>
        <v/>
      </c>
      <c r="L890">
        <f>K890*(MIN(Inputs!$B$23+(F904-Calc!F22),(Inputs!$B$24+IF(ArtifactsInput!$M$15,CHOOSE(ArtifactsInput!$N$15+1,25,30,35,40,45,50)/100*(Inputs!$B$12-Inputs!$B$12),0)))/100+(Inputs!$B$24+IF(ArtifactsInput!$M$15,CHOOSE(ArtifactsInput!$N$15+1,25,30,35,40,45,50)/100*(Inputs!$B$12-Inputs!$B$12),0))/100)/2</f>
        <v/>
      </c>
      <c r="M890">
        <f>L890*(1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0">
        <f>L890*(1-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890*(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0">
        <f>(1-Summary!$B$11)*S890+Summary!$B$11*U890</f>
        <v/>
      </c>
      <c r="P890">
        <f>IF(B925=0,0,O890/B925)</f>
        <v/>
      </c>
      <c r="Q890">
        <f>IFERROR(1/(IF(Inputs!$B$39="pvp",15,MAX(0.1,Skills!D8-IF(Skills!E8=TRUE,Inputs!$B$33,0)))*(1-IF(AND(ArtifactsInput!$M$27,Inputs!$B$4="Chapter Hunt"),CHOOSE(ArtifactsInput!$N$27+1,20,24,28,32,36,40),0)/100)),0)</f>
        <v/>
      </c>
      <c r="R890">
        <f>IF(AND(Inputs!$B$39&lt;&gt;"pvp",Inputs!$B$44&gt;0),IF(MAX(0,Inputs!$B$44-B922)&lt;=0,0,(INT(MAX(0,Inputs!$B$44-B922)/(IF(Inputs!$B$39="pvp",15,MAX(0.1,Skills!D8-IF(Skills!E8=TRUE,Inputs!$B$33,0)))*(1-IF(AND(ArtifactsInput!$M$27,Inputs!$B$4="Chapter Hunt"),CHOOSE(ArtifactsInput!$N$27+1,20,24,28,32,36,40),0)/100)))+1)),0)</f>
        <v/>
      </c>
      <c r="S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$21+Skills!O8+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890*(1-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890*(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890*(1-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890*(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$22+Skills!P8+B914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1">
      <c r="A891">
        <f>Skills!A9</f>
        <v/>
      </c>
      <c r="B891">
        <f>Skills!B9</f>
        <v/>
      </c>
      <c r="C891">
        <f>Inputs!$B$3&gt;=115</f>
        <v/>
      </c>
      <c r="D891">
        <f>IF(Skills!C9=1,60+Inputs!$B$26+Inputs!$B$30,IF(Skills!C9=2,90+(Inputs!$B$27+1)+Inputs!$B$30,IF(Skills!C9=3,120+Inputs!$B$28+Inputs!$B$30,MAX(0,(Inputs!$B$3-100)*3)+Inputs!$B$29+Inputs!$B$30)))</f>
        <v/>
      </c>
      <c r="E891">
        <f>INDEX(FactorTable!$B$2:$Y$301, MATCH(ROUND(MIN(300,MAX(1,D891)),0), FactorTable!$A$2:$A$301,0), Skills!L9+1)</f>
        <v/>
      </c>
      <c r="F891">
        <f>IF(Skills!M9=TRUE,(Skills!K9/10)*(E891/1000),Skills!K9/10)+Skills!N9</f>
        <v/>
      </c>
      <c r="G891">
        <f>Calc!G9</f>
        <v/>
      </c>
      <c r="H891">
        <f>Calc!H9</f>
        <v/>
      </c>
      <c r="I891">
        <f>IF(Skills!T9&lt;&gt;"",1+(Skills!T9/10)*($Z$3/1000)/100,1)</f>
        <v/>
      </c>
      <c r="J891">
        <f>((Inputs!$B$6*(1+Inputs!$B$7/100))+(((Inputs!$B$13*(1+Inputs!$B$14/100))-(Inputs!$B$13*(1+Inputs!$B$14/100)))+0.25*(Inputs!$B$15-Inputs!$B$15))*(1+Inputs!$B$7/100))*(F891/100)</f>
        <v/>
      </c>
      <c r="K891">
        <f>J891*(1+(((Inputs!$B$13+IF(Inputs!$B$3&gt;=35,(10*INDEX(FactorTable!$B$2:$Y$301,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9="TRIUMPH_FEATHER",IF(C898=TRUE,F898,0),0)/100)*(1+IF(C909=TRUE,F909,0)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891)</f>
        <v/>
      </c>
      <c r="L891">
        <f>K891*(MIN(Inputs!$B$23+(F904-Calc!F22),(Inputs!$B$24+IF(ArtifactsInput!$M$15,CHOOSE(ArtifactsInput!$N$15+1,25,30,35,40,45,50)/100*(Inputs!$B$12-Inputs!$B$12),0)))/100+(Inputs!$B$24+IF(ArtifactsInput!$M$15,CHOOSE(ArtifactsInput!$N$15+1,25,30,35,40,45,50)/100*(Inputs!$B$12-Inputs!$B$12),0))/100)/2</f>
        <v/>
      </c>
      <c r="M891">
        <f>L891*(1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1">
        <f>L891*(1-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1">
        <f>(1-Summary!$B$11)*S891+Summary!$B$11*U891</f>
        <v/>
      </c>
      <c r="P891">
        <f>IF(B925=0,0,O891/B925)</f>
        <v/>
      </c>
      <c r="Q891">
        <f>IFERROR(1/(IF(Inputs!$B$39="pvp",15,MAX(0.1,Skills!D9-IF(Skills!E9=TRUE,Inputs!$B$33,0)))*(1-IF(AND(ArtifactsInput!$M$27,Inputs!$B$4="Chapter Hunt"),CHOOSE(ArtifactsInput!$N$27+1,20,24,28,32,36,40),0)/100)),0)</f>
        <v/>
      </c>
      <c r="R891">
        <f>IF(AND(Inputs!$B$39&lt;&gt;"pvp",Inputs!$B$44&gt;0),IF(MAX(0,Inputs!$B$44-B922)&lt;=0,0,(INT(MAX(0,Inputs!$B$44-B922)/(IF(Inputs!$B$39="pvp",15,MAX(0.1,Skills!D9-IF(Skills!E9=TRUE,Inputs!$B$33,0)))*(1-IF(AND(ArtifactsInput!$M$27,Inputs!$B$4="Chapter Hunt"),CHOOSE(ArtifactsInput!$N$27+1,20,24,28,32,36,40),0)/100)))+1)),0)</f>
        <v/>
      </c>
      <c r="S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$21+Skills!O9+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891*(1-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$22+Skills!P9+B914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2">
      <c r="A892">
        <f>Skills!A10</f>
        <v/>
      </c>
      <c r="B892">
        <f>Skills!B10</f>
        <v/>
      </c>
      <c r="C892">
        <f>Inputs!$B$3&gt;=66</f>
        <v/>
      </c>
      <c r="D892">
        <f>IF(Skills!C10=1,60+Inputs!$B$26+Inputs!$B$30,IF(Skills!C10=2,90+(Inputs!$B$27+1)+Inputs!$B$30,IF(Skills!C10=3,120+Inputs!$B$28+Inputs!$B$30,MAX(0,(Inputs!$B$3-100)*3)+Inputs!$B$29+Inputs!$B$30)))</f>
        <v/>
      </c>
      <c r="E892">
        <f>INDEX(FactorTable!$B$2:$Y$301, MATCH(ROUND(MIN(300,MAX(1,D892)),0), FactorTable!$A$2:$A$301,0), Skills!L10+1)</f>
        <v/>
      </c>
      <c r="F892" t="n">
        <v>0</v>
      </c>
      <c r="G892">
        <f>Calc!G10</f>
        <v/>
      </c>
      <c r="H892">
        <f>Calc!H10</f>
        <v/>
      </c>
      <c r="I892">
        <f>IF(Skills!T10&lt;&gt;"",1+(Skills!T10/10)*($Z$3/1000)/100,1)</f>
        <v/>
      </c>
      <c r="J892" t="inlineStr"/>
      <c r="K892" t="inlineStr"/>
      <c r="L892" t="inlineStr"/>
      <c r="M892" t="inlineStr"/>
      <c r="N892" t="inlineStr"/>
      <c r="O892">
        <f>(1-Summary!$B$11)*S892+Summary!$B$11*U892</f>
        <v/>
      </c>
      <c r="P892">
        <f>IF(B925=0,0,O892/B925)</f>
        <v/>
      </c>
      <c r="Q892">
        <f>IFERROR(1/(IF(Inputs!$B$39="pvp",15,MAX(0.1,Skills!D10-IF(Skills!E10=TRUE,Inputs!$B$33,0)))*(1-IF(AND(ArtifactsInput!$M$27,Inputs!$B$4="Chapter Hunt"),CHOOSE(ArtifactsInput!$N$27+1,20,24,28,32,36,40),0)/100)),0)</f>
        <v/>
      </c>
      <c r="R892">
        <f>IF(AND(Inputs!$B$39&lt;&gt;"pvp",Inputs!$B$44&gt;0),IF(MAX(0,Inputs!$B$44-B922)&lt;=0,0,(INT(MAX(0,Inputs!$B$44-B922)/(IF(Inputs!$B$39="pvp",15,MAX(0.1,Skills!D10-IF(Skills!E10=TRUE,Inputs!$B$33,0)))*(1-IF(AND(ArtifactsInput!$M$27,Inputs!$B$4="Chapter Hunt"),CHOOSE(ArtifactsInput!$N$27+1,20,24,28,32,36,40),0)/100)))+1)),0)</f>
        <v/>
      </c>
      <c r="S892" t="n">
        <v>0</v>
      </c>
      <c r="U892" t="n">
        <v>0</v>
      </c>
    </row>
    <row r="893">
      <c r="A893">
        <f>Skills!A11</f>
        <v/>
      </c>
      <c r="B893">
        <f>Skills!B11</f>
        <v/>
      </c>
      <c r="C893">
        <f>Inputs!$B$3&gt;=69</f>
        <v/>
      </c>
      <c r="D893">
        <f>IF(Skills!C11=1,60+Inputs!$B$26+Inputs!$B$30,IF(Skills!C11=2,90+(Inputs!$B$27+1)+Inputs!$B$30,IF(Skills!C11=3,120+Inputs!$B$28+Inputs!$B$30,MAX(0,(Inputs!$B$3-100)*3)+Inputs!$B$29+Inputs!$B$30)))</f>
        <v/>
      </c>
      <c r="E893">
        <f>INDEX(FactorTable!$B$2:$Y$301, MATCH(ROUND(MIN(300,MAX(1,D893)),0), FactorTable!$A$2:$A$301,0), Skills!L11+1)</f>
        <v/>
      </c>
      <c r="F893">
        <f>IF(Skills!M11=TRUE,(Skills!K11/10)*(E893/1000),Skills!K11/10)+Skills!N11</f>
        <v/>
      </c>
      <c r="G893">
        <f>Calc!G11</f>
        <v/>
      </c>
      <c r="H893">
        <f>Calc!H11</f>
        <v/>
      </c>
      <c r="I893">
        <f>IF(Skills!T11&lt;&gt;"",1+(Skills!T11/10)*($Z$3/1000)/100,1)</f>
        <v/>
      </c>
      <c r="J893" t="inlineStr"/>
      <c r="K893" t="inlineStr"/>
      <c r="L893" t="inlineStr"/>
      <c r="M893" t="inlineStr"/>
      <c r="N893" t="inlineStr"/>
      <c r="O893">
        <f>(1-Summary!$B$11)*S893+Summary!$B$11*U893</f>
        <v/>
      </c>
      <c r="P893">
        <f>IF(B925=0,0,O893/B925)</f>
        <v/>
      </c>
      <c r="Q893">
        <f>IFERROR(1/(IF(Inputs!$B$39="pvp",15,MAX(0.1,Skills!D11-IF(Skills!E11=TRUE,Inputs!$B$33,0)))*(1-IF(AND(ArtifactsInput!$M$27,Inputs!$B$4="Chapter Hunt"),CHOOSE(ArtifactsInput!$N$27+1,20,24,28,32,36,40),0)/100)),0)</f>
        <v/>
      </c>
      <c r="R893">
        <f>IF(AND(Inputs!$B$39&lt;&gt;"pvp",Inputs!$B$44&gt;0),IF(Inputs!$B$44&lt;=0,0,(INT(Inputs!$B$44/(IF(Inputs!$B$39="pvp",15,MAX(0.1,Skills!D11-IF(Skills!E11=TRUE,Inputs!$B$33,0)))*(1-IF(AND(ArtifactsInput!$M$27,Inputs!$B$4="Chapter Hunt"),CHOOSE(ArtifactsInput!$N$27+1,20,24,28,32,36,40),0)/100)))+1)),0)</f>
        <v/>
      </c>
      <c r="S893" t="n">
        <v>0</v>
      </c>
      <c r="U893" t="n">
        <v>0</v>
      </c>
    </row>
    <row r="894">
      <c r="A894">
        <f>Skills!A12</f>
        <v/>
      </c>
      <c r="B894">
        <f>Skills!B12</f>
        <v/>
      </c>
      <c r="C894">
        <f>Inputs!$B$3&gt;=72</f>
        <v/>
      </c>
      <c r="D894">
        <f>IF(Skills!C12=1,60+Inputs!$B$26+Inputs!$B$30,IF(Skills!C12=2,90+(Inputs!$B$27+1)+Inputs!$B$30,IF(Skills!C12=3,120+Inputs!$B$28+Inputs!$B$30,MAX(0,(Inputs!$B$3-100)*3)+Inputs!$B$29+Inputs!$B$30)))</f>
        <v/>
      </c>
      <c r="E894">
        <f>INDEX(FactorTable!$B$2:$Y$301, MATCH(ROUND(MIN(300,MAX(1,D894)),0), FactorTable!$A$2:$A$301,0), Skills!L12+1)</f>
        <v/>
      </c>
      <c r="F894">
        <f>IF(Skills!M12=TRUE,(Skills!K12/10)*(E894/1000),Skills!K12/10)+Skills!N12</f>
        <v/>
      </c>
      <c r="G894">
        <f>Calc!G12</f>
        <v/>
      </c>
      <c r="H894">
        <f>Calc!H12</f>
        <v/>
      </c>
      <c r="I894">
        <f>IF(Skills!T12&lt;&gt;"",1+(Skills!T12/10)*($Z$3/1000)/100,1)</f>
        <v/>
      </c>
      <c r="J894" t="inlineStr"/>
      <c r="K894" t="inlineStr"/>
      <c r="L894" t="inlineStr"/>
      <c r="M894" t="inlineStr"/>
      <c r="N894" t="inlineStr"/>
      <c r="O894">
        <f>(1-Summary!$B$11)*S894+Summary!$B$11*U894</f>
        <v/>
      </c>
      <c r="P894">
        <f>IF(B925=0,0,O894/B925)</f>
        <v/>
      </c>
      <c r="Q894">
        <f>IFERROR(1/(IF(Inputs!$B$39="pvp",15,MAX(0.1,Skills!D12-IF(Skills!E12=TRUE,Inputs!$B$33,0)))*(1-IF(AND(ArtifactsInput!$M$27,Inputs!$B$4="Chapter Hunt"),CHOOSE(ArtifactsInput!$N$27+1,20,24,28,32,36,40),0)/100)),0)</f>
        <v/>
      </c>
      <c r="R894">
        <f>IF(AND(Inputs!$B$39&lt;&gt;"pvp",Inputs!$B$44&gt;0),IF(MAX(0,Inputs!$B$44-B922)&lt;=0,0,(INT(MAX(0,Inputs!$B$44-B922)/(IF(Inputs!$B$39="pvp",15,MAX(0.1,Skills!D12-IF(Skills!E12=TRUE,Inputs!$B$33,0)))*(1-IF(AND(ArtifactsInput!$M$27,Inputs!$B$4="Chapter Hunt"),CHOOSE(ArtifactsInput!$N$27+1,20,24,28,32,36,40),0)/100)))+1)),0)</f>
        <v/>
      </c>
      <c r="S894" t="n">
        <v>0</v>
      </c>
      <c r="U894" t="n">
        <v>0</v>
      </c>
    </row>
    <row r="895">
      <c r="A895">
        <f>Skills!A13</f>
        <v/>
      </c>
      <c r="B895">
        <f>Skills!B13</f>
        <v/>
      </c>
      <c r="C895">
        <f>Inputs!$B$3&gt;=60</f>
        <v/>
      </c>
      <c r="D895">
        <f>IF(Skills!C13=1,60+Inputs!$B$26+Inputs!$B$30,IF(Skills!C13=2,90+(Inputs!$B$27+1)+Inputs!$B$30,IF(Skills!C13=3,120+Inputs!$B$28+Inputs!$B$30,MAX(0,(Inputs!$B$3-100)*3)+Inputs!$B$29+Inputs!$B$30)))</f>
        <v/>
      </c>
      <c r="E895">
        <f>INDEX(FactorTable!$B$2:$Y$301, MATCH(ROUND(MIN(300,MAX(1,D895)),0), FactorTable!$A$2:$A$301,0), Skills!L13+1)</f>
        <v/>
      </c>
      <c r="F895">
        <f>IF(Skills!M13=TRUE,(Skills!K13/10)*(E895/1000),Skills!K13/10)+Skills!N13</f>
        <v/>
      </c>
      <c r="G895">
        <f>Calc!G13</f>
        <v/>
      </c>
      <c r="H895">
        <f>Calc!H13</f>
        <v/>
      </c>
      <c r="I895">
        <f>IF(Skills!T13&lt;&gt;"",1+(Skills!T13/10)*($Z$3/1000)/100,1)</f>
        <v/>
      </c>
      <c r="J895" t="inlineStr"/>
      <c r="K895" t="inlineStr"/>
      <c r="L895" t="inlineStr"/>
      <c r="M895" t="inlineStr"/>
      <c r="N895" t="inlineStr"/>
      <c r="O895">
        <f>(1-Summary!$B$11)*S895+Summary!$B$11*U895</f>
        <v/>
      </c>
      <c r="P895">
        <f>IF(B925=0,0,O895/B925)</f>
        <v/>
      </c>
      <c r="Q895">
        <f>IFERROR(1/(IF(Inputs!$B$39="pvp",15,MAX(0.1,Skills!D13-IF(Skills!E13=TRUE,Inputs!$B$33,0)))*(1-IF(AND(ArtifactsInput!$M$27,Inputs!$B$4="Chapter Hunt"),CHOOSE(ArtifactsInput!$N$27+1,20,24,28,32,36,40),0)/100)),0)</f>
        <v/>
      </c>
      <c r="R895">
        <f>IF(AND(Inputs!$B$39&lt;&gt;"pvp",Inputs!$B$44&gt;0),IF(MAX(0,Inputs!$B$44-B922)&lt;=0,0,(INT(MAX(0,Inputs!$B$44-B922)/(IF(Inputs!$B$39="pvp",15,MAX(0.1,Skills!D13-IF(Skills!E13=TRUE,Inputs!$B$33,0)))*(1-IF(AND(ArtifactsInput!$M$27,Inputs!$B$4="Chapter Hunt"),CHOOSE(ArtifactsInput!$N$27+1,20,24,28,32,36,40),0)/100)))+1)),0)</f>
        <v/>
      </c>
      <c r="S895" t="n">
        <v>0</v>
      </c>
      <c r="U895" t="n">
        <v>0</v>
      </c>
    </row>
    <row r="896">
      <c r="A896">
        <f>Skills!A14</f>
        <v/>
      </c>
      <c r="B896">
        <f>Skills!B14</f>
        <v/>
      </c>
      <c r="C896">
        <f>Inputs!$B$3&gt;=107</f>
        <v/>
      </c>
      <c r="D896">
        <f>IF(Skills!C14=1,60+Inputs!$B$26+Inputs!$B$30,IF(Skills!C14=2,90+(Inputs!$B$27+1)+Inputs!$B$30,IF(Skills!C14=3,120+Inputs!$B$28+Inputs!$B$30,MAX(0,(Inputs!$B$3-100)*3)+Inputs!$B$29+Inputs!$B$30)))</f>
        <v/>
      </c>
      <c r="E896">
        <f>INDEX(FactorTable!$B$2:$Y$301, MATCH(ROUND(MIN(300,MAX(1,D896)),0), FactorTable!$A$2:$A$301,0), Skills!L14+1)</f>
        <v/>
      </c>
      <c r="F896">
        <f>IF(Skills!M14=TRUE,(Skills!K14/10)*(E896/1000),Skills!K14/10)+Skills!N14</f>
        <v/>
      </c>
      <c r="G896">
        <f>Calc!G14</f>
        <v/>
      </c>
      <c r="H896">
        <f>Calc!H14</f>
        <v/>
      </c>
      <c r="I896">
        <f>IF(Skills!T14&lt;&gt;"",1+(Skills!T14/10)*($Z$3/1000)/100,1)</f>
        <v/>
      </c>
      <c r="J896" t="inlineStr"/>
      <c r="K896" t="inlineStr"/>
      <c r="L896" t="inlineStr"/>
      <c r="M896" t="inlineStr"/>
      <c r="N896" t="inlineStr"/>
      <c r="O896">
        <f>(1-Summary!$B$11)*S896+Summary!$B$11*U896</f>
        <v/>
      </c>
      <c r="P896">
        <f>IF(B925=0,0,O896/B925)</f>
        <v/>
      </c>
      <c r="Q896">
        <f>IFERROR(1/(IF(Inputs!$B$39="pvp",15,MAX(0.1,Skills!D14-IF(Skills!E14=TRUE,Inputs!$B$33,0)))*(1-IF(AND(ArtifactsInput!$M$27,Inputs!$B$4="Chapter Hunt"),CHOOSE(ArtifactsInput!$N$27+1,20,24,28,32,36,40),0)/100)),0)</f>
        <v/>
      </c>
      <c r="R896">
        <f>IF(AND(Inputs!$B$39&lt;&gt;"pvp",Inputs!$B$44&gt;0),IF(Inputs!$B$44&lt;=0,0,(INT(Inputs!$B$44/(IF(Inputs!$B$39="pvp",15,MAX(0.1,Skills!D14-IF(Skills!E14=TRUE,Inputs!$B$33,0)))*(1-IF(AND(ArtifactsInput!$M$27,Inputs!$B$4="Chapter Hunt"),CHOOSE(ArtifactsInput!$N$27+1,20,24,28,32,36,40),0)/100)))+1)),0)</f>
        <v/>
      </c>
      <c r="S896" t="n">
        <v>0</v>
      </c>
      <c r="U896" t="n">
        <v>0</v>
      </c>
    </row>
    <row r="897">
      <c r="A897">
        <f>Skills!A15</f>
        <v/>
      </c>
      <c r="B897">
        <f>Skills!B15</f>
        <v/>
      </c>
      <c r="C897">
        <f>Inputs!$B$3&gt;=63</f>
        <v/>
      </c>
      <c r="D897">
        <f>IF(Skills!C15=1,60+Inputs!$B$26+Inputs!$B$30,IF(Skills!C15=2,90+(Inputs!$B$27+1)+Inputs!$B$30,IF(Skills!C15=3,120+Inputs!$B$28+Inputs!$B$30,MAX(0,(Inputs!$B$3-100)*3)+Inputs!$B$29+Inputs!$B$30)))</f>
        <v/>
      </c>
      <c r="E897">
        <f>INDEX(FactorTable!$B$2:$Y$301, MATCH(ROUND(MIN(300,MAX(1,D897)),0), FactorTable!$A$2:$A$301,0), Skills!L15+1)</f>
        <v/>
      </c>
      <c r="F897">
        <f>IF(Skills!M15=TRUE,(Skills!K15/10)*(E897/1000),Skills!K15/10)+Skills!N15</f>
        <v/>
      </c>
      <c r="G897">
        <f>Calc!G15</f>
        <v/>
      </c>
      <c r="H897">
        <f>Calc!H15</f>
        <v/>
      </c>
      <c r="I897">
        <f>IF(Skills!T15&lt;&gt;"",1+(Skills!T15/10)*($Z$3/1000)/100,1)</f>
        <v/>
      </c>
      <c r="J897">
        <f>((Inputs!$B$6*(1+Inputs!$B$7/100))+(((Inputs!$B$13*(1+Inputs!$B$14/100))-(Inputs!$B$13*(1+Inputs!$B$14/100)))+0.25*(Inputs!$B$15-Inputs!$B$15))*(1+Inputs!$B$7/100))*(F897/100)</f>
        <v/>
      </c>
      <c r="K897">
        <f>J897*(1+(((Inputs!$B$13+IF(Inputs!$B$3&gt;=35,(10*INDEX(FactorTable!$B$2:$Y$301,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15="TRIUMPH_FEATHER",IF(C898=TRUE,F898,0),0)/100)*(1+IF(C909=TRUE,F909,0)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897)</f>
        <v/>
      </c>
      <c r="L897">
        <f>K897*(MIN(Inputs!$B$23+(F904-Calc!F22),(Inputs!$B$24+IF(ArtifactsInput!$M$15,CHOOSE(ArtifactsInput!$N$15+1,25,30,35,40,45,50)/100*(Inputs!$B$12-Inputs!$B$12),0)))/100+(Inputs!$B$24+IF(ArtifactsInput!$M$15,CHOOSE(ArtifactsInput!$N$15+1,25,30,35,40,45,50)/100*(Inputs!$B$12-Inputs!$B$12),0))/100)/2</f>
        <v/>
      </c>
      <c r="M897">
        <f>L897*(1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7">
        <f>L897*(1-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897*(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7">
        <f>(1-Summary!$B$11)*S897+Summary!$B$11*U897</f>
        <v/>
      </c>
      <c r="P897">
        <f>IF(B925=0,0,O897/B925)</f>
        <v/>
      </c>
      <c r="Q897">
        <f>IFERROR(1/(IF(Inputs!$B$39="pvp",15,MAX(0.1,Skills!D15-IF(Skills!E15=TRUE,Inputs!$B$33,0)))*(1-IF(AND(ArtifactsInput!$M$27,Inputs!$B$4="Chapter Hunt"),CHOOSE(ArtifactsInput!$N$27+1,20,24,28,32,36,40),0)/100)),0)</f>
        <v/>
      </c>
      <c r="R897" t="n">
        <v>0</v>
      </c>
      <c r="S897">
        <f>IF(C897,(Skills!F15*N897*((IF(Inputs!$B$3&gt;=78,25,15)/100*B918*10)/(1+IF(Inputs!$B$3&gt;=78,25,15)/100*B918*10))*(Skills!I15/100*B918)/(1+Skills!G15*Skills!I15/100*B918))*IF(Inputs!$B$39="pvp",1,1+(Inputs!$B$21+Skills!O15+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897*(1-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897*(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897*(1-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897*(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7">
        <f>IF(C897,(Skills!F15*N897*((IF(Inputs!$B$3&gt;=78,25,15)/100*B918*10)/(1+IF(Inputs!$B$3&gt;=78,25,15)/100*B918*10))*(Skills!I15/100*B918)/(1+Skills!G15*Skills!I15/100*B918))*IF(Inputs!$B$39="pvp",1,(1+(Inputs!$B$22+Skills!P15+B914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8">
      <c r="A898">
        <f>Skills!A16</f>
        <v/>
      </c>
      <c r="B898">
        <f>Skills!B16</f>
        <v/>
      </c>
      <c r="C898">
        <f>Inputs!$B$3&gt;=100</f>
        <v/>
      </c>
      <c r="D898">
        <f>IF(Skills!C16=1,60+Inputs!$B$26+Inputs!$B$30,IF(Skills!C16=2,90+(Inputs!$B$27+1)+Inputs!$B$30,IF(Skills!C16=3,120+Inputs!$B$28+Inputs!$B$30,MAX(0,(Inputs!$B$3-100)*3)+Inputs!$B$29+Inputs!$B$30)))</f>
        <v/>
      </c>
      <c r="E898">
        <f>INDEX(FactorTable!$B$2:$Y$301, MATCH(ROUND(MIN(300,MAX(1,D898)),0), FactorTable!$A$2:$A$301,0), Skills!L16+1)</f>
        <v/>
      </c>
      <c r="F898">
        <f>IF(Skills!M16=TRUE,(Skills!K16/10)*(E898/1000),Skills!K16/10)+Skills!N16</f>
        <v/>
      </c>
      <c r="G898">
        <f>Calc!G16</f>
        <v/>
      </c>
      <c r="H898">
        <f>Calc!H16</f>
        <v/>
      </c>
      <c r="I898">
        <f>IF(Skills!T16&lt;&gt;"",1+(Skills!T16/10)*($Z$3/1000)/100,1)</f>
        <v/>
      </c>
      <c r="J898" t="inlineStr"/>
      <c r="K898" t="inlineStr"/>
      <c r="L898" t="inlineStr"/>
      <c r="M898" t="inlineStr"/>
      <c r="N898" t="inlineStr"/>
      <c r="O898">
        <f>(1-Summary!$B$11)*S898+Summary!$B$11*U898</f>
        <v/>
      </c>
      <c r="P898">
        <f>IF(B925=0,0,O898/B925)</f>
        <v/>
      </c>
      <c r="Q898">
        <f>IFERROR(1/(IF(Inputs!$B$39="pvp",15,MAX(0.1,Skills!D16-IF(Skills!E16=TRUE,Inputs!$B$33,0)))*(1-IF(AND(ArtifactsInput!$M$27,Inputs!$B$4="Chapter Hunt"),CHOOSE(ArtifactsInput!$N$27+1,20,24,28,32,36,40),0)/100)),0)</f>
        <v/>
      </c>
      <c r="R898" t="n">
        <v>0</v>
      </c>
      <c r="S898" t="n">
        <v>0</v>
      </c>
      <c r="U898" t="n">
        <v>0</v>
      </c>
    </row>
    <row r="899">
      <c r="A899">
        <f>Skills!A17</f>
        <v/>
      </c>
      <c r="B899">
        <f>Skills!B17</f>
        <v/>
      </c>
      <c r="C899">
        <f>Inputs!$B$3&gt;=49</f>
        <v/>
      </c>
      <c r="D899">
        <f>IF(Skills!C17=1,60+Inputs!$B$26+Inputs!$B$30,IF(Skills!C17=2,90+(Inputs!$B$27+1)+Inputs!$B$30,IF(Skills!C17=3,120+Inputs!$B$28+Inputs!$B$30,MAX(0,(Inputs!$B$3-100)*3)+Inputs!$B$29+Inputs!$B$30)))</f>
        <v/>
      </c>
      <c r="E899">
        <f>INDEX(FactorTable!$B$2:$Y$301, MATCH(ROUND(MIN(300,MAX(1,D899)),0), FactorTable!$A$2:$A$301,0), Skills!L17+1)</f>
        <v/>
      </c>
      <c r="F899">
        <f>IF(Skills!M17=TRUE,(Skills!K17/10)*(E899/1000),Skills!K17/10)+Skills!N17</f>
        <v/>
      </c>
      <c r="G899">
        <f>Calc!G17</f>
        <v/>
      </c>
      <c r="H899">
        <f>Calc!H17</f>
        <v/>
      </c>
      <c r="I899">
        <f>IF(Skills!T17&lt;&gt;"",1+(Skills!T17/10)*($Z$3/1000)/100,1)</f>
        <v/>
      </c>
      <c r="J899" t="inlineStr"/>
      <c r="K899" t="inlineStr"/>
      <c r="L899" t="inlineStr"/>
      <c r="M899" t="inlineStr"/>
      <c r="N899" t="inlineStr"/>
      <c r="O899">
        <f>(1-Summary!$B$11)*S899+Summary!$B$11*U899</f>
        <v/>
      </c>
      <c r="P899">
        <f>IF(B925=0,0,O899/B925)</f>
        <v/>
      </c>
      <c r="Q899">
        <f>IFERROR(1/(IF(Inputs!$B$39="pvp",15,MAX(0.1,Skills!D17-IF(Skills!E17=TRUE,Inputs!$B$33,0)))*(1-IF(AND(ArtifactsInput!$M$27,Inputs!$B$4="Chapter Hunt"),CHOOSE(ArtifactsInput!$N$27+1,20,24,28,32,36,40),0)/100)),0)</f>
        <v/>
      </c>
      <c r="R899" t="n">
        <v>0</v>
      </c>
      <c r="S899" t="n">
        <v>0</v>
      </c>
      <c r="U899" t="n">
        <v>0</v>
      </c>
    </row>
    <row r="900">
      <c r="A900">
        <f>Skills!A18</f>
        <v/>
      </c>
      <c r="B900">
        <f>Skills!B18</f>
        <v/>
      </c>
      <c r="C900">
        <f>Inputs!$B$3&gt;=75</f>
        <v/>
      </c>
      <c r="D900">
        <f>IF(Skills!C18=1,60+Inputs!$B$26+Inputs!$B$30,IF(Skills!C18=2,90+(Inputs!$B$27+1)+Inputs!$B$30,IF(Skills!C18=3,120+Inputs!$B$28+Inputs!$B$30,MAX(0,(Inputs!$B$3-100)*3)+Inputs!$B$29+Inputs!$B$30)))</f>
        <v/>
      </c>
      <c r="E900">
        <f>INDEX(FactorTable!$B$2:$Y$301, MATCH(ROUND(MIN(300,MAX(1,D900)),0), FactorTable!$A$2:$A$301,0), Skills!L18+1)</f>
        <v/>
      </c>
      <c r="F900">
        <f>IF(Skills!M18=TRUE,(Skills!K18/10)*(E900/1000),Skills!K18/10)+Skills!N18</f>
        <v/>
      </c>
      <c r="G900">
        <f>Calc!G18</f>
        <v/>
      </c>
      <c r="H900">
        <f>Calc!H18</f>
        <v/>
      </c>
      <c r="I900">
        <f>IF(Skills!T18&lt;&gt;"",1+(Skills!T18/10)*($Z$3/1000)/100,1)</f>
        <v/>
      </c>
      <c r="J900" t="inlineStr"/>
      <c r="K900" t="inlineStr"/>
      <c r="L900" t="inlineStr"/>
      <c r="M900" t="inlineStr"/>
      <c r="N900" t="inlineStr"/>
      <c r="O900">
        <f>(1-Summary!$B$11)*S900+Summary!$B$11*U900</f>
        <v/>
      </c>
      <c r="P900">
        <f>IF(B925=0,0,O900/B925)</f>
        <v/>
      </c>
      <c r="Q900">
        <f>IFERROR(1/(IF(Inputs!$B$39="pvp",15,MAX(0.1,Skills!D18-IF(Skills!E18=TRUE,Inputs!$B$33,0)))*(1-IF(AND(ArtifactsInput!$M$27,Inputs!$B$4="Chapter Hunt"),CHOOSE(ArtifactsInput!$N$27+1,20,24,28,32,36,40),0)/100)),0)</f>
        <v/>
      </c>
      <c r="R900" t="n">
        <v>0</v>
      </c>
      <c r="S900" t="n">
        <v>0</v>
      </c>
      <c r="U900" t="n">
        <v>0</v>
      </c>
    </row>
    <row r="901">
      <c r="A901">
        <f>Skills!A19</f>
        <v/>
      </c>
      <c r="B901">
        <f>Skills!B19</f>
        <v/>
      </c>
      <c r="C901">
        <f>Inputs!$B$3&gt;=110</f>
        <v/>
      </c>
      <c r="D901">
        <f>IF(Skills!C19=1,60+Inputs!$B$26+Inputs!$B$30,IF(Skills!C19=2,90+(Inputs!$B$27+1)+Inputs!$B$30,IF(Skills!C19=3,120+Inputs!$B$28+Inputs!$B$30,MAX(0,(Inputs!$B$3-100)*3)+Inputs!$B$29+Inputs!$B$30)))</f>
        <v/>
      </c>
      <c r="E901">
        <f>INDEX(FactorTable!$B$2:$Y$301, MATCH(ROUND(MIN(300,MAX(1,D901)),0), FactorTable!$A$2:$A$301,0), Skills!L19+1)</f>
        <v/>
      </c>
      <c r="F901">
        <f>(Skills!K19/10)*(E901/1000)*64/45+Skills!N19</f>
        <v/>
      </c>
      <c r="G901">
        <f>Calc!G19</f>
        <v/>
      </c>
      <c r="H901">
        <f>Calc!H19</f>
        <v/>
      </c>
      <c r="I901">
        <f>IF(Skills!T19&lt;&gt;"",1+(Skills!T19/10)*($Z$3/1000)/100,1)</f>
        <v/>
      </c>
      <c r="J901" t="inlineStr"/>
      <c r="K901" t="inlineStr"/>
      <c r="L901" t="inlineStr"/>
      <c r="M901" t="inlineStr"/>
      <c r="N901" t="inlineStr"/>
      <c r="O901">
        <f>(1-Summary!$B$11)*S901+Summary!$B$11*U901</f>
        <v/>
      </c>
      <c r="P901">
        <f>IF(B925=0,0,O901/B925)</f>
        <v/>
      </c>
      <c r="Q901">
        <f>IFERROR(1/(IF(Inputs!$B$39="pvp",15,MAX(0.1,Skills!D19-IF(Skills!E19=TRUE,Inputs!$B$33,0)))*(1-IF(AND(ArtifactsInput!$M$27,Inputs!$B$4="Chapter Hunt"),CHOOSE(ArtifactsInput!$N$27+1,20,24,28,32,36,40),0)/100)),0)</f>
        <v/>
      </c>
      <c r="R901">
        <f>IF(AND(Inputs!$B$39&lt;&gt;"pvp",Inputs!$B$44&gt;0),IF(Inputs!$B$44&lt;=0,0,(INT(Inputs!$B$44/(IF(Inputs!$B$39="pvp",15,MAX(0.1,Skills!D19-IF(Skills!E19=TRUE,Inputs!$B$33,0)))*(1-IF(AND(ArtifactsInput!$M$27,Inputs!$B$4="Chapter Hunt"),CHOOSE(ArtifactsInput!$N$27+1,20,24,28,32,36,40),0)/100)))+1)),0)</f>
        <v/>
      </c>
      <c r="S901" t="n">
        <v>0</v>
      </c>
      <c r="U901" t="n">
        <v>0</v>
      </c>
    </row>
    <row r="902">
      <c r="A902">
        <f>Skills!A20</f>
        <v/>
      </c>
      <c r="B902">
        <f>Skills!B20</f>
        <v/>
      </c>
      <c r="C902">
        <f>Inputs!$B$3&gt;=125</f>
        <v/>
      </c>
      <c r="D902">
        <f>IF(Skills!C20=1,60+Inputs!$B$26+Inputs!$B$30,IF(Skills!C20=2,90+(Inputs!$B$27+1)+Inputs!$B$30,IF(Skills!C20=3,120+Inputs!$B$28+Inputs!$B$30,MAX(0,(Inputs!$B$3-100)*3)+Inputs!$B$29+Inputs!$B$30)))</f>
        <v/>
      </c>
      <c r="E902">
        <f>INDEX(FactorTable!$B$2:$Y$301, MATCH(ROUND(MIN(300,MAX(1,D902)),0), FactorTable!$A$2:$A$301,0), Skills!L20+1)</f>
        <v/>
      </c>
      <c r="F902">
        <f>IF(Skills!M20=TRUE,(Skills!K20/10)*(E902/1000),Skills!K20/10)+Skills!N20</f>
        <v/>
      </c>
      <c r="G902">
        <f>Calc!G20</f>
        <v/>
      </c>
      <c r="H902">
        <f>Calc!H20</f>
        <v/>
      </c>
      <c r="I902">
        <f>IF(Skills!T20&lt;&gt;"",1+(Skills!T20/10)*($Z$3/1000)/100,1)</f>
        <v/>
      </c>
      <c r="J902" t="inlineStr"/>
      <c r="K902" t="inlineStr"/>
      <c r="L902" t="inlineStr"/>
      <c r="M902" t="inlineStr"/>
      <c r="N902" t="inlineStr"/>
      <c r="O902">
        <f>(1-Summary!$B$11)*S902+Summary!$B$11*U902</f>
        <v/>
      </c>
      <c r="P902">
        <f>IF(B925=0,0,O902/B925)</f>
        <v/>
      </c>
      <c r="Q902">
        <f>IFERROR(1/(IF(Inputs!$B$39="pvp",15,MAX(0.1,Skills!D20-IF(Skills!E20=TRUE,Inputs!$B$33,0)))*(1-IF(AND(ArtifactsInput!$M$27,Inputs!$B$4="Chapter Hunt"),CHOOSE(ArtifactsInput!$N$27+1,20,24,28,32,36,40),0)/100)),0)</f>
        <v/>
      </c>
      <c r="R902" t="n">
        <v>0</v>
      </c>
      <c r="S902" t="n">
        <v>0</v>
      </c>
      <c r="U902" t="n">
        <v>0</v>
      </c>
    </row>
    <row r="903">
      <c r="A903">
        <f>Skills!A21</f>
        <v/>
      </c>
      <c r="B903">
        <f>Skills!B21</f>
        <v/>
      </c>
      <c r="C903">
        <f>Inputs!$B$3&gt;=33</f>
        <v/>
      </c>
      <c r="D903">
        <f>IF(Skills!C21=1,60+Inputs!$B$26+Inputs!$B$30,IF(Skills!C21=2,90+(Inputs!$B$27+1)+Inputs!$B$30,IF(Skills!C21=3,120+Inputs!$B$28+Inputs!$B$30,MAX(0,(Inputs!$B$3-100)*3)+Inputs!$B$29+Inputs!$B$30)))</f>
        <v/>
      </c>
      <c r="E903">
        <f>INDEX(FactorTable!$B$2:$Y$301, MATCH(ROUND(MIN(300,MAX(1,D903)),0), FactorTable!$A$2:$A$301,0), Skills!L21+1)</f>
        <v/>
      </c>
      <c r="F903">
        <f>IF(Skills!M21=TRUE,(Skills!K21/10)*(E903/1000),Skills!K21/10)+Skills!N21</f>
        <v/>
      </c>
      <c r="G903">
        <f>Calc!G21</f>
        <v/>
      </c>
      <c r="H903">
        <f>Calc!H21</f>
        <v/>
      </c>
      <c r="I903">
        <f>IF(Skills!T21&lt;&gt;"",1+(Skills!T21/10)*($Z$3/1000)/100,1)</f>
        <v/>
      </c>
      <c r="J903" t="inlineStr"/>
      <c r="K903" t="inlineStr"/>
      <c r="L903" t="inlineStr"/>
      <c r="M903" t="inlineStr"/>
      <c r="N903" t="inlineStr"/>
      <c r="O903">
        <f>(1-Summary!$B$11)*S903+Summary!$B$11*U903</f>
        <v/>
      </c>
      <c r="P903">
        <f>IF(B925=0,0,O903/B925)</f>
        <v/>
      </c>
      <c r="Q903">
        <f>IFERROR(1/(IF(Inputs!$B$39="pvp",15,MAX(0.1,Skills!D21-IF(Skills!E21=TRUE,Inputs!$B$33,0)))*(1-IF(AND(ArtifactsInput!$M$27,Inputs!$B$4="Chapter Hunt"),CHOOSE(ArtifactsInput!$N$27+1,20,24,28,32,36,40),0)/100)),0)</f>
        <v/>
      </c>
      <c r="R903" t="n">
        <v>0</v>
      </c>
      <c r="S903" t="n">
        <v>0</v>
      </c>
      <c r="U903" t="n">
        <v>0</v>
      </c>
    </row>
    <row r="904">
      <c r="A904">
        <f>Skills!A22</f>
        <v/>
      </c>
      <c r="B904">
        <f>Skills!B22</f>
        <v/>
      </c>
      <c r="C904">
        <f>Inputs!$B$3&gt;=43</f>
        <v/>
      </c>
      <c r="D904">
        <f>IF(Skills!C22=1,60+Inputs!$B$26+Inputs!$B$30,IF(Skills!C22=2,90+(Inputs!$B$27+1)+Inputs!$B$30,IF(Skills!C22=3,120+Inputs!$B$28+Inputs!$B$30,MAX(0,(Inputs!$B$3-100)*3)+Inputs!$B$29+Inputs!$B$30)))</f>
        <v/>
      </c>
      <c r="E904">
        <f>INDEX(FactorTable!$B$2:$Y$301, MATCH(ROUND(MIN(300,MAX(1,D904)),0), FactorTable!$A$2:$A$301,0), Skills!L22+1)</f>
        <v/>
      </c>
      <c r="F904">
        <f>IF(Skills!M22=TRUE,(Skills!K22/10)*(E904/1000),Skills!K22/10)+Skills!N22</f>
        <v/>
      </c>
      <c r="G904">
        <f>Calc!G22</f>
        <v/>
      </c>
      <c r="H904">
        <f>Calc!H22</f>
        <v/>
      </c>
      <c r="I904">
        <f>IF(Skills!T22&lt;&gt;"",1+(Skills!T22/10)*($Z$3/1000)/100,1)</f>
        <v/>
      </c>
      <c r="J904" t="inlineStr"/>
      <c r="K904" t="inlineStr"/>
      <c r="L904" t="inlineStr"/>
      <c r="M904" t="inlineStr"/>
      <c r="N904" t="inlineStr"/>
      <c r="O904">
        <f>(1-Summary!$B$11)*S904+Summary!$B$11*U904</f>
        <v/>
      </c>
      <c r="P904">
        <f>IF(B925=0,0,O904/B925)</f>
        <v/>
      </c>
      <c r="Q904">
        <f>IFERROR(1/(IF(Inputs!$B$39="pvp",15,MAX(0.1,Skills!D22-IF(Skills!E22=TRUE,Inputs!$B$33,0)))*(1-IF(AND(ArtifactsInput!$M$27,Inputs!$B$4="Chapter Hunt"),CHOOSE(ArtifactsInput!$N$27+1,20,24,28,32,36,40),0)/100)),0)</f>
        <v/>
      </c>
      <c r="R904" t="n">
        <v>0</v>
      </c>
      <c r="S904" t="n">
        <v>0</v>
      </c>
      <c r="U904" t="n">
        <v>0</v>
      </c>
    </row>
    <row r="905">
      <c r="A905">
        <f>Skills!A23</f>
        <v/>
      </c>
      <c r="B905">
        <f>Skills!B23</f>
        <v/>
      </c>
      <c r="C905">
        <f>Inputs!$B$3&gt;=50</f>
        <v/>
      </c>
      <c r="D905">
        <f>IF(Skills!C23=1,60+Inputs!$B$26+Inputs!$B$30,IF(Skills!C23=2,90+(Inputs!$B$27+1)+Inputs!$B$30,IF(Skills!C23=3,120+Inputs!$B$28+Inputs!$B$30,MAX(0,(Inputs!$B$3-100)*3)+Inputs!$B$29+Inputs!$B$30)))</f>
        <v/>
      </c>
      <c r="E905">
        <f>INDEX(FactorTable!$B$2:$Y$301, MATCH(ROUND(MIN(300,MAX(1,D905)),0), FactorTable!$A$2:$A$301,0), Skills!L23+1)</f>
        <v/>
      </c>
      <c r="F905">
        <f>IF(Skills!M23=TRUE,(Skills!K23/10)*(E905/1000),Skills!K23/10)+Skills!N23</f>
        <v/>
      </c>
      <c r="G905">
        <f>Calc!G23</f>
        <v/>
      </c>
      <c r="H905">
        <f>Calc!H23</f>
        <v/>
      </c>
      <c r="I905">
        <f>IF(Skills!T23&lt;&gt;"",1+(Skills!T23/10)*($Z$3/1000)/100,1)</f>
        <v/>
      </c>
      <c r="J905" t="inlineStr"/>
      <c r="K905" t="inlineStr"/>
      <c r="L905" t="inlineStr"/>
      <c r="M905" t="inlineStr"/>
      <c r="N905" t="inlineStr"/>
      <c r="O905">
        <f>(1-Summary!$B$11)*S905+Summary!$B$11*U905</f>
        <v/>
      </c>
      <c r="P905">
        <f>IF(B925=0,0,O905/B925)</f>
        <v/>
      </c>
      <c r="Q905">
        <f>IFERROR(1/(IF(Inputs!$B$39="pvp",15,MAX(0.1,Skills!D23-IF(Skills!E23=TRUE,Inputs!$B$33,0)))*(1-IF(AND(ArtifactsInput!$M$27,Inputs!$B$4="Chapter Hunt"),CHOOSE(ArtifactsInput!$N$27+1,20,24,28,32,36,40),0)/100)),0)</f>
        <v/>
      </c>
      <c r="R905" t="n">
        <v>0</v>
      </c>
      <c r="S905" t="n">
        <v>0</v>
      </c>
      <c r="U905" t="n">
        <v>0</v>
      </c>
    </row>
    <row r="906">
      <c r="A906">
        <f>Skills!A24</f>
        <v/>
      </c>
      <c r="B906">
        <f>Skills!B24</f>
        <v/>
      </c>
      <c r="C906">
        <f>Inputs!$B$3&gt;=74</f>
        <v/>
      </c>
      <c r="D906">
        <f>IF(Skills!C24=1,60+Inputs!$B$26+Inputs!$B$30,IF(Skills!C24=2,90+(Inputs!$B$27+1)+Inputs!$B$30,IF(Skills!C24=3,120+Inputs!$B$28+Inputs!$B$30,MAX(0,(Inputs!$B$3-100)*3)+Inputs!$B$29+Inputs!$B$30)))</f>
        <v/>
      </c>
      <c r="E906">
        <f>INDEX(FactorTable!$B$2:$Y$301, MATCH(ROUND(MIN(300,MAX(1,D906)),0), FactorTable!$A$2:$A$301,0), Skills!L24+1)</f>
        <v/>
      </c>
      <c r="F906">
        <f>IF(Skills!M24=TRUE,(Skills!K24/10)*(E906/1000),Skills!K24/10)+Skills!N24</f>
        <v/>
      </c>
      <c r="G906">
        <f>Calc!G24</f>
        <v/>
      </c>
      <c r="H906">
        <f>Calc!H24</f>
        <v/>
      </c>
      <c r="I906">
        <f>IF(Skills!T24&lt;&gt;"",1+(Skills!T24/10)*($Z$3/1000)/100,1)</f>
        <v/>
      </c>
      <c r="J906" t="inlineStr"/>
      <c r="K906" t="inlineStr"/>
      <c r="L906" t="inlineStr"/>
      <c r="M906" t="inlineStr"/>
      <c r="N906" t="inlineStr"/>
      <c r="O906">
        <f>(1-Summary!$B$11)*S906+Summary!$B$11*U906</f>
        <v/>
      </c>
      <c r="P906">
        <f>IF(B925=0,0,O906/B925)</f>
        <v/>
      </c>
      <c r="Q906">
        <f>IFERROR(1/(IF(Inputs!$B$39="pvp",15,MAX(0.1,Skills!D24-IF(Skills!E24=TRUE,Inputs!$B$33,0)))*(1-IF(AND(ArtifactsInput!$M$27,Inputs!$B$4="Chapter Hunt"),CHOOSE(ArtifactsInput!$N$27+1,20,24,28,32,36,40),0)/100)),0)</f>
        <v/>
      </c>
      <c r="R906" t="n">
        <v>0</v>
      </c>
      <c r="S906" t="n">
        <v>0</v>
      </c>
      <c r="U906" t="n">
        <v>0</v>
      </c>
    </row>
    <row r="907">
      <c r="A907">
        <f>Skills!A25</f>
        <v/>
      </c>
      <c r="B907">
        <f>Skills!B25</f>
        <v/>
      </c>
      <c r="C907">
        <f>Inputs!$B$3&gt;=74</f>
        <v/>
      </c>
      <c r="D907">
        <f>IF(Skills!C25=1,60+Inputs!$B$26+Inputs!$B$30,IF(Skills!C25=2,90+(Inputs!$B$27+1)+Inputs!$B$30,IF(Skills!C25=3,120+Inputs!$B$28+Inputs!$B$30,MAX(0,(Inputs!$B$3-100)*3)+Inputs!$B$29+Inputs!$B$30)))</f>
        <v/>
      </c>
      <c r="E907">
        <f>INDEX(FactorTable!$B$2:$Y$301, MATCH(ROUND(MIN(300,MAX(1,D907)),0), FactorTable!$A$2:$A$301,0), Skills!L25+1)</f>
        <v/>
      </c>
      <c r="F907">
        <f>IF(Skills!M25=TRUE,(Skills!K25/10)*(E907/1000),Skills!K25/10)+Skills!N25</f>
        <v/>
      </c>
      <c r="G907">
        <f>Calc!G25</f>
        <v/>
      </c>
      <c r="H907">
        <f>Calc!H25</f>
        <v/>
      </c>
      <c r="I907">
        <f>IF(Skills!T25&lt;&gt;"",1+(Skills!T25/10)*($Z$3/1000)/100,1)</f>
        <v/>
      </c>
      <c r="J907" t="inlineStr"/>
      <c r="K907" t="inlineStr"/>
      <c r="L907" t="inlineStr"/>
      <c r="M907" t="inlineStr"/>
      <c r="N907" t="inlineStr"/>
      <c r="O907">
        <f>(1-Summary!$B$11)*S907+Summary!$B$11*U907</f>
        <v/>
      </c>
      <c r="P907">
        <f>IF(B925=0,0,O907/B925)</f>
        <v/>
      </c>
      <c r="Q907">
        <f>IFERROR(1/(IF(Inputs!$B$39="pvp",15,MAX(0.1,Skills!D25-IF(Skills!E25=TRUE,Inputs!$B$33,0)))*(1-IF(AND(ArtifactsInput!$M$27,Inputs!$B$4="Chapter Hunt"),CHOOSE(ArtifactsInput!$N$27+1,20,24,28,32,36,40),0)/100)),0)</f>
        <v/>
      </c>
      <c r="R907" t="n">
        <v>0</v>
      </c>
      <c r="S907" t="n">
        <v>0</v>
      </c>
      <c r="U907" t="n">
        <v>0</v>
      </c>
    </row>
    <row r="908">
      <c r="A908">
        <f>Skills!A26</f>
        <v/>
      </c>
      <c r="B908">
        <f>Skills!B26</f>
        <v/>
      </c>
      <c r="C908">
        <f>Inputs!$B$3&gt;=117</f>
        <v/>
      </c>
      <c r="D908">
        <f>IF(Skills!C26=1,60+Inputs!$B$26+Inputs!$B$30,IF(Skills!C26=2,90+(Inputs!$B$27+1)+Inputs!$B$30,IF(Skills!C26=3,120+Inputs!$B$28+Inputs!$B$30,MAX(0,(Inputs!$B$3-100)*3)+Inputs!$B$29+Inputs!$B$30)))</f>
        <v/>
      </c>
      <c r="E908">
        <f>INDEX(FactorTable!$B$2:$Y$301, MATCH(ROUND(MIN(300,MAX(1,D908)),0), FactorTable!$A$2:$A$301,0), Skills!L26+1)</f>
        <v/>
      </c>
      <c r="F908">
        <f>IF(Skills!M26=TRUE,(Skills!K26/10)*(E908/1000),Skills!K26/10)+Skills!N26</f>
        <v/>
      </c>
      <c r="G908">
        <f>Calc!G26</f>
        <v/>
      </c>
      <c r="H908">
        <f>Calc!H26</f>
        <v/>
      </c>
      <c r="I908">
        <f>IF(Skills!T26&lt;&gt;"",1+(Skills!T26/10)*($Z$3/1000)/100,1)</f>
        <v/>
      </c>
      <c r="J908" t="inlineStr"/>
      <c r="K908" t="inlineStr"/>
      <c r="L908" t="inlineStr"/>
      <c r="M908" t="inlineStr"/>
      <c r="N908" t="inlineStr"/>
      <c r="O908">
        <f>(1-Summary!$B$11)*S908+Summary!$B$11*U908</f>
        <v/>
      </c>
      <c r="P908">
        <f>IF(B925=0,0,O908/B925)</f>
        <v/>
      </c>
      <c r="Q908">
        <f>IFERROR(1/(IF(Inputs!$B$39="pvp",15,MAX(0.1,Skills!D26-IF(Skills!E26=TRUE,Inputs!$B$33,0)))*(1-IF(AND(ArtifactsInput!$M$27,Inputs!$B$4="Chapter Hunt"),CHOOSE(ArtifactsInput!$N$27+1,20,24,28,32,36,40),0)/100)),0)</f>
        <v/>
      </c>
      <c r="R908" t="n">
        <v>0</v>
      </c>
      <c r="S908" t="n">
        <v>0</v>
      </c>
      <c r="U908" t="n">
        <v>0</v>
      </c>
    </row>
    <row r="909">
      <c r="A909">
        <f>Skills!A27</f>
        <v/>
      </c>
      <c r="B909">
        <f>Skills!B27</f>
        <v/>
      </c>
      <c r="C909">
        <f>Inputs!$B$3&gt;=120</f>
        <v/>
      </c>
      <c r="D909">
        <f>IF(Skills!C27=1,60+Inputs!$B$26+Inputs!$B$30,IF(Skills!C27=2,90+(Inputs!$B$27+1)+Inputs!$B$30,IF(Skills!C27=3,120+Inputs!$B$28+Inputs!$B$30,MAX(0,(Inputs!$B$3-100)*3)+Inputs!$B$29+Inputs!$B$30)))</f>
        <v/>
      </c>
      <c r="E909">
        <f>INDEX(FactorTable!$B$2:$Y$301, MATCH(ROUND(MIN(300,MAX(1,D909)),0), FactorTable!$A$2:$A$301,0), Skills!L27+1)</f>
        <v/>
      </c>
      <c r="F909">
        <f>IF(Skills!M27=TRUE,(Skills!K27/10)*(E909/1000),Skills!K27/10)+Skills!N27</f>
        <v/>
      </c>
      <c r="G909">
        <f>Calc!G27</f>
        <v/>
      </c>
      <c r="H909">
        <f>Calc!H27</f>
        <v/>
      </c>
      <c r="I909">
        <f>IF(Skills!T27&lt;&gt;"",1+(Skills!T27/10)*($Z$3/1000)/100,1)</f>
        <v/>
      </c>
      <c r="J909" t="inlineStr"/>
      <c r="K909" t="inlineStr"/>
      <c r="L909" t="inlineStr"/>
      <c r="M909" t="inlineStr"/>
      <c r="N909" t="inlineStr"/>
      <c r="O909">
        <f>(1-Summary!$B$11)*S909+Summary!$B$11*U909</f>
        <v/>
      </c>
      <c r="P909">
        <f>IF(B925=0,0,O909/B925)</f>
        <v/>
      </c>
      <c r="Q909">
        <f>IFERROR(1/(IF(Inputs!$B$39="pvp",15,MAX(0.1,Skills!D27-IF(Skills!E27=TRUE,Inputs!$B$33,0)))*(1-IF(AND(ArtifactsInput!$M$27,Inputs!$B$4="Chapter Hunt"),CHOOSE(ArtifactsInput!$N$27+1,20,24,28,32,36,40),0)/100)),0)</f>
        <v/>
      </c>
      <c r="R909" t="n">
        <v>0</v>
      </c>
      <c r="S909" t="n">
        <v>0</v>
      </c>
      <c r="U909" t="n">
        <v>0</v>
      </c>
    </row>
    <row r="910">
      <c r="A910">
        <f>Skills!A28</f>
        <v/>
      </c>
      <c r="B910">
        <f>Skills!B28</f>
        <v/>
      </c>
      <c r="C910">
        <f>TRUE</f>
        <v/>
      </c>
      <c r="D910">
        <f>IF(Skills!C28=1,60+Inputs!$B$26+Inputs!$B$30,IF(Skills!C28=2,90+(Inputs!$B$27+1)+Inputs!$B$30,IF(Skills!C28=3,120+Inputs!$B$28+Inputs!$B$30,MAX(0,(Inputs!$B$3-100)*3)+Inputs!$B$29+Inputs!$B$30)))</f>
        <v/>
      </c>
      <c r="E910">
        <f>INDEX(FactorTable!$B$2:$Y$301, MATCH(ROUND(MIN(300,MAX(1,D910)),0), FactorTable!$A$2:$A$301,0), Skills!L28+1)</f>
        <v/>
      </c>
      <c r="F910">
        <f>IF(Skills!M28=TRUE,(Skills!K28/10)*(E910/1000),Skills!K28/10)+Skills!N28</f>
        <v/>
      </c>
      <c r="G910">
        <f>Calc!G28</f>
        <v/>
      </c>
      <c r="H910">
        <f>Calc!H28</f>
        <v/>
      </c>
      <c r="I910">
        <f>IF(Skills!T28&lt;&gt;"",1+(Skills!T28/10)*($Z$3/1000)/100,1)</f>
        <v/>
      </c>
      <c r="J910" t="inlineStr"/>
      <c r="K910" t="inlineStr"/>
      <c r="L910" t="inlineStr"/>
      <c r="M910" t="inlineStr"/>
      <c r="N910" t="inlineStr"/>
      <c r="O910">
        <f>(1-Summary!$B$11)*S910+Summary!$B$11*U910</f>
        <v/>
      </c>
      <c r="P910">
        <f>IF(B925=0,0,O910/B925)</f>
        <v/>
      </c>
      <c r="Q910">
        <f>IFERROR(1/(IF(Inputs!$B$39="pvp",15,MAX(0.1,Skills!D28-IF(Skills!E28=TRUE,Inputs!$B$33,0)))*(1-IF(AND(ArtifactsInput!$M$27,Inputs!$B$4="Chapter Hunt"),CHOOSE(ArtifactsInput!$N$27+1,20,24,28,32,36,40),0)/100)),0)</f>
        <v/>
      </c>
      <c r="R910">
        <f>IF(AND(Inputs!$B$39&lt;&gt;"pvp",Inputs!$B$44&gt;0),IF(Inputs!$B$44&lt;=0,0,(INT(Inputs!$B$44/(IF(Inputs!$B$39="pvp",15,MAX(0.1,Skills!D28-IF(Skills!E28=TRUE,Inputs!$B$33,0)))*(1-IF(AND(ArtifactsInput!$M$27,Inputs!$B$4="Chapter Hunt"),CHOOSE(ArtifactsInput!$N$27+1,20,24,28,32,36,40),0)/100)))+1)),0)</f>
        <v/>
      </c>
      <c r="S910" t="n">
        <v>0</v>
      </c>
      <c r="U910" t="n">
        <v>0</v>
      </c>
    </row>
    <row r="912">
      <c r="A912" t="inlineStr">
        <is>
          <t>Average Buff Multiplier</t>
        </is>
      </c>
      <c r="B912">
        <f>(1+(IF(C885=TRUE,F885*IF(AND(Inputs!$B$39&lt;&gt;"pvp",Inputs!$B$44&gt;0),(((R885-1)*(Skills!S3*(1+((Inputs!$B$35+(ArtifactsInput!$M$7-ArtifactsInput!$M$7)*CHOOSE(ArtifactsInput!$N$7+1,6,7.2,8.4,9.6,10.8,12))+IF(Inputs!$B$3&gt;=117,F908,0))/100))+MIN((Skills!S3*(1+((Inputs!$B$35+(ArtifactsInput!$M$7-ArtifactsInput!$M$7)*CHOOSE(ArtifactsInput!$N$7+1,6,7.2,8.4,9.6,10.8,12))+IF(Inputs!$B$3&gt;=117,F908,0))/100)),MAX(0,Inputs!$B$44-((R885-1)*Skills!D3))))/Inputs!$B$44),IF(Inputs!$B$39="pvp",MIN((Skills!S3*(1+((Inputs!$B$35+(ArtifactsInput!$M$7-ArtifactsInput!$M$7)*CHOOSE(ArtifactsInput!$N$7+1,6,7.2,8.4,9.6,10.8,12))+IF(Inputs!$B$3&gt;=117,F908,0))/100)),15)/15,(Skills!S3*(1+((Inputs!$B$35+(ArtifactsInput!$M$7-ArtifactsInput!$M$7)*CHOOSE(ArtifactsInput!$N$7+1,6,7.2,8.4,9.6,10.8,12))+IF(Inputs!$B$3&gt;=117,F908,0))/100))/Skills!D3)),0)+IF(C886=TRUE,F886*IF(AND(Inputs!$B$39&lt;&gt;"pvp",Inputs!$B$44&gt;0),(((R886-1)*(Skills!S4*(1+((Inputs!$B$35+(ArtifactsInput!$M$7-ArtifactsInput!$M$7)*CHOOSE(ArtifactsInput!$N$7+1,6,7.2,8.4,9.6,10.8,12))+IF(Inputs!$B$3&gt;=117,F908,0))/100))+MIN((Skills!S4*(1+((Inputs!$B$35+(ArtifactsInput!$M$7-ArtifactsInput!$M$7)*CHOOSE(ArtifactsInput!$N$7+1,6,7.2,8.4,9.6,10.8,12))+IF(Inputs!$B$3&gt;=117,F908,0))/100)),MAX(0,Inputs!$B$44-((R886-1)*Skills!D4))))/Inputs!$B$44),IF(Inputs!$B$39="pvp",MIN((Skills!S4*(1+((Inputs!$B$35+(ArtifactsInput!$M$7-ArtifactsInput!$M$7)*CHOOSE(ArtifactsInput!$N$7+1,6,7.2,8.4,9.6,10.8,12))+IF(Inputs!$B$3&gt;=117,F908,0))/100)),15)/15,(Skills!S4*(1+((Inputs!$B$35+(ArtifactsInput!$M$7-ArtifactsInput!$M$7)*CHOOSE(ArtifactsInput!$N$7+1,6,7.2,8.4,9.6,10.8,12))+IF(Inputs!$B$3&gt;=117,F908,0))/100))/Skills!D4)),0)+IF(C887=TRUE,F887*IF(AND(Inputs!$B$39&lt;&gt;"pvp",Inputs!$B$44&gt;0),(((R887-1)*(Skills!S5*(1+((Inputs!$B$35+(ArtifactsInput!$M$7-ArtifactsInput!$M$7)*CHOOSE(ArtifactsInput!$N$7+1,6,7.2,8.4,9.6,10.8,12))+IF(Inputs!$B$3&gt;=117,F908,0))/100))+MIN((Skills!S5*(1+((Inputs!$B$35+(ArtifactsInput!$M$7-ArtifactsInput!$M$7)*CHOOSE(ArtifactsInput!$N$7+1,6,7.2,8.4,9.6,10.8,12))+IF(Inputs!$B$3&gt;=117,F908,0))/100)),MAX(0,Inputs!$B$44-((R887-1)*Skills!D5))))/Inputs!$B$44),IF(Inputs!$B$39="pvp",MIN((Skills!S5*(1+((Inputs!$B$35+(ArtifactsInput!$M$7-ArtifactsInput!$M$7)*CHOOSE(ArtifactsInput!$N$7+1,6,7.2,8.4,9.6,10.8,12))+IF(Inputs!$B$3&gt;=117,F908,0))/100)),15)/15,(Skills!S5*(1+((Inputs!$B$35+(ArtifactsInput!$M$7-ArtifactsInput!$M$7)*CHOOSE(ArtifactsInput!$N$7+1,6,7.2,8.4,9.6,10.8,12))+IF(Inputs!$B$3&gt;=117,F908,0))/100))/Skills!D5)),0)+IF(C893=TRUE,F893*IF(AND(Inputs!$B$39&lt;&gt;"pvp",Inputs!$B$44&gt;0),(((R893-1)*(Skills!S11*(1+((Inputs!$B$35+(ArtifactsInput!$M$7-ArtifactsInput!$M$7)*CHOOSE(ArtifactsInput!$N$7+1,6,7.2,8.4,9.6,10.8,12))+IF(Inputs!$B$3&gt;=117,F908,0))/100))+MIN((Skills!S11*(1+((Inputs!$B$35+(ArtifactsInput!$M$7-ArtifactsInput!$M$7)*CHOOSE(ArtifactsInput!$N$7+1,6,7.2,8.4,9.6,10.8,12))+IF(Inputs!$B$3&gt;=117,F908,0))/100)),MAX(0,Inputs!$B$44-((R893-1)*Skills!D11))))/Inputs!$B$44),IF(Inputs!$B$39="pvp",MIN((Skills!S11*(1+((Inputs!$B$35+(ArtifactsInput!$M$7-ArtifactsInput!$M$7)*CHOOSE(ArtifactsInput!$N$7+1,6,7.2,8.4,9.6,10.8,12))+IF(Inputs!$B$3&gt;=117,F908,0))/100)),15)/15,(Skills!S11*(1+((Inputs!$B$35+(ArtifactsInput!$M$7-ArtifactsInput!$M$7)*CHOOSE(ArtifactsInput!$N$7+1,6,7.2,8.4,9.6,10.8,12))+IF(Inputs!$B$3&gt;=117,F908,0)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896=TRUE,(1+F896*IF(AND(Inputs!$B$39&lt;&gt;"pvp",Inputs!$B$44&gt;0),(((R896-1)*(Skills!S14*(1+((Inputs!$B$35+(ArtifactsInput!$M$7-ArtifactsInput!$M$7)*CHOOSE(ArtifactsInput!$N$7+1,6,7.2,8.4,9.6,10.8,12))+IF(Inputs!$B$3&gt;=117,F908,0))/100))+MIN((Skills!S14*(1+((Inputs!$B$35+(ArtifactsInput!$M$7-ArtifactsInput!$M$7)*CHOOSE(ArtifactsInput!$N$7+1,6,7.2,8.4,9.6,10.8,12))+IF(Inputs!$B$3&gt;=117,F908,0))/100)),MAX(0,Inputs!$B$44-((R896-1)*Skills!D14))))/Inputs!$B$44),IF(Inputs!$B$39="pvp",MIN((Skills!S14*(1+((Inputs!$B$35+(ArtifactsInput!$M$7-ArtifactsInput!$M$7)*CHOOSE(ArtifactsInput!$N$7+1,6,7.2,8.4,9.6,10.8,12))+IF(Inputs!$B$3&gt;=117,F908,0))/100)),15)/15,(Skills!S14*(1+((Inputs!$B$35+(ArtifactsInput!$M$7-ArtifactsInput!$M$7)*CHOOSE(ArtifactsInput!$N$7+1,6,7.2,8.4,9.6,10.8,12))+IF(Inputs!$B$3&gt;=117,F908,0))/100))/Skills!D14))/100),1)*IF(C901=TRUE,(1+F901*IF(AND(Inputs!$B$39&lt;&gt;"pvp",Inputs!$B$44&gt;0),(((R901-1)*(Skills!S19*(1+((Inputs!$B$35+(ArtifactsInput!$M$7-ArtifactsInput!$M$7)*CHOOSE(ArtifactsInput!$N$7+1,6,7.2,8.4,9.6,10.8,12))+IF(Inputs!$B$3&gt;=117,F908,0))/100))+MIN((Skills!S19*(1+((Inputs!$B$35+(ArtifactsInput!$M$7-ArtifactsInput!$M$7)*CHOOSE(ArtifactsInput!$N$7+1,6,7.2,8.4,9.6,10.8,12))+IF(Inputs!$B$3&gt;=117,F908,0))/100)),MAX(0,Inputs!$B$44-((R901-1)*Skills!D19))))/Inputs!$B$44),IF(Inputs!$B$39="pvp",MIN((Skills!S19*(1+((Inputs!$B$35+(ArtifactsInput!$M$7-ArtifactsInput!$M$7)*CHOOSE(ArtifactsInput!$N$7+1,6,7.2,8.4,9.6,10.8,12))+IF(Inputs!$B$3&gt;=117,F908,0))/100)),15)/15,(Skills!S19*(1+((Inputs!$B$35+(ArtifactsInput!$M$7-ArtifactsInput!$M$7)*CHOOSE(ArtifactsInput!$N$7+1,6,7.2,8.4,9.6,10.8,12))+IF(Inputs!$B$3&gt;=117,F908,0))/100))/Skills!D19))/100),1)</f>
        <v/>
      </c>
    </row>
    <row r="913">
      <c r="A913" t="inlineStr">
        <is>
          <t>Monster Damage Taken Bonus % (Holy Fountain)</t>
        </is>
      </c>
      <c r="B913">
        <f>IF(Inputs!$B$3&gt;=68,20*IF(Inputs!$B$39="pvp",MIN((15*(1+((Inputs!$B$35+(ArtifactsInput!$M$7-ArtifactsInput!$M$7)*CHOOSE(ArtifactsInput!$N$7+1,6,7.2,8.4,9.6,10.8,12))+IF(Inputs!$B$3&gt;=117,F908,0))/100)),15)/15,(15*(1+((Inputs!$B$35+(ArtifactsInput!$M$7-ArtifactsInput!$M$7)*CHOOSE(ArtifactsInput!$N$7+1,6,7.2,8.4,9.6,10.8,12))+IF(Inputs!$B$3&gt;=117,F908,0))/100))/Skills!D10),0)</f>
        <v/>
      </c>
    </row>
    <row r="914">
      <c r="A914" t="inlineStr">
        <is>
          <t>Normal Monster Damage Bonus % (Holy Symbol)</t>
        </is>
      </c>
      <c r="B914">
        <f>IF(C894=TRUE,F894*IF(AND(Inputs!$B$39&lt;&gt;"pvp",Inputs!$B$44&gt;0),(((R894-1)*(Skills!S12*(1+((Inputs!$B$35+(ArtifactsInput!$M$7-ArtifactsInput!$M$7)*CHOOSE(ArtifactsInput!$N$7+1,6,7.2,8.4,9.6,10.8,12))+IF(Inputs!$B$3&gt;=117,F908,0))/100))+MIN((Skills!S12*(1+((Inputs!$B$35+(ArtifactsInput!$M$7-ArtifactsInput!$M$7)*CHOOSE(ArtifactsInput!$N$7+1,6,7.2,8.4,9.6,10.8,12))+IF(Inputs!$B$3&gt;=117,F908,0))/100)),MAX(0,Inputs!$B$44-((R894-1)*Skills!D12))))/Inputs!$B$44),IF(Inputs!$B$39="pvp",MIN((Skills!S12*(1+((Inputs!$B$35+(ArtifactsInput!$M$7-ArtifactsInput!$M$7)*CHOOSE(ArtifactsInput!$N$7+1,6,7.2,8.4,9.6,10.8,12))+IF(Inputs!$B$3&gt;=117,F908,0))/100)),15)/15,(Skills!S12*(1+((Inputs!$B$35+(ArtifactsInput!$M$7-ArtifactsInput!$M$7)*CHOOSE(ArtifactsInput!$N$7+1,6,7.2,8.4,9.6,10.8,12))+IF(Inputs!$B$3&gt;=117,F908,0))/100))/Skills!D12)),0)</f>
        <v/>
      </c>
    </row>
    <row r="915">
      <c r="A915" t="inlineStr">
        <is>
          <t>Damage % Bonus (Holy Symbol - Damage Boost)</t>
        </is>
      </c>
      <c r="B915">
        <f>Skills!O12</f>
        <v/>
      </c>
    </row>
    <row r="916">
      <c r="A916" t="inlineStr">
        <is>
          <t>Crit Damage % Bonus (Blood of the Divine)</t>
        </is>
      </c>
      <c r="B916">
        <f>4*IF(C902=TRUE,F902,0)</f>
        <v/>
      </c>
    </row>
    <row r="917">
      <c r="A917" t="inlineStr">
        <is>
          <t>Attack Speed Bonus %</t>
        </is>
      </c>
      <c r="B917">
        <f>IF(C899=TRUE,F899+(F903-Calc!F21),0)+IF(Inputs!$B$3&gt;=134,15,0)+((C910=TRUE)*F910*IF(AND(Inputs!$B$39&lt;&gt;"pvp",Inputs!$B$44&gt;0),(((R910-1)*(Skills!S28*(1+((Inputs!$B$35+(ArtifactsInput!$M$7-ArtifactsInput!$M$7)*CHOOSE(ArtifactsInput!$N$7+1,6,7.2,8.4,9.6,10.8,12))+IF(Inputs!$B$3&gt;=117,F908,0))/100))+MIN((Skills!S28*(1+((Inputs!$B$35+(ArtifactsInput!$M$7-ArtifactsInput!$M$7)*CHOOSE(ArtifactsInput!$N$7+1,6,7.2,8.4,9.6,10.8,12))+IF(Inputs!$B$3&gt;=117,F908,0))/100)),MAX(0,Inputs!$B$44-((R910-1)*Skills!D28))))/Inputs!$B$44),IF(Inputs!$B$39="pvp",MIN((Skills!S28*(1+((Inputs!$B$35+(ArtifactsInput!$M$7-ArtifactsInput!$M$7)*CHOOSE(ArtifactsInput!$N$7+1,6,7.2,8.4,9.6,10.8,12))+IF(Inputs!$B$3&gt;=117,F908,0))/100)),15)/15,(Skills!S28*(1+((Inputs!$B$35+(ArtifactsInput!$M$7-ArtifactsInput!$M$7)*CHOOSE(ArtifactsInput!$N$7+1,6,7.2,8.4,9.6,10.8,12))+IF(Inputs!$B$3&gt;=117,F908,0))/100))/Skills!D28)))</f>
        <v/>
      </c>
    </row>
    <row r="918">
      <c r="A918" t="inlineStr">
        <is>
          <t>Actions Per Second</t>
        </is>
      </c>
      <c r="B918">
        <f>1+MIN(150,150*(1-(1-Inputs!$B$12/150)*(1-B917/150)))/100</f>
        <v/>
      </c>
    </row>
    <row r="919">
      <c r="A919" t="inlineStr">
        <is>
          <t>Skill + Buff Cast Rate</t>
        </is>
      </c>
      <c r="B919">
        <f>IF(AND(Inputs!$B$39&lt;&gt;"pvp",Inputs!$B$44&gt;0),SUMPRODUCT((Skills!E2:E28=TRUE)*(C884:C910=TRUE)*R884:R910)/Inputs!$B$44,SUMPRODUCT((Skills!E2:E28=TRUE)*(C884:C910=TRUE)*Q884:Q910))</f>
        <v/>
      </c>
    </row>
    <row r="920">
      <c r="A920" t="inlineStr">
        <is>
          <t>Big Bang Casts Per Second</t>
        </is>
      </c>
      <c r="B920">
        <f>MAX(0,B918-B919)</f>
        <v/>
      </c>
    </row>
    <row r="921">
      <c r="A921" t="inlineStr">
        <is>
          <t>Defense % Bonus (Divine Protection)</t>
        </is>
      </c>
      <c r="B921">
        <f>IF(C895=TRUE,F895*IF(AND(Inputs!$B$39&lt;&gt;"pvp",Inputs!$B$44&gt;0),(((R895-1)*(Skills!S13*(1+((Inputs!$B$35+(ArtifactsInput!$M$7-ArtifactsInput!$M$7)*CHOOSE(ArtifactsInput!$N$7+1,6,7.2,8.4,9.6,10.8,12))+IF(Inputs!$B$3&gt;=117,F908,0))/100))+MIN((Skills!S13*(1+((Inputs!$B$35+(ArtifactsInput!$M$7-ArtifactsInput!$M$7)*CHOOSE(ArtifactsInput!$N$7+1,6,7.2,8.4,9.6,10.8,12))+IF(Inputs!$B$3&gt;=117,F908,0))/100)),MAX(0,Inputs!$B$44-((R895-1)*Skills!D13))))/Inputs!$B$44),IF(Inputs!$B$39="pvp",MIN((Skills!S13*(1+((Inputs!$B$35+(ArtifactsInput!$M$7-ArtifactsInput!$M$7)*CHOOSE(ArtifactsInput!$N$7+1,6,7.2,8.4,9.6,10.8,12))+IF(Inputs!$B$3&gt;=117,F908,0))/100)),15)/15,(Skills!S13*(1+((Inputs!$B$35+(ArtifactsInput!$M$7-ArtifactsInput!$M$7)*CHOOSE(ArtifactsInput!$N$7+1,6,7.2,8.4,9.6,10.8,12))+IF(Inputs!$B$3&gt;=117,F908,0))/100))/Skills!D13)),0)</f>
        <v/>
      </c>
    </row>
    <row r="922">
      <c r="A922" t="inlineStr">
        <is>
          <t>Buff-Casting Startup Delay (s, fixed-duration only)</t>
        </is>
      </c>
      <c r="B922">
        <f>IF(AND(Inputs!$B$39&lt;&gt;"pvp",Inputs!$B$44&gt;0),SUMPRODUCT((Skills!S2:S28&gt;0)*(Skills!E2:E28=TRUE)*(C884:C910=TRUE))/B918,0)</f>
        <v/>
      </c>
    </row>
    <row r="923">
      <c r="A923" t="inlineStr">
        <is>
          <t>Boss-Only Total DPS (this block's swept value)</t>
        </is>
      </c>
      <c r="B923">
        <f>SUM(S884:S910)</f>
        <v/>
      </c>
    </row>
    <row r="924">
      <c r="A924" t="inlineStr">
        <is>
          <t>Normal-Only Total DPS (this block's swept value)</t>
        </is>
      </c>
      <c r="B924">
        <f>SUM(U884:U910)</f>
        <v/>
      </c>
    </row>
    <row r="925">
      <c r="A925" s="6" t="inlineStr">
        <is>
          <t>TOTAL DPS</t>
        </is>
      </c>
      <c r="B925" s="6">
        <f>SUM(O884:O910)</f>
        <v/>
      </c>
    </row>
    <row r="927">
      <c r="A927" s="6" t="inlineStr">
        <is>
          <t>Stat: Skill Level Bonus — 3rd Job</t>
        </is>
      </c>
    </row>
    <row r="928">
      <c r="A928" s="5" t="inlineStr">
        <is>
          <t>Key</t>
        </is>
      </c>
      <c r="B928" s="5" t="inlineStr">
        <is>
          <t>Name</t>
        </is>
      </c>
      <c r="C928" s="5" t="inlineStr">
        <is>
          <t>Unlocked</t>
        </is>
      </c>
      <c r="D928" s="5" t="inlineStr">
        <is>
          <t>InputLevel</t>
        </is>
      </c>
      <c r="E928" s="5" t="inlineStr">
        <is>
          <t>Factor</t>
        </is>
      </c>
      <c r="F928" s="5" t="inlineStr">
        <is>
          <t>CoefficientPercent</t>
        </is>
      </c>
      <c r="G928" s="5" t="inlineStr">
        <is>
          <t>EffectiveHits</t>
        </is>
      </c>
      <c r="H928" s="5" t="inlineStr">
        <is>
          <t>ProcProbability</t>
        </is>
      </c>
      <c r="I928" s="5" t="inlineStr">
        <is>
          <t>MapleHeroMultiplier</t>
        </is>
      </c>
      <c r="J928" s="5" t="inlineStr">
        <is>
          <t>BaseDamage</t>
        </is>
      </c>
      <c r="K928" s="5" t="inlineStr">
        <is>
          <t>BaseHitDamage</t>
        </is>
      </c>
      <c r="L928" s="5" t="inlineStr">
        <is>
          <t>NonCritAvg</t>
        </is>
      </c>
      <c r="M928" s="5" t="inlineStr">
        <is>
          <t>CritAvg</t>
        </is>
      </c>
      <c r="N928" s="5" t="inlineStr">
        <is>
          <t>ExpectedDamage(perHit)</t>
        </is>
      </c>
      <c r="O928" s="5" t="inlineStr">
        <is>
          <t>DPS</t>
        </is>
      </c>
      <c r="P928" s="5" t="inlineStr">
        <is>
          <t>% of Total</t>
        </is>
      </c>
      <c r="R928" t="inlineStr">
        <is>
          <t>helpers</t>
        </is>
      </c>
    </row>
    <row r="929">
      <c r="A929">
        <f>Skills!A2</f>
        <v/>
      </c>
      <c r="B929">
        <f>Skills!B2</f>
        <v/>
      </c>
      <c r="C929">
        <f>Inputs!$B$3&gt;=100</f>
        <v/>
      </c>
      <c r="D929" t="inlineStr"/>
      <c r="E929" t="inlineStr"/>
      <c r="F929">
        <f>T931+Skills!N2</f>
        <v/>
      </c>
      <c r="G929">
        <f>Calc!G2</f>
        <v/>
      </c>
      <c r="H929">
        <f>Calc!H2</f>
        <v/>
      </c>
      <c r="I929">
        <f>IF(Skills!T2&lt;&gt;"",1+(Skills!T2/10)*($Z$3/1000)/100,1)</f>
        <v/>
      </c>
      <c r="J929">
        <f>((Inputs!$B$6*(1+Inputs!$B$7/100))+(((Inputs!$B$13*(1+Inputs!$B$14/100))-(Inputs!$B$13*(1+Inputs!$B$14/100)))+0.25*(Inputs!$B$15-Inputs!$B$15))*(1+Inputs!$B$7/100))*(F929/100)</f>
        <v/>
      </c>
      <c r="K929">
        <f>J929*(1+(((Inputs!$B$13+IF(Inputs!$B$3&gt;=35,(10*INDEX(FactorTable!$B$2:$Y$301,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2="TRIUMPH_FEATHER",IF(C943=TRUE,F943,0),0)/100)*(1+IF(C954=TRUE,F954,0)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929)</f>
        <v/>
      </c>
      <c r="L929">
        <f>K929*(MIN(Inputs!$B$23+(F949-Calc!F22),(Inputs!$B$24+IF(ArtifactsInput!$M$15,CHOOSE(ArtifactsInput!$N$15+1,25,30,35,40,45,50)/100*(Inputs!$B$12-Inputs!$B$12),0)))/100+(Inputs!$B$24+IF(ArtifactsInput!$M$15,CHOOSE(ArtifactsInput!$N$15+1,25,30,35,40,45,50)/100*(Inputs!$B$12-Inputs!$B$12),0))/100)/2</f>
        <v/>
      </c>
      <c r="M929">
        <f>L929*(1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29">
        <f>L929*(1-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(1-Summary!$B$11)*S929+Summary!$B$11*U929</f>
        <v/>
      </c>
      <c r="P929">
        <f>IF(B970=0,0,O929/B970)</f>
        <v/>
      </c>
      <c r="Q929">
        <f>IFERROR(1/(IF(Inputs!$B$39="pvp",15,MAX(0.1,Skills!D2-IF(Skills!E2=TRUE,Inputs!$B$33,0)))*(1-IF(AND(ArtifactsInput!$M$27,Inputs!$B$4="Chapter Hunt"),CHOOSE(ArtifactsInput!$N$27+1,20,24,28,32,36,40),0)/100)),0)</f>
        <v/>
      </c>
      <c r="R929" t="n">
        <v>0</v>
      </c>
      <c r="S929">
        <f>IF(C929,(Skills!F2*N929*B965)*IF(Inputs!$B$39="pvp",1,1+(Inputs!$B$21+Skills!O2+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929*(1-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29">
        <f>MAX(0,(Inputs!$B$3-100)*3)+Inputs!$B$29+Inputs!$B$30</f>
        <v/>
      </c>
      <c r="U929">
        <f>IF(C929,(Skills!F2*N929*B965)*IF(Inputs!$B$39="pvp",1,(1+(Inputs!$B$22+Skills!P2+B959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Skills!A3</f>
        <v/>
      </c>
      <c r="B930">
        <f>Skills!B3</f>
        <v/>
      </c>
      <c r="C930">
        <f>Inputs!$B$3&gt;=15</f>
        <v/>
      </c>
      <c r="D930">
        <f>IF(Skills!C3=1,60+Inputs!$B$26+Inputs!$B$30,IF(Skills!C3=2,90+Inputs!$B$27+Inputs!$B$30,IF(Skills!C3=3,120+(Inputs!$B$28+1)+Inputs!$B$30,MAX(0,(Inputs!$B$3-100)*3)+Inputs!$B$29+Inputs!$B$30)))</f>
        <v/>
      </c>
      <c r="E930">
        <f>INDEX(FactorTable!$B$2:$Y$301, MATCH(ROUND(MIN(300,MAX(1,D930)),0), FactorTable!$A$2:$A$301,0), Skills!L3+1)</f>
        <v/>
      </c>
      <c r="F930">
        <f>IF(Skills!M3=TRUE,(Skills!K3/10)*(E930/1000),Skills!K3/10)+Skills!N3</f>
        <v/>
      </c>
      <c r="G930">
        <f>Calc!G3</f>
        <v/>
      </c>
      <c r="H930">
        <f>Calc!H3</f>
        <v/>
      </c>
      <c r="I930">
        <f>IF(Skills!T3&lt;&gt;"",1+(Skills!T3/10)*($Z$3/1000)/100,1)</f>
        <v/>
      </c>
      <c r="J930" t="inlineStr"/>
      <c r="K930" t="inlineStr"/>
      <c r="L930" t="inlineStr"/>
      <c r="M930" t="inlineStr"/>
      <c r="N930" t="inlineStr"/>
      <c r="O930">
        <f>(1-Summary!$B$11)*S930+Summary!$B$11*U930</f>
        <v/>
      </c>
      <c r="P930">
        <f>IF(B970=0,0,O930/B970)</f>
        <v/>
      </c>
      <c r="Q930">
        <f>IFERROR(1/(IF(Inputs!$B$39="pvp",15,MAX(0.1,Skills!D3-IF(Skills!E3=TRUE,Inputs!$B$33,0)))*(1-IF(AND(ArtifactsInput!$M$27,Inputs!$B$4="Chapter Hunt"),CHOOSE(ArtifactsInput!$N$27+1,20,24,28,32,36,40),0)/100)),0)</f>
        <v/>
      </c>
      <c r="R930">
        <f>IF(AND(Inputs!$B$39&lt;&gt;"pvp",Inputs!$B$44&gt;0),IF(Inputs!$B$44&lt;=0,0,(INT(Inputs!$B$44/(IF(Inputs!$B$39="pvp",15,MAX(0.1,Skills!D3-IF(Skills!E3=TRUE,Inputs!$B$33,0)))*(1-IF(AND(ArtifactsInput!$M$27,Inputs!$B$4="Chapter Hunt"),CHOOSE(ArtifactsInput!$N$27+1,20,24,28,32,36,40),0)/100)))+1)),0)</f>
        <v/>
      </c>
      <c r="S930" t="n">
        <v>0</v>
      </c>
      <c r="T930">
        <f>INDEX(FactorTable!$B$2:$Y$301, MATCH(ROUND(MIN(300,MAX(1,T929)),0), FactorTable!$A$2:$A$301,0), 22)</f>
        <v/>
      </c>
      <c r="U930" t="n">
        <v>0</v>
      </c>
    </row>
    <row r="931">
      <c r="A931">
        <f>Skills!A4</f>
        <v/>
      </c>
      <c r="B931">
        <f>Skills!B4</f>
        <v/>
      </c>
      <c r="C931">
        <f>Inputs!$B$3&gt;=38</f>
        <v/>
      </c>
      <c r="D931">
        <f>IF(Skills!C4=1,60+Inputs!$B$26+Inputs!$B$30,IF(Skills!C4=2,90+Inputs!$B$27+Inputs!$B$30,IF(Skills!C4=3,120+(Inputs!$B$28+1)+Inputs!$B$30,MAX(0,(Inputs!$B$3-100)*3)+Inputs!$B$29+Inputs!$B$30)))</f>
        <v/>
      </c>
      <c r="E931">
        <f>INDEX(FactorTable!$B$2:$Y$301, MATCH(ROUND(MIN(300,MAX(1,D931)),0), FactorTable!$A$2:$A$301,0), Skills!L4+1)</f>
        <v/>
      </c>
      <c r="F931">
        <f>IF(Skills!M4=TRUE,(Skills!K4/10)*(E931/1000),Skills!K4/10)+Skills!N4</f>
        <v/>
      </c>
      <c r="G931">
        <f>Calc!G4</f>
        <v/>
      </c>
      <c r="H931">
        <f>Calc!H4</f>
        <v/>
      </c>
      <c r="I931">
        <f>IF(Skills!T4&lt;&gt;"",1+(Skills!T4/10)*($Z$3/1000)/100,1)</f>
        <v/>
      </c>
      <c r="J931" t="inlineStr"/>
      <c r="K931" t="inlineStr"/>
      <c r="L931" t="inlineStr"/>
      <c r="M931" t="inlineStr"/>
      <c r="N931" t="inlineStr"/>
      <c r="O931">
        <f>(1-Summary!$B$11)*S931+Summary!$B$11*U931</f>
        <v/>
      </c>
      <c r="P931">
        <f>IF(B970=0,0,O931/B970)</f>
        <v/>
      </c>
      <c r="Q931">
        <f>IFERROR(1/(IF(Inputs!$B$39="pvp",15,MAX(0.1,Skills!D4-IF(Skills!E4=TRUE,Inputs!$B$33,0)))*(1-IF(AND(ArtifactsInput!$M$27,Inputs!$B$4="Chapter Hunt"),CHOOSE(ArtifactsInput!$N$27+1,20,24,28,32,36,40),0)/100)),0)</f>
        <v/>
      </c>
      <c r="R931">
        <f>IF(AND(Inputs!$B$39&lt;&gt;"pvp",Inputs!$B$44&gt;0),IF(Inputs!$B$44&lt;=0,0,(INT(Inputs!$B$44/(IF(Inputs!$B$39="pvp",15,MAX(0.1,Skills!D4-IF(Skills!E4=TRUE,Inputs!$B$33,0)))*(1-IF(AND(ArtifactsInput!$M$27,Inputs!$B$4="Chapter Hunt"),CHOOSE(ArtifactsInput!$N$27+1,20,24,28,32,36,40),0)/100)))+1)),0)</f>
        <v/>
      </c>
      <c r="S931" t="n">
        <v>0</v>
      </c>
      <c r="T931">
        <f>290*T930/1000</f>
        <v/>
      </c>
      <c r="U931" t="n">
        <v>0</v>
      </c>
    </row>
    <row r="932">
      <c r="A932">
        <f>Skills!A5</f>
        <v/>
      </c>
      <c r="B932">
        <f>Skills!B5</f>
        <v/>
      </c>
      <c r="C932">
        <f>Inputs!$B$3&gt;=40</f>
        <v/>
      </c>
      <c r="D932">
        <f>IF(Skills!C5=1,60+Inputs!$B$26+Inputs!$B$30,IF(Skills!C5=2,90+Inputs!$B$27+Inputs!$B$30,IF(Skills!C5=3,120+(Inputs!$B$28+1)+Inputs!$B$30,MAX(0,(Inputs!$B$3-100)*3)+Inputs!$B$29+Inputs!$B$30)))</f>
        <v/>
      </c>
      <c r="E932">
        <f>INDEX(FactorTable!$B$2:$Y$301, MATCH(ROUND(MIN(300,MAX(1,D932)),0), FactorTable!$A$2:$A$301,0), Skills!L5+1)</f>
        <v/>
      </c>
      <c r="F932">
        <f>IF(Skills!M5=TRUE,(Skills!K5/10)*(E932/1000),Skills!K5/10)+Skills!N5</f>
        <v/>
      </c>
      <c r="G932">
        <f>Calc!G5</f>
        <v/>
      </c>
      <c r="H932">
        <f>Calc!H5</f>
        <v/>
      </c>
      <c r="I932">
        <f>IF(Skills!T5&lt;&gt;"",1+(Skills!T5/10)*($Z$3/1000)/100,1)</f>
        <v/>
      </c>
      <c r="J932" t="inlineStr"/>
      <c r="K932" t="inlineStr"/>
      <c r="L932" t="inlineStr"/>
      <c r="M932" t="inlineStr"/>
      <c r="N932" t="inlineStr"/>
      <c r="O932">
        <f>(1-Summary!$B$11)*S932+Summary!$B$11*U932</f>
        <v/>
      </c>
      <c r="P932">
        <f>IF(B970=0,0,O932/B970)</f>
        <v/>
      </c>
      <c r="Q932">
        <f>IFERROR(1/(IF(Inputs!$B$39="pvp",15,MAX(0.1,Skills!D5-IF(Skills!E5=TRUE,Inputs!$B$33,0)))*(1-IF(AND(ArtifactsInput!$M$27,Inputs!$B$4="Chapter Hunt"),CHOOSE(ArtifactsInput!$N$27+1,20,24,28,32,36,40),0)/100)),0)</f>
        <v/>
      </c>
      <c r="R932">
        <f>IF(AND(Inputs!$B$39&lt;&gt;"pvp",Inputs!$B$44&gt;0),IF(Inputs!$B$44&lt;=0,0,(INT(Inputs!$B$44/(IF(Inputs!$B$39="pvp",15,MAX(0.1,Skills!D5-IF(Skills!E5=TRUE,Inputs!$B$33,0)))*(1-IF(AND(ArtifactsInput!$M$27,Inputs!$B$4="Chapter Hunt"),CHOOSE(ArtifactsInput!$N$27+1,20,24,28,32,36,40),0)/100)))+1)),0)</f>
        <v/>
      </c>
      <c r="S932" t="n">
        <v>0</v>
      </c>
      <c r="U932" t="n">
        <v>0</v>
      </c>
    </row>
    <row r="933">
      <c r="A933">
        <f>Skills!A6</f>
        <v/>
      </c>
      <c r="B933">
        <f>Skills!B6</f>
        <v/>
      </c>
      <c r="C933">
        <f>Inputs!$B$3&gt;=103</f>
        <v/>
      </c>
      <c r="D933">
        <f>IF(Skills!C6=1,60+Inputs!$B$26+Inputs!$B$30,IF(Skills!C6=2,90+Inputs!$B$27+Inputs!$B$30,IF(Skills!C6=3,120+(Inputs!$B$28+1)+Inputs!$B$30,MAX(0,(Inputs!$B$3-100)*3)+Inputs!$B$29+Inputs!$B$30)))</f>
        <v/>
      </c>
      <c r="E933">
        <f>INDEX(FactorTable!$B$2:$Y$301, MATCH(ROUND(MIN(300,MAX(1,D933)),0), FactorTable!$A$2:$A$301,0), Skills!L6+1)</f>
        <v/>
      </c>
      <c r="F933">
        <f>IF(Skills!M6=TRUE,(Skills!K6/10)*(E933/1000),Skills!K6/10)+Skills!N6</f>
        <v/>
      </c>
      <c r="G933">
        <f>Calc!G6</f>
        <v/>
      </c>
      <c r="H933">
        <f>Calc!H6</f>
        <v/>
      </c>
      <c r="I933">
        <f>IF(Skills!T6&lt;&gt;"",1+(Skills!T6/10)*($Z$3/1000)/100,1)</f>
        <v/>
      </c>
      <c r="J933">
        <f>((Inputs!$B$6*(1+Inputs!$B$7/100))+(((Inputs!$B$13*(1+Inputs!$B$14/100))-(Inputs!$B$13*(1+Inputs!$B$14/100)))+0.25*(Inputs!$B$15-Inputs!$B$15))*(1+Inputs!$B$7/100))*(F933/100)</f>
        <v/>
      </c>
      <c r="K933">
        <f>J933*(1+(((Inputs!$B$13+IF(Inputs!$B$3&gt;=35,(10*INDEX(FactorTable!$B$2:$Y$301,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6="TRIUMPH_FEATHER",IF(C943=TRUE,F943,0),0)/100)*(1+IF(C954=TRUE,F954,0)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933)</f>
        <v/>
      </c>
      <c r="L933">
        <f>K933*(MIN(Inputs!$B$23+(F949-Calc!F22),(Inputs!$B$24+IF(ArtifactsInput!$M$15,CHOOSE(ArtifactsInput!$N$15+1,25,30,35,40,45,50)/100*(Inputs!$B$12-Inputs!$B$12),0)))/100+(Inputs!$B$24+IF(ArtifactsInput!$M$15,CHOOSE(ArtifactsInput!$N$15+1,25,30,35,40,45,50)/100*(Inputs!$B$12-Inputs!$B$12),0))/100)/2</f>
        <v/>
      </c>
      <c r="M933">
        <f>L933*(1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3">
        <f>L933*(1-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(1-Summary!$B$11)*S933+Summary!$B$11*U933</f>
        <v/>
      </c>
      <c r="P933">
        <f>IF(B970=0,0,O933/B970)</f>
        <v/>
      </c>
      <c r="Q933">
        <f>IFERROR(1/(IF(Inputs!$B$39="pvp",15,MAX(0.1,Skills!D6-IF(Skills!E6=TRUE,Inputs!$B$33,0)))*(1-IF(AND(ArtifactsInput!$M$27,Inputs!$B$4="Chapter Hunt"),CHOOSE(ArtifactsInput!$N$27+1,20,24,28,32,36,40),0)/100)),0)</f>
        <v/>
      </c>
      <c r="R933">
        <f>IF(AND(Inputs!$B$39&lt;&gt;"pvp",Inputs!$B$44&gt;0),IF(MAX(0,Inputs!$B$44-B967)&lt;=0,0,(INT(MAX(0,Inputs!$B$44-B967)/(IF(Inputs!$B$39="pvp",15,MAX(0.1,Skills!D6-IF(Skills!E6=TRUE,Inputs!$B$33,0)))*(1-IF(AND(ArtifactsInput!$M$27,Inputs!$B$4="Chapter Hunt"),CHOOSE(ArtifactsInput!$N$27+1,20,24,28,32,36,40),0)/100)))+1)),0)</f>
        <v/>
      </c>
      <c r="S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$21+Skills!O6+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933*(1-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$22+Skills!P6+B959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Skills!A7</f>
        <v/>
      </c>
      <c r="B934">
        <f>Skills!B7</f>
        <v/>
      </c>
      <c r="C934">
        <f>Inputs!$B$3&gt;=122</f>
        <v/>
      </c>
      <c r="D934">
        <f>IF(Skills!C7=1,60+Inputs!$B$26+Inputs!$B$30,IF(Skills!C7=2,90+Inputs!$B$27+Inputs!$B$30,IF(Skills!C7=3,120+(Inputs!$B$28+1)+Inputs!$B$30,MAX(0,(Inputs!$B$3-100)*3)+Inputs!$B$29+Inputs!$B$30)))</f>
        <v/>
      </c>
      <c r="E934">
        <f>INDEX(FactorTable!$B$2:$Y$301, MATCH(ROUND(MIN(300,MAX(1,D934)),0), FactorTable!$A$2:$A$301,0), Skills!L7+1)</f>
        <v/>
      </c>
      <c r="F934">
        <f>IF(Skills!M7=TRUE,(Skills!K7/10)*(E934/1000),Skills!K7/10)+Skills!N7</f>
        <v/>
      </c>
      <c r="G934">
        <f>Calc!G7</f>
        <v/>
      </c>
      <c r="H934">
        <f>Calc!H7</f>
        <v/>
      </c>
      <c r="I934">
        <f>IF(Skills!T7&lt;&gt;"",1+(Skills!T7/10)*($Z$3/1000)/100,1)</f>
        <v/>
      </c>
      <c r="J934">
        <f>((Inputs!$B$6*(1+Inputs!$B$7/100))+(((Inputs!$B$13*(1+Inputs!$B$14/100))-(Inputs!$B$13*(1+Inputs!$B$14/100)))+0.25*(Inputs!$B$15-Inputs!$B$15))*(1+Inputs!$B$7/100))*(F934/100)</f>
        <v/>
      </c>
      <c r="K934">
        <f>J934*(1+(((Inputs!$B$13+IF(Inputs!$B$3&gt;=35,(10*INDEX(FactorTable!$B$2:$Y$301,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7="TRIUMPH_FEATHER",IF(C943=TRUE,F943,0),0)/100)*(1+IF(C954=TRUE,F954,0)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934)</f>
        <v/>
      </c>
      <c r="L934">
        <f>K934*(MIN(Inputs!$B$23+(F949-Calc!F22),(Inputs!$B$24+IF(ArtifactsInput!$M$15,CHOOSE(ArtifactsInput!$N$15+1,25,30,35,40,45,50)/100*(Inputs!$B$12-Inputs!$B$12),0)))/100+(Inputs!$B$24+IF(ArtifactsInput!$M$15,CHOOSE(ArtifactsInput!$N$15+1,25,30,35,40,45,50)/100*(Inputs!$B$12-Inputs!$B$12),0))/100)/2</f>
        <v/>
      </c>
      <c r="M934">
        <f>L934*(1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4">
        <f>L934*(1-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(1-Summary!$B$11)*S934+Summary!$B$11*U934</f>
        <v/>
      </c>
      <c r="P934">
        <f>IF(B970=0,0,O934/B970)</f>
        <v/>
      </c>
      <c r="Q934">
        <f>IFERROR(1/(IF(Inputs!$B$39="pvp",15,MAX(0.1,Skills!D7-IF(Skills!E6=TRUE,Inputs!$B$33,0)))*(1-IF(AND(ArtifactsInput!$M$27,Inputs!$B$4="Chapter Hunt"),CHOOSE(ArtifactsInput!$N$27+1,20,24,28,32,36,40),0)/100)),0)</f>
        <v/>
      </c>
      <c r="R934">
        <f>IF(AND(Inputs!$B$39&lt;&gt;"pvp",Inputs!$B$44&gt;0),IF(MAX(0,Inputs!$B$44-B967)&lt;=0,0,(INT(MAX(0,Inputs!$B$44-B967)/(IF(Inputs!$B$39="pvp",15,MAX(0.1,Skills!D7-IF(Skills!E6=TRUE,Inputs!$B$33,0)))*(1-IF(AND(ArtifactsInput!$M$27,Inputs!$B$4="Chapter Hunt"),CHOOSE(ArtifactsInput!$N$27+1,20,24,28,32,36,40),0)/100)))+1)),0)</f>
        <v/>
      </c>
      <c r="S934">
        <f>IF(C934,H934*N934*IF(AND(Inputs!$B$39&lt;&gt;"pvp",Inputs!$B$44&gt;0),((Skills!F7*((R934-1)*IF(Skills!G7&gt;0,Skills!H7/Skills!G7,1)+IF(Skills!G7&gt;0,MIN(Skills!H7,MAX(0,MAX(0,Inputs!$B$44-B967)-((R934-1)*(IF(Inputs!$B$39="pvp",15,MAX(0.1,Skills!D7-IF(Skills!E6=TRUE,Inputs!$B$33,0)))*(1-IF(AND(ArtifactsInput!$M$27,Inputs!$B$4="Chapter Hunt"),CHOOSE(ArtifactsInput!$N$27+1,20,24,28,32,36,40),0)/100)))))/Skills!G7,1)))/Inputs!$B$44),G934*Q934)*IF(Inputs!$B$39="pvp",1,1+(Inputs!$B$21+Skills!O7+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934*(1-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4" t="n">
        <v>0</v>
      </c>
    </row>
    <row r="935">
      <c r="A935">
        <f>Skills!A8</f>
        <v/>
      </c>
      <c r="B935">
        <f>Skills!B8</f>
        <v/>
      </c>
      <c r="C935">
        <f>Inputs!$B$3&gt;=105</f>
        <v/>
      </c>
      <c r="D935">
        <f>IF(Skills!C8=1,60+Inputs!$B$26+Inputs!$B$30,IF(Skills!C8=2,90+Inputs!$B$27+Inputs!$B$30,IF(Skills!C8=3,120+(Inputs!$B$28+1)+Inputs!$B$30,MAX(0,(Inputs!$B$3-100)*3)+Inputs!$B$29+Inputs!$B$30)))</f>
        <v/>
      </c>
      <c r="E935">
        <f>INDEX(FactorTable!$B$2:$Y$301, MATCH(ROUND(MIN(300,MAX(1,D935)),0), FactorTable!$A$2:$A$301,0), Skills!L8+1)</f>
        <v/>
      </c>
      <c r="F935">
        <f>IF(Skills!M8=TRUE,(Skills!K8/10)*(E935/1000),Skills!K8/10)+Skills!N8</f>
        <v/>
      </c>
      <c r="G935">
        <f>Calc!G8</f>
        <v/>
      </c>
      <c r="H935">
        <f>Calc!H8</f>
        <v/>
      </c>
      <c r="I935">
        <f>IF(Skills!T8&lt;&gt;"",1+(Skills!T8/10)*($Z$3/1000)/100,1)</f>
        <v/>
      </c>
      <c r="J935">
        <f>((Inputs!$B$6*(1+Inputs!$B$7/100))+(((Inputs!$B$13*(1+Inputs!$B$14/100))-(Inputs!$B$13*(1+Inputs!$B$14/100)))+0.25*(Inputs!$B$15-Inputs!$B$15))*(1+Inputs!$B$7/100))*(F935/100)</f>
        <v/>
      </c>
      <c r="K935">
        <f>J935*(1+(((Inputs!$B$13+IF(Inputs!$B$3&gt;=35,(10*INDEX(FactorTable!$B$2:$Y$301,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8="TRIUMPH_FEATHER",IF(C943=TRUE,F943,0),0)/100)*(1+IF(C954=TRUE,F954,0)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935)</f>
        <v/>
      </c>
      <c r="L935">
        <f>K935*(MIN(Inputs!$B$23+(F949-Calc!F22),(Inputs!$B$24+IF(ArtifactsInput!$M$15,CHOOSE(ArtifactsInput!$N$15+1,25,30,35,40,45,50)/100*(Inputs!$B$12-Inputs!$B$12),0)))/100+(Inputs!$B$24+IF(ArtifactsInput!$M$15,CHOOSE(ArtifactsInput!$N$15+1,25,30,35,40,45,50)/100*(Inputs!$B$12-Inputs!$B$12),0))/100)/2</f>
        <v/>
      </c>
      <c r="M935">
        <f>L935*(1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5">
        <f>L935*(1-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935*(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5">
        <f>(1-Summary!$B$11)*S935+Summary!$B$11*U935</f>
        <v/>
      </c>
      <c r="P935">
        <f>IF(B970=0,0,O935/B970)</f>
        <v/>
      </c>
      <c r="Q935">
        <f>IFERROR(1/(IF(Inputs!$B$39="pvp",15,MAX(0.1,Skills!D8-IF(Skills!E8=TRUE,Inputs!$B$33,0)))*(1-IF(AND(ArtifactsInput!$M$27,Inputs!$B$4="Chapter Hunt"),CHOOSE(ArtifactsInput!$N$27+1,20,24,28,32,36,40),0)/100)),0)</f>
        <v/>
      </c>
      <c r="R935">
        <f>IF(AND(Inputs!$B$39&lt;&gt;"pvp",Inputs!$B$44&gt;0),IF(MAX(0,Inputs!$B$44-B967)&lt;=0,0,(INT(MAX(0,Inputs!$B$44-B967)/(IF(Inputs!$B$39="pvp",15,MAX(0.1,Skills!D8-IF(Skills!E8=TRUE,Inputs!$B$33,0)))*(1-IF(AND(ArtifactsInput!$M$27,Inputs!$B$4="Chapter Hunt"),CHOOSE(ArtifactsInput!$N$27+1,20,24,28,32,36,40),0)/100)))+1)),0)</f>
        <v/>
      </c>
      <c r="S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$21+Skills!O8+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935*(1-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935*(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935*(1-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935*(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$22+Skills!P8+B959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6">
      <c r="A936">
        <f>Skills!A9</f>
        <v/>
      </c>
      <c r="B936">
        <f>Skills!B9</f>
        <v/>
      </c>
      <c r="C936">
        <f>Inputs!$B$3&gt;=115</f>
        <v/>
      </c>
      <c r="D936">
        <f>IF(Skills!C9=1,60+Inputs!$B$26+Inputs!$B$30,IF(Skills!C9=2,90+Inputs!$B$27+Inputs!$B$30,IF(Skills!C9=3,120+(Inputs!$B$28+1)+Inputs!$B$30,MAX(0,(Inputs!$B$3-100)*3)+Inputs!$B$29+Inputs!$B$30)))</f>
        <v/>
      </c>
      <c r="E936">
        <f>INDEX(FactorTable!$B$2:$Y$301, MATCH(ROUND(MIN(300,MAX(1,D936)),0), FactorTable!$A$2:$A$301,0), Skills!L9+1)</f>
        <v/>
      </c>
      <c r="F936">
        <f>IF(Skills!M9=TRUE,(Skills!K9/10)*(E936/1000),Skills!K9/10)+Skills!N9</f>
        <v/>
      </c>
      <c r="G936">
        <f>Calc!G9</f>
        <v/>
      </c>
      <c r="H936">
        <f>Calc!H9</f>
        <v/>
      </c>
      <c r="I936">
        <f>IF(Skills!T9&lt;&gt;"",1+(Skills!T9/10)*($Z$3/1000)/100,1)</f>
        <v/>
      </c>
      <c r="J936">
        <f>((Inputs!$B$6*(1+Inputs!$B$7/100))+(((Inputs!$B$13*(1+Inputs!$B$14/100))-(Inputs!$B$13*(1+Inputs!$B$14/100)))+0.25*(Inputs!$B$15-Inputs!$B$15))*(1+Inputs!$B$7/100))*(F936/100)</f>
        <v/>
      </c>
      <c r="K936">
        <f>J936*(1+(((Inputs!$B$13+IF(Inputs!$B$3&gt;=35,(10*INDEX(FactorTable!$B$2:$Y$301,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9="TRIUMPH_FEATHER",IF(C943=TRUE,F943,0),0)/100)*(1+IF(C954=TRUE,F954,0)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936)</f>
        <v/>
      </c>
      <c r="L936">
        <f>K936*(MIN(Inputs!$B$23+(F949-Calc!F22),(Inputs!$B$24+IF(ArtifactsInput!$M$15,CHOOSE(ArtifactsInput!$N$15+1,25,30,35,40,45,50)/100*(Inputs!$B$12-Inputs!$B$12),0)))/100+(Inputs!$B$24+IF(ArtifactsInput!$M$15,CHOOSE(ArtifactsInput!$N$15+1,25,30,35,40,45,50)/100*(Inputs!$B$12-Inputs!$B$12),0))/100)/2</f>
        <v/>
      </c>
      <c r="M936">
        <f>L936*(1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6">
        <f>L936*(1-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(1-Summary!$B$11)*S936+Summary!$B$11*U936</f>
        <v/>
      </c>
      <c r="P936">
        <f>IF(B970=0,0,O936/B970)</f>
        <v/>
      </c>
      <c r="Q936">
        <f>IFERROR(1/(IF(Inputs!$B$39="pvp",15,MAX(0.1,Skills!D9-IF(Skills!E9=TRUE,Inputs!$B$33,0)))*(1-IF(AND(ArtifactsInput!$M$27,Inputs!$B$4="Chapter Hunt"),CHOOSE(ArtifactsInput!$N$27+1,20,24,28,32,36,40),0)/100)),0)</f>
        <v/>
      </c>
      <c r="R936">
        <f>IF(AND(Inputs!$B$39&lt;&gt;"pvp",Inputs!$B$44&gt;0),IF(MAX(0,Inputs!$B$44-B967)&lt;=0,0,(INT(MAX(0,Inputs!$B$44-B967)/(IF(Inputs!$B$39="pvp",15,MAX(0.1,Skills!D9-IF(Skills!E9=TRUE,Inputs!$B$33,0)))*(1-IF(AND(ArtifactsInput!$M$27,Inputs!$B$4="Chapter Hunt"),CHOOSE(ArtifactsInput!$N$27+1,20,24,28,32,36,40),0)/100)))+1)),0)</f>
        <v/>
      </c>
      <c r="S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$21+Skills!O9+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936*(1-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$22+Skills!P9+B959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Skills!A10</f>
        <v/>
      </c>
      <c r="B937">
        <f>Skills!B10</f>
        <v/>
      </c>
      <c r="C937">
        <f>Inputs!$B$3&gt;=66</f>
        <v/>
      </c>
      <c r="D937">
        <f>IF(Skills!C10=1,60+Inputs!$B$26+Inputs!$B$30,IF(Skills!C10=2,90+Inputs!$B$27+Inputs!$B$30,IF(Skills!C10=3,120+(Inputs!$B$28+1)+Inputs!$B$30,MAX(0,(Inputs!$B$3-100)*3)+Inputs!$B$29+Inputs!$B$30)))</f>
        <v/>
      </c>
      <c r="E937">
        <f>INDEX(FactorTable!$B$2:$Y$301, MATCH(ROUND(MIN(300,MAX(1,D937)),0), FactorTable!$A$2:$A$301,0), Skills!L10+1)</f>
        <v/>
      </c>
      <c r="F937" t="n">
        <v>0</v>
      </c>
      <c r="G937">
        <f>Calc!G10</f>
        <v/>
      </c>
      <c r="H937">
        <f>Calc!H10</f>
        <v/>
      </c>
      <c r="I937">
        <f>IF(Skills!T10&lt;&gt;"",1+(Skills!T10/10)*($Z$3/1000)/100,1)</f>
        <v/>
      </c>
      <c r="J937" t="inlineStr"/>
      <c r="K937" t="inlineStr"/>
      <c r="L937" t="inlineStr"/>
      <c r="M937" t="inlineStr"/>
      <c r="N937" t="inlineStr"/>
      <c r="O937">
        <f>(1-Summary!$B$11)*S937+Summary!$B$11*U937</f>
        <v/>
      </c>
      <c r="P937">
        <f>IF(B970=0,0,O937/B970)</f>
        <v/>
      </c>
      <c r="Q937">
        <f>IFERROR(1/(IF(Inputs!$B$39="pvp",15,MAX(0.1,Skills!D10-IF(Skills!E10=TRUE,Inputs!$B$33,0)))*(1-IF(AND(ArtifactsInput!$M$27,Inputs!$B$4="Chapter Hunt"),CHOOSE(ArtifactsInput!$N$27+1,20,24,28,32,36,40),0)/100)),0)</f>
        <v/>
      </c>
      <c r="R937">
        <f>IF(AND(Inputs!$B$39&lt;&gt;"pvp",Inputs!$B$44&gt;0),IF(MAX(0,Inputs!$B$44-B967)&lt;=0,0,(INT(MAX(0,Inputs!$B$44-B967)/(IF(Inputs!$B$39="pvp",15,MAX(0.1,Skills!D10-IF(Skills!E10=TRUE,Inputs!$B$33,0)))*(1-IF(AND(ArtifactsInput!$M$27,Inputs!$B$4="Chapter Hunt"),CHOOSE(ArtifactsInput!$N$27+1,20,24,28,32,36,40),0)/100)))+1)),0)</f>
        <v/>
      </c>
      <c r="S937" t="n">
        <v>0</v>
      </c>
      <c r="U937" t="n">
        <v>0</v>
      </c>
    </row>
    <row r="938">
      <c r="A938">
        <f>Skills!A11</f>
        <v/>
      </c>
      <c r="B938">
        <f>Skills!B11</f>
        <v/>
      </c>
      <c r="C938">
        <f>Inputs!$B$3&gt;=69</f>
        <v/>
      </c>
      <c r="D938">
        <f>IF(Skills!C11=1,60+Inputs!$B$26+Inputs!$B$30,IF(Skills!C11=2,90+Inputs!$B$27+Inputs!$B$30,IF(Skills!C11=3,120+(Inputs!$B$28+1)+Inputs!$B$30,MAX(0,(Inputs!$B$3-100)*3)+Inputs!$B$29+Inputs!$B$30)))</f>
        <v/>
      </c>
      <c r="E938">
        <f>INDEX(FactorTable!$B$2:$Y$301, MATCH(ROUND(MIN(300,MAX(1,D938)),0), FactorTable!$A$2:$A$301,0), Skills!L11+1)</f>
        <v/>
      </c>
      <c r="F938">
        <f>IF(Skills!M11=TRUE,(Skills!K11/10)*(E938/1000),Skills!K11/10)+Skills!N11</f>
        <v/>
      </c>
      <c r="G938">
        <f>Calc!G11</f>
        <v/>
      </c>
      <c r="H938">
        <f>Calc!H11</f>
        <v/>
      </c>
      <c r="I938">
        <f>IF(Skills!T11&lt;&gt;"",1+(Skills!T11/10)*($Z$3/1000)/100,1)</f>
        <v/>
      </c>
      <c r="J938" t="inlineStr"/>
      <c r="K938" t="inlineStr"/>
      <c r="L938" t="inlineStr"/>
      <c r="M938" t="inlineStr"/>
      <c r="N938" t="inlineStr"/>
      <c r="O938">
        <f>(1-Summary!$B$11)*S938+Summary!$B$11*U938</f>
        <v/>
      </c>
      <c r="P938">
        <f>IF(B970=0,0,O938/B970)</f>
        <v/>
      </c>
      <c r="Q938">
        <f>IFERROR(1/(IF(Inputs!$B$39="pvp",15,MAX(0.1,Skills!D11-IF(Skills!E11=TRUE,Inputs!$B$33,0)))*(1-IF(AND(ArtifactsInput!$M$27,Inputs!$B$4="Chapter Hunt"),CHOOSE(ArtifactsInput!$N$27+1,20,24,28,32,36,40),0)/100)),0)</f>
        <v/>
      </c>
      <c r="R938">
        <f>IF(AND(Inputs!$B$39&lt;&gt;"pvp",Inputs!$B$44&gt;0),IF(Inputs!$B$44&lt;=0,0,(INT(Inputs!$B$44/(IF(Inputs!$B$39="pvp",15,MAX(0.1,Skills!D11-IF(Skills!E11=TRUE,Inputs!$B$33,0)))*(1-IF(AND(ArtifactsInput!$M$27,Inputs!$B$4="Chapter Hunt"),CHOOSE(ArtifactsInput!$N$27+1,20,24,28,32,36,40),0)/100)))+1)),0)</f>
        <v/>
      </c>
      <c r="S938" t="n">
        <v>0</v>
      </c>
      <c r="U938" t="n">
        <v>0</v>
      </c>
    </row>
    <row r="939">
      <c r="A939">
        <f>Skills!A12</f>
        <v/>
      </c>
      <c r="B939">
        <f>Skills!B12</f>
        <v/>
      </c>
      <c r="C939">
        <f>Inputs!$B$3&gt;=72</f>
        <v/>
      </c>
      <c r="D939">
        <f>IF(Skills!C12=1,60+Inputs!$B$26+Inputs!$B$30,IF(Skills!C12=2,90+Inputs!$B$27+Inputs!$B$30,IF(Skills!C12=3,120+(Inputs!$B$28+1)+Inputs!$B$30,MAX(0,(Inputs!$B$3-100)*3)+Inputs!$B$29+Inputs!$B$30)))</f>
        <v/>
      </c>
      <c r="E939">
        <f>INDEX(FactorTable!$B$2:$Y$301, MATCH(ROUND(MIN(300,MAX(1,D939)),0), FactorTable!$A$2:$A$301,0), Skills!L12+1)</f>
        <v/>
      </c>
      <c r="F939">
        <f>IF(Skills!M12=TRUE,(Skills!K12/10)*(E939/1000),Skills!K12/10)+Skills!N12</f>
        <v/>
      </c>
      <c r="G939">
        <f>Calc!G12</f>
        <v/>
      </c>
      <c r="H939">
        <f>Calc!H12</f>
        <v/>
      </c>
      <c r="I939">
        <f>IF(Skills!T12&lt;&gt;"",1+(Skills!T12/10)*($Z$3/1000)/100,1)</f>
        <v/>
      </c>
      <c r="J939" t="inlineStr"/>
      <c r="K939" t="inlineStr"/>
      <c r="L939" t="inlineStr"/>
      <c r="M939" t="inlineStr"/>
      <c r="N939" t="inlineStr"/>
      <c r="O939">
        <f>(1-Summary!$B$11)*S939+Summary!$B$11*U939</f>
        <v/>
      </c>
      <c r="P939">
        <f>IF(B970=0,0,O939/B970)</f>
        <v/>
      </c>
      <c r="Q939">
        <f>IFERROR(1/(IF(Inputs!$B$39="pvp",15,MAX(0.1,Skills!D12-IF(Skills!E12=TRUE,Inputs!$B$33,0)))*(1-IF(AND(ArtifactsInput!$M$27,Inputs!$B$4="Chapter Hunt"),CHOOSE(ArtifactsInput!$N$27+1,20,24,28,32,36,40),0)/100)),0)</f>
        <v/>
      </c>
      <c r="R939">
        <f>IF(AND(Inputs!$B$39&lt;&gt;"pvp",Inputs!$B$44&gt;0),IF(MAX(0,Inputs!$B$44-B967)&lt;=0,0,(INT(MAX(0,Inputs!$B$44-B967)/(IF(Inputs!$B$39="pvp",15,MAX(0.1,Skills!D12-IF(Skills!E12=TRUE,Inputs!$B$33,0)))*(1-IF(AND(ArtifactsInput!$M$27,Inputs!$B$4="Chapter Hunt"),CHOOSE(ArtifactsInput!$N$27+1,20,24,28,32,36,40),0)/100)))+1)),0)</f>
        <v/>
      </c>
      <c r="S939" t="n">
        <v>0</v>
      </c>
      <c r="U939" t="n">
        <v>0</v>
      </c>
    </row>
    <row r="940">
      <c r="A940">
        <f>Skills!A13</f>
        <v/>
      </c>
      <c r="B940">
        <f>Skills!B13</f>
        <v/>
      </c>
      <c r="C940">
        <f>Inputs!$B$3&gt;=60</f>
        <v/>
      </c>
      <c r="D940">
        <f>IF(Skills!C13=1,60+Inputs!$B$26+Inputs!$B$30,IF(Skills!C13=2,90+Inputs!$B$27+Inputs!$B$30,IF(Skills!C13=3,120+(Inputs!$B$28+1)+Inputs!$B$30,MAX(0,(Inputs!$B$3-100)*3)+Inputs!$B$29+Inputs!$B$30)))</f>
        <v/>
      </c>
      <c r="E940">
        <f>INDEX(FactorTable!$B$2:$Y$301, MATCH(ROUND(MIN(300,MAX(1,D940)),0), FactorTable!$A$2:$A$301,0), Skills!L13+1)</f>
        <v/>
      </c>
      <c r="F940">
        <f>IF(Skills!M13=TRUE,(Skills!K13/10)*(E940/1000),Skills!K13/10)+Skills!N13</f>
        <v/>
      </c>
      <c r="G940">
        <f>Calc!G13</f>
        <v/>
      </c>
      <c r="H940">
        <f>Calc!H13</f>
        <v/>
      </c>
      <c r="I940">
        <f>IF(Skills!T13&lt;&gt;"",1+(Skills!T13/10)*($Z$3/1000)/100,1)</f>
        <v/>
      </c>
      <c r="J940" t="inlineStr"/>
      <c r="K940" t="inlineStr"/>
      <c r="L940" t="inlineStr"/>
      <c r="M940" t="inlineStr"/>
      <c r="N940" t="inlineStr"/>
      <c r="O940">
        <f>(1-Summary!$B$11)*S940+Summary!$B$11*U940</f>
        <v/>
      </c>
      <c r="P940">
        <f>IF(B970=0,0,O940/B970)</f>
        <v/>
      </c>
      <c r="Q940">
        <f>IFERROR(1/(IF(Inputs!$B$39="pvp",15,MAX(0.1,Skills!D13-IF(Skills!E13=TRUE,Inputs!$B$33,0)))*(1-IF(AND(ArtifactsInput!$M$27,Inputs!$B$4="Chapter Hunt"),CHOOSE(ArtifactsInput!$N$27+1,20,24,28,32,36,40),0)/100)),0)</f>
        <v/>
      </c>
      <c r="R940">
        <f>IF(AND(Inputs!$B$39&lt;&gt;"pvp",Inputs!$B$44&gt;0),IF(MAX(0,Inputs!$B$44-B967)&lt;=0,0,(INT(MAX(0,Inputs!$B$44-B967)/(IF(Inputs!$B$39="pvp",15,MAX(0.1,Skills!D13-IF(Skills!E13=TRUE,Inputs!$B$33,0)))*(1-IF(AND(ArtifactsInput!$M$27,Inputs!$B$4="Chapter Hunt"),CHOOSE(ArtifactsInput!$N$27+1,20,24,28,32,36,40),0)/100)))+1)),0)</f>
        <v/>
      </c>
      <c r="S940" t="n">
        <v>0</v>
      </c>
      <c r="U940" t="n">
        <v>0</v>
      </c>
    </row>
    <row r="941">
      <c r="A941">
        <f>Skills!A14</f>
        <v/>
      </c>
      <c r="B941">
        <f>Skills!B14</f>
        <v/>
      </c>
      <c r="C941">
        <f>Inputs!$B$3&gt;=107</f>
        <v/>
      </c>
      <c r="D941">
        <f>IF(Skills!C14=1,60+Inputs!$B$26+Inputs!$B$30,IF(Skills!C14=2,90+Inputs!$B$27+Inputs!$B$30,IF(Skills!C14=3,120+(Inputs!$B$28+1)+Inputs!$B$30,MAX(0,(Inputs!$B$3-100)*3)+Inputs!$B$29+Inputs!$B$30)))</f>
        <v/>
      </c>
      <c r="E941">
        <f>INDEX(FactorTable!$B$2:$Y$301, MATCH(ROUND(MIN(300,MAX(1,D941)),0), FactorTable!$A$2:$A$301,0), Skills!L14+1)</f>
        <v/>
      </c>
      <c r="F941">
        <f>IF(Skills!M14=TRUE,(Skills!K14/10)*(E941/1000),Skills!K14/10)+Skills!N14</f>
        <v/>
      </c>
      <c r="G941">
        <f>Calc!G14</f>
        <v/>
      </c>
      <c r="H941">
        <f>Calc!H14</f>
        <v/>
      </c>
      <c r="I941">
        <f>IF(Skills!T14&lt;&gt;"",1+(Skills!T14/10)*($Z$3/1000)/100,1)</f>
        <v/>
      </c>
      <c r="J941" t="inlineStr"/>
      <c r="K941" t="inlineStr"/>
      <c r="L941" t="inlineStr"/>
      <c r="M941" t="inlineStr"/>
      <c r="N941" t="inlineStr"/>
      <c r="O941">
        <f>(1-Summary!$B$11)*S941+Summary!$B$11*U941</f>
        <v/>
      </c>
      <c r="P941">
        <f>IF(B970=0,0,O941/B970)</f>
        <v/>
      </c>
      <c r="Q941">
        <f>IFERROR(1/(IF(Inputs!$B$39="pvp",15,MAX(0.1,Skills!D14-IF(Skills!E14=TRUE,Inputs!$B$33,0)))*(1-IF(AND(ArtifactsInput!$M$27,Inputs!$B$4="Chapter Hunt"),CHOOSE(ArtifactsInput!$N$27+1,20,24,28,32,36,40),0)/100)),0)</f>
        <v/>
      </c>
      <c r="R941">
        <f>IF(AND(Inputs!$B$39&lt;&gt;"pvp",Inputs!$B$44&gt;0),IF(Inputs!$B$44&lt;=0,0,(INT(Inputs!$B$44/(IF(Inputs!$B$39="pvp",15,MAX(0.1,Skills!D14-IF(Skills!E14=TRUE,Inputs!$B$33,0)))*(1-IF(AND(ArtifactsInput!$M$27,Inputs!$B$4="Chapter Hunt"),CHOOSE(ArtifactsInput!$N$27+1,20,24,28,32,36,40),0)/100)))+1)),0)</f>
        <v/>
      </c>
      <c r="S941" t="n">
        <v>0</v>
      </c>
      <c r="U941" t="n">
        <v>0</v>
      </c>
    </row>
    <row r="942">
      <c r="A942">
        <f>Skills!A15</f>
        <v/>
      </c>
      <c r="B942">
        <f>Skills!B15</f>
        <v/>
      </c>
      <c r="C942">
        <f>Inputs!$B$3&gt;=63</f>
        <v/>
      </c>
      <c r="D942">
        <f>IF(Skills!C15=1,60+Inputs!$B$26+Inputs!$B$30,IF(Skills!C15=2,90+Inputs!$B$27+Inputs!$B$30,IF(Skills!C15=3,120+(Inputs!$B$28+1)+Inputs!$B$30,MAX(0,(Inputs!$B$3-100)*3)+Inputs!$B$29+Inputs!$B$30)))</f>
        <v/>
      </c>
      <c r="E942">
        <f>INDEX(FactorTable!$B$2:$Y$301, MATCH(ROUND(MIN(300,MAX(1,D942)),0), FactorTable!$A$2:$A$301,0), Skills!L15+1)</f>
        <v/>
      </c>
      <c r="F942">
        <f>IF(Skills!M15=TRUE,(Skills!K15/10)*(E942/1000),Skills!K15/10)+Skills!N15</f>
        <v/>
      </c>
      <c r="G942">
        <f>Calc!G15</f>
        <v/>
      </c>
      <c r="H942">
        <f>Calc!H15</f>
        <v/>
      </c>
      <c r="I942">
        <f>IF(Skills!T15&lt;&gt;"",1+(Skills!T15/10)*($Z$3/1000)/100,1)</f>
        <v/>
      </c>
      <c r="J942">
        <f>((Inputs!$B$6*(1+Inputs!$B$7/100))+(((Inputs!$B$13*(1+Inputs!$B$14/100))-(Inputs!$B$13*(1+Inputs!$B$14/100)))+0.25*(Inputs!$B$15-Inputs!$B$15))*(1+Inputs!$B$7/100))*(F942/100)</f>
        <v/>
      </c>
      <c r="K942">
        <f>J942*(1+(((Inputs!$B$13+IF(Inputs!$B$3&gt;=35,(10*INDEX(FactorTable!$B$2:$Y$301,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15="TRIUMPH_FEATHER",IF(C943=TRUE,F943,0),0)/100)*(1+IF(C954=TRUE,F954,0)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942)</f>
        <v/>
      </c>
      <c r="L942">
        <f>K942*(MIN(Inputs!$B$23+(F949-Calc!F22),(Inputs!$B$24+IF(ArtifactsInput!$M$15,CHOOSE(ArtifactsInput!$N$15+1,25,30,35,40,45,50)/100*(Inputs!$B$12-Inputs!$B$12),0)))/100+(Inputs!$B$24+IF(ArtifactsInput!$M$15,CHOOSE(ArtifactsInput!$N$15+1,25,30,35,40,45,50)/100*(Inputs!$B$12-Inputs!$B$12),0))/100)/2</f>
        <v/>
      </c>
      <c r="M942">
        <f>L942*(1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42">
        <f>L942*(1-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942*(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2">
        <f>(1-Summary!$B$11)*S942+Summary!$B$11*U942</f>
        <v/>
      </c>
      <c r="P942">
        <f>IF(B970=0,0,O942/B970)</f>
        <v/>
      </c>
      <c r="Q942">
        <f>IFERROR(1/(IF(Inputs!$B$39="pvp",15,MAX(0.1,Skills!D15-IF(Skills!E15=TRUE,Inputs!$B$33,0)))*(1-IF(AND(ArtifactsInput!$M$27,Inputs!$B$4="Chapter Hunt"),CHOOSE(ArtifactsInput!$N$27+1,20,24,28,32,36,40),0)/100)),0)</f>
        <v/>
      </c>
      <c r="R942" t="n">
        <v>0</v>
      </c>
      <c r="S942">
        <f>IF(C942,(Skills!F15*N942*((IF(Inputs!$B$3&gt;=78,25,15)/100*B963*10)/(1+IF(Inputs!$B$3&gt;=78,25,15)/100*B963*10))*(Skills!I15/100*B963)/(1+Skills!G15*Skills!I15/100*B963))*IF(Inputs!$B$39="pvp",1,1+(Inputs!$B$21+Skills!O15+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942*(1-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942*(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942*(1-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942*(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42">
        <f>IF(C942,(Skills!F15*N942*((IF(Inputs!$B$3&gt;=78,25,15)/100*B963*10)/(1+IF(Inputs!$B$3&gt;=78,25,15)/100*B963*10))*(Skills!I15/100*B963)/(1+Skills!G15*Skills!I15/100*B963))*IF(Inputs!$B$39="pvp",1,(1+(Inputs!$B$22+Skills!P15+B959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3">
      <c r="A943">
        <f>Skills!A16</f>
        <v/>
      </c>
      <c r="B943">
        <f>Skills!B16</f>
        <v/>
      </c>
      <c r="C943">
        <f>Inputs!$B$3&gt;=100</f>
        <v/>
      </c>
      <c r="D943">
        <f>IF(Skills!C16=1,60+Inputs!$B$26+Inputs!$B$30,IF(Skills!C16=2,90+Inputs!$B$27+Inputs!$B$30,IF(Skills!C16=3,120+(Inputs!$B$28+1)+Inputs!$B$30,MAX(0,(Inputs!$B$3-100)*3)+Inputs!$B$29+Inputs!$B$30)))</f>
        <v/>
      </c>
      <c r="E943">
        <f>INDEX(FactorTable!$B$2:$Y$301, MATCH(ROUND(MIN(300,MAX(1,D943)),0), FactorTable!$A$2:$A$301,0), Skills!L16+1)</f>
        <v/>
      </c>
      <c r="F943">
        <f>IF(Skills!M16=TRUE,(Skills!K16/10)*(E943/1000),Skills!K16/10)+Skills!N16</f>
        <v/>
      </c>
      <c r="G943">
        <f>Calc!G16</f>
        <v/>
      </c>
      <c r="H943">
        <f>Calc!H16</f>
        <v/>
      </c>
      <c r="I943">
        <f>IF(Skills!T16&lt;&gt;"",1+(Skills!T16/10)*($Z$3/1000)/100,1)</f>
        <v/>
      </c>
      <c r="J943" t="inlineStr"/>
      <c r="K943" t="inlineStr"/>
      <c r="L943" t="inlineStr"/>
      <c r="M943" t="inlineStr"/>
      <c r="N943" t="inlineStr"/>
      <c r="O943">
        <f>(1-Summary!$B$11)*S943+Summary!$B$11*U943</f>
        <v/>
      </c>
      <c r="P943">
        <f>IF(B970=0,0,O943/B970)</f>
        <v/>
      </c>
      <c r="Q943">
        <f>IFERROR(1/(IF(Inputs!$B$39="pvp",15,MAX(0.1,Skills!D16-IF(Skills!E16=TRUE,Inputs!$B$33,0)))*(1-IF(AND(ArtifactsInput!$M$27,Inputs!$B$4="Chapter Hunt"),CHOOSE(ArtifactsInput!$N$27+1,20,24,28,32,36,40),0)/100)),0)</f>
        <v/>
      </c>
      <c r="R943" t="n">
        <v>0</v>
      </c>
      <c r="S943" t="n">
        <v>0</v>
      </c>
      <c r="U943" t="n">
        <v>0</v>
      </c>
    </row>
    <row r="944">
      <c r="A944">
        <f>Skills!A17</f>
        <v/>
      </c>
      <c r="B944">
        <f>Skills!B17</f>
        <v/>
      </c>
      <c r="C944">
        <f>Inputs!$B$3&gt;=49</f>
        <v/>
      </c>
      <c r="D944">
        <f>IF(Skills!C17=1,60+Inputs!$B$26+Inputs!$B$30,IF(Skills!C17=2,90+Inputs!$B$27+Inputs!$B$30,IF(Skills!C17=3,120+(Inputs!$B$28+1)+Inputs!$B$30,MAX(0,(Inputs!$B$3-100)*3)+Inputs!$B$29+Inputs!$B$30)))</f>
        <v/>
      </c>
      <c r="E944">
        <f>INDEX(FactorTable!$B$2:$Y$301, MATCH(ROUND(MIN(300,MAX(1,D944)),0), FactorTable!$A$2:$A$301,0), Skills!L17+1)</f>
        <v/>
      </c>
      <c r="F944">
        <f>IF(Skills!M17=TRUE,(Skills!K17/10)*(E944/1000),Skills!K17/10)+Skills!N17</f>
        <v/>
      </c>
      <c r="G944">
        <f>Calc!G17</f>
        <v/>
      </c>
      <c r="H944">
        <f>Calc!H17</f>
        <v/>
      </c>
      <c r="I944">
        <f>IF(Skills!T17&lt;&gt;"",1+(Skills!T17/10)*($Z$3/1000)/100,1)</f>
        <v/>
      </c>
      <c r="J944" t="inlineStr"/>
      <c r="K944" t="inlineStr"/>
      <c r="L944" t="inlineStr"/>
      <c r="M944" t="inlineStr"/>
      <c r="N944" t="inlineStr"/>
      <c r="O944">
        <f>(1-Summary!$B$11)*S944+Summary!$B$11*U944</f>
        <v/>
      </c>
      <c r="P944">
        <f>IF(B970=0,0,O944/B970)</f>
        <v/>
      </c>
      <c r="Q944">
        <f>IFERROR(1/(IF(Inputs!$B$39="pvp",15,MAX(0.1,Skills!D17-IF(Skills!E17=TRUE,Inputs!$B$33,0)))*(1-IF(AND(ArtifactsInput!$M$27,Inputs!$B$4="Chapter Hunt"),CHOOSE(ArtifactsInput!$N$27+1,20,24,28,32,36,40),0)/100)),0)</f>
        <v/>
      </c>
      <c r="R944" t="n">
        <v>0</v>
      </c>
      <c r="S944" t="n">
        <v>0</v>
      </c>
      <c r="U944" t="n">
        <v>0</v>
      </c>
    </row>
    <row r="945">
      <c r="A945">
        <f>Skills!A18</f>
        <v/>
      </c>
      <c r="B945">
        <f>Skills!B18</f>
        <v/>
      </c>
      <c r="C945">
        <f>Inputs!$B$3&gt;=75</f>
        <v/>
      </c>
      <c r="D945">
        <f>IF(Skills!C18=1,60+Inputs!$B$26+Inputs!$B$30,IF(Skills!C18=2,90+Inputs!$B$27+Inputs!$B$30,IF(Skills!C18=3,120+(Inputs!$B$28+1)+Inputs!$B$30,MAX(0,(Inputs!$B$3-100)*3)+Inputs!$B$29+Inputs!$B$30)))</f>
        <v/>
      </c>
      <c r="E945">
        <f>INDEX(FactorTable!$B$2:$Y$301, MATCH(ROUND(MIN(300,MAX(1,D945)),0), FactorTable!$A$2:$A$301,0), Skills!L18+1)</f>
        <v/>
      </c>
      <c r="F945">
        <f>IF(Skills!M18=TRUE,(Skills!K18/10)*(E945/1000),Skills!K18/10)+Skills!N18</f>
        <v/>
      </c>
      <c r="G945">
        <f>Calc!G18</f>
        <v/>
      </c>
      <c r="H945">
        <f>Calc!H18</f>
        <v/>
      </c>
      <c r="I945">
        <f>IF(Skills!T18&lt;&gt;"",1+(Skills!T18/10)*($Z$3/1000)/100,1)</f>
        <v/>
      </c>
      <c r="J945" t="inlineStr"/>
      <c r="K945" t="inlineStr"/>
      <c r="L945" t="inlineStr"/>
      <c r="M945" t="inlineStr"/>
      <c r="N945" t="inlineStr"/>
      <c r="O945">
        <f>(1-Summary!$B$11)*S945+Summary!$B$11*U945</f>
        <v/>
      </c>
      <c r="P945">
        <f>IF(B970=0,0,O945/B970)</f>
        <v/>
      </c>
      <c r="Q945">
        <f>IFERROR(1/(IF(Inputs!$B$39="pvp",15,MAX(0.1,Skills!D18-IF(Skills!E18=TRUE,Inputs!$B$33,0)))*(1-IF(AND(ArtifactsInput!$M$27,Inputs!$B$4="Chapter Hunt"),CHOOSE(ArtifactsInput!$N$27+1,20,24,28,32,36,40),0)/100)),0)</f>
        <v/>
      </c>
      <c r="R945" t="n">
        <v>0</v>
      </c>
      <c r="S945" t="n">
        <v>0</v>
      </c>
      <c r="U945" t="n">
        <v>0</v>
      </c>
    </row>
    <row r="946">
      <c r="A946">
        <f>Skills!A19</f>
        <v/>
      </c>
      <c r="B946">
        <f>Skills!B19</f>
        <v/>
      </c>
      <c r="C946">
        <f>Inputs!$B$3&gt;=110</f>
        <v/>
      </c>
      <c r="D946">
        <f>IF(Skills!C19=1,60+Inputs!$B$26+Inputs!$B$30,IF(Skills!C19=2,90+Inputs!$B$27+Inputs!$B$30,IF(Skills!C19=3,120+(Inputs!$B$28+1)+Inputs!$B$30,MAX(0,(Inputs!$B$3-100)*3)+Inputs!$B$29+Inputs!$B$30)))</f>
        <v/>
      </c>
      <c r="E946">
        <f>INDEX(FactorTable!$B$2:$Y$301, MATCH(ROUND(MIN(300,MAX(1,D946)),0), FactorTable!$A$2:$A$301,0), Skills!L19+1)</f>
        <v/>
      </c>
      <c r="F946">
        <f>(Skills!K19/10)*(E946/1000)*64/45+Skills!N19</f>
        <v/>
      </c>
      <c r="G946">
        <f>Calc!G19</f>
        <v/>
      </c>
      <c r="H946">
        <f>Calc!H19</f>
        <v/>
      </c>
      <c r="I946">
        <f>IF(Skills!T19&lt;&gt;"",1+(Skills!T19/10)*($Z$3/1000)/100,1)</f>
        <v/>
      </c>
      <c r="J946" t="inlineStr"/>
      <c r="K946" t="inlineStr"/>
      <c r="L946" t="inlineStr"/>
      <c r="M946" t="inlineStr"/>
      <c r="N946" t="inlineStr"/>
      <c r="O946">
        <f>(1-Summary!$B$11)*S946+Summary!$B$11*U946</f>
        <v/>
      </c>
      <c r="P946">
        <f>IF(B970=0,0,O946/B970)</f>
        <v/>
      </c>
      <c r="Q946">
        <f>IFERROR(1/(IF(Inputs!$B$39="pvp",15,MAX(0.1,Skills!D19-IF(Skills!E19=TRUE,Inputs!$B$33,0)))*(1-IF(AND(ArtifactsInput!$M$27,Inputs!$B$4="Chapter Hunt"),CHOOSE(ArtifactsInput!$N$27+1,20,24,28,32,36,40),0)/100)),0)</f>
        <v/>
      </c>
      <c r="R946">
        <f>IF(AND(Inputs!$B$39&lt;&gt;"pvp",Inputs!$B$44&gt;0),IF(Inputs!$B$44&lt;=0,0,(INT(Inputs!$B$44/(IF(Inputs!$B$39="pvp",15,MAX(0.1,Skills!D19-IF(Skills!E19=TRUE,Inputs!$B$33,0)))*(1-IF(AND(ArtifactsInput!$M$27,Inputs!$B$4="Chapter Hunt"),CHOOSE(ArtifactsInput!$N$27+1,20,24,28,32,36,40),0)/100)))+1)),0)</f>
        <v/>
      </c>
      <c r="S946" t="n">
        <v>0</v>
      </c>
      <c r="U946" t="n">
        <v>0</v>
      </c>
    </row>
    <row r="947">
      <c r="A947">
        <f>Skills!A20</f>
        <v/>
      </c>
      <c r="B947">
        <f>Skills!B20</f>
        <v/>
      </c>
      <c r="C947">
        <f>Inputs!$B$3&gt;=125</f>
        <v/>
      </c>
      <c r="D947">
        <f>IF(Skills!C20=1,60+Inputs!$B$26+Inputs!$B$30,IF(Skills!C20=2,90+Inputs!$B$27+Inputs!$B$30,IF(Skills!C20=3,120+(Inputs!$B$28+1)+Inputs!$B$30,MAX(0,(Inputs!$B$3-100)*3)+Inputs!$B$29+Inputs!$B$30)))</f>
        <v/>
      </c>
      <c r="E947">
        <f>INDEX(FactorTable!$B$2:$Y$301, MATCH(ROUND(MIN(300,MAX(1,D947)),0), FactorTable!$A$2:$A$301,0), Skills!L20+1)</f>
        <v/>
      </c>
      <c r="F947">
        <f>IF(Skills!M20=TRUE,(Skills!K20/10)*(E947/1000),Skills!K20/10)+Skills!N20</f>
        <v/>
      </c>
      <c r="G947">
        <f>Calc!G20</f>
        <v/>
      </c>
      <c r="H947">
        <f>Calc!H20</f>
        <v/>
      </c>
      <c r="I947">
        <f>IF(Skills!T20&lt;&gt;"",1+(Skills!T20/10)*($Z$3/1000)/100,1)</f>
        <v/>
      </c>
      <c r="J947" t="inlineStr"/>
      <c r="K947" t="inlineStr"/>
      <c r="L947" t="inlineStr"/>
      <c r="M947" t="inlineStr"/>
      <c r="N947" t="inlineStr"/>
      <c r="O947">
        <f>(1-Summary!$B$11)*S947+Summary!$B$11*U947</f>
        <v/>
      </c>
      <c r="P947">
        <f>IF(B970=0,0,O947/B970)</f>
        <v/>
      </c>
      <c r="Q947">
        <f>IFERROR(1/(IF(Inputs!$B$39="pvp",15,MAX(0.1,Skills!D20-IF(Skills!E20=TRUE,Inputs!$B$33,0)))*(1-IF(AND(ArtifactsInput!$M$27,Inputs!$B$4="Chapter Hunt"),CHOOSE(ArtifactsInput!$N$27+1,20,24,28,32,36,40),0)/100)),0)</f>
        <v/>
      </c>
      <c r="R947" t="n">
        <v>0</v>
      </c>
      <c r="S947" t="n">
        <v>0</v>
      </c>
      <c r="U947" t="n">
        <v>0</v>
      </c>
    </row>
    <row r="948">
      <c r="A948">
        <f>Skills!A21</f>
        <v/>
      </c>
      <c r="B948">
        <f>Skills!B21</f>
        <v/>
      </c>
      <c r="C948">
        <f>Inputs!$B$3&gt;=33</f>
        <v/>
      </c>
      <c r="D948">
        <f>IF(Skills!C21=1,60+Inputs!$B$26+Inputs!$B$30,IF(Skills!C21=2,90+Inputs!$B$27+Inputs!$B$30,IF(Skills!C21=3,120+(Inputs!$B$28+1)+Inputs!$B$30,MAX(0,(Inputs!$B$3-100)*3)+Inputs!$B$29+Inputs!$B$30)))</f>
        <v/>
      </c>
      <c r="E948">
        <f>INDEX(FactorTable!$B$2:$Y$301, MATCH(ROUND(MIN(300,MAX(1,D948)),0), FactorTable!$A$2:$A$301,0), Skills!L21+1)</f>
        <v/>
      </c>
      <c r="F948">
        <f>IF(Skills!M21=TRUE,(Skills!K21/10)*(E948/1000),Skills!K21/10)+Skills!N21</f>
        <v/>
      </c>
      <c r="G948">
        <f>Calc!G21</f>
        <v/>
      </c>
      <c r="H948">
        <f>Calc!H21</f>
        <v/>
      </c>
      <c r="I948">
        <f>IF(Skills!T21&lt;&gt;"",1+(Skills!T21/10)*($Z$3/1000)/100,1)</f>
        <v/>
      </c>
      <c r="J948" t="inlineStr"/>
      <c r="K948" t="inlineStr"/>
      <c r="L948" t="inlineStr"/>
      <c r="M948" t="inlineStr"/>
      <c r="N948" t="inlineStr"/>
      <c r="O948">
        <f>(1-Summary!$B$11)*S948+Summary!$B$11*U948</f>
        <v/>
      </c>
      <c r="P948">
        <f>IF(B970=0,0,O948/B970)</f>
        <v/>
      </c>
      <c r="Q948">
        <f>IFERROR(1/(IF(Inputs!$B$39="pvp",15,MAX(0.1,Skills!D21-IF(Skills!E21=TRUE,Inputs!$B$33,0)))*(1-IF(AND(ArtifactsInput!$M$27,Inputs!$B$4="Chapter Hunt"),CHOOSE(ArtifactsInput!$N$27+1,20,24,28,32,36,40),0)/100)),0)</f>
        <v/>
      </c>
      <c r="R948" t="n">
        <v>0</v>
      </c>
      <c r="S948" t="n">
        <v>0</v>
      </c>
      <c r="U948" t="n">
        <v>0</v>
      </c>
    </row>
    <row r="949">
      <c r="A949">
        <f>Skills!A22</f>
        <v/>
      </c>
      <c r="B949">
        <f>Skills!B22</f>
        <v/>
      </c>
      <c r="C949">
        <f>Inputs!$B$3&gt;=43</f>
        <v/>
      </c>
      <c r="D949">
        <f>IF(Skills!C22=1,60+Inputs!$B$26+Inputs!$B$30,IF(Skills!C22=2,90+Inputs!$B$27+Inputs!$B$30,IF(Skills!C22=3,120+(Inputs!$B$28+1)+Inputs!$B$30,MAX(0,(Inputs!$B$3-100)*3)+Inputs!$B$29+Inputs!$B$30)))</f>
        <v/>
      </c>
      <c r="E949">
        <f>INDEX(FactorTable!$B$2:$Y$301, MATCH(ROUND(MIN(300,MAX(1,D949)),0), FactorTable!$A$2:$A$301,0), Skills!L22+1)</f>
        <v/>
      </c>
      <c r="F949">
        <f>IF(Skills!M22=TRUE,(Skills!K22/10)*(E949/1000),Skills!K22/10)+Skills!N22</f>
        <v/>
      </c>
      <c r="G949">
        <f>Calc!G22</f>
        <v/>
      </c>
      <c r="H949">
        <f>Calc!H22</f>
        <v/>
      </c>
      <c r="I949">
        <f>IF(Skills!T22&lt;&gt;"",1+(Skills!T22/10)*($Z$3/1000)/100,1)</f>
        <v/>
      </c>
      <c r="J949" t="inlineStr"/>
      <c r="K949" t="inlineStr"/>
      <c r="L949" t="inlineStr"/>
      <c r="M949" t="inlineStr"/>
      <c r="N949" t="inlineStr"/>
      <c r="O949">
        <f>(1-Summary!$B$11)*S949+Summary!$B$11*U949</f>
        <v/>
      </c>
      <c r="P949">
        <f>IF(B970=0,0,O949/B970)</f>
        <v/>
      </c>
      <c r="Q949">
        <f>IFERROR(1/(IF(Inputs!$B$39="pvp",15,MAX(0.1,Skills!D22-IF(Skills!E22=TRUE,Inputs!$B$33,0)))*(1-IF(AND(ArtifactsInput!$M$27,Inputs!$B$4="Chapter Hunt"),CHOOSE(ArtifactsInput!$N$27+1,20,24,28,32,36,40),0)/100)),0)</f>
        <v/>
      </c>
      <c r="R949" t="n">
        <v>0</v>
      </c>
      <c r="S949" t="n">
        <v>0</v>
      </c>
      <c r="U949" t="n">
        <v>0</v>
      </c>
    </row>
    <row r="950">
      <c r="A950">
        <f>Skills!A23</f>
        <v/>
      </c>
      <c r="B950">
        <f>Skills!B23</f>
        <v/>
      </c>
      <c r="C950">
        <f>Inputs!$B$3&gt;=50</f>
        <v/>
      </c>
      <c r="D950">
        <f>IF(Skills!C23=1,60+Inputs!$B$26+Inputs!$B$30,IF(Skills!C23=2,90+Inputs!$B$27+Inputs!$B$30,IF(Skills!C23=3,120+(Inputs!$B$28+1)+Inputs!$B$30,MAX(0,(Inputs!$B$3-100)*3)+Inputs!$B$29+Inputs!$B$30)))</f>
        <v/>
      </c>
      <c r="E950">
        <f>INDEX(FactorTable!$B$2:$Y$301, MATCH(ROUND(MIN(300,MAX(1,D950)),0), FactorTable!$A$2:$A$301,0), Skills!L23+1)</f>
        <v/>
      </c>
      <c r="F950">
        <f>IF(Skills!M23=TRUE,(Skills!K23/10)*(E950/1000),Skills!K23/10)+Skills!N23</f>
        <v/>
      </c>
      <c r="G950">
        <f>Calc!G23</f>
        <v/>
      </c>
      <c r="H950">
        <f>Calc!H23</f>
        <v/>
      </c>
      <c r="I950">
        <f>IF(Skills!T23&lt;&gt;"",1+(Skills!T23/10)*($Z$3/1000)/100,1)</f>
        <v/>
      </c>
      <c r="J950" t="inlineStr"/>
      <c r="K950" t="inlineStr"/>
      <c r="L950" t="inlineStr"/>
      <c r="M950" t="inlineStr"/>
      <c r="N950" t="inlineStr"/>
      <c r="O950">
        <f>(1-Summary!$B$11)*S950+Summary!$B$11*U950</f>
        <v/>
      </c>
      <c r="P950">
        <f>IF(B970=0,0,O950/B970)</f>
        <v/>
      </c>
      <c r="Q950">
        <f>IFERROR(1/(IF(Inputs!$B$39="pvp",15,MAX(0.1,Skills!D23-IF(Skills!E23=TRUE,Inputs!$B$33,0)))*(1-IF(AND(ArtifactsInput!$M$27,Inputs!$B$4="Chapter Hunt"),CHOOSE(ArtifactsInput!$N$27+1,20,24,28,32,36,40),0)/100)),0)</f>
        <v/>
      </c>
      <c r="R950" t="n">
        <v>0</v>
      </c>
      <c r="S950" t="n">
        <v>0</v>
      </c>
      <c r="U950" t="n">
        <v>0</v>
      </c>
    </row>
    <row r="951">
      <c r="A951">
        <f>Skills!A24</f>
        <v/>
      </c>
      <c r="B951">
        <f>Skills!B24</f>
        <v/>
      </c>
      <c r="C951">
        <f>Inputs!$B$3&gt;=74</f>
        <v/>
      </c>
      <c r="D951">
        <f>IF(Skills!C24=1,60+Inputs!$B$26+Inputs!$B$30,IF(Skills!C24=2,90+Inputs!$B$27+Inputs!$B$30,IF(Skills!C24=3,120+(Inputs!$B$28+1)+Inputs!$B$30,MAX(0,(Inputs!$B$3-100)*3)+Inputs!$B$29+Inputs!$B$30)))</f>
        <v/>
      </c>
      <c r="E951">
        <f>INDEX(FactorTable!$B$2:$Y$301, MATCH(ROUND(MIN(300,MAX(1,D951)),0), FactorTable!$A$2:$A$301,0), Skills!L24+1)</f>
        <v/>
      </c>
      <c r="F951">
        <f>IF(Skills!M24=TRUE,(Skills!K24/10)*(E951/1000),Skills!K24/10)+Skills!N24</f>
        <v/>
      </c>
      <c r="G951">
        <f>Calc!G24</f>
        <v/>
      </c>
      <c r="H951">
        <f>Calc!H24</f>
        <v/>
      </c>
      <c r="I951">
        <f>IF(Skills!T24&lt;&gt;"",1+(Skills!T24/10)*($Z$3/1000)/100,1)</f>
        <v/>
      </c>
      <c r="J951" t="inlineStr"/>
      <c r="K951" t="inlineStr"/>
      <c r="L951" t="inlineStr"/>
      <c r="M951" t="inlineStr"/>
      <c r="N951" t="inlineStr"/>
      <c r="O951">
        <f>(1-Summary!$B$11)*S951+Summary!$B$11*U951</f>
        <v/>
      </c>
      <c r="P951">
        <f>IF(B970=0,0,O951/B970)</f>
        <v/>
      </c>
      <c r="Q951">
        <f>IFERROR(1/(IF(Inputs!$B$39="pvp",15,MAX(0.1,Skills!D24-IF(Skills!E24=TRUE,Inputs!$B$33,0)))*(1-IF(AND(ArtifactsInput!$M$27,Inputs!$B$4="Chapter Hunt"),CHOOSE(ArtifactsInput!$N$27+1,20,24,28,32,36,40),0)/100)),0)</f>
        <v/>
      </c>
      <c r="R951" t="n">
        <v>0</v>
      </c>
      <c r="S951" t="n">
        <v>0</v>
      </c>
      <c r="U951" t="n">
        <v>0</v>
      </c>
    </row>
    <row r="952">
      <c r="A952">
        <f>Skills!A25</f>
        <v/>
      </c>
      <c r="B952">
        <f>Skills!B25</f>
        <v/>
      </c>
      <c r="C952">
        <f>Inputs!$B$3&gt;=74</f>
        <v/>
      </c>
      <c r="D952">
        <f>IF(Skills!C25=1,60+Inputs!$B$26+Inputs!$B$30,IF(Skills!C25=2,90+Inputs!$B$27+Inputs!$B$30,IF(Skills!C25=3,120+(Inputs!$B$28+1)+Inputs!$B$30,MAX(0,(Inputs!$B$3-100)*3)+Inputs!$B$29+Inputs!$B$30)))</f>
        <v/>
      </c>
      <c r="E952">
        <f>INDEX(FactorTable!$B$2:$Y$301, MATCH(ROUND(MIN(300,MAX(1,D952)),0), FactorTable!$A$2:$A$301,0), Skills!L25+1)</f>
        <v/>
      </c>
      <c r="F952">
        <f>IF(Skills!M25=TRUE,(Skills!K25/10)*(E952/1000),Skills!K25/10)+Skills!N25</f>
        <v/>
      </c>
      <c r="G952">
        <f>Calc!G25</f>
        <v/>
      </c>
      <c r="H952">
        <f>Calc!H25</f>
        <v/>
      </c>
      <c r="I952">
        <f>IF(Skills!T25&lt;&gt;"",1+(Skills!T25/10)*($Z$3/1000)/100,1)</f>
        <v/>
      </c>
      <c r="J952" t="inlineStr"/>
      <c r="K952" t="inlineStr"/>
      <c r="L952" t="inlineStr"/>
      <c r="M952" t="inlineStr"/>
      <c r="N952" t="inlineStr"/>
      <c r="O952">
        <f>(1-Summary!$B$11)*S952+Summary!$B$11*U952</f>
        <v/>
      </c>
      <c r="P952">
        <f>IF(B970=0,0,O952/B970)</f>
        <v/>
      </c>
      <c r="Q952">
        <f>IFERROR(1/(IF(Inputs!$B$39="pvp",15,MAX(0.1,Skills!D25-IF(Skills!E25=TRUE,Inputs!$B$33,0)))*(1-IF(AND(ArtifactsInput!$M$27,Inputs!$B$4="Chapter Hunt"),CHOOSE(ArtifactsInput!$N$27+1,20,24,28,32,36,40),0)/100)),0)</f>
        <v/>
      </c>
      <c r="R952" t="n">
        <v>0</v>
      </c>
      <c r="S952" t="n">
        <v>0</v>
      </c>
      <c r="U952" t="n">
        <v>0</v>
      </c>
    </row>
    <row r="953">
      <c r="A953">
        <f>Skills!A26</f>
        <v/>
      </c>
      <c r="B953">
        <f>Skills!B26</f>
        <v/>
      </c>
      <c r="C953">
        <f>Inputs!$B$3&gt;=117</f>
        <v/>
      </c>
      <c r="D953">
        <f>IF(Skills!C26=1,60+Inputs!$B$26+Inputs!$B$30,IF(Skills!C26=2,90+Inputs!$B$27+Inputs!$B$30,IF(Skills!C26=3,120+(Inputs!$B$28+1)+Inputs!$B$30,MAX(0,(Inputs!$B$3-100)*3)+Inputs!$B$29+Inputs!$B$30)))</f>
        <v/>
      </c>
      <c r="E953">
        <f>INDEX(FactorTable!$B$2:$Y$301, MATCH(ROUND(MIN(300,MAX(1,D953)),0), FactorTable!$A$2:$A$301,0), Skills!L26+1)</f>
        <v/>
      </c>
      <c r="F953">
        <f>IF(Skills!M26=TRUE,(Skills!K26/10)*(E953/1000),Skills!K26/10)+Skills!N26</f>
        <v/>
      </c>
      <c r="G953">
        <f>Calc!G26</f>
        <v/>
      </c>
      <c r="H953">
        <f>Calc!H26</f>
        <v/>
      </c>
      <c r="I953">
        <f>IF(Skills!T26&lt;&gt;"",1+(Skills!T26/10)*($Z$3/1000)/100,1)</f>
        <v/>
      </c>
      <c r="J953" t="inlineStr"/>
      <c r="K953" t="inlineStr"/>
      <c r="L953" t="inlineStr"/>
      <c r="M953" t="inlineStr"/>
      <c r="N953" t="inlineStr"/>
      <c r="O953">
        <f>(1-Summary!$B$11)*S953+Summary!$B$11*U953</f>
        <v/>
      </c>
      <c r="P953">
        <f>IF(B970=0,0,O953/B970)</f>
        <v/>
      </c>
      <c r="Q953">
        <f>IFERROR(1/(IF(Inputs!$B$39="pvp",15,MAX(0.1,Skills!D26-IF(Skills!E26=TRUE,Inputs!$B$33,0)))*(1-IF(AND(ArtifactsInput!$M$27,Inputs!$B$4="Chapter Hunt"),CHOOSE(ArtifactsInput!$N$27+1,20,24,28,32,36,40),0)/100)),0)</f>
        <v/>
      </c>
      <c r="R953" t="n">
        <v>0</v>
      </c>
      <c r="S953" t="n">
        <v>0</v>
      </c>
      <c r="U953" t="n">
        <v>0</v>
      </c>
    </row>
    <row r="954">
      <c r="A954">
        <f>Skills!A27</f>
        <v/>
      </c>
      <c r="B954">
        <f>Skills!B27</f>
        <v/>
      </c>
      <c r="C954">
        <f>Inputs!$B$3&gt;=120</f>
        <v/>
      </c>
      <c r="D954">
        <f>IF(Skills!C27=1,60+Inputs!$B$26+Inputs!$B$30,IF(Skills!C27=2,90+Inputs!$B$27+Inputs!$B$30,IF(Skills!C27=3,120+(Inputs!$B$28+1)+Inputs!$B$30,MAX(0,(Inputs!$B$3-100)*3)+Inputs!$B$29+Inputs!$B$30)))</f>
        <v/>
      </c>
      <c r="E954">
        <f>INDEX(FactorTable!$B$2:$Y$301, MATCH(ROUND(MIN(300,MAX(1,D954)),0), FactorTable!$A$2:$A$301,0), Skills!L27+1)</f>
        <v/>
      </c>
      <c r="F954">
        <f>IF(Skills!M27=TRUE,(Skills!K27/10)*(E954/1000),Skills!K27/10)+Skills!N27</f>
        <v/>
      </c>
      <c r="G954">
        <f>Calc!G27</f>
        <v/>
      </c>
      <c r="H954">
        <f>Calc!H27</f>
        <v/>
      </c>
      <c r="I954">
        <f>IF(Skills!T27&lt;&gt;"",1+(Skills!T27/10)*($Z$3/1000)/100,1)</f>
        <v/>
      </c>
      <c r="J954" t="inlineStr"/>
      <c r="K954" t="inlineStr"/>
      <c r="L954" t="inlineStr"/>
      <c r="M954" t="inlineStr"/>
      <c r="N954" t="inlineStr"/>
      <c r="O954">
        <f>(1-Summary!$B$11)*S954+Summary!$B$11*U954</f>
        <v/>
      </c>
      <c r="P954">
        <f>IF(B970=0,0,O954/B970)</f>
        <v/>
      </c>
      <c r="Q954">
        <f>IFERROR(1/(IF(Inputs!$B$39="pvp",15,MAX(0.1,Skills!D27-IF(Skills!E27=TRUE,Inputs!$B$33,0)))*(1-IF(AND(ArtifactsInput!$M$27,Inputs!$B$4="Chapter Hunt"),CHOOSE(ArtifactsInput!$N$27+1,20,24,28,32,36,40),0)/100)),0)</f>
        <v/>
      </c>
      <c r="R954" t="n">
        <v>0</v>
      </c>
      <c r="S954" t="n">
        <v>0</v>
      </c>
      <c r="U954" t="n">
        <v>0</v>
      </c>
    </row>
    <row r="955">
      <c r="A955">
        <f>Skills!A28</f>
        <v/>
      </c>
      <c r="B955">
        <f>Skills!B28</f>
        <v/>
      </c>
      <c r="C955">
        <f>TRUE</f>
        <v/>
      </c>
      <c r="D955">
        <f>IF(Skills!C28=1,60+Inputs!$B$26+Inputs!$B$30,IF(Skills!C28=2,90+Inputs!$B$27+Inputs!$B$30,IF(Skills!C28=3,120+(Inputs!$B$28+1)+Inputs!$B$30,MAX(0,(Inputs!$B$3-100)*3)+Inputs!$B$29+Inputs!$B$30)))</f>
        <v/>
      </c>
      <c r="E955">
        <f>INDEX(FactorTable!$B$2:$Y$301, MATCH(ROUND(MIN(300,MAX(1,D955)),0), FactorTable!$A$2:$A$301,0), Skills!L28+1)</f>
        <v/>
      </c>
      <c r="F955">
        <f>IF(Skills!M28=TRUE,(Skills!K28/10)*(E955/1000),Skills!K28/10)+Skills!N28</f>
        <v/>
      </c>
      <c r="G955">
        <f>Calc!G28</f>
        <v/>
      </c>
      <c r="H955">
        <f>Calc!H28</f>
        <v/>
      </c>
      <c r="I955">
        <f>IF(Skills!T28&lt;&gt;"",1+(Skills!T28/10)*($Z$3/1000)/100,1)</f>
        <v/>
      </c>
      <c r="J955" t="inlineStr"/>
      <c r="K955" t="inlineStr"/>
      <c r="L955" t="inlineStr"/>
      <c r="M955" t="inlineStr"/>
      <c r="N955" t="inlineStr"/>
      <c r="O955">
        <f>(1-Summary!$B$11)*S955+Summary!$B$11*U955</f>
        <v/>
      </c>
      <c r="P955">
        <f>IF(B970=0,0,O955/B970)</f>
        <v/>
      </c>
      <c r="Q955">
        <f>IFERROR(1/(IF(Inputs!$B$39="pvp",15,MAX(0.1,Skills!D28-IF(Skills!E28=TRUE,Inputs!$B$33,0)))*(1-IF(AND(ArtifactsInput!$M$27,Inputs!$B$4="Chapter Hunt"),CHOOSE(ArtifactsInput!$N$27+1,20,24,28,32,36,40),0)/100)),0)</f>
        <v/>
      </c>
      <c r="R955">
        <f>IF(AND(Inputs!$B$39&lt;&gt;"pvp",Inputs!$B$44&gt;0),IF(Inputs!$B$44&lt;=0,0,(INT(Inputs!$B$44/(IF(Inputs!$B$39="pvp",15,MAX(0.1,Skills!D28-IF(Skills!E28=TRUE,Inputs!$B$33,0)))*(1-IF(AND(ArtifactsInput!$M$27,Inputs!$B$4="Chapter Hunt"),CHOOSE(ArtifactsInput!$N$27+1,20,24,28,32,36,40),0)/100)))+1)),0)</f>
        <v/>
      </c>
      <c r="S955" t="n">
        <v>0</v>
      </c>
      <c r="U955" t="n">
        <v>0</v>
      </c>
    </row>
    <row r="957">
      <c r="A957" t="inlineStr">
        <is>
          <t>Average Buff Multiplier</t>
        </is>
      </c>
      <c r="B957">
        <f>(1+(IF(C930=TRUE,F930*IF(AND(Inputs!$B$39&lt;&gt;"pvp",Inputs!$B$44&gt;0),(((R930-1)*(Skills!S3*(1+((Inputs!$B$35+(ArtifactsInput!$M$7-ArtifactsInput!$M$7)*CHOOSE(ArtifactsInput!$N$7+1,6,7.2,8.4,9.6,10.8,12))+IF(Inputs!$B$3&gt;=117,F953,0))/100))+MIN((Skills!S3*(1+((Inputs!$B$35+(ArtifactsInput!$M$7-ArtifactsInput!$M$7)*CHOOSE(ArtifactsInput!$N$7+1,6,7.2,8.4,9.6,10.8,12))+IF(Inputs!$B$3&gt;=117,F953,0))/100)),MAX(0,Inputs!$B$44-((R930-1)*Skills!D3))))/Inputs!$B$44),IF(Inputs!$B$39="pvp",MIN((Skills!S3*(1+((Inputs!$B$35+(ArtifactsInput!$M$7-ArtifactsInput!$M$7)*CHOOSE(ArtifactsInput!$N$7+1,6,7.2,8.4,9.6,10.8,12))+IF(Inputs!$B$3&gt;=117,F953,0))/100)),15)/15,(Skills!S3*(1+((Inputs!$B$35+(ArtifactsInput!$M$7-ArtifactsInput!$M$7)*CHOOSE(ArtifactsInput!$N$7+1,6,7.2,8.4,9.6,10.8,12))+IF(Inputs!$B$3&gt;=117,F953,0))/100))/Skills!D3)),0)+IF(C931=TRUE,F931*IF(AND(Inputs!$B$39&lt;&gt;"pvp",Inputs!$B$44&gt;0),(((R931-1)*(Skills!S4*(1+((Inputs!$B$35+(ArtifactsInput!$M$7-ArtifactsInput!$M$7)*CHOOSE(ArtifactsInput!$N$7+1,6,7.2,8.4,9.6,10.8,12))+IF(Inputs!$B$3&gt;=117,F953,0))/100))+MIN((Skills!S4*(1+((Inputs!$B$35+(ArtifactsInput!$M$7-ArtifactsInput!$M$7)*CHOOSE(ArtifactsInput!$N$7+1,6,7.2,8.4,9.6,10.8,12))+IF(Inputs!$B$3&gt;=117,F953,0))/100)),MAX(0,Inputs!$B$44-((R931-1)*Skills!D4))))/Inputs!$B$44),IF(Inputs!$B$39="pvp",MIN((Skills!S4*(1+((Inputs!$B$35+(ArtifactsInput!$M$7-ArtifactsInput!$M$7)*CHOOSE(ArtifactsInput!$N$7+1,6,7.2,8.4,9.6,10.8,12))+IF(Inputs!$B$3&gt;=117,F953,0))/100)),15)/15,(Skills!S4*(1+((Inputs!$B$35+(ArtifactsInput!$M$7-ArtifactsInput!$M$7)*CHOOSE(ArtifactsInput!$N$7+1,6,7.2,8.4,9.6,10.8,12))+IF(Inputs!$B$3&gt;=117,F953,0))/100))/Skills!D4)),0)+IF(C932=TRUE,F932*IF(AND(Inputs!$B$39&lt;&gt;"pvp",Inputs!$B$44&gt;0),(((R932-1)*(Skills!S5*(1+((Inputs!$B$35+(ArtifactsInput!$M$7-ArtifactsInput!$M$7)*CHOOSE(ArtifactsInput!$N$7+1,6,7.2,8.4,9.6,10.8,12))+IF(Inputs!$B$3&gt;=117,F953,0))/100))+MIN((Skills!S5*(1+((Inputs!$B$35+(ArtifactsInput!$M$7-ArtifactsInput!$M$7)*CHOOSE(ArtifactsInput!$N$7+1,6,7.2,8.4,9.6,10.8,12))+IF(Inputs!$B$3&gt;=117,F953,0))/100)),MAX(0,Inputs!$B$44-((R932-1)*Skills!D5))))/Inputs!$B$44),IF(Inputs!$B$39="pvp",MIN((Skills!S5*(1+((Inputs!$B$35+(ArtifactsInput!$M$7-ArtifactsInput!$M$7)*CHOOSE(ArtifactsInput!$N$7+1,6,7.2,8.4,9.6,10.8,12))+IF(Inputs!$B$3&gt;=117,F953,0))/100)),15)/15,(Skills!S5*(1+((Inputs!$B$35+(ArtifactsInput!$M$7-ArtifactsInput!$M$7)*CHOOSE(ArtifactsInput!$N$7+1,6,7.2,8.4,9.6,10.8,12))+IF(Inputs!$B$3&gt;=117,F953,0))/100))/Skills!D5)),0)+IF(C938=TRUE,F938*IF(AND(Inputs!$B$39&lt;&gt;"pvp",Inputs!$B$44&gt;0),(((R938-1)*(Skills!S11*(1+((Inputs!$B$35+(ArtifactsInput!$M$7-ArtifactsInput!$M$7)*CHOOSE(ArtifactsInput!$N$7+1,6,7.2,8.4,9.6,10.8,12))+IF(Inputs!$B$3&gt;=117,F953,0))/100))+MIN((Skills!S11*(1+((Inputs!$B$35+(ArtifactsInput!$M$7-ArtifactsInput!$M$7)*CHOOSE(ArtifactsInput!$N$7+1,6,7.2,8.4,9.6,10.8,12))+IF(Inputs!$B$3&gt;=117,F953,0))/100)),MAX(0,Inputs!$B$44-((R938-1)*Skills!D11))))/Inputs!$B$44),IF(Inputs!$B$39="pvp",MIN((Skills!S11*(1+((Inputs!$B$35+(ArtifactsInput!$M$7-ArtifactsInput!$M$7)*CHOOSE(ArtifactsInput!$N$7+1,6,7.2,8.4,9.6,10.8,12))+IF(Inputs!$B$3&gt;=117,F953,0))/100)),15)/15,(Skills!S11*(1+((Inputs!$B$35+(ArtifactsInput!$M$7-ArtifactsInput!$M$7)*CHOOSE(ArtifactsInput!$N$7+1,6,7.2,8.4,9.6,10.8,12))+IF(Inputs!$B$3&gt;=117,F953,0)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941=TRUE,(1+F941*IF(AND(Inputs!$B$39&lt;&gt;"pvp",Inputs!$B$44&gt;0),(((R941-1)*(Skills!S14*(1+((Inputs!$B$35+(ArtifactsInput!$M$7-ArtifactsInput!$M$7)*CHOOSE(ArtifactsInput!$N$7+1,6,7.2,8.4,9.6,10.8,12))+IF(Inputs!$B$3&gt;=117,F953,0))/100))+MIN((Skills!S14*(1+((Inputs!$B$35+(ArtifactsInput!$M$7-ArtifactsInput!$M$7)*CHOOSE(ArtifactsInput!$N$7+1,6,7.2,8.4,9.6,10.8,12))+IF(Inputs!$B$3&gt;=117,F953,0))/100)),MAX(0,Inputs!$B$44-((R941-1)*Skills!D14))))/Inputs!$B$44),IF(Inputs!$B$39="pvp",MIN((Skills!S14*(1+((Inputs!$B$35+(ArtifactsInput!$M$7-ArtifactsInput!$M$7)*CHOOSE(ArtifactsInput!$N$7+1,6,7.2,8.4,9.6,10.8,12))+IF(Inputs!$B$3&gt;=117,F953,0))/100)),15)/15,(Skills!S14*(1+((Inputs!$B$35+(ArtifactsInput!$M$7-ArtifactsInput!$M$7)*CHOOSE(ArtifactsInput!$N$7+1,6,7.2,8.4,9.6,10.8,12))+IF(Inputs!$B$3&gt;=117,F953,0))/100))/Skills!D14))/100),1)*IF(C946=TRUE,(1+F946*IF(AND(Inputs!$B$39&lt;&gt;"pvp",Inputs!$B$44&gt;0),(((R946-1)*(Skills!S19*(1+((Inputs!$B$35+(ArtifactsInput!$M$7-ArtifactsInput!$M$7)*CHOOSE(ArtifactsInput!$N$7+1,6,7.2,8.4,9.6,10.8,12))+IF(Inputs!$B$3&gt;=117,F953,0))/100))+MIN((Skills!S19*(1+((Inputs!$B$35+(ArtifactsInput!$M$7-ArtifactsInput!$M$7)*CHOOSE(ArtifactsInput!$N$7+1,6,7.2,8.4,9.6,10.8,12))+IF(Inputs!$B$3&gt;=117,F953,0))/100)),MAX(0,Inputs!$B$44-((R946-1)*Skills!D19))))/Inputs!$B$44),IF(Inputs!$B$39="pvp",MIN((Skills!S19*(1+((Inputs!$B$35+(ArtifactsInput!$M$7-ArtifactsInput!$M$7)*CHOOSE(ArtifactsInput!$N$7+1,6,7.2,8.4,9.6,10.8,12))+IF(Inputs!$B$3&gt;=117,F953,0))/100)),15)/15,(Skills!S19*(1+((Inputs!$B$35+(ArtifactsInput!$M$7-ArtifactsInput!$M$7)*CHOOSE(ArtifactsInput!$N$7+1,6,7.2,8.4,9.6,10.8,12))+IF(Inputs!$B$3&gt;=117,F953,0))/100))/Skills!D19))/100),1)</f>
        <v/>
      </c>
    </row>
    <row r="958">
      <c r="A958" t="inlineStr">
        <is>
          <t>Monster Damage Taken Bonus % (Holy Fountain)</t>
        </is>
      </c>
      <c r="B958">
        <f>IF(Inputs!$B$3&gt;=68,20*IF(Inputs!$B$39="pvp",MIN((15*(1+((Inputs!$B$35+(ArtifactsInput!$M$7-ArtifactsInput!$M$7)*CHOOSE(ArtifactsInput!$N$7+1,6,7.2,8.4,9.6,10.8,12))+IF(Inputs!$B$3&gt;=117,F953,0))/100)),15)/15,(15*(1+((Inputs!$B$35+(ArtifactsInput!$M$7-ArtifactsInput!$M$7)*CHOOSE(ArtifactsInput!$N$7+1,6,7.2,8.4,9.6,10.8,12))+IF(Inputs!$B$3&gt;=117,F953,0))/100))/Skills!D10),0)</f>
        <v/>
      </c>
    </row>
    <row r="959">
      <c r="A959" t="inlineStr">
        <is>
          <t>Normal Monster Damage Bonus % (Holy Symbol)</t>
        </is>
      </c>
      <c r="B959">
        <f>IF(C939=TRUE,F939*IF(AND(Inputs!$B$39&lt;&gt;"pvp",Inputs!$B$44&gt;0),(((R939-1)*(Skills!S12*(1+((Inputs!$B$35+(ArtifactsInput!$M$7-ArtifactsInput!$M$7)*CHOOSE(ArtifactsInput!$N$7+1,6,7.2,8.4,9.6,10.8,12))+IF(Inputs!$B$3&gt;=117,F953,0))/100))+MIN((Skills!S12*(1+((Inputs!$B$35+(ArtifactsInput!$M$7-ArtifactsInput!$M$7)*CHOOSE(ArtifactsInput!$N$7+1,6,7.2,8.4,9.6,10.8,12))+IF(Inputs!$B$3&gt;=117,F953,0))/100)),MAX(0,Inputs!$B$44-((R939-1)*Skills!D12))))/Inputs!$B$44),IF(Inputs!$B$39="pvp",MIN((Skills!S12*(1+((Inputs!$B$35+(ArtifactsInput!$M$7-ArtifactsInput!$M$7)*CHOOSE(ArtifactsInput!$N$7+1,6,7.2,8.4,9.6,10.8,12))+IF(Inputs!$B$3&gt;=117,F953,0))/100)),15)/15,(Skills!S12*(1+((Inputs!$B$35+(ArtifactsInput!$M$7-ArtifactsInput!$M$7)*CHOOSE(ArtifactsInput!$N$7+1,6,7.2,8.4,9.6,10.8,12))+IF(Inputs!$B$3&gt;=117,F953,0))/100))/Skills!D12)),0)</f>
        <v/>
      </c>
    </row>
    <row r="960">
      <c r="A960" t="inlineStr">
        <is>
          <t>Damage % Bonus (Holy Symbol - Damage Boost)</t>
        </is>
      </c>
      <c r="B960">
        <f>Skills!O12</f>
        <v/>
      </c>
    </row>
    <row r="961">
      <c r="A961" t="inlineStr">
        <is>
          <t>Crit Damage % Bonus (Blood of the Divine)</t>
        </is>
      </c>
      <c r="B961">
        <f>4*IF(C947=TRUE,F947,0)</f>
        <v/>
      </c>
    </row>
    <row r="962">
      <c r="A962" t="inlineStr">
        <is>
          <t>Attack Speed Bonus %</t>
        </is>
      </c>
      <c r="B962">
        <f>IF(C944=TRUE,F944+(F948-Calc!F21),0)+IF(Inputs!$B$3&gt;=134,15,0)+((C955=TRUE)*F955*IF(AND(Inputs!$B$39&lt;&gt;"pvp",Inputs!$B$44&gt;0),(((R955-1)*(Skills!S28*(1+((Inputs!$B$35+(ArtifactsInput!$M$7-ArtifactsInput!$M$7)*CHOOSE(ArtifactsInput!$N$7+1,6,7.2,8.4,9.6,10.8,12))+IF(Inputs!$B$3&gt;=117,F953,0))/100))+MIN((Skills!S28*(1+((Inputs!$B$35+(ArtifactsInput!$M$7-ArtifactsInput!$M$7)*CHOOSE(ArtifactsInput!$N$7+1,6,7.2,8.4,9.6,10.8,12))+IF(Inputs!$B$3&gt;=117,F953,0))/100)),MAX(0,Inputs!$B$44-((R955-1)*Skills!D28))))/Inputs!$B$44),IF(Inputs!$B$39="pvp",MIN((Skills!S28*(1+((Inputs!$B$35+(ArtifactsInput!$M$7-ArtifactsInput!$M$7)*CHOOSE(ArtifactsInput!$N$7+1,6,7.2,8.4,9.6,10.8,12))+IF(Inputs!$B$3&gt;=117,F953,0))/100)),15)/15,(Skills!S28*(1+((Inputs!$B$35+(ArtifactsInput!$M$7-ArtifactsInput!$M$7)*CHOOSE(ArtifactsInput!$N$7+1,6,7.2,8.4,9.6,10.8,12))+IF(Inputs!$B$3&gt;=117,F953,0))/100))/Skills!D28)))</f>
        <v/>
      </c>
    </row>
    <row r="963">
      <c r="A963" t="inlineStr">
        <is>
          <t>Actions Per Second</t>
        </is>
      </c>
      <c r="B963">
        <f>1+MIN(150,150*(1-(1-Inputs!$B$12/150)*(1-B962/150)))/100</f>
        <v/>
      </c>
    </row>
    <row r="964">
      <c r="A964" t="inlineStr">
        <is>
          <t>Skill + Buff Cast Rate</t>
        </is>
      </c>
      <c r="B964">
        <f>IF(AND(Inputs!$B$39&lt;&gt;"pvp",Inputs!$B$44&gt;0),SUMPRODUCT((Skills!E2:E28=TRUE)*(C929:C955=TRUE)*R929:R955)/Inputs!$B$44,SUMPRODUCT((Skills!E2:E28=TRUE)*(C929:C955=TRUE)*Q929:Q955))</f>
        <v/>
      </c>
    </row>
    <row r="965">
      <c r="A965" t="inlineStr">
        <is>
          <t>Big Bang Casts Per Second</t>
        </is>
      </c>
      <c r="B965">
        <f>MAX(0,B963-B964)</f>
        <v/>
      </c>
    </row>
    <row r="966">
      <c r="A966" t="inlineStr">
        <is>
          <t>Defense % Bonus (Divine Protection)</t>
        </is>
      </c>
      <c r="B966">
        <f>IF(C940=TRUE,F940*IF(AND(Inputs!$B$39&lt;&gt;"pvp",Inputs!$B$44&gt;0),(((R940-1)*(Skills!S13*(1+((Inputs!$B$35+(ArtifactsInput!$M$7-ArtifactsInput!$M$7)*CHOOSE(ArtifactsInput!$N$7+1,6,7.2,8.4,9.6,10.8,12))+IF(Inputs!$B$3&gt;=117,F953,0))/100))+MIN((Skills!S13*(1+((Inputs!$B$35+(ArtifactsInput!$M$7-ArtifactsInput!$M$7)*CHOOSE(ArtifactsInput!$N$7+1,6,7.2,8.4,9.6,10.8,12))+IF(Inputs!$B$3&gt;=117,F953,0))/100)),MAX(0,Inputs!$B$44-((R940-1)*Skills!D13))))/Inputs!$B$44),IF(Inputs!$B$39="pvp",MIN((Skills!S13*(1+((Inputs!$B$35+(ArtifactsInput!$M$7-ArtifactsInput!$M$7)*CHOOSE(ArtifactsInput!$N$7+1,6,7.2,8.4,9.6,10.8,12))+IF(Inputs!$B$3&gt;=117,F953,0))/100)),15)/15,(Skills!S13*(1+((Inputs!$B$35+(ArtifactsInput!$M$7-ArtifactsInput!$M$7)*CHOOSE(ArtifactsInput!$N$7+1,6,7.2,8.4,9.6,10.8,12))+IF(Inputs!$B$3&gt;=117,F953,0))/100))/Skills!D13)),0)</f>
        <v/>
      </c>
    </row>
    <row r="967">
      <c r="A967" t="inlineStr">
        <is>
          <t>Buff-Casting Startup Delay (s, fixed-duration only)</t>
        </is>
      </c>
      <c r="B967">
        <f>IF(AND(Inputs!$B$39&lt;&gt;"pvp",Inputs!$B$44&gt;0),SUMPRODUCT((Skills!S2:S28&gt;0)*(Skills!E2:E28=TRUE)*(C929:C955=TRUE))/B963,0)</f>
        <v/>
      </c>
    </row>
    <row r="968">
      <c r="A968" t="inlineStr">
        <is>
          <t>Boss-Only Total DPS (this block's swept value)</t>
        </is>
      </c>
      <c r="B968">
        <f>SUM(S929:S955)</f>
        <v/>
      </c>
    </row>
    <row r="969">
      <c r="A969" t="inlineStr">
        <is>
          <t>Normal-Only Total DPS (this block's swept value)</t>
        </is>
      </c>
      <c r="B969">
        <f>SUM(U929:U955)</f>
        <v/>
      </c>
    </row>
    <row r="970">
      <c r="A970" s="6" t="inlineStr">
        <is>
          <t>TOTAL DPS</t>
        </is>
      </c>
      <c r="B970" s="6">
        <f>SUM(O929:O955)</f>
        <v/>
      </c>
    </row>
    <row r="972">
      <c r="A972" s="6" t="inlineStr">
        <is>
          <t>Stat: Skill Level Bonus — 4th Job</t>
        </is>
      </c>
    </row>
    <row r="973">
      <c r="A973" s="5" t="inlineStr">
        <is>
          <t>Key</t>
        </is>
      </c>
      <c r="B973" s="5" t="inlineStr">
        <is>
          <t>Name</t>
        </is>
      </c>
      <c r="C973" s="5" t="inlineStr">
        <is>
          <t>Unlocked</t>
        </is>
      </c>
      <c r="D973" s="5" t="inlineStr">
        <is>
          <t>InputLevel</t>
        </is>
      </c>
      <c r="E973" s="5" t="inlineStr">
        <is>
          <t>Factor</t>
        </is>
      </c>
      <c r="F973" s="5" t="inlineStr">
        <is>
          <t>CoefficientPercent</t>
        </is>
      </c>
      <c r="G973" s="5" t="inlineStr">
        <is>
          <t>EffectiveHits</t>
        </is>
      </c>
      <c r="H973" s="5" t="inlineStr">
        <is>
          <t>ProcProbability</t>
        </is>
      </c>
      <c r="I973" s="5" t="inlineStr">
        <is>
          <t>MapleHeroMultiplier</t>
        </is>
      </c>
      <c r="J973" s="5" t="inlineStr">
        <is>
          <t>BaseDamage</t>
        </is>
      </c>
      <c r="K973" s="5" t="inlineStr">
        <is>
          <t>BaseHitDamage</t>
        </is>
      </c>
      <c r="L973" s="5" t="inlineStr">
        <is>
          <t>NonCritAvg</t>
        </is>
      </c>
      <c r="M973" s="5" t="inlineStr">
        <is>
          <t>CritAvg</t>
        </is>
      </c>
      <c r="N973" s="5" t="inlineStr">
        <is>
          <t>ExpectedDamage(perHit)</t>
        </is>
      </c>
      <c r="O973" s="5" t="inlineStr">
        <is>
          <t>DPS</t>
        </is>
      </c>
      <c r="P973" s="5" t="inlineStr">
        <is>
          <t>% of Total</t>
        </is>
      </c>
      <c r="R973" t="inlineStr">
        <is>
          <t>helpers</t>
        </is>
      </c>
    </row>
    <row r="974">
      <c r="A974">
        <f>Skills!A2</f>
        <v/>
      </c>
      <c r="B974">
        <f>Skills!B2</f>
        <v/>
      </c>
      <c r="C974">
        <f>Inputs!$B$3&gt;=100</f>
        <v/>
      </c>
      <c r="D974" t="inlineStr"/>
      <c r="E974" t="inlineStr"/>
      <c r="F974">
        <f>T976+Skills!N2</f>
        <v/>
      </c>
      <c r="G974">
        <f>Calc!G2</f>
        <v/>
      </c>
      <c r="H974">
        <f>Calc!H2</f>
        <v/>
      </c>
      <c r="I974">
        <f>IF(Skills!T2&lt;&gt;"",1+(Skills!T2/10)*($Z$3/1000)/100,1)</f>
        <v/>
      </c>
      <c r="J974">
        <f>((Inputs!$B$6*(1+Inputs!$B$7/100))+(((Inputs!$B$13*(1+Inputs!$B$14/100))-(Inputs!$B$13*(1+Inputs!$B$14/100)))+0.25*(Inputs!$B$15-Inputs!$B$15))*(1+Inputs!$B$7/100))*(F974/100)</f>
        <v/>
      </c>
      <c r="K974">
        <f>J974*(1+(((Inputs!$B$13+IF(Inputs!$B$3&gt;=35,(10*INDEX(FactorTable!$B$2:$Y$301,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2="TRIUMPH_FEATHER",IF(C988=TRUE,F988,0),0)/100)*(1+IF(C999=TRUE,F999,0)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974)</f>
        <v/>
      </c>
      <c r="L974">
        <f>K974*(MIN(Inputs!$B$23+(F994-Calc!F22),(Inputs!$B$24+IF(ArtifactsInput!$M$15,CHOOSE(ArtifactsInput!$N$15+1,25,30,35,40,45,50)/100*(Inputs!$B$12-Inputs!$B$12),0)))/100+(Inputs!$B$24+IF(ArtifactsInput!$M$15,CHOOSE(ArtifactsInput!$N$15+1,25,30,35,40,45,50)/100*(Inputs!$B$12-Inputs!$B$12),0))/100)/2</f>
        <v/>
      </c>
      <c r="M974">
        <f>L974*(1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4">
        <f>L974*(1-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(1-Summary!$B$11)*S974+Summary!$B$11*U974</f>
        <v/>
      </c>
      <c r="P974">
        <f>IF(B1015=0,0,O974/B1015)</f>
        <v/>
      </c>
      <c r="Q974">
        <f>IFERROR(1/(IF(Inputs!$B$39="pvp",15,MAX(0.1,Skills!D2-IF(Skills!E2=TRUE,Inputs!$B$33,0)))*(1-IF(AND(ArtifactsInput!$M$27,Inputs!$B$4="Chapter Hunt"),CHOOSE(ArtifactsInput!$N$27+1,20,24,28,32,36,40),0)/100)),0)</f>
        <v/>
      </c>
      <c r="R974" t="n">
        <v>0</v>
      </c>
      <c r="S974">
        <f>IF(C974,(Skills!F2*N974*B1010)*IF(Inputs!$B$39="pvp",1,1+(Inputs!$B$21+Skills!O2+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974*(1-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74">
        <f>MAX(0,(Inputs!$B$3-100)*3)+(Inputs!$B$29+1)+Inputs!$B$30</f>
        <v/>
      </c>
      <c r="U974">
        <f>IF(C974,(Skills!F2*N974*B1010)*IF(Inputs!$B$39="pvp",1,(1+(Inputs!$B$22+Skills!P2+B1004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Skills!A3</f>
        <v/>
      </c>
      <c r="B975">
        <f>Skills!B3</f>
        <v/>
      </c>
      <c r="C975">
        <f>Inputs!$B$3&gt;=15</f>
        <v/>
      </c>
      <c r="D975">
        <f>IF(Skills!C3=1,60+Inputs!$B$26+Inputs!$B$30,IF(Skills!C3=2,90+Inputs!$B$27+Inputs!$B$30,IF(Skills!C3=3,120+Inputs!$B$28+Inputs!$B$30,MAX(0,(Inputs!$B$3-100)*3)+(Inputs!$B$29+1)+Inputs!$B$30)))</f>
        <v/>
      </c>
      <c r="E975">
        <f>INDEX(FactorTable!$B$2:$Y$301, MATCH(ROUND(MIN(300,MAX(1,D975)),0), FactorTable!$A$2:$A$301,0), Skills!L3+1)</f>
        <v/>
      </c>
      <c r="F975">
        <f>IF(Skills!M3=TRUE,(Skills!K3/10)*(E975/1000),Skills!K3/10)+Skills!N3</f>
        <v/>
      </c>
      <c r="G975">
        <f>Calc!G3</f>
        <v/>
      </c>
      <c r="H975">
        <f>Calc!H3</f>
        <v/>
      </c>
      <c r="I975">
        <f>IF(Skills!T3&lt;&gt;"",1+(Skills!T3/10)*($Z$3/1000)/100,1)</f>
        <v/>
      </c>
      <c r="J975" t="inlineStr"/>
      <c r="K975" t="inlineStr"/>
      <c r="L975" t="inlineStr"/>
      <c r="M975" t="inlineStr"/>
      <c r="N975" t="inlineStr"/>
      <c r="O975">
        <f>(1-Summary!$B$11)*S975+Summary!$B$11*U975</f>
        <v/>
      </c>
      <c r="P975">
        <f>IF(B1015=0,0,O975/B1015)</f>
        <v/>
      </c>
      <c r="Q975">
        <f>IFERROR(1/(IF(Inputs!$B$39="pvp",15,MAX(0.1,Skills!D3-IF(Skills!E3=TRUE,Inputs!$B$33,0)))*(1-IF(AND(ArtifactsInput!$M$27,Inputs!$B$4="Chapter Hunt"),CHOOSE(ArtifactsInput!$N$27+1,20,24,28,32,36,40),0)/100)),0)</f>
        <v/>
      </c>
      <c r="R975">
        <f>IF(AND(Inputs!$B$39&lt;&gt;"pvp",Inputs!$B$44&gt;0),IF(Inputs!$B$44&lt;=0,0,(INT(Inputs!$B$44/(IF(Inputs!$B$39="pvp",15,MAX(0.1,Skills!D3-IF(Skills!E3=TRUE,Inputs!$B$33,0)))*(1-IF(AND(ArtifactsInput!$M$27,Inputs!$B$4="Chapter Hunt"),CHOOSE(ArtifactsInput!$N$27+1,20,24,28,32,36,40),0)/100)))+1)),0)</f>
        <v/>
      </c>
      <c r="S975" t="n">
        <v>0</v>
      </c>
      <c r="T975">
        <f>INDEX(FactorTable!$B$2:$Y$301, MATCH(ROUND(MIN(300,MAX(1,T974)),0), FactorTable!$A$2:$A$301,0), 22)</f>
        <v/>
      </c>
      <c r="U975" t="n">
        <v>0</v>
      </c>
    </row>
    <row r="976">
      <c r="A976">
        <f>Skills!A4</f>
        <v/>
      </c>
      <c r="B976">
        <f>Skills!B4</f>
        <v/>
      </c>
      <c r="C976">
        <f>Inputs!$B$3&gt;=38</f>
        <v/>
      </c>
      <c r="D976">
        <f>IF(Skills!C4=1,60+Inputs!$B$26+Inputs!$B$30,IF(Skills!C4=2,90+Inputs!$B$27+Inputs!$B$30,IF(Skills!C4=3,120+Inputs!$B$28+Inputs!$B$30,MAX(0,(Inputs!$B$3-100)*3)+(Inputs!$B$29+1)+Inputs!$B$30)))</f>
        <v/>
      </c>
      <c r="E976">
        <f>INDEX(FactorTable!$B$2:$Y$301, MATCH(ROUND(MIN(300,MAX(1,D976)),0), FactorTable!$A$2:$A$301,0), Skills!L4+1)</f>
        <v/>
      </c>
      <c r="F976">
        <f>IF(Skills!M4=TRUE,(Skills!K4/10)*(E976/1000),Skills!K4/10)+Skills!N4</f>
        <v/>
      </c>
      <c r="G976">
        <f>Calc!G4</f>
        <v/>
      </c>
      <c r="H976">
        <f>Calc!H4</f>
        <v/>
      </c>
      <c r="I976">
        <f>IF(Skills!T4&lt;&gt;"",1+(Skills!T4/10)*($Z$3/1000)/100,1)</f>
        <v/>
      </c>
      <c r="J976" t="inlineStr"/>
      <c r="K976" t="inlineStr"/>
      <c r="L976" t="inlineStr"/>
      <c r="M976" t="inlineStr"/>
      <c r="N976" t="inlineStr"/>
      <c r="O976">
        <f>(1-Summary!$B$11)*S976+Summary!$B$11*U976</f>
        <v/>
      </c>
      <c r="P976">
        <f>IF(B1015=0,0,O976/B1015)</f>
        <v/>
      </c>
      <c r="Q976">
        <f>IFERROR(1/(IF(Inputs!$B$39="pvp",15,MAX(0.1,Skills!D4-IF(Skills!E4=TRUE,Inputs!$B$33,0)))*(1-IF(AND(ArtifactsInput!$M$27,Inputs!$B$4="Chapter Hunt"),CHOOSE(ArtifactsInput!$N$27+1,20,24,28,32,36,40),0)/100)),0)</f>
        <v/>
      </c>
      <c r="R976">
        <f>IF(AND(Inputs!$B$39&lt;&gt;"pvp",Inputs!$B$44&gt;0),IF(Inputs!$B$44&lt;=0,0,(INT(Inputs!$B$44/(IF(Inputs!$B$39="pvp",15,MAX(0.1,Skills!D4-IF(Skills!E4=TRUE,Inputs!$B$33,0)))*(1-IF(AND(ArtifactsInput!$M$27,Inputs!$B$4="Chapter Hunt"),CHOOSE(ArtifactsInput!$N$27+1,20,24,28,32,36,40),0)/100)))+1)),0)</f>
        <v/>
      </c>
      <c r="S976" t="n">
        <v>0</v>
      </c>
      <c r="T976">
        <f>290*T975/1000</f>
        <v/>
      </c>
      <c r="U976" t="n">
        <v>0</v>
      </c>
    </row>
    <row r="977">
      <c r="A977">
        <f>Skills!A5</f>
        <v/>
      </c>
      <c r="B977">
        <f>Skills!B5</f>
        <v/>
      </c>
      <c r="C977">
        <f>Inputs!$B$3&gt;=40</f>
        <v/>
      </c>
      <c r="D977">
        <f>IF(Skills!C5=1,60+Inputs!$B$26+Inputs!$B$30,IF(Skills!C5=2,90+Inputs!$B$27+Inputs!$B$30,IF(Skills!C5=3,120+Inputs!$B$28+Inputs!$B$30,MAX(0,(Inputs!$B$3-100)*3)+(Inputs!$B$29+1)+Inputs!$B$30)))</f>
        <v/>
      </c>
      <c r="E977">
        <f>INDEX(FactorTable!$B$2:$Y$301, MATCH(ROUND(MIN(300,MAX(1,D977)),0), FactorTable!$A$2:$A$301,0), Skills!L5+1)</f>
        <v/>
      </c>
      <c r="F977">
        <f>IF(Skills!M5=TRUE,(Skills!K5/10)*(E977/1000),Skills!K5/10)+Skills!N5</f>
        <v/>
      </c>
      <c r="G977">
        <f>Calc!G5</f>
        <v/>
      </c>
      <c r="H977">
        <f>Calc!H5</f>
        <v/>
      </c>
      <c r="I977">
        <f>IF(Skills!T5&lt;&gt;"",1+(Skills!T5/10)*($Z$3/1000)/100,1)</f>
        <v/>
      </c>
      <c r="J977" t="inlineStr"/>
      <c r="K977" t="inlineStr"/>
      <c r="L977" t="inlineStr"/>
      <c r="M977" t="inlineStr"/>
      <c r="N977" t="inlineStr"/>
      <c r="O977">
        <f>(1-Summary!$B$11)*S977+Summary!$B$11*U977</f>
        <v/>
      </c>
      <c r="P977">
        <f>IF(B1015=0,0,O977/B1015)</f>
        <v/>
      </c>
      <c r="Q977">
        <f>IFERROR(1/(IF(Inputs!$B$39="pvp",15,MAX(0.1,Skills!D5-IF(Skills!E5=TRUE,Inputs!$B$33,0)))*(1-IF(AND(ArtifactsInput!$M$27,Inputs!$B$4="Chapter Hunt"),CHOOSE(ArtifactsInput!$N$27+1,20,24,28,32,36,40),0)/100)),0)</f>
        <v/>
      </c>
      <c r="R977">
        <f>IF(AND(Inputs!$B$39&lt;&gt;"pvp",Inputs!$B$44&gt;0),IF(Inputs!$B$44&lt;=0,0,(INT(Inputs!$B$44/(IF(Inputs!$B$39="pvp",15,MAX(0.1,Skills!D5-IF(Skills!E5=TRUE,Inputs!$B$33,0)))*(1-IF(AND(ArtifactsInput!$M$27,Inputs!$B$4="Chapter Hunt"),CHOOSE(ArtifactsInput!$N$27+1,20,24,28,32,36,40),0)/100)))+1)),0)</f>
        <v/>
      </c>
      <c r="S977" t="n">
        <v>0</v>
      </c>
      <c r="U977" t="n">
        <v>0</v>
      </c>
    </row>
    <row r="978">
      <c r="A978">
        <f>Skills!A6</f>
        <v/>
      </c>
      <c r="B978">
        <f>Skills!B6</f>
        <v/>
      </c>
      <c r="C978">
        <f>Inputs!$B$3&gt;=103</f>
        <v/>
      </c>
      <c r="D978">
        <f>IF(Skills!C6=1,60+Inputs!$B$26+Inputs!$B$30,IF(Skills!C6=2,90+Inputs!$B$27+Inputs!$B$30,IF(Skills!C6=3,120+Inputs!$B$28+Inputs!$B$30,MAX(0,(Inputs!$B$3-100)*3)+(Inputs!$B$29+1)+Inputs!$B$30)))</f>
        <v/>
      </c>
      <c r="E978">
        <f>INDEX(FactorTable!$B$2:$Y$301, MATCH(ROUND(MIN(300,MAX(1,D978)),0), FactorTable!$A$2:$A$301,0), Skills!L6+1)</f>
        <v/>
      </c>
      <c r="F978">
        <f>IF(Skills!M6=TRUE,(Skills!K6/10)*(E978/1000),Skills!K6/10)+Skills!N6</f>
        <v/>
      </c>
      <c r="G978">
        <f>Calc!G6</f>
        <v/>
      </c>
      <c r="H978">
        <f>Calc!H6</f>
        <v/>
      </c>
      <c r="I978">
        <f>IF(Skills!T6&lt;&gt;"",1+(Skills!T6/10)*($Z$3/1000)/100,1)</f>
        <v/>
      </c>
      <c r="J978">
        <f>((Inputs!$B$6*(1+Inputs!$B$7/100))+(((Inputs!$B$13*(1+Inputs!$B$14/100))-(Inputs!$B$13*(1+Inputs!$B$14/100)))+0.25*(Inputs!$B$15-Inputs!$B$15))*(1+Inputs!$B$7/100))*(F978/100)</f>
        <v/>
      </c>
      <c r="K978">
        <f>J978*(1+(((Inputs!$B$13+IF(Inputs!$B$3&gt;=35,(10*INDEX(FactorTable!$B$2:$Y$301,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6="TRIUMPH_FEATHER",IF(C988=TRUE,F988,0),0)/100)*(1+IF(C999=TRUE,F999,0)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978)</f>
        <v/>
      </c>
      <c r="L978">
        <f>K978*(MIN(Inputs!$B$23+(F994-Calc!F22),(Inputs!$B$24+IF(ArtifactsInput!$M$15,CHOOSE(ArtifactsInput!$N$15+1,25,30,35,40,45,50)/100*(Inputs!$B$12-Inputs!$B$12),0)))/100+(Inputs!$B$24+IF(ArtifactsInput!$M$15,CHOOSE(ArtifactsInput!$N$15+1,25,30,35,40,45,50)/100*(Inputs!$B$12-Inputs!$B$12),0))/100)/2</f>
        <v/>
      </c>
      <c r="M978">
        <f>L978*(1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8">
        <f>L978*(1-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(1-Summary!$B$11)*S978+Summary!$B$11*U978</f>
        <v/>
      </c>
      <c r="P978">
        <f>IF(B1015=0,0,O978/B1015)</f>
        <v/>
      </c>
      <c r="Q978">
        <f>IFERROR(1/(IF(Inputs!$B$39="pvp",15,MAX(0.1,Skills!D6-IF(Skills!E6=TRUE,Inputs!$B$33,0)))*(1-IF(AND(ArtifactsInput!$M$27,Inputs!$B$4="Chapter Hunt"),CHOOSE(ArtifactsInput!$N$27+1,20,24,28,32,36,40),0)/100)),0)</f>
        <v/>
      </c>
      <c r="R978">
        <f>IF(AND(Inputs!$B$39&lt;&gt;"pvp",Inputs!$B$44&gt;0),IF(MAX(0,Inputs!$B$44-B1012)&lt;=0,0,(INT(MAX(0,Inputs!$B$44-B1012)/(IF(Inputs!$B$39="pvp",15,MAX(0.1,Skills!D6-IF(Skills!E6=TRUE,Inputs!$B$33,0)))*(1-IF(AND(ArtifactsInput!$M$27,Inputs!$B$4="Chapter Hunt"),CHOOSE(ArtifactsInput!$N$27+1,20,24,28,32,36,40),0)/100)))+1)),0)</f>
        <v/>
      </c>
      <c r="S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$21+Skills!O6+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$22+Skills!P6+B1004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Skills!A7</f>
        <v/>
      </c>
      <c r="B979">
        <f>Skills!B7</f>
        <v/>
      </c>
      <c r="C979">
        <f>Inputs!$B$3&gt;=122</f>
        <v/>
      </c>
      <c r="D979">
        <f>IF(Skills!C7=1,60+Inputs!$B$26+Inputs!$B$30,IF(Skills!C7=2,90+Inputs!$B$27+Inputs!$B$30,IF(Skills!C7=3,120+Inputs!$B$28+Inputs!$B$30,MAX(0,(Inputs!$B$3-100)*3)+(Inputs!$B$29+1)+Inputs!$B$30)))</f>
        <v/>
      </c>
      <c r="E979">
        <f>INDEX(FactorTable!$B$2:$Y$301, MATCH(ROUND(MIN(300,MAX(1,D979)),0), FactorTable!$A$2:$A$301,0), Skills!L7+1)</f>
        <v/>
      </c>
      <c r="F979">
        <f>IF(Skills!M7=TRUE,(Skills!K7/10)*(E979/1000),Skills!K7/10)+Skills!N7</f>
        <v/>
      </c>
      <c r="G979">
        <f>Calc!G7</f>
        <v/>
      </c>
      <c r="H979">
        <f>Calc!H7</f>
        <v/>
      </c>
      <c r="I979">
        <f>IF(Skills!T7&lt;&gt;"",1+(Skills!T7/10)*($Z$3/1000)/100,1)</f>
        <v/>
      </c>
      <c r="J979">
        <f>((Inputs!$B$6*(1+Inputs!$B$7/100))+(((Inputs!$B$13*(1+Inputs!$B$14/100))-(Inputs!$B$13*(1+Inputs!$B$14/100)))+0.25*(Inputs!$B$15-Inputs!$B$15))*(1+Inputs!$B$7/100))*(F979/100)</f>
        <v/>
      </c>
      <c r="K979">
        <f>J979*(1+(((Inputs!$B$13+IF(Inputs!$B$3&gt;=35,(10*INDEX(FactorTable!$B$2:$Y$301,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7="TRIUMPH_FEATHER",IF(C988=TRUE,F988,0),0)/100)*(1+IF(C999=TRUE,F999,0)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979)</f>
        <v/>
      </c>
      <c r="L979">
        <f>K979*(MIN(Inputs!$B$23+(F994-Calc!F22),(Inputs!$B$24+IF(ArtifactsInput!$M$15,CHOOSE(ArtifactsInput!$N$15+1,25,30,35,40,45,50)/100*(Inputs!$B$12-Inputs!$B$12),0)))/100+(Inputs!$B$24+IF(ArtifactsInput!$M$15,CHOOSE(ArtifactsInput!$N$15+1,25,30,35,40,45,50)/100*(Inputs!$B$12-Inputs!$B$12),0))/100)/2</f>
        <v/>
      </c>
      <c r="M979">
        <f>L979*(1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9">
        <f>L979*(1-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(1-Summary!$B$11)*S979+Summary!$B$11*U979</f>
        <v/>
      </c>
      <c r="P979">
        <f>IF(B1015=0,0,O979/B1015)</f>
        <v/>
      </c>
      <c r="Q979">
        <f>IFERROR(1/(IF(Inputs!$B$39="pvp",15,MAX(0.1,Skills!D7-IF(Skills!E6=TRUE,Inputs!$B$33,0)))*(1-IF(AND(ArtifactsInput!$M$27,Inputs!$B$4="Chapter Hunt"),CHOOSE(ArtifactsInput!$N$27+1,20,24,28,32,36,40),0)/100)),0)</f>
        <v/>
      </c>
      <c r="R979">
        <f>IF(AND(Inputs!$B$39&lt;&gt;"pvp",Inputs!$B$44&gt;0),IF(MAX(0,Inputs!$B$44-B1012)&lt;=0,0,(INT(MAX(0,Inputs!$B$44-B1012)/(IF(Inputs!$B$39="pvp",15,MAX(0.1,Skills!D7-IF(Skills!E6=TRUE,Inputs!$B$33,0)))*(1-IF(AND(ArtifactsInput!$M$27,Inputs!$B$4="Chapter Hunt"),CHOOSE(ArtifactsInput!$N$27+1,20,24,28,32,36,40),0)/100)))+1)),0)</f>
        <v/>
      </c>
      <c r="S979">
        <f>IF(C979,H979*N979*IF(AND(Inputs!$B$39&lt;&gt;"pvp",Inputs!$B$44&gt;0),((Skills!F7*((R979-1)*IF(Skills!G7&gt;0,Skills!H7/Skills!G7,1)+IF(Skills!G7&gt;0,MIN(Skills!H7,MAX(0,MAX(0,Inputs!$B$44-B1012)-((R979-1)*(IF(Inputs!$B$39="pvp",15,MAX(0.1,Skills!D7-IF(Skills!E6=TRUE,Inputs!$B$33,0)))*(1-IF(AND(ArtifactsInput!$M$27,Inputs!$B$4="Chapter Hunt"),CHOOSE(ArtifactsInput!$N$27+1,20,24,28,32,36,40),0)/100)))))/Skills!G7,1)))/Inputs!$B$44),G979*Q979)*IF(Inputs!$B$39="pvp",1,1+(Inputs!$B$21+Skills!O7+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979*(1-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9" t="n">
        <v>0</v>
      </c>
    </row>
    <row r="980">
      <c r="A980">
        <f>Skills!A8</f>
        <v/>
      </c>
      <c r="B980">
        <f>Skills!B8</f>
        <v/>
      </c>
      <c r="C980">
        <f>Inputs!$B$3&gt;=105</f>
        <v/>
      </c>
      <c r="D980">
        <f>IF(Skills!C8=1,60+Inputs!$B$26+Inputs!$B$30,IF(Skills!C8=2,90+Inputs!$B$27+Inputs!$B$30,IF(Skills!C8=3,120+Inputs!$B$28+Inputs!$B$30,MAX(0,(Inputs!$B$3-100)*3)+(Inputs!$B$29+1)+Inputs!$B$30)))</f>
        <v/>
      </c>
      <c r="E980">
        <f>INDEX(FactorTable!$B$2:$Y$301, MATCH(ROUND(MIN(300,MAX(1,D980)),0), FactorTable!$A$2:$A$301,0), Skills!L8+1)</f>
        <v/>
      </c>
      <c r="F980">
        <f>IF(Skills!M8=TRUE,(Skills!K8/10)*(E980/1000),Skills!K8/10)+Skills!N8</f>
        <v/>
      </c>
      <c r="G980">
        <f>Calc!G8</f>
        <v/>
      </c>
      <c r="H980">
        <f>Calc!H8</f>
        <v/>
      </c>
      <c r="I980">
        <f>IF(Skills!T8&lt;&gt;"",1+(Skills!T8/10)*($Z$3/1000)/100,1)</f>
        <v/>
      </c>
      <c r="J980">
        <f>((Inputs!$B$6*(1+Inputs!$B$7/100))+(((Inputs!$B$13*(1+Inputs!$B$14/100))-(Inputs!$B$13*(1+Inputs!$B$14/100)))+0.25*(Inputs!$B$15-Inputs!$B$15))*(1+Inputs!$B$7/100))*(F980/100)</f>
        <v/>
      </c>
      <c r="K980">
        <f>J980*(1+(((Inputs!$B$13+IF(Inputs!$B$3&gt;=35,(10*INDEX(FactorTable!$B$2:$Y$301,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8="TRIUMPH_FEATHER",IF(C988=TRUE,F988,0),0)/100)*(1+IF(C999=TRUE,F999,0)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980)</f>
        <v/>
      </c>
      <c r="L980">
        <f>K980*(MIN(Inputs!$B$23+(F994-Calc!F22),(Inputs!$B$24+IF(ArtifactsInput!$M$15,CHOOSE(ArtifactsInput!$N$15+1,25,30,35,40,45,50)/100*(Inputs!$B$12-Inputs!$B$12),0)))/100+(Inputs!$B$24+IF(ArtifactsInput!$M$15,CHOOSE(ArtifactsInput!$N$15+1,25,30,35,40,45,50)/100*(Inputs!$B$12-Inputs!$B$12),0))/100)/2</f>
        <v/>
      </c>
      <c r="M980">
        <f>L980*(1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0">
        <f>L980*(1-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980*(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0">
        <f>(1-Summary!$B$11)*S980+Summary!$B$11*U980</f>
        <v/>
      </c>
      <c r="P980">
        <f>IF(B1015=0,0,O980/B1015)</f>
        <v/>
      </c>
      <c r="Q980">
        <f>IFERROR(1/(IF(Inputs!$B$39="pvp",15,MAX(0.1,Skills!D8-IF(Skills!E8=TRUE,Inputs!$B$33,0)))*(1-IF(AND(ArtifactsInput!$M$27,Inputs!$B$4="Chapter Hunt"),CHOOSE(ArtifactsInput!$N$27+1,20,24,28,32,36,40),0)/100)),0)</f>
        <v/>
      </c>
      <c r="R980">
        <f>IF(AND(Inputs!$B$39&lt;&gt;"pvp",Inputs!$B$44&gt;0),IF(MAX(0,Inputs!$B$44-B1012)&lt;=0,0,(INT(MAX(0,Inputs!$B$44-B1012)/(IF(Inputs!$B$39="pvp",15,MAX(0.1,Skills!D8-IF(Skills!E8=TRUE,Inputs!$B$33,0)))*(1-IF(AND(ArtifactsInput!$M$27,Inputs!$B$4="Chapter Hunt"),CHOOSE(ArtifactsInput!$N$27+1,20,24,28,32,36,40),0)/100)))+1)),0)</f>
        <v/>
      </c>
      <c r="S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$21+Skills!O8+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980*(1-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980*(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980*(1-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980*(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$22+Skills!P8+B1004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1">
      <c r="A981">
        <f>Skills!A9</f>
        <v/>
      </c>
      <c r="B981">
        <f>Skills!B9</f>
        <v/>
      </c>
      <c r="C981">
        <f>Inputs!$B$3&gt;=115</f>
        <v/>
      </c>
      <c r="D981">
        <f>IF(Skills!C9=1,60+Inputs!$B$26+Inputs!$B$30,IF(Skills!C9=2,90+Inputs!$B$27+Inputs!$B$30,IF(Skills!C9=3,120+Inputs!$B$28+Inputs!$B$30,MAX(0,(Inputs!$B$3-100)*3)+(Inputs!$B$29+1)+Inputs!$B$30)))</f>
        <v/>
      </c>
      <c r="E981">
        <f>INDEX(FactorTable!$B$2:$Y$301, MATCH(ROUND(MIN(300,MAX(1,D981)),0), FactorTable!$A$2:$A$301,0), Skills!L9+1)</f>
        <v/>
      </c>
      <c r="F981">
        <f>IF(Skills!M9=TRUE,(Skills!K9/10)*(E981/1000),Skills!K9/10)+Skills!N9</f>
        <v/>
      </c>
      <c r="G981">
        <f>Calc!G9</f>
        <v/>
      </c>
      <c r="H981">
        <f>Calc!H9</f>
        <v/>
      </c>
      <c r="I981">
        <f>IF(Skills!T9&lt;&gt;"",1+(Skills!T9/10)*($Z$3/1000)/100,1)</f>
        <v/>
      </c>
      <c r="J981">
        <f>((Inputs!$B$6*(1+Inputs!$B$7/100))+(((Inputs!$B$13*(1+Inputs!$B$14/100))-(Inputs!$B$13*(1+Inputs!$B$14/100)))+0.25*(Inputs!$B$15-Inputs!$B$15))*(1+Inputs!$B$7/100))*(F981/100)</f>
        <v/>
      </c>
      <c r="K981">
        <f>J981*(1+(((Inputs!$B$13+IF(Inputs!$B$3&gt;=35,(10*INDEX(FactorTable!$B$2:$Y$301,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9="TRIUMPH_FEATHER",IF(C988=TRUE,F988,0),0)/100)*(1+IF(C999=TRUE,F999,0)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981)</f>
        <v/>
      </c>
      <c r="L981">
        <f>K981*(MIN(Inputs!$B$23+(F994-Calc!F22),(Inputs!$B$24+IF(ArtifactsInput!$M$15,CHOOSE(ArtifactsInput!$N$15+1,25,30,35,40,45,50)/100*(Inputs!$B$12-Inputs!$B$12),0)))/100+(Inputs!$B$24+IF(ArtifactsInput!$M$15,CHOOSE(ArtifactsInput!$N$15+1,25,30,35,40,45,50)/100*(Inputs!$B$12-Inputs!$B$12),0))/100)/2</f>
        <v/>
      </c>
      <c r="M981">
        <f>L981*(1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1">
        <f>L981*(1-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(1-Summary!$B$11)*S981+Summary!$B$11*U981</f>
        <v/>
      </c>
      <c r="P981">
        <f>IF(B1015=0,0,O981/B1015)</f>
        <v/>
      </c>
      <c r="Q981">
        <f>IFERROR(1/(IF(Inputs!$B$39="pvp",15,MAX(0.1,Skills!D9-IF(Skills!E9=TRUE,Inputs!$B$33,0)))*(1-IF(AND(ArtifactsInput!$M$27,Inputs!$B$4="Chapter Hunt"),CHOOSE(ArtifactsInput!$N$27+1,20,24,28,32,36,40),0)/100)),0)</f>
        <v/>
      </c>
      <c r="R981">
        <f>IF(AND(Inputs!$B$39&lt;&gt;"pvp",Inputs!$B$44&gt;0),IF(MAX(0,Inputs!$B$44-B1012)&lt;=0,0,(INT(MAX(0,Inputs!$B$44-B1012)/(IF(Inputs!$B$39="pvp",15,MAX(0.1,Skills!D9-IF(Skills!E9=TRUE,Inputs!$B$33,0)))*(1-IF(AND(ArtifactsInput!$M$27,Inputs!$B$4="Chapter Hunt"),CHOOSE(ArtifactsInput!$N$27+1,20,24,28,32,36,40),0)/100)))+1)),0)</f>
        <v/>
      </c>
      <c r="S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$21+Skills!O9+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981*(1-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$22+Skills!P9+B1004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Skills!A10</f>
        <v/>
      </c>
      <c r="B982">
        <f>Skills!B10</f>
        <v/>
      </c>
      <c r="C982">
        <f>Inputs!$B$3&gt;=66</f>
        <v/>
      </c>
      <c r="D982">
        <f>IF(Skills!C10=1,60+Inputs!$B$26+Inputs!$B$30,IF(Skills!C10=2,90+Inputs!$B$27+Inputs!$B$30,IF(Skills!C10=3,120+Inputs!$B$28+Inputs!$B$30,MAX(0,(Inputs!$B$3-100)*3)+(Inputs!$B$29+1)+Inputs!$B$30)))</f>
        <v/>
      </c>
      <c r="E982">
        <f>INDEX(FactorTable!$B$2:$Y$301, MATCH(ROUND(MIN(300,MAX(1,D982)),0), FactorTable!$A$2:$A$301,0), Skills!L10+1)</f>
        <v/>
      </c>
      <c r="F982" t="n">
        <v>0</v>
      </c>
      <c r="G982">
        <f>Calc!G10</f>
        <v/>
      </c>
      <c r="H982">
        <f>Calc!H10</f>
        <v/>
      </c>
      <c r="I982">
        <f>IF(Skills!T10&lt;&gt;"",1+(Skills!T10/10)*($Z$3/1000)/100,1)</f>
        <v/>
      </c>
      <c r="J982" t="inlineStr"/>
      <c r="K982" t="inlineStr"/>
      <c r="L982" t="inlineStr"/>
      <c r="M982" t="inlineStr"/>
      <c r="N982" t="inlineStr"/>
      <c r="O982">
        <f>(1-Summary!$B$11)*S982+Summary!$B$11*U982</f>
        <v/>
      </c>
      <c r="P982">
        <f>IF(B1015=0,0,O982/B1015)</f>
        <v/>
      </c>
      <c r="Q982">
        <f>IFERROR(1/(IF(Inputs!$B$39="pvp",15,MAX(0.1,Skills!D10-IF(Skills!E10=TRUE,Inputs!$B$33,0)))*(1-IF(AND(ArtifactsInput!$M$27,Inputs!$B$4="Chapter Hunt"),CHOOSE(ArtifactsInput!$N$27+1,20,24,28,32,36,40),0)/100)),0)</f>
        <v/>
      </c>
      <c r="R982">
        <f>IF(AND(Inputs!$B$39&lt;&gt;"pvp",Inputs!$B$44&gt;0),IF(MAX(0,Inputs!$B$44-B1012)&lt;=0,0,(INT(MAX(0,Inputs!$B$44-B1012)/(IF(Inputs!$B$39="pvp",15,MAX(0.1,Skills!D10-IF(Skills!E10=TRUE,Inputs!$B$33,0)))*(1-IF(AND(ArtifactsInput!$M$27,Inputs!$B$4="Chapter Hunt"),CHOOSE(ArtifactsInput!$N$27+1,20,24,28,32,36,40),0)/100)))+1)),0)</f>
        <v/>
      </c>
      <c r="S982" t="n">
        <v>0</v>
      </c>
      <c r="U982" t="n">
        <v>0</v>
      </c>
    </row>
    <row r="983">
      <c r="A983">
        <f>Skills!A11</f>
        <v/>
      </c>
      <c r="B983">
        <f>Skills!B11</f>
        <v/>
      </c>
      <c r="C983">
        <f>Inputs!$B$3&gt;=69</f>
        <v/>
      </c>
      <c r="D983">
        <f>IF(Skills!C11=1,60+Inputs!$B$26+Inputs!$B$30,IF(Skills!C11=2,90+Inputs!$B$27+Inputs!$B$30,IF(Skills!C11=3,120+Inputs!$B$28+Inputs!$B$30,MAX(0,(Inputs!$B$3-100)*3)+(Inputs!$B$29+1)+Inputs!$B$30)))</f>
        <v/>
      </c>
      <c r="E983">
        <f>INDEX(FactorTable!$B$2:$Y$301, MATCH(ROUND(MIN(300,MAX(1,D983)),0), FactorTable!$A$2:$A$301,0), Skills!L11+1)</f>
        <v/>
      </c>
      <c r="F983">
        <f>IF(Skills!M11=TRUE,(Skills!K11/10)*(E983/1000),Skills!K11/10)+Skills!N11</f>
        <v/>
      </c>
      <c r="G983">
        <f>Calc!G11</f>
        <v/>
      </c>
      <c r="H983">
        <f>Calc!H11</f>
        <v/>
      </c>
      <c r="I983">
        <f>IF(Skills!T11&lt;&gt;"",1+(Skills!T11/10)*($Z$3/1000)/100,1)</f>
        <v/>
      </c>
      <c r="J983" t="inlineStr"/>
      <c r="K983" t="inlineStr"/>
      <c r="L983" t="inlineStr"/>
      <c r="M983" t="inlineStr"/>
      <c r="N983" t="inlineStr"/>
      <c r="O983">
        <f>(1-Summary!$B$11)*S983+Summary!$B$11*U983</f>
        <v/>
      </c>
      <c r="P983">
        <f>IF(B1015=0,0,O983/B1015)</f>
        <v/>
      </c>
      <c r="Q983">
        <f>IFERROR(1/(IF(Inputs!$B$39="pvp",15,MAX(0.1,Skills!D11-IF(Skills!E11=TRUE,Inputs!$B$33,0)))*(1-IF(AND(ArtifactsInput!$M$27,Inputs!$B$4="Chapter Hunt"),CHOOSE(ArtifactsInput!$N$27+1,20,24,28,32,36,40),0)/100)),0)</f>
        <v/>
      </c>
      <c r="R983">
        <f>IF(AND(Inputs!$B$39&lt;&gt;"pvp",Inputs!$B$44&gt;0),IF(Inputs!$B$44&lt;=0,0,(INT(Inputs!$B$44/(IF(Inputs!$B$39="pvp",15,MAX(0.1,Skills!D11-IF(Skills!E11=TRUE,Inputs!$B$33,0)))*(1-IF(AND(ArtifactsInput!$M$27,Inputs!$B$4="Chapter Hunt"),CHOOSE(ArtifactsInput!$N$27+1,20,24,28,32,36,40),0)/100)))+1)),0)</f>
        <v/>
      </c>
      <c r="S983" t="n">
        <v>0</v>
      </c>
      <c r="U983" t="n">
        <v>0</v>
      </c>
    </row>
    <row r="984">
      <c r="A984">
        <f>Skills!A12</f>
        <v/>
      </c>
      <c r="B984">
        <f>Skills!B12</f>
        <v/>
      </c>
      <c r="C984">
        <f>Inputs!$B$3&gt;=72</f>
        <v/>
      </c>
      <c r="D984">
        <f>IF(Skills!C12=1,60+Inputs!$B$26+Inputs!$B$30,IF(Skills!C12=2,90+Inputs!$B$27+Inputs!$B$30,IF(Skills!C12=3,120+Inputs!$B$28+Inputs!$B$30,MAX(0,(Inputs!$B$3-100)*3)+(Inputs!$B$29+1)+Inputs!$B$30)))</f>
        <v/>
      </c>
      <c r="E984">
        <f>INDEX(FactorTable!$B$2:$Y$301, MATCH(ROUND(MIN(300,MAX(1,D984)),0), FactorTable!$A$2:$A$301,0), Skills!L12+1)</f>
        <v/>
      </c>
      <c r="F984">
        <f>IF(Skills!M12=TRUE,(Skills!K12/10)*(E984/1000),Skills!K12/10)+Skills!N12</f>
        <v/>
      </c>
      <c r="G984">
        <f>Calc!G12</f>
        <v/>
      </c>
      <c r="H984">
        <f>Calc!H12</f>
        <v/>
      </c>
      <c r="I984">
        <f>IF(Skills!T12&lt;&gt;"",1+(Skills!T12/10)*($Z$3/1000)/100,1)</f>
        <v/>
      </c>
      <c r="J984" t="inlineStr"/>
      <c r="K984" t="inlineStr"/>
      <c r="L984" t="inlineStr"/>
      <c r="M984" t="inlineStr"/>
      <c r="N984" t="inlineStr"/>
      <c r="O984">
        <f>(1-Summary!$B$11)*S984+Summary!$B$11*U984</f>
        <v/>
      </c>
      <c r="P984">
        <f>IF(B1015=0,0,O984/B1015)</f>
        <v/>
      </c>
      <c r="Q984">
        <f>IFERROR(1/(IF(Inputs!$B$39="pvp",15,MAX(0.1,Skills!D12-IF(Skills!E12=TRUE,Inputs!$B$33,0)))*(1-IF(AND(ArtifactsInput!$M$27,Inputs!$B$4="Chapter Hunt"),CHOOSE(ArtifactsInput!$N$27+1,20,24,28,32,36,40),0)/100)),0)</f>
        <v/>
      </c>
      <c r="R984">
        <f>IF(AND(Inputs!$B$39&lt;&gt;"pvp",Inputs!$B$44&gt;0),IF(MAX(0,Inputs!$B$44-B1012)&lt;=0,0,(INT(MAX(0,Inputs!$B$44-B1012)/(IF(Inputs!$B$39="pvp",15,MAX(0.1,Skills!D12-IF(Skills!E12=TRUE,Inputs!$B$33,0)))*(1-IF(AND(ArtifactsInput!$M$27,Inputs!$B$4="Chapter Hunt"),CHOOSE(ArtifactsInput!$N$27+1,20,24,28,32,36,40),0)/100)))+1)),0)</f>
        <v/>
      </c>
      <c r="S984" t="n">
        <v>0</v>
      </c>
      <c r="U984" t="n">
        <v>0</v>
      </c>
    </row>
    <row r="985">
      <c r="A985">
        <f>Skills!A13</f>
        <v/>
      </c>
      <c r="B985">
        <f>Skills!B13</f>
        <v/>
      </c>
      <c r="C985">
        <f>Inputs!$B$3&gt;=60</f>
        <v/>
      </c>
      <c r="D985">
        <f>IF(Skills!C13=1,60+Inputs!$B$26+Inputs!$B$30,IF(Skills!C13=2,90+Inputs!$B$27+Inputs!$B$30,IF(Skills!C13=3,120+Inputs!$B$28+Inputs!$B$30,MAX(0,(Inputs!$B$3-100)*3)+(Inputs!$B$29+1)+Inputs!$B$30)))</f>
        <v/>
      </c>
      <c r="E985">
        <f>INDEX(FactorTable!$B$2:$Y$301, MATCH(ROUND(MIN(300,MAX(1,D985)),0), FactorTable!$A$2:$A$301,0), Skills!L13+1)</f>
        <v/>
      </c>
      <c r="F985">
        <f>IF(Skills!M13=TRUE,(Skills!K13/10)*(E985/1000),Skills!K13/10)+Skills!N13</f>
        <v/>
      </c>
      <c r="G985">
        <f>Calc!G13</f>
        <v/>
      </c>
      <c r="H985">
        <f>Calc!H13</f>
        <v/>
      </c>
      <c r="I985">
        <f>IF(Skills!T13&lt;&gt;"",1+(Skills!T13/10)*($Z$3/1000)/100,1)</f>
        <v/>
      </c>
      <c r="J985" t="inlineStr"/>
      <c r="K985" t="inlineStr"/>
      <c r="L985" t="inlineStr"/>
      <c r="M985" t="inlineStr"/>
      <c r="N985" t="inlineStr"/>
      <c r="O985">
        <f>(1-Summary!$B$11)*S985+Summary!$B$11*U985</f>
        <v/>
      </c>
      <c r="P985">
        <f>IF(B1015=0,0,O985/B1015)</f>
        <v/>
      </c>
      <c r="Q985">
        <f>IFERROR(1/(IF(Inputs!$B$39="pvp",15,MAX(0.1,Skills!D13-IF(Skills!E13=TRUE,Inputs!$B$33,0)))*(1-IF(AND(ArtifactsInput!$M$27,Inputs!$B$4="Chapter Hunt"),CHOOSE(ArtifactsInput!$N$27+1,20,24,28,32,36,40),0)/100)),0)</f>
        <v/>
      </c>
      <c r="R985">
        <f>IF(AND(Inputs!$B$39&lt;&gt;"pvp",Inputs!$B$44&gt;0),IF(MAX(0,Inputs!$B$44-B1012)&lt;=0,0,(INT(MAX(0,Inputs!$B$44-B1012)/(IF(Inputs!$B$39="pvp",15,MAX(0.1,Skills!D13-IF(Skills!E13=TRUE,Inputs!$B$33,0)))*(1-IF(AND(ArtifactsInput!$M$27,Inputs!$B$4="Chapter Hunt"),CHOOSE(ArtifactsInput!$N$27+1,20,24,28,32,36,40),0)/100)))+1)),0)</f>
        <v/>
      </c>
      <c r="S985" t="n">
        <v>0</v>
      </c>
      <c r="U985" t="n">
        <v>0</v>
      </c>
    </row>
    <row r="986">
      <c r="A986">
        <f>Skills!A14</f>
        <v/>
      </c>
      <c r="B986">
        <f>Skills!B14</f>
        <v/>
      </c>
      <c r="C986">
        <f>Inputs!$B$3&gt;=107</f>
        <v/>
      </c>
      <c r="D986">
        <f>IF(Skills!C14=1,60+Inputs!$B$26+Inputs!$B$30,IF(Skills!C14=2,90+Inputs!$B$27+Inputs!$B$30,IF(Skills!C14=3,120+Inputs!$B$28+Inputs!$B$30,MAX(0,(Inputs!$B$3-100)*3)+(Inputs!$B$29+1)+Inputs!$B$30)))</f>
        <v/>
      </c>
      <c r="E986">
        <f>INDEX(FactorTable!$B$2:$Y$301, MATCH(ROUND(MIN(300,MAX(1,D986)),0), FactorTable!$A$2:$A$301,0), Skills!L14+1)</f>
        <v/>
      </c>
      <c r="F986">
        <f>IF(Skills!M14=TRUE,(Skills!K14/10)*(E986/1000),Skills!K14/10)+Skills!N14</f>
        <v/>
      </c>
      <c r="G986">
        <f>Calc!G14</f>
        <v/>
      </c>
      <c r="H986">
        <f>Calc!H14</f>
        <v/>
      </c>
      <c r="I986">
        <f>IF(Skills!T14&lt;&gt;"",1+(Skills!T14/10)*($Z$3/1000)/100,1)</f>
        <v/>
      </c>
      <c r="J986" t="inlineStr"/>
      <c r="K986" t="inlineStr"/>
      <c r="L986" t="inlineStr"/>
      <c r="M986" t="inlineStr"/>
      <c r="N986" t="inlineStr"/>
      <c r="O986">
        <f>(1-Summary!$B$11)*S986+Summary!$B$11*U986</f>
        <v/>
      </c>
      <c r="P986">
        <f>IF(B1015=0,0,O986/B1015)</f>
        <v/>
      </c>
      <c r="Q986">
        <f>IFERROR(1/(IF(Inputs!$B$39="pvp",15,MAX(0.1,Skills!D14-IF(Skills!E14=TRUE,Inputs!$B$33,0)))*(1-IF(AND(ArtifactsInput!$M$27,Inputs!$B$4="Chapter Hunt"),CHOOSE(ArtifactsInput!$N$27+1,20,24,28,32,36,40),0)/100)),0)</f>
        <v/>
      </c>
      <c r="R986">
        <f>IF(AND(Inputs!$B$39&lt;&gt;"pvp",Inputs!$B$44&gt;0),IF(Inputs!$B$44&lt;=0,0,(INT(Inputs!$B$44/(IF(Inputs!$B$39="pvp",15,MAX(0.1,Skills!D14-IF(Skills!E14=TRUE,Inputs!$B$33,0)))*(1-IF(AND(ArtifactsInput!$M$27,Inputs!$B$4="Chapter Hunt"),CHOOSE(ArtifactsInput!$N$27+1,20,24,28,32,36,40),0)/100)))+1)),0)</f>
        <v/>
      </c>
      <c r="S986" t="n">
        <v>0</v>
      </c>
      <c r="U986" t="n">
        <v>0</v>
      </c>
    </row>
    <row r="987">
      <c r="A987">
        <f>Skills!A15</f>
        <v/>
      </c>
      <c r="B987">
        <f>Skills!B15</f>
        <v/>
      </c>
      <c r="C987">
        <f>Inputs!$B$3&gt;=63</f>
        <v/>
      </c>
      <c r="D987">
        <f>IF(Skills!C15=1,60+Inputs!$B$26+Inputs!$B$30,IF(Skills!C15=2,90+Inputs!$B$27+Inputs!$B$30,IF(Skills!C15=3,120+Inputs!$B$28+Inputs!$B$30,MAX(0,(Inputs!$B$3-100)*3)+(Inputs!$B$29+1)+Inputs!$B$30)))</f>
        <v/>
      </c>
      <c r="E987">
        <f>INDEX(FactorTable!$B$2:$Y$301, MATCH(ROUND(MIN(300,MAX(1,D987)),0), FactorTable!$A$2:$A$301,0), Skills!L15+1)</f>
        <v/>
      </c>
      <c r="F987">
        <f>IF(Skills!M15=TRUE,(Skills!K15/10)*(E987/1000),Skills!K15/10)+Skills!N15</f>
        <v/>
      </c>
      <c r="G987">
        <f>Calc!G15</f>
        <v/>
      </c>
      <c r="H987">
        <f>Calc!H15</f>
        <v/>
      </c>
      <c r="I987">
        <f>IF(Skills!T15&lt;&gt;"",1+(Skills!T15/10)*($Z$3/1000)/100,1)</f>
        <v/>
      </c>
      <c r="J987">
        <f>((Inputs!$B$6*(1+Inputs!$B$7/100))+(((Inputs!$B$13*(1+Inputs!$B$14/100))-(Inputs!$B$13*(1+Inputs!$B$14/100)))+0.25*(Inputs!$B$15-Inputs!$B$15))*(1+Inputs!$B$7/100))*(F987/100)</f>
        <v/>
      </c>
      <c r="K987">
        <f>J987*(1+(((Inputs!$B$13+IF(Inputs!$B$3&gt;=35,(10*INDEX(FactorTable!$B$2:$Y$301,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15="TRIUMPH_FEATHER",IF(C988=TRUE,F988,0),0)/100)*(1+IF(C999=TRUE,F999,0)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987)</f>
        <v/>
      </c>
      <c r="L987">
        <f>K987*(MIN(Inputs!$B$23+(F994-Calc!F22),(Inputs!$B$24+IF(ArtifactsInput!$M$15,CHOOSE(ArtifactsInput!$N$15+1,25,30,35,40,45,50)/100*(Inputs!$B$12-Inputs!$B$12),0)))/100+(Inputs!$B$24+IF(ArtifactsInput!$M$15,CHOOSE(ArtifactsInput!$N$15+1,25,30,35,40,45,50)/100*(Inputs!$B$12-Inputs!$B$12),0))/100)/2</f>
        <v/>
      </c>
      <c r="M987">
        <f>L987*(1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7">
        <f>L987*(1-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987*(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7">
        <f>(1-Summary!$B$11)*S987+Summary!$B$11*U987</f>
        <v/>
      </c>
      <c r="P987">
        <f>IF(B1015=0,0,O987/B1015)</f>
        <v/>
      </c>
      <c r="Q987">
        <f>IFERROR(1/(IF(Inputs!$B$39="pvp",15,MAX(0.1,Skills!D15-IF(Skills!E15=TRUE,Inputs!$B$33,0)))*(1-IF(AND(ArtifactsInput!$M$27,Inputs!$B$4="Chapter Hunt"),CHOOSE(ArtifactsInput!$N$27+1,20,24,28,32,36,40),0)/100)),0)</f>
        <v/>
      </c>
      <c r="R987" t="n">
        <v>0</v>
      </c>
      <c r="S987">
        <f>IF(C987,(Skills!F15*N987*((IF(Inputs!$B$3&gt;=78,25,15)/100*B1008*10)/(1+IF(Inputs!$B$3&gt;=78,25,15)/100*B1008*10))*(Skills!I15/100*B1008)/(1+Skills!G15*Skills!I15/100*B1008))*IF(Inputs!$B$39="pvp",1,1+(Inputs!$B$21+Skills!O15+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987*(1-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987*(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987*(1-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987*(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7">
        <f>IF(C987,(Skills!F15*N987*((IF(Inputs!$B$3&gt;=78,25,15)/100*B1008*10)/(1+IF(Inputs!$B$3&gt;=78,25,15)/100*B1008*10))*(Skills!I15/100*B1008)/(1+Skills!G15*Skills!I15/100*B1008))*IF(Inputs!$B$39="pvp",1,(1+(Inputs!$B$22+Skills!P15+B1004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8">
      <c r="A988">
        <f>Skills!A16</f>
        <v/>
      </c>
      <c r="B988">
        <f>Skills!B16</f>
        <v/>
      </c>
      <c r="C988">
        <f>Inputs!$B$3&gt;=100</f>
        <v/>
      </c>
      <c r="D988">
        <f>IF(Skills!C16=1,60+Inputs!$B$26+Inputs!$B$30,IF(Skills!C16=2,90+Inputs!$B$27+Inputs!$B$30,IF(Skills!C16=3,120+Inputs!$B$28+Inputs!$B$30,MAX(0,(Inputs!$B$3-100)*3)+(Inputs!$B$29+1)+Inputs!$B$30)))</f>
        <v/>
      </c>
      <c r="E988">
        <f>INDEX(FactorTable!$B$2:$Y$301, MATCH(ROUND(MIN(300,MAX(1,D988)),0), FactorTable!$A$2:$A$301,0), Skills!L16+1)</f>
        <v/>
      </c>
      <c r="F988">
        <f>IF(Skills!M16=TRUE,(Skills!K16/10)*(E988/1000),Skills!K16/10)+Skills!N16</f>
        <v/>
      </c>
      <c r="G988">
        <f>Calc!G16</f>
        <v/>
      </c>
      <c r="H988">
        <f>Calc!H16</f>
        <v/>
      </c>
      <c r="I988">
        <f>IF(Skills!T16&lt;&gt;"",1+(Skills!T16/10)*($Z$3/1000)/100,1)</f>
        <v/>
      </c>
      <c r="J988" t="inlineStr"/>
      <c r="K988" t="inlineStr"/>
      <c r="L988" t="inlineStr"/>
      <c r="M988" t="inlineStr"/>
      <c r="N988" t="inlineStr"/>
      <c r="O988">
        <f>(1-Summary!$B$11)*S988+Summary!$B$11*U988</f>
        <v/>
      </c>
      <c r="P988">
        <f>IF(B1015=0,0,O988/B1015)</f>
        <v/>
      </c>
      <c r="Q988">
        <f>IFERROR(1/(IF(Inputs!$B$39="pvp",15,MAX(0.1,Skills!D16-IF(Skills!E16=TRUE,Inputs!$B$33,0)))*(1-IF(AND(ArtifactsInput!$M$27,Inputs!$B$4="Chapter Hunt"),CHOOSE(ArtifactsInput!$N$27+1,20,24,28,32,36,40),0)/100)),0)</f>
        <v/>
      </c>
      <c r="R988" t="n">
        <v>0</v>
      </c>
      <c r="S988" t="n">
        <v>0</v>
      </c>
      <c r="U988" t="n">
        <v>0</v>
      </c>
    </row>
    <row r="989">
      <c r="A989">
        <f>Skills!A17</f>
        <v/>
      </c>
      <c r="B989">
        <f>Skills!B17</f>
        <v/>
      </c>
      <c r="C989">
        <f>Inputs!$B$3&gt;=49</f>
        <v/>
      </c>
      <c r="D989">
        <f>IF(Skills!C17=1,60+Inputs!$B$26+Inputs!$B$30,IF(Skills!C17=2,90+Inputs!$B$27+Inputs!$B$30,IF(Skills!C17=3,120+Inputs!$B$28+Inputs!$B$30,MAX(0,(Inputs!$B$3-100)*3)+(Inputs!$B$29+1)+Inputs!$B$30)))</f>
        <v/>
      </c>
      <c r="E989">
        <f>INDEX(FactorTable!$B$2:$Y$301, MATCH(ROUND(MIN(300,MAX(1,D989)),0), FactorTable!$A$2:$A$301,0), Skills!L17+1)</f>
        <v/>
      </c>
      <c r="F989">
        <f>IF(Skills!M17=TRUE,(Skills!K17/10)*(E989/1000),Skills!K17/10)+Skills!N17</f>
        <v/>
      </c>
      <c r="G989">
        <f>Calc!G17</f>
        <v/>
      </c>
      <c r="H989">
        <f>Calc!H17</f>
        <v/>
      </c>
      <c r="I989">
        <f>IF(Skills!T17&lt;&gt;"",1+(Skills!T17/10)*($Z$3/1000)/100,1)</f>
        <v/>
      </c>
      <c r="J989" t="inlineStr"/>
      <c r="K989" t="inlineStr"/>
      <c r="L989" t="inlineStr"/>
      <c r="M989" t="inlineStr"/>
      <c r="N989" t="inlineStr"/>
      <c r="O989">
        <f>(1-Summary!$B$11)*S989+Summary!$B$11*U989</f>
        <v/>
      </c>
      <c r="P989">
        <f>IF(B1015=0,0,O989/B1015)</f>
        <v/>
      </c>
      <c r="Q989">
        <f>IFERROR(1/(IF(Inputs!$B$39="pvp",15,MAX(0.1,Skills!D17-IF(Skills!E17=TRUE,Inputs!$B$33,0)))*(1-IF(AND(ArtifactsInput!$M$27,Inputs!$B$4="Chapter Hunt"),CHOOSE(ArtifactsInput!$N$27+1,20,24,28,32,36,40),0)/100)),0)</f>
        <v/>
      </c>
      <c r="R989" t="n">
        <v>0</v>
      </c>
      <c r="S989" t="n">
        <v>0</v>
      </c>
      <c r="U989" t="n">
        <v>0</v>
      </c>
    </row>
    <row r="990">
      <c r="A990">
        <f>Skills!A18</f>
        <v/>
      </c>
      <c r="B990">
        <f>Skills!B18</f>
        <v/>
      </c>
      <c r="C990">
        <f>Inputs!$B$3&gt;=75</f>
        <v/>
      </c>
      <c r="D990">
        <f>IF(Skills!C18=1,60+Inputs!$B$26+Inputs!$B$30,IF(Skills!C18=2,90+Inputs!$B$27+Inputs!$B$30,IF(Skills!C18=3,120+Inputs!$B$28+Inputs!$B$30,MAX(0,(Inputs!$B$3-100)*3)+(Inputs!$B$29+1)+Inputs!$B$30)))</f>
        <v/>
      </c>
      <c r="E990">
        <f>INDEX(FactorTable!$B$2:$Y$301, MATCH(ROUND(MIN(300,MAX(1,D990)),0), FactorTable!$A$2:$A$301,0), Skills!L18+1)</f>
        <v/>
      </c>
      <c r="F990">
        <f>IF(Skills!M18=TRUE,(Skills!K18/10)*(E990/1000),Skills!K18/10)+Skills!N18</f>
        <v/>
      </c>
      <c r="G990">
        <f>Calc!G18</f>
        <v/>
      </c>
      <c r="H990">
        <f>Calc!H18</f>
        <v/>
      </c>
      <c r="I990">
        <f>IF(Skills!T18&lt;&gt;"",1+(Skills!T18/10)*($Z$3/1000)/100,1)</f>
        <v/>
      </c>
      <c r="J990" t="inlineStr"/>
      <c r="K990" t="inlineStr"/>
      <c r="L990" t="inlineStr"/>
      <c r="M990" t="inlineStr"/>
      <c r="N990" t="inlineStr"/>
      <c r="O990">
        <f>(1-Summary!$B$11)*S990+Summary!$B$11*U990</f>
        <v/>
      </c>
      <c r="P990">
        <f>IF(B1015=0,0,O990/B1015)</f>
        <v/>
      </c>
      <c r="Q990">
        <f>IFERROR(1/(IF(Inputs!$B$39="pvp",15,MAX(0.1,Skills!D18-IF(Skills!E18=TRUE,Inputs!$B$33,0)))*(1-IF(AND(ArtifactsInput!$M$27,Inputs!$B$4="Chapter Hunt"),CHOOSE(ArtifactsInput!$N$27+1,20,24,28,32,36,40),0)/100)),0)</f>
        <v/>
      </c>
      <c r="R990" t="n">
        <v>0</v>
      </c>
      <c r="S990" t="n">
        <v>0</v>
      </c>
      <c r="U990" t="n">
        <v>0</v>
      </c>
    </row>
    <row r="991">
      <c r="A991">
        <f>Skills!A19</f>
        <v/>
      </c>
      <c r="B991">
        <f>Skills!B19</f>
        <v/>
      </c>
      <c r="C991">
        <f>Inputs!$B$3&gt;=110</f>
        <v/>
      </c>
      <c r="D991">
        <f>IF(Skills!C19=1,60+Inputs!$B$26+Inputs!$B$30,IF(Skills!C19=2,90+Inputs!$B$27+Inputs!$B$30,IF(Skills!C19=3,120+Inputs!$B$28+Inputs!$B$30,MAX(0,(Inputs!$B$3-100)*3)+(Inputs!$B$29+1)+Inputs!$B$30)))</f>
        <v/>
      </c>
      <c r="E991">
        <f>INDEX(FactorTable!$B$2:$Y$301, MATCH(ROUND(MIN(300,MAX(1,D991)),0), FactorTable!$A$2:$A$301,0), Skills!L19+1)</f>
        <v/>
      </c>
      <c r="F991">
        <f>(Skills!K19/10)*(E991/1000)*64/45+Skills!N19</f>
        <v/>
      </c>
      <c r="G991">
        <f>Calc!G19</f>
        <v/>
      </c>
      <c r="H991">
        <f>Calc!H19</f>
        <v/>
      </c>
      <c r="I991">
        <f>IF(Skills!T19&lt;&gt;"",1+(Skills!T19/10)*($Z$3/1000)/100,1)</f>
        <v/>
      </c>
      <c r="J991" t="inlineStr"/>
      <c r="K991" t="inlineStr"/>
      <c r="L991" t="inlineStr"/>
      <c r="M991" t="inlineStr"/>
      <c r="N991" t="inlineStr"/>
      <c r="O991">
        <f>(1-Summary!$B$11)*S991+Summary!$B$11*U991</f>
        <v/>
      </c>
      <c r="P991">
        <f>IF(B1015=0,0,O991/B1015)</f>
        <v/>
      </c>
      <c r="Q991">
        <f>IFERROR(1/(IF(Inputs!$B$39="pvp",15,MAX(0.1,Skills!D19-IF(Skills!E19=TRUE,Inputs!$B$33,0)))*(1-IF(AND(ArtifactsInput!$M$27,Inputs!$B$4="Chapter Hunt"),CHOOSE(ArtifactsInput!$N$27+1,20,24,28,32,36,40),0)/100)),0)</f>
        <v/>
      </c>
      <c r="R991">
        <f>IF(AND(Inputs!$B$39&lt;&gt;"pvp",Inputs!$B$44&gt;0),IF(Inputs!$B$44&lt;=0,0,(INT(Inputs!$B$44/(IF(Inputs!$B$39="pvp",15,MAX(0.1,Skills!D19-IF(Skills!E19=TRUE,Inputs!$B$33,0)))*(1-IF(AND(ArtifactsInput!$M$27,Inputs!$B$4="Chapter Hunt"),CHOOSE(ArtifactsInput!$N$27+1,20,24,28,32,36,40),0)/100)))+1)),0)</f>
        <v/>
      </c>
      <c r="S991" t="n">
        <v>0</v>
      </c>
      <c r="U991" t="n">
        <v>0</v>
      </c>
    </row>
    <row r="992">
      <c r="A992">
        <f>Skills!A20</f>
        <v/>
      </c>
      <c r="B992">
        <f>Skills!B20</f>
        <v/>
      </c>
      <c r="C992">
        <f>Inputs!$B$3&gt;=125</f>
        <v/>
      </c>
      <c r="D992">
        <f>IF(Skills!C20=1,60+Inputs!$B$26+Inputs!$B$30,IF(Skills!C20=2,90+Inputs!$B$27+Inputs!$B$30,IF(Skills!C20=3,120+Inputs!$B$28+Inputs!$B$30,MAX(0,(Inputs!$B$3-100)*3)+(Inputs!$B$29+1)+Inputs!$B$30)))</f>
        <v/>
      </c>
      <c r="E992">
        <f>INDEX(FactorTable!$B$2:$Y$301, MATCH(ROUND(MIN(300,MAX(1,D992)),0), FactorTable!$A$2:$A$301,0), Skills!L20+1)</f>
        <v/>
      </c>
      <c r="F992">
        <f>IF(Skills!M20=TRUE,(Skills!K20/10)*(E992/1000),Skills!K20/10)+Skills!N20</f>
        <v/>
      </c>
      <c r="G992">
        <f>Calc!G20</f>
        <v/>
      </c>
      <c r="H992">
        <f>Calc!H20</f>
        <v/>
      </c>
      <c r="I992">
        <f>IF(Skills!T20&lt;&gt;"",1+(Skills!T20/10)*($Z$3/1000)/100,1)</f>
        <v/>
      </c>
      <c r="J992" t="inlineStr"/>
      <c r="K992" t="inlineStr"/>
      <c r="L992" t="inlineStr"/>
      <c r="M992" t="inlineStr"/>
      <c r="N992" t="inlineStr"/>
      <c r="O992">
        <f>(1-Summary!$B$11)*S992+Summary!$B$11*U992</f>
        <v/>
      </c>
      <c r="P992">
        <f>IF(B1015=0,0,O992/B1015)</f>
        <v/>
      </c>
      <c r="Q992">
        <f>IFERROR(1/(IF(Inputs!$B$39="pvp",15,MAX(0.1,Skills!D20-IF(Skills!E20=TRUE,Inputs!$B$33,0)))*(1-IF(AND(ArtifactsInput!$M$27,Inputs!$B$4="Chapter Hunt"),CHOOSE(ArtifactsInput!$N$27+1,20,24,28,32,36,40),0)/100)),0)</f>
        <v/>
      </c>
      <c r="R992" t="n">
        <v>0</v>
      </c>
      <c r="S992" t="n">
        <v>0</v>
      </c>
      <c r="U992" t="n">
        <v>0</v>
      </c>
    </row>
    <row r="993">
      <c r="A993">
        <f>Skills!A21</f>
        <v/>
      </c>
      <c r="B993">
        <f>Skills!B21</f>
        <v/>
      </c>
      <c r="C993">
        <f>Inputs!$B$3&gt;=33</f>
        <v/>
      </c>
      <c r="D993">
        <f>IF(Skills!C21=1,60+Inputs!$B$26+Inputs!$B$30,IF(Skills!C21=2,90+Inputs!$B$27+Inputs!$B$30,IF(Skills!C21=3,120+Inputs!$B$28+Inputs!$B$30,MAX(0,(Inputs!$B$3-100)*3)+(Inputs!$B$29+1)+Inputs!$B$30)))</f>
        <v/>
      </c>
      <c r="E993">
        <f>INDEX(FactorTable!$B$2:$Y$301, MATCH(ROUND(MIN(300,MAX(1,D993)),0), FactorTable!$A$2:$A$301,0), Skills!L21+1)</f>
        <v/>
      </c>
      <c r="F993">
        <f>IF(Skills!M21=TRUE,(Skills!K21/10)*(E993/1000),Skills!K21/10)+Skills!N21</f>
        <v/>
      </c>
      <c r="G993">
        <f>Calc!G21</f>
        <v/>
      </c>
      <c r="H993">
        <f>Calc!H21</f>
        <v/>
      </c>
      <c r="I993">
        <f>IF(Skills!T21&lt;&gt;"",1+(Skills!T21/10)*($Z$3/1000)/100,1)</f>
        <v/>
      </c>
      <c r="J993" t="inlineStr"/>
      <c r="K993" t="inlineStr"/>
      <c r="L993" t="inlineStr"/>
      <c r="M993" t="inlineStr"/>
      <c r="N993" t="inlineStr"/>
      <c r="O993">
        <f>(1-Summary!$B$11)*S993+Summary!$B$11*U993</f>
        <v/>
      </c>
      <c r="P993">
        <f>IF(B1015=0,0,O993/B1015)</f>
        <v/>
      </c>
      <c r="Q993">
        <f>IFERROR(1/(IF(Inputs!$B$39="pvp",15,MAX(0.1,Skills!D21-IF(Skills!E21=TRUE,Inputs!$B$33,0)))*(1-IF(AND(ArtifactsInput!$M$27,Inputs!$B$4="Chapter Hunt"),CHOOSE(ArtifactsInput!$N$27+1,20,24,28,32,36,40),0)/100)),0)</f>
        <v/>
      </c>
      <c r="R993" t="n">
        <v>0</v>
      </c>
      <c r="S993" t="n">
        <v>0</v>
      </c>
      <c r="U993" t="n">
        <v>0</v>
      </c>
    </row>
    <row r="994">
      <c r="A994">
        <f>Skills!A22</f>
        <v/>
      </c>
      <c r="B994">
        <f>Skills!B22</f>
        <v/>
      </c>
      <c r="C994">
        <f>Inputs!$B$3&gt;=43</f>
        <v/>
      </c>
      <c r="D994">
        <f>IF(Skills!C22=1,60+Inputs!$B$26+Inputs!$B$30,IF(Skills!C22=2,90+Inputs!$B$27+Inputs!$B$30,IF(Skills!C22=3,120+Inputs!$B$28+Inputs!$B$30,MAX(0,(Inputs!$B$3-100)*3)+(Inputs!$B$29+1)+Inputs!$B$30)))</f>
        <v/>
      </c>
      <c r="E994">
        <f>INDEX(FactorTable!$B$2:$Y$301, MATCH(ROUND(MIN(300,MAX(1,D994)),0), FactorTable!$A$2:$A$301,0), Skills!L22+1)</f>
        <v/>
      </c>
      <c r="F994">
        <f>IF(Skills!M22=TRUE,(Skills!K22/10)*(E994/1000),Skills!K22/10)+Skills!N22</f>
        <v/>
      </c>
      <c r="G994">
        <f>Calc!G22</f>
        <v/>
      </c>
      <c r="H994">
        <f>Calc!H22</f>
        <v/>
      </c>
      <c r="I994">
        <f>IF(Skills!T22&lt;&gt;"",1+(Skills!T22/10)*($Z$3/1000)/100,1)</f>
        <v/>
      </c>
      <c r="J994" t="inlineStr"/>
      <c r="K994" t="inlineStr"/>
      <c r="L994" t="inlineStr"/>
      <c r="M994" t="inlineStr"/>
      <c r="N994" t="inlineStr"/>
      <c r="O994">
        <f>(1-Summary!$B$11)*S994+Summary!$B$11*U994</f>
        <v/>
      </c>
      <c r="P994">
        <f>IF(B1015=0,0,O994/B1015)</f>
        <v/>
      </c>
      <c r="Q994">
        <f>IFERROR(1/(IF(Inputs!$B$39="pvp",15,MAX(0.1,Skills!D22-IF(Skills!E22=TRUE,Inputs!$B$33,0)))*(1-IF(AND(ArtifactsInput!$M$27,Inputs!$B$4="Chapter Hunt"),CHOOSE(ArtifactsInput!$N$27+1,20,24,28,32,36,40),0)/100)),0)</f>
        <v/>
      </c>
      <c r="R994" t="n">
        <v>0</v>
      </c>
      <c r="S994" t="n">
        <v>0</v>
      </c>
      <c r="U994" t="n">
        <v>0</v>
      </c>
    </row>
    <row r="995">
      <c r="A995">
        <f>Skills!A23</f>
        <v/>
      </c>
      <c r="B995">
        <f>Skills!B23</f>
        <v/>
      </c>
      <c r="C995">
        <f>Inputs!$B$3&gt;=50</f>
        <v/>
      </c>
      <c r="D995">
        <f>IF(Skills!C23=1,60+Inputs!$B$26+Inputs!$B$30,IF(Skills!C23=2,90+Inputs!$B$27+Inputs!$B$30,IF(Skills!C23=3,120+Inputs!$B$28+Inputs!$B$30,MAX(0,(Inputs!$B$3-100)*3)+(Inputs!$B$29+1)+Inputs!$B$30)))</f>
        <v/>
      </c>
      <c r="E995">
        <f>INDEX(FactorTable!$B$2:$Y$301, MATCH(ROUND(MIN(300,MAX(1,D995)),0), FactorTable!$A$2:$A$301,0), Skills!L23+1)</f>
        <v/>
      </c>
      <c r="F995">
        <f>IF(Skills!M23=TRUE,(Skills!K23/10)*(E995/1000),Skills!K23/10)+Skills!N23</f>
        <v/>
      </c>
      <c r="G995">
        <f>Calc!G23</f>
        <v/>
      </c>
      <c r="H995">
        <f>Calc!H23</f>
        <v/>
      </c>
      <c r="I995">
        <f>IF(Skills!T23&lt;&gt;"",1+(Skills!T23/10)*($Z$3/1000)/100,1)</f>
        <v/>
      </c>
      <c r="J995" t="inlineStr"/>
      <c r="K995" t="inlineStr"/>
      <c r="L995" t="inlineStr"/>
      <c r="M995" t="inlineStr"/>
      <c r="N995" t="inlineStr"/>
      <c r="O995">
        <f>(1-Summary!$B$11)*S995+Summary!$B$11*U995</f>
        <v/>
      </c>
      <c r="P995">
        <f>IF(B1015=0,0,O995/B1015)</f>
        <v/>
      </c>
      <c r="Q995">
        <f>IFERROR(1/(IF(Inputs!$B$39="pvp",15,MAX(0.1,Skills!D23-IF(Skills!E23=TRUE,Inputs!$B$33,0)))*(1-IF(AND(ArtifactsInput!$M$27,Inputs!$B$4="Chapter Hunt"),CHOOSE(ArtifactsInput!$N$27+1,20,24,28,32,36,40),0)/100)),0)</f>
        <v/>
      </c>
      <c r="R995" t="n">
        <v>0</v>
      </c>
      <c r="S995" t="n">
        <v>0</v>
      </c>
      <c r="U995" t="n">
        <v>0</v>
      </c>
    </row>
    <row r="996">
      <c r="A996">
        <f>Skills!A24</f>
        <v/>
      </c>
      <c r="B996">
        <f>Skills!B24</f>
        <v/>
      </c>
      <c r="C996">
        <f>Inputs!$B$3&gt;=74</f>
        <v/>
      </c>
      <c r="D996">
        <f>IF(Skills!C24=1,60+Inputs!$B$26+Inputs!$B$30,IF(Skills!C24=2,90+Inputs!$B$27+Inputs!$B$30,IF(Skills!C24=3,120+Inputs!$B$28+Inputs!$B$30,MAX(0,(Inputs!$B$3-100)*3)+(Inputs!$B$29+1)+Inputs!$B$30)))</f>
        <v/>
      </c>
      <c r="E996">
        <f>INDEX(FactorTable!$B$2:$Y$301, MATCH(ROUND(MIN(300,MAX(1,D996)),0), FactorTable!$A$2:$A$301,0), Skills!L24+1)</f>
        <v/>
      </c>
      <c r="F996">
        <f>IF(Skills!M24=TRUE,(Skills!K24/10)*(E996/1000),Skills!K24/10)+Skills!N24</f>
        <v/>
      </c>
      <c r="G996">
        <f>Calc!G24</f>
        <v/>
      </c>
      <c r="H996">
        <f>Calc!H24</f>
        <v/>
      </c>
      <c r="I996">
        <f>IF(Skills!T24&lt;&gt;"",1+(Skills!T24/10)*($Z$3/1000)/100,1)</f>
        <v/>
      </c>
      <c r="J996" t="inlineStr"/>
      <c r="K996" t="inlineStr"/>
      <c r="L996" t="inlineStr"/>
      <c r="M996" t="inlineStr"/>
      <c r="N996" t="inlineStr"/>
      <c r="O996">
        <f>(1-Summary!$B$11)*S996+Summary!$B$11*U996</f>
        <v/>
      </c>
      <c r="P996">
        <f>IF(B1015=0,0,O996/B1015)</f>
        <v/>
      </c>
      <c r="Q996">
        <f>IFERROR(1/(IF(Inputs!$B$39="pvp",15,MAX(0.1,Skills!D24-IF(Skills!E24=TRUE,Inputs!$B$33,0)))*(1-IF(AND(ArtifactsInput!$M$27,Inputs!$B$4="Chapter Hunt"),CHOOSE(ArtifactsInput!$N$27+1,20,24,28,32,36,40),0)/100)),0)</f>
        <v/>
      </c>
      <c r="R996" t="n">
        <v>0</v>
      </c>
      <c r="S996" t="n">
        <v>0</v>
      </c>
      <c r="U996" t="n">
        <v>0</v>
      </c>
    </row>
    <row r="997">
      <c r="A997">
        <f>Skills!A25</f>
        <v/>
      </c>
      <c r="B997">
        <f>Skills!B25</f>
        <v/>
      </c>
      <c r="C997">
        <f>Inputs!$B$3&gt;=74</f>
        <v/>
      </c>
      <c r="D997">
        <f>IF(Skills!C25=1,60+Inputs!$B$26+Inputs!$B$30,IF(Skills!C25=2,90+Inputs!$B$27+Inputs!$B$30,IF(Skills!C25=3,120+Inputs!$B$28+Inputs!$B$30,MAX(0,(Inputs!$B$3-100)*3)+(Inputs!$B$29+1)+Inputs!$B$30)))</f>
        <v/>
      </c>
      <c r="E997">
        <f>INDEX(FactorTable!$B$2:$Y$301, MATCH(ROUND(MIN(300,MAX(1,D997)),0), FactorTable!$A$2:$A$301,0), Skills!L25+1)</f>
        <v/>
      </c>
      <c r="F997">
        <f>IF(Skills!M25=TRUE,(Skills!K25/10)*(E997/1000),Skills!K25/10)+Skills!N25</f>
        <v/>
      </c>
      <c r="G997">
        <f>Calc!G25</f>
        <v/>
      </c>
      <c r="H997">
        <f>Calc!H25</f>
        <v/>
      </c>
      <c r="I997">
        <f>IF(Skills!T25&lt;&gt;"",1+(Skills!T25/10)*($Z$3/1000)/100,1)</f>
        <v/>
      </c>
      <c r="J997" t="inlineStr"/>
      <c r="K997" t="inlineStr"/>
      <c r="L997" t="inlineStr"/>
      <c r="M997" t="inlineStr"/>
      <c r="N997" t="inlineStr"/>
      <c r="O997">
        <f>(1-Summary!$B$11)*S997+Summary!$B$11*U997</f>
        <v/>
      </c>
      <c r="P997">
        <f>IF(B1015=0,0,O997/B1015)</f>
        <v/>
      </c>
      <c r="Q997">
        <f>IFERROR(1/(IF(Inputs!$B$39="pvp",15,MAX(0.1,Skills!D25-IF(Skills!E25=TRUE,Inputs!$B$33,0)))*(1-IF(AND(ArtifactsInput!$M$27,Inputs!$B$4="Chapter Hunt"),CHOOSE(ArtifactsInput!$N$27+1,20,24,28,32,36,40),0)/100)),0)</f>
        <v/>
      </c>
      <c r="R997" t="n">
        <v>0</v>
      </c>
      <c r="S997" t="n">
        <v>0</v>
      </c>
      <c r="U997" t="n">
        <v>0</v>
      </c>
    </row>
    <row r="998">
      <c r="A998">
        <f>Skills!A26</f>
        <v/>
      </c>
      <c r="B998">
        <f>Skills!B26</f>
        <v/>
      </c>
      <c r="C998">
        <f>Inputs!$B$3&gt;=117</f>
        <v/>
      </c>
      <c r="D998">
        <f>IF(Skills!C26=1,60+Inputs!$B$26+Inputs!$B$30,IF(Skills!C26=2,90+Inputs!$B$27+Inputs!$B$30,IF(Skills!C26=3,120+Inputs!$B$28+Inputs!$B$30,MAX(0,(Inputs!$B$3-100)*3)+(Inputs!$B$29+1)+Inputs!$B$30)))</f>
        <v/>
      </c>
      <c r="E998">
        <f>INDEX(FactorTable!$B$2:$Y$301, MATCH(ROUND(MIN(300,MAX(1,D998)),0), FactorTable!$A$2:$A$301,0), Skills!L26+1)</f>
        <v/>
      </c>
      <c r="F998">
        <f>IF(Skills!M26=TRUE,(Skills!K26/10)*(E998/1000),Skills!K26/10)+Skills!N26</f>
        <v/>
      </c>
      <c r="G998">
        <f>Calc!G26</f>
        <v/>
      </c>
      <c r="H998">
        <f>Calc!H26</f>
        <v/>
      </c>
      <c r="I998">
        <f>IF(Skills!T26&lt;&gt;"",1+(Skills!T26/10)*($Z$3/1000)/100,1)</f>
        <v/>
      </c>
      <c r="J998" t="inlineStr"/>
      <c r="K998" t="inlineStr"/>
      <c r="L998" t="inlineStr"/>
      <c r="M998" t="inlineStr"/>
      <c r="N998" t="inlineStr"/>
      <c r="O998">
        <f>(1-Summary!$B$11)*S998+Summary!$B$11*U998</f>
        <v/>
      </c>
      <c r="P998">
        <f>IF(B1015=0,0,O998/B1015)</f>
        <v/>
      </c>
      <c r="Q998">
        <f>IFERROR(1/(IF(Inputs!$B$39="pvp",15,MAX(0.1,Skills!D26-IF(Skills!E26=TRUE,Inputs!$B$33,0)))*(1-IF(AND(ArtifactsInput!$M$27,Inputs!$B$4="Chapter Hunt"),CHOOSE(ArtifactsInput!$N$27+1,20,24,28,32,36,40),0)/100)),0)</f>
        <v/>
      </c>
      <c r="R998" t="n">
        <v>0</v>
      </c>
      <c r="S998" t="n">
        <v>0</v>
      </c>
      <c r="U998" t="n">
        <v>0</v>
      </c>
    </row>
    <row r="999">
      <c r="A999">
        <f>Skills!A27</f>
        <v/>
      </c>
      <c r="B999">
        <f>Skills!B27</f>
        <v/>
      </c>
      <c r="C999">
        <f>Inputs!$B$3&gt;=120</f>
        <v/>
      </c>
      <c r="D999">
        <f>IF(Skills!C27=1,60+Inputs!$B$26+Inputs!$B$30,IF(Skills!C27=2,90+Inputs!$B$27+Inputs!$B$30,IF(Skills!C27=3,120+Inputs!$B$28+Inputs!$B$30,MAX(0,(Inputs!$B$3-100)*3)+(Inputs!$B$29+1)+Inputs!$B$30)))</f>
        <v/>
      </c>
      <c r="E999">
        <f>INDEX(FactorTable!$B$2:$Y$301, MATCH(ROUND(MIN(300,MAX(1,D999)),0), FactorTable!$A$2:$A$301,0), Skills!L27+1)</f>
        <v/>
      </c>
      <c r="F999">
        <f>IF(Skills!M27=TRUE,(Skills!K27/10)*(E999/1000),Skills!K27/10)+Skills!N27</f>
        <v/>
      </c>
      <c r="G999">
        <f>Calc!G27</f>
        <v/>
      </c>
      <c r="H999">
        <f>Calc!H27</f>
        <v/>
      </c>
      <c r="I999">
        <f>IF(Skills!T27&lt;&gt;"",1+(Skills!T27/10)*($Z$3/1000)/100,1)</f>
        <v/>
      </c>
      <c r="J999" t="inlineStr"/>
      <c r="K999" t="inlineStr"/>
      <c r="L999" t="inlineStr"/>
      <c r="M999" t="inlineStr"/>
      <c r="N999" t="inlineStr"/>
      <c r="O999">
        <f>(1-Summary!$B$11)*S999+Summary!$B$11*U999</f>
        <v/>
      </c>
      <c r="P999">
        <f>IF(B1015=0,0,O999/B1015)</f>
        <v/>
      </c>
      <c r="Q999">
        <f>IFERROR(1/(IF(Inputs!$B$39="pvp",15,MAX(0.1,Skills!D27-IF(Skills!E27=TRUE,Inputs!$B$33,0)))*(1-IF(AND(ArtifactsInput!$M$27,Inputs!$B$4="Chapter Hunt"),CHOOSE(ArtifactsInput!$N$27+1,20,24,28,32,36,40),0)/100)),0)</f>
        <v/>
      </c>
      <c r="R999" t="n">
        <v>0</v>
      </c>
      <c r="S999" t="n">
        <v>0</v>
      </c>
      <c r="U999" t="n">
        <v>0</v>
      </c>
    </row>
    <row r="1000">
      <c r="A1000">
        <f>Skills!A28</f>
        <v/>
      </c>
      <c r="B1000">
        <f>Skills!B28</f>
        <v/>
      </c>
      <c r="C1000">
        <f>TRUE</f>
        <v/>
      </c>
      <c r="D1000">
        <f>IF(Skills!C28=1,60+Inputs!$B$26+Inputs!$B$30,IF(Skills!C28=2,90+Inputs!$B$27+Inputs!$B$30,IF(Skills!C28=3,120+Inputs!$B$28+Inputs!$B$30,MAX(0,(Inputs!$B$3-100)*3)+(Inputs!$B$29+1)+Inputs!$B$30)))</f>
        <v/>
      </c>
      <c r="E1000">
        <f>INDEX(FactorTable!$B$2:$Y$301, MATCH(ROUND(MIN(300,MAX(1,D1000)),0), FactorTable!$A$2:$A$301,0), Skills!L28+1)</f>
        <v/>
      </c>
      <c r="F1000">
        <f>IF(Skills!M28=TRUE,(Skills!K28/10)*(E1000/1000),Skills!K28/10)+Skills!N28</f>
        <v/>
      </c>
      <c r="G1000">
        <f>Calc!G28</f>
        <v/>
      </c>
      <c r="H1000">
        <f>Calc!H28</f>
        <v/>
      </c>
      <c r="I1000">
        <f>IF(Skills!T28&lt;&gt;"",1+(Skills!T28/10)*($Z$3/1000)/100,1)</f>
        <v/>
      </c>
      <c r="J1000" t="inlineStr"/>
      <c r="K1000" t="inlineStr"/>
      <c r="L1000" t="inlineStr"/>
      <c r="M1000" t="inlineStr"/>
      <c r="N1000" t="inlineStr"/>
      <c r="O1000">
        <f>(1-Summary!$B$11)*S1000+Summary!$B$11*U1000</f>
        <v/>
      </c>
      <c r="P1000">
        <f>IF(B1015=0,0,O1000/B1015)</f>
        <v/>
      </c>
      <c r="Q1000">
        <f>IFERROR(1/(IF(Inputs!$B$39="pvp",15,MAX(0.1,Skills!D28-IF(Skills!E28=TRUE,Inputs!$B$33,0)))*(1-IF(AND(ArtifactsInput!$M$27,Inputs!$B$4="Chapter Hunt"),CHOOSE(ArtifactsInput!$N$27+1,20,24,28,32,36,40),0)/100)),0)</f>
        <v/>
      </c>
      <c r="R1000">
        <f>IF(AND(Inputs!$B$39&lt;&gt;"pvp",Inputs!$B$44&gt;0),IF(Inputs!$B$44&lt;=0,0,(INT(Inputs!$B$44/(IF(Inputs!$B$39="pvp",15,MAX(0.1,Skills!D28-IF(Skills!E28=TRUE,Inputs!$B$33,0)))*(1-IF(AND(ArtifactsInput!$M$27,Inputs!$B$4="Chapter Hunt"),CHOOSE(ArtifactsInput!$N$27+1,20,24,28,32,36,40),0)/100)))+1)),0)</f>
        <v/>
      </c>
      <c r="S1000" t="n">
        <v>0</v>
      </c>
      <c r="U1000" t="n">
        <v>0</v>
      </c>
    </row>
    <row r="1002">
      <c r="A1002" t="inlineStr">
        <is>
          <t>Average Buff Multiplier</t>
        </is>
      </c>
      <c r="B1002">
        <f>(1+(IF(C975=TRUE,F975*IF(AND(Inputs!$B$39&lt;&gt;"pvp",Inputs!$B$44&gt;0),(((R975-1)*(Skills!S3*(1+((Inputs!$B$35+(ArtifactsInput!$M$7-ArtifactsInput!$M$7)*CHOOSE(ArtifactsInput!$N$7+1,6,7.2,8.4,9.6,10.8,12))+IF(Inputs!$B$3&gt;=117,F998,0))/100))+MIN((Skills!S3*(1+((Inputs!$B$35+(ArtifactsInput!$M$7-ArtifactsInput!$M$7)*CHOOSE(ArtifactsInput!$N$7+1,6,7.2,8.4,9.6,10.8,12))+IF(Inputs!$B$3&gt;=117,F998,0))/100)),MAX(0,Inputs!$B$44-((R975-1)*Skills!D3))))/Inputs!$B$44),IF(Inputs!$B$39="pvp",MIN((Skills!S3*(1+((Inputs!$B$35+(ArtifactsInput!$M$7-ArtifactsInput!$M$7)*CHOOSE(ArtifactsInput!$N$7+1,6,7.2,8.4,9.6,10.8,12))+IF(Inputs!$B$3&gt;=117,F998,0))/100)),15)/15,(Skills!S3*(1+((Inputs!$B$35+(ArtifactsInput!$M$7-ArtifactsInput!$M$7)*CHOOSE(ArtifactsInput!$N$7+1,6,7.2,8.4,9.6,10.8,12))+IF(Inputs!$B$3&gt;=117,F998,0))/100))/Skills!D3)),0)+IF(C976=TRUE,F976*IF(AND(Inputs!$B$39&lt;&gt;"pvp",Inputs!$B$44&gt;0),(((R976-1)*(Skills!S4*(1+((Inputs!$B$35+(ArtifactsInput!$M$7-ArtifactsInput!$M$7)*CHOOSE(ArtifactsInput!$N$7+1,6,7.2,8.4,9.6,10.8,12))+IF(Inputs!$B$3&gt;=117,F998,0))/100))+MIN((Skills!S4*(1+((Inputs!$B$35+(ArtifactsInput!$M$7-ArtifactsInput!$M$7)*CHOOSE(ArtifactsInput!$N$7+1,6,7.2,8.4,9.6,10.8,12))+IF(Inputs!$B$3&gt;=117,F998,0))/100)),MAX(0,Inputs!$B$44-((R976-1)*Skills!D4))))/Inputs!$B$44),IF(Inputs!$B$39="pvp",MIN((Skills!S4*(1+((Inputs!$B$35+(ArtifactsInput!$M$7-ArtifactsInput!$M$7)*CHOOSE(ArtifactsInput!$N$7+1,6,7.2,8.4,9.6,10.8,12))+IF(Inputs!$B$3&gt;=117,F998,0))/100)),15)/15,(Skills!S4*(1+((Inputs!$B$35+(ArtifactsInput!$M$7-ArtifactsInput!$M$7)*CHOOSE(ArtifactsInput!$N$7+1,6,7.2,8.4,9.6,10.8,12))+IF(Inputs!$B$3&gt;=117,F998,0))/100))/Skills!D4)),0)+IF(C977=TRUE,F977*IF(AND(Inputs!$B$39&lt;&gt;"pvp",Inputs!$B$44&gt;0),(((R977-1)*(Skills!S5*(1+((Inputs!$B$35+(ArtifactsInput!$M$7-ArtifactsInput!$M$7)*CHOOSE(ArtifactsInput!$N$7+1,6,7.2,8.4,9.6,10.8,12))+IF(Inputs!$B$3&gt;=117,F998,0))/100))+MIN((Skills!S5*(1+((Inputs!$B$35+(ArtifactsInput!$M$7-ArtifactsInput!$M$7)*CHOOSE(ArtifactsInput!$N$7+1,6,7.2,8.4,9.6,10.8,12))+IF(Inputs!$B$3&gt;=117,F998,0))/100)),MAX(0,Inputs!$B$44-((R977-1)*Skills!D5))))/Inputs!$B$44),IF(Inputs!$B$39="pvp",MIN((Skills!S5*(1+((Inputs!$B$35+(ArtifactsInput!$M$7-ArtifactsInput!$M$7)*CHOOSE(ArtifactsInput!$N$7+1,6,7.2,8.4,9.6,10.8,12))+IF(Inputs!$B$3&gt;=117,F998,0))/100)),15)/15,(Skills!S5*(1+((Inputs!$B$35+(ArtifactsInput!$M$7-ArtifactsInput!$M$7)*CHOOSE(ArtifactsInput!$N$7+1,6,7.2,8.4,9.6,10.8,12))+IF(Inputs!$B$3&gt;=117,F998,0))/100))/Skills!D5)),0)+IF(C983=TRUE,F983*IF(AND(Inputs!$B$39&lt;&gt;"pvp",Inputs!$B$44&gt;0),(((R983-1)*(Skills!S11*(1+((Inputs!$B$35+(ArtifactsInput!$M$7-ArtifactsInput!$M$7)*CHOOSE(ArtifactsInput!$N$7+1,6,7.2,8.4,9.6,10.8,12))+IF(Inputs!$B$3&gt;=117,F998,0))/100))+MIN((Skills!S11*(1+((Inputs!$B$35+(ArtifactsInput!$M$7-ArtifactsInput!$M$7)*CHOOSE(ArtifactsInput!$N$7+1,6,7.2,8.4,9.6,10.8,12))+IF(Inputs!$B$3&gt;=117,F998,0))/100)),MAX(0,Inputs!$B$44-((R983-1)*Skills!D11))))/Inputs!$B$44),IF(Inputs!$B$39="pvp",MIN((Skills!S11*(1+((Inputs!$B$35+(ArtifactsInput!$M$7-ArtifactsInput!$M$7)*CHOOSE(ArtifactsInput!$N$7+1,6,7.2,8.4,9.6,10.8,12))+IF(Inputs!$B$3&gt;=117,F998,0))/100)),15)/15,(Skills!S11*(1+((Inputs!$B$35+(ArtifactsInput!$M$7-ArtifactsInput!$M$7)*CHOOSE(ArtifactsInput!$N$7+1,6,7.2,8.4,9.6,10.8,12))+IF(Inputs!$B$3&gt;=117,F998,0)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986=TRUE,(1+F986*IF(AND(Inputs!$B$39&lt;&gt;"pvp",Inputs!$B$44&gt;0),(((R986-1)*(Skills!S14*(1+((Inputs!$B$35+(ArtifactsInput!$M$7-ArtifactsInput!$M$7)*CHOOSE(ArtifactsInput!$N$7+1,6,7.2,8.4,9.6,10.8,12))+IF(Inputs!$B$3&gt;=117,F998,0))/100))+MIN((Skills!S14*(1+((Inputs!$B$35+(ArtifactsInput!$M$7-ArtifactsInput!$M$7)*CHOOSE(ArtifactsInput!$N$7+1,6,7.2,8.4,9.6,10.8,12))+IF(Inputs!$B$3&gt;=117,F998,0))/100)),MAX(0,Inputs!$B$44-((R986-1)*Skills!D14))))/Inputs!$B$44),IF(Inputs!$B$39="pvp",MIN((Skills!S14*(1+((Inputs!$B$35+(ArtifactsInput!$M$7-ArtifactsInput!$M$7)*CHOOSE(ArtifactsInput!$N$7+1,6,7.2,8.4,9.6,10.8,12))+IF(Inputs!$B$3&gt;=117,F998,0))/100)),15)/15,(Skills!S14*(1+((Inputs!$B$35+(ArtifactsInput!$M$7-ArtifactsInput!$M$7)*CHOOSE(ArtifactsInput!$N$7+1,6,7.2,8.4,9.6,10.8,12))+IF(Inputs!$B$3&gt;=117,F998,0))/100))/Skills!D14))/100),1)*IF(C991=TRUE,(1+F991*IF(AND(Inputs!$B$39&lt;&gt;"pvp",Inputs!$B$44&gt;0),(((R991-1)*(Skills!S19*(1+((Inputs!$B$35+(ArtifactsInput!$M$7-ArtifactsInput!$M$7)*CHOOSE(ArtifactsInput!$N$7+1,6,7.2,8.4,9.6,10.8,12))+IF(Inputs!$B$3&gt;=117,F998,0))/100))+MIN((Skills!S19*(1+((Inputs!$B$35+(ArtifactsInput!$M$7-ArtifactsInput!$M$7)*CHOOSE(ArtifactsInput!$N$7+1,6,7.2,8.4,9.6,10.8,12))+IF(Inputs!$B$3&gt;=117,F998,0))/100)),MAX(0,Inputs!$B$44-((R991-1)*Skills!D19))))/Inputs!$B$44),IF(Inputs!$B$39="pvp",MIN((Skills!S19*(1+((Inputs!$B$35+(ArtifactsInput!$M$7-ArtifactsInput!$M$7)*CHOOSE(ArtifactsInput!$N$7+1,6,7.2,8.4,9.6,10.8,12))+IF(Inputs!$B$3&gt;=117,F998,0))/100)),15)/15,(Skills!S19*(1+((Inputs!$B$35+(ArtifactsInput!$M$7-ArtifactsInput!$M$7)*CHOOSE(ArtifactsInput!$N$7+1,6,7.2,8.4,9.6,10.8,12))+IF(Inputs!$B$3&gt;=117,F998,0))/100))/Skills!D19))/100),1)</f>
        <v/>
      </c>
    </row>
    <row r="1003">
      <c r="A1003" t="inlineStr">
        <is>
          <t>Monster Damage Taken Bonus % (Holy Fountain)</t>
        </is>
      </c>
      <c r="B1003">
        <f>IF(Inputs!$B$3&gt;=68,20*IF(Inputs!$B$39="pvp",MIN((15*(1+((Inputs!$B$35+(ArtifactsInput!$M$7-ArtifactsInput!$M$7)*CHOOSE(ArtifactsInput!$N$7+1,6,7.2,8.4,9.6,10.8,12))+IF(Inputs!$B$3&gt;=117,F998,0))/100)),15)/15,(15*(1+((Inputs!$B$35+(ArtifactsInput!$M$7-ArtifactsInput!$M$7)*CHOOSE(ArtifactsInput!$N$7+1,6,7.2,8.4,9.6,10.8,12))+IF(Inputs!$B$3&gt;=117,F998,0))/100))/Skills!D10),0)</f>
        <v/>
      </c>
    </row>
    <row r="1004">
      <c r="A1004" t="inlineStr">
        <is>
          <t>Normal Monster Damage Bonus % (Holy Symbol)</t>
        </is>
      </c>
      <c r="B1004">
        <f>IF(C984=TRUE,F984*IF(AND(Inputs!$B$39&lt;&gt;"pvp",Inputs!$B$44&gt;0),(((R984-1)*(Skills!S12*(1+((Inputs!$B$35+(ArtifactsInput!$M$7-ArtifactsInput!$M$7)*CHOOSE(ArtifactsInput!$N$7+1,6,7.2,8.4,9.6,10.8,12))+IF(Inputs!$B$3&gt;=117,F998,0))/100))+MIN((Skills!S12*(1+((Inputs!$B$35+(ArtifactsInput!$M$7-ArtifactsInput!$M$7)*CHOOSE(ArtifactsInput!$N$7+1,6,7.2,8.4,9.6,10.8,12))+IF(Inputs!$B$3&gt;=117,F998,0))/100)),MAX(0,Inputs!$B$44-((R984-1)*Skills!D12))))/Inputs!$B$44),IF(Inputs!$B$39="pvp",MIN((Skills!S12*(1+((Inputs!$B$35+(ArtifactsInput!$M$7-ArtifactsInput!$M$7)*CHOOSE(ArtifactsInput!$N$7+1,6,7.2,8.4,9.6,10.8,12))+IF(Inputs!$B$3&gt;=117,F998,0))/100)),15)/15,(Skills!S12*(1+((Inputs!$B$35+(ArtifactsInput!$M$7-ArtifactsInput!$M$7)*CHOOSE(ArtifactsInput!$N$7+1,6,7.2,8.4,9.6,10.8,12))+IF(Inputs!$B$3&gt;=117,F998,0))/100))/Skills!D12)),0)</f>
        <v/>
      </c>
    </row>
    <row r="1005">
      <c r="A1005" t="inlineStr">
        <is>
          <t>Damage % Bonus (Holy Symbol - Damage Boost)</t>
        </is>
      </c>
      <c r="B1005">
        <f>Skills!O12</f>
        <v/>
      </c>
    </row>
    <row r="1006">
      <c r="A1006" t="inlineStr">
        <is>
          <t>Crit Damage % Bonus (Blood of the Divine)</t>
        </is>
      </c>
      <c r="B1006">
        <f>4*IF(C992=TRUE,F992,0)</f>
        <v/>
      </c>
    </row>
    <row r="1007">
      <c r="A1007" t="inlineStr">
        <is>
          <t>Attack Speed Bonus %</t>
        </is>
      </c>
      <c r="B1007">
        <f>IF(C989=TRUE,F989+(F993-Calc!F21),0)+IF(Inputs!$B$3&gt;=134,15,0)+((C1000=TRUE)*F1000*IF(AND(Inputs!$B$39&lt;&gt;"pvp",Inputs!$B$44&gt;0),(((R1000-1)*(Skills!S28*(1+((Inputs!$B$35+(ArtifactsInput!$M$7-ArtifactsInput!$M$7)*CHOOSE(ArtifactsInput!$N$7+1,6,7.2,8.4,9.6,10.8,12))+IF(Inputs!$B$3&gt;=117,F998,0))/100))+MIN((Skills!S28*(1+((Inputs!$B$35+(ArtifactsInput!$M$7-ArtifactsInput!$M$7)*CHOOSE(ArtifactsInput!$N$7+1,6,7.2,8.4,9.6,10.8,12))+IF(Inputs!$B$3&gt;=117,F998,0))/100)),MAX(0,Inputs!$B$44-((R1000-1)*Skills!D28))))/Inputs!$B$44),IF(Inputs!$B$39="pvp",MIN((Skills!S28*(1+((Inputs!$B$35+(ArtifactsInput!$M$7-ArtifactsInput!$M$7)*CHOOSE(ArtifactsInput!$N$7+1,6,7.2,8.4,9.6,10.8,12))+IF(Inputs!$B$3&gt;=117,F998,0))/100)),15)/15,(Skills!S28*(1+((Inputs!$B$35+(ArtifactsInput!$M$7-ArtifactsInput!$M$7)*CHOOSE(ArtifactsInput!$N$7+1,6,7.2,8.4,9.6,10.8,12))+IF(Inputs!$B$3&gt;=117,F998,0))/100))/Skills!D28)))</f>
        <v/>
      </c>
    </row>
    <row r="1008">
      <c r="A1008" t="inlineStr">
        <is>
          <t>Actions Per Second</t>
        </is>
      </c>
      <c r="B1008">
        <f>1+MIN(150,150*(1-(1-Inputs!$B$12/150)*(1-B1007/150)))/100</f>
        <v/>
      </c>
    </row>
    <row r="1009">
      <c r="A1009" t="inlineStr">
        <is>
          <t>Skill + Buff Cast Rate</t>
        </is>
      </c>
      <c r="B1009">
        <f>IF(AND(Inputs!$B$39&lt;&gt;"pvp",Inputs!$B$44&gt;0),SUMPRODUCT((Skills!E2:E28=TRUE)*(C974:C1000=TRUE)*R974:R1000)/Inputs!$B$44,SUMPRODUCT((Skills!E2:E28=TRUE)*(C974:C1000=TRUE)*Q974:Q1000))</f>
        <v/>
      </c>
    </row>
    <row r="1010">
      <c r="A1010" t="inlineStr">
        <is>
          <t>Big Bang Casts Per Second</t>
        </is>
      </c>
      <c r="B1010">
        <f>MAX(0,B1008-B1009)</f>
        <v/>
      </c>
    </row>
    <row r="1011">
      <c r="A1011" t="inlineStr">
        <is>
          <t>Defense % Bonus (Divine Protection)</t>
        </is>
      </c>
      <c r="B1011">
        <f>IF(C985=TRUE,F985*IF(AND(Inputs!$B$39&lt;&gt;"pvp",Inputs!$B$44&gt;0),(((R985-1)*(Skills!S13*(1+((Inputs!$B$35+(ArtifactsInput!$M$7-ArtifactsInput!$M$7)*CHOOSE(ArtifactsInput!$N$7+1,6,7.2,8.4,9.6,10.8,12))+IF(Inputs!$B$3&gt;=117,F998,0))/100))+MIN((Skills!S13*(1+((Inputs!$B$35+(ArtifactsInput!$M$7-ArtifactsInput!$M$7)*CHOOSE(ArtifactsInput!$N$7+1,6,7.2,8.4,9.6,10.8,12))+IF(Inputs!$B$3&gt;=117,F998,0))/100)),MAX(0,Inputs!$B$44-((R985-1)*Skills!D13))))/Inputs!$B$44),IF(Inputs!$B$39="pvp",MIN((Skills!S13*(1+((Inputs!$B$35+(ArtifactsInput!$M$7-ArtifactsInput!$M$7)*CHOOSE(ArtifactsInput!$N$7+1,6,7.2,8.4,9.6,10.8,12))+IF(Inputs!$B$3&gt;=117,F998,0))/100)),15)/15,(Skills!S13*(1+((Inputs!$B$35+(ArtifactsInput!$M$7-ArtifactsInput!$M$7)*CHOOSE(ArtifactsInput!$N$7+1,6,7.2,8.4,9.6,10.8,12))+IF(Inputs!$B$3&gt;=117,F998,0))/100))/Skills!D13)),0)</f>
        <v/>
      </c>
    </row>
    <row r="1012">
      <c r="A1012" t="inlineStr">
        <is>
          <t>Buff-Casting Startup Delay (s, fixed-duration only)</t>
        </is>
      </c>
      <c r="B1012">
        <f>IF(AND(Inputs!$B$39&lt;&gt;"pvp",Inputs!$B$44&gt;0),SUMPRODUCT((Skills!S2:S28&gt;0)*(Skills!E2:E28=TRUE)*(C974:C1000=TRUE))/B1008,0)</f>
        <v/>
      </c>
    </row>
    <row r="1013">
      <c r="A1013" t="inlineStr">
        <is>
          <t>Boss-Only Total DPS (this block's swept value)</t>
        </is>
      </c>
      <c r="B1013">
        <f>SUM(S974:S1000)</f>
        <v/>
      </c>
    </row>
    <row r="1014">
      <c r="A1014" t="inlineStr">
        <is>
          <t>Normal-Only Total DPS (this block's swept value)</t>
        </is>
      </c>
      <c r="B1014">
        <f>SUM(U974:U1000)</f>
        <v/>
      </c>
    </row>
    <row r="1015">
      <c r="A1015" s="6" t="inlineStr">
        <is>
          <t>TOTAL DPS</t>
        </is>
      </c>
      <c r="B1015" s="6">
        <f>SUM(O974:O1000)</f>
        <v/>
      </c>
    </row>
    <row r="1017">
      <c r="A1017" s="6" t="inlineStr">
        <is>
          <t>Stat: Skill Level Bonus — All Skills</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R1018" t="inlineStr">
        <is>
          <t>helpers</t>
        </is>
      </c>
    </row>
    <row r="1019">
      <c r="A1019">
        <f>Skills!A2</f>
        <v/>
      </c>
      <c r="B1019">
        <f>Skills!B2</f>
        <v/>
      </c>
      <c r="C1019">
        <f>Inputs!$B$3&gt;=100</f>
        <v/>
      </c>
      <c r="D1019" t="inlineStr"/>
      <c r="E1019" t="inlineStr"/>
      <c r="F1019">
        <f>T1021+Skills!N2</f>
        <v/>
      </c>
      <c r="G1019">
        <f>Calc!G2</f>
        <v/>
      </c>
      <c r="H1019">
        <f>Calc!H2</f>
        <v/>
      </c>
      <c r="I1019">
        <f>IF(Skills!T2&lt;&gt;"",1+(Skills!T2/10)*($Z$3/1000)/100,1)</f>
        <v/>
      </c>
      <c r="J1019">
        <f>((Inputs!$B$6*(1+Inputs!$B$7/100))+(((Inputs!$B$13*(1+Inputs!$B$14/100))-(Inputs!$B$13*(1+Inputs!$B$14/100)))+0.25*(Inputs!$B$15-Inputs!$B$15))*(1+Inputs!$B$7/100))*(F1019/100)</f>
        <v/>
      </c>
      <c r="K1019">
        <f>J1019*(1+(((Inputs!$B$13+IF(Inputs!$B$3&gt;=35,(10*INDEX(FactorTable!$B$2:$Y$301,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2="TRIUMPH_FEATHER",IF(C1033=TRUE,F1033,0),0)/100)*(1+IF(C1044=TRUE,F1044,0)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1019)</f>
        <v/>
      </c>
      <c r="L1019">
        <f>K1019*(MIN(Inputs!$B$23+(F1039-Calc!F22),(Inputs!$B$24+IF(ArtifactsInput!$M$15,CHOOSE(ArtifactsInput!$N$15+1,25,30,35,40,45,50)/100*(Inputs!$B$12-Inputs!$B$12),0)))/100+(Inputs!$B$24+IF(ArtifactsInput!$M$15,CHOOSE(ArtifactsInput!$N$15+1,25,30,35,40,45,50)/100*(Inputs!$B$12-Inputs!$B$12),0))/100)/2</f>
        <v/>
      </c>
      <c r="M1019">
        <f>L1019*(1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19">
        <f>L1019*(1-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1019*(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9">
        <f>(1-Summary!$B$11)*S1019+Summary!$B$11*U1019</f>
        <v/>
      </c>
      <c r="P1019">
        <f>IF(B1060=0,0,O1019/B1060)</f>
        <v/>
      </c>
      <c r="Q1019">
        <f>IFERROR(1/(IF(Inputs!$B$39="pvp",15,MAX(0.1,Skills!D2-IF(Skills!E2=TRUE,Inputs!$B$33,0)))*(1-IF(AND(ArtifactsInput!$M$27,Inputs!$B$4="Chapter Hunt"),CHOOSE(ArtifactsInput!$N$27+1,20,24,28,32,36,40),0)/100)),0)</f>
        <v/>
      </c>
      <c r="R1019" t="n">
        <v>0</v>
      </c>
      <c r="S1019">
        <f>IF(C1019,(Skills!F2*N1019*B1055)*IF(Inputs!$B$39="pvp",1,1+(Inputs!$B$21+Skills!O2+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1019*(1-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1019*(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1019*(1-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1019*(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19">
        <f>MAX(0,(Inputs!$B$3-100)*3)+Inputs!$B$29+(Inputs!$B$30+1)</f>
        <v/>
      </c>
      <c r="U1019">
        <f>IF(C1019,(Skills!F2*N1019*B1055)*IF(Inputs!$B$39="pvp",1,(1+(Inputs!$B$22+Skills!P2+B1049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0">
      <c r="A1020">
        <f>Skills!A3</f>
        <v/>
      </c>
      <c r="B1020">
        <f>Skills!B3</f>
        <v/>
      </c>
      <c r="C1020">
        <f>Inputs!$B$3&gt;=15</f>
        <v/>
      </c>
      <c r="D1020">
        <f>IF(Skills!C3=1,60+Inputs!$B$26+(Inputs!$B$30+1),IF(Skills!C3=2,90+Inputs!$B$27+(Inputs!$B$30+1),IF(Skills!C3=3,120+Inputs!$B$28+(Inputs!$B$30+1),MAX(0,(Inputs!$B$3-100)*3)+Inputs!$B$29+(Inputs!$B$30+1))))</f>
        <v/>
      </c>
      <c r="E1020">
        <f>INDEX(FactorTable!$B$2:$Y$301, MATCH(ROUND(MIN(300,MAX(1,D1020)),0), FactorTable!$A$2:$A$301,0), Skills!L3+1)</f>
        <v/>
      </c>
      <c r="F1020">
        <f>IF(Skills!M3=TRUE,(Skills!K3/10)*(E1020/1000),Skills!K3/10)+Skills!N3</f>
        <v/>
      </c>
      <c r="G1020">
        <f>Calc!G3</f>
        <v/>
      </c>
      <c r="H1020">
        <f>Calc!H3</f>
        <v/>
      </c>
      <c r="I1020">
        <f>IF(Skills!T3&lt;&gt;"",1+(Skills!T3/10)*($Z$3/1000)/100,1)</f>
        <v/>
      </c>
      <c r="J1020" t="inlineStr"/>
      <c r="K1020" t="inlineStr"/>
      <c r="L1020" t="inlineStr"/>
      <c r="M1020" t="inlineStr"/>
      <c r="N1020" t="inlineStr"/>
      <c r="O1020">
        <f>(1-Summary!$B$11)*S1020+Summary!$B$11*U1020</f>
        <v/>
      </c>
      <c r="P1020">
        <f>IF(B1060=0,0,O1020/B1060)</f>
        <v/>
      </c>
      <c r="Q1020">
        <f>IFERROR(1/(IF(Inputs!$B$39="pvp",15,MAX(0.1,Skills!D3-IF(Skills!E3=TRUE,Inputs!$B$33,0)))*(1-IF(AND(ArtifactsInput!$M$27,Inputs!$B$4="Chapter Hunt"),CHOOSE(ArtifactsInput!$N$27+1,20,24,28,32,36,40),0)/100)),0)</f>
        <v/>
      </c>
      <c r="R1020">
        <f>IF(AND(Inputs!$B$39&lt;&gt;"pvp",Inputs!$B$44&gt;0),IF(Inputs!$B$44&lt;=0,0,(INT(Inputs!$B$44/(IF(Inputs!$B$39="pvp",15,MAX(0.1,Skills!D3-IF(Skills!E3=TRUE,Inputs!$B$33,0)))*(1-IF(AND(ArtifactsInput!$M$27,Inputs!$B$4="Chapter Hunt"),CHOOSE(ArtifactsInput!$N$27+1,20,24,28,32,36,40),0)/100)))+1)),0)</f>
        <v/>
      </c>
      <c r="S1020" t="n">
        <v>0</v>
      </c>
      <c r="T1020">
        <f>INDEX(FactorTable!$B$2:$Y$301, MATCH(ROUND(MIN(300,MAX(1,T1019)),0), FactorTable!$A$2:$A$301,0), 22)</f>
        <v/>
      </c>
      <c r="U1020" t="n">
        <v>0</v>
      </c>
    </row>
    <row r="1021">
      <c r="A1021">
        <f>Skills!A4</f>
        <v/>
      </c>
      <c r="B1021">
        <f>Skills!B4</f>
        <v/>
      </c>
      <c r="C1021">
        <f>Inputs!$B$3&gt;=38</f>
        <v/>
      </c>
      <c r="D1021">
        <f>IF(Skills!C4=1,60+Inputs!$B$26+(Inputs!$B$30+1),IF(Skills!C4=2,90+Inputs!$B$27+(Inputs!$B$30+1),IF(Skills!C4=3,120+Inputs!$B$28+(Inputs!$B$30+1),MAX(0,(Inputs!$B$3-100)*3)+Inputs!$B$29+(Inputs!$B$30+1))))</f>
        <v/>
      </c>
      <c r="E1021">
        <f>INDEX(FactorTable!$B$2:$Y$301, MATCH(ROUND(MIN(300,MAX(1,D1021)),0), FactorTable!$A$2:$A$301,0), Skills!L4+1)</f>
        <v/>
      </c>
      <c r="F1021">
        <f>IF(Skills!M4=TRUE,(Skills!K4/10)*(E1021/1000),Skills!K4/10)+Skills!N4</f>
        <v/>
      </c>
      <c r="G1021">
        <f>Calc!G4</f>
        <v/>
      </c>
      <c r="H1021">
        <f>Calc!H4</f>
        <v/>
      </c>
      <c r="I1021">
        <f>IF(Skills!T4&lt;&gt;"",1+(Skills!T4/10)*($Z$3/1000)/100,1)</f>
        <v/>
      </c>
      <c r="J1021" t="inlineStr"/>
      <c r="K1021" t="inlineStr"/>
      <c r="L1021" t="inlineStr"/>
      <c r="M1021" t="inlineStr"/>
      <c r="N1021" t="inlineStr"/>
      <c r="O1021">
        <f>(1-Summary!$B$11)*S1021+Summary!$B$11*U1021</f>
        <v/>
      </c>
      <c r="P1021">
        <f>IF(B1060=0,0,O1021/B1060)</f>
        <v/>
      </c>
      <c r="Q1021">
        <f>IFERROR(1/(IF(Inputs!$B$39="pvp",15,MAX(0.1,Skills!D4-IF(Skills!E4=TRUE,Inputs!$B$33,0)))*(1-IF(AND(ArtifactsInput!$M$27,Inputs!$B$4="Chapter Hunt"),CHOOSE(ArtifactsInput!$N$27+1,20,24,28,32,36,40),0)/100)),0)</f>
        <v/>
      </c>
      <c r="R1021">
        <f>IF(AND(Inputs!$B$39&lt;&gt;"pvp",Inputs!$B$44&gt;0),IF(Inputs!$B$44&lt;=0,0,(INT(Inputs!$B$44/(IF(Inputs!$B$39="pvp",15,MAX(0.1,Skills!D4-IF(Skills!E4=TRUE,Inputs!$B$33,0)))*(1-IF(AND(ArtifactsInput!$M$27,Inputs!$B$4="Chapter Hunt"),CHOOSE(ArtifactsInput!$N$27+1,20,24,28,32,36,40),0)/100)))+1)),0)</f>
        <v/>
      </c>
      <c r="S1021" t="n">
        <v>0</v>
      </c>
      <c r="T1021">
        <f>290*T1020/1000</f>
        <v/>
      </c>
      <c r="U1021" t="n">
        <v>0</v>
      </c>
    </row>
    <row r="1022">
      <c r="A1022">
        <f>Skills!A5</f>
        <v/>
      </c>
      <c r="B1022">
        <f>Skills!B5</f>
        <v/>
      </c>
      <c r="C1022">
        <f>Inputs!$B$3&gt;=40</f>
        <v/>
      </c>
      <c r="D1022">
        <f>IF(Skills!C5=1,60+Inputs!$B$26+(Inputs!$B$30+1),IF(Skills!C5=2,90+Inputs!$B$27+(Inputs!$B$30+1),IF(Skills!C5=3,120+Inputs!$B$28+(Inputs!$B$30+1),MAX(0,(Inputs!$B$3-100)*3)+Inputs!$B$29+(Inputs!$B$30+1))))</f>
        <v/>
      </c>
      <c r="E1022">
        <f>INDEX(FactorTable!$B$2:$Y$301, MATCH(ROUND(MIN(300,MAX(1,D1022)),0), FactorTable!$A$2:$A$301,0), Skills!L5+1)</f>
        <v/>
      </c>
      <c r="F1022">
        <f>IF(Skills!M5=TRUE,(Skills!K5/10)*(E1022/1000),Skills!K5/10)+Skills!N5</f>
        <v/>
      </c>
      <c r="G1022">
        <f>Calc!G5</f>
        <v/>
      </c>
      <c r="H1022">
        <f>Calc!H5</f>
        <v/>
      </c>
      <c r="I1022">
        <f>IF(Skills!T5&lt;&gt;"",1+(Skills!T5/10)*($Z$3/1000)/100,1)</f>
        <v/>
      </c>
      <c r="J1022" t="inlineStr"/>
      <c r="K1022" t="inlineStr"/>
      <c r="L1022" t="inlineStr"/>
      <c r="M1022" t="inlineStr"/>
      <c r="N1022" t="inlineStr"/>
      <c r="O1022">
        <f>(1-Summary!$B$11)*S1022+Summary!$B$11*U1022</f>
        <v/>
      </c>
      <c r="P1022">
        <f>IF(B1060=0,0,O1022/B1060)</f>
        <v/>
      </c>
      <c r="Q1022">
        <f>IFERROR(1/(IF(Inputs!$B$39="pvp",15,MAX(0.1,Skills!D5-IF(Skills!E5=TRUE,Inputs!$B$33,0)))*(1-IF(AND(ArtifactsInput!$M$27,Inputs!$B$4="Chapter Hunt"),CHOOSE(ArtifactsInput!$N$27+1,20,24,28,32,36,40),0)/100)),0)</f>
        <v/>
      </c>
      <c r="R1022">
        <f>IF(AND(Inputs!$B$39&lt;&gt;"pvp",Inputs!$B$44&gt;0),IF(Inputs!$B$44&lt;=0,0,(INT(Inputs!$B$44/(IF(Inputs!$B$39="pvp",15,MAX(0.1,Skills!D5-IF(Skills!E5=TRUE,Inputs!$B$33,0)))*(1-IF(AND(ArtifactsInput!$M$27,Inputs!$B$4="Chapter Hunt"),CHOOSE(ArtifactsInput!$N$27+1,20,24,28,32,36,40),0)/100)))+1)),0)</f>
        <v/>
      </c>
      <c r="S1022" t="n">
        <v>0</v>
      </c>
      <c r="U1022" t="n">
        <v>0</v>
      </c>
    </row>
    <row r="1023">
      <c r="A1023">
        <f>Skills!A6</f>
        <v/>
      </c>
      <c r="B1023">
        <f>Skills!B6</f>
        <v/>
      </c>
      <c r="C1023">
        <f>Inputs!$B$3&gt;=103</f>
        <v/>
      </c>
      <c r="D1023">
        <f>IF(Skills!C6=1,60+Inputs!$B$26+(Inputs!$B$30+1),IF(Skills!C6=2,90+Inputs!$B$27+(Inputs!$B$30+1),IF(Skills!C6=3,120+Inputs!$B$28+(Inputs!$B$30+1),MAX(0,(Inputs!$B$3-100)*3)+Inputs!$B$29+(Inputs!$B$30+1))))</f>
        <v/>
      </c>
      <c r="E1023">
        <f>INDEX(FactorTable!$B$2:$Y$301, MATCH(ROUND(MIN(300,MAX(1,D1023)),0), FactorTable!$A$2:$A$301,0), Skills!L6+1)</f>
        <v/>
      </c>
      <c r="F1023">
        <f>IF(Skills!M6=TRUE,(Skills!K6/10)*(E1023/1000),Skills!K6/10)+Skills!N6</f>
        <v/>
      </c>
      <c r="G1023">
        <f>Calc!G6</f>
        <v/>
      </c>
      <c r="H1023">
        <f>Calc!H6</f>
        <v/>
      </c>
      <c r="I1023">
        <f>IF(Skills!T6&lt;&gt;"",1+(Skills!T6/10)*($Z$3/1000)/100,1)</f>
        <v/>
      </c>
      <c r="J1023">
        <f>((Inputs!$B$6*(1+Inputs!$B$7/100))+(((Inputs!$B$13*(1+Inputs!$B$14/100))-(Inputs!$B$13*(1+Inputs!$B$14/100)))+0.25*(Inputs!$B$15-Inputs!$B$15))*(1+Inputs!$B$7/100))*(F1023/100)</f>
        <v/>
      </c>
      <c r="K1023">
        <f>J1023*(1+(((Inputs!$B$13+IF(Inputs!$B$3&gt;=35,(10*INDEX(FactorTable!$B$2:$Y$301,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6="TRIUMPH_FEATHER",IF(C1033=TRUE,F1033,0),0)/100)*(1+IF(C1044=TRUE,F1044,0)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1023)</f>
        <v/>
      </c>
      <c r="L1023">
        <f>K1023*(MIN(Inputs!$B$23+(F1039-Calc!F22),(Inputs!$B$24+IF(ArtifactsInput!$M$15,CHOOSE(ArtifactsInput!$N$15+1,25,30,35,40,45,50)/100*(Inputs!$B$12-Inputs!$B$12),0)))/100+(Inputs!$B$24+IF(ArtifactsInput!$M$15,CHOOSE(ArtifactsInput!$N$15+1,25,30,35,40,45,50)/100*(Inputs!$B$12-Inputs!$B$12),0))/100)/2</f>
        <v/>
      </c>
      <c r="M1023">
        <f>L1023*(1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3">
        <f>L1023*(1-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1023*(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3">
        <f>(1-Summary!$B$11)*S1023+Summary!$B$11*U1023</f>
        <v/>
      </c>
      <c r="P1023">
        <f>IF(B1060=0,0,O1023/B1060)</f>
        <v/>
      </c>
      <c r="Q1023">
        <f>IFERROR(1/(IF(Inputs!$B$39="pvp",15,MAX(0.1,Skills!D6-IF(Skills!E6=TRUE,Inputs!$B$33,0)))*(1-IF(AND(ArtifactsInput!$M$27,Inputs!$B$4="Chapter Hunt"),CHOOSE(ArtifactsInput!$N$27+1,20,24,28,32,36,40),0)/100)),0)</f>
        <v/>
      </c>
      <c r="R1023">
        <f>IF(AND(Inputs!$B$39&lt;&gt;"pvp",Inputs!$B$44&gt;0),IF(MAX(0,Inputs!$B$44-B1057)&lt;=0,0,(INT(MAX(0,Inputs!$B$44-B1057)/(IF(Inputs!$B$39="pvp",15,MAX(0.1,Skills!D6-IF(Skills!E6=TRUE,Inputs!$B$33,0)))*(1-IF(AND(ArtifactsInput!$M$27,Inputs!$B$4="Chapter Hunt"),CHOOSE(ArtifactsInput!$N$27+1,20,24,28,32,36,40),0)/100)))+1)),0)</f>
        <v/>
      </c>
      <c r="S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$21+Skills!O6+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1023*(1-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1023*(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1023*(1-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1023*(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$22+Skills!P6+B1049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4">
      <c r="A1024">
        <f>Skills!A7</f>
        <v/>
      </c>
      <c r="B1024">
        <f>Skills!B7</f>
        <v/>
      </c>
      <c r="C1024">
        <f>Inputs!$B$3&gt;=122</f>
        <v/>
      </c>
      <c r="D1024">
        <f>IF(Skills!C7=1,60+Inputs!$B$26+(Inputs!$B$30+1),IF(Skills!C7=2,90+Inputs!$B$27+(Inputs!$B$30+1),IF(Skills!C7=3,120+Inputs!$B$28+(Inputs!$B$30+1),MAX(0,(Inputs!$B$3-100)*3)+Inputs!$B$29+(Inputs!$B$30+1))))</f>
        <v/>
      </c>
      <c r="E1024">
        <f>INDEX(FactorTable!$B$2:$Y$301, MATCH(ROUND(MIN(300,MAX(1,D1024)),0), FactorTable!$A$2:$A$301,0), Skills!L7+1)</f>
        <v/>
      </c>
      <c r="F1024">
        <f>IF(Skills!M7=TRUE,(Skills!K7/10)*(E1024/1000),Skills!K7/10)+Skills!N7</f>
        <v/>
      </c>
      <c r="G1024">
        <f>Calc!G7</f>
        <v/>
      </c>
      <c r="H1024">
        <f>Calc!H7</f>
        <v/>
      </c>
      <c r="I1024">
        <f>IF(Skills!T7&lt;&gt;"",1+(Skills!T7/10)*($Z$3/1000)/100,1)</f>
        <v/>
      </c>
      <c r="J1024">
        <f>((Inputs!$B$6*(1+Inputs!$B$7/100))+(((Inputs!$B$13*(1+Inputs!$B$14/100))-(Inputs!$B$13*(1+Inputs!$B$14/100)))+0.25*(Inputs!$B$15-Inputs!$B$15))*(1+Inputs!$B$7/100))*(F1024/100)</f>
        <v/>
      </c>
      <c r="K1024">
        <f>J1024*(1+(((Inputs!$B$13+IF(Inputs!$B$3&gt;=35,(10*INDEX(FactorTable!$B$2:$Y$301,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7="TRIUMPH_FEATHER",IF(C1033=TRUE,F1033,0),0)/100)*(1+IF(C1044=TRUE,F1044,0)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1024)</f>
        <v/>
      </c>
      <c r="L1024">
        <f>K1024*(MIN(Inputs!$B$23+(F1039-Calc!F22),(Inputs!$B$24+IF(ArtifactsInput!$M$15,CHOOSE(ArtifactsInput!$N$15+1,25,30,35,40,45,50)/100*(Inputs!$B$12-Inputs!$B$12),0)))/100+(Inputs!$B$24+IF(ArtifactsInput!$M$15,CHOOSE(ArtifactsInput!$N$15+1,25,30,35,40,45,50)/100*(Inputs!$B$12-Inputs!$B$12),0))/100)/2</f>
        <v/>
      </c>
      <c r="M1024">
        <f>L1024*(1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4">
        <f>L1024*(1-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(1-Summary!$B$11)*S1024+Summary!$B$11*U1024</f>
        <v/>
      </c>
      <c r="P1024">
        <f>IF(B1060=0,0,O1024/B1060)</f>
        <v/>
      </c>
      <c r="Q1024">
        <f>IFERROR(1/(IF(Inputs!$B$39="pvp",15,MAX(0.1,Skills!D7-IF(Skills!E6=TRUE,Inputs!$B$33,0)))*(1-IF(AND(ArtifactsInput!$M$27,Inputs!$B$4="Chapter Hunt"),CHOOSE(ArtifactsInput!$N$27+1,20,24,28,32,36,40),0)/100)),0)</f>
        <v/>
      </c>
      <c r="R1024">
        <f>IF(AND(Inputs!$B$39&lt;&gt;"pvp",Inputs!$B$44&gt;0),IF(MAX(0,Inputs!$B$44-B1057)&lt;=0,0,(INT(MAX(0,Inputs!$B$44-B1057)/(IF(Inputs!$B$39="pvp",15,MAX(0.1,Skills!D7-IF(Skills!E6=TRUE,Inputs!$B$33,0)))*(1-IF(AND(ArtifactsInput!$M$27,Inputs!$B$4="Chapter Hunt"),CHOOSE(ArtifactsInput!$N$27+1,20,24,28,32,36,40),0)/100)))+1)),0)</f>
        <v/>
      </c>
      <c r="S1024">
        <f>IF(C1024,H1024*N1024*IF(AND(Inputs!$B$39&lt;&gt;"pvp",Inputs!$B$44&gt;0),((Skills!F7*((R1024-1)*IF(Skills!G7&gt;0,Skills!H7/Skills!G7,1)+IF(Skills!G7&gt;0,MIN(Skills!H7,MAX(0,MAX(0,Inputs!$B$44-B1057)-((R1024-1)*(IF(Inputs!$B$39="pvp",15,MAX(0.1,Skills!D7-IF(Skills!E6=TRUE,Inputs!$B$33,0)))*(1-IF(AND(ArtifactsInput!$M$27,Inputs!$B$4="Chapter Hunt"),CHOOSE(ArtifactsInput!$N$27+1,20,24,28,32,36,40),0)/100)))))/Skills!G7,1)))/Inputs!$B$44),G1024*Q1024)*IF(Inputs!$B$39="pvp",1,1+(Inputs!$B$21+Skills!O7+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1024*(1-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t="n">
        <v>0</v>
      </c>
    </row>
    <row r="1025">
      <c r="A1025">
        <f>Skills!A8</f>
        <v/>
      </c>
      <c r="B1025">
        <f>Skills!B8</f>
        <v/>
      </c>
      <c r="C1025">
        <f>Inputs!$B$3&gt;=105</f>
        <v/>
      </c>
      <c r="D1025">
        <f>IF(Skills!C8=1,60+Inputs!$B$26+(Inputs!$B$30+1),IF(Skills!C8=2,90+Inputs!$B$27+(Inputs!$B$30+1),IF(Skills!C8=3,120+Inputs!$B$28+(Inputs!$B$30+1),MAX(0,(Inputs!$B$3-100)*3)+Inputs!$B$29+(Inputs!$B$30+1))))</f>
        <v/>
      </c>
      <c r="E1025">
        <f>INDEX(FactorTable!$B$2:$Y$301, MATCH(ROUND(MIN(300,MAX(1,D1025)),0), FactorTable!$A$2:$A$301,0), Skills!L8+1)</f>
        <v/>
      </c>
      <c r="F1025">
        <f>IF(Skills!M8=TRUE,(Skills!K8/10)*(E1025/1000),Skills!K8/10)+Skills!N8</f>
        <v/>
      </c>
      <c r="G1025">
        <f>Calc!G8</f>
        <v/>
      </c>
      <c r="H1025">
        <f>Calc!H8</f>
        <v/>
      </c>
      <c r="I1025">
        <f>IF(Skills!T8&lt;&gt;"",1+(Skills!T8/10)*($Z$3/1000)/100,1)</f>
        <v/>
      </c>
      <c r="J1025">
        <f>((Inputs!$B$6*(1+Inputs!$B$7/100))+(((Inputs!$B$13*(1+Inputs!$B$14/100))-(Inputs!$B$13*(1+Inputs!$B$14/100)))+0.25*(Inputs!$B$15-Inputs!$B$15))*(1+Inputs!$B$7/100))*(F1025/100)</f>
        <v/>
      </c>
      <c r="K1025">
        <f>J1025*(1+(((Inputs!$B$13+IF(Inputs!$B$3&gt;=35,(10*INDEX(FactorTable!$B$2:$Y$301,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8="TRIUMPH_FEATHER",IF(C1033=TRUE,F1033,0),0)/100)*(1+IF(C1044=TRUE,F1044,0)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1025)</f>
        <v/>
      </c>
      <c r="L1025">
        <f>K1025*(MIN(Inputs!$B$23+(F1039-Calc!F22),(Inputs!$B$24+IF(ArtifactsInput!$M$15,CHOOSE(ArtifactsInput!$N$15+1,25,30,35,40,45,50)/100*(Inputs!$B$12-Inputs!$B$12),0)))/100+(Inputs!$B$24+IF(ArtifactsInput!$M$15,CHOOSE(ArtifactsInput!$N$15+1,25,30,35,40,45,50)/100*(Inputs!$B$12-Inputs!$B$12),0))/100)/2</f>
        <v/>
      </c>
      <c r="M1025">
        <f>L1025*(1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5">
        <f>L1025*(1-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(1-Summary!$B$11)*S1025+Summary!$B$11*U1025</f>
        <v/>
      </c>
      <c r="P1025">
        <f>IF(B1060=0,0,O1025/B1060)</f>
        <v/>
      </c>
      <c r="Q1025">
        <f>IFERROR(1/(IF(Inputs!$B$39="pvp",15,MAX(0.1,Skills!D8-IF(Skills!E8=TRUE,Inputs!$B$33,0)))*(1-IF(AND(ArtifactsInput!$M$27,Inputs!$B$4="Chapter Hunt"),CHOOSE(ArtifactsInput!$N$27+1,20,24,28,32,36,40),0)/100)),0)</f>
        <v/>
      </c>
      <c r="R1025">
        <f>IF(AND(Inputs!$B$39&lt;&gt;"pvp",Inputs!$B$44&gt;0),IF(MAX(0,Inputs!$B$44-B1057)&lt;=0,0,(INT(MAX(0,Inputs!$B$44-B1057)/(IF(Inputs!$B$39="pvp",15,MAX(0.1,Skills!D8-IF(Skills!E8=TRUE,Inputs!$B$33,0)))*(1-IF(AND(ArtifactsInput!$M$27,Inputs!$B$4="Chapter Hunt"),CHOOSE(ArtifactsInput!$N$27+1,20,24,28,32,36,40),0)/100)))+1)),0)</f>
        <v/>
      </c>
      <c r="S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$21+Skills!O8+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1025*(1-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$22+Skills!P8+B1049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Skills!A9</f>
        <v/>
      </c>
      <c r="B1026">
        <f>Skills!B9</f>
        <v/>
      </c>
      <c r="C1026">
        <f>Inputs!$B$3&gt;=115</f>
        <v/>
      </c>
      <c r="D1026">
        <f>IF(Skills!C9=1,60+Inputs!$B$26+(Inputs!$B$30+1),IF(Skills!C9=2,90+Inputs!$B$27+(Inputs!$B$30+1),IF(Skills!C9=3,120+Inputs!$B$28+(Inputs!$B$30+1),MAX(0,(Inputs!$B$3-100)*3)+Inputs!$B$29+(Inputs!$B$30+1))))</f>
        <v/>
      </c>
      <c r="E1026">
        <f>INDEX(FactorTable!$B$2:$Y$301, MATCH(ROUND(MIN(300,MAX(1,D1026)),0), FactorTable!$A$2:$A$301,0), Skills!L9+1)</f>
        <v/>
      </c>
      <c r="F1026">
        <f>IF(Skills!M9=TRUE,(Skills!K9/10)*(E1026/1000),Skills!K9/10)+Skills!N9</f>
        <v/>
      </c>
      <c r="G1026">
        <f>Calc!G9</f>
        <v/>
      </c>
      <c r="H1026">
        <f>Calc!H9</f>
        <v/>
      </c>
      <c r="I1026">
        <f>IF(Skills!T9&lt;&gt;"",1+(Skills!T9/10)*($Z$3/1000)/100,1)</f>
        <v/>
      </c>
      <c r="J1026">
        <f>((Inputs!$B$6*(1+Inputs!$B$7/100))+(((Inputs!$B$13*(1+Inputs!$B$14/100))-(Inputs!$B$13*(1+Inputs!$B$14/100)))+0.25*(Inputs!$B$15-Inputs!$B$15))*(1+Inputs!$B$7/100))*(F1026/100)</f>
        <v/>
      </c>
      <c r="K1026">
        <f>J1026*(1+(((Inputs!$B$13+IF(Inputs!$B$3&gt;=35,(10*INDEX(FactorTable!$B$2:$Y$301,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9="TRIUMPH_FEATHER",IF(C1033=TRUE,F1033,0),0)/100)*(1+IF(C1044=TRUE,F1044,0)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1026)</f>
        <v/>
      </c>
      <c r="L1026">
        <f>K1026*(MIN(Inputs!$B$23+(F1039-Calc!F22),(Inputs!$B$24+IF(ArtifactsInput!$M$15,CHOOSE(ArtifactsInput!$N$15+1,25,30,35,40,45,50)/100*(Inputs!$B$12-Inputs!$B$12),0)))/100+(Inputs!$B$24+IF(ArtifactsInput!$M$15,CHOOSE(ArtifactsInput!$N$15+1,25,30,35,40,45,50)/100*(Inputs!$B$12-Inputs!$B$12),0))/100)/2</f>
        <v/>
      </c>
      <c r="M1026">
        <f>L1026*(1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6">
        <f>L1026*(1-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(1-Summary!$B$11)*S1026+Summary!$B$11*U1026</f>
        <v/>
      </c>
      <c r="P1026">
        <f>IF(B1060=0,0,O1026/B1060)</f>
        <v/>
      </c>
      <c r="Q1026">
        <f>IFERROR(1/(IF(Inputs!$B$39="pvp",15,MAX(0.1,Skills!D9-IF(Skills!E9=TRUE,Inputs!$B$33,0)))*(1-IF(AND(ArtifactsInput!$M$27,Inputs!$B$4="Chapter Hunt"),CHOOSE(ArtifactsInput!$N$27+1,20,24,28,32,36,40),0)/100)),0)</f>
        <v/>
      </c>
      <c r="R1026">
        <f>IF(AND(Inputs!$B$39&lt;&gt;"pvp",Inputs!$B$44&gt;0),IF(MAX(0,Inputs!$B$44-B1057)&lt;=0,0,(INT(MAX(0,Inputs!$B$44-B1057)/(IF(Inputs!$B$39="pvp",15,MAX(0.1,Skills!D9-IF(Skills!E9=TRUE,Inputs!$B$33,0)))*(1-IF(AND(ArtifactsInput!$M$27,Inputs!$B$4="Chapter Hunt"),CHOOSE(ArtifactsInput!$N$27+1,20,24,28,32,36,40),0)/100)))+1)),0)</f>
        <v/>
      </c>
      <c r="S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$21+Skills!O9+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1026*(1-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$22+Skills!P9+B1049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Skills!A10</f>
        <v/>
      </c>
      <c r="B1027">
        <f>Skills!B10</f>
        <v/>
      </c>
      <c r="C1027">
        <f>Inputs!$B$3&gt;=66</f>
        <v/>
      </c>
      <c r="D1027">
        <f>IF(Skills!C10=1,60+Inputs!$B$26+(Inputs!$B$30+1),IF(Skills!C10=2,90+Inputs!$B$27+(Inputs!$B$30+1),IF(Skills!C10=3,120+Inputs!$B$28+(Inputs!$B$30+1),MAX(0,(Inputs!$B$3-100)*3)+Inputs!$B$29+(Inputs!$B$30+1))))</f>
        <v/>
      </c>
      <c r="E1027">
        <f>INDEX(FactorTable!$B$2:$Y$301, MATCH(ROUND(MIN(300,MAX(1,D1027)),0), FactorTable!$A$2:$A$301,0), Skills!L10+1)</f>
        <v/>
      </c>
      <c r="F1027" t="n">
        <v>0</v>
      </c>
      <c r="G1027">
        <f>Calc!G10</f>
        <v/>
      </c>
      <c r="H1027">
        <f>Calc!H10</f>
        <v/>
      </c>
      <c r="I1027">
        <f>IF(Skills!T10&lt;&gt;"",1+(Skills!T10/10)*($Z$3/1000)/100,1)</f>
        <v/>
      </c>
      <c r="J1027" t="inlineStr"/>
      <c r="K1027" t="inlineStr"/>
      <c r="L1027" t="inlineStr"/>
      <c r="M1027" t="inlineStr"/>
      <c r="N1027" t="inlineStr"/>
      <c r="O1027">
        <f>(1-Summary!$B$11)*S1027+Summary!$B$11*U1027</f>
        <v/>
      </c>
      <c r="P1027">
        <f>IF(B1060=0,0,O1027/B1060)</f>
        <v/>
      </c>
      <c r="Q1027">
        <f>IFERROR(1/(IF(Inputs!$B$39="pvp",15,MAX(0.1,Skills!D10-IF(Skills!E10=TRUE,Inputs!$B$33,0)))*(1-IF(AND(ArtifactsInput!$M$27,Inputs!$B$4="Chapter Hunt"),CHOOSE(ArtifactsInput!$N$27+1,20,24,28,32,36,40),0)/100)),0)</f>
        <v/>
      </c>
      <c r="R1027">
        <f>IF(AND(Inputs!$B$39&lt;&gt;"pvp",Inputs!$B$44&gt;0),IF(MAX(0,Inputs!$B$44-B1057)&lt;=0,0,(INT(MAX(0,Inputs!$B$44-B1057)/(IF(Inputs!$B$39="pvp",15,MAX(0.1,Skills!D10-IF(Skills!E10=TRUE,Inputs!$B$33,0)))*(1-IF(AND(ArtifactsInput!$M$27,Inputs!$B$4="Chapter Hunt"),CHOOSE(ArtifactsInput!$N$27+1,20,24,28,32,36,40),0)/100)))+1)),0)</f>
        <v/>
      </c>
      <c r="S1027" t="n">
        <v>0</v>
      </c>
      <c r="U1027" t="n">
        <v>0</v>
      </c>
    </row>
    <row r="1028">
      <c r="A1028">
        <f>Skills!A11</f>
        <v/>
      </c>
      <c r="B1028">
        <f>Skills!B11</f>
        <v/>
      </c>
      <c r="C1028">
        <f>Inputs!$B$3&gt;=69</f>
        <v/>
      </c>
      <c r="D1028">
        <f>IF(Skills!C11=1,60+Inputs!$B$26+(Inputs!$B$30+1),IF(Skills!C11=2,90+Inputs!$B$27+(Inputs!$B$30+1),IF(Skills!C11=3,120+Inputs!$B$28+(Inputs!$B$30+1),MAX(0,(Inputs!$B$3-100)*3)+Inputs!$B$29+(Inputs!$B$30+1))))</f>
        <v/>
      </c>
      <c r="E1028">
        <f>INDEX(FactorTable!$B$2:$Y$301, MATCH(ROUND(MIN(300,MAX(1,D1028)),0), FactorTable!$A$2:$A$301,0), Skills!L11+1)</f>
        <v/>
      </c>
      <c r="F1028">
        <f>IF(Skills!M11=TRUE,(Skills!K11/10)*(E1028/1000),Skills!K11/10)+Skills!N11</f>
        <v/>
      </c>
      <c r="G1028">
        <f>Calc!G11</f>
        <v/>
      </c>
      <c r="H1028">
        <f>Calc!H11</f>
        <v/>
      </c>
      <c r="I1028">
        <f>IF(Skills!T11&lt;&gt;"",1+(Skills!T11/10)*($Z$3/1000)/100,1)</f>
        <v/>
      </c>
      <c r="J1028" t="inlineStr"/>
      <c r="K1028" t="inlineStr"/>
      <c r="L1028" t="inlineStr"/>
      <c r="M1028" t="inlineStr"/>
      <c r="N1028" t="inlineStr"/>
      <c r="O1028">
        <f>(1-Summary!$B$11)*S1028+Summary!$B$11*U1028</f>
        <v/>
      </c>
      <c r="P1028">
        <f>IF(B1060=0,0,O1028/B1060)</f>
        <v/>
      </c>
      <c r="Q1028">
        <f>IFERROR(1/(IF(Inputs!$B$39="pvp",15,MAX(0.1,Skills!D11-IF(Skills!E11=TRUE,Inputs!$B$33,0)))*(1-IF(AND(ArtifactsInput!$M$27,Inputs!$B$4="Chapter Hunt"),CHOOSE(ArtifactsInput!$N$27+1,20,24,28,32,36,40),0)/100)),0)</f>
        <v/>
      </c>
      <c r="R1028">
        <f>IF(AND(Inputs!$B$39&lt;&gt;"pvp",Inputs!$B$44&gt;0),IF(Inputs!$B$44&lt;=0,0,(INT(Inputs!$B$44/(IF(Inputs!$B$39="pvp",15,MAX(0.1,Skills!D11-IF(Skills!E11=TRUE,Inputs!$B$33,0)))*(1-IF(AND(ArtifactsInput!$M$27,Inputs!$B$4="Chapter Hunt"),CHOOSE(ArtifactsInput!$N$27+1,20,24,28,32,36,40),0)/100)))+1)),0)</f>
        <v/>
      </c>
      <c r="S1028" t="n">
        <v>0</v>
      </c>
      <c r="U1028" t="n">
        <v>0</v>
      </c>
    </row>
    <row r="1029">
      <c r="A1029">
        <f>Skills!A12</f>
        <v/>
      </c>
      <c r="B1029">
        <f>Skills!B12</f>
        <v/>
      </c>
      <c r="C1029">
        <f>Inputs!$B$3&gt;=72</f>
        <v/>
      </c>
      <c r="D1029">
        <f>IF(Skills!C12=1,60+Inputs!$B$26+(Inputs!$B$30+1),IF(Skills!C12=2,90+Inputs!$B$27+(Inputs!$B$30+1),IF(Skills!C12=3,120+Inputs!$B$28+(Inputs!$B$30+1),MAX(0,(Inputs!$B$3-100)*3)+Inputs!$B$29+(Inputs!$B$30+1))))</f>
        <v/>
      </c>
      <c r="E1029">
        <f>INDEX(FactorTable!$B$2:$Y$301, MATCH(ROUND(MIN(300,MAX(1,D1029)),0), FactorTable!$A$2:$A$301,0), Skills!L12+1)</f>
        <v/>
      </c>
      <c r="F1029">
        <f>IF(Skills!M12=TRUE,(Skills!K12/10)*(E1029/1000),Skills!K12/10)+Skills!N12</f>
        <v/>
      </c>
      <c r="G1029">
        <f>Calc!G12</f>
        <v/>
      </c>
      <c r="H1029">
        <f>Calc!H12</f>
        <v/>
      </c>
      <c r="I1029">
        <f>IF(Skills!T12&lt;&gt;"",1+(Skills!T12/10)*($Z$3/1000)/100,1)</f>
        <v/>
      </c>
      <c r="J1029" t="inlineStr"/>
      <c r="K1029" t="inlineStr"/>
      <c r="L1029" t="inlineStr"/>
      <c r="M1029" t="inlineStr"/>
      <c r="N1029" t="inlineStr"/>
      <c r="O1029">
        <f>(1-Summary!$B$11)*S1029+Summary!$B$11*U1029</f>
        <v/>
      </c>
      <c r="P1029">
        <f>IF(B1060=0,0,O1029/B1060)</f>
        <v/>
      </c>
      <c r="Q1029">
        <f>IFERROR(1/(IF(Inputs!$B$39="pvp",15,MAX(0.1,Skills!D12-IF(Skills!E12=TRUE,Inputs!$B$33,0)))*(1-IF(AND(ArtifactsInput!$M$27,Inputs!$B$4="Chapter Hunt"),CHOOSE(ArtifactsInput!$N$27+1,20,24,28,32,36,40),0)/100)),0)</f>
        <v/>
      </c>
      <c r="R1029">
        <f>IF(AND(Inputs!$B$39&lt;&gt;"pvp",Inputs!$B$44&gt;0),IF(MAX(0,Inputs!$B$44-B1057)&lt;=0,0,(INT(MAX(0,Inputs!$B$44-B1057)/(IF(Inputs!$B$39="pvp",15,MAX(0.1,Skills!D12-IF(Skills!E12=TRUE,Inputs!$B$33,0)))*(1-IF(AND(ArtifactsInput!$M$27,Inputs!$B$4="Chapter Hunt"),CHOOSE(ArtifactsInput!$N$27+1,20,24,28,32,36,40),0)/100)))+1)),0)</f>
        <v/>
      </c>
      <c r="S1029" t="n">
        <v>0</v>
      </c>
      <c r="U1029" t="n">
        <v>0</v>
      </c>
    </row>
    <row r="1030">
      <c r="A1030">
        <f>Skills!A13</f>
        <v/>
      </c>
      <c r="B1030">
        <f>Skills!B13</f>
        <v/>
      </c>
      <c r="C1030">
        <f>Inputs!$B$3&gt;=60</f>
        <v/>
      </c>
      <c r="D1030">
        <f>IF(Skills!C13=1,60+Inputs!$B$26+(Inputs!$B$30+1),IF(Skills!C13=2,90+Inputs!$B$27+(Inputs!$B$30+1),IF(Skills!C13=3,120+Inputs!$B$28+(Inputs!$B$30+1),MAX(0,(Inputs!$B$3-100)*3)+Inputs!$B$29+(Inputs!$B$30+1))))</f>
        <v/>
      </c>
      <c r="E1030">
        <f>INDEX(FactorTable!$B$2:$Y$301, MATCH(ROUND(MIN(300,MAX(1,D1030)),0), FactorTable!$A$2:$A$301,0), Skills!L13+1)</f>
        <v/>
      </c>
      <c r="F1030">
        <f>IF(Skills!M13=TRUE,(Skills!K13/10)*(E1030/1000),Skills!K13/10)+Skills!N13</f>
        <v/>
      </c>
      <c r="G1030">
        <f>Calc!G13</f>
        <v/>
      </c>
      <c r="H1030">
        <f>Calc!H13</f>
        <v/>
      </c>
      <c r="I1030">
        <f>IF(Skills!T13&lt;&gt;"",1+(Skills!T13/10)*($Z$3/1000)/100,1)</f>
        <v/>
      </c>
      <c r="J1030" t="inlineStr"/>
      <c r="K1030" t="inlineStr"/>
      <c r="L1030" t="inlineStr"/>
      <c r="M1030" t="inlineStr"/>
      <c r="N1030" t="inlineStr"/>
      <c r="O1030">
        <f>(1-Summary!$B$11)*S1030+Summary!$B$11*U1030</f>
        <v/>
      </c>
      <c r="P1030">
        <f>IF(B1060=0,0,O1030/B1060)</f>
        <v/>
      </c>
      <c r="Q1030">
        <f>IFERROR(1/(IF(Inputs!$B$39="pvp",15,MAX(0.1,Skills!D13-IF(Skills!E13=TRUE,Inputs!$B$33,0)))*(1-IF(AND(ArtifactsInput!$M$27,Inputs!$B$4="Chapter Hunt"),CHOOSE(ArtifactsInput!$N$27+1,20,24,28,32,36,40),0)/100)),0)</f>
        <v/>
      </c>
      <c r="R1030">
        <f>IF(AND(Inputs!$B$39&lt;&gt;"pvp",Inputs!$B$44&gt;0),IF(MAX(0,Inputs!$B$44-B1057)&lt;=0,0,(INT(MAX(0,Inputs!$B$44-B1057)/(IF(Inputs!$B$39="pvp",15,MAX(0.1,Skills!D13-IF(Skills!E13=TRUE,Inputs!$B$33,0)))*(1-IF(AND(ArtifactsInput!$M$27,Inputs!$B$4="Chapter Hunt"),CHOOSE(ArtifactsInput!$N$27+1,20,24,28,32,36,40),0)/100)))+1)),0)</f>
        <v/>
      </c>
      <c r="S1030" t="n">
        <v>0</v>
      </c>
      <c r="U1030" t="n">
        <v>0</v>
      </c>
    </row>
    <row r="1031">
      <c r="A1031">
        <f>Skills!A14</f>
        <v/>
      </c>
      <c r="B1031">
        <f>Skills!B14</f>
        <v/>
      </c>
      <c r="C1031">
        <f>Inputs!$B$3&gt;=107</f>
        <v/>
      </c>
      <c r="D1031">
        <f>IF(Skills!C14=1,60+Inputs!$B$26+(Inputs!$B$30+1),IF(Skills!C14=2,90+Inputs!$B$27+(Inputs!$B$30+1),IF(Skills!C14=3,120+Inputs!$B$28+(Inputs!$B$30+1),MAX(0,(Inputs!$B$3-100)*3)+Inputs!$B$29+(Inputs!$B$30+1))))</f>
        <v/>
      </c>
      <c r="E1031">
        <f>INDEX(FactorTable!$B$2:$Y$301, MATCH(ROUND(MIN(300,MAX(1,D1031)),0), FactorTable!$A$2:$A$301,0), Skills!L14+1)</f>
        <v/>
      </c>
      <c r="F1031">
        <f>IF(Skills!M14=TRUE,(Skills!K14/10)*(E1031/1000),Skills!K14/10)+Skills!N14</f>
        <v/>
      </c>
      <c r="G1031">
        <f>Calc!G14</f>
        <v/>
      </c>
      <c r="H1031">
        <f>Calc!H14</f>
        <v/>
      </c>
      <c r="I1031">
        <f>IF(Skills!T14&lt;&gt;"",1+(Skills!T14/10)*($Z$3/1000)/100,1)</f>
        <v/>
      </c>
      <c r="J1031" t="inlineStr"/>
      <c r="K1031" t="inlineStr"/>
      <c r="L1031" t="inlineStr"/>
      <c r="M1031" t="inlineStr"/>
      <c r="N1031" t="inlineStr"/>
      <c r="O1031">
        <f>(1-Summary!$B$11)*S1031+Summary!$B$11*U1031</f>
        <v/>
      </c>
      <c r="P1031">
        <f>IF(B1060=0,0,O1031/B1060)</f>
        <v/>
      </c>
      <c r="Q1031">
        <f>IFERROR(1/(IF(Inputs!$B$39="pvp",15,MAX(0.1,Skills!D14-IF(Skills!E14=TRUE,Inputs!$B$33,0)))*(1-IF(AND(ArtifactsInput!$M$27,Inputs!$B$4="Chapter Hunt"),CHOOSE(ArtifactsInput!$N$27+1,20,24,28,32,36,40),0)/100)),0)</f>
        <v/>
      </c>
      <c r="R1031">
        <f>IF(AND(Inputs!$B$39&lt;&gt;"pvp",Inputs!$B$44&gt;0),IF(Inputs!$B$44&lt;=0,0,(INT(Inputs!$B$44/(IF(Inputs!$B$39="pvp",15,MAX(0.1,Skills!D14-IF(Skills!E14=TRUE,Inputs!$B$33,0)))*(1-IF(AND(ArtifactsInput!$M$27,Inputs!$B$4="Chapter Hunt"),CHOOSE(ArtifactsInput!$N$27+1,20,24,28,32,36,40),0)/100)))+1)),0)</f>
        <v/>
      </c>
      <c r="S1031" t="n">
        <v>0</v>
      </c>
      <c r="U1031" t="n">
        <v>0</v>
      </c>
    </row>
    <row r="1032">
      <c r="A1032">
        <f>Skills!A15</f>
        <v/>
      </c>
      <c r="B1032">
        <f>Skills!B15</f>
        <v/>
      </c>
      <c r="C1032">
        <f>Inputs!$B$3&gt;=63</f>
        <v/>
      </c>
      <c r="D1032">
        <f>IF(Skills!C15=1,60+Inputs!$B$26+(Inputs!$B$30+1),IF(Skills!C15=2,90+Inputs!$B$27+(Inputs!$B$30+1),IF(Skills!C15=3,120+Inputs!$B$28+(Inputs!$B$30+1),MAX(0,(Inputs!$B$3-100)*3)+Inputs!$B$29+(Inputs!$B$30+1))))</f>
        <v/>
      </c>
      <c r="E1032">
        <f>INDEX(FactorTable!$B$2:$Y$301, MATCH(ROUND(MIN(300,MAX(1,D1032)),0), FactorTable!$A$2:$A$301,0), Skills!L15+1)</f>
        <v/>
      </c>
      <c r="F1032">
        <f>IF(Skills!M15=TRUE,(Skills!K15/10)*(E1032/1000),Skills!K15/10)+Skills!N15</f>
        <v/>
      </c>
      <c r="G1032">
        <f>Calc!G15</f>
        <v/>
      </c>
      <c r="H1032">
        <f>Calc!H15</f>
        <v/>
      </c>
      <c r="I1032">
        <f>IF(Skills!T15&lt;&gt;"",1+(Skills!T15/10)*($Z$3/1000)/100,1)</f>
        <v/>
      </c>
      <c r="J1032">
        <f>((Inputs!$B$6*(1+Inputs!$B$7/100))+(((Inputs!$B$13*(1+Inputs!$B$14/100))-(Inputs!$B$13*(1+Inputs!$B$14/100)))+0.25*(Inputs!$B$15-Inputs!$B$15))*(1+Inputs!$B$7/100))*(F1032/100)</f>
        <v/>
      </c>
      <c r="K1032">
        <f>J1032*(1+(((Inputs!$B$13+IF(Inputs!$B$3&gt;=35,(10*INDEX(FactorTable!$B$2:$Y$301,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15="TRIUMPH_FEATHER",IF(C1033=TRUE,F1033,0),0)/100)*(1+IF(C1044=TRUE,F1044,0)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1032)</f>
        <v/>
      </c>
      <c r="L1032">
        <f>K1032*(MIN(Inputs!$B$23+(F1039-Calc!F22),(Inputs!$B$24+IF(ArtifactsInput!$M$15,CHOOSE(ArtifactsInput!$N$15+1,25,30,35,40,45,50)/100*(Inputs!$B$12-Inputs!$B$12),0)))/100+(Inputs!$B$24+IF(ArtifactsInput!$M$15,CHOOSE(ArtifactsInput!$N$15+1,25,30,35,40,45,50)/100*(Inputs!$B$12-Inputs!$B$12),0))/100)/2</f>
        <v/>
      </c>
      <c r="M1032">
        <f>L1032*(1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32">
        <f>L1032*(1-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(1-Summary!$B$11)*S1032+Summary!$B$11*U1032</f>
        <v/>
      </c>
      <c r="P1032">
        <f>IF(B1060=0,0,O1032/B1060)</f>
        <v/>
      </c>
      <c r="Q1032">
        <f>IFERROR(1/(IF(Inputs!$B$39="pvp",15,MAX(0.1,Skills!D15-IF(Skills!E15=TRUE,Inputs!$B$33,0)))*(1-IF(AND(ArtifactsInput!$M$27,Inputs!$B$4="Chapter Hunt"),CHOOSE(ArtifactsInput!$N$27+1,20,24,28,32,36,40),0)/100)),0)</f>
        <v/>
      </c>
      <c r="R1032" t="n">
        <v>0</v>
      </c>
      <c r="S1032">
        <f>IF(C1032,(Skills!F15*N1032*((IF(Inputs!$B$3&gt;=78,25,15)/100*B1053*10)/(1+IF(Inputs!$B$3&gt;=78,25,15)/100*B1053*10))*(Skills!I15/100*B1053)/(1+Skills!G15*Skills!I15/100*B1053))*IF(Inputs!$B$39="pvp",1,1+(Inputs!$B$21+Skills!O15+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1032*(1-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32">
        <f>IF(C1032,(Skills!F15*N1032*((IF(Inputs!$B$3&gt;=78,25,15)/100*B1053*10)/(1+IF(Inputs!$B$3&gt;=78,25,15)/100*B1053*10))*(Skills!I15/100*B1053)/(1+Skills!G15*Skills!I15/100*B1053))*IF(Inputs!$B$39="pvp",1,(1+(Inputs!$B$22+Skills!P15+B1049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Skills!A16</f>
        <v/>
      </c>
      <c r="B1033">
        <f>Skills!B16</f>
        <v/>
      </c>
      <c r="C1033">
        <f>Inputs!$B$3&gt;=100</f>
        <v/>
      </c>
      <c r="D1033">
        <f>IF(Skills!C16=1,60+Inputs!$B$26+(Inputs!$B$30+1),IF(Skills!C16=2,90+Inputs!$B$27+(Inputs!$B$30+1),IF(Skills!C16=3,120+Inputs!$B$28+(Inputs!$B$30+1),MAX(0,(Inputs!$B$3-100)*3)+Inputs!$B$29+(Inputs!$B$30+1))))</f>
        <v/>
      </c>
      <c r="E1033">
        <f>INDEX(FactorTable!$B$2:$Y$301, MATCH(ROUND(MIN(300,MAX(1,D1033)),0), FactorTable!$A$2:$A$301,0), Skills!L16+1)</f>
        <v/>
      </c>
      <c r="F1033">
        <f>IF(Skills!M16=TRUE,(Skills!K16/10)*(E1033/1000),Skills!K16/10)+Skills!N16</f>
        <v/>
      </c>
      <c r="G1033">
        <f>Calc!G16</f>
        <v/>
      </c>
      <c r="H1033">
        <f>Calc!H16</f>
        <v/>
      </c>
      <c r="I1033">
        <f>IF(Skills!T16&lt;&gt;"",1+(Skills!T16/10)*($Z$3/1000)/100,1)</f>
        <v/>
      </c>
      <c r="J1033" t="inlineStr"/>
      <c r="K1033" t="inlineStr"/>
      <c r="L1033" t="inlineStr"/>
      <c r="M1033" t="inlineStr"/>
      <c r="N1033" t="inlineStr"/>
      <c r="O1033">
        <f>(1-Summary!$B$11)*S1033+Summary!$B$11*U1033</f>
        <v/>
      </c>
      <c r="P1033">
        <f>IF(B1060=0,0,O1033/B1060)</f>
        <v/>
      </c>
      <c r="Q1033">
        <f>IFERROR(1/(IF(Inputs!$B$39="pvp",15,MAX(0.1,Skills!D16-IF(Skills!E16=TRUE,Inputs!$B$33,0)))*(1-IF(AND(ArtifactsInput!$M$27,Inputs!$B$4="Chapter Hunt"),CHOOSE(ArtifactsInput!$N$27+1,20,24,28,32,36,40),0)/100)),0)</f>
        <v/>
      </c>
      <c r="R1033" t="n">
        <v>0</v>
      </c>
      <c r="S1033" t="n">
        <v>0</v>
      </c>
      <c r="U1033" t="n">
        <v>0</v>
      </c>
    </row>
    <row r="1034">
      <c r="A1034">
        <f>Skills!A17</f>
        <v/>
      </c>
      <c r="B1034">
        <f>Skills!B17</f>
        <v/>
      </c>
      <c r="C1034">
        <f>Inputs!$B$3&gt;=49</f>
        <v/>
      </c>
      <c r="D1034">
        <f>IF(Skills!C17=1,60+Inputs!$B$26+(Inputs!$B$30+1),IF(Skills!C17=2,90+Inputs!$B$27+(Inputs!$B$30+1),IF(Skills!C17=3,120+Inputs!$B$28+(Inputs!$B$30+1),MAX(0,(Inputs!$B$3-100)*3)+Inputs!$B$29+(Inputs!$B$30+1))))</f>
        <v/>
      </c>
      <c r="E1034">
        <f>INDEX(FactorTable!$B$2:$Y$301, MATCH(ROUND(MIN(300,MAX(1,D1034)),0), FactorTable!$A$2:$A$301,0), Skills!L17+1)</f>
        <v/>
      </c>
      <c r="F1034">
        <f>IF(Skills!M17=TRUE,(Skills!K17/10)*(E1034/1000),Skills!K17/10)+Skills!N17</f>
        <v/>
      </c>
      <c r="G1034">
        <f>Calc!G17</f>
        <v/>
      </c>
      <c r="H1034">
        <f>Calc!H17</f>
        <v/>
      </c>
      <c r="I1034">
        <f>IF(Skills!T17&lt;&gt;"",1+(Skills!T17/10)*($Z$3/1000)/100,1)</f>
        <v/>
      </c>
      <c r="J1034" t="inlineStr"/>
      <c r="K1034" t="inlineStr"/>
      <c r="L1034" t="inlineStr"/>
      <c r="M1034" t="inlineStr"/>
      <c r="N1034" t="inlineStr"/>
      <c r="O1034">
        <f>(1-Summary!$B$11)*S1034+Summary!$B$11*U1034</f>
        <v/>
      </c>
      <c r="P1034">
        <f>IF(B1060=0,0,O1034/B1060)</f>
        <v/>
      </c>
      <c r="Q1034">
        <f>IFERROR(1/(IF(Inputs!$B$39="pvp",15,MAX(0.1,Skills!D17-IF(Skills!E17=TRUE,Inputs!$B$33,0)))*(1-IF(AND(ArtifactsInput!$M$27,Inputs!$B$4="Chapter Hunt"),CHOOSE(ArtifactsInput!$N$27+1,20,24,28,32,36,40),0)/100)),0)</f>
        <v/>
      </c>
      <c r="R1034" t="n">
        <v>0</v>
      </c>
      <c r="S1034" t="n">
        <v>0</v>
      </c>
      <c r="U1034" t="n">
        <v>0</v>
      </c>
    </row>
    <row r="1035">
      <c r="A1035">
        <f>Skills!A18</f>
        <v/>
      </c>
      <c r="B1035">
        <f>Skills!B18</f>
        <v/>
      </c>
      <c r="C1035">
        <f>Inputs!$B$3&gt;=75</f>
        <v/>
      </c>
      <c r="D1035">
        <f>IF(Skills!C18=1,60+Inputs!$B$26+(Inputs!$B$30+1),IF(Skills!C18=2,90+Inputs!$B$27+(Inputs!$B$30+1),IF(Skills!C18=3,120+Inputs!$B$28+(Inputs!$B$30+1),MAX(0,(Inputs!$B$3-100)*3)+Inputs!$B$29+(Inputs!$B$30+1))))</f>
        <v/>
      </c>
      <c r="E1035">
        <f>INDEX(FactorTable!$B$2:$Y$301, MATCH(ROUND(MIN(300,MAX(1,D1035)),0), FactorTable!$A$2:$A$301,0), Skills!L18+1)</f>
        <v/>
      </c>
      <c r="F1035">
        <f>IF(Skills!M18=TRUE,(Skills!K18/10)*(E1035/1000),Skills!K18/10)+Skills!N18</f>
        <v/>
      </c>
      <c r="G1035">
        <f>Calc!G18</f>
        <v/>
      </c>
      <c r="H1035">
        <f>Calc!H18</f>
        <v/>
      </c>
      <c r="I1035">
        <f>IF(Skills!T18&lt;&gt;"",1+(Skills!T18/10)*($Z$3/1000)/100,1)</f>
        <v/>
      </c>
      <c r="J1035" t="inlineStr"/>
      <c r="K1035" t="inlineStr"/>
      <c r="L1035" t="inlineStr"/>
      <c r="M1035" t="inlineStr"/>
      <c r="N1035" t="inlineStr"/>
      <c r="O1035">
        <f>(1-Summary!$B$11)*S1035+Summary!$B$11*U1035</f>
        <v/>
      </c>
      <c r="P1035">
        <f>IF(B1060=0,0,O1035/B1060)</f>
        <v/>
      </c>
      <c r="Q1035">
        <f>IFERROR(1/(IF(Inputs!$B$39="pvp",15,MAX(0.1,Skills!D18-IF(Skills!E18=TRUE,Inputs!$B$33,0)))*(1-IF(AND(ArtifactsInput!$M$27,Inputs!$B$4="Chapter Hunt"),CHOOSE(ArtifactsInput!$N$27+1,20,24,28,32,36,40),0)/100)),0)</f>
        <v/>
      </c>
      <c r="R1035" t="n">
        <v>0</v>
      </c>
      <c r="S1035" t="n">
        <v>0</v>
      </c>
      <c r="U1035" t="n">
        <v>0</v>
      </c>
    </row>
    <row r="1036">
      <c r="A1036">
        <f>Skills!A19</f>
        <v/>
      </c>
      <c r="B1036">
        <f>Skills!B19</f>
        <v/>
      </c>
      <c r="C1036">
        <f>Inputs!$B$3&gt;=110</f>
        <v/>
      </c>
      <c r="D1036">
        <f>IF(Skills!C19=1,60+Inputs!$B$26+(Inputs!$B$30+1),IF(Skills!C19=2,90+Inputs!$B$27+(Inputs!$B$30+1),IF(Skills!C19=3,120+Inputs!$B$28+(Inputs!$B$30+1),MAX(0,(Inputs!$B$3-100)*3)+Inputs!$B$29+(Inputs!$B$30+1))))</f>
        <v/>
      </c>
      <c r="E1036">
        <f>INDEX(FactorTable!$B$2:$Y$301, MATCH(ROUND(MIN(300,MAX(1,D1036)),0), FactorTable!$A$2:$A$301,0), Skills!L19+1)</f>
        <v/>
      </c>
      <c r="F1036">
        <f>(Skills!K19/10)*(E1036/1000)*64/45+Skills!N19</f>
        <v/>
      </c>
      <c r="G1036">
        <f>Calc!G19</f>
        <v/>
      </c>
      <c r="H1036">
        <f>Calc!H19</f>
        <v/>
      </c>
      <c r="I1036">
        <f>IF(Skills!T19&lt;&gt;"",1+(Skills!T19/10)*($Z$3/1000)/100,1)</f>
        <v/>
      </c>
      <c r="J1036" t="inlineStr"/>
      <c r="K1036" t="inlineStr"/>
      <c r="L1036" t="inlineStr"/>
      <c r="M1036" t="inlineStr"/>
      <c r="N1036" t="inlineStr"/>
      <c r="O1036">
        <f>(1-Summary!$B$11)*S1036+Summary!$B$11*U1036</f>
        <v/>
      </c>
      <c r="P1036">
        <f>IF(B1060=0,0,O1036/B1060)</f>
        <v/>
      </c>
      <c r="Q1036">
        <f>IFERROR(1/(IF(Inputs!$B$39="pvp",15,MAX(0.1,Skills!D19-IF(Skills!E19=TRUE,Inputs!$B$33,0)))*(1-IF(AND(ArtifactsInput!$M$27,Inputs!$B$4="Chapter Hunt"),CHOOSE(ArtifactsInput!$N$27+1,20,24,28,32,36,40),0)/100)),0)</f>
        <v/>
      </c>
      <c r="R1036">
        <f>IF(AND(Inputs!$B$39&lt;&gt;"pvp",Inputs!$B$44&gt;0),IF(Inputs!$B$44&lt;=0,0,(INT(Inputs!$B$44/(IF(Inputs!$B$39="pvp",15,MAX(0.1,Skills!D19-IF(Skills!E19=TRUE,Inputs!$B$33,0)))*(1-IF(AND(ArtifactsInput!$M$27,Inputs!$B$4="Chapter Hunt"),CHOOSE(ArtifactsInput!$N$27+1,20,24,28,32,36,40),0)/100)))+1)),0)</f>
        <v/>
      </c>
      <c r="S1036" t="n">
        <v>0</v>
      </c>
      <c r="U1036" t="n">
        <v>0</v>
      </c>
    </row>
    <row r="1037">
      <c r="A1037">
        <f>Skills!A20</f>
        <v/>
      </c>
      <c r="B1037">
        <f>Skills!B20</f>
        <v/>
      </c>
      <c r="C1037">
        <f>Inputs!$B$3&gt;=125</f>
        <v/>
      </c>
      <c r="D1037">
        <f>IF(Skills!C20=1,60+Inputs!$B$26+(Inputs!$B$30+1),IF(Skills!C20=2,90+Inputs!$B$27+(Inputs!$B$30+1),IF(Skills!C20=3,120+Inputs!$B$28+(Inputs!$B$30+1),MAX(0,(Inputs!$B$3-100)*3)+Inputs!$B$29+(Inputs!$B$30+1))))</f>
        <v/>
      </c>
      <c r="E1037">
        <f>INDEX(FactorTable!$B$2:$Y$301, MATCH(ROUND(MIN(300,MAX(1,D1037)),0), FactorTable!$A$2:$A$301,0), Skills!L20+1)</f>
        <v/>
      </c>
      <c r="F1037">
        <f>IF(Skills!M20=TRUE,(Skills!K20/10)*(E1037/1000),Skills!K20/10)+Skills!N20</f>
        <v/>
      </c>
      <c r="G1037">
        <f>Calc!G20</f>
        <v/>
      </c>
      <c r="H1037">
        <f>Calc!H20</f>
        <v/>
      </c>
      <c r="I1037">
        <f>IF(Skills!T20&lt;&gt;"",1+(Skills!T20/10)*($Z$3/1000)/100,1)</f>
        <v/>
      </c>
      <c r="J1037" t="inlineStr"/>
      <c r="K1037" t="inlineStr"/>
      <c r="L1037" t="inlineStr"/>
      <c r="M1037" t="inlineStr"/>
      <c r="N1037" t="inlineStr"/>
      <c r="O1037">
        <f>(1-Summary!$B$11)*S1037+Summary!$B$11*U1037</f>
        <v/>
      </c>
      <c r="P1037">
        <f>IF(B1060=0,0,O1037/B1060)</f>
        <v/>
      </c>
      <c r="Q1037">
        <f>IFERROR(1/(IF(Inputs!$B$39="pvp",15,MAX(0.1,Skills!D20-IF(Skills!E20=TRUE,Inputs!$B$33,0)))*(1-IF(AND(ArtifactsInput!$M$27,Inputs!$B$4="Chapter Hunt"),CHOOSE(ArtifactsInput!$N$27+1,20,24,28,32,36,40),0)/100)),0)</f>
        <v/>
      </c>
      <c r="R1037" t="n">
        <v>0</v>
      </c>
      <c r="S1037" t="n">
        <v>0</v>
      </c>
      <c r="U1037" t="n">
        <v>0</v>
      </c>
    </row>
    <row r="1038">
      <c r="A1038">
        <f>Skills!A21</f>
        <v/>
      </c>
      <c r="B1038">
        <f>Skills!B21</f>
        <v/>
      </c>
      <c r="C1038">
        <f>Inputs!$B$3&gt;=33</f>
        <v/>
      </c>
      <c r="D1038">
        <f>IF(Skills!C21=1,60+Inputs!$B$26+(Inputs!$B$30+1),IF(Skills!C21=2,90+Inputs!$B$27+(Inputs!$B$30+1),IF(Skills!C21=3,120+Inputs!$B$28+(Inputs!$B$30+1),MAX(0,(Inputs!$B$3-100)*3)+Inputs!$B$29+(Inputs!$B$30+1))))</f>
        <v/>
      </c>
      <c r="E1038">
        <f>INDEX(FactorTable!$B$2:$Y$301, MATCH(ROUND(MIN(300,MAX(1,D1038)),0), FactorTable!$A$2:$A$301,0), Skills!L21+1)</f>
        <v/>
      </c>
      <c r="F1038">
        <f>IF(Skills!M21=TRUE,(Skills!K21/10)*(E1038/1000),Skills!K21/10)+Skills!N21</f>
        <v/>
      </c>
      <c r="G1038">
        <f>Calc!G21</f>
        <v/>
      </c>
      <c r="H1038">
        <f>Calc!H21</f>
        <v/>
      </c>
      <c r="I1038">
        <f>IF(Skills!T21&lt;&gt;"",1+(Skills!T21/10)*($Z$3/1000)/100,1)</f>
        <v/>
      </c>
      <c r="J1038" t="inlineStr"/>
      <c r="K1038" t="inlineStr"/>
      <c r="L1038" t="inlineStr"/>
      <c r="M1038" t="inlineStr"/>
      <c r="N1038" t="inlineStr"/>
      <c r="O1038">
        <f>(1-Summary!$B$11)*S1038+Summary!$B$11*U1038</f>
        <v/>
      </c>
      <c r="P1038">
        <f>IF(B1060=0,0,O1038/B1060)</f>
        <v/>
      </c>
      <c r="Q1038">
        <f>IFERROR(1/(IF(Inputs!$B$39="pvp",15,MAX(0.1,Skills!D21-IF(Skills!E21=TRUE,Inputs!$B$33,0)))*(1-IF(AND(ArtifactsInput!$M$27,Inputs!$B$4="Chapter Hunt"),CHOOSE(ArtifactsInput!$N$27+1,20,24,28,32,36,40),0)/100)),0)</f>
        <v/>
      </c>
      <c r="R1038" t="n">
        <v>0</v>
      </c>
      <c r="S1038" t="n">
        <v>0</v>
      </c>
      <c r="U1038" t="n">
        <v>0</v>
      </c>
    </row>
    <row r="1039">
      <c r="A1039">
        <f>Skills!A22</f>
        <v/>
      </c>
      <c r="B1039">
        <f>Skills!B22</f>
        <v/>
      </c>
      <c r="C1039">
        <f>Inputs!$B$3&gt;=43</f>
        <v/>
      </c>
      <c r="D1039">
        <f>IF(Skills!C22=1,60+Inputs!$B$26+(Inputs!$B$30+1),IF(Skills!C22=2,90+Inputs!$B$27+(Inputs!$B$30+1),IF(Skills!C22=3,120+Inputs!$B$28+(Inputs!$B$30+1),MAX(0,(Inputs!$B$3-100)*3)+Inputs!$B$29+(Inputs!$B$30+1))))</f>
        <v/>
      </c>
      <c r="E1039">
        <f>INDEX(FactorTable!$B$2:$Y$301, MATCH(ROUND(MIN(300,MAX(1,D1039)),0), FactorTable!$A$2:$A$301,0), Skills!L22+1)</f>
        <v/>
      </c>
      <c r="F1039">
        <f>IF(Skills!M22=TRUE,(Skills!K22/10)*(E1039/1000),Skills!K22/10)+Skills!N22</f>
        <v/>
      </c>
      <c r="G1039">
        <f>Calc!G22</f>
        <v/>
      </c>
      <c r="H1039">
        <f>Calc!H22</f>
        <v/>
      </c>
      <c r="I1039">
        <f>IF(Skills!T22&lt;&gt;"",1+(Skills!T22/10)*($Z$3/1000)/100,1)</f>
        <v/>
      </c>
      <c r="J1039" t="inlineStr"/>
      <c r="K1039" t="inlineStr"/>
      <c r="L1039" t="inlineStr"/>
      <c r="M1039" t="inlineStr"/>
      <c r="N1039" t="inlineStr"/>
      <c r="O1039">
        <f>(1-Summary!$B$11)*S1039+Summary!$B$11*U1039</f>
        <v/>
      </c>
      <c r="P1039">
        <f>IF(B1060=0,0,O1039/B1060)</f>
        <v/>
      </c>
      <c r="Q1039">
        <f>IFERROR(1/(IF(Inputs!$B$39="pvp",15,MAX(0.1,Skills!D22-IF(Skills!E22=TRUE,Inputs!$B$33,0)))*(1-IF(AND(ArtifactsInput!$M$27,Inputs!$B$4="Chapter Hunt"),CHOOSE(ArtifactsInput!$N$27+1,20,24,28,32,36,40),0)/100)),0)</f>
        <v/>
      </c>
      <c r="R1039" t="n">
        <v>0</v>
      </c>
      <c r="S1039" t="n">
        <v>0</v>
      </c>
      <c r="U1039" t="n">
        <v>0</v>
      </c>
    </row>
    <row r="1040">
      <c r="A1040">
        <f>Skills!A23</f>
        <v/>
      </c>
      <c r="B1040">
        <f>Skills!B23</f>
        <v/>
      </c>
      <c r="C1040">
        <f>Inputs!$B$3&gt;=50</f>
        <v/>
      </c>
      <c r="D1040">
        <f>IF(Skills!C23=1,60+Inputs!$B$26+(Inputs!$B$30+1),IF(Skills!C23=2,90+Inputs!$B$27+(Inputs!$B$30+1),IF(Skills!C23=3,120+Inputs!$B$28+(Inputs!$B$30+1),MAX(0,(Inputs!$B$3-100)*3)+Inputs!$B$29+(Inputs!$B$30+1))))</f>
        <v/>
      </c>
      <c r="E1040">
        <f>INDEX(FactorTable!$B$2:$Y$301, MATCH(ROUND(MIN(300,MAX(1,D1040)),0), FactorTable!$A$2:$A$301,0), Skills!L23+1)</f>
        <v/>
      </c>
      <c r="F1040">
        <f>IF(Skills!M23=TRUE,(Skills!K23/10)*(E1040/1000),Skills!K23/10)+Skills!N23</f>
        <v/>
      </c>
      <c r="G1040">
        <f>Calc!G23</f>
        <v/>
      </c>
      <c r="H1040">
        <f>Calc!H23</f>
        <v/>
      </c>
      <c r="I1040">
        <f>IF(Skills!T23&lt;&gt;"",1+(Skills!T23/10)*($Z$3/1000)/100,1)</f>
        <v/>
      </c>
      <c r="J1040" t="inlineStr"/>
      <c r="K1040" t="inlineStr"/>
      <c r="L1040" t="inlineStr"/>
      <c r="M1040" t="inlineStr"/>
      <c r="N1040" t="inlineStr"/>
      <c r="O1040">
        <f>(1-Summary!$B$11)*S1040+Summary!$B$11*U1040</f>
        <v/>
      </c>
      <c r="P1040">
        <f>IF(B1060=0,0,O1040/B1060)</f>
        <v/>
      </c>
      <c r="Q1040">
        <f>IFERROR(1/(IF(Inputs!$B$39="pvp",15,MAX(0.1,Skills!D23-IF(Skills!E23=TRUE,Inputs!$B$33,0)))*(1-IF(AND(ArtifactsInput!$M$27,Inputs!$B$4="Chapter Hunt"),CHOOSE(ArtifactsInput!$N$27+1,20,24,28,32,36,40),0)/100)),0)</f>
        <v/>
      </c>
      <c r="R1040" t="n">
        <v>0</v>
      </c>
      <c r="S1040" t="n">
        <v>0</v>
      </c>
      <c r="U1040" t="n">
        <v>0</v>
      </c>
    </row>
    <row r="1041">
      <c r="A1041">
        <f>Skills!A24</f>
        <v/>
      </c>
      <c r="B1041">
        <f>Skills!B24</f>
        <v/>
      </c>
      <c r="C1041">
        <f>Inputs!$B$3&gt;=74</f>
        <v/>
      </c>
      <c r="D1041">
        <f>IF(Skills!C24=1,60+Inputs!$B$26+(Inputs!$B$30+1),IF(Skills!C24=2,90+Inputs!$B$27+(Inputs!$B$30+1),IF(Skills!C24=3,120+Inputs!$B$28+(Inputs!$B$30+1),MAX(0,(Inputs!$B$3-100)*3)+Inputs!$B$29+(Inputs!$B$30+1))))</f>
        <v/>
      </c>
      <c r="E1041">
        <f>INDEX(FactorTable!$B$2:$Y$301, MATCH(ROUND(MIN(300,MAX(1,D1041)),0), FactorTable!$A$2:$A$301,0), Skills!L24+1)</f>
        <v/>
      </c>
      <c r="F1041">
        <f>IF(Skills!M24=TRUE,(Skills!K24/10)*(E1041/1000),Skills!K24/10)+Skills!N24</f>
        <v/>
      </c>
      <c r="G1041">
        <f>Calc!G24</f>
        <v/>
      </c>
      <c r="H1041">
        <f>Calc!H24</f>
        <v/>
      </c>
      <c r="I1041">
        <f>IF(Skills!T24&lt;&gt;"",1+(Skills!T24/10)*($Z$3/1000)/100,1)</f>
        <v/>
      </c>
      <c r="J1041" t="inlineStr"/>
      <c r="K1041" t="inlineStr"/>
      <c r="L1041" t="inlineStr"/>
      <c r="M1041" t="inlineStr"/>
      <c r="N1041" t="inlineStr"/>
      <c r="O1041">
        <f>(1-Summary!$B$11)*S1041+Summary!$B$11*U1041</f>
        <v/>
      </c>
      <c r="P1041">
        <f>IF(B1060=0,0,O1041/B1060)</f>
        <v/>
      </c>
      <c r="Q1041">
        <f>IFERROR(1/(IF(Inputs!$B$39="pvp",15,MAX(0.1,Skills!D24-IF(Skills!E24=TRUE,Inputs!$B$33,0)))*(1-IF(AND(ArtifactsInput!$M$27,Inputs!$B$4="Chapter Hunt"),CHOOSE(ArtifactsInput!$N$27+1,20,24,28,32,36,40),0)/100)),0)</f>
        <v/>
      </c>
      <c r="R1041" t="n">
        <v>0</v>
      </c>
      <c r="S1041" t="n">
        <v>0</v>
      </c>
      <c r="U1041" t="n">
        <v>0</v>
      </c>
    </row>
    <row r="1042">
      <c r="A1042">
        <f>Skills!A25</f>
        <v/>
      </c>
      <c r="B1042">
        <f>Skills!B25</f>
        <v/>
      </c>
      <c r="C1042">
        <f>Inputs!$B$3&gt;=74</f>
        <v/>
      </c>
      <c r="D1042">
        <f>IF(Skills!C25=1,60+Inputs!$B$26+(Inputs!$B$30+1),IF(Skills!C25=2,90+Inputs!$B$27+(Inputs!$B$30+1),IF(Skills!C25=3,120+Inputs!$B$28+(Inputs!$B$30+1),MAX(0,(Inputs!$B$3-100)*3)+Inputs!$B$29+(Inputs!$B$30+1))))</f>
        <v/>
      </c>
      <c r="E1042">
        <f>INDEX(FactorTable!$B$2:$Y$301, MATCH(ROUND(MIN(300,MAX(1,D1042)),0), FactorTable!$A$2:$A$301,0), Skills!L25+1)</f>
        <v/>
      </c>
      <c r="F1042">
        <f>IF(Skills!M25=TRUE,(Skills!K25/10)*(E1042/1000),Skills!K25/10)+Skills!N25</f>
        <v/>
      </c>
      <c r="G1042">
        <f>Calc!G25</f>
        <v/>
      </c>
      <c r="H1042">
        <f>Calc!H25</f>
        <v/>
      </c>
      <c r="I1042">
        <f>IF(Skills!T25&lt;&gt;"",1+(Skills!T25/10)*($Z$3/1000)/100,1)</f>
        <v/>
      </c>
      <c r="J1042" t="inlineStr"/>
      <c r="K1042" t="inlineStr"/>
      <c r="L1042" t="inlineStr"/>
      <c r="M1042" t="inlineStr"/>
      <c r="N1042" t="inlineStr"/>
      <c r="O1042">
        <f>(1-Summary!$B$11)*S1042+Summary!$B$11*U1042</f>
        <v/>
      </c>
      <c r="P1042">
        <f>IF(B1060=0,0,O1042/B1060)</f>
        <v/>
      </c>
      <c r="Q1042">
        <f>IFERROR(1/(IF(Inputs!$B$39="pvp",15,MAX(0.1,Skills!D25-IF(Skills!E25=TRUE,Inputs!$B$33,0)))*(1-IF(AND(ArtifactsInput!$M$27,Inputs!$B$4="Chapter Hunt"),CHOOSE(ArtifactsInput!$N$27+1,20,24,28,32,36,40),0)/100)),0)</f>
        <v/>
      </c>
      <c r="R1042" t="n">
        <v>0</v>
      </c>
      <c r="S1042" t="n">
        <v>0</v>
      </c>
      <c r="U1042" t="n">
        <v>0</v>
      </c>
    </row>
    <row r="1043">
      <c r="A1043">
        <f>Skills!A26</f>
        <v/>
      </c>
      <c r="B1043">
        <f>Skills!B26</f>
        <v/>
      </c>
      <c r="C1043">
        <f>Inputs!$B$3&gt;=117</f>
        <v/>
      </c>
      <c r="D1043">
        <f>IF(Skills!C26=1,60+Inputs!$B$26+(Inputs!$B$30+1),IF(Skills!C26=2,90+Inputs!$B$27+(Inputs!$B$30+1),IF(Skills!C26=3,120+Inputs!$B$28+(Inputs!$B$30+1),MAX(0,(Inputs!$B$3-100)*3)+Inputs!$B$29+(Inputs!$B$30+1))))</f>
        <v/>
      </c>
      <c r="E1043">
        <f>INDEX(FactorTable!$B$2:$Y$301, MATCH(ROUND(MIN(300,MAX(1,D1043)),0), FactorTable!$A$2:$A$301,0), Skills!L26+1)</f>
        <v/>
      </c>
      <c r="F1043">
        <f>IF(Skills!M26=TRUE,(Skills!K26/10)*(E1043/1000),Skills!K26/10)+Skills!N26</f>
        <v/>
      </c>
      <c r="G1043">
        <f>Calc!G26</f>
        <v/>
      </c>
      <c r="H1043">
        <f>Calc!H26</f>
        <v/>
      </c>
      <c r="I1043">
        <f>IF(Skills!T26&lt;&gt;"",1+(Skills!T26/10)*($Z$3/1000)/100,1)</f>
        <v/>
      </c>
      <c r="J1043" t="inlineStr"/>
      <c r="K1043" t="inlineStr"/>
      <c r="L1043" t="inlineStr"/>
      <c r="M1043" t="inlineStr"/>
      <c r="N1043" t="inlineStr"/>
      <c r="O1043">
        <f>(1-Summary!$B$11)*S1043+Summary!$B$11*U1043</f>
        <v/>
      </c>
      <c r="P1043">
        <f>IF(B1060=0,0,O1043/B1060)</f>
        <v/>
      </c>
      <c r="Q1043">
        <f>IFERROR(1/(IF(Inputs!$B$39="pvp",15,MAX(0.1,Skills!D26-IF(Skills!E26=TRUE,Inputs!$B$33,0)))*(1-IF(AND(ArtifactsInput!$M$27,Inputs!$B$4="Chapter Hunt"),CHOOSE(ArtifactsInput!$N$27+1,20,24,28,32,36,40),0)/100)),0)</f>
        <v/>
      </c>
      <c r="R1043" t="n">
        <v>0</v>
      </c>
      <c r="S1043" t="n">
        <v>0</v>
      </c>
      <c r="U1043" t="n">
        <v>0</v>
      </c>
    </row>
    <row r="1044">
      <c r="A1044">
        <f>Skills!A27</f>
        <v/>
      </c>
      <c r="B1044">
        <f>Skills!B27</f>
        <v/>
      </c>
      <c r="C1044">
        <f>Inputs!$B$3&gt;=120</f>
        <v/>
      </c>
      <c r="D1044">
        <f>IF(Skills!C27=1,60+Inputs!$B$26+(Inputs!$B$30+1),IF(Skills!C27=2,90+Inputs!$B$27+(Inputs!$B$30+1),IF(Skills!C27=3,120+Inputs!$B$28+(Inputs!$B$30+1),MAX(0,(Inputs!$B$3-100)*3)+Inputs!$B$29+(Inputs!$B$30+1))))</f>
        <v/>
      </c>
      <c r="E1044">
        <f>INDEX(FactorTable!$B$2:$Y$301, MATCH(ROUND(MIN(300,MAX(1,D1044)),0), FactorTable!$A$2:$A$301,0), Skills!L27+1)</f>
        <v/>
      </c>
      <c r="F1044">
        <f>IF(Skills!M27=TRUE,(Skills!K27/10)*(E1044/1000),Skills!K27/10)+Skills!N27</f>
        <v/>
      </c>
      <c r="G1044">
        <f>Calc!G27</f>
        <v/>
      </c>
      <c r="H1044">
        <f>Calc!H27</f>
        <v/>
      </c>
      <c r="I1044">
        <f>IF(Skills!T27&lt;&gt;"",1+(Skills!T27/10)*($Z$3/1000)/100,1)</f>
        <v/>
      </c>
      <c r="J1044" t="inlineStr"/>
      <c r="K1044" t="inlineStr"/>
      <c r="L1044" t="inlineStr"/>
      <c r="M1044" t="inlineStr"/>
      <c r="N1044" t="inlineStr"/>
      <c r="O1044">
        <f>(1-Summary!$B$11)*S1044+Summary!$B$11*U1044</f>
        <v/>
      </c>
      <c r="P1044">
        <f>IF(B1060=0,0,O1044/B1060)</f>
        <v/>
      </c>
      <c r="Q1044">
        <f>IFERROR(1/(IF(Inputs!$B$39="pvp",15,MAX(0.1,Skills!D27-IF(Skills!E27=TRUE,Inputs!$B$33,0)))*(1-IF(AND(ArtifactsInput!$M$27,Inputs!$B$4="Chapter Hunt"),CHOOSE(ArtifactsInput!$N$27+1,20,24,28,32,36,40),0)/100)),0)</f>
        <v/>
      </c>
      <c r="R1044" t="n">
        <v>0</v>
      </c>
      <c r="S1044" t="n">
        <v>0</v>
      </c>
      <c r="U1044" t="n">
        <v>0</v>
      </c>
    </row>
    <row r="1045">
      <c r="A1045">
        <f>Skills!A28</f>
        <v/>
      </c>
      <c r="B1045">
        <f>Skills!B28</f>
        <v/>
      </c>
      <c r="C1045">
        <f>TRUE</f>
        <v/>
      </c>
      <c r="D1045">
        <f>IF(Skills!C28=1,60+Inputs!$B$26+(Inputs!$B$30+1),IF(Skills!C28=2,90+Inputs!$B$27+(Inputs!$B$30+1),IF(Skills!C28=3,120+Inputs!$B$28+(Inputs!$B$30+1),MAX(0,(Inputs!$B$3-100)*3)+Inputs!$B$29+(Inputs!$B$30+1))))</f>
        <v/>
      </c>
      <c r="E1045">
        <f>INDEX(FactorTable!$B$2:$Y$301, MATCH(ROUND(MIN(300,MAX(1,D1045)),0), FactorTable!$A$2:$A$301,0), Skills!L28+1)</f>
        <v/>
      </c>
      <c r="F1045">
        <f>IF(Skills!M28=TRUE,(Skills!K28/10)*(E1045/1000),Skills!K28/10)+Skills!N28</f>
        <v/>
      </c>
      <c r="G1045">
        <f>Calc!G28</f>
        <v/>
      </c>
      <c r="H1045">
        <f>Calc!H28</f>
        <v/>
      </c>
      <c r="I1045">
        <f>IF(Skills!T28&lt;&gt;"",1+(Skills!T28/10)*($Z$3/1000)/100,1)</f>
        <v/>
      </c>
      <c r="J1045" t="inlineStr"/>
      <c r="K1045" t="inlineStr"/>
      <c r="L1045" t="inlineStr"/>
      <c r="M1045" t="inlineStr"/>
      <c r="N1045" t="inlineStr"/>
      <c r="O1045">
        <f>(1-Summary!$B$11)*S1045+Summary!$B$11*U1045</f>
        <v/>
      </c>
      <c r="P1045">
        <f>IF(B1060=0,0,O1045/B1060)</f>
        <v/>
      </c>
      <c r="Q1045">
        <f>IFERROR(1/(IF(Inputs!$B$39="pvp",15,MAX(0.1,Skills!D28-IF(Skills!E28=TRUE,Inputs!$B$33,0)))*(1-IF(AND(ArtifactsInput!$M$27,Inputs!$B$4="Chapter Hunt"),CHOOSE(ArtifactsInput!$N$27+1,20,24,28,32,36,40),0)/100)),0)</f>
        <v/>
      </c>
      <c r="R1045">
        <f>IF(AND(Inputs!$B$39&lt;&gt;"pvp",Inputs!$B$44&gt;0),IF(Inputs!$B$44&lt;=0,0,(INT(Inputs!$B$44/(IF(Inputs!$B$39="pvp",15,MAX(0.1,Skills!D28-IF(Skills!E28=TRUE,Inputs!$B$33,0)))*(1-IF(AND(ArtifactsInput!$M$27,Inputs!$B$4="Chapter Hunt"),CHOOSE(ArtifactsInput!$N$27+1,20,24,28,32,36,40),0)/100)))+1)),0)</f>
        <v/>
      </c>
      <c r="S1045" t="n">
        <v>0</v>
      </c>
      <c r="U1045" t="n">
        <v>0</v>
      </c>
    </row>
    <row r="1047">
      <c r="A1047" t="inlineStr">
        <is>
          <t>Average Buff Multiplier</t>
        </is>
      </c>
      <c r="B1047">
        <f>(1+(IF(C1020=TRUE,F1020*IF(AND(Inputs!$B$39&lt;&gt;"pvp",Inputs!$B$44&gt;0),(((R1020-1)*(Skills!S3*(1+((Inputs!$B$35+(ArtifactsInput!$M$7-ArtifactsInput!$M$7)*CHOOSE(ArtifactsInput!$N$7+1,6,7.2,8.4,9.6,10.8,12))+IF(Inputs!$B$3&gt;=117,F1043,0))/100))+MIN((Skills!S3*(1+((Inputs!$B$35+(ArtifactsInput!$M$7-ArtifactsInput!$M$7)*CHOOSE(ArtifactsInput!$N$7+1,6,7.2,8.4,9.6,10.8,12))+IF(Inputs!$B$3&gt;=117,F1043,0))/100)),MAX(0,Inputs!$B$44-((R1020-1)*Skills!D3))))/Inputs!$B$44),IF(Inputs!$B$39="pvp",MIN((Skills!S3*(1+((Inputs!$B$35+(ArtifactsInput!$M$7-ArtifactsInput!$M$7)*CHOOSE(ArtifactsInput!$N$7+1,6,7.2,8.4,9.6,10.8,12))+IF(Inputs!$B$3&gt;=117,F1043,0))/100)),15)/15,(Skills!S3*(1+((Inputs!$B$35+(ArtifactsInput!$M$7-ArtifactsInput!$M$7)*CHOOSE(ArtifactsInput!$N$7+1,6,7.2,8.4,9.6,10.8,12))+IF(Inputs!$B$3&gt;=117,F1043,0))/100))/Skills!D3)),0)+IF(C1021=TRUE,F1021*IF(AND(Inputs!$B$39&lt;&gt;"pvp",Inputs!$B$44&gt;0),(((R1021-1)*(Skills!S4*(1+((Inputs!$B$35+(ArtifactsInput!$M$7-ArtifactsInput!$M$7)*CHOOSE(ArtifactsInput!$N$7+1,6,7.2,8.4,9.6,10.8,12))+IF(Inputs!$B$3&gt;=117,F1043,0))/100))+MIN((Skills!S4*(1+((Inputs!$B$35+(ArtifactsInput!$M$7-ArtifactsInput!$M$7)*CHOOSE(ArtifactsInput!$N$7+1,6,7.2,8.4,9.6,10.8,12))+IF(Inputs!$B$3&gt;=117,F1043,0))/100)),MAX(0,Inputs!$B$44-((R1021-1)*Skills!D4))))/Inputs!$B$44),IF(Inputs!$B$39="pvp",MIN((Skills!S4*(1+((Inputs!$B$35+(ArtifactsInput!$M$7-ArtifactsInput!$M$7)*CHOOSE(ArtifactsInput!$N$7+1,6,7.2,8.4,9.6,10.8,12))+IF(Inputs!$B$3&gt;=117,F1043,0))/100)),15)/15,(Skills!S4*(1+((Inputs!$B$35+(ArtifactsInput!$M$7-ArtifactsInput!$M$7)*CHOOSE(ArtifactsInput!$N$7+1,6,7.2,8.4,9.6,10.8,12))+IF(Inputs!$B$3&gt;=117,F1043,0))/100))/Skills!D4)),0)+IF(C1022=TRUE,F1022*IF(AND(Inputs!$B$39&lt;&gt;"pvp",Inputs!$B$44&gt;0),(((R1022-1)*(Skills!S5*(1+((Inputs!$B$35+(ArtifactsInput!$M$7-ArtifactsInput!$M$7)*CHOOSE(ArtifactsInput!$N$7+1,6,7.2,8.4,9.6,10.8,12))+IF(Inputs!$B$3&gt;=117,F1043,0))/100))+MIN((Skills!S5*(1+((Inputs!$B$35+(ArtifactsInput!$M$7-ArtifactsInput!$M$7)*CHOOSE(ArtifactsInput!$N$7+1,6,7.2,8.4,9.6,10.8,12))+IF(Inputs!$B$3&gt;=117,F1043,0))/100)),MAX(0,Inputs!$B$44-((R1022-1)*Skills!D5))))/Inputs!$B$44),IF(Inputs!$B$39="pvp",MIN((Skills!S5*(1+((Inputs!$B$35+(ArtifactsInput!$M$7-ArtifactsInput!$M$7)*CHOOSE(ArtifactsInput!$N$7+1,6,7.2,8.4,9.6,10.8,12))+IF(Inputs!$B$3&gt;=117,F1043,0))/100)),15)/15,(Skills!S5*(1+((Inputs!$B$35+(ArtifactsInput!$M$7-ArtifactsInput!$M$7)*CHOOSE(ArtifactsInput!$N$7+1,6,7.2,8.4,9.6,10.8,12))+IF(Inputs!$B$3&gt;=117,F1043,0))/100))/Skills!D5)),0)+IF(C1028=TRUE,F1028*IF(AND(Inputs!$B$39&lt;&gt;"pvp",Inputs!$B$44&gt;0),(((R1028-1)*(Skills!S11*(1+((Inputs!$B$35+(ArtifactsInput!$M$7-ArtifactsInput!$M$7)*CHOOSE(ArtifactsInput!$N$7+1,6,7.2,8.4,9.6,10.8,12))+IF(Inputs!$B$3&gt;=117,F1043,0))/100))+MIN((Skills!S11*(1+((Inputs!$B$35+(ArtifactsInput!$M$7-ArtifactsInput!$M$7)*CHOOSE(ArtifactsInput!$N$7+1,6,7.2,8.4,9.6,10.8,12))+IF(Inputs!$B$3&gt;=117,F1043,0))/100)),MAX(0,Inputs!$B$44-((R1028-1)*Skills!D11))))/Inputs!$B$44),IF(Inputs!$B$39="pvp",MIN((Skills!S11*(1+((Inputs!$B$35+(ArtifactsInput!$M$7-ArtifactsInput!$M$7)*CHOOSE(ArtifactsInput!$N$7+1,6,7.2,8.4,9.6,10.8,12))+IF(Inputs!$B$3&gt;=117,F1043,0))/100)),15)/15,(Skills!S11*(1+((Inputs!$B$35+(ArtifactsInput!$M$7-ArtifactsInput!$M$7)*CHOOSE(ArtifactsInput!$N$7+1,6,7.2,8.4,9.6,10.8,12))+IF(Inputs!$B$3&gt;=117,F1043,0)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1031=TRUE,(1+F1031*IF(AND(Inputs!$B$39&lt;&gt;"pvp",Inputs!$B$44&gt;0),(((R1031-1)*(Skills!S14*(1+((Inputs!$B$35+(ArtifactsInput!$M$7-ArtifactsInput!$M$7)*CHOOSE(ArtifactsInput!$N$7+1,6,7.2,8.4,9.6,10.8,12))+IF(Inputs!$B$3&gt;=117,F1043,0))/100))+MIN((Skills!S14*(1+((Inputs!$B$35+(ArtifactsInput!$M$7-ArtifactsInput!$M$7)*CHOOSE(ArtifactsInput!$N$7+1,6,7.2,8.4,9.6,10.8,12))+IF(Inputs!$B$3&gt;=117,F1043,0))/100)),MAX(0,Inputs!$B$44-((R1031-1)*Skills!D14))))/Inputs!$B$44),IF(Inputs!$B$39="pvp",MIN((Skills!S14*(1+((Inputs!$B$35+(ArtifactsInput!$M$7-ArtifactsInput!$M$7)*CHOOSE(ArtifactsInput!$N$7+1,6,7.2,8.4,9.6,10.8,12))+IF(Inputs!$B$3&gt;=117,F1043,0))/100)),15)/15,(Skills!S14*(1+((Inputs!$B$35+(ArtifactsInput!$M$7-ArtifactsInput!$M$7)*CHOOSE(ArtifactsInput!$N$7+1,6,7.2,8.4,9.6,10.8,12))+IF(Inputs!$B$3&gt;=117,F1043,0))/100))/Skills!D14))/100),1)*IF(C1036=TRUE,(1+F1036*IF(AND(Inputs!$B$39&lt;&gt;"pvp",Inputs!$B$44&gt;0),(((R1036-1)*(Skills!S19*(1+((Inputs!$B$35+(ArtifactsInput!$M$7-ArtifactsInput!$M$7)*CHOOSE(ArtifactsInput!$N$7+1,6,7.2,8.4,9.6,10.8,12))+IF(Inputs!$B$3&gt;=117,F1043,0))/100))+MIN((Skills!S19*(1+((Inputs!$B$35+(ArtifactsInput!$M$7-ArtifactsInput!$M$7)*CHOOSE(ArtifactsInput!$N$7+1,6,7.2,8.4,9.6,10.8,12))+IF(Inputs!$B$3&gt;=117,F1043,0))/100)),MAX(0,Inputs!$B$44-((R1036-1)*Skills!D19))))/Inputs!$B$44),IF(Inputs!$B$39="pvp",MIN((Skills!S19*(1+((Inputs!$B$35+(ArtifactsInput!$M$7-ArtifactsInput!$M$7)*CHOOSE(ArtifactsInput!$N$7+1,6,7.2,8.4,9.6,10.8,12))+IF(Inputs!$B$3&gt;=117,F1043,0))/100)),15)/15,(Skills!S19*(1+((Inputs!$B$35+(ArtifactsInput!$M$7-ArtifactsInput!$M$7)*CHOOSE(ArtifactsInput!$N$7+1,6,7.2,8.4,9.6,10.8,12))+IF(Inputs!$B$3&gt;=117,F1043,0))/100))/Skills!D19))/100),1)</f>
        <v/>
      </c>
    </row>
    <row r="1048">
      <c r="A1048" t="inlineStr">
        <is>
          <t>Monster Damage Taken Bonus % (Holy Fountain)</t>
        </is>
      </c>
      <c r="B1048">
        <f>IF(Inputs!$B$3&gt;=68,20*IF(Inputs!$B$39="pvp",MIN((15*(1+((Inputs!$B$35+(ArtifactsInput!$M$7-ArtifactsInput!$M$7)*CHOOSE(ArtifactsInput!$N$7+1,6,7.2,8.4,9.6,10.8,12))+IF(Inputs!$B$3&gt;=117,F1043,0))/100)),15)/15,(15*(1+((Inputs!$B$35+(ArtifactsInput!$M$7-ArtifactsInput!$M$7)*CHOOSE(ArtifactsInput!$N$7+1,6,7.2,8.4,9.6,10.8,12))+IF(Inputs!$B$3&gt;=117,F1043,0))/100))/Skills!D10),0)</f>
        <v/>
      </c>
    </row>
    <row r="1049">
      <c r="A1049" t="inlineStr">
        <is>
          <t>Normal Monster Damage Bonus % (Holy Symbol)</t>
        </is>
      </c>
      <c r="B1049">
        <f>IF(C1029=TRUE,F1029*IF(AND(Inputs!$B$39&lt;&gt;"pvp",Inputs!$B$44&gt;0),(((R1029-1)*(Skills!S12*(1+((Inputs!$B$35+(ArtifactsInput!$M$7-ArtifactsInput!$M$7)*CHOOSE(ArtifactsInput!$N$7+1,6,7.2,8.4,9.6,10.8,12))+IF(Inputs!$B$3&gt;=117,F1043,0))/100))+MIN((Skills!S12*(1+((Inputs!$B$35+(ArtifactsInput!$M$7-ArtifactsInput!$M$7)*CHOOSE(ArtifactsInput!$N$7+1,6,7.2,8.4,9.6,10.8,12))+IF(Inputs!$B$3&gt;=117,F1043,0))/100)),MAX(0,Inputs!$B$44-((R1029-1)*Skills!D12))))/Inputs!$B$44),IF(Inputs!$B$39="pvp",MIN((Skills!S12*(1+((Inputs!$B$35+(ArtifactsInput!$M$7-ArtifactsInput!$M$7)*CHOOSE(ArtifactsInput!$N$7+1,6,7.2,8.4,9.6,10.8,12))+IF(Inputs!$B$3&gt;=117,F1043,0))/100)),15)/15,(Skills!S12*(1+((Inputs!$B$35+(ArtifactsInput!$M$7-ArtifactsInput!$M$7)*CHOOSE(ArtifactsInput!$N$7+1,6,7.2,8.4,9.6,10.8,12))+IF(Inputs!$B$3&gt;=117,F1043,0))/100))/Skills!D12)),0)</f>
        <v/>
      </c>
    </row>
    <row r="1050">
      <c r="A1050" t="inlineStr">
        <is>
          <t>Damage % Bonus (Holy Symbol - Damage Boost)</t>
        </is>
      </c>
      <c r="B1050">
        <f>Skills!O12</f>
        <v/>
      </c>
    </row>
    <row r="1051">
      <c r="A1051" t="inlineStr">
        <is>
          <t>Crit Damage % Bonus (Blood of the Divine)</t>
        </is>
      </c>
      <c r="B1051">
        <f>4*IF(C1037=TRUE,F1037,0)</f>
        <v/>
      </c>
    </row>
    <row r="1052">
      <c r="A1052" t="inlineStr">
        <is>
          <t>Attack Speed Bonus %</t>
        </is>
      </c>
      <c r="B1052">
        <f>IF(C1034=TRUE,F1034+(F1038-Calc!F21),0)+IF(Inputs!$B$3&gt;=134,15,0)+((C1045=TRUE)*F1045*IF(AND(Inputs!$B$39&lt;&gt;"pvp",Inputs!$B$44&gt;0),(((R1045-1)*(Skills!S28*(1+((Inputs!$B$35+(ArtifactsInput!$M$7-ArtifactsInput!$M$7)*CHOOSE(ArtifactsInput!$N$7+1,6,7.2,8.4,9.6,10.8,12))+IF(Inputs!$B$3&gt;=117,F1043,0))/100))+MIN((Skills!S28*(1+((Inputs!$B$35+(ArtifactsInput!$M$7-ArtifactsInput!$M$7)*CHOOSE(ArtifactsInput!$N$7+1,6,7.2,8.4,9.6,10.8,12))+IF(Inputs!$B$3&gt;=117,F1043,0))/100)),MAX(0,Inputs!$B$44-((R1045-1)*Skills!D28))))/Inputs!$B$44),IF(Inputs!$B$39="pvp",MIN((Skills!S28*(1+((Inputs!$B$35+(ArtifactsInput!$M$7-ArtifactsInput!$M$7)*CHOOSE(ArtifactsInput!$N$7+1,6,7.2,8.4,9.6,10.8,12))+IF(Inputs!$B$3&gt;=117,F1043,0))/100)),15)/15,(Skills!S28*(1+((Inputs!$B$35+(ArtifactsInput!$M$7-ArtifactsInput!$M$7)*CHOOSE(ArtifactsInput!$N$7+1,6,7.2,8.4,9.6,10.8,12))+IF(Inputs!$B$3&gt;=117,F1043,0))/100))/Skills!D28)))</f>
        <v/>
      </c>
    </row>
    <row r="1053">
      <c r="A1053" t="inlineStr">
        <is>
          <t>Actions Per Second</t>
        </is>
      </c>
      <c r="B1053">
        <f>1+MIN(150,150*(1-(1-Inputs!$B$12/150)*(1-B1052/150)))/100</f>
        <v/>
      </c>
    </row>
    <row r="1054">
      <c r="A1054" t="inlineStr">
        <is>
          <t>Skill + Buff Cast Rate</t>
        </is>
      </c>
      <c r="B1054">
        <f>IF(AND(Inputs!$B$39&lt;&gt;"pvp",Inputs!$B$44&gt;0),SUMPRODUCT((Skills!E2:E28=TRUE)*(C1019:C1045=TRUE)*R1019:R1045)/Inputs!$B$44,SUMPRODUCT((Skills!E2:E28=TRUE)*(C1019:C1045=TRUE)*Q1019:Q1045))</f>
        <v/>
      </c>
    </row>
    <row r="1055">
      <c r="A1055" t="inlineStr">
        <is>
          <t>Big Bang Casts Per Second</t>
        </is>
      </c>
      <c r="B1055">
        <f>MAX(0,B1053-B1054)</f>
        <v/>
      </c>
    </row>
    <row r="1056">
      <c r="A1056" t="inlineStr">
        <is>
          <t>Defense % Bonus (Divine Protection)</t>
        </is>
      </c>
      <c r="B1056">
        <f>IF(C1030=TRUE,F1030*IF(AND(Inputs!$B$39&lt;&gt;"pvp",Inputs!$B$44&gt;0),(((R1030-1)*(Skills!S13*(1+((Inputs!$B$35+(ArtifactsInput!$M$7-ArtifactsInput!$M$7)*CHOOSE(ArtifactsInput!$N$7+1,6,7.2,8.4,9.6,10.8,12))+IF(Inputs!$B$3&gt;=117,F1043,0))/100))+MIN((Skills!S13*(1+((Inputs!$B$35+(ArtifactsInput!$M$7-ArtifactsInput!$M$7)*CHOOSE(ArtifactsInput!$N$7+1,6,7.2,8.4,9.6,10.8,12))+IF(Inputs!$B$3&gt;=117,F1043,0))/100)),MAX(0,Inputs!$B$44-((R1030-1)*Skills!D13))))/Inputs!$B$44),IF(Inputs!$B$39="pvp",MIN((Skills!S13*(1+((Inputs!$B$35+(ArtifactsInput!$M$7-ArtifactsInput!$M$7)*CHOOSE(ArtifactsInput!$N$7+1,6,7.2,8.4,9.6,10.8,12))+IF(Inputs!$B$3&gt;=117,F1043,0))/100)),15)/15,(Skills!S13*(1+((Inputs!$B$35+(ArtifactsInput!$M$7-ArtifactsInput!$M$7)*CHOOSE(ArtifactsInput!$N$7+1,6,7.2,8.4,9.6,10.8,12))+IF(Inputs!$B$3&gt;=117,F1043,0))/100))/Skills!D13)),0)</f>
        <v/>
      </c>
    </row>
    <row r="1057">
      <c r="A1057" t="inlineStr">
        <is>
          <t>Buff-Casting Startup Delay (s, fixed-duration only)</t>
        </is>
      </c>
      <c r="B1057">
        <f>IF(AND(Inputs!$B$39&lt;&gt;"pvp",Inputs!$B$44&gt;0),SUMPRODUCT((Skills!S2:S28&gt;0)*(Skills!E2:E28=TRUE)*(C1019:C1045=TRUE))/B1053,0)</f>
        <v/>
      </c>
    </row>
    <row r="1058">
      <c r="A1058" t="inlineStr">
        <is>
          <t>Boss-Only Total DPS (this block's swept value)</t>
        </is>
      </c>
      <c r="B1058">
        <f>SUM(S1019:S1045)</f>
        <v/>
      </c>
    </row>
    <row r="1059">
      <c r="A1059" t="inlineStr">
        <is>
          <t>Normal-Only Total DPS (this block's swept value)</t>
        </is>
      </c>
      <c r="B1059">
        <f>SUM(U1019:U1045)</f>
        <v/>
      </c>
    </row>
    <row r="1060">
      <c r="A1060" s="6" t="inlineStr">
        <is>
          <t>TOTAL DPS</t>
        </is>
      </c>
      <c r="B1060" s="6">
        <f>SUM(O1019:O1045)</f>
        <v/>
      </c>
    </row>
    <row r="1062">
      <c r="A1062" s="6" t="inlineStr">
        <is>
          <t>Stat: Flat ATTACK</t>
        </is>
      </c>
    </row>
    <row r="1063">
      <c r="A1063" s="5" t="inlineStr">
        <is>
          <t>Key</t>
        </is>
      </c>
      <c r="B1063" s="5" t="inlineStr">
        <is>
          <t>Name</t>
        </is>
      </c>
      <c r="C1063" s="5" t="inlineStr">
        <is>
          <t>Unlocked</t>
        </is>
      </c>
      <c r="D1063" s="5" t="inlineStr">
        <is>
          <t>InputLevel</t>
        </is>
      </c>
      <c r="E1063" s="5" t="inlineStr">
        <is>
          <t>Factor</t>
        </is>
      </c>
      <c r="F1063" s="5" t="inlineStr">
        <is>
          <t>CoefficientPercent</t>
        </is>
      </c>
      <c r="G1063" s="5" t="inlineStr">
        <is>
          <t>EffectiveHits</t>
        </is>
      </c>
      <c r="H1063" s="5" t="inlineStr">
        <is>
          <t>ProcProbability</t>
        </is>
      </c>
      <c r="I1063" s="5" t="inlineStr">
        <is>
          <t>MapleHeroMultiplier</t>
        </is>
      </c>
      <c r="J1063" s="5" t="inlineStr">
        <is>
          <t>BaseDamage</t>
        </is>
      </c>
      <c r="K1063" s="5" t="inlineStr">
        <is>
          <t>BaseHitDamage</t>
        </is>
      </c>
      <c r="L1063" s="5" t="inlineStr">
        <is>
          <t>NonCritAvg</t>
        </is>
      </c>
      <c r="M1063" s="5" t="inlineStr">
        <is>
          <t>CritAvg</t>
        </is>
      </c>
      <c r="N1063" s="5" t="inlineStr">
        <is>
          <t>ExpectedDamage(perHit)</t>
        </is>
      </c>
      <c r="O1063" s="5" t="inlineStr">
        <is>
          <t>DPS</t>
        </is>
      </c>
      <c r="P1063" s="5" t="inlineStr">
        <is>
          <t>% of Total</t>
        </is>
      </c>
      <c r="R1063" t="inlineStr">
        <is>
          <t>helpers</t>
        </is>
      </c>
    </row>
    <row r="1064">
      <c r="A1064">
        <f>Skills!A2</f>
        <v/>
      </c>
      <c r="B1064">
        <f>Skills!B2</f>
        <v/>
      </c>
      <c r="C1064">
        <f>Inputs!$B$3&gt;=100</f>
        <v/>
      </c>
      <c r="D1064" t="inlineStr"/>
      <c r="E1064" t="inlineStr"/>
      <c r="F1064">
        <f>T1066+Skills!N2</f>
        <v/>
      </c>
      <c r="G1064">
        <f>Calc!G2</f>
        <v/>
      </c>
      <c r="H1064">
        <f>Calc!H2</f>
        <v/>
      </c>
      <c r="I1064">
        <f>IF(Skills!T2&lt;&gt;"",1+(Skills!T2/10)*($Z$3/1000)/100,1)</f>
        <v/>
      </c>
      <c r="J1064">
        <f>(((Inputs!$B$6+1)*(1+Inputs!$B$7/100))+(((Inputs!$B$13*(1+Inputs!$B$14/100))-(Inputs!$B$13*(1+Inputs!$B$14/100)))+0.25*(Inputs!$B$15-Inputs!$B$15))*(1+Inputs!$B$7/100))*(F1064/100)</f>
        <v/>
      </c>
      <c r="K1064">
        <f>J1064*(1+(((Inputs!$B$13+IF(Inputs!$B$3&gt;=35,(10*INDEX(FactorTable!$B$2:$Y$301,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2="TRIUMPH_FEATHER",IF(C1078=TRUE,F1078,0),0)/100)*(1+IF(C1089=TRUE,F1089,0)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1064)</f>
        <v/>
      </c>
      <c r="L1064">
        <f>K1064*(MIN(Inputs!$B$23+(F1084-Calc!F22),(Inputs!$B$24+IF(ArtifactsInput!$M$15,CHOOSE(ArtifactsInput!$N$15+1,25,30,35,40,45,50)/100*(Inputs!$B$12-Inputs!$B$12),0)))/100+(Inputs!$B$24+IF(ArtifactsInput!$M$15,CHOOSE(ArtifactsInput!$N$15+1,25,30,35,40,45,50)/100*(Inputs!$B$12-Inputs!$B$12),0))/100)/2</f>
        <v/>
      </c>
      <c r="M1064">
        <f>L1064*(1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4">
        <f>L1064*(1-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(1-Summary!$B$11)*S1064+Summary!$B$11*U1064</f>
        <v/>
      </c>
      <c r="P1064">
        <f>IF(B1105=0,0,O1064/B1105)</f>
        <v/>
      </c>
      <c r="Q1064">
        <f>IFERROR(1/(IF(Inputs!$B$39="pvp",15,MAX(0.1,Skills!D2-IF(Skills!E2=TRUE,Inputs!$B$33,0)))*(1-IF(AND(ArtifactsInput!$M$27,Inputs!$B$4="Chapter Hunt"),CHOOSE(ArtifactsInput!$N$27+1,20,24,28,32,36,40),0)/100)),0)</f>
        <v/>
      </c>
      <c r="R1064" t="n">
        <v>0</v>
      </c>
      <c r="S1064">
        <f>IF(C1064,(Skills!F2*N1064*B1100)*IF(Inputs!$B$39="pvp",1,1+(Inputs!$B$21+Skills!O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1064*(1-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64">
        <f>MAX(0,(Inputs!$B$3-100)*3)+Inputs!$B$29+Inputs!$B$30</f>
        <v/>
      </c>
      <c r="U1064">
        <f>IF(C1064,(Skills!F2*N1064*B1100)*IF(Inputs!$B$39="pvp",1,(1+(Inputs!$B$22+Skills!P2+B1094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Skills!A3</f>
        <v/>
      </c>
      <c r="B1065">
        <f>Skills!B3</f>
        <v/>
      </c>
      <c r="C1065">
        <f>Inputs!$B$3&gt;=15</f>
        <v/>
      </c>
      <c r="D1065">
        <f>IF(Skills!C3=1,60+Inputs!$B$26+Inputs!$B$30,IF(Skills!C3=2,90+Inputs!$B$27+Inputs!$B$30,IF(Skills!C3=3,120+Inputs!$B$28+Inputs!$B$30,MAX(0,(Inputs!$B$3-100)*3)+Inputs!$B$29+Inputs!$B$30)))</f>
        <v/>
      </c>
      <c r="E1065">
        <f>INDEX(FactorTable!$B$2:$Y$301, MATCH(ROUND(MIN(300,MAX(1,D1065)),0), FactorTable!$A$2:$A$301,0), Skills!L3+1)</f>
        <v/>
      </c>
      <c r="F1065">
        <f>IF(Skills!M3=TRUE,(Skills!K3/10)*(E1065/1000),Skills!K3/10)+Skills!N3</f>
        <v/>
      </c>
      <c r="G1065">
        <f>Calc!G3</f>
        <v/>
      </c>
      <c r="H1065">
        <f>Calc!H3</f>
        <v/>
      </c>
      <c r="I1065">
        <f>IF(Skills!T3&lt;&gt;"",1+(Skills!T3/10)*($Z$3/1000)/100,1)</f>
        <v/>
      </c>
      <c r="J1065" t="inlineStr"/>
      <c r="K1065" t="inlineStr"/>
      <c r="L1065" t="inlineStr"/>
      <c r="M1065" t="inlineStr"/>
      <c r="N1065" t="inlineStr"/>
      <c r="O1065">
        <f>(1-Summary!$B$11)*S1065+Summary!$B$11*U1065</f>
        <v/>
      </c>
      <c r="P1065">
        <f>IF(B1105=0,0,O1065/B1105)</f>
        <v/>
      </c>
      <c r="Q1065">
        <f>IFERROR(1/(IF(Inputs!$B$39="pvp",15,MAX(0.1,Skills!D3-IF(Skills!E3=TRUE,Inputs!$B$33,0)))*(1-IF(AND(ArtifactsInput!$M$27,Inputs!$B$4="Chapter Hunt"),CHOOSE(ArtifactsInput!$N$27+1,20,24,28,32,36,40),0)/100)),0)</f>
        <v/>
      </c>
      <c r="R1065">
        <f>IF(AND(Inputs!$B$39&lt;&gt;"pvp",Inputs!$B$44&gt;0),IF(Inputs!$B$44&lt;=0,0,(INT(Inputs!$B$44/(IF(Inputs!$B$39="pvp",15,MAX(0.1,Skills!D3-IF(Skills!E3=TRUE,Inputs!$B$33,0)))*(1-IF(AND(ArtifactsInput!$M$27,Inputs!$B$4="Chapter Hunt"),CHOOSE(ArtifactsInput!$N$27+1,20,24,28,32,36,40),0)/100)))+1)),0)</f>
        <v/>
      </c>
      <c r="S1065" t="n">
        <v>0</v>
      </c>
      <c r="T1065">
        <f>INDEX(FactorTable!$B$2:$Y$301, MATCH(ROUND(MIN(300,MAX(1,T1064)),0), FactorTable!$A$2:$A$301,0), 22)</f>
        <v/>
      </c>
      <c r="U1065" t="n">
        <v>0</v>
      </c>
    </row>
    <row r="1066">
      <c r="A1066">
        <f>Skills!A4</f>
        <v/>
      </c>
      <c r="B1066">
        <f>Skills!B4</f>
        <v/>
      </c>
      <c r="C1066">
        <f>Inputs!$B$3&gt;=38</f>
        <v/>
      </c>
      <c r="D1066">
        <f>IF(Skills!C4=1,60+Inputs!$B$26+Inputs!$B$30,IF(Skills!C4=2,90+Inputs!$B$27+Inputs!$B$30,IF(Skills!C4=3,120+Inputs!$B$28+Inputs!$B$30,MAX(0,(Inputs!$B$3-100)*3)+Inputs!$B$29+Inputs!$B$30)))</f>
        <v/>
      </c>
      <c r="E1066">
        <f>INDEX(FactorTable!$B$2:$Y$301, MATCH(ROUND(MIN(300,MAX(1,D1066)),0), FactorTable!$A$2:$A$301,0), Skills!L4+1)</f>
        <v/>
      </c>
      <c r="F1066">
        <f>IF(Skills!M4=TRUE,(Skills!K4/10)*(E1066/1000),Skills!K4/10)+Skills!N4</f>
        <v/>
      </c>
      <c r="G1066">
        <f>Calc!G4</f>
        <v/>
      </c>
      <c r="H1066">
        <f>Calc!H4</f>
        <v/>
      </c>
      <c r="I1066">
        <f>IF(Skills!T4&lt;&gt;"",1+(Skills!T4/10)*($Z$3/1000)/100,1)</f>
        <v/>
      </c>
      <c r="J1066" t="inlineStr"/>
      <c r="K1066" t="inlineStr"/>
      <c r="L1066" t="inlineStr"/>
      <c r="M1066" t="inlineStr"/>
      <c r="N1066" t="inlineStr"/>
      <c r="O1066">
        <f>(1-Summary!$B$11)*S1066+Summary!$B$11*U1066</f>
        <v/>
      </c>
      <c r="P1066">
        <f>IF(B1105=0,0,O1066/B1105)</f>
        <v/>
      </c>
      <c r="Q1066">
        <f>IFERROR(1/(IF(Inputs!$B$39="pvp",15,MAX(0.1,Skills!D4-IF(Skills!E4=TRUE,Inputs!$B$33,0)))*(1-IF(AND(ArtifactsInput!$M$27,Inputs!$B$4="Chapter Hunt"),CHOOSE(ArtifactsInput!$N$27+1,20,24,28,32,36,40),0)/100)),0)</f>
        <v/>
      </c>
      <c r="R1066">
        <f>IF(AND(Inputs!$B$39&lt;&gt;"pvp",Inputs!$B$44&gt;0),IF(Inputs!$B$44&lt;=0,0,(INT(Inputs!$B$44/(IF(Inputs!$B$39="pvp",15,MAX(0.1,Skills!D4-IF(Skills!E4=TRUE,Inputs!$B$33,0)))*(1-IF(AND(ArtifactsInput!$M$27,Inputs!$B$4="Chapter Hunt"),CHOOSE(ArtifactsInput!$N$27+1,20,24,28,32,36,40),0)/100)))+1)),0)</f>
        <v/>
      </c>
      <c r="S1066" t="n">
        <v>0</v>
      </c>
      <c r="T1066">
        <f>290*T1065/1000</f>
        <v/>
      </c>
      <c r="U1066" t="n">
        <v>0</v>
      </c>
    </row>
    <row r="1067">
      <c r="A1067">
        <f>Skills!A5</f>
        <v/>
      </c>
      <c r="B1067">
        <f>Skills!B5</f>
        <v/>
      </c>
      <c r="C1067">
        <f>Inputs!$B$3&gt;=40</f>
        <v/>
      </c>
      <c r="D1067">
        <f>IF(Skills!C5=1,60+Inputs!$B$26+Inputs!$B$30,IF(Skills!C5=2,90+Inputs!$B$27+Inputs!$B$30,IF(Skills!C5=3,120+Inputs!$B$28+Inputs!$B$30,MAX(0,(Inputs!$B$3-100)*3)+Inputs!$B$29+Inputs!$B$30)))</f>
        <v/>
      </c>
      <c r="E1067">
        <f>INDEX(FactorTable!$B$2:$Y$301, MATCH(ROUND(MIN(300,MAX(1,D1067)),0), FactorTable!$A$2:$A$301,0), Skills!L5+1)</f>
        <v/>
      </c>
      <c r="F1067">
        <f>IF(Skills!M5=TRUE,(Skills!K5/10)*(E1067/1000),Skills!K5/10)+Skills!N5</f>
        <v/>
      </c>
      <c r="G1067">
        <f>Calc!G5</f>
        <v/>
      </c>
      <c r="H1067">
        <f>Calc!H5</f>
        <v/>
      </c>
      <c r="I1067">
        <f>IF(Skills!T5&lt;&gt;"",1+(Skills!T5/10)*($Z$3/1000)/100,1)</f>
        <v/>
      </c>
      <c r="J1067" t="inlineStr"/>
      <c r="K1067" t="inlineStr"/>
      <c r="L1067" t="inlineStr"/>
      <c r="M1067" t="inlineStr"/>
      <c r="N1067" t="inlineStr"/>
      <c r="O1067">
        <f>(1-Summary!$B$11)*S1067+Summary!$B$11*U1067</f>
        <v/>
      </c>
      <c r="P1067">
        <f>IF(B1105=0,0,O1067/B1105)</f>
        <v/>
      </c>
      <c r="Q1067">
        <f>IFERROR(1/(IF(Inputs!$B$39="pvp",15,MAX(0.1,Skills!D5-IF(Skills!E5=TRUE,Inputs!$B$33,0)))*(1-IF(AND(ArtifactsInput!$M$27,Inputs!$B$4="Chapter Hunt"),CHOOSE(ArtifactsInput!$N$27+1,20,24,28,32,36,40),0)/100)),0)</f>
        <v/>
      </c>
      <c r="R1067">
        <f>IF(AND(Inputs!$B$39&lt;&gt;"pvp",Inputs!$B$44&gt;0),IF(Inputs!$B$44&lt;=0,0,(INT(Inputs!$B$44/(IF(Inputs!$B$39="pvp",15,MAX(0.1,Skills!D5-IF(Skills!E5=TRUE,Inputs!$B$33,0)))*(1-IF(AND(ArtifactsInput!$M$27,Inputs!$B$4="Chapter Hunt"),CHOOSE(ArtifactsInput!$N$27+1,20,24,28,32,36,40),0)/100)))+1)),0)</f>
        <v/>
      </c>
      <c r="S1067" t="n">
        <v>0</v>
      </c>
      <c r="U1067" t="n">
        <v>0</v>
      </c>
    </row>
    <row r="1068">
      <c r="A1068">
        <f>Skills!A6</f>
        <v/>
      </c>
      <c r="B1068">
        <f>Skills!B6</f>
        <v/>
      </c>
      <c r="C1068">
        <f>Inputs!$B$3&gt;=103</f>
        <v/>
      </c>
      <c r="D1068">
        <f>IF(Skills!C6=1,60+Inputs!$B$26+Inputs!$B$30,IF(Skills!C6=2,90+Inputs!$B$27+Inputs!$B$30,IF(Skills!C6=3,120+Inputs!$B$28+Inputs!$B$30,MAX(0,(Inputs!$B$3-100)*3)+Inputs!$B$29+Inputs!$B$30)))</f>
        <v/>
      </c>
      <c r="E1068">
        <f>INDEX(FactorTable!$B$2:$Y$301, MATCH(ROUND(MIN(300,MAX(1,D1068)),0), FactorTable!$A$2:$A$301,0), Skills!L6+1)</f>
        <v/>
      </c>
      <c r="F1068">
        <f>IF(Skills!M6=TRUE,(Skills!K6/10)*(E1068/1000),Skills!K6/10)+Skills!N6</f>
        <v/>
      </c>
      <c r="G1068">
        <f>Calc!G6</f>
        <v/>
      </c>
      <c r="H1068">
        <f>Calc!H6</f>
        <v/>
      </c>
      <c r="I1068">
        <f>IF(Skills!T6&lt;&gt;"",1+(Skills!T6/10)*($Z$3/1000)/100,1)</f>
        <v/>
      </c>
      <c r="J1068">
        <f>(((Inputs!$B$6+1)*(1+Inputs!$B$7/100))+(((Inputs!$B$13*(1+Inputs!$B$14/100))-(Inputs!$B$13*(1+Inputs!$B$14/100)))+0.25*(Inputs!$B$15-Inputs!$B$15))*(1+Inputs!$B$7/100))*(F1068/100)</f>
        <v/>
      </c>
      <c r="K1068">
        <f>J1068*(1+(((Inputs!$B$13+IF(Inputs!$B$3&gt;=35,(10*INDEX(FactorTable!$B$2:$Y$301,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6="TRIUMPH_FEATHER",IF(C1078=TRUE,F1078,0),0)/100)*(1+IF(C1089=TRUE,F1089,0)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1068)</f>
        <v/>
      </c>
      <c r="L1068">
        <f>K1068*(MIN(Inputs!$B$23+(F1084-Calc!F22),(Inputs!$B$24+IF(ArtifactsInput!$M$15,CHOOSE(ArtifactsInput!$N$15+1,25,30,35,40,45,50)/100*(Inputs!$B$12-Inputs!$B$12),0)))/100+(Inputs!$B$24+IF(ArtifactsInput!$M$15,CHOOSE(ArtifactsInput!$N$15+1,25,30,35,40,45,50)/100*(Inputs!$B$12-Inputs!$B$12),0))/100)/2</f>
        <v/>
      </c>
      <c r="M1068">
        <f>L1068*(1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8">
        <f>L1068*(1-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1068*(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8">
        <f>(1-Summary!$B$11)*S1068+Summary!$B$11*U1068</f>
        <v/>
      </c>
      <c r="P1068">
        <f>IF(B1105=0,0,O1068/B1105)</f>
        <v/>
      </c>
      <c r="Q1068">
        <f>IFERROR(1/(IF(Inputs!$B$39="pvp",15,MAX(0.1,Skills!D6-IF(Skills!E6=TRUE,Inputs!$B$33,0)))*(1-IF(AND(ArtifactsInput!$M$27,Inputs!$B$4="Chapter Hunt"),CHOOSE(ArtifactsInput!$N$27+1,20,24,28,32,36,40),0)/100)),0)</f>
        <v/>
      </c>
      <c r="R1068">
        <f>IF(AND(Inputs!$B$39&lt;&gt;"pvp",Inputs!$B$44&gt;0),IF(MAX(0,Inputs!$B$44-B1102)&lt;=0,0,(INT(MAX(0,Inputs!$B$44-B1102)/(IF(Inputs!$B$39="pvp",15,MAX(0.1,Skills!D6-IF(Skills!E6=TRUE,Inputs!$B$33,0)))*(1-IF(AND(ArtifactsInput!$M$27,Inputs!$B$4="Chapter Hunt"),CHOOSE(ArtifactsInput!$N$27+1,20,24,28,32,36,40),0)/100)))+1)),0)</f>
        <v/>
      </c>
      <c r="S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$21+Skills!O6+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1068*(1-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1068*(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1068*(1-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1068*(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$22+Skills!P6+B1094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9">
      <c r="A1069">
        <f>Skills!A7</f>
        <v/>
      </c>
      <c r="B1069">
        <f>Skills!B7</f>
        <v/>
      </c>
      <c r="C1069">
        <f>Inputs!$B$3&gt;=122</f>
        <v/>
      </c>
      <c r="D1069">
        <f>IF(Skills!C7=1,60+Inputs!$B$26+Inputs!$B$30,IF(Skills!C7=2,90+Inputs!$B$27+Inputs!$B$30,IF(Skills!C7=3,120+Inputs!$B$28+Inputs!$B$30,MAX(0,(Inputs!$B$3-100)*3)+Inputs!$B$29+Inputs!$B$30)))</f>
        <v/>
      </c>
      <c r="E1069">
        <f>INDEX(FactorTable!$B$2:$Y$301, MATCH(ROUND(MIN(300,MAX(1,D1069)),0), FactorTable!$A$2:$A$301,0), Skills!L7+1)</f>
        <v/>
      </c>
      <c r="F1069">
        <f>IF(Skills!M7=TRUE,(Skills!K7/10)*(E1069/1000),Skills!K7/10)+Skills!N7</f>
        <v/>
      </c>
      <c r="G1069">
        <f>Calc!G7</f>
        <v/>
      </c>
      <c r="H1069">
        <f>Calc!H7</f>
        <v/>
      </c>
      <c r="I1069">
        <f>IF(Skills!T7&lt;&gt;"",1+(Skills!T7/10)*($Z$3/1000)/100,1)</f>
        <v/>
      </c>
      <c r="J1069">
        <f>(((Inputs!$B$6+1)*(1+Inputs!$B$7/100))+(((Inputs!$B$13*(1+Inputs!$B$14/100))-(Inputs!$B$13*(1+Inputs!$B$14/100)))+0.25*(Inputs!$B$15-Inputs!$B$15))*(1+Inputs!$B$7/100))*(F1069/100)</f>
        <v/>
      </c>
      <c r="K1069">
        <f>J1069*(1+(((Inputs!$B$13+IF(Inputs!$B$3&gt;=35,(10*INDEX(FactorTable!$B$2:$Y$301,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7="TRIUMPH_FEATHER",IF(C1078=TRUE,F1078,0),0)/100)*(1+IF(C1089=TRUE,F1089,0)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1069)</f>
        <v/>
      </c>
      <c r="L1069">
        <f>K1069*(MIN(Inputs!$B$23+(F1084-Calc!F22),(Inputs!$B$24+IF(ArtifactsInput!$M$15,CHOOSE(ArtifactsInput!$N$15+1,25,30,35,40,45,50)/100*(Inputs!$B$12-Inputs!$B$12),0)))/100+(Inputs!$B$24+IF(ArtifactsInput!$M$15,CHOOSE(ArtifactsInput!$N$15+1,25,30,35,40,45,50)/100*(Inputs!$B$12-Inputs!$B$12),0))/100)/2</f>
        <v/>
      </c>
      <c r="M1069">
        <f>L1069*(1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9">
        <f>L1069*(1-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(1-Summary!$B$11)*S1069+Summary!$B$11*U1069</f>
        <v/>
      </c>
      <c r="P1069">
        <f>IF(B1105=0,0,O1069/B1105)</f>
        <v/>
      </c>
      <c r="Q1069">
        <f>IFERROR(1/(IF(Inputs!$B$39="pvp",15,MAX(0.1,Skills!D7-IF(Skills!E6=TRUE,Inputs!$B$33,0)))*(1-IF(AND(ArtifactsInput!$M$27,Inputs!$B$4="Chapter Hunt"),CHOOSE(ArtifactsInput!$N$27+1,20,24,28,32,36,40),0)/100)),0)</f>
        <v/>
      </c>
      <c r="R1069">
        <f>IF(AND(Inputs!$B$39&lt;&gt;"pvp",Inputs!$B$44&gt;0),IF(MAX(0,Inputs!$B$44-B1102)&lt;=0,0,(INT(MAX(0,Inputs!$B$44-B1102)/(IF(Inputs!$B$39="pvp",15,MAX(0.1,Skills!D7-IF(Skills!E6=TRUE,Inputs!$B$33,0)))*(1-IF(AND(ArtifactsInput!$M$27,Inputs!$B$4="Chapter Hunt"),CHOOSE(ArtifactsInput!$N$27+1,20,24,28,32,36,40),0)/100)))+1)),0)</f>
        <v/>
      </c>
      <c r="S1069">
        <f>IF(C1069,H1069*N1069*IF(AND(Inputs!$B$39&lt;&gt;"pvp",Inputs!$B$44&gt;0),((Skills!F7*((R1069-1)*IF(Skills!G7&gt;0,Skills!H7/Skills!G7,1)+IF(Skills!G7&gt;0,MIN(Skills!H7,MAX(0,MAX(0,Inputs!$B$44-B1102)-((R1069-1)*(IF(Inputs!$B$39="pvp",15,MAX(0.1,Skills!D7-IF(Skills!E6=TRUE,Inputs!$B$33,0)))*(1-IF(AND(ArtifactsInput!$M$27,Inputs!$B$4="Chapter Hunt"),CHOOSE(ArtifactsInput!$N$27+1,20,24,28,32,36,40),0)/100)))))/Skills!G7,1)))/Inputs!$B$44),G1069*Q1069)*IF(Inputs!$B$39="pvp",1,1+(Inputs!$B$21+Skills!O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1069*(1-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9" t="n">
        <v>0</v>
      </c>
    </row>
    <row r="1070">
      <c r="A1070">
        <f>Skills!A8</f>
        <v/>
      </c>
      <c r="B1070">
        <f>Skills!B8</f>
        <v/>
      </c>
      <c r="C1070">
        <f>Inputs!$B$3&gt;=105</f>
        <v/>
      </c>
      <c r="D1070">
        <f>IF(Skills!C8=1,60+Inputs!$B$26+Inputs!$B$30,IF(Skills!C8=2,90+Inputs!$B$27+Inputs!$B$30,IF(Skills!C8=3,120+Inputs!$B$28+Inputs!$B$30,MAX(0,(Inputs!$B$3-100)*3)+Inputs!$B$29+Inputs!$B$30)))</f>
        <v/>
      </c>
      <c r="E1070">
        <f>INDEX(FactorTable!$B$2:$Y$301, MATCH(ROUND(MIN(300,MAX(1,D1070)),0), FactorTable!$A$2:$A$301,0), Skills!L8+1)</f>
        <v/>
      </c>
      <c r="F1070">
        <f>IF(Skills!M8=TRUE,(Skills!K8/10)*(E1070/1000),Skills!K8/10)+Skills!N8</f>
        <v/>
      </c>
      <c r="G1070">
        <f>Calc!G8</f>
        <v/>
      </c>
      <c r="H1070">
        <f>Calc!H8</f>
        <v/>
      </c>
      <c r="I1070">
        <f>IF(Skills!T8&lt;&gt;"",1+(Skills!T8/10)*($Z$3/1000)/100,1)</f>
        <v/>
      </c>
      <c r="J1070">
        <f>(((Inputs!$B$6+1)*(1+Inputs!$B$7/100))+(((Inputs!$B$13*(1+Inputs!$B$14/100))-(Inputs!$B$13*(1+Inputs!$B$14/100)))+0.25*(Inputs!$B$15-Inputs!$B$15))*(1+Inputs!$B$7/100))*(F1070/100)</f>
        <v/>
      </c>
      <c r="K1070">
        <f>J1070*(1+(((Inputs!$B$13+IF(Inputs!$B$3&gt;=35,(10*INDEX(FactorTable!$B$2:$Y$301,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8="TRIUMPH_FEATHER",IF(C1078=TRUE,F1078,0),0)/100)*(1+IF(C1089=TRUE,F1089,0)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1070)</f>
        <v/>
      </c>
      <c r="L1070">
        <f>K1070*(MIN(Inputs!$B$23+(F1084-Calc!F22),(Inputs!$B$24+IF(ArtifactsInput!$M$15,CHOOSE(ArtifactsInput!$N$15+1,25,30,35,40,45,50)/100*(Inputs!$B$12-Inputs!$B$12),0)))/100+(Inputs!$B$24+IF(ArtifactsInput!$M$15,CHOOSE(ArtifactsInput!$N$15+1,25,30,35,40,45,50)/100*(Inputs!$B$12-Inputs!$B$12),0))/100)/2</f>
        <v/>
      </c>
      <c r="M1070">
        <f>L1070*(1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0">
        <f>L1070*(1-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1070*(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0">
        <f>(1-Summary!$B$11)*S1070+Summary!$B$11*U1070</f>
        <v/>
      </c>
      <c r="P1070">
        <f>IF(B1105=0,0,O1070/B1105)</f>
        <v/>
      </c>
      <c r="Q1070">
        <f>IFERROR(1/(IF(Inputs!$B$39="pvp",15,MAX(0.1,Skills!D8-IF(Skills!E8=TRUE,Inputs!$B$33,0)))*(1-IF(AND(ArtifactsInput!$M$27,Inputs!$B$4="Chapter Hunt"),CHOOSE(ArtifactsInput!$N$27+1,20,24,28,32,36,40),0)/100)),0)</f>
        <v/>
      </c>
      <c r="R1070">
        <f>IF(AND(Inputs!$B$39&lt;&gt;"pvp",Inputs!$B$44&gt;0),IF(MAX(0,Inputs!$B$44-B1102)&lt;=0,0,(INT(MAX(0,Inputs!$B$44-B1102)/(IF(Inputs!$B$39="pvp",15,MAX(0.1,Skills!D8-IF(Skills!E8=TRUE,Inputs!$B$33,0)))*(1-IF(AND(ArtifactsInput!$M$27,Inputs!$B$4="Chapter Hunt"),CHOOSE(ArtifactsInput!$N$27+1,20,24,28,32,36,40),0)/100)))+1)),0)</f>
        <v/>
      </c>
      <c r="S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$21+Skills!O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1070*(1-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1070*(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1070*(1-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1070*(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$22+Skills!P8+B1094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1">
      <c r="A1071">
        <f>Skills!A9</f>
        <v/>
      </c>
      <c r="B1071">
        <f>Skills!B9</f>
        <v/>
      </c>
      <c r="C1071">
        <f>Inputs!$B$3&gt;=115</f>
        <v/>
      </c>
      <c r="D1071">
        <f>IF(Skills!C9=1,60+Inputs!$B$26+Inputs!$B$30,IF(Skills!C9=2,90+Inputs!$B$27+Inputs!$B$30,IF(Skills!C9=3,120+Inputs!$B$28+Inputs!$B$30,MAX(0,(Inputs!$B$3-100)*3)+Inputs!$B$29+Inputs!$B$30)))</f>
        <v/>
      </c>
      <c r="E1071">
        <f>INDEX(FactorTable!$B$2:$Y$301, MATCH(ROUND(MIN(300,MAX(1,D1071)),0), FactorTable!$A$2:$A$301,0), Skills!L9+1)</f>
        <v/>
      </c>
      <c r="F1071">
        <f>IF(Skills!M9=TRUE,(Skills!K9/10)*(E1071/1000),Skills!K9/10)+Skills!N9</f>
        <v/>
      </c>
      <c r="G1071">
        <f>Calc!G9</f>
        <v/>
      </c>
      <c r="H1071">
        <f>Calc!H9</f>
        <v/>
      </c>
      <c r="I1071">
        <f>IF(Skills!T9&lt;&gt;"",1+(Skills!T9/10)*($Z$3/1000)/100,1)</f>
        <v/>
      </c>
      <c r="J1071">
        <f>(((Inputs!$B$6+1)*(1+Inputs!$B$7/100))+(((Inputs!$B$13*(1+Inputs!$B$14/100))-(Inputs!$B$13*(1+Inputs!$B$14/100)))+0.25*(Inputs!$B$15-Inputs!$B$15))*(1+Inputs!$B$7/100))*(F1071/100)</f>
        <v/>
      </c>
      <c r="K1071">
        <f>J1071*(1+(((Inputs!$B$13+IF(Inputs!$B$3&gt;=35,(10*INDEX(FactorTable!$B$2:$Y$301,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9="TRIUMPH_FEATHER",IF(C1078=TRUE,F1078,0),0)/100)*(1+IF(C1089=TRUE,F1089,0)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1071)</f>
        <v/>
      </c>
      <c r="L1071">
        <f>K1071*(MIN(Inputs!$B$23+(F1084-Calc!F22),(Inputs!$B$24+IF(ArtifactsInput!$M$15,CHOOSE(ArtifactsInput!$N$15+1,25,30,35,40,45,50)/100*(Inputs!$B$12-Inputs!$B$12),0)))/100+(Inputs!$B$24+IF(ArtifactsInput!$M$15,CHOOSE(ArtifactsInput!$N$15+1,25,30,35,40,45,50)/100*(Inputs!$B$12-Inputs!$B$12),0))/100)/2</f>
        <v/>
      </c>
      <c r="M1071">
        <f>L1071*(1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1">
        <f>L1071*(1-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1">
        <f>(1-Summary!$B$11)*S1071+Summary!$B$11*U1071</f>
        <v/>
      </c>
      <c r="P1071">
        <f>IF(B1105=0,0,O1071/B1105)</f>
        <v/>
      </c>
      <c r="Q1071">
        <f>IFERROR(1/(IF(Inputs!$B$39="pvp",15,MAX(0.1,Skills!D9-IF(Skills!E9=TRUE,Inputs!$B$33,0)))*(1-IF(AND(ArtifactsInput!$M$27,Inputs!$B$4="Chapter Hunt"),CHOOSE(ArtifactsInput!$N$27+1,20,24,28,32,36,40),0)/100)),0)</f>
        <v/>
      </c>
      <c r="R1071">
        <f>IF(AND(Inputs!$B$39&lt;&gt;"pvp",Inputs!$B$44&gt;0),IF(MAX(0,Inputs!$B$44-B1102)&lt;=0,0,(INT(MAX(0,Inputs!$B$44-B1102)/(IF(Inputs!$B$39="pvp",15,MAX(0.1,Skills!D9-IF(Skills!E9=TRUE,Inputs!$B$33,0)))*(1-IF(AND(ArtifactsInput!$M$27,Inputs!$B$4="Chapter Hunt"),CHOOSE(ArtifactsInput!$N$27+1,20,24,28,32,36,40),0)/100)))+1)),0)</f>
        <v/>
      </c>
      <c r="S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$21+Skills!O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1071*(1-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1071*(1-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$22+Skills!P9+B1094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2">
      <c r="A1072">
        <f>Skills!A10</f>
        <v/>
      </c>
      <c r="B1072">
        <f>Skills!B10</f>
        <v/>
      </c>
      <c r="C1072">
        <f>Inputs!$B$3&gt;=66</f>
        <v/>
      </c>
      <c r="D1072">
        <f>IF(Skills!C10=1,60+Inputs!$B$26+Inputs!$B$30,IF(Skills!C10=2,90+Inputs!$B$27+Inputs!$B$30,IF(Skills!C10=3,120+Inputs!$B$28+Inputs!$B$30,MAX(0,(Inputs!$B$3-100)*3)+Inputs!$B$29+Inputs!$B$30)))</f>
        <v/>
      </c>
      <c r="E1072">
        <f>INDEX(FactorTable!$B$2:$Y$301, MATCH(ROUND(MIN(300,MAX(1,D1072)),0), FactorTable!$A$2:$A$301,0), Skills!L10+1)</f>
        <v/>
      </c>
      <c r="F1072" t="n">
        <v>0</v>
      </c>
      <c r="G1072">
        <f>Calc!G10</f>
        <v/>
      </c>
      <c r="H1072">
        <f>Calc!H10</f>
        <v/>
      </c>
      <c r="I1072">
        <f>IF(Skills!T10&lt;&gt;"",1+(Skills!T10/10)*($Z$3/1000)/100,1)</f>
        <v/>
      </c>
      <c r="J1072" t="inlineStr"/>
      <c r="K1072" t="inlineStr"/>
      <c r="L1072" t="inlineStr"/>
      <c r="M1072" t="inlineStr"/>
      <c r="N1072" t="inlineStr"/>
      <c r="O1072">
        <f>(1-Summary!$B$11)*S1072+Summary!$B$11*U1072</f>
        <v/>
      </c>
      <c r="P1072">
        <f>IF(B1105=0,0,O1072/B1105)</f>
        <v/>
      </c>
      <c r="Q1072">
        <f>IFERROR(1/(IF(Inputs!$B$39="pvp",15,MAX(0.1,Skills!D10-IF(Skills!E10=TRUE,Inputs!$B$33,0)))*(1-IF(AND(ArtifactsInput!$M$27,Inputs!$B$4="Chapter Hunt"),CHOOSE(ArtifactsInput!$N$27+1,20,24,28,32,36,40),0)/100)),0)</f>
        <v/>
      </c>
      <c r="R1072">
        <f>IF(AND(Inputs!$B$39&lt;&gt;"pvp",Inputs!$B$44&gt;0),IF(MAX(0,Inputs!$B$44-B1102)&lt;=0,0,(INT(MAX(0,Inputs!$B$44-B1102)/(IF(Inputs!$B$39="pvp",15,MAX(0.1,Skills!D10-IF(Skills!E10=TRUE,Inputs!$B$33,0)))*(1-IF(AND(ArtifactsInput!$M$27,Inputs!$B$4="Chapter Hunt"),CHOOSE(ArtifactsInput!$N$27+1,20,24,28,32,36,40),0)/100)))+1)),0)</f>
        <v/>
      </c>
      <c r="S1072" t="n">
        <v>0</v>
      </c>
      <c r="U1072" t="n">
        <v>0</v>
      </c>
    </row>
    <row r="1073">
      <c r="A1073">
        <f>Skills!A11</f>
        <v/>
      </c>
      <c r="B1073">
        <f>Skills!B11</f>
        <v/>
      </c>
      <c r="C1073">
        <f>Inputs!$B$3&gt;=69</f>
        <v/>
      </c>
      <c r="D1073">
        <f>IF(Skills!C11=1,60+Inputs!$B$26+Inputs!$B$30,IF(Skills!C11=2,90+Inputs!$B$27+Inputs!$B$30,IF(Skills!C11=3,120+Inputs!$B$28+Inputs!$B$30,MAX(0,(Inputs!$B$3-100)*3)+Inputs!$B$29+Inputs!$B$30)))</f>
        <v/>
      </c>
      <c r="E1073">
        <f>INDEX(FactorTable!$B$2:$Y$301, MATCH(ROUND(MIN(300,MAX(1,D1073)),0), FactorTable!$A$2:$A$301,0), Skills!L11+1)</f>
        <v/>
      </c>
      <c r="F1073">
        <f>IF(Skills!M11=TRUE,(Skills!K11/10)*(E1073/1000),Skills!K11/10)+Skills!N11</f>
        <v/>
      </c>
      <c r="G1073">
        <f>Calc!G11</f>
        <v/>
      </c>
      <c r="H1073">
        <f>Calc!H11</f>
        <v/>
      </c>
      <c r="I1073">
        <f>IF(Skills!T11&lt;&gt;"",1+(Skills!T11/10)*($Z$3/1000)/100,1)</f>
        <v/>
      </c>
      <c r="J1073" t="inlineStr"/>
      <c r="K1073" t="inlineStr"/>
      <c r="L1073" t="inlineStr"/>
      <c r="M1073" t="inlineStr"/>
      <c r="N1073" t="inlineStr"/>
      <c r="O1073">
        <f>(1-Summary!$B$11)*S1073+Summary!$B$11*U1073</f>
        <v/>
      </c>
      <c r="P1073">
        <f>IF(B1105=0,0,O1073/B1105)</f>
        <v/>
      </c>
      <c r="Q1073">
        <f>IFERROR(1/(IF(Inputs!$B$39="pvp",15,MAX(0.1,Skills!D11-IF(Skills!E11=TRUE,Inputs!$B$33,0)))*(1-IF(AND(ArtifactsInput!$M$27,Inputs!$B$4="Chapter Hunt"),CHOOSE(ArtifactsInput!$N$27+1,20,24,28,32,36,40),0)/100)),0)</f>
        <v/>
      </c>
      <c r="R1073">
        <f>IF(AND(Inputs!$B$39&lt;&gt;"pvp",Inputs!$B$44&gt;0),IF(Inputs!$B$44&lt;=0,0,(INT(Inputs!$B$44/(IF(Inputs!$B$39="pvp",15,MAX(0.1,Skills!D11-IF(Skills!E11=TRUE,Inputs!$B$33,0)))*(1-IF(AND(ArtifactsInput!$M$27,Inputs!$B$4="Chapter Hunt"),CHOOSE(ArtifactsInput!$N$27+1,20,24,28,32,36,40),0)/100)))+1)),0)</f>
        <v/>
      </c>
      <c r="S1073" t="n">
        <v>0</v>
      </c>
      <c r="U1073" t="n">
        <v>0</v>
      </c>
    </row>
    <row r="1074">
      <c r="A1074">
        <f>Skills!A12</f>
        <v/>
      </c>
      <c r="B1074">
        <f>Skills!B12</f>
        <v/>
      </c>
      <c r="C1074">
        <f>Inputs!$B$3&gt;=72</f>
        <v/>
      </c>
      <c r="D1074">
        <f>IF(Skills!C12=1,60+Inputs!$B$26+Inputs!$B$30,IF(Skills!C12=2,90+Inputs!$B$27+Inputs!$B$30,IF(Skills!C12=3,120+Inputs!$B$28+Inputs!$B$30,MAX(0,(Inputs!$B$3-100)*3)+Inputs!$B$29+Inputs!$B$30)))</f>
        <v/>
      </c>
      <c r="E1074">
        <f>INDEX(FactorTable!$B$2:$Y$301, MATCH(ROUND(MIN(300,MAX(1,D1074)),0), FactorTable!$A$2:$A$301,0), Skills!L12+1)</f>
        <v/>
      </c>
      <c r="F1074">
        <f>IF(Skills!M12=TRUE,(Skills!K12/10)*(E1074/1000),Skills!K12/10)+Skills!N12</f>
        <v/>
      </c>
      <c r="G1074">
        <f>Calc!G12</f>
        <v/>
      </c>
      <c r="H1074">
        <f>Calc!H12</f>
        <v/>
      </c>
      <c r="I1074">
        <f>IF(Skills!T12&lt;&gt;"",1+(Skills!T12/10)*($Z$3/1000)/100,1)</f>
        <v/>
      </c>
      <c r="J1074" t="inlineStr"/>
      <c r="K1074" t="inlineStr"/>
      <c r="L1074" t="inlineStr"/>
      <c r="M1074" t="inlineStr"/>
      <c r="N1074" t="inlineStr"/>
      <c r="O1074">
        <f>(1-Summary!$B$11)*S1074+Summary!$B$11*U1074</f>
        <v/>
      </c>
      <c r="P1074">
        <f>IF(B1105=0,0,O1074/B1105)</f>
        <v/>
      </c>
      <c r="Q1074">
        <f>IFERROR(1/(IF(Inputs!$B$39="pvp",15,MAX(0.1,Skills!D12-IF(Skills!E12=TRUE,Inputs!$B$33,0)))*(1-IF(AND(ArtifactsInput!$M$27,Inputs!$B$4="Chapter Hunt"),CHOOSE(ArtifactsInput!$N$27+1,20,24,28,32,36,40),0)/100)),0)</f>
        <v/>
      </c>
      <c r="R1074">
        <f>IF(AND(Inputs!$B$39&lt;&gt;"pvp",Inputs!$B$44&gt;0),IF(MAX(0,Inputs!$B$44-B1102)&lt;=0,0,(INT(MAX(0,Inputs!$B$44-B1102)/(IF(Inputs!$B$39="pvp",15,MAX(0.1,Skills!D12-IF(Skills!E12=TRUE,Inputs!$B$33,0)))*(1-IF(AND(ArtifactsInput!$M$27,Inputs!$B$4="Chapter Hunt"),CHOOSE(ArtifactsInput!$N$27+1,20,24,28,32,36,40),0)/100)))+1)),0)</f>
        <v/>
      </c>
      <c r="S1074" t="n">
        <v>0</v>
      </c>
      <c r="U1074" t="n">
        <v>0</v>
      </c>
    </row>
    <row r="1075">
      <c r="A1075">
        <f>Skills!A13</f>
        <v/>
      </c>
      <c r="B1075">
        <f>Skills!B13</f>
        <v/>
      </c>
      <c r="C1075">
        <f>Inputs!$B$3&gt;=60</f>
        <v/>
      </c>
      <c r="D1075">
        <f>IF(Skills!C13=1,60+Inputs!$B$26+Inputs!$B$30,IF(Skills!C13=2,90+Inputs!$B$27+Inputs!$B$30,IF(Skills!C13=3,120+Inputs!$B$28+Inputs!$B$30,MAX(0,(Inputs!$B$3-100)*3)+Inputs!$B$29+Inputs!$B$30)))</f>
        <v/>
      </c>
      <c r="E1075">
        <f>INDEX(FactorTable!$B$2:$Y$301, MATCH(ROUND(MIN(300,MAX(1,D1075)),0), FactorTable!$A$2:$A$301,0), Skills!L13+1)</f>
        <v/>
      </c>
      <c r="F1075">
        <f>IF(Skills!M13=TRUE,(Skills!K13/10)*(E1075/1000),Skills!K13/10)+Skills!N13</f>
        <v/>
      </c>
      <c r="G1075">
        <f>Calc!G13</f>
        <v/>
      </c>
      <c r="H1075">
        <f>Calc!H13</f>
        <v/>
      </c>
      <c r="I1075">
        <f>IF(Skills!T13&lt;&gt;"",1+(Skills!T13/10)*($Z$3/1000)/100,1)</f>
        <v/>
      </c>
      <c r="J1075" t="inlineStr"/>
      <c r="K1075" t="inlineStr"/>
      <c r="L1075" t="inlineStr"/>
      <c r="M1075" t="inlineStr"/>
      <c r="N1075" t="inlineStr"/>
      <c r="O1075">
        <f>(1-Summary!$B$11)*S1075+Summary!$B$11*U1075</f>
        <v/>
      </c>
      <c r="P1075">
        <f>IF(B1105=0,0,O1075/B1105)</f>
        <v/>
      </c>
      <c r="Q1075">
        <f>IFERROR(1/(IF(Inputs!$B$39="pvp",15,MAX(0.1,Skills!D13-IF(Skills!E13=TRUE,Inputs!$B$33,0)))*(1-IF(AND(ArtifactsInput!$M$27,Inputs!$B$4="Chapter Hunt"),CHOOSE(ArtifactsInput!$N$27+1,20,24,28,32,36,40),0)/100)),0)</f>
        <v/>
      </c>
      <c r="R1075">
        <f>IF(AND(Inputs!$B$39&lt;&gt;"pvp",Inputs!$B$44&gt;0),IF(MAX(0,Inputs!$B$44-B1102)&lt;=0,0,(INT(MAX(0,Inputs!$B$44-B1102)/(IF(Inputs!$B$39="pvp",15,MAX(0.1,Skills!D13-IF(Skills!E13=TRUE,Inputs!$B$33,0)))*(1-IF(AND(ArtifactsInput!$M$27,Inputs!$B$4="Chapter Hunt"),CHOOSE(ArtifactsInput!$N$27+1,20,24,28,32,36,40),0)/100)))+1)),0)</f>
        <v/>
      </c>
      <c r="S1075" t="n">
        <v>0</v>
      </c>
      <c r="U1075" t="n">
        <v>0</v>
      </c>
    </row>
    <row r="1076">
      <c r="A1076">
        <f>Skills!A14</f>
        <v/>
      </c>
      <c r="B1076">
        <f>Skills!B14</f>
        <v/>
      </c>
      <c r="C1076">
        <f>Inputs!$B$3&gt;=107</f>
        <v/>
      </c>
      <c r="D1076">
        <f>IF(Skills!C14=1,60+Inputs!$B$26+Inputs!$B$30,IF(Skills!C14=2,90+Inputs!$B$27+Inputs!$B$30,IF(Skills!C14=3,120+Inputs!$B$28+Inputs!$B$30,MAX(0,(Inputs!$B$3-100)*3)+Inputs!$B$29+Inputs!$B$30)))</f>
        <v/>
      </c>
      <c r="E1076">
        <f>INDEX(FactorTable!$B$2:$Y$301, MATCH(ROUND(MIN(300,MAX(1,D1076)),0), FactorTable!$A$2:$A$301,0), Skills!L14+1)</f>
        <v/>
      </c>
      <c r="F1076">
        <f>IF(Skills!M14=TRUE,(Skills!K14/10)*(E1076/1000),Skills!K14/10)+Skills!N14</f>
        <v/>
      </c>
      <c r="G1076">
        <f>Calc!G14</f>
        <v/>
      </c>
      <c r="H1076">
        <f>Calc!H14</f>
        <v/>
      </c>
      <c r="I1076">
        <f>IF(Skills!T14&lt;&gt;"",1+(Skills!T14/10)*($Z$3/1000)/100,1)</f>
        <v/>
      </c>
      <c r="J1076" t="inlineStr"/>
      <c r="K1076" t="inlineStr"/>
      <c r="L1076" t="inlineStr"/>
      <c r="M1076" t="inlineStr"/>
      <c r="N1076" t="inlineStr"/>
      <c r="O1076">
        <f>(1-Summary!$B$11)*S1076+Summary!$B$11*U1076</f>
        <v/>
      </c>
      <c r="P1076">
        <f>IF(B1105=0,0,O1076/B1105)</f>
        <v/>
      </c>
      <c r="Q1076">
        <f>IFERROR(1/(IF(Inputs!$B$39="pvp",15,MAX(0.1,Skills!D14-IF(Skills!E14=TRUE,Inputs!$B$33,0)))*(1-IF(AND(ArtifactsInput!$M$27,Inputs!$B$4="Chapter Hunt"),CHOOSE(ArtifactsInput!$N$27+1,20,24,28,32,36,40),0)/100)),0)</f>
        <v/>
      </c>
      <c r="R1076">
        <f>IF(AND(Inputs!$B$39&lt;&gt;"pvp",Inputs!$B$44&gt;0),IF(Inputs!$B$44&lt;=0,0,(INT(Inputs!$B$44/(IF(Inputs!$B$39="pvp",15,MAX(0.1,Skills!D14-IF(Skills!E14=TRUE,Inputs!$B$33,0)))*(1-IF(AND(ArtifactsInput!$M$27,Inputs!$B$4="Chapter Hunt"),CHOOSE(ArtifactsInput!$N$27+1,20,24,28,32,36,40),0)/100)))+1)),0)</f>
        <v/>
      </c>
      <c r="S1076" t="n">
        <v>0</v>
      </c>
      <c r="U1076" t="n">
        <v>0</v>
      </c>
    </row>
    <row r="1077">
      <c r="A1077">
        <f>Skills!A15</f>
        <v/>
      </c>
      <c r="B1077">
        <f>Skills!B15</f>
        <v/>
      </c>
      <c r="C1077">
        <f>Inputs!$B$3&gt;=63</f>
        <v/>
      </c>
      <c r="D1077">
        <f>IF(Skills!C15=1,60+Inputs!$B$26+Inputs!$B$30,IF(Skills!C15=2,90+Inputs!$B$27+Inputs!$B$30,IF(Skills!C15=3,120+Inputs!$B$28+Inputs!$B$30,MAX(0,(Inputs!$B$3-100)*3)+Inputs!$B$29+Inputs!$B$30)))</f>
        <v/>
      </c>
      <c r="E1077">
        <f>INDEX(FactorTable!$B$2:$Y$301, MATCH(ROUND(MIN(300,MAX(1,D1077)),0), FactorTable!$A$2:$A$301,0), Skills!L15+1)</f>
        <v/>
      </c>
      <c r="F1077">
        <f>IF(Skills!M15=TRUE,(Skills!K15/10)*(E1077/1000),Skills!K15/10)+Skills!N15</f>
        <v/>
      </c>
      <c r="G1077">
        <f>Calc!G15</f>
        <v/>
      </c>
      <c r="H1077">
        <f>Calc!H15</f>
        <v/>
      </c>
      <c r="I1077">
        <f>IF(Skills!T15&lt;&gt;"",1+(Skills!T15/10)*($Z$3/1000)/100,1)</f>
        <v/>
      </c>
      <c r="J1077">
        <f>(((Inputs!$B$6+1)*(1+Inputs!$B$7/100))+(((Inputs!$B$13*(1+Inputs!$B$14/100))-(Inputs!$B$13*(1+Inputs!$B$14/100)))+0.25*(Inputs!$B$15-Inputs!$B$15))*(1+Inputs!$B$7/100))*(F1077/100)</f>
        <v/>
      </c>
      <c r="K1077">
        <f>J1077*(1+(((Inputs!$B$13+IF(Inputs!$B$3&gt;=35,(10*INDEX(FactorTable!$B$2:$Y$301,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15="TRIUMPH_FEATHER",IF(C1078=TRUE,F1078,0),0)/100)*(1+IF(C1089=TRUE,F1089,0)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1077)</f>
        <v/>
      </c>
      <c r="L1077">
        <f>K1077*(MIN(Inputs!$B$23+(F1084-Calc!F22),(Inputs!$B$24+IF(ArtifactsInput!$M$15,CHOOSE(ArtifactsInput!$N$15+1,25,30,35,40,45,50)/100*(Inputs!$B$12-Inputs!$B$12),0)))/100+(Inputs!$B$24+IF(ArtifactsInput!$M$15,CHOOSE(ArtifactsInput!$N$15+1,25,30,35,40,45,50)/100*(Inputs!$B$12-Inputs!$B$12),0))/100)/2</f>
        <v/>
      </c>
      <c r="M1077">
        <f>L1077*(1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7">
        <f>L1077*(1-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1077*(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7">
        <f>(1-Summary!$B$11)*S1077+Summary!$B$11*U1077</f>
        <v/>
      </c>
      <c r="P1077">
        <f>IF(B1105=0,0,O1077/B1105)</f>
        <v/>
      </c>
      <c r="Q1077">
        <f>IFERROR(1/(IF(Inputs!$B$39="pvp",15,MAX(0.1,Skills!D15-IF(Skills!E15=TRUE,Inputs!$B$33,0)))*(1-IF(AND(ArtifactsInput!$M$27,Inputs!$B$4="Chapter Hunt"),CHOOSE(ArtifactsInput!$N$27+1,20,24,28,32,36,40),0)/100)),0)</f>
        <v/>
      </c>
      <c r="R1077" t="n">
        <v>0</v>
      </c>
      <c r="S1077">
        <f>IF(C1077,(Skills!F15*N1077*((IF(Inputs!$B$3&gt;=78,25,15)/100*B1098*10)/(1+IF(Inputs!$B$3&gt;=78,25,15)/100*B1098*10))*(Skills!I15/100*B1098)/(1+Skills!G15*Skills!I15/100*B1098))*IF(Inputs!$B$39="pvp",1,1+(Inputs!$B$21+Skills!O15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1077*(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1077*(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7">
        <f>IF(C1077,(Skills!F15*N1077*((IF(Inputs!$B$3&gt;=78,25,15)/100*B1098*10)/(1+IF(Inputs!$B$3&gt;=78,25,15)/100*B1098*10))*(Skills!I15/100*B1098)/(1+Skills!G15*Skills!I15/100*B1098))*IF(Inputs!$B$39="pvp",1,(1+(Inputs!$B$22+Skills!P15+B1094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8">
      <c r="A1078">
        <f>Skills!A16</f>
        <v/>
      </c>
      <c r="B1078">
        <f>Skills!B16</f>
        <v/>
      </c>
      <c r="C1078">
        <f>Inputs!$B$3&gt;=100</f>
        <v/>
      </c>
      <c r="D1078">
        <f>IF(Skills!C16=1,60+Inputs!$B$26+Inputs!$B$30,IF(Skills!C16=2,90+Inputs!$B$27+Inputs!$B$30,IF(Skills!C16=3,120+Inputs!$B$28+Inputs!$B$30,MAX(0,(Inputs!$B$3-100)*3)+Inputs!$B$29+Inputs!$B$30)))</f>
        <v/>
      </c>
      <c r="E1078">
        <f>INDEX(FactorTable!$B$2:$Y$301, MATCH(ROUND(MIN(300,MAX(1,D1078)),0), FactorTable!$A$2:$A$301,0), Skills!L16+1)</f>
        <v/>
      </c>
      <c r="F1078">
        <f>IF(Skills!M16=TRUE,(Skills!K16/10)*(E1078/1000),Skills!K16/10)+Skills!N16</f>
        <v/>
      </c>
      <c r="G1078">
        <f>Calc!G16</f>
        <v/>
      </c>
      <c r="H1078">
        <f>Calc!H16</f>
        <v/>
      </c>
      <c r="I1078">
        <f>IF(Skills!T16&lt;&gt;"",1+(Skills!T16/10)*($Z$3/1000)/100,1)</f>
        <v/>
      </c>
      <c r="J1078" t="inlineStr"/>
      <c r="K1078" t="inlineStr"/>
      <c r="L1078" t="inlineStr"/>
      <c r="M1078" t="inlineStr"/>
      <c r="N1078" t="inlineStr"/>
      <c r="O1078">
        <f>(1-Summary!$B$11)*S1078+Summary!$B$11*U1078</f>
        <v/>
      </c>
      <c r="P1078">
        <f>IF(B1105=0,0,O1078/B1105)</f>
        <v/>
      </c>
      <c r="Q1078">
        <f>IFERROR(1/(IF(Inputs!$B$39="pvp",15,MAX(0.1,Skills!D16-IF(Skills!E16=TRUE,Inputs!$B$33,0)))*(1-IF(AND(ArtifactsInput!$M$27,Inputs!$B$4="Chapter Hunt"),CHOOSE(ArtifactsInput!$N$27+1,20,24,28,32,36,40),0)/100)),0)</f>
        <v/>
      </c>
      <c r="R1078" t="n">
        <v>0</v>
      </c>
      <c r="S1078" t="n">
        <v>0</v>
      </c>
      <c r="U1078" t="n">
        <v>0</v>
      </c>
    </row>
    <row r="1079">
      <c r="A1079">
        <f>Skills!A17</f>
        <v/>
      </c>
      <c r="B1079">
        <f>Skills!B17</f>
        <v/>
      </c>
      <c r="C1079">
        <f>Inputs!$B$3&gt;=49</f>
        <v/>
      </c>
      <c r="D1079">
        <f>IF(Skills!C17=1,60+Inputs!$B$26+Inputs!$B$30,IF(Skills!C17=2,90+Inputs!$B$27+Inputs!$B$30,IF(Skills!C17=3,120+Inputs!$B$28+Inputs!$B$30,MAX(0,(Inputs!$B$3-100)*3)+Inputs!$B$29+Inputs!$B$30)))</f>
        <v/>
      </c>
      <c r="E1079">
        <f>INDEX(FactorTable!$B$2:$Y$301, MATCH(ROUND(MIN(300,MAX(1,D1079)),0), FactorTable!$A$2:$A$301,0), Skills!L17+1)</f>
        <v/>
      </c>
      <c r="F1079">
        <f>IF(Skills!M17=TRUE,(Skills!K17/10)*(E1079/1000),Skills!K17/10)+Skills!N17</f>
        <v/>
      </c>
      <c r="G1079">
        <f>Calc!G17</f>
        <v/>
      </c>
      <c r="H1079">
        <f>Calc!H17</f>
        <v/>
      </c>
      <c r="I1079">
        <f>IF(Skills!T17&lt;&gt;"",1+(Skills!T17/10)*($Z$3/1000)/100,1)</f>
        <v/>
      </c>
      <c r="J1079" t="inlineStr"/>
      <c r="K1079" t="inlineStr"/>
      <c r="L1079" t="inlineStr"/>
      <c r="M1079" t="inlineStr"/>
      <c r="N1079" t="inlineStr"/>
      <c r="O1079">
        <f>(1-Summary!$B$11)*S1079+Summary!$B$11*U1079</f>
        <v/>
      </c>
      <c r="P1079">
        <f>IF(B1105=0,0,O1079/B1105)</f>
        <v/>
      </c>
      <c r="Q1079">
        <f>IFERROR(1/(IF(Inputs!$B$39="pvp",15,MAX(0.1,Skills!D17-IF(Skills!E17=TRUE,Inputs!$B$33,0)))*(1-IF(AND(ArtifactsInput!$M$27,Inputs!$B$4="Chapter Hunt"),CHOOSE(ArtifactsInput!$N$27+1,20,24,28,32,36,40),0)/100)),0)</f>
        <v/>
      </c>
      <c r="R1079" t="n">
        <v>0</v>
      </c>
      <c r="S1079" t="n">
        <v>0</v>
      </c>
      <c r="U1079" t="n">
        <v>0</v>
      </c>
    </row>
    <row r="1080">
      <c r="A1080">
        <f>Skills!A18</f>
        <v/>
      </c>
      <c r="B1080">
        <f>Skills!B18</f>
        <v/>
      </c>
      <c r="C1080">
        <f>Inputs!$B$3&gt;=75</f>
        <v/>
      </c>
      <c r="D1080">
        <f>IF(Skills!C18=1,60+Inputs!$B$26+Inputs!$B$30,IF(Skills!C18=2,90+Inputs!$B$27+Inputs!$B$30,IF(Skills!C18=3,120+Inputs!$B$28+Inputs!$B$30,MAX(0,(Inputs!$B$3-100)*3)+Inputs!$B$29+Inputs!$B$30)))</f>
        <v/>
      </c>
      <c r="E1080">
        <f>INDEX(FactorTable!$B$2:$Y$301, MATCH(ROUND(MIN(300,MAX(1,D1080)),0), FactorTable!$A$2:$A$301,0), Skills!L18+1)</f>
        <v/>
      </c>
      <c r="F1080">
        <f>IF(Skills!M18=TRUE,(Skills!K18/10)*(E1080/1000),Skills!K18/10)+Skills!N18</f>
        <v/>
      </c>
      <c r="G1080">
        <f>Calc!G18</f>
        <v/>
      </c>
      <c r="H1080">
        <f>Calc!H18</f>
        <v/>
      </c>
      <c r="I1080">
        <f>IF(Skills!T18&lt;&gt;"",1+(Skills!T18/10)*($Z$3/1000)/100,1)</f>
        <v/>
      </c>
      <c r="J1080" t="inlineStr"/>
      <c r="K1080" t="inlineStr"/>
      <c r="L1080" t="inlineStr"/>
      <c r="M1080" t="inlineStr"/>
      <c r="N1080" t="inlineStr"/>
      <c r="O1080">
        <f>(1-Summary!$B$11)*S1080+Summary!$B$11*U1080</f>
        <v/>
      </c>
      <c r="P1080">
        <f>IF(B1105=0,0,O1080/B1105)</f>
        <v/>
      </c>
      <c r="Q1080">
        <f>IFERROR(1/(IF(Inputs!$B$39="pvp",15,MAX(0.1,Skills!D18-IF(Skills!E18=TRUE,Inputs!$B$33,0)))*(1-IF(AND(ArtifactsInput!$M$27,Inputs!$B$4="Chapter Hunt"),CHOOSE(ArtifactsInput!$N$27+1,20,24,28,32,36,40),0)/100)),0)</f>
        <v/>
      </c>
      <c r="R1080" t="n">
        <v>0</v>
      </c>
      <c r="S1080" t="n">
        <v>0</v>
      </c>
      <c r="U1080" t="n">
        <v>0</v>
      </c>
    </row>
    <row r="1081">
      <c r="A1081">
        <f>Skills!A19</f>
        <v/>
      </c>
      <c r="B1081">
        <f>Skills!B19</f>
        <v/>
      </c>
      <c r="C1081">
        <f>Inputs!$B$3&gt;=110</f>
        <v/>
      </c>
      <c r="D1081">
        <f>IF(Skills!C19=1,60+Inputs!$B$26+Inputs!$B$30,IF(Skills!C19=2,90+Inputs!$B$27+Inputs!$B$30,IF(Skills!C19=3,120+Inputs!$B$28+Inputs!$B$30,MAX(0,(Inputs!$B$3-100)*3)+Inputs!$B$29+Inputs!$B$30)))</f>
        <v/>
      </c>
      <c r="E1081">
        <f>INDEX(FactorTable!$B$2:$Y$301, MATCH(ROUND(MIN(300,MAX(1,D1081)),0), FactorTable!$A$2:$A$301,0), Skills!L19+1)</f>
        <v/>
      </c>
      <c r="F1081">
        <f>(Skills!K19/10)*(E1081/1000)*64/45+Skills!N19</f>
        <v/>
      </c>
      <c r="G1081">
        <f>Calc!G19</f>
        <v/>
      </c>
      <c r="H1081">
        <f>Calc!H19</f>
        <v/>
      </c>
      <c r="I1081">
        <f>IF(Skills!T19&lt;&gt;"",1+(Skills!T19/10)*($Z$3/1000)/100,1)</f>
        <v/>
      </c>
      <c r="J1081" t="inlineStr"/>
      <c r="K1081" t="inlineStr"/>
      <c r="L1081" t="inlineStr"/>
      <c r="M1081" t="inlineStr"/>
      <c r="N1081" t="inlineStr"/>
      <c r="O1081">
        <f>(1-Summary!$B$11)*S1081+Summary!$B$11*U1081</f>
        <v/>
      </c>
      <c r="P1081">
        <f>IF(B1105=0,0,O1081/B1105)</f>
        <v/>
      </c>
      <c r="Q1081">
        <f>IFERROR(1/(IF(Inputs!$B$39="pvp",15,MAX(0.1,Skills!D19-IF(Skills!E19=TRUE,Inputs!$B$33,0)))*(1-IF(AND(ArtifactsInput!$M$27,Inputs!$B$4="Chapter Hunt"),CHOOSE(ArtifactsInput!$N$27+1,20,24,28,32,36,40),0)/100)),0)</f>
        <v/>
      </c>
      <c r="R1081">
        <f>IF(AND(Inputs!$B$39&lt;&gt;"pvp",Inputs!$B$44&gt;0),IF(Inputs!$B$44&lt;=0,0,(INT(Inputs!$B$44/(IF(Inputs!$B$39="pvp",15,MAX(0.1,Skills!D19-IF(Skills!E19=TRUE,Inputs!$B$33,0)))*(1-IF(AND(ArtifactsInput!$M$27,Inputs!$B$4="Chapter Hunt"),CHOOSE(ArtifactsInput!$N$27+1,20,24,28,32,36,40),0)/100)))+1)),0)</f>
        <v/>
      </c>
      <c r="S1081" t="n">
        <v>0</v>
      </c>
      <c r="U1081" t="n">
        <v>0</v>
      </c>
    </row>
    <row r="1082">
      <c r="A1082">
        <f>Skills!A20</f>
        <v/>
      </c>
      <c r="B1082">
        <f>Skills!B20</f>
        <v/>
      </c>
      <c r="C1082">
        <f>Inputs!$B$3&gt;=125</f>
        <v/>
      </c>
      <c r="D1082">
        <f>IF(Skills!C20=1,60+Inputs!$B$26+Inputs!$B$30,IF(Skills!C20=2,90+Inputs!$B$27+Inputs!$B$30,IF(Skills!C20=3,120+Inputs!$B$28+Inputs!$B$30,MAX(0,(Inputs!$B$3-100)*3)+Inputs!$B$29+Inputs!$B$30)))</f>
        <v/>
      </c>
      <c r="E1082">
        <f>INDEX(FactorTable!$B$2:$Y$301, MATCH(ROUND(MIN(300,MAX(1,D1082)),0), FactorTable!$A$2:$A$301,0), Skills!L20+1)</f>
        <v/>
      </c>
      <c r="F1082">
        <f>IF(Skills!M20=TRUE,(Skills!K20/10)*(E1082/1000),Skills!K20/10)+Skills!N20</f>
        <v/>
      </c>
      <c r="G1082">
        <f>Calc!G20</f>
        <v/>
      </c>
      <c r="H1082">
        <f>Calc!H20</f>
        <v/>
      </c>
      <c r="I1082">
        <f>IF(Skills!T20&lt;&gt;"",1+(Skills!T20/10)*($Z$3/1000)/100,1)</f>
        <v/>
      </c>
      <c r="J1082" t="inlineStr"/>
      <c r="K1082" t="inlineStr"/>
      <c r="L1082" t="inlineStr"/>
      <c r="M1082" t="inlineStr"/>
      <c r="N1082" t="inlineStr"/>
      <c r="O1082">
        <f>(1-Summary!$B$11)*S1082+Summary!$B$11*U1082</f>
        <v/>
      </c>
      <c r="P1082">
        <f>IF(B1105=0,0,O1082/B1105)</f>
        <v/>
      </c>
      <c r="Q1082">
        <f>IFERROR(1/(IF(Inputs!$B$39="pvp",15,MAX(0.1,Skills!D20-IF(Skills!E20=TRUE,Inputs!$B$33,0)))*(1-IF(AND(ArtifactsInput!$M$27,Inputs!$B$4="Chapter Hunt"),CHOOSE(ArtifactsInput!$N$27+1,20,24,28,32,36,40),0)/100)),0)</f>
        <v/>
      </c>
      <c r="R1082" t="n">
        <v>0</v>
      </c>
      <c r="S1082" t="n">
        <v>0</v>
      </c>
      <c r="U1082" t="n">
        <v>0</v>
      </c>
    </row>
    <row r="1083">
      <c r="A1083">
        <f>Skills!A21</f>
        <v/>
      </c>
      <c r="B1083">
        <f>Skills!B21</f>
        <v/>
      </c>
      <c r="C1083">
        <f>Inputs!$B$3&gt;=33</f>
        <v/>
      </c>
      <c r="D1083">
        <f>IF(Skills!C21=1,60+Inputs!$B$26+Inputs!$B$30,IF(Skills!C21=2,90+Inputs!$B$27+Inputs!$B$30,IF(Skills!C21=3,120+Inputs!$B$28+Inputs!$B$30,MAX(0,(Inputs!$B$3-100)*3)+Inputs!$B$29+Inputs!$B$30)))</f>
        <v/>
      </c>
      <c r="E1083">
        <f>INDEX(FactorTable!$B$2:$Y$301, MATCH(ROUND(MIN(300,MAX(1,D1083)),0), FactorTable!$A$2:$A$301,0), Skills!L21+1)</f>
        <v/>
      </c>
      <c r="F1083">
        <f>IF(Skills!M21=TRUE,(Skills!K21/10)*(E1083/1000),Skills!K21/10)+Skills!N21</f>
        <v/>
      </c>
      <c r="G1083">
        <f>Calc!G21</f>
        <v/>
      </c>
      <c r="H1083">
        <f>Calc!H21</f>
        <v/>
      </c>
      <c r="I1083">
        <f>IF(Skills!T21&lt;&gt;"",1+(Skills!T21/10)*($Z$3/1000)/100,1)</f>
        <v/>
      </c>
      <c r="J1083" t="inlineStr"/>
      <c r="K1083" t="inlineStr"/>
      <c r="L1083" t="inlineStr"/>
      <c r="M1083" t="inlineStr"/>
      <c r="N1083" t="inlineStr"/>
      <c r="O1083">
        <f>(1-Summary!$B$11)*S1083+Summary!$B$11*U1083</f>
        <v/>
      </c>
      <c r="P1083">
        <f>IF(B1105=0,0,O1083/B1105)</f>
        <v/>
      </c>
      <c r="Q1083">
        <f>IFERROR(1/(IF(Inputs!$B$39="pvp",15,MAX(0.1,Skills!D21-IF(Skills!E21=TRUE,Inputs!$B$33,0)))*(1-IF(AND(ArtifactsInput!$M$27,Inputs!$B$4="Chapter Hunt"),CHOOSE(ArtifactsInput!$N$27+1,20,24,28,32,36,40),0)/100)),0)</f>
        <v/>
      </c>
      <c r="R1083" t="n">
        <v>0</v>
      </c>
      <c r="S1083" t="n">
        <v>0</v>
      </c>
      <c r="U1083" t="n">
        <v>0</v>
      </c>
    </row>
    <row r="1084">
      <c r="A1084">
        <f>Skills!A22</f>
        <v/>
      </c>
      <c r="B1084">
        <f>Skills!B22</f>
        <v/>
      </c>
      <c r="C1084">
        <f>Inputs!$B$3&gt;=43</f>
        <v/>
      </c>
      <c r="D1084">
        <f>IF(Skills!C22=1,60+Inputs!$B$26+Inputs!$B$30,IF(Skills!C22=2,90+Inputs!$B$27+Inputs!$B$30,IF(Skills!C22=3,120+Inputs!$B$28+Inputs!$B$30,MAX(0,(Inputs!$B$3-100)*3)+Inputs!$B$29+Inputs!$B$30)))</f>
        <v/>
      </c>
      <c r="E1084">
        <f>INDEX(FactorTable!$B$2:$Y$301, MATCH(ROUND(MIN(300,MAX(1,D1084)),0), FactorTable!$A$2:$A$301,0), Skills!L22+1)</f>
        <v/>
      </c>
      <c r="F1084">
        <f>IF(Skills!M22=TRUE,(Skills!K22/10)*(E1084/1000),Skills!K22/10)+Skills!N22</f>
        <v/>
      </c>
      <c r="G1084">
        <f>Calc!G22</f>
        <v/>
      </c>
      <c r="H1084">
        <f>Calc!H22</f>
        <v/>
      </c>
      <c r="I1084">
        <f>IF(Skills!T22&lt;&gt;"",1+(Skills!T22/10)*($Z$3/1000)/100,1)</f>
        <v/>
      </c>
      <c r="J1084" t="inlineStr"/>
      <c r="K1084" t="inlineStr"/>
      <c r="L1084" t="inlineStr"/>
      <c r="M1084" t="inlineStr"/>
      <c r="N1084" t="inlineStr"/>
      <c r="O1084">
        <f>(1-Summary!$B$11)*S1084+Summary!$B$11*U1084</f>
        <v/>
      </c>
      <c r="P1084">
        <f>IF(B1105=0,0,O1084/B1105)</f>
        <v/>
      </c>
      <c r="Q1084">
        <f>IFERROR(1/(IF(Inputs!$B$39="pvp",15,MAX(0.1,Skills!D22-IF(Skills!E22=TRUE,Inputs!$B$33,0)))*(1-IF(AND(ArtifactsInput!$M$27,Inputs!$B$4="Chapter Hunt"),CHOOSE(ArtifactsInput!$N$27+1,20,24,28,32,36,40),0)/100)),0)</f>
        <v/>
      </c>
      <c r="R1084" t="n">
        <v>0</v>
      </c>
      <c r="S1084" t="n">
        <v>0</v>
      </c>
      <c r="U1084" t="n">
        <v>0</v>
      </c>
    </row>
    <row r="1085">
      <c r="A1085">
        <f>Skills!A23</f>
        <v/>
      </c>
      <c r="B1085">
        <f>Skills!B23</f>
        <v/>
      </c>
      <c r="C1085">
        <f>Inputs!$B$3&gt;=50</f>
        <v/>
      </c>
      <c r="D1085">
        <f>IF(Skills!C23=1,60+Inputs!$B$26+Inputs!$B$30,IF(Skills!C23=2,90+Inputs!$B$27+Inputs!$B$30,IF(Skills!C23=3,120+Inputs!$B$28+Inputs!$B$30,MAX(0,(Inputs!$B$3-100)*3)+Inputs!$B$29+Inputs!$B$30)))</f>
        <v/>
      </c>
      <c r="E1085">
        <f>INDEX(FactorTable!$B$2:$Y$301, MATCH(ROUND(MIN(300,MAX(1,D1085)),0), FactorTable!$A$2:$A$301,0), Skills!L23+1)</f>
        <v/>
      </c>
      <c r="F1085">
        <f>IF(Skills!M23=TRUE,(Skills!K23/10)*(E1085/1000),Skills!K23/10)+Skills!N23</f>
        <v/>
      </c>
      <c r="G1085">
        <f>Calc!G23</f>
        <v/>
      </c>
      <c r="H1085">
        <f>Calc!H23</f>
        <v/>
      </c>
      <c r="I1085">
        <f>IF(Skills!T23&lt;&gt;"",1+(Skills!T23/10)*($Z$3/1000)/100,1)</f>
        <v/>
      </c>
      <c r="J1085" t="inlineStr"/>
      <c r="K1085" t="inlineStr"/>
      <c r="L1085" t="inlineStr"/>
      <c r="M1085" t="inlineStr"/>
      <c r="N1085" t="inlineStr"/>
      <c r="O1085">
        <f>(1-Summary!$B$11)*S1085+Summary!$B$11*U1085</f>
        <v/>
      </c>
      <c r="P1085">
        <f>IF(B1105=0,0,O1085/B1105)</f>
        <v/>
      </c>
      <c r="Q1085">
        <f>IFERROR(1/(IF(Inputs!$B$39="pvp",15,MAX(0.1,Skills!D23-IF(Skills!E23=TRUE,Inputs!$B$33,0)))*(1-IF(AND(ArtifactsInput!$M$27,Inputs!$B$4="Chapter Hunt"),CHOOSE(ArtifactsInput!$N$27+1,20,24,28,32,36,40),0)/100)),0)</f>
        <v/>
      </c>
      <c r="R1085" t="n">
        <v>0</v>
      </c>
      <c r="S1085" t="n">
        <v>0</v>
      </c>
      <c r="U1085" t="n">
        <v>0</v>
      </c>
    </row>
    <row r="1086">
      <c r="A1086">
        <f>Skills!A24</f>
        <v/>
      </c>
      <c r="B1086">
        <f>Skills!B24</f>
        <v/>
      </c>
      <c r="C1086">
        <f>Inputs!$B$3&gt;=74</f>
        <v/>
      </c>
      <c r="D1086">
        <f>IF(Skills!C24=1,60+Inputs!$B$26+Inputs!$B$30,IF(Skills!C24=2,90+Inputs!$B$27+Inputs!$B$30,IF(Skills!C24=3,120+Inputs!$B$28+Inputs!$B$30,MAX(0,(Inputs!$B$3-100)*3)+Inputs!$B$29+Inputs!$B$30)))</f>
        <v/>
      </c>
      <c r="E1086">
        <f>INDEX(FactorTable!$B$2:$Y$301, MATCH(ROUND(MIN(300,MAX(1,D1086)),0), FactorTable!$A$2:$A$301,0), Skills!L24+1)</f>
        <v/>
      </c>
      <c r="F1086">
        <f>IF(Skills!M24=TRUE,(Skills!K24/10)*(E1086/1000),Skills!K24/10)+Skills!N24</f>
        <v/>
      </c>
      <c r="G1086">
        <f>Calc!G24</f>
        <v/>
      </c>
      <c r="H1086">
        <f>Calc!H24</f>
        <v/>
      </c>
      <c r="I1086">
        <f>IF(Skills!T24&lt;&gt;"",1+(Skills!T24/10)*($Z$3/1000)/100,1)</f>
        <v/>
      </c>
      <c r="J1086" t="inlineStr"/>
      <c r="K1086" t="inlineStr"/>
      <c r="L1086" t="inlineStr"/>
      <c r="M1086" t="inlineStr"/>
      <c r="N1086" t="inlineStr"/>
      <c r="O1086">
        <f>(1-Summary!$B$11)*S1086+Summary!$B$11*U1086</f>
        <v/>
      </c>
      <c r="P1086">
        <f>IF(B1105=0,0,O1086/B1105)</f>
        <v/>
      </c>
      <c r="Q1086">
        <f>IFERROR(1/(IF(Inputs!$B$39="pvp",15,MAX(0.1,Skills!D24-IF(Skills!E24=TRUE,Inputs!$B$33,0)))*(1-IF(AND(ArtifactsInput!$M$27,Inputs!$B$4="Chapter Hunt"),CHOOSE(ArtifactsInput!$N$27+1,20,24,28,32,36,40),0)/100)),0)</f>
        <v/>
      </c>
      <c r="R1086" t="n">
        <v>0</v>
      </c>
      <c r="S1086" t="n">
        <v>0</v>
      </c>
      <c r="U1086" t="n">
        <v>0</v>
      </c>
    </row>
    <row r="1087">
      <c r="A1087">
        <f>Skills!A25</f>
        <v/>
      </c>
      <c r="B1087">
        <f>Skills!B25</f>
        <v/>
      </c>
      <c r="C1087">
        <f>Inputs!$B$3&gt;=74</f>
        <v/>
      </c>
      <c r="D1087">
        <f>IF(Skills!C25=1,60+Inputs!$B$26+Inputs!$B$30,IF(Skills!C25=2,90+Inputs!$B$27+Inputs!$B$30,IF(Skills!C25=3,120+Inputs!$B$28+Inputs!$B$30,MAX(0,(Inputs!$B$3-100)*3)+Inputs!$B$29+Inputs!$B$30)))</f>
        <v/>
      </c>
      <c r="E1087">
        <f>INDEX(FactorTable!$B$2:$Y$301, MATCH(ROUND(MIN(300,MAX(1,D1087)),0), FactorTable!$A$2:$A$301,0), Skills!L25+1)</f>
        <v/>
      </c>
      <c r="F1087">
        <f>IF(Skills!M25=TRUE,(Skills!K25/10)*(E1087/1000),Skills!K25/10)+Skills!N25</f>
        <v/>
      </c>
      <c r="G1087">
        <f>Calc!G25</f>
        <v/>
      </c>
      <c r="H1087">
        <f>Calc!H25</f>
        <v/>
      </c>
      <c r="I1087">
        <f>IF(Skills!T25&lt;&gt;"",1+(Skills!T25/10)*($Z$3/1000)/100,1)</f>
        <v/>
      </c>
      <c r="J1087" t="inlineStr"/>
      <c r="K1087" t="inlineStr"/>
      <c r="L1087" t="inlineStr"/>
      <c r="M1087" t="inlineStr"/>
      <c r="N1087" t="inlineStr"/>
      <c r="O1087">
        <f>(1-Summary!$B$11)*S1087+Summary!$B$11*U1087</f>
        <v/>
      </c>
      <c r="P1087">
        <f>IF(B1105=0,0,O1087/B1105)</f>
        <v/>
      </c>
      <c r="Q1087">
        <f>IFERROR(1/(IF(Inputs!$B$39="pvp",15,MAX(0.1,Skills!D25-IF(Skills!E25=TRUE,Inputs!$B$33,0)))*(1-IF(AND(ArtifactsInput!$M$27,Inputs!$B$4="Chapter Hunt"),CHOOSE(ArtifactsInput!$N$27+1,20,24,28,32,36,40),0)/100)),0)</f>
        <v/>
      </c>
      <c r="R1087" t="n">
        <v>0</v>
      </c>
      <c r="S1087" t="n">
        <v>0</v>
      </c>
      <c r="U1087" t="n">
        <v>0</v>
      </c>
    </row>
    <row r="1088">
      <c r="A1088">
        <f>Skills!A26</f>
        <v/>
      </c>
      <c r="B1088">
        <f>Skills!B26</f>
        <v/>
      </c>
      <c r="C1088">
        <f>Inputs!$B$3&gt;=117</f>
        <v/>
      </c>
      <c r="D1088">
        <f>IF(Skills!C26=1,60+Inputs!$B$26+Inputs!$B$30,IF(Skills!C26=2,90+Inputs!$B$27+Inputs!$B$30,IF(Skills!C26=3,120+Inputs!$B$28+Inputs!$B$30,MAX(0,(Inputs!$B$3-100)*3)+Inputs!$B$29+Inputs!$B$30)))</f>
        <v/>
      </c>
      <c r="E1088">
        <f>INDEX(FactorTable!$B$2:$Y$301, MATCH(ROUND(MIN(300,MAX(1,D1088)),0), FactorTable!$A$2:$A$301,0), Skills!L26+1)</f>
        <v/>
      </c>
      <c r="F1088">
        <f>IF(Skills!M26=TRUE,(Skills!K26/10)*(E1088/1000),Skills!K26/10)+Skills!N26</f>
        <v/>
      </c>
      <c r="G1088">
        <f>Calc!G26</f>
        <v/>
      </c>
      <c r="H1088">
        <f>Calc!H26</f>
        <v/>
      </c>
      <c r="I1088">
        <f>IF(Skills!T26&lt;&gt;"",1+(Skills!T26/10)*($Z$3/1000)/100,1)</f>
        <v/>
      </c>
      <c r="J1088" t="inlineStr"/>
      <c r="K1088" t="inlineStr"/>
      <c r="L1088" t="inlineStr"/>
      <c r="M1088" t="inlineStr"/>
      <c r="N1088" t="inlineStr"/>
      <c r="O1088">
        <f>(1-Summary!$B$11)*S1088+Summary!$B$11*U1088</f>
        <v/>
      </c>
      <c r="P1088">
        <f>IF(B1105=0,0,O1088/B1105)</f>
        <v/>
      </c>
      <c r="Q1088">
        <f>IFERROR(1/(IF(Inputs!$B$39="pvp",15,MAX(0.1,Skills!D26-IF(Skills!E26=TRUE,Inputs!$B$33,0)))*(1-IF(AND(ArtifactsInput!$M$27,Inputs!$B$4="Chapter Hunt"),CHOOSE(ArtifactsInput!$N$27+1,20,24,28,32,36,40),0)/100)),0)</f>
        <v/>
      </c>
      <c r="R1088" t="n">
        <v>0</v>
      </c>
      <c r="S1088" t="n">
        <v>0</v>
      </c>
      <c r="U1088" t="n">
        <v>0</v>
      </c>
    </row>
    <row r="1089">
      <c r="A1089">
        <f>Skills!A27</f>
        <v/>
      </c>
      <c r="B1089">
        <f>Skills!B27</f>
        <v/>
      </c>
      <c r="C1089">
        <f>Inputs!$B$3&gt;=120</f>
        <v/>
      </c>
      <c r="D1089">
        <f>IF(Skills!C27=1,60+Inputs!$B$26+Inputs!$B$30,IF(Skills!C27=2,90+Inputs!$B$27+Inputs!$B$30,IF(Skills!C27=3,120+Inputs!$B$28+Inputs!$B$30,MAX(0,(Inputs!$B$3-100)*3)+Inputs!$B$29+Inputs!$B$30)))</f>
        <v/>
      </c>
      <c r="E1089">
        <f>INDEX(FactorTable!$B$2:$Y$301, MATCH(ROUND(MIN(300,MAX(1,D1089)),0), FactorTable!$A$2:$A$301,0), Skills!L27+1)</f>
        <v/>
      </c>
      <c r="F1089">
        <f>IF(Skills!M27=TRUE,(Skills!K27/10)*(E1089/1000),Skills!K27/10)+Skills!N27</f>
        <v/>
      </c>
      <c r="G1089">
        <f>Calc!G27</f>
        <v/>
      </c>
      <c r="H1089">
        <f>Calc!H27</f>
        <v/>
      </c>
      <c r="I1089">
        <f>IF(Skills!T27&lt;&gt;"",1+(Skills!T27/10)*($Z$3/1000)/100,1)</f>
        <v/>
      </c>
      <c r="J1089" t="inlineStr"/>
      <c r="K1089" t="inlineStr"/>
      <c r="L1089" t="inlineStr"/>
      <c r="M1089" t="inlineStr"/>
      <c r="N1089" t="inlineStr"/>
      <c r="O1089">
        <f>(1-Summary!$B$11)*S1089+Summary!$B$11*U1089</f>
        <v/>
      </c>
      <c r="P1089">
        <f>IF(B1105=0,0,O1089/B1105)</f>
        <v/>
      </c>
      <c r="Q1089">
        <f>IFERROR(1/(IF(Inputs!$B$39="pvp",15,MAX(0.1,Skills!D27-IF(Skills!E27=TRUE,Inputs!$B$33,0)))*(1-IF(AND(ArtifactsInput!$M$27,Inputs!$B$4="Chapter Hunt"),CHOOSE(ArtifactsInput!$N$27+1,20,24,28,32,36,40),0)/100)),0)</f>
        <v/>
      </c>
      <c r="R1089" t="n">
        <v>0</v>
      </c>
      <c r="S1089" t="n">
        <v>0</v>
      </c>
      <c r="U1089" t="n">
        <v>0</v>
      </c>
    </row>
    <row r="1090">
      <c r="A1090">
        <f>Skills!A28</f>
        <v/>
      </c>
      <c r="B1090">
        <f>Skills!B28</f>
        <v/>
      </c>
      <c r="C1090">
        <f>TRUE</f>
        <v/>
      </c>
      <c r="D1090">
        <f>IF(Skills!C28=1,60+Inputs!$B$26+Inputs!$B$30,IF(Skills!C28=2,90+Inputs!$B$27+Inputs!$B$30,IF(Skills!C28=3,120+Inputs!$B$28+Inputs!$B$30,MAX(0,(Inputs!$B$3-100)*3)+Inputs!$B$29+Inputs!$B$30)))</f>
        <v/>
      </c>
      <c r="E1090">
        <f>INDEX(FactorTable!$B$2:$Y$301, MATCH(ROUND(MIN(300,MAX(1,D1090)),0), FactorTable!$A$2:$A$301,0), Skills!L28+1)</f>
        <v/>
      </c>
      <c r="F1090">
        <f>IF(Skills!M28=TRUE,(Skills!K28/10)*(E1090/1000),Skills!K28/10)+Skills!N28</f>
        <v/>
      </c>
      <c r="G1090">
        <f>Calc!G28</f>
        <v/>
      </c>
      <c r="H1090">
        <f>Calc!H28</f>
        <v/>
      </c>
      <c r="I1090">
        <f>IF(Skills!T28&lt;&gt;"",1+(Skills!T28/10)*($Z$3/1000)/100,1)</f>
        <v/>
      </c>
      <c r="J1090" t="inlineStr"/>
      <c r="K1090" t="inlineStr"/>
      <c r="L1090" t="inlineStr"/>
      <c r="M1090" t="inlineStr"/>
      <c r="N1090" t="inlineStr"/>
      <c r="O1090">
        <f>(1-Summary!$B$11)*S1090+Summary!$B$11*U1090</f>
        <v/>
      </c>
      <c r="P1090">
        <f>IF(B1105=0,0,O1090/B1105)</f>
        <v/>
      </c>
      <c r="Q1090">
        <f>IFERROR(1/(IF(Inputs!$B$39="pvp",15,MAX(0.1,Skills!D28-IF(Skills!E28=TRUE,Inputs!$B$33,0)))*(1-IF(AND(ArtifactsInput!$M$27,Inputs!$B$4="Chapter Hunt"),CHOOSE(ArtifactsInput!$N$27+1,20,24,28,32,36,40),0)/100)),0)</f>
        <v/>
      </c>
      <c r="R1090">
        <f>IF(AND(Inputs!$B$39&lt;&gt;"pvp",Inputs!$B$44&gt;0),IF(Inputs!$B$44&lt;=0,0,(INT(Inputs!$B$44/(IF(Inputs!$B$39="pvp",15,MAX(0.1,Skills!D28-IF(Skills!E28=TRUE,Inputs!$B$33,0)))*(1-IF(AND(ArtifactsInput!$M$27,Inputs!$B$4="Chapter Hunt"),CHOOSE(ArtifactsInput!$N$27+1,20,24,28,32,36,40),0)/100)))+1)),0)</f>
        <v/>
      </c>
      <c r="S1090" t="n">
        <v>0</v>
      </c>
      <c r="U1090" t="n">
        <v>0</v>
      </c>
    </row>
    <row r="1092">
      <c r="A1092" t="inlineStr">
        <is>
          <t>Average Buff Multiplier</t>
        </is>
      </c>
      <c r="B1092">
        <f>(1+(IF(C1065=TRUE,F1065*IF(AND(Inputs!$B$39&lt;&gt;"pvp",Inputs!$B$44&gt;0),(((R1065-1)*(Skills!S3*(1+((Inputs!$B$35+(ArtifactsInput!$M$7-ArtifactsInput!$M$7)*CHOOSE(ArtifactsInput!$N$7+1,6,7.2,8.4,9.6,10.8,12))+IF(Inputs!$B$3&gt;=117,F1088,0))/100))+MIN((Skills!S3*(1+((Inputs!$B$35+(ArtifactsInput!$M$7-ArtifactsInput!$M$7)*CHOOSE(ArtifactsInput!$N$7+1,6,7.2,8.4,9.6,10.8,12))+IF(Inputs!$B$3&gt;=117,F1088,0))/100)),MAX(0,Inputs!$B$44-((R1065-1)*Skills!D3))))/Inputs!$B$44),IF(Inputs!$B$39="pvp",MIN((Skills!S3*(1+((Inputs!$B$35+(ArtifactsInput!$M$7-ArtifactsInput!$M$7)*CHOOSE(ArtifactsInput!$N$7+1,6,7.2,8.4,9.6,10.8,12))+IF(Inputs!$B$3&gt;=117,F1088,0))/100)),15)/15,(Skills!S3*(1+((Inputs!$B$35+(ArtifactsInput!$M$7-ArtifactsInput!$M$7)*CHOOSE(ArtifactsInput!$N$7+1,6,7.2,8.4,9.6,10.8,12))+IF(Inputs!$B$3&gt;=117,F1088,0))/100))/Skills!D3)),0)+IF(C1066=TRUE,F1066*IF(AND(Inputs!$B$39&lt;&gt;"pvp",Inputs!$B$44&gt;0),(((R1066-1)*(Skills!S4*(1+((Inputs!$B$35+(ArtifactsInput!$M$7-ArtifactsInput!$M$7)*CHOOSE(ArtifactsInput!$N$7+1,6,7.2,8.4,9.6,10.8,12))+IF(Inputs!$B$3&gt;=117,F1088,0))/100))+MIN((Skills!S4*(1+((Inputs!$B$35+(ArtifactsInput!$M$7-ArtifactsInput!$M$7)*CHOOSE(ArtifactsInput!$N$7+1,6,7.2,8.4,9.6,10.8,12))+IF(Inputs!$B$3&gt;=117,F1088,0))/100)),MAX(0,Inputs!$B$44-((R1066-1)*Skills!D4))))/Inputs!$B$44),IF(Inputs!$B$39="pvp",MIN((Skills!S4*(1+((Inputs!$B$35+(ArtifactsInput!$M$7-ArtifactsInput!$M$7)*CHOOSE(ArtifactsInput!$N$7+1,6,7.2,8.4,9.6,10.8,12))+IF(Inputs!$B$3&gt;=117,F1088,0))/100)),15)/15,(Skills!S4*(1+((Inputs!$B$35+(ArtifactsInput!$M$7-ArtifactsInput!$M$7)*CHOOSE(ArtifactsInput!$N$7+1,6,7.2,8.4,9.6,10.8,12))+IF(Inputs!$B$3&gt;=117,F1088,0))/100))/Skills!D4)),0)+IF(C1067=TRUE,F1067*IF(AND(Inputs!$B$39&lt;&gt;"pvp",Inputs!$B$44&gt;0),(((R1067-1)*(Skills!S5*(1+((Inputs!$B$35+(ArtifactsInput!$M$7-ArtifactsInput!$M$7)*CHOOSE(ArtifactsInput!$N$7+1,6,7.2,8.4,9.6,10.8,12))+IF(Inputs!$B$3&gt;=117,F1088,0))/100))+MIN((Skills!S5*(1+((Inputs!$B$35+(ArtifactsInput!$M$7-ArtifactsInput!$M$7)*CHOOSE(ArtifactsInput!$N$7+1,6,7.2,8.4,9.6,10.8,12))+IF(Inputs!$B$3&gt;=117,F1088,0))/100)),MAX(0,Inputs!$B$44-((R1067-1)*Skills!D5))))/Inputs!$B$44),IF(Inputs!$B$39="pvp",MIN((Skills!S5*(1+((Inputs!$B$35+(ArtifactsInput!$M$7-ArtifactsInput!$M$7)*CHOOSE(ArtifactsInput!$N$7+1,6,7.2,8.4,9.6,10.8,12))+IF(Inputs!$B$3&gt;=117,F1088,0))/100)),15)/15,(Skills!S5*(1+((Inputs!$B$35+(ArtifactsInput!$M$7-ArtifactsInput!$M$7)*CHOOSE(ArtifactsInput!$N$7+1,6,7.2,8.4,9.6,10.8,12))+IF(Inputs!$B$3&gt;=117,F1088,0))/100))/Skills!D5)),0)+IF(C1073=TRUE,F1073*IF(AND(Inputs!$B$39&lt;&gt;"pvp",Inputs!$B$44&gt;0),(((R1073-1)*(Skills!S11*(1+((Inputs!$B$35+(ArtifactsInput!$M$7-ArtifactsInput!$M$7)*CHOOSE(ArtifactsInput!$N$7+1,6,7.2,8.4,9.6,10.8,12))+IF(Inputs!$B$3&gt;=117,F1088,0))/100))+MIN((Skills!S11*(1+((Inputs!$B$35+(ArtifactsInput!$M$7-ArtifactsInput!$M$7)*CHOOSE(ArtifactsInput!$N$7+1,6,7.2,8.4,9.6,10.8,12))+IF(Inputs!$B$3&gt;=117,F1088,0))/100)),MAX(0,Inputs!$B$44-((R1073-1)*Skills!D11))))/Inputs!$B$44),IF(Inputs!$B$39="pvp",MIN((Skills!S11*(1+((Inputs!$B$35+(ArtifactsInput!$M$7-ArtifactsInput!$M$7)*CHOOSE(ArtifactsInput!$N$7+1,6,7.2,8.4,9.6,10.8,12))+IF(Inputs!$B$3&gt;=117,F1088,0))/100)),15)/15,(Skills!S11*(1+((Inputs!$B$35+(ArtifactsInput!$M$7-ArtifactsInput!$M$7)*CHOOSE(ArtifactsInput!$N$7+1,6,7.2,8.4,9.6,10.8,12))+IF(Inputs!$B$3&gt;=117,F1088,0)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1076=TRUE,(1+F1076*IF(AND(Inputs!$B$39&lt;&gt;"pvp",Inputs!$B$44&gt;0),(((R1076-1)*(Skills!S14*(1+((Inputs!$B$35+(ArtifactsInput!$M$7-ArtifactsInput!$M$7)*CHOOSE(ArtifactsInput!$N$7+1,6,7.2,8.4,9.6,10.8,12))+IF(Inputs!$B$3&gt;=117,F1088,0))/100))+MIN((Skills!S14*(1+((Inputs!$B$35+(ArtifactsInput!$M$7-ArtifactsInput!$M$7)*CHOOSE(ArtifactsInput!$N$7+1,6,7.2,8.4,9.6,10.8,12))+IF(Inputs!$B$3&gt;=117,F1088,0))/100)),MAX(0,Inputs!$B$44-((R1076-1)*Skills!D14))))/Inputs!$B$44),IF(Inputs!$B$39="pvp",MIN((Skills!S14*(1+((Inputs!$B$35+(ArtifactsInput!$M$7-ArtifactsInput!$M$7)*CHOOSE(ArtifactsInput!$N$7+1,6,7.2,8.4,9.6,10.8,12))+IF(Inputs!$B$3&gt;=117,F1088,0))/100)),15)/15,(Skills!S14*(1+((Inputs!$B$35+(ArtifactsInput!$M$7-ArtifactsInput!$M$7)*CHOOSE(ArtifactsInput!$N$7+1,6,7.2,8.4,9.6,10.8,12))+IF(Inputs!$B$3&gt;=117,F1088,0))/100))/Skills!D14))/100),1)*IF(C1081=TRUE,(1+F1081*IF(AND(Inputs!$B$39&lt;&gt;"pvp",Inputs!$B$44&gt;0),(((R1081-1)*(Skills!S19*(1+((Inputs!$B$35+(ArtifactsInput!$M$7-ArtifactsInput!$M$7)*CHOOSE(ArtifactsInput!$N$7+1,6,7.2,8.4,9.6,10.8,12))+IF(Inputs!$B$3&gt;=117,F1088,0))/100))+MIN((Skills!S19*(1+((Inputs!$B$35+(ArtifactsInput!$M$7-ArtifactsInput!$M$7)*CHOOSE(ArtifactsInput!$N$7+1,6,7.2,8.4,9.6,10.8,12))+IF(Inputs!$B$3&gt;=117,F1088,0))/100)),MAX(0,Inputs!$B$44-((R1081-1)*Skills!D19))))/Inputs!$B$44),IF(Inputs!$B$39="pvp",MIN((Skills!S19*(1+((Inputs!$B$35+(ArtifactsInput!$M$7-ArtifactsInput!$M$7)*CHOOSE(ArtifactsInput!$N$7+1,6,7.2,8.4,9.6,10.8,12))+IF(Inputs!$B$3&gt;=117,F1088,0))/100)),15)/15,(Skills!S19*(1+((Inputs!$B$35+(ArtifactsInput!$M$7-ArtifactsInput!$M$7)*CHOOSE(ArtifactsInput!$N$7+1,6,7.2,8.4,9.6,10.8,12))+IF(Inputs!$B$3&gt;=117,F1088,0))/100))/Skills!D19))/100),1)</f>
        <v/>
      </c>
    </row>
    <row r="1093">
      <c r="A1093" t="inlineStr">
        <is>
          <t>Monster Damage Taken Bonus % (Holy Fountain)</t>
        </is>
      </c>
      <c r="B1093">
        <f>IF(Inputs!$B$3&gt;=68,20*IF(Inputs!$B$39="pvp",MIN((15*(1+((Inputs!$B$35+(ArtifactsInput!$M$7-ArtifactsInput!$M$7)*CHOOSE(ArtifactsInput!$N$7+1,6,7.2,8.4,9.6,10.8,12))+IF(Inputs!$B$3&gt;=117,F1088,0))/100)),15)/15,(15*(1+((Inputs!$B$35+(ArtifactsInput!$M$7-ArtifactsInput!$M$7)*CHOOSE(ArtifactsInput!$N$7+1,6,7.2,8.4,9.6,10.8,12))+IF(Inputs!$B$3&gt;=117,F1088,0))/100))/Skills!D10),0)</f>
        <v/>
      </c>
    </row>
    <row r="1094">
      <c r="A1094" t="inlineStr">
        <is>
          <t>Normal Monster Damage Bonus % (Holy Symbol)</t>
        </is>
      </c>
      <c r="B1094">
        <f>IF(C1074=TRUE,F1074*IF(AND(Inputs!$B$39&lt;&gt;"pvp",Inputs!$B$44&gt;0),(((R1074-1)*(Skills!S12*(1+((Inputs!$B$35+(ArtifactsInput!$M$7-ArtifactsInput!$M$7)*CHOOSE(ArtifactsInput!$N$7+1,6,7.2,8.4,9.6,10.8,12))+IF(Inputs!$B$3&gt;=117,F1088,0))/100))+MIN((Skills!S12*(1+((Inputs!$B$35+(ArtifactsInput!$M$7-ArtifactsInput!$M$7)*CHOOSE(ArtifactsInput!$N$7+1,6,7.2,8.4,9.6,10.8,12))+IF(Inputs!$B$3&gt;=117,F1088,0))/100)),MAX(0,Inputs!$B$44-((R1074-1)*Skills!D12))))/Inputs!$B$44),IF(Inputs!$B$39="pvp",MIN((Skills!S12*(1+((Inputs!$B$35+(ArtifactsInput!$M$7-ArtifactsInput!$M$7)*CHOOSE(ArtifactsInput!$N$7+1,6,7.2,8.4,9.6,10.8,12))+IF(Inputs!$B$3&gt;=117,F1088,0))/100)),15)/15,(Skills!S12*(1+((Inputs!$B$35+(ArtifactsInput!$M$7-ArtifactsInput!$M$7)*CHOOSE(ArtifactsInput!$N$7+1,6,7.2,8.4,9.6,10.8,12))+IF(Inputs!$B$3&gt;=117,F1088,0))/100))/Skills!D12)),0)</f>
        <v/>
      </c>
    </row>
    <row r="1095">
      <c r="A1095" t="inlineStr">
        <is>
          <t>Damage % Bonus (Holy Symbol - Damage Boost)</t>
        </is>
      </c>
      <c r="B1095">
        <f>Skills!O12</f>
        <v/>
      </c>
    </row>
    <row r="1096">
      <c r="A1096" t="inlineStr">
        <is>
          <t>Crit Damage % Bonus (Blood of the Divine)</t>
        </is>
      </c>
      <c r="B1096">
        <f>4*IF(C1082=TRUE,F1082,0)</f>
        <v/>
      </c>
    </row>
    <row r="1097">
      <c r="A1097" t="inlineStr">
        <is>
          <t>Attack Speed Bonus %</t>
        </is>
      </c>
      <c r="B1097">
        <f>IF(C1079=TRUE,F1079+(F1083-Calc!F21),0)+IF(Inputs!$B$3&gt;=134,15,0)+((C1090=TRUE)*F1090*IF(AND(Inputs!$B$39&lt;&gt;"pvp",Inputs!$B$44&gt;0),(((R1090-1)*(Skills!S28*(1+((Inputs!$B$35+(ArtifactsInput!$M$7-ArtifactsInput!$M$7)*CHOOSE(ArtifactsInput!$N$7+1,6,7.2,8.4,9.6,10.8,12))+IF(Inputs!$B$3&gt;=117,F1088,0))/100))+MIN((Skills!S28*(1+((Inputs!$B$35+(ArtifactsInput!$M$7-ArtifactsInput!$M$7)*CHOOSE(ArtifactsInput!$N$7+1,6,7.2,8.4,9.6,10.8,12))+IF(Inputs!$B$3&gt;=117,F1088,0))/100)),MAX(0,Inputs!$B$44-((R1090-1)*Skills!D28))))/Inputs!$B$44),IF(Inputs!$B$39="pvp",MIN((Skills!S28*(1+((Inputs!$B$35+(ArtifactsInput!$M$7-ArtifactsInput!$M$7)*CHOOSE(ArtifactsInput!$N$7+1,6,7.2,8.4,9.6,10.8,12))+IF(Inputs!$B$3&gt;=117,F1088,0))/100)),15)/15,(Skills!S28*(1+((Inputs!$B$35+(ArtifactsInput!$M$7-ArtifactsInput!$M$7)*CHOOSE(ArtifactsInput!$N$7+1,6,7.2,8.4,9.6,10.8,12))+IF(Inputs!$B$3&gt;=117,F1088,0))/100))/Skills!D28)))</f>
        <v/>
      </c>
    </row>
    <row r="1098">
      <c r="A1098" t="inlineStr">
        <is>
          <t>Actions Per Second</t>
        </is>
      </c>
      <c r="B1098">
        <f>1+MIN(150,150*(1-(1-Inputs!$B$12/150)*(1-B1097/150)))/100</f>
        <v/>
      </c>
    </row>
    <row r="1099">
      <c r="A1099" t="inlineStr">
        <is>
          <t>Skill + Buff Cast Rate</t>
        </is>
      </c>
      <c r="B1099">
        <f>IF(AND(Inputs!$B$39&lt;&gt;"pvp",Inputs!$B$44&gt;0),SUMPRODUCT((Skills!E2:E28=TRUE)*(C1064:C1090=TRUE)*R1064:R1090)/Inputs!$B$44,SUMPRODUCT((Skills!E2:E28=TRUE)*(C1064:C1090=TRUE)*Q1064:Q1090))</f>
        <v/>
      </c>
    </row>
    <row r="1100">
      <c r="A1100" t="inlineStr">
        <is>
          <t>Big Bang Casts Per Second</t>
        </is>
      </c>
      <c r="B1100">
        <f>MAX(0,B1098-B1099)</f>
        <v/>
      </c>
    </row>
    <row r="1101">
      <c r="A1101" t="inlineStr">
        <is>
          <t>Defense % Bonus (Divine Protection)</t>
        </is>
      </c>
      <c r="B1101">
        <f>IF(C1075=TRUE,F1075*IF(AND(Inputs!$B$39&lt;&gt;"pvp",Inputs!$B$44&gt;0),(((R1075-1)*(Skills!S13*(1+((Inputs!$B$35+(ArtifactsInput!$M$7-ArtifactsInput!$M$7)*CHOOSE(ArtifactsInput!$N$7+1,6,7.2,8.4,9.6,10.8,12))+IF(Inputs!$B$3&gt;=117,F1088,0))/100))+MIN((Skills!S13*(1+((Inputs!$B$35+(ArtifactsInput!$M$7-ArtifactsInput!$M$7)*CHOOSE(ArtifactsInput!$N$7+1,6,7.2,8.4,9.6,10.8,12))+IF(Inputs!$B$3&gt;=117,F1088,0))/100)),MAX(0,Inputs!$B$44-((R1075-1)*Skills!D13))))/Inputs!$B$44),IF(Inputs!$B$39="pvp",MIN((Skills!S13*(1+((Inputs!$B$35+(ArtifactsInput!$M$7-ArtifactsInput!$M$7)*CHOOSE(ArtifactsInput!$N$7+1,6,7.2,8.4,9.6,10.8,12))+IF(Inputs!$B$3&gt;=117,F1088,0))/100)),15)/15,(Skills!S13*(1+((Inputs!$B$35+(ArtifactsInput!$M$7-ArtifactsInput!$M$7)*CHOOSE(ArtifactsInput!$N$7+1,6,7.2,8.4,9.6,10.8,12))+IF(Inputs!$B$3&gt;=117,F1088,0))/100))/Skills!D13)),0)</f>
        <v/>
      </c>
    </row>
    <row r="1102">
      <c r="A1102" t="inlineStr">
        <is>
          <t>Buff-Casting Startup Delay (s, fixed-duration only)</t>
        </is>
      </c>
      <c r="B1102">
        <f>IF(AND(Inputs!$B$39&lt;&gt;"pvp",Inputs!$B$44&gt;0),SUMPRODUCT((Skills!S2:S28&gt;0)*(Skills!E2:E28=TRUE)*(C1064:C1090=TRUE))/B1098,0)</f>
        <v/>
      </c>
    </row>
    <row r="1103">
      <c r="A1103" t="inlineStr">
        <is>
          <t>Boss-Only Total DPS (this block's swept value)</t>
        </is>
      </c>
      <c r="B1103">
        <f>SUM(S1064:S1090)</f>
        <v/>
      </c>
    </row>
    <row r="1104">
      <c r="A1104" t="inlineStr">
        <is>
          <t>Normal-Only Total DPS (this block's swept value)</t>
        </is>
      </c>
      <c r="B1104">
        <f>SUM(U1064:U1090)</f>
        <v/>
      </c>
    </row>
    <row r="1105">
      <c r="A1105" s="6" t="inlineStr">
        <is>
          <t>TOTAL DPS</t>
        </is>
      </c>
      <c r="B1105" s="6">
        <f>SUM(O1064:O1090)</f>
        <v/>
      </c>
    </row>
    <row r="1107">
      <c r="A1107" s="6" t="inlineStr">
        <is>
          <t>Stat: ATTACK %</t>
        </is>
      </c>
    </row>
    <row r="1108">
      <c r="A1108" s="5" t="inlineStr">
        <is>
          <t>Key</t>
        </is>
      </c>
      <c r="B1108" s="5" t="inlineStr">
        <is>
          <t>Name</t>
        </is>
      </c>
      <c r="C1108" s="5" t="inlineStr">
        <is>
          <t>Unlocked</t>
        </is>
      </c>
      <c r="D1108" s="5" t="inlineStr">
        <is>
          <t>InputLevel</t>
        </is>
      </c>
      <c r="E1108" s="5" t="inlineStr">
        <is>
          <t>Factor</t>
        </is>
      </c>
      <c r="F1108" s="5" t="inlineStr">
        <is>
          <t>CoefficientPercent</t>
        </is>
      </c>
      <c r="G1108" s="5" t="inlineStr">
        <is>
          <t>EffectiveHits</t>
        </is>
      </c>
      <c r="H1108" s="5" t="inlineStr">
        <is>
          <t>ProcProbability</t>
        </is>
      </c>
      <c r="I1108" s="5" t="inlineStr">
        <is>
          <t>MapleHeroMultiplier</t>
        </is>
      </c>
      <c r="J1108" s="5" t="inlineStr">
        <is>
          <t>BaseDamage</t>
        </is>
      </c>
      <c r="K1108" s="5" t="inlineStr">
        <is>
          <t>BaseHitDamage</t>
        </is>
      </c>
      <c r="L1108" s="5" t="inlineStr">
        <is>
          <t>NonCritAvg</t>
        </is>
      </c>
      <c r="M1108" s="5" t="inlineStr">
        <is>
          <t>CritAvg</t>
        </is>
      </c>
      <c r="N1108" s="5" t="inlineStr">
        <is>
          <t>ExpectedDamage(perHit)</t>
        </is>
      </c>
      <c r="O1108" s="5" t="inlineStr">
        <is>
          <t>DPS</t>
        </is>
      </c>
      <c r="P1108" s="5" t="inlineStr">
        <is>
          <t>% of Total</t>
        </is>
      </c>
      <c r="R1108" t="inlineStr">
        <is>
          <t>helpers</t>
        </is>
      </c>
    </row>
    <row r="1109">
      <c r="A1109">
        <f>Skills!A2</f>
        <v/>
      </c>
      <c r="B1109">
        <f>Skills!B2</f>
        <v/>
      </c>
      <c r="C1109">
        <f>Inputs!$B$3&gt;=100</f>
        <v/>
      </c>
      <c r="D1109" t="inlineStr"/>
      <c r="E1109" t="inlineStr"/>
      <c r="F1109">
        <f>T1111+Skills!N2</f>
        <v/>
      </c>
      <c r="G1109">
        <f>Calc!G2</f>
        <v/>
      </c>
      <c r="H1109">
        <f>Calc!H2</f>
        <v/>
      </c>
      <c r="I1109">
        <f>IF(Skills!T2&lt;&gt;"",1+(Skills!T2/10)*($Z$3/1000)/100,1)</f>
        <v/>
      </c>
      <c r="J1109">
        <f>((Inputs!$B$6*(1+(Inputs!$B$7+1)/100))+(((Inputs!$B$13*(1+Inputs!$B$14/100))-(Inputs!$B$13*(1+Inputs!$B$14/100)))+0.25*(Inputs!$B$15-Inputs!$B$15))*(1+(Inputs!$B$7+1)/100))*(F1109/100)</f>
        <v/>
      </c>
      <c r="K1109">
        <f>J1109*(1+(((Inputs!$B$13+IF(Inputs!$B$3&gt;=35,(10*INDEX(FactorTable!$B$2:$Y$301,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2="TRIUMPH_FEATHER",IF(C1123=TRUE,F1123,0),0)/100)*(1+IF(C1134=TRUE,F1134,0)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1109)</f>
        <v/>
      </c>
      <c r="L1109">
        <f>K1109*(MIN(Inputs!$B$23+(F1129-Calc!F22),(Inputs!$B$24+IF(ArtifactsInput!$M$15,CHOOSE(ArtifactsInput!$N$15+1,25,30,35,40,45,50)/100*(Inputs!$B$12-Inputs!$B$12),0)))/100+(Inputs!$B$24+IF(ArtifactsInput!$M$15,CHOOSE(ArtifactsInput!$N$15+1,25,30,35,40,45,50)/100*(Inputs!$B$12-Inputs!$B$12),0))/100)/2</f>
        <v/>
      </c>
      <c r="M1109">
        <f>L1109*(1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09">
        <f>L1109*(1-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(1-Summary!$B$11)*S1109+Summary!$B$11*U1109</f>
        <v/>
      </c>
      <c r="P1109">
        <f>IF(B1150=0,0,O1109/B1150)</f>
        <v/>
      </c>
      <c r="Q1109">
        <f>IFERROR(1/(IF(Inputs!$B$39="pvp",15,MAX(0.1,Skills!D2-IF(Skills!E2=TRUE,Inputs!$B$33,0)))*(1-IF(AND(ArtifactsInput!$M$27,Inputs!$B$4="Chapter Hunt"),CHOOSE(ArtifactsInput!$N$27+1,20,24,28,32,36,40),0)/100)),0)</f>
        <v/>
      </c>
      <c r="R1109" t="n">
        <v>0</v>
      </c>
      <c r="S1109">
        <f>IF(C1109,(Skills!F2*N1109*B1145)*IF(Inputs!$B$39="pvp",1,1+(Inputs!$B$21+Skills!O2+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1109*(1-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09">
        <f>MAX(0,(Inputs!$B$3-100)*3)+Inputs!$B$29+Inputs!$B$30</f>
        <v/>
      </c>
      <c r="U1109">
        <f>IF(C1109,(Skills!F2*N1109*B1145)*IF(Inputs!$B$39="pvp",1,(1+(Inputs!$B$22+Skills!P2+B1139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Skills!A3</f>
        <v/>
      </c>
      <c r="B1110">
        <f>Skills!B3</f>
        <v/>
      </c>
      <c r="C1110">
        <f>Inputs!$B$3&gt;=15</f>
        <v/>
      </c>
      <c r="D1110">
        <f>IF(Skills!C3=1,60+Inputs!$B$26+Inputs!$B$30,IF(Skills!C3=2,90+Inputs!$B$27+Inputs!$B$30,IF(Skills!C3=3,120+Inputs!$B$28+Inputs!$B$30,MAX(0,(Inputs!$B$3-100)*3)+Inputs!$B$29+Inputs!$B$30)))</f>
        <v/>
      </c>
      <c r="E1110">
        <f>INDEX(FactorTable!$B$2:$Y$301, MATCH(ROUND(MIN(300,MAX(1,D1110)),0), FactorTable!$A$2:$A$301,0), Skills!L3+1)</f>
        <v/>
      </c>
      <c r="F1110">
        <f>IF(Skills!M3=TRUE,(Skills!K3/10)*(E1110/1000),Skills!K3/10)+Skills!N3</f>
        <v/>
      </c>
      <c r="G1110">
        <f>Calc!G3</f>
        <v/>
      </c>
      <c r="H1110">
        <f>Calc!H3</f>
        <v/>
      </c>
      <c r="I1110">
        <f>IF(Skills!T3&lt;&gt;"",1+(Skills!T3/10)*($Z$3/1000)/100,1)</f>
        <v/>
      </c>
      <c r="J1110" t="inlineStr"/>
      <c r="K1110" t="inlineStr"/>
      <c r="L1110" t="inlineStr"/>
      <c r="M1110" t="inlineStr"/>
      <c r="N1110" t="inlineStr"/>
      <c r="O1110">
        <f>(1-Summary!$B$11)*S1110+Summary!$B$11*U1110</f>
        <v/>
      </c>
      <c r="P1110">
        <f>IF(B1150=0,0,O1110/B1150)</f>
        <v/>
      </c>
      <c r="Q1110">
        <f>IFERROR(1/(IF(Inputs!$B$39="pvp",15,MAX(0.1,Skills!D3-IF(Skills!E3=TRUE,Inputs!$B$33,0)))*(1-IF(AND(ArtifactsInput!$M$27,Inputs!$B$4="Chapter Hunt"),CHOOSE(ArtifactsInput!$N$27+1,20,24,28,32,36,40),0)/100)),0)</f>
        <v/>
      </c>
      <c r="R1110">
        <f>IF(AND(Inputs!$B$39&lt;&gt;"pvp",Inputs!$B$44&gt;0),IF(Inputs!$B$44&lt;=0,0,(INT(Inputs!$B$44/(IF(Inputs!$B$39="pvp",15,MAX(0.1,Skills!D3-IF(Skills!E3=TRUE,Inputs!$B$33,0)))*(1-IF(AND(ArtifactsInput!$M$27,Inputs!$B$4="Chapter Hunt"),CHOOSE(ArtifactsInput!$N$27+1,20,24,28,32,36,40),0)/100)))+1)),0)</f>
        <v/>
      </c>
      <c r="S1110" t="n">
        <v>0</v>
      </c>
      <c r="T1110">
        <f>INDEX(FactorTable!$B$2:$Y$301, MATCH(ROUND(MIN(300,MAX(1,T1109)),0), FactorTable!$A$2:$A$301,0), 22)</f>
        <v/>
      </c>
      <c r="U1110" t="n">
        <v>0</v>
      </c>
    </row>
    <row r="1111">
      <c r="A1111">
        <f>Skills!A4</f>
        <v/>
      </c>
      <c r="B1111">
        <f>Skills!B4</f>
        <v/>
      </c>
      <c r="C1111">
        <f>Inputs!$B$3&gt;=38</f>
        <v/>
      </c>
      <c r="D1111">
        <f>IF(Skills!C4=1,60+Inputs!$B$26+Inputs!$B$30,IF(Skills!C4=2,90+Inputs!$B$27+Inputs!$B$30,IF(Skills!C4=3,120+Inputs!$B$28+Inputs!$B$30,MAX(0,(Inputs!$B$3-100)*3)+Inputs!$B$29+Inputs!$B$30)))</f>
        <v/>
      </c>
      <c r="E1111">
        <f>INDEX(FactorTable!$B$2:$Y$301, MATCH(ROUND(MIN(300,MAX(1,D1111)),0), FactorTable!$A$2:$A$301,0), Skills!L4+1)</f>
        <v/>
      </c>
      <c r="F1111">
        <f>IF(Skills!M4=TRUE,(Skills!K4/10)*(E1111/1000),Skills!K4/10)+Skills!N4</f>
        <v/>
      </c>
      <c r="G1111">
        <f>Calc!G4</f>
        <v/>
      </c>
      <c r="H1111">
        <f>Calc!H4</f>
        <v/>
      </c>
      <c r="I1111">
        <f>IF(Skills!T4&lt;&gt;"",1+(Skills!T4/10)*($Z$3/1000)/100,1)</f>
        <v/>
      </c>
      <c r="J1111" t="inlineStr"/>
      <c r="K1111" t="inlineStr"/>
      <c r="L1111" t="inlineStr"/>
      <c r="M1111" t="inlineStr"/>
      <c r="N1111" t="inlineStr"/>
      <c r="O1111">
        <f>(1-Summary!$B$11)*S1111+Summary!$B$11*U1111</f>
        <v/>
      </c>
      <c r="P1111">
        <f>IF(B1150=0,0,O1111/B1150)</f>
        <v/>
      </c>
      <c r="Q1111">
        <f>IFERROR(1/(IF(Inputs!$B$39="pvp",15,MAX(0.1,Skills!D4-IF(Skills!E4=TRUE,Inputs!$B$33,0)))*(1-IF(AND(ArtifactsInput!$M$27,Inputs!$B$4="Chapter Hunt"),CHOOSE(ArtifactsInput!$N$27+1,20,24,28,32,36,40),0)/100)),0)</f>
        <v/>
      </c>
      <c r="R1111">
        <f>IF(AND(Inputs!$B$39&lt;&gt;"pvp",Inputs!$B$44&gt;0),IF(Inputs!$B$44&lt;=0,0,(INT(Inputs!$B$44/(IF(Inputs!$B$39="pvp",15,MAX(0.1,Skills!D4-IF(Skills!E4=TRUE,Inputs!$B$33,0)))*(1-IF(AND(ArtifactsInput!$M$27,Inputs!$B$4="Chapter Hunt"),CHOOSE(ArtifactsInput!$N$27+1,20,24,28,32,36,40),0)/100)))+1)),0)</f>
        <v/>
      </c>
      <c r="S1111" t="n">
        <v>0</v>
      </c>
      <c r="T1111">
        <f>290*T1110/1000</f>
        <v/>
      </c>
      <c r="U1111" t="n">
        <v>0</v>
      </c>
    </row>
    <row r="1112">
      <c r="A1112">
        <f>Skills!A5</f>
        <v/>
      </c>
      <c r="B1112">
        <f>Skills!B5</f>
        <v/>
      </c>
      <c r="C1112">
        <f>Inputs!$B$3&gt;=40</f>
        <v/>
      </c>
      <c r="D1112">
        <f>IF(Skills!C5=1,60+Inputs!$B$26+Inputs!$B$30,IF(Skills!C5=2,90+Inputs!$B$27+Inputs!$B$30,IF(Skills!C5=3,120+Inputs!$B$28+Inputs!$B$30,MAX(0,(Inputs!$B$3-100)*3)+Inputs!$B$29+Inputs!$B$30)))</f>
        <v/>
      </c>
      <c r="E1112">
        <f>INDEX(FactorTable!$B$2:$Y$301, MATCH(ROUND(MIN(300,MAX(1,D1112)),0), FactorTable!$A$2:$A$301,0), Skills!L5+1)</f>
        <v/>
      </c>
      <c r="F1112">
        <f>IF(Skills!M5=TRUE,(Skills!K5/10)*(E1112/1000),Skills!K5/10)+Skills!N5</f>
        <v/>
      </c>
      <c r="G1112">
        <f>Calc!G5</f>
        <v/>
      </c>
      <c r="H1112">
        <f>Calc!H5</f>
        <v/>
      </c>
      <c r="I1112">
        <f>IF(Skills!T5&lt;&gt;"",1+(Skills!T5/10)*($Z$3/1000)/100,1)</f>
        <v/>
      </c>
      <c r="J1112" t="inlineStr"/>
      <c r="K1112" t="inlineStr"/>
      <c r="L1112" t="inlineStr"/>
      <c r="M1112" t="inlineStr"/>
      <c r="N1112" t="inlineStr"/>
      <c r="O1112">
        <f>(1-Summary!$B$11)*S1112+Summary!$B$11*U1112</f>
        <v/>
      </c>
      <c r="P1112">
        <f>IF(B1150=0,0,O1112/B1150)</f>
        <v/>
      </c>
      <c r="Q1112">
        <f>IFERROR(1/(IF(Inputs!$B$39="pvp",15,MAX(0.1,Skills!D5-IF(Skills!E5=TRUE,Inputs!$B$33,0)))*(1-IF(AND(ArtifactsInput!$M$27,Inputs!$B$4="Chapter Hunt"),CHOOSE(ArtifactsInput!$N$27+1,20,24,28,32,36,40),0)/100)),0)</f>
        <v/>
      </c>
      <c r="R1112">
        <f>IF(AND(Inputs!$B$39&lt;&gt;"pvp",Inputs!$B$44&gt;0),IF(Inputs!$B$44&lt;=0,0,(INT(Inputs!$B$44/(IF(Inputs!$B$39="pvp",15,MAX(0.1,Skills!D5-IF(Skills!E5=TRUE,Inputs!$B$33,0)))*(1-IF(AND(ArtifactsInput!$M$27,Inputs!$B$4="Chapter Hunt"),CHOOSE(ArtifactsInput!$N$27+1,20,24,28,32,36,40),0)/100)))+1)),0)</f>
        <v/>
      </c>
      <c r="S1112" t="n">
        <v>0</v>
      </c>
      <c r="U1112" t="n">
        <v>0</v>
      </c>
    </row>
    <row r="1113">
      <c r="A1113">
        <f>Skills!A6</f>
        <v/>
      </c>
      <c r="B1113">
        <f>Skills!B6</f>
        <v/>
      </c>
      <c r="C1113">
        <f>Inputs!$B$3&gt;=103</f>
        <v/>
      </c>
      <c r="D1113">
        <f>IF(Skills!C6=1,60+Inputs!$B$26+Inputs!$B$30,IF(Skills!C6=2,90+Inputs!$B$27+Inputs!$B$30,IF(Skills!C6=3,120+Inputs!$B$28+Inputs!$B$30,MAX(0,(Inputs!$B$3-100)*3)+Inputs!$B$29+Inputs!$B$30)))</f>
        <v/>
      </c>
      <c r="E1113">
        <f>INDEX(FactorTable!$B$2:$Y$301, MATCH(ROUND(MIN(300,MAX(1,D1113)),0), FactorTable!$A$2:$A$301,0), Skills!L6+1)</f>
        <v/>
      </c>
      <c r="F1113">
        <f>IF(Skills!M6=TRUE,(Skills!K6/10)*(E1113/1000),Skills!K6/10)+Skills!N6</f>
        <v/>
      </c>
      <c r="G1113">
        <f>Calc!G6</f>
        <v/>
      </c>
      <c r="H1113">
        <f>Calc!H6</f>
        <v/>
      </c>
      <c r="I1113">
        <f>IF(Skills!T6&lt;&gt;"",1+(Skills!T6/10)*($Z$3/1000)/100,1)</f>
        <v/>
      </c>
      <c r="J1113">
        <f>((Inputs!$B$6*(1+(Inputs!$B$7+1)/100))+(((Inputs!$B$13*(1+Inputs!$B$14/100))-(Inputs!$B$13*(1+Inputs!$B$14/100)))+0.25*(Inputs!$B$15-Inputs!$B$15))*(1+(Inputs!$B$7+1)/100))*(F1113/100)</f>
        <v/>
      </c>
      <c r="K1113">
        <f>J1113*(1+(((Inputs!$B$13+IF(Inputs!$B$3&gt;=35,(10*INDEX(FactorTable!$B$2:$Y$301,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6="TRIUMPH_FEATHER",IF(C1123=TRUE,F1123,0),0)/100)*(1+IF(C1134=TRUE,F1134,0)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1113)</f>
        <v/>
      </c>
      <c r="L1113">
        <f>K1113*(MIN(Inputs!$B$23+(F1129-Calc!F22),(Inputs!$B$24+IF(ArtifactsInput!$M$15,CHOOSE(ArtifactsInput!$N$15+1,25,30,35,40,45,50)/100*(Inputs!$B$12-Inputs!$B$12),0)))/100+(Inputs!$B$24+IF(ArtifactsInput!$M$15,CHOOSE(ArtifactsInput!$N$15+1,25,30,35,40,45,50)/100*(Inputs!$B$12-Inputs!$B$12),0))/100)/2</f>
        <v/>
      </c>
      <c r="M1113">
        <f>L1113*(1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3">
        <f>L1113*(1-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(1-Summary!$B$11)*S1113+Summary!$B$11*U1113</f>
        <v/>
      </c>
      <c r="P1113">
        <f>IF(B1150=0,0,O1113/B1150)</f>
        <v/>
      </c>
      <c r="Q1113">
        <f>IFERROR(1/(IF(Inputs!$B$39="pvp",15,MAX(0.1,Skills!D6-IF(Skills!E6=TRUE,Inputs!$B$33,0)))*(1-IF(AND(ArtifactsInput!$M$27,Inputs!$B$4="Chapter Hunt"),CHOOSE(ArtifactsInput!$N$27+1,20,24,28,32,36,40),0)/100)),0)</f>
        <v/>
      </c>
      <c r="R1113">
        <f>IF(AND(Inputs!$B$39&lt;&gt;"pvp",Inputs!$B$44&gt;0),IF(MAX(0,Inputs!$B$44-B1147)&lt;=0,0,(INT(MAX(0,Inputs!$B$44-B1147)/(IF(Inputs!$B$39="pvp",15,MAX(0.1,Skills!D6-IF(Skills!E6=TRUE,Inputs!$B$33,0)))*(1-IF(AND(ArtifactsInput!$M$27,Inputs!$B$4="Chapter Hunt"),CHOOSE(ArtifactsInput!$N$27+1,20,24,28,32,36,40),0)/100)))+1)),0)</f>
        <v/>
      </c>
      <c r="S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$21+Skills!O6+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1113*(1-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$22+Skills!P6+B1139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Skills!A7</f>
        <v/>
      </c>
      <c r="B1114">
        <f>Skills!B7</f>
        <v/>
      </c>
      <c r="C1114">
        <f>Inputs!$B$3&gt;=122</f>
        <v/>
      </c>
      <c r="D1114">
        <f>IF(Skills!C7=1,60+Inputs!$B$26+Inputs!$B$30,IF(Skills!C7=2,90+Inputs!$B$27+Inputs!$B$30,IF(Skills!C7=3,120+Inputs!$B$28+Inputs!$B$30,MAX(0,(Inputs!$B$3-100)*3)+Inputs!$B$29+Inputs!$B$30)))</f>
        <v/>
      </c>
      <c r="E1114">
        <f>INDEX(FactorTable!$B$2:$Y$301, MATCH(ROUND(MIN(300,MAX(1,D1114)),0), FactorTable!$A$2:$A$301,0), Skills!L7+1)</f>
        <v/>
      </c>
      <c r="F1114">
        <f>IF(Skills!M7=TRUE,(Skills!K7/10)*(E1114/1000),Skills!K7/10)+Skills!N7</f>
        <v/>
      </c>
      <c r="G1114">
        <f>Calc!G7</f>
        <v/>
      </c>
      <c r="H1114">
        <f>Calc!H7</f>
        <v/>
      </c>
      <c r="I1114">
        <f>IF(Skills!T7&lt;&gt;"",1+(Skills!T7/10)*($Z$3/1000)/100,1)</f>
        <v/>
      </c>
      <c r="J1114">
        <f>((Inputs!$B$6*(1+(Inputs!$B$7+1)/100))+(((Inputs!$B$13*(1+Inputs!$B$14/100))-(Inputs!$B$13*(1+Inputs!$B$14/100)))+0.25*(Inputs!$B$15-Inputs!$B$15))*(1+(Inputs!$B$7+1)/100))*(F1114/100)</f>
        <v/>
      </c>
      <c r="K1114">
        <f>J1114*(1+(((Inputs!$B$13+IF(Inputs!$B$3&gt;=35,(10*INDEX(FactorTable!$B$2:$Y$301,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7="TRIUMPH_FEATHER",IF(C1123=TRUE,F1123,0),0)/100)*(1+IF(C1134=TRUE,F1134,0)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1114)</f>
        <v/>
      </c>
      <c r="L1114">
        <f>K1114*(MIN(Inputs!$B$23+(F1129-Calc!F22),(Inputs!$B$24+IF(ArtifactsInput!$M$15,CHOOSE(ArtifactsInput!$N$15+1,25,30,35,40,45,50)/100*(Inputs!$B$12-Inputs!$B$12),0)))/100+(Inputs!$B$24+IF(ArtifactsInput!$M$15,CHOOSE(ArtifactsInput!$N$15+1,25,30,35,40,45,50)/100*(Inputs!$B$12-Inputs!$B$12),0))/100)/2</f>
        <v/>
      </c>
      <c r="M1114">
        <f>L1114*(1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4">
        <f>L1114*(1-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(1-Summary!$B$11)*S1114+Summary!$B$11*U1114</f>
        <v/>
      </c>
      <c r="P1114">
        <f>IF(B1150=0,0,O1114/B1150)</f>
        <v/>
      </c>
      <c r="Q1114">
        <f>IFERROR(1/(IF(Inputs!$B$39="pvp",15,MAX(0.1,Skills!D7-IF(Skills!E6=TRUE,Inputs!$B$33,0)))*(1-IF(AND(ArtifactsInput!$M$27,Inputs!$B$4="Chapter Hunt"),CHOOSE(ArtifactsInput!$N$27+1,20,24,28,32,36,40),0)/100)),0)</f>
        <v/>
      </c>
      <c r="R1114">
        <f>IF(AND(Inputs!$B$39&lt;&gt;"pvp",Inputs!$B$44&gt;0),IF(MAX(0,Inputs!$B$44-B1147)&lt;=0,0,(INT(MAX(0,Inputs!$B$44-B1147)/(IF(Inputs!$B$39="pvp",15,MAX(0.1,Skills!D7-IF(Skills!E6=TRUE,Inputs!$B$33,0)))*(1-IF(AND(ArtifactsInput!$M$27,Inputs!$B$4="Chapter Hunt"),CHOOSE(ArtifactsInput!$N$27+1,20,24,28,32,36,40),0)/100)))+1)),0)</f>
        <v/>
      </c>
      <c r="S1114">
        <f>IF(C1114,H1114*N1114*IF(AND(Inputs!$B$39&lt;&gt;"pvp",Inputs!$B$44&gt;0),((Skills!F7*((R1114-1)*IF(Skills!G7&gt;0,Skills!H7/Skills!G7,1)+IF(Skills!G7&gt;0,MIN(Skills!H7,MAX(0,MAX(0,Inputs!$B$44-B1147)-((R1114-1)*(IF(Inputs!$B$39="pvp",15,MAX(0.1,Skills!D7-IF(Skills!E6=TRUE,Inputs!$B$33,0)))*(1-IF(AND(ArtifactsInput!$M$27,Inputs!$B$4="Chapter Hunt"),CHOOSE(ArtifactsInput!$N$27+1,20,24,28,32,36,40),0)/100)))))/Skills!G7,1)))/Inputs!$B$44),G1114*Q1114)*IF(Inputs!$B$39="pvp",1,1+(Inputs!$B$21+Skills!O7+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1114*(1-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4" t="n">
        <v>0</v>
      </c>
    </row>
    <row r="1115">
      <c r="A1115">
        <f>Skills!A8</f>
        <v/>
      </c>
      <c r="B1115">
        <f>Skills!B8</f>
        <v/>
      </c>
      <c r="C1115">
        <f>Inputs!$B$3&gt;=105</f>
        <v/>
      </c>
      <c r="D1115">
        <f>IF(Skills!C8=1,60+Inputs!$B$26+Inputs!$B$30,IF(Skills!C8=2,90+Inputs!$B$27+Inputs!$B$30,IF(Skills!C8=3,120+Inputs!$B$28+Inputs!$B$30,MAX(0,(Inputs!$B$3-100)*3)+Inputs!$B$29+Inputs!$B$30)))</f>
        <v/>
      </c>
      <c r="E1115">
        <f>INDEX(FactorTable!$B$2:$Y$301, MATCH(ROUND(MIN(300,MAX(1,D1115)),0), FactorTable!$A$2:$A$301,0), Skills!L8+1)</f>
        <v/>
      </c>
      <c r="F1115">
        <f>IF(Skills!M8=TRUE,(Skills!K8/10)*(E1115/1000),Skills!K8/10)+Skills!N8</f>
        <v/>
      </c>
      <c r="G1115">
        <f>Calc!G8</f>
        <v/>
      </c>
      <c r="H1115">
        <f>Calc!H8</f>
        <v/>
      </c>
      <c r="I1115">
        <f>IF(Skills!T8&lt;&gt;"",1+(Skills!T8/10)*($Z$3/1000)/100,1)</f>
        <v/>
      </c>
      <c r="J1115">
        <f>((Inputs!$B$6*(1+(Inputs!$B$7+1)/100))+(((Inputs!$B$13*(1+Inputs!$B$14/100))-(Inputs!$B$13*(1+Inputs!$B$14/100)))+0.25*(Inputs!$B$15-Inputs!$B$15))*(1+(Inputs!$B$7+1)/100))*(F1115/100)</f>
        <v/>
      </c>
      <c r="K1115">
        <f>J1115*(1+(((Inputs!$B$13+IF(Inputs!$B$3&gt;=35,(10*INDEX(FactorTable!$B$2:$Y$301,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8="TRIUMPH_FEATHER",IF(C1123=TRUE,F1123,0),0)/100)*(1+IF(C1134=TRUE,F1134,0)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1115)</f>
        <v/>
      </c>
      <c r="L1115">
        <f>K1115*(MIN(Inputs!$B$23+(F1129-Calc!F22),(Inputs!$B$24+IF(ArtifactsInput!$M$15,CHOOSE(ArtifactsInput!$N$15+1,25,30,35,40,45,50)/100*(Inputs!$B$12-Inputs!$B$12),0)))/100+(Inputs!$B$24+IF(ArtifactsInput!$M$15,CHOOSE(ArtifactsInput!$N$15+1,25,30,35,40,45,50)/100*(Inputs!$B$12-Inputs!$B$12),0))/100)/2</f>
        <v/>
      </c>
      <c r="M1115">
        <f>L1115*(1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5">
        <f>L1115*(1-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(1-Summary!$B$11)*S1115+Summary!$B$11*U1115</f>
        <v/>
      </c>
      <c r="P1115">
        <f>IF(B1150=0,0,O1115/B1150)</f>
        <v/>
      </c>
      <c r="Q1115">
        <f>IFERROR(1/(IF(Inputs!$B$39="pvp",15,MAX(0.1,Skills!D8-IF(Skills!E8=TRUE,Inputs!$B$33,0)))*(1-IF(AND(ArtifactsInput!$M$27,Inputs!$B$4="Chapter Hunt"),CHOOSE(ArtifactsInput!$N$27+1,20,24,28,32,36,40),0)/100)),0)</f>
        <v/>
      </c>
      <c r="R1115">
        <f>IF(AND(Inputs!$B$39&lt;&gt;"pvp",Inputs!$B$44&gt;0),IF(MAX(0,Inputs!$B$44-B1147)&lt;=0,0,(INT(MAX(0,Inputs!$B$44-B1147)/(IF(Inputs!$B$39="pvp",15,MAX(0.1,Skills!D8-IF(Skills!E8=TRUE,Inputs!$B$33,0)))*(1-IF(AND(ArtifactsInput!$M$27,Inputs!$B$4="Chapter Hunt"),CHOOSE(ArtifactsInput!$N$27+1,20,24,28,32,36,40),0)/100)))+1)),0)</f>
        <v/>
      </c>
      <c r="S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$21+Skills!O8+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1115*(1-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$22+Skills!P8+B1139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Skills!A9</f>
        <v/>
      </c>
      <c r="B1116">
        <f>Skills!B9</f>
        <v/>
      </c>
      <c r="C1116">
        <f>Inputs!$B$3&gt;=115</f>
        <v/>
      </c>
      <c r="D1116">
        <f>IF(Skills!C9=1,60+Inputs!$B$26+Inputs!$B$30,IF(Skills!C9=2,90+Inputs!$B$27+Inputs!$B$30,IF(Skills!C9=3,120+Inputs!$B$28+Inputs!$B$30,MAX(0,(Inputs!$B$3-100)*3)+Inputs!$B$29+Inputs!$B$30)))</f>
        <v/>
      </c>
      <c r="E1116">
        <f>INDEX(FactorTable!$B$2:$Y$301, MATCH(ROUND(MIN(300,MAX(1,D1116)),0), FactorTable!$A$2:$A$301,0), Skills!L9+1)</f>
        <v/>
      </c>
      <c r="F1116">
        <f>IF(Skills!M9=TRUE,(Skills!K9/10)*(E1116/1000),Skills!K9/10)+Skills!N9</f>
        <v/>
      </c>
      <c r="G1116">
        <f>Calc!G9</f>
        <v/>
      </c>
      <c r="H1116">
        <f>Calc!H9</f>
        <v/>
      </c>
      <c r="I1116">
        <f>IF(Skills!T9&lt;&gt;"",1+(Skills!T9/10)*($Z$3/1000)/100,1)</f>
        <v/>
      </c>
      <c r="J1116">
        <f>((Inputs!$B$6*(1+(Inputs!$B$7+1)/100))+(((Inputs!$B$13*(1+Inputs!$B$14/100))-(Inputs!$B$13*(1+Inputs!$B$14/100)))+0.25*(Inputs!$B$15-Inputs!$B$15))*(1+(Inputs!$B$7+1)/100))*(F1116/100)</f>
        <v/>
      </c>
      <c r="K1116">
        <f>J1116*(1+(((Inputs!$B$13+IF(Inputs!$B$3&gt;=35,(10*INDEX(FactorTable!$B$2:$Y$301,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9="TRIUMPH_FEATHER",IF(C1123=TRUE,F1123,0),0)/100)*(1+IF(C1134=TRUE,F1134,0)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1116)</f>
        <v/>
      </c>
      <c r="L1116">
        <f>K1116*(MIN(Inputs!$B$23+(F1129-Calc!F22),(Inputs!$B$24+IF(ArtifactsInput!$M$15,CHOOSE(ArtifactsInput!$N$15+1,25,30,35,40,45,50)/100*(Inputs!$B$12-Inputs!$B$12),0)))/100+(Inputs!$B$24+IF(ArtifactsInput!$M$15,CHOOSE(ArtifactsInput!$N$15+1,25,30,35,40,45,50)/100*(Inputs!$B$12-Inputs!$B$12),0))/100)/2</f>
        <v/>
      </c>
      <c r="M1116">
        <f>L1116*(1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6">
        <f>L1116*(1-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1116*(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6">
        <f>(1-Summary!$B$11)*S1116+Summary!$B$11*U1116</f>
        <v/>
      </c>
      <c r="P1116">
        <f>IF(B1150=0,0,O1116/B1150)</f>
        <v/>
      </c>
      <c r="Q1116">
        <f>IFERROR(1/(IF(Inputs!$B$39="pvp",15,MAX(0.1,Skills!D9-IF(Skills!E9=TRUE,Inputs!$B$33,0)))*(1-IF(AND(ArtifactsInput!$M$27,Inputs!$B$4="Chapter Hunt"),CHOOSE(ArtifactsInput!$N$27+1,20,24,28,32,36,40),0)/100)),0)</f>
        <v/>
      </c>
      <c r="R1116">
        <f>IF(AND(Inputs!$B$39&lt;&gt;"pvp",Inputs!$B$44&gt;0),IF(MAX(0,Inputs!$B$44-B1147)&lt;=0,0,(INT(MAX(0,Inputs!$B$44-B1147)/(IF(Inputs!$B$39="pvp",15,MAX(0.1,Skills!D9-IF(Skills!E9=TRUE,Inputs!$B$33,0)))*(1-IF(AND(ArtifactsInput!$M$27,Inputs!$B$4="Chapter Hunt"),CHOOSE(ArtifactsInput!$N$27+1,20,24,28,32,36,40),0)/100)))+1)),0)</f>
        <v/>
      </c>
      <c r="S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$21+Skills!O9+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1116*(1-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1116*(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1116*(1-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1116*(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$22+Skills!P9+B1139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7">
      <c r="A1117">
        <f>Skills!A10</f>
        <v/>
      </c>
      <c r="B1117">
        <f>Skills!B10</f>
        <v/>
      </c>
      <c r="C1117">
        <f>Inputs!$B$3&gt;=66</f>
        <v/>
      </c>
      <c r="D1117">
        <f>IF(Skills!C10=1,60+Inputs!$B$26+Inputs!$B$30,IF(Skills!C10=2,90+Inputs!$B$27+Inputs!$B$30,IF(Skills!C10=3,120+Inputs!$B$28+Inputs!$B$30,MAX(0,(Inputs!$B$3-100)*3)+Inputs!$B$29+Inputs!$B$30)))</f>
        <v/>
      </c>
      <c r="E1117">
        <f>INDEX(FactorTable!$B$2:$Y$301, MATCH(ROUND(MIN(300,MAX(1,D1117)),0), FactorTable!$A$2:$A$301,0), Skills!L10+1)</f>
        <v/>
      </c>
      <c r="F1117" t="n">
        <v>0</v>
      </c>
      <c r="G1117">
        <f>Calc!G10</f>
        <v/>
      </c>
      <c r="H1117">
        <f>Calc!H10</f>
        <v/>
      </c>
      <c r="I1117">
        <f>IF(Skills!T10&lt;&gt;"",1+(Skills!T10/10)*($Z$3/1000)/100,1)</f>
        <v/>
      </c>
      <c r="J1117" t="inlineStr"/>
      <c r="K1117" t="inlineStr"/>
      <c r="L1117" t="inlineStr"/>
      <c r="M1117" t="inlineStr"/>
      <c r="N1117" t="inlineStr"/>
      <c r="O1117">
        <f>(1-Summary!$B$11)*S1117+Summary!$B$11*U1117</f>
        <v/>
      </c>
      <c r="P1117">
        <f>IF(B1150=0,0,O1117/B1150)</f>
        <v/>
      </c>
      <c r="Q1117">
        <f>IFERROR(1/(IF(Inputs!$B$39="pvp",15,MAX(0.1,Skills!D10-IF(Skills!E10=TRUE,Inputs!$B$33,0)))*(1-IF(AND(ArtifactsInput!$M$27,Inputs!$B$4="Chapter Hunt"),CHOOSE(ArtifactsInput!$N$27+1,20,24,28,32,36,40),0)/100)),0)</f>
        <v/>
      </c>
      <c r="R1117">
        <f>IF(AND(Inputs!$B$39&lt;&gt;"pvp",Inputs!$B$44&gt;0),IF(MAX(0,Inputs!$B$44-B1147)&lt;=0,0,(INT(MAX(0,Inputs!$B$44-B1147)/(IF(Inputs!$B$39="pvp",15,MAX(0.1,Skills!D10-IF(Skills!E10=TRUE,Inputs!$B$33,0)))*(1-IF(AND(ArtifactsInput!$M$27,Inputs!$B$4="Chapter Hunt"),CHOOSE(ArtifactsInput!$N$27+1,20,24,28,32,36,40),0)/100)))+1)),0)</f>
        <v/>
      </c>
      <c r="S1117" t="n">
        <v>0</v>
      </c>
      <c r="U1117" t="n">
        <v>0</v>
      </c>
    </row>
    <row r="1118">
      <c r="A1118">
        <f>Skills!A11</f>
        <v/>
      </c>
      <c r="B1118">
        <f>Skills!B11</f>
        <v/>
      </c>
      <c r="C1118">
        <f>Inputs!$B$3&gt;=69</f>
        <v/>
      </c>
      <c r="D1118">
        <f>IF(Skills!C11=1,60+Inputs!$B$26+Inputs!$B$30,IF(Skills!C11=2,90+Inputs!$B$27+Inputs!$B$30,IF(Skills!C11=3,120+Inputs!$B$28+Inputs!$B$30,MAX(0,(Inputs!$B$3-100)*3)+Inputs!$B$29+Inputs!$B$30)))</f>
        <v/>
      </c>
      <c r="E1118">
        <f>INDEX(FactorTable!$B$2:$Y$301, MATCH(ROUND(MIN(300,MAX(1,D1118)),0), FactorTable!$A$2:$A$301,0), Skills!L11+1)</f>
        <v/>
      </c>
      <c r="F1118">
        <f>IF(Skills!M11=TRUE,(Skills!K11/10)*(E1118/1000),Skills!K11/10)+Skills!N11</f>
        <v/>
      </c>
      <c r="G1118">
        <f>Calc!G11</f>
        <v/>
      </c>
      <c r="H1118">
        <f>Calc!H11</f>
        <v/>
      </c>
      <c r="I1118">
        <f>IF(Skills!T11&lt;&gt;"",1+(Skills!T11/10)*($Z$3/1000)/100,1)</f>
        <v/>
      </c>
      <c r="J1118" t="inlineStr"/>
      <c r="K1118" t="inlineStr"/>
      <c r="L1118" t="inlineStr"/>
      <c r="M1118" t="inlineStr"/>
      <c r="N1118" t="inlineStr"/>
      <c r="O1118">
        <f>(1-Summary!$B$11)*S1118+Summary!$B$11*U1118</f>
        <v/>
      </c>
      <c r="P1118">
        <f>IF(B1150=0,0,O1118/B1150)</f>
        <v/>
      </c>
      <c r="Q1118">
        <f>IFERROR(1/(IF(Inputs!$B$39="pvp",15,MAX(0.1,Skills!D11-IF(Skills!E11=TRUE,Inputs!$B$33,0)))*(1-IF(AND(ArtifactsInput!$M$27,Inputs!$B$4="Chapter Hunt"),CHOOSE(ArtifactsInput!$N$27+1,20,24,28,32,36,40),0)/100)),0)</f>
        <v/>
      </c>
      <c r="R1118">
        <f>IF(AND(Inputs!$B$39&lt;&gt;"pvp",Inputs!$B$44&gt;0),IF(Inputs!$B$44&lt;=0,0,(INT(Inputs!$B$44/(IF(Inputs!$B$39="pvp",15,MAX(0.1,Skills!D11-IF(Skills!E11=TRUE,Inputs!$B$33,0)))*(1-IF(AND(ArtifactsInput!$M$27,Inputs!$B$4="Chapter Hunt"),CHOOSE(ArtifactsInput!$N$27+1,20,24,28,32,36,40),0)/100)))+1)),0)</f>
        <v/>
      </c>
      <c r="S1118" t="n">
        <v>0</v>
      </c>
      <c r="U1118" t="n">
        <v>0</v>
      </c>
    </row>
    <row r="1119">
      <c r="A1119">
        <f>Skills!A12</f>
        <v/>
      </c>
      <c r="B1119">
        <f>Skills!B12</f>
        <v/>
      </c>
      <c r="C1119">
        <f>Inputs!$B$3&gt;=72</f>
        <v/>
      </c>
      <c r="D1119">
        <f>IF(Skills!C12=1,60+Inputs!$B$26+Inputs!$B$30,IF(Skills!C12=2,90+Inputs!$B$27+Inputs!$B$30,IF(Skills!C12=3,120+Inputs!$B$28+Inputs!$B$30,MAX(0,(Inputs!$B$3-100)*3)+Inputs!$B$29+Inputs!$B$30)))</f>
        <v/>
      </c>
      <c r="E1119">
        <f>INDEX(FactorTable!$B$2:$Y$301, MATCH(ROUND(MIN(300,MAX(1,D1119)),0), FactorTable!$A$2:$A$301,0), Skills!L12+1)</f>
        <v/>
      </c>
      <c r="F1119">
        <f>IF(Skills!M12=TRUE,(Skills!K12/10)*(E1119/1000),Skills!K12/10)+Skills!N12</f>
        <v/>
      </c>
      <c r="G1119">
        <f>Calc!G12</f>
        <v/>
      </c>
      <c r="H1119">
        <f>Calc!H12</f>
        <v/>
      </c>
      <c r="I1119">
        <f>IF(Skills!T12&lt;&gt;"",1+(Skills!T12/10)*($Z$3/1000)/100,1)</f>
        <v/>
      </c>
      <c r="J1119" t="inlineStr"/>
      <c r="K1119" t="inlineStr"/>
      <c r="L1119" t="inlineStr"/>
      <c r="M1119" t="inlineStr"/>
      <c r="N1119" t="inlineStr"/>
      <c r="O1119">
        <f>(1-Summary!$B$11)*S1119+Summary!$B$11*U1119</f>
        <v/>
      </c>
      <c r="P1119">
        <f>IF(B1150=0,0,O1119/B1150)</f>
        <v/>
      </c>
      <c r="Q1119">
        <f>IFERROR(1/(IF(Inputs!$B$39="pvp",15,MAX(0.1,Skills!D12-IF(Skills!E12=TRUE,Inputs!$B$33,0)))*(1-IF(AND(ArtifactsInput!$M$27,Inputs!$B$4="Chapter Hunt"),CHOOSE(ArtifactsInput!$N$27+1,20,24,28,32,36,40),0)/100)),0)</f>
        <v/>
      </c>
      <c r="R1119">
        <f>IF(AND(Inputs!$B$39&lt;&gt;"pvp",Inputs!$B$44&gt;0),IF(MAX(0,Inputs!$B$44-B1147)&lt;=0,0,(INT(MAX(0,Inputs!$B$44-B1147)/(IF(Inputs!$B$39="pvp",15,MAX(0.1,Skills!D12-IF(Skills!E12=TRUE,Inputs!$B$33,0)))*(1-IF(AND(ArtifactsInput!$M$27,Inputs!$B$4="Chapter Hunt"),CHOOSE(ArtifactsInput!$N$27+1,20,24,28,32,36,40),0)/100)))+1)),0)</f>
        <v/>
      </c>
      <c r="S1119" t="n">
        <v>0</v>
      </c>
      <c r="U1119" t="n">
        <v>0</v>
      </c>
    </row>
    <row r="1120">
      <c r="A1120">
        <f>Skills!A13</f>
        <v/>
      </c>
      <c r="B1120">
        <f>Skills!B13</f>
        <v/>
      </c>
      <c r="C1120">
        <f>Inputs!$B$3&gt;=60</f>
        <v/>
      </c>
      <c r="D1120">
        <f>IF(Skills!C13=1,60+Inputs!$B$26+Inputs!$B$30,IF(Skills!C13=2,90+Inputs!$B$27+Inputs!$B$30,IF(Skills!C13=3,120+Inputs!$B$28+Inputs!$B$30,MAX(0,(Inputs!$B$3-100)*3)+Inputs!$B$29+Inputs!$B$30)))</f>
        <v/>
      </c>
      <c r="E1120">
        <f>INDEX(FactorTable!$B$2:$Y$301, MATCH(ROUND(MIN(300,MAX(1,D1120)),0), FactorTable!$A$2:$A$301,0), Skills!L13+1)</f>
        <v/>
      </c>
      <c r="F1120">
        <f>IF(Skills!M13=TRUE,(Skills!K13/10)*(E1120/1000),Skills!K13/10)+Skills!N13</f>
        <v/>
      </c>
      <c r="G1120">
        <f>Calc!G13</f>
        <v/>
      </c>
      <c r="H1120">
        <f>Calc!H13</f>
        <v/>
      </c>
      <c r="I1120">
        <f>IF(Skills!T13&lt;&gt;"",1+(Skills!T13/10)*($Z$3/1000)/100,1)</f>
        <v/>
      </c>
      <c r="J1120" t="inlineStr"/>
      <c r="K1120" t="inlineStr"/>
      <c r="L1120" t="inlineStr"/>
      <c r="M1120" t="inlineStr"/>
      <c r="N1120" t="inlineStr"/>
      <c r="O1120">
        <f>(1-Summary!$B$11)*S1120+Summary!$B$11*U1120</f>
        <v/>
      </c>
      <c r="P1120">
        <f>IF(B1150=0,0,O1120/B1150)</f>
        <v/>
      </c>
      <c r="Q1120">
        <f>IFERROR(1/(IF(Inputs!$B$39="pvp",15,MAX(0.1,Skills!D13-IF(Skills!E13=TRUE,Inputs!$B$33,0)))*(1-IF(AND(ArtifactsInput!$M$27,Inputs!$B$4="Chapter Hunt"),CHOOSE(ArtifactsInput!$N$27+1,20,24,28,32,36,40),0)/100)),0)</f>
        <v/>
      </c>
      <c r="R1120">
        <f>IF(AND(Inputs!$B$39&lt;&gt;"pvp",Inputs!$B$44&gt;0),IF(MAX(0,Inputs!$B$44-B1147)&lt;=0,0,(INT(MAX(0,Inputs!$B$44-B1147)/(IF(Inputs!$B$39="pvp",15,MAX(0.1,Skills!D13-IF(Skills!E13=TRUE,Inputs!$B$33,0)))*(1-IF(AND(ArtifactsInput!$M$27,Inputs!$B$4="Chapter Hunt"),CHOOSE(ArtifactsInput!$N$27+1,20,24,28,32,36,40),0)/100)))+1)),0)</f>
        <v/>
      </c>
      <c r="S1120" t="n">
        <v>0</v>
      </c>
      <c r="U1120" t="n">
        <v>0</v>
      </c>
    </row>
    <row r="1121">
      <c r="A1121">
        <f>Skills!A14</f>
        <v/>
      </c>
      <c r="B1121">
        <f>Skills!B14</f>
        <v/>
      </c>
      <c r="C1121">
        <f>Inputs!$B$3&gt;=107</f>
        <v/>
      </c>
      <c r="D1121">
        <f>IF(Skills!C14=1,60+Inputs!$B$26+Inputs!$B$30,IF(Skills!C14=2,90+Inputs!$B$27+Inputs!$B$30,IF(Skills!C14=3,120+Inputs!$B$28+Inputs!$B$30,MAX(0,(Inputs!$B$3-100)*3)+Inputs!$B$29+Inputs!$B$30)))</f>
        <v/>
      </c>
      <c r="E1121">
        <f>INDEX(FactorTable!$B$2:$Y$301, MATCH(ROUND(MIN(300,MAX(1,D1121)),0), FactorTable!$A$2:$A$301,0), Skills!L14+1)</f>
        <v/>
      </c>
      <c r="F1121">
        <f>IF(Skills!M14=TRUE,(Skills!K14/10)*(E1121/1000),Skills!K14/10)+Skills!N14</f>
        <v/>
      </c>
      <c r="G1121">
        <f>Calc!G14</f>
        <v/>
      </c>
      <c r="H1121">
        <f>Calc!H14</f>
        <v/>
      </c>
      <c r="I1121">
        <f>IF(Skills!T14&lt;&gt;"",1+(Skills!T14/10)*($Z$3/1000)/100,1)</f>
        <v/>
      </c>
      <c r="J1121" t="inlineStr"/>
      <c r="K1121" t="inlineStr"/>
      <c r="L1121" t="inlineStr"/>
      <c r="M1121" t="inlineStr"/>
      <c r="N1121" t="inlineStr"/>
      <c r="O1121">
        <f>(1-Summary!$B$11)*S1121+Summary!$B$11*U1121</f>
        <v/>
      </c>
      <c r="P1121">
        <f>IF(B1150=0,0,O1121/B1150)</f>
        <v/>
      </c>
      <c r="Q1121">
        <f>IFERROR(1/(IF(Inputs!$B$39="pvp",15,MAX(0.1,Skills!D14-IF(Skills!E14=TRUE,Inputs!$B$33,0)))*(1-IF(AND(ArtifactsInput!$M$27,Inputs!$B$4="Chapter Hunt"),CHOOSE(ArtifactsInput!$N$27+1,20,24,28,32,36,40),0)/100)),0)</f>
        <v/>
      </c>
      <c r="R1121">
        <f>IF(AND(Inputs!$B$39&lt;&gt;"pvp",Inputs!$B$44&gt;0),IF(Inputs!$B$44&lt;=0,0,(INT(Inputs!$B$44/(IF(Inputs!$B$39="pvp",15,MAX(0.1,Skills!D14-IF(Skills!E14=TRUE,Inputs!$B$33,0)))*(1-IF(AND(ArtifactsInput!$M$27,Inputs!$B$4="Chapter Hunt"),CHOOSE(ArtifactsInput!$N$27+1,20,24,28,32,36,40),0)/100)))+1)),0)</f>
        <v/>
      </c>
      <c r="S1121" t="n">
        <v>0</v>
      </c>
      <c r="U1121" t="n">
        <v>0</v>
      </c>
    </row>
    <row r="1122">
      <c r="A1122">
        <f>Skills!A15</f>
        <v/>
      </c>
      <c r="B1122">
        <f>Skills!B15</f>
        <v/>
      </c>
      <c r="C1122">
        <f>Inputs!$B$3&gt;=63</f>
        <v/>
      </c>
      <c r="D1122">
        <f>IF(Skills!C15=1,60+Inputs!$B$26+Inputs!$B$30,IF(Skills!C15=2,90+Inputs!$B$27+Inputs!$B$30,IF(Skills!C15=3,120+Inputs!$B$28+Inputs!$B$30,MAX(0,(Inputs!$B$3-100)*3)+Inputs!$B$29+Inputs!$B$30)))</f>
        <v/>
      </c>
      <c r="E1122">
        <f>INDEX(FactorTable!$B$2:$Y$301, MATCH(ROUND(MIN(300,MAX(1,D1122)),0), FactorTable!$A$2:$A$301,0), Skills!L15+1)</f>
        <v/>
      </c>
      <c r="F1122">
        <f>IF(Skills!M15=TRUE,(Skills!K15/10)*(E1122/1000),Skills!K15/10)+Skills!N15</f>
        <v/>
      </c>
      <c r="G1122">
        <f>Calc!G15</f>
        <v/>
      </c>
      <c r="H1122">
        <f>Calc!H15</f>
        <v/>
      </c>
      <c r="I1122">
        <f>IF(Skills!T15&lt;&gt;"",1+(Skills!T15/10)*($Z$3/1000)/100,1)</f>
        <v/>
      </c>
      <c r="J1122">
        <f>((Inputs!$B$6*(1+(Inputs!$B$7+1)/100))+(((Inputs!$B$13*(1+Inputs!$B$14/100))-(Inputs!$B$13*(1+Inputs!$B$14/100)))+0.25*(Inputs!$B$15-Inputs!$B$15))*(1+(Inputs!$B$7+1)/100))*(F1122/100)</f>
        <v/>
      </c>
      <c r="K1122">
        <f>J1122*(1+(((Inputs!$B$13+IF(Inputs!$B$3&gt;=35,(10*INDEX(FactorTable!$B$2:$Y$301,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15="TRIUMPH_FEATHER",IF(C1123=TRUE,F1123,0),0)/100)*(1+IF(C1134=TRUE,F1134,0)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1122)</f>
        <v/>
      </c>
      <c r="L1122">
        <f>K1122*(MIN(Inputs!$B$23+(F1129-Calc!F22),(Inputs!$B$24+IF(ArtifactsInput!$M$15,CHOOSE(ArtifactsInput!$N$15+1,25,30,35,40,45,50)/100*(Inputs!$B$12-Inputs!$B$12),0)))/100+(Inputs!$B$24+IF(ArtifactsInput!$M$15,CHOOSE(ArtifactsInput!$N$15+1,25,30,35,40,45,50)/100*(Inputs!$B$12-Inputs!$B$12),0))/100)/2</f>
        <v/>
      </c>
      <c r="M1122">
        <f>L1122*(1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22">
        <f>L1122*(1-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(1-Summary!$B$11)*S1122+Summary!$B$11*U1122</f>
        <v/>
      </c>
      <c r="P1122">
        <f>IF(B1150=0,0,O1122/B1150)</f>
        <v/>
      </c>
      <c r="Q1122">
        <f>IFERROR(1/(IF(Inputs!$B$39="pvp",15,MAX(0.1,Skills!D15-IF(Skills!E15=TRUE,Inputs!$B$33,0)))*(1-IF(AND(ArtifactsInput!$M$27,Inputs!$B$4="Chapter Hunt"),CHOOSE(ArtifactsInput!$N$27+1,20,24,28,32,36,40),0)/100)),0)</f>
        <v/>
      </c>
      <c r="R1122" t="n">
        <v>0</v>
      </c>
      <c r="S1122">
        <f>IF(C1122,(Skills!F15*N1122*((IF(Inputs!$B$3&gt;=78,25,15)/100*B1143*10)/(1+IF(Inputs!$B$3&gt;=78,25,15)/100*B1143*10))*(Skills!I15/100*B1143)/(1+Skills!G15*Skills!I15/100*B1143))*IF(Inputs!$B$39="pvp",1,1+(Inputs!$B$21+Skills!O15+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1122*(1-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IF(C1122,(Skills!F15*N1122*((IF(Inputs!$B$3&gt;=78,25,15)/100*B1143*10)/(1+IF(Inputs!$B$3&gt;=78,25,15)/100*B1143*10))*(Skills!I15/100*B1143)/(1+Skills!G15*Skills!I15/100*B1143))*IF(Inputs!$B$39="pvp",1,(1+(Inputs!$B$22+Skills!P15+B1139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Skills!A16</f>
        <v/>
      </c>
      <c r="B1123">
        <f>Skills!B16</f>
        <v/>
      </c>
      <c r="C1123">
        <f>Inputs!$B$3&gt;=100</f>
        <v/>
      </c>
      <c r="D1123">
        <f>IF(Skills!C16=1,60+Inputs!$B$26+Inputs!$B$30,IF(Skills!C16=2,90+Inputs!$B$27+Inputs!$B$30,IF(Skills!C16=3,120+Inputs!$B$28+Inputs!$B$30,MAX(0,(Inputs!$B$3-100)*3)+Inputs!$B$29+Inputs!$B$30)))</f>
        <v/>
      </c>
      <c r="E1123">
        <f>INDEX(FactorTable!$B$2:$Y$301, MATCH(ROUND(MIN(300,MAX(1,D1123)),0), FactorTable!$A$2:$A$301,0), Skills!L16+1)</f>
        <v/>
      </c>
      <c r="F1123">
        <f>IF(Skills!M16=TRUE,(Skills!K16/10)*(E1123/1000),Skills!K16/10)+Skills!N16</f>
        <v/>
      </c>
      <c r="G1123">
        <f>Calc!G16</f>
        <v/>
      </c>
      <c r="H1123">
        <f>Calc!H16</f>
        <v/>
      </c>
      <c r="I1123">
        <f>IF(Skills!T16&lt;&gt;"",1+(Skills!T16/10)*($Z$3/1000)/100,1)</f>
        <v/>
      </c>
      <c r="J1123" t="inlineStr"/>
      <c r="K1123" t="inlineStr"/>
      <c r="L1123" t="inlineStr"/>
      <c r="M1123" t="inlineStr"/>
      <c r="N1123" t="inlineStr"/>
      <c r="O1123">
        <f>(1-Summary!$B$11)*S1123+Summary!$B$11*U1123</f>
        <v/>
      </c>
      <c r="P1123">
        <f>IF(B1150=0,0,O1123/B1150)</f>
        <v/>
      </c>
      <c r="Q1123">
        <f>IFERROR(1/(IF(Inputs!$B$39="pvp",15,MAX(0.1,Skills!D16-IF(Skills!E16=TRUE,Inputs!$B$33,0)))*(1-IF(AND(ArtifactsInput!$M$27,Inputs!$B$4="Chapter Hunt"),CHOOSE(ArtifactsInput!$N$27+1,20,24,28,32,36,40),0)/100)),0)</f>
        <v/>
      </c>
      <c r="R1123" t="n">
        <v>0</v>
      </c>
      <c r="S1123" t="n">
        <v>0</v>
      </c>
      <c r="U1123" t="n">
        <v>0</v>
      </c>
    </row>
    <row r="1124">
      <c r="A1124">
        <f>Skills!A17</f>
        <v/>
      </c>
      <c r="B1124">
        <f>Skills!B17</f>
        <v/>
      </c>
      <c r="C1124">
        <f>Inputs!$B$3&gt;=49</f>
        <v/>
      </c>
      <c r="D1124">
        <f>IF(Skills!C17=1,60+Inputs!$B$26+Inputs!$B$30,IF(Skills!C17=2,90+Inputs!$B$27+Inputs!$B$30,IF(Skills!C17=3,120+Inputs!$B$28+Inputs!$B$30,MAX(0,(Inputs!$B$3-100)*3)+Inputs!$B$29+Inputs!$B$30)))</f>
        <v/>
      </c>
      <c r="E1124">
        <f>INDEX(FactorTable!$B$2:$Y$301, MATCH(ROUND(MIN(300,MAX(1,D1124)),0), FactorTable!$A$2:$A$301,0), Skills!L17+1)</f>
        <v/>
      </c>
      <c r="F1124">
        <f>IF(Skills!M17=TRUE,(Skills!K17/10)*(E1124/1000),Skills!K17/10)+Skills!N17</f>
        <v/>
      </c>
      <c r="G1124">
        <f>Calc!G17</f>
        <v/>
      </c>
      <c r="H1124">
        <f>Calc!H17</f>
        <v/>
      </c>
      <c r="I1124">
        <f>IF(Skills!T17&lt;&gt;"",1+(Skills!T17/10)*($Z$3/1000)/100,1)</f>
        <v/>
      </c>
      <c r="J1124" t="inlineStr"/>
      <c r="K1124" t="inlineStr"/>
      <c r="L1124" t="inlineStr"/>
      <c r="M1124" t="inlineStr"/>
      <c r="N1124" t="inlineStr"/>
      <c r="O1124">
        <f>(1-Summary!$B$11)*S1124+Summary!$B$11*U1124</f>
        <v/>
      </c>
      <c r="P1124">
        <f>IF(B1150=0,0,O1124/B1150)</f>
        <v/>
      </c>
      <c r="Q1124">
        <f>IFERROR(1/(IF(Inputs!$B$39="pvp",15,MAX(0.1,Skills!D17-IF(Skills!E17=TRUE,Inputs!$B$33,0)))*(1-IF(AND(ArtifactsInput!$M$27,Inputs!$B$4="Chapter Hunt"),CHOOSE(ArtifactsInput!$N$27+1,20,24,28,32,36,40),0)/100)),0)</f>
        <v/>
      </c>
      <c r="R1124" t="n">
        <v>0</v>
      </c>
      <c r="S1124" t="n">
        <v>0</v>
      </c>
      <c r="U1124" t="n">
        <v>0</v>
      </c>
    </row>
    <row r="1125">
      <c r="A1125">
        <f>Skills!A18</f>
        <v/>
      </c>
      <c r="B1125">
        <f>Skills!B18</f>
        <v/>
      </c>
      <c r="C1125">
        <f>Inputs!$B$3&gt;=75</f>
        <v/>
      </c>
      <c r="D1125">
        <f>IF(Skills!C18=1,60+Inputs!$B$26+Inputs!$B$30,IF(Skills!C18=2,90+Inputs!$B$27+Inputs!$B$30,IF(Skills!C18=3,120+Inputs!$B$28+Inputs!$B$30,MAX(0,(Inputs!$B$3-100)*3)+Inputs!$B$29+Inputs!$B$30)))</f>
        <v/>
      </c>
      <c r="E1125">
        <f>INDEX(FactorTable!$B$2:$Y$301, MATCH(ROUND(MIN(300,MAX(1,D1125)),0), FactorTable!$A$2:$A$301,0), Skills!L18+1)</f>
        <v/>
      </c>
      <c r="F1125">
        <f>IF(Skills!M18=TRUE,(Skills!K18/10)*(E1125/1000),Skills!K18/10)+Skills!N18</f>
        <v/>
      </c>
      <c r="G1125">
        <f>Calc!G18</f>
        <v/>
      </c>
      <c r="H1125">
        <f>Calc!H18</f>
        <v/>
      </c>
      <c r="I1125">
        <f>IF(Skills!T18&lt;&gt;"",1+(Skills!T18/10)*($Z$3/1000)/100,1)</f>
        <v/>
      </c>
      <c r="J1125" t="inlineStr"/>
      <c r="K1125" t="inlineStr"/>
      <c r="L1125" t="inlineStr"/>
      <c r="M1125" t="inlineStr"/>
      <c r="N1125" t="inlineStr"/>
      <c r="O1125">
        <f>(1-Summary!$B$11)*S1125+Summary!$B$11*U1125</f>
        <v/>
      </c>
      <c r="P1125">
        <f>IF(B1150=0,0,O1125/B1150)</f>
        <v/>
      </c>
      <c r="Q1125">
        <f>IFERROR(1/(IF(Inputs!$B$39="pvp",15,MAX(0.1,Skills!D18-IF(Skills!E18=TRUE,Inputs!$B$33,0)))*(1-IF(AND(ArtifactsInput!$M$27,Inputs!$B$4="Chapter Hunt"),CHOOSE(ArtifactsInput!$N$27+1,20,24,28,32,36,40),0)/100)),0)</f>
        <v/>
      </c>
      <c r="R1125" t="n">
        <v>0</v>
      </c>
      <c r="S1125" t="n">
        <v>0</v>
      </c>
      <c r="U1125" t="n">
        <v>0</v>
      </c>
    </row>
    <row r="1126">
      <c r="A1126">
        <f>Skills!A19</f>
        <v/>
      </c>
      <c r="B1126">
        <f>Skills!B19</f>
        <v/>
      </c>
      <c r="C1126">
        <f>Inputs!$B$3&gt;=110</f>
        <v/>
      </c>
      <c r="D1126">
        <f>IF(Skills!C19=1,60+Inputs!$B$26+Inputs!$B$30,IF(Skills!C19=2,90+Inputs!$B$27+Inputs!$B$30,IF(Skills!C19=3,120+Inputs!$B$28+Inputs!$B$30,MAX(0,(Inputs!$B$3-100)*3)+Inputs!$B$29+Inputs!$B$30)))</f>
        <v/>
      </c>
      <c r="E1126">
        <f>INDEX(FactorTable!$B$2:$Y$301, MATCH(ROUND(MIN(300,MAX(1,D1126)),0), FactorTable!$A$2:$A$301,0), Skills!L19+1)</f>
        <v/>
      </c>
      <c r="F1126">
        <f>(Skills!K19/10)*(E1126/1000)*64/45+Skills!N19</f>
        <v/>
      </c>
      <c r="G1126">
        <f>Calc!G19</f>
        <v/>
      </c>
      <c r="H1126">
        <f>Calc!H19</f>
        <v/>
      </c>
      <c r="I1126">
        <f>IF(Skills!T19&lt;&gt;"",1+(Skills!T19/10)*($Z$3/1000)/100,1)</f>
        <v/>
      </c>
      <c r="J1126" t="inlineStr"/>
      <c r="K1126" t="inlineStr"/>
      <c r="L1126" t="inlineStr"/>
      <c r="M1126" t="inlineStr"/>
      <c r="N1126" t="inlineStr"/>
      <c r="O1126">
        <f>(1-Summary!$B$11)*S1126+Summary!$B$11*U1126</f>
        <v/>
      </c>
      <c r="P1126">
        <f>IF(B1150=0,0,O1126/B1150)</f>
        <v/>
      </c>
      <c r="Q1126">
        <f>IFERROR(1/(IF(Inputs!$B$39="pvp",15,MAX(0.1,Skills!D19-IF(Skills!E19=TRUE,Inputs!$B$33,0)))*(1-IF(AND(ArtifactsInput!$M$27,Inputs!$B$4="Chapter Hunt"),CHOOSE(ArtifactsInput!$N$27+1,20,24,28,32,36,40),0)/100)),0)</f>
        <v/>
      </c>
      <c r="R1126">
        <f>IF(AND(Inputs!$B$39&lt;&gt;"pvp",Inputs!$B$44&gt;0),IF(Inputs!$B$44&lt;=0,0,(INT(Inputs!$B$44/(IF(Inputs!$B$39="pvp",15,MAX(0.1,Skills!D19-IF(Skills!E19=TRUE,Inputs!$B$33,0)))*(1-IF(AND(ArtifactsInput!$M$27,Inputs!$B$4="Chapter Hunt"),CHOOSE(ArtifactsInput!$N$27+1,20,24,28,32,36,40),0)/100)))+1)),0)</f>
        <v/>
      </c>
      <c r="S1126" t="n">
        <v>0</v>
      </c>
      <c r="U1126" t="n">
        <v>0</v>
      </c>
    </row>
    <row r="1127">
      <c r="A1127">
        <f>Skills!A20</f>
        <v/>
      </c>
      <c r="B1127">
        <f>Skills!B20</f>
        <v/>
      </c>
      <c r="C1127">
        <f>Inputs!$B$3&gt;=125</f>
        <v/>
      </c>
      <c r="D1127">
        <f>IF(Skills!C20=1,60+Inputs!$B$26+Inputs!$B$30,IF(Skills!C20=2,90+Inputs!$B$27+Inputs!$B$30,IF(Skills!C20=3,120+Inputs!$B$28+Inputs!$B$30,MAX(0,(Inputs!$B$3-100)*3)+Inputs!$B$29+Inputs!$B$30)))</f>
        <v/>
      </c>
      <c r="E1127">
        <f>INDEX(FactorTable!$B$2:$Y$301, MATCH(ROUND(MIN(300,MAX(1,D1127)),0), FactorTable!$A$2:$A$301,0), Skills!L20+1)</f>
        <v/>
      </c>
      <c r="F1127">
        <f>IF(Skills!M20=TRUE,(Skills!K20/10)*(E1127/1000),Skills!K20/10)+Skills!N20</f>
        <v/>
      </c>
      <c r="G1127">
        <f>Calc!G20</f>
        <v/>
      </c>
      <c r="H1127">
        <f>Calc!H20</f>
        <v/>
      </c>
      <c r="I1127">
        <f>IF(Skills!T20&lt;&gt;"",1+(Skills!T20/10)*($Z$3/1000)/100,1)</f>
        <v/>
      </c>
      <c r="J1127" t="inlineStr"/>
      <c r="K1127" t="inlineStr"/>
      <c r="L1127" t="inlineStr"/>
      <c r="M1127" t="inlineStr"/>
      <c r="N1127" t="inlineStr"/>
      <c r="O1127">
        <f>(1-Summary!$B$11)*S1127+Summary!$B$11*U1127</f>
        <v/>
      </c>
      <c r="P1127">
        <f>IF(B1150=0,0,O1127/B1150)</f>
        <v/>
      </c>
      <c r="Q1127">
        <f>IFERROR(1/(IF(Inputs!$B$39="pvp",15,MAX(0.1,Skills!D20-IF(Skills!E20=TRUE,Inputs!$B$33,0)))*(1-IF(AND(ArtifactsInput!$M$27,Inputs!$B$4="Chapter Hunt"),CHOOSE(ArtifactsInput!$N$27+1,20,24,28,32,36,40),0)/100)),0)</f>
        <v/>
      </c>
      <c r="R1127" t="n">
        <v>0</v>
      </c>
      <c r="S1127" t="n">
        <v>0</v>
      </c>
      <c r="U1127" t="n">
        <v>0</v>
      </c>
    </row>
    <row r="1128">
      <c r="A1128">
        <f>Skills!A21</f>
        <v/>
      </c>
      <c r="B1128">
        <f>Skills!B21</f>
        <v/>
      </c>
      <c r="C1128">
        <f>Inputs!$B$3&gt;=33</f>
        <v/>
      </c>
      <c r="D1128">
        <f>IF(Skills!C21=1,60+Inputs!$B$26+Inputs!$B$30,IF(Skills!C21=2,90+Inputs!$B$27+Inputs!$B$30,IF(Skills!C21=3,120+Inputs!$B$28+Inputs!$B$30,MAX(0,(Inputs!$B$3-100)*3)+Inputs!$B$29+Inputs!$B$30)))</f>
        <v/>
      </c>
      <c r="E1128">
        <f>INDEX(FactorTable!$B$2:$Y$301, MATCH(ROUND(MIN(300,MAX(1,D1128)),0), FactorTable!$A$2:$A$301,0), Skills!L21+1)</f>
        <v/>
      </c>
      <c r="F1128">
        <f>IF(Skills!M21=TRUE,(Skills!K21/10)*(E1128/1000),Skills!K21/10)+Skills!N21</f>
        <v/>
      </c>
      <c r="G1128">
        <f>Calc!G21</f>
        <v/>
      </c>
      <c r="H1128">
        <f>Calc!H21</f>
        <v/>
      </c>
      <c r="I1128">
        <f>IF(Skills!T21&lt;&gt;"",1+(Skills!T21/10)*($Z$3/1000)/100,1)</f>
        <v/>
      </c>
      <c r="J1128" t="inlineStr"/>
      <c r="K1128" t="inlineStr"/>
      <c r="L1128" t="inlineStr"/>
      <c r="M1128" t="inlineStr"/>
      <c r="N1128" t="inlineStr"/>
      <c r="O1128">
        <f>(1-Summary!$B$11)*S1128+Summary!$B$11*U1128</f>
        <v/>
      </c>
      <c r="P1128">
        <f>IF(B1150=0,0,O1128/B1150)</f>
        <v/>
      </c>
      <c r="Q1128">
        <f>IFERROR(1/(IF(Inputs!$B$39="pvp",15,MAX(0.1,Skills!D21-IF(Skills!E21=TRUE,Inputs!$B$33,0)))*(1-IF(AND(ArtifactsInput!$M$27,Inputs!$B$4="Chapter Hunt"),CHOOSE(ArtifactsInput!$N$27+1,20,24,28,32,36,40),0)/100)),0)</f>
        <v/>
      </c>
      <c r="R1128" t="n">
        <v>0</v>
      </c>
      <c r="S1128" t="n">
        <v>0</v>
      </c>
      <c r="U1128" t="n">
        <v>0</v>
      </c>
    </row>
    <row r="1129">
      <c r="A1129">
        <f>Skills!A22</f>
        <v/>
      </c>
      <c r="B1129">
        <f>Skills!B22</f>
        <v/>
      </c>
      <c r="C1129">
        <f>Inputs!$B$3&gt;=43</f>
        <v/>
      </c>
      <c r="D1129">
        <f>IF(Skills!C22=1,60+Inputs!$B$26+Inputs!$B$30,IF(Skills!C22=2,90+Inputs!$B$27+Inputs!$B$30,IF(Skills!C22=3,120+Inputs!$B$28+Inputs!$B$30,MAX(0,(Inputs!$B$3-100)*3)+Inputs!$B$29+Inputs!$B$30)))</f>
        <v/>
      </c>
      <c r="E1129">
        <f>INDEX(FactorTable!$B$2:$Y$301, MATCH(ROUND(MIN(300,MAX(1,D1129)),0), FactorTable!$A$2:$A$301,0), Skills!L22+1)</f>
        <v/>
      </c>
      <c r="F1129">
        <f>IF(Skills!M22=TRUE,(Skills!K22/10)*(E1129/1000),Skills!K22/10)+Skills!N22</f>
        <v/>
      </c>
      <c r="G1129">
        <f>Calc!G22</f>
        <v/>
      </c>
      <c r="H1129">
        <f>Calc!H22</f>
        <v/>
      </c>
      <c r="I1129">
        <f>IF(Skills!T22&lt;&gt;"",1+(Skills!T22/10)*($Z$3/1000)/100,1)</f>
        <v/>
      </c>
      <c r="J1129" t="inlineStr"/>
      <c r="K1129" t="inlineStr"/>
      <c r="L1129" t="inlineStr"/>
      <c r="M1129" t="inlineStr"/>
      <c r="N1129" t="inlineStr"/>
      <c r="O1129">
        <f>(1-Summary!$B$11)*S1129+Summary!$B$11*U1129</f>
        <v/>
      </c>
      <c r="P1129">
        <f>IF(B1150=0,0,O1129/B1150)</f>
        <v/>
      </c>
      <c r="Q1129">
        <f>IFERROR(1/(IF(Inputs!$B$39="pvp",15,MAX(0.1,Skills!D22-IF(Skills!E22=TRUE,Inputs!$B$33,0)))*(1-IF(AND(ArtifactsInput!$M$27,Inputs!$B$4="Chapter Hunt"),CHOOSE(ArtifactsInput!$N$27+1,20,24,28,32,36,40),0)/100)),0)</f>
        <v/>
      </c>
      <c r="R1129" t="n">
        <v>0</v>
      </c>
      <c r="S1129" t="n">
        <v>0</v>
      </c>
      <c r="U1129" t="n">
        <v>0</v>
      </c>
    </row>
    <row r="1130">
      <c r="A1130">
        <f>Skills!A23</f>
        <v/>
      </c>
      <c r="B1130">
        <f>Skills!B23</f>
        <v/>
      </c>
      <c r="C1130">
        <f>Inputs!$B$3&gt;=50</f>
        <v/>
      </c>
      <c r="D1130">
        <f>IF(Skills!C23=1,60+Inputs!$B$26+Inputs!$B$30,IF(Skills!C23=2,90+Inputs!$B$27+Inputs!$B$30,IF(Skills!C23=3,120+Inputs!$B$28+Inputs!$B$30,MAX(0,(Inputs!$B$3-100)*3)+Inputs!$B$29+Inputs!$B$30)))</f>
        <v/>
      </c>
      <c r="E1130">
        <f>INDEX(FactorTable!$B$2:$Y$301, MATCH(ROUND(MIN(300,MAX(1,D1130)),0), FactorTable!$A$2:$A$301,0), Skills!L23+1)</f>
        <v/>
      </c>
      <c r="F1130">
        <f>IF(Skills!M23=TRUE,(Skills!K23/10)*(E1130/1000),Skills!K23/10)+Skills!N23</f>
        <v/>
      </c>
      <c r="G1130">
        <f>Calc!G23</f>
        <v/>
      </c>
      <c r="H1130">
        <f>Calc!H23</f>
        <v/>
      </c>
      <c r="I1130">
        <f>IF(Skills!T23&lt;&gt;"",1+(Skills!T23/10)*($Z$3/1000)/100,1)</f>
        <v/>
      </c>
      <c r="J1130" t="inlineStr"/>
      <c r="K1130" t="inlineStr"/>
      <c r="L1130" t="inlineStr"/>
      <c r="M1130" t="inlineStr"/>
      <c r="N1130" t="inlineStr"/>
      <c r="O1130">
        <f>(1-Summary!$B$11)*S1130+Summary!$B$11*U1130</f>
        <v/>
      </c>
      <c r="P1130">
        <f>IF(B1150=0,0,O1130/B1150)</f>
        <v/>
      </c>
      <c r="Q1130">
        <f>IFERROR(1/(IF(Inputs!$B$39="pvp",15,MAX(0.1,Skills!D23-IF(Skills!E23=TRUE,Inputs!$B$33,0)))*(1-IF(AND(ArtifactsInput!$M$27,Inputs!$B$4="Chapter Hunt"),CHOOSE(ArtifactsInput!$N$27+1,20,24,28,32,36,40),0)/100)),0)</f>
        <v/>
      </c>
      <c r="R1130" t="n">
        <v>0</v>
      </c>
      <c r="S1130" t="n">
        <v>0</v>
      </c>
      <c r="U1130" t="n">
        <v>0</v>
      </c>
    </row>
    <row r="1131">
      <c r="A1131">
        <f>Skills!A24</f>
        <v/>
      </c>
      <c r="B1131">
        <f>Skills!B24</f>
        <v/>
      </c>
      <c r="C1131">
        <f>Inputs!$B$3&gt;=74</f>
        <v/>
      </c>
      <c r="D1131">
        <f>IF(Skills!C24=1,60+Inputs!$B$26+Inputs!$B$30,IF(Skills!C24=2,90+Inputs!$B$27+Inputs!$B$30,IF(Skills!C24=3,120+Inputs!$B$28+Inputs!$B$30,MAX(0,(Inputs!$B$3-100)*3)+Inputs!$B$29+Inputs!$B$30)))</f>
        <v/>
      </c>
      <c r="E1131">
        <f>INDEX(FactorTable!$B$2:$Y$301, MATCH(ROUND(MIN(300,MAX(1,D1131)),0), FactorTable!$A$2:$A$301,0), Skills!L24+1)</f>
        <v/>
      </c>
      <c r="F1131">
        <f>IF(Skills!M24=TRUE,(Skills!K24/10)*(E1131/1000),Skills!K24/10)+Skills!N24</f>
        <v/>
      </c>
      <c r="G1131">
        <f>Calc!G24</f>
        <v/>
      </c>
      <c r="H1131">
        <f>Calc!H24</f>
        <v/>
      </c>
      <c r="I1131">
        <f>IF(Skills!T24&lt;&gt;"",1+(Skills!T24/10)*($Z$3/1000)/100,1)</f>
        <v/>
      </c>
      <c r="J1131" t="inlineStr"/>
      <c r="K1131" t="inlineStr"/>
      <c r="L1131" t="inlineStr"/>
      <c r="M1131" t="inlineStr"/>
      <c r="N1131" t="inlineStr"/>
      <c r="O1131">
        <f>(1-Summary!$B$11)*S1131+Summary!$B$11*U1131</f>
        <v/>
      </c>
      <c r="P1131">
        <f>IF(B1150=0,0,O1131/B1150)</f>
        <v/>
      </c>
      <c r="Q1131">
        <f>IFERROR(1/(IF(Inputs!$B$39="pvp",15,MAX(0.1,Skills!D24-IF(Skills!E24=TRUE,Inputs!$B$33,0)))*(1-IF(AND(ArtifactsInput!$M$27,Inputs!$B$4="Chapter Hunt"),CHOOSE(ArtifactsInput!$N$27+1,20,24,28,32,36,40),0)/100)),0)</f>
        <v/>
      </c>
      <c r="R1131" t="n">
        <v>0</v>
      </c>
      <c r="S1131" t="n">
        <v>0</v>
      </c>
      <c r="U1131" t="n">
        <v>0</v>
      </c>
    </row>
    <row r="1132">
      <c r="A1132">
        <f>Skills!A25</f>
        <v/>
      </c>
      <c r="B1132">
        <f>Skills!B25</f>
        <v/>
      </c>
      <c r="C1132">
        <f>Inputs!$B$3&gt;=74</f>
        <v/>
      </c>
      <c r="D1132">
        <f>IF(Skills!C25=1,60+Inputs!$B$26+Inputs!$B$30,IF(Skills!C25=2,90+Inputs!$B$27+Inputs!$B$30,IF(Skills!C25=3,120+Inputs!$B$28+Inputs!$B$30,MAX(0,(Inputs!$B$3-100)*3)+Inputs!$B$29+Inputs!$B$30)))</f>
        <v/>
      </c>
      <c r="E1132">
        <f>INDEX(FactorTable!$B$2:$Y$301, MATCH(ROUND(MIN(300,MAX(1,D1132)),0), FactorTable!$A$2:$A$301,0), Skills!L25+1)</f>
        <v/>
      </c>
      <c r="F1132">
        <f>IF(Skills!M25=TRUE,(Skills!K25/10)*(E1132/1000),Skills!K25/10)+Skills!N25</f>
        <v/>
      </c>
      <c r="G1132">
        <f>Calc!G25</f>
        <v/>
      </c>
      <c r="H1132">
        <f>Calc!H25</f>
        <v/>
      </c>
      <c r="I1132">
        <f>IF(Skills!T25&lt;&gt;"",1+(Skills!T25/10)*($Z$3/1000)/100,1)</f>
        <v/>
      </c>
      <c r="J1132" t="inlineStr"/>
      <c r="K1132" t="inlineStr"/>
      <c r="L1132" t="inlineStr"/>
      <c r="M1132" t="inlineStr"/>
      <c r="N1132" t="inlineStr"/>
      <c r="O1132">
        <f>(1-Summary!$B$11)*S1132+Summary!$B$11*U1132</f>
        <v/>
      </c>
      <c r="P1132">
        <f>IF(B1150=0,0,O1132/B1150)</f>
        <v/>
      </c>
      <c r="Q1132">
        <f>IFERROR(1/(IF(Inputs!$B$39="pvp",15,MAX(0.1,Skills!D25-IF(Skills!E25=TRUE,Inputs!$B$33,0)))*(1-IF(AND(ArtifactsInput!$M$27,Inputs!$B$4="Chapter Hunt"),CHOOSE(ArtifactsInput!$N$27+1,20,24,28,32,36,40),0)/100)),0)</f>
        <v/>
      </c>
      <c r="R1132" t="n">
        <v>0</v>
      </c>
      <c r="S1132" t="n">
        <v>0</v>
      </c>
      <c r="U1132" t="n">
        <v>0</v>
      </c>
    </row>
    <row r="1133">
      <c r="A1133">
        <f>Skills!A26</f>
        <v/>
      </c>
      <c r="B1133">
        <f>Skills!B26</f>
        <v/>
      </c>
      <c r="C1133">
        <f>Inputs!$B$3&gt;=117</f>
        <v/>
      </c>
      <c r="D1133">
        <f>IF(Skills!C26=1,60+Inputs!$B$26+Inputs!$B$30,IF(Skills!C26=2,90+Inputs!$B$27+Inputs!$B$30,IF(Skills!C26=3,120+Inputs!$B$28+Inputs!$B$30,MAX(0,(Inputs!$B$3-100)*3)+Inputs!$B$29+Inputs!$B$30)))</f>
        <v/>
      </c>
      <c r="E1133">
        <f>INDEX(FactorTable!$B$2:$Y$301, MATCH(ROUND(MIN(300,MAX(1,D1133)),0), FactorTable!$A$2:$A$301,0), Skills!L26+1)</f>
        <v/>
      </c>
      <c r="F1133">
        <f>IF(Skills!M26=TRUE,(Skills!K26/10)*(E1133/1000),Skills!K26/10)+Skills!N26</f>
        <v/>
      </c>
      <c r="G1133">
        <f>Calc!G26</f>
        <v/>
      </c>
      <c r="H1133">
        <f>Calc!H26</f>
        <v/>
      </c>
      <c r="I1133">
        <f>IF(Skills!T26&lt;&gt;"",1+(Skills!T26/10)*($Z$3/1000)/100,1)</f>
        <v/>
      </c>
      <c r="J1133" t="inlineStr"/>
      <c r="K1133" t="inlineStr"/>
      <c r="L1133" t="inlineStr"/>
      <c r="M1133" t="inlineStr"/>
      <c r="N1133" t="inlineStr"/>
      <c r="O1133">
        <f>(1-Summary!$B$11)*S1133+Summary!$B$11*U1133</f>
        <v/>
      </c>
      <c r="P1133">
        <f>IF(B1150=0,0,O1133/B1150)</f>
        <v/>
      </c>
      <c r="Q1133">
        <f>IFERROR(1/(IF(Inputs!$B$39="pvp",15,MAX(0.1,Skills!D26-IF(Skills!E26=TRUE,Inputs!$B$33,0)))*(1-IF(AND(ArtifactsInput!$M$27,Inputs!$B$4="Chapter Hunt"),CHOOSE(ArtifactsInput!$N$27+1,20,24,28,32,36,40),0)/100)),0)</f>
        <v/>
      </c>
      <c r="R1133" t="n">
        <v>0</v>
      </c>
      <c r="S1133" t="n">
        <v>0</v>
      </c>
      <c r="U1133" t="n">
        <v>0</v>
      </c>
    </row>
    <row r="1134">
      <c r="A1134">
        <f>Skills!A27</f>
        <v/>
      </c>
      <c r="B1134">
        <f>Skills!B27</f>
        <v/>
      </c>
      <c r="C1134">
        <f>Inputs!$B$3&gt;=120</f>
        <v/>
      </c>
      <c r="D1134">
        <f>IF(Skills!C27=1,60+Inputs!$B$26+Inputs!$B$30,IF(Skills!C27=2,90+Inputs!$B$27+Inputs!$B$30,IF(Skills!C27=3,120+Inputs!$B$28+Inputs!$B$30,MAX(0,(Inputs!$B$3-100)*3)+Inputs!$B$29+Inputs!$B$30)))</f>
        <v/>
      </c>
      <c r="E1134">
        <f>INDEX(FactorTable!$B$2:$Y$301, MATCH(ROUND(MIN(300,MAX(1,D1134)),0), FactorTable!$A$2:$A$301,0), Skills!L27+1)</f>
        <v/>
      </c>
      <c r="F1134">
        <f>IF(Skills!M27=TRUE,(Skills!K27/10)*(E1134/1000),Skills!K27/10)+Skills!N27</f>
        <v/>
      </c>
      <c r="G1134">
        <f>Calc!G27</f>
        <v/>
      </c>
      <c r="H1134">
        <f>Calc!H27</f>
        <v/>
      </c>
      <c r="I1134">
        <f>IF(Skills!T27&lt;&gt;"",1+(Skills!T27/10)*($Z$3/1000)/100,1)</f>
        <v/>
      </c>
      <c r="J1134" t="inlineStr"/>
      <c r="K1134" t="inlineStr"/>
      <c r="L1134" t="inlineStr"/>
      <c r="M1134" t="inlineStr"/>
      <c r="N1134" t="inlineStr"/>
      <c r="O1134">
        <f>(1-Summary!$B$11)*S1134+Summary!$B$11*U1134</f>
        <v/>
      </c>
      <c r="P1134">
        <f>IF(B1150=0,0,O1134/B1150)</f>
        <v/>
      </c>
      <c r="Q1134">
        <f>IFERROR(1/(IF(Inputs!$B$39="pvp",15,MAX(0.1,Skills!D27-IF(Skills!E27=TRUE,Inputs!$B$33,0)))*(1-IF(AND(ArtifactsInput!$M$27,Inputs!$B$4="Chapter Hunt"),CHOOSE(ArtifactsInput!$N$27+1,20,24,28,32,36,40),0)/100)),0)</f>
        <v/>
      </c>
      <c r="R1134" t="n">
        <v>0</v>
      </c>
      <c r="S1134" t="n">
        <v>0</v>
      </c>
      <c r="U1134" t="n">
        <v>0</v>
      </c>
    </row>
    <row r="1135">
      <c r="A1135">
        <f>Skills!A28</f>
        <v/>
      </c>
      <c r="B1135">
        <f>Skills!B28</f>
        <v/>
      </c>
      <c r="C1135">
        <f>TRUE</f>
        <v/>
      </c>
      <c r="D1135">
        <f>IF(Skills!C28=1,60+Inputs!$B$26+Inputs!$B$30,IF(Skills!C28=2,90+Inputs!$B$27+Inputs!$B$30,IF(Skills!C28=3,120+Inputs!$B$28+Inputs!$B$30,MAX(0,(Inputs!$B$3-100)*3)+Inputs!$B$29+Inputs!$B$30)))</f>
        <v/>
      </c>
      <c r="E1135">
        <f>INDEX(FactorTable!$B$2:$Y$301, MATCH(ROUND(MIN(300,MAX(1,D1135)),0), FactorTable!$A$2:$A$301,0), Skills!L28+1)</f>
        <v/>
      </c>
      <c r="F1135">
        <f>IF(Skills!M28=TRUE,(Skills!K28/10)*(E1135/1000),Skills!K28/10)+Skills!N28</f>
        <v/>
      </c>
      <c r="G1135">
        <f>Calc!G28</f>
        <v/>
      </c>
      <c r="H1135">
        <f>Calc!H28</f>
        <v/>
      </c>
      <c r="I1135">
        <f>IF(Skills!T28&lt;&gt;"",1+(Skills!T28/10)*($Z$3/1000)/100,1)</f>
        <v/>
      </c>
      <c r="J1135" t="inlineStr"/>
      <c r="K1135" t="inlineStr"/>
      <c r="L1135" t="inlineStr"/>
      <c r="M1135" t="inlineStr"/>
      <c r="N1135" t="inlineStr"/>
      <c r="O1135">
        <f>(1-Summary!$B$11)*S1135+Summary!$B$11*U1135</f>
        <v/>
      </c>
      <c r="P1135">
        <f>IF(B1150=0,0,O1135/B1150)</f>
        <v/>
      </c>
      <c r="Q1135">
        <f>IFERROR(1/(IF(Inputs!$B$39="pvp",15,MAX(0.1,Skills!D28-IF(Skills!E28=TRUE,Inputs!$B$33,0)))*(1-IF(AND(ArtifactsInput!$M$27,Inputs!$B$4="Chapter Hunt"),CHOOSE(ArtifactsInput!$N$27+1,20,24,28,32,36,40),0)/100)),0)</f>
        <v/>
      </c>
      <c r="R1135">
        <f>IF(AND(Inputs!$B$39&lt;&gt;"pvp",Inputs!$B$44&gt;0),IF(Inputs!$B$44&lt;=0,0,(INT(Inputs!$B$44/(IF(Inputs!$B$39="pvp",15,MAX(0.1,Skills!D28-IF(Skills!E28=TRUE,Inputs!$B$33,0)))*(1-IF(AND(ArtifactsInput!$M$27,Inputs!$B$4="Chapter Hunt"),CHOOSE(ArtifactsInput!$N$27+1,20,24,28,32,36,40),0)/100)))+1)),0)</f>
        <v/>
      </c>
      <c r="S1135" t="n">
        <v>0</v>
      </c>
      <c r="U1135" t="n">
        <v>0</v>
      </c>
    </row>
    <row r="1137">
      <c r="A1137" t="inlineStr">
        <is>
          <t>Average Buff Multiplier</t>
        </is>
      </c>
      <c r="B1137">
        <f>(1+(IF(C1110=TRUE,F1110*IF(AND(Inputs!$B$39&lt;&gt;"pvp",Inputs!$B$44&gt;0),(((R1110-1)*(Skills!S3*(1+((Inputs!$B$35+(ArtifactsInput!$M$7-ArtifactsInput!$M$7)*CHOOSE(ArtifactsInput!$N$7+1,6,7.2,8.4,9.6,10.8,12))+IF(Inputs!$B$3&gt;=117,F1133,0))/100))+MIN((Skills!S3*(1+((Inputs!$B$35+(ArtifactsInput!$M$7-ArtifactsInput!$M$7)*CHOOSE(ArtifactsInput!$N$7+1,6,7.2,8.4,9.6,10.8,12))+IF(Inputs!$B$3&gt;=117,F1133,0))/100)),MAX(0,Inputs!$B$44-((R1110-1)*Skills!D3))))/Inputs!$B$44),IF(Inputs!$B$39="pvp",MIN((Skills!S3*(1+((Inputs!$B$35+(ArtifactsInput!$M$7-ArtifactsInput!$M$7)*CHOOSE(ArtifactsInput!$N$7+1,6,7.2,8.4,9.6,10.8,12))+IF(Inputs!$B$3&gt;=117,F1133,0))/100)),15)/15,(Skills!S3*(1+((Inputs!$B$35+(ArtifactsInput!$M$7-ArtifactsInput!$M$7)*CHOOSE(ArtifactsInput!$N$7+1,6,7.2,8.4,9.6,10.8,12))+IF(Inputs!$B$3&gt;=117,F1133,0))/100))/Skills!D3)),0)+IF(C1111=TRUE,F1111*IF(AND(Inputs!$B$39&lt;&gt;"pvp",Inputs!$B$44&gt;0),(((R1111-1)*(Skills!S4*(1+((Inputs!$B$35+(ArtifactsInput!$M$7-ArtifactsInput!$M$7)*CHOOSE(ArtifactsInput!$N$7+1,6,7.2,8.4,9.6,10.8,12))+IF(Inputs!$B$3&gt;=117,F1133,0))/100))+MIN((Skills!S4*(1+((Inputs!$B$35+(ArtifactsInput!$M$7-ArtifactsInput!$M$7)*CHOOSE(ArtifactsInput!$N$7+1,6,7.2,8.4,9.6,10.8,12))+IF(Inputs!$B$3&gt;=117,F1133,0))/100)),MAX(0,Inputs!$B$44-((R1111-1)*Skills!D4))))/Inputs!$B$44),IF(Inputs!$B$39="pvp",MIN((Skills!S4*(1+((Inputs!$B$35+(ArtifactsInput!$M$7-ArtifactsInput!$M$7)*CHOOSE(ArtifactsInput!$N$7+1,6,7.2,8.4,9.6,10.8,12))+IF(Inputs!$B$3&gt;=117,F1133,0))/100)),15)/15,(Skills!S4*(1+((Inputs!$B$35+(ArtifactsInput!$M$7-ArtifactsInput!$M$7)*CHOOSE(ArtifactsInput!$N$7+1,6,7.2,8.4,9.6,10.8,12))+IF(Inputs!$B$3&gt;=117,F1133,0))/100))/Skills!D4)),0)+IF(C1112=TRUE,F1112*IF(AND(Inputs!$B$39&lt;&gt;"pvp",Inputs!$B$44&gt;0),(((R1112-1)*(Skills!S5*(1+((Inputs!$B$35+(ArtifactsInput!$M$7-ArtifactsInput!$M$7)*CHOOSE(ArtifactsInput!$N$7+1,6,7.2,8.4,9.6,10.8,12))+IF(Inputs!$B$3&gt;=117,F1133,0))/100))+MIN((Skills!S5*(1+((Inputs!$B$35+(ArtifactsInput!$M$7-ArtifactsInput!$M$7)*CHOOSE(ArtifactsInput!$N$7+1,6,7.2,8.4,9.6,10.8,12))+IF(Inputs!$B$3&gt;=117,F1133,0))/100)),MAX(0,Inputs!$B$44-((R1112-1)*Skills!D5))))/Inputs!$B$44),IF(Inputs!$B$39="pvp",MIN((Skills!S5*(1+((Inputs!$B$35+(ArtifactsInput!$M$7-ArtifactsInput!$M$7)*CHOOSE(ArtifactsInput!$N$7+1,6,7.2,8.4,9.6,10.8,12))+IF(Inputs!$B$3&gt;=117,F1133,0))/100)),15)/15,(Skills!S5*(1+((Inputs!$B$35+(ArtifactsInput!$M$7-ArtifactsInput!$M$7)*CHOOSE(ArtifactsInput!$N$7+1,6,7.2,8.4,9.6,10.8,12))+IF(Inputs!$B$3&gt;=117,F1133,0))/100))/Skills!D5)),0)+IF(C1118=TRUE,F1118*IF(AND(Inputs!$B$39&lt;&gt;"pvp",Inputs!$B$44&gt;0),(((R1118-1)*(Skills!S11*(1+((Inputs!$B$35+(ArtifactsInput!$M$7-ArtifactsInput!$M$7)*CHOOSE(ArtifactsInput!$N$7+1,6,7.2,8.4,9.6,10.8,12))+IF(Inputs!$B$3&gt;=117,F1133,0))/100))+MIN((Skills!S11*(1+((Inputs!$B$35+(ArtifactsInput!$M$7-ArtifactsInput!$M$7)*CHOOSE(ArtifactsInput!$N$7+1,6,7.2,8.4,9.6,10.8,12))+IF(Inputs!$B$3&gt;=117,F1133,0))/100)),MAX(0,Inputs!$B$44-((R1118-1)*Skills!D11))))/Inputs!$B$44),IF(Inputs!$B$39="pvp",MIN((Skills!S11*(1+((Inputs!$B$35+(ArtifactsInput!$M$7-ArtifactsInput!$M$7)*CHOOSE(ArtifactsInput!$N$7+1,6,7.2,8.4,9.6,10.8,12))+IF(Inputs!$B$3&gt;=117,F1133,0))/100)),15)/15,(Skills!S11*(1+((Inputs!$B$35+(ArtifactsInput!$M$7-ArtifactsInput!$M$7)*CHOOSE(ArtifactsInput!$N$7+1,6,7.2,8.4,9.6,10.8,12))+IF(Inputs!$B$3&gt;=117,F1133,0)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1121=TRUE,(1+F1121*IF(AND(Inputs!$B$39&lt;&gt;"pvp",Inputs!$B$44&gt;0),(((R1121-1)*(Skills!S14*(1+((Inputs!$B$35+(ArtifactsInput!$M$7-ArtifactsInput!$M$7)*CHOOSE(ArtifactsInput!$N$7+1,6,7.2,8.4,9.6,10.8,12))+IF(Inputs!$B$3&gt;=117,F1133,0))/100))+MIN((Skills!S14*(1+((Inputs!$B$35+(ArtifactsInput!$M$7-ArtifactsInput!$M$7)*CHOOSE(ArtifactsInput!$N$7+1,6,7.2,8.4,9.6,10.8,12))+IF(Inputs!$B$3&gt;=117,F1133,0))/100)),MAX(0,Inputs!$B$44-((R1121-1)*Skills!D14))))/Inputs!$B$44),IF(Inputs!$B$39="pvp",MIN((Skills!S14*(1+((Inputs!$B$35+(ArtifactsInput!$M$7-ArtifactsInput!$M$7)*CHOOSE(ArtifactsInput!$N$7+1,6,7.2,8.4,9.6,10.8,12))+IF(Inputs!$B$3&gt;=117,F1133,0))/100)),15)/15,(Skills!S14*(1+((Inputs!$B$35+(ArtifactsInput!$M$7-ArtifactsInput!$M$7)*CHOOSE(ArtifactsInput!$N$7+1,6,7.2,8.4,9.6,10.8,12))+IF(Inputs!$B$3&gt;=117,F1133,0))/100))/Skills!D14))/100),1)*IF(C1126=TRUE,(1+F1126*IF(AND(Inputs!$B$39&lt;&gt;"pvp",Inputs!$B$44&gt;0),(((R1126-1)*(Skills!S19*(1+((Inputs!$B$35+(ArtifactsInput!$M$7-ArtifactsInput!$M$7)*CHOOSE(ArtifactsInput!$N$7+1,6,7.2,8.4,9.6,10.8,12))+IF(Inputs!$B$3&gt;=117,F1133,0))/100))+MIN((Skills!S19*(1+((Inputs!$B$35+(ArtifactsInput!$M$7-ArtifactsInput!$M$7)*CHOOSE(ArtifactsInput!$N$7+1,6,7.2,8.4,9.6,10.8,12))+IF(Inputs!$B$3&gt;=117,F1133,0))/100)),MAX(0,Inputs!$B$44-((R1126-1)*Skills!D19))))/Inputs!$B$44),IF(Inputs!$B$39="pvp",MIN((Skills!S19*(1+((Inputs!$B$35+(ArtifactsInput!$M$7-ArtifactsInput!$M$7)*CHOOSE(ArtifactsInput!$N$7+1,6,7.2,8.4,9.6,10.8,12))+IF(Inputs!$B$3&gt;=117,F1133,0))/100)),15)/15,(Skills!S19*(1+((Inputs!$B$35+(ArtifactsInput!$M$7-ArtifactsInput!$M$7)*CHOOSE(ArtifactsInput!$N$7+1,6,7.2,8.4,9.6,10.8,12))+IF(Inputs!$B$3&gt;=117,F1133,0))/100))/Skills!D19))/100),1)</f>
        <v/>
      </c>
    </row>
    <row r="1138">
      <c r="A1138" t="inlineStr">
        <is>
          <t>Monster Damage Taken Bonus % (Holy Fountain)</t>
        </is>
      </c>
      <c r="B1138">
        <f>IF(Inputs!$B$3&gt;=68,20*IF(Inputs!$B$39="pvp",MIN((15*(1+((Inputs!$B$35+(ArtifactsInput!$M$7-ArtifactsInput!$M$7)*CHOOSE(ArtifactsInput!$N$7+1,6,7.2,8.4,9.6,10.8,12))+IF(Inputs!$B$3&gt;=117,F1133,0))/100)),15)/15,(15*(1+((Inputs!$B$35+(ArtifactsInput!$M$7-ArtifactsInput!$M$7)*CHOOSE(ArtifactsInput!$N$7+1,6,7.2,8.4,9.6,10.8,12))+IF(Inputs!$B$3&gt;=117,F1133,0))/100))/Skills!D10),0)</f>
        <v/>
      </c>
    </row>
    <row r="1139">
      <c r="A1139" t="inlineStr">
        <is>
          <t>Normal Monster Damage Bonus % (Holy Symbol)</t>
        </is>
      </c>
      <c r="B1139">
        <f>IF(C1119=TRUE,F1119*IF(AND(Inputs!$B$39&lt;&gt;"pvp",Inputs!$B$44&gt;0),(((R1119-1)*(Skills!S12*(1+((Inputs!$B$35+(ArtifactsInput!$M$7-ArtifactsInput!$M$7)*CHOOSE(ArtifactsInput!$N$7+1,6,7.2,8.4,9.6,10.8,12))+IF(Inputs!$B$3&gt;=117,F1133,0))/100))+MIN((Skills!S12*(1+((Inputs!$B$35+(ArtifactsInput!$M$7-ArtifactsInput!$M$7)*CHOOSE(ArtifactsInput!$N$7+1,6,7.2,8.4,9.6,10.8,12))+IF(Inputs!$B$3&gt;=117,F1133,0))/100)),MAX(0,Inputs!$B$44-((R1119-1)*Skills!D12))))/Inputs!$B$44),IF(Inputs!$B$39="pvp",MIN((Skills!S12*(1+((Inputs!$B$35+(ArtifactsInput!$M$7-ArtifactsInput!$M$7)*CHOOSE(ArtifactsInput!$N$7+1,6,7.2,8.4,9.6,10.8,12))+IF(Inputs!$B$3&gt;=117,F1133,0))/100)),15)/15,(Skills!S12*(1+((Inputs!$B$35+(ArtifactsInput!$M$7-ArtifactsInput!$M$7)*CHOOSE(ArtifactsInput!$N$7+1,6,7.2,8.4,9.6,10.8,12))+IF(Inputs!$B$3&gt;=117,F1133,0))/100))/Skills!D12)),0)</f>
        <v/>
      </c>
    </row>
    <row r="1140">
      <c r="A1140" t="inlineStr">
        <is>
          <t>Damage % Bonus (Holy Symbol - Damage Boost)</t>
        </is>
      </c>
      <c r="B1140">
        <f>Skills!O12</f>
        <v/>
      </c>
    </row>
    <row r="1141">
      <c r="A1141" t="inlineStr">
        <is>
          <t>Crit Damage % Bonus (Blood of the Divine)</t>
        </is>
      </c>
      <c r="B1141">
        <f>4*IF(C1127=TRUE,F1127,0)</f>
        <v/>
      </c>
    </row>
    <row r="1142">
      <c r="A1142" t="inlineStr">
        <is>
          <t>Attack Speed Bonus %</t>
        </is>
      </c>
      <c r="B1142">
        <f>IF(C1124=TRUE,F1124+(F1128-Calc!F21),0)+IF(Inputs!$B$3&gt;=134,15,0)+((C1135=TRUE)*F1135*IF(AND(Inputs!$B$39&lt;&gt;"pvp",Inputs!$B$44&gt;0),(((R1135-1)*(Skills!S28*(1+((Inputs!$B$35+(ArtifactsInput!$M$7-ArtifactsInput!$M$7)*CHOOSE(ArtifactsInput!$N$7+1,6,7.2,8.4,9.6,10.8,12))+IF(Inputs!$B$3&gt;=117,F1133,0))/100))+MIN((Skills!S28*(1+((Inputs!$B$35+(ArtifactsInput!$M$7-ArtifactsInput!$M$7)*CHOOSE(ArtifactsInput!$N$7+1,6,7.2,8.4,9.6,10.8,12))+IF(Inputs!$B$3&gt;=117,F1133,0))/100)),MAX(0,Inputs!$B$44-((R1135-1)*Skills!D28))))/Inputs!$B$44),IF(Inputs!$B$39="pvp",MIN((Skills!S28*(1+((Inputs!$B$35+(ArtifactsInput!$M$7-ArtifactsInput!$M$7)*CHOOSE(ArtifactsInput!$N$7+1,6,7.2,8.4,9.6,10.8,12))+IF(Inputs!$B$3&gt;=117,F1133,0))/100)),15)/15,(Skills!S28*(1+((Inputs!$B$35+(ArtifactsInput!$M$7-ArtifactsInput!$M$7)*CHOOSE(ArtifactsInput!$N$7+1,6,7.2,8.4,9.6,10.8,12))+IF(Inputs!$B$3&gt;=117,F1133,0))/100))/Skills!D28)))</f>
        <v/>
      </c>
    </row>
    <row r="1143">
      <c r="A1143" t="inlineStr">
        <is>
          <t>Actions Per Second</t>
        </is>
      </c>
      <c r="B1143">
        <f>1+MIN(150,150*(1-(1-Inputs!$B$12/150)*(1-B1142/150)))/100</f>
        <v/>
      </c>
    </row>
    <row r="1144">
      <c r="A1144" t="inlineStr">
        <is>
          <t>Skill + Buff Cast Rate</t>
        </is>
      </c>
      <c r="B1144">
        <f>IF(AND(Inputs!$B$39&lt;&gt;"pvp",Inputs!$B$44&gt;0),SUMPRODUCT((Skills!E2:E28=TRUE)*(C1109:C1135=TRUE)*R1109:R1135)/Inputs!$B$44,SUMPRODUCT((Skills!E2:E28=TRUE)*(C1109:C1135=TRUE)*Q1109:Q1135))</f>
        <v/>
      </c>
    </row>
    <row r="1145">
      <c r="A1145" t="inlineStr">
        <is>
          <t>Big Bang Casts Per Second</t>
        </is>
      </c>
      <c r="B1145">
        <f>MAX(0,B1143-B1144)</f>
        <v/>
      </c>
    </row>
    <row r="1146">
      <c r="A1146" t="inlineStr">
        <is>
          <t>Defense % Bonus (Divine Protection)</t>
        </is>
      </c>
      <c r="B1146">
        <f>IF(C1120=TRUE,F1120*IF(AND(Inputs!$B$39&lt;&gt;"pvp",Inputs!$B$44&gt;0),(((R1120-1)*(Skills!S13*(1+((Inputs!$B$35+(ArtifactsInput!$M$7-ArtifactsInput!$M$7)*CHOOSE(ArtifactsInput!$N$7+1,6,7.2,8.4,9.6,10.8,12))+IF(Inputs!$B$3&gt;=117,F1133,0))/100))+MIN((Skills!S13*(1+((Inputs!$B$35+(ArtifactsInput!$M$7-ArtifactsInput!$M$7)*CHOOSE(ArtifactsInput!$N$7+1,6,7.2,8.4,9.6,10.8,12))+IF(Inputs!$B$3&gt;=117,F1133,0))/100)),MAX(0,Inputs!$B$44-((R1120-1)*Skills!D13))))/Inputs!$B$44),IF(Inputs!$B$39="pvp",MIN((Skills!S13*(1+((Inputs!$B$35+(ArtifactsInput!$M$7-ArtifactsInput!$M$7)*CHOOSE(ArtifactsInput!$N$7+1,6,7.2,8.4,9.6,10.8,12))+IF(Inputs!$B$3&gt;=117,F1133,0))/100)),15)/15,(Skills!S13*(1+((Inputs!$B$35+(ArtifactsInput!$M$7-ArtifactsInput!$M$7)*CHOOSE(ArtifactsInput!$N$7+1,6,7.2,8.4,9.6,10.8,12))+IF(Inputs!$B$3&gt;=117,F1133,0))/100))/Skills!D13)),0)</f>
        <v/>
      </c>
    </row>
    <row r="1147">
      <c r="A1147" t="inlineStr">
        <is>
          <t>Buff-Casting Startup Delay (s, fixed-duration only)</t>
        </is>
      </c>
      <c r="B1147">
        <f>IF(AND(Inputs!$B$39&lt;&gt;"pvp",Inputs!$B$44&gt;0),SUMPRODUCT((Skills!S2:S28&gt;0)*(Skills!E2:E28=TRUE)*(C1109:C1135=TRUE))/B1143,0)</f>
        <v/>
      </c>
    </row>
    <row r="1148">
      <c r="A1148" t="inlineStr">
        <is>
          <t>Boss-Only Total DPS (this block's swept value)</t>
        </is>
      </c>
      <c r="B1148">
        <f>SUM(S1109:S1135)</f>
        <v/>
      </c>
    </row>
    <row r="1149">
      <c r="A1149" t="inlineStr">
        <is>
          <t>Normal-Only Total DPS (this block's swept value)</t>
        </is>
      </c>
      <c r="B1149">
        <f>SUM(U1109:U1135)</f>
        <v/>
      </c>
    </row>
    <row r="1150">
      <c r="A1150" s="6" t="inlineStr">
        <is>
          <t>TOTAL DPS</t>
        </is>
      </c>
      <c r="B1150" s="6">
        <f>SUM(O1109:O1135)</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R1153" t="inlineStr">
        <is>
          <t>helpers</t>
        </is>
      </c>
    </row>
    <row r="1154">
      <c r="A1154">
        <f>Skills!A2</f>
        <v/>
      </c>
      <c r="B1154">
        <f>Skills!B2</f>
        <v/>
      </c>
      <c r="C1154">
        <f>Inputs!$B$3&gt;=100</f>
        <v/>
      </c>
      <c r="D1154" t="inlineStr"/>
      <c r="E1154" t="inlineStr"/>
      <c r="F1154">
        <f>T1156+Skills!N2</f>
        <v/>
      </c>
      <c r="G1154">
        <f>Calc!G2</f>
        <v/>
      </c>
      <c r="H1154">
        <f>Calc!H2</f>
        <v/>
      </c>
      <c r="I1154">
        <f>IF(Skills!T2&lt;&gt;"",1+(Skills!T2/10)*($Z$3/1000)/100,1)</f>
        <v/>
      </c>
      <c r="J1154">
        <f>((Inputs!$B$6*(1+Inputs!$B$7/100))+(((Inputs!$B$13*(1+Inputs!$B$14/100))-(Inputs!$B$13*(1+Inputs!$B$14/100)))+0.25*(Inputs!$B$15-Inputs!$B$15))*(1+Inputs!$B$7/100))*(F1154/100)</f>
        <v/>
      </c>
      <c r="K1154">
        <f>J1154*(1+(((Inputs!$B$13+IF(Inputs!$B$3&gt;=35,(10*INDEX(FactorTable!$B$2:$Y$301,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2="TRIUMPH_FEATHER",IF(C1168=TRUE,F1168,0),0)/100)*(1+IF(C1179=TRUE,F1179,0)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1154)</f>
        <v/>
      </c>
      <c r="L1154">
        <f>K1154*(MIN(Inputs!$B$23+(F1174-Calc!F22),(Inputs!$B$24+IF(ArtifactsInput!$M$15,CHOOSE(ArtifactsInput!$N$15+1,25,30,35,40,45,50)/100*(Inputs!$B$12-Inputs!$B$12),0)))/100+(Inputs!$B$24+IF(ArtifactsInput!$M$15,CHOOSE(ArtifactsInput!$N$15+1,25,30,35,40,45,50)/100*(Inputs!$B$12-Inputs!$B$12),0))/100)/2</f>
        <v/>
      </c>
      <c r="M1154">
        <f>L1154*(1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4">
        <f>L1154*(1-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(1-Summary!$B$11)*S1154+Summary!$B$11*U1154</f>
        <v/>
      </c>
      <c r="P1154">
        <f>IF(B1195=0,0,O1154/B1195)</f>
        <v/>
      </c>
      <c r="Q1154">
        <f>IFERROR(1/(IF(Inputs!$B$39="pvp",15,MAX(0.1,Skills!D2-IF(Skills!E2=TRUE,(Inputs!$B$33+1),0)))*(1-IF(AND(ArtifactsInput!$M$27,Inputs!$B$4="Chapter Hunt"),CHOOSE(ArtifactsInput!$N$27+1,20,24,28,32,36,40),0)/100)),0)</f>
        <v/>
      </c>
      <c r="R1154" t="n">
        <v>0</v>
      </c>
      <c r="S1154">
        <f>IF(C1154,(Skills!F2*N1154*B1190)*IF(Inputs!$B$39="pvp",1,1+(Inputs!$B$21+Skills!O2+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1154*(1-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54">
        <f>MAX(0,(Inputs!$B$3-100)*3)+Inputs!$B$29+Inputs!$B$30</f>
        <v/>
      </c>
      <c r="U1154">
        <f>IF(C1154,(Skills!F2*N1154*B1190)*IF(Inputs!$B$39="pvp",1,(1+(Inputs!$B$22+Skills!P2+B1184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Skills!A3</f>
        <v/>
      </c>
      <c r="B1155">
        <f>Skills!B3</f>
        <v/>
      </c>
      <c r="C1155">
        <f>Inputs!$B$3&gt;=15</f>
        <v/>
      </c>
      <c r="D1155">
        <f>IF(Skills!C3=1,60+Inputs!$B$26+Inputs!$B$30,IF(Skills!C3=2,90+Inputs!$B$27+Inputs!$B$30,IF(Skills!C3=3,120+Inputs!$B$28+Inputs!$B$30,MAX(0,(Inputs!$B$3-100)*3)+Inputs!$B$29+Inputs!$B$30)))</f>
        <v/>
      </c>
      <c r="E1155">
        <f>INDEX(FactorTable!$B$2:$Y$301, MATCH(ROUND(MIN(300,MAX(1,D1155)),0), FactorTable!$A$2:$A$301,0), Skills!L3+1)</f>
        <v/>
      </c>
      <c r="F1155">
        <f>IF(Skills!M3=TRUE,(Skills!K3/10)*(E1155/1000),Skills!K3/10)+Skills!N3</f>
        <v/>
      </c>
      <c r="G1155">
        <f>Calc!G3</f>
        <v/>
      </c>
      <c r="H1155">
        <f>Calc!H3</f>
        <v/>
      </c>
      <c r="I1155">
        <f>IF(Skills!T3&lt;&gt;"",1+(Skills!T3/10)*($Z$3/1000)/100,1)</f>
        <v/>
      </c>
      <c r="J1155" t="inlineStr"/>
      <c r="K1155" t="inlineStr"/>
      <c r="L1155" t="inlineStr"/>
      <c r="M1155" t="inlineStr"/>
      <c r="N1155" t="inlineStr"/>
      <c r="O1155">
        <f>(1-Summary!$B$11)*S1155+Summary!$B$11*U1155</f>
        <v/>
      </c>
      <c r="P1155">
        <f>IF(B1195=0,0,O1155/B1195)</f>
        <v/>
      </c>
      <c r="Q1155">
        <f>IFERROR(1/(IF(Inputs!$B$39="pvp",15,MAX(0.1,Skills!D3-IF(Skills!E3=TRUE,(Inputs!$B$33+1),0)))*(1-IF(AND(ArtifactsInput!$M$27,Inputs!$B$4="Chapter Hunt"),CHOOSE(ArtifactsInput!$N$27+1,20,24,28,32,36,40),0)/100)),0)</f>
        <v/>
      </c>
      <c r="R1155">
        <f>IF(AND(Inputs!$B$39&lt;&gt;"pvp",Inputs!$B$44&gt;0),IF(Inputs!$B$44&lt;=0,0,(INT(Inputs!$B$44/(IF(Inputs!$B$39="pvp",15,MAX(0.1,Skills!D3-IF(Skills!E3=TRUE,(Inputs!$B$33+1),0)))*(1-IF(AND(ArtifactsInput!$M$27,Inputs!$B$4="Chapter Hunt"),CHOOSE(ArtifactsInput!$N$27+1,20,24,28,32,36,40),0)/100)))+1)),0)</f>
        <v/>
      </c>
      <c r="S1155" t="n">
        <v>0</v>
      </c>
      <c r="T1155">
        <f>INDEX(FactorTable!$B$2:$Y$301, MATCH(ROUND(MIN(300,MAX(1,T1154)),0), FactorTable!$A$2:$A$301,0), 22)</f>
        <v/>
      </c>
      <c r="U1155" t="n">
        <v>0</v>
      </c>
    </row>
    <row r="1156">
      <c r="A1156">
        <f>Skills!A4</f>
        <v/>
      </c>
      <c r="B1156">
        <f>Skills!B4</f>
        <v/>
      </c>
      <c r="C1156">
        <f>Inputs!$B$3&gt;=38</f>
        <v/>
      </c>
      <c r="D1156">
        <f>IF(Skills!C4=1,60+Inputs!$B$26+Inputs!$B$30,IF(Skills!C4=2,90+Inputs!$B$27+Inputs!$B$30,IF(Skills!C4=3,120+Inputs!$B$28+Inputs!$B$30,MAX(0,(Inputs!$B$3-100)*3)+Inputs!$B$29+Inputs!$B$30)))</f>
        <v/>
      </c>
      <c r="E1156">
        <f>INDEX(FactorTable!$B$2:$Y$301, MATCH(ROUND(MIN(300,MAX(1,D1156)),0), FactorTable!$A$2:$A$301,0), Skills!L4+1)</f>
        <v/>
      </c>
      <c r="F1156">
        <f>IF(Skills!M4=TRUE,(Skills!K4/10)*(E1156/1000),Skills!K4/10)+Skills!N4</f>
        <v/>
      </c>
      <c r="G1156">
        <f>Calc!G4</f>
        <v/>
      </c>
      <c r="H1156">
        <f>Calc!H4</f>
        <v/>
      </c>
      <c r="I1156">
        <f>IF(Skills!T4&lt;&gt;"",1+(Skills!T4/10)*($Z$3/1000)/100,1)</f>
        <v/>
      </c>
      <c r="J1156" t="inlineStr"/>
      <c r="K1156" t="inlineStr"/>
      <c r="L1156" t="inlineStr"/>
      <c r="M1156" t="inlineStr"/>
      <c r="N1156" t="inlineStr"/>
      <c r="O1156">
        <f>(1-Summary!$B$11)*S1156+Summary!$B$11*U1156</f>
        <v/>
      </c>
      <c r="P1156">
        <f>IF(B1195=0,0,O1156/B1195)</f>
        <v/>
      </c>
      <c r="Q1156">
        <f>IFERROR(1/(IF(Inputs!$B$39="pvp",15,MAX(0.1,Skills!D4-IF(Skills!E4=TRUE,(Inputs!$B$33+1),0)))*(1-IF(AND(ArtifactsInput!$M$27,Inputs!$B$4="Chapter Hunt"),CHOOSE(ArtifactsInput!$N$27+1,20,24,28,32,36,40),0)/100)),0)</f>
        <v/>
      </c>
      <c r="R1156">
        <f>IF(AND(Inputs!$B$39&lt;&gt;"pvp",Inputs!$B$44&gt;0),IF(Inputs!$B$44&lt;=0,0,(INT(Inputs!$B$44/(IF(Inputs!$B$39="pvp",15,MAX(0.1,Skills!D4-IF(Skills!E4=TRUE,(Inputs!$B$33+1),0)))*(1-IF(AND(ArtifactsInput!$M$27,Inputs!$B$4="Chapter Hunt"),CHOOSE(ArtifactsInput!$N$27+1,20,24,28,32,36,40),0)/100)))+1)),0)</f>
        <v/>
      </c>
      <c r="S1156" t="n">
        <v>0</v>
      </c>
      <c r="T1156">
        <f>290*T1155/1000</f>
        <v/>
      </c>
      <c r="U1156" t="n">
        <v>0</v>
      </c>
    </row>
    <row r="1157">
      <c r="A1157">
        <f>Skills!A5</f>
        <v/>
      </c>
      <c r="B1157">
        <f>Skills!B5</f>
        <v/>
      </c>
      <c r="C1157">
        <f>Inputs!$B$3&gt;=40</f>
        <v/>
      </c>
      <c r="D1157">
        <f>IF(Skills!C5=1,60+Inputs!$B$26+Inputs!$B$30,IF(Skills!C5=2,90+Inputs!$B$27+Inputs!$B$30,IF(Skills!C5=3,120+Inputs!$B$28+Inputs!$B$30,MAX(0,(Inputs!$B$3-100)*3)+Inputs!$B$29+Inputs!$B$30)))</f>
        <v/>
      </c>
      <c r="E1157">
        <f>INDEX(FactorTable!$B$2:$Y$301, MATCH(ROUND(MIN(300,MAX(1,D1157)),0), FactorTable!$A$2:$A$301,0), Skills!L5+1)</f>
        <v/>
      </c>
      <c r="F1157">
        <f>IF(Skills!M5=TRUE,(Skills!K5/10)*(E1157/1000),Skills!K5/10)+Skills!N5</f>
        <v/>
      </c>
      <c r="G1157">
        <f>Calc!G5</f>
        <v/>
      </c>
      <c r="H1157">
        <f>Calc!H5</f>
        <v/>
      </c>
      <c r="I1157">
        <f>IF(Skills!T5&lt;&gt;"",1+(Skills!T5/10)*($Z$3/1000)/100,1)</f>
        <v/>
      </c>
      <c r="J1157" t="inlineStr"/>
      <c r="K1157" t="inlineStr"/>
      <c r="L1157" t="inlineStr"/>
      <c r="M1157" t="inlineStr"/>
      <c r="N1157" t="inlineStr"/>
      <c r="O1157">
        <f>(1-Summary!$B$11)*S1157+Summary!$B$11*U1157</f>
        <v/>
      </c>
      <c r="P1157">
        <f>IF(B1195=0,0,O1157/B1195)</f>
        <v/>
      </c>
      <c r="Q1157">
        <f>IFERROR(1/(IF(Inputs!$B$39="pvp",15,MAX(0.1,Skills!D5-IF(Skills!E5=TRUE,(Inputs!$B$33+1),0)))*(1-IF(AND(ArtifactsInput!$M$27,Inputs!$B$4="Chapter Hunt"),CHOOSE(ArtifactsInput!$N$27+1,20,24,28,32,36,40),0)/100)),0)</f>
        <v/>
      </c>
      <c r="R1157">
        <f>IF(AND(Inputs!$B$39&lt;&gt;"pvp",Inputs!$B$44&gt;0),IF(Inputs!$B$44&lt;=0,0,(INT(Inputs!$B$44/(IF(Inputs!$B$39="pvp",15,MAX(0.1,Skills!D5-IF(Skills!E5=TRUE,(Inputs!$B$33+1),0)))*(1-IF(AND(ArtifactsInput!$M$27,Inputs!$B$4="Chapter Hunt"),CHOOSE(ArtifactsInput!$N$27+1,20,24,28,32,36,40),0)/100)))+1)),0)</f>
        <v/>
      </c>
      <c r="S1157" t="n">
        <v>0</v>
      </c>
      <c r="U1157" t="n">
        <v>0</v>
      </c>
    </row>
    <row r="1158">
      <c r="A1158">
        <f>Skills!A6</f>
        <v/>
      </c>
      <c r="B1158">
        <f>Skills!B6</f>
        <v/>
      </c>
      <c r="C1158">
        <f>Inputs!$B$3&gt;=103</f>
        <v/>
      </c>
      <c r="D1158">
        <f>IF(Skills!C6=1,60+Inputs!$B$26+Inputs!$B$30,IF(Skills!C6=2,90+Inputs!$B$27+Inputs!$B$30,IF(Skills!C6=3,120+Inputs!$B$28+Inputs!$B$30,MAX(0,(Inputs!$B$3-100)*3)+Inputs!$B$29+Inputs!$B$30)))</f>
        <v/>
      </c>
      <c r="E1158">
        <f>INDEX(FactorTable!$B$2:$Y$301, MATCH(ROUND(MIN(300,MAX(1,D1158)),0), FactorTable!$A$2:$A$301,0), Skills!L6+1)</f>
        <v/>
      </c>
      <c r="F1158">
        <f>IF(Skills!M6=TRUE,(Skills!K6/10)*(E1158/1000),Skills!K6/10)+Skills!N6</f>
        <v/>
      </c>
      <c r="G1158">
        <f>Calc!G6</f>
        <v/>
      </c>
      <c r="H1158">
        <f>Calc!H6</f>
        <v/>
      </c>
      <c r="I1158">
        <f>IF(Skills!T6&lt;&gt;"",1+(Skills!T6/10)*($Z$3/1000)/100,1)</f>
        <v/>
      </c>
      <c r="J1158">
        <f>((Inputs!$B$6*(1+Inputs!$B$7/100))+(((Inputs!$B$13*(1+Inputs!$B$14/100))-(Inputs!$B$13*(1+Inputs!$B$14/100)))+0.25*(Inputs!$B$15-Inputs!$B$15))*(1+Inputs!$B$7/100))*(F1158/100)</f>
        <v/>
      </c>
      <c r="K1158">
        <f>J1158*(1+(((Inputs!$B$13+IF(Inputs!$B$3&gt;=35,(10*INDEX(FactorTable!$B$2:$Y$301,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6="TRIUMPH_FEATHER",IF(C1168=TRUE,F1168,0),0)/100)*(1+IF(C1179=TRUE,F1179,0)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1158)</f>
        <v/>
      </c>
      <c r="L1158">
        <f>K1158*(MIN(Inputs!$B$23+(F1174-Calc!F22),(Inputs!$B$24+IF(ArtifactsInput!$M$15,CHOOSE(ArtifactsInput!$N$15+1,25,30,35,40,45,50)/100*(Inputs!$B$12-Inputs!$B$12),0)))/100+(Inputs!$B$24+IF(ArtifactsInput!$M$15,CHOOSE(ArtifactsInput!$N$15+1,25,30,35,40,45,50)/100*(Inputs!$B$12-Inputs!$B$12),0))/100)/2</f>
        <v/>
      </c>
      <c r="M1158">
        <f>L1158*(1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8">
        <f>L1158*(1-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(1-Summary!$B$11)*S1158+Summary!$B$11*U1158</f>
        <v/>
      </c>
      <c r="P1158">
        <f>IF(B1195=0,0,O1158/B1195)</f>
        <v/>
      </c>
      <c r="Q1158">
        <f>IFERROR(1/(IF(Inputs!$B$39="pvp",15,MAX(0.1,Skills!D6-IF(Skills!E6=TRUE,(Inputs!$B$33+1),0)))*(1-IF(AND(ArtifactsInput!$M$27,Inputs!$B$4="Chapter Hunt"),CHOOSE(ArtifactsInput!$N$27+1,20,24,28,32,36,40),0)/100)),0)</f>
        <v/>
      </c>
      <c r="R1158">
        <f>IF(AND(Inputs!$B$39&lt;&gt;"pvp",Inputs!$B$44&gt;0),IF(MAX(0,Inputs!$B$44-B1192)&lt;=0,0,(INT(MAX(0,Inputs!$B$44-B1192)/(IF(Inputs!$B$39="pvp",15,MAX(0.1,Skills!D6-IF(Skills!E6=TRUE,(Inputs!$B$33+1),0)))*(1-IF(AND(ArtifactsInput!$M$27,Inputs!$B$4="Chapter Hunt"),CHOOSE(ArtifactsInput!$N$27+1,20,24,28,32,36,40),0)/100)))+1)),0)</f>
        <v/>
      </c>
      <c r="S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$21+Skills!O6+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1158*(1-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$22+Skills!P6+B1184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Skills!A7</f>
        <v/>
      </c>
      <c r="B1159">
        <f>Skills!B7</f>
        <v/>
      </c>
      <c r="C1159">
        <f>Inputs!$B$3&gt;=122</f>
        <v/>
      </c>
      <c r="D1159">
        <f>IF(Skills!C7=1,60+Inputs!$B$26+Inputs!$B$30,IF(Skills!C7=2,90+Inputs!$B$27+Inputs!$B$30,IF(Skills!C7=3,120+Inputs!$B$28+Inputs!$B$30,MAX(0,(Inputs!$B$3-100)*3)+Inputs!$B$29+Inputs!$B$30)))</f>
        <v/>
      </c>
      <c r="E1159">
        <f>INDEX(FactorTable!$B$2:$Y$301, MATCH(ROUND(MIN(300,MAX(1,D1159)),0), FactorTable!$A$2:$A$301,0), Skills!L7+1)</f>
        <v/>
      </c>
      <c r="F1159">
        <f>IF(Skills!M7=TRUE,(Skills!K7/10)*(E1159/1000),Skills!K7/10)+Skills!N7</f>
        <v/>
      </c>
      <c r="G1159">
        <f>Calc!G7</f>
        <v/>
      </c>
      <c r="H1159">
        <f>Calc!H7</f>
        <v/>
      </c>
      <c r="I1159">
        <f>IF(Skills!T7&lt;&gt;"",1+(Skills!T7/10)*($Z$3/1000)/100,1)</f>
        <v/>
      </c>
      <c r="J1159">
        <f>((Inputs!$B$6*(1+Inputs!$B$7/100))+(((Inputs!$B$13*(1+Inputs!$B$14/100))-(Inputs!$B$13*(1+Inputs!$B$14/100)))+0.25*(Inputs!$B$15-Inputs!$B$15))*(1+Inputs!$B$7/100))*(F1159/100)</f>
        <v/>
      </c>
      <c r="K1159">
        <f>J1159*(1+(((Inputs!$B$13+IF(Inputs!$B$3&gt;=35,(10*INDEX(FactorTable!$B$2:$Y$301,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7="TRIUMPH_FEATHER",IF(C1168=TRUE,F1168,0),0)/100)*(1+IF(C1179=TRUE,F1179,0)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1159)</f>
        <v/>
      </c>
      <c r="L1159">
        <f>K1159*(MIN(Inputs!$B$23+(F1174-Calc!F22),(Inputs!$B$24+IF(ArtifactsInput!$M$15,CHOOSE(ArtifactsInput!$N$15+1,25,30,35,40,45,50)/100*(Inputs!$B$12-Inputs!$B$12),0)))/100+(Inputs!$B$24+IF(ArtifactsInput!$M$15,CHOOSE(ArtifactsInput!$N$15+1,25,30,35,40,45,50)/100*(Inputs!$B$12-Inputs!$B$12),0))/100)/2</f>
        <v/>
      </c>
      <c r="M1159">
        <f>L1159*(1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9">
        <f>L1159*(1-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(1-Summary!$B$11)*S1159+Summary!$B$11*U1159</f>
        <v/>
      </c>
      <c r="P1159">
        <f>IF(B1195=0,0,O1159/B1195)</f>
        <v/>
      </c>
      <c r="Q1159">
        <f>IFERROR(1/(IF(Inputs!$B$39="pvp",15,MAX(0.1,Skills!D7-IF(Skills!E6=TRUE,(Inputs!$B$33+1),0)))*(1-IF(AND(ArtifactsInput!$M$27,Inputs!$B$4="Chapter Hunt"),CHOOSE(ArtifactsInput!$N$27+1,20,24,28,32,36,40),0)/100)),0)</f>
        <v/>
      </c>
      <c r="R1159">
        <f>IF(AND(Inputs!$B$39&lt;&gt;"pvp",Inputs!$B$44&gt;0),IF(MAX(0,Inputs!$B$44-B1192)&lt;=0,0,(INT(MAX(0,Inputs!$B$44-B1192)/(IF(Inputs!$B$39="pvp",15,MAX(0.1,Skills!D7-IF(Skills!E6=TRUE,(Inputs!$B$33+1),0)))*(1-IF(AND(ArtifactsInput!$M$27,Inputs!$B$4="Chapter Hunt"),CHOOSE(ArtifactsInput!$N$27+1,20,24,28,32,36,40),0)/100)))+1)),0)</f>
        <v/>
      </c>
      <c r="S1159">
        <f>IF(C1159,H1159*N1159*IF(AND(Inputs!$B$39&lt;&gt;"pvp",Inputs!$B$44&gt;0),((Skills!F7*((R1159-1)*IF(Skills!G7&gt;0,Skills!H7/Skills!G7,1)+IF(Skills!G7&gt;0,MIN(Skills!H7,MAX(0,MAX(0,Inputs!$B$44-B1192)-((R1159-1)*(IF(Inputs!$B$39="pvp",15,MAX(0.1,Skills!D7-IF(Skills!E6=TRUE,(Inputs!$B$33+1),0)))*(1-IF(AND(ArtifactsInput!$M$27,Inputs!$B$4="Chapter Hunt"),CHOOSE(ArtifactsInput!$N$27+1,20,24,28,32,36,40),0)/100)))))/Skills!G7,1)))/Inputs!$B$44),G1159*Q1159)*IF(Inputs!$B$39="pvp",1,1+(Inputs!$B$21+Skills!O7+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1159*(1-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9" t="n">
        <v>0</v>
      </c>
    </row>
    <row r="1160">
      <c r="A1160">
        <f>Skills!A8</f>
        <v/>
      </c>
      <c r="B1160">
        <f>Skills!B8</f>
        <v/>
      </c>
      <c r="C1160">
        <f>Inputs!$B$3&gt;=105</f>
        <v/>
      </c>
      <c r="D1160">
        <f>IF(Skills!C8=1,60+Inputs!$B$26+Inputs!$B$30,IF(Skills!C8=2,90+Inputs!$B$27+Inputs!$B$30,IF(Skills!C8=3,120+Inputs!$B$28+Inputs!$B$30,MAX(0,(Inputs!$B$3-100)*3)+Inputs!$B$29+Inputs!$B$30)))</f>
        <v/>
      </c>
      <c r="E1160">
        <f>INDEX(FactorTable!$B$2:$Y$301, MATCH(ROUND(MIN(300,MAX(1,D1160)),0), FactorTable!$A$2:$A$301,0), Skills!L8+1)</f>
        <v/>
      </c>
      <c r="F1160">
        <f>IF(Skills!M8=TRUE,(Skills!K8/10)*(E1160/1000),Skills!K8/10)+Skills!N8</f>
        <v/>
      </c>
      <c r="G1160">
        <f>Calc!G8</f>
        <v/>
      </c>
      <c r="H1160">
        <f>Calc!H8</f>
        <v/>
      </c>
      <c r="I1160">
        <f>IF(Skills!T8&lt;&gt;"",1+(Skills!T8/10)*($Z$3/1000)/100,1)</f>
        <v/>
      </c>
      <c r="J1160">
        <f>((Inputs!$B$6*(1+Inputs!$B$7/100))+(((Inputs!$B$13*(1+Inputs!$B$14/100))-(Inputs!$B$13*(1+Inputs!$B$14/100)))+0.25*(Inputs!$B$15-Inputs!$B$15))*(1+Inputs!$B$7/100))*(F1160/100)</f>
        <v/>
      </c>
      <c r="K1160">
        <f>J1160*(1+(((Inputs!$B$13+IF(Inputs!$B$3&gt;=35,(10*INDEX(FactorTable!$B$2:$Y$301,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8="TRIUMPH_FEATHER",IF(C1168=TRUE,F1168,0),0)/100)*(1+IF(C1179=TRUE,F1179,0)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1160)</f>
        <v/>
      </c>
      <c r="L1160">
        <f>K1160*(MIN(Inputs!$B$23+(F1174-Calc!F22),(Inputs!$B$24+IF(ArtifactsInput!$M$15,CHOOSE(ArtifactsInput!$N$15+1,25,30,35,40,45,50)/100*(Inputs!$B$12-Inputs!$B$12),0)))/100+(Inputs!$B$24+IF(ArtifactsInput!$M$15,CHOOSE(ArtifactsInput!$N$15+1,25,30,35,40,45,50)/100*(Inputs!$B$12-Inputs!$B$12),0))/100)/2</f>
        <v/>
      </c>
      <c r="M1160">
        <f>L1160*(1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0">
        <f>L1160*(1-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(1-Summary!$B$11)*S1160+Summary!$B$11*U1160</f>
        <v/>
      </c>
      <c r="P1160">
        <f>IF(B1195=0,0,O1160/B1195)</f>
        <v/>
      </c>
      <c r="Q1160">
        <f>IFERROR(1/(IF(Inputs!$B$39="pvp",15,MAX(0.1,Skills!D8-IF(Skills!E8=TRUE,(Inputs!$B$33+1),0)))*(1-IF(AND(ArtifactsInput!$M$27,Inputs!$B$4="Chapter Hunt"),CHOOSE(ArtifactsInput!$N$27+1,20,24,28,32,36,40),0)/100)),0)</f>
        <v/>
      </c>
      <c r="R1160">
        <f>IF(AND(Inputs!$B$39&lt;&gt;"pvp",Inputs!$B$44&gt;0),IF(MAX(0,Inputs!$B$44-B1192)&lt;=0,0,(INT(MAX(0,Inputs!$B$44-B1192)/(IF(Inputs!$B$39="pvp",15,MAX(0.1,Skills!D8-IF(Skills!E8=TRUE,(Inputs!$B$33+1),0)))*(1-IF(AND(ArtifactsInput!$M$27,Inputs!$B$4="Chapter Hunt"),CHOOSE(ArtifactsInput!$N$27+1,20,24,28,32,36,40),0)/100)))+1)),0)</f>
        <v/>
      </c>
      <c r="S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$21+Skills!O8+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1160*(1-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$22+Skills!P8+B1184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Skills!A9</f>
        <v/>
      </c>
      <c r="B1161">
        <f>Skills!B9</f>
        <v/>
      </c>
      <c r="C1161">
        <f>Inputs!$B$3&gt;=115</f>
        <v/>
      </c>
      <c r="D1161">
        <f>IF(Skills!C9=1,60+Inputs!$B$26+Inputs!$B$30,IF(Skills!C9=2,90+Inputs!$B$27+Inputs!$B$30,IF(Skills!C9=3,120+Inputs!$B$28+Inputs!$B$30,MAX(0,(Inputs!$B$3-100)*3)+Inputs!$B$29+Inputs!$B$30)))</f>
        <v/>
      </c>
      <c r="E1161">
        <f>INDEX(FactorTable!$B$2:$Y$301, MATCH(ROUND(MIN(300,MAX(1,D1161)),0), FactorTable!$A$2:$A$301,0), Skills!L9+1)</f>
        <v/>
      </c>
      <c r="F1161">
        <f>IF(Skills!M9=TRUE,(Skills!K9/10)*(E1161/1000),Skills!K9/10)+Skills!N9</f>
        <v/>
      </c>
      <c r="G1161">
        <f>Calc!G9</f>
        <v/>
      </c>
      <c r="H1161">
        <f>Calc!H9</f>
        <v/>
      </c>
      <c r="I1161">
        <f>IF(Skills!T9&lt;&gt;"",1+(Skills!T9/10)*($Z$3/1000)/100,1)</f>
        <v/>
      </c>
      <c r="J1161">
        <f>((Inputs!$B$6*(1+Inputs!$B$7/100))+(((Inputs!$B$13*(1+Inputs!$B$14/100))-(Inputs!$B$13*(1+Inputs!$B$14/100)))+0.25*(Inputs!$B$15-Inputs!$B$15))*(1+Inputs!$B$7/100))*(F1161/100)</f>
        <v/>
      </c>
      <c r="K1161">
        <f>J1161*(1+(((Inputs!$B$13+IF(Inputs!$B$3&gt;=35,(10*INDEX(FactorTable!$B$2:$Y$301,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9="TRIUMPH_FEATHER",IF(C1168=TRUE,F1168,0),0)/100)*(1+IF(C1179=TRUE,F1179,0)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1161)</f>
        <v/>
      </c>
      <c r="L1161">
        <f>K1161*(MIN(Inputs!$B$23+(F1174-Calc!F22),(Inputs!$B$24+IF(ArtifactsInput!$M$15,CHOOSE(ArtifactsInput!$N$15+1,25,30,35,40,45,50)/100*(Inputs!$B$12-Inputs!$B$12),0)))/100+(Inputs!$B$24+IF(ArtifactsInput!$M$15,CHOOSE(ArtifactsInput!$N$15+1,25,30,35,40,45,50)/100*(Inputs!$B$12-Inputs!$B$12),0))/100)/2</f>
        <v/>
      </c>
      <c r="M1161">
        <f>L1161*(1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1">
        <f>L1161*(1-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1">
        <f>(1-Summary!$B$11)*S1161+Summary!$B$11*U1161</f>
        <v/>
      </c>
      <c r="P1161">
        <f>IF(B1195=0,0,O1161/B1195)</f>
        <v/>
      </c>
      <c r="Q1161">
        <f>IFERROR(1/(IF(Inputs!$B$39="pvp",15,MAX(0.1,Skills!D9-IF(Skills!E9=TRUE,(Inputs!$B$33+1),0)))*(1-IF(AND(ArtifactsInput!$M$27,Inputs!$B$4="Chapter Hunt"),CHOOSE(ArtifactsInput!$N$27+1,20,24,28,32,36,40),0)/100)),0)</f>
        <v/>
      </c>
      <c r="R1161">
        <f>IF(AND(Inputs!$B$39&lt;&gt;"pvp",Inputs!$B$44&gt;0),IF(MAX(0,Inputs!$B$44-B1192)&lt;=0,0,(INT(MAX(0,Inputs!$B$44-B1192)/(IF(Inputs!$B$39="pvp",15,MAX(0.1,Skills!D9-IF(Skills!E9=TRUE,(Inputs!$B$33+1),0)))*(1-IF(AND(ArtifactsInput!$M$27,Inputs!$B$4="Chapter Hunt"),CHOOSE(ArtifactsInput!$N$27+1,20,24,28,32,36,40),0)/100)))+1)),0)</f>
        <v/>
      </c>
      <c r="S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$21+Skills!O9+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1161*(1-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1161*(1-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$22+Skills!P9+B1184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2">
      <c r="A1162">
        <f>Skills!A10</f>
        <v/>
      </c>
      <c r="B1162">
        <f>Skills!B10</f>
        <v/>
      </c>
      <c r="C1162">
        <f>Inputs!$B$3&gt;=66</f>
        <v/>
      </c>
      <c r="D1162">
        <f>IF(Skills!C10=1,60+Inputs!$B$26+Inputs!$B$30,IF(Skills!C10=2,90+Inputs!$B$27+Inputs!$B$30,IF(Skills!C10=3,120+Inputs!$B$28+Inputs!$B$30,MAX(0,(Inputs!$B$3-100)*3)+Inputs!$B$29+Inputs!$B$30)))</f>
        <v/>
      </c>
      <c r="E1162">
        <f>INDEX(FactorTable!$B$2:$Y$301, MATCH(ROUND(MIN(300,MAX(1,D1162)),0), FactorTable!$A$2:$A$301,0), Skills!L10+1)</f>
        <v/>
      </c>
      <c r="F1162" t="n">
        <v>0</v>
      </c>
      <c r="G1162">
        <f>Calc!G10</f>
        <v/>
      </c>
      <c r="H1162">
        <f>Calc!H10</f>
        <v/>
      </c>
      <c r="I1162">
        <f>IF(Skills!T10&lt;&gt;"",1+(Skills!T10/10)*($Z$3/1000)/100,1)</f>
        <v/>
      </c>
      <c r="J1162" t="inlineStr"/>
      <c r="K1162" t="inlineStr"/>
      <c r="L1162" t="inlineStr"/>
      <c r="M1162" t="inlineStr"/>
      <c r="N1162" t="inlineStr"/>
      <c r="O1162">
        <f>(1-Summary!$B$11)*S1162+Summary!$B$11*U1162</f>
        <v/>
      </c>
      <c r="P1162">
        <f>IF(B1195=0,0,O1162/B1195)</f>
        <v/>
      </c>
      <c r="Q1162">
        <f>IFERROR(1/(IF(Inputs!$B$39="pvp",15,MAX(0.1,Skills!D10-IF(Skills!E10=TRUE,(Inputs!$B$33+1),0)))*(1-IF(AND(ArtifactsInput!$M$27,Inputs!$B$4="Chapter Hunt"),CHOOSE(ArtifactsInput!$N$27+1,20,24,28,32,36,40),0)/100)),0)</f>
        <v/>
      </c>
      <c r="R1162">
        <f>IF(AND(Inputs!$B$39&lt;&gt;"pvp",Inputs!$B$44&gt;0),IF(MAX(0,Inputs!$B$44-B1192)&lt;=0,0,(INT(MAX(0,Inputs!$B$44-B1192)/(IF(Inputs!$B$39="pvp",15,MAX(0.1,Skills!D10-IF(Skills!E10=TRUE,(Inputs!$B$33+1),0)))*(1-IF(AND(ArtifactsInput!$M$27,Inputs!$B$4="Chapter Hunt"),CHOOSE(ArtifactsInput!$N$27+1,20,24,28,32,36,40),0)/100)))+1)),0)</f>
        <v/>
      </c>
      <c r="S1162" t="n">
        <v>0</v>
      </c>
      <c r="U1162" t="n">
        <v>0</v>
      </c>
    </row>
    <row r="1163">
      <c r="A1163">
        <f>Skills!A11</f>
        <v/>
      </c>
      <c r="B1163">
        <f>Skills!B11</f>
        <v/>
      </c>
      <c r="C1163">
        <f>Inputs!$B$3&gt;=69</f>
        <v/>
      </c>
      <c r="D1163">
        <f>IF(Skills!C11=1,60+Inputs!$B$26+Inputs!$B$30,IF(Skills!C11=2,90+Inputs!$B$27+Inputs!$B$30,IF(Skills!C11=3,120+Inputs!$B$28+Inputs!$B$30,MAX(0,(Inputs!$B$3-100)*3)+Inputs!$B$29+Inputs!$B$30)))</f>
        <v/>
      </c>
      <c r="E1163">
        <f>INDEX(FactorTable!$B$2:$Y$301, MATCH(ROUND(MIN(300,MAX(1,D1163)),0), FactorTable!$A$2:$A$301,0), Skills!L11+1)</f>
        <v/>
      </c>
      <c r="F1163">
        <f>IF(Skills!M11=TRUE,(Skills!K11/10)*(E1163/1000),Skills!K11/10)+Skills!N11</f>
        <v/>
      </c>
      <c r="G1163">
        <f>Calc!G11</f>
        <v/>
      </c>
      <c r="H1163">
        <f>Calc!H11</f>
        <v/>
      </c>
      <c r="I1163">
        <f>IF(Skills!T11&lt;&gt;"",1+(Skills!T11/10)*($Z$3/1000)/100,1)</f>
        <v/>
      </c>
      <c r="J1163" t="inlineStr"/>
      <c r="K1163" t="inlineStr"/>
      <c r="L1163" t="inlineStr"/>
      <c r="M1163" t="inlineStr"/>
      <c r="N1163" t="inlineStr"/>
      <c r="O1163">
        <f>(1-Summary!$B$11)*S1163+Summary!$B$11*U1163</f>
        <v/>
      </c>
      <c r="P1163">
        <f>IF(B1195=0,0,O1163/B1195)</f>
        <v/>
      </c>
      <c r="Q1163">
        <f>IFERROR(1/(IF(Inputs!$B$39="pvp",15,MAX(0.1,Skills!D11-IF(Skills!E11=TRUE,(Inputs!$B$33+1),0)))*(1-IF(AND(ArtifactsInput!$M$27,Inputs!$B$4="Chapter Hunt"),CHOOSE(ArtifactsInput!$N$27+1,20,24,28,32,36,40),0)/100)),0)</f>
        <v/>
      </c>
      <c r="R1163">
        <f>IF(AND(Inputs!$B$39&lt;&gt;"pvp",Inputs!$B$44&gt;0),IF(Inputs!$B$44&lt;=0,0,(INT(Inputs!$B$44/(IF(Inputs!$B$39="pvp",15,MAX(0.1,Skills!D11-IF(Skills!E11=TRUE,(Inputs!$B$33+1),0)))*(1-IF(AND(ArtifactsInput!$M$27,Inputs!$B$4="Chapter Hunt"),CHOOSE(ArtifactsInput!$N$27+1,20,24,28,32,36,40),0)/100)))+1)),0)</f>
        <v/>
      </c>
      <c r="S1163" t="n">
        <v>0</v>
      </c>
      <c r="U1163" t="n">
        <v>0</v>
      </c>
    </row>
    <row r="1164">
      <c r="A1164">
        <f>Skills!A12</f>
        <v/>
      </c>
      <c r="B1164">
        <f>Skills!B12</f>
        <v/>
      </c>
      <c r="C1164">
        <f>Inputs!$B$3&gt;=72</f>
        <v/>
      </c>
      <c r="D1164">
        <f>IF(Skills!C12=1,60+Inputs!$B$26+Inputs!$B$30,IF(Skills!C12=2,90+Inputs!$B$27+Inputs!$B$30,IF(Skills!C12=3,120+Inputs!$B$28+Inputs!$B$30,MAX(0,(Inputs!$B$3-100)*3)+Inputs!$B$29+Inputs!$B$30)))</f>
        <v/>
      </c>
      <c r="E1164">
        <f>INDEX(FactorTable!$B$2:$Y$301, MATCH(ROUND(MIN(300,MAX(1,D1164)),0), FactorTable!$A$2:$A$301,0), Skills!L12+1)</f>
        <v/>
      </c>
      <c r="F1164">
        <f>IF(Skills!M12=TRUE,(Skills!K12/10)*(E1164/1000),Skills!K12/10)+Skills!N12</f>
        <v/>
      </c>
      <c r="G1164">
        <f>Calc!G12</f>
        <v/>
      </c>
      <c r="H1164">
        <f>Calc!H12</f>
        <v/>
      </c>
      <c r="I1164">
        <f>IF(Skills!T12&lt;&gt;"",1+(Skills!T12/10)*($Z$3/1000)/100,1)</f>
        <v/>
      </c>
      <c r="J1164" t="inlineStr"/>
      <c r="K1164" t="inlineStr"/>
      <c r="L1164" t="inlineStr"/>
      <c r="M1164" t="inlineStr"/>
      <c r="N1164" t="inlineStr"/>
      <c r="O1164">
        <f>(1-Summary!$B$11)*S1164+Summary!$B$11*U1164</f>
        <v/>
      </c>
      <c r="P1164">
        <f>IF(B1195=0,0,O1164/B1195)</f>
        <v/>
      </c>
      <c r="Q1164">
        <f>IFERROR(1/(IF(Inputs!$B$39="pvp",15,MAX(0.1,Skills!D12-IF(Skills!E12=TRUE,(Inputs!$B$33+1),0)))*(1-IF(AND(ArtifactsInput!$M$27,Inputs!$B$4="Chapter Hunt"),CHOOSE(ArtifactsInput!$N$27+1,20,24,28,32,36,40),0)/100)),0)</f>
        <v/>
      </c>
      <c r="R1164">
        <f>IF(AND(Inputs!$B$39&lt;&gt;"pvp",Inputs!$B$44&gt;0),IF(MAX(0,Inputs!$B$44-B1192)&lt;=0,0,(INT(MAX(0,Inputs!$B$44-B1192)/(IF(Inputs!$B$39="pvp",15,MAX(0.1,Skills!D12-IF(Skills!E12=TRUE,(Inputs!$B$33+1),0)))*(1-IF(AND(ArtifactsInput!$M$27,Inputs!$B$4="Chapter Hunt"),CHOOSE(ArtifactsInput!$N$27+1,20,24,28,32,36,40),0)/100)))+1)),0)</f>
        <v/>
      </c>
      <c r="S1164" t="n">
        <v>0</v>
      </c>
      <c r="U1164" t="n">
        <v>0</v>
      </c>
    </row>
    <row r="1165">
      <c r="A1165">
        <f>Skills!A13</f>
        <v/>
      </c>
      <c r="B1165">
        <f>Skills!B13</f>
        <v/>
      </c>
      <c r="C1165">
        <f>Inputs!$B$3&gt;=60</f>
        <v/>
      </c>
      <c r="D1165">
        <f>IF(Skills!C13=1,60+Inputs!$B$26+Inputs!$B$30,IF(Skills!C13=2,90+Inputs!$B$27+Inputs!$B$30,IF(Skills!C13=3,120+Inputs!$B$28+Inputs!$B$30,MAX(0,(Inputs!$B$3-100)*3)+Inputs!$B$29+Inputs!$B$30)))</f>
        <v/>
      </c>
      <c r="E1165">
        <f>INDEX(FactorTable!$B$2:$Y$301, MATCH(ROUND(MIN(300,MAX(1,D1165)),0), FactorTable!$A$2:$A$301,0), Skills!L13+1)</f>
        <v/>
      </c>
      <c r="F1165">
        <f>IF(Skills!M13=TRUE,(Skills!K13/10)*(E1165/1000),Skills!K13/10)+Skills!N13</f>
        <v/>
      </c>
      <c r="G1165">
        <f>Calc!G13</f>
        <v/>
      </c>
      <c r="H1165">
        <f>Calc!H13</f>
        <v/>
      </c>
      <c r="I1165">
        <f>IF(Skills!T13&lt;&gt;"",1+(Skills!T13/10)*($Z$3/1000)/100,1)</f>
        <v/>
      </c>
      <c r="J1165" t="inlineStr"/>
      <c r="K1165" t="inlineStr"/>
      <c r="L1165" t="inlineStr"/>
      <c r="M1165" t="inlineStr"/>
      <c r="N1165" t="inlineStr"/>
      <c r="O1165">
        <f>(1-Summary!$B$11)*S1165+Summary!$B$11*U1165</f>
        <v/>
      </c>
      <c r="P1165">
        <f>IF(B1195=0,0,O1165/B1195)</f>
        <v/>
      </c>
      <c r="Q1165">
        <f>IFERROR(1/(IF(Inputs!$B$39="pvp",15,MAX(0.1,Skills!D13-IF(Skills!E13=TRUE,(Inputs!$B$33+1),0)))*(1-IF(AND(ArtifactsInput!$M$27,Inputs!$B$4="Chapter Hunt"),CHOOSE(ArtifactsInput!$N$27+1,20,24,28,32,36,40),0)/100)),0)</f>
        <v/>
      </c>
      <c r="R1165">
        <f>IF(AND(Inputs!$B$39&lt;&gt;"pvp",Inputs!$B$44&gt;0),IF(MAX(0,Inputs!$B$44-B1192)&lt;=0,0,(INT(MAX(0,Inputs!$B$44-B1192)/(IF(Inputs!$B$39="pvp",15,MAX(0.1,Skills!D13-IF(Skills!E13=TRUE,(Inputs!$B$33+1),0)))*(1-IF(AND(ArtifactsInput!$M$27,Inputs!$B$4="Chapter Hunt"),CHOOSE(ArtifactsInput!$N$27+1,20,24,28,32,36,40),0)/100)))+1)),0)</f>
        <v/>
      </c>
      <c r="S1165" t="n">
        <v>0</v>
      </c>
      <c r="U1165" t="n">
        <v>0</v>
      </c>
    </row>
    <row r="1166">
      <c r="A1166">
        <f>Skills!A14</f>
        <v/>
      </c>
      <c r="B1166">
        <f>Skills!B14</f>
        <v/>
      </c>
      <c r="C1166">
        <f>Inputs!$B$3&gt;=107</f>
        <v/>
      </c>
      <c r="D1166">
        <f>IF(Skills!C14=1,60+Inputs!$B$26+Inputs!$B$30,IF(Skills!C14=2,90+Inputs!$B$27+Inputs!$B$30,IF(Skills!C14=3,120+Inputs!$B$28+Inputs!$B$30,MAX(0,(Inputs!$B$3-100)*3)+Inputs!$B$29+Inputs!$B$30)))</f>
        <v/>
      </c>
      <c r="E1166">
        <f>INDEX(FactorTable!$B$2:$Y$301, MATCH(ROUND(MIN(300,MAX(1,D1166)),0), FactorTable!$A$2:$A$301,0), Skills!L14+1)</f>
        <v/>
      </c>
      <c r="F1166">
        <f>IF(Skills!M14=TRUE,(Skills!K14/10)*(E1166/1000),Skills!K14/10)+Skills!N14</f>
        <v/>
      </c>
      <c r="G1166">
        <f>Calc!G14</f>
        <v/>
      </c>
      <c r="H1166">
        <f>Calc!H14</f>
        <v/>
      </c>
      <c r="I1166">
        <f>IF(Skills!T14&lt;&gt;"",1+(Skills!T14/10)*($Z$3/1000)/100,1)</f>
        <v/>
      </c>
      <c r="J1166" t="inlineStr"/>
      <c r="K1166" t="inlineStr"/>
      <c r="L1166" t="inlineStr"/>
      <c r="M1166" t="inlineStr"/>
      <c r="N1166" t="inlineStr"/>
      <c r="O1166">
        <f>(1-Summary!$B$11)*S1166+Summary!$B$11*U1166</f>
        <v/>
      </c>
      <c r="P1166">
        <f>IF(B1195=0,0,O1166/B1195)</f>
        <v/>
      </c>
      <c r="Q1166">
        <f>IFERROR(1/(IF(Inputs!$B$39="pvp",15,MAX(0.1,Skills!D14-IF(Skills!E14=TRUE,(Inputs!$B$33+1),0)))*(1-IF(AND(ArtifactsInput!$M$27,Inputs!$B$4="Chapter Hunt"),CHOOSE(ArtifactsInput!$N$27+1,20,24,28,32,36,40),0)/100)),0)</f>
        <v/>
      </c>
      <c r="R1166">
        <f>IF(AND(Inputs!$B$39&lt;&gt;"pvp",Inputs!$B$44&gt;0),IF(Inputs!$B$44&lt;=0,0,(INT(Inputs!$B$44/(IF(Inputs!$B$39="pvp",15,MAX(0.1,Skills!D14-IF(Skills!E14=TRUE,(Inputs!$B$33+1),0)))*(1-IF(AND(ArtifactsInput!$M$27,Inputs!$B$4="Chapter Hunt"),CHOOSE(ArtifactsInput!$N$27+1,20,24,28,32,36,40),0)/100)))+1)),0)</f>
        <v/>
      </c>
      <c r="S1166" t="n">
        <v>0</v>
      </c>
      <c r="U1166" t="n">
        <v>0</v>
      </c>
    </row>
    <row r="1167">
      <c r="A1167">
        <f>Skills!A15</f>
        <v/>
      </c>
      <c r="B1167">
        <f>Skills!B15</f>
        <v/>
      </c>
      <c r="C1167">
        <f>Inputs!$B$3&gt;=63</f>
        <v/>
      </c>
      <c r="D1167">
        <f>IF(Skills!C15=1,60+Inputs!$B$26+Inputs!$B$30,IF(Skills!C15=2,90+Inputs!$B$27+Inputs!$B$30,IF(Skills!C15=3,120+Inputs!$B$28+Inputs!$B$30,MAX(0,(Inputs!$B$3-100)*3)+Inputs!$B$29+Inputs!$B$30)))</f>
        <v/>
      </c>
      <c r="E1167">
        <f>INDEX(FactorTable!$B$2:$Y$301, MATCH(ROUND(MIN(300,MAX(1,D1167)),0), FactorTable!$A$2:$A$301,0), Skills!L15+1)</f>
        <v/>
      </c>
      <c r="F1167">
        <f>IF(Skills!M15=TRUE,(Skills!K15/10)*(E1167/1000),Skills!K15/10)+Skills!N15</f>
        <v/>
      </c>
      <c r="G1167">
        <f>Calc!G15</f>
        <v/>
      </c>
      <c r="H1167">
        <f>Calc!H15</f>
        <v/>
      </c>
      <c r="I1167">
        <f>IF(Skills!T15&lt;&gt;"",1+(Skills!T15/10)*($Z$3/1000)/100,1)</f>
        <v/>
      </c>
      <c r="J1167">
        <f>((Inputs!$B$6*(1+Inputs!$B$7/100))+(((Inputs!$B$13*(1+Inputs!$B$14/100))-(Inputs!$B$13*(1+Inputs!$B$14/100)))+0.25*(Inputs!$B$15-Inputs!$B$15))*(1+Inputs!$B$7/100))*(F1167/100)</f>
        <v/>
      </c>
      <c r="K1167">
        <f>J1167*(1+(((Inputs!$B$13+IF(Inputs!$B$3&gt;=35,(10*INDEX(FactorTable!$B$2:$Y$301,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15="TRIUMPH_FEATHER",IF(C1168=TRUE,F1168,0),0)/100)*(1+IF(C1179=TRUE,F1179,0)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1167)</f>
        <v/>
      </c>
      <c r="L1167">
        <f>K1167*(MIN(Inputs!$B$23+(F1174-Calc!F22),(Inputs!$B$24+IF(ArtifactsInput!$M$15,CHOOSE(ArtifactsInput!$N$15+1,25,30,35,40,45,50)/100*(Inputs!$B$12-Inputs!$B$12),0)))/100+(Inputs!$B$24+IF(ArtifactsInput!$M$15,CHOOSE(ArtifactsInput!$N$15+1,25,30,35,40,45,50)/100*(Inputs!$B$12-Inputs!$B$12),0))/100)/2</f>
        <v/>
      </c>
      <c r="M1167">
        <f>L1167*(1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7">
        <f>L1167*(1-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(1-Summary!$B$11)*S1167+Summary!$B$11*U1167</f>
        <v/>
      </c>
      <c r="P1167">
        <f>IF(B1195=0,0,O1167/B1195)</f>
        <v/>
      </c>
      <c r="Q1167">
        <f>IFERROR(1/(IF(Inputs!$B$39="pvp",15,MAX(0.1,Skills!D15-IF(Skills!E15=TRUE,(Inputs!$B$33+1),0)))*(1-IF(AND(ArtifactsInput!$M$27,Inputs!$B$4="Chapter Hunt"),CHOOSE(ArtifactsInput!$N$27+1,20,24,28,32,36,40),0)/100)),0)</f>
        <v/>
      </c>
      <c r="R1167" t="n">
        <v>0</v>
      </c>
      <c r="S1167">
        <f>IF(C1167,(Skills!F15*N1167*((IF(Inputs!$B$3&gt;=78,25,15)/100*B1188*10)/(1+IF(Inputs!$B$3&gt;=78,25,15)/100*B1188*10))*(Skills!I15/100*B1188)/(1+Skills!G15*Skills!I15/100*B1188))*IF(Inputs!$B$39="pvp",1,1+(Inputs!$B$21+Skills!O15+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1167*(1-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IF(C1167,(Skills!F15*N1167*((IF(Inputs!$B$3&gt;=78,25,15)/100*B1188*10)/(1+IF(Inputs!$B$3&gt;=78,25,15)/100*B1188*10))*(Skills!I15/100*B1188)/(1+Skills!G15*Skills!I15/100*B1188))*IF(Inputs!$B$39="pvp",1,(1+(Inputs!$B$22+Skills!P15+B1184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Skills!A16</f>
        <v/>
      </c>
      <c r="B1168">
        <f>Skills!B16</f>
        <v/>
      </c>
      <c r="C1168">
        <f>Inputs!$B$3&gt;=100</f>
        <v/>
      </c>
      <c r="D1168">
        <f>IF(Skills!C16=1,60+Inputs!$B$26+Inputs!$B$30,IF(Skills!C16=2,90+Inputs!$B$27+Inputs!$B$30,IF(Skills!C16=3,120+Inputs!$B$28+Inputs!$B$30,MAX(0,(Inputs!$B$3-100)*3)+Inputs!$B$29+Inputs!$B$30)))</f>
        <v/>
      </c>
      <c r="E1168">
        <f>INDEX(FactorTable!$B$2:$Y$301, MATCH(ROUND(MIN(300,MAX(1,D1168)),0), FactorTable!$A$2:$A$301,0), Skills!L16+1)</f>
        <v/>
      </c>
      <c r="F1168">
        <f>IF(Skills!M16=TRUE,(Skills!K16/10)*(E1168/1000),Skills!K16/10)+Skills!N16</f>
        <v/>
      </c>
      <c r="G1168">
        <f>Calc!G16</f>
        <v/>
      </c>
      <c r="H1168">
        <f>Calc!H16</f>
        <v/>
      </c>
      <c r="I1168">
        <f>IF(Skills!T16&lt;&gt;"",1+(Skills!T16/10)*($Z$3/1000)/100,1)</f>
        <v/>
      </c>
      <c r="J1168" t="inlineStr"/>
      <c r="K1168" t="inlineStr"/>
      <c r="L1168" t="inlineStr"/>
      <c r="M1168" t="inlineStr"/>
      <c r="N1168" t="inlineStr"/>
      <c r="O1168">
        <f>(1-Summary!$B$11)*S1168+Summary!$B$11*U1168</f>
        <v/>
      </c>
      <c r="P1168">
        <f>IF(B1195=0,0,O1168/B1195)</f>
        <v/>
      </c>
      <c r="Q1168">
        <f>IFERROR(1/(IF(Inputs!$B$39="pvp",15,MAX(0.1,Skills!D16-IF(Skills!E16=TRUE,(Inputs!$B$33+1),0)))*(1-IF(AND(ArtifactsInput!$M$27,Inputs!$B$4="Chapter Hunt"),CHOOSE(ArtifactsInput!$N$27+1,20,24,28,32,36,40),0)/100)),0)</f>
        <v/>
      </c>
      <c r="R1168" t="n">
        <v>0</v>
      </c>
      <c r="S1168" t="n">
        <v>0</v>
      </c>
      <c r="U1168" t="n">
        <v>0</v>
      </c>
    </row>
    <row r="1169">
      <c r="A1169">
        <f>Skills!A17</f>
        <v/>
      </c>
      <c r="B1169">
        <f>Skills!B17</f>
        <v/>
      </c>
      <c r="C1169">
        <f>Inputs!$B$3&gt;=49</f>
        <v/>
      </c>
      <c r="D1169">
        <f>IF(Skills!C17=1,60+Inputs!$B$26+Inputs!$B$30,IF(Skills!C17=2,90+Inputs!$B$27+Inputs!$B$30,IF(Skills!C17=3,120+Inputs!$B$28+Inputs!$B$30,MAX(0,(Inputs!$B$3-100)*3)+Inputs!$B$29+Inputs!$B$30)))</f>
        <v/>
      </c>
      <c r="E1169">
        <f>INDEX(FactorTable!$B$2:$Y$301, MATCH(ROUND(MIN(300,MAX(1,D1169)),0), FactorTable!$A$2:$A$301,0), Skills!L17+1)</f>
        <v/>
      </c>
      <c r="F1169">
        <f>IF(Skills!M17=TRUE,(Skills!K17/10)*(E1169/1000),Skills!K17/10)+Skills!N17</f>
        <v/>
      </c>
      <c r="G1169">
        <f>Calc!G17</f>
        <v/>
      </c>
      <c r="H1169">
        <f>Calc!H17</f>
        <v/>
      </c>
      <c r="I1169">
        <f>IF(Skills!T17&lt;&gt;"",1+(Skills!T17/10)*($Z$3/1000)/100,1)</f>
        <v/>
      </c>
      <c r="J1169" t="inlineStr"/>
      <c r="K1169" t="inlineStr"/>
      <c r="L1169" t="inlineStr"/>
      <c r="M1169" t="inlineStr"/>
      <c r="N1169" t="inlineStr"/>
      <c r="O1169">
        <f>(1-Summary!$B$11)*S1169+Summary!$B$11*U1169</f>
        <v/>
      </c>
      <c r="P1169">
        <f>IF(B1195=0,0,O1169/B1195)</f>
        <v/>
      </c>
      <c r="Q1169">
        <f>IFERROR(1/(IF(Inputs!$B$39="pvp",15,MAX(0.1,Skills!D17-IF(Skills!E17=TRUE,(Inputs!$B$33+1),0)))*(1-IF(AND(ArtifactsInput!$M$27,Inputs!$B$4="Chapter Hunt"),CHOOSE(ArtifactsInput!$N$27+1,20,24,28,32,36,40),0)/100)),0)</f>
        <v/>
      </c>
      <c r="R1169" t="n">
        <v>0</v>
      </c>
      <c r="S1169" t="n">
        <v>0</v>
      </c>
      <c r="U1169" t="n">
        <v>0</v>
      </c>
    </row>
    <row r="1170">
      <c r="A1170">
        <f>Skills!A18</f>
        <v/>
      </c>
      <c r="B1170">
        <f>Skills!B18</f>
        <v/>
      </c>
      <c r="C1170">
        <f>Inputs!$B$3&gt;=75</f>
        <v/>
      </c>
      <c r="D1170">
        <f>IF(Skills!C18=1,60+Inputs!$B$26+Inputs!$B$30,IF(Skills!C18=2,90+Inputs!$B$27+Inputs!$B$30,IF(Skills!C18=3,120+Inputs!$B$28+Inputs!$B$30,MAX(0,(Inputs!$B$3-100)*3)+Inputs!$B$29+Inputs!$B$30)))</f>
        <v/>
      </c>
      <c r="E1170">
        <f>INDEX(FactorTable!$B$2:$Y$301, MATCH(ROUND(MIN(300,MAX(1,D1170)),0), FactorTable!$A$2:$A$301,0), Skills!L18+1)</f>
        <v/>
      </c>
      <c r="F1170">
        <f>IF(Skills!M18=TRUE,(Skills!K18/10)*(E1170/1000),Skills!K18/10)+Skills!N18</f>
        <v/>
      </c>
      <c r="G1170">
        <f>Calc!G18</f>
        <v/>
      </c>
      <c r="H1170">
        <f>Calc!H18</f>
        <v/>
      </c>
      <c r="I1170">
        <f>IF(Skills!T18&lt;&gt;"",1+(Skills!T18/10)*($Z$3/1000)/100,1)</f>
        <v/>
      </c>
      <c r="J1170" t="inlineStr"/>
      <c r="K1170" t="inlineStr"/>
      <c r="L1170" t="inlineStr"/>
      <c r="M1170" t="inlineStr"/>
      <c r="N1170" t="inlineStr"/>
      <c r="O1170">
        <f>(1-Summary!$B$11)*S1170+Summary!$B$11*U1170</f>
        <v/>
      </c>
      <c r="P1170">
        <f>IF(B1195=0,0,O1170/B1195)</f>
        <v/>
      </c>
      <c r="Q1170">
        <f>IFERROR(1/(IF(Inputs!$B$39="pvp",15,MAX(0.1,Skills!D18-IF(Skills!E18=TRUE,(Inputs!$B$33+1),0)))*(1-IF(AND(ArtifactsInput!$M$27,Inputs!$B$4="Chapter Hunt"),CHOOSE(ArtifactsInput!$N$27+1,20,24,28,32,36,40),0)/100)),0)</f>
        <v/>
      </c>
      <c r="R1170" t="n">
        <v>0</v>
      </c>
      <c r="S1170" t="n">
        <v>0</v>
      </c>
      <c r="U1170" t="n">
        <v>0</v>
      </c>
    </row>
    <row r="1171">
      <c r="A1171">
        <f>Skills!A19</f>
        <v/>
      </c>
      <c r="B1171">
        <f>Skills!B19</f>
        <v/>
      </c>
      <c r="C1171">
        <f>Inputs!$B$3&gt;=110</f>
        <v/>
      </c>
      <c r="D1171">
        <f>IF(Skills!C19=1,60+Inputs!$B$26+Inputs!$B$30,IF(Skills!C19=2,90+Inputs!$B$27+Inputs!$B$30,IF(Skills!C19=3,120+Inputs!$B$28+Inputs!$B$30,MAX(0,(Inputs!$B$3-100)*3)+Inputs!$B$29+Inputs!$B$30)))</f>
        <v/>
      </c>
      <c r="E1171">
        <f>INDEX(FactorTable!$B$2:$Y$301, MATCH(ROUND(MIN(300,MAX(1,D1171)),0), FactorTable!$A$2:$A$301,0), Skills!L19+1)</f>
        <v/>
      </c>
      <c r="F1171">
        <f>(Skills!K19/10)*(E1171/1000)*64/45+Skills!N19</f>
        <v/>
      </c>
      <c r="G1171">
        <f>Calc!G19</f>
        <v/>
      </c>
      <c r="H1171">
        <f>Calc!H19</f>
        <v/>
      </c>
      <c r="I1171">
        <f>IF(Skills!T19&lt;&gt;"",1+(Skills!T19/10)*($Z$3/1000)/100,1)</f>
        <v/>
      </c>
      <c r="J1171" t="inlineStr"/>
      <c r="K1171" t="inlineStr"/>
      <c r="L1171" t="inlineStr"/>
      <c r="M1171" t="inlineStr"/>
      <c r="N1171" t="inlineStr"/>
      <c r="O1171">
        <f>(1-Summary!$B$11)*S1171+Summary!$B$11*U1171</f>
        <v/>
      </c>
      <c r="P1171">
        <f>IF(B1195=0,0,O1171/B1195)</f>
        <v/>
      </c>
      <c r="Q1171">
        <f>IFERROR(1/(IF(Inputs!$B$39="pvp",15,MAX(0.1,Skills!D19-IF(Skills!E19=TRUE,(Inputs!$B$33+1),0)))*(1-IF(AND(ArtifactsInput!$M$27,Inputs!$B$4="Chapter Hunt"),CHOOSE(ArtifactsInput!$N$27+1,20,24,28,32,36,40),0)/100)),0)</f>
        <v/>
      </c>
      <c r="R1171">
        <f>IF(AND(Inputs!$B$39&lt;&gt;"pvp",Inputs!$B$44&gt;0),IF(Inputs!$B$44&lt;=0,0,(INT(Inputs!$B$44/(IF(Inputs!$B$39="pvp",15,MAX(0.1,Skills!D19-IF(Skills!E19=TRUE,(Inputs!$B$33+1),0)))*(1-IF(AND(ArtifactsInput!$M$27,Inputs!$B$4="Chapter Hunt"),CHOOSE(ArtifactsInput!$N$27+1,20,24,28,32,36,40),0)/100)))+1)),0)</f>
        <v/>
      </c>
      <c r="S1171" t="n">
        <v>0</v>
      </c>
      <c r="U1171" t="n">
        <v>0</v>
      </c>
    </row>
    <row r="1172">
      <c r="A1172">
        <f>Skills!A20</f>
        <v/>
      </c>
      <c r="B1172">
        <f>Skills!B20</f>
        <v/>
      </c>
      <c r="C1172">
        <f>Inputs!$B$3&gt;=125</f>
        <v/>
      </c>
      <c r="D1172">
        <f>IF(Skills!C20=1,60+Inputs!$B$26+Inputs!$B$30,IF(Skills!C20=2,90+Inputs!$B$27+Inputs!$B$30,IF(Skills!C20=3,120+Inputs!$B$28+Inputs!$B$30,MAX(0,(Inputs!$B$3-100)*3)+Inputs!$B$29+Inputs!$B$30)))</f>
        <v/>
      </c>
      <c r="E1172">
        <f>INDEX(FactorTable!$B$2:$Y$301, MATCH(ROUND(MIN(300,MAX(1,D1172)),0), FactorTable!$A$2:$A$301,0), Skills!L20+1)</f>
        <v/>
      </c>
      <c r="F1172">
        <f>IF(Skills!M20=TRUE,(Skills!K20/10)*(E1172/1000),Skills!K20/10)+Skills!N20</f>
        <v/>
      </c>
      <c r="G1172">
        <f>Calc!G20</f>
        <v/>
      </c>
      <c r="H1172">
        <f>Calc!H20</f>
        <v/>
      </c>
      <c r="I1172">
        <f>IF(Skills!T20&lt;&gt;"",1+(Skills!T20/10)*($Z$3/1000)/100,1)</f>
        <v/>
      </c>
      <c r="J1172" t="inlineStr"/>
      <c r="K1172" t="inlineStr"/>
      <c r="L1172" t="inlineStr"/>
      <c r="M1172" t="inlineStr"/>
      <c r="N1172" t="inlineStr"/>
      <c r="O1172">
        <f>(1-Summary!$B$11)*S1172+Summary!$B$11*U1172</f>
        <v/>
      </c>
      <c r="P1172">
        <f>IF(B1195=0,0,O1172/B1195)</f>
        <v/>
      </c>
      <c r="Q1172">
        <f>IFERROR(1/(IF(Inputs!$B$39="pvp",15,MAX(0.1,Skills!D20-IF(Skills!E20=TRUE,(Inputs!$B$33+1),0)))*(1-IF(AND(ArtifactsInput!$M$27,Inputs!$B$4="Chapter Hunt"),CHOOSE(ArtifactsInput!$N$27+1,20,24,28,32,36,40),0)/100)),0)</f>
        <v/>
      </c>
      <c r="R1172" t="n">
        <v>0</v>
      </c>
      <c r="S1172" t="n">
        <v>0</v>
      </c>
      <c r="U1172" t="n">
        <v>0</v>
      </c>
    </row>
    <row r="1173">
      <c r="A1173">
        <f>Skills!A21</f>
        <v/>
      </c>
      <c r="B1173">
        <f>Skills!B21</f>
        <v/>
      </c>
      <c r="C1173">
        <f>Inputs!$B$3&gt;=33</f>
        <v/>
      </c>
      <c r="D1173">
        <f>IF(Skills!C21=1,60+Inputs!$B$26+Inputs!$B$30,IF(Skills!C21=2,90+Inputs!$B$27+Inputs!$B$30,IF(Skills!C21=3,120+Inputs!$B$28+Inputs!$B$30,MAX(0,(Inputs!$B$3-100)*3)+Inputs!$B$29+Inputs!$B$30)))</f>
        <v/>
      </c>
      <c r="E1173">
        <f>INDEX(FactorTable!$B$2:$Y$301, MATCH(ROUND(MIN(300,MAX(1,D1173)),0), FactorTable!$A$2:$A$301,0), Skills!L21+1)</f>
        <v/>
      </c>
      <c r="F1173">
        <f>IF(Skills!M21=TRUE,(Skills!K21/10)*(E1173/1000),Skills!K21/10)+Skills!N21</f>
        <v/>
      </c>
      <c r="G1173">
        <f>Calc!G21</f>
        <v/>
      </c>
      <c r="H1173">
        <f>Calc!H21</f>
        <v/>
      </c>
      <c r="I1173">
        <f>IF(Skills!T21&lt;&gt;"",1+(Skills!T21/10)*($Z$3/1000)/100,1)</f>
        <v/>
      </c>
      <c r="J1173" t="inlineStr"/>
      <c r="K1173" t="inlineStr"/>
      <c r="L1173" t="inlineStr"/>
      <c r="M1173" t="inlineStr"/>
      <c r="N1173" t="inlineStr"/>
      <c r="O1173">
        <f>(1-Summary!$B$11)*S1173+Summary!$B$11*U1173</f>
        <v/>
      </c>
      <c r="P1173">
        <f>IF(B1195=0,0,O1173/B1195)</f>
        <v/>
      </c>
      <c r="Q1173">
        <f>IFERROR(1/(IF(Inputs!$B$39="pvp",15,MAX(0.1,Skills!D21-IF(Skills!E21=TRUE,(Inputs!$B$33+1),0)))*(1-IF(AND(ArtifactsInput!$M$27,Inputs!$B$4="Chapter Hunt"),CHOOSE(ArtifactsInput!$N$27+1,20,24,28,32,36,40),0)/100)),0)</f>
        <v/>
      </c>
      <c r="R1173" t="n">
        <v>0</v>
      </c>
      <c r="S1173" t="n">
        <v>0</v>
      </c>
      <c r="U1173" t="n">
        <v>0</v>
      </c>
    </row>
    <row r="1174">
      <c r="A1174">
        <f>Skills!A22</f>
        <v/>
      </c>
      <c r="B1174">
        <f>Skills!B22</f>
        <v/>
      </c>
      <c r="C1174">
        <f>Inputs!$B$3&gt;=43</f>
        <v/>
      </c>
      <c r="D1174">
        <f>IF(Skills!C22=1,60+Inputs!$B$26+Inputs!$B$30,IF(Skills!C22=2,90+Inputs!$B$27+Inputs!$B$30,IF(Skills!C22=3,120+Inputs!$B$28+Inputs!$B$30,MAX(0,(Inputs!$B$3-100)*3)+Inputs!$B$29+Inputs!$B$30)))</f>
        <v/>
      </c>
      <c r="E1174">
        <f>INDEX(FactorTable!$B$2:$Y$301, MATCH(ROUND(MIN(300,MAX(1,D1174)),0), FactorTable!$A$2:$A$301,0), Skills!L22+1)</f>
        <v/>
      </c>
      <c r="F1174">
        <f>IF(Skills!M22=TRUE,(Skills!K22/10)*(E1174/1000),Skills!K22/10)+Skills!N22</f>
        <v/>
      </c>
      <c r="G1174">
        <f>Calc!G22</f>
        <v/>
      </c>
      <c r="H1174">
        <f>Calc!H22</f>
        <v/>
      </c>
      <c r="I1174">
        <f>IF(Skills!T22&lt;&gt;"",1+(Skills!T22/10)*($Z$3/1000)/100,1)</f>
        <v/>
      </c>
      <c r="J1174" t="inlineStr"/>
      <c r="K1174" t="inlineStr"/>
      <c r="L1174" t="inlineStr"/>
      <c r="M1174" t="inlineStr"/>
      <c r="N1174" t="inlineStr"/>
      <c r="O1174">
        <f>(1-Summary!$B$11)*S1174+Summary!$B$11*U1174</f>
        <v/>
      </c>
      <c r="P1174">
        <f>IF(B1195=0,0,O1174/B1195)</f>
        <v/>
      </c>
      <c r="Q1174">
        <f>IFERROR(1/(IF(Inputs!$B$39="pvp",15,MAX(0.1,Skills!D22-IF(Skills!E22=TRUE,(Inputs!$B$33+1),0)))*(1-IF(AND(ArtifactsInput!$M$27,Inputs!$B$4="Chapter Hunt"),CHOOSE(ArtifactsInput!$N$27+1,20,24,28,32,36,40),0)/100)),0)</f>
        <v/>
      </c>
      <c r="R1174" t="n">
        <v>0</v>
      </c>
      <c r="S1174" t="n">
        <v>0</v>
      </c>
      <c r="U1174" t="n">
        <v>0</v>
      </c>
    </row>
    <row r="1175">
      <c r="A1175">
        <f>Skills!A23</f>
        <v/>
      </c>
      <c r="B1175">
        <f>Skills!B23</f>
        <v/>
      </c>
      <c r="C1175">
        <f>Inputs!$B$3&gt;=50</f>
        <v/>
      </c>
      <c r="D1175">
        <f>IF(Skills!C23=1,60+Inputs!$B$26+Inputs!$B$30,IF(Skills!C23=2,90+Inputs!$B$27+Inputs!$B$30,IF(Skills!C23=3,120+Inputs!$B$28+Inputs!$B$30,MAX(0,(Inputs!$B$3-100)*3)+Inputs!$B$29+Inputs!$B$30)))</f>
        <v/>
      </c>
      <c r="E1175">
        <f>INDEX(FactorTable!$B$2:$Y$301, MATCH(ROUND(MIN(300,MAX(1,D1175)),0), FactorTable!$A$2:$A$301,0), Skills!L23+1)</f>
        <v/>
      </c>
      <c r="F1175">
        <f>IF(Skills!M23=TRUE,(Skills!K23/10)*(E1175/1000),Skills!K23/10)+Skills!N23</f>
        <v/>
      </c>
      <c r="G1175">
        <f>Calc!G23</f>
        <v/>
      </c>
      <c r="H1175">
        <f>Calc!H23</f>
        <v/>
      </c>
      <c r="I1175">
        <f>IF(Skills!T23&lt;&gt;"",1+(Skills!T23/10)*($Z$3/1000)/100,1)</f>
        <v/>
      </c>
      <c r="J1175" t="inlineStr"/>
      <c r="K1175" t="inlineStr"/>
      <c r="L1175" t="inlineStr"/>
      <c r="M1175" t="inlineStr"/>
      <c r="N1175" t="inlineStr"/>
      <c r="O1175">
        <f>(1-Summary!$B$11)*S1175+Summary!$B$11*U1175</f>
        <v/>
      </c>
      <c r="P1175">
        <f>IF(B1195=0,0,O1175/B1195)</f>
        <v/>
      </c>
      <c r="Q1175">
        <f>IFERROR(1/(IF(Inputs!$B$39="pvp",15,MAX(0.1,Skills!D23-IF(Skills!E23=TRUE,(Inputs!$B$33+1),0)))*(1-IF(AND(ArtifactsInput!$M$27,Inputs!$B$4="Chapter Hunt"),CHOOSE(ArtifactsInput!$N$27+1,20,24,28,32,36,40),0)/100)),0)</f>
        <v/>
      </c>
      <c r="R1175" t="n">
        <v>0</v>
      </c>
      <c r="S1175" t="n">
        <v>0</v>
      </c>
      <c r="U1175" t="n">
        <v>0</v>
      </c>
    </row>
    <row r="1176">
      <c r="A1176">
        <f>Skills!A24</f>
        <v/>
      </c>
      <c r="B1176">
        <f>Skills!B24</f>
        <v/>
      </c>
      <c r="C1176">
        <f>Inputs!$B$3&gt;=74</f>
        <v/>
      </c>
      <c r="D1176">
        <f>IF(Skills!C24=1,60+Inputs!$B$26+Inputs!$B$30,IF(Skills!C24=2,90+Inputs!$B$27+Inputs!$B$30,IF(Skills!C24=3,120+Inputs!$B$28+Inputs!$B$30,MAX(0,(Inputs!$B$3-100)*3)+Inputs!$B$29+Inputs!$B$30)))</f>
        <v/>
      </c>
      <c r="E1176">
        <f>INDEX(FactorTable!$B$2:$Y$301, MATCH(ROUND(MIN(300,MAX(1,D1176)),0), FactorTable!$A$2:$A$301,0), Skills!L24+1)</f>
        <v/>
      </c>
      <c r="F1176">
        <f>IF(Skills!M24=TRUE,(Skills!K24/10)*(E1176/1000),Skills!K24/10)+Skills!N24</f>
        <v/>
      </c>
      <c r="G1176">
        <f>Calc!G24</f>
        <v/>
      </c>
      <c r="H1176">
        <f>Calc!H24</f>
        <v/>
      </c>
      <c r="I1176">
        <f>IF(Skills!T24&lt;&gt;"",1+(Skills!T24/10)*($Z$3/1000)/100,1)</f>
        <v/>
      </c>
      <c r="J1176" t="inlineStr"/>
      <c r="K1176" t="inlineStr"/>
      <c r="L1176" t="inlineStr"/>
      <c r="M1176" t="inlineStr"/>
      <c r="N1176" t="inlineStr"/>
      <c r="O1176">
        <f>(1-Summary!$B$11)*S1176+Summary!$B$11*U1176</f>
        <v/>
      </c>
      <c r="P1176">
        <f>IF(B1195=0,0,O1176/B1195)</f>
        <v/>
      </c>
      <c r="Q1176">
        <f>IFERROR(1/(IF(Inputs!$B$39="pvp",15,MAX(0.1,Skills!D24-IF(Skills!E24=TRUE,(Inputs!$B$33+1),0)))*(1-IF(AND(ArtifactsInput!$M$27,Inputs!$B$4="Chapter Hunt"),CHOOSE(ArtifactsInput!$N$27+1,20,24,28,32,36,40),0)/100)),0)</f>
        <v/>
      </c>
      <c r="R1176" t="n">
        <v>0</v>
      </c>
      <c r="S1176" t="n">
        <v>0</v>
      </c>
      <c r="U1176" t="n">
        <v>0</v>
      </c>
    </row>
    <row r="1177">
      <c r="A1177">
        <f>Skills!A25</f>
        <v/>
      </c>
      <c r="B1177">
        <f>Skills!B25</f>
        <v/>
      </c>
      <c r="C1177">
        <f>Inputs!$B$3&gt;=74</f>
        <v/>
      </c>
      <c r="D1177">
        <f>IF(Skills!C25=1,60+Inputs!$B$26+Inputs!$B$30,IF(Skills!C25=2,90+Inputs!$B$27+Inputs!$B$30,IF(Skills!C25=3,120+Inputs!$B$28+Inputs!$B$30,MAX(0,(Inputs!$B$3-100)*3)+Inputs!$B$29+Inputs!$B$30)))</f>
        <v/>
      </c>
      <c r="E1177">
        <f>INDEX(FactorTable!$B$2:$Y$301, MATCH(ROUND(MIN(300,MAX(1,D1177)),0), FactorTable!$A$2:$A$301,0), Skills!L25+1)</f>
        <v/>
      </c>
      <c r="F1177">
        <f>IF(Skills!M25=TRUE,(Skills!K25/10)*(E1177/1000),Skills!K25/10)+Skills!N25</f>
        <v/>
      </c>
      <c r="G1177">
        <f>Calc!G25</f>
        <v/>
      </c>
      <c r="H1177">
        <f>Calc!H25</f>
        <v/>
      </c>
      <c r="I1177">
        <f>IF(Skills!T25&lt;&gt;"",1+(Skills!T25/10)*($Z$3/1000)/100,1)</f>
        <v/>
      </c>
      <c r="J1177" t="inlineStr"/>
      <c r="K1177" t="inlineStr"/>
      <c r="L1177" t="inlineStr"/>
      <c r="M1177" t="inlineStr"/>
      <c r="N1177" t="inlineStr"/>
      <c r="O1177">
        <f>(1-Summary!$B$11)*S1177+Summary!$B$11*U1177</f>
        <v/>
      </c>
      <c r="P1177">
        <f>IF(B1195=0,0,O1177/B1195)</f>
        <v/>
      </c>
      <c r="Q1177">
        <f>IFERROR(1/(IF(Inputs!$B$39="pvp",15,MAX(0.1,Skills!D25-IF(Skills!E25=TRUE,(Inputs!$B$33+1),0)))*(1-IF(AND(ArtifactsInput!$M$27,Inputs!$B$4="Chapter Hunt"),CHOOSE(ArtifactsInput!$N$27+1,20,24,28,32,36,40),0)/100)),0)</f>
        <v/>
      </c>
      <c r="R1177" t="n">
        <v>0</v>
      </c>
      <c r="S1177" t="n">
        <v>0</v>
      </c>
      <c r="U1177" t="n">
        <v>0</v>
      </c>
    </row>
    <row r="1178">
      <c r="A1178">
        <f>Skills!A26</f>
        <v/>
      </c>
      <c r="B1178">
        <f>Skills!B26</f>
        <v/>
      </c>
      <c r="C1178">
        <f>Inputs!$B$3&gt;=117</f>
        <v/>
      </c>
      <c r="D1178">
        <f>IF(Skills!C26=1,60+Inputs!$B$26+Inputs!$B$30,IF(Skills!C26=2,90+Inputs!$B$27+Inputs!$B$30,IF(Skills!C26=3,120+Inputs!$B$28+Inputs!$B$30,MAX(0,(Inputs!$B$3-100)*3)+Inputs!$B$29+Inputs!$B$30)))</f>
        <v/>
      </c>
      <c r="E1178">
        <f>INDEX(FactorTable!$B$2:$Y$301, MATCH(ROUND(MIN(300,MAX(1,D1178)),0), FactorTable!$A$2:$A$301,0), Skills!L26+1)</f>
        <v/>
      </c>
      <c r="F1178">
        <f>IF(Skills!M26=TRUE,(Skills!K26/10)*(E1178/1000),Skills!K26/10)+Skills!N26</f>
        <v/>
      </c>
      <c r="G1178">
        <f>Calc!G26</f>
        <v/>
      </c>
      <c r="H1178">
        <f>Calc!H26</f>
        <v/>
      </c>
      <c r="I1178">
        <f>IF(Skills!T26&lt;&gt;"",1+(Skills!T26/10)*($Z$3/1000)/100,1)</f>
        <v/>
      </c>
      <c r="J1178" t="inlineStr"/>
      <c r="K1178" t="inlineStr"/>
      <c r="L1178" t="inlineStr"/>
      <c r="M1178" t="inlineStr"/>
      <c r="N1178" t="inlineStr"/>
      <c r="O1178">
        <f>(1-Summary!$B$11)*S1178+Summary!$B$11*U1178</f>
        <v/>
      </c>
      <c r="P1178">
        <f>IF(B1195=0,0,O1178/B1195)</f>
        <v/>
      </c>
      <c r="Q1178">
        <f>IFERROR(1/(IF(Inputs!$B$39="pvp",15,MAX(0.1,Skills!D26-IF(Skills!E26=TRUE,(Inputs!$B$33+1),0)))*(1-IF(AND(ArtifactsInput!$M$27,Inputs!$B$4="Chapter Hunt"),CHOOSE(ArtifactsInput!$N$27+1,20,24,28,32,36,40),0)/100)),0)</f>
        <v/>
      </c>
      <c r="R1178" t="n">
        <v>0</v>
      </c>
      <c r="S1178" t="n">
        <v>0</v>
      </c>
      <c r="U1178" t="n">
        <v>0</v>
      </c>
    </row>
    <row r="1179">
      <c r="A1179">
        <f>Skills!A27</f>
        <v/>
      </c>
      <c r="B1179">
        <f>Skills!B27</f>
        <v/>
      </c>
      <c r="C1179">
        <f>Inputs!$B$3&gt;=120</f>
        <v/>
      </c>
      <c r="D1179">
        <f>IF(Skills!C27=1,60+Inputs!$B$26+Inputs!$B$30,IF(Skills!C27=2,90+Inputs!$B$27+Inputs!$B$30,IF(Skills!C27=3,120+Inputs!$B$28+Inputs!$B$30,MAX(0,(Inputs!$B$3-100)*3)+Inputs!$B$29+Inputs!$B$30)))</f>
        <v/>
      </c>
      <c r="E1179">
        <f>INDEX(FactorTable!$B$2:$Y$301, MATCH(ROUND(MIN(300,MAX(1,D1179)),0), FactorTable!$A$2:$A$301,0), Skills!L27+1)</f>
        <v/>
      </c>
      <c r="F1179">
        <f>IF(Skills!M27=TRUE,(Skills!K27/10)*(E1179/1000),Skills!K27/10)+Skills!N27</f>
        <v/>
      </c>
      <c r="G1179">
        <f>Calc!G27</f>
        <v/>
      </c>
      <c r="H1179">
        <f>Calc!H27</f>
        <v/>
      </c>
      <c r="I1179">
        <f>IF(Skills!T27&lt;&gt;"",1+(Skills!T27/10)*($Z$3/1000)/100,1)</f>
        <v/>
      </c>
      <c r="J1179" t="inlineStr"/>
      <c r="K1179" t="inlineStr"/>
      <c r="L1179" t="inlineStr"/>
      <c r="M1179" t="inlineStr"/>
      <c r="N1179" t="inlineStr"/>
      <c r="O1179">
        <f>(1-Summary!$B$11)*S1179+Summary!$B$11*U1179</f>
        <v/>
      </c>
      <c r="P1179">
        <f>IF(B1195=0,0,O1179/B1195)</f>
        <v/>
      </c>
      <c r="Q1179">
        <f>IFERROR(1/(IF(Inputs!$B$39="pvp",15,MAX(0.1,Skills!D27-IF(Skills!E27=TRUE,(Inputs!$B$33+1),0)))*(1-IF(AND(ArtifactsInput!$M$27,Inputs!$B$4="Chapter Hunt"),CHOOSE(ArtifactsInput!$N$27+1,20,24,28,32,36,40),0)/100)),0)</f>
        <v/>
      </c>
      <c r="R1179" t="n">
        <v>0</v>
      </c>
      <c r="S1179" t="n">
        <v>0</v>
      </c>
      <c r="U1179" t="n">
        <v>0</v>
      </c>
    </row>
    <row r="1180">
      <c r="A1180">
        <f>Skills!A28</f>
        <v/>
      </c>
      <c r="B1180">
        <f>Skills!B28</f>
        <v/>
      </c>
      <c r="C1180">
        <f>TRUE</f>
        <v/>
      </c>
      <c r="D1180">
        <f>IF(Skills!C28=1,60+Inputs!$B$26+Inputs!$B$30,IF(Skills!C28=2,90+Inputs!$B$27+Inputs!$B$30,IF(Skills!C28=3,120+Inputs!$B$28+Inputs!$B$30,MAX(0,(Inputs!$B$3-100)*3)+Inputs!$B$29+Inputs!$B$30)))</f>
        <v/>
      </c>
      <c r="E1180">
        <f>INDEX(FactorTable!$B$2:$Y$301, MATCH(ROUND(MIN(300,MAX(1,D1180)),0), FactorTable!$A$2:$A$301,0), Skills!L28+1)</f>
        <v/>
      </c>
      <c r="F1180">
        <f>IF(Skills!M28=TRUE,(Skills!K28/10)*(E1180/1000),Skills!K28/10)+Skills!N28</f>
        <v/>
      </c>
      <c r="G1180">
        <f>Calc!G28</f>
        <v/>
      </c>
      <c r="H1180">
        <f>Calc!H28</f>
        <v/>
      </c>
      <c r="I1180">
        <f>IF(Skills!T28&lt;&gt;"",1+(Skills!T28/10)*($Z$3/1000)/100,1)</f>
        <v/>
      </c>
      <c r="J1180" t="inlineStr"/>
      <c r="K1180" t="inlineStr"/>
      <c r="L1180" t="inlineStr"/>
      <c r="M1180" t="inlineStr"/>
      <c r="N1180" t="inlineStr"/>
      <c r="O1180">
        <f>(1-Summary!$B$11)*S1180+Summary!$B$11*U1180</f>
        <v/>
      </c>
      <c r="P1180">
        <f>IF(B1195=0,0,O1180/B1195)</f>
        <v/>
      </c>
      <c r="Q1180">
        <f>IFERROR(1/(IF(Inputs!$B$39="pvp",15,MAX(0.1,Skills!D28-IF(Skills!E28=TRUE,(Inputs!$B$33+1),0)))*(1-IF(AND(ArtifactsInput!$M$27,Inputs!$B$4="Chapter Hunt"),CHOOSE(ArtifactsInput!$N$27+1,20,24,28,32,36,40),0)/100)),0)</f>
        <v/>
      </c>
      <c r="R1180">
        <f>IF(AND(Inputs!$B$39&lt;&gt;"pvp",Inputs!$B$44&gt;0),IF(Inputs!$B$44&lt;=0,0,(INT(Inputs!$B$44/(IF(Inputs!$B$39="pvp",15,MAX(0.1,Skills!D28-IF(Skills!E28=TRUE,(Inputs!$B$33+1),0)))*(1-IF(AND(ArtifactsInput!$M$27,Inputs!$B$4="Chapter Hunt"),CHOOSE(ArtifactsInput!$N$27+1,20,24,28,32,36,40),0)/100)))+1)),0)</f>
        <v/>
      </c>
      <c r="S1180" t="n">
        <v>0</v>
      </c>
      <c r="U1180" t="n">
        <v>0</v>
      </c>
    </row>
    <row r="1182">
      <c r="A1182" t="inlineStr">
        <is>
          <t>Average Buff Multiplier</t>
        </is>
      </c>
      <c r="B1182">
        <f>(1+(IF(C1155=TRUE,F1155*IF(AND(Inputs!$B$39&lt;&gt;"pvp",Inputs!$B$44&gt;0),(((R1155-1)*(Skills!S3*(1+((Inputs!$B$35+(ArtifactsInput!$M$7-ArtifactsInput!$M$7)*CHOOSE(ArtifactsInput!$N$7+1,6,7.2,8.4,9.6,10.8,12))+IF(Inputs!$B$3&gt;=117,F1178,0))/100))+MIN((Skills!S3*(1+((Inputs!$B$35+(ArtifactsInput!$M$7-ArtifactsInput!$M$7)*CHOOSE(ArtifactsInput!$N$7+1,6,7.2,8.4,9.6,10.8,12))+IF(Inputs!$B$3&gt;=117,F1178,0))/100)),MAX(0,Inputs!$B$44-((R1155-1)*Skills!D3))))/Inputs!$B$44),IF(Inputs!$B$39="pvp",MIN((Skills!S3*(1+((Inputs!$B$35+(ArtifactsInput!$M$7-ArtifactsInput!$M$7)*CHOOSE(ArtifactsInput!$N$7+1,6,7.2,8.4,9.6,10.8,12))+IF(Inputs!$B$3&gt;=117,F1178,0))/100)),15)/15,(Skills!S3*(1+((Inputs!$B$35+(ArtifactsInput!$M$7-ArtifactsInput!$M$7)*CHOOSE(ArtifactsInput!$N$7+1,6,7.2,8.4,9.6,10.8,12))+IF(Inputs!$B$3&gt;=117,F1178,0))/100))/Skills!D3)),0)+IF(C1156=TRUE,F1156*IF(AND(Inputs!$B$39&lt;&gt;"pvp",Inputs!$B$44&gt;0),(((R1156-1)*(Skills!S4*(1+((Inputs!$B$35+(ArtifactsInput!$M$7-ArtifactsInput!$M$7)*CHOOSE(ArtifactsInput!$N$7+1,6,7.2,8.4,9.6,10.8,12))+IF(Inputs!$B$3&gt;=117,F1178,0))/100))+MIN((Skills!S4*(1+((Inputs!$B$35+(ArtifactsInput!$M$7-ArtifactsInput!$M$7)*CHOOSE(ArtifactsInput!$N$7+1,6,7.2,8.4,9.6,10.8,12))+IF(Inputs!$B$3&gt;=117,F1178,0))/100)),MAX(0,Inputs!$B$44-((R1156-1)*Skills!D4))))/Inputs!$B$44),IF(Inputs!$B$39="pvp",MIN((Skills!S4*(1+((Inputs!$B$35+(ArtifactsInput!$M$7-ArtifactsInput!$M$7)*CHOOSE(ArtifactsInput!$N$7+1,6,7.2,8.4,9.6,10.8,12))+IF(Inputs!$B$3&gt;=117,F1178,0))/100)),15)/15,(Skills!S4*(1+((Inputs!$B$35+(ArtifactsInput!$M$7-ArtifactsInput!$M$7)*CHOOSE(ArtifactsInput!$N$7+1,6,7.2,8.4,9.6,10.8,12))+IF(Inputs!$B$3&gt;=117,F1178,0))/100))/Skills!D4)),0)+IF(C1157=TRUE,F1157*IF(AND(Inputs!$B$39&lt;&gt;"pvp",Inputs!$B$44&gt;0),(((R1157-1)*(Skills!S5*(1+((Inputs!$B$35+(ArtifactsInput!$M$7-ArtifactsInput!$M$7)*CHOOSE(ArtifactsInput!$N$7+1,6,7.2,8.4,9.6,10.8,12))+IF(Inputs!$B$3&gt;=117,F1178,0))/100))+MIN((Skills!S5*(1+((Inputs!$B$35+(ArtifactsInput!$M$7-ArtifactsInput!$M$7)*CHOOSE(ArtifactsInput!$N$7+1,6,7.2,8.4,9.6,10.8,12))+IF(Inputs!$B$3&gt;=117,F1178,0))/100)),MAX(0,Inputs!$B$44-((R1157-1)*Skills!D5))))/Inputs!$B$44),IF(Inputs!$B$39="pvp",MIN((Skills!S5*(1+((Inputs!$B$35+(ArtifactsInput!$M$7-ArtifactsInput!$M$7)*CHOOSE(ArtifactsInput!$N$7+1,6,7.2,8.4,9.6,10.8,12))+IF(Inputs!$B$3&gt;=117,F1178,0))/100)),15)/15,(Skills!S5*(1+((Inputs!$B$35+(ArtifactsInput!$M$7-ArtifactsInput!$M$7)*CHOOSE(ArtifactsInput!$N$7+1,6,7.2,8.4,9.6,10.8,12))+IF(Inputs!$B$3&gt;=117,F1178,0))/100))/Skills!D5)),0)+IF(C1163=TRUE,F1163*IF(AND(Inputs!$B$39&lt;&gt;"pvp",Inputs!$B$44&gt;0),(((R1163-1)*(Skills!S11*(1+((Inputs!$B$35+(ArtifactsInput!$M$7-ArtifactsInput!$M$7)*CHOOSE(ArtifactsInput!$N$7+1,6,7.2,8.4,9.6,10.8,12))+IF(Inputs!$B$3&gt;=117,F1178,0))/100))+MIN((Skills!S11*(1+((Inputs!$B$35+(ArtifactsInput!$M$7-ArtifactsInput!$M$7)*CHOOSE(ArtifactsInput!$N$7+1,6,7.2,8.4,9.6,10.8,12))+IF(Inputs!$B$3&gt;=117,F1178,0))/100)),MAX(0,Inputs!$B$44-((R1163-1)*Skills!D11))))/Inputs!$B$44),IF(Inputs!$B$39="pvp",MIN((Skills!S11*(1+((Inputs!$B$35+(ArtifactsInput!$M$7-ArtifactsInput!$M$7)*CHOOSE(ArtifactsInput!$N$7+1,6,7.2,8.4,9.6,10.8,12))+IF(Inputs!$B$3&gt;=117,F1178,0))/100)),15)/15,(Skills!S11*(1+((Inputs!$B$35+(ArtifactsInput!$M$7-ArtifactsInput!$M$7)*CHOOSE(ArtifactsInput!$N$7+1,6,7.2,8.4,9.6,10.8,12))+IF(Inputs!$B$3&gt;=117,F1178,0)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1166=TRUE,(1+F1166*IF(AND(Inputs!$B$39&lt;&gt;"pvp",Inputs!$B$44&gt;0),(((R1166-1)*(Skills!S14*(1+((Inputs!$B$35+(ArtifactsInput!$M$7-ArtifactsInput!$M$7)*CHOOSE(ArtifactsInput!$N$7+1,6,7.2,8.4,9.6,10.8,12))+IF(Inputs!$B$3&gt;=117,F1178,0))/100))+MIN((Skills!S14*(1+((Inputs!$B$35+(ArtifactsInput!$M$7-ArtifactsInput!$M$7)*CHOOSE(ArtifactsInput!$N$7+1,6,7.2,8.4,9.6,10.8,12))+IF(Inputs!$B$3&gt;=117,F1178,0))/100)),MAX(0,Inputs!$B$44-((R1166-1)*Skills!D14))))/Inputs!$B$44),IF(Inputs!$B$39="pvp",MIN((Skills!S14*(1+((Inputs!$B$35+(ArtifactsInput!$M$7-ArtifactsInput!$M$7)*CHOOSE(ArtifactsInput!$N$7+1,6,7.2,8.4,9.6,10.8,12))+IF(Inputs!$B$3&gt;=117,F1178,0))/100)),15)/15,(Skills!S14*(1+((Inputs!$B$35+(ArtifactsInput!$M$7-ArtifactsInput!$M$7)*CHOOSE(ArtifactsInput!$N$7+1,6,7.2,8.4,9.6,10.8,12))+IF(Inputs!$B$3&gt;=117,F1178,0))/100))/Skills!D14))/100),1)*IF(C1171=TRUE,(1+F1171*IF(AND(Inputs!$B$39&lt;&gt;"pvp",Inputs!$B$44&gt;0),(((R1171-1)*(Skills!S19*(1+((Inputs!$B$35+(ArtifactsInput!$M$7-ArtifactsInput!$M$7)*CHOOSE(ArtifactsInput!$N$7+1,6,7.2,8.4,9.6,10.8,12))+IF(Inputs!$B$3&gt;=117,F1178,0))/100))+MIN((Skills!S19*(1+((Inputs!$B$35+(ArtifactsInput!$M$7-ArtifactsInput!$M$7)*CHOOSE(ArtifactsInput!$N$7+1,6,7.2,8.4,9.6,10.8,12))+IF(Inputs!$B$3&gt;=117,F1178,0))/100)),MAX(0,Inputs!$B$44-((R1171-1)*Skills!D19))))/Inputs!$B$44),IF(Inputs!$B$39="pvp",MIN((Skills!S19*(1+((Inputs!$B$35+(ArtifactsInput!$M$7-ArtifactsInput!$M$7)*CHOOSE(ArtifactsInput!$N$7+1,6,7.2,8.4,9.6,10.8,12))+IF(Inputs!$B$3&gt;=117,F1178,0))/100)),15)/15,(Skills!S19*(1+((Inputs!$B$35+(ArtifactsInput!$M$7-ArtifactsInput!$M$7)*CHOOSE(ArtifactsInput!$N$7+1,6,7.2,8.4,9.6,10.8,12))+IF(Inputs!$B$3&gt;=117,F1178,0))/100))/Skills!D19))/100),1)</f>
        <v/>
      </c>
    </row>
    <row r="1183">
      <c r="A1183" t="inlineStr">
        <is>
          <t>Monster Damage Taken Bonus % (Holy Fountain)</t>
        </is>
      </c>
      <c r="B1183">
        <f>IF(Inputs!$B$3&gt;=68,20*IF(Inputs!$B$39="pvp",MIN((15*(1+((Inputs!$B$35+(ArtifactsInput!$M$7-ArtifactsInput!$M$7)*CHOOSE(ArtifactsInput!$N$7+1,6,7.2,8.4,9.6,10.8,12))+IF(Inputs!$B$3&gt;=117,F1178,0))/100)),15)/15,(15*(1+((Inputs!$B$35+(ArtifactsInput!$M$7-ArtifactsInput!$M$7)*CHOOSE(ArtifactsInput!$N$7+1,6,7.2,8.4,9.6,10.8,12))+IF(Inputs!$B$3&gt;=117,F1178,0))/100))/Skills!D10),0)</f>
        <v/>
      </c>
    </row>
    <row r="1184">
      <c r="A1184" t="inlineStr">
        <is>
          <t>Normal Monster Damage Bonus % (Holy Symbol)</t>
        </is>
      </c>
      <c r="B1184">
        <f>IF(C1164=TRUE,F1164*IF(AND(Inputs!$B$39&lt;&gt;"pvp",Inputs!$B$44&gt;0),(((R1164-1)*(Skills!S12*(1+((Inputs!$B$35+(ArtifactsInput!$M$7-ArtifactsInput!$M$7)*CHOOSE(ArtifactsInput!$N$7+1,6,7.2,8.4,9.6,10.8,12))+IF(Inputs!$B$3&gt;=117,F1178,0))/100))+MIN((Skills!S12*(1+((Inputs!$B$35+(ArtifactsInput!$M$7-ArtifactsInput!$M$7)*CHOOSE(ArtifactsInput!$N$7+1,6,7.2,8.4,9.6,10.8,12))+IF(Inputs!$B$3&gt;=117,F1178,0))/100)),MAX(0,Inputs!$B$44-((R1164-1)*Skills!D12))))/Inputs!$B$44),IF(Inputs!$B$39="pvp",MIN((Skills!S12*(1+((Inputs!$B$35+(ArtifactsInput!$M$7-ArtifactsInput!$M$7)*CHOOSE(ArtifactsInput!$N$7+1,6,7.2,8.4,9.6,10.8,12))+IF(Inputs!$B$3&gt;=117,F1178,0))/100)),15)/15,(Skills!S12*(1+((Inputs!$B$35+(ArtifactsInput!$M$7-ArtifactsInput!$M$7)*CHOOSE(ArtifactsInput!$N$7+1,6,7.2,8.4,9.6,10.8,12))+IF(Inputs!$B$3&gt;=117,F1178,0))/100))/Skills!D12)),0)</f>
        <v/>
      </c>
    </row>
    <row r="1185">
      <c r="A1185" t="inlineStr">
        <is>
          <t>Damage % Bonus (Holy Symbol - Damage Boost)</t>
        </is>
      </c>
      <c r="B1185">
        <f>Skills!O12</f>
        <v/>
      </c>
    </row>
    <row r="1186">
      <c r="A1186" t="inlineStr">
        <is>
          <t>Crit Damage % Bonus (Blood of the Divine)</t>
        </is>
      </c>
      <c r="B1186">
        <f>4*IF(C1172=TRUE,F1172,0)</f>
        <v/>
      </c>
    </row>
    <row r="1187">
      <c r="A1187" t="inlineStr">
        <is>
          <t>Attack Speed Bonus %</t>
        </is>
      </c>
      <c r="B1187">
        <f>IF(C1169=TRUE,F1169+(F1173-Calc!F21),0)+IF(Inputs!$B$3&gt;=134,15,0)+((C1180=TRUE)*F1180*IF(AND(Inputs!$B$39&lt;&gt;"pvp",Inputs!$B$44&gt;0),(((R1180-1)*(Skills!S28*(1+((Inputs!$B$35+(ArtifactsInput!$M$7-ArtifactsInput!$M$7)*CHOOSE(ArtifactsInput!$N$7+1,6,7.2,8.4,9.6,10.8,12))+IF(Inputs!$B$3&gt;=117,F1178,0))/100))+MIN((Skills!S28*(1+((Inputs!$B$35+(ArtifactsInput!$M$7-ArtifactsInput!$M$7)*CHOOSE(ArtifactsInput!$N$7+1,6,7.2,8.4,9.6,10.8,12))+IF(Inputs!$B$3&gt;=117,F1178,0))/100)),MAX(0,Inputs!$B$44-((R1180-1)*Skills!D28))))/Inputs!$B$44),IF(Inputs!$B$39="pvp",MIN((Skills!S28*(1+((Inputs!$B$35+(ArtifactsInput!$M$7-ArtifactsInput!$M$7)*CHOOSE(ArtifactsInput!$N$7+1,6,7.2,8.4,9.6,10.8,12))+IF(Inputs!$B$3&gt;=117,F1178,0))/100)),15)/15,(Skills!S28*(1+((Inputs!$B$35+(ArtifactsInput!$M$7-ArtifactsInput!$M$7)*CHOOSE(ArtifactsInput!$N$7+1,6,7.2,8.4,9.6,10.8,12))+IF(Inputs!$B$3&gt;=117,F1178,0))/100))/Skills!D28)))</f>
        <v/>
      </c>
    </row>
    <row r="1188">
      <c r="A1188" t="inlineStr">
        <is>
          <t>Actions Per Second</t>
        </is>
      </c>
      <c r="B1188">
        <f>1+MIN(150,150*(1-(1-Inputs!$B$12/150)*(1-B1187/150)))/100</f>
        <v/>
      </c>
    </row>
    <row r="1189">
      <c r="A1189" t="inlineStr">
        <is>
          <t>Skill + Buff Cast Rate</t>
        </is>
      </c>
      <c r="B1189">
        <f>IF(AND(Inputs!$B$39&lt;&gt;"pvp",Inputs!$B$44&gt;0),SUMPRODUCT((Skills!E2:E28=TRUE)*(C1154:C1180=TRUE)*R1154:R1180)/Inputs!$B$44,SUMPRODUCT((Skills!E2:E28=TRUE)*(C1154:C1180=TRUE)*Q1154:Q1180))</f>
        <v/>
      </c>
    </row>
    <row r="1190">
      <c r="A1190" t="inlineStr">
        <is>
          <t>Big Bang Casts Per Second</t>
        </is>
      </c>
      <c r="B1190">
        <f>MAX(0,B1188-B1189)</f>
        <v/>
      </c>
    </row>
    <row r="1191">
      <c r="A1191" t="inlineStr">
        <is>
          <t>Defense % Bonus (Divine Protection)</t>
        </is>
      </c>
      <c r="B1191">
        <f>IF(C1165=TRUE,F1165*IF(AND(Inputs!$B$39&lt;&gt;"pvp",Inputs!$B$44&gt;0),(((R1165-1)*(Skills!S13*(1+((Inputs!$B$35+(ArtifactsInput!$M$7-ArtifactsInput!$M$7)*CHOOSE(ArtifactsInput!$N$7+1,6,7.2,8.4,9.6,10.8,12))+IF(Inputs!$B$3&gt;=117,F1178,0))/100))+MIN((Skills!S13*(1+((Inputs!$B$35+(ArtifactsInput!$M$7-ArtifactsInput!$M$7)*CHOOSE(ArtifactsInput!$N$7+1,6,7.2,8.4,9.6,10.8,12))+IF(Inputs!$B$3&gt;=117,F1178,0))/100)),MAX(0,Inputs!$B$44-((R1165-1)*Skills!D13))))/Inputs!$B$44),IF(Inputs!$B$39="pvp",MIN((Skills!S13*(1+((Inputs!$B$35+(ArtifactsInput!$M$7-ArtifactsInput!$M$7)*CHOOSE(ArtifactsInput!$N$7+1,6,7.2,8.4,9.6,10.8,12))+IF(Inputs!$B$3&gt;=117,F1178,0))/100)),15)/15,(Skills!S13*(1+((Inputs!$B$35+(ArtifactsInput!$M$7-ArtifactsInput!$M$7)*CHOOSE(ArtifactsInput!$N$7+1,6,7.2,8.4,9.6,10.8,12))+IF(Inputs!$B$3&gt;=117,F1178,0))/100))/Skills!D13)),0)</f>
        <v/>
      </c>
    </row>
    <row r="1192">
      <c r="A1192" t="inlineStr">
        <is>
          <t>Buff-Casting Startup Delay (s, fixed-duration only)</t>
        </is>
      </c>
      <c r="B1192">
        <f>IF(AND(Inputs!$B$39&lt;&gt;"pvp",Inputs!$B$44&gt;0),SUMPRODUCT((Skills!S2:S28&gt;0)*(Skills!E2:E28=TRUE)*(C1154:C1180=TRUE))/B1188,0)</f>
        <v/>
      </c>
    </row>
    <row r="1193">
      <c r="A1193" t="inlineStr">
        <is>
          <t>Boss-Only Total DPS (this block's swept value)</t>
        </is>
      </c>
      <c r="B1193">
        <f>SUM(S1154:S1180)</f>
        <v/>
      </c>
    </row>
    <row r="1194">
      <c r="A1194" t="inlineStr">
        <is>
          <t>Normal-Only Total DPS (this block's swept value)</t>
        </is>
      </c>
      <c r="B1194">
        <f>SUM(U1154:U1180)</f>
        <v/>
      </c>
    </row>
    <row r="1195">
      <c r="A1195" s="6" t="inlineStr">
        <is>
          <t>TOTAL DPS</t>
        </is>
      </c>
      <c r="B1195" s="6">
        <f>SUM(O1154:O1180)</f>
        <v/>
      </c>
    </row>
    <row r="1197">
      <c r="A1197" s="6" t="inlineStr">
        <is>
          <t>Stat: Basic Attack Target Increase (flat)</t>
        </is>
      </c>
    </row>
    <row r="1198">
      <c r="A1198" s="5" t="inlineStr">
        <is>
          <t>Key</t>
        </is>
      </c>
      <c r="B1198" s="5" t="inlineStr">
        <is>
          <t>Name</t>
        </is>
      </c>
      <c r="C1198" s="5" t="inlineStr">
        <is>
          <t>Unlocked</t>
        </is>
      </c>
      <c r="D1198" s="5" t="inlineStr">
        <is>
          <t>InputLevel</t>
        </is>
      </c>
      <c r="E1198" s="5" t="inlineStr">
        <is>
          <t>Factor</t>
        </is>
      </c>
      <c r="F1198" s="5" t="inlineStr">
        <is>
          <t>CoefficientPercent</t>
        </is>
      </c>
      <c r="G1198" s="5" t="inlineStr">
        <is>
          <t>EffectiveHits</t>
        </is>
      </c>
      <c r="H1198" s="5" t="inlineStr">
        <is>
          <t>ProcProbability</t>
        </is>
      </c>
      <c r="I1198" s="5" t="inlineStr">
        <is>
          <t>MapleHeroMultiplier</t>
        </is>
      </c>
      <c r="J1198" s="5" t="inlineStr">
        <is>
          <t>BaseDamage</t>
        </is>
      </c>
      <c r="K1198" s="5" t="inlineStr">
        <is>
          <t>BaseHitDamage</t>
        </is>
      </c>
      <c r="L1198" s="5" t="inlineStr">
        <is>
          <t>NonCritAvg</t>
        </is>
      </c>
      <c r="M1198" s="5" t="inlineStr">
        <is>
          <t>CritAvg</t>
        </is>
      </c>
      <c r="N1198" s="5" t="inlineStr">
        <is>
          <t>ExpectedDamage(perHit)</t>
        </is>
      </c>
      <c r="O1198" s="5" t="inlineStr">
        <is>
          <t>DPS</t>
        </is>
      </c>
      <c r="P1198" s="5" t="inlineStr">
        <is>
          <t>% of Total</t>
        </is>
      </c>
      <c r="R1198" t="inlineStr">
        <is>
          <t>helpers</t>
        </is>
      </c>
    </row>
    <row r="1199">
      <c r="A1199">
        <f>Skills!A2</f>
        <v/>
      </c>
      <c r="B1199">
        <f>Skills!B2</f>
        <v/>
      </c>
      <c r="C1199">
        <f>Inputs!$B$3&gt;=100</f>
        <v/>
      </c>
      <c r="D1199" t="inlineStr"/>
      <c r="E1199" t="inlineStr"/>
      <c r="F1199">
        <f>T1201+Skills!N2</f>
        <v/>
      </c>
      <c r="G1199">
        <f>Calc!G2</f>
        <v/>
      </c>
      <c r="H1199">
        <f>Calc!H2</f>
        <v/>
      </c>
      <c r="I1199">
        <f>IF(Skills!T2&lt;&gt;"",1+(Skills!T2/10)*($Z$3/1000)/100,1)</f>
        <v/>
      </c>
      <c r="J1199">
        <f>((Inputs!$B$6*(1+Inputs!$B$7/100))+(((Inputs!$B$13*(1+Inputs!$B$14/100))-(Inputs!$B$13*(1+Inputs!$B$14/100)))+0.25*(Inputs!$B$15-Inputs!$B$15))*(1+Inputs!$B$7/100))*(F1199/100)</f>
        <v/>
      </c>
      <c r="K1199">
        <f>J1199*(1+(((Inputs!$B$13+IF(Inputs!$B$3&gt;=35,(10*INDEX(FactorTable!$B$2:$Y$301,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2="TRIUMPH_FEATHER",IF(C1213=TRUE,F1213,0),0)/100)*(1+IF(C1224=TRUE,F1224,0)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1199)</f>
        <v/>
      </c>
      <c r="L1199">
        <f>K1199*(MIN(Inputs!$B$23+(F1219-Calc!F22),(Inputs!$B$24+IF(ArtifactsInput!$M$15,CHOOSE(ArtifactsInput!$N$15+1,25,30,35,40,45,50)/100*(Inputs!$B$12-Inputs!$B$12),0)))/100+(Inputs!$B$24+IF(ArtifactsInput!$M$15,CHOOSE(ArtifactsInput!$N$15+1,25,30,35,40,45,50)/100*(Inputs!$B$12-Inputs!$B$12),0))/100)/2</f>
        <v/>
      </c>
      <c r="M1199">
        <f>L1199*(1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9">
        <f>L1199*(1-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1199*(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9">
        <f>(1-Summary!$B$11)*S1199+Summary!$B$11*U1199</f>
        <v/>
      </c>
      <c r="P1199">
        <f>IF(B1240=0,0,O1199/B1240)</f>
        <v/>
      </c>
      <c r="Q1199">
        <f>IFERROR(1/(IF(Inputs!$B$39="pvp",15,MAX(0.1,Skills!D2-IF(Skills!E2=TRUE,Inputs!$B$33,0)))*(1-IF(AND(ArtifactsInput!$M$27,Inputs!$B$4="Chapter Hunt"),CHOOSE(ArtifactsInput!$N$27+1,20,24,28,32,36,40),0)/100)),0)</f>
        <v/>
      </c>
      <c r="R1199" t="n">
        <v>0</v>
      </c>
      <c r="S1199">
        <f>IF(C1199,(Skills!F2*N1199*B1235)*IF(Inputs!$B$39="pvp",1,1+(Inputs!$B$21+Skills!O2+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1199*(1-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1199*(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1199*(1-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1199*(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9">
        <f>MAX(0,(Inputs!$B$3-100)*3)+Inputs!$B$29+Inputs!$B$30</f>
        <v/>
      </c>
      <c r="U1199">
        <f>IF(C1199,(Skills!F2*N1199*B1235)*IF(Inputs!$B$39="pvp",1,(1+(Inputs!$B$22+Skills!P2+B1229+(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0">
      <c r="A1200">
        <f>Skills!A3</f>
        <v/>
      </c>
      <c r="B1200">
        <f>Skills!B3</f>
        <v/>
      </c>
      <c r="C1200">
        <f>Inputs!$B$3&gt;=15</f>
        <v/>
      </c>
      <c r="D1200">
        <f>IF(Skills!C3=1,60+Inputs!$B$26+Inputs!$B$30,IF(Skills!C3=2,90+Inputs!$B$27+Inputs!$B$30,IF(Skills!C3=3,120+Inputs!$B$28+Inputs!$B$30,MAX(0,(Inputs!$B$3-100)*3)+Inputs!$B$29+Inputs!$B$30)))</f>
        <v/>
      </c>
      <c r="E1200">
        <f>INDEX(FactorTable!$B$2:$Y$301, MATCH(ROUND(MIN(300,MAX(1,D1200)),0), FactorTable!$A$2:$A$301,0), Skills!L3+1)</f>
        <v/>
      </c>
      <c r="F1200">
        <f>IF(Skills!M3=TRUE,(Skills!K3/10)*(E1200/1000),Skills!K3/10)+Skills!N3</f>
        <v/>
      </c>
      <c r="G1200">
        <f>Calc!G3</f>
        <v/>
      </c>
      <c r="H1200">
        <f>Calc!H3</f>
        <v/>
      </c>
      <c r="I1200">
        <f>IF(Skills!T3&lt;&gt;"",1+(Skills!T3/10)*($Z$3/1000)/100,1)</f>
        <v/>
      </c>
      <c r="J1200" t="inlineStr"/>
      <c r="K1200" t="inlineStr"/>
      <c r="L1200" t="inlineStr"/>
      <c r="M1200" t="inlineStr"/>
      <c r="N1200" t="inlineStr"/>
      <c r="O1200">
        <f>(1-Summary!$B$11)*S1200+Summary!$B$11*U1200</f>
        <v/>
      </c>
      <c r="P1200">
        <f>IF(B1240=0,0,O1200/B1240)</f>
        <v/>
      </c>
      <c r="Q1200">
        <f>IFERROR(1/(IF(Inputs!$B$39="pvp",15,MAX(0.1,Skills!D3-IF(Skills!E3=TRUE,Inputs!$B$33,0)))*(1-IF(AND(ArtifactsInput!$M$27,Inputs!$B$4="Chapter Hunt"),CHOOSE(ArtifactsInput!$N$27+1,20,24,28,32,36,40),0)/100)),0)</f>
        <v/>
      </c>
      <c r="R1200">
        <f>IF(AND(Inputs!$B$39&lt;&gt;"pvp",Inputs!$B$44&gt;0),IF(Inputs!$B$44&lt;=0,0,(INT(Inputs!$B$44/(IF(Inputs!$B$39="pvp",15,MAX(0.1,Skills!D3-IF(Skills!E3=TRUE,Inputs!$B$33,0)))*(1-IF(AND(ArtifactsInput!$M$27,Inputs!$B$4="Chapter Hunt"),CHOOSE(ArtifactsInput!$N$27+1,20,24,28,32,36,40),0)/100)))+1)),0)</f>
        <v/>
      </c>
      <c r="S1200" t="n">
        <v>0</v>
      </c>
      <c r="T1200">
        <f>INDEX(FactorTable!$B$2:$Y$301, MATCH(ROUND(MIN(300,MAX(1,T1199)),0), FactorTable!$A$2:$A$301,0), 22)</f>
        <v/>
      </c>
      <c r="U1200" t="n">
        <v>0</v>
      </c>
    </row>
    <row r="1201">
      <c r="A1201">
        <f>Skills!A4</f>
        <v/>
      </c>
      <c r="B1201">
        <f>Skills!B4</f>
        <v/>
      </c>
      <c r="C1201">
        <f>Inputs!$B$3&gt;=38</f>
        <v/>
      </c>
      <c r="D1201">
        <f>IF(Skills!C4=1,60+Inputs!$B$26+Inputs!$B$30,IF(Skills!C4=2,90+Inputs!$B$27+Inputs!$B$30,IF(Skills!C4=3,120+Inputs!$B$28+Inputs!$B$30,MAX(0,(Inputs!$B$3-100)*3)+Inputs!$B$29+Inputs!$B$30)))</f>
        <v/>
      </c>
      <c r="E1201">
        <f>INDEX(FactorTable!$B$2:$Y$301, MATCH(ROUND(MIN(300,MAX(1,D1201)),0), FactorTable!$A$2:$A$301,0), Skills!L4+1)</f>
        <v/>
      </c>
      <c r="F1201">
        <f>IF(Skills!M4=TRUE,(Skills!K4/10)*(E1201/1000),Skills!K4/10)+Skills!N4</f>
        <v/>
      </c>
      <c r="G1201">
        <f>Calc!G4</f>
        <v/>
      </c>
      <c r="H1201">
        <f>Calc!H4</f>
        <v/>
      </c>
      <c r="I1201">
        <f>IF(Skills!T4&lt;&gt;"",1+(Skills!T4/10)*($Z$3/1000)/100,1)</f>
        <v/>
      </c>
      <c r="J1201" t="inlineStr"/>
      <c r="K1201" t="inlineStr"/>
      <c r="L1201" t="inlineStr"/>
      <c r="M1201" t="inlineStr"/>
      <c r="N1201" t="inlineStr"/>
      <c r="O1201">
        <f>(1-Summary!$B$11)*S1201+Summary!$B$11*U1201</f>
        <v/>
      </c>
      <c r="P1201">
        <f>IF(B1240=0,0,O1201/B1240)</f>
        <v/>
      </c>
      <c r="Q1201">
        <f>IFERROR(1/(IF(Inputs!$B$39="pvp",15,MAX(0.1,Skills!D4-IF(Skills!E4=TRUE,Inputs!$B$33,0)))*(1-IF(AND(ArtifactsInput!$M$27,Inputs!$B$4="Chapter Hunt"),CHOOSE(ArtifactsInput!$N$27+1,20,24,28,32,36,40),0)/100)),0)</f>
        <v/>
      </c>
      <c r="R1201">
        <f>IF(AND(Inputs!$B$39&lt;&gt;"pvp",Inputs!$B$44&gt;0),IF(Inputs!$B$44&lt;=0,0,(INT(Inputs!$B$44/(IF(Inputs!$B$39="pvp",15,MAX(0.1,Skills!D4-IF(Skills!E4=TRUE,Inputs!$B$33,0)))*(1-IF(AND(ArtifactsInput!$M$27,Inputs!$B$4="Chapter Hunt"),CHOOSE(ArtifactsInput!$N$27+1,20,24,28,32,36,40),0)/100)))+1)),0)</f>
        <v/>
      </c>
      <c r="S1201" t="n">
        <v>0</v>
      </c>
      <c r="T1201">
        <f>290*T1200/1000</f>
        <v/>
      </c>
      <c r="U1201" t="n">
        <v>0</v>
      </c>
    </row>
    <row r="1202">
      <c r="A1202">
        <f>Skills!A5</f>
        <v/>
      </c>
      <c r="B1202">
        <f>Skills!B5</f>
        <v/>
      </c>
      <c r="C1202">
        <f>Inputs!$B$3&gt;=40</f>
        <v/>
      </c>
      <c r="D1202">
        <f>IF(Skills!C5=1,60+Inputs!$B$26+Inputs!$B$30,IF(Skills!C5=2,90+Inputs!$B$27+Inputs!$B$30,IF(Skills!C5=3,120+Inputs!$B$28+Inputs!$B$30,MAX(0,(Inputs!$B$3-100)*3)+Inputs!$B$29+Inputs!$B$30)))</f>
        <v/>
      </c>
      <c r="E1202">
        <f>INDEX(FactorTable!$B$2:$Y$301, MATCH(ROUND(MIN(300,MAX(1,D1202)),0), FactorTable!$A$2:$A$301,0), Skills!L5+1)</f>
        <v/>
      </c>
      <c r="F1202">
        <f>IF(Skills!M5=TRUE,(Skills!K5/10)*(E1202/1000),Skills!K5/10)+Skills!N5</f>
        <v/>
      </c>
      <c r="G1202">
        <f>Calc!G5</f>
        <v/>
      </c>
      <c r="H1202">
        <f>Calc!H5</f>
        <v/>
      </c>
      <c r="I1202">
        <f>IF(Skills!T5&lt;&gt;"",1+(Skills!T5/10)*($Z$3/1000)/100,1)</f>
        <v/>
      </c>
      <c r="J1202" t="inlineStr"/>
      <c r="K1202" t="inlineStr"/>
      <c r="L1202" t="inlineStr"/>
      <c r="M1202" t="inlineStr"/>
      <c r="N1202" t="inlineStr"/>
      <c r="O1202">
        <f>(1-Summary!$B$11)*S1202+Summary!$B$11*U1202</f>
        <v/>
      </c>
      <c r="P1202">
        <f>IF(B1240=0,0,O1202/B1240)</f>
        <v/>
      </c>
      <c r="Q1202">
        <f>IFERROR(1/(IF(Inputs!$B$39="pvp",15,MAX(0.1,Skills!D5-IF(Skills!E5=TRUE,Inputs!$B$33,0)))*(1-IF(AND(ArtifactsInput!$M$27,Inputs!$B$4="Chapter Hunt"),CHOOSE(ArtifactsInput!$N$27+1,20,24,28,32,36,40),0)/100)),0)</f>
        <v/>
      </c>
      <c r="R1202">
        <f>IF(AND(Inputs!$B$39&lt;&gt;"pvp",Inputs!$B$44&gt;0),IF(Inputs!$B$44&lt;=0,0,(INT(Inputs!$B$44/(IF(Inputs!$B$39="pvp",15,MAX(0.1,Skills!D5-IF(Skills!E5=TRUE,Inputs!$B$33,0)))*(1-IF(AND(ArtifactsInput!$M$27,Inputs!$B$4="Chapter Hunt"),CHOOSE(ArtifactsInput!$N$27+1,20,24,28,32,36,40),0)/100)))+1)),0)</f>
        <v/>
      </c>
      <c r="S1202" t="n">
        <v>0</v>
      </c>
      <c r="U1202" t="n">
        <v>0</v>
      </c>
    </row>
    <row r="1203">
      <c r="A1203">
        <f>Skills!A6</f>
        <v/>
      </c>
      <c r="B1203">
        <f>Skills!B6</f>
        <v/>
      </c>
      <c r="C1203">
        <f>Inputs!$B$3&gt;=103</f>
        <v/>
      </c>
      <c r="D1203">
        <f>IF(Skills!C6=1,60+Inputs!$B$26+Inputs!$B$30,IF(Skills!C6=2,90+Inputs!$B$27+Inputs!$B$30,IF(Skills!C6=3,120+Inputs!$B$28+Inputs!$B$30,MAX(0,(Inputs!$B$3-100)*3)+Inputs!$B$29+Inputs!$B$30)))</f>
        <v/>
      </c>
      <c r="E1203">
        <f>INDEX(FactorTable!$B$2:$Y$301, MATCH(ROUND(MIN(300,MAX(1,D1203)),0), FactorTable!$A$2:$A$301,0), Skills!L6+1)</f>
        <v/>
      </c>
      <c r="F1203">
        <f>IF(Skills!M6=TRUE,(Skills!K6/10)*(E1203/1000),Skills!K6/10)+Skills!N6</f>
        <v/>
      </c>
      <c r="G1203">
        <f>Calc!G6</f>
        <v/>
      </c>
      <c r="H1203">
        <f>Calc!H6</f>
        <v/>
      </c>
      <c r="I1203">
        <f>IF(Skills!T6&lt;&gt;"",1+(Skills!T6/10)*($Z$3/1000)/100,1)</f>
        <v/>
      </c>
      <c r="J1203">
        <f>((Inputs!$B$6*(1+Inputs!$B$7/100))+(((Inputs!$B$13*(1+Inputs!$B$14/100))-(Inputs!$B$13*(1+Inputs!$B$14/100)))+0.25*(Inputs!$B$15-Inputs!$B$15))*(1+Inputs!$B$7/100))*(F1203/100)</f>
        <v/>
      </c>
      <c r="K1203">
        <f>J1203*(1+(((Inputs!$B$13+IF(Inputs!$B$3&gt;=35,(10*INDEX(FactorTable!$B$2:$Y$301,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6="TRIUMPH_FEATHER",IF(C1213=TRUE,F1213,0),0)/100)*(1+IF(C1224=TRUE,F1224,0)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1203)</f>
        <v/>
      </c>
      <c r="L1203">
        <f>K1203*(MIN(Inputs!$B$23+(F1219-Calc!F22),(Inputs!$B$24+IF(ArtifactsInput!$M$15,CHOOSE(ArtifactsInput!$N$15+1,25,30,35,40,45,50)/100*(Inputs!$B$12-Inputs!$B$12),0)))/100+(Inputs!$B$24+IF(ArtifactsInput!$M$15,CHOOSE(ArtifactsInput!$N$15+1,25,30,35,40,45,50)/100*(Inputs!$B$12-Inputs!$B$12),0))/100)/2</f>
        <v/>
      </c>
      <c r="M1203">
        <f>L1203*(1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3">
        <f>L1203*(1-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(1-Summary!$B$11)*S1203+Summary!$B$11*U1203</f>
        <v/>
      </c>
      <c r="P1203">
        <f>IF(B1240=0,0,O1203/B1240)</f>
        <v/>
      </c>
      <c r="Q1203">
        <f>IFERROR(1/(IF(Inputs!$B$39="pvp",15,MAX(0.1,Skills!D6-IF(Skills!E6=TRUE,Inputs!$B$33,0)))*(1-IF(AND(ArtifactsInput!$M$27,Inputs!$B$4="Chapter Hunt"),CHOOSE(ArtifactsInput!$N$27+1,20,24,28,32,36,40),0)/100)),0)</f>
        <v/>
      </c>
      <c r="R1203">
        <f>IF(AND(Inputs!$B$39&lt;&gt;"pvp",Inputs!$B$44&gt;0),IF(MAX(0,Inputs!$B$44-B1237)&lt;=0,0,(INT(MAX(0,Inputs!$B$44-B1237)/(IF(Inputs!$B$39="pvp",15,MAX(0.1,Skills!D6-IF(Skills!E6=TRUE,Inputs!$B$33,0)))*(1-IF(AND(ArtifactsInput!$M$27,Inputs!$B$4="Chapter Hunt"),CHOOSE(ArtifactsInput!$N$27+1,20,24,28,32,36,40),0)/100)))+1)),0)</f>
        <v/>
      </c>
      <c r="S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$21+Skills!O6+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1203*(1-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$22+Skills!P6+B1229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Skills!A7</f>
        <v/>
      </c>
      <c r="B1204">
        <f>Skills!B7</f>
        <v/>
      </c>
      <c r="C1204">
        <f>Inputs!$B$3&gt;=122</f>
        <v/>
      </c>
      <c r="D1204">
        <f>IF(Skills!C7=1,60+Inputs!$B$26+Inputs!$B$30,IF(Skills!C7=2,90+Inputs!$B$27+Inputs!$B$30,IF(Skills!C7=3,120+Inputs!$B$28+Inputs!$B$30,MAX(0,(Inputs!$B$3-100)*3)+Inputs!$B$29+Inputs!$B$30)))</f>
        <v/>
      </c>
      <c r="E1204">
        <f>INDEX(FactorTable!$B$2:$Y$301, MATCH(ROUND(MIN(300,MAX(1,D1204)),0), FactorTable!$A$2:$A$301,0), Skills!L7+1)</f>
        <v/>
      </c>
      <c r="F1204">
        <f>IF(Skills!M7=TRUE,(Skills!K7/10)*(E1204/1000),Skills!K7/10)+Skills!N7</f>
        <v/>
      </c>
      <c r="G1204">
        <f>Calc!G7</f>
        <v/>
      </c>
      <c r="H1204">
        <f>Calc!H7</f>
        <v/>
      </c>
      <c r="I1204">
        <f>IF(Skills!T7&lt;&gt;"",1+(Skills!T7/10)*($Z$3/1000)/100,1)</f>
        <v/>
      </c>
      <c r="J1204">
        <f>((Inputs!$B$6*(1+Inputs!$B$7/100))+(((Inputs!$B$13*(1+Inputs!$B$14/100))-(Inputs!$B$13*(1+Inputs!$B$14/100)))+0.25*(Inputs!$B$15-Inputs!$B$15))*(1+Inputs!$B$7/100))*(F1204/100)</f>
        <v/>
      </c>
      <c r="K1204">
        <f>J1204*(1+(((Inputs!$B$13+IF(Inputs!$B$3&gt;=35,(10*INDEX(FactorTable!$B$2:$Y$301,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7="TRIUMPH_FEATHER",IF(C1213=TRUE,F1213,0),0)/100)*(1+IF(C1224=TRUE,F1224,0)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1204)</f>
        <v/>
      </c>
      <c r="L1204">
        <f>K1204*(MIN(Inputs!$B$23+(F1219-Calc!F22),(Inputs!$B$24+IF(ArtifactsInput!$M$15,CHOOSE(ArtifactsInput!$N$15+1,25,30,35,40,45,50)/100*(Inputs!$B$12-Inputs!$B$12),0)))/100+(Inputs!$B$24+IF(ArtifactsInput!$M$15,CHOOSE(ArtifactsInput!$N$15+1,25,30,35,40,45,50)/100*(Inputs!$B$12-Inputs!$B$12),0))/100)/2</f>
        <v/>
      </c>
      <c r="M1204">
        <f>L1204*(1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4">
        <f>L1204*(1-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(1-Summary!$B$11)*S1204+Summary!$B$11*U1204</f>
        <v/>
      </c>
      <c r="P1204">
        <f>IF(B1240=0,0,O1204/B1240)</f>
        <v/>
      </c>
      <c r="Q1204">
        <f>IFERROR(1/(IF(Inputs!$B$39="pvp",15,MAX(0.1,Skills!D7-IF(Skills!E6=TRUE,Inputs!$B$33,0)))*(1-IF(AND(ArtifactsInput!$M$27,Inputs!$B$4="Chapter Hunt"),CHOOSE(ArtifactsInput!$N$27+1,20,24,28,32,36,40),0)/100)),0)</f>
        <v/>
      </c>
      <c r="R1204">
        <f>IF(AND(Inputs!$B$39&lt;&gt;"pvp",Inputs!$B$44&gt;0),IF(MAX(0,Inputs!$B$44-B1237)&lt;=0,0,(INT(MAX(0,Inputs!$B$44-B1237)/(IF(Inputs!$B$39="pvp",15,MAX(0.1,Skills!D7-IF(Skills!E6=TRUE,Inputs!$B$33,0)))*(1-IF(AND(ArtifactsInput!$M$27,Inputs!$B$4="Chapter Hunt"),CHOOSE(ArtifactsInput!$N$27+1,20,24,28,32,36,40),0)/100)))+1)),0)</f>
        <v/>
      </c>
      <c r="S1204">
        <f>IF(C1204,H1204*N1204*IF(AND(Inputs!$B$39&lt;&gt;"pvp",Inputs!$B$44&gt;0),((Skills!F7*((R1204-1)*IF(Skills!G7&gt;0,Skills!H7/Skills!G7,1)+IF(Skills!G7&gt;0,MIN(Skills!H7,MAX(0,MAX(0,Inputs!$B$44-B1237)-((R1204-1)*(IF(Inputs!$B$39="pvp",15,MAX(0.1,Skills!D7-IF(Skills!E6=TRUE,Inputs!$B$33,0)))*(1-IF(AND(ArtifactsInput!$M$27,Inputs!$B$4="Chapter Hunt"),CHOOSE(ArtifactsInput!$N$27+1,20,24,28,32,36,40),0)/100)))))/Skills!G7,1)))/Inputs!$B$44),G1204*Q1204)*IF(Inputs!$B$39="pvp",1,1+(Inputs!$B$21+Skills!O7+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1204*(1-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t="n">
        <v>0</v>
      </c>
    </row>
    <row r="1205">
      <c r="A1205">
        <f>Skills!A8</f>
        <v/>
      </c>
      <c r="B1205">
        <f>Skills!B8</f>
        <v/>
      </c>
      <c r="C1205">
        <f>Inputs!$B$3&gt;=105</f>
        <v/>
      </c>
      <c r="D1205">
        <f>IF(Skills!C8=1,60+Inputs!$B$26+Inputs!$B$30,IF(Skills!C8=2,90+Inputs!$B$27+Inputs!$B$30,IF(Skills!C8=3,120+Inputs!$B$28+Inputs!$B$30,MAX(0,(Inputs!$B$3-100)*3)+Inputs!$B$29+Inputs!$B$30)))</f>
        <v/>
      </c>
      <c r="E1205">
        <f>INDEX(FactorTable!$B$2:$Y$301, MATCH(ROUND(MIN(300,MAX(1,D1205)),0), FactorTable!$A$2:$A$301,0), Skills!L8+1)</f>
        <v/>
      </c>
      <c r="F1205">
        <f>IF(Skills!M8=TRUE,(Skills!K8/10)*(E1205/1000),Skills!K8/10)+Skills!N8</f>
        <v/>
      </c>
      <c r="G1205">
        <f>Calc!G8</f>
        <v/>
      </c>
      <c r="H1205">
        <f>Calc!H8</f>
        <v/>
      </c>
      <c r="I1205">
        <f>IF(Skills!T8&lt;&gt;"",1+(Skills!T8/10)*($Z$3/1000)/100,1)</f>
        <v/>
      </c>
      <c r="J1205">
        <f>((Inputs!$B$6*(1+Inputs!$B$7/100))+(((Inputs!$B$13*(1+Inputs!$B$14/100))-(Inputs!$B$13*(1+Inputs!$B$14/100)))+0.25*(Inputs!$B$15-Inputs!$B$15))*(1+Inputs!$B$7/100))*(F1205/100)</f>
        <v/>
      </c>
      <c r="K1205">
        <f>J1205*(1+(((Inputs!$B$13+IF(Inputs!$B$3&gt;=35,(10*INDEX(FactorTable!$B$2:$Y$301,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8="TRIUMPH_FEATHER",IF(C1213=TRUE,F1213,0),0)/100)*(1+IF(C1224=TRUE,F1224,0)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1205)</f>
        <v/>
      </c>
      <c r="L1205">
        <f>K1205*(MIN(Inputs!$B$23+(F1219-Calc!F22),(Inputs!$B$24+IF(ArtifactsInput!$M$15,CHOOSE(ArtifactsInput!$N$15+1,25,30,35,40,45,50)/100*(Inputs!$B$12-Inputs!$B$12),0)))/100+(Inputs!$B$24+IF(ArtifactsInput!$M$15,CHOOSE(ArtifactsInput!$N$15+1,25,30,35,40,45,50)/100*(Inputs!$B$12-Inputs!$B$12),0))/100)/2</f>
        <v/>
      </c>
      <c r="M1205">
        <f>L1205*(1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5">
        <f>L1205*(1-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1205*(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5">
        <f>(1-Summary!$B$11)*S1205+Summary!$B$11*U1205</f>
        <v/>
      </c>
      <c r="P1205">
        <f>IF(B1240=0,0,O1205/B1240)</f>
        <v/>
      </c>
      <c r="Q1205">
        <f>IFERROR(1/(IF(Inputs!$B$39="pvp",15,MAX(0.1,Skills!D8-IF(Skills!E8=TRUE,Inputs!$B$33,0)))*(1-IF(AND(ArtifactsInput!$M$27,Inputs!$B$4="Chapter Hunt"),CHOOSE(ArtifactsInput!$N$27+1,20,24,28,32,36,40),0)/100)),0)</f>
        <v/>
      </c>
      <c r="R1205">
        <f>IF(AND(Inputs!$B$39&lt;&gt;"pvp",Inputs!$B$44&gt;0),IF(MAX(0,Inputs!$B$44-B1237)&lt;=0,0,(INT(MAX(0,Inputs!$B$44-B1237)/(IF(Inputs!$B$39="pvp",15,MAX(0.1,Skills!D8-IF(Skills!E8=TRUE,Inputs!$B$33,0)))*(1-IF(AND(ArtifactsInput!$M$27,Inputs!$B$4="Chapter Hunt"),CHOOSE(ArtifactsInput!$N$27+1,20,24,28,32,36,40),0)/100)))+1)),0)</f>
        <v/>
      </c>
      <c r="S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$21+Skills!O8+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1205*(1-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1205*(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1205*(1-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1205*(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$22+Skills!P8+B1229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6">
      <c r="A1206">
        <f>Skills!A9</f>
        <v/>
      </c>
      <c r="B1206">
        <f>Skills!B9</f>
        <v/>
      </c>
      <c r="C1206">
        <f>Inputs!$B$3&gt;=115</f>
        <v/>
      </c>
      <c r="D1206">
        <f>IF(Skills!C9=1,60+Inputs!$B$26+Inputs!$B$30,IF(Skills!C9=2,90+Inputs!$B$27+Inputs!$B$30,IF(Skills!C9=3,120+Inputs!$B$28+Inputs!$B$30,MAX(0,(Inputs!$B$3-100)*3)+Inputs!$B$29+Inputs!$B$30)))</f>
        <v/>
      </c>
      <c r="E1206">
        <f>INDEX(FactorTable!$B$2:$Y$301, MATCH(ROUND(MIN(300,MAX(1,D1206)),0), FactorTable!$A$2:$A$301,0), Skills!L9+1)</f>
        <v/>
      </c>
      <c r="F1206">
        <f>IF(Skills!M9=TRUE,(Skills!K9/10)*(E1206/1000),Skills!K9/10)+Skills!N9</f>
        <v/>
      </c>
      <c r="G1206">
        <f>Calc!G9</f>
        <v/>
      </c>
      <c r="H1206">
        <f>Calc!H9</f>
        <v/>
      </c>
      <c r="I1206">
        <f>IF(Skills!T9&lt;&gt;"",1+(Skills!T9/10)*($Z$3/1000)/100,1)</f>
        <v/>
      </c>
      <c r="J1206">
        <f>((Inputs!$B$6*(1+Inputs!$B$7/100))+(((Inputs!$B$13*(1+Inputs!$B$14/100))-(Inputs!$B$13*(1+Inputs!$B$14/100)))+0.25*(Inputs!$B$15-Inputs!$B$15))*(1+Inputs!$B$7/100))*(F1206/100)</f>
        <v/>
      </c>
      <c r="K1206">
        <f>J1206*(1+(((Inputs!$B$13+IF(Inputs!$B$3&gt;=35,(10*INDEX(FactorTable!$B$2:$Y$301,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9="TRIUMPH_FEATHER",IF(C1213=TRUE,F1213,0),0)/100)*(1+IF(C1224=TRUE,F1224,0)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1206)</f>
        <v/>
      </c>
      <c r="L1206">
        <f>K1206*(MIN(Inputs!$B$23+(F1219-Calc!F22),(Inputs!$B$24+IF(ArtifactsInput!$M$15,CHOOSE(ArtifactsInput!$N$15+1,25,30,35,40,45,50)/100*(Inputs!$B$12-Inputs!$B$12),0)))/100+(Inputs!$B$24+IF(ArtifactsInput!$M$15,CHOOSE(ArtifactsInput!$N$15+1,25,30,35,40,45,50)/100*(Inputs!$B$12-Inputs!$B$12),0))/100)/2</f>
        <v/>
      </c>
      <c r="M1206">
        <f>L1206*(1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6">
        <f>L1206*(1-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1206*(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6">
        <f>(1-Summary!$B$11)*S1206+Summary!$B$11*U1206</f>
        <v/>
      </c>
      <c r="P1206">
        <f>IF(B1240=0,0,O1206/B1240)</f>
        <v/>
      </c>
      <c r="Q1206">
        <f>IFERROR(1/(IF(Inputs!$B$39="pvp",15,MAX(0.1,Skills!D9-IF(Skills!E9=TRUE,Inputs!$B$33,0)))*(1-IF(AND(ArtifactsInput!$M$27,Inputs!$B$4="Chapter Hunt"),CHOOSE(ArtifactsInput!$N$27+1,20,24,28,32,36,40),0)/100)),0)</f>
        <v/>
      </c>
      <c r="R1206">
        <f>IF(AND(Inputs!$B$39&lt;&gt;"pvp",Inputs!$B$44&gt;0),IF(MAX(0,Inputs!$B$44-B1237)&lt;=0,0,(INT(MAX(0,Inputs!$B$44-B1237)/(IF(Inputs!$B$39="pvp",15,MAX(0.1,Skills!D9-IF(Skills!E9=TRUE,Inputs!$B$33,0)))*(1-IF(AND(ArtifactsInput!$M$27,Inputs!$B$4="Chapter Hunt"),CHOOSE(ArtifactsInput!$N$27+1,20,24,28,32,36,40),0)/100)))+1)),0)</f>
        <v/>
      </c>
      <c r="S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$21+Skills!O9+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1206*(1-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1206*(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1206*(1-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1206*(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$22+Skills!P9+B1229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7">
      <c r="A1207">
        <f>Skills!A10</f>
        <v/>
      </c>
      <c r="B1207">
        <f>Skills!B10</f>
        <v/>
      </c>
      <c r="C1207">
        <f>Inputs!$B$3&gt;=66</f>
        <v/>
      </c>
      <c r="D1207">
        <f>IF(Skills!C10=1,60+Inputs!$B$26+Inputs!$B$30,IF(Skills!C10=2,90+Inputs!$B$27+Inputs!$B$30,IF(Skills!C10=3,120+Inputs!$B$28+Inputs!$B$30,MAX(0,(Inputs!$B$3-100)*3)+Inputs!$B$29+Inputs!$B$30)))</f>
        <v/>
      </c>
      <c r="E1207">
        <f>INDEX(FactorTable!$B$2:$Y$301, MATCH(ROUND(MIN(300,MAX(1,D1207)),0), FactorTable!$A$2:$A$301,0), Skills!L10+1)</f>
        <v/>
      </c>
      <c r="F1207" t="n">
        <v>0</v>
      </c>
      <c r="G1207">
        <f>Calc!G10</f>
        <v/>
      </c>
      <c r="H1207">
        <f>Calc!H10</f>
        <v/>
      </c>
      <c r="I1207">
        <f>IF(Skills!T10&lt;&gt;"",1+(Skills!T10/10)*($Z$3/1000)/100,1)</f>
        <v/>
      </c>
      <c r="J1207" t="inlineStr"/>
      <c r="K1207" t="inlineStr"/>
      <c r="L1207" t="inlineStr"/>
      <c r="M1207" t="inlineStr"/>
      <c r="N1207" t="inlineStr"/>
      <c r="O1207">
        <f>(1-Summary!$B$11)*S1207+Summary!$B$11*U1207</f>
        <v/>
      </c>
      <c r="P1207">
        <f>IF(B1240=0,0,O1207/B1240)</f>
        <v/>
      </c>
      <c r="Q1207">
        <f>IFERROR(1/(IF(Inputs!$B$39="pvp",15,MAX(0.1,Skills!D10-IF(Skills!E10=TRUE,Inputs!$B$33,0)))*(1-IF(AND(ArtifactsInput!$M$27,Inputs!$B$4="Chapter Hunt"),CHOOSE(ArtifactsInput!$N$27+1,20,24,28,32,36,40),0)/100)),0)</f>
        <v/>
      </c>
      <c r="R1207">
        <f>IF(AND(Inputs!$B$39&lt;&gt;"pvp",Inputs!$B$44&gt;0),IF(MAX(0,Inputs!$B$44-B1237)&lt;=0,0,(INT(MAX(0,Inputs!$B$44-B1237)/(IF(Inputs!$B$39="pvp",15,MAX(0.1,Skills!D10-IF(Skills!E10=TRUE,Inputs!$B$33,0)))*(1-IF(AND(ArtifactsInput!$M$27,Inputs!$B$4="Chapter Hunt"),CHOOSE(ArtifactsInput!$N$27+1,20,24,28,32,36,40),0)/100)))+1)),0)</f>
        <v/>
      </c>
      <c r="S1207" t="n">
        <v>0</v>
      </c>
      <c r="U1207" t="n">
        <v>0</v>
      </c>
    </row>
    <row r="1208">
      <c r="A1208">
        <f>Skills!A11</f>
        <v/>
      </c>
      <c r="B1208">
        <f>Skills!B11</f>
        <v/>
      </c>
      <c r="C1208">
        <f>Inputs!$B$3&gt;=69</f>
        <v/>
      </c>
      <c r="D1208">
        <f>IF(Skills!C11=1,60+Inputs!$B$26+Inputs!$B$30,IF(Skills!C11=2,90+Inputs!$B$27+Inputs!$B$30,IF(Skills!C11=3,120+Inputs!$B$28+Inputs!$B$30,MAX(0,(Inputs!$B$3-100)*3)+Inputs!$B$29+Inputs!$B$30)))</f>
        <v/>
      </c>
      <c r="E1208">
        <f>INDEX(FactorTable!$B$2:$Y$301, MATCH(ROUND(MIN(300,MAX(1,D1208)),0), FactorTable!$A$2:$A$301,0), Skills!L11+1)</f>
        <v/>
      </c>
      <c r="F1208">
        <f>IF(Skills!M11=TRUE,(Skills!K11/10)*(E1208/1000),Skills!K11/10)+Skills!N11</f>
        <v/>
      </c>
      <c r="G1208">
        <f>Calc!G11</f>
        <v/>
      </c>
      <c r="H1208">
        <f>Calc!H11</f>
        <v/>
      </c>
      <c r="I1208">
        <f>IF(Skills!T11&lt;&gt;"",1+(Skills!T11/10)*($Z$3/1000)/100,1)</f>
        <v/>
      </c>
      <c r="J1208" t="inlineStr"/>
      <c r="K1208" t="inlineStr"/>
      <c r="L1208" t="inlineStr"/>
      <c r="M1208" t="inlineStr"/>
      <c r="N1208" t="inlineStr"/>
      <c r="O1208">
        <f>(1-Summary!$B$11)*S1208+Summary!$B$11*U1208</f>
        <v/>
      </c>
      <c r="P1208">
        <f>IF(B1240=0,0,O1208/B1240)</f>
        <v/>
      </c>
      <c r="Q1208">
        <f>IFERROR(1/(IF(Inputs!$B$39="pvp",15,MAX(0.1,Skills!D11-IF(Skills!E11=TRUE,Inputs!$B$33,0)))*(1-IF(AND(ArtifactsInput!$M$27,Inputs!$B$4="Chapter Hunt"),CHOOSE(ArtifactsInput!$N$27+1,20,24,28,32,36,40),0)/100)),0)</f>
        <v/>
      </c>
      <c r="R1208">
        <f>IF(AND(Inputs!$B$39&lt;&gt;"pvp",Inputs!$B$44&gt;0),IF(Inputs!$B$44&lt;=0,0,(INT(Inputs!$B$44/(IF(Inputs!$B$39="pvp",15,MAX(0.1,Skills!D11-IF(Skills!E11=TRUE,Inputs!$B$33,0)))*(1-IF(AND(ArtifactsInput!$M$27,Inputs!$B$4="Chapter Hunt"),CHOOSE(ArtifactsInput!$N$27+1,20,24,28,32,36,40),0)/100)))+1)),0)</f>
        <v/>
      </c>
      <c r="S1208" t="n">
        <v>0</v>
      </c>
      <c r="U1208" t="n">
        <v>0</v>
      </c>
    </row>
    <row r="1209">
      <c r="A1209">
        <f>Skills!A12</f>
        <v/>
      </c>
      <c r="B1209">
        <f>Skills!B12</f>
        <v/>
      </c>
      <c r="C1209">
        <f>Inputs!$B$3&gt;=72</f>
        <v/>
      </c>
      <c r="D1209">
        <f>IF(Skills!C12=1,60+Inputs!$B$26+Inputs!$B$30,IF(Skills!C12=2,90+Inputs!$B$27+Inputs!$B$30,IF(Skills!C12=3,120+Inputs!$B$28+Inputs!$B$30,MAX(0,(Inputs!$B$3-100)*3)+Inputs!$B$29+Inputs!$B$30)))</f>
        <v/>
      </c>
      <c r="E1209">
        <f>INDEX(FactorTable!$B$2:$Y$301, MATCH(ROUND(MIN(300,MAX(1,D1209)),0), FactorTable!$A$2:$A$301,0), Skills!L12+1)</f>
        <v/>
      </c>
      <c r="F1209">
        <f>IF(Skills!M12=TRUE,(Skills!K12/10)*(E1209/1000),Skills!K12/10)+Skills!N12</f>
        <v/>
      </c>
      <c r="G1209">
        <f>Calc!G12</f>
        <v/>
      </c>
      <c r="H1209">
        <f>Calc!H12</f>
        <v/>
      </c>
      <c r="I1209">
        <f>IF(Skills!T12&lt;&gt;"",1+(Skills!T12/10)*($Z$3/1000)/100,1)</f>
        <v/>
      </c>
      <c r="J1209" t="inlineStr"/>
      <c r="K1209" t="inlineStr"/>
      <c r="L1209" t="inlineStr"/>
      <c r="M1209" t="inlineStr"/>
      <c r="N1209" t="inlineStr"/>
      <c r="O1209">
        <f>(1-Summary!$B$11)*S1209+Summary!$B$11*U1209</f>
        <v/>
      </c>
      <c r="P1209">
        <f>IF(B1240=0,0,O1209/B1240)</f>
        <v/>
      </c>
      <c r="Q1209">
        <f>IFERROR(1/(IF(Inputs!$B$39="pvp",15,MAX(0.1,Skills!D12-IF(Skills!E12=TRUE,Inputs!$B$33,0)))*(1-IF(AND(ArtifactsInput!$M$27,Inputs!$B$4="Chapter Hunt"),CHOOSE(ArtifactsInput!$N$27+1,20,24,28,32,36,40),0)/100)),0)</f>
        <v/>
      </c>
      <c r="R1209">
        <f>IF(AND(Inputs!$B$39&lt;&gt;"pvp",Inputs!$B$44&gt;0),IF(MAX(0,Inputs!$B$44-B1237)&lt;=0,0,(INT(MAX(0,Inputs!$B$44-B1237)/(IF(Inputs!$B$39="pvp",15,MAX(0.1,Skills!D12-IF(Skills!E12=TRUE,Inputs!$B$33,0)))*(1-IF(AND(ArtifactsInput!$M$27,Inputs!$B$4="Chapter Hunt"),CHOOSE(ArtifactsInput!$N$27+1,20,24,28,32,36,40),0)/100)))+1)),0)</f>
        <v/>
      </c>
      <c r="S1209" t="n">
        <v>0</v>
      </c>
      <c r="U1209" t="n">
        <v>0</v>
      </c>
    </row>
    <row r="1210">
      <c r="A1210">
        <f>Skills!A13</f>
        <v/>
      </c>
      <c r="B1210">
        <f>Skills!B13</f>
        <v/>
      </c>
      <c r="C1210">
        <f>Inputs!$B$3&gt;=60</f>
        <v/>
      </c>
      <c r="D1210">
        <f>IF(Skills!C13=1,60+Inputs!$B$26+Inputs!$B$30,IF(Skills!C13=2,90+Inputs!$B$27+Inputs!$B$30,IF(Skills!C13=3,120+Inputs!$B$28+Inputs!$B$30,MAX(0,(Inputs!$B$3-100)*3)+Inputs!$B$29+Inputs!$B$30)))</f>
        <v/>
      </c>
      <c r="E1210">
        <f>INDEX(FactorTable!$B$2:$Y$301, MATCH(ROUND(MIN(300,MAX(1,D1210)),0), FactorTable!$A$2:$A$301,0), Skills!L13+1)</f>
        <v/>
      </c>
      <c r="F1210">
        <f>IF(Skills!M13=TRUE,(Skills!K13/10)*(E1210/1000),Skills!K13/10)+Skills!N13</f>
        <v/>
      </c>
      <c r="G1210">
        <f>Calc!G13</f>
        <v/>
      </c>
      <c r="H1210">
        <f>Calc!H13</f>
        <v/>
      </c>
      <c r="I1210">
        <f>IF(Skills!T13&lt;&gt;"",1+(Skills!T13/10)*($Z$3/1000)/100,1)</f>
        <v/>
      </c>
      <c r="J1210" t="inlineStr"/>
      <c r="K1210" t="inlineStr"/>
      <c r="L1210" t="inlineStr"/>
      <c r="M1210" t="inlineStr"/>
      <c r="N1210" t="inlineStr"/>
      <c r="O1210">
        <f>(1-Summary!$B$11)*S1210+Summary!$B$11*U1210</f>
        <v/>
      </c>
      <c r="P1210">
        <f>IF(B1240=0,0,O1210/B1240)</f>
        <v/>
      </c>
      <c r="Q1210">
        <f>IFERROR(1/(IF(Inputs!$B$39="pvp",15,MAX(0.1,Skills!D13-IF(Skills!E13=TRUE,Inputs!$B$33,0)))*(1-IF(AND(ArtifactsInput!$M$27,Inputs!$B$4="Chapter Hunt"),CHOOSE(ArtifactsInput!$N$27+1,20,24,28,32,36,40),0)/100)),0)</f>
        <v/>
      </c>
      <c r="R1210">
        <f>IF(AND(Inputs!$B$39&lt;&gt;"pvp",Inputs!$B$44&gt;0),IF(MAX(0,Inputs!$B$44-B1237)&lt;=0,0,(INT(MAX(0,Inputs!$B$44-B1237)/(IF(Inputs!$B$39="pvp",15,MAX(0.1,Skills!D13-IF(Skills!E13=TRUE,Inputs!$B$33,0)))*(1-IF(AND(ArtifactsInput!$M$27,Inputs!$B$4="Chapter Hunt"),CHOOSE(ArtifactsInput!$N$27+1,20,24,28,32,36,40),0)/100)))+1)),0)</f>
        <v/>
      </c>
      <c r="S1210" t="n">
        <v>0</v>
      </c>
      <c r="U1210" t="n">
        <v>0</v>
      </c>
    </row>
    <row r="1211">
      <c r="A1211">
        <f>Skills!A14</f>
        <v/>
      </c>
      <c r="B1211">
        <f>Skills!B14</f>
        <v/>
      </c>
      <c r="C1211">
        <f>Inputs!$B$3&gt;=107</f>
        <v/>
      </c>
      <c r="D1211">
        <f>IF(Skills!C14=1,60+Inputs!$B$26+Inputs!$B$30,IF(Skills!C14=2,90+Inputs!$B$27+Inputs!$B$30,IF(Skills!C14=3,120+Inputs!$B$28+Inputs!$B$30,MAX(0,(Inputs!$B$3-100)*3)+Inputs!$B$29+Inputs!$B$30)))</f>
        <v/>
      </c>
      <c r="E1211">
        <f>INDEX(FactorTable!$B$2:$Y$301, MATCH(ROUND(MIN(300,MAX(1,D1211)),0), FactorTable!$A$2:$A$301,0), Skills!L14+1)</f>
        <v/>
      </c>
      <c r="F1211">
        <f>IF(Skills!M14=TRUE,(Skills!K14/10)*(E1211/1000),Skills!K14/10)+Skills!N14</f>
        <v/>
      </c>
      <c r="G1211">
        <f>Calc!G14</f>
        <v/>
      </c>
      <c r="H1211">
        <f>Calc!H14</f>
        <v/>
      </c>
      <c r="I1211">
        <f>IF(Skills!T14&lt;&gt;"",1+(Skills!T14/10)*($Z$3/1000)/100,1)</f>
        <v/>
      </c>
      <c r="J1211" t="inlineStr"/>
      <c r="K1211" t="inlineStr"/>
      <c r="L1211" t="inlineStr"/>
      <c r="M1211" t="inlineStr"/>
      <c r="N1211" t="inlineStr"/>
      <c r="O1211">
        <f>(1-Summary!$B$11)*S1211+Summary!$B$11*U1211</f>
        <v/>
      </c>
      <c r="P1211">
        <f>IF(B1240=0,0,O1211/B1240)</f>
        <v/>
      </c>
      <c r="Q1211">
        <f>IFERROR(1/(IF(Inputs!$B$39="pvp",15,MAX(0.1,Skills!D14-IF(Skills!E14=TRUE,Inputs!$B$33,0)))*(1-IF(AND(ArtifactsInput!$M$27,Inputs!$B$4="Chapter Hunt"),CHOOSE(ArtifactsInput!$N$27+1,20,24,28,32,36,40),0)/100)),0)</f>
        <v/>
      </c>
      <c r="R1211">
        <f>IF(AND(Inputs!$B$39&lt;&gt;"pvp",Inputs!$B$44&gt;0),IF(Inputs!$B$44&lt;=0,0,(INT(Inputs!$B$44/(IF(Inputs!$B$39="pvp",15,MAX(0.1,Skills!D14-IF(Skills!E14=TRUE,Inputs!$B$33,0)))*(1-IF(AND(ArtifactsInput!$M$27,Inputs!$B$4="Chapter Hunt"),CHOOSE(ArtifactsInput!$N$27+1,20,24,28,32,36,40),0)/100)))+1)),0)</f>
        <v/>
      </c>
      <c r="S1211" t="n">
        <v>0</v>
      </c>
      <c r="U1211" t="n">
        <v>0</v>
      </c>
    </row>
    <row r="1212">
      <c r="A1212">
        <f>Skills!A15</f>
        <v/>
      </c>
      <c r="B1212">
        <f>Skills!B15</f>
        <v/>
      </c>
      <c r="C1212">
        <f>Inputs!$B$3&gt;=63</f>
        <v/>
      </c>
      <c r="D1212">
        <f>IF(Skills!C15=1,60+Inputs!$B$26+Inputs!$B$30,IF(Skills!C15=2,90+Inputs!$B$27+Inputs!$B$30,IF(Skills!C15=3,120+Inputs!$B$28+Inputs!$B$30,MAX(0,(Inputs!$B$3-100)*3)+Inputs!$B$29+Inputs!$B$30)))</f>
        <v/>
      </c>
      <c r="E1212">
        <f>INDEX(FactorTable!$B$2:$Y$301, MATCH(ROUND(MIN(300,MAX(1,D1212)),0), FactorTable!$A$2:$A$301,0), Skills!L15+1)</f>
        <v/>
      </c>
      <c r="F1212">
        <f>IF(Skills!M15=TRUE,(Skills!K15/10)*(E1212/1000),Skills!K15/10)+Skills!N15</f>
        <v/>
      </c>
      <c r="G1212">
        <f>Calc!G15</f>
        <v/>
      </c>
      <c r="H1212">
        <f>Calc!H15</f>
        <v/>
      </c>
      <c r="I1212">
        <f>IF(Skills!T15&lt;&gt;"",1+(Skills!T15/10)*($Z$3/1000)/100,1)</f>
        <v/>
      </c>
      <c r="J1212">
        <f>((Inputs!$B$6*(1+Inputs!$B$7/100))+(((Inputs!$B$13*(1+Inputs!$B$14/100))-(Inputs!$B$13*(1+Inputs!$B$14/100)))+0.25*(Inputs!$B$15-Inputs!$B$15))*(1+Inputs!$B$7/100))*(F1212/100)</f>
        <v/>
      </c>
      <c r="K1212">
        <f>J1212*(1+(((Inputs!$B$13+IF(Inputs!$B$3&gt;=35,(10*INDEX(FactorTable!$B$2:$Y$301,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15="TRIUMPH_FEATHER",IF(C1213=TRUE,F1213,0),0)/100)*(1+IF(C1224=TRUE,F1224,0)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1212)</f>
        <v/>
      </c>
      <c r="L1212">
        <f>K1212*(MIN(Inputs!$B$23+(F1219-Calc!F22),(Inputs!$B$24+IF(ArtifactsInput!$M$15,CHOOSE(ArtifactsInput!$N$15+1,25,30,35,40,45,50)/100*(Inputs!$B$12-Inputs!$B$12),0)))/100+(Inputs!$B$24+IF(ArtifactsInput!$M$15,CHOOSE(ArtifactsInput!$N$15+1,25,30,35,40,45,50)/100*(Inputs!$B$12-Inputs!$B$12),0))/100)/2</f>
        <v/>
      </c>
      <c r="M1212">
        <f>L1212*(1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12">
        <f>L1212*(1-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(1-Summary!$B$11)*S1212+Summary!$B$11*U1212</f>
        <v/>
      </c>
      <c r="P1212">
        <f>IF(B1240=0,0,O1212/B1240)</f>
        <v/>
      </c>
      <c r="Q1212">
        <f>IFERROR(1/(IF(Inputs!$B$39="pvp",15,MAX(0.1,Skills!D15-IF(Skills!E15=TRUE,Inputs!$B$33,0)))*(1-IF(AND(ArtifactsInput!$M$27,Inputs!$B$4="Chapter Hunt"),CHOOSE(ArtifactsInput!$N$27+1,20,24,28,32,36,40),0)/100)),0)</f>
        <v/>
      </c>
      <c r="R1212" t="n">
        <v>0</v>
      </c>
      <c r="S1212">
        <f>IF(C1212,(Skills!F15*N1212*((IF(Inputs!$B$3&gt;=78,25,15)/100*B1233*10)/(1+IF(Inputs!$B$3&gt;=78,25,15)/100*B1233*10))*(Skills!I15/100*B1233)/(1+Skills!G15*Skills!I15/100*B1233))*IF(Inputs!$B$39="pvp",1,1+(Inputs!$B$21+Skills!O15+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1212*(1-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12">
        <f>IF(C1212,(Skills!F15*N1212*((IF(Inputs!$B$3&gt;=78,25,15)/100*B1233*10)/(1+IF(Inputs!$B$3&gt;=78,25,15)/100*B1233*10))*(Skills!I15/100*B1233)/(1+Skills!G15*Skills!I15/100*B1233))*IF(Inputs!$B$39="pvp",1,(1+(Inputs!$B$22+Skills!P15+B1229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Skills!A16</f>
        <v/>
      </c>
      <c r="B1213">
        <f>Skills!B16</f>
        <v/>
      </c>
      <c r="C1213">
        <f>Inputs!$B$3&gt;=100</f>
        <v/>
      </c>
      <c r="D1213">
        <f>IF(Skills!C16=1,60+Inputs!$B$26+Inputs!$B$30,IF(Skills!C16=2,90+Inputs!$B$27+Inputs!$B$30,IF(Skills!C16=3,120+Inputs!$B$28+Inputs!$B$30,MAX(0,(Inputs!$B$3-100)*3)+Inputs!$B$29+Inputs!$B$30)))</f>
        <v/>
      </c>
      <c r="E1213">
        <f>INDEX(FactorTable!$B$2:$Y$301, MATCH(ROUND(MIN(300,MAX(1,D1213)),0), FactorTable!$A$2:$A$301,0), Skills!L16+1)</f>
        <v/>
      </c>
      <c r="F1213">
        <f>IF(Skills!M16=TRUE,(Skills!K16/10)*(E1213/1000),Skills!K16/10)+Skills!N16</f>
        <v/>
      </c>
      <c r="G1213">
        <f>Calc!G16</f>
        <v/>
      </c>
      <c r="H1213">
        <f>Calc!H16</f>
        <v/>
      </c>
      <c r="I1213">
        <f>IF(Skills!T16&lt;&gt;"",1+(Skills!T16/10)*($Z$3/1000)/100,1)</f>
        <v/>
      </c>
      <c r="J1213" t="inlineStr"/>
      <c r="K1213" t="inlineStr"/>
      <c r="L1213" t="inlineStr"/>
      <c r="M1213" t="inlineStr"/>
      <c r="N1213" t="inlineStr"/>
      <c r="O1213">
        <f>(1-Summary!$B$11)*S1213+Summary!$B$11*U1213</f>
        <v/>
      </c>
      <c r="P1213">
        <f>IF(B1240=0,0,O1213/B1240)</f>
        <v/>
      </c>
      <c r="Q1213">
        <f>IFERROR(1/(IF(Inputs!$B$39="pvp",15,MAX(0.1,Skills!D16-IF(Skills!E16=TRUE,Inputs!$B$33,0)))*(1-IF(AND(ArtifactsInput!$M$27,Inputs!$B$4="Chapter Hunt"),CHOOSE(ArtifactsInput!$N$27+1,20,24,28,32,36,40),0)/100)),0)</f>
        <v/>
      </c>
      <c r="R1213" t="n">
        <v>0</v>
      </c>
      <c r="S1213" t="n">
        <v>0</v>
      </c>
      <c r="U1213" t="n">
        <v>0</v>
      </c>
    </row>
    <row r="1214">
      <c r="A1214">
        <f>Skills!A17</f>
        <v/>
      </c>
      <c r="B1214">
        <f>Skills!B17</f>
        <v/>
      </c>
      <c r="C1214">
        <f>Inputs!$B$3&gt;=49</f>
        <v/>
      </c>
      <c r="D1214">
        <f>IF(Skills!C17=1,60+Inputs!$B$26+Inputs!$B$30,IF(Skills!C17=2,90+Inputs!$B$27+Inputs!$B$30,IF(Skills!C17=3,120+Inputs!$B$28+Inputs!$B$30,MAX(0,(Inputs!$B$3-100)*3)+Inputs!$B$29+Inputs!$B$30)))</f>
        <v/>
      </c>
      <c r="E1214">
        <f>INDEX(FactorTable!$B$2:$Y$301, MATCH(ROUND(MIN(300,MAX(1,D1214)),0), FactorTable!$A$2:$A$301,0), Skills!L17+1)</f>
        <v/>
      </c>
      <c r="F1214">
        <f>IF(Skills!M17=TRUE,(Skills!K17/10)*(E1214/1000),Skills!K17/10)+Skills!N17</f>
        <v/>
      </c>
      <c r="G1214">
        <f>Calc!G17</f>
        <v/>
      </c>
      <c r="H1214">
        <f>Calc!H17</f>
        <v/>
      </c>
      <c r="I1214">
        <f>IF(Skills!T17&lt;&gt;"",1+(Skills!T17/10)*($Z$3/1000)/100,1)</f>
        <v/>
      </c>
      <c r="J1214" t="inlineStr"/>
      <c r="K1214" t="inlineStr"/>
      <c r="L1214" t="inlineStr"/>
      <c r="M1214" t="inlineStr"/>
      <c r="N1214" t="inlineStr"/>
      <c r="O1214">
        <f>(1-Summary!$B$11)*S1214+Summary!$B$11*U1214</f>
        <v/>
      </c>
      <c r="P1214">
        <f>IF(B1240=0,0,O1214/B1240)</f>
        <v/>
      </c>
      <c r="Q1214">
        <f>IFERROR(1/(IF(Inputs!$B$39="pvp",15,MAX(0.1,Skills!D17-IF(Skills!E17=TRUE,Inputs!$B$33,0)))*(1-IF(AND(ArtifactsInput!$M$27,Inputs!$B$4="Chapter Hunt"),CHOOSE(ArtifactsInput!$N$27+1,20,24,28,32,36,40),0)/100)),0)</f>
        <v/>
      </c>
      <c r="R1214" t="n">
        <v>0</v>
      </c>
      <c r="S1214" t="n">
        <v>0</v>
      </c>
      <c r="U1214" t="n">
        <v>0</v>
      </c>
    </row>
    <row r="1215">
      <c r="A1215">
        <f>Skills!A18</f>
        <v/>
      </c>
      <c r="B1215">
        <f>Skills!B18</f>
        <v/>
      </c>
      <c r="C1215">
        <f>Inputs!$B$3&gt;=75</f>
        <v/>
      </c>
      <c r="D1215">
        <f>IF(Skills!C18=1,60+Inputs!$B$26+Inputs!$B$30,IF(Skills!C18=2,90+Inputs!$B$27+Inputs!$B$30,IF(Skills!C18=3,120+Inputs!$B$28+Inputs!$B$30,MAX(0,(Inputs!$B$3-100)*3)+Inputs!$B$29+Inputs!$B$30)))</f>
        <v/>
      </c>
      <c r="E1215">
        <f>INDEX(FactorTable!$B$2:$Y$301, MATCH(ROUND(MIN(300,MAX(1,D1215)),0), FactorTable!$A$2:$A$301,0), Skills!L18+1)</f>
        <v/>
      </c>
      <c r="F1215">
        <f>IF(Skills!M18=TRUE,(Skills!K18/10)*(E1215/1000),Skills!K18/10)+Skills!N18</f>
        <v/>
      </c>
      <c r="G1215">
        <f>Calc!G18</f>
        <v/>
      </c>
      <c r="H1215">
        <f>Calc!H18</f>
        <v/>
      </c>
      <c r="I1215">
        <f>IF(Skills!T18&lt;&gt;"",1+(Skills!T18/10)*($Z$3/1000)/100,1)</f>
        <v/>
      </c>
      <c r="J1215" t="inlineStr"/>
      <c r="K1215" t="inlineStr"/>
      <c r="L1215" t="inlineStr"/>
      <c r="M1215" t="inlineStr"/>
      <c r="N1215" t="inlineStr"/>
      <c r="O1215">
        <f>(1-Summary!$B$11)*S1215+Summary!$B$11*U1215</f>
        <v/>
      </c>
      <c r="P1215">
        <f>IF(B1240=0,0,O1215/B1240)</f>
        <v/>
      </c>
      <c r="Q1215">
        <f>IFERROR(1/(IF(Inputs!$B$39="pvp",15,MAX(0.1,Skills!D18-IF(Skills!E18=TRUE,Inputs!$B$33,0)))*(1-IF(AND(ArtifactsInput!$M$27,Inputs!$B$4="Chapter Hunt"),CHOOSE(ArtifactsInput!$N$27+1,20,24,28,32,36,40),0)/100)),0)</f>
        <v/>
      </c>
      <c r="R1215" t="n">
        <v>0</v>
      </c>
      <c r="S1215" t="n">
        <v>0</v>
      </c>
      <c r="U1215" t="n">
        <v>0</v>
      </c>
    </row>
    <row r="1216">
      <c r="A1216">
        <f>Skills!A19</f>
        <v/>
      </c>
      <c r="B1216">
        <f>Skills!B19</f>
        <v/>
      </c>
      <c r="C1216">
        <f>Inputs!$B$3&gt;=110</f>
        <v/>
      </c>
      <c r="D1216">
        <f>IF(Skills!C19=1,60+Inputs!$B$26+Inputs!$B$30,IF(Skills!C19=2,90+Inputs!$B$27+Inputs!$B$30,IF(Skills!C19=3,120+Inputs!$B$28+Inputs!$B$30,MAX(0,(Inputs!$B$3-100)*3)+Inputs!$B$29+Inputs!$B$30)))</f>
        <v/>
      </c>
      <c r="E1216">
        <f>INDEX(FactorTable!$B$2:$Y$301, MATCH(ROUND(MIN(300,MAX(1,D1216)),0), FactorTable!$A$2:$A$301,0), Skills!L19+1)</f>
        <v/>
      </c>
      <c r="F1216">
        <f>(Skills!K19/10)*(E1216/1000)*64/45+Skills!N19</f>
        <v/>
      </c>
      <c r="G1216">
        <f>Calc!G19</f>
        <v/>
      </c>
      <c r="H1216">
        <f>Calc!H19</f>
        <v/>
      </c>
      <c r="I1216">
        <f>IF(Skills!T19&lt;&gt;"",1+(Skills!T19/10)*($Z$3/1000)/100,1)</f>
        <v/>
      </c>
      <c r="J1216" t="inlineStr"/>
      <c r="K1216" t="inlineStr"/>
      <c r="L1216" t="inlineStr"/>
      <c r="M1216" t="inlineStr"/>
      <c r="N1216" t="inlineStr"/>
      <c r="O1216">
        <f>(1-Summary!$B$11)*S1216+Summary!$B$11*U1216</f>
        <v/>
      </c>
      <c r="P1216">
        <f>IF(B1240=0,0,O1216/B1240)</f>
        <v/>
      </c>
      <c r="Q1216">
        <f>IFERROR(1/(IF(Inputs!$B$39="pvp",15,MAX(0.1,Skills!D19-IF(Skills!E19=TRUE,Inputs!$B$33,0)))*(1-IF(AND(ArtifactsInput!$M$27,Inputs!$B$4="Chapter Hunt"),CHOOSE(ArtifactsInput!$N$27+1,20,24,28,32,36,40),0)/100)),0)</f>
        <v/>
      </c>
      <c r="R1216">
        <f>IF(AND(Inputs!$B$39&lt;&gt;"pvp",Inputs!$B$44&gt;0),IF(Inputs!$B$44&lt;=0,0,(INT(Inputs!$B$44/(IF(Inputs!$B$39="pvp",15,MAX(0.1,Skills!D19-IF(Skills!E19=TRUE,Inputs!$B$33,0)))*(1-IF(AND(ArtifactsInput!$M$27,Inputs!$B$4="Chapter Hunt"),CHOOSE(ArtifactsInput!$N$27+1,20,24,28,32,36,40),0)/100)))+1)),0)</f>
        <v/>
      </c>
      <c r="S1216" t="n">
        <v>0</v>
      </c>
      <c r="U1216" t="n">
        <v>0</v>
      </c>
    </row>
    <row r="1217">
      <c r="A1217">
        <f>Skills!A20</f>
        <v/>
      </c>
      <c r="B1217">
        <f>Skills!B20</f>
        <v/>
      </c>
      <c r="C1217">
        <f>Inputs!$B$3&gt;=125</f>
        <v/>
      </c>
      <c r="D1217">
        <f>IF(Skills!C20=1,60+Inputs!$B$26+Inputs!$B$30,IF(Skills!C20=2,90+Inputs!$B$27+Inputs!$B$30,IF(Skills!C20=3,120+Inputs!$B$28+Inputs!$B$30,MAX(0,(Inputs!$B$3-100)*3)+Inputs!$B$29+Inputs!$B$30)))</f>
        <v/>
      </c>
      <c r="E1217">
        <f>INDEX(FactorTable!$B$2:$Y$301, MATCH(ROUND(MIN(300,MAX(1,D1217)),0), FactorTable!$A$2:$A$301,0), Skills!L20+1)</f>
        <v/>
      </c>
      <c r="F1217">
        <f>IF(Skills!M20=TRUE,(Skills!K20/10)*(E1217/1000),Skills!K20/10)+Skills!N20</f>
        <v/>
      </c>
      <c r="G1217">
        <f>Calc!G20</f>
        <v/>
      </c>
      <c r="H1217">
        <f>Calc!H20</f>
        <v/>
      </c>
      <c r="I1217">
        <f>IF(Skills!T20&lt;&gt;"",1+(Skills!T20/10)*($Z$3/1000)/100,1)</f>
        <v/>
      </c>
      <c r="J1217" t="inlineStr"/>
      <c r="K1217" t="inlineStr"/>
      <c r="L1217" t="inlineStr"/>
      <c r="M1217" t="inlineStr"/>
      <c r="N1217" t="inlineStr"/>
      <c r="O1217">
        <f>(1-Summary!$B$11)*S1217+Summary!$B$11*U1217</f>
        <v/>
      </c>
      <c r="P1217">
        <f>IF(B1240=0,0,O1217/B1240)</f>
        <v/>
      </c>
      <c r="Q1217">
        <f>IFERROR(1/(IF(Inputs!$B$39="pvp",15,MAX(0.1,Skills!D20-IF(Skills!E20=TRUE,Inputs!$B$33,0)))*(1-IF(AND(ArtifactsInput!$M$27,Inputs!$B$4="Chapter Hunt"),CHOOSE(ArtifactsInput!$N$27+1,20,24,28,32,36,40),0)/100)),0)</f>
        <v/>
      </c>
      <c r="R1217" t="n">
        <v>0</v>
      </c>
      <c r="S1217" t="n">
        <v>0</v>
      </c>
      <c r="U1217" t="n">
        <v>0</v>
      </c>
    </row>
    <row r="1218">
      <c r="A1218">
        <f>Skills!A21</f>
        <v/>
      </c>
      <c r="B1218">
        <f>Skills!B21</f>
        <v/>
      </c>
      <c r="C1218">
        <f>Inputs!$B$3&gt;=33</f>
        <v/>
      </c>
      <c r="D1218">
        <f>IF(Skills!C21=1,60+Inputs!$B$26+Inputs!$B$30,IF(Skills!C21=2,90+Inputs!$B$27+Inputs!$B$30,IF(Skills!C21=3,120+Inputs!$B$28+Inputs!$B$30,MAX(0,(Inputs!$B$3-100)*3)+Inputs!$B$29+Inputs!$B$30)))</f>
        <v/>
      </c>
      <c r="E1218">
        <f>INDEX(FactorTable!$B$2:$Y$301, MATCH(ROUND(MIN(300,MAX(1,D1218)),0), FactorTable!$A$2:$A$301,0), Skills!L21+1)</f>
        <v/>
      </c>
      <c r="F1218">
        <f>IF(Skills!M21=TRUE,(Skills!K21/10)*(E1218/1000),Skills!K21/10)+Skills!N21</f>
        <v/>
      </c>
      <c r="G1218">
        <f>Calc!G21</f>
        <v/>
      </c>
      <c r="H1218">
        <f>Calc!H21</f>
        <v/>
      </c>
      <c r="I1218">
        <f>IF(Skills!T21&lt;&gt;"",1+(Skills!T21/10)*($Z$3/1000)/100,1)</f>
        <v/>
      </c>
      <c r="J1218" t="inlineStr"/>
      <c r="K1218" t="inlineStr"/>
      <c r="L1218" t="inlineStr"/>
      <c r="M1218" t="inlineStr"/>
      <c r="N1218" t="inlineStr"/>
      <c r="O1218">
        <f>(1-Summary!$B$11)*S1218+Summary!$B$11*U1218</f>
        <v/>
      </c>
      <c r="P1218">
        <f>IF(B1240=0,0,O1218/B1240)</f>
        <v/>
      </c>
      <c r="Q1218">
        <f>IFERROR(1/(IF(Inputs!$B$39="pvp",15,MAX(0.1,Skills!D21-IF(Skills!E21=TRUE,Inputs!$B$33,0)))*(1-IF(AND(ArtifactsInput!$M$27,Inputs!$B$4="Chapter Hunt"),CHOOSE(ArtifactsInput!$N$27+1,20,24,28,32,36,40),0)/100)),0)</f>
        <v/>
      </c>
      <c r="R1218" t="n">
        <v>0</v>
      </c>
      <c r="S1218" t="n">
        <v>0</v>
      </c>
      <c r="U1218" t="n">
        <v>0</v>
      </c>
    </row>
    <row r="1219">
      <c r="A1219">
        <f>Skills!A22</f>
        <v/>
      </c>
      <c r="B1219">
        <f>Skills!B22</f>
        <v/>
      </c>
      <c r="C1219">
        <f>Inputs!$B$3&gt;=43</f>
        <v/>
      </c>
      <c r="D1219">
        <f>IF(Skills!C22=1,60+Inputs!$B$26+Inputs!$B$30,IF(Skills!C22=2,90+Inputs!$B$27+Inputs!$B$30,IF(Skills!C22=3,120+Inputs!$B$28+Inputs!$B$30,MAX(0,(Inputs!$B$3-100)*3)+Inputs!$B$29+Inputs!$B$30)))</f>
        <v/>
      </c>
      <c r="E1219">
        <f>INDEX(FactorTable!$B$2:$Y$301, MATCH(ROUND(MIN(300,MAX(1,D1219)),0), FactorTable!$A$2:$A$301,0), Skills!L22+1)</f>
        <v/>
      </c>
      <c r="F1219">
        <f>IF(Skills!M22=TRUE,(Skills!K22/10)*(E1219/1000),Skills!K22/10)+Skills!N22</f>
        <v/>
      </c>
      <c r="G1219">
        <f>Calc!G22</f>
        <v/>
      </c>
      <c r="H1219">
        <f>Calc!H22</f>
        <v/>
      </c>
      <c r="I1219">
        <f>IF(Skills!T22&lt;&gt;"",1+(Skills!T22/10)*($Z$3/1000)/100,1)</f>
        <v/>
      </c>
      <c r="J1219" t="inlineStr"/>
      <c r="K1219" t="inlineStr"/>
      <c r="L1219" t="inlineStr"/>
      <c r="M1219" t="inlineStr"/>
      <c r="N1219" t="inlineStr"/>
      <c r="O1219">
        <f>(1-Summary!$B$11)*S1219+Summary!$B$11*U1219</f>
        <v/>
      </c>
      <c r="P1219">
        <f>IF(B1240=0,0,O1219/B1240)</f>
        <v/>
      </c>
      <c r="Q1219">
        <f>IFERROR(1/(IF(Inputs!$B$39="pvp",15,MAX(0.1,Skills!D22-IF(Skills!E22=TRUE,Inputs!$B$33,0)))*(1-IF(AND(ArtifactsInput!$M$27,Inputs!$B$4="Chapter Hunt"),CHOOSE(ArtifactsInput!$N$27+1,20,24,28,32,36,40),0)/100)),0)</f>
        <v/>
      </c>
      <c r="R1219" t="n">
        <v>0</v>
      </c>
      <c r="S1219" t="n">
        <v>0</v>
      </c>
      <c r="U1219" t="n">
        <v>0</v>
      </c>
    </row>
    <row r="1220">
      <c r="A1220">
        <f>Skills!A23</f>
        <v/>
      </c>
      <c r="B1220">
        <f>Skills!B23</f>
        <v/>
      </c>
      <c r="C1220">
        <f>Inputs!$B$3&gt;=50</f>
        <v/>
      </c>
      <c r="D1220">
        <f>IF(Skills!C23=1,60+Inputs!$B$26+Inputs!$B$30,IF(Skills!C23=2,90+Inputs!$B$27+Inputs!$B$30,IF(Skills!C23=3,120+Inputs!$B$28+Inputs!$B$30,MAX(0,(Inputs!$B$3-100)*3)+Inputs!$B$29+Inputs!$B$30)))</f>
        <v/>
      </c>
      <c r="E1220">
        <f>INDEX(FactorTable!$B$2:$Y$301, MATCH(ROUND(MIN(300,MAX(1,D1220)),0), FactorTable!$A$2:$A$301,0), Skills!L23+1)</f>
        <v/>
      </c>
      <c r="F1220">
        <f>IF(Skills!M23=TRUE,(Skills!K23/10)*(E1220/1000),Skills!K23/10)+Skills!N23</f>
        <v/>
      </c>
      <c r="G1220">
        <f>Calc!G23</f>
        <v/>
      </c>
      <c r="H1220">
        <f>Calc!H23</f>
        <v/>
      </c>
      <c r="I1220">
        <f>IF(Skills!T23&lt;&gt;"",1+(Skills!T23/10)*($Z$3/1000)/100,1)</f>
        <v/>
      </c>
      <c r="J1220" t="inlineStr"/>
      <c r="K1220" t="inlineStr"/>
      <c r="L1220" t="inlineStr"/>
      <c r="M1220" t="inlineStr"/>
      <c r="N1220" t="inlineStr"/>
      <c r="O1220">
        <f>(1-Summary!$B$11)*S1220+Summary!$B$11*U1220</f>
        <v/>
      </c>
      <c r="P1220">
        <f>IF(B1240=0,0,O1220/B1240)</f>
        <v/>
      </c>
      <c r="Q1220">
        <f>IFERROR(1/(IF(Inputs!$B$39="pvp",15,MAX(0.1,Skills!D23-IF(Skills!E23=TRUE,Inputs!$B$33,0)))*(1-IF(AND(ArtifactsInput!$M$27,Inputs!$B$4="Chapter Hunt"),CHOOSE(ArtifactsInput!$N$27+1,20,24,28,32,36,40),0)/100)),0)</f>
        <v/>
      </c>
      <c r="R1220" t="n">
        <v>0</v>
      </c>
      <c r="S1220" t="n">
        <v>0</v>
      </c>
      <c r="U1220" t="n">
        <v>0</v>
      </c>
    </row>
    <row r="1221">
      <c r="A1221">
        <f>Skills!A24</f>
        <v/>
      </c>
      <c r="B1221">
        <f>Skills!B24</f>
        <v/>
      </c>
      <c r="C1221">
        <f>Inputs!$B$3&gt;=74</f>
        <v/>
      </c>
      <c r="D1221">
        <f>IF(Skills!C24=1,60+Inputs!$B$26+Inputs!$B$30,IF(Skills!C24=2,90+Inputs!$B$27+Inputs!$B$30,IF(Skills!C24=3,120+Inputs!$B$28+Inputs!$B$30,MAX(0,(Inputs!$B$3-100)*3)+Inputs!$B$29+Inputs!$B$30)))</f>
        <v/>
      </c>
      <c r="E1221">
        <f>INDEX(FactorTable!$B$2:$Y$301, MATCH(ROUND(MIN(300,MAX(1,D1221)),0), FactorTable!$A$2:$A$301,0), Skills!L24+1)</f>
        <v/>
      </c>
      <c r="F1221">
        <f>IF(Skills!M24=TRUE,(Skills!K24/10)*(E1221/1000),Skills!K24/10)+Skills!N24</f>
        <v/>
      </c>
      <c r="G1221">
        <f>Calc!G24</f>
        <v/>
      </c>
      <c r="H1221">
        <f>Calc!H24</f>
        <v/>
      </c>
      <c r="I1221">
        <f>IF(Skills!T24&lt;&gt;"",1+(Skills!T24/10)*($Z$3/1000)/100,1)</f>
        <v/>
      </c>
      <c r="J1221" t="inlineStr"/>
      <c r="K1221" t="inlineStr"/>
      <c r="L1221" t="inlineStr"/>
      <c r="M1221" t="inlineStr"/>
      <c r="N1221" t="inlineStr"/>
      <c r="O1221">
        <f>(1-Summary!$B$11)*S1221+Summary!$B$11*U1221</f>
        <v/>
      </c>
      <c r="P1221">
        <f>IF(B1240=0,0,O1221/B1240)</f>
        <v/>
      </c>
      <c r="Q1221">
        <f>IFERROR(1/(IF(Inputs!$B$39="pvp",15,MAX(0.1,Skills!D24-IF(Skills!E24=TRUE,Inputs!$B$33,0)))*(1-IF(AND(ArtifactsInput!$M$27,Inputs!$B$4="Chapter Hunt"),CHOOSE(ArtifactsInput!$N$27+1,20,24,28,32,36,40),0)/100)),0)</f>
        <v/>
      </c>
      <c r="R1221" t="n">
        <v>0</v>
      </c>
      <c r="S1221" t="n">
        <v>0</v>
      </c>
      <c r="U1221" t="n">
        <v>0</v>
      </c>
    </row>
    <row r="1222">
      <c r="A1222">
        <f>Skills!A25</f>
        <v/>
      </c>
      <c r="B1222">
        <f>Skills!B25</f>
        <v/>
      </c>
      <c r="C1222">
        <f>Inputs!$B$3&gt;=74</f>
        <v/>
      </c>
      <c r="D1222">
        <f>IF(Skills!C25=1,60+Inputs!$B$26+Inputs!$B$30,IF(Skills!C25=2,90+Inputs!$B$27+Inputs!$B$30,IF(Skills!C25=3,120+Inputs!$B$28+Inputs!$B$30,MAX(0,(Inputs!$B$3-100)*3)+Inputs!$B$29+Inputs!$B$30)))</f>
        <v/>
      </c>
      <c r="E1222">
        <f>INDEX(FactorTable!$B$2:$Y$301, MATCH(ROUND(MIN(300,MAX(1,D1222)),0), FactorTable!$A$2:$A$301,0), Skills!L25+1)</f>
        <v/>
      </c>
      <c r="F1222">
        <f>IF(Skills!M25=TRUE,(Skills!K25/10)*(E1222/1000),Skills!K25/10)+Skills!N25</f>
        <v/>
      </c>
      <c r="G1222">
        <f>Calc!G25</f>
        <v/>
      </c>
      <c r="H1222">
        <f>Calc!H25</f>
        <v/>
      </c>
      <c r="I1222">
        <f>IF(Skills!T25&lt;&gt;"",1+(Skills!T25/10)*($Z$3/1000)/100,1)</f>
        <v/>
      </c>
      <c r="J1222" t="inlineStr"/>
      <c r="K1222" t="inlineStr"/>
      <c r="L1222" t="inlineStr"/>
      <c r="M1222" t="inlineStr"/>
      <c r="N1222" t="inlineStr"/>
      <c r="O1222">
        <f>(1-Summary!$B$11)*S1222+Summary!$B$11*U1222</f>
        <v/>
      </c>
      <c r="P1222">
        <f>IF(B1240=0,0,O1222/B1240)</f>
        <v/>
      </c>
      <c r="Q1222">
        <f>IFERROR(1/(IF(Inputs!$B$39="pvp",15,MAX(0.1,Skills!D25-IF(Skills!E25=TRUE,Inputs!$B$33,0)))*(1-IF(AND(ArtifactsInput!$M$27,Inputs!$B$4="Chapter Hunt"),CHOOSE(ArtifactsInput!$N$27+1,20,24,28,32,36,40),0)/100)),0)</f>
        <v/>
      </c>
      <c r="R1222" t="n">
        <v>0</v>
      </c>
      <c r="S1222" t="n">
        <v>0</v>
      </c>
      <c r="U1222" t="n">
        <v>0</v>
      </c>
    </row>
    <row r="1223">
      <c r="A1223">
        <f>Skills!A26</f>
        <v/>
      </c>
      <c r="B1223">
        <f>Skills!B26</f>
        <v/>
      </c>
      <c r="C1223">
        <f>Inputs!$B$3&gt;=117</f>
        <v/>
      </c>
      <c r="D1223">
        <f>IF(Skills!C26=1,60+Inputs!$B$26+Inputs!$B$30,IF(Skills!C26=2,90+Inputs!$B$27+Inputs!$B$30,IF(Skills!C26=3,120+Inputs!$B$28+Inputs!$B$30,MAX(0,(Inputs!$B$3-100)*3)+Inputs!$B$29+Inputs!$B$30)))</f>
        <v/>
      </c>
      <c r="E1223">
        <f>INDEX(FactorTable!$B$2:$Y$301, MATCH(ROUND(MIN(300,MAX(1,D1223)),0), FactorTable!$A$2:$A$301,0), Skills!L26+1)</f>
        <v/>
      </c>
      <c r="F1223">
        <f>IF(Skills!M26=TRUE,(Skills!K26/10)*(E1223/1000),Skills!K26/10)+Skills!N26</f>
        <v/>
      </c>
      <c r="G1223">
        <f>Calc!G26</f>
        <v/>
      </c>
      <c r="H1223">
        <f>Calc!H26</f>
        <v/>
      </c>
      <c r="I1223">
        <f>IF(Skills!T26&lt;&gt;"",1+(Skills!T26/10)*($Z$3/1000)/100,1)</f>
        <v/>
      </c>
      <c r="J1223" t="inlineStr"/>
      <c r="K1223" t="inlineStr"/>
      <c r="L1223" t="inlineStr"/>
      <c r="M1223" t="inlineStr"/>
      <c r="N1223" t="inlineStr"/>
      <c r="O1223">
        <f>(1-Summary!$B$11)*S1223+Summary!$B$11*U1223</f>
        <v/>
      </c>
      <c r="P1223">
        <f>IF(B1240=0,0,O1223/B1240)</f>
        <v/>
      </c>
      <c r="Q1223">
        <f>IFERROR(1/(IF(Inputs!$B$39="pvp",15,MAX(0.1,Skills!D26-IF(Skills!E26=TRUE,Inputs!$B$33,0)))*(1-IF(AND(ArtifactsInput!$M$27,Inputs!$B$4="Chapter Hunt"),CHOOSE(ArtifactsInput!$N$27+1,20,24,28,32,36,40),0)/100)),0)</f>
        <v/>
      </c>
      <c r="R1223" t="n">
        <v>0</v>
      </c>
      <c r="S1223" t="n">
        <v>0</v>
      </c>
      <c r="U1223" t="n">
        <v>0</v>
      </c>
    </row>
    <row r="1224">
      <c r="A1224">
        <f>Skills!A27</f>
        <v/>
      </c>
      <c r="B1224">
        <f>Skills!B27</f>
        <v/>
      </c>
      <c r="C1224">
        <f>Inputs!$B$3&gt;=120</f>
        <v/>
      </c>
      <c r="D1224">
        <f>IF(Skills!C27=1,60+Inputs!$B$26+Inputs!$B$30,IF(Skills!C27=2,90+Inputs!$B$27+Inputs!$B$30,IF(Skills!C27=3,120+Inputs!$B$28+Inputs!$B$30,MAX(0,(Inputs!$B$3-100)*3)+Inputs!$B$29+Inputs!$B$30)))</f>
        <v/>
      </c>
      <c r="E1224">
        <f>INDEX(FactorTable!$B$2:$Y$301, MATCH(ROUND(MIN(300,MAX(1,D1224)),0), FactorTable!$A$2:$A$301,0), Skills!L27+1)</f>
        <v/>
      </c>
      <c r="F1224">
        <f>IF(Skills!M27=TRUE,(Skills!K27/10)*(E1224/1000),Skills!K27/10)+Skills!N27</f>
        <v/>
      </c>
      <c r="G1224">
        <f>Calc!G27</f>
        <v/>
      </c>
      <c r="H1224">
        <f>Calc!H27</f>
        <v/>
      </c>
      <c r="I1224">
        <f>IF(Skills!T27&lt;&gt;"",1+(Skills!T27/10)*($Z$3/1000)/100,1)</f>
        <v/>
      </c>
      <c r="J1224" t="inlineStr"/>
      <c r="K1224" t="inlineStr"/>
      <c r="L1224" t="inlineStr"/>
      <c r="M1224" t="inlineStr"/>
      <c r="N1224" t="inlineStr"/>
      <c r="O1224">
        <f>(1-Summary!$B$11)*S1224+Summary!$B$11*U1224</f>
        <v/>
      </c>
      <c r="P1224">
        <f>IF(B1240=0,0,O1224/B1240)</f>
        <v/>
      </c>
      <c r="Q1224">
        <f>IFERROR(1/(IF(Inputs!$B$39="pvp",15,MAX(0.1,Skills!D27-IF(Skills!E27=TRUE,Inputs!$B$33,0)))*(1-IF(AND(ArtifactsInput!$M$27,Inputs!$B$4="Chapter Hunt"),CHOOSE(ArtifactsInput!$N$27+1,20,24,28,32,36,40),0)/100)),0)</f>
        <v/>
      </c>
      <c r="R1224" t="n">
        <v>0</v>
      </c>
      <c r="S1224" t="n">
        <v>0</v>
      </c>
      <c r="U1224" t="n">
        <v>0</v>
      </c>
    </row>
    <row r="1225">
      <c r="A1225">
        <f>Skills!A28</f>
        <v/>
      </c>
      <c r="B1225">
        <f>Skills!B28</f>
        <v/>
      </c>
      <c r="C1225">
        <f>TRUE</f>
        <v/>
      </c>
      <c r="D1225">
        <f>IF(Skills!C28=1,60+Inputs!$B$26+Inputs!$B$30,IF(Skills!C28=2,90+Inputs!$B$27+Inputs!$B$30,IF(Skills!C28=3,120+Inputs!$B$28+Inputs!$B$30,MAX(0,(Inputs!$B$3-100)*3)+Inputs!$B$29+Inputs!$B$30)))</f>
        <v/>
      </c>
      <c r="E1225">
        <f>INDEX(FactorTable!$B$2:$Y$301, MATCH(ROUND(MIN(300,MAX(1,D1225)),0), FactorTable!$A$2:$A$301,0), Skills!L28+1)</f>
        <v/>
      </c>
      <c r="F1225">
        <f>IF(Skills!M28=TRUE,(Skills!K28/10)*(E1225/1000),Skills!K28/10)+Skills!N28</f>
        <v/>
      </c>
      <c r="G1225">
        <f>Calc!G28</f>
        <v/>
      </c>
      <c r="H1225">
        <f>Calc!H28</f>
        <v/>
      </c>
      <c r="I1225">
        <f>IF(Skills!T28&lt;&gt;"",1+(Skills!T28/10)*($Z$3/1000)/100,1)</f>
        <v/>
      </c>
      <c r="J1225" t="inlineStr"/>
      <c r="K1225" t="inlineStr"/>
      <c r="L1225" t="inlineStr"/>
      <c r="M1225" t="inlineStr"/>
      <c r="N1225" t="inlineStr"/>
      <c r="O1225">
        <f>(1-Summary!$B$11)*S1225+Summary!$B$11*U1225</f>
        <v/>
      </c>
      <c r="P1225">
        <f>IF(B1240=0,0,O1225/B1240)</f>
        <v/>
      </c>
      <c r="Q1225">
        <f>IFERROR(1/(IF(Inputs!$B$39="pvp",15,MAX(0.1,Skills!D28-IF(Skills!E28=TRUE,Inputs!$B$33,0)))*(1-IF(AND(ArtifactsInput!$M$27,Inputs!$B$4="Chapter Hunt"),CHOOSE(ArtifactsInput!$N$27+1,20,24,28,32,36,40),0)/100)),0)</f>
        <v/>
      </c>
      <c r="R1225">
        <f>IF(AND(Inputs!$B$39&lt;&gt;"pvp",Inputs!$B$44&gt;0),IF(Inputs!$B$44&lt;=0,0,(INT(Inputs!$B$44/(IF(Inputs!$B$39="pvp",15,MAX(0.1,Skills!D28-IF(Skills!E28=TRUE,Inputs!$B$33,0)))*(1-IF(AND(ArtifactsInput!$M$27,Inputs!$B$4="Chapter Hunt"),CHOOSE(ArtifactsInput!$N$27+1,20,24,28,32,36,40),0)/100)))+1)),0)</f>
        <v/>
      </c>
      <c r="S1225" t="n">
        <v>0</v>
      </c>
      <c r="U1225" t="n">
        <v>0</v>
      </c>
    </row>
    <row r="1227">
      <c r="A1227" t="inlineStr">
        <is>
          <t>Average Buff Multiplier</t>
        </is>
      </c>
      <c r="B1227">
        <f>(1+(IF(C1200=TRUE,F1200*IF(AND(Inputs!$B$39&lt;&gt;"pvp",Inputs!$B$44&gt;0),(((R1200-1)*(Skills!S3*(1+((Inputs!$B$35+(ArtifactsInput!$M$7-ArtifactsInput!$M$7)*CHOOSE(ArtifactsInput!$N$7+1,6,7.2,8.4,9.6,10.8,12))+IF(Inputs!$B$3&gt;=117,F1223,0))/100))+MIN((Skills!S3*(1+((Inputs!$B$35+(ArtifactsInput!$M$7-ArtifactsInput!$M$7)*CHOOSE(ArtifactsInput!$N$7+1,6,7.2,8.4,9.6,10.8,12))+IF(Inputs!$B$3&gt;=117,F1223,0))/100)),MAX(0,Inputs!$B$44-((R1200-1)*Skills!D3))))/Inputs!$B$44),IF(Inputs!$B$39="pvp",MIN((Skills!S3*(1+((Inputs!$B$35+(ArtifactsInput!$M$7-ArtifactsInput!$M$7)*CHOOSE(ArtifactsInput!$N$7+1,6,7.2,8.4,9.6,10.8,12))+IF(Inputs!$B$3&gt;=117,F1223,0))/100)),15)/15,(Skills!S3*(1+((Inputs!$B$35+(ArtifactsInput!$M$7-ArtifactsInput!$M$7)*CHOOSE(ArtifactsInput!$N$7+1,6,7.2,8.4,9.6,10.8,12))+IF(Inputs!$B$3&gt;=117,F1223,0))/100))/Skills!D3)),0)+IF(C1201=TRUE,F1201*IF(AND(Inputs!$B$39&lt;&gt;"pvp",Inputs!$B$44&gt;0),(((R1201-1)*(Skills!S4*(1+((Inputs!$B$35+(ArtifactsInput!$M$7-ArtifactsInput!$M$7)*CHOOSE(ArtifactsInput!$N$7+1,6,7.2,8.4,9.6,10.8,12))+IF(Inputs!$B$3&gt;=117,F1223,0))/100))+MIN((Skills!S4*(1+((Inputs!$B$35+(ArtifactsInput!$M$7-ArtifactsInput!$M$7)*CHOOSE(ArtifactsInput!$N$7+1,6,7.2,8.4,9.6,10.8,12))+IF(Inputs!$B$3&gt;=117,F1223,0))/100)),MAX(0,Inputs!$B$44-((R1201-1)*Skills!D4))))/Inputs!$B$44),IF(Inputs!$B$39="pvp",MIN((Skills!S4*(1+((Inputs!$B$35+(ArtifactsInput!$M$7-ArtifactsInput!$M$7)*CHOOSE(ArtifactsInput!$N$7+1,6,7.2,8.4,9.6,10.8,12))+IF(Inputs!$B$3&gt;=117,F1223,0))/100)),15)/15,(Skills!S4*(1+((Inputs!$B$35+(ArtifactsInput!$M$7-ArtifactsInput!$M$7)*CHOOSE(ArtifactsInput!$N$7+1,6,7.2,8.4,9.6,10.8,12))+IF(Inputs!$B$3&gt;=117,F1223,0))/100))/Skills!D4)),0)+IF(C1202=TRUE,F1202*IF(AND(Inputs!$B$39&lt;&gt;"pvp",Inputs!$B$44&gt;0),(((R1202-1)*(Skills!S5*(1+((Inputs!$B$35+(ArtifactsInput!$M$7-ArtifactsInput!$M$7)*CHOOSE(ArtifactsInput!$N$7+1,6,7.2,8.4,9.6,10.8,12))+IF(Inputs!$B$3&gt;=117,F1223,0))/100))+MIN((Skills!S5*(1+((Inputs!$B$35+(ArtifactsInput!$M$7-ArtifactsInput!$M$7)*CHOOSE(ArtifactsInput!$N$7+1,6,7.2,8.4,9.6,10.8,12))+IF(Inputs!$B$3&gt;=117,F1223,0))/100)),MAX(0,Inputs!$B$44-((R1202-1)*Skills!D5))))/Inputs!$B$44),IF(Inputs!$B$39="pvp",MIN((Skills!S5*(1+((Inputs!$B$35+(ArtifactsInput!$M$7-ArtifactsInput!$M$7)*CHOOSE(ArtifactsInput!$N$7+1,6,7.2,8.4,9.6,10.8,12))+IF(Inputs!$B$3&gt;=117,F1223,0))/100)),15)/15,(Skills!S5*(1+((Inputs!$B$35+(ArtifactsInput!$M$7-ArtifactsInput!$M$7)*CHOOSE(ArtifactsInput!$N$7+1,6,7.2,8.4,9.6,10.8,12))+IF(Inputs!$B$3&gt;=117,F1223,0))/100))/Skills!D5)),0)+IF(C1208=TRUE,F1208*IF(AND(Inputs!$B$39&lt;&gt;"pvp",Inputs!$B$44&gt;0),(((R1208-1)*(Skills!S11*(1+((Inputs!$B$35+(ArtifactsInput!$M$7-ArtifactsInput!$M$7)*CHOOSE(ArtifactsInput!$N$7+1,6,7.2,8.4,9.6,10.8,12))+IF(Inputs!$B$3&gt;=117,F1223,0))/100))+MIN((Skills!S11*(1+((Inputs!$B$35+(ArtifactsInput!$M$7-ArtifactsInput!$M$7)*CHOOSE(ArtifactsInput!$N$7+1,6,7.2,8.4,9.6,10.8,12))+IF(Inputs!$B$3&gt;=117,F1223,0))/100)),MAX(0,Inputs!$B$44-((R1208-1)*Skills!D11))))/Inputs!$B$44),IF(Inputs!$B$39="pvp",MIN((Skills!S11*(1+((Inputs!$B$35+(ArtifactsInput!$M$7-ArtifactsInput!$M$7)*CHOOSE(ArtifactsInput!$N$7+1,6,7.2,8.4,9.6,10.8,12))+IF(Inputs!$B$3&gt;=117,F1223,0))/100)),15)/15,(Skills!S11*(1+((Inputs!$B$35+(ArtifactsInput!$M$7-ArtifactsInput!$M$7)*CHOOSE(ArtifactsInput!$N$7+1,6,7.2,8.4,9.6,10.8,12))+IF(Inputs!$B$3&gt;=117,F1223,0)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1211=TRUE,(1+F1211*IF(AND(Inputs!$B$39&lt;&gt;"pvp",Inputs!$B$44&gt;0),(((R1211-1)*(Skills!S14*(1+((Inputs!$B$35+(ArtifactsInput!$M$7-ArtifactsInput!$M$7)*CHOOSE(ArtifactsInput!$N$7+1,6,7.2,8.4,9.6,10.8,12))+IF(Inputs!$B$3&gt;=117,F1223,0))/100))+MIN((Skills!S14*(1+((Inputs!$B$35+(ArtifactsInput!$M$7-ArtifactsInput!$M$7)*CHOOSE(ArtifactsInput!$N$7+1,6,7.2,8.4,9.6,10.8,12))+IF(Inputs!$B$3&gt;=117,F1223,0))/100)),MAX(0,Inputs!$B$44-((R1211-1)*Skills!D14))))/Inputs!$B$44),IF(Inputs!$B$39="pvp",MIN((Skills!S14*(1+((Inputs!$B$35+(ArtifactsInput!$M$7-ArtifactsInput!$M$7)*CHOOSE(ArtifactsInput!$N$7+1,6,7.2,8.4,9.6,10.8,12))+IF(Inputs!$B$3&gt;=117,F1223,0))/100)),15)/15,(Skills!S14*(1+((Inputs!$B$35+(ArtifactsInput!$M$7-ArtifactsInput!$M$7)*CHOOSE(ArtifactsInput!$N$7+1,6,7.2,8.4,9.6,10.8,12))+IF(Inputs!$B$3&gt;=117,F1223,0))/100))/Skills!D14))/100),1)*IF(C1216=TRUE,(1+F1216*IF(AND(Inputs!$B$39&lt;&gt;"pvp",Inputs!$B$44&gt;0),(((R1216-1)*(Skills!S19*(1+((Inputs!$B$35+(ArtifactsInput!$M$7-ArtifactsInput!$M$7)*CHOOSE(ArtifactsInput!$N$7+1,6,7.2,8.4,9.6,10.8,12))+IF(Inputs!$B$3&gt;=117,F1223,0))/100))+MIN((Skills!S19*(1+((Inputs!$B$35+(ArtifactsInput!$M$7-ArtifactsInput!$M$7)*CHOOSE(ArtifactsInput!$N$7+1,6,7.2,8.4,9.6,10.8,12))+IF(Inputs!$B$3&gt;=117,F1223,0))/100)),MAX(0,Inputs!$B$44-((R1216-1)*Skills!D19))))/Inputs!$B$44),IF(Inputs!$B$39="pvp",MIN((Skills!S19*(1+((Inputs!$B$35+(ArtifactsInput!$M$7-ArtifactsInput!$M$7)*CHOOSE(ArtifactsInput!$N$7+1,6,7.2,8.4,9.6,10.8,12))+IF(Inputs!$B$3&gt;=117,F1223,0))/100)),15)/15,(Skills!S19*(1+((Inputs!$B$35+(ArtifactsInput!$M$7-ArtifactsInput!$M$7)*CHOOSE(ArtifactsInput!$N$7+1,6,7.2,8.4,9.6,10.8,12))+IF(Inputs!$B$3&gt;=117,F1223,0))/100))/Skills!D19))/100),1)</f>
        <v/>
      </c>
    </row>
    <row r="1228">
      <c r="A1228" t="inlineStr">
        <is>
          <t>Monster Damage Taken Bonus % (Holy Fountain)</t>
        </is>
      </c>
      <c r="B1228">
        <f>IF(Inputs!$B$3&gt;=68,20*IF(Inputs!$B$39="pvp",MIN((15*(1+((Inputs!$B$35+(ArtifactsInput!$M$7-ArtifactsInput!$M$7)*CHOOSE(ArtifactsInput!$N$7+1,6,7.2,8.4,9.6,10.8,12))+IF(Inputs!$B$3&gt;=117,F1223,0))/100)),15)/15,(15*(1+((Inputs!$B$35+(ArtifactsInput!$M$7-ArtifactsInput!$M$7)*CHOOSE(ArtifactsInput!$N$7+1,6,7.2,8.4,9.6,10.8,12))+IF(Inputs!$B$3&gt;=117,F1223,0))/100))/Skills!D10),0)</f>
        <v/>
      </c>
    </row>
    <row r="1229">
      <c r="A1229" t="inlineStr">
        <is>
          <t>Normal Monster Damage Bonus % (Holy Symbol)</t>
        </is>
      </c>
      <c r="B1229">
        <f>IF(C1209=TRUE,F1209*IF(AND(Inputs!$B$39&lt;&gt;"pvp",Inputs!$B$44&gt;0),(((R1209-1)*(Skills!S12*(1+((Inputs!$B$35+(ArtifactsInput!$M$7-ArtifactsInput!$M$7)*CHOOSE(ArtifactsInput!$N$7+1,6,7.2,8.4,9.6,10.8,12))+IF(Inputs!$B$3&gt;=117,F1223,0))/100))+MIN((Skills!S12*(1+((Inputs!$B$35+(ArtifactsInput!$M$7-ArtifactsInput!$M$7)*CHOOSE(ArtifactsInput!$N$7+1,6,7.2,8.4,9.6,10.8,12))+IF(Inputs!$B$3&gt;=117,F1223,0))/100)),MAX(0,Inputs!$B$44-((R1209-1)*Skills!D12))))/Inputs!$B$44),IF(Inputs!$B$39="pvp",MIN((Skills!S12*(1+((Inputs!$B$35+(ArtifactsInput!$M$7-ArtifactsInput!$M$7)*CHOOSE(ArtifactsInput!$N$7+1,6,7.2,8.4,9.6,10.8,12))+IF(Inputs!$B$3&gt;=117,F1223,0))/100)),15)/15,(Skills!S12*(1+((Inputs!$B$35+(ArtifactsInput!$M$7-ArtifactsInput!$M$7)*CHOOSE(ArtifactsInput!$N$7+1,6,7.2,8.4,9.6,10.8,12))+IF(Inputs!$B$3&gt;=117,F1223,0))/100))/Skills!D12)),0)</f>
        <v/>
      </c>
    </row>
    <row r="1230">
      <c r="A1230" t="inlineStr">
        <is>
          <t>Damage % Bonus (Holy Symbol - Damage Boost)</t>
        </is>
      </c>
      <c r="B1230">
        <f>Skills!O12</f>
        <v/>
      </c>
    </row>
    <row r="1231">
      <c r="A1231" t="inlineStr">
        <is>
          <t>Crit Damage % Bonus (Blood of the Divine)</t>
        </is>
      </c>
      <c r="B1231">
        <f>4*IF(C1217=TRUE,F1217,0)</f>
        <v/>
      </c>
    </row>
    <row r="1232">
      <c r="A1232" t="inlineStr">
        <is>
          <t>Attack Speed Bonus %</t>
        </is>
      </c>
      <c r="B1232">
        <f>IF(C1214=TRUE,F1214+(F1218-Calc!F21),0)+IF(Inputs!$B$3&gt;=134,15,0)+((C1225=TRUE)*F1225*IF(AND(Inputs!$B$39&lt;&gt;"pvp",Inputs!$B$44&gt;0),(((R1225-1)*(Skills!S28*(1+((Inputs!$B$35+(ArtifactsInput!$M$7-ArtifactsInput!$M$7)*CHOOSE(ArtifactsInput!$N$7+1,6,7.2,8.4,9.6,10.8,12))+IF(Inputs!$B$3&gt;=117,F1223,0))/100))+MIN((Skills!S28*(1+((Inputs!$B$35+(ArtifactsInput!$M$7-ArtifactsInput!$M$7)*CHOOSE(ArtifactsInput!$N$7+1,6,7.2,8.4,9.6,10.8,12))+IF(Inputs!$B$3&gt;=117,F1223,0))/100)),MAX(0,Inputs!$B$44-((R1225-1)*Skills!D28))))/Inputs!$B$44),IF(Inputs!$B$39="pvp",MIN((Skills!S28*(1+((Inputs!$B$35+(ArtifactsInput!$M$7-ArtifactsInput!$M$7)*CHOOSE(ArtifactsInput!$N$7+1,6,7.2,8.4,9.6,10.8,12))+IF(Inputs!$B$3&gt;=117,F1223,0))/100)),15)/15,(Skills!S28*(1+((Inputs!$B$35+(ArtifactsInput!$M$7-ArtifactsInput!$M$7)*CHOOSE(ArtifactsInput!$N$7+1,6,7.2,8.4,9.6,10.8,12))+IF(Inputs!$B$3&gt;=117,F1223,0))/100))/Skills!D28)))</f>
        <v/>
      </c>
    </row>
    <row r="1233">
      <c r="A1233" t="inlineStr">
        <is>
          <t>Actions Per Second</t>
        </is>
      </c>
      <c r="B1233">
        <f>1+MIN(150,150*(1-(1-Inputs!$B$12/150)*(1-B1232/150)))/100</f>
        <v/>
      </c>
    </row>
    <row r="1234">
      <c r="A1234" t="inlineStr">
        <is>
          <t>Skill + Buff Cast Rate</t>
        </is>
      </c>
      <c r="B1234">
        <f>IF(AND(Inputs!$B$39&lt;&gt;"pvp",Inputs!$B$44&gt;0),SUMPRODUCT((Skills!E2:E28=TRUE)*(C1199:C1225=TRUE)*R1199:R1225)/Inputs!$B$44,SUMPRODUCT((Skills!E2:E28=TRUE)*(C1199:C1225=TRUE)*Q1199:Q1225))</f>
        <v/>
      </c>
    </row>
    <row r="1235">
      <c r="A1235" t="inlineStr">
        <is>
          <t>Big Bang Casts Per Second</t>
        </is>
      </c>
      <c r="B1235">
        <f>MAX(0,B1233-B1234)</f>
        <v/>
      </c>
    </row>
    <row r="1236">
      <c r="A1236" t="inlineStr">
        <is>
          <t>Defense % Bonus (Divine Protection)</t>
        </is>
      </c>
      <c r="B1236">
        <f>IF(C1210=TRUE,F1210*IF(AND(Inputs!$B$39&lt;&gt;"pvp",Inputs!$B$44&gt;0),(((R1210-1)*(Skills!S13*(1+((Inputs!$B$35+(ArtifactsInput!$M$7-ArtifactsInput!$M$7)*CHOOSE(ArtifactsInput!$N$7+1,6,7.2,8.4,9.6,10.8,12))+IF(Inputs!$B$3&gt;=117,F1223,0))/100))+MIN((Skills!S13*(1+((Inputs!$B$35+(ArtifactsInput!$M$7-ArtifactsInput!$M$7)*CHOOSE(ArtifactsInput!$N$7+1,6,7.2,8.4,9.6,10.8,12))+IF(Inputs!$B$3&gt;=117,F1223,0))/100)),MAX(0,Inputs!$B$44-((R1210-1)*Skills!D13))))/Inputs!$B$44),IF(Inputs!$B$39="pvp",MIN((Skills!S13*(1+((Inputs!$B$35+(ArtifactsInput!$M$7-ArtifactsInput!$M$7)*CHOOSE(ArtifactsInput!$N$7+1,6,7.2,8.4,9.6,10.8,12))+IF(Inputs!$B$3&gt;=117,F1223,0))/100)),15)/15,(Skills!S13*(1+((Inputs!$B$35+(ArtifactsInput!$M$7-ArtifactsInput!$M$7)*CHOOSE(ArtifactsInput!$N$7+1,6,7.2,8.4,9.6,10.8,12))+IF(Inputs!$B$3&gt;=117,F1223,0))/100))/Skills!D13)),0)</f>
        <v/>
      </c>
    </row>
    <row r="1237">
      <c r="A1237" t="inlineStr">
        <is>
          <t>Buff-Casting Startup Delay (s, fixed-duration only)</t>
        </is>
      </c>
      <c r="B1237">
        <f>IF(AND(Inputs!$B$39&lt;&gt;"pvp",Inputs!$B$44&gt;0),SUMPRODUCT((Skills!S2:S28&gt;0)*(Skills!E2:E28=TRUE)*(C1199:C1225=TRUE))/B1233,0)</f>
        <v/>
      </c>
    </row>
    <row r="1238">
      <c r="A1238" t="inlineStr">
        <is>
          <t>Boss-Only Total DPS (this block's swept value)</t>
        </is>
      </c>
      <c r="B1238">
        <f>SUM(S1199:S1225)</f>
        <v/>
      </c>
    </row>
    <row r="1239">
      <c r="A1239" t="inlineStr">
        <is>
          <t>Normal-Only Total DPS (this block's swept value)</t>
        </is>
      </c>
      <c r="B1239">
        <f>SUM(U1199:U1225)</f>
        <v/>
      </c>
    </row>
    <row r="1240">
      <c r="A1240" s="6" t="inlineStr">
        <is>
          <t>TOTAL DPS</t>
        </is>
      </c>
      <c r="B1240" s="6">
        <f>SUM(O1199:O1225)</f>
        <v/>
      </c>
    </row>
    <row r="1242">
      <c r="A1242" s="6" t="inlineStr">
        <is>
          <t>Stat: Buff Duration Increase %</t>
        </is>
      </c>
    </row>
    <row r="1243">
      <c r="A1243" s="5" t="inlineStr">
        <is>
          <t>Key</t>
        </is>
      </c>
      <c r="B1243" s="5" t="inlineStr">
        <is>
          <t>Name</t>
        </is>
      </c>
      <c r="C1243" s="5" t="inlineStr">
        <is>
          <t>Unlocked</t>
        </is>
      </c>
      <c r="D1243" s="5" t="inlineStr">
        <is>
          <t>InputLevel</t>
        </is>
      </c>
      <c r="E1243" s="5" t="inlineStr">
        <is>
          <t>Factor</t>
        </is>
      </c>
      <c r="F1243" s="5" t="inlineStr">
        <is>
          <t>CoefficientPercent</t>
        </is>
      </c>
      <c r="G1243" s="5" t="inlineStr">
        <is>
          <t>EffectiveHits</t>
        </is>
      </c>
      <c r="H1243" s="5" t="inlineStr">
        <is>
          <t>ProcProbability</t>
        </is>
      </c>
      <c r="I1243" s="5" t="inlineStr">
        <is>
          <t>MapleHeroMultiplier</t>
        </is>
      </c>
      <c r="J1243" s="5" t="inlineStr">
        <is>
          <t>BaseDamage</t>
        </is>
      </c>
      <c r="K1243" s="5" t="inlineStr">
        <is>
          <t>BaseHitDamage</t>
        </is>
      </c>
      <c r="L1243" s="5" t="inlineStr">
        <is>
          <t>NonCritAvg</t>
        </is>
      </c>
      <c r="M1243" s="5" t="inlineStr">
        <is>
          <t>CritAvg</t>
        </is>
      </c>
      <c r="N1243" s="5" t="inlineStr">
        <is>
          <t>ExpectedDamage(perHit)</t>
        </is>
      </c>
      <c r="O1243" s="5" t="inlineStr">
        <is>
          <t>DPS</t>
        </is>
      </c>
      <c r="P1243" s="5" t="inlineStr">
        <is>
          <t>% of Total</t>
        </is>
      </c>
      <c r="R1243" t="inlineStr">
        <is>
          <t>helpers</t>
        </is>
      </c>
    </row>
    <row r="1244">
      <c r="A1244">
        <f>Skills!A2</f>
        <v/>
      </c>
      <c r="B1244">
        <f>Skills!B2</f>
        <v/>
      </c>
      <c r="C1244">
        <f>Inputs!$B$3&gt;=100</f>
        <v/>
      </c>
      <c r="D1244" t="inlineStr"/>
      <c r="E1244" t="inlineStr"/>
      <c r="F1244">
        <f>T1246+Skills!N2</f>
        <v/>
      </c>
      <c r="G1244">
        <f>Calc!G2</f>
        <v/>
      </c>
      <c r="H1244">
        <f>Calc!H2</f>
        <v/>
      </c>
      <c r="I1244">
        <f>IF(Skills!T2&lt;&gt;"",1+(Skills!T2/10)*($Z$3/1000)/100,1)</f>
        <v/>
      </c>
      <c r="J1244">
        <f>((Inputs!$B$6*(1+Inputs!$B$7/100))+(((Inputs!$B$13*(1+Inputs!$B$14/100))-(Inputs!$B$13*(1+Inputs!$B$14/100)))+0.25*(Inputs!$B$15-Inputs!$B$15))*(1+Inputs!$B$7/100))*(F1244/100)</f>
        <v/>
      </c>
      <c r="K1244">
        <f>J1244*(1+(((Inputs!$B$13+IF(Inputs!$B$3&gt;=35,(10*INDEX(FactorTable!$B$2:$Y$301,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2="TRIUMPH_FEATHER",IF(C1258=TRUE,F1258,0),0)/100)*(1+IF(C1269=TRUE,F1269,0)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1244)</f>
        <v/>
      </c>
      <c r="L1244">
        <f>K1244*(MIN(Inputs!$B$23+(F1264-Calc!F22),(Inputs!$B$24+IF(ArtifactsInput!$M$15,CHOOSE(ArtifactsInput!$N$15+1,25,30,35,40,45,50)/100*(Inputs!$B$12-Inputs!$B$12),0)))/100+(Inputs!$B$24+IF(ArtifactsInput!$M$15,CHOOSE(ArtifactsInput!$N$15+1,25,30,35,40,45,50)/100*(Inputs!$B$12-Inputs!$B$12),0))/100)/2</f>
        <v/>
      </c>
      <c r="M1244">
        <f>L1244*(1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4">
        <f>L1244*(1-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1244*(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4">
        <f>(1-Summary!$B$11)*S1244+Summary!$B$11*U1244</f>
        <v/>
      </c>
      <c r="P1244">
        <f>IF(B1285=0,0,O1244/B1285)</f>
        <v/>
      </c>
      <c r="Q1244">
        <f>IFERROR(1/(IF(Inputs!$B$39="pvp",15,MAX(0.1,Skills!D2-IF(Skills!E2=TRUE,Inputs!$B$33,0)))*(1-IF(AND(ArtifactsInput!$M$27,Inputs!$B$4="Chapter Hunt"),CHOOSE(ArtifactsInput!$N$27+1,20,24,28,32,36,40),0)/100)),0)</f>
        <v/>
      </c>
      <c r="R1244" t="n">
        <v>0</v>
      </c>
      <c r="S1244">
        <f>IF(C1244,(Skills!F2*N1244*B1280)*IF(Inputs!$B$39="pvp",1,1+(Inputs!$B$21+Skills!O2+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1244*(1-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1244*(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1244*(1-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1244*(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44">
        <f>MAX(0,(Inputs!$B$3-100)*3)+Inputs!$B$29+Inputs!$B$30</f>
        <v/>
      </c>
      <c r="U1244">
        <f>IF(C1244,(Skills!F2*N1244*B1280)*IF(Inputs!$B$39="pvp",1,(1+(Inputs!$B$22+Skills!P2+B1274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5">
      <c r="A1245">
        <f>Skills!A3</f>
        <v/>
      </c>
      <c r="B1245">
        <f>Skills!B3</f>
        <v/>
      </c>
      <c r="C1245">
        <f>Inputs!$B$3&gt;=15</f>
        <v/>
      </c>
      <c r="D1245">
        <f>IF(Skills!C3=1,60+Inputs!$B$26+Inputs!$B$30,IF(Skills!C3=2,90+Inputs!$B$27+Inputs!$B$30,IF(Skills!C3=3,120+Inputs!$B$28+Inputs!$B$30,MAX(0,(Inputs!$B$3-100)*3)+Inputs!$B$29+Inputs!$B$30)))</f>
        <v/>
      </c>
      <c r="E1245">
        <f>INDEX(FactorTable!$B$2:$Y$301, MATCH(ROUND(MIN(300,MAX(1,D1245)),0), FactorTable!$A$2:$A$301,0), Skills!L3+1)</f>
        <v/>
      </c>
      <c r="F1245">
        <f>IF(Skills!M3=TRUE,(Skills!K3/10)*(E1245/1000),Skills!K3/10)+Skills!N3</f>
        <v/>
      </c>
      <c r="G1245">
        <f>Calc!G3</f>
        <v/>
      </c>
      <c r="H1245">
        <f>Calc!H3</f>
        <v/>
      </c>
      <c r="I1245">
        <f>IF(Skills!T3&lt;&gt;"",1+(Skills!T3/10)*($Z$3/1000)/100,1)</f>
        <v/>
      </c>
      <c r="J1245" t="inlineStr"/>
      <c r="K1245" t="inlineStr"/>
      <c r="L1245" t="inlineStr"/>
      <c r="M1245" t="inlineStr"/>
      <c r="N1245" t="inlineStr"/>
      <c r="O1245">
        <f>(1-Summary!$B$11)*S1245+Summary!$B$11*U1245</f>
        <v/>
      </c>
      <c r="P1245">
        <f>IF(B1285=0,0,O1245/B1285)</f>
        <v/>
      </c>
      <c r="Q1245">
        <f>IFERROR(1/(IF(Inputs!$B$39="pvp",15,MAX(0.1,Skills!D3-IF(Skills!E3=TRUE,Inputs!$B$33,0)))*(1-IF(AND(ArtifactsInput!$M$27,Inputs!$B$4="Chapter Hunt"),CHOOSE(ArtifactsInput!$N$27+1,20,24,28,32,36,40),0)/100)),0)</f>
        <v/>
      </c>
      <c r="R1245">
        <f>IF(AND(Inputs!$B$39&lt;&gt;"pvp",Inputs!$B$44&gt;0),IF(Inputs!$B$44&lt;=0,0,(INT(Inputs!$B$44/(IF(Inputs!$B$39="pvp",15,MAX(0.1,Skills!D3-IF(Skills!E3=TRUE,Inputs!$B$33,0)))*(1-IF(AND(ArtifactsInput!$M$27,Inputs!$B$4="Chapter Hunt"),CHOOSE(ArtifactsInput!$N$27+1,20,24,28,32,36,40),0)/100)))+1)),0)</f>
        <v/>
      </c>
      <c r="S1245" t="n">
        <v>0</v>
      </c>
      <c r="T1245">
        <f>INDEX(FactorTable!$B$2:$Y$301, MATCH(ROUND(MIN(300,MAX(1,T1244)),0), FactorTable!$A$2:$A$301,0), 22)</f>
        <v/>
      </c>
      <c r="U1245" t="n">
        <v>0</v>
      </c>
    </row>
    <row r="1246">
      <c r="A1246">
        <f>Skills!A4</f>
        <v/>
      </c>
      <c r="B1246">
        <f>Skills!B4</f>
        <v/>
      </c>
      <c r="C1246">
        <f>Inputs!$B$3&gt;=38</f>
        <v/>
      </c>
      <c r="D1246">
        <f>IF(Skills!C4=1,60+Inputs!$B$26+Inputs!$B$30,IF(Skills!C4=2,90+Inputs!$B$27+Inputs!$B$30,IF(Skills!C4=3,120+Inputs!$B$28+Inputs!$B$30,MAX(0,(Inputs!$B$3-100)*3)+Inputs!$B$29+Inputs!$B$30)))</f>
        <v/>
      </c>
      <c r="E1246">
        <f>INDEX(FactorTable!$B$2:$Y$301, MATCH(ROUND(MIN(300,MAX(1,D1246)),0), FactorTable!$A$2:$A$301,0), Skills!L4+1)</f>
        <v/>
      </c>
      <c r="F1246">
        <f>IF(Skills!M4=TRUE,(Skills!K4/10)*(E1246/1000),Skills!K4/10)+Skills!N4</f>
        <v/>
      </c>
      <c r="G1246">
        <f>Calc!G4</f>
        <v/>
      </c>
      <c r="H1246">
        <f>Calc!H4</f>
        <v/>
      </c>
      <c r="I1246">
        <f>IF(Skills!T4&lt;&gt;"",1+(Skills!T4/10)*($Z$3/1000)/100,1)</f>
        <v/>
      </c>
      <c r="J1246" t="inlineStr"/>
      <c r="K1246" t="inlineStr"/>
      <c r="L1246" t="inlineStr"/>
      <c r="M1246" t="inlineStr"/>
      <c r="N1246" t="inlineStr"/>
      <c r="O1246">
        <f>(1-Summary!$B$11)*S1246+Summary!$B$11*U1246</f>
        <v/>
      </c>
      <c r="P1246">
        <f>IF(B1285=0,0,O1246/B1285)</f>
        <v/>
      </c>
      <c r="Q1246">
        <f>IFERROR(1/(IF(Inputs!$B$39="pvp",15,MAX(0.1,Skills!D4-IF(Skills!E4=TRUE,Inputs!$B$33,0)))*(1-IF(AND(ArtifactsInput!$M$27,Inputs!$B$4="Chapter Hunt"),CHOOSE(ArtifactsInput!$N$27+1,20,24,28,32,36,40),0)/100)),0)</f>
        <v/>
      </c>
      <c r="R1246">
        <f>IF(AND(Inputs!$B$39&lt;&gt;"pvp",Inputs!$B$44&gt;0),IF(Inputs!$B$44&lt;=0,0,(INT(Inputs!$B$44/(IF(Inputs!$B$39="pvp",15,MAX(0.1,Skills!D4-IF(Skills!E4=TRUE,Inputs!$B$33,0)))*(1-IF(AND(ArtifactsInput!$M$27,Inputs!$B$4="Chapter Hunt"),CHOOSE(ArtifactsInput!$N$27+1,20,24,28,32,36,40),0)/100)))+1)),0)</f>
        <v/>
      </c>
      <c r="S1246" t="n">
        <v>0</v>
      </c>
      <c r="T1246">
        <f>290*T1245/1000</f>
        <v/>
      </c>
      <c r="U1246" t="n">
        <v>0</v>
      </c>
    </row>
    <row r="1247">
      <c r="A1247">
        <f>Skills!A5</f>
        <v/>
      </c>
      <c r="B1247">
        <f>Skills!B5</f>
        <v/>
      </c>
      <c r="C1247">
        <f>Inputs!$B$3&gt;=40</f>
        <v/>
      </c>
      <c r="D1247">
        <f>IF(Skills!C5=1,60+Inputs!$B$26+Inputs!$B$30,IF(Skills!C5=2,90+Inputs!$B$27+Inputs!$B$30,IF(Skills!C5=3,120+Inputs!$B$28+Inputs!$B$30,MAX(0,(Inputs!$B$3-100)*3)+Inputs!$B$29+Inputs!$B$30)))</f>
        <v/>
      </c>
      <c r="E1247">
        <f>INDEX(FactorTable!$B$2:$Y$301, MATCH(ROUND(MIN(300,MAX(1,D1247)),0), FactorTable!$A$2:$A$301,0), Skills!L5+1)</f>
        <v/>
      </c>
      <c r="F1247">
        <f>IF(Skills!M5=TRUE,(Skills!K5/10)*(E1247/1000),Skills!K5/10)+Skills!N5</f>
        <v/>
      </c>
      <c r="G1247">
        <f>Calc!G5</f>
        <v/>
      </c>
      <c r="H1247">
        <f>Calc!H5</f>
        <v/>
      </c>
      <c r="I1247">
        <f>IF(Skills!T5&lt;&gt;"",1+(Skills!T5/10)*($Z$3/1000)/100,1)</f>
        <v/>
      </c>
      <c r="J1247" t="inlineStr"/>
      <c r="K1247" t="inlineStr"/>
      <c r="L1247" t="inlineStr"/>
      <c r="M1247" t="inlineStr"/>
      <c r="N1247" t="inlineStr"/>
      <c r="O1247">
        <f>(1-Summary!$B$11)*S1247+Summary!$B$11*U1247</f>
        <v/>
      </c>
      <c r="P1247">
        <f>IF(B1285=0,0,O1247/B1285)</f>
        <v/>
      </c>
      <c r="Q1247">
        <f>IFERROR(1/(IF(Inputs!$B$39="pvp",15,MAX(0.1,Skills!D5-IF(Skills!E5=TRUE,Inputs!$B$33,0)))*(1-IF(AND(ArtifactsInput!$M$27,Inputs!$B$4="Chapter Hunt"),CHOOSE(ArtifactsInput!$N$27+1,20,24,28,32,36,40),0)/100)),0)</f>
        <v/>
      </c>
      <c r="R1247">
        <f>IF(AND(Inputs!$B$39&lt;&gt;"pvp",Inputs!$B$44&gt;0),IF(Inputs!$B$44&lt;=0,0,(INT(Inputs!$B$44/(IF(Inputs!$B$39="pvp",15,MAX(0.1,Skills!D5-IF(Skills!E5=TRUE,Inputs!$B$33,0)))*(1-IF(AND(ArtifactsInput!$M$27,Inputs!$B$4="Chapter Hunt"),CHOOSE(ArtifactsInput!$N$27+1,20,24,28,32,36,40),0)/100)))+1)),0)</f>
        <v/>
      </c>
      <c r="S1247" t="n">
        <v>0</v>
      </c>
      <c r="U1247" t="n">
        <v>0</v>
      </c>
    </row>
    <row r="1248">
      <c r="A1248">
        <f>Skills!A6</f>
        <v/>
      </c>
      <c r="B1248">
        <f>Skills!B6</f>
        <v/>
      </c>
      <c r="C1248">
        <f>Inputs!$B$3&gt;=103</f>
        <v/>
      </c>
      <c r="D1248">
        <f>IF(Skills!C6=1,60+Inputs!$B$26+Inputs!$B$30,IF(Skills!C6=2,90+Inputs!$B$27+Inputs!$B$30,IF(Skills!C6=3,120+Inputs!$B$28+Inputs!$B$30,MAX(0,(Inputs!$B$3-100)*3)+Inputs!$B$29+Inputs!$B$30)))</f>
        <v/>
      </c>
      <c r="E1248">
        <f>INDEX(FactorTable!$B$2:$Y$301, MATCH(ROUND(MIN(300,MAX(1,D1248)),0), FactorTable!$A$2:$A$301,0), Skills!L6+1)</f>
        <v/>
      </c>
      <c r="F1248">
        <f>IF(Skills!M6=TRUE,(Skills!K6/10)*(E1248/1000),Skills!K6/10)+Skills!N6</f>
        <v/>
      </c>
      <c r="G1248">
        <f>Calc!G6</f>
        <v/>
      </c>
      <c r="H1248">
        <f>Calc!H6</f>
        <v/>
      </c>
      <c r="I1248">
        <f>IF(Skills!T6&lt;&gt;"",1+(Skills!T6/10)*($Z$3/1000)/100,1)</f>
        <v/>
      </c>
      <c r="J1248">
        <f>((Inputs!$B$6*(1+Inputs!$B$7/100))+(((Inputs!$B$13*(1+Inputs!$B$14/100))-(Inputs!$B$13*(1+Inputs!$B$14/100)))+0.25*(Inputs!$B$15-Inputs!$B$15))*(1+Inputs!$B$7/100))*(F1248/100)</f>
        <v/>
      </c>
      <c r="K1248">
        <f>J1248*(1+(((Inputs!$B$13+IF(Inputs!$B$3&gt;=35,(10*INDEX(FactorTable!$B$2:$Y$301,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6="TRIUMPH_FEATHER",IF(C1258=TRUE,F1258,0),0)/100)*(1+IF(C1269=TRUE,F1269,0)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1248)</f>
        <v/>
      </c>
      <c r="L1248">
        <f>K1248*(MIN(Inputs!$B$23+(F1264-Calc!F22),(Inputs!$B$24+IF(ArtifactsInput!$M$15,CHOOSE(ArtifactsInput!$N$15+1,25,30,35,40,45,50)/100*(Inputs!$B$12-Inputs!$B$12),0)))/100+(Inputs!$B$24+IF(ArtifactsInput!$M$15,CHOOSE(ArtifactsInput!$N$15+1,25,30,35,40,45,50)/100*(Inputs!$B$12-Inputs!$B$12),0))/100)/2</f>
        <v/>
      </c>
      <c r="M1248">
        <f>L1248*(1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8">
        <f>L1248*(1-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1248*(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8">
        <f>(1-Summary!$B$11)*S1248+Summary!$B$11*U1248</f>
        <v/>
      </c>
      <c r="P1248">
        <f>IF(B1285=0,0,O1248/B1285)</f>
        <v/>
      </c>
      <c r="Q1248">
        <f>IFERROR(1/(IF(Inputs!$B$39="pvp",15,MAX(0.1,Skills!D6-IF(Skills!E6=TRUE,Inputs!$B$33,0)))*(1-IF(AND(ArtifactsInput!$M$27,Inputs!$B$4="Chapter Hunt"),CHOOSE(ArtifactsInput!$N$27+1,20,24,28,32,36,40),0)/100)),0)</f>
        <v/>
      </c>
      <c r="R1248">
        <f>IF(AND(Inputs!$B$39&lt;&gt;"pvp",Inputs!$B$44&gt;0),IF(MAX(0,Inputs!$B$44-B1282)&lt;=0,0,(INT(MAX(0,Inputs!$B$44-B1282)/(IF(Inputs!$B$39="pvp",15,MAX(0.1,Skills!D6-IF(Skills!E6=TRUE,Inputs!$B$33,0)))*(1-IF(AND(ArtifactsInput!$M$27,Inputs!$B$4="Chapter Hunt"),CHOOSE(ArtifactsInput!$N$27+1,20,24,28,32,36,40),0)/100)))+1)),0)</f>
        <v/>
      </c>
      <c r="S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$21+Skills!O6+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1248*(1-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1248*(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1248*(1-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1248*(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$22+Skills!P6+B1274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9">
      <c r="A1249">
        <f>Skills!A7</f>
        <v/>
      </c>
      <c r="B1249">
        <f>Skills!B7</f>
        <v/>
      </c>
      <c r="C1249">
        <f>Inputs!$B$3&gt;=122</f>
        <v/>
      </c>
      <c r="D1249">
        <f>IF(Skills!C7=1,60+Inputs!$B$26+Inputs!$B$30,IF(Skills!C7=2,90+Inputs!$B$27+Inputs!$B$30,IF(Skills!C7=3,120+Inputs!$B$28+Inputs!$B$30,MAX(0,(Inputs!$B$3-100)*3)+Inputs!$B$29+Inputs!$B$30)))</f>
        <v/>
      </c>
      <c r="E1249">
        <f>INDEX(FactorTable!$B$2:$Y$301, MATCH(ROUND(MIN(300,MAX(1,D1249)),0), FactorTable!$A$2:$A$301,0), Skills!L7+1)</f>
        <v/>
      </c>
      <c r="F1249">
        <f>IF(Skills!M7=TRUE,(Skills!K7/10)*(E1249/1000),Skills!K7/10)+Skills!N7</f>
        <v/>
      </c>
      <c r="G1249">
        <f>Calc!G7</f>
        <v/>
      </c>
      <c r="H1249">
        <f>Calc!H7</f>
        <v/>
      </c>
      <c r="I1249">
        <f>IF(Skills!T7&lt;&gt;"",1+(Skills!T7/10)*($Z$3/1000)/100,1)</f>
        <v/>
      </c>
      <c r="J1249">
        <f>((Inputs!$B$6*(1+Inputs!$B$7/100))+(((Inputs!$B$13*(1+Inputs!$B$14/100))-(Inputs!$B$13*(1+Inputs!$B$14/100)))+0.25*(Inputs!$B$15-Inputs!$B$15))*(1+Inputs!$B$7/100))*(F1249/100)</f>
        <v/>
      </c>
      <c r="K1249">
        <f>J1249*(1+(((Inputs!$B$13+IF(Inputs!$B$3&gt;=35,(10*INDEX(FactorTable!$B$2:$Y$301,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7="TRIUMPH_FEATHER",IF(C1258=TRUE,F1258,0),0)/100)*(1+IF(C1269=TRUE,F1269,0)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1249)</f>
        <v/>
      </c>
      <c r="L1249">
        <f>K1249*(MIN(Inputs!$B$23+(F1264-Calc!F22),(Inputs!$B$24+IF(ArtifactsInput!$M$15,CHOOSE(ArtifactsInput!$N$15+1,25,30,35,40,45,50)/100*(Inputs!$B$12-Inputs!$B$12),0)))/100+(Inputs!$B$24+IF(ArtifactsInput!$M$15,CHOOSE(ArtifactsInput!$N$15+1,25,30,35,40,45,50)/100*(Inputs!$B$12-Inputs!$B$12),0))/100)/2</f>
        <v/>
      </c>
      <c r="M1249">
        <f>L1249*(1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9">
        <f>L1249*(1-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1249*(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9">
        <f>(1-Summary!$B$11)*S1249+Summary!$B$11*U1249</f>
        <v/>
      </c>
      <c r="P1249">
        <f>IF(B1285=0,0,O1249/B1285)</f>
        <v/>
      </c>
      <c r="Q1249">
        <f>IFERROR(1/(IF(Inputs!$B$39="pvp",15,MAX(0.1,Skills!D7-IF(Skills!E6=TRUE,Inputs!$B$33,0)))*(1-IF(AND(ArtifactsInput!$M$27,Inputs!$B$4="Chapter Hunt"),CHOOSE(ArtifactsInput!$N$27+1,20,24,28,32,36,40),0)/100)),0)</f>
        <v/>
      </c>
      <c r="R1249">
        <f>IF(AND(Inputs!$B$39&lt;&gt;"pvp",Inputs!$B$44&gt;0),IF(MAX(0,Inputs!$B$44-B1282)&lt;=0,0,(INT(MAX(0,Inputs!$B$44-B1282)/(IF(Inputs!$B$39="pvp",15,MAX(0.1,Skills!D7-IF(Skills!E6=TRUE,Inputs!$B$33,0)))*(1-IF(AND(ArtifactsInput!$M$27,Inputs!$B$4="Chapter Hunt"),CHOOSE(ArtifactsInput!$N$27+1,20,24,28,32,36,40),0)/100)))+1)),0)</f>
        <v/>
      </c>
      <c r="S1249">
        <f>IF(C1249,H1249*N1249*IF(AND(Inputs!$B$39&lt;&gt;"pvp",Inputs!$B$44&gt;0),((Skills!F7*((R1249-1)*IF(Skills!G7&gt;0,Skills!H7/Skills!G7,1)+IF(Skills!G7&gt;0,MIN(Skills!H7,MAX(0,MAX(0,Inputs!$B$44-B1282)-((R1249-1)*(IF(Inputs!$B$39="pvp",15,MAX(0.1,Skills!D7-IF(Skills!E6=TRUE,Inputs!$B$33,0)))*(1-IF(AND(ArtifactsInput!$M$27,Inputs!$B$4="Chapter Hunt"),CHOOSE(ArtifactsInput!$N$27+1,20,24,28,32,36,40),0)/100)))))/Skills!G7,1)))/Inputs!$B$44),G1249*Q1249)*IF(Inputs!$B$39="pvp",1,1+(Inputs!$B$21+Skills!O7+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1249*(1-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1249*(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1249*(1-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1249*(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9" t="n">
        <v>0</v>
      </c>
    </row>
    <row r="1250">
      <c r="A1250">
        <f>Skills!A8</f>
        <v/>
      </c>
      <c r="B1250">
        <f>Skills!B8</f>
        <v/>
      </c>
      <c r="C1250">
        <f>Inputs!$B$3&gt;=105</f>
        <v/>
      </c>
      <c r="D1250">
        <f>IF(Skills!C8=1,60+Inputs!$B$26+Inputs!$B$30,IF(Skills!C8=2,90+Inputs!$B$27+Inputs!$B$30,IF(Skills!C8=3,120+Inputs!$B$28+Inputs!$B$30,MAX(0,(Inputs!$B$3-100)*3)+Inputs!$B$29+Inputs!$B$30)))</f>
        <v/>
      </c>
      <c r="E1250">
        <f>INDEX(FactorTable!$B$2:$Y$301, MATCH(ROUND(MIN(300,MAX(1,D1250)),0), FactorTable!$A$2:$A$301,0), Skills!L8+1)</f>
        <v/>
      </c>
      <c r="F1250">
        <f>IF(Skills!M8=TRUE,(Skills!K8/10)*(E1250/1000),Skills!K8/10)+Skills!N8</f>
        <v/>
      </c>
      <c r="G1250">
        <f>Calc!G8</f>
        <v/>
      </c>
      <c r="H1250">
        <f>Calc!H8</f>
        <v/>
      </c>
      <c r="I1250">
        <f>IF(Skills!T8&lt;&gt;"",1+(Skills!T8/10)*($Z$3/1000)/100,1)</f>
        <v/>
      </c>
      <c r="J1250">
        <f>((Inputs!$B$6*(1+Inputs!$B$7/100))+(((Inputs!$B$13*(1+Inputs!$B$14/100))-(Inputs!$B$13*(1+Inputs!$B$14/100)))+0.25*(Inputs!$B$15-Inputs!$B$15))*(1+Inputs!$B$7/100))*(F1250/100)</f>
        <v/>
      </c>
      <c r="K1250">
        <f>J1250*(1+(((Inputs!$B$13+IF(Inputs!$B$3&gt;=35,(10*INDEX(FactorTable!$B$2:$Y$301,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8="TRIUMPH_FEATHER",IF(C1258=TRUE,F1258,0),0)/100)*(1+IF(C1269=TRUE,F1269,0)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1250)</f>
        <v/>
      </c>
      <c r="L1250">
        <f>K1250*(MIN(Inputs!$B$23+(F1264-Calc!F22),(Inputs!$B$24+IF(ArtifactsInput!$M$15,CHOOSE(ArtifactsInput!$N$15+1,25,30,35,40,45,50)/100*(Inputs!$B$12-Inputs!$B$12),0)))/100+(Inputs!$B$24+IF(ArtifactsInput!$M$15,CHOOSE(ArtifactsInput!$N$15+1,25,30,35,40,45,50)/100*(Inputs!$B$12-Inputs!$B$12),0))/100)/2</f>
        <v/>
      </c>
      <c r="M1250">
        <f>L1250*(1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0">
        <f>L1250*(1-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(1-Summary!$B$11)*S1250+Summary!$B$11*U1250</f>
        <v/>
      </c>
      <c r="P1250">
        <f>IF(B1285=0,0,O1250/B1285)</f>
        <v/>
      </c>
      <c r="Q1250">
        <f>IFERROR(1/(IF(Inputs!$B$39="pvp",15,MAX(0.1,Skills!D8-IF(Skills!E8=TRUE,Inputs!$B$33,0)))*(1-IF(AND(ArtifactsInput!$M$27,Inputs!$B$4="Chapter Hunt"),CHOOSE(ArtifactsInput!$N$27+1,20,24,28,32,36,40),0)/100)),0)</f>
        <v/>
      </c>
      <c r="R1250">
        <f>IF(AND(Inputs!$B$39&lt;&gt;"pvp",Inputs!$B$44&gt;0),IF(MAX(0,Inputs!$B$44-B1282)&lt;=0,0,(INT(MAX(0,Inputs!$B$44-B1282)/(IF(Inputs!$B$39="pvp",15,MAX(0.1,Skills!D8-IF(Skills!E8=TRUE,Inputs!$B$33,0)))*(1-IF(AND(ArtifactsInput!$M$27,Inputs!$B$4="Chapter Hunt"),CHOOSE(ArtifactsInput!$N$27+1,20,24,28,32,36,40),0)/100)))+1)),0)</f>
        <v/>
      </c>
      <c r="S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$21+Skills!O8+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1250*(1-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$22+Skills!P8+B1274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Skills!A9</f>
        <v/>
      </c>
      <c r="B1251">
        <f>Skills!B9</f>
        <v/>
      </c>
      <c r="C1251">
        <f>Inputs!$B$3&gt;=115</f>
        <v/>
      </c>
      <c r="D1251">
        <f>IF(Skills!C9=1,60+Inputs!$B$26+Inputs!$B$30,IF(Skills!C9=2,90+Inputs!$B$27+Inputs!$B$30,IF(Skills!C9=3,120+Inputs!$B$28+Inputs!$B$30,MAX(0,(Inputs!$B$3-100)*3)+Inputs!$B$29+Inputs!$B$30)))</f>
        <v/>
      </c>
      <c r="E1251">
        <f>INDEX(FactorTable!$B$2:$Y$301, MATCH(ROUND(MIN(300,MAX(1,D1251)),0), FactorTable!$A$2:$A$301,0), Skills!L9+1)</f>
        <v/>
      </c>
      <c r="F1251">
        <f>IF(Skills!M9=TRUE,(Skills!K9/10)*(E1251/1000),Skills!K9/10)+Skills!N9</f>
        <v/>
      </c>
      <c r="G1251">
        <f>Calc!G9</f>
        <v/>
      </c>
      <c r="H1251">
        <f>Calc!H9</f>
        <v/>
      </c>
      <c r="I1251">
        <f>IF(Skills!T9&lt;&gt;"",1+(Skills!T9/10)*($Z$3/1000)/100,1)</f>
        <v/>
      </c>
      <c r="J1251">
        <f>((Inputs!$B$6*(1+Inputs!$B$7/100))+(((Inputs!$B$13*(1+Inputs!$B$14/100))-(Inputs!$B$13*(1+Inputs!$B$14/100)))+0.25*(Inputs!$B$15-Inputs!$B$15))*(1+Inputs!$B$7/100))*(F1251/100)</f>
        <v/>
      </c>
      <c r="K1251">
        <f>J1251*(1+(((Inputs!$B$13+IF(Inputs!$B$3&gt;=35,(10*INDEX(FactorTable!$B$2:$Y$301,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9="TRIUMPH_FEATHER",IF(C1258=TRUE,F1258,0),0)/100)*(1+IF(C1269=TRUE,F1269,0)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1251)</f>
        <v/>
      </c>
      <c r="L1251">
        <f>K1251*(MIN(Inputs!$B$23+(F1264-Calc!F22),(Inputs!$B$24+IF(ArtifactsInput!$M$15,CHOOSE(ArtifactsInput!$N$15+1,25,30,35,40,45,50)/100*(Inputs!$B$12-Inputs!$B$12),0)))/100+(Inputs!$B$24+IF(ArtifactsInput!$M$15,CHOOSE(ArtifactsInput!$N$15+1,25,30,35,40,45,50)/100*(Inputs!$B$12-Inputs!$B$12),0))/100)/2</f>
        <v/>
      </c>
      <c r="M1251">
        <f>L1251*(1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1">
        <f>L1251*(1-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(1-Summary!$B$11)*S1251+Summary!$B$11*U1251</f>
        <v/>
      </c>
      <c r="P1251">
        <f>IF(B1285=0,0,O1251/B1285)</f>
        <v/>
      </c>
      <c r="Q1251">
        <f>IFERROR(1/(IF(Inputs!$B$39="pvp",15,MAX(0.1,Skills!D9-IF(Skills!E9=TRUE,Inputs!$B$33,0)))*(1-IF(AND(ArtifactsInput!$M$27,Inputs!$B$4="Chapter Hunt"),CHOOSE(ArtifactsInput!$N$27+1,20,24,28,32,36,40),0)/100)),0)</f>
        <v/>
      </c>
      <c r="R1251">
        <f>IF(AND(Inputs!$B$39&lt;&gt;"pvp",Inputs!$B$44&gt;0),IF(MAX(0,Inputs!$B$44-B1282)&lt;=0,0,(INT(MAX(0,Inputs!$B$44-B1282)/(IF(Inputs!$B$39="pvp",15,MAX(0.1,Skills!D9-IF(Skills!E9=TRUE,Inputs!$B$33,0)))*(1-IF(AND(ArtifactsInput!$M$27,Inputs!$B$4="Chapter Hunt"),CHOOSE(ArtifactsInput!$N$27+1,20,24,28,32,36,40),0)/100)))+1)),0)</f>
        <v/>
      </c>
      <c r="S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$21+Skills!O9+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$22+Skills!P9+B1274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Skills!A10</f>
        <v/>
      </c>
      <c r="B1252">
        <f>Skills!B10</f>
        <v/>
      </c>
      <c r="C1252">
        <f>Inputs!$B$3&gt;=66</f>
        <v/>
      </c>
      <c r="D1252">
        <f>IF(Skills!C10=1,60+Inputs!$B$26+Inputs!$B$30,IF(Skills!C10=2,90+Inputs!$B$27+Inputs!$B$30,IF(Skills!C10=3,120+Inputs!$B$28+Inputs!$B$30,MAX(0,(Inputs!$B$3-100)*3)+Inputs!$B$29+Inputs!$B$30)))</f>
        <v/>
      </c>
      <c r="E1252">
        <f>INDEX(FactorTable!$B$2:$Y$301, MATCH(ROUND(MIN(300,MAX(1,D1252)),0), FactorTable!$A$2:$A$301,0), Skills!L10+1)</f>
        <v/>
      </c>
      <c r="F1252" t="n">
        <v>0</v>
      </c>
      <c r="G1252">
        <f>Calc!G10</f>
        <v/>
      </c>
      <c r="H1252">
        <f>Calc!H10</f>
        <v/>
      </c>
      <c r="I1252">
        <f>IF(Skills!T10&lt;&gt;"",1+(Skills!T10/10)*($Z$3/1000)/100,1)</f>
        <v/>
      </c>
      <c r="J1252" t="inlineStr"/>
      <c r="K1252" t="inlineStr"/>
      <c r="L1252" t="inlineStr"/>
      <c r="M1252" t="inlineStr"/>
      <c r="N1252" t="inlineStr"/>
      <c r="O1252">
        <f>(1-Summary!$B$11)*S1252+Summary!$B$11*U1252</f>
        <v/>
      </c>
      <c r="P1252">
        <f>IF(B1285=0,0,O1252/B1285)</f>
        <v/>
      </c>
      <c r="Q1252">
        <f>IFERROR(1/(IF(Inputs!$B$39="pvp",15,MAX(0.1,Skills!D10-IF(Skills!E10=TRUE,Inputs!$B$33,0)))*(1-IF(AND(ArtifactsInput!$M$27,Inputs!$B$4="Chapter Hunt"),CHOOSE(ArtifactsInput!$N$27+1,20,24,28,32,36,40),0)/100)),0)</f>
        <v/>
      </c>
      <c r="R1252">
        <f>IF(AND(Inputs!$B$39&lt;&gt;"pvp",Inputs!$B$44&gt;0),IF(MAX(0,Inputs!$B$44-B1282)&lt;=0,0,(INT(MAX(0,Inputs!$B$44-B1282)/(IF(Inputs!$B$39="pvp",15,MAX(0.1,Skills!D10-IF(Skills!E10=TRUE,Inputs!$B$33,0)))*(1-IF(AND(ArtifactsInput!$M$27,Inputs!$B$4="Chapter Hunt"),CHOOSE(ArtifactsInput!$N$27+1,20,24,28,32,36,40),0)/100)))+1)),0)</f>
        <v/>
      </c>
      <c r="S1252" t="n">
        <v>0</v>
      </c>
      <c r="U1252" t="n">
        <v>0</v>
      </c>
    </row>
    <row r="1253">
      <c r="A1253">
        <f>Skills!A11</f>
        <v/>
      </c>
      <c r="B1253">
        <f>Skills!B11</f>
        <v/>
      </c>
      <c r="C1253">
        <f>Inputs!$B$3&gt;=69</f>
        <v/>
      </c>
      <c r="D1253">
        <f>IF(Skills!C11=1,60+Inputs!$B$26+Inputs!$B$30,IF(Skills!C11=2,90+Inputs!$B$27+Inputs!$B$30,IF(Skills!C11=3,120+Inputs!$B$28+Inputs!$B$30,MAX(0,(Inputs!$B$3-100)*3)+Inputs!$B$29+Inputs!$B$30)))</f>
        <v/>
      </c>
      <c r="E1253">
        <f>INDEX(FactorTable!$B$2:$Y$301, MATCH(ROUND(MIN(300,MAX(1,D1253)),0), FactorTable!$A$2:$A$301,0), Skills!L11+1)</f>
        <v/>
      </c>
      <c r="F1253">
        <f>IF(Skills!M11=TRUE,(Skills!K11/10)*(E1253/1000),Skills!K11/10)+Skills!N11</f>
        <v/>
      </c>
      <c r="G1253">
        <f>Calc!G11</f>
        <v/>
      </c>
      <c r="H1253">
        <f>Calc!H11</f>
        <v/>
      </c>
      <c r="I1253">
        <f>IF(Skills!T11&lt;&gt;"",1+(Skills!T11/10)*($Z$3/1000)/100,1)</f>
        <v/>
      </c>
      <c r="J1253" t="inlineStr"/>
      <c r="K1253" t="inlineStr"/>
      <c r="L1253" t="inlineStr"/>
      <c r="M1253" t="inlineStr"/>
      <c r="N1253" t="inlineStr"/>
      <c r="O1253">
        <f>(1-Summary!$B$11)*S1253+Summary!$B$11*U1253</f>
        <v/>
      </c>
      <c r="P1253">
        <f>IF(B1285=0,0,O1253/B1285)</f>
        <v/>
      </c>
      <c r="Q1253">
        <f>IFERROR(1/(IF(Inputs!$B$39="pvp",15,MAX(0.1,Skills!D11-IF(Skills!E11=TRUE,Inputs!$B$33,0)))*(1-IF(AND(ArtifactsInput!$M$27,Inputs!$B$4="Chapter Hunt"),CHOOSE(ArtifactsInput!$N$27+1,20,24,28,32,36,40),0)/100)),0)</f>
        <v/>
      </c>
      <c r="R1253">
        <f>IF(AND(Inputs!$B$39&lt;&gt;"pvp",Inputs!$B$44&gt;0),IF(Inputs!$B$44&lt;=0,0,(INT(Inputs!$B$44/(IF(Inputs!$B$39="pvp",15,MAX(0.1,Skills!D11-IF(Skills!E11=TRUE,Inputs!$B$33,0)))*(1-IF(AND(ArtifactsInput!$M$27,Inputs!$B$4="Chapter Hunt"),CHOOSE(ArtifactsInput!$N$27+1,20,24,28,32,36,40),0)/100)))+1)),0)</f>
        <v/>
      </c>
      <c r="S1253" t="n">
        <v>0</v>
      </c>
      <c r="U1253" t="n">
        <v>0</v>
      </c>
    </row>
    <row r="1254">
      <c r="A1254">
        <f>Skills!A12</f>
        <v/>
      </c>
      <c r="B1254">
        <f>Skills!B12</f>
        <v/>
      </c>
      <c r="C1254">
        <f>Inputs!$B$3&gt;=72</f>
        <v/>
      </c>
      <c r="D1254">
        <f>IF(Skills!C12=1,60+Inputs!$B$26+Inputs!$B$30,IF(Skills!C12=2,90+Inputs!$B$27+Inputs!$B$30,IF(Skills!C12=3,120+Inputs!$B$28+Inputs!$B$30,MAX(0,(Inputs!$B$3-100)*3)+Inputs!$B$29+Inputs!$B$30)))</f>
        <v/>
      </c>
      <c r="E1254">
        <f>INDEX(FactorTable!$B$2:$Y$301, MATCH(ROUND(MIN(300,MAX(1,D1254)),0), FactorTable!$A$2:$A$301,0), Skills!L12+1)</f>
        <v/>
      </c>
      <c r="F1254">
        <f>IF(Skills!M12=TRUE,(Skills!K12/10)*(E1254/1000),Skills!K12/10)+Skills!N12</f>
        <v/>
      </c>
      <c r="G1254">
        <f>Calc!G12</f>
        <v/>
      </c>
      <c r="H1254">
        <f>Calc!H12</f>
        <v/>
      </c>
      <c r="I1254">
        <f>IF(Skills!T12&lt;&gt;"",1+(Skills!T12/10)*($Z$3/1000)/100,1)</f>
        <v/>
      </c>
      <c r="J1254" t="inlineStr"/>
      <c r="K1254" t="inlineStr"/>
      <c r="L1254" t="inlineStr"/>
      <c r="M1254" t="inlineStr"/>
      <c r="N1254" t="inlineStr"/>
      <c r="O1254">
        <f>(1-Summary!$B$11)*S1254+Summary!$B$11*U1254</f>
        <v/>
      </c>
      <c r="P1254">
        <f>IF(B1285=0,0,O1254/B1285)</f>
        <v/>
      </c>
      <c r="Q1254">
        <f>IFERROR(1/(IF(Inputs!$B$39="pvp",15,MAX(0.1,Skills!D12-IF(Skills!E12=TRUE,Inputs!$B$33,0)))*(1-IF(AND(ArtifactsInput!$M$27,Inputs!$B$4="Chapter Hunt"),CHOOSE(ArtifactsInput!$N$27+1,20,24,28,32,36,40),0)/100)),0)</f>
        <v/>
      </c>
      <c r="R1254">
        <f>IF(AND(Inputs!$B$39&lt;&gt;"pvp",Inputs!$B$44&gt;0),IF(MAX(0,Inputs!$B$44-B1282)&lt;=0,0,(INT(MAX(0,Inputs!$B$44-B1282)/(IF(Inputs!$B$39="pvp",15,MAX(0.1,Skills!D12-IF(Skills!E12=TRUE,Inputs!$B$33,0)))*(1-IF(AND(ArtifactsInput!$M$27,Inputs!$B$4="Chapter Hunt"),CHOOSE(ArtifactsInput!$N$27+1,20,24,28,32,36,40),0)/100)))+1)),0)</f>
        <v/>
      </c>
      <c r="S1254" t="n">
        <v>0</v>
      </c>
      <c r="U1254" t="n">
        <v>0</v>
      </c>
    </row>
    <row r="1255">
      <c r="A1255">
        <f>Skills!A13</f>
        <v/>
      </c>
      <c r="B1255">
        <f>Skills!B13</f>
        <v/>
      </c>
      <c r="C1255">
        <f>Inputs!$B$3&gt;=60</f>
        <v/>
      </c>
      <c r="D1255">
        <f>IF(Skills!C13=1,60+Inputs!$B$26+Inputs!$B$30,IF(Skills!C13=2,90+Inputs!$B$27+Inputs!$B$30,IF(Skills!C13=3,120+Inputs!$B$28+Inputs!$B$30,MAX(0,(Inputs!$B$3-100)*3)+Inputs!$B$29+Inputs!$B$30)))</f>
        <v/>
      </c>
      <c r="E1255">
        <f>INDEX(FactorTable!$B$2:$Y$301, MATCH(ROUND(MIN(300,MAX(1,D1255)),0), FactorTable!$A$2:$A$301,0), Skills!L13+1)</f>
        <v/>
      </c>
      <c r="F1255">
        <f>IF(Skills!M13=TRUE,(Skills!K13/10)*(E1255/1000),Skills!K13/10)+Skills!N13</f>
        <v/>
      </c>
      <c r="G1255">
        <f>Calc!G13</f>
        <v/>
      </c>
      <c r="H1255">
        <f>Calc!H13</f>
        <v/>
      </c>
      <c r="I1255">
        <f>IF(Skills!T13&lt;&gt;"",1+(Skills!T13/10)*($Z$3/1000)/100,1)</f>
        <v/>
      </c>
      <c r="J1255" t="inlineStr"/>
      <c r="K1255" t="inlineStr"/>
      <c r="L1255" t="inlineStr"/>
      <c r="M1255" t="inlineStr"/>
      <c r="N1255" t="inlineStr"/>
      <c r="O1255">
        <f>(1-Summary!$B$11)*S1255+Summary!$B$11*U1255</f>
        <v/>
      </c>
      <c r="P1255">
        <f>IF(B1285=0,0,O1255/B1285)</f>
        <v/>
      </c>
      <c r="Q1255">
        <f>IFERROR(1/(IF(Inputs!$B$39="pvp",15,MAX(0.1,Skills!D13-IF(Skills!E13=TRUE,Inputs!$B$33,0)))*(1-IF(AND(ArtifactsInput!$M$27,Inputs!$B$4="Chapter Hunt"),CHOOSE(ArtifactsInput!$N$27+1,20,24,28,32,36,40),0)/100)),0)</f>
        <v/>
      </c>
      <c r="R1255">
        <f>IF(AND(Inputs!$B$39&lt;&gt;"pvp",Inputs!$B$44&gt;0),IF(MAX(0,Inputs!$B$44-B1282)&lt;=0,0,(INT(MAX(0,Inputs!$B$44-B1282)/(IF(Inputs!$B$39="pvp",15,MAX(0.1,Skills!D13-IF(Skills!E13=TRUE,Inputs!$B$33,0)))*(1-IF(AND(ArtifactsInput!$M$27,Inputs!$B$4="Chapter Hunt"),CHOOSE(ArtifactsInput!$N$27+1,20,24,28,32,36,40),0)/100)))+1)),0)</f>
        <v/>
      </c>
      <c r="S1255" t="n">
        <v>0</v>
      </c>
      <c r="U1255" t="n">
        <v>0</v>
      </c>
    </row>
    <row r="1256">
      <c r="A1256">
        <f>Skills!A14</f>
        <v/>
      </c>
      <c r="B1256">
        <f>Skills!B14</f>
        <v/>
      </c>
      <c r="C1256">
        <f>Inputs!$B$3&gt;=107</f>
        <v/>
      </c>
      <c r="D1256">
        <f>IF(Skills!C14=1,60+Inputs!$B$26+Inputs!$B$30,IF(Skills!C14=2,90+Inputs!$B$27+Inputs!$B$30,IF(Skills!C14=3,120+Inputs!$B$28+Inputs!$B$30,MAX(0,(Inputs!$B$3-100)*3)+Inputs!$B$29+Inputs!$B$30)))</f>
        <v/>
      </c>
      <c r="E1256">
        <f>INDEX(FactorTable!$B$2:$Y$301, MATCH(ROUND(MIN(300,MAX(1,D1256)),0), FactorTable!$A$2:$A$301,0), Skills!L14+1)</f>
        <v/>
      </c>
      <c r="F1256">
        <f>IF(Skills!M14=TRUE,(Skills!K14/10)*(E1256/1000),Skills!K14/10)+Skills!N14</f>
        <v/>
      </c>
      <c r="G1256">
        <f>Calc!G14</f>
        <v/>
      </c>
      <c r="H1256">
        <f>Calc!H14</f>
        <v/>
      </c>
      <c r="I1256">
        <f>IF(Skills!T14&lt;&gt;"",1+(Skills!T14/10)*($Z$3/1000)/100,1)</f>
        <v/>
      </c>
      <c r="J1256" t="inlineStr"/>
      <c r="K1256" t="inlineStr"/>
      <c r="L1256" t="inlineStr"/>
      <c r="M1256" t="inlineStr"/>
      <c r="N1256" t="inlineStr"/>
      <c r="O1256">
        <f>(1-Summary!$B$11)*S1256+Summary!$B$11*U1256</f>
        <v/>
      </c>
      <c r="P1256">
        <f>IF(B1285=0,0,O1256/B1285)</f>
        <v/>
      </c>
      <c r="Q1256">
        <f>IFERROR(1/(IF(Inputs!$B$39="pvp",15,MAX(0.1,Skills!D14-IF(Skills!E14=TRUE,Inputs!$B$33,0)))*(1-IF(AND(ArtifactsInput!$M$27,Inputs!$B$4="Chapter Hunt"),CHOOSE(ArtifactsInput!$N$27+1,20,24,28,32,36,40),0)/100)),0)</f>
        <v/>
      </c>
      <c r="R1256">
        <f>IF(AND(Inputs!$B$39&lt;&gt;"pvp",Inputs!$B$44&gt;0),IF(Inputs!$B$44&lt;=0,0,(INT(Inputs!$B$44/(IF(Inputs!$B$39="pvp",15,MAX(0.1,Skills!D14-IF(Skills!E14=TRUE,Inputs!$B$33,0)))*(1-IF(AND(ArtifactsInput!$M$27,Inputs!$B$4="Chapter Hunt"),CHOOSE(ArtifactsInput!$N$27+1,20,24,28,32,36,40),0)/100)))+1)),0)</f>
        <v/>
      </c>
      <c r="S1256" t="n">
        <v>0</v>
      </c>
      <c r="U1256" t="n">
        <v>0</v>
      </c>
    </row>
    <row r="1257">
      <c r="A1257">
        <f>Skills!A15</f>
        <v/>
      </c>
      <c r="B1257">
        <f>Skills!B15</f>
        <v/>
      </c>
      <c r="C1257">
        <f>Inputs!$B$3&gt;=63</f>
        <v/>
      </c>
      <c r="D1257">
        <f>IF(Skills!C15=1,60+Inputs!$B$26+Inputs!$B$30,IF(Skills!C15=2,90+Inputs!$B$27+Inputs!$B$30,IF(Skills!C15=3,120+Inputs!$B$28+Inputs!$B$30,MAX(0,(Inputs!$B$3-100)*3)+Inputs!$B$29+Inputs!$B$30)))</f>
        <v/>
      </c>
      <c r="E1257">
        <f>INDEX(FactorTable!$B$2:$Y$301, MATCH(ROUND(MIN(300,MAX(1,D1257)),0), FactorTable!$A$2:$A$301,0), Skills!L15+1)</f>
        <v/>
      </c>
      <c r="F1257">
        <f>IF(Skills!M15=TRUE,(Skills!K15/10)*(E1257/1000),Skills!K15/10)+Skills!N15</f>
        <v/>
      </c>
      <c r="G1257">
        <f>Calc!G15</f>
        <v/>
      </c>
      <c r="H1257">
        <f>Calc!H15</f>
        <v/>
      </c>
      <c r="I1257">
        <f>IF(Skills!T15&lt;&gt;"",1+(Skills!T15/10)*($Z$3/1000)/100,1)</f>
        <v/>
      </c>
      <c r="J1257">
        <f>((Inputs!$B$6*(1+Inputs!$B$7/100))+(((Inputs!$B$13*(1+Inputs!$B$14/100))-(Inputs!$B$13*(1+Inputs!$B$14/100)))+0.25*(Inputs!$B$15-Inputs!$B$15))*(1+Inputs!$B$7/100))*(F1257/100)</f>
        <v/>
      </c>
      <c r="K1257">
        <f>J1257*(1+(((Inputs!$B$13+IF(Inputs!$B$3&gt;=35,(10*INDEX(FactorTable!$B$2:$Y$301,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15="TRIUMPH_FEATHER",IF(C1258=TRUE,F1258,0),0)/100)*(1+IF(C1269=TRUE,F1269,0)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1257)</f>
        <v/>
      </c>
      <c r="L1257">
        <f>K1257*(MIN(Inputs!$B$23+(F1264-Calc!F22),(Inputs!$B$24+IF(ArtifactsInput!$M$15,CHOOSE(ArtifactsInput!$N$15+1,25,30,35,40,45,50)/100*(Inputs!$B$12-Inputs!$B$12),0)))/100+(Inputs!$B$24+IF(ArtifactsInput!$M$15,CHOOSE(ArtifactsInput!$N$15+1,25,30,35,40,45,50)/100*(Inputs!$B$12-Inputs!$B$12),0))/100)/2</f>
        <v/>
      </c>
      <c r="M1257">
        <f>L1257*(1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7">
        <f>L1257*(1-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(1-Summary!$B$11)*S1257+Summary!$B$11*U1257</f>
        <v/>
      </c>
      <c r="P1257">
        <f>IF(B1285=0,0,O1257/B1285)</f>
        <v/>
      </c>
      <c r="Q1257">
        <f>IFERROR(1/(IF(Inputs!$B$39="pvp",15,MAX(0.1,Skills!D15-IF(Skills!E15=TRUE,Inputs!$B$33,0)))*(1-IF(AND(ArtifactsInput!$M$27,Inputs!$B$4="Chapter Hunt"),CHOOSE(ArtifactsInput!$N$27+1,20,24,28,32,36,40),0)/100)),0)</f>
        <v/>
      </c>
      <c r="R1257" t="n">
        <v>0</v>
      </c>
      <c r="S1257">
        <f>IF(C1257,(Skills!F15*N1257*((IF(Inputs!$B$3&gt;=78,25,15)/100*B1278*10)/(1+IF(Inputs!$B$3&gt;=78,25,15)/100*B1278*10))*(Skills!I15/100*B1278)/(1+Skills!G15*Skills!I15/100*B1278))*IF(Inputs!$B$39="pvp",1,1+(Inputs!$B$21+Skills!O15+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1257*(1-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7">
        <f>IF(C1257,(Skills!F15*N1257*((IF(Inputs!$B$3&gt;=78,25,15)/100*B1278*10)/(1+IF(Inputs!$B$3&gt;=78,25,15)/100*B1278*10))*(Skills!I15/100*B1278)/(1+Skills!G15*Skills!I15/100*B1278))*IF(Inputs!$B$39="pvp",1,(1+(Inputs!$B$22+Skills!P15+B1274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Skills!A16</f>
        <v/>
      </c>
      <c r="B1258">
        <f>Skills!B16</f>
        <v/>
      </c>
      <c r="C1258">
        <f>Inputs!$B$3&gt;=100</f>
        <v/>
      </c>
      <c r="D1258">
        <f>IF(Skills!C16=1,60+Inputs!$B$26+Inputs!$B$30,IF(Skills!C16=2,90+Inputs!$B$27+Inputs!$B$30,IF(Skills!C16=3,120+Inputs!$B$28+Inputs!$B$30,MAX(0,(Inputs!$B$3-100)*3)+Inputs!$B$29+Inputs!$B$30)))</f>
        <v/>
      </c>
      <c r="E1258">
        <f>INDEX(FactorTable!$B$2:$Y$301, MATCH(ROUND(MIN(300,MAX(1,D1258)),0), FactorTable!$A$2:$A$301,0), Skills!L16+1)</f>
        <v/>
      </c>
      <c r="F1258">
        <f>IF(Skills!M16=TRUE,(Skills!K16/10)*(E1258/1000),Skills!K16/10)+Skills!N16</f>
        <v/>
      </c>
      <c r="G1258">
        <f>Calc!G16</f>
        <v/>
      </c>
      <c r="H1258">
        <f>Calc!H16</f>
        <v/>
      </c>
      <c r="I1258">
        <f>IF(Skills!T16&lt;&gt;"",1+(Skills!T16/10)*($Z$3/1000)/100,1)</f>
        <v/>
      </c>
      <c r="J1258" t="inlineStr"/>
      <c r="K1258" t="inlineStr"/>
      <c r="L1258" t="inlineStr"/>
      <c r="M1258" t="inlineStr"/>
      <c r="N1258" t="inlineStr"/>
      <c r="O1258">
        <f>(1-Summary!$B$11)*S1258+Summary!$B$11*U1258</f>
        <v/>
      </c>
      <c r="P1258">
        <f>IF(B1285=0,0,O1258/B1285)</f>
        <v/>
      </c>
      <c r="Q1258">
        <f>IFERROR(1/(IF(Inputs!$B$39="pvp",15,MAX(0.1,Skills!D16-IF(Skills!E16=TRUE,Inputs!$B$33,0)))*(1-IF(AND(ArtifactsInput!$M$27,Inputs!$B$4="Chapter Hunt"),CHOOSE(ArtifactsInput!$N$27+1,20,24,28,32,36,40),0)/100)),0)</f>
        <v/>
      </c>
      <c r="R1258" t="n">
        <v>0</v>
      </c>
      <c r="S1258" t="n">
        <v>0</v>
      </c>
      <c r="U1258" t="n">
        <v>0</v>
      </c>
    </row>
    <row r="1259">
      <c r="A1259">
        <f>Skills!A17</f>
        <v/>
      </c>
      <c r="B1259">
        <f>Skills!B17</f>
        <v/>
      </c>
      <c r="C1259">
        <f>Inputs!$B$3&gt;=49</f>
        <v/>
      </c>
      <c r="D1259">
        <f>IF(Skills!C17=1,60+Inputs!$B$26+Inputs!$B$30,IF(Skills!C17=2,90+Inputs!$B$27+Inputs!$B$30,IF(Skills!C17=3,120+Inputs!$B$28+Inputs!$B$30,MAX(0,(Inputs!$B$3-100)*3)+Inputs!$B$29+Inputs!$B$30)))</f>
        <v/>
      </c>
      <c r="E1259">
        <f>INDEX(FactorTable!$B$2:$Y$301, MATCH(ROUND(MIN(300,MAX(1,D1259)),0), FactorTable!$A$2:$A$301,0), Skills!L17+1)</f>
        <v/>
      </c>
      <c r="F1259">
        <f>IF(Skills!M17=TRUE,(Skills!K17/10)*(E1259/1000),Skills!K17/10)+Skills!N17</f>
        <v/>
      </c>
      <c r="G1259">
        <f>Calc!G17</f>
        <v/>
      </c>
      <c r="H1259">
        <f>Calc!H17</f>
        <v/>
      </c>
      <c r="I1259">
        <f>IF(Skills!T17&lt;&gt;"",1+(Skills!T17/10)*($Z$3/1000)/100,1)</f>
        <v/>
      </c>
      <c r="J1259" t="inlineStr"/>
      <c r="K1259" t="inlineStr"/>
      <c r="L1259" t="inlineStr"/>
      <c r="M1259" t="inlineStr"/>
      <c r="N1259" t="inlineStr"/>
      <c r="O1259">
        <f>(1-Summary!$B$11)*S1259+Summary!$B$11*U1259</f>
        <v/>
      </c>
      <c r="P1259">
        <f>IF(B1285=0,0,O1259/B1285)</f>
        <v/>
      </c>
      <c r="Q1259">
        <f>IFERROR(1/(IF(Inputs!$B$39="pvp",15,MAX(0.1,Skills!D17-IF(Skills!E17=TRUE,Inputs!$B$33,0)))*(1-IF(AND(ArtifactsInput!$M$27,Inputs!$B$4="Chapter Hunt"),CHOOSE(ArtifactsInput!$N$27+1,20,24,28,32,36,40),0)/100)),0)</f>
        <v/>
      </c>
      <c r="R1259" t="n">
        <v>0</v>
      </c>
      <c r="S1259" t="n">
        <v>0</v>
      </c>
      <c r="U1259" t="n">
        <v>0</v>
      </c>
    </row>
    <row r="1260">
      <c r="A1260">
        <f>Skills!A18</f>
        <v/>
      </c>
      <c r="B1260">
        <f>Skills!B18</f>
        <v/>
      </c>
      <c r="C1260">
        <f>Inputs!$B$3&gt;=75</f>
        <v/>
      </c>
      <c r="D1260">
        <f>IF(Skills!C18=1,60+Inputs!$B$26+Inputs!$B$30,IF(Skills!C18=2,90+Inputs!$B$27+Inputs!$B$30,IF(Skills!C18=3,120+Inputs!$B$28+Inputs!$B$30,MAX(0,(Inputs!$B$3-100)*3)+Inputs!$B$29+Inputs!$B$30)))</f>
        <v/>
      </c>
      <c r="E1260">
        <f>INDEX(FactorTable!$B$2:$Y$301, MATCH(ROUND(MIN(300,MAX(1,D1260)),0), FactorTable!$A$2:$A$301,0), Skills!L18+1)</f>
        <v/>
      </c>
      <c r="F1260">
        <f>IF(Skills!M18=TRUE,(Skills!K18/10)*(E1260/1000),Skills!K18/10)+Skills!N18</f>
        <v/>
      </c>
      <c r="G1260">
        <f>Calc!G18</f>
        <v/>
      </c>
      <c r="H1260">
        <f>Calc!H18</f>
        <v/>
      </c>
      <c r="I1260">
        <f>IF(Skills!T18&lt;&gt;"",1+(Skills!T18/10)*($Z$3/1000)/100,1)</f>
        <v/>
      </c>
      <c r="J1260" t="inlineStr"/>
      <c r="K1260" t="inlineStr"/>
      <c r="L1260" t="inlineStr"/>
      <c r="M1260" t="inlineStr"/>
      <c r="N1260" t="inlineStr"/>
      <c r="O1260">
        <f>(1-Summary!$B$11)*S1260+Summary!$B$11*U1260</f>
        <v/>
      </c>
      <c r="P1260">
        <f>IF(B1285=0,0,O1260/B1285)</f>
        <v/>
      </c>
      <c r="Q1260">
        <f>IFERROR(1/(IF(Inputs!$B$39="pvp",15,MAX(0.1,Skills!D18-IF(Skills!E18=TRUE,Inputs!$B$33,0)))*(1-IF(AND(ArtifactsInput!$M$27,Inputs!$B$4="Chapter Hunt"),CHOOSE(ArtifactsInput!$N$27+1,20,24,28,32,36,40),0)/100)),0)</f>
        <v/>
      </c>
      <c r="R1260" t="n">
        <v>0</v>
      </c>
      <c r="S1260" t="n">
        <v>0</v>
      </c>
      <c r="U1260" t="n">
        <v>0</v>
      </c>
    </row>
    <row r="1261">
      <c r="A1261">
        <f>Skills!A19</f>
        <v/>
      </c>
      <c r="B1261">
        <f>Skills!B19</f>
        <v/>
      </c>
      <c r="C1261">
        <f>Inputs!$B$3&gt;=110</f>
        <v/>
      </c>
      <c r="D1261">
        <f>IF(Skills!C19=1,60+Inputs!$B$26+Inputs!$B$30,IF(Skills!C19=2,90+Inputs!$B$27+Inputs!$B$30,IF(Skills!C19=3,120+Inputs!$B$28+Inputs!$B$30,MAX(0,(Inputs!$B$3-100)*3)+Inputs!$B$29+Inputs!$B$30)))</f>
        <v/>
      </c>
      <c r="E1261">
        <f>INDEX(FactorTable!$B$2:$Y$301, MATCH(ROUND(MIN(300,MAX(1,D1261)),0), FactorTable!$A$2:$A$301,0), Skills!L19+1)</f>
        <v/>
      </c>
      <c r="F1261">
        <f>(Skills!K19/10)*(E1261/1000)*64/45+Skills!N19</f>
        <v/>
      </c>
      <c r="G1261">
        <f>Calc!G19</f>
        <v/>
      </c>
      <c r="H1261">
        <f>Calc!H19</f>
        <v/>
      </c>
      <c r="I1261">
        <f>IF(Skills!T19&lt;&gt;"",1+(Skills!T19/10)*($Z$3/1000)/100,1)</f>
        <v/>
      </c>
      <c r="J1261" t="inlineStr"/>
      <c r="K1261" t="inlineStr"/>
      <c r="L1261" t="inlineStr"/>
      <c r="M1261" t="inlineStr"/>
      <c r="N1261" t="inlineStr"/>
      <c r="O1261">
        <f>(1-Summary!$B$11)*S1261+Summary!$B$11*U1261</f>
        <v/>
      </c>
      <c r="P1261">
        <f>IF(B1285=0,0,O1261/B1285)</f>
        <v/>
      </c>
      <c r="Q1261">
        <f>IFERROR(1/(IF(Inputs!$B$39="pvp",15,MAX(0.1,Skills!D19-IF(Skills!E19=TRUE,Inputs!$B$33,0)))*(1-IF(AND(ArtifactsInput!$M$27,Inputs!$B$4="Chapter Hunt"),CHOOSE(ArtifactsInput!$N$27+1,20,24,28,32,36,40),0)/100)),0)</f>
        <v/>
      </c>
      <c r="R1261">
        <f>IF(AND(Inputs!$B$39&lt;&gt;"pvp",Inputs!$B$44&gt;0),IF(Inputs!$B$44&lt;=0,0,(INT(Inputs!$B$44/(IF(Inputs!$B$39="pvp",15,MAX(0.1,Skills!D19-IF(Skills!E19=TRUE,Inputs!$B$33,0)))*(1-IF(AND(ArtifactsInput!$M$27,Inputs!$B$4="Chapter Hunt"),CHOOSE(ArtifactsInput!$N$27+1,20,24,28,32,36,40),0)/100)))+1)),0)</f>
        <v/>
      </c>
      <c r="S1261" t="n">
        <v>0</v>
      </c>
      <c r="U1261" t="n">
        <v>0</v>
      </c>
    </row>
    <row r="1262">
      <c r="A1262">
        <f>Skills!A20</f>
        <v/>
      </c>
      <c r="B1262">
        <f>Skills!B20</f>
        <v/>
      </c>
      <c r="C1262">
        <f>Inputs!$B$3&gt;=125</f>
        <v/>
      </c>
      <c r="D1262">
        <f>IF(Skills!C20=1,60+Inputs!$B$26+Inputs!$B$30,IF(Skills!C20=2,90+Inputs!$B$27+Inputs!$B$30,IF(Skills!C20=3,120+Inputs!$B$28+Inputs!$B$30,MAX(0,(Inputs!$B$3-100)*3)+Inputs!$B$29+Inputs!$B$30)))</f>
        <v/>
      </c>
      <c r="E1262">
        <f>INDEX(FactorTable!$B$2:$Y$301, MATCH(ROUND(MIN(300,MAX(1,D1262)),0), FactorTable!$A$2:$A$301,0), Skills!L20+1)</f>
        <v/>
      </c>
      <c r="F1262">
        <f>IF(Skills!M20=TRUE,(Skills!K20/10)*(E1262/1000),Skills!K20/10)+Skills!N20</f>
        <v/>
      </c>
      <c r="G1262">
        <f>Calc!G20</f>
        <v/>
      </c>
      <c r="H1262">
        <f>Calc!H20</f>
        <v/>
      </c>
      <c r="I1262">
        <f>IF(Skills!T20&lt;&gt;"",1+(Skills!T20/10)*($Z$3/1000)/100,1)</f>
        <v/>
      </c>
      <c r="J1262" t="inlineStr"/>
      <c r="K1262" t="inlineStr"/>
      <c r="L1262" t="inlineStr"/>
      <c r="M1262" t="inlineStr"/>
      <c r="N1262" t="inlineStr"/>
      <c r="O1262">
        <f>(1-Summary!$B$11)*S1262+Summary!$B$11*U1262</f>
        <v/>
      </c>
      <c r="P1262">
        <f>IF(B1285=0,0,O1262/B1285)</f>
        <v/>
      </c>
      <c r="Q1262">
        <f>IFERROR(1/(IF(Inputs!$B$39="pvp",15,MAX(0.1,Skills!D20-IF(Skills!E20=TRUE,Inputs!$B$33,0)))*(1-IF(AND(ArtifactsInput!$M$27,Inputs!$B$4="Chapter Hunt"),CHOOSE(ArtifactsInput!$N$27+1,20,24,28,32,36,40),0)/100)),0)</f>
        <v/>
      </c>
      <c r="R1262" t="n">
        <v>0</v>
      </c>
      <c r="S1262" t="n">
        <v>0</v>
      </c>
      <c r="U1262" t="n">
        <v>0</v>
      </c>
    </row>
    <row r="1263">
      <c r="A1263">
        <f>Skills!A21</f>
        <v/>
      </c>
      <c r="B1263">
        <f>Skills!B21</f>
        <v/>
      </c>
      <c r="C1263">
        <f>Inputs!$B$3&gt;=33</f>
        <v/>
      </c>
      <c r="D1263">
        <f>IF(Skills!C21=1,60+Inputs!$B$26+Inputs!$B$30,IF(Skills!C21=2,90+Inputs!$B$27+Inputs!$B$30,IF(Skills!C21=3,120+Inputs!$B$28+Inputs!$B$30,MAX(0,(Inputs!$B$3-100)*3)+Inputs!$B$29+Inputs!$B$30)))</f>
        <v/>
      </c>
      <c r="E1263">
        <f>INDEX(FactorTable!$B$2:$Y$301, MATCH(ROUND(MIN(300,MAX(1,D1263)),0), FactorTable!$A$2:$A$301,0), Skills!L21+1)</f>
        <v/>
      </c>
      <c r="F1263">
        <f>IF(Skills!M21=TRUE,(Skills!K21/10)*(E1263/1000),Skills!K21/10)+Skills!N21</f>
        <v/>
      </c>
      <c r="G1263">
        <f>Calc!G21</f>
        <v/>
      </c>
      <c r="H1263">
        <f>Calc!H21</f>
        <v/>
      </c>
      <c r="I1263">
        <f>IF(Skills!T21&lt;&gt;"",1+(Skills!T21/10)*($Z$3/1000)/100,1)</f>
        <v/>
      </c>
      <c r="J1263" t="inlineStr"/>
      <c r="K1263" t="inlineStr"/>
      <c r="L1263" t="inlineStr"/>
      <c r="M1263" t="inlineStr"/>
      <c r="N1263" t="inlineStr"/>
      <c r="O1263">
        <f>(1-Summary!$B$11)*S1263+Summary!$B$11*U1263</f>
        <v/>
      </c>
      <c r="P1263">
        <f>IF(B1285=0,0,O1263/B1285)</f>
        <v/>
      </c>
      <c r="Q1263">
        <f>IFERROR(1/(IF(Inputs!$B$39="pvp",15,MAX(0.1,Skills!D21-IF(Skills!E21=TRUE,Inputs!$B$33,0)))*(1-IF(AND(ArtifactsInput!$M$27,Inputs!$B$4="Chapter Hunt"),CHOOSE(ArtifactsInput!$N$27+1,20,24,28,32,36,40),0)/100)),0)</f>
        <v/>
      </c>
      <c r="R1263" t="n">
        <v>0</v>
      </c>
      <c r="S1263" t="n">
        <v>0</v>
      </c>
      <c r="U1263" t="n">
        <v>0</v>
      </c>
    </row>
    <row r="1264">
      <c r="A1264">
        <f>Skills!A22</f>
        <v/>
      </c>
      <c r="B1264">
        <f>Skills!B22</f>
        <v/>
      </c>
      <c r="C1264">
        <f>Inputs!$B$3&gt;=43</f>
        <v/>
      </c>
      <c r="D1264">
        <f>IF(Skills!C22=1,60+Inputs!$B$26+Inputs!$B$30,IF(Skills!C22=2,90+Inputs!$B$27+Inputs!$B$30,IF(Skills!C22=3,120+Inputs!$B$28+Inputs!$B$30,MAX(0,(Inputs!$B$3-100)*3)+Inputs!$B$29+Inputs!$B$30)))</f>
        <v/>
      </c>
      <c r="E1264">
        <f>INDEX(FactorTable!$B$2:$Y$301, MATCH(ROUND(MIN(300,MAX(1,D1264)),0), FactorTable!$A$2:$A$301,0), Skills!L22+1)</f>
        <v/>
      </c>
      <c r="F1264">
        <f>IF(Skills!M22=TRUE,(Skills!K22/10)*(E1264/1000),Skills!K22/10)+Skills!N22</f>
        <v/>
      </c>
      <c r="G1264">
        <f>Calc!G22</f>
        <v/>
      </c>
      <c r="H1264">
        <f>Calc!H22</f>
        <v/>
      </c>
      <c r="I1264">
        <f>IF(Skills!T22&lt;&gt;"",1+(Skills!T22/10)*($Z$3/1000)/100,1)</f>
        <v/>
      </c>
      <c r="J1264" t="inlineStr"/>
      <c r="K1264" t="inlineStr"/>
      <c r="L1264" t="inlineStr"/>
      <c r="M1264" t="inlineStr"/>
      <c r="N1264" t="inlineStr"/>
      <c r="O1264">
        <f>(1-Summary!$B$11)*S1264+Summary!$B$11*U1264</f>
        <v/>
      </c>
      <c r="P1264">
        <f>IF(B1285=0,0,O1264/B1285)</f>
        <v/>
      </c>
      <c r="Q1264">
        <f>IFERROR(1/(IF(Inputs!$B$39="pvp",15,MAX(0.1,Skills!D22-IF(Skills!E22=TRUE,Inputs!$B$33,0)))*(1-IF(AND(ArtifactsInput!$M$27,Inputs!$B$4="Chapter Hunt"),CHOOSE(ArtifactsInput!$N$27+1,20,24,28,32,36,40),0)/100)),0)</f>
        <v/>
      </c>
      <c r="R1264" t="n">
        <v>0</v>
      </c>
      <c r="S1264" t="n">
        <v>0</v>
      </c>
      <c r="U1264" t="n">
        <v>0</v>
      </c>
    </row>
    <row r="1265">
      <c r="A1265">
        <f>Skills!A23</f>
        <v/>
      </c>
      <c r="B1265">
        <f>Skills!B23</f>
        <v/>
      </c>
      <c r="C1265">
        <f>Inputs!$B$3&gt;=50</f>
        <v/>
      </c>
      <c r="D1265">
        <f>IF(Skills!C23=1,60+Inputs!$B$26+Inputs!$B$30,IF(Skills!C23=2,90+Inputs!$B$27+Inputs!$B$30,IF(Skills!C23=3,120+Inputs!$B$28+Inputs!$B$30,MAX(0,(Inputs!$B$3-100)*3)+Inputs!$B$29+Inputs!$B$30)))</f>
        <v/>
      </c>
      <c r="E1265">
        <f>INDEX(FactorTable!$B$2:$Y$301, MATCH(ROUND(MIN(300,MAX(1,D1265)),0), FactorTable!$A$2:$A$301,0), Skills!L23+1)</f>
        <v/>
      </c>
      <c r="F1265">
        <f>IF(Skills!M23=TRUE,(Skills!K23/10)*(E1265/1000),Skills!K23/10)+Skills!N23</f>
        <v/>
      </c>
      <c r="G1265">
        <f>Calc!G23</f>
        <v/>
      </c>
      <c r="H1265">
        <f>Calc!H23</f>
        <v/>
      </c>
      <c r="I1265">
        <f>IF(Skills!T23&lt;&gt;"",1+(Skills!T23/10)*($Z$3/1000)/100,1)</f>
        <v/>
      </c>
      <c r="J1265" t="inlineStr"/>
      <c r="K1265" t="inlineStr"/>
      <c r="L1265" t="inlineStr"/>
      <c r="M1265" t="inlineStr"/>
      <c r="N1265" t="inlineStr"/>
      <c r="O1265">
        <f>(1-Summary!$B$11)*S1265+Summary!$B$11*U1265</f>
        <v/>
      </c>
      <c r="P1265">
        <f>IF(B1285=0,0,O1265/B1285)</f>
        <v/>
      </c>
      <c r="Q1265">
        <f>IFERROR(1/(IF(Inputs!$B$39="pvp",15,MAX(0.1,Skills!D23-IF(Skills!E23=TRUE,Inputs!$B$33,0)))*(1-IF(AND(ArtifactsInput!$M$27,Inputs!$B$4="Chapter Hunt"),CHOOSE(ArtifactsInput!$N$27+1,20,24,28,32,36,40),0)/100)),0)</f>
        <v/>
      </c>
      <c r="R1265" t="n">
        <v>0</v>
      </c>
      <c r="S1265" t="n">
        <v>0</v>
      </c>
      <c r="U1265" t="n">
        <v>0</v>
      </c>
    </row>
    <row r="1266">
      <c r="A1266">
        <f>Skills!A24</f>
        <v/>
      </c>
      <c r="B1266">
        <f>Skills!B24</f>
        <v/>
      </c>
      <c r="C1266">
        <f>Inputs!$B$3&gt;=74</f>
        <v/>
      </c>
      <c r="D1266">
        <f>IF(Skills!C24=1,60+Inputs!$B$26+Inputs!$B$30,IF(Skills!C24=2,90+Inputs!$B$27+Inputs!$B$30,IF(Skills!C24=3,120+Inputs!$B$28+Inputs!$B$30,MAX(0,(Inputs!$B$3-100)*3)+Inputs!$B$29+Inputs!$B$30)))</f>
        <v/>
      </c>
      <c r="E1266">
        <f>INDEX(FactorTable!$B$2:$Y$301, MATCH(ROUND(MIN(300,MAX(1,D1266)),0), FactorTable!$A$2:$A$301,0), Skills!L24+1)</f>
        <v/>
      </c>
      <c r="F1266">
        <f>IF(Skills!M24=TRUE,(Skills!K24/10)*(E1266/1000),Skills!K24/10)+Skills!N24</f>
        <v/>
      </c>
      <c r="G1266">
        <f>Calc!G24</f>
        <v/>
      </c>
      <c r="H1266">
        <f>Calc!H24</f>
        <v/>
      </c>
      <c r="I1266">
        <f>IF(Skills!T24&lt;&gt;"",1+(Skills!T24/10)*($Z$3/1000)/100,1)</f>
        <v/>
      </c>
      <c r="J1266" t="inlineStr"/>
      <c r="K1266" t="inlineStr"/>
      <c r="L1266" t="inlineStr"/>
      <c r="M1266" t="inlineStr"/>
      <c r="N1266" t="inlineStr"/>
      <c r="O1266">
        <f>(1-Summary!$B$11)*S1266+Summary!$B$11*U1266</f>
        <v/>
      </c>
      <c r="P1266">
        <f>IF(B1285=0,0,O1266/B1285)</f>
        <v/>
      </c>
      <c r="Q1266">
        <f>IFERROR(1/(IF(Inputs!$B$39="pvp",15,MAX(0.1,Skills!D24-IF(Skills!E24=TRUE,Inputs!$B$33,0)))*(1-IF(AND(ArtifactsInput!$M$27,Inputs!$B$4="Chapter Hunt"),CHOOSE(ArtifactsInput!$N$27+1,20,24,28,32,36,40),0)/100)),0)</f>
        <v/>
      </c>
      <c r="R1266" t="n">
        <v>0</v>
      </c>
      <c r="S1266" t="n">
        <v>0</v>
      </c>
      <c r="U1266" t="n">
        <v>0</v>
      </c>
    </row>
    <row r="1267">
      <c r="A1267">
        <f>Skills!A25</f>
        <v/>
      </c>
      <c r="B1267">
        <f>Skills!B25</f>
        <v/>
      </c>
      <c r="C1267">
        <f>Inputs!$B$3&gt;=74</f>
        <v/>
      </c>
      <c r="D1267">
        <f>IF(Skills!C25=1,60+Inputs!$B$26+Inputs!$B$30,IF(Skills!C25=2,90+Inputs!$B$27+Inputs!$B$30,IF(Skills!C25=3,120+Inputs!$B$28+Inputs!$B$30,MAX(0,(Inputs!$B$3-100)*3)+Inputs!$B$29+Inputs!$B$30)))</f>
        <v/>
      </c>
      <c r="E1267">
        <f>INDEX(FactorTable!$B$2:$Y$301, MATCH(ROUND(MIN(300,MAX(1,D1267)),0), FactorTable!$A$2:$A$301,0), Skills!L25+1)</f>
        <v/>
      </c>
      <c r="F1267">
        <f>IF(Skills!M25=TRUE,(Skills!K25/10)*(E1267/1000),Skills!K25/10)+Skills!N25</f>
        <v/>
      </c>
      <c r="G1267">
        <f>Calc!G25</f>
        <v/>
      </c>
      <c r="H1267">
        <f>Calc!H25</f>
        <v/>
      </c>
      <c r="I1267">
        <f>IF(Skills!T25&lt;&gt;"",1+(Skills!T25/10)*($Z$3/1000)/100,1)</f>
        <v/>
      </c>
      <c r="J1267" t="inlineStr"/>
      <c r="K1267" t="inlineStr"/>
      <c r="L1267" t="inlineStr"/>
      <c r="M1267" t="inlineStr"/>
      <c r="N1267" t="inlineStr"/>
      <c r="O1267">
        <f>(1-Summary!$B$11)*S1267+Summary!$B$11*U1267</f>
        <v/>
      </c>
      <c r="P1267">
        <f>IF(B1285=0,0,O1267/B1285)</f>
        <v/>
      </c>
      <c r="Q1267">
        <f>IFERROR(1/(IF(Inputs!$B$39="pvp",15,MAX(0.1,Skills!D25-IF(Skills!E25=TRUE,Inputs!$B$33,0)))*(1-IF(AND(ArtifactsInput!$M$27,Inputs!$B$4="Chapter Hunt"),CHOOSE(ArtifactsInput!$N$27+1,20,24,28,32,36,40),0)/100)),0)</f>
        <v/>
      </c>
      <c r="R1267" t="n">
        <v>0</v>
      </c>
      <c r="S1267" t="n">
        <v>0</v>
      </c>
      <c r="U1267" t="n">
        <v>0</v>
      </c>
    </row>
    <row r="1268">
      <c r="A1268">
        <f>Skills!A26</f>
        <v/>
      </c>
      <c r="B1268">
        <f>Skills!B26</f>
        <v/>
      </c>
      <c r="C1268">
        <f>Inputs!$B$3&gt;=117</f>
        <v/>
      </c>
      <c r="D1268">
        <f>IF(Skills!C26=1,60+Inputs!$B$26+Inputs!$B$30,IF(Skills!C26=2,90+Inputs!$B$27+Inputs!$B$30,IF(Skills!C26=3,120+Inputs!$B$28+Inputs!$B$30,MAX(0,(Inputs!$B$3-100)*3)+Inputs!$B$29+Inputs!$B$30)))</f>
        <v/>
      </c>
      <c r="E1268">
        <f>INDEX(FactorTable!$B$2:$Y$301, MATCH(ROUND(MIN(300,MAX(1,D1268)),0), FactorTable!$A$2:$A$301,0), Skills!L26+1)</f>
        <v/>
      </c>
      <c r="F1268">
        <f>IF(Skills!M26=TRUE,(Skills!K26/10)*(E1268/1000),Skills!K26/10)+Skills!N26</f>
        <v/>
      </c>
      <c r="G1268">
        <f>Calc!G26</f>
        <v/>
      </c>
      <c r="H1268">
        <f>Calc!H26</f>
        <v/>
      </c>
      <c r="I1268">
        <f>IF(Skills!T26&lt;&gt;"",1+(Skills!T26/10)*($Z$3/1000)/100,1)</f>
        <v/>
      </c>
      <c r="J1268" t="inlineStr"/>
      <c r="K1268" t="inlineStr"/>
      <c r="L1268" t="inlineStr"/>
      <c r="M1268" t="inlineStr"/>
      <c r="N1268" t="inlineStr"/>
      <c r="O1268">
        <f>(1-Summary!$B$11)*S1268+Summary!$B$11*U1268</f>
        <v/>
      </c>
      <c r="P1268">
        <f>IF(B1285=0,0,O1268/B1285)</f>
        <v/>
      </c>
      <c r="Q1268">
        <f>IFERROR(1/(IF(Inputs!$B$39="pvp",15,MAX(0.1,Skills!D26-IF(Skills!E26=TRUE,Inputs!$B$33,0)))*(1-IF(AND(ArtifactsInput!$M$27,Inputs!$B$4="Chapter Hunt"),CHOOSE(ArtifactsInput!$N$27+1,20,24,28,32,36,40),0)/100)),0)</f>
        <v/>
      </c>
      <c r="R1268" t="n">
        <v>0</v>
      </c>
      <c r="S1268" t="n">
        <v>0</v>
      </c>
      <c r="U1268" t="n">
        <v>0</v>
      </c>
    </row>
    <row r="1269">
      <c r="A1269">
        <f>Skills!A27</f>
        <v/>
      </c>
      <c r="B1269">
        <f>Skills!B27</f>
        <v/>
      </c>
      <c r="C1269">
        <f>Inputs!$B$3&gt;=120</f>
        <v/>
      </c>
      <c r="D1269">
        <f>IF(Skills!C27=1,60+Inputs!$B$26+Inputs!$B$30,IF(Skills!C27=2,90+Inputs!$B$27+Inputs!$B$30,IF(Skills!C27=3,120+Inputs!$B$28+Inputs!$B$30,MAX(0,(Inputs!$B$3-100)*3)+Inputs!$B$29+Inputs!$B$30)))</f>
        <v/>
      </c>
      <c r="E1269">
        <f>INDEX(FactorTable!$B$2:$Y$301, MATCH(ROUND(MIN(300,MAX(1,D1269)),0), FactorTable!$A$2:$A$301,0), Skills!L27+1)</f>
        <v/>
      </c>
      <c r="F1269">
        <f>IF(Skills!M27=TRUE,(Skills!K27/10)*(E1269/1000),Skills!K27/10)+Skills!N27</f>
        <v/>
      </c>
      <c r="G1269">
        <f>Calc!G27</f>
        <v/>
      </c>
      <c r="H1269">
        <f>Calc!H27</f>
        <v/>
      </c>
      <c r="I1269">
        <f>IF(Skills!T27&lt;&gt;"",1+(Skills!T27/10)*($Z$3/1000)/100,1)</f>
        <v/>
      </c>
      <c r="J1269" t="inlineStr"/>
      <c r="K1269" t="inlineStr"/>
      <c r="L1269" t="inlineStr"/>
      <c r="M1269" t="inlineStr"/>
      <c r="N1269" t="inlineStr"/>
      <c r="O1269">
        <f>(1-Summary!$B$11)*S1269+Summary!$B$11*U1269</f>
        <v/>
      </c>
      <c r="P1269">
        <f>IF(B1285=0,0,O1269/B1285)</f>
        <v/>
      </c>
      <c r="Q1269">
        <f>IFERROR(1/(IF(Inputs!$B$39="pvp",15,MAX(0.1,Skills!D27-IF(Skills!E27=TRUE,Inputs!$B$33,0)))*(1-IF(AND(ArtifactsInput!$M$27,Inputs!$B$4="Chapter Hunt"),CHOOSE(ArtifactsInput!$N$27+1,20,24,28,32,36,40),0)/100)),0)</f>
        <v/>
      </c>
      <c r="R1269" t="n">
        <v>0</v>
      </c>
      <c r="S1269" t="n">
        <v>0</v>
      </c>
      <c r="U1269" t="n">
        <v>0</v>
      </c>
    </row>
    <row r="1270">
      <c r="A1270">
        <f>Skills!A28</f>
        <v/>
      </c>
      <c r="B1270">
        <f>Skills!B28</f>
        <v/>
      </c>
      <c r="C1270">
        <f>TRUE</f>
        <v/>
      </c>
      <c r="D1270">
        <f>IF(Skills!C28=1,60+Inputs!$B$26+Inputs!$B$30,IF(Skills!C28=2,90+Inputs!$B$27+Inputs!$B$30,IF(Skills!C28=3,120+Inputs!$B$28+Inputs!$B$30,MAX(0,(Inputs!$B$3-100)*3)+Inputs!$B$29+Inputs!$B$30)))</f>
        <v/>
      </c>
      <c r="E1270">
        <f>INDEX(FactorTable!$B$2:$Y$301, MATCH(ROUND(MIN(300,MAX(1,D1270)),0), FactorTable!$A$2:$A$301,0), Skills!L28+1)</f>
        <v/>
      </c>
      <c r="F1270">
        <f>IF(Skills!M28=TRUE,(Skills!K28/10)*(E1270/1000),Skills!K28/10)+Skills!N28</f>
        <v/>
      </c>
      <c r="G1270">
        <f>Calc!G28</f>
        <v/>
      </c>
      <c r="H1270">
        <f>Calc!H28</f>
        <v/>
      </c>
      <c r="I1270">
        <f>IF(Skills!T28&lt;&gt;"",1+(Skills!T28/10)*($Z$3/1000)/100,1)</f>
        <v/>
      </c>
      <c r="J1270" t="inlineStr"/>
      <c r="K1270" t="inlineStr"/>
      <c r="L1270" t="inlineStr"/>
      <c r="M1270" t="inlineStr"/>
      <c r="N1270" t="inlineStr"/>
      <c r="O1270">
        <f>(1-Summary!$B$11)*S1270+Summary!$B$11*U1270</f>
        <v/>
      </c>
      <c r="P1270">
        <f>IF(B1285=0,0,O1270/B1285)</f>
        <v/>
      </c>
      <c r="Q1270">
        <f>IFERROR(1/(IF(Inputs!$B$39="pvp",15,MAX(0.1,Skills!D28-IF(Skills!E28=TRUE,Inputs!$B$33,0)))*(1-IF(AND(ArtifactsInput!$M$27,Inputs!$B$4="Chapter Hunt"),CHOOSE(ArtifactsInput!$N$27+1,20,24,28,32,36,40),0)/100)),0)</f>
        <v/>
      </c>
      <c r="R1270">
        <f>IF(AND(Inputs!$B$39&lt;&gt;"pvp",Inputs!$B$44&gt;0),IF(Inputs!$B$44&lt;=0,0,(INT(Inputs!$B$44/(IF(Inputs!$B$39="pvp",15,MAX(0.1,Skills!D28-IF(Skills!E28=TRUE,Inputs!$B$33,0)))*(1-IF(AND(ArtifactsInput!$M$27,Inputs!$B$4="Chapter Hunt"),CHOOSE(ArtifactsInput!$N$27+1,20,24,28,32,36,40),0)/100)))+1)),0)</f>
        <v/>
      </c>
      <c r="S1270" t="n">
        <v>0</v>
      </c>
      <c r="U1270" t="n">
        <v>0</v>
      </c>
    </row>
    <row r="1272">
      <c r="A1272" t="inlineStr">
        <is>
          <t>Average Buff Multiplier</t>
        </is>
      </c>
      <c r="B1272">
        <f>(1+(IF(C1245=TRUE,F1245*IF(AND(Inputs!$B$39&lt;&gt;"pvp",Inputs!$B$44&gt;0),(((R1245-1)*(Skills!S3*(1+(((Inputs!$B$35+1)+(ArtifactsInput!$M$7-ArtifactsInput!$M$7)*CHOOSE(ArtifactsInput!$N$7+1,6,7.2,8.4,9.6,10.8,12))+IF(Inputs!$B$3&gt;=117,F1268,0))/100))+MIN((Skills!S3*(1+(((Inputs!$B$35+1)+(ArtifactsInput!$M$7-ArtifactsInput!$M$7)*CHOOSE(ArtifactsInput!$N$7+1,6,7.2,8.4,9.6,10.8,12))+IF(Inputs!$B$3&gt;=117,F1268,0))/100)),MAX(0,Inputs!$B$44-((R1245-1)*Skills!D3))))/Inputs!$B$44),IF(Inputs!$B$39="pvp",MIN((Skills!S3*(1+(((Inputs!$B$35+1)+(ArtifactsInput!$M$7-ArtifactsInput!$M$7)*CHOOSE(ArtifactsInput!$N$7+1,6,7.2,8.4,9.6,10.8,12))+IF(Inputs!$B$3&gt;=117,F1268,0))/100)),15)/15,(Skills!S3*(1+(((Inputs!$B$35+1)+(ArtifactsInput!$M$7-ArtifactsInput!$M$7)*CHOOSE(ArtifactsInput!$N$7+1,6,7.2,8.4,9.6,10.8,12))+IF(Inputs!$B$3&gt;=117,F1268,0))/100))/Skills!D3)),0)+IF(C1246=TRUE,F1246*IF(AND(Inputs!$B$39&lt;&gt;"pvp",Inputs!$B$44&gt;0),(((R1246-1)*(Skills!S4*(1+(((Inputs!$B$35+1)+(ArtifactsInput!$M$7-ArtifactsInput!$M$7)*CHOOSE(ArtifactsInput!$N$7+1,6,7.2,8.4,9.6,10.8,12))+IF(Inputs!$B$3&gt;=117,F1268,0))/100))+MIN((Skills!S4*(1+(((Inputs!$B$35+1)+(ArtifactsInput!$M$7-ArtifactsInput!$M$7)*CHOOSE(ArtifactsInput!$N$7+1,6,7.2,8.4,9.6,10.8,12))+IF(Inputs!$B$3&gt;=117,F1268,0))/100)),MAX(0,Inputs!$B$44-((R1246-1)*Skills!D4))))/Inputs!$B$44),IF(Inputs!$B$39="pvp",MIN((Skills!S4*(1+(((Inputs!$B$35+1)+(ArtifactsInput!$M$7-ArtifactsInput!$M$7)*CHOOSE(ArtifactsInput!$N$7+1,6,7.2,8.4,9.6,10.8,12))+IF(Inputs!$B$3&gt;=117,F1268,0))/100)),15)/15,(Skills!S4*(1+(((Inputs!$B$35+1)+(ArtifactsInput!$M$7-ArtifactsInput!$M$7)*CHOOSE(ArtifactsInput!$N$7+1,6,7.2,8.4,9.6,10.8,12))+IF(Inputs!$B$3&gt;=117,F1268,0))/100))/Skills!D4)),0)+IF(C1247=TRUE,F1247*IF(AND(Inputs!$B$39&lt;&gt;"pvp",Inputs!$B$44&gt;0),(((R1247-1)*(Skills!S5*(1+(((Inputs!$B$35+1)+(ArtifactsInput!$M$7-ArtifactsInput!$M$7)*CHOOSE(ArtifactsInput!$N$7+1,6,7.2,8.4,9.6,10.8,12))+IF(Inputs!$B$3&gt;=117,F1268,0))/100))+MIN((Skills!S5*(1+(((Inputs!$B$35+1)+(ArtifactsInput!$M$7-ArtifactsInput!$M$7)*CHOOSE(ArtifactsInput!$N$7+1,6,7.2,8.4,9.6,10.8,12))+IF(Inputs!$B$3&gt;=117,F1268,0))/100)),MAX(0,Inputs!$B$44-((R1247-1)*Skills!D5))))/Inputs!$B$44),IF(Inputs!$B$39="pvp",MIN((Skills!S5*(1+(((Inputs!$B$35+1)+(ArtifactsInput!$M$7-ArtifactsInput!$M$7)*CHOOSE(ArtifactsInput!$N$7+1,6,7.2,8.4,9.6,10.8,12))+IF(Inputs!$B$3&gt;=117,F1268,0))/100)),15)/15,(Skills!S5*(1+(((Inputs!$B$35+1)+(ArtifactsInput!$M$7-ArtifactsInput!$M$7)*CHOOSE(ArtifactsInput!$N$7+1,6,7.2,8.4,9.6,10.8,12))+IF(Inputs!$B$3&gt;=117,F1268,0))/100))/Skills!D5)),0)+IF(C1253=TRUE,F1253*IF(AND(Inputs!$B$39&lt;&gt;"pvp",Inputs!$B$44&gt;0),(((R1253-1)*(Skills!S11*(1+(((Inputs!$B$35+1)+(ArtifactsInput!$M$7-ArtifactsInput!$M$7)*CHOOSE(ArtifactsInput!$N$7+1,6,7.2,8.4,9.6,10.8,12))+IF(Inputs!$B$3&gt;=117,F1268,0))/100))+MIN((Skills!S11*(1+(((Inputs!$B$35+1)+(ArtifactsInput!$M$7-ArtifactsInput!$M$7)*CHOOSE(ArtifactsInput!$N$7+1,6,7.2,8.4,9.6,10.8,12))+IF(Inputs!$B$3&gt;=117,F1268,0))/100)),MAX(0,Inputs!$B$44-((R1253-1)*Skills!D11))))/Inputs!$B$44),IF(Inputs!$B$39="pvp",MIN((Skills!S11*(1+(((Inputs!$B$35+1)+(ArtifactsInput!$M$7-ArtifactsInput!$M$7)*CHOOSE(ArtifactsInput!$N$7+1,6,7.2,8.4,9.6,10.8,12))+IF(Inputs!$B$3&gt;=117,F1268,0))/100)),15)/15,(Skills!S11*(1+(((Inputs!$B$35+1)+(ArtifactsInput!$M$7-ArtifactsInput!$M$7)*CHOOSE(ArtifactsInput!$N$7+1,6,7.2,8.4,9.6,10.8,12))+IF(Inputs!$B$3&gt;=117,F1268,0)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1256=TRUE,(1+F1256*IF(AND(Inputs!$B$39&lt;&gt;"pvp",Inputs!$B$44&gt;0),(((R1256-1)*(Skills!S14*(1+(((Inputs!$B$35+1)+(ArtifactsInput!$M$7-ArtifactsInput!$M$7)*CHOOSE(ArtifactsInput!$N$7+1,6,7.2,8.4,9.6,10.8,12))+IF(Inputs!$B$3&gt;=117,F1268,0))/100))+MIN((Skills!S14*(1+(((Inputs!$B$35+1)+(ArtifactsInput!$M$7-ArtifactsInput!$M$7)*CHOOSE(ArtifactsInput!$N$7+1,6,7.2,8.4,9.6,10.8,12))+IF(Inputs!$B$3&gt;=117,F1268,0))/100)),MAX(0,Inputs!$B$44-((R1256-1)*Skills!D14))))/Inputs!$B$44),IF(Inputs!$B$39="pvp",MIN((Skills!S14*(1+(((Inputs!$B$35+1)+(ArtifactsInput!$M$7-ArtifactsInput!$M$7)*CHOOSE(ArtifactsInput!$N$7+1,6,7.2,8.4,9.6,10.8,12))+IF(Inputs!$B$3&gt;=117,F1268,0))/100)),15)/15,(Skills!S14*(1+(((Inputs!$B$35+1)+(ArtifactsInput!$M$7-ArtifactsInput!$M$7)*CHOOSE(ArtifactsInput!$N$7+1,6,7.2,8.4,9.6,10.8,12))+IF(Inputs!$B$3&gt;=117,F1268,0))/100))/Skills!D14))/100),1)*IF(C1261=TRUE,(1+F1261*IF(AND(Inputs!$B$39&lt;&gt;"pvp",Inputs!$B$44&gt;0),(((R1261-1)*(Skills!S19*(1+(((Inputs!$B$35+1)+(ArtifactsInput!$M$7-ArtifactsInput!$M$7)*CHOOSE(ArtifactsInput!$N$7+1,6,7.2,8.4,9.6,10.8,12))+IF(Inputs!$B$3&gt;=117,F1268,0))/100))+MIN((Skills!S19*(1+(((Inputs!$B$35+1)+(ArtifactsInput!$M$7-ArtifactsInput!$M$7)*CHOOSE(ArtifactsInput!$N$7+1,6,7.2,8.4,9.6,10.8,12))+IF(Inputs!$B$3&gt;=117,F1268,0))/100)),MAX(0,Inputs!$B$44-((R1261-1)*Skills!D19))))/Inputs!$B$44),IF(Inputs!$B$39="pvp",MIN((Skills!S19*(1+(((Inputs!$B$35+1)+(ArtifactsInput!$M$7-ArtifactsInput!$M$7)*CHOOSE(ArtifactsInput!$N$7+1,6,7.2,8.4,9.6,10.8,12))+IF(Inputs!$B$3&gt;=117,F1268,0))/100)),15)/15,(Skills!S19*(1+(((Inputs!$B$35+1)+(ArtifactsInput!$M$7-ArtifactsInput!$M$7)*CHOOSE(ArtifactsInput!$N$7+1,6,7.2,8.4,9.6,10.8,12))+IF(Inputs!$B$3&gt;=117,F1268,0))/100))/Skills!D19))/100),1)</f>
        <v/>
      </c>
    </row>
    <row r="1273">
      <c r="A1273" t="inlineStr">
        <is>
          <t>Monster Damage Taken Bonus % (Holy Fountain)</t>
        </is>
      </c>
      <c r="B1273">
        <f>IF(Inputs!$B$3&gt;=68,20*IF(Inputs!$B$39="pvp",MIN((15*(1+(((Inputs!$B$35+1)+(ArtifactsInput!$M$7-ArtifactsInput!$M$7)*CHOOSE(ArtifactsInput!$N$7+1,6,7.2,8.4,9.6,10.8,12))+IF(Inputs!$B$3&gt;=117,F1268,0))/100)),15)/15,(15*(1+(((Inputs!$B$35+1)+(ArtifactsInput!$M$7-ArtifactsInput!$M$7)*CHOOSE(ArtifactsInput!$N$7+1,6,7.2,8.4,9.6,10.8,12))+IF(Inputs!$B$3&gt;=117,F1268,0))/100))/Skills!D10),0)</f>
        <v/>
      </c>
    </row>
    <row r="1274">
      <c r="A1274" t="inlineStr">
        <is>
          <t>Normal Monster Damage Bonus % (Holy Symbol)</t>
        </is>
      </c>
      <c r="B1274">
        <f>IF(C1254=TRUE,F1254*IF(AND(Inputs!$B$39&lt;&gt;"pvp",Inputs!$B$44&gt;0),(((R1254-1)*(Skills!S12*(1+(((Inputs!$B$35+1)+(ArtifactsInput!$M$7-ArtifactsInput!$M$7)*CHOOSE(ArtifactsInput!$N$7+1,6,7.2,8.4,9.6,10.8,12))+IF(Inputs!$B$3&gt;=117,F1268,0))/100))+MIN((Skills!S12*(1+(((Inputs!$B$35+1)+(ArtifactsInput!$M$7-ArtifactsInput!$M$7)*CHOOSE(ArtifactsInput!$N$7+1,6,7.2,8.4,9.6,10.8,12))+IF(Inputs!$B$3&gt;=117,F1268,0))/100)),MAX(0,Inputs!$B$44-((R1254-1)*Skills!D12))))/Inputs!$B$44),IF(Inputs!$B$39="pvp",MIN((Skills!S12*(1+(((Inputs!$B$35+1)+(ArtifactsInput!$M$7-ArtifactsInput!$M$7)*CHOOSE(ArtifactsInput!$N$7+1,6,7.2,8.4,9.6,10.8,12))+IF(Inputs!$B$3&gt;=117,F1268,0))/100)),15)/15,(Skills!S12*(1+(((Inputs!$B$35+1)+(ArtifactsInput!$M$7-ArtifactsInput!$M$7)*CHOOSE(ArtifactsInput!$N$7+1,6,7.2,8.4,9.6,10.8,12))+IF(Inputs!$B$3&gt;=117,F1268,0))/100))/Skills!D12)),0)</f>
        <v/>
      </c>
    </row>
    <row r="1275">
      <c r="A1275" t="inlineStr">
        <is>
          <t>Damage % Bonus (Holy Symbol - Damage Boost)</t>
        </is>
      </c>
      <c r="B1275">
        <f>Skills!O12</f>
        <v/>
      </c>
    </row>
    <row r="1276">
      <c r="A1276" t="inlineStr">
        <is>
          <t>Crit Damage % Bonus (Blood of the Divine)</t>
        </is>
      </c>
      <c r="B1276">
        <f>4*IF(C1262=TRUE,F1262,0)</f>
        <v/>
      </c>
    </row>
    <row r="1277">
      <c r="A1277" t="inlineStr">
        <is>
          <t>Attack Speed Bonus %</t>
        </is>
      </c>
      <c r="B1277">
        <f>IF(C1259=TRUE,F1259+(F1263-Calc!F21),0)+IF(Inputs!$B$3&gt;=134,15,0)+((C1270=TRUE)*F1270*IF(AND(Inputs!$B$39&lt;&gt;"pvp",Inputs!$B$44&gt;0),(((R1270-1)*(Skills!S28*(1+(((Inputs!$B$35+1)+(ArtifactsInput!$M$7-ArtifactsInput!$M$7)*CHOOSE(ArtifactsInput!$N$7+1,6,7.2,8.4,9.6,10.8,12))+IF(Inputs!$B$3&gt;=117,F1268,0))/100))+MIN((Skills!S28*(1+(((Inputs!$B$35+1)+(ArtifactsInput!$M$7-ArtifactsInput!$M$7)*CHOOSE(ArtifactsInput!$N$7+1,6,7.2,8.4,9.6,10.8,12))+IF(Inputs!$B$3&gt;=117,F1268,0))/100)),MAX(0,Inputs!$B$44-((R1270-1)*Skills!D28))))/Inputs!$B$44),IF(Inputs!$B$39="pvp",MIN((Skills!S28*(1+(((Inputs!$B$35+1)+(ArtifactsInput!$M$7-ArtifactsInput!$M$7)*CHOOSE(ArtifactsInput!$N$7+1,6,7.2,8.4,9.6,10.8,12))+IF(Inputs!$B$3&gt;=117,F1268,0))/100)),15)/15,(Skills!S28*(1+(((Inputs!$B$35+1)+(ArtifactsInput!$M$7-ArtifactsInput!$M$7)*CHOOSE(ArtifactsInput!$N$7+1,6,7.2,8.4,9.6,10.8,12))+IF(Inputs!$B$3&gt;=117,F1268,0))/100))/Skills!D28)))</f>
        <v/>
      </c>
    </row>
    <row r="1278">
      <c r="A1278" t="inlineStr">
        <is>
          <t>Actions Per Second</t>
        </is>
      </c>
      <c r="B1278">
        <f>1+MIN(150,150*(1-(1-Inputs!$B$12/150)*(1-B1277/150)))/100</f>
        <v/>
      </c>
    </row>
    <row r="1279">
      <c r="A1279" t="inlineStr">
        <is>
          <t>Skill + Buff Cast Rate</t>
        </is>
      </c>
      <c r="B1279">
        <f>IF(AND(Inputs!$B$39&lt;&gt;"pvp",Inputs!$B$44&gt;0),SUMPRODUCT((Skills!E2:E28=TRUE)*(C1244:C1270=TRUE)*R1244:R1270)/Inputs!$B$44,SUMPRODUCT((Skills!E2:E28=TRUE)*(C1244:C1270=TRUE)*Q1244:Q1270))</f>
        <v/>
      </c>
    </row>
    <row r="1280">
      <c r="A1280" t="inlineStr">
        <is>
          <t>Big Bang Casts Per Second</t>
        </is>
      </c>
      <c r="B1280">
        <f>MAX(0,B1278-B1279)</f>
        <v/>
      </c>
    </row>
    <row r="1281">
      <c r="A1281" t="inlineStr">
        <is>
          <t>Defense % Bonus (Divine Protection)</t>
        </is>
      </c>
      <c r="B1281">
        <f>IF(C1255=TRUE,F1255*IF(AND(Inputs!$B$39&lt;&gt;"pvp",Inputs!$B$44&gt;0),(((R1255-1)*(Skills!S13*(1+(((Inputs!$B$35+1)+(ArtifactsInput!$M$7-ArtifactsInput!$M$7)*CHOOSE(ArtifactsInput!$N$7+1,6,7.2,8.4,9.6,10.8,12))+IF(Inputs!$B$3&gt;=117,F1268,0))/100))+MIN((Skills!S13*(1+(((Inputs!$B$35+1)+(ArtifactsInput!$M$7-ArtifactsInput!$M$7)*CHOOSE(ArtifactsInput!$N$7+1,6,7.2,8.4,9.6,10.8,12))+IF(Inputs!$B$3&gt;=117,F1268,0))/100)),MAX(0,Inputs!$B$44-((R1255-1)*Skills!D13))))/Inputs!$B$44),IF(Inputs!$B$39="pvp",MIN((Skills!S13*(1+(((Inputs!$B$35+1)+(ArtifactsInput!$M$7-ArtifactsInput!$M$7)*CHOOSE(ArtifactsInput!$N$7+1,6,7.2,8.4,9.6,10.8,12))+IF(Inputs!$B$3&gt;=117,F1268,0))/100)),15)/15,(Skills!S13*(1+(((Inputs!$B$35+1)+(ArtifactsInput!$M$7-ArtifactsInput!$M$7)*CHOOSE(ArtifactsInput!$N$7+1,6,7.2,8.4,9.6,10.8,12))+IF(Inputs!$B$3&gt;=117,F1268,0))/100))/Skills!D13)),0)</f>
        <v/>
      </c>
    </row>
    <row r="1282">
      <c r="A1282" t="inlineStr">
        <is>
          <t>Buff-Casting Startup Delay (s, fixed-duration only)</t>
        </is>
      </c>
      <c r="B1282">
        <f>IF(AND(Inputs!$B$39&lt;&gt;"pvp",Inputs!$B$44&gt;0),SUMPRODUCT((Skills!S2:S28&gt;0)*(Skills!E2:E28=TRUE)*(C1244:C1270=TRUE))/B1278,0)</f>
        <v/>
      </c>
    </row>
    <row r="1283">
      <c r="A1283" t="inlineStr">
        <is>
          <t>Boss-Only Total DPS (this block's swept value)</t>
        </is>
      </c>
      <c r="B1283">
        <f>SUM(S1244:S1270)</f>
        <v/>
      </c>
    </row>
    <row r="1284">
      <c r="A1284" t="inlineStr">
        <is>
          <t>Normal-Only Total DPS (this block's swept value)</t>
        </is>
      </c>
      <c r="B1284">
        <f>SUM(U1244:U1270)</f>
        <v/>
      </c>
    </row>
    <row r="1285">
      <c r="A1285" s="6" t="inlineStr">
        <is>
          <t>TOTAL DPS</t>
        </is>
      </c>
      <c r="B1285" s="6">
        <f>SUM(O1244:O1270)</f>
        <v/>
      </c>
    </row>
    <row r="1287">
      <c r="A1287" s="6" t="inlineStr">
        <is>
          <t>Stat: Charm of the Undead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R1288" t="inlineStr">
        <is>
          <t>helpers</t>
        </is>
      </c>
    </row>
    <row r="1289">
      <c r="A1289">
        <f>Skills!A2</f>
        <v/>
      </c>
      <c r="B1289">
        <f>Skills!B2</f>
        <v/>
      </c>
      <c r="C1289">
        <f>Inputs!$B$3&gt;=100</f>
        <v/>
      </c>
      <c r="D1289" t="inlineStr"/>
      <c r="E1289" t="inlineStr"/>
      <c r="F1289">
        <f>T1291+Skills!N2</f>
        <v/>
      </c>
      <c r="G1289">
        <f>Calc!G2</f>
        <v/>
      </c>
      <c r="H1289">
        <f>Calc!H2</f>
        <v/>
      </c>
      <c r="I1289">
        <f>IF(Skills!T2&lt;&gt;"",1+(Skills!T2/10)*($Z$3/1000)/100,1)</f>
        <v/>
      </c>
      <c r="J1289">
        <f>((Inputs!$B$6*(1+Inputs!$B$7/100))+(((Inputs!$B$13*(1+Inputs!$B$14/100))-(Inputs!$B$13*(1+Inputs!$B$14/100)))+0.25*(Inputs!$B$15-Inputs!$B$15))*(1+Inputs!$B$7/100))*(F1289/100)</f>
        <v/>
      </c>
      <c r="K1289">
        <f>J1289*(1+(((Inputs!$B$13+IF(Inputs!$B$3&gt;=35,(10*INDEX(FactorTable!$B$2:$Y$301,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2="TRIUMPH_FEATHER",IF(C1303=TRUE,F1303,0),0)/100)*(1+IF(C1314=TRUE,F1314,0)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1289)</f>
        <v/>
      </c>
      <c r="L1289">
        <f>K1289*(MIN(Inputs!$B$23+(F1309-Calc!F22),(Inputs!$B$24+IF(ArtifactsInput!$M$15,CHOOSE(ArtifactsInput!$N$15+1,25,30,35,40,45,50)/100*(Inputs!$B$12-Inputs!$B$12),0)))/100+(Inputs!$B$24+IF(ArtifactsInput!$M$15,CHOOSE(ArtifactsInput!$N$15+1,25,30,35,40,45,50)/100*(Inputs!$B$12-Inputs!$B$12),0))/100)/2</f>
        <v/>
      </c>
      <c r="M1289">
        <f>L1289*(1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89">
        <f>L1289*(1-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1289*(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9">
        <f>(1-Summary!$B$11)*S1289+Summary!$B$11*U1289</f>
        <v/>
      </c>
      <c r="P1289">
        <f>IF(B1330=0,0,O1289/B1330)</f>
        <v/>
      </c>
      <c r="Q1289">
        <f>IFERROR(1/(IF(Inputs!$B$39="pvp",15,MAX(0.1,Skills!D2-IF(Skills!E2=TRUE,Inputs!$B$33,0)))*(1-IF(AND(ArtifactsInput!$M$27,Inputs!$B$4="Chapter Hunt"),CHOOSE(ArtifactsInput!$N$27+1,20,24,28,32,36,40),0)/100)),0)</f>
        <v/>
      </c>
      <c r="R1289" t="n">
        <v>0</v>
      </c>
      <c r="S1289">
        <f>IF(C1289,(Skills!F2*N1289*B1325)*IF(Inputs!$B$39="pvp",1,1+(Inputs!$B$21+Skills!O2+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1289*(1-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1289*(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1289*(1-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1289*(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89">
        <f>MAX(0,(Inputs!$B$3-100)*3)+Inputs!$B$29+Inputs!$B$30</f>
        <v/>
      </c>
      <c r="U1289">
        <f>IF(C1289,(Skills!F2*N1289*B1325)*IF(Inputs!$B$39="pvp",1,(1+(Inputs!$B$22+Skills!P2+B1319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0">
      <c r="A1290">
        <f>Skills!A3</f>
        <v/>
      </c>
      <c r="B1290">
        <f>Skills!B3</f>
        <v/>
      </c>
      <c r="C1290">
        <f>Inputs!$B$3&gt;=15</f>
        <v/>
      </c>
      <c r="D1290">
        <f>IF(Skills!C3=1,60+Inputs!$B$26+Inputs!$B$30,IF(Skills!C3=2,90+Inputs!$B$27+Inputs!$B$30,IF(Skills!C3=3,120+Inputs!$B$28+Inputs!$B$30,MAX(0,(Inputs!$B$3-100)*3)+Inputs!$B$29+Inputs!$B$30)))</f>
        <v/>
      </c>
      <c r="E1290">
        <f>INDEX(FactorTable!$B$2:$Y$301, MATCH(ROUND(MIN(300,MAX(1,D1290)),0), FactorTable!$A$2:$A$301,0), Skills!L3+1)</f>
        <v/>
      </c>
      <c r="F1290">
        <f>IF(Skills!M3=TRUE,(Skills!K3/10)*(E1290/1000),Skills!K3/10)+Skills!N3</f>
        <v/>
      </c>
      <c r="G1290">
        <f>Calc!G3</f>
        <v/>
      </c>
      <c r="H1290">
        <f>Calc!H3</f>
        <v/>
      </c>
      <c r="I1290">
        <f>IF(Skills!T3&lt;&gt;"",1+(Skills!T3/10)*($Z$3/1000)/100,1)</f>
        <v/>
      </c>
      <c r="J1290" t="inlineStr"/>
      <c r="K1290" t="inlineStr"/>
      <c r="L1290" t="inlineStr"/>
      <c r="M1290" t="inlineStr"/>
      <c r="N1290" t="inlineStr"/>
      <c r="O1290">
        <f>(1-Summary!$B$11)*S1290+Summary!$B$11*U1290</f>
        <v/>
      </c>
      <c r="P1290">
        <f>IF(B1330=0,0,O1290/B1330)</f>
        <v/>
      </c>
      <c r="Q1290">
        <f>IFERROR(1/(IF(Inputs!$B$39="pvp",15,MAX(0.1,Skills!D3-IF(Skills!E3=TRUE,Inputs!$B$33,0)))*(1-IF(AND(ArtifactsInput!$M$27,Inputs!$B$4="Chapter Hunt"),CHOOSE(ArtifactsInput!$N$27+1,20,24,28,32,36,40),0)/100)),0)</f>
        <v/>
      </c>
      <c r="R1290">
        <f>IF(AND(Inputs!$B$39&lt;&gt;"pvp",Inputs!$B$44&gt;0),IF(Inputs!$B$44&lt;=0,0,(INT(Inputs!$B$44/(IF(Inputs!$B$39="pvp",15,MAX(0.1,Skills!D3-IF(Skills!E3=TRUE,Inputs!$B$33,0)))*(1-IF(AND(ArtifactsInput!$M$27,Inputs!$B$4="Chapter Hunt"),CHOOSE(ArtifactsInput!$N$27+1,20,24,28,32,36,40),0)/100)))+1)),0)</f>
        <v/>
      </c>
      <c r="S1290" t="n">
        <v>0</v>
      </c>
      <c r="T1290">
        <f>INDEX(FactorTable!$B$2:$Y$301, MATCH(ROUND(MIN(300,MAX(1,T1289)),0), FactorTable!$A$2:$A$301,0), 22)</f>
        <v/>
      </c>
      <c r="U1290" t="n">
        <v>0</v>
      </c>
    </row>
    <row r="1291">
      <c r="A1291">
        <f>Skills!A4</f>
        <v/>
      </c>
      <c r="B1291">
        <f>Skills!B4</f>
        <v/>
      </c>
      <c r="C1291">
        <f>Inputs!$B$3&gt;=38</f>
        <v/>
      </c>
      <c r="D1291">
        <f>IF(Skills!C4=1,60+Inputs!$B$26+Inputs!$B$30,IF(Skills!C4=2,90+Inputs!$B$27+Inputs!$B$30,IF(Skills!C4=3,120+Inputs!$B$28+Inputs!$B$30,MAX(0,(Inputs!$B$3-100)*3)+Inputs!$B$29+Inputs!$B$30)))</f>
        <v/>
      </c>
      <c r="E1291">
        <f>INDEX(FactorTable!$B$2:$Y$301, MATCH(ROUND(MIN(300,MAX(1,D1291)),0), FactorTable!$A$2:$A$301,0), Skills!L4+1)</f>
        <v/>
      </c>
      <c r="F1291">
        <f>IF(Skills!M4=TRUE,(Skills!K4/10)*(E1291/1000),Skills!K4/10)+Skills!N4</f>
        <v/>
      </c>
      <c r="G1291">
        <f>Calc!G4</f>
        <v/>
      </c>
      <c r="H1291">
        <f>Calc!H4</f>
        <v/>
      </c>
      <c r="I1291">
        <f>IF(Skills!T4&lt;&gt;"",1+(Skills!T4/10)*($Z$3/1000)/100,1)</f>
        <v/>
      </c>
      <c r="J1291" t="inlineStr"/>
      <c r="K1291" t="inlineStr"/>
      <c r="L1291" t="inlineStr"/>
      <c r="M1291" t="inlineStr"/>
      <c r="N1291" t="inlineStr"/>
      <c r="O1291">
        <f>(1-Summary!$B$11)*S1291+Summary!$B$11*U1291</f>
        <v/>
      </c>
      <c r="P1291">
        <f>IF(B1330=0,0,O1291/B1330)</f>
        <v/>
      </c>
      <c r="Q1291">
        <f>IFERROR(1/(IF(Inputs!$B$39="pvp",15,MAX(0.1,Skills!D4-IF(Skills!E4=TRUE,Inputs!$B$33,0)))*(1-IF(AND(ArtifactsInput!$M$27,Inputs!$B$4="Chapter Hunt"),CHOOSE(ArtifactsInput!$N$27+1,20,24,28,32,36,40),0)/100)),0)</f>
        <v/>
      </c>
      <c r="R1291">
        <f>IF(AND(Inputs!$B$39&lt;&gt;"pvp",Inputs!$B$44&gt;0),IF(Inputs!$B$44&lt;=0,0,(INT(Inputs!$B$44/(IF(Inputs!$B$39="pvp",15,MAX(0.1,Skills!D4-IF(Skills!E4=TRUE,Inputs!$B$33,0)))*(1-IF(AND(ArtifactsInput!$M$27,Inputs!$B$4="Chapter Hunt"),CHOOSE(ArtifactsInput!$N$27+1,20,24,28,32,36,40),0)/100)))+1)),0)</f>
        <v/>
      </c>
      <c r="S1291" t="n">
        <v>0</v>
      </c>
      <c r="T1291">
        <f>290*T1290/1000</f>
        <v/>
      </c>
      <c r="U1291" t="n">
        <v>0</v>
      </c>
    </row>
    <row r="1292">
      <c r="A1292">
        <f>Skills!A5</f>
        <v/>
      </c>
      <c r="B1292">
        <f>Skills!B5</f>
        <v/>
      </c>
      <c r="C1292">
        <f>Inputs!$B$3&gt;=40</f>
        <v/>
      </c>
      <c r="D1292">
        <f>IF(Skills!C5=1,60+Inputs!$B$26+Inputs!$B$30,IF(Skills!C5=2,90+Inputs!$B$27+Inputs!$B$30,IF(Skills!C5=3,120+Inputs!$B$28+Inputs!$B$30,MAX(0,(Inputs!$B$3-100)*3)+Inputs!$B$29+Inputs!$B$30)))</f>
        <v/>
      </c>
      <c r="E1292">
        <f>INDEX(FactorTable!$B$2:$Y$301, MATCH(ROUND(MIN(300,MAX(1,D1292)),0), FactorTable!$A$2:$A$301,0), Skills!L5+1)</f>
        <v/>
      </c>
      <c r="F1292">
        <f>IF(Skills!M5=TRUE,(Skills!K5/10)*(E1292/1000),Skills!K5/10)+Skills!N5</f>
        <v/>
      </c>
      <c r="G1292">
        <f>Calc!G5</f>
        <v/>
      </c>
      <c r="H1292">
        <f>Calc!H5</f>
        <v/>
      </c>
      <c r="I1292">
        <f>IF(Skills!T5&lt;&gt;"",1+(Skills!T5/10)*($Z$3/1000)/100,1)</f>
        <v/>
      </c>
      <c r="J1292" t="inlineStr"/>
      <c r="K1292" t="inlineStr"/>
      <c r="L1292" t="inlineStr"/>
      <c r="M1292" t="inlineStr"/>
      <c r="N1292" t="inlineStr"/>
      <c r="O1292">
        <f>(1-Summary!$B$11)*S1292+Summary!$B$11*U1292</f>
        <v/>
      </c>
      <c r="P1292">
        <f>IF(B1330=0,0,O1292/B1330)</f>
        <v/>
      </c>
      <c r="Q1292">
        <f>IFERROR(1/(IF(Inputs!$B$39="pvp",15,MAX(0.1,Skills!D5-IF(Skills!E5=TRUE,Inputs!$B$33,0)))*(1-IF(AND(ArtifactsInput!$M$27,Inputs!$B$4="Chapter Hunt"),CHOOSE(ArtifactsInput!$N$27+1,20,24,28,32,36,40),0)/100)),0)</f>
        <v/>
      </c>
      <c r="R1292">
        <f>IF(AND(Inputs!$B$39&lt;&gt;"pvp",Inputs!$B$44&gt;0),IF(Inputs!$B$44&lt;=0,0,(INT(Inputs!$B$44/(IF(Inputs!$B$39="pvp",15,MAX(0.1,Skills!D5-IF(Skills!E5=TRUE,Inputs!$B$33,0)))*(1-IF(AND(ArtifactsInput!$M$27,Inputs!$B$4="Chapter Hunt"),CHOOSE(ArtifactsInput!$N$27+1,20,24,28,32,36,40),0)/100)))+1)),0)</f>
        <v/>
      </c>
      <c r="S1292" t="n">
        <v>0</v>
      </c>
      <c r="U1292" t="n">
        <v>0</v>
      </c>
    </row>
    <row r="1293">
      <c r="A1293">
        <f>Skills!A6</f>
        <v/>
      </c>
      <c r="B1293">
        <f>Skills!B6</f>
        <v/>
      </c>
      <c r="C1293">
        <f>Inputs!$B$3&gt;=103</f>
        <v/>
      </c>
      <c r="D1293">
        <f>IF(Skills!C6=1,60+Inputs!$B$26+Inputs!$B$30,IF(Skills!C6=2,90+Inputs!$B$27+Inputs!$B$30,IF(Skills!C6=3,120+Inputs!$B$28+Inputs!$B$30,MAX(0,(Inputs!$B$3-100)*3)+Inputs!$B$29+Inputs!$B$30)))</f>
        <v/>
      </c>
      <c r="E1293">
        <f>INDEX(FactorTable!$B$2:$Y$301, MATCH(ROUND(MIN(300,MAX(1,D1293)),0), FactorTable!$A$2:$A$301,0), Skills!L6+1)</f>
        <v/>
      </c>
      <c r="F1293">
        <f>IF(Skills!M6=TRUE,(Skills!K6/10)*(E1293/1000),Skills!K6/10)+Skills!N6</f>
        <v/>
      </c>
      <c r="G1293">
        <f>Calc!G6</f>
        <v/>
      </c>
      <c r="H1293">
        <f>Calc!H6</f>
        <v/>
      </c>
      <c r="I1293">
        <f>IF(Skills!T6&lt;&gt;"",1+(Skills!T6/10)*($Z$3/1000)/100,1)</f>
        <v/>
      </c>
      <c r="J1293">
        <f>((Inputs!$B$6*(1+Inputs!$B$7/100))+(((Inputs!$B$13*(1+Inputs!$B$14/100))-(Inputs!$B$13*(1+Inputs!$B$14/100)))+0.25*(Inputs!$B$15-Inputs!$B$15))*(1+Inputs!$B$7/100))*(F1293/100)</f>
        <v/>
      </c>
      <c r="K1293">
        <f>J1293*(1+(((Inputs!$B$13+IF(Inputs!$B$3&gt;=35,(10*INDEX(FactorTable!$B$2:$Y$301,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6="TRIUMPH_FEATHER",IF(C1303=TRUE,F1303,0),0)/100)*(1+IF(C1314=TRUE,F1314,0)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1293)</f>
        <v/>
      </c>
      <c r="L1293">
        <f>K1293*(MIN(Inputs!$B$23+(F1309-Calc!F22),(Inputs!$B$24+IF(ArtifactsInput!$M$15,CHOOSE(ArtifactsInput!$N$15+1,25,30,35,40,45,50)/100*(Inputs!$B$12-Inputs!$B$12),0)))/100+(Inputs!$B$24+IF(ArtifactsInput!$M$15,CHOOSE(ArtifactsInput!$N$15+1,25,30,35,40,45,50)/100*(Inputs!$B$12-Inputs!$B$12),0))/100)/2</f>
        <v/>
      </c>
      <c r="M1293">
        <f>L1293*(1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3">
        <f>L1293*(1-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(1-Summary!$B$11)*S1293+Summary!$B$11*U1293</f>
        <v/>
      </c>
      <c r="P1293">
        <f>IF(B1330=0,0,O1293/B1330)</f>
        <v/>
      </c>
      <c r="Q1293">
        <f>IFERROR(1/(IF(Inputs!$B$39="pvp",15,MAX(0.1,Skills!D6-IF(Skills!E6=TRUE,Inputs!$B$33,0)))*(1-IF(AND(ArtifactsInput!$M$27,Inputs!$B$4="Chapter Hunt"),CHOOSE(ArtifactsInput!$N$27+1,20,24,28,32,36,40),0)/100)),0)</f>
        <v/>
      </c>
      <c r="R1293">
        <f>IF(AND(Inputs!$B$39&lt;&gt;"pvp",Inputs!$B$44&gt;0),IF(MAX(0,Inputs!$B$44-B1327)&lt;=0,0,(INT(MAX(0,Inputs!$B$44-B1327)/(IF(Inputs!$B$39="pvp",15,MAX(0.1,Skills!D6-IF(Skills!E6=TRUE,Inputs!$B$33,0)))*(1-IF(AND(ArtifactsInput!$M$27,Inputs!$B$4="Chapter Hunt"),CHOOSE(ArtifactsInput!$N$27+1,20,24,28,32,36,40),0)/100)))+1)),0)</f>
        <v/>
      </c>
      <c r="S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$21+Skills!O6+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1293*(1-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$22+Skills!P6+B1319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Skills!A7</f>
        <v/>
      </c>
      <c r="B1294">
        <f>Skills!B7</f>
        <v/>
      </c>
      <c r="C1294">
        <f>Inputs!$B$3&gt;=122</f>
        <v/>
      </c>
      <c r="D1294">
        <f>IF(Skills!C7=1,60+Inputs!$B$26+Inputs!$B$30,IF(Skills!C7=2,90+Inputs!$B$27+Inputs!$B$30,IF(Skills!C7=3,120+Inputs!$B$28+Inputs!$B$30,MAX(0,(Inputs!$B$3-100)*3)+Inputs!$B$29+Inputs!$B$30)))</f>
        <v/>
      </c>
      <c r="E1294">
        <f>INDEX(FactorTable!$B$2:$Y$301, MATCH(ROUND(MIN(300,MAX(1,D1294)),0), FactorTable!$A$2:$A$301,0), Skills!L7+1)</f>
        <v/>
      </c>
      <c r="F1294">
        <f>IF(Skills!M7=TRUE,(Skills!K7/10)*(E1294/1000),Skills!K7/10)+Skills!N7</f>
        <v/>
      </c>
      <c r="G1294">
        <f>Calc!G7</f>
        <v/>
      </c>
      <c r="H1294">
        <f>Calc!H7</f>
        <v/>
      </c>
      <c r="I1294">
        <f>IF(Skills!T7&lt;&gt;"",1+(Skills!T7/10)*($Z$3/1000)/100,1)</f>
        <v/>
      </c>
      <c r="J1294">
        <f>((Inputs!$B$6*(1+Inputs!$B$7/100))+(((Inputs!$B$13*(1+Inputs!$B$14/100))-(Inputs!$B$13*(1+Inputs!$B$14/100)))+0.25*(Inputs!$B$15-Inputs!$B$15))*(1+Inputs!$B$7/100))*(F1294/100)</f>
        <v/>
      </c>
      <c r="K1294">
        <f>J1294*(1+(((Inputs!$B$13+IF(Inputs!$B$3&gt;=35,(10*INDEX(FactorTable!$B$2:$Y$301,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7="TRIUMPH_FEATHER",IF(C1303=TRUE,F1303,0),0)/100)*(1+IF(C1314=TRUE,F1314,0)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1294)</f>
        <v/>
      </c>
      <c r="L1294">
        <f>K1294*(MIN(Inputs!$B$23+(F1309-Calc!F22),(Inputs!$B$24+IF(ArtifactsInput!$M$15,CHOOSE(ArtifactsInput!$N$15+1,25,30,35,40,45,50)/100*(Inputs!$B$12-Inputs!$B$12),0)))/100+(Inputs!$B$24+IF(ArtifactsInput!$M$15,CHOOSE(ArtifactsInput!$N$15+1,25,30,35,40,45,50)/100*(Inputs!$B$12-Inputs!$B$12),0))/100)/2</f>
        <v/>
      </c>
      <c r="M1294">
        <f>L1294*(1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4">
        <f>L1294*(1-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1294*(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4">
        <f>(1-Summary!$B$11)*S1294+Summary!$B$11*U1294</f>
        <v/>
      </c>
      <c r="P1294">
        <f>IF(B1330=0,0,O1294/B1330)</f>
        <v/>
      </c>
      <c r="Q1294">
        <f>IFERROR(1/(IF(Inputs!$B$39="pvp",15,MAX(0.1,Skills!D7-IF(Skills!E6=TRUE,Inputs!$B$33,0)))*(1-IF(AND(ArtifactsInput!$M$27,Inputs!$B$4="Chapter Hunt"),CHOOSE(ArtifactsInput!$N$27+1,20,24,28,32,36,40),0)/100)),0)</f>
        <v/>
      </c>
      <c r="R1294">
        <f>IF(AND(Inputs!$B$39&lt;&gt;"pvp",Inputs!$B$44&gt;0),IF(MAX(0,Inputs!$B$44-B1327)&lt;=0,0,(INT(MAX(0,Inputs!$B$44-B1327)/(IF(Inputs!$B$39="pvp",15,MAX(0.1,Skills!D7-IF(Skills!E6=TRUE,Inputs!$B$33,0)))*(1-IF(AND(ArtifactsInput!$M$27,Inputs!$B$4="Chapter Hunt"),CHOOSE(ArtifactsInput!$N$27+1,20,24,28,32,36,40),0)/100)))+1)),0)</f>
        <v/>
      </c>
      <c r="S1294">
        <f>IF(C1294,H1294*N1294*IF(AND(Inputs!$B$39&lt;&gt;"pvp",Inputs!$B$44&gt;0),((Skills!F7*((R1294-1)*IF(Skills!G7&gt;0,Skills!H7/Skills!G7,1)+IF(Skills!G7&gt;0,MIN(Skills!H7,MAX(0,MAX(0,Inputs!$B$44-B1327)-((R1294-1)*(IF(Inputs!$B$39="pvp",15,MAX(0.1,Skills!D7-IF(Skills!E6=TRUE,Inputs!$B$33,0)))*(1-IF(AND(ArtifactsInput!$M$27,Inputs!$B$4="Chapter Hunt"),CHOOSE(ArtifactsInput!$N$27+1,20,24,28,32,36,40),0)/100)))))/Skills!G7,1)))/Inputs!$B$44),G1294*Q1294)*IF(Inputs!$B$39="pvp",1,1+(Inputs!$B$21+Skills!O7+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1294*(1-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1294*(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1294*(1-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1294*(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4" t="n">
        <v>0</v>
      </c>
    </row>
    <row r="1295">
      <c r="A1295">
        <f>Skills!A8</f>
        <v/>
      </c>
      <c r="B1295">
        <f>Skills!B8</f>
        <v/>
      </c>
      <c r="C1295">
        <f>Inputs!$B$3&gt;=105</f>
        <v/>
      </c>
      <c r="D1295">
        <f>IF(Skills!C8=1,60+Inputs!$B$26+Inputs!$B$30,IF(Skills!C8=2,90+Inputs!$B$27+Inputs!$B$30,IF(Skills!C8=3,120+Inputs!$B$28+Inputs!$B$30,MAX(0,(Inputs!$B$3-100)*3)+Inputs!$B$29+Inputs!$B$30)))</f>
        <v/>
      </c>
      <c r="E1295">
        <f>INDEX(FactorTable!$B$2:$Y$301, MATCH(ROUND(MIN(300,MAX(1,D1295)),0), FactorTable!$A$2:$A$301,0), Skills!L8+1)</f>
        <v/>
      </c>
      <c r="F1295">
        <f>IF(Skills!M8=TRUE,(Skills!K8/10)*(E1295/1000),Skills!K8/10)+Skills!N8</f>
        <v/>
      </c>
      <c r="G1295">
        <f>Calc!G8</f>
        <v/>
      </c>
      <c r="H1295">
        <f>Calc!H8</f>
        <v/>
      </c>
      <c r="I1295">
        <f>IF(Skills!T8&lt;&gt;"",1+(Skills!T8/10)*($Z$3/1000)/100,1)</f>
        <v/>
      </c>
      <c r="J1295">
        <f>((Inputs!$B$6*(1+Inputs!$B$7/100))+(((Inputs!$B$13*(1+Inputs!$B$14/100))-(Inputs!$B$13*(1+Inputs!$B$14/100)))+0.25*(Inputs!$B$15-Inputs!$B$15))*(1+Inputs!$B$7/100))*(F1295/100)</f>
        <v/>
      </c>
      <c r="K1295">
        <f>J1295*(1+(((Inputs!$B$13+IF(Inputs!$B$3&gt;=35,(10*INDEX(FactorTable!$B$2:$Y$301,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8="TRIUMPH_FEATHER",IF(C1303=TRUE,F1303,0),0)/100)*(1+IF(C1314=TRUE,F1314,0)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1295)</f>
        <v/>
      </c>
      <c r="L1295">
        <f>K1295*(MIN(Inputs!$B$23+(F1309-Calc!F22),(Inputs!$B$24+IF(ArtifactsInput!$M$15,CHOOSE(ArtifactsInput!$N$15+1,25,30,35,40,45,50)/100*(Inputs!$B$12-Inputs!$B$12),0)))/100+(Inputs!$B$24+IF(ArtifactsInput!$M$15,CHOOSE(ArtifactsInput!$N$15+1,25,30,35,40,45,50)/100*(Inputs!$B$12-Inputs!$B$12),0))/100)/2</f>
        <v/>
      </c>
      <c r="M1295">
        <f>L1295*(1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5">
        <f>L1295*(1-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1295*(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5">
        <f>(1-Summary!$B$11)*S1295+Summary!$B$11*U1295</f>
        <v/>
      </c>
      <c r="P1295">
        <f>IF(B1330=0,0,O1295/B1330)</f>
        <v/>
      </c>
      <c r="Q1295">
        <f>IFERROR(1/(IF(Inputs!$B$39="pvp",15,MAX(0.1,Skills!D8-IF(Skills!E8=TRUE,Inputs!$B$33,0)))*(1-IF(AND(ArtifactsInput!$M$27,Inputs!$B$4="Chapter Hunt"),CHOOSE(ArtifactsInput!$N$27+1,20,24,28,32,36,40),0)/100)),0)</f>
        <v/>
      </c>
      <c r="R1295">
        <f>IF(AND(Inputs!$B$39&lt;&gt;"pvp",Inputs!$B$44&gt;0),IF(MAX(0,Inputs!$B$44-B1327)&lt;=0,0,(INT(MAX(0,Inputs!$B$44-B1327)/(IF(Inputs!$B$39="pvp",15,MAX(0.1,Skills!D8-IF(Skills!E8=TRUE,Inputs!$B$33,0)))*(1-IF(AND(ArtifactsInput!$M$27,Inputs!$B$4="Chapter Hunt"),CHOOSE(ArtifactsInput!$N$27+1,20,24,28,32,36,40),0)/100)))+1)),0)</f>
        <v/>
      </c>
      <c r="S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$21+Skills!O8+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1295*(1-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1295*(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1295*(1-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1295*(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$22+Skills!P8+B1319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6">
      <c r="A1296">
        <f>Skills!A9</f>
        <v/>
      </c>
      <c r="B1296">
        <f>Skills!B9</f>
        <v/>
      </c>
      <c r="C1296">
        <f>Inputs!$B$3&gt;=115</f>
        <v/>
      </c>
      <c r="D1296">
        <f>IF(Skills!C9=1,60+Inputs!$B$26+Inputs!$B$30,IF(Skills!C9=2,90+Inputs!$B$27+Inputs!$B$30,IF(Skills!C9=3,120+Inputs!$B$28+Inputs!$B$30,MAX(0,(Inputs!$B$3-100)*3)+Inputs!$B$29+Inputs!$B$30)))</f>
        <v/>
      </c>
      <c r="E1296">
        <f>INDEX(FactorTable!$B$2:$Y$301, MATCH(ROUND(MIN(300,MAX(1,D1296)),0), FactorTable!$A$2:$A$301,0), Skills!L9+1)</f>
        <v/>
      </c>
      <c r="F1296">
        <f>IF(Skills!M9=TRUE,(Skills!K9/10)*(E1296/1000),Skills!K9/10)+Skills!N9</f>
        <v/>
      </c>
      <c r="G1296">
        <f>Calc!G9</f>
        <v/>
      </c>
      <c r="H1296">
        <f>Calc!H9</f>
        <v/>
      </c>
      <c r="I1296">
        <f>IF(Skills!T9&lt;&gt;"",1+(Skills!T9/10)*($Z$3/1000)/100,1)</f>
        <v/>
      </c>
      <c r="J1296">
        <f>((Inputs!$B$6*(1+Inputs!$B$7/100))+(((Inputs!$B$13*(1+Inputs!$B$14/100))-(Inputs!$B$13*(1+Inputs!$B$14/100)))+0.25*(Inputs!$B$15-Inputs!$B$15))*(1+Inputs!$B$7/100))*(F1296/100)</f>
        <v/>
      </c>
      <c r="K1296">
        <f>J1296*(1+(((Inputs!$B$13+IF(Inputs!$B$3&gt;=35,(10*INDEX(FactorTable!$B$2:$Y$301,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9="TRIUMPH_FEATHER",IF(C1303=TRUE,F1303,0),0)/100)*(1+IF(C1314=TRUE,F1314,0)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1296)</f>
        <v/>
      </c>
      <c r="L1296">
        <f>K1296*(MIN(Inputs!$B$23+(F1309-Calc!F22),(Inputs!$B$24+IF(ArtifactsInput!$M$15,CHOOSE(ArtifactsInput!$N$15+1,25,30,35,40,45,50)/100*(Inputs!$B$12-Inputs!$B$12),0)))/100+(Inputs!$B$24+IF(ArtifactsInput!$M$15,CHOOSE(ArtifactsInput!$N$15+1,25,30,35,40,45,50)/100*(Inputs!$B$12-Inputs!$B$12),0))/100)/2</f>
        <v/>
      </c>
      <c r="M1296">
        <f>L1296*(1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6">
        <f>L1296*(1-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(1-Summary!$B$11)*S1296+Summary!$B$11*U1296</f>
        <v/>
      </c>
      <c r="P1296">
        <f>IF(B1330=0,0,O1296/B1330)</f>
        <v/>
      </c>
      <c r="Q1296">
        <f>IFERROR(1/(IF(Inputs!$B$39="pvp",15,MAX(0.1,Skills!D9-IF(Skills!E9=TRUE,Inputs!$B$33,0)))*(1-IF(AND(ArtifactsInput!$M$27,Inputs!$B$4="Chapter Hunt"),CHOOSE(ArtifactsInput!$N$27+1,20,24,28,32,36,40),0)/100)),0)</f>
        <v/>
      </c>
      <c r="R1296">
        <f>IF(AND(Inputs!$B$39&lt;&gt;"pvp",Inputs!$B$44&gt;0),IF(MAX(0,Inputs!$B$44-B1327)&lt;=0,0,(INT(MAX(0,Inputs!$B$44-B1327)/(IF(Inputs!$B$39="pvp",15,MAX(0.1,Skills!D9-IF(Skills!E9=TRUE,Inputs!$B$33,0)))*(1-IF(AND(ArtifactsInput!$M$27,Inputs!$B$4="Chapter Hunt"),CHOOSE(ArtifactsInput!$N$27+1,20,24,28,32,36,40),0)/100)))+1)),0)</f>
        <v/>
      </c>
      <c r="S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$21+Skills!O9+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1296*(1-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$22+Skills!P9+B1319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Skills!A10</f>
        <v/>
      </c>
      <c r="B1297">
        <f>Skills!B10</f>
        <v/>
      </c>
      <c r="C1297">
        <f>Inputs!$B$3&gt;=66</f>
        <v/>
      </c>
      <c r="D1297">
        <f>IF(Skills!C10=1,60+Inputs!$B$26+Inputs!$B$30,IF(Skills!C10=2,90+Inputs!$B$27+Inputs!$B$30,IF(Skills!C10=3,120+Inputs!$B$28+Inputs!$B$30,MAX(0,(Inputs!$B$3-100)*3)+Inputs!$B$29+Inputs!$B$30)))</f>
        <v/>
      </c>
      <c r="E1297">
        <f>INDEX(FactorTable!$B$2:$Y$301, MATCH(ROUND(MIN(300,MAX(1,D1297)),0), FactorTable!$A$2:$A$301,0), Skills!L10+1)</f>
        <v/>
      </c>
      <c r="F1297" t="n">
        <v>0</v>
      </c>
      <c r="G1297">
        <f>Calc!G10</f>
        <v/>
      </c>
      <c r="H1297">
        <f>Calc!H10</f>
        <v/>
      </c>
      <c r="I1297">
        <f>IF(Skills!T10&lt;&gt;"",1+(Skills!T10/10)*($Z$3/1000)/100,1)</f>
        <v/>
      </c>
      <c r="J1297" t="inlineStr"/>
      <c r="K1297" t="inlineStr"/>
      <c r="L1297" t="inlineStr"/>
      <c r="M1297" t="inlineStr"/>
      <c r="N1297" t="inlineStr"/>
      <c r="O1297">
        <f>(1-Summary!$B$11)*S1297+Summary!$B$11*U1297</f>
        <v/>
      </c>
      <c r="P1297">
        <f>IF(B1330=0,0,O1297/B1330)</f>
        <v/>
      </c>
      <c r="Q1297">
        <f>IFERROR(1/(IF(Inputs!$B$39="pvp",15,MAX(0.1,Skills!D10-IF(Skills!E10=TRUE,Inputs!$B$33,0)))*(1-IF(AND(ArtifactsInput!$M$27,Inputs!$B$4="Chapter Hunt"),CHOOSE(ArtifactsInput!$N$27+1,20,24,28,32,36,40),0)/100)),0)</f>
        <v/>
      </c>
      <c r="R1297">
        <f>IF(AND(Inputs!$B$39&lt;&gt;"pvp",Inputs!$B$44&gt;0),IF(MAX(0,Inputs!$B$44-B1327)&lt;=0,0,(INT(MAX(0,Inputs!$B$44-B1327)/(IF(Inputs!$B$39="pvp",15,MAX(0.1,Skills!D10-IF(Skills!E10=TRUE,Inputs!$B$33,0)))*(1-IF(AND(ArtifactsInput!$M$27,Inputs!$B$4="Chapter Hunt"),CHOOSE(ArtifactsInput!$N$27+1,20,24,28,32,36,40),0)/100)))+1)),0)</f>
        <v/>
      </c>
      <c r="S1297" t="n">
        <v>0</v>
      </c>
      <c r="U1297" t="n">
        <v>0</v>
      </c>
    </row>
    <row r="1298">
      <c r="A1298">
        <f>Skills!A11</f>
        <v/>
      </c>
      <c r="B1298">
        <f>Skills!B11</f>
        <v/>
      </c>
      <c r="C1298">
        <f>Inputs!$B$3&gt;=69</f>
        <v/>
      </c>
      <c r="D1298">
        <f>IF(Skills!C11=1,60+Inputs!$B$26+Inputs!$B$30,IF(Skills!C11=2,90+Inputs!$B$27+Inputs!$B$30,IF(Skills!C11=3,120+Inputs!$B$28+Inputs!$B$30,MAX(0,(Inputs!$B$3-100)*3)+Inputs!$B$29+Inputs!$B$30)))</f>
        <v/>
      </c>
      <c r="E1298">
        <f>INDEX(FactorTable!$B$2:$Y$301, MATCH(ROUND(MIN(300,MAX(1,D1298)),0), FactorTable!$A$2:$A$301,0), Skills!L11+1)</f>
        <v/>
      </c>
      <c r="F1298">
        <f>IF(Skills!M11=TRUE,(Skills!K11/10)*(E1298/1000),Skills!K11/10)+Skills!N11</f>
        <v/>
      </c>
      <c r="G1298">
        <f>Calc!G11</f>
        <v/>
      </c>
      <c r="H1298">
        <f>Calc!H11</f>
        <v/>
      </c>
      <c r="I1298">
        <f>IF(Skills!T11&lt;&gt;"",1+(Skills!T11/10)*($Z$3/1000)/100,1)</f>
        <v/>
      </c>
      <c r="J1298" t="inlineStr"/>
      <c r="K1298" t="inlineStr"/>
      <c r="L1298" t="inlineStr"/>
      <c r="M1298" t="inlineStr"/>
      <c r="N1298" t="inlineStr"/>
      <c r="O1298">
        <f>(1-Summary!$B$11)*S1298+Summary!$B$11*U1298</f>
        <v/>
      </c>
      <c r="P1298">
        <f>IF(B1330=0,0,O1298/B1330)</f>
        <v/>
      </c>
      <c r="Q1298">
        <f>IFERROR(1/(IF(Inputs!$B$39="pvp",15,MAX(0.1,Skills!D11-IF(Skills!E11=TRUE,Inputs!$B$33,0)))*(1-IF(AND(ArtifactsInput!$M$27,Inputs!$B$4="Chapter Hunt"),CHOOSE(ArtifactsInput!$N$27+1,20,24,28,32,36,40),0)/100)),0)</f>
        <v/>
      </c>
      <c r="R1298">
        <f>IF(AND(Inputs!$B$39&lt;&gt;"pvp",Inputs!$B$44&gt;0),IF(Inputs!$B$44&lt;=0,0,(INT(Inputs!$B$44/(IF(Inputs!$B$39="pvp",15,MAX(0.1,Skills!D11-IF(Skills!E11=TRUE,Inputs!$B$33,0)))*(1-IF(AND(ArtifactsInput!$M$27,Inputs!$B$4="Chapter Hunt"),CHOOSE(ArtifactsInput!$N$27+1,20,24,28,32,36,40),0)/100)))+1)),0)</f>
        <v/>
      </c>
      <c r="S1298" t="n">
        <v>0</v>
      </c>
      <c r="U1298" t="n">
        <v>0</v>
      </c>
    </row>
    <row r="1299">
      <c r="A1299">
        <f>Skills!A12</f>
        <v/>
      </c>
      <c r="B1299">
        <f>Skills!B12</f>
        <v/>
      </c>
      <c r="C1299">
        <f>Inputs!$B$3&gt;=72</f>
        <v/>
      </c>
      <c r="D1299">
        <f>IF(Skills!C12=1,60+Inputs!$B$26+Inputs!$B$30,IF(Skills!C12=2,90+Inputs!$B$27+Inputs!$B$30,IF(Skills!C12=3,120+Inputs!$B$28+Inputs!$B$30,MAX(0,(Inputs!$B$3-100)*3)+Inputs!$B$29+Inputs!$B$30)))</f>
        <v/>
      </c>
      <c r="E1299">
        <f>INDEX(FactorTable!$B$2:$Y$301, MATCH(ROUND(MIN(300,MAX(1,D1299)),0), FactorTable!$A$2:$A$301,0), Skills!L12+1)</f>
        <v/>
      </c>
      <c r="F1299">
        <f>IF(Skills!M12=TRUE,(Skills!K12/10)*(E1299/1000),Skills!K12/10)+Skills!N12</f>
        <v/>
      </c>
      <c r="G1299">
        <f>Calc!G12</f>
        <v/>
      </c>
      <c r="H1299">
        <f>Calc!H12</f>
        <v/>
      </c>
      <c r="I1299">
        <f>IF(Skills!T12&lt;&gt;"",1+(Skills!T12/10)*($Z$3/1000)/100,1)</f>
        <v/>
      </c>
      <c r="J1299" t="inlineStr"/>
      <c r="K1299" t="inlineStr"/>
      <c r="L1299" t="inlineStr"/>
      <c r="M1299" t="inlineStr"/>
      <c r="N1299" t="inlineStr"/>
      <c r="O1299">
        <f>(1-Summary!$B$11)*S1299+Summary!$B$11*U1299</f>
        <v/>
      </c>
      <c r="P1299">
        <f>IF(B1330=0,0,O1299/B1330)</f>
        <v/>
      </c>
      <c r="Q1299">
        <f>IFERROR(1/(IF(Inputs!$B$39="pvp",15,MAX(0.1,Skills!D12-IF(Skills!E12=TRUE,Inputs!$B$33,0)))*(1-IF(AND(ArtifactsInput!$M$27,Inputs!$B$4="Chapter Hunt"),CHOOSE(ArtifactsInput!$N$27+1,20,24,28,32,36,40),0)/100)),0)</f>
        <v/>
      </c>
      <c r="R1299">
        <f>IF(AND(Inputs!$B$39&lt;&gt;"pvp",Inputs!$B$44&gt;0),IF(MAX(0,Inputs!$B$44-B1327)&lt;=0,0,(INT(MAX(0,Inputs!$B$44-B1327)/(IF(Inputs!$B$39="pvp",15,MAX(0.1,Skills!D12-IF(Skills!E12=TRUE,Inputs!$B$33,0)))*(1-IF(AND(ArtifactsInput!$M$27,Inputs!$B$4="Chapter Hunt"),CHOOSE(ArtifactsInput!$N$27+1,20,24,28,32,36,40),0)/100)))+1)),0)</f>
        <v/>
      </c>
      <c r="S1299" t="n">
        <v>0</v>
      </c>
      <c r="U1299" t="n">
        <v>0</v>
      </c>
    </row>
    <row r="1300">
      <c r="A1300">
        <f>Skills!A13</f>
        <v/>
      </c>
      <c r="B1300">
        <f>Skills!B13</f>
        <v/>
      </c>
      <c r="C1300">
        <f>Inputs!$B$3&gt;=60</f>
        <v/>
      </c>
      <c r="D1300">
        <f>IF(Skills!C13=1,60+Inputs!$B$26+Inputs!$B$30,IF(Skills!C13=2,90+Inputs!$B$27+Inputs!$B$30,IF(Skills!C13=3,120+Inputs!$B$28+Inputs!$B$30,MAX(0,(Inputs!$B$3-100)*3)+Inputs!$B$29+Inputs!$B$30)))</f>
        <v/>
      </c>
      <c r="E1300">
        <f>INDEX(FactorTable!$B$2:$Y$301, MATCH(ROUND(MIN(300,MAX(1,D1300)),0), FactorTable!$A$2:$A$301,0), Skills!L13+1)</f>
        <v/>
      </c>
      <c r="F1300">
        <f>IF(Skills!M13=TRUE,(Skills!K13/10)*(E1300/1000),Skills!K13/10)+Skills!N13</f>
        <v/>
      </c>
      <c r="G1300">
        <f>Calc!G13</f>
        <v/>
      </c>
      <c r="H1300">
        <f>Calc!H13</f>
        <v/>
      </c>
      <c r="I1300">
        <f>IF(Skills!T13&lt;&gt;"",1+(Skills!T13/10)*($Z$3/1000)/100,1)</f>
        <v/>
      </c>
      <c r="J1300" t="inlineStr"/>
      <c r="K1300" t="inlineStr"/>
      <c r="L1300" t="inlineStr"/>
      <c r="M1300" t="inlineStr"/>
      <c r="N1300" t="inlineStr"/>
      <c r="O1300">
        <f>(1-Summary!$B$11)*S1300+Summary!$B$11*U1300</f>
        <v/>
      </c>
      <c r="P1300">
        <f>IF(B1330=0,0,O1300/B1330)</f>
        <v/>
      </c>
      <c r="Q1300">
        <f>IFERROR(1/(IF(Inputs!$B$39="pvp",15,MAX(0.1,Skills!D13-IF(Skills!E13=TRUE,Inputs!$B$33,0)))*(1-IF(AND(ArtifactsInput!$M$27,Inputs!$B$4="Chapter Hunt"),CHOOSE(ArtifactsInput!$N$27+1,20,24,28,32,36,40),0)/100)),0)</f>
        <v/>
      </c>
      <c r="R1300">
        <f>IF(AND(Inputs!$B$39&lt;&gt;"pvp",Inputs!$B$44&gt;0),IF(MAX(0,Inputs!$B$44-B1327)&lt;=0,0,(INT(MAX(0,Inputs!$B$44-B1327)/(IF(Inputs!$B$39="pvp",15,MAX(0.1,Skills!D13-IF(Skills!E13=TRUE,Inputs!$B$33,0)))*(1-IF(AND(ArtifactsInput!$M$27,Inputs!$B$4="Chapter Hunt"),CHOOSE(ArtifactsInput!$N$27+1,20,24,28,32,36,40),0)/100)))+1)),0)</f>
        <v/>
      </c>
      <c r="S1300" t="n">
        <v>0</v>
      </c>
      <c r="U1300" t="n">
        <v>0</v>
      </c>
    </row>
    <row r="1301">
      <c r="A1301">
        <f>Skills!A14</f>
        <v/>
      </c>
      <c r="B1301">
        <f>Skills!B14</f>
        <v/>
      </c>
      <c r="C1301">
        <f>Inputs!$B$3&gt;=107</f>
        <v/>
      </c>
      <c r="D1301">
        <f>IF(Skills!C14=1,60+Inputs!$B$26+Inputs!$B$30,IF(Skills!C14=2,90+Inputs!$B$27+Inputs!$B$30,IF(Skills!C14=3,120+Inputs!$B$28+Inputs!$B$30,MAX(0,(Inputs!$B$3-100)*3)+Inputs!$B$29+Inputs!$B$30)))</f>
        <v/>
      </c>
      <c r="E1301">
        <f>INDEX(FactorTable!$B$2:$Y$301, MATCH(ROUND(MIN(300,MAX(1,D1301)),0), FactorTable!$A$2:$A$301,0), Skills!L14+1)</f>
        <v/>
      </c>
      <c r="F1301">
        <f>IF(Skills!M14=TRUE,(Skills!K14/10)*(E1301/1000),Skills!K14/10)+Skills!N14</f>
        <v/>
      </c>
      <c r="G1301">
        <f>Calc!G14</f>
        <v/>
      </c>
      <c r="H1301">
        <f>Calc!H14</f>
        <v/>
      </c>
      <c r="I1301">
        <f>IF(Skills!T14&lt;&gt;"",1+(Skills!T14/10)*($Z$3/1000)/100,1)</f>
        <v/>
      </c>
      <c r="J1301" t="inlineStr"/>
      <c r="K1301" t="inlineStr"/>
      <c r="L1301" t="inlineStr"/>
      <c r="M1301" t="inlineStr"/>
      <c r="N1301" t="inlineStr"/>
      <c r="O1301">
        <f>(1-Summary!$B$11)*S1301+Summary!$B$11*U1301</f>
        <v/>
      </c>
      <c r="P1301">
        <f>IF(B1330=0,0,O1301/B1330)</f>
        <v/>
      </c>
      <c r="Q1301">
        <f>IFERROR(1/(IF(Inputs!$B$39="pvp",15,MAX(0.1,Skills!D14-IF(Skills!E14=TRUE,Inputs!$B$33,0)))*(1-IF(AND(ArtifactsInput!$M$27,Inputs!$B$4="Chapter Hunt"),CHOOSE(ArtifactsInput!$N$27+1,20,24,28,32,36,40),0)/100)),0)</f>
        <v/>
      </c>
      <c r="R1301">
        <f>IF(AND(Inputs!$B$39&lt;&gt;"pvp",Inputs!$B$44&gt;0),IF(Inputs!$B$44&lt;=0,0,(INT(Inputs!$B$44/(IF(Inputs!$B$39="pvp",15,MAX(0.1,Skills!D14-IF(Skills!E14=TRUE,Inputs!$B$33,0)))*(1-IF(AND(ArtifactsInput!$M$27,Inputs!$B$4="Chapter Hunt"),CHOOSE(ArtifactsInput!$N$27+1,20,24,28,32,36,40),0)/100)))+1)),0)</f>
        <v/>
      </c>
      <c r="S1301" t="n">
        <v>0</v>
      </c>
      <c r="U1301" t="n">
        <v>0</v>
      </c>
    </row>
    <row r="1302">
      <c r="A1302">
        <f>Skills!A15</f>
        <v/>
      </c>
      <c r="B1302">
        <f>Skills!B15</f>
        <v/>
      </c>
      <c r="C1302">
        <f>Inputs!$B$3&gt;=63</f>
        <v/>
      </c>
      <c r="D1302">
        <f>IF(Skills!C15=1,60+Inputs!$B$26+Inputs!$B$30,IF(Skills!C15=2,90+Inputs!$B$27+Inputs!$B$30,IF(Skills!C15=3,120+Inputs!$B$28+Inputs!$B$30,MAX(0,(Inputs!$B$3-100)*3)+Inputs!$B$29+Inputs!$B$30)))</f>
        <v/>
      </c>
      <c r="E1302">
        <f>INDEX(FactorTable!$B$2:$Y$301, MATCH(ROUND(MIN(300,MAX(1,D1302)),0), FactorTable!$A$2:$A$301,0), Skills!L15+1)</f>
        <v/>
      </c>
      <c r="F1302">
        <f>IF(Skills!M15=TRUE,(Skills!K15/10)*(E1302/1000),Skills!K15/10)+Skills!N15</f>
        <v/>
      </c>
      <c r="G1302">
        <f>Calc!G15</f>
        <v/>
      </c>
      <c r="H1302">
        <f>Calc!H15</f>
        <v/>
      </c>
      <c r="I1302">
        <f>IF(Skills!T15&lt;&gt;"",1+(Skills!T15/10)*($Z$3/1000)/100,1)</f>
        <v/>
      </c>
      <c r="J1302">
        <f>((Inputs!$B$6*(1+Inputs!$B$7/100))+(((Inputs!$B$13*(1+Inputs!$B$14/100))-(Inputs!$B$13*(1+Inputs!$B$14/100)))+0.25*(Inputs!$B$15-Inputs!$B$15))*(1+Inputs!$B$7/100))*(F1302/100)</f>
        <v/>
      </c>
      <c r="K1302">
        <f>J1302*(1+(((Inputs!$B$13+IF(Inputs!$B$3&gt;=35,(10*INDEX(FactorTable!$B$2:$Y$301,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15="TRIUMPH_FEATHER",IF(C1303=TRUE,F1303,0),0)/100)*(1+IF(C1314=TRUE,F1314,0)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1302)</f>
        <v/>
      </c>
      <c r="L1302">
        <f>K1302*(MIN(Inputs!$B$23+(F1309-Calc!F22),(Inputs!$B$24+IF(ArtifactsInput!$M$15,CHOOSE(ArtifactsInput!$N$15+1,25,30,35,40,45,50)/100*(Inputs!$B$12-Inputs!$B$12),0)))/100+(Inputs!$B$24+IF(ArtifactsInput!$M$15,CHOOSE(ArtifactsInput!$N$15+1,25,30,35,40,45,50)/100*(Inputs!$B$12-Inputs!$B$12),0))/100)/2</f>
        <v/>
      </c>
      <c r="M1302">
        <f>L1302*(1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02">
        <f>L1302*(1-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(1-Summary!$B$11)*S1302+Summary!$B$11*U1302</f>
        <v/>
      </c>
      <c r="P1302">
        <f>IF(B1330=0,0,O1302/B1330)</f>
        <v/>
      </c>
      <c r="Q1302">
        <f>IFERROR(1/(IF(Inputs!$B$39="pvp",15,MAX(0.1,Skills!D15-IF(Skills!E15=TRUE,Inputs!$B$33,0)))*(1-IF(AND(ArtifactsInput!$M$27,Inputs!$B$4="Chapter Hunt"),CHOOSE(ArtifactsInput!$N$27+1,20,24,28,32,36,40),0)/100)),0)</f>
        <v/>
      </c>
      <c r="R1302" t="n">
        <v>0</v>
      </c>
      <c r="S1302">
        <f>IF(C1302,(Skills!F15*N1302*((IF(Inputs!$B$3&gt;=78,25,15)/100*B1323*10)/(1+IF(Inputs!$B$3&gt;=78,25,15)/100*B1323*10))*(Skills!I15/100*B1323)/(1+Skills!G15*Skills!I15/100*B1323))*IF(Inputs!$B$39="pvp",1,1+(Inputs!$B$21+Skills!O15+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1302*(1-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F(C1302,(Skills!F15*N1302*((IF(Inputs!$B$3&gt;=78,25,15)/100*B1323*10)/(1+IF(Inputs!$B$3&gt;=78,25,15)/100*B1323*10))*(Skills!I15/100*B1323)/(1+Skills!G15*Skills!I15/100*B1323))*IF(Inputs!$B$39="pvp",1,(1+(Inputs!$B$22+Skills!P15+B1319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Skills!A16</f>
        <v/>
      </c>
      <c r="B1303">
        <f>Skills!B16</f>
        <v/>
      </c>
      <c r="C1303">
        <f>Inputs!$B$3&gt;=100</f>
        <v/>
      </c>
      <c r="D1303">
        <f>IF(Skills!C16=1,60+Inputs!$B$26+Inputs!$B$30,IF(Skills!C16=2,90+Inputs!$B$27+Inputs!$B$30,IF(Skills!C16=3,120+Inputs!$B$28+Inputs!$B$30,MAX(0,(Inputs!$B$3-100)*3)+Inputs!$B$29+Inputs!$B$30)))</f>
        <v/>
      </c>
      <c r="E1303">
        <f>INDEX(FactorTable!$B$2:$Y$301, MATCH(ROUND(MIN(300,MAX(1,D1303)),0), FactorTable!$A$2:$A$301,0), Skills!L16+1)</f>
        <v/>
      </c>
      <c r="F1303">
        <f>IF(Skills!M16=TRUE,(Skills!K16/10)*(E1303/1000),Skills!K16/10)+Skills!N16</f>
        <v/>
      </c>
      <c r="G1303">
        <f>Calc!G16</f>
        <v/>
      </c>
      <c r="H1303">
        <f>Calc!H16</f>
        <v/>
      </c>
      <c r="I1303">
        <f>IF(Skills!T16&lt;&gt;"",1+(Skills!T16/10)*($Z$3/1000)/100,1)</f>
        <v/>
      </c>
      <c r="J1303" t="inlineStr"/>
      <c r="K1303" t="inlineStr"/>
      <c r="L1303" t="inlineStr"/>
      <c r="M1303" t="inlineStr"/>
      <c r="N1303" t="inlineStr"/>
      <c r="O1303">
        <f>(1-Summary!$B$11)*S1303+Summary!$B$11*U1303</f>
        <v/>
      </c>
      <c r="P1303">
        <f>IF(B1330=0,0,O1303/B1330)</f>
        <v/>
      </c>
      <c r="Q1303">
        <f>IFERROR(1/(IF(Inputs!$B$39="pvp",15,MAX(0.1,Skills!D16-IF(Skills!E16=TRUE,Inputs!$B$33,0)))*(1-IF(AND(ArtifactsInput!$M$27,Inputs!$B$4="Chapter Hunt"),CHOOSE(ArtifactsInput!$N$27+1,20,24,28,32,36,40),0)/100)),0)</f>
        <v/>
      </c>
      <c r="R1303" t="n">
        <v>0</v>
      </c>
      <c r="S1303" t="n">
        <v>0</v>
      </c>
      <c r="U1303" t="n">
        <v>0</v>
      </c>
    </row>
    <row r="1304">
      <c r="A1304">
        <f>Skills!A17</f>
        <v/>
      </c>
      <c r="B1304">
        <f>Skills!B17</f>
        <v/>
      </c>
      <c r="C1304">
        <f>Inputs!$B$3&gt;=49</f>
        <v/>
      </c>
      <c r="D1304">
        <f>IF(Skills!C17=1,60+Inputs!$B$26+Inputs!$B$30,IF(Skills!C17=2,90+Inputs!$B$27+Inputs!$B$30,IF(Skills!C17=3,120+Inputs!$B$28+Inputs!$B$30,MAX(0,(Inputs!$B$3-100)*3)+Inputs!$B$29+Inputs!$B$30)))</f>
        <v/>
      </c>
      <c r="E1304">
        <f>INDEX(FactorTable!$B$2:$Y$301, MATCH(ROUND(MIN(300,MAX(1,D1304)),0), FactorTable!$A$2:$A$301,0), Skills!L17+1)</f>
        <v/>
      </c>
      <c r="F1304">
        <f>IF(Skills!M17=TRUE,(Skills!K17/10)*(E1304/1000),Skills!K17/10)+Skills!N17</f>
        <v/>
      </c>
      <c r="G1304">
        <f>Calc!G17</f>
        <v/>
      </c>
      <c r="H1304">
        <f>Calc!H17</f>
        <v/>
      </c>
      <c r="I1304">
        <f>IF(Skills!T17&lt;&gt;"",1+(Skills!T17/10)*($Z$3/1000)/100,1)</f>
        <v/>
      </c>
      <c r="J1304" t="inlineStr"/>
      <c r="K1304" t="inlineStr"/>
      <c r="L1304" t="inlineStr"/>
      <c r="M1304" t="inlineStr"/>
      <c r="N1304" t="inlineStr"/>
      <c r="O1304">
        <f>(1-Summary!$B$11)*S1304+Summary!$B$11*U1304</f>
        <v/>
      </c>
      <c r="P1304">
        <f>IF(B1330=0,0,O1304/B1330)</f>
        <v/>
      </c>
      <c r="Q1304">
        <f>IFERROR(1/(IF(Inputs!$B$39="pvp",15,MAX(0.1,Skills!D17-IF(Skills!E17=TRUE,Inputs!$B$33,0)))*(1-IF(AND(ArtifactsInput!$M$27,Inputs!$B$4="Chapter Hunt"),CHOOSE(ArtifactsInput!$N$27+1,20,24,28,32,36,40),0)/100)),0)</f>
        <v/>
      </c>
      <c r="R1304" t="n">
        <v>0</v>
      </c>
      <c r="S1304" t="n">
        <v>0</v>
      </c>
      <c r="U1304" t="n">
        <v>0</v>
      </c>
    </row>
    <row r="1305">
      <c r="A1305">
        <f>Skills!A18</f>
        <v/>
      </c>
      <c r="B1305">
        <f>Skills!B18</f>
        <v/>
      </c>
      <c r="C1305">
        <f>Inputs!$B$3&gt;=75</f>
        <v/>
      </c>
      <c r="D1305">
        <f>IF(Skills!C18=1,60+Inputs!$B$26+Inputs!$B$30,IF(Skills!C18=2,90+Inputs!$B$27+Inputs!$B$30,IF(Skills!C18=3,120+Inputs!$B$28+Inputs!$B$30,MAX(0,(Inputs!$B$3-100)*3)+Inputs!$B$29+Inputs!$B$30)))</f>
        <v/>
      </c>
      <c r="E1305">
        <f>INDEX(FactorTable!$B$2:$Y$301, MATCH(ROUND(MIN(300,MAX(1,D1305)),0), FactorTable!$A$2:$A$301,0), Skills!L18+1)</f>
        <v/>
      </c>
      <c r="F1305">
        <f>IF(Skills!M18=TRUE,(Skills!K18/10)*(E1305/1000),Skills!K18/10)+Skills!N18</f>
        <v/>
      </c>
      <c r="G1305">
        <f>Calc!G18</f>
        <v/>
      </c>
      <c r="H1305">
        <f>Calc!H18</f>
        <v/>
      </c>
      <c r="I1305">
        <f>IF(Skills!T18&lt;&gt;"",1+(Skills!T18/10)*($Z$3/1000)/100,1)</f>
        <v/>
      </c>
      <c r="J1305" t="inlineStr"/>
      <c r="K1305" t="inlineStr"/>
      <c r="L1305" t="inlineStr"/>
      <c r="M1305" t="inlineStr"/>
      <c r="N1305" t="inlineStr"/>
      <c r="O1305">
        <f>(1-Summary!$B$11)*S1305+Summary!$B$11*U1305</f>
        <v/>
      </c>
      <c r="P1305">
        <f>IF(B1330=0,0,O1305/B1330)</f>
        <v/>
      </c>
      <c r="Q1305">
        <f>IFERROR(1/(IF(Inputs!$B$39="pvp",15,MAX(0.1,Skills!D18-IF(Skills!E18=TRUE,Inputs!$B$33,0)))*(1-IF(AND(ArtifactsInput!$M$27,Inputs!$B$4="Chapter Hunt"),CHOOSE(ArtifactsInput!$N$27+1,20,24,28,32,36,40),0)/100)),0)</f>
        <v/>
      </c>
      <c r="R1305" t="n">
        <v>0</v>
      </c>
      <c r="S1305" t="n">
        <v>0</v>
      </c>
      <c r="U1305" t="n">
        <v>0</v>
      </c>
    </row>
    <row r="1306">
      <c r="A1306">
        <f>Skills!A19</f>
        <v/>
      </c>
      <c r="B1306">
        <f>Skills!B19</f>
        <v/>
      </c>
      <c r="C1306">
        <f>Inputs!$B$3&gt;=110</f>
        <v/>
      </c>
      <c r="D1306">
        <f>IF(Skills!C19=1,60+Inputs!$B$26+Inputs!$B$30,IF(Skills!C19=2,90+Inputs!$B$27+Inputs!$B$30,IF(Skills!C19=3,120+Inputs!$B$28+Inputs!$B$30,MAX(0,(Inputs!$B$3-100)*3)+Inputs!$B$29+Inputs!$B$30)))</f>
        <v/>
      </c>
      <c r="E1306">
        <f>INDEX(FactorTable!$B$2:$Y$301, MATCH(ROUND(MIN(300,MAX(1,D1306)),0), FactorTable!$A$2:$A$301,0), Skills!L19+1)</f>
        <v/>
      </c>
      <c r="F1306">
        <f>(Skills!K19/10)*(E1306/1000)*64/45+Skills!N19</f>
        <v/>
      </c>
      <c r="G1306">
        <f>Calc!G19</f>
        <v/>
      </c>
      <c r="H1306">
        <f>Calc!H19</f>
        <v/>
      </c>
      <c r="I1306">
        <f>IF(Skills!T19&lt;&gt;"",1+(Skills!T19/10)*($Z$3/1000)/100,1)</f>
        <v/>
      </c>
      <c r="J1306" t="inlineStr"/>
      <c r="K1306" t="inlineStr"/>
      <c r="L1306" t="inlineStr"/>
      <c r="M1306" t="inlineStr"/>
      <c r="N1306" t="inlineStr"/>
      <c r="O1306">
        <f>(1-Summary!$B$11)*S1306+Summary!$B$11*U1306</f>
        <v/>
      </c>
      <c r="P1306">
        <f>IF(B1330=0,0,O1306/B1330)</f>
        <v/>
      </c>
      <c r="Q1306">
        <f>IFERROR(1/(IF(Inputs!$B$39="pvp",15,MAX(0.1,Skills!D19-IF(Skills!E19=TRUE,Inputs!$B$33,0)))*(1-IF(AND(ArtifactsInput!$M$27,Inputs!$B$4="Chapter Hunt"),CHOOSE(ArtifactsInput!$N$27+1,20,24,28,32,36,40),0)/100)),0)</f>
        <v/>
      </c>
      <c r="R1306">
        <f>IF(AND(Inputs!$B$39&lt;&gt;"pvp",Inputs!$B$44&gt;0),IF(Inputs!$B$44&lt;=0,0,(INT(Inputs!$B$44/(IF(Inputs!$B$39="pvp",15,MAX(0.1,Skills!D19-IF(Skills!E19=TRUE,Inputs!$B$33,0)))*(1-IF(AND(ArtifactsInput!$M$27,Inputs!$B$4="Chapter Hunt"),CHOOSE(ArtifactsInput!$N$27+1,20,24,28,32,36,40),0)/100)))+1)),0)</f>
        <v/>
      </c>
      <c r="S1306" t="n">
        <v>0</v>
      </c>
      <c r="U1306" t="n">
        <v>0</v>
      </c>
    </row>
    <row r="1307">
      <c r="A1307">
        <f>Skills!A20</f>
        <v/>
      </c>
      <c r="B1307">
        <f>Skills!B20</f>
        <v/>
      </c>
      <c r="C1307">
        <f>Inputs!$B$3&gt;=125</f>
        <v/>
      </c>
      <c r="D1307">
        <f>IF(Skills!C20=1,60+Inputs!$B$26+Inputs!$B$30,IF(Skills!C20=2,90+Inputs!$B$27+Inputs!$B$30,IF(Skills!C20=3,120+Inputs!$B$28+Inputs!$B$30,MAX(0,(Inputs!$B$3-100)*3)+Inputs!$B$29+Inputs!$B$30)))</f>
        <v/>
      </c>
      <c r="E1307">
        <f>INDEX(FactorTable!$B$2:$Y$301, MATCH(ROUND(MIN(300,MAX(1,D1307)),0), FactorTable!$A$2:$A$301,0), Skills!L20+1)</f>
        <v/>
      </c>
      <c r="F1307">
        <f>IF(Skills!M20=TRUE,(Skills!K20/10)*(E1307/1000),Skills!K20/10)+Skills!N20</f>
        <v/>
      </c>
      <c r="G1307">
        <f>Calc!G20</f>
        <v/>
      </c>
      <c r="H1307">
        <f>Calc!H20</f>
        <v/>
      </c>
      <c r="I1307">
        <f>IF(Skills!T20&lt;&gt;"",1+(Skills!T20/10)*($Z$3/1000)/100,1)</f>
        <v/>
      </c>
      <c r="J1307" t="inlineStr"/>
      <c r="K1307" t="inlineStr"/>
      <c r="L1307" t="inlineStr"/>
      <c r="M1307" t="inlineStr"/>
      <c r="N1307" t="inlineStr"/>
      <c r="O1307">
        <f>(1-Summary!$B$11)*S1307+Summary!$B$11*U1307</f>
        <v/>
      </c>
      <c r="P1307">
        <f>IF(B1330=0,0,O1307/B1330)</f>
        <v/>
      </c>
      <c r="Q1307">
        <f>IFERROR(1/(IF(Inputs!$B$39="pvp",15,MAX(0.1,Skills!D20-IF(Skills!E20=TRUE,Inputs!$B$33,0)))*(1-IF(AND(ArtifactsInput!$M$27,Inputs!$B$4="Chapter Hunt"),CHOOSE(ArtifactsInput!$N$27+1,20,24,28,32,36,40),0)/100)),0)</f>
        <v/>
      </c>
      <c r="R1307" t="n">
        <v>0</v>
      </c>
      <c r="S1307" t="n">
        <v>0</v>
      </c>
      <c r="U1307" t="n">
        <v>0</v>
      </c>
    </row>
    <row r="1308">
      <c r="A1308">
        <f>Skills!A21</f>
        <v/>
      </c>
      <c r="B1308">
        <f>Skills!B21</f>
        <v/>
      </c>
      <c r="C1308">
        <f>Inputs!$B$3&gt;=33</f>
        <v/>
      </c>
      <c r="D1308">
        <f>IF(Skills!C21=1,60+Inputs!$B$26+Inputs!$B$30,IF(Skills!C21=2,90+Inputs!$B$27+Inputs!$B$30,IF(Skills!C21=3,120+Inputs!$B$28+Inputs!$B$30,MAX(0,(Inputs!$B$3-100)*3)+Inputs!$B$29+Inputs!$B$30)))</f>
        <v/>
      </c>
      <c r="E1308">
        <f>INDEX(FactorTable!$B$2:$Y$301, MATCH(ROUND(MIN(300,MAX(1,D1308)),0), FactorTable!$A$2:$A$301,0), Skills!L21+1)</f>
        <v/>
      </c>
      <c r="F1308">
        <f>IF(Skills!M21=TRUE,(Skills!K21/10)*(E1308/1000),Skills!K21/10)+Skills!N21</f>
        <v/>
      </c>
      <c r="G1308">
        <f>Calc!G21</f>
        <v/>
      </c>
      <c r="H1308">
        <f>Calc!H21</f>
        <v/>
      </c>
      <c r="I1308">
        <f>IF(Skills!T21&lt;&gt;"",1+(Skills!T21/10)*($Z$3/1000)/100,1)</f>
        <v/>
      </c>
      <c r="J1308" t="inlineStr"/>
      <c r="K1308" t="inlineStr"/>
      <c r="L1308" t="inlineStr"/>
      <c r="M1308" t="inlineStr"/>
      <c r="N1308" t="inlineStr"/>
      <c r="O1308">
        <f>(1-Summary!$B$11)*S1308+Summary!$B$11*U1308</f>
        <v/>
      </c>
      <c r="P1308">
        <f>IF(B1330=0,0,O1308/B1330)</f>
        <v/>
      </c>
      <c r="Q1308">
        <f>IFERROR(1/(IF(Inputs!$B$39="pvp",15,MAX(0.1,Skills!D21-IF(Skills!E21=TRUE,Inputs!$B$33,0)))*(1-IF(AND(ArtifactsInput!$M$27,Inputs!$B$4="Chapter Hunt"),CHOOSE(ArtifactsInput!$N$27+1,20,24,28,32,36,40),0)/100)),0)</f>
        <v/>
      </c>
      <c r="R1308" t="n">
        <v>0</v>
      </c>
      <c r="S1308" t="n">
        <v>0</v>
      </c>
      <c r="U1308" t="n">
        <v>0</v>
      </c>
    </row>
    <row r="1309">
      <c r="A1309">
        <f>Skills!A22</f>
        <v/>
      </c>
      <c r="B1309">
        <f>Skills!B22</f>
        <v/>
      </c>
      <c r="C1309">
        <f>Inputs!$B$3&gt;=43</f>
        <v/>
      </c>
      <c r="D1309">
        <f>IF(Skills!C22=1,60+Inputs!$B$26+Inputs!$B$30,IF(Skills!C22=2,90+Inputs!$B$27+Inputs!$B$30,IF(Skills!C22=3,120+Inputs!$B$28+Inputs!$B$30,MAX(0,(Inputs!$B$3-100)*3)+Inputs!$B$29+Inputs!$B$30)))</f>
        <v/>
      </c>
      <c r="E1309">
        <f>INDEX(FactorTable!$B$2:$Y$301, MATCH(ROUND(MIN(300,MAX(1,D1309)),0), FactorTable!$A$2:$A$301,0), Skills!L22+1)</f>
        <v/>
      </c>
      <c r="F1309">
        <f>IF(Skills!M22=TRUE,(Skills!K22/10)*(E1309/1000),Skills!K22/10)+Skills!N22</f>
        <v/>
      </c>
      <c r="G1309">
        <f>Calc!G22</f>
        <v/>
      </c>
      <c r="H1309">
        <f>Calc!H22</f>
        <v/>
      </c>
      <c r="I1309">
        <f>IF(Skills!T22&lt;&gt;"",1+(Skills!T22/10)*($Z$3/1000)/100,1)</f>
        <v/>
      </c>
      <c r="J1309" t="inlineStr"/>
      <c r="K1309" t="inlineStr"/>
      <c r="L1309" t="inlineStr"/>
      <c r="M1309" t="inlineStr"/>
      <c r="N1309" t="inlineStr"/>
      <c r="O1309">
        <f>(1-Summary!$B$11)*S1309+Summary!$B$11*U1309</f>
        <v/>
      </c>
      <c r="P1309">
        <f>IF(B1330=0,0,O1309/B1330)</f>
        <v/>
      </c>
      <c r="Q1309">
        <f>IFERROR(1/(IF(Inputs!$B$39="pvp",15,MAX(0.1,Skills!D22-IF(Skills!E22=TRUE,Inputs!$B$33,0)))*(1-IF(AND(ArtifactsInput!$M$27,Inputs!$B$4="Chapter Hunt"),CHOOSE(ArtifactsInput!$N$27+1,20,24,28,32,36,40),0)/100)),0)</f>
        <v/>
      </c>
      <c r="R1309" t="n">
        <v>0</v>
      </c>
      <c r="S1309" t="n">
        <v>0</v>
      </c>
      <c r="U1309" t="n">
        <v>0</v>
      </c>
    </row>
    <row r="1310">
      <c r="A1310">
        <f>Skills!A23</f>
        <v/>
      </c>
      <c r="B1310">
        <f>Skills!B23</f>
        <v/>
      </c>
      <c r="C1310">
        <f>Inputs!$B$3&gt;=50</f>
        <v/>
      </c>
      <c r="D1310">
        <f>IF(Skills!C23=1,60+Inputs!$B$26+Inputs!$B$30,IF(Skills!C23=2,90+Inputs!$B$27+Inputs!$B$30,IF(Skills!C23=3,120+Inputs!$B$28+Inputs!$B$30,MAX(0,(Inputs!$B$3-100)*3)+Inputs!$B$29+Inputs!$B$30)))</f>
        <v/>
      </c>
      <c r="E1310">
        <f>INDEX(FactorTable!$B$2:$Y$301, MATCH(ROUND(MIN(300,MAX(1,D1310)),0), FactorTable!$A$2:$A$301,0), Skills!L23+1)</f>
        <v/>
      </c>
      <c r="F1310">
        <f>IF(Skills!M23=TRUE,(Skills!K23/10)*(E1310/1000),Skills!K23/10)+Skills!N23</f>
        <v/>
      </c>
      <c r="G1310">
        <f>Calc!G23</f>
        <v/>
      </c>
      <c r="H1310">
        <f>Calc!H23</f>
        <v/>
      </c>
      <c r="I1310">
        <f>IF(Skills!T23&lt;&gt;"",1+(Skills!T23/10)*($Z$3/1000)/100,1)</f>
        <v/>
      </c>
      <c r="J1310" t="inlineStr"/>
      <c r="K1310" t="inlineStr"/>
      <c r="L1310" t="inlineStr"/>
      <c r="M1310" t="inlineStr"/>
      <c r="N1310" t="inlineStr"/>
      <c r="O1310">
        <f>(1-Summary!$B$11)*S1310+Summary!$B$11*U1310</f>
        <v/>
      </c>
      <c r="P1310">
        <f>IF(B1330=0,0,O1310/B1330)</f>
        <v/>
      </c>
      <c r="Q1310">
        <f>IFERROR(1/(IF(Inputs!$B$39="pvp",15,MAX(0.1,Skills!D23-IF(Skills!E23=TRUE,Inputs!$B$33,0)))*(1-IF(AND(ArtifactsInput!$M$27,Inputs!$B$4="Chapter Hunt"),CHOOSE(ArtifactsInput!$N$27+1,20,24,28,32,36,40),0)/100)),0)</f>
        <v/>
      </c>
      <c r="R1310" t="n">
        <v>0</v>
      </c>
      <c r="S1310" t="n">
        <v>0</v>
      </c>
      <c r="U1310" t="n">
        <v>0</v>
      </c>
    </row>
    <row r="1311">
      <c r="A1311">
        <f>Skills!A24</f>
        <v/>
      </c>
      <c r="B1311">
        <f>Skills!B24</f>
        <v/>
      </c>
      <c r="C1311">
        <f>Inputs!$B$3&gt;=74</f>
        <v/>
      </c>
      <c r="D1311">
        <f>IF(Skills!C24=1,60+Inputs!$B$26+Inputs!$B$30,IF(Skills!C24=2,90+Inputs!$B$27+Inputs!$B$30,IF(Skills!C24=3,120+Inputs!$B$28+Inputs!$B$30,MAX(0,(Inputs!$B$3-100)*3)+Inputs!$B$29+Inputs!$B$30)))</f>
        <v/>
      </c>
      <c r="E1311">
        <f>INDEX(FactorTable!$B$2:$Y$301, MATCH(ROUND(MIN(300,MAX(1,D1311)),0), FactorTable!$A$2:$A$301,0), Skills!L24+1)</f>
        <v/>
      </c>
      <c r="F1311">
        <f>IF(Skills!M24=TRUE,(Skills!K24/10)*(E1311/1000),Skills!K24/10)+Skills!N24</f>
        <v/>
      </c>
      <c r="G1311">
        <f>Calc!G24</f>
        <v/>
      </c>
      <c r="H1311">
        <f>Calc!H24</f>
        <v/>
      </c>
      <c r="I1311">
        <f>IF(Skills!T24&lt;&gt;"",1+(Skills!T24/10)*($Z$3/1000)/100,1)</f>
        <v/>
      </c>
      <c r="J1311" t="inlineStr"/>
      <c r="K1311" t="inlineStr"/>
      <c r="L1311" t="inlineStr"/>
      <c r="M1311" t="inlineStr"/>
      <c r="N1311" t="inlineStr"/>
      <c r="O1311">
        <f>(1-Summary!$B$11)*S1311+Summary!$B$11*U1311</f>
        <v/>
      </c>
      <c r="P1311">
        <f>IF(B1330=0,0,O1311/B1330)</f>
        <v/>
      </c>
      <c r="Q1311">
        <f>IFERROR(1/(IF(Inputs!$B$39="pvp",15,MAX(0.1,Skills!D24-IF(Skills!E24=TRUE,Inputs!$B$33,0)))*(1-IF(AND(ArtifactsInput!$M$27,Inputs!$B$4="Chapter Hunt"),CHOOSE(ArtifactsInput!$N$27+1,20,24,28,32,36,40),0)/100)),0)</f>
        <v/>
      </c>
      <c r="R1311" t="n">
        <v>0</v>
      </c>
      <c r="S1311" t="n">
        <v>0</v>
      </c>
      <c r="U1311" t="n">
        <v>0</v>
      </c>
    </row>
    <row r="1312">
      <c r="A1312">
        <f>Skills!A25</f>
        <v/>
      </c>
      <c r="B1312">
        <f>Skills!B25</f>
        <v/>
      </c>
      <c r="C1312">
        <f>Inputs!$B$3&gt;=74</f>
        <v/>
      </c>
      <c r="D1312">
        <f>IF(Skills!C25=1,60+Inputs!$B$26+Inputs!$B$30,IF(Skills!C25=2,90+Inputs!$B$27+Inputs!$B$30,IF(Skills!C25=3,120+Inputs!$B$28+Inputs!$B$30,MAX(0,(Inputs!$B$3-100)*3)+Inputs!$B$29+Inputs!$B$30)))</f>
        <v/>
      </c>
      <c r="E1312">
        <f>INDEX(FactorTable!$B$2:$Y$301, MATCH(ROUND(MIN(300,MAX(1,D1312)),0), FactorTable!$A$2:$A$301,0), Skills!L25+1)</f>
        <v/>
      </c>
      <c r="F1312">
        <f>IF(Skills!M25=TRUE,(Skills!K25/10)*(E1312/1000),Skills!K25/10)+Skills!N25</f>
        <v/>
      </c>
      <c r="G1312">
        <f>Calc!G25</f>
        <v/>
      </c>
      <c r="H1312">
        <f>Calc!H25</f>
        <v/>
      </c>
      <c r="I1312">
        <f>IF(Skills!T25&lt;&gt;"",1+(Skills!T25/10)*($Z$3/1000)/100,1)</f>
        <v/>
      </c>
      <c r="J1312" t="inlineStr"/>
      <c r="K1312" t="inlineStr"/>
      <c r="L1312" t="inlineStr"/>
      <c r="M1312" t="inlineStr"/>
      <c r="N1312" t="inlineStr"/>
      <c r="O1312">
        <f>(1-Summary!$B$11)*S1312+Summary!$B$11*U1312</f>
        <v/>
      </c>
      <c r="P1312">
        <f>IF(B1330=0,0,O1312/B1330)</f>
        <v/>
      </c>
      <c r="Q1312">
        <f>IFERROR(1/(IF(Inputs!$B$39="pvp",15,MAX(0.1,Skills!D25-IF(Skills!E25=TRUE,Inputs!$B$33,0)))*(1-IF(AND(ArtifactsInput!$M$27,Inputs!$B$4="Chapter Hunt"),CHOOSE(ArtifactsInput!$N$27+1,20,24,28,32,36,40),0)/100)),0)</f>
        <v/>
      </c>
      <c r="R1312" t="n">
        <v>0</v>
      </c>
      <c r="S1312" t="n">
        <v>0</v>
      </c>
      <c r="U1312" t="n">
        <v>0</v>
      </c>
    </row>
    <row r="1313">
      <c r="A1313">
        <f>Skills!A26</f>
        <v/>
      </c>
      <c r="B1313">
        <f>Skills!B26</f>
        <v/>
      </c>
      <c r="C1313">
        <f>Inputs!$B$3&gt;=117</f>
        <v/>
      </c>
      <c r="D1313">
        <f>IF(Skills!C26=1,60+Inputs!$B$26+Inputs!$B$30,IF(Skills!C26=2,90+Inputs!$B$27+Inputs!$B$30,IF(Skills!C26=3,120+Inputs!$B$28+Inputs!$B$30,MAX(0,(Inputs!$B$3-100)*3)+Inputs!$B$29+Inputs!$B$30)))</f>
        <v/>
      </c>
      <c r="E1313">
        <f>INDEX(FactorTable!$B$2:$Y$301, MATCH(ROUND(MIN(300,MAX(1,D1313)),0), FactorTable!$A$2:$A$301,0), Skills!L26+1)</f>
        <v/>
      </c>
      <c r="F1313">
        <f>IF(Skills!M26=TRUE,(Skills!K26/10)*(E1313/1000),Skills!K26/10)+Skills!N26</f>
        <v/>
      </c>
      <c r="G1313">
        <f>Calc!G26</f>
        <v/>
      </c>
      <c r="H1313">
        <f>Calc!H26</f>
        <v/>
      </c>
      <c r="I1313">
        <f>IF(Skills!T26&lt;&gt;"",1+(Skills!T26/10)*($Z$3/1000)/100,1)</f>
        <v/>
      </c>
      <c r="J1313" t="inlineStr"/>
      <c r="K1313" t="inlineStr"/>
      <c r="L1313" t="inlineStr"/>
      <c r="M1313" t="inlineStr"/>
      <c r="N1313" t="inlineStr"/>
      <c r="O1313">
        <f>(1-Summary!$B$11)*S1313+Summary!$B$11*U1313</f>
        <v/>
      </c>
      <c r="P1313">
        <f>IF(B1330=0,0,O1313/B1330)</f>
        <v/>
      </c>
      <c r="Q1313">
        <f>IFERROR(1/(IF(Inputs!$B$39="pvp",15,MAX(0.1,Skills!D26-IF(Skills!E26=TRUE,Inputs!$B$33,0)))*(1-IF(AND(ArtifactsInput!$M$27,Inputs!$B$4="Chapter Hunt"),CHOOSE(ArtifactsInput!$N$27+1,20,24,28,32,36,40),0)/100)),0)</f>
        <v/>
      </c>
      <c r="R1313" t="n">
        <v>0</v>
      </c>
      <c r="S1313" t="n">
        <v>0</v>
      </c>
      <c r="U1313" t="n">
        <v>0</v>
      </c>
    </row>
    <row r="1314">
      <c r="A1314">
        <f>Skills!A27</f>
        <v/>
      </c>
      <c r="B1314">
        <f>Skills!B27</f>
        <v/>
      </c>
      <c r="C1314">
        <f>Inputs!$B$3&gt;=120</f>
        <v/>
      </c>
      <c r="D1314">
        <f>IF(Skills!C27=1,60+Inputs!$B$26+Inputs!$B$30,IF(Skills!C27=2,90+Inputs!$B$27+Inputs!$B$30,IF(Skills!C27=3,120+Inputs!$B$28+Inputs!$B$30,MAX(0,(Inputs!$B$3-100)*3)+Inputs!$B$29+Inputs!$B$30)))</f>
        <v/>
      </c>
      <c r="E1314">
        <f>INDEX(FactorTable!$B$2:$Y$301, MATCH(ROUND(MIN(300,MAX(1,D1314)),0), FactorTable!$A$2:$A$301,0), Skills!L27+1)</f>
        <v/>
      </c>
      <c r="F1314">
        <f>IF(Skills!M27=TRUE,(Skills!K27/10)*(E1314/1000),Skills!K27/10)+Skills!N27</f>
        <v/>
      </c>
      <c r="G1314">
        <f>Calc!G27</f>
        <v/>
      </c>
      <c r="H1314">
        <f>Calc!H27</f>
        <v/>
      </c>
      <c r="I1314">
        <f>IF(Skills!T27&lt;&gt;"",1+(Skills!T27/10)*($Z$3/1000)/100,1)</f>
        <v/>
      </c>
      <c r="J1314" t="inlineStr"/>
      <c r="K1314" t="inlineStr"/>
      <c r="L1314" t="inlineStr"/>
      <c r="M1314" t="inlineStr"/>
      <c r="N1314" t="inlineStr"/>
      <c r="O1314">
        <f>(1-Summary!$B$11)*S1314+Summary!$B$11*U1314</f>
        <v/>
      </c>
      <c r="P1314">
        <f>IF(B1330=0,0,O1314/B1330)</f>
        <v/>
      </c>
      <c r="Q1314">
        <f>IFERROR(1/(IF(Inputs!$B$39="pvp",15,MAX(0.1,Skills!D27-IF(Skills!E27=TRUE,Inputs!$B$33,0)))*(1-IF(AND(ArtifactsInput!$M$27,Inputs!$B$4="Chapter Hunt"),CHOOSE(ArtifactsInput!$N$27+1,20,24,28,32,36,40),0)/100)),0)</f>
        <v/>
      </c>
      <c r="R1314" t="n">
        <v>0</v>
      </c>
      <c r="S1314" t="n">
        <v>0</v>
      </c>
      <c r="U1314" t="n">
        <v>0</v>
      </c>
    </row>
    <row r="1315">
      <c r="A1315">
        <f>Skills!A28</f>
        <v/>
      </c>
      <c r="B1315">
        <f>Skills!B28</f>
        <v/>
      </c>
      <c r="C1315">
        <f>TRUE</f>
        <v/>
      </c>
      <c r="D1315">
        <f>IF(Skills!C28=1,60+Inputs!$B$26+Inputs!$B$30,IF(Skills!C28=2,90+Inputs!$B$27+Inputs!$B$30,IF(Skills!C28=3,120+Inputs!$B$28+Inputs!$B$30,MAX(0,(Inputs!$B$3-100)*3)+Inputs!$B$29+Inputs!$B$30)))</f>
        <v/>
      </c>
      <c r="E1315">
        <f>INDEX(FactorTable!$B$2:$Y$301, MATCH(ROUND(MIN(300,MAX(1,D1315)),0), FactorTable!$A$2:$A$301,0), Skills!L28+1)</f>
        <v/>
      </c>
      <c r="F1315">
        <f>IF(Skills!M28=TRUE,(Skills!K28/10)*(E1315/1000),Skills!K28/10)+Skills!N28</f>
        <v/>
      </c>
      <c r="G1315">
        <f>Calc!G28</f>
        <v/>
      </c>
      <c r="H1315">
        <f>Calc!H28</f>
        <v/>
      </c>
      <c r="I1315">
        <f>IF(Skills!T28&lt;&gt;"",1+(Skills!T28/10)*($Z$3/1000)/100,1)</f>
        <v/>
      </c>
      <c r="J1315" t="inlineStr"/>
      <c r="K1315" t="inlineStr"/>
      <c r="L1315" t="inlineStr"/>
      <c r="M1315" t="inlineStr"/>
      <c r="N1315" t="inlineStr"/>
      <c r="O1315">
        <f>(1-Summary!$B$11)*S1315+Summary!$B$11*U1315</f>
        <v/>
      </c>
      <c r="P1315">
        <f>IF(B1330=0,0,O1315/B1330)</f>
        <v/>
      </c>
      <c r="Q1315">
        <f>IFERROR(1/(IF(Inputs!$B$39="pvp",15,MAX(0.1,Skills!D28-IF(Skills!E28=TRUE,Inputs!$B$33,0)))*(1-IF(AND(ArtifactsInput!$M$27,Inputs!$B$4="Chapter Hunt"),CHOOSE(ArtifactsInput!$N$27+1,20,24,28,32,36,40),0)/100)),0)</f>
        <v/>
      </c>
      <c r="R1315">
        <f>IF(AND(Inputs!$B$39&lt;&gt;"pvp",Inputs!$B$44&gt;0),IF(Inputs!$B$44&lt;=0,0,(INT(Inputs!$B$44/(IF(Inputs!$B$39="pvp",15,MAX(0.1,Skills!D28-IF(Skills!E28=TRUE,Inputs!$B$33,0)))*(1-IF(AND(ArtifactsInput!$M$27,Inputs!$B$4="Chapter Hunt"),CHOOSE(ArtifactsInput!$N$27+1,20,24,28,32,36,40),0)/100)))+1)),0)</f>
        <v/>
      </c>
      <c r="S1315" t="n">
        <v>0</v>
      </c>
      <c r="U1315" t="n">
        <v>0</v>
      </c>
    </row>
    <row r="1317">
      <c r="A1317" t="inlineStr">
        <is>
          <t>Average Buff Multiplier</t>
        </is>
      </c>
      <c r="B1317">
        <f>(1+(IF(C1290=TRUE,F1290*IF(AND(Inputs!$B$39&lt;&gt;"pvp",Inputs!$B$44&gt;0),(((R1290-1)*(Skills!S3*(1+((Inputs!$B$35+(ArtifactsInput!$M$7-ArtifactsInput!$M$7)*CHOOSE(ArtifactsInput!$N$7+1,6,7.2,8.4,9.6,10.8,12))+IF(Inputs!$B$3&gt;=117,F1313,0))/100))+MIN((Skills!S3*(1+((Inputs!$B$35+(ArtifactsInput!$M$7-ArtifactsInput!$M$7)*CHOOSE(ArtifactsInput!$N$7+1,6,7.2,8.4,9.6,10.8,12))+IF(Inputs!$B$3&gt;=117,F1313,0))/100)),MAX(0,Inputs!$B$44-((R1290-1)*Skills!D3))))/Inputs!$B$44),IF(Inputs!$B$39="pvp",MIN((Skills!S3*(1+((Inputs!$B$35+(ArtifactsInput!$M$7-ArtifactsInput!$M$7)*CHOOSE(ArtifactsInput!$N$7+1,6,7.2,8.4,9.6,10.8,12))+IF(Inputs!$B$3&gt;=117,F1313,0))/100)),15)/15,(Skills!S3*(1+((Inputs!$B$35+(ArtifactsInput!$M$7-ArtifactsInput!$M$7)*CHOOSE(ArtifactsInput!$N$7+1,6,7.2,8.4,9.6,10.8,12))+IF(Inputs!$B$3&gt;=117,F1313,0))/100))/Skills!D3)),0)+IF(C1291=TRUE,F1291*IF(AND(Inputs!$B$39&lt;&gt;"pvp",Inputs!$B$44&gt;0),(((R1291-1)*(Skills!S4*(1+((Inputs!$B$35+(ArtifactsInput!$M$7-ArtifactsInput!$M$7)*CHOOSE(ArtifactsInput!$N$7+1,6,7.2,8.4,9.6,10.8,12))+IF(Inputs!$B$3&gt;=117,F1313,0))/100))+MIN((Skills!S4*(1+((Inputs!$B$35+(ArtifactsInput!$M$7-ArtifactsInput!$M$7)*CHOOSE(ArtifactsInput!$N$7+1,6,7.2,8.4,9.6,10.8,12))+IF(Inputs!$B$3&gt;=117,F1313,0))/100)),MAX(0,Inputs!$B$44-((R1291-1)*Skills!D4))))/Inputs!$B$44),IF(Inputs!$B$39="pvp",MIN((Skills!S4*(1+((Inputs!$B$35+(ArtifactsInput!$M$7-ArtifactsInput!$M$7)*CHOOSE(ArtifactsInput!$N$7+1,6,7.2,8.4,9.6,10.8,12))+IF(Inputs!$B$3&gt;=117,F1313,0))/100)),15)/15,(Skills!S4*(1+((Inputs!$B$35+(ArtifactsInput!$M$7-ArtifactsInput!$M$7)*CHOOSE(ArtifactsInput!$N$7+1,6,7.2,8.4,9.6,10.8,12))+IF(Inputs!$B$3&gt;=117,F1313,0))/100))/Skills!D4)),0)+IF(C1292=TRUE,F1292*IF(AND(Inputs!$B$39&lt;&gt;"pvp",Inputs!$B$44&gt;0),(((R1292-1)*(Skills!S5*(1+((Inputs!$B$35+(ArtifactsInput!$M$7-ArtifactsInput!$M$7)*CHOOSE(ArtifactsInput!$N$7+1,6,7.2,8.4,9.6,10.8,12))+IF(Inputs!$B$3&gt;=117,F1313,0))/100))+MIN((Skills!S5*(1+((Inputs!$B$35+(ArtifactsInput!$M$7-ArtifactsInput!$M$7)*CHOOSE(ArtifactsInput!$N$7+1,6,7.2,8.4,9.6,10.8,12))+IF(Inputs!$B$3&gt;=117,F1313,0))/100)),MAX(0,Inputs!$B$44-((R1292-1)*Skills!D5))))/Inputs!$B$44),IF(Inputs!$B$39="pvp",MIN((Skills!S5*(1+((Inputs!$B$35+(ArtifactsInput!$M$7-ArtifactsInput!$M$7)*CHOOSE(ArtifactsInput!$N$7+1,6,7.2,8.4,9.6,10.8,12))+IF(Inputs!$B$3&gt;=117,F1313,0))/100)),15)/15,(Skills!S5*(1+((Inputs!$B$35+(ArtifactsInput!$M$7-ArtifactsInput!$M$7)*CHOOSE(ArtifactsInput!$N$7+1,6,7.2,8.4,9.6,10.8,12))+IF(Inputs!$B$3&gt;=117,F1313,0))/100))/Skills!D5)),0)+IF(C1298=TRUE,F1298*IF(AND(Inputs!$B$39&lt;&gt;"pvp",Inputs!$B$44&gt;0),(((R1298-1)*(Skills!S11*(1+((Inputs!$B$35+(ArtifactsInput!$M$7-ArtifactsInput!$M$7)*CHOOSE(ArtifactsInput!$N$7+1,6,7.2,8.4,9.6,10.8,12))+IF(Inputs!$B$3&gt;=117,F1313,0))/100))+MIN((Skills!S11*(1+((Inputs!$B$35+(ArtifactsInput!$M$7-ArtifactsInput!$M$7)*CHOOSE(ArtifactsInput!$N$7+1,6,7.2,8.4,9.6,10.8,12))+IF(Inputs!$B$3&gt;=117,F1313,0))/100)),MAX(0,Inputs!$B$44-((R1298-1)*Skills!D11))))/Inputs!$B$44),IF(Inputs!$B$39="pvp",MIN((Skills!S11*(1+((Inputs!$B$35+(ArtifactsInput!$M$7-ArtifactsInput!$M$7)*CHOOSE(ArtifactsInput!$N$7+1,6,7.2,8.4,9.6,10.8,12))+IF(Inputs!$B$3&gt;=117,F1313,0))/100)),15)/15,(Skills!S11*(1+((Inputs!$B$35+(ArtifactsInput!$M$7-ArtifactsInput!$M$7)*CHOOSE(ArtifactsInput!$N$7+1,6,7.2,8.4,9.6,10.8,12))+IF(Inputs!$B$3&gt;=117,F1313,0)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IF(C1301=TRUE,(1+F1301*IF(AND(Inputs!$B$39&lt;&gt;"pvp",Inputs!$B$44&gt;0),(((R1301-1)*(Skills!S14*(1+((Inputs!$B$35+(ArtifactsInput!$M$7-ArtifactsInput!$M$7)*CHOOSE(ArtifactsInput!$N$7+1,6,7.2,8.4,9.6,10.8,12))+IF(Inputs!$B$3&gt;=117,F1313,0))/100))+MIN((Skills!S14*(1+((Inputs!$B$35+(ArtifactsInput!$M$7-ArtifactsInput!$M$7)*CHOOSE(ArtifactsInput!$N$7+1,6,7.2,8.4,9.6,10.8,12))+IF(Inputs!$B$3&gt;=117,F1313,0))/100)),MAX(0,Inputs!$B$44-((R1301-1)*Skills!D14))))/Inputs!$B$44),IF(Inputs!$B$39="pvp",MIN((Skills!S14*(1+((Inputs!$B$35+(ArtifactsInput!$M$7-ArtifactsInput!$M$7)*CHOOSE(ArtifactsInput!$N$7+1,6,7.2,8.4,9.6,10.8,12))+IF(Inputs!$B$3&gt;=117,F1313,0))/100)),15)/15,(Skills!S14*(1+((Inputs!$B$35+(ArtifactsInput!$M$7-ArtifactsInput!$M$7)*CHOOSE(ArtifactsInput!$N$7+1,6,7.2,8.4,9.6,10.8,12))+IF(Inputs!$B$3&gt;=117,F1313,0))/100))/Skills!D14))/100),1)*IF(C1306=TRUE,(1+F1306*IF(AND(Inputs!$B$39&lt;&gt;"pvp",Inputs!$B$44&gt;0),(((R1306-1)*(Skills!S19*(1+((Inputs!$B$35+(ArtifactsInput!$M$7-ArtifactsInput!$M$7)*CHOOSE(ArtifactsInput!$N$7+1,6,7.2,8.4,9.6,10.8,12))+IF(Inputs!$B$3&gt;=117,F1313,0))/100))+MIN((Skills!S19*(1+((Inputs!$B$35+(ArtifactsInput!$M$7-ArtifactsInput!$M$7)*CHOOSE(ArtifactsInput!$N$7+1,6,7.2,8.4,9.6,10.8,12))+IF(Inputs!$B$3&gt;=117,F1313,0))/100)),MAX(0,Inputs!$B$44-((R1306-1)*Skills!D19))))/Inputs!$B$44),IF(Inputs!$B$39="pvp",MIN((Skills!S19*(1+((Inputs!$B$35+(ArtifactsInput!$M$7-ArtifactsInput!$M$7)*CHOOSE(ArtifactsInput!$N$7+1,6,7.2,8.4,9.6,10.8,12))+IF(Inputs!$B$3&gt;=117,F1313,0))/100)),15)/15,(Skills!S19*(1+((Inputs!$B$35+(ArtifactsInput!$M$7-ArtifactsInput!$M$7)*CHOOSE(ArtifactsInput!$N$7+1,6,7.2,8.4,9.6,10.8,12))+IF(Inputs!$B$3&gt;=117,F1313,0))/100))/Skills!D19))/100),1)</f>
        <v/>
      </c>
    </row>
    <row r="1318">
      <c r="A1318" t="inlineStr">
        <is>
          <t>Monster Damage Taken Bonus % (Holy Fountain)</t>
        </is>
      </c>
      <c r="B1318">
        <f>IF(Inputs!$B$3&gt;=68,20*IF(Inputs!$B$39="pvp",MIN((15*(1+((Inputs!$B$35+(ArtifactsInput!$M$7-ArtifactsInput!$M$7)*CHOOSE(ArtifactsInput!$N$7+1,6,7.2,8.4,9.6,10.8,12))+IF(Inputs!$B$3&gt;=117,F1313,0))/100)),15)/15,(15*(1+((Inputs!$B$35+(ArtifactsInput!$M$7-ArtifactsInput!$M$7)*CHOOSE(ArtifactsInput!$N$7+1,6,7.2,8.4,9.6,10.8,12))+IF(Inputs!$B$3&gt;=117,F1313,0))/100))/Skills!D10),0)</f>
        <v/>
      </c>
    </row>
    <row r="1319">
      <c r="A1319" t="inlineStr">
        <is>
          <t>Normal Monster Damage Bonus % (Holy Symbol)</t>
        </is>
      </c>
      <c r="B1319">
        <f>IF(C1299=TRUE,F1299*IF(AND(Inputs!$B$39&lt;&gt;"pvp",Inputs!$B$44&gt;0),(((R1299-1)*(Skills!S12*(1+((Inputs!$B$35+(ArtifactsInput!$M$7-ArtifactsInput!$M$7)*CHOOSE(ArtifactsInput!$N$7+1,6,7.2,8.4,9.6,10.8,12))+IF(Inputs!$B$3&gt;=117,F1313,0))/100))+MIN((Skills!S12*(1+((Inputs!$B$35+(ArtifactsInput!$M$7-ArtifactsInput!$M$7)*CHOOSE(ArtifactsInput!$N$7+1,6,7.2,8.4,9.6,10.8,12))+IF(Inputs!$B$3&gt;=117,F1313,0))/100)),MAX(0,Inputs!$B$44-((R1299-1)*Skills!D12))))/Inputs!$B$44),IF(Inputs!$B$39="pvp",MIN((Skills!S12*(1+((Inputs!$B$35+(ArtifactsInput!$M$7-ArtifactsInput!$M$7)*CHOOSE(ArtifactsInput!$N$7+1,6,7.2,8.4,9.6,10.8,12))+IF(Inputs!$B$3&gt;=117,F1313,0))/100)),15)/15,(Skills!S12*(1+((Inputs!$B$35+(ArtifactsInput!$M$7-ArtifactsInput!$M$7)*CHOOSE(ArtifactsInput!$N$7+1,6,7.2,8.4,9.6,10.8,12))+IF(Inputs!$B$3&gt;=117,F1313,0))/100))/Skills!D12)),0)</f>
        <v/>
      </c>
    </row>
    <row r="1320">
      <c r="A1320" t="inlineStr">
        <is>
          <t>Damage % Bonus (Holy Symbol - Damage Boost)</t>
        </is>
      </c>
      <c r="B1320">
        <f>Skills!O12</f>
        <v/>
      </c>
    </row>
    <row r="1321">
      <c r="A1321" t="inlineStr">
        <is>
          <t>Crit Damage % Bonus (Blood of the Divine)</t>
        </is>
      </c>
      <c r="B1321">
        <f>4*IF(C1307=TRUE,F1307,0)</f>
        <v/>
      </c>
    </row>
    <row r="1322">
      <c r="A1322" t="inlineStr">
        <is>
          <t>Attack Speed Bonus %</t>
        </is>
      </c>
      <c r="B1322">
        <f>IF(C1304=TRUE,F1304+(F1308-Calc!F21),0)+IF(Inputs!$B$3&gt;=134,15,0)+((C1315=TRUE)*F1315*IF(AND(Inputs!$B$39&lt;&gt;"pvp",Inputs!$B$44&gt;0),(((R1315-1)*(Skills!S28*(1+((Inputs!$B$35+(ArtifactsInput!$M$7-ArtifactsInput!$M$7)*CHOOSE(ArtifactsInput!$N$7+1,6,7.2,8.4,9.6,10.8,12))+IF(Inputs!$B$3&gt;=117,F1313,0))/100))+MIN((Skills!S28*(1+((Inputs!$B$35+(ArtifactsInput!$M$7-ArtifactsInput!$M$7)*CHOOSE(ArtifactsInput!$N$7+1,6,7.2,8.4,9.6,10.8,12))+IF(Inputs!$B$3&gt;=117,F1313,0))/100)),MAX(0,Inputs!$B$44-((R1315-1)*Skills!D28))))/Inputs!$B$44),IF(Inputs!$B$39="pvp",MIN((Skills!S28*(1+((Inputs!$B$35+(ArtifactsInput!$M$7-ArtifactsInput!$M$7)*CHOOSE(ArtifactsInput!$N$7+1,6,7.2,8.4,9.6,10.8,12))+IF(Inputs!$B$3&gt;=117,F1313,0))/100)),15)/15,(Skills!S28*(1+((Inputs!$B$35+(ArtifactsInput!$M$7-ArtifactsInput!$M$7)*CHOOSE(ArtifactsInput!$N$7+1,6,7.2,8.4,9.6,10.8,12))+IF(Inputs!$B$3&gt;=117,F1313,0))/100))/Skills!D28)))</f>
        <v/>
      </c>
    </row>
    <row r="1323">
      <c r="A1323" t="inlineStr">
        <is>
          <t>Actions Per Second</t>
        </is>
      </c>
      <c r="B1323">
        <f>1+MIN(150,150*(1-(1-Inputs!$B$12/150)*(1-B1322/150)))/100</f>
        <v/>
      </c>
    </row>
    <row r="1324">
      <c r="A1324" t="inlineStr">
        <is>
          <t>Skill + Buff Cast Rate</t>
        </is>
      </c>
      <c r="B1324">
        <f>IF(AND(Inputs!$B$39&lt;&gt;"pvp",Inputs!$B$44&gt;0),SUMPRODUCT((Skills!E2:E28=TRUE)*(C1289:C1315=TRUE)*R1289:R1315)/Inputs!$B$44,SUMPRODUCT((Skills!E2:E28=TRUE)*(C1289:C1315=TRUE)*Q1289:Q1315))</f>
        <v/>
      </c>
    </row>
    <row r="1325">
      <c r="A1325" t="inlineStr">
        <is>
          <t>Big Bang Casts Per Second</t>
        </is>
      </c>
      <c r="B1325">
        <f>MAX(0,B1323-B1324)</f>
        <v/>
      </c>
    </row>
    <row r="1326">
      <c r="A1326" t="inlineStr">
        <is>
          <t>Defense % Bonus (Divine Protection)</t>
        </is>
      </c>
      <c r="B1326">
        <f>IF(C1300=TRUE,F1300*IF(AND(Inputs!$B$39&lt;&gt;"pvp",Inputs!$B$44&gt;0),(((R1300-1)*(Skills!S13*(1+((Inputs!$B$35+(ArtifactsInput!$M$7-ArtifactsInput!$M$7)*CHOOSE(ArtifactsInput!$N$7+1,6,7.2,8.4,9.6,10.8,12))+IF(Inputs!$B$3&gt;=117,F1313,0))/100))+MIN((Skills!S13*(1+((Inputs!$B$35+(ArtifactsInput!$M$7-ArtifactsInput!$M$7)*CHOOSE(ArtifactsInput!$N$7+1,6,7.2,8.4,9.6,10.8,12))+IF(Inputs!$B$3&gt;=117,F1313,0))/100)),MAX(0,Inputs!$B$44-((R1300-1)*Skills!D13))))/Inputs!$B$44),IF(Inputs!$B$39="pvp",MIN((Skills!S13*(1+((Inputs!$B$35+(ArtifactsInput!$M$7-ArtifactsInput!$M$7)*CHOOSE(ArtifactsInput!$N$7+1,6,7.2,8.4,9.6,10.8,12))+IF(Inputs!$B$3&gt;=117,F1313,0))/100)),15)/15,(Skills!S13*(1+((Inputs!$B$35+(ArtifactsInput!$M$7-ArtifactsInput!$M$7)*CHOOSE(ArtifactsInput!$N$7+1,6,7.2,8.4,9.6,10.8,12))+IF(Inputs!$B$3&gt;=117,F1313,0))/100))/Skills!D13)),0)</f>
        <v/>
      </c>
    </row>
    <row r="1327">
      <c r="A1327" t="inlineStr">
        <is>
          <t>Buff-Casting Startup Delay (s, fixed-duration only)</t>
        </is>
      </c>
      <c r="B1327">
        <f>IF(AND(Inputs!$B$39&lt;&gt;"pvp",Inputs!$B$44&gt;0),SUMPRODUCT((Skills!S2:S28&gt;0)*(Skills!E2:E28=TRUE)*(C1289:C1315=TRUE))/B1323,0)</f>
        <v/>
      </c>
    </row>
    <row r="1328">
      <c r="A1328" t="inlineStr">
        <is>
          <t>Boss-Only Total DPS (this block's swept value)</t>
        </is>
      </c>
      <c r="B1328">
        <f>SUM(S1289:S1315)</f>
        <v/>
      </c>
    </row>
    <row r="1329">
      <c r="A1329" t="inlineStr">
        <is>
          <t>Normal-Only Total DPS (this block's swept value)</t>
        </is>
      </c>
      <c r="B1329">
        <f>SUM(U1289:U1315)</f>
        <v/>
      </c>
    </row>
    <row r="1330">
      <c r="A1330" s="6" t="inlineStr">
        <is>
          <t>TOTAL DPS</t>
        </is>
      </c>
      <c r="B1330" s="6">
        <f>SUM(O1289:O1315)</f>
        <v/>
      </c>
    </row>
    <row r="1332">
      <c r="A1332" s="6" t="inlineStr">
        <is>
          <t>Stat: Pig's Ribbon (Equip)</t>
        </is>
      </c>
    </row>
    <row r="1333">
      <c r="A1333" s="5" t="inlineStr">
        <is>
          <t>Key</t>
        </is>
      </c>
      <c r="B1333" s="5" t="inlineStr">
        <is>
          <t>Name</t>
        </is>
      </c>
      <c r="C1333" s="5" t="inlineStr">
        <is>
          <t>Unlocked</t>
        </is>
      </c>
      <c r="D1333" s="5" t="inlineStr">
        <is>
          <t>InputLevel</t>
        </is>
      </c>
      <c r="E1333" s="5" t="inlineStr">
        <is>
          <t>Factor</t>
        </is>
      </c>
      <c r="F1333" s="5" t="inlineStr">
        <is>
          <t>CoefficientPercent</t>
        </is>
      </c>
      <c r="G1333" s="5" t="inlineStr">
        <is>
          <t>EffectiveHits</t>
        </is>
      </c>
      <c r="H1333" s="5" t="inlineStr">
        <is>
          <t>ProcProbability</t>
        </is>
      </c>
      <c r="I1333" s="5" t="inlineStr">
        <is>
          <t>MapleHeroMultiplier</t>
        </is>
      </c>
      <c r="J1333" s="5" t="inlineStr">
        <is>
          <t>BaseDamage</t>
        </is>
      </c>
      <c r="K1333" s="5" t="inlineStr">
        <is>
          <t>BaseHitDamage</t>
        </is>
      </c>
      <c r="L1333" s="5" t="inlineStr">
        <is>
          <t>NonCritAvg</t>
        </is>
      </c>
      <c r="M1333" s="5" t="inlineStr">
        <is>
          <t>CritAvg</t>
        </is>
      </c>
      <c r="N1333" s="5" t="inlineStr">
        <is>
          <t>ExpectedDamage(perHit)</t>
        </is>
      </c>
      <c r="O1333" s="5" t="inlineStr">
        <is>
          <t>DPS</t>
        </is>
      </c>
      <c r="P1333" s="5" t="inlineStr">
        <is>
          <t>% of Total</t>
        </is>
      </c>
      <c r="R1333" t="inlineStr">
        <is>
          <t>helpers</t>
        </is>
      </c>
    </row>
    <row r="1334">
      <c r="A1334">
        <f>Skills!A2</f>
        <v/>
      </c>
      <c r="B1334">
        <f>Skills!B2</f>
        <v/>
      </c>
      <c r="C1334">
        <f>Inputs!$B$3&gt;=100</f>
        <v/>
      </c>
      <c r="D1334" t="inlineStr"/>
      <c r="E1334" t="inlineStr"/>
      <c r="F1334">
        <f>T1336+Skills!N2</f>
        <v/>
      </c>
      <c r="G1334">
        <f>Calc!G2</f>
        <v/>
      </c>
      <c r="H1334">
        <f>Calc!H2</f>
        <v/>
      </c>
      <c r="I1334">
        <f>IF(Skills!T2&lt;&gt;"",1+(Skills!T2/10)*($Z$3/1000)/100,1)</f>
        <v/>
      </c>
      <c r="J1334">
        <f>((Inputs!$B$6*(1+Inputs!$B$7/100))+(((Inputs!$B$13*(1+Inputs!$B$14/100))-(Inputs!$B$13*(1+Inputs!$B$14/100)))+0.25*(Inputs!$B$15-Inputs!$B$15))*(1+Inputs!$B$7/100))*(F1334/100)</f>
        <v/>
      </c>
      <c r="K1334">
        <f>J1334*(1+(((Inputs!$B$13+IF(Inputs!$B$3&gt;=35,(10*INDEX(FactorTable!$B$2:$Y$301,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2="TRIUMPH_FEATHER",IF(C1348=TRUE,F1348,0),0)/100)*(1+IF(C1359=TRUE,F1359,0)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1334)</f>
        <v/>
      </c>
      <c r="L1334">
        <f>K1334*(MIN(Inputs!$B$23+(F1354-Calc!F22),(Inputs!$B$24+IF(ArtifactsInput!$M$15,CHOOSE(ArtifactsInput!$N$15+1,25,30,35,40,45,50)/100*(Inputs!$B$12-Inputs!$B$12),0)))/100+(Inputs!$B$24+IF(ArtifactsInput!$M$15,CHOOSE(ArtifactsInput!$N$15+1,25,30,35,40,45,50)/100*(Inputs!$B$12-Inputs!$B$12),0))/100)/2</f>
        <v/>
      </c>
      <c r="M1334">
        <f>L1334*(1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4">
        <f>L1334*(1-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(1-Summary!$B$11)*S1334+Summary!$B$11*U1334</f>
        <v/>
      </c>
      <c r="P1334">
        <f>IF(B1375=0,0,O1334/B1375)</f>
        <v/>
      </c>
      <c r="Q1334">
        <f>IFERROR(1/(IF(Inputs!$B$39="pvp",15,MAX(0.1,Skills!D2-IF(Skills!E2=TRUE,Inputs!$B$33,0)))*(1-IF(AND(ArtifactsInput!$M$27,Inputs!$B$4="Chapter Hunt"),CHOOSE(ArtifactsInput!$N$27+1,20,24,28,32,36,40),0)/100)),0)</f>
        <v/>
      </c>
      <c r="R1334" t="n">
        <v>0</v>
      </c>
      <c r="S1334">
        <f>IF(C1334,(Skills!F2*N1334*B1370)*IF(Inputs!$B$39="pvp",1,1+(Inputs!$B$21+Skills!O2+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34">
        <f>MAX(0,(Inputs!$B$3-100)*3)+Inputs!$B$29+Inputs!$B$30</f>
        <v/>
      </c>
      <c r="U1334">
        <f>IF(C1334,(Skills!F2*N1334*B1370)*IF(Inputs!$B$39="pvp",1,(1+(Inputs!$B$22+Skills!P2+B1364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Skills!A3</f>
        <v/>
      </c>
      <c r="B1335">
        <f>Skills!B3</f>
        <v/>
      </c>
      <c r="C1335">
        <f>Inputs!$B$3&gt;=15</f>
        <v/>
      </c>
      <c r="D1335">
        <f>IF(Skills!C3=1,60+Inputs!$B$26+Inputs!$B$30,IF(Skills!C3=2,90+Inputs!$B$27+Inputs!$B$30,IF(Skills!C3=3,120+Inputs!$B$28+Inputs!$B$30,MAX(0,(Inputs!$B$3-100)*3)+Inputs!$B$29+Inputs!$B$30)))</f>
        <v/>
      </c>
      <c r="E1335">
        <f>INDEX(FactorTable!$B$2:$Y$301, MATCH(ROUND(MIN(300,MAX(1,D1335)),0), FactorTable!$A$2:$A$301,0), Skills!L3+1)</f>
        <v/>
      </c>
      <c r="F1335">
        <f>IF(Skills!M3=TRUE,(Skills!K3/10)*(E1335/1000),Skills!K3/10)+Skills!N3</f>
        <v/>
      </c>
      <c r="G1335">
        <f>Calc!G3</f>
        <v/>
      </c>
      <c r="H1335">
        <f>Calc!H3</f>
        <v/>
      </c>
      <c r="I1335">
        <f>IF(Skills!T3&lt;&gt;"",1+(Skills!T3/10)*($Z$3/1000)/100,1)</f>
        <v/>
      </c>
      <c r="J1335" t="inlineStr"/>
      <c r="K1335" t="inlineStr"/>
      <c r="L1335" t="inlineStr"/>
      <c r="M1335" t="inlineStr"/>
      <c r="N1335" t="inlineStr"/>
      <c r="O1335">
        <f>(1-Summary!$B$11)*S1335+Summary!$B$11*U1335</f>
        <v/>
      </c>
      <c r="P1335">
        <f>IF(B1375=0,0,O1335/B1375)</f>
        <v/>
      </c>
      <c r="Q1335">
        <f>IFERROR(1/(IF(Inputs!$B$39="pvp",15,MAX(0.1,Skills!D3-IF(Skills!E3=TRUE,Inputs!$B$33,0)))*(1-IF(AND(ArtifactsInput!$M$27,Inputs!$B$4="Chapter Hunt"),CHOOSE(ArtifactsInput!$N$27+1,20,24,28,32,36,40),0)/100)),0)</f>
        <v/>
      </c>
      <c r="R1335">
        <f>IF(AND(Inputs!$B$39&lt;&gt;"pvp",Inputs!$B$44&gt;0),IF(Inputs!$B$44&lt;=0,0,(INT(Inputs!$B$44/(IF(Inputs!$B$39="pvp",15,MAX(0.1,Skills!D3-IF(Skills!E3=TRUE,Inputs!$B$33,0)))*(1-IF(AND(ArtifactsInput!$M$27,Inputs!$B$4="Chapter Hunt"),CHOOSE(ArtifactsInput!$N$27+1,20,24,28,32,36,40),0)/100)))+1)),0)</f>
        <v/>
      </c>
      <c r="S1335" t="n">
        <v>0</v>
      </c>
      <c r="T1335">
        <f>INDEX(FactorTable!$B$2:$Y$301, MATCH(ROUND(MIN(300,MAX(1,T1334)),0), FactorTable!$A$2:$A$301,0), 22)</f>
        <v/>
      </c>
      <c r="U1335" t="n">
        <v>0</v>
      </c>
    </row>
    <row r="1336">
      <c r="A1336">
        <f>Skills!A4</f>
        <v/>
      </c>
      <c r="B1336">
        <f>Skills!B4</f>
        <v/>
      </c>
      <c r="C1336">
        <f>Inputs!$B$3&gt;=38</f>
        <v/>
      </c>
      <c r="D1336">
        <f>IF(Skills!C4=1,60+Inputs!$B$26+Inputs!$B$30,IF(Skills!C4=2,90+Inputs!$B$27+Inputs!$B$30,IF(Skills!C4=3,120+Inputs!$B$28+Inputs!$B$30,MAX(0,(Inputs!$B$3-100)*3)+Inputs!$B$29+Inputs!$B$30)))</f>
        <v/>
      </c>
      <c r="E1336">
        <f>INDEX(FactorTable!$B$2:$Y$301, MATCH(ROUND(MIN(300,MAX(1,D1336)),0), FactorTable!$A$2:$A$301,0), Skills!L4+1)</f>
        <v/>
      </c>
      <c r="F1336">
        <f>IF(Skills!M4=TRUE,(Skills!K4/10)*(E1336/1000),Skills!K4/10)+Skills!N4</f>
        <v/>
      </c>
      <c r="G1336">
        <f>Calc!G4</f>
        <v/>
      </c>
      <c r="H1336">
        <f>Calc!H4</f>
        <v/>
      </c>
      <c r="I1336">
        <f>IF(Skills!T4&lt;&gt;"",1+(Skills!T4/10)*($Z$3/1000)/100,1)</f>
        <v/>
      </c>
      <c r="J1336" t="inlineStr"/>
      <c r="K1336" t="inlineStr"/>
      <c r="L1336" t="inlineStr"/>
      <c r="M1336" t="inlineStr"/>
      <c r="N1336" t="inlineStr"/>
      <c r="O1336">
        <f>(1-Summary!$B$11)*S1336+Summary!$B$11*U1336</f>
        <v/>
      </c>
      <c r="P1336">
        <f>IF(B1375=0,0,O1336/B1375)</f>
        <v/>
      </c>
      <c r="Q1336">
        <f>IFERROR(1/(IF(Inputs!$B$39="pvp",15,MAX(0.1,Skills!D4-IF(Skills!E4=TRUE,Inputs!$B$33,0)))*(1-IF(AND(ArtifactsInput!$M$27,Inputs!$B$4="Chapter Hunt"),CHOOSE(ArtifactsInput!$N$27+1,20,24,28,32,36,40),0)/100)),0)</f>
        <v/>
      </c>
      <c r="R1336">
        <f>IF(AND(Inputs!$B$39&lt;&gt;"pvp",Inputs!$B$44&gt;0),IF(Inputs!$B$44&lt;=0,0,(INT(Inputs!$B$44/(IF(Inputs!$B$39="pvp",15,MAX(0.1,Skills!D4-IF(Skills!E4=TRUE,Inputs!$B$33,0)))*(1-IF(AND(ArtifactsInput!$M$27,Inputs!$B$4="Chapter Hunt"),CHOOSE(ArtifactsInput!$N$27+1,20,24,28,32,36,40),0)/100)))+1)),0)</f>
        <v/>
      </c>
      <c r="S1336" t="n">
        <v>0</v>
      </c>
      <c r="T1336">
        <f>290*T1335/1000</f>
        <v/>
      </c>
      <c r="U1336" t="n">
        <v>0</v>
      </c>
    </row>
    <row r="1337">
      <c r="A1337">
        <f>Skills!A5</f>
        <v/>
      </c>
      <c r="B1337">
        <f>Skills!B5</f>
        <v/>
      </c>
      <c r="C1337">
        <f>Inputs!$B$3&gt;=40</f>
        <v/>
      </c>
      <c r="D1337">
        <f>IF(Skills!C5=1,60+Inputs!$B$26+Inputs!$B$30,IF(Skills!C5=2,90+Inputs!$B$27+Inputs!$B$30,IF(Skills!C5=3,120+Inputs!$B$28+Inputs!$B$30,MAX(0,(Inputs!$B$3-100)*3)+Inputs!$B$29+Inputs!$B$30)))</f>
        <v/>
      </c>
      <c r="E1337">
        <f>INDEX(FactorTable!$B$2:$Y$301, MATCH(ROUND(MIN(300,MAX(1,D1337)),0), FactorTable!$A$2:$A$301,0), Skills!L5+1)</f>
        <v/>
      </c>
      <c r="F1337">
        <f>IF(Skills!M5=TRUE,(Skills!K5/10)*(E1337/1000),Skills!K5/10)+Skills!N5</f>
        <v/>
      </c>
      <c r="G1337">
        <f>Calc!G5</f>
        <v/>
      </c>
      <c r="H1337">
        <f>Calc!H5</f>
        <v/>
      </c>
      <c r="I1337">
        <f>IF(Skills!T5&lt;&gt;"",1+(Skills!T5/10)*($Z$3/1000)/100,1)</f>
        <v/>
      </c>
      <c r="J1337" t="inlineStr"/>
      <c r="K1337" t="inlineStr"/>
      <c r="L1337" t="inlineStr"/>
      <c r="M1337" t="inlineStr"/>
      <c r="N1337" t="inlineStr"/>
      <c r="O1337">
        <f>(1-Summary!$B$11)*S1337+Summary!$B$11*U1337</f>
        <v/>
      </c>
      <c r="P1337">
        <f>IF(B1375=0,0,O1337/B1375)</f>
        <v/>
      </c>
      <c r="Q1337">
        <f>IFERROR(1/(IF(Inputs!$B$39="pvp",15,MAX(0.1,Skills!D5-IF(Skills!E5=TRUE,Inputs!$B$33,0)))*(1-IF(AND(ArtifactsInput!$M$27,Inputs!$B$4="Chapter Hunt"),CHOOSE(ArtifactsInput!$N$27+1,20,24,28,32,36,40),0)/100)),0)</f>
        <v/>
      </c>
      <c r="R1337">
        <f>IF(AND(Inputs!$B$39&lt;&gt;"pvp",Inputs!$B$44&gt;0),IF(Inputs!$B$44&lt;=0,0,(INT(Inputs!$B$44/(IF(Inputs!$B$39="pvp",15,MAX(0.1,Skills!D5-IF(Skills!E5=TRUE,Inputs!$B$33,0)))*(1-IF(AND(ArtifactsInput!$M$27,Inputs!$B$4="Chapter Hunt"),CHOOSE(ArtifactsInput!$N$27+1,20,24,28,32,36,40),0)/100)))+1)),0)</f>
        <v/>
      </c>
      <c r="S1337" t="n">
        <v>0</v>
      </c>
      <c r="U1337" t="n">
        <v>0</v>
      </c>
    </row>
    <row r="1338">
      <c r="A1338">
        <f>Skills!A6</f>
        <v/>
      </c>
      <c r="B1338">
        <f>Skills!B6</f>
        <v/>
      </c>
      <c r="C1338">
        <f>Inputs!$B$3&gt;=103</f>
        <v/>
      </c>
      <c r="D1338">
        <f>IF(Skills!C6=1,60+Inputs!$B$26+Inputs!$B$30,IF(Skills!C6=2,90+Inputs!$B$27+Inputs!$B$30,IF(Skills!C6=3,120+Inputs!$B$28+Inputs!$B$30,MAX(0,(Inputs!$B$3-100)*3)+Inputs!$B$29+Inputs!$B$30)))</f>
        <v/>
      </c>
      <c r="E1338">
        <f>INDEX(FactorTable!$B$2:$Y$301, MATCH(ROUND(MIN(300,MAX(1,D1338)),0), FactorTable!$A$2:$A$301,0), Skills!L6+1)</f>
        <v/>
      </c>
      <c r="F1338">
        <f>IF(Skills!M6=TRUE,(Skills!K6/10)*(E1338/1000),Skills!K6/10)+Skills!N6</f>
        <v/>
      </c>
      <c r="G1338">
        <f>Calc!G6</f>
        <v/>
      </c>
      <c r="H1338">
        <f>Calc!H6</f>
        <v/>
      </c>
      <c r="I1338">
        <f>IF(Skills!T6&lt;&gt;"",1+(Skills!T6/10)*($Z$3/1000)/100,1)</f>
        <v/>
      </c>
      <c r="J1338">
        <f>((Inputs!$B$6*(1+Inputs!$B$7/100))+(((Inputs!$B$13*(1+Inputs!$B$14/100))-(Inputs!$B$13*(1+Inputs!$B$14/100)))+0.25*(Inputs!$B$15-Inputs!$B$15))*(1+Inputs!$B$7/100))*(F1338/100)</f>
        <v/>
      </c>
      <c r="K1338">
        <f>J1338*(1+(((Inputs!$B$13+IF(Inputs!$B$3&gt;=35,(10*INDEX(FactorTable!$B$2:$Y$301,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6="TRIUMPH_FEATHER",IF(C1348=TRUE,F1348,0),0)/100)*(1+IF(C1359=TRUE,F1359,0)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1338)</f>
        <v/>
      </c>
      <c r="L1338">
        <f>K1338*(MIN(Inputs!$B$23+(F1354-Calc!F22),(Inputs!$B$24+IF(ArtifactsInput!$M$15,CHOOSE(ArtifactsInput!$N$15+1,25,30,35,40,45,50)/100*(Inputs!$B$12-Inputs!$B$12),0)))/100+(Inputs!$B$24+IF(ArtifactsInput!$M$15,CHOOSE(ArtifactsInput!$N$15+1,25,30,35,40,45,50)/100*(Inputs!$B$12-Inputs!$B$12),0))/100)/2</f>
        <v/>
      </c>
      <c r="M1338">
        <f>L1338*(1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8">
        <f>L1338*(1-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(1-Summary!$B$11)*S1338+Summary!$B$11*U1338</f>
        <v/>
      </c>
      <c r="P1338">
        <f>IF(B1375=0,0,O1338/B1375)</f>
        <v/>
      </c>
      <c r="Q1338">
        <f>IFERROR(1/(IF(Inputs!$B$39="pvp",15,MAX(0.1,Skills!D6-IF(Skills!E6=TRUE,Inputs!$B$33,0)))*(1-IF(AND(ArtifactsInput!$M$27,Inputs!$B$4="Chapter Hunt"),CHOOSE(ArtifactsInput!$N$27+1,20,24,28,32,36,40),0)/100)),0)</f>
        <v/>
      </c>
      <c r="R1338">
        <f>IF(AND(Inputs!$B$39&lt;&gt;"pvp",Inputs!$B$44&gt;0),IF(MAX(0,Inputs!$B$44-B1372)&lt;=0,0,(INT(MAX(0,Inputs!$B$44-B1372)/(IF(Inputs!$B$39="pvp",15,MAX(0.1,Skills!D6-IF(Skills!E6=TRUE,Inputs!$B$33,0)))*(1-IF(AND(ArtifactsInput!$M$27,Inputs!$B$4="Chapter Hunt"),CHOOSE(ArtifactsInput!$N$27+1,20,24,28,32,36,40),0)/100)))+1)),0)</f>
        <v/>
      </c>
      <c r="S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$21+Skills!O6+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1338*(1-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$22+Skills!P6+B1364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Skills!A7</f>
        <v/>
      </c>
      <c r="B1339">
        <f>Skills!B7</f>
        <v/>
      </c>
      <c r="C1339">
        <f>Inputs!$B$3&gt;=122</f>
        <v/>
      </c>
      <c r="D1339">
        <f>IF(Skills!C7=1,60+Inputs!$B$26+Inputs!$B$30,IF(Skills!C7=2,90+Inputs!$B$27+Inputs!$B$30,IF(Skills!C7=3,120+Inputs!$B$28+Inputs!$B$30,MAX(0,(Inputs!$B$3-100)*3)+Inputs!$B$29+Inputs!$B$30)))</f>
        <v/>
      </c>
      <c r="E1339">
        <f>INDEX(FactorTable!$B$2:$Y$301, MATCH(ROUND(MIN(300,MAX(1,D1339)),0), FactorTable!$A$2:$A$301,0), Skills!L7+1)</f>
        <v/>
      </c>
      <c r="F1339">
        <f>IF(Skills!M7=TRUE,(Skills!K7/10)*(E1339/1000),Skills!K7/10)+Skills!N7</f>
        <v/>
      </c>
      <c r="G1339">
        <f>Calc!G7</f>
        <v/>
      </c>
      <c r="H1339">
        <f>Calc!H7</f>
        <v/>
      </c>
      <c r="I1339">
        <f>IF(Skills!T7&lt;&gt;"",1+(Skills!T7/10)*($Z$3/1000)/100,1)</f>
        <v/>
      </c>
      <c r="J1339">
        <f>((Inputs!$B$6*(1+Inputs!$B$7/100))+(((Inputs!$B$13*(1+Inputs!$B$14/100))-(Inputs!$B$13*(1+Inputs!$B$14/100)))+0.25*(Inputs!$B$15-Inputs!$B$15))*(1+Inputs!$B$7/100))*(F1339/100)</f>
        <v/>
      </c>
      <c r="K1339">
        <f>J1339*(1+(((Inputs!$B$13+IF(Inputs!$B$3&gt;=35,(10*INDEX(FactorTable!$B$2:$Y$301,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7="TRIUMPH_FEATHER",IF(C1348=TRUE,F1348,0),0)/100)*(1+IF(C1359=TRUE,F1359,0)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1339)</f>
        <v/>
      </c>
      <c r="L1339">
        <f>K1339*(MIN(Inputs!$B$23+(F1354-Calc!F22),(Inputs!$B$24+IF(ArtifactsInput!$M$15,CHOOSE(ArtifactsInput!$N$15+1,25,30,35,40,45,50)/100*(Inputs!$B$12-Inputs!$B$12),0)))/100+(Inputs!$B$24+IF(ArtifactsInput!$M$15,CHOOSE(ArtifactsInput!$N$15+1,25,30,35,40,45,50)/100*(Inputs!$B$12-Inputs!$B$12),0))/100)/2</f>
        <v/>
      </c>
      <c r="M1339">
        <f>L1339*(1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9">
        <f>L1339*(1-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(1-Summary!$B$11)*S1339+Summary!$B$11*U1339</f>
        <v/>
      </c>
      <c r="P1339">
        <f>IF(B1375=0,0,O1339/B1375)</f>
        <v/>
      </c>
      <c r="Q1339">
        <f>IFERROR(1/(IF(Inputs!$B$39="pvp",15,MAX(0.1,Skills!D7-IF(Skills!E6=TRUE,Inputs!$B$33,0)))*(1-IF(AND(ArtifactsInput!$M$27,Inputs!$B$4="Chapter Hunt"),CHOOSE(ArtifactsInput!$N$27+1,20,24,28,32,36,40),0)/100)),0)</f>
        <v/>
      </c>
      <c r="R1339">
        <f>IF(AND(Inputs!$B$39&lt;&gt;"pvp",Inputs!$B$44&gt;0),IF(MAX(0,Inputs!$B$44-B1372)&lt;=0,0,(INT(MAX(0,Inputs!$B$44-B1372)/(IF(Inputs!$B$39="pvp",15,MAX(0.1,Skills!D7-IF(Skills!E6=TRUE,Inputs!$B$33,0)))*(1-IF(AND(ArtifactsInput!$M$27,Inputs!$B$4="Chapter Hunt"),CHOOSE(ArtifactsInput!$N$27+1,20,24,28,32,36,40),0)/100)))+1)),0)</f>
        <v/>
      </c>
      <c r="S1339">
        <f>IF(C1339,H1339*N1339*IF(AND(Inputs!$B$39&lt;&gt;"pvp",Inputs!$B$44&gt;0),((Skills!F7*((R1339-1)*IF(Skills!G7&gt;0,Skills!H7/Skills!G7,1)+IF(Skills!G7&gt;0,MIN(Skills!H7,MAX(0,MAX(0,Inputs!$B$44-B1372)-((R1339-1)*(IF(Inputs!$B$39="pvp",15,MAX(0.1,Skills!D7-IF(Skills!E6=TRUE,Inputs!$B$33,0)))*(1-IF(AND(ArtifactsInput!$M$27,Inputs!$B$4="Chapter Hunt"),CHOOSE(ArtifactsInput!$N$27+1,20,24,28,32,36,40),0)/100)))))/Skills!G7,1)))/Inputs!$B$44),G1339*Q1339)*IF(Inputs!$B$39="pvp",1,1+(Inputs!$B$21+Skills!O7+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1339*(1-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9" t="n">
        <v>0</v>
      </c>
    </row>
    <row r="1340">
      <c r="A1340">
        <f>Skills!A8</f>
        <v/>
      </c>
      <c r="B1340">
        <f>Skills!B8</f>
        <v/>
      </c>
      <c r="C1340">
        <f>Inputs!$B$3&gt;=105</f>
        <v/>
      </c>
      <c r="D1340">
        <f>IF(Skills!C8=1,60+Inputs!$B$26+Inputs!$B$30,IF(Skills!C8=2,90+Inputs!$B$27+Inputs!$B$30,IF(Skills!C8=3,120+Inputs!$B$28+Inputs!$B$30,MAX(0,(Inputs!$B$3-100)*3)+Inputs!$B$29+Inputs!$B$30)))</f>
        <v/>
      </c>
      <c r="E1340">
        <f>INDEX(FactorTable!$B$2:$Y$301, MATCH(ROUND(MIN(300,MAX(1,D1340)),0), FactorTable!$A$2:$A$301,0), Skills!L8+1)</f>
        <v/>
      </c>
      <c r="F1340">
        <f>IF(Skills!M8=TRUE,(Skills!K8/10)*(E1340/1000),Skills!K8/10)+Skills!N8</f>
        <v/>
      </c>
      <c r="G1340">
        <f>Calc!G8</f>
        <v/>
      </c>
      <c r="H1340">
        <f>Calc!H8</f>
        <v/>
      </c>
      <c r="I1340">
        <f>IF(Skills!T8&lt;&gt;"",1+(Skills!T8/10)*($Z$3/1000)/100,1)</f>
        <v/>
      </c>
      <c r="J1340">
        <f>((Inputs!$B$6*(1+Inputs!$B$7/100))+(((Inputs!$B$13*(1+Inputs!$B$14/100))-(Inputs!$B$13*(1+Inputs!$B$14/100)))+0.25*(Inputs!$B$15-Inputs!$B$15))*(1+Inputs!$B$7/100))*(F1340/100)</f>
        <v/>
      </c>
      <c r="K1340">
        <f>J1340*(1+(((Inputs!$B$13+IF(Inputs!$B$3&gt;=35,(10*INDEX(FactorTable!$B$2:$Y$301,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8="TRIUMPH_FEATHER",IF(C1348=TRUE,F1348,0),0)/100)*(1+IF(C1359=TRUE,F1359,0)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1340)</f>
        <v/>
      </c>
      <c r="L1340">
        <f>K1340*(MIN(Inputs!$B$23+(F1354-Calc!F22),(Inputs!$B$24+IF(ArtifactsInput!$M$15,CHOOSE(ArtifactsInput!$N$15+1,25,30,35,40,45,50)/100*(Inputs!$B$12-Inputs!$B$12),0)))/100+(Inputs!$B$24+IF(ArtifactsInput!$M$15,CHOOSE(ArtifactsInput!$N$15+1,25,30,35,40,45,50)/100*(Inputs!$B$12-Inputs!$B$12),0))/100)/2</f>
        <v/>
      </c>
      <c r="M1340">
        <f>L1340*(1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0">
        <f>L1340*(1-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(1-Summary!$B$11)*S1340+Summary!$B$11*U1340</f>
        <v/>
      </c>
      <c r="P1340">
        <f>IF(B1375=0,0,O1340/B1375)</f>
        <v/>
      </c>
      <c r="Q1340">
        <f>IFERROR(1/(IF(Inputs!$B$39="pvp",15,MAX(0.1,Skills!D8-IF(Skills!E8=TRUE,Inputs!$B$33,0)))*(1-IF(AND(ArtifactsInput!$M$27,Inputs!$B$4="Chapter Hunt"),CHOOSE(ArtifactsInput!$N$27+1,20,24,28,32,36,40),0)/100)),0)</f>
        <v/>
      </c>
      <c r="R1340">
        <f>IF(AND(Inputs!$B$39&lt;&gt;"pvp",Inputs!$B$44&gt;0),IF(MAX(0,Inputs!$B$44-B1372)&lt;=0,0,(INT(MAX(0,Inputs!$B$44-B1372)/(IF(Inputs!$B$39="pvp",15,MAX(0.1,Skills!D8-IF(Skills!E8=TRUE,Inputs!$B$33,0)))*(1-IF(AND(ArtifactsInput!$M$27,Inputs!$B$4="Chapter Hunt"),CHOOSE(ArtifactsInput!$N$27+1,20,24,28,32,36,40),0)/100)))+1)),0)</f>
        <v/>
      </c>
      <c r="S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$21+Skills!O8+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1340*(1-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$22+Skills!P8+B1364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Skills!A9</f>
        <v/>
      </c>
      <c r="B1341">
        <f>Skills!B9</f>
        <v/>
      </c>
      <c r="C1341">
        <f>Inputs!$B$3&gt;=115</f>
        <v/>
      </c>
      <c r="D1341">
        <f>IF(Skills!C9=1,60+Inputs!$B$26+Inputs!$B$30,IF(Skills!C9=2,90+Inputs!$B$27+Inputs!$B$30,IF(Skills!C9=3,120+Inputs!$B$28+Inputs!$B$30,MAX(0,(Inputs!$B$3-100)*3)+Inputs!$B$29+Inputs!$B$30)))</f>
        <v/>
      </c>
      <c r="E1341">
        <f>INDEX(FactorTable!$B$2:$Y$301, MATCH(ROUND(MIN(300,MAX(1,D1341)),0), FactorTable!$A$2:$A$301,0), Skills!L9+1)</f>
        <v/>
      </c>
      <c r="F1341">
        <f>IF(Skills!M9=TRUE,(Skills!K9/10)*(E1341/1000),Skills!K9/10)+Skills!N9</f>
        <v/>
      </c>
      <c r="G1341">
        <f>Calc!G9</f>
        <v/>
      </c>
      <c r="H1341">
        <f>Calc!H9</f>
        <v/>
      </c>
      <c r="I1341">
        <f>IF(Skills!T9&lt;&gt;"",1+(Skills!T9/10)*($Z$3/1000)/100,1)</f>
        <v/>
      </c>
      <c r="J1341">
        <f>((Inputs!$B$6*(1+Inputs!$B$7/100))+(((Inputs!$B$13*(1+Inputs!$B$14/100))-(Inputs!$B$13*(1+Inputs!$B$14/100)))+0.25*(Inputs!$B$15-Inputs!$B$15))*(1+Inputs!$B$7/100))*(F1341/100)</f>
        <v/>
      </c>
      <c r="K1341">
        <f>J1341*(1+(((Inputs!$B$13+IF(Inputs!$B$3&gt;=35,(10*INDEX(FactorTable!$B$2:$Y$301,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9="TRIUMPH_FEATHER",IF(C1348=TRUE,F1348,0),0)/100)*(1+IF(C1359=TRUE,F1359,0)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1341)</f>
        <v/>
      </c>
      <c r="L1341">
        <f>K1341*(MIN(Inputs!$B$23+(F1354-Calc!F22),(Inputs!$B$24+IF(ArtifactsInput!$M$15,CHOOSE(ArtifactsInput!$N$15+1,25,30,35,40,45,50)/100*(Inputs!$B$12-Inputs!$B$12),0)))/100+(Inputs!$B$24+IF(ArtifactsInput!$M$15,CHOOSE(ArtifactsInput!$N$15+1,25,30,35,40,45,50)/100*(Inputs!$B$12-Inputs!$B$12),0))/100)/2</f>
        <v/>
      </c>
      <c r="M1341">
        <f>L1341*(1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1">
        <f>L1341*(1-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1">
        <f>(1-Summary!$B$11)*S1341+Summary!$B$11*U1341</f>
        <v/>
      </c>
      <c r="P1341">
        <f>IF(B1375=0,0,O1341/B1375)</f>
        <v/>
      </c>
      <c r="Q1341">
        <f>IFERROR(1/(IF(Inputs!$B$39="pvp",15,MAX(0.1,Skills!D9-IF(Skills!E9=TRUE,Inputs!$B$33,0)))*(1-IF(AND(ArtifactsInput!$M$27,Inputs!$B$4="Chapter Hunt"),CHOOSE(ArtifactsInput!$N$27+1,20,24,28,32,36,40),0)/100)),0)</f>
        <v/>
      </c>
      <c r="R1341">
        <f>IF(AND(Inputs!$B$39&lt;&gt;"pvp",Inputs!$B$44&gt;0),IF(MAX(0,Inputs!$B$44-B1372)&lt;=0,0,(INT(MAX(0,Inputs!$B$44-B1372)/(IF(Inputs!$B$39="pvp",15,MAX(0.1,Skills!D9-IF(Skills!E9=TRUE,Inputs!$B$33,0)))*(1-IF(AND(ArtifactsInput!$M$27,Inputs!$B$4="Chapter Hunt"),CHOOSE(ArtifactsInput!$N$27+1,20,24,28,32,36,40),0)/100)))+1)),0)</f>
        <v/>
      </c>
      <c r="S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$21+Skills!O9+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1341*(1-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$22+Skills!P9+B1364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2">
      <c r="A1342">
        <f>Skills!A10</f>
        <v/>
      </c>
      <c r="B1342">
        <f>Skills!B10</f>
        <v/>
      </c>
      <c r="C1342">
        <f>Inputs!$B$3&gt;=66</f>
        <v/>
      </c>
      <c r="D1342">
        <f>IF(Skills!C10=1,60+Inputs!$B$26+Inputs!$B$30,IF(Skills!C10=2,90+Inputs!$B$27+Inputs!$B$30,IF(Skills!C10=3,120+Inputs!$B$28+Inputs!$B$30,MAX(0,(Inputs!$B$3-100)*3)+Inputs!$B$29+Inputs!$B$30)))</f>
        <v/>
      </c>
      <c r="E1342">
        <f>INDEX(FactorTable!$B$2:$Y$301, MATCH(ROUND(MIN(300,MAX(1,D1342)),0), FactorTable!$A$2:$A$301,0), Skills!L10+1)</f>
        <v/>
      </c>
      <c r="F1342" t="n">
        <v>0</v>
      </c>
      <c r="G1342">
        <f>Calc!G10</f>
        <v/>
      </c>
      <c r="H1342">
        <f>Calc!H10</f>
        <v/>
      </c>
      <c r="I1342">
        <f>IF(Skills!T10&lt;&gt;"",1+(Skills!T10/10)*($Z$3/1000)/100,1)</f>
        <v/>
      </c>
      <c r="J1342" t="inlineStr"/>
      <c r="K1342" t="inlineStr"/>
      <c r="L1342" t="inlineStr"/>
      <c r="M1342" t="inlineStr"/>
      <c r="N1342" t="inlineStr"/>
      <c r="O1342">
        <f>(1-Summary!$B$11)*S1342+Summary!$B$11*U1342</f>
        <v/>
      </c>
      <c r="P1342">
        <f>IF(B1375=0,0,O1342/B1375)</f>
        <v/>
      </c>
      <c r="Q1342">
        <f>IFERROR(1/(IF(Inputs!$B$39="pvp",15,MAX(0.1,Skills!D10-IF(Skills!E10=TRUE,Inputs!$B$33,0)))*(1-IF(AND(ArtifactsInput!$M$27,Inputs!$B$4="Chapter Hunt"),CHOOSE(ArtifactsInput!$N$27+1,20,24,28,32,36,40),0)/100)),0)</f>
        <v/>
      </c>
      <c r="R1342">
        <f>IF(AND(Inputs!$B$39&lt;&gt;"pvp",Inputs!$B$44&gt;0),IF(MAX(0,Inputs!$B$44-B1372)&lt;=0,0,(INT(MAX(0,Inputs!$B$44-B1372)/(IF(Inputs!$B$39="pvp",15,MAX(0.1,Skills!D10-IF(Skills!E10=TRUE,Inputs!$B$33,0)))*(1-IF(AND(ArtifactsInput!$M$27,Inputs!$B$4="Chapter Hunt"),CHOOSE(ArtifactsInput!$N$27+1,20,24,28,32,36,40),0)/100)))+1)),0)</f>
        <v/>
      </c>
      <c r="S1342" t="n">
        <v>0</v>
      </c>
      <c r="U1342" t="n">
        <v>0</v>
      </c>
    </row>
    <row r="1343">
      <c r="A1343">
        <f>Skills!A11</f>
        <v/>
      </c>
      <c r="B1343">
        <f>Skills!B11</f>
        <v/>
      </c>
      <c r="C1343">
        <f>Inputs!$B$3&gt;=69</f>
        <v/>
      </c>
      <c r="D1343">
        <f>IF(Skills!C11=1,60+Inputs!$B$26+Inputs!$B$30,IF(Skills!C11=2,90+Inputs!$B$27+Inputs!$B$30,IF(Skills!C11=3,120+Inputs!$B$28+Inputs!$B$30,MAX(0,(Inputs!$B$3-100)*3)+Inputs!$B$29+Inputs!$B$30)))</f>
        <v/>
      </c>
      <c r="E1343">
        <f>INDEX(FactorTable!$B$2:$Y$301, MATCH(ROUND(MIN(300,MAX(1,D1343)),0), FactorTable!$A$2:$A$301,0), Skills!L11+1)</f>
        <v/>
      </c>
      <c r="F1343">
        <f>IF(Skills!M11=TRUE,(Skills!K11/10)*(E1343/1000),Skills!K11/10)+Skills!N11</f>
        <v/>
      </c>
      <c r="G1343">
        <f>Calc!G11</f>
        <v/>
      </c>
      <c r="H1343">
        <f>Calc!H11</f>
        <v/>
      </c>
      <c r="I1343">
        <f>IF(Skills!T11&lt;&gt;"",1+(Skills!T11/10)*($Z$3/1000)/100,1)</f>
        <v/>
      </c>
      <c r="J1343" t="inlineStr"/>
      <c r="K1343" t="inlineStr"/>
      <c r="L1343" t="inlineStr"/>
      <c r="M1343" t="inlineStr"/>
      <c r="N1343" t="inlineStr"/>
      <c r="O1343">
        <f>(1-Summary!$B$11)*S1343+Summary!$B$11*U1343</f>
        <v/>
      </c>
      <c r="P1343">
        <f>IF(B1375=0,0,O1343/B1375)</f>
        <v/>
      </c>
      <c r="Q1343">
        <f>IFERROR(1/(IF(Inputs!$B$39="pvp",15,MAX(0.1,Skills!D11-IF(Skills!E11=TRUE,Inputs!$B$33,0)))*(1-IF(AND(ArtifactsInput!$M$27,Inputs!$B$4="Chapter Hunt"),CHOOSE(ArtifactsInput!$N$27+1,20,24,28,32,36,40),0)/100)),0)</f>
        <v/>
      </c>
      <c r="R1343">
        <f>IF(AND(Inputs!$B$39&lt;&gt;"pvp",Inputs!$B$44&gt;0),IF(Inputs!$B$44&lt;=0,0,(INT(Inputs!$B$44/(IF(Inputs!$B$39="pvp",15,MAX(0.1,Skills!D11-IF(Skills!E11=TRUE,Inputs!$B$33,0)))*(1-IF(AND(ArtifactsInput!$M$27,Inputs!$B$4="Chapter Hunt"),CHOOSE(ArtifactsInput!$N$27+1,20,24,28,32,36,40),0)/100)))+1)),0)</f>
        <v/>
      </c>
      <c r="S1343" t="n">
        <v>0</v>
      </c>
      <c r="U1343" t="n">
        <v>0</v>
      </c>
    </row>
    <row r="1344">
      <c r="A1344">
        <f>Skills!A12</f>
        <v/>
      </c>
      <c r="B1344">
        <f>Skills!B12</f>
        <v/>
      </c>
      <c r="C1344">
        <f>Inputs!$B$3&gt;=72</f>
        <v/>
      </c>
      <c r="D1344">
        <f>IF(Skills!C12=1,60+Inputs!$B$26+Inputs!$B$30,IF(Skills!C12=2,90+Inputs!$B$27+Inputs!$B$30,IF(Skills!C12=3,120+Inputs!$B$28+Inputs!$B$30,MAX(0,(Inputs!$B$3-100)*3)+Inputs!$B$29+Inputs!$B$30)))</f>
        <v/>
      </c>
      <c r="E1344">
        <f>INDEX(FactorTable!$B$2:$Y$301, MATCH(ROUND(MIN(300,MAX(1,D1344)),0), FactorTable!$A$2:$A$301,0), Skills!L12+1)</f>
        <v/>
      </c>
      <c r="F1344">
        <f>IF(Skills!M12=TRUE,(Skills!K12/10)*(E1344/1000),Skills!K12/10)+Skills!N12</f>
        <v/>
      </c>
      <c r="G1344">
        <f>Calc!G12</f>
        <v/>
      </c>
      <c r="H1344">
        <f>Calc!H12</f>
        <v/>
      </c>
      <c r="I1344">
        <f>IF(Skills!T12&lt;&gt;"",1+(Skills!T12/10)*($Z$3/1000)/100,1)</f>
        <v/>
      </c>
      <c r="J1344" t="inlineStr"/>
      <c r="K1344" t="inlineStr"/>
      <c r="L1344" t="inlineStr"/>
      <c r="M1344" t="inlineStr"/>
      <c r="N1344" t="inlineStr"/>
      <c r="O1344">
        <f>(1-Summary!$B$11)*S1344+Summary!$B$11*U1344</f>
        <v/>
      </c>
      <c r="P1344">
        <f>IF(B1375=0,0,O1344/B1375)</f>
        <v/>
      </c>
      <c r="Q1344">
        <f>IFERROR(1/(IF(Inputs!$B$39="pvp",15,MAX(0.1,Skills!D12-IF(Skills!E12=TRUE,Inputs!$B$33,0)))*(1-IF(AND(ArtifactsInput!$M$27,Inputs!$B$4="Chapter Hunt"),CHOOSE(ArtifactsInput!$N$27+1,20,24,28,32,36,40),0)/100)),0)</f>
        <v/>
      </c>
      <c r="R1344">
        <f>IF(AND(Inputs!$B$39&lt;&gt;"pvp",Inputs!$B$44&gt;0),IF(MAX(0,Inputs!$B$44-B1372)&lt;=0,0,(INT(MAX(0,Inputs!$B$44-B1372)/(IF(Inputs!$B$39="pvp",15,MAX(0.1,Skills!D12-IF(Skills!E12=TRUE,Inputs!$B$33,0)))*(1-IF(AND(ArtifactsInput!$M$27,Inputs!$B$4="Chapter Hunt"),CHOOSE(ArtifactsInput!$N$27+1,20,24,28,32,36,40),0)/100)))+1)),0)</f>
        <v/>
      </c>
      <c r="S1344" t="n">
        <v>0</v>
      </c>
      <c r="U1344" t="n">
        <v>0</v>
      </c>
    </row>
    <row r="1345">
      <c r="A1345">
        <f>Skills!A13</f>
        <v/>
      </c>
      <c r="B1345">
        <f>Skills!B13</f>
        <v/>
      </c>
      <c r="C1345">
        <f>Inputs!$B$3&gt;=60</f>
        <v/>
      </c>
      <c r="D1345">
        <f>IF(Skills!C13=1,60+Inputs!$B$26+Inputs!$B$30,IF(Skills!C13=2,90+Inputs!$B$27+Inputs!$B$30,IF(Skills!C13=3,120+Inputs!$B$28+Inputs!$B$30,MAX(0,(Inputs!$B$3-100)*3)+Inputs!$B$29+Inputs!$B$30)))</f>
        <v/>
      </c>
      <c r="E1345">
        <f>INDEX(FactorTable!$B$2:$Y$301, MATCH(ROUND(MIN(300,MAX(1,D1345)),0), FactorTable!$A$2:$A$301,0), Skills!L13+1)</f>
        <v/>
      </c>
      <c r="F1345">
        <f>IF(Skills!M13=TRUE,(Skills!K13/10)*(E1345/1000),Skills!K13/10)+Skills!N13</f>
        <v/>
      </c>
      <c r="G1345">
        <f>Calc!G13</f>
        <v/>
      </c>
      <c r="H1345">
        <f>Calc!H13</f>
        <v/>
      </c>
      <c r="I1345">
        <f>IF(Skills!T13&lt;&gt;"",1+(Skills!T13/10)*($Z$3/1000)/100,1)</f>
        <v/>
      </c>
      <c r="J1345" t="inlineStr"/>
      <c r="K1345" t="inlineStr"/>
      <c r="L1345" t="inlineStr"/>
      <c r="M1345" t="inlineStr"/>
      <c r="N1345" t="inlineStr"/>
      <c r="O1345">
        <f>(1-Summary!$B$11)*S1345+Summary!$B$11*U1345</f>
        <v/>
      </c>
      <c r="P1345">
        <f>IF(B1375=0,0,O1345/B1375)</f>
        <v/>
      </c>
      <c r="Q1345">
        <f>IFERROR(1/(IF(Inputs!$B$39="pvp",15,MAX(0.1,Skills!D13-IF(Skills!E13=TRUE,Inputs!$B$33,0)))*(1-IF(AND(ArtifactsInput!$M$27,Inputs!$B$4="Chapter Hunt"),CHOOSE(ArtifactsInput!$N$27+1,20,24,28,32,36,40),0)/100)),0)</f>
        <v/>
      </c>
      <c r="R1345">
        <f>IF(AND(Inputs!$B$39&lt;&gt;"pvp",Inputs!$B$44&gt;0),IF(MAX(0,Inputs!$B$44-B1372)&lt;=0,0,(INT(MAX(0,Inputs!$B$44-B1372)/(IF(Inputs!$B$39="pvp",15,MAX(0.1,Skills!D13-IF(Skills!E13=TRUE,Inputs!$B$33,0)))*(1-IF(AND(ArtifactsInput!$M$27,Inputs!$B$4="Chapter Hunt"),CHOOSE(ArtifactsInput!$N$27+1,20,24,28,32,36,40),0)/100)))+1)),0)</f>
        <v/>
      </c>
      <c r="S1345" t="n">
        <v>0</v>
      </c>
      <c r="U1345" t="n">
        <v>0</v>
      </c>
    </row>
    <row r="1346">
      <c r="A1346">
        <f>Skills!A14</f>
        <v/>
      </c>
      <c r="B1346">
        <f>Skills!B14</f>
        <v/>
      </c>
      <c r="C1346">
        <f>Inputs!$B$3&gt;=107</f>
        <v/>
      </c>
      <c r="D1346">
        <f>IF(Skills!C14=1,60+Inputs!$B$26+Inputs!$B$30,IF(Skills!C14=2,90+Inputs!$B$27+Inputs!$B$30,IF(Skills!C14=3,120+Inputs!$B$28+Inputs!$B$30,MAX(0,(Inputs!$B$3-100)*3)+Inputs!$B$29+Inputs!$B$30)))</f>
        <v/>
      </c>
      <c r="E1346">
        <f>INDEX(FactorTable!$B$2:$Y$301, MATCH(ROUND(MIN(300,MAX(1,D1346)),0), FactorTable!$A$2:$A$301,0), Skills!L14+1)</f>
        <v/>
      </c>
      <c r="F1346">
        <f>IF(Skills!M14=TRUE,(Skills!K14/10)*(E1346/1000),Skills!K14/10)+Skills!N14</f>
        <v/>
      </c>
      <c r="G1346">
        <f>Calc!G14</f>
        <v/>
      </c>
      <c r="H1346">
        <f>Calc!H14</f>
        <v/>
      </c>
      <c r="I1346">
        <f>IF(Skills!T14&lt;&gt;"",1+(Skills!T14/10)*($Z$3/1000)/100,1)</f>
        <v/>
      </c>
      <c r="J1346" t="inlineStr"/>
      <c r="K1346" t="inlineStr"/>
      <c r="L1346" t="inlineStr"/>
      <c r="M1346" t="inlineStr"/>
      <c r="N1346" t="inlineStr"/>
      <c r="O1346">
        <f>(1-Summary!$B$11)*S1346+Summary!$B$11*U1346</f>
        <v/>
      </c>
      <c r="P1346">
        <f>IF(B1375=0,0,O1346/B1375)</f>
        <v/>
      </c>
      <c r="Q1346">
        <f>IFERROR(1/(IF(Inputs!$B$39="pvp",15,MAX(0.1,Skills!D14-IF(Skills!E14=TRUE,Inputs!$B$33,0)))*(1-IF(AND(ArtifactsInput!$M$27,Inputs!$B$4="Chapter Hunt"),CHOOSE(ArtifactsInput!$N$27+1,20,24,28,32,36,40),0)/100)),0)</f>
        <v/>
      </c>
      <c r="R1346">
        <f>IF(AND(Inputs!$B$39&lt;&gt;"pvp",Inputs!$B$44&gt;0),IF(Inputs!$B$44&lt;=0,0,(INT(Inputs!$B$44/(IF(Inputs!$B$39="pvp",15,MAX(0.1,Skills!D14-IF(Skills!E14=TRUE,Inputs!$B$33,0)))*(1-IF(AND(ArtifactsInput!$M$27,Inputs!$B$4="Chapter Hunt"),CHOOSE(ArtifactsInput!$N$27+1,20,24,28,32,36,40),0)/100)))+1)),0)</f>
        <v/>
      </c>
      <c r="S1346" t="n">
        <v>0</v>
      </c>
      <c r="U1346" t="n">
        <v>0</v>
      </c>
    </row>
    <row r="1347">
      <c r="A1347">
        <f>Skills!A15</f>
        <v/>
      </c>
      <c r="B1347">
        <f>Skills!B15</f>
        <v/>
      </c>
      <c r="C1347">
        <f>Inputs!$B$3&gt;=63</f>
        <v/>
      </c>
      <c r="D1347">
        <f>IF(Skills!C15=1,60+Inputs!$B$26+Inputs!$B$30,IF(Skills!C15=2,90+Inputs!$B$27+Inputs!$B$30,IF(Skills!C15=3,120+Inputs!$B$28+Inputs!$B$30,MAX(0,(Inputs!$B$3-100)*3)+Inputs!$B$29+Inputs!$B$30)))</f>
        <v/>
      </c>
      <c r="E1347">
        <f>INDEX(FactorTable!$B$2:$Y$301, MATCH(ROUND(MIN(300,MAX(1,D1347)),0), FactorTable!$A$2:$A$301,0), Skills!L15+1)</f>
        <v/>
      </c>
      <c r="F1347">
        <f>IF(Skills!M15=TRUE,(Skills!K15/10)*(E1347/1000),Skills!K15/10)+Skills!N15</f>
        <v/>
      </c>
      <c r="G1347">
        <f>Calc!G15</f>
        <v/>
      </c>
      <c r="H1347">
        <f>Calc!H15</f>
        <v/>
      </c>
      <c r="I1347">
        <f>IF(Skills!T15&lt;&gt;"",1+(Skills!T15/10)*($Z$3/1000)/100,1)</f>
        <v/>
      </c>
      <c r="J1347">
        <f>((Inputs!$B$6*(1+Inputs!$B$7/100))+(((Inputs!$B$13*(1+Inputs!$B$14/100))-(Inputs!$B$13*(1+Inputs!$B$14/100)))+0.25*(Inputs!$B$15-Inputs!$B$15))*(1+Inputs!$B$7/100))*(F1347/100)</f>
        <v/>
      </c>
      <c r="K1347">
        <f>J1347*(1+(((Inputs!$B$13+IF(Inputs!$B$3&gt;=35,(10*INDEX(FactorTable!$B$2:$Y$301,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15="TRIUMPH_FEATHER",IF(C1348=TRUE,F1348,0),0)/100)*(1+IF(C1359=TRUE,F1359,0)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1347)</f>
        <v/>
      </c>
      <c r="L1347">
        <f>K1347*(MIN(Inputs!$B$23+(F1354-Calc!F22),(Inputs!$B$24+IF(ArtifactsInput!$M$15,CHOOSE(ArtifactsInput!$N$15+1,25,30,35,40,45,50)/100*(Inputs!$B$12-Inputs!$B$12),0)))/100+(Inputs!$B$24+IF(ArtifactsInput!$M$15,CHOOSE(ArtifactsInput!$N$15+1,25,30,35,40,45,50)/100*(Inputs!$B$12-Inputs!$B$12),0))/100)/2</f>
        <v/>
      </c>
      <c r="M1347">
        <f>L1347*(1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7">
        <f>L1347*(1-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1347*(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7">
        <f>(1-Summary!$B$11)*S1347+Summary!$B$11*U1347</f>
        <v/>
      </c>
      <c r="P1347">
        <f>IF(B1375=0,0,O1347/B1375)</f>
        <v/>
      </c>
      <c r="Q1347">
        <f>IFERROR(1/(IF(Inputs!$B$39="pvp",15,MAX(0.1,Skills!D15-IF(Skills!E15=TRUE,Inputs!$B$33,0)))*(1-IF(AND(ArtifactsInput!$M$27,Inputs!$B$4="Chapter Hunt"),CHOOSE(ArtifactsInput!$N$27+1,20,24,28,32,36,40),0)/100)),0)</f>
        <v/>
      </c>
      <c r="R1347" t="n">
        <v>0</v>
      </c>
      <c r="S1347">
        <f>IF(C1347,(Skills!F15*N1347*((IF(Inputs!$B$3&gt;=78,25,15)/100*B1368*10)/(1+IF(Inputs!$B$3&gt;=78,25,15)/100*B1368*10))*(Skills!I15/100*B1368)/(1+Skills!G15*Skills!I15/100*B1368))*IF(Inputs!$B$39="pvp",1,1+(Inputs!$B$21+Skills!O15+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1347*(1-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1347*(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1347*(1-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1347*(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7">
        <f>IF(C1347,(Skills!F15*N1347*((IF(Inputs!$B$3&gt;=78,25,15)/100*B1368*10)/(1+IF(Inputs!$B$3&gt;=78,25,15)/100*B1368*10))*(Skills!I15/100*B1368)/(1+Skills!G15*Skills!I15/100*B1368))*IF(Inputs!$B$39="pvp",1,(1+(Inputs!$B$22+Skills!P15+B1364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8">
      <c r="A1348">
        <f>Skills!A16</f>
        <v/>
      </c>
      <c r="B1348">
        <f>Skills!B16</f>
        <v/>
      </c>
      <c r="C1348">
        <f>Inputs!$B$3&gt;=100</f>
        <v/>
      </c>
      <c r="D1348">
        <f>IF(Skills!C16=1,60+Inputs!$B$26+Inputs!$B$30,IF(Skills!C16=2,90+Inputs!$B$27+Inputs!$B$30,IF(Skills!C16=3,120+Inputs!$B$28+Inputs!$B$30,MAX(0,(Inputs!$B$3-100)*3)+Inputs!$B$29+Inputs!$B$30)))</f>
        <v/>
      </c>
      <c r="E1348">
        <f>INDEX(FactorTable!$B$2:$Y$301, MATCH(ROUND(MIN(300,MAX(1,D1348)),0), FactorTable!$A$2:$A$301,0), Skills!L16+1)</f>
        <v/>
      </c>
      <c r="F1348">
        <f>IF(Skills!M16=TRUE,(Skills!K16/10)*(E1348/1000),Skills!K16/10)+Skills!N16</f>
        <v/>
      </c>
      <c r="G1348">
        <f>Calc!G16</f>
        <v/>
      </c>
      <c r="H1348">
        <f>Calc!H16</f>
        <v/>
      </c>
      <c r="I1348">
        <f>IF(Skills!T16&lt;&gt;"",1+(Skills!T16/10)*($Z$3/1000)/100,1)</f>
        <v/>
      </c>
      <c r="J1348" t="inlineStr"/>
      <c r="K1348" t="inlineStr"/>
      <c r="L1348" t="inlineStr"/>
      <c r="M1348" t="inlineStr"/>
      <c r="N1348" t="inlineStr"/>
      <c r="O1348">
        <f>(1-Summary!$B$11)*S1348+Summary!$B$11*U1348</f>
        <v/>
      </c>
      <c r="P1348">
        <f>IF(B1375=0,0,O1348/B1375)</f>
        <v/>
      </c>
      <c r="Q1348">
        <f>IFERROR(1/(IF(Inputs!$B$39="pvp",15,MAX(0.1,Skills!D16-IF(Skills!E16=TRUE,Inputs!$B$33,0)))*(1-IF(AND(ArtifactsInput!$M$27,Inputs!$B$4="Chapter Hunt"),CHOOSE(ArtifactsInput!$N$27+1,20,24,28,32,36,40),0)/100)),0)</f>
        <v/>
      </c>
      <c r="R1348" t="n">
        <v>0</v>
      </c>
      <c r="S1348" t="n">
        <v>0</v>
      </c>
      <c r="U1348" t="n">
        <v>0</v>
      </c>
    </row>
    <row r="1349">
      <c r="A1349">
        <f>Skills!A17</f>
        <v/>
      </c>
      <c r="B1349">
        <f>Skills!B17</f>
        <v/>
      </c>
      <c r="C1349">
        <f>Inputs!$B$3&gt;=49</f>
        <v/>
      </c>
      <c r="D1349">
        <f>IF(Skills!C17=1,60+Inputs!$B$26+Inputs!$B$30,IF(Skills!C17=2,90+Inputs!$B$27+Inputs!$B$30,IF(Skills!C17=3,120+Inputs!$B$28+Inputs!$B$30,MAX(0,(Inputs!$B$3-100)*3)+Inputs!$B$29+Inputs!$B$30)))</f>
        <v/>
      </c>
      <c r="E1349">
        <f>INDEX(FactorTable!$B$2:$Y$301, MATCH(ROUND(MIN(300,MAX(1,D1349)),0), FactorTable!$A$2:$A$301,0), Skills!L17+1)</f>
        <v/>
      </c>
      <c r="F1349">
        <f>IF(Skills!M17=TRUE,(Skills!K17/10)*(E1349/1000),Skills!K17/10)+Skills!N17</f>
        <v/>
      </c>
      <c r="G1349">
        <f>Calc!G17</f>
        <v/>
      </c>
      <c r="H1349">
        <f>Calc!H17</f>
        <v/>
      </c>
      <c r="I1349">
        <f>IF(Skills!T17&lt;&gt;"",1+(Skills!T17/10)*($Z$3/1000)/100,1)</f>
        <v/>
      </c>
      <c r="J1349" t="inlineStr"/>
      <c r="K1349" t="inlineStr"/>
      <c r="L1349" t="inlineStr"/>
      <c r="M1349" t="inlineStr"/>
      <c r="N1349" t="inlineStr"/>
      <c r="O1349">
        <f>(1-Summary!$B$11)*S1349+Summary!$B$11*U1349</f>
        <v/>
      </c>
      <c r="P1349">
        <f>IF(B1375=0,0,O1349/B1375)</f>
        <v/>
      </c>
      <c r="Q1349">
        <f>IFERROR(1/(IF(Inputs!$B$39="pvp",15,MAX(0.1,Skills!D17-IF(Skills!E17=TRUE,Inputs!$B$33,0)))*(1-IF(AND(ArtifactsInput!$M$27,Inputs!$B$4="Chapter Hunt"),CHOOSE(ArtifactsInput!$N$27+1,20,24,28,32,36,40),0)/100)),0)</f>
        <v/>
      </c>
      <c r="R1349" t="n">
        <v>0</v>
      </c>
      <c r="S1349" t="n">
        <v>0</v>
      </c>
      <c r="U1349" t="n">
        <v>0</v>
      </c>
    </row>
    <row r="1350">
      <c r="A1350">
        <f>Skills!A18</f>
        <v/>
      </c>
      <c r="B1350">
        <f>Skills!B18</f>
        <v/>
      </c>
      <c r="C1350">
        <f>Inputs!$B$3&gt;=75</f>
        <v/>
      </c>
      <c r="D1350">
        <f>IF(Skills!C18=1,60+Inputs!$B$26+Inputs!$B$30,IF(Skills!C18=2,90+Inputs!$B$27+Inputs!$B$30,IF(Skills!C18=3,120+Inputs!$B$28+Inputs!$B$30,MAX(0,(Inputs!$B$3-100)*3)+Inputs!$B$29+Inputs!$B$30)))</f>
        <v/>
      </c>
      <c r="E1350">
        <f>INDEX(FactorTable!$B$2:$Y$301, MATCH(ROUND(MIN(300,MAX(1,D1350)),0), FactorTable!$A$2:$A$301,0), Skills!L18+1)</f>
        <v/>
      </c>
      <c r="F1350">
        <f>IF(Skills!M18=TRUE,(Skills!K18/10)*(E1350/1000),Skills!K18/10)+Skills!N18</f>
        <v/>
      </c>
      <c r="G1350">
        <f>Calc!G18</f>
        <v/>
      </c>
      <c r="H1350">
        <f>Calc!H18</f>
        <v/>
      </c>
      <c r="I1350">
        <f>IF(Skills!T18&lt;&gt;"",1+(Skills!T18/10)*($Z$3/1000)/100,1)</f>
        <v/>
      </c>
      <c r="J1350" t="inlineStr"/>
      <c r="K1350" t="inlineStr"/>
      <c r="L1350" t="inlineStr"/>
      <c r="M1350" t="inlineStr"/>
      <c r="N1350" t="inlineStr"/>
      <c r="O1350">
        <f>(1-Summary!$B$11)*S1350+Summary!$B$11*U1350</f>
        <v/>
      </c>
      <c r="P1350">
        <f>IF(B1375=0,0,O1350/B1375)</f>
        <v/>
      </c>
      <c r="Q1350">
        <f>IFERROR(1/(IF(Inputs!$B$39="pvp",15,MAX(0.1,Skills!D18-IF(Skills!E18=TRUE,Inputs!$B$33,0)))*(1-IF(AND(ArtifactsInput!$M$27,Inputs!$B$4="Chapter Hunt"),CHOOSE(ArtifactsInput!$N$27+1,20,24,28,32,36,40),0)/100)),0)</f>
        <v/>
      </c>
      <c r="R1350" t="n">
        <v>0</v>
      </c>
      <c r="S1350" t="n">
        <v>0</v>
      </c>
      <c r="U1350" t="n">
        <v>0</v>
      </c>
    </row>
    <row r="1351">
      <c r="A1351">
        <f>Skills!A19</f>
        <v/>
      </c>
      <c r="B1351">
        <f>Skills!B19</f>
        <v/>
      </c>
      <c r="C1351">
        <f>Inputs!$B$3&gt;=110</f>
        <v/>
      </c>
      <c r="D1351">
        <f>IF(Skills!C19=1,60+Inputs!$B$26+Inputs!$B$30,IF(Skills!C19=2,90+Inputs!$B$27+Inputs!$B$30,IF(Skills!C19=3,120+Inputs!$B$28+Inputs!$B$30,MAX(0,(Inputs!$B$3-100)*3)+Inputs!$B$29+Inputs!$B$30)))</f>
        <v/>
      </c>
      <c r="E1351">
        <f>INDEX(FactorTable!$B$2:$Y$301, MATCH(ROUND(MIN(300,MAX(1,D1351)),0), FactorTable!$A$2:$A$301,0), Skills!L19+1)</f>
        <v/>
      </c>
      <c r="F1351">
        <f>(Skills!K19/10)*(E1351/1000)*64/45+Skills!N19</f>
        <v/>
      </c>
      <c r="G1351">
        <f>Calc!G19</f>
        <v/>
      </c>
      <c r="H1351">
        <f>Calc!H19</f>
        <v/>
      </c>
      <c r="I1351">
        <f>IF(Skills!T19&lt;&gt;"",1+(Skills!T19/10)*($Z$3/1000)/100,1)</f>
        <v/>
      </c>
      <c r="J1351" t="inlineStr"/>
      <c r="K1351" t="inlineStr"/>
      <c r="L1351" t="inlineStr"/>
      <c r="M1351" t="inlineStr"/>
      <c r="N1351" t="inlineStr"/>
      <c r="O1351">
        <f>(1-Summary!$B$11)*S1351+Summary!$B$11*U1351</f>
        <v/>
      </c>
      <c r="P1351">
        <f>IF(B1375=0,0,O1351/B1375)</f>
        <v/>
      </c>
      <c r="Q1351">
        <f>IFERROR(1/(IF(Inputs!$B$39="pvp",15,MAX(0.1,Skills!D19-IF(Skills!E19=TRUE,Inputs!$B$33,0)))*(1-IF(AND(ArtifactsInput!$M$27,Inputs!$B$4="Chapter Hunt"),CHOOSE(ArtifactsInput!$N$27+1,20,24,28,32,36,40),0)/100)),0)</f>
        <v/>
      </c>
      <c r="R1351">
        <f>IF(AND(Inputs!$B$39&lt;&gt;"pvp",Inputs!$B$44&gt;0),IF(Inputs!$B$44&lt;=0,0,(INT(Inputs!$B$44/(IF(Inputs!$B$39="pvp",15,MAX(0.1,Skills!D19-IF(Skills!E19=TRUE,Inputs!$B$33,0)))*(1-IF(AND(ArtifactsInput!$M$27,Inputs!$B$4="Chapter Hunt"),CHOOSE(ArtifactsInput!$N$27+1,20,24,28,32,36,40),0)/100)))+1)),0)</f>
        <v/>
      </c>
      <c r="S1351" t="n">
        <v>0</v>
      </c>
      <c r="U1351" t="n">
        <v>0</v>
      </c>
    </row>
    <row r="1352">
      <c r="A1352">
        <f>Skills!A20</f>
        <v/>
      </c>
      <c r="B1352">
        <f>Skills!B20</f>
        <v/>
      </c>
      <c r="C1352">
        <f>Inputs!$B$3&gt;=125</f>
        <v/>
      </c>
      <c r="D1352">
        <f>IF(Skills!C20=1,60+Inputs!$B$26+Inputs!$B$30,IF(Skills!C20=2,90+Inputs!$B$27+Inputs!$B$30,IF(Skills!C20=3,120+Inputs!$B$28+Inputs!$B$30,MAX(0,(Inputs!$B$3-100)*3)+Inputs!$B$29+Inputs!$B$30)))</f>
        <v/>
      </c>
      <c r="E1352">
        <f>INDEX(FactorTable!$B$2:$Y$301, MATCH(ROUND(MIN(300,MAX(1,D1352)),0), FactorTable!$A$2:$A$301,0), Skills!L20+1)</f>
        <v/>
      </c>
      <c r="F1352">
        <f>IF(Skills!M20=TRUE,(Skills!K20/10)*(E1352/1000),Skills!K20/10)+Skills!N20</f>
        <v/>
      </c>
      <c r="G1352">
        <f>Calc!G20</f>
        <v/>
      </c>
      <c r="H1352">
        <f>Calc!H20</f>
        <v/>
      </c>
      <c r="I1352">
        <f>IF(Skills!T20&lt;&gt;"",1+(Skills!T20/10)*($Z$3/1000)/100,1)</f>
        <v/>
      </c>
      <c r="J1352" t="inlineStr"/>
      <c r="K1352" t="inlineStr"/>
      <c r="L1352" t="inlineStr"/>
      <c r="M1352" t="inlineStr"/>
      <c r="N1352" t="inlineStr"/>
      <c r="O1352">
        <f>(1-Summary!$B$11)*S1352+Summary!$B$11*U1352</f>
        <v/>
      </c>
      <c r="P1352">
        <f>IF(B1375=0,0,O1352/B1375)</f>
        <v/>
      </c>
      <c r="Q1352">
        <f>IFERROR(1/(IF(Inputs!$B$39="pvp",15,MAX(0.1,Skills!D20-IF(Skills!E20=TRUE,Inputs!$B$33,0)))*(1-IF(AND(ArtifactsInput!$M$27,Inputs!$B$4="Chapter Hunt"),CHOOSE(ArtifactsInput!$N$27+1,20,24,28,32,36,40),0)/100)),0)</f>
        <v/>
      </c>
      <c r="R1352" t="n">
        <v>0</v>
      </c>
      <c r="S1352" t="n">
        <v>0</v>
      </c>
      <c r="U1352" t="n">
        <v>0</v>
      </c>
    </row>
    <row r="1353">
      <c r="A1353">
        <f>Skills!A21</f>
        <v/>
      </c>
      <c r="B1353">
        <f>Skills!B21</f>
        <v/>
      </c>
      <c r="C1353">
        <f>Inputs!$B$3&gt;=33</f>
        <v/>
      </c>
      <c r="D1353">
        <f>IF(Skills!C21=1,60+Inputs!$B$26+Inputs!$B$30,IF(Skills!C21=2,90+Inputs!$B$27+Inputs!$B$30,IF(Skills!C21=3,120+Inputs!$B$28+Inputs!$B$30,MAX(0,(Inputs!$B$3-100)*3)+Inputs!$B$29+Inputs!$B$30)))</f>
        <v/>
      </c>
      <c r="E1353">
        <f>INDEX(FactorTable!$B$2:$Y$301, MATCH(ROUND(MIN(300,MAX(1,D1353)),0), FactorTable!$A$2:$A$301,0), Skills!L21+1)</f>
        <v/>
      </c>
      <c r="F1353">
        <f>IF(Skills!M21=TRUE,(Skills!K21/10)*(E1353/1000),Skills!K21/10)+Skills!N21</f>
        <v/>
      </c>
      <c r="G1353">
        <f>Calc!G21</f>
        <v/>
      </c>
      <c r="H1353">
        <f>Calc!H21</f>
        <v/>
      </c>
      <c r="I1353">
        <f>IF(Skills!T21&lt;&gt;"",1+(Skills!T21/10)*($Z$3/1000)/100,1)</f>
        <v/>
      </c>
      <c r="J1353" t="inlineStr"/>
      <c r="K1353" t="inlineStr"/>
      <c r="L1353" t="inlineStr"/>
      <c r="M1353" t="inlineStr"/>
      <c r="N1353" t="inlineStr"/>
      <c r="O1353">
        <f>(1-Summary!$B$11)*S1353+Summary!$B$11*U1353</f>
        <v/>
      </c>
      <c r="P1353">
        <f>IF(B1375=0,0,O1353/B1375)</f>
        <v/>
      </c>
      <c r="Q1353">
        <f>IFERROR(1/(IF(Inputs!$B$39="pvp",15,MAX(0.1,Skills!D21-IF(Skills!E21=TRUE,Inputs!$B$33,0)))*(1-IF(AND(ArtifactsInput!$M$27,Inputs!$B$4="Chapter Hunt"),CHOOSE(ArtifactsInput!$N$27+1,20,24,28,32,36,40),0)/100)),0)</f>
        <v/>
      </c>
      <c r="R1353" t="n">
        <v>0</v>
      </c>
      <c r="S1353" t="n">
        <v>0</v>
      </c>
      <c r="U1353" t="n">
        <v>0</v>
      </c>
    </row>
    <row r="1354">
      <c r="A1354">
        <f>Skills!A22</f>
        <v/>
      </c>
      <c r="B1354">
        <f>Skills!B22</f>
        <v/>
      </c>
      <c r="C1354">
        <f>Inputs!$B$3&gt;=43</f>
        <v/>
      </c>
      <c r="D1354">
        <f>IF(Skills!C22=1,60+Inputs!$B$26+Inputs!$B$30,IF(Skills!C22=2,90+Inputs!$B$27+Inputs!$B$30,IF(Skills!C22=3,120+Inputs!$B$28+Inputs!$B$30,MAX(0,(Inputs!$B$3-100)*3)+Inputs!$B$29+Inputs!$B$30)))</f>
        <v/>
      </c>
      <c r="E1354">
        <f>INDEX(FactorTable!$B$2:$Y$301, MATCH(ROUND(MIN(300,MAX(1,D1354)),0), FactorTable!$A$2:$A$301,0), Skills!L22+1)</f>
        <v/>
      </c>
      <c r="F1354">
        <f>IF(Skills!M22=TRUE,(Skills!K22/10)*(E1354/1000),Skills!K22/10)+Skills!N22</f>
        <v/>
      </c>
      <c r="G1354">
        <f>Calc!G22</f>
        <v/>
      </c>
      <c r="H1354">
        <f>Calc!H22</f>
        <v/>
      </c>
      <c r="I1354">
        <f>IF(Skills!T22&lt;&gt;"",1+(Skills!T22/10)*($Z$3/1000)/100,1)</f>
        <v/>
      </c>
      <c r="J1354" t="inlineStr"/>
      <c r="K1354" t="inlineStr"/>
      <c r="L1354" t="inlineStr"/>
      <c r="M1354" t="inlineStr"/>
      <c r="N1354" t="inlineStr"/>
      <c r="O1354">
        <f>(1-Summary!$B$11)*S1354+Summary!$B$11*U1354</f>
        <v/>
      </c>
      <c r="P1354">
        <f>IF(B1375=0,0,O1354/B1375)</f>
        <v/>
      </c>
      <c r="Q1354">
        <f>IFERROR(1/(IF(Inputs!$B$39="pvp",15,MAX(0.1,Skills!D22-IF(Skills!E22=TRUE,Inputs!$B$33,0)))*(1-IF(AND(ArtifactsInput!$M$27,Inputs!$B$4="Chapter Hunt"),CHOOSE(ArtifactsInput!$N$27+1,20,24,28,32,36,40),0)/100)),0)</f>
        <v/>
      </c>
      <c r="R1354" t="n">
        <v>0</v>
      </c>
      <c r="S1354" t="n">
        <v>0</v>
      </c>
      <c r="U1354" t="n">
        <v>0</v>
      </c>
    </row>
    <row r="1355">
      <c r="A1355">
        <f>Skills!A23</f>
        <v/>
      </c>
      <c r="B1355">
        <f>Skills!B23</f>
        <v/>
      </c>
      <c r="C1355">
        <f>Inputs!$B$3&gt;=50</f>
        <v/>
      </c>
      <c r="D1355">
        <f>IF(Skills!C23=1,60+Inputs!$B$26+Inputs!$B$30,IF(Skills!C23=2,90+Inputs!$B$27+Inputs!$B$30,IF(Skills!C23=3,120+Inputs!$B$28+Inputs!$B$30,MAX(0,(Inputs!$B$3-100)*3)+Inputs!$B$29+Inputs!$B$30)))</f>
        <v/>
      </c>
      <c r="E1355">
        <f>INDEX(FactorTable!$B$2:$Y$301, MATCH(ROUND(MIN(300,MAX(1,D1355)),0), FactorTable!$A$2:$A$301,0), Skills!L23+1)</f>
        <v/>
      </c>
      <c r="F1355">
        <f>IF(Skills!M23=TRUE,(Skills!K23/10)*(E1355/1000),Skills!K23/10)+Skills!N23</f>
        <v/>
      </c>
      <c r="G1355">
        <f>Calc!G23</f>
        <v/>
      </c>
      <c r="H1355">
        <f>Calc!H23</f>
        <v/>
      </c>
      <c r="I1355">
        <f>IF(Skills!T23&lt;&gt;"",1+(Skills!T23/10)*($Z$3/1000)/100,1)</f>
        <v/>
      </c>
      <c r="J1355" t="inlineStr"/>
      <c r="K1355" t="inlineStr"/>
      <c r="L1355" t="inlineStr"/>
      <c r="M1355" t="inlineStr"/>
      <c r="N1355" t="inlineStr"/>
      <c r="O1355">
        <f>(1-Summary!$B$11)*S1355+Summary!$B$11*U1355</f>
        <v/>
      </c>
      <c r="P1355">
        <f>IF(B1375=0,0,O1355/B1375)</f>
        <v/>
      </c>
      <c r="Q1355">
        <f>IFERROR(1/(IF(Inputs!$B$39="pvp",15,MAX(0.1,Skills!D23-IF(Skills!E23=TRUE,Inputs!$B$33,0)))*(1-IF(AND(ArtifactsInput!$M$27,Inputs!$B$4="Chapter Hunt"),CHOOSE(ArtifactsInput!$N$27+1,20,24,28,32,36,40),0)/100)),0)</f>
        <v/>
      </c>
      <c r="R1355" t="n">
        <v>0</v>
      </c>
      <c r="S1355" t="n">
        <v>0</v>
      </c>
      <c r="U1355" t="n">
        <v>0</v>
      </c>
    </row>
    <row r="1356">
      <c r="A1356">
        <f>Skills!A24</f>
        <v/>
      </c>
      <c r="B1356">
        <f>Skills!B24</f>
        <v/>
      </c>
      <c r="C1356">
        <f>Inputs!$B$3&gt;=74</f>
        <v/>
      </c>
      <c r="D1356">
        <f>IF(Skills!C24=1,60+Inputs!$B$26+Inputs!$B$30,IF(Skills!C24=2,90+Inputs!$B$27+Inputs!$B$30,IF(Skills!C24=3,120+Inputs!$B$28+Inputs!$B$30,MAX(0,(Inputs!$B$3-100)*3)+Inputs!$B$29+Inputs!$B$30)))</f>
        <v/>
      </c>
      <c r="E1356">
        <f>INDEX(FactorTable!$B$2:$Y$301, MATCH(ROUND(MIN(300,MAX(1,D1356)),0), FactorTable!$A$2:$A$301,0), Skills!L24+1)</f>
        <v/>
      </c>
      <c r="F1356">
        <f>IF(Skills!M24=TRUE,(Skills!K24/10)*(E1356/1000),Skills!K24/10)+Skills!N24</f>
        <v/>
      </c>
      <c r="G1356">
        <f>Calc!G24</f>
        <v/>
      </c>
      <c r="H1356">
        <f>Calc!H24</f>
        <v/>
      </c>
      <c r="I1356">
        <f>IF(Skills!T24&lt;&gt;"",1+(Skills!T24/10)*($Z$3/1000)/100,1)</f>
        <v/>
      </c>
      <c r="J1356" t="inlineStr"/>
      <c r="K1356" t="inlineStr"/>
      <c r="L1356" t="inlineStr"/>
      <c r="M1356" t="inlineStr"/>
      <c r="N1356" t="inlineStr"/>
      <c r="O1356">
        <f>(1-Summary!$B$11)*S1356+Summary!$B$11*U1356</f>
        <v/>
      </c>
      <c r="P1356">
        <f>IF(B1375=0,0,O1356/B1375)</f>
        <v/>
      </c>
      <c r="Q1356">
        <f>IFERROR(1/(IF(Inputs!$B$39="pvp",15,MAX(0.1,Skills!D24-IF(Skills!E24=TRUE,Inputs!$B$33,0)))*(1-IF(AND(ArtifactsInput!$M$27,Inputs!$B$4="Chapter Hunt"),CHOOSE(ArtifactsInput!$N$27+1,20,24,28,32,36,40),0)/100)),0)</f>
        <v/>
      </c>
      <c r="R1356" t="n">
        <v>0</v>
      </c>
      <c r="S1356" t="n">
        <v>0</v>
      </c>
      <c r="U1356" t="n">
        <v>0</v>
      </c>
    </row>
    <row r="1357">
      <c r="A1357">
        <f>Skills!A25</f>
        <v/>
      </c>
      <c r="B1357">
        <f>Skills!B25</f>
        <v/>
      </c>
      <c r="C1357">
        <f>Inputs!$B$3&gt;=74</f>
        <v/>
      </c>
      <c r="D1357">
        <f>IF(Skills!C25=1,60+Inputs!$B$26+Inputs!$B$30,IF(Skills!C25=2,90+Inputs!$B$27+Inputs!$B$30,IF(Skills!C25=3,120+Inputs!$B$28+Inputs!$B$30,MAX(0,(Inputs!$B$3-100)*3)+Inputs!$B$29+Inputs!$B$30)))</f>
        <v/>
      </c>
      <c r="E1357">
        <f>INDEX(FactorTable!$B$2:$Y$301, MATCH(ROUND(MIN(300,MAX(1,D1357)),0), FactorTable!$A$2:$A$301,0), Skills!L25+1)</f>
        <v/>
      </c>
      <c r="F1357">
        <f>IF(Skills!M25=TRUE,(Skills!K25/10)*(E1357/1000),Skills!K25/10)+Skills!N25</f>
        <v/>
      </c>
      <c r="G1357">
        <f>Calc!G25</f>
        <v/>
      </c>
      <c r="H1357">
        <f>Calc!H25</f>
        <v/>
      </c>
      <c r="I1357">
        <f>IF(Skills!T25&lt;&gt;"",1+(Skills!T25/10)*($Z$3/1000)/100,1)</f>
        <v/>
      </c>
      <c r="J1357" t="inlineStr"/>
      <c r="K1357" t="inlineStr"/>
      <c r="L1357" t="inlineStr"/>
      <c r="M1357" t="inlineStr"/>
      <c r="N1357" t="inlineStr"/>
      <c r="O1357">
        <f>(1-Summary!$B$11)*S1357+Summary!$B$11*U1357</f>
        <v/>
      </c>
      <c r="P1357">
        <f>IF(B1375=0,0,O1357/B1375)</f>
        <v/>
      </c>
      <c r="Q1357">
        <f>IFERROR(1/(IF(Inputs!$B$39="pvp",15,MAX(0.1,Skills!D25-IF(Skills!E25=TRUE,Inputs!$B$33,0)))*(1-IF(AND(ArtifactsInput!$M$27,Inputs!$B$4="Chapter Hunt"),CHOOSE(ArtifactsInput!$N$27+1,20,24,28,32,36,40),0)/100)),0)</f>
        <v/>
      </c>
      <c r="R1357" t="n">
        <v>0</v>
      </c>
      <c r="S1357" t="n">
        <v>0</v>
      </c>
      <c r="U1357" t="n">
        <v>0</v>
      </c>
    </row>
    <row r="1358">
      <c r="A1358">
        <f>Skills!A26</f>
        <v/>
      </c>
      <c r="B1358">
        <f>Skills!B26</f>
        <v/>
      </c>
      <c r="C1358">
        <f>Inputs!$B$3&gt;=117</f>
        <v/>
      </c>
      <c r="D1358">
        <f>IF(Skills!C26=1,60+Inputs!$B$26+Inputs!$B$30,IF(Skills!C26=2,90+Inputs!$B$27+Inputs!$B$30,IF(Skills!C26=3,120+Inputs!$B$28+Inputs!$B$30,MAX(0,(Inputs!$B$3-100)*3)+Inputs!$B$29+Inputs!$B$30)))</f>
        <v/>
      </c>
      <c r="E1358">
        <f>INDEX(FactorTable!$B$2:$Y$301, MATCH(ROUND(MIN(300,MAX(1,D1358)),0), FactorTable!$A$2:$A$301,0), Skills!L26+1)</f>
        <v/>
      </c>
      <c r="F1358">
        <f>IF(Skills!M26=TRUE,(Skills!K26/10)*(E1358/1000),Skills!K26/10)+Skills!N26</f>
        <v/>
      </c>
      <c r="G1358">
        <f>Calc!G26</f>
        <v/>
      </c>
      <c r="H1358">
        <f>Calc!H26</f>
        <v/>
      </c>
      <c r="I1358">
        <f>IF(Skills!T26&lt;&gt;"",1+(Skills!T26/10)*($Z$3/1000)/100,1)</f>
        <v/>
      </c>
      <c r="J1358" t="inlineStr"/>
      <c r="K1358" t="inlineStr"/>
      <c r="L1358" t="inlineStr"/>
      <c r="M1358" t="inlineStr"/>
      <c r="N1358" t="inlineStr"/>
      <c r="O1358">
        <f>(1-Summary!$B$11)*S1358+Summary!$B$11*U1358</f>
        <v/>
      </c>
      <c r="P1358">
        <f>IF(B1375=0,0,O1358/B1375)</f>
        <v/>
      </c>
      <c r="Q1358">
        <f>IFERROR(1/(IF(Inputs!$B$39="pvp",15,MAX(0.1,Skills!D26-IF(Skills!E26=TRUE,Inputs!$B$33,0)))*(1-IF(AND(ArtifactsInput!$M$27,Inputs!$B$4="Chapter Hunt"),CHOOSE(ArtifactsInput!$N$27+1,20,24,28,32,36,40),0)/100)),0)</f>
        <v/>
      </c>
      <c r="R1358" t="n">
        <v>0</v>
      </c>
      <c r="S1358" t="n">
        <v>0</v>
      </c>
      <c r="U1358" t="n">
        <v>0</v>
      </c>
    </row>
    <row r="1359">
      <c r="A1359">
        <f>Skills!A27</f>
        <v/>
      </c>
      <c r="B1359">
        <f>Skills!B27</f>
        <v/>
      </c>
      <c r="C1359">
        <f>Inputs!$B$3&gt;=120</f>
        <v/>
      </c>
      <c r="D1359">
        <f>IF(Skills!C27=1,60+Inputs!$B$26+Inputs!$B$30,IF(Skills!C27=2,90+Inputs!$B$27+Inputs!$B$30,IF(Skills!C27=3,120+Inputs!$B$28+Inputs!$B$30,MAX(0,(Inputs!$B$3-100)*3)+Inputs!$B$29+Inputs!$B$30)))</f>
        <v/>
      </c>
      <c r="E1359">
        <f>INDEX(FactorTable!$B$2:$Y$301, MATCH(ROUND(MIN(300,MAX(1,D1359)),0), FactorTable!$A$2:$A$301,0), Skills!L27+1)</f>
        <v/>
      </c>
      <c r="F1359">
        <f>IF(Skills!M27=TRUE,(Skills!K27/10)*(E1359/1000),Skills!K27/10)+Skills!N27</f>
        <v/>
      </c>
      <c r="G1359">
        <f>Calc!G27</f>
        <v/>
      </c>
      <c r="H1359">
        <f>Calc!H27</f>
        <v/>
      </c>
      <c r="I1359">
        <f>IF(Skills!T27&lt;&gt;"",1+(Skills!T27/10)*($Z$3/1000)/100,1)</f>
        <v/>
      </c>
      <c r="J1359" t="inlineStr"/>
      <c r="K1359" t="inlineStr"/>
      <c r="L1359" t="inlineStr"/>
      <c r="M1359" t="inlineStr"/>
      <c r="N1359" t="inlineStr"/>
      <c r="O1359">
        <f>(1-Summary!$B$11)*S1359+Summary!$B$11*U1359</f>
        <v/>
      </c>
      <c r="P1359">
        <f>IF(B1375=0,0,O1359/B1375)</f>
        <v/>
      </c>
      <c r="Q1359">
        <f>IFERROR(1/(IF(Inputs!$B$39="pvp",15,MAX(0.1,Skills!D27-IF(Skills!E27=TRUE,Inputs!$B$33,0)))*(1-IF(AND(ArtifactsInput!$M$27,Inputs!$B$4="Chapter Hunt"),CHOOSE(ArtifactsInput!$N$27+1,20,24,28,32,36,40),0)/100)),0)</f>
        <v/>
      </c>
      <c r="R1359" t="n">
        <v>0</v>
      </c>
      <c r="S1359" t="n">
        <v>0</v>
      </c>
      <c r="U1359" t="n">
        <v>0</v>
      </c>
    </row>
    <row r="1360">
      <c r="A1360">
        <f>Skills!A28</f>
        <v/>
      </c>
      <c r="B1360">
        <f>Skills!B28</f>
        <v/>
      </c>
      <c r="C1360">
        <f>TRUE</f>
        <v/>
      </c>
      <c r="D1360">
        <f>IF(Skills!C28=1,60+Inputs!$B$26+Inputs!$B$30,IF(Skills!C28=2,90+Inputs!$B$27+Inputs!$B$30,IF(Skills!C28=3,120+Inputs!$B$28+Inputs!$B$30,MAX(0,(Inputs!$B$3-100)*3)+Inputs!$B$29+Inputs!$B$30)))</f>
        <v/>
      </c>
      <c r="E1360">
        <f>INDEX(FactorTable!$B$2:$Y$301, MATCH(ROUND(MIN(300,MAX(1,D1360)),0), FactorTable!$A$2:$A$301,0), Skills!L28+1)</f>
        <v/>
      </c>
      <c r="F1360">
        <f>IF(Skills!M28=TRUE,(Skills!K28/10)*(E1360/1000),Skills!K28/10)+Skills!N28</f>
        <v/>
      </c>
      <c r="G1360">
        <f>Calc!G28</f>
        <v/>
      </c>
      <c r="H1360">
        <f>Calc!H28</f>
        <v/>
      </c>
      <c r="I1360">
        <f>IF(Skills!T28&lt;&gt;"",1+(Skills!T28/10)*($Z$3/1000)/100,1)</f>
        <v/>
      </c>
      <c r="J1360" t="inlineStr"/>
      <c r="K1360" t="inlineStr"/>
      <c r="L1360" t="inlineStr"/>
      <c r="M1360" t="inlineStr"/>
      <c r="N1360" t="inlineStr"/>
      <c r="O1360">
        <f>(1-Summary!$B$11)*S1360+Summary!$B$11*U1360</f>
        <v/>
      </c>
      <c r="P1360">
        <f>IF(B1375=0,0,O1360/B1375)</f>
        <v/>
      </c>
      <c r="Q1360">
        <f>IFERROR(1/(IF(Inputs!$B$39="pvp",15,MAX(0.1,Skills!D28-IF(Skills!E28=TRUE,Inputs!$B$33,0)))*(1-IF(AND(ArtifactsInput!$M$27,Inputs!$B$4="Chapter Hunt"),CHOOSE(ArtifactsInput!$N$27+1,20,24,28,32,36,40),0)/100)),0)</f>
        <v/>
      </c>
      <c r="R1360">
        <f>IF(AND(Inputs!$B$39&lt;&gt;"pvp",Inputs!$B$44&gt;0),IF(Inputs!$B$44&lt;=0,0,(INT(Inputs!$B$44/(IF(Inputs!$B$39="pvp",15,MAX(0.1,Skills!D28-IF(Skills!E28=TRUE,Inputs!$B$33,0)))*(1-IF(AND(ArtifactsInput!$M$27,Inputs!$B$4="Chapter Hunt"),CHOOSE(ArtifactsInput!$N$27+1,20,24,28,32,36,40),0)/100)))+1)),0)</f>
        <v/>
      </c>
      <c r="S1360" t="n">
        <v>0</v>
      </c>
      <c r="U1360" t="n">
        <v>0</v>
      </c>
    </row>
    <row r="1362">
      <c r="A1362" t="inlineStr">
        <is>
          <t>Average Buff Multiplier</t>
        </is>
      </c>
      <c r="B1362">
        <f>(1+(IF(C1335=TRUE,F1335*IF(AND(Inputs!$B$39&lt;&gt;"pvp",Inputs!$B$44&gt;0),(((R1335-1)*(Skills!S3*(1+((Inputs!$B$35+(ArtifactsInput!$M$7-ArtifactsInput!$M$7)*CHOOSE(ArtifactsInput!$N$7+1,6,7.2,8.4,9.6,10.8,12))+IF(Inputs!$B$3&gt;=117,F1358,0))/100))+MIN((Skills!S3*(1+((Inputs!$B$35+(ArtifactsInput!$M$7-ArtifactsInput!$M$7)*CHOOSE(ArtifactsInput!$N$7+1,6,7.2,8.4,9.6,10.8,12))+IF(Inputs!$B$3&gt;=117,F1358,0))/100)),MAX(0,Inputs!$B$44-((R1335-1)*Skills!D3))))/Inputs!$B$44),IF(Inputs!$B$39="pvp",MIN((Skills!S3*(1+((Inputs!$B$35+(ArtifactsInput!$M$7-ArtifactsInput!$M$7)*CHOOSE(ArtifactsInput!$N$7+1,6,7.2,8.4,9.6,10.8,12))+IF(Inputs!$B$3&gt;=117,F1358,0))/100)),15)/15,(Skills!S3*(1+((Inputs!$B$35+(ArtifactsInput!$M$7-ArtifactsInput!$M$7)*CHOOSE(ArtifactsInput!$N$7+1,6,7.2,8.4,9.6,10.8,12))+IF(Inputs!$B$3&gt;=117,F1358,0))/100))/Skills!D3)),0)+IF(C1336=TRUE,F1336*IF(AND(Inputs!$B$39&lt;&gt;"pvp",Inputs!$B$44&gt;0),(((R1336-1)*(Skills!S4*(1+((Inputs!$B$35+(ArtifactsInput!$M$7-ArtifactsInput!$M$7)*CHOOSE(ArtifactsInput!$N$7+1,6,7.2,8.4,9.6,10.8,12))+IF(Inputs!$B$3&gt;=117,F1358,0))/100))+MIN((Skills!S4*(1+((Inputs!$B$35+(ArtifactsInput!$M$7-ArtifactsInput!$M$7)*CHOOSE(ArtifactsInput!$N$7+1,6,7.2,8.4,9.6,10.8,12))+IF(Inputs!$B$3&gt;=117,F1358,0))/100)),MAX(0,Inputs!$B$44-((R1336-1)*Skills!D4))))/Inputs!$B$44),IF(Inputs!$B$39="pvp",MIN((Skills!S4*(1+((Inputs!$B$35+(ArtifactsInput!$M$7-ArtifactsInput!$M$7)*CHOOSE(ArtifactsInput!$N$7+1,6,7.2,8.4,9.6,10.8,12))+IF(Inputs!$B$3&gt;=117,F1358,0))/100)),15)/15,(Skills!S4*(1+((Inputs!$B$35+(ArtifactsInput!$M$7-ArtifactsInput!$M$7)*CHOOSE(ArtifactsInput!$N$7+1,6,7.2,8.4,9.6,10.8,12))+IF(Inputs!$B$3&gt;=117,F1358,0))/100))/Skills!D4)),0)+IF(C1337=TRUE,F1337*IF(AND(Inputs!$B$39&lt;&gt;"pvp",Inputs!$B$44&gt;0),(((R1337-1)*(Skills!S5*(1+((Inputs!$B$35+(ArtifactsInput!$M$7-ArtifactsInput!$M$7)*CHOOSE(ArtifactsInput!$N$7+1,6,7.2,8.4,9.6,10.8,12))+IF(Inputs!$B$3&gt;=117,F1358,0))/100))+MIN((Skills!S5*(1+((Inputs!$B$35+(ArtifactsInput!$M$7-ArtifactsInput!$M$7)*CHOOSE(ArtifactsInput!$N$7+1,6,7.2,8.4,9.6,10.8,12))+IF(Inputs!$B$3&gt;=117,F1358,0))/100)),MAX(0,Inputs!$B$44-((R1337-1)*Skills!D5))))/Inputs!$B$44),IF(Inputs!$B$39="pvp",MIN((Skills!S5*(1+((Inputs!$B$35+(ArtifactsInput!$M$7-ArtifactsInput!$M$7)*CHOOSE(ArtifactsInput!$N$7+1,6,7.2,8.4,9.6,10.8,12))+IF(Inputs!$B$3&gt;=117,F1358,0))/100)),15)/15,(Skills!S5*(1+((Inputs!$B$35+(ArtifactsInput!$M$7-ArtifactsInput!$M$7)*CHOOSE(ArtifactsInput!$N$7+1,6,7.2,8.4,9.6,10.8,12))+IF(Inputs!$B$3&gt;=117,F1358,0))/100))/Skills!D5)),0)+IF(C1343=TRUE,F1343*IF(AND(Inputs!$B$39&lt;&gt;"pvp",Inputs!$B$44&gt;0),(((R1343-1)*(Skills!S11*(1+((Inputs!$B$35+(ArtifactsInput!$M$7-ArtifactsInput!$M$7)*CHOOSE(ArtifactsInput!$N$7+1,6,7.2,8.4,9.6,10.8,12))+IF(Inputs!$B$3&gt;=117,F1358,0))/100))+MIN((Skills!S11*(1+((Inputs!$B$35+(ArtifactsInput!$M$7-ArtifactsInput!$M$7)*CHOOSE(ArtifactsInput!$N$7+1,6,7.2,8.4,9.6,10.8,12))+IF(Inputs!$B$3&gt;=117,F1358,0))/100)),MAX(0,Inputs!$B$44-((R1343-1)*Skills!D11))))/Inputs!$B$44),IF(Inputs!$B$39="pvp",MIN((Skills!S11*(1+((Inputs!$B$35+(ArtifactsInput!$M$7-ArtifactsInput!$M$7)*CHOOSE(ArtifactsInput!$N$7+1,6,7.2,8.4,9.6,10.8,12))+IF(Inputs!$B$3&gt;=117,F1358,0))/100)),15)/15,(Skills!S11*(1+((Inputs!$B$35+(ArtifactsInput!$M$7-ArtifactsInput!$M$7)*CHOOSE(ArtifactsInput!$N$7+1,6,7.2,8.4,9.6,10.8,12))+IF(Inputs!$B$3&gt;=117,F1358,0)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1346=TRUE,(1+F1346*IF(AND(Inputs!$B$39&lt;&gt;"pvp",Inputs!$B$44&gt;0),(((R1346-1)*(Skills!S14*(1+((Inputs!$B$35+(ArtifactsInput!$M$7-ArtifactsInput!$M$7)*CHOOSE(ArtifactsInput!$N$7+1,6,7.2,8.4,9.6,10.8,12))+IF(Inputs!$B$3&gt;=117,F1358,0))/100))+MIN((Skills!S14*(1+((Inputs!$B$35+(ArtifactsInput!$M$7-ArtifactsInput!$M$7)*CHOOSE(ArtifactsInput!$N$7+1,6,7.2,8.4,9.6,10.8,12))+IF(Inputs!$B$3&gt;=117,F1358,0))/100)),MAX(0,Inputs!$B$44-((R1346-1)*Skills!D14))))/Inputs!$B$44),IF(Inputs!$B$39="pvp",MIN((Skills!S14*(1+((Inputs!$B$35+(ArtifactsInput!$M$7-ArtifactsInput!$M$7)*CHOOSE(ArtifactsInput!$N$7+1,6,7.2,8.4,9.6,10.8,12))+IF(Inputs!$B$3&gt;=117,F1358,0))/100)),15)/15,(Skills!S14*(1+((Inputs!$B$35+(ArtifactsInput!$M$7-ArtifactsInput!$M$7)*CHOOSE(ArtifactsInput!$N$7+1,6,7.2,8.4,9.6,10.8,12))+IF(Inputs!$B$3&gt;=117,F1358,0))/100))/Skills!D14))/100),1)*IF(C1351=TRUE,(1+F1351*IF(AND(Inputs!$B$39&lt;&gt;"pvp",Inputs!$B$44&gt;0),(((R1351-1)*(Skills!S19*(1+((Inputs!$B$35+(ArtifactsInput!$M$7-ArtifactsInput!$M$7)*CHOOSE(ArtifactsInput!$N$7+1,6,7.2,8.4,9.6,10.8,12))+IF(Inputs!$B$3&gt;=117,F1358,0))/100))+MIN((Skills!S19*(1+((Inputs!$B$35+(ArtifactsInput!$M$7-ArtifactsInput!$M$7)*CHOOSE(ArtifactsInput!$N$7+1,6,7.2,8.4,9.6,10.8,12))+IF(Inputs!$B$3&gt;=117,F1358,0))/100)),MAX(0,Inputs!$B$44-((R1351-1)*Skills!D19))))/Inputs!$B$44),IF(Inputs!$B$39="pvp",MIN((Skills!S19*(1+((Inputs!$B$35+(ArtifactsInput!$M$7-ArtifactsInput!$M$7)*CHOOSE(ArtifactsInput!$N$7+1,6,7.2,8.4,9.6,10.8,12))+IF(Inputs!$B$3&gt;=117,F1358,0))/100)),15)/15,(Skills!S19*(1+((Inputs!$B$35+(ArtifactsInput!$M$7-ArtifactsInput!$M$7)*CHOOSE(ArtifactsInput!$N$7+1,6,7.2,8.4,9.6,10.8,12))+IF(Inputs!$B$3&gt;=117,F1358,0))/100))/Skills!D19))/100),1)</f>
        <v/>
      </c>
    </row>
    <row r="1363">
      <c r="A1363" t="inlineStr">
        <is>
          <t>Monster Damage Taken Bonus % (Holy Fountain)</t>
        </is>
      </c>
      <c r="B1363">
        <f>IF(Inputs!$B$3&gt;=68,20*IF(Inputs!$B$39="pvp",MIN((15*(1+((Inputs!$B$35+(ArtifactsInput!$M$7-ArtifactsInput!$M$7)*CHOOSE(ArtifactsInput!$N$7+1,6,7.2,8.4,9.6,10.8,12))+IF(Inputs!$B$3&gt;=117,F1358,0))/100)),15)/15,(15*(1+((Inputs!$B$35+(ArtifactsInput!$M$7-ArtifactsInput!$M$7)*CHOOSE(ArtifactsInput!$N$7+1,6,7.2,8.4,9.6,10.8,12))+IF(Inputs!$B$3&gt;=117,F1358,0))/100))/Skills!D10),0)</f>
        <v/>
      </c>
    </row>
    <row r="1364">
      <c r="A1364" t="inlineStr">
        <is>
          <t>Normal Monster Damage Bonus % (Holy Symbol)</t>
        </is>
      </c>
      <c r="B1364">
        <f>IF(C1344=TRUE,F1344*IF(AND(Inputs!$B$39&lt;&gt;"pvp",Inputs!$B$44&gt;0),(((R1344-1)*(Skills!S12*(1+((Inputs!$B$35+(ArtifactsInput!$M$7-ArtifactsInput!$M$7)*CHOOSE(ArtifactsInput!$N$7+1,6,7.2,8.4,9.6,10.8,12))+IF(Inputs!$B$3&gt;=117,F1358,0))/100))+MIN((Skills!S12*(1+((Inputs!$B$35+(ArtifactsInput!$M$7-ArtifactsInput!$M$7)*CHOOSE(ArtifactsInput!$N$7+1,6,7.2,8.4,9.6,10.8,12))+IF(Inputs!$B$3&gt;=117,F1358,0))/100)),MAX(0,Inputs!$B$44-((R1344-1)*Skills!D12))))/Inputs!$B$44),IF(Inputs!$B$39="pvp",MIN((Skills!S12*(1+((Inputs!$B$35+(ArtifactsInput!$M$7-ArtifactsInput!$M$7)*CHOOSE(ArtifactsInput!$N$7+1,6,7.2,8.4,9.6,10.8,12))+IF(Inputs!$B$3&gt;=117,F1358,0))/100)),15)/15,(Skills!S12*(1+((Inputs!$B$35+(ArtifactsInput!$M$7-ArtifactsInput!$M$7)*CHOOSE(ArtifactsInput!$N$7+1,6,7.2,8.4,9.6,10.8,12))+IF(Inputs!$B$3&gt;=117,F1358,0))/100))/Skills!D12)),0)</f>
        <v/>
      </c>
    </row>
    <row r="1365">
      <c r="A1365" t="inlineStr">
        <is>
          <t>Damage % Bonus (Holy Symbol - Damage Boost)</t>
        </is>
      </c>
      <c r="B1365">
        <f>Skills!O12</f>
        <v/>
      </c>
    </row>
    <row r="1366">
      <c r="A1366" t="inlineStr">
        <is>
          <t>Crit Damage % Bonus (Blood of the Divine)</t>
        </is>
      </c>
      <c r="B1366">
        <f>4*IF(C1352=TRUE,F1352,0)</f>
        <v/>
      </c>
    </row>
    <row r="1367">
      <c r="A1367" t="inlineStr">
        <is>
          <t>Attack Speed Bonus %</t>
        </is>
      </c>
      <c r="B1367">
        <f>IF(C1349=TRUE,F1349+(F1353-Calc!F21),0)+IF(Inputs!$B$3&gt;=134,15,0)+((C1360=TRUE)*F1360*IF(AND(Inputs!$B$39&lt;&gt;"pvp",Inputs!$B$44&gt;0),(((R1360-1)*(Skills!S28*(1+((Inputs!$B$35+(ArtifactsInput!$M$7-ArtifactsInput!$M$7)*CHOOSE(ArtifactsInput!$N$7+1,6,7.2,8.4,9.6,10.8,12))+IF(Inputs!$B$3&gt;=117,F1358,0))/100))+MIN((Skills!S28*(1+((Inputs!$B$35+(ArtifactsInput!$M$7-ArtifactsInput!$M$7)*CHOOSE(ArtifactsInput!$N$7+1,6,7.2,8.4,9.6,10.8,12))+IF(Inputs!$B$3&gt;=117,F1358,0))/100)),MAX(0,Inputs!$B$44-((R1360-1)*Skills!D28))))/Inputs!$B$44),IF(Inputs!$B$39="pvp",MIN((Skills!S28*(1+((Inputs!$B$35+(ArtifactsInput!$M$7-ArtifactsInput!$M$7)*CHOOSE(ArtifactsInput!$N$7+1,6,7.2,8.4,9.6,10.8,12))+IF(Inputs!$B$3&gt;=117,F1358,0))/100)),15)/15,(Skills!S28*(1+((Inputs!$B$35+(ArtifactsInput!$M$7-ArtifactsInput!$M$7)*CHOOSE(ArtifactsInput!$N$7+1,6,7.2,8.4,9.6,10.8,12))+IF(Inputs!$B$3&gt;=117,F1358,0))/100))/Skills!D28)))</f>
        <v/>
      </c>
    </row>
    <row r="1368">
      <c r="A1368" t="inlineStr">
        <is>
          <t>Actions Per Second</t>
        </is>
      </c>
      <c r="B1368">
        <f>1+MIN(150,150*(1-(1-Inputs!$B$12/150)*(1-B1367/150)))/100</f>
        <v/>
      </c>
    </row>
    <row r="1369">
      <c r="A1369" t="inlineStr">
        <is>
          <t>Skill + Buff Cast Rate</t>
        </is>
      </c>
      <c r="B1369">
        <f>IF(AND(Inputs!$B$39&lt;&gt;"pvp",Inputs!$B$44&gt;0),SUMPRODUCT((Skills!E2:E28=TRUE)*(C1334:C1360=TRUE)*R1334:R1360)/Inputs!$B$44,SUMPRODUCT((Skills!E2:E28=TRUE)*(C1334:C1360=TRUE)*Q1334:Q1360))</f>
        <v/>
      </c>
    </row>
    <row r="1370">
      <c r="A1370" t="inlineStr">
        <is>
          <t>Big Bang Casts Per Second</t>
        </is>
      </c>
      <c r="B1370">
        <f>MAX(0,B1368-B1369)</f>
        <v/>
      </c>
    </row>
    <row r="1371">
      <c r="A1371" t="inlineStr">
        <is>
          <t>Defense % Bonus (Divine Protection)</t>
        </is>
      </c>
      <c r="B1371">
        <f>IF(C1345=TRUE,F1345*IF(AND(Inputs!$B$39&lt;&gt;"pvp",Inputs!$B$44&gt;0),(((R1345-1)*(Skills!S13*(1+((Inputs!$B$35+(ArtifactsInput!$M$7-ArtifactsInput!$M$7)*CHOOSE(ArtifactsInput!$N$7+1,6,7.2,8.4,9.6,10.8,12))+IF(Inputs!$B$3&gt;=117,F1358,0))/100))+MIN((Skills!S13*(1+((Inputs!$B$35+(ArtifactsInput!$M$7-ArtifactsInput!$M$7)*CHOOSE(ArtifactsInput!$N$7+1,6,7.2,8.4,9.6,10.8,12))+IF(Inputs!$B$3&gt;=117,F1358,0))/100)),MAX(0,Inputs!$B$44-((R1345-1)*Skills!D13))))/Inputs!$B$44),IF(Inputs!$B$39="pvp",MIN((Skills!S13*(1+((Inputs!$B$35+(ArtifactsInput!$M$7-ArtifactsInput!$M$7)*CHOOSE(ArtifactsInput!$N$7+1,6,7.2,8.4,9.6,10.8,12))+IF(Inputs!$B$3&gt;=117,F1358,0))/100)),15)/15,(Skills!S13*(1+((Inputs!$B$35+(ArtifactsInput!$M$7-ArtifactsInput!$M$7)*CHOOSE(ArtifactsInput!$N$7+1,6,7.2,8.4,9.6,10.8,12))+IF(Inputs!$B$3&gt;=117,F1358,0))/100))/Skills!D13)),0)</f>
        <v/>
      </c>
    </row>
    <row r="1372">
      <c r="A1372" t="inlineStr">
        <is>
          <t>Buff-Casting Startup Delay (s, fixed-duration only)</t>
        </is>
      </c>
      <c r="B1372">
        <f>IF(AND(Inputs!$B$39&lt;&gt;"pvp",Inputs!$B$44&gt;0),SUMPRODUCT((Skills!S2:S28&gt;0)*(Skills!E2:E28=TRUE)*(C1334:C1360=TRUE))/B1368,0)</f>
        <v/>
      </c>
    </row>
    <row r="1373">
      <c r="A1373" t="inlineStr">
        <is>
          <t>Boss-Only Total DPS (this block's swept value)</t>
        </is>
      </c>
      <c r="B1373">
        <f>SUM(S1334:S1360)</f>
        <v/>
      </c>
    </row>
    <row r="1374">
      <c r="A1374" t="inlineStr">
        <is>
          <t>Normal-Only Total DPS (this block's swept value)</t>
        </is>
      </c>
      <c r="B1374">
        <f>SUM(U1334:U1360)</f>
        <v/>
      </c>
    </row>
    <row r="1375">
      <c r="A1375" s="6" t="inlineStr">
        <is>
          <t>TOTAL DPS</t>
        </is>
      </c>
      <c r="B1375" s="6">
        <f>SUM(O1334:O1360)</f>
        <v/>
      </c>
    </row>
    <row r="1377">
      <c r="A1377" s="6" t="inlineStr">
        <is>
          <t>Stat: Shamaness Marble (Equip)</t>
        </is>
      </c>
    </row>
    <row r="1378">
      <c r="A1378" s="5" t="inlineStr">
        <is>
          <t>Key</t>
        </is>
      </c>
      <c r="B1378" s="5" t="inlineStr">
        <is>
          <t>Name</t>
        </is>
      </c>
      <c r="C1378" s="5" t="inlineStr">
        <is>
          <t>Unlocked</t>
        </is>
      </c>
      <c r="D1378" s="5" t="inlineStr">
        <is>
          <t>InputLevel</t>
        </is>
      </c>
      <c r="E1378" s="5" t="inlineStr">
        <is>
          <t>Factor</t>
        </is>
      </c>
      <c r="F1378" s="5" t="inlineStr">
        <is>
          <t>CoefficientPercent</t>
        </is>
      </c>
      <c r="G1378" s="5" t="inlineStr">
        <is>
          <t>EffectiveHits</t>
        </is>
      </c>
      <c r="H1378" s="5" t="inlineStr">
        <is>
          <t>ProcProbability</t>
        </is>
      </c>
      <c r="I1378" s="5" t="inlineStr">
        <is>
          <t>MapleHeroMultiplier</t>
        </is>
      </c>
      <c r="J1378" s="5" t="inlineStr">
        <is>
          <t>BaseDamage</t>
        </is>
      </c>
      <c r="K1378" s="5" t="inlineStr">
        <is>
          <t>BaseHitDamage</t>
        </is>
      </c>
      <c r="L1378" s="5" t="inlineStr">
        <is>
          <t>NonCritAvg</t>
        </is>
      </c>
      <c r="M1378" s="5" t="inlineStr">
        <is>
          <t>CritAvg</t>
        </is>
      </c>
      <c r="N1378" s="5" t="inlineStr">
        <is>
          <t>ExpectedDamage(perHit)</t>
        </is>
      </c>
      <c r="O1378" s="5" t="inlineStr">
        <is>
          <t>DPS</t>
        </is>
      </c>
      <c r="P1378" s="5" t="inlineStr">
        <is>
          <t>% of Total</t>
        </is>
      </c>
      <c r="R1378" t="inlineStr">
        <is>
          <t>helpers</t>
        </is>
      </c>
    </row>
    <row r="1379">
      <c r="A1379">
        <f>Skills!A2</f>
        <v/>
      </c>
      <c r="B1379">
        <f>Skills!B2</f>
        <v/>
      </c>
      <c r="C1379">
        <f>Inputs!$B$3&gt;=100</f>
        <v/>
      </c>
      <c r="D1379" t="inlineStr"/>
      <c r="E1379" t="inlineStr"/>
      <c r="F1379">
        <f>T1381+Skills!N2</f>
        <v/>
      </c>
      <c r="G1379">
        <f>Calc!G2</f>
        <v/>
      </c>
      <c r="H1379">
        <f>Calc!H2</f>
        <v/>
      </c>
      <c r="I1379">
        <f>IF(Skills!T2&lt;&gt;"",1+(Skills!T2/10)*($Z$3/1000)/100,1)</f>
        <v/>
      </c>
      <c r="J1379">
        <f>((Inputs!$B$6*(1+Inputs!$B$7/100))+(((Inputs!$B$13*(1+Inputs!$B$14/100))-(Inputs!$B$13*(1+Inputs!$B$14/100)))+0.25*(Inputs!$B$15-Inputs!$B$15))*(1+Inputs!$B$7/100))*(F1379/100)</f>
        <v/>
      </c>
      <c r="K1379">
        <f>J1379*(1+(((Inputs!$B$13+IF(Inputs!$B$3&gt;=35,(10*INDEX(FactorTable!$B$2:$Y$301,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2="TRIUMPH_FEATHER",IF(C1393=TRUE,F1393,0),0)/100)*(1+IF(C1404=TRUE,F1404,0)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1379)</f>
        <v/>
      </c>
      <c r="L1379">
        <f>K1379*(MIN(Inputs!$B$23+(F1399-Calc!F22),(Inputs!$B$24+IF(ArtifactsInput!$M$15,CHOOSE(ArtifactsInput!$N$15+1,25,30,35,40,45,50)/100*(Inputs!$B$12-Inputs!$B$12),0)))/100+(Inputs!$B$24+IF(ArtifactsInput!$M$15,CHOOSE(ArtifactsInput!$N$15+1,25,30,35,40,45,50)/100*(Inputs!$B$12-Inputs!$B$12),0))/100)/2</f>
        <v/>
      </c>
      <c r="M1379">
        <f>L1379*(1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79">
        <f>L1379*(1-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(1-Summary!$B$11)*S1379+Summary!$B$11*U1379</f>
        <v/>
      </c>
      <c r="P1379">
        <f>IF(B1420=0,0,O1379/B1420)</f>
        <v/>
      </c>
      <c r="Q1379">
        <f>IFERROR(1/(IF(Inputs!$B$39="pvp",15,MAX(0.1,Skills!D2-IF(Skills!E2=TRUE,Inputs!$B$33,0)))*(1-IF(AND(ArtifactsInput!$M$27,Inputs!$B$4="Chapter Hunt"),CHOOSE(ArtifactsInput!$N$27+1,20,24,28,32,36,40),0)/100)),0)</f>
        <v/>
      </c>
      <c r="R1379" t="n">
        <v>0</v>
      </c>
      <c r="S1379">
        <f>IF(C1379,(Skills!F2*N1379*B1415)*IF(Inputs!$B$39="pvp",1,1+(Inputs!$B$21+Skills!O2+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1379*(1-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79">
        <f>MAX(0,(Inputs!$B$3-100)*3)+Inputs!$B$29+Inputs!$B$30</f>
        <v/>
      </c>
      <c r="U1379">
        <f>IF(C1379,(Skills!F2*N1379*B1415)*IF(Inputs!$B$39="pvp",1,(1+(Inputs!$B$22+Skills!P2+B1409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Skills!A3</f>
        <v/>
      </c>
      <c r="B1380">
        <f>Skills!B3</f>
        <v/>
      </c>
      <c r="C1380">
        <f>Inputs!$B$3&gt;=15</f>
        <v/>
      </c>
      <c r="D1380">
        <f>IF(Skills!C3=1,60+Inputs!$B$26+Inputs!$B$30,IF(Skills!C3=2,90+Inputs!$B$27+Inputs!$B$30,IF(Skills!C3=3,120+Inputs!$B$28+Inputs!$B$30,MAX(0,(Inputs!$B$3-100)*3)+Inputs!$B$29+Inputs!$B$30)))</f>
        <v/>
      </c>
      <c r="E1380">
        <f>INDEX(FactorTable!$B$2:$Y$301, MATCH(ROUND(MIN(300,MAX(1,D1380)),0), FactorTable!$A$2:$A$301,0), Skills!L3+1)</f>
        <v/>
      </c>
      <c r="F1380">
        <f>IF(Skills!M3=TRUE,(Skills!K3/10)*(E1380/1000),Skills!K3/10)+Skills!N3</f>
        <v/>
      </c>
      <c r="G1380">
        <f>Calc!G3</f>
        <v/>
      </c>
      <c r="H1380">
        <f>Calc!H3</f>
        <v/>
      </c>
      <c r="I1380">
        <f>IF(Skills!T3&lt;&gt;"",1+(Skills!T3/10)*($Z$3/1000)/100,1)</f>
        <v/>
      </c>
      <c r="J1380" t="inlineStr"/>
      <c r="K1380" t="inlineStr"/>
      <c r="L1380" t="inlineStr"/>
      <c r="M1380" t="inlineStr"/>
      <c r="N1380" t="inlineStr"/>
      <c r="O1380">
        <f>(1-Summary!$B$11)*S1380+Summary!$B$11*U1380</f>
        <v/>
      </c>
      <c r="P1380">
        <f>IF(B1420=0,0,O1380/B1420)</f>
        <v/>
      </c>
      <c r="Q1380">
        <f>IFERROR(1/(IF(Inputs!$B$39="pvp",15,MAX(0.1,Skills!D3-IF(Skills!E3=TRUE,Inputs!$B$33,0)))*(1-IF(AND(ArtifactsInput!$M$27,Inputs!$B$4="Chapter Hunt"),CHOOSE(ArtifactsInput!$N$27+1,20,24,28,32,36,40),0)/100)),0)</f>
        <v/>
      </c>
      <c r="R1380">
        <f>IF(AND(Inputs!$B$39&lt;&gt;"pvp",Inputs!$B$44&gt;0),IF(Inputs!$B$44&lt;=0,0,(INT(Inputs!$B$44/(IF(Inputs!$B$39="pvp",15,MAX(0.1,Skills!D3-IF(Skills!E3=TRUE,Inputs!$B$33,0)))*(1-IF(AND(ArtifactsInput!$M$27,Inputs!$B$4="Chapter Hunt"),CHOOSE(ArtifactsInput!$N$27+1,20,24,28,32,36,40),0)/100)))+1)),0)</f>
        <v/>
      </c>
      <c r="S1380" t="n">
        <v>0</v>
      </c>
      <c r="T1380">
        <f>INDEX(FactorTable!$B$2:$Y$301, MATCH(ROUND(MIN(300,MAX(1,T1379)),0), FactorTable!$A$2:$A$301,0), 22)</f>
        <v/>
      </c>
      <c r="U1380" t="n">
        <v>0</v>
      </c>
    </row>
    <row r="1381">
      <c r="A1381">
        <f>Skills!A4</f>
        <v/>
      </c>
      <c r="B1381">
        <f>Skills!B4</f>
        <v/>
      </c>
      <c r="C1381">
        <f>Inputs!$B$3&gt;=38</f>
        <v/>
      </c>
      <c r="D1381">
        <f>IF(Skills!C4=1,60+Inputs!$B$26+Inputs!$B$30,IF(Skills!C4=2,90+Inputs!$B$27+Inputs!$B$30,IF(Skills!C4=3,120+Inputs!$B$28+Inputs!$B$30,MAX(0,(Inputs!$B$3-100)*3)+Inputs!$B$29+Inputs!$B$30)))</f>
        <v/>
      </c>
      <c r="E1381">
        <f>INDEX(FactorTable!$B$2:$Y$301, MATCH(ROUND(MIN(300,MAX(1,D1381)),0), FactorTable!$A$2:$A$301,0), Skills!L4+1)</f>
        <v/>
      </c>
      <c r="F1381">
        <f>IF(Skills!M4=TRUE,(Skills!K4/10)*(E1381/1000),Skills!K4/10)+Skills!N4</f>
        <v/>
      </c>
      <c r="G1381">
        <f>Calc!G4</f>
        <v/>
      </c>
      <c r="H1381">
        <f>Calc!H4</f>
        <v/>
      </c>
      <c r="I1381">
        <f>IF(Skills!T4&lt;&gt;"",1+(Skills!T4/10)*($Z$3/1000)/100,1)</f>
        <v/>
      </c>
      <c r="J1381" t="inlineStr"/>
      <c r="K1381" t="inlineStr"/>
      <c r="L1381" t="inlineStr"/>
      <c r="M1381" t="inlineStr"/>
      <c r="N1381" t="inlineStr"/>
      <c r="O1381">
        <f>(1-Summary!$B$11)*S1381+Summary!$B$11*U1381</f>
        <v/>
      </c>
      <c r="P1381">
        <f>IF(B1420=0,0,O1381/B1420)</f>
        <v/>
      </c>
      <c r="Q1381">
        <f>IFERROR(1/(IF(Inputs!$B$39="pvp",15,MAX(0.1,Skills!D4-IF(Skills!E4=TRUE,Inputs!$B$33,0)))*(1-IF(AND(ArtifactsInput!$M$27,Inputs!$B$4="Chapter Hunt"),CHOOSE(ArtifactsInput!$N$27+1,20,24,28,32,36,40),0)/100)),0)</f>
        <v/>
      </c>
      <c r="R1381">
        <f>IF(AND(Inputs!$B$39&lt;&gt;"pvp",Inputs!$B$44&gt;0),IF(Inputs!$B$44&lt;=0,0,(INT(Inputs!$B$44/(IF(Inputs!$B$39="pvp",15,MAX(0.1,Skills!D4-IF(Skills!E4=TRUE,Inputs!$B$33,0)))*(1-IF(AND(ArtifactsInput!$M$27,Inputs!$B$4="Chapter Hunt"),CHOOSE(ArtifactsInput!$N$27+1,20,24,28,32,36,40),0)/100)))+1)),0)</f>
        <v/>
      </c>
      <c r="S1381" t="n">
        <v>0</v>
      </c>
      <c r="T1381">
        <f>290*T1380/1000</f>
        <v/>
      </c>
      <c r="U1381" t="n">
        <v>0</v>
      </c>
    </row>
    <row r="1382">
      <c r="A1382">
        <f>Skills!A5</f>
        <v/>
      </c>
      <c r="B1382">
        <f>Skills!B5</f>
        <v/>
      </c>
      <c r="C1382">
        <f>Inputs!$B$3&gt;=40</f>
        <v/>
      </c>
      <c r="D1382">
        <f>IF(Skills!C5=1,60+Inputs!$B$26+Inputs!$B$30,IF(Skills!C5=2,90+Inputs!$B$27+Inputs!$B$30,IF(Skills!C5=3,120+Inputs!$B$28+Inputs!$B$30,MAX(0,(Inputs!$B$3-100)*3)+Inputs!$B$29+Inputs!$B$30)))</f>
        <v/>
      </c>
      <c r="E1382">
        <f>INDEX(FactorTable!$B$2:$Y$301, MATCH(ROUND(MIN(300,MAX(1,D1382)),0), FactorTable!$A$2:$A$301,0), Skills!L5+1)</f>
        <v/>
      </c>
      <c r="F1382">
        <f>IF(Skills!M5=TRUE,(Skills!K5/10)*(E1382/1000),Skills!K5/10)+Skills!N5</f>
        <v/>
      </c>
      <c r="G1382">
        <f>Calc!G5</f>
        <v/>
      </c>
      <c r="H1382">
        <f>Calc!H5</f>
        <v/>
      </c>
      <c r="I1382">
        <f>IF(Skills!T5&lt;&gt;"",1+(Skills!T5/10)*($Z$3/1000)/100,1)</f>
        <v/>
      </c>
      <c r="J1382" t="inlineStr"/>
      <c r="K1382" t="inlineStr"/>
      <c r="L1382" t="inlineStr"/>
      <c r="M1382" t="inlineStr"/>
      <c r="N1382" t="inlineStr"/>
      <c r="O1382">
        <f>(1-Summary!$B$11)*S1382+Summary!$B$11*U1382</f>
        <v/>
      </c>
      <c r="P1382">
        <f>IF(B1420=0,0,O1382/B1420)</f>
        <v/>
      </c>
      <c r="Q1382">
        <f>IFERROR(1/(IF(Inputs!$B$39="pvp",15,MAX(0.1,Skills!D5-IF(Skills!E5=TRUE,Inputs!$B$33,0)))*(1-IF(AND(ArtifactsInput!$M$27,Inputs!$B$4="Chapter Hunt"),CHOOSE(ArtifactsInput!$N$27+1,20,24,28,32,36,40),0)/100)),0)</f>
        <v/>
      </c>
      <c r="R1382">
        <f>IF(AND(Inputs!$B$39&lt;&gt;"pvp",Inputs!$B$44&gt;0),IF(Inputs!$B$44&lt;=0,0,(INT(Inputs!$B$44/(IF(Inputs!$B$39="pvp",15,MAX(0.1,Skills!D5-IF(Skills!E5=TRUE,Inputs!$B$33,0)))*(1-IF(AND(ArtifactsInput!$M$27,Inputs!$B$4="Chapter Hunt"),CHOOSE(ArtifactsInput!$N$27+1,20,24,28,32,36,40),0)/100)))+1)),0)</f>
        <v/>
      </c>
      <c r="S1382" t="n">
        <v>0</v>
      </c>
      <c r="U1382" t="n">
        <v>0</v>
      </c>
    </row>
    <row r="1383">
      <c r="A1383">
        <f>Skills!A6</f>
        <v/>
      </c>
      <c r="B1383">
        <f>Skills!B6</f>
        <v/>
      </c>
      <c r="C1383">
        <f>Inputs!$B$3&gt;=103</f>
        <v/>
      </c>
      <c r="D1383">
        <f>IF(Skills!C6=1,60+Inputs!$B$26+Inputs!$B$30,IF(Skills!C6=2,90+Inputs!$B$27+Inputs!$B$30,IF(Skills!C6=3,120+Inputs!$B$28+Inputs!$B$30,MAX(0,(Inputs!$B$3-100)*3)+Inputs!$B$29+Inputs!$B$30)))</f>
        <v/>
      </c>
      <c r="E1383">
        <f>INDEX(FactorTable!$B$2:$Y$301, MATCH(ROUND(MIN(300,MAX(1,D1383)),0), FactorTable!$A$2:$A$301,0), Skills!L6+1)</f>
        <v/>
      </c>
      <c r="F1383">
        <f>IF(Skills!M6=TRUE,(Skills!K6/10)*(E1383/1000),Skills!K6/10)+Skills!N6</f>
        <v/>
      </c>
      <c r="G1383">
        <f>Calc!G6</f>
        <v/>
      </c>
      <c r="H1383">
        <f>Calc!H6</f>
        <v/>
      </c>
      <c r="I1383">
        <f>IF(Skills!T6&lt;&gt;"",1+(Skills!T6/10)*($Z$3/1000)/100,1)</f>
        <v/>
      </c>
      <c r="J1383">
        <f>((Inputs!$B$6*(1+Inputs!$B$7/100))+(((Inputs!$B$13*(1+Inputs!$B$14/100))-(Inputs!$B$13*(1+Inputs!$B$14/100)))+0.25*(Inputs!$B$15-Inputs!$B$15))*(1+Inputs!$B$7/100))*(F1383/100)</f>
        <v/>
      </c>
      <c r="K1383">
        <f>J1383*(1+(((Inputs!$B$13+IF(Inputs!$B$3&gt;=35,(10*INDEX(FactorTable!$B$2:$Y$301,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6="TRIUMPH_FEATHER",IF(C1393=TRUE,F1393,0),0)/100)*(1+IF(C1404=TRUE,F1404,0)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1383)</f>
        <v/>
      </c>
      <c r="L1383">
        <f>K1383*(MIN(Inputs!$B$23+(F1399-Calc!F22),(Inputs!$B$24+IF(ArtifactsInput!$M$15,CHOOSE(ArtifactsInput!$N$15+1,25,30,35,40,45,50)/100*(Inputs!$B$12-Inputs!$B$12),0)))/100+(Inputs!$B$24+IF(ArtifactsInput!$M$15,CHOOSE(ArtifactsInput!$N$15+1,25,30,35,40,45,50)/100*(Inputs!$B$12-Inputs!$B$12),0))/100)/2</f>
        <v/>
      </c>
      <c r="M1383">
        <f>L1383*(1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3">
        <f>L1383*(1-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(1-Summary!$B$11)*S1383+Summary!$B$11*U1383</f>
        <v/>
      </c>
      <c r="P1383">
        <f>IF(B1420=0,0,O1383/B1420)</f>
        <v/>
      </c>
      <c r="Q1383">
        <f>IFERROR(1/(IF(Inputs!$B$39="pvp",15,MAX(0.1,Skills!D6-IF(Skills!E6=TRUE,Inputs!$B$33,0)))*(1-IF(AND(ArtifactsInput!$M$27,Inputs!$B$4="Chapter Hunt"),CHOOSE(ArtifactsInput!$N$27+1,20,24,28,32,36,40),0)/100)),0)</f>
        <v/>
      </c>
      <c r="R1383">
        <f>IF(AND(Inputs!$B$39&lt;&gt;"pvp",Inputs!$B$44&gt;0),IF(MAX(0,Inputs!$B$44-B1417)&lt;=0,0,(INT(MAX(0,Inputs!$B$44-B1417)/(IF(Inputs!$B$39="pvp",15,MAX(0.1,Skills!D6-IF(Skills!E6=TRUE,Inputs!$B$33,0)))*(1-IF(AND(ArtifactsInput!$M$27,Inputs!$B$4="Chapter Hunt"),CHOOSE(ArtifactsInput!$N$27+1,20,24,28,32,36,40),0)/100)))+1)),0)</f>
        <v/>
      </c>
      <c r="S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$21+Skills!O6+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1383*(1-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$22+Skills!P6+B1409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Skills!A7</f>
        <v/>
      </c>
      <c r="B1384">
        <f>Skills!B7</f>
        <v/>
      </c>
      <c r="C1384">
        <f>Inputs!$B$3&gt;=122</f>
        <v/>
      </c>
      <c r="D1384">
        <f>IF(Skills!C7=1,60+Inputs!$B$26+Inputs!$B$30,IF(Skills!C7=2,90+Inputs!$B$27+Inputs!$B$30,IF(Skills!C7=3,120+Inputs!$B$28+Inputs!$B$30,MAX(0,(Inputs!$B$3-100)*3)+Inputs!$B$29+Inputs!$B$30)))</f>
        <v/>
      </c>
      <c r="E1384">
        <f>INDEX(FactorTable!$B$2:$Y$301, MATCH(ROUND(MIN(300,MAX(1,D1384)),0), FactorTable!$A$2:$A$301,0), Skills!L7+1)</f>
        <v/>
      </c>
      <c r="F1384">
        <f>IF(Skills!M7=TRUE,(Skills!K7/10)*(E1384/1000),Skills!K7/10)+Skills!N7</f>
        <v/>
      </c>
      <c r="G1384">
        <f>Calc!G7</f>
        <v/>
      </c>
      <c r="H1384">
        <f>Calc!H7</f>
        <v/>
      </c>
      <c r="I1384">
        <f>IF(Skills!T7&lt;&gt;"",1+(Skills!T7/10)*($Z$3/1000)/100,1)</f>
        <v/>
      </c>
      <c r="J1384">
        <f>((Inputs!$B$6*(1+Inputs!$B$7/100))+(((Inputs!$B$13*(1+Inputs!$B$14/100))-(Inputs!$B$13*(1+Inputs!$B$14/100)))+0.25*(Inputs!$B$15-Inputs!$B$15))*(1+Inputs!$B$7/100))*(F1384/100)</f>
        <v/>
      </c>
      <c r="K1384">
        <f>J1384*(1+(((Inputs!$B$13+IF(Inputs!$B$3&gt;=35,(10*INDEX(FactorTable!$B$2:$Y$301,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7="TRIUMPH_FEATHER",IF(C1393=TRUE,F1393,0),0)/100)*(1+IF(C1404=TRUE,F1404,0)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1384)</f>
        <v/>
      </c>
      <c r="L1384">
        <f>K1384*(MIN(Inputs!$B$23+(F1399-Calc!F22),(Inputs!$B$24+IF(ArtifactsInput!$M$15,CHOOSE(ArtifactsInput!$N$15+1,25,30,35,40,45,50)/100*(Inputs!$B$12-Inputs!$B$12),0)))/100+(Inputs!$B$24+IF(ArtifactsInput!$M$15,CHOOSE(ArtifactsInput!$N$15+1,25,30,35,40,45,50)/100*(Inputs!$B$12-Inputs!$B$12),0))/100)/2</f>
        <v/>
      </c>
      <c r="M1384">
        <f>L1384*(1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4">
        <f>L1384*(1-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(1-Summary!$B$11)*S1384+Summary!$B$11*U1384</f>
        <v/>
      </c>
      <c r="P1384">
        <f>IF(B1420=0,0,O1384/B1420)</f>
        <v/>
      </c>
      <c r="Q1384">
        <f>IFERROR(1/(IF(Inputs!$B$39="pvp",15,MAX(0.1,Skills!D7-IF(Skills!E6=TRUE,Inputs!$B$33,0)))*(1-IF(AND(ArtifactsInput!$M$27,Inputs!$B$4="Chapter Hunt"),CHOOSE(ArtifactsInput!$N$27+1,20,24,28,32,36,40),0)/100)),0)</f>
        <v/>
      </c>
      <c r="R1384">
        <f>IF(AND(Inputs!$B$39&lt;&gt;"pvp",Inputs!$B$44&gt;0),IF(MAX(0,Inputs!$B$44-B1417)&lt;=0,0,(INT(MAX(0,Inputs!$B$44-B1417)/(IF(Inputs!$B$39="pvp",15,MAX(0.1,Skills!D7-IF(Skills!E6=TRUE,Inputs!$B$33,0)))*(1-IF(AND(ArtifactsInput!$M$27,Inputs!$B$4="Chapter Hunt"),CHOOSE(ArtifactsInput!$N$27+1,20,24,28,32,36,40),0)/100)))+1)),0)</f>
        <v/>
      </c>
      <c r="S1384">
        <f>IF(C1384,H1384*N1384*IF(AND(Inputs!$B$39&lt;&gt;"pvp",Inputs!$B$44&gt;0),((Skills!F7*((R1384-1)*IF(Skills!G7&gt;0,Skills!H7/Skills!G7,1)+IF(Skills!G7&gt;0,MIN(Skills!H7,MAX(0,MAX(0,Inputs!$B$44-B1417)-((R1384-1)*(IF(Inputs!$B$39="pvp",15,MAX(0.1,Skills!D7-IF(Skills!E6=TRUE,Inputs!$B$33,0)))*(1-IF(AND(ArtifactsInput!$M$27,Inputs!$B$4="Chapter Hunt"),CHOOSE(ArtifactsInput!$N$27+1,20,24,28,32,36,40),0)/100)))))/Skills!G7,1)))/Inputs!$B$44),G1384*Q1384)*IF(Inputs!$B$39="pvp",1,1+(Inputs!$B$21+Skills!O7+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1384*(1-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4" t="n">
        <v>0</v>
      </c>
    </row>
    <row r="1385">
      <c r="A1385">
        <f>Skills!A8</f>
        <v/>
      </c>
      <c r="B1385">
        <f>Skills!B8</f>
        <v/>
      </c>
      <c r="C1385">
        <f>Inputs!$B$3&gt;=105</f>
        <v/>
      </c>
      <c r="D1385">
        <f>IF(Skills!C8=1,60+Inputs!$B$26+Inputs!$B$30,IF(Skills!C8=2,90+Inputs!$B$27+Inputs!$B$30,IF(Skills!C8=3,120+Inputs!$B$28+Inputs!$B$30,MAX(0,(Inputs!$B$3-100)*3)+Inputs!$B$29+Inputs!$B$30)))</f>
        <v/>
      </c>
      <c r="E1385">
        <f>INDEX(FactorTable!$B$2:$Y$301, MATCH(ROUND(MIN(300,MAX(1,D1385)),0), FactorTable!$A$2:$A$301,0), Skills!L8+1)</f>
        <v/>
      </c>
      <c r="F1385">
        <f>IF(Skills!M8=TRUE,(Skills!K8/10)*(E1385/1000),Skills!K8/10)+Skills!N8</f>
        <v/>
      </c>
      <c r="G1385">
        <f>Calc!G8</f>
        <v/>
      </c>
      <c r="H1385">
        <f>Calc!H8</f>
        <v/>
      </c>
      <c r="I1385">
        <f>IF(Skills!T8&lt;&gt;"",1+(Skills!T8/10)*($Z$3/1000)/100,1)</f>
        <v/>
      </c>
      <c r="J1385">
        <f>((Inputs!$B$6*(1+Inputs!$B$7/100))+(((Inputs!$B$13*(1+Inputs!$B$14/100))-(Inputs!$B$13*(1+Inputs!$B$14/100)))+0.25*(Inputs!$B$15-Inputs!$B$15))*(1+Inputs!$B$7/100))*(F1385/100)</f>
        <v/>
      </c>
      <c r="K1385">
        <f>J1385*(1+(((Inputs!$B$13+IF(Inputs!$B$3&gt;=35,(10*INDEX(FactorTable!$B$2:$Y$301,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8="TRIUMPH_FEATHER",IF(C1393=TRUE,F1393,0),0)/100)*(1+IF(C1404=TRUE,F1404,0)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1385)</f>
        <v/>
      </c>
      <c r="L1385">
        <f>K1385*(MIN(Inputs!$B$23+(F1399-Calc!F22),(Inputs!$B$24+IF(ArtifactsInput!$M$15,CHOOSE(ArtifactsInput!$N$15+1,25,30,35,40,45,50)/100*(Inputs!$B$12-Inputs!$B$12),0)))/100+(Inputs!$B$24+IF(ArtifactsInput!$M$15,CHOOSE(ArtifactsInput!$N$15+1,25,30,35,40,45,50)/100*(Inputs!$B$12-Inputs!$B$12),0))/100)/2</f>
        <v/>
      </c>
      <c r="M1385">
        <f>L1385*(1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5">
        <f>L1385*(1-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(1-Summary!$B$11)*S1385+Summary!$B$11*U1385</f>
        <v/>
      </c>
      <c r="P1385">
        <f>IF(B1420=0,0,O1385/B1420)</f>
        <v/>
      </c>
      <c r="Q1385">
        <f>IFERROR(1/(IF(Inputs!$B$39="pvp",15,MAX(0.1,Skills!D8-IF(Skills!E8=TRUE,Inputs!$B$33,0)))*(1-IF(AND(ArtifactsInput!$M$27,Inputs!$B$4="Chapter Hunt"),CHOOSE(ArtifactsInput!$N$27+1,20,24,28,32,36,40),0)/100)),0)</f>
        <v/>
      </c>
      <c r="R1385">
        <f>IF(AND(Inputs!$B$39&lt;&gt;"pvp",Inputs!$B$44&gt;0),IF(MAX(0,Inputs!$B$44-B1417)&lt;=0,0,(INT(MAX(0,Inputs!$B$44-B1417)/(IF(Inputs!$B$39="pvp",15,MAX(0.1,Skills!D8-IF(Skills!E8=TRUE,Inputs!$B$33,0)))*(1-IF(AND(ArtifactsInput!$M$27,Inputs!$B$4="Chapter Hunt"),CHOOSE(ArtifactsInput!$N$27+1,20,24,28,32,36,40),0)/100)))+1)),0)</f>
        <v/>
      </c>
      <c r="S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$21+Skills!O8+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1385*(1-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1385*(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1385*(1-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$22+Skills!P8+B1409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Skills!A9</f>
        <v/>
      </c>
      <c r="B1386">
        <f>Skills!B9</f>
        <v/>
      </c>
      <c r="C1386">
        <f>Inputs!$B$3&gt;=115</f>
        <v/>
      </c>
      <c r="D1386">
        <f>IF(Skills!C9=1,60+Inputs!$B$26+Inputs!$B$30,IF(Skills!C9=2,90+Inputs!$B$27+Inputs!$B$30,IF(Skills!C9=3,120+Inputs!$B$28+Inputs!$B$30,MAX(0,(Inputs!$B$3-100)*3)+Inputs!$B$29+Inputs!$B$30)))</f>
        <v/>
      </c>
      <c r="E1386">
        <f>INDEX(FactorTable!$B$2:$Y$301, MATCH(ROUND(MIN(300,MAX(1,D1386)),0), FactorTable!$A$2:$A$301,0), Skills!L9+1)</f>
        <v/>
      </c>
      <c r="F1386">
        <f>IF(Skills!M9=TRUE,(Skills!K9/10)*(E1386/1000),Skills!K9/10)+Skills!N9</f>
        <v/>
      </c>
      <c r="G1386">
        <f>Calc!G9</f>
        <v/>
      </c>
      <c r="H1386">
        <f>Calc!H9</f>
        <v/>
      </c>
      <c r="I1386">
        <f>IF(Skills!T9&lt;&gt;"",1+(Skills!T9/10)*($Z$3/1000)/100,1)</f>
        <v/>
      </c>
      <c r="J1386">
        <f>((Inputs!$B$6*(1+Inputs!$B$7/100))+(((Inputs!$B$13*(1+Inputs!$B$14/100))-(Inputs!$B$13*(1+Inputs!$B$14/100)))+0.25*(Inputs!$B$15-Inputs!$B$15))*(1+Inputs!$B$7/100))*(F1386/100)</f>
        <v/>
      </c>
      <c r="K1386">
        <f>J1386*(1+(((Inputs!$B$13+IF(Inputs!$B$3&gt;=35,(10*INDEX(FactorTable!$B$2:$Y$301,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9="TRIUMPH_FEATHER",IF(C1393=TRUE,F1393,0),0)/100)*(1+IF(C1404=TRUE,F1404,0)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1386)</f>
        <v/>
      </c>
      <c r="L1386">
        <f>K1386*(MIN(Inputs!$B$23+(F1399-Calc!F22),(Inputs!$B$24+IF(ArtifactsInput!$M$15,CHOOSE(ArtifactsInput!$N$15+1,25,30,35,40,45,50)/100*(Inputs!$B$12-Inputs!$B$12),0)))/100+(Inputs!$B$24+IF(ArtifactsInput!$M$15,CHOOSE(ArtifactsInput!$N$15+1,25,30,35,40,45,50)/100*(Inputs!$B$12-Inputs!$B$12),0))/100)/2</f>
        <v/>
      </c>
      <c r="M1386">
        <f>L1386*(1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6">
        <f>L1386*(1-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(1-Summary!$B$11)*S1386+Summary!$B$11*U1386</f>
        <v/>
      </c>
      <c r="P1386">
        <f>IF(B1420=0,0,O1386/B1420)</f>
        <v/>
      </c>
      <c r="Q1386">
        <f>IFERROR(1/(IF(Inputs!$B$39="pvp",15,MAX(0.1,Skills!D9-IF(Skills!E9=TRUE,Inputs!$B$33,0)))*(1-IF(AND(ArtifactsInput!$M$27,Inputs!$B$4="Chapter Hunt"),CHOOSE(ArtifactsInput!$N$27+1,20,24,28,32,36,40),0)/100)),0)</f>
        <v/>
      </c>
      <c r="R1386">
        <f>IF(AND(Inputs!$B$39&lt;&gt;"pvp",Inputs!$B$44&gt;0),IF(MAX(0,Inputs!$B$44-B1417)&lt;=0,0,(INT(MAX(0,Inputs!$B$44-B1417)/(IF(Inputs!$B$39="pvp",15,MAX(0.1,Skills!D9-IF(Skills!E9=TRUE,Inputs!$B$33,0)))*(1-IF(AND(ArtifactsInput!$M$27,Inputs!$B$4="Chapter Hunt"),CHOOSE(ArtifactsInput!$N$27+1,20,24,28,32,36,40),0)/100)))+1)),0)</f>
        <v/>
      </c>
      <c r="S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$21+Skills!O9+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1386*(1-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$22+Skills!P9+B1409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Skills!A10</f>
        <v/>
      </c>
      <c r="B1387">
        <f>Skills!B10</f>
        <v/>
      </c>
      <c r="C1387">
        <f>Inputs!$B$3&gt;=66</f>
        <v/>
      </c>
      <c r="D1387">
        <f>IF(Skills!C10=1,60+Inputs!$B$26+Inputs!$B$30,IF(Skills!C10=2,90+Inputs!$B$27+Inputs!$B$30,IF(Skills!C10=3,120+Inputs!$B$28+Inputs!$B$30,MAX(0,(Inputs!$B$3-100)*3)+Inputs!$B$29+Inputs!$B$30)))</f>
        <v/>
      </c>
      <c r="E1387">
        <f>INDEX(FactorTable!$B$2:$Y$301, MATCH(ROUND(MIN(300,MAX(1,D1387)),0), FactorTable!$A$2:$A$301,0), Skills!L10+1)</f>
        <v/>
      </c>
      <c r="F1387" t="n">
        <v>0</v>
      </c>
      <c r="G1387">
        <f>Calc!G10</f>
        <v/>
      </c>
      <c r="H1387">
        <f>Calc!H10</f>
        <v/>
      </c>
      <c r="I1387">
        <f>IF(Skills!T10&lt;&gt;"",1+(Skills!T10/10)*($Z$3/1000)/100,1)</f>
        <v/>
      </c>
      <c r="J1387" t="inlineStr"/>
      <c r="K1387" t="inlineStr"/>
      <c r="L1387" t="inlineStr"/>
      <c r="M1387" t="inlineStr"/>
      <c r="N1387" t="inlineStr"/>
      <c r="O1387">
        <f>(1-Summary!$B$11)*S1387+Summary!$B$11*U1387</f>
        <v/>
      </c>
      <c r="P1387">
        <f>IF(B1420=0,0,O1387/B1420)</f>
        <v/>
      </c>
      <c r="Q1387">
        <f>IFERROR(1/(IF(Inputs!$B$39="pvp",15,MAX(0.1,Skills!D10-IF(Skills!E10=TRUE,Inputs!$B$33,0)))*(1-IF(AND(ArtifactsInput!$M$27,Inputs!$B$4="Chapter Hunt"),CHOOSE(ArtifactsInput!$N$27+1,20,24,28,32,36,40),0)/100)),0)</f>
        <v/>
      </c>
      <c r="R1387">
        <f>IF(AND(Inputs!$B$39&lt;&gt;"pvp",Inputs!$B$44&gt;0),IF(MAX(0,Inputs!$B$44-B1417)&lt;=0,0,(INT(MAX(0,Inputs!$B$44-B1417)/(IF(Inputs!$B$39="pvp",15,MAX(0.1,Skills!D10-IF(Skills!E10=TRUE,Inputs!$B$33,0)))*(1-IF(AND(ArtifactsInput!$M$27,Inputs!$B$4="Chapter Hunt"),CHOOSE(ArtifactsInput!$N$27+1,20,24,28,32,36,40),0)/100)))+1)),0)</f>
        <v/>
      </c>
      <c r="S1387" t="n">
        <v>0</v>
      </c>
      <c r="U1387" t="n">
        <v>0</v>
      </c>
    </row>
    <row r="1388">
      <c r="A1388">
        <f>Skills!A11</f>
        <v/>
      </c>
      <c r="B1388">
        <f>Skills!B11</f>
        <v/>
      </c>
      <c r="C1388">
        <f>Inputs!$B$3&gt;=69</f>
        <v/>
      </c>
      <c r="D1388">
        <f>IF(Skills!C11=1,60+Inputs!$B$26+Inputs!$B$30,IF(Skills!C11=2,90+Inputs!$B$27+Inputs!$B$30,IF(Skills!C11=3,120+Inputs!$B$28+Inputs!$B$30,MAX(0,(Inputs!$B$3-100)*3)+Inputs!$B$29+Inputs!$B$30)))</f>
        <v/>
      </c>
      <c r="E1388">
        <f>INDEX(FactorTable!$B$2:$Y$301, MATCH(ROUND(MIN(300,MAX(1,D1388)),0), FactorTable!$A$2:$A$301,0), Skills!L11+1)</f>
        <v/>
      </c>
      <c r="F1388">
        <f>IF(Skills!M11=TRUE,(Skills!K11/10)*(E1388/1000),Skills!K11/10)+Skills!N11</f>
        <v/>
      </c>
      <c r="G1388">
        <f>Calc!G11</f>
        <v/>
      </c>
      <c r="H1388">
        <f>Calc!H11</f>
        <v/>
      </c>
      <c r="I1388">
        <f>IF(Skills!T11&lt;&gt;"",1+(Skills!T11/10)*($Z$3/1000)/100,1)</f>
        <v/>
      </c>
      <c r="J1388" t="inlineStr"/>
      <c r="K1388" t="inlineStr"/>
      <c r="L1388" t="inlineStr"/>
      <c r="M1388" t="inlineStr"/>
      <c r="N1388" t="inlineStr"/>
      <c r="O1388">
        <f>(1-Summary!$B$11)*S1388+Summary!$B$11*U1388</f>
        <v/>
      </c>
      <c r="P1388">
        <f>IF(B1420=0,0,O1388/B1420)</f>
        <v/>
      </c>
      <c r="Q1388">
        <f>IFERROR(1/(IF(Inputs!$B$39="pvp",15,MAX(0.1,Skills!D11-IF(Skills!E11=TRUE,Inputs!$B$33,0)))*(1-IF(AND(ArtifactsInput!$M$27,Inputs!$B$4="Chapter Hunt"),CHOOSE(ArtifactsInput!$N$27+1,20,24,28,32,36,40),0)/100)),0)</f>
        <v/>
      </c>
      <c r="R1388">
        <f>IF(AND(Inputs!$B$39&lt;&gt;"pvp",Inputs!$B$44&gt;0),IF(Inputs!$B$44&lt;=0,0,(INT(Inputs!$B$44/(IF(Inputs!$B$39="pvp",15,MAX(0.1,Skills!D11-IF(Skills!E11=TRUE,Inputs!$B$33,0)))*(1-IF(AND(ArtifactsInput!$M$27,Inputs!$B$4="Chapter Hunt"),CHOOSE(ArtifactsInput!$N$27+1,20,24,28,32,36,40),0)/100)))+1)),0)</f>
        <v/>
      </c>
      <c r="S1388" t="n">
        <v>0</v>
      </c>
      <c r="U1388" t="n">
        <v>0</v>
      </c>
    </row>
    <row r="1389">
      <c r="A1389">
        <f>Skills!A12</f>
        <v/>
      </c>
      <c r="B1389">
        <f>Skills!B12</f>
        <v/>
      </c>
      <c r="C1389">
        <f>Inputs!$B$3&gt;=72</f>
        <v/>
      </c>
      <c r="D1389">
        <f>IF(Skills!C12=1,60+Inputs!$B$26+Inputs!$B$30,IF(Skills!C12=2,90+Inputs!$B$27+Inputs!$B$30,IF(Skills!C12=3,120+Inputs!$B$28+Inputs!$B$30,MAX(0,(Inputs!$B$3-100)*3)+Inputs!$B$29+Inputs!$B$30)))</f>
        <v/>
      </c>
      <c r="E1389">
        <f>INDEX(FactorTable!$B$2:$Y$301, MATCH(ROUND(MIN(300,MAX(1,D1389)),0), FactorTable!$A$2:$A$301,0), Skills!L12+1)</f>
        <v/>
      </c>
      <c r="F1389">
        <f>IF(Skills!M12=TRUE,(Skills!K12/10)*(E1389/1000),Skills!K12/10)+Skills!N12</f>
        <v/>
      </c>
      <c r="G1389">
        <f>Calc!G12</f>
        <v/>
      </c>
      <c r="H1389">
        <f>Calc!H12</f>
        <v/>
      </c>
      <c r="I1389">
        <f>IF(Skills!T12&lt;&gt;"",1+(Skills!T12/10)*($Z$3/1000)/100,1)</f>
        <v/>
      </c>
      <c r="J1389" t="inlineStr"/>
      <c r="K1389" t="inlineStr"/>
      <c r="L1389" t="inlineStr"/>
      <c r="M1389" t="inlineStr"/>
      <c r="N1389" t="inlineStr"/>
      <c r="O1389">
        <f>(1-Summary!$B$11)*S1389+Summary!$B$11*U1389</f>
        <v/>
      </c>
      <c r="P1389">
        <f>IF(B1420=0,0,O1389/B1420)</f>
        <v/>
      </c>
      <c r="Q1389">
        <f>IFERROR(1/(IF(Inputs!$B$39="pvp",15,MAX(0.1,Skills!D12-IF(Skills!E12=TRUE,Inputs!$B$33,0)))*(1-IF(AND(ArtifactsInput!$M$27,Inputs!$B$4="Chapter Hunt"),CHOOSE(ArtifactsInput!$N$27+1,20,24,28,32,36,40),0)/100)),0)</f>
        <v/>
      </c>
      <c r="R1389">
        <f>IF(AND(Inputs!$B$39&lt;&gt;"pvp",Inputs!$B$44&gt;0),IF(MAX(0,Inputs!$B$44-B1417)&lt;=0,0,(INT(MAX(0,Inputs!$B$44-B1417)/(IF(Inputs!$B$39="pvp",15,MAX(0.1,Skills!D12-IF(Skills!E12=TRUE,Inputs!$B$33,0)))*(1-IF(AND(ArtifactsInput!$M$27,Inputs!$B$4="Chapter Hunt"),CHOOSE(ArtifactsInput!$N$27+1,20,24,28,32,36,40),0)/100)))+1)),0)</f>
        <v/>
      </c>
      <c r="S1389" t="n">
        <v>0</v>
      </c>
      <c r="U1389" t="n">
        <v>0</v>
      </c>
    </row>
    <row r="1390">
      <c r="A1390">
        <f>Skills!A13</f>
        <v/>
      </c>
      <c r="B1390">
        <f>Skills!B13</f>
        <v/>
      </c>
      <c r="C1390">
        <f>Inputs!$B$3&gt;=60</f>
        <v/>
      </c>
      <c r="D1390">
        <f>IF(Skills!C13=1,60+Inputs!$B$26+Inputs!$B$30,IF(Skills!C13=2,90+Inputs!$B$27+Inputs!$B$30,IF(Skills!C13=3,120+Inputs!$B$28+Inputs!$B$30,MAX(0,(Inputs!$B$3-100)*3)+Inputs!$B$29+Inputs!$B$30)))</f>
        <v/>
      </c>
      <c r="E1390">
        <f>INDEX(FactorTable!$B$2:$Y$301, MATCH(ROUND(MIN(300,MAX(1,D1390)),0), FactorTable!$A$2:$A$301,0), Skills!L13+1)</f>
        <v/>
      </c>
      <c r="F1390">
        <f>IF(Skills!M13=TRUE,(Skills!K13/10)*(E1390/1000),Skills!K13/10)+Skills!N13</f>
        <v/>
      </c>
      <c r="G1390">
        <f>Calc!G13</f>
        <v/>
      </c>
      <c r="H1390">
        <f>Calc!H13</f>
        <v/>
      </c>
      <c r="I1390">
        <f>IF(Skills!T13&lt;&gt;"",1+(Skills!T13/10)*($Z$3/1000)/100,1)</f>
        <v/>
      </c>
      <c r="J1390" t="inlineStr"/>
      <c r="K1390" t="inlineStr"/>
      <c r="L1390" t="inlineStr"/>
      <c r="M1390" t="inlineStr"/>
      <c r="N1390" t="inlineStr"/>
      <c r="O1390">
        <f>(1-Summary!$B$11)*S1390+Summary!$B$11*U1390</f>
        <v/>
      </c>
      <c r="P1390">
        <f>IF(B1420=0,0,O1390/B1420)</f>
        <v/>
      </c>
      <c r="Q1390">
        <f>IFERROR(1/(IF(Inputs!$B$39="pvp",15,MAX(0.1,Skills!D13-IF(Skills!E13=TRUE,Inputs!$B$33,0)))*(1-IF(AND(ArtifactsInput!$M$27,Inputs!$B$4="Chapter Hunt"),CHOOSE(ArtifactsInput!$N$27+1,20,24,28,32,36,40),0)/100)),0)</f>
        <v/>
      </c>
      <c r="R1390">
        <f>IF(AND(Inputs!$B$39&lt;&gt;"pvp",Inputs!$B$44&gt;0),IF(MAX(0,Inputs!$B$44-B1417)&lt;=0,0,(INT(MAX(0,Inputs!$B$44-B1417)/(IF(Inputs!$B$39="pvp",15,MAX(0.1,Skills!D13-IF(Skills!E13=TRUE,Inputs!$B$33,0)))*(1-IF(AND(ArtifactsInput!$M$27,Inputs!$B$4="Chapter Hunt"),CHOOSE(ArtifactsInput!$N$27+1,20,24,28,32,36,40),0)/100)))+1)),0)</f>
        <v/>
      </c>
      <c r="S1390" t="n">
        <v>0</v>
      </c>
      <c r="U1390" t="n">
        <v>0</v>
      </c>
    </row>
    <row r="1391">
      <c r="A1391">
        <f>Skills!A14</f>
        <v/>
      </c>
      <c r="B1391">
        <f>Skills!B14</f>
        <v/>
      </c>
      <c r="C1391">
        <f>Inputs!$B$3&gt;=107</f>
        <v/>
      </c>
      <c r="D1391">
        <f>IF(Skills!C14=1,60+Inputs!$B$26+Inputs!$B$30,IF(Skills!C14=2,90+Inputs!$B$27+Inputs!$B$30,IF(Skills!C14=3,120+Inputs!$B$28+Inputs!$B$30,MAX(0,(Inputs!$B$3-100)*3)+Inputs!$B$29+Inputs!$B$30)))</f>
        <v/>
      </c>
      <c r="E1391">
        <f>INDEX(FactorTable!$B$2:$Y$301, MATCH(ROUND(MIN(300,MAX(1,D1391)),0), FactorTable!$A$2:$A$301,0), Skills!L14+1)</f>
        <v/>
      </c>
      <c r="F1391">
        <f>IF(Skills!M14=TRUE,(Skills!K14/10)*(E1391/1000),Skills!K14/10)+Skills!N14</f>
        <v/>
      </c>
      <c r="G1391">
        <f>Calc!G14</f>
        <v/>
      </c>
      <c r="H1391">
        <f>Calc!H14</f>
        <v/>
      </c>
      <c r="I1391">
        <f>IF(Skills!T14&lt;&gt;"",1+(Skills!T14/10)*($Z$3/1000)/100,1)</f>
        <v/>
      </c>
      <c r="J1391" t="inlineStr"/>
      <c r="K1391" t="inlineStr"/>
      <c r="L1391" t="inlineStr"/>
      <c r="M1391" t="inlineStr"/>
      <c r="N1391" t="inlineStr"/>
      <c r="O1391">
        <f>(1-Summary!$B$11)*S1391+Summary!$B$11*U1391</f>
        <v/>
      </c>
      <c r="P1391">
        <f>IF(B1420=0,0,O1391/B1420)</f>
        <v/>
      </c>
      <c r="Q1391">
        <f>IFERROR(1/(IF(Inputs!$B$39="pvp",15,MAX(0.1,Skills!D14-IF(Skills!E14=TRUE,Inputs!$B$33,0)))*(1-IF(AND(ArtifactsInput!$M$27,Inputs!$B$4="Chapter Hunt"),CHOOSE(ArtifactsInput!$N$27+1,20,24,28,32,36,40),0)/100)),0)</f>
        <v/>
      </c>
      <c r="R1391">
        <f>IF(AND(Inputs!$B$39&lt;&gt;"pvp",Inputs!$B$44&gt;0),IF(Inputs!$B$44&lt;=0,0,(INT(Inputs!$B$44/(IF(Inputs!$B$39="pvp",15,MAX(0.1,Skills!D14-IF(Skills!E14=TRUE,Inputs!$B$33,0)))*(1-IF(AND(ArtifactsInput!$M$27,Inputs!$B$4="Chapter Hunt"),CHOOSE(ArtifactsInput!$N$27+1,20,24,28,32,36,40),0)/100)))+1)),0)</f>
        <v/>
      </c>
      <c r="S1391" t="n">
        <v>0</v>
      </c>
      <c r="U1391" t="n">
        <v>0</v>
      </c>
    </row>
    <row r="1392">
      <c r="A1392">
        <f>Skills!A15</f>
        <v/>
      </c>
      <c r="B1392">
        <f>Skills!B15</f>
        <v/>
      </c>
      <c r="C1392">
        <f>Inputs!$B$3&gt;=63</f>
        <v/>
      </c>
      <c r="D1392">
        <f>IF(Skills!C15=1,60+Inputs!$B$26+Inputs!$B$30,IF(Skills!C15=2,90+Inputs!$B$27+Inputs!$B$30,IF(Skills!C15=3,120+Inputs!$B$28+Inputs!$B$30,MAX(0,(Inputs!$B$3-100)*3)+Inputs!$B$29+Inputs!$B$30)))</f>
        <v/>
      </c>
      <c r="E1392">
        <f>INDEX(FactorTable!$B$2:$Y$301, MATCH(ROUND(MIN(300,MAX(1,D1392)),0), FactorTable!$A$2:$A$301,0), Skills!L15+1)</f>
        <v/>
      </c>
      <c r="F1392">
        <f>IF(Skills!M15=TRUE,(Skills!K15/10)*(E1392/1000),Skills!K15/10)+Skills!N15</f>
        <v/>
      </c>
      <c r="G1392">
        <f>Calc!G15</f>
        <v/>
      </c>
      <c r="H1392">
        <f>Calc!H15</f>
        <v/>
      </c>
      <c r="I1392">
        <f>IF(Skills!T15&lt;&gt;"",1+(Skills!T15/10)*($Z$3/1000)/100,1)</f>
        <v/>
      </c>
      <c r="J1392">
        <f>((Inputs!$B$6*(1+Inputs!$B$7/100))+(((Inputs!$B$13*(1+Inputs!$B$14/100))-(Inputs!$B$13*(1+Inputs!$B$14/100)))+0.25*(Inputs!$B$15-Inputs!$B$15))*(1+Inputs!$B$7/100))*(F1392/100)</f>
        <v/>
      </c>
      <c r="K1392">
        <f>J1392*(1+(((Inputs!$B$13+IF(Inputs!$B$3&gt;=35,(10*INDEX(FactorTable!$B$2:$Y$301,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15="TRIUMPH_FEATHER",IF(C1393=TRUE,F1393,0),0)/100)*(1+IF(C1404=TRUE,F1404,0)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1392)</f>
        <v/>
      </c>
      <c r="L1392">
        <f>K1392*(MIN(Inputs!$B$23+(F1399-Calc!F22),(Inputs!$B$24+IF(ArtifactsInput!$M$15,CHOOSE(ArtifactsInput!$N$15+1,25,30,35,40,45,50)/100*(Inputs!$B$12-Inputs!$B$12),0)))/100+(Inputs!$B$24+IF(ArtifactsInput!$M$15,CHOOSE(ArtifactsInput!$N$15+1,25,30,35,40,45,50)/100*(Inputs!$B$12-Inputs!$B$12),0))/100)/2</f>
        <v/>
      </c>
      <c r="M1392">
        <f>L1392*(1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2">
        <f>L1392*(1-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1392*(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2">
        <f>(1-Summary!$B$11)*S1392+Summary!$B$11*U1392</f>
        <v/>
      </c>
      <c r="P1392">
        <f>IF(B1420=0,0,O1392/B1420)</f>
        <v/>
      </c>
      <c r="Q1392">
        <f>IFERROR(1/(IF(Inputs!$B$39="pvp",15,MAX(0.1,Skills!D15-IF(Skills!E15=TRUE,Inputs!$B$33,0)))*(1-IF(AND(ArtifactsInput!$M$27,Inputs!$B$4="Chapter Hunt"),CHOOSE(ArtifactsInput!$N$27+1,20,24,28,32,36,40),0)/100)),0)</f>
        <v/>
      </c>
      <c r="R1392" t="n">
        <v>0</v>
      </c>
      <c r="S1392">
        <f>IF(C1392,(Skills!F15*N1392*((IF(Inputs!$B$3&gt;=78,25,15)/100*B1413*10)/(1+IF(Inputs!$B$3&gt;=78,25,15)/100*B1413*10))*(Skills!I15/100*B1413)/(1+Skills!G15*Skills!I15/100*B1413))*IF(Inputs!$B$39="pvp",1,1+(Inputs!$B$21+Skills!O15+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1392*(1-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1392*(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1392*(1-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1392*(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2">
        <f>IF(C1392,(Skills!F15*N1392*((IF(Inputs!$B$3&gt;=78,25,15)/100*B1413*10)/(1+IF(Inputs!$B$3&gt;=78,25,15)/100*B1413*10))*(Skills!I15/100*B1413)/(1+Skills!G15*Skills!I15/100*B1413))*IF(Inputs!$B$39="pvp",1,(1+(Inputs!$B$22+Skills!P15+B1409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3">
      <c r="A1393">
        <f>Skills!A16</f>
        <v/>
      </c>
      <c r="B1393">
        <f>Skills!B16</f>
        <v/>
      </c>
      <c r="C1393">
        <f>Inputs!$B$3&gt;=100</f>
        <v/>
      </c>
      <c r="D1393">
        <f>IF(Skills!C16=1,60+Inputs!$B$26+Inputs!$B$30,IF(Skills!C16=2,90+Inputs!$B$27+Inputs!$B$30,IF(Skills!C16=3,120+Inputs!$B$28+Inputs!$B$30,MAX(0,(Inputs!$B$3-100)*3)+Inputs!$B$29+Inputs!$B$30)))</f>
        <v/>
      </c>
      <c r="E1393">
        <f>INDEX(FactorTable!$B$2:$Y$301, MATCH(ROUND(MIN(300,MAX(1,D1393)),0), FactorTable!$A$2:$A$301,0), Skills!L16+1)</f>
        <v/>
      </c>
      <c r="F1393">
        <f>IF(Skills!M16=TRUE,(Skills!K16/10)*(E1393/1000),Skills!K16/10)+Skills!N16</f>
        <v/>
      </c>
      <c r="G1393">
        <f>Calc!G16</f>
        <v/>
      </c>
      <c r="H1393">
        <f>Calc!H16</f>
        <v/>
      </c>
      <c r="I1393">
        <f>IF(Skills!T16&lt;&gt;"",1+(Skills!T16/10)*($Z$3/1000)/100,1)</f>
        <v/>
      </c>
      <c r="J1393" t="inlineStr"/>
      <c r="K1393" t="inlineStr"/>
      <c r="L1393" t="inlineStr"/>
      <c r="M1393" t="inlineStr"/>
      <c r="N1393" t="inlineStr"/>
      <c r="O1393">
        <f>(1-Summary!$B$11)*S1393+Summary!$B$11*U1393</f>
        <v/>
      </c>
      <c r="P1393">
        <f>IF(B1420=0,0,O1393/B1420)</f>
        <v/>
      </c>
      <c r="Q1393">
        <f>IFERROR(1/(IF(Inputs!$B$39="pvp",15,MAX(0.1,Skills!D16-IF(Skills!E16=TRUE,Inputs!$B$33,0)))*(1-IF(AND(ArtifactsInput!$M$27,Inputs!$B$4="Chapter Hunt"),CHOOSE(ArtifactsInput!$N$27+1,20,24,28,32,36,40),0)/100)),0)</f>
        <v/>
      </c>
      <c r="R1393" t="n">
        <v>0</v>
      </c>
      <c r="S1393" t="n">
        <v>0</v>
      </c>
      <c r="U1393" t="n">
        <v>0</v>
      </c>
    </row>
    <row r="1394">
      <c r="A1394">
        <f>Skills!A17</f>
        <v/>
      </c>
      <c r="B1394">
        <f>Skills!B17</f>
        <v/>
      </c>
      <c r="C1394">
        <f>Inputs!$B$3&gt;=49</f>
        <v/>
      </c>
      <c r="D1394">
        <f>IF(Skills!C17=1,60+Inputs!$B$26+Inputs!$B$30,IF(Skills!C17=2,90+Inputs!$B$27+Inputs!$B$30,IF(Skills!C17=3,120+Inputs!$B$28+Inputs!$B$30,MAX(0,(Inputs!$B$3-100)*3)+Inputs!$B$29+Inputs!$B$30)))</f>
        <v/>
      </c>
      <c r="E1394">
        <f>INDEX(FactorTable!$B$2:$Y$301, MATCH(ROUND(MIN(300,MAX(1,D1394)),0), FactorTable!$A$2:$A$301,0), Skills!L17+1)</f>
        <v/>
      </c>
      <c r="F1394">
        <f>IF(Skills!M17=TRUE,(Skills!K17/10)*(E1394/1000),Skills!K17/10)+Skills!N17</f>
        <v/>
      </c>
      <c r="G1394">
        <f>Calc!G17</f>
        <v/>
      </c>
      <c r="H1394">
        <f>Calc!H17</f>
        <v/>
      </c>
      <c r="I1394">
        <f>IF(Skills!T17&lt;&gt;"",1+(Skills!T17/10)*($Z$3/1000)/100,1)</f>
        <v/>
      </c>
      <c r="J1394" t="inlineStr"/>
      <c r="K1394" t="inlineStr"/>
      <c r="L1394" t="inlineStr"/>
      <c r="M1394" t="inlineStr"/>
      <c r="N1394" t="inlineStr"/>
      <c r="O1394">
        <f>(1-Summary!$B$11)*S1394+Summary!$B$11*U1394</f>
        <v/>
      </c>
      <c r="P1394">
        <f>IF(B1420=0,0,O1394/B1420)</f>
        <v/>
      </c>
      <c r="Q1394">
        <f>IFERROR(1/(IF(Inputs!$B$39="pvp",15,MAX(0.1,Skills!D17-IF(Skills!E17=TRUE,Inputs!$B$33,0)))*(1-IF(AND(ArtifactsInput!$M$27,Inputs!$B$4="Chapter Hunt"),CHOOSE(ArtifactsInput!$N$27+1,20,24,28,32,36,40),0)/100)),0)</f>
        <v/>
      </c>
      <c r="R1394" t="n">
        <v>0</v>
      </c>
      <c r="S1394" t="n">
        <v>0</v>
      </c>
      <c r="U1394" t="n">
        <v>0</v>
      </c>
    </row>
    <row r="1395">
      <c r="A1395">
        <f>Skills!A18</f>
        <v/>
      </c>
      <c r="B1395">
        <f>Skills!B18</f>
        <v/>
      </c>
      <c r="C1395">
        <f>Inputs!$B$3&gt;=75</f>
        <v/>
      </c>
      <c r="D1395">
        <f>IF(Skills!C18=1,60+Inputs!$B$26+Inputs!$B$30,IF(Skills!C18=2,90+Inputs!$B$27+Inputs!$B$30,IF(Skills!C18=3,120+Inputs!$B$28+Inputs!$B$30,MAX(0,(Inputs!$B$3-100)*3)+Inputs!$B$29+Inputs!$B$30)))</f>
        <v/>
      </c>
      <c r="E1395">
        <f>INDEX(FactorTable!$B$2:$Y$301, MATCH(ROUND(MIN(300,MAX(1,D1395)),0), FactorTable!$A$2:$A$301,0), Skills!L18+1)</f>
        <v/>
      </c>
      <c r="F1395">
        <f>IF(Skills!M18=TRUE,(Skills!K18/10)*(E1395/1000),Skills!K18/10)+Skills!N18</f>
        <v/>
      </c>
      <c r="G1395">
        <f>Calc!G18</f>
        <v/>
      </c>
      <c r="H1395">
        <f>Calc!H18</f>
        <v/>
      </c>
      <c r="I1395">
        <f>IF(Skills!T18&lt;&gt;"",1+(Skills!T18/10)*($Z$3/1000)/100,1)</f>
        <v/>
      </c>
      <c r="J1395" t="inlineStr"/>
      <c r="K1395" t="inlineStr"/>
      <c r="L1395" t="inlineStr"/>
      <c r="M1395" t="inlineStr"/>
      <c r="N1395" t="inlineStr"/>
      <c r="O1395">
        <f>(1-Summary!$B$11)*S1395+Summary!$B$11*U1395</f>
        <v/>
      </c>
      <c r="P1395">
        <f>IF(B1420=0,0,O1395/B1420)</f>
        <v/>
      </c>
      <c r="Q1395">
        <f>IFERROR(1/(IF(Inputs!$B$39="pvp",15,MAX(0.1,Skills!D18-IF(Skills!E18=TRUE,Inputs!$B$33,0)))*(1-IF(AND(ArtifactsInput!$M$27,Inputs!$B$4="Chapter Hunt"),CHOOSE(ArtifactsInput!$N$27+1,20,24,28,32,36,40),0)/100)),0)</f>
        <v/>
      </c>
      <c r="R1395" t="n">
        <v>0</v>
      </c>
      <c r="S1395" t="n">
        <v>0</v>
      </c>
      <c r="U1395" t="n">
        <v>0</v>
      </c>
    </row>
    <row r="1396">
      <c r="A1396">
        <f>Skills!A19</f>
        <v/>
      </c>
      <c r="B1396">
        <f>Skills!B19</f>
        <v/>
      </c>
      <c r="C1396">
        <f>Inputs!$B$3&gt;=110</f>
        <v/>
      </c>
      <c r="D1396">
        <f>IF(Skills!C19=1,60+Inputs!$B$26+Inputs!$B$30,IF(Skills!C19=2,90+Inputs!$B$27+Inputs!$B$30,IF(Skills!C19=3,120+Inputs!$B$28+Inputs!$B$30,MAX(0,(Inputs!$B$3-100)*3)+Inputs!$B$29+Inputs!$B$30)))</f>
        <v/>
      </c>
      <c r="E1396">
        <f>INDEX(FactorTable!$B$2:$Y$301, MATCH(ROUND(MIN(300,MAX(1,D1396)),0), FactorTable!$A$2:$A$301,0), Skills!L19+1)</f>
        <v/>
      </c>
      <c r="F1396">
        <f>(Skills!K19/10)*(E1396/1000)*64/45+Skills!N19</f>
        <v/>
      </c>
      <c r="G1396">
        <f>Calc!G19</f>
        <v/>
      </c>
      <c r="H1396">
        <f>Calc!H19</f>
        <v/>
      </c>
      <c r="I1396">
        <f>IF(Skills!T19&lt;&gt;"",1+(Skills!T19/10)*($Z$3/1000)/100,1)</f>
        <v/>
      </c>
      <c r="J1396" t="inlineStr"/>
      <c r="K1396" t="inlineStr"/>
      <c r="L1396" t="inlineStr"/>
      <c r="M1396" t="inlineStr"/>
      <c r="N1396" t="inlineStr"/>
      <c r="O1396">
        <f>(1-Summary!$B$11)*S1396+Summary!$B$11*U1396</f>
        <v/>
      </c>
      <c r="P1396">
        <f>IF(B1420=0,0,O1396/B1420)</f>
        <v/>
      </c>
      <c r="Q1396">
        <f>IFERROR(1/(IF(Inputs!$B$39="pvp",15,MAX(0.1,Skills!D19-IF(Skills!E19=TRUE,Inputs!$B$33,0)))*(1-IF(AND(ArtifactsInput!$M$27,Inputs!$B$4="Chapter Hunt"),CHOOSE(ArtifactsInput!$N$27+1,20,24,28,32,36,40),0)/100)),0)</f>
        <v/>
      </c>
      <c r="R1396">
        <f>IF(AND(Inputs!$B$39&lt;&gt;"pvp",Inputs!$B$44&gt;0),IF(Inputs!$B$44&lt;=0,0,(INT(Inputs!$B$44/(IF(Inputs!$B$39="pvp",15,MAX(0.1,Skills!D19-IF(Skills!E19=TRUE,Inputs!$B$33,0)))*(1-IF(AND(ArtifactsInput!$M$27,Inputs!$B$4="Chapter Hunt"),CHOOSE(ArtifactsInput!$N$27+1,20,24,28,32,36,40),0)/100)))+1)),0)</f>
        <v/>
      </c>
      <c r="S1396" t="n">
        <v>0</v>
      </c>
      <c r="U1396" t="n">
        <v>0</v>
      </c>
    </row>
    <row r="1397">
      <c r="A1397">
        <f>Skills!A20</f>
        <v/>
      </c>
      <c r="B1397">
        <f>Skills!B20</f>
        <v/>
      </c>
      <c r="C1397">
        <f>Inputs!$B$3&gt;=125</f>
        <v/>
      </c>
      <c r="D1397">
        <f>IF(Skills!C20=1,60+Inputs!$B$26+Inputs!$B$30,IF(Skills!C20=2,90+Inputs!$B$27+Inputs!$B$30,IF(Skills!C20=3,120+Inputs!$B$28+Inputs!$B$30,MAX(0,(Inputs!$B$3-100)*3)+Inputs!$B$29+Inputs!$B$30)))</f>
        <v/>
      </c>
      <c r="E1397">
        <f>INDEX(FactorTable!$B$2:$Y$301, MATCH(ROUND(MIN(300,MAX(1,D1397)),0), FactorTable!$A$2:$A$301,0), Skills!L20+1)</f>
        <v/>
      </c>
      <c r="F1397">
        <f>IF(Skills!M20=TRUE,(Skills!K20/10)*(E1397/1000),Skills!K20/10)+Skills!N20</f>
        <v/>
      </c>
      <c r="G1397">
        <f>Calc!G20</f>
        <v/>
      </c>
      <c r="H1397">
        <f>Calc!H20</f>
        <v/>
      </c>
      <c r="I1397">
        <f>IF(Skills!T20&lt;&gt;"",1+(Skills!T20/10)*($Z$3/1000)/100,1)</f>
        <v/>
      </c>
      <c r="J1397" t="inlineStr"/>
      <c r="K1397" t="inlineStr"/>
      <c r="L1397" t="inlineStr"/>
      <c r="M1397" t="inlineStr"/>
      <c r="N1397" t="inlineStr"/>
      <c r="O1397">
        <f>(1-Summary!$B$11)*S1397+Summary!$B$11*U1397</f>
        <v/>
      </c>
      <c r="P1397">
        <f>IF(B1420=0,0,O1397/B1420)</f>
        <v/>
      </c>
      <c r="Q1397">
        <f>IFERROR(1/(IF(Inputs!$B$39="pvp",15,MAX(0.1,Skills!D20-IF(Skills!E20=TRUE,Inputs!$B$33,0)))*(1-IF(AND(ArtifactsInput!$M$27,Inputs!$B$4="Chapter Hunt"),CHOOSE(ArtifactsInput!$N$27+1,20,24,28,32,36,40),0)/100)),0)</f>
        <v/>
      </c>
      <c r="R1397" t="n">
        <v>0</v>
      </c>
      <c r="S1397" t="n">
        <v>0</v>
      </c>
      <c r="U1397" t="n">
        <v>0</v>
      </c>
    </row>
    <row r="1398">
      <c r="A1398">
        <f>Skills!A21</f>
        <v/>
      </c>
      <c r="B1398">
        <f>Skills!B21</f>
        <v/>
      </c>
      <c r="C1398">
        <f>Inputs!$B$3&gt;=33</f>
        <v/>
      </c>
      <c r="D1398">
        <f>IF(Skills!C21=1,60+Inputs!$B$26+Inputs!$B$30,IF(Skills!C21=2,90+Inputs!$B$27+Inputs!$B$30,IF(Skills!C21=3,120+Inputs!$B$28+Inputs!$B$30,MAX(0,(Inputs!$B$3-100)*3)+Inputs!$B$29+Inputs!$B$30)))</f>
        <v/>
      </c>
      <c r="E1398">
        <f>INDEX(FactorTable!$B$2:$Y$301, MATCH(ROUND(MIN(300,MAX(1,D1398)),0), FactorTable!$A$2:$A$301,0), Skills!L21+1)</f>
        <v/>
      </c>
      <c r="F1398">
        <f>IF(Skills!M21=TRUE,(Skills!K21/10)*(E1398/1000),Skills!K21/10)+Skills!N21</f>
        <v/>
      </c>
      <c r="G1398">
        <f>Calc!G21</f>
        <v/>
      </c>
      <c r="H1398">
        <f>Calc!H21</f>
        <v/>
      </c>
      <c r="I1398">
        <f>IF(Skills!T21&lt;&gt;"",1+(Skills!T21/10)*($Z$3/1000)/100,1)</f>
        <v/>
      </c>
      <c r="J1398" t="inlineStr"/>
      <c r="K1398" t="inlineStr"/>
      <c r="L1398" t="inlineStr"/>
      <c r="M1398" t="inlineStr"/>
      <c r="N1398" t="inlineStr"/>
      <c r="O1398">
        <f>(1-Summary!$B$11)*S1398+Summary!$B$11*U1398</f>
        <v/>
      </c>
      <c r="P1398">
        <f>IF(B1420=0,0,O1398/B1420)</f>
        <v/>
      </c>
      <c r="Q1398">
        <f>IFERROR(1/(IF(Inputs!$B$39="pvp",15,MAX(0.1,Skills!D21-IF(Skills!E21=TRUE,Inputs!$B$33,0)))*(1-IF(AND(ArtifactsInput!$M$27,Inputs!$B$4="Chapter Hunt"),CHOOSE(ArtifactsInput!$N$27+1,20,24,28,32,36,40),0)/100)),0)</f>
        <v/>
      </c>
      <c r="R1398" t="n">
        <v>0</v>
      </c>
      <c r="S1398" t="n">
        <v>0</v>
      </c>
      <c r="U1398" t="n">
        <v>0</v>
      </c>
    </row>
    <row r="1399">
      <c r="A1399">
        <f>Skills!A22</f>
        <v/>
      </c>
      <c r="B1399">
        <f>Skills!B22</f>
        <v/>
      </c>
      <c r="C1399">
        <f>Inputs!$B$3&gt;=43</f>
        <v/>
      </c>
      <c r="D1399">
        <f>IF(Skills!C22=1,60+Inputs!$B$26+Inputs!$B$30,IF(Skills!C22=2,90+Inputs!$B$27+Inputs!$B$30,IF(Skills!C22=3,120+Inputs!$B$28+Inputs!$B$30,MAX(0,(Inputs!$B$3-100)*3)+Inputs!$B$29+Inputs!$B$30)))</f>
        <v/>
      </c>
      <c r="E1399">
        <f>INDEX(FactorTable!$B$2:$Y$301, MATCH(ROUND(MIN(300,MAX(1,D1399)),0), FactorTable!$A$2:$A$301,0), Skills!L22+1)</f>
        <v/>
      </c>
      <c r="F1399">
        <f>IF(Skills!M22=TRUE,(Skills!K22/10)*(E1399/1000),Skills!K22/10)+Skills!N22</f>
        <v/>
      </c>
      <c r="G1399">
        <f>Calc!G22</f>
        <v/>
      </c>
      <c r="H1399">
        <f>Calc!H22</f>
        <v/>
      </c>
      <c r="I1399">
        <f>IF(Skills!T22&lt;&gt;"",1+(Skills!T22/10)*($Z$3/1000)/100,1)</f>
        <v/>
      </c>
      <c r="J1399" t="inlineStr"/>
      <c r="K1399" t="inlineStr"/>
      <c r="L1399" t="inlineStr"/>
      <c r="M1399" t="inlineStr"/>
      <c r="N1399" t="inlineStr"/>
      <c r="O1399">
        <f>(1-Summary!$B$11)*S1399+Summary!$B$11*U1399</f>
        <v/>
      </c>
      <c r="P1399">
        <f>IF(B1420=0,0,O1399/B1420)</f>
        <v/>
      </c>
      <c r="Q1399">
        <f>IFERROR(1/(IF(Inputs!$B$39="pvp",15,MAX(0.1,Skills!D22-IF(Skills!E22=TRUE,Inputs!$B$33,0)))*(1-IF(AND(ArtifactsInput!$M$27,Inputs!$B$4="Chapter Hunt"),CHOOSE(ArtifactsInput!$N$27+1,20,24,28,32,36,40),0)/100)),0)</f>
        <v/>
      </c>
      <c r="R1399" t="n">
        <v>0</v>
      </c>
      <c r="S1399" t="n">
        <v>0</v>
      </c>
      <c r="U1399" t="n">
        <v>0</v>
      </c>
    </row>
    <row r="1400">
      <c r="A1400">
        <f>Skills!A23</f>
        <v/>
      </c>
      <c r="B1400">
        <f>Skills!B23</f>
        <v/>
      </c>
      <c r="C1400">
        <f>Inputs!$B$3&gt;=50</f>
        <v/>
      </c>
      <c r="D1400">
        <f>IF(Skills!C23=1,60+Inputs!$B$26+Inputs!$B$30,IF(Skills!C23=2,90+Inputs!$B$27+Inputs!$B$30,IF(Skills!C23=3,120+Inputs!$B$28+Inputs!$B$30,MAX(0,(Inputs!$B$3-100)*3)+Inputs!$B$29+Inputs!$B$30)))</f>
        <v/>
      </c>
      <c r="E1400">
        <f>INDEX(FactorTable!$B$2:$Y$301, MATCH(ROUND(MIN(300,MAX(1,D1400)),0), FactorTable!$A$2:$A$301,0), Skills!L23+1)</f>
        <v/>
      </c>
      <c r="F1400">
        <f>IF(Skills!M23=TRUE,(Skills!K23/10)*(E1400/1000),Skills!K23/10)+Skills!N23</f>
        <v/>
      </c>
      <c r="G1400">
        <f>Calc!G23</f>
        <v/>
      </c>
      <c r="H1400">
        <f>Calc!H23</f>
        <v/>
      </c>
      <c r="I1400">
        <f>IF(Skills!T23&lt;&gt;"",1+(Skills!T23/10)*($Z$3/1000)/100,1)</f>
        <v/>
      </c>
      <c r="J1400" t="inlineStr"/>
      <c r="K1400" t="inlineStr"/>
      <c r="L1400" t="inlineStr"/>
      <c r="M1400" t="inlineStr"/>
      <c r="N1400" t="inlineStr"/>
      <c r="O1400">
        <f>(1-Summary!$B$11)*S1400+Summary!$B$11*U1400</f>
        <v/>
      </c>
      <c r="P1400">
        <f>IF(B1420=0,0,O1400/B1420)</f>
        <v/>
      </c>
      <c r="Q1400">
        <f>IFERROR(1/(IF(Inputs!$B$39="pvp",15,MAX(0.1,Skills!D23-IF(Skills!E23=TRUE,Inputs!$B$33,0)))*(1-IF(AND(ArtifactsInput!$M$27,Inputs!$B$4="Chapter Hunt"),CHOOSE(ArtifactsInput!$N$27+1,20,24,28,32,36,40),0)/100)),0)</f>
        <v/>
      </c>
      <c r="R1400" t="n">
        <v>0</v>
      </c>
      <c r="S1400" t="n">
        <v>0</v>
      </c>
      <c r="U1400" t="n">
        <v>0</v>
      </c>
    </row>
    <row r="1401">
      <c r="A1401">
        <f>Skills!A24</f>
        <v/>
      </c>
      <c r="B1401">
        <f>Skills!B24</f>
        <v/>
      </c>
      <c r="C1401">
        <f>Inputs!$B$3&gt;=74</f>
        <v/>
      </c>
      <c r="D1401">
        <f>IF(Skills!C24=1,60+Inputs!$B$26+Inputs!$B$30,IF(Skills!C24=2,90+Inputs!$B$27+Inputs!$B$30,IF(Skills!C24=3,120+Inputs!$B$28+Inputs!$B$30,MAX(0,(Inputs!$B$3-100)*3)+Inputs!$B$29+Inputs!$B$30)))</f>
        <v/>
      </c>
      <c r="E1401">
        <f>INDEX(FactorTable!$B$2:$Y$301, MATCH(ROUND(MIN(300,MAX(1,D1401)),0), FactorTable!$A$2:$A$301,0), Skills!L24+1)</f>
        <v/>
      </c>
      <c r="F1401">
        <f>IF(Skills!M24=TRUE,(Skills!K24/10)*(E1401/1000),Skills!K24/10)+Skills!N24</f>
        <v/>
      </c>
      <c r="G1401">
        <f>Calc!G24</f>
        <v/>
      </c>
      <c r="H1401">
        <f>Calc!H24</f>
        <v/>
      </c>
      <c r="I1401">
        <f>IF(Skills!T24&lt;&gt;"",1+(Skills!T24/10)*($Z$3/1000)/100,1)</f>
        <v/>
      </c>
      <c r="J1401" t="inlineStr"/>
      <c r="K1401" t="inlineStr"/>
      <c r="L1401" t="inlineStr"/>
      <c r="M1401" t="inlineStr"/>
      <c r="N1401" t="inlineStr"/>
      <c r="O1401">
        <f>(1-Summary!$B$11)*S1401+Summary!$B$11*U1401</f>
        <v/>
      </c>
      <c r="P1401">
        <f>IF(B1420=0,0,O1401/B1420)</f>
        <v/>
      </c>
      <c r="Q1401">
        <f>IFERROR(1/(IF(Inputs!$B$39="pvp",15,MAX(0.1,Skills!D24-IF(Skills!E24=TRUE,Inputs!$B$33,0)))*(1-IF(AND(ArtifactsInput!$M$27,Inputs!$B$4="Chapter Hunt"),CHOOSE(ArtifactsInput!$N$27+1,20,24,28,32,36,40),0)/100)),0)</f>
        <v/>
      </c>
      <c r="R1401" t="n">
        <v>0</v>
      </c>
      <c r="S1401" t="n">
        <v>0</v>
      </c>
      <c r="U1401" t="n">
        <v>0</v>
      </c>
    </row>
    <row r="1402">
      <c r="A1402">
        <f>Skills!A25</f>
        <v/>
      </c>
      <c r="B1402">
        <f>Skills!B25</f>
        <v/>
      </c>
      <c r="C1402">
        <f>Inputs!$B$3&gt;=74</f>
        <v/>
      </c>
      <c r="D1402">
        <f>IF(Skills!C25=1,60+Inputs!$B$26+Inputs!$B$30,IF(Skills!C25=2,90+Inputs!$B$27+Inputs!$B$30,IF(Skills!C25=3,120+Inputs!$B$28+Inputs!$B$30,MAX(0,(Inputs!$B$3-100)*3)+Inputs!$B$29+Inputs!$B$30)))</f>
        <v/>
      </c>
      <c r="E1402">
        <f>INDEX(FactorTable!$B$2:$Y$301, MATCH(ROUND(MIN(300,MAX(1,D1402)),0), FactorTable!$A$2:$A$301,0), Skills!L25+1)</f>
        <v/>
      </c>
      <c r="F1402">
        <f>IF(Skills!M25=TRUE,(Skills!K25/10)*(E1402/1000),Skills!K25/10)+Skills!N25</f>
        <v/>
      </c>
      <c r="G1402">
        <f>Calc!G25</f>
        <v/>
      </c>
      <c r="H1402">
        <f>Calc!H25</f>
        <v/>
      </c>
      <c r="I1402">
        <f>IF(Skills!T25&lt;&gt;"",1+(Skills!T25/10)*($Z$3/1000)/100,1)</f>
        <v/>
      </c>
      <c r="J1402" t="inlineStr"/>
      <c r="K1402" t="inlineStr"/>
      <c r="L1402" t="inlineStr"/>
      <c r="M1402" t="inlineStr"/>
      <c r="N1402" t="inlineStr"/>
      <c r="O1402">
        <f>(1-Summary!$B$11)*S1402+Summary!$B$11*U1402</f>
        <v/>
      </c>
      <c r="P1402">
        <f>IF(B1420=0,0,O1402/B1420)</f>
        <v/>
      </c>
      <c r="Q1402">
        <f>IFERROR(1/(IF(Inputs!$B$39="pvp",15,MAX(0.1,Skills!D25-IF(Skills!E25=TRUE,Inputs!$B$33,0)))*(1-IF(AND(ArtifactsInput!$M$27,Inputs!$B$4="Chapter Hunt"),CHOOSE(ArtifactsInput!$N$27+1,20,24,28,32,36,40),0)/100)),0)</f>
        <v/>
      </c>
      <c r="R1402" t="n">
        <v>0</v>
      </c>
      <c r="S1402" t="n">
        <v>0</v>
      </c>
      <c r="U1402" t="n">
        <v>0</v>
      </c>
    </row>
    <row r="1403">
      <c r="A1403">
        <f>Skills!A26</f>
        <v/>
      </c>
      <c r="B1403">
        <f>Skills!B26</f>
        <v/>
      </c>
      <c r="C1403">
        <f>Inputs!$B$3&gt;=117</f>
        <v/>
      </c>
      <c r="D1403">
        <f>IF(Skills!C26=1,60+Inputs!$B$26+Inputs!$B$30,IF(Skills!C26=2,90+Inputs!$B$27+Inputs!$B$30,IF(Skills!C26=3,120+Inputs!$B$28+Inputs!$B$30,MAX(0,(Inputs!$B$3-100)*3)+Inputs!$B$29+Inputs!$B$30)))</f>
        <v/>
      </c>
      <c r="E1403">
        <f>INDEX(FactorTable!$B$2:$Y$301, MATCH(ROUND(MIN(300,MAX(1,D1403)),0), FactorTable!$A$2:$A$301,0), Skills!L26+1)</f>
        <v/>
      </c>
      <c r="F1403">
        <f>IF(Skills!M26=TRUE,(Skills!K26/10)*(E1403/1000),Skills!K26/10)+Skills!N26</f>
        <v/>
      </c>
      <c r="G1403">
        <f>Calc!G26</f>
        <v/>
      </c>
      <c r="H1403">
        <f>Calc!H26</f>
        <v/>
      </c>
      <c r="I1403">
        <f>IF(Skills!T26&lt;&gt;"",1+(Skills!T26/10)*($Z$3/1000)/100,1)</f>
        <v/>
      </c>
      <c r="J1403" t="inlineStr"/>
      <c r="K1403" t="inlineStr"/>
      <c r="L1403" t="inlineStr"/>
      <c r="M1403" t="inlineStr"/>
      <c r="N1403" t="inlineStr"/>
      <c r="O1403">
        <f>(1-Summary!$B$11)*S1403+Summary!$B$11*U1403</f>
        <v/>
      </c>
      <c r="P1403">
        <f>IF(B1420=0,0,O1403/B1420)</f>
        <v/>
      </c>
      <c r="Q1403">
        <f>IFERROR(1/(IF(Inputs!$B$39="pvp",15,MAX(0.1,Skills!D26-IF(Skills!E26=TRUE,Inputs!$B$33,0)))*(1-IF(AND(ArtifactsInput!$M$27,Inputs!$B$4="Chapter Hunt"),CHOOSE(ArtifactsInput!$N$27+1,20,24,28,32,36,40),0)/100)),0)</f>
        <v/>
      </c>
      <c r="R1403" t="n">
        <v>0</v>
      </c>
      <c r="S1403" t="n">
        <v>0</v>
      </c>
      <c r="U1403" t="n">
        <v>0</v>
      </c>
    </row>
    <row r="1404">
      <c r="A1404">
        <f>Skills!A27</f>
        <v/>
      </c>
      <c r="B1404">
        <f>Skills!B27</f>
        <v/>
      </c>
      <c r="C1404">
        <f>Inputs!$B$3&gt;=120</f>
        <v/>
      </c>
      <c r="D1404">
        <f>IF(Skills!C27=1,60+Inputs!$B$26+Inputs!$B$30,IF(Skills!C27=2,90+Inputs!$B$27+Inputs!$B$30,IF(Skills!C27=3,120+Inputs!$B$28+Inputs!$B$30,MAX(0,(Inputs!$B$3-100)*3)+Inputs!$B$29+Inputs!$B$30)))</f>
        <v/>
      </c>
      <c r="E1404">
        <f>INDEX(FactorTable!$B$2:$Y$301, MATCH(ROUND(MIN(300,MAX(1,D1404)),0), FactorTable!$A$2:$A$301,0), Skills!L27+1)</f>
        <v/>
      </c>
      <c r="F1404">
        <f>IF(Skills!M27=TRUE,(Skills!K27/10)*(E1404/1000),Skills!K27/10)+Skills!N27</f>
        <v/>
      </c>
      <c r="G1404">
        <f>Calc!G27</f>
        <v/>
      </c>
      <c r="H1404">
        <f>Calc!H27</f>
        <v/>
      </c>
      <c r="I1404">
        <f>IF(Skills!T27&lt;&gt;"",1+(Skills!T27/10)*($Z$3/1000)/100,1)</f>
        <v/>
      </c>
      <c r="J1404" t="inlineStr"/>
      <c r="K1404" t="inlineStr"/>
      <c r="L1404" t="inlineStr"/>
      <c r="M1404" t="inlineStr"/>
      <c r="N1404" t="inlineStr"/>
      <c r="O1404">
        <f>(1-Summary!$B$11)*S1404+Summary!$B$11*U1404</f>
        <v/>
      </c>
      <c r="P1404">
        <f>IF(B1420=0,0,O1404/B1420)</f>
        <v/>
      </c>
      <c r="Q1404">
        <f>IFERROR(1/(IF(Inputs!$B$39="pvp",15,MAX(0.1,Skills!D27-IF(Skills!E27=TRUE,Inputs!$B$33,0)))*(1-IF(AND(ArtifactsInput!$M$27,Inputs!$B$4="Chapter Hunt"),CHOOSE(ArtifactsInput!$N$27+1,20,24,28,32,36,40),0)/100)),0)</f>
        <v/>
      </c>
      <c r="R1404" t="n">
        <v>0</v>
      </c>
      <c r="S1404" t="n">
        <v>0</v>
      </c>
      <c r="U1404" t="n">
        <v>0</v>
      </c>
    </row>
    <row r="1405">
      <c r="A1405">
        <f>Skills!A28</f>
        <v/>
      </c>
      <c r="B1405">
        <f>Skills!B28</f>
        <v/>
      </c>
      <c r="C1405">
        <f>TRUE</f>
        <v/>
      </c>
      <c r="D1405">
        <f>IF(Skills!C28=1,60+Inputs!$B$26+Inputs!$B$30,IF(Skills!C28=2,90+Inputs!$B$27+Inputs!$B$30,IF(Skills!C28=3,120+Inputs!$B$28+Inputs!$B$30,MAX(0,(Inputs!$B$3-100)*3)+Inputs!$B$29+Inputs!$B$30)))</f>
        <v/>
      </c>
      <c r="E1405">
        <f>INDEX(FactorTable!$B$2:$Y$301, MATCH(ROUND(MIN(300,MAX(1,D1405)),0), FactorTable!$A$2:$A$301,0), Skills!L28+1)</f>
        <v/>
      </c>
      <c r="F1405">
        <f>IF(Skills!M28=TRUE,(Skills!K28/10)*(E1405/1000),Skills!K28/10)+Skills!N28</f>
        <v/>
      </c>
      <c r="G1405">
        <f>Calc!G28</f>
        <v/>
      </c>
      <c r="H1405">
        <f>Calc!H28</f>
        <v/>
      </c>
      <c r="I1405">
        <f>IF(Skills!T28&lt;&gt;"",1+(Skills!T28/10)*($Z$3/1000)/100,1)</f>
        <v/>
      </c>
      <c r="J1405" t="inlineStr"/>
      <c r="K1405" t="inlineStr"/>
      <c r="L1405" t="inlineStr"/>
      <c r="M1405" t="inlineStr"/>
      <c r="N1405" t="inlineStr"/>
      <c r="O1405">
        <f>(1-Summary!$B$11)*S1405+Summary!$B$11*U1405</f>
        <v/>
      </c>
      <c r="P1405">
        <f>IF(B1420=0,0,O1405/B1420)</f>
        <v/>
      </c>
      <c r="Q1405">
        <f>IFERROR(1/(IF(Inputs!$B$39="pvp",15,MAX(0.1,Skills!D28-IF(Skills!E28=TRUE,Inputs!$B$33,0)))*(1-IF(AND(ArtifactsInput!$M$27,Inputs!$B$4="Chapter Hunt"),CHOOSE(ArtifactsInput!$N$27+1,20,24,28,32,36,40),0)/100)),0)</f>
        <v/>
      </c>
      <c r="R1405">
        <f>IF(AND(Inputs!$B$39&lt;&gt;"pvp",Inputs!$B$44&gt;0),IF(Inputs!$B$44&lt;=0,0,(INT(Inputs!$B$44/(IF(Inputs!$B$39="pvp",15,MAX(0.1,Skills!D28-IF(Skills!E28=TRUE,Inputs!$B$33,0)))*(1-IF(AND(ArtifactsInput!$M$27,Inputs!$B$4="Chapter Hunt"),CHOOSE(ArtifactsInput!$N$27+1,20,24,28,32,36,40),0)/100)))+1)),0)</f>
        <v/>
      </c>
      <c r="S1405" t="n">
        <v>0</v>
      </c>
      <c r="U1405" t="n">
        <v>0</v>
      </c>
    </row>
    <row r="1407">
      <c r="A1407" t="inlineStr">
        <is>
          <t>Average Buff Multiplier</t>
        </is>
      </c>
      <c r="B1407">
        <f>(1+(IF(C1380=TRUE,F1380*IF(AND(Inputs!$B$39&lt;&gt;"pvp",Inputs!$B$44&gt;0),(((R1380-1)*(Skills!S3*(1+((Inputs!$B$35+(IF(ArtifactsInput!$M$7,FALSE,TRUE)-ArtifactsInput!$M$7)*CHOOSE(ArtifactsInput!$N$7+1,6,7.2,8.4,9.6,10.8,12))+IF(Inputs!$B$3&gt;=117,F1403,0))/100))+MIN((Skills!S3*(1+((Inputs!$B$35+(IF(ArtifactsInput!$M$7,FALSE,TRUE)-ArtifactsInput!$M$7)*CHOOSE(ArtifactsInput!$N$7+1,6,7.2,8.4,9.6,10.8,12))+IF(Inputs!$B$3&gt;=117,F1403,0))/100)),MAX(0,Inputs!$B$44-((R1380-1)*Skills!D3))))/Inputs!$B$44),IF(Inputs!$B$39="pvp",MIN((Skills!S3*(1+((Inputs!$B$35+(IF(ArtifactsInput!$M$7,FALSE,TRUE)-ArtifactsInput!$M$7)*CHOOSE(ArtifactsInput!$N$7+1,6,7.2,8.4,9.6,10.8,12))+IF(Inputs!$B$3&gt;=117,F1403,0))/100)),15)/15,(Skills!S3*(1+((Inputs!$B$35+(IF(ArtifactsInput!$M$7,FALSE,TRUE)-ArtifactsInput!$M$7)*CHOOSE(ArtifactsInput!$N$7+1,6,7.2,8.4,9.6,10.8,12))+IF(Inputs!$B$3&gt;=117,F1403,0))/100))/Skills!D3)),0)+IF(C1381=TRUE,F1381*IF(AND(Inputs!$B$39&lt;&gt;"pvp",Inputs!$B$44&gt;0),(((R1381-1)*(Skills!S4*(1+((Inputs!$B$35+(IF(ArtifactsInput!$M$7,FALSE,TRUE)-ArtifactsInput!$M$7)*CHOOSE(ArtifactsInput!$N$7+1,6,7.2,8.4,9.6,10.8,12))+IF(Inputs!$B$3&gt;=117,F1403,0))/100))+MIN((Skills!S4*(1+((Inputs!$B$35+(IF(ArtifactsInput!$M$7,FALSE,TRUE)-ArtifactsInput!$M$7)*CHOOSE(ArtifactsInput!$N$7+1,6,7.2,8.4,9.6,10.8,12))+IF(Inputs!$B$3&gt;=117,F1403,0))/100)),MAX(0,Inputs!$B$44-((R1381-1)*Skills!D4))))/Inputs!$B$44),IF(Inputs!$B$39="pvp",MIN((Skills!S4*(1+((Inputs!$B$35+(IF(ArtifactsInput!$M$7,FALSE,TRUE)-ArtifactsInput!$M$7)*CHOOSE(ArtifactsInput!$N$7+1,6,7.2,8.4,9.6,10.8,12))+IF(Inputs!$B$3&gt;=117,F1403,0))/100)),15)/15,(Skills!S4*(1+((Inputs!$B$35+(IF(ArtifactsInput!$M$7,FALSE,TRUE)-ArtifactsInput!$M$7)*CHOOSE(ArtifactsInput!$N$7+1,6,7.2,8.4,9.6,10.8,12))+IF(Inputs!$B$3&gt;=117,F1403,0))/100))/Skills!D4)),0)+IF(C1382=TRUE,F1382*IF(AND(Inputs!$B$39&lt;&gt;"pvp",Inputs!$B$44&gt;0),(((R1382-1)*(Skills!S5*(1+((Inputs!$B$35+(IF(ArtifactsInput!$M$7,FALSE,TRUE)-ArtifactsInput!$M$7)*CHOOSE(ArtifactsInput!$N$7+1,6,7.2,8.4,9.6,10.8,12))+IF(Inputs!$B$3&gt;=117,F1403,0))/100))+MIN((Skills!S5*(1+((Inputs!$B$35+(IF(ArtifactsInput!$M$7,FALSE,TRUE)-ArtifactsInput!$M$7)*CHOOSE(ArtifactsInput!$N$7+1,6,7.2,8.4,9.6,10.8,12))+IF(Inputs!$B$3&gt;=117,F1403,0))/100)),MAX(0,Inputs!$B$44-((R1382-1)*Skills!D5))))/Inputs!$B$44),IF(Inputs!$B$39="pvp",MIN((Skills!S5*(1+((Inputs!$B$35+(IF(ArtifactsInput!$M$7,FALSE,TRUE)-ArtifactsInput!$M$7)*CHOOSE(ArtifactsInput!$N$7+1,6,7.2,8.4,9.6,10.8,12))+IF(Inputs!$B$3&gt;=117,F1403,0))/100)),15)/15,(Skills!S5*(1+((Inputs!$B$35+(IF(ArtifactsInput!$M$7,FALSE,TRUE)-ArtifactsInput!$M$7)*CHOOSE(ArtifactsInput!$N$7+1,6,7.2,8.4,9.6,10.8,12))+IF(Inputs!$B$3&gt;=117,F1403,0))/100))/Skills!D5)),0)+IF(C1388=TRUE,F1388*IF(AND(Inputs!$B$39&lt;&gt;"pvp",Inputs!$B$44&gt;0),(((R1388-1)*(Skills!S11*(1+((Inputs!$B$35+(IF(ArtifactsInput!$M$7,FALSE,TRUE)-ArtifactsInput!$M$7)*CHOOSE(ArtifactsInput!$N$7+1,6,7.2,8.4,9.6,10.8,12))+IF(Inputs!$B$3&gt;=117,F1403,0))/100))+MIN((Skills!S11*(1+((Inputs!$B$35+(IF(ArtifactsInput!$M$7,FALSE,TRUE)-ArtifactsInput!$M$7)*CHOOSE(ArtifactsInput!$N$7+1,6,7.2,8.4,9.6,10.8,12))+IF(Inputs!$B$3&gt;=117,F1403,0))/100)),MAX(0,Inputs!$B$44-((R1388-1)*Skills!D11))))/Inputs!$B$44),IF(Inputs!$B$39="pvp",MIN((Skills!S11*(1+((Inputs!$B$35+(IF(ArtifactsInput!$M$7,FALSE,TRUE)-ArtifactsInput!$M$7)*CHOOSE(ArtifactsInput!$N$7+1,6,7.2,8.4,9.6,10.8,12))+IF(Inputs!$B$3&gt;=117,F1403,0))/100)),15)/15,(Skills!S11*(1+((Inputs!$B$35+(IF(ArtifactsInput!$M$7,FALSE,TRUE)-ArtifactsInput!$M$7)*CHOOSE(ArtifactsInput!$N$7+1,6,7.2,8.4,9.6,10.8,12))+IF(Inputs!$B$3&gt;=117,F1403,0)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1391=TRUE,(1+F1391*IF(AND(Inputs!$B$39&lt;&gt;"pvp",Inputs!$B$44&gt;0),(((R1391-1)*(Skills!S14*(1+((Inputs!$B$35+(IF(ArtifactsInput!$M$7,FALSE,TRUE)-ArtifactsInput!$M$7)*CHOOSE(ArtifactsInput!$N$7+1,6,7.2,8.4,9.6,10.8,12))+IF(Inputs!$B$3&gt;=117,F1403,0))/100))+MIN((Skills!S14*(1+((Inputs!$B$35+(IF(ArtifactsInput!$M$7,FALSE,TRUE)-ArtifactsInput!$M$7)*CHOOSE(ArtifactsInput!$N$7+1,6,7.2,8.4,9.6,10.8,12))+IF(Inputs!$B$3&gt;=117,F1403,0))/100)),MAX(0,Inputs!$B$44-((R1391-1)*Skills!D14))))/Inputs!$B$44),IF(Inputs!$B$39="pvp",MIN((Skills!S14*(1+((Inputs!$B$35+(IF(ArtifactsInput!$M$7,FALSE,TRUE)-ArtifactsInput!$M$7)*CHOOSE(ArtifactsInput!$N$7+1,6,7.2,8.4,9.6,10.8,12))+IF(Inputs!$B$3&gt;=117,F1403,0))/100)),15)/15,(Skills!S14*(1+((Inputs!$B$35+(IF(ArtifactsInput!$M$7,FALSE,TRUE)-ArtifactsInput!$M$7)*CHOOSE(ArtifactsInput!$N$7+1,6,7.2,8.4,9.6,10.8,12))+IF(Inputs!$B$3&gt;=117,F1403,0))/100))/Skills!D14))/100),1)*IF(C1396=TRUE,(1+F1396*IF(AND(Inputs!$B$39&lt;&gt;"pvp",Inputs!$B$44&gt;0),(((R1396-1)*(Skills!S19*(1+((Inputs!$B$35+(IF(ArtifactsInput!$M$7,FALSE,TRUE)-ArtifactsInput!$M$7)*CHOOSE(ArtifactsInput!$N$7+1,6,7.2,8.4,9.6,10.8,12))+IF(Inputs!$B$3&gt;=117,F1403,0))/100))+MIN((Skills!S19*(1+((Inputs!$B$35+(IF(ArtifactsInput!$M$7,FALSE,TRUE)-ArtifactsInput!$M$7)*CHOOSE(ArtifactsInput!$N$7+1,6,7.2,8.4,9.6,10.8,12))+IF(Inputs!$B$3&gt;=117,F1403,0))/100)),MAX(0,Inputs!$B$44-((R1396-1)*Skills!D19))))/Inputs!$B$44),IF(Inputs!$B$39="pvp",MIN((Skills!S19*(1+((Inputs!$B$35+(IF(ArtifactsInput!$M$7,FALSE,TRUE)-ArtifactsInput!$M$7)*CHOOSE(ArtifactsInput!$N$7+1,6,7.2,8.4,9.6,10.8,12))+IF(Inputs!$B$3&gt;=117,F1403,0))/100)),15)/15,(Skills!S19*(1+((Inputs!$B$35+(IF(ArtifactsInput!$M$7,FALSE,TRUE)-ArtifactsInput!$M$7)*CHOOSE(ArtifactsInput!$N$7+1,6,7.2,8.4,9.6,10.8,12))+IF(Inputs!$B$3&gt;=117,F1403,0))/100))/Skills!D19))/100),1)</f>
        <v/>
      </c>
    </row>
    <row r="1408">
      <c r="A1408" t="inlineStr">
        <is>
          <t>Monster Damage Taken Bonus % (Holy Fountain)</t>
        </is>
      </c>
      <c r="B1408">
        <f>IF(Inputs!$B$3&gt;=68,20*IF(Inputs!$B$39="pvp",MIN((15*(1+((Inputs!$B$35+(IF(ArtifactsInput!$M$7,FALSE,TRUE)-ArtifactsInput!$M$7)*CHOOSE(ArtifactsInput!$N$7+1,6,7.2,8.4,9.6,10.8,12))+IF(Inputs!$B$3&gt;=117,F1403,0))/100)),15)/15,(15*(1+((Inputs!$B$35+(IF(ArtifactsInput!$M$7,FALSE,TRUE)-ArtifactsInput!$M$7)*CHOOSE(ArtifactsInput!$N$7+1,6,7.2,8.4,9.6,10.8,12))+IF(Inputs!$B$3&gt;=117,F1403,0))/100))/Skills!D10),0)</f>
        <v/>
      </c>
    </row>
    <row r="1409">
      <c r="A1409" t="inlineStr">
        <is>
          <t>Normal Monster Damage Bonus % (Holy Symbol)</t>
        </is>
      </c>
      <c r="B1409">
        <f>IF(C1389=TRUE,F1389*IF(AND(Inputs!$B$39&lt;&gt;"pvp",Inputs!$B$44&gt;0),(((R1389-1)*(Skills!S12*(1+((Inputs!$B$35+(IF(ArtifactsInput!$M$7,FALSE,TRUE)-ArtifactsInput!$M$7)*CHOOSE(ArtifactsInput!$N$7+1,6,7.2,8.4,9.6,10.8,12))+IF(Inputs!$B$3&gt;=117,F1403,0))/100))+MIN((Skills!S12*(1+((Inputs!$B$35+(IF(ArtifactsInput!$M$7,FALSE,TRUE)-ArtifactsInput!$M$7)*CHOOSE(ArtifactsInput!$N$7+1,6,7.2,8.4,9.6,10.8,12))+IF(Inputs!$B$3&gt;=117,F1403,0))/100)),MAX(0,Inputs!$B$44-((R1389-1)*Skills!D12))))/Inputs!$B$44),IF(Inputs!$B$39="pvp",MIN((Skills!S12*(1+((Inputs!$B$35+(IF(ArtifactsInput!$M$7,FALSE,TRUE)-ArtifactsInput!$M$7)*CHOOSE(ArtifactsInput!$N$7+1,6,7.2,8.4,9.6,10.8,12))+IF(Inputs!$B$3&gt;=117,F1403,0))/100)),15)/15,(Skills!S12*(1+((Inputs!$B$35+(IF(ArtifactsInput!$M$7,FALSE,TRUE)-ArtifactsInput!$M$7)*CHOOSE(ArtifactsInput!$N$7+1,6,7.2,8.4,9.6,10.8,12))+IF(Inputs!$B$3&gt;=117,F1403,0))/100))/Skills!D12)),0)</f>
        <v/>
      </c>
    </row>
    <row r="1410">
      <c r="A1410" t="inlineStr">
        <is>
          <t>Damage % Bonus (Holy Symbol - Damage Boost)</t>
        </is>
      </c>
      <c r="B1410">
        <f>Skills!O12</f>
        <v/>
      </c>
    </row>
    <row r="1411">
      <c r="A1411" t="inlineStr">
        <is>
          <t>Crit Damage % Bonus (Blood of the Divine)</t>
        </is>
      </c>
      <c r="B1411">
        <f>4*IF(C1397=TRUE,F1397,0)</f>
        <v/>
      </c>
    </row>
    <row r="1412">
      <c r="A1412" t="inlineStr">
        <is>
          <t>Attack Speed Bonus %</t>
        </is>
      </c>
      <c r="B1412">
        <f>IF(C1394=TRUE,F1394+(F1398-Calc!F21),0)+IF(Inputs!$B$3&gt;=134,15,0)+((C1405=TRUE)*F1405*IF(AND(Inputs!$B$39&lt;&gt;"pvp",Inputs!$B$44&gt;0),(((R1405-1)*(Skills!S28*(1+((Inputs!$B$35+(IF(ArtifactsInput!$M$7,FALSE,TRUE)-ArtifactsInput!$M$7)*CHOOSE(ArtifactsInput!$N$7+1,6,7.2,8.4,9.6,10.8,12))+IF(Inputs!$B$3&gt;=117,F1403,0))/100))+MIN((Skills!S28*(1+((Inputs!$B$35+(IF(ArtifactsInput!$M$7,FALSE,TRUE)-ArtifactsInput!$M$7)*CHOOSE(ArtifactsInput!$N$7+1,6,7.2,8.4,9.6,10.8,12))+IF(Inputs!$B$3&gt;=117,F1403,0))/100)),MAX(0,Inputs!$B$44-((R1405-1)*Skills!D28))))/Inputs!$B$44),IF(Inputs!$B$39="pvp",MIN((Skills!S28*(1+((Inputs!$B$35+(IF(ArtifactsInput!$M$7,FALSE,TRUE)-ArtifactsInput!$M$7)*CHOOSE(ArtifactsInput!$N$7+1,6,7.2,8.4,9.6,10.8,12))+IF(Inputs!$B$3&gt;=117,F1403,0))/100)),15)/15,(Skills!S28*(1+((Inputs!$B$35+(IF(ArtifactsInput!$M$7,FALSE,TRUE)-ArtifactsInput!$M$7)*CHOOSE(ArtifactsInput!$N$7+1,6,7.2,8.4,9.6,10.8,12))+IF(Inputs!$B$3&gt;=117,F1403,0))/100))/Skills!D28)))</f>
        <v/>
      </c>
    </row>
    <row r="1413">
      <c r="A1413" t="inlineStr">
        <is>
          <t>Actions Per Second</t>
        </is>
      </c>
      <c r="B1413">
        <f>1+MIN(150,150*(1-(1-Inputs!$B$12/150)*(1-B1412/150)))/100</f>
        <v/>
      </c>
    </row>
    <row r="1414">
      <c r="A1414" t="inlineStr">
        <is>
          <t>Skill + Buff Cast Rate</t>
        </is>
      </c>
      <c r="B1414">
        <f>IF(AND(Inputs!$B$39&lt;&gt;"pvp",Inputs!$B$44&gt;0),SUMPRODUCT((Skills!E2:E28=TRUE)*(C1379:C1405=TRUE)*R1379:R1405)/Inputs!$B$44,SUMPRODUCT((Skills!E2:E28=TRUE)*(C1379:C1405=TRUE)*Q1379:Q1405))</f>
        <v/>
      </c>
    </row>
    <row r="1415">
      <c r="A1415" t="inlineStr">
        <is>
          <t>Big Bang Casts Per Second</t>
        </is>
      </c>
      <c r="B1415">
        <f>MAX(0,B1413-B1414)</f>
        <v/>
      </c>
    </row>
    <row r="1416">
      <c r="A1416" t="inlineStr">
        <is>
          <t>Defense % Bonus (Divine Protection)</t>
        </is>
      </c>
      <c r="B1416">
        <f>IF(C1390=TRUE,F1390*IF(AND(Inputs!$B$39&lt;&gt;"pvp",Inputs!$B$44&gt;0),(((R1390-1)*(Skills!S13*(1+((Inputs!$B$35+(IF(ArtifactsInput!$M$7,FALSE,TRUE)-ArtifactsInput!$M$7)*CHOOSE(ArtifactsInput!$N$7+1,6,7.2,8.4,9.6,10.8,12))+IF(Inputs!$B$3&gt;=117,F1403,0))/100))+MIN((Skills!S13*(1+((Inputs!$B$35+(IF(ArtifactsInput!$M$7,FALSE,TRUE)-ArtifactsInput!$M$7)*CHOOSE(ArtifactsInput!$N$7+1,6,7.2,8.4,9.6,10.8,12))+IF(Inputs!$B$3&gt;=117,F1403,0))/100)),MAX(0,Inputs!$B$44-((R1390-1)*Skills!D13))))/Inputs!$B$44),IF(Inputs!$B$39="pvp",MIN((Skills!S13*(1+((Inputs!$B$35+(IF(ArtifactsInput!$M$7,FALSE,TRUE)-ArtifactsInput!$M$7)*CHOOSE(ArtifactsInput!$N$7+1,6,7.2,8.4,9.6,10.8,12))+IF(Inputs!$B$3&gt;=117,F1403,0))/100)),15)/15,(Skills!S13*(1+((Inputs!$B$35+(IF(ArtifactsInput!$M$7,FALSE,TRUE)-ArtifactsInput!$M$7)*CHOOSE(ArtifactsInput!$N$7+1,6,7.2,8.4,9.6,10.8,12))+IF(Inputs!$B$3&gt;=117,F1403,0))/100))/Skills!D13)),0)</f>
        <v/>
      </c>
    </row>
    <row r="1417">
      <c r="A1417" t="inlineStr">
        <is>
          <t>Buff-Casting Startup Delay (s, fixed-duration only)</t>
        </is>
      </c>
      <c r="B1417">
        <f>IF(AND(Inputs!$B$39&lt;&gt;"pvp",Inputs!$B$44&gt;0),SUMPRODUCT((Skills!S2:S28&gt;0)*(Skills!E2:E28=TRUE)*(C1379:C1405=TRUE))/B1413,0)</f>
        <v/>
      </c>
    </row>
    <row r="1418">
      <c r="A1418" t="inlineStr">
        <is>
          <t>Boss-Only Total DPS (this block's swept value)</t>
        </is>
      </c>
      <c r="B1418">
        <f>SUM(S1379:S1405)</f>
        <v/>
      </c>
    </row>
    <row r="1419">
      <c r="A1419" t="inlineStr">
        <is>
          <t>Normal-Only Total DPS (this block's swept value)</t>
        </is>
      </c>
      <c r="B1419">
        <f>SUM(U1379:U1405)</f>
        <v/>
      </c>
    </row>
    <row r="1420">
      <c r="A1420" s="6" t="inlineStr">
        <is>
          <t>TOTAL DPS</t>
        </is>
      </c>
      <c r="B1420" s="6">
        <f>SUM(O1379:O1405)</f>
        <v/>
      </c>
    </row>
    <row r="1422">
      <c r="A1422" s="6" t="inlineStr">
        <is>
          <t>Stat: The Contract of Darkness (Equip)</t>
        </is>
      </c>
    </row>
    <row r="1423">
      <c r="A1423" s="5" t="inlineStr">
        <is>
          <t>Key</t>
        </is>
      </c>
      <c r="B1423" s="5" t="inlineStr">
        <is>
          <t>Name</t>
        </is>
      </c>
      <c r="C1423" s="5" t="inlineStr">
        <is>
          <t>Unlocked</t>
        </is>
      </c>
      <c r="D1423" s="5" t="inlineStr">
        <is>
          <t>InputLevel</t>
        </is>
      </c>
      <c r="E1423" s="5" t="inlineStr">
        <is>
          <t>Factor</t>
        </is>
      </c>
      <c r="F1423" s="5" t="inlineStr">
        <is>
          <t>CoefficientPercent</t>
        </is>
      </c>
      <c r="G1423" s="5" t="inlineStr">
        <is>
          <t>EffectiveHits</t>
        </is>
      </c>
      <c r="H1423" s="5" t="inlineStr">
        <is>
          <t>ProcProbability</t>
        </is>
      </c>
      <c r="I1423" s="5" t="inlineStr">
        <is>
          <t>MapleHeroMultiplier</t>
        </is>
      </c>
      <c r="J1423" s="5" t="inlineStr">
        <is>
          <t>BaseDamage</t>
        </is>
      </c>
      <c r="K1423" s="5" t="inlineStr">
        <is>
          <t>BaseHitDamage</t>
        </is>
      </c>
      <c r="L1423" s="5" t="inlineStr">
        <is>
          <t>NonCritAvg</t>
        </is>
      </c>
      <c r="M1423" s="5" t="inlineStr">
        <is>
          <t>CritAvg</t>
        </is>
      </c>
      <c r="N1423" s="5" t="inlineStr">
        <is>
          <t>ExpectedDamage(perHit)</t>
        </is>
      </c>
      <c r="O1423" s="5" t="inlineStr">
        <is>
          <t>DPS</t>
        </is>
      </c>
      <c r="P1423" s="5" t="inlineStr">
        <is>
          <t>% of Total</t>
        </is>
      </c>
      <c r="R1423" t="inlineStr">
        <is>
          <t>helpers</t>
        </is>
      </c>
    </row>
    <row r="1424">
      <c r="A1424">
        <f>Skills!A2</f>
        <v/>
      </c>
      <c r="B1424">
        <f>Skills!B2</f>
        <v/>
      </c>
      <c r="C1424">
        <f>Inputs!$B$3&gt;=100</f>
        <v/>
      </c>
      <c r="D1424" t="inlineStr"/>
      <c r="E1424" t="inlineStr"/>
      <c r="F1424">
        <f>T1426+Skills!N2</f>
        <v/>
      </c>
      <c r="G1424">
        <f>Calc!G2</f>
        <v/>
      </c>
      <c r="H1424">
        <f>Calc!H2</f>
        <v/>
      </c>
      <c r="I1424">
        <f>IF(Skills!T2&lt;&gt;"",1+(Skills!T2/10)*($Z$3/1000)/100,1)</f>
        <v/>
      </c>
      <c r="J1424">
        <f>((Inputs!$B$6*(1+Inputs!$B$7/100))+(((Inputs!$B$13*(1+Inputs!$B$14/100))-(Inputs!$B$13*(1+Inputs!$B$14/100)))+0.25*(Inputs!$B$15-Inputs!$B$15))*(1+Inputs!$B$7/100))*(F1424/100)</f>
        <v/>
      </c>
      <c r="K1424">
        <f>J1424*(1+(((Inputs!$B$13+IF(Inputs!$B$3&gt;=35,(10*INDEX(FactorTable!$B$2:$Y$301,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2="TRIUMPH_FEATHER",IF(C1438=TRUE,F1438,0),0)/100)*(1+IF(C1449=TRUE,F1449,0)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1424)</f>
        <v/>
      </c>
      <c r="L1424">
        <f>K1424*(MIN(Inputs!$B$23+(F1444-Calc!F22),(Inputs!$B$24+IF(ArtifactsInput!$M$15,CHOOSE(ArtifactsInput!$N$15+1,25,30,35,40,45,50)/100*(Inputs!$B$12-Inputs!$B$12),0)))/100+(Inputs!$B$24+IF(ArtifactsInput!$M$15,CHOOSE(ArtifactsInput!$N$15+1,25,30,35,40,45,50)/100*(Inputs!$B$12-Inputs!$B$12),0))/100)/2</f>
        <v/>
      </c>
      <c r="M1424">
        <f>L1424*(1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4">
        <f>L1424*(1-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(1-Summary!$B$11)*S1424+Summary!$B$11*U1424</f>
        <v/>
      </c>
      <c r="P1424">
        <f>IF(B1465=0,0,O1424/B1465)</f>
        <v/>
      </c>
      <c r="Q1424">
        <f>IFERROR(1/(IF(Inputs!$B$39="pvp",15,MAX(0.1,Skills!D2-IF(Skills!E2=TRUE,Inputs!$B$33,0)))*(1-IF(AND(ArtifactsInput!$M$27,Inputs!$B$4="Chapter Hunt"),CHOOSE(ArtifactsInput!$N$27+1,20,24,28,32,36,40),0)/100)),0)</f>
        <v/>
      </c>
      <c r="R1424" t="n">
        <v>0</v>
      </c>
      <c r="S1424">
        <f>IF(C1424,(Skills!F2*N1424*B1460)*IF(Inputs!$B$39="pvp",1,1+(Inputs!$B$21+Skills!O2+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1424*(1-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1424*(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1424*(1-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24">
        <f>MAX(0,(Inputs!$B$3-100)*3)+Inputs!$B$29+Inputs!$B$30</f>
        <v/>
      </c>
      <c r="U1424">
        <f>IF(C1424,(Skills!F2*N1424*B1460)*IF(Inputs!$B$39="pvp",1,(1+(Inputs!$B$22+Skills!P2+B1454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Skills!A3</f>
        <v/>
      </c>
      <c r="B1425">
        <f>Skills!B3</f>
        <v/>
      </c>
      <c r="C1425">
        <f>Inputs!$B$3&gt;=15</f>
        <v/>
      </c>
      <c r="D1425">
        <f>IF(Skills!C3=1,60+Inputs!$B$26+Inputs!$B$30,IF(Skills!C3=2,90+Inputs!$B$27+Inputs!$B$30,IF(Skills!C3=3,120+Inputs!$B$28+Inputs!$B$30,MAX(0,(Inputs!$B$3-100)*3)+Inputs!$B$29+Inputs!$B$30)))</f>
        <v/>
      </c>
      <c r="E1425">
        <f>INDEX(FactorTable!$B$2:$Y$301, MATCH(ROUND(MIN(300,MAX(1,D1425)),0), FactorTable!$A$2:$A$301,0), Skills!L3+1)</f>
        <v/>
      </c>
      <c r="F1425">
        <f>IF(Skills!M3=TRUE,(Skills!K3/10)*(E1425/1000),Skills!K3/10)+Skills!N3</f>
        <v/>
      </c>
      <c r="G1425">
        <f>Calc!G3</f>
        <v/>
      </c>
      <c r="H1425">
        <f>Calc!H3</f>
        <v/>
      </c>
      <c r="I1425">
        <f>IF(Skills!T3&lt;&gt;"",1+(Skills!T3/10)*($Z$3/1000)/100,1)</f>
        <v/>
      </c>
      <c r="J1425" t="inlineStr"/>
      <c r="K1425" t="inlineStr"/>
      <c r="L1425" t="inlineStr"/>
      <c r="M1425" t="inlineStr"/>
      <c r="N1425" t="inlineStr"/>
      <c r="O1425">
        <f>(1-Summary!$B$11)*S1425+Summary!$B$11*U1425</f>
        <v/>
      </c>
      <c r="P1425">
        <f>IF(B1465=0,0,O1425/B1465)</f>
        <v/>
      </c>
      <c r="Q1425">
        <f>IFERROR(1/(IF(Inputs!$B$39="pvp",15,MAX(0.1,Skills!D3-IF(Skills!E3=TRUE,Inputs!$B$33,0)))*(1-IF(AND(ArtifactsInput!$M$27,Inputs!$B$4="Chapter Hunt"),CHOOSE(ArtifactsInput!$N$27+1,20,24,28,32,36,40),0)/100)),0)</f>
        <v/>
      </c>
      <c r="R1425">
        <f>IF(AND(Inputs!$B$39&lt;&gt;"pvp",Inputs!$B$44&gt;0),IF(Inputs!$B$44&lt;=0,0,(INT(Inputs!$B$44/(IF(Inputs!$B$39="pvp",15,MAX(0.1,Skills!D3-IF(Skills!E3=TRUE,Inputs!$B$33,0)))*(1-IF(AND(ArtifactsInput!$M$27,Inputs!$B$4="Chapter Hunt"),CHOOSE(ArtifactsInput!$N$27+1,20,24,28,32,36,40),0)/100)))+1)),0)</f>
        <v/>
      </c>
      <c r="S1425" t="n">
        <v>0</v>
      </c>
      <c r="T1425">
        <f>INDEX(FactorTable!$B$2:$Y$301, MATCH(ROUND(MIN(300,MAX(1,T1424)),0), FactorTable!$A$2:$A$301,0), 22)</f>
        <v/>
      </c>
      <c r="U1425" t="n">
        <v>0</v>
      </c>
    </row>
    <row r="1426">
      <c r="A1426">
        <f>Skills!A4</f>
        <v/>
      </c>
      <c r="B1426">
        <f>Skills!B4</f>
        <v/>
      </c>
      <c r="C1426">
        <f>Inputs!$B$3&gt;=38</f>
        <v/>
      </c>
      <c r="D1426">
        <f>IF(Skills!C4=1,60+Inputs!$B$26+Inputs!$B$30,IF(Skills!C4=2,90+Inputs!$B$27+Inputs!$B$30,IF(Skills!C4=3,120+Inputs!$B$28+Inputs!$B$30,MAX(0,(Inputs!$B$3-100)*3)+Inputs!$B$29+Inputs!$B$30)))</f>
        <v/>
      </c>
      <c r="E1426">
        <f>INDEX(FactorTable!$B$2:$Y$301, MATCH(ROUND(MIN(300,MAX(1,D1426)),0), FactorTable!$A$2:$A$301,0), Skills!L4+1)</f>
        <v/>
      </c>
      <c r="F1426">
        <f>IF(Skills!M4=TRUE,(Skills!K4/10)*(E1426/1000),Skills!K4/10)+Skills!N4</f>
        <v/>
      </c>
      <c r="G1426">
        <f>Calc!G4</f>
        <v/>
      </c>
      <c r="H1426">
        <f>Calc!H4</f>
        <v/>
      </c>
      <c r="I1426">
        <f>IF(Skills!T4&lt;&gt;"",1+(Skills!T4/10)*($Z$3/1000)/100,1)</f>
        <v/>
      </c>
      <c r="J1426" t="inlineStr"/>
      <c r="K1426" t="inlineStr"/>
      <c r="L1426" t="inlineStr"/>
      <c r="M1426" t="inlineStr"/>
      <c r="N1426" t="inlineStr"/>
      <c r="O1426">
        <f>(1-Summary!$B$11)*S1426+Summary!$B$11*U1426</f>
        <v/>
      </c>
      <c r="P1426">
        <f>IF(B1465=0,0,O1426/B1465)</f>
        <v/>
      </c>
      <c r="Q1426">
        <f>IFERROR(1/(IF(Inputs!$B$39="pvp",15,MAX(0.1,Skills!D4-IF(Skills!E4=TRUE,Inputs!$B$33,0)))*(1-IF(AND(ArtifactsInput!$M$27,Inputs!$B$4="Chapter Hunt"),CHOOSE(ArtifactsInput!$N$27+1,20,24,28,32,36,40),0)/100)),0)</f>
        <v/>
      </c>
      <c r="R1426">
        <f>IF(AND(Inputs!$B$39&lt;&gt;"pvp",Inputs!$B$44&gt;0),IF(Inputs!$B$44&lt;=0,0,(INT(Inputs!$B$44/(IF(Inputs!$B$39="pvp",15,MAX(0.1,Skills!D4-IF(Skills!E4=TRUE,Inputs!$B$33,0)))*(1-IF(AND(ArtifactsInput!$M$27,Inputs!$B$4="Chapter Hunt"),CHOOSE(ArtifactsInput!$N$27+1,20,24,28,32,36,40),0)/100)))+1)),0)</f>
        <v/>
      </c>
      <c r="S1426" t="n">
        <v>0</v>
      </c>
      <c r="T1426">
        <f>290*T1425/1000</f>
        <v/>
      </c>
      <c r="U1426" t="n">
        <v>0</v>
      </c>
    </row>
    <row r="1427">
      <c r="A1427">
        <f>Skills!A5</f>
        <v/>
      </c>
      <c r="B1427">
        <f>Skills!B5</f>
        <v/>
      </c>
      <c r="C1427">
        <f>Inputs!$B$3&gt;=40</f>
        <v/>
      </c>
      <c r="D1427">
        <f>IF(Skills!C5=1,60+Inputs!$B$26+Inputs!$B$30,IF(Skills!C5=2,90+Inputs!$B$27+Inputs!$B$30,IF(Skills!C5=3,120+Inputs!$B$28+Inputs!$B$30,MAX(0,(Inputs!$B$3-100)*3)+Inputs!$B$29+Inputs!$B$30)))</f>
        <v/>
      </c>
      <c r="E1427">
        <f>INDEX(FactorTable!$B$2:$Y$301, MATCH(ROUND(MIN(300,MAX(1,D1427)),0), FactorTable!$A$2:$A$301,0), Skills!L5+1)</f>
        <v/>
      </c>
      <c r="F1427">
        <f>IF(Skills!M5=TRUE,(Skills!K5/10)*(E1427/1000),Skills!K5/10)+Skills!N5</f>
        <v/>
      </c>
      <c r="G1427">
        <f>Calc!G5</f>
        <v/>
      </c>
      <c r="H1427">
        <f>Calc!H5</f>
        <v/>
      </c>
      <c r="I1427">
        <f>IF(Skills!T5&lt;&gt;"",1+(Skills!T5/10)*($Z$3/1000)/100,1)</f>
        <v/>
      </c>
      <c r="J1427" t="inlineStr"/>
      <c r="K1427" t="inlineStr"/>
      <c r="L1427" t="inlineStr"/>
      <c r="M1427" t="inlineStr"/>
      <c r="N1427" t="inlineStr"/>
      <c r="O1427">
        <f>(1-Summary!$B$11)*S1427+Summary!$B$11*U1427</f>
        <v/>
      </c>
      <c r="P1427">
        <f>IF(B1465=0,0,O1427/B1465)</f>
        <v/>
      </c>
      <c r="Q1427">
        <f>IFERROR(1/(IF(Inputs!$B$39="pvp",15,MAX(0.1,Skills!D5-IF(Skills!E5=TRUE,Inputs!$B$33,0)))*(1-IF(AND(ArtifactsInput!$M$27,Inputs!$B$4="Chapter Hunt"),CHOOSE(ArtifactsInput!$N$27+1,20,24,28,32,36,40),0)/100)),0)</f>
        <v/>
      </c>
      <c r="R1427">
        <f>IF(AND(Inputs!$B$39&lt;&gt;"pvp",Inputs!$B$44&gt;0),IF(Inputs!$B$44&lt;=0,0,(INT(Inputs!$B$44/(IF(Inputs!$B$39="pvp",15,MAX(0.1,Skills!D5-IF(Skills!E5=TRUE,Inputs!$B$33,0)))*(1-IF(AND(ArtifactsInput!$M$27,Inputs!$B$4="Chapter Hunt"),CHOOSE(ArtifactsInput!$N$27+1,20,24,28,32,36,40),0)/100)))+1)),0)</f>
        <v/>
      </c>
      <c r="S1427" t="n">
        <v>0</v>
      </c>
      <c r="U1427" t="n">
        <v>0</v>
      </c>
    </row>
    <row r="1428">
      <c r="A1428">
        <f>Skills!A6</f>
        <v/>
      </c>
      <c r="B1428">
        <f>Skills!B6</f>
        <v/>
      </c>
      <c r="C1428">
        <f>Inputs!$B$3&gt;=103</f>
        <v/>
      </c>
      <c r="D1428">
        <f>IF(Skills!C6=1,60+Inputs!$B$26+Inputs!$B$30,IF(Skills!C6=2,90+Inputs!$B$27+Inputs!$B$30,IF(Skills!C6=3,120+Inputs!$B$28+Inputs!$B$30,MAX(0,(Inputs!$B$3-100)*3)+Inputs!$B$29+Inputs!$B$30)))</f>
        <v/>
      </c>
      <c r="E1428">
        <f>INDEX(FactorTable!$B$2:$Y$301, MATCH(ROUND(MIN(300,MAX(1,D1428)),0), FactorTable!$A$2:$A$301,0), Skills!L6+1)</f>
        <v/>
      </c>
      <c r="F1428">
        <f>IF(Skills!M6=TRUE,(Skills!K6/10)*(E1428/1000),Skills!K6/10)+Skills!N6</f>
        <v/>
      </c>
      <c r="G1428">
        <f>Calc!G6</f>
        <v/>
      </c>
      <c r="H1428">
        <f>Calc!H6</f>
        <v/>
      </c>
      <c r="I1428">
        <f>IF(Skills!T6&lt;&gt;"",1+(Skills!T6/10)*($Z$3/1000)/100,1)</f>
        <v/>
      </c>
      <c r="J1428">
        <f>((Inputs!$B$6*(1+Inputs!$B$7/100))+(((Inputs!$B$13*(1+Inputs!$B$14/100))-(Inputs!$B$13*(1+Inputs!$B$14/100)))+0.25*(Inputs!$B$15-Inputs!$B$15))*(1+Inputs!$B$7/100))*(F1428/100)</f>
        <v/>
      </c>
      <c r="K1428">
        <f>J1428*(1+(((Inputs!$B$13+IF(Inputs!$B$3&gt;=35,(10*INDEX(FactorTable!$B$2:$Y$301,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6="TRIUMPH_FEATHER",IF(C1438=TRUE,F1438,0),0)/100)*(1+IF(C1449=TRUE,F1449,0)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1428)</f>
        <v/>
      </c>
      <c r="L1428">
        <f>K1428*(MIN(Inputs!$B$23+(F1444-Calc!F22),(Inputs!$B$24+IF(ArtifactsInput!$M$15,CHOOSE(ArtifactsInput!$N$15+1,25,30,35,40,45,50)/100*(Inputs!$B$12-Inputs!$B$12),0)))/100+(Inputs!$B$24+IF(ArtifactsInput!$M$15,CHOOSE(ArtifactsInput!$N$15+1,25,30,35,40,45,50)/100*(Inputs!$B$12-Inputs!$B$12),0))/100)/2</f>
        <v/>
      </c>
      <c r="M1428">
        <f>L1428*(1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8">
        <f>L1428*(1-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(1-Summary!$B$11)*S1428+Summary!$B$11*U1428</f>
        <v/>
      </c>
      <c r="P1428">
        <f>IF(B1465=0,0,O1428/B1465)</f>
        <v/>
      </c>
      <c r="Q1428">
        <f>IFERROR(1/(IF(Inputs!$B$39="pvp",15,MAX(0.1,Skills!D6-IF(Skills!E6=TRUE,Inputs!$B$33,0)))*(1-IF(AND(ArtifactsInput!$M$27,Inputs!$B$4="Chapter Hunt"),CHOOSE(ArtifactsInput!$N$27+1,20,24,28,32,36,40),0)/100)),0)</f>
        <v/>
      </c>
      <c r="R1428">
        <f>IF(AND(Inputs!$B$39&lt;&gt;"pvp",Inputs!$B$44&gt;0),IF(MAX(0,Inputs!$B$44-B1462)&lt;=0,0,(INT(MAX(0,Inputs!$B$44-B1462)/(IF(Inputs!$B$39="pvp",15,MAX(0.1,Skills!D6-IF(Skills!E6=TRUE,Inputs!$B$33,0)))*(1-IF(AND(ArtifactsInput!$M$27,Inputs!$B$4="Chapter Hunt"),CHOOSE(ArtifactsInput!$N$27+1,20,24,28,32,36,40),0)/100)))+1)),0)</f>
        <v/>
      </c>
      <c r="S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$21+Skills!O6+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1428*(1-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1428*(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1428*(1-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$22+Skills!P6+B1454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Skills!A7</f>
        <v/>
      </c>
      <c r="B1429">
        <f>Skills!B7</f>
        <v/>
      </c>
      <c r="C1429">
        <f>Inputs!$B$3&gt;=122</f>
        <v/>
      </c>
      <c r="D1429">
        <f>IF(Skills!C7=1,60+Inputs!$B$26+Inputs!$B$30,IF(Skills!C7=2,90+Inputs!$B$27+Inputs!$B$30,IF(Skills!C7=3,120+Inputs!$B$28+Inputs!$B$30,MAX(0,(Inputs!$B$3-100)*3)+Inputs!$B$29+Inputs!$B$30)))</f>
        <v/>
      </c>
      <c r="E1429">
        <f>INDEX(FactorTable!$B$2:$Y$301, MATCH(ROUND(MIN(300,MAX(1,D1429)),0), FactorTable!$A$2:$A$301,0), Skills!L7+1)</f>
        <v/>
      </c>
      <c r="F1429">
        <f>IF(Skills!M7=TRUE,(Skills!K7/10)*(E1429/1000),Skills!K7/10)+Skills!N7</f>
        <v/>
      </c>
      <c r="G1429">
        <f>Calc!G7</f>
        <v/>
      </c>
      <c r="H1429">
        <f>Calc!H7</f>
        <v/>
      </c>
      <c r="I1429">
        <f>IF(Skills!T7&lt;&gt;"",1+(Skills!T7/10)*($Z$3/1000)/100,1)</f>
        <v/>
      </c>
      <c r="J1429">
        <f>((Inputs!$B$6*(1+Inputs!$B$7/100))+(((Inputs!$B$13*(1+Inputs!$B$14/100))-(Inputs!$B$13*(1+Inputs!$B$14/100)))+0.25*(Inputs!$B$15-Inputs!$B$15))*(1+Inputs!$B$7/100))*(F1429/100)</f>
        <v/>
      </c>
      <c r="K1429">
        <f>J1429*(1+(((Inputs!$B$13+IF(Inputs!$B$3&gt;=35,(10*INDEX(FactorTable!$B$2:$Y$301,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7="TRIUMPH_FEATHER",IF(C1438=TRUE,F1438,0),0)/100)*(1+IF(C1449=TRUE,F1449,0)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1429)</f>
        <v/>
      </c>
      <c r="L1429">
        <f>K1429*(MIN(Inputs!$B$23+(F1444-Calc!F22),(Inputs!$B$24+IF(ArtifactsInput!$M$15,CHOOSE(ArtifactsInput!$N$15+1,25,30,35,40,45,50)/100*(Inputs!$B$12-Inputs!$B$12),0)))/100+(Inputs!$B$24+IF(ArtifactsInput!$M$15,CHOOSE(ArtifactsInput!$N$15+1,25,30,35,40,45,50)/100*(Inputs!$B$12-Inputs!$B$12),0))/100)/2</f>
        <v/>
      </c>
      <c r="M1429">
        <f>L1429*(1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9">
        <f>L1429*(1-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(1-Summary!$B$11)*S1429+Summary!$B$11*U1429</f>
        <v/>
      </c>
      <c r="P1429">
        <f>IF(B1465=0,0,O1429/B1465)</f>
        <v/>
      </c>
      <c r="Q1429">
        <f>IFERROR(1/(IF(Inputs!$B$39="pvp",15,MAX(0.1,Skills!D7-IF(Skills!E6=TRUE,Inputs!$B$33,0)))*(1-IF(AND(ArtifactsInput!$M$27,Inputs!$B$4="Chapter Hunt"),CHOOSE(ArtifactsInput!$N$27+1,20,24,28,32,36,40),0)/100)),0)</f>
        <v/>
      </c>
      <c r="R1429">
        <f>IF(AND(Inputs!$B$39&lt;&gt;"pvp",Inputs!$B$44&gt;0),IF(MAX(0,Inputs!$B$44-B1462)&lt;=0,0,(INT(MAX(0,Inputs!$B$44-B1462)/(IF(Inputs!$B$39="pvp",15,MAX(0.1,Skills!D7-IF(Skills!E6=TRUE,Inputs!$B$33,0)))*(1-IF(AND(ArtifactsInput!$M$27,Inputs!$B$4="Chapter Hunt"),CHOOSE(ArtifactsInput!$N$27+1,20,24,28,32,36,40),0)/100)))+1)),0)</f>
        <v/>
      </c>
      <c r="S1429">
        <f>IF(C1429,H1429*N1429*IF(AND(Inputs!$B$39&lt;&gt;"pvp",Inputs!$B$44&gt;0),((Skills!F7*((R1429-1)*IF(Skills!G7&gt;0,Skills!H7/Skills!G7,1)+IF(Skills!G7&gt;0,MIN(Skills!H7,MAX(0,MAX(0,Inputs!$B$44-B1462)-((R1429-1)*(IF(Inputs!$B$39="pvp",15,MAX(0.1,Skills!D7-IF(Skills!E6=TRUE,Inputs!$B$33,0)))*(1-IF(AND(ArtifactsInput!$M$27,Inputs!$B$4="Chapter Hunt"),CHOOSE(ArtifactsInput!$N$27+1,20,24,28,32,36,40),0)/100)))))/Skills!G7,1)))/Inputs!$B$44),G1429*Q1429)*IF(Inputs!$B$39="pvp",1,1+(Inputs!$B$21+Skills!O7+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1429*(1-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1429*(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1429*(1-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9" t="n">
        <v>0</v>
      </c>
    </row>
    <row r="1430">
      <c r="A1430">
        <f>Skills!A8</f>
        <v/>
      </c>
      <c r="B1430">
        <f>Skills!B8</f>
        <v/>
      </c>
      <c r="C1430">
        <f>Inputs!$B$3&gt;=105</f>
        <v/>
      </c>
      <c r="D1430">
        <f>IF(Skills!C8=1,60+Inputs!$B$26+Inputs!$B$30,IF(Skills!C8=2,90+Inputs!$B$27+Inputs!$B$30,IF(Skills!C8=3,120+Inputs!$B$28+Inputs!$B$30,MAX(0,(Inputs!$B$3-100)*3)+Inputs!$B$29+Inputs!$B$30)))</f>
        <v/>
      </c>
      <c r="E1430">
        <f>INDEX(FactorTable!$B$2:$Y$301, MATCH(ROUND(MIN(300,MAX(1,D1430)),0), FactorTable!$A$2:$A$301,0), Skills!L8+1)</f>
        <v/>
      </c>
      <c r="F1430">
        <f>IF(Skills!M8=TRUE,(Skills!K8/10)*(E1430/1000),Skills!K8/10)+Skills!N8</f>
        <v/>
      </c>
      <c r="G1430">
        <f>Calc!G8</f>
        <v/>
      </c>
      <c r="H1430">
        <f>Calc!H8</f>
        <v/>
      </c>
      <c r="I1430">
        <f>IF(Skills!T8&lt;&gt;"",1+(Skills!T8/10)*($Z$3/1000)/100,1)</f>
        <v/>
      </c>
      <c r="J1430">
        <f>((Inputs!$B$6*(1+Inputs!$B$7/100))+(((Inputs!$B$13*(1+Inputs!$B$14/100))-(Inputs!$B$13*(1+Inputs!$B$14/100)))+0.25*(Inputs!$B$15-Inputs!$B$15))*(1+Inputs!$B$7/100))*(F1430/100)</f>
        <v/>
      </c>
      <c r="K1430">
        <f>J1430*(1+(((Inputs!$B$13+IF(Inputs!$B$3&gt;=35,(10*INDEX(FactorTable!$B$2:$Y$301,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8="TRIUMPH_FEATHER",IF(C1438=TRUE,F1438,0),0)/100)*(1+IF(C1449=TRUE,F1449,0)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1430)</f>
        <v/>
      </c>
      <c r="L1430">
        <f>K1430*(MIN(Inputs!$B$23+(F1444-Calc!F22),(Inputs!$B$24+IF(ArtifactsInput!$M$15,CHOOSE(ArtifactsInput!$N$15+1,25,30,35,40,45,50)/100*(Inputs!$B$12-Inputs!$B$12),0)))/100+(Inputs!$B$24+IF(ArtifactsInput!$M$15,CHOOSE(ArtifactsInput!$N$15+1,25,30,35,40,45,50)/100*(Inputs!$B$12-Inputs!$B$12),0))/100)/2</f>
        <v/>
      </c>
      <c r="M1430">
        <f>L1430*(1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0">
        <f>L1430*(1-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1430*(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0">
        <f>(1-Summary!$B$11)*S1430+Summary!$B$11*U1430</f>
        <v/>
      </c>
      <c r="P1430">
        <f>IF(B1465=0,0,O1430/B1465)</f>
        <v/>
      </c>
      <c r="Q1430">
        <f>IFERROR(1/(IF(Inputs!$B$39="pvp",15,MAX(0.1,Skills!D8-IF(Skills!E8=TRUE,Inputs!$B$33,0)))*(1-IF(AND(ArtifactsInput!$M$27,Inputs!$B$4="Chapter Hunt"),CHOOSE(ArtifactsInput!$N$27+1,20,24,28,32,36,40),0)/100)),0)</f>
        <v/>
      </c>
      <c r="R1430">
        <f>IF(AND(Inputs!$B$39&lt;&gt;"pvp",Inputs!$B$44&gt;0),IF(MAX(0,Inputs!$B$44-B1462)&lt;=0,0,(INT(MAX(0,Inputs!$B$44-B1462)/(IF(Inputs!$B$39="pvp",15,MAX(0.1,Skills!D8-IF(Skills!E8=TRUE,Inputs!$B$33,0)))*(1-IF(AND(ArtifactsInput!$M$27,Inputs!$B$4="Chapter Hunt"),CHOOSE(ArtifactsInput!$N$27+1,20,24,28,32,36,40),0)/100)))+1)),0)</f>
        <v/>
      </c>
      <c r="S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$21+Skills!O8+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1430*(1-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1430*(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1430*(1-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1430*(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$22+Skills!P8+B1454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1">
      <c r="A1431">
        <f>Skills!A9</f>
        <v/>
      </c>
      <c r="B1431">
        <f>Skills!B9</f>
        <v/>
      </c>
      <c r="C1431">
        <f>Inputs!$B$3&gt;=115</f>
        <v/>
      </c>
      <c r="D1431">
        <f>IF(Skills!C9=1,60+Inputs!$B$26+Inputs!$B$30,IF(Skills!C9=2,90+Inputs!$B$27+Inputs!$B$30,IF(Skills!C9=3,120+Inputs!$B$28+Inputs!$B$30,MAX(0,(Inputs!$B$3-100)*3)+Inputs!$B$29+Inputs!$B$30)))</f>
        <v/>
      </c>
      <c r="E1431">
        <f>INDEX(FactorTable!$B$2:$Y$301, MATCH(ROUND(MIN(300,MAX(1,D1431)),0), FactorTable!$A$2:$A$301,0), Skills!L9+1)</f>
        <v/>
      </c>
      <c r="F1431">
        <f>IF(Skills!M9=TRUE,(Skills!K9/10)*(E1431/1000),Skills!K9/10)+Skills!N9</f>
        <v/>
      </c>
      <c r="G1431">
        <f>Calc!G9</f>
        <v/>
      </c>
      <c r="H1431">
        <f>Calc!H9</f>
        <v/>
      </c>
      <c r="I1431">
        <f>IF(Skills!T9&lt;&gt;"",1+(Skills!T9/10)*($Z$3/1000)/100,1)</f>
        <v/>
      </c>
      <c r="J1431">
        <f>((Inputs!$B$6*(1+Inputs!$B$7/100))+(((Inputs!$B$13*(1+Inputs!$B$14/100))-(Inputs!$B$13*(1+Inputs!$B$14/100)))+0.25*(Inputs!$B$15-Inputs!$B$15))*(1+Inputs!$B$7/100))*(F1431/100)</f>
        <v/>
      </c>
      <c r="K1431">
        <f>J1431*(1+(((Inputs!$B$13+IF(Inputs!$B$3&gt;=35,(10*INDEX(FactorTable!$B$2:$Y$301,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9="TRIUMPH_FEATHER",IF(C1438=TRUE,F1438,0),0)/100)*(1+IF(C1449=TRUE,F1449,0)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1431)</f>
        <v/>
      </c>
      <c r="L1431">
        <f>K1431*(MIN(Inputs!$B$23+(F1444-Calc!F22),(Inputs!$B$24+IF(ArtifactsInput!$M$15,CHOOSE(ArtifactsInput!$N$15+1,25,30,35,40,45,50)/100*(Inputs!$B$12-Inputs!$B$12),0)))/100+(Inputs!$B$24+IF(ArtifactsInput!$M$15,CHOOSE(ArtifactsInput!$N$15+1,25,30,35,40,45,50)/100*(Inputs!$B$12-Inputs!$B$12),0))/100)/2</f>
        <v/>
      </c>
      <c r="M1431">
        <f>L1431*(1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1">
        <f>L1431*(1-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(1-Summary!$B$11)*S1431+Summary!$B$11*U1431</f>
        <v/>
      </c>
      <c r="P1431">
        <f>IF(B1465=0,0,O1431/B1465)</f>
        <v/>
      </c>
      <c r="Q1431">
        <f>IFERROR(1/(IF(Inputs!$B$39="pvp",15,MAX(0.1,Skills!D9-IF(Skills!E9=TRUE,Inputs!$B$33,0)))*(1-IF(AND(ArtifactsInput!$M$27,Inputs!$B$4="Chapter Hunt"),CHOOSE(ArtifactsInput!$N$27+1,20,24,28,32,36,40),0)/100)),0)</f>
        <v/>
      </c>
      <c r="R1431">
        <f>IF(AND(Inputs!$B$39&lt;&gt;"pvp",Inputs!$B$44&gt;0),IF(MAX(0,Inputs!$B$44-B1462)&lt;=0,0,(INT(MAX(0,Inputs!$B$44-B1462)/(IF(Inputs!$B$39="pvp",15,MAX(0.1,Skills!D9-IF(Skills!E9=TRUE,Inputs!$B$33,0)))*(1-IF(AND(ArtifactsInput!$M$27,Inputs!$B$4="Chapter Hunt"),CHOOSE(ArtifactsInput!$N$27+1,20,24,28,32,36,40),0)/100)))+1)),0)</f>
        <v/>
      </c>
      <c r="S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$21+Skills!O9+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1431*(1-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1431*(1-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$22+Skills!P9+B1454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Skills!A10</f>
        <v/>
      </c>
      <c r="B1432">
        <f>Skills!B10</f>
        <v/>
      </c>
      <c r="C1432">
        <f>Inputs!$B$3&gt;=66</f>
        <v/>
      </c>
      <c r="D1432">
        <f>IF(Skills!C10=1,60+Inputs!$B$26+Inputs!$B$30,IF(Skills!C10=2,90+Inputs!$B$27+Inputs!$B$30,IF(Skills!C10=3,120+Inputs!$B$28+Inputs!$B$30,MAX(0,(Inputs!$B$3-100)*3)+Inputs!$B$29+Inputs!$B$30)))</f>
        <v/>
      </c>
      <c r="E1432">
        <f>INDEX(FactorTable!$B$2:$Y$301, MATCH(ROUND(MIN(300,MAX(1,D1432)),0), FactorTable!$A$2:$A$301,0), Skills!L10+1)</f>
        <v/>
      </c>
      <c r="F1432" t="n">
        <v>0</v>
      </c>
      <c r="G1432">
        <f>Calc!G10</f>
        <v/>
      </c>
      <c r="H1432">
        <f>Calc!H10</f>
        <v/>
      </c>
      <c r="I1432">
        <f>IF(Skills!T10&lt;&gt;"",1+(Skills!T10/10)*($Z$3/1000)/100,1)</f>
        <v/>
      </c>
      <c r="J1432" t="inlineStr"/>
      <c r="K1432" t="inlineStr"/>
      <c r="L1432" t="inlineStr"/>
      <c r="M1432" t="inlineStr"/>
      <c r="N1432" t="inlineStr"/>
      <c r="O1432">
        <f>(1-Summary!$B$11)*S1432+Summary!$B$11*U1432</f>
        <v/>
      </c>
      <c r="P1432">
        <f>IF(B1465=0,0,O1432/B1465)</f>
        <v/>
      </c>
      <c r="Q1432">
        <f>IFERROR(1/(IF(Inputs!$B$39="pvp",15,MAX(0.1,Skills!D10-IF(Skills!E10=TRUE,Inputs!$B$33,0)))*(1-IF(AND(ArtifactsInput!$M$27,Inputs!$B$4="Chapter Hunt"),CHOOSE(ArtifactsInput!$N$27+1,20,24,28,32,36,40),0)/100)),0)</f>
        <v/>
      </c>
      <c r="R1432">
        <f>IF(AND(Inputs!$B$39&lt;&gt;"pvp",Inputs!$B$44&gt;0),IF(MAX(0,Inputs!$B$44-B1462)&lt;=0,0,(INT(MAX(0,Inputs!$B$44-B1462)/(IF(Inputs!$B$39="pvp",15,MAX(0.1,Skills!D10-IF(Skills!E10=TRUE,Inputs!$B$33,0)))*(1-IF(AND(ArtifactsInput!$M$27,Inputs!$B$4="Chapter Hunt"),CHOOSE(ArtifactsInput!$N$27+1,20,24,28,32,36,40),0)/100)))+1)),0)</f>
        <v/>
      </c>
      <c r="S1432" t="n">
        <v>0</v>
      </c>
      <c r="U1432" t="n">
        <v>0</v>
      </c>
    </row>
    <row r="1433">
      <c r="A1433">
        <f>Skills!A11</f>
        <v/>
      </c>
      <c r="B1433">
        <f>Skills!B11</f>
        <v/>
      </c>
      <c r="C1433">
        <f>Inputs!$B$3&gt;=69</f>
        <v/>
      </c>
      <c r="D1433">
        <f>IF(Skills!C11=1,60+Inputs!$B$26+Inputs!$B$30,IF(Skills!C11=2,90+Inputs!$B$27+Inputs!$B$30,IF(Skills!C11=3,120+Inputs!$B$28+Inputs!$B$30,MAX(0,(Inputs!$B$3-100)*3)+Inputs!$B$29+Inputs!$B$30)))</f>
        <v/>
      </c>
      <c r="E1433">
        <f>INDEX(FactorTable!$B$2:$Y$301, MATCH(ROUND(MIN(300,MAX(1,D1433)),0), FactorTable!$A$2:$A$301,0), Skills!L11+1)</f>
        <v/>
      </c>
      <c r="F1433">
        <f>IF(Skills!M11=TRUE,(Skills!K11/10)*(E1433/1000),Skills!K11/10)+Skills!N11</f>
        <v/>
      </c>
      <c r="G1433">
        <f>Calc!G11</f>
        <v/>
      </c>
      <c r="H1433">
        <f>Calc!H11</f>
        <v/>
      </c>
      <c r="I1433">
        <f>IF(Skills!T11&lt;&gt;"",1+(Skills!T11/10)*($Z$3/1000)/100,1)</f>
        <v/>
      </c>
      <c r="J1433" t="inlineStr"/>
      <c r="K1433" t="inlineStr"/>
      <c r="L1433" t="inlineStr"/>
      <c r="M1433" t="inlineStr"/>
      <c r="N1433" t="inlineStr"/>
      <c r="O1433">
        <f>(1-Summary!$B$11)*S1433+Summary!$B$11*U1433</f>
        <v/>
      </c>
      <c r="P1433">
        <f>IF(B1465=0,0,O1433/B1465)</f>
        <v/>
      </c>
      <c r="Q1433">
        <f>IFERROR(1/(IF(Inputs!$B$39="pvp",15,MAX(0.1,Skills!D11-IF(Skills!E11=TRUE,Inputs!$B$33,0)))*(1-IF(AND(ArtifactsInput!$M$27,Inputs!$B$4="Chapter Hunt"),CHOOSE(ArtifactsInput!$N$27+1,20,24,28,32,36,40),0)/100)),0)</f>
        <v/>
      </c>
      <c r="R1433">
        <f>IF(AND(Inputs!$B$39&lt;&gt;"pvp",Inputs!$B$44&gt;0),IF(Inputs!$B$44&lt;=0,0,(INT(Inputs!$B$44/(IF(Inputs!$B$39="pvp",15,MAX(0.1,Skills!D11-IF(Skills!E11=TRUE,Inputs!$B$33,0)))*(1-IF(AND(ArtifactsInput!$M$27,Inputs!$B$4="Chapter Hunt"),CHOOSE(ArtifactsInput!$N$27+1,20,24,28,32,36,40),0)/100)))+1)),0)</f>
        <v/>
      </c>
      <c r="S1433" t="n">
        <v>0</v>
      </c>
      <c r="U1433" t="n">
        <v>0</v>
      </c>
    </row>
    <row r="1434">
      <c r="A1434">
        <f>Skills!A12</f>
        <v/>
      </c>
      <c r="B1434">
        <f>Skills!B12</f>
        <v/>
      </c>
      <c r="C1434">
        <f>Inputs!$B$3&gt;=72</f>
        <v/>
      </c>
      <c r="D1434">
        <f>IF(Skills!C12=1,60+Inputs!$B$26+Inputs!$B$30,IF(Skills!C12=2,90+Inputs!$B$27+Inputs!$B$30,IF(Skills!C12=3,120+Inputs!$B$28+Inputs!$B$30,MAX(0,(Inputs!$B$3-100)*3)+Inputs!$B$29+Inputs!$B$30)))</f>
        <v/>
      </c>
      <c r="E1434">
        <f>INDEX(FactorTable!$B$2:$Y$301, MATCH(ROUND(MIN(300,MAX(1,D1434)),0), FactorTable!$A$2:$A$301,0), Skills!L12+1)</f>
        <v/>
      </c>
      <c r="F1434">
        <f>IF(Skills!M12=TRUE,(Skills!K12/10)*(E1434/1000),Skills!K12/10)+Skills!N12</f>
        <v/>
      </c>
      <c r="G1434">
        <f>Calc!G12</f>
        <v/>
      </c>
      <c r="H1434">
        <f>Calc!H12</f>
        <v/>
      </c>
      <c r="I1434">
        <f>IF(Skills!T12&lt;&gt;"",1+(Skills!T12/10)*($Z$3/1000)/100,1)</f>
        <v/>
      </c>
      <c r="J1434" t="inlineStr"/>
      <c r="K1434" t="inlineStr"/>
      <c r="L1434" t="inlineStr"/>
      <c r="M1434" t="inlineStr"/>
      <c r="N1434" t="inlineStr"/>
      <c r="O1434">
        <f>(1-Summary!$B$11)*S1434+Summary!$B$11*U1434</f>
        <v/>
      </c>
      <c r="P1434">
        <f>IF(B1465=0,0,O1434/B1465)</f>
        <v/>
      </c>
      <c r="Q1434">
        <f>IFERROR(1/(IF(Inputs!$B$39="pvp",15,MAX(0.1,Skills!D12-IF(Skills!E12=TRUE,Inputs!$B$33,0)))*(1-IF(AND(ArtifactsInput!$M$27,Inputs!$B$4="Chapter Hunt"),CHOOSE(ArtifactsInput!$N$27+1,20,24,28,32,36,40),0)/100)),0)</f>
        <v/>
      </c>
      <c r="R1434">
        <f>IF(AND(Inputs!$B$39&lt;&gt;"pvp",Inputs!$B$44&gt;0),IF(MAX(0,Inputs!$B$44-B1462)&lt;=0,0,(INT(MAX(0,Inputs!$B$44-B1462)/(IF(Inputs!$B$39="pvp",15,MAX(0.1,Skills!D12-IF(Skills!E12=TRUE,Inputs!$B$33,0)))*(1-IF(AND(ArtifactsInput!$M$27,Inputs!$B$4="Chapter Hunt"),CHOOSE(ArtifactsInput!$N$27+1,20,24,28,32,36,40),0)/100)))+1)),0)</f>
        <v/>
      </c>
      <c r="S1434" t="n">
        <v>0</v>
      </c>
      <c r="U1434" t="n">
        <v>0</v>
      </c>
    </row>
    <row r="1435">
      <c r="A1435">
        <f>Skills!A13</f>
        <v/>
      </c>
      <c r="B1435">
        <f>Skills!B13</f>
        <v/>
      </c>
      <c r="C1435">
        <f>Inputs!$B$3&gt;=60</f>
        <v/>
      </c>
      <c r="D1435">
        <f>IF(Skills!C13=1,60+Inputs!$B$26+Inputs!$B$30,IF(Skills!C13=2,90+Inputs!$B$27+Inputs!$B$30,IF(Skills!C13=3,120+Inputs!$B$28+Inputs!$B$30,MAX(0,(Inputs!$B$3-100)*3)+Inputs!$B$29+Inputs!$B$30)))</f>
        <v/>
      </c>
      <c r="E1435">
        <f>INDEX(FactorTable!$B$2:$Y$301, MATCH(ROUND(MIN(300,MAX(1,D1435)),0), FactorTable!$A$2:$A$301,0), Skills!L13+1)</f>
        <v/>
      </c>
      <c r="F1435">
        <f>IF(Skills!M13=TRUE,(Skills!K13/10)*(E1435/1000),Skills!K13/10)+Skills!N13</f>
        <v/>
      </c>
      <c r="G1435">
        <f>Calc!G13</f>
        <v/>
      </c>
      <c r="H1435">
        <f>Calc!H13</f>
        <v/>
      </c>
      <c r="I1435">
        <f>IF(Skills!T13&lt;&gt;"",1+(Skills!T13/10)*($Z$3/1000)/100,1)</f>
        <v/>
      </c>
      <c r="J1435" t="inlineStr"/>
      <c r="K1435" t="inlineStr"/>
      <c r="L1435" t="inlineStr"/>
      <c r="M1435" t="inlineStr"/>
      <c r="N1435" t="inlineStr"/>
      <c r="O1435">
        <f>(1-Summary!$B$11)*S1435+Summary!$B$11*U1435</f>
        <v/>
      </c>
      <c r="P1435">
        <f>IF(B1465=0,0,O1435/B1465)</f>
        <v/>
      </c>
      <c r="Q1435">
        <f>IFERROR(1/(IF(Inputs!$B$39="pvp",15,MAX(0.1,Skills!D13-IF(Skills!E13=TRUE,Inputs!$B$33,0)))*(1-IF(AND(ArtifactsInput!$M$27,Inputs!$B$4="Chapter Hunt"),CHOOSE(ArtifactsInput!$N$27+1,20,24,28,32,36,40),0)/100)),0)</f>
        <v/>
      </c>
      <c r="R1435">
        <f>IF(AND(Inputs!$B$39&lt;&gt;"pvp",Inputs!$B$44&gt;0),IF(MAX(0,Inputs!$B$44-B1462)&lt;=0,0,(INT(MAX(0,Inputs!$B$44-B1462)/(IF(Inputs!$B$39="pvp",15,MAX(0.1,Skills!D13-IF(Skills!E13=TRUE,Inputs!$B$33,0)))*(1-IF(AND(ArtifactsInput!$M$27,Inputs!$B$4="Chapter Hunt"),CHOOSE(ArtifactsInput!$N$27+1,20,24,28,32,36,40),0)/100)))+1)),0)</f>
        <v/>
      </c>
      <c r="S1435" t="n">
        <v>0</v>
      </c>
      <c r="U1435" t="n">
        <v>0</v>
      </c>
    </row>
    <row r="1436">
      <c r="A1436">
        <f>Skills!A14</f>
        <v/>
      </c>
      <c r="B1436">
        <f>Skills!B14</f>
        <v/>
      </c>
      <c r="C1436">
        <f>Inputs!$B$3&gt;=107</f>
        <v/>
      </c>
      <c r="D1436">
        <f>IF(Skills!C14=1,60+Inputs!$B$26+Inputs!$B$30,IF(Skills!C14=2,90+Inputs!$B$27+Inputs!$B$30,IF(Skills!C14=3,120+Inputs!$B$28+Inputs!$B$30,MAX(0,(Inputs!$B$3-100)*3)+Inputs!$B$29+Inputs!$B$30)))</f>
        <v/>
      </c>
      <c r="E1436">
        <f>INDEX(FactorTable!$B$2:$Y$301, MATCH(ROUND(MIN(300,MAX(1,D1436)),0), FactorTable!$A$2:$A$301,0), Skills!L14+1)</f>
        <v/>
      </c>
      <c r="F1436">
        <f>IF(Skills!M14=TRUE,(Skills!K14/10)*(E1436/1000),Skills!K14/10)+Skills!N14</f>
        <v/>
      </c>
      <c r="G1436">
        <f>Calc!G14</f>
        <v/>
      </c>
      <c r="H1436">
        <f>Calc!H14</f>
        <v/>
      </c>
      <c r="I1436">
        <f>IF(Skills!T14&lt;&gt;"",1+(Skills!T14/10)*($Z$3/1000)/100,1)</f>
        <v/>
      </c>
      <c r="J1436" t="inlineStr"/>
      <c r="K1436" t="inlineStr"/>
      <c r="L1436" t="inlineStr"/>
      <c r="M1436" t="inlineStr"/>
      <c r="N1436" t="inlineStr"/>
      <c r="O1436">
        <f>(1-Summary!$B$11)*S1436+Summary!$B$11*U1436</f>
        <v/>
      </c>
      <c r="P1436">
        <f>IF(B1465=0,0,O1436/B1465)</f>
        <v/>
      </c>
      <c r="Q1436">
        <f>IFERROR(1/(IF(Inputs!$B$39="pvp",15,MAX(0.1,Skills!D14-IF(Skills!E14=TRUE,Inputs!$B$33,0)))*(1-IF(AND(ArtifactsInput!$M$27,Inputs!$B$4="Chapter Hunt"),CHOOSE(ArtifactsInput!$N$27+1,20,24,28,32,36,40),0)/100)),0)</f>
        <v/>
      </c>
      <c r="R1436">
        <f>IF(AND(Inputs!$B$39&lt;&gt;"pvp",Inputs!$B$44&gt;0),IF(Inputs!$B$44&lt;=0,0,(INT(Inputs!$B$44/(IF(Inputs!$B$39="pvp",15,MAX(0.1,Skills!D14-IF(Skills!E14=TRUE,Inputs!$B$33,0)))*(1-IF(AND(ArtifactsInput!$M$27,Inputs!$B$4="Chapter Hunt"),CHOOSE(ArtifactsInput!$N$27+1,20,24,28,32,36,40),0)/100)))+1)),0)</f>
        <v/>
      </c>
      <c r="S1436" t="n">
        <v>0</v>
      </c>
      <c r="U1436" t="n">
        <v>0</v>
      </c>
    </row>
    <row r="1437">
      <c r="A1437">
        <f>Skills!A15</f>
        <v/>
      </c>
      <c r="B1437">
        <f>Skills!B15</f>
        <v/>
      </c>
      <c r="C1437">
        <f>Inputs!$B$3&gt;=63</f>
        <v/>
      </c>
      <c r="D1437">
        <f>IF(Skills!C15=1,60+Inputs!$B$26+Inputs!$B$30,IF(Skills!C15=2,90+Inputs!$B$27+Inputs!$B$30,IF(Skills!C15=3,120+Inputs!$B$28+Inputs!$B$30,MAX(0,(Inputs!$B$3-100)*3)+Inputs!$B$29+Inputs!$B$30)))</f>
        <v/>
      </c>
      <c r="E1437">
        <f>INDEX(FactorTable!$B$2:$Y$301, MATCH(ROUND(MIN(300,MAX(1,D1437)),0), FactorTable!$A$2:$A$301,0), Skills!L15+1)</f>
        <v/>
      </c>
      <c r="F1437">
        <f>IF(Skills!M15=TRUE,(Skills!K15/10)*(E1437/1000),Skills!K15/10)+Skills!N15</f>
        <v/>
      </c>
      <c r="G1437">
        <f>Calc!G15</f>
        <v/>
      </c>
      <c r="H1437">
        <f>Calc!H15</f>
        <v/>
      </c>
      <c r="I1437">
        <f>IF(Skills!T15&lt;&gt;"",1+(Skills!T15/10)*($Z$3/1000)/100,1)</f>
        <v/>
      </c>
      <c r="J1437">
        <f>((Inputs!$B$6*(1+Inputs!$B$7/100))+(((Inputs!$B$13*(1+Inputs!$B$14/100))-(Inputs!$B$13*(1+Inputs!$B$14/100)))+0.25*(Inputs!$B$15-Inputs!$B$15))*(1+Inputs!$B$7/100))*(F1437/100)</f>
        <v/>
      </c>
      <c r="K1437">
        <f>J1437*(1+(((Inputs!$B$13+IF(Inputs!$B$3&gt;=35,(10*INDEX(FactorTable!$B$2:$Y$301,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15="TRIUMPH_FEATHER",IF(C1438=TRUE,F1438,0),0)/100)*(1+IF(C1449=TRUE,F1449,0)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1437)</f>
        <v/>
      </c>
      <c r="L1437">
        <f>K1437*(MIN(Inputs!$B$23+(F1444-Calc!F22),(Inputs!$B$24+IF(ArtifactsInput!$M$15,CHOOSE(ArtifactsInput!$N$15+1,25,30,35,40,45,50)/100*(Inputs!$B$12-Inputs!$B$12),0)))/100+(Inputs!$B$24+IF(ArtifactsInput!$M$15,CHOOSE(ArtifactsInput!$N$15+1,25,30,35,40,45,50)/100*(Inputs!$B$12-Inputs!$B$12),0))/100)/2</f>
        <v/>
      </c>
      <c r="M1437">
        <f>L1437*(1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7">
        <f>L1437*(1-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1437*(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7">
        <f>(1-Summary!$B$11)*S1437+Summary!$B$11*U1437</f>
        <v/>
      </c>
      <c r="P1437">
        <f>IF(B1465=0,0,O1437/B1465)</f>
        <v/>
      </c>
      <c r="Q1437">
        <f>IFERROR(1/(IF(Inputs!$B$39="pvp",15,MAX(0.1,Skills!D15-IF(Skills!E15=TRUE,Inputs!$B$33,0)))*(1-IF(AND(ArtifactsInput!$M$27,Inputs!$B$4="Chapter Hunt"),CHOOSE(ArtifactsInput!$N$27+1,20,24,28,32,36,40),0)/100)),0)</f>
        <v/>
      </c>
      <c r="R1437" t="n">
        <v>0</v>
      </c>
      <c r="S1437">
        <f>IF(C1437,(Skills!F15*N1437*((IF(Inputs!$B$3&gt;=78,25,15)/100*B1458*10)/(1+IF(Inputs!$B$3&gt;=78,25,15)/100*B1458*10))*(Skills!I15/100*B1458)/(1+Skills!G15*Skills!I15/100*B1458))*IF(Inputs!$B$39="pvp",1,1+(Inputs!$B$21+Skills!O15+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1437*(1-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1437*(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1437*(1-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1437*(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7">
        <f>IF(C1437,(Skills!F15*N1437*((IF(Inputs!$B$3&gt;=78,25,15)/100*B1458*10)/(1+IF(Inputs!$B$3&gt;=78,25,15)/100*B1458*10))*(Skills!I15/100*B1458)/(1+Skills!G15*Skills!I15/100*B1458))*IF(Inputs!$B$39="pvp",1,(1+(Inputs!$B$22+Skills!P15+B1454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8">
      <c r="A1438">
        <f>Skills!A16</f>
        <v/>
      </c>
      <c r="B1438">
        <f>Skills!B16</f>
        <v/>
      </c>
      <c r="C1438">
        <f>Inputs!$B$3&gt;=100</f>
        <v/>
      </c>
      <c r="D1438">
        <f>IF(Skills!C16=1,60+Inputs!$B$26+Inputs!$B$30,IF(Skills!C16=2,90+Inputs!$B$27+Inputs!$B$30,IF(Skills!C16=3,120+Inputs!$B$28+Inputs!$B$30,MAX(0,(Inputs!$B$3-100)*3)+Inputs!$B$29+Inputs!$B$30)))</f>
        <v/>
      </c>
      <c r="E1438">
        <f>INDEX(FactorTable!$B$2:$Y$301, MATCH(ROUND(MIN(300,MAX(1,D1438)),0), FactorTable!$A$2:$A$301,0), Skills!L16+1)</f>
        <v/>
      </c>
      <c r="F1438">
        <f>IF(Skills!M16=TRUE,(Skills!K16/10)*(E1438/1000),Skills!K16/10)+Skills!N16</f>
        <v/>
      </c>
      <c r="G1438">
        <f>Calc!G16</f>
        <v/>
      </c>
      <c r="H1438">
        <f>Calc!H16</f>
        <v/>
      </c>
      <c r="I1438">
        <f>IF(Skills!T16&lt;&gt;"",1+(Skills!T16/10)*($Z$3/1000)/100,1)</f>
        <v/>
      </c>
      <c r="J1438" t="inlineStr"/>
      <c r="K1438" t="inlineStr"/>
      <c r="L1438" t="inlineStr"/>
      <c r="M1438" t="inlineStr"/>
      <c r="N1438" t="inlineStr"/>
      <c r="O1438">
        <f>(1-Summary!$B$11)*S1438+Summary!$B$11*U1438</f>
        <v/>
      </c>
      <c r="P1438">
        <f>IF(B1465=0,0,O1438/B1465)</f>
        <v/>
      </c>
      <c r="Q1438">
        <f>IFERROR(1/(IF(Inputs!$B$39="pvp",15,MAX(0.1,Skills!D16-IF(Skills!E16=TRUE,Inputs!$B$33,0)))*(1-IF(AND(ArtifactsInput!$M$27,Inputs!$B$4="Chapter Hunt"),CHOOSE(ArtifactsInput!$N$27+1,20,24,28,32,36,40),0)/100)),0)</f>
        <v/>
      </c>
      <c r="R1438" t="n">
        <v>0</v>
      </c>
      <c r="S1438" t="n">
        <v>0</v>
      </c>
      <c r="U1438" t="n">
        <v>0</v>
      </c>
    </row>
    <row r="1439">
      <c r="A1439">
        <f>Skills!A17</f>
        <v/>
      </c>
      <c r="B1439">
        <f>Skills!B17</f>
        <v/>
      </c>
      <c r="C1439">
        <f>Inputs!$B$3&gt;=49</f>
        <v/>
      </c>
      <c r="D1439">
        <f>IF(Skills!C17=1,60+Inputs!$B$26+Inputs!$B$30,IF(Skills!C17=2,90+Inputs!$B$27+Inputs!$B$30,IF(Skills!C17=3,120+Inputs!$B$28+Inputs!$B$30,MAX(0,(Inputs!$B$3-100)*3)+Inputs!$B$29+Inputs!$B$30)))</f>
        <v/>
      </c>
      <c r="E1439">
        <f>INDEX(FactorTable!$B$2:$Y$301, MATCH(ROUND(MIN(300,MAX(1,D1439)),0), FactorTable!$A$2:$A$301,0), Skills!L17+1)</f>
        <v/>
      </c>
      <c r="F1439">
        <f>IF(Skills!M17=TRUE,(Skills!K17/10)*(E1439/1000),Skills!K17/10)+Skills!N17</f>
        <v/>
      </c>
      <c r="G1439">
        <f>Calc!G17</f>
        <v/>
      </c>
      <c r="H1439">
        <f>Calc!H17</f>
        <v/>
      </c>
      <c r="I1439">
        <f>IF(Skills!T17&lt;&gt;"",1+(Skills!T17/10)*($Z$3/1000)/100,1)</f>
        <v/>
      </c>
      <c r="J1439" t="inlineStr"/>
      <c r="K1439" t="inlineStr"/>
      <c r="L1439" t="inlineStr"/>
      <c r="M1439" t="inlineStr"/>
      <c r="N1439" t="inlineStr"/>
      <c r="O1439">
        <f>(1-Summary!$B$11)*S1439+Summary!$B$11*U1439</f>
        <v/>
      </c>
      <c r="P1439">
        <f>IF(B1465=0,0,O1439/B1465)</f>
        <v/>
      </c>
      <c r="Q1439">
        <f>IFERROR(1/(IF(Inputs!$B$39="pvp",15,MAX(0.1,Skills!D17-IF(Skills!E17=TRUE,Inputs!$B$33,0)))*(1-IF(AND(ArtifactsInput!$M$27,Inputs!$B$4="Chapter Hunt"),CHOOSE(ArtifactsInput!$N$27+1,20,24,28,32,36,40),0)/100)),0)</f>
        <v/>
      </c>
      <c r="R1439" t="n">
        <v>0</v>
      </c>
      <c r="S1439" t="n">
        <v>0</v>
      </c>
      <c r="U1439" t="n">
        <v>0</v>
      </c>
    </row>
    <row r="1440">
      <c r="A1440">
        <f>Skills!A18</f>
        <v/>
      </c>
      <c r="B1440">
        <f>Skills!B18</f>
        <v/>
      </c>
      <c r="C1440">
        <f>Inputs!$B$3&gt;=75</f>
        <v/>
      </c>
      <c r="D1440">
        <f>IF(Skills!C18=1,60+Inputs!$B$26+Inputs!$B$30,IF(Skills!C18=2,90+Inputs!$B$27+Inputs!$B$30,IF(Skills!C18=3,120+Inputs!$B$28+Inputs!$B$30,MAX(0,(Inputs!$B$3-100)*3)+Inputs!$B$29+Inputs!$B$30)))</f>
        <v/>
      </c>
      <c r="E1440">
        <f>INDEX(FactorTable!$B$2:$Y$301, MATCH(ROUND(MIN(300,MAX(1,D1440)),0), FactorTable!$A$2:$A$301,0), Skills!L18+1)</f>
        <v/>
      </c>
      <c r="F1440">
        <f>IF(Skills!M18=TRUE,(Skills!K18/10)*(E1440/1000),Skills!K18/10)+Skills!N18</f>
        <v/>
      </c>
      <c r="G1440">
        <f>Calc!G18</f>
        <v/>
      </c>
      <c r="H1440">
        <f>Calc!H18</f>
        <v/>
      </c>
      <c r="I1440">
        <f>IF(Skills!T18&lt;&gt;"",1+(Skills!T18/10)*($Z$3/1000)/100,1)</f>
        <v/>
      </c>
      <c r="J1440" t="inlineStr"/>
      <c r="K1440" t="inlineStr"/>
      <c r="L1440" t="inlineStr"/>
      <c r="M1440" t="inlineStr"/>
      <c r="N1440" t="inlineStr"/>
      <c r="O1440">
        <f>(1-Summary!$B$11)*S1440+Summary!$B$11*U1440</f>
        <v/>
      </c>
      <c r="P1440">
        <f>IF(B1465=0,0,O1440/B1465)</f>
        <v/>
      </c>
      <c r="Q1440">
        <f>IFERROR(1/(IF(Inputs!$B$39="pvp",15,MAX(0.1,Skills!D18-IF(Skills!E18=TRUE,Inputs!$B$33,0)))*(1-IF(AND(ArtifactsInput!$M$27,Inputs!$B$4="Chapter Hunt"),CHOOSE(ArtifactsInput!$N$27+1,20,24,28,32,36,40),0)/100)),0)</f>
        <v/>
      </c>
      <c r="R1440" t="n">
        <v>0</v>
      </c>
      <c r="S1440" t="n">
        <v>0</v>
      </c>
      <c r="U1440" t="n">
        <v>0</v>
      </c>
    </row>
    <row r="1441">
      <c r="A1441">
        <f>Skills!A19</f>
        <v/>
      </c>
      <c r="B1441">
        <f>Skills!B19</f>
        <v/>
      </c>
      <c r="C1441">
        <f>Inputs!$B$3&gt;=110</f>
        <v/>
      </c>
      <c r="D1441">
        <f>IF(Skills!C19=1,60+Inputs!$B$26+Inputs!$B$30,IF(Skills!C19=2,90+Inputs!$B$27+Inputs!$B$30,IF(Skills!C19=3,120+Inputs!$B$28+Inputs!$B$30,MAX(0,(Inputs!$B$3-100)*3)+Inputs!$B$29+Inputs!$B$30)))</f>
        <v/>
      </c>
      <c r="E1441">
        <f>INDEX(FactorTable!$B$2:$Y$301, MATCH(ROUND(MIN(300,MAX(1,D1441)),0), FactorTable!$A$2:$A$301,0), Skills!L19+1)</f>
        <v/>
      </c>
      <c r="F1441">
        <f>(Skills!K19/10)*(E1441/1000)*64/45+Skills!N19</f>
        <v/>
      </c>
      <c r="G1441">
        <f>Calc!G19</f>
        <v/>
      </c>
      <c r="H1441">
        <f>Calc!H19</f>
        <v/>
      </c>
      <c r="I1441">
        <f>IF(Skills!T19&lt;&gt;"",1+(Skills!T19/10)*($Z$3/1000)/100,1)</f>
        <v/>
      </c>
      <c r="J1441" t="inlineStr"/>
      <c r="K1441" t="inlineStr"/>
      <c r="L1441" t="inlineStr"/>
      <c r="M1441" t="inlineStr"/>
      <c r="N1441" t="inlineStr"/>
      <c r="O1441">
        <f>(1-Summary!$B$11)*S1441+Summary!$B$11*U1441</f>
        <v/>
      </c>
      <c r="P1441">
        <f>IF(B1465=0,0,O1441/B1465)</f>
        <v/>
      </c>
      <c r="Q1441">
        <f>IFERROR(1/(IF(Inputs!$B$39="pvp",15,MAX(0.1,Skills!D19-IF(Skills!E19=TRUE,Inputs!$B$33,0)))*(1-IF(AND(ArtifactsInput!$M$27,Inputs!$B$4="Chapter Hunt"),CHOOSE(ArtifactsInput!$N$27+1,20,24,28,32,36,40),0)/100)),0)</f>
        <v/>
      </c>
      <c r="R1441">
        <f>IF(AND(Inputs!$B$39&lt;&gt;"pvp",Inputs!$B$44&gt;0),IF(Inputs!$B$44&lt;=0,0,(INT(Inputs!$B$44/(IF(Inputs!$B$39="pvp",15,MAX(0.1,Skills!D19-IF(Skills!E19=TRUE,Inputs!$B$33,0)))*(1-IF(AND(ArtifactsInput!$M$27,Inputs!$B$4="Chapter Hunt"),CHOOSE(ArtifactsInput!$N$27+1,20,24,28,32,36,40),0)/100)))+1)),0)</f>
        <v/>
      </c>
      <c r="S1441" t="n">
        <v>0</v>
      </c>
      <c r="U1441" t="n">
        <v>0</v>
      </c>
    </row>
    <row r="1442">
      <c r="A1442">
        <f>Skills!A20</f>
        <v/>
      </c>
      <c r="B1442">
        <f>Skills!B20</f>
        <v/>
      </c>
      <c r="C1442">
        <f>Inputs!$B$3&gt;=125</f>
        <v/>
      </c>
      <c r="D1442">
        <f>IF(Skills!C20=1,60+Inputs!$B$26+Inputs!$B$30,IF(Skills!C20=2,90+Inputs!$B$27+Inputs!$B$30,IF(Skills!C20=3,120+Inputs!$B$28+Inputs!$B$30,MAX(0,(Inputs!$B$3-100)*3)+Inputs!$B$29+Inputs!$B$30)))</f>
        <v/>
      </c>
      <c r="E1442">
        <f>INDEX(FactorTable!$B$2:$Y$301, MATCH(ROUND(MIN(300,MAX(1,D1442)),0), FactorTable!$A$2:$A$301,0), Skills!L20+1)</f>
        <v/>
      </c>
      <c r="F1442">
        <f>IF(Skills!M20=TRUE,(Skills!K20/10)*(E1442/1000),Skills!K20/10)+Skills!N20</f>
        <v/>
      </c>
      <c r="G1442">
        <f>Calc!G20</f>
        <v/>
      </c>
      <c r="H1442">
        <f>Calc!H20</f>
        <v/>
      </c>
      <c r="I1442">
        <f>IF(Skills!T20&lt;&gt;"",1+(Skills!T20/10)*($Z$3/1000)/100,1)</f>
        <v/>
      </c>
      <c r="J1442" t="inlineStr"/>
      <c r="K1442" t="inlineStr"/>
      <c r="L1442" t="inlineStr"/>
      <c r="M1442" t="inlineStr"/>
      <c r="N1442" t="inlineStr"/>
      <c r="O1442">
        <f>(1-Summary!$B$11)*S1442+Summary!$B$11*U1442</f>
        <v/>
      </c>
      <c r="P1442">
        <f>IF(B1465=0,0,O1442/B1465)</f>
        <v/>
      </c>
      <c r="Q1442">
        <f>IFERROR(1/(IF(Inputs!$B$39="pvp",15,MAX(0.1,Skills!D20-IF(Skills!E20=TRUE,Inputs!$B$33,0)))*(1-IF(AND(ArtifactsInput!$M$27,Inputs!$B$4="Chapter Hunt"),CHOOSE(ArtifactsInput!$N$27+1,20,24,28,32,36,40),0)/100)),0)</f>
        <v/>
      </c>
      <c r="R1442" t="n">
        <v>0</v>
      </c>
      <c r="S1442" t="n">
        <v>0</v>
      </c>
      <c r="U1442" t="n">
        <v>0</v>
      </c>
    </row>
    <row r="1443">
      <c r="A1443">
        <f>Skills!A21</f>
        <v/>
      </c>
      <c r="B1443">
        <f>Skills!B21</f>
        <v/>
      </c>
      <c r="C1443">
        <f>Inputs!$B$3&gt;=33</f>
        <v/>
      </c>
      <c r="D1443">
        <f>IF(Skills!C21=1,60+Inputs!$B$26+Inputs!$B$30,IF(Skills!C21=2,90+Inputs!$B$27+Inputs!$B$30,IF(Skills!C21=3,120+Inputs!$B$28+Inputs!$B$30,MAX(0,(Inputs!$B$3-100)*3)+Inputs!$B$29+Inputs!$B$30)))</f>
        <v/>
      </c>
      <c r="E1443">
        <f>INDEX(FactorTable!$B$2:$Y$301, MATCH(ROUND(MIN(300,MAX(1,D1443)),0), FactorTable!$A$2:$A$301,0), Skills!L21+1)</f>
        <v/>
      </c>
      <c r="F1443">
        <f>IF(Skills!M21=TRUE,(Skills!K21/10)*(E1443/1000),Skills!K21/10)+Skills!N21</f>
        <v/>
      </c>
      <c r="G1443">
        <f>Calc!G21</f>
        <v/>
      </c>
      <c r="H1443">
        <f>Calc!H21</f>
        <v/>
      </c>
      <c r="I1443">
        <f>IF(Skills!T21&lt;&gt;"",1+(Skills!T21/10)*($Z$3/1000)/100,1)</f>
        <v/>
      </c>
      <c r="J1443" t="inlineStr"/>
      <c r="K1443" t="inlineStr"/>
      <c r="L1443" t="inlineStr"/>
      <c r="M1443" t="inlineStr"/>
      <c r="N1443" t="inlineStr"/>
      <c r="O1443">
        <f>(1-Summary!$B$11)*S1443+Summary!$B$11*U1443</f>
        <v/>
      </c>
      <c r="P1443">
        <f>IF(B1465=0,0,O1443/B1465)</f>
        <v/>
      </c>
      <c r="Q1443">
        <f>IFERROR(1/(IF(Inputs!$B$39="pvp",15,MAX(0.1,Skills!D21-IF(Skills!E21=TRUE,Inputs!$B$33,0)))*(1-IF(AND(ArtifactsInput!$M$27,Inputs!$B$4="Chapter Hunt"),CHOOSE(ArtifactsInput!$N$27+1,20,24,28,32,36,40),0)/100)),0)</f>
        <v/>
      </c>
      <c r="R1443" t="n">
        <v>0</v>
      </c>
      <c r="S1443" t="n">
        <v>0</v>
      </c>
      <c r="U1443" t="n">
        <v>0</v>
      </c>
    </row>
    <row r="1444">
      <c r="A1444">
        <f>Skills!A22</f>
        <v/>
      </c>
      <c r="B1444">
        <f>Skills!B22</f>
        <v/>
      </c>
      <c r="C1444">
        <f>Inputs!$B$3&gt;=43</f>
        <v/>
      </c>
      <c r="D1444">
        <f>IF(Skills!C22=1,60+Inputs!$B$26+Inputs!$B$30,IF(Skills!C22=2,90+Inputs!$B$27+Inputs!$B$30,IF(Skills!C22=3,120+Inputs!$B$28+Inputs!$B$30,MAX(0,(Inputs!$B$3-100)*3)+Inputs!$B$29+Inputs!$B$30)))</f>
        <v/>
      </c>
      <c r="E1444">
        <f>INDEX(FactorTable!$B$2:$Y$301, MATCH(ROUND(MIN(300,MAX(1,D1444)),0), FactorTable!$A$2:$A$301,0), Skills!L22+1)</f>
        <v/>
      </c>
      <c r="F1444">
        <f>IF(Skills!M22=TRUE,(Skills!K22/10)*(E1444/1000),Skills!K22/10)+Skills!N22</f>
        <v/>
      </c>
      <c r="G1444">
        <f>Calc!G22</f>
        <v/>
      </c>
      <c r="H1444">
        <f>Calc!H22</f>
        <v/>
      </c>
      <c r="I1444">
        <f>IF(Skills!T22&lt;&gt;"",1+(Skills!T22/10)*($Z$3/1000)/100,1)</f>
        <v/>
      </c>
      <c r="J1444" t="inlineStr"/>
      <c r="K1444" t="inlineStr"/>
      <c r="L1444" t="inlineStr"/>
      <c r="M1444" t="inlineStr"/>
      <c r="N1444" t="inlineStr"/>
      <c r="O1444">
        <f>(1-Summary!$B$11)*S1444+Summary!$B$11*U1444</f>
        <v/>
      </c>
      <c r="P1444">
        <f>IF(B1465=0,0,O1444/B1465)</f>
        <v/>
      </c>
      <c r="Q1444">
        <f>IFERROR(1/(IF(Inputs!$B$39="pvp",15,MAX(0.1,Skills!D22-IF(Skills!E22=TRUE,Inputs!$B$33,0)))*(1-IF(AND(ArtifactsInput!$M$27,Inputs!$B$4="Chapter Hunt"),CHOOSE(ArtifactsInput!$N$27+1,20,24,28,32,36,40),0)/100)),0)</f>
        <v/>
      </c>
      <c r="R1444" t="n">
        <v>0</v>
      </c>
      <c r="S1444" t="n">
        <v>0</v>
      </c>
      <c r="U1444" t="n">
        <v>0</v>
      </c>
    </row>
    <row r="1445">
      <c r="A1445">
        <f>Skills!A23</f>
        <v/>
      </c>
      <c r="B1445">
        <f>Skills!B23</f>
        <v/>
      </c>
      <c r="C1445">
        <f>Inputs!$B$3&gt;=50</f>
        <v/>
      </c>
      <c r="D1445">
        <f>IF(Skills!C23=1,60+Inputs!$B$26+Inputs!$B$30,IF(Skills!C23=2,90+Inputs!$B$27+Inputs!$B$30,IF(Skills!C23=3,120+Inputs!$B$28+Inputs!$B$30,MAX(0,(Inputs!$B$3-100)*3)+Inputs!$B$29+Inputs!$B$30)))</f>
        <v/>
      </c>
      <c r="E1445">
        <f>INDEX(FactorTable!$B$2:$Y$301, MATCH(ROUND(MIN(300,MAX(1,D1445)),0), FactorTable!$A$2:$A$301,0), Skills!L23+1)</f>
        <v/>
      </c>
      <c r="F1445">
        <f>IF(Skills!M23=TRUE,(Skills!K23/10)*(E1445/1000),Skills!K23/10)+Skills!N23</f>
        <v/>
      </c>
      <c r="G1445">
        <f>Calc!G23</f>
        <v/>
      </c>
      <c r="H1445">
        <f>Calc!H23</f>
        <v/>
      </c>
      <c r="I1445">
        <f>IF(Skills!T23&lt;&gt;"",1+(Skills!T23/10)*($Z$3/1000)/100,1)</f>
        <v/>
      </c>
      <c r="J1445" t="inlineStr"/>
      <c r="K1445" t="inlineStr"/>
      <c r="L1445" t="inlineStr"/>
      <c r="M1445" t="inlineStr"/>
      <c r="N1445" t="inlineStr"/>
      <c r="O1445">
        <f>(1-Summary!$B$11)*S1445+Summary!$B$11*U1445</f>
        <v/>
      </c>
      <c r="P1445">
        <f>IF(B1465=0,0,O1445/B1465)</f>
        <v/>
      </c>
      <c r="Q1445">
        <f>IFERROR(1/(IF(Inputs!$B$39="pvp",15,MAX(0.1,Skills!D23-IF(Skills!E23=TRUE,Inputs!$B$33,0)))*(1-IF(AND(ArtifactsInput!$M$27,Inputs!$B$4="Chapter Hunt"),CHOOSE(ArtifactsInput!$N$27+1,20,24,28,32,36,40),0)/100)),0)</f>
        <v/>
      </c>
      <c r="R1445" t="n">
        <v>0</v>
      </c>
      <c r="S1445" t="n">
        <v>0</v>
      </c>
      <c r="U1445" t="n">
        <v>0</v>
      </c>
    </row>
    <row r="1446">
      <c r="A1446">
        <f>Skills!A24</f>
        <v/>
      </c>
      <c r="B1446">
        <f>Skills!B24</f>
        <v/>
      </c>
      <c r="C1446">
        <f>Inputs!$B$3&gt;=74</f>
        <v/>
      </c>
      <c r="D1446">
        <f>IF(Skills!C24=1,60+Inputs!$B$26+Inputs!$B$30,IF(Skills!C24=2,90+Inputs!$B$27+Inputs!$B$30,IF(Skills!C24=3,120+Inputs!$B$28+Inputs!$B$30,MAX(0,(Inputs!$B$3-100)*3)+Inputs!$B$29+Inputs!$B$30)))</f>
        <v/>
      </c>
      <c r="E1446">
        <f>INDEX(FactorTable!$B$2:$Y$301, MATCH(ROUND(MIN(300,MAX(1,D1446)),0), FactorTable!$A$2:$A$301,0), Skills!L24+1)</f>
        <v/>
      </c>
      <c r="F1446">
        <f>IF(Skills!M24=TRUE,(Skills!K24/10)*(E1446/1000),Skills!K24/10)+Skills!N24</f>
        <v/>
      </c>
      <c r="G1446">
        <f>Calc!G24</f>
        <v/>
      </c>
      <c r="H1446">
        <f>Calc!H24</f>
        <v/>
      </c>
      <c r="I1446">
        <f>IF(Skills!T24&lt;&gt;"",1+(Skills!T24/10)*($Z$3/1000)/100,1)</f>
        <v/>
      </c>
      <c r="J1446" t="inlineStr"/>
      <c r="K1446" t="inlineStr"/>
      <c r="L1446" t="inlineStr"/>
      <c r="M1446" t="inlineStr"/>
      <c r="N1446" t="inlineStr"/>
      <c r="O1446">
        <f>(1-Summary!$B$11)*S1446+Summary!$B$11*U1446</f>
        <v/>
      </c>
      <c r="P1446">
        <f>IF(B1465=0,0,O1446/B1465)</f>
        <v/>
      </c>
      <c r="Q1446">
        <f>IFERROR(1/(IF(Inputs!$B$39="pvp",15,MAX(0.1,Skills!D24-IF(Skills!E24=TRUE,Inputs!$B$33,0)))*(1-IF(AND(ArtifactsInput!$M$27,Inputs!$B$4="Chapter Hunt"),CHOOSE(ArtifactsInput!$N$27+1,20,24,28,32,36,40),0)/100)),0)</f>
        <v/>
      </c>
      <c r="R1446" t="n">
        <v>0</v>
      </c>
      <c r="S1446" t="n">
        <v>0</v>
      </c>
      <c r="U1446" t="n">
        <v>0</v>
      </c>
    </row>
    <row r="1447">
      <c r="A1447">
        <f>Skills!A25</f>
        <v/>
      </c>
      <c r="B1447">
        <f>Skills!B25</f>
        <v/>
      </c>
      <c r="C1447">
        <f>Inputs!$B$3&gt;=74</f>
        <v/>
      </c>
      <c r="D1447">
        <f>IF(Skills!C25=1,60+Inputs!$B$26+Inputs!$B$30,IF(Skills!C25=2,90+Inputs!$B$27+Inputs!$B$30,IF(Skills!C25=3,120+Inputs!$B$28+Inputs!$B$30,MAX(0,(Inputs!$B$3-100)*3)+Inputs!$B$29+Inputs!$B$30)))</f>
        <v/>
      </c>
      <c r="E1447">
        <f>INDEX(FactorTable!$B$2:$Y$301, MATCH(ROUND(MIN(300,MAX(1,D1447)),0), FactorTable!$A$2:$A$301,0), Skills!L25+1)</f>
        <v/>
      </c>
      <c r="F1447">
        <f>IF(Skills!M25=TRUE,(Skills!K25/10)*(E1447/1000),Skills!K25/10)+Skills!N25</f>
        <v/>
      </c>
      <c r="G1447">
        <f>Calc!G25</f>
        <v/>
      </c>
      <c r="H1447">
        <f>Calc!H25</f>
        <v/>
      </c>
      <c r="I1447">
        <f>IF(Skills!T25&lt;&gt;"",1+(Skills!T25/10)*($Z$3/1000)/100,1)</f>
        <v/>
      </c>
      <c r="J1447" t="inlineStr"/>
      <c r="K1447" t="inlineStr"/>
      <c r="L1447" t="inlineStr"/>
      <c r="M1447" t="inlineStr"/>
      <c r="N1447" t="inlineStr"/>
      <c r="O1447">
        <f>(1-Summary!$B$11)*S1447+Summary!$B$11*U1447</f>
        <v/>
      </c>
      <c r="P1447">
        <f>IF(B1465=0,0,O1447/B1465)</f>
        <v/>
      </c>
      <c r="Q1447">
        <f>IFERROR(1/(IF(Inputs!$B$39="pvp",15,MAX(0.1,Skills!D25-IF(Skills!E25=TRUE,Inputs!$B$33,0)))*(1-IF(AND(ArtifactsInput!$M$27,Inputs!$B$4="Chapter Hunt"),CHOOSE(ArtifactsInput!$N$27+1,20,24,28,32,36,40),0)/100)),0)</f>
        <v/>
      </c>
      <c r="R1447" t="n">
        <v>0</v>
      </c>
      <c r="S1447" t="n">
        <v>0</v>
      </c>
      <c r="U1447" t="n">
        <v>0</v>
      </c>
    </row>
    <row r="1448">
      <c r="A1448">
        <f>Skills!A26</f>
        <v/>
      </c>
      <c r="B1448">
        <f>Skills!B26</f>
        <v/>
      </c>
      <c r="C1448">
        <f>Inputs!$B$3&gt;=117</f>
        <v/>
      </c>
      <c r="D1448">
        <f>IF(Skills!C26=1,60+Inputs!$B$26+Inputs!$B$30,IF(Skills!C26=2,90+Inputs!$B$27+Inputs!$B$30,IF(Skills!C26=3,120+Inputs!$B$28+Inputs!$B$30,MAX(0,(Inputs!$B$3-100)*3)+Inputs!$B$29+Inputs!$B$30)))</f>
        <v/>
      </c>
      <c r="E1448">
        <f>INDEX(FactorTable!$B$2:$Y$301, MATCH(ROUND(MIN(300,MAX(1,D1448)),0), FactorTable!$A$2:$A$301,0), Skills!L26+1)</f>
        <v/>
      </c>
      <c r="F1448">
        <f>IF(Skills!M26=TRUE,(Skills!K26/10)*(E1448/1000),Skills!K26/10)+Skills!N26</f>
        <v/>
      </c>
      <c r="G1448">
        <f>Calc!G26</f>
        <v/>
      </c>
      <c r="H1448">
        <f>Calc!H26</f>
        <v/>
      </c>
      <c r="I1448">
        <f>IF(Skills!T26&lt;&gt;"",1+(Skills!T26/10)*($Z$3/1000)/100,1)</f>
        <v/>
      </c>
      <c r="J1448" t="inlineStr"/>
      <c r="K1448" t="inlineStr"/>
      <c r="L1448" t="inlineStr"/>
      <c r="M1448" t="inlineStr"/>
      <c r="N1448" t="inlineStr"/>
      <c r="O1448">
        <f>(1-Summary!$B$11)*S1448+Summary!$B$11*U1448</f>
        <v/>
      </c>
      <c r="P1448">
        <f>IF(B1465=0,0,O1448/B1465)</f>
        <v/>
      </c>
      <c r="Q1448">
        <f>IFERROR(1/(IF(Inputs!$B$39="pvp",15,MAX(0.1,Skills!D26-IF(Skills!E26=TRUE,Inputs!$B$33,0)))*(1-IF(AND(ArtifactsInput!$M$27,Inputs!$B$4="Chapter Hunt"),CHOOSE(ArtifactsInput!$N$27+1,20,24,28,32,36,40),0)/100)),0)</f>
        <v/>
      </c>
      <c r="R1448" t="n">
        <v>0</v>
      </c>
      <c r="S1448" t="n">
        <v>0</v>
      </c>
      <c r="U1448" t="n">
        <v>0</v>
      </c>
    </row>
    <row r="1449">
      <c r="A1449">
        <f>Skills!A27</f>
        <v/>
      </c>
      <c r="B1449">
        <f>Skills!B27</f>
        <v/>
      </c>
      <c r="C1449">
        <f>Inputs!$B$3&gt;=120</f>
        <v/>
      </c>
      <c r="D1449">
        <f>IF(Skills!C27=1,60+Inputs!$B$26+Inputs!$B$30,IF(Skills!C27=2,90+Inputs!$B$27+Inputs!$B$30,IF(Skills!C27=3,120+Inputs!$B$28+Inputs!$B$30,MAX(0,(Inputs!$B$3-100)*3)+Inputs!$B$29+Inputs!$B$30)))</f>
        <v/>
      </c>
      <c r="E1449">
        <f>INDEX(FactorTable!$B$2:$Y$301, MATCH(ROUND(MIN(300,MAX(1,D1449)),0), FactorTable!$A$2:$A$301,0), Skills!L27+1)</f>
        <v/>
      </c>
      <c r="F1449">
        <f>IF(Skills!M27=TRUE,(Skills!K27/10)*(E1449/1000),Skills!K27/10)+Skills!N27</f>
        <v/>
      </c>
      <c r="G1449">
        <f>Calc!G27</f>
        <v/>
      </c>
      <c r="H1449">
        <f>Calc!H27</f>
        <v/>
      </c>
      <c r="I1449">
        <f>IF(Skills!T27&lt;&gt;"",1+(Skills!T27/10)*($Z$3/1000)/100,1)</f>
        <v/>
      </c>
      <c r="J1449" t="inlineStr"/>
      <c r="K1449" t="inlineStr"/>
      <c r="L1449" t="inlineStr"/>
      <c r="M1449" t="inlineStr"/>
      <c r="N1449" t="inlineStr"/>
      <c r="O1449">
        <f>(1-Summary!$B$11)*S1449+Summary!$B$11*U1449</f>
        <v/>
      </c>
      <c r="P1449">
        <f>IF(B1465=0,0,O1449/B1465)</f>
        <v/>
      </c>
      <c r="Q1449">
        <f>IFERROR(1/(IF(Inputs!$B$39="pvp",15,MAX(0.1,Skills!D27-IF(Skills!E27=TRUE,Inputs!$B$33,0)))*(1-IF(AND(ArtifactsInput!$M$27,Inputs!$B$4="Chapter Hunt"),CHOOSE(ArtifactsInput!$N$27+1,20,24,28,32,36,40),0)/100)),0)</f>
        <v/>
      </c>
      <c r="R1449" t="n">
        <v>0</v>
      </c>
      <c r="S1449" t="n">
        <v>0</v>
      </c>
      <c r="U1449" t="n">
        <v>0</v>
      </c>
    </row>
    <row r="1450">
      <c r="A1450">
        <f>Skills!A28</f>
        <v/>
      </c>
      <c r="B1450">
        <f>Skills!B28</f>
        <v/>
      </c>
      <c r="C1450">
        <f>TRUE</f>
        <v/>
      </c>
      <c r="D1450">
        <f>IF(Skills!C28=1,60+Inputs!$B$26+Inputs!$B$30,IF(Skills!C28=2,90+Inputs!$B$27+Inputs!$B$30,IF(Skills!C28=3,120+Inputs!$B$28+Inputs!$B$30,MAX(0,(Inputs!$B$3-100)*3)+Inputs!$B$29+Inputs!$B$30)))</f>
        <v/>
      </c>
      <c r="E1450">
        <f>INDEX(FactorTable!$B$2:$Y$301, MATCH(ROUND(MIN(300,MAX(1,D1450)),0), FactorTable!$A$2:$A$301,0), Skills!L28+1)</f>
        <v/>
      </c>
      <c r="F1450">
        <f>IF(Skills!M28=TRUE,(Skills!K28/10)*(E1450/1000),Skills!K28/10)+Skills!N28</f>
        <v/>
      </c>
      <c r="G1450">
        <f>Calc!G28</f>
        <v/>
      </c>
      <c r="H1450">
        <f>Calc!H28</f>
        <v/>
      </c>
      <c r="I1450">
        <f>IF(Skills!T28&lt;&gt;"",1+(Skills!T28/10)*($Z$3/1000)/100,1)</f>
        <v/>
      </c>
      <c r="J1450" t="inlineStr"/>
      <c r="K1450" t="inlineStr"/>
      <c r="L1450" t="inlineStr"/>
      <c r="M1450" t="inlineStr"/>
      <c r="N1450" t="inlineStr"/>
      <c r="O1450">
        <f>(1-Summary!$B$11)*S1450+Summary!$B$11*U1450</f>
        <v/>
      </c>
      <c r="P1450">
        <f>IF(B1465=0,0,O1450/B1465)</f>
        <v/>
      </c>
      <c r="Q1450">
        <f>IFERROR(1/(IF(Inputs!$B$39="pvp",15,MAX(0.1,Skills!D28-IF(Skills!E28=TRUE,Inputs!$B$33,0)))*(1-IF(AND(ArtifactsInput!$M$27,Inputs!$B$4="Chapter Hunt"),CHOOSE(ArtifactsInput!$N$27+1,20,24,28,32,36,40),0)/100)),0)</f>
        <v/>
      </c>
      <c r="R1450">
        <f>IF(AND(Inputs!$B$39&lt;&gt;"pvp",Inputs!$B$44&gt;0),IF(Inputs!$B$44&lt;=0,0,(INT(Inputs!$B$44/(IF(Inputs!$B$39="pvp",15,MAX(0.1,Skills!D28-IF(Skills!E28=TRUE,Inputs!$B$33,0)))*(1-IF(AND(ArtifactsInput!$M$27,Inputs!$B$4="Chapter Hunt"),CHOOSE(ArtifactsInput!$N$27+1,20,24,28,32,36,40),0)/100)))+1)),0)</f>
        <v/>
      </c>
      <c r="S1450" t="n">
        <v>0</v>
      </c>
      <c r="U1450" t="n">
        <v>0</v>
      </c>
    </row>
    <row r="1452">
      <c r="A1452" t="inlineStr">
        <is>
          <t>Average Buff Multiplier</t>
        </is>
      </c>
      <c r="B1452">
        <f>(1+(IF(C1425=TRUE,F1425*IF(AND(Inputs!$B$39&lt;&gt;"pvp",Inputs!$B$44&gt;0),(((R1425-1)*(Skills!S3*(1+((Inputs!$B$35+(ArtifactsInput!$M$7-ArtifactsInput!$M$7)*CHOOSE(ArtifactsInput!$N$7+1,6,7.2,8.4,9.6,10.8,12))+IF(Inputs!$B$3&gt;=117,F1448,0))/100))+MIN((Skills!S3*(1+((Inputs!$B$35+(ArtifactsInput!$M$7-ArtifactsInput!$M$7)*CHOOSE(ArtifactsInput!$N$7+1,6,7.2,8.4,9.6,10.8,12))+IF(Inputs!$B$3&gt;=117,F1448,0))/100)),MAX(0,Inputs!$B$44-((R1425-1)*Skills!D3))))/Inputs!$B$44),IF(Inputs!$B$39="pvp",MIN((Skills!S3*(1+((Inputs!$B$35+(ArtifactsInput!$M$7-ArtifactsInput!$M$7)*CHOOSE(ArtifactsInput!$N$7+1,6,7.2,8.4,9.6,10.8,12))+IF(Inputs!$B$3&gt;=117,F1448,0))/100)),15)/15,(Skills!S3*(1+((Inputs!$B$35+(ArtifactsInput!$M$7-ArtifactsInput!$M$7)*CHOOSE(ArtifactsInput!$N$7+1,6,7.2,8.4,9.6,10.8,12))+IF(Inputs!$B$3&gt;=117,F1448,0))/100))/Skills!D3)),0)+IF(C1426=TRUE,F1426*IF(AND(Inputs!$B$39&lt;&gt;"pvp",Inputs!$B$44&gt;0),(((R1426-1)*(Skills!S4*(1+((Inputs!$B$35+(ArtifactsInput!$M$7-ArtifactsInput!$M$7)*CHOOSE(ArtifactsInput!$N$7+1,6,7.2,8.4,9.6,10.8,12))+IF(Inputs!$B$3&gt;=117,F1448,0))/100))+MIN((Skills!S4*(1+((Inputs!$B$35+(ArtifactsInput!$M$7-ArtifactsInput!$M$7)*CHOOSE(ArtifactsInput!$N$7+1,6,7.2,8.4,9.6,10.8,12))+IF(Inputs!$B$3&gt;=117,F1448,0))/100)),MAX(0,Inputs!$B$44-((R1426-1)*Skills!D4))))/Inputs!$B$44),IF(Inputs!$B$39="pvp",MIN((Skills!S4*(1+((Inputs!$B$35+(ArtifactsInput!$M$7-ArtifactsInput!$M$7)*CHOOSE(ArtifactsInput!$N$7+1,6,7.2,8.4,9.6,10.8,12))+IF(Inputs!$B$3&gt;=117,F1448,0))/100)),15)/15,(Skills!S4*(1+((Inputs!$B$35+(ArtifactsInput!$M$7-ArtifactsInput!$M$7)*CHOOSE(ArtifactsInput!$N$7+1,6,7.2,8.4,9.6,10.8,12))+IF(Inputs!$B$3&gt;=117,F1448,0))/100))/Skills!D4)),0)+IF(C1427=TRUE,F1427*IF(AND(Inputs!$B$39&lt;&gt;"pvp",Inputs!$B$44&gt;0),(((R1427-1)*(Skills!S5*(1+((Inputs!$B$35+(ArtifactsInput!$M$7-ArtifactsInput!$M$7)*CHOOSE(ArtifactsInput!$N$7+1,6,7.2,8.4,9.6,10.8,12))+IF(Inputs!$B$3&gt;=117,F1448,0))/100))+MIN((Skills!S5*(1+((Inputs!$B$35+(ArtifactsInput!$M$7-ArtifactsInput!$M$7)*CHOOSE(ArtifactsInput!$N$7+1,6,7.2,8.4,9.6,10.8,12))+IF(Inputs!$B$3&gt;=117,F1448,0))/100)),MAX(0,Inputs!$B$44-((R1427-1)*Skills!D5))))/Inputs!$B$44),IF(Inputs!$B$39="pvp",MIN((Skills!S5*(1+((Inputs!$B$35+(ArtifactsInput!$M$7-ArtifactsInput!$M$7)*CHOOSE(ArtifactsInput!$N$7+1,6,7.2,8.4,9.6,10.8,12))+IF(Inputs!$B$3&gt;=117,F1448,0))/100)),15)/15,(Skills!S5*(1+((Inputs!$B$35+(ArtifactsInput!$M$7-ArtifactsInput!$M$7)*CHOOSE(ArtifactsInput!$N$7+1,6,7.2,8.4,9.6,10.8,12))+IF(Inputs!$B$3&gt;=117,F1448,0))/100))/Skills!D5)),0)+IF(C1433=TRUE,F1433*IF(AND(Inputs!$B$39&lt;&gt;"pvp",Inputs!$B$44&gt;0),(((R1433-1)*(Skills!S11*(1+((Inputs!$B$35+(ArtifactsInput!$M$7-ArtifactsInput!$M$7)*CHOOSE(ArtifactsInput!$N$7+1,6,7.2,8.4,9.6,10.8,12))+IF(Inputs!$B$3&gt;=117,F1448,0))/100))+MIN((Skills!S11*(1+((Inputs!$B$35+(ArtifactsInput!$M$7-ArtifactsInput!$M$7)*CHOOSE(ArtifactsInput!$N$7+1,6,7.2,8.4,9.6,10.8,12))+IF(Inputs!$B$3&gt;=117,F1448,0))/100)),MAX(0,Inputs!$B$44-((R1433-1)*Skills!D11))))/Inputs!$B$44),IF(Inputs!$B$39="pvp",MIN((Skills!S11*(1+((Inputs!$B$35+(ArtifactsInput!$M$7-ArtifactsInput!$M$7)*CHOOSE(ArtifactsInput!$N$7+1,6,7.2,8.4,9.6,10.8,12))+IF(Inputs!$B$3&gt;=117,F1448,0))/100)),15)/15,(Skills!S11*(1+((Inputs!$B$35+(ArtifactsInput!$M$7-ArtifactsInput!$M$7)*CHOOSE(ArtifactsInput!$N$7+1,6,7.2,8.4,9.6,10.8,12))+IF(Inputs!$B$3&gt;=117,F1448,0)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1436=TRUE,(1+F1436*IF(AND(Inputs!$B$39&lt;&gt;"pvp",Inputs!$B$44&gt;0),(((R1436-1)*(Skills!S14*(1+((Inputs!$B$35+(ArtifactsInput!$M$7-ArtifactsInput!$M$7)*CHOOSE(ArtifactsInput!$N$7+1,6,7.2,8.4,9.6,10.8,12))+IF(Inputs!$B$3&gt;=117,F1448,0))/100))+MIN((Skills!S14*(1+((Inputs!$B$35+(ArtifactsInput!$M$7-ArtifactsInput!$M$7)*CHOOSE(ArtifactsInput!$N$7+1,6,7.2,8.4,9.6,10.8,12))+IF(Inputs!$B$3&gt;=117,F1448,0))/100)),MAX(0,Inputs!$B$44-((R1436-1)*Skills!D14))))/Inputs!$B$44),IF(Inputs!$B$39="pvp",MIN((Skills!S14*(1+((Inputs!$B$35+(ArtifactsInput!$M$7-ArtifactsInput!$M$7)*CHOOSE(ArtifactsInput!$N$7+1,6,7.2,8.4,9.6,10.8,12))+IF(Inputs!$B$3&gt;=117,F1448,0))/100)),15)/15,(Skills!S14*(1+((Inputs!$B$35+(ArtifactsInput!$M$7-ArtifactsInput!$M$7)*CHOOSE(ArtifactsInput!$N$7+1,6,7.2,8.4,9.6,10.8,12))+IF(Inputs!$B$3&gt;=117,F1448,0))/100))/Skills!D14))/100),1)*IF(C1441=TRUE,(1+F1441*IF(AND(Inputs!$B$39&lt;&gt;"pvp",Inputs!$B$44&gt;0),(((R1441-1)*(Skills!S19*(1+((Inputs!$B$35+(ArtifactsInput!$M$7-ArtifactsInput!$M$7)*CHOOSE(ArtifactsInput!$N$7+1,6,7.2,8.4,9.6,10.8,12))+IF(Inputs!$B$3&gt;=117,F1448,0))/100))+MIN((Skills!S19*(1+((Inputs!$B$35+(ArtifactsInput!$M$7-ArtifactsInput!$M$7)*CHOOSE(ArtifactsInput!$N$7+1,6,7.2,8.4,9.6,10.8,12))+IF(Inputs!$B$3&gt;=117,F1448,0))/100)),MAX(0,Inputs!$B$44-((R1441-1)*Skills!D19))))/Inputs!$B$44),IF(Inputs!$B$39="pvp",MIN((Skills!S19*(1+((Inputs!$B$35+(ArtifactsInput!$M$7-ArtifactsInput!$M$7)*CHOOSE(ArtifactsInput!$N$7+1,6,7.2,8.4,9.6,10.8,12))+IF(Inputs!$B$3&gt;=117,F1448,0))/100)),15)/15,(Skills!S19*(1+((Inputs!$B$35+(ArtifactsInput!$M$7-ArtifactsInput!$M$7)*CHOOSE(ArtifactsInput!$N$7+1,6,7.2,8.4,9.6,10.8,12))+IF(Inputs!$B$3&gt;=117,F1448,0))/100))/Skills!D19))/100),1)</f>
        <v/>
      </c>
    </row>
    <row r="1453">
      <c r="A1453" t="inlineStr">
        <is>
          <t>Monster Damage Taken Bonus % (Holy Fountain)</t>
        </is>
      </c>
      <c r="B1453">
        <f>IF(Inputs!$B$3&gt;=68,20*IF(Inputs!$B$39="pvp",MIN((15*(1+((Inputs!$B$35+(ArtifactsInput!$M$7-ArtifactsInput!$M$7)*CHOOSE(ArtifactsInput!$N$7+1,6,7.2,8.4,9.6,10.8,12))+IF(Inputs!$B$3&gt;=117,F1448,0))/100)),15)/15,(15*(1+((Inputs!$B$35+(ArtifactsInput!$M$7-ArtifactsInput!$M$7)*CHOOSE(ArtifactsInput!$N$7+1,6,7.2,8.4,9.6,10.8,12))+IF(Inputs!$B$3&gt;=117,F1448,0))/100))/Skills!D10),0)</f>
        <v/>
      </c>
    </row>
    <row r="1454">
      <c r="A1454" t="inlineStr">
        <is>
          <t>Normal Monster Damage Bonus % (Holy Symbol)</t>
        </is>
      </c>
      <c r="B1454">
        <f>IF(C1434=TRUE,F1434*IF(AND(Inputs!$B$39&lt;&gt;"pvp",Inputs!$B$44&gt;0),(((R1434-1)*(Skills!S12*(1+((Inputs!$B$35+(ArtifactsInput!$M$7-ArtifactsInput!$M$7)*CHOOSE(ArtifactsInput!$N$7+1,6,7.2,8.4,9.6,10.8,12))+IF(Inputs!$B$3&gt;=117,F1448,0))/100))+MIN((Skills!S12*(1+((Inputs!$B$35+(ArtifactsInput!$M$7-ArtifactsInput!$M$7)*CHOOSE(ArtifactsInput!$N$7+1,6,7.2,8.4,9.6,10.8,12))+IF(Inputs!$B$3&gt;=117,F1448,0))/100)),MAX(0,Inputs!$B$44-((R1434-1)*Skills!D12))))/Inputs!$B$44),IF(Inputs!$B$39="pvp",MIN((Skills!S12*(1+((Inputs!$B$35+(ArtifactsInput!$M$7-ArtifactsInput!$M$7)*CHOOSE(ArtifactsInput!$N$7+1,6,7.2,8.4,9.6,10.8,12))+IF(Inputs!$B$3&gt;=117,F1448,0))/100)),15)/15,(Skills!S12*(1+((Inputs!$B$35+(ArtifactsInput!$M$7-ArtifactsInput!$M$7)*CHOOSE(ArtifactsInput!$N$7+1,6,7.2,8.4,9.6,10.8,12))+IF(Inputs!$B$3&gt;=117,F1448,0))/100))/Skills!D12)),0)</f>
        <v/>
      </c>
    </row>
    <row r="1455">
      <c r="A1455" t="inlineStr">
        <is>
          <t>Damage % Bonus (Holy Symbol - Damage Boost)</t>
        </is>
      </c>
      <c r="B1455">
        <f>Skills!O12</f>
        <v/>
      </c>
    </row>
    <row r="1456">
      <c r="A1456" t="inlineStr">
        <is>
          <t>Crit Damage % Bonus (Blood of the Divine)</t>
        </is>
      </c>
      <c r="B1456">
        <f>4*IF(C1442=TRUE,F1442,0)</f>
        <v/>
      </c>
    </row>
    <row r="1457">
      <c r="A1457" t="inlineStr">
        <is>
          <t>Attack Speed Bonus %</t>
        </is>
      </c>
      <c r="B1457">
        <f>IF(C1439=TRUE,F1439+(F1443-Calc!F21),0)+IF(Inputs!$B$3&gt;=134,15,0)+((C1450=TRUE)*F1450*IF(AND(Inputs!$B$39&lt;&gt;"pvp",Inputs!$B$44&gt;0),(((R1450-1)*(Skills!S28*(1+((Inputs!$B$35+(ArtifactsInput!$M$7-ArtifactsInput!$M$7)*CHOOSE(ArtifactsInput!$N$7+1,6,7.2,8.4,9.6,10.8,12))+IF(Inputs!$B$3&gt;=117,F1448,0))/100))+MIN((Skills!S28*(1+((Inputs!$B$35+(ArtifactsInput!$M$7-ArtifactsInput!$M$7)*CHOOSE(ArtifactsInput!$N$7+1,6,7.2,8.4,9.6,10.8,12))+IF(Inputs!$B$3&gt;=117,F1448,0))/100)),MAX(0,Inputs!$B$44-((R1450-1)*Skills!D28))))/Inputs!$B$44),IF(Inputs!$B$39="pvp",MIN((Skills!S28*(1+((Inputs!$B$35+(ArtifactsInput!$M$7-ArtifactsInput!$M$7)*CHOOSE(ArtifactsInput!$N$7+1,6,7.2,8.4,9.6,10.8,12))+IF(Inputs!$B$3&gt;=117,F1448,0))/100)),15)/15,(Skills!S28*(1+((Inputs!$B$35+(ArtifactsInput!$M$7-ArtifactsInput!$M$7)*CHOOSE(ArtifactsInput!$N$7+1,6,7.2,8.4,9.6,10.8,12))+IF(Inputs!$B$3&gt;=117,F1448,0))/100))/Skills!D28)))</f>
        <v/>
      </c>
    </row>
    <row r="1458">
      <c r="A1458" t="inlineStr">
        <is>
          <t>Actions Per Second</t>
        </is>
      </c>
      <c r="B1458">
        <f>1+MIN(150,150*(1-(1-Inputs!$B$12/150)*(1-B1457/150)))/100</f>
        <v/>
      </c>
    </row>
    <row r="1459">
      <c r="A1459" t="inlineStr">
        <is>
          <t>Skill + Buff Cast Rate</t>
        </is>
      </c>
      <c r="B1459">
        <f>IF(AND(Inputs!$B$39&lt;&gt;"pvp",Inputs!$B$44&gt;0),SUMPRODUCT((Skills!E2:E28=TRUE)*(C1424:C1450=TRUE)*R1424:R1450)/Inputs!$B$44,SUMPRODUCT((Skills!E2:E28=TRUE)*(C1424:C1450=TRUE)*Q1424:Q1450))</f>
        <v/>
      </c>
    </row>
    <row r="1460">
      <c r="A1460" t="inlineStr">
        <is>
          <t>Big Bang Casts Per Second</t>
        </is>
      </c>
      <c r="B1460">
        <f>MAX(0,B1458-B1459)</f>
        <v/>
      </c>
    </row>
    <row r="1461">
      <c r="A1461" t="inlineStr">
        <is>
          <t>Defense % Bonus (Divine Protection)</t>
        </is>
      </c>
      <c r="B1461">
        <f>IF(C1435=TRUE,F1435*IF(AND(Inputs!$B$39&lt;&gt;"pvp",Inputs!$B$44&gt;0),(((R1435-1)*(Skills!S13*(1+((Inputs!$B$35+(ArtifactsInput!$M$7-ArtifactsInput!$M$7)*CHOOSE(ArtifactsInput!$N$7+1,6,7.2,8.4,9.6,10.8,12))+IF(Inputs!$B$3&gt;=117,F1448,0))/100))+MIN((Skills!S13*(1+((Inputs!$B$35+(ArtifactsInput!$M$7-ArtifactsInput!$M$7)*CHOOSE(ArtifactsInput!$N$7+1,6,7.2,8.4,9.6,10.8,12))+IF(Inputs!$B$3&gt;=117,F1448,0))/100)),MAX(0,Inputs!$B$44-((R1435-1)*Skills!D13))))/Inputs!$B$44),IF(Inputs!$B$39="pvp",MIN((Skills!S13*(1+((Inputs!$B$35+(ArtifactsInput!$M$7-ArtifactsInput!$M$7)*CHOOSE(ArtifactsInput!$N$7+1,6,7.2,8.4,9.6,10.8,12))+IF(Inputs!$B$3&gt;=117,F1448,0))/100)),15)/15,(Skills!S13*(1+((Inputs!$B$35+(ArtifactsInput!$M$7-ArtifactsInput!$M$7)*CHOOSE(ArtifactsInput!$N$7+1,6,7.2,8.4,9.6,10.8,12))+IF(Inputs!$B$3&gt;=117,F1448,0))/100))/Skills!D13)),0)</f>
        <v/>
      </c>
    </row>
    <row r="1462">
      <c r="A1462" t="inlineStr">
        <is>
          <t>Buff-Casting Startup Delay (s, fixed-duration only)</t>
        </is>
      </c>
      <c r="B1462">
        <f>IF(AND(Inputs!$B$39&lt;&gt;"pvp",Inputs!$B$44&gt;0),SUMPRODUCT((Skills!S2:S28&gt;0)*(Skills!E2:E28=TRUE)*(C1424:C1450=TRUE))/B1458,0)</f>
        <v/>
      </c>
    </row>
    <row r="1463">
      <c r="A1463" t="inlineStr">
        <is>
          <t>Boss-Only Total DPS (this block's swept value)</t>
        </is>
      </c>
      <c r="B1463">
        <f>SUM(S1424:S1450)</f>
        <v/>
      </c>
    </row>
    <row r="1464">
      <c r="A1464" t="inlineStr">
        <is>
          <t>Normal-Only Total DPS (this block's swept value)</t>
        </is>
      </c>
      <c r="B1464">
        <f>SUM(U1424:U1450)</f>
        <v/>
      </c>
    </row>
    <row r="1465">
      <c r="A1465" s="6" t="inlineStr">
        <is>
          <t>TOTAL DPS</t>
        </is>
      </c>
      <c r="B1465" s="6">
        <f>SUM(O1424:O1450)</f>
        <v/>
      </c>
    </row>
    <row r="1467">
      <c r="A1467" s="6" t="inlineStr">
        <is>
          <t>Stat: Rainbow-colored Snail Shell (Equip)</t>
        </is>
      </c>
    </row>
    <row r="1468">
      <c r="A1468" s="5" t="inlineStr">
        <is>
          <t>Key</t>
        </is>
      </c>
      <c r="B1468" s="5" t="inlineStr">
        <is>
          <t>Name</t>
        </is>
      </c>
      <c r="C1468" s="5" t="inlineStr">
        <is>
          <t>Unlocked</t>
        </is>
      </c>
      <c r="D1468" s="5" t="inlineStr">
        <is>
          <t>InputLevel</t>
        </is>
      </c>
      <c r="E1468" s="5" t="inlineStr">
        <is>
          <t>Factor</t>
        </is>
      </c>
      <c r="F1468" s="5" t="inlineStr">
        <is>
          <t>CoefficientPercent</t>
        </is>
      </c>
      <c r="G1468" s="5" t="inlineStr">
        <is>
          <t>EffectiveHits</t>
        </is>
      </c>
      <c r="H1468" s="5" t="inlineStr">
        <is>
          <t>ProcProbability</t>
        </is>
      </c>
      <c r="I1468" s="5" t="inlineStr">
        <is>
          <t>MapleHeroMultiplier</t>
        </is>
      </c>
      <c r="J1468" s="5" t="inlineStr">
        <is>
          <t>BaseDamage</t>
        </is>
      </c>
      <c r="K1468" s="5" t="inlineStr">
        <is>
          <t>BaseHitDamage</t>
        </is>
      </c>
      <c r="L1468" s="5" t="inlineStr">
        <is>
          <t>NonCritAvg</t>
        </is>
      </c>
      <c r="M1468" s="5" t="inlineStr">
        <is>
          <t>CritAvg</t>
        </is>
      </c>
      <c r="N1468" s="5" t="inlineStr">
        <is>
          <t>ExpectedDamage(perHit)</t>
        </is>
      </c>
      <c r="O1468" s="5" t="inlineStr">
        <is>
          <t>DPS</t>
        </is>
      </c>
      <c r="P1468" s="5" t="inlineStr">
        <is>
          <t>% of Total</t>
        </is>
      </c>
      <c r="R1468" t="inlineStr">
        <is>
          <t>helpers</t>
        </is>
      </c>
    </row>
    <row r="1469">
      <c r="A1469">
        <f>Skills!A2</f>
        <v/>
      </c>
      <c r="B1469">
        <f>Skills!B2</f>
        <v/>
      </c>
      <c r="C1469">
        <f>Inputs!$B$3&gt;=100</f>
        <v/>
      </c>
      <c r="D1469" t="inlineStr"/>
      <c r="E1469" t="inlineStr"/>
      <c r="F1469">
        <f>T1471+Skills!N2</f>
        <v/>
      </c>
      <c r="G1469">
        <f>Calc!G2</f>
        <v/>
      </c>
      <c r="H1469">
        <f>Calc!H2</f>
        <v/>
      </c>
      <c r="I1469">
        <f>IF(Skills!T2&lt;&gt;"",1+(Skills!T2/10)*($Z$3/1000)/100,1)</f>
        <v/>
      </c>
      <c r="J1469">
        <f>((Inputs!$B$6*(1+Inputs!$B$7/100))+(((Inputs!$B$13*(1+Inputs!$B$14/100))-(Inputs!$B$13*(1+Inputs!$B$14/100)))+0.25*(Inputs!$B$15-Inputs!$B$15))*(1+Inputs!$B$7/100))*(F1469/100)</f>
        <v/>
      </c>
      <c r="K1469">
        <f>J1469*(1+(((Inputs!$B$13+IF(Inputs!$B$3&gt;=35,(10*INDEX(FactorTable!$B$2:$Y$301,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2="TRIUMPH_FEATHER",IF(C1483=TRUE,F1483,0),0)/100)*(1+IF(C1494=TRUE,F1494,0)/100)^5*(1+(IF(Skills!A2="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1469)</f>
        <v/>
      </c>
      <c r="L1469">
        <f>K1469*(MIN(Inputs!$B$23+(F1489-Calc!F22),(Inputs!$B$24+IF(ArtifactsInput!$M$15,CHOOSE(ArtifactsInput!$N$15+1,25,30,35,40,45,50)/100*(Inputs!$B$12-Inputs!$B$12),0)))/100+(Inputs!$B$24+IF(ArtifactsInput!$M$15,CHOOSE(ArtifactsInput!$N$15+1,25,30,35,40,45,50)/100*(Inputs!$B$12-Inputs!$B$12),0))/100)/2</f>
        <v/>
      </c>
      <c r="M1469">
        <f>L1469*(1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69">
        <f>L1469*(1-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1469*(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69">
        <f>(1-Summary!$B$11)*S1469+Summary!$B$11*U1469</f>
        <v/>
      </c>
      <c r="P1469">
        <f>IF(B1510=0,0,O1469/B1510)</f>
        <v/>
      </c>
      <c r="Q1469">
        <f>IFERROR(1/(IF(Inputs!$B$39="pvp",15,MAX(0.1,Skills!D2-IF(Skills!E2=TRUE,Inputs!$B$33,0)))*(1-IF(AND(ArtifactsInput!$M$27,Inputs!$B$4="Chapter Hunt"),CHOOSE(ArtifactsInput!$N$27+1,20,24,28,32,36,40),0)/100)),0)</f>
        <v/>
      </c>
      <c r="R1469" t="n">
        <v>0</v>
      </c>
      <c r="S1469">
        <f>IF(C1469,(Skills!F2*N1469*B1505)*IF(Inputs!$B$39="pvp",1,1+(Inputs!$B$21+Skills!O2+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1469*(1-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1469*(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1469*(1-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1469*(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69">
        <f>MAX(0,(Inputs!$B$3-100)*3)+Inputs!$B$29+Inputs!$B$30</f>
        <v/>
      </c>
      <c r="U1469">
        <f>IF(C1469,(Skills!F2*N1469*B1505)*IF(Inputs!$B$39="pvp",1,(1+(Inputs!$B$22+Skills!P2+B1499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Skills!A3</f>
        <v/>
      </c>
      <c r="B1470">
        <f>Skills!B3</f>
        <v/>
      </c>
      <c r="C1470">
        <f>Inputs!$B$3&gt;=15</f>
        <v/>
      </c>
      <c r="D1470">
        <f>IF(Skills!C3=1,60+Inputs!$B$26+Inputs!$B$30,IF(Skills!C3=2,90+Inputs!$B$27+Inputs!$B$30,IF(Skills!C3=3,120+Inputs!$B$28+Inputs!$B$30,MAX(0,(Inputs!$B$3-100)*3)+Inputs!$B$29+Inputs!$B$30)))</f>
        <v/>
      </c>
      <c r="E1470">
        <f>INDEX(FactorTable!$B$2:$Y$301, MATCH(ROUND(MIN(300,MAX(1,D1470)),0), FactorTable!$A$2:$A$301,0), Skills!L3+1)</f>
        <v/>
      </c>
      <c r="F1470">
        <f>IF(Skills!M3=TRUE,(Skills!K3/10)*(E1470/1000),Skills!K3/10)+Skills!N3</f>
        <v/>
      </c>
      <c r="G1470">
        <f>Calc!G3</f>
        <v/>
      </c>
      <c r="H1470">
        <f>Calc!H3</f>
        <v/>
      </c>
      <c r="I1470">
        <f>IF(Skills!T3&lt;&gt;"",1+(Skills!T3/10)*($Z$3/1000)/100,1)</f>
        <v/>
      </c>
      <c r="J1470" t="inlineStr"/>
      <c r="K1470" t="inlineStr"/>
      <c r="L1470" t="inlineStr"/>
      <c r="M1470" t="inlineStr"/>
      <c r="N1470" t="inlineStr"/>
      <c r="O1470">
        <f>(1-Summary!$B$11)*S1470+Summary!$B$11*U1470</f>
        <v/>
      </c>
      <c r="P1470">
        <f>IF(B1510=0,0,O1470/B1510)</f>
        <v/>
      </c>
      <c r="Q1470">
        <f>IFERROR(1/(IF(Inputs!$B$39="pvp",15,MAX(0.1,Skills!D3-IF(Skills!E3=TRUE,Inputs!$B$33,0)))*(1-IF(AND(ArtifactsInput!$M$27,Inputs!$B$4="Chapter Hunt"),CHOOSE(ArtifactsInput!$N$27+1,20,24,28,32,36,40),0)/100)),0)</f>
        <v/>
      </c>
      <c r="R1470">
        <f>IF(AND(Inputs!$B$39&lt;&gt;"pvp",Inputs!$B$44&gt;0),IF(Inputs!$B$44&lt;=0,0,(INT(Inputs!$B$44/(IF(Inputs!$B$39="pvp",15,MAX(0.1,Skills!D3-IF(Skills!E3=TRUE,Inputs!$B$33,0)))*(1-IF(AND(ArtifactsInput!$M$27,Inputs!$B$4="Chapter Hunt"),CHOOSE(ArtifactsInput!$N$27+1,20,24,28,32,36,40),0)/100)))+1)),0)</f>
        <v/>
      </c>
      <c r="S1470" t="n">
        <v>0</v>
      </c>
      <c r="T1470">
        <f>INDEX(FactorTable!$B$2:$Y$301, MATCH(ROUND(MIN(300,MAX(1,T1469)),0), FactorTable!$A$2:$A$301,0), 22)</f>
        <v/>
      </c>
      <c r="U1470" t="n">
        <v>0</v>
      </c>
    </row>
    <row r="1471">
      <c r="A1471">
        <f>Skills!A4</f>
        <v/>
      </c>
      <c r="B1471">
        <f>Skills!B4</f>
        <v/>
      </c>
      <c r="C1471">
        <f>Inputs!$B$3&gt;=38</f>
        <v/>
      </c>
      <c r="D1471">
        <f>IF(Skills!C4=1,60+Inputs!$B$26+Inputs!$B$30,IF(Skills!C4=2,90+Inputs!$B$27+Inputs!$B$30,IF(Skills!C4=3,120+Inputs!$B$28+Inputs!$B$30,MAX(0,(Inputs!$B$3-100)*3)+Inputs!$B$29+Inputs!$B$30)))</f>
        <v/>
      </c>
      <c r="E1471">
        <f>INDEX(FactorTable!$B$2:$Y$301, MATCH(ROUND(MIN(300,MAX(1,D1471)),0), FactorTable!$A$2:$A$301,0), Skills!L4+1)</f>
        <v/>
      </c>
      <c r="F1471">
        <f>IF(Skills!M4=TRUE,(Skills!K4/10)*(E1471/1000),Skills!K4/10)+Skills!N4</f>
        <v/>
      </c>
      <c r="G1471">
        <f>Calc!G4</f>
        <v/>
      </c>
      <c r="H1471">
        <f>Calc!H4</f>
        <v/>
      </c>
      <c r="I1471">
        <f>IF(Skills!T4&lt;&gt;"",1+(Skills!T4/10)*($Z$3/1000)/100,1)</f>
        <v/>
      </c>
      <c r="J1471" t="inlineStr"/>
      <c r="K1471" t="inlineStr"/>
      <c r="L1471" t="inlineStr"/>
      <c r="M1471" t="inlineStr"/>
      <c r="N1471" t="inlineStr"/>
      <c r="O1471">
        <f>(1-Summary!$B$11)*S1471+Summary!$B$11*U1471</f>
        <v/>
      </c>
      <c r="P1471">
        <f>IF(B1510=0,0,O1471/B1510)</f>
        <v/>
      </c>
      <c r="Q1471">
        <f>IFERROR(1/(IF(Inputs!$B$39="pvp",15,MAX(0.1,Skills!D4-IF(Skills!E4=TRUE,Inputs!$B$33,0)))*(1-IF(AND(ArtifactsInput!$M$27,Inputs!$B$4="Chapter Hunt"),CHOOSE(ArtifactsInput!$N$27+1,20,24,28,32,36,40),0)/100)),0)</f>
        <v/>
      </c>
      <c r="R1471">
        <f>IF(AND(Inputs!$B$39&lt;&gt;"pvp",Inputs!$B$44&gt;0),IF(Inputs!$B$44&lt;=0,0,(INT(Inputs!$B$44/(IF(Inputs!$B$39="pvp",15,MAX(0.1,Skills!D4-IF(Skills!E4=TRUE,Inputs!$B$33,0)))*(1-IF(AND(ArtifactsInput!$M$27,Inputs!$B$4="Chapter Hunt"),CHOOSE(ArtifactsInput!$N$27+1,20,24,28,32,36,40),0)/100)))+1)),0)</f>
        <v/>
      </c>
      <c r="S1471" t="n">
        <v>0</v>
      </c>
      <c r="T1471">
        <f>290*T1470/1000</f>
        <v/>
      </c>
      <c r="U1471" t="n">
        <v>0</v>
      </c>
    </row>
    <row r="1472">
      <c r="A1472">
        <f>Skills!A5</f>
        <v/>
      </c>
      <c r="B1472">
        <f>Skills!B5</f>
        <v/>
      </c>
      <c r="C1472">
        <f>Inputs!$B$3&gt;=40</f>
        <v/>
      </c>
      <c r="D1472">
        <f>IF(Skills!C5=1,60+Inputs!$B$26+Inputs!$B$30,IF(Skills!C5=2,90+Inputs!$B$27+Inputs!$B$30,IF(Skills!C5=3,120+Inputs!$B$28+Inputs!$B$30,MAX(0,(Inputs!$B$3-100)*3)+Inputs!$B$29+Inputs!$B$30)))</f>
        <v/>
      </c>
      <c r="E1472">
        <f>INDEX(FactorTable!$B$2:$Y$301, MATCH(ROUND(MIN(300,MAX(1,D1472)),0), FactorTable!$A$2:$A$301,0), Skills!L5+1)</f>
        <v/>
      </c>
      <c r="F1472">
        <f>IF(Skills!M5=TRUE,(Skills!K5/10)*(E1472/1000),Skills!K5/10)+Skills!N5</f>
        <v/>
      </c>
      <c r="G1472">
        <f>Calc!G5</f>
        <v/>
      </c>
      <c r="H1472">
        <f>Calc!H5</f>
        <v/>
      </c>
      <c r="I1472">
        <f>IF(Skills!T5&lt;&gt;"",1+(Skills!T5/10)*($Z$3/1000)/100,1)</f>
        <v/>
      </c>
      <c r="J1472" t="inlineStr"/>
      <c r="K1472" t="inlineStr"/>
      <c r="L1472" t="inlineStr"/>
      <c r="M1472" t="inlineStr"/>
      <c r="N1472" t="inlineStr"/>
      <c r="O1472">
        <f>(1-Summary!$B$11)*S1472+Summary!$B$11*U1472</f>
        <v/>
      </c>
      <c r="P1472">
        <f>IF(B1510=0,0,O1472/B1510)</f>
        <v/>
      </c>
      <c r="Q1472">
        <f>IFERROR(1/(IF(Inputs!$B$39="pvp",15,MAX(0.1,Skills!D5-IF(Skills!E5=TRUE,Inputs!$B$33,0)))*(1-IF(AND(ArtifactsInput!$M$27,Inputs!$B$4="Chapter Hunt"),CHOOSE(ArtifactsInput!$N$27+1,20,24,28,32,36,40),0)/100)),0)</f>
        <v/>
      </c>
      <c r="R1472">
        <f>IF(AND(Inputs!$B$39&lt;&gt;"pvp",Inputs!$B$44&gt;0),IF(Inputs!$B$44&lt;=0,0,(INT(Inputs!$B$44/(IF(Inputs!$B$39="pvp",15,MAX(0.1,Skills!D5-IF(Skills!E5=TRUE,Inputs!$B$33,0)))*(1-IF(AND(ArtifactsInput!$M$27,Inputs!$B$4="Chapter Hunt"),CHOOSE(ArtifactsInput!$N$27+1,20,24,28,32,36,40),0)/100)))+1)),0)</f>
        <v/>
      </c>
      <c r="S1472" t="n">
        <v>0</v>
      </c>
      <c r="U1472" t="n">
        <v>0</v>
      </c>
    </row>
    <row r="1473">
      <c r="A1473">
        <f>Skills!A6</f>
        <v/>
      </c>
      <c r="B1473">
        <f>Skills!B6</f>
        <v/>
      </c>
      <c r="C1473">
        <f>Inputs!$B$3&gt;=103</f>
        <v/>
      </c>
      <c r="D1473">
        <f>IF(Skills!C6=1,60+Inputs!$B$26+Inputs!$B$30,IF(Skills!C6=2,90+Inputs!$B$27+Inputs!$B$30,IF(Skills!C6=3,120+Inputs!$B$28+Inputs!$B$30,MAX(0,(Inputs!$B$3-100)*3)+Inputs!$B$29+Inputs!$B$30)))</f>
        <v/>
      </c>
      <c r="E1473">
        <f>INDEX(FactorTable!$B$2:$Y$301, MATCH(ROUND(MIN(300,MAX(1,D1473)),0), FactorTable!$A$2:$A$301,0), Skills!L6+1)</f>
        <v/>
      </c>
      <c r="F1473">
        <f>IF(Skills!M6=TRUE,(Skills!K6/10)*(E1473/1000),Skills!K6/10)+Skills!N6</f>
        <v/>
      </c>
      <c r="G1473">
        <f>Calc!G6</f>
        <v/>
      </c>
      <c r="H1473">
        <f>Calc!H6</f>
        <v/>
      </c>
      <c r="I1473">
        <f>IF(Skills!T6&lt;&gt;"",1+(Skills!T6/10)*($Z$3/1000)/100,1)</f>
        <v/>
      </c>
      <c r="J1473">
        <f>((Inputs!$B$6*(1+Inputs!$B$7/100))+(((Inputs!$B$13*(1+Inputs!$B$14/100))-(Inputs!$B$13*(1+Inputs!$B$14/100)))+0.25*(Inputs!$B$15-Inputs!$B$15))*(1+Inputs!$B$7/100))*(F1473/100)</f>
        <v/>
      </c>
      <c r="K1473">
        <f>J1473*(1+(((Inputs!$B$13+IF(Inputs!$B$3&gt;=35,(10*INDEX(FactorTable!$B$2:$Y$301,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6="TRIUMPH_FEATHER",IF(C1483=TRUE,F1483,0),0)/100)*(1+IF(C1494=TRUE,F1494,0)/100)^5*(1+(IF(Skills!A6="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1473)</f>
        <v/>
      </c>
      <c r="L1473">
        <f>K1473*(MIN(Inputs!$B$23+(F1489-Calc!F22),(Inputs!$B$24+IF(ArtifactsInput!$M$15,CHOOSE(ArtifactsInput!$N$15+1,25,30,35,40,45,50)/100*(Inputs!$B$12-Inputs!$B$12),0)))/100+(Inputs!$B$24+IF(ArtifactsInput!$M$15,CHOOSE(ArtifactsInput!$N$15+1,25,30,35,40,45,50)/100*(Inputs!$B$12-Inputs!$B$12),0))/100)/2</f>
        <v/>
      </c>
      <c r="M1473">
        <f>L1473*(1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3">
        <f>L1473*(1-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1473*(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3">
        <f>(1-Summary!$B$11)*S1473+Summary!$B$11*U1473</f>
        <v/>
      </c>
      <c r="P1473">
        <f>IF(B1510=0,0,O1473/B1510)</f>
        <v/>
      </c>
      <c r="Q1473">
        <f>IFERROR(1/(IF(Inputs!$B$39="pvp",15,MAX(0.1,Skills!D6-IF(Skills!E6=TRUE,Inputs!$B$33,0)))*(1-IF(AND(ArtifactsInput!$M$27,Inputs!$B$4="Chapter Hunt"),CHOOSE(ArtifactsInput!$N$27+1,20,24,28,32,36,40),0)/100)),0)</f>
        <v/>
      </c>
      <c r="R1473">
        <f>IF(AND(Inputs!$B$39&lt;&gt;"pvp",Inputs!$B$44&gt;0),IF(MAX(0,Inputs!$B$44-B1507)&lt;=0,0,(INT(MAX(0,Inputs!$B$44-B1507)/(IF(Inputs!$B$39="pvp",15,MAX(0.1,Skills!D6-IF(Skills!E6=TRUE,Inputs!$B$33,0)))*(1-IF(AND(ArtifactsInput!$M$27,Inputs!$B$4="Chapter Hunt"),CHOOSE(ArtifactsInput!$N$27+1,20,24,28,32,36,40),0)/100)))+1)),0)</f>
        <v/>
      </c>
      <c r="S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$21+Skills!O6+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1473*(1-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1473*(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1473*(1-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1473*(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$22+Skills!P6+B1499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4">
      <c r="A1474">
        <f>Skills!A7</f>
        <v/>
      </c>
      <c r="B1474">
        <f>Skills!B7</f>
        <v/>
      </c>
      <c r="C1474">
        <f>Inputs!$B$3&gt;=122</f>
        <v/>
      </c>
      <c r="D1474">
        <f>IF(Skills!C7=1,60+Inputs!$B$26+Inputs!$B$30,IF(Skills!C7=2,90+Inputs!$B$27+Inputs!$B$30,IF(Skills!C7=3,120+Inputs!$B$28+Inputs!$B$30,MAX(0,(Inputs!$B$3-100)*3)+Inputs!$B$29+Inputs!$B$30)))</f>
        <v/>
      </c>
      <c r="E1474">
        <f>INDEX(FactorTable!$B$2:$Y$301, MATCH(ROUND(MIN(300,MAX(1,D1474)),0), FactorTable!$A$2:$A$301,0), Skills!L7+1)</f>
        <v/>
      </c>
      <c r="F1474">
        <f>IF(Skills!M7=TRUE,(Skills!K7/10)*(E1474/1000),Skills!K7/10)+Skills!N7</f>
        <v/>
      </c>
      <c r="G1474">
        <f>Calc!G7</f>
        <v/>
      </c>
      <c r="H1474">
        <f>Calc!H7</f>
        <v/>
      </c>
      <c r="I1474">
        <f>IF(Skills!T7&lt;&gt;"",1+(Skills!T7/10)*($Z$3/1000)/100,1)</f>
        <v/>
      </c>
      <c r="J1474">
        <f>((Inputs!$B$6*(1+Inputs!$B$7/100))+(((Inputs!$B$13*(1+Inputs!$B$14/100))-(Inputs!$B$13*(1+Inputs!$B$14/100)))+0.25*(Inputs!$B$15-Inputs!$B$15))*(1+Inputs!$B$7/100))*(F1474/100)</f>
        <v/>
      </c>
      <c r="K1474">
        <f>J1474*(1+(((Inputs!$B$13+IF(Inputs!$B$3&gt;=35,(10*INDEX(FactorTable!$B$2:$Y$301,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7="TRIUMPH_FEATHER",IF(C1483=TRUE,F1483,0),0)/100)*(1+IF(C1494=TRUE,F1494,0)/100)^5*(1+(IF(Skills!A7="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1474)</f>
        <v/>
      </c>
      <c r="L1474">
        <f>K1474*(MIN(Inputs!$B$23+(F1489-Calc!F22),(Inputs!$B$24+IF(ArtifactsInput!$M$15,CHOOSE(ArtifactsInput!$N$15+1,25,30,35,40,45,50)/100*(Inputs!$B$12-Inputs!$B$12),0)))/100+(Inputs!$B$24+IF(ArtifactsInput!$M$15,CHOOSE(ArtifactsInput!$N$15+1,25,30,35,40,45,50)/100*(Inputs!$B$12-Inputs!$B$12),0))/100)/2</f>
        <v/>
      </c>
      <c r="M1474">
        <f>L1474*(1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4">
        <f>L1474*(1-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1474*(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4">
        <f>(1-Summary!$B$11)*S1474+Summary!$B$11*U1474</f>
        <v/>
      </c>
      <c r="P1474">
        <f>IF(B1510=0,0,O1474/B1510)</f>
        <v/>
      </c>
      <c r="Q1474">
        <f>IFERROR(1/(IF(Inputs!$B$39="pvp",15,MAX(0.1,Skills!D7-IF(Skills!E6=TRUE,Inputs!$B$33,0)))*(1-IF(AND(ArtifactsInput!$M$27,Inputs!$B$4="Chapter Hunt"),CHOOSE(ArtifactsInput!$N$27+1,20,24,28,32,36,40),0)/100)),0)</f>
        <v/>
      </c>
      <c r="R1474">
        <f>IF(AND(Inputs!$B$39&lt;&gt;"pvp",Inputs!$B$44&gt;0),IF(MAX(0,Inputs!$B$44-B1507)&lt;=0,0,(INT(MAX(0,Inputs!$B$44-B1507)/(IF(Inputs!$B$39="pvp",15,MAX(0.1,Skills!D7-IF(Skills!E6=TRUE,Inputs!$B$33,0)))*(1-IF(AND(ArtifactsInput!$M$27,Inputs!$B$4="Chapter Hunt"),CHOOSE(ArtifactsInput!$N$27+1,20,24,28,32,36,40),0)/100)))+1)),0)</f>
        <v/>
      </c>
      <c r="S1474">
        <f>IF(C1474,H1474*N1474*IF(AND(Inputs!$B$39&lt;&gt;"pvp",Inputs!$B$44&gt;0),((Skills!F7*((R1474-1)*IF(Skills!G7&gt;0,Skills!H7/Skills!G7,1)+IF(Skills!G7&gt;0,MIN(Skills!H7,MAX(0,MAX(0,Inputs!$B$44-B1507)-((R1474-1)*(IF(Inputs!$B$39="pvp",15,MAX(0.1,Skills!D7-IF(Skills!E6=TRUE,Inputs!$B$33,0)))*(1-IF(AND(ArtifactsInput!$M$27,Inputs!$B$4="Chapter Hunt"),CHOOSE(ArtifactsInput!$N$27+1,20,24,28,32,36,40),0)/100)))))/Skills!G7,1)))/Inputs!$B$44),G1474*Q1474)*IF(Inputs!$B$39="pvp",1,1+(Inputs!$B$21+Skills!O7+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1474*(1-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1474*(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1474*(1-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1474*(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t="n">
        <v>0</v>
      </c>
    </row>
    <row r="1475">
      <c r="A1475">
        <f>Skills!A8</f>
        <v/>
      </c>
      <c r="B1475">
        <f>Skills!B8</f>
        <v/>
      </c>
      <c r="C1475">
        <f>Inputs!$B$3&gt;=105</f>
        <v/>
      </c>
      <c r="D1475">
        <f>IF(Skills!C8=1,60+Inputs!$B$26+Inputs!$B$30,IF(Skills!C8=2,90+Inputs!$B$27+Inputs!$B$30,IF(Skills!C8=3,120+Inputs!$B$28+Inputs!$B$30,MAX(0,(Inputs!$B$3-100)*3)+Inputs!$B$29+Inputs!$B$30)))</f>
        <v/>
      </c>
      <c r="E1475">
        <f>INDEX(FactorTable!$B$2:$Y$301, MATCH(ROUND(MIN(300,MAX(1,D1475)),0), FactorTable!$A$2:$A$301,0), Skills!L8+1)</f>
        <v/>
      </c>
      <c r="F1475">
        <f>IF(Skills!M8=TRUE,(Skills!K8/10)*(E1475/1000),Skills!K8/10)+Skills!N8</f>
        <v/>
      </c>
      <c r="G1475">
        <f>Calc!G8</f>
        <v/>
      </c>
      <c r="H1475">
        <f>Calc!H8</f>
        <v/>
      </c>
      <c r="I1475">
        <f>IF(Skills!T8&lt;&gt;"",1+(Skills!T8/10)*($Z$3/1000)/100,1)</f>
        <v/>
      </c>
      <c r="J1475">
        <f>((Inputs!$B$6*(1+Inputs!$B$7/100))+(((Inputs!$B$13*(1+Inputs!$B$14/100))-(Inputs!$B$13*(1+Inputs!$B$14/100)))+0.25*(Inputs!$B$15-Inputs!$B$15))*(1+Inputs!$B$7/100))*(F1475/100)</f>
        <v/>
      </c>
      <c r="K1475">
        <f>J1475*(1+(((Inputs!$B$13+IF(Inputs!$B$3&gt;=35,(10*INDEX(FactorTable!$B$2:$Y$301,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8="TRIUMPH_FEATHER",IF(C1483=TRUE,F1483,0),0)/100)*(1+IF(C1494=TRUE,F1494,0)/100)^5*(1+(IF(Skills!A8="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1475)</f>
        <v/>
      </c>
      <c r="L1475">
        <f>K1475*(MIN(Inputs!$B$23+(F1489-Calc!F22),(Inputs!$B$24+IF(ArtifactsInput!$M$15,CHOOSE(ArtifactsInput!$N$15+1,25,30,35,40,45,50)/100*(Inputs!$B$12-Inputs!$B$12),0)))/100+(Inputs!$B$24+IF(ArtifactsInput!$M$15,CHOOSE(ArtifactsInput!$N$15+1,25,30,35,40,45,50)/100*(Inputs!$B$12-Inputs!$B$12),0))/100)/2</f>
        <v/>
      </c>
      <c r="M1475">
        <f>L1475*(1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5">
        <f>L1475*(1-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1475*(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5">
        <f>(1-Summary!$B$11)*S1475+Summary!$B$11*U1475</f>
        <v/>
      </c>
      <c r="P1475">
        <f>IF(B1510=0,0,O1475/B1510)</f>
        <v/>
      </c>
      <c r="Q1475">
        <f>IFERROR(1/(IF(Inputs!$B$39="pvp",15,MAX(0.1,Skills!D8-IF(Skills!E8=TRUE,Inputs!$B$33,0)))*(1-IF(AND(ArtifactsInput!$M$27,Inputs!$B$4="Chapter Hunt"),CHOOSE(ArtifactsInput!$N$27+1,20,24,28,32,36,40),0)/100)),0)</f>
        <v/>
      </c>
      <c r="R1475">
        <f>IF(AND(Inputs!$B$39&lt;&gt;"pvp",Inputs!$B$44&gt;0),IF(MAX(0,Inputs!$B$44-B1507)&lt;=0,0,(INT(MAX(0,Inputs!$B$44-B1507)/(IF(Inputs!$B$39="pvp",15,MAX(0.1,Skills!D8-IF(Skills!E8=TRUE,Inputs!$B$33,0)))*(1-IF(AND(ArtifactsInput!$M$27,Inputs!$B$4="Chapter Hunt"),CHOOSE(ArtifactsInput!$N$27+1,20,24,28,32,36,40),0)/100)))+1)),0)</f>
        <v/>
      </c>
      <c r="S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$21+Skills!O8+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1475*(1-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1475*(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1475*(1-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1475*(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$22+Skills!P8+B1499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Skills!A9</f>
        <v/>
      </c>
      <c r="B1476">
        <f>Skills!B9</f>
        <v/>
      </c>
      <c r="C1476">
        <f>Inputs!$B$3&gt;=115</f>
        <v/>
      </c>
      <c r="D1476">
        <f>IF(Skills!C9=1,60+Inputs!$B$26+Inputs!$B$30,IF(Skills!C9=2,90+Inputs!$B$27+Inputs!$B$30,IF(Skills!C9=3,120+Inputs!$B$28+Inputs!$B$30,MAX(0,(Inputs!$B$3-100)*3)+Inputs!$B$29+Inputs!$B$30)))</f>
        <v/>
      </c>
      <c r="E1476">
        <f>INDEX(FactorTable!$B$2:$Y$301, MATCH(ROUND(MIN(300,MAX(1,D1476)),0), FactorTable!$A$2:$A$301,0), Skills!L9+1)</f>
        <v/>
      </c>
      <c r="F1476">
        <f>IF(Skills!M9=TRUE,(Skills!K9/10)*(E1476/1000),Skills!K9/10)+Skills!N9</f>
        <v/>
      </c>
      <c r="G1476">
        <f>Calc!G9</f>
        <v/>
      </c>
      <c r="H1476">
        <f>Calc!H9</f>
        <v/>
      </c>
      <c r="I1476">
        <f>IF(Skills!T9&lt;&gt;"",1+(Skills!T9/10)*($Z$3/1000)/100,1)</f>
        <v/>
      </c>
      <c r="J1476">
        <f>((Inputs!$B$6*(1+Inputs!$B$7/100))+(((Inputs!$B$13*(1+Inputs!$B$14/100))-(Inputs!$B$13*(1+Inputs!$B$14/100)))+0.25*(Inputs!$B$15-Inputs!$B$15))*(1+Inputs!$B$7/100))*(F1476/100)</f>
        <v/>
      </c>
      <c r="K1476">
        <f>J1476*(1+(((Inputs!$B$13+IF(Inputs!$B$3&gt;=35,(10*INDEX(FactorTable!$B$2:$Y$301,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9="TRIUMPH_FEATHER",IF(C1483=TRUE,F1483,0),0)/100)*(1+IF(C1494=TRUE,F1494,0)/100)^5*(1+(IF(Skills!A9="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1476)</f>
        <v/>
      </c>
      <c r="L1476">
        <f>K1476*(MIN(Inputs!$B$23+(F1489-Calc!F22),(Inputs!$B$24+IF(ArtifactsInput!$M$15,CHOOSE(ArtifactsInput!$N$15+1,25,30,35,40,45,50)/100*(Inputs!$B$12-Inputs!$B$12),0)))/100+(Inputs!$B$24+IF(ArtifactsInput!$M$15,CHOOSE(ArtifactsInput!$N$15+1,25,30,35,40,45,50)/100*(Inputs!$B$12-Inputs!$B$12),0))/100)/2</f>
        <v/>
      </c>
      <c r="M1476">
        <f>L1476*(1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6">
        <f>L1476*(1-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1476*(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6">
        <f>(1-Summary!$B$11)*S1476+Summary!$B$11*U1476</f>
        <v/>
      </c>
      <c r="P1476">
        <f>IF(B1510=0,0,O1476/B1510)</f>
        <v/>
      </c>
      <c r="Q1476">
        <f>IFERROR(1/(IF(Inputs!$B$39="pvp",15,MAX(0.1,Skills!D9-IF(Skills!E9=TRUE,Inputs!$B$33,0)))*(1-IF(AND(ArtifactsInput!$M$27,Inputs!$B$4="Chapter Hunt"),CHOOSE(ArtifactsInput!$N$27+1,20,24,28,32,36,40),0)/100)),0)</f>
        <v/>
      </c>
      <c r="R1476">
        <f>IF(AND(Inputs!$B$39&lt;&gt;"pvp",Inputs!$B$44&gt;0),IF(MAX(0,Inputs!$B$44-B1507)&lt;=0,0,(INT(MAX(0,Inputs!$B$44-B1507)/(IF(Inputs!$B$39="pvp",15,MAX(0.1,Skills!D9-IF(Skills!E9=TRUE,Inputs!$B$33,0)))*(1-IF(AND(ArtifactsInput!$M$27,Inputs!$B$4="Chapter Hunt"),CHOOSE(ArtifactsInput!$N$27+1,20,24,28,32,36,40),0)/100)))+1)),0)</f>
        <v/>
      </c>
      <c r="S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$21+Skills!O9+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1476*(1-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1476*(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1476*(1-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1476*(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$22+Skills!P9+B1499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Skills!A10</f>
        <v/>
      </c>
      <c r="B1477">
        <f>Skills!B10</f>
        <v/>
      </c>
      <c r="C1477">
        <f>Inputs!$B$3&gt;=66</f>
        <v/>
      </c>
      <c r="D1477">
        <f>IF(Skills!C10=1,60+Inputs!$B$26+Inputs!$B$30,IF(Skills!C10=2,90+Inputs!$B$27+Inputs!$B$30,IF(Skills!C10=3,120+Inputs!$B$28+Inputs!$B$30,MAX(0,(Inputs!$B$3-100)*3)+Inputs!$B$29+Inputs!$B$30)))</f>
        <v/>
      </c>
      <c r="E1477">
        <f>INDEX(FactorTable!$B$2:$Y$301, MATCH(ROUND(MIN(300,MAX(1,D1477)),0), FactorTable!$A$2:$A$301,0), Skills!L10+1)</f>
        <v/>
      </c>
      <c r="F1477" t="n">
        <v>0</v>
      </c>
      <c r="G1477">
        <f>Calc!G10</f>
        <v/>
      </c>
      <c r="H1477">
        <f>Calc!H10</f>
        <v/>
      </c>
      <c r="I1477">
        <f>IF(Skills!T10&lt;&gt;"",1+(Skills!T10/10)*($Z$3/1000)/100,1)</f>
        <v/>
      </c>
      <c r="J1477" t="inlineStr"/>
      <c r="K1477" t="inlineStr"/>
      <c r="L1477" t="inlineStr"/>
      <c r="M1477" t="inlineStr"/>
      <c r="N1477" t="inlineStr"/>
      <c r="O1477">
        <f>(1-Summary!$B$11)*S1477+Summary!$B$11*U1477</f>
        <v/>
      </c>
      <c r="P1477">
        <f>IF(B1510=0,0,O1477/B1510)</f>
        <v/>
      </c>
      <c r="Q1477">
        <f>IFERROR(1/(IF(Inputs!$B$39="pvp",15,MAX(0.1,Skills!D10-IF(Skills!E10=TRUE,Inputs!$B$33,0)))*(1-IF(AND(ArtifactsInput!$M$27,Inputs!$B$4="Chapter Hunt"),CHOOSE(ArtifactsInput!$N$27+1,20,24,28,32,36,40),0)/100)),0)</f>
        <v/>
      </c>
      <c r="R1477">
        <f>IF(AND(Inputs!$B$39&lt;&gt;"pvp",Inputs!$B$44&gt;0),IF(MAX(0,Inputs!$B$44-B1507)&lt;=0,0,(INT(MAX(0,Inputs!$B$44-B1507)/(IF(Inputs!$B$39="pvp",15,MAX(0.1,Skills!D10-IF(Skills!E10=TRUE,Inputs!$B$33,0)))*(1-IF(AND(ArtifactsInput!$M$27,Inputs!$B$4="Chapter Hunt"),CHOOSE(ArtifactsInput!$N$27+1,20,24,28,32,36,40),0)/100)))+1)),0)</f>
        <v/>
      </c>
      <c r="S1477" t="n">
        <v>0</v>
      </c>
      <c r="U1477" t="n">
        <v>0</v>
      </c>
    </row>
    <row r="1478">
      <c r="A1478">
        <f>Skills!A11</f>
        <v/>
      </c>
      <c r="B1478">
        <f>Skills!B11</f>
        <v/>
      </c>
      <c r="C1478">
        <f>Inputs!$B$3&gt;=69</f>
        <v/>
      </c>
      <c r="D1478">
        <f>IF(Skills!C11=1,60+Inputs!$B$26+Inputs!$B$30,IF(Skills!C11=2,90+Inputs!$B$27+Inputs!$B$30,IF(Skills!C11=3,120+Inputs!$B$28+Inputs!$B$30,MAX(0,(Inputs!$B$3-100)*3)+Inputs!$B$29+Inputs!$B$30)))</f>
        <v/>
      </c>
      <c r="E1478">
        <f>INDEX(FactorTable!$B$2:$Y$301, MATCH(ROUND(MIN(300,MAX(1,D1478)),0), FactorTable!$A$2:$A$301,0), Skills!L11+1)</f>
        <v/>
      </c>
      <c r="F1478">
        <f>IF(Skills!M11=TRUE,(Skills!K11/10)*(E1478/1000),Skills!K11/10)+Skills!N11</f>
        <v/>
      </c>
      <c r="G1478">
        <f>Calc!G11</f>
        <v/>
      </c>
      <c r="H1478">
        <f>Calc!H11</f>
        <v/>
      </c>
      <c r="I1478">
        <f>IF(Skills!T11&lt;&gt;"",1+(Skills!T11/10)*($Z$3/1000)/100,1)</f>
        <v/>
      </c>
      <c r="J1478" t="inlineStr"/>
      <c r="K1478" t="inlineStr"/>
      <c r="L1478" t="inlineStr"/>
      <c r="M1478" t="inlineStr"/>
      <c r="N1478" t="inlineStr"/>
      <c r="O1478">
        <f>(1-Summary!$B$11)*S1478+Summary!$B$11*U1478</f>
        <v/>
      </c>
      <c r="P1478">
        <f>IF(B1510=0,0,O1478/B1510)</f>
        <v/>
      </c>
      <c r="Q1478">
        <f>IFERROR(1/(IF(Inputs!$B$39="pvp",15,MAX(0.1,Skills!D11-IF(Skills!E11=TRUE,Inputs!$B$33,0)))*(1-IF(AND(ArtifactsInput!$M$27,Inputs!$B$4="Chapter Hunt"),CHOOSE(ArtifactsInput!$N$27+1,20,24,28,32,36,40),0)/100)),0)</f>
        <v/>
      </c>
      <c r="R1478">
        <f>IF(AND(Inputs!$B$39&lt;&gt;"pvp",Inputs!$B$44&gt;0),IF(Inputs!$B$44&lt;=0,0,(INT(Inputs!$B$44/(IF(Inputs!$B$39="pvp",15,MAX(0.1,Skills!D11-IF(Skills!E11=TRUE,Inputs!$B$33,0)))*(1-IF(AND(ArtifactsInput!$M$27,Inputs!$B$4="Chapter Hunt"),CHOOSE(ArtifactsInput!$N$27+1,20,24,28,32,36,40),0)/100)))+1)),0)</f>
        <v/>
      </c>
      <c r="S1478" t="n">
        <v>0</v>
      </c>
      <c r="U1478" t="n">
        <v>0</v>
      </c>
    </row>
    <row r="1479">
      <c r="A1479">
        <f>Skills!A12</f>
        <v/>
      </c>
      <c r="B1479">
        <f>Skills!B12</f>
        <v/>
      </c>
      <c r="C1479">
        <f>Inputs!$B$3&gt;=72</f>
        <v/>
      </c>
      <c r="D1479">
        <f>IF(Skills!C12=1,60+Inputs!$B$26+Inputs!$B$30,IF(Skills!C12=2,90+Inputs!$B$27+Inputs!$B$30,IF(Skills!C12=3,120+Inputs!$B$28+Inputs!$B$30,MAX(0,(Inputs!$B$3-100)*3)+Inputs!$B$29+Inputs!$B$30)))</f>
        <v/>
      </c>
      <c r="E1479">
        <f>INDEX(FactorTable!$B$2:$Y$301, MATCH(ROUND(MIN(300,MAX(1,D1479)),0), FactorTable!$A$2:$A$301,0), Skills!L12+1)</f>
        <v/>
      </c>
      <c r="F1479">
        <f>IF(Skills!M12=TRUE,(Skills!K12/10)*(E1479/1000),Skills!K12/10)+Skills!N12</f>
        <v/>
      </c>
      <c r="G1479">
        <f>Calc!G12</f>
        <v/>
      </c>
      <c r="H1479">
        <f>Calc!H12</f>
        <v/>
      </c>
      <c r="I1479">
        <f>IF(Skills!T12&lt;&gt;"",1+(Skills!T12/10)*($Z$3/1000)/100,1)</f>
        <v/>
      </c>
      <c r="J1479" t="inlineStr"/>
      <c r="K1479" t="inlineStr"/>
      <c r="L1479" t="inlineStr"/>
      <c r="M1479" t="inlineStr"/>
      <c r="N1479" t="inlineStr"/>
      <c r="O1479">
        <f>(1-Summary!$B$11)*S1479+Summary!$B$11*U1479</f>
        <v/>
      </c>
      <c r="P1479">
        <f>IF(B1510=0,0,O1479/B1510)</f>
        <v/>
      </c>
      <c r="Q1479">
        <f>IFERROR(1/(IF(Inputs!$B$39="pvp",15,MAX(0.1,Skills!D12-IF(Skills!E12=TRUE,Inputs!$B$33,0)))*(1-IF(AND(ArtifactsInput!$M$27,Inputs!$B$4="Chapter Hunt"),CHOOSE(ArtifactsInput!$N$27+1,20,24,28,32,36,40),0)/100)),0)</f>
        <v/>
      </c>
      <c r="R1479">
        <f>IF(AND(Inputs!$B$39&lt;&gt;"pvp",Inputs!$B$44&gt;0),IF(MAX(0,Inputs!$B$44-B1507)&lt;=0,0,(INT(MAX(0,Inputs!$B$44-B1507)/(IF(Inputs!$B$39="pvp",15,MAX(0.1,Skills!D12-IF(Skills!E12=TRUE,Inputs!$B$33,0)))*(1-IF(AND(ArtifactsInput!$M$27,Inputs!$B$4="Chapter Hunt"),CHOOSE(ArtifactsInput!$N$27+1,20,24,28,32,36,40),0)/100)))+1)),0)</f>
        <v/>
      </c>
      <c r="S1479" t="n">
        <v>0</v>
      </c>
      <c r="U1479" t="n">
        <v>0</v>
      </c>
    </row>
    <row r="1480">
      <c r="A1480">
        <f>Skills!A13</f>
        <v/>
      </c>
      <c r="B1480">
        <f>Skills!B13</f>
        <v/>
      </c>
      <c r="C1480">
        <f>Inputs!$B$3&gt;=60</f>
        <v/>
      </c>
      <c r="D1480">
        <f>IF(Skills!C13=1,60+Inputs!$B$26+Inputs!$B$30,IF(Skills!C13=2,90+Inputs!$B$27+Inputs!$B$30,IF(Skills!C13=3,120+Inputs!$B$28+Inputs!$B$30,MAX(0,(Inputs!$B$3-100)*3)+Inputs!$B$29+Inputs!$B$30)))</f>
        <v/>
      </c>
      <c r="E1480">
        <f>INDEX(FactorTable!$B$2:$Y$301, MATCH(ROUND(MIN(300,MAX(1,D1480)),0), FactorTable!$A$2:$A$301,0), Skills!L13+1)</f>
        <v/>
      </c>
      <c r="F1480">
        <f>IF(Skills!M13=TRUE,(Skills!K13/10)*(E1480/1000),Skills!K13/10)+Skills!N13</f>
        <v/>
      </c>
      <c r="G1480">
        <f>Calc!G13</f>
        <v/>
      </c>
      <c r="H1480">
        <f>Calc!H13</f>
        <v/>
      </c>
      <c r="I1480">
        <f>IF(Skills!T13&lt;&gt;"",1+(Skills!T13/10)*($Z$3/1000)/100,1)</f>
        <v/>
      </c>
      <c r="J1480" t="inlineStr"/>
      <c r="K1480" t="inlineStr"/>
      <c r="L1480" t="inlineStr"/>
      <c r="M1480" t="inlineStr"/>
      <c r="N1480" t="inlineStr"/>
      <c r="O1480">
        <f>(1-Summary!$B$11)*S1480+Summary!$B$11*U1480</f>
        <v/>
      </c>
      <c r="P1480">
        <f>IF(B1510=0,0,O1480/B1510)</f>
        <v/>
      </c>
      <c r="Q1480">
        <f>IFERROR(1/(IF(Inputs!$B$39="pvp",15,MAX(0.1,Skills!D13-IF(Skills!E13=TRUE,Inputs!$B$33,0)))*(1-IF(AND(ArtifactsInput!$M$27,Inputs!$B$4="Chapter Hunt"),CHOOSE(ArtifactsInput!$N$27+1,20,24,28,32,36,40),0)/100)),0)</f>
        <v/>
      </c>
      <c r="R1480">
        <f>IF(AND(Inputs!$B$39&lt;&gt;"pvp",Inputs!$B$44&gt;0),IF(MAX(0,Inputs!$B$44-B1507)&lt;=0,0,(INT(MAX(0,Inputs!$B$44-B1507)/(IF(Inputs!$B$39="pvp",15,MAX(0.1,Skills!D13-IF(Skills!E13=TRUE,Inputs!$B$33,0)))*(1-IF(AND(ArtifactsInput!$M$27,Inputs!$B$4="Chapter Hunt"),CHOOSE(ArtifactsInput!$N$27+1,20,24,28,32,36,40),0)/100)))+1)),0)</f>
        <v/>
      </c>
      <c r="S1480" t="n">
        <v>0</v>
      </c>
      <c r="U1480" t="n">
        <v>0</v>
      </c>
    </row>
    <row r="1481">
      <c r="A1481">
        <f>Skills!A14</f>
        <v/>
      </c>
      <c r="B1481">
        <f>Skills!B14</f>
        <v/>
      </c>
      <c r="C1481">
        <f>Inputs!$B$3&gt;=107</f>
        <v/>
      </c>
      <c r="D1481">
        <f>IF(Skills!C14=1,60+Inputs!$B$26+Inputs!$B$30,IF(Skills!C14=2,90+Inputs!$B$27+Inputs!$B$30,IF(Skills!C14=3,120+Inputs!$B$28+Inputs!$B$30,MAX(0,(Inputs!$B$3-100)*3)+Inputs!$B$29+Inputs!$B$30)))</f>
        <v/>
      </c>
      <c r="E1481">
        <f>INDEX(FactorTable!$B$2:$Y$301, MATCH(ROUND(MIN(300,MAX(1,D1481)),0), FactorTable!$A$2:$A$301,0), Skills!L14+1)</f>
        <v/>
      </c>
      <c r="F1481">
        <f>IF(Skills!M14=TRUE,(Skills!K14/10)*(E1481/1000),Skills!K14/10)+Skills!N14</f>
        <v/>
      </c>
      <c r="G1481">
        <f>Calc!G14</f>
        <v/>
      </c>
      <c r="H1481">
        <f>Calc!H14</f>
        <v/>
      </c>
      <c r="I1481">
        <f>IF(Skills!T14&lt;&gt;"",1+(Skills!T14/10)*($Z$3/1000)/100,1)</f>
        <v/>
      </c>
      <c r="J1481" t="inlineStr"/>
      <c r="K1481" t="inlineStr"/>
      <c r="L1481" t="inlineStr"/>
      <c r="M1481" t="inlineStr"/>
      <c r="N1481" t="inlineStr"/>
      <c r="O1481">
        <f>(1-Summary!$B$11)*S1481+Summary!$B$11*U1481</f>
        <v/>
      </c>
      <c r="P1481">
        <f>IF(B1510=0,0,O1481/B1510)</f>
        <v/>
      </c>
      <c r="Q1481">
        <f>IFERROR(1/(IF(Inputs!$B$39="pvp",15,MAX(0.1,Skills!D14-IF(Skills!E14=TRUE,Inputs!$B$33,0)))*(1-IF(AND(ArtifactsInput!$M$27,Inputs!$B$4="Chapter Hunt"),CHOOSE(ArtifactsInput!$N$27+1,20,24,28,32,36,40),0)/100)),0)</f>
        <v/>
      </c>
      <c r="R1481">
        <f>IF(AND(Inputs!$B$39&lt;&gt;"pvp",Inputs!$B$44&gt;0),IF(Inputs!$B$44&lt;=0,0,(INT(Inputs!$B$44/(IF(Inputs!$B$39="pvp",15,MAX(0.1,Skills!D14-IF(Skills!E14=TRUE,Inputs!$B$33,0)))*(1-IF(AND(ArtifactsInput!$M$27,Inputs!$B$4="Chapter Hunt"),CHOOSE(ArtifactsInput!$N$27+1,20,24,28,32,36,40),0)/100)))+1)),0)</f>
        <v/>
      </c>
      <c r="S1481" t="n">
        <v>0</v>
      </c>
      <c r="U1481" t="n">
        <v>0</v>
      </c>
    </row>
    <row r="1482">
      <c r="A1482">
        <f>Skills!A15</f>
        <v/>
      </c>
      <c r="B1482">
        <f>Skills!B15</f>
        <v/>
      </c>
      <c r="C1482">
        <f>Inputs!$B$3&gt;=63</f>
        <v/>
      </c>
      <c r="D1482">
        <f>IF(Skills!C15=1,60+Inputs!$B$26+Inputs!$B$30,IF(Skills!C15=2,90+Inputs!$B$27+Inputs!$B$30,IF(Skills!C15=3,120+Inputs!$B$28+Inputs!$B$30,MAX(0,(Inputs!$B$3-100)*3)+Inputs!$B$29+Inputs!$B$30)))</f>
        <v/>
      </c>
      <c r="E1482">
        <f>INDEX(FactorTable!$B$2:$Y$301, MATCH(ROUND(MIN(300,MAX(1,D1482)),0), FactorTable!$A$2:$A$301,0), Skills!L15+1)</f>
        <v/>
      </c>
      <c r="F1482">
        <f>IF(Skills!M15=TRUE,(Skills!K15/10)*(E1482/1000),Skills!K15/10)+Skills!N15</f>
        <v/>
      </c>
      <c r="G1482">
        <f>Calc!G15</f>
        <v/>
      </c>
      <c r="H1482">
        <f>Calc!H15</f>
        <v/>
      </c>
      <c r="I1482">
        <f>IF(Skills!T15&lt;&gt;"",1+(Skills!T15/10)*($Z$3/1000)/100,1)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15="TRIUMPH_FEATHER",IF(C1483=TRUE,F1483,0),0)/100)*(1+IF(C1494=TRUE,F1494,0)/100)^5*(1+(IF(Skills!A15="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1482)</f>
        <v/>
      </c>
      <c r="L1482">
        <f>K1482*(MIN(Inputs!$B$23+(F1489-Calc!F22),(Inputs!$B$24+IF(ArtifactsInput!$M$15,CHOOSE(ArtifactsInput!$N$15+1,25,30,35,40,45,50)/100*(Inputs!$B$12-Inputs!$B$12),0)))/100+(Inputs!$B$24+IF(ArtifactsInput!$M$15,CHOOSE(ArtifactsInput!$N$15+1,25,30,35,40,45,50)/100*(Inputs!$B$12-Inputs!$B$12),0))/100)/2</f>
        <v/>
      </c>
      <c r="M1482">
        <f>L1482*(1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82">
        <f>L1482*(1-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1482*(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82">
        <f>(1-Summary!$B$11)*S1482+Summary!$B$11*U1482</f>
        <v/>
      </c>
      <c r="P1482">
        <f>IF(B1510=0,0,O1482/B1510)</f>
        <v/>
      </c>
      <c r="Q1482">
        <f>IFERROR(1/(IF(Inputs!$B$39="pvp",15,MAX(0.1,Skills!D15-IF(Skills!E15=TRUE,Inputs!$B$33,0)))*(1-IF(AND(ArtifactsInput!$M$27,Inputs!$B$4="Chapter Hunt"),CHOOSE(ArtifactsInput!$N$27+1,20,24,28,32,36,40),0)/100)),0)</f>
        <v/>
      </c>
      <c r="R1482" t="n">
        <v>0</v>
      </c>
      <c r="S1482">
        <f>IF(C1482,(Skills!F15*N1482*((IF(Inputs!$B$3&gt;=78,25,15)/100*B1503*10)/(1+IF(Inputs!$B$3&gt;=78,25,15)/100*B1503*10))*(Skills!I15/100*B1503)/(1+Skills!G15*Skills!I15/100*B1503))*IF(Inputs!$B$39="pvp",1,1+(Inputs!$B$21+Skills!O15+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1482*(1-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1482*(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1482*(1-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1482*(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2">
        <f>IF(C1482,(Skills!F15*N1482*((IF(Inputs!$B$3&gt;=78,25,15)/100*B1503*10)/(1+IF(Inputs!$B$3&gt;=78,25,15)/100*B1503*10))*(Skills!I15/100*B1503)/(1+Skills!G15*Skills!I15/100*B1503))*IF(Inputs!$B$39="pvp",1,(1+(Inputs!$B$22+Skills!P15+B1499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Skills!A16</f>
        <v/>
      </c>
      <c r="B1483">
        <f>Skills!B16</f>
        <v/>
      </c>
      <c r="C1483">
        <f>Inputs!$B$3&gt;=100</f>
        <v/>
      </c>
      <c r="D1483">
        <f>IF(Skills!C16=1,60+Inputs!$B$26+Inputs!$B$30,IF(Skills!C16=2,90+Inputs!$B$27+Inputs!$B$30,IF(Skills!C16=3,120+Inputs!$B$28+Inputs!$B$30,MAX(0,(Inputs!$B$3-100)*3)+Inputs!$B$29+Inputs!$B$30)))</f>
        <v/>
      </c>
      <c r="E1483">
        <f>INDEX(FactorTable!$B$2:$Y$301, MATCH(ROUND(MIN(300,MAX(1,D1483)),0), FactorTable!$A$2:$A$301,0), Skills!L16+1)</f>
        <v/>
      </c>
      <c r="F1483">
        <f>IF(Skills!M16=TRUE,(Skills!K16/10)*(E1483/1000),Skills!K16/10)+Skills!N16</f>
        <v/>
      </c>
      <c r="G1483">
        <f>Calc!G16</f>
        <v/>
      </c>
      <c r="H1483">
        <f>Calc!H16</f>
        <v/>
      </c>
      <c r="I1483">
        <f>IF(Skills!T16&lt;&gt;"",1+(Skills!T16/10)*($Z$3/1000)/100,1)</f>
        <v/>
      </c>
      <c r="J1483" t="inlineStr"/>
      <c r="K1483" t="inlineStr"/>
      <c r="L1483" t="inlineStr"/>
      <c r="M1483" t="inlineStr"/>
      <c r="N1483" t="inlineStr"/>
      <c r="O1483">
        <f>(1-Summary!$B$11)*S1483+Summary!$B$11*U1483</f>
        <v/>
      </c>
      <c r="P1483">
        <f>IF(B1510=0,0,O1483/B1510)</f>
        <v/>
      </c>
      <c r="Q1483">
        <f>IFERROR(1/(IF(Inputs!$B$39="pvp",15,MAX(0.1,Skills!D16-IF(Skills!E16=TRUE,Inputs!$B$33,0)))*(1-IF(AND(ArtifactsInput!$M$27,Inputs!$B$4="Chapter Hunt"),CHOOSE(ArtifactsInput!$N$27+1,20,24,28,32,36,40),0)/100)),0)</f>
        <v/>
      </c>
      <c r="R1483" t="n">
        <v>0</v>
      </c>
      <c r="S1483" t="n">
        <v>0</v>
      </c>
      <c r="U1483" t="n">
        <v>0</v>
      </c>
    </row>
    <row r="1484">
      <c r="A1484">
        <f>Skills!A17</f>
        <v/>
      </c>
      <c r="B1484">
        <f>Skills!B17</f>
        <v/>
      </c>
      <c r="C1484">
        <f>Inputs!$B$3&gt;=49</f>
        <v/>
      </c>
      <c r="D1484">
        <f>IF(Skills!C17=1,60+Inputs!$B$26+Inputs!$B$30,IF(Skills!C17=2,90+Inputs!$B$27+Inputs!$B$30,IF(Skills!C17=3,120+Inputs!$B$28+Inputs!$B$30,MAX(0,(Inputs!$B$3-100)*3)+Inputs!$B$29+Inputs!$B$30)))</f>
        <v/>
      </c>
      <c r="E1484">
        <f>INDEX(FactorTable!$B$2:$Y$301, MATCH(ROUND(MIN(300,MAX(1,D1484)),0), FactorTable!$A$2:$A$301,0), Skills!L17+1)</f>
        <v/>
      </c>
      <c r="F1484">
        <f>IF(Skills!M17=TRUE,(Skills!K17/10)*(E1484/1000),Skills!K17/10)+Skills!N17</f>
        <v/>
      </c>
      <c r="G1484">
        <f>Calc!G17</f>
        <v/>
      </c>
      <c r="H1484">
        <f>Calc!H17</f>
        <v/>
      </c>
      <c r="I1484">
        <f>IF(Skills!T17&lt;&gt;"",1+(Skills!T17/10)*($Z$3/1000)/100,1)</f>
        <v/>
      </c>
      <c r="J1484" t="inlineStr"/>
      <c r="K1484" t="inlineStr"/>
      <c r="L1484" t="inlineStr"/>
      <c r="M1484" t="inlineStr"/>
      <c r="N1484" t="inlineStr"/>
      <c r="O1484">
        <f>(1-Summary!$B$11)*S1484+Summary!$B$11*U1484</f>
        <v/>
      </c>
      <c r="P1484">
        <f>IF(B1510=0,0,O1484/B1510)</f>
        <v/>
      </c>
      <c r="Q1484">
        <f>IFERROR(1/(IF(Inputs!$B$39="pvp",15,MAX(0.1,Skills!D17-IF(Skills!E17=TRUE,Inputs!$B$33,0)))*(1-IF(AND(ArtifactsInput!$M$27,Inputs!$B$4="Chapter Hunt"),CHOOSE(ArtifactsInput!$N$27+1,20,24,28,32,36,40),0)/100)),0)</f>
        <v/>
      </c>
      <c r="R1484" t="n">
        <v>0</v>
      </c>
      <c r="S1484" t="n">
        <v>0</v>
      </c>
      <c r="U1484" t="n">
        <v>0</v>
      </c>
    </row>
    <row r="1485">
      <c r="A1485">
        <f>Skills!A18</f>
        <v/>
      </c>
      <c r="B1485">
        <f>Skills!B18</f>
        <v/>
      </c>
      <c r="C1485">
        <f>Inputs!$B$3&gt;=75</f>
        <v/>
      </c>
      <c r="D1485">
        <f>IF(Skills!C18=1,60+Inputs!$B$26+Inputs!$B$30,IF(Skills!C18=2,90+Inputs!$B$27+Inputs!$B$30,IF(Skills!C18=3,120+Inputs!$B$28+Inputs!$B$30,MAX(0,(Inputs!$B$3-100)*3)+Inputs!$B$29+Inputs!$B$30)))</f>
        <v/>
      </c>
      <c r="E1485">
        <f>INDEX(FactorTable!$B$2:$Y$301, MATCH(ROUND(MIN(300,MAX(1,D1485)),0), FactorTable!$A$2:$A$301,0), Skills!L18+1)</f>
        <v/>
      </c>
      <c r="F1485">
        <f>IF(Skills!M18=TRUE,(Skills!K18/10)*(E1485/1000),Skills!K18/10)+Skills!N18</f>
        <v/>
      </c>
      <c r="G1485">
        <f>Calc!G18</f>
        <v/>
      </c>
      <c r="H1485">
        <f>Calc!H18</f>
        <v/>
      </c>
      <c r="I1485">
        <f>IF(Skills!T18&lt;&gt;"",1+(Skills!T18/10)*($Z$3/1000)/100,1)</f>
        <v/>
      </c>
      <c r="J1485" t="inlineStr"/>
      <c r="K1485" t="inlineStr"/>
      <c r="L1485" t="inlineStr"/>
      <c r="M1485" t="inlineStr"/>
      <c r="N1485" t="inlineStr"/>
      <c r="O1485">
        <f>(1-Summary!$B$11)*S1485+Summary!$B$11*U1485</f>
        <v/>
      </c>
      <c r="P1485">
        <f>IF(B1510=0,0,O1485/B1510)</f>
        <v/>
      </c>
      <c r="Q1485">
        <f>IFERROR(1/(IF(Inputs!$B$39="pvp",15,MAX(0.1,Skills!D18-IF(Skills!E18=TRUE,Inputs!$B$33,0)))*(1-IF(AND(ArtifactsInput!$M$27,Inputs!$B$4="Chapter Hunt"),CHOOSE(ArtifactsInput!$N$27+1,20,24,28,32,36,40),0)/100)),0)</f>
        <v/>
      </c>
      <c r="R1485" t="n">
        <v>0</v>
      </c>
      <c r="S1485" t="n">
        <v>0</v>
      </c>
      <c r="U1485" t="n">
        <v>0</v>
      </c>
    </row>
    <row r="1486">
      <c r="A1486">
        <f>Skills!A19</f>
        <v/>
      </c>
      <c r="B1486">
        <f>Skills!B19</f>
        <v/>
      </c>
      <c r="C1486">
        <f>Inputs!$B$3&gt;=110</f>
        <v/>
      </c>
      <c r="D1486">
        <f>IF(Skills!C19=1,60+Inputs!$B$26+Inputs!$B$30,IF(Skills!C19=2,90+Inputs!$B$27+Inputs!$B$30,IF(Skills!C19=3,120+Inputs!$B$28+Inputs!$B$30,MAX(0,(Inputs!$B$3-100)*3)+Inputs!$B$29+Inputs!$B$30)))</f>
        <v/>
      </c>
      <c r="E1486">
        <f>INDEX(FactorTable!$B$2:$Y$301, MATCH(ROUND(MIN(300,MAX(1,D1486)),0), FactorTable!$A$2:$A$301,0), Skills!L19+1)</f>
        <v/>
      </c>
      <c r="F1486">
        <f>(Skills!K19/10)*(E1486/1000)*64/45+Skills!N19</f>
        <v/>
      </c>
      <c r="G1486">
        <f>Calc!G19</f>
        <v/>
      </c>
      <c r="H1486">
        <f>Calc!H19</f>
        <v/>
      </c>
      <c r="I1486">
        <f>IF(Skills!T19&lt;&gt;"",1+(Skills!T19/10)*($Z$3/1000)/100,1)</f>
        <v/>
      </c>
      <c r="J1486" t="inlineStr"/>
      <c r="K1486" t="inlineStr"/>
      <c r="L1486" t="inlineStr"/>
      <c r="M1486" t="inlineStr"/>
      <c r="N1486" t="inlineStr"/>
      <c r="O1486">
        <f>(1-Summary!$B$11)*S1486+Summary!$B$11*U1486</f>
        <v/>
      </c>
      <c r="P1486">
        <f>IF(B1510=0,0,O1486/B1510)</f>
        <v/>
      </c>
      <c r="Q1486">
        <f>IFERROR(1/(IF(Inputs!$B$39="pvp",15,MAX(0.1,Skills!D19-IF(Skills!E19=TRUE,Inputs!$B$33,0)))*(1-IF(AND(ArtifactsInput!$M$27,Inputs!$B$4="Chapter Hunt"),CHOOSE(ArtifactsInput!$N$27+1,20,24,28,32,36,40),0)/100)),0)</f>
        <v/>
      </c>
      <c r="R1486">
        <f>IF(AND(Inputs!$B$39&lt;&gt;"pvp",Inputs!$B$44&gt;0),IF(Inputs!$B$44&lt;=0,0,(INT(Inputs!$B$44/(IF(Inputs!$B$39="pvp",15,MAX(0.1,Skills!D19-IF(Skills!E19=TRUE,Inputs!$B$33,0)))*(1-IF(AND(ArtifactsInput!$M$27,Inputs!$B$4="Chapter Hunt"),CHOOSE(ArtifactsInput!$N$27+1,20,24,28,32,36,40),0)/100)))+1)),0)</f>
        <v/>
      </c>
      <c r="S1486" t="n">
        <v>0</v>
      </c>
      <c r="U1486" t="n">
        <v>0</v>
      </c>
    </row>
    <row r="1487">
      <c r="A1487">
        <f>Skills!A20</f>
        <v/>
      </c>
      <c r="B1487">
        <f>Skills!B20</f>
        <v/>
      </c>
      <c r="C1487">
        <f>Inputs!$B$3&gt;=125</f>
        <v/>
      </c>
      <c r="D1487">
        <f>IF(Skills!C20=1,60+Inputs!$B$26+Inputs!$B$30,IF(Skills!C20=2,90+Inputs!$B$27+Inputs!$B$30,IF(Skills!C20=3,120+Inputs!$B$28+Inputs!$B$30,MAX(0,(Inputs!$B$3-100)*3)+Inputs!$B$29+Inputs!$B$30)))</f>
        <v/>
      </c>
      <c r="E1487">
        <f>INDEX(FactorTable!$B$2:$Y$301, MATCH(ROUND(MIN(300,MAX(1,D1487)),0), FactorTable!$A$2:$A$301,0), Skills!L20+1)</f>
        <v/>
      </c>
      <c r="F1487">
        <f>IF(Skills!M20=TRUE,(Skills!K20/10)*(E1487/1000),Skills!K20/10)+Skills!N20</f>
        <v/>
      </c>
      <c r="G1487">
        <f>Calc!G20</f>
        <v/>
      </c>
      <c r="H1487">
        <f>Calc!H20</f>
        <v/>
      </c>
      <c r="I1487">
        <f>IF(Skills!T20&lt;&gt;"",1+(Skills!T20/10)*($Z$3/1000)/100,1)</f>
        <v/>
      </c>
      <c r="J1487" t="inlineStr"/>
      <c r="K1487" t="inlineStr"/>
      <c r="L1487" t="inlineStr"/>
      <c r="M1487" t="inlineStr"/>
      <c r="N1487" t="inlineStr"/>
      <c r="O1487">
        <f>(1-Summary!$B$11)*S1487+Summary!$B$11*U1487</f>
        <v/>
      </c>
      <c r="P1487">
        <f>IF(B1510=0,0,O1487/B1510)</f>
        <v/>
      </c>
      <c r="Q1487">
        <f>IFERROR(1/(IF(Inputs!$B$39="pvp",15,MAX(0.1,Skills!D20-IF(Skills!E20=TRUE,Inputs!$B$33,0)))*(1-IF(AND(ArtifactsInput!$M$27,Inputs!$B$4="Chapter Hunt"),CHOOSE(ArtifactsInput!$N$27+1,20,24,28,32,36,40),0)/100)),0)</f>
        <v/>
      </c>
      <c r="R1487" t="n">
        <v>0</v>
      </c>
      <c r="S1487" t="n">
        <v>0</v>
      </c>
      <c r="U1487" t="n">
        <v>0</v>
      </c>
    </row>
    <row r="1488">
      <c r="A1488">
        <f>Skills!A21</f>
        <v/>
      </c>
      <c r="B1488">
        <f>Skills!B21</f>
        <v/>
      </c>
      <c r="C1488">
        <f>Inputs!$B$3&gt;=33</f>
        <v/>
      </c>
      <c r="D1488">
        <f>IF(Skills!C21=1,60+Inputs!$B$26+Inputs!$B$30,IF(Skills!C21=2,90+Inputs!$B$27+Inputs!$B$30,IF(Skills!C21=3,120+Inputs!$B$28+Inputs!$B$30,MAX(0,(Inputs!$B$3-100)*3)+Inputs!$B$29+Inputs!$B$30)))</f>
        <v/>
      </c>
      <c r="E1488">
        <f>INDEX(FactorTable!$B$2:$Y$301, MATCH(ROUND(MIN(300,MAX(1,D1488)),0), FactorTable!$A$2:$A$301,0), Skills!L21+1)</f>
        <v/>
      </c>
      <c r="F1488">
        <f>IF(Skills!M21=TRUE,(Skills!K21/10)*(E1488/1000),Skills!K21/10)+Skills!N21</f>
        <v/>
      </c>
      <c r="G1488">
        <f>Calc!G21</f>
        <v/>
      </c>
      <c r="H1488">
        <f>Calc!H21</f>
        <v/>
      </c>
      <c r="I1488">
        <f>IF(Skills!T21&lt;&gt;"",1+(Skills!T21/10)*($Z$3/1000)/100,1)</f>
        <v/>
      </c>
      <c r="J1488" t="inlineStr"/>
      <c r="K1488" t="inlineStr"/>
      <c r="L1488" t="inlineStr"/>
      <c r="M1488" t="inlineStr"/>
      <c r="N1488" t="inlineStr"/>
      <c r="O1488">
        <f>(1-Summary!$B$11)*S1488+Summary!$B$11*U1488</f>
        <v/>
      </c>
      <c r="P1488">
        <f>IF(B1510=0,0,O1488/B1510)</f>
        <v/>
      </c>
      <c r="Q1488">
        <f>IFERROR(1/(IF(Inputs!$B$39="pvp",15,MAX(0.1,Skills!D21-IF(Skills!E21=TRUE,Inputs!$B$33,0)))*(1-IF(AND(ArtifactsInput!$M$27,Inputs!$B$4="Chapter Hunt"),CHOOSE(ArtifactsInput!$N$27+1,20,24,28,32,36,40),0)/100)),0)</f>
        <v/>
      </c>
      <c r="R1488" t="n">
        <v>0</v>
      </c>
      <c r="S1488" t="n">
        <v>0</v>
      </c>
      <c r="U1488" t="n">
        <v>0</v>
      </c>
    </row>
    <row r="1489">
      <c r="A1489">
        <f>Skills!A22</f>
        <v/>
      </c>
      <c r="B1489">
        <f>Skills!B22</f>
        <v/>
      </c>
      <c r="C1489">
        <f>Inputs!$B$3&gt;=43</f>
        <v/>
      </c>
      <c r="D1489">
        <f>IF(Skills!C22=1,60+Inputs!$B$26+Inputs!$B$30,IF(Skills!C22=2,90+Inputs!$B$27+Inputs!$B$30,IF(Skills!C22=3,120+Inputs!$B$28+Inputs!$B$30,MAX(0,(Inputs!$B$3-100)*3)+Inputs!$B$29+Inputs!$B$30)))</f>
        <v/>
      </c>
      <c r="E1489">
        <f>INDEX(FactorTable!$B$2:$Y$301, MATCH(ROUND(MIN(300,MAX(1,D1489)),0), FactorTable!$A$2:$A$301,0), Skills!L22+1)</f>
        <v/>
      </c>
      <c r="F1489">
        <f>IF(Skills!M22=TRUE,(Skills!K22/10)*(E1489/1000),Skills!K22/10)+Skills!N22</f>
        <v/>
      </c>
      <c r="G1489">
        <f>Calc!G22</f>
        <v/>
      </c>
      <c r="H1489">
        <f>Calc!H22</f>
        <v/>
      </c>
      <c r="I1489">
        <f>IF(Skills!T22&lt;&gt;"",1+(Skills!T22/10)*($Z$3/1000)/100,1)</f>
        <v/>
      </c>
      <c r="J1489" t="inlineStr"/>
      <c r="K1489" t="inlineStr"/>
      <c r="L1489" t="inlineStr"/>
      <c r="M1489" t="inlineStr"/>
      <c r="N1489" t="inlineStr"/>
      <c r="O1489">
        <f>(1-Summary!$B$11)*S1489+Summary!$B$11*U1489</f>
        <v/>
      </c>
      <c r="P1489">
        <f>IF(B1510=0,0,O1489/B1510)</f>
        <v/>
      </c>
      <c r="Q1489">
        <f>IFERROR(1/(IF(Inputs!$B$39="pvp",15,MAX(0.1,Skills!D22-IF(Skills!E22=TRUE,Inputs!$B$33,0)))*(1-IF(AND(ArtifactsInput!$M$27,Inputs!$B$4="Chapter Hunt"),CHOOSE(ArtifactsInput!$N$27+1,20,24,28,32,36,40),0)/100)),0)</f>
        <v/>
      </c>
      <c r="R1489" t="n">
        <v>0</v>
      </c>
      <c r="S1489" t="n">
        <v>0</v>
      </c>
      <c r="U1489" t="n">
        <v>0</v>
      </c>
    </row>
    <row r="1490">
      <c r="A1490">
        <f>Skills!A23</f>
        <v/>
      </c>
      <c r="B1490">
        <f>Skills!B23</f>
        <v/>
      </c>
      <c r="C1490">
        <f>Inputs!$B$3&gt;=50</f>
        <v/>
      </c>
      <c r="D1490">
        <f>IF(Skills!C23=1,60+Inputs!$B$26+Inputs!$B$30,IF(Skills!C23=2,90+Inputs!$B$27+Inputs!$B$30,IF(Skills!C23=3,120+Inputs!$B$28+Inputs!$B$30,MAX(0,(Inputs!$B$3-100)*3)+Inputs!$B$29+Inputs!$B$30)))</f>
        <v/>
      </c>
      <c r="E1490">
        <f>INDEX(FactorTable!$B$2:$Y$301, MATCH(ROUND(MIN(300,MAX(1,D1490)),0), FactorTable!$A$2:$A$301,0), Skills!L23+1)</f>
        <v/>
      </c>
      <c r="F1490">
        <f>IF(Skills!M23=TRUE,(Skills!K23/10)*(E1490/1000),Skills!K23/10)+Skills!N23</f>
        <v/>
      </c>
      <c r="G1490">
        <f>Calc!G23</f>
        <v/>
      </c>
      <c r="H1490">
        <f>Calc!H23</f>
        <v/>
      </c>
      <c r="I1490">
        <f>IF(Skills!T23&lt;&gt;"",1+(Skills!T23/10)*($Z$3/1000)/100,1)</f>
        <v/>
      </c>
      <c r="J1490" t="inlineStr"/>
      <c r="K1490" t="inlineStr"/>
      <c r="L1490" t="inlineStr"/>
      <c r="M1490" t="inlineStr"/>
      <c r="N1490" t="inlineStr"/>
      <c r="O1490">
        <f>(1-Summary!$B$11)*S1490+Summary!$B$11*U1490</f>
        <v/>
      </c>
      <c r="P1490">
        <f>IF(B1510=0,0,O1490/B1510)</f>
        <v/>
      </c>
      <c r="Q1490">
        <f>IFERROR(1/(IF(Inputs!$B$39="pvp",15,MAX(0.1,Skills!D23-IF(Skills!E23=TRUE,Inputs!$B$33,0)))*(1-IF(AND(ArtifactsInput!$M$27,Inputs!$B$4="Chapter Hunt"),CHOOSE(ArtifactsInput!$N$27+1,20,24,28,32,36,40),0)/100)),0)</f>
        <v/>
      </c>
      <c r="R1490" t="n">
        <v>0</v>
      </c>
      <c r="S1490" t="n">
        <v>0</v>
      </c>
      <c r="U1490" t="n">
        <v>0</v>
      </c>
    </row>
    <row r="1491">
      <c r="A1491">
        <f>Skills!A24</f>
        <v/>
      </c>
      <c r="B1491">
        <f>Skills!B24</f>
        <v/>
      </c>
      <c r="C1491">
        <f>Inputs!$B$3&gt;=74</f>
        <v/>
      </c>
      <c r="D1491">
        <f>IF(Skills!C24=1,60+Inputs!$B$26+Inputs!$B$30,IF(Skills!C24=2,90+Inputs!$B$27+Inputs!$B$30,IF(Skills!C24=3,120+Inputs!$B$28+Inputs!$B$30,MAX(0,(Inputs!$B$3-100)*3)+Inputs!$B$29+Inputs!$B$30)))</f>
        <v/>
      </c>
      <c r="E1491">
        <f>INDEX(FactorTable!$B$2:$Y$301, MATCH(ROUND(MIN(300,MAX(1,D1491)),0), FactorTable!$A$2:$A$301,0), Skills!L24+1)</f>
        <v/>
      </c>
      <c r="F1491">
        <f>IF(Skills!M24=TRUE,(Skills!K24/10)*(E1491/1000),Skills!K24/10)+Skills!N24</f>
        <v/>
      </c>
      <c r="G1491">
        <f>Calc!G24</f>
        <v/>
      </c>
      <c r="H1491">
        <f>Calc!H24</f>
        <v/>
      </c>
      <c r="I1491">
        <f>IF(Skills!T24&lt;&gt;"",1+(Skills!T24/10)*($Z$3/1000)/100,1)</f>
        <v/>
      </c>
      <c r="J1491" t="inlineStr"/>
      <c r="K1491" t="inlineStr"/>
      <c r="L1491" t="inlineStr"/>
      <c r="M1491" t="inlineStr"/>
      <c r="N1491" t="inlineStr"/>
      <c r="O1491">
        <f>(1-Summary!$B$11)*S1491+Summary!$B$11*U1491</f>
        <v/>
      </c>
      <c r="P1491">
        <f>IF(B1510=0,0,O1491/B1510)</f>
        <v/>
      </c>
      <c r="Q1491">
        <f>IFERROR(1/(IF(Inputs!$B$39="pvp",15,MAX(0.1,Skills!D24-IF(Skills!E24=TRUE,Inputs!$B$33,0)))*(1-IF(AND(ArtifactsInput!$M$27,Inputs!$B$4="Chapter Hunt"),CHOOSE(ArtifactsInput!$N$27+1,20,24,28,32,36,40),0)/100)),0)</f>
        <v/>
      </c>
      <c r="R1491" t="n">
        <v>0</v>
      </c>
      <c r="S1491" t="n">
        <v>0</v>
      </c>
      <c r="U1491" t="n">
        <v>0</v>
      </c>
    </row>
    <row r="1492">
      <c r="A1492">
        <f>Skills!A25</f>
        <v/>
      </c>
      <c r="B1492">
        <f>Skills!B25</f>
        <v/>
      </c>
      <c r="C1492">
        <f>Inputs!$B$3&gt;=74</f>
        <v/>
      </c>
      <c r="D1492">
        <f>IF(Skills!C25=1,60+Inputs!$B$26+Inputs!$B$30,IF(Skills!C25=2,90+Inputs!$B$27+Inputs!$B$30,IF(Skills!C25=3,120+Inputs!$B$28+Inputs!$B$30,MAX(0,(Inputs!$B$3-100)*3)+Inputs!$B$29+Inputs!$B$30)))</f>
        <v/>
      </c>
      <c r="E1492">
        <f>INDEX(FactorTable!$B$2:$Y$301, MATCH(ROUND(MIN(300,MAX(1,D1492)),0), FactorTable!$A$2:$A$301,0), Skills!L25+1)</f>
        <v/>
      </c>
      <c r="F1492">
        <f>IF(Skills!M25=TRUE,(Skills!K25/10)*(E1492/1000),Skills!K25/10)+Skills!N25</f>
        <v/>
      </c>
      <c r="G1492">
        <f>Calc!G25</f>
        <v/>
      </c>
      <c r="H1492">
        <f>Calc!H25</f>
        <v/>
      </c>
      <c r="I1492">
        <f>IF(Skills!T25&lt;&gt;"",1+(Skills!T25/10)*($Z$3/1000)/100,1)</f>
        <v/>
      </c>
      <c r="J1492" t="inlineStr"/>
      <c r="K1492" t="inlineStr"/>
      <c r="L1492" t="inlineStr"/>
      <c r="M1492" t="inlineStr"/>
      <c r="N1492" t="inlineStr"/>
      <c r="O1492">
        <f>(1-Summary!$B$11)*S1492+Summary!$B$11*U1492</f>
        <v/>
      </c>
      <c r="P1492">
        <f>IF(B1510=0,0,O1492/B1510)</f>
        <v/>
      </c>
      <c r="Q1492">
        <f>IFERROR(1/(IF(Inputs!$B$39="pvp",15,MAX(0.1,Skills!D25-IF(Skills!E25=TRUE,Inputs!$B$33,0)))*(1-IF(AND(ArtifactsInput!$M$27,Inputs!$B$4="Chapter Hunt"),CHOOSE(ArtifactsInput!$N$27+1,20,24,28,32,36,40),0)/100)),0)</f>
        <v/>
      </c>
      <c r="R1492" t="n">
        <v>0</v>
      </c>
      <c r="S1492" t="n">
        <v>0</v>
      </c>
      <c r="U1492" t="n">
        <v>0</v>
      </c>
    </row>
    <row r="1493">
      <c r="A1493">
        <f>Skills!A26</f>
        <v/>
      </c>
      <c r="B1493">
        <f>Skills!B26</f>
        <v/>
      </c>
      <c r="C1493">
        <f>Inputs!$B$3&gt;=117</f>
        <v/>
      </c>
      <c r="D1493">
        <f>IF(Skills!C26=1,60+Inputs!$B$26+Inputs!$B$30,IF(Skills!C26=2,90+Inputs!$B$27+Inputs!$B$30,IF(Skills!C26=3,120+Inputs!$B$28+Inputs!$B$30,MAX(0,(Inputs!$B$3-100)*3)+Inputs!$B$29+Inputs!$B$30)))</f>
        <v/>
      </c>
      <c r="E1493">
        <f>INDEX(FactorTable!$B$2:$Y$301, MATCH(ROUND(MIN(300,MAX(1,D1493)),0), FactorTable!$A$2:$A$301,0), Skills!L26+1)</f>
        <v/>
      </c>
      <c r="F1493">
        <f>IF(Skills!M26=TRUE,(Skills!K26/10)*(E1493/1000),Skills!K26/10)+Skills!N26</f>
        <v/>
      </c>
      <c r="G1493">
        <f>Calc!G26</f>
        <v/>
      </c>
      <c r="H1493">
        <f>Calc!H26</f>
        <v/>
      </c>
      <c r="I1493">
        <f>IF(Skills!T26&lt;&gt;"",1+(Skills!T26/10)*($Z$3/1000)/100,1)</f>
        <v/>
      </c>
      <c r="J1493" t="inlineStr"/>
      <c r="K1493" t="inlineStr"/>
      <c r="L1493" t="inlineStr"/>
      <c r="M1493" t="inlineStr"/>
      <c r="N1493" t="inlineStr"/>
      <c r="O1493">
        <f>(1-Summary!$B$11)*S1493+Summary!$B$11*U1493</f>
        <v/>
      </c>
      <c r="P1493">
        <f>IF(B1510=0,0,O1493/B1510)</f>
        <v/>
      </c>
      <c r="Q1493">
        <f>IFERROR(1/(IF(Inputs!$B$39="pvp",15,MAX(0.1,Skills!D26-IF(Skills!E26=TRUE,Inputs!$B$33,0)))*(1-IF(AND(ArtifactsInput!$M$27,Inputs!$B$4="Chapter Hunt"),CHOOSE(ArtifactsInput!$N$27+1,20,24,28,32,36,40),0)/100)),0)</f>
        <v/>
      </c>
      <c r="R1493" t="n">
        <v>0</v>
      </c>
      <c r="S1493" t="n">
        <v>0</v>
      </c>
      <c r="U1493" t="n">
        <v>0</v>
      </c>
    </row>
    <row r="1494">
      <c r="A1494">
        <f>Skills!A27</f>
        <v/>
      </c>
      <c r="B1494">
        <f>Skills!B27</f>
        <v/>
      </c>
      <c r="C1494">
        <f>Inputs!$B$3&gt;=120</f>
        <v/>
      </c>
      <c r="D1494">
        <f>IF(Skills!C27=1,60+Inputs!$B$26+Inputs!$B$30,IF(Skills!C27=2,90+Inputs!$B$27+Inputs!$B$30,IF(Skills!C27=3,120+Inputs!$B$28+Inputs!$B$30,MAX(0,(Inputs!$B$3-100)*3)+Inputs!$B$29+Inputs!$B$30)))</f>
        <v/>
      </c>
      <c r="E1494">
        <f>INDEX(FactorTable!$B$2:$Y$301, MATCH(ROUND(MIN(300,MAX(1,D1494)),0), FactorTable!$A$2:$A$301,0), Skills!L27+1)</f>
        <v/>
      </c>
      <c r="F1494">
        <f>IF(Skills!M27=TRUE,(Skills!K27/10)*(E1494/1000),Skills!K27/10)+Skills!N27</f>
        <v/>
      </c>
      <c r="G1494">
        <f>Calc!G27</f>
        <v/>
      </c>
      <c r="H1494">
        <f>Calc!H27</f>
        <v/>
      </c>
      <c r="I1494">
        <f>IF(Skills!T27&lt;&gt;"",1+(Skills!T27/10)*($Z$3/1000)/100,1)</f>
        <v/>
      </c>
      <c r="J1494" t="inlineStr"/>
      <c r="K1494" t="inlineStr"/>
      <c r="L1494" t="inlineStr"/>
      <c r="M1494" t="inlineStr"/>
      <c r="N1494" t="inlineStr"/>
      <c r="O1494">
        <f>(1-Summary!$B$11)*S1494+Summary!$B$11*U1494</f>
        <v/>
      </c>
      <c r="P1494">
        <f>IF(B1510=0,0,O1494/B1510)</f>
        <v/>
      </c>
      <c r="Q1494">
        <f>IFERROR(1/(IF(Inputs!$B$39="pvp",15,MAX(0.1,Skills!D27-IF(Skills!E27=TRUE,Inputs!$B$33,0)))*(1-IF(AND(ArtifactsInput!$M$27,Inputs!$B$4="Chapter Hunt"),CHOOSE(ArtifactsInput!$N$27+1,20,24,28,32,36,40),0)/100)),0)</f>
        <v/>
      </c>
      <c r="R1494" t="n">
        <v>0</v>
      </c>
      <c r="S1494" t="n">
        <v>0</v>
      </c>
      <c r="U1494" t="n">
        <v>0</v>
      </c>
    </row>
    <row r="1495">
      <c r="A1495">
        <f>Skills!A28</f>
        <v/>
      </c>
      <c r="B1495">
        <f>Skills!B28</f>
        <v/>
      </c>
      <c r="C1495">
        <f>TRUE</f>
        <v/>
      </c>
      <c r="D1495">
        <f>IF(Skills!C28=1,60+Inputs!$B$26+Inputs!$B$30,IF(Skills!C28=2,90+Inputs!$B$27+Inputs!$B$30,IF(Skills!C28=3,120+Inputs!$B$28+Inputs!$B$30,MAX(0,(Inputs!$B$3-100)*3)+Inputs!$B$29+Inputs!$B$30)))</f>
        <v/>
      </c>
      <c r="E1495">
        <f>INDEX(FactorTable!$B$2:$Y$301, MATCH(ROUND(MIN(300,MAX(1,D1495)),0), FactorTable!$A$2:$A$301,0), Skills!L28+1)</f>
        <v/>
      </c>
      <c r="F1495">
        <f>IF(Skills!M28=TRUE,(Skills!K28/10)*(E1495/1000),Skills!K28/10)+Skills!N28</f>
        <v/>
      </c>
      <c r="G1495">
        <f>Calc!G28</f>
        <v/>
      </c>
      <c r="H1495">
        <f>Calc!H28</f>
        <v/>
      </c>
      <c r="I1495">
        <f>IF(Skills!T28&lt;&gt;"",1+(Skills!T28/10)*($Z$3/1000)/100,1)</f>
        <v/>
      </c>
      <c r="J1495" t="inlineStr"/>
      <c r="K1495" t="inlineStr"/>
      <c r="L1495" t="inlineStr"/>
      <c r="M1495" t="inlineStr"/>
      <c r="N1495" t="inlineStr"/>
      <c r="O1495">
        <f>(1-Summary!$B$11)*S1495+Summary!$B$11*U1495</f>
        <v/>
      </c>
      <c r="P1495">
        <f>IF(B1510=0,0,O1495/B1510)</f>
        <v/>
      </c>
      <c r="Q1495">
        <f>IFERROR(1/(IF(Inputs!$B$39="pvp",15,MAX(0.1,Skills!D28-IF(Skills!E28=TRUE,Inputs!$B$33,0)))*(1-IF(AND(ArtifactsInput!$M$27,Inputs!$B$4="Chapter Hunt"),CHOOSE(ArtifactsInput!$N$27+1,20,24,28,32,36,40),0)/100)),0)</f>
        <v/>
      </c>
      <c r="R1495">
        <f>IF(AND(Inputs!$B$39&lt;&gt;"pvp",Inputs!$B$44&gt;0),IF(Inputs!$B$44&lt;=0,0,(INT(Inputs!$B$44/(IF(Inputs!$B$39="pvp",15,MAX(0.1,Skills!D28-IF(Skills!E28=TRUE,Inputs!$B$33,0)))*(1-IF(AND(ArtifactsInput!$M$27,Inputs!$B$4="Chapter Hunt"),CHOOSE(ArtifactsInput!$N$27+1,20,24,28,32,36,40),0)/100)))+1)),0)</f>
        <v/>
      </c>
      <c r="S1495" t="n">
        <v>0</v>
      </c>
      <c r="U1495" t="n">
        <v>0</v>
      </c>
    </row>
    <row r="1497">
      <c r="A1497" t="inlineStr">
        <is>
          <t>Average Buff Multiplier</t>
        </is>
      </c>
      <c r="B1497">
        <f>(1+(IF(C1470=TRUE,F1470*IF(AND(Inputs!$B$39&lt;&gt;"pvp",Inputs!$B$44&gt;0),(((R1470-1)*(Skills!S3*(1+((Inputs!$B$35+(ArtifactsInput!$M$7-ArtifactsInput!$M$7)*CHOOSE(ArtifactsInput!$N$7+1,6,7.2,8.4,9.6,10.8,12))+IF(Inputs!$B$3&gt;=117,F1493,0))/100))+MIN((Skills!S3*(1+((Inputs!$B$35+(ArtifactsInput!$M$7-ArtifactsInput!$M$7)*CHOOSE(ArtifactsInput!$N$7+1,6,7.2,8.4,9.6,10.8,12))+IF(Inputs!$B$3&gt;=117,F1493,0))/100)),MAX(0,Inputs!$B$44-((R1470-1)*Skills!D3))))/Inputs!$B$44),IF(Inputs!$B$39="pvp",MIN((Skills!S3*(1+((Inputs!$B$35+(ArtifactsInput!$M$7-ArtifactsInput!$M$7)*CHOOSE(ArtifactsInput!$N$7+1,6,7.2,8.4,9.6,10.8,12))+IF(Inputs!$B$3&gt;=117,F1493,0))/100)),15)/15,(Skills!S3*(1+((Inputs!$B$35+(ArtifactsInput!$M$7-ArtifactsInput!$M$7)*CHOOSE(ArtifactsInput!$N$7+1,6,7.2,8.4,9.6,10.8,12))+IF(Inputs!$B$3&gt;=117,F1493,0))/100))/Skills!D3)),0)+IF(C1471=TRUE,F1471*IF(AND(Inputs!$B$39&lt;&gt;"pvp",Inputs!$B$44&gt;0),(((R1471-1)*(Skills!S4*(1+((Inputs!$B$35+(ArtifactsInput!$M$7-ArtifactsInput!$M$7)*CHOOSE(ArtifactsInput!$N$7+1,6,7.2,8.4,9.6,10.8,12))+IF(Inputs!$B$3&gt;=117,F1493,0))/100))+MIN((Skills!S4*(1+((Inputs!$B$35+(ArtifactsInput!$M$7-ArtifactsInput!$M$7)*CHOOSE(ArtifactsInput!$N$7+1,6,7.2,8.4,9.6,10.8,12))+IF(Inputs!$B$3&gt;=117,F1493,0))/100)),MAX(0,Inputs!$B$44-((R1471-1)*Skills!D4))))/Inputs!$B$44),IF(Inputs!$B$39="pvp",MIN((Skills!S4*(1+((Inputs!$B$35+(ArtifactsInput!$M$7-ArtifactsInput!$M$7)*CHOOSE(ArtifactsInput!$N$7+1,6,7.2,8.4,9.6,10.8,12))+IF(Inputs!$B$3&gt;=117,F1493,0))/100)),15)/15,(Skills!S4*(1+((Inputs!$B$35+(ArtifactsInput!$M$7-ArtifactsInput!$M$7)*CHOOSE(ArtifactsInput!$N$7+1,6,7.2,8.4,9.6,10.8,12))+IF(Inputs!$B$3&gt;=117,F1493,0))/100))/Skills!D4)),0)+IF(C1472=TRUE,F1472*IF(AND(Inputs!$B$39&lt;&gt;"pvp",Inputs!$B$44&gt;0),(((R1472-1)*(Skills!S5*(1+((Inputs!$B$35+(ArtifactsInput!$M$7-ArtifactsInput!$M$7)*CHOOSE(ArtifactsInput!$N$7+1,6,7.2,8.4,9.6,10.8,12))+IF(Inputs!$B$3&gt;=117,F1493,0))/100))+MIN((Skills!S5*(1+((Inputs!$B$35+(ArtifactsInput!$M$7-ArtifactsInput!$M$7)*CHOOSE(ArtifactsInput!$N$7+1,6,7.2,8.4,9.6,10.8,12))+IF(Inputs!$B$3&gt;=117,F1493,0))/100)),MAX(0,Inputs!$B$44-((R1472-1)*Skills!D5))))/Inputs!$B$44),IF(Inputs!$B$39="pvp",MIN((Skills!S5*(1+((Inputs!$B$35+(ArtifactsInput!$M$7-ArtifactsInput!$M$7)*CHOOSE(ArtifactsInput!$N$7+1,6,7.2,8.4,9.6,10.8,12))+IF(Inputs!$B$3&gt;=117,F1493,0))/100)),15)/15,(Skills!S5*(1+((Inputs!$B$35+(ArtifactsInput!$M$7-ArtifactsInput!$M$7)*CHOOSE(ArtifactsInput!$N$7+1,6,7.2,8.4,9.6,10.8,12))+IF(Inputs!$B$3&gt;=117,F1493,0))/100))/Skills!D5)),0)+IF(C1478=TRUE,F1478*IF(AND(Inputs!$B$39&lt;&gt;"pvp",Inputs!$B$44&gt;0),(((R1478-1)*(Skills!S11*(1+((Inputs!$B$35+(ArtifactsInput!$M$7-ArtifactsInput!$M$7)*CHOOSE(ArtifactsInput!$N$7+1,6,7.2,8.4,9.6,10.8,12))+IF(Inputs!$B$3&gt;=117,F1493,0))/100))+MIN((Skills!S11*(1+((Inputs!$B$35+(ArtifactsInput!$M$7-ArtifactsInput!$M$7)*CHOOSE(ArtifactsInput!$N$7+1,6,7.2,8.4,9.6,10.8,12))+IF(Inputs!$B$3&gt;=117,F1493,0))/100)),MAX(0,Inputs!$B$44-((R1478-1)*Skills!D11))))/Inputs!$B$44),IF(Inputs!$B$39="pvp",MIN((Skills!S11*(1+((Inputs!$B$35+(ArtifactsInput!$M$7-ArtifactsInput!$M$7)*CHOOSE(ArtifactsInput!$N$7+1,6,7.2,8.4,9.6,10.8,12))+IF(Inputs!$B$3&gt;=117,F1493,0))/100)),15)/15,(Skills!S11*(1+((Inputs!$B$35+(ArtifactsInput!$M$7-ArtifactsInput!$M$7)*CHOOSE(ArtifactsInput!$N$7+1,6,7.2,8.4,9.6,10.8,12))+IF(Inputs!$B$3&gt;=117,F1493,0)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1481=TRUE,(1+F1481*IF(AND(Inputs!$B$39&lt;&gt;"pvp",Inputs!$B$44&gt;0),(((R1481-1)*(Skills!S14*(1+((Inputs!$B$35+(ArtifactsInput!$M$7-ArtifactsInput!$M$7)*CHOOSE(ArtifactsInput!$N$7+1,6,7.2,8.4,9.6,10.8,12))+IF(Inputs!$B$3&gt;=117,F1493,0))/100))+MIN((Skills!S14*(1+((Inputs!$B$35+(ArtifactsInput!$M$7-ArtifactsInput!$M$7)*CHOOSE(ArtifactsInput!$N$7+1,6,7.2,8.4,9.6,10.8,12))+IF(Inputs!$B$3&gt;=117,F1493,0))/100)),MAX(0,Inputs!$B$44-((R1481-1)*Skills!D14))))/Inputs!$B$44),IF(Inputs!$B$39="pvp",MIN((Skills!S14*(1+((Inputs!$B$35+(ArtifactsInput!$M$7-ArtifactsInput!$M$7)*CHOOSE(ArtifactsInput!$N$7+1,6,7.2,8.4,9.6,10.8,12))+IF(Inputs!$B$3&gt;=117,F1493,0))/100)),15)/15,(Skills!S14*(1+((Inputs!$B$35+(ArtifactsInput!$M$7-ArtifactsInput!$M$7)*CHOOSE(ArtifactsInput!$N$7+1,6,7.2,8.4,9.6,10.8,12))+IF(Inputs!$B$3&gt;=117,F1493,0))/100))/Skills!D14))/100),1)*IF(C1486=TRUE,(1+F1486*IF(AND(Inputs!$B$39&lt;&gt;"pvp",Inputs!$B$44&gt;0),(((R1486-1)*(Skills!S19*(1+((Inputs!$B$35+(ArtifactsInput!$M$7-ArtifactsInput!$M$7)*CHOOSE(ArtifactsInput!$N$7+1,6,7.2,8.4,9.6,10.8,12))+IF(Inputs!$B$3&gt;=117,F1493,0))/100))+MIN((Skills!S19*(1+((Inputs!$B$35+(ArtifactsInput!$M$7-ArtifactsInput!$M$7)*CHOOSE(ArtifactsInput!$N$7+1,6,7.2,8.4,9.6,10.8,12))+IF(Inputs!$B$3&gt;=117,F1493,0))/100)),MAX(0,Inputs!$B$44-((R1486-1)*Skills!D19))))/Inputs!$B$44),IF(Inputs!$B$39="pvp",MIN((Skills!S19*(1+((Inputs!$B$35+(ArtifactsInput!$M$7-ArtifactsInput!$M$7)*CHOOSE(ArtifactsInput!$N$7+1,6,7.2,8.4,9.6,10.8,12))+IF(Inputs!$B$3&gt;=117,F1493,0))/100)),15)/15,(Skills!S19*(1+((Inputs!$B$35+(ArtifactsInput!$M$7-ArtifactsInput!$M$7)*CHOOSE(ArtifactsInput!$N$7+1,6,7.2,8.4,9.6,10.8,12))+IF(Inputs!$B$3&gt;=117,F1493,0))/100))/Skills!D19))/100),1)</f>
        <v/>
      </c>
    </row>
    <row r="1498">
      <c r="A1498" t="inlineStr">
        <is>
          <t>Monster Damage Taken Bonus % (Holy Fountain)</t>
        </is>
      </c>
      <c r="B1498">
        <f>IF(Inputs!$B$3&gt;=68,20*IF(Inputs!$B$39="pvp",MIN((15*(1+((Inputs!$B$35+(ArtifactsInput!$M$7-ArtifactsInput!$M$7)*CHOOSE(ArtifactsInput!$N$7+1,6,7.2,8.4,9.6,10.8,12))+IF(Inputs!$B$3&gt;=117,F1493,0))/100)),15)/15,(15*(1+((Inputs!$B$35+(ArtifactsInput!$M$7-ArtifactsInput!$M$7)*CHOOSE(ArtifactsInput!$N$7+1,6,7.2,8.4,9.6,10.8,12))+IF(Inputs!$B$3&gt;=117,F1493,0))/100))/Skills!D10),0)</f>
        <v/>
      </c>
    </row>
    <row r="1499">
      <c r="A1499" t="inlineStr">
        <is>
          <t>Normal Monster Damage Bonus % (Holy Symbol)</t>
        </is>
      </c>
      <c r="B1499">
        <f>IF(C1479=TRUE,F1479*IF(AND(Inputs!$B$39&lt;&gt;"pvp",Inputs!$B$44&gt;0),(((R1479-1)*(Skills!S12*(1+((Inputs!$B$35+(ArtifactsInput!$M$7-ArtifactsInput!$M$7)*CHOOSE(ArtifactsInput!$N$7+1,6,7.2,8.4,9.6,10.8,12))+IF(Inputs!$B$3&gt;=117,F1493,0))/100))+MIN((Skills!S12*(1+((Inputs!$B$35+(ArtifactsInput!$M$7-ArtifactsInput!$M$7)*CHOOSE(ArtifactsInput!$N$7+1,6,7.2,8.4,9.6,10.8,12))+IF(Inputs!$B$3&gt;=117,F1493,0))/100)),MAX(0,Inputs!$B$44-((R1479-1)*Skills!D12))))/Inputs!$B$44),IF(Inputs!$B$39="pvp",MIN((Skills!S12*(1+((Inputs!$B$35+(ArtifactsInput!$M$7-ArtifactsInput!$M$7)*CHOOSE(ArtifactsInput!$N$7+1,6,7.2,8.4,9.6,10.8,12))+IF(Inputs!$B$3&gt;=117,F1493,0))/100)),15)/15,(Skills!S12*(1+((Inputs!$B$35+(ArtifactsInput!$M$7-ArtifactsInput!$M$7)*CHOOSE(ArtifactsInput!$N$7+1,6,7.2,8.4,9.6,10.8,12))+IF(Inputs!$B$3&gt;=117,F1493,0))/100))/Skills!D12)),0)</f>
        <v/>
      </c>
    </row>
    <row r="1500">
      <c r="A1500" t="inlineStr">
        <is>
          <t>Damage % Bonus (Holy Symbol - Damage Boost)</t>
        </is>
      </c>
      <c r="B1500">
        <f>Skills!O12</f>
        <v/>
      </c>
    </row>
    <row r="1501">
      <c r="A1501" t="inlineStr">
        <is>
          <t>Crit Damage % Bonus (Blood of the Divine)</t>
        </is>
      </c>
      <c r="B1501">
        <f>4*IF(C1487=TRUE,F1487,0)</f>
        <v/>
      </c>
    </row>
    <row r="1502">
      <c r="A1502" t="inlineStr">
        <is>
          <t>Attack Speed Bonus %</t>
        </is>
      </c>
      <c r="B1502">
        <f>IF(C1484=TRUE,F1484+(F1488-Calc!F21),0)+IF(Inputs!$B$3&gt;=134,15,0)+((C1495=TRUE)*F1495*IF(AND(Inputs!$B$39&lt;&gt;"pvp",Inputs!$B$44&gt;0),(((R1495-1)*(Skills!S28*(1+((Inputs!$B$35+(ArtifactsInput!$M$7-ArtifactsInput!$M$7)*CHOOSE(ArtifactsInput!$N$7+1,6,7.2,8.4,9.6,10.8,12))+IF(Inputs!$B$3&gt;=117,F1493,0))/100))+MIN((Skills!S28*(1+((Inputs!$B$35+(ArtifactsInput!$M$7-ArtifactsInput!$M$7)*CHOOSE(ArtifactsInput!$N$7+1,6,7.2,8.4,9.6,10.8,12))+IF(Inputs!$B$3&gt;=117,F1493,0))/100)),MAX(0,Inputs!$B$44-((R1495-1)*Skills!D28))))/Inputs!$B$44),IF(Inputs!$B$39="pvp",MIN((Skills!S28*(1+((Inputs!$B$35+(ArtifactsInput!$M$7-ArtifactsInput!$M$7)*CHOOSE(ArtifactsInput!$N$7+1,6,7.2,8.4,9.6,10.8,12))+IF(Inputs!$B$3&gt;=117,F1493,0))/100)),15)/15,(Skills!S28*(1+((Inputs!$B$35+(ArtifactsInput!$M$7-ArtifactsInput!$M$7)*CHOOSE(ArtifactsInput!$N$7+1,6,7.2,8.4,9.6,10.8,12))+IF(Inputs!$B$3&gt;=117,F1493,0))/100))/Skills!D28)))</f>
        <v/>
      </c>
    </row>
    <row r="1503">
      <c r="A1503" t="inlineStr">
        <is>
          <t>Actions Per Second</t>
        </is>
      </c>
      <c r="B1503">
        <f>1+MIN(150,150*(1-(1-Inputs!$B$12/150)*(1-B1502/150)))/100</f>
        <v/>
      </c>
    </row>
    <row r="1504">
      <c r="A1504" t="inlineStr">
        <is>
          <t>Skill + Buff Cast Rate</t>
        </is>
      </c>
      <c r="B1504">
        <f>IF(AND(Inputs!$B$39&lt;&gt;"pvp",Inputs!$B$44&gt;0),SUMPRODUCT((Skills!E2:E28=TRUE)*(C1469:C1495=TRUE)*R1469:R1495)/Inputs!$B$44,SUMPRODUCT((Skills!E2:E28=TRUE)*(C1469:C1495=TRUE)*Q1469:Q1495))</f>
        <v/>
      </c>
    </row>
    <row r="1505">
      <c r="A1505" t="inlineStr">
        <is>
          <t>Big Bang Casts Per Second</t>
        </is>
      </c>
      <c r="B1505">
        <f>MAX(0,B1503-B1504)</f>
        <v/>
      </c>
    </row>
    <row r="1506">
      <c r="A1506" t="inlineStr">
        <is>
          <t>Defense % Bonus (Divine Protection)</t>
        </is>
      </c>
      <c r="B1506">
        <f>IF(C1480=TRUE,F1480*IF(AND(Inputs!$B$39&lt;&gt;"pvp",Inputs!$B$44&gt;0),(((R1480-1)*(Skills!S13*(1+((Inputs!$B$35+(ArtifactsInput!$M$7-ArtifactsInput!$M$7)*CHOOSE(ArtifactsInput!$N$7+1,6,7.2,8.4,9.6,10.8,12))+IF(Inputs!$B$3&gt;=117,F1493,0))/100))+MIN((Skills!S13*(1+((Inputs!$B$35+(ArtifactsInput!$M$7-ArtifactsInput!$M$7)*CHOOSE(ArtifactsInput!$N$7+1,6,7.2,8.4,9.6,10.8,12))+IF(Inputs!$B$3&gt;=117,F1493,0))/100)),MAX(0,Inputs!$B$44-((R1480-1)*Skills!D13))))/Inputs!$B$44),IF(Inputs!$B$39="pvp",MIN((Skills!S13*(1+((Inputs!$B$35+(ArtifactsInput!$M$7-ArtifactsInput!$M$7)*CHOOSE(ArtifactsInput!$N$7+1,6,7.2,8.4,9.6,10.8,12))+IF(Inputs!$B$3&gt;=117,F1493,0))/100)),15)/15,(Skills!S13*(1+((Inputs!$B$35+(ArtifactsInput!$M$7-ArtifactsInput!$M$7)*CHOOSE(ArtifactsInput!$N$7+1,6,7.2,8.4,9.6,10.8,12))+IF(Inputs!$B$3&gt;=117,F1493,0))/100))/Skills!D13)),0)</f>
        <v/>
      </c>
    </row>
    <row r="1507">
      <c r="A1507" t="inlineStr">
        <is>
          <t>Buff-Casting Startup Delay (s, fixed-duration only)</t>
        </is>
      </c>
      <c r="B1507">
        <f>IF(AND(Inputs!$B$39&lt;&gt;"pvp",Inputs!$B$44&gt;0),SUMPRODUCT((Skills!S2:S28&gt;0)*(Skills!E2:E28=TRUE)*(C1469:C1495=TRUE))/B1503,0)</f>
        <v/>
      </c>
    </row>
    <row r="1508">
      <c r="A1508" t="inlineStr">
        <is>
          <t>Boss-Only Total DPS (this block's swept value)</t>
        </is>
      </c>
      <c r="B1508">
        <f>SUM(S1469:S1495)</f>
        <v/>
      </c>
    </row>
    <row r="1509">
      <c r="A1509" t="inlineStr">
        <is>
          <t>Normal-Only Total DPS (this block's swept value)</t>
        </is>
      </c>
      <c r="B1509">
        <f>SUM(U1469:U1495)</f>
        <v/>
      </c>
    </row>
    <row r="1510">
      <c r="A1510" s="6" t="inlineStr">
        <is>
          <t>TOTAL DPS</t>
        </is>
      </c>
      <c r="B1510" s="6">
        <f>SUM(O1469:O1495)</f>
        <v/>
      </c>
    </row>
    <row r="1512">
      <c r="A1512" s="6" t="inlineStr">
        <is>
          <t>Stat: Hexagon Necklace (Equip)</t>
        </is>
      </c>
    </row>
    <row r="1513">
      <c r="A1513" s="5" t="inlineStr">
        <is>
          <t>Key</t>
        </is>
      </c>
      <c r="B1513" s="5" t="inlineStr">
        <is>
          <t>Name</t>
        </is>
      </c>
      <c r="C1513" s="5" t="inlineStr">
        <is>
          <t>Unlocked</t>
        </is>
      </c>
      <c r="D1513" s="5" t="inlineStr">
        <is>
          <t>InputLevel</t>
        </is>
      </c>
      <c r="E1513" s="5" t="inlineStr">
        <is>
          <t>Factor</t>
        </is>
      </c>
      <c r="F1513" s="5" t="inlineStr">
        <is>
          <t>CoefficientPercent</t>
        </is>
      </c>
      <c r="G1513" s="5" t="inlineStr">
        <is>
          <t>EffectiveHits</t>
        </is>
      </c>
      <c r="H1513" s="5" t="inlineStr">
        <is>
          <t>ProcProbability</t>
        </is>
      </c>
      <c r="I1513" s="5" t="inlineStr">
        <is>
          <t>MapleHeroMultiplier</t>
        </is>
      </c>
      <c r="J1513" s="5" t="inlineStr">
        <is>
          <t>BaseDamage</t>
        </is>
      </c>
      <c r="K1513" s="5" t="inlineStr">
        <is>
          <t>BaseHitDamage</t>
        </is>
      </c>
      <c r="L1513" s="5" t="inlineStr">
        <is>
          <t>NonCritAvg</t>
        </is>
      </c>
      <c r="M1513" s="5" t="inlineStr">
        <is>
          <t>CritAvg</t>
        </is>
      </c>
      <c r="N1513" s="5" t="inlineStr">
        <is>
          <t>ExpectedDamage(perHit)</t>
        </is>
      </c>
      <c r="O1513" s="5" t="inlineStr">
        <is>
          <t>DPS</t>
        </is>
      </c>
      <c r="P1513" s="5" t="inlineStr">
        <is>
          <t>% of Total</t>
        </is>
      </c>
      <c r="R1513" t="inlineStr">
        <is>
          <t>helpers</t>
        </is>
      </c>
    </row>
    <row r="1514">
      <c r="A1514">
        <f>Skills!A2</f>
        <v/>
      </c>
      <c r="B1514">
        <f>Skills!B2</f>
        <v/>
      </c>
      <c r="C1514">
        <f>Inputs!$B$3&gt;=100</f>
        <v/>
      </c>
      <c r="D1514" t="inlineStr"/>
      <c r="E1514" t="inlineStr"/>
      <c r="F1514">
        <f>T1516+Skills!N2</f>
        <v/>
      </c>
      <c r="G1514">
        <f>Calc!G2</f>
        <v/>
      </c>
      <c r="H1514">
        <f>Calc!H2</f>
        <v/>
      </c>
      <c r="I1514">
        <f>IF(Skills!T2&lt;&gt;"",1+(Skills!T2/10)*($Z$3/1000)/100,1)</f>
        <v/>
      </c>
      <c r="J1514">
        <f>((Inputs!$B$6*(1+Inputs!$B$7/100))+(((Inputs!$B$13*(1+Inputs!$B$14/100))-(Inputs!$B$13*(1+Inputs!$B$14/100)))+0.25*(Inputs!$B$15-Inputs!$B$15))*(1+Inputs!$B$7/100))*(F1514/100)</f>
        <v/>
      </c>
      <c r="K1514">
        <f>J1514*(1+(((Inputs!$B$13+IF(Inputs!$B$3&gt;=35,(10*INDEX(FactorTable!$B$2:$Y$301,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2="TRIUMPH_FEATHER",IF(C1528=TRUE,F1528,0),0)/100)*(1+IF(C1539=TRUE,F1539,0)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1514)</f>
        <v/>
      </c>
      <c r="L1514">
        <f>K1514*(MIN(Inputs!$B$23+(F1534-Calc!F22),(Inputs!$B$24+IF(ArtifactsInput!$M$15,CHOOSE(ArtifactsInput!$N$15+1,25,30,35,40,45,50)/100*(Inputs!$B$12-Inputs!$B$12),0)))/100+(Inputs!$B$24+IF(ArtifactsInput!$M$15,CHOOSE(ArtifactsInput!$N$15+1,25,30,35,40,45,50)/100*(Inputs!$B$12-Inputs!$B$12),0))/100)/2</f>
        <v/>
      </c>
      <c r="M1514">
        <f>L1514*(1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4">
        <f>L1514*(1-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1514*(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4">
        <f>(1-Summary!$B$11)*S1514+Summary!$B$11*U1514</f>
        <v/>
      </c>
      <c r="P1514">
        <f>IF(B1555=0,0,O1514/B1555)</f>
        <v/>
      </c>
      <c r="Q1514">
        <f>IFERROR(1/(IF(Inputs!$B$39="pvp",15,MAX(0.1,Skills!D2-IF(Skills!E2=TRUE,Inputs!$B$33,0)))*(1-IF(AND(ArtifactsInput!$M$27,Inputs!$B$4="Chapter Hunt"),CHOOSE(ArtifactsInput!$N$27+1,20,24,28,32,36,40),0)/100)),0)</f>
        <v/>
      </c>
      <c r="R1514" t="n">
        <v>0</v>
      </c>
      <c r="S1514">
        <f>IF(C1514,(Skills!F2*N1514*B1550)*IF(Inputs!$B$39="pvp",1,1+(Inputs!$B$21+Skills!O2+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1514*(1-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1514*(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1514*(1-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1514*(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14">
        <f>MAX(0,(Inputs!$B$3-100)*3)+Inputs!$B$29+Inputs!$B$30</f>
        <v/>
      </c>
      <c r="U1514">
        <f>IF(C1514,(Skills!F2*N1514*B1550)*IF(Inputs!$B$39="pvp",1,(1+(Inputs!$B$22+Skills!P2+B1544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5">
      <c r="A1515">
        <f>Skills!A3</f>
        <v/>
      </c>
      <c r="B1515">
        <f>Skills!B3</f>
        <v/>
      </c>
      <c r="C1515">
        <f>Inputs!$B$3&gt;=15</f>
        <v/>
      </c>
      <c r="D1515">
        <f>IF(Skills!C3=1,60+Inputs!$B$26+Inputs!$B$30,IF(Skills!C3=2,90+Inputs!$B$27+Inputs!$B$30,IF(Skills!C3=3,120+Inputs!$B$28+Inputs!$B$30,MAX(0,(Inputs!$B$3-100)*3)+Inputs!$B$29+Inputs!$B$30)))</f>
        <v/>
      </c>
      <c r="E1515">
        <f>INDEX(FactorTable!$B$2:$Y$301, MATCH(ROUND(MIN(300,MAX(1,D1515)),0), FactorTable!$A$2:$A$301,0), Skills!L3+1)</f>
        <v/>
      </c>
      <c r="F1515">
        <f>IF(Skills!M3=TRUE,(Skills!K3/10)*(E1515/1000),Skills!K3/10)+Skills!N3</f>
        <v/>
      </c>
      <c r="G1515">
        <f>Calc!G3</f>
        <v/>
      </c>
      <c r="H1515">
        <f>Calc!H3</f>
        <v/>
      </c>
      <c r="I1515">
        <f>IF(Skills!T3&lt;&gt;"",1+(Skills!T3/10)*($Z$3/1000)/100,1)</f>
        <v/>
      </c>
      <c r="J1515" t="inlineStr"/>
      <c r="K1515" t="inlineStr"/>
      <c r="L1515" t="inlineStr"/>
      <c r="M1515" t="inlineStr"/>
      <c r="N1515" t="inlineStr"/>
      <c r="O1515">
        <f>(1-Summary!$B$11)*S1515+Summary!$B$11*U1515</f>
        <v/>
      </c>
      <c r="P1515">
        <f>IF(B1555=0,0,O1515/B1555)</f>
        <v/>
      </c>
      <c r="Q1515">
        <f>IFERROR(1/(IF(Inputs!$B$39="pvp",15,MAX(0.1,Skills!D3-IF(Skills!E3=TRUE,Inputs!$B$33,0)))*(1-IF(AND(ArtifactsInput!$M$27,Inputs!$B$4="Chapter Hunt"),CHOOSE(ArtifactsInput!$N$27+1,20,24,28,32,36,40),0)/100)),0)</f>
        <v/>
      </c>
      <c r="R1515">
        <f>IF(AND(Inputs!$B$39&lt;&gt;"pvp",Inputs!$B$44&gt;0),IF(Inputs!$B$44&lt;=0,0,(INT(Inputs!$B$44/(IF(Inputs!$B$39="pvp",15,MAX(0.1,Skills!D3-IF(Skills!E3=TRUE,Inputs!$B$33,0)))*(1-IF(AND(ArtifactsInput!$M$27,Inputs!$B$4="Chapter Hunt"),CHOOSE(ArtifactsInput!$N$27+1,20,24,28,32,36,40),0)/100)))+1)),0)</f>
        <v/>
      </c>
      <c r="S1515" t="n">
        <v>0</v>
      </c>
      <c r="T1515">
        <f>INDEX(FactorTable!$B$2:$Y$301, MATCH(ROUND(MIN(300,MAX(1,T1514)),0), FactorTable!$A$2:$A$301,0), 22)</f>
        <v/>
      </c>
      <c r="U1515" t="n">
        <v>0</v>
      </c>
    </row>
    <row r="1516">
      <c r="A1516">
        <f>Skills!A4</f>
        <v/>
      </c>
      <c r="B1516">
        <f>Skills!B4</f>
        <v/>
      </c>
      <c r="C1516">
        <f>Inputs!$B$3&gt;=38</f>
        <v/>
      </c>
      <c r="D1516">
        <f>IF(Skills!C4=1,60+Inputs!$B$26+Inputs!$B$30,IF(Skills!C4=2,90+Inputs!$B$27+Inputs!$B$30,IF(Skills!C4=3,120+Inputs!$B$28+Inputs!$B$30,MAX(0,(Inputs!$B$3-100)*3)+Inputs!$B$29+Inputs!$B$30)))</f>
        <v/>
      </c>
      <c r="E1516">
        <f>INDEX(FactorTable!$B$2:$Y$301, MATCH(ROUND(MIN(300,MAX(1,D1516)),0), FactorTable!$A$2:$A$301,0), Skills!L4+1)</f>
        <v/>
      </c>
      <c r="F1516">
        <f>IF(Skills!M4=TRUE,(Skills!K4/10)*(E1516/1000),Skills!K4/10)+Skills!N4</f>
        <v/>
      </c>
      <c r="G1516">
        <f>Calc!G4</f>
        <v/>
      </c>
      <c r="H1516">
        <f>Calc!H4</f>
        <v/>
      </c>
      <c r="I1516">
        <f>IF(Skills!T4&lt;&gt;"",1+(Skills!T4/10)*($Z$3/1000)/100,1)</f>
        <v/>
      </c>
      <c r="J1516" t="inlineStr"/>
      <c r="K1516" t="inlineStr"/>
      <c r="L1516" t="inlineStr"/>
      <c r="M1516" t="inlineStr"/>
      <c r="N1516" t="inlineStr"/>
      <c r="O1516">
        <f>(1-Summary!$B$11)*S1516+Summary!$B$11*U1516</f>
        <v/>
      </c>
      <c r="P1516">
        <f>IF(B1555=0,0,O1516/B1555)</f>
        <v/>
      </c>
      <c r="Q1516">
        <f>IFERROR(1/(IF(Inputs!$B$39="pvp",15,MAX(0.1,Skills!D4-IF(Skills!E4=TRUE,Inputs!$B$33,0)))*(1-IF(AND(ArtifactsInput!$M$27,Inputs!$B$4="Chapter Hunt"),CHOOSE(ArtifactsInput!$N$27+1,20,24,28,32,36,40),0)/100)),0)</f>
        <v/>
      </c>
      <c r="R1516">
        <f>IF(AND(Inputs!$B$39&lt;&gt;"pvp",Inputs!$B$44&gt;0),IF(Inputs!$B$44&lt;=0,0,(INT(Inputs!$B$44/(IF(Inputs!$B$39="pvp",15,MAX(0.1,Skills!D4-IF(Skills!E4=TRUE,Inputs!$B$33,0)))*(1-IF(AND(ArtifactsInput!$M$27,Inputs!$B$4="Chapter Hunt"),CHOOSE(ArtifactsInput!$N$27+1,20,24,28,32,36,40),0)/100)))+1)),0)</f>
        <v/>
      </c>
      <c r="S1516" t="n">
        <v>0</v>
      </c>
      <c r="T1516">
        <f>290*T1515/1000</f>
        <v/>
      </c>
      <c r="U1516" t="n">
        <v>0</v>
      </c>
    </row>
    <row r="1517">
      <c r="A1517">
        <f>Skills!A5</f>
        <v/>
      </c>
      <c r="B1517">
        <f>Skills!B5</f>
        <v/>
      </c>
      <c r="C1517">
        <f>Inputs!$B$3&gt;=40</f>
        <v/>
      </c>
      <c r="D1517">
        <f>IF(Skills!C5=1,60+Inputs!$B$26+Inputs!$B$30,IF(Skills!C5=2,90+Inputs!$B$27+Inputs!$B$30,IF(Skills!C5=3,120+Inputs!$B$28+Inputs!$B$30,MAX(0,(Inputs!$B$3-100)*3)+Inputs!$B$29+Inputs!$B$30)))</f>
        <v/>
      </c>
      <c r="E1517">
        <f>INDEX(FactorTable!$B$2:$Y$301, MATCH(ROUND(MIN(300,MAX(1,D1517)),0), FactorTable!$A$2:$A$301,0), Skills!L5+1)</f>
        <v/>
      </c>
      <c r="F1517">
        <f>IF(Skills!M5=TRUE,(Skills!K5/10)*(E1517/1000),Skills!K5/10)+Skills!N5</f>
        <v/>
      </c>
      <c r="G1517">
        <f>Calc!G5</f>
        <v/>
      </c>
      <c r="H1517">
        <f>Calc!H5</f>
        <v/>
      </c>
      <c r="I1517">
        <f>IF(Skills!T5&lt;&gt;"",1+(Skills!T5/10)*($Z$3/1000)/100,1)</f>
        <v/>
      </c>
      <c r="J1517" t="inlineStr"/>
      <c r="K1517" t="inlineStr"/>
      <c r="L1517" t="inlineStr"/>
      <c r="M1517" t="inlineStr"/>
      <c r="N1517" t="inlineStr"/>
      <c r="O1517">
        <f>(1-Summary!$B$11)*S1517+Summary!$B$11*U1517</f>
        <v/>
      </c>
      <c r="P1517">
        <f>IF(B1555=0,0,O1517/B1555)</f>
        <v/>
      </c>
      <c r="Q1517">
        <f>IFERROR(1/(IF(Inputs!$B$39="pvp",15,MAX(0.1,Skills!D5-IF(Skills!E5=TRUE,Inputs!$B$33,0)))*(1-IF(AND(ArtifactsInput!$M$27,Inputs!$B$4="Chapter Hunt"),CHOOSE(ArtifactsInput!$N$27+1,20,24,28,32,36,40),0)/100)),0)</f>
        <v/>
      </c>
      <c r="R1517">
        <f>IF(AND(Inputs!$B$39&lt;&gt;"pvp",Inputs!$B$44&gt;0),IF(Inputs!$B$44&lt;=0,0,(INT(Inputs!$B$44/(IF(Inputs!$B$39="pvp",15,MAX(0.1,Skills!D5-IF(Skills!E5=TRUE,Inputs!$B$33,0)))*(1-IF(AND(ArtifactsInput!$M$27,Inputs!$B$4="Chapter Hunt"),CHOOSE(ArtifactsInput!$N$27+1,20,24,28,32,36,40),0)/100)))+1)),0)</f>
        <v/>
      </c>
      <c r="S1517" t="n">
        <v>0</v>
      </c>
      <c r="U1517" t="n">
        <v>0</v>
      </c>
    </row>
    <row r="1518">
      <c r="A1518">
        <f>Skills!A6</f>
        <v/>
      </c>
      <c r="B1518">
        <f>Skills!B6</f>
        <v/>
      </c>
      <c r="C1518">
        <f>Inputs!$B$3&gt;=103</f>
        <v/>
      </c>
      <c r="D1518">
        <f>IF(Skills!C6=1,60+Inputs!$B$26+Inputs!$B$30,IF(Skills!C6=2,90+Inputs!$B$27+Inputs!$B$30,IF(Skills!C6=3,120+Inputs!$B$28+Inputs!$B$30,MAX(0,(Inputs!$B$3-100)*3)+Inputs!$B$29+Inputs!$B$30)))</f>
        <v/>
      </c>
      <c r="E1518">
        <f>INDEX(FactorTable!$B$2:$Y$301, MATCH(ROUND(MIN(300,MAX(1,D1518)),0), FactorTable!$A$2:$A$301,0), Skills!L6+1)</f>
        <v/>
      </c>
      <c r="F1518">
        <f>IF(Skills!M6=TRUE,(Skills!K6/10)*(E1518/1000),Skills!K6/10)+Skills!N6</f>
        <v/>
      </c>
      <c r="G1518">
        <f>Calc!G6</f>
        <v/>
      </c>
      <c r="H1518">
        <f>Calc!H6</f>
        <v/>
      </c>
      <c r="I1518">
        <f>IF(Skills!T6&lt;&gt;"",1+(Skills!T6/10)*($Z$3/1000)/100,1)</f>
        <v/>
      </c>
      <c r="J1518">
        <f>((Inputs!$B$6*(1+Inputs!$B$7/100))+(((Inputs!$B$13*(1+Inputs!$B$14/100))-(Inputs!$B$13*(1+Inputs!$B$14/100)))+0.25*(Inputs!$B$15-Inputs!$B$15))*(1+Inputs!$B$7/100))*(F1518/100)</f>
        <v/>
      </c>
      <c r="K1518">
        <f>J1518*(1+(((Inputs!$B$13+IF(Inputs!$B$3&gt;=35,(10*INDEX(FactorTable!$B$2:$Y$301,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6="TRIUMPH_FEATHER",IF(C1528=TRUE,F1528,0),0)/100)*(1+IF(C1539=TRUE,F1539,0)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1518)</f>
        <v/>
      </c>
      <c r="L1518">
        <f>K1518*(MIN(Inputs!$B$23+(F1534-Calc!F22),(Inputs!$B$24+IF(ArtifactsInput!$M$15,CHOOSE(ArtifactsInput!$N$15+1,25,30,35,40,45,50)/100*(Inputs!$B$12-Inputs!$B$12),0)))/100+(Inputs!$B$24+IF(ArtifactsInput!$M$15,CHOOSE(ArtifactsInput!$N$15+1,25,30,35,40,45,50)/100*(Inputs!$B$12-Inputs!$B$12),0))/100)/2</f>
        <v/>
      </c>
      <c r="M1518">
        <f>L1518*(1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8">
        <f>L1518*(1-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1518*(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8">
        <f>(1-Summary!$B$11)*S1518+Summary!$B$11*U1518</f>
        <v/>
      </c>
      <c r="P1518">
        <f>IF(B1555=0,0,O1518/B1555)</f>
        <v/>
      </c>
      <c r="Q1518">
        <f>IFERROR(1/(IF(Inputs!$B$39="pvp",15,MAX(0.1,Skills!D6-IF(Skills!E6=TRUE,Inputs!$B$33,0)))*(1-IF(AND(ArtifactsInput!$M$27,Inputs!$B$4="Chapter Hunt"),CHOOSE(ArtifactsInput!$N$27+1,20,24,28,32,36,40),0)/100)),0)</f>
        <v/>
      </c>
      <c r="R1518">
        <f>IF(AND(Inputs!$B$39&lt;&gt;"pvp",Inputs!$B$44&gt;0),IF(MAX(0,Inputs!$B$44-B1552)&lt;=0,0,(INT(MAX(0,Inputs!$B$44-B1552)/(IF(Inputs!$B$39="pvp",15,MAX(0.1,Skills!D6-IF(Skills!E6=TRUE,Inputs!$B$33,0)))*(1-IF(AND(ArtifactsInput!$M$27,Inputs!$B$4="Chapter Hunt"),CHOOSE(ArtifactsInput!$N$27+1,20,24,28,32,36,40),0)/100)))+1)),0)</f>
        <v/>
      </c>
      <c r="S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$21+Skills!O6+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1518*(1-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1518*(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1518*(1-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1518*(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$22+Skills!P6+B1544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9">
      <c r="A1519">
        <f>Skills!A7</f>
        <v/>
      </c>
      <c r="B1519">
        <f>Skills!B7</f>
        <v/>
      </c>
      <c r="C1519">
        <f>Inputs!$B$3&gt;=122</f>
        <v/>
      </c>
      <c r="D1519">
        <f>IF(Skills!C7=1,60+Inputs!$B$26+Inputs!$B$30,IF(Skills!C7=2,90+Inputs!$B$27+Inputs!$B$30,IF(Skills!C7=3,120+Inputs!$B$28+Inputs!$B$30,MAX(0,(Inputs!$B$3-100)*3)+Inputs!$B$29+Inputs!$B$30)))</f>
        <v/>
      </c>
      <c r="E1519">
        <f>INDEX(FactorTable!$B$2:$Y$301, MATCH(ROUND(MIN(300,MAX(1,D1519)),0), FactorTable!$A$2:$A$301,0), Skills!L7+1)</f>
        <v/>
      </c>
      <c r="F1519">
        <f>IF(Skills!M7=TRUE,(Skills!K7/10)*(E1519/1000),Skills!K7/10)+Skills!N7</f>
        <v/>
      </c>
      <c r="G1519">
        <f>Calc!G7</f>
        <v/>
      </c>
      <c r="H1519">
        <f>Calc!H7</f>
        <v/>
      </c>
      <c r="I1519">
        <f>IF(Skills!T7&lt;&gt;"",1+(Skills!T7/10)*($Z$3/1000)/100,1)</f>
        <v/>
      </c>
      <c r="J1519">
        <f>((Inputs!$B$6*(1+Inputs!$B$7/100))+(((Inputs!$B$13*(1+Inputs!$B$14/100))-(Inputs!$B$13*(1+Inputs!$B$14/100)))+0.25*(Inputs!$B$15-Inputs!$B$15))*(1+Inputs!$B$7/100))*(F1519/100)</f>
        <v/>
      </c>
      <c r="K1519">
        <f>J1519*(1+(((Inputs!$B$13+IF(Inputs!$B$3&gt;=35,(10*INDEX(FactorTable!$B$2:$Y$301,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7="TRIUMPH_FEATHER",IF(C1528=TRUE,F1528,0),0)/100)*(1+IF(C1539=TRUE,F1539,0)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1519)</f>
        <v/>
      </c>
      <c r="L1519">
        <f>K1519*(MIN(Inputs!$B$23+(F1534-Calc!F22),(Inputs!$B$24+IF(ArtifactsInput!$M$15,CHOOSE(ArtifactsInput!$N$15+1,25,30,35,40,45,50)/100*(Inputs!$B$12-Inputs!$B$12),0)))/100+(Inputs!$B$24+IF(ArtifactsInput!$M$15,CHOOSE(ArtifactsInput!$N$15+1,25,30,35,40,45,50)/100*(Inputs!$B$12-Inputs!$B$12),0))/100)/2</f>
        <v/>
      </c>
      <c r="M1519">
        <f>L1519*(1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9">
        <f>L1519*(1-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1519*(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9">
        <f>(1-Summary!$B$11)*S1519+Summary!$B$11*U1519</f>
        <v/>
      </c>
      <c r="P1519">
        <f>IF(B1555=0,0,O1519/B1555)</f>
        <v/>
      </c>
      <c r="Q1519">
        <f>IFERROR(1/(IF(Inputs!$B$39="pvp",15,MAX(0.1,Skills!D7-IF(Skills!E6=TRUE,Inputs!$B$33,0)))*(1-IF(AND(ArtifactsInput!$M$27,Inputs!$B$4="Chapter Hunt"),CHOOSE(ArtifactsInput!$N$27+1,20,24,28,32,36,40),0)/100)),0)</f>
        <v/>
      </c>
      <c r="R1519">
        <f>IF(AND(Inputs!$B$39&lt;&gt;"pvp",Inputs!$B$44&gt;0),IF(MAX(0,Inputs!$B$44-B1552)&lt;=0,0,(INT(MAX(0,Inputs!$B$44-B1552)/(IF(Inputs!$B$39="pvp",15,MAX(0.1,Skills!D7-IF(Skills!E6=TRUE,Inputs!$B$33,0)))*(1-IF(AND(ArtifactsInput!$M$27,Inputs!$B$4="Chapter Hunt"),CHOOSE(ArtifactsInput!$N$27+1,20,24,28,32,36,40),0)/100)))+1)),0)</f>
        <v/>
      </c>
      <c r="S1519">
        <f>IF(C1519,H1519*N1519*IF(AND(Inputs!$B$39&lt;&gt;"pvp",Inputs!$B$44&gt;0),((Skills!F7*((R1519-1)*IF(Skills!G7&gt;0,Skills!H7/Skills!G7,1)+IF(Skills!G7&gt;0,MIN(Skills!H7,MAX(0,MAX(0,Inputs!$B$44-B1552)-((R1519-1)*(IF(Inputs!$B$39="pvp",15,MAX(0.1,Skills!D7-IF(Skills!E6=TRUE,Inputs!$B$33,0)))*(1-IF(AND(ArtifactsInput!$M$27,Inputs!$B$4="Chapter Hunt"),CHOOSE(ArtifactsInput!$N$27+1,20,24,28,32,36,40),0)/100)))))/Skills!G7,1)))/Inputs!$B$44),G1519*Q1519)*IF(Inputs!$B$39="pvp",1,1+(Inputs!$B$21+Skills!O7+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1519*(1-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1519*(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1519*(1-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1519*(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9" t="n">
        <v>0</v>
      </c>
    </row>
    <row r="1520">
      <c r="A1520">
        <f>Skills!A8</f>
        <v/>
      </c>
      <c r="B1520">
        <f>Skills!B8</f>
        <v/>
      </c>
      <c r="C1520">
        <f>Inputs!$B$3&gt;=105</f>
        <v/>
      </c>
      <c r="D1520">
        <f>IF(Skills!C8=1,60+Inputs!$B$26+Inputs!$B$30,IF(Skills!C8=2,90+Inputs!$B$27+Inputs!$B$30,IF(Skills!C8=3,120+Inputs!$B$28+Inputs!$B$30,MAX(0,(Inputs!$B$3-100)*3)+Inputs!$B$29+Inputs!$B$30)))</f>
        <v/>
      </c>
      <c r="E1520">
        <f>INDEX(FactorTable!$B$2:$Y$301, MATCH(ROUND(MIN(300,MAX(1,D1520)),0), FactorTable!$A$2:$A$301,0), Skills!L8+1)</f>
        <v/>
      </c>
      <c r="F1520">
        <f>IF(Skills!M8=TRUE,(Skills!K8/10)*(E1520/1000),Skills!K8/10)+Skills!N8</f>
        <v/>
      </c>
      <c r="G1520">
        <f>Calc!G8</f>
        <v/>
      </c>
      <c r="H1520">
        <f>Calc!H8</f>
        <v/>
      </c>
      <c r="I1520">
        <f>IF(Skills!T8&lt;&gt;"",1+(Skills!T8/10)*($Z$3/1000)/100,1)</f>
        <v/>
      </c>
      <c r="J1520">
        <f>((Inputs!$B$6*(1+Inputs!$B$7/100))+(((Inputs!$B$13*(1+Inputs!$B$14/100))-(Inputs!$B$13*(1+Inputs!$B$14/100)))+0.25*(Inputs!$B$15-Inputs!$B$15))*(1+Inputs!$B$7/100))*(F1520/100)</f>
        <v/>
      </c>
      <c r="K1520">
        <f>J1520*(1+(((Inputs!$B$13+IF(Inputs!$B$3&gt;=35,(10*INDEX(FactorTable!$B$2:$Y$301,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8="TRIUMPH_FEATHER",IF(C1528=TRUE,F1528,0),0)/100)*(1+IF(C1539=TRUE,F1539,0)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1520)</f>
        <v/>
      </c>
      <c r="L1520">
        <f>K1520*(MIN(Inputs!$B$23+(F1534-Calc!F22),(Inputs!$B$24+IF(ArtifactsInput!$M$15,CHOOSE(ArtifactsInput!$N$15+1,25,30,35,40,45,50)/100*(Inputs!$B$12-Inputs!$B$12),0)))/100+(Inputs!$B$24+IF(ArtifactsInput!$M$15,CHOOSE(ArtifactsInput!$N$15+1,25,30,35,40,45,50)/100*(Inputs!$B$12-Inputs!$B$12),0))/100)/2</f>
        <v/>
      </c>
      <c r="M1520">
        <f>L1520*(1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0">
        <f>L1520*(1-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1520*(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0">
        <f>(1-Summary!$B$11)*S1520+Summary!$B$11*U1520</f>
        <v/>
      </c>
      <c r="P1520">
        <f>IF(B1555=0,0,O1520/B1555)</f>
        <v/>
      </c>
      <c r="Q1520">
        <f>IFERROR(1/(IF(Inputs!$B$39="pvp",15,MAX(0.1,Skills!D8-IF(Skills!E8=TRUE,Inputs!$B$33,0)))*(1-IF(AND(ArtifactsInput!$M$27,Inputs!$B$4="Chapter Hunt"),CHOOSE(ArtifactsInput!$N$27+1,20,24,28,32,36,40),0)/100)),0)</f>
        <v/>
      </c>
      <c r="R1520">
        <f>IF(AND(Inputs!$B$39&lt;&gt;"pvp",Inputs!$B$44&gt;0),IF(MAX(0,Inputs!$B$44-B1552)&lt;=0,0,(INT(MAX(0,Inputs!$B$44-B1552)/(IF(Inputs!$B$39="pvp",15,MAX(0.1,Skills!D8-IF(Skills!E8=TRUE,Inputs!$B$33,0)))*(1-IF(AND(ArtifactsInput!$M$27,Inputs!$B$4="Chapter Hunt"),CHOOSE(ArtifactsInput!$N$27+1,20,24,28,32,36,40),0)/100)))+1)),0)</f>
        <v/>
      </c>
      <c r="S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$21+Skills!O8+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1520*(1-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1520*(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1520*(1-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1520*(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$22+Skills!P8+B1544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1">
      <c r="A1521">
        <f>Skills!A9</f>
        <v/>
      </c>
      <c r="B1521">
        <f>Skills!B9</f>
        <v/>
      </c>
      <c r="C1521">
        <f>Inputs!$B$3&gt;=115</f>
        <v/>
      </c>
      <c r="D1521">
        <f>IF(Skills!C9=1,60+Inputs!$B$26+Inputs!$B$30,IF(Skills!C9=2,90+Inputs!$B$27+Inputs!$B$30,IF(Skills!C9=3,120+Inputs!$B$28+Inputs!$B$30,MAX(0,(Inputs!$B$3-100)*3)+Inputs!$B$29+Inputs!$B$30)))</f>
        <v/>
      </c>
      <c r="E1521">
        <f>INDEX(FactorTable!$B$2:$Y$301, MATCH(ROUND(MIN(300,MAX(1,D1521)),0), FactorTable!$A$2:$A$301,0), Skills!L9+1)</f>
        <v/>
      </c>
      <c r="F1521">
        <f>IF(Skills!M9=TRUE,(Skills!K9/10)*(E1521/1000),Skills!K9/10)+Skills!N9</f>
        <v/>
      </c>
      <c r="G1521">
        <f>Calc!G9</f>
        <v/>
      </c>
      <c r="H1521">
        <f>Calc!H9</f>
        <v/>
      </c>
      <c r="I1521">
        <f>IF(Skills!T9&lt;&gt;"",1+(Skills!T9/10)*($Z$3/1000)/100,1)</f>
        <v/>
      </c>
      <c r="J1521">
        <f>((Inputs!$B$6*(1+Inputs!$B$7/100))+(((Inputs!$B$13*(1+Inputs!$B$14/100))-(Inputs!$B$13*(1+Inputs!$B$14/100)))+0.25*(Inputs!$B$15-Inputs!$B$15))*(1+Inputs!$B$7/100))*(F1521/100)</f>
        <v/>
      </c>
      <c r="K1521">
        <f>J1521*(1+(((Inputs!$B$13+IF(Inputs!$B$3&gt;=35,(10*INDEX(FactorTable!$B$2:$Y$301,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9="TRIUMPH_FEATHER",IF(C1528=TRUE,F1528,0),0)/100)*(1+IF(C1539=TRUE,F1539,0)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1521)</f>
        <v/>
      </c>
      <c r="L1521">
        <f>K1521*(MIN(Inputs!$B$23+(F1534-Calc!F22),(Inputs!$B$24+IF(ArtifactsInput!$M$15,CHOOSE(ArtifactsInput!$N$15+1,25,30,35,40,45,50)/100*(Inputs!$B$12-Inputs!$B$12),0)))/100+(Inputs!$B$24+IF(ArtifactsInput!$M$15,CHOOSE(ArtifactsInput!$N$15+1,25,30,35,40,45,50)/100*(Inputs!$B$12-Inputs!$B$12),0))/100)/2</f>
        <v/>
      </c>
      <c r="M1521">
        <f>L1521*(1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1">
        <f>L1521*(1-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1">
        <f>(1-Summary!$B$11)*S1521+Summary!$B$11*U1521</f>
        <v/>
      </c>
      <c r="P1521">
        <f>IF(B1555=0,0,O1521/B1555)</f>
        <v/>
      </c>
      <c r="Q1521">
        <f>IFERROR(1/(IF(Inputs!$B$39="pvp",15,MAX(0.1,Skills!D9-IF(Skills!E9=TRUE,Inputs!$B$33,0)))*(1-IF(AND(ArtifactsInput!$M$27,Inputs!$B$4="Chapter Hunt"),CHOOSE(ArtifactsInput!$N$27+1,20,24,28,32,36,40),0)/100)),0)</f>
        <v/>
      </c>
      <c r="R1521">
        <f>IF(AND(Inputs!$B$39&lt;&gt;"pvp",Inputs!$B$44&gt;0),IF(MAX(0,Inputs!$B$44-B1552)&lt;=0,0,(INT(MAX(0,Inputs!$B$44-B1552)/(IF(Inputs!$B$39="pvp",15,MAX(0.1,Skills!D9-IF(Skills!E9=TRUE,Inputs!$B$33,0)))*(1-IF(AND(ArtifactsInput!$M$27,Inputs!$B$4="Chapter Hunt"),CHOOSE(ArtifactsInput!$N$27+1,20,24,28,32,36,40),0)/100)))+1)),0)</f>
        <v/>
      </c>
      <c r="S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$21+Skills!O9+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1521*(1-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1521*(1-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$22+Skills!P9+B1544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2">
      <c r="A1522">
        <f>Skills!A10</f>
        <v/>
      </c>
      <c r="B1522">
        <f>Skills!B10</f>
        <v/>
      </c>
      <c r="C1522">
        <f>Inputs!$B$3&gt;=66</f>
        <v/>
      </c>
      <c r="D1522">
        <f>IF(Skills!C10=1,60+Inputs!$B$26+Inputs!$B$30,IF(Skills!C10=2,90+Inputs!$B$27+Inputs!$B$30,IF(Skills!C10=3,120+Inputs!$B$28+Inputs!$B$30,MAX(0,(Inputs!$B$3-100)*3)+Inputs!$B$29+Inputs!$B$30)))</f>
        <v/>
      </c>
      <c r="E1522">
        <f>INDEX(FactorTable!$B$2:$Y$301, MATCH(ROUND(MIN(300,MAX(1,D1522)),0), FactorTable!$A$2:$A$301,0), Skills!L10+1)</f>
        <v/>
      </c>
      <c r="F1522" t="n">
        <v>0</v>
      </c>
      <c r="G1522">
        <f>Calc!G10</f>
        <v/>
      </c>
      <c r="H1522">
        <f>Calc!H10</f>
        <v/>
      </c>
      <c r="I1522">
        <f>IF(Skills!T10&lt;&gt;"",1+(Skills!T10/10)*($Z$3/1000)/100,1)</f>
        <v/>
      </c>
      <c r="J1522" t="inlineStr"/>
      <c r="K1522" t="inlineStr"/>
      <c r="L1522" t="inlineStr"/>
      <c r="M1522" t="inlineStr"/>
      <c r="N1522" t="inlineStr"/>
      <c r="O1522">
        <f>(1-Summary!$B$11)*S1522+Summary!$B$11*U1522</f>
        <v/>
      </c>
      <c r="P1522">
        <f>IF(B1555=0,0,O1522/B1555)</f>
        <v/>
      </c>
      <c r="Q1522">
        <f>IFERROR(1/(IF(Inputs!$B$39="pvp",15,MAX(0.1,Skills!D10-IF(Skills!E10=TRUE,Inputs!$B$33,0)))*(1-IF(AND(ArtifactsInput!$M$27,Inputs!$B$4="Chapter Hunt"),CHOOSE(ArtifactsInput!$N$27+1,20,24,28,32,36,40),0)/100)),0)</f>
        <v/>
      </c>
      <c r="R1522">
        <f>IF(AND(Inputs!$B$39&lt;&gt;"pvp",Inputs!$B$44&gt;0),IF(MAX(0,Inputs!$B$44-B1552)&lt;=0,0,(INT(MAX(0,Inputs!$B$44-B1552)/(IF(Inputs!$B$39="pvp",15,MAX(0.1,Skills!D10-IF(Skills!E10=TRUE,Inputs!$B$33,0)))*(1-IF(AND(ArtifactsInput!$M$27,Inputs!$B$4="Chapter Hunt"),CHOOSE(ArtifactsInput!$N$27+1,20,24,28,32,36,40),0)/100)))+1)),0)</f>
        <v/>
      </c>
      <c r="S1522" t="n">
        <v>0</v>
      </c>
      <c r="U1522" t="n">
        <v>0</v>
      </c>
    </row>
    <row r="1523">
      <c r="A1523">
        <f>Skills!A11</f>
        <v/>
      </c>
      <c r="B1523">
        <f>Skills!B11</f>
        <v/>
      </c>
      <c r="C1523">
        <f>Inputs!$B$3&gt;=69</f>
        <v/>
      </c>
      <c r="D1523">
        <f>IF(Skills!C11=1,60+Inputs!$B$26+Inputs!$B$30,IF(Skills!C11=2,90+Inputs!$B$27+Inputs!$B$30,IF(Skills!C11=3,120+Inputs!$B$28+Inputs!$B$30,MAX(0,(Inputs!$B$3-100)*3)+Inputs!$B$29+Inputs!$B$30)))</f>
        <v/>
      </c>
      <c r="E1523">
        <f>INDEX(FactorTable!$B$2:$Y$301, MATCH(ROUND(MIN(300,MAX(1,D1523)),0), FactorTable!$A$2:$A$301,0), Skills!L11+1)</f>
        <v/>
      </c>
      <c r="F1523">
        <f>IF(Skills!M11=TRUE,(Skills!K11/10)*(E1523/1000),Skills!K11/10)+Skills!N11</f>
        <v/>
      </c>
      <c r="G1523">
        <f>Calc!G11</f>
        <v/>
      </c>
      <c r="H1523">
        <f>Calc!H11</f>
        <v/>
      </c>
      <c r="I1523">
        <f>IF(Skills!T11&lt;&gt;"",1+(Skills!T11/10)*($Z$3/1000)/100,1)</f>
        <v/>
      </c>
      <c r="J1523" t="inlineStr"/>
      <c r="K1523" t="inlineStr"/>
      <c r="L1523" t="inlineStr"/>
      <c r="M1523" t="inlineStr"/>
      <c r="N1523" t="inlineStr"/>
      <c r="O1523">
        <f>(1-Summary!$B$11)*S1523+Summary!$B$11*U1523</f>
        <v/>
      </c>
      <c r="P1523">
        <f>IF(B1555=0,0,O1523/B1555)</f>
        <v/>
      </c>
      <c r="Q1523">
        <f>IFERROR(1/(IF(Inputs!$B$39="pvp",15,MAX(0.1,Skills!D11-IF(Skills!E11=TRUE,Inputs!$B$33,0)))*(1-IF(AND(ArtifactsInput!$M$27,Inputs!$B$4="Chapter Hunt"),CHOOSE(ArtifactsInput!$N$27+1,20,24,28,32,36,40),0)/100)),0)</f>
        <v/>
      </c>
      <c r="R1523">
        <f>IF(AND(Inputs!$B$39&lt;&gt;"pvp",Inputs!$B$44&gt;0),IF(Inputs!$B$44&lt;=0,0,(INT(Inputs!$B$44/(IF(Inputs!$B$39="pvp",15,MAX(0.1,Skills!D11-IF(Skills!E11=TRUE,Inputs!$B$33,0)))*(1-IF(AND(ArtifactsInput!$M$27,Inputs!$B$4="Chapter Hunt"),CHOOSE(ArtifactsInput!$N$27+1,20,24,28,32,36,40),0)/100)))+1)),0)</f>
        <v/>
      </c>
      <c r="S1523" t="n">
        <v>0</v>
      </c>
      <c r="U1523" t="n">
        <v>0</v>
      </c>
    </row>
    <row r="1524">
      <c r="A1524">
        <f>Skills!A12</f>
        <v/>
      </c>
      <c r="B1524">
        <f>Skills!B12</f>
        <v/>
      </c>
      <c r="C1524">
        <f>Inputs!$B$3&gt;=72</f>
        <v/>
      </c>
      <c r="D1524">
        <f>IF(Skills!C12=1,60+Inputs!$B$26+Inputs!$B$30,IF(Skills!C12=2,90+Inputs!$B$27+Inputs!$B$30,IF(Skills!C12=3,120+Inputs!$B$28+Inputs!$B$30,MAX(0,(Inputs!$B$3-100)*3)+Inputs!$B$29+Inputs!$B$30)))</f>
        <v/>
      </c>
      <c r="E1524">
        <f>INDEX(FactorTable!$B$2:$Y$301, MATCH(ROUND(MIN(300,MAX(1,D1524)),0), FactorTable!$A$2:$A$301,0), Skills!L12+1)</f>
        <v/>
      </c>
      <c r="F1524">
        <f>IF(Skills!M12=TRUE,(Skills!K12/10)*(E1524/1000),Skills!K12/10)+Skills!N12</f>
        <v/>
      </c>
      <c r="G1524">
        <f>Calc!G12</f>
        <v/>
      </c>
      <c r="H1524">
        <f>Calc!H12</f>
        <v/>
      </c>
      <c r="I1524">
        <f>IF(Skills!T12&lt;&gt;"",1+(Skills!T12/10)*($Z$3/1000)/100,1)</f>
        <v/>
      </c>
      <c r="J1524" t="inlineStr"/>
      <c r="K1524" t="inlineStr"/>
      <c r="L1524" t="inlineStr"/>
      <c r="M1524" t="inlineStr"/>
      <c r="N1524" t="inlineStr"/>
      <c r="O1524">
        <f>(1-Summary!$B$11)*S1524+Summary!$B$11*U1524</f>
        <v/>
      </c>
      <c r="P1524">
        <f>IF(B1555=0,0,O1524/B1555)</f>
        <v/>
      </c>
      <c r="Q1524">
        <f>IFERROR(1/(IF(Inputs!$B$39="pvp",15,MAX(0.1,Skills!D12-IF(Skills!E12=TRUE,Inputs!$B$33,0)))*(1-IF(AND(ArtifactsInput!$M$27,Inputs!$B$4="Chapter Hunt"),CHOOSE(ArtifactsInput!$N$27+1,20,24,28,32,36,40),0)/100)),0)</f>
        <v/>
      </c>
      <c r="R1524">
        <f>IF(AND(Inputs!$B$39&lt;&gt;"pvp",Inputs!$B$44&gt;0),IF(MAX(0,Inputs!$B$44-B1552)&lt;=0,0,(INT(MAX(0,Inputs!$B$44-B1552)/(IF(Inputs!$B$39="pvp",15,MAX(0.1,Skills!D12-IF(Skills!E12=TRUE,Inputs!$B$33,0)))*(1-IF(AND(ArtifactsInput!$M$27,Inputs!$B$4="Chapter Hunt"),CHOOSE(ArtifactsInput!$N$27+1,20,24,28,32,36,40),0)/100)))+1)),0)</f>
        <v/>
      </c>
      <c r="S1524" t="n">
        <v>0</v>
      </c>
      <c r="U1524" t="n">
        <v>0</v>
      </c>
    </row>
    <row r="1525">
      <c r="A1525">
        <f>Skills!A13</f>
        <v/>
      </c>
      <c r="B1525">
        <f>Skills!B13</f>
        <v/>
      </c>
      <c r="C1525">
        <f>Inputs!$B$3&gt;=60</f>
        <v/>
      </c>
      <c r="D1525">
        <f>IF(Skills!C13=1,60+Inputs!$B$26+Inputs!$B$30,IF(Skills!C13=2,90+Inputs!$B$27+Inputs!$B$30,IF(Skills!C13=3,120+Inputs!$B$28+Inputs!$B$30,MAX(0,(Inputs!$B$3-100)*3)+Inputs!$B$29+Inputs!$B$30)))</f>
        <v/>
      </c>
      <c r="E1525">
        <f>INDEX(FactorTable!$B$2:$Y$301, MATCH(ROUND(MIN(300,MAX(1,D1525)),0), FactorTable!$A$2:$A$301,0), Skills!L13+1)</f>
        <v/>
      </c>
      <c r="F1525">
        <f>IF(Skills!M13=TRUE,(Skills!K13/10)*(E1525/1000),Skills!K13/10)+Skills!N13</f>
        <v/>
      </c>
      <c r="G1525">
        <f>Calc!G13</f>
        <v/>
      </c>
      <c r="H1525">
        <f>Calc!H13</f>
        <v/>
      </c>
      <c r="I1525">
        <f>IF(Skills!T13&lt;&gt;"",1+(Skills!T13/10)*($Z$3/1000)/100,1)</f>
        <v/>
      </c>
      <c r="J1525" t="inlineStr"/>
      <c r="K1525" t="inlineStr"/>
      <c r="L1525" t="inlineStr"/>
      <c r="M1525" t="inlineStr"/>
      <c r="N1525" t="inlineStr"/>
      <c r="O1525">
        <f>(1-Summary!$B$11)*S1525+Summary!$B$11*U1525</f>
        <v/>
      </c>
      <c r="P1525">
        <f>IF(B1555=0,0,O1525/B1555)</f>
        <v/>
      </c>
      <c r="Q1525">
        <f>IFERROR(1/(IF(Inputs!$B$39="pvp",15,MAX(0.1,Skills!D13-IF(Skills!E13=TRUE,Inputs!$B$33,0)))*(1-IF(AND(ArtifactsInput!$M$27,Inputs!$B$4="Chapter Hunt"),CHOOSE(ArtifactsInput!$N$27+1,20,24,28,32,36,40),0)/100)),0)</f>
        <v/>
      </c>
      <c r="R1525">
        <f>IF(AND(Inputs!$B$39&lt;&gt;"pvp",Inputs!$B$44&gt;0),IF(MAX(0,Inputs!$B$44-B1552)&lt;=0,0,(INT(MAX(0,Inputs!$B$44-B1552)/(IF(Inputs!$B$39="pvp",15,MAX(0.1,Skills!D13-IF(Skills!E13=TRUE,Inputs!$B$33,0)))*(1-IF(AND(ArtifactsInput!$M$27,Inputs!$B$4="Chapter Hunt"),CHOOSE(ArtifactsInput!$N$27+1,20,24,28,32,36,40),0)/100)))+1)),0)</f>
        <v/>
      </c>
      <c r="S1525" t="n">
        <v>0</v>
      </c>
      <c r="U1525" t="n">
        <v>0</v>
      </c>
    </row>
    <row r="1526">
      <c r="A1526">
        <f>Skills!A14</f>
        <v/>
      </c>
      <c r="B1526">
        <f>Skills!B14</f>
        <v/>
      </c>
      <c r="C1526">
        <f>Inputs!$B$3&gt;=107</f>
        <v/>
      </c>
      <c r="D1526">
        <f>IF(Skills!C14=1,60+Inputs!$B$26+Inputs!$B$30,IF(Skills!C14=2,90+Inputs!$B$27+Inputs!$B$30,IF(Skills!C14=3,120+Inputs!$B$28+Inputs!$B$30,MAX(0,(Inputs!$B$3-100)*3)+Inputs!$B$29+Inputs!$B$30)))</f>
        <v/>
      </c>
      <c r="E1526">
        <f>INDEX(FactorTable!$B$2:$Y$301, MATCH(ROUND(MIN(300,MAX(1,D1526)),0), FactorTable!$A$2:$A$301,0), Skills!L14+1)</f>
        <v/>
      </c>
      <c r="F1526">
        <f>IF(Skills!M14=TRUE,(Skills!K14/10)*(E1526/1000),Skills!K14/10)+Skills!N14</f>
        <v/>
      </c>
      <c r="G1526">
        <f>Calc!G14</f>
        <v/>
      </c>
      <c r="H1526">
        <f>Calc!H14</f>
        <v/>
      </c>
      <c r="I1526">
        <f>IF(Skills!T14&lt;&gt;"",1+(Skills!T14/10)*($Z$3/1000)/100,1)</f>
        <v/>
      </c>
      <c r="J1526" t="inlineStr"/>
      <c r="K1526" t="inlineStr"/>
      <c r="L1526" t="inlineStr"/>
      <c r="M1526" t="inlineStr"/>
      <c r="N1526" t="inlineStr"/>
      <c r="O1526">
        <f>(1-Summary!$B$11)*S1526+Summary!$B$11*U1526</f>
        <v/>
      </c>
      <c r="P1526">
        <f>IF(B1555=0,0,O1526/B1555)</f>
        <v/>
      </c>
      <c r="Q1526">
        <f>IFERROR(1/(IF(Inputs!$B$39="pvp",15,MAX(0.1,Skills!D14-IF(Skills!E14=TRUE,Inputs!$B$33,0)))*(1-IF(AND(ArtifactsInput!$M$27,Inputs!$B$4="Chapter Hunt"),CHOOSE(ArtifactsInput!$N$27+1,20,24,28,32,36,40),0)/100)),0)</f>
        <v/>
      </c>
      <c r="R1526">
        <f>IF(AND(Inputs!$B$39&lt;&gt;"pvp",Inputs!$B$44&gt;0),IF(Inputs!$B$44&lt;=0,0,(INT(Inputs!$B$44/(IF(Inputs!$B$39="pvp",15,MAX(0.1,Skills!D14-IF(Skills!E14=TRUE,Inputs!$B$33,0)))*(1-IF(AND(ArtifactsInput!$M$27,Inputs!$B$4="Chapter Hunt"),CHOOSE(ArtifactsInput!$N$27+1,20,24,28,32,36,40),0)/100)))+1)),0)</f>
        <v/>
      </c>
      <c r="S1526" t="n">
        <v>0</v>
      </c>
      <c r="U1526" t="n">
        <v>0</v>
      </c>
    </row>
    <row r="1527">
      <c r="A1527">
        <f>Skills!A15</f>
        <v/>
      </c>
      <c r="B1527">
        <f>Skills!B15</f>
        <v/>
      </c>
      <c r="C1527">
        <f>Inputs!$B$3&gt;=63</f>
        <v/>
      </c>
      <c r="D1527">
        <f>IF(Skills!C15=1,60+Inputs!$B$26+Inputs!$B$30,IF(Skills!C15=2,90+Inputs!$B$27+Inputs!$B$30,IF(Skills!C15=3,120+Inputs!$B$28+Inputs!$B$30,MAX(0,(Inputs!$B$3-100)*3)+Inputs!$B$29+Inputs!$B$30)))</f>
        <v/>
      </c>
      <c r="E1527">
        <f>INDEX(FactorTable!$B$2:$Y$301, MATCH(ROUND(MIN(300,MAX(1,D1527)),0), FactorTable!$A$2:$A$301,0), Skills!L15+1)</f>
        <v/>
      </c>
      <c r="F1527">
        <f>IF(Skills!M15=TRUE,(Skills!K15/10)*(E1527/1000),Skills!K15/10)+Skills!N15</f>
        <v/>
      </c>
      <c r="G1527">
        <f>Calc!G15</f>
        <v/>
      </c>
      <c r="H1527">
        <f>Calc!H15</f>
        <v/>
      </c>
      <c r="I1527">
        <f>IF(Skills!T15&lt;&gt;"",1+(Skills!T15/10)*($Z$3/1000)/100,1)</f>
        <v/>
      </c>
      <c r="J1527">
        <f>((Inputs!$B$6*(1+Inputs!$B$7/100))+(((Inputs!$B$13*(1+Inputs!$B$14/100))-(Inputs!$B$13*(1+Inputs!$B$14/100)))+0.25*(Inputs!$B$15-Inputs!$B$15))*(1+Inputs!$B$7/100))*(F1527/100)</f>
        <v/>
      </c>
      <c r="K1527">
        <f>J1527*(1+(((Inputs!$B$13+IF(Inputs!$B$3&gt;=35,(10*INDEX(FactorTable!$B$2:$Y$301,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15="TRIUMPH_FEATHER",IF(C1528=TRUE,F1528,0),0)/100)*(1+IF(C1539=TRUE,F1539,0)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1527)</f>
        <v/>
      </c>
      <c r="L1527">
        <f>K1527*(MIN(Inputs!$B$23+(F1534-Calc!F22),(Inputs!$B$24+IF(ArtifactsInput!$M$15,CHOOSE(ArtifactsInput!$N$15+1,25,30,35,40,45,50)/100*(Inputs!$B$12-Inputs!$B$12),0)))/100+(Inputs!$B$24+IF(ArtifactsInput!$M$15,CHOOSE(ArtifactsInput!$N$15+1,25,30,35,40,45,50)/100*(Inputs!$B$12-Inputs!$B$12),0))/100)/2</f>
        <v/>
      </c>
      <c r="M1527">
        <f>L1527*(1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7">
        <f>L1527*(1-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1527*(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7">
        <f>(1-Summary!$B$11)*S1527+Summary!$B$11*U1527</f>
        <v/>
      </c>
      <c r="P1527">
        <f>IF(B1555=0,0,O1527/B1555)</f>
        <v/>
      </c>
      <c r="Q1527">
        <f>IFERROR(1/(IF(Inputs!$B$39="pvp",15,MAX(0.1,Skills!D15-IF(Skills!E15=TRUE,Inputs!$B$33,0)))*(1-IF(AND(ArtifactsInput!$M$27,Inputs!$B$4="Chapter Hunt"),CHOOSE(ArtifactsInput!$N$27+1,20,24,28,32,36,40),0)/100)),0)</f>
        <v/>
      </c>
      <c r="R1527" t="n">
        <v>0</v>
      </c>
      <c r="S1527">
        <f>IF(C1527,(Skills!F15*N1527*((IF(Inputs!$B$3&gt;=78,25,15)/100*B1548*10)/(1+IF(Inputs!$B$3&gt;=78,25,15)/100*B1548*10))*(Skills!I15/100*B1548)/(1+Skills!G15*Skills!I15/100*B1548))*IF(Inputs!$B$39="pvp",1,1+(Inputs!$B$21+Skills!O15+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1527*(1-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1527*(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1527*(1-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1527*(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7">
        <f>IF(C1527,(Skills!F15*N1527*((IF(Inputs!$B$3&gt;=78,25,15)/100*B1548*10)/(1+IF(Inputs!$B$3&gt;=78,25,15)/100*B1548*10))*(Skills!I15/100*B1548)/(1+Skills!G15*Skills!I15/100*B1548))*IF(Inputs!$B$39="pvp",1,(1+(Inputs!$B$22+Skills!P15+B1544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8">
      <c r="A1528">
        <f>Skills!A16</f>
        <v/>
      </c>
      <c r="B1528">
        <f>Skills!B16</f>
        <v/>
      </c>
      <c r="C1528">
        <f>Inputs!$B$3&gt;=100</f>
        <v/>
      </c>
      <c r="D1528">
        <f>IF(Skills!C16=1,60+Inputs!$B$26+Inputs!$B$30,IF(Skills!C16=2,90+Inputs!$B$27+Inputs!$B$30,IF(Skills!C16=3,120+Inputs!$B$28+Inputs!$B$30,MAX(0,(Inputs!$B$3-100)*3)+Inputs!$B$29+Inputs!$B$30)))</f>
        <v/>
      </c>
      <c r="E1528">
        <f>INDEX(FactorTable!$B$2:$Y$301, MATCH(ROUND(MIN(300,MAX(1,D1528)),0), FactorTable!$A$2:$A$301,0), Skills!L16+1)</f>
        <v/>
      </c>
      <c r="F1528">
        <f>IF(Skills!M16=TRUE,(Skills!K16/10)*(E1528/1000),Skills!K16/10)+Skills!N16</f>
        <v/>
      </c>
      <c r="G1528">
        <f>Calc!G16</f>
        <v/>
      </c>
      <c r="H1528">
        <f>Calc!H16</f>
        <v/>
      </c>
      <c r="I1528">
        <f>IF(Skills!T16&lt;&gt;"",1+(Skills!T16/10)*($Z$3/1000)/100,1)</f>
        <v/>
      </c>
      <c r="J1528" t="inlineStr"/>
      <c r="K1528" t="inlineStr"/>
      <c r="L1528" t="inlineStr"/>
      <c r="M1528" t="inlineStr"/>
      <c r="N1528" t="inlineStr"/>
      <c r="O1528">
        <f>(1-Summary!$B$11)*S1528+Summary!$B$11*U1528</f>
        <v/>
      </c>
      <c r="P1528">
        <f>IF(B1555=0,0,O1528/B1555)</f>
        <v/>
      </c>
      <c r="Q1528">
        <f>IFERROR(1/(IF(Inputs!$B$39="pvp",15,MAX(0.1,Skills!D16-IF(Skills!E16=TRUE,Inputs!$B$33,0)))*(1-IF(AND(ArtifactsInput!$M$27,Inputs!$B$4="Chapter Hunt"),CHOOSE(ArtifactsInput!$N$27+1,20,24,28,32,36,40),0)/100)),0)</f>
        <v/>
      </c>
      <c r="R1528" t="n">
        <v>0</v>
      </c>
      <c r="S1528" t="n">
        <v>0</v>
      </c>
      <c r="U1528" t="n">
        <v>0</v>
      </c>
    </row>
    <row r="1529">
      <c r="A1529">
        <f>Skills!A17</f>
        <v/>
      </c>
      <c r="B1529">
        <f>Skills!B17</f>
        <v/>
      </c>
      <c r="C1529">
        <f>Inputs!$B$3&gt;=49</f>
        <v/>
      </c>
      <c r="D1529">
        <f>IF(Skills!C17=1,60+Inputs!$B$26+Inputs!$B$30,IF(Skills!C17=2,90+Inputs!$B$27+Inputs!$B$30,IF(Skills!C17=3,120+Inputs!$B$28+Inputs!$B$30,MAX(0,(Inputs!$B$3-100)*3)+Inputs!$B$29+Inputs!$B$30)))</f>
        <v/>
      </c>
      <c r="E1529">
        <f>INDEX(FactorTable!$B$2:$Y$301, MATCH(ROUND(MIN(300,MAX(1,D1529)),0), FactorTable!$A$2:$A$301,0), Skills!L17+1)</f>
        <v/>
      </c>
      <c r="F1529">
        <f>IF(Skills!M17=TRUE,(Skills!K17/10)*(E1529/1000),Skills!K17/10)+Skills!N17</f>
        <v/>
      </c>
      <c r="G1529">
        <f>Calc!G17</f>
        <v/>
      </c>
      <c r="H1529">
        <f>Calc!H17</f>
        <v/>
      </c>
      <c r="I1529">
        <f>IF(Skills!T17&lt;&gt;"",1+(Skills!T17/10)*($Z$3/1000)/100,1)</f>
        <v/>
      </c>
      <c r="J1529" t="inlineStr"/>
      <c r="K1529" t="inlineStr"/>
      <c r="L1529" t="inlineStr"/>
      <c r="M1529" t="inlineStr"/>
      <c r="N1529" t="inlineStr"/>
      <c r="O1529">
        <f>(1-Summary!$B$11)*S1529+Summary!$B$11*U1529</f>
        <v/>
      </c>
      <c r="P1529">
        <f>IF(B1555=0,0,O1529/B1555)</f>
        <v/>
      </c>
      <c r="Q1529">
        <f>IFERROR(1/(IF(Inputs!$B$39="pvp",15,MAX(0.1,Skills!D17-IF(Skills!E17=TRUE,Inputs!$B$33,0)))*(1-IF(AND(ArtifactsInput!$M$27,Inputs!$B$4="Chapter Hunt"),CHOOSE(ArtifactsInput!$N$27+1,20,24,28,32,36,40),0)/100)),0)</f>
        <v/>
      </c>
      <c r="R1529" t="n">
        <v>0</v>
      </c>
      <c r="S1529" t="n">
        <v>0</v>
      </c>
      <c r="U1529" t="n">
        <v>0</v>
      </c>
    </row>
    <row r="1530">
      <c r="A1530">
        <f>Skills!A18</f>
        <v/>
      </c>
      <c r="B1530">
        <f>Skills!B18</f>
        <v/>
      </c>
      <c r="C1530">
        <f>Inputs!$B$3&gt;=75</f>
        <v/>
      </c>
      <c r="D1530">
        <f>IF(Skills!C18=1,60+Inputs!$B$26+Inputs!$B$30,IF(Skills!C18=2,90+Inputs!$B$27+Inputs!$B$30,IF(Skills!C18=3,120+Inputs!$B$28+Inputs!$B$30,MAX(0,(Inputs!$B$3-100)*3)+Inputs!$B$29+Inputs!$B$30)))</f>
        <v/>
      </c>
      <c r="E1530">
        <f>INDEX(FactorTable!$B$2:$Y$301, MATCH(ROUND(MIN(300,MAX(1,D1530)),0), FactorTable!$A$2:$A$301,0), Skills!L18+1)</f>
        <v/>
      </c>
      <c r="F1530">
        <f>IF(Skills!M18=TRUE,(Skills!K18/10)*(E1530/1000),Skills!K18/10)+Skills!N18</f>
        <v/>
      </c>
      <c r="G1530">
        <f>Calc!G18</f>
        <v/>
      </c>
      <c r="H1530">
        <f>Calc!H18</f>
        <v/>
      </c>
      <c r="I1530">
        <f>IF(Skills!T18&lt;&gt;"",1+(Skills!T18/10)*($Z$3/1000)/100,1)</f>
        <v/>
      </c>
      <c r="J1530" t="inlineStr"/>
      <c r="K1530" t="inlineStr"/>
      <c r="L1530" t="inlineStr"/>
      <c r="M1530" t="inlineStr"/>
      <c r="N1530" t="inlineStr"/>
      <c r="O1530">
        <f>(1-Summary!$B$11)*S1530+Summary!$B$11*U1530</f>
        <v/>
      </c>
      <c r="P1530">
        <f>IF(B1555=0,0,O1530/B1555)</f>
        <v/>
      </c>
      <c r="Q1530">
        <f>IFERROR(1/(IF(Inputs!$B$39="pvp",15,MAX(0.1,Skills!D18-IF(Skills!E18=TRUE,Inputs!$B$33,0)))*(1-IF(AND(ArtifactsInput!$M$27,Inputs!$B$4="Chapter Hunt"),CHOOSE(ArtifactsInput!$N$27+1,20,24,28,32,36,40),0)/100)),0)</f>
        <v/>
      </c>
      <c r="R1530" t="n">
        <v>0</v>
      </c>
      <c r="S1530" t="n">
        <v>0</v>
      </c>
      <c r="U1530" t="n">
        <v>0</v>
      </c>
    </row>
    <row r="1531">
      <c r="A1531">
        <f>Skills!A19</f>
        <v/>
      </c>
      <c r="B1531">
        <f>Skills!B19</f>
        <v/>
      </c>
      <c r="C1531">
        <f>Inputs!$B$3&gt;=110</f>
        <v/>
      </c>
      <c r="D1531">
        <f>IF(Skills!C19=1,60+Inputs!$B$26+Inputs!$B$30,IF(Skills!C19=2,90+Inputs!$B$27+Inputs!$B$30,IF(Skills!C19=3,120+Inputs!$B$28+Inputs!$B$30,MAX(0,(Inputs!$B$3-100)*3)+Inputs!$B$29+Inputs!$B$30)))</f>
        <v/>
      </c>
      <c r="E1531">
        <f>INDEX(FactorTable!$B$2:$Y$301, MATCH(ROUND(MIN(300,MAX(1,D1531)),0), FactorTable!$A$2:$A$301,0), Skills!L19+1)</f>
        <v/>
      </c>
      <c r="F1531">
        <f>(Skills!K19/10)*(E1531/1000)*64/45+Skills!N19</f>
        <v/>
      </c>
      <c r="G1531">
        <f>Calc!G19</f>
        <v/>
      </c>
      <c r="H1531">
        <f>Calc!H19</f>
        <v/>
      </c>
      <c r="I1531">
        <f>IF(Skills!T19&lt;&gt;"",1+(Skills!T19/10)*($Z$3/1000)/100,1)</f>
        <v/>
      </c>
      <c r="J1531" t="inlineStr"/>
      <c r="K1531" t="inlineStr"/>
      <c r="L1531" t="inlineStr"/>
      <c r="M1531" t="inlineStr"/>
      <c r="N1531" t="inlineStr"/>
      <c r="O1531">
        <f>(1-Summary!$B$11)*S1531+Summary!$B$11*U1531</f>
        <v/>
      </c>
      <c r="P1531">
        <f>IF(B1555=0,0,O1531/B1555)</f>
        <v/>
      </c>
      <c r="Q1531">
        <f>IFERROR(1/(IF(Inputs!$B$39="pvp",15,MAX(0.1,Skills!D19-IF(Skills!E19=TRUE,Inputs!$B$33,0)))*(1-IF(AND(ArtifactsInput!$M$27,Inputs!$B$4="Chapter Hunt"),CHOOSE(ArtifactsInput!$N$27+1,20,24,28,32,36,40),0)/100)),0)</f>
        <v/>
      </c>
      <c r="R1531">
        <f>IF(AND(Inputs!$B$39&lt;&gt;"pvp",Inputs!$B$44&gt;0),IF(Inputs!$B$44&lt;=0,0,(INT(Inputs!$B$44/(IF(Inputs!$B$39="pvp",15,MAX(0.1,Skills!D19-IF(Skills!E19=TRUE,Inputs!$B$33,0)))*(1-IF(AND(ArtifactsInput!$M$27,Inputs!$B$4="Chapter Hunt"),CHOOSE(ArtifactsInput!$N$27+1,20,24,28,32,36,40),0)/100)))+1)),0)</f>
        <v/>
      </c>
      <c r="S1531" t="n">
        <v>0</v>
      </c>
      <c r="U1531" t="n">
        <v>0</v>
      </c>
    </row>
    <row r="1532">
      <c r="A1532">
        <f>Skills!A20</f>
        <v/>
      </c>
      <c r="B1532">
        <f>Skills!B20</f>
        <v/>
      </c>
      <c r="C1532">
        <f>Inputs!$B$3&gt;=125</f>
        <v/>
      </c>
      <c r="D1532">
        <f>IF(Skills!C20=1,60+Inputs!$B$26+Inputs!$B$30,IF(Skills!C20=2,90+Inputs!$B$27+Inputs!$B$30,IF(Skills!C20=3,120+Inputs!$B$28+Inputs!$B$30,MAX(0,(Inputs!$B$3-100)*3)+Inputs!$B$29+Inputs!$B$30)))</f>
        <v/>
      </c>
      <c r="E1532">
        <f>INDEX(FactorTable!$B$2:$Y$301, MATCH(ROUND(MIN(300,MAX(1,D1532)),0), FactorTable!$A$2:$A$301,0), Skills!L20+1)</f>
        <v/>
      </c>
      <c r="F1532">
        <f>IF(Skills!M20=TRUE,(Skills!K20/10)*(E1532/1000),Skills!K20/10)+Skills!N20</f>
        <v/>
      </c>
      <c r="G1532">
        <f>Calc!G20</f>
        <v/>
      </c>
      <c r="H1532">
        <f>Calc!H20</f>
        <v/>
      </c>
      <c r="I1532">
        <f>IF(Skills!T20&lt;&gt;"",1+(Skills!T20/10)*($Z$3/1000)/100,1)</f>
        <v/>
      </c>
      <c r="J1532" t="inlineStr"/>
      <c r="K1532" t="inlineStr"/>
      <c r="L1532" t="inlineStr"/>
      <c r="M1532" t="inlineStr"/>
      <c r="N1532" t="inlineStr"/>
      <c r="O1532">
        <f>(1-Summary!$B$11)*S1532+Summary!$B$11*U1532</f>
        <v/>
      </c>
      <c r="P1532">
        <f>IF(B1555=0,0,O1532/B1555)</f>
        <v/>
      </c>
      <c r="Q1532">
        <f>IFERROR(1/(IF(Inputs!$B$39="pvp",15,MAX(0.1,Skills!D20-IF(Skills!E20=TRUE,Inputs!$B$33,0)))*(1-IF(AND(ArtifactsInput!$M$27,Inputs!$B$4="Chapter Hunt"),CHOOSE(ArtifactsInput!$N$27+1,20,24,28,32,36,40),0)/100)),0)</f>
        <v/>
      </c>
      <c r="R1532" t="n">
        <v>0</v>
      </c>
      <c r="S1532" t="n">
        <v>0</v>
      </c>
      <c r="U1532" t="n">
        <v>0</v>
      </c>
    </row>
    <row r="1533">
      <c r="A1533">
        <f>Skills!A21</f>
        <v/>
      </c>
      <c r="B1533">
        <f>Skills!B21</f>
        <v/>
      </c>
      <c r="C1533">
        <f>Inputs!$B$3&gt;=33</f>
        <v/>
      </c>
      <c r="D1533">
        <f>IF(Skills!C21=1,60+Inputs!$B$26+Inputs!$B$30,IF(Skills!C21=2,90+Inputs!$B$27+Inputs!$B$30,IF(Skills!C21=3,120+Inputs!$B$28+Inputs!$B$30,MAX(0,(Inputs!$B$3-100)*3)+Inputs!$B$29+Inputs!$B$30)))</f>
        <v/>
      </c>
      <c r="E1533">
        <f>INDEX(FactorTable!$B$2:$Y$301, MATCH(ROUND(MIN(300,MAX(1,D1533)),0), FactorTable!$A$2:$A$301,0), Skills!L21+1)</f>
        <v/>
      </c>
      <c r="F1533">
        <f>IF(Skills!M21=TRUE,(Skills!K21/10)*(E1533/1000),Skills!K21/10)+Skills!N21</f>
        <v/>
      </c>
      <c r="G1533">
        <f>Calc!G21</f>
        <v/>
      </c>
      <c r="H1533">
        <f>Calc!H21</f>
        <v/>
      </c>
      <c r="I1533">
        <f>IF(Skills!T21&lt;&gt;"",1+(Skills!T21/10)*($Z$3/1000)/100,1)</f>
        <v/>
      </c>
      <c r="J1533" t="inlineStr"/>
      <c r="K1533" t="inlineStr"/>
      <c r="L1533" t="inlineStr"/>
      <c r="M1533" t="inlineStr"/>
      <c r="N1533" t="inlineStr"/>
      <c r="O1533">
        <f>(1-Summary!$B$11)*S1533+Summary!$B$11*U1533</f>
        <v/>
      </c>
      <c r="P1533">
        <f>IF(B1555=0,0,O1533/B1555)</f>
        <v/>
      </c>
      <c r="Q1533">
        <f>IFERROR(1/(IF(Inputs!$B$39="pvp",15,MAX(0.1,Skills!D21-IF(Skills!E21=TRUE,Inputs!$B$33,0)))*(1-IF(AND(ArtifactsInput!$M$27,Inputs!$B$4="Chapter Hunt"),CHOOSE(ArtifactsInput!$N$27+1,20,24,28,32,36,40),0)/100)),0)</f>
        <v/>
      </c>
      <c r="R1533" t="n">
        <v>0</v>
      </c>
      <c r="S1533" t="n">
        <v>0</v>
      </c>
      <c r="U1533" t="n">
        <v>0</v>
      </c>
    </row>
    <row r="1534">
      <c r="A1534">
        <f>Skills!A22</f>
        <v/>
      </c>
      <c r="B1534">
        <f>Skills!B22</f>
        <v/>
      </c>
      <c r="C1534">
        <f>Inputs!$B$3&gt;=43</f>
        <v/>
      </c>
      <c r="D1534">
        <f>IF(Skills!C22=1,60+Inputs!$B$26+Inputs!$B$30,IF(Skills!C22=2,90+Inputs!$B$27+Inputs!$B$30,IF(Skills!C22=3,120+Inputs!$B$28+Inputs!$B$30,MAX(0,(Inputs!$B$3-100)*3)+Inputs!$B$29+Inputs!$B$30)))</f>
        <v/>
      </c>
      <c r="E1534">
        <f>INDEX(FactorTable!$B$2:$Y$301, MATCH(ROUND(MIN(300,MAX(1,D1534)),0), FactorTable!$A$2:$A$301,0), Skills!L22+1)</f>
        <v/>
      </c>
      <c r="F1534">
        <f>IF(Skills!M22=TRUE,(Skills!K22/10)*(E1534/1000),Skills!K22/10)+Skills!N22</f>
        <v/>
      </c>
      <c r="G1534">
        <f>Calc!G22</f>
        <v/>
      </c>
      <c r="H1534">
        <f>Calc!H22</f>
        <v/>
      </c>
      <c r="I1534">
        <f>IF(Skills!T22&lt;&gt;"",1+(Skills!T22/10)*($Z$3/1000)/100,1)</f>
        <v/>
      </c>
      <c r="J1534" t="inlineStr"/>
      <c r="K1534" t="inlineStr"/>
      <c r="L1534" t="inlineStr"/>
      <c r="M1534" t="inlineStr"/>
      <c r="N1534" t="inlineStr"/>
      <c r="O1534">
        <f>(1-Summary!$B$11)*S1534+Summary!$B$11*U1534</f>
        <v/>
      </c>
      <c r="P1534">
        <f>IF(B1555=0,0,O1534/B1555)</f>
        <v/>
      </c>
      <c r="Q1534">
        <f>IFERROR(1/(IF(Inputs!$B$39="pvp",15,MAX(0.1,Skills!D22-IF(Skills!E22=TRUE,Inputs!$B$33,0)))*(1-IF(AND(ArtifactsInput!$M$27,Inputs!$B$4="Chapter Hunt"),CHOOSE(ArtifactsInput!$N$27+1,20,24,28,32,36,40),0)/100)),0)</f>
        <v/>
      </c>
      <c r="R1534" t="n">
        <v>0</v>
      </c>
      <c r="S1534" t="n">
        <v>0</v>
      </c>
      <c r="U1534" t="n">
        <v>0</v>
      </c>
    </row>
    <row r="1535">
      <c r="A1535">
        <f>Skills!A23</f>
        <v/>
      </c>
      <c r="B1535">
        <f>Skills!B23</f>
        <v/>
      </c>
      <c r="C1535">
        <f>Inputs!$B$3&gt;=50</f>
        <v/>
      </c>
      <c r="D1535">
        <f>IF(Skills!C23=1,60+Inputs!$B$26+Inputs!$B$30,IF(Skills!C23=2,90+Inputs!$B$27+Inputs!$B$30,IF(Skills!C23=3,120+Inputs!$B$28+Inputs!$B$30,MAX(0,(Inputs!$B$3-100)*3)+Inputs!$B$29+Inputs!$B$30)))</f>
        <v/>
      </c>
      <c r="E1535">
        <f>INDEX(FactorTable!$B$2:$Y$301, MATCH(ROUND(MIN(300,MAX(1,D1535)),0), FactorTable!$A$2:$A$301,0), Skills!L23+1)</f>
        <v/>
      </c>
      <c r="F1535">
        <f>IF(Skills!M23=TRUE,(Skills!K23/10)*(E1535/1000),Skills!K23/10)+Skills!N23</f>
        <v/>
      </c>
      <c r="G1535">
        <f>Calc!G23</f>
        <v/>
      </c>
      <c r="H1535">
        <f>Calc!H23</f>
        <v/>
      </c>
      <c r="I1535">
        <f>IF(Skills!T23&lt;&gt;"",1+(Skills!T23/10)*($Z$3/1000)/100,1)</f>
        <v/>
      </c>
      <c r="J1535" t="inlineStr"/>
      <c r="K1535" t="inlineStr"/>
      <c r="L1535" t="inlineStr"/>
      <c r="M1535" t="inlineStr"/>
      <c r="N1535" t="inlineStr"/>
      <c r="O1535">
        <f>(1-Summary!$B$11)*S1535+Summary!$B$11*U1535</f>
        <v/>
      </c>
      <c r="P1535">
        <f>IF(B1555=0,0,O1535/B1555)</f>
        <v/>
      </c>
      <c r="Q1535">
        <f>IFERROR(1/(IF(Inputs!$B$39="pvp",15,MAX(0.1,Skills!D23-IF(Skills!E23=TRUE,Inputs!$B$33,0)))*(1-IF(AND(ArtifactsInput!$M$27,Inputs!$B$4="Chapter Hunt"),CHOOSE(ArtifactsInput!$N$27+1,20,24,28,32,36,40),0)/100)),0)</f>
        <v/>
      </c>
      <c r="R1535" t="n">
        <v>0</v>
      </c>
      <c r="S1535" t="n">
        <v>0</v>
      </c>
      <c r="U1535" t="n">
        <v>0</v>
      </c>
    </row>
    <row r="1536">
      <c r="A1536">
        <f>Skills!A24</f>
        <v/>
      </c>
      <c r="B1536">
        <f>Skills!B24</f>
        <v/>
      </c>
      <c r="C1536">
        <f>Inputs!$B$3&gt;=74</f>
        <v/>
      </c>
      <c r="D1536">
        <f>IF(Skills!C24=1,60+Inputs!$B$26+Inputs!$B$30,IF(Skills!C24=2,90+Inputs!$B$27+Inputs!$B$30,IF(Skills!C24=3,120+Inputs!$B$28+Inputs!$B$30,MAX(0,(Inputs!$B$3-100)*3)+Inputs!$B$29+Inputs!$B$30)))</f>
        <v/>
      </c>
      <c r="E1536">
        <f>INDEX(FactorTable!$B$2:$Y$301, MATCH(ROUND(MIN(300,MAX(1,D1536)),0), FactorTable!$A$2:$A$301,0), Skills!L24+1)</f>
        <v/>
      </c>
      <c r="F1536">
        <f>IF(Skills!M24=TRUE,(Skills!K24/10)*(E1536/1000),Skills!K24/10)+Skills!N24</f>
        <v/>
      </c>
      <c r="G1536">
        <f>Calc!G24</f>
        <v/>
      </c>
      <c r="H1536">
        <f>Calc!H24</f>
        <v/>
      </c>
      <c r="I1536">
        <f>IF(Skills!T24&lt;&gt;"",1+(Skills!T24/10)*($Z$3/1000)/100,1)</f>
        <v/>
      </c>
      <c r="J1536" t="inlineStr"/>
      <c r="K1536" t="inlineStr"/>
      <c r="L1536" t="inlineStr"/>
      <c r="M1536" t="inlineStr"/>
      <c r="N1536" t="inlineStr"/>
      <c r="O1536">
        <f>(1-Summary!$B$11)*S1536+Summary!$B$11*U1536</f>
        <v/>
      </c>
      <c r="P1536">
        <f>IF(B1555=0,0,O1536/B1555)</f>
        <v/>
      </c>
      <c r="Q1536">
        <f>IFERROR(1/(IF(Inputs!$B$39="pvp",15,MAX(0.1,Skills!D24-IF(Skills!E24=TRUE,Inputs!$B$33,0)))*(1-IF(AND(ArtifactsInput!$M$27,Inputs!$B$4="Chapter Hunt"),CHOOSE(ArtifactsInput!$N$27+1,20,24,28,32,36,40),0)/100)),0)</f>
        <v/>
      </c>
      <c r="R1536" t="n">
        <v>0</v>
      </c>
      <c r="S1536" t="n">
        <v>0</v>
      </c>
      <c r="U1536" t="n">
        <v>0</v>
      </c>
    </row>
    <row r="1537">
      <c r="A1537">
        <f>Skills!A25</f>
        <v/>
      </c>
      <c r="B1537">
        <f>Skills!B25</f>
        <v/>
      </c>
      <c r="C1537">
        <f>Inputs!$B$3&gt;=74</f>
        <v/>
      </c>
      <c r="D1537">
        <f>IF(Skills!C25=1,60+Inputs!$B$26+Inputs!$B$30,IF(Skills!C25=2,90+Inputs!$B$27+Inputs!$B$30,IF(Skills!C25=3,120+Inputs!$B$28+Inputs!$B$30,MAX(0,(Inputs!$B$3-100)*3)+Inputs!$B$29+Inputs!$B$30)))</f>
        <v/>
      </c>
      <c r="E1537">
        <f>INDEX(FactorTable!$B$2:$Y$301, MATCH(ROUND(MIN(300,MAX(1,D1537)),0), FactorTable!$A$2:$A$301,0), Skills!L25+1)</f>
        <v/>
      </c>
      <c r="F1537">
        <f>IF(Skills!M25=TRUE,(Skills!K25/10)*(E1537/1000),Skills!K25/10)+Skills!N25</f>
        <v/>
      </c>
      <c r="G1537">
        <f>Calc!G25</f>
        <v/>
      </c>
      <c r="H1537">
        <f>Calc!H25</f>
        <v/>
      </c>
      <c r="I1537">
        <f>IF(Skills!T25&lt;&gt;"",1+(Skills!T25/10)*($Z$3/1000)/100,1)</f>
        <v/>
      </c>
      <c r="J1537" t="inlineStr"/>
      <c r="K1537" t="inlineStr"/>
      <c r="L1537" t="inlineStr"/>
      <c r="M1537" t="inlineStr"/>
      <c r="N1537" t="inlineStr"/>
      <c r="O1537">
        <f>(1-Summary!$B$11)*S1537+Summary!$B$11*U1537</f>
        <v/>
      </c>
      <c r="P1537">
        <f>IF(B1555=0,0,O1537/B1555)</f>
        <v/>
      </c>
      <c r="Q1537">
        <f>IFERROR(1/(IF(Inputs!$B$39="pvp",15,MAX(0.1,Skills!D25-IF(Skills!E25=TRUE,Inputs!$B$33,0)))*(1-IF(AND(ArtifactsInput!$M$27,Inputs!$B$4="Chapter Hunt"),CHOOSE(ArtifactsInput!$N$27+1,20,24,28,32,36,40),0)/100)),0)</f>
        <v/>
      </c>
      <c r="R1537" t="n">
        <v>0</v>
      </c>
      <c r="S1537" t="n">
        <v>0</v>
      </c>
      <c r="U1537" t="n">
        <v>0</v>
      </c>
    </row>
    <row r="1538">
      <c r="A1538">
        <f>Skills!A26</f>
        <v/>
      </c>
      <c r="B1538">
        <f>Skills!B26</f>
        <v/>
      </c>
      <c r="C1538">
        <f>Inputs!$B$3&gt;=117</f>
        <v/>
      </c>
      <c r="D1538">
        <f>IF(Skills!C26=1,60+Inputs!$B$26+Inputs!$B$30,IF(Skills!C26=2,90+Inputs!$B$27+Inputs!$B$30,IF(Skills!C26=3,120+Inputs!$B$28+Inputs!$B$30,MAX(0,(Inputs!$B$3-100)*3)+Inputs!$B$29+Inputs!$B$30)))</f>
        <v/>
      </c>
      <c r="E1538">
        <f>INDEX(FactorTable!$B$2:$Y$301, MATCH(ROUND(MIN(300,MAX(1,D1538)),0), FactorTable!$A$2:$A$301,0), Skills!L26+1)</f>
        <v/>
      </c>
      <c r="F1538">
        <f>IF(Skills!M26=TRUE,(Skills!K26/10)*(E1538/1000),Skills!K26/10)+Skills!N26</f>
        <v/>
      </c>
      <c r="G1538">
        <f>Calc!G26</f>
        <v/>
      </c>
      <c r="H1538">
        <f>Calc!H26</f>
        <v/>
      </c>
      <c r="I1538">
        <f>IF(Skills!T26&lt;&gt;"",1+(Skills!T26/10)*($Z$3/1000)/100,1)</f>
        <v/>
      </c>
      <c r="J1538" t="inlineStr"/>
      <c r="K1538" t="inlineStr"/>
      <c r="L1538" t="inlineStr"/>
      <c r="M1538" t="inlineStr"/>
      <c r="N1538" t="inlineStr"/>
      <c r="O1538">
        <f>(1-Summary!$B$11)*S1538+Summary!$B$11*U1538</f>
        <v/>
      </c>
      <c r="P1538">
        <f>IF(B1555=0,0,O1538/B1555)</f>
        <v/>
      </c>
      <c r="Q1538">
        <f>IFERROR(1/(IF(Inputs!$B$39="pvp",15,MAX(0.1,Skills!D26-IF(Skills!E26=TRUE,Inputs!$B$33,0)))*(1-IF(AND(ArtifactsInput!$M$27,Inputs!$B$4="Chapter Hunt"),CHOOSE(ArtifactsInput!$N$27+1,20,24,28,32,36,40),0)/100)),0)</f>
        <v/>
      </c>
      <c r="R1538" t="n">
        <v>0</v>
      </c>
      <c r="S1538" t="n">
        <v>0</v>
      </c>
      <c r="U1538" t="n">
        <v>0</v>
      </c>
    </row>
    <row r="1539">
      <c r="A1539">
        <f>Skills!A27</f>
        <v/>
      </c>
      <c r="B1539">
        <f>Skills!B27</f>
        <v/>
      </c>
      <c r="C1539">
        <f>Inputs!$B$3&gt;=120</f>
        <v/>
      </c>
      <c r="D1539">
        <f>IF(Skills!C27=1,60+Inputs!$B$26+Inputs!$B$30,IF(Skills!C27=2,90+Inputs!$B$27+Inputs!$B$30,IF(Skills!C27=3,120+Inputs!$B$28+Inputs!$B$30,MAX(0,(Inputs!$B$3-100)*3)+Inputs!$B$29+Inputs!$B$30)))</f>
        <v/>
      </c>
      <c r="E1539">
        <f>INDEX(FactorTable!$B$2:$Y$301, MATCH(ROUND(MIN(300,MAX(1,D1539)),0), FactorTable!$A$2:$A$301,0), Skills!L27+1)</f>
        <v/>
      </c>
      <c r="F1539">
        <f>IF(Skills!M27=TRUE,(Skills!K27/10)*(E1539/1000),Skills!K27/10)+Skills!N27</f>
        <v/>
      </c>
      <c r="G1539">
        <f>Calc!G27</f>
        <v/>
      </c>
      <c r="H1539">
        <f>Calc!H27</f>
        <v/>
      </c>
      <c r="I1539">
        <f>IF(Skills!T27&lt;&gt;"",1+(Skills!T27/10)*($Z$3/1000)/100,1)</f>
        <v/>
      </c>
      <c r="J1539" t="inlineStr"/>
      <c r="K1539" t="inlineStr"/>
      <c r="L1539" t="inlineStr"/>
      <c r="M1539" t="inlineStr"/>
      <c r="N1539" t="inlineStr"/>
      <c r="O1539">
        <f>(1-Summary!$B$11)*S1539+Summary!$B$11*U1539</f>
        <v/>
      </c>
      <c r="P1539">
        <f>IF(B1555=0,0,O1539/B1555)</f>
        <v/>
      </c>
      <c r="Q1539">
        <f>IFERROR(1/(IF(Inputs!$B$39="pvp",15,MAX(0.1,Skills!D27-IF(Skills!E27=TRUE,Inputs!$B$33,0)))*(1-IF(AND(ArtifactsInput!$M$27,Inputs!$B$4="Chapter Hunt"),CHOOSE(ArtifactsInput!$N$27+1,20,24,28,32,36,40),0)/100)),0)</f>
        <v/>
      </c>
      <c r="R1539" t="n">
        <v>0</v>
      </c>
      <c r="S1539" t="n">
        <v>0</v>
      </c>
      <c r="U1539" t="n">
        <v>0</v>
      </c>
    </row>
    <row r="1540">
      <c r="A1540">
        <f>Skills!A28</f>
        <v/>
      </c>
      <c r="B1540">
        <f>Skills!B28</f>
        <v/>
      </c>
      <c r="C1540">
        <f>TRUE</f>
        <v/>
      </c>
      <c r="D1540">
        <f>IF(Skills!C28=1,60+Inputs!$B$26+Inputs!$B$30,IF(Skills!C28=2,90+Inputs!$B$27+Inputs!$B$30,IF(Skills!C28=3,120+Inputs!$B$28+Inputs!$B$30,MAX(0,(Inputs!$B$3-100)*3)+Inputs!$B$29+Inputs!$B$30)))</f>
        <v/>
      </c>
      <c r="E1540">
        <f>INDEX(FactorTable!$B$2:$Y$301, MATCH(ROUND(MIN(300,MAX(1,D1540)),0), FactorTable!$A$2:$A$301,0), Skills!L28+1)</f>
        <v/>
      </c>
      <c r="F1540">
        <f>IF(Skills!M28=TRUE,(Skills!K28/10)*(E1540/1000),Skills!K28/10)+Skills!N28</f>
        <v/>
      </c>
      <c r="G1540">
        <f>Calc!G28</f>
        <v/>
      </c>
      <c r="H1540">
        <f>Calc!H28</f>
        <v/>
      </c>
      <c r="I1540">
        <f>IF(Skills!T28&lt;&gt;"",1+(Skills!T28/10)*($Z$3/1000)/100,1)</f>
        <v/>
      </c>
      <c r="J1540" t="inlineStr"/>
      <c r="K1540" t="inlineStr"/>
      <c r="L1540" t="inlineStr"/>
      <c r="M1540" t="inlineStr"/>
      <c r="N1540" t="inlineStr"/>
      <c r="O1540">
        <f>(1-Summary!$B$11)*S1540+Summary!$B$11*U1540</f>
        <v/>
      </c>
      <c r="P1540">
        <f>IF(B1555=0,0,O1540/B1555)</f>
        <v/>
      </c>
      <c r="Q1540">
        <f>IFERROR(1/(IF(Inputs!$B$39="pvp",15,MAX(0.1,Skills!D28-IF(Skills!E28=TRUE,Inputs!$B$33,0)))*(1-IF(AND(ArtifactsInput!$M$27,Inputs!$B$4="Chapter Hunt"),CHOOSE(ArtifactsInput!$N$27+1,20,24,28,32,36,40),0)/100)),0)</f>
        <v/>
      </c>
      <c r="R1540">
        <f>IF(AND(Inputs!$B$39&lt;&gt;"pvp",Inputs!$B$44&gt;0),IF(Inputs!$B$44&lt;=0,0,(INT(Inputs!$B$44/(IF(Inputs!$B$39="pvp",15,MAX(0.1,Skills!D28-IF(Skills!E28=TRUE,Inputs!$B$33,0)))*(1-IF(AND(ArtifactsInput!$M$27,Inputs!$B$4="Chapter Hunt"),CHOOSE(ArtifactsInput!$N$27+1,20,24,28,32,36,40),0)/100)))+1)),0)</f>
        <v/>
      </c>
      <c r="S1540" t="n">
        <v>0</v>
      </c>
      <c r="U1540" t="n">
        <v>0</v>
      </c>
    </row>
    <row r="1542">
      <c r="A1542" t="inlineStr">
        <is>
          <t>Average Buff Multiplier</t>
        </is>
      </c>
      <c r="B1542">
        <f>(1+(IF(C1515=TRUE,F1515*IF(AND(Inputs!$B$39&lt;&gt;"pvp",Inputs!$B$44&gt;0),(((R1515-1)*(Skills!S3*(1+((Inputs!$B$35+(ArtifactsInput!$M$7-ArtifactsInput!$M$7)*CHOOSE(ArtifactsInput!$N$7+1,6,7.2,8.4,9.6,10.8,12))+IF(Inputs!$B$3&gt;=117,F1538,0))/100))+MIN((Skills!S3*(1+((Inputs!$B$35+(ArtifactsInput!$M$7-ArtifactsInput!$M$7)*CHOOSE(ArtifactsInput!$N$7+1,6,7.2,8.4,9.6,10.8,12))+IF(Inputs!$B$3&gt;=117,F1538,0))/100)),MAX(0,Inputs!$B$44-((R1515-1)*Skills!D3))))/Inputs!$B$44),IF(Inputs!$B$39="pvp",MIN((Skills!S3*(1+((Inputs!$B$35+(ArtifactsInput!$M$7-ArtifactsInput!$M$7)*CHOOSE(ArtifactsInput!$N$7+1,6,7.2,8.4,9.6,10.8,12))+IF(Inputs!$B$3&gt;=117,F1538,0))/100)),15)/15,(Skills!S3*(1+((Inputs!$B$35+(ArtifactsInput!$M$7-ArtifactsInput!$M$7)*CHOOSE(ArtifactsInput!$N$7+1,6,7.2,8.4,9.6,10.8,12))+IF(Inputs!$B$3&gt;=117,F1538,0))/100))/Skills!D3)),0)+IF(C1516=TRUE,F1516*IF(AND(Inputs!$B$39&lt;&gt;"pvp",Inputs!$B$44&gt;0),(((R1516-1)*(Skills!S4*(1+((Inputs!$B$35+(ArtifactsInput!$M$7-ArtifactsInput!$M$7)*CHOOSE(ArtifactsInput!$N$7+1,6,7.2,8.4,9.6,10.8,12))+IF(Inputs!$B$3&gt;=117,F1538,0))/100))+MIN((Skills!S4*(1+((Inputs!$B$35+(ArtifactsInput!$M$7-ArtifactsInput!$M$7)*CHOOSE(ArtifactsInput!$N$7+1,6,7.2,8.4,9.6,10.8,12))+IF(Inputs!$B$3&gt;=117,F1538,0))/100)),MAX(0,Inputs!$B$44-((R1516-1)*Skills!D4))))/Inputs!$B$44),IF(Inputs!$B$39="pvp",MIN((Skills!S4*(1+((Inputs!$B$35+(ArtifactsInput!$M$7-ArtifactsInput!$M$7)*CHOOSE(ArtifactsInput!$N$7+1,6,7.2,8.4,9.6,10.8,12))+IF(Inputs!$B$3&gt;=117,F1538,0))/100)),15)/15,(Skills!S4*(1+((Inputs!$B$35+(ArtifactsInput!$M$7-ArtifactsInput!$M$7)*CHOOSE(ArtifactsInput!$N$7+1,6,7.2,8.4,9.6,10.8,12))+IF(Inputs!$B$3&gt;=117,F1538,0))/100))/Skills!D4)),0)+IF(C1517=TRUE,F1517*IF(AND(Inputs!$B$39&lt;&gt;"pvp",Inputs!$B$44&gt;0),(((R1517-1)*(Skills!S5*(1+((Inputs!$B$35+(ArtifactsInput!$M$7-ArtifactsInput!$M$7)*CHOOSE(ArtifactsInput!$N$7+1,6,7.2,8.4,9.6,10.8,12))+IF(Inputs!$B$3&gt;=117,F1538,0))/100))+MIN((Skills!S5*(1+((Inputs!$B$35+(ArtifactsInput!$M$7-ArtifactsInput!$M$7)*CHOOSE(ArtifactsInput!$N$7+1,6,7.2,8.4,9.6,10.8,12))+IF(Inputs!$B$3&gt;=117,F1538,0))/100)),MAX(0,Inputs!$B$44-((R1517-1)*Skills!D5))))/Inputs!$B$44),IF(Inputs!$B$39="pvp",MIN((Skills!S5*(1+((Inputs!$B$35+(ArtifactsInput!$M$7-ArtifactsInput!$M$7)*CHOOSE(ArtifactsInput!$N$7+1,6,7.2,8.4,9.6,10.8,12))+IF(Inputs!$B$3&gt;=117,F1538,0))/100)),15)/15,(Skills!S5*(1+((Inputs!$B$35+(ArtifactsInput!$M$7-ArtifactsInput!$M$7)*CHOOSE(ArtifactsInput!$N$7+1,6,7.2,8.4,9.6,10.8,12))+IF(Inputs!$B$3&gt;=117,F1538,0))/100))/Skills!D5)),0)+IF(C1523=TRUE,F1523*IF(AND(Inputs!$B$39&lt;&gt;"pvp",Inputs!$B$44&gt;0),(((R1523-1)*(Skills!S11*(1+((Inputs!$B$35+(ArtifactsInput!$M$7-ArtifactsInput!$M$7)*CHOOSE(ArtifactsInput!$N$7+1,6,7.2,8.4,9.6,10.8,12))+IF(Inputs!$B$3&gt;=117,F1538,0))/100))+MIN((Skills!S11*(1+((Inputs!$B$35+(ArtifactsInput!$M$7-ArtifactsInput!$M$7)*CHOOSE(ArtifactsInput!$N$7+1,6,7.2,8.4,9.6,10.8,12))+IF(Inputs!$B$3&gt;=117,F1538,0))/100)),MAX(0,Inputs!$B$44-((R1523-1)*Skills!D11))))/Inputs!$B$44),IF(Inputs!$B$39="pvp",MIN((Skills!S11*(1+((Inputs!$B$35+(ArtifactsInput!$M$7-ArtifactsInput!$M$7)*CHOOSE(ArtifactsInput!$N$7+1,6,7.2,8.4,9.6,10.8,12))+IF(Inputs!$B$3&gt;=117,F1538,0))/100)),15)/15,(Skills!S11*(1+((Inputs!$B$35+(ArtifactsInput!$M$7-ArtifactsInput!$M$7)*CHOOSE(ArtifactsInput!$N$7+1,6,7.2,8.4,9.6,10.8,12))+IF(Inputs!$B$3&gt;=117,F1538,0)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1526=TRUE,(1+F1526*IF(AND(Inputs!$B$39&lt;&gt;"pvp",Inputs!$B$44&gt;0),(((R1526-1)*(Skills!S14*(1+((Inputs!$B$35+(ArtifactsInput!$M$7-ArtifactsInput!$M$7)*CHOOSE(ArtifactsInput!$N$7+1,6,7.2,8.4,9.6,10.8,12))+IF(Inputs!$B$3&gt;=117,F1538,0))/100))+MIN((Skills!S14*(1+((Inputs!$B$35+(ArtifactsInput!$M$7-ArtifactsInput!$M$7)*CHOOSE(ArtifactsInput!$N$7+1,6,7.2,8.4,9.6,10.8,12))+IF(Inputs!$B$3&gt;=117,F1538,0))/100)),MAX(0,Inputs!$B$44-((R1526-1)*Skills!D14))))/Inputs!$B$44),IF(Inputs!$B$39="pvp",MIN((Skills!S14*(1+((Inputs!$B$35+(ArtifactsInput!$M$7-ArtifactsInput!$M$7)*CHOOSE(ArtifactsInput!$N$7+1,6,7.2,8.4,9.6,10.8,12))+IF(Inputs!$B$3&gt;=117,F1538,0))/100)),15)/15,(Skills!S14*(1+((Inputs!$B$35+(ArtifactsInput!$M$7-ArtifactsInput!$M$7)*CHOOSE(ArtifactsInput!$N$7+1,6,7.2,8.4,9.6,10.8,12))+IF(Inputs!$B$3&gt;=117,F1538,0))/100))/Skills!D14))/100),1)*IF(C1531=TRUE,(1+F1531*IF(AND(Inputs!$B$39&lt;&gt;"pvp",Inputs!$B$44&gt;0),(((R1531-1)*(Skills!S19*(1+((Inputs!$B$35+(ArtifactsInput!$M$7-ArtifactsInput!$M$7)*CHOOSE(ArtifactsInput!$N$7+1,6,7.2,8.4,9.6,10.8,12))+IF(Inputs!$B$3&gt;=117,F1538,0))/100))+MIN((Skills!S19*(1+((Inputs!$B$35+(ArtifactsInput!$M$7-ArtifactsInput!$M$7)*CHOOSE(ArtifactsInput!$N$7+1,6,7.2,8.4,9.6,10.8,12))+IF(Inputs!$B$3&gt;=117,F1538,0))/100)),MAX(0,Inputs!$B$44-((R1531-1)*Skills!D19))))/Inputs!$B$44),IF(Inputs!$B$39="pvp",MIN((Skills!S19*(1+((Inputs!$B$35+(ArtifactsInput!$M$7-ArtifactsInput!$M$7)*CHOOSE(ArtifactsInput!$N$7+1,6,7.2,8.4,9.6,10.8,12))+IF(Inputs!$B$3&gt;=117,F1538,0))/100)),15)/15,(Skills!S19*(1+((Inputs!$B$35+(ArtifactsInput!$M$7-ArtifactsInput!$M$7)*CHOOSE(ArtifactsInput!$N$7+1,6,7.2,8.4,9.6,10.8,12))+IF(Inputs!$B$3&gt;=117,F1538,0))/100))/Skills!D19))/100),1)</f>
        <v/>
      </c>
    </row>
    <row r="1543">
      <c r="A1543" t="inlineStr">
        <is>
          <t>Monster Damage Taken Bonus % (Holy Fountain)</t>
        </is>
      </c>
      <c r="B1543">
        <f>IF(Inputs!$B$3&gt;=68,20*IF(Inputs!$B$39="pvp",MIN((15*(1+((Inputs!$B$35+(ArtifactsInput!$M$7-ArtifactsInput!$M$7)*CHOOSE(ArtifactsInput!$N$7+1,6,7.2,8.4,9.6,10.8,12))+IF(Inputs!$B$3&gt;=117,F1538,0))/100)),15)/15,(15*(1+((Inputs!$B$35+(ArtifactsInput!$M$7-ArtifactsInput!$M$7)*CHOOSE(ArtifactsInput!$N$7+1,6,7.2,8.4,9.6,10.8,12))+IF(Inputs!$B$3&gt;=117,F1538,0))/100))/Skills!D10),0)</f>
        <v/>
      </c>
    </row>
    <row r="1544">
      <c r="A1544" t="inlineStr">
        <is>
          <t>Normal Monster Damage Bonus % (Holy Symbol)</t>
        </is>
      </c>
      <c r="B1544">
        <f>IF(C1524=TRUE,F1524*IF(AND(Inputs!$B$39&lt;&gt;"pvp",Inputs!$B$44&gt;0),(((R1524-1)*(Skills!S12*(1+((Inputs!$B$35+(ArtifactsInput!$M$7-ArtifactsInput!$M$7)*CHOOSE(ArtifactsInput!$N$7+1,6,7.2,8.4,9.6,10.8,12))+IF(Inputs!$B$3&gt;=117,F1538,0))/100))+MIN((Skills!S12*(1+((Inputs!$B$35+(ArtifactsInput!$M$7-ArtifactsInput!$M$7)*CHOOSE(ArtifactsInput!$N$7+1,6,7.2,8.4,9.6,10.8,12))+IF(Inputs!$B$3&gt;=117,F1538,0))/100)),MAX(0,Inputs!$B$44-((R1524-1)*Skills!D12))))/Inputs!$B$44),IF(Inputs!$B$39="pvp",MIN((Skills!S12*(1+((Inputs!$B$35+(ArtifactsInput!$M$7-ArtifactsInput!$M$7)*CHOOSE(ArtifactsInput!$N$7+1,6,7.2,8.4,9.6,10.8,12))+IF(Inputs!$B$3&gt;=117,F1538,0))/100)),15)/15,(Skills!S12*(1+((Inputs!$B$35+(ArtifactsInput!$M$7-ArtifactsInput!$M$7)*CHOOSE(ArtifactsInput!$N$7+1,6,7.2,8.4,9.6,10.8,12))+IF(Inputs!$B$3&gt;=117,F1538,0))/100))/Skills!D12)),0)</f>
        <v/>
      </c>
    </row>
    <row r="1545">
      <c r="A1545" t="inlineStr">
        <is>
          <t>Damage % Bonus (Holy Symbol - Damage Boost)</t>
        </is>
      </c>
      <c r="B1545">
        <f>Skills!O12</f>
        <v/>
      </c>
    </row>
    <row r="1546">
      <c r="A1546" t="inlineStr">
        <is>
          <t>Crit Damage % Bonus (Blood of the Divine)</t>
        </is>
      </c>
      <c r="B1546">
        <f>4*IF(C1532=TRUE,F1532,0)</f>
        <v/>
      </c>
    </row>
    <row r="1547">
      <c r="A1547" t="inlineStr">
        <is>
          <t>Attack Speed Bonus %</t>
        </is>
      </c>
      <c r="B1547">
        <f>IF(C1529=TRUE,F1529+(F1533-Calc!F21),0)+IF(Inputs!$B$3&gt;=134,15,0)+((C1540=TRUE)*F1540*IF(AND(Inputs!$B$39&lt;&gt;"pvp",Inputs!$B$44&gt;0),(((R1540-1)*(Skills!S28*(1+((Inputs!$B$35+(ArtifactsInput!$M$7-ArtifactsInput!$M$7)*CHOOSE(ArtifactsInput!$N$7+1,6,7.2,8.4,9.6,10.8,12))+IF(Inputs!$B$3&gt;=117,F1538,0))/100))+MIN((Skills!S28*(1+((Inputs!$B$35+(ArtifactsInput!$M$7-ArtifactsInput!$M$7)*CHOOSE(ArtifactsInput!$N$7+1,6,7.2,8.4,9.6,10.8,12))+IF(Inputs!$B$3&gt;=117,F1538,0))/100)),MAX(0,Inputs!$B$44-((R1540-1)*Skills!D28))))/Inputs!$B$44),IF(Inputs!$B$39="pvp",MIN((Skills!S28*(1+((Inputs!$B$35+(ArtifactsInput!$M$7-ArtifactsInput!$M$7)*CHOOSE(ArtifactsInput!$N$7+1,6,7.2,8.4,9.6,10.8,12))+IF(Inputs!$B$3&gt;=117,F1538,0))/100)),15)/15,(Skills!S28*(1+((Inputs!$B$35+(ArtifactsInput!$M$7-ArtifactsInput!$M$7)*CHOOSE(ArtifactsInput!$N$7+1,6,7.2,8.4,9.6,10.8,12))+IF(Inputs!$B$3&gt;=117,F1538,0))/100))/Skills!D28)))</f>
        <v/>
      </c>
    </row>
    <row r="1548">
      <c r="A1548" t="inlineStr">
        <is>
          <t>Actions Per Second</t>
        </is>
      </c>
      <c r="B1548">
        <f>1+MIN(150,150*(1-(1-Inputs!$B$12/150)*(1-B1547/150)))/100</f>
        <v/>
      </c>
    </row>
    <row r="1549">
      <c r="A1549" t="inlineStr">
        <is>
          <t>Skill + Buff Cast Rate</t>
        </is>
      </c>
      <c r="B1549">
        <f>IF(AND(Inputs!$B$39&lt;&gt;"pvp",Inputs!$B$44&gt;0),SUMPRODUCT((Skills!E2:E28=TRUE)*(C1514:C1540=TRUE)*R1514:R1540)/Inputs!$B$44,SUMPRODUCT((Skills!E2:E28=TRUE)*(C1514:C1540=TRUE)*Q1514:Q1540))</f>
        <v/>
      </c>
    </row>
    <row r="1550">
      <c r="A1550" t="inlineStr">
        <is>
          <t>Big Bang Casts Per Second</t>
        </is>
      </c>
      <c r="B1550">
        <f>MAX(0,B1548-B1549)</f>
        <v/>
      </c>
    </row>
    <row r="1551">
      <c r="A1551" t="inlineStr">
        <is>
          <t>Defense % Bonus (Divine Protection)</t>
        </is>
      </c>
      <c r="B1551">
        <f>IF(C1525=TRUE,F1525*IF(AND(Inputs!$B$39&lt;&gt;"pvp",Inputs!$B$44&gt;0),(((R1525-1)*(Skills!S13*(1+((Inputs!$B$35+(ArtifactsInput!$M$7-ArtifactsInput!$M$7)*CHOOSE(ArtifactsInput!$N$7+1,6,7.2,8.4,9.6,10.8,12))+IF(Inputs!$B$3&gt;=117,F1538,0))/100))+MIN((Skills!S13*(1+((Inputs!$B$35+(ArtifactsInput!$M$7-ArtifactsInput!$M$7)*CHOOSE(ArtifactsInput!$N$7+1,6,7.2,8.4,9.6,10.8,12))+IF(Inputs!$B$3&gt;=117,F1538,0))/100)),MAX(0,Inputs!$B$44-((R1525-1)*Skills!D13))))/Inputs!$B$44),IF(Inputs!$B$39="pvp",MIN((Skills!S13*(1+((Inputs!$B$35+(ArtifactsInput!$M$7-ArtifactsInput!$M$7)*CHOOSE(ArtifactsInput!$N$7+1,6,7.2,8.4,9.6,10.8,12))+IF(Inputs!$B$3&gt;=117,F1538,0))/100)),15)/15,(Skills!S13*(1+((Inputs!$B$35+(ArtifactsInput!$M$7-ArtifactsInput!$M$7)*CHOOSE(ArtifactsInput!$N$7+1,6,7.2,8.4,9.6,10.8,12))+IF(Inputs!$B$3&gt;=117,F1538,0))/100))/Skills!D13)),0)</f>
        <v/>
      </c>
    </row>
    <row r="1552">
      <c r="A1552" t="inlineStr">
        <is>
          <t>Buff-Casting Startup Delay (s, fixed-duration only)</t>
        </is>
      </c>
      <c r="B1552">
        <f>IF(AND(Inputs!$B$39&lt;&gt;"pvp",Inputs!$B$44&gt;0),SUMPRODUCT((Skills!S2:S28&gt;0)*(Skills!E2:E28=TRUE)*(C1514:C1540=TRUE))/B1548,0)</f>
        <v/>
      </c>
    </row>
    <row r="1553">
      <c r="A1553" t="inlineStr">
        <is>
          <t>Boss-Only Total DPS (this block's swept value)</t>
        </is>
      </c>
      <c r="B1553">
        <f>SUM(S1514:S1540)</f>
        <v/>
      </c>
    </row>
    <row r="1554">
      <c r="A1554" t="inlineStr">
        <is>
          <t>Normal-Only Total DPS (this block's swept value)</t>
        </is>
      </c>
      <c r="B1554">
        <f>SUM(U1514:U1540)</f>
        <v/>
      </c>
    </row>
    <row r="1555">
      <c r="A1555" s="6" t="inlineStr">
        <is>
          <t>TOTAL DPS</t>
        </is>
      </c>
      <c r="B1555" s="6">
        <f>SUM(O1514:O1540)</f>
        <v/>
      </c>
    </row>
    <row r="1557">
      <c r="A1557" s="6" t="inlineStr">
        <is>
          <t>Stat: Arwen's Glass Shoes (Equip)</t>
        </is>
      </c>
    </row>
    <row r="1558">
      <c r="A1558" s="5" t="inlineStr">
        <is>
          <t>Key</t>
        </is>
      </c>
      <c r="B1558" s="5" t="inlineStr">
        <is>
          <t>Name</t>
        </is>
      </c>
      <c r="C1558" s="5" t="inlineStr">
        <is>
          <t>Unlocked</t>
        </is>
      </c>
      <c r="D1558" s="5" t="inlineStr">
        <is>
          <t>InputLevel</t>
        </is>
      </c>
      <c r="E1558" s="5" t="inlineStr">
        <is>
          <t>Factor</t>
        </is>
      </c>
      <c r="F1558" s="5" t="inlineStr">
        <is>
          <t>CoefficientPercent</t>
        </is>
      </c>
      <c r="G1558" s="5" t="inlineStr">
        <is>
          <t>EffectiveHits</t>
        </is>
      </c>
      <c r="H1558" s="5" t="inlineStr">
        <is>
          <t>ProcProbability</t>
        </is>
      </c>
      <c r="I1558" s="5" t="inlineStr">
        <is>
          <t>MapleHeroMultiplier</t>
        </is>
      </c>
      <c r="J1558" s="5" t="inlineStr">
        <is>
          <t>BaseDamage</t>
        </is>
      </c>
      <c r="K1558" s="5" t="inlineStr">
        <is>
          <t>BaseHitDamage</t>
        </is>
      </c>
      <c r="L1558" s="5" t="inlineStr">
        <is>
          <t>NonCritAvg</t>
        </is>
      </c>
      <c r="M1558" s="5" t="inlineStr">
        <is>
          <t>CritAvg</t>
        </is>
      </c>
      <c r="N1558" s="5" t="inlineStr">
        <is>
          <t>ExpectedDamage(perHit)</t>
        </is>
      </c>
      <c r="O1558" s="5" t="inlineStr">
        <is>
          <t>DPS</t>
        </is>
      </c>
      <c r="P1558" s="5" t="inlineStr">
        <is>
          <t>% of Total</t>
        </is>
      </c>
      <c r="R1558" t="inlineStr">
        <is>
          <t>helpers</t>
        </is>
      </c>
    </row>
    <row r="1559">
      <c r="A1559">
        <f>Skills!A2</f>
        <v/>
      </c>
      <c r="B1559">
        <f>Skills!B2</f>
        <v/>
      </c>
      <c r="C1559">
        <f>Inputs!$B$3&gt;=100</f>
        <v/>
      </c>
      <c r="D1559" t="inlineStr"/>
      <c r="E1559" t="inlineStr"/>
      <c r="F1559">
        <f>T1561+Skills!N2</f>
        <v/>
      </c>
      <c r="G1559">
        <f>Calc!G2</f>
        <v/>
      </c>
      <c r="H1559">
        <f>Calc!H2</f>
        <v/>
      </c>
      <c r="I1559">
        <f>IF(Skills!T2&lt;&gt;"",1+(Skills!T2/10)*($Z$3/1000)/100,1)</f>
        <v/>
      </c>
      <c r="J1559">
        <f>((Inputs!$B$6*(1+Inputs!$B$7/100))+(((Inputs!$B$13*(1+Inputs!$B$14/100))-(Inputs!$B$13*(1+Inputs!$B$14/100)))+0.25*(Inputs!$B$15-Inputs!$B$15))*(1+Inputs!$B$7/100))*(F1559/100)</f>
        <v/>
      </c>
      <c r="K1559">
        <f>J1559*(1+(((Inputs!$B$13+IF(Inputs!$B$3&gt;=35,(10*INDEX(FactorTable!$B$2:$Y$301,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2="TRIUMPH_FEATHER",IF(C1573=TRUE,F1573,0),0)/100)*(1+IF(C1584=TRUE,F1584,0)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1559)</f>
        <v/>
      </c>
      <c r="L1559">
        <f>K1559*(MIN(Inputs!$B$23+(F1579-Calc!F22),(Inputs!$B$24+IF(ArtifactsInput!$M$15,CHOOSE(ArtifactsInput!$N$15+1,25,30,35,40,45,50)/100*(Inputs!$B$12-Inputs!$B$12),0)))/100+(Inputs!$B$24+IF(ArtifactsInput!$M$15,CHOOSE(ArtifactsInput!$N$15+1,25,30,35,40,45,50)/100*(Inputs!$B$12-Inputs!$B$12),0))/100)/2</f>
        <v/>
      </c>
      <c r="M1559">
        <f>L1559*(1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59">
        <f>L1559*(1-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(1-Summary!$B$11)*S1559+Summary!$B$11*U1559</f>
        <v/>
      </c>
      <c r="P1559">
        <f>IF(B1600=0,0,O1559/B1600)</f>
        <v/>
      </c>
      <c r="Q1559">
        <f>IFERROR(1/(IF(Inputs!$B$39="pvp",15,MAX(0.1,Skills!D2-IF(Skills!E2=TRUE,Inputs!$B$33,0)))*(1-IF(AND(ArtifactsInput!$M$27,Inputs!$B$4="Chapter Hunt"),CHOOSE(ArtifactsInput!$N$27+1,20,24,28,32,36,40),0)/100)),0)</f>
        <v/>
      </c>
      <c r="R1559" t="n">
        <v>0</v>
      </c>
      <c r="S1559">
        <f>IF(C1559,(Skills!F2*N1559*B1595)*IF(Inputs!$B$39="pvp",1,1+(Inputs!$B$21+Skills!O2+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1559*(1-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1559*(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1559*(1-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59">
        <f>MAX(0,(Inputs!$B$3-100)*3)+Inputs!$B$29+Inputs!$B$30</f>
        <v/>
      </c>
      <c r="U1559">
        <f>IF(C1559,(Skills!F2*N1559*B1595)*IF(Inputs!$B$39="pvp",1,(1+(Inputs!$B$22+Skills!P2+B1589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Skills!A3</f>
        <v/>
      </c>
      <c r="B1560">
        <f>Skills!B3</f>
        <v/>
      </c>
      <c r="C1560">
        <f>Inputs!$B$3&gt;=15</f>
        <v/>
      </c>
      <c r="D1560">
        <f>IF(Skills!C3=1,60+Inputs!$B$26+Inputs!$B$30,IF(Skills!C3=2,90+Inputs!$B$27+Inputs!$B$30,IF(Skills!C3=3,120+Inputs!$B$28+Inputs!$B$30,MAX(0,(Inputs!$B$3-100)*3)+Inputs!$B$29+Inputs!$B$30)))</f>
        <v/>
      </c>
      <c r="E1560">
        <f>INDEX(FactorTable!$B$2:$Y$301, MATCH(ROUND(MIN(300,MAX(1,D1560)),0), FactorTable!$A$2:$A$301,0), Skills!L3+1)</f>
        <v/>
      </c>
      <c r="F1560">
        <f>IF(Skills!M3=TRUE,(Skills!K3/10)*(E1560/1000),Skills!K3/10)+Skills!N3</f>
        <v/>
      </c>
      <c r="G1560">
        <f>Calc!G3</f>
        <v/>
      </c>
      <c r="H1560">
        <f>Calc!H3</f>
        <v/>
      </c>
      <c r="I1560">
        <f>IF(Skills!T3&lt;&gt;"",1+(Skills!T3/10)*($Z$3/1000)/100,1)</f>
        <v/>
      </c>
      <c r="J1560" t="inlineStr"/>
      <c r="K1560" t="inlineStr"/>
      <c r="L1560" t="inlineStr"/>
      <c r="M1560" t="inlineStr"/>
      <c r="N1560" t="inlineStr"/>
      <c r="O1560">
        <f>(1-Summary!$B$11)*S1560+Summary!$B$11*U1560</f>
        <v/>
      </c>
      <c r="P1560">
        <f>IF(B1600=0,0,O1560/B1600)</f>
        <v/>
      </c>
      <c r="Q1560">
        <f>IFERROR(1/(IF(Inputs!$B$39="pvp",15,MAX(0.1,Skills!D3-IF(Skills!E3=TRUE,Inputs!$B$33,0)))*(1-IF(AND(ArtifactsInput!$M$27,Inputs!$B$4="Chapter Hunt"),CHOOSE(ArtifactsInput!$N$27+1,20,24,28,32,36,40),0)/100)),0)</f>
        <v/>
      </c>
      <c r="R1560">
        <f>IF(AND(Inputs!$B$39&lt;&gt;"pvp",Inputs!$B$44&gt;0),IF(Inputs!$B$44&lt;=0,0,(INT(Inputs!$B$44/(IF(Inputs!$B$39="pvp",15,MAX(0.1,Skills!D3-IF(Skills!E3=TRUE,Inputs!$B$33,0)))*(1-IF(AND(ArtifactsInput!$M$27,Inputs!$B$4="Chapter Hunt"),CHOOSE(ArtifactsInput!$N$27+1,20,24,28,32,36,40),0)/100)))+1)),0)</f>
        <v/>
      </c>
      <c r="S1560" t="n">
        <v>0</v>
      </c>
      <c r="T1560">
        <f>INDEX(FactorTable!$B$2:$Y$301, MATCH(ROUND(MIN(300,MAX(1,T1559)),0), FactorTable!$A$2:$A$301,0), 22)</f>
        <v/>
      </c>
      <c r="U1560" t="n">
        <v>0</v>
      </c>
    </row>
    <row r="1561">
      <c r="A1561">
        <f>Skills!A4</f>
        <v/>
      </c>
      <c r="B1561">
        <f>Skills!B4</f>
        <v/>
      </c>
      <c r="C1561">
        <f>Inputs!$B$3&gt;=38</f>
        <v/>
      </c>
      <c r="D1561">
        <f>IF(Skills!C4=1,60+Inputs!$B$26+Inputs!$B$30,IF(Skills!C4=2,90+Inputs!$B$27+Inputs!$B$30,IF(Skills!C4=3,120+Inputs!$B$28+Inputs!$B$30,MAX(0,(Inputs!$B$3-100)*3)+Inputs!$B$29+Inputs!$B$30)))</f>
        <v/>
      </c>
      <c r="E1561">
        <f>INDEX(FactorTable!$B$2:$Y$301, MATCH(ROUND(MIN(300,MAX(1,D1561)),0), FactorTable!$A$2:$A$301,0), Skills!L4+1)</f>
        <v/>
      </c>
      <c r="F1561">
        <f>IF(Skills!M4=TRUE,(Skills!K4/10)*(E1561/1000),Skills!K4/10)+Skills!N4</f>
        <v/>
      </c>
      <c r="G1561">
        <f>Calc!G4</f>
        <v/>
      </c>
      <c r="H1561">
        <f>Calc!H4</f>
        <v/>
      </c>
      <c r="I1561">
        <f>IF(Skills!T4&lt;&gt;"",1+(Skills!T4/10)*($Z$3/1000)/100,1)</f>
        <v/>
      </c>
      <c r="J1561" t="inlineStr"/>
      <c r="K1561" t="inlineStr"/>
      <c r="L1561" t="inlineStr"/>
      <c r="M1561" t="inlineStr"/>
      <c r="N1561" t="inlineStr"/>
      <c r="O1561">
        <f>(1-Summary!$B$11)*S1561+Summary!$B$11*U1561</f>
        <v/>
      </c>
      <c r="P1561">
        <f>IF(B1600=0,0,O1561/B1600)</f>
        <v/>
      </c>
      <c r="Q1561">
        <f>IFERROR(1/(IF(Inputs!$B$39="pvp",15,MAX(0.1,Skills!D4-IF(Skills!E4=TRUE,Inputs!$B$33,0)))*(1-IF(AND(ArtifactsInput!$M$27,Inputs!$B$4="Chapter Hunt"),CHOOSE(ArtifactsInput!$N$27+1,20,24,28,32,36,40),0)/100)),0)</f>
        <v/>
      </c>
      <c r="R1561">
        <f>IF(AND(Inputs!$B$39&lt;&gt;"pvp",Inputs!$B$44&gt;0),IF(Inputs!$B$44&lt;=0,0,(INT(Inputs!$B$44/(IF(Inputs!$B$39="pvp",15,MAX(0.1,Skills!D4-IF(Skills!E4=TRUE,Inputs!$B$33,0)))*(1-IF(AND(ArtifactsInput!$M$27,Inputs!$B$4="Chapter Hunt"),CHOOSE(ArtifactsInput!$N$27+1,20,24,28,32,36,40),0)/100)))+1)),0)</f>
        <v/>
      </c>
      <c r="S1561" t="n">
        <v>0</v>
      </c>
      <c r="T1561">
        <f>290*T1560/1000</f>
        <v/>
      </c>
      <c r="U1561" t="n">
        <v>0</v>
      </c>
    </row>
    <row r="1562">
      <c r="A1562">
        <f>Skills!A5</f>
        <v/>
      </c>
      <c r="B1562">
        <f>Skills!B5</f>
        <v/>
      </c>
      <c r="C1562">
        <f>Inputs!$B$3&gt;=40</f>
        <v/>
      </c>
      <c r="D1562">
        <f>IF(Skills!C5=1,60+Inputs!$B$26+Inputs!$B$30,IF(Skills!C5=2,90+Inputs!$B$27+Inputs!$B$30,IF(Skills!C5=3,120+Inputs!$B$28+Inputs!$B$30,MAX(0,(Inputs!$B$3-100)*3)+Inputs!$B$29+Inputs!$B$30)))</f>
        <v/>
      </c>
      <c r="E1562">
        <f>INDEX(FactorTable!$B$2:$Y$301, MATCH(ROUND(MIN(300,MAX(1,D1562)),0), FactorTable!$A$2:$A$301,0), Skills!L5+1)</f>
        <v/>
      </c>
      <c r="F1562">
        <f>IF(Skills!M5=TRUE,(Skills!K5/10)*(E1562/1000),Skills!K5/10)+Skills!N5</f>
        <v/>
      </c>
      <c r="G1562">
        <f>Calc!G5</f>
        <v/>
      </c>
      <c r="H1562">
        <f>Calc!H5</f>
        <v/>
      </c>
      <c r="I1562">
        <f>IF(Skills!T5&lt;&gt;"",1+(Skills!T5/10)*($Z$3/1000)/100,1)</f>
        <v/>
      </c>
      <c r="J1562" t="inlineStr"/>
      <c r="K1562" t="inlineStr"/>
      <c r="L1562" t="inlineStr"/>
      <c r="M1562" t="inlineStr"/>
      <c r="N1562" t="inlineStr"/>
      <c r="O1562">
        <f>(1-Summary!$B$11)*S1562+Summary!$B$11*U1562</f>
        <v/>
      </c>
      <c r="P1562">
        <f>IF(B1600=0,0,O1562/B1600)</f>
        <v/>
      </c>
      <c r="Q1562">
        <f>IFERROR(1/(IF(Inputs!$B$39="pvp",15,MAX(0.1,Skills!D5-IF(Skills!E5=TRUE,Inputs!$B$33,0)))*(1-IF(AND(ArtifactsInput!$M$27,Inputs!$B$4="Chapter Hunt"),CHOOSE(ArtifactsInput!$N$27+1,20,24,28,32,36,40),0)/100)),0)</f>
        <v/>
      </c>
      <c r="R1562">
        <f>IF(AND(Inputs!$B$39&lt;&gt;"pvp",Inputs!$B$44&gt;0),IF(Inputs!$B$44&lt;=0,0,(INT(Inputs!$B$44/(IF(Inputs!$B$39="pvp",15,MAX(0.1,Skills!D5-IF(Skills!E5=TRUE,Inputs!$B$33,0)))*(1-IF(AND(ArtifactsInput!$M$27,Inputs!$B$4="Chapter Hunt"),CHOOSE(ArtifactsInput!$N$27+1,20,24,28,32,36,40),0)/100)))+1)),0)</f>
        <v/>
      </c>
      <c r="S1562" t="n">
        <v>0</v>
      </c>
      <c r="U1562" t="n">
        <v>0</v>
      </c>
    </row>
    <row r="1563">
      <c r="A1563">
        <f>Skills!A6</f>
        <v/>
      </c>
      <c r="B1563">
        <f>Skills!B6</f>
        <v/>
      </c>
      <c r="C1563">
        <f>Inputs!$B$3&gt;=103</f>
        <v/>
      </c>
      <c r="D1563">
        <f>IF(Skills!C6=1,60+Inputs!$B$26+Inputs!$B$30,IF(Skills!C6=2,90+Inputs!$B$27+Inputs!$B$30,IF(Skills!C6=3,120+Inputs!$B$28+Inputs!$B$30,MAX(0,(Inputs!$B$3-100)*3)+Inputs!$B$29+Inputs!$B$30)))</f>
        <v/>
      </c>
      <c r="E1563">
        <f>INDEX(FactorTable!$B$2:$Y$301, MATCH(ROUND(MIN(300,MAX(1,D1563)),0), FactorTable!$A$2:$A$301,0), Skills!L6+1)</f>
        <v/>
      </c>
      <c r="F1563">
        <f>IF(Skills!M6=TRUE,(Skills!K6/10)*(E1563/1000),Skills!K6/10)+Skills!N6</f>
        <v/>
      </c>
      <c r="G1563">
        <f>Calc!G6</f>
        <v/>
      </c>
      <c r="H1563">
        <f>Calc!H6</f>
        <v/>
      </c>
      <c r="I1563">
        <f>IF(Skills!T6&lt;&gt;"",1+(Skills!T6/10)*($Z$3/1000)/100,1)</f>
        <v/>
      </c>
      <c r="J1563">
        <f>((Inputs!$B$6*(1+Inputs!$B$7/100))+(((Inputs!$B$13*(1+Inputs!$B$14/100))-(Inputs!$B$13*(1+Inputs!$B$14/100)))+0.25*(Inputs!$B$15-Inputs!$B$15))*(1+Inputs!$B$7/100))*(F1563/100)</f>
        <v/>
      </c>
      <c r="K1563">
        <f>J1563*(1+(((Inputs!$B$13+IF(Inputs!$B$3&gt;=35,(10*INDEX(FactorTable!$B$2:$Y$301,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6="TRIUMPH_FEATHER",IF(C1573=TRUE,F1573,0),0)/100)*(1+IF(C1584=TRUE,F1584,0)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1563)</f>
        <v/>
      </c>
      <c r="L1563">
        <f>K1563*(MIN(Inputs!$B$23+(F1579-Calc!F22),(Inputs!$B$24+IF(ArtifactsInput!$M$15,CHOOSE(ArtifactsInput!$N$15+1,25,30,35,40,45,50)/100*(Inputs!$B$12-Inputs!$B$12),0)))/100+(Inputs!$B$24+IF(ArtifactsInput!$M$15,CHOOSE(ArtifactsInput!$N$15+1,25,30,35,40,45,50)/100*(Inputs!$B$12-Inputs!$B$12),0))/100)/2</f>
        <v/>
      </c>
      <c r="M1563">
        <f>L1563*(1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3">
        <f>L1563*(1-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1563*(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3">
        <f>(1-Summary!$B$11)*S1563+Summary!$B$11*U1563</f>
        <v/>
      </c>
      <c r="P1563">
        <f>IF(B1600=0,0,O1563/B1600)</f>
        <v/>
      </c>
      <c r="Q1563">
        <f>IFERROR(1/(IF(Inputs!$B$39="pvp",15,MAX(0.1,Skills!D6-IF(Skills!E6=TRUE,Inputs!$B$33,0)))*(1-IF(AND(ArtifactsInput!$M$27,Inputs!$B$4="Chapter Hunt"),CHOOSE(ArtifactsInput!$N$27+1,20,24,28,32,36,40),0)/100)),0)</f>
        <v/>
      </c>
      <c r="R1563">
        <f>IF(AND(Inputs!$B$39&lt;&gt;"pvp",Inputs!$B$44&gt;0),IF(MAX(0,Inputs!$B$44-B1597)&lt;=0,0,(INT(MAX(0,Inputs!$B$44-B1597)/(IF(Inputs!$B$39="pvp",15,MAX(0.1,Skills!D6-IF(Skills!E6=TRUE,Inputs!$B$33,0)))*(1-IF(AND(ArtifactsInput!$M$27,Inputs!$B$4="Chapter Hunt"),CHOOSE(ArtifactsInput!$N$27+1,20,24,28,32,36,40),0)/100)))+1)),0)</f>
        <v/>
      </c>
      <c r="S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$21+Skills!O6+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1563*(1-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1563*(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1563*(1-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1563*(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$22+Skills!P6+B1589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4">
      <c r="A1564">
        <f>Skills!A7</f>
        <v/>
      </c>
      <c r="B1564">
        <f>Skills!B7</f>
        <v/>
      </c>
      <c r="C1564">
        <f>Inputs!$B$3&gt;=122</f>
        <v/>
      </c>
      <c r="D1564">
        <f>IF(Skills!C7=1,60+Inputs!$B$26+Inputs!$B$30,IF(Skills!C7=2,90+Inputs!$B$27+Inputs!$B$30,IF(Skills!C7=3,120+Inputs!$B$28+Inputs!$B$30,MAX(0,(Inputs!$B$3-100)*3)+Inputs!$B$29+Inputs!$B$30)))</f>
        <v/>
      </c>
      <c r="E1564">
        <f>INDEX(FactorTable!$B$2:$Y$301, MATCH(ROUND(MIN(300,MAX(1,D1564)),0), FactorTable!$A$2:$A$301,0), Skills!L7+1)</f>
        <v/>
      </c>
      <c r="F1564">
        <f>IF(Skills!M7=TRUE,(Skills!K7/10)*(E1564/1000),Skills!K7/10)+Skills!N7</f>
        <v/>
      </c>
      <c r="G1564">
        <f>Calc!G7</f>
        <v/>
      </c>
      <c r="H1564">
        <f>Calc!H7</f>
        <v/>
      </c>
      <c r="I1564">
        <f>IF(Skills!T7&lt;&gt;"",1+(Skills!T7/10)*($Z$3/1000)/100,1)</f>
        <v/>
      </c>
      <c r="J1564">
        <f>((Inputs!$B$6*(1+Inputs!$B$7/100))+(((Inputs!$B$13*(1+Inputs!$B$14/100))-(Inputs!$B$13*(1+Inputs!$B$14/100)))+0.25*(Inputs!$B$15-Inputs!$B$15))*(1+Inputs!$B$7/100))*(F1564/100)</f>
        <v/>
      </c>
      <c r="K1564">
        <f>J1564*(1+(((Inputs!$B$13+IF(Inputs!$B$3&gt;=35,(10*INDEX(FactorTable!$B$2:$Y$301,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7="TRIUMPH_FEATHER",IF(C1573=TRUE,F1573,0),0)/100)*(1+IF(C1584=TRUE,F1584,0)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1564)</f>
        <v/>
      </c>
      <c r="L1564">
        <f>K1564*(MIN(Inputs!$B$23+(F1579-Calc!F22),(Inputs!$B$24+IF(ArtifactsInput!$M$15,CHOOSE(ArtifactsInput!$N$15+1,25,30,35,40,45,50)/100*(Inputs!$B$12-Inputs!$B$12),0)))/100+(Inputs!$B$24+IF(ArtifactsInput!$M$15,CHOOSE(ArtifactsInput!$N$15+1,25,30,35,40,45,50)/100*(Inputs!$B$12-Inputs!$B$12),0))/100)/2</f>
        <v/>
      </c>
      <c r="M1564">
        <f>L1564*(1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4">
        <f>L1564*(1-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1564*(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4">
        <f>(1-Summary!$B$11)*S1564+Summary!$B$11*U1564</f>
        <v/>
      </c>
      <c r="P1564">
        <f>IF(B1600=0,0,O1564/B1600)</f>
        <v/>
      </c>
      <c r="Q1564">
        <f>IFERROR(1/(IF(Inputs!$B$39="pvp",15,MAX(0.1,Skills!D7-IF(Skills!E6=TRUE,Inputs!$B$33,0)))*(1-IF(AND(ArtifactsInput!$M$27,Inputs!$B$4="Chapter Hunt"),CHOOSE(ArtifactsInput!$N$27+1,20,24,28,32,36,40),0)/100)),0)</f>
        <v/>
      </c>
      <c r="R1564">
        <f>IF(AND(Inputs!$B$39&lt;&gt;"pvp",Inputs!$B$44&gt;0),IF(MAX(0,Inputs!$B$44-B1597)&lt;=0,0,(INT(MAX(0,Inputs!$B$44-B1597)/(IF(Inputs!$B$39="pvp",15,MAX(0.1,Skills!D7-IF(Skills!E6=TRUE,Inputs!$B$33,0)))*(1-IF(AND(ArtifactsInput!$M$27,Inputs!$B$4="Chapter Hunt"),CHOOSE(ArtifactsInput!$N$27+1,20,24,28,32,36,40),0)/100)))+1)),0)</f>
        <v/>
      </c>
      <c r="S1564">
        <f>IF(C1564,H1564*N1564*IF(AND(Inputs!$B$39&lt;&gt;"pvp",Inputs!$B$44&gt;0),((Skills!F7*((R1564-1)*IF(Skills!G7&gt;0,Skills!H7/Skills!G7,1)+IF(Skills!G7&gt;0,MIN(Skills!H7,MAX(0,MAX(0,Inputs!$B$44-B1597)-((R1564-1)*(IF(Inputs!$B$39="pvp",15,MAX(0.1,Skills!D7-IF(Skills!E6=TRUE,Inputs!$B$33,0)))*(1-IF(AND(ArtifactsInput!$M$27,Inputs!$B$4="Chapter Hunt"),CHOOSE(ArtifactsInput!$N$27+1,20,24,28,32,36,40),0)/100)))))/Skills!G7,1)))/Inputs!$B$44),G1564*Q1564)*IF(Inputs!$B$39="pvp",1,1+(Inputs!$B$21+Skills!O7+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1564*(1-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1564*(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1564*(1-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1564*(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4" t="n">
        <v>0</v>
      </c>
    </row>
    <row r="1565">
      <c r="A1565">
        <f>Skills!A8</f>
        <v/>
      </c>
      <c r="B1565">
        <f>Skills!B8</f>
        <v/>
      </c>
      <c r="C1565">
        <f>Inputs!$B$3&gt;=105</f>
        <v/>
      </c>
      <c r="D1565">
        <f>IF(Skills!C8=1,60+Inputs!$B$26+Inputs!$B$30,IF(Skills!C8=2,90+Inputs!$B$27+Inputs!$B$30,IF(Skills!C8=3,120+Inputs!$B$28+Inputs!$B$30,MAX(0,(Inputs!$B$3-100)*3)+Inputs!$B$29+Inputs!$B$30)))</f>
        <v/>
      </c>
      <c r="E1565">
        <f>INDEX(FactorTable!$B$2:$Y$301, MATCH(ROUND(MIN(300,MAX(1,D1565)),0), FactorTable!$A$2:$A$301,0), Skills!L8+1)</f>
        <v/>
      </c>
      <c r="F1565">
        <f>IF(Skills!M8=TRUE,(Skills!K8/10)*(E1565/1000),Skills!K8/10)+Skills!N8</f>
        <v/>
      </c>
      <c r="G1565">
        <f>Calc!G8</f>
        <v/>
      </c>
      <c r="H1565">
        <f>Calc!H8</f>
        <v/>
      </c>
      <c r="I1565">
        <f>IF(Skills!T8&lt;&gt;"",1+(Skills!T8/10)*($Z$3/1000)/100,1)</f>
        <v/>
      </c>
      <c r="J1565">
        <f>((Inputs!$B$6*(1+Inputs!$B$7/100))+(((Inputs!$B$13*(1+Inputs!$B$14/100))-(Inputs!$B$13*(1+Inputs!$B$14/100)))+0.25*(Inputs!$B$15-Inputs!$B$15))*(1+Inputs!$B$7/100))*(F1565/100)</f>
        <v/>
      </c>
      <c r="K1565">
        <f>J1565*(1+(((Inputs!$B$13+IF(Inputs!$B$3&gt;=35,(10*INDEX(FactorTable!$B$2:$Y$301,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8="TRIUMPH_FEATHER",IF(C1573=TRUE,F1573,0),0)/100)*(1+IF(C1584=TRUE,F1584,0)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1565)</f>
        <v/>
      </c>
      <c r="L1565">
        <f>K1565*(MIN(Inputs!$B$23+(F1579-Calc!F22),(Inputs!$B$24+IF(ArtifactsInput!$M$15,CHOOSE(ArtifactsInput!$N$15+1,25,30,35,40,45,50)/100*(Inputs!$B$12-Inputs!$B$12),0)))/100+(Inputs!$B$24+IF(ArtifactsInput!$M$15,CHOOSE(ArtifactsInput!$N$15+1,25,30,35,40,45,50)/100*(Inputs!$B$12-Inputs!$B$12),0))/100)/2</f>
        <v/>
      </c>
      <c r="M1565">
        <f>L1565*(1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5">
        <f>L1565*(1-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1565*(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5">
        <f>(1-Summary!$B$11)*S1565+Summary!$B$11*U1565</f>
        <v/>
      </c>
      <c r="P1565">
        <f>IF(B1600=0,0,O1565/B1600)</f>
        <v/>
      </c>
      <c r="Q1565">
        <f>IFERROR(1/(IF(Inputs!$B$39="pvp",15,MAX(0.1,Skills!D8-IF(Skills!E8=TRUE,Inputs!$B$33,0)))*(1-IF(AND(ArtifactsInput!$M$27,Inputs!$B$4="Chapter Hunt"),CHOOSE(ArtifactsInput!$N$27+1,20,24,28,32,36,40),0)/100)),0)</f>
        <v/>
      </c>
      <c r="R1565">
        <f>IF(AND(Inputs!$B$39&lt;&gt;"pvp",Inputs!$B$44&gt;0),IF(MAX(0,Inputs!$B$44-B1597)&lt;=0,0,(INT(MAX(0,Inputs!$B$44-B1597)/(IF(Inputs!$B$39="pvp",15,MAX(0.1,Skills!D8-IF(Skills!E8=TRUE,Inputs!$B$33,0)))*(1-IF(AND(ArtifactsInput!$M$27,Inputs!$B$4="Chapter Hunt"),CHOOSE(ArtifactsInput!$N$27+1,20,24,28,32,36,40),0)/100)))+1)),0)</f>
        <v/>
      </c>
      <c r="S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$21+Skills!O8+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1565*(1-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1565*(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1565*(1-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1565*(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$22+Skills!P8+B1589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6">
      <c r="A1566">
        <f>Skills!A9</f>
        <v/>
      </c>
      <c r="B1566">
        <f>Skills!B9</f>
        <v/>
      </c>
      <c r="C1566">
        <f>Inputs!$B$3&gt;=115</f>
        <v/>
      </c>
      <c r="D1566">
        <f>IF(Skills!C9=1,60+Inputs!$B$26+Inputs!$B$30,IF(Skills!C9=2,90+Inputs!$B$27+Inputs!$B$30,IF(Skills!C9=3,120+Inputs!$B$28+Inputs!$B$30,MAX(0,(Inputs!$B$3-100)*3)+Inputs!$B$29+Inputs!$B$30)))</f>
        <v/>
      </c>
      <c r="E1566">
        <f>INDEX(FactorTable!$B$2:$Y$301, MATCH(ROUND(MIN(300,MAX(1,D1566)),0), FactorTable!$A$2:$A$301,0), Skills!L9+1)</f>
        <v/>
      </c>
      <c r="F1566">
        <f>IF(Skills!M9=TRUE,(Skills!K9/10)*(E1566/1000),Skills!K9/10)+Skills!N9</f>
        <v/>
      </c>
      <c r="G1566">
        <f>Calc!G9</f>
        <v/>
      </c>
      <c r="H1566">
        <f>Calc!H9</f>
        <v/>
      </c>
      <c r="I1566">
        <f>IF(Skills!T9&lt;&gt;"",1+(Skills!T9/10)*($Z$3/1000)/100,1)</f>
        <v/>
      </c>
      <c r="J1566">
        <f>((Inputs!$B$6*(1+Inputs!$B$7/100))+(((Inputs!$B$13*(1+Inputs!$B$14/100))-(Inputs!$B$13*(1+Inputs!$B$14/100)))+0.25*(Inputs!$B$15-Inputs!$B$15))*(1+Inputs!$B$7/100))*(F1566/100)</f>
        <v/>
      </c>
      <c r="K1566">
        <f>J1566*(1+(((Inputs!$B$13+IF(Inputs!$B$3&gt;=35,(10*INDEX(FactorTable!$B$2:$Y$301,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9="TRIUMPH_FEATHER",IF(C1573=TRUE,F1573,0),0)/100)*(1+IF(C1584=TRUE,F1584,0)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1566)</f>
        <v/>
      </c>
      <c r="L1566">
        <f>K1566*(MIN(Inputs!$B$23+(F1579-Calc!F22),(Inputs!$B$24+IF(ArtifactsInput!$M$15,CHOOSE(ArtifactsInput!$N$15+1,25,30,35,40,45,50)/100*(Inputs!$B$12-Inputs!$B$12),0)))/100+(Inputs!$B$24+IF(ArtifactsInput!$M$15,CHOOSE(ArtifactsInput!$N$15+1,25,30,35,40,45,50)/100*(Inputs!$B$12-Inputs!$B$12),0))/100)/2</f>
        <v/>
      </c>
      <c r="M1566">
        <f>L1566*(1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6">
        <f>L1566*(1-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1566*(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6">
        <f>(1-Summary!$B$11)*S1566+Summary!$B$11*U1566</f>
        <v/>
      </c>
      <c r="P1566">
        <f>IF(B1600=0,0,O1566/B1600)</f>
        <v/>
      </c>
      <c r="Q1566">
        <f>IFERROR(1/(IF(Inputs!$B$39="pvp",15,MAX(0.1,Skills!D9-IF(Skills!E9=TRUE,Inputs!$B$33,0)))*(1-IF(AND(ArtifactsInput!$M$27,Inputs!$B$4="Chapter Hunt"),CHOOSE(ArtifactsInput!$N$27+1,20,24,28,32,36,40),0)/100)),0)</f>
        <v/>
      </c>
      <c r="R1566">
        <f>IF(AND(Inputs!$B$39&lt;&gt;"pvp",Inputs!$B$44&gt;0),IF(MAX(0,Inputs!$B$44-B1597)&lt;=0,0,(INT(MAX(0,Inputs!$B$44-B1597)/(IF(Inputs!$B$39="pvp",15,MAX(0.1,Skills!D9-IF(Skills!E9=TRUE,Inputs!$B$33,0)))*(1-IF(AND(ArtifactsInput!$M$27,Inputs!$B$4="Chapter Hunt"),CHOOSE(ArtifactsInput!$N$27+1,20,24,28,32,36,40),0)/100)))+1)),0)</f>
        <v/>
      </c>
      <c r="S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$21+Skills!O9+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1566*(1-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1566*(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1566*(1-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1566*(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$22+Skills!P9+B1589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7">
      <c r="A1567">
        <f>Skills!A10</f>
        <v/>
      </c>
      <c r="B1567">
        <f>Skills!B10</f>
        <v/>
      </c>
      <c r="C1567">
        <f>Inputs!$B$3&gt;=66</f>
        <v/>
      </c>
      <c r="D1567">
        <f>IF(Skills!C10=1,60+Inputs!$B$26+Inputs!$B$30,IF(Skills!C10=2,90+Inputs!$B$27+Inputs!$B$30,IF(Skills!C10=3,120+Inputs!$B$28+Inputs!$B$30,MAX(0,(Inputs!$B$3-100)*3)+Inputs!$B$29+Inputs!$B$30)))</f>
        <v/>
      </c>
      <c r="E1567">
        <f>INDEX(FactorTable!$B$2:$Y$301, MATCH(ROUND(MIN(300,MAX(1,D1567)),0), FactorTable!$A$2:$A$301,0), Skills!L10+1)</f>
        <v/>
      </c>
      <c r="F1567" t="n">
        <v>0</v>
      </c>
      <c r="G1567">
        <f>Calc!G10</f>
        <v/>
      </c>
      <c r="H1567">
        <f>Calc!H10</f>
        <v/>
      </c>
      <c r="I1567">
        <f>IF(Skills!T10&lt;&gt;"",1+(Skills!T10/10)*($Z$3/1000)/100,1)</f>
        <v/>
      </c>
      <c r="J1567" t="inlineStr"/>
      <c r="K1567" t="inlineStr"/>
      <c r="L1567" t="inlineStr"/>
      <c r="M1567" t="inlineStr"/>
      <c r="N1567" t="inlineStr"/>
      <c r="O1567">
        <f>(1-Summary!$B$11)*S1567+Summary!$B$11*U1567</f>
        <v/>
      </c>
      <c r="P1567">
        <f>IF(B1600=0,0,O1567/B1600)</f>
        <v/>
      </c>
      <c r="Q1567">
        <f>IFERROR(1/(IF(Inputs!$B$39="pvp",15,MAX(0.1,Skills!D10-IF(Skills!E10=TRUE,Inputs!$B$33,0)))*(1-IF(AND(ArtifactsInput!$M$27,Inputs!$B$4="Chapter Hunt"),CHOOSE(ArtifactsInput!$N$27+1,20,24,28,32,36,40),0)/100)),0)</f>
        <v/>
      </c>
      <c r="R1567">
        <f>IF(AND(Inputs!$B$39&lt;&gt;"pvp",Inputs!$B$44&gt;0),IF(MAX(0,Inputs!$B$44-B1597)&lt;=0,0,(INT(MAX(0,Inputs!$B$44-B1597)/(IF(Inputs!$B$39="pvp",15,MAX(0.1,Skills!D10-IF(Skills!E10=TRUE,Inputs!$B$33,0)))*(1-IF(AND(ArtifactsInput!$M$27,Inputs!$B$4="Chapter Hunt"),CHOOSE(ArtifactsInput!$N$27+1,20,24,28,32,36,40),0)/100)))+1)),0)</f>
        <v/>
      </c>
      <c r="S1567" t="n">
        <v>0</v>
      </c>
      <c r="U1567" t="n">
        <v>0</v>
      </c>
    </row>
    <row r="1568">
      <c r="A1568">
        <f>Skills!A11</f>
        <v/>
      </c>
      <c r="B1568">
        <f>Skills!B11</f>
        <v/>
      </c>
      <c r="C1568">
        <f>Inputs!$B$3&gt;=69</f>
        <v/>
      </c>
      <c r="D1568">
        <f>IF(Skills!C11=1,60+Inputs!$B$26+Inputs!$B$30,IF(Skills!C11=2,90+Inputs!$B$27+Inputs!$B$30,IF(Skills!C11=3,120+Inputs!$B$28+Inputs!$B$30,MAX(0,(Inputs!$B$3-100)*3)+Inputs!$B$29+Inputs!$B$30)))</f>
        <v/>
      </c>
      <c r="E1568">
        <f>INDEX(FactorTable!$B$2:$Y$301, MATCH(ROUND(MIN(300,MAX(1,D1568)),0), FactorTable!$A$2:$A$301,0), Skills!L11+1)</f>
        <v/>
      </c>
      <c r="F1568">
        <f>IF(Skills!M11=TRUE,(Skills!K11/10)*(E1568/1000),Skills!K11/10)+Skills!N11</f>
        <v/>
      </c>
      <c r="G1568">
        <f>Calc!G11</f>
        <v/>
      </c>
      <c r="H1568">
        <f>Calc!H11</f>
        <v/>
      </c>
      <c r="I1568">
        <f>IF(Skills!T11&lt;&gt;"",1+(Skills!T11/10)*($Z$3/1000)/100,1)</f>
        <v/>
      </c>
      <c r="J1568" t="inlineStr"/>
      <c r="K1568" t="inlineStr"/>
      <c r="L1568" t="inlineStr"/>
      <c r="M1568" t="inlineStr"/>
      <c r="N1568" t="inlineStr"/>
      <c r="O1568">
        <f>(1-Summary!$B$11)*S1568+Summary!$B$11*U1568</f>
        <v/>
      </c>
      <c r="P1568">
        <f>IF(B1600=0,0,O1568/B1600)</f>
        <v/>
      </c>
      <c r="Q1568">
        <f>IFERROR(1/(IF(Inputs!$B$39="pvp",15,MAX(0.1,Skills!D11-IF(Skills!E11=TRUE,Inputs!$B$33,0)))*(1-IF(AND(ArtifactsInput!$M$27,Inputs!$B$4="Chapter Hunt"),CHOOSE(ArtifactsInput!$N$27+1,20,24,28,32,36,40),0)/100)),0)</f>
        <v/>
      </c>
      <c r="R1568">
        <f>IF(AND(Inputs!$B$39&lt;&gt;"pvp",Inputs!$B$44&gt;0),IF(Inputs!$B$44&lt;=0,0,(INT(Inputs!$B$44/(IF(Inputs!$B$39="pvp",15,MAX(0.1,Skills!D11-IF(Skills!E11=TRUE,Inputs!$B$33,0)))*(1-IF(AND(ArtifactsInput!$M$27,Inputs!$B$4="Chapter Hunt"),CHOOSE(ArtifactsInput!$N$27+1,20,24,28,32,36,40),0)/100)))+1)),0)</f>
        <v/>
      </c>
      <c r="S1568" t="n">
        <v>0</v>
      </c>
      <c r="U1568" t="n">
        <v>0</v>
      </c>
    </row>
    <row r="1569">
      <c r="A1569">
        <f>Skills!A12</f>
        <v/>
      </c>
      <c r="B1569">
        <f>Skills!B12</f>
        <v/>
      </c>
      <c r="C1569">
        <f>Inputs!$B$3&gt;=72</f>
        <v/>
      </c>
      <c r="D1569">
        <f>IF(Skills!C12=1,60+Inputs!$B$26+Inputs!$B$30,IF(Skills!C12=2,90+Inputs!$B$27+Inputs!$B$30,IF(Skills!C12=3,120+Inputs!$B$28+Inputs!$B$30,MAX(0,(Inputs!$B$3-100)*3)+Inputs!$B$29+Inputs!$B$30)))</f>
        <v/>
      </c>
      <c r="E1569">
        <f>INDEX(FactorTable!$B$2:$Y$301, MATCH(ROUND(MIN(300,MAX(1,D1569)),0), FactorTable!$A$2:$A$301,0), Skills!L12+1)</f>
        <v/>
      </c>
      <c r="F1569">
        <f>IF(Skills!M12=TRUE,(Skills!K12/10)*(E1569/1000),Skills!K12/10)+Skills!N12</f>
        <v/>
      </c>
      <c r="G1569">
        <f>Calc!G12</f>
        <v/>
      </c>
      <c r="H1569">
        <f>Calc!H12</f>
        <v/>
      </c>
      <c r="I1569">
        <f>IF(Skills!T12&lt;&gt;"",1+(Skills!T12/10)*($Z$3/1000)/100,1)</f>
        <v/>
      </c>
      <c r="J1569" t="inlineStr"/>
      <c r="K1569" t="inlineStr"/>
      <c r="L1569" t="inlineStr"/>
      <c r="M1569" t="inlineStr"/>
      <c r="N1569" t="inlineStr"/>
      <c r="O1569">
        <f>(1-Summary!$B$11)*S1569+Summary!$B$11*U1569</f>
        <v/>
      </c>
      <c r="P1569">
        <f>IF(B1600=0,0,O1569/B1600)</f>
        <v/>
      </c>
      <c r="Q1569">
        <f>IFERROR(1/(IF(Inputs!$B$39="pvp",15,MAX(0.1,Skills!D12-IF(Skills!E12=TRUE,Inputs!$B$33,0)))*(1-IF(AND(ArtifactsInput!$M$27,Inputs!$B$4="Chapter Hunt"),CHOOSE(ArtifactsInput!$N$27+1,20,24,28,32,36,40),0)/100)),0)</f>
        <v/>
      </c>
      <c r="R1569">
        <f>IF(AND(Inputs!$B$39&lt;&gt;"pvp",Inputs!$B$44&gt;0),IF(MAX(0,Inputs!$B$44-B1597)&lt;=0,0,(INT(MAX(0,Inputs!$B$44-B1597)/(IF(Inputs!$B$39="pvp",15,MAX(0.1,Skills!D12-IF(Skills!E12=TRUE,Inputs!$B$33,0)))*(1-IF(AND(ArtifactsInput!$M$27,Inputs!$B$4="Chapter Hunt"),CHOOSE(ArtifactsInput!$N$27+1,20,24,28,32,36,40),0)/100)))+1)),0)</f>
        <v/>
      </c>
      <c r="S1569" t="n">
        <v>0</v>
      </c>
      <c r="U1569" t="n">
        <v>0</v>
      </c>
    </row>
    <row r="1570">
      <c r="A1570">
        <f>Skills!A13</f>
        <v/>
      </c>
      <c r="B1570">
        <f>Skills!B13</f>
        <v/>
      </c>
      <c r="C1570">
        <f>Inputs!$B$3&gt;=60</f>
        <v/>
      </c>
      <c r="D1570">
        <f>IF(Skills!C13=1,60+Inputs!$B$26+Inputs!$B$30,IF(Skills!C13=2,90+Inputs!$B$27+Inputs!$B$30,IF(Skills!C13=3,120+Inputs!$B$28+Inputs!$B$30,MAX(0,(Inputs!$B$3-100)*3)+Inputs!$B$29+Inputs!$B$30)))</f>
        <v/>
      </c>
      <c r="E1570">
        <f>INDEX(FactorTable!$B$2:$Y$301, MATCH(ROUND(MIN(300,MAX(1,D1570)),0), FactorTable!$A$2:$A$301,0), Skills!L13+1)</f>
        <v/>
      </c>
      <c r="F1570">
        <f>IF(Skills!M13=TRUE,(Skills!K13/10)*(E1570/1000),Skills!K13/10)+Skills!N13</f>
        <v/>
      </c>
      <c r="G1570">
        <f>Calc!G13</f>
        <v/>
      </c>
      <c r="H1570">
        <f>Calc!H13</f>
        <v/>
      </c>
      <c r="I1570">
        <f>IF(Skills!T13&lt;&gt;"",1+(Skills!T13/10)*($Z$3/1000)/100,1)</f>
        <v/>
      </c>
      <c r="J1570" t="inlineStr"/>
      <c r="K1570" t="inlineStr"/>
      <c r="L1570" t="inlineStr"/>
      <c r="M1570" t="inlineStr"/>
      <c r="N1570" t="inlineStr"/>
      <c r="O1570">
        <f>(1-Summary!$B$11)*S1570+Summary!$B$11*U1570</f>
        <v/>
      </c>
      <c r="P1570">
        <f>IF(B1600=0,0,O1570/B1600)</f>
        <v/>
      </c>
      <c r="Q1570">
        <f>IFERROR(1/(IF(Inputs!$B$39="pvp",15,MAX(0.1,Skills!D13-IF(Skills!E13=TRUE,Inputs!$B$33,0)))*(1-IF(AND(ArtifactsInput!$M$27,Inputs!$B$4="Chapter Hunt"),CHOOSE(ArtifactsInput!$N$27+1,20,24,28,32,36,40),0)/100)),0)</f>
        <v/>
      </c>
      <c r="R1570">
        <f>IF(AND(Inputs!$B$39&lt;&gt;"pvp",Inputs!$B$44&gt;0),IF(MAX(0,Inputs!$B$44-B1597)&lt;=0,0,(INT(MAX(0,Inputs!$B$44-B1597)/(IF(Inputs!$B$39="pvp",15,MAX(0.1,Skills!D13-IF(Skills!E13=TRUE,Inputs!$B$33,0)))*(1-IF(AND(ArtifactsInput!$M$27,Inputs!$B$4="Chapter Hunt"),CHOOSE(ArtifactsInput!$N$27+1,20,24,28,32,36,40),0)/100)))+1)),0)</f>
        <v/>
      </c>
      <c r="S1570" t="n">
        <v>0</v>
      </c>
      <c r="U1570" t="n">
        <v>0</v>
      </c>
    </row>
    <row r="1571">
      <c r="A1571">
        <f>Skills!A14</f>
        <v/>
      </c>
      <c r="B1571">
        <f>Skills!B14</f>
        <v/>
      </c>
      <c r="C1571">
        <f>Inputs!$B$3&gt;=107</f>
        <v/>
      </c>
      <c r="D1571">
        <f>IF(Skills!C14=1,60+Inputs!$B$26+Inputs!$B$30,IF(Skills!C14=2,90+Inputs!$B$27+Inputs!$B$30,IF(Skills!C14=3,120+Inputs!$B$28+Inputs!$B$30,MAX(0,(Inputs!$B$3-100)*3)+Inputs!$B$29+Inputs!$B$30)))</f>
        <v/>
      </c>
      <c r="E1571">
        <f>INDEX(FactorTable!$B$2:$Y$301, MATCH(ROUND(MIN(300,MAX(1,D1571)),0), FactorTable!$A$2:$A$301,0), Skills!L14+1)</f>
        <v/>
      </c>
      <c r="F1571">
        <f>IF(Skills!M14=TRUE,(Skills!K14/10)*(E1571/1000),Skills!K14/10)+Skills!N14</f>
        <v/>
      </c>
      <c r="G1571">
        <f>Calc!G14</f>
        <v/>
      </c>
      <c r="H1571">
        <f>Calc!H14</f>
        <v/>
      </c>
      <c r="I1571">
        <f>IF(Skills!T14&lt;&gt;"",1+(Skills!T14/10)*($Z$3/1000)/100,1)</f>
        <v/>
      </c>
      <c r="J1571" t="inlineStr"/>
      <c r="K1571" t="inlineStr"/>
      <c r="L1571" t="inlineStr"/>
      <c r="M1571" t="inlineStr"/>
      <c r="N1571" t="inlineStr"/>
      <c r="O1571">
        <f>(1-Summary!$B$11)*S1571+Summary!$B$11*U1571</f>
        <v/>
      </c>
      <c r="P1571">
        <f>IF(B1600=0,0,O1571/B1600)</f>
        <v/>
      </c>
      <c r="Q1571">
        <f>IFERROR(1/(IF(Inputs!$B$39="pvp",15,MAX(0.1,Skills!D14-IF(Skills!E14=TRUE,Inputs!$B$33,0)))*(1-IF(AND(ArtifactsInput!$M$27,Inputs!$B$4="Chapter Hunt"),CHOOSE(ArtifactsInput!$N$27+1,20,24,28,32,36,40),0)/100)),0)</f>
        <v/>
      </c>
      <c r="R1571">
        <f>IF(AND(Inputs!$B$39&lt;&gt;"pvp",Inputs!$B$44&gt;0),IF(Inputs!$B$44&lt;=0,0,(INT(Inputs!$B$44/(IF(Inputs!$B$39="pvp",15,MAX(0.1,Skills!D14-IF(Skills!E14=TRUE,Inputs!$B$33,0)))*(1-IF(AND(ArtifactsInput!$M$27,Inputs!$B$4="Chapter Hunt"),CHOOSE(ArtifactsInput!$N$27+1,20,24,28,32,36,40),0)/100)))+1)),0)</f>
        <v/>
      </c>
      <c r="S1571" t="n">
        <v>0</v>
      </c>
      <c r="U1571" t="n">
        <v>0</v>
      </c>
    </row>
    <row r="1572">
      <c r="A1572">
        <f>Skills!A15</f>
        <v/>
      </c>
      <c r="B1572">
        <f>Skills!B15</f>
        <v/>
      </c>
      <c r="C1572">
        <f>Inputs!$B$3&gt;=63</f>
        <v/>
      </c>
      <c r="D1572">
        <f>IF(Skills!C15=1,60+Inputs!$B$26+Inputs!$B$30,IF(Skills!C15=2,90+Inputs!$B$27+Inputs!$B$30,IF(Skills!C15=3,120+Inputs!$B$28+Inputs!$B$30,MAX(0,(Inputs!$B$3-100)*3)+Inputs!$B$29+Inputs!$B$30)))</f>
        <v/>
      </c>
      <c r="E1572">
        <f>INDEX(FactorTable!$B$2:$Y$301, MATCH(ROUND(MIN(300,MAX(1,D1572)),0), FactorTable!$A$2:$A$301,0), Skills!L15+1)</f>
        <v/>
      </c>
      <c r="F1572">
        <f>IF(Skills!M15=TRUE,(Skills!K15/10)*(E1572/1000),Skills!K15/10)+Skills!N15</f>
        <v/>
      </c>
      <c r="G1572">
        <f>Calc!G15</f>
        <v/>
      </c>
      <c r="H1572">
        <f>Calc!H15</f>
        <v/>
      </c>
      <c r="I1572">
        <f>IF(Skills!T15&lt;&gt;"",1+(Skills!T15/10)*($Z$3/1000)/100,1)</f>
        <v/>
      </c>
      <c r="J1572">
        <f>((Inputs!$B$6*(1+Inputs!$B$7/100))+(((Inputs!$B$13*(1+Inputs!$B$14/100))-(Inputs!$B$13*(1+Inputs!$B$14/100)))+0.25*(Inputs!$B$15-Inputs!$B$15))*(1+Inputs!$B$7/100))*(F1572/100)</f>
        <v/>
      </c>
      <c r="K1572">
        <f>J1572*(1+(((Inputs!$B$13+IF(Inputs!$B$3&gt;=35,(10*INDEX(FactorTable!$B$2:$Y$301,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15="TRIUMPH_FEATHER",IF(C1573=TRUE,F1573,0),0)/100)*(1+IF(C1584=TRUE,F1584,0)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1572)</f>
        <v/>
      </c>
      <c r="L1572">
        <f>K1572*(MIN(Inputs!$B$23+(F1579-Calc!F22),(Inputs!$B$24+IF(ArtifactsInput!$M$15,CHOOSE(ArtifactsInput!$N$15+1,25,30,35,40,45,50)/100*(Inputs!$B$12-Inputs!$B$12),0)))/100+(Inputs!$B$24+IF(ArtifactsInput!$M$15,CHOOSE(ArtifactsInput!$N$15+1,25,30,35,40,45,50)/100*(Inputs!$B$12-Inputs!$B$12),0))/100)/2</f>
        <v/>
      </c>
      <c r="M1572">
        <f>L1572*(1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2">
        <f>L1572*(1-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(1-Summary!$B$11)*S1572+Summary!$B$11*U1572</f>
        <v/>
      </c>
      <c r="P1572">
        <f>IF(B1600=0,0,O1572/B1600)</f>
        <v/>
      </c>
      <c r="Q1572">
        <f>IFERROR(1/(IF(Inputs!$B$39="pvp",15,MAX(0.1,Skills!D15-IF(Skills!E15=TRUE,Inputs!$B$33,0)))*(1-IF(AND(ArtifactsInput!$M$27,Inputs!$B$4="Chapter Hunt"),CHOOSE(ArtifactsInput!$N$27+1,20,24,28,32,36,40),0)/100)),0)</f>
        <v/>
      </c>
      <c r="R1572" t="n">
        <v>0</v>
      </c>
      <c r="S1572">
        <f>IF(C1572,(Skills!F15*N1572*((IF(Inputs!$B$3&gt;=78,25,15)/100*B1593*10)/(1+IF(Inputs!$B$3&gt;=78,25,15)/100*B1593*10))*(Skills!I15/100*B1593)/(1+Skills!G15*Skills!I15/100*B1593))*IF(Inputs!$B$39="pvp",1,1+(Inputs!$B$21+Skills!O15+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1572*(1-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1572*(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1572*(1-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IF(C1572,(Skills!F15*N1572*((IF(Inputs!$B$3&gt;=78,25,15)/100*B1593*10)/(1+IF(Inputs!$B$3&gt;=78,25,15)/100*B1593*10))*(Skills!I15/100*B1593)/(1+Skills!G15*Skills!I15/100*B1593))*IF(Inputs!$B$39="pvp",1,(1+(Inputs!$B$22+Skills!P15+B1589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Skills!A16</f>
        <v/>
      </c>
      <c r="B1573">
        <f>Skills!B16</f>
        <v/>
      </c>
      <c r="C1573">
        <f>Inputs!$B$3&gt;=100</f>
        <v/>
      </c>
      <c r="D1573">
        <f>IF(Skills!C16=1,60+Inputs!$B$26+Inputs!$B$30,IF(Skills!C16=2,90+Inputs!$B$27+Inputs!$B$30,IF(Skills!C16=3,120+Inputs!$B$28+Inputs!$B$30,MAX(0,(Inputs!$B$3-100)*3)+Inputs!$B$29+Inputs!$B$30)))</f>
        <v/>
      </c>
      <c r="E1573">
        <f>INDEX(FactorTable!$B$2:$Y$301, MATCH(ROUND(MIN(300,MAX(1,D1573)),0), FactorTable!$A$2:$A$301,0), Skills!L16+1)</f>
        <v/>
      </c>
      <c r="F1573">
        <f>IF(Skills!M16=TRUE,(Skills!K16/10)*(E1573/1000),Skills!K16/10)+Skills!N16</f>
        <v/>
      </c>
      <c r="G1573">
        <f>Calc!G16</f>
        <v/>
      </c>
      <c r="H1573">
        <f>Calc!H16</f>
        <v/>
      </c>
      <c r="I1573">
        <f>IF(Skills!T16&lt;&gt;"",1+(Skills!T16/10)*($Z$3/1000)/100,1)</f>
        <v/>
      </c>
      <c r="J1573" t="inlineStr"/>
      <c r="K1573" t="inlineStr"/>
      <c r="L1573" t="inlineStr"/>
      <c r="M1573" t="inlineStr"/>
      <c r="N1573" t="inlineStr"/>
      <c r="O1573">
        <f>(1-Summary!$B$11)*S1573+Summary!$B$11*U1573</f>
        <v/>
      </c>
      <c r="P1573">
        <f>IF(B1600=0,0,O1573/B1600)</f>
        <v/>
      </c>
      <c r="Q1573">
        <f>IFERROR(1/(IF(Inputs!$B$39="pvp",15,MAX(0.1,Skills!D16-IF(Skills!E16=TRUE,Inputs!$B$33,0)))*(1-IF(AND(ArtifactsInput!$M$27,Inputs!$B$4="Chapter Hunt"),CHOOSE(ArtifactsInput!$N$27+1,20,24,28,32,36,40),0)/100)),0)</f>
        <v/>
      </c>
      <c r="R1573" t="n">
        <v>0</v>
      </c>
      <c r="S1573" t="n">
        <v>0</v>
      </c>
      <c r="U1573" t="n">
        <v>0</v>
      </c>
    </row>
    <row r="1574">
      <c r="A1574">
        <f>Skills!A17</f>
        <v/>
      </c>
      <c r="B1574">
        <f>Skills!B17</f>
        <v/>
      </c>
      <c r="C1574">
        <f>Inputs!$B$3&gt;=49</f>
        <v/>
      </c>
      <c r="D1574">
        <f>IF(Skills!C17=1,60+Inputs!$B$26+Inputs!$B$30,IF(Skills!C17=2,90+Inputs!$B$27+Inputs!$B$30,IF(Skills!C17=3,120+Inputs!$B$28+Inputs!$B$30,MAX(0,(Inputs!$B$3-100)*3)+Inputs!$B$29+Inputs!$B$30)))</f>
        <v/>
      </c>
      <c r="E1574">
        <f>INDEX(FactorTable!$B$2:$Y$301, MATCH(ROUND(MIN(300,MAX(1,D1574)),0), FactorTable!$A$2:$A$301,0), Skills!L17+1)</f>
        <v/>
      </c>
      <c r="F1574">
        <f>IF(Skills!M17=TRUE,(Skills!K17/10)*(E1574/1000),Skills!K17/10)+Skills!N17</f>
        <v/>
      </c>
      <c r="G1574">
        <f>Calc!G17</f>
        <v/>
      </c>
      <c r="H1574">
        <f>Calc!H17</f>
        <v/>
      </c>
      <c r="I1574">
        <f>IF(Skills!T17&lt;&gt;"",1+(Skills!T17/10)*($Z$3/1000)/100,1)</f>
        <v/>
      </c>
      <c r="J1574" t="inlineStr"/>
      <c r="K1574" t="inlineStr"/>
      <c r="L1574" t="inlineStr"/>
      <c r="M1574" t="inlineStr"/>
      <c r="N1574" t="inlineStr"/>
      <c r="O1574">
        <f>(1-Summary!$B$11)*S1574+Summary!$B$11*U1574</f>
        <v/>
      </c>
      <c r="P1574">
        <f>IF(B1600=0,0,O1574/B1600)</f>
        <v/>
      </c>
      <c r="Q1574">
        <f>IFERROR(1/(IF(Inputs!$B$39="pvp",15,MAX(0.1,Skills!D17-IF(Skills!E17=TRUE,Inputs!$B$33,0)))*(1-IF(AND(ArtifactsInput!$M$27,Inputs!$B$4="Chapter Hunt"),CHOOSE(ArtifactsInput!$N$27+1,20,24,28,32,36,40),0)/100)),0)</f>
        <v/>
      </c>
      <c r="R1574" t="n">
        <v>0</v>
      </c>
      <c r="S1574" t="n">
        <v>0</v>
      </c>
      <c r="U1574" t="n">
        <v>0</v>
      </c>
    </row>
    <row r="1575">
      <c r="A1575">
        <f>Skills!A18</f>
        <v/>
      </c>
      <c r="B1575">
        <f>Skills!B18</f>
        <v/>
      </c>
      <c r="C1575">
        <f>Inputs!$B$3&gt;=75</f>
        <v/>
      </c>
      <c r="D1575">
        <f>IF(Skills!C18=1,60+Inputs!$B$26+Inputs!$B$30,IF(Skills!C18=2,90+Inputs!$B$27+Inputs!$B$30,IF(Skills!C18=3,120+Inputs!$B$28+Inputs!$B$30,MAX(0,(Inputs!$B$3-100)*3)+Inputs!$B$29+Inputs!$B$30)))</f>
        <v/>
      </c>
      <c r="E1575">
        <f>INDEX(FactorTable!$B$2:$Y$301, MATCH(ROUND(MIN(300,MAX(1,D1575)),0), FactorTable!$A$2:$A$301,0), Skills!L18+1)</f>
        <v/>
      </c>
      <c r="F1575">
        <f>IF(Skills!M18=TRUE,(Skills!K18/10)*(E1575/1000),Skills!K18/10)+Skills!N18</f>
        <v/>
      </c>
      <c r="G1575">
        <f>Calc!G18</f>
        <v/>
      </c>
      <c r="H1575">
        <f>Calc!H18</f>
        <v/>
      </c>
      <c r="I1575">
        <f>IF(Skills!T18&lt;&gt;"",1+(Skills!T18/10)*($Z$3/1000)/100,1)</f>
        <v/>
      </c>
      <c r="J1575" t="inlineStr"/>
      <c r="K1575" t="inlineStr"/>
      <c r="L1575" t="inlineStr"/>
      <c r="M1575" t="inlineStr"/>
      <c r="N1575" t="inlineStr"/>
      <c r="O1575">
        <f>(1-Summary!$B$11)*S1575+Summary!$B$11*U1575</f>
        <v/>
      </c>
      <c r="P1575">
        <f>IF(B1600=0,0,O1575/B1600)</f>
        <v/>
      </c>
      <c r="Q1575">
        <f>IFERROR(1/(IF(Inputs!$B$39="pvp",15,MAX(0.1,Skills!D18-IF(Skills!E18=TRUE,Inputs!$B$33,0)))*(1-IF(AND(ArtifactsInput!$M$27,Inputs!$B$4="Chapter Hunt"),CHOOSE(ArtifactsInput!$N$27+1,20,24,28,32,36,40),0)/100)),0)</f>
        <v/>
      </c>
      <c r="R1575" t="n">
        <v>0</v>
      </c>
      <c r="S1575" t="n">
        <v>0</v>
      </c>
      <c r="U1575" t="n">
        <v>0</v>
      </c>
    </row>
    <row r="1576">
      <c r="A1576">
        <f>Skills!A19</f>
        <v/>
      </c>
      <c r="B1576">
        <f>Skills!B19</f>
        <v/>
      </c>
      <c r="C1576">
        <f>Inputs!$B$3&gt;=110</f>
        <v/>
      </c>
      <c r="D1576">
        <f>IF(Skills!C19=1,60+Inputs!$B$26+Inputs!$B$30,IF(Skills!C19=2,90+Inputs!$B$27+Inputs!$B$30,IF(Skills!C19=3,120+Inputs!$B$28+Inputs!$B$30,MAX(0,(Inputs!$B$3-100)*3)+Inputs!$B$29+Inputs!$B$30)))</f>
        <v/>
      </c>
      <c r="E1576">
        <f>INDEX(FactorTable!$B$2:$Y$301, MATCH(ROUND(MIN(300,MAX(1,D1576)),0), FactorTable!$A$2:$A$301,0), Skills!L19+1)</f>
        <v/>
      </c>
      <c r="F1576">
        <f>(Skills!K19/10)*(E1576/1000)*64/45+Skills!N19</f>
        <v/>
      </c>
      <c r="G1576">
        <f>Calc!G19</f>
        <v/>
      </c>
      <c r="H1576">
        <f>Calc!H19</f>
        <v/>
      </c>
      <c r="I1576">
        <f>IF(Skills!T19&lt;&gt;"",1+(Skills!T19/10)*($Z$3/1000)/100,1)</f>
        <v/>
      </c>
      <c r="J1576" t="inlineStr"/>
      <c r="K1576" t="inlineStr"/>
      <c r="L1576" t="inlineStr"/>
      <c r="M1576" t="inlineStr"/>
      <c r="N1576" t="inlineStr"/>
      <c r="O1576">
        <f>(1-Summary!$B$11)*S1576+Summary!$B$11*U1576</f>
        <v/>
      </c>
      <c r="P1576">
        <f>IF(B1600=0,0,O1576/B1600)</f>
        <v/>
      </c>
      <c r="Q1576">
        <f>IFERROR(1/(IF(Inputs!$B$39="pvp",15,MAX(0.1,Skills!D19-IF(Skills!E19=TRUE,Inputs!$B$33,0)))*(1-IF(AND(ArtifactsInput!$M$27,Inputs!$B$4="Chapter Hunt"),CHOOSE(ArtifactsInput!$N$27+1,20,24,28,32,36,40),0)/100)),0)</f>
        <v/>
      </c>
      <c r="R1576">
        <f>IF(AND(Inputs!$B$39&lt;&gt;"pvp",Inputs!$B$44&gt;0),IF(Inputs!$B$44&lt;=0,0,(INT(Inputs!$B$44/(IF(Inputs!$B$39="pvp",15,MAX(0.1,Skills!D19-IF(Skills!E19=TRUE,Inputs!$B$33,0)))*(1-IF(AND(ArtifactsInput!$M$27,Inputs!$B$4="Chapter Hunt"),CHOOSE(ArtifactsInput!$N$27+1,20,24,28,32,36,40),0)/100)))+1)),0)</f>
        <v/>
      </c>
      <c r="S1576" t="n">
        <v>0</v>
      </c>
      <c r="U1576" t="n">
        <v>0</v>
      </c>
    </row>
    <row r="1577">
      <c r="A1577">
        <f>Skills!A20</f>
        <v/>
      </c>
      <c r="B1577">
        <f>Skills!B20</f>
        <v/>
      </c>
      <c r="C1577">
        <f>Inputs!$B$3&gt;=125</f>
        <v/>
      </c>
      <c r="D1577">
        <f>IF(Skills!C20=1,60+Inputs!$B$26+Inputs!$B$30,IF(Skills!C20=2,90+Inputs!$B$27+Inputs!$B$30,IF(Skills!C20=3,120+Inputs!$B$28+Inputs!$B$30,MAX(0,(Inputs!$B$3-100)*3)+Inputs!$B$29+Inputs!$B$30)))</f>
        <v/>
      </c>
      <c r="E1577">
        <f>INDEX(FactorTable!$B$2:$Y$301, MATCH(ROUND(MIN(300,MAX(1,D1577)),0), FactorTable!$A$2:$A$301,0), Skills!L20+1)</f>
        <v/>
      </c>
      <c r="F1577">
        <f>IF(Skills!M20=TRUE,(Skills!K20/10)*(E1577/1000),Skills!K20/10)+Skills!N20</f>
        <v/>
      </c>
      <c r="G1577">
        <f>Calc!G20</f>
        <v/>
      </c>
      <c r="H1577">
        <f>Calc!H20</f>
        <v/>
      </c>
      <c r="I1577">
        <f>IF(Skills!T20&lt;&gt;"",1+(Skills!T20/10)*($Z$3/1000)/100,1)</f>
        <v/>
      </c>
      <c r="J1577" t="inlineStr"/>
      <c r="K1577" t="inlineStr"/>
      <c r="L1577" t="inlineStr"/>
      <c r="M1577" t="inlineStr"/>
      <c r="N1577" t="inlineStr"/>
      <c r="O1577">
        <f>(1-Summary!$B$11)*S1577+Summary!$B$11*U1577</f>
        <v/>
      </c>
      <c r="P1577">
        <f>IF(B1600=0,0,O1577/B1600)</f>
        <v/>
      </c>
      <c r="Q1577">
        <f>IFERROR(1/(IF(Inputs!$B$39="pvp",15,MAX(0.1,Skills!D20-IF(Skills!E20=TRUE,Inputs!$B$33,0)))*(1-IF(AND(ArtifactsInput!$M$27,Inputs!$B$4="Chapter Hunt"),CHOOSE(ArtifactsInput!$N$27+1,20,24,28,32,36,40),0)/100)),0)</f>
        <v/>
      </c>
      <c r="R1577" t="n">
        <v>0</v>
      </c>
      <c r="S1577" t="n">
        <v>0</v>
      </c>
      <c r="U1577" t="n">
        <v>0</v>
      </c>
    </row>
    <row r="1578">
      <c r="A1578">
        <f>Skills!A21</f>
        <v/>
      </c>
      <c r="B1578">
        <f>Skills!B21</f>
        <v/>
      </c>
      <c r="C1578">
        <f>Inputs!$B$3&gt;=33</f>
        <v/>
      </c>
      <c r="D1578">
        <f>IF(Skills!C21=1,60+Inputs!$B$26+Inputs!$B$30,IF(Skills!C21=2,90+Inputs!$B$27+Inputs!$B$30,IF(Skills!C21=3,120+Inputs!$B$28+Inputs!$B$30,MAX(0,(Inputs!$B$3-100)*3)+Inputs!$B$29+Inputs!$B$30)))</f>
        <v/>
      </c>
      <c r="E1578">
        <f>INDEX(FactorTable!$B$2:$Y$301, MATCH(ROUND(MIN(300,MAX(1,D1578)),0), FactorTable!$A$2:$A$301,0), Skills!L21+1)</f>
        <v/>
      </c>
      <c r="F1578">
        <f>IF(Skills!M21=TRUE,(Skills!K21/10)*(E1578/1000),Skills!K21/10)+Skills!N21</f>
        <v/>
      </c>
      <c r="G1578">
        <f>Calc!G21</f>
        <v/>
      </c>
      <c r="H1578">
        <f>Calc!H21</f>
        <v/>
      </c>
      <c r="I1578">
        <f>IF(Skills!T21&lt;&gt;"",1+(Skills!T21/10)*($Z$3/1000)/100,1)</f>
        <v/>
      </c>
      <c r="J1578" t="inlineStr"/>
      <c r="K1578" t="inlineStr"/>
      <c r="L1578" t="inlineStr"/>
      <c r="M1578" t="inlineStr"/>
      <c r="N1578" t="inlineStr"/>
      <c r="O1578">
        <f>(1-Summary!$B$11)*S1578+Summary!$B$11*U1578</f>
        <v/>
      </c>
      <c r="P1578">
        <f>IF(B1600=0,0,O1578/B1600)</f>
        <v/>
      </c>
      <c r="Q1578">
        <f>IFERROR(1/(IF(Inputs!$B$39="pvp",15,MAX(0.1,Skills!D21-IF(Skills!E21=TRUE,Inputs!$B$33,0)))*(1-IF(AND(ArtifactsInput!$M$27,Inputs!$B$4="Chapter Hunt"),CHOOSE(ArtifactsInput!$N$27+1,20,24,28,32,36,40),0)/100)),0)</f>
        <v/>
      </c>
      <c r="R1578" t="n">
        <v>0</v>
      </c>
      <c r="S1578" t="n">
        <v>0</v>
      </c>
      <c r="U1578" t="n">
        <v>0</v>
      </c>
    </row>
    <row r="1579">
      <c r="A1579">
        <f>Skills!A22</f>
        <v/>
      </c>
      <c r="B1579">
        <f>Skills!B22</f>
        <v/>
      </c>
      <c r="C1579">
        <f>Inputs!$B$3&gt;=43</f>
        <v/>
      </c>
      <c r="D1579">
        <f>IF(Skills!C22=1,60+Inputs!$B$26+Inputs!$B$30,IF(Skills!C22=2,90+Inputs!$B$27+Inputs!$B$30,IF(Skills!C22=3,120+Inputs!$B$28+Inputs!$B$30,MAX(0,(Inputs!$B$3-100)*3)+Inputs!$B$29+Inputs!$B$30)))</f>
        <v/>
      </c>
      <c r="E1579">
        <f>INDEX(FactorTable!$B$2:$Y$301, MATCH(ROUND(MIN(300,MAX(1,D1579)),0), FactorTable!$A$2:$A$301,0), Skills!L22+1)</f>
        <v/>
      </c>
      <c r="F1579">
        <f>IF(Skills!M22=TRUE,(Skills!K22/10)*(E1579/1000),Skills!K22/10)+Skills!N22</f>
        <v/>
      </c>
      <c r="G1579">
        <f>Calc!G22</f>
        <v/>
      </c>
      <c r="H1579">
        <f>Calc!H22</f>
        <v/>
      </c>
      <c r="I1579">
        <f>IF(Skills!T22&lt;&gt;"",1+(Skills!T22/10)*($Z$3/1000)/100,1)</f>
        <v/>
      </c>
      <c r="J1579" t="inlineStr"/>
      <c r="K1579" t="inlineStr"/>
      <c r="L1579" t="inlineStr"/>
      <c r="M1579" t="inlineStr"/>
      <c r="N1579" t="inlineStr"/>
      <c r="O1579">
        <f>(1-Summary!$B$11)*S1579+Summary!$B$11*U1579</f>
        <v/>
      </c>
      <c r="P1579">
        <f>IF(B1600=0,0,O1579/B1600)</f>
        <v/>
      </c>
      <c r="Q1579">
        <f>IFERROR(1/(IF(Inputs!$B$39="pvp",15,MAX(0.1,Skills!D22-IF(Skills!E22=TRUE,Inputs!$B$33,0)))*(1-IF(AND(ArtifactsInput!$M$27,Inputs!$B$4="Chapter Hunt"),CHOOSE(ArtifactsInput!$N$27+1,20,24,28,32,36,40),0)/100)),0)</f>
        <v/>
      </c>
      <c r="R1579" t="n">
        <v>0</v>
      </c>
      <c r="S1579" t="n">
        <v>0</v>
      </c>
      <c r="U1579" t="n">
        <v>0</v>
      </c>
    </row>
    <row r="1580">
      <c r="A1580">
        <f>Skills!A23</f>
        <v/>
      </c>
      <c r="B1580">
        <f>Skills!B23</f>
        <v/>
      </c>
      <c r="C1580">
        <f>Inputs!$B$3&gt;=50</f>
        <v/>
      </c>
      <c r="D1580">
        <f>IF(Skills!C23=1,60+Inputs!$B$26+Inputs!$B$30,IF(Skills!C23=2,90+Inputs!$B$27+Inputs!$B$30,IF(Skills!C23=3,120+Inputs!$B$28+Inputs!$B$30,MAX(0,(Inputs!$B$3-100)*3)+Inputs!$B$29+Inputs!$B$30)))</f>
        <v/>
      </c>
      <c r="E1580">
        <f>INDEX(FactorTable!$B$2:$Y$301, MATCH(ROUND(MIN(300,MAX(1,D1580)),0), FactorTable!$A$2:$A$301,0), Skills!L23+1)</f>
        <v/>
      </c>
      <c r="F1580">
        <f>IF(Skills!M23=TRUE,(Skills!K23/10)*(E1580/1000),Skills!K23/10)+Skills!N23</f>
        <v/>
      </c>
      <c r="G1580">
        <f>Calc!G23</f>
        <v/>
      </c>
      <c r="H1580">
        <f>Calc!H23</f>
        <v/>
      </c>
      <c r="I1580">
        <f>IF(Skills!T23&lt;&gt;"",1+(Skills!T23/10)*($Z$3/1000)/100,1)</f>
        <v/>
      </c>
      <c r="J1580" t="inlineStr"/>
      <c r="K1580" t="inlineStr"/>
      <c r="L1580" t="inlineStr"/>
      <c r="M1580" t="inlineStr"/>
      <c r="N1580" t="inlineStr"/>
      <c r="O1580">
        <f>(1-Summary!$B$11)*S1580+Summary!$B$11*U1580</f>
        <v/>
      </c>
      <c r="P1580">
        <f>IF(B1600=0,0,O1580/B1600)</f>
        <v/>
      </c>
      <c r="Q1580">
        <f>IFERROR(1/(IF(Inputs!$B$39="pvp",15,MAX(0.1,Skills!D23-IF(Skills!E23=TRUE,Inputs!$B$33,0)))*(1-IF(AND(ArtifactsInput!$M$27,Inputs!$B$4="Chapter Hunt"),CHOOSE(ArtifactsInput!$N$27+1,20,24,28,32,36,40),0)/100)),0)</f>
        <v/>
      </c>
      <c r="R1580" t="n">
        <v>0</v>
      </c>
      <c r="S1580" t="n">
        <v>0</v>
      </c>
      <c r="U1580" t="n">
        <v>0</v>
      </c>
    </row>
    <row r="1581">
      <c r="A1581">
        <f>Skills!A24</f>
        <v/>
      </c>
      <c r="B1581">
        <f>Skills!B24</f>
        <v/>
      </c>
      <c r="C1581">
        <f>Inputs!$B$3&gt;=74</f>
        <v/>
      </c>
      <c r="D1581">
        <f>IF(Skills!C24=1,60+Inputs!$B$26+Inputs!$B$30,IF(Skills!C24=2,90+Inputs!$B$27+Inputs!$B$30,IF(Skills!C24=3,120+Inputs!$B$28+Inputs!$B$30,MAX(0,(Inputs!$B$3-100)*3)+Inputs!$B$29+Inputs!$B$30)))</f>
        <v/>
      </c>
      <c r="E1581">
        <f>INDEX(FactorTable!$B$2:$Y$301, MATCH(ROUND(MIN(300,MAX(1,D1581)),0), FactorTable!$A$2:$A$301,0), Skills!L24+1)</f>
        <v/>
      </c>
      <c r="F1581">
        <f>IF(Skills!M24=TRUE,(Skills!K24/10)*(E1581/1000),Skills!K24/10)+Skills!N24</f>
        <v/>
      </c>
      <c r="G1581">
        <f>Calc!G24</f>
        <v/>
      </c>
      <c r="H1581">
        <f>Calc!H24</f>
        <v/>
      </c>
      <c r="I1581">
        <f>IF(Skills!T24&lt;&gt;"",1+(Skills!T24/10)*($Z$3/1000)/100,1)</f>
        <v/>
      </c>
      <c r="J1581" t="inlineStr"/>
      <c r="K1581" t="inlineStr"/>
      <c r="L1581" t="inlineStr"/>
      <c r="M1581" t="inlineStr"/>
      <c r="N1581" t="inlineStr"/>
      <c r="O1581">
        <f>(1-Summary!$B$11)*S1581+Summary!$B$11*U1581</f>
        <v/>
      </c>
      <c r="P1581">
        <f>IF(B1600=0,0,O1581/B1600)</f>
        <v/>
      </c>
      <c r="Q1581">
        <f>IFERROR(1/(IF(Inputs!$B$39="pvp",15,MAX(0.1,Skills!D24-IF(Skills!E24=TRUE,Inputs!$B$33,0)))*(1-IF(AND(ArtifactsInput!$M$27,Inputs!$B$4="Chapter Hunt"),CHOOSE(ArtifactsInput!$N$27+1,20,24,28,32,36,40),0)/100)),0)</f>
        <v/>
      </c>
      <c r="R1581" t="n">
        <v>0</v>
      </c>
      <c r="S1581" t="n">
        <v>0</v>
      </c>
      <c r="U1581" t="n">
        <v>0</v>
      </c>
    </row>
    <row r="1582">
      <c r="A1582">
        <f>Skills!A25</f>
        <v/>
      </c>
      <c r="B1582">
        <f>Skills!B25</f>
        <v/>
      </c>
      <c r="C1582">
        <f>Inputs!$B$3&gt;=74</f>
        <v/>
      </c>
      <c r="D1582">
        <f>IF(Skills!C25=1,60+Inputs!$B$26+Inputs!$B$30,IF(Skills!C25=2,90+Inputs!$B$27+Inputs!$B$30,IF(Skills!C25=3,120+Inputs!$B$28+Inputs!$B$30,MAX(0,(Inputs!$B$3-100)*3)+Inputs!$B$29+Inputs!$B$30)))</f>
        <v/>
      </c>
      <c r="E1582">
        <f>INDEX(FactorTable!$B$2:$Y$301, MATCH(ROUND(MIN(300,MAX(1,D1582)),0), FactorTable!$A$2:$A$301,0), Skills!L25+1)</f>
        <v/>
      </c>
      <c r="F1582">
        <f>IF(Skills!M25=TRUE,(Skills!K25/10)*(E1582/1000),Skills!K25/10)+Skills!N25</f>
        <v/>
      </c>
      <c r="G1582">
        <f>Calc!G25</f>
        <v/>
      </c>
      <c r="H1582">
        <f>Calc!H25</f>
        <v/>
      </c>
      <c r="I1582">
        <f>IF(Skills!T25&lt;&gt;"",1+(Skills!T25/10)*($Z$3/1000)/100,1)</f>
        <v/>
      </c>
      <c r="J1582" t="inlineStr"/>
      <c r="K1582" t="inlineStr"/>
      <c r="L1582" t="inlineStr"/>
      <c r="M1582" t="inlineStr"/>
      <c r="N1582" t="inlineStr"/>
      <c r="O1582">
        <f>(1-Summary!$B$11)*S1582+Summary!$B$11*U1582</f>
        <v/>
      </c>
      <c r="P1582">
        <f>IF(B1600=0,0,O1582/B1600)</f>
        <v/>
      </c>
      <c r="Q1582">
        <f>IFERROR(1/(IF(Inputs!$B$39="pvp",15,MAX(0.1,Skills!D25-IF(Skills!E25=TRUE,Inputs!$B$33,0)))*(1-IF(AND(ArtifactsInput!$M$27,Inputs!$B$4="Chapter Hunt"),CHOOSE(ArtifactsInput!$N$27+1,20,24,28,32,36,40),0)/100)),0)</f>
        <v/>
      </c>
      <c r="R1582" t="n">
        <v>0</v>
      </c>
      <c r="S1582" t="n">
        <v>0</v>
      </c>
      <c r="U1582" t="n">
        <v>0</v>
      </c>
    </row>
    <row r="1583">
      <c r="A1583">
        <f>Skills!A26</f>
        <v/>
      </c>
      <c r="B1583">
        <f>Skills!B26</f>
        <v/>
      </c>
      <c r="C1583">
        <f>Inputs!$B$3&gt;=117</f>
        <v/>
      </c>
      <c r="D1583">
        <f>IF(Skills!C26=1,60+Inputs!$B$26+Inputs!$B$30,IF(Skills!C26=2,90+Inputs!$B$27+Inputs!$B$30,IF(Skills!C26=3,120+Inputs!$B$28+Inputs!$B$30,MAX(0,(Inputs!$B$3-100)*3)+Inputs!$B$29+Inputs!$B$30)))</f>
        <v/>
      </c>
      <c r="E1583">
        <f>INDEX(FactorTable!$B$2:$Y$301, MATCH(ROUND(MIN(300,MAX(1,D1583)),0), FactorTable!$A$2:$A$301,0), Skills!L26+1)</f>
        <v/>
      </c>
      <c r="F1583">
        <f>IF(Skills!M26=TRUE,(Skills!K26/10)*(E1583/1000),Skills!K26/10)+Skills!N26</f>
        <v/>
      </c>
      <c r="G1583">
        <f>Calc!G26</f>
        <v/>
      </c>
      <c r="H1583">
        <f>Calc!H26</f>
        <v/>
      </c>
      <c r="I1583">
        <f>IF(Skills!T26&lt;&gt;"",1+(Skills!T26/10)*($Z$3/1000)/100,1)</f>
        <v/>
      </c>
      <c r="J1583" t="inlineStr"/>
      <c r="K1583" t="inlineStr"/>
      <c r="L1583" t="inlineStr"/>
      <c r="M1583" t="inlineStr"/>
      <c r="N1583" t="inlineStr"/>
      <c r="O1583">
        <f>(1-Summary!$B$11)*S1583+Summary!$B$11*U1583</f>
        <v/>
      </c>
      <c r="P1583">
        <f>IF(B1600=0,0,O1583/B1600)</f>
        <v/>
      </c>
      <c r="Q1583">
        <f>IFERROR(1/(IF(Inputs!$B$39="pvp",15,MAX(0.1,Skills!D26-IF(Skills!E26=TRUE,Inputs!$B$33,0)))*(1-IF(AND(ArtifactsInput!$M$27,Inputs!$B$4="Chapter Hunt"),CHOOSE(ArtifactsInput!$N$27+1,20,24,28,32,36,40),0)/100)),0)</f>
        <v/>
      </c>
      <c r="R1583" t="n">
        <v>0</v>
      </c>
      <c r="S1583" t="n">
        <v>0</v>
      </c>
      <c r="U1583" t="n">
        <v>0</v>
      </c>
    </row>
    <row r="1584">
      <c r="A1584">
        <f>Skills!A27</f>
        <v/>
      </c>
      <c r="B1584">
        <f>Skills!B27</f>
        <v/>
      </c>
      <c r="C1584">
        <f>Inputs!$B$3&gt;=120</f>
        <v/>
      </c>
      <c r="D1584">
        <f>IF(Skills!C27=1,60+Inputs!$B$26+Inputs!$B$30,IF(Skills!C27=2,90+Inputs!$B$27+Inputs!$B$30,IF(Skills!C27=3,120+Inputs!$B$28+Inputs!$B$30,MAX(0,(Inputs!$B$3-100)*3)+Inputs!$B$29+Inputs!$B$30)))</f>
        <v/>
      </c>
      <c r="E1584">
        <f>INDEX(FactorTable!$B$2:$Y$301, MATCH(ROUND(MIN(300,MAX(1,D1584)),0), FactorTable!$A$2:$A$301,0), Skills!L27+1)</f>
        <v/>
      </c>
      <c r="F1584">
        <f>IF(Skills!M27=TRUE,(Skills!K27/10)*(E1584/1000),Skills!K27/10)+Skills!N27</f>
        <v/>
      </c>
      <c r="G1584">
        <f>Calc!G27</f>
        <v/>
      </c>
      <c r="H1584">
        <f>Calc!H27</f>
        <v/>
      </c>
      <c r="I1584">
        <f>IF(Skills!T27&lt;&gt;"",1+(Skills!T27/10)*($Z$3/1000)/100,1)</f>
        <v/>
      </c>
      <c r="J1584" t="inlineStr"/>
      <c r="K1584" t="inlineStr"/>
      <c r="L1584" t="inlineStr"/>
      <c r="M1584" t="inlineStr"/>
      <c r="N1584" t="inlineStr"/>
      <c r="O1584">
        <f>(1-Summary!$B$11)*S1584+Summary!$B$11*U1584</f>
        <v/>
      </c>
      <c r="P1584">
        <f>IF(B1600=0,0,O1584/B1600)</f>
        <v/>
      </c>
      <c r="Q1584">
        <f>IFERROR(1/(IF(Inputs!$B$39="pvp",15,MAX(0.1,Skills!D27-IF(Skills!E27=TRUE,Inputs!$B$33,0)))*(1-IF(AND(ArtifactsInput!$M$27,Inputs!$B$4="Chapter Hunt"),CHOOSE(ArtifactsInput!$N$27+1,20,24,28,32,36,40),0)/100)),0)</f>
        <v/>
      </c>
      <c r="R1584" t="n">
        <v>0</v>
      </c>
      <c r="S1584" t="n">
        <v>0</v>
      </c>
      <c r="U1584" t="n">
        <v>0</v>
      </c>
    </row>
    <row r="1585">
      <c r="A1585">
        <f>Skills!A28</f>
        <v/>
      </c>
      <c r="B1585">
        <f>Skills!B28</f>
        <v/>
      </c>
      <c r="C1585">
        <f>TRUE</f>
        <v/>
      </c>
      <c r="D1585">
        <f>IF(Skills!C28=1,60+Inputs!$B$26+Inputs!$B$30,IF(Skills!C28=2,90+Inputs!$B$27+Inputs!$B$30,IF(Skills!C28=3,120+Inputs!$B$28+Inputs!$B$30,MAX(0,(Inputs!$B$3-100)*3)+Inputs!$B$29+Inputs!$B$30)))</f>
        <v/>
      </c>
      <c r="E1585">
        <f>INDEX(FactorTable!$B$2:$Y$301, MATCH(ROUND(MIN(300,MAX(1,D1585)),0), FactorTable!$A$2:$A$301,0), Skills!L28+1)</f>
        <v/>
      </c>
      <c r="F1585">
        <f>IF(Skills!M28=TRUE,(Skills!K28/10)*(E1585/1000),Skills!K28/10)+Skills!N28</f>
        <v/>
      </c>
      <c r="G1585">
        <f>Calc!G28</f>
        <v/>
      </c>
      <c r="H1585">
        <f>Calc!H28</f>
        <v/>
      </c>
      <c r="I1585">
        <f>IF(Skills!T28&lt;&gt;"",1+(Skills!T28/10)*($Z$3/1000)/100,1)</f>
        <v/>
      </c>
      <c r="J1585" t="inlineStr"/>
      <c r="K1585" t="inlineStr"/>
      <c r="L1585" t="inlineStr"/>
      <c r="M1585" t="inlineStr"/>
      <c r="N1585" t="inlineStr"/>
      <c r="O1585">
        <f>(1-Summary!$B$11)*S1585+Summary!$B$11*U1585</f>
        <v/>
      </c>
      <c r="P1585">
        <f>IF(B1600=0,0,O1585/B1600)</f>
        <v/>
      </c>
      <c r="Q1585">
        <f>IFERROR(1/(IF(Inputs!$B$39="pvp",15,MAX(0.1,Skills!D28-IF(Skills!E28=TRUE,Inputs!$B$33,0)))*(1-IF(AND(ArtifactsInput!$M$27,Inputs!$B$4="Chapter Hunt"),CHOOSE(ArtifactsInput!$N$27+1,20,24,28,32,36,40),0)/100)),0)</f>
        <v/>
      </c>
      <c r="R1585">
        <f>IF(AND(Inputs!$B$39&lt;&gt;"pvp",Inputs!$B$44&gt;0),IF(Inputs!$B$44&lt;=0,0,(INT(Inputs!$B$44/(IF(Inputs!$B$39="pvp",15,MAX(0.1,Skills!D28-IF(Skills!E28=TRUE,Inputs!$B$33,0)))*(1-IF(AND(ArtifactsInput!$M$27,Inputs!$B$4="Chapter Hunt"),CHOOSE(ArtifactsInput!$N$27+1,20,24,28,32,36,40),0)/100)))+1)),0)</f>
        <v/>
      </c>
      <c r="S1585" t="n">
        <v>0</v>
      </c>
      <c r="U1585" t="n">
        <v>0</v>
      </c>
    </row>
    <row r="1587">
      <c r="A1587" t="inlineStr">
        <is>
          <t>Average Buff Multiplier</t>
        </is>
      </c>
      <c r="B1587">
        <f>(1+(IF(C1560=TRUE,F1560*IF(AND(Inputs!$B$39&lt;&gt;"pvp",Inputs!$B$44&gt;0),(((R1560-1)*(Skills!S3*(1+((Inputs!$B$35+(ArtifactsInput!$M$7-ArtifactsInput!$M$7)*CHOOSE(ArtifactsInput!$N$7+1,6,7.2,8.4,9.6,10.8,12))+IF(Inputs!$B$3&gt;=117,F1583,0))/100))+MIN((Skills!S3*(1+((Inputs!$B$35+(ArtifactsInput!$M$7-ArtifactsInput!$M$7)*CHOOSE(ArtifactsInput!$N$7+1,6,7.2,8.4,9.6,10.8,12))+IF(Inputs!$B$3&gt;=117,F1583,0))/100)),MAX(0,Inputs!$B$44-((R1560-1)*Skills!D3))))/Inputs!$B$44),IF(Inputs!$B$39="pvp",MIN((Skills!S3*(1+((Inputs!$B$35+(ArtifactsInput!$M$7-ArtifactsInput!$M$7)*CHOOSE(ArtifactsInput!$N$7+1,6,7.2,8.4,9.6,10.8,12))+IF(Inputs!$B$3&gt;=117,F1583,0))/100)),15)/15,(Skills!S3*(1+((Inputs!$B$35+(ArtifactsInput!$M$7-ArtifactsInput!$M$7)*CHOOSE(ArtifactsInput!$N$7+1,6,7.2,8.4,9.6,10.8,12))+IF(Inputs!$B$3&gt;=117,F1583,0))/100))/Skills!D3)),0)+IF(C1561=TRUE,F1561*IF(AND(Inputs!$B$39&lt;&gt;"pvp",Inputs!$B$44&gt;0),(((R1561-1)*(Skills!S4*(1+((Inputs!$B$35+(ArtifactsInput!$M$7-ArtifactsInput!$M$7)*CHOOSE(ArtifactsInput!$N$7+1,6,7.2,8.4,9.6,10.8,12))+IF(Inputs!$B$3&gt;=117,F1583,0))/100))+MIN((Skills!S4*(1+((Inputs!$B$35+(ArtifactsInput!$M$7-ArtifactsInput!$M$7)*CHOOSE(ArtifactsInput!$N$7+1,6,7.2,8.4,9.6,10.8,12))+IF(Inputs!$B$3&gt;=117,F1583,0))/100)),MAX(0,Inputs!$B$44-((R1561-1)*Skills!D4))))/Inputs!$B$44),IF(Inputs!$B$39="pvp",MIN((Skills!S4*(1+((Inputs!$B$35+(ArtifactsInput!$M$7-ArtifactsInput!$M$7)*CHOOSE(ArtifactsInput!$N$7+1,6,7.2,8.4,9.6,10.8,12))+IF(Inputs!$B$3&gt;=117,F1583,0))/100)),15)/15,(Skills!S4*(1+((Inputs!$B$35+(ArtifactsInput!$M$7-ArtifactsInput!$M$7)*CHOOSE(ArtifactsInput!$N$7+1,6,7.2,8.4,9.6,10.8,12))+IF(Inputs!$B$3&gt;=117,F1583,0))/100))/Skills!D4)),0)+IF(C1562=TRUE,F1562*IF(AND(Inputs!$B$39&lt;&gt;"pvp",Inputs!$B$44&gt;0),(((R1562-1)*(Skills!S5*(1+((Inputs!$B$35+(ArtifactsInput!$M$7-ArtifactsInput!$M$7)*CHOOSE(ArtifactsInput!$N$7+1,6,7.2,8.4,9.6,10.8,12))+IF(Inputs!$B$3&gt;=117,F1583,0))/100))+MIN((Skills!S5*(1+((Inputs!$B$35+(ArtifactsInput!$M$7-ArtifactsInput!$M$7)*CHOOSE(ArtifactsInput!$N$7+1,6,7.2,8.4,9.6,10.8,12))+IF(Inputs!$B$3&gt;=117,F1583,0))/100)),MAX(0,Inputs!$B$44-((R1562-1)*Skills!D5))))/Inputs!$B$44),IF(Inputs!$B$39="pvp",MIN((Skills!S5*(1+((Inputs!$B$35+(ArtifactsInput!$M$7-ArtifactsInput!$M$7)*CHOOSE(ArtifactsInput!$N$7+1,6,7.2,8.4,9.6,10.8,12))+IF(Inputs!$B$3&gt;=117,F1583,0))/100)),15)/15,(Skills!S5*(1+((Inputs!$B$35+(ArtifactsInput!$M$7-ArtifactsInput!$M$7)*CHOOSE(ArtifactsInput!$N$7+1,6,7.2,8.4,9.6,10.8,12))+IF(Inputs!$B$3&gt;=117,F1583,0))/100))/Skills!D5)),0)+IF(C1568=TRUE,F1568*IF(AND(Inputs!$B$39&lt;&gt;"pvp",Inputs!$B$44&gt;0),(((R1568-1)*(Skills!S11*(1+((Inputs!$B$35+(ArtifactsInput!$M$7-ArtifactsInput!$M$7)*CHOOSE(ArtifactsInput!$N$7+1,6,7.2,8.4,9.6,10.8,12))+IF(Inputs!$B$3&gt;=117,F1583,0))/100))+MIN((Skills!S11*(1+((Inputs!$B$35+(ArtifactsInput!$M$7-ArtifactsInput!$M$7)*CHOOSE(ArtifactsInput!$N$7+1,6,7.2,8.4,9.6,10.8,12))+IF(Inputs!$B$3&gt;=117,F1583,0))/100)),MAX(0,Inputs!$B$44-((R1568-1)*Skills!D11))))/Inputs!$B$44),IF(Inputs!$B$39="pvp",MIN((Skills!S11*(1+((Inputs!$B$35+(ArtifactsInput!$M$7-ArtifactsInput!$M$7)*CHOOSE(ArtifactsInput!$N$7+1,6,7.2,8.4,9.6,10.8,12))+IF(Inputs!$B$3&gt;=117,F1583,0))/100)),15)/15,(Skills!S11*(1+((Inputs!$B$35+(ArtifactsInput!$M$7-ArtifactsInput!$M$7)*CHOOSE(ArtifactsInput!$N$7+1,6,7.2,8.4,9.6,10.8,12))+IF(Inputs!$B$3&gt;=117,F1583,0)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1571=TRUE,(1+F1571*IF(AND(Inputs!$B$39&lt;&gt;"pvp",Inputs!$B$44&gt;0),(((R1571-1)*(Skills!S14*(1+((Inputs!$B$35+(ArtifactsInput!$M$7-ArtifactsInput!$M$7)*CHOOSE(ArtifactsInput!$N$7+1,6,7.2,8.4,9.6,10.8,12))+IF(Inputs!$B$3&gt;=117,F1583,0))/100))+MIN((Skills!S14*(1+((Inputs!$B$35+(ArtifactsInput!$M$7-ArtifactsInput!$M$7)*CHOOSE(ArtifactsInput!$N$7+1,6,7.2,8.4,9.6,10.8,12))+IF(Inputs!$B$3&gt;=117,F1583,0))/100)),MAX(0,Inputs!$B$44-((R1571-1)*Skills!D14))))/Inputs!$B$44),IF(Inputs!$B$39="pvp",MIN((Skills!S14*(1+((Inputs!$B$35+(ArtifactsInput!$M$7-ArtifactsInput!$M$7)*CHOOSE(ArtifactsInput!$N$7+1,6,7.2,8.4,9.6,10.8,12))+IF(Inputs!$B$3&gt;=117,F1583,0))/100)),15)/15,(Skills!S14*(1+((Inputs!$B$35+(ArtifactsInput!$M$7-ArtifactsInput!$M$7)*CHOOSE(ArtifactsInput!$N$7+1,6,7.2,8.4,9.6,10.8,12))+IF(Inputs!$B$3&gt;=117,F1583,0))/100))/Skills!D14))/100),1)*IF(C1576=TRUE,(1+F1576*IF(AND(Inputs!$B$39&lt;&gt;"pvp",Inputs!$B$44&gt;0),(((R1576-1)*(Skills!S19*(1+((Inputs!$B$35+(ArtifactsInput!$M$7-ArtifactsInput!$M$7)*CHOOSE(ArtifactsInput!$N$7+1,6,7.2,8.4,9.6,10.8,12))+IF(Inputs!$B$3&gt;=117,F1583,0))/100))+MIN((Skills!S19*(1+((Inputs!$B$35+(ArtifactsInput!$M$7-ArtifactsInput!$M$7)*CHOOSE(ArtifactsInput!$N$7+1,6,7.2,8.4,9.6,10.8,12))+IF(Inputs!$B$3&gt;=117,F1583,0))/100)),MAX(0,Inputs!$B$44-((R1576-1)*Skills!D19))))/Inputs!$B$44),IF(Inputs!$B$39="pvp",MIN((Skills!S19*(1+((Inputs!$B$35+(ArtifactsInput!$M$7-ArtifactsInput!$M$7)*CHOOSE(ArtifactsInput!$N$7+1,6,7.2,8.4,9.6,10.8,12))+IF(Inputs!$B$3&gt;=117,F1583,0))/100)),15)/15,(Skills!S19*(1+((Inputs!$B$35+(ArtifactsInput!$M$7-ArtifactsInput!$M$7)*CHOOSE(ArtifactsInput!$N$7+1,6,7.2,8.4,9.6,10.8,12))+IF(Inputs!$B$3&gt;=117,F1583,0))/100))/Skills!D19))/100),1)</f>
        <v/>
      </c>
    </row>
    <row r="1588">
      <c r="A1588" t="inlineStr">
        <is>
          <t>Monster Damage Taken Bonus % (Holy Fountain)</t>
        </is>
      </c>
      <c r="B1588">
        <f>IF(Inputs!$B$3&gt;=68,20*IF(Inputs!$B$39="pvp",MIN((15*(1+((Inputs!$B$35+(ArtifactsInput!$M$7-ArtifactsInput!$M$7)*CHOOSE(ArtifactsInput!$N$7+1,6,7.2,8.4,9.6,10.8,12))+IF(Inputs!$B$3&gt;=117,F1583,0))/100)),15)/15,(15*(1+((Inputs!$B$35+(ArtifactsInput!$M$7-ArtifactsInput!$M$7)*CHOOSE(ArtifactsInput!$N$7+1,6,7.2,8.4,9.6,10.8,12))+IF(Inputs!$B$3&gt;=117,F1583,0))/100))/Skills!D10),0)</f>
        <v/>
      </c>
    </row>
    <row r="1589">
      <c r="A1589" t="inlineStr">
        <is>
          <t>Normal Monster Damage Bonus % (Holy Symbol)</t>
        </is>
      </c>
      <c r="B1589">
        <f>IF(C1569=TRUE,F1569*IF(AND(Inputs!$B$39&lt;&gt;"pvp",Inputs!$B$44&gt;0),(((R1569-1)*(Skills!S12*(1+((Inputs!$B$35+(ArtifactsInput!$M$7-ArtifactsInput!$M$7)*CHOOSE(ArtifactsInput!$N$7+1,6,7.2,8.4,9.6,10.8,12))+IF(Inputs!$B$3&gt;=117,F1583,0))/100))+MIN((Skills!S12*(1+((Inputs!$B$35+(ArtifactsInput!$M$7-ArtifactsInput!$M$7)*CHOOSE(ArtifactsInput!$N$7+1,6,7.2,8.4,9.6,10.8,12))+IF(Inputs!$B$3&gt;=117,F1583,0))/100)),MAX(0,Inputs!$B$44-((R1569-1)*Skills!D12))))/Inputs!$B$44),IF(Inputs!$B$39="pvp",MIN((Skills!S12*(1+((Inputs!$B$35+(ArtifactsInput!$M$7-ArtifactsInput!$M$7)*CHOOSE(ArtifactsInput!$N$7+1,6,7.2,8.4,9.6,10.8,12))+IF(Inputs!$B$3&gt;=117,F1583,0))/100)),15)/15,(Skills!S12*(1+((Inputs!$B$35+(ArtifactsInput!$M$7-ArtifactsInput!$M$7)*CHOOSE(ArtifactsInput!$N$7+1,6,7.2,8.4,9.6,10.8,12))+IF(Inputs!$B$3&gt;=117,F1583,0))/100))/Skills!D12)),0)</f>
        <v/>
      </c>
    </row>
    <row r="1590">
      <c r="A1590" t="inlineStr">
        <is>
          <t>Damage % Bonus (Holy Symbol - Damage Boost)</t>
        </is>
      </c>
      <c r="B1590">
        <f>Skills!O12</f>
        <v/>
      </c>
    </row>
    <row r="1591">
      <c r="A1591" t="inlineStr">
        <is>
          <t>Crit Damage % Bonus (Blood of the Divine)</t>
        </is>
      </c>
      <c r="B1591">
        <f>4*IF(C1577=TRUE,F1577,0)</f>
        <v/>
      </c>
    </row>
    <row r="1592">
      <c r="A1592" t="inlineStr">
        <is>
          <t>Attack Speed Bonus %</t>
        </is>
      </c>
      <c r="B1592">
        <f>IF(C1574=TRUE,F1574+(F1578-Calc!F21),0)+IF(Inputs!$B$3&gt;=134,15,0)+((C1585=TRUE)*F1585*IF(AND(Inputs!$B$39&lt;&gt;"pvp",Inputs!$B$44&gt;0),(((R1585-1)*(Skills!S28*(1+((Inputs!$B$35+(ArtifactsInput!$M$7-ArtifactsInput!$M$7)*CHOOSE(ArtifactsInput!$N$7+1,6,7.2,8.4,9.6,10.8,12))+IF(Inputs!$B$3&gt;=117,F1583,0))/100))+MIN((Skills!S28*(1+((Inputs!$B$35+(ArtifactsInput!$M$7-ArtifactsInput!$M$7)*CHOOSE(ArtifactsInput!$N$7+1,6,7.2,8.4,9.6,10.8,12))+IF(Inputs!$B$3&gt;=117,F1583,0))/100)),MAX(0,Inputs!$B$44-((R1585-1)*Skills!D28))))/Inputs!$B$44),IF(Inputs!$B$39="pvp",MIN((Skills!S28*(1+((Inputs!$B$35+(ArtifactsInput!$M$7-ArtifactsInput!$M$7)*CHOOSE(ArtifactsInput!$N$7+1,6,7.2,8.4,9.6,10.8,12))+IF(Inputs!$B$3&gt;=117,F1583,0))/100)),15)/15,(Skills!S28*(1+((Inputs!$B$35+(ArtifactsInput!$M$7-ArtifactsInput!$M$7)*CHOOSE(ArtifactsInput!$N$7+1,6,7.2,8.4,9.6,10.8,12))+IF(Inputs!$B$3&gt;=117,F1583,0))/100))/Skills!D28)))</f>
        <v/>
      </c>
    </row>
    <row r="1593">
      <c r="A1593" t="inlineStr">
        <is>
          <t>Actions Per Second</t>
        </is>
      </c>
      <c r="B1593">
        <f>1+MIN(150,150*(1-(1-Inputs!$B$12/150)*(1-B1592/150)))/100</f>
        <v/>
      </c>
    </row>
    <row r="1594">
      <c r="A1594" t="inlineStr">
        <is>
          <t>Skill + Buff Cast Rate</t>
        </is>
      </c>
      <c r="B1594">
        <f>IF(AND(Inputs!$B$39&lt;&gt;"pvp",Inputs!$B$44&gt;0),SUMPRODUCT((Skills!E2:E28=TRUE)*(C1559:C1585=TRUE)*R1559:R1585)/Inputs!$B$44,SUMPRODUCT((Skills!E2:E28=TRUE)*(C1559:C1585=TRUE)*Q1559:Q1585))</f>
        <v/>
      </c>
    </row>
    <row r="1595">
      <c r="A1595" t="inlineStr">
        <is>
          <t>Big Bang Casts Per Second</t>
        </is>
      </c>
      <c r="B1595">
        <f>MAX(0,B1593-B1594)</f>
        <v/>
      </c>
    </row>
    <row r="1596">
      <c r="A1596" t="inlineStr">
        <is>
          <t>Defense % Bonus (Divine Protection)</t>
        </is>
      </c>
      <c r="B1596">
        <f>IF(C1570=TRUE,F1570*IF(AND(Inputs!$B$39&lt;&gt;"pvp",Inputs!$B$44&gt;0),(((R1570-1)*(Skills!S13*(1+((Inputs!$B$35+(ArtifactsInput!$M$7-ArtifactsInput!$M$7)*CHOOSE(ArtifactsInput!$N$7+1,6,7.2,8.4,9.6,10.8,12))+IF(Inputs!$B$3&gt;=117,F1583,0))/100))+MIN((Skills!S13*(1+((Inputs!$B$35+(ArtifactsInput!$M$7-ArtifactsInput!$M$7)*CHOOSE(ArtifactsInput!$N$7+1,6,7.2,8.4,9.6,10.8,12))+IF(Inputs!$B$3&gt;=117,F1583,0))/100)),MAX(0,Inputs!$B$44-((R1570-1)*Skills!D13))))/Inputs!$B$44),IF(Inputs!$B$39="pvp",MIN((Skills!S13*(1+((Inputs!$B$35+(ArtifactsInput!$M$7-ArtifactsInput!$M$7)*CHOOSE(ArtifactsInput!$N$7+1,6,7.2,8.4,9.6,10.8,12))+IF(Inputs!$B$3&gt;=117,F1583,0))/100)),15)/15,(Skills!S13*(1+((Inputs!$B$35+(ArtifactsInput!$M$7-ArtifactsInput!$M$7)*CHOOSE(ArtifactsInput!$N$7+1,6,7.2,8.4,9.6,10.8,12))+IF(Inputs!$B$3&gt;=117,F1583,0))/100))/Skills!D13)),0)</f>
        <v/>
      </c>
    </row>
    <row r="1597">
      <c r="A1597" t="inlineStr">
        <is>
          <t>Buff-Casting Startup Delay (s, fixed-duration only)</t>
        </is>
      </c>
      <c r="B1597">
        <f>IF(AND(Inputs!$B$39&lt;&gt;"pvp",Inputs!$B$44&gt;0),SUMPRODUCT((Skills!S2:S28&gt;0)*(Skills!E2:E28=TRUE)*(C1559:C1585=TRUE))/B1593,0)</f>
        <v/>
      </c>
    </row>
    <row r="1598">
      <c r="A1598" t="inlineStr">
        <is>
          <t>Boss-Only Total DPS (this block's swept value)</t>
        </is>
      </c>
      <c r="B1598">
        <f>SUM(S1559:S1585)</f>
        <v/>
      </c>
    </row>
    <row r="1599">
      <c r="A1599" t="inlineStr">
        <is>
          <t>Normal-Only Total DPS (this block's swept value)</t>
        </is>
      </c>
      <c r="B1599">
        <f>SUM(U1559:U1585)</f>
        <v/>
      </c>
    </row>
    <row r="1600">
      <c r="A1600" s="6" t="inlineStr">
        <is>
          <t>TOTAL DPS</t>
        </is>
      </c>
      <c r="B1600" s="6">
        <f>SUM(O1559:O1585)</f>
        <v/>
      </c>
    </row>
    <row r="1602">
      <c r="A1602" s="6" t="inlineStr">
        <is>
          <t>Stat: Mushmom's Cap (Equip)</t>
        </is>
      </c>
    </row>
    <row r="1603">
      <c r="A1603" s="5" t="inlineStr">
        <is>
          <t>Key</t>
        </is>
      </c>
      <c r="B1603" s="5" t="inlineStr">
        <is>
          <t>Name</t>
        </is>
      </c>
      <c r="C1603" s="5" t="inlineStr">
        <is>
          <t>Unlocked</t>
        </is>
      </c>
      <c r="D1603" s="5" t="inlineStr">
        <is>
          <t>InputLevel</t>
        </is>
      </c>
      <c r="E1603" s="5" t="inlineStr">
        <is>
          <t>Factor</t>
        </is>
      </c>
      <c r="F1603" s="5" t="inlineStr">
        <is>
          <t>CoefficientPercent</t>
        </is>
      </c>
      <c r="G1603" s="5" t="inlineStr">
        <is>
          <t>EffectiveHits</t>
        </is>
      </c>
      <c r="H1603" s="5" t="inlineStr">
        <is>
          <t>ProcProbability</t>
        </is>
      </c>
      <c r="I1603" s="5" t="inlineStr">
        <is>
          <t>MapleHeroMultiplier</t>
        </is>
      </c>
      <c r="J1603" s="5" t="inlineStr">
        <is>
          <t>BaseDamage</t>
        </is>
      </c>
      <c r="K1603" s="5" t="inlineStr">
        <is>
          <t>BaseHitDamage</t>
        </is>
      </c>
      <c r="L1603" s="5" t="inlineStr">
        <is>
          <t>NonCritAvg</t>
        </is>
      </c>
      <c r="M1603" s="5" t="inlineStr">
        <is>
          <t>CritAvg</t>
        </is>
      </c>
      <c r="N1603" s="5" t="inlineStr">
        <is>
          <t>ExpectedDamage(perHit)</t>
        </is>
      </c>
      <c r="O1603" s="5" t="inlineStr">
        <is>
          <t>DPS</t>
        </is>
      </c>
      <c r="P1603" s="5" t="inlineStr">
        <is>
          <t>% of Total</t>
        </is>
      </c>
      <c r="R1603" t="inlineStr">
        <is>
          <t>helpers</t>
        </is>
      </c>
    </row>
    <row r="1604">
      <c r="A1604">
        <f>Skills!A2</f>
        <v/>
      </c>
      <c r="B1604">
        <f>Skills!B2</f>
        <v/>
      </c>
      <c r="C1604">
        <f>Inputs!$B$3&gt;=100</f>
        <v/>
      </c>
      <c r="D1604" t="inlineStr"/>
      <c r="E1604" t="inlineStr"/>
      <c r="F1604">
        <f>T1606+Skills!N2</f>
        <v/>
      </c>
      <c r="G1604">
        <f>Calc!G2</f>
        <v/>
      </c>
      <c r="H1604">
        <f>Calc!H2</f>
        <v/>
      </c>
      <c r="I1604">
        <f>IF(Skills!T2&lt;&gt;"",1+(Skills!T2/10)*($Z$3/1000)/100,1)</f>
        <v/>
      </c>
      <c r="J1604">
        <f>((Inputs!$B$6*(1+Inputs!$B$7/100))+(((Inputs!$B$13*(1+Inputs!$B$14/100))-(Inputs!$B$13*(1+Inputs!$B$14/100)))+0.25*(Inputs!$B$15-Inputs!$B$15))*(1+Inputs!$B$7/100))*(F1604/100)</f>
        <v/>
      </c>
      <c r="K1604">
        <f>J1604*(1+(((Inputs!$B$13+IF(Inputs!$B$3&gt;=35,(10*INDEX(FactorTable!$B$2:$Y$301,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2="TRIUMPH_FEATHER",IF(C1618=TRUE,F1618,0),0)/100)*(1+IF(C1629=TRUE,F1629,0)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1604)</f>
        <v/>
      </c>
      <c r="L1604">
        <f>K1604*(MIN(Inputs!$B$23+(F1624-Calc!F22),(Inputs!$B$24+IF(ArtifactsInput!$M$15,CHOOSE(ArtifactsInput!$N$15+1,25,30,35,40,45,50)/100*(Inputs!$B$12-Inputs!$B$12),0)))/100+(Inputs!$B$24+IF(ArtifactsInput!$M$15,CHOOSE(ArtifactsInput!$N$15+1,25,30,35,40,45,50)/100*(Inputs!$B$12-Inputs!$B$12),0))/100)/2</f>
        <v/>
      </c>
      <c r="M1604">
        <f>L1604*(1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4">
        <f>L1604*(1-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1604*(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4">
        <f>(1-Summary!$B$11)*S1604+Summary!$B$11*U1604</f>
        <v/>
      </c>
      <c r="P1604">
        <f>IF(B1645=0,0,O1604/B1645)</f>
        <v/>
      </c>
      <c r="Q1604">
        <f>IFERROR(1/(IF(Inputs!$B$39="pvp",15,MAX(0.1,Skills!D2-IF(Skills!E2=TRUE,Inputs!$B$33,0)))*(1-IF(AND(ArtifactsInput!$M$27,Inputs!$B$4="Chapter Hunt"),CHOOSE(ArtifactsInput!$N$27+1,20,24,28,32,36,40),0)/100)),0)</f>
        <v/>
      </c>
      <c r="R1604" t="n">
        <v>0</v>
      </c>
      <c r="S1604">
        <f>IF(C1604,(Skills!F2*N1604*B1640)*IF(Inputs!$B$39="pvp",1,1+(Inputs!$B$21+Skills!O2+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1604*(1-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1604*(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1604*(1-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1604*(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04">
        <f>MAX(0,(Inputs!$B$3-100)*3)+Inputs!$B$29+Inputs!$B$30</f>
        <v/>
      </c>
      <c r="U1604">
        <f>IF(C1604,(Skills!F2*N1604*B1640)*IF(Inputs!$B$39="pvp",1,(1+(Inputs!$B$22+Skills!P2+B1634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Skills!A3</f>
        <v/>
      </c>
      <c r="B1605">
        <f>Skills!B3</f>
        <v/>
      </c>
      <c r="C1605">
        <f>Inputs!$B$3&gt;=15</f>
        <v/>
      </c>
      <c r="D1605">
        <f>IF(Skills!C3=1,60+Inputs!$B$26+Inputs!$B$30,IF(Skills!C3=2,90+Inputs!$B$27+Inputs!$B$30,IF(Skills!C3=3,120+Inputs!$B$28+Inputs!$B$30,MAX(0,(Inputs!$B$3-100)*3)+Inputs!$B$29+Inputs!$B$30)))</f>
        <v/>
      </c>
      <c r="E1605">
        <f>INDEX(FactorTable!$B$2:$Y$301, MATCH(ROUND(MIN(300,MAX(1,D1605)),0), FactorTable!$A$2:$A$301,0), Skills!L3+1)</f>
        <v/>
      </c>
      <c r="F1605">
        <f>IF(Skills!M3=TRUE,(Skills!K3/10)*(E1605/1000),Skills!K3/10)+Skills!N3</f>
        <v/>
      </c>
      <c r="G1605">
        <f>Calc!G3</f>
        <v/>
      </c>
      <c r="H1605">
        <f>Calc!H3</f>
        <v/>
      </c>
      <c r="I1605">
        <f>IF(Skills!T3&lt;&gt;"",1+(Skills!T3/10)*($Z$3/1000)/100,1)</f>
        <v/>
      </c>
      <c r="J1605" t="inlineStr"/>
      <c r="K1605" t="inlineStr"/>
      <c r="L1605" t="inlineStr"/>
      <c r="M1605" t="inlineStr"/>
      <c r="N1605" t="inlineStr"/>
      <c r="O1605">
        <f>(1-Summary!$B$11)*S1605+Summary!$B$11*U1605</f>
        <v/>
      </c>
      <c r="P1605">
        <f>IF(B1645=0,0,O1605/B1645)</f>
        <v/>
      </c>
      <c r="Q1605">
        <f>IFERROR(1/(IF(Inputs!$B$39="pvp",15,MAX(0.1,Skills!D3-IF(Skills!E3=TRUE,Inputs!$B$33,0)))*(1-IF(AND(ArtifactsInput!$M$27,Inputs!$B$4="Chapter Hunt"),CHOOSE(ArtifactsInput!$N$27+1,20,24,28,32,36,40),0)/100)),0)</f>
        <v/>
      </c>
      <c r="R1605">
        <f>IF(AND(Inputs!$B$39&lt;&gt;"pvp",Inputs!$B$44&gt;0),IF(Inputs!$B$44&lt;=0,0,(INT(Inputs!$B$44/(IF(Inputs!$B$39="pvp",15,MAX(0.1,Skills!D3-IF(Skills!E3=TRUE,Inputs!$B$33,0)))*(1-IF(AND(ArtifactsInput!$M$27,Inputs!$B$4="Chapter Hunt"),CHOOSE(ArtifactsInput!$N$27+1,20,24,28,32,36,40),0)/100)))+1)),0)</f>
        <v/>
      </c>
      <c r="S1605" t="n">
        <v>0</v>
      </c>
      <c r="T1605">
        <f>INDEX(FactorTable!$B$2:$Y$301, MATCH(ROUND(MIN(300,MAX(1,T1604)),0), FactorTable!$A$2:$A$301,0), 22)</f>
        <v/>
      </c>
      <c r="U1605" t="n">
        <v>0</v>
      </c>
    </row>
    <row r="1606">
      <c r="A1606">
        <f>Skills!A4</f>
        <v/>
      </c>
      <c r="B1606">
        <f>Skills!B4</f>
        <v/>
      </c>
      <c r="C1606">
        <f>Inputs!$B$3&gt;=38</f>
        <v/>
      </c>
      <c r="D1606">
        <f>IF(Skills!C4=1,60+Inputs!$B$26+Inputs!$B$30,IF(Skills!C4=2,90+Inputs!$B$27+Inputs!$B$30,IF(Skills!C4=3,120+Inputs!$B$28+Inputs!$B$30,MAX(0,(Inputs!$B$3-100)*3)+Inputs!$B$29+Inputs!$B$30)))</f>
        <v/>
      </c>
      <c r="E1606">
        <f>INDEX(FactorTable!$B$2:$Y$301, MATCH(ROUND(MIN(300,MAX(1,D1606)),0), FactorTable!$A$2:$A$301,0), Skills!L4+1)</f>
        <v/>
      </c>
      <c r="F1606">
        <f>IF(Skills!M4=TRUE,(Skills!K4/10)*(E1606/1000),Skills!K4/10)+Skills!N4</f>
        <v/>
      </c>
      <c r="G1606">
        <f>Calc!G4</f>
        <v/>
      </c>
      <c r="H1606">
        <f>Calc!H4</f>
        <v/>
      </c>
      <c r="I1606">
        <f>IF(Skills!T4&lt;&gt;"",1+(Skills!T4/10)*($Z$3/1000)/100,1)</f>
        <v/>
      </c>
      <c r="J1606" t="inlineStr"/>
      <c r="K1606" t="inlineStr"/>
      <c r="L1606" t="inlineStr"/>
      <c r="M1606" t="inlineStr"/>
      <c r="N1606" t="inlineStr"/>
      <c r="O1606">
        <f>(1-Summary!$B$11)*S1606+Summary!$B$11*U1606</f>
        <v/>
      </c>
      <c r="P1606">
        <f>IF(B1645=0,0,O1606/B1645)</f>
        <v/>
      </c>
      <c r="Q1606">
        <f>IFERROR(1/(IF(Inputs!$B$39="pvp",15,MAX(0.1,Skills!D4-IF(Skills!E4=TRUE,Inputs!$B$33,0)))*(1-IF(AND(ArtifactsInput!$M$27,Inputs!$B$4="Chapter Hunt"),CHOOSE(ArtifactsInput!$N$27+1,20,24,28,32,36,40),0)/100)),0)</f>
        <v/>
      </c>
      <c r="R1606">
        <f>IF(AND(Inputs!$B$39&lt;&gt;"pvp",Inputs!$B$44&gt;0),IF(Inputs!$B$44&lt;=0,0,(INT(Inputs!$B$44/(IF(Inputs!$B$39="pvp",15,MAX(0.1,Skills!D4-IF(Skills!E4=TRUE,Inputs!$B$33,0)))*(1-IF(AND(ArtifactsInput!$M$27,Inputs!$B$4="Chapter Hunt"),CHOOSE(ArtifactsInput!$N$27+1,20,24,28,32,36,40),0)/100)))+1)),0)</f>
        <v/>
      </c>
      <c r="S1606" t="n">
        <v>0</v>
      </c>
      <c r="T1606">
        <f>290*T1605/1000</f>
        <v/>
      </c>
      <c r="U1606" t="n">
        <v>0</v>
      </c>
    </row>
    <row r="1607">
      <c r="A1607">
        <f>Skills!A5</f>
        <v/>
      </c>
      <c r="B1607">
        <f>Skills!B5</f>
        <v/>
      </c>
      <c r="C1607">
        <f>Inputs!$B$3&gt;=40</f>
        <v/>
      </c>
      <c r="D1607">
        <f>IF(Skills!C5=1,60+Inputs!$B$26+Inputs!$B$30,IF(Skills!C5=2,90+Inputs!$B$27+Inputs!$B$30,IF(Skills!C5=3,120+Inputs!$B$28+Inputs!$B$30,MAX(0,(Inputs!$B$3-100)*3)+Inputs!$B$29+Inputs!$B$30)))</f>
        <v/>
      </c>
      <c r="E1607">
        <f>INDEX(FactorTable!$B$2:$Y$301, MATCH(ROUND(MIN(300,MAX(1,D1607)),0), FactorTable!$A$2:$A$301,0), Skills!L5+1)</f>
        <v/>
      </c>
      <c r="F1607">
        <f>IF(Skills!M5=TRUE,(Skills!K5/10)*(E1607/1000),Skills!K5/10)+Skills!N5</f>
        <v/>
      </c>
      <c r="G1607">
        <f>Calc!G5</f>
        <v/>
      </c>
      <c r="H1607">
        <f>Calc!H5</f>
        <v/>
      </c>
      <c r="I1607">
        <f>IF(Skills!T5&lt;&gt;"",1+(Skills!T5/10)*($Z$3/1000)/100,1)</f>
        <v/>
      </c>
      <c r="J1607" t="inlineStr"/>
      <c r="K1607" t="inlineStr"/>
      <c r="L1607" t="inlineStr"/>
      <c r="M1607" t="inlineStr"/>
      <c r="N1607" t="inlineStr"/>
      <c r="O1607">
        <f>(1-Summary!$B$11)*S1607+Summary!$B$11*U1607</f>
        <v/>
      </c>
      <c r="P1607">
        <f>IF(B1645=0,0,O1607/B1645)</f>
        <v/>
      </c>
      <c r="Q1607">
        <f>IFERROR(1/(IF(Inputs!$B$39="pvp",15,MAX(0.1,Skills!D5-IF(Skills!E5=TRUE,Inputs!$B$33,0)))*(1-IF(AND(ArtifactsInput!$M$27,Inputs!$B$4="Chapter Hunt"),CHOOSE(ArtifactsInput!$N$27+1,20,24,28,32,36,40),0)/100)),0)</f>
        <v/>
      </c>
      <c r="R1607">
        <f>IF(AND(Inputs!$B$39&lt;&gt;"pvp",Inputs!$B$44&gt;0),IF(Inputs!$B$44&lt;=0,0,(INT(Inputs!$B$44/(IF(Inputs!$B$39="pvp",15,MAX(0.1,Skills!D5-IF(Skills!E5=TRUE,Inputs!$B$33,0)))*(1-IF(AND(ArtifactsInput!$M$27,Inputs!$B$4="Chapter Hunt"),CHOOSE(ArtifactsInput!$N$27+1,20,24,28,32,36,40),0)/100)))+1)),0)</f>
        <v/>
      </c>
      <c r="S1607" t="n">
        <v>0</v>
      </c>
      <c r="U1607" t="n">
        <v>0</v>
      </c>
    </row>
    <row r="1608">
      <c r="A1608">
        <f>Skills!A6</f>
        <v/>
      </c>
      <c r="B1608">
        <f>Skills!B6</f>
        <v/>
      </c>
      <c r="C1608">
        <f>Inputs!$B$3&gt;=103</f>
        <v/>
      </c>
      <c r="D1608">
        <f>IF(Skills!C6=1,60+Inputs!$B$26+Inputs!$B$30,IF(Skills!C6=2,90+Inputs!$B$27+Inputs!$B$30,IF(Skills!C6=3,120+Inputs!$B$28+Inputs!$B$30,MAX(0,(Inputs!$B$3-100)*3)+Inputs!$B$29+Inputs!$B$30)))</f>
        <v/>
      </c>
      <c r="E1608">
        <f>INDEX(FactorTable!$B$2:$Y$301, MATCH(ROUND(MIN(300,MAX(1,D1608)),0), FactorTable!$A$2:$A$301,0), Skills!L6+1)</f>
        <v/>
      </c>
      <c r="F1608">
        <f>IF(Skills!M6=TRUE,(Skills!K6/10)*(E1608/1000),Skills!K6/10)+Skills!N6</f>
        <v/>
      </c>
      <c r="G1608">
        <f>Calc!G6</f>
        <v/>
      </c>
      <c r="H1608">
        <f>Calc!H6</f>
        <v/>
      </c>
      <c r="I1608">
        <f>IF(Skills!T6&lt;&gt;"",1+(Skills!T6/10)*($Z$3/1000)/100,1)</f>
        <v/>
      </c>
      <c r="J1608">
        <f>((Inputs!$B$6*(1+Inputs!$B$7/100))+(((Inputs!$B$13*(1+Inputs!$B$14/100))-(Inputs!$B$13*(1+Inputs!$B$14/100)))+0.25*(Inputs!$B$15-Inputs!$B$15))*(1+Inputs!$B$7/100))*(F1608/100)</f>
        <v/>
      </c>
      <c r="K1608">
        <f>J1608*(1+(((Inputs!$B$13+IF(Inputs!$B$3&gt;=35,(10*INDEX(FactorTable!$B$2:$Y$301,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6="TRIUMPH_FEATHER",IF(C1618=TRUE,F1618,0),0)/100)*(1+IF(C1629=TRUE,F1629,0)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1608)</f>
        <v/>
      </c>
      <c r="L1608">
        <f>K1608*(MIN(Inputs!$B$23+(F1624-Calc!F22),(Inputs!$B$24+IF(ArtifactsInput!$M$15,CHOOSE(ArtifactsInput!$N$15+1,25,30,35,40,45,50)/100*(Inputs!$B$12-Inputs!$B$12),0)))/100+(Inputs!$B$24+IF(ArtifactsInput!$M$15,CHOOSE(ArtifactsInput!$N$15+1,25,30,35,40,45,50)/100*(Inputs!$B$12-Inputs!$B$12),0))/100)/2</f>
        <v/>
      </c>
      <c r="M1608">
        <f>L1608*(1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8">
        <f>L1608*(1-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1608*(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8">
        <f>(1-Summary!$B$11)*S1608+Summary!$B$11*U1608</f>
        <v/>
      </c>
      <c r="P1608">
        <f>IF(B1645=0,0,O1608/B1645)</f>
        <v/>
      </c>
      <c r="Q1608">
        <f>IFERROR(1/(IF(Inputs!$B$39="pvp",15,MAX(0.1,Skills!D6-IF(Skills!E6=TRUE,Inputs!$B$33,0)))*(1-IF(AND(ArtifactsInput!$M$27,Inputs!$B$4="Chapter Hunt"),CHOOSE(ArtifactsInput!$N$27+1,20,24,28,32,36,40),0)/100)),0)</f>
        <v/>
      </c>
      <c r="R1608">
        <f>IF(AND(Inputs!$B$39&lt;&gt;"pvp",Inputs!$B$44&gt;0),IF(MAX(0,Inputs!$B$44-B1642)&lt;=0,0,(INT(MAX(0,Inputs!$B$44-B1642)/(IF(Inputs!$B$39="pvp",15,MAX(0.1,Skills!D6-IF(Skills!E6=TRUE,Inputs!$B$33,0)))*(1-IF(AND(ArtifactsInput!$M$27,Inputs!$B$4="Chapter Hunt"),CHOOSE(ArtifactsInput!$N$27+1,20,24,28,32,36,40),0)/100)))+1)),0)</f>
        <v/>
      </c>
      <c r="S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$21+Skills!O6+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1608*(1-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1608*(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1608*(1-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1608*(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$22+Skills!P6+B1634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Skills!A7</f>
        <v/>
      </c>
      <c r="B1609">
        <f>Skills!B7</f>
        <v/>
      </c>
      <c r="C1609">
        <f>Inputs!$B$3&gt;=122</f>
        <v/>
      </c>
      <c r="D1609">
        <f>IF(Skills!C7=1,60+Inputs!$B$26+Inputs!$B$30,IF(Skills!C7=2,90+Inputs!$B$27+Inputs!$B$30,IF(Skills!C7=3,120+Inputs!$B$28+Inputs!$B$30,MAX(0,(Inputs!$B$3-100)*3)+Inputs!$B$29+Inputs!$B$30)))</f>
        <v/>
      </c>
      <c r="E1609">
        <f>INDEX(FactorTable!$B$2:$Y$301, MATCH(ROUND(MIN(300,MAX(1,D1609)),0), FactorTable!$A$2:$A$301,0), Skills!L7+1)</f>
        <v/>
      </c>
      <c r="F1609">
        <f>IF(Skills!M7=TRUE,(Skills!K7/10)*(E1609/1000),Skills!K7/10)+Skills!N7</f>
        <v/>
      </c>
      <c r="G1609">
        <f>Calc!G7</f>
        <v/>
      </c>
      <c r="H1609">
        <f>Calc!H7</f>
        <v/>
      </c>
      <c r="I1609">
        <f>IF(Skills!T7&lt;&gt;"",1+(Skills!T7/10)*($Z$3/1000)/100,1)</f>
        <v/>
      </c>
      <c r="J1609">
        <f>((Inputs!$B$6*(1+Inputs!$B$7/100))+(((Inputs!$B$13*(1+Inputs!$B$14/100))-(Inputs!$B$13*(1+Inputs!$B$14/100)))+0.25*(Inputs!$B$15-Inputs!$B$15))*(1+Inputs!$B$7/100))*(F1609/100)</f>
        <v/>
      </c>
      <c r="K1609">
        <f>J1609*(1+(((Inputs!$B$13+IF(Inputs!$B$3&gt;=35,(10*INDEX(FactorTable!$B$2:$Y$301,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7="TRIUMPH_FEATHER",IF(C1618=TRUE,F1618,0),0)/100)*(1+IF(C1629=TRUE,F1629,0)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1609)</f>
        <v/>
      </c>
      <c r="L1609">
        <f>K1609*(MIN(Inputs!$B$23+(F1624-Calc!F22),(Inputs!$B$24+IF(ArtifactsInput!$M$15,CHOOSE(ArtifactsInput!$N$15+1,25,30,35,40,45,50)/100*(Inputs!$B$12-Inputs!$B$12),0)))/100+(Inputs!$B$24+IF(ArtifactsInput!$M$15,CHOOSE(ArtifactsInput!$N$15+1,25,30,35,40,45,50)/100*(Inputs!$B$12-Inputs!$B$12),0))/100)/2</f>
        <v/>
      </c>
      <c r="M1609">
        <f>L1609*(1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9">
        <f>L1609*(1-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1609*(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9">
        <f>(1-Summary!$B$11)*S1609+Summary!$B$11*U1609</f>
        <v/>
      </c>
      <c r="P1609">
        <f>IF(B1645=0,0,O1609/B1645)</f>
        <v/>
      </c>
      <c r="Q1609">
        <f>IFERROR(1/(IF(Inputs!$B$39="pvp",15,MAX(0.1,Skills!D7-IF(Skills!E6=TRUE,Inputs!$B$33,0)))*(1-IF(AND(ArtifactsInput!$M$27,Inputs!$B$4="Chapter Hunt"),CHOOSE(ArtifactsInput!$N$27+1,20,24,28,32,36,40),0)/100)),0)</f>
        <v/>
      </c>
      <c r="R1609">
        <f>IF(AND(Inputs!$B$39&lt;&gt;"pvp",Inputs!$B$44&gt;0),IF(MAX(0,Inputs!$B$44-B1642)&lt;=0,0,(INT(MAX(0,Inputs!$B$44-B1642)/(IF(Inputs!$B$39="pvp",15,MAX(0.1,Skills!D7-IF(Skills!E6=TRUE,Inputs!$B$33,0)))*(1-IF(AND(ArtifactsInput!$M$27,Inputs!$B$4="Chapter Hunt"),CHOOSE(ArtifactsInput!$N$27+1,20,24,28,32,36,40),0)/100)))+1)),0)</f>
        <v/>
      </c>
      <c r="S1609">
        <f>IF(C1609,H1609*N1609*IF(AND(Inputs!$B$39&lt;&gt;"pvp",Inputs!$B$44&gt;0),((Skills!F7*((R1609-1)*IF(Skills!G7&gt;0,Skills!H7/Skills!G7,1)+IF(Skills!G7&gt;0,MIN(Skills!H7,MAX(0,MAX(0,Inputs!$B$44-B1642)-((R1609-1)*(IF(Inputs!$B$39="pvp",15,MAX(0.1,Skills!D7-IF(Skills!E6=TRUE,Inputs!$B$33,0)))*(1-IF(AND(ArtifactsInput!$M$27,Inputs!$B$4="Chapter Hunt"),CHOOSE(ArtifactsInput!$N$27+1,20,24,28,32,36,40),0)/100)))))/Skills!G7,1)))/Inputs!$B$44),G1609*Q1609)*IF(Inputs!$B$39="pvp",1,1+(Inputs!$B$21+Skills!O7+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1609*(1-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1609*(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1609*(1-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1609*(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9" t="n">
        <v>0</v>
      </c>
    </row>
    <row r="1610">
      <c r="A1610">
        <f>Skills!A8</f>
        <v/>
      </c>
      <c r="B1610">
        <f>Skills!B8</f>
        <v/>
      </c>
      <c r="C1610">
        <f>Inputs!$B$3&gt;=105</f>
        <v/>
      </c>
      <c r="D1610">
        <f>IF(Skills!C8=1,60+Inputs!$B$26+Inputs!$B$30,IF(Skills!C8=2,90+Inputs!$B$27+Inputs!$B$30,IF(Skills!C8=3,120+Inputs!$B$28+Inputs!$B$30,MAX(0,(Inputs!$B$3-100)*3)+Inputs!$B$29+Inputs!$B$30)))</f>
        <v/>
      </c>
      <c r="E1610">
        <f>INDEX(FactorTable!$B$2:$Y$301, MATCH(ROUND(MIN(300,MAX(1,D1610)),0), FactorTable!$A$2:$A$301,0), Skills!L8+1)</f>
        <v/>
      </c>
      <c r="F1610">
        <f>IF(Skills!M8=TRUE,(Skills!K8/10)*(E1610/1000),Skills!K8/10)+Skills!N8</f>
        <v/>
      </c>
      <c r="G1610">
        <f>Calc!G8</f>
        <v/>
      </c>
      <c r="H1610">
        <f>Calc!H8</f>
        <v/>
      </c>
      <c r="I1610">
        <f>IF(Skills!T8&lt;&gt;"",1+(Skills!T8/10)*($Z$3/1000)/100,1)</f>
        <v/>
      </c>
      <c r="J1610">
        <f>((Inputs!$B$6*(1+Inputs!$B$7/100))+(((Inputs!$B$13*(1+Inputs!$B$14/100))-(Inputs!$B$13*(1+Inputs!$B$14/100)))+0.25*(Inputs!$B$15-Inputs!$B$15))*(1+Inputs!$B$7/100))*(F1610/100)</f>
        <v/>
      </c>
      <c r="K1610">
        <f>J1610*(1+(((Inputs!$B$13+IF(Inputs!$B$3&gt;=35,(10*INDEX(FactorTable!$B$2:$Y$301,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8="TRIUMPH_FEATHER",IF(C1618=TRUE,F1618,0),0)/100)*(1+IF(C1629=TRUE,F1629,0)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1610)</f>
        <v/>
      </c>
      <c r="L1610">
        <f>K1610*(MIN(Inputs!$B$23+(F1624-Calc!F22),(Inputs!$B$24+IF(ArtifactsInput!$M$15,CHOOSE(ArtifactsInput!$N$15+1,25,30,35,40,45,50)/100*(Inputs!$B$12-Inputs!$B$12),0)))/100+(Inputs!$B$24+IF(ArtifactsInput!$M$15,CHOOSE(ArtifactsInput!$N$15+1,25,30,35,40,45,50)/100*(Inputs!$B$12-Inputs!$B$12),0))/100)/2</f>
        <v/>
      </c>
      <c r="M1610">
        <f>L1610*(1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0">
        <f>L1610*(1-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1610*(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0">
        <f>(1-Summary!$B$11)*S1610+Summary!$B$11*U1610</f>
        <v/>
      </c>
      <c r="P1610">
        <f>IF(B1645=0,0,O1610/B1645)</f>
        <v/>
      </c>
      <c r="Q1610">
        <f>IFERROR(1/(IF(Inputs!$B$39="pvp",15,MAX(0.1,Skills!D8-IF(Skills!E8=TRUE,Inputs!$B$33,0)))*(1-IF(AND(ArtifactsInput!$M$27,Inputs!$B$4="Chapter Hunt"),CHOOSE(ArtifactsInput!$N$27+1,20,24,28,32,36,40),0)/100)),0)</f>
        <v/>
      </c>
      <c r="R1610">
        <f>IF(AND(Inputs!$B$39&lt;&gt;"pvp",Inputs!$B$44&gt;0),IF(MAX(0,Inputs!$B$44-B1642)&lt;=0,0,(INT(MAX(0,Inputs!$B$44-B1642)/(IF(Inputs!$B$39="pvp",15,MAX(0.1,Skills!D8-IF(Skills!E8=TRUE,Inputs!$B$33,0)))*(1-IF(AND(ArtifactsInput!$M$27,Inputs!$B$4="Chapter Hunt"),CHOOSE(ArtifactsInput!$N$27+1,20,24,28,32,36,40),0)/100)))+1)),0)</f>
        <v/>
      </c>
      <c r="S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$21+Skills!O8+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1610*(1-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1610*(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1610*(1-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1610*(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$22+Skills!P8+B1634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1">
      <c r="A1611">
        <f>Skills!A9</f>
        <v/>
      </c>
      <c r="B1611">
        <f>Skills!B9</f>
        <v/>
      </c>
      <c r="C1611">
        <f>Inputs!$B$3&gt;=115</f>
        <v/>
      </c>
      <c r="D1611">
        <f>IF(Skills!C9=1,60+Inputs!$B$26+Inputs!$B$30,IF(Skills!C9=2,90+Inputs!$B$27+Inputs!$B$30,IF(Skills!C9=3,120+Inputs!$B$28+Inputs!$B$30,MAX(0,(Inputs!$B$3-100)*3)+Inputs!$B$29+Inputs!$B$30)))</f>
        <v/>
      </c>
      <c r="E1611">
        <f>INDEX(FactorTable!$B$2:$Y$301, MATCH(ROUND(MIN(300,MAX(1,D1611)),0), FactorTable!$A$2:$A$301,0), Skills!L9+1)</f>
        <v/>
      </c>
      <c r="F1611">
        <f>IF(Skills!M9=TRUE,(Skills!K9/10)*(E1611/1000),Skills!K9/10)+Skills!N9</f>
        <v/>
      </c>
      <c r="G1611">
        <f>Calc!G9</f>
        <v/>
      </c>
      <c r="H1611">
        <f>Calc!H9</f>
        <v/>
      </c>
      <c r="I1611">
        <f>IF(Skills!T9&lt;&gt;"",1+(Skills!T9/10)*($Z$3/1000)/100,1)</f>
        <v/>
      </c>
      <c r="J1611">
        <f>((Inputs!$B$6*(1+Inputs!$B$7/100))+(((Inputs!$B$13*(1+Inputs!$B$14/100))-(Inputs!$B$13*(1+Inputs!$B$14/100)))+0.25*(Inputs!$B$15-Inputs!$B$15))*(1+Inputs!$B$7/100))*(F1611/100)</f>
        <v/>
      </c>
      <c r="K1611">
        <f>J1611*(1+(((Inputs!$B$13+IF(Inputs!$B$3&gt;=35,(10*INDEX(FactorTable!$B$2:$Y$301,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9="TRIUMPH_FEATHER",IF(C1618=TRUE,F1618,0),0)/100)*(1+IF(C1629=TRUE,F1629,0)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1611)</f>
        <v/>
      </c>
      <c r="L1611">
        <f>K1611*(MIN(Inputs!$B$23+(F1624-Calc!F22),(Inputs!$B$24+IF(ArtifactsInput!$M$15,CHOOSE(ArtifactsInput!$N$15+1,25,30,35,40,45,50)/100*(Inputs!$B$12-Inputs!$B$12),0)))/100+(Inputs!$B$24+IF(ArtifactsInput!$M$15,CHOOSE(ArtifactsInput!$N$15+1,25,30,35,40,45,50)/100*(Inputs!$B$12-Inputs!$B$12),0))/100)/2</f>
        <v/>
      </c>
      <c r="M1611">
        <f>L1611*(1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1">
        <f>L1611*(1-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1">
        <f>(1-Summary!$B$11)*S1611+Summary!$B$11*U1611</f>
        <v/>
      </c>
      <c r="P1611">
        <f>IF(B1645=0,0,O1611/B1645)</f>
        <v/>
      </c>
      <c r="Q1611">
        <f>IFERROR(1/(IF(Inputs!$B$39="pvp",15,MAX(0.1,Skills!D9-IF(Skills!E9=TRUE,Inputs!$B$33,0)))*(1-IF(AND(ArtifactsInput!$M$27,Inputs!$B$4="Chapter Hunt"),CHOOSE(ArtifactsInput!$N$27+1,20,24,28,32,36,40),0)/100)),0)</f>
        <v/>
      </c>
      <c r="R1611">
        <f>IF(AND(Inputs!$B$39&lt;&gt;"pvp",Inputs!$B$44&gt;0),IF(MAX(0,Inputs!$B$44-B1642)&lt;=0,0,(INT(MAX(0,Inputs!$B$44-B1642)/(IF(Inputs!$B$39="pvp",15,MAX(0.1,Skills!D9-IF(Skills!E9=TRUE,Inputs!$B$33,0)))*(1-IF(AND(ArtifactsInput!$M$27,Inputs!$B$4="Chapter Hunt"),CHOOSE(ArtifactsInput!$N$27+1,20,24,28,32,36,40),0)/100)))+1)),0)</f>
        <v/>
      </c>
      <c r="S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$21+Skills!O9+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$22+Skills!P9+B1634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2">
      <c r="A1612">
        <f>Skills!A10</f>
        <v/>
      </c>
      <c r="B1612">
        <f>Skills!B10</f>
        <v/>
      </c>
      <c r="C1612">
        <f>Inputs!$B$3&gt;=66</f>
        <v/>
      </c>
      <c r="D1612">
        <f>IF(Skills!C10=1,60+Inputs!$B$26+Inputs!$B$30,IF(Skills!C10=2,90+Inputs!$B$27+Inputs!$B$30,IF(Skills!C10=3,120+Inputs!$B$28+Inputs!$B$30,MAX(0,(Inputs!$B$3-100)*3)+Inputs!$B$29+Inputs!$B$30)))</f>
        <v/>
      </c>
      <c r="E1612">
        <f>INDEX(FactorTable!$B$2:$Y$301, MATCH(ROUND(MIN(300,MAX(1,D1612)),0), FactorTable!$A$2:$A$301,0), Skills!L10+1)</f>
        <v/>
      </c>
      <c r="F1612" t="n">
        <v>0</v>
      </c>
      <c r="G1612">
        <f>Calc!G10</f>
        <v/>
      </c>
      <c r="H1612">
        <f>Calc!H10</f>
        <v/>
      </c>
      <c r="I1612">
        <f>IF(Skills!T10&lt;&gt;"",1+(Skills!T10/10)*($Z$3/1000)/100,1)</f>
        <v/>
      </c>
      <c r="J1612" t="inlineStr"/>
      <c r="K1612" t="inlineStr"/>
      <c r="L1612" t="inlineStr"/>
      <c r="M1612" t="inlineStr"/>
      <c r="N1612" t="inlineStr"/>
      <c r="O1612">
        <f>(1-Summary!$B$11)*S1612+Summary!$B$11*U1612</f>
        <v/>
      </c>
      <c r="P1612">
        <f>IF(B1645=0,0,O1612/B1645)</f>
        <v/>
      </c>
      <c r="Q1612">
        <f>IFERROR(1/(IF(Inputs!$B$39="pvp",15,MAX(0.1,Skills!D10-IF(Skills!E10=TRUE,Inputs!$B$33,0)))*(1-IF(AND(ArtifactsInput!$M$27,Inputs!$B$4="Chapter Hunt"),CHOOSE(ArtifactsInput!$N$27+1,20,24,28,32,36,40),0)/100)),0)</f>
        <v/>
      </c>
      <c r="R1612">
        <f>IF(AND(Inputs!$B$39&lt;&gt;"pvp",Inputs!$B$44&gt;0),IF(MAX(0,Inputs!$B$44-B1642)&lt;=0,0,(INT(MAX(0,Inputs!$B$44-B1642)/(IF(Inputs!$B$39="pvp",15,MAX(0.1,Skills!D10-IF(Skills!E10=TRUE,Inputs!$B$33,0)))*(1-IF(AND(ArtifactsInput!$M$27,Inputs!$B$4="Chapter Hunt"),CHOOSE(ArtifactsInput!$N$27+1,20,24,28,32,36,40),0)/100)))+1)),0)</f>
        <v/>
      </c>
      <c r="S1612" t="n">
        <v>0</v>
      </c>
      <c r="U1612" t="n">
        <v>0</v>
      </c>
    </row>
    <row r="1613">
      <c r="A1613">
        <f>Skills!A11</f>
        <v/>
      </c>
      <c r="B1613">
        <f>Skills!B11</f>
        <v/>
      </c>
      <c r="C1613">
        <f>Inputs!$B$3&gt;=69</f>
        <v/>
      </c>
      <c r="D1613">
        <f>IF(Skills!C11=1,60+Inputs!$B$26+Inputs!$B$30,IF(Skills!C11=2,90+Inputs!$B$27+Inputs!$B$30,IF(Skills!C11=3,120+Inputs!$B$28+Inputs!$B$30,MAX(0,(Inputs!$B$3-100)*3)+Inputs!$B$29+Inputs!$B$30)))</f>
        <v/>
      </c>
      <c r="E1613">
        <f>INDEX(FactorTable!$B$2:$Y$301, MATCH(ROUND(MIN(300,MAX(1,D1613)),0), FactorTable!$A$2:$A$301,0), Skills!L11+1)</f>
        <v/>
      </c>
      <c r="F1613">
        <f>IF(Skills!M11=TRUE,(Skills!K11/10)*(E1613/1000),Skills!K11/10)+Skills!N11</f>
        <v/>
      </c>
      <c r="G1613">
        <f>Calc!G11</f>
        <v/>
      </c>
      <c r="H1613">
        <f>Calc!H11</f>
        <v/>
      </c>
      <c r="I1613">
        <f>IF(Skills!T11&lt;&gt;"",1+(Skills!T11/10)*($Z$3/1000)/100,1)</f>
        <v/>
      </c>
      <c r="J1613" t="inlineStr"/>
      <c r="K1613" t="inlineStr"/>
      <c r="L1613" t="inlineStr"/>
      <c r="M1613" t="inlineStr"/>
      <c r="N1613" t="inlineStr"/>
      <c r="O1613">
        <f>(1-Summary!$B$11)*S1613+Summary!$B$11*U1613</f>
        <v/>
      </c>
      <c r="P1613">
        <f>IF(B1645=0,0,O1613/B1645)</f>
        <v/>
      </c>
      <c r="Q1613">
        <f>IFERROR(1/(IF(Inputs!$B$39="pvp",15,MAX(0.1,Skills!D11-IF(Skills!E11=TRUE,Inputs!$B$33,0)))*(1-IF(AND(ArtifactsInput!$M$27,Inputs!$B$4="Chapter Hunt"),CHOOSE(ArtifactsInput!$N$27+1,20,24,28,32,36,40),0)/100)),0)</f>
        <v/>
      </c>
      <c r="R1613">
        <f>IF(AND(Inputs!$B$39&lt;&gt;"pvp",Inputs!$B$44&gt;0),IF(Inputs!$B$44&lt;=0,0,(INT(Inputs!$B$44/(IF(Inputs!$B$39="pvp",15,MAX(0.1,Skills!D11-IF(Skills!E11=TRUE,Inputs!$B$33,0)))*(1-IF(AND(ArtifactsInput!$M$27,Inputs!$B$4="Chapter Hunt"),CHOOSE(ArtifactsInput!$N$27+1,20,24,28,32,36,40),0)/100)))+1)),0)</f>
        <v/>
      </c>
      <c r="S1613" t="n">
        <v>0</v>
      </c>
      <c r="U1613" t="n">
        <v>0</v>
      </c>
    </row>
    <row r="1614">
      <c r="A1614">
        <f>Skills!A12</f>
        <v/>
      </c>
      <c r="B1614">
        <f>Skills!B12</f>
        <v/>
      </c>
      <c r="C1614">
        <f>Inputs!$B$3&gt;=72</f>
        <v/>
      </c>
      <c r="D1614">
        <f>IF(Skills!C12=1,60+Inputs!$B$26+Inputs!$B$30,IF(Skills!C12=2,90+Inputs!$B$27+Inputs!$B$30,IF(Skills!C12=3,120+Inputs!$B$28+Inputs!$B$30,MAX(0,(Inputs!$B$3-100)*3)+Inputs!$B$29+Inputs!$B$30)))</f>
        <v/>
      </c>
      <c r="E1614">
        <f>INDEX(FactorTable!$B$2:$Y$301, MATCH(ROUND(MIN(300,MAX(1,D1614)),0), FactorTable!$A$2:$A$301,0), Skills!L12+1)</f>
        <v/>
      </c>
      <c r="F1614">
        <f>IF(Skills!M12=TRUE,(Skills!K12/10)*(E1614/1000),Skills!K12/10)+Skills!N12</f>
        <v/>
      </c>
      <c r="G1614">
        <f>Calc!G12</f>
        <v/>
      </c>
      <c r="H1614">
        <f>Calc!H12</f>
        <v/>
      </c>
      <c r="I1614">
        <f>IF(Skills!T12&lt;&gt;"",1+(Skills!T12/10)*($Z$3/1000)/100,1)</f>
        <v/>
      </c>
      <c r="J1614" t="inlineStr"/>
      <c r="K1614" t="inlineStr"/>
      <c r="L1614" t="inlineStr"/>
      <c r="M1614" t="inlineStr"/>
      <c r="N1614" t="inlineStr"/>
      <c r="O1614">
        <f>(1-Summary!$B$11)*S1614+Summary!$B$11*U1614</f>
        <v/>
      </c>
      <c r="P1614">
        <f>IF(B1645=0,0,O1614/B1645)</f>
        <v/>
      </c>
      <c r="Q1614">
        <f>IFERROR(1/(IF(Inputs!$B$39="pvp",15,MAX(0.1,Skills!D12-IF(Skills!E12=TRUE,Inputs!$B$33,0)))*(1-IF(AND(ArtifactsInput!$M$27,Inputs!$B$4="Chapter Hunt"),CHOOSE(ArtifactsInput!$N$27+1,20,24,28,32,36,40),0)/100)),0)</f>
        <v/>
      </c>
      <c r="R1614">
        <f>IF(AND(Inputs!$B$39&lt;&gt;"pvp",Inputs!$B$44&gt;0),IF(MAX(0,Inputs!$B$44-B1642)&lt;=0,0,(INT(MAX(0,Inputs!$B$44-B1642)/(IF(Inputs!$B$39="pvp",15,MAX(0.1,Skills!D12-IF(Skills!E12=TRUE,Inputs!$B$33,0)))*(1-IF(AND(ArtifactsInput!$M$27,Inputs!$B$4="Chapter Hunt"),CHOOSE(ArtifactsInput!$N$27+1,20,24,28,32,36,40),0)/100)))+1)),0)</f>
        <v/>
      </c>
      <c r="S1614" t="n">
        <v>0</v>
      </c>
      <c r="U1614" t="n">
        <v>0</v>
      </c>
    </row>
    <row r="1615">
      <c r="A1615">
        <f>Skills!A13</f>
        <v/>
      </c>
      <c r="B1615">
        <f>Skills!B13</f>
        <v/>
      </c>
      <c r="C1615">
        <f>Inputs!$B$3&gt;=60</f>
        <v/>
      </c>
      <c r="D1615">
        <f>IF(Skills!C13=1,60+Inputs!$B$26+Inputs!$B$30,IF(Skills!C13=2,90+Inputs!$B$27+Inputs!$B$30,IF(Skills!C13=3,120+Inputs!$B$28+Inputs!$B$30,MAX(0,(Inputs!$B$3-100)*3)+Inputs!$B$29+Inputs!$B$30)))</f>
        <v/>
      </c>
      <c r="E1615">
        <f>INDEX(FactorTable!$B$2:$Y$301, MATCH(ROUND(MIN(300,MAX(1,D1615)),0), FactorTable!$A$2:$A$301,0), Skills!L13+1)</f>
        <v/>
      </c>
      <c r="F1615">
        <f>IF(Skills!M13=TRUE,(Skills!K13/10)*(E1615/1000),Skills!K13/10)+Skills!N13</f>
        <v/>
      </c>
      <c r="G1615">
        <f>Calc!G13</f>
        <v/>
      </c>
      <c r="H1615">
        <f>Calc!H13</f>
        <v/>
      </c>
      <c r="I1615">
        <f>IF(Skills!T13&lt;&gt;"",1+(Skills!T13/10)*($Z$3/1000)/100,1)</f>
        <v/>
      </c>
      <c r="J1615" t="inlineStr"/>
      <c r="K1615" t="inlineStr"/>
      <c r="L1615" t="inlineStr"/>
      <c r="M1615" t="inlineStr"/>
      <c r="N1615" t="inlineStr"/>
      <c r="O1615">
        <f>(1-Summary!$B$11)*S1615+Summary!$B$11*U1615</f>
        <v/>
      </c>
      <c r="P1615">
        <f>IF(B1645=0,0,O1615/B1645)</f>
        <v/>
      </c>
      <c r="Q1615">
        <f>IFERROR(1/(IF(Inputs!$B$39="pvp",15,MAX(0.1,Skills!D13-IF(Skills!E13=TRUE,Inputs!$B$33,0)))*(1-IF(AND(ArtifactsInput!$M$27,Inputs!$B$4="Chapter Hunt"),CHOOSE(ArtifactsInput!$N$27+1,20,24,28,32,36,40),0)/100)),0)</f>
        <v/>
      </c>
      <c r="R1615">
        <f>IF(AND(Inputs!$B$39&lt;&gt;"pvp",Inputs!$B$44&gt;0),IF(MAX(0,Inputs!$B$44-B1642)&lt;=0,0,(INT(MAX(0,Inputs!$B$44-B1642)/(IF(Inputs!$B$39="pvp",15,MAX(0.1,Skills!D13-IF(Skills!E13=TRUE,Inputs!$B$33,0)))*(1-IF(AND(ArtifactsInput!$M$27,Inputs!$B$4="Chapter Hunt"),CHOOSE(ArtifactsInput!$N$27+1,20,24,28,32,36,40),0)/100)))+1)),0)</f>
        <v/>
      </c>
      <c r="S1615" t="n">
        <v>0</v>
      </c>
      <c r="U1615" t="n">
        <v>0</v>
      </c>
    </row>
    <row r="1616">
      <c r="A1616">
        <f>Skills!A14</f>
        <v/>
      </c>
      <c r="B1616">
        <f>Skills!B14</f>
        <v/>
      </c>
      <c r="C1616">
        <f>Inputs!$B$3&gt;=107</f>
        <v/>
      </c>
      <c r="D1616">
        <f>IF(Skills!C14=1,60+Inputs!$B$26+Inputs!$B$30,IF(Skills!C14=2,90+Inputs!$B$27+Inputs!$B$30,IF(Skills!C14=3,120+Inputs!$B$28+Inputs!$B$30,MAX(0,(Inputs!$B$3-100)*3)+Inputs!$B$29+Inputs!$B$30)))</f>
        <v/>
      </c>
      <c r="E1616">
        <f>INDEX(FactorTable!$B$2:$Y$301, MATCH(ROUND(MIN(300,MAX(1,D1616)),0), FactorTable!$A$2:$A$301,0), Skills!L14+1)</f>
        <v/>
      </c>
      <c r="F1616">
        <f>IF(Skills!M14=TRUE,(Skills!K14/10)*(E1616/1000),Skills!K14/10)+Skills!N14</f>
        <v/>
      </c>
      <c r="G1616">
        <f>Calc!G14</f>
        <v/>
      </c>
      <c r="H1616">
        <f>Calc!H14</f>
        <v/>
      </c>
      <c r="I1616">
        <f>IF(Skills!T14&lt;&gt;"",1+(Skills!T14/10)*($Z$3/1000)/100,1)</f>
        <v/>
      </c>
      <c r="J1616" t="inlineStr"/>
      <c r="K1616" t="inlineStr"/>
      <c r="L1616" t="inlineStr"/>
      <c r="M1616" t="inlineStr"/>
      <c r="N1616" t="inlineStr"/>
      <c r="O1616">
        <f>(1-Summary!$B$11)*S1616+Summary!$B$11*U1616</f>
        <v/>
      </c>
      <c r="P1616">
        <f>IF(B1645=0,0,O1616/B1645)</f>
        <v/>
      </c>
      <c r="Q1616">
        <f>IFERROR(1/(IF(Inputs!$B$39="pvp",15,MAX(0.1,Skills!D14-IF(Skills!E14=TRUE,Inputs!$B$33,0)))*(1-IF(AND(ArtifactsInput!$M$27,Inputs!$B$4="Chapter Hunt"),CHOOSE(ArtifactsInput!$N$27+1,20,24,28,32,36,40),0)/100)),0)</f>
        <v/>
      </c>
      <c r="R1616">
        <f>IF(AND(Inputs!$B$39&lt;&gt;"pvp",Inputs!$B$44&gt;0),IF(Inputs!$B$44&lt;=0,0,(INT(Inputs!$B$44/(IF(Inputs!$B$39="pvp",15,MAX(0.1,Skills!D14-IF(Skills!E14=TRUE,Inputs!$B$33,0)))*(1-IF(AND(ArtifactsInput!$M$27,Inputs!$B$4="Chapter Hunt"),CHOOSE(ArtifactsInput!$N$27+1,20,24,28,32,36,40),0)/100)))+1)),0)</f>
        <v/>
      </c>
      <c r="S1616" t="n">
        <v>0</v>
      </c>
      <c r="U1616" t="n">
        <v>0</v>
      </c>
    </row>
    <row r="1617">
      <c r="A1617">
        <f>Skills!A15</f>
        <v/>
      </c>
      <c r="B1617">
        <f>Skills!B15</f>
        <v/>
      </c>
      <c r="C1617">
        <f>Inputs!$B$3&gt;=63</f>
        <v/>
      </c>
      <c r="D1617">
        <f>IF(Skills!C15=1,60+Inputs!$B$26+Inputs!$B$30,IF(Skills!C15=2,90+Inputs!$B$27+Inputs!$B$30,IF(Skills!C15=3,120+Inputs!$B$28+Inputs!$B$30,MAX(0,(Inputs!$B$3-100)*3)+Inputs!$B$29+Inputs!$B$30)))</f>
        <v/>
      </c>
      <c r="E1617">
        <f>INDEX(FactorTable!$B$2:$Y$301, MATCH(ROUND(MIN(300,MAX(1,D1617)),0), FactorTable!$A$2:$A$301,0), Skills!L15+1)</f>
        <v/>
      </c>
      <c r="F1617">
        <f>IF(Skills!M15=TRUE,(Skills!K15/10)*(E1617/1000),Skills!K15/10)+Skills!N15</f>
        <v/>
      </c>
      <c r="G1617">
        <f>Calc!G15</f>
        <v/>
      </c>
      <c r="H1617">
        <f>Calc!H15</f>
        <v/>
      </c>
      <c r="I1617">
        <f>IF(Skills!T15&lt;&gt;"",1+(Skills!T15/10)*($Z$3/1000)/100,1)</f>
        <v/>
      </c>
      <c r="J1617">
        <f>((Inputs!$B$6*(1+Inputs!$B$7/100))+(((Inputs!$B$13*(1+Inputs!$B$14/100))-(Inputs!$B$13*(1+Inputs!$B$14/100)))+0.25*(Inputs!$B$15-Inputs!$B$15))*(1+Inputs!$B$7/100))*(F1617/100)</f>
        <v/>
      </c>
      <c r="K1617">
        <f>J1617*(1+(((Inputs!$B$13+IF(Inputs!$B$3&gt;=35,(10*INDEX(FactorTable!$B$2:$Y$301,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15="TRIUMPH_FEATHER",IF(C1618=TRUE,F1618,0),0)/100)*(1+IF(C1629=TRUE,F1629,0)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1617)</f>
        <v/>
      </c>
      <c r="L1617">
        <f>K1617*(MIN(Inputs!$B$23+(F1624-Calc!F22),(Inputs!$B$24+IF(ArtifactsInput!$M$15,CHOOSE(ArtifactsInput!$N$15+1,25,30,35,40,45,50)/100*(Inputs!$B$12-Inputs!$B$12),0)))/100+(Inputs!$B$24+IF(ArtifactsInput!$M$15,CHOOSE(ArtifactsInput!$N$15+1,25,30,35,40,45,50)/100*(Inputs!$B$12-Inputs!$B$12),0))/100)/2</f>
        <v/>
      </c>
      <c r="M1617">
        <f>L1617*(1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7">
        <f>L1617*(1-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1617*(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7">
        <f>(1-Summary!$B$11)*S1617+Summary!$B$11*U1617</f>
        <v/>
      </c>
      <c r="P1617">
        <f>IF(B1645=0,0,O1617/B1645)</f>
        <v/>
      </c>
      <c r="Q1617">
        <f>IFERROR(1/(IF(Inputs!$B$39="pvp",15,MAX(0.1,Skills!D15-IF(Skills!E15=TRUE,Inputs!$B$33,0)))*(1-IF(AND(ArtifactsInput!$M$27,Inputs!$B$4="Chapter Hunt"),CHOOSE(ArtifactsInput!$N$27+1,20,24,28,32,36,40),0)/100)),0)</f>
        <v/>
      </c>
      <c r="R1617" t="n">
        <v>0</v>
      </c>
      <c r="S1617">
        <f>IF(C1617,(Skills!F15*N1617*((IF(Inputs!$B$3&gt;=78,25,15)/100*B1638*10)/(1+IF(Inputs!$B$3&gt;=78,25,15)/100*B1638*10))*(Skills!I15/100*B1638)/(1+Skills!G15*Skills!I15/100*B1638))*IF(Inputs!$B$39="pvp",1,1+(Inputs!$B$21+Skills!O15+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1617*(1-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1617*(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1617*(1-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1617*(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7">
        <f>IF(C1617,(Skills!F15*N1617*((IF(Inputs!$B$3&gt;=78,25,15)/100*B1638*10)/(1+IF(Inputs!$B$3&gt;=78,25,15)/100*B1638*10))*(Skills!I15/100*B1638)/(1+Skills!G15*Skills!I15/100*B1638))*IF(Inputs!$B$39="pvp",1,(1+(Inputs!$B$22+Skills!P15+B1634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8">
      <c r="A1618">
        <f>Skills!A16</f>
        <v/>
      </c>
      <c r="B1618">
        <f>Skills!B16</f>
        <v/>
      </c>
      <c r="C1618">
        <f>Inputs!$B$3&gt;=100</f>
        <v/>
      </c>
      <c r="D1618">
        <f>IF(Skills!C16=1,60+Inputs!$B$26+Inputs!$B$30,IF(Skills!C16=2,90+Inputs!$B$27+Inputs!$B$30,IF(Skills!C16=3,120+Inputs!$B$28+Inputs!$B$30,MAX(0,(Inputs!$B$3-100)*3)+Inputs!$B$29+Inputs!$B$30)))</f>
        <v/>
      </c>
      <c r="E1618">
        <f>INDEX(FactorTable!$B$2:$Y$301, MATCH(ROUND(MIN(300,MAX(1,D1618)),0), FactorTable!$A$2:$A$301,0), Skills!L16+1)</f>
        <v/>
      </c>
      <c r="F1618">
        <f>IF(Skills!M16=TRUE,(Skills!K16/10)*(E1618/1000),Skills!K16/10)+Skills!N16</f>
        <v/>
      </c>
      <c r="G1618">
        <f>Calc!G16</f>
        <v/>
      </c>
      <c r="H1618">
        <f>Calc!H16</f>
        <v/>
      </c>
      <c r="I1618">
        <f>IF(Skills!T16&lt;&gt;"",1+(Skills!T16/10)*($Z$3/1000)/100,1)</f>
        <v/>
      </c>
      <c r="J1618" t="inlineStr"/>
      <c r="K1618" t="inlineStr"/>
      <c r="L1618" t="inlineStr"/>
      <c r="M1618" t="inlineStr"/>
      <c r="N1618" t="inlineStr"/>
      <c r="O1618">
        <f>(1-Summary!$B$11)*S1618+Summary!$B$11*U1618</f>
        <v/>
      </c>
      <c r="P1618">
        <f>IF(B1645=0,0,O1618/B1645)</f>
        <v/>
      </c>
      <c r="Q1618">
        <f>IFERROR(1/(IF(Inputs!$B$39="pvp",15,MAX(0.1,Skills!D16-IF(Skills!E16=TRUE,Inputs!$B$33,0)))*(1-IF(AND(ArtifactsInput!$M$27,Inputs!$B$4="Chapter Hunt"),CHOOSE(ArtifactsInput!$N$27+1,20,24,28,32,36,40),0)/100)),0)</f>
        <v/>
      </c>
      <c r="R1618" t="n">
        <v>0</v>
      </c>
      <c r="S1618" t="n">
        <v>0</v>
      </c>
      <c r="U1618" t="n">
        <v>0</v>
      </c>
    </row>
    <row r="1619">
      <c r="A1619">
        <f>Skills!A17</f>
        <v/>
      </c>
      <c r="B1619">
        <f>Skills!B17</f>
        <v/>
      </c>
      <c r="C1619">
        <f>Inputs!$B$3&gt;=49</f>
        <v/>
      </c>
      <c r="D1619">
        <f>IF(Skills!C17=1,60+Inputs!$B$26+Inputs!$B$30,IF(Skills!C17=2,90+Inputs!$B$27+Inputs!$B$30,IF(Skills!C17=3,120+Inputs!$B$28+Inputs!$B$30,MAX(0,(Inputs!$B$3-100)*3)+Inputs!$B$29+Inputs!$B$30)))</f>
        <v/>
      </c>
      <c r="E1619">
        <f>INDEX(FactorTable!$B$2:$Y$301, MATCH(ROUND(MIN(300,MAX(1,D1619)),0), FactorTable!$A$2:$A$301,0), Skills!L17+1)</f>
        <v/>
      </c>
      <c r="F1619">
        <f>IF(Skills!M17=TRUE,(Skills!K17/10)*(E1619/1000),Skills!K17/10)+Skills!N17</f>
        <v/>
      </c>
      <c r="G1619">
        <f>Calc!G17</f>
        <v/>
      </c>
      <c r="H1619">
        <f>Calc!H17</f>
        <v/>
      </c>
      <c r="I1619">
        <f>IF(Skills!T17&lt;&gt;"",1+(Skills!T17/10)*($Z$3/1000)/100,1)</f>
        <v/>
      </c>
      <c r="J1619" t="inlineStr"/>
      <c r="K1619" t="inlineStr"/>
      <c r="L1619" t="inlineStr"/>
      <c r="M1619" t="inlineStr"/>
      <c r="N1619" t="inlineStr"/>
      <c r="O1619">
        <f>(1-Summary!$B$11)*S1619+Summary!$B$11*U1619</f>
        <v/>
      </c>
      <c r="P1619">
        <f>IF(B1645=0,0,O1619/B1645)</f>
        <v/>
      </c>
      <c r="Q1619">
        <f>IFERROR(1/(IF(Inputs!$B$39="pvp",15,MAX(0.1,Skills!D17-IF(Skills!E17=TRUE,Inputs!$B$33,0)))*(1-IF(AND(ArtifactsInput!$M$27,Inputs!$B$4="Chapter Hunt"),CHOOSE(ArtifactsInput!$N$27+1,20,24,28,32,36,40),0)/100)),0)</f>
        <v/>
      </c>
      <c r="R1619" t="n">
        <v>0</v>
      </c>
      <c r="S1619" t="n">
        <v>0</v>
      </c>
      <c r="U1619" t="n">
        <v>0</v>
      </c>
    </row>
    <row r="1620">
      <c r="A1620">
        <f>Skills!A18</f>
        <v/>
      </c>
      <c r="B1620">
        <f>Skills!B18</f>
        <v/>
      </c>
      <c r="C1620">
        <f>Inputs!$B$3&gt;=75</f>
        <v/>
      </c>
      <c r="D1620">
        <f>IF(Skills!C18=1,60+Inputs!$B$26+Inputs!$B$30,IF(Skills!C18=2,90+Inputs!$B$27+Inputs!$B$30,IF(Skills!C18=3,120+Inputs!$B$28+Inputs!$B$30,MAX(0,(Inputs!$B$3-100)*3)+Inputs!$B$29+Inputs!$B$30)))</f>
        <v/>
      </c>
      <c r="E1620">
        <f>INDEX(FactorTable!$B$2:$Y$301, MATCH(ROUND(MIN(300,MAX(1,D1620)),0), FactorTable!$A$2:$A$301,0), Skills!L18+1)</f>
        <v/>
      </c>
      <c r="F1620">
        <f>IF(Skills!M18=TRUE,(Skills!K18/10)*(E1620/1000),Skills!K18/10)+Skills!N18</f>
        <v/>
      </c>
      <c r="G1620">
        <f>Calc!G18</f>
        <v/>
      </c>
      <c r="H1620">
        <f>Calc!H18</f>
        <v/>
      </c>
      <c r="I1620">
        <f>IF(Skills!T18&lt;&gt;"",1+(Skills!T18/10)*($Z$3/1000)/100,1)</f>
        <v/>
      </c>
      <c r="J1620" t="inlineStr"/>
      <c r="K1620" t="inlineStr"/>
      <c r="L1620" t="inlineStr"/>
      <c r="M1620" t="inlineStr"/>
      <c r="N1620" t="inlineStr"/>
      <c r="O1620">
        <f>(1-Summary!$B$11)*S1620+Summary!$B$11*U1620</f>
        <v/>
      </c>
      <c r="P1620">
        <f>IF(B1645=0,0,O1620/B1645)</f>
        <v/>
      </c>
      <c r="Q1620">
        <f>IFERROR(1/(IF(Inputs!$B$39="pvp",15,MAX(0.1,Skills!D18-IF(Skills!E18=TRUE,Inputs!$B$33,0)))*(1-IF(AND(ArtifactsInput!$M$27,Inputs!$B$4="Chapter Hunt"),CHOOSE(ArtifactsInput!$N$27+1,20,24,28,32,36,40),0)/100)),0)</f>
        <v/>
      </c>
      <c r="R1620" t="n">
        <v>0</v>
      </c>
      <c r="S1620" t="n">
        <v>0</v>
      </c>
      <c r="U1620" t="n">
        <v>0</v>
      </c>
    </row>
    <row r="1621">
      <c r="A1621">
        <f>Skills!A19</f>
        <v/>
      </c>
      <c r="B1621">
        <f>Skills!B19</f>
        <v/>
      </c>
      <c r="C1621">
        <f>Inputs!$B$3&gt;=110</f>
        <v/>
      </c>
      <c r="D1621">
        <f>IF(Skills!C19=1,60+Inputs!$B$26+Inputs!$B$30,IF(Skills!C19=2,90+Inputs!$B$27+Inputs!$B$30,IF(Skills!C19=3,120+Inputs!$B$28+Inputs!$B$30,MAX(0,(Inputs!$B$3-100)*3)+Inputs!$B$29+Inputs!$B$30)))</f>
        <v/>
      </c>
      <c r="E1621">
        <f>INDEX(FactorTable!$B$2:$Y$301, MATCH(ROUND(MIN(300,MAX(1,D1621)),0), FactorTable!$A$2:$A$301,0), Skills!L19+1)</f>
        <v/>
      </c>
      <c r="F1621">
        <f>(Skills!K19/10)*(E1621/1000)*64/45+Skills!N19</f>
        <v/>
      </c>
      <c r="G1621">
        <f>Calc!G19</f>
        <v/>
      </c>
      <c r="H1621">
        <f>Calc!H19</f>
        <v/>
      </c>
      <c r="I1621">
        <f>IF(Skills!T19&lt;&gt;"",1+(Skills!T19/10)*($Z$3/1000)/100,1)</f>
        <v/>
      </c>
      <c r="J1621" t="inlineStr"/>
      <c r="K1621" t="inlineStr"/>
      <c r="L1621" t="inlineStr"/>
      <c r="M1621" t="inlineStr"/>
      <c r="N1621" t="inlineStr"/>
      <c r="O1621">
        <f>(1-Summary!$B$11)*S1621+Summary!$B$11*U1621</f>
        <v/>
      </c>
      <c r="P1621">
        <f>IF(B1645=0,0,O1621/B1645)</f>
        <v/>
      </c>
      <c r="Q1621">
        <f>IFERROR(1/(IF(Inputs!$B$39="pvp",15,MAX(0.1,Skills!D19-IF(Skills!E19=TRUE,Inputs!$B$33,0)))*(1-IF(AND(ArtifactsInput!$M$27,Inputs!$B$4="Chapter Hunt"),CHOOSE(ArtifactsInput!$N$27+1,20,24,28,32,36,40),0)/100)),0)</f>
        <v/>
      </c>
      <c r="R1621">
        <f>IF(AND(Inputs!$B$39&lt;&gt;"pvp",Inputs!$B$44&gt;0),IF(Inputs!$B$44&lt;=0,0,(INT(Inputs!$B$44/(IF(Inputs!$B$39="pvp",15,MAX(0.1,Skills!D19-IF(Skills!E19=TRUE,Inputs!$B$33,0)))*(1-IF(AND(ArtifactsInput!$M$27,Inputs!$B$4="Chapter Hunt"),CHOOSE(ArtifactsInput!$N$27+1,20,24,28,32,36,40),0)/100)))+1)),0)</f>
        <v/>
      </c>
      <c r="S1621" t="n">
        <v>0</v>
      </c>
      <c r="U1621" t="n">
        <v>0</v>
      </c>
    </row>
    <row r="1622">
      <c r="A1622">
        <f>Skills!A20</f>
        <v/>
      </c>
      <c r="B1622">
        <f>Skills!B20</f>
        <v/>
      </c>
      <c r="C1622">
        <f>Inputs!$B$3&gt;=125</f>
        <v/>
      </c>
      <c r="D1622">
        <f>IF(Skills!C20=1,60+Inputs!$B$26+Inputs!$B$30,IF(Skills!C20=2,90+Inputs!$B$27+Inputs!$B$30,IF(Skills!C20=3,120+Inputs!$B$28+Inputs!$B$30,MAX(0,(Inputs!$B$3-100)*3)+Inputs!$B$29+Inputs!$B$30)))</f>
        <v/>
      </c>
      <c r="E1622">
        <f>INDEX(FactorTable!$B$2:$Y$301, MATCH(ROUND(MIN(300,MAX(1,D1622)),0), FactorTable!$A$2:$A$301,0), Skills!L20+1)</f>
        <v/>
      </c>
      <c r="F1622">
        <f>IF(Skills!M20=TRUE,(Skills!K20/10)*(E1622/1000),Skills!K20/10)+Skills!N20</f>
        <v/>
      </c>
      <c r="G1622">
        <f>Calc!G20</f>
        <v/>
      </c>
      <c r="H1622">
        <f>Calc!H20</f>
        <v/>
      </c>
      <c r="I1622">
        <f>IF(Skills!T20&lt;&gt;"",1+(Skills!T20/10)*($Z$3/1000)/100,1)</f>
        <v/>
      </c>
      <c r="J1622" t="inlineStr"/>
      <c r="K1622" t="inlineStr"/>
      <c r="L1622" t="inlineStr"/>
      <c r="M1622" t="inlineStr"/>
      <c r="N1622" t="inlineStr"/>
      <c r="O1622">
        <f>(1-Summary!$B$11)*S1622+Summary!$B$11*U1622</f>
        <v/>
      </c>
      <c r="P1622">
        <f>IF(B1645=0,0,O1622/B1645)</f>
        <v/>
      </c>
      <c r="Q1622">
        <f>IFERROR(1/(IF(Inputs!$B$39="pvp",15,MAX(0.1,Skills!D20-IF(Skills!E20=TRUE,Inputs!$B$33,0)))*(1-IF(AND(ArtifactsInput!$M$27,Inputs!$B$4="Chapter Hunt"),CHOOSE(ArtifactsInput!$N$27+1,20,24,28,32,36,40),0)/100)),0)</f>
        <v/>
      </c>
      <c r="R1622" t="n">
        <v>0</v>
      </c>
      <c r="S1622" t="n">
        <v>0</v>
      </c>
      <c r="U1622" t="n">
        <v>0</v>
      </c>
    </row>
    <row r="1623">
      <c r="A1623">
        <f>Skills!A21</f>
        <v/>
      </c>
      <c r="B1623">
        <f>Skills!B21</f>
        <v/>
      </c>
      <c r="C1623">
        <f>Inputs!$B$3&gt;=33</f>
        <v/>
      </c>
      <c r="D1623">
        <f>IF(Skills!C21=1,60+Inputs!$B$26+Inputs!$B$30,IF(Skills!C21=2,90+Inputs!$B$27+Inputs!$B$30,IF(Skills!C21=3,120+Inputs!$B$28+Inputs!$B$30,MAX(0,(Inputs!$B$3-100)*3)+Inputs!$B$29+Inputs!$B$30)))</f>
        <v/>
      </c>
      <c r="E1623">
        <f>INDEX(FactorTable!$B$2:$Y$301, MATCH(ROUND(MIN(300,MAX(1,D1623)),0), FactorTable!$A$2:$A$301,0), Skills!L21+1)</f>
        <v/>
      </c>
      <c r="F1623">
        <f>IF(Skills!M21=TRUE,(Skills!K21/10)*(E1623/1000),Skills!K21/10)+Skills!N21</f>
        <v/>
      </c>
      <c r="G1623">
        <f>Calc!G21</f>
        <v/>
      </c>
      <c r="H1623">
        <f>Calc!H21</f>
        <v/>
      </c>
      <c r="I1623">
        <f>IF(Skills!T21&lt;&gt;"",1+(Skills!T21/10)*($Z$3/1000)/100,1)</f>
        <v/>
      </c>
      <c r="J1623" t="inlineStr"/>
      <c r="K1623" t="inlineStr"/>
      <c r="L1623" t="inlineStr"/>
      <c r="M1623" t="inlineStr"/>
      <c r="N1623" t="inlineStr"/>
      <c r="O1623">
        <f>(1-Summary!$B$11)*S1623+Summary!$B$11*U1623</f>
        <v/>
      </c>
      <c r="P1623">
        <f>IF(B1645=0,0,O1623/B1645)</f>
        <v/>
      </c>
      <c r="Q1623">
        <f>IFERROR(1/(IF(Inputs!$B$39="pvp",15,MAX(0.1,Skills!D21-IF(Skills!E21=TRUE,Inputs!$B$33,0)))*(1-IF(AND(ArtifactsInput!$M$27,Inputs!$B$4="Chapter Hunt"),CHOOSE(ArtifactsInput!$N$27+1,20,24,28,32,36,40),0)/100)),0)</f>
        <v/>
      </c>
      <c r="R1623" t="n">
        <v>0</v>
      </c>
      <c r="S1623" t="n">
        <v>0</v>
      </c>
      <c r="U1623" t="n">
        <v>0</v>
      </c>
    </row>
    <row r="1624">
      <c r="A1624">
        <f>Skills!A22</f>
        <v/>
      </c>
      <c r="B1624">
        <f>Skills!B22</f>
        <v/>
      </c>
      <c r="C1624">
        <f>Inputs!$B$3&gt;=43</f>
        <v/>
      </c>
      <c r="D1624">
        <f>IF(Skills!C22=1,60+Inputs!$B$26+Inputs!$B$30,IF(Skills!C22=2,90+Inputs!$B$27+Inputs!$B$30,IF(Skills!C22=3,120+Inputs!$B$28+Inputs!$B$30,MAX(0,(Inputs!$B$3-100)*3)+Inputs!$B$29+Inputs!$B$30)))</f>
        <v/>
      </c>
      <c r="E1624">
        <f>INDEX(FactorTable!$B$2:$Y$301, MATCH(ROUND(MIN(300,MAX(1,D1624)),0), FactorTable!$A$2:$A$301,0), Skills!L22+1)</f>
        <v/>
      </c>
      <c r="F1624">
        <f>IF(Skills!M22=TRUE,(Skills!K22/10)*(E1624/1000),Skills!K22/10)+Skills!N22</f>
        <v/>
      </c>
      <c r="G1624">
        <f>Calc!G22</f>
        <v/>
      </c>
      <c r="H1624">
        <f>Calc!H22</f>
        <v/>
      </c>
      <c r="I1624">
        <f>IF(Skills!T22&lt;&gt;"",1+(Skills!T22/10)*($Z$3/1000)/100,1)</f>
        <v/>
      </c>
      <c r="J1624" t="inlineStr"/>
      <c r="K1624" t="inlineStr"/>
      <c r="L1624" t="inlineStr"/>
      <c r="M1624" t="inlineStr"/>
      <c r="N1624" t="inlineStr"/>
      <c r="O1624">
        <f>(1-Summary!$B$11)*S1624+Summary!$B$11*U1624</f>
        <v/>
      </c>
      <c r="P1624">
        <f>IF(B1645=0,0,O1624/B1645)</f>
        <v/>
      </c>
      <c r="Q1624">
        <f>IFERROR(1/(IF(Inputs!$B$39="pvp",15,MAX(0.1,Skills!D22-IF(Skills!E22=TRUE,Inputs!$B$33,0)))*(1-IF(AND(ArtifactsInput!$M$27,Inputs!$B$4="Chapter Hunt"),CHOOSE(ArtifactsInput!$N$27+1,20,24,28,32,36,40),0)/100)),0)</f>
        <v/>
      </c>
      <c r="R1624" t="n">
        <v>0</v>
      </c>
      <c r="S1624" t="n">
        <v>0</v>
      </c>
      <c r="U1624" t="n">
        <v>0</v>
      </c>
    </row>
    <row r="1625">
      <c r="A1625">
        <f>Skills!A23</f>
        <v/>
      </c>
      <c r="B1625">
        <f>Skills!B23</f>
        <v/>
      </c>
      <c r="C1625">
        <f>Inputs!$B$3&gt;=50</f>
        <v/>
      </c>
      <c r="D1625">
        <f>IF(Skills!C23=1,60+Inputs!$B$26+Inputs!$B$30,IF(Skills!C23=2,90+Inputs!$B$27+Inputs!$B$30,IF(Skills!C23=3,120+Inputs!$B$28+Inputs!$B$30,MAX(0,(Inputs!$B$3-100)*3)+Inputs!$B$29+Inputs!$B$30)))</f>
        <v/>
      </c>
      <c r="E1625">
        <f>INDEX(FactorTable!$B$2:$Y$301, MATCH(ROUND(MIN(300,MAX(1,D1625)),0), FactorTable!$A$2:$A$301,0), Skills!L23+1)</f>
        <v/>
      </c>
      <c r="F1625">
        <f>IF(Skills!M23=TRUE,(Skills!K23/10)*(E1625/1000),Skills!K23/10)+Skills!N23</f>
        <v/>
      </c>
      <c r="G1625">
        <f>Calc!G23</f>
        <v/>
      </c>
      <c r="H1625">
        <f>Calc!H23</f>
        <v/>
      </c>
      <c r="I1625">
        <f>IF(Skills!T23&lt;&gt;"",1+(Skills!T23/10)*($Z$3/1000)/100,1)</f>
        <v/>
      </c>
      <c r="J1625" t="inlineStr"/>
      <c r="K1625" t="inlineStr"/>
      <c r="L1625" t="inlineStr"/>
      <c r="M1625" t="inlineStr"/>
      <c r="N1625" t="inlineStr"/>
      <c r="O1625">
        <f>(1-Summary!$B$11)*S1625+Summary!$B$11*U1625</f>
        <v/>
      </c>
      <c r="P1625">
        <f>IF(B1645=0,0,O1625/B1645)</f>
        <v/>
      </c>
      <c r="Q1625">
        <f>IFERROR(1/(IF(Inputs!$B$39="pvp",15,MAX(0.1,Skills!D23-IF(Skills!E23=TRUE,Inputs!$B$33,0)))*(1-IF(AND(ArtifactsInput!$M$27,Inputs!$B$4="Chapter Hunt"),CHOOSE(ArtifactsInput!$N$27+1,20,24,28,32,36,40),0)/100)),0)</f>
        <v/>
      </c>
      <c r="R1625" t="n">
        <v>0</v>
      </c>
      <c r="S1625" t="n">
        <v>0</v>
      </c>
      <c r="U1625" t="n">
        <v>0</v>
      </c>
    </row>
    <row r="1626">
      <c r="A1626">
        <f>Skills!A24</f>
        <v/>
      </c>
      <c r="B1626">
        <f>Skills!B24</f>
        <v/>
      </c>
      <c r="C1626">
        <f>Inputs!$B$3&gt;=74</f>
        <v/>
      </c>
      <c r="D1626">
        <f>IF(Skills!C24=1,60+Inputs!$B$26+Inputs!$B$30,IF(Skills!C24=2,90+Inputs!$B$27+Inputs!$B$30,IF(Skills!C24=3,120+Inputs!$B$28+Inputs!$B$30,MAX(0,(Inputs!$B$3-100)*3)+Inputs!$B$29+Inputs!$B$30)))</f>
        <v/>
      </c>
      <c r="E1626">
        <f>INDEX(FactorTable!$B$2:$Y$301, MATCH(ROUND(MIN(300,MAX(1,D1626)),0), FactorTable!$A$2:$A$301,0), Skills!L24+1)</f>
        <v/>
      </c>
      <c r="F1626">
        <f>IF(Skills!M24=TRUE,(Skills!K24/10)*(E1626/1000),Skills!K24/10)+Skills!N24</f>
        <v/>
      </c>
      <c r="G1626">
        <f>Calc!G24</f>
        <v/>
      </c>
      <c r="H1626">
        <f>Calc!H24</f>
        <v/>
      </c>
      <c r="I1626">
        <f>IF(Skills!T24&lt;&gt;"",1+(Skills!T24/10)*($Z$3/1000)/100,1)</f>
        <v/>
      </c>
      <c r="J1626" t="inlineStr"/>
      <c r="K1626" t="inlineStr"/>
      <c r="L1626" t="inlineStr"/>
      <c r="M1626" t="inlineStr"/>
      <c r="N1626" t="inlineStr"/>
      <c r="O1626">
        <f>(1-Summary!$B$11)*S1626+Summary!$B$11*U1626</f>
        <v/>
      </c>
      <c r="P1626">
        <f>IF(B1645=0,0,O1626/B1645)</f>
        <v/>
      </c>
      <c r="Q1626">
        <f>IFERROR(1/(IF(Inputs!$B$39="pvp",15,MAX(0.1,Skills!D24-IF(Skills!E24=TRUE,Inputs!$B$33,0)))*(1-IF(AND(ArtifactsInput!$M$27,Inputs!$B$4="Chapter Hunt"),CHOOSE(ArtifactsInput!$N$27+1,20,24,28,32,36,40),0)/100)),0)</f>
        <v/>
      </c>
      <c r="R1626" t="n">
        <v>0</v>
      </c>
      <c r="S1626" t="n">
        <v>0</v>
      </c>
      <c r="U1626" t="n">
        <v>0</v>
      </c>
    </row>
    <row r="1627">
      <c r="A1627">
        <f>Skills!A25</f>
        <v/>
      </c>
      <c r="B1627">
        <f>Skills!B25</f>
        <v/>
      </c>
      <c r="C1627">
        <f>Inputs!$B$3&gt;=74</f>
        <v/>
      </c>
      <c r="D1627">
        <f>IF(Skills!C25=1,60+Inputs!$B$26+Inputs!$B$30,IF(Skills!C25=2,90+Inputs!$B$27+Inputs!$B$30,IF(Skills!C25=3,120+Inputs!$B$28+Inputs!$B$30,MAX(0,(Inputs!$B$3-100)*3)+Inputs!$B$29+Inputs!$B$30)))</f>
        <v/>
      </c>
      <c r="E1627">
        <f>INDEX(FactorTable!$B$2:$Y$301, MATCH(ROUND(MIN(300,MAX(1,D1627)),0), FactorTable!$A$2:$A$301,0), Skills!L25+1)</f>
        <v/>
      </c>
      <c r="F1627">
        <f>IF(Skills!M25=TRUE,(Skills!K25/10)*(E1627/1000),Skills!K25/10)+Skills!N25</f>
        <v/>
      </c>
      <c r="G1627">
        <f>Calc!G25</f>
        <v/>
      </c>
      <c r="H1627">
        <f>Calc!H25</f>
        <v/>
      </c>
      <c r="I1627">
        <f>IF(Skills!T25&lt;&gt;"",1+(Skills!T25/10)*($Z$3/1000)/100,1)</f>
        <v/>
      </c>
      <c r="J1627" t="inlineStr"/>
      <c r="K1627" t="inlineStr"/>
      <c r="L1627" t="inlineStr"/>
      <c r="M1627" t="inlineStr"/>
      <c r="N1627" t="inlineStr"/>
      <c r="O1627">
        <f>(1-Summary!$B$11)*S1627+Summary!$B$11*U1627</f>
        <v/>
      </c>
      <c r="P1627">
        <f>IF(B1645=0,0,O1627/B1645)</f>
        <v/>
      </c>
      <c r="Q1627">
        <f>IFERROR(1/(IF(Inputs!$B$39="pvp",15,MAX(0.1,Skills!D25-IF(Skills!E25=TRUE,Inputs!$B$33,0)))*(1-IF(AND(ArtifactsInput!$M$27,Inputs!$B$4="Chapter Hunt"),CHOOSE(ArtifactsInput!$N$27+1,20,24,28,32,36,40),0)/100)),0)</f>
        <v/>
      </c>
      <c r="R1627" t="n">
        <v>0</v>
      </c>
      <c r="S1627" t="n">
        <v>0</v>
      </c>
      <c r="U1627" t="n">
        <v>0</v>
      </c>
    </row>
    <row r="1628">
      <c r="A1628">
        <f>Skills!A26</f>
        <v/>
      </c>
      <c r="B1628">
        <f>Skills!B26</f>
        <v/>
      </c>
      <c r="C1628">
        <f>Inputs!$B$3&gt;=117</f>
        <v/>
      </c>
      <c r="D1628">
        <f>IF(Skills!C26=1,60+Inputs!$B$26+Inputs!$B$30,IF(Skills!C26=2,90+Inputs!$B$27+Inputs!$B$30,IF(Skills!C26=3,120+Inputs!$B$28+Inputs!$B$30,MAX(0,(Inputs!$B$3-100)*3)+Inputs!$B$29+Inputs!$B$30)))</f>
        <v/>
      </c>
      <c r="E1628">
        <f>INDEX(FactorTable!$B$2:$Y$301, MATCH(ROUND(MIN(300,MAX(1,D1628)),0), FactorTable!$A$2:$A$301,0), Skills!L26+1)</f>
        <v/>
      </c>
      <c r="F1628">
        <f>IF(Skills!M26=TRUE,(Skills!K26/10)*(E1628/1000),Skills!K26/10)+Skills!N26</f>
        <v/>
      </c>
      <c r="G1628">
        <f>Calc!G26</f>
        <v/>
      </c>
      <c r="H1628">
        <f>Calc!H26</f>
        <v/>
      </c>
      <c r="I1628">
        <f>IF(Skills!T26&lt;&gt;"",1+(Skills!T26/10)*($Z$3/1000)/100,1)</f>
        <v/>
      </c>
      <c r="J1628" t="inlineStr"/>
      <c r="K1628" t="inlineStr"/>
      <c r="L1628" t="inlineStr"/>
      <c r="M1628" t="inlineStr"/>
      <c r="N1628" t="inlineStr"/>
      <c r="O1628">
        <f>(1-Summary!$B$11)*S1628+Summary!$B$11*U1628</f>
        <v/>
      </c>
      <c r="P1628">
        <f>IF(B1645=0,0,O1628/B1645)</f>
        <v/>
      </c>
      <c r="Q1628">
        <f>IFERROR(1/(IF(Inputs!$B$39="pvp",15,MAX(0.1,Skills!D26-IF(Skills!E26=TRUE,Inputs!$B$33,0)))*(1-IF(AND(ArtifactsInput!$M$27,Inputs!$B$4="Chapter Hunt"),CHOOSE(ArtifactsInput!$N$27+1,20,24,28,32,36,40),0)/100)),0)</f>
        <v/>
      </c>
      <c r="R1628" t="n">
        <v>0</v>
      </c>
      <c r="S1628" t="n">
        <v>0</v>
      </c>
      <c r="U1628" t="n">
        <v>0</v>
      </c>
    </row>
    <row r="1629">
      <c r="A1629">
        <f>Skills!A27</f>
        <v/>
      </c>
      <c r="B1629">
        <f>Skills!B27</f>
        <v/>
      </c>
      <c r="C1629">
        <f>Inputs!$B$3&gt;=120</f>
        <v/>
      </c>
      <c r="D1629">
        <f>IF(Skills!C27=1,60+Inputs!$B$26+Inputs!$B$30,IF(Skills!C27=2,90+Inputs!$B$27+Inputs!$B$30,IF(Skills!C27=3,120+Inputs!$B$28+Inputs!$B$30,MAX(0,(Inputs!$B$3-100)*3)+Inputs!$B$29+Inputs!$B$30)))</f>
        <v/>
      </c>
      <c r="E1629">
        <f>INDEX(FactorTable!$B$2:$Y$301, MATCH(ROUND(MIN(300,MAX(1,D1629)),0), FactorTable!$A$2:$A$301,0), Skills!L27+1)</f>
        <v/>
      </c>
      <c r="F1629">
        <f>IF(Skills!M27=TRUE,(Skills!K27/10)*(E1629/1000),Skills!K27/10)+Skills!N27</f>
        <v/>
      </c>
      <c r="G1629">
        <f>Calc!G27</f>
        <v/>
      </c>
      <c r="H1629">
        <f>Calc!H27</f>
        <v/>
      </c>
      <c r="I1629">
        <f>IF(Skills!T27&lt;&gt;"",1+(Skills!T27/10)*($Z$3/1000)/100,1)</f>
        <v/>
      </c>
      <c r="J1629" t="inlineStr"/>
      <c r="K1629" t="inlineStr"/>
      <c r="L1629" t="inlineStr"/>
      <c r="M1629" t="inlineStr"/>
      <c r="N1629" t="inlineStr"/>
      <c r="O1629">
        <f>(1-Summary!$B$11)*S1629+Summary!$B$11*U1629</f>
        <v/>
      </c>
      <c r="P1629">
        <f>IF(B1645=0,0,O1629/B1645)</f>
        <v/>
      </c>
      <c r="Q1629">
        <f>IFERROR(1/(IF(Inputs!$B$39="pvp",15,MAX(0.1,Skills!D27-IF(Skills!E27=TRUE,Inputs!$B$33,0)))*(1-IF(AND(ArtifactsInput!$M$27,Inputs!$B$4="Chapter Hunt"),CHOOSE(ArtifactsInput!$N$27+1,20,24,28,32,36,40),0)/100)),0)</f>
        <v/>
      </c>
      <c r="R1629" t="n">
        <v>0</v>
      </c>
      <c r="S1629" t="n">
        <v>0</v>
      </c>
      <c r="U1629" t="n">
        <v>0</v>
      </c>
    </row>
    <row r="1630">
      <c r="A1630">
        <f>Skills!A28</f>
        <v/>
      </c>
      <c r="B1630">
        <f>Skills!B28</f>
        <v/>
      </c>
      <c r="C1630">
        <f>TRUE</f>
        <v/>
      </c>
      <c r="D1630">
        <f>IF(Skills!C28=1,60+Inputs!$B$26+Inputs!$B$30,IF(Skills!C28=2,90+Inputs!$B$27+Inputs!$B$30,IF(Skills!C28=3,120+Inputs!$B$28+Inputs!$B$30,MAX(0,(Inputs!$B$3-100)*3)+Inputs!$B$29+Inputs!$B$30)))</f>
        <v/>
      </c>
      <c r="E1630">
        <f>INDEX(FactorTable!$B$2:$Y$301, MATCH(ROUND(MIN(300,MAX(1,D1630)),0), FactorTable!$A$2:$A$301,0), Skills!L28+1)</f>
        <v/>
      </c>
      <c r="F1630">
        <f>IF(Skills!M28=TRUE,(Skills!K28/10)*(E1630/1000),Skills!K28/10)+Skills!N28</f>
        <v/>
      </c>
      <c r="G1630">
        <f>Calc!G28</f>
        <v/>
      </c>
      <c r="H1630">
        <f>Calc!H28</f>
        <v/>
      </c>
      <c r="I1630">
        <f>IF(Skills!T28&lt;&gt;"",1+(Skills!T28/10)*($Z$3/1000)/100,1)</f>
        <v/>
      </c>
      <c r="J1630" t="inlineStr"/>
      <c r="K1630" t="inlineStr"/>
      <c r="L1630" t="inlineStr"/>
      <c r="M1630" t="inlineStr"/>
      <c r="N1630" t="inlineStr"/>
      <c r="O1630">
        <f>(1-Summary!$B$11)*S1630+Summary!$B$11*U1630</f>
        <v/>
      </c>
      <c r="P1630">
        <f>IF(B1645=0,0,O1630/B1645)</f>
        <v/>
      </c>
      <c r="Q1630">
        <f>IFERROR(1/(IF(Inputs!$B$39="pvp",15,MAX(0.1,Skills!D28-IF(Skills!E28=TRUE,Inputs!$B$33,0)))*(1-IF(AND(ArtifactsInput!$M$27,Inputs!$B$4="Chapter Hunt"),CHOOSE(ArtifactsInput!$N$27+1,20,24,28,32,36,40),0)/100)),0)</f>
        <v/>
      </c>
      <c r="R1630">
        <f>IF(AND(Inputs!$B$39&lt;&gt;"pvp",Inputs!$B$44&gt;0),IF(Inputs!$B$44&lt;=0,0,(INT(Inputs!$B$44/(IF(Inputs!$B$39="pvp",15,MAX(0.1,Skills!D28-IF(Skills!E28=TRUE,Inputs!$B$33,0)))*(1-IF(AND(ArtifactsInput!$M$27,Inputs!$B$4="Chapter Hunt"),CHOOSE(ArtifactsInput!$N$27+1,20,24,28,32,36,40),0)/100)))+1)),0)</f>
        <v/>
      </c>
      <c r="S1630" t="n">
        <v>0</v>
      </c>
      <c r="U1630" t="n">
        <v>0</v>
      </c>
    </row>
    <row r="1632">
      <c r="A1632" t="inlineStr">
        <is>
          <t>Average Buff Multiplier</t>
        </is>
      </c>
      <c r="B1632">
        <f>(1+(IF(C1605=TRUE,F1605*IF(AND(Inputs!$B$39&lt;&gt;"pvp",Inputs!$B$44&gt;0),(((R1605-1)*(Skills!S3*(1+((Inputs!$B$35+(ArtifactsInput!$M$7-ArtifactsInput!$M$7)*CHOOSE(ArtifactsInput!$N$7+1,6,7.2,8.4,9.6,10.8,12))+IF(Inputs!$B$3&gt;=117,F1628,0))/100))+MIN((Skills!S3*(1+((Inputs!$B$35+(ArtifactsInput!$M$7-ArtifactsInput!$M$7)*CHOOSE(ArtifactsInput!$N$7+1,6,7.2,8.4,9.6,10.8,12))+IF(Inputs!$B$3&gt;=117,F1628,0))/100)),MAX(0,Inputs!$B$44-((R1605-1)*Skills!D3))))/Inputs!$B$44),IF(Inputs!$B$39="pvp",MIN((Skills!S3*(1+((Inputs!$B$35+(ArtifactsInput!$M$7-ArtifactsInput!$M$7)*CHOOSE(ArtifactsInput!$N$7+1,6,7.2,8.4,9.6,10.8,12))+IF(Inputs!$B$3&gt;=117,F1628,0))/100)),15)/15,(Skills!S3*(1+((Inputs!$B$35+(ArtifactsInput!$M$7-ArtifactsInput!$M$7)*CHOOSE(ArtifactsInput!$N$7+1,6,7.2,8.4,9.6,10.8,12))+IF(Inputs!$B$3&gt;=117,F1628,0))/100))/Skills!D3)),0)+IF(C1606=TRUE,F1606*IF(AND(Inputs!$B$39&lt;&gt;"pvp",Inputs!$B$44&gt;0),(((R1606-1)*(Skills!S4*(1+((Inputs!$B$35+(ArtifactsInput!$M$7-ArtifactsInput!$M$7)*CHOOSE(ArtifactsInput!$N$7+1,6,7.2,8.4,9.6,10.8,12))+IF(Inputs!$B$3&gt;=117,F1628,0))/100))+MIN((Skills!S4*(1+((Inputs!$B$35+(ArtifactsInput!$M$7-ArtifactsInput!$M$7)*CHOOSE(ArtifactsInput!$N$7+1,6,7.2,8.4,9.6,10.8,12))+IF(Inputs!$B$3&gt;=117,F1628,0))/100)),MAX(0,Inputs!$B$44-((R1606-1)*Skills!D4))))/Inputs!$B$44),IF(Inputs!$B$39="pvp",MIN((Skills!S4*(1+((Inputs!$B$35+(ArtifactsInput!$M$7-ArtifactsInput!$M$7)*CHOOSE(ArtifactsInput!$N$7+1,6,7.2,8.4,9.6,10.8,12))+IF(Inputs!$B$3&gt;=117,F1628,0))/100)),15)/15,(Skills!S4*(1+((Inputs!$B$35+(ArtifactsInput!$M$7-ArtifactsInput!$M$7)*CHOOSE(ArtifactsInput!$N$7+1,6,7.2,8.4,9.6,10.8,12))+IF(Inputs!$B$3&gt;=117,F1628,0))/100))/Skills!D4)),0)+IF(C1607=TRUE,F1607*IF(AND(Inputs!$B$39&lt;&gt;"pvp",Inputs!$B$44&gt;0),(((R1607-1)*(Skills!S5*(1+((Inputs!$B$35+(ArtifactsInput!$M$7-ArtifactsInput!$M$7)*CHOOSE(ArtifactsInput!$N$7+1,6,7.2,8.4,9.6,10.8,12))+IF(Inputs!$B$3&gt;=117,F1628,0))/100))+MIN((Skills!S5*(1+((Inputs!$B$35+(ArtifactsInput!$M$7-ArtifactsInput!$M$7)*CHOOSE(ArtifactsInput!$N$7+1,6,7.2,8.4,9.6,10.8,12))+IF(Inputs!$B$3&gt;=117,F1628,0))/100)),MAX(0,Inputs!$B$44-((R1607-1)*Skills!D5))))/Inputs!$B$44),IF(Inputs!$B$39="pvp",MIN((Skills!S5*(1+((Inputs!$B$35+(ArtifactsInput!$M$7-ArtifactsInput!$M$7)*CHOOSE(ArtifactsInput!$N$7+1,6,7.2,8.4,9.6,10.8,12))+IF(Inputs!$B$3&gt;=117,F1628,0))/100)),15)/15,(Skills!S5*(1+((Inputs!$B$35+(ArtifactsInput!$M$7-ArtifactsInput!$M$7)*CHOOSE(ArtifactsInput!$N$7+1,6,7.2,8.4,9.6,10.8,12))+IF(Inputs!$B$3&gt;=117,F1628,0))/100))/Skills!D5)),0)+IF(C1613=TRUE,F1613*IF(AND(Inputs!$B$39&lt;&gt;"pvp",Inputs!$B$44&gt;0),(((R1613-1)*(Skills!S11*(1+((Inputs!$B$35+(ArtifactsInput!$M$7-ArtifactsInput!$M$7)*CHOOSE(ArtifactsInput!$N$7+1,6,7.2,8.4,9.6,10.8,12))+IF(Inputs!$B$3&gt;=117,F1628,0))/100))+MIN((Skills!S11*(1+((Inputs!$B$35+(ArtifactsInput!$M$7-ArtifactsInput!$M$7)*CHOOSE(ArtifactsInput!$N$7+1,6,7.2,8.4,9.6,10.8,12))+IF(Inputs!$B$3&gt;=117,F1628,0))/100)),MAX(0,Inputs!$B$44-((R1613-1)*Skills!D11))))/Inputs!$B$44),IF(Inputs!$B$39="pvp",MIN((Skills!S11*(1+((Inputs!$B$35+(ArtifactsInput!$M$7-ArtifactsInput!$M$7)*CHOOSE(ArtifactsInput!$N$7+1,6,7.2,8.4,9.6,10.8,12))+IF(Inputs!$B$3&gt;=117,F1628,0))/100)),15)/15,(Skills!S11*(1+((Inputs!$B$35+(ArtifactsInput!$M$7-ArtifactsInput!$M$7)*CHOOSE(ArtifactsInput!$N$7+1,6,7.2,8.4,9.6,10.8,12))+IF(Inputs!$B$3&gt;=117,F1628,0)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1616=TRUE,(1+F1616*IF(AND(Inputs!$B$39&lt;&gt;"pvp",Inputs!$B$44&gt;0),(((R1616-1)*(Skills!S14*(1+((Inputs!$B$35+(ArtifactsInput!$M$7-ArtifactsInput!$M$7)*CHOOSE(ArtifactsInput!$N$7+1,6,7.2,8.4,9.6,10.8,12))+IF(Inputs!$B$3&gt;=117,F1628,0))/100))+MIN((Skills!S14*(1+((Inputs!$B$35+(ArtifactsInput!$M$7-ArtifactsInput!$M$7)*CHOOSE(ArtifactsInput!$N$7+1,6,7.2,8.4,9.6,10.8,12))+IF(Inputs!$B$3&gt;=117,F1628,0))/100)),MAX(0,Inputs!$B$44-((R1616-1)*Skills!D14))))/Inputs!$B$44),IF(Inputs!$B$39="pvp",MIN((Skills!S14*(1+((Inputs!$B$35+(ArtifactsInput!$M$7-ArtifactsInput!$M$7)*CHOOSE(ArtifactsInput!$N$7+1,6,7.2,8.4,9.6,10.8,12))+IF(Inputs!$B$3&gt;=117,F1628,0))/100)),15)/15,(Skills!S14*(1+((Inputs!$B$35+(ArtifactsInput!$M$7-ArtifactsInput!$M$7)*CHOOSE(ArtifactsInput!$N$7+1,6,7.2,8.4,9.6,10.8,12))+IF(Inputs!$B$3&gt;=117,F1628,0))/100))/Skills!D14))/100),1)*IF(C1621=TRUE,(1+F1621*IF(AND(Inputs!$B$39&lt;&gt;"pvp",Inputs!$B$44&gt;0),(((R1621-1)*(Skills!S19*(1+((Inputs!$B$35+(ArtifactsInput!$M$7-ArtifactsInput!$M$7)*CHOOSE(ArtifactsInput!$N$7+1,6,7.2,8.4,9.6,10.8,12))+IF(Inputs!$B$3&gt;=117,F1628,0))/100))+MIN((Skills!S19*(1+((Inputs!$B$35+(ArtifactsInput!$M$7-ArtifactsInput!$M$7)*CHOOSE(ArtifactsInput!$N$7+1,6,7.2,8.4,9.6,10.8,12))+IF(Inputs!$B$3&gt;=117,F1628,0))/100)),MAX(0,Inputs!$B$44-((R1621-1)*Skills!D19))))/Inputs!$B$44),IF(Inputs!$B$39="pvp",MIN((Skills!S19*(1+((Inputs!$B$35+(ArtifactsInput!$M$7-ArtifactsInput!$M$7)*CHOOSE(ArtifactsInput!$N$7+1,6,7.2,8.4,9.6,10.8,12))+IF(Inputs!$B$3&gt;=117,F1628,0))/100)),15)/15,(Skills!S19*(1+((Inputs!$B$35+(ArtifactsInput!$M$7-ArtifactsInput!$M$7)*CHOOSE(ArtifactsInput!$N$7+1,6,7.2,8.4,9.6,10.8,12))+IF(Inputs!$B$3&gt;=117,F1628,0))/100))/Skills!D19))/100),1)</f>
        <v/>
      </c>
    </row>
    <row r="1633">
      <c r="A1633" t="inlineStr">
        <is>
          <t>Monster Damage Taken Bonus % (Holy Fountain)</t>
        </is>
      </c>
      <c r="B1633">
        <f>IF(Inputs!$B$3&gt;=68,20*IF(Inputs!$B$39="pvp",MIN((15*(1+((Inputs!$B$35+(ArtifactsInput!$M$7-ArtifactsInput!$M$7)*CHOOSE(ArtifactsInput!$N$7+1,6,7.2,8.4,9.6,10.8,12))+IF(Inputs!$B$3&gt;=117,F1628,0))/100)),15)/15,(15*(1+((Inputs!$B$35+(ArtifactsInput!$M$7-ArtifactsInput!$M$7)*CHOOSE(ArtifactsInput!$N$7+1,6,7.2,8.4,9.6,10.8,12))+IF(Inputs!$B$3&gt;=117,F1628,0))/100))/Skills!D10),0)</f>
        <v/>
      </c>
    </row>
    <row r="1634">
      <c r="A1634" t="inlineStr">
        <is>
          <t>Normal Monster Damage Bonus % (Holy Symbol)</t>
        </is>
      </c>
      <c r="B1634">
        <f>IF(C1614=TRUE,F1614*IF(AND(Inputs!$B$39&lt;&gt;"pvp",Inputs!$B$44&gt;0),(((R1614-1)*(Skills!S12*(1+((Inputs!$B$35+(ArtifactsInput!$M$7-ArtifactsInput!$M$7)*CHOOSE(ArtifactsInput!$N$7+1,6,7.2,8.4,9.6,10.8,12))+IF(Inputs!$B$3&gt;=117,F1628,0))/100))+MIN((Skills!S12*(1+((Inputs!$B$35+(ArtifactsInput!$M$7-ArtifactsInput!$M$7)*CHOOSE(ArtifactsInput!$N$7+1,6,7.2,8.4,9.6,10.8,12))+IF(Inputs!$B$3&gt;=117,F1628,0))/100)),MAX(0,Inputs!$B$44-((R1614-1)*Skills!D12))))/Inputs!$B$44),IF(Inputs!$B$39="pvp",MIN((Skills!S12*(1+((Inputs!$B$35+(ArtifactsInput!$M$7-ArtifactsInput!$M$7)*CHOOSE(ArtifactsInput!$N$7+1,6,7.2,8.4,9.6,10.8,12))+IF(Inputs!$B$3&gt;=117,F1628,0))/100)),15)/15,(Skills!S12*(1+((Inputs!$B$35+(ArtifactsInput!$M$7-ArtifactsInput!$M$7)*CHOOSE(ArtifactsInput!$N$7+1,6,7.2,8.4,9.6,10.8,12))+IF(Inputs!$B$3&gt;=117,F1628,0))/100))/Skills!D12)),0)</f>
        <v/>
      </c>
    </row>
    <row r="1635">
      <c r="A1635" t="inlineStr">
        <is>
          <t>Damage % Bonus (Holy Symbol - Damage Boost)</t>
        </is>
      </c>
      <c r="B1635">
        <f>Skills!O12</f>
        <v/>
      </c>
    </row>
    <row r="1636">
      <c r="A1636" t="inlineStr">
        <is>
          <t>Crit Damage % Bonus (Blood of the Divine)</t>
        </is>
      </c>
      <c r="B1636">
        <f>4*IF(C1622=TRUE,F1622,0)</f>
        <v/>
      </c>
    </row>
    <row r="1637">
      <c r="A1637" t="inlineStr">
        <is>
          <t>Attack Speed Bonus %</t>
        </is>
      </c>
      <c r="B1637">
        <f>IF(C1619=TRUE,F1619+(F1623-Calc!F21),0)+IF(Inputs!$B$3&gt;=134,15,0)+((C1630=TRUE)*F1630*IF(AND(Inputs!$B$39&lt;&gt;"pvp",Inputs!$B$44&gt;0),(((R1630-1)*(Skills!S28*(1+((Inputs!$B$35+(ArtifactsInput!$M$7-ArtifactsInput!$M$7)*CHOOSE(ArtifactsInput!$N$7+1,6,7.2,8.4,9.6,10.8,12))+IF(Inputs!$B$3&gt;=117,F1628,0))/100))+MIN((Skills!S28*(1+((Inputs!$B$35+(ArtifactsInput!$M$7-ArtifactsInput!$M$7)*CHOOSE(ArtifactsInput!$N$7+1,6,7.2,8.4,9.6,10.8,12))+IF(Inputs!$B$3&gt;=117,F1628,0))/100)),MAX(0,Inputs!$B$44-((R1630-1)*Skills!D28))))/Inputs!$B$44),IF(Inputs!$B$39="pvp",MIN((Skills!S28*(1+((Inputs!$B$35+(ArtifactsInput!$M$7-ArtifactsInput!$M$7)*CHOOSE(ArtifactsInput!$N$7+1,6,7.2,8.4,9.6,10.8,12))+IF(Inputs!$B$3&gt;=117,F1628,0))/100)),15)/15,(Skills!S28*(1+((Inputs!$B$35+(ArtifactsInput!$M$7-ArtifactsInput!$M$7)*CHOOSE(ArtifactsInput!$N$7+1,6,7.2,8.4,9.6,10.8,12))+IF(Inputs!$B$3&gt;=117,F1628,0))/100))/Skills!D28)))</f>
        <v/>
      </c>
    </row>
    <row r="1638">
      <c r="A1638" t="inlineStr">
        <is>
          <t>Actions Per Second</t>
        </is>
      </c>
      <c r="B1638">
        <f>1+MIN(150,150*(1-(1-Inputs!$B$12/150)*(1-B1637/150)))/100</f>
        <v/>
      </c>
    </row>
    <row r="1639">
      <c r="A1639" t="inlineStr">
        <is>
          <t>Skill + Buff Cast Rate</t>
        </is>
      </c>
      <c r="B1639">
        <f>IF(AND(Inputs!$B$39&lt;&gt;"pvp",Inputs!$B$44&gt;0),SUMPRODUCT((Skills!E2:E28=TRUE)*(C1604:C1630=TRUE)*R1604:R1630)/Inputs!$B$44,SUMPRODUCT((Skills!E2:E28=TRUE)*(C1604:C1630=TRUE)*Q1604:Q1630))</f>
        <v/>
      </c>
    </row>
    <row r="1640">
      <c r="A1640" t="inlineStr">
        <is>
          <t>Big Bang Casts Per Second</t>
        </is>
      </c>
      <c r="B1640">
        <f>MAX(0,B1638-B1639)</f>
        <v/>
      </c>
    </row>
    <row r="1641">
      <c r="A1641" t="inlineStr">
        <is>
          <t>Defense % Bonus (Divine Protection)</t>
        </is>
      </c>
      <c r="B1641">
        <f>IF(C1615=TRUE,F1615*IF(AND(Inputs!$B$39&lt;&gt;"pvp",Inputs!$B$44&gt;0),(((R1615-1)*(Skills!S13*(1+((Inputs!$B$35+(ArtifactsInput!$M$7-ArtifactsInput!$M$7)*CHOOSE(ArtifactsInput!$N$7+1,6,7.2,8.4,9.6,10.8,12))+IF(Inputs!$B$3&gt;=117,F1628,0))/100))+MIN((Skills!S13*(1+((Inputs!$B$35+(ArtifactsInput!$M$7-ArtifactsInput!$M$7)*CHOOSE(ArtifactsInput!$N$7+1,6,7.2,8.4,9.6,10.8,12))+IF(Inputs!$B$3&gt;=117,F1628,0))/100)),MAX(0,Inputs!$B$44-((R1615-1)*Skills!D13))))/Inputs!$B$44),IF(Inputs!$B$39="pvp",MIN((Skills!S13*(1+((Inputs!$B$35+(ArtifactsInput!$M$7-ArtifactsInput!$M$7)*CHOOSE(ArtifactsInput!$N$7+1,6,7.2,8.4,9.6,10.8,12))+IF(Inputs!$B$3&gt;=117,F1628,0))/100)),15)/15,(Skills!S13*(1+((Inputs!$B$35+(ArtifactsInput!$M$7-ArtifactsInput!$M$7)*CHOOSE(ArtifactsInput!$N$7+1,6,7.2,8.4,9.6,10.8,12))+IF(Inputs!$B$3&gt;=117,F1628,0))/100))/Skills!D13)),0)</f>
        <v/>
      </c>
    </row>
    <row r="1642">
      <c r="A1642" t="inlineStr">
        <is>
          <t>Buff-Casting Startup Delay (s, fixed-duration only)</t>
        </is>
      </c>
      <c r="B1642">
        <f>IF(AND(Inputs!$B$39&lt;&gt;"pvp",Inputs!$B$44&gt;0),SUMPRODUCT((Skills!S2:S28&gt;0)*(Skills!E2:E28=TRUE)*(C1604:C1630=TRUE))/B1638,0)</f>
        <v/>
      </c>
    </row>
    <row r="1643">
      <c r="A1643" t="inlineStr">
        <is>
          <t>Boss-Only Total DPS (this block's swept value)</t>
        </is>
      </c>
      <c r="B1643">
        <f>SUM(S1604:S1630)</f>
        <v/>
      </c>
    </row>
    <row r="1644">
      <c r="A1644" t="inlineStr">
        <is>
          <t>Normal-Only Total DPS (this block's swept value)</t>
        </is>
      </c>
      <c r="B1644">
        <f>SUM(U1604:U1630)</f>
        <v/>
      </c>
    </row>
    <row r="1645">
      <c r="A1645" s="6" t="inlineStr">
        <is>
          <t>TOTAL DPS</t>
        </is>
      </c>
      <c r="B1645" s="6">
        <f>SUM(O1604:O1630)</f>
        <v/>
      </c>
    </row>
    <row r="1647">
      <c r="A1647" s="6" t="inlineStr">
        <is>
          <t>Stat: Clear Spring Water (Equip)</t>
        </is>
      </c>
    </row>
    <row r="1648">
      <c r="A1648" s="5" t="inlineStr">
        <is>
          <t>Key</t>
        </is>
      </c>
      <c r="B1648" s="5" t="inlineStr">
        <is>
          <t>Name</t>
        </is>
      </c>
      <c r="C1648" s="5" t="inlineStr">
        <is>
          <t>Unlocked</t>
        </is>
      </c>
      <c r="D1648" s="5" t="inlineStr">
        <is>
          <t>InputLevel</t>
        </is>
      </c>
      <c r="E1648" s="5" t="inlineStr">
        <is>
          <t>Factor</t>
        </is>
      </c>
      <c r="F1648" s="5" t="inlineStr">
        <is>
          <t>CoefficientPercent</t>
        </is>
      </c>
      <c r="G1648" s="5" t="inlineStr">
        <is>
          <t>EffectiveHits</t>
        </is>
      </c>
      <c r="H1648" s="5" t="inlineStr">
        <is>
          <t>ProcProbability</t>
        </is>
      </c>
      <c r="I1648" s="5" t="inlineStr">
        <is>
          <t>MapleHeroMultiplier</t>
        </is>
      </c>
      <c r="J1648" s="5" t="inlineStr">
        <is>
          <t>BaseDamage</t>
        </is>
      </c>
      <c r="K1648" s="5" t="inlineStr">
        <is>
          <t>BaseHitDamage</t>
        </is>
      </c>
      <c r="L1648" s="5" t="inlineStr">
        <is>
          <t>NonCritAvg</t>
        </is>
      </c>
      <c r="M1648" s="5" t="inlineStr">
        <is>
          <t>CritAvg</t>
        </is>
      </c>
      <c r="N1648" s="5" t="inlineStr">
        <is>
          <t>ExpectedDamage(perHit)</t>
        </is>
      </c>
      <c r="O1648" s="5" t="inlineStr">
        <is>
          <t>DPS</t>
        </is>
      </c>
      <c r="P1648" s="5" t="inlineStr">
        <is>
          <t>% of Total</t>
        </is>
      </c>
      <c r="R1648" t="inlineStr">
        <is>
          <t>helpers</t>
        </is>
      </c>
    </row>
    <row r="1649">
      <c r="A1649">
        <f>Skills!A2</f>
        <v/>
      </c>
      <c r="B1649">
        <f>Skills!B2</f>
        <v/>
      </c>
      <c r="C1649">
        <f>Inputs!$B$3&gt;=100</f>
        <v/>
      </c>
      <c r="D1649" t="inlineStr"/>
      <c r="E1649" t="inlineStr"/>
      <c r="F1649">
        <f>T1651+Skills!N2</f>
        <v/>
      </c>
      <c r="G1649">
        <f>Calc!G2</f>
        <v/>
      </c>
      <c r="H1649">
        <f>Calc!H2</f>
        <v/>
      </c>
      <c r="I1649">
        <f>IF(Skills!T2&lt;&gt;"",1+(Skills!T2/10)*($Z$3/1000)/100,1)</f>
        <v/>
      </c>
      <c r="J1649">
        <f>((Inputs!$B$6*(1+Inputs!$B$7/100))+(((Inputs!$B$13*(1+Inputs!$B$14/100))-(Inputs!$B$13*(1+Inputs!$B$14/100)))+0.25*(Inputs!$B$15-Inputs!$B$15))*(1+Inputs!$B$7/100))*(F1649/100)</f>
        <v/>
      </c>
      <c r="K1649">
        <f>J1649*(1+(((Inputs!$B$13+IF(Inputs!$B$3&gt;=35,(10*INDEX(FactorTable!$B$2:$Y$301,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2="TRIUMPH_FEATHER",IF(C1663=TRUE,F1663,0),0)/100)*(1+IF(C1674=TRUE,F1674,0)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1649)</f>
        <v/>
      </c>
      <c r="L1649">
        <f>K1649*(MIN(Inputs!$B$23+(F1669-Calc!F22),(Inputs!$B$24+IF(ArtifactsInput!$M$15,CHOOSE(ArtifactsInput!$N$15+1,25,30,35,40,45,50)/100*(Inputs!$B$12-Inputs!$B$12),0)))/100+(Inputs!$B$24+IF(ArtifactsInput!$M$15,CHOOSE(ArtifactsInput!$N$15+1,25,30,35,40,45,50)/100*(Inputs!$B$12-Inputs!$B$12),0))/100)/2</f>
        <v/>
      </c>
      <c r="M1649">
        <f>L1649*(1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9">
        <f>L1649*(1-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(1-Summary!$B$11)*S1649+Summary!$B$11*U1649</f>
        <v/>
      </c>
      <c r="P1649">
        <f>IF(B1690=0,0,O1649/B1690)</f>
        <v/>
      </c>
      <c r="Q1649">
        <f>IFERROR(1/(IF(Inputs!$B$39="pvp",15,MAX(0.1,Skills!D2-IF(Skills!E2=TRUE,Inputs!$B$33,0)))*(1-IF(AND(ArtifactsInput!$M$27,Inputs!$B$4="Chapter Hunt"),CHOOSE(ArtifactsInput!$N$27+1,20,24,28,32,36,40),0)/100)),0)</f>
        <v/>
      </c>
      <c r="R1649" t="n">
        <v>0</v>
      </c>
      <c r="S1649">
        <f>IF(C1649,(Skills!F2*N1649*B1685)*IF(Inputs!$B$39="pvp",1,1+(Inputs!$B$21+Skills!O2+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1649*(1-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9">
        <f>MAX(0,(Inputs!$B$3-100)*3)+Inputs!$B$29+Inputs!$B$30</f>
        <v/>
      </c>
      <c r="U1649">
        <f>IF(C1649,(Skills!F2*N1649*B1685)*IF(Inputs!$B$39="pvp",1,(1+(Inputs!$B$22+Skills!P2+B1679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Skills!A3</f>
        <v/>
      </c>
      <c r="B1650">
        <f>Skills!B3</f>
        <v/>
      </c>
      <c r="C1650">
        <f>Inputs!$B$3&gt;=15</f>
        <v/>
      </c>
      <c r="D1650">
        <f>IF(Skills!C3=1,60+Inputs!$B$26+Inputs!$B$30,IF(Skills!C3=2,90+Inputs!$B$27+Inputs!$B$30,IF(Skills!C3=3,120+Inputs!$B$28+Inputs!$B$30,MAX(0,(Inputs!$B$3-100)*3)+Inputs!$B$29+Inputs!$B$30)))</f>
        <v/>
      </c>
      <c r="E1650">
        <f>INDEX(FactorTable!$B$2:$Y$301, MATCH(ROUND(MIN(300,MAX(1,D1650)),0), FactorTable!$A$2:$A$301,0), Skills!L3+1)</f>
        <v/>
      </c>
      <c r="F1650">
        <f>IF(Skills!M3=TRUE,(Skills!K3/10)*(E1650/1000),Skills!K3/10)+Skills!N3</f>
        <v/>
      </c>
      <c r="G1650">
        <f>Calc!G3</f>
        <v/>
      </c>
      <c r="H1650">
        <f>Calc!H3</f>
        <v/>
      </c>
      <c r="I1650">
        <f>IF(Skills!T3&lt;&gt;"",1+(Skills!T3/10)*($Z$3/1000)/100,1)</f>
        <v/>
      </c>
      <c r="J1650" t="inlineStr"/>
      <c r="K1650" t="inlineStr"/>
      <c r="L1650" t="inlineStr"/>
      <c r="M1650" t="inlineStr"/>
      <c r="N1650" t="inlineStr"/>
      <c r="O1650">
        <f>(1-Summary!$B$11)*S1650+Summary!$B$11*U1650</f>
        <v/>
      </c>
      <c r="P1650">
        <f>IF(B1690=0,0,O1650/B1690)</f>
        <v/>
      </c>
      <c r="Q1650">
        <f>IFERROR(1/(IF(Inputs!$B$39="pvp",15,MAX(0.1,Skills!D3-IF(Skills!E3=TRUE,Inputs!$B$33,0)))*(1-IF(AND(ArtifactsInput!$M$27,Inputs!$B$4="Chapter Hunt"),CHOOSE(ArtifactsInput!$N$27+1,20,24,28,32,36,40),0)/100)),0)</f>
        <v/>
      </c>
      <c r="R1650">
        <f>IF(AND(Inputs!$B$39&lt;&gt;"pvp",Inputs!$B$44&gt;0),IF(Inputs!$B$44&lt;=0,0,(INT(Inputs!$B$44/(IF(Inputs!$B$39="pvp",15,MAX(0.1,Skills!D3-IF(Skills!E3=TRUE,Inputs!$B$33,0)))*(1-IF(AND(ArtifactsInput!$M$27,Inputs!$B$4="Chapter Hunt"),CHOOSE(ArtifactsInput!$N$27+1,20,24,28,32,36,40),0)/100)))+1)),0)</f>
        <v/>
      </c>
      <c r="S1650" t="n">
        <v>0</v>
      </c>
      <c r="T1650">
        <f>INDEX(FactorTable!$B$2:$Y$301, MATCH(ROUND(MIN(300,MAX(1,T1649)),0), FactorTable!$A$2:$A$301,0), 22)</f>
        <v/>
      </c>
      <c r="U1650" t="n">
        <v>0</v>
      </c>
    </row>
    <row r="1651">
      <c r="A1651">
        <f>Skills!A4</f>
        <v/>
      </c>
      <c r="B1651">
        <f>Skills!B4</f>
        <v/>
      </c>
      <c r="C1651">
        <f>Inputs!$B$3&gt;=38</f>
        <v/>
      </c>
      <c r="D1651">
        <f>IF(Skills!C4=1,60+Inputs!$B$26+Inputs!$B$30,IF(Skills!C4=2,90+Inputs!$B$27+Inputs!$B$30,IF(Skills!C4=3,120+Inputs!$B$28+Inputs!$B$30,MAX(0,(Inputs!$B$3-100)*3)+Inputs!$B$29+Inputs!$B$30)))</f>
        <v/>
      </c>
      <c r="E1651">
        <f>INDEX(FactorTable!$B$2:$Y$301, MATCH(ROUND(MIN(300,MAX(1,D1651)),0), FactorTable!$A$2:$A$301,0), Skills!L4+1)</f>
        <v/>
      </c>
      <c r="F1651">
        <f>IF(Skills!M4=TRUE,(Skills!K4/10)*(E1651/1000),Skills!K4/10)+Skills!N4</f>
        <v/>
      </c>
      <c r="G1651">
        <f>Calc!G4</f>
        <v/>
      </c>
      <c r="H1651">
        <f>Calc!H4</f>
        <v/>
      </c>
      <c r="I1651">
        <f>IF(Skills!T4&lt;&gt;"",1+(Skills!T4/10)*($Z$3/1000)/100,1)</f>
        <v/>
      </c>
      <c r="J1651" t="inlineStr"/>
      <c r="K1651" t="inlineStr"/>
      <c r="L1651" t="inlineStr"/>
      <c r="M1651" t="inlineStr"/>
      <c r="N1651" t="inlineStr"/>
      <c r="O1651">
        <f>(1-Summary!$B$11)*S1651+Summary!$B$11*U1651</f>
        <v/>
      </c>
      <c r="P1651">
        <f>IF(B1690=0,0,O1651/B1690)</f>
        <v/>
      </c>
      <c r="Q1651">
        <f>IFERROR(1/(IF(Inputs!$B$39="pvp",15,MAX(0.1,Skills!D4-IF(Skills!E4=TRUE,Inputs!$B$33,0)))*(1-IF(AND(ArtifactsInput!$M$27,Inputs!$B$4="Chapter Hunt"),CHOOSE(ArtifactsInput!$N$27+1,20,24,28,32,36,40),0)/100)),0)</f>
        <v/>
      </c>
      <c r="R1651">
        <f>IF(AND(Inputs!$B$39&lt;&gt;"pvp",Inputs!$B$44&gt;0),IF(Inputs!$B$44&lt;=0,0,(INT(Inputs!$B$44/(IF(Inputs!$B$39="pvp",15,MAX(0.1,Skills!D4-IF(Skills!E4=TRUE,Inputs!$B$33,0)))*(1-IF(AND(ArtifactsInput!$M$27,Inputs!$B$4="Chapter Hunt"),CHOOSE(ArtifactsInput!$N$27+1,20,24,28,32,36,40),0)/100)))+1)),0)</f>
        <v/>
      </c>
      <c r="S1651" t="n">
        <v>0</v>
      </c>
      <c r="T1651">
        <f>290*T1650/1000</f>
        <v/>
      </c>
      <c r="U1651" t="n">
        <v>0</v>
      </c>
    </row>
    <row r="1652">
      <c r="A1652">
        <f>Skills!A5</f>
        <v/>
      </c>
      <c r="B1652">
        <f>Skills!B5</f>
        <v/>
      </c>
      <c r="C1652">
        <f>Inputs!$B$3&gt;=40</f>
        <v/>
      </c>
      <c r="D1652">
        <f>IF(Skills!C5=1,60+Inputs!$B$26+Inputs!$B$30,IF(Skills!C5=2,90+Inputs!$B$27+Inputs!$B$30,IF(Skills!C5=3,120+Inputs!$B$28+Inputs!$B$30,MAX(0,(Inputs!$B$3-100)*3)+Inputs!$B$29+Inputs!$B$30)))</f>
        <v/>
      </c>
      <c r="E1652">
        <f>INDEX(FactorTable!$B$2:$Y$301, MATCH(ROUND(MIN(300,MAX(1,D1652)),0), FactorTable!$A$2:$A$301,0), Skills!L5+1)</f>
        <v/>
      </c>
      <c r="F1652">
        <f>IF(Skills!M5=TRUE,(Skills!K5/10)*(E1652/1000),Skills!K5/10)+Skills!N5</f>
        <v/>
      </c>
      <c r="G1652">
        <f>Calc!G5</f>
        <v/>
      </c>
      <c r="H1652">
        <f>Calc!H5</f>
        <v/>
      </c>
      <c r="I1652">
        <f>IF(Skills!T5&lt;&gt;"",1+(Skills!T5/10)*($Z$3/1000)/100,1)</f>
        <v/>
      </c>
      <c r="J1652" t="inlineStr"/>
      <c r="K1652" t="inlineStr"/>
      <c r="L1652" t="inlineStr"/>
      <c r="M1652" t="inlineStr"/>
      <c r="N1652" t="inlineStr"/>
      <c r="O1652">
        <f>(1-Summary!$B$11)*S1652+Summary!$B$11*U1652</f>
        <v/>
      </c>
      <c r="P1652">
        <f>IF(B1690=0,0,O1652/B1690)</f>
        <v/>
      </c>
      <c r="Q1652">
        <f>IFERROR(1/(IF(Inputs!$B$39="pvp",15,MAX(0.1,Skills!D5-IF(Skills!E5=TRUE,Inputs!$B$33,0)))*(1-IF(AND(ArtifactsInput!$M$27,Inputs!$B$4="Chapter Hunt"),CHOOSE(ArtifactsInput!$N$27+1,20,24,28,32,36,40),0)/100)),0)</f>
        <v/>
      </c>
      <c r="R1652">
        <f>IF(AND(Inputs!$B$39&lt;&gt;"pvp",Inputs!$B$44&gt;0),IF(Inputs!$B$44&lt;=0,0,(INT(Inputs!$B$44/(IF(Inputs!$B$39="pvp",15,MAX(0.1,Skills!D5-IF(Skills!E5=TRUE,Inputs!$B$33,0)))*(1-IF(AND(ArtifactsInput!$M$27,Inputs!$B$4="Chapter Hunt"),CHOOSE(ArtifactsInput!$N$27+1,20,24,28,32,36,40),0)/100)))+1)),0)</f>
        <v/>
      </c>
      <c r="S1652" t="n">
        <v>0</v>
      </c>
      <c r="U1652" t="n">
        <v>0</v>
      </c>
    </row>
    <row r="1653">
      <c r="A1653">
        <f>Skills!A6</f>
        <v/>
      </c>
      <c r="B1653">
        <f>Skills!B6</f>
        <v/>
      </c>
      <c r="C1653">
        <f>Inputs!$B$3&gt;=103</f>
        <v/>
      </c>
      <c r="D1653">
        <f>IF(Skills!C6=1,60+Inputs!$B$26+Inputs!$B$30,IF(Skills!C6=2,90+Inputs!$B$27+Inputs!$B$30,IF(Skills!C6=3,120+Inputs!$B$28+Inputs!$B$30,MAX(0,(Inputs!$B$3-100)*3)+Inputs!$B$29+Inputs!$B$30)))</f>
        <v/>
      </c>
      <c r="E1653">
        <f>INDEX(FactorTable!$B$2:$Y$301, MATCH(ROUND(MIN(300,MAX(1,D1653)),0), FactorTable!$A$2:$A$301,0), Skills!L6+1)</f>
        <v/>
      </c>
      <c r="F1653">
        <f>IF(Skills!M6=TRUE,(Skills!K6/10)*(E1653/1000),Skills!K6/10)+Skills!N6</f>
        <v/>
      </c>
      <c r="G1653">
        <f>Calc!G6</f>
        <v/>
      </c>
      <c r="H1653">
        <f>Calc!H6</f>
        <v/>
      </c>
      <c r="I1653">
        <f>IF(Skills!T6&lt;&gt;"",1+(Skills!T6/10)*($Z$3/1000)/100,1)</f>
        <v/>
      </c>
      <c r="J1653">
        <f>((Inputs!$B$6*(1+Inputs!$B$7/100))+(((Inputs!$B$13*(1+Inputs!$B$14/100))-(Inputs!$B$13*(1+Inputs!$B$14/100)))+0.25*(Inputs!$B$15-Inputs!$B$15))*(1+Inputs!$B$7/100))*(F1653/100)</f>
        <v/>
      </c>
      <c r="K1653">
        <f>J1653*(1+(((Inputs!$B$13+IF(Inputs!$B$3&gt;=35,(10*INDEX(FactorTable!$B$2:$Y$301,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6="TRIUMPH_FEATHER",IF(C1663=TRUE,F1663,0),0)/100)*(1+IF(C1674=TRUE,F1674,0)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1653)</f>
        <v/>
      </c>
      <c r="L1653">
        <f>K1653*(MIN(Inputs!$B$23+(F1669-Calc!F22),(Inputs!$B$24+IF(ArtifactsInput!$M$15,CHOOSE(ArtifactsInput!$N$15+1,25,30,35,40,45,50)/100*(Inputs!$B$12-Inputs!$B$12),0)))/100+(Inputs!$B$24+IF(ArtifactsInput!$M$15,CHOOSE(ArtifactsInput!$N$15+1,25,30,35,40,45,50)/100*(Inputs!$B$12-Inputs!$B$12),0))/100)/2</f>
        <v/>
      </c>
      <c r="M1653">
        <f>L1653*(1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3">
        <f>L1653*(1-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(1-Summary!$B$11)*S1653+Summary!$B$11*U1653</f>
        <v/>
      </c>
      <c r="P1653">
        <f>IF(B1690=0,0,O1653/B1690)</f>
        <v/>
      </c>
      <c r="Q1653">
        <f>IFERROR(1/(IF(Inputs!$B$39="pvp",15,MAX(0.1,Skills!D6-IF(Skills!E6=TRUE,Inputs!$B$33,0)))*(1-IF(AND(ArtifactsInput!$M$27,Inputs!$B$4="Chapter Hunt"),CHOOSE(ArtifactsInput!$N$27+1,20,24,28,32,36,40),0)/100)),0)</f>
        <v/>
      </c>
      <c r="R1653">
        <f>IF(AND(Inputs!$B$39&lt;&gt;"pvp",Inputs!$B$44&gt;0),IF(MAX(0,Inputs!$B$44-B1687)&lt;=0,0,(INT(MAX(0,Inputs!$B$44-B1687)/(IF(Inputs!$B$39="pvp",15,MAX(0.1,Skills!D6-IF(Skills!E6=TRUE,Inputs!$B$33,0)))*(1-IF(AND(ArtifactsInput!$M$27,Inputs!$B$4="Chapter Hunt"),CHOOSE(ArtifactsInput!$N$27+1,20,24,28,32,36,40),0)/100)))+1)),0)</f>
        <v/>
      </c>
      <c r="S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$21+Skills!O6+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1653*(1-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$22+Skills!P6+B1679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Skills!A7</f>
        <v/>
      </c>
      <c r="B1654">
        <f>Skills!B7</f>
        <v/>
      </c>
      <c r="C1654">
        <f>Inputs!$B$3&gt;=122</f>
        <v/>
      </c>
      <c r="D1654">
        <f>IF(Skills!C7=1,60+Inputs!$B$26+Inputs!$B$30,IF(Skills!C7=2,90+Inputs!$B$27+Inputs!$B$30,IF(Skills!C7=3,120+Inputs!$B$28+Inputs!$B$30,MAX(0,(Inputs!$B$3-100)*3)+Inputs!$B$29+Inputs!$B$30)))</f>
        <v/>
      </c>
      <c r="E1654">
        <f>INDEX(FactorTable!$B$2:$Y$301, MATCH(ROUND(MIN(300,MAX(1,D1654)),0), FactorTable!$A$2:$A$301,0), Skills!L7+1)</f>
        <v/>
      </c>
      <c r="F1654">
        <f>IF(Skills!M7=TRUE,(Skills!K7/10)*(E1654/1000),Skills!K7/10)+Skills!N7</f>
        <v/>
      </c>
      <c r="G1654">
        <f>Calc!G7</f>
        <v/>
      </c>
      <c r="H1654">
        <f>Calc!H7</f>
        <v/>
      </c>
      <c r="I1654">
        <f>IF(Skills!T7&lt;&gt;"",1+(Skills!T7/10)*($Z$3/1000)/100,1)</f>
        <v/>
      </c>
      <c r="J1654">
        <f>((Inputs!$B$6*(1+Inputs!$B$7/100))+(((Inputs!$B$13*(1+Inputs!$B$14/100))-(Inputs!$B$13*(1+Inputs!$B$14/100)))+0.25*(Inputs!$B$15-Inputs!$B$15))*(1+Inputs!$B$7/100))*(F1654/100)</f>
        <v/>
      </c>
      <c r="K1654">
        <f>J1654*(1+(((Inputs!$B$13+IF(Inputs!$B$3&gt;=35,(10*INDEX(FactorTable!$B$2:$Y$301,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7="TRIUMPH_FEATHER",IF(C1663=TRUE,F1663,0),0)/100)*(1+IF(C1674=TRUE,F1674,0)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1654)</f>
        <v/>
      </c>
      <c r="L1654">
        <f>K1654*(MIN(Inputs!$B$23+(F1669-Calc!F22),(Inputs!$B$24+IF(ArtifactsInput!$M$15,CHOOSE(ArtifactsInput!$N$15+1,25,30,35,40,45,50)/100*(Inputs!$B$12-Inputs!$B$12),0)))/100+(Inputs!$B$24+IF(ArtifactsInput!$M$15,CHOOSE(ArtifactsInput!$N$15+1,25,30,35,40,45,50)/100*(Inputs!$B$12-Inputs!$B$12),0))/100)/2</f>
        <v/>
      </c>
      <c r="M1654">
        <f>L1654*(1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4">
        <f>L1654*(1-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(1-Summary!$B$11)*S1654+Summary!$B$11*U1654</f>
        <v/>
      </c>
      <c r="P1654">
        <f>IF(B1690=0,0,O1654/B1690)</f>
        <v/>
      </c>
      <c r="Q1654">
        <f>IFERROR(1/(IF(Inputs!$B$39="pvp",15,MAX(0.1,Skills!D7-IF(Skills!E6=TRUE,Inputs!$B$33,0)))*(1-IF(AND(ArtifactsInput!$M$27,Inputs!$B$4="Chapter Hunt"),CHOOSE(ArtifactsInput!$N$27+1,20,24,28,32,36,40),0)/100)),0)</f>
        <v/>
      </c>
      <c r="R1654">
        <f>IF(AND(Inputs!$B$39&lt;&gt;"pvp",Inputs!$B$44&gt;0),IF(MAX(0,Inputs!$B$44-B1687)&lt;=0,0,(INT(MAX(0,Inputs!$B$44-B1687)/(IF(Inputs!$B$39="pvp",15,MAX(0.1,Skills!D7-IF(Skills!E6=TRUE,Inputs!$B$33,0)))*(1-IF(AND(ArtifactsInput!$M$27,Inputs!$B$4="Chapter Hunt"),CHOOSE(ArtifactsInput!$N$27+1,20,24,28,32,36,40),0)/100)))+1)),0)</f>
        <v/>
      </c>
      <c r="S1654">
        <f>IF(C1654,H1654*N1654*IF(AND(Inputs!$B$39&lt;&gt;"pvp",Inputs!$B$44&gt;0),((Skills!F7*((R1654-1)*IF(Skills!G7&gt;0,Skills!H7/Skills!G7,1)+IF(Skills!G7&gt;0,MIN(Skills!H7,MAX(0,MAX(0,Inputs!$B$44-B1687)-((R1654-1)*(IF(Inputs!$B$39="pvp",15,MAX(0.1,Skills!D7-IF(Skills!E6=TRUE,Inputs!$B$33,0)))*(1-IF(AND(ArtifactsInput!$M$27,Inputs!$B$4="Chapter Hunt"),CHOOSE(ArtifactsInput!$N$27+1,20,24,28,32,36,40),0)/100)))))/Skills!G7,1)))/Inputs!$B$44),G1654*Q1654)*IF(Inputs!$B$39="pvp",1,1+(Inputs!$B$21+Skills!O7+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1654*(1-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4" t="n">
        <v>0</v>
      </c>
    </row>
    <row r="1655">
      <c r="A1655">
        <f>Skills!A8</f>
        <v/>
      </c>
      <c r="B1655">
        <f>Skills!B8</f>
        <v/>
      </c>
      <c r="C1655">
        <f>Inputs!$B$3&gt;=105</f>
        <v/>
      </c>
      <c r="D1655">
        <f>IF(Skills!C8=1,60+Inputs!$B$26+Inputs!$B$30,IF(Skills!C8=2,90+Inputs!$B$27+Inputs!$B$30,IF(Skills!C8=3,120+Inputs!$B$28+Inputs!$B$30,MAX(0,(Inputs!$B$3-100)*3)+Inputs!$B$29+Inputs!$B$30)))</f>
        <v/>
      </c>
      <c r="E1655">
        <f>INDEX(FactorTable!$B$2:$Y$301, MATCH(ROUND(MIN(300,MAX(1,D1655)),0), FactorTable!$A$2:$A$301,0), Skills!L8+1)</f>
        <v/>
      </c>
      <c r="F1655">
        <f>IF(Skills!M8=TRUE,(Skills!K8/10)*(E1655/1000),Skills!K8/10)+Skills!N8</f>
        <v/>
      </c>
      <c r="G1655">
        <f>Calc!G8</f>
        <v/>
      </c>
      <c r="H1655">
        <f>Calc!H8</f>
        <v/>
      </c>
      <c r="I1655">
        <f>IF(Skills!T8&lt;&gt;"",1+(Skills!T8/10)*($Z$3/1000)/100,1)</f>
        <v/>
      </c>
      <c r="J1655">
        <f>((Inputs!$B$6*(1+Inputs!$B$7/100))+(((Inputs!$B$13*(1+Inputs!$B$14/100))-(Inputs!$B$13*(1+Inputs!$B$14/100)))+0.25*(Inputs!$B$15-Inputs!$B$15))*(1+Inputs!$B$7/100))*(F1655/100)</f>
        <v/>
      </c>
      <c r="K1655">
        <f>J1655*(1+(((Inputs!$B$13+IF(Inputs!$B$3&gt;=35,(10*INDEX(FactorTable!$B$2:$Y$301,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8="TRIUMPH_FEATHER",IF(C1663=TRUE,F1663,0),0)/100)*(1+IF(C1674=TRUE,F1674,0)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1655)</f>
        <v/>
      </c>
      <c r="L1655">
        <f>K1655*(MIN(Inputs!$B$23+(F1669-Calc!F22),(Inputs!$B$24+IF(ArtifactsInput!$M$15,CHOOSE(ArtifactsInput!$N$15+1,25,30,35,40,45,50)/100*(Inputs!$B$12-Inputs!$B$12),0)))/100+(Inputs!$B$24+IF(ArtifactsInput!$M$15,CHOOSE(ArtifactsInput!$N$15+1,25,30,35,40,45,50)/100*(Inputs!$B$12-Inputs!$B$12),0))/100)/2</f>
        <v/>
      </c>
      <c r="M1655">
        <f>L1655*(1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5">
        <f>L1655*(1-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1655*(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5">
        <f>(1-Summary!$B$11)*S1655+Summary!$B$11*U1655</f>
        <v/>
      </c>
      <c r="P1655">
        <f>IF(B1690=0,0,O1655/B1690)</f>
        <v/>
      </c>
      <c r="Q1655">
        <f>IFERROR(1/(IF(Inputs!$B$39="pvp",15,MAX(0.1,Skills!D8-IF(Skills!E8=TRUE,Inputs!$B$33,0)))*(1-IF(AND(ArtifactsInput!$M$27,Inputs!$B$4="Chapter Hunt"),CHOOSE(ArtifactsInput!$N$27+1,20,24,28,32,36,40),0)/100)),0)</f>
        <v/>
      </c>
      <c r="R1655">
        <f>IF(AND(Inputs!$B$39&lt;&gt;"pvp",Inputs!$B$44&gt;0),IF(MAX(0,Inputs!$B$44-B1687)&lt;=0,0,(INT(MAX(0,Inputs!$B$44-B1687)/(IF(Inputs!$B$39="pvp",15,MAX(0.1,Skills!D8-IF(Skills!E8=TRUE,Inputs!$B$33,0)))*(1-IF(AND(ArtifactsInput!$M$27,Inputs!$B$4="Chapter Hunt"),CHOOSE(ArtifactsInput!$N$27+1,20,24,28,32,36,40),0)/100)))+1)),0)</f>
        <v/>
      </c>
      <c r="S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$21+Skills!O8+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1655*(1-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1655*(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1655*(1-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1655*(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$22+Skills!P8+B1679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6">
      <c r="A1656">
        <f>Skills!A9</f>
        <v/>
      </c>
      <c r="B1656">
        <f>Skills!B9</f>
        <v/>
      </c>
      <c r="C1656">
        <f>Inputs!$B$3&gt;=115</f>
        <v/>
      </c>
      <c r="D1656">
        <f>IF(Skills!C9=1,60+Inputs!$B$26+Inputs!$B$30,IF(Skills!C9=2,90+Inputs!$B$27+Inputs!$B$30,IF(Skills!C9=3,120+Inputs!$B$28+Inputs!$B$30,MAX(0,(Inputs!$B$3-100)*3)+Inputs!$B$29+Inputs!$B$30)))</f>
        <v/>
      </c>
      <c r="E1656">
        <f>INDEX(FactorTable!$B$2:$Y$301, MATCH(ROUND(MIN(300,MAX(1,D1656)),0), FactorTable!$A$2:$A$301,0), Skills!L9+1)</f>
        <v/>
      </c>
      <c r="F1656">
        <f>IF(Skills!M9=TRUE,(Skills!K9/10)*(E1656/1000),Skills!K9/10)+Skills!N9</f>
        <v/>
      </c>
      <c r="G1656">
        <f>Calc!G9</f>
        <v/>
      </c>
      <c r="H1656">
        <f>Calc!H9</f>
        <v/>
      </c>
      <c r="I1656">
        <f>IF(Skills!T9&lt;&gt;"",1+(Skills!T9/10)*($Z$3/1000)/100,1)</f>
        <v/>
      </c>
      <c r="J1656">
        <f>((Inputs!$B$6*(1+Inputs!$B$7/100))+(((Inputs!$B$13*(1+Inputs!$B$14/100))-(Inputs!$B$13*(1+Inputs!$B$14/100)))+0.25*(Inputs!$B$15-Inputs!$B$15))*(1+Inputs!$B$7/100))*(F1656/100)</f>
        <v/>
      </c>
      <c r="K1656">
        <f>J1656*(1+(((Inputs!$B$13+IF(Inputs!$B$3&gt;=35,(10*INDEX(FactorTable!$B$2:$Y$301,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9="TRIUMPH_FEATHER",IF(C1663=TRUE,F1663,0),0)/100)*(1+IF(C1674=TRUE,F1674,0)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1656)</f>
        <v/>
      </c>
      <c r="L1656">
        <f>K1656*(MIN(Inputs!$B$23+(F1669-Calc!F22),(Inputs!$B$24+IF(ArtifactsInput!$M$15,CHOOSE(ArtifactsInput!$N$15+1,25,30,35,40,45,50)/100*(Inputs!$B$12-Inputs!$B$12),0)))/100+(Inputs!$B$24+IF(ArtifactsInput!$M$15,CHOOSE(ArtifactsInput!$N$15+1,25,30,35,40,45,50)/100*(Inputs!$B$12-Inputs!$B$12),0))/100)/2</f>
        <v/>
      </c>
      <c r="M1656">
        <f>L1656*(1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6">
        <f>L1656*(1-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1656*(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6">
        <f>(1-Summary!$B$11)*S1656+Summary!$B$11*U1656</f>
        <v/>
      </c>
      <c r="P1656">
        <f>IF(B1690=0,0,O1656/B1690)</f>
        <v/>
      </c>
      <c r="Q1656">
        <f>IFERROR(1/(IF(Inputs!$B$39="pvp",15,MAX(0.1,Skills!D9-IF(Skills!E9=TRUE,Inputs!$B$33,0)))*(1-IF(AND(ArtifactsInput!$M$27,Inputs!$B$4="Chapter Hunt"),CHOOSE(ArtifactsInput!$N$27+1,20,24,28,32,36,40),0)/100)),0)</f>
        <v/>
      </c>
      <c r="R1656">
        <f>IF(AND(Inputs!$B$39&lt;&gt;"pvp",Inputs!$B$44&gt;0),IF(MAX(0,Inputs!$B$44-B1687)&lt;=0,0,(INT(MAX(0,Inputs!$B$44-B1687)/(IF(Inputs!$B$39="pvp",15,MAX(0.1,Skills!D9-IF(Skills!E9=TRUE,Inputs!$B$33,0)))*(1-IF(AND(ArtifactsInput!$M$27,Inputs!$B$4="Chapter Hunt"),CHOOSE(ArtifactsInput!$N$27+1,20,24,28,32,36,40),0)/100)))+1)),0)</f>
        <v/>
      </c>
      <c r="S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$21+Skills!O9+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1656*(1-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1656*(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1656*(1-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1656*(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$22+Skills!P9+B1679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7">
      <c r="A1657">
        <f>Skills!A10</f>
        <v/>
      </c>
      <c r="B1657">
        <f>Skills!B10</f>
        <v/>
      </c>
      <c r="C1657">
        <f>Inputs!$B$3&gt;=66</f>
        <v/>
      </c>
      <c r="D1657">
        <f>IF(Skills!C10=1,60+Inputs!$B$26+Inputs!$B$30,IF(Skills!C10=2,90+Inputs!$B$27+Inputs!$B$30,IF(Skills!C10=3,120+Inputs!$B$28+Inputs!$B$30,MAX(0,(Inputs!$B$3-100)*3)+Inputs!$B$29+Inputs!$B$30)))</f>
        <v/>
      </c>
      <c r="E1657">
        <f>INDEX(FactorTable!$B$2:$Y$301, MATCH(ROUND(MIN(300,MAX(1,D1657)),0), FactorTable!$A$2:$A$301,0), Skills!L10+1)</f>
        <v/>
      </c>
      <c r="F1657" t="n">
        <v>0</v>
      </c>
      <c r="G1657">
        <f>Calc!G10</f>
        <v/>
      </c>
      <c r="H1657">
        <f>Calc!H10</f>
        <v/>
      </c>
      <c r="I1657">
        <f>IF(Skills!T10&lt;&gt;"",1+(Skills!T10/10)*($Z$3/1000)/100,1)</f>
        <v/>
      </c>
      <c r="J1657" t="inlineStr"/>
      <c r="K1657" t="inlineStr"/>
      <c r="L1657" t="inlineStr"/>
      <c r="M1657" t="inlineStr"/>
      <c r="N1657" t="inlineStr"/>
      <c r="O1657">
        <f>(1-Summary!$B$11)*S1657+Summary!$B$11*U1657</f>
        <v/>
      </c>
      <c r="P1657">
        <f>IF(B1690=0,0,O1657/B1690)</f>
        <v/>
      </c>
      <c r="Q1657">
        <f>IFERROR(1/(IF(Inputs!$B$39="pvp",15,MAX(0.1,Skills!D10-IF(Skills!E10=TRUE,Inputs!$B$33,0)))*(1-IF(AND(ArtifactsInput!$M$27,Inputs!$B$4="Chapter Hunt"),CHOOSE(ArtifactsInput!$N$27+1,20,24,28,32,36,40),0)/100)),0)</f>
        <v/>
      </c>
      <c r="R1657">
        <f>IF(AND(Inputs!$B$39&lt;&gt;"pvp",Inputs!$B$44&gt;0),IF(MAX(0,Inputs!$B$44-B1687)&lt;=0,0,(INT(MAX(0,Inputs!$B$44-B1687)/(IF(Inputs!$B$39="pvp",15,MAX(0.1,Skills!D10-IF(Skills!E10=TRUE,Inputs!$B$33,0)))*(1-IF(AND(ArtifactsInput!$M$27,Inputs!$B$4="Chapter Hunt"),CHOOSE(ArtifactsInput!$N$27+1,20,24,28,32,36,40),0)/100)))+1)),0)</f>
        <v/>
      </c>
      <c r="S1657" t="n">
        <v>0</v>
      </c>
      <c r="U1657" t="n">
        <v>0</v>
      </c>
    </row>
    <row r="1658">
      <c r="A1658">
        <f>Skills!A11</f>
        <v/>
      </c>
      <c r="B1658">
        <f>Skills!B11</f>
        <v/>
      </c>
      <c r="C1658">
        <f>Inputs!$B$3&gt;=69</f>
        <v/>
      </c>
      <c r="D1658">
        <f>IF(Skills!C11=1,60+Inputs!$B$26+Inputs!$B$30,IF(Skills!C11=2,90+Inputs!$B$27+Inputs!$B$30,IF(Skills!C11=3,120+Inputs!$B$28+Inputs!$B$30,MAX(0,(Inputs!$B$3-100)*3)+Inputs!$B$29+Inputs!$B$30)))</f>
        <v/>
      </c>
      <c r="E1658">
        <f>INDEX(FactorTable!$B$2:$Y$301, MATCH(ROUND(MIN(300,MAX(1,D1658)),0), FactorTable!$A$2:$A$301,0), Skills!L11+1)</f>
        <v/>
      </c>
      <c r="F1658">
        <f>IF(Skills!M11=TRUE,(Skills!K11/10)*(E1658/1000),Skills!K11/10)+Skills!N11</f>
        <v/>
      </c>
      <c r="G1658">
        <f>Calc!G11</f>
        <v/>
      </c>
      <c r="H1658">
        <f>Calc!H11</f>
        <v/>
      </c>
      <c r="I1658">
        <f>IF(Skills!T11&lt;&gt;"",1+(Skills!T11/10)*($Z$3/1000)/100,1)</f>
        <v/>
      </c>
      <c r="J1658" t="inlineStr"/>
      <c r="K1658" t="inlineStr"/>
      <c r="L1658" t="inlineStr"/>
      <c r="M1658" t="inlineStr"/>
      <c r="N1658" t="inlineStr"/>
      <c r="O1658">
        <f>(1-Summary!$B$11)*S1658+Summary!$B$11*U1658</f>
        <v/>
      </c>
      <c r="P1658">
        <f>IF(B1690=0,0,O1658/B1690)</f>
        <v/>
      </c>
      <c r="Q1658">
        <f>IFERROR(1/(IF(Inputs!$B$39="pvp",15,MAX(0.1,Skills!D11-IF(Skills!E11=TRUE,Inputs!$B$33,0)))*(1-IF(AND(ArtifactsInput!$M$27,Inputs!$B$4="Chapter Hunt"),CHOOSE(ArtifactsInput!$N$27+1,20,24,28,32,36,40),0)/100)),0)</f>
        <v/>
      </c>
      <c r="R1658">
        <f>IF(AND(Inputs!$B$39&lt;&gt;"pvp",Inputs!$B$44&gt;0),IF(Inputs!$B$44&lt;=0,0,(INT(Inputs!$B$44/(IF(Inputs!$B$39="pvp",15,MAX(0.1,Skills!D11-IF(Skills!E11=TRUE,Inputs!$B$33,0)))*(1-IF(AND(ArtifactsInput!$M$27,Inputs!$B$4="Chapter Hunt"),CHOOSE(ArtifactsInput!$N$27+1,20,24,28,32,36,40),0)/100)))+1)),0)</f>
        <v/>
      </c>
      <c r="S1658" t="n">
        <v>0</v>
      </c>
      <c r="U1658" t="n">
        <v>0</v>
      </c>
    </row>
    <row r="1659">
      <c r="A1659">
        <f>Skills!A12</f>
        <v/>
      </c>
      <c r="B1659">
        <f>Skills!B12</f>
        <v/>
      </c>
      <c r="C1659">
        <f>Inputs!$B$3&gt;=72</f>
        <v/>
      </c>
      <c r="D1659">
        <f>IF(Skills!C12=1,60+Inputs!$B$26+Inputs!$B$30,IF(Skills!C12=2,90+Inputs!$B$27+Inputs!$B$30,IF(Skills!C12=3,120+Inputs!$B$28+Inputs!$B$30,MAX(0,(Inputs!$B$3-100)*3)+Inputs!$B$29+Inputs!$B$30)))</f>
        <v/>
      </c>
      <c r="E1659">
        <f>INDEX(FactorTable!$B$2:$Y$301, MATCH(ROUND(MIN(300,MAX(1,D1659)),0), FactorTable!$A$2:$A$301,0), Skills!L12+1)</f>
        <v/>
      </c>
      <c r="F1659">
        <f>IF(Skills!M12=TRUE,(Skills!K12/10)*(E1659/1000),Skills!K12/10)+Skills!N12</f>
        <v/>
      </c>
      <c r="G1659">
        <f>Calc!G12</f>
        <v/>
      </c>
      <c r="H1659">
        <f>Calc!H12</f>
        <v/>
      </c>
      <c r="I1659">
        <f>IF(Skills!T12&lt;&gt;"",1+(Skills!T12/10)*($Z$3/1000)/100,1)</f>
        <v/>
      </c>
      <c r="J1659" t="inlineStr"/>
      <c r="K1659" t="inlineStr"/>
      <c r="L1659" t="inlineStr"/>
      <c r="M1659" t="inlineStr"/>
      <c r="N1659" t="inlineStr"/>
      <c r="O1659">
        <f>(1-Summary!$B$11)*S1659+Summary!$B$11*U1659</f>
        <v/>
      </c>
      <c r="P1659">
        <f>IF(B1690=0,0,O1659/B1690)</f>
        <v/>
      </c>
      <c r="Q1659">
        <f>IFERROR(1/(IF(Inputs!$B$39="pvp",15,MAX(0.1,Skills!D12-IF(Skills!E12=TRUE,Inputs!$B$33,0)))*(1-IF(AND(ArtifactsInput!$M$27,Inputs!$B$4="Chapter Hunt"),CHOOSE(ArtifactsInput!$N$27+1,20,24,28,32,36,40),0)/100)),0)</f>
        <v/>
      </c>
      <c r="R1659">
        <f>IF(AND(Inputs!$B$39&lt;&gt;"pvp",Inputs!$B$44&gt;0),IF(MAX(0,Inputs!$B$44-B1687)&lt;=0,0,(INT(MAX(0,Inputs!$B$44-B1687)/(IF(Inputs!$B$39="pvp",15,MAX(0.1,Skills!D12-IF(Skills!E12=TRUE,Inputs!$B$33,0)))*(1-IF(AND(ArtifactsInput!$M$27,Inputs!$B$4="Chapter Hunt"),CHOOSE(ArtifactsInput!$N$27+1,20,24,28,32,36,40),0)/100)))+1)),0)</f>
        <v/>
      </c>
      <c r="S1659" t="n">
        <v>0</v>
      </c>
      <c r="U1659" t="n">
        <v>0</v>
      </c>
    </row>
    <row r="1660">
      <c r="A1660">
        <f>Skills!A13</f>
        <v/>
      </c>
      <c r="B1660">
        <f>Skills!B13</f>
        <v/>
      </c>
      <c r="C1660">
        <f>Inputs!$B$3&gt;=60</f>
        <v/>
      </c>
      <c r="D1660">
        <f>IF(Skills!C13=1,60+Inputs!$B$26+Inputs!$B$30,IF(Skills!C13=2,90+Inputs!$B$27+Inputs!$B$30,IF(Skills!C13=3,120+Inputs!$B$28+Inputs!$B$30,MAX(0,(Inputs!$B$3-100)*3)+Inputs!$B$29+Inputs!$B$30)))</f>
        <v/>
      </c>
      <c r="E1660">
        <f>INDEX(FactorTable!$B$2:$Y$301, MATCH(ROUND(MIN(300,MAX(1,D1660)),0), FactorTable!$A$2:$A$301,0), Skills!L13+1)</f>
        <v/>
      </c>
      <c r="F1660">
        <f>IF(Skills!M13=TRUE,(Skills!K13/10)*(E1660/1000),Skills!K13/10)+Skills!N13</f>
        <v/>
      </c>
      <c r="G1660">
        <f>Calc!G13</f>
        <v/>
      </c>
      <c r="H1660">
        <f>Calc!H13</f>
        <v/>
      </c>
      <c r="I1660">
        <f>IF(Skills!T13&lt;&gt;"",1+(Skills!T13/10)*($Z$3/1000)/100,1)</f>
        <v/>
      </c>
      <c r="J1660" t="inlineStr"/>
      <c r="K1660" t="inlineStr"/>
      <c r="L1660" t="inlineStr"/>
      <c r="M1660" t="inlineStr"/>
      <c r="N1660" t="inlineStr"/>
      <c r="O1660">
        <f>(1-Summary!$B$11)*S1660+Summary!$B$11*U1660</f>
        <v/>
      </c>
      <c r="P1660">
        <f>IF(B1690=0,0,O1660/B1690)</f>
        <v/>
      </c>
      <c r="Q1660">
        <f>IFERROR(1/(IF(Inputs!$B$39="pvp",15,MAX(0.1,Skills!D13-IF(Skills!E13=TRUE,Inputs!$B$33,0)))*(1-IF(AND(ArtifactsInput!$M$27,Inputs!$B$4="Chapter Hunt"),CHOOSE(ArtifactsInput!$N$27+1,20,24,28,32,36,40),0)/100)),0)</f>
        <v/>
      </c>
      <c r="R1660">
        <f>IF(AND(Inputs!$B$39&lt;&gt;"pvp",Inputs!$B$44&gt;0),IF(MAX(0,Inputs!$B$44-B1687)&lt;=0,0,(INT(MAX(0,Inputs!$B$44-B1687)/(IF(Inputs!$B$39="pvp",15,MAX(0.1,Skills!D13-IF(Skills!E13=TRUE,Inputs!$B$33,0)))*(1-IF(AND(ArtifactsInput!$M$27,Inputs!$B$4="Chapter Hunt"),CHOOSE(ArtifactsInput!$N$27+1,20,24,28,32,36,40),0)/100)))+1)),0)</f>
        <v/>
      </c>
      <c r="S1660" t="n">
        <v>0</v>
      </c>
      <c r="U1660" t="n">
        <v>0</v>
      </c>
    </row>
    <row r="1661">
      <c r="A1661">
        <f>Skills!A14</f>
        <v/>
      </c>
      <c r="B1661">
        <f>Skills!B14</f>
        <v/>
      </c>
      <c r="C1661">
        <f>Inputs!$B$3&gt;=107</f>
        <v/>
      </c>
      <c r="D1661">
        <f>IF(Skills!C14=1,60+Inputs!$B$26+Inputs!$B$30,IF(Skills!C14=2,90+Inputs!$B$27+Inputs!$B$30,IF(Skills!C14=3,120+Inputs!$B$28+Inputs!$B$30,MAX(0,(Inputs!$B$3-100)*3)+Inputs!$B$29+Inputs!$B$30)))</f>
        <v/>
      </c>
      <c r="E1661">
        <f>INDEX(FactorTable!$B$2:$Y$301, MATCH(ROUND(MIN(300,MAX(1,D1661)),0), FactorTable!$A$2:$A$301,0), Skills!L14+1)</f>
        <v/>
      </c>
      <c r="F1661">
        <f>IF(Skills!M14=TRUE,(Skills!K14/10)*(E1661/1000),Skills!K14/10)+Skills!N14</f>
        <v/>
      </c>
      <c r="G1661">
        <f>Calc!G14</f>
        <v/>
      </c>
      <c r="H1661">
        <f>Calc!H14</f>
        <v/>
      </c>
      <c r="I1661">
        <f>IF(Skills!T14&lt;&gt;"",1+(Skills!T14/10)*($Z$3/1000)/100,1)</f>
        <v/>
      </c>
      <c r="J1661" t="inlineStr"/>
      <c r="K1661" t="inlineStr"/>
      <c r="L1661" t="inlineStr"/>
      <c r="M1661" t="inlineStr"/>
      <c r="N1661" t="inlineStr"/>
      <c r="O1661">
        <f>(1-Summary!$B$11)*S1661+Summary!$B$11*U1661</f>
        <v/>
      </c>
      <c r="P1661">
        <f>IF(B1690=0,0,O1661/B1690)</f>
        <v/>
      </c>
      <c r="Q1661">
        <f>IFERROR(1/(IF(Inputs!$B$39="pvp",15,MAX(0.1,Skills!D14-IF(Skills!E14=TRUE,Inputs!$B$33,0)))*(1-IF(AND(ArtifactsInput!$M$27,Inputs!$B$4="Chapter Hunt"),CHOOSE(ArtifactsInput!$N$27+1,20,24,28,32,36,40),0)/100)),0)</f>
        <v/>
      </c>
      <c r="R1661">
        <f>IF(AND(Inputs!$B$39&lt;&gt;"pvp",Inputs!$B$44&gt;0),IF(Inputs!$B$44&lt;=0,0,(INT(Inputs!$B$44/(IF(Inputs!$B$39="pvp",15,MAX(0.1,Skills!D14-IF(Skills!E14=TRUE,Inputs!$B$33,0)))*(1-IF(AND(ArtifactsInput!$M$27,Inputs!$B$4="Chapter Hunt"),CHOOSE(ArtifactsInput!$N$27+1,20,24,28,32,36,40),0)/100)))+1)),0)</f>
        <v/>
      </c>
      <c r="S1661" t="n">
        <v>0</v>
      </c>
      <c r="U1661" t="n">
        <v>0</v>
      </c>
    </row>
    <row r="1662">
      <c r="A1662">
        <f>Skills!A15</f>
        <v/>
      </c>
      <c r="B1662">
        <f>Skills!B15</f>
        <v/>
      </c>
      <c r="C1662">
        <f>Inputs!$B$3&gt;=63</f>
        <v/>
      </c>
      <c r="D1662">
        <f>IF(Skills!C15=1,60+Inputs!$B$26+Inputs!$B$30,IF(Skills!C15=2,90+Inputs!$B$27+Inputs!$B$30,IF(Skills!C15=3,120+Inputs!$B$28+Inputs!$B$30,MAX(0,(Inputs!$B$3-100)*3)+Inputs!$B$29+Inputs!$B$30)))</f>
        <v/>
      </c>
      <c r="E1662">
        <f>INDEX(FactorTable!$B$2:$Y$301, MATCH(ROUND(MIN(300,MAX(1,D1662)),0), FactorTable!$A$2:$A$301,0), Skills!L15+1)</f>
        <v/>
      </c>
      <c r="F1662">
        <f>IF(Skills!M15=TRUE,(Skills!K15/10)*(E1662/1000),Skills!K15/10)+Skills!N15</f>
        <v/>
      </c>
      <c r="G1662">
        <f>Calc!G15</f>
        <v/>
      </c>
      <c r="H1662">
        <f>Calc!H15</f>
        <v/>
      </c>
      <c r="I1662">
        <f>IF(Skills!T15&lt;&gt;"",1+(Skills!T15/10)*($Z$3/1000)/100,1)</f>
        <v/>
      </c>
      <c r="J1662">
        <f>((Inputs!$B$6*(1+Inputs!$B$7/100))+(((Inputs!$B$13*(1+Inputs!$B$14/100))-(Inputs!$B$13*(1+Inputs!$B$14/100)))+0.25*(Inputs!$B$15-Inputs!$B$15))*(1+Inputs!$B$7/100))*(F1662/100)</f>
        <v/>
      </c>
      <c r="K1662">
        <f>J1662*(1+(((Inputs!$B$13+IF(Inputs!$B$3&gt;=35,(10*INDEX(FactorTable!$B$2:$Y$301,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15="TRIUMPH_FEATHER",IF(C1663=TRUE,F1663,0),0)/100)*(1+IF(C1674=TRUE,F1674,0)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1662)</f>
        <v/>
      </c>
      <c r="L1662">
        <f>K1662*(MIN(Inputs!$B$23+(F1669-Calc!F22),(Inputs!$B$24+IF(ArtifactsInput!$M$15,CHOOSE(ArtifactsInput!$N$15+1,25,30,35,40,45,50)/100*(Inputs!$B$12-Inputs!$B$12),0)))/100+(Inputs!$B$24+IF(ArtifactsInput!$M$15,CHOOSE(ArtifactsInput!$N$15+1,25,30,35,40,45,50)/100*(Inputs!$B$12-Inputs!$B$12),0))/100)/2</f>
        <v/>
      </c>
      <c r="M1662">
        <f>L1662*(1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2">
        <f>L1662*(1-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1662*(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2">
        <f>(1-Summary!$B$11)*S1662+Summary!$B$11*U1662</f>
        <v/>
      </c>
      <c r="P1662">
        <f>IF(B1690=0,0,O1662/B1690)</f>
        <v/>
      </c>
      <c r="Q1662">
        <f>IFERROR(1/(IF(Inputs!$B$39="pvp",15,MAX(0.1,Skills!D15-IF(Skills!E15=TRUE,Inputs!$B$33,0)))*(1-IF(AND(ArtifactsInput!$M$27,Inputs!$B$4="Chapter Hunt"),CHOOSE(ArtifactsInput!$N$27+1,20,24,28,32,36,40),0)/100)),0)</f>
        <v/>
      </c>
      <c r="R1662" t="n">
        <v>0</v>
      </c>
      <c r="S1662">
        <f>IF(C1662,(Skills!F15*N1662*((IF(Inputs!$B$3&gt;=78,25,15)/100*B1683*10)/(1+IF(Inputs!$B$3&gt;=78,25,15)/100*B1683*10))*(Skills!I15/100*B1683)/(1+Skills!G15*Skills!I15/100*B1683))*IF(Inputs!$B$39="pvp",1,1+(Inputs!$B$21+Skills!O15+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1662*(1-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1662*(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1662*(1-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1662*(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2">
        <f>IF(C1662,(Skills!F15*N1662*((IF(Inputs!$B$3&gt;=78,25,15)/100*B1683*10)/(1+IF(Inputs!$B$3&gt;=78,25,15)/100*B1683*10))*(Skills!I15/100*B1683)/(1+Skills!G15*Skills!I15/100*B1683))*IF(Inputs!$B$39="pvp",1,(1+(Inputs!$B$22+Skills!P15+B1679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3">
      <c r="A1663">
        <f>Skills!A16</f>
        <v/>
      </c>
      <c r="B1663">
        <f>Skills!B16</f>
        <v/>
      </c>
      <c r="C1663">
        <f>Inputs!$B$3&gt;=100</f>
        <v/>
      </c>
      <c r="D1663">
        <f>IF(Skills!C16=1,60+Inputs!$B$26+Inputs!$B$30,IF(Skills!C16=2,90+Inputs!$B$27+Inputs!$B$30,IF(Skills!C16=3,120+Inputs!$B$28+Inputs!$B$30,MAX(0,(Inputs!$B$3-100)*3)+Inputs!$B$29+Inputs!$B$30)))</f>
        <v/>
      </c>
      <c r="E1663">
        <f>INDEX(FactorTable!$B$2:$Y$301, MATCH(ROUND(MIN(300,MAX(1,D1663)),0), FactorTable!$A$2:$A$301,0), Skills!L16+1)</f>
        <v/>
      </c>
      <c r="F1663">
        <f>IF(Skills!M16=TRUE,(Skills!K16/10)*(E1663/1000),Skills!K16/10)+Skills!N16</f>
        <v/>
      </c>
      <c r="G1663">
        <f>Calc!G16</f>
        <v/>
      </c>
      <c r="H1663">
        <f>Calc!H16</f>
        <v/>
      </c>
      <c r="I1663">
        <f>IF(Skills!T16&lt;&gt;"",1+(Skills!T16/10)*($Z$3/1000)/100,1)</f>
        <v/>
      </c>
      <c r="J1663" t="inlineStr"/>
      <c r="K1663" t="inlineStr"/>
      <c r="L1663" t="inlineStr"/>
      <c r="M1663" t="inlineStr"/>
      <c r="N1663" t="inlineStr"/>
      <c r="O1663">
        <f>(1-Summary!$B$11)*S1663+Summary!$B$11*U1663</f>
        <v/>
      </c>
      <c r="P1663">
        <f>IF(B1690=0,0,O1663/B1690)</f>
        <v/>
      </c>
      <c r="Q1663">
        <f>IFERROR(1/(IF(Inputs!$B$39="pvp",15,MAX(0.1,Skills!D16-IF(Skills!E16=TRUE,Inputs!$B$33,0)))*(1-IF(AND(ArtifactsInput!$M$27,Inputs!$B$4="Chapter Hunt"),CHOOSE(ArtifactsInput!$N$27+1,20,24,28,32,36,40),0)/100)),0)</f>
        <v/>
      </c>
      <c r="R1663" t="n">
        <v>0</v>
      </c>
      <c r="S1663" t="n">
        <v>0</v>
      </c>
      <c r="U1663" t="n">
        <v>0</v>
      </c>
    </row>
    <row r="1664">
      <c r="A1664">
        <f>Skills!A17</f>
        <v/>
      </c>
      <c r="B1664">
        <f>Skills!B17</f>
        <v/>
      </c>
      <c r="C1664">
        <f>Inputs!$B$3&gt;=49</f>
        <v/>
      </c>
      <c r="D1664">
        <f>IF(Skills!C17=1,60+Inputs!$B$26+Inputs!$B$30,IF(Skills!C17=2,90+Inputs!$B$27+Inputs!$B$30,IF(Skills!C17=3,120+Inputs!$B$28+Inputs!$B$30,MAX(0,(Inputs!$B$3-100)*3)+Inputs!$B$29+Inputs!$B$30)))</f>
        <v/>
      </c>
      <c r="E1664">
        <f>INDEX(FactorTable!$B$2:$Y$301, MATCH(ROUND(MIN(300,MAX(1,D1664)),0), FactorTable!$A$2:$A$301,0), Skills!L17+1)</f>
        <v/>
      </c>
      <c r="F1664">
        <f>IF(Skills!M17=TRUE,(Skills!K17/10)*(E1664/1000),Skills!K17/10)+Skills!N17</f>
        <v/>
      </c>
      <c r="G1664">
        <f>Calc!G17</f>
        <v/>
      </c>
      <c r="H1664">
        <f>Calc!H17</f>
        <v/>
      </c>
      <c r="I1664">
        <f>IF(Skills!T17&lt;&gt;"",1+(Skills!T17/10)*($Z$3/1000)/100,1)</f>
        <v/>
      </c>
      <c r="J1664" t="inlineStr"/>
      <c r="K1664" t="inlineStr"/>
      <c r="L1664" t="inlineStr"/>
      <c r="M1664" t="inlineStr"/>
      <c r="N1664" t="inlineStr"/>
      <c r="O1664">
        <f>(1-Summary!$B$11)*S1664+Summary!$B$11*U1664</f>
        <v/>
      </c>
      <c r="P1664">
        <f>IF(B1690=0,0,O1664/B1690)</f>
        <v/>
      </c>
      <c r="Q1664">
        <f>IFERROR(1/(IF(Inputs!$B$39="pvp",15,MAX(0.1,Skills!D17-IF(Skills!E17=TRUE,Inputs!$B$33,0)))*(1-IF(AND(ArtifactsInput!$M$27,Inputs!$B$4="Chapter Hunt"),CHOOSE(ArtifactsInput!$N$27+1,20,24,28,32,36,40),0)/100)),0)</f>
        <v/>
      </c>
      <c r="R1664" t="n">
        <v>0</v>
      </c>
      <c r="S1664" t="n">
        <v>0</v>
      </c>
      <c r="U1664" t="n">
        <v>0</v>
      </c>
    </row>
    <row r="1665">
      <c r="A1665">
        <f>Skills!A18</f>
        <v/>
      </c>
      <c r="B1665">
        <f>Skills!B18</f>
        <v/>
      </c>
      <c r="C1665">
        <f>Inputs!$B$3&gt;=75</f>
        <v/>
      </c>
      <c r="D1665">
        <f>IF(Skills!C18=1,60+Inputs!$B$26+Inputs!$B$30,IF(Skills!C18=2,90+Inputs!$B$27+Inputs!$B$30,IF(Skills!C18=3,120+Inputs!$B$28+Inputs!$B$30,MAX(0,(Inputs!$B$3-100)*3)+Inputs!$B$29+Inputs!$B$30)))</f>
        <v/>
      </c>
      <c r="E1665">
        <f>INDEX(FactorTable!$B$2:$Y$301, MATCH(ROUND(MIN(300,MAX(1,D1665)),0), FactorTable!$A$2:$A$301,0), Skills!L18+1)</f>
        <v/>
      </c>
      <c r="F1665">
        <f>IF(Skills!M18=TRUE,(Skills!K18/10)*(E1665/1000),Skills!K18/10)+Skills!N18</f>
        <v/>
      </c>
      <c r="G1665">
        <f>Calc!G18</f>
        <v/>
      </c>
      <c r="H1665">
        <f>Calc!H18</f>
        <v/>
      </c>
      <c r="I1665">
        <f>IF(Skills!T18&lt;&gt;"",1+(Skills!T18/10)*($Z$3/1000)/100,1)</f>
        <v/>
      </c>
      <c r="J1665" t="inlineStr"/>
      <c r="K1665" t="inlineStr"/>
      <c r="L1665" t="inlineStr"/>
      <c r="M1665" t="inlineStr"/>
      <c r="N1665" t="inlineStr"/>
      <c r="O1665">
        <f>(1-Summary!$B$11)*S1665+Summary!$B$11*U1665</f>
        <v/>
      </c>
      <c r="P1665">
        <f>IF(B1690=0,0,O1665/B1690)</f>
        <v/>
      </c>
      <c r="Q1665">
        <f>IFERROR(1/(IF(Inputs!$B$39="pvp",15,MAX(0.1,Skills!D18-IF(Skills!E18=TRUE,Inputs!$B$33,0)))*(1-IF(AND(ArtifactsInput!$M$27,Inputs!$B$4="Chapter Hunt"),CHOOSE(ArtifactsInput!$N$27+1,20,24,28,32,36,40),0)/100)),0)</f>
        <v/>
      </c>
      <c r="R1665" t="n">
        <v>0</v>
      </c>
      <c r="S1665" t="n">
        <v>0</v>
      </c>
      <c r="U1665" t="n">
        <v>0</v>
      </c>
    </row>
    <row r="1666">
      <c r="A1666">
        <f>Skills!A19</f>
        <v/>
      </c>
      <c r="B1666">
        <f>Skills!B19</f>
        <v/>
      </c>
      <c r="C1666">
        <f>Inputs!$B$3&gt;=110</f>
        <v/>
      </c>
      <c r="D1666">
        <f>IF(Skills!C19=1,60+Inputs!$B$26+Inputs!$B$30,IF(Skills!C19=2,90+Inputs!$B$27+Inputs!$B$30,IF(Skills!C19=3,120+Inputs!$B$28+Inputs!$B$30,MAX(0,(Inputs!$B$3-100)*3)+Inputs!$B$29+Inputs!$B$30)))</f>
        <v/>
      </c>
      <c r="E1666">
        <f>INDEX(FactorTable!$B$2:$Y$301, MATCH(ROUND(MIN(300,MAX(1,D1666)),0), FactorTable!$A$2:$A$301,0), Skills!L19+1)</f>
        <v/>
      </c>
      <c r="F1666">
        <f>(Skills!K19/10)*(E1666/1000)*64/45+Skills!N19</f>
        <v/>
      </c>
      <c r="G1666">
        <f>Calc!G19</f>
        <v/>
      </c>
      <c r="H1666">
        <f>Calc!H19</f>
        <v/>
      </c>
      <c r="I1666">
        <f>IF(Skills!T19&lt;&gt;"",1+(Skills!T19/10)*($Z$3/1000)/100,1)</f>
        <v/>
      </c>
      <c r="J1666" t="inlineStr"/>
      <c r="K1666" t="inlineStr"/>
      <c r="L1666" t="inlineStr"/>
      <c r="M1666" t="inlineStr"/>
      <c r="N1666" t="inlineStr"/>
      <c r="O1666">
        <f>(1-Summary!$B$11)*S1666+Summary!$B$11*U1666</f>
        <v/>
      </c>
      <c r="P1666">
        <f>IF(B1690=0,0,O1666/B1690)</f>
        <v/>
      </c>
      <c r="Q1666">
        <f>IFERROR(1/(IF(Inputs!$B$39="pvp",15,MAX(0.1,Skills!D19-IF(Skills!E19=TRUE,Inputs!$B$33,0)))*(1-IF(AND(ArtifactsInput!$M$27,Inputs!$B$4="Chapter Hunt"),CHOOSE(ArtifactsInput!$N$27+1,20,24,28,32,36,40),0)/100)),0)</f>
        <v/>
      </c>
      <c r="R1666">
        <f>IF(AND(Inputs!$B$39&lt;&gt;"pvp",Inputs!$B$44&gt;0),IF(Inputs!$B$44&lt;=0,0,(INT(Inputs!$B$44/(IF(Inputs!$B$39="pvp",15,MAX(0.1,Skills!D19-IF(Skills!E19=TRUE,Inputs!$B$33,0)))*(1-IF(AND(ArtifactsInput!$M$27,Inputs!$B$4="Chapter Hunt"),CHOOSE(ArtifactsInput!$N$27+1,20,24,28,32,36,40),0)/100)))+1)),0)</f>
        <v/>
      </c>
      <c r="S1666" t="n">
        <v>0</v>
      </c>
      <c r="U1666" t="n">
        <v>0</v>
      </c>
    </row>
    <row r="1667">
      <c r="A1667">
        <f>Skills!A20</f>
        <v/>
      </c>
      <c r="B1667">
        <f>Skills!B20</f>
        <v/>
      </c>
      <c r="C1667">
        <f>Inputs!$B$3&gt;=125</f>
        <v/>
      </c>
      <c r="D1667">
        <f>IF(Skills!C20=1,60+Inputs!$B$26+Inputs!$B$30,IF(Skills!C20=2,90+Inputs!$B$27+Inputs!$B$30,IF(Skills!C20=3,120+Inputs!$B$28+Inputs!$B$30,MAX(0,(Inputs!$B$3-100)*3)+Inputs!$B$29+Inputs!$B$30)))</f>
        <v/>
      </c>
      <c r="E1667">
        <f>INDEX(FactorTable!$B$2:$Y$301, MATCH(ROUND(MIN(300,MAX(1,D1667)),0), FactorTable!$A$2:$A$301,0), Skills!L20+1)</f>
        <v/>
      </c>
      <c r="F1667">
        <f>IF(Skills!M20=TRUE,(Skills!K20/10)*(E1667/1000),Skills!K20/10)+Skills!N20</f>
        <v/>
      </c>
      <c r="G1667">
        <f>Calc!G20</f>
        <v/>
      </c>
      <c r="H1667">
        <f>Calc!H20</f>
        <v/>
      </c>
      <c r="I1667">
        <f>IF(Skills!T20&lt;&gt;"",1+(Skills!T20/10)*($Z$3/1000)/100,1)</f>
        <v/>
      </c>
      <c r="J1667" t="inlineStr"/>
      <c r="K1667" t="inlineStr"/>
      <c r="L1667" t="inlineStr"/>
      <c r="M1667" t="inlineStr"/>
      <c r="N1667" t="inlineStr"/>
      <c r="O1667">
        <f>(1-Summary!$B$11)*S1667+Summary!$B$11*U1667</f>
        <v/>
      </c>
      <c r="P1667">
        <f>IF(B1690=0,0,O1667/B1690)</f>
        <v/>
      </c>
      <c r="Q1667">
        <f>IFERROR(1/(IF(Inputs!$B$39="pvp",15,MAX(0.1,Skills!D20-IF(Skills!E20=TRUE,Inputs!$B$33,0)))*(1-IF(AND(ArtifactsInput!$M$27,Inputs!$B$4="Chapter Hunt"),CHOOSE(ArtifactsInput!$N$27+1,20,24,28,32,36,40),0)/100)),0)</f>
        <v/>
      </c>
      <c r="R1667" t="n">
        <v>0</v>
      </c>
      <c r="S1667" t="n">
        <v>0</v>
      </c>
      <c r="U1667" t="n">
        <v>0</v>
      </c>
    </row>
    <row r="1668">
      <c r="A1668">
        <f>Skills!A21</f>
        <v/>
      </c>
      <c r="B1668">
        <f>Skills!B21</f>
        <v/>
      </c>
      <c r="C1668">
        <f>Inputs!$B$3&gt;=33</f>
        <v/>
      </c>
      <c r="D1668">
        <f>IF(Skills!C21=1,60+Inputs!$B$26+Inputs!$B$30,IF(Skills!C21=2,90+Inputs!$B$27+Inputs!$B$30,IF(Skills!C21=3,120+Inputs!$B$28+Inputs!$B$30,MAX(0,(Inputs!$B$3-100)*3)+Inputs!$B$29+Inputs!$B$30)))</f>
        <v/>
      </c>
      <c r="E1668">
        <f>INDEX(FactorTable!$B$2:$Y$301, MATCH(ROUND(MIN(300,MAX(1,D1668)),0), FactorTable!$A$2:$A$301,0), Skills!L21+1)</f>
        <v/>
      </c>
      <c r="F1668">
        <f>IF(Skills!M21=TRUE,(Skills!K21/10)*(E1668/1000),Skills!K21/10)+Skills!N21</f>
        <v/>
      </c>
      <c r="G1668">
        <f>Calc!G21</f>
        <v/>
      </c>
      <c r="H1668">
        <f>Calc!H21</f>
        <v/>
      </c>
      <c r="I1668">
        <f>IF(Skills!T21&lt;&gt;"",1+(Skills!T21/10)*($Z$3/1000)/100,1)</f>
        <v/>
      </c>
      <c r="J1668" t="inlineStr"/>
      <c r="K1668" t="inlineStr"/>
      <c r="L1668" t="inlineStr"/>
      <c r="M1668" t="inlineStr"/>
      <c r="N1668" t="inlineStr"/>
      <c r="O1668">
        <f>(1-Summary!$B$11)*S1668+Summary!$B$11*U1668</f>
        <v/>
      </c>
      <c r="P1668">
        <f>IF(B1690=0,0,O1668/B1690)</f>
        <v/>
      </c>
      <c r="Q1668">
        <f>IFERROR(1/(IF(Inputs!$B$39="pvp",15,MAX(0.1,Skills!D21-IF(Skills!E21=TRUE,Inputs!$B$33,0)))*(1-IF(AND(ArtifactsInput!$M$27,Inputs!$B$4="Chapter Hunt"),CHOOSE(ArtifactsInput!$N$27+1,20,24,28,32,36,40),0)/100)),0)</f>
        <v/>
      </c>
      <c r="R1668" t="n">
        <v>0</v>
      </c>
      <c r="S1668" t="n">
        <v>0</v>
      </c>
      <c r="U1668" t="n">
        <v>0</v>
      </c>
    </row>
    <row r="1669">
      <c r="A1669">
        <f>Skills!A22</f>
        <v/>
      </c>
      <c r="B1669">
        <f>Skills!B22</f>
        <v/>
      </c>
      <c r="C1669">
        <f>Inputs!$B$3&gt;=43</f>
        <v/>
      </c>
      <c r="D1669">
        <f>IF(Skills!C22=1,60+Inputs!$B$26+Inputs!$B$30,IF(Skills!C22=2,90+Inputs!$B$27+Inputs!$B$30,IF(Skills!C22=3,120+Inputs!$B$28+Inputs!$B$30,MAX(0,(Inputs!$B$3-100)*3)+Inputs!$B$29+Inputs!$B$30)))</f>
        <v/>
      </c>
      <c r="E1669">
        <f>INDEX(FactorTable!$B$2:$Y$301, MATCH(ROUND(MIN(300,MAX(1,D1669)),0), FactorTable!$A$2:$A$301,0), Skills!L22+1)</f>
        <v/>
      </c>
      <c r="F1669">
        <f>IF(Skills!M22=TRUE,(Skills!K22/10)*(E1669/1000),Skills!K22/10)+Skills!N22</f>
        <v/>
      </c>
      <c r="G1669">
        <f>Calc!G22</f>
        <v/>
      </c>
      <c r="H1669">
        <f>Calc!H22</f>
        <v/>
      </c>
      <c r="I1669">
        <f>IF(Skills!T22&lt;&gt;"",1+(Skills!T22/10)*($Z$3/1000)/100,1)</f>
        <v/>
      </c>
      <c r="J1669" t="inlineStr"/>
      <c r="K1669" t="inlineStr"/>
      <c r="L1669" t="inlineStr"/>
      <c r="M1669" t="inlineStr"/>
      <c r="N1669" t="inlineStr"/>
      <c r="O1669">
        <f>(1-Summary!$B$11)*S1669+Summary!$B$11*U1669</f>
        <v/>
      </c>
      <c r="P1669">
        <f>IF(B1690=0,0,O1669/B1690)</f>
        <v/>
      </c>
      <c r="Q1669">
        <f>IFERROR(1/(IF(Inputs!$B$39="pvp",15,MAX(0.1,Skills!D22-IF(Skills!E22=TRUE,Inputs!$B$33,0)))*(1-IF(AND(ArtifactsInput!$M$27,Inputs!$B$4="Chapter Hunt"),CHOOSE(ArtifactsInput!$N$27+1,20,24,28,32,36,40),0)/100)),0)</f>
        <v/>
      </c>
      <c r="R1669" t="n">
        <v>0</v>
      </c>
      <c r="S1669" t="n">
        <v>0</v>
      </c>
      <c r="U1669" t="n">
        <v>0</v>
      </c>
    </row>
    <row r="1670">
      <c r="A1670">
        <f>Skills!A23</f>
        <v/>
      </c>
      <c r="B1670">
        <f>Skills!B23</f>
        <v/>
      </c>
      <c r="C1670">
        <f>Inputs!$B$3&gt;=50</f>
        <v/>
      </c>
      <c r="D1670">
        <f>IF(Skills!C23=1,60+Inputs!$B$26+Inputs!$B$30,IF(Skills!C23=2,90+Inputs!$B$27+Inputs!$B$30,IF(Skills!C23=3,120+Inputs!$B$28+Inputs!$B$30,MAX(0,(Inputs!$B$3-100)*3)+Inputs!$B$29+Inputs!$B$30)))</f>
        <v/>
      </c>
      <c r="E1670">
        <f>INDEX(FactorTable!$B$2:$Y$301, MATCH(ROUND(MIN(300,MAX(1,D1670)),0), FactorTable!$A$2:$A$301,0), Skills!L23+1)</f>
        <v/>
      </c>
      <c r="F1670">
        <f>IF(Skills!M23=TRUE,(Skills!K23/10)*(E1670/1000),Skills!K23/10)+Skills!N23</f>
        <v/>
      </c>
      <c r="G1670">
        <f>Calc!G23</f>
        <v/>
      </c>
      <c r="H1670">
        <f>Calc!H23</f>
        <v/>
      </c>
      <c r="I1670">
        <f>IF(Skills!T23&lt;&gt;"",1+(Skills!T23/10)*($Z$3/1000)/100,1)</f>
        <v/>
      </c>
      <c r="J1670" t="inlineStr"/>
      <c r="K1670" t="inlineStr"/>
      <c r="L1670" t="inlineStr"/>
      <c r="M1670" t="inlineStr"/>
      <c r="N1670" t="inlineStr"/>
      <c r="O1670">
        <f>(1-Summary!$B$11)*S1670+Summary!$B$11*U1670</f>
        <v/>
      </c>
      <c r="P1670">
        <f>IF(B1690=0,0,O1670/B1690)</f>
        <v/>
      </c>
      <c r="Q1670">
        <f>IFERROR(1/(IF(Inputs!$B$39="pvp",15,MAX(0.1,Skills!D23-IF(Skills!E23=TRUE,Inputs!$B$33,0)))*(1-IF(AND(ArtifactsInput!$M$27,Inputs!$B$4="Chapter Hunt"),CHOOSE(ArtifactsInput!$N$27+1,20,24,28,32,36,40),0)/100)),0)</f>
        <v/>
      </c>
      <c r="R1670" t="n">
        <v>0</v>
      </c>
      <c r="S1670" t="n">
        <v>0</v>
      </c>
      <c r="U1670" t="n">
        <v>0</v>
      </c>
    </row>
    <row r="1671">
      <c r="A1671">
        <f>Skills!A24</f>
        <v/>
      </c>
      <c r="B1671">
        <f>Skills!B24</f>
        <v/>
      </c>
      <c r="C1671">
        <f>Inputs!$B$3&gt;=74</f>
        <v/>
      </c>
      <c r="D1671">
        <f>IF(Skills!C24=1,60+Inputs!$B$26+Inputs!$B$30,IF(Skills!C24=2,90+Inputs!$B$27+Inputs!$B$30,IF(Skills!C24=3,120+Inputs!$B$28+Inputs!$B$30,MAX(0,(Inputs!$B$3-100)*3)+Inputs!$B$29+Inputs!$B$30)))</f>
        <v/>
      </c>
      <c r="E1671">
        <f>INDEX(FactorTable!$B$2:$Y$301, MATCH(ROUND(MIN(300,MAX(1,D1671)),0), FactorTable!$A$2:$A$301,0), Skills!L24+1)</f>
        <v/>
      </c>
      <c r="F1671">
        <f>IF(Skills!M24=TRUE,(Skills!K24/10)*(E1671/1000),Skills!K24/10)+Skills!N24</f>
        <v/>
      </c>
      <c r="G1671">
        <f>Calc!G24</f>
        <v/>
      </c>
      <c r="H1671">
        <f>Calc!H24</f>
        <v/>
      </c>
      <c r="I1671">
        <f>IF(Skills!T24&lt;&gt;"",1+(Skills!T24/10)*($Z$3/1000)/100,1)</f>
        <v/>
      </c>
      <c r="J1671" t="inlineStr"/>
      <c r="K1671" t="inlineStr"/>
      <c r="L1671" t="inlineStr"/>
      <c r="M1671" t="inlineStr"/>
      <c r="N1671" t="inlineStr"/>
      <c r="O1671">
        <f>(1-Summary!$B$11)*S1671+Summary!$B$11*U1671</f>
        <v/>
      </c>
      <c r="P1671">
        <f>IF(B1690=0,0,O1671/B1690)</f>
        <v/>
      </c>
      <c r="Q1671">
        <f>IFERROR(1/(IF(Inputs!$B$39="pvp",15,MAX(0.1,Skills!D24-IF(Skills!E24=TRUE,Inputs!$B$33,0)))*(1-IF(AND(ArtifactsInput!$M$27,Inputs!$B$4="Chapter Hunt"),CHOOSE(ArtifactsInput!$N$27+1,20,24,28,32,36,40),0)/100)),0)</f>
        <v/>
      </c>
      <c r="R1671" t="n">
        <v>0</v>
      </c>
      <c r="S1671" t="n">
        <v>0</v>
      </c>
      <c r="U1671" t="n">
        <v>0</v>
      </c>
    </row>
    <row r="1672">
      <c r="A1672">
        <f>Skills!A25</f>
        <v/>
      </c>
      <c r="B1672">
        <f>Skills!B25</f>
        <v/>
      </c>
      <c r="C1672">
        <f>Inputs!$B$3&gt;=74</f>
        <v/>
      </c>
      <c r="D1672">
        <f>IF(Skills!C25=1,60+Inputs!$B$26+Inputs!$B$30,IF(Skills!C25=2,90+Inputs!$B$27+Inputs!$B$30,IF(Skills!C25=3,120+Inputs!$B$28+Inputs!$B$30,MAX(0,(Inputs!$B$3-100)*3)+Inputs!$B$29+Inputs!$B$30)))</f>
        <v/>
      </c>
      <c r="E1672">
        <f>INDEX(FactorTable!$B$2:$Y$301, MATCH(ROUND(MIN(300,MAX(1,D1672)),0), FactorTable!$A$2:$A$301,0), Skills!L25+1)</f>
        <v/>
      </c>
      <c r="F1672">
        <f>IF(Skills!M25=TRUE,(Skills!K25/10)*(E1672/1000),Skills!K25/10)+Skills!N25</f>
        <v/>
      </c>
      <c r="G1672">
        <f>Calc!G25</f>
        <v/>
      </c>
      <c r="H1672">
        <f>Calc!H25</f>
        <v/>
      </c>
      <c r="I1672">
        <f>IF(Skills!T25&lt;&gt;"",1+(Skills!T25/10)*($Z$3/1000)/100,1)</f>
        <v/>
      </c>
      <c r="J1672" t="inlineStr"/>
      <c r="K1672" t="inlineStr"/>
      <c r="L1672" t="inlineStr"/>
      <c r="M1672" t="inlineStr"/>
      <c r="N1672" t="inlineStr"/>
      <c r="O1672">
        <f>(1-Summary!$B$11)*S1672+Summary!$B$11*U1672</f>
        <v/>
      </c>
      <c r="P1672">
        <f>IF(B1690=0,0,O1672/B1690)</f>
        <v/>
      </c>
      <c r="Q1672">
        <f>IFERROR(1/(IF(Inputs!$B$39="pvp",15,MAX(0.1,Skills!D25-IF(Skills!E25=TRUE,Inputs!$B$33,0)))*(1-IF(AND(ArtifactsInput!$M$27,Inputs!$B$4="Chapter Hunt"),CHOOSE(ArtifactsInput!$N$27+1,20,24,28,32,36,40),0)/100)),0)</f>
        <v/>
      </c>
      <c r="R1672" t="n">
        <v>0</v>
      </c>
      <c r="S1672" t="n">
        <v>0</v>
      </c>
      <c r="U1672" t="n">
        <v>0</v>
      </c>
    </row>
    <row r="1673">
      <c r="A1673">
        <f>Skills!A26</f>
        <v/>
      </c>
      <c r="B1673">
        <f>Skills!B26</f>
        <v/>
      </c>
      <c r="C1673">
        <f>Inputs!$B$3&gt;=117</f>
        <v/>
      </c>
      <c r="D1673">
        <f>IF(Skills!C26=1,60+Inputs!$B$26+Inputs!$B$30,IF(Skills!C26=2,90+Inputs!$B$27+Inputs!$B$30,IF(Skills!C26=3,120+Inputs!$B$28+Inputs!$B$30,MAX(0,(Inputs!$B$3-100)*3)+Inputs!$B$29+Inputs!$B$30)))</f>
        <v/>
      </c>
      <c r="E1673">
        <f>INDEX(FactorTable!$B$2:$Y$301, MATCH(ROUND(MIN(300,MAX(1,D1673)),0), FactorTable!$A$2:$A$301,0), Skills!L26+1)</f>
        <v/>
      </c>
      <c r="F1673">
        <f>IF(Skills!M26=TRUE,(Skills!K26/10)*(E1673/1000),Skills!K26/10)+Skills!N26</f>
        <v/>
      </c>
      <c r="G1673">
        <f>Calc!G26</f>
        <v/>
      </c>
      <c r="H1673">
        <f>Calc!H26</f>
        <v/>
      </c>
      <c r="I1673">
        <f>IF(Skills!T26&lt;&gt;"",1+(Skills!T26/10)*($Z$3/1000)/100,1)</f>
        <v/>
      </c>
      <c r="J1673" t="inlineStr"/>
      <c r="K1673" t="inlineStr"/>
      <c r="L1673" t="inlineStr"/>
      <c r="M1673" t="inlineStr"/>
      <c r="N1673" t="inlineStr"/>
      <c r="O1673">
        <f>(1-Summary!$B$11)*S1673+Summary!$B$11*U1673</f>
        <v/>
      </c>
      <c r="P1673">
        <f>IF(B1690=0,0,O1673/B1690)</f>
        <v/>
      </c>
      <c r="Q1673">
        <f>IFERROR(1/(IF(Inputs!$B$39="pvp",15,MAX(0.1,Skills!D26-IF(Skills!E26=TRUE,Inputs!$B$33,0)))*(1-IF(AND(ArtifactsInput!$M$27,Inputs!$B$4="Chapter Hunt"),CHOOSE(ArtifactsInput!$N$27+1,20,24,28,32,36,40),0)/100)),0)</f>
        <v/>
      </c>
      <c r="R1673" t="n">
        <v>0</v>
      </c>
      <c r="S1673" t="n">
        <v>0</v>
      </c>
      <c r="U1673" t="n">
        <v>0</v>
      </c>
    </row>
    <row r="1674">
      <c r="A1674">
        <f>Skills!A27</f>
        <v/>
      </c>
      <c r="B1674">
        <f>Skills!B27</f>
        <v/>
      </c>
      <c r="C1674">
        <f>Inputs!$B$3&gt;=120</f>
        <v/>
      </c>
      <c r="D1674">
        <f>IF(Skills!C27=1,60+Inputs!$B$26+Inputs!$B$30,IF(Skills!C27=2,90+Inputs!$B$27+Inputs!$B$30,IF(Skills!C27=3,120+Inputs!$B$28+Inputs!$B$30,MAX(0,(Inputs!$B$3-100)*3)+Inputs!$B$29+Inputs!$B$30)))</f>
        <v/>
      </c>
      <c r="E1674">
        <f>INDEX(FactorTable!$B$2:$Y$301, MATCH(ROUND(MIN(300,MAX(1,D1674)),0), FactorTable!$A$2:$A$301,0), Skills!L27+1)</f>
        <v/>
      </c>
      <c r="F1674">
        <f>IF(Skills!M27=TRUE,(Skills!K27/10)*(E1674/1000),Skills!K27/10)+Skills!N27</f>
        <v/>
      </c>
      <c r="G1674">
        <f>Calc!G27</f>
        <v/>
      </c>
      <c r="H1674">
        <f>Calc!H27</f>
        <v/>
      </c>
      <c r="I1674">
        <f>IF(Skills!T27&lt;&gt;"",1+(Skills!T27/10)*($Z$3/1000)/100,1)</f>
        <v/>
      </c>
      <c r="J1674" t="inlineStr"/>
      <c r="K1674" t="inlineStr"/>
      <c r="L1674" t="inlineStr"/>
      <c r="M1674" t="inlineStr"/>
      <c r="N1674" t="inlineStr"/>
      <c r="O1674">
        <f>(1-Summary!$B$11)*S1674+Summary!$B$11*U1674</f>
        <v/>
      </c>
      <c r="P1674">
        <f>IF(B1690=0,0,O1674/B1690)</f>
        <v/>
      </c>
      <c r="Q1674">
        <f>IFERROR(1/(IF(Inputs!$B$39="pvp",15,MAX(0.1,Skills!D27-IF(Skills!E27=TRUE,Inputs!$B$33,0)))*(1-IF(AND(ArtifactsInput!$M$27,Inputs!$B$4="Chapter Hunt"),CHOOSE(ArtifactsInput!$N$27+1,20,24,28,32,36,40),0)/100)),0)</f>
        <v/>
      </c>
      <c r="R1674" t="n">
        <v>0</v>
      </c>
      <c r="S1674" t="n">
        <v>0</v>
      </c>
      <c r="U1674" t="n">
        <v>0</v>
      </c>
    </row>
    <row r="1675">
      <c r="A1675">
        <f>Skills!A28</f>
        <v/>
      </c>
      <c r="B1675">
        <f>Skills!B28</f>
        <v/>
      </c>
      <c r="C1675">
        <f>TRUE</f>
        <v/>
      </c>
      <c r="D1675">
        <f>IF(Skills!C28=1,60+Inputs!$B$26+Inputs!$B$30,IF(Skills!C28=2,90+Inputs!$B$27+Inputs!$B$30,IF(Skills!C28=3,120+Inputs!$B$28+Inputs!$B$30,MAX(0,(Inputs!$B$3-100)*3)+Inputs!$B$29+Inputs!$B$30)))</f>
        <v/>
      </c>
      <c r="E1675">
        <f>INDEX(FactorTable!$B$2:$Y$301, MATCH(ROUND(MIN(300,MAX(1,D1675)),0), FactorTable!$A$2:$A$301,0), Skills!L28+1)</f>
        <v/>
      </c>
      <c r="F1675">
        <f>IF(Skills!M28=TRUE,(Skills!K28/10)*(E1675/1000),Skills!K28/10)+Skills!N28</f>
        <v/>
      </c>
      <c r="G1675">
        <f>Calc!G28</f>
        <v/>
      </c>
      <c r="H1675">
        <f>Calc!H28</f>
        <v/>
      </c>
      <c r="I1675">
        <f>IF(Skills!T28&lt;&gt;"",1+(Skills!T28/10)*($Z$3/1000)/100,1)</f>
        <v/>
      </c>
      <c r="J1675" t="inlineStr"/>
      <c r="K1675" t="inlineStr"/>
      <c r="L1675" t="inlineStr"/>
      <c r="M1675" t="inlineStr"/>
      <c r="N1675" t="inlineStr"/>
      <c r="O1675">
        <f>(1-Summary!$B$11)*S1675+Summary!$B$11*U1675</f>
        <v/>
      </c>
      <c r="P1675">
        <f>IF(B1690=0,0,O1675/B1690)</f>
        <v/>
      </c>
      <c r="Q1675">
        <f>IFERROR(1/(IF(Inputs!$B$39="pvp",15,MAX(0.1,Skills!D28-IF(Skills!E28=TRUE,Inputs!$B$33,0)))*(1-IF(AND(ArtifactsInput!$M$27,Inputs!$B$4="Chapter Hunt"),CHOOSE(ArtifactsInput!$N$27+1,20,24,28,32,36,40),0)/100)),0)</f>
        <v/>
      </c>
      <c r="R1675">
        <f>IF(AND(Inputs!$B$39&lt;&gt;"pvp",Inputs!$B$44&gt;0),IF(Inputs!$B$44&lt;=0,0,(INT(Inputs!$B$44/(IF(Inputs!$B$39="pvp",15,MAX(0.1,Skills!D28-IF(Skills!E28=TRUE,Inputs!$B$33,0)))*(1-IF(AND(ArtifactsInput!$M$27,Inputs!$B$4="Chapter Hunt"),CHOOSE(ArtifactsInput!$N$27+1,20,24,28,32,36,40),0)/100)))+1)),0)</f>
        <v/>
      </c>
      <c r="S1675" t="n">
        <v>0</v>
      </c>
      <c r="U1675" t="n">
        <v>0</v>
      </c>
    </row>
    <row r="1677">
      <c r="A1677" t="inlineStr">
        <is>
          <t>Average Buff Multiplier</t>
        </is>
      </c>
      <c r="B1677">
        <f>(1+(IF(C1650=TRUE,F1650*IF(AND(Inputs!$B$39&lt;&gt;"pvp",Inputs!$B$44&gt;0),(((R1650-1)*(Skills!S3*(1+((Inputs!$B$35+(ArtifactsInput!$M$7-ArtifactsInput!$M$7)*CHOOSE(ArtifactsInput!$N$7+1,6,7.2,8.4,9.6,10.8,12))+IF(Inputs!$B$3&gt;=117,F1673,0))/100))+MIN((Skills!S3*(1+((Inputs!$B$35+(ArtifactsInput!$M$7-ArtifactsInput!$M$7)*CHOOSE(ArtifactsInput!$N$7+1,6,7.2,8.4,9.6,10.8,12))+IF(Inputs!$B$3&gt;=117,F1673,0))/100)),MAX(0,Inputs!$B$44-((R1650-1)*Skills!D3))))/Inputs!$B$44),IF(Inputs!$B$39="pvp",MIN((Skills!S3*(1+((Inputs!$B$35+(ArtifactsInput!$M$7-ArtifactsInput!$M$7)*CHOOSE(ArtifactsInput!$N$7+1,6,7.2,8.4,9.6,10.8,12))+IF(Inputs!$B$3&gt;=117,F1673,0))/100)),15)/15,(Skills!S3*(1+((Inputs!$B$35+(ArtifactsInput!$M$7-ArtifactsInput!$M$7)*CHOOSE(ArtifactsInput!$N$7+1,6,7.2,8.4,9.6,10.8,12))+IF(Inputs!$B$3&gt;=117,F1673,0))/100))/Skills!D3)),0)+IF(C1651=TRUE,F1651*IF(AND(Inputs!$B$39&lt;&gt;"pvp",Inputs!$B$44&gt;0),(((R1651-1)*(Skills!S4*(1+((Inputs!$B$35+(ArtifactsInput!$M$7-ArtifactsInput!$M$7)*CHOOSE(ArtifactsInput!$N$7+1,6,7.2,8.4,9.6,10.8,12))+IF(Inputs!$B$3&gt;=117,F1673,0))/100))+MIN((Skills!S4*(1+((Inputs!$B$35+(ArtifactsInput!$M$7-ArtifactsInput!$M$7)*CHOOSE(ArtifactsInput!$N$7+1,6,7.2,8.4,9.6,10.8,12))+IF(Inputs!$B$3&gt;=117,F1673,0))/100)),MAX(0,Inputs!$B$44-((R1651-1)*Skills!D4))))/Inputs!$B$44),IF(Inputs!$B$39="pvp",MIN((Skills!S4*(1+((Inputs!$B$35+(ArtifactsInput!$M$7-ArtifactsInput!$M$7)*CHOOSE(ArtifactsInput!$N$7+1,6,7.2,8.4,9.6,10.8,12))+IF(Inputs!$B$3&gt;=117,F1673,0))/100)),15)/15,(Skills!S4*(1+((Inputs!$B$35+(ArtifactsInput!$M$7-ArtifactsInput!$M$7)*CHOOSE(ArtifactsInput!$N$7+1,6,7.2,8.4,9.6,10.8,12))+IF(Inputs!$B$3&gt;=117,F1673,0))/100))/Skills!D4)),0)+IF(C1652=TRUE,F1652*IF(AND(Inputs!$B$39&lt;&gt;"pvp",Inputs!$B$44&gt;0),(((R1652-1)*(Skills!S5*(1+((Inputs!$B$35+(ArtifactsInput!$M$7-ArtifactsInput!$M$7)*CHOOSE(ArtifactsInput!$N$7+1,6,7.2,8.4,9.6,10.8,12))+IF(Inputs!$B$3&gt;=117,F1673,0))/100))+MIN((Skills!S5*(1+((Inputs!$B$35+(ArtifactsInput!$M$7-ArtifactsInput!$M$7)*CHOOSE(ArtifactsInput!$N$7+1,6,7.2,8.4,9.6,10.8,12))+IF(Inputs!$B$3&gt;=117,F1673,0))/100)),MAX(0,Inputs!$B$44-((R1652-1)*Skills!D5))))/Inputs!$B$44),IF(Inputs!$B$39="pvp",MIN((Skills!S5*(1+((Inputs!$B$35+(ArtifactsInput!$M$7-ArtifactsInput!$M$7)*CHOOSE(ArtifactsInput!$N$7+1,6,7.2,8.4,9.6,10.8,12))+IF(Inputs!$B$3&gt;=117,F1673,0))/100)),15)/15,(Skills!S5*(1+((Inputs!$B$35+(ArtifactsInput!$M$7-ArtifactsInput!$M$7)*CHOOSE(ArtifactsInput!$N$7+1,6,7.2,8.4,9.6,10.8,12))+IF(Inputs!$B$3&gt;=117,F1673,0))/100))/Skills!D5)),0)+IF(C1658=TRUE,F1658*IF(AND(Inputs!$B$39&lt;&gt;"pvp",Inputs!$B$44&gt;0),(((R1658-1)*(Skills!S11*(1+((Inputs!$B$35+(ArtifactsInput!$M$7-ArtifactsInput!$M$7)*CHOOSE(ArtifactsInput!$N$7+1,6,7.2,8.4,9.6,10.8,12))+IF(Inputs!$B$3&gt;=117,F1673,0))/100))+MIN((Skills!S11*(1+((Inputs!$B$35+(ArtifactsInput!$M$7-ArtifactsInput!$M$7)*CHOOSE(ArtifactsInput!$N$7+1,6,7.2,8.4,9.6,10.8,12))+IF(Inputs!$B$3&gt;=117,F1673,0))/100)),MAX(0,Inputs!$B$44-((R1658-1)*Skills!D11))))/Inputs!$B$44),IF(Inputs!$B$39="pvp",MIN((Skills!S11*(1+((Inputs!$B$35+(ArtifactsInput!$M$7-ArtifactsInput!$M$7)*CHOOSE(ArtifactsInput!$N$7+1,6,7.2,8.4,9.6,10.8,12))+IF(Inputs!$B$3&gt;=117,F1673,0))/100)),15)/15,(Skills!S11*(1+((Inputs!$B$35+(ArtifactsInput!$M$7-ArtifactsInput!$M$7)*CHOOSE(ArtifactsInput!$N$7+1,6,7.2,8.4,9.6,10.8,12))+IF(Inputs!$B$3&gt;=117,F1673,0)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1661=TRUE,(1+F1661*IF(AND(Inputs!$B$39&lt;&gt;"pvp",Inputs!$B$44&gt;0),(((R1661-1)*(Skills!S14*(1+((Inputs!$B$35+(ArtifactsInput!$M$7-ArtifactsInput!$M$7)*CHOOSE(ArtifactsInput!$N$7+1,6,7.2,8.4,9.6,10.8,12))+IF(Inputs!$B$3&gt;=117,F1673,0))/100))+MIN((Skills!S14*(1+((Inputs!$B$35+(ArtifactsInput!$M$7-ArtifactsInput!$M$7)*CHOOSE(ArtifactsInput!$N$7+1,6,7.2,8.4,9.6,10.8,12))+IF(Inputs!$B$3&gt;=117,F1673,0))/100)),MAX(0,Inputs!$B$44-((R1661-1)*Skills!D14))))/Inputs!$B$44),IF(Inputs!$B$39="pvp",MIN((Skills!S14*(1+((Inputs!$B$35+(ArtifactsInput!$M$7-ArtifactsInput!$M$7)*CHOOSE(ArtifactsInput!$N$7+1,6,7.2,8.4,9.6,10.8,12))+IF(Inputs!$B$3&gt;=117,F1673,0))/100)),15)/15,(Skills!S14*(1+((Inputs!$B$35+(ArtifactsInput!$M$7-ArtifactsInput!$M$7)*CHOOSE(ArtifactsInput!$N$7+1,6,7.2,8.4,9.6,10.8,12))+IF(Inputs!$B$3&gt;=117,F1673,0))/100))/Skills!D14))/100),1)*IF(C1666=TRUE,(1+F1666*IF(AND(Inputs!$B$39&lt;&gt;"pvp",Inputs!$B$44&gt;0),(((R1666-1)*(Skills!S19*(1+((Inputs!$B$35+(ArtifactsInput!$M$7-ArtifactsInput!$M$7)*CHOOSE(ArtifactsInput!$N$7+1,6,7.2,8.4,9.6,10.8,12))+IF(Inputs!$B$3&gt;=117,F1673,0))/100))+MIN((Skills!S19*(1+((Inputs!$B$35+(ArtifactsInput!$M$7-ArtifactsInput!$M$7)*CHOOSE(ArtifactsInput!$N$7+1,6,7.2,8.4,9.6,10.8,12))+IF(Inputs!$B$3&gt;=117,F1673,0))/100)),MAX(0,Inputs!$B$44-((R1666-1)*Skills!D19))))/Inputs!$B$44),IF(Inputs!$B$39="pvp",MIN((Skills!S19*(1+((Inputs!$B$35+(ArtifactsInput!$M$7-ArtifactsInput!$M$7)*CHOOSE(ArtifactsInput!$N$7+1,6,7.2,8.4,9.6,10.8,12))+IF(Inputs!$B$3&gt;=117,F1673,0))/100)),15)/15,(Skills!S19*(1+((Inputs!$B$35+(ArtifactsInput!$M$7-ArtifactsInput!$M$7)*CHOOSE(ArtifactsInput!$N$7+1,6,7.2,8.4,9.6,10.8,12))+IF(Inputs!$B$3&gt;=117,F1673,0))/100))/Skills!D19))/100),1)</f>
        <v/>
      </c>
    </row>
    <row r="1678">
      <c r="A1678" t="inlineStr">
        <is>
          <t>Monster Damage Taken Bonus % (Holy Fountain)</t>
        </is>
      </c>
      <c r="B1678">
        <f>IF(Inputs!$B$3&gt;=68,20*IF(Inputs!$B$39="pvp",MIN((15*(1+((Inputs!$B$35+(ArtifactsInput!$M$7-ArtifactsInput!$M$7)*CHOOSE(ArtifactsInput!$N$7+1,6,7.2,8.4,9.6,10.8,12))+IF(Inputs!$B$3&gt;=117,F1673,0))/100)),15)/15,(15*(1+((Inputs!$B$35+(ArtifactsInput!$M$7-ArtifactsInput!$M$7)*CHOOSE(ArtifactsInput!$N$7+1,6,7.2,8.4,9.6,10.8,12))+IF(Inputs!$B$3&gt;=117,F1673,0))/100))/Skills!D10),0)</f>
        <v/>
      </c>
    </row>
    <row r="1679">
      <c r="A1679" t="inlineStr">
        <is>
          <t>Normal Monster Damage Bonus % (Holy Symbol)</t>
        </is>
      </c>
      <c r="B1679">
        <f>IF(C1659=TRUE,F1659*IF(AND(Inputs!$B$39&lt;&gt;"pvp",Inputs!$B$44&gt;0),(((R1659-1)*(Skills!S12*(1+((Inputs!$B$35+(ArtifactsInput!$M$7-ArtifactsInput!$M$7)*CHOOSE(ArtifactsInput!$N$7+1,6,7.2,8.4,9.6,10.8,12))+IF(Inputs!$B$3&gt;=117,F1673,0))/100))+MIN((Skills!S12*(1+((Inputs!$B$35+(ArtifactsInput!$M$7-ArtifactsInput!$M$7)*CHOOSE(ArtifactsInput!$N$7+1,6,7.2,8.4,9.6,10.8,12))+IF(Inputs!$B$3&gt;=117,F1673,0))/100)),MAX(0,Inputs!$B$44-((R1659-1)*Skills!D12))))/Inputs!$B$44),IF(Inputs!$B$39="pvp",MIN((Skills!S12*(1+((Inputs!$B$35+(ArtifactsInput!$M$7-ArtifactsInput!$M$7)*CHOOSE(ArtifactsInput!$N$7+1,6,7.2,8.4,9.6,10.8,12))+IF(Inputs!$B$3&gt;=117,F1673,0))/100)),15)/15,(Skills!S12*(1+((Inputs!$B$35+(ArtifactsInput!$M$7-ArtifactsInput!$M$7)*CHOOSE(ArtifactsInput!$N$7+1,6,7.2,8.4,9.6,10.8,12))+IF(Inputs!$B$3&gt;=117,F1673,0))/100))/Skills!D12)),0)</f>
        <v/>
      </c>
    </row>
    <row r="1680">
      <c r="A1680" t="inlineStr">
        <is>
          <t>Damage % Bonus (Holy Symbol - Damage Boost)</t>
        </is>
      </c>
      <c r="B1680">
        <f>Skills!O12</f>
        <v/>
      </c>
    </row>
    <row r="1681">
      <c r="A1681" t="inlineStr">
        <is>
          <t>Crit Damage % Bonus (Blood of the Divine)</t>
        </is>
      </c>
      <c r="B1681">
        <f>4*IF(C1667=TRUE,F1667,0)</f>
        <v/>
      </c>
    </row>
    <row r="1682">
      <c r="A1682" t="inlineStr">
        <is>
          <t>Attack Speed Bonus %</t>
        </is>
      </c>
      <c r="B1682">
        <f>IF(C1664=TRUE,F1664+(F1668-Calc!F21),0)+IF(Inputs!$B$3&gt;=134,15,0)+((C1675=TRUE)*F1675*IF(AND(Inputs!$B$39&lt;&gt;"pvp",Inputs!$B$44&gt;0),(((R1675-1)*(Skills!S28*(1+((Inputs!$B$35+(ArtifactsInput!$M$7-ArtifactsInput!$M$7)*CHOOSE(ArtifactsInput!$N$7+1,6,7.2,8.4,9.6,10.8,12))+IF(Inputs!$B$3&gt;=117,F1673,0))/100))+MIN((Skills!S28*(1+((Inputs!$B$35+(ArtifactsInput!$M$7-ArtifactsInput!$M$7)*CHOOSE(ArtifactsInput!$N$7+1,6,7.2,8.4,9.6,10.8,12))+IF(Inputs!$B$3&gt;=117,F1673,0))/100)),MAX(0,Inputs!$B$44-((R1675-1)*Skills!D28))))/Inputs!$B$44),IF(Inputs!$B$39="pvp",MIN((Skills!S28*(1+((Inputs!$B$35+(ArtifactsInput!$M$7-ArtifactsInput!$M$7)*CHOOSE(ArtifactsInput!$N$7+1,6,7.2,8.4,9.6,10.8,12))+IF(Inputs!$B$3&gt;=117,F1673,0))/100)),15)/15,(Skills!S28*(1+((Inputs!$B$35+(ArtifactsInput!$M$7-ArtifactsInput!$M$7)*CHOOSE(ArtifactsInput!$N$7+1,6,7.2,8.4,9.6,10.8,12))+IF(Inputs!$B$3&gt;=117,F1673,0))/100))/Skills!D28)))</f>
        <v/>
      </c>
    </row>
    <row r="1683">
      <c r="A1683" t="inlineStr">
        <is>
          <t>Actions Per Second</t>
        </is>
      </c>
      <c r="B1683">
        <f>1+MIN(150,150*(1-(1-Inputs!$B$12/150)*(1-B1682/150)))/100</f>
        <v/>
      </c>
    </row>
    <row r="1684">
      <c r="A1684" t="inlineStr">
        <is>
          <t>Skill + Buff Cast Rate</t>
        </is>
      </c>
      <c r="B1684">
        <f>IF(AND(Inputs!$B$39&lt;&gt;"pvp",Inputs!$B$44&gt;0),SUMPRODUCT((Skills!E2:E28=TRUE)*(C1649:C1675=TRUE)*R1649:R1675)/Inputs!$B$44,SUMPRODUCT((Skills!E2:E28=TRUE)*(C1649:C1675=TRUE)*Q1649:Q1675))</f>
        <v/>
      </c>
    </row>
    <row r="1685">
      <c r="A1685" t="inlineStr">
        <is>
          <t>Big Bang Casts Per Second</t>
        </is>
      </c>
      <c r="B1685">
        <f>MAX(0,B1683-B1684)</f>
        <v/>
      </c>
    </row>
    <row r="1686">
      <c r="A1686" t="inlineStr">
        <is>
          <t>Defense % Bonus (Divine Protection)</t>
        </is>
      </c>
      <c r="B1686">
        <f>IF(C1660=TRUE,F1660*IF(AND(Inputs!$B$39&lt;&gt;"pvp",Inputs!$B$44&gt;0),(((R1660-1)*(Skills!S13*(1+((Inputs!$B$35+(ArtifactsInput!$M$7-ArtifactsInput!$M$7)*CHOOSE(ArtifactsInput!$N$7+1,6,7.2,8.4,9.6,10.8,12))+IF(Inputs!$B$3&gt;=117,F1673,0))/100))+MIN((Skills!S13*(1+((Inputs!$B$35+(ArtifactsInput!$M$7-ArtifactsInput!$M$7)*CHOOSE(ArtifactsInput!$N$7+1,6,7.2,8.4,9.6,10.8,12))+IF(Inputs!$B$3&gt;=117,F1673,0))/100)),MAX(0,Inputs!$B$44-((R1660-1)*Skills!D13))))/Inputs!$B$44),IF(Inputs!$B$39="pvp",MIN((Skills!S13*(1+((Inputs!$B$35+(ArtifactsInput!$M$7-ArtifactsInput!$M$7)*CHOOSE(ArtifactsInput!$N$7+1,6,7.2,8.4,9.6,10.8,12))+IF(Inputs!$B$3&gt;=117,F1673,0))/100)),15)/15,(Skills!S13*(1+((Inputs!$B$35+(ArtifactsInput!$M$7-ArtifactsInput!$M$7)*CHOOSE(ArtifactsInput!$N$7+1,6,7.2,8.4,9.6,10.8,12))+IF(Inputs!$B$3&gt;=117,F1673,0))/100))/Skills!D13)),0)</f>
        <v/>
      </c>
    </row>
    <row r="1687">
      <c r="A1687" t="inlineStr">
        <is>
          <t>Buff-Casting Startup Delay (s, fixed-duration only)</t>
        </is>
      </c>
      <c r="B1687">
        <f>IF(AND(Inputs!$B$39&lt;&gt;"pvp",Inputs!$B$44&gt;0),SUMPRODUCT((Skills!S2:S28&gt;0)*(Skills!E2:E28=TRUE)*(C1649:C1675=TRUE))/B1683,0)</f>
        <v/>
      </c>
    </row>
    <row r="1688">
      <c r="A1688" t="inlineStr">
        <is>
          <t>Boss-Only Total DPS (this block's swept value)</t>
        </is>
      </c>
      <c r="B1688">
        <f>SUM(S1649:S1675)</f>
        <v/>
      </c>
    </row>
    <row r="1689">
      <c r="A1689" t="inlineStr">
        <is>
          <t>Normal-Only Total DPS (this block's swept value)</t>
        </is>
      </c>
      <c r="B1689">
        <f>SUM(U1649:U1675)</f>
        <v/>
      </c>
    </row>
    <row r="1690">
      <c r="A1690" s="6" t="inlineStr">
        <is>
          <t>TOTAL DPS</t>
        </is>
      </c>
      <c r="B1690" s="6">
        <f>SUM(O1649:O1675)</f>
        <v/>
      </c>
    </row>
    <row r="1692">
      <c r="A1692" s="6" t="inlineStr">
        <is>
          <t>Stat: Athena Pierce's Old Gloves (Equip)</t>
        </is>
      </c>
    </row>
    <row r="1693">
      <c r="A1693" s="5" t="inlineStr">
        <is>
          <t>Key</t>
        </is>
      </c>
      <c r="B1693" s="5" t="inlineStr">
        <is>
          <t>Name</t>
        </is>
      </c>
      <c r="C1693" s="5" t="inlineStr">
        <is>
          <t>Unlocked</t>
        </is>
      </c>
      <c r="D1693" s="5" t="inlineStr">
        <is>
          <t>InputLevel</t>
        </is>
      </c>
      <c r="E1693" s="5" t="inlineStr">
        <is>
          <t>Factor</t>
        </is>
      </c>
      <c r="F1693" s="5" t="inlineStr">
        <is>
          <t>CoefficientPercent</t>
        </is>
      </c>
      <c r="G1693" s="5" t="inlineStr">
        <is>
          <t>EffectiveHits</t>
        </is>
      </c>
      <c r="H1693" s="5" t="inlineStr">
        <is>
          <t>ProcProbability</t>
        </is>
      </c>
      <c r="I1693" s="5" t="inlineStr">
        <is>
          <t>MapleHeroMultiplier</t>
        </is>
      </c>
      <c r="J1693" s="5" t="inlineStr">
        <is>
          <t>BaseDamage</t>
        </is>
      </c>
      <c r="K1693" s="5" t="inlineStr">
        <is>
          <t>BaseHitDamage</t>
        </is>
      </c>
      <c r="L1693" s="5" t="inlineStr">
        <is>
          <t>NonCritAvg</t>
        </is>
      </c>
      <c r="M1693" s="5" t="inlineStr">
        <is>
          <t>CritAvg</t>
        </is>
      </c>
      <c r="N1693" s="5" t="inlineStr">
        <is>
          <t>ExpectedDamage(perHit)</t>
        </is>
      </c>
      <c r="O1693" s="5" t="inlineStr">
        <is>
          <t>DPS</t>
        </is>
      </c>
      <c r="P1693" s="5" t="inlineStr">
        <is>
          <t>% of Total</t>
        </is>
      </c>
      <c r="R1693" t="inlineStr">
        <is>
          <t>helpers</t>
        </is>
      </c>
    </row>
    <row r="1694">
      <c r="A1694">
        <f>Skills!A2</f>
        <v/>
      </c>
      <c r="B1694">
        <f>Skills!B2</f>
        <v/>
      </c>
      <c r="C1694">
        <f>Inputs!$B$3&gt;=100</f>
        <v/>
      </c>
      <c r="D1694" t="inlineStr"/>
      <c r="E1694" t="inlineStr"/>
      <c r="F1694">
        <f>T1696+Skills!N2</f>
        <v/>
      </c>
      <c r="G1694">
        <f>Calc!G2</f>
        <v/>
      </c>
      <c r="H1694">
        <f>Calc!H2</f>
        <v/>
      </c>
      <c r="I1694">
        <f>IF(Skills!T2&lt;&gt;"",1+(Skills!T2/10)*($Z$3/1000)/100,1)</f>
        <v/>
      </c>
      <c r="J1694">
        <f>((Inputs!$B$6*(1+Inputs!$B$7/100))+(((Inputs!$B$13*(1+Inputs!$B$14/100))-(Inputs!$B$13*(1+Inputs!$B$14/100)))+0.25*(Inputs!$B$15-Inputs!$B$15))*(1+Inputs!$B$7/100))*(F1694/100)</f>
        <v/>
      </c>
      <c r="K1694">
        <f>J1694*(1+(((Inputs!$B$13+IF(Inputs!$B$3&gt;=35,(10*INDEX(FactorTable!$B$2:$Y$301,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2="TRIUMPH_FEATHER",IF(C1708=TRUE,F1708,0),0)/100)*(1+IF(C1719=TRUE,F1719,0)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1694)</f>
        <v/>
      </c>
      <c r="L1694">
        <f>K1694*(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4">
        <f>L1694*(1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4">
        <f>L1694*(1-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(1-Summary!$B$11)*S1694+Summary!$B$11*U1694</f>
        <v/>
      </c>
      <c r="P1694">
        <f>IF(B1735=0,0,O1694/B1735)</f>
        <v/>
      </c>
      <c r="Q1694">
        <f>IFERROR(1/(IF(Inputs!$B$39="pvp",15,MAX(0.1,Skills!D2-IF(Skills!E2=TRUE,Inputs!$B$33,0)))*(1-IF(AND(ArtifactsInput!$M$27,Inputs!$B$4="Chapter Hunt"),CHOOSE(ArtifactsInput!$N$27+1,20,24,28,32,36,40),0)/100)),0)</f>
        <v/>
      </c>
      <c r="R1694" t="n">
        <v>0</v>
      </c>
      <c r="S1694">
        <f>IF(C1694,(Skills!F2*N1694*B1730)*IF(Inputs!$B$39="pvp",1,1+(Inputs!$B$21+Skills!O2+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1694*(1-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94">
        <f>MAX(0,(Inputs!$B$3-100)*3)+Inputs!$B$29+Inputs!$B$30</f>
        <v/>
      </c>
      <c r="U1694">
        <f>IF(C1694,(Skills!F2*N1694*B1730)*IF(Inputs!$B$39="pvp",1,(1+(Inputs!$B$22+Skills!P2+B1724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Skills!A3</f>
        <v/>
      </c>
      <c r="B1695">
        <f>Skills!B3</f>
        <v/>
      </c>
      <c r="C1695">
        <f>Inputs!$B$3&gt;=15</f>
        <v/>
      </c>
      <c r="D1695">
        <f>IF(Skills!C3=1,60+Inputs!$B$26+Inputs!$B$30,IF(Skills!C3=2,90+Inputs!$B$27+Inputs!$B$30,IF(Skills!C3=3,120+Inputs!$B$28+Inputs!$B$30,MAX(0,(Inputs!$B$3-100)*3)+Inputs!$B$29+Inputs!$B$30)))</f>
        <v/>
      </c>
      <c r="E1695">
        <f>INDEX(FactorTable!$B$2:$Y$301, MATCH(ROUND(MIN(300,MAX(1,D1695)),0), FactorTable!$A$2:$A$301,0), Skills!L3+1)</f>
        <v/>
      </c>
      <c r="F1695">
        <f>IF(Skills!M3=TRUE,(Skills!K3/10)*(E1695/1000),Skills!K3/10)+Skills!N3</f>
        <v/>
      </c>
      <c r="G1695">
        <f>Calc!G3</f>
        <v/>
      </c>
      <c r="H1695">
        <f>Calc!H3</f>
        <v/>
      </c>
      <c r="I1695">
        <f>IF(Skills!T3&lt;&gt;"",1+(Skills!T3/10)*($Z$3/1000)/100,1)</f>
        <v/>
      </c>
      <c r="J1695" t="inlineStr"/>
      <c r="K1695" t="inlineStr"/>
      <c r="L1695" t="inlineStr"/>
      <c r="M1695" t="inlineStr"/>
      <c r="N1695" t="inlineStr"/>
      <c r="O1695">
        <f>(1-Summary!$B$11)*S1695+Summary!$B$11*U1695</f>
        <v/>
      </c>
      <c r="P1695">
        <f>IF(B1735=0,0,O1695/B1735)</f>
        <v/>
      </c>
      <c r="Q1695">
        <f>IFERROR(1/(IF(Inputs!$B$39="pvp",15,MAX(0.1,Skills!D3-IF(Skills!E3=TRUE,Inputs!$B$33,0)))*(1-IF(AND(ArtifactsInput!$M$27,Inputs!$B$4="Chapter Hunt"),CHOOSE(ArtifactsInput!$N$27+1,20,24,28,32,36,40),0)/100)),0)</f>
        <v/>
      </c>
      <c r="R1695">
        <f>IF(AND(Inputs!$B$39&lt;&gt;"pvp",Inputs!$B$44&gt;0),IF(Inputs!$B$44&lt;=0,0,(INT(Inputs!$B$44/(IF(Inputs!$B$39="pvp",15,MAX(0.1,Skills!D3-IF(Skills!E3=TRUE,Inputs!$B$33,0)))*(1-IF(AND(ArtifactsInput!$M$27,Inputs!$B$4="Chapter Hunt"),CHOOSE(ArtifactsInput!$N$27+1,20,24,28,32,36,40),0)/100)))+1)),0)</f>
        <v/>
      </c>
      <c r="S1695" t="n">
        <v>0</v>
      </c>
      <c r="T1695">
        <f>INDEX(FactorTable!$B$2:$Y$301, MATCH(ROUND(MIN(300,MAX(1,T1694)),0), FactorTable!$A$2:$A$301,0), 22)</f>
        <v/>
      </c>
      <c r="U1695" t="n">
        <v>0</v>
      </c>
    </row>
    <row r="1696">
      <c r="A1696">
        <f>Skills!A4</f>
        <v/>
      </c>
      <c r="B1696">
        <f>Skills!B4</f>
        <v/>
      </c>
      <c r="C1696">
        <f>Inputs!$B$3&gt;=38</f>
        <v/>
      </c>
      <c r="D1696">
        <f>IF(Skills!C4=1,60+Inputs!$B$26+Inputs!$B$30,IF(Skills!C4=2,90+Inputs!$B$27+Inputs!$B$30,IF(Skills!C4=3,120+Inputs!$B$28+Inputs!$B$30,MAX(0,(Inputs!$B$3-100)*3)+Inputs!$B$29+Inputs!$B$30)))</f>
        <v/>
      </c>
      <c r="E1696">
        <f>INDEX(FactorTable!$B$2:$Y$301, MATCH(ROUND(MIN(300,MAX(1,D1696)),0), FactorTable!$A$2:$A$301,0), Skills!L4+1)</f>
        <v/>
      </c>
      <c r="F1696">
        <f>IF(Skills!M4=TRUE,(Skills!K4/10)*(E1696/1000),Skills!K4/10)+Skills!N4</f>
        <v/>
      </c>
      <c r="G1696">
        <f>Calc!G4</f>
        <v/>
      </c>
      <c r="H1696">
        <f>Calc!H4</f>
        <v/>
      </c>
      <c r="I1696">
        <f>IF(Skills!T4&lt;&gt;"",1+(Skills!T4/10)*($Z$3/1000)/100,1)</f>
        <v/>
      </c>
      <c r="J1696" t="inlineStr"/>
      <c r="K1696" t="inlineStr"/>
      <c r="L1696" t="inlineStr"/>
      <c r="M1696" t="inlineStr"/>
      <c r="N1696" t="inlineStr"/>
      <c r="O1696">
        <f>(1-Summary!$B$11)*S1696+Summary!$B$11*U1696</f>
        <v/>
      </c>
      <c r="P1696">
        <f>IF(B1735=0,0,O1696/B1735)</f>
        <v/>
      </c>
      <c r="Q1696">
        <f>IFERROR(1/(IF(Inputs!$B$39="pvp",15,MAX(0.1,Skills!D4-IF(Skills!E4=TRUE,Inputs!$B$33,0)))*(1-IF(AND(ArtifactsInput!$M$27,Inputs!$B$4="Chapter Hunt"),CHOOSE(ArtifactsInput!$N$27+1,20,24,28,32,36,40),0)/100)),0)</f>
        <v/>
      </c>
      <c r="R1696">
        <f>IF(AND(Inputs!$B$39&lt;&gt;"pvp",Inputs!$B$44&gt;0),IF(Inputs!$B$44&lt;=0,0,(INT(Inputs!$B$44/(IF(Inputs!$B$39="pvp",15,MAX(0.1,Skills!D4-IF(Skills!E4=TRUE,Inputs!$B$33,0)))*(1-IF(AND(ArtifactsInput!$M$27,Inputs!$B$4="Chapter Hunt"),CHOOSE(ArtifactsInput!$N$27+1,20,24,28,32,36,40),0)/100)))+1)),0)</f>
        <v/>
      </c>
      <c r="S1696" t="n">
        <v>0</v>
      </c>
      <c r="T1696">
        <f>290*T1695/1000</f>
        <v/>
      </c>
      <c r="U1696" t="n">
        <v>0</v>
      </c>
    </row>
    <row r="1697">
      <c r="A1697">
        <f>Skills!A5</f>
        <v/>
      </c>
      <c r="B1697">
        <f>Skills!B5</f>
        <v/>
      </c>
      <c r="C1697">
        <f>Inputs!$B$3&gt;=40</f>
        <v/>
      </c>
      <c r="D1697">
        <f>IF(Skills!C5=1,60+Inputs!$B$26+Inputs!$B$30,IF(Skills!C5=2,90+Inputs!$B$27+Inputs!$B$30,IF(Skills!C5=3,120+Inputs!$B$28+Inputs!$B$30,MAX(0,(Inputs!$B$3-100)*3)+Inputs!$B$29+Inputs!$B$30)))</f>
        <v/>
      </c>
      <c r="E1697">
        <f>INDEX(FactorTable!$B$2:$Y$301, MATCH(ROUND(MIN(300,MAX(1,D1697)),0), FactorTable!$A$2:$A$301,0), Skills!L5+1)</f>
        <v/>
      </c>
      <c r="F1697">
        <f>IF(Skills!M5=TRUE,(Skills!K5/10)*(E1697/1000),Skills!K5/10)+Skills!N5</f>
        <v/>
      </c>
      <c r="G1697">
        <f>Calc!G5</f>
        <v/>
      </c>
      <c r="H1697">
        <f>Calc!H5</f>
        <v/>
      </c>
      <c r="I1697">
        <f>IF(Skills!T5&lt;&gt;"",1+(Skills!T5/10)*($Z$3/1000)/100,1)</f>
        <v/>
      </c>
      <c r="J1697" t="inlineStr"/>
      <c r="K1697" t="inlineStr"/>
      <c r="L1697" t="inlineStr"/>
      <c r="M1697" t="inlineStr"/>
      <c r="N1697" t="inlineStr"/>
      <c r="O1697">
        <f>(1-Summary!$B$11)*S1697+Summary!$B$11*U1697</f>
        <v/>
      </c>
      <c r="P1697">
        <f>IF(B1735=0,0,O1697/B1735)</f>
        <v/>
      </c>
      <c r="Q1697">
        <f>IFERROR(1/(IF(Inputs!$B$39="pvp",15,MAX(0.1,Skills!D5-IF(Skills!E5=TRUE,Inputs!$B$33,0)))*(1-IF(AND(ArtifactsInput!$M$27,Inputs!$B$4="Chapter Hunt"),CHOOSE(ArtifactsInput!$N$27+1,20,24,28,32,36,40),0)/100)),0)</f>
        <v/>
      </c>
      <c r="R1697">
        <f>IF(AND(Inputs!$B$39&lt;&gt;"pvp",Inputs!$B$44&gt;0),IF(Inputs!$B$44&lt;=0,0,(INT(Inputs!$B$44/(IF(Inputs!$B$39="pvp",15,MAX(0.1,Skills!D5-IF(Skills!E5=TRUE,Inputs!$B$33,0)))*(1-IF(AND(ArtifactsInput!$M$27,Inputs!$B$4="Chapter Hunt"),CHOOSE(ArtifactsInput!$N$27+1,20,24,28,32,36,40),0)/100)))+1)),0)</f>
        <v/>
      </c>
      <c r="S1697" t="n">
        <v>0</v>
      </c>
      <c r="U1697" t="n">
        <v>0</v>
      </c>
    </row>
    <row r="1698">
      <c r="A1698">
        <f>Skills!A6</f>
        <v/>
      </c>
      <c r="B1698">
        <f>Skills!B6</f>
        <v/>
      </c>
      <c r="C1698">
        <f>Inputs!$B$3&gt;=103</f>
        <v/>
      </c>
      <c r="D1698">
        <f>IF(Skills!C6=1,60+Inputs!$B$26+Inputs!$B$30,IF(Skills!C6=2,90+Inputs!$B$27+Inputs!$B$30,IF(Skills!C6=3,120+Inputs!$B$28+Inputs!$B$30,MAX(0,(Inputs!$B$3-100)*3)+Inputs!$B$29+Inputs!$B$30)))</f>
        <v/>
      </c>
      <c r="E1698">
        <f>INDEX(FactorTable!$B$2:$Y$301, MATCH(ROUND(MIN(300,MAX(1,D1698)),0), FactorTable!$A$2:$A$301,0), Skills!L6+1)</f>
        <v/>
      </c>
      <c r="F1698">
        <f>IF(Skills!M6=TRUE,(Skills!K6/10)*(E1698/1000),Skills!K6/10)+Skills!N6</f>
        <v/>
      </c>
      <c r="G1698">
        <f>Calc!G6</f>
        <v/>
      </c>
      <c r="H1698">
        <f>Calc!H6</f>
        <v/>
      </c>
      <c r="I1698">
        <f>IF(Skills!T6&lt;&gt;"",1+(Skills!T6/10)*($Z$3/1000)/100,1)</f>
        <v/>
      </c>
      <c r="J1698">
        <f>((Inputs!$B$6*(1+Inputs!$B$7/100))+(((Inputs!$B$13*(1+Inputs!$B$14/100))-(Inputs!$B$13*(1+Inputs!$B$14/100)))+0.25*(Inputs!$B$15-Inputs!$B$15))*(1+Inputs!$B$7/100))*(F1698/100)</f>
        <v/>
      </c>
      <c r="K1698">
        <f>J1698*(1+(((Inputs!$B$13+IF(Inputs!$B$3&gt;=35,(10*INDEX(FactorTable!$B$2:$Y$301,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6="TRIUMPH_FEATHER",IF(C1708=TRUE,F1708,0),0)/100)*(1+IF(C1719=TRUE,F1719,0)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1698)</f>
        <v/>
      </c>
      <c r="L1698">
        <f>K1698*(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8">
        <f>L1698*(1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8">
        <f>L1698*(1-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(1-Summary!$B$11)*S1698+Summary!$B$11*U1698</f>
        <v/>
      </c>
      <c r="P1698">
        <f>IF(B1735=0,0,O1698/B1735)</f>
        <v/>
      </c>
      <c r="Q1698">
        <f>IFERROR(1/(IF(Inputs!$B$39="pvp",15,MAX(0.1,Skills!D6-IF(Skills!E6=TRUE,Inputs!$B$33,0)))*(1-IF(AND(ArtifactsInput!$M$27,Inputs!$B$4="Chapter Hunt"),CHOOSE(ArtifactsInput!$N$27+1,20,24,28,32,36,40),0)/100)),0)</f>
        <v/>
      </c>
      <c r="R1698">
        <f>IF(AND(Inputs!$B$39&lt;&gt;"pvp",Inputs!$B$44&gt;0),IF(MAX(0,Inputs!$B$44-B1732)&lt;=0,0,(INT(MAX(0,Inputs!$B$44-B1732)/(IF(Inputs!$B$39="pvp",15,MAX(0.1,Skills!D6-IF(Skills!E6=TRUE,Inputs!$B$33,0)))*(1-IF(AND(ArtifactsInput!$M$27,Inputs!$B$4="Chapter Hunt"),CHOOSE(ArtifactsInput!$N$27+1,20,24,28,32,36,40),0)/100)))+1)),0)</f>
        <v/>
      </c>
      <c r="S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$21+Skills!O6+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1698*(1-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$22+Skills!P6+B1724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Skills!A7</f>
        <v/>
      </c>
      <c r="B1699">
        <f>Skills!B7</f>
        <v/>
      </c>
      <c r="C1699">
        <f>Inputs!$B$3&gt;=122</f>
        <v/>
      </c>
      <c r="D1699">
        <f>IF(Skills!C7=1,60+Inputs!$B$26+Inputs!$B$30,IF(Skills!C7=2,90+Inputs!$B$27+Inputs!$B$30,IF(Skills!C7=3,120+Inputs!$B$28+Inputs!$B$30,MAX(0,(Inputs!$B$3-100)*3)+Inputs!$B$29+Inputs!$B$30)))</f>
        <v/>
      </c>
      <c r="E1699">
        <f>INDEX(FactorTable!$B$2:$Y$301, MATCH(ROUND(MIN(300,MAX(1,D1699)),0), FactorTable!$A$2:$A$301,0), Skills!L7+1)</f>
        <v/>
      </c>
      <c r="F1699">
        <f>IF(Skills!M7=TRUE,(Skills!K7/10)*(E1699/1000),Skills!K7/10)+Skills!N7</f>
        <v/>
      </c>
      <c r="G1699">
        <f>Calc!G7</f>
        <v/>
      </c>
      <c r="H1699">
        <f>Calc!H7</f>
        <v/>
      </c>
      <c r="I1699">
        <f>IF(Skills!T7&lt;&gt;"",1+(Skills!T7/10)*($Z$3/1000)/100,1)</f>
        <v/>
      </c>
      <c r="J1699">
        <f>((Inputs!$B$6*(1+Inputs!$B$7/100))+(((Inputs!$B$13*(1+Inputs!$B$14/100))-(Inputs!$B$13*(1+Inputs!$B$14/100)))+0.25*(Inputs!$B$15-Inputs!$B$15))*(1+Inputs!$B$7/100))*(F1699/100)</f>
        <v/>
      </c>
      <c r="K1699">
        <f>J1699*(1+(((Inputs!$B$13+IF(Inputs!$B$3&gt;=35,(10*INDEX(FactorTable!$B$2:$Y$301,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7="TRIUMPH_FEATHER",IF(C1708=TRUE,F1708,0),0)/100)*(1+IF(C1719=TRUE,F1719,0)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1699)</f>
        <v/>
      </c>
      <c r="L1699">
        <f>K1699*(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9">
        <f>L1699*(1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9">
        <f>L1699*(1-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(1-Summary!$B$11)*S1699+Summary!$B$11*U1699</f>
        <v/>
      </c>
      <c r="P1699">
        <f>IF(B1735=0,0,O1699/B1735)</f>
        <v/>
      </c>
      <c r="Q1699">
        <f>IFERROR(1/(IF(Inputs!$B$39="pvp",15,MAX(0.1,Skills!D7-IF(Skills!E6=TRUE,Inputs!$B$33,0)))*(1-IF(AND(ArtifactsInput!$M$27,Inputs!$B$4="Chapter Hunt"),CHOOSE(ArtifactsInput!$N$27+1,20,24,28,32,36,40),0)/100)),0)</f>
        <v/>
      </c>
      <c r="R1699">
        <f>IF(AND(Inputs!$B$39&lt;&gt;"pvp",Inputs!$B$44&gt;0),IF(MAX(0,Inputs!$B$44-B1732)&lt;=0,0,(INT(MAX(0,Inputs!$B$44-B1732)/(IF(Inputs!$B$39="pvp",15,MAX(0.1,Skills!D7-IF(Skills!E6=TRUE,Inputs!$B$33,0)))*(1-IF(AND(ArtifactsInput!$M$27,Inputs!$B$4="Chapter Hunt"),CHOOSE(ArtifactsInput!$N$27+1,20,24,28,32,36,40),0)/100)))+1)),0)</f>
        <v/>
      </c>
      <c r="S1699">
        <f>IF(C1699,H1699*N1699*IF(AND(Inputs!$B$39&lt;&gt;"pvp",Inputs!$B$44&gt;0),((Skills!F7*((R1699-1)*IF(Skills!G7&gt;0,Skills!H7/Skills!G7,1)+IF(Skills!G7&gt;0,MIN(Skills!H7,MAX(0,MAX(0,Inputs!$B$44-B1732)-((R1699-1)*(IF(Inputs!$B$39="pvp",15,MAX(0.1,Skills!D7-IF(Skills!E6=TRUE,Inputs!$B$33,0)))*(1-IF(AND(ArtifactsInput!$M$27,Inputs!$B$4="Chapter Hunt"),CHOOSE(ArtifactsInput!$N$27+1,20,24,28,32,36,40),0)/100)))))/Skills!G7,1)))/Inputs!$B$44),G1699*Q1699)*IF(Inputs!$B$39="pvp",1,1+(Inputs!$B$21+Skills!O7+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1699*(1-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9" t="n">
        <v>0</v>
      </c>
    </row>
    <row r="1700">
      <c r="A1700">
        <f>Skills!A8</f>
        <v/>
      </c>
      <c r="B1700">
        <f>Skills!B8</f>
        <v/>
      </c>
      <c r="C1700">
        <f>Inputs!$B$3&gt;=105</f>
        <v/>
      </c>
      <c r="D1700">
        <f>IF(Skills!C8=1,60+Inputs!$B$26+Inputs!$B$30,IF(Skills!C8=2,90+Inputs!$B$27+Inputs!$B$30,IF(Skills!C8=3,120+Inputs!$B$28+Inputs!$B$30,MAX(0,(Inputs!$B$3-100)*3)+Inputs!$B$29+Inputs!$B$30)))</f>
        <v/>
      </c>
      <c r="E1700">
        <f>INDEX(FactorTable!$B$2:$Y$301, MATCH(ROUND(MIN(300,MAX(1,D1700)),0), FactorTable!$A$2:$A$301,0), Skills!L8+1)</f>
        <v/>
      </c>
      <c r="F1700">
        <f>IF(Skills!M8=TRUE,(Skills!K8/10)*(E1700/1000),Skills!K8/10)+Skills!N8</f>
        <v/>
      </c>
      <c r="G1700">
        <f>Calc!G8</f>
        <v/>
      </c>
      <c r="H1700">
        <f>Calc!H8</f>
        <v/>
      </c>
      <c r="I1700">
        <f>IF(Skills!T8&lt;&gt;"",1+(Skills!T8/10)*($Z$3/1000)/100,1)</f>
        <v/>
      </c>
      <c r="J1700">
        <f>((Inputs!$B$6*(1+Inputs!$B$7/100))+(((Inputs!$B$13*(1+Inputs!$B$14/100))-(Inputs!$B$13*(1+Inputs!$B$14/100)))+0.25*(Inputs!$B$15-Inputs!$B$15))*(1+Inputs!$B$7/100))*(F1700/100)</f>
        <v/>
      </c>
      <c r="K1700">
        <f>J1700*(1+(((Inputs!$B$13+IF(Inputs!$B$3&gt;=35,(10*INDEX(FactorTable!$B$2:$Y$301,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8="TRIUMPH_FEATHER",IF(C1708=TRUE,F1708,0),0)/100)*(1+IF(C1719=TRUE,F1719,0)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1700)</f>
        <v/>
      </c>
      <c r="L1700">
        <f>K1700*(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0">
        <f>L1700*(1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0">
        <f>L1700*(1-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1700*(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0">
        <f>(1-Summary!$B$11)*S1700+Summary!$B$11*U1700</f>
        <v/>
      </c>
      <c r="P1700">
        <f>IF(B1735=0,0,O1700/B1735)</f>
        <v/>
      </c>
      <c r="Q1700">
        <f>IFERROR(1/(IF(Inputs!$B$39="pvp",15,MAX(0.1,Skills!D8-IF(Skills!E8=TRUE,Inputs!$B$33,0)))*(1-IF(AND(ArtifactsInput!$M$27,Inputs!$B$4="Chapter Hunt"),CHOOSE(ArtifactsInput!$N$27+1,20,24,28,32,36,40),0)/100)),0)</f>
        <v/>
      </c>
      <c r="R1700">
        <f>IF(AND(Inputs!$B$39&lt;&gt;"pvp",Inputs!$B$44&gt;0),IF(MAX(0,Inputs!$B$44-B1732)&lt;=0,0,(INT(MAX(0,Inputs!$B$44-B1732)/(IF(Inputs!$B$39="pvp",15,MAX(0.1,Skills!D8-IF(Skills!E8=TRUE,Inputs!$B$33,0)))*(1-IF(AND(ArtifactsInput!$M$27,Inputs!$B$4="Chapter Hunt"),CHOOSE(ArtifactsInput!$N$27+1,20,24,28,32,36,40),0)/100)))+1)),0)</f>
        <v/>
      </c>
      <c r="S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$21+Skills!O8+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1700*(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1700*(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$22+Skills!P8+B1724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1">
      <c r="A1701">
        <f>Skills!A9</f>
        <v/>
      </c>
      <c r="B1701">
        <f>Skills!B9</f>
        <v/>
      </c>
      <c r="C1701">
        <f>Inputs!$B$3&gt;=115</f>
        <v/>
      </c>
      <c r="D1701">
        <f>IF(Skills!C9=1,60+Inputs!$B$26+Inputs!$B$30,IF(Skills!C9=2,90+Inputs!$B$27+Inputs!$B$30,IF(Skills!C9=3,120+Inputs!$B$28+Inputs!$B$30,MAX(0,(Inputs!$B$3-100)*3)+Inputs!$B$29+Inputs!$B$30)))</f>
        <v/>
      </c>
      <c r="E1701">
        <f>INDEX(FactorTable!$B$2:$Y$301, MATCH(ROUND(MIN(300,MAX(1,D1701)),0), FactorTable!$A$2:$A$301,0), Skills!L9+1)</f>
        <v/>
      </c>
      <c r="F1701">
        <f>IF(Skills!M9=TRUE,(Skills!K9/10)*(E1701/1000),Skills!K9/10)+Skills!N9</f>
        <v/>
      </c>
      <c r="G1701">
        <f>Calc!G9</f>
        <v/>
      </c>
      <c r="H1701">
        <f>Calc!H9</f>
        <v/>
      </c>
      <c r="I1701">
        <f>IF(Skills!T9&lt;&gt;"",1+(Skills!T9/10)*($Z$3/1000)/100,1)</f>
        <v/>
      </c>
      <c r="J1701">
        <f>((Inputs!$B$6*(1+Inputs!$B$7/100))+(((Inputs!$B$13*(1+Inputs!$B$14/100))-(Inputs!$B$13*(1+Inputs!$B$14/100)))+0.25*(Inputs!$B$15-Inputs!$B$15))*(1+Inputs!$B$7/100))*(F1701/100)</f>
        <v/>
      </c>
      <c r="K1701">
        <f>J1701*(1+(((Inputs!$B$13+IF(Inputs!$B$3&gt;=35,(10*INDEX(FactorTable!$B$2:$Y$301,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9="TRIUMPH_FEATHER",IF(C1708=TRUE,F1708,0),0)/100)*(1+IF(C1719=TRUE,F1719,0)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1701)</f>
        <v/>
      </c>
      <c r="L1701">
        <f>K1701*(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1">
        <f>L1701*(1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1">
        <f>L1701*(1-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(1-Summary!$B$11)*S1701+Summary!$B$11*U1701</f>
        <v/>
      </c>
      <c r="P1701">
        <f>IF(B1735=0,0,O1701/B1735)</f>
        <v/>
      </c>
      <c r="Q1701">
        <f>IFERROR(1/(IF(Inputs!$B$39="pvp",15,MAX(0.1,Skills!D9-IF(Skills!E9=TRUE,Inputs!$B$33,0)))*(1-IF(AND(ArtifactsInput!$M$27,Inputs!$B$4="Chapter Hunt"),CHOOSE(ArtifactsInput!$N$27+1,20,24,28,32,36,40),0)/100)),0)</f>
        <v/>
      </c>
      <c r="R1701">
        <f>IF(AND(Inputs!$B$39&lt;&gt;"pvp",Inputs!$B$44&gt;0),IF(MAX(0,Inputs!$B$44-B1732)&lt;=0,0,(INT(MAX(0,Inputs!$B$44-B1732)/(IF(Inputs!$B$39="pvp",15,MAX(0.1,Skills!D9-IF(Skills!E9=TRUE,Inputs!$B$33,0)))*(1-IF(AND(ArtifactsInput!$M$27,Inputs!$B$4="Chapter Hunt"),CHOOSE(ArtifactsInput!$N$27+1,20,24,28,32,36,40),0)/100)))+1)),0)</f>
        <v/>
      </c>
      <c r="S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$21+Skills!O9+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$22+Skills!P9+B1724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Skills!A10</f>
        <v/>
      </c>
      <c r="B1702">
        <f>Skills!B10</f>
        <v/>
      </c>
      <c r="C1702">
        <f>Inputs!$B$3&gt;=66</f>
        <v/>
      </c>
      <c r="D1702">
        <f>IF(Skills!C10=1,60+Inputs!$B$26+Inputs!$B$30,IF(Skills!C10=2,90+Inputs!$B$27+Inputs!$B$30,IF(Skills!C10=3,120+Inputs!$B$28+Inputs!$B$30,MAX(0,(Inputs!$B$3-100)*3)+Inputs!$B$29+Inputs!$B$30)))</f>
        <v/>
      </c>
      <c r="E1702">
        <f>INDEX(FactorTable!$B$2:$Y$301, MATCH(ROUND(MIN(300,MAX(1,D1702)),0), FactorTable!$A$2:$A$301,0), Skills!L10+1)</f>
        <v/>
      </c>
      <c r="F1702" t="n">
        <v>0</v>
      </c>
      <c r="G1702">
        <f>Calc!G10</f>
        <v/>
      </c>
      <c r="H1702">
        <f>Calc!H10</f>
        <v/>
      </c>
      <c r="I1702">
        <f>IF(Skills!T10&lt;&gt;"",1+(Skills!T10/10)*($Z$3/1000)/100,1)</f>
        <v/>
      </c>
      <c r="J1702" t="inlineStr"/>
      <c r="K1702" t="inlineStr"/>
      <c r="L1702" t="inlineStr"/>
      <c r="M1702" t="inlineStr"/>
      <c r="N1702" t="inlineStr"/>
      <c r="O1702">
        <f>(1-Summary!$B$11)*S1702+Summary!$B$11*U1702</f>
        <v/>
      </c>
      <c r="P1702">
        <f>IF(B1735=0,0,O1702/B1735)</f>
        <v/>
      </c>
      <c r="Q1702">
        <f>IFERROR(1/(IF(Inputs!$B$39="pvp",15,MAX(0.1,Skills!D10-IF(Skills!E10=TRUE,Inputs!$B$33,0)))*(1-IF(AND(ArtifactsInput!$M$27,Inputs!$B$4="Chapter Hunt"),CHOOSE(ArtifactsInput!$N$27+1,20,24,28,32,36,40),0)/100)),0)</f>
        <v/>
      </c>
      <c r="R1702">
        <f>IF(AND(Inputs!$B$39&lt;&gt;"pvp",Inputs!$B$44&gt;0),IF(MAX(0,Inputs!$B$44-B1732)&lt;=0,0,(INT(MAX(0,Inputs!$B$44-B1732)/(IF(Inputs!$B$39="pvp",15,MAX(0.1,Skills!D10-IF(Skills!E10=TRUE,Inputs!$B$33,0)))*(1-IF(AND(ArtifactsInput!$M$27,Inputs!$B$4="Chapter Hunt"),CHOOSE(ArtifactsInput!$N$27+1,20,24,28,32,36,40),0)/100)))+1)),0)</f>
        <v/>
      </c>
      <c r="S1702" t="n">
        <v>0</v>
      </c>
      <c r="U1702" t="n">
        <v>0</v>
      </c>
    </row>
    <row r="1703">
      <c r="A1703">
        <f>Skills!A11</f>
        <v/>
      </c>
      <c r="B1703">
        <f>Skills!B11</f>
        <v/>
      </c>
      <c r="C1703">
        <f>Inputs!$B$3&gt;=69</f>
        <v/>
      </c>
      <c r="D1703">
        <f>IF(Skills!C11=1,60+Inputs!$B$26+Inputs!$B$30,IF(Skills!C11=2,90+Inputs!$B$27+Inputs!$B$30,IF(Skills!C11=3,120+Inputs!$B$28+Inputs!$B$30,MAX(0,(Inputs!$B$3-100)*3)+Inputs!$B$29+Inputs!$B$30)))</f>
        <v/>
      </c>
      <c r="E1703">
        <f>INDEX(FactorTable!$B$2:$Y$301, MATCH(ROUND(MIN(300,MAX(1,D1703)),0), FactorTable!$A$2:$A$301,0), Skills!L11+1)</f>
        <v/>
      </c>
      <c r="F1703">
        <f>IF(Skills!M11=TRUE,(Skills!K11/10)*(E1703/1000),Skills!K11/10)+Skills!N11</f>
        <v/>
      </c>
      <c r="G1703">
        <f>Calc!G11</f>
        <v/>
      </c>
      <c r="H1703">
        <f>Calc!H11</f>
        <v/>
      </c>
      <c r="I1703">
        <f>IF(Skills!T11&lt;&gt;"",1+(Skills!T11/10)*($Z$3/1000)/100,1)</f>
        <v/>
      </c>
      <c r="J1703" t="inlineStr"/>
      <c r="K1703" t="inlineStr"/>
      <c r="L1703" t="inlineStr"/>
      <c r="M1703" t="inlineStr"/>
      <c r="N1703" t="inlineStr"/>
      <c r="O1703">
        <f>(1-Summary!$B$11)*S1703+Summary!$B$11*U1703</f>
        <v/>
      </c>
      <c r="P1703">
        <f>IF(B1735=0,0,O1703/B1735)</f>
        <v/>
      </c>
      <c r="Q1703">
        <f>IFERROR(1/(IF(Inputs!$B$39="pvp",15,MAX(0.1,Skills!D11-IF(Skills!E11=TRUE,Inputs!$B$33,0)))*(1-IF(AND(ArtifactsInput!$M$27,Inputs!$B$4="Chapter Hunt"),CHOOSE(ArtifactsInput!$N$27+1,20,24,28,32,36,40),0)/100)),0)</f>
        <v/>
      </c>
      <c r="R1703">
        <f>IF(AND(Inputs!$B$39&lt;&gt;"pvp",Inputs!$B$44&gt;0),IF(Inputs!$B$44&lt;=0,0,(INT(Inputs!$B$44/(IF(Inputs!$B$39="pvp",15,MAX(0.1,Skills!D11-IF(Skills!E11=TRUE,Inputs!$B$33,0)))*(1-IF(AND(ArtifactsInput!$M$27,Inputs!$B$4="Chapter Hunt"),CHOOSE(ArtifactsInput!$N$27+1,20,24,28,32,36,40),0)/100)))+1)),0)</f>
        <v/>
      </c>
      <c r="S1703" t="n">
        <v>0</v>
      </c>
      <c r="U1703" t="n">
        <v>0</v>
      </c>
    </row>
    <row r="1704">
      <c r="A1704">
        <f>Skills!A12</f>
        <v/>
      </c>
      <c r="B1704">
        <f>Skills!B12</f>
        <v/>
      </c>
      <c r="C1704">
        <f>Inputs!$B$3&gt;=72</f>
        <v/>
      </c>
      <c r="D1704">
        <f>IF(Skills!C12=1,60+Inputs!$B$26+Inputs!$B$30,IF(Skills!C12=2,90+Inputs!$B$27+Inputs!$B$30,IF(Skills!C12=3,120+Inputs!$B$28+Inputs!$B$30,MAX(0,(Inputs!$B$3-100)*3)+Inputs!$B$29+Inputs!$B$30)))</f>
        <v/>
      </c>
      <c r="E1704">
        <f>INDEX(FactorTable!$B$2:$Y$301, MATCH(ROUND(MIN(300,MAX(1,D1704)),0), FactorTable!$A$2:$A$301,0), Skills!L12+1)</f>
        <v/>
      </c>
      <c r="F1704">
        <f>IF(Skills!M12=TRUE,(Skills!K12/10)*(E1704/1000),Skills!K12/10)+Skills!N12</f>
        <v/>
      </c>
      <c r="G1704">
        <f>Calc!G12</f>
        <v/>
      </c>
      <c r="H1704">
        <f>Calc!H12</f>
        <v/>
      </c>
      <c r="I1704">
        <f>IF(Skills!T12&lt;&gt;"",1+(Skills!T12/10)*($Z$3/1000)/100,1)</f>
        <v/>
      </c>
      <c r="J1704" t="inlineStr"/>
      <c r="K1704" t="inlineStr"/>
      <c r="L1704" t="inlineStr"/>
      <c r="M1704" t="inlineStr"/>
      <c r="N1704" t="inlineStr"/>
      <c r="O1704">
        <f>(1-Summary!$B$11)*S1704+Summary!$B$11*U1704</f>
        <v/>
      </c>
      <c r="P1704">
        <f>IF(B1735=0,0,O1704/B1735)</f>
        <v/>
      </c>
      <c r="Q1704">
        <f>IFERROR(1/(IF(Inputs!$B$39="pvp",15,MAX(0.1,Skills!D12-IF(Skills!E12=TRUE,Inputs!$B$33,0)))*(1-IF(AND(ArtifactsInput!$M$27,Inputs!$B$4="Chapter Hunt"),CHOOSE(ArtifactsInput!$N$27+1,20,24,28,32,36,40),0)/100)),0)</f>
        <v/>
      </c>
      <c r="R1704">
        <f>IF(AND(Inputs!$B$39&lt;&gt;"pvp",Inputs!$B$44&gt;0),IF(MAX(0,Inputs!$B$44-B1732)&lt;=0,0,(INT(MAX(0,Inputs!$B$44-B1732)/(IF(Inputs!$B$39="pvp",15,MAX(0.1,Skills!D12-IF(Skills!E12=TRUE,Inputs!$B$33,0)))*(1-IF(AND(ArtifactsInput!$M$27,Inputs!$B$4="Chapter Hunt"),CHOOSE(ArtifactsInput!$N$27+1,20,24,28,32,36,40),0)/100)))+1)),0)</f>
        <v/>
      </c>
      <c r="S1704" t="n">
        <v>0</v>
      </c>
      <c r="U1704" t="n">
        <v>0</v>
      </c>
    </row>
    <row r="1705">
      <c r="A1705">
        <f>Skills!A13</f>
        <v/>
      </c>
      <c r="B1705">
        <f>Skills!B13</f>
        <v/>
      </c>
      <c r="C1705">
        <f>Inputs!$B$3&gt;=60</f>
        <v/>
      </c>
      <c r="D1705">
        <f>IF(Skills!C13=1,60+Inputs!$B$26+Inputs!$B$30,IF(Skills!C13=2,90+Inputs!$B$27+Inputs!$B$30,IF(Skills!C13=3,120+Inputs!$B$28+Inputs!$B$30,MAX(0,(Inputs!$B$3-100)*3)+Inputs!$B$29+Inputs!$B$30)))</f>
        <v/>
      </c>
      <c r="E1705">
        <f>INDEX(FactorTable!$B$2:$Y$301, MATCH(ROUND(MIN(300,MAX(1,D1705)),0), FactorTable!$A$2:$A$301,0), Skills!L13+1)</f>
        <v/>
      </c>
      <c r="F1705">
        <f>IF(Skills!M13=TRUE,(Skills!K13/10)*(E1705/1000),Skills!K13/10)+Skills!N13</f>
        <v/>
      </c>
      <c r="G1705">
        <f>Calc!G13</f>
        <v/>
      </c>
      <c r="H1705">
        <f>Calc!H13</f>
        <v/>
      </c>
      <c r="I1705">
        <f>IF(Skills!T13&lt;&gt;"",1+(Skills!T13/10)*($Z$3/1000)/100,1)</f>
        <v/>
      </c>
      <c r="J1705" t="inlineStr"/>
      <c r="K1705" t="inlineStr"/>
      <c r="L1705" t="inlineStr"/>
      <c r="M1705" t="inlineStr"/>
      <c r="N1705" t="inlineStr"/>
      <c r="O1705">
        <f>(1-Summary!$B$11)*S1705+Summary!$B$11*U1705</f>
        <v/>
      </c>
      <c r="P1705">
        <f>IF(B1735=0,0,O1705/B1735)</f>
        <v/>
      </c>
      <c r="Q1705">
        <f>IFERROR(1/(IF(Inputs!$B$39="pvp",15,MAX(0.1,Skills!D13-IF(Skills!E13=TRUE,Inputs!$B$33,0)))*(1-IF(AND(ArtifactsInput!$M$27,Inputs!$B$4="Chapter Hunt"),CHOOSE(ArtifactsInput!$N$27+1,20,24,28,32,36,40),0)/100)),0)</f>
        <v/>
      </c>
      <c r="R1705">
        <f>IF(AND(Inputs!$B$39&lt;&gt;"pvp",Inputs!$B$44&gt;0),IF(MAX(0,Inputs!$B$44-B1732)&lt;=0,0,(INT(MAX(0,Inputs!$B$44-B1732)/(IF(Inputs!$B$39="pvp",15,MAX(0.1,Skills!D13-IF(Skills!E13=TRUE,Inputs!$B$33,0)))*(1-IF(AND(ArtifactsInput!$M$27,Inputs!$B$4="Chapter Hunt"),CHOOSE(ArtifactsInput!$N$27+1,20,24,28,32,36,40),0)/100)))+1)),0)</f>
        <v/>
      </c>
      <c r="S1705" t="n">
        <v>0</v>
      </c>
      <c r="U1705" t="n">
        <v>0</v>
      </c>
    </row>
    <row r="1706">
      <c r="A1706">
        <f>Skills!A14</f>
        <v/>
      </c>
      <c r="B1706">
        <f>Skills!B14</f>
        <v/>
      </c>
      <c r="C1706">
        <f>Inputs!$B$3&gt;=107</f>
        <v/>
      </c>
      <c r="D1706">
        <f>IF(Skills!C14=1,60+Inputs!$B$26+Inputs!$B$30,IF(Skills!C14=2,90+Inputs!$B$27+Inputs!$B$30,IF(Skills!C14=3,120+Inputs!$B$28+Inputs!$B$30,MAX(0,(Inputs!$B$3-100)*3)+Inputs!$B$29+Inputs!$B$30)))</f>
        <v/>
      </c>
      <c r="E1706">
        <f>INDEX(FactorTable!$B$2:$Y$301, MATCH(ROUND(MIN(300,MAX(1,D1706)),0), FactorTable!$A$2:$A$301,0), Skills!L14+1)</f>
        <v/>
      </c>
      <c r="F1706">
        <f>IF(Skills!M14=TRUE,(Skills!K14/10)*(E1706/1000),Skills!K14/10)+Skills!N14</f>
        <v/>
      </c>
      <c r="G1706">
        <f>Calc!G14</f>
        <v/>
      </c>
      <c r="H1706">
        <f>Calc!H14</f>
        <v/>
      </c>
      <c r="I1706">
        <f>IF(Skills!T14&lt;&gt;"",1+(Skills!T14/10)*($Z$3/1000)/100,1)</f>
        <v/>
      </c>
      <c r="J1706" t="inlineStr"/>
      <c r="K1706" t="inlineStr"/>
      <c r="L1706" t="inlineStr"/>
      <c r="M1706" t="inlineStr"/>
      <c r="N1706" t="inlineStr"/>
      <c r="O1706">
        <f>(1-Summary!$B$11)*S1706+Summary!$B$11*U1706</f>
        <v/>
      </c>
      <c r="P1706">
        <f>IF(B1735=0,0,O1706/B1735)</f>
        <v/>
      </c>
      <c r="Q1706">
        <f>IFERROR(1/(IF(Inputs!$B$39="pvp",15,MAX(0.1,Skills!D14-IF(Skills!E14=TRUE,Inputs!$B$33,0)))*(1-IF(AND(ArtifactsInput!$M$27,Inputs!$B$4="Chapter Hunt"),CHOOSE(ArtifactsInput!$N$27+1,20,24,28,32,36,40),0)/100)),0)</f>
        <v/>
      </c>
      <c r="R1706">
        <f>IF(AND(Inputs!$B$39&lt;&gt;"pvp",Inputs!$B$44&gt;0),IF(Inputs!$B$44&lt;=0,0,(INT(Inputs!$B$44/(IF(Inputs!$B$39="pvp",15,MAX(0.1,Skills!D14-IF(Skills!E14=TRUE,Inputs!$B$33,0)))*(1-IF(AND(ArtifactsInput!$M$27,Inputs!$B$4="Chapter Hunt"),CHOOSE(ArtifactsInput!$N$27+1,20,24,28,32,36,40),0)/100)))+1)),0)</f>
        <v/>
      </c>
      <c r="S1706" t="n">
        <v>0</v>
      </c>
      <c r="U1706" t="n">
        <v>0</v>
      </c>
    </row>
    <row r="1707">
      <c r="A1707">
        <f>Skills!A15</f>
        <v/>
      </c>
      <c r="B1707">
        <f>Skills!B15</f>
        <v/>
      </c>
      <c r="C1707">
        <f>Inputs!$B$3&gt;=63</f>
        <v/>
      </c>
      <c r="D1707">
        <f>IF(Skills!C15=1,60+Inputs!$B$26+Inputs!$B$30,IF(Skills!C15=2,90+Inputs!$B$27+Inputs!$B$30,IF(Skills!C15=3,120+Inputs!$B$28+Inputs!$B$30,MAX(0,(Inputs!$B$3-100)*3)+Inputs!$B$29+Inputs!$B$30)))</f>
        <v/>
      </c>
      <c r="E1707">
        <f>INDEX(FactorTable!$B$2:$Y$301, MATCH(ROUND(MIN(300,MAX(1,D1707)),0), FactorTable!$A$2:$A$301,0), Skills!L15+1)</f>
        <v/>
      </c>
      <c r="F1707">
        <f>IF(Skills!M15=TRUE,(Skills!K15/10)*(E1707/1000),Skills!K15/10)+Skills!N15</f>
        <v/>
      </c>
      <c r="G1707">
        <f>Calc!G15</f>
        <v/>
      </c>
      <c r="H1707">
        <f>Calc!H15</f>
        <v/>
      </c>
      <c r="I1707">
        <f>IF(Skills!T15&lt;&gt;"",1+(Skills!T15/10)*($Z$3/1000)/100,1)</f>
        <v/>
      </c>
      <c r="J1707">
        <f>((Inputs!$B$6*(1+Inputs!$B$7/100))+(((Inputs!$B$13*(1+Inputs!$B$14/100))-(Inputs!$B$13*(1+Inputs!$B$14/100)))+0.25*(Inputs!$B$15-Inputs!$B$15))*(1+Inputs!$B$7/100))*(F1707/100)</f>
        <v/>
      </c>
      <c r="K1707">
        <f>J1707*(1+(((Inputs!$B$13+IF(Inputs!$B$3&gt;=35,(10*INDEX(FactorTable!$B$2:$Y$301,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15="TRIUMPH_FEATHER",IF(C1708=TRUE,F1708,0),0)/100)*(1+IF(C1719=TRUE,F1719,0)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1707)</f>
        <v/>
      </c>
      <c r="L1707">
        <f>K1707*(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7">
        <f>L1707*(1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7">
        <f>L1707*(1-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1707*(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7">
        <f>(1-Summary!$B$11)*S1707+Summary!$B$11*U1707</f>
        <v/>
      </c>
      <c r="P1707">
        <f>IF(B1735=0,0,O1707/B1735)</f>
        <v/>
      </c>
      <c r="Q1707">
        <f>IFERROR(1/(IF(Inputs!$B$39="pvp",15,MAX(0.1,Skills!D15-IF(Skills!E15=TRUE,Inputs!$B$33,0)))*(1-IF(AND(ArtifactsInput!$M$27,Inputs!$B$4="Chapter Hunt"),CHOOSE(ArtifactsInput!$N$27+1,20,24,28,32,36,40),0)/100)),0)</f>
        <v/>
      </c>
      <c r="R1707" t="n">
        <v>0</v>
      </c>
      <c r="S1707">
        <f>IF(C1707,(Skills!F15*N1707*((IF(Inputs!$B$3&gt;=78,25,15)/100*B1728*10)/(1+IF(Inputs!$B$3&gt;=78,25,15)/100*B1728*10))*(Skills!I15/100*B1728)/(1+Skills!G15*Skills!I15/100*B1728))*IF(Inputs!$B$39="pvp",1,1+(Inputs!$B$21+Skills!O15+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1707*(1-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1707*(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1707*(1-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1707*(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7">
        <f>IF(C1707,(Skills!F15*N1707*((IF(Inputs!$B$3&gt;=78,25,15)/100*B1728*10)/(1+IF(Inputs!$B$3&gt;=78,25,15)/100*B1728*10))*(Skills!I15/100*B1728)/(1+Skills!G15*Skills!I15/100*B1728))*IF(Inputs!$B$39="pvp",1,(1+(Inputs!$B$22+Skills!P15+B1724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8">
      <c r="A1708">
        <f>Skills!A16</f>
        <v/>
      </c>
      <c r="B1708">
        <f>Skills!B16</f>
        <v/>
      </c>
      <c r="C1708">
        <f>Inputs!$B$3&gt;=100</f>
        <v/>
      </c>
      <c r="D1708">
        <f>IF(Skills!C16=1,60+Inputs!$B$26+Inputs!$B$30,IF(Skills!C16=2,90+Inputs!$B$27+Inputs!$B$30,IF(Skills!C16=3,120+Inputs!$B$28+Inputs!$B$30,MAX(0,(Inputs!$B$3-100)*3)+Inputs!$B$29+Inputs!$B$30)))</f>
        <v/>
      </c>
      <c r="E1708">
        <f>INDEX(FactorTable!$B$2:$Y$301, MATCH(ROUND(MIN(300,MAX(1,D1708)),0), FactorTable!$A$2:$A$301,0), Skills!L16+1)</f>
        <v/>
      </c>
      <c r="F1708">
        <f>IF(Skills!M16=TRUE,(Skills!K16/10)*(E1708/1000),Skills!K16/10)+Skills!N16</f>
        <v/>
      </c>
      <c r="G1708">
        <f>Calc!G16</f>
        <v/>
      </c>
      <c r="H1708">
        <f>Calc!H16</f>
        <v/>
      </c>
      <c r="I1708">
        <f>IF(Skills!T16&lt;&gt;"",1+(Skills!T16/10)*($Z$3/1000)/100,1)</f>
        <v/>
      </c>
      <c r="J1708" t="inlineStr"/>
      <c r="K1708" t="inlineStr"/>
      <c r="L1708" t="inlineStr"/>
      <c r="M1708" t="inlineStr"/>
      <c r="N1708" t="inlineStr"/>
      <c r="O1708">
        <f>(1-Summary!$B$11)*S1708+Summary!$B$11*U1708</f>
        <v/>
      </c>
      <c r="P1708">
        <f>IF(B1735=0,0,O1708/B1735)</f>
        <v/>
      </c>
      <c r="Q1708">
        <f>IFERROR(1/(IF(Inputs!$B$39="pvp",15,MAX(0.1,Skills!D16-IF(Skills!E16=TRUE,Inputs!$B$33,0)))*(1-IF(AND(ArtifactsInput!$M$27,Inputs!$B$4="Chapter Hunt"),CHOOSE(ArtifactsInput!$N$27+1,20,24,28,32,36,40),0)/100)),0)</f>
        <v/>
      </c>
      <c r="R1708" t="n">
        <v>0</v>
      </c>
      <c r="S1708" t="n">
        <v>0</v>
      </c>
      <c r="U1708" t="n">
        <v>0</v>
      </c>
    </row>
    <row r="1709">
      <c r="A1709">
        <f>Skills!A17</f>
        <v/>
      </c>
      <c r="B1709">
        <f>Skills!B17</f>
        <v/>
      </c>
      <c r="C1709">
        <f>Inputs!$B$3&gt;=49</f>
        <v/>
      </c>
      <c r="D1709">
        <f>IF(Skills!C17=1,60+Inputs!$B$26+Inputs!$B$30,IF(Skills!C17=2,90+Inputs!$B$27+Inputs!$B$30,IF(Skills!C17=3,120+Inputs!$B$28+Inputs!$B$30,MAX(0,(Inputs!$B$3-100)*3)+Inputs!$B$29+Inputs!$B$30)))</f>
        <v/>
      </c>
      <c r="E1709">
        <f>INDEX(FactorTable!$B$2:$Y$301, MATCH(ROUND(MIN(300,MAX(1,D1709)),0), FactorTable!$A$2:$A$301,0), Skills!L17+1)</f>
        <v/>
      </c>
      <c r="F1709">
        <f>IF(Skills!M17=TRUE,(Skills!K17/10)*(E1709/1000),Skills!K17/10)+Skills!N17</f>
        <v/>
      </c>
      <c r="G1709">
        <f>Calc!G17</f>
        <v/>
      </c>
      <c r="H1709">
        <f>Calc!H17</f>
        <v/>
      </c>
      <c r="I1709">
        <f>IF(Skills!T17&lt;&gt;"",1+(Skills!T17/10)*($Z$3/1000)/100,1)</f>
        <v/>
      </c>
      <c r="J1709" t="inlineStr"/>
      <c r="K1709" t="inlineStr"/>
      <c r="L1709" t="inlineStr"/>
      <c r="M1709" t="inlineStr"/>
      <c r="N1709" t="inlineStr"/>
      <c r="O1709">
        <f>(1-Summary!$B$11)*S1709+Summary!$B$11*U1709</f>
        <v/>
      </c>
      <c r="P1709">
        <f>IF(B1735=0,0,O1709/B1735)</f>
        <v/>
      </c>
      <c r="Q1709">
        <f>IFERROR(1/(IF(Inputs!$B$39="pvp",15,MAX(0.1,Skills!D17-IF(Skills!E17=TRUE,Inputs!$B$33,0)))*(1-IF(AND(ArtifactsInput!$M$27,Inputs!$B$4="Chapter Hunt"),CHOOSE(ArtifactsInput!$N$27+1,20,24,28,32,36,40),0)/100)),0)</f>
        <v/>
      </c>
      <c r="R1709" t="n">
        <v>0</v>
      </c>
      <c r="S1709" t="n">
        <v>0</v>
      </c>
      <c r="U1709" t="n">
        <v>0</v>
      </c>
    </row>
    <row r="1710">
      <c r="A1710">
        <f>Skills!A18</f>
        <v/>
      </c>
      <c r="B1710">
        <f>Skills!B18</f>
        <v/>
      </c>
      <c r="C1710">
        <f>Inputs!$B$3&gt;=75</f>
        <v/>
      </c>
      <c r="D1710">
        <f>IF(Skills!C18=1,60+Inputs!$B$26+Inputs!$B$30,IF(Skills!C18=2,90+Inputs!$B$27+Inputs!$B$30,IF(Skills!C18=3,120+Inputs!$B$28+Inputs!$B$30,MAX(0,(Inputs!$B$3-100)*3)+Inputs!$B$29+Inputs!$B$30)))</f>
        <v/>
      </c>
      <c r="E1710">
        <f>INDEX(FactorTable!$B$2:$Y$301, MATCH(ROUND(MIN(300,MAX(1,D1710)),0), FactorTable!$A$2:$A$301,0), Skills!L18+1)</f>
        <v/>
      </c>
      <c r="F1710">
        <f>IF(Skills!M18=TRUE,(Skills!K18/10)*(E1710/1000),Skills!K18/10)+Skills!N18</f>
        <v/>
      </c>
      <c r="G1710">
        <f>Calc!G18</f>
        <v/>
      </c>
      <c r="H1710">
        <f>Calc!H18</f>
        <v/>
      </c>
      <c r="I1710">
        <f>IF(Skills!T18&lt;&gt;"",1+(Skills!T18/10)*($Z$3/1000)/100,1)</f>
        <v/>
      </c>
      <c r="J1710" t="inlineStr"/>
      <c r="K1710" t="inlineStr"/>
      <c r="L1710" t="inlineStr"/>
      <c r="M1710" t="inlineStr"/>
      <c r="N1710" t="inlineStr"/>
      <c r="O1710">
        <f>(1-Summary!$B$11)*S1710+Summary!$B$11*U1710</f>
        <v/>
      </c>
      <c r="P1710">
        <f>IF(B1735=0,0,O1710/B1735)</f>
        <v/>
      </c>
      <c r="Q1710">
        <f>IFERROR(1/(IF(Inputs!$B$39="pvp",15,MAX(0.1,Skills!D18-IF(Skills!E18=TRUE,Inputs!$B$33,0)))*(1-IF(AND(ArtifactsInput!$M$27,Inputs!$B$4="Chapter Hunt"),CHOOSE(ArtifactsInput!$N$27+1,20,24,28,32,36,40),0)/100)),0)</f>
        <v/>
      </c>
      <c r="R1710" t="n">
        <v>0</v>
      </c>
      <c r="S1710" t="n">
        <v>0</v>
      </c>
      <c r="U1710" t="n">
        <v>0</v>
      </c>
    </row>
    <row r="1711">
      <c r="A1711">
        <f>Skills!A19</f>
        <v/>
      </c>
      <c r="B1711">
        <f>Skills!B19</f>
        <v/>
      </c>
      <c r="C1711">
        <f>Inputs!$B$3&gt;=110</f>
        <v/>
      </c>
      <c r="D1711">
        <f>IF(Skills!C19=1,60+Inputs!$B$26+Inputs!$B$30,IF(Skills!C19=2,90+Inputs!$B$27+Inputs!$B$30,IF(Skills!C19=3,120+Inputs!$B$28+Inputs!$B$30,MAX(0,(Inputs!$B$3-100)*3)+Inputs!$B$29+Inputs!$B$30)))</f>
        <v/>
      </c>
      <c r="E1711">
        <f>INDEX(FactorTable!$B$2:$Y$301, MATCH(ROUND(MIN(300,MAX(1,D1711)),0), FactorTable!$A$2:$A$301,0), Skills!L19+1)</f>
        <v/>
      </c>
      <c r="F1711">
        <f>(Skills!K19/10)*(E1711/1000)*64/45+Skills!N19</f>
        <v/>
      </c>
      <c r="G1711">
        <f>Calc!G19</f>
        <v/>
      </c>
      <c r="H1711">
        <f>Calc!H19</f>
        <v/>
      </c>
      <c r="I1711">
        <f>IF(Skills!T19&lt;&gt;"",1+(Skills!T19/10)*($Z$3/1000)/100,1)</f>
        <v/>
      </c>
      <c r="J1711" t="inlineStr"/>
      <c r="K1711" t="inlineStr"/>
      <c r="L1711" t="inlineStr"/>
      <c r="M1711" t="inlineStr"/>
      <c r="N1711" t="inlineStr"/>
      <c r="O1711">
        <f>(1-Summary!$B$11)*S1711+Summary!$B$11*U1711</f>
        <v/>
      </c>
      <c r="P1711">
        <f>IF(B1735=0,0,O1711/B1735)</f>
        <v/>
      </c>
      <c r="Q1711">
        <f>IFERROR(1/(IF(Inputs!$B$39="pvp",15,MAX(0.1,Skills!D19-IF(Skills!E19=TRUE,Inputs!$B$33,0)))*(1-IF(AND(ArtifactsInput!$M$27,Inputs!$B$4="Chapter Hunt"),CHOOSE(ArtifactsInput!$N$27+1,20,24,28,32,36,40),0)/100)),0)</f>
        <v/>
      </c>
      <c r="R1711">
        <f>IF(AND(Inputs!$B$39&lt;&gt;"pvp",Inputs!$B$44&gt;0),IF(Inputs!$B$44&lt;=0,0,(INT(Inputs!$B$44/(IF(Inputs!$B$39="pvp",15,MAX(0.1,Skills!D19-IF(Skills!E19=TRUE,Inputs!$B$33,0)))*(1-IF(AND(ArtifactsInput!$M$27,Inputs!$B$4="Chapter Hunt"),CHOOSE(ArtifactsInput!$N$27+1,20,24,28,32,36,40),0)/100)))+1)),0)</f>
        <v/>
      </c>
      <c r="S1711" t="n">
        <v>0</v>
      </c>
      <c r="U1711" t="n">
        <v>0</v>
      </c>
    </row>
    <row r="1712">
      <c r="A1712">
        <f>Skills!A20</f>
        <v/>
      </c>
      <c r="B1712">
        <f>Skills!B20</f>
        <v/>
      </c>
      <c r="C1712">
        <f>Inputs!$B$3&gt;=125</f>
        <v/>
      </c>
      <c r="D1712">
        <f>IF(Skills!C20=1,60+Inputs!$B$26+Inputs!$B$30,IF(Skills!C20=2,90+Inputs!$B$27+Inputs!$B$30,IF(Skills!C20=3,120+Inputs!$B$28+Inputs!$B$30,MAX(0,(Inputs!$B$3-100)*3)+Inputs!$B$29+Inputs!$B$30)))</f>
        <v/>
      </c>
      <c r="E1712">
        <f>INDEX(FactorTable!$B$2:$Y$301, MATCH(ROUND(MIN(300,MAX(1,D1712)),0), FactorTable!$A$2:$A$301,0), Skills!L20+1)</f>
        <v/>
      </c>
      <c r="F1712">
        <f>IF(Skills!M20=TRUE,(Skills!K20/10)*(E1712/1000),Skills!K20/10)+Skills!N20</f>
        <v/>
      </c>
      <c r="G1712">
        <f>Calc!G20</f>
        <v/>
      </c>
      <c r="H1712">
        <f>Calc!H20</f>
        <v/>
      </c>
      <c r="I1712">
        <f>IF(Skills!T20&lt;&gt;"",1+(Skills!T20/10)*($Z$3/1000)/100,1)</f>
        <v/>
      </c>
      <c r="J1712" t="inlineStr"/>
      <c r="K1712" t="inlineStr"/>
      <c r="L1712" t="inlineStr"/>
      <c r="M1712" t="inlineStr"/>
      <c r="N1712" t="inlineStr"/>
      <c r="O1712">
        <f>(1-Summary!$B$11)*S1712+Summary!$B$11*U1712</f>
        <v/>
      </c>
      <c r="P1712">
        <f>IF(B1735=0,0,O1712/B1735)</f>
        <v/>
      </c>
      <c r="Q1712">
        <f>IFERROR(1/(IF(Inputs!$B$39="pvp",15,MAX(0.1,Skills!D20-IF(Skills!E20=TRUE,Inputs!$B$33,0)))*(1-IF(AND(ArtifactsInput!$M$27,Inputs!$B$4="Chapter Hunt"),CHOOSE(ArtifactsInput!$N$27+1,20,24,28,32,36,40),0)/100)),0)</f>
        <v/>
      </c>
      <c r="R1712" t="n">
        <v>0</v>
      </c>
      <c r="S1712" t="n">
        <v>0</v>
      </c>
      <c r="U1712" t="n">
        <v>0</v>
      </c>
    </row>
    <row r="1713">
      <c r="A1713">
        <f>Skills!A21</f>
        <v/>
      </c>
      <c r="B1713">
        <f>Skills!B21</f>
        <v/>
      </c>
      <c r="C1713">
        <f>Inputs!$B$3&gt;=33</f>
        <v/>
      </c>
      <c r="D1713">
        <f>IF(Skills!C21=1,60+Inputs!$B$26+Inputs!$B$30,IF(Skills!C21=2,90+Inputs!$B$27+Inputs!$B$30,IF(Skills!C21=3,120+Inputs!$B$28+Inputs!$B$30,MAX(0,(Inputs!$B$3-100)*3)+Inputs!$B$29+Inputs!$B$30)))</f>
        <v/>
      </c>
      <c r="E1713">
        <f>INDEX(FactorTable!$B$2:$Y$301, MATCH(ROUND(MIN(300,MAX(1,D1713)),0), FactorTable!$A$2:$A$301,0), Skills!L21+1)</f>
        <v/>
      </c>
      <c r="F1713">
        <f>IF(Skills!M21=TRUE,(Skills!K21/10)*(E1713/1000),Skills!K21/10)+Skills!N21</f>
        <v/>
      </c>
      <c r="G1713">
        <f>Calc!G21</f>
        <v/>
      </c>
      <c r="H1713">
        <f>Calc!H21</f>
        <v/>
      </c>
      <c r="I1713">
        <f>IF(Skills!T21&lt;&gt;"",1+(Skills!T21/10)*($Z$3/1000)/100,1)</f>
        <v/>
      </c>
      <c r="J1713" t="inlineStr"/>
      <c r="K1713" t="inlineStr"/>
      <c r="L1713" t="inlineStr"/>
      <c r="M1713" t="inlineStr"/>
      <c r="N1713" t="inlineStr"/>
      <c r="O1713">
        <f>(1-Summary!$B$11)*S1713+Summary!$B$11*U1713</f>
        <v/>
      </c>
      <c r="P1713">
        <f>IF(B1735=0,0,O1713/B1735)</f>
        <v/>
      </c>
      <c r="Q1713">
        <f>IFERROR(1/(IF(Inputs!$B$39="pvp",15,MAX(0.1,Skills!D21-IF(Skills!E21=TRUE,Inputs!$B$33,0)))*(1-IF(AND(ArtifactsInput!$M$27,Inputs!$B$4="Chapter Hunt"),CHOOSE(ArtifactsInput!$N$27+1,20,24,28,32,36,40),0)/100)),0)</f>
        <v/>
      </c>
      <c r="R1713" t="n">
        <v>0</v>
      </c>
      <c r="S1713" t="n">
        <v>0</v>
      </c>
      <c r="U1713" t="n">
        <v>0</v>
      </c>
    </row>
    <row r="1714">
      <c r="A1714">
        <f>Skills!A22</f>
        <v/>
      </c>
      <c r="B1714">
        <f>Skills!B22</f>
        <v/>
      </c>
      <c r="C1714">
        <f>Inputs!$B$3&gt;=43</f>
        <v/>
      </c>
      <c r="D1714">
        <f>IF(Skills!C22=1,60+Inputs!$B$26+Inputs!$B$30,IF(Skills!C22=2,90+Inputs!$B$27+Inputs!$B$30,IF(Skills!C22=3,120+Inputs!$B$28+Inputs!$B$30,MAX(0,(Inputs!$B$3-100)*3)+Inputs!$B$29+Inputs!$B$30)))</f>
        <v/>
      </c>
      <c r="E1714">
        <f>INDEX(FactorTable!$B$2:$Y$301, MATCH(ROUND(MIN(300,MAX(1,D1714)),0), FactorTable!$A$2:$A$301,0), Skills!L22+1)</f>
        <v/>
      </c>
      <c r="F1714">
        <f>IF(Skills!M22=TRUE,(Skills!K22/10)*(E1714/1000),Skills!K22/10)+Skills!N22</f>
        <v/>
      </c>
      <c r="G1714">
        <f>Calc!G22</f>
        <v/>
      </c>
      <c r="H1714">
        <f>Calc!H22</f>
        <v/>
      </c>
      <c r="I1714">
        <f>IF(Skills!T22&lt;&gt;"",1+(Skills!T22/10)*($Z$3/1000)/100,1)</f>
        <v/>
      </c>
      <c r="J1714" t="inlineStr"/>
      <c r="K1714" t="inlineStr"/>
      <c r="L1714" t="inlineStr"/>
      <c r="M1714" t="inlineStr"/>
      <c r="N1714" t="inlineStr"/>
      <c r="O1714">
        <f>(1-Summary!$B$11)*S1714+Summary!$B$11*U1714</f>
        <v/>
      </c>
      <c r="P1714">
        <f>IF(B1735=0,0,O1714/B1735)</f>
        <v/>
      </c>
      <c r="Q1714">
        <f>IFERROR(1/(IF(Inputs!$B$39="pvp",15,MAX(0.1,Skills!D22-IF(Skills!E22=TRUE,Inputs!$B$33,0)))*(1-IF(AND(ArtifactsInput!$M$27,Inputs!$B$4="Chapter Hunt"),CHOOSE(ArtifactsInput!$N$27+1,20,24,28,32,36,40),0)/100)),0)</f>
        <v/>
      </c>
      <c r="R1714" t="n">
        <v>0</v>
      </c>
      <c r="S1714" t="n">
        <v>0</v>
      </c>
      <c r="U1714" t="n">
        <v>0</v>
      </c>
    </row>
    <row r="1715">
      <c r="A1715">
        <f>Skills!A23</f>
        <v/>
      </c>
      <c r="B1715">
        <f>Skills!B23</f>
        <v/>
      </c>
      <c r="C1715">
        <f>Inputs!$B$3&gt;=50</f>
        <v/>
      </c>
      <c r="D1715">
        <f>IF(Skills!C23=1,60+Inputs!$B$26+Inputs!$B$30,IF(Skills!C23=2,90+Inputs!$B$27+Inputs!$B$30,IF(Skills!C23=3,120+Inputs!$B$28+Inputs!$B$30,MAX(0,(Inputs!$B$3-100)*3)+Inputs!$B$29+Inputs!$B$30)))</f>
        <v/>
      </c>
      <c r="E1715">
        <f>INDEX(FactorTable!$B$2:$Y$301, MATCH(ROUND(MIN(300,MAX(1,D1715)),0), FactorTable!$A$2:$A$301,0), Skills!L23+1)</f>
        <v/>
      </c>
      <c r="F1715">
        <f>IF(Skills!M23=TRUE,(Skills!K23/10)*(E1715/1000),Skills!K23/10)+Skills!N23</f>
        <v/>
      </c>
      <c r="G1715">
        <f>Calc!G23</f>
        <v/>
      </c>
      <c r="H1715">
        <f>Calc!H23</f>
        <v/>
      </c>
      <c r="I1715">
        <f>IF(Skills!T23&lt;&gt;"",1+(Skills!T23/10)*($Z$3/1000)/100,1)</f>
        <v/>
      </c>
      <c r="J1715" t="inlineStr"/>
      <c r="K1715" t="inlineStr"/>
      <c r="L1715" t="inlineStr"/>
      <c r="M1715" t="inlineStr"/>
      <c r="N1715" t="inlineStr"/>
      <c r="O1715">
        <f>(1-Summary!$B$11)*S1715+Summary!$B$11*U1715</f>
        <v/>
      </c>
      <c r="P1715">
        <f>IF(B1735=0,0,O1715/B1735)</f>
        <v/>
      </c>
      <c r="Q1715">
        <f>IFERROR(1/(IF(Inputs!$B$39="pvp",15,MAX(0.1,Skills!D23-IF(Skills!E23=TRUE,Inputs!$B$33,0)))*(1-IF(AND(ArtifactsInput!$M$27,Inputs!$B$4="Chapter Hunt"),CHOOSE(ArtifactsInput!$N$27+1,20,24,28,32,36,40),0)/100)),0)</f>
        <v/>
      </c>
      <c r="R1715" t="n">
        <v>0</v>
      </c>
      <c r="S1715" t="n">
        <v>0</v>
      </c>
      <c r="U1715" t="n">
        <v>0</v>
      </c>
    </row>
    <row r="1716">
      <c r="A1716">
        <f>Skills!A24</f>
        <v/>
      </c>
      <c r="B1716">
        <f>Skills!B24</f>
        <v/>
      </c>
      <c r="C1716">
        <f>Inputs!$B$3&gt;=74</f>
        <v/>
      </c>
      <c r="D1716">
        <f>IF(Skills!C24=1,60+Inputs!$B$26+Inputs!$B$30,IF(Skills!C24=2,90+Inputs!$B$27+Inputs!$B$30,IF(Skills!C24=3,120+Inputs!$B$28+Inputs!$B$30,MAX(0,(Inputs!$B$3-100)*3)+Inputs!$B$29+Inputs!$B$30)))</f>
        <v/>
      </c>
      <c r="E1716">
        <f>INDEX(FactorTable!$B$2:$Y$301, MATCH(ROUND(MIN(300,MAX(1,D1716)),0), FactorTable!$A$2:$A$301,0), Skills!L24+1)</f>
        <v/>
      </c>
      <c r="F1716">
        <f>IF(Skills!M24=TRUE,(Skills!K24/10)*(E1716/1000),Skills!K24/10)+Skills!N24</f>
        <v/>
      </c>
      <c r="G1716">
        <f>Calc!G24</f>
        <v/>
      </c>
      <c r="H1716">
        <f>Calc!H24</f>
        <v/>
      </c>
      <c r="I1716">
        <f>IF(Skills!T24&lt;&gt;"",1+(Skills!T24/10)*($Z$3/1000)/100,1)</f>
        <v/>
      </c>
      <c r="J1716" t="inlineStr"/>
      <c r="K1716" t="inlineStr"/>
      <c r="L1716" t="inlineStr"/>
      <c r="M1716" t="inlineStr"/>
      <c r="N1716" t="inlineStr"/>
      <c r="O1716">
        <f>(1-Summary!$B$11)*S1716+Summary!$B$11*U1716</f>
        <v/>
      </c>
      <c r="P1716">
        <f>IF(B1735=0,0,O1716/B1735)</f>
        <v/>
      </c>
      <c r="Q1716">
        <f>IFERROR(1/(IF(Inputs!$B$39="pvp",15,MAX(0.1,Skills!D24-IF(Skills!E24=TRUE,Inputs!$B$33,0)))*(1-IF(AND(ArtifactsInput!$M$27,Inputs!$B$4="Chapter Hunt"),CHOOSE(ArtifactsInput!$N$27+1,20,24,28,32,36,40),0)/100)),0)</f>
        <v/>
      </c>
      <c r="R1716" t="n">
        <v>0</v>
      </c>
      <c r="S1716" t="n">
        <v>0</v>
      </c>
      <c r="U1716" t="n">
        <v>0</v>
      </c>
    </row>
    <row r="1717">
      <c r="A1717">
        <f>Skills!A25</f>
        <v/>
      </c>
      <c r="B1717">
        <f>Skills!B25</f>
        <v/>
      </c>
      <c r="C1717">
        <f>Inputs!$B$3&gt;=74</f>
        <v/>
      </c>
      <c r="D1717">
        <f>IF(Skills!C25=1,60+Inputs!$B$26+Inputs!$B$30,IF(Skills!C25=2,90+Inputs!$B$27+Inputs!$B$30,IF(Skills!C25=3,120+Inputs!$B$28+Inputs!$B$30,MAX(0,(Inputs!$B$3-100)*3)+Inputs!$B$29+Inputs!$B$30)))</f>
        <v/>
      </c>
      <c r="E1717">
        <f>INDEX(FactorTable!$B$2:$Y$301, MATCH(ROUND(MIN(300,MAX(1,D1717)),0), FactorTable!$A$2:$A$301,0), Skills!L25+1)</f>
        <v/>
      </c>
      <c r="F1717">
        <f>IF(Skills!M25=TRUE,(Skills!K25/10)*(E1717/1000),Skills!K25/10)+Skills!N25</f>
        <v/>
      </c>
      <c r="G1717">
        <f>Calc!G25</f>
        <v/>
      </c>
      <c r="H1717">
        <f>Calc!H25</f>
        <v/>
      </c>
      <c r="I1717">
        <f>IF(Skills!T25&lt;&gt;"",1+(Skills!T25/10)*($Z$3/1000)/100,1)</f>
        <v/>
      </c>
      <c r="J1717" t="inlineStr"/>
      <c r="K1717" t="inlineStr"/>
      <c r="L1717" t="inlineStr"/>
      <c r="M1717" t="inlineStr"/>
      <c r="N1717" t="inlineStr"/>
      <c r="O1717">
        <f>(1-Summary!$B$11)*S1717+Summary!$B$11*U1717</f>
        <v/>
      </c>
      <c r="P1717">
        <f>IF(B1735=0,0,O1717/B1735)</f>
        <v/>
      </c>
      <c r="Q1717">
        <f>IFERROR(1/(IF(Inputs!$B$39="pvp",15,MAX(0.1,Skills!D25-IF(Skills!E25=TRUE,Inputs!$B$33,0)))*(1-IF(AND(ArtifactsInput!$M$27,Inputs!$B$4="Chapter Hunt"),CHOOSE(ArtifactsInput!$N$27+1,20,24,28,32,36,40),0)/100)),0)</f>
        <v/>
      </c>
      <c r="R1717" t="n">
        <v>0</v>
      </c>
      <c r="S1717" t="n">
        <v>0</v>
      </c>
      <c r="U1717" t="n">
        <v>0</v>
      </c>
    </row>
    <row r="1718">
      <c r="A1718">
        <f>Skills!A26</f>
        <v/>
      </c>
      <c r="B1718">
        <f>Skills!B26</f>
        <v/>
      </c>
      <c r="C1718">
        <f>Inputs!$B$3&gt;=117</f>
        <v/>
      </c>
      <c r="D1718">
        <f>IF(Skills!C26=1,60+Inputs!$B$26+Inputs!$B$30,IF(Skills!C26=2,90+Inputs!$B$27+Inputs!$B$30,IF(Skills!C26=3,120+Inputs!$B$28+Inputs!$B$30,MAX(0,(Inputs!$B$3-100)*3)+Inputs!$B$29+Inputs!$B$30)))</f>
        <v/>
      </c>
      <c r="E1718">
        <f>INDEX(FactorTable!$B$2:$Y$301, MATCH(ROUND(MIN(300,MAX(1,D1718)),0), FactorTable!$A$2:$A$301,0), Skills!L26+1)</f>
        <v/>
      </c>
      <c r="F1718">
        <f>IF(Skills!M26=TRUE,(Skills!K26/10)*(E1718/1000),Skills!K26/10)+Skills!N26</f>
        <v/>
      </c>
      <c r="G1718">
        <f>Calc!G26</f>
        <v/>
      </c>
      <c r="H1718">
        <f>Calc!H26</f>
        <v/>
      </c>
      <c r="I1718">
        <f>IF(Skills!T26&lt;&gt;"",1+(Skills!T26/10)*($Z$3/1000)/100,1)</f>
        <v/>
      </c>
      <c r="J1718" t="inlineStr"/>
      <c r="K1718" t="inlineStr"/>
      <c r="L1718" t="inlineStr"/>
      <c r="M1718" t="inlineStr"/>
      <c r="N1718" t="inlineStr"/>
      <c r="O1718">
        <f>(1-Summary!$B$11)*S1718+Summary!$B$11*U1718</f>
        <v/>
      </c>
      <c r="P1718">
        <f>IF(B1735=0,0,O1718/B1735)</f>
        <v/>
      </c>
      <c r="Q1718">
        <f>IFERROR(1/(IF(Inputs!$B$39="pvp",15,MAX(0.1,Skills!D26-IF(Skills!E26=TRUE,Inputs!$B$33,0)))*(1-IF(AND(ArtifactsInput!$M$27,Inputs!$B$4="Chapter Hunt"),CHOOSE(ArtifactsInput!$N$27+1,20,24,28,32,36,40),0)/100)),0)</f>
        <v/>
      </c>
      <c r="R1718" t="n">
        <v>0</v>
      </c>
      <c r="S1718" t="n">
        <v>0</v>
      </c>
      <c r="U1718" t="n">
        <v>0</v>
      </c>
    </row>
    <row r="1719">
      <c r="A1719">
        <f>Skills!A27</f>
        <v/>
      </c>
      <c r="B1719">
        <f>Skills!B27</f>
        <v/>
      </c>
      <c r="C1719">
        <f>Inputs!$B$3&gt;=120</f>
        <v/>
      </c>
      <c r="D1719">
        <f>IF(Skills!C27=1,60+Inputs!$B$26+Inputs!$B$30,IF(Skills!C27=2,90+Inputs!$B$27+Inputs!$B$30,IF(Skills!C27=3,120+Inputs!$B$28+Inputs!$B$30,MAX(0,(Inputs!$B$3-100)*3)+Inputs!$B$29+Inputs!$B$30)))</f>
        <v/>
      </c>
      <c r="E1719">
        <f>INDEX(FactorTable!$B$2:$Y$301, MATCH(ROUND(MIN(300,MAX(1,D1719)),0), FactorTable!$A$2:$A$301,0), Skills!L27+1)</f>
        <v/>
      </c>
      <c r="F1719">
        <f>IF(Skills!M27=TRUE,(Skills!K27/10)*(E1719/1000),Skills!K27/10)+Skills!N27</f>
        <v/>
      </c>
      <c r="G1719">
        <f>Calc!G27</f>
        <v/>
      </c>
      <c r="H1719">
        <f>Calc!H27</f>
        <v/>
      </c>
      <c r="I1719">
        <f>IF(Skills!T27&lt;&gt;"",1+(Skills!T27/10)*($Z$3/1000)/100,1)</f>
        <v/>
      </c>
      <c r="J1719" t="inlineStr"/>
      <c r="K1719" t="inlineStr"/>
      <c r="L1719" t="inlineStr"/>
      <c r="M1719" t="inlineStr"/>
      <c r="N1719" t="inlineStr"/>
      <c r="O1719">
        <f>(1-Summary!$B$11)*S1719+Summary!$B$11*U1719</f>
        <v/>
      </c>
      <c r="P1719">
        <f>IF(B1735=0,0,O1719/B1735)</f>
        <v/>
      </c>
      <c r="Q1719">
        <f>IFERROR(1/(IF(Inputs!$B$39="pvp",15,MAX(0.1,Skills!D27-IF(Skills!E27=TRUE,Inputs!$B$33,0)))*(1-IF(AND(ArtifactsInput!$M$27,Inputs!$B$4="Chapter Hunt"),CHOOSE(ArtifactsInput!$N$27+1,20,24,28,32,36,40),0)/100)),0)</f>
        <v/>
      </c>
      <c r="R1719" t="n">
        <v>0</v>
      </c>
      <c r="S1719" t="n">
        <v>0</v>
      </c>
      <c r="U1719" t="n">
        <v>0</v>
      </c>
    </row>
    <row r="1720">
      <c r="A1720">
        <f>Skills!A28</f>
        <v/>
      </c>
      <c r="B1720">
        <f>Skills!B28</f>
        <v/>
      </c>
      <c r="C1720">
        <f>TRUE</f>
        <v/>
      </c>
      <c r="D1720">
        <f>IF(Skills!C28=1,60+Inputs!$B$26+Inputs!$B$30,IF(Skills!C28=2,90+Inputs!$B$27+Inputs!$B$30,IF(Skills!C28=3,120+Inputs!$B$28+Inputs!$B$30,MAX(0,(Inputs!$B$3-100)*3)+Inputs!$B$29+Inputs!$B$30)))</f>
        <v/>
      </c>
      <c r="E1720">
        <f>INDEX(FactorTable!$B$2:$Y$301, MATCH(ROUND(MIN(300,MAX(1,D1720)),0), FactorTable!$A$2:$A$301,0), Skills!L28+1)</f>
        <v/>
      </c>
      <c r="F1720">
        <f>IF(Skills!M28=TRUE,(Skills!K28/10)*(E1720/1000),Skills!K28/10)+Skills!N28</f>
        <v/>
      </c>
      <c r="G1720">
        <f>Calc!G28</f>
        <v/>
      </c>
      <c r="H1720">
        <f>Calc!H28</f>
        <v/>
      </c>
      <c r="I1720">
        <f>IF(Skills!T28&lt;&gt;"",1+(Skills!T28/10)*($Z$3/1000)/100,1)</f>
        <v/>
      </c>
      <c r="J1720" t="inlineStr"/>
      <c r="K1720" t="inlineStr"/>
      <c r="L1720" t="inlineStr"/>
      <c r="M1720" t="inlineStr"/>
      <c r="N1720" t="inlineStr"/>
      <c r="O1720">
        <f>(1-Summary!$B$11)*S1720+Summary!$B$11*U1720</f>
        <v/>
      </c>
      <c r="P1720">
        <f>IF(B1735=0,0,O1720/B1735)</f>
        <v/>
      </c>
      <c r="Q1720">
        <f>IFERROR(1/(IF(Inputs!$B$39="pvp",15,MAX(0.1,Skills!D28-IF(Skills!E28=TRUE,Inputs!$B$33,0)))*(1-IF(AND(ArtifactsInput!$M$27,Inputs!$B$4="Chapter Hunt"),CHOOSE(ArtifactsInput!$N$27+1,20,24,28,32,36,40),0)/100)),0)</f>
        <v/>
      </c>
      <c r="R1720">
        <f>IF(AND(Inputs!$B$39&lt;&gt;"pvp",Inputs!$B$44&gt;0),IF(Inputs!$B$44&lt;=0,0,(INT(Inputs!$B$44/(IF(Inputs!$B$39="pvp",15,MAX(0.1,Skills!D28-IF(Skills!E28=TRUE,Inputs!$B$33,0)))*(1-IF(AND(ArtifactsInput!$M$27,Inputs!$B$4="Chapter Hunt"),CHOOSE(ArtifactsInput!$N$27+1,20,24,28,32,36,40),0)/100)))+1)),0)</f>
        <v/>
      </c>
      <c r="S1720" t="n">
        <v>0</v>
      </c>
      <c r="U1720" t="n">
        <v>0</v>
      </c>
    </row>
    <row r="1722">
      <c r="A1722" t="inlineStr">
        <is>
          <t>Average Buff Multiplier</t>
        </is>
      </c>
      <c r="B1722">
        <f>(1+(IF(C1695=TRUE,F1695*IF(AND(Inputs!$B$39&lt;&gt;"pvp",Inputs!$B$44&gt;0),(((R1695-1)*(Skills!S3*(1+((Inputs!$B$35+(ArtifactsInput!$M$7-ArtifactsInput!$M$7)*CHOOSE(ArtifactsInput!$N$7+1,6,7.2,8.4,9.6,10.8,12))+IF(Inputs!$B$3&gt;=117,F1718,0))/100))+MIN((Skills!S3*(1+((Inputs!$B$35+(ArtifactsInput!$M$7-ArtifactsInput!$M$7)*CHOOSE(ArtifactsInput!$N$7+1,6,7.2,8.4,9.6,10.8,12))+IF(Inputs!$B$3&gt;=117,F1718,0))/100)),MAX(0,Inputs!$B$44-((R1695-1)*Skills!D3))))/Inputs!$B$44),IF(Inputs!$B$39="pvp",MIN((Skills!S3*(1+((Inputs!$B$35+(ArtifactsInput!$M$7-ArtifactsInput!$M$7)*CHOOSE(ArtifactsInput!$N$7+1,6,7.2,8.4,9.6,10.8,12))+IF(Inputs!$B$3&gt;=117,F1718,0))/100)),15)/15,(Skills!S3*(1+((Inputs!$B$35+(ArtifactsInput!$M$7-ArtifactsInput!$M$7)*CHOOSE(ArtifactsInput!$N$7+1,6,7.2,8.4,9.6,10.8,12))+IF(Inputs!$B$3&gt;=117,F1718,0))/100))/Skills!D3)),0)+IF(C1696=TRUE,F1696*IF(AND(Inputs!$B$39&lt;&gt;"pvp",Inputs!$B$44&gt;0),(((R1696-1)*(Skills!S4*(1+((Inputs!$B$35+(ArtifactsInput!$M$7-ArtifactsInput!$M$7)*CHOOSE(ArtifactsInput!$N$7+1,6,7.2,8.4,9.6,10.8,12))+IF(Inputs!$B$3&gt;=117,F1718,0))/100))+MIN((Skills!S4*(1+((Inputs!$B$35+(ArtifactsInput!$M$7-ArtifactsInput!$M$7)*CHOOSE(ArtifactsInput!$N$7+1,6,7.2,8.4,9.6,10.8,12))+IF(Inputs!$B$3&gt;=117,F1718,0))/100)),MAX(0,Inputs!$B$44-((R1696-1)*Skills!D4))))/Inputs!$B$44),IF(Inputs!$B$39="pvp",MIN((Skills!S4*(1+((Inputs!$B$35+(ArtifactsInput!$M$7-ArtifactsInput!$M$7)*CHOOSE(ArtifactsInput!$N$7+1,6,7.2,8.4,9.6,10.8,12))+IF(Inputs!$B$3&gt;=117,F1718,0))/100)),15)/15,(Skills!S4*(1+((Inputs!$B$35+(ArtifactsInput!$M$7-ArtifactsInput!$M$7)*CHOOSE(ArtifactsInput!$N$7+1,6,7.2,8.4,9.6,10.8,12))+IF(Inputs!$B$3&gt;=117,F1718,0))/100))/Skills!D4)),0)+IF(C1697=TRUE,F1697*IF(AND(Inputs!$B$39&lt;&gt;"pvp",Inputs!$B$44&gt;0),(((R1697-1)*(Skills!S5*(1+((Inputs!$B$35+(ArtifactsInput!$M$7-ArtifactsInput!$M$7)*CHOOSE(ArtifactsInput!$N$7+1,6,7.2,8.4,9.6,10.8,12))+IF(Inputs!$B$3&gt;=117,F1718,0))/100))+MIN((Skills!S5*(1+((Inputs!$B$35+(ArtifactsInput!$M$7-ArtifactsInput!$M$7)*CHOOSE(ArtifactsInput!$N$7+1,6,7.2,8.4,9.6,10.8,12))+IF(Inputs!$B$3&gt;=117,F1718,0))/100)),MAX(0,Inputs!$B$44-((R1697-1)*Skills!D5))))/Inputs!$B$44),IF(Inputs!$B$39="pvp",MIN((Skills!S5*(1+((Inputs!$B$35+(ArtifactsInput!$M$7-ArtifactsInput!$M$7)*CHOOSE(ArtifactsInput!$N$7+1,6,7.2,8.4,9.6,10.8,12))+IF(Inputs!$B$3&gt;=117,F1718,0))/100)),15)/15,(Skills!S5*(1+((Inputs!$B$35+(ArtifactsInput!$M$7-ArtifactsInput!$M$7)*CHOOSE(ArtifactsInput!$N$7+1,6,7.2,8.4,9.6,10.8,12))+IF(Inputs!$B$3&gt;=117,F1718,0))/100))/Skills!D5)),0)+IF(C1703=TRUE,F1703*IF(AND(Inputs!$B$39&lt;&gt;"pvp",Inputs!$B$44&gt;0),(((R1703-1)*(Skills!S11*(1+((Inputs!$B$35+(ArtifactsInput!$M$7-ArtifactsInput!$M$7)*CHOOSE(ArtifactsInput!$N$7+1,6,7.2,8.4,9.6,10.8,12))+IF(Inputs!$B$3&gt;=117,F1718,0))/100))+MIN((Skills!S11*(1+((Inputs!$B$35+(ArtifactsInput!$M$7-ArtifactsInput!$M$7)*CHOOSE(ArtifactsInput!$N$7+1,6,7.2,8.4,9.6,10.8,12))+IF(Inputs!$B$3&gt;=117,F1718,0))/100)),MAX(0,Inputs!$B$44-((R1703-1)*Skills!D11))))/Inputs!$B$44),IF(Inputs!$B$39="pvp",MIN((Skills!S11*(1+((Inputs!$B$35+(ArtifactsInput!$M$7-ArtifactsInput!$M$7)*CHOOSE(ArtifactsInput!$N$7+1,6,7.2,8.4,9.6,10.8,12))+IF(Inputs!$B$3&gt;=117,F1718,0))/100)),15)/15,(Skills!S11*(1+((Inputs!$B$35+(ArtifactsInput!$M$7-ArtifactsInput!$M$7)*CHOOSE(ArtifactsInput!$N$7+1,6,7.2,8.4,9.6,10.8,12))+IF(Inputs!$B$3&gt;=117,F1718,0)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1706=TRUE,(1+F1706*IF(AND(Inputs!$B$39&lt;&gt;"pvp",Inputs!$B$44&gt;0),(((R1706-1)*(Skills!S14*(1+((Inputs!$B$35+(ArtifactsInput!$M$7-ArtifactsInput!$M$7)*CHOOSE(ArtifactsInput!$N$7+1,6,7.2,8.4,9.6,10.8,12))+IF(Inputs!$B$3&gt;=117,F1718,0))/100))+MIN((Skills!S14*(1+((Inputs!$B$35+(ArtifactsInput!$M$7-ArtifactsInput!$M$7)*CHOOSE(ArtifactsInput!$N$7+1,6,7.2,8.4,9.6,10.8,12))+IF(Inputs!$B$3&gt;=117,F1718,0))/100)),MAX(0,Inputs!$B$44-((R1706-1)*Skills!D14))))/Inputs!$B$44),IF(Inputs!$B$39="pvp",MIN((Skills!S14*(1+((Inputs!$B$35+(ArtifactsInput!$M$7-ArtifactsInput!$M$7)*CHOOSE(ArtifactsInput!$N$7+1,6,7.2,8.4,9.6,10.8,12))+IF(Inputs!$B$3&gt;=117,F1718,0))/100)),15)/15,(Skills!S14*(1+((Inputs!$B$35+(ArtifactsInput!$M$7-ArtifactsInput!$M$7)*CHOOSE(ArtifactsInput!$N$7+1,6,7.2,8.4,9.6,10.8,12))+IF(Inputs!$B$3&gt;=117,F1718,0))/100))/Skills!D14))/100),1)*IF(C1711=TRUE,(1+F1711*IF(AND(Inputs!$B$39&lt;&gt;"pvp",Inputs!$B$44&gt;0),(((R1711-1)*(Skills!S19*(1+((Inputs!$B$35+(ArtifactsInput!$M$7-ArtifactsInput!$M$7)*CHOOSE(ArtifactsInput!$N$7+1,6,7.2,8.4,9.6,10.8,12))+IF(Inputs!$B$3&gt;=117,F1718,0))/100))+MIN((Skills!S19*(1+((Inputs!$B$35+(ArtifactsInput!$M$7-ArtifactsInput!$M$7)*CHOOSE(ArtifactsInput!$N$7+1,6,7.2,8.4,9.6,10.8,12))+IF(Inputs!$B$3&gt;=117,F1718,0))/100)),MAX(0,Inputs!$B$44-((R1711-1)*Skills!D19))))/Inputs!$B$44),IF(Inputs!$B$39="pvp",MIN((Skills!S19*(1+((Inputs!$B$35+(ArtifactsInput!$M$7-ArtifactsInput!$M$7)*CHOOSE(ArtifactsInput!$N$7+1,6,7.2,8.4,9.6,10.8,12))+IF(Inputs!$B$3&gt;=117,F1718,0))/100)),15)/15,(Skills!S19*(1+((Inputs!$B$35+(ArtifactsInput!$M$7-ArtifactsInput!$M$7)*CHOOSE(ArtifactsInput!$N$7+1,6,7.2,8.4,9.6,10.8,12))+IF(Inputs!$B$3&gt;=117,F1718,0))/100))/Skills!D19))/100),1)</f>
        <v/>
      </c>
    </row>
    <row r="1723">
      <c r="A1723" t="inlineStr">
        <is>
          <t>Monster Damage Taken Bonus % (Holy Fountain)</t>
        </is>
      </c>
      <c r="B1723">
        <f>IF(Inputs!$B$3&gt;=68,20*IF(Inputs!$B$39="pvp",MIN((15*(1+((Inputs!$B$35+(ArtifactsInput!$M$7-ArtifactsInput!$M$7)*CHOOSE(ArtifactsInput!$N$7+1,6,7.2,8.4,9.6,10.8,12))+IF(Inputs!$B$3&gt;=117,F1718,0))/100)),15)/15,(15*(1+((Inputs!$B$35+(ArtifactsInput!$M$7-ArtifactsInput!$M$7)*CHOOSE(ArtifactsInput!$N$7+1,6,7.2,8.4,9.6,10.8,12))+IF(Inputs!$B$3&gt;=117,F1718,0))/100))/Skills!D10),0)</f>
        <v/>
      </c>
    </row>
    <row r="1724">
      <c r="A1724" t="inlineStr">
        <is>
          <t>Normal Monster Damage Bonus % (Holy Symbol)</t>
        </is>
      </c>
      <c r="B1724">
        <f>IF(C1704=TRUE,F1704*IF(AND(Inputs!$B$39&lt;&gt;"pvp",Inputs!$B$44&gt;0),(((R1704-1)*(Skills!S12*(1+((Inputs!$B$35+(ArtifactsInput!$M$7-ArtifactsInput!$M$7)*CHOOSE(ArtifactsInput!$N$7+1,6,7.2,8.4,9.6,10.8,12))+IF(Inputs!$B$3&gt;=117,F1718,0))/100))+MIN((Skills!S12*(1+((Inputs!$B$35+(ArtifactsInput!$M$7-ArtifactsInput!$M$7)*CHOOSE(ArtifactsInput!$N$7+1,6,7.2,8.4,9.6,10.8,12))+IF(Inputs!$B$3&gt;=117,F1718,0))/100)),MAX(0,Inputs!$B$44-((R1704-1)*Skills!D12))))/Inputs!$B$44),IF(Inputs!$B$39="pvp",MIN((Skills!S12*(1+((Inputs!$B$35+(ArtifactsInput!$M$7-ArtifactsInput!$M$7)*CHOOSE(ArtifactsInput!$N$7+1,6,7.2,8.4,9.6,10.8,12))+IF(Inputs!$B$3&gt;=117,F1718,0))/100)),15)/15,(Skills!S12*(1+((Inputs!$B$35+(ArtifactsInput!$M$7-ArtifactsInput!$M$7)*CHOOSE(ArtifactsInput!$N$7+1,6,7.2,8.4,9.6,10.8,12))+IF(Inputs!$B$3&gt;=117,F1718,0))/100))/Skills!D12)),0)</f>
        <v/>
      </c>
    </row>
    <row r="1725">
      <c r="A1725" t="inlineStr">
        <is>
          <t>Damage % Bonus (Holy Symbol - Damage Boost)</t>
        </is>
      </c>
      <c r="B1725">
        <f>Skills!O12</f>
        <v/>
      </c>
    </row>
    <row r="1726">
      <c r="A1726" t="inlineStr">
        <is>
          <t>Crit Damage % Bonus (Blood of the Divine)</t>
        </is>
      </c>
      <c r="B1726">
        <f>4*IF(C1712=TRUE,F1712,0)</f>
        <v/>
      </c>
    </row>
    <row r="1727">
      <c r="A1727" t="inlineStr">
        <is>
          <t>Attack Speed Bonus %</t>
        </is>
      </c>
      <c r="B1727">
        <f>IF(C1709=TRUE,F1709+(F1713-Calc!F21),0)+IF(Inputs!$B$3&gt;=134,15,0)+((C1720=TRUE)*F1720*IF(AND(Inputs!$B$39&lt;&gt;"pvp",Inputs!$B$44&gt;0),(((R1720-1)*(Skills!S28*(1+((Inputs!$B$35+(ArtifactsInput!$M$7-ArtifactsInput!$M$7)*CHOOSE(ArtifactsInput!$N$7+1,6,7.2,8.4,9.6,10.8,12))+IF(Inputs!$B$3&gt;=117,F1718,0))/100))+MIN((Skills!S28*(1+((Inputs!$B$35+(ArtifactsInput!$M$7-ArtifactsInput!$M$7)*CHOOSE(ArtifactsInput!$N$7+1,6,7.2,8.4,9.6,10.8,12))+IF(Inputs!$B$3&gt;=117,F1718,0))/100)),MAX(0,Inputs!$B$44-((R1720-1)*Skills!D28))))/Inputs!$B$44),IF(Inputs!$B$39="pvp",MIN((Skills!S28*(1+((Inputs!$B$35+(ArtifactsInput!$M$7-ArtifactsInput!$M$7)*CHOOSE(ArtifactsInput!$N$7+1,6,7.2,8.4,9.6,10.8,12))+IF(Inputs!$B$3&gt;=117,F1718,0))/100)),15)/15,(Skills!S28*(1+((Inputs!$B$35+(ArtifactsInput!$M$7-ArtifactsInput!$M$7)*CHOOSE(ArtifactsInput!$N$7+1,6,7.2,8.4,9.6,10.8,12))+IF(Inputs!$B$3&gt;=117,F1718,0))/100))/Skills!D28)))</f>
        <v/>
      </c>
    </row>
    <row r="1728">
      <c r="A1728" t="inlineStr">
        <is>
          <t>Actions Per Second</t>
        </is>
      </c>
      <c r="B1728">
        <f>1+MIN(150,150*(1-(1-Inputs!$B$12/150)*(1-B1727/150)))/100</f>
        <v/>
      </c>
    </row>
    <row r="1729">
      <c r="A1729" t="inlineStr">
        <is>
          <t>Skill + Buff Cast Rate</t>
        </is>
      </c>
      <c r="B1729">
        <f>IF(AND(Inputs!$B$39&lt;&gt;"pvp",Inputs!$B$44&gt;0),SUMPRODUCT((Skills!E2:E28=TRUE)*(C1694:C1720=TRUE)*R1694:R1720)/Inputs!$B$44,SUMPRODUCT((Skills!E2:E28=TRUE)*(C1694:C1720=TRUE)*Q1694:Q1720))</f>
        <v/>
      </c>
    </row>
    <row r="1730">
      <c r="A1730" t="inlineStr">
        <is>
          <t>Big Bang Casts Per Second</t>
        </is>
      </c>
      <c r="B1730">
        <f>MAX(0,B1728-B1729)</f>
        <v/>
      </c>
    </row>
    <row r="1731">
      <c r="A1731" t="inlineStr">
        <is>
          <t>Defense % Bonus (Divine Protection)</t>
        </is>
      </c>
      <c r="B1731">
        <f>IF(C1705=TRUE,F1705*IF(AND(Inputs!$B$39&lt;&gt;"pvp",Inputs!$B$44&gt;0),(((R1705-1)*(Skills!S13*(1+((Inputs!$B$35+(ArtifactsInput!$M$7-ArtifactsInput!$M$7)*CHOOSE(ArtifactsInput!$N$7+1,6,7.2,8.4,9.6,10.8,12))+IF(Inputs!$B$3&gt;=117,F1718,0))/100))+MIN((Skills!S13*(1+((Inputs!$B$35+(ArtifactsInput!$M$7-ArtifactsInput!$M$7)*CHOOSE(ArtifactsInput!$N$7+1,6,7.2,8.4,9.6,10.8,12))+IF(Inputs!$B$3&gt;=117,F1718,0))/100)),MAX(0,Inputs!$B$44-((R1705-1)*Skills!D13))))/Inputs!$B$44),IF(Inputs!$B$39="pvp",MIN((Skills!S13*(1+((Inputs!$B$35+(ArtifactsInput!$M$7-ArtifactsInput!$M$7)*CHOOSE(ArtifactsInput!$N$7+1,6,7.2,8.4,9.6,10.8,12))+IF(Inputs!$B$3&gt;=117,F1718,0))/100)),15)/15,(Skills!S13*(1+((Inputs!$B$35+(ArtifactsInput!$M$7-ArtifactsInput!$M$7)*CHOOSE(ArtifactsInput!$N$7+1,6,7.2,8.4,9.6,10.8,12))+IF(Inputs!$B$3&gt;=117,F1718,0))/100))/Skills!D13)),0)</f>
        <v/>
      </c>
    </row>
    <row r="1732">
      <c r="A1732" t="inlineStr">
        <is>
          <t>Buff-Casting Startup Delay (s, fixed-duration only)</t>
        </is>
      </c>
      <c r="B1732">
        <f>IF(AND(Inputs!$B$39&lt;&gt;"pvp",Inputs!$B$44&gt;0),SUMPRODUCT((Skills!S2:S28&gt;0)*(Skills!E2:E28=TRUE)*(C1694:C1720=TRUE))/B1728,0)</f>
        <v/>
      </c>
    </row>
    <row r="1733">
      <c r="A1733" t="inlineStr">
        <is>
          <t>Boss-Only Total DPS (this block's swept value)</t>
        </is>
      </c>
      <c r="B1733">
        <f>SUM(S1694:S1720)</f>
        <v/>
      </c>
    </row>
    <row r="1734">
      <c r="A1734" t="inlineStr">
        <is>
          <t>Normal-Only Total DPS (this block's swept value)</t>
        </is>
      </c>
      <c r="B1734">
        <f>SUM(U1694:U1720)</f>
        <v/>
      </c>
    </row>
    <row r="1735">
      <c r="A1735" s="6" t="inlineStr">
        <is>
          <t>TOTAL DPS</t>
        </is>
      </c>
      <c r="B1735" s="6">
        <f>SUM(O1694:O1720)</f>
        <v/>
      </c>
    </row>
    <row r="1737">
      <c r="A1737" s="6" t="inlineStr">
        <is>
          <t>Stat: Zakum's Stone Piece (Equip)</t>
        </is>
      </c>
    </row>
    <row r="1738">
      <c r="A1738" s="5" t="inlineStr">
        <is>
          <t>Key</t>
        </is>
      </c>
      <c r="B1738" s="5" t="inlineStr">
        <is>
          <t>Name</t>
        </is>
      </c>
      <c r="C1738" s="5" t="inlineStr">
        <is>
          <t>Unlocked</t>
        </is>
      </c>
      <c r="D1738" s="5" t="inlineStr">
        <is>
          <t>InputLevel</t>
        </is>
      </c>
      <c r="E1738" s="5" t="inlineStr">
        <is>
          <t>Factor</t>
        </is>
      </c>
      <c r="F1738" s="5" t="inlineStr">
        <is>
          <t>CoefficientPercent</t>
        </is>
      </c>
      <c r="G1738" s="5" t="inlineStr">
        <is>
          <t>EffectiveHits</t>
        </is>
      </c>
      <c r="H1738" s="5" t="inlineStr">
        <is>
          <t>ProcProbability</t>
        </is>
      </c>
      <c r="I1738" s="5" t="inlineStr">
        <is>
          <t>MapleHeroMultiplier</t>
        </is>
      </c>
      <c r="J1738" s="5" t="inlineStr">
        <is>
          <t>BaseDamage</t>
        </is>
      </c>
      <c r="K1738" s="5" t="inlineStr">
        <is>
          <t>BaseHitDamage</t>
        </is>
      </c>
      <c r="L1738" s="5" t="inlineStr">
        <is>
          <t>NonCritAvg</t>
        </is>
      </c>
      <c r="M1738" s="5" t="inlineStr">
        <is>
          <t>CritAvg</t>
        </is>
      </c>
      <c r="N1738" s="5" t="inlineStr">
        <is>
          <t>ExpectedDamage(perHit)</t>
        </is>
      </c>
      <c r="O1738" s="5" t="inlineStr">
        <is>
          <t>DPS</t>
        </is>
      </c>
      <c r="P1738" s="5" t="inlineStr">
        <is>
          <t>% of Total</t>
        </is>
      </c>
      <c r="R1738" t="inlineStr">
        <is>
          <t>helpers</t>
        </is>
      </c>
    </row>
    <row r="1739">
      <c r="A1739">
        <f>Skills!A2</f>
        <v/>
      </c>
      <c r="B1739">
        <f>Skills!B2</f>
        <v/>
      </c>
      <c r="C1739">
        <f>Inputs!$B$3&gt;=100</f>
        <v/>
      </c>
      <c r="D1739" t="inlineStr"/>
      <c r="E1739" t="inlineStr"/>
      <c r="F1739">
        <f>T1741+Skills!N2</f>
        <v/>
      </c>
      <c r="G1739">
        <f>Calc!G2</f>
        <v/>
      </c>
      <c r="H1739">
        <f>Calc!H2</f>
        <v/>
      </c>
      <c r="I1739">
        <f>IF(Skills!T2&lt;&gt;"",1+(Skills!T2/10)*($Z$3/1000)/100,1)</f>
        <v/>
      </c>
      <c r="J1739">
        <f>((Inputs!$B$6*(1+Inputs!$B$7/100))+(((Inputs!$B$13*(1+Inputs!$B$14/100))-(Inputs!$B$13*(1+Inputs!$B$14/100)))+0.25*(Inputs!$B$15-Inputs!$B$15))*(1+Inputs!$B$7/100))*(F1739/100)</f>
        <v/>
      </c>
      <c r="K1739">
        <f>J1739*(1+(((Inputs!$B$13+IF(Inputs!$B$3&gt;=35,(10*INDEX(FactorTable!$B$2:$Y$301,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2="TRIUMPH_FEATHER",IF(C1753=TRUE,F1753,0),0)/100)*(1+IF(C1764=TRUE,F1764,0)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1739)</f>
        <v/>
      </c>
      <c r="L1739">
        <f>K1739*(MIN(Inputs!$B$23+(F1759-Calc!F22),(Inputs!$B$24+IF(ArtifactsInput!$M$15,CHOOSE(ArtifactsInput!$N$15+1,25,30,35,40,45,50)/100*(Inputs!$B$12-Inputs!$B$12),0)))/100+(Inputs!$B$24+IF(ArtifactsInput!$M$15,CHOOSE(ArtifactsInput!$N$15+1,25,30,35,40,45,50)/100*(Inputs!$B$12-Inputs!$B$12),0))/100)/2</f>
        <v/>
      </c>
      <c r="M1739">
        <f>L1739*(1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39">
        <f>L1739*(1-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1739*(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9">
        <f>(1-Summary!$B$11)*S1739+Summary!$B$11*U1739</f>
        <v/>
      </c>
      <c r="P1739">
        <f>IF(B1780=0,0,O1739/B1780)</f>
        <v/>
      </c>
      <c r="Q1739">
        <f>IFERROR(1/(IF(Inputs!$B$39="pvp",15,MAX(0.1,Skills!D2-IF(Skills!E2=TRUE,Inputs!$B$33,0)))*(1-IF(AND(ArtifactsInput!$M$27,Inputs!$B$4="Chapter Hunt"),CHOOSE(ArtifactsInput!$N$27+1,20,24,28,32,36,40),0)/100)),0)</f>
        <v/>
      </c>
      <c r="R1739" t="n">
        <v>0</v>
      </c>
      <c r="S1739">
        <f>IF(C1739,(Skills!F2*N1739*B1775)*IF(Inputs!$B$39="pvp",1,1+(Inputs!$B$21+Skills!O2+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1739*(1-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1739*(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1739*(1-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1739*(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39">
        <f>MAX(0,(Inputs!$B$3-100)*3)+Inputs!$B$29+Inputs!$B$30</f>
        <v/>
      </c>
      <c r="U1739">
        <f>IF(C1739,(Skills!F2*N1739*B1775)*IF(Inputs!$B$39="pvp",1,(1+(Inputs!$B$22+Skills!P2+B1769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0">
      <c r="A1740">
        <f>Skills!A3</f>
        <v/>
      </c>
      <c r="B1740">
        <f>Skills!B3</f>
        <v/>
      </c>
      <c r="C1740">
        <f>Inputs!$B$3&gt;=15</f>
        <v/>
      </c>
      <c r="D1740">
        <f>IF(Skills!C3=1,60+Inputs!$B$26+Inputs!$B$30,IF(Skills!C3=2,90+Inputs!$B$27+Inputs!$B$30,IF(Skills!C3=3,120+Inputs!$B$28+Inputs!$B$30,MAX(0,(Inputs!$B$3-100)*3)+Inputs!$B$29+Inputs!$B$30)))</f>
        <v/>
      </c>
      <c r="E1740">
        <f>INDEX(FactorTable!$B$2:$Y$301, MATCH(ROUND(MIN(300,MAX(1,D1740)),0), FactorTable!$A$2:$A$301,0), Skills!L3+1)</f>
        <v/>
      </c>
      <c r="F1740">
        <f>IF(Skills!M3=TRUE,(Skills!K3/10)*(E1740/1000),Skills!K3/10)+Skills!N3</f>
        <v/>
      </c>
      <c r="G1740">
        <f>Calc!G3</f>
        <v/>
      </c>
      <c r="H1740">
        <f>Calc!H3</f>
        <v/>
      </c>
      <c r="I1740">
        <f>IF(Skills!T3&lt;&gt;"",1+(Skills!T3/10)*($Z$3/1000)/100,1)</f>
        <v/>
      </c>
      <c r="J1740" t="inlineStr"/>
      <c r="K1740" t="inlineStr"/>
      <c r="L1740" t="inlineStr"/>
      <c r="M1740" t="inlineStr"/>
      <c r="N1740" t="inlineStr"/>
      <c r="O1740">
        <f>(1-Summary!$B$11)*S1740+Summary!$B$11*U1740</f>
        <v/>
      </c>
      <c r="P1740">
        <f>IF(B1780=0,0,O1740/B1780)</f>
        <v/>
      </c>
      <c r="Q1740">
        <f>IFERROR(1/(IF(Inputs!$B$39="pvp",15,MAX(0.1,Skills!D3-IF(Skills!E3=TRUE,Inputs!$B$33,0)))*(1-IF(AND(ArtifactsInput!$M$27,Inputs!$B$4="Chapter Hunt"),CHOOSE(ArtifactsInput!$N$27+1,20,24,28,32,36,40),0)/100)),0)</f>
        <v/>
      </c>
      <c r="R1740">
        <f>IF(AND(Inputs!$B$39&lt;&gt;"pvp",Inputs!$B$44&gt;0),IF(Inputs!$B$44&lt;=0,0,(INT(Inputs!$B$44/(IF(Inputs!$B$39="pvp",15,MAX(0.1,Skills!D3-IF(Skills!E3=TRUE,Inputs!$B$33,0)))*(1-IF(AND(ArtifactsInput!$M$27,Inputs!$B$4="Chapter Hunt"),CHOOSE(ArtifactsInput!$N$27+1,20,24,28,32,36,40),0)/100)))+1)),0)</f>
        <v/>
      </c>
      <c r="S1740" t="n">
        <v>0</v>
      </c>
      <c r="T1740">
        <f>INDEX(FactorTable!$B$2:$Y$301, MATCH(ROUND(MIN(300,MAX(1,T1739)),0), FactorTable!$A$2:$A$301,0), 22)</f>
        <v/>
      </c>
      <c r="U1740" t="n">
        <v>0</v>
      </c>
    </row>
    <row r="1741">
      <c r="A1741">
        <f>Skills!A4</f>
        <v/>
      </c>
      <c r="B1741">
        <f>Skills!B4</f>
        <v/>
      </c>
      <c r="C1741">
        <f>Inputs!$B$3&gt;=38</f>
        <v/>
      </c>
      <c r="D1741">
        <f>IF(Skills!C4=1,60+Inputs!$B$26+Inputs!$B$30,IF(Skills!C4=2,90+Inputs!$B$27+Inputs!$B$30,IF(Skills!C4=3,120+Inputs!$B$28+Inputs!$B$30,MAX(0,(Inputs!$B$3-100)*3)+Inputs!$B$29+Inputs!$B$30)))</f>
        <v/>
      </c>
      <c r="E1741">
        <f>INDEX(FactorTable!$B$2:$Y$301, MATCH(ROUND(MIN(300,MAX(1,D1741)),0), FactorTable!$A$2:$A$301,0), Skills!L4+1)</f>
        <v/>
      </c>
      <c r="F1741">
        <f>IF(Skills!M4=TRUE,(Skills!K4/10)*(E1741/1000),Skills!K4/10)+Skills!N4</f>
        <v/>
      </c>
      <c r="G1741">
        <f>Calc!G4</f>
        <v/>
      </c>
      <c r="H1741">
        <f>Calc!H4</f>
        <v/>
      </c>
      <c r="I1741">
        <f>IF(Skills!T4&lt;&gt;"",1+(Skills!T4/10)*($Z$3/1000)/100,1)</f>
        <v/>
      </c>
      <c r="J1741" t="inlineStr"/>
      <c r="K1741" t="inlineStr"/>
      <c r="L1741" t="inlineStr"/>
      <c r="M1741" t="inlineStr"/>
      <c r="N1741" t="inlineStr"/>
      <c r="O1741">
        <f>(1-Summary!$B$11)*S1741+Summary!$B$11*U1741</f>
        <v/>
      </c>
      <c r="P1741">
        <f>IF(B1780=0,0,O1741/B1780)</f>
        <v/>
      </c>
      <c r="Q1741">
        <f>IFERROR(1/(IF(Inputs!$B$39="pvp",15,MAX(0.1,Skills!D4-IF(Skills!E4=TRUE,Inputs!$B$33,0)))*(1-IF(AND(ArtifactsInput!$M$27,Inputs!$B$4="Chapter Hunt"),CHOOSE(ArtifactsInput!$N$27+1,20,24,28,32,36,40),0)/100)),0)</f>
        <v/>
      </c>
      <c r="R1741">
        <f>IF(AND(Inputs!$B$39&lt;&gt;"pvp",Inputs!$B$44&gt;0),IF(Inputs!$B$44&lt;=0,0,(INT(Inputs!$B$44/(IF(Inputs!$B$39="pvp",15,MAX(0.1,Skills!D4-IF(Skills!E4=TRUE,Inputs!$B$33,0)))*(1-IF(AND(ArtifactsInput!$M$27,Inputs!$B$4="Chapter Hunt"),CHOOSE(ArtifactsInput!$N$27+1,20,24,28,32,36,40),0)/100)))+1)),0)</f>
        <v/>
      </c>
      <c r="S1741" t="n">
        <v>0</v>
      </c>
      <c r="T1741">
        <f>290*T1740/1000</f>
        <v/>
      </c>
      <c r="U1741" t="n">
        <v>0</v>
      </c>
    </row>
    <row r="1742">
      <c r="A1742">
        <f>Skills!A5</f>
        <v/>
      </c>
      <c r="B1742">
        <f>Skills!B5</f>
        <v/>
      </c>
      <c r="C1742">
        <f>Inputs!$B$3&gt;=40</f>
        <v/>
      </c>
      <c r="D1742">
        <f>IF(Skills!C5=1,60+Inputs!$B$26+Inputs!$B$30,IF(Skills!C5=2,90+Inputs!$B$27+Inputs!$B$30,IF(Skills!C5=3,120+Inputs!$B$28+Inputs!$B$30,MAX(0,(Inputs!$B$3-100)*3)+Inputs!$B$29+Inputs!$B$30)))</f>
        <v/>
      </c>
      <c r="E1742">
        <f>INDEX(FactorTable!$B$2:$Y$301, MATCH(ROUND(MIN(300,MAX(1,D1742)),0), FactorTable!$A$2:$A$301,0), Skills!L5+1)</f>
        <v/>
      </c>
      <c r="F1742">
        <f>IF(Skills!M5=TRUE,(Skills!K5/10)*(E1742/1000),Skills!K5/10)+Skills!N5</f>
        <v/>
      </c>
      <c r="G1742">
        <f>Calc!G5</f>
        <v/>
      </c>
      <c r="H1742">
        <f>Calc!H5</f>
        <v/>
      </c>
      <c r="I1742">
        <f>IF(Skills!T5&lt;&gt;"",1+(Skills!T5/10)*($Z$3/1000)/100,1)</f>
        <v/>
      </c>
      <c r="J1742" t="inlineStr"/>
      <c r="K1742" t="inlineStr"/>
      <c r="L1742" t="inlineStr"/>
      <c r="M1742" t="inlineStr"/>
      <c r="N1742" t="inlineStr"/>
      <c r="O1742">
        <f>(1-Summary!$B$11)*S1742+Summary!$B$11*U1742</f>
        <v/>
      </c>
      <c r="P1742">
        <f>IF(B1780=0,0,O1742/B1780)</f>
        <v/>
      </c>
      <c r="Q1742">
        <f>IFERROR(1/(IF(Inputs!$B$39="pvp",15,MAX(0.1,Skills!D5-IF(Skills!E5=TRUE,Inputs!$B$33,0)))*(1-IF(AND(ArtifactsInput!$M$27,Inputs!$B$4="Chapter Hunt"),CHOOSE(ArtifactsInput!$N$27+1,20,24,28,32,36,40),0)/100)),0)</f>
        <v/>
      </c>
      <c r="R1742">
        <f>IF(AND(Inputs!$B$39&lt;&gt;"pvp",Inputs!$B$44&gt;0),IF(Inputs!$B$44&lt;=0,0,(INT(Inputs!$B$44/(IF(Inputs!$B$39="pvp",15,MAX(0.1,Skills!D5-IF(Skills!E5=TRUE,Inputs!$B$33,0)))*(1-IF(AND(ArtifactsInput!$M$27,Inputs!$B$4="Chapter Hunt"),CHOOSE(ArtifactsInput!$N$27+1,20,24,28,32,36,40),0)/100)))+1)),0)</f>
        <v/>
      </c>
      <c r="S1742" t="n">
        <v>0</v>
      </c>
      <c r="U1742" t="n">
        <v>0</v>
      </c>
    </row>
    <row r="1743">
      <c r="A1743">
        <f>Skills!A6</f>
        <v/>
      </c>
      <c r="B1743">
        <f>Skills!B6</f>
        <v/>
      </c>
      <c r="C1743">
        <f>Inputs!$B$3&gt;=103</f>
        <v/>
      </c>
      <c r="D1743">
        <f>IF(Skills!C6=1,60+Inputs!$B$26+Inputs!$B$30,IF(Skills!C6=2,90+Inputs!$B$27+Inputs!$B$30,IF(Skills!C6=3,120+Inputs!$B$28+Inputs!$B$30,MAX(0,(Inputs!$B$3-100)*3)+Inputs!$B$29+Inputs!$B$30)))</f>
        <v/>
      </c>
      <c r="E1743">
        <f>INDEX(FactorTable!$B$2:$Y$301, MATCH(ROUND(MIN(300,MAX(1,D1743)),0), FactorTable!$A$2:$A$301,0), Skills!L6+1)</f>
        <v/>
      </c>
      <c r="F1743">
        <f>IF(Skills!M6=TRUE,(Skills!K6/10)*(E1743/1000),Skills!K6/10)+Skills!N6</f>
        <v/>
      </c>
      <c r="G1743">
        <f>Calc!G6</f>
        <v/>
      </c>
      <c r="H1743">
        <f>Calc!H6</f>
        <v/>
      </c>
      <c r="I1743">
        <f>IF(Skills!T6&lt;&gt;"",1+(Skills!T6/10)*($Z$3/1000)/100,1)</f>
        <v/>
      </c>
      <c r="J1743">
        <f>((Inputs!$B$6*(1+Inputs!$B$7/100))+(((Inputs!$B$13*(1+Inputs!$B$14/100))-(Inputs!$B$13*(1+Inputs!$B$14/100)))+0.25*(Inputs!$B$15-Inputs!$B$15))*(1+Inputs!$B$7/100))*(F1743/100)</f>
        <v/>
      </c>
      <c r="K1743">
        <f>J1743*(1+(((Inputs!$B$13+IF(Inputs!$B$3&gt;=35,(10*INDEX(FactorTable!$B$2:$Y$301,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6="TRIUMPH_FEATHER",IF(C1753=TRUE,F1753,0),0)/100)*(1+IF(C1764=TRUE,F1764,0)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1743)</f>
        <v/>
      </c>
      <c r="L1743">
        <f>K1743*(MIN(Inputs!$B$23+(F1759-Calc!F22),(Inputs!$B$24+IF(ArtifactsInput!$M$15,CHOOSE(ArtifactsInput!$N$15+1,25,30,35,40,45,50)/100*(Inputs!$B$12-Inputs!$B$12),0)))/100+(Inputs!$B$24+IF(ArtifactsInput!$M$15,CHOOSE(ArtifactsInput!$N$15+1,25,30,35,40,45,50)/100*(Inputs!$B$12-Inputs!$B$12),0))/100)/2</f>
        <v/>
      </c>
      <c r="M1743">
        <f>L1743*(1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3">
        <f>L1743*(1-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(1-Summary!$B$11)*S1743+Summary!$B$11*U1743</f>
        <v/>
      </c>
      <c r="P1743">
        <f>IF(B1780=0,0,O1743/B1780)</f>
        <v/>
      </c>
      <c r="Q1743">
        <f>IFERROR(1/(IF(Inputs!$B$39="pvp",15,MAX(0.1,Skills!D6-IF(Skills!E6=TRUE,Inputs!$B$33,0)))*(1-IF(AND(ArtifactsInput!$M$27,Inputs!$B$4="Chapter Hunt"),CHOOSE(ArtifactsInput!$N$27+1,20,24,28,32,36,40),0)/100)),0)</f>
        <v/>
      </c>
      <c r="R1743">
        <f>IF(AND(Inputs!$B$39&lt;&gt;"pvp",Inputs!$B$44&gt;0),IF(MAX(0,Inputs!$B$44-B1777)&lt;=0,0,(INT(MAX(0,Inputs!$B$44-B1777)/(IF(Inputs!$B$39="pvp",15,MAX(0.1,Skills!D6-IF(Skills!E6=TRUE,Inputs!$B$33,0)))*(1-IF(AND(ArtifactsInput!$M$27,Inputs!$B$4="Chapter Hunt"),CHOOSE(ArtifactsInput!$N$27+1,20,24,28,32,36,40),0)/100)))+1)),0)</f>
        <v/>
      </c>
      <c r="S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$21+Skills!O6+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1743*(1-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$22+Skills!P6+B1769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Skills!A7</f>
        <v/>
      </c>
      <c r="B1744">
        <f>Skills!B7</f>
        <v/>
      </c>
      <c r="C1744">
        <f>Inputs!$B$3&gt;=122</f>
        <v/>
      </c>
      <c r="D1744">
        <f>IF(Skills!C7=1,60+Inputs!$B$26+Inputs!$B$30,IF(Skills!C7=2,90+Inputs!$B$27+Inputs!$B$30,IF(Skills!C7=3,120+Inputs!$B$28+Inputs!$B$30,MAX(0,(Inputs!$B$3-100)*3)+Inputs!$B$29+Inputs!$B$30)))</f>
        <v/>
      </c>
      <c r="E1744">
        <f>INDEX(FactorTable!$B$2:$Y$301, MATCH(ROUND(MIN(300,MAX(1,D1744)),0), FactorTable!$A$2:$A$301,0), Skills!L7+1)</f>
        <v/>
      </c>
      <c r="F1744">
        <f>IF(Skills!M7=TRUE,(Skills!K7/10)*(E1744/1000),Skills!K7/10)+Skills!N7</f>
        <v/>
      </c>
      <c r="G1744">
        <f>Calc!G7</f>
        <v/>
      </c>
      <c r="H1744">
        <f>Calc!H7</f>
        <v/>
      </c>
      <c r="I1744">
        <f>IF(Skills!T7&lt;&gt;"",1+(Skills!T7/10)*($Z$3/1000)/100,1)</f>
        <v/>
      </c>
      <c r="J1744">
        <f>((Inputs!$B$6*(1+Inputs!$B$7/100))+(((Inputs!$B$13*(1+Inputs!$B$14/100))-(Inputs!$B$13*(1+Inputs!$B$14/100)))+0.25*(Inputs!$B$15-Inputs!$B$15))*(1+Inputs!$B$7/100))*(F1744/100)</f>
        <v/>
      </c>
      <c r="K1744">
        <f>J1744*(1+(((Inputs!$B$13+IF(Inputs!$B$3&gt;=35,(10*INDEX(FactorTable!$B$2:$Y$301,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7="TRIUMPH_FEATHER",IF(C1753=TRUE,F1753,0),0)/100)*(1+IF(C1764=TRUE,F1764,0)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1744)</f>
        <v/>
      </c>
      <c r="L1744">
        <f>K1744*(MIN(Inputs!$B$23+(F1759-Calc!F22),(Inputs!$B$24+IF(ArtifactsInput!$M$15,CHOOSE(ArtifactsInput!$N$15+1,25,30,35,40,45,50)/100*(Inputs!$B$12-Inputs!$B$12),0)))/100+(Inputs!$B$24+IF(ArtifactsInput!$M$15,CHOOSE(ArtifactsInput!$N$15+1,25,30,35,40,45,50)/100*(Inputs!$B$12-Inputs!$B$12),0))/100)/2</f>
        <v/>
      </c>
      <c r="M1744">
        <f>L1744*(1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4">
        <f>L1744*(1-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1744*(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4">
        <f>(1-Summary!$B$11)*S1744+Summary!$B$11*U1744</f>
        <v/>
      </c>
      <c r="P1744">
        <f>IF(B1780=0,0,O1744/B1780)</f>
        <v/>
      </c>
      <c r="Q1744">
        <f>IFERROR(1/(IF(Inputs!$B$39="pvp",15,MAX(0.1,Skills!D7-IF(Skills!E6=TRUE,Inputs!$B$33,0)))*(1-IF(AND(ArtifactsInput!$M$27,Inputs!$B$4="Chapter Hunt"),CHOOSE(ArtifactsInput!$N$27+1,20,24,28,32,36,40),0)/100)),0)</f>
        <v/>
      </c>
      <c r="R1744">
        <f>IF(AND(Inputs!$B$39&lt;&gt;"pvp",Inputs!$B$44&gt;0),IF(MAX(0,Inputs!$B$44-B1777)&lt;=0,0,(INT(MAX(0,Inputs!$B$44-B1777)/(IF(Inputs!$B$39="pvp",15,MAX(0.1,Skills!D7-IF(Skills!E6=TRUE,Inputs!$B$33,0)))*(1-IF(AND(ArtifactsInput!$M$27,Inputs!$B$4="Chapter Hunt"),CHOOSE(ArtifactsInput!$N$27+1,20,24,28,32,36,40),0)/100)))+1)),0)</f>
        <v/>
      </c>
      <c r="S1744">
        <f>IF(C1744,H1744*N1744*IF(AND(Inputs!$B$39&lt;&gt;"pvp",Inputs!$B$44&gt;0),((Skills!F7*((R1744-1)*IF(Skills!G7&gt;0,Skills!H7/Skills!G7,1)+IF(Skills!G7&gt;0,MIN(Skills!H7,MAX(0,MAX(0,Inputs!$B$44-B1777)-((R1744-1)*(IF(Inputs!$B$39="pvp",15,MAX(0.1,Skills!D7-IF(Skills!E6=TRUE,Inputs!$B$33,0)))*(1-IF(AND(ArtifactsInput!$M$27,Inputs!$B$4="Chapter Hunt"),CHOOSE(ArtifactsInput!$N$27+1,20,24,28,32,36,40),0)/100)))))/Skills!G7,1)))/Inputs!$B$44),G1744*Q1744)*IF(Inputs!$B$39="pvp",1,1+(Inputs!$B$21+Skills!O7+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1744*(1-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1744*(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1744*(1-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1744*(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4" t="n">
        <v>0</v>
      </c>
    </row>
    <row r="1745">
      <c r="A1745">
        <f>Skills!A8</f>
        <v/>
      </c>
      <c r="B1745">
        <f>Skills!B8</f>
        <v/>
      </c>
      <c r="C1745">
        <f>Inputs!$B$3&gt;=105</f>
        <v/>
      </c>
      <c r="D1745">
        <f>IF(Skills!C8=1,60+Inputs!$B$26+Inputs!$B$30,IF(Skills!C8=2,90+Inputs!$B$27+Inputs!$B$30,IF(Skills!C8=3,120+Inputs!$B$28+Inputs!$B$30,MAX(0,(Inputs!$B$3-100)*3)+Inputs!$B$29+Inputs!$B$30)))</f>
        <v/>
      </c>
      <c r="E1745">
        <f>INDEX(FactorTable!$B$2:$Y$301, MATCH(ROUND(MIN(300,MAX(1,D1745)),0), FactorTable!$A$2:$A$301,0), Skills!L8+1)</f>
        <v/>
      </c>
      <c r="F1745">
        <f>IF(Skills!M8=TRUE,(Skills!K8/10)*(E1745/1000),Skills!K8/10)+Skills!N8</f>
        <v/>
      </c>
      <c r="G1745">
        <f>Calc!G8</f>
        <v/>
      </c>
      <c r="H1745">
        <f>Calc!H8</f>
        <v/>
      </c>
      <c r="I1745">
        <f>IF(Skills!T8&lt;&gt;"",1+(Skills!T8/10)*($Z$3/1000)/100,1)</f>
        <v/>
      </c>
      <c r="J1745">
        <f>((Inputs!$B$6*(1+Inputs!$B$7/100))+(((Inputs!$B$13*(1+Inputs!$B$14/100))-(Inputs!$B$13*(1+Inputs!$B$14/100)))+0.25*(Inputs!$B$15-Inputs!$B$15))*(1+Inputs!$B$7/100))*(F1745/100)</f>
        <v/>
      </c>
      <c r="K1745">
        <f>J1745*(1+(((Inputs!$B$13+IF(Inputs!$B$3&gt;=35,(10*INDEX(FactorTable!$B$2:$Y$301,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8="TRIUMPH_FEATHER",IF(C1753=TRUE,F1753,0),0)/100)*(1+IF(C1764=TRUE,F1764,0)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1745)</f>
        <v/>
      </c>
      <c r="L1745">
        <f>K1745*(MIN(Inputs!$B$23+(F1759-Calc!F22),(Inputs!$B$24+IF(ArtifactsInput!$M$15,CHOOSE(ArtifactsInput!$N$15+1,25,30,35,40,45,50)/100*(Inputs!$B$12-Inputs!$B$12),0)))/100+(Inputs!$B$24+IF(ArtifactsInput!$M$15,CHOOSE(ArtifactsInput!$N$15+1,25,30,35,40,45,50)/100*(Inputs!$B$12-Inputs!$B$12),0))/100)/2</f>
        <v/>
      </c>
      <c r="M1745">
        <f>L1745*(1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5">
        <f>L1745*(1-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1745*(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5">
        <f>(1-Summary!$B$11)*S1745+Summary!$B$11*U1745</f>
        <v/>
      </c>
      <c r="P1745">
        <f>IF(B1780=0,0,O1745/B1780)</f>
        <v/>
      </c>
      <c r="Q1745">
        <f>IFERROR(1/(IF(Inputs!$B$39="pvp",15,MAX(0.1,Skills!D8-IF(Skills!E8=TRUE,Inputs!$B$33,0)))*(1-IF(AND(ArtifactsInput!$M$27,Inputs!$B$4="Chapter Hunt"),CHOOSE(ArtifactsInput!$N$27+1,20,24,28,32,36,40),0)/100)),0)</f>
        <v/>
      </c>
      <c r="R1745">
        <f>IF(AND(Inputs!$B$39&lt;&gt;"pvp",Inputs!$B$44&gt;0),IF(MAX(0,Inputs!$B$44-B1777)&lt;=0,0,(INT(MAX(0,Inputs!$B$44-B1777)/(IF(Inputs!$B$39="pvp",15,MAX(0.1,Skills!D8-IF(Skills!E8=TRUE,Inputs!$B$33,0)))*(1-IF(AND(ArtifactsInput!$M$27,Inputs!$B$4="Chapter Hunt"),CHOOSE(ArtifactsInput!$N$27+1,20,24,28,32,36,40),0)/100)))+1)),0)</f>
        <v/>
      </c>
      <c r="S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$21+Skills!O8+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1745*(1-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1745*(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1745*(1-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1745*(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$22+Skills!P8+B1769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6">
      <c r="A1746">
        <f>Skills!A9</f>
        <v/>
      </c>
      <c r="B1746">
        <f>Skills!B9</f>
        <v/>
      </c>
      <c r="C1746">
        <f>Inputs!$B$3&gt;=115</f>
        <v/>
      </c>
      <c r="D1746">
        <f>IF(Skills!C9=1,60+Inputs!$B$26+Inputs!$B$30,IF(Skills!C9=2,90+Inputs!$B$27+Inputs!$B$30,IF(Skills!C9=3,120+Inputs!$B$28+Inputs!$B$30,MAX(0,(Inputs!$B$3-100)*3)+Inputs!$B$29+Inputs!$B$30)))</f>
        <v/>
      </c>
      <c r="E1746">
        <f>INDEX(FactorTable!$B$2:$Y$301, MATCH(ROUND(MIN(300,MAX(1,D1746)),0), FactorTable!$A$2:$A$301,0), Skills!L9+1)</f>
        <v/>
      </c>
      <c r="F1746">
        <f>IF(Skills!M9=TRUE,(Skills!K9/10)*(E1746/1000),Skills!K9/10)+Skills!N9</f>
        <v/>
      </c>
      <c r="G1746">
        <f>Calc!G9</f>
        <v/>
      </c>
      <c r="H1746">
        <f>Calc!H9</f>
        <v/>
      </c>
      <c r="I1746">
        <f>IF(Skills!T9&lt;&gt;"",1+(Skills!T9/10)*($Z$3/1000)/100,1)</f>
        <v/>
      </c>
      <c r="J1746">
        <f>((Inputs!$B$6*(1+Inputs!$B$7/100))+(((Inputs!$B$13*(1+Inputs!$B$14/100))-(Inputs!$B$13*(1+Inputs!$B$14/100)))+0.25*(Inputs!$B$15-Inputs!$B$15))*(1+Inputs!$B$7/100))*(F1746/100)</f>
        <v/>
      </c>
      <c r="K1746">
        <f>J1746*(1+(((Inputs!$B$13+IF(Inputs!$B$3&gt;=35,(10*INDEX(FactorTable!$B$2:$Y$301,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9="TRIUMPH_FEATHER",IF(C1753=TRUE,F1753,0),0)/100)*(1+IF(C1764=TRUE,F1764,0)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1746)</f>
        <v/>
      </c>
      <c r="L1746">
        <f>K1746*(MIN(Inputs!$B$23+(F1759-Calc!F22),(Inputs!$B$24+IF(ArtifactsInput!$M$15,CHOOSE(ArtifactsInput!$N$15+1,25,30,35,40,45,50)/100*(Inputs!$B$12-Inputs!$B$12),0)))/100+(Inputs!$B$24+IF(ArtifactsInput!$M$15,CHOOSE(ArtifactsInput!$N$15+1,25,30,35,40,45,50)/100*(Inputs!$B$12-Inputs!$B$12),0))/100)/2</f>
        <v/>
      </c>
      <c r="M1746">
        <f>L1746*(1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6">
        <f>L1746*(1-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(1-Summary!$B$11)*S1746+Summary!$B$11*U1746</f>
        <v/>
      </c>
      <c r="P1746">
        <f>IF(B1780=0,0,O1746/B1780)</f>
        <v/>
      </c>
      <c r="Q1746">
        <f>IFERROR(1/(IF(Inputs!$B$39="pvp",15,MAX(0.1,Skills!D9-IF(Skills!E9=TRUE,Inputs!$B$33,0)))*(1-IF(AND(ArtifactsInput!$M$27,Inputs!$B$4="Chapter Hunt"),CHOOSE(ArtifactsInput!$N$27+1,20,24,28,32,36,40),0)/100)),0)</f>
        <v/>
      </c>
      <c r="R1746">
        <f>IF(AND(Inputs!$B$39&lt;&gt;"pvp",Inputs!$B$44&gt;0),IF(MAX(0,Inputs!$B$44-B1777)&lt;=0,0,(INT(MAX(0,Inputs!$B$44-B1777)/(IF(Inputs!$B$39="pvp",15,MAX(0.1,Skills!D9-IF(Skills!E9=TRUE,Inputs!$B$33,0)))*(1-IF(AND(ArtifactsInput!$M$27,Inputs!$B$4="Chapter Hunt"),CHOOSE(ArtifactsInput!$N$27+1,20,24,28,32,36,40),0)/100)))+1)),0)</f>
        <v/>
      </c>
      <c r="S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$21+Skills!O9+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1746*(1-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$22+Skills!P9+B1769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Skills!A10</f>
        <v/>
      </c>
      <c r="B1747">
        <f>Skills!B10</f>
        <v/>
      </c>
      <c r="C1747">
        <f>Inputs!$B$3&gt;=66</f>
        <v/>
      </c>
      <c r="D1747">
        <f>IF(Skills!C10=1,60+Inputs!$B$26+Inputs!$B$30,IF(Skills!C10=2,90+Inputs!$B$27+Inputs!$B$30,IF(Skills!C10=3,120+Inputs!$B$28+Inputs!$B$30,MAX(0,(Inputs!$B$3-100)*3)+Inputs!$B$29+Inputs!$B$30)))</f>
        <v/>
      </c>
      <c r="E1747">
        <f>INDEX(FactorTable!$B$2:$Y$301, MATCH(ROUND(MIN(300,MAX(1,D1747)),0), FactorTable!$A$2:$A$301,0), Skills!L10+1)</f>
        <v/>
      </c>
      <c r="F1747" t="n">
        <v>0</v>
      </c>
      <c r="G1747">
        <f>Calc!G10</f>
        <v/>
      </c>
      <c r="H1747">
        <f>Calc!H10</f>
        <v/>
      </c>
      <c r="I1747">
        <f>IF(Skills!T10&lt;&gt;"",1+(Skills!T10/10)*($Z$3/1000)/100,1)</f>
        <v/>
      </c>
      <c r="J1747" t="inlineStr"/>
      <c r="K1747" t="inlineStr"/>
      <c r="L1747" t="inlineStr"/>
      <c r="M1747" t="inlineStr"/>
      <c r="N1747" t="inlineStr"/>
      <c r="O1747">
        <f>(1-Summary!$B$11)*S1747+Summary!$B$11*U1747</f>
        <v/>
      </c>
      <c r="P1747">
        <f>IF(B1780=0,0,O1747/B1780)</f>
        <v/>
      </c>
      <c r="Q1747">
        <f>IFERROR(1/(IF(Inputs!$B$39="pvp",15,MAX(0.1,Skills!D10-IF(Skills!E10=TRUE,Inputs!$B$33,0)))*(1-IF(AND(ArtifactsInput!$M$27,Inputs!$B$4="Chapter Hunt"),CHOOSE(ArtifactsInput!$N$27+1,20,24,28,32,36,40),0)/100)),0)</f>
        <v/>
      </c>
      <c r="R1747">
        <f>IF(AND(Inputs!$B$39&lt;&gt;"pvp",Inputs!$B$44&gt;0),IF(MAX(0,Inputs!$B$44-B1777)&lt;=0,0,(INT(MAX(0,Inputs!$B$44-B1777)/(IF(Inputs!$B$39="pvp",15,MAX(0.1,Skills!D10-IF(Skills!E10=TRUE,Inputs!$B$33,0)))*(1-IF(AND(ArtifactsInput!$M$27,Inputs!$B$4="Chapter Hunt"),CHOOSE(ArtifactsInput!$N$27+1,20,24,28,32,36,40),0)/100)))+1)),0)</f>
        <v/>
      </c>
      <c r="S1747" t="n">
        <v>0</v>
      </c>
      <c r="U1747" t="n">
        <v>0</v>
      </c>
    </row>
    <row r="1748">
      <c r="A1748">
        <f>Skills!A11</f>
        <v/>
      </c>
      <c r="B1748">
        <f>Skills!B11</f>
        <v/>
      </c>
      <c r="C1748">
        <f>Inputs!$B$3&gt;=69</f>
        <v/>
      </c>
      <c r="D1748">
        <f>IF(Skills!C11=1,60+Inputs!$B$26+Inputs!$B$30,IF(Skills!C11=2,90+Inputs!$B$27+Inputs!$B$30,IF(Skills!C11=3,120+Inputs!$B$28+Inputs!$B$30,MAX(0,(Inputs!$B$3-100)*3)+Inputs!$B$29+Inputs!$B$30)))</f>
        <v/>
      </c>
      <c r="E1748">
        <f>INDEX(FactorTable!$B$2:$Y$301, MATCH(ROUND(MIN(300,MAX(1,D1748)),0), FactorTable!$A$2:$A$301,0), Skills!L11+1)</f>
        <v/>
      </c>
      <c r="F1748">
        <f>IF(Skills!M11=TRUE,(Skills!K11/10)*(E1748/1000),Skills!K11/10)+Skills!N11</f>
        <v/>
      </c>
      <c r="G1748">
        <f>Calc!G11</f>
        <v/>
      </c>
      <c r="H1748">
        <f>Calc!H11</f>
        <v/>
      </c>
      <c r="I1748">
        <f>IF(Skills!T11&lt;&gt;"",1+(Skills!T11/10)*($Z$3/1000)/100,1)</f>
        <v/>
      </c>
      <c r="J1748" t="inlineStr"/>
      <c r="K1748" t="inlineStr"/>
      <c r="L1748" t="inlineStr"/>
      <c r="M1748" t="inlineStr"/>
      <c r="N1748" t="inlineStr"/>
      <c r="O1748">
        <f>(1-Summary!$B$11)*S1748+Summary!$B$11*U1748</f>
        <v/>
      </c>
      <c r="P1748">
        <f>IF(B1780=0,0,O1748/B1780)</f>
        <v/>
      </c>
      <c r="Q1748">
        <f>IFERROR(1/(IF(Inputs!$B$39="pvp",15,MAX(0.1,Skills!D11-IF(Skills!E11=TRUE,Inputs!$B$33,0)))*(1-IF(AND(ArtifactsInput!$M$27,Inputs!$B$4="Chapter Hunt"),CHOOSE(ArtifactsInput!$N$27+1,20,24,28,32,36,40),0)/100)),0)</f>
        <v/>
      </c>
      <c r="R1748">
        <f>IF(AND(Inputs!$B$39&lt;&gt;"pvp",Inputs!$B$44&gt;0),IF(Inputs!$B$44&lt;=0,0,(INT(Inputs!$B$44/(IF(Inputs!$B$39="pvp",15,MAX(0.1,Skills!D11-IF(Skills!E11=TRUE,Inputs!$B$33,0)))*(1-IF(AND(ArtifactsInput!$M$27,Inputs!$B$4="Chapter Hunt"),CHOOSE(ArtifactsInput!$N$27+1,20,24,28,32,36,40),0)/100)))+1)),0)</f>
        <v/>
      </c>
      <c r="S1748" t="n">
        <v>0</v>
      </c>
      <c r="U1748" t="n">
        <v>0</v>
      </c>
    </row>
    <row r="1749">
      <c r="A1749">
        <f>Skills!A12</f>
        <v/>
      </c>
      <c r="B1749">
        <f>Skills!B12</f>
        <v/>
      </c>
      <c r="C1749">
        <f>Inputs!$B$3&gt;=72</f>
        <v/>
      </c>
      <c r="D1749">
        <f>IF(Skills!C12=1,60+Inputs!$B$26+Inputs!$B$30,IF(Skills!C12=2,90+Inputs!$B$27+Inputs!$B$30,IF(Skills!C12=3,120+Inputs!$B$28+Inputs!$B$30,MAX(0,(Inputs!$B$3-100)*3)+Inputs!$B$29+Inputs!$B$30)))</f>
        <v/>
      </c>
      <c r="E1749">
        <f>INDEX(FactorTable!$B$2:$Y$301, MATCH(ROUND(MIN(300,MAX(1,D1749)),0), FactorTable!$A$2:$A$301,0), Skills!L12+1)</f>
        <v/>
      </c>
      <c r="F1749">
        <f>IF(Skills!M12=TRUE,(Skills!K12/10)*(E1749/1000),Skills!K12/10)+Skills!N12</f>
        <v/>
      </c>
      <c r="G1749">
        <f>Calc!G12</f>
        <v/>
      </c>
      <c r="H1749">
        <f>Calc!H12</f>
        <v/>
      </c>
      <c r="I1749">
        <f>IF(Skills!T12&lt;&gt;"",1+(Skills!T12/10)*($Z$3/1000)/100,1)</f>
        <v/>
      </c>
      <c r="J1749" t="inlineStr"/>
      <c r="K1749" t="inlineStr"/>
      <c r="L1749" t="inlineStr"/>
      <c r="M1749" t="inlineStr"/>
      <c r="N1749" t="inlineStr"/>
      <c r="O1749">
        <f>(1-Summary!$B$11)*S1749+Summary!$B$11*U1749</f>
        <v/>
      </c>
      <c r="P1749">
        <f>IF(B1780=0,0,O1749/B1780)</f>
        <v/>
      </c>
      <c r="Q1749">
        <f>IFERROR(1/(IF(Inputs!$B$39="pvp",15,MAX(0.1,Skills!D12-IF(Skills!E12=TRUE,Inputs!$B$33,0)))*(1-IF(AND(ArtifactsInput!$M$27,Inputs!$B$4="Chapter Hunt"),CHOOSE(ArtifactsInput!$N$27+1,20,24,28,32,36,40),0)/100)),0)</f>
        <v/>
      </c>
      <c r="R1749">
        <f>IF(AND(Inputs!$B$39&lt;&gt;"pvp",Inputs!$B$44&gt;0),IF(MAX(0,Inputs!$B$44-B1777)&lt;=0,0,(INT(MAX(0,Inputs!$B$44-B1777)/(IF(Inputs!$B$39="pvp",15,MAX(0.1,Skills!D12-IF(Skills!E12=TRUE,Inputs!$B$33,0)))*(1-IF(AND(ArtifactsInput!$M$27,Inputs!$B$4="Chapter Hunt"),CHOOSE(ArtifactsInput!$N$27+1,20,24,28,32,36,40),0)/100)))+1)),0)</f>
        <v/>
      </c>
      <c r="S1749" t="n">
        <v>0</v>
      </c>
      <c r="U1749" t="n">
        <v>0</v>
      </c>
    </row>
    <row r="1750">
      <c r="A1750">
        <f>Skills!A13</f>
        <v/>
      </c>
      <c r="B1750">
        <f>Skills!B13</f>
        <v/>
      </c>
      <c r="C1750">
        <f>Inputs!$B$3&gt;=60</f>
        <v/>
      </c>
      <c r="D1750">
        <f>IF(Skills!C13=1,60+Inputs!$B$26+Inputs!$B$30,IF(Skills!C13=2,90+Inputs!$B$27+Inputs!$B$30,IF(Skills!C13=3,120+Inputs!$B$28+Inputs!$B$30,MAX(0,(Inputs!$B$3-100)*3)+Inputs!$B$29+Inputs!$B$30)))</f>
        <v/>
      </c>
      <c r="E1750">
        <f>INDEX(FactorTable!$B$2:$Y$301, MATCH(ROUND(MIN(300,MAX(1,D1750)),0), FactorTable!$A$2:$A$301,0), Skills!L13+1)</f>
        <v/>
      </c>
      <c r="F1750">
        <f>IF(Skills!M13=TRUE,(Skills!K13/10)*(E1750/1000),Skills!K13/10)+Skills!N13</f>
        <v/>
      </c>
      <c r="G1750">
        <f>Calc!G13</f>
        <v/>
      </c>
      <c r="H1750">
        <f>Calc!H13</f>
        <v/>
      </c>
      <c r="I1750">
        <f>IF(Skills!T13&lt;&gt;"",1+(Skills!T13/10)*($Z$3/1000)/100,1)</f>
        <v/>
      </c>
      <c r="J1750" t="inlineStr"/>
      <c r="K1750" t="inlineStr"/>
      <c r="L1750" t="inlineStr"/>
      <c r="M1750" t="inlineStr"/>
      <c r="N1750" t="inlineStr"/>
      <c r="O1750">
        <f>(1-Summary!$B$11)*S1750+Summary!$B$11*U1750</f>
        <v/>
      </c>
      <c r="P1750">
        <f>IF(B1780=0,0,O1750/B1780)</f>
        <v/>
      </c>
      <c r="Q1750">
        <f>IFERROR(1/(IF(Inputs!$B$39="pvp",15,MAX(0.1,Skills!D13-IF(Skills!E13=TRUE,Inputs!$B$33,0)))*(1-IF(AND(ArtifactsInput!$M$27,Inputs!$B$4="Chapter Hunt"),CHOOSE(ArtifactsInput!$N$27+1,20,24,28,32,36,40),0)/100)),0)</f>
        <v/>
      </c>
      <c r="R1750">
        <f>IF(AND(Inputs!$B$39&lt;&gt;"pvp",Inputs!$B$44&gt;0),IF(MAX(0,Inputs!$B$44-B1777)&lt;=0,0,(INT(MAX(0,Inputs!$B$44-B1777)/(IF(Inputs!$B$39="pvp",15,MAX(0.1,Skills!D13-IF(Skills!E13=TRUE,Inputs!$B$33,0)))*(1-IF(AND(ArtifactsInput!$M$27,Inputs!$B$4="Chapter Hunt"),CHOOSE(ArtifactsInput!$N$27+1,20,24,28,32,36,40),0)/100)))+1)),0)</f>
        <v/>
      </c>
      <c r="S1750" t="n">
        <v>0</v>
      </c>
      <c r="U1750" t="n">
        <v>0</v>
      </c>
    </row>
    <row r="1751">
      <c r="A1751">
        <f>Skills!A14</f>
        <v/>
      </c>
      <c r="B1751">
        <f>Skills!B14</f>
        <v/>
      </c>
      <c r="C1751">
        <f>Inputs!$B$3&gt;=107</f>
        <v/>
      </c>
      <c r="D1751">
        <f>IF(Skills!C14=1,60+Inputs!$B$26+Inputs!$B$30,IF(Skills!C14=2,90+Inputs!$B$27+Inputs!$B$30,IF(Skills!C14=3,120+Inputs!$B$28+Inputs!$B$30,MAX(0,(Inputs!$B$3-100)*3)+Inputs!$B$29+Inputs!$B$30)))</f>
        <v/>
      </c>
      <c r="E1751">
        <f>INDEX(FactorTable!$B$2:$Y$301, MATCH(ROUND(MIN(300,MAX(1,D1751)),0), FactorTable!$A$2:$A$301,0), Skills!L14+1)</f>
        <v/>
      </c>
      <c r="F1751">
        <f>IF(Skills!M14=TRUE,(Skills!K14/10)*(E1751/1000),Skills!K14/10)+Skills!N14</f>
        <v/>
      </c>
      <c r="G1751">
        <f>Calc!G14</f>
        <v/>
      </c>
      <c r="H1751">
        <f>Calc!H14</f>
        <v/>
      </c>
      <c r="I1751">
        <f>IF(Skills!T14&lt;&gt;"",1+(Skills!T14/10)*($Z$3/1000)/100,1)</f>
        <v/>
      </c>
      <c r="J1751" t="inlineStr"/>
      <c r="K1751" t="inlineStr"/>
      <c r="L1751" t="inlineStr"/>
      <c r="M1751" t="inlineStr"/>
      <c r="N1751" t="inlineStr"/>
      <c r="O1751">
        <f>(1-Summary!$B$11)*S1751+Summary!$B$11*U1751</f>
        <v/>
      </c>
      <c r="P1751">
        <f>IF(B1780=0,0,O1751/B1780)</f>
        <v/>
      </c>
      <c r="Q1751">
        <f>IFERROR(1/(IF(Inputs!$B$39="pvp",15,MAX(0.1,Skills!D14-IF(Skills!E14=TRUE,Inputs!$B$33,0)))*(1-IF(AND(ArtifactsInput!$M$27,Inputs!$B$4="Chapter Hunt"),CHOOSE(ArtifactsInput!$N$27+1,20,24,28,32,36,40),0)/100)),0)</f>
        <v/>
      </c>
      <c r="R1751">
        <f>IF(AND(Inputs!$B$39&lt;&gt;"pvp",Inputs!$B$44&gt;0),IF(Inputs!$B$44&lt;=0,0,(INT(Inputs!$B$44/(IF(Inputs!$B$39="pvp",15,MAX(0.1,Skills!D14-IF(Skills!E14=TRUE,Inputs!$B$33,0)))*(1-IF(AND(ArtifactsInput!$M$27,Inputs!$B$4="Chapter Hunt"),CHOOSE(ArtifactsInput!$N$27+1,20,24,28,32,36,40),0)/100)))+1)),0)</f>
        <v/>
      </c>
      <c r="S1751" t="n">
        <v>0</v>
      </c>
      <c r="U1751" t="n">
        <v>0</v>
      </c>
    </row>
    <row r="1752">
      <c r="A1752">
        <f>Skills!A15</f>
        <v/>
      </c>
      <c r="B1752">
        <f>Skills!B15</f>
        <v/>
      </c>
      <c r="C1752">
        <f>Inputs!$B$3&gt;=63</f>
        <v/>
      </c>
      <c r="D1752">
        <f>IF(Skills!C15=1,60+Inputs!$B$26+Inputs!$B$30,IF(Skills!C15=2,90+Inputs!$B$27+Inputs!$B$30,IF(Skills!C15=3,120+Inputs!$B$28+Inputs!$B$30,MAX(0,(Inputs!$B$3-100)*3)+Inputs!$B$29+Inputs!$B$30)))</f>
        <v/>
      </c>
      <c r="E1752">
        <f>INDEX(FactorTable!$B$2:$Y$301, MATCH(ROUND(MIN(300,MAX(1,D1752)),0), FactorTable!$A$2:$A$301,0), Skills!L15+1)</f>
        <v/>
      </c>
      <c r="F1752">
        <f>IF(Skills!M15=TRUE,(Skills!K15/10)*(E1752/1000),Skills!K15/10)+Skills!N15</f>
        <v/>
      </c>
      <c r="G1752">
        <f>Calc!G15</f>
        <v/>
      </c>
      <c r="H1752">
        <f>Calc!H15</f>
        <v/>
      </c>
      <c r="I1752">
        <f>IF(Skills!T15&lt;&gt;"",1+(Skills!T15/10)*($Z$3/1000)/100,1)</f>
        <v/>
      </c>
      <c r="J1752">
        <f>((Inputs!$B$6*(1+Inputs!$B$7/100))+(((Inputs!$B$13*(1+Inputs!$B$14/100))-(Inputs!$B$13*(1+Inputs!$B$14/100)))+0.25*(Inputs!$B$15-Inputs!$B$15))*(1+Inputs!$B$7/100))*(F1752/100)</f>
        <v/>
      </c>
      <c r="K1752">
        <f>J1752*(1+(((Inputs!$B$13+IF(Inputs!$B$3&gt;=35,(10*INDEX(FactorTable!$B$2:$Y$301,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15="TRIUMPH_FEATHER",IF(C1753=TRUE,F1753,0),0)/100)*(1+IF(C1764=TRUE,F1764,0)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1752)</f>
        <v/>
      </c>
      <c r="L1752">
        <f>K1752*(MIN(Inputs!$B$23+(F1759-Calc!F22),(Inputs!$B$24+IF(ArtifactsInput!$M$15,CHOOSE(ArtifactsInput!$N$15+1,25,30,35,40,45,50)/100*(Inputs!$B$12-Inputs!$B$12),0)))/100+(Inputs!$B$24+IF(ArtifactsInput!$M$15,CHOOSE(ArtifactsInput!$N$15+1,25,30,35,40,45,50)/100*(Inputs!$B$12-Inputs!$B$12),0))/100)/2</f>
        <v/>
      </c>
      <c r="M1752">
        <f>L1752*(1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2">
        <f>L1752*(1-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(1-Summary!$B$11)*S1752+Summary!$B$11*U1752</f>
        <v/>
      </c>
      <c r="P1752">
        <f>IF(B1780=0,0,O1752/B1780)</f>
        <v/>
      </c>
      <c r="Q1752">
        <f>IFERROR(1/(IF(Inputs!$B$39="pvp",15,MAX(0.1,Skills!D15-IF(Skills!E15=TRUE,Inputs!$B$33,0)))*(1-IF(AND(ArtifactsInput!$M$27,Inputs!$B$4="Chapter Hunt"),CHOOSE(ArtifactsInput!$N$27+1,20,24,28,32,36,40),0)/100)),0)</f>
        <v/>
      </c>
      <c r="R1752" t="n">
        <v>0</v>
      </c>
      <c r="S1752">
        <f>IF(C1752,(Skills!F15*N1752*((IF(Inputs!$B$3&gt;=78,25,15)/100*B1773*10)/(1+IF(Inputs!$B$3&gt;=78,25,15)/100*B1773*10))*(Skills!I15/100*B1773)/(1+Skills!G15*Skills!I15/100*B1773))*IF(Inputs!$B$39="pvp",1,1+(Inputs!$B$21+Skills!O15+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1752*(1-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2">
        <f>IF(C1752,(Skills!F15*N1752*((IF(Inputs!$B$3&gt;=78,25,15)/100*B1773*10)/(1+IF(Inputs!$B$3&gt;=78,25,15)/100*B1773*10))*(Skills!I15/100*B1773)/(1+Skills!G15*Skills!I15/100*B1773))*IF(Inputs!$B$39="pvp",1,(1+(Inputs!$B$22+Skills!P15+B1769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Skills!A16</f>
        <v/>
      </c>
      <c r="B1753">
        <f>Skills!B16</f>
        <v/>
      </c>
      <c r="C1753">
        <f>Inputs!$B$3&gt;=100</f>
        <v/>
      </c>
      <c r="D1753">
        <f>IF(Skills!C16=1,60+Inputs!$B$26+Inputs!$B$30,IF(Skills!C16=2,90+Inputs!$B$27+Inputs!$B$30,IF(Skills!C16=3,120+Inputs!$B$28+Inputs!$B$30,MAX(0,(Inputs!$B$3-100)*3)+Inputs!$B$29+Inputs!$B$30)))</f>
        <v/>
      </c>
      <c r="E1753">
        <f>INDEX(FactorTable!$B$2:$Y$301, MATCH(ROUND(MIN(300,MAX(1,D1753)),0), FactorTable!$A$2:$A$301,0), Skills!L16+1)</f>
        <v/>
      </c>
      <c r="F1753">
        <f>IF(Skills!M16=TRUE,(Skills!K16/10)*(E1753/1000),Skills!K16/10)+Skills!N16</f>
        <v/>
      </c>
      <c r="G1753">
        <f>Calc!G16</f>
        <v/>
      </c>
      <c r="H1753">
        <f>Calc!H16</f>
        <v/>
      </c>
      <c r="I1753">
        <f>IF(Skills!T16&lt;&gt;"",1+(Skills!T16/10)*($Z$3/1000)/100,1)</f>
        <v/>
      </c>
      <c r="J1753" t="inlineStr"/>
      <c r="K1753" t="inlineStr"/>
      <c r="L1753" t="inlineStr"/>
      <c r="M1753" t="inlineStr"/>
      <c r="N1753" t="inlineStr"/>
      <c r="O1753">
        <f>(1-Summary!$B$11)*S1753+Summary!$B$11*U1753</f>
        <v/>
      </c>
      <c r="P1753">
        <f>IF(B1780=0,0,O1753/B1780)</f>
        <v/>
      </c>
      <c r="Q1753">
        <f>IFERROR(1/(IF(Inputs!$B$39="pvp",15,MAX(0.1,Skills!D16-IF(Skills!E16=TRUE,Inputs!$B$33,0)))*(1-IF(AND(ArtifactsInput!$M$27,Inputs!$B$4="Chapter Hunt"),CHOOSE(ArtifactsInput!$N$27+1,20,24,28,32,36,40),0)/100)),0)</f>
        <v/>
      </c>
      <c r="R1753" t="n">
        <v>0</v>
      </c>
      <c r="S1753" t="n">
        <v>0</v>
      </c>
      <c r="U1753" t="n">
        <v>0</v>
      </c>
    </row>
    <row r="1754">
      <c r="A1754">
        <f>Skills!A17</f>
        <v/>
      </c>
      <c r="B1754">
        <f>Skills!B17</f>
        <v/>
      </c>
      <c r="C1754">
        <f>Inputs!$B$3&gt;=49</f>
        <v/>
      </c>
      <c r="D1754">
        <f>IF(Skills!C17=1,60+Inputs!$B$26+Inputs!$B$30,IF(Skills!C17=2,90+Inputs!$B$27+Inputs!$B$30,IF(Skills!C17=3,120+Inputs!$B$28+Inputs!$B$30,MAX(0,(Inputs!$B$3-100)*3)+Inputs!$B$29+Inputs!$B$30)))</f>
        <v/>
      </c>
      <c r="E1754">
        <f>INDEX(FactorTable!$B$2:$Y$301, MATCH(ROUND(MIN(300,MAX(1,D1754)),0), FactorTable!$A$2:$A$301,0), Skills!L17+1)</f>
        <v/>
      </c>
      <c r="F1754">
        <f>IF(Skills!M17=TRUE,(Skills!K17/10)*(E1754/1000),Skills!K17/10)+Skills!N17</f>
        <v/>
      </c>
      <c r="G1754">
        <f>Calc!G17</f>
        <v/>
      </c>
      <c r="H1754">
        <f>Calc!H17</f>
        <v/>
      </c>
      <c r="I1754">
        <f>IF(Skills!T17&lt;&gt;"",1+(Skills!T17/10)*($Z$3/1000)/100,1)</f>
        <v/>
      </c>
      <c r="J1754" t="inlineStr"/>
      <c r="K1754" t="inlineStr"/>
      <c r="L1754" t="inlineStr"/>
      <c r="M1754" t="inlineStr"/>
      <c r="N1754" t="inlineStr"/>
      <c r="O1754">
        <f>(1-Summary!$B$11)*S1754+Summary!$B$11*U1754</f>
        <v/>
      </c>
      <c r="P1754">
        <f>IF(B1780=0,0,O1754/B1780)</f>
        <v/>
      </c>
      <c r="Q1754">
        <f>IFERROR(1/(IF(Inputs!$B$39="pvp",15,MAX(0.1,Skills!D17-IF(Skills!E17=TRUE,Inputs!$B$33,0)))*(1-IF(AND(ArtifactsInput!$M$27,Inputs!$B$4="Chapter Hunt"),CHOOSE(ArtifactsInput!$N$27+1,20,24,28,32,36,40),0)/100)),0)</f>
        <v/>
      </c>
      <c r="R1754" t="n">
        <v>0</v>
      </c>
      <c r="S1754" t="n">
        <v>0</v>
      </c>
      <c r="U1754" t="n">
        <v>0</v>
      </c>
    </row>
    <row r="1755">
      <c r="A1755">
        <f>Skills!A18</f>
        <v/>
      </c>
      <c r="B1755">
        <f>Skills!B18</f>
        <v/>
      </c>
      <c r="C1755">
        <f>Inputs!$B$3&gt;=75</f>
        <v/>
      </c>
      <c r="D1755">
        <f>IF(Skills!C18=1,60+Inputs!$B$26+Inputs!$B$30,IF(Skills!C18=2,90+Inputs!$B$27+Inputs!$B$30,IF(Skills!C18=3,120+Inputs!$B$28+Inputs!$B$30,MAX(0,(Inputs!$B$3-100)*3)+Inputs!$B$29+Inputs!$B$30)))</f>
        <v/>
      </c>
      <c r="E1755">
        <f>INDEX(FactorTable!$B$2:$Y$301, MATCH(ROUND(MIN(300,MAX(1,D1755)),0), FactorTable!$A$2:$A$301,0), Skills!L18+1)</f>
        <v/>
      </c>
      <c r="F1755">
        <f>IF(Skills!M18=TRUE,(Skills!K18/10)*(E1755/1000),Skills!K18/10)+Skills!N18</f>
        <v/>
      </c>
      <c r="G1755">
        <f>Calc!G18</f>
        <v/>
      </c>
      <c r="H1755">
        <f>Calc!H18</f>
        <v/>
      </c>
      <c r="I1755">
        <f>IF(Skills!T18&lt;&gt;"",1+(Skills!T18/10)*($Z$3/1000)/100,1)</f>
        <v/>
      </c>
      <c r="J1755" t="inlineStr"/>
      <c r="K1755" t="inlineStr"/>
      <c r="L1755" t="inlineStr"/>
      <c r="M1755" t="inlineStr"/>
      <c r="N1755" t="inlineStr"/>
      <c r="O1755">
        <f>(1-Summary!$B$11)*S1755+Summary!$B$11*U1755</f>
        <v/>
      </c>
      <c r="P1755">
        <f>IF(B1780=0,0,O1755/B1780)</f>
        <v/>
      </c>
      <c r="Q1755">
        <f>IFERROR(1/(IF(Inputs!$B$39="pvp",15,MAX(0.1,Skills!D18-IF(Skills!E18=TRUE,Inputs!$B$33,0)))*(1-IF(AND(ArtifactsInput!$M$27,Inputs!$B$4="Chapter Hunt"),CHOOSE(ArtifactsInput!$N$27+1,20,24,28,32,36,40),0)/100)),0)</f>
        <v/>
      </c>
      <c r="R1755" t="n">
        <v>0</v>
      </c>
      <c r="S1755" t="n">
        <v>0</v>
      </c>
      <c r="U1755" t="n">
        <v>0</v>
      </c>
    </row>
    <row r="1756">
      <c r="A1756">
        <f>Skills!A19</f>
        <v/>
      </c>
      <c r="B1756">
        <f>Skills!B19</f>
        <v/>
      </c>
      <c r="C1756">
        <f>Inputs!$B$3&gt;=110</f>
        <v/>
      </c>
      <c r="D1756">
        <f>IF(Skills!C19=1,60+Inputs!$B$26+Inputs!$B$30,IF(Skills!C19=2,90+Inputs!$B$27+Inputs!$B$30,IF(Skills!C19=3,120+Inputs!$B$28+Inputs!$B$30,MAX(0,(Inputs!$B$3-100)*3)+Inputs!$B$29+Inputs!$B$30)))</f>
        <v/>
      </c>
      <c r="E1756">
        <f>INDEX(FactorTable!$B$2:$Y$301, MATCH(ROUND(MIN(300,MAX(1,D1756)),0), FactorTable!$A$2:$A$301,0), Skills!L19+1)</f>
        <v/>
      </c>
      <c r="F1756">
        <f>(Skills!K19/10)*(E1756/1000)*64/45+Skills!N19</f>
        <v/>
      </c>
      <c r="G1756">
        <f>Calc!G19</f>
        <v/>
      </c>
      <c r="H1756">
        <f>Calc!H19</f>
        <v/>
      </c>
      <c r="I1756">
        <f>IF(Skills!T19&lt;&gt;"",1+(Skills!T19/10)*($Z$3/1000)/100,1)</f>
        <v/>
      </c>
      <c r="J1756" t="inlineStr"/>
      <c r="K1756" t="inlineStr"/>
      <c r="L1756" t="inlineStr"/>
      <c r="M1756" t="inlineStr"/>
      <c r="N1756" t="inlineStr"/>
      <c r="O1756">
        <f>(1-Summary!$B$11)*S1756+Summary!$B$11*U1756</f>
        <v/>
      </c>
      <c r="P1756">
        <f>IF(B1780=0,0,O1756/B1780)</f>
        <v/>
      </c>
      <c r="Q1756">
        <f>IFERROR(1/(IF(Inputs!$B$39="pvp",15,MAX(0.1,Skills!D19-IF(Skills!E19=TRUE,Inputs!$B$33,0)))*(1-IF(AND(ArtifactsInput!$M$27,Inputs!$B$4="Chapter Hunt"),CHOOSE(ArtifactsInput!$N$27+1,20,24,28,32,36,40),0)/100)),0)</f>
        <v/>
      </c>
      <c r="R1756">
        <f>IF(AND(Inputs!$B$39&lt;&gt;"pvp",Inputs!$B$44&gt;0),IF(Inputs!$B$44&lt;=0,0,(INT(Inputs!$B$44/(IF(Inputs!$B$39="pvp",15,MAX(0.1,Skills!D19-IF(Skills!E19=TRUE,Inputs!$B$33,0)))*(1-IF(AND(ArtifactsInput!$M$27,Inputs!$B$4="Chapter Hunt"),CHOOSE(ArtifactsInput!$N$27+1,20,24,28,32,36,40),0)/100)))+1)),0)</f>
        <v/>
      </c>
      <c r="S1756" t="n">
        <v>0</v>
      </c>
      <c r="U1756" t="n">
        <v>0</v>
      </c>
    </row>
    <row r="1757">
      <c r="A1757">
        <f>Skills!A20</f>
        <v/>
      </c>
      <c r="B1757">
        <f>Skills!B20</f>
        <v/>
      </c>
      <c r="C1757">
        <f>Inputs!$B$3&gt;=125</f>
        <v/>
      </c>
      <c r="D1757">
        <f>IF(Skills!C20=1,60+Inputs!$B$26+Inputs!$B$30,IF(Skills!C20=2,90+Inputs!$B$27+Inputs!$B$30,IF(Skills!C20=3,120+Inputs!$B$28+Inputs!$B$30,MAX(0,(Inputs!$B$3-100)*3)+Inputs!$B$29+Inputs!$B$30)))</f>
        <v/>
      </c>
      <c r="E1757">
        <f>INDEX(FactorTable!$B$2:$Y$301, MATCH(ROUND(MIN(300,MAX(1,D1757)),0), FactorTable!$A$2:$A$301,0), Skills!L20+1)</f>
        <v/>
      </c>
      <c r="F1757">
        <f>IF(Skills!M20=TRUE,(Skills!K20/10)*(E1757/1000),Skills!K20/10)+Skills!N20</f>
        <v/>
      </c>
      <c r="G1757">
        <f>Calc!G20</f>
        <v/>
      </c>
      <c r="H1757">
        <f>Calc!H20</f>
        <v/>
      </c>
      <c r="I1757">
        <f>IF(Skills!T20&lt;&gt;"",1+(Skills!T20/10)*($Z$3/1000)/100,1)</f>
        <v/>
      </c>
      <c r="J1757" t="inlineStr"/>
      <c r="K1757" t="inlineStr"/>
      <c r="L1757" t="inlineStr"/>
      <c r="M1757" t="inlineStr"/>
      <c r="N1757" t="inlineStr"/>
      <c r="O1757">
        <f>(1-Summary!$B$11)*S1757+Summary!$B$11*U1757</f>
        <v/>
      </c>
      <c r="P1757">
        <f>IF(B1780=0,0,O1757/B1780)</f>
        <v/>
      </c>
      <c r="Q1757">
        <f>IFERROR(1/(IF(Inputs!$B$39="pvp",15,MAX(0.1,Skills!D20-IF(Skills!E20=TRUE,Inputs!$B$33,0)))*(1-IF(AND(ArtifactsInput!$M$27,Inputs!$B$4="Chapter Hunt"),CHOOSE(ArtifactsInput!$N$27+1,20,24,28,32,36,40),0)/100)),0)</f>
        <v/>
      </c>
      <c r="R1757" t="n">
        <v>0</v>
      </c>
      <c r="S1757" t="n">
        <v>0</v>
      </c>
      <c r="U1757" t="n">
        <v>0</v>
      </c>
    </row>
    <row r="1758">
      <c r="A1758">
        <f>Skills!A21</f>
        <v/>
      </c>
      <c r="B1758">
        <f>Skills!B21</f>
        <v/>
      </c>
      <c r="C1758">
        <f>Inputs!$B$3&gt;=33</f>
        <v/>
      </c>
      <c r="D1758">
        <f>IF(Skills!C21=1,60+Inputs!$B$26+Inputs!$B$30,IF(Skills!C21=2,90+Inputs!$B$27+Inputs!$B$30,IF(Skills!C21=3,120+Inputs!$B$28+Inputs!$B$30,MAX(0,(Inputs!$B$3-100)*3)+Inputs!$B$29+Inputs!$B$30)))</f>
        <v/>
      </c>
      <c r="E1758">
        <f>INDEX(FactorTable!$B$2:$Y$301, MATCH(ROUND(MIN(300,MAX(1,D1758)),0), FactorTable!$A$2:$A$301,0), Skills!L21+1)</f>
        <v/>
      </c>
      <c r="F1758">
        <f>IF(Skills!M21=TRUE,(Skills!K21/10)*(E1758/1000),Skills!K21/10)+Skills!N21</f>
        <v/>
      </c>
      <c r="G1758">
        <f>Calc!G21</f>
        <v/>
      </c>
      <c r="H1758">
        <f>Calc!H21</f>
        <v/>
      </c>
      <c r="I1758">
        <f>IF(Skills!T21&lt;&gt;"",1+(Skills!T21/10)*($Z$3/1000)/100,1)</f>
        <v/>
      </c>
      <c r="J1758" t="inlineStr"/>
      <c r="K1758" t="inlineStr"/>
      <c r="L1758" t="inlineStr"/>
      <c r="M1758" t="inlineStr"/>
      <c r="N1758" t="inlineStr"/>
      <c r="O1758">
        <f>(1-Summary!$B$11)*S1758+Summary!$B$11*U1758</f>
        <v/>
      </c>
      <c r="P1758">
        <f>IF(B1780=0,0,O1758/B1780)</f>
        <v/>
      </c>
      <c r="Q1758">
        <f>IFERROR(1/(IF(Inputs!$B$39="pvp",15,MAX(0.1,Skills!D21-IF(Skills!E21=TRUE,Inputs!$B$33,0)))*(1-IF(AND(ArtifactsInput!$M$27,Inputs!$B$4="Chapter Hunt"),CHOOSE(ArtifactsInput!$N$27+1,20,24,28,32,36,40),0)/100)),0)</f>
        <v/>
      </c>
      <c r="R1758" t="n">
        <v>0</v>
      </c>
      <c r="S1758" t="n">
        <v>0</v>
      </c>
      <c r="U1758" t="n">
        <v>0</v>
      </c>
    </row>
    <row r="1759">
      <c r="A1759">
        <f>Skills!A22</f>
        <v/>
      </c>
      <c r="B1759">
        <f>Skills!B22</f>
        <v/>
      </c>
      <c r="C1759">
        <f>Inputs!$B$3&gt;=43</f>
        <v/>
      </c>
      <c r="D1759">
        <f>IF(Skills!C22=1,60+Inputs!$B$26+Inputs!$B$30,IF(Skills!C22=2,90+Inputs!$B$27+Inputs!$B$30,IF(Skills!C22=3,120+Inputs!$B$28+Inputs!$B$30,MAX(0,(Inputs!$B$3-100)*3)+Inputs!$B$29+Inputs!$B$30)))</f>
        <v/>
      </c>
      <c r="E1759">
        <f>INDEX(FactorTable!$B$2:$Y$301, MATCH(ROUND(MIN(300,MAX(1,D1759)),0), FactorTable!$A$2:$A$301,0), Skills!L22+1)</f>
        <v/>
      </c>
      <c r="F1759">
        <f>IF(Skills!M22=TRUE,(Skills!K22/10)*(E1759/1000),Skills!K22/10)+Skills!N22</f>
        <v/>
      </c>
      <c r="G1759">
        <f>Calc!G22</f>
        <v/>
      </c>
      <c r="H1759">
        <f>Calc!H22</f>
        <v/>
      </c>
      <c r="I1759">
        <f>IF(Skills!T22&lt;&gt;"",1+(Skills!T22/10)*($Z$3/1000)/100,1)</f>
        <v/>
      </c>
      <c r="J1759" t="inlineStr"/>
      <c r="K1759" t="inlineStr"/>
      <c r="L1759" t="inlineStr"/>
      <c r="M1759" t="inlineStr"/>
      <c r="N1759" t="inlineStr"/>
      <c r="O1759">
        <f>(1-Summary!$B$11)*S1759+Summary!$B$11*U1759</f>
        <v/>
      </c>
      <c r="P1759">
        <f>IF(B1780=0,0,O1759/B1780)</f>
        <v/>
      </c>
      <c r="Q1759">
        <f>IFERROR(1/(IF(Inputs!$B$39="pvp",15,MAX(0.1,Skills!D22-IF(Skills!E22=TRUE,Inputs!$B$33,0)))*(1-IF(AND(ArtifactsInput!$M$27,Inputs!$B$4="Chapter Hunt"),CHOOSE(ArtifactsInput!$N$27+1,20,24,28,32,36,40),0)/100)),0)</f>
        <v/>
      </c>
      <c r="R1759" t="n">
        <v>0</v>
      </c>
      <c r="S1759" t="n">
        <v>0</v>
      </c>
      <c r="U1759" t="n">
        <v>0</v>
      </c>
    </row>
    <row r="1760">
      <c r="A1760">
        <f>Skills!A23</f>
        <v/>
      </c>
      <c r="B1760">
        <f>Skills!B23</f>
        <v/>
      </c>
      <c r="C1760">
        <f>Inputs!$B$3&gt;=50</f>
        <v/>
      </c>
      <c r="D1760">
        <f>IF(Skills!C23=1,60+Inputs!$B$26+Inputs!$B$30,IF(Skills!C23=2,90+Inputs!$B$27+Inputs!$B$30,IF(Skills!C23=3,120+Inputs!$B$28+Inputs!$B$30,MAX(0,(Inputs!$B$3-100)*3)+Inputs!$B$29+Inputs!$B$30)))</f>
        <v/>
      </c>
      <c r="E1760">
        <f>INDEX(FactorTable!$B$2:$Y$301, MATCH(ROUND(MIN(300,MAX(1,D1760)),0), FactorTable!$A$2:$A$301,0), Skills!L23+1)</f>
        <v/>
      </c>
      <c r="F1760">
        <f>IF(Skills!M23=TRUE,(Skills!K23/10)*(E1760/1000),Skills!K23/10)+Skills!N23</f>
        <v/>
      </c>
      <c r="G1760">
        <f>Calc!G23</f>
        <v/>
      </c>
      <c r="H1760">
        <f>Calc!H23</f>
        <v/>
      </c>
      <c r="I1760">
        <f>IF(Skills!T23&lt;&gt;"",1+(Skills!T23/10)*($Z$3/1000)/100,1)</f>
        <v/>
      </c>
      <c r="J1760" t="inlineStr"/>
      <c r="K1760" t="inlineStr"/>
      <c r="L1760" t="inlineStr"/>
      <c r="M1760" t="inlineStr"/>
      <c r="N1760" t="inlineStr"/>
      <c r="O1760">
        <f>(1-Summary!$B$11)*S1760+Summary!$B$11*U1760</f>
        <v/>
      </c>
      <c r="P1760">
        <f>IF(B1780=0,0,O1760/B1780)</f>
        <v/>
      </c>
      <c r="Q1760">
        <f>IFERROR(1/(IF(Inputs!$B$39="pvp",15,MAX(0.1,Skills!D23-IF(Skills!E23=TRUE,Inputs!$B$33,0)))*(1-IF(AND(ArtifactsInput!$M$27,Inputs!$B$4="Chapter Hunt"),CHOOSE(ArtifactsInput!$N$27+1,20,24,28,32,36,40),0)/100)),0)</f>
        <v/>
      </c>
      <c r="R1760" t="n">
        <v>0</v>
      </c>
      <c r="S1760" t="n">
        <v>0</v>
      </c>
      <c r="U1760" t="n">
        <v>0</v>
      </c>
    </row>
    <row r="1761">
      <c r="A1761">
        <f>Skills!A24</f>
        <v/>
      </c>
      <c r="B1761">
        <f>Skills!B24</f>
        <v/>
      </c>
      <c r="C1761">
        <f>Inputs!$B$3&gt;=74</f>
        <v/>
      </c>
      <c r="D1761">
        <f>IF(Skills!C24=1,60+Inputs!$B$26+Inputs!$B$30,IF(Skills!C24=2,90+Inputs!$B$27+Inputs!$B$30,IF(Skills!C24=3,120+Inputs!$B$28+Inputs!$B$30,MAX(0,(Inputs!$B$3-100)*3)+Inputs!$B$29+Inputs!$B$30)))</f>
        <v/>
      </c>
      <c r="E1761">
        <f>INDEX(FactorTable!$B$2:$Y$301, MATCH(ROUND(MIN(300,MAX(1,D1761)),0), FactorTable!$A$2:$A$301,0), Skills!L24+1)</f>
        <v/>
      </c>
      <c r="F1761">
        <f>IF(Skills!M24=TRUE,(Skills!K24/10)*(E1761/1000),Skills!K24/10)+Skills!N24</f>
        <v/>
      </c>
      <c r="G1761">
        <f>Calc!G24</f>
        <v/>
      </c>
      <c r="H1761">
        <f>Calc!H24</f>
        <v/>
      </c>
      <c r="I1761">
        <f>IF(Skills!T24&lt;&gt;"",1+(Skills!T24/10)*($Z$3/1000)/100,1)</f>
        <v/>
      </c>
      <c r="J1761" t="inlineStr"/>
      <c r="K1761" t="inlineStr"/>
      <c r="L1761" t="inlineStr"/>
      <c r="M1761" t="inlineStr"/>
      <c r="N1761" t="inlineStr"/>
      <c r="O1761">
        <f>(1-Summary!$B$11)*S1761+Summary!$B$11*U1761</f>
        <v/>
      </c>
      <c r="P1761">
        <f>IF(B1780=0,0,O1761/B1780)</f>
        <v/>
      </c>
      <c r="Q1761">
        <f>IFERROR(1/(IF(Inputs!$B$39="pvp",15,MAX(0.1,Skills!D24-IF(Skills!E24=TRUE,Inputs!$B$33,0)))*(1-IF(AND(ArtifactsInput!$M$27,Inputs!$B$4="Chapter Hunt"),CHOOSE(ArtifactsInput!$N$27+1,20,24,28,32,36,40),0)/100)),0)</f>
        <v/>
      </c>
      <c r="R1761" t="n">
        <v>0</v>
      </c>
      <c r="S1761" t="n">
        <v>0</v>
      </c>
      <c r="U1761" t="n">
        <v>0</v>
      </c>
    </row>
    <row r="1762">
      <c r="A1762">
        <f>Skills!A25</f>
        <v/>
      </c>
      <c r="B1762">
        <f>Skills!B25</f>
        <v/>
      </c>
      <c r="C1762">
        <f>Inputs!$B$3&gt;=74</f>
        <v/>
      </c>
      <c r="D1762">
        <f>IF(Skills!C25=1,60+Inputs!$B$26+Inputs!$B$30,IF(Skills!C25=2,90+Inputs!$B$27+Inputs!$B$30,IF(Skills!C25=3,120+Inputs!$B$28+Inputs!$B$30,MAX(0,(Inputs!$B$3-100)*3)+Inputs!$B$29+Inputs!$B$30)))</f>
        <v/>
      </c>
      <c r="E1762">
        <f>INDEX(FactorTable!$B$2:$Y$301, MATCH(ROUND(MIN(300,MAX(1,D1762)),0), FactorTable!$A$2:$A$301,0), Skills!L25+1)</f>
        <v/>
      </c>
      <c r="F1762">
        <f>IF(Skills!M25=TRUE,(Skills!K25/10)*(E1762/1000),Skills!K25/10)+Skills!N25</f>
        <v/>
      </c>
      <c r="G1762">
        <f>Calc!G25</f>
        <v/>
      </c>
      <c r="H1762">
        <f>Calc!H25</f>
        <v/>
      </c>
      <c r="I1762">
        <f>IF(Skills!T25&lt;&gt;"",1+(Skills!T25/10)*($Z$3/1000)/100,1)</f>
        <v/>
      </c>
      <c r="J1762" t="inlineStr"/>
      <c r="K1762" t="inlineStr"/>
      <c r="L1762" t="inlineStr"/>
      <c r="M1762" t="inlineStr"/>
      <c r="N1762" t="inlineStr"/>
      <c r="O1762">
        <f>(1-Summary!$B$11)*S1762+Summary!$B$11*U1762</f>
        <v/>
      </c>
      <c r="P1762">
        <f>IF(B1780=0,0,O1762/B1780)</f>
        <v/>
      </c>
      <c r="Q1762">
        <f>IFERROR(1/(IF(Inputs!$B$39="pvp",15,MAX(0.1,Skills!D25-IF(Skills!E25=TRUE,Inputs!$B$33,0)))*(1-IF(AND(ArtifactsInput!$M$27,Inputs!$B$4="Chapter Hunt"),CHOOSE(ArtifactsInput!$N$27+1,20,24,28,32,36,40),0)/100)),0)</f>
        <v/>
      </c>
      <c r="R1762" t="n">
        <v>0</v>
      </c>
      <c r="S1762" t="n">
        <v>0</v>
      </c>
      <c r="U1762" t="n">
        <v>0</v>
      </c>
    </row>
    <row r="1763">
      <c r="A1763">
        <f>Skills!A26</f>
        <v/>
      </c>
      <c r="B1763">
        <f>Skills!B26</f>
        <v/>
      </c>
      <c r="C1763">
        <f>Inputs!$B$3&gt;=117</f>
        <v/>
      </c>
      <c r="D1763">
        <f>IF(Skills!C26=1,60+Inputs!$B$26+Inputs!$B$30,IF(Skills!C26=2,90+Inputs!$B$27+Inputs!$B$30,IF(Skills!C26=3,120+Inputs!$B$28+Inputs!$B$30,MAX(0,(Inputs!$B$3-100)*3)+Inputs!$B$29+Inputs!$B$30)))</f>
        <v/>
      </c>
      <c r="E1763">
        <f>INDEX(FactorTable!$B$2:$Y$301, MATCH(ROUND(MIN(300,MAX(1,D1763)),0), FactorTable!$A$2:$A$301,0), Skills!L26+1)</f>
        <v/>
      </c>
      <c r="F1763">
        <f>IF(Skills!M26=TRUE,(Skills!K26/10)*(E1763/1000),Skills!K26/10)+Skills!N26</f>
        <v/>
      </c>
      <c r="G1763">
        <f>Calc!G26</f>
        <v/>
      </c>
      <c r="H1763">
        <f>Calc!H26</f>
        <v/>
      </c>
      <c r="I1763">
        <f>IF(Skills!T26&lt;&gt;"",1+(Skills!T26/10)*($Z$3/1000)/100,1)</f>
        <v/>
      </c>
      <c r="J1763" t="inlineStr"/>
      <c r="K1763" t="inlineStr"/>
      <c r="L1763" t="inlineStr"/>
      <c r="M1763" t="inlineStr"/>
      <c r="N1763" t="inlineStr"/>
      <c r="O1763">
        <f>(1-Summary!$B$11)*S1763+Summary!$B$11*U1763</f>
        <v/>
      </c>
      <c r="P1763">
        <f>IF(B1780=0,0,O1763/B1780)</f>
        <v/>
      </c>
      <c r="Q1763">
        <f>IFERROR(1/(IF(Inputs!$B$39="pvp",15,MAX(0.1,Skills!D26-IF(Skills!E26=TRUE,Inputs!$B$33,0)))*(1-IF(AND(ArtifactsInput!$M$27,Inputs!$B$4="Chapter Hunt"),CHOOSE(ArtifactsInput!$N$27+1,20,24,28,32,36,40),0)/100)),0)</f>
        <v/>
      </c>
      <c r="R1763" t="n">
        <v>0</v>
      </c>
      <c r="S1763" t="n">
        <v>0</v>
      </c>
      <c r="U1763" t="n">
        <v>0</v>
      </c>
    </row>
    <row r="1764">
      <c r="A1764">
        <f>Skills!A27</f>
        <v/>
      </c>
      <c r="B1764">
        <f>Skills!B27</f>
        <v/>
      </c>
      <c r="C1764">
        <f>Inputs!$B$3&gt;=120</f>
        <v/>
      </c>
      <c r="D1764">
        <f>IF(Skills!C27=1,60+Inputs!$B$26+Inputs!$B$30,IF(Skills!C27=2,90+Inputs!$B$27+Inputs!$B$30,IF(Skills!C27=3,120+Inputs!$B$28+Inputs!$B$30,MAX(0,(Inputs!$B$3-100)*3)+Inputs!$B$29+Inputs!$B$30)))</f>
        <v/>
      </c>
      <c r="E1764">
        <f>INDEX(FactorTable!$B$2:$Y$301, MATCH(ROUND(MIN(300,MAX(1,D1764)),0), FactorTable!$A$2:$A$301,0), Skills!L27+1)</f>
        <v/>
      </c>
      <c r="F1764">
        <f>IF(Skills!M27=TRUE,(Skills!K27/10)*(E1764/1000),Skills!K27/10)+Skills!N27</f>
        <v/>
      </c>
      <c r="G1764">
        <f>Calc!G27</f>
        <v/>
      </c>
      <c r="H1764">
        <f>Calc!H27</f>
        <v/>
      </c>
      <c r="I1764">
        <f>IF(Skills!T27&lt;&gt;"",1+(Skills!T27/10)*($Z$3/1000)/100,1)</f>
        <v/>
      </c>
      <c r="J1764" t="inlineStr"/>
      <c r="K1764" t="inlineStr"/>
      <c r="L1764" t="inlineStr"/>
      <c r="M1764" t="inlineStr"/>
      <c r="N1764" t="inlineStr"/>
      <c r="O1764">
        <f>(1-Summary!$B$11)*S1764+Summary!$B$11*U1764</f>
        <v/>
      </c>
      <c r="P1764">
        <f>IF(B1780=0,0,O1764/B1780)</f>
        <v/>
      </c>
      <c r="Q1764">
        <f>IFERROR(1/(IF(Inputs!$B$39="pvp",15,MAX(0.1,Skills!D27-IF(Skills!E27=TRUE,Inputs!$B$33,0)))*(1-IF(AND(ArtifactsInput!$M$27,Inputs!$B$4="Chapter Hunt"),CHOOSE(ArtifactsInput!$N$27+1,20,24,28,32,36,40),0)/100)),0)</f>
        <v/>
      </c>
      <c r="R1764" t="n">
        <v>0</v>
      </c>
      <c r="S1764" t="n">
        <v>0</v>
      </c>
      <c r="U1764" t="n">
        <v>0</v>
      </c>
    </row>
    <row r="1765">
      <c r="A1765">
        <f>Skills!A28</f>
        <v/>
      </c>
      <c r="B1765">
        <f>Skills!B28</f>
        <v/>
      </c>
      <c r="C1765">
        <f>TRUE</f>
        <v/>
      </c>
      <c r="D1765">
        <f>IF(Skills!C28=1,60+Inputs!$B$26+Inputs!$B$30,IF(Skills!C28=2,90+Inputs!$B$27+Inputs!$B$30,IF(Skills!C28=3,120+Inputs!$B$28+Inputs!$B$30,MAX(0,(Inputs!$B$3-100)*3)+Inputs!$B$29+Inputs!$B$30)))</f>
        <v/>
      </c>
      <c r="E1765">
        <f>INDEX(FactorTable!$B$2:$Y$301, MATCH(ROUND(MIN(300,MAX(1,D1765)),0), FactorTable!$A$2:$A$301,0), Skills!L28+1)</f>
        <v/>
      </c>
      <c r="F1765">
        <f>IF(Skills!M28=TRUE,(Skills!K28/10)*(E1765/1000),Skills!K28/10)+Skills!N28</f>
        <v/>
      </c>
      <c r="G1765">
        <f>Calc!G28</f>
        <v/>
      </c>
      <c r="H1765">
        <f>Calc!H28</f>
        <v/>
      </c>
      <c r="I1765">
        <f>IF(Skills!T28&lt;&gt;"",1+(Skills!T28/10)*($Z$3/1000)/100,1)</f>
        <v/>
      </c>
      <c r="J1765" t="inlineStr"/>
      <c r="K1765" t="inlineStr"/>
      <c r="L1765" t="inlineStr"/>
      <c r="M1765" t="inlineStr"/>
      <c r="N1765" t="inlineStr"/>
      <c r="O1765">
        <f>(1-Summary!$B$11)*S1765+Summary!$B$11*U1765</f>
        <v/>
      </c>
      <c r="P1765">
        <f>IF(B1780=0,0,O1765/B1780)</f>
        <v/>
      </c>
      <c r="Q1765">
        <f>IFERROR(1/(IF(Inputs!$B$39="pvp",15,MAX(0.1,Skills!D28-IF(Skills!E28=TRUE,Inputs!$B$33,0)))*(1-IF(AND(ArtifactsInput!$M$27,Inputs!$B$4="Chapter Hunt"),CHOOSE(ArtifactsInput!$N$27+1,20,24,28,32,36,40),0)/100)),0)</f>
        <v/>
      </c>
      <c r="R1765">
        <f>IF(AND(Inputs!$B$39&lt;&gt;"pvp",Inputs!$B$44&gt;0),IF(Inputs!$B$44&lt;=0,0,(INT(Inputs!$B$44/(IF(Inputs!$B$39="pvp",15,MAX(0.1,Skills!D28-IF(Skills!E28=TRUE,Inputs!$B$33,0)))*(1-IF(AND(ArtifactsInput!$M$27,Inputs!$B$4="Chapter Hunt"),CHOOSE(ArtifactsInput!$N$27+1,20,24,28,32,36,40),0)/100)))+1)),0)</f>
        <v/>
      </c>
      <c r="S1765" t="n">
        <v>0</v>
      </c>
      <c r="U1765" t="n">
        <v>0</v>
      </c>
    </row>
    <row r="1767">
      <c r="A1767" t="inlineStr">
        <is>
          <t>Average Buff Multiplier</t>
        </is>
      </c>
      <c r="B1767">
        <f>(1+(IF(C1740=TRUE,F1740*IF(AND(Inputs!$B$39&lt;&gt;"pvp",Inputs!$B$44&gt;0),(((R1740-1)*(Skills!S3*(1+((Inputs!$B$35+(ArtifactsInput!$M$7-ArtifactsInput!$M$7)*CHOOSE(ArtifactsInput!$N$7+1,6,7.2,8.4,9.6,10.8,12))+IF(Inputs!$B$3&gt;=117,F1763,0))/100))+MIN((Skills!S3*(1+((Inputs!$B$35+(ArtifactsInput!$M$7-ArtifactsInput!$M$7)*CHOOSE(ArtifactsInput!$N$7+1,6,7.2,8.4,9.6,10.8,12))+IF(Inputs!$B$3&gt;=117,F1763,0))/100)),MAX(0,Inputs!$B$44-((R1740-1)*Skills!D3))))/Inputs!$B$44),IF(Inputs!$B$39="pvp",MIN((Skills!S3*(1+((Inputs!$B$35+(ArtifactsInput!$M$7-ArtifactsInput!$M$7)*CHOOSE(ArtifactsInput!$N$7+1,6,7.2,8.4,9.6,10.8,12))+IF(Inputs!$B$3&gt;=117,F1763,0))/100)),15)/15,(Skills!S3*(1+((Inputs!$B$35+(ArtifactsInput!$M$7-ArtifactsInput!$M$7)*CHOOSE(ArtifactsInput!$N$7+1,6,7.2,8.4,9.6,10.8,12))+IF(Inputs!$B$3&gt;=117,F1763,0))/100))/Skills!D3)),0)+IF(C1741=TRUE,F1741*IF(AND(Inputs!$B$39&lt;&gt;"pvp",Inputs!$B$44&gt;0),(((R1741-1)*(Skills!S4*(1+((Inputs!$B$35+(ArtifactsInput!$M$7-ArtifactsInput!$M$7)*CHOOSE(ArtifactsInput!$N$7+1,6,7.2,8.4,9.6,10.8,12))+IF(Inputs!$B$3&gt;=117,F1763,0))/100))+MIN((Skills!S4*(1+((Inputs!$B$35+(ArtifactsInput!$M$7-ArtifactsInput!$M$7)*CHOOSE(ArtifactsInput!$N$7+1,6,7.2,8.4,9.6,10.8,12))+IF(Inputs!$B$3&gt;=117,F1763,0))/100)),MAX(0,Inputs!$B$44-((R1741-1)*Skills!D4))))/Inputs!$B$44),IF(Inputs!$B$39="pvp",MIN((Skills!S4*(1+((Inputs!$B$35+(ArtifactsInput!$M$7-ArtifactsInput!$M$7)*CHOOSE(ArtifactsInput!$N$7+1,6,7.2,8.4,9.6,10.8,12))+IF(Inputs!$B$3&gt;=117,F1763,0))/100)),15)/15,(Skills!S4*(1+((Inputs!$B$35+(ArtifactsInput!$M$7-ArtifactsInput!$M$7)*CHOOSE(ArtifactsInput!$N$7+1,6,7.2,8.4,9.6,10.8,12))+IF(Inputs!$B$3&gt;=117,F1763,0))/100))/Skills!D4)),0)+IF(C1742=TRUE,F1742*IF(AND(Inputs!$B$39&lt;&gt;"pvp",Inputs!$B$44&gt;0),(((R1742-1)*(Skills!S5*(1+((Inputs!$B$35+(ArtifactsInput!$M$7-ArtifactsInput!$M$7)*CHOOSE(ArtifactsInput!$N$7+1,6,7.2,8.4,9.6,10.8,12))+IF(Inputs!$B$3&gt;=117,F1763,0))/100))+MIN((Skills!S5*(1+((Inputs!$B$35+(ArtifactsInput!$M$7-ArtifactsInput!$M$7)*CHOOSE(ArtifactsInput!$N$7+1,6,7.2,8.4,9.6,10.8,12))+IF(Inputs!$B$3&gt;=117,F1763,0))/100)),MAX(0,Inputs!$B$44-((R1742-1)*Skills!D5))))/Inputs!$B$44),IF(Inputs!$B$39="pvp",MIN((Skills!S5*(1+((Inputs!$B$35+(ArtifactsInput!$M$7-ArtifactsInput!$M$7)*CHOOSE(ArtifactsInput!$N$7+1,6,7.2,8.4,9.6,10.8,12))+IF(Inputs!$B$3&gt;=117,F1763,0))/100)),15)/15,(Skills!S5*(1+((Inputs!$B$35+(ArtifactsInput!$M$7-ArtifactsInput!$M$7)*CHOOSE(ArtifactsInput!$N$7+1,6,7.2,8.4,9.6,10.8,12))+IF(Inputs!$B$3&gt;=117,F1763,0))/100))/Skills!D5)),0)+IF(C1748=TRUE,F1748*IF(AND(Inputs!$B$39&lt;&gt;"pvp",Inputs!$B$44&gt;0),(((R1748-1)*(Skills!S11*(1+((Inputs!$B$35+(ArtifactsInput!$M$7-ArtifactsInput!$M$7)*CHOOSE(ArtifactsInput!$N$7+1,6,7.2,8.4,9.6,10.8,12))+IF(Inputs!$B$3&gt;=117,F1763,0))/100))+MIN((Skills!S11*(1+((Inputs!$B$35+(ArtifactsInput!$M$7-ArtifactsInput!$M$7)*CHOOSE(ArtifactsInput!$N$7+1,6,7.2,8.4,9.6,10.8,12))+IF(Inputs!$B$3&gt;=117,F1763,0))/100)),MAX(0,Inputs!$B$44-((R1748-1)*Skills!D11))))/Inputs!$B$44),IF(Inputs!$B$39="pvp",MIN((Skills!S11*(1+((Inputs!$B$35+(ArtifactsInput!$M$7-ArtifactsInput!$M$7)*CHOOSE(ArtifactsInput!$N$7+1,6,7.2,8.4,9.6,10.8,12))+IF(Inputs!$B$3&gt;=117,F1763,0))/100)),15)/15,(Skills!S11*(1+((Inputs!$B$35+(ArtifactsInput!$M$7-ArtifactsInput!$M$7)*CHOOSE(ArtifactsInput!$N$7+1,6,7.2,8.4,9.6,10.8,12))+IF(Inputs!$B$3&gt;=117,F1763,0)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1751=TRUE,(1+F1751*IF(AND(Inputs!$B$39&lt;&gt;"pvp",Inputs!$B$44&gt;0),(((R1751-1)*(Skills!S14*(1+((Inputs!$B$35+(ArtifactsInput!$M$7-ArtifactsInput!$M$7)*CHOOSE(ArtifactsInput!$N$7+1,6,7.2,8.4,9.6,10.8,12))+IF(Inputs!$B$3&gt;=117,F1763,0))/100))+MIN((Skills!S14*(1+((Inputs!$B$35+(ArtifactsInput!$M$7-ArtifactsInput!$M$7)*CHOOSE(ArtifactsInput!$N$7+1,6,7.2,8.4,9.6,10.8,12))+IF(Inputs!$B$3&gt;=117,F1763,0))/100)),MAX(0,Inputs!$B$44-((R1751-1)*Skills!D14))))/Inputs!$B$44),IF(Inputs!$B$39="pvp",MIN((Skills!S14*(1+((Inputs!$B$35+(ArtifactsInput!$M$7-ArtifactsInput!$M$7)*CHOOSE(ArtifactsInput!$N$7+1,6,7.2,8.4,9.6,10.8,12))+IF(Inputs!$B$3&gt;=117,F1763,0))/100)),15)/15,(Skills!S14*(1+((Inputs!$B$35+(ArtifactsInput!$M$7-ArtifactsInput!$M$7)*CHOOSE(ArtifactsInput!$N$7+1,6,7.2,8.4,9.6,10.8,12))+IF(Inputs!$B$3&gt;=117,F1763,0))/100))/Skills!D14))/100),1)*IF(C1756=TRUE,(1+F1756*IF(AND(Inputs!$B$39&lt;&gt;"pvp",Inputs!$B$44&gt;0),(((R1756-1)*(Skills!S19*(1+((Inputs!$B$35+(ArtifactsInput!$M$7-ArtifactsInput!$M$7)*CHOOSE(ArtifactsInput!$N$7+1,6,7.2,8.4,9.6,10.8,12))+IF(Inputs!$B$3&gt;=117,F1763,0))/100))+MIN((Skills!S19*(1+((Inputs!$B$35+(ArtifactsInput!$M$7-ArtifactsInput!$M$7)*CHOOSE(ArtifactsInput!$N$7+1,6,7.2,8.4,9.6,10.8,12))+IF(Inputs!$B$3&gt;=117,F1763,0))/100)),MAX(0,Inputs!$B$44-((R1756-1)*Skills!D19))))/Inputs!$B$44),IF(Inputs!$B$39="pvp",MIN((Skills!S19*(1+((Inputs!$B$35+(ArtifactsInput!$M$7-ArtifactsInput!$M$7)*CHOOSE(ArtifactsInput!$N$7+1,6,7.2,8.4,9.6,10.8,12))+IF(Inputs!$B$3&gt;=117,F1763,0))/100)),15)/15,(Skills!S19*(1+((Inputs!$B$35+(ArtifactsInput!$M$7-ArtifactsInput!$M$7)*CHOOSE(ArtifactsInput!$N$7+1,6,7.2,8.4,9.6,10.8,12))+IF(Inputs!$B$3&gt;=117,F1763,0))/100))/Skills!D19))/100),1)</f>
        <v/>
      </c>
    </row>
    <row r="1768">
      <c r="A1768" t="inlineStr">
        <is>
          <t>Monster Damage Taken Bonus % (Holy Fountain)</t>
        </is>
      </c>
      <c r="B1768">
        <f>IF(Inputs!$B$3&gt;=68,20*IF(Inputs!$B$39="pvp",MIN((15*(1+((Inputs!$B$35+(ArtifactsInput!$M$7-ArtifactsInput!$M$7)*CHOOSE(ArtifactsInput!$N$7+1,6,7.2,8.4,9.6,10.8,12))+IF(Inputs!$B$3&gt;=117,F1763,0))/100)),15)/15,(15*(1+((Inputs!$B$35+(ArtifactsInput!$M$7-ArtifactsInput!$M$7)*CHOOSE(ArtifactsInput!$N$7+1,6,7.2,8.4,9.6,10.8,12))+IF(Inputs!$B$3&gt;=117,F1763,0))/100))/Skills!D10),0)</f>
        <v/>
      </c>
    </row>
    <row r="1769">
      <c r="A1769" t="inlineStr">
        <is>
          <t>Normal Monster Damage Bonus % (Holy Symbol)</t>
        </is>
      </c>
      <c r="B1769">
        <f>IF(C1749=TRUE,F1749*IF(AND(Inputs!$B$39&lt;&gt;"pvp",Inputs!$B$44&gt;0),(((R1749-1)*(Skills!S12*(1+((Inputs!$B$35+(ArtifactsInput!$M$7-ArtifactsInput!$M$7)*CHOOSE(ArtifactsInput!$N$7+1,6,7.2,8.4,9.6,10.8,12))+IF(Inputs!$B$3&gt;=117,F1763,0))/100))+MIN((Skills!S12*(1+((Inputs!$B$35+(ArtifactsInput!$M$7-ArtifactsInput!$M$7)*CHOOSE(ArtifactsInput!$N$7+1,6,7.2,8.4,9.6,10.8,12))+IF(Inputs!$B$3&gt;=117,F1763,0))/100)),MAX(0,Inputs!$B$44-((R1749-1)*Skills!D12))))/Inputs!$B$44),IF(Inputs!$B$39="pvp",MIN((Skills!S12*(1+((Inputs!$B$35+(ArtifactsInput!$M$7-ArtifactsInput!$M$7)*CHOOSE(ArtifactsInput!$N$7+1,6,7.2,8.4,9.6,10.8,12))+IF(Inputs!$B$3&gt;=117,F1763,0))/100)),15)/15,(Skills!S12*(1+((Inputs!$B$35+(ArtifactsInput!$M$7-ArtifactsInput!$M$7)*CHOOSE(ArtifactsInput!$N$7+1,6,7.2,8.4,9.6,10.8,12))+IF(Inputs!$B$3&gt;=117,F1763,0))/100))/Skills!D12)),0)</f>
        <v/>
      </c>
    </row>
    <row r="1770">
      <c r="A1770" t="inlineStr">
        <is>
          <t>Damage % Bonus (Holy Symbol - Damage Boost)</t>
        </is>
      </c>
      <c r="B1770">
        <f>Skills!O12</f>
        <v/>
      </c>
    </row>
    <row r="1771">
      <c r="A1771" t="inlineStr">
        <is>
          <t>Crit Damage % Bonus (Blood of the Divine)</t>
        </is>
      </c>
      <c r="B1771">
        <f>4*IF(C1757=TRUE,F1757,0)</f>
        <v/>
      </c>
    </row>
    <row r="1772">
      <c r="A1772" t="inlineStr">
        <is>
          <t>Attack Speed Bonus %</t>
        </is>
      </c>
      <c r="B1772">
        <f>IF(C1754=TRUE,F1754+(F1758-Calc!F21),0)+IF(Inputs!$B$3&gt;=134,15,0)+((C1765=TRUE)*F1765*IF(AND(Inputs!$B$39&lt;&gt;"pvp",Inputs!$B$44&gt;0),(((R1765-1)*(Skills!S28*(1+((Inputs!$B$35+(ArtifactsInput!$M$7-ArtifactsInput!$M$7)*CHOOSE(ArtifactsInput!$N$7+1,6,7.2,8.4,9.6,10.8,12))+IF(Inputs!$B$3&gt;=117,F1763,0))/100))+MIN((Skills!S28*(1+((Inputs!$B$35+(ArtifactsInput!$M$7-ArtifactsInput!$M$7)*CHOOSE(ArtifactsInput!$N$7+1,6,7.2,8.4,9.6,10.8,12))+IF(Inputs!$B$3&gt;=117,F1763,0))/100)),MAX(0,Inputs!$B$44-((R1765-1)*Skills!D28))))/Inputs!$B$44),IF(Inputs!$B$39="pvp",MIN((Skills!S28*(1+((Inputs!$B$35+(ArtifactsInput!$M$7-ArtifactsInput!$M$7)*CHOOSE(ArtifactsInput!$N$7+1,6,7.2,8.4,9.6,10.8,12))+IF(Inputs!$B$3&gt;=117,F1763,0))/100)),15)/15,(Skills!S28*(1+((Inputs!$B$35+(ArtifactsInput!$M$7-ArtifactsInput!$M$7)*CHOOSE(ArtifactsInput!$N$7+1,6,7.2,8.4,9.6,10.8,12))+IF(Inputs!$B$3&gt;=117,F1763,0))/100))/Skills!D28)))</f>
        <v/>
      </c>
    </row>
    <row r="1773">
      <c r="A1773" t="inlineStr">
        <is>
          <t>Actions Per Second</t>
        </is>
      </c>
      <c r="B1773">
        <f>1+MIN(150,150*(1-(1-Inputs!$B$12/150)*(1-B1772/150)))/100</f>
        <v/>
      </c>
    </row>
    <row r="1774">
      <c r="A1774" t="inlineStr">
        <is>
          <t>Skill + Buff Cast Rate</t>
        </is>
      </c>
      <c r="B1774">
        <f>IF(AND(Inputs!$B$39&lt;&gt;"pvp",Inputs!$B$44&gt;0),SUMPRODUCT((Skills!E2:E28=TRUE)*(C1739:C1765=TRUE)*R1739:R1765)/Inputs!$B$44,SUMPRODUCT((Skills!E2:E28=TRUE)*(C1739:C1765=TRUE)*Q1739:Q1765))</f>
        <v/>
      </c>
    </row>
    <row r="1775">
      <c r="A1775" t="inlineStr">
        <is>
          <t>Big Bang Casts Per Second</t>
        </is>
      </c>
      <c r="B1775">
        <f>MAX(0,B1773-B1774)</f>
        <v/>
      </c>
    </row>
    <row r="1776">
      <c r="A1776" t="inlineStr">
        <is>
          <t>Defense % Bonus (Divine Protection)</t>
        </is>
      </c>
      <c r="B1776">
        <f>IF(C1750=TRUE,F1750*IF(AND(Inputs!$B$39&lt;&gt;"pvp",Inputs!$B$44&gt;0),(((R1750-1)*(Skills!S13*(1+((Inputs!$B$35+(ArtifactsInput!$M$7-ArtifactsInput!$M$7)*CHOOSE(ArtifactsInput!$N$7+1,6,7.2,8.4,9.6,10.8,12))+IF(Inputs!$B$3&gt;=117,F1763,0))/100))+MIN((Skills!S13*(1+((Inputs!$B$35+(ArtifactsInput!$M$7-ArtifactsInput!$M$7)*CHOOSE(ArtifactsInput!$N$7+1,6,7.2,8.4,9.6,10.8,12))+IF(Inputs!$B$3&gt;=117,F1763,0))/100)),MAX(0,Inputs!$B$44-((R1750-1)*Skills!D13))))/Inputs!$B$44),IF(Inputs!$B$39="pvp",MIN((Skills!S13*(1+((Inputs!$B$35+(ArtifactsInput!$M$7-ArtifactsInput!$M$7)*CHOOSE(ArtifactsInput!$N$7+1,6,7.2,8.4,9.6,10.8,12))+IF(Inputs!$B$3&gt;=117,F1763,0))/100)),15)/15,(Skills!S13*(1+((Inputs!$B$35+(ArtifactsInput!$M$7-ArtifactsInput!$M$7)*CHOOSE(ArtifactsInput!$N$7+1,6,7.2,8.4,9.6,10.8,12))+IF(Inputs!$B$3&gt;=117,F1763,0))/100))/Skills!D13)),0)</f>
        <v/>
      </c>
    </row>
    <row r="1777">
      <c r="A1777" t="inlineStr">
        <is>
          <t>Buff-Casting Startup Delay (s, fixed-duration only)</t>
        </is>
      </c>
      <c r="B1777">
        <f>IF(AND(Inputs!$B$39&lt;&gt;"pvp",Inputs!$B$44&gt;0),SUMPRODUCT((Skills!S2:S28&gt;0)*(Skills!E2:E28=TRUE)*(C1739:C1765=TRUE))/B1773,0)</f>
        <v/>
      </c>
    </row>
    <row r="1778">
      <c r="A1778" t="inlineStr">
        <is>
          <t>Boss-Only Total DPS (this block's swept value)</t>
        </is>
      </c>
      <c r="B1778">
        <f>SUM(S1739:S1765)</f>
        <v/>
      </c>
    </row>
    <row r="1779">
      <c r="A1779" t="inlineStr">
        <is>
          <t>Normal-Only Total DPS (this block's swept value)</t>
        </is>
      </c>
      <c r="B1779">
        <f>SUM(U1739:U1765)</f>
        <v/>
      </c>
    </row>
    <row r="1780">
      <c r="A1780" s="6" t="inlineStr">
        <is>
          <t>TOTAL DPS</t>
        </is>
      </c>
      <c r="B1780" s="6">
        <f>SUM(O1739:O1765)</f>
        <v/>
      </c>
    </row>
    <row r="1782">
      <c r="A1782" s="6" t="inlineStr">
        <is>
          <t>Stat: Horntail's Scale (Equip)</t>
        </is>
      </c>
    </row>
    <row r="1783">
      <c r="A1783" s="5" t="inlineStr">
        <is>
          <t>Key</t>
        </is>
      </c>
      <c r="B1783" s="5" t="inlineStr">
        <is>
          <t>Name</t>
        </is>
      </c>
      <c r="C1783" s="5" t="inlineStr">
        <is>
          <t>Unlocked</t>
        </is>
      </c>
      <c r="D1783" s="5" t="inlineStr">
        <is>
          <t>InputLevel</t>
        </is>
      </c>
      <c r="E1783" s="5" t="inlineStr">
        <is>
          <t>Factor</t>
        </is>
      </c>
      <c r="F1783" s="5" t="inlineStr">
        <is>
          <t>CoefficientPercent</t>
        </is>
      </c>
      <c r="G1783" s="5" t="inlineStr">
        <is>
          <t>EffectiveHits</t>
        </is>
      </c>
      <c r="H1783" s="5" t="inlineStr">
        <is>
          <t>ProcProbability</t>
        </is>
      </c>
      <c r="I1783" s="5" t="inlineStr">
        <is>
          <t>MapleHeroMultiplier</t>
        </is>
      </c>
      <c r="J1783" s="5" t="inlineStr">
        <is>
          <t>BaseDamage</t>
        </is>
      </c>
      <c r="K1783" s="5" t="inlineStr">
        <is>
          <t>BaseHitDamage</t>
        </is>
      </c>
      <c r="L1783" s="5" t="inlineStr">
        <is>
          <t>NonCritAvg</t>
        </is>
      </c>
      <c r="M1783" s="5" t="inlineStr">
        <is>
          <t>CritAvg</t>
        </is>
      </c>
      <c r="N1783" s="5" t="inlineStr">
        <is>
          <t>ExpectedDamage(perHit)</t>
        </is>
      </c>
      <c r="O1783" s="5" t="inlineStr">
        <is>
          <t>DPS</t>
        </is>
      </c>
      <c r="P1783" s="5" t="inlineStr">
        <is>
          <t>% of Total</t>
        </is>
      </c>
      <c r="R1783" t="inlineStr">
        <is>
          <t>helpers</t>
        </is>
      </c>
    </row>
    <row r="1784">
      <c r="A1784">
        <f>Skills!A2</f>
        <v/>
      </c>
      <c r="B1784">
        <f>Skills!B2</f>
        <v/>
      </c>
      <c r="C1784">
        <f>Inputs!$B$3&gt;=100</f>
        <v/>
      </c>
      <c r="D1784" t="inlineStr"/>
      <c r="E1784" t="inlineStr"/>
      <c r="F1784">
        <f>T1786+Skills!N2</f>
        <v/>
      </c>
      <c r="G1784">
        <f>Calc!G2</f>
        <v/>
      </c>
      <c r="H1784">
        <f>Calc!H2</f>
        <v/>
      </c>
      <c r="I1784">
        <f>IF(Skills!T2&lt;&gt;"",1+(Skills!T2/10)*($Z$3/1000)/100,1)</f>
        <v/>
      </c>
      <c r="J1784">
        <f>((Inputs!$B$6*(1+Inputs!$B$7/100))+(((Inputs!$B$13*(1+Inputs!$B$14/100))-(Inputs!$B$13*(1+Inputs!$B$14/100)))+0.25*(Inputs!$B$15-Inputs!$B$15))*(1+Inputs!$B$7/100))*(F1784/100)</f>
        <v/>
      </c>
      <c r="K1784">
        <f>J1784*(1+(((Inputs!$B$13+IF(Inputs!$B$3&gt;=35,(10*INDEX(FactorTable!$B$2:$Y$301,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2="TRIUMPH_FEATHER",IF(C1798=TRUE,F1798,0),0)/100)*(1+IF(C1809=TRUE,F1809,0)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1784)</f>
        <v/>
      </c>
      <c r="L1784">
        <f>K1784*(MIN(Inputs!$B$23+(F1804-Calc!F22),(Inputs!$B$24+IF(ArtifactsInput!$M$15,CHOOSE(ArtifactsInput!$N$15+1,25,30,35,40,45,50)/100*(Inputs!$B$12-Inputs!$B$12),0)))/100+(Inputs!$B$24+IF(ArtifactsInput!$M$15,CHOOSE(ArtifactsInput!$N$15+1,25,30,35,40,45,50)/100*(Inputs!$B$12-Inputs!$B$12),0))/100)/2</f>
        <v/>
      </c>
      <c r="M1784">
        <f>L1784*(1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4">
        <f>L1784*(1-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(1-Summary!$B$11)*S1784+Summary!$B$11*U1784</f>
        <v/>
      </c>
      <c r="P1784">
        <f>IF(B1825=0,0,O1784/B1825)</f>
        <v/>
      </c>
      <c r="Q1784">
        <f>IFERROR(1/(IF(Inputs!$B$39="pvp",15,MAX(0.1,Skills!D2-IF(Skills!E2=TRUE,Inputs!$B$33,0)))*(1-IF(AND(ArtifactsInput!$M$27,Inputs!$B$4="Chapter Hunt"),CHOOSE(ArtifactsInput!$N$27+1,20,24,28,32,36,40),0)/100)),0)</f>
        <v/>
      </c>
      <c r="R1784" t="n">
        <v>0</v>
      </c>
      <c r="S1784">
        <f>IF(C1784,(Skills!F2*N1784*B1820)*IF(Inputs!$B$39="pvp",1,1+(Inputs!$B$21+Skills!O2+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1784*(1-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84">
        <f>MAX(0,(Inputs!$B$3-100)*3)+Inputs!$B$29+Inputs!$B$30</f>
        <v/>
      </c>
      <c r="U1784">
        <f>IF(C1784,(Skills!F2*N1784*B1820)*IF(Inputs!$B$39="pvp",1,(1+(Inputs!$B$22+Skills!P2+B1814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Skills!A3</f>
        <v/>
      </c>
      <c r="B1785">
        <f>Skills!B3</f>
        <v/>
      </c>
      <c r="C1785">
        <f>Inputs!$B$3&gt;=15</f>
        <v/>
      </c>
      <c r="D1785">
        <f>IF(Skills!C3=1,60+Inputs!$B$26+Inputs!$B$30,IF(Skills!C3=2,90+Inputs!$B$27+Inputs!$B$30,IF(Skills!C3=3,120+Inputs!$B$28+Inputs!$B$30,MAX(0,(Inputs!$B$3-100)*3)+Inputs!$B$29+Inputs!$B$30)))</f>
        <v/>
      </c>
      <c r="E1785">
        <f>INDEX(FactorTable!$B$2:$Y$301, MATCH(ROUND(MIN(300,MAX(1,D1785)),0), FactorTable!$A$2:$A$301,0), Skills!L3+1)</f>
        <v/>
      </c>
      <c r="F1785">
        <f>IF(Skills!M3=TRUE,(Skills!K3/10)*(E1785/1000),Skills!K3/10)+Skills!N3</f>
        <v/>
      </c>
      <c r="G1785">
        <f>Calc!G3</f>
        <v/>
      </c>
      <c r="H1785">
        <f>Calc!H3</f>
        <v/>
      </c>
      <c r="I1785">
        <f>IF(Skills!T3&lt;&gt;"",1+(Skills!T3/10)*($Z$3/1000)/100,1)</f>
        <v/>
      </c>
      <c r="J1785" t="inlineStr"/>
      <c r="K1785" t="inlineStr"/>
      <c r="L1785" t="inlineStr"/>
      <c r="M1785" t="inlineStr"/>
      <c r="N1785" t="inlineStr"/>
      <c r="O1785">
        <f>(1-Summary!$B$11)*S1785+Summary!$B$11*U1785</f>
        <v/>
      </c>
      <c r="P1785">
        <f>IF(B1825=0,0,O1785/B1825)</f>
        <v/>
      </c>
      <c r="Q1785">
        <f>IFERROR(1/(IF(Inputs!$B$39="pvp",15,MAX(0.1,Skills!D3-IF(Skills!E3=TRUE,Inputs!$B$33,0)))*(1-IF(AND(ArtifactsInput!$M$27,Inputs!$B$4="Chapter Hunt"),CHOOSE(ArtifactsInput!$N$27+1,20,24,28,32,36,40),0)/100)),0)</f>
        <v/>
      </c>
      <c r="R1785">
        <f>IF(AND(Inputs!$B$39&lt;&gt;"pvp",Inputs!$B$44&gt;0),IF(Inputs!$B$44&lt;=0,0,(INT(Inputs!$B$44/(IF(Inputs!$B$39="pvp",15,MAX(0.1,Skills!D3-IF(Skills!E3=TRUE,Inputs!$B$33,0)))*(1-IF(AND(ArtifactsInput!$M$27,Inputs!$B$4="Chapter Hunt"),CHOOSE(ArtifactsInput!$N$27+1,20,24,28,32,36,40),0)/100)))+1)),0)</f>
        <v/>
      </c>
      <c r="S1785" t="n">
        <v>0</v>
      </c>
      <c r="T1785">
        <f>INDEX(FactorTable!$B$2:$Y$301, MATCH(ROUND(MIN(300,MAX(1,T1784)),0), FactorTable!$A$2:$A$301,0), 22)</f>
        <v/>
      </c>
      <c r="U1785" t="n">
        <v>0</v>
      </c>
    </row>
    <row r="1786">
      <c r="A1786">
        <f>Skills!A4</f>
        <v/>
      </c>
      <c r="B1786">
        <f>Skills!B4</f>
        <v/>
      </c>
      <c r="C1786">
        <f>Inputs!$B$3&gt;=38</f>
        <v/>
      </c>
      <c r="D1786">
        <f>IF(Skills!C4=1,60+Inputs!$B$26+Inputs!$B$30,IF(Skills!C4=2,90+Inputs!$B$27+Inputs!$B$30,IF(Skills!C4=3,120+Inputs!$B$28+Inputs!$B$30,MAX(0,(Inputs!$B$3-100)*3)+Inputs!$B$29+Inputs!$B$30)))</f>
        <v/>
      </c>
      <c r="E1786">
        <f>INDEX(FactorTable!$B$2:$Y$301, MATCH(ROUND(MIN(300,MAX(1,D1786)),0), FactorTable!$A$2:$A$301,0), Skills!L4+1)</f>
        <v/>
      </c>
      <c r="F1786">
        <f>IF(Skills!M4=TRUE,(Skills!K4/10)*(E1786/1000),Skills!K4/10)+Skills!N4</f>
        <v/>
      </c>
      <c r="G1786">
        <f>Calc!G4</f>
        <v/>
      </c>
      <c r="H1786">
        <f>Calc!H4</f>
        <v/>
      </c>
      <c r="I1786">
        <f>IF(Skills!T4&lt;&gt;"",1+(Skills!T4/10)*($Z$3/1000)/100,1)</f>
        <v/>
      </c>
      <c r="J1786" t="inlineStr"/>
      <c r="K1786" t="inlineStr"/>
      <c r="L1786" t="inlineStr"/>
      <c r="M1786" t="inlineStr"/>
      <c r="N1786" t="inlineStr"/>
      <c r="O1786">
        <f>(1-Summary!$B$11)*S1786+Summary!$B$11*U1786</f>
        <v/>
      </c>
      <c r="P1786">
        <f>IF(B1825=0,0,O1786/B1825)</f>
        <v/>
      </c>
      <c r="Q1786">
        <f>IFERROR(1/(IF(Inputs!$B$39="pvp",15,MAX(0.1,Skills!D4-IF(Skills!E4=TRUE,Inputs!$B$33,0)))*(1-IF(AND(ArtifactsInput!$M$27,Inputs!$B$4="Chapter Hunt"),CHOOSE(ArtifactsInput!$N$27+1,20,24,28,32,36,40),0)/100)),0)</f>
        <v/>
      </c>
      <c r="R1786">
        <f>IF(AND(Inputs!$B$39&lt;&gt;"pvp",Inputs!$B$44&gt;0),IF(Inputs!$B$44&lt;=0,0,(INT(Inputs!$B$44/(IF(Inputs!$B$39="pvp",15,MAX(0.1,Skills!D4-IF(Skills!E4=TRUE,Inputs!$B$33,0)))*(1-IF(AND(ArtifactsInput!$M$27,Inputs!$B$4="Chapter Hunt"),CHOOSE(ArtifactsInput!$N$27+1,20,24,28,32,36,40),0)/100)))+1)),0)</f>
        <v/>
      </c>
      <c r="S1786" t="n">
        <v>0</v>
      </c>
      <c r="T1786">
        <f>290*T1785/1000</f>
        <v/>
      </c>
      <c r="U1786" t="n">
        <v>0</v>
      </c>
    </row>
    <row r="1787">
      <c r="A1787">
        <f>Skills!A5</f>
        <v/>
      </c>
      <c r="B1787">
        <f>Skills!B5</f>
        <v/>
      </c>
      <c r="C1787">
        <f>Inputs!$B$3&gt;=40</f>
        <v/>
      </c>
      <c r="D1787">
        <f>IF(Skills!C5=1,60+Inputs!$B$26+Inputs!$B$30,IF(Skills!C5=2,90+Inputs!$B$27+Inputs!$B$30,IF(Skills!C5=3,120+Inputs!$B$28+Inputs!$B$30,MAX(0,(Inputs!$B$3-100)*3)+Inputs!$B$29+Inputs!$B$30)))</f>
        <v/>
      </c>
      <c r="E1787">
        <f>INDEX(FactorTable!$B$2:$Y$301, MATCH(ROUND(MIN(300,MAX(1,D1787)),0), FactorTable!$A$2:$A$301,0), Skills!L5+1)</f>
        <v/>
      </c>
      <c r="F1787">
        <f>IF(Skills!M5=TRUE,(Skills!K5/10)*(E1787/1000),Skills!K5/10)+Skills!N5</f>
        <v/>
      </c>
      <c r="G1787">
        <f>Calc!G5</f>
        <v/>
      </c>
      <c r="H1787">
        <f>Calc!H5</f>
        <v/>
      </c>
      <c r="I1787">
        <f>IF(Skills!T5&lt;&gt;"",1+(Skills!T5/10)*($Z$3/1000)/100,1)</f>
        <v/>
      </c>
      <c r="J1787" t="inlineStr"/>
      <c r="K1787" t="inlineStr"/>
      <c r="L1787" t="inlineStr"/>
      <c r="M1787" t="inlineStr"/>
      <c r="N1787" t="inlineStr"/>
      <c r="O1787">
        <f>(1-Summary!$B$11)*S1787+Summary!$B$11*U1787</f>
        <v/>
      </c>
      <c r="P1787">
        <f>IF(B1825=0,0,O1787/B1825)</f>
        <v/>
      </c>
      <c r="Q1787">
        <f>IFERROR(1/(IF(Inputs!$B$39="pvp",15,MAX(0.1,Skills!D5-IF(Skills!E5=TRUE,Inputs!$B$33,0)))*(1-IF(AND(ArtifactsInput!$M$27,Inputs!$B$4="Chapter Hunt"),CHOOSE(ArtifactsInput!$N$27+1,20,24,28,32,36,40),0)/100)),0)</f>
        <v/>
      </c>
      <c r="R1787">
        <f>IF(AND(Inputs!$B$39&lt;&gt;"pvp",Inputs!$B$44&gt;0),IF(Inputs!$B$44&lt;=0,0,(INT(Inputs!$B$44/(IF(Inputs!$B$39="pvp",15,MAX(0.1,Skills!D5-IF(Skills!E5=TRUE,Inputs!$B$33,0)))*(1-IF(AND(ArtifactsInput!$M$27,Inputs!$B$4="Chapter Hunt"),CHOOSE(ArtifactsInput!$N$27+1,20,24,28,32,36,40),0)/100)))+1)),0)</f>
        <v/>
      </c>
      <c r="S1787" t="n">
        <v>0</v>
      </c>
      <c r="U1787" t="n">
        <v>0</v>
      </c>
    </row>
    <row r="1788">
      <c r="A1788">
        <f>Skills!A6</f>
        <v/>
      </c>
      <c r="B1788">
        <f>Skills!B6</f>
        <v/>
      </c>
      <c r="C1788">
        <f>Inputs!$B$3&gt;=103</f>
        <v/>
      </c>
      <c r="D1788">
        <f>IF(Skills!C6=1,60+Inputs!$B$26+Inputs!$B$30,IF(Skills!C6=2,90+Inputs!$B$27+Inputs!$B$30,IF(Skills!C6=3,120+Inputs!$B$28+Inputs!$B$30,MAX(0,(Inputs!$B$3-100)*3)+Inputs!$B$29+Inputs!$B$30)))</f>
        <v/>
      </c>
      <c r="E1788">
        <f>INDEX(FactorTable!$B$2:$Y$301, MATCH(ROUND(MIN(300,MAX(1,D1788)),0), FactorTable!$A$2:$A$301,0), Skills!L6+1)</f>
        <v/>
      </c>
      <c r="F1788">
        <f>IF(Skills!M6=TRUE,(Skills!K6/10)*(E1788/1000),Skills!K6/10)+Skills!N6</f>
        <v/>
      </c>
      <c r="G1788">
        <f>Calc!G6</f>
        <v/>
      </c>
      <c r="H1788">
        <f>Calc!H6</f>
        <v/>
      </c>
      <c r="I1788">
        <f>IF(Skills!T6&lt;&gt;"",1+(Skills!T6/10)*($Z$3/1000)/100,1)</f>
        <v/>
      </c>
      <c r="J1788">
        <f>((Inputs!$B$6*(1+Inputs!$B$7/100))+(((Inputs!$B$13*(1+Inputs!$B$14/100))-(Inputs!$B$13*(1+Inputs!$B$14/100)))+0.25*(Inputs!$B$15-Inputs!$B$15))*(1+Inputs!$B$7/100))*(F1788/100)</f>
        <v/>
      </c>
      <c r="K1788">
        <f>J1788*(1+(((Inputs!$B$13+IF(Inputs!$B$3&gt;=35,(10*INDEX(FactorTable!$B$2:$Y$301,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6="TRIUMPH_FEATHER",IF(C1798=TRUE,F1798,0),0)/100)*(1+IF(C1809=TRUE,F1809,0)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1788)</f>
        <v/>
      </c>
      <c r="L1788">
        <f>K1788*(MIN(Inputs!$B$23+(F1804-Calc!F22),(Inputs!$B$24+IF(ArtifactsInput!$M$15,CHOOSE(ArtifactsInput!$N$15+1,25,30,35,40,45,50)/100*(Inputs!$B$12-Inputs!$B$12),0)))/100+(Inputs!$B$24+IF(ArtifactsInput!$M$15,CHOOSE(ArtifactsInput!$N$15+1,25,30,35,40,45,50)/100*(Inputs!$B$12-Inputs!$B$12),0))/100)/2</f>
        <v/>
      </c>
      <c r="M1788">
        <f>L1788*(1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8">
        <f>L1788*(1-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1788*(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8">
        <f>(1-Summary!$B$11)*S1788+Summary!$B$11*U1788</f>
        <v/>
      </c>
      <c r="P1788">
        <f>IF(B1825=0,0,O1788/B1825)</f>
        <v/>
      </c>
      <c r="Q1788">
        <f>IFERROR(1/(IF(Inputs!$B$39="pvp",15,MAX(0.1,Skills!D6-IF(Skills!E6=TRUE,Inputs!$B$33,0)))*(1-IF(AND(ArtifactsInput!$M$27,Inputs!$B$4="Chapter Hunt"),CHOOSE(ArtifactsInput!$N$27+1,20,24,28,32,36,40),0)/100)),0)</f>
        <v/>
      </c>
      <c r="R1788">
        <f>IF(AND(Inputs!$B$39&lt;&gt;"pvp",Inputs!$B$44&gt;0),IF(MAX(0,Inputs!$B$44-B1822)&lt;=0,0,(INT(MAX(0,Inputs!$B$44-B1822)/(IF(Inputs!$B$39="pvp",15,MAX(0.1,Skills!D6-IF(Skills!E6=TRUE,Inputs!$B$33,0)))*(1-IF(AND(ArtifactsInput!$M$27,Inputs!$B$4="Chapter Hunt"),CHOOSE(ArtifactsInput!$N$27+1,20,24,28,32,36,40),0)/100)))+1)),0)</f>
        <v/>
      </c>
      <c r="S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$21+Skills!O6+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1788*(1-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1788*(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1788*(1-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1788*(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$22+Skills!P6+B1814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9">
      <c r="A1789">
        <f>Skills!A7</f>
        <v/>
      </c>
      <c r="B1789">
        <f>Skills!B7</f>
        <v/>
      </c>
      <c r="C1789">
        <f>Inputs!$B$3&gt;=122</f>
        <v/>
      </c>
      <c r="D1789">
        <f>IF(Skills!C7=1,60+Inputs!$B$26+Inputs!$B$30,IF(Skills!C7=2,90+Inputs!$B$27+Inputs!$B$30,IF(Skills!C7=3,120+Inputs!$B$28+Inputs!$B$30,MAX(0,(Inputs!$B$3-100)*3)+Inputs!$B$29+Inputs!$B$30)))</f>
        <v/>
      </c>
      <c r="E1789">
        <f>INDEX(FactorTable!$B$2:$Y$301, MATCH(ROUND(MIN(300,MAX(1,D1789)),0), FactorTable!$A$2:$A$301,0), Skills!L7+1)</f>
        <v/>
      </c>
      <c r="F1789">
        <f>IF(Skills!M7=TRUE,(Skills!K7/10)*(E1789/1000),Skills!K7/10)+Skills!N7</f>
        <v/>
      </c>
      <c r="G1789">
        <f>Calc!G7</f>
        <v/>
      </c>
      <c r="H1789">
        <f>Calc!H7</f>
        <v/>
      </c>
      <c r="I1789">
        <f>IF(Skills!T7&lt;&gt;"",1+(Skills!T7/10)*($Z$3/1000)/100,1)</f>
        <v/>
      </c>
      <c r="J1789">
        <f>((Inputs!$B$6*(1+Inputs!$B$7/100))+(((Inputs!$B$13*(1+Inputs!$B$14/100))-(Inputs!$B$13*(1+Inputs!$B$14/100)))+0.25*(Inputs!$B$15-Inputs!$B$15))*(1+Inputs!$B$7/100))*(F1789/100)</f>
        <v/>
      </c>
      <c r="K1789">
        <f>J1789*(1+(((Inputs!$B$13+IF(Inputs!$B$3&gt;=35,(10*INDEX(FactorTable!$B$2:$Y$301,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7="TRIUMPH_FEATHER",IF(C1798=TRUE,F1798,0),0)/100)*(1+IF(C1809=TRUE,F1809,0)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1789)</f>
        <v/>
      </c>
      <c r="L1789">
        <f>K1789*(MIN(Inputs!$B$23+(F1804-Calc!F22),(Inputs!$B$24+IF(ArtifactsInput!$M$15,CHOOSE(ArtifactsInput!$N$15+1,25,30,35,40,45,50)/100*(Inputs!$B$12-Inputs!$B$12),0)))/100+(Inputs!$B$24+IF(ArtifactsInput!$M$15,CHOOSE(ArtifactsInput!$N$15+1,25,30,35,40,45,50)/100*(Inputs!$B$12-Inputs!$B$12),0))/100)/2</f>
        <v/>
      </c>
      <c r="M1789">
        <f>L1789*(1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9">
        <f>L1789*(1-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(1-Summary!$B$11)*S1789+Summary!$B$11*U1789</f>
        <v/>
      </c>
      <c r="P1789">
        <f>IF(B1825=0,0,O1789/B1825)</f>
        <v/>
      </c>
      <c r="Q1789">
        <f>IFERROR(1/(IF(Inputs!$B$39="pvp",15,MAX(0.1,Skills!D7-IF(Skills!E6=TRUE,Inputs!$B$33,0)))*(1-IF(AND(ArtifactsInput!$M$27,Inputs!$B$4="Chapter Hunt"),CHOOSE(ArtifactsInput!$N$27+1,20,24,28,32,36,40),0)/100)),0)</f>
        <v/>
      </c>
      <c r="R1789">
        <f>IF(AND(Inputs!$B$39&lt;&gt;"pvp",Inputs!$B$44&gt;0),IF(MAX(0,Inputs!$B$44-B1822)&lt;=0,0,(INT(MAX(0,Inputs!$B$44-B1822)/(IF(Inputs!$B$39="pvp",15,MAX(0.1,Skills!D7-IF(Skills!E6=TRUE,Inputs!$B$33,0)))*(1-IF(AND(ArtifactsInput!$M$27,Inputs!$B$4="Chapter Hunt"),CHOOSE(ArtifactsInput!$N$27+1,20,24,28,32,36,40),0)/100)))+1)),0)</f>
        <v/>
      </c>
      <c r="S1789">
        <f>IF(C1789,H1789*N1789*IF(AND(Inputs!$B$39&lt;&gt;"pvp",Inputs!$B$44&gt;0),((Skills!F7*((R1789-1)*IF(Skills!G7&gt;0,Skills!H7/Skills!G7,1)+IF(Skills!G7&gt;0,MIN(Skills!H7,MAX(0,MAX(0,Inputs!$B$44-B1822)-((R1789-1)*(IF(Inputs!$B$39="pvp",15,MAX(0.1,Skills!D7-IF(Skills!E6=TRUE,Inputs!$B$33,0)))*(1-IF(AND(ArtifactsInput!$M$27,Inputs!$B$4="Chapter Hunt"),CHOOSE(ArtifactsInput!$N$27+1,20,24,28,32,36,40),0)/100)))))/Skills!G7,1)))/Inputs!$B$44),G1789*Q1789)*IF(Inputs!$B$39="pvp",1,1+(Inputs!$B$21+Skills!O7+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t="n">
        <v>0</v>
      </c>
    </row>
    <row r="1790">
      <c r="A1790">
        <f>Skills!A8</f>
        <v/>
      </c>
      <c r="B1790">
        <f>Skills!B8</f>
        <v/>
      </c>
      <c r="C1790">
        <f>Inputs!$B$3&gt;=105</f>
        <v/>
      </c>
      <c r="D1790">
        <f>IF(Skills!C8=1,60+Inputs!$B$26+Inputs!$B$30,IF(Skills!C8=2,90+Inputs!$B$27+Inputs!$B$30,IF(Skills!C8=3,120+Inputs!$B$28+Inputs!$B$30,MAX(0,(Inputs!$B$3-100)*3)+Inputs!$B$29+Inputs!$B$30)))</f>
        <v/>
      </c>
      <c r="E1790">
        <f>INDEX(FactorTable!$B$2:$Y$301, MATCH(ROUND(MIN(300,MAX(1,D1790)),0), FactorTable!$A$2:$A$301,0), Skills!L8+1)</f>
        <v/>
      </c>
      <c r="F1790">
        <f>IF(Skills!M8=TRUE,(Skills!K8/10)*(E1790/1000),Skills!K8/10)+Skills!N8</f>
        <v/>
      </c>
      <c r="G1790">
        <f>Calc!G8</f>
        <v/>
      </c>
      <c r="H1790">
        <f>Calc!H8</f>
        <v/>
      </c>
      <c r="I1790">
        <f>IF(Skills!T8&lt;&gt;"",1+(Skills!T8/10)*($Z$3/1000)/100,1)</f>
        <v/>
      </c>
      <c r="J1790">
        <f>((Inputs!$B$6*(1+Inputs!$B$7/100))+(((Inputs!$B$13*(1+Inputs!$B$14/100))-(Inputs!$B$13*(1+Inputs!$B$14/100)))+0.25*(Inputs!$B$15-Inputs!$B$15))*(1+Inputs!$B$7/100))*(F1790/100)</f>
        <v/>
      </c>
      <c r="K1790">
        <f>J1790*(1+(((Inputs!$B$13+IF(Inputs!$B$3&gt;=35,(10*INDEX(FactorTable!$B$2:$Y$301,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8="TRIUMPH_FEATHER",IF(C1798=TRUE,F1798,0),0)/100)*(1+IF(C1809=TRUE,F1809,0)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1790)</f>
        <v/>
      </c>
      <c r="L1790">
        <f>K1790*(MIN(Inputs!$B$23+(F1804-Calc!F22),(Inputs!$B$24+IF(ArtifactsInput!$M$15,CHOOSE(ArtifactsInput!$N$15+1,25,30,35,40,45,50)/100*(Inputs!$B$12-Inputs!$B$12),0)))/100+(Inputs!$B$24+IF(ArtifactsInput!$M$15,CHOOSE(ArtifactsInput!$N$15+1,25,30,35,40,45,50)/100*(Inputs!$B$12-Inputs!$B$12),0))/100)/2</f>
        <v/>
      </c>
      <c r="M1790">
        <f>L1790*(1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0">
        <f>L1790*(1-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(1-Summary!$B$11)*S1790+Summary!$B$11*U1790</f>
        <v/>
      </c>
      <c r="P1790">
        <f>IF(B1825=0,0,O1790/B1825)</f>
        <v/>
      </c>
      <c r="Q1790">
        <f>IFERROR(1/(IF(Inputs!$B$39="pvp",15,MAX(0.1,Skills!D8-IF(Skills!E8=TRUE,Inputs!$B$33,0)))*(1-IF(AND(ArtifactsInput!$M$27,Inputs!$B$4="Chapter Hunt"),CHOOSE(ArtifactsInput!$N$27+1,20,24,28,32,36,40),0)/100)),0)</f>
        <v/>
      </c>
      <c r="R1790">
        <f>IF(AND(Inputs!$B$39&lt;&gt;"pvp",Inputs!$B$44&gt;0),IF(MAX(0,Inputs!$B$44-B1822)&lt;=0,0,(INT(MAX(0,Inputs!$B$44-B1822)/(IF(Inputs!$B$39="pvp",15,MAX(0.1,Skills!D8-IF(Skills!E8=TRUE,Inputs!$B$33,0)))*(1-IF(AND(ArtifactsInput!$M$27,Inputs!$B$4="Chapter Hunt"),CHOOSE(ArtifactsInput!$N$27+1,20,24,28,32,36,40),0)/100)))+1)),0)</f>
        <v/>
      </c>
      <c r="S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$21+Skills!O8+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1790*(1-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$22+Skills!P8+B1814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Skills!A9</f>
        <v/>
      </c>
      <c r="B1791">
        <f>Skills!B9</f>
        <v/>
      </c>
      <c r="C1791">
        <f>Inputs!$B$3&gt;=115</f>
        <v/>
      </c>
      <c r="D1791">
        <f>IF(Skills!C9=1,60+Inputs!$B$26+Inputs!$B$30,IF(Skills!C9=2,90+Inputs!$B$27+Inputs!$B$30,IF(Skills!C9=3,120+Inputs!$B$28+Inputs!$B$30,MAX(0,(Inputs!$B$3-100)*3)+Inputs!$B$29+Inputs!$B$30)))</f>
        <v/>
      </c>
      <c r="E1791">
        <f>INDEX(FactorTable!$B$2:$Y$301, MATCH(ROUND(MIN(300,MAX(1,D1791)),0), FactorTable!$A$2:$A$301,0), Skills!L9+1)</f>
        <v/>
      </c>
      <c r="F1791">
        <f>IF(Skills!M9=TRUE,(Skills!K9/10)*(E1791/1000),Skills!K9/10)+Skills!N9</f>
        <v/>
      </c>
      <c r="G1791">
        <f>Calc!G9</f>
        <v/>
      </c>
      <c r="H1791">
        <f>Calc!H9</f>
        <v/>
      </c>
      <c r="I1791">
        <f>IF(Skills!T9&lt;&gt;"",1+(Skills!T9/10)*($Z$3/1000)/100,1)</f>
        <v/>
      </c>
      <c r="J1791">
        <f>((Inputs!$B$6*(1+Inputs!$B$7/100))+(((Inputs!$B$13*(1+Inputs!$B$14/100))-(Inputs!$B$13*(1+Inputs!$B$14/100)))+0.25*(Inputs!$B$15-Inputs!$B$15))*(1+Inputs!$B$7/100))*(F1791/100)</f>
        <v/>
      </c>
      <c r="K1791">
        <f>J1791*(1+(((Inputs!$B$13+IF(Inputs!$B$3&gt;=35,(10*INDEX(FactorTable!$B$2:$Y$301,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9="TRIUMPH_FEATHER",IF(C1798=TRUE,F1798,0),0)/100)*(1+IF(C1809=TRUE,F1809,0)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1791)</f>
        <v/>
      </c>
      <c r="L1791">
        <f>K1791*(MIN(Inputs!$B$23+(F1804-Calc!F22),(Inputs!$B$24+IF(ArtifactsInput!$M$15,CHOOSE(ArtifactsInput!$N$15+1,25,30,35,40,45,50)/100*(Inputs!$B$12-Inputs!$B$12),0)))/100+(Inputs!$B$24+IF(ArtifactsInput!$M$15,CHOOSE(ArtifactsInput!$N$15+1,25,30,35,40,45,50)/100*(Inputs!$B$12-Inputs!$B$12),0))/100)/2</f>
        <v/>
      </c>
      <c r="M1791">
        <f>L1791*(1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1">
        <f>L1791*(1-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(1-Summary!$B$11)*S1791+Summary!$B$11*U1791</f>
        <v/>
      </c>
      <c r="P1791">
        <f>IF(B1825=0,0,O1791/B1825)</f>
        <v/>
      </c>
      <c r="Q1791">
        <f>IFERROR(1/(IF(Inputs!$B$39="pvp",15,MAX(0.1,Skills!D9-IF(Skills!E9=TRUE,Inputs!$B$33,0)))*(1-IF(AND(ArtifactsInput!$M$27,Inputs!$B$4="Chapter Hunt"),CHOOSE(ArtifactsInput!$N$27+1,20,24,28,32,36,40),0)/100)),0)</f>
        <v/>
      </c>
      <c r="R1791">
        <f>IF(AND(Inputs!$B$39&lt;&gt;"pvp",Inputs!$B$44&gt;0),IF(MAX(0,Inputs!$B$44-B1822)&lt;=0,0,(INT(MAX(0,Inputs!$B$44-B1822)/(IF(Inputs!$B$39="pvp",15,MAX(0.1,Skills!D9-IF(Skills!E9=TRUE,Inputs!$B$33,0)))*(1-IF(AND(ArtifactsInput!$M$27,Inputs!$B$4="Chapter Hunt"),CHOOSE(ArtifactsInput!$N$27+1,20,24,28,32,36,40),0)/100)))+1)),0)</f>
        <v/>
      </c>
      <c r="S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$21+Skills!O9+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1791*(1-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$22+Skills!P9+B1814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Skills!A10</f>
        <v/>
      </c>
      <c r="B1792">
        <f>Skills!B10</f>
        <v/>
      </c>
      <c r="C1792">
        <f>Inputs!$B$3&gt;=66</f>
        <v/>
      </c>
      <c r="D1792">
        <f>IF(Skills!C10=1,60+Inputs!$B$26+Inputs!$B$30,IF(Skills!C10=2,90+Inputs!$B$27+Inputs!$B$30,IF(Skills!C10=3,120+Inputs!$B$28+Inputs!$B$30,MAX(0,(Inputs!$B$3-100)*3)+Inputs!$B$29+Inputs!$B$30)))</f>
        <v/>
      </c>
      <c r="E1792">
        <f>INDEX(FactorTable!$B$2:$Y$301, MATCH(ROUND(MIN(300,MAX(1,D1792)),0), FactorTable!$A$2:$A$301,0), Skills!L10+1)</f>
        <v/>
      </c>
      <c r="F1792" t="n">
        <v>0</v>
      </c>
      <c r="G1792">
        <f>Calc!G10</f>
        <v/>
      </c>
      <c r="H1792">
        <f>Calc!H10</f>
        <v/>
      </c>
      <c r="I1792">
        <f>IF(Skills!T10&lt;&gt;"",1+(Skills!T10/10)*($Z$3/1000)/100,1)</f>
        <v/>
      </c>
      <c r="J1792" t="inlineStr"/>
      <c r="K1792" t="inlineStr"/>
      <c r="L1792" t="inlineStr"/>
      <c r="M1792" t="inlineStr"/>
      <c r="N1792" t="inlineStr"/>
      <c r="O1792">
        <f>(1-Summary!$B$11)*S1792+Summary!$B$11*U1792</f>
        <v/>
      </c>
      <c r="P1792">
        <f>IF(B1825=0,0,O1792/B1825)</f>
        <v/>
      </c>
      <c r="Q1792">
        <f>IFERROR(1/(IF(Inputs!$B$39="pvp",15,MAX(0.1,Skills!D10-IF(Skills!E10=TRUE,Inputs!$B$33,0)))*(1-IF(AND(ArtifactsInput!$M$27,Inputs!$B$4="Chapter Hunt"),CHOOSE(ArtifactsInput!$N$27+1,20,24,28,32,36,40),0)/100)),0)</f>
        <v/>
      </c>
      <c r="R1792">
        <f>IF(AND(Inputs!$B$39&lt;&gt;"pvp",Inputs!$B$44&gt;0),IF(MAX(0,Inputs!$B$44-B1822)&lt;=0,0,(INT(MAX(0,Inputs!$B$44-B1822)/(IF(Inputs!$B$39="pvp",15,MAX(0.1,Skills!D10-IF(Skills!E10=TRUE,Inputs!$B$33,0)))*(1-IF(AND(ArtifactsInput!$M$27,Inputs!$B$4="Chapter Hunt"),CHOOSE(ArtifactsInput!$N$27+1,20,24,28,32,36,40),0)/100)))+1)),0)</f>
        <v/>
      </c>
      <c r="S1792" t="n">
        <v>0</v>
      </c>
      <c r="U1792" t="n">
        <v>0</v>
      </c>
    </row>
    <row r="1793">
      <c r="A1793">
        <f>Skills!A11</f>
        <v/>
      </c>
      <c r="B1793">
        <f>Skills!B11</f>
        <v/>
      </c>
      <c r="C1793">
        <f>Inputs!$B$3&gt;=69</f>
        <v/>
      </c>
      <c r="D1793">
        <f>IF(Skills!C11=1,60+Inputs!$B$26+Inputs!$B$30,IF(Skills!C11=2,90+Inputs!$B$27+Inputs!$B$30,IF(Skills!C11=3,120+Inputs!$B$28+Inputs!$B$30,MAX(0,(Inputs!$B$3-100)*3)+Inputs!$B$29+Inputs!$B$30)))</f>
        <v/>
      </c>
      <c r="E1793">
        <f>INDEX(FactorTable!$B$2:$Y$301, MATCH(ROUND(MIN(300,MAX(1,D1793)),0), FactorTable!$A$2:$A$301,0), Skills!L11+1)</f>
        <v/>
      </c>
      <c r="F1793">
        <f>IF(Skills!M11=TRUE,(Skills!K11/10)*(E1793/1000),Skills!K11/10)+Skills!N11</f>
        <v/>
      </c>
      <c r="G1793">
        <f>Calc!G11</f>
        <v/>
      </c>
      <c r="H1793">
        <f>Calc!H11</f>
        <v/>
      </c>
      <c r="I1793">
        <f>IF(Skills!T11&lt;&gt;"",1+(Skills!T11/10)*($Z$3/1000)/100,1)</f>
        <v/>
      </c>
      <c r="J1793" t="inlineStr"/>
      <c r="K1793" t="inlineStr"/>
      <c r="L1793" t="inlineStr"/>
      <c r="M1793" t="inlineStr"/>
      <c r="N1793" t="inlineStr"/>
      <c r="O1793">
        <f>(1-Summary!$B$11)*S1793+Summary!$B$11*U1793</f>
        <v/>
      </c>
      <c r="P1793">
        <f>IF(B1825=0,0,O1793/B1825)</f>
        <v/>
      </c>
      <c r="Q1793">
        <f>IFERROR(1/(IF(Inputs!$B$39="pvp",15,MAX(0.1,Skills!D11-IF(Skills!E11=TRUE,Inputs!$B$33,0)))*(1-IF(AND(ArtifactsInput!$M$27,Inputs!$B$4="Chapter Hunt"),CHOOSE(ArtifactsInput!$N$27+1,20,24,28,32,36,40),0)/100)),0)</f>
        <v/>
      </c>
      <c r="R1793">
        <f>IF(AND(Inputs!$B$39&lt;&gt;"pvp",Inputs!$B$44&gt;0),IF(Inputs!$B$44&lt;=0,0,(INT(Inputs!$B$44/(IF(Inputs!$B$39="pvp",15,MAX(0.1,Skills!D11-IF(Skills!E11=TRUE,Inputs!$B$33,0)))*(1-IF(AND(ArtifactsInput!$M$27,Inputs!$B$4="Chapter Hunt"),CHOOSE(ArtifactsInput!$N$27+1,20,24,28,32,36,40),0)/100)))+1)),0)</f>
        <v/>
      </c>
      <c r="S1793" t="n">
        <v>0</v>
      </c>
      <c r="U1793" t="n">
        <v>0</v>
      </c>
    </row>
    <row r="1794">
      <c r="A1794">
        <f>Skills!A12</f>
        <v/>
      </c>
      <c r="B1794">
        <f>Skills!B12</f>
        <v/>
      </c>
      <c r="C1794">
        <f>Inputs!$B$3&gt;=72</f>
        <v/>
      </c>
      <c r="D1794">
        <f>IF(Skills!C12=1,60+Inputs!$B$26+Inputs!$B$30,IF(Skills!C12=2,90+Inputs!$B$27+Inputs!$B$30,IF(Skills!C12=3,120+Inputs!$B$28+Inputs!$B$30,MAX(0,(Inputs!$B$3-100)*3)+Inputs!$B$29+Inputs!$B$30)))</f>
        <v/>
      </c>
      <c r="E1794">
        <f>INDEX(FactorTable!$B$2:$Y$301, MATCH(ROUND(MIN(300,MAX(1,D1794)),0), FactorTable!$A$2:$A$301,0), Skills!L12+1)</f>
        <v/>
      </c>
      <c r="F1794">
        <f>IF(Skills!M12=TRUE,(Skills!K12/10)*(E1794/1000),Skills!K12/10)+Skills!N12</f>
        <v/>
      </c>
      <c r="G1794">
        <f>Calc!G12</f>
        <v/>
      </c>
      <c r="H1794">
        <f>Calc!H12</f>
        <v/>
      </c>
      <c r="I1794">
        <f>IF(Skills!T12&lt;&gt;"",1+(Skills!T12/10)*($Z$3/1000)/100,1)</f>
        <v/>
      </c>
      <c r="J1794" t="inlineStr"/>
      <c r="K1794" t="inlineStr"/>
      <c r="L1794" t="inlineStr"/>
      <c r="M1794" t="inlineStr"/>
      <c r="N1794" t="inlineStr"/>
      <c r="O1794">
        <f>(1-Summary!$B$11)*S1794+Summary!$B$11*U1794</f>
        <v/>
      </c>
      <c r="P1794">
        <f>IF(B1825=0,0,O1794/B1825)</f>
        <v/>
      </c>
      <c r="Q1794">
        <f>IFERROR(1/(IF(Inputs!$B$39="pvp",15,MAX(0.1,Skills!D12-IF(Skills!E12=TRUE,Inputs!$B$33,0)))*(1-IF(AND(ArtifactsInput!$M$27,Inputs!$B$4="Chapter Hunt"),CHOOSE(ArtifactsInput!$N$27+1,20,24,28,32,36,40),0)/100)),0)</f>
        <v/>
      </c>
      <c r="R1794">
        <f>IF(AND(Inputs!$B$39&lt;&gt;"pvp",Inputs!$B$44&gt;0),IF(MAX(0,Inputs!$B$44-B1822)&lt;=0,0,(INT(MAX(0,Inputs!$B$44-B1822)/(IF(Inputs!$B$39="pvp",15,MAX(0.1,Skills!D12-IF(Skills!E12=TRUE,Inputs!$B$33,0)))*(1-IF(AND(ArtifactsInput!$M$27,Inputs!$B$4="Chapter Hunt"),CHOOSE(ArtifactsInput!$N$27+1,20,24,28,32,36,40),0)/100)))+1)),0)</f>
        <v/>
      </c>
      <c r="S1794" t="n">
        <v>0</v>
      </c>
      <c r="U1794" t="n">
        <v>0</v>
      </c>
    </row>
    <row r="1795">
      <c r="A1795">
        <f>Skills!A13</f>
        <v/>
      </c>
      <c r="B1795">
        <f>Skills!B13</f>
        <v/>
      </c>
      <c r="C1795">
        <f>Inputs!$B$3&gt;=60</f>
        <v/>
      </c>
      <c r="D1795">
        <f>IF(Skills!C13=1,60+Inputs!$B$26+Inputs!$B$30,IF(Skills!C13=2,90+Inputs!$B$27+Inputs!$B$30,IF(Skills!C13=3,120+Inputs!$B$28+Inputs!$B$30,MAX(0,(Inputs!$B$3-100)*3)+Inputs!$B$29+Inputs!$B$30)))</f>
        <v/>
      </c>
      <c r="E1795">
        <f>INDEX(FactorTable!$B$2:$Y$301, MATCH(ROUND(MIN(300,MAX(1,D1795)),0), FactorTable!$A$2:$A$301,0), Skills!L13+1)</f>
        <v/>
      </c>
      <c r="F1795">
        <f>IF(Skills!M13=TRUE,(Skills!K13/10)*(E1795/1000),Skills!K13/10)+Skills!N13</f>
        <v/>
      </c>
      <c r="G1795">
        <f>Calc!G13</f>
        <v/>
      </c>
      <c r="H1795">
        <f>Calc!H13</f>
        <v/>
      </c>
      <c r="I1795">
        <f>IF(Skills!T13&lt;&gt;"",1+(Skills!T13/10)*($Z$3/1000)/100,1)</f>
        <v/>
      </c>
      <c r="J1795" t="inlineStr"/>
      <c r="K1795" t="inlineStr"/>
      <c r="L1795" t="inlineStr"/>
      <c r="M1795" t="inlineStr"/>
      <c r="N1795" t="inlineStr"/>
      <c r="O1795">
        <f>(1-Summary!$B$11)*S1795+Summary!$B$11*U1795</f>
        <v/>
      </c>
      <c r="P1795">
        <f>IF(B1825=0,0,O1795/B1825)</f>
        <v/>
      </c>
      <c r="Q1795">
        <f>IFERROR(1/(IF(Inputs!$B$39="pvp",15,MAX(0.1,Skills!D13-IF(Skills!E13=TRUE,Inputs!$B$33,0)))*(1-IF(AND(ArtifactsInput!$M$27,Inputs!$B$4="Chapter Hunt"),CHOOSE(ArtifactsInput!$N$27+1,20,24,28,32,36,40),0)/100)),0)</f>
        <v/>
      </c>
      <c r="R1795">
        <f>IF(AND(Inputs!$B$39&lt;&gt;"pvp",Inputs!$B$44&gt;0),IF(MAX(0,Inputs!$B$44-B1822)&lt;=0,0,(INT(MAX(0,Inputs!$B$44-B1822)/(IF(Inputs!$B$39="pvp",15,MAX(0.1,Skills!D13-IF(Skills!E13=TRUE,Inputs!$B$33,0)))*(1-IF(AND(ArtifactsInput!$M$27,Inputs!$B$4="Chapter Hunt"),CHOOSE(ArtifactsInput!$N$27+1,20,24,28,32,36,40),0)/100)))+1)),0)</f>
        <v/>
      </c>
      <c r="S1795" t="n">
        <v>0</v>
      </c>
      <c r="U1795" t="n">
        <v>0</v>
      </c>
    </row>
    <row r="1796">
      <c r="A1796">
        <f>Skills!A14</f>
        <v/>
      </c>
      <c r="B1796">
        <f>Skills!B14</f>
        <v/>
      </c>
      <c r="C1796">
        <f>Inputs!$B$3&gt;=107</f>
        <v/>
      </c>
      <c r="D1796">
        <f>IF(Skills!C14=1,60+Inputs!$B$26+Inputs!$B$30,IF(Skills!C14=2,90+Inputs!$B$27+Inputs!$B$30,IF(Skills!C14=3,120+Inputs!$B$28+Inputs!$B$30,MAX(0,(Inputs!$B$3-100)*3)+Inputs!$B$29+Inputs!$B$30)))</f>
        <v/>
      </c>
      <c r="E1796">
        <f>INDEX(FactorTable!$B$2:$Y$301, MATCH(ROUND(MIN(300,MAX(1,D1796)),0), FactorTable!$A$2:$A$301,0), Skills!L14+1)</f>
        <v/>
      </c>
      <c r="F1796">
        <f>IF(Skills!M14=TRUE,(Skills!K14/10)*(E1796/1000),Skills!K14/10)+Skills!N14</f>
        <v/>
      </c>
      <c r="G1796">
        <f>Calc!G14</f>
        <v/>
      </c>
      <c r="H1796">
        <f>Calc!H14</f>
        <v/>
      </c>
      <c r="I1796">
        <f>IF(Skills!T14&lt;&gt;"",1+(Skills!T14/10)*($Z$3/1000)/100,1)</f>
        <v/>
      </c>
      <c r="J1796" t="inlineStr"/>
      <c r="K1796" t="inlineStr"/>
      <c r="L1796" t="inlineStr"/>
      <c r="M1796" t="inlineStr"/>
      <c r="N1796" t="inlineStr"/>
      <c r="O1796">
        <f>(1-Summary!$B$11)*S1796+Summary!$B$11*U1796</f>
        <v/>
      </c>
      <c r="P1796">
        <f>IF(B1825=0,0,O1796/B1825)</f>
        <v/>
      </c>
      <c r="Q1796">
        <f>IFERROR(1/(IF(Inputs!$B$39="pvp",15,MAX(0.1,Skills!D14-IF(Skills!E14=TRUE,Inputs!$B$33,0)))*(1-IF(AND(ArtifactsInput!$M$27,Inputs!$B$4="Chapter Hunt"),CHOOSE(ArtifactsInput!$N$27+1,20,24,28,32,36,40),0)/100)),0)</f>
        <v/>
      </c>
      <c r="R1796">
        <f>IF(AND(Inputs!$B$39&lt;&gt;"pvp",Inputs!$B$44&gt;0),IF(Inputs!$B$44&lt;=0,0,(INT(Inputs!$B$44/(IF(Inputs!$B$39="pvp",15,MAX(0.1,Skills!D14-IF(Skills!E14=TRUE,Inputs!$B$33,0)))*(1-IF(AND(ArtifactsInput!$M$27,Inputs!$B$4="Chapter Hunt"),CHOOSE(ArtifactsInput!$N$27+1,20,24,28,32,36,40),0)/100)))+1)),0)</f>
        <v/>
      </c>
      <c r="S1796" t="n">
        <v>0</v>
      </c>
      <c r="U1796" t="n">
        <v>0</v>
      </c>
    </row>
    <row r="1797">
      <c r="A1797">
        <f>Skills!A15</f>
        <v/>
      </c>
      <c r="B1797">
        <f>Skills!B15</f>
        <v/>
      </c>
      <c r="C1797">
        <f>Inputs!$B$3&gt;=63</f>
        <v/>
      </c>
      <c r="D1797">
        <f>IF(Skills!C15=1,60+Inputs!$B$26+Inputs!$B$30,IF(Skills!C15=2,90+Inputs!$B$27+Inputs!$B$30,IF(Skills!C15=3,120+Inputs!$B$28+Inputs!$B$30,MAX(0,(Inputs!$B$3-100)*3)+Inputs!$B$29+Inputs!$B$30)))</f>
        <v/>
      </c>
      <c r="E1797">
        <f>INDEX(FactorTable!$B$2:$Y$301, MATCH(ROUND(MIN(300,MAX(1,D1797)),0), FactorTable!$A$2:$A$301,0), Skills!L15+1)</f>
        <v/>
      </c>
      <c r="F1797">
        <f>IF(Skills!M15=TRUE,(Skills!K15/10)*(E1797/1000),Skills!K15/10)+Skills!N15</f>
        <v/>
      </c>
      <c r="G1797">
        <f>Calc!G15</f>
        <v/>
      </c>
      <c r="H1797">
        <f>Calc!H15</f>
        <v/>
      </c>
      <c r="I1797">
        <f>IF(Skills!T15&lt;&gt;"",1+(Skills!T15/10)*($Z$3/1000)/100,1)</f>
        <v/>
      </c>
      <c r="J1797">
        <f>((Inputs!$B$6*(1+Inputs!$B$7/100))+(((Inputs!$B$13*(1+Inputs!$B$14/100))-(Inputs!$B$13*(1+Inputs!$B$14/100)))+0.25*(Inputs!$B$15-Inputs!$B$15))*(1+Inputs!$B$7/100))*(F1797/100)</f>
        <v/>
      </c>
      <c r="K1797">
        <f>J1797*(1+(((Inputs!$B$13+IF(Inputs!$B$3&gt;=35,(10*INDEX(FactorTable!$B$2:$Y$301,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15="TRIUMPH_FEATHER",IF(C1798=TRUE,F1798,0),0)/100)*(1+IF(C1809=TRUE,F1809,0)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1797)</f>
        <v/>
      </c>
      <c r="L1797">
        <f>K1797*(MIN(Inputs!$B$23+(F1804-Calc!F22),(Inputs!$B$24+IF(ArtifactsInput!$M$15,CHOOSE(ArtifactsInput!$N$15+1,25,30,35,40,45,50)/100*(Inputs!$B$12-Inputs!$B$12),0)))/100+(Inputs!$B$24+IF(ArtifactsInput!$M$15,CHOOSE(ArtifactsInput!$N$15+1,25,30,35,40,45,50)/100*(Inputs!$B$12-Inputs!$B$12),0))/100)/2</f>
        <v/>
      </c>
      <c r="M1797">
        <f>L1797*(1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7">
        <f>L1797*(1-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(1-Summary!$B$11)*S1797+Summary!$B$11*U1797</f>
        <v/>
      </c>
      <c r="P1797">
        <f>IF(B1825=0,0,O1797/B1825)</f>
        <v/>
      </c>
      <c r="Q1797">
        <f>IFERROR(1/(IF(Inputs!$B$39="pvp",15,MAX(0.1,Skills!D15-IF(Skills!E15=TRUE,Inputs!$B$33,0)))*(1-IF(AND(ArtifactsInput!$M$27,Inputs!$B$4="Chapter Hunt"),CHOOSE(ArtifactsInput!$N$27+1,20,24,28,32,36,40),0)/100)),0)</f>
        <v/>
      </c>
      <c r="R1797" t="n">
        <v>0</v>
      </c>
      <c r="S1797">
        <f>IF(C1797,(Skills!F15*N1797*((IF(Inputs!$B$3&gt;=78,25,15)/100*B1818*10)/(1+IF(Inputs!$B$3&gt;=78,25,15)/100*B1818*10))*(Skills!I15/100*B1818)/(1+Skills!G15*Skills!I15/100*B1818))*IF(Inputs!$B$39="pvp",1,1+(Inputs!$B$21+Skills!O15+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1797*(1-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IF(C1797,(Skills!F15*N1797*((IF(Inputs!$B$3&gt;=78,25,15)/100*B1818*10)/(1+IF(Inputs!$B$3&gt;=78,25,15)/100*B1818*10))*(Skills!I15/100*B1818)/(1+Skills!G15*Skills!I15/100*B1818))*IF(Inputs!$B$39="pvp",1,(1+(Inputs!$B$22+Skills!P15+B1814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Skills!A16</f>
        <v/>
      </c>
      <c r="B1798">
        <f>Skills!B16</f>
        <v/>
      </c>
      <c r="C1798">
        <f>Inputs!$B$3&gt;=100</f>
        <v/>
      </c>
      <c r="D1798">
        <f>IF(Skills!C16=1,60+Inputs!$B$26+Inputs!$B$30,IF(Skills!C16=2,90+Inputs!$B$27+Inputs!$B$30,IF(Skills!C16=3,120+Inputs!$B$28+Inputs!$B$30,MAX(0,(Inputs!$B$3-100)*3)+Inputs!$B$29+Inputs!$B$30)))</f>
        <v/>
      </c>
      <c r="E1798">
        <f>INDEX(FactorTable!$B$2:$Y$301, MATCH(ROUND(MIN(300,MAX(1,D1798)),0), FactorTable!$A$2:$A$301,0), Skills!L16+1)</f>
        <v/>
      </c>
      <c r="F1798">
        <f>IF(Skills!M16=TRUE,(Skills!K16/10)*(E1798/1000),Skills!K16/10)+Skills!N16</f>
        <v/>
      </c>
      <c r="G1798">
        <f>Calc!G16</f>
        <v/>
      </c>
      <c r="H1798">
        <f>Calc!H16</f>
        <v/>
      </c>
      <c r="I1798">
        <f>IF(Skills!T16&lt;&gt;"",1+(Skills!T16/10)*($Z$3/1000)/100,1)</f>
        <v/>
      </c>
      <c r="J1798" t="inlineStr"/>
      <c r="K1798" t="inlineStr"/>
      <c r="L1798" t="inlineStr"/>
      <c r="M1798" t="inlineStr"/>
      <c r="N1798" t="inlineStr"/>
      <c r="O1798">
        <f>(1-Summary!$B$11)*S1798+Summary!$B$11*U1798</f>
        <v/>
      </c>
      <c r="P1798">
        <f>IF(B1825=0,0,O1798/B1825)</f>
        <v/>
      </c>
      <c r="Q1798">
        <f>IFERROR(1/(IF(Inputs!$B$39="pvp",15,MAX(0.1,Skills!D16-IF(Skills!E16=TRUE,Inputs!$B$33,0)))*(1-IF(AND(ArtifactsInput!$M$27,Inputs!$B$4="Chapter Hunt"),CHOOSE(ArtifactsInput!$N$27+1,20,24,28,32,36,40),0)/100)),0)</f>
        <v/>
      </c>
      <c r="R1798" t="n">
        <v>0</v>
      </c>
      <c r="S1798" t="n">
        <v>0</v>
      </c>
      <c r="U1798" t="n">
        <v>0</v>
      </c>
    </row>
    <row r="1799">
      <c r="A1799">
        <f>Skills!A17</f>
        <v/>
      </c>
      <c r="B1799">
        <f>Skills!B17</f>
        <v/>
      </c>
      <c r="C1799">
        <f>Inputs!$B$3&gt;=49</f>
        <v/>
      </c>
      <c r="D1799">
        <f>IF(Skills!C17=1,60+Inputs!$B$26+Inputs!$B$30,IF(Skills!C17=2,90+Inputs!$B$27+Inputs!$B$30,IF(Skills!C17=3,120+Inputs!$B$28+Inputs!$B$30,MAX(0,(Inputs!$B$3-100)*3)+Inputs!$B$29+Inputs!$B$30)))</f>
        <v/>
      </c>
      <c r="E1799">
        <f>INDEX(FactorTable!$B$2:$Y$301, MATCH(ROUND(MIN(300,MAX(1,D1799)),0), FactorTable!$A$2:$A$301,0), Skills!L17+1)</f>
        <v/>
      </c>
      <c r="F1799">
        <f>IF(Skills!M17=TRUE,(Skills!K17/10)*(E1799/1000),Skills!K17/10)+Skills!N17</f>
        <v/>
      </c>
      <c r="G1799">
        <f>Calc!G17</f>
        <v/>
      </c>
      <c r="H1799">
        <f>Calc!H17</f>
        <v/>
      </c>
      <c r="I1799">
        <f>IF(Skills!T17&lt;&gt;"",1+(Skills!T17/10)*($Z$3/1000)/100,1)</f>
        <v/>
      </c>
      <c r="J1799" t="inlineStr"/>
      <c r="K1799" t="inlineStr"/>
      <c r="L1799" t="inlineStr"/>
      <c r="M1799" t="inlineStr"/>
      <c r="N1799" t="inlineStr"/>
      <c r="O1799">
        <f>(1-Summary!$B$11)*S1799+Summary!$B$11*U1799</f>
        <v/>
      </c>
      <c r="P1799">
        <f>IF(B1825=0,0,O1799/B1825)</f>
        <v/>
      </c>
      <c r="Q1799">
        <f>IFERROR(1/(IF(Inputs!$B$39="pvp",15,MAX(0.1,Skills!D17-IF(Skills!E17=TRUE,Inputs!$B$33,0)))*(1-IF(AND(ArtifactsInput!$M$27,Inputs!$B$4="Chapter Hunt"),CHOOSE(ArtifactsInput!$N$27+1,20,24,28,32,36,40),0)/100)),0)</f>
        <v/>
      </c>
      <c r="R1799" t="n">
        <v>0</v>
      </c>
      <c r="S1799" t="n">
        <v>0</v>
      </c>
      <c r="U1799" t="n">
        <v>0</v>
      </c>
    </row>
    <row r="1800">
      <c r="A1800">
        <f>Skills!A18</f>
        <v/>
      </c>
      <c r="B1800">
        <f>Skills!B18</f>
        <v/>
      </c>
      <c r="C1800">
        <f>Inputs!$B$3&gt;=75</f>
        <v/>
      </c>
      <c r="D1800">
        <f>IF(Skills!C18=1,60+Inputs!$B$26+Inputs!$B$30,IF(Skills!C18=2,90+Inputs!$B$27+Inputs!$B$30,IF(Skills!C18=3,120+Inputs!$B$28+Inputs!$B$30,MAX(0,(Inputs!$B$3-100)*3)+Inputs!$B$29+Inputs!$B$30)))</f>
        <v/>
      </c>
      <c r="E1800">
        <f>INDEX(FactorTable!$B$2:$Y$301, MATCH(ROUND(MIN(300,MAX(1,D1800)),0), FactorTable!$A$2:$A$301,0), Skills!L18+1)</f>
        <v/>
      </c>
      <c r="F1800">
        <f>IF(Skills!M18=TRUE,(Skills!K18/10)*(E1800/1000),Skills!K18/10)+Skills!N18</f>
        <v/>
      </c>
      <c r="G1800">
        <f>Calc!G18</f>
        <v/>
      </c>
      <c r="H1800">
        <f>Calc!H18</f>
        <v/>
      </c>
      <c r="I1800">
        <f>IF(Skills!T18&lt;&gt;"",1+(Skills!T18/10)*($Z$3/1000)/100,1)</f>
        <v/>
      </c>
      <c r="J1800" t="inlineStr"/>
      <c r="K1800" t="inlineStr"/>
      <c r="L1800" t="inlineStr"/>
      <c r="M1800" t="inlineStr"/>
      <c r="N1800" t="inlineStr"/>
      <c r="O1800">
        <f>(1-Summary!$B$11)*S1800+Summary!$B$11*U1800</f>
        <v/>
      </c>
      <c r="P1800">
        <f>IF(B1825=0,0,O1800/B1825)</f>
        <v/>
      </c>
      <c r="Q1800">
        <f>IFERROR(1/(IF(Inputs!$B$39="pvp",15,MAX(0.1,Skills!D18-IF(Skills!E18=TRUE,Inputs!$B$33,0)))*(1-IF(AND(ArtifactsInput!$M$27,Inputs!$B$4="Chapter Hunt"),CHOOSE(ArtifactsInput!$N$27+1,20,24,28,32,36,40),0)/100)),0)</f>
        <v/>
      </c>
      <c r="R1800" t="n">
        <v>0</v>
      </c>
      <c r="S1800" t="n">
        <v>0</v>
      </c>
      <c r="U1800" t="n">
        <v>0</v>
      </c>
    </row>
    <row r="1801">
      <c r="A1801">
        <f>Skills!A19</f>
        <v/>
      </c>
      <c r="B1801">
        <f>Skills!B19</f>
        <v/>
      </c>
      <c r="C1801">
        <f>Inputs!$B$3&gt;=110</f>
        <v/>
      </c>
      <c r="D1801">
        <f>IF(Skills!C19=1,60+Inputs!$B$26+Inputs!$B$30,IF(Skills!C19=2,90+Inputs!$B$27+Inputs!$B$30,IF(Skills!C19=3,120+Inputs!$B$28+Inputs!$B$30,MAX(0,(Inputs!$B$3-100)*3)+Inputs!$B$29+Inputs!$B$30)))</f>
        <v/>
      </c>
      <c r="E1801">
        <f>INDEX(FactorTable!$B$2:$Y$301, MATCH(ROUND(MIN(300,MAX(1,D1801)),0), FactorTable!$A$2:$A$301,0), Skills!L19+1)</f>
        <v/>
      </c>
      <c r="F1801">
        <f>(Skills!K19/10)*(E1801/1000)*64/45+Skills!N19</f>
        <v/>
      </c>
      <c r="G1801">
        <f>Calc!G19</f>
        <v/>
      </c>
      <c r="H1801">
        <f>Calc!H19</f>
        <v/>
      </c>
      <c r="I1801">
        <f>IF(Skills!T19&lt;&gt;"",1+(Skills!T19/10)*($Z$3/1000)/100,1)</f>
        <v/>
      </c>
      <c r="J1801" t="inlineStr"/>
      <c r="K1801" t="inlineStr"/>
      <c r="L1801" t="inlineStr"/>
      <c r="M1801" t="inlineStr"/>
      <c r="N1801" t="inlineStr"/>
      <c r="O1801">
        <f>(1-Summary!$B$11)*S1801+Summary!$B$11*U1801</f>
        <v/>
      </c>
      <c r="P1801">
        <f>IF(B1825=0,0,O1801/B1825)</f>
        <v/>
      </c>
      <c r="Q1801">
        <f>IFERROR(1/(IF(Inputs!$B$39="pvp",15,MAX(0.1,Skills!D19-IF(Skills!E19=TRUE,Inputs!$B$33,0)))*(1-IF(AND(ArtifactsInput!$M$27,Inputs!$B$4="Chapter Hunt"),CHOOSE(ArtifactsInput!$N$27+1,20,24,28,32,36,40),0)/100)),0)</f>
        <v/>
      </c>
      <c r="R1801">
        <f>IF(AND(Inputs!$B$39&lt;&gt;"pvp",Inputs!$B$44&gt;0),IF(Inputs!$B$44&lt;=0,0,(INT(Inputs!$B$44/(IF(Inputs!$B$39="pvp",15,MAX(0.1,Skills!D19-IF(Skills!E19=TRUE,Inputs!$B$33,0)))*(1-IF(AND(ArtifactsInput!$M$27,Inputs!$B$4="Chapter Hunt"),CHOOSE(ArtifactsInput!$N$27+1,20,24,28,32,36,40),0)/100)))+1)),0)</f>
        <v/>
      </c>
      <c r="S1801" t="n">
        <v>0</v>
      </c>
      <c r="U1801" t="n">
        <v>0</v>
      </c>
    </row>
    <row r="1802">
      <c r="A1802">
        <f>Skills!A20</f>
        <v/>
      </c>
      <c r="B1802">
        <f>Skills!B20</f>
        <v/>
      </c>
      <c r="C1802">
        <f>Inputs!$B$3&gt;=125</f>
        <v/>
      </c>
      <c r="D1802">
        <f>IF(Skills!C20=1,60+Inputs!$B$26+Inputs!$B$30,IF(Skills!C20=2,90+Inputs!$B$27+Inputs!$B$30,IF(Skills!C20=3,120+Inputs!$B$28+Inputs!$B$30,MAX(0,(Inputs!$B$3-100)*3)+Inputs!$B$29+Inputs!$B$30)))</f>
        <v/>
      </c>
      <c r="E1802">
        <f>INDEX(FactorTable!$B$2:$Y$301, MATCH(ROUND(MIN(300,MAX(1,D1802)),0), FactorTable!$A$2:$A$301,0), Skills!L20+1)</f>
        <v/>
      </c>
      <c r="F1802">
        <f>IF(Skills!M20=TRUE,(Skills!K20/10)*(E1802/1000),Skills!K20/10)+Skills!N20</f>
        <v/>
      </c>
      <c r="G1802">
        <f>Calc!G20</f>
        <v/>
      </c>
      <c r="H1802">
        <f>Calc!H20</f>
        <v/>
      </c>
      <c r="I1802">
        <f>IF(Skills!T20&lt;&gt;"",1+(Skills!T20/10)*($Z$3/1000)/100,1)</f>
        <v/>
      </c>
      <c r="J1802" t="inlineStr"/>
      <c r="K1802" t="inlineStr"/>
      <c r="L1802" t="inlineStr"/>
      <c r="M1802" t="inlineStr"/>
      <c r="N1802" t="inlineStr"/>
      <c r="O1802">
        <f>(1-Summary!$B$11)*S1802+Summary!$B$11*U1802</f>
        <v/>
      </c>
      <c r="P1802">
        <f>IF(B1825=0,0,O1802/B1825)</f>
        <v/>
      </c>
      <c r="Q1802">
        <f>IFERROR(1/(IF(Inputs!$B$39="pvp",15,MAX(0.1,Skills!D20-IF(Skills!E20=TRUE,Inputs!$B$33,0)))*(1-IF(AND(ArtifactsInput!$M$27,Inputs!$B$4="Chapter Hunt"),CHOOSE(ArtifactsInput!$N$27+1,20,24,28,32,36,40),0)/100)),0)</f>
        <v/>
      </c>
      <c r="R1802" t="n">
        <v>0</v>
      </c>
      <c r="S1802" t="n">
        <v>0</v>
      </c>
      <c r="U1802" t="n">
        <v>0</v>
      </c>
    </row>
    <row r="1803">
      <c r="A1803">
        <f>Skills!A21</f>
        <v/>
      </c>
      <c r="B1803">
        <f>Skills!B21</f>
        <v/>
      </c>
      <c r="C1803">
        <f>Inputs!$B$3&gt;=33</f>
        <v/>
      </c>
      <c r="D1803">
        <f>IF(Skills!C21=1,60+Inputs!$B$26+Inputs!$B$30,IF(Skills!C21=2,90+Inputs!$B$27+Inputs!$B$30,IF(Skills!C21=3,120+Inputs!$B$28+Inputs!$B$30,MAX(0,(Inputs!$B$3-100)*3)+Inputs!$B$29+Inputs!$B$30)))</f>
        <v/>
      </c>
      <c r="E1803">
        <f>INDEX(FactorTable!$B$2:$Y$301, MATCH(ROUND(MIN(300,MAX(1,D1803)),0), FactorTable!$A$2:$A$301,0), Skills!L21+1)</f>
        <v/>
      </c>
      <c r="F1803">
        <f>IF(Skills!M21=TRUE,(Skills!K21/10)*(E1803/1000),Skills!K21/10)+Skills!N21</f>
        <v/>
      </c>
      <c r="G1803">
        <f>Calc!G21</f>
        <v/>
      </c>
      <c r="H1803">
        <f>Calc!H21</f>
        <v/>
      </c>
      <c r="I1803">
        <f>IF(Skills!T21&lt;&gt;"",1+(Skills!T21/10)*($Z$3/1000)/100,1)</f>
        <v/>
      </c>
      <c r="J1803" t="inlineStr"/>
      <c r="K1803" t="inlineStr"/>
      <c r="L1803" t="inlineStr"/>
      <c r="M1803" t="inlineStr"/>
      <c r="N1803" t="inlineStr"/>
      <c r="O1803">
        <f>(1-Summary!$B$11)*S1803+Summary!$B$11*U1803</f>
        <v/>
      </c>
      <c r="P1803">
        <f>IF(B1825=0,0,O1803/B1825)</f>
        <v/>
      </c>
      <c r="Q1803">
        <f>IFERROR(1/(IF(Inputs!$B$39="pvp",15,MAX(0.1,Skills!D21-IF(Skills!E21=TRUE,Inputs!$B$33,0)))*(1-IF(AND(ArtifactsInput!$M$27,Inputs!$B$4="Chapter Hunt"),CHOOSE(ArtifactsInput!$N$27+1,20,24,28,32,36,40),0)/100)),0)</f>
        <v/>
      </c>
      <c r="R1803" t="n">
        <v>0</v>
      </c>
      <c r="S1803" t="n">
        <v>0</v>
      </c>
      <c r="U1803" t="n">
        <v>0</v>
      </c>
    </row>
    <row r="1804">
      <c r="A1804">
        <f>Skills!A22</f>
        <v/>
      </c>
      <c r="B1804">
        <f>Skills!B22</f>
        <v/>
      </c>
      <c r="C1804">
        <f>Inputs!$B$3&gt;=43</f>
        <v/>
      </c>
      <c r="D1804">
        <f>IF(Skills!C22=1,60+Inputs!$B$26+Inputs!$B$30,IF(Skills!C22=2,90+Inputs!$B$27+Inputs!$B$30,IF(Skills!C22=3,120+Inputs!$B$28+Inputs!$B$30,MAX(0,(Inputs!$B$3-100)*3)+Inputs!$B$29+Inputs!$B$30)))</f>
        <v/>
      </c>
      <c r="E1804">
        <f>INDEX(FactorTable!$B$2:$Y$301, MATCH(ROUND(MIN(300,MAX(1,D1804)),0), FactorTable!$A$2:$A$301,0), Skills!L22+1)</f>
        <v/>
      </c>
      <c r="F1804">
        <f>IF(Skills!M22=TRUE,(Skills!K22/10)*(E1804/1000),Skills!K22/10)+Skills!N22</f>
        <v/>
      </c>
      <c r="G1804">
        <f>Calc!G22</f>
        <v/>
      </c>
      <c r="H1804">
        <f>Calc!H22</f>
        <v/>
      </c>
      <c r="I1804">
        <f>IF(Skills!T22&lt;&gt;"",1+(Skills!T22/10)*($Z$3/1000)/100,1)</f>
        <v/>
      </c>
      <c r="J1804" t="inlineStr"/>
      <c r="K1804" t="inlineStr"/>
      <c r="L1804" t="inlineStr"/>
      <c r="M1804" t="inlineStr"/>
      <c r="N1804" t="inlineStr"/>
      <c r="O1804">
        <f>(1-Summary!$B$11)*S1804+Summary!$B$11*U1804</f>
        <v/>
      </c>
      <c r="P1804">
        <f>IF(B1825=0,0,O1804/B1825)</f>
        <v/>
      </c>
      <c r="Q1804">
        <f>IFERROR(1/(IF(Inputs!$B$39="pvp",15,MAX(0.1,Skills!D22-IF(Skills!E22=TRUE,Inputs!$B$33,0)))*(1-IF(AND(ArtifactsInput!$M$27,Inputs!$B$4="Chapter Hunt"),CHOOSE(ArtifactsInput!$N$27+1,20,24,28,32,36,40),0)/100)),0)</f>
        <v/>
      </c>
      <c r="R1804" t="n">
        <v>0</v>
      </c>
      <c r="S1804" t="n">
        <v>0</v>
      </c>
      <c r="U1804" t="n">
        <v>0</v>
      </c>
    </row>
    <row r="1805">
      <c r="A1805">
        <f>Skills!A23</f>
        <v/>
      </c>
      <c r="B1805">
        <f>Skills!B23</f>
        <v/>
      </c>
      <c r="C1805">
        <f>Inputs!$B$3&gt;=50</f>
        <v/>
      </c>
      <c r="D1805">
        <f>IF(Skills!C23=1,60+Inputs!$B$26+Inputs!$B$30,IF(Skills!C23=2,90+Inputs!$B$27+Inputs!$B$30,IF(Skills!C23=3,120+Inputs!$B$28+Inputs!$B$30,MAX(0,(Inputs!$B$3-100)*3)+Inputs!$B$29+Inputs!$B$30)))</f>
        <v/>
      </c>
      <c r="E1805">
        <f>INDEX(FactorTable!$B$2:$Y$301, MATCH(ROUND(MIN(300,MAX(1,D1805)),0), FactorTable!$A$2:$A$301,0), Skills!L23+1)</f>
        <v/>
      </c>
      <c r="F1805">
        <f>IF(Skills!M23=TRUE,(Skills!K23/10)*(E1805/1000),Skills!K23/10)+Skills!N23</f>
        <v/>
      </c>
      <c r="G1805">
        <f>Calc!G23</f>
        <v/>
      </c>
      <c r="H1805">
        <f>Calc!H23</f>
        <v/>
      </c>
      <c r="I1805">
        <f>IF(Skills!T23&lt;&gt;"",1+(Skills!T23/10)*($Z$3/1000)/100,1)</f>
        <v/>
      </c>
      <c r="J1805" t="inlineStr"/>
      <c r="K1805" t="inlineStr"/>
      <c r="L1805" t="inlineStr"/>
      <c r="M1805" t="inlineStr"/>
      <c r="N1805" t="inlineStr"/>
      <c r="O1805">
        <f>(1-Summary!$B$11)*S1805+Summary!$B$11*U1805</f>
        <v/>
      </c>
      <c r="P1805">
        <f>IF(B1825=0,0,O1805/B1825)</f>
        <v/>
      </c>
      <c r="Q1805">
        <f>IFERROR(1/(IF(Inputs!$B$39="pvp",15,MAX(0.1,Skills!D23-IF(Skills!E23=TRUE,Inputs!$B$33,0)))*(1-IF(AND(ArtifactsInput!$M$27,Inputs!$B$4="Chapter Hunt"),CHOOSE(ArtifactsInput!$N$27+1,20,24,28,32,36,40),0)/100)),0)</f>
        <v/>
      </c>
      <c r="R1805" t="n">
        <v>0</v>
      </c>
      <c r="S1805" t="n">
        <v>0</v>
      </c>
      <c r="U1805" t="n">
        <v>0</v>
      </c>
    </row>
    <row r="1806">
      <c r="A1806">
        <f>Skills!A24</f>
        <v/>
      </c>
      <c r="B1806">
        <f>Skills!B24</f>
        <v/>
      </c>
      <c r="C1806">
        <f>Inputs!$B$3&gt;=74</f>
        <v/>
      </c>
      <c r="D1806">
        <f>IF(Skills!C24=1,60+Inputs!$B$26+Inputs!$B$30,IF(Skills!C24=2,90+Inputs!$B$27+Inputs!$B$30,IF(Skills!C24=3,120+Inputs!$B$28+Inputs!$B$30,MAX(0,(Inputs!$B$3-100)*3)+Inputs!$B$29+Inputs!$B$30)))</f>
        <v/>
      </c>
      <c r="E1806">
        <f>INDEX(FactorTable!$B$2:$Y$301, MATCH(ROUND(MIN(300,MAX(1,D1806)),0), FactorTable!$A$2:$A$301,0), Skills!L24+1)</f>
        <v/>
      </c>
      <c r="F1806">
        <f>IF(Skills!M24=TRUE,(Skills!K24/10)*(E1806/1000),Skills!K24/10)+Skills!N24</f>
        <v/>
      </c>
      <c r="G1806">
        <f>Calc!G24</f>
        <v/>
      </c>
      <c r="H1806">
        <f>Calc!H24</f>
        <v/>
      </c>
      <c r="I1806">
        <f>IF(Skills!T24&lt;&gt;"",1+(Skills!T24/10)*($Z$3/1000)/100,1)</f>
        <v/>
      </c>
      <c r="J1806" t="inlineStr"/>
      <c r="K1806" t="inlineStr"/>
      <c r="L1806" t="inlineStr"/>
      <c r="M1806" t="inlineStr"/>
      <c r="N1806" t="inlineStr"/>
      <c r="O1806">
        <f>(1-Summary!$B$11)*S1806+Summary!$B$11*U1806</f>
        <v/>
      </c>
      <c r="P1806">
        <f>IF(B1825=0,0,O1806/B1825)</f>
        <v/>
      </c>
      <c r="Q1806">
        <f>IFERROR(1/(IF(Inputs!$B$39="pvp",15,MAX(0.1,Skills!D24-IF(Skills!E24=TRUE,Inputs!$B$33,0)))*(1-IF(AND(ArtifactsInput!$M$27,Inputs!$B$4="Chapter Hunt"),CHOOSE(ArtifactsInput!$N$27+1,20,24,28,32,36,40),0)/100)),0)</f>
        <v/>
      </c>
      <c r="R1806" t="n">
        <v>0</v>
      </c>
      <c r="S1806" t="n">
        <v>0</v>
      </c>
      <c r="U1806" t="n">
        <v>0</v>
      </c>
    </row>
    <row r="1807">
      <c r="A1807">
        <f>Skills!A25</f>
        <v/>
      </c>
      <c r="B1807">
        <f>Skills!B25</f>
        <v/>
      </c>
      <c r="C1807">
        <f>Inputs!$B$3&gt;=74</f>
        <v/>
      </c>
      <c r="D1807">
        <f>IF(Skills!C25=1,60+Inputs!$B$26+Inputs!$B$30,IF(Skills!C25=2,90+Inputs!$B$27+Inputs!$B$30,IF(Skills!C25=3,120+Inputs!$B$28+Inputs!$B$30,MAX(0,(Inputs!$B$3-100)*3)+Inputs!$B$29+Inputs!$B$30)))</f>
        <v/>
      </c>
      <c r="E1807">
        <f>INDEX(FactorTable!$B$2:$Y$301, MATCH(ROUND(MIN(300,MAX(1,D1807)),0), FactorTable!$A$2:$A$301,0), Skills!L25+1)</f>
        <v/>
      </c>
      <c r="F1807">
        <f>IF(Skills!M25=TRUE,(Skills!K25/10)*(E1807/1000),Skills!K25/10)+Skills!N25</f>
        <v/>
      </c>
      <c r="G1807">
        <f>Calc!G25</f>
        <v/>
      </c>
      <c r="H1807">
        <f>Calc!H25</f>
        <v/>
      </c>
      <c r="I1807">
        <f>IF(Skills!T25&lt;&gt;"",1+(Skills!T25/10)*($Z$3/1000)/100,1)</f>
        <v/>
      </c>
      <c r="J1807" t="inlineStr"/>
      <c r="K1807" t="inlineStr"/>
      <c r="L1807" t="inlineStr"/>
      <c r="M1807" t="inlineStr"/>
      <c r="N1807" t="inlineStr"/>
      <c r="O1807">
        <f>(1-Summary!$B$11)*S1807+Summary!$B$11*U1807</f>
        <v/>
      </c>
      <c r="P1807">
        <f>IF(B1825=0,0,O1807/B1825)</f>
        <v/>
      </c>
      <c r="Q1807">
        <f>IFERROR(1/(IF(Inputs!$B$39="pvp",15,MAX(0.1,Skills!D25-IF(Skills!E25=TRUE,Inputs!$B$33,0)))*(1-IF(AND(ArtifactsInput!$M$27,Inputs!$B$4="Chapter Hunt"),CHOOSE(ArtifactsInput!$N$27+1,20,24,28,32,36,40),0)/100)),0)</f>
        <v/>
      </c>
      <c r="R1807" t="n">
        <v>0</v>
      </c>
      <c r="S1807" t="n">
        <v>0</v>
      </c>
      <c r="U1807" t="n">
        <v>0</v>
      </c>
    </row>
    <row r="1808">
      <c r="A1808">
        <f>Skills!A26</f>
        <v/>
      </c>
      <c r="B1808">
        <f>Skills!B26</f>
        <v/>
      </c>
      <c r="C1808">
        <f>Inputs!$B$3&gt;=117</f>
        <v/>
      </c>
      <c r="D1808">
        <f>IF(Skills!C26=1,60+Inputs!$B$26+Inputs!$B$30,IF(Skills!C26=2,90+Inputs!$B$27+Inputs!$B$30,IF(Skills!C26=3,120+Inputs!$B$28+Inputs!$B$30,MAX(0,(Inputs!$B$3-100)*3)+Inputs!$B$29+Inputs!$B$30)))</f>
        <v/>
      </c>
      <c r="E1808">
        <f>INDEX(FactorTable!$B$2:$Y$301, MATCH(ROUND(MIN(300,MAX(1,D1808)),0), FactorTable!$A$2:$A$301,0), Skills!L26+1)</f>
        <v/>
      </c>
      <c r="F1808">
        <f>IF(Skills!M26=TRUE,(Skills!K26/10)*(E1808/1000),Skills!K26/10)+Skills!N26</f>
        <v/>
      </c>
      <c r="G1808">
        <f>Calc!G26</f>
        <v/>
      </c>
      <c r="H1808">
        <f>Calc!H26</f>
        <v/>
      </c>
      <c r="I1808">
        <f>IF(Skills!T26&lt;&gt;"",1+(Skills!T26/10)*($Z$3/1000)/100,1)</f>
        <v/>
      </c>
      <c r="J1808" t="inlineStr"/>
      <c r="K1808" t="inlineStr"/>
      <c r="L1808" t="inlineStr"/>
      <c r="M1808" t="inlineStr"/>
      <c r="N1808" t="inlineStr"/>
      <c r="O1808">
        <f>(1-Summary!$B$11)*S1808+Summary!$B$11*U1808</f>
        <v/>
      </c>
      <c r="P1808">
        <f>IF(B1825=0,0,O1808/B1825)</f>
        <v/>
      </c>
      <c r="Q1808">
        <f>IFERROR(1/(IF(Inputs!$B$39="pvp",15,MAX(0.1,Skills!D26-IF(Skills!E26=TRUE,Inputs!$B$33,0)))*(1-IF(AND(ArtifactsInput!$M$27,Inputs!$B$4="Chapter Hunt"),CHOOSE(ArtifactsInput!$N$27+1,20,24,28,32,36,40),0)/100)),0)</f>
        <v/>
      </c>
      <c r="R1808" t="n">
        <v>0</v>
      </c>
      <c r="S1808" t="n">
        <v>0</v>
      </c>
      <c r="U1808" t="n">
        <v>0</v>
      </c>
    </row>
    <row r="1809">
      <c r="A1809">
        <f>Skills!A27</f>
        <v/>
      </c>
      <c r="B1809">
        <f>Skills!B27</f>
        <v/>
      </c>
      <c r="C1809">
        <f>Inputs!$B$3&gt;=120</f>
        <v/>
      </c>
      <c r="D1809">
        <f>IF(Skills!C27=1,60+Inputs!$B$26+Inputs!$B$30,IF(Skills!C27=2,90+Inputs!$B$27+Inputs!$B$30,IF(Skills!C27=3,120+Inputs!$B$28+Inputs!$B$30,MAX(0,(Inputs!$B$3-100)*3)+Inputs!$B$29+Inputs!$B$30)))</f>
        <v/>
      </c>
      <c r="E1809">
        <f>INDEX(FactorTable!$B$2:$Y$301, MATCH(ROUND(MIN(300,MAX(1,D1809)),0), FactorTable!$A$2:$A$301,0), Skills!L27+1)</f>
        <v/>
      </c>
      <c r="F1809">
        <f>IF(Skills!M27=TRUE,(Skills!K27/10)*(E1809/1000),Skills!K27/10)+Skills!N27</f>
        <v/>
      </c>
      <c r="G1809">
        <f>Calc!G27</f>
        <v/>
      </c>
      <c r="H1809">
        <f>Calc!H27</f>
        <v/>
      </c>
      <c r="I1809">
        <f>IF(Skills!T27&lt;&gt;"",1+(Skills!T27/10)*($Z$3/1000)/100,1)</f>
        <v/>
      </c>
      <c r="J1809" t="inlineStr"/>
      <c r="K1809" t="inlineStr"/>
      <c r="L1809" t="inlineStr"/>
      <c r="M1809" t="inlineStr"/>
      <c r="N1809" t="inlineStr"/>
      <c r="O1809">
        <f>(1-Summary!$B$11)*S1809+Summary!$B$11*U1809</f>
        <v/>
      </c>
      <c r="P1809">
        <f>IF(B1825=0,0,O1809/B1825)</f>
        <v/>
      </c>
      <c r="Q1809">
        <f>IFERROR(1/(IF(Inputs!$B$39="pvp",15,MAX(0.1,Skills!D27-IF(Skills!E27=TRUE,Inputs!$B$33,0)))*(1-IF(AND(ArtifactsInput!$M$27,Inputs!$B$4="Chapter Hunt"),CHOOSE(ArtifactsInput!$N$27+1,20,24,28,32,36,40),0)/100)),0)</f>
        <v/>
      </c>
      <c r="R1809" t="n">
        <v>0</v>
      </c>
      <c r="S1809" t="n">
        <v>0</v>
      </c>
      <c r="U1809" t="n">
        <v>0</v>
      </c>
    </row>
    <row r="1810">
      <c r="A1810">
        <f>Skills!A28</f>
        <v/>
      </c>
      <c r="B1810">
        <f>Skills!B28</f>
        <v/>
      </c>
      <c r="C1810">
        <f>TRUE</f>
        <v/>
      </c>
      <c r="D1810">
        <f>IF(Skills!C28=1,60+Inputs!$B$26+Inputs!$B$30,IF(Skills!C28=2,90+Inputs!$B$27+Inputs!$B$30,IF(Skills!C28=3,120+Inputs!$B$28+Inputs!$B$30,MAX(0,(Inputs!$B$3-100)*3)+Inputs!$B$29+Inputs!$B$30)))</f>
        <v/>
      </c>
      <c r="E1810">
        <f>INDEX(FactorTable!$B$2:$Y$301, MATCH(ROUND(MIN(300,MAX(1,D1810)),0), FactorTable!$A$2:$A$301,0), Skills!L28+1)</f>
        <v/>
      </c>
      <c r="F1810">
        <f>IF(Skills!M28=TRUE,(Skills!K28/10)*(E1810/1000),Skills!K28/10)+Skills!N28</f>
        <v/>
      </c>
      <c r="G1810">
        <f>Calc!G28</f>
        <v/>
      </c>
      <c r="H1810">
        <f>Calc!H28</f>
        <v/>
      </c>
      <c r="I1810">
        <f>IF(Skills!T28&lt;&gt;"",1+(Skills!T28/10)*($Z$3/1000)/100,1)</f>
        <v/>
      </c>
      <c r="J1810" t="inlineStr"/>
      <c r="K1810" t="inlineStr"/>
      <c r="L1810" t="inlineStr"/>
      <c r="M1810" t="inlineStr"/>
      <c r="N1810" t="inlineStr"/>
      <c r="O1810">
        <f>(1-Summary!$B$11)*S1810+Summary!$B$11*U1810</f>
        <v/>
      </c>
      <c r="P1810">
        <f>IF(B1825=0,0,O1810/B1825)</f>
        <v/>
      </c>
      <c r="Q1810">
        <f>IFERROR(1/(IF(Inputs!$B$39="pvp",15,MAX(0.1,Skills!D28-IF(Skills!E28=TRUE,Inputs!$B$33,0)))*(1-IF(AND(ArtifactsInput!$M$27,Inputs!$B$4="Chapter Hunt"),CHOOSE(ArtifactsInput!$N$27+1,20,24,28,32,36,40),0)/100)),0)</f>
        <v/>
      </c>
      <c r="R1810">
        <f>IF(AND(Inputs!$B$39&lt;&gt;"pvp",Inputs!$B$44&gt;0),IF(Inputs!$B$44&lt;=0,0,(INT(Inputs!$B$44/(IF(Inputs!$B$39="pvp",15,MAX(0.1,Skills!D28-IF(Skills!E28=TRUE,Inputs!$B$33,0)))*(1-IF(AND(ArtifactsInput!$M$27,Inputs!$B$4="Chapter Hunt"),CHOOSE(ArtifactsInput!$N$27+1,20,24,28,32,36,40),0)/100)))+1)),0)</f>
        <v/>
      </c>
      <c r="S1810" t="n">
        <v>0</v>
      </c>
      <c r="U1810" t="n">
        <v>0</v>
      </c>
    </row>
    <row r="1812">
      <c r="A1812" t="inlineStr">
        <is>
          <t>Average Buff Multiplier</t>
        </is>
      </c>
      <c r="B1812">
        <f>(1+(IF(C1785=TRUE,F1785*IF(AND(Inputs!$B$39&lt;&gt;"pvp",Inputs!$B$44&gt;0),(((R1785-1)*(Skills!S3*(1+((Inputs!$B$35+(ArtifactsInput!$M$7-ArtifactsInput!$M$7)*CHOOSE(ArtifactsInput!$N$7+1,6,7.2,8.4,9.6,10.8,12))+IF(Inputs!$B$3&gt;=117,F1808,0))/100))+MIN((Skills!S3*(1+((Inputs!$B$35+(ArtifactsInput!$M$7-ArtifactsInput!$M$7)*CHOOSE(ArtifactsInput!$N$7+1,6,7.2,8.4,9.6,10.8,12))+IF(Inputs!$B$3&gt;=117,F1808,0))/100)),MAX(0,Inputs!$B$44-((R1785-1)*Skills!D3))))/Inputs!$B$44),IF(Inputs!$B$39="pvp",MIN((Skills!S3*(1+((Inputs!$B$35+(ArtifactsInput!$M$7-ArtifactsInput!$M$7)*CHOOSE(ArtifactsInput!$N$7+1,6,7.2,8.4,9.6,10.8,12))+IF(Inputs!$B$3&gt;=117,F1808,0))/100)),15)/15,(Skills!S3*(1+((Inputs!$B$35+(ArtifactsInput!$M$7-ArtifactsInput!$M$7)*CHOOSE(ArtifactsInput!$N$7+1,6,7.2,8.4,9.6,10.8,12))+IF(Inputs!$B$3&gt;=117,F1808,0))/100))/Skills!D3)),0)+IF(C1786=TRUE,F1786*IF(AND(Inputs!$B$39&lt;&gt;"pvp",Inputs!$B$44&gt;0),(((R1786-1)*(Skills!S4*(1+((Inputs!$B$35+(ArtifactsInput!$M$7-ArtifactsInput!$M$7)*CHOOSE(ArtifactsInput!$N$7+1,6,7.2,8.4,9.6,10.8,12))+IF(Inputs!$B$3&gt;=117,F1808,0))/100))+MIN((Skills!S4*(1+((Inputs!$B$35+(ArtifactsInput!$M$7-ArtifactsInput!$M$7)*CHOOSE(ArtifactsInput!$N$7+1,6,7.2,8.4,9.6,10.8,12))+IF(Inputs!$B$3&gt;=117,F1808,0))/100)),MAX(0,Inputs!$B$44-((R1786-1)*Skills!D4))))/Inputs!$B$44),IF(Inputs!$B$39="pvp",MIN((Skills!S4*(1+((Inputs!$B$35+(ArtifactsInput!$M$7-ArtifactsInput!$M$7)*CHOOSE(ArtifactsInput!$N$7+1,6,7.2,8.4,9.6,10.8,12))+IF(Inputs!$B$3&gt;=117,F1808,0))/100)),15)/15,(Skills!S4*(1+((Inputs!$B$35+(ArtifactsInput!$M$7-ArtifactsInput!$M$7)*CHOOSE(ArtifactsInput!$N$7+1,6,7.2,8.4,9.6,10.8,12))+IF(Inputs!$B$3&gt;=117,F1808,0))/100))/Skills!D4)),0)+IF(C1787=TRUE,F1787*IF(AND(Inputs!$B$39&lt;&gt;"pvp",Inputs!$B$44&gt;0),(((R1787-1)*(Skills!S5*(1+((Inputs!$B$35+(ArtifactsInput!$M$7-ArtifactsInput!$M$7)*CHOOSE(ArtifactsInput!$N$7+1,6,7.2,8.4,9.6,10.8,12))+IF(Inputs!$B$3&gt;=117,F1808,0))/100))+MIN((Skills!S5*(1+((Inputs!$B$35+(ArtifactsInput!$M$7-ArtifactsInput!$M$7)*CHOOSE(ArtifactsInput!$N$7+1,6,7.2,8.4,9.6,10.8,12))+IF(Inputs!$B$3&gt;=117,F1808,0))/100)),MAX(0,Inputs!$B$44-((R1787-1)*Skills!D5))))/Inputs!$B$44),IF(Inputs!$B$39="pvp",MIN((Skills!S5*(1+((Inputs!$B$35+(ArtifactsInput!$M$7-ArtifactsInput!$M$7)*CHOOSE(ArtifactsInput!$N$7+1,6,7.2,8.4,9.6,10.8,12))+IF(Inputs!$B$3&gt;=117,F1808,0))/100)),15)/15,(Skills!S5*(1+((Inputs!$B$35+(ArtifactsInput!$M$7-ArtifactsInput!$M$7)*CHOOSE(ArtifactsInput!$N$7+1,6,7.2,8.4,9.6,10.8,12))+IF(Inputs!$B$3&gt;=117,F1808,0))/100))/Skills!D5)),0)+IF(C1793=TRUE,F1793*IF(AND(Inputs!$B$39&lt;&gt;"pvp",Inputs!$B$44&gt;0),(((R1793-1)*(Skills!S11*(1+((Inputs!$B$35+(ArtifactsInput!$M$7-ArtifactsInput!$M$7)*CHOOSE(ArtifactsInput!$N$7+1,6,7.2,8.4,9.6,10.8,12))+IF(Inputs!$B$3&gt;=117,F1808,0))/100))+MIN((Skills!S11*(1+((Inputs!$B$35+(ArtifactsInput!$M$7-ArtifactsInput!$M$7)*CHOOSE(ArtifactsInput!$N$7+1,6,7.2,8.4,9.6,10.8,12))+IF(Inputs!$B$3&gt;=117,F1808,0))/100)),MAX(0,Inputs!$B$44-((R1793-1)*Skills!D11))))/Inputs!$B$44),IF(Inputs!$B$39="pvp",MIN((Skills!S11*(1+((Inputs!$B$35+(ArtifactsInput!$M$7-ArtifactsInput!$M$7)*CHOOSE(ArtifactsInput!$N$7+1,6,7.2,8.4,9.6,10.8,12))+IF(Inputs!$B$3&gt;=117,F1808,0))/100)),15)/15,(Skills!S11*(1+((Inputs!$B$35+(ArtifactsInput!$M$7-ArtifactsInput!$M$7)*CHOOSE(ArtifactsInput!$N$7+1,6,7.2,8.4,9.6,10.8,12))+IF(Inputs!$B$3&gt;=117,F1808,0)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1796=TRUE,(1+F1796*IF(AND(Inputs!$B$39&lt;&gt;"pvp",Inputs!$B$44&gt;0),(((R1796-1)*(Skills!S14*(1+((Inputs!$B$35+(ArtifactsInput!$M$7-ArtifactsInput!$M$7)*CHOOSE(ArtifactsInput!$N$7+1,6,7.2,8.4,9.6,10.8,12))+IF(Inputs!$B$3&gt;=117,F1808,0))/100))+MIN((Skills!S14*(1+((Inputs!$B$35+(ArtifactsInput!$M$7-ArtifactsInput!$M$7)*CHOOSE(ArtifactsInput!$N$7+1,6,7.2,8.4,9.6,10.8,12))+IF(Inputs!$B$3&gt;=117,F1808,0))/100)),MAX(0,Inputs!$B$44-((R1796-1)*Skills!D14))))/Inputs!$B$44),IF(Inputs!$B$39="pvp",MIN((Skills!S14*(1+((Inputs!$B$35+(ArtifactsInput!$M$7-ArtifactsInput!$M$7)*CHOOSE(ArtifactsInput!$N$7+1,6,7.2,8.4,9.6,10.8,12))+IF(Inputs!$B$3&gt;=117,F1808,0))/100)),15)/15,(Skills!S14*(1+((Inputs!$B$35+(ArtifactsInput!$M$7-ArtifactsInput!$M$7)*CHOOSE(ArtifactsInput!$N$7+1,6,7.2,8.4,9.6,10.8,12))+IF(Inputs!$B$3&gt;=117,F1808,0))/100))/Skills!D14))/100),1)*IF(C1801=TRUE,(1+F1801*IF(AND(Inputs!$B$39&lt;&gt;"pvp",Inputs!$B$44&gt;0),(((R1801-1)*(Skills!S19*(1+((Inputs!$B$35+(ArtifactsInput!$M$7-ArtifactsInput!$M$7)*CHOOSE(ArtifactsInput!$N$7+1,6,7.2,8.4,9.6,10.8,12))+IF(Inputs!$B$3&gt;=117,F1808,0))/100))+MIN((Skills!S19*(1+((Inputs!$B$35+(ArtifactsInput!$M$7-ArtifactsInput!$M$7)*CHOOSE(ArtifactsInput!$N$7+1,6,7.2,8.4,9.6,10.8,12))+IF(Inputs!$B$3&gt;=117,F1808,0))/100)),MAX(0,Inputs!$B$44-((R1801-1)*Skills!D19))))/Inputs!$B$44),IF(Inputs!$B$39="pvp",MIN((Skills!S19*(1+((Inputs!$B$35+(ArtifactsInput!$M$7-ArtifactsInput!$M$7)*CHOOSE(ArtifactsInput!$N$7+1,6,7.2,8.4,9.6,10.8,12))+IF(Inputs!$B$3&gt;=117,F1808,0))/100)),15)/15,(Skills!S19*(1+((Inputs!$B$35+(ArtifactsInput!$M$7-ArtifactsInput!$M$7)*CHOOSE(ArtifactsInput!$N$7+1,6,7.2,8.4,9.6,10.8,12))+IF(Inputs!$B$3&gt;=117,F1808,0))/100))/Skills!D19))/100),1)</f>
        <v/>
      </c>
    </row>
    <row r="1813">
      <c r="A1813" t="inlineStr">
        <is>
          <t>Monster Damage Taken Bonus % (Holy Fountain)</t>
        </is>
      </c>
      <c r="B1813">
        <f>IF(Inputs!$B$3&gt;=68,20*IF(Inputs!$B$39="pvp",MIN((15*(1+((Inputs!$B$35+(ArtifactsInput!$M$7-ArtifactsInput!$M$7)*CHOOSE(ArtifactsInput!$N$7+1,6,7.2,8.4,9.6,10.8,12))+IF(Inputs!$B$3&gt;=117,F1808,0))/100)),15)/15,(15*(1+((Inputs!$B$35+(ArtifactsInput!$M$7-ArtifactsInput!$M$7)*CHOOSE(ArtifactsInput!$N$7+1,6,7.2,8.4,9.6,10.8,12))+IF(Inputs!$B$3&gt;=117,F1808,0))/100))/Skills!D10),0)</f>
        <v/>
      </c>
    </row>
    <row r="1814">
      <c r="A1814" t="inlineStr">
        <is>
          <t>Normal Monster Damage Bonus % (Holy Symbol)</t>
        </is>
      </c>
      <c r="B1814">
        <f>IF(C1794=TRUE,F1794*IF(AND(Inputs!$B$39&lt;&gt;"pvp",Inputs!$B$44&gt;0),(((R1794-1)*(Skills!S12*(1+((Inputs!$B$35+(ArtifactsInput!$M$7-ArtifactsInput!$M$7)*CHOOSE(ArtifactsInput!$N$7+1,6,7.2,8.4,9.6,10.8,12))+IF(Inputs!$B$3&gt;=117,F1808,0))/100))+MIN((Skills!S12*(1+((Inputs!$B$35+(ArtifactsInput!$M$7-ArtifactsInput!$M$7)*CHOOSE(ArtifactsInput!$N$7+1,6,7.2,8.4,9.6,10.8,12))+IF(Inputs!$B$3&gt;=117,F1808,0))/100)),MAX(0,Inputs!$B$44-((R1794-1)*Skills!D12))))/Inputs!$B$44),IF(Inputs!$B$39="pvp",MIN((Skills!S12*(1+((Inputs!$B$35+(ArtifactsInput!$M$7-ArtifactsInput!$M$7)*CHOOSE(ArtifactsInput!$N$7+1,6,7.2,8.4,9.6,10.8,12))+IF(Inputs!$B$3&gt;=117,F1808,0))/100)),15)/15,(Skills!S12*(1+((Inputs!$B$35+(ArtifactsInput!$M$7-ArtifactsInput!$M$7)*CHOOSE(ArtifactsInput!$N$7+1,6,7.2,8.4,9.6,10.8,12))+IF(Inputs!$B$3&gt;=117,F1808,0))/100))/Skills!D12)),0)</f>
        <v/>
      </c>
    </row>
    <row r="1815">
      <c r="A1815" t="inlineStr">
        <is>
          <t>Damage % Bonus (Holy Symbol - Damage Boost)</t>
        </is>
      </c>
      <c r="B1815">
        <f>Skills!O12</f>
        <v/>
      </c>
    </row>
    <row r="1816">
      <c r="A1816" t="inlineStr">
        <is>
          <t>Crit Damage % Bonus (Blood of the Divine)</t>
        </is>
      </c>
      <c r="B1816">
        <f>4*IF(C1802=TRUE,F1802,0)</f>
        <v/>
      </c>
    </row>
    <row r="1817">
      <c r="A1817" t="inlineStr">
        <is>
          <t>Attack Speed Bonus %</t>
        </is>
      </c>
      <c r="B1817">
        <f>IF(C1799=TRUE,F1799+(F1803-Calc!F21),0)+IF(Inputs!$B$3&gt;=134,15,0)+((C1810=TRUE)*F1810*IF(AND(Inputs!$B$39&lt;&gt;"pvp",Inputs!$B$44&gt;0),(((R1810-1)*(Skills!S28*(1+((Inputs!$B$35+(ArtifactsInput!$M$7-ArtifactsInput!$M$7)*CHOOSE(ArtifactsInput!$N$7+1,6,7.2,8.4,9.6,10.8,12))+IF(Inputs!$B$3&gt;=117,F1808,0))/100))+MIN((Skills!S28*(1+((Inputs!$B$35+(ArtifactsInput!$M$7-ArtifactsInput!$M$7)*CHOOSE(ArtifactsInput!$N$7+1,6,7.2,8.4,9.6,10.8,12))+IF(Inputs!$B$3&gt;=117,F1808,0))/100)),MAX(0,Inputs!$B$44-((R1810-1)*Skills!D28))))/Inputs!$B$44),IF(Inputs!$B$39="pvp",MIN((Skills!S28*(1+((Inputs!$B$35+(ArtifactsInput!$M$7-ArtifactsInput!$M$7)*CHOOSE(ArtifactsInput!$N$7+1,6,7.2,8.4,9.6,10.8,12))+IF(Inputs!$B$3&gt;=117,F1808,0))/100)),15)/15,(Skills!S28*(1+((Inputs!$B$35+(ArtifactsInput!$M$7-ArtifactsInput!$M$7)*CHOOSE(ArtifactsInput!$N$7+1,6,7.2,8.4,9.6,10.8,12))+IF(Inputs!$B$3&gt;=117,F1808,0))/100))/Skills!D28)))</f>
        <v/>
      </c>
    </row>
    <row r="1818">
      <c r="A1818" t="inlineStr">
        <is>
          <t>Actions Per Second</t>
        </is>
      </c>
      <c r="B1818">
        <f>1+MIN(150,150*(1-(1-Inputs!$B$12/150)*(1-B1817/150)))/100</f>
        <v/>
      </c>
    </row>
    <row r="1819">
      <c r="A1819" t="inlineStr">
        <is>
          <t>Skill + Buff Cast Rate</t>
        </is>
      </c>
      <c r="B1819">
        <f>IF(AND(Inputs!$B$39&lt;&gt;"pvp",Inputs!$B$44&gt;0),SUMPRODUCT((Skills!E2:E28=TRUE)*(C1784:C1810=TRUE)*R1784:R1810)/Inputs!$B$44,SUMPRODUCT((Skills!E2:E28=TRUE)*(C1784:C1810=TRUE)*Q1784:Q1810))</f>
        <v/>
      </c>
    </row>
    <row r="1820">
      <c r="A1820" t="inlineStr">
        <is>
          <t>Big Bang Casts Per Second</t>
        </is>
      </c>
      <c r="B1820">
        <f>MAX(0,B1818-B1819)</f>
        <v/>
      </c>
    </row>
    <row r="1821">
      <c r="A1821" t="inlineStr">
        <is>
          <t>Defense % Bonus (Divine Protection)</t>
        </is>
      </c>
      <c r="B1821">
        <f>IF(C1795=TRUE,F1795*IF(AND(Inputs!$B$39&lt;&gt;"pvp",Inputs!$B$44&gt;0),(((R1795-1)*(Skills!S13*(1+((Inputs!$B$35+(ArtifactsInput!$M$7-ArtifactsInput!$M$7)*CHOOSE(ArtifactsInput!$N$7+1,6,7.2,8.4,9.6,10.8,12))+IF(Inputs!$B$3&gt;=117,F1808,0))/100))+MIN((Skills!S13*(1+((Inputs!$B$35+(ArtifactsInput!$M$7-ArtifactsInput!$M$7)*CHOOSE(ArtifactsInput!$N$7+1,6,7.2,8.4,9.6,10.8,12))+IF(Inputs!$B$3&gt;=117,F1808,0))/100)),MAX(0,Inputs!$B$44-((R1795-1)*Skills!D13))))/Inputs!$B$44),IF(Inputs!$B$39="pvp",MIN((Skills!S13*(1+((Inputs!$B$35+(ArtifactsInput!$M$7-ArtifactsInput!$M$7)*CHOOSE(ArtifactsInput!$N$7+1,6,7.2,8.4,9.6,10.8,12))+IF(Inputs!$B$3&gt;=117,F1808,0))/100)),15)/15,(Skills!S13*(1+((Inputs!$B$35+(ArtifactsInput!$M$7-ArtifactsInput!$M$7)*CHOOSE(ArtifactsInput!$N$7+1,6,7.2,8.4,9.6,10.8,12))+IF(Inputs!$B$3&gt;=117,F1808,0))/100))/Skills!D13)),0)</f>
        <v/>
      </c>
    </row>
    <row r="1822">
      <c r="A1822" t="inlineStr">
        <is>
          <t>Buff-Casting Startup Delay (s, fixed-duration only)</t>
        </is>
      </c>
      <c r="B1822">
        <f>IF(AND(Inputs!$B$39&lt;&gt;"pvp",Inputs!$B$44&gt;0),SUMPRODUCT((Skills!S2:S28&gt;0)*(Skills!E2:E28=TRUE)*(C1784:C1810=TRUE))/B1818,0)</f>
        <v/>
      </c>
    </row>
    <row r="1823">
      <c r="A1823" t="inlineStr">
        <is>
          <t>Boss-Only Total DPS (this block's swept value)</t>
        </is>
      </c>
      <c r="B1823">
        <f>SUM(S1784:S1810)</f>
        <v/>
      </c>
    </row>
    <row r="1824">
      <c r="A1824" t="inlineStr">
        <is>
          <t>Normal-Only Total DPS (this block's swept value)</t>
        </is>
      </c>
      <c r="B1824">
        <f>SUM(U1784:U1810)</f>
        <v/>
      </c>
    </row>
    <row r="1825">
      <c r="A1825" s="6" t="inlineStr">
        <is>
          <t>TOTAL DPS</t>
        </is>
      </c>
      <c r="B1825" s="6">
        <f>SUM(O1784:O1810)</f>
        <v/>
      </c>
    </row>
    <row r="1827">
      <c r="A1827" s="6" t="inlineStr">
        <is>
          <t>Stat: Pink Bean's Giant Rib (Equip)</t>
        </is>
      </c>
    </row>
    <row r="1828">
      <c r="A1828" s="5" t="inlineStr">
        <is>
          <t>Key</t>
        </is>
      </c>
      <c r="B1828" s="5" t="inlineStr">
        <is>
          <t>Name</t>
        </is>
      </c>
      <c r="C1828" s="5" t="inlineStr">
        <is>
          <t>Unlocked</t>
        </is>
      </c>
      <c r="D1828" s="5" t="inlineStr">
        <is>
          <t>InputLevel</t>
        </is>
      </c>
      <c r="E1828" s="5" t="inlineStr">
        <is>
          <t>Factor</t>
        </is>
      </c>
      <c r="F1828" s="5" t="inlineStr">
        <is>
          <t>CoefficientPercent</t>
        </is>
      </c>
      <c r="G1828" s="5" t="inlineStr">
        <is>
          <t>EffectiveHits</t>
        </is>
      </c>
      <c r="H1828" s="5" t="inlineStr">
        <is>
          <t>ProcProbability</t>
        </is>
      </c>
      <c r="I1828" s="5" t="inlineStr">
        <is>
          <t>MapleHeroMultiplier</t>
        </is>
      </c>
      <c r="J1828" s="5" t="inlineStr">
        <is>
          <t>BaseDamage</t>
        </is>
      </c>
      <c r="K1828" s="5" t="inlineStr">
        <is>
          <t>BaseHitDamage</t>
        </is>
      </c>
      <c r="L1828" s="5" t="inlineStr">
        <is>
          <t>NonCritAvg</t>
        </is>
      </c>
      <c r="M1828" s="5" t="inlineStr">
        <is>
          <t>CritAvg</t>
        </is>
      </c>
      <c r="N1828" s="5" t="inlineStr">
        <is>
          <t>ExpectedDamage(perHit)</t>
        </is>
      </c>
      <c r="O1828" s="5" t="inlineStr">
        <is>
          <t>DPS</t>
        </is>
      </c>
      <c r="P1828" s="5" t="inlineStr">
        <is>
          <t>% of Total</t>
        </is>
      </c>
      <c r="R1828" t="inlineStr">
        <is>
          <t>helpers</t>
        </is>
      </c>
    </row>
    <row r="1829">
      <c r="A1829">
        <f>Skills!A2</f>
        <v/>
      </c>
      <c r="B1829">
        <f>Skills!B2</f>
        <v/>
      </c>
      <c r="C1829">
        <f>Inputs!$B$3&gt;=100</f>
        <v/>
      </c>
      <c r="D1829" t="inlineStr"/>
      <c r="E1829" t="inlineStr"/>
      <c r="F1829">
        <f>T1831+Skills!N2</f>
        <v/>
      </c>
      <c r="G1829">
        <f>Calc!G2</f>
        <v/>
      </c>
      <c r="H1829">
        <f>Calc!H2</f>
        <v/>
      </c>
      <c r="I1829">
        <f>IF(Skills!T2&lt;&gt;"",1+(Skills!T2/10)*($Z$3/1000)/100,1)</f>
        <v/>
      </c>
      <c r="J1829">
        <f>((Inputs!$B$6*(1+Inputs!$B$7/100))+(((Inputs!$B$13*(1+Inputs!$B$14/100))-(Inputs!$B$13*(1+Inputs!$B$14/100)))+0.25*(Inputs!$B$15-Inputs!$B$15))*(1+Inputs!$B$7/100))*(F1829/100)</f>
        <v/>
      </c>
      <c r="K1829">
        <f>J1829*(1+(((Inputs!$B$13+IF(Inputs!$B$3&gt;=35,(10*INDEX(FactorTable!$B$2:$Y$301,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2="TRIUMPH_FEATHER",IF(C1843=TRUE,F1843,0),0)/100)*(1+IF(C1854=TRUE,F1854,0)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1829)</f>
        <v/>
      </c>
      <c r="L1829">
        <f>K1829*(MIN(Inputs!$B$23+(F1849-Calc!F22),(Inputs!$B$24+IF(ArtifactsInput!$M$15,CHOOSE(ArtifactsInput!$N$15+1,25,30,35,40,45,50)/100*(Inputs!$B$12-Inputs!$B$12),0)))/100+(Inputs!$B$24+IF(ArtifactsInput!$M$15,CHOOSE(ArtifactsInput!$N$15+1,25,30,35,40,45,50)/100*(Inputs!$B$12-Inputs!$B$12),0))/100)/2</f>
        <v/>
      </c>
      <c r="M1829">
        <f>L1829*(1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29">
        <f>L1829*(1-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(1-Summary!$B$11)*S1829+Summary!$B$11*U1829</f>
        <v/>
      </c>
      <c r="P1829">
        <f>IF(B1870=0,0,O1829/B1870)</f>
        <v/>
      </c>
      <c r="Q1829">
        <f>IFERROR(1/(IF(Inputs!$B$39="pvp",15,MAX(0.1,Skills!D2-IF(Skills!E2=TRUE,Inputs!$B$33,0)))*(1-IF(AND(ArtifactsInput!$M$27,Inputs!$B$4="Chapter Hunt"),CHOOSE(ArtifactsInput!$N$27+1,20,24,28,32,36,40),0)/100)),0)</f>
        <v/>
      </c>
      <c r="R1829" t="n">
        <v>0</v>
      </c>
      <c r="S1829">
        <f>IF(C1829,(Skills!F2*N1829*B1865)*IF(Inputs!$B$39="pvp",1,1+(Inputs!$B$21+Skills!O2+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1829*(1-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29">
        <f>MAX(0,(Inputs!$B$3-100)*3)+Inputs!$B$29+Inputs!$B$30</f>
        <v/>
      </c>
      <c r="U1829">
        <f>IF(C1829,(Skills!F2*N1829*B1865)*IF(Inputs!$B$39="pvp",1,(1+(Inputs!$B$22+Skills!P2+B1859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Skills!A3</f>
        <v/>
      </c>
      <c r="B1830">
        <f>Skills!B3</f>
        <v/>
      </c>
      <c r="C1830">
        <f>Inputs!$B$3&gt;=15</f>
        <v/>
      </c>
      <c r="D1830">
        <f>IF(Skills!C3=1,60+Inputs!$B$26+Inputs!$B$30,IF(Skills!C3=2,90+Inputs!$B$27+Inputs!$B$30,IF(Skills!C3=3,120+Inputs!$B$28+Inputs!$B$30,MAX(0,(Inputs!$B$3-100)*3)+Inputs!$B$29+Inputs!$B$30)))</f>
        <v/>
      </c>
      <c r="E1830">
        <f>INDEX(FactorTable!$B$2:$Y$301, MATCH(ROUND(MIN(300,MAX(1,D1830)),0), FactorTable!$A$2:$A$301,0), Skills!L3+1)</f>
        <v/>
      </c>
      <c r="F1830">
        <f>IF(Skills!M3=TRUE,(Skills!K3/10)*(E1830/1000),Skills!K3/10)+Skills!N3</f>
        <v/>
      </c>
      <c r="G1830">
        <f>Calc!G3</f>
        <v/>
      </c>
      <c r="H1830">
        <f>Calc!H3</f>
        <v/>
      </c>
      <c r="I1830">
        <f>IF(Skills!T3&lt;&gt;"",1+(Skills!T3/10)*($Z$3/1000)/100,1)</f>
        <v/>
      </c>
      <c r="J1830" t="inlineStr"/>
      <c r="K1830" t="inlineStr"/>
      <c r="L1830" t="inlineStr"/>
      <c r="M1830" t="inlineStr"/>
      <c r="N1830" t="inlineStr"/>
      <c r="O1830">
        <f>(1-Summary!$B$11)*S1830+Summary!$B$11*U1830</f>
        <v/>
      </c>
      <c r="P1830">
        <f>IF(B1870=0,0,O1830/B1870)</f>
        <v/>
      </c>
      <c r="Q1830">
        <f>IFERROR(1/(IF(Inputs!$B$39="pvp",15,MAX(0.1,Skills!D3-IF(Skills!E3=TRUE,Inputs!$B$33,0)))*(1-IF(AND(ArtifactsInput!$M$27,Inputs!$B$4="Chapter Hunt"),CHOOSE(ArtifactsInput!$N$27+1,20,24,28,32,36,40),0)/100)),0)</f>
        <v/>
      </c>
      <c r="R1830">
        <f>IF(AND(Inputs!$B$39&lt;&gt;"pvp",Inputs!$B$44&gt;0),IF(Inputs!$B$44&lt;=0,0,(INT(Inputs!$B$44/(IF(Inputs!$B$39="pvp",15,MAX(0.1,Skills!D3-IF(Skills!E3=TRUE,Inputs!$B$33,0)))*(1-IF(AND(ArtifactsInput!$M$27,Inputs!$B$4="Chapter Hunt"),CHOOSE(ArtifactsInput!$N$27+1,20,24,28,32,36,40),0)/100)))+1)),0)</f>
        <v/>
      </c>
      <c r="S1830" t="n">
        <v>0</v>
      </c>
      <c r="T1830">
        <f>INDEX(FactorTable!$B$2:$Y$301, MATCH(ROUND(MIN(300,MAX(1,T1829)),0), FactorTable!$A$2:$A$301,0), 22)</f>
        <v/>
      </c>
      <c r="U1830" t="n">
        <v>0</v>
      </c>
    </row>
    <row r="1831">
      <c r="A1831">
        <f>Skills!A4</f>
        <v/>
      </c>
      <c r="B1831">
        <f>Skills!B4</f>
        <v/>
      </c>
      <c r="C1831">
        <f>Inputs!$B$3&gt;=38</f>
        <v/>
      </c>
      <c r="D1831">
        <f>IF(Skills!C4=1,60+Inputs!$B$26+Inputs!$B$30,IF(Skills!C4=2,90+Inputs!$B$27+Inputs!$B$30,IF(Skills!C4=3,120+Inputs!$B$28+Inputs!$B$30,MAX(0,(Inputs!$B$3-100)*3)+Inputs!$B$29+Inputs!$B$30)))</f>
        <v/>
      </c>
      <c r="E1831">
        <f>INDEX(FactorTable!$B$2:$Y$301, MATCH(ROUND(MIN(300,MAX(1,D1831)),0), FactorTable!$A$2:$A$301,0), Skills!L4+1)</f>
        <v/>
      </c>
      <c r="F1831">
        <f>IF(Skills!M4=TRUE,(Skills!K4/10)*(E1831/1000),Skills!K4/10)+Skills!N4</f>
        <v/>
      </c>
      <c r="G1831">
        <f>Calc!G4</f>
        <v/>
      </c>
      <c r="H1831">
        <f>Calc!H4</f>
        <v/>
      </c>
      <c r="I1831">
        <f>IF(Skills!T4&lt;&gt;"",1+(Skills!T4/10)*($Z$3/1000)/100,1)</f>
        <v/>
      </c>
      <c r="J1831" t="inlineStr"/>
      <c r="K1831" t="inlineStr"/>
      <c r="L1831" t="inlineStr"/>
      <c r="M1831" t="inlineStr"/>
      <c r="N1831" t="inlineStr"/>
      <c r="O1831">
        <f>(1-Summary!$B$11)*S1831+Summary!$B$11*U1831</f>
        <v/>
      </c>
      <c r="P1831">
        <f>IF(B1870=0,0,O1831/B1870)</f>
        <v/>
      </c>
      <c r="Q1831">
        <f>IFERROR(1/(IF(Inputs!$B$39="pvp",15,MAX(0.1,Skills!D4-IF(Skills!E4=TRUE,Inputs!$B$33,0)))*(1-IF(AND(ArtifactsInput!$M$27,Inputs!$B$4="Chapter Hunt"),CHOOSE(ArtifactsInput!$N$27+1,20,24,28,32,36,40),0)/100)),0)</f>
        <v/>
      </c>
      <c r="R1831">
        <f>IF(AND(Inputs!$B$39&lt;&gt;"pvp",Inputs!$B$44&gt;0),IF(Inputs!$B$44&lt;=0,0,(INT(Inputs!$B$44/(IF(Inputs!$B$39="pvp",15,MAX(0.1,Skills!D4-IF(Skills!E4=TRUE,Inputs!$B$33,0)))*(1-IF(AND(ArtifactsInput!$M$27,Inputs!$B$4="Chapter Hunt"),CHOOSE(ArtifactsInput!$N$27+1,20,24,28,32,36,40),0)/100)))+1)),0)</f>
        <v/>
      </c>
      <c r="S1831" t="n">
        <v>0</v>
      </c>
      <c r="T1831">
        <f>290*T1830/1000</f>
        <v/>
      </c>
      <c r="U1831" t="n">
        <v>0</v>
      </c>
    </row>
    <row r="1832">
      <c r="A1832">
        <f>Skills!A5</f>
        <v/>
      </c>
      <c r="B1832">
        <f>Skills!B5</f>
        <v/>
      </c>
      <c r="C1832">
        <f>Inputs!$B$3&gt;=40</f>
        <v/>
      </c>
      <c r="D1832">
        <f>IF(Skills!C5=1,60+Inputs!$B$26+Inputs!$B$30,IF(Skills!C5=2,90+Inputs!$B$27+Inputs!$B$30,IF(Skills!C5=3,120+Inputs!$B$28+Inputs!$B$30,MAX(0,(Inputs!$B$3-100)*3)+Inputs!$B$29+Inputs!$B$30)))</f>
        <v/>
      </c>
      <c r="E1832">
        <f>INDEX(FactorTable!$B$2:$Y$301, MATCH(ROUND(MIN(300,MAX(1,D1832)),0), FactorTable!$A$2:$A$301,0), Skills!L5+1)</f>
        <v/>
      </c>
      <c r="F1832">
        <f>IF(Skills!M5=TRUE,(Skills!K5/10)*(E1832/1000),Skills!K5/10)+Skills!N5</f>
        <v/>
      </c>
      <c r="G1832">
        <f>Calc!G5</f>
        <v/>
      </c>
      <c r="H1832">
        <f>Calc!H5</f>
        <v/>
      </c>
      <c r="I1832">
        <f>IF(Skills!T5&lt;&gt;"",1+(Skills!T5/10)*($Z$3/1000)/100,1)</f>
        <v/>
      </c>
      <c r="J1832" t="inlineStr"/>
      <c r="K1832" t="inlineStr"/>
      <c r="L1832" t="inlineStr"/>
      <c r="M1832" t="inlineStr"/>
      <c r="N1832" t="inlineStr"/>
      <c r="O1832">
        <f>(1-Summary!$B$11)*S1832+Summary!$B$11*U1832</f>
        <v/>
      </c>
      <c r="P1832">
        <f>IF(B1870=0,0,O1832/B1870)</f>
        <v/>
      </c>
      <c r="Q1832">
        <f>IFERROR(1/(IF(Inputs!$B$39="pvp",15,MAX(0.1,Skills!D5-IF(Skills!E5=TRUE,Inputs!$B$33,0)))*(1-IF(AND(ArtifactsInput!$M$27,Inputs!$B$4="Chapter Hunt"),CHOOSE(ArtifactsInput!$N$27+1,20,24,28,32,36,40),0)/100)),0)</f>
        <v/>
      </c>
      <c r="R1832">
        <f>IF(AND(Inputs!$B$39&lt;&gt;"pvp",Inputs!$B$44&gt;0),IF(Inputs!$B$44&lt;=0,0,(INT(Inputs!$B$44/(IF(Inputs!$B$39="pvp",15,MAX(0.1,Skills!D5-IF(Skills!E5=TRUE,Inputs!$B$33,0)))*(1-IF(AND(ArtifactsInput!$M$27,Inputs!$B$4="Chapter Hunt"),CHOOSE(ArtifactsInput!$N$27+1,20,24,28,32,36,40),0)/100)))+1)),0)</f>
        <v/>
      </c>
      <c r="S1832" t="n">
        <v>0</v>
      </c>
      <c r="U1832" t="n">
        <v>0</v>
      </c>
    </row>
    <row r="1833">
      <c r="A1833">
        <f>Skills!A6</f>
        <v/>
      </c>
      <c r="B1833">
        <f>Skills!B6</f>
        <v/>
      </c>
      <c r="C1833">
        <f>Inputs!$B$3&gt;=103</f>
        <v/>
      </c>
      <c r="D1833">
        <f>IF(Skills!C6=1,60+Inputs!$B$26+Inputs!$B$30,IF(Skills!C6=2,90+Inputs!$B$27+Inputs!$B$30,IF(Skills!C6=3,120+Inputs!$B$28+Inputs!$B$30,MAX(0,(Inputs!$B$3-100)*3)+Inputs!$B$29+Inputs!$B$30)))</f>
        <v/>
      </c>
      <c r="E1833">
        <f>INDEX(FactorTable!$B$2:$Y$301, MATCH(ROUND(MIN(300,MAX(1,D1833)),0), FactorTable!$A$2:$A$301,0), Skills!L6+1)</f>
        <v/>
      </c>
      <c r="F1833">
        <f>IF(Skills!M6=TRUE,(Skills!K6/10)*(E1833/1000),Skills!K6/10)+Skills!N6</f>
        <v/>
      </c>
      <c r="G1833">
        <f>Calc!G6</f>
        <v/>
      </c>
      <c r="H1833">
        <f>Calc!H6</f>
        <v/>
      </c>
      <c r="I1833">
        <f>IF(Skills!T6&lt;&gt;"",1+(Skills!T6/10)*($Z$3/1000)/100,1)</f>
        <v/>
      </c>
      <c r="J1833">
        <f>((Inputs!$B$6*(1+Inputs!$B$7/100))+(((Inputs!$B$13*(1+Inputs!$B$14/100))-(Inputs!$B$13*(1+Inputs!$B$14/100)))+0.25*(Inputs!$B$15-Inputs!$B$15))*(1+Inputs!$B$7/100))*(F1833/100)</f>
        <v/>
      </c>
      <c r="K1833">
        <f>J1833*(1+(((Inputs!$B$13+IF(Inputs!$B$3&gt;=35,(10*INDEX(FactorTable!$B$2:$Y$301,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6="TRIUMPH_FEATHER",IF(C1843=TRUE,F1843,0),0)/100)*(1+IF(C1854=TRUE,F1854,0)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1833)</f>
        <v/>
      </c>
      <c r="L1833">
        <f>K1833*(MIN(Inputs!$B$23+(F1849-Calc!F22),(Inputs!$B$24+IF(ArtifactsInput!$M$15,CHOOSE(ArtifactsInput!$N$15+1,25,30,35,40,45,50)/100*(Inputs!$B$12-Inputs!$B$12),0)))/100+(Inputs!$B$24+IF(ArtifactsInput!$M$15,CHOOSE(ArtifactsInput!$N$15+1,25,30,35,40,45,50)/100*(Inputs!$B$12-Inputs!$B$12),0))/100)/2</f>
        <v/>
      </c>
      <c r="M1833">
        <f>L1833*(1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3">
        <f>L1833*(1-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(1-Summary!$B$11)*S1833+Summary!$B$11*U1833</f>
        <v/>
      </c>
      <c r="P1833">
        <f>IF(B1870=0,0,O1833/B1870)</f>
        <v/>
      </c>
      <c r="Q1833">
        <f>IFERROR(1/(IF(Inputs!$B$39="pvp",15,MAX(0.1,Skills!D6-IF(Skills!E6=TRUE,Inputs!$B$33,0)))*(1-IF(AND(ArtifactsInput!$M$27,Inputs!$B$4="Chapter Hunt"),CHOOSE(ArtifactsInput!$N$27+1,20,24,28,32,36,40),0)/100)),0)</f>
        <v/>
      </c>
      <c r="R1833">
        <f>IF(AND(Inputs!$B$39&lt;&gt;"pvp",Inputs!$B$44&gt;0),IF(MAX(0,Inputs!$B$44-B1867)&lt;=0,0,(INT(MAX(0,Inputs!$B$44-B1867)/(IF(Inputs!$B$39="pvp",15,MAX(0.1,Skills!D6-IF(Skills!E6=TRUE,Inputs!$B$33,0)))*(1-IF(AND(ArtifactsInput!$M$27,Inputs!$B$4="Chapter Hunt"),CHOOSE(ArtifactsInput!$N$27+1,20,24,28,32,36,40),0)/100)))+1)),0)</f>
        <v/>
      </c>
      <c r="S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$21+Skills!O6+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1833*(1-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$22+Skills!P6+B1859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Skills!A7</f>
        <v/>
      </c>
      <c r="B1834">
        <f>Skills!B7</f>
        <v/>
      </c>
      <c r="C1834">
        <f>Inputs!$B$3&gt;=122</f>
        <v/>
      </c>
      <c r="D1834">
        <f>IF(Skills!C7=1,60+Inputs!$B$26+Inputs!$B$30,IF(Skills!C7=2,90+Inputs!$B$27+Inputs!$B$30,IF(Skills!C7=3,120+Inputs!$B$28+Inputs!$B$30,MAX(0,(Inputs!$B$3-100)*3)+Inputs!$B$29+Inputs!$B$30)))</f>
        <v/>
      </c>
      <c r="E1834">
        <f>INDEX(FactorTable!$B$2:$Y$301, MATCH(ROUND(MIN(300,MAX(1,D1834)),0), FactorTable!$A$2:$A$301,0), Skills!L7+1)</f>
        <v/>
      </c>
      <c r="F1834">
        <f>IF(Skills!M7=TRUE,(Skills!K7/10)*(E1834/1000),Skills!K7/10)+Skills!N7</f>
        <v/>
      </c>
      <c r="G1834">
        <f>Calc!G7</f>
        <v/>
      </c>
      <c r="H1834">
        <f>Calc!H7</f>
        <v/>
      </c>
      <c r="I1834">
        <f>IF(Skills!T7&lt;&gt;"",1+(Skills!T7/10)*($Z$3/1000)/100,1)</f>
        <v/>
      </c>
      <c r="J1834">
        <f>((Inputs!$B$6*(1+Inputs!$B$7/100))+(((Inputs!$B$13*(1+Inputs!$B$14/100))-(Inputs!$B$13*(1+Inputs!$B$14/100)))+0.25*(Inputs!$B$15-Inputs!$B$15))*(1+Inputs!$B$7/100))*(F1834/100)</f>
        <v/>
      </c>
      <c r="K1834">
        <f>J1834*(1+(((Inputs!$B$13+IF(Inputs!$B$3&gt;=35,(10*INDEX(FactorTable!$B$2:$Y$301,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7="TRIUMPH_FEATHER",IF(C1843=TRUE,F1843,0),0)/100)*(1+IF(C1854=TRUE,F1854,0)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1834)</f>
        <v/>
      </c>
      <c r="L1834">
        <f>K1834*(MIN(Inputs!$B$23+(F1849-Calc!F22),(Inputs!$B$24+IF(ArtifactsInput!$M$15,CHOOSE(ArtifactsInput!$N$15+1,25,30,35,40,45,50)/100*(Inputs!$B$12-Inputs!$B$12),0)))/100+(Inputs!$B$24+IF(ArtifactsInput!$M$15,CHOOSE(ArtifactsInput!$N$15+1,25,30,35,40,45,50)/100*(Inputs!$B$12-Inputs!$B$12),0))/100)/2</f>
        <v/>
      </c>
      <c r="M1834">
        <f>L1834*(1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4">
        <f>L1834*(1-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(1-Summary!$B$11)*S1834+Summary!$B$11*U1834</f>
        <v/>
      </c>
      <c r="P1834">
        <f>IF(B1870=0,0,O1834/B1870)</f>
        <v/>
      </c>
      <c r="Q1834">
        <f>IFERROR(1/(IF(Inputs!$B$39="pvp",15,MAX(0.1,Skills!D7-IF(Skills!E6=TRUE,Inputs!$B$33,0)))*(1-IF(AND(ArtifactsInput!$M$27,Inputs!$B$4="Chapter Hunt"),CHOOSE(ArtifactsInput!$N$27+1,20,24,28,32,36,40),0)/100)),0)</f>
        <v/>
      </c>
      <c r="R1834">
        <f>IF(AND(Inputs!$B$39&lt;&gt;"pvp",Inputs!$B$44&gt;0),IF(MAX(0,Inputs!$B$44-B1867)&lt;=0,0,(INT(MAX(0,Inputs!$B$44-B1867)/(IF(Inputs!$B$39="pvp",15,MAX(0.1,Skills!D7-IF(Skills!E6=TRUE,Inputs!$B$33,0)))*(1-IF(AND(ArtifactsInput!$M$27,Inputs!$B$4="Chapter Hunt"),CHOOSE(ArtifactsInput!$N$27+1,20,24,28,32,36,40),0)/100)))+1)),0)</f>
        <v/>
      </c>
      <c r="S1834">
        <f>IF(C1834,H1834*N1834*IF(AND(Inputs!$B$39&lt;&gt;"pvp",Inputs!$B$44&gt;0),((Skills!F7*((R1834-1)*IF(Skills!G7&gt;0,Skills!H7/Skills!G7,1)+IF(Skills!G7&gt;0,MIN(Skills!H7,MAX(0,MAX(0,Inputs!$B$44-B1867)-((R1834-1)*(IF(Inputs!$B$39="pvp",15,MAX(0.1,Skills!D7-IF(Skills!E6=TRUE,Inputs!$B$33,0)))*(1-IF(AND(ArtifactsInput!$M$27,Inputs!$B$4="Chapter Hunt"),CHOOSE(ArtifactsInput!$N$27+1,20,24,28,32,36,40),0)/100)))))/Skills!G7,1)))/Inputs!$B$44),G1834*Q1834)*IF(Inputs!$B$39="pvp",1,1+(Inputs!$B$21+Skills!O7+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1834*(1-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4" t="n">
        <v>0</v>
      </c>
    </row>
    <row r="1835">
      <c r="A1835">
        <f>Skills!A8</f>
        <v/>
      </c>
      <c r="B1835">
        <f>Skills!B8</f>
        <v/>
      </c>
      <c r="C1835">
        <f>Inputs!$B$3&gt;=105</f>
        <v/>
      </c>
      <c r="D1835">
        <f>IF(Skills!C8=1,60+Inputs!$B$26+Inputs!$B$30,IF(Skills!C8=2,90+Inputs!$B$27+Inputs!$B$30,IF(Skills!C8=3,120+Inputs!$B$28+Inputs!$B$30,MAX(0,(Inputs!$B$3-100)*3)+Inputs!$B$29+Inputs!$B$30)))</f>
        <v/>
      </c>
      <c r="E1835">
        <f>INDEX(FactorTable!$B$2:$Y$301, MATCH(ROUND(MIN(300,MAX(1,D1835)),0), FactorTable!$A$2:$A$301,0), Skills!L8+1)</f>
        <v/>
      </c>
      <c r="F1835">
        <f>IF(Skills!M8=TRUE,(Skills!K8/10)*(E1835/1000),Skills!K8/10)+Skills!N8</f>
        <v/>
      </c>
      <c r="G1835">
        <f>Calc!G8</f>
        <v/>
      </c>
      <c r="H1835">
        <f>Calc!H8</f>
        <v/>
      </c>
      <c r="I1835">
        <f>IF(Skills!T8&lt;&gt;"",1+(Skills!T8/10)*($Z$3/1000)/100,1)</f>
        <v/>
      </c>
      <c r="J1835">
        <f>((Inputs!$B$6*(1+Inputs!$B$7/100))+(((Inputs!$B$13*(1+Inputs!$B$14/100))-(Inputs!$B$13*(1+Inputs!$B$14/100)))+0.25*(Inputs!$B$15-Inputs!$B$15))*(1+Inputs!$B$7/100))*(F1835/100)</f>
        <v/>
      </c>
      <c r="K1835">
        <f>J1835*(1+(((Inputs!$B$13+IF(Inputs!$B$3&gt;=35,(10*INDEX(FactorTable!$B$2:$Y$301,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8="TRIUMPH_FEATHER",IF(C1843=TRUE,F1843,0),0)/100)*(1+IF(C1854=TRUE,F1854,0)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1835)</f>
        <v/>
      </c>
      <c r="L1835">
        <f>K1835*(MIN(Inputs!$B$23+(F1849-Calc!F22),(Inputs!$B$24+IF(ArtifactsInput!$M$15,CHOOSE(ArtifactsInput!$N$15+1,25,30,35,40,45,50)/100*(Inputs!$B$12-Inputs!$B$12),0)))/100+(Inputs!$B$24+IF(ArtifactsInput!$M$15,CHOOSE(ArtifactsInput!$N$15+1,25,30,35,40,45,50)/100*(Inputs!$B$12-Inputs!$B$12),0))/100)/2</f>
        <v/>
      </c>
      <c r="M1835">
        <f>L1835*(1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5">
        <f>L1835*(1-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1835*(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5">
        <f>(1-Summary!$B$11)*S1835+Summary!$B$11*U1835</f>
        <v/>
      </c>
      <c r="P1835">
        <f>IF(B1870=0,0,O1835/B1870)</f>
        <v/>
      </c>
      <c r="Q1835">
        <f>IFERROR(1/(IF(Inputs!$B$39="pvp",15,MAX(0.1,Skills!D8-IF(Skills!E8=TRUE,Inputs!$B$33,0)))*(1-IF(AND(ArtifactsInput!$M$27,Inputs!$B$4="Chapter Hunt"),CHOOSE(ArtifactsInput!$N$27+1,20,24,28,32,36,40),0)/100)),0)</f>
        <v/>
      </c>
      <c r="R1835">
        <f>IF(AND(Inputs!$B$39&lt;&gt;"pvp",Inputs!$B$44&gt;0),IF(MAX(0,Inputs!$B$44-B1867)&lt;=0,0,(INT(MAX(0,Inputs!$B$44-B1867)/(IF(Inputs!$B$39="pvp",15,MAX(0.1,Skills!D8-IF(Skills!E8=TRUE,Inputs!$B$33,0)))*(1-IF(AND(ArtifactsInput!$M$27,Inputs!$B$4="Chapter Hunt"),CHOOSE(ArtifactsInput!$N$27+1,20,24,28,32,36,40),0)/100)))+1)),0)</f>
        <v/>
      </c>
      <c r="S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$21+Skills!O8+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1835*(1-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1835*(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1835*(1-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1835*(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$22+Skills!P8+B1859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6">
      <c r="A1836">
        <f>Skills!A9</f>
        <v/>
      </c>
      <c r="B1836">
        <f>Skills!B9</f>
        <v/>
      </c>
      <c r="C1836">
        <f>Inputs!$B$3&gt;=115</f>
        <v/>
      </c>
      <c r="D1836">
        <f>IF(Skills!C9=1,60+Inputs!$B$26+Inputs!$B$30,IF(Skills!C9=2,90+Inputs!$B$27+Inputs!$B$30,IF(Skills!C9=3,120+Inputs!$B$28+Inputs!$B$30,MAX(0,(Inputs!$B$3-100)*3)+Inputs!$B$29+Inputs!$B$30)))</f>
        <v/>
      </c>
      <c r="E1836">
        <f>INDEX(FactorTable!$B$2:$Y$301, MATCH(ROUND(MIN(300,MAX(1,D1836)),0), FactorTable!$A$2:$A$301,0), Skills!L9+1)</f>
        <v/>
      </c>
      <c r="F1836">
        <f>IF(Skills!M9=TRUE,(Skills!K9/10)*(E1836/1000),Skills!K9/10)+Skills!N9</f>
        <v/>
      </c>
      <c r="G1836">
        <f>Calc!G9</f>
        <v/>
      </c>
      <c r="H1836">
        <f>Calc!H9</f>
        <v/>
      </c>
      <c r="I1836">
        <f>IF(Skills!T9&lt;&gt;"",1+(Skills!T9/10)*($Z$3/1000)/100,1)</f>
        <v/>
      </c>
      <c r="J1836">
        <f>((Inputs!$B$6*(1+Inputs!$B$7/100))+(((Inputs!$B$13*(1+Inputs!$B$14/100))-(Inputs!$B$13*(1+Inputs!$B$14/100)))+0.25*(Inputs!$B$15-Inputs!$B$15))*(1+Inputs!$B$7/100))*(F1836/100)</f>
        <v/>
      </c>
      <c r="K1836">
        <f>J1836*(1+(((Inputs!$B$13+IF(Inputs!$B$3&gt;=35,(10*INDEX(FactorTable!$B$2:$Y$301,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9="TRIUMPH_FEATHER",IF(C1843=TRUE,F1843,0),0)/100)*(1+IF(C1854=TRUE,F1854,0)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1836)</f>
        <v/>
      </c>
      <c r="L1836">
        <f>K1836*(MIN(Inputs!$B$23+(F1849-Calc!F22),(Inputs!$B$24+IF(ArtifactsInput!$M$15,CHOOSE(ArtifactsInput!$N$15+1,25,30,35,40,45,50)/100*(Inputs!$B$12-Inputs!$B$12),0)))/100+(Inputs!$B$24+IF(ArtifactsInput!$M$15,CHOOSE(ArtifactsInput!$N$15+1,25,30,35,40,45,50)/100*(Inputs!$B$12-Inputs!$B$12),0))/100)/2</f>
        <v/>
      </c>
      <c r="M1836">
        <f>L1836*(1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6">
        <f>L1836*(1-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(1-Summary!$B$11)*S1836+Summary!$B$11*U1836</f>
        <v/>
      </c>
      <c r="P1836">
        <f>IF(B1870=0,0,O1836/B1870)</f>
        <v/>
      </c>
      <c r="Q1836">
        <f>IFERROR(1/(IF(Inputs!$B$39="pvp",15,MAX(0.1,Skills!D9-IF(Skills!E9=TRUE,Inputs!$B$33,0)))*(1-IF(AND(ArtifactsInput!$M$27,Inputs!$B$4="Chapter Hunt"),CHOOSE(ArtifactsInput!$N$27+1,20,24,28,32,36,40),0)/100)),0)</f>
        <v/>
      </c>
      <c r="R1836">
        <f>IF(AND(Inputs!$B$39&lt;&gt;"pvp",Inputs!$B$44&gt;0),IF(MAX(0,Inputs!$B$44-B1867)&lt;=0,0,(INT(MAX(0,Inputs!$B$44-B1867)/(IF(Inputs!$B$39="pvp",15,MAX(0.1,Skills!D9-IF(Skills!E9=TRUE,Inputs!$B$33,0)))*(1-IF(AND(ArtifactsInput!$M$27,Inputs!$B$4="Chapter Hunt"),CHOOSE(ArtifactsInput!$N$27+1,20,24,28,32,36,40),0)/100)))+1)),0)</f>
        <v/>
      </c>
      <c r="S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$21+Skills!O9+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1836*(1-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$22+Skills!P9+B1859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Skills!A10</f>
        <v/>
      </c>
      <c r="B1837">
        <f>Skills!B10</f>
        <v/>
      </c>
      <c r="C1837">
        <f>Inputs!$B$3&gt;=66</f>
        <v/>
      </c>
      <c r="D1837">
        <f>IF(Skills!C10=1,60+Inputs!$B$26+Inputs!$B$30,IF(Skills!C10=2,90+Inputs!$B$27+Inputs!$B$30,IF(Skills!C10=3,120+Inputs!$B$28+Inputs!$B$30,MAX(0,(Inputs!$B$3-100)*3)+Inputs!$B$29+Inputs!$B$30)))</f>
        <v/>
      </c>
      <c r="E1837">
        <f>INDEX(FactorTable!$B$2:$Y$301, MATCH(ROUND(MIN(300,MAX(1,D1837)),0), FactorTable!$A$2:$A$301,0), Skills!L10+1)</f>
        <v/>
      </c>
      <c r="F1837" t="n">
        <v>0</v>
      </c>
      <c r="G1837">
        <f>Calc!G10</f>
        <v/>
      </c>
      <c r="H1837">
        <f>Calc!H10</f>
        <v/>
      </c>
      <c r="I1837">
        <f>IF(Skills!T10&lt;&gt;"",1+(Skills!T10/10)*($Z$3/1000)/100,1)</f>
        <v/>
      </c>
      <c r="J1837" t="inlineStr"/>
      <c r="K1837" t="inlineStr"/>
      <c r="L1837" t="inlineStr"/>
      <c r="M1837" t="inlineStr"/>
      <c r="N1837" t="inlineStr"/>
      <c r="O1837">
        <f>(1-Summary!$B$11)*S1837+Summary!$B$11*U1837</f>
        <v/>
      </c>
      <c r="P1837">
        <f>IF(B1870=0,0,O1837/B1870)</f>
        <v/>
      </c>
      <c r="Q1837">
        <f>IFERROR(1/(IF(Inputs!$B$39="pvp",15,MAX(0.1,Skills!D10-IF(Skills!E10=TRUE,Inputs!$B$33,0)))*(1-IF(AND(ArtifactsInput!$M$27,Inputs!$B$4="Chapter Hunt"),CHOOSE(ArtifactsInput!$N$27+1,20,24,28,32,36,40),0)/100)),0)</f>
        <v/>
      </c>
      <c r="R1837">
        <f>IF(AND(Inputs!$B$39&lt;&gt;"pvp",Inputs!$B$44&gt;0),IF(MAX(0,Inputs!$B$44-B1867)&lt;=0,0,(INT(MAX(0,Inputs!$B$44-B1867)/(IF(Inputs!$B$39="pvp",15,MAX(0.1,Skills!D10-IF(Skills!E10=TRUE,Inputs!$B$33,0)))*(1-IF(AND(ArtifactsInput!$M$27,Inputs!$B$4="Chapter Hunt"),CHOOSE(ArtifactsInput!$N$27+1,20,24,28,32,36,40),0)/100)))+1)),0)</f>
        <v/>
      </c>
      <c r="S1837" t="n">
        <v>0</v>
      </c>
      <c r="U1837" t="n">
        <v>0</v>
      </c>
    </row>
    <row r="1838">
      <c r="A1838">
        <f>Skills!A11</f>
        <v/>
      </c>
      <c r="B1838">
        <f>Skills!B11</f>
        <v/>
      </c>
      <c r="C1838">
        <f>Inputs!$B$3&gt;=69</f>
        <v/>
      </c>
      <c r="D1838">
        <f>IF(Skills!C11=1,60+Inputs!$B$26+Inputs!$B$30,IF(Skills!C11=2,90+Inputs!$B$27+Inputs!$B$30,IF(Skills!C11=3,120+Inputs!$B$28+Inputs!$B$30,MAX(0,(Inputs!$B$3-100)*3)+Inputs!$B$29+Inputs!$B$30)))</f>
        <v/>
      </c>
      <c r="E1838">
        <f>INDEX(FactorTable!$B$2:$Y$301, MATCH(ROUND(MIN(300,MAX(1,D1838)),0), FactorTable!$A$2:$A$301,0), Skills!L11+1)</f>
        <v/>
      </c>
      <c r="F1838">
        <f>IF(Skills!M11=TRUE,(Skills!K11/10)*(E1838/1000),Skills!K11/10)+Skills!N11</f>
        <v/>
      </c>
      <c r="G1838">
        <f>Calc!G11</f>
        <v/>
      </c>
      <c r="H1838">
        <f>Calc!H11</f>
        <v/>
      </c>
      <c r="I1838">
        <f>IF(Skills!T11&lt;&gt;"",1+(Skills!T11/10)*($Z$3/1000)/100,1)</f>
        <v/>
      </c>
      <c r="J1838" t="inlineStr"/>
      <c r="K1838" t="inlineStr"/>
      <c r="L1838" t="inlineStr"/>
      <c r="M1838" t="inlineStr"/>
      <c r="N1838" t="inlineStr"/>
      <c r="O1838">
        <f>(1-Summary!$B$11)*S1838+Summary!$B$11*U1838</f>
        <v/>
      </c>
      <c r="P1838">
        <f>IF(B1870=0,0,O1838/B1870)</f>
        <v/>
      </c>
      <c r="Q1838">
        <f>IFERROR(1/(IF(Inputs!$B$39="pvp",15,MAX(0.1,Skills!D11-IF(Skills!E11=TRUE,Inputs!$B$33,0)))*(1-IF(AND(ArtifactsInput!$M$27,Inputs!$B$4="Chapter Hunt"),CHOOSE(ArtifactsInput!$N$27+1,20,24,28,32,36,40),0)/100)),0)</f>
        <v/>
      </c>
      <c r="R1838">
        <f>IF(AND(Inputs!$B$39&lt;&gt;"pvp",Inputs!$B$44&gt;0),IF(Inputs!$B$44&lt;=0,0,(INT(Inputs!$B$44/(IF(Inputs!$B$39="pvp",15,MAX(0.1,Skills!D11-IF(Skills!E11=TRUE,Inputs!$B$33,0)))*(1-IF(AND(ArtifactsInput!$M$27,Inputs!$B$4="Chapter Hunt"),CHOOSE(ArtifactsInput!$N$27+1,20,24,28,32,36,40),0)/100)))+1)),0)</f>
        <v/>
      </c>
      <c r="S1838" t="n">
        <v>0</v>
      </c>
      <c r="U1838" t="n">
        <v>0</v>
      </c>
    </row>
    <row r="1839">
      <c r="A1839">
        <f>Skills!A12</f>
        <v/>
      </c>
      <c r="B1839">
        <f>Skills!B12</f>
        <v/>
      </c>
      <c r="C1839">
        <f>Inputs!$B$3&gt;=72</f>
        <v/>
      </c>
      <c r="D1839">
        <f>IF(Skills!C12=1,60+Inputs!$B$26+Inputs!$B$30,IF(Skills!C12=2,90+Inputs!$B$27+Inputs!$B$30,IF(Skills!C12=3,120+Inputs!$B$28+Inputs!$B$30,MAX(0,(Inputs!$B$3-100)*3)+Inputs!$B$29+Inputs!$B$30)))</f>
        <v/>
      </c>
      <c r="E1839">
        <f>INDEX(FactorTable!$B$2:$Y$301, MATCH(ROUND(MIN(300,MAX(1,D1839)),0), FactorTable!$A$2:$A$301,0), Skills!L12+1)</f>
        <v/>
      </c>
      <c r="F1839">
        <f>IF(Skills!M12=TRUE,(Skills!K12/10)*(E1839/1000),Skills!K12/10)+Skills!N12</f>
        <v/>
      </c>
      <c r="G1839">
        <f>Calc!G12</f>
        <v/>
      </c>
      <c r="H1839">
        <f>Calc!H12</f>
        <v/>
      </c>
      <c r="I1839">
        <f>IF(Skills!T12&lt;&gt;"",1+(Skills!T12/10)*($Z$3/1000)/100,1)</f>
        <v/>
      </c>
      <c r="J1839" t="inlineStr"/>
      <c r="K1839" t="inlineStr"/>
      <c r="L1839" t="inlineStr"/>
      <c r="M1839" t="inlineStr"/>
      <c r="N1839" t="inlineStr"/>
      <c r="O1839">
        <f>(1-Summary!$B$11)*S1839+Summary!$B$11*U1839</f>
        <v/>
      </c>
      <c r="P1839">
        <f>IF(B1870=0,0,O1839/B1870)</f>
        <v/>
      </c>
      <c r="Q1839">
        <f>IFERROR(1/(IF(Inputs!$B$39="pvp",15,MAX(0.1,Skills!D12-IF(Skills!E12=TRUE,Inputs!$B$33,0)))*(1-IF(AND(ArtifactsInput!$M$27,Inputs!$B$4="Chapter Hunt"),CHOOSE(ArtifactsInput!$N$27+1,20,24,28,32,36,40),0)/100)),0)</f>
        <v/>
      </c>
      <c r="R1839">
        <f>IF(AND(Inputs!$B$39&lt;&gt;"pvp",Inputs!$B$44&gt;0),IF(MAX(0,Inputs!$B$44-B1867)&lt;=0,0,(INT(MAX(0,Inputs!$B$44-B1867)/(IF(Inputs!$B$39="pvp",15,MAX(0.1,Skills!D12-IF(Skills!E12=TRUE,Inputs!$B$33,0)))*(1-IF(AND(ArtifactsInput!$M$27,Inputs!$B$4="Chapter Hunt"),CHOOSE(ArtifactsInput!$N$27+1,20,24,28,32,36,40),0)/100)))+1)),0)</f>
        <v/>
      </c>
      <c r="S1839" t="n">
        <v>0</v>
      </c>
      <c r="U1839" t="n">
        <v>0</v>
      </c>
    </row>
    <row r="1840">
      <c r="A1840">
        <f>Skills!A13</f>
        <v/>
      </c>
      <c r="B1840">
        <f>Skills!B13</f>
        <v/>
      </c>
      <c r="C1840">
        <f>Inputs!$B$3&gt;=60</f>
        <v/>
      </c>
      <c r="D1840">
        <f>IF(Skills!C13=1,60+Inputs!$B$26+Inputs!$B$30,IF(Skills!C13=2,90+Inputs!$B$27+Inputs!$B$30,IF(Skills!C13=3,120+Inputs!$B$28+Inputs!$B$30,MAX(0,(Inputs!$B$3-100)*3)+Inputs!$B$29+Inputs!$B$30)))</f>
        <v/>
      </c>
      <c r="E1840">
        <f>INDEX(FactorTable!$B$2:$Y$301, MATCH(ROUND(MIN(300,MAX(1,D1840)),0), FactorTable!$A$2:$A$301,0), Skills!L13+1)</f>
        <v/>
      </c>
      <c r="F1840">
        <f>IF(Skills!M13=TRUE,(Skills!K13/10)*(E1840/1000),Skills!K13/10)+Skills!N13</f>
        <v/>
      </c>
      <c r="G1840">
        <f>Calc!G13</f>
        <v/>
      </c>
      <c r="H1840">
        <f>Calc!H13</f>
        <v/>
      </c>
      <c r="I1840">
        <f>IF(Skills!T13&lt;&gt;"",1+(Skills!T13/10)*($Z$3/1000)/100,1)</f>
        <v/>
      </c>
      <c r="J1840" t="inlineStr"/>
      <c r="K1840" t="inlineStr"/>
      <c r="L1840" t="inlineStr"/>
      <c r="M1840" t="inlineStr"/>
      <c r="N1840" t="inlineStr"/>
      <c r="O1840">
        <f>(1-Summary!$B$11)*S1840+Summary!$B$11*U1840</f>
        <v/>
      </c>
      <c r="P1840">
        <f>IF(B1870=0,0,O1840/B1870)</f>
        <v/>
      </c>
      <c r="Q1840">
        <f>IFERROR(1/(IF(Inputs!$B$39="pvp",15,MAX(0.1,Skills!D13-IF(Skills!E13=TRUE,Inputs!$B$33,0)))*(1-IF(AND(ArtifactsInput!$M$27,Inputs!$B$4="Chapter Hunt"),CHOOSE(ArtifactsInput!$N$27+1,20,24,28,32,36,40),0)/100)),0)</f>
        <v/>
      </c>
      <c r="R1840">
        <f>IF(AND(Inputs!$B$39&lt;&gt;"pvp",Inputs!$B$44&gt;0),IF(MAX(0,Inputs!$B$44-B1867)&lt;=0,0,(INT(MAX(0,Inputs!$B$44-B1867)/(IF(Inputs!$B$39="pvp",15,MAX(0.1,Skills!D13-IF(Skills!E13=TRUE,Inputs!$B$33,0)))*(1-IF(AND(ArtifactsInput!$M$27,Inputs!$B$4="Chapter Hunt"),CHOOSE(ArtifactsInput!$N$27+1,20,24,28,32,36,40),0)/100)))+1)),0)</f>
        <v/>
      </c>
      <c r="S1840" t="n">
        <v>0</v>
      </c>
      <c r="U1840" t="n">
        <v>0</v>
      </c>
    </row>
    <row r="1841">
      <c r="A1841">
        <f>Skills!A14</f>
        <v/>
      </c>
      <c r="B1841">
        <f>Skills!B14</f>
        <v/>
      </c>
      <c r="C1841">
        <f>Inputs!$B$3&gt;=107</f>
        <v/>
      </c>
      <c r="D1841">
        <f>IF(Skills!C14=1,60+Inputs!$B$26+Inputs!$B$30,IF(Skills!C14=2,90+Inputs!$B$27+Inputs!$B$30,IF(Skills!C14=3,120+Inputs!$B$28+Inputs!$B$30,MAX(0,(Inputs!$B$3-100)*3)+Inputs!$B$29+Inputs!$B$30)))</f>
        <v/>
      </c>
      <c r="E1841">
        <f>INDEX(FactorTable!$B$2:$Y$301, MATCH(ROUND(MIN(300,MAX(1,D1841)),0), FactorTable!$A$2:$A$301,0), Skills!L14+1)</f>
        <v/>
      </c>
      <c r="F1841">
        <f>IF(Skills!M14=TRUE,(Skills!K14/10)*(E1841/1000),Skills!K14/10)+Skills!N14</f>
        <v/>
      </c>
      <c r="G1841">
        <f>Calc!G14</f>
        <v/>
      </c>
      <c r="H1841">
        <f>Calc!H14</f>
        <v/>
      </c>
      <c r="I1841">
        <f>IF(Skills!T14&lt;&gt;"",1+(Skills!T14/10)*($Z$3/1000)/100,1)</f>
        <v/>
      </c>
      <c r="J1841" t="inlineStr"/>
      <c r="K1841" t="inlineStr"/>
      <c r="L1841" t="inlineStr"/>
      <c r="M1841" t="inlineStr"/>
      <c r="N1841" t="inlineStr"/>
      <c r="O1841">
        <f>(1-Summary!$B$11)*S1841+Summary!$B$11*U1841</f>
        <v/>
      </c>
      <c r="P1841">
        <f>IF(B1870=0,0,O1841/B1870)</f>
        <v/>
      </c>
      <c r="Q1841">
        <f>IFERROR(1/(IF(Inputs!$B$39="pvp",15,MAX(0.1,Skills!D14-IF(Skills!E14=TRUE,Inputs!$B$33,0)))*(1-IF(AND(ArtifactsInput!$M$27,Inputs!$B$4="Chapter Hunt"),CHOOSE(ArtifactsInput!$N$27+1,20,24,28,32,36,40),0)/100)),0)</f>
        <v/>
      </c>
      <c r="R1841">
        <f>IF(AND(Inputs!$B$39&lt;&gt;"pvp",Inputs!$B$44&gt;0),IF(Inputs!$B$44&lt;=0,0,(INT(Inputs!$B$44/(IF(Inputs!$B$39="pvp",15,MAX(0.1,Skills!D14-IF(Skills!E14=TRUE,Inputs!$B$33,0)))*(1-IF(AND(ArtifactsInput!$M$27,Inputs!$B$4="Chapter Hunt"),CHOOSE(ArtifactsInput!$N$27+1,20,24,28,32,36,40),0)/100)))+1)),0)</f>
        <v/>
      </c>
      <c r="S1841" t="n">
        <v>0</v>
      </c>
      <c r="U1841" t="n">
        <v>0</v>
      </c>
    </row>
    <row r="1842">
      <c r="A1842">
        <f>Skills!A15</f>
        <v/>
      </c>
      <c r="B1842">
        <f>Skills!B15</f>
        <v/>
      </c>
      <c r="C1842">
        <f>Inputs!$B$3&gt;=63</f>
        <v/>
      </c>
      <c r="D1842">
        <f>IF(Skills!C15=1,60+Inputs!$B$26+Inputs!$B$30,IF(Skills!C15=2,90+Inputs!$B$27+Inputs!$B$30,IF(Skills!C15=3,120+Inputs!$B$28+Inputs!$B$30,MAX(0,(Inputs!$B$3-100)*3)+Inputs!$B$29+Inputs!$B$30)))</f>
        <v/>
      </c>
      <c r="E1842">
        <f>INDEX(FactorTable!$B$2:$Y$301, MATCH(ROUND(MIN(300,MAX(1,D1842)),0), FactorTable!$A$2:$A$301,0), Skills!L15+1)</f>
        <v/>
      </c>
      <c r="F1842">
        <f>IF(Skills!M15=TRUE,(Skills!K15/10)*(E1842/1000),Skills!K15/10)+Skills!N15</f>
        <v/>
      </c>
      <c r="G1842">
        <f>Calc!G15</f>
        <v/>
      </c>
      <c r="H1842">
        <f>Calc!H15</f>
        <v/>
      </c>
      <c r="I1842">
        <f>IF(Skills!T15&lt;&gt;"",1+(Skills!T15/10)*($Z$3/1000)/100,1)</f>
        <v/>
      </c>
      <c r="J1842">
        <f>((Inputs!$B$6*(1+Inputs!$B$7/100))+(((Inputs!$B$13*(1+Inputs!$B$14/100))-(Inputs!$B$13*(1+Inputs!$B$14/100)))+0.25*(Inputs!$B$15-Inputs!$B$15))*(1+Inputs!$B$7/100))*(F1842/100)</f>
        <v/>
      </c>
      <c r="K1842">
        <f>J1842*(1+(((Inputs!$B$13+IF(Inputs!$B$3&gt;=35,(10*INDEX(FactorTable!$B$2:$Y$301,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15="TRIUMPH_FEATHER",IF(C1843=TRUE,F1843,0),0)/100)*(1+IF(C1854=TRUE,F1854,0)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1842)</f>
        <v/>
      </c>
      <c r="L1842">
        <f>K1842*(MIN(Inputs!$B$23+(F1849-Calc!F22),(Inputs!$B$24+IF(ArtifactsInput!$M$15,CHOOSE(ArtifactsInput!$N$15+1,25,30,35,40,45,50)/100*(Inputs!$B$12-Inputs!$B$12),0)))/100+(Inputs!$B$24+IF(ArtifactsInput!$M$15,CHOOSE(ArtifactsInput!$N$15+1,25,30,35,40,45,50)/100*(Inputs!$B$12-Inputs!$B$12),0))/100)/2</f>
        <v/>
      </c>
      <c r="M1842">
        <f>L1842*(1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2">
        <f>L1842*(1-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(1-Summary!$B$11)*S1842+Summary!$B$11*U1842</f>
        <v/>
      </c>
      <c r="P1842">
        <f>IF(B1870=0,0,O1842/B1870)</f>
        <v/>
      </c>
      <c r="Q1842">
        <f>IFERROR(1/(IF(Inputs!$B$39="pvp",15,MAX(0.1,Skills!D15-IF(Skills!E15=TRUE,Inputs!$B$33,0)))*(1-IF(AND(ArtifactsInput!$M$27,Inputs!$B$4="Chapter Hunt"),CHOOSE(ArtifactsInput!$N$27+1,20,24,28,32,36,40),0)/100)),0)</f>
        <v/>
      </c>
      <c r="R1842" t="n">
        <v>0</v>
      </c>
      <c r="S1842">
        <f>IF(C1842,(Skills!F15*N1842*((IF(Inputs!$B$3&gt;=78,25,15)/100*B1863*10)/(1+IF(Inputs!$B$3&gt;=78,25,15)/100*B1863*10))*(Skills!I15/100*B1863)/(1+Skills!G15*Skills!I15/100*B1863))*IF(Inputs!$B$39="pvp",1,1+(Inputs!$B$21+Skills!O15+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1842*(1-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2">
        <f>IF(C1842,(Skills!F15*N1842*((IF(Inputs!$B$3&gt;=78,25,15)/100*B1863*10)/(1+IF(Inputs!$B$3&gt;=78,25,15)/100*B1863*10))*(Skills!I15/100*B1863)/(1+Skills!G15*Skills!I15/100*B1863))*IF(Inputs!$B$39="pvp",1,(1+(Inputs!$B$22+Skills!P15+B1859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Skills!A16</f>
        <v/>
      </c>
      <c r="B1843">
        <f>Skills!B16</f>
        <v/>
      </c>
      <c r="C1843">
        <f>Inputs!$B$3&gt;=100</f>
        <v/>
      </c>
      <c r="D1843">
        <f>IF(Skills!C16=1,60+Inputs!$B$26+Inputs!$B$30,IF(Skills!C16=2,90+Inputs!$B$27+Inputs!$B$30,IF(Skills!C16=3,120+Inputs!$B$28+Inputs!$B$30,MAX(0,(Inputs!$B$3-100)*3)+Inputs!$B$29+Inputs!$B$30)))</f>
        <v/>
      </c>
      <c r="E1843">
        <f>INDEX(FactorTable!$B$2:$Y$301, MATCH(ROUND(MIN(300,MAX(1,D1843)),0), FactorTable!$A$2:$A$301,0), Skills!L16+1)</f>
        <v/>
      </c>
      <c r="F1843">
        <f>IF(Skills!M16=TRUE,(Skills!K16/10)*(E1843/1000),Skills!K16/10)+Skills!N16</f>
        <v/>
      </c>
      <c r="G1843">
        <f>Calc!G16</f>
        <v/>
      </c>
      <c r="H1843">
        <f>Calc!H16</f>
        <v/>
      </c>
      <c r="I1843">
        <f>IF(Skills!T16&lt;&gt;"",1+(Skills!T16/10)*($Z$3/1000)/100,1)</f>
        <v/>
      </c>
      <c r="J1843" t="inlineStr"/>
      <c r="K1843" t="inlineStr"/>
      <c r="L1843" t="inlineStr"/>
      <c r="M1843" t="inlineStr"/>
      <c r="N1843" t="inlineStr"/>
      <c r="O1843">
        <f>(1-Summary!$B$11)*S1843+Summary!$B$11*U1843</f>
        <v/>
      </c>
      <c r="P1843">
        <f>IF(B1870=0,0,O1843/B1870)</f>
        <v/>
      </c>
      <c r="Q1843">
        <f>IFERROR(1/(IF(Inputs!$B$39="pvp",15,MAX(0.1,Skills!D16-IF(Skills!E16=TRUE,Inputs!$B$33,0)))*(1-IF(AND(ArtifactsInput!$M$27,Inputs!$B$4="Chapter Hunt"),CHOOSE(ArtifactsInput!$N$27+1,20,24,28,32,36,40),0)/100)),0)</f>
        <v/>
      </c>
      <c r="R1843" t="n">
        <v>0</v>
      </c>
      <c r="S1843" t="n">
        <v>0</v>
      </c>
      <c r="U1843" t="n">
        <v>0</v>
      </c>
    </row>
    <row r="1844">
      <c r="A1844">
        <f>Skills!A17</f>
        <v/>
      </c>
      <c r="B1844">
        <f>Skills!B17</f>
        <v/>
      </c>
      <c r="C1844">
        <f>Inputs!$B$3&gt;=49</f>
        <v/>
      </c>
      <c r="D1844">
        <f>IF(Skills!C17=1,60+Inputs!$B$26+Inputs!$B$30,IF(Skills!C17=2,90+Inputs!$B$27+Inputs!$B$30,IF(Skills!C17=3,120+Inputs!$B$28+Inputs!$B$30,MAX(0,(Inputs!$B$3-100)*3)+Inputs!$B$29+Inputs!$B$30)))</f>
        <v/>
      </c>
      <c r="E1844">
        <f>INDEX(FactorTable!$B$2:$Y$301, MATCH(ROUND(MIN(300,MAX(1,D1844)),0), FactorTable!$A$2:$A$301,0), Skills!L17+1)</f>
        <v/>
      </c>
      <c r="F1844">
        <f>IF(Skills!M17=TRUE,(Skills!K17/10)*(E1844/1000),Skills!K17/10)+Skills!N17</f>
        <v/>
      </c>
      <c r="G1844">
        <f>Calc!G17</f>
        <v/>
      </c>
      <c r="H1844">
        <f>Calc!H17</f>
        <v/>
      </c>
      <c r="I1844">
        <f>IF(Skills!T17&lt;&gt;"",1+(Skills!T17/10)*($Z$3/1000)/100,1)</f>
        <v/>
      </c>
      <c r="J1844" t="inlineStr"/>
      <c r="K1844" t="inlineStr"/>
      <c r="L1844" t="inlineStr"/>
      <c r="M1844" t="inlineStr"/>
      <c r="N1844" t="inlineStr"/>
      <c r="O1844">
        <f>(1-Summary!$B$11)*S1844+Summary!$B$11*U1844</f>
        <v/>
      </c>
      <c r="P1844">
        <f>IF(B1870=0,0,O1844/B1870)</f>
        <v/>
      </c>
      <c r="Q1844">
        <f>IFERROR(1/(IF(Inputs!$B$39="pvp",15,MAX(0.1,Skills!D17-IF(Skills!E17=TRUE,Inputs!$B$33,0)))*(1-IF(AND(ArtifactsInput!$M$27,Inputs!$B$4="Chapter Hunt"),CHOOSE(ArtifactsInput!$N$27+1,20,24,28,32,36,40),0)/100)),0)</f>
        <v/>
      </c>
      <c r="R1844" t="n">
        <v>0</v>
      </c>
      <c r="S1844" t="n">
        <v>0</v>
      </c>
      <c r="U1844" t="n">
        <v>0</v>
      </c>
    </row>
    <row r="1845">
      <c r="A1845">
        <f>Skills!A18</f>
        <v/>
      </c>
      <c r="B1845">
        <f>Skills!B18</f>
        <v/>
      </c>
      <c r="C1845">
        <f>Inputs!$B$3&gt;=75</f>
        <v/>
      </c>
      <c r="D1845">
        <f>IF(Skills!C18=1,60+Inputs!$B$26+Inputs!$B$30,IF(Skills!C18=2,90+Inputs!$B$27+Inputs!$B$30,IF(Skills!C18=3,120+Inputs!$B$28+Inputs!$B$30,MAX(0,(Inputs!$B$3-100)*3)+Inputs!$B$29+Inputs!$B$30)))</f>
        <v/>
      </c>
      <c r="E1845">
        <f>INDEX(FactorTable!$B$2:$Y$301, MATCH(ROUND(MIN(300,MAX(1,D1845)),0), FactorTable!$A$2:$A$301,0), Skills!L18+1)</f>
        <v/>
      </c>
      <c r="F1845">
        <f>IF(Skills!M18=TRUE,(Skills!K18/10)*(E1845/1000),Skills!K18/10)+Skills!N18</f>
        <v/>
      </c>
      <c r="G1845">
        <f>Calc!G18</f>
        <v/>
      </c>
      <c r="H1845">
        <f>Calc!H18</f>
        <v/>
      </c>
      <c r="I1845">
        <f>IF(Skills!T18&lt;&gt;"",1+(Skills!T18/10)*($Z$3/1000)/100,1)</f>
        <v/>
      </c>
      <c r="J1845" t="inlineStr"/>
      <c r="K1845" t="inlineStr"/>
      <c r="L1845" t="inlineStr"/>
      <c r="M1845" t="inlineStr"/>
      <c r="N1845" t="inlineStr"/>
      <c r="O1845">
        <f>(1-Summary!$B$11)*S1845+Summary!$B$11*U1845</f>
        <v/>
      </c>
      <c r="P1845">
        <f>IF(B1870=0,0,O1845/B1870)</f>
        <v/>
      </c>
      <c r="Q1845">
        <f>IFERROR(1/(IF(Inputs!$B$39="pvp",15,MAX(0.1,Skills!D18-IF(Skills!E18=TRUE,Inputs!$B$33,0)))*(1-IF(AND(ArtifactsInput!$M$27,Inputs!$B$4="Chapter Hunt"),CHOOSE(ArtifactsInput!$N$27+1,20,24,28,32,36,40),0)/100)),0)</f>
        <v/>
      </c>
      <c r="R1845" t="n">
        <v>0</v>
      </c>
      <c r="S1845" t="n">
        <v>0</v>
      </c>
      <c r="U1845" t="n">
        <v>0</v>
      </c>
    </row>
    <row r="1846">
      <c r="A1846">
        <f>Skills!A19</f>
        <v/>
      </c>
      <c r="B1846">
        <f>Skills!B19</f>
        <v/>
      </c>
      <c r="C1846">
        <f>Inputs!$B$3&gt;=110</f>
        <v/>
      </c>
      <c r="D1846">
        <f>IF(Skills!C19=1,60+Inputs!$B$26+Inputs!$B$30,IF(Skills!C19=2,90+Inputs!$B$27+Inputs!$B$30,IF(Skills!C19=3,120+Inputs!$B$28+Inputs!$B$30,MAX(0,(Inputs!$B$3-100)*3)+Inputs!$B$29+Inputs!$B$30)))</f>
        <v/>
      </c>
      <c r="E1846">
        <f>INDEX(FactorTable!$B$2:$Y$301, MATCH(ROUND(MIN(300,MAX(1,D1846)),0), FactorTable!$A$2:$A$301,0), Skills!L19+1)</f>
        <v/>
      </c>
      <c r="F1846">
        <f>(Skills!K19/10)*(E1846/1000)*64/45+Skills!N19</f>
        <v/>
      </c>
      <c r="G1846">
        <f>Calc!G19</f>
        <v/>
      </c>
      <c r="H1846">
        <f>Calc!H19</f>
        <v/>
      </c>
      <c r="I1846">
        <f>IF(Skills!T19&lt;&gt;"",1+(Skills!T19/10)*($Z$3/1000)/100,1)</f>
        <v/>
      </c>
      <c r="J1846" t="inlineStr"/>
      <c r="K1846" t="inlineStr"/>
      <c r="L1846" t="inlineStr"/>
      <c r="M1846" t="inlineStr"/>
      <c r="N1846" t="inlineStr"/>
      <c r="O1846">
        <f>(1-Summary!$B$11)*S1846+Summary!$B$11*U1846</f>
        <v/>
      </c>
      <c r="P1846">
        <f>IF(B1870=0,0,O1846/B1870)</f>
        <v/>
      </c>
      <c r="Q1846">
        <f>IFERROR(1/(IF(Inputs!$B$39="pvp",15,MAX(0.1,Skills!D19-IF(Skills!E19=TRUE,Inputs!$B$33,0)))*(1-IF(AND(ArtifactsInput!$M$27,Inputs!$B$4="Chapter Hunt"),CHOOSE(ArtifactsInput!$N$27+1,20,24,28,32,36,40),0)/100)),0)</f>
        <v/>
      </c>
      <c r="R1846">
        <f>IF(AND(Inputs!$B$39&lt;&gt;"pvp",Inputs!$B$44&gt;0),IF(Inputs!$B$44&lt;=0,0,(INT(Inputs!$B$44/(IF(Inputs!$B$39="pvp",15,MAX(0.1,Skills!D19-IF(Skills!E19=TRUE,Inputs!$B$33,0)))*(1-IF(AND(ArtifactsInput!$M$27,Inputs!$B$4="Chapter Hunt"),CHOOSE(ArtifactsInput!$N$27+1,20,24,28,32,36,40),0)/100)))+1)),0)</f>
        <v/>
      </c>
      <c r="S1846" t="n">
        <v>0</v>
      </c>
      <c r="U1846" t="n">
        <v>0</v>
      </c>
    </row>
    <row r="1847">
      <c r="A1847">
        <f>Skills!A20</f>
        <v/>
      </c>
      <c r="B1847">
        <f>Skills!B20</f>
        <v/>
      </c>
      <c r="C1847">
        <f>Inputs!$B$3&gt;=125</f>
        <v/>
      </c>
      <c r="D1847">
        <f>IF(Skills!C20=1,60+Inputs!$B$26+Inputs!$B$30,IF(Skills!C20=2,90+Inputs!$B$27+Inputs!$B$30,IF(Skills!C20=3,120+Inputs!$B$28+Inputs!$B$30,MAX(0,(Inputs!$B$3-100)*3)+Inputs!$B$29+Inputs!$B$30)))</f>
        <v/>
      </c>
      <c r="E1847">
        <f>INDEX(FactorTable!$B$2:$Y$301, MATCH(ROUND(MIN(300,MAX(1,D1847)),0), FactorTable!$A$2:$A$301,0), Skills!L20+1)</f>
        <v/>
      </c>
      <c r="F1847">
        <f>IF(Skills!M20=TRUE,(Skills!K20/10)*(E1847/1000),Skills!K20/10)+Skills!N20</f>
        <v/>
      </c>
      <c r="G1847">
        <f>Calc!G20</f>
        <v/>
      </c>
      <c r="H1847">
        <f>Calc!H20</f>
        <v/>
      </c>
      <c r="I1847">
        <f>IF(Skills!T20&lt;&gt;"",1+(Skills!T20/10)*($Z$3/1000)/100,1)</f>
        <v/>
      </c>
      <c r="J1847" t="inlineStr"/>
      <c r="K1847" t="inlineStr"/>
      <c r="L1847" t="inlineStr"/>
      <c r="M1847" t="inlineStr"/>
      <c r="N1847" t="inlineStr"/>
      <c r="O1847">
        <f>(1-Summary!$B$11)*S1847+Summary!$B$11*U1847</f>
        <v/>
      </c>
      <c r="P1847">
        <f>IF(B1870=0,0,O1847/B1870)</f>
        <v/>
      </c>
      <c r="Q1847">
        <f>IFERROR(1/(IF(Inputs!$B$39="pvp",15,MAX(0.1,Skills!D20-IF(Skills!E20=TRUE,Inputs!$B$33,0)))*(1-IF(AND(ArtifactsInput!$M$27,Inputs!$B$4="Chapter Hunt"),CHOOSE(ArtifactsInput!$N$27+1,20,24,28,32,36,40),0)/100)),0)</f>
        <v/>
      </c>
      <c r="R1847" t="n">
        <v>0</v>
      </c>
      <c r="S1847" t="n">
        <v>0</v>
      </c>
      <c r="U1847" t="n">
        <v>0</v>
      </c>
    </row>
    <row r="1848">
      <c r="A1848">
        <f>Skills!A21</f>
        <v/>
      </c>
      <c r="B1848">
        <f>Skills!B21</f>
        <v/>
      </c>
      <c r="C1848">
        <f>Inputs!$B$3&gt;=33</f>
        <v/>
      </c>
      <c r="D1848">
        <f>IF(Skills!C21=1,60+Inputs!$B$26+Inputs!$B$30,IF(Skills!C21=2,90+Inputs!$B$27+Inputs!$B$30,IF(Skills!C21=3,120+Inputs!$B$28+Inputs!$B$30,MAX(0,(Inputs!$B$3-100)*3)+Inputs!$B$29+Inputs!$B$30)))</f>
        <v/>
      </c>
      <c r="E1848">
        <f>INDEX(FactorTable!$B$2:$Y$301, MATCH(ROUND(MIN(300,MAX(1,D1848)),0), FactorTable!$A$2:$A$301,0), Skills!L21+1)</f>
        <v/>
      </c>
      <c r="F1848">
        <f>IF(Skills!M21=TRUE,(Skills!K21/10)*(E1848/1000),Skills!K21/10)+Skills!N21</f>
        <v/>
      </c>
      <c r="G1848">
        <f>Calc!G21</f>
        <v/>
      </c>
      <c r="H1848">
        <f>Calc!H21</f>
        <v/>
      </c>
      <c r="I1848">
        <f>IF(Skills!T21&lt;&gt;"",1+(Skills!T21/10)*($Z$3/1000)/100,1)</f>
        <v/>
      </c>
      <c r="J1848" t="inlineStr"/>
      <c r="K1848" t="inlineStr"/>
      <c r="L1848" t="inlineStr"/>
      <c r="M1848" t="inlineStr"/>
      <c r="N1848" t="inlineStr"/>
      <c r="O1848">
        <f>(1-Summary!$B$11)*S1848+Summary!$B$11*U1848</f>
        <v/>
      </c>
      <c r="P1848">
        <f>IF(B1870=0,0,O1848/B1870)</f>
        <v/>
      </c>
      <c r="Q1848">
        <f>IFERROR(1/(IF(Inputs!$B$39="pvp",15,MAX(0.1,Skills!D21-IF(Skills!E21=TRUE,Inputs!$B$33,0)))*(1-IF(AND(ArtifactsInput!$M$27,Inputs!$B$4="Chapter Hunt"),CHOOSE(ArtifactsInput!$N$27+1,20,24,28,32,36,40),0)/100)),0)</f>
        <v/>
      </c>
      <c r="R1848" t="n">
        <v>0</v>
      </c>
      <c r="S1848" t="n">
        <v>0</v>
      </c>
      <c r="U1848" t="n">
        <v>0</v>
      </c>
    </row>
    <row r="1849">
      <c r="A1849">
        <f>Skills!A22</f>
        <v/>
      </c>
      <c r="B1849">
        <f>Skills!B22</f>
        <v/>
      </c>
      <c r="C1849">
        <f>Inputs!$B$3&gt;=43</f>
        <v/>
      </c>
      <c r="D1849">
        <f>IF(Skills!C22=1,60+Inputs!$B$26+Inputs!$B$30,IF(Skills!C22=2,90+Inputs!$B$27+Inputs!$B$30,IF(Skills!C22=3,120+Inputs!$B$28+Inputs!$B$30,MAX(0,(Inputs!$B$3-100)*3)+Inputs!$B$29+Inputs!$B$30)))</f>
        <v/>
      </c>
      <c r="E1849">
        <f>INDEX(FactorTable!$B$2:$Y$301, MATCH(ROUND(MIN(300,MAX(1,D1849)),0), FactorTable!$A$2:$A$301,0), Skills!L22+1)</f>
        <v/>
      </c>
      <c r="F1849">
        <f>IF(Skills!M22=TRUE,(Skills!K22/10)*(E1849/1000),Skills!K22/10)+Skills!N22</f>
        <v/>
      </c>
      <c r="G1849">
        <f>Calc!G22</f>
        <v/>
      </c>
      <c r="H1849">
        <f>Calc!H22</f>
        <v/>
      </c>
      <c r="I1849">
        <f>IF(Skills!T22&lt;&gt;"",1+(Skills!T22/10)*($Z$3/1000)/100,1)</f>
        <v/>
      </c>
      <c r="J1849" t="inlineStr"/>
      <c r="K1849" t="inlineStr"/>
      <c r="L1849" t="inlineStr"/>
      <c r="M1849" t="inlineStr"/>
      <c r="N1849" t="inlineStr"/>
      <c r="O1849">
        <f>(1-Summary!$B$11)*S1849+Summary!$B$11*U1849</f>
        <v/>
      </c>
      <c r="P1849">
        <f>IF(B1870=0,0,O1849/B1870)</f>
        <v/>
      </c>
      <c r="Q1849">
        <f>IFERROR(1/(IF(Inputs!$B$39="pvp",15,MAX(0.1,Skills!D22-IF(Skills!E22=TRUE,Inputs!$B$33,0)))*(1-IF(AND(ArtifactsInput!$M$27,Inputs!$B$4="Chapter Hunt"),CHOOSE(ArtifactsInput!$N$27+1,20,24,28,32,36,40),0)/100)),0)</f>
        <v/>
      </c>
      <c r="R1849" t="n">
        <v>0</v>
      </c>
      <c r="S1849" t="n">
        <v>0</v>
      </c>
      <c r="U1849" t="n">
        <v>0</v>
      </c>
    </row>
    <row r="1850">
      <c r="A1850">
        <f>Skills!A23</f>
        <v/>
      </c>
      <c r="B1850">
        <f>Skills!B23</f>
        <v/>
      </c>
      <c r="C1850">
        <f>Inputs!$B$3&gt;=50</f>
        <v/>
      </c>
      <c r="D1850">
        <f>IF(Skills!C23=1,60+Inputs!$B$26+Inputs!$B$30,IF(Skills!C23=2,90+Inputs!$B$27+Inputs!$B$30,IF(Skills!C23=3,120+Inputs!$B$28+Inputs!$B$30,MAX(0,(Inputs!$B$3-100)*3)+Inputs!$B$29+Inputs!$B$30)))</f>
        <v/>
      </c>
      <c r="E1850">
        <f>INDEX(FactorTable!$B$2:$Y$301, MATCH(ROUND(MIN(300,MAX(1,D1850)),0), FactorTable!$A$2:$A$301,0), Skills!L23+1)</f>
        <v/>
      </c>
      <c r="F1850">
        <f>IF(Skills!M23=TRUE,(Skills!K23/10)*(E1850/1000),Skills!K23/10)+Skills!N23</f>
        <v/>
      </c>
      <c r="G1850">
        <f>Calc!G23</f>
        <v/>
      </c>
      <c r="H1850">
        <f>Calc!H23</f>
        <v/>
      </c>
      <c r="I1850">
        <f>IF(Skills!T23&lt;&gt;"",1+(Skills!T23/10)*($Z$3/1000)/100,1)</f>
        <v/>
      </c>
      <c r="J1850" t="inlineStr"/>
      <c r="K1850" t="inlineStr"/>
      <c r="L1850" t="inlineStr"/>
      <c r="M1850" t="inlineStr"/>
      <c r="N1850" t="inlineStr"/>
      <c r="O1850">
        <f>(1-Summary!$B$11)*S1850+Summary!$B$11*U1850</f>
        <v/>
      </c>
      <c r="P1850">
        <f>IF(B1870=0,0,O1850/B1870)</f>
        <v/>
      </c>
      <c r="Q1850">
        <f>IFERROR(1/(IF(Inputs!$B$39="pvp",15,MAX(0.1,Skills!D23-IF(Skills!E23=TRUE,Inputs!$B$33,0)))*(1-IF(AND(ArtifactsInput!$M$27,Inputs!$B$4="Chapter Hunt"),CHOOSE(ArtifactsInput!$N$27+1,20,24,28,32,36,40),0)/100)),0)</f>
        <v/>
      </c>
      <c r="R1850" t="n">
        <v>0</v>
      </c>
      <c r="S1850" t="n">
        <v>0</v>
      </c>
      <c r="U1850" t="n">
        <v>0</v>
      </c>
    </row>
    <row r="1851">
      <c r="A1851">
        <f>Skills!A24</f>
        <v/>
      </c>
      <c r="B1851">
        <f>Skills!B24</f>
        <v/>
      </c>
      <c r="C1851">
        <f>Inputs!$B$3&gt;=74</f>
        <v/>
      </c>
      <c r="D1851">
        <f>IF(Skills!C24=1,60+Inputs!$B$26+Inputs!$B$30,IF(Skills!C24=2,90+Inputs!$B$27+Inputs!$B$30,IF(Skills!C24=3,120+Inputs!$B$28+Inputs!$B$30,MAX(0,(Inputs!$B$3-100)*3)+Inputs!$B$29+Inputs!$B$30)))</f>
        <v/>
      </c>
      <c r="E1851">
        <f>INDEX(FactorTable!$B$2:$Y$301, MATCH(ROUND(MIN(300,MAX(1,D1851)),0), FactorTable!$A$2:$A$301,0), Skills!L24+1)</f>
        <v/>
      </c>
      <c r="F1851">
        <f>IF(Skills!M24=TRUE,(Skills!K24/10)*(E1851/1000),Skills!K24/10)+Skills!N24</f>
        <v/>
      </c>
      <c r="G1851">
        <f>Calc!G24</f>
        <v/>
      </c>
      <c r="H1851">
        <f>Calc!H24</f>
        <v/>
      </c>
      <c r="I1851">
        <f>IF(Skills!T24&lt;&gt;"",1+(Skills!T24/10)*($Z$3/1000)/100,1)</f>
        <v/>
      </c>
      <c r="J1851" t="inlineStr"/>
      <c r="K1851" t="inlineStr"/>
      <c r="L1851" t="inlineStr"/>
      <c r="M1851" t="inlineStr"/>
      <c r="N1851" t="inlineStr"/>
      <c r="O1851">
        <f>(1-Summary!$B$11)*S1851+Summary!$B$11*U1851</f>
        <v/>
      </c>
      <c r="P1851">
        <f>IF(B1870=0,0,O1851/B1870)</f>
        <v/>
      </c>
      <c r="Q1851">
        <f>IFERROR(1/(IF(Inputs!$B$39="pvp",15,MAX(0.1,Skills!D24-IF(Skills!E24=TRUE,Inputs!$B$33,0)))*(1-IF(AND(ArtifactsInput!$M$27,Inputs!$B$4="Chapter Hunt"),CHOOSE(ArtifactsInput!$N$27+1,20,24,28,32,36,40),0)/100)),0)</f>
        <v/>
      </c>
      <c r="R1851" t="n">
        <v>0</v>
      </c>
      <c r="S1851" t="n">
        <v>0</v>
      </c>
      <c r="U1851" t="n">
        <v>0</v>
      </c>
    </row>
    <row r="1852">
      <c r="A1852">
        <f>Skills!A25</f>
        <v/>
      </c>
      <c r="B1852">
        <f>Skills!B25</f>
        <v/>
      </c>
      <c r="C1852">
        <f>Inputs!$B$3&gt;=74</f>
        <v/>
      </c>
      <c r="D1852">
        <f>IF(Skills!C25=1,60+Inputs!$B$26+Inputs!$B$30,IF(Skills!C25=2,90+Inputs!$B$27+Inputs!$B$30,IF(Skills!C25=3,120+Inputs!$B$28+Inputs!$B$30,MAX(0,(Inputs!$B$3-100)*3)+Inputs!$B$29+Inputs!$B$30)))</f>
        <v/>
      </c>
      <c r="E1852">
        <f>INDEX(FactorTable!$B$2:$Y$301, MATCH(ROUND(MIN(300,MAX(1,D1852)),0), FactorTable!$A$2:$A$301,0), Skills!L25+1)</f>
        <v/>
      </c>
      <c r="F1852">
        <f>IF(Skills!M25=TRUE,(Skills!K25/10)*(E1852/1000),Skills!K25/10)+Skills!N25</f>
        <v/>
      </c>
      <c r="G1852">
        <f>Calc!G25</f>
        <v/>
      </c>
      <c r="H1852">
        <f>Calc!H25</f>
        <v/>
      </c>
      <c r="I1852">
        <f>IF(Skills!T25&lt;&gt;"",1+(Skills!T25/10)*($Z$3/1000)/100,1)</f>
        <v/>
      </c>
      <c r="J1852" t="inlineStr"/>
      <c r="K1852" t="inlineStr"/>
      <c r="L1852" t="inlineStr"/>
      <c r="M1852" t="inlineStr"/>
      <c r="N1852" t="inlineStr"/>
      <c r="O1852">
        <f>(1-Summary!$B$11)*S1852+Summary!$B$11*U1852</f>
        <v/>
      </c>
      <c r="P1852">
        <f>IF(B1870=0,0,O1852/B1870)</f>
        <v/>
      </c>
      <c r="Q1852">
        <f>IFERROR(1/(IF(Inputs!$B$39="pvp",15,MAX(0.1,Skills!D25-IF(Skills!E25=TRUE,Inputs!$B$33,0)))*(1-IF(AND(ArtifactsInput!$M$27,Inputs!$B$4="Chapter Hunt"),CHOOSE(ArtifactsInput!$N$27+1,20,24,28,32,36,40),0)/100)),0)</f>
        <v/>
      </c>
      <c r="R1852" t="n">
        <v>0</v>
      </c>
      <c r="S1852" t="n">
        <v>0</v>
      </c>
      <c r="U1852" t="n">
        <v>0</v>
      </c>
    </row>
    <row r="1853">
      <c r="A1853">
        <f>Skills!A26</f>
        <v/>
      </c>
      <c r="B1853">
        <f>Skills!B26</f>
        <v/>
      </c>
      <c r="C1853">
        <f>Inputs!$B$3&gt;=117</f>
        <v/>
      </c>
      <c r="D1853">
        <f>IF(Skills!C26=1,60+Inputs!$B$26+Inputs!$B$30,IF(Skills!C26=2,90+Inputs!$B$27+Inputs!$B$30,IF(Skills!C26=3,120+Inputs!$B$28+Inputs!$B$30,MAX(0,(Inputs!$B$3-100)*3)+Inputs!$B$29+Inputs!$B$30)))</f>
        <v/>
      </c>
      <c r="E1853">
        <f>INDEX(FactorTable!$B$2:$Y$301, MATCH(ROUND(MIN(300,MAX(1,D1853)),0), FactorTable!$A$2:$A$301,0), Skills!L26+1)</f>
        <v/>
      </c>
      <c r="F1853">
        <f>IF(Skills!M26=TRUE,(Skills!K26/10)*(E1853/1000),Skills!K26/10)+Skills!N26</f>
        <v/>
      </c>
      <c r="G1853">
        <f>Calc!G26</f>
        <v/>
      </c>
      <c r="H1853">
        <f>Calc!H26</f>
        <v/>
      </c>
      <c r="I1853">
        <f>IF(Skills!T26&lt;&gt;"",1+(Skills!T26/10)*($Z$3/1000)/100,1)</f>
        <v/>
      </c>
      <c r="J1853" t="inlineStr"/>
      <c r="K1853" t="inlineStr"/>
      <c r="L1853" t="inlineStr"/>
      <c r="M1853" t="inlineStr"/>
      <c r="N1853" t="inlineStr"/>
      <c r="O1853">
        <f>(1-Summary!$B$11)*S1853+Summary!$B$11*U1853</f>
        <v/>
      </c>
      <c r="P1853">
        <f>IF(B1870=0,0,O1853/B1870)</f>
        <v/>
      </c>
      <c r="Q1853">
        <f>IFERROR(1/(IF(Inputs!$B$39="pvp",15,MAX(0.1,Skills!D26-IF(Skills!E26=TRUE,Inputs!$B$33,0)))*(1-IF(AND(ArtifactsInput!$M$27,Inputs!$B$4="Chapter Hunt"),CHOOSE(ArtifactsInput!$N$27+1,20,24,28,32,36,40),0)/100)),0)</f>
        <v/>
      </c>
      <c r="R1853" t="n">
        <v>0</v>
      </c>
      <c r="S1853" t="n">
        <v>0</v>
      </c>
      <c r="U1853" t="n">
        <v>0</v>
      </c>
    </row>
    <row r="1854">
      <c r="A1854">
        <f>Skills!A27</f>
        <v/>
      </c>
      <c r="B1854">
        <f>Skills!B27</f>
        <v/>
      </c>
      <c r="C1854">
        <f>Inputs!$B$3&gt;=120</f>
        <v/>
      </c>
      <c r="D1854">
        <f>IF(Skills!C27=1,60+Inputs!$B$26+Inputs!$B$30,IF(Skills!C27=2,90+Inputs!$B$27+Inputs!$B$30,IF(Skills!C27=3,120+Inputs!$B$28+Inputs!$B$30,MAX(0,(Inputs!$B$3-100)*3)+Inputs!$B$29+Inputs!$B$30)))</f>
        <v/>
      </c>
      <c r="E1854">
        <f>INDEX(FactorTable!$B$2:$Y$301, MATCH(ROUND(MIN(300,MAX(1,D1854)),0), FactorTable!$A$2:$A$301,0), Skills!L27+1)</f>
        <v/>
      </c>
      <c r="F1854">
        <f>IF(Skills!M27=TRUE,(Skills!K27/10)*(E1854/1000),Skills!K27/10)+Skills!N27</f>
        <v/>
      </c>
      <c r="G1854">
        <f>Calc!G27</f>
        <v/>
      </c>
      <c r="H1854">
        <f>Calc!H27</f>
        <v/>
      </c>
      <c r="I1854">
        <f>IF(Skills!T27&lt;&gt;"",1+(Skills!T27/10)*($Z$3/1000)/100,1)</f>
        <v/>
      </c>
      <c r="J1854" t="inlineStr"/>
      <c r="K1854" t="inlineStr"/>
      <c r="L1854" t="inlineStr"/>
      <c r="M1854" t="inlineStr"/>
      <c r="N1854" t="inlineStr"/>
      <c r="O1854">
        <f>(1-Summary!$B$11)*S1854+Summary!$B$11*U1854</f>
        <v/>
      </c>
      <c r="P1854">
        <f>IF(B1870=0,0,O1854/B1870)</f>
        <v/>
      </c>
      <c r="Q1854">
        <f>IFERROR(1/(IF(Inputs!$B$39="pvp",15,MAX(0.1,Skills!D27-IF(Skills!E27=TRUE,Inputs!$B$33,0)))*(1-IF(AND(ArtifactsInput!$M$27,Inputs!$B$4="Chapter Hunt"),CHOOSE(ArtifactsInput!$N$27+1,20,24,28,32,36,40),0)/100)),0)</f>
        <v/>
      </c>
      <c r="R1854" t="n">
        <v>0</v>
      </c>
      <c r="S1854" t="n">
        <v>0</v>
      </c>
      <c r="U1854" t="n">
        <v>0</v>
      </c>
    </row>
    <row r="1855">
      <c r="A1855">
        <f>Skills!A28</f>
        <v/>
      </c>
      <c r="B1855">
        <f>Skills!B28</f>
        <v/>
      </c>
      <c r="C1855">
        <f>TRUE</f>
        <v/>
      </c>
      <c r="D1855">
        <f>IF(Skills!C28=1,60+Inputs!$B$26+Inputs!$B$30,IF(Skills!C28=2,90+Inputs!$B$27+Inputs!$B$30,IF(Skills!C28=3,120+Inputs!$B$28+Inputs!$B$30,MAX(0,(Inputs!$B$3-100)*3)+Inputs!$B$29+Inputs!$B$30)))</f>
        <v/>
      </c>
      <c r="E1855">
        <f>INDEX(FactorTable!$B$2:$Y$301, MATCH(ROUND(MIN(300,MAX(1,D1855)),0), FactorTable!$A$2:$A$301,0), Skills!L28+1)</f>
        <v/>
      </c>
      <c r="F1855">
        <f>IF(Skills!M28=TRUE,(Skills!K28/10)*(E1855/1000),Skills!K28/10)+Skills!N28</f>
        <v/>
      </c>
      <c r="G1855">
        <f>Calc!G28</f>
        <v/>
      </c>
      <c r="H1855">
        <f>Calc!H28</f>
        <v/>
      </c>
      <c r="I1855">
        <f>IF(Skills!T28&lt;&gt;"",1+(Skills!T28/10)*($Z$3/1000)/100,1)</f>
        <v/>
      </c>
      <c r="J1855" t="inlineStr"/>
      <c r="K1855" t="inlineStr"/>
      <c r="L1855" t="inlineStr"/>
      <c r="M1855" t="inlineStr"/>
      <c r="N1855" t="inlineStr"/>
      <c r="O1855">
        <f>(1-Summary!$B$11)*S1855+Summary!$B$11*U1855</f>
        <v/>
      </c>
      <c r="P1855">
        <f>IF(B1870=0,0,O1855/B1870)</f>
        <v/>
      </c>
      <c r="Q1855">
        <f>IFERROR(1/(IF(Inputs!$B$39="pvp",15,MAX(0.1,Skills!D28-IF(Skills!E28=TRUE,Inputs!$B$33,0)))*(1-IF(AND(ArtifactsInput!$M$27,Inputs!$B$4="Chapter Hunt"),CHOOSE(ArtifactsInput!$N$27+1,20,24,28,32,36,40),0)/100)),0)</f>
        <v/>
      </c>
      <c r="R1855">
        <f>IF(AND(Inputs!$B$39&lt;&gt;"pvp",Inputs!$B$44&gt;0),IF(Inputs!$B$44&lt;=0,0,(INT(Inputs!$B$44/(IF(Inputs!$B$39="pvp",15,MAX(0.1,Skills!D28-IF(Skills!E28=TRUE,Inputs!$B$33,0)))*(1-IF(AND(ArtifactsInput!$M$27,Inputs!$B$4="Chapter Hunt"),CHOOSE(ArtifactsInput!$N$27+1,20,24,28,32,36,40),0)/100)))+1)),0)</f>
        <v/>
      </c>
      <c r="S1855" t="n">
        <v>0</v>
      </c>
      <c r="U1855" t="n">
        <v>0</v>
      </c>
    </row>
    <row r="1857">
      <c r="A1857" t="inlineStr">
        <is>
          <t>Average Buff Multiplier</t>
        </is>
      </c>
      <c r="B1857">
        <f>(1+(IF(C1830=TRUE,F1830*IF(AND(Inputs!$B$39&lt;&gt;"pvp",Inputs!$B$44&gt;0),(((R1830-1)*(Skills!S3*(1+((Inputs!$B$35+(ArtifactsInput!$M$7-ArtifactsInput!$M$7)*CHOOSE(ArtifactsInput!$N$7+1,6,7.2,8.4,9.6,10.8,12))+IF(Inputs!$B$3&gt;=117,F1853,0))/100))+MIN((Skills!S3*(1+((Inputs!$B$35+(ArtifactsInput!$M$7-ArtifactsInput!$M$7)*CHOOSE(ArtifactsInput!$N$7+1,6,7.2,8.4,9.6,10.8,12))+IF(Inputs!$B$3&gt;=117,F1853,0))/100)),MAX(0,Inputs!$B$44-((R1830-1)*Skills!D3))))/Inputs!$B$44),IF(Inputs!$B$39="pvp",MIN((Skills!S3*(1+((Inputs!$B$35+(ArtifactsInput!$M$7-ArtifactsInput!$M$7)*CHOOSE(ArtifactsInput!$N$7+1,6,7.2,8.4,9.6,10.8,12))+IF(Inputs!$B$3&gt;=117,F1853,0))/100)),15)/15,(Skills!S3*(1+((Inputs!$B$35+(ArtifactsInput!$M$7-ArtifactsInput!$M$7)*CHOOSE(ArtifactsInput!$N$7+1,6,7.2,8.4,9.6,10.8,12))+IF(Inputs!$B$3&gt;=117,F1853,0))/100))/Skills!D3)),0)+IF(C1831=TRUE,F1831*IF(AND(Inputs!$B$39&lt;&gt;"pvp",Inputs!$B$44&gt;0),(((R1831-1)*(Skills!S4*(1+((Inputs!$B$35+(ArtifactsInput!$M$7-ArtifactsInput!$M$7)*CHOOSE(ArtifactsInput!$N$7+1,6,7.2,8.4,9.6,10.8,12))+IF(Inputs!$B$3&gt;=117,F1853,0))/100))+MIN((Skills!S4*(1+((Inputs!$B$35+(ArtifactsInput!$M$7-ArtifactsInput!$M$7)*CHOOSE(ArtifactsInput!$N$7+1,6,7.2,8.4,9.6,10.8,12))+IF(Inputs!$B$3&gt;=117,F1853,0))/100)),MAX(0,Inputs!$B$44-((R1831-1)*Skills!D4))))/Inputs!$B$44),IF(Inputs!$B$39="pvp",MIN((Skills!S4*(1+((Inputs!$B$35+(ArtifactsInput!$M$7-ArtifactsInput!$M$7)*CHOOSE(ArtifactsInput!$N$7+1,6,7.2,8.4,9.6,10.8,12))+IF(Inputs!$B$3&gt;=117,F1853,0))/100)),15)/15,(Skills!S4*(1+((Inputs!$B$35+(ArtifactsInput!$M$7-ArtifactsInput!$M$7)*CHOOSE(ArtifactsInput!$N$7+1,6,7.2,8.4,9.6,10.8,12))+IF(Inputs!$B$3&gt;=117,F1853,0))/100))/Skills!D4)),0)+IF(C1832=TRUE,F1832*IF(AND(Inputs!$B$39&lt;&gt;"pvp",Inputs!$B$44&gt;0),(((R1832-1)*(Skills!S5*(1+((Inputs!$B$35+(ArtifactsInput!$M$7-ArtifactsInput!$M$7)*CHOOSE(ArtifactsInput!$N$7+1,6,7.2,8.4,9.6,10.8,12))+IF(Inputs!$B$3&gt;=117,F1853,0))/100))+MIN((Skills!S5*(1+((Inputs!$B$35+(ArtifactsInput!$M$7-ArtifactsInput!$M$7)*CHOOSE(ArtifactsInput!$N$7+1,6,7.2,8.4,9.6,10.8,12))+IF(Inputs!$B$3&gt;=117,F1853,0))/100)),MAX(0,Inputs!$B$44-((R1832-1)*Skills!D5))))/Inputs!$B$44),IF(Inputs!$B$39="pvp",MIN((Skills!S5*(1+((Inputs!$B$35+(ArtifactsInput!$M$7-ArtifactsInput!$M$7)*CHOOSE(ArtifactsInput!$N$7+1,6,7.2,8.4,9.6,10.8,12))+IF(Inputs!$B$3&gt;=117,F1853,0))/100)),15)/15,(Skills!S5*(1+((Inputs!$B$35+(ArtifactsInput!$M$7-ArtifactsInput!$M$7)*CHOOSE(ArtifactsInput!$N$7+1,6,7.2,8.4,9.6,10.8,12))+IF(Inputs!$B$3&gt;=117,F1853,0))/100))/Skills!D5)),0)+IF(C1838=TRUE,F1838*IF(AND(Inputs!$B$39&lt;&gt;"pvp",Inputs!$B$44&gt;0),(((R1838-1)*(Skills!S11*(1+((Inputs!$B$35+(ArtifactsInput!$M$7-ArtifactsInput!$M$7)*CHOOSE(ArtifactsInput!$N$7+1,6,7.2,8.4,9.6,10.8,12))+IF(Inputs!$B$3&gt;=117,F1853,0))/100))+MIN((Skills!S11*(1+((Inputs!$B$35+(ArtifactsInput!$M$7-ArtifactsInput!$M$7)*CHOOSE(ArtifactsInput!$N$7+1,6,7.2,8.4,9.6,10.8,12))+IF(Inputs!$B$3&gt;=117,F1853,0))/100)),MAX(0,Inputs!$B$44-((R1838-1)*Skills!D11))))/Inputs!$B$44),IF(Inputs!$B$39="pvp",MIN((Skills!S11*(1+((Inputs!$B$35+(ArtifactsInput!$M$7-ArtifactsInput!$M$7)*CHOOSE(ArtifactsInput!$N$7+1,6,7.2,8.4,9.6,10.8,12))+IF(Inputs!$B$3&gt;=117,F1853,0))/100)),15)/15,(Skills!S11*(1+((Inputs!$B$35+(ArtifactsInput!$M$7-ArtifactsInput!$M$7)*CHOOSE(ArtifactsInput!$N$7+1,6,7.2,8.4,9.6,10.8,12))+IF(Inputs!$B$3&gt;=117,F1853,0)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1841=TRUE,(1+F1841*IF(AND(Inputs!$B$39&lt;&gt;"pvp",Inputs!$B$44&gt;0),(((R1841-1)*(Skills!S14*(1+((Inputs!$B$35+(ArtifactsInput!$M$7-ArtifactsInput!$M$7)*CHOOSE(ArtifactsInput!$N$7+1,6,7.2,8.4,9.6,10.8,12))+IF(Inputs!$B$3&gt;=117,F1853,0))/100))+MIN((Skills!S14*(1+((Inputs!$B$35+(ArtifactsInput!$M$7-ArtifactsInput!$M$7)*CHOOSE(ArtifactsInput!$N$7+1,6,7.2,8.4,9.6,10.8,12))+IF(Inputs!$B$3&gt;=117,F1853,0))/100)),MAX(0,Inputs!$B$44-((R1841-1)*Skills!D14))))/Inputs!$B$44),IF(Inputs!$B$39="pvp",MIN((Skills!S14*(1+((Inputs!$B$35+(ArtifactsInput!$M$7-ArtifactsInput!$M$7)*CHOOSE(ArtifactsInput!$N$7+1,6,7.2,8.4,9.6,10.8,12))+IF(Inputs!$B$3&gt;=117,F1853,0))/100)),15)/15,(Skills!S14*(1+((Inputs!$B$35+(ArtifactsInput!$M$7-ArtifactsInput!$M$7)*CHOOSE(ArtifactsInput!$N$7+1,6,7.2,8.4,9.6,10.8,12))+IF(Inputs!$B$3&gt;=117,F1853,0))/100))/Skills!D14))/100),1)*IF(C1846=TRUE,(1+F1846*IF(AND(Inputs!$B$39&lt;&gt;"pvp",Inputs!$B$44&gt;0),(((R1846-1)*(Skills!S19*(1+((Inputs!$B$35+(ArtifactsInput!$M$7-ArtifactsInput!$M$7)*CHOOSE(ArtifactsInput!$N$7+1,6,7.2,8.4,9.6,10.8,12))+IF(Inputs!$B$3&gt;=117,F1853,0))/100))+MIN((Skills!S19*(1+((Inputs!$B$35+(ArtifactsInput!$M$7-ArtifactsInput!$M$7)*CHOOSE(ArtifactsInput!$N$7+1,6,7.2,8.4,9.6,10.8,12))+IF(Inputs!$B$3&gt;=117,F1853,0))/100)),MAX(0,Inputs!$B$44-((R1846-1)*Skills!D19))))/Inputs!$B$44),IF(Inputs!$B$39="pvp",MIN((Skills!S19*(1+((Inputs!$B$35+(ArtifactsInput!$M$7-ArtifactsInput!$M$7)*CHOOSE(ArtifactsInput!$N$7+1,6,7.2,8.4,9.6,10.8,12))+IF(Inputs!$B$3&gt;=117,F1853,0))/100)),15)/15,(Skills!S19*(1+((Inputs!$B$35+(ArtifactsInput!$M$7-ArtifactsInput!$M$7)*CHOOSE(ArtifactsInput!$N$7+1,6,7.2,8.4,9.6,10.8,12))+IF(Inputs!$B$3&gt;=117,F1853,0))/100))/Skills!D19))/100),1)</f>
        <v/>
      </c>
    </row>
    <row r="1858">
      <c r="A1858" t="inlineStr">
        <is>
          <t>Monster Damage Taken Bonus % (Holy Fountain)</t>
        </is>
      </c>
      <c r="B1858">
        <f>IF(Inputs!$B$3&gt;=68,20*IF(Inputs!$B$39="pvp",MIN((15*(1+((Inputs!$B$35+(ArtifactsInput!$M$7-ArtifactsInput!$M$7)*CHOOSE(ArtifactsInput!$N$7+1,6,7.2,8.4,9.6,10.8,12))+IF(Inputs!$B$3&gt;=117,F1853,0))/100)),15)/15,(15*(1+((Inputs!$B$35+(ArtifactsInput!$M$7-ArtifactsInput!$M$7)*CHOOSE(ArtifactsInput!$N$7+1,6,7.2,8.4,9.6,10.8,12))+IF(Inputs!$B$3&gt;=117,F1853,0))/100))/Skills!D10),0)</f>
        <v/>
      </c>
    </row>
    <row r="1859">
      <c r="A1859" t="inlineStr">
        <is>
          <t>Normal Monster Damage Bonus % (Holy Symbol)</t>
        </is>
      </c>
      <c r="B1859">
        <f>IF(C1839=TRUE,F1839*IF(AND(Inputs!$B$39&lt;&gt;"pvp",Inputs!$B$44&gt;0),(((R1839-1)*(Skills!S12*(1+((Inputs!$B$35+(ArtifactsInput!$M$7-ArtifactsInput!$M$7)*CHOOSE(ArtifactsInput!$N$7+1,6,7.2,8.4,9.6,10.8,12))+IF(Inputs!$B$3&gt;=117,F1853,0))/100))+MIN((Skills!S12*(1+((Inputs!$B$35+(ArtifactsInput!$M$7-ArtifactsInput!$M$7)*CHOOSE(ArtifactsInput!$N$7+1,6,7.2,8.4,9.6,10.8,12))+IF(Inputs!$B$3&gt;=117,F1853,0))/100)),MAX(0,Inputs!$B$44-((R1839-1)*Skills!D12))))/Inputs!$B$44),IF(Inputs!$B$39="pvp",MIN((Skills!S12*(1+((Inputs!$B$35+(ArtifactsInput!$M$7-ArtifactsInput!$M$7)*CHOOSE(ArtifactsInput!$N$7+1,6,7.2,8.4,9.6,10.8,12))+IF(Inputs!$B$3&gt;=117,F1853,0))/100)),15)/15,(Skills!S12*(1+((Inputs!$B$35+(ArtifactsInput!$M$7-ArtifactsInput!$M$7)*CHOOSE(ArtifactsInput!$N$7+1,6,7.2,8.4,9.6,10.8,12))+IF(Inputs!$B$3&gt;=117,F1853,0))/100))/Skills!D12)),0)</f>
        <v/>
      </c>
    </row>
    <row r="1860">
      <c r="A1860" t="inlineStr">
        <is>
          <t>Damage % Bonus (Holy Symbol - Damage Boost)</t>
        </is>
      </c>
      <c r="B1860">
        <f>Skills!O12</f>
        <v/>
      </c>
    </row>
    <row r="1861">
      <c r="A1861" t="inlineStr">
        <is>
          <t>Crit Damage % Bonus (Blood of the Divine)</t>
        </is>
      </c>
      <c r="B1861">
        <f>4*IF(C1847=TRUE,F1847,0)</f>
        <v/>
      </c>
    </row>
    <row r="1862">
      <c r="A1862" t="inlineStr">
        <is>
          <t>Attack Speed Bonus %</t>
        </is>
      </c>
      <c r="B1862">
        <f>IF(C1844=TRUE,F1844+(F1848-Calc!F21),0)+IF(Inputs!$B$3&gt;=134,15,0)+((C1855=TRUE)*F1855*IF(AND(Inputs!$B$39&lt;&gt;"pvp",Inputs!$B$44&gt;0),(((R1855-1)*(Skills!S28*(1+((Inputs!$B$35+(ArtifactsInput!$M$7-ArtifactsInput!$M$7)*CHOOSE(ArtifactsInput!$N$7+1,6,7.2,8.4,9.6,10.8,12))+IF(Inputs!$B$3&gt;=117,F1853,0))/100))+MIN((Skills!S28*(1+((Inputs!$B$35+(ArtifactsInput!$M$7-ArtifactsInput!$M$7)*CHOOSE(ArtifactsInput!$N$7+1,6,7.2,8.4,9.6,10.8,12))+IF(Inputs!$B$3&gt;=117,F1853,0))/100)),MAX(0,Inputs!$B$44-((R1855-1)*Skills!D28))))/Inputs!$B$44),IF(Inputs!$B$39="pvp",MIN((Skills!S28*(1+((Inputs!$B$35+(ArtifactsInput!$M$7-ArtifactsInput!$M$7)*CHOOSE(ArtifactsInput!$N$7+1,6,7.2,8.4,9.6,10.8,12))+IF(Inputs!$B$3&gt;=117,F1853,0))/100)),15)/15,(Skills!S28*(1+((Inputs!$B$35+(ArtifactsInput!$M$7-ArtifactsInput!$M$7)*CHOOSE(ArtifactsInput!$N$7+1,6,7.2,8.4,9.6,10.8,12))+IF(Inputs!$B$3&gt;=117,F1853,0))/100))/Skills!D28)))</f>
        <v/>
      </c>
    </row>
    <row r="1863">
      <c r="A1863" t="inlineStr">
        <is>
          <t>Actions Per Second</t>
        </is>
      </c>
      <c r="B1863">
        <f>1+MIN(150,150*(1-(1-Inputs!$B$12/150)*(1-B1862/150)))/100</f>
        <v/>
      </c>
    </row>
    <row r="1864">
      <c r="A1864" t="inlineStr">
        <is>
          <t>Skill + Buff Cast Rate</t>
        </is>
      </c>
      <c r="B1864">
        <f>IF(AND(Inputs!$B$39&lt;&gt;"pvp",Inputs!$B$44&gt;0),SUMPRODUCT((Skills!E2:E28=TRUE)*(C1829:C1855=TRUE)*R1829:R1855)/Inputs!$B$44,SUMPRODUCT((Skills!E2:E28=TRUE)*(C1829:C1855=TRUE)*Q1829:Q1855))</f>
        <v/>
      </c>
    </row>
    <row r="1865">
      <c r="A1865" t="inlineStr">
        <is>
          <t>Big Bang Casts Per Second</t>
        </is>
      </c>
      <c r="B1865">
        <f>MAX(0,B1863-B1864)</f>
        <v/>
      </c>
    </row>
    <row r="1866">
      <c r="A1866" t="inlineStr">
        <is>
          <t>Defense % Bonus (Divine Protection)</t>
        </is>
      </c>
      <c r="B1866">
        <f>IF(C1840=TRUE,F1840*IF(AND(Inputs!$B$39&lt;&gt;"pvp",Inputs!$B$44&gt;0),(((R1840-1)*(Skills!S13*(1+((Inputs!$B$35+(ArtifactsInput!$M$7-ArtifactsInput!$M$7)*CHOOSE(ArtifactsInput!$N$7+1,6,7.2,8.4,9.6,10.8,12))+IF(Inputs!$B$3&gt;=117,F1853,0))/100))+MIN((Skills!S13*(1+((Inputs!$B$35+(ArtifactsInput!$M$7-ArtifactsInput!$M$7)*CHOOSE(ArtifactsInput!$N$7+1,6,7.2,8.4,9.6,10.8,12))+IF(Inputs!$B$3&gt;=117,F1853,0))/100)),MAX(0,Inputs!$B$44-((R1840-1)*Skills!D13))))/Inputs!$B$44),IF(Inputs!$B$39="pvp",MIN((Skills!S13*(1+((Inputs!$B$35+(ArtifactsInput!$M$7-ArtifactsInput!$M$7)*CHOOSE(ArtifactsInput!$N$7+1,6,7.2,8.4,9.6,10.8,12))+IF(Inputs!$B$3&gt;=117,F1853,0))/100)),15)/15,(Skills!S13*(1+((Inputs!$B$35+(ArtifactsInput!$M$7-ArtifactsInput!$M$7)*CHOOSE(ArtifactsInput!$N$7+1,6,7.2,8.4,9.6,10.8,12))+IF(Inputs!$B$3&gt;=117,F1853,0))/100))/Skills!D13)),0)</f>
        <v/>
      </c>
    </row>
    <row r="1867">
      <c r="A1867" t="inlineStr">
        <is>
          <t>Buff-Casting Startup Delay (s, fixed-duration only)</t>
        </is>
      </c>
      <c r="B1867">
        <f>IF(AND(Inputs!$B$39&lt;&gt;"pvp",Inputs!$B$44&gt;0),SUMPRODUCT((Skills!S2:S28&gt;0)*(Skills!E2:E28=TRUE)*(C1829:C1855=TRUE))/B1863,0)</f>
        <v/>
      </c>
    </row>
    <row r="1868">
      <c r="A1868" t="inlineStr">
        <is>
          <t>Boss-Only Total DPS (this block's swept value)</t>
        </is>
      </c>
      <c r="B1868">
        <f>SUM(S1829:S1855)</f>
        <v/>
      </c>
    </row>
    <row r="1869">
      <c r="A1869" t="inlineStr">
        <is>
          <t>Normal-Only Total DPS (this block's swept value)</t>
        </is>
      </c>
      <c r="B1869">
        <f>SUM(U1829:U1855)</f>
        <v/>
      </c>
    </row>
    <row r="1870">
      <c r="A1870" s="6" t="inlineStr">
        <is>
          <t>TOTAL DPS</t>
        </is>
      </c>
      <c r="B1870" s="6">
        <f>SUM(O1829:O1855)</f>
        <v/>
      </c>
    </row>
    <row r="1872">
      <c r="A1872" s="6" t="inlineStr">
        <is>
          <t>Stat: Chalice (Equip)</t>
        </is>
      </c>
    </row>
    <row r="1873">
      <c r="A1873" s="5" t="inlineStr">
        <is>
          <t>Key</t>
        </is>
      </c>
      <c r="B1873" s="5" t="inlineStr">
        <is>
          <t>Name</t>
        </is>
      </c>
      <c r="C1873" s="5" t="inlineStr">
        <is>
          <t>Unlocked</t>
        </is>
      </c>
      <c r="D1873" s="5" t="inlineStr">
        <is>
          <t>InputLevel</t>
        </is>
      </c>
      <c r="E1873" s="5" t="inlineStr">
        <is>
          <t>Factor</t>
        </is>
      </c>
      <c r="F1873" s="5" t="inlineStr">
        <is>
          <t>CoefficientPercent</t>
        </is>
      </c>
      <c r="G1873" s="5" t="inlineStr">
        <is>
          <t>EffectiveHits</t>
        </is>
      </c>
      <c r="H1873" s="5" t="inlineStr">
        <is>
          <t>ProcProbability</t>
        </is>
      </c>
      <c r="I1873" s="5" t="inlineStr">
        <is>
          <t>MapleHeroMultiplier</t>
        </is>
      </c>
      <c r="J1873" s="5" t="inlineStr">
        <is>
          <t>BaseDamage</t>
        </is>
      </c>
      <c r="K1873" s="5" t="inlineStr">
        <is>
          <t>BaseHitDamage</t>
        </is>
      </c>
      <c r="L1873" s="5" t="inlineStr">
        <is>
          <t>NonCritAvg</t>
        </is>
      </c>
      <c r="M1873" s="5" t="inlineStr">
        <is>
          <t>CritAvg</t>
        </is>
      </c>
      <c r="N1873" s="5" t="inlineStr">
        <is>
          <t>ExpectedDamage(perHit)</t>
        </is>
      </c>
      <c r="O1873" s="5" t="inlineStr">
        <is>
          <t>DPS</t>
        </is>
      </c>
      <c r="P1873" s="5" t="inlineStr">
        <is>
          <t>% of Total</t>
        </is>
      </c>
      <c r="R1873" t="inlineStr">
        <is>
          <t>helpers</t>
        </is>
      </c>
    </row>
    <row r="1874">
      <c r="A1874">
        <f>Skills!A2</f>
        <v/>
      </c>
      <c r="B1874">
        <f>Skills!B2</f>
        <v/>
      </c>
      <c r="C1874">
        <f>Inputs!$B$3&gt;=100</f>
        <v/>
      </c>
      <c r="D1874" t="inlineStr"/>
      <c r="E1874" t="inlineStr"/>
      <c r="F1874">
        <f>T1876+Skills!N2</f>
        <v/>
      </c>
      <c r="G1874">
        <f>Calc!G2</f>
        <v/>
      </c>
      <c r="H1874">
        <f>Calc!H2</f>
        <v/>
      </c>
      <c r="I1874">
        <f>IF(Skills!T2&lt;&gt;"",1+(Skills!T2/10)*($Z$3/1000)/100,1)</f>
        <v/>
      </c>
      <c r="J1874">
        <f>((Inputs!$B$6*(1+Inputs!$B$7/100))+(((Inputs!$B$13*(1+Inputs!$B$14/100))-(Inputs!$B$13*(1+Inputs!$B$14/100)))+0.25*(Inputs!$B$15-Inputs!$B$15))*(1+Inputs!$B$7/100))*(F1874/100)</f>
        <v/>
      </c>
      <c r="K1874">
        <f>J1874*(1+(((Inputs!$B$13+IF(Inputs!$B$3&gt;=35,(10*INDEX(FactorTable!$B$2:$Y$301,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2="TRIUMPH_FEATHER",IF(C1888=TRUE,F1888,0),0)/100)*(1+IF(C1899=TRUE,F1899,0)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1874)</f>
        <v/>
      </c>
      <c r="L1874">
        <f>K1874*(MIN(Inputs!$B$23+(F1894-Calc!F22),(Inputs!$B$24+IF(ArtifactsInput!$M$15,CHOOSE(ArtifactsInput!$N$15+1,25,30,35,40,45,50)/100*(Inputs!$B$12-Inputs!$B$12),0)))/100+(Inputs!$B$24+IF(ArtifactsInput!$M$15,CHOOSE(ArtifactsInput!$N$15+1,25,30,35,40,45,50)/100*(Inputs!$B$12-Inputs!$B$12),0))/100)/2</f>
        <v/>
      </c>
      <c r="M1874">
        <f>L1874*(1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4">
        <f>L1874*(1-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(1-Summary!$B$11)*S1874+Summary!$B$11*U1874</f>
        <v/>
      </c>
      <c r="P1874">
        <f>IF(B1915=0,0,O1874/B1915)</f>
        <v/>
      </c>
      <c r="Q1874">
        <f>IFERROR(1/(IF(Inputs!$B$39="pvp",15,MAX(0.1,Skills!D2-IF(Skills!E2=TRUE,Inputs!$B$33,0)))*(1-IF(AND(ArtifactsInput!$M$27,Inputs!$B$4="Chapter Hunt"),CHOOSE(ArtifactsInput!$N$27+1,20,24,28,32,36,40),0)/100)),0)</f>
        <v/>
      </c>
      <c r="R1874" t="n">
        <v>0</v>
      </c>
      <c r="S1874">
        <f>IF(C1874,(Skills!F2*N1874*B1910)*IF(Inputs!$B$39="pvp",1,1+(Inputs!$B$21+Skills!O2+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1874*(1-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74">
        <f>MAX(0,(Inputs!$B$3-100)*3)+Inputs!$B$29+Inputs!$B$30</f>
        <v/>
      </c>
      <c r="U1874">
        <f>IF(C1874,(Skills!F2*N1874*B1910)*IF(Inputs!$B$39="pvp",1,(1+(Inputs!$B$22+Skills!P2+B1904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Skills!A3</f>
        <v/>
      </c>
      <c r="B1875">
        <f>Skills!B3</f>
        <v/>
      </c>
      <c r="C1875">
        <f>Inputs!$B$3&gt;=15</f>
        <v/>
      </c>
      <c r="D1875">
        <f>IF(Skills!C3=1,60+Inputs!$B$26+Inputs!$B$30,IF(Skills!C3=2,90+Inputs!$B$27+Inputs!$B$30,IF(Skills!C3=3,120+Inputs!$B$28+Inputs!$B$30,MAX(0,(Inputs!$B$3-100)*3)+Inputs!$B$29+Inputs!$B$30)))</f>
        <v/>
      </c>
      <c r="E1875">
        <f>INDEX(FactorTable!$B$2:$Y$301, MATCH(ROUND(MIN(300,MAX(1,D1875)),0), FactorTable!$A$2:$A$301,0), Skills!L3+1)</f>
        <v/>
      </c>
      <c r="F1875">
        <f>IF(Skills!M3=TRUE,(Skills!K3/10)*(E1875/1000),Skills!K3/10)+Skills!N3</f>
        <v/>
      </c>
      <c r="G1875">
        <f>Calc!G3</f>
        <v/>
      </c>
      <c r="H1875">
        <f>Calc!H3</f>
        <v/>
      </c>
      <c r="I1875">
        <f>IF(Skills!T3&lt;&gt;"",1+(Skills!T3/10)*($Z$3/1000)/100,1)</f>
        <v/>
      </c>
      <c r="J1875" t="inlineStr"/>
      <c r="K1875" t="inlineStr"/>
      <c r="L1875" t="inlineStr"/>
      <c r="M1875" t="inlineStr"/>
      <c r="N1875" t="inlineStr"/>
      <c r="O1875">
        <f>(1-Summary!$B$11)*S1875+Summary!$B$11*U1875</f>
        <v/>
      </c>
      <c r="P1875">
        <f>IF(B1915=0,0,O1875/B1915)</f>
        <v/>
      </c>
      <c r="Q1875">
        <f>IFERROR(1/(IF(Inputs!$B$39="pvp",15,MAX(0.1,Skills!D3-IF(Skills!E3=TRUE,Inputs!$B$33,0)))*(1-IF(AND(ArtifactsInput!$M$27,Inputs!$B$4="Chapter Hunt"),CHOOSE(ArtifactsInput!$N$27+1,20,24,28,32,36,40),0)/100)),0)</f>
        <v/>
      </c>
      <c r="R1875">
        <f>IF(AND(Inputs!$B$39&lt;&gt;"pvp",Inputs!$B$44&gt;0),IF(Inputs!$B$44&lt;=0,0,(INT(Inputs!$B$44/(IF(Inputs!$B$39="pvp",15,MAX(0.1,Skills!D3-IF(Skills!E3=TRUE,Inputs!$B$33,0)))*(1-IF(AND(ArtifactsInput!$M$27,Inputs!$B$4="Chapter Hunt"),CHOOSE(ArtifactsInput!$N$27+1,20,24,28,32,36,40),0)/100)))+1)),0)</f>
        <v/>
      </c>
      <c r="S1875" t="n">
        <v>0</v>
      </c>
      <c r="T1875">
        <f>INDEX(FactorTable!$B$2:$Y$301, MATCH(ROUND(MIN(300,MAX(1,T1874)),0), FactorTable!$A$2:$A$301,0), 22)</f>
        <v/>
      </c>
      <c r="U1875" t="n">
        <v>0</v>
      </c>
    </row>
    <row r="1876">
      <c r="A1876">
        <f>Skills!A4</f>
        <v/>
      </c>
      <c r="B1876">
        <f>Skills!B4</f>
        <v/>
      </c>
      <c r="C1876">
        <f>Inputs!$B$3&gt;=38</f>
        <v/>
      </c>
      <c r="D1876">
        <f>IF(Skills!C4=1,60+Inputs!$B$26+Inputs!$B$30,IF(Skills!C4=2,90+Inputs!$B$27+Inputs!$B$30,IF(Skills!C4=3,120+Inputs!$B$28+Inputs!$B$30,MAX(0,(Inputs!$B$3-100)*3)+Inputs!$B$29+Inputs!$B$30)))</f>
        <v/>
      </c>
      <c r="E1876">
        <f>INDEX(FactorTable!$B$2:$Y$301, MATCH(ROUND(MIN(300,MAX(1,D1876)),0), FactorTable!$A$2:$A$301,0), Skills!L4+1)</f>
        <v/>
      </c>
      <c r="F1876">
        <f>IF(Skills!M4=TRUE,(Skills!K4/10)*(E1876/1000),Skills!K4/10)+Skills!N4</f>
        <v/>
      </c>
      <c r="G1876">
        <f>Calc!G4</f>
        <v/>
      </c>
      <c r="H1876">
        <f>Calc!H4</f>
        <v/>
      </c>
      <c r="I1876">
        <f>IF(Skills!T4&lt;&gt;"",1+(Skills!T4/10)*($Z$3/1000)/100,1)</f>
        <v/>
      </c>
      <c r="J1876" t="inlineStr"/>
      <c r="K1876" t="inlineStr"/>
      <c r="L1876" t="inlineStr"/>
      <c r="M1876" t="inlineStr"/>
      <c r="N1876" t="inlineStr"/>
      <c r="O1876">
        <f>(1-Summary!$B$11)*S1876+Summary!$B$11*U1876</f>
        <v/>
      </c>
      <c r="P1876">
        <f>IF(B1915=0,0,O1876/B1915)</f>
        <v/>
      </c>
      <c r="Q1876">
        <f>IFERROR(1/(IF(Inputs!$B$39="pvp",15,MAX(0.1,Skills!D4-IF(Skills!E4=TRUE,Inputs!$B$33,0)))*(1-IF(AND(ArtifactsInput!$M$27,Inputs!$B$4="Chapter Hunt"),CHOOSE(ArtifactsInput!$N$27+1,20,24,28,32,36,40),0)/100)),0)</f>
        <v/>
      </c>
      <c r="R1876">
        <f>IF(AND(Inputs!$B$39&lt;&gt;"pvp",Inputs!$B$44&gt;0),IF(Inputs!$B$44&lt;=0,0,(INT(Inputs!$B$44/(IF(Inputs!$B$39="pvp",15,MAX(0.1,Skills!D4-IF(Skills!E4=TRUE,Inputs!$B$33,0)))*(1-IF(AND(ArtifactsInput!$M$27,Inputs!$B$4="Chapter Hunt"),CHOOSE(ArtifactsInput!$N$27+1,20,24,28,32,36,40),0)/100)))+1)),0)</f>
        <v/>
      </c>
      <c r="S1876" t="n">
        <v>0</v>
      </c>
      <c r="T1876">
        <f>290*T1875/1000</f>
        <v/>
      </c>
      <c r="U1876" t="n">
        <v>0</v>
      </c>
    </row>
    <row r="1877">
      <c r="A1877">
        <f>Skills!A5</f>
        <v/>
      </c>
      <c r="B1877">
        <f>Skills!B5</f>
        <v/>
      </c>
      <c r="C1877">
        <f>Inputs!$B$3&gt;=40</f>
        <v/>
      </c>
      <c r="D1877">
        <f>IF(Skills!C5=1,60+Inputs!$B$26+Inputs!$B$30,IF(Skills!C5=2,90+Inputs!$B$27+Inputs!$B$30,IF(Skills!C5=3,120+Inputs!$B$28+Inputs!$B$30,MAX(0,(Inputs!$B$3-100)*3)+Inputs!$B$29+Inputs!$B$30)))</f>
        <v/>
      </c>
      <c r="E1877">
        <f>INDEX(FactorTable!$B$2:$Y$301, MATCH(ROUND(MIN(300,MAX(1,D1877)),0), FactorTable!$A$2:$A$301,0), Skills!L5+1)</f>
        <v/>
      </c>
      <c r="F1877">
        <f>IF(Skills!M5=TRUE,(Skills!K5/10)*(E1877/1000),Skills!K5/10)+Skills!N5</f>
        <v/>
      </c>
      <c r="G1877">
        <f>Calc!G5</f>
        <v/>
      </c>
      <c r="H1877">
        <f>Calc!H5</f>
        <v/>
      </c>
      <c r="I1877">
        <f>IF(Skills!T5&lt;&gt;"",1+(Skills!T5/10)*($Z$3/1000)/100,1)</f>
        <v/>
      </c>
      <c r="J1877" t="inlineStr"/>
      <c r="K1877" t="inlineStr"/>
      <c r="L1877" t="inlineStr"/>
      <c r="M1877" t="inlineStr"/>
      <c r="N1877" t="inlineStr"/>
      <c r="O1877">
        <f>(1-Summary!$B$11)*S1877+Summary!$B$11*U1877</f>
        <v/>
      </c>
      <c r="P1877">
        <f>IF(B1915=0,0,O1877/B1915)</f>
        <v/>
      </c>
      <c r="Q1877">
        <f>IFERROR(1/(IF(Inputs!$B$39="pvp",15,MAX(0.1,Skills!D5-IF(Skills!E5=TRUE,Inputs!$B$33,0)))*(1-IF(AND(ArtifactsInput!$M$27,Inputs!$B$4="Chapter Hunt"),CHOOSE(ArtifactsInput!$N$27+1,20,24,28,32,36,40),0)/100)),0)</f>
        <v/>
      </c>
      <c r="R1877">
        <f>IF(AND(Inputs!$B$39&lt;&gt;"pvp",Inputs!$B$44&gt;0),IF(Inputs!$B$44&lt;=0,0,(INT(Inputs!$B$44/(IF(Inputs!$B$39="pvp",15,MAX(0.1,Skills!D5-IF(Skills!E5=TRUE,Inputs!$B$33,0)))*(1-IF(AND(ArtifactsInput!$M$27,Inputs!$B$4="Chapter Hunt"),CHOOSE(ArtifactsInput!$N$27+1,20,24,28,32,36,40),0)/100)))+1)),0)</f>
        <v/>
      </c>
      <c r="S1877" t="n">
        <v>0</v>
      </c>
      <c r="U1877" t="n">
        <v>0</v>
      </c>
    </row>
    <row r="1878">
      <c r="A1878">
        <f>Skills!A6</f>
        <v/>
      </c>
      <c r="B1878">
        <f>Skills!B6</f>
        <v/>
      </c>
      <c r="C1878">
        <f>Inputs!$B$3&gt;=103</f>
        <v/>
      </c>
      <c r="D1878">
        <f>IF(Skills!C6=1,60+Inputs!$B$26+Inputs!$B$30,IF(Skills!C6=2,90+Inputs!$B$27+Inputs!$B$30,IF(Skills!C6=3,120+Inputs!$B$28+Inputs!$B$30,MAX(0,(Inputs!$B$3-100)*3)+Inputs!$B$29+Inputs!$B$30)))</f>
        <v/>
      </c>
      <c r="E1878">
        <f>INDEX(FactorTable!$B$2:$Y$301, MATCH(ROUND(MIN(300,MAX(1,D1878)),0), FactorTable!$A$2:$A$301,0), Skills!L6+1)</f>
        <v/>
      </c>
      <c r="F1878">
        <f>IF(Skills!M6=TRUE,(Skills!K6/10)*(E1878/1000),Skills!K6/10)+Skills!N6</f>
        <v/>
      </c>
      <c r="G1878">
        <f>Calc!G6</f>
        <v/>
      </c>
      <c r="H1878">
        <f>Calc!H6</f>
        <v/>
      </c>
      <c r="I1878">
        <f>IF(Skills!T6&lt;&gt;"",1+(Skills!T6/10)*($Z$3/1000)/100,1)</f>
        <v/>
      </c>
      <c r="J1878">
        <f>((Inputs!$B$6*(1+Inputs!$B$7/100))+(((Inputs!$B$13*(1+Inputs!$B$14/100))-(Inputs!$B$13*(1+Inputs!$B$14/100)))+0.25*(Inputs!$B$15-Inputs!$B$15))*(1+Inputs!$B$7/100))*(F1878/100)</f>
        <v/>
      </c>
      <c r="K1878">
        <f>J1878*(1+(((Inputs!$B$13+IF(Inputs!$B$3&gt;=35,(10*INDEX(FactorTable!$B$2:$Y$301,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6="TRIUMPH_FEATHER",IF(C1888=TRUE,F1888,0),0)/100)*(1+IF(C1899=TRUE,F1899,0)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1878)</f>
        <v/>
      </c>
      <c r="L1878">
        <f>K1878*(MIN(Inputs!$B$23+(F1894-Calc!F22),(Inputs!$B$24+IF(ArtifactsInput!$M$15,CHOOSE(ArtifactsInput!$N$15+1,25,30,35,40,45,50)/100*(Inputs!$B$12-Inputs!$B$12),0)))/100+(Inputs!$B$24+IF(ArtifactsInput!$M$15,CHOOSE(ArtifactsInput!$N$15+1,25,30,35,40,45,50)/100*(Inputs!$B$12-Inputs!$B$12),0))/100)/2</f>
        <v/>
      </c>
      <c r="M1878">
        <f>L1878*(1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8">
        <f>L1878*(1-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(1-Summary!$B$11)*S1878+Summary!$B$11*U1878</f>
        <v/>
      </c>
      <c r="P1878">
        <f>IF(B1915=0,0,O1878/B1915)</f>
        <v/>
      </c>
      <c r="Q1878">
        <f>IFERROR(1/(IF(Inputs!$B$39="pvp",15,MAX(0.1,Skills!D6-IF(Skills!E6=TRUE,Inputs!$B$33,0)))*(1-IF(AND(ArtifactsInput!$M$27,Inputs!$B$4="Chapter Hunt"),CHOOSE(ArtifactsInput!$N$27+1,20,24,28,32,36,40),0)/100)),0)</f>
        <v/>
      </c>
      <c r="R1878">
        <f>IF(AND(Inputs!$B$39&lt;&gt;"pvp",Inputs!$B$44&gt;0),IF(MAX(0,Inputs!$B$44-B1912)&lt;=0,0,(INT(MAX(0,Inputs!$B$44-B1912)/(IF(Inputs!$B$39="pvp",15,MAX(0.1,Skills!D6-IF(Skills!E6=TRUE,Inputs!$B$33,0)))*(1-IF(AND(ArtifactsInput!$M$27,Inputs!$B$4="Chapter Hunt"),CHOOSE(ArtifactsInput!$N$27+1,20,24,28,32,36,40),0)/100)))+1)),0)</f>
        <v/>
      </c>
      <c r="S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$21+Skills!O6+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$22+Skills!P6+B1904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Skills!A7</f>
        <v/>
      </c>
      <c r="B1879">
        <f>Skills!B7</f>
        <v/>
      </c>
      <c r="C1879">
        <f>Inputs!$B$3&gt;=122</f>
        <v/>
      </c>
      <c r="D1879">
        <f>IF(Skills!C7=1,60+Inputs!$B$26+Inputs!$B$30,IF(Skills!C7=2,90+Inputs!$B$27+Inputs!$B$30,IF(Skills!C7=3,120+Inputs!$B$28+Inputs!$B$30,MAX(0,(Inputs!$B$3-100)*3)+Inputs!$B$29+Inputs!$B$30)))</f>
        <v/>
      </c>
      <c r="E1879">
        <f>INDEX(FactorTable!$B$2:$Y$301, MATCH(ROUND(MIN(300,MAX(1,D1879)),0), FactorTable!$A$2:$A$301,0), Skills!L7+1)</f>
        <v/>
      </c>
      <c r="F1879">
        <f>IF(Skills!M7=TRUE,(Skills!K7/10)*(E1879/1000),Skills!K7/10)+Skills!N7</f>
        <v/>
      </c>
      <c r="G1879">
        <f>Calc!G7</f>
        <v/>
      </c>
      <c r="H1879">
        <f>Calc!H7</f>
        <v/>
      </c>
      <c r="I1879">
        <f>IF(Skills!T7&lt;&gt;"",1+(Skills!T7/10)*($Z$3/1000)/100,1)</f>
        <v/>
      </c>
      <c r="J1879">
        <f>((Inputs!$B$6*(1+Inputs!$B$7/100))+(((Inputs!$B$13*(1+Inputs!$B$14/100))-(Inputs!$B$13*(1+Inputs!$B$14/100)))+0.25*(Inputs!$B$15-Inputs!$B$15))*(1+Inputs!$B$7/100))*(F1879/100)</f>
        <v/>
      </c>
      <c r="K1879">
        <f>J1879*(1+(((Inputs!$B$13+IF(Inputs!$B$3&gt;=35,(10*INDEX(FactorTable!$B$2:$Y$301,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7="TRIUMPH_FEATHER",IF(C1888=TRUE,F1888,0),0)/100)*(1+IF(C1899=TRUE,F1899,0)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1879)</f>
        <v/>
      </c>
      <c r="L1879">
        <f>K1879*(MIN(Inputs!$B$23+(F1894-Calc!F22),(Inputs!$B$24+IF(ArtifactsInput!$M$15,CHOOSE(ArtifactsInput!$N$15+1,25,30,35,40,45,50)/100*(Inputs!$B$12-Inputs!$B$12),0)))/100+(Inputs!$B$24+IF(ArtifactsInput!$M$15,CHOOSE(ArtifactsInput!$N$15+1,25,30,35,40,45,50)/100*(Inputs!$B$12-Inputs!$B$12),0))/100)/2</f>
        <v/>
      </c>
      <c r="M1879">
        <f>L1879*(1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9">
        <f>L1879*(1-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(1-Summary!$B$11)*S1879+Summary!$B$11*U1879</f>
        <v/>
      </c>
      <c r="P1879">
        <f>IF(B1915=0,0,O1879/B1915)</f>
        <v/>
      </c>
      <c r="Q1879">
        <f>IFERROR(1/(IF(Inputs!$B$39="pvp",15,MAX(0.1,Skills!D7-IF(Skills!E6=TRUE,Inputs!$B$33,0)))*(1-IF(AND(ArtifactsInput!$M$27,Inputs!$B$4="Chapter Hunt"),CHOOSE(ArtifactsInput!$N$27+1,20,24,28,32,36,40),0)/100)),0)</f>
        <v/>
      </c>
      <c r="R1879">
        <f>IF(AND(Inputs!$B$39&lt;&gt;"pvp",Inputs!$B$44&gt;0),IF(MAX(0,Inputs!$B$44-B1912)&lt;=0,0,(INT(MAX(0,Inputs!$B$44-B1912)/(IF(Inputs!$B$39="pvp",15,MAX(0.1,Skills!D7-IF(Skills!E6=TRUE,Inputs!$B$33,0)))*(1-IF(AND(ArtifactsInput!$M$27,Inputs!$B$4="Chapter Hunt"),CHOOSE(ArtifactsInput!$N$27+1,20,24,28,32,36,40),0)/100)))+1)),0)</f>
        <v/>
      </c>
      <c r="S1879">
        <f>IF(C1879,H1879*N1879*IF(AND(Inputs!$B$39&lt;&gt;"pvp",Inputs!$B$44&gt;0),((Skills!F7*((R1879-1)*IF(Skills!G7&gt;0,Skills!H7/Skills!G7,1)+IF(Skills!G7&gt;0,MIN(Skills!H7,MAX(0,MAX(0,Inputs!$B$44-B1912)-((R1879-1)*(IF(Inputs!$B$39="pvp",15,MAX(0.1,Skills!D7-IF(Skills!E6=TRUE,Inputs!$B$33,0)))*(1-IF(AND(ArtifactsInput!$M$27,Inputs!$B$4="Chapter Hunt"),CHOOSE(ArtifactsInput!$N$27+1,20,24,28,32,36,40),0)/100)))))/Skills!G7,1)))/Inputs!$B$44),G1879*Q1879)*IF(Inputs!$B$39="pvp",1,1+(Inputs!$B$21+Skills!O7+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1879*(1-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9" t="n">
        <v>0</v>
      </c>
    </row>
    <row r="1880">
      <c r="A1880">
        <f>Skills!A8</f>
        <v/>
      </c>
      <c r="B1880">
        <f>Skills!B8</f>
        <v/>
      </c>
      <c r="C1880">
        <f>Inputs!$B$3&gt;=105</f>
        <v/>
      </c>
      <c r="D1880">
        <f>IF(Skills!C8=1,60+Inputs!$B$26+Inputs!$B$30,IF(Skills!C8=2,90+Inputs!$B$27+Inputs!$B$30,IF(Skills!C8=3,120+Inputs!$B$28+Inputs!$B$30,MAX(0,(Inputs!$B$3-100)*3)+Inputs!$B$29+Inputs!$B$30)))</f>
        <v/>
      </c>
      <c r="E1880">
        <f>INDEX(FactorTable!$B$2:$Y$301, MATCH(ROUND(MIN(300,MAX(1,D1880)),0), FactorTable!$A$2:$A$301,0), Skills!L8+1)</f>
        <v/>
      </c>
      <c r="F1880">
        <f>IF(Skills!M8=TRUE,(Skills!K8/10)*(E1880/1000),Skills!K8/10)+Skills!N8</f>
        <v/>
      </c>
      <c r="G1880">
        <f>Calc!G8</f>
        <v/>
      </c>
      <c r="H1880">
        <f>Calc!H8</f>
        <v/>
      </c>
      <c r="I1880">
        <f>IF(Skills!T8&lt;&gt;"",1+(Skills!T8/10)*($Z$3/1000)/100,1)</f>
        <v/>
      </c>
      <c r="J1880">
        <f>((Inputs!$B$6*(1+Inputs!$B$7/100))+(((Inputs!$B$13*(1+Inputs!$B$14/100))-(Inputs!$B$13*(1+Inputs!$B$14/100)))+0.25*(Inputs!$B$15-Inputs!$B$15))*(1+Inputs!$B$7/100))*(F1880/100)</f>
        <v/>
      </c>
      <c r="K1880">
        <f>J1880*(1+(((Inputs!$B$13+IF(Inputs!$B$3&gt;=35,(10*INDEX(FactorTable!$B$2:$Y$301,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8="TRIUMPH_FEATHER",IF(C1888=TRUE,F1888,0),0)/100)*(1+IF(C1899=TRUE,F1899,0)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1880)</f>
        <v/>
      </c>
      <c r="L1880">
        <f>K1880*(MIN(Inputs!$B$23+(F1894-Calc!F22),(Inputs!$B$24+IF(ArtifactsInput!$M$15,CHOOSE(ArtifactsInput!$N$15+1,25,30,35,40,45,50)/100*(Inputs!$B$12-Inputs!$B$12),0)))/100+(Inputs!$B$24+IF(ArtifactsInput!$M$15,CHOOSE(ArtifactsInput!$N$15+1,25,30,35,40,45,50)/100*(Inputs!$B$12-Inputs!$B$12),0))/100)/2</f>
        <v/>
      </c>
      <c r="M1880">
        <f>L1880*(1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0">
        <f>L1880*(1-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1880*(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0">
        <f>(1-Summary!$B$11)*S1880+Summary!$B$11*U1880</f>
        <v/>
      </c>
      <c r="P1880">
        <f>IF(B1915=0,0,O1880/B1915)</f>
        <v/>
      </c>
      <c r="Q1880">
        <f>IFERROR(1/(IF(Inputs!$B$39="pvp",15,MAX(0.1,Skills!D8-IF(Skills!E8=TRUE,Inputs!$B$33,0)))*(1-IF(AND(ArtifactsInput!$M$27,Inputs!$B$4="Chapter Hunt"),CHOOSE(ArtifactsInput!$N$27+1,20,24,28,32,36,40),0)/100)),0)</f>
        <v/>
      </c>
      <c r="R1880">
        <f>IF(AND(Inputs!$B$39&lt;&gt;"pvp",Inputs!$B$44&gt;0),IF(MAX(0,Inputs!$B$44-B1912)&lt;=0,0,(INT(MAX(0,Inputs!$B$44-B1912)/(IF(Inputs!$B$39="pvp",15,MAX(0.1,Skills!D8-IF(Skills!E8=TRUE,Inputs!$B$33,0)))*(1-IF(AND(ArtifactsInput!$M$27,Inputs!$B$4="Chapter Hunt"),CHOOSE(ArtifactsInput!$N$27+1,20,24,28,32,36,40),0)/100)))+1)),0)</f>
        <v/>
      </c>
      <c r="S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$21+Skills!O8+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1880*(1-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1880*(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1880*(1-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1880*(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$22+Skills!P8+B1904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1">
      <c r="A1881">
        <f>Skills!A9</f>
        <v/>
      </c>
      <c r="B1881">
        <f>Skills!B9</f>
        <v/>
      </c>
      <c r="C1881">
        <f>Inputs!$B$3&gt;=115</f>
        <v/>
      </c>
      <c r="D1881">
        <f>IF(Skills!C9=1,60+Inputs!$B$26+Inputs!$B$30,IF(Skills!C9=2,90+Inputs!$B$27+Inputs!$B$30,IF(Skills!C9=3,120+Inputs!$B$28+Inputs!$B$30,MAX(0,(Inputs!$B$3-100)*3)+Inputs!$B$29+Inputs!$B$30)))</f>
        <v/>
      </c>
      <c r="E1881">
        <f>INDEX(FactorTable!$B$2:$Y$301, MATCH(ROUND(MIN(300,MAX(1,D1881)),0), FactorTable!$A$2:$A$301,0), Skills!L9+1)</f>
        <v/>
      </c>
      <c r="F1881">
        <f>IF(Skills!M9=TRUE,(Skills!K9/10)*(E1881/1000),Skills!K9/10)+Skills!N9</f>
        <v/>
      </c>
      <c r="G1881">
        <f>Calc!G9</f>
        <v/>
      </c>
      <c r="H1881">
        <f>Calc!H9</f>
        <v/>
      </c>
      <c r="I1881">
        <f>IF(Skills!T9&lt;&gt;"",1+(Skills!T9/10)*($Z$3/1000)/100,1)</f>
        <v/>
      </c>
      <c r="J1881">
        <f>((Inputs!$B$6*(1+Inputs!$B$7/100))+(((Inputs!$B$13*(1+Inputs!$B$14/100))-(Inputs!$B$13*(1+Inputs!$B$14/100)))+0.25*(Inputs!$B$15-Inputs!$B$15))*(1+Inputs!$B$7/100))*(F1881/100)</f>
        <v/>
      </c>
      <c r="K1881">
        <f>J1881*(1+(((Inputs!$B$13+IF(Inputs!$B$3&gt;=35,(10*INDEX(FactorTable!$B$2:$Y$301,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9="TRIUMPH_FEATHER",IF(C1888=TRUE,F1888,0),0)/100)*(1+IF(C1899=TRUE,F1899,0)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1881)</f>
        <v/>
      </c>
      <c r="L1881">
        <f>K1881*(MIN(Inputs!$B$23+(F1894-Calc!F22),(Inputs!$B$24+IF(ArtifactsInput!$M$15,CHOOSE(ArtifactsInput!$N$15+1,25,30,35,40,45,50)/100*(Inputs!$B$12-Inputs!$B$12),0)))/100+(Inputs!$B$24+IF(ArtifactsInput!$M$15,CHOOSE(ArtifactsInput!$N$15+1,25,30,35,40,45,50)/100*(Inputs!$B$12-Inputs!$B$12),0))/100)/2</f>
        <v/>
      </c>
      <c r="M1881">
        <f>L1881*(1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1">
        <f>L1881*(1-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(1-Summary!$B$11)*S1881+Summary!$B$11*U1881</f>
        <v/>
      </c>
      <c r="P1881">
        <f>IF(B1915=0,0,O1881/B1915)</f>
        <v/>
      </c>
      <c r="Q1881">
        <f>IFERROR(1/(IF(Inputs!$B$39="pvp",15,MAX(0.1,Skills!D9-IF(Skills!E9=TRUE,Inputs!$B$33,0)))*(1-IF(AND(ArtifactsInput!$M$27,Inputs!$B$4="Chapter Hunt"),CHOOSE(ArtifactsInput!$N$27+1,20,24,28,32,36,40),0)/100)),0)</f>
        <v/>
      </c>
      <c r="R1881">
        <f>IF(AND(Inputs!$B$39&lt;&gt;"pvp",Inputs!$B$44&gt;0),IF(MAX(0,Inputs!$B$44-B1912)&lt;=0,0,(INT(MAX(0,Inputs!$B$44-B1912)/(IF(Inputs!$B$39="pvp",15,MAX(0.1,Skills!D9-IF(Skills!E9=TRUE,Inputs!$B$33,0)))*(1-IF(AND(ArtifactsInput!$M$27,Inputs!$B$4="Chapter Hunt"),CHOOSE(ArtifactsInput!$N$27+1,20,24,28,32,36,40),0)/100)))+1)),0)</f>
        <v/>
      </c>
      <c r="S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$21+Skills!O9+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1881*(1-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$22+Skills!P9+B1904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Skills!A10</f>
        <v/>
      </c>
      <c r="B1882">
        <f>Skills!B10</f>
        <v/>
      </c>
      <c r="C1882">
        <f>Inputs!$B$3&gt;=66</f>
        <v/>
      </c>
      <c r="D1882">
        <f>IF(Skills!C10=1,60+Inputs!$B$26+Inputs!$B$30,IF(Skills!C10=2,90+Inputs!$B$27+Inputs!$B$30,IF(Skills!C10=3,120+Inputs!$B$28+Inputs!$B$30,MAX(0,(Inputs!$B$3-100)*3)+Inputs!$B$29+Inputs!$B$30)))</f>
        <v/>
      </c>
      <c r="E1882">
        <f>INDEX(FactorTable!$B$2:$Y$301, MATCH(ROUND(MIN(300,MAX(1,D1882)),0), FactorTable!$A$2:$A$301,0), Skills!L10+1)</f>
        <v/>
      </c>
      <c r="F1882" t="n">
        <v>0</v>
      </c>
      <c r="G1882">
        <f>Calc!G10</f>
        <v/>
      </c>
      <c r="H1882">
        <f>Calc!H10</f>
        <v/>
      </c>
      <c r="I1882">
        <f>IF(Skills!T10&lt;&gt;"",1+(Skills!T10/10)*($Z$3/1000)/100,1)</f>
        <v/>
      </c>
      <c r="J1882" t="inlineStr"/>
      <c r="K1882" t="inlineStr"/>
      <c r="L1882" t="inlineStr"/>
      <c r="M1882" t="inlineStr"/>
      <c r="N1882" t="inlineStr"/>
      <c r="O1882">
        <f>(1-Summary!$B$11)*S1882+Summary!$B$11*U1882</f>
        <v/>
      </c>
      <c r="P1882">
        <f>IF(B1915=0,0,O1882/B1915)</f>
        <v/>
      </c>
      <c r="Q1882">
        <f>IFERROR(1/(IF(Inputs!$B$39="pvp",15,MAX(0.1,Skills!D10-IF(Skills!E10=TRUE,Inputs!$B$33,0)))*(1-IF(AND(ArtifactsInput!$M$27,Inputs!$B$4="Chapter Hunt"),CHOOSE(ArtifactsInput!$N$27+1,20,24,28,32,36,40),0)/100)),0)</f>
        <v/>
      </c>
      <c r="R1882">
        <f>IF(AND(Inputs!$B$39&lt;&gt;"pvp",Inputs!$B$44&gt;0),IF(MAX(0,Inputs!$B$44-B1912)&lt;=0,0,(INT(MAX(0,Inputs!$B$44-B1912)/(IF(Inputs!$B$39="pvp",15,MAX(0.1,Skills!D10-IF(Skills!E10=TRUE,Inputs!$B$33,0)))*(1-IF(AND(ArtifactsInput!$M$27,Inputs!$B$4="Chapter Hunt"),CHOOSE(ArtifactsInput!$N$27+1,20,24,28,32,36,40),0)/100)))+1)),0)</f>
        <v/>
      </c>
      <c r="S1882" t="n">
        <v>0</v>
      </c>
      <c r="U1882" t="n">
        <v>0</v>
      </c>
    </row>
    <row r="1883">
      <c r="A1883">
        <f>Skills!A11</f>
        <v/>
      </c>
      <c r="B1883">
        <f>Skills!B11</f>
        <v/>
      </c>
      <c r="C1883">
        <f>Inputs!$B$3&gt;=69</f>
        <v/>
      </c>
      <c r="D1883">
        <f>IF(Skills!C11=1,60+Inputs!$B$26+Inputs!$B$30,IF(Skills!C11=2,90+Inputs!$B$27+Inputs!$B$30,IF(Skills!C11=3,120+Inputs!$B$28+Inputs!$B$30,MAX(0,(Inputs!$B$3-100)*3)+Inputs!$B$29+Inputs!$B$30)))</f>
        <v/>
      </c>
      <c r="E1883">
        <f>INDEX(FactorTable!$B$2:$Y$301, MATCH(ROUND(MIN(300,MAX(1,D1883)),0), FactorTable!$A$2:$A$301,0), Skills!L11+1)</f>
        <v/>
      </c>
      <c r="F1883">
        <f>IF(Skills!M11=TRUE,(Skills!K11/10)*(E1883/1000),Skills!K11/10)+Skills!N11</f>
        <v/>
      </c>
      <c r="G1883">
        <f>Calc!G11</f>
        <v/>
      </c>
      <c r="H1883">
        <f>Calc!H11</f>
        <v/>
      </c>
      <c r="I1883">
        <f>IF(Skills!T11&lt;&gt;"",1+(Skills!T11/10)*($Z$3/1000)/100,1)</f>
        <v/>
      </c>
      <c r="J1883" t="inlineStr"/>
      <c r="K1883" t="inlineStr"/>
      <c r="L1883" t="inlineStr"/>
      <c r="M1883" t="inlineStr"/>
      <c r="N1883" t="inlineStr"/>
      <c r="O1883">
        <f>(1-Summary!$B$11)*S1883+Summary!$B$11*U1883</f>
        <v/>
      </c>
      <c r="P1883">
        <f>IF(B1915=0,0,O1883/B1915)</f>
        <v/>
      </c>
      <c r="Q1883">
        <f>IFERROR(1/(IF(Inputs!$B$39="pvp",15,MAX(0.1,Skills!D11-IF(Skills!E11=TRUE,Inputs!$B$33,0)))*(1-IF(AND(ArtifactsInput!$M$27,Inputs!$B$4="Chapter Hunt"),CHOOSE(ArtifactsInput!$N$27+1,20,24,28,32,36,40),0)/100)),0)</f>
        <v/>
      </c>
      <c r="R1883">
        <f>IF(AND(Inputs!$B$39&lt;&gt;"pvp",Inputs!$B$44&gt;0),IF(Inputs!$B$44&lt;=0,0,(INT(Inputs!$B$44/(IF(Inputs!$B$39="pvp",15,MAX(0.1,Skills!D11-IF(Skills!E11=TRUE,Inputs!$B$33,0)))*(1-IF(AND(ArtifactsInput!$M$27,Inputs!$B$4="Chapter Hunt"),CHOOSE(ArtifactsInput!$N$27+1,20,24,28,32,36,40),0)/100)))+1)),0)</f>
        <v/>
      </c>
      <c r="S1883" t="n">
        <v>0</v>
      </c>
      <c r="U1883" t="n">
        <v>0</v>
      </c>
    </row>
    <row r="1884">
      <c r="A1884">
        <f>Skills!A12</f>
        <v/>
      </c>
      <c r="B1884">
        <f>Skills!B12</f>
        <v/>
      </c>
      <c r="C1884">
        <f>Inputs!$B$3&gt;=72</f>
        <v/>
      </c>
      <c r="D1884">
        <f>IF(Skills!C12=1,60+Inputs!$B$26+Inputs!$B$30,IF(Skills!C12=2,90+Inputs!$B$27+Inputs!$B$30,IF(Skills!C12=3,120+Inputs!$B$28+Inputs!$B$30,MAX(0,(Inputs!$B$3-100)*3)+Inputs!$B$29+Inputs!$B$30)))</f>
        <v/>
      </c>
      <c r="E1884">
        <f>INDEX(FactorTable!$B$2:$Y$301, MATCH(ROUND(MIN(300,MAX(1,D1884)),0), FactorTable!$A$2:$A$301,0), Skills!L12+1)</f>
        <v/>
      </c>
      <c r="F1884">
        <f>IF(Skills!M12=TRUE,(Skills!K12/10)*(E1884/1000),Skills!K12/10)+Skills!N12</f>
        <v/>
      </c>
      <c r="G1884">
        <f>Calc!G12</f>
        <v/>
      </c>
      <c r="H1884">
        <f>Calc!H12</f>
        <v/>
      </c>
      <c r="I1884">
        <f>IF(Skills!T12&lt;&gt;"",1+(Skills!T12/10)*($Z$3/1000)/100,1)</f>
        <v/>
      </c>
      <c r="J1884" t="inlineStr"/>
      <c r="K1884" t="inlineStr"/>
      <c r="L1884" t="inlineStr"/>
      <c r="M1884" t="inlineStr"/>
      <c r="N1884" t="inlineStr"/>
      <c r="O1884">
        <f>(1-Summary!$B$11)*S1884+Summary!$B$11*U1884</f>
        <v/>
      </c>
      <c r="P1884">
        <f>IF(B1915=0,0,O1884/B1915)</f>
        <v/>
      </c>
      <c r="Q1884">
        <f>IFERROR(1/(IF(Inputs!$B$39="pvp",15,MAX(0.1,Skills!D12-IF(Skills!E12=TRUE,Inputs!$B$33,0)))*(1-IF(AND(ArtifactsInput!$M$27,Inputs!$B$4="Chapter Hunt"),CHOOSE(ArtifactsInput!$N$27+1,20,24,28,32,36,40),0)/100)),0)</f>
        <v/>
      </c>
      <c r="R1884">
        <f>IF(AND(Inputs!$B$39&lt;&gt;"pvp",Inputs!$B$44&gt;0),IF(MAX(0,Inputs!$B$44-B1912)&lt;=0,0,(INT(MAX(0,Inputs!$B$44-B1912)/(IF(Inputs!$B$39="pvp",15,MAX(0.1,Skills!D12-IF(Skills!E12=TRUE,Inputs!$B$33,0)))*(1-IF(AND(ArtifactsInput!$M$27,Inputs!$B$4="Chapter Hunt"),CHOOSE(ArtifactsInput!$N$27+1,20,24,28,32,36,40),0)/100)))+1)),0)</f>
        <v/>
      </c>
      <c r="S1884" t="n">
        <v>0</v>
      </c>
      <c r="U1884" t="n">
        <v>0</v>
      </c>
    </row>
    <row r="1885">
      <c r="A1885">
        <f>Skills!A13</f>
        <v/>
      </c>
      <c r="B1885">
        <f>Skills!B13</f>
        <v/>
      </c>
      <c r="C1885">
        <f>Inputs!$B$3&gt;=60</f>
        <v/>
      </c>
      <c r="D1885">
        <f>IF(Skills!C13=1,60+Inputs!$B$26+Inputs!$B$30,IF(Skills!C13=2,90+Inputs!$B$27+Inputs!$B$30,IF(Skills!C13=3,120+Inputs!$B$28+Inputs!$B$30,MAX(0,(Inputs!$B$3-100)*3)+Inputs!$B$29+Inputs!$B$30)))</f>
        <v/>
      </c>
      <c r="E1885">
        <f>INDEX(FactorTable!$B$2:$Y$301, MATCH(ROUND(MIN(300,MAX(1,D1885)),0), FactorTable!$A$2:$A$301,0), Skills!L13+1)</f>
        <v/>
      </c>
      <c r="F1885">
        <f>IF(Skills!M13=TRUE,(Skills!K13/10)*(E1885/1000),Skills!K13/10)+Skills!N13</f>
        <v/>
      </c>
      <c r="G1885">
        <f>Calc!G13</f>
        <v/>
      </c>
      <c r="H1885">
        <f>Calc!H13</f>
        <v/>
      </c>
      <c r="I1885">
        <f>IF(Skills!T13&lt;&gt;"",1+(Skills!T13/10)*($Z$3/1000)/100,1)</f>
        <v/>
      </c>
      <c r="J1885" t="inlineStr"/>
      <c r="K1885" t="inlineStr"/>
      <c r="L1885" t="inlineStr"/>
      <c r="M1885" t="inlineStr"/>
      <c r="N1885" t="inlineStr"/>
      <c r="O1885">
        <f>(1-Summary!$B$11)*S1885+Summary!$B$11*U1885</f>
        <v/>
      </c>
      <c r="P1885">
        <f>IF(B1915=0,0,O1885/B1915)</f>
        <v/>
      </c>
      <c r="Q1885">
        <f>IFERROR(1/(IF(Inputs!$B$39="pvp",15,MAX(0.1,Skills!D13-IF(Skills!E13=TRUE,Inputs!$B$33,0)))*(1-IF(AND(ArtifactsInput!$M$27,Inputs!$B$4="Chapter Hunt"),CHOOSE(ArtifactsInput!$N$27+1,20,24,28,32,36,40),0)/100)),0)</f>
        <v/>
      </c>
      <c r="R1885">
        <f>IF(AND(Inputs!$B$39&lt;&gt;"pvp",Inputs!$B$44&gt;0),IF(MAX(0,Inputs!$B$44-B1912)&lt;=0,0,(INT(MAX(0,Inputs!$B$44-B1912)/(IF(Inputs!$B$39="pvp",15,MAX(0.1,Skills!D13-IF(Skills!E13=TRUE,Inputs!$B$33,0)))*(1-IF(AND(ArtifactsInput!$M$27,Inputs!$B$4="Chapter Hunt"),CHOOSE(ArtifactsInput!$N$27+1,20,24,28,32,36,40),0)/100)))+1)),0)</f>
        <v/>
      </c>
      <c r="S1885" t="n">
        <v>0</v>
      </c>
      <c r="U1885" t="n">
        <v>0</v>
      </c>
    </row>
    <row r="1886">
      <c r="A1886">
        <f>Skills!A14</f>
        <v/>
      </c>
      <c r="B1886">
        <f>Skills!B14</f>
        <v/>
      </c>
      <c r="C1886">
        <f>Inputs!$B$3&gt;=107</f>
        <v/>
      </c>
      <c r="D1886">
        <f>IF(Skills!C14=1,60+Inputs!$B$26+Inputs!$B$30,IF(Skills!C14=2,90+Inputs!$B$27+Inputs!$B$30,IF(Skills!C14=3,120+Inputs!$B$28+Inputs!$B$30,MAX(0,(Inputs!$B$3-100)*3)+Inputs!$B$29+Inputs!$B$30)))</f>
        <v/>
      </c>
      <c r="E1886">
        <f>INDEX(FactorTable!$B$2:$Y$301, MATCH(ROUND(MIN(300,MAX(1,D1886)),0), FactorTable!$A$2:$A$301,0), Skills!L14+1)</f>
        <v/>
      </c>
      <c r="F1886">
        <f>IF(Skills!M14=TRUE,(Skills!K14/10)*(E1886/1000),Skills!K14/10)+Skills!N14</f>
        <v/>
      </c>
      <c r="G1886">
        <f>Calc!G14</f>
        <v/>
      </c>
      <c r="H1886">
        <f>Calc!H14</f>
        <v/>
      </c>
      <c r="I1886">
        <f>IF(Skills!T14&lt;&gt;"",1+(Skills!T14/10)*($Z$3/1000)/100,1)</f>
        <v/>
      </c>
      <c r="J1886" t="inlineStr"/>
      <c r="K1886" t="inlineStr"/>
      <c r="L1886" t="inlineStr"/>
      <c r="M1886" t="inlineStr"/>
      <c r="N1886" t="inlineStr"/>
      <c r="O1886">
        <f>(1-Summary!$B$11)*S1886+Summary!$B$11*U1886</f>
        <v/>
      </c>
      <c r="P1886">
        <f>IF(B1915=0,0,O1886/B1915)</f>
        <v/>
      </c>
      <c r="Q1886">
        <f>IFERROR(1/(IF(Inputs!$B$39="pvp",15,MAX(0.1,Skills!D14-IF(Skills!E14=TRUE,Inputs!$B$33,0)))*(1-IF(AND(ArtifactsInput!$M$27,Inputs!$B$4="Chapter Hunt"),CHOOSE(ArtifactsInput!$N$27+1,20,24,28,32,36,40),0)/100)),0)</f>
        <v/>
      </c>
      <c r="R1886">
        <f>IF(AND(Inputs!$B$39&lt;&gt;"pvp",Inputs!$B$44&gt;0),IF(Inputs!$B$44&lt;=0,0,(INT(Inputs!$B$44/(IF(Inputs!$B$39="pvp",15,MAX(0.1,Skills!D14-IF(Skills!E14=TRUE,Inputs!$B$33,0)))*(1-IF(AND(ArtifactsInput!$M$27,Inputs!$B$4="Chapter Hunt"),CHOOSE(ArtifactsInput!$N$27+1,20,24,28,32,36,40),0)/100)))+1)),0)</f>
        <v/>
      </c>
      <c r="S1886" t="n">
        <v>0</v>
      </c>
      <c r="U1886" t="n">
        <v>0</v>
      </c>
    </row>
    <row r="1887">
      <c r="A1887">
        <f>Skills!A15</f>
        <v/>
      </c>
      <c r="B1887">
        <f>Skills!B15</f>
        <v/>
      </c>
      <c r="C1887">
        <f>Inputs!$B$3&gt;=63</f>
        <v/>
      </c>
      <c r="D1887">
        <f>IF(Skills!C15=1,60+Inputs!$B$26+Inputs!$B$30,IF(Skills!C15=2,90+Inputs!$B$27+Inputs!$B$30,IF(Skills!C15=3,120+Inputs!$B$28+Inputs!$B$30,MAX(0,(Inputs!$B$3-100)*3)+Inputs!$B$29+Inputs!$B$30)))</f>
        <v/>
      </c>
      <c r="E1887">
        <f>INDEX(FactorTable!$B$2:$Y$301, MATCH(ROUND(MIN(300,MAX(1,D1887)),0), FactorTable!$A$2:$A$301,0), Skills!L15+1)</f>
        <v/>
      </c>
      <c r="F1887">
        <f>IF(Skills!M15=TRUE,(Skills!K15/10)*(E1887/1000),Skills!K15/10)+Skills!N15</f>
        <v/>
      </c>
      <c r="G1887">
        <f>Calc!G15</f>
        <v/>
      </c>
      <c r="H1887">
        <f>Calc!H15</f>
        <v/>
      </c>
      <c r="I1887">
        <f>IF(Skills!T15&lt;&gt;"",1+(Skills!T15/10)*($Z$3/1000)/100,1)</f>
        <v/>
      </c>
      <c r="J1887">
        <f>((Inputs!$B$6*(1+Inputs!$B$7/100))+(((Inputs!$B$13*(1+Inputs!$B$14/100))-(Inputs!$B$13*(1+Inputs!$B$14/100)))+0.25*(Inputs!$B$15-Inputs!$B$15))*(1+Inputs!$B$7/100))*(F1887/100)</f>
        <v/>
      </c>
      <c r="K1887">
        <f>J1887*(1+(((Inputs!$B$13+IF(Inputs!$B$3&gt;=35,(10*INDEX(FactorTable!$B$2:$Y$301,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15="TRIUMPH_FEATHER",IF(C1888=TRUE,F1888,0),0)/100)*(1+IF(C1899=TRUE,F1899,0)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1887)</f>
        <v/>
      </c>
      <c r="L1887">
        <f>K1887*(MIN(Inputs!$B$23+(F1894-Calc!F22),(Inputs!$B$24+IF(ArtifactsInput!$M$15,CHOOSE(ArtifactsInput!$N$15+1,25,30,35,40,45,50)/100*(Inputs!$B$12-Inputs!$B$12),0)))/100+(Inputs!$B$24+IF(ArtifactsInput!$M$15,CHOOSE(ArtifactsInput!$N$15+1,25,30,35,40,45,50)/100*(Inputs!$B$12-Inputs!$B$12),0))/100)/2</f>
        <v/>
      </c>
      <c r="M1887">
        <f>L1887*(1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7">
        <f>L1887*(1-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(1-Summary!$B$11)*S1887+Summary!$B$11*U1887</f>
        <v/>
      </c>
      <c r="P1887">
        <f>IF(B1915=0,0,O1887/B1915)</f>
        <v/>
      </c>
      <c r="Q1887">
        <f>IFERROR(1/(IF(Inputs!$B$39="pvp",15,MAX(0.1,Skills!D15-IF(Skills!E15=TRUE,Inputs!$B$33,0)))*(1-IF(AND(ArtifactsInput!$M$27,Inputs!$B$4="Chapter Hunt"),CHOOSE(ArtifactsInput!$N$27+1,20,24,28,32,36,40),0)/100)),0)</f>
        <v/>
      </c>
      <c r="R1887" t="n">
        <v>0</v>
      </c>
      <c r="S1887">
        <f>IF(C1887,(Skills!F15*N1887*((IF(Inputs!$B$3&gt;=78,25,15)/100*B1908*10)/(1+IF(Inputs!$B$3&gt;=78,25,15)/100*B1908*10))*(Skills!I15/100*B1908)/(1+Skills!G15*Skills!I15/100*B1908))*IF(Inputs!$B$39="pvp",1,1+(Inputs!$B$21+Skills!O15+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1887*(1-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IF(C1887,(Skills!F15*N1887*((IF(Inputs!$B$3&gt;=78,25,15)/100*B1908*10)/(1+IF(Inputs!$B$3&gt;=78,25,15)/100*B1908*10))*(Skills!I15/100*B1908)/(1+Skills!G15*Skills!I15/100*B1908))*IF(Inputs!$B$39="pvp",1,(1+(Inputs!$B$22+Skills!P15+B1904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Skills!A16</f>
        <v/>
      </c>
      <c r="B1888">
        <f>Skills!B16</f>
        <v/>
      </c>
      <c r="C1888">
        <f>Inputs!$B$3&gt;=100</f>
        <v/>
      </c>
      <c r="D1888">
        <f>IF(Skills!C16=1,60+Inputs!$B$26+Inputs!$B$30,IF(Skills!C16=2,90+Inputs!$B$27+Inputs!$B$30,IF(Skills!C16=3,120+Inputs!$B$28+Inputs!$B$30,MAX(0,(Inputs!$B$3-100)*3)+Inputs!$B$29+Inputs!$B$30)))</f>
        <v/>
      </c>
      <c r="E1888">
        <f>INDEX(FactorTable!$B$2:$Y$301, MATCH(ROUND(MIN(300,MAX(1,D1888)),0), FactorTable!$A$2:$A$301,0), Skills!L16+1)</f>
        <v/>
      </c>
      <c r="F1888">
        <f>IF(Skills!M16=TRUE,(Skills!K16/10)*(E1888/1000),Skills!K16/10)+Skills!N16</f>
        <v/>
      </c>
      <c r="G1888">
        <f>Calc!G16</f>
        <v/>
      </c>
      <c r="H1888">
        <f>Calc!H16</f>
        <v/>
      </c>
      <c r="I1888">
        <f>IF(Skills!T16&lt;&gt;"",1+(Skills!T16/10)*($Z$3/1000)/100,1)</f>
        <v/>
      </c>
      <c r="J1888" t="inlineStr"/>
      <c r="K1888" t="inlineStr"/>
      <c r="L1888" t="inlineStr"/>
      <c r="M1888" t="inlineStr"/>
      <c r="N1888" t="inlineStr"/>
      <c r="O1888">
        <f>(1-Summary!$B$11)*S1888+Summary!$B$11*U1888</f>
        <v/>
      </c>
      <c r="P1888">
        <f>IF(B1915=0,0,O1888/B1915)</f>
        <v/>
      </c>
      <c r="Q1888">
        <f>IFERROR(1/(IF(Inputs!$B$39="pvp",15,MAX(0.1,Skills!D16-IF(Skills!E16=TRUE,Inputs!$B$33,0)))*(1-IF(AND(ArtifactsInput!$M$27,Inputs!$B$4="Chapter Hunt"),CHOOSE(ArtifactsInput!$N$27+1,20,24,28,32,36,40),0)/100)),0)</f>
        <v/>
      </c>
      <c r="R1888" t="n">
        <v>0</v>
      </c>
      <c r="S1888" t="n">
        <v>0</v>
      </c>
      <c r="U1888" t="n">
        <v>0</v>
      </c>
    </row>
    <row r="1889">
      <c r="A1889">
        <f>Skills!A17</f>
        <v/>
      </c>
      <c r="B1889">
        <f>Skills!B17</f>
        <v/>
      </c>
      <c r="C1889">
        <f>Inputs!$B$3&gt;=49</f>
        <v/>
      </c>
      <c r="D1889">
        <f>IF(Skills!C17=1,60+Inputs!$B$26+Inputs!$B$30,IF(Skills!C17=2,90+Inputs!$B$27+Inputs!$B$30,IF(Skills!C17=3,120+Inputs!$B$28+Inputs!$B$30,MAX(0,(Inputs!$B$3-100)*3)+Inputs!$B$29+Inputs!$B$30)))</f>
        <v/>
      </c>
      <c r="E1889">
        <f>INDEX(FactorTable!$B$2:$Y$301, MATCH(ROUND(MIN(300,MAX(1,D1889)),0), FactorTable!$A$2:$A$301,0), Skills!L17+1)</f>
        <v/>
      </c>
      <c r="F1889">
        <f>IF(Skills!M17=TRUE,(Skills!K17/10)*(E1889/1000),Skills!K17/10)+Skills!N17</f>
        <v/>
      </c>
      <c r="G1889">
        <f>Calc!G17</f>
        <v/>
      </c>
      <c r="H1889">
        <f>Calc!H17</f>
        <v/>
      </c>
      <c r="I1889">
        <f>IF(Skills!T17&lt;&gt;"",1+(Skills!T17/10)*($Z$3/1000)/100,1)</f>
        <v/>
      </c>
      <c r="J1889" t="inlineStr"/>
      <c r="K1889" t="inlineStr"/>
      <c r="L1889" t="inlineStr"/>
      <c r="M1889" t="inlineStr"/>
      <c r="N1889" t="inlineStr"/>
      <c r="O1889">
        <f>(1-Summary!$B$11)*S1889+Summary!$B$11*U1889</f>
        <v/>
      </c>
      <c r="P1889">
        <f>IF(B1915=0,0,O1889/B1915)</f>
        <v/>
      </c>
      <c r="Q1889">
        <f>IFERROR(1/(IF(Inputs!$B$39="pvp",15,MAX(0.1,Skills!D17-IF(Skills!E17=TRUE,Inputs!$B$33,0)))*(1-IF(AND(ArtifactsInput!$M$27,Inputs!$B$4="Chapter Hunt"),CHOOSE(ArtifactsInput!$N$27+1,20,24,28,32,36,40),0)/100)),0)</f>
        <v/>
      </c>
      <c r="R1889" t="n">
        <v>0</v>
      </c>
      <c r="S1889" t="n">
        <v>0</v>
      </c>
      <c r="U1889" t="n">
        <v>0</v>
      </c>
    </row>
    <row r="1890">
      <c r="A1890">
        <f>Skills!A18</f>
        <v/>
      </c>
      <c r="B1890">
        <f>Skills!B18</f>
        <v/>
      </c>
      <c r="C1890">
        <f>Inputs!$B$3&gt;=75</f>
        <v/>
      </c>
      <c r="D1890">
        <f>IF(Skills!C18=1,60+Inputs!$B$26+Inputs!$B$30,IF(Skills!C18=2,90+Inputs!$B$27+Inputs!$B$30,IF(Skills!C18=3,120+Inputs!$B$28+Inputs!$B$30,MAX(0,(Inputs!$B$3-100)*3)+Inputs!$B$29+Inputs!$B$30)))</f>
        <v/>
      </c>
      <c r="E1890">
        <f>INDEX(FactorTable!$B$2:$Y$301, MATCH(ROUND(MIN(300,MAX(1,D1890)),0), FactorTable!$A$2:$A$301,0), Skills!L18+1)</f>
        <v/>
      </c>
      <c r="F1890">
        <f>IF(Skills!M18=TRUE,(Skills!K18/10)*(E1890/1000),Skills!K18/10)+Skills!N18</f>
        <v/>
      </c>
      <c r="G1890">
        <f>Calc!G18</f>
        <v/>
      </c>
      <c r="H1890">
        <f>Calc!H18</f>
        <v/>
      </c>
      <c r="I1890">
        <f>IF(Skills!T18&lt;&gt;"",1+(Skills!T18/10)*($Z$3/1000)/100,1)</f>
        <v/>
      </c>
      <c r="J1890" t="inlineStr"/>
      <c r="K1890" t="inlineStr"/>
      <c r="L1890" t="inlineStr"/>
      <c r="M1890" t="inlineStr"/>
      <c r="N1890" t="inlineStr"/>
      <c r="O1890">
        <f>(1-Summary!$B$11)*S1890+Summary!$B$11*U1890</f>
        <v/>
      </c>
      <c r="P1890">
        <f>IF(B1915=0,0,O1890/B1915)</f>
        <v/>
      </c>
      <c r="Q1890">
        <f>IFERROR(1/(IF(Inputs!$B$39="pvp",15,MAX(0.1,Skills!D18-IF(Skills!E18=TRUE,Inputs!$B$33,0)))*(1-IF(AND(ArtifactsInput!$M$27,Inputs!$B$4="Chapter Hunt"),CHOOSE(ArtifactsInput!$N$27+1,20,24,28,32,36,40),0)/100)),0)</f>
        <v/>
      </c>
      <c r="R1890" t="n">
        <v>0</v>
      </c>
      <c r="S1890" t="n">
        <v>0</v>
      </c>
      <c r="U1890" t="n">
        <v>0</v>
      </c>
    </row>
    <row r="1891">
      <c r="A1891">
        <f>Skills!A19</f>
        <v/>
      </c>
      <c r="B1891">
        <f>Skills!B19</f>
        <v/>
      </c>
      <c r="C1891">
        <f>Inputs!$B$3&gt;=110</f>
        <v/>
      </c>
      <c r="D1891">
        <f>IF(Skills!C19=1,60+Inputs!$B$26+Inputs!$B$30,IF(Skills!C19=2,90+Inputs!$B$27+Inputs!$B$30,IF(Skills!C19=3,120+Inputs!$B$28+Inputs!$B$30,MAX(0,(Inputs!$B$3-100)*3)+Inputs!$B$29+Inputs!$B$30)))</f>
        <v/>
      </c>
      <c r="E1891">
        <f>INDEX(FactorTable!$B$2:$Y$301, MATCH(ROUND(MIN(300,MAX(1,D1891)),0), FactorTable!$A$2:$A$301,0), Skills!L19+1)</f>
        <v/>
      </c>
      <c r="F1891">
        <f>(Skills!K19/10)*(E1891/1000)*64/45+Skills!N19</f>
        <v/>
      </c>
      <c r="G1891">
        <f>Calc!G19</f>
        <v/>
      </c>
      <c r="H1891">
        <f>Calc!H19</f>
        <v/>
      </c>
      <c r="I1891">
        <f>IF(Skills!T19&lt;&gt;"",1+(Skills!T19/10)*($Z$3/1000)/100,1)</f>
        <v/>
      </c>
      <c r="J1891" t="inlineStr"/>
      <c r="K1891" t="inlineStr"/>
      <c r="L1891" t="inlineStr"/>
      <c r="M1891" t="inlineStr"/>
      <c r="N1891" t="inlineStr"/>
      <c r="O1891">
        <f>(1-Summary!$B$11)*S1891+Summary!$B$11*U1891</f>
        <v/>
      </c>
      <c r="P1891">
        <f>IF(B1915=0,0,O1891/B1915)</f>
        <v/>
      </c>
      <c r="Q1891">
        <f>IFERROR(1/(IF(Inputs!$B$39="pvp",15,MAX(0.1,Skills!D19-IF(Skills!E19=TRUE,Inputs!$B$33,0)))*(1-IF(AND(ArtifactsInput!$M$27,Inputs!$B$4="Chapter Hunt"),CHOOSE(ArtifactsInput!$N$27+1,20,24,28,32,36,40),0)/100)),0)</f>
        <v/>
      </c>
      <c r="R1891">
        <f>IF(AND(Inputs!$B$39&lt;&gt;"pvp",Inputs!$B$44&gt;0),IF(Inputs!$B$44&lt;=0,0,(INT(Inputs!$B$44/(IF(Inputs!$B$39="pvp",15,MAX(0.1,Skills!D19-IF(Skills!E19=TRUE,Inputs!$B$33,0)))*(1-IF(AND(ArtifactsInput!$M$27,Inputs!$B$4="Chapter Hunt"),CHOOSE(ArtifactsInput!$N$27+1,20,24,28,32,36,40),0)/100)))+1)),0)</f>
        <v/>
      </c>
      <c r="S1891" t="n">
        <v>0</v>
      </c>
      <c r="U1891" t="n">
        <v>0</v>
      </c>
    </row>
    <row r="1892">
      <c r="A1892">
        <f>Skills!A20</f>
        <v/>
      </c>
      <c r="B1892">
        <f>Skills!B20</f>
        <v/>
      </c>
      <c r="C1892">
        <f>Inputs!$B$3&gt;=125</f>
        <v/>
      </c>
      <c r="D1892">
        <f>IF(Skills!C20=1,60+Inputs!$B$26+Inputs!$B$30,IF(Skills!C20=2,90+Inputs!$B$27+Inputs!$B$30,IF(Skills!C20=3,120+Inputs!$B$28+Inputs!$B$30,MAX(0,(Inputs!$B$3-100)*3)+Inputs!$B$29+Inputs!$B$30)))</f>
        <v/>
      </c>
      <c r="E1892">
        <f>INDEX(FactorTable!$B$2:$Y$301, MATCH(ROUND(MIN(300,MAX(1,D1892)),0), FactorTable!$A$2:$A$301,0), Skills!L20+1)</f>
        <v/>
      </c>
      <c r="F1892">
        <f>IF(Skills!M20=TRUE,(Skills!K20/10)*(E1892/1000),Skills!K20/10)+Skills!N20</f>
        <v/>
      </c>
      <c r="G1892">
        <f>Calc!G20</f>
        <v/>
      </c>
      <c r="H1892">
        <f>Calc!H20</f>
        <v/>
      </c>
      <c r="I1892">
        <f>IF(Skills!T20&lt;&gt;"",1+(Skills!T20/10)*($Z$3/1000)/100,1)</f>
        <v/>
      </c>
      <c r="J1892" t="inlineStr"/>
      <c r="K1892" t="inlineStr"/>
      <c r="L1892" t="inlineStr"/>
      <c r="M1892" t="inlineStr"/>
      <c r="N1892" t="inlineStr"/>
      <c r="O1892">
        <f>(1-Summary!$B$11)*S1892+Summary!$B$11*U1892</f>
        <v/>
      </c>
      <c r="P1892">
        <f>IF(B1915=0,0,O1892/B1915)</f>
        <v/>
      </c>
      <c r="Q1892">
        <f>IFERROR(1/(IF(Inputs!$B$39="pvp",15,MAX(0.1,Skills!D20-IF(Skills!E20=TRUE,Inputs!$B$33,0)))*(1-IF(AND(ArtifactsInput!$M$27,Inputs!$B$4="Chapter Hunt"),CHOOSE(ArtifactsInput!$N$27+1,20,24,28,32,36,40),0)/100)),0)</f>
        <v/>
      </c>
      <c r="R1892" t="n">
        <v>0</v>
      </c>
      <c r="S1892" t="n">
        <v>0</v>
      </c>
      <c r="U1892" t="n">
        <v>0</v>
      </c>
    </row>
    <row r="1893">
      <c r="A1893">
        <f>Skills!A21</f>
        <v/>
      </c>
      <c r="B1893">
        <f>Skills!B21</f>
        <v/>
      </c>
      <c r="C1893">
        <f>Inputs!$B$3&gt;=33</f>
        <v/>
      </c>
      <c r="D1893">
        <f>IF(Skills!C21=1,60+Inputs!$B$26+Inputs!$B$30,IF(Skills!C21=2,90+Inputs!$B$27+Inputs!$B$30,IF(Skills!C21=3,120+Inputs!$B$28+Inputs!$B$30,MAX(0,(Inputs!$B$3-100)*3)+Inputs!$B$29+Inputs!$B$30)))</f>
        <v/>
      </c>
      <c r="E1893">
        <f>INDEX(FactorTable!$B$2:$Y$301, MATCH(ROUND(MIN(300,MAX(1,D1893)),0), FactorTable!$A$2:$A$301,0), Skills!L21+1)</f>
        <v/>
      </c>
      <c r="F1893">
        <f>IF(Skills!M21=TRUE,(Skills!K21/10)*(E1893/1000),Skills!K21/10)+Skills!N21</f>
        <v/>
      </c>
      <c r="G1893">
        <f>Calc!G21</f>
        <v/>
      </c>
      <c r="H1893">
        <f>Calc!H21</f>
        <v/>
      </c>
      <c r="I1893">
        <f>IF(Skills!T21&lt;&gt;"",1+(Skills!T21/10)*($Z$3/1000)/100,1)</f>
        <v/>
      </c>
      <c r="J1893" t="inlineStr"/>
      <c r="K1893" t="inlineStr"/>
      <c r="L1893" t="inlineStr"/>
      <c r="M1893" t="inlineStr"/>
      <c r="N1893" t="inlineStr"/>
      <c r="O1893">
        <f>(1-Summary!$B$11)*S1893+Summary!$B$11*U1893</f>
        <v/>
      </c>
      <c r="P1893">
        <f>IF(B1915=0,0,O1893/B1915)</f>
        <v/>
      </c>
      <c r="Q1893">
        <f>IFERROR(1/(IF(Inputs!$B$39="pvp",15,MAX(0.1,Skills!D21-IF(Skills!E21=TRUE,Inputs!$B$33,0)))*(1-IF(AND(ArtifactsInput!$M$27,Inputs!$B$4="Chapter Hunt"),CHOOSE(ArtifactsInput!$N$27+1,20,24,28,32,36,40),0)/100)),0)</f>
        <v/>
      </c>
      <c r="R1893" t="n">
        <v>0</v>
      </c>
      <c r="S1893" t="n">
        <v>0</v>
      </c>
      <c r="U1893" t="n">
        <v>0</v>
      </c>
    </row>
    <row r="1894">
      <c r="A1894">
        <f>Skills!A22</f>
        <v/>
      </c>
      <c r="B1894">
        <f>Skills!B22</f>
        <v/>
      </c>
      <c r="C1894">
        <f>Inputs!$B$3&gt;=43</f>
        <v/>
      </c>
      <c r="D1894">
        <f>IF(Skills!C22=1,60+Inputs!$B$26+Inputs!$B$30,IF(Skills!C22=2,90+Inputs!$B$27+Inputs!$B$30,IF(Skills!C22=3,120+Inputs!$B$28+Inputs!$B$30,MAX(0,(Inputs!$B$3-100)*3)+Inputs!$B$29+Inputs!$B$30)))</f>
        <v/>
      </c>
      <c r="E1894">
        <f>INDEX(FactorTable!$B$2:$Y$301, MATCH(ROUND(MIN(300,MAX(1,D1894)),0), FactorTable!$A$2:$A$301,0), Skills!L22+1)</f>
        <v/>
      </c>
      <c r="F1894">
        <f>IF(Skills!M22=TRUE,(Skills!K22/10)*(E1894/1000),Skills!K22/10)+Skills!N22</f>
        <v/>
      </c>
      <c r="G1894">
        <f>Calc!G22</f>
        <v/>
      </c>
      <c r="H1894">
        <f>Calc!H22</f>
        <v/>
      </c>
      <c r="I1894">
        <f>IF(Skills!T22&lt;&gt;"",1+(Skills!T22/10)*($Z$3/1000)/100,1)</f>
        <v/>
      </c>
      <c r="J1894" t="inlineStr"/>
      <c r="K1894" t="inlineStr"/>
      <c r="L1894" t="inlineStr"/>
      <c r="M1894" t="inlineStr"/>
      <c r="N1894" t="inlineStr"/>
      <c r="O1894">
        <f>(1-Summary!$B$11)*S1894+Summary!$B$11*U1894</f>
        <v/>
      </c>
      <c r="P1894">
        <f>IF(B1915=0,0,O1894/B1915)</f>
        <v/>
      </c>
      <c r="Q1894">
        <f>IFERROR(1/(IF(Inputs!$B$39="pvp",15,MAX(0.1,Skills!D22-IF(Skills!E22=TRUE,Inputs!$B$33,0)))*(1-IF(AND(ArtifactsInput!$M$27,Inputs!$B$4="Chapter Hunt"),CHOOSE(ArtifactsInput!$N$27+1,20,24,28,32,36,40),0)/100)),0)</f>
        <v/>
      </c>
      <c r="R1894" t="n">
        <v>0</v>
      </c>
      <c r="S1894" t="n">
        <v>0</v>
      </c>
      <c r="U1894" t="n">
        <v>0</v>
      </c>
    </row>
    <row r="1895">
      <c r="A1895">
        <f>Skills!A23</f>
        <v/>
      </c>
      <c r="B1895">
        <f>Skills!B23</f>
        <v/>
      </c>
      <c r="C1895">
        <f>Inputs!$B$3&gt;=50</f>
        <v/>
      </c>
      <c r="D1895">
        <f>IF(Skills!C23=1,60+Inputs!$B$26+Inputs!$B$30,IF(Skills!C23=2,90+Inputs!$B$27+Inputs!$B$30,IF(Skills!C23=3,120+Inputs!$B$28+Inputs!$B$30,MAX(0,(Inputs!$B$3-100)*3)+Inputs!$B$29+Inputs!$B$30)))</f>
        <v/>
      </c>
      <c r="E1895">
        <f>INDEX(FactorTable!$B$2:$Y$301, MATCH(ROUND(MIN(300,MAX(1,D1895)),0), FactorTable!$A$2:$A$301,0), Skills!L23+1)</f>
        <v/>
      </c>
      <c r="F1895">
        <f>IF(Skills!M23=TRUE,(Skills!K23/10)*(E1895/1000),Skills!K23/10)+Skills!N23</f>
        <v/>
      </c>
      <c r="G1895">
        <f>Calc!G23</f>
        <v/>
      </c>
      <c r="H1895">
        <f>Calc!H23</f>
        <v/>
      </c>
      <c r="I1895">
        <f>IF(Skills!T23&lt;&gt;"",1+(Skills!T23/10)*($Z$3/1000)/100,1)</f>
        <v/>
      </c>
      <c r="J1895" t="inlineStr"/>
      <c r="K1895" t="inlineStr"/>
      <c r="L1895" t="inlineStr"/>
      <c r="M1895" t="inlineStr"/>
      <c r="N1895" t="inlineStr"/>
      <c r="O1895">
        <f>(1-Summary!$B$11)*S1895+Summary!$B$11*U1895</f>
        <v/>
      </c>
      <c r="P1895">
        <f>IF(B1915=0,0,O1895/B1915)</f>
        <v/>
      </c>
      <c r="Q1895">
        <f>IFERROR(1/(IF(Inputs!$B$39="pvp",15,MAX(0.1,Skills!D23-IF(Skills!E23=TRUE,Inputs!$B$33,0)))*(1-IF(AND(ArtifactsInput!$M$27,Inputs!$B$4="Chapter Hunt"),CHOOSE(ArtifactsInput!$N$27+1,20,24,28,32,36,40),0)/100)),0)</f>
        <v/>
      </c>
      <c r="R1895" t="n">
        <v>0</v>
      </c>
      <c r="S1895" t="n">
        <v>0</v>
      </c>
      <c r="U1895" t="n">
        <v>0</v>
      </c>
    </row>
    <row r="1896">
      <c r="A1896">
        <f>Skills!A24</f>
        <v/>
      </c>
      <c r="B1896">
        <f>Skills!B24</f>
        <v/>
      </c>
      <c r="C1896">
        <f>Inputs!$B$3&gt;=74</f>
        <v/>
      </c>
      <c r="D1896">
        <f>IF(Skills!C24=1,60+Inputs!$B$26+Inputs!$B$30,IF(Skills!C24=2,90+Inputs!$B$27+Inputs!$B$30,IF(Skills!C24=3,120+Inputs!$B$28+Inputs!$B$30,MAX(0,(Inputs!$B$3-100)*3)+Inputs!$B$29+Inputs!$B$30)))</f>
        <v/>
      </c>
      <c r="E1896">
        <f>INDEX(FactorTable!$B$2:$Y$301, MATCH(ROUND(MIN(300,MAX(1,D1896)),0), FactorTable!$A$2:$A$301,0), Skills!L24+1)</f>
        <v/>
      </c>
      <c r="F1896">
        <f>IF(Skills!M24=TRUE,(Skills!K24/10)*(E1896/1000),Skills!K24/10)+Skills!N24</f>
        <v/>
      </c>
      <c r="G1896">
        <f>Calc!G24</f>
        <v/>
      </c>
      <c r="H1896">
        <f>Calc!H24</f>
        <v/>
      </c>
      <c r="I1896">
        <f>IF(Skills!T24&lt;&gt;"",1+(Skills!T24/10)*($Z$3/1000)/100,1)</f>
        <v/>
      </c>
      <c r="J1896" t="inlineStr"/>
      <c r="K1896" t="inlineStr"/>
      <c r="L1896" t="inlineStr"/>
      <c r="M1896" t="inlineStr"/>
      <c r="N1896" t="inlineStr"/>
      <c r="O1896">
        <f>(1-Summary!$B$11)*S1896+Summary!$B$11*U1896</f>
        <v/>
      </c>
      <c r="P1896">
        <f>IF(B1915=0,0,O1896/B1915)</f>
        <v/>
      </c>
      <c r="Q1896">
        <f>IFERROR(1/(IF(Inputs!$B$39="pvp",15,MAX(0.1,Skills!D24-IF(Skills!E24=TRUE,Inputs!$B$33,0)))*(1-IF(AND(ArtifactsInput!$M$27,Inputs!$B$4="Chapter Hunt"),CHOOSE(ArtifactsInput!$N$27+1,20,24,28,32,36,40),0)/100)),0)</f>
        <v/>
      </c>
      <c r="R1896" t="n">
        <v>0</v>
      </c>
      <c r="S1896" t="n">
        <v>0</v>
      </c>
      <c r="U1896" t="n">
        <v>0</v>
      </c>
    </row>
    <row r="1897">
      <c r="A1897">
        <f>Skills!A25</f>
        <v/>
      </c>
      <c r="B1897">
        <f>Skills!B25</f>
        <v/>
      </c>
      <c r="C1897">
        <f>Inputs!$B$3&gt;=74</f>
        <v/>
      </c>
      <c r="D1897">
        <f>IF(Skills!C25=1,60+Inputs!$B$26+Inputs!$B$30,IF(Skills!C25=2,90+Inputs!$B$27+Inputs!$B$30,IF(Skills!C25=3,120+Inputs!$B$28+Inputs!$B$30,MAX(0,(Inputs!$B$3-100)*3)+Inputs!$B$29+Inputs!$B$30)))</f>
        <v/>
      </c>
      <c r="E1897">
        <f>INDEX(FactorTable!$B$2:$Y$301, MATCH(ROUND(MIN(300,MAX(1,D1897)),0), FactorTable!$A$2:$A$301,0), Skills!L25+1)</f>
        <v/>
      </c>
      <c r="F1897">
        <f>IF(Skills!M25=TRUE,(Skills!K25/10)*(E1897/1000),Skills!K25/10)+Skills!N25</f>
        <v/>
      </c>
      <c r="G1897">
        <f>Calc!G25</f>
        <v/>
      </c>
      <c r="H1897">
        <f>Calc!H25</f>
        <v/>
      </c>
      <c r="I1897">
        <f>IF(Skills!T25&lt;&gt;"",1+(Skills!T25/10)*($Z$3/1000)/100,1)</f>
        <v/>
      </c>
      <c r="J1897" t="inlineStr"/>
      <c r="K1897" t="inlineStr"/>
      <c r="L1897" t="inlineStr"/>
      <c r="M1897" t="inlineStr"/>
      <c r="N1897" t="inlineStr"/>
      <c r="O1897">
        <f>(1-Summary!$B$11)*S1897+Summary!$B$11*U1897</f>
        <v/>
      </c>
      <c r="P1897">
        <f>IF(B1915=0,0,O1897/B1915)</f>
        <v/>
      </c>
      <c r="Q1897">
        <f>IFERROR(1/(IF(Inputs!$B$39="pvp",15,MAX(0.1,Skills!D25-IF(Skills!E25=TRUE,Inputs!$B$33,0)))*(1-IF(AND(ArtifactsInput!$M$27,Inputs!$B$4="Chapter Hunt"),CHOOSE(ArtifactsInput!$N$27+1,20,24,28,32,36,40),0)/100)),0)</f>
        <v/>
      </c>
      <c r="R1897" t="n">
        <v>0</v>
      </c>
      <c r="S1897" t="n">
        <v>0</v>
      </c>
      <c r="U1897" t="n">
        <v>0</v>
      </c>
    </row>
    <row r="1898">
      <c r="A1898">
        <f>Skills!A26</f>
        <v/>
      </c>
      <c r="B1898">
        <f>Skills!B26</f>
        <v/>
      </c>
      <c r="C1898">
        <f>Inputs!$B$3&gt;=117</f>
        <v/>
      </c>
      <c r="D1898">
        <f>IF(Skills!C26=1,60+Inputs!$B$26+Inputs!$B$30,IF(Skills!C26=2,90+Inputs!$B$27+Inputs!$B$30,IF(Skills!C26=3,120+Inputs!$B$28+Inputs!$B$30,MAX(0,(Inputs!$B$3-100)*3)+Inputs!$B$29+Inputs!$B$30)))</f>
        <v/>
      </c>
      <c r="E1898">
        <f>INDEX(FactorTable!$B$2:$Y$301, MATCH(ROUND(MIN(300,MAX(1,D1898)),0), FactorTable!$A$2:$A$301,0), Skills!L26+1)</f>
        <v/>
      </c>
      <c r="F1898">
        <f>IF(Skills!M26=TRUE,(Skills!K26/10)*(E1898/1000),Skills!K26/10)+Skills!N26</f>
        <v/>
      </c>
      <c r="G1898">
        <f>Calc!G26</f>
        <v/>
      </c>
      <c r="H1898">
        <f>Calc!H26</f>
        <v/>
      </c>
      <c r="I1898">
        <f>IF(Skills!T26&lt;&gt;"",1+(Skills!T26/10)*($Z$3/1000)/100,1)</f>
        <v/>
      </c>
      <c r="J1898" t="inlineStr"/>
      <c r="K1898" t="inlineStr"/>
      <c r="L1898" t="inlineStr"/>
      <c r="M1898" t="inlineStr"/>
      <c r="N1898" t="inlineStr"/>
      <c r="O1898">
        <f>(1-Summary!$B$11)*S1898+Summary!$B$11*U1898</f>
        <v/>
      </c>
      <c r="P1898">
        <f>IF(B1915=0,0,O1898/B1915)</f>
        <v/>
      </c>
      <c r="Q1898">
        <f>IFERROR(1/(IF(Inputs!$B$39="pvp",15,MAX(0.1,Skills!D26-IF(Skills!E26=TRUE,Inputs!$B$33,0)))*(1-IF(AND(ArtifactsInput!$M$27,Inputs!$B$4="Chapter Hunt"),CHOOSE(ArtifactsInput!$N$27+1,20,24,28,32,36,40),0)/100)),0)</f>
        <v/>
      </c>
      <c r="R1898" t="n">
        <v>0</v>
      </c>
      <c r="S1898" t="n">
        <v>0</v>
      </c>
      <c r="U1898" t="n">
        <v>0</v>
      </c>
    </row>
    <row r="1899">
      <c r="A1899">
        <f>Skills!A27</f>
        <v/>
      </c>
      <c r="B1899">
        <f>Skills!B27</f>
        <v/>
      </c>
      <c r="C1899">
        <f>Inputs!$B$3&gt;=120</f>
        <v/>
      </c>
      <c r="D1899">
        <f>IF(Skills!C27=1,60+Inputs!$B$26+Inputs!$B$30,IF(Skills!C27=2,90+Inputs!$B$27+Inputs!$B$30,IF(Skills!C27=3,120+Inputs!$B$28+Inputs!$B$30,MAX(0,(Inputs!$B$3-100)*3)+Inputs!$B$29+Inputs!$B$30)))</f>
        <v/>
      </c>
      <c r="E1899">
        <f>INDEX(FactorTable!$B$2:$Y$301, MATCH(ROUND(MIN(300,MAX(1,D1899)),0), FactorTable!$A$2:$A$301,0), Skills!L27+1)</f>
        <v/>
      </c>
      <c r="F1899">
        <f>IF(Skills!M27=TRUE,(Skills!K27/10)*(E1899/1000),Skills!K27/10)+Skills!N27</f>
        <v/>
      </c>
      <c r="G1899">
        <f>Calc!G27</f>
        <v/>
      </c>
      <c r="H1899">
        <f>Calc!H27</f>
        <v/>
      </c>
      <c r="I1899">
        <f>IF(Skills!T27&lt;&gt;"",1+(Skills!T27/10)*($Z$3/1000)/100,1)</f>
        <v/>
      </c>
      <c r="J1899" t="inlineStr"/>
      <c r="K1899" t="inlineStr"/>
      <c r="L1899" t="inlineStr"/>
      <c r="M1899" t="inlineStr"/>
      <c r="N1899" t="inlineStr"/>
      <c r="O1899">
        <f>(1-Summary!$B$11)*S1899+Summary!$B$11*U1899</f>
        <v/>
      </c>
      <c r="P1899">
        <f>IF(B1915=0,0,O1899/B1915)</f>
        <v/>
      </c>
      <c r="Q1899">
        <f>IFERROR(1/(IF(Inputs!$B$39="pvp",15,MAX(0.1,Skills!D27-IF(Skills!E27=TRUE,Inputs!$B$33,0)))*(1-IF(AND(ArtifactsInput!$M$27,Inputs!$B$4="Chapter Hunt"),CHOOSE(ArtifactsInput!$N$27+1,20,24,28,32,36,40),0)/100)),0)</f>
        <v/>
      </c>
      <c r="R1899" t="n">
        <v>0</v>
      </c>
      <c r="S1899" t="n">
        <v>0</v>
      </c>
      <c r="U1899" t="n">
        <v>0</v>
      </c>
    </row>
    <row r="1900">
      <c r="A1900">
        <f>Skills!A28</f>
        <v/>
      </c>
      <c r="B1900">
        <f>Skills!B28</f>
        <v/>
      </c>
      <c r="C1900">
        <f>TRUE</f>
        <v/>
      </c>
      <c r="D1900">
        <f>IF(Skills!C28=1,60+Inputs!$B$26+Inputs!$B$30,IF(Skills!C28=2,90+Inputs!$B$27+Inputs!$B$30,IF(Skills!C28=3,120+Inputs!$B$28+Inputs!$B$30,MAX(0,(Inputs!$B$3-100)*3)+Inputs!$B$29+Inputs!$B$30)))</f>
        <v/>
      </c>
      <c r="E1900">
        <f>INDEX(FactorTable!$B$2:$Y$301, MATCH(ROUND(MIN(300,MAX(1,D1900)),0), FactorTable!$A$2:$A$301,0), Skills!L28+1)</f>
        <v/>
      </c>
      <c r="F1900">
        <f>IF(Skills!M28=TRUE,(Skills!K28/10)*(E1900/1000),Skills!K28/10)+Skills!N28</f>
        <v/>
      </c>
      <c r="G1900">
        <f>Calc!G28</f>
        <v/>
      </c>
      <c r="H1900">
        <f>Calc!H28</f>
        <v/>
      </c>
      <c r="I1900">
        <f>IF(Skills!T28&lt;&gt;"",1+(Skills!T28/10)*($Z$3/1000)/100,1)</f>
        <v/>
      </c>
      <c r="J1900" t="inlineStr"/>
      <c r="K1900" t="inlineStr"/>
      <c r="L1900" t="inlineStr"/>
      <c r="M1900" t="inlineStr"/>
      <c r="N1900" t="inlineStr"/>
      <c r="O1900">
        <f>(1-Summary!$B$11)*S1900+Summary!$B$11*U1900</f>
        <v/>
      </c>
      <c r="P1900">
        <f>IF(B1915=0,0,O1900/B1915)</f>
        <v/>
      </c>
      <c r="Q1900">
        <f>IFERROR(1/(IF(Inputs!$B$39="pvp",15,MAX(0.1,Skills!D28-IF(Skills!E28=TRUE,Inputs!$B$33,0)))*(1-IF(AND(ArtifactsInput!$M$27,Inputs!$B$4="Chapter Hunt"),CHOOSE(ArtifactsInput!$N$27+1,20,24,28,32,36,40),0)/100)),0)</f>
        <v/>
      </c>
      <c r="R1900">
        <f>IF(AND(Inputs!$B$39&lt;&gt;"pvp",Inputs!$B$44&gt;0),IF(Inputs!$B$44&lt;=0,0,(INT(Inputs!$B$44/(IF(Inputs!$B$39="pvp",15,MAX(0.1,Skills!D28-IF(Skills!E28=TRUE,Inputs!$B$33,0)))*(1-IF(AND(ArtifactsInput!$M$27,Inputs!$B$4="Chapter Hunt"),CHOOSE(ArtifactsInput!$N$27+1,20,24,28,32,36,40),0)/100)))+1)),0)</f>
        <v/>
      </c>
      <c r="S1900" t="n">
        <v>0</v>
      </c>
      <c r="U1900" t="n">
        <v>0</v>
      </c>
    </row>
    <row r="1902">
      <c r="A1902" t="inlineStr">
        <is>
          <t>Average Buff Multiplier</t>
        </is>
      </c>
      <c r="B1902">
        <f>(1+(IF(C1875=TRUE,F1875*IF(AND(Inputs!$B$39&lt;&gt;"pvp",Inputs!$B$44&gt;0),(((R1875-1)*(Skills!S3*(1+((Inputs!$B$35+(ArtifactsInput!$M$7-ArtifactsInput!$M$7)*CHOOSE(ArtifactsInput!$N$7+1,6,7.2,8.4,9.6,10.8,12))+IF(Inputs!$B$3&gt;=117,F1898,0))/100))+MIN((Skills!S3*(1+((Inputs!$B$35+(ArtifactsInput!$M$7-ArtifactsInput!$M$7)*CHOOSE(ArtifactsInput!$N$7+1,6,7.2,8.4,9.6,10.8,12))+IF(Inputs!$B$3&gt;=117,F1898,0))/100)),MAX(0,Inputs!$B$44-((R1875-1)*Skills!D3))))/Inputs!$B$44),IF(Inputs!$B$39="pvp",MIN((Skills!S3*(1+((Inputs!$B$35+(ArtifactsInput!$M$7-ArtifactsInput!$M$7)*CHOOSE(ArtifactsInput!$N$7+1,6,7.2,8.4,9.6,10.8,12))+IF(Inputs!$B$3&gt;=117,F1898,0))/100)),15)/15,(Skills!S3*(1+((Inputs!$B$35+(ArtifactsInput!$M$7-ArtifactsInput!$M$7)*CHOOSE(ArtifactsInput!$N$7+1,6,7.2,8.4,9.6,10.8,12))+IF(Inputs!$B$3&gt;=117,F1898,0))/100))/Skills!D3)),0)+IF(C1876=TRUE,F1876*IF(AND(Inputs!$B$39&lt;&gt;"pvp",Inputs!$B$44&gt;0),(((R1876-1)*(Skills!S4*(1+((Inputs!$B$35+(ArtifactsInput!$M$7-ArtifactsInput!$M$7)*CHOOSE(ArtifactsInput!$N$7+1,6,7.2,8.4,9.6,10.8,12))+IF(Inputs!$B$3&gt;=117,F1898,0))/100))+MIN((Skills!S4*(1+((Inputs!$B$35+(ArtifactsInput!$M$7-ArtifactsInput!$M$7)*CHOOSE(ArtifactsInput!$N$7+1,6,7.2,8.4,9.6,10.8,12))+IF(Inputs!$B$3&gt;=117,F1898,0))/100)),MAX(0,Inputs!$B$44-((R1876-1)*Skills!D4))))/Inputs!$B$44),IF(Inputs!$B$39="pvp",MIN((Skills!S4*(1+((Inputs!$B$35+(ArtifactsInput!$M$7-ArtifactsInput!$M$7)*CHOOSE(ArtifactsInput!$N$7+1,6,7.2,8.4,9.6,10.8,12))+IF(Inputs!$B$3&gt;=117,F1898,0))/100)),15)/15,(Skills!S4*(1+((Inputs!$B$35+(ArtifactsInput!$M$7-ArtifactsInput!$M$7)*CHOOSE(ArtifactsInput!$N$7+1,6,7.2,8.4,9.6,10.8,12))+IF(Inputs!$B$3&gt;=117,F1898,0))/100))/Skills!D4)),0)+IF(C1877=TRUE,F1877*IF(AND(Inputs!$B$39&lt;&gt;"pvp",Inputs!$B$44&gt;0),(((R1877-1)*(Skills!S5*(1+((Inputs!$B$35+(ArtifactsInput!$M$7-ArtifactsInput!$M$7)*CHOOSE(ArtifactsInput!$N$7+1,6,7.2,8.4,9.6,10.8,12))+IF(Inputs!$B$3&gt;=117,F1898,0))/100))+MIN((Skills!S5*(1+((Inputs!$B$35+(ArtifactsInput!$M$7-ArtifactsInput!$M$7)*CHOOSE(ArtifactsInput!$N$7+1,6,7.2,8.4,9.6,10.8,12))+IF(Inputs!$B$3&gt;=117,F1898,0))/100)),MAX(0,Inputs!$B$44-((R1877-1)*Skills!D5))))/Inputs!$B$44),IF(Inputs!$B$39="pvp",MIN((Skills!S5*(1+((Inputs!$B$35+(ArtifactsInput!$M$7-ArtifactsInput!$M$7)*CHOOSE(ArtifactsInput!$N$7+1,6,7.2,8.4,9.6,10.8,12))+IF(Inputs!$B$3&gt;=117,F1898,0))/100)),15)/15,(Skills!S5*(1+((Inputs!$B$35+(ArtifactsInput!$M$7-ArtifactsInput!$M$7)*CHOOSE(ArtifactsInput!$N$7+1,6,7.2,8.4,9.6,10.8,12))+IF(Inputs!$B$3&gt;=117,F1898,0))/100))/Skills!D5)),0)+IF(C1883=TRUE,F1883*IF(AND(Inputs!$B$39&lt;&gt;"pvp",Inputs!$B$44&gt;0),(((R1883-1)*(Skills!S11*(1+((Inputs!$B$35+(ArtifactsInput!$M$7-ArtifactsInput!$M$7)*CHOOSE(ArtifactsInput!$N$7+1,6,7.2,8.4,9.6,10.8,12))+IF(Inputs!$B$3&gt;=117,F1898,0))/100))+MIN((Skills!S11*(1+((Inputs!$B$35+(ArtifactsInput!$M$7-ArtifactsInput!$M$7)*CHOOSE(ArtifactsInput!$N$7+1,6,7.2,8.4,9.6,10.8,12))+IF(Inputs!$B$3&gt;=117,F1898,0))/100)),MAX(0,Inputs!$B$44-((R1883-1)*Skills!D11))))/Inputs!$B$44),IF(Inputs!$B$39="pvp",MIN((Skills!S11*(1+((Inputs!$B$35+(ArtifactsInput!$M$7-ArtifactsInput!$M$7)*CHOOSE(ArtifactsInput!$N$7+1,6,7.2,8.4,9.6,10.8,12))+IF(Inputs!$B$3&gt;=117,F1898,0))/100)),15)/15,(Skills!S11*(1+((Inputs!$B$35+(ArtifactsInput!$M$7-ArtifactsInput!$M$7)*CHOOSE(ArtifactsInput!$N$7+1,6,7.2,8.4,9.6,10.8,12))+IF(Inputs!$B$3&gt;=117,F1898,0)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1886=TRUE,(1+F1886*IF(AND(Inputs!$B$39&lt;&gt;"pvp",Inputs!$B$44&gt;0),(((R1886-1)*(Skills!S14*(1+((Inputs!$B$35+(ArtifactsInput!$M$7-ArtifactsInput!$M$7)*CHOOSE(ArtifactsInput!$N$7+1,6,7.2,8.4,9.6,10.8,12))+IF(Inputs!$B$3&gt;=117,F1898,0))/100))+MIN((Skills!S14*(1+((Inputs!$B$35+(ArtifactsInput!$M$7-ArtifactsInput!$M$7)*CHOOSE(ArtifactsInput!$N$7+1,6,7.2,8.4,9.6,10.8,12))+IF(Inputs!$B$3&gt;=117,F1898,0))/100)),MAX(0,Inputs!$B$44-((R1886-1)*Skills!D14))))/Inputs!$B$44),IF(Inputs!$B$39="pvp",MIN((Skills!S14*(1+((Inputs!$B$35+(ArtifactsInput!$M$7-ArtifactsInput!$M$7)*CHOOSE(ArtifactsInput!$N$7+1,6,7.2,8.4,9.6,10.8,12))+IF(Inputs!$B$3&gt;=117,F1898,0))/100)),15)/15,(Skills!S14*(1+((Inputs!$B$35+(ArtifactsInput!$M$7-ArtifactsInput!$M$7)*CHOOSE(ArtifactsInput!$N$7+1,6,7.2,8.4,9.6,10.8,12))+IF(Inputs!$B$3&gt;=117,F1898,0))/100))/Skills!D14))/100),1)*IF(C1891=TRUE,(1+F1891*IF(AND(Inputs!$B$39&lt;&gt;"pvp",Inputs!$B$44&gt;0),(((R1891-1)*(Skills!S19*(1+((Inputs!$B$35+(ArtifactsInput!$M$7-ArtifactsInput!$M$7)*CHOOSE(ArtifactsInput!$N$7+1,6,7.2,8.4,9.6,10.8,12))+IF(Inputs!$B$3&gt;=117,F1898,0))/100))+MIN((Skills!S19*(1+((Inputs!$B$35+(ArtifactsInput!$M$7-ArtifactsInput!$M$7)*CHOOSE(ArtifactsInput!$N$7+1,6,7.2,8.4,9.6,10.8,12))+IF(Inputs!$B$3&gt;=117,F1898,0))/100)),MAX(0,Inputs!$B$44-((R1891-1)*Skills!D19))))/Inputs!$B$44),IF(Inputs!$B$39="pvp",MIN((Skills!S19*(1+((Inputs!$B$35+(ArtifactsInput!$M$7-ArtifactsInput!$M$7)*CHOOSE(ArtifactsInput!$N$7+1,6,7.2,8.4,9.6,10.8,12))+IF(Inputs!$B$3&gt;=117,F1898,0))/100)),15)/15,(Skills!S19*(1+((Inputs!$B$35+(ArtifactsInput!$M$7-ArtifactsInput!$M$7)*CHOOSE(ArtifactsInput!$N$7+1,6,7.2,8.4,9.6,10.8,12))+IF(Inputs!$B$3&gt;=117,F1898,0))/100))/Skills!D19))/100),1)</f>
        <v/>
      </c>
    </row>
    <row r="1903">
      <c r="A1903" t="inlineStr">
        <is>
          <t>Monster Damage Taken Bonus % (Holy Fountain)</t>
        </is>
      </c>
      <c r="B1903">
        <f>IF(Inputs!$B$3&gt;=68,20*IF(Inputs!$B$39="pvp",MIN((15*(1+((Inputs!$B$35+(ArtifactsInput!$M$7-ArtifactsInput!$M$7)*CHOOSE(ArtifactsInput!$N$7+1,6,7.2,8.4,9.6,10.8,12))+IF(Inputs!$B$3&gt;=117,F1898,0))/100)),15)/15,(15*(1+((Inputs!$B$35+(ArtifactsInput!$M$7-ArtifactsInput!$M$7)*CHOOSE(ArtifactsInput!$N$7+1,6,7.2,8.4,9.6,10.8,12))+IF(Inputs!$B$3&gt;=117,F1898,0))/100))/Skills!D10),0)</f>
        <v/>
      </c>
    </row>
    <row r="1904">
      <c r="A1904" t="inlineStr">
        <is>
          <t>Normal Monster Damage Bonus % (Holy Symbol)</t>
        </is>
      </c>
      <c r="B1904">
        <f>IF(C1884=TRUE,F1884*IF(AND(Inputs!$B$39&lt;&gt;"pvp",Inputs!$B$44&gt;0),(((R1884-1)*(Skills!S12*(1+((Inputs!$B$35+(ArtifactsInput!$M$7-ArtifactsInput!$M$7)*CHOOSE(ArtifactsInput!$N$7+1,6,7.2,8.4,9.6,10.8,12))+IF(Inputs!$B$3&gt;=117,F1898,0))/100))+MIN((Skills!S12*(1+((Inputs!$B$35+(ArtifactsInput!$M$7-ArtifactsInput!$M$7)*CHOOSE(ArtifactsInput!$N$7+1,6,7.2,8.4,9.6,10.8,12))+IF(Inputs!$B$3&gt;=117,F1898,0))/100)),MAX(0,Inputs!$B$44-((R1884-1)*Skills!D12))))/Inputs!$B$44),IF(Inputs!$B$39="pvp",MIN((Skills!S12*(1+((Inputs!$B$35+(ArtifactsInput!$M$7-ArtifactsInput!$M$7)*CHOOSE(ArtifactsInput!$N$7+1,6,7.2,8.4,9.6,10.8,12))+IF(Inputs!$B$3&gt;=117,F1898,0))/100)),15)/15,(Skills!S12*(1+((Inputs!$B$35+(ArtifactsInput!$M$7-ArtifactsInput!$M$7)*CHOOSE(ArtifactsInput!$N$7+1,6,7.2,8.4,9.6,10.8,12))+IF(Inputs!$B$3&gt;=117,F1898,0))/100))/Skills!D12)),0)</f>
        <v/>
      </c>
    </row>
    <row r="1905">
      <c r="A1905" t="inlineStr">
        <is>
          <t>Damage % Bonus (Holy Symbol - Damage Boost)</t>
        </is>
      </c>
      <c r="B1905">
        <f>Skills!O12</f>
        <v/>
      </c>
    </row>
    <row r="1906">
      <c r="A1906" t="inlineStr">
        <is>
          <t>Crit Damage % Bonus (Blood of the Divine)</t>
        </is>
      </c>
      <c r="B1906">
        <f>4*IF(C1892=TRUE,F1892,0)</f>
        <v/>
      </c>
    </row>
    <row r="1907">
      <c r="A1907" t="inlineStr">
        <is>
          <t>Attack Speed Bonus %</t>
        </is>
      </c>
      <c r="B1907">
        <f>IF(C1889=TRUE,F1889+(F1893-Calc!F21),0)+IF(Inputs!$B$3&gt;=134,15,0)+((C1900=TRUE)*F1900*IF(AND(Inputs!$B$39&lt;&gt;"pvp",Inputs!$B$44&gt;0),(((R1900-1)*(Skills!S28*(1+((Inputs!$B$35+(ArtifactsInput!$M$7-ArtifactsInput!$M$7)*CHOOSE(ArtifactsInput!$N$7+1,6,7.2,8.4,9.6,10.8,12))+IF(Inputs!$B$3&gt;=117,F1898,0))/100))+MIN((Skills!S28*(1+((Inputs!$B$35+(ArtifactsInput!$M$7-ArtifactsInput!$M$7)*CHOOSE(ArtifactsInput!$N$7+1,6,7.2,8.4,9.6,10.8,12))+IF(Inputs!$B$3&gt;=117,F1898,0))/100)),MAX(0,Inputs!$B$44-((R1900-1)*Skills!D28))))/Inputs!$B$44),IF(Inputs!$B$39="pvp",MIN((Skills!S28*(1+((Inputs!$B$35+(ArtifactsInput!$M$7-ArtifactsInput!$M$7)*CHOOSE(ArtifactsInput!$N$7+1,6,7.2,8.4,9.6,10.8,12))+IF(Inputs!$B$3&gt;=117,F1898,0))/100)),15)/15,(Skills!S28*(1+((Inputs!$B$35+(ArtifactsInput!$M$7-ArtifactsInput!$M$7)*CHOOSE(ArtifactsInput!$N$7+1,6,7.2,8.4,9.6,10.8,12))+IF(Inputs!$B$3&gt;=117,F1898,0))/100))/Skills!D28)))</f>
        <v/>
      </c>
    </row>
    <row r="1908">
      <c r="A1908" t="inlineStr">
        <is>
          <t>Actions Per Second</t>
        </is>
      </c>
      <c r="B1908">
        <f>1+MIN(150,150*(1-(1-Inputs!$B$12/150)*(1-B1907/150)))/100</f>
        <v/>
      </c>
    </row>
    <row r="1909">
      <c r="A1909" t="inlineStr">
        <is>
          <t>Skill + Buff Cast Rate</t>
        </is>
      </c>
      <c r="B1909">
        <f>IF(AND(Inputs!$B$39&lt;&gt;"pvp",Inputs!$B$44&gt;0),SUMPRODUCT((Skills!E2:E28=TRUE)*(C1874:C1900=TRUE)*R1874:R1900)/Inputs!$B$44,SUMPRODUCT((Skills!E2:E28=TRUE)*(C1874:C1900=TRUE)*Q1874:Q1900))</f>
        <v/>
      </c>
    </row>
    <row r="1910">
      <c r="A1910" t="inlineStr">
        <is>
          <t>Big Bang Casts Per Second</t>
        </is>
      </c>
      <c r="B1910">
        <f>MAX(0,B1908-B1909)</f>
        <v/>
      </c>
    </row>
    <row r="1911">
      <c r="A1911" t="inlineStr">
        <is>
          <t>Defense % Bonus (Divine Protection)</t>
        </is>
      </c>
      <c r="B1911">
        <f>IF(C1885=TRUE,F1885*IF(AND(Inputs!$B$39&lt;&gt;"pvp",Inputs!$B$44&gt;0),(((R1885-1)*(Skills!S13*(1+((Inputs!$B$35+(ArtifactsInput!$M$7-ArtifactsInput!$M$7)*CHOOSE(ArtifactsInput!$N$7+1,6,7.2,8.4,9.6,10.8,12))+IF(Inputs!$B$3&gt;=117,F1898,0))/100))+MIN((Skills!S13*(1+((Inputs!$B$35+(ArtifactsInput!$M$7-ArtifactsInput!$M$7)*CHOOSE(ArtifactsInput!$N$7+1,6,7.2,8.4,9.6,10.8,12))+IF(Inputs!$B$3&gt;=117,F1898,0))/100)),MAX(0,Inputs!$B$44-((R1885-1)*Skills!D13))))/Inputs!$B$44),IF(Inputs!$B$39="pvp",MIN((Skills!S13*(1+((Inputs!$B$35+(ArtifactsInput!$M$7-ArtifactsInput!$M$7)*CHOOSE(ArtifactsInput!$N$7+1,6,7.2,8.4,9.6,10.8,12))+IF(Inputs!$B$3&gt;=117,F1898,0))/100)),15)/15,(Skills!S13*(1+((Inputs!$B$35+(ArtifactsInput!$M$7-ArtifactsInput!$M$7)*CHOOSE(ArtifactsInput!$N$7+1,6,7.2,8.4,9.6,10.8,12))+IF(Inputs!$B$3&gt;=117,F1898,0))/100))/Skills!D13)),0)</f>
        <v/>
      </c>
    </row>
    <row r="1912">
      <c r="A1912" t="inlineStr">
        <is>
          <t>Buff-Casting Startup Delay (s, fixed-duration only)</t>
        </is>
      </c>
      <c r="B1912">
        <f>IF(AND(Inputs!$B$39&lt;&gt;"pvp",Inputs!$B$44&gt;0),SUMPRODUCT((Skills!S2:S28&gt;0)*(Skills!E2:E28=TRUE)*(C1874:C1900=TRUE))/B1908,0)</f>
        <v/>
      </c>
    </row>
    <row r="1913">
      <c r="A1913" t="inlineStr">
        <is>
          <t>Boss-Only Total DPS (this block's swept value)</t>
        </is>
      </c>
      <c r="B1913">
        <f>SUM(S1874:S1900)</f>
        <v/>
      </c>
    </row>
    <row r="1914">
      <c r="A1914" t="inlineStr">
        <is>
          <t>Normal-Only Total DPS (this block's swept value)</t>
        </is>
      </c>
      <c r="B1914">
        <f>SUM(U1874:U1900)</f>
        <v/>
      </c>
    </row>
    <row r="1915">
      <c r="A1915" s="6" t="inlineStr">
        <is>
          <t>TOTAL DPS</t>
        </is>
      </c>
      <c r="B1915" s="6">
        <f>SUM(O1874:O1900)</f>
        <v/>
      </c>
    </row>
    <row r="1917">
      <c r="A1917" s="6" t="inlineStr">
        <is>
          <t>Stat: Old Music Box (Equip)</t>
        </is>
      </c>
    </row>
    <row r="1918">
      <c r="A1918" s="5" t="inlineStr">
        <is>
          <t>Key</t>
        </is>
      </c>
      <c r="B1918" s="5" t="inlineStr">
        <is>
          <t>Name</t>
        </is>
      </c>
      <c r="C1918" s="5" t="inlineStr">
        <is>
          <t>Unlocked</t>
        </is>
      </c>
      <c r="D1918" s="5" t="inlineStr">
        <is>
          <t>InputLevel</t>
        </is>
      </c>
      <c r="E1918" s="5" t="inlineStr">
        <is>
          <t>Factor</t>
        </is>
      </c>
      <c r="F1918" s="5" t="inlineStr">
        <is>
          <t>CoefficientPercent</t>
        </is>
      </c>
      <c r="G1918" s="5" t="inlineStr">
        <is>
          <t>EffectiveHits</t>
        </is>
      </c>
      <c r="H1918" s="5" t="inlineStr">
        <is>
          <t>ProcProbability</t>
        </is>
      </c>
      <c r="I1918" s="5" t="inlineStr">
        <is>
          <t>MapleHeroMultiplier</t>
        </is>
      </c>
      <c r="J1918" s="5" t="inlineStr">
        <is>
          <t>BaseDamage</t>
        </is>
      </c>
      <c r="K1918" s="5" t="inlineStr">
        <is>
          <t>BaseHitDamage</t>
        </is>
      </c>
      <c r="L1918" s="5" t="inlineStr">
        <is>
          <t>NonCritAvg</t>
        </is>
      </c>
      <c r="M1918" s="5" t="inlineStr">
        <is>
          <t>CritAvg</t>
        </is>
      </c>
      <c r="N1918" s="5" t="inlineStr">
        <is>
          <t>ExpectedDamage(perHit)</t>
        </is>
      </c>
      <c r="O1918" s="5" t="inlineStr">
        <is>
          <t>DPS</t>
        </is>
      </c>
      <c r="P1918" s="5" t="inlineStr">
        <is>
          <t>% of Total</t>
        </is>
      </c>
      <c r="R1918" t="inlineStr">
        <is>
          <t>helpers</t>
        </is>
      </c>
    </row>
    <row r="1919">
      <c r="A1919">
        <f>Skills!A2</f>
        <v/>
      </c>
      <c r="B1919">
        <f>Skills!B2</f>
        <v/>
      </c>
      <c r="C1919">
        <f>Inputs!$B$3&gt;=100</f>
        <v/>
      </c>
      <c r="D1919" t="inlineStr"/>
      <c r="E1919" t="inlineStr"/>
      <c r="F1919">
        <f>T1921+Skills!N2</f>
        <v/>
      </c>
      <c r="G1919">
        <f>Calc!G2</f>
        <v/>
      </c>
      <c r="H1919">
        <f>Calc!H2</f>
        <v/>
      </c>
      <c r="I1919">
        <f>IF(Skills!T2&lt;&gt;"",1+(Skills!T2/10)*($Z$3/1000)/100,1)</f>
        <v/>
      </c>
      <c r="J1919">
        <f>((Inputs!$B$6*(1+Inputs!$B$7/100))+(((Inputs!$B$13*(1+Inputs!$B$14/100))-(Inputs!$B$13*(1+Inputs!$B$14/100)))+0.25*(Inputs!$B$15-Inputs!$B$15))*(1+Inputs!$B$7/100))*(F1919/100)</f>
        <v/>
      </c>
      <c r="K1919">
        <f>J1919*(1+(((Inputs!$B$13+IF(Inputs!$B$3&gt;=35,(10*INDEX(FactorTable!$B$2:$Y$301,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2="TRIUMPH_FEATHER",IF(C1933=TRUE,F1933,0),0)/100)*(1+IF(C1944=TRUE,F1944,0)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1919)</f>
        <v/>
      </c>
      <c r="L1919">
        <f>K1919*(MIN(Inputs!$B$23+(F1939-Calc!F22),(Inputs!$B$24+IF(ArtifactsInput!$M$15,CHOOSE(ArtifactsInput!$N$15+1,25,30,35,40,45,50)/100*(Inputs!$B$12-Inputs!$B$12),0)))/100+(Inputs!$B$24+IF(ArtifactsInput!$M$15,CHOOSE(ArtifactsInput!$N$15+1,25,30,35,40,45,50)/100*(Inputs!$B$12-Inputs!$B$12),0))/100)/2</f>
        <v/>
      </c>
      <c r="M1919">
        <f>L1919*(1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19">
        <f>L1919*(1-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1919*(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9">
        <f>(1-Summary!$B$11)*S1919+Summary!$B$11*U1919</f>
        <v/>
      </c>
      <c r="P1919">
        <f>IF(B1960=0,0,O1919/B1960)</f>
        <v/>
      </c>
      <c r="Q1919">
        <f>IFERROR(1/(IF(Inputs!$B$39="pvp",15,MAX(0.1,Skills!D2-IF(Skills!E2=TRUE,Inputs!$B$33,0)))*(1-IF(AND(ArtifactsInput!$M$27,Inputs!$B$4="Chapter Hunt"),CHOOSE(ArtifactsInput!$N$27+1,20,24,28,32,36,40),0)/100)),0)</f>
        <v/>
      </c>
      <c r="R1919" t="n">
        <v>0</v>
      </c>
      <c r="S1919">
        <f>IF(C1919,(Skills!F2*N1919*B1955)*IF(Inputs!$B$39="pvp",1,1+(Inputs!$B$21+Skills!O2+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1919*(1-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1919*(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1919*(1-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1919*(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19">
        <f>MAX(0,(Inputs!$B$3-100)*3)+Inputs!$B$29+Inputs!$B$30</f>
        <v/>
      </c>
      <c r="U1919">
        <f>IF(C1919,(Skills!F2*N1919*B1955)*IF(Inputs!$B$39="pvp",1,(1+(Inputs!$B$22+Skills!P2+B1949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0">
      <c r="A1920">
        <f>Skills!A3</f>
        <v/>
      </c>
      <c r="B1920">
        <f>Skills!B3</f>
        <v/>
      </c>
      <c r="C1920">
        <f>Inputs!$B$3&gt;=15</f>
        <v/>
      </c>
      <c r="D1920">
        <f>IF(Skills!C3=1,60+Inputs!$B$26+Inputs!$B$30,IF(Skills!C3=2,90+Inputs!$B$27+Inputs!$B$30,IF(Skills!C3=3,120+Inputs!$B$28+Inputs!$B$30,MAX(0,(Inputs!$B$3-100)*3)+Inputs!$B$29+Inputs!$B$30)))</f>
        <v/>
      </c>
      <c r="E1920">
        <f>INDEX(FactorTable!$B$2:$Y$301, MATCH(ROUND(MIN(300,MAX(1,D1920)),0), FactorTable!$A$2:$A$301,0), Skills!L3+1)</f>
        <v/>
      </c>
      <c r="F1920">
        <f>IF(Skills!M3=TRUE,(Skills!K3/10)*(E1920/1000),Skills!K3/10)+Skills!N3</f>
        <v/>
      </c>
      <c r="G1920">
        <f>Calc!G3</f>
        <v/>
      </c>
      <c r="H1920">
        <f>Calc!H3</f>
        <v/>
      </c>
      <c r="I1920">
        <f>IF(Skills!T3&lt;&gt;"",1+(Skills!T3/10)*($Z$3/1000)/100,1)</f>
        <v/>
      </c>
      <c r="J1920" t="inlineStr"/>
      <c r="K1920" t="inlineStr"/>
      <c r="L1920" t="inlineStr"/>
      <c r="M1920" t="inlineStr"/>
      <c r="N1920" t="inlineStr"/>
      <c r="O1920">
        <f>(1-Summary!$B$11)*S1920+Summary!$B$11*U1920</f>
        <v/>
      </c>
      <c r="P1920">
        <f>IF(B1960=0,0,O1920/B1960)</f>
        <v/>
      </c>
      <c r="Q1920">
        <f>IFERROR(1/(IF(Inputs!$B$39="pvp",15,MAX(0.1,Skills!D3-IF(Skills!E3=TRUE,Inputs!$B$33,0)))*(1-IF(AND(ArtifactsInput!$M$27,Inputs!$B$4="Chapter Hunt"),CHOOSE(ArtifactsInput!$N$27+1,20,24,28,32,36,40),0)/100)),0)</f>
        <v/>
      </c>
      <c r="R1920">
        <f>IF(AND(Inputs!$B$39&lt;&gt;"pvp",Inputs!$B$44&gt;0),IF(Inputs!$B$44&lt;=0,0,(INT(Inputs!$B$44/(IF(Inputs!$B$39="pvp",15,MAX(0.1,Skills!D3-IF(Skills!E3=TRUE,Inputs!$B$33,0)))*(1-IF(AND(ArtifactsInput!$M$27,Inputs!$B$4="Chapter Hunt"),CHOOSE(ArtifactsInput!$N$27+1,20,24,28,32,36,40),0)/100)))+1)),0)</f>
        <v/>
      </c>
      <c r="S1920" t="n">
        <v>0</v>
      </c>
      <c r="T1920">
        <f>INDEX(FactorTable!$B$2:$Y$301, MATCH(ROUND(MIN(300,MAX(1,T1919)),0), FactorTable!$A$2:$A$301,0), 22)</f>
        <v/>
      </c>
      <c r="U1920" t="n">
        <v>0</v>
      </c>
    </row>
    <row r="1921">
      <c r="A1921">
        <f>Skills!A4</f>
        <v/>
      </c>
      <c r="B1921">
        <f>Skills!B4</f>
        <v/>
      </c>
      <c r="C1921">
        <f>Inputs!$B$3&gt;=38</f>
        <v/>
      </c>
      <c r="D1921">
        <f>IF(Skills!C4=1,60+Inputs!$B$26+Inputs!$B$30,IF(Skills!C4=2,90+Inputs!$B$27+Inputs!$B$30,IF(Skills!C4=3,120+Inputs!$B$28+Inputs!$B$30,MAX(0,(Inputs!$B$3-100)*3)+Inputs!$B$29+Inputs!$B$30)))</f>
        <v/>
      </c>
      <c r="E1921">
        <f>INDEX(FactorTable!$B$2:$Y$301, MATCH(ROUND(MIN(300,MAX(1,D1921)),0), FactorTable!$A$2:$A$301,0), Skills!L4+1)</f>
        <v/>
      </c>
      <c r="F1921">
        <f>IF(Skills!M4=TRUE,(Skills!K4/10)*(E1921/1000),Skills!K4/10)+Skills!N4</f>
        <v/>
      </c>
      <c r="G1921">
        <f>Calc!G4</f>
        <v/>
      </c>
      <c r="H1921">
        <f>Calc!H4</f>
        <v/>
      </c>
      <c r="I1921">
        <f>IF(Skills!T4&lt;&gt;"",1+(Skills!T4/10)*($Z$3/1000)/100,1)</f>
        <v/>
      </c>
      <c r="J1921" t="inlineStr"/>
      <c r="K1921" t="inlineStr"/>
      <c r="L1921" t="inlineStr"/>
      <c r="M1921" t="inlineStr"/>
      <c r="N1921" t="inlineStr"/>
      <c r="O1921">
        <f>(1-Summary!$B$11)*S1921+Summary!$B$11*U1921</f>
        <v/>
      </c>
      <c r="P1921">
        <f>IF(B1960=0,0,O1921/B1960)</f>
        <v/>
      </c>
      <c r="Q1921">
        <f>IFERROR(1/(IF(Inputs!$B$39="pvp",15,MAX(0.1,Skills!D4-IF(Skills!E4=TRUE,Inputs!$B$33,0)))*(1-IF(AND(ArtifactsInput!$M$27,Inputs!$B$4="Chapter Hunt"),CHOOSE(ArtifactsInput!$N$27+1,20,24,28,32,36,40),0)/100)),0)</f>
        <v/>
      </c>
      <c r="R1921">
        <f>IF(AND(Inputs!$B$39&lt;&gt;"pvp",Inputs!$B$44&gt;0),IF(Inputs!$B$44&lt;=0,0,(INT(Inputs!$B$44/(IF(Inputs!$B$39="pvp",15,MAX(0.1,Skills!D4-IF(Skills!E4=TRUE,Inputs!$B$33,0)))*(1-IF(AND(ArtifactsInput!$M$27,Inputs!$B$4="Chapter Hunt"),CHOOSE(ArtifactsInput!$N$27+1,20,24,28,32,36,40),0)/100)))+1)),0)</f>
        <v/>
      </c>
      <c r="S1921" t="n">
        <v>0</v>
      </c>
      <c r="T1921">
        <f>290*T1920/1000</f>
        <v/>
      </c>
      <c r="U1921" t="n">
        <v>0</v>
      </c>
    </row>
    <row r="1922">
      <c r="A1922">
        <f>Skills!A5</f>
        <v/>
      </c>
      <c r="B1922">
        <f>Skills!B5</f>
        <v/>
      </c>
      <c r="C1922">
        <f>Inputs!$B$3&gt;=40</f>
        <v/>
      </c>
      <c r="D1922">
        <f>IF(Skills!C5=1,60+Inputs!$B$26+Inputs!$B$30,IF(Skills!C5=2,90+Inputs!$B$27+Inputs!$B$30,IF(Skills!C5=3,120+Inputs!$B$28+Inputs!$B$30,MAX(0,(Inputs!$B$3-100)*3)+Inputs!$B$29+Inputs!$B$30)))</f>
        <v/>
      </c>
      <c r="E1922">
        <f>INDEX(FactorTable!$B$2:$Y$301, MATCH(ROUND(MIN(300,MAX(1,D1922)),0), FactorTable!$A$2:$A$301,0), Skills!L5+1)</f>
        <v/>
      </c>
      <c r="F1922">
        <f>IF(Skills!M5=TRUE,(Skills!K5/10)*(E1922/1000),Skills!K5/10)+Skills!N5</f>
        <v/>
      </c>
      <c r="G1922">
        <f>Calc!G5</f>
        <v/>
      </c>
      <c r="H1922">
        <f>Calc!H5</f>
        <v/>
      </c>
      <c r="I1922">
        <f>IF(Skills!T5&lt;&gt;"",1+(Skills!T5/10)*($Z$3/1000)/100,1)</f>
        <v/>
      </c>
      <c r="J1922" t="inlineStr"/>
      <c r="K1922" t="inlineStr"/>
      <c r="L1922" t="inlineStr"/>
      <c r="M1922" t="inlineStr"/>
      <c r="N1922" t="inlineStr"/>
      <c r="O1922">
        <f>(1-Summary!$B$11)*S1922+Summary!$B$11*U1922</f>
        <v/>
      </c>
      <c r="P1922">
        <f>IF(B1960=0,0,O1922/B1960)</f>
        <v/>
      </c>
      <c r="Q1922">
        <f>IFERROR(1/(IF(Inputs!$B$39="pvp",15,MAX(0.1,Skills!D5-IF(Skills!E5=TRUE,Inputs!$B$33,0)))*(1-IF(AND(ArtifactsInput!$M$27,Inputs!$B$4="Chapter Hunt"),CHOOSE(ArtifactsInput!$N$27+1,20,24,28,32,36,40),0)/100)),0)</f>
        <v/>
      </c>
      <c r="R1922">
        <f>IF(AND(Inputs!$B$39&lt;&gt;"pvp",Inputs!$B$44&gt;0),IF(Inputs!$B$44&lt;=0,0,(INT(Inputs!$B$44/(IF(Inputs!$B$39="pvp",15,MAX(0.1,Skills!D5-IF(Skills!E5=TRUE,Inputs!$B$33,0)))*(1-IF(AND(ArtifactsInput!$M$27,Inputs!$B$4="Chapter Hunt"),CHOOSE(ArtifactsInput!$N$27+1,20,24,28,32,36,40),0)/100)))+1)),0)</f>
        <v/>
      </c>
      <c r="S1922" t="n">
        <v>0</v>
      </c>
      <c r="U1922" t="n">
        <v>0</v>
      </c>
    </row>
    <row r="1923">
      <c r="A1923">
        <f>Skills!A6</f>
        <v/>
      </c>
      <c r="B1923">
        <f>Skills!B6</f>
        <v/>
      </c>
      <c r="C1923">
        <f>Inputs!$B$3&gt;=103</f>
        <v/>
      </c>
      <c r="D1923">
        <f>IF(Skills!C6=1,60+Inputs!$B$26+Inputs!$B$30,IF(Skills!C6=2,90+Inputs!$B$27+Inputs!$B$30,IF(Skills!C6=3,120+Inputs!$B$28+Inputs!$B$30,MAX(0,(Inputs!$B$3-100)*3)+Inputs!$B$29+Inputs!$B$30)))</f>
        <v/>
      </c>
      <c r="E1923">
        <f>INDEX(FactorTable!$B$2:$Y$301, MATCH(ROUND(MIN(300,MAX(1,D1923)),0), FactorTable!$A$2:$A$301,0), Skills!L6+1)</f>
        <v/>
      </c>
      <c r="F1923">
        <f>IF(Skills!M6=TRUE,(Skills!K6/10)*(E1923/1000),Skills!K6/10)+Skills!N6</f>
        <v/>
      </c>
      <c r="G1923">
        <f>Calc!G6</f>
        <v/>
      </c>
      <c r="H1923">
        <f>Calc!H6</f>
        <v/>
      </c>
      <c r="I1923">
        <f>IF(Skills!T6&lt;&gt;"",1+(Skills!T6/10)*($Z$3/1000)/100,1)</f>
        <v/>
      </c>
      <c r="J1923">
        <f>((Inputs!$B$6*(1+Inputs!$B$7/100))+(((Inputs!$B$13*(1+Inputs!$B$14/100))-(Inputs!$B$13*(1+Inputs!$B$14/100)))+0.25*(Inputs!$B$15-Inputs!$B$15))*(1+Inputs!$B$7/100))*(F1923/100)</f>
        <v/>
      </c>
      <c r="K1923">
        <f>J1923*(1+(((Inputs!$B$13+IF(Inputs!$B$3&gt;=35,(10*INDEX(FactorTable!$B$2:$Y$301,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6="TRIUMPH_FEATHER",IF(C1933=TRUE,F1933,0),0)/100)*(1+IF(C1944=TRUE,F1944,0)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1923)</f>
        <v/>
      </c>
      <c r="L1923">
        <f>K1923*(MIN(Inputs!$B$23+(F1939-Calc!F22),(Inputs!$B$24+IF(ArtifactsInput!$M$15,CHOOSE(ArtifactsInput!$N$15+1,25,30,35,40,45,50)/100*(Inputs!$B$12-Inputs!$B$12),0)))/100+(Inputs!$B$24+IF(ArtifactsInput!$M$15,CHOOSE(ArtifactsInput!$N$15+1,25,30,35,40,45,50)/100*(Inputs!$B$12-Inputs!$B$12),0))/100)/2</f>
        <v/>
      </c>
      <c r="M1923">
        <f>L1923*(1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3">
        <f>L1923*(1-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(1-Summary!$B$11)*S1923+Summary!$B$11*U1923</f>
        <v/>
      </c>
      <c r="P1923">
        <f>IF(B1960=0,0,O1923/B1960)</f>
        <v/>
      </c>
      <c r="Q1923">
        <f>IFERROR(1/(IF(Inputs!$B$39="pvp",15,MAX(0.1,Skills!D6-IF(Skills!E6=TRUE,Inputs!$B$33,0)))*(1-IF(AND(ArtifactsInput!$M$27,Inputs!$B$4="Chapter Hunt"),CHOOSE(ArtifactsInput!$N$27+1,20,24,28,32,36,40),0)/100)),0)</f>
        <v/>
      </c>
      <c r="R1923">
        <f>IF(AND(Inputs!$B$39&lt;&gt;"pvp",Inputs!$B$44&gt;0),IF(MAX(0,Inputs!$B$44-B1957)&lt;=0,0,(INT(MAX(0,Inputs!$B$44-B1957)/(IF(Inputs!$B$39="pvp",15,MAX(0.1,Skills!D6-IF(Skills!E6=TRUE,Inputs!$B$33,0)))*(1-IF(AND(ArtifactsInput!$M$27,Inputs!$B$4="Chapter Hunt"),CHOOSE(ArtifactsInput!$N$27+1,20,24,28,32,36,40),0)/100)))+1)),0)</f>
        <v/>
      </c>
      <c r="S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$21+Skills!O6+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1923*(1-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$22+Skills!P6+B1949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Skills!A7</f>
        <v/>
      </c>
      <c r="B1924">
        <f>Skills!B7</f>
        <v/>
      </c>
      <c r="C1924">
        <f>Inputs!$B$3&gt;=122</f>
        <v/>
      </c>
      <c r="D1924">
        <f>IF(Skills!C7=1,60+Inputs!$B$26+Inputs!$B$30,IF(Skills!C7=2,90+Inputs!$B$27+Inputs!$B$30,IF(Skills!C7=3,120+Inputs!$B$28+Inputs!$B$30,MAX(0,(Inputs!$B$3-100)*3)+Inputs!$B$29+Inputs!$B$30)))</f>
        <v/>
      </c>
      <c r="E1924">
        <f>INDEX(FactorTable!$B$2:$Y$301, MATCH(ROUND(MIN(300,MAX(1,D1924)),0), FactorTable!$A$2:$A$301,0), Skills!L7+1)</f>
        <v/>
      </c>
      <c r="F1924">
        <f>IF(Skills!M7=TRUE,(Skills!K7/10)*(E1924/1000),Skills!K7/10)+Skills!N7</f>
        <v/>
      </c>
      <c r="G1924">
        <f>Calc!G7</f>
        <v/>
      </c>
      <c r="H1924">
        <f>Calc!H7</f>
        <v/>
      </c>
      <c r="I1924">
        <f>IF(Skills!T7&lt;&gt;"",1+(Skills!T7/10)*($Z$3/1000)/100,1)</f>
        <v/>
      </c>
      <c r="J1924">
        <f>((Inputs!$B$6*(1+Inputs!$B$7/100))+(((Inputs!$B$13*(1+Inputs!$B$14/100))-(Inputs!$B$13*(1+Inputs!$B$14/100)))+0.25*(Inputs!$B$15-Inputs!$B$15))*(1+Inputs!$B$7/100))*(F1924/100)</f>
        <v/>
      </c>
      <c r="K1924">
        <f>J1924*(1+(((Inputs!$B$13+IF(Inputs!$B$3&gt;=35,(10*INDEX(FactorTable!$B$2:$Y$301,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7="TRIUMPH_FEATHER",IF(C1933=TRUE,F1933,0),0)/100)*(1+IF(C1944=TRUE,F1944,0)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1924)</f>
        <v/>
      </c>
      <c r="L1924">
        <f>K1924*(MIN(Inputs!$B$23+(F1939-Calc!F22),(Inputs!$B$24+IF(ArtifactsInput!$M$15,CHOOSE(ArtifactsInput!$N$15+1,25,30,35,40,45,50)/100*(Inputs!$B$12-Inputs!$B$12),0)))/100+(Inputs!$B$24+IF(ArtifactsInput!$M$15,CHOOSE(ArtifactsInput!$N$15+1,25,30,35,40,45,50)/100*(Inputs!$B$12-Inputs!$B$12),0))/100)/2</f>
        <v/>
      </c>
      <c r="M1924">
        <f>L1924*(1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4">
        <f>L1924*(1-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(1-Summary!$B$11)*S1924+Summary!$B$11*U1924</f>
        <v/>
      </c>
      <c r="P1924">
        <f>IF(B1960=0,0,O1924/B1960)</f>
        <v/>
      </c>
      <c r="Q1924">
        <f>IFERROR(1/(IF(Inputs!$B$39="pvp",15,MAX(0.1,Skills!D7-IF(Skills!E6=TRUE,Inputs!$B$33,0)))*(1-IF(AND(ArtifactsInput!$M$27,Inputs!$B$4="Chapter Hunt"),CHOOSE(ArtifactsInput!$N$27+1,20,24,28,32,36,40),0)/100)),0)</f>
        <v/>
      </c>
      <c r="R1924">
        <f>IF(AND(Inputs!$B$39&lt;&gt;"pvp",Inputs!$B$44&gt;0),IF(MAX(0,Inputs!$B$44-B1957)&lt;=0,0,(INT(MAX(0,Inputs!$B$44-B1957)/(IF(Inputs!$B$39="pvp",15,MAX(0.1,Skills!D7-IF(Skills!E6=TRUE,Inputs!$B$33,0)))*(1-IF(AND(ArtifactsInput!$M$27,Inputs!$B$4="Chapter Hunt"),CHOOSE(ArtifactsInput!$N$27+1,20,24,28,32,36,40),0)/100)))+1)),0)</f>
        <v/>
      </c>
      <c r="S1924">
        <f>IF(C1924,H1924*N1924*IF(AND(Inputs!$B$39&lt;&gt;"pvp",Inputs!$B$44&gt;0),((Skills!F7*((R1924-1)*IF(Skills!G7&gt;0,Skills!H7/Skills!G7,1)+IF(Skills!G7&gt;0,MIN(Skills!H7,MAX(0,MAX(0,Inputs!$B$44-B1957)-((R1924-1)*(IF(Inputs!$B$39="pvp",15,MAX(0.1,Skills!D7-IF(Skills!E6=TRUE,Inputs!$B$33,0)))*(1-IF(AND(ArtifactsInput!$M$27,Inputs!$B$4="Chapter Hunt"),CHOOSE(ArtifactsInput!$N$27+1,20,24,28,32,36,40),0)/100)))))/Skills!G7,1)))/Inputs!$B$44),G1924*Q1924)*IF(Inputs!$B$39="pvp",1,1+(Inputs!$B$21+Skills!O7+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1924*(1-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t="n">
        <v>0</v>
      </c>
    </row>
    <row r="1925">
      <c r="A1925">
        <f>Skills!A8</f>
        <v/>
      </c>
      <c r="B1925">
        <f>Skills!B8</f>
        <v/>
      </c>
      <c r="C1925">
        <f>Inputs!$B$3&gt;=105</f>
        <v/>
      </c>
      <c r="D1925">
        <f>IF(Skills!C8=1,60+Inputs!$B$26+Inputs!$B$30,IF(Skills!C8=2,90+Inputs!$B$27+Inputs!$B$30,IF(Skills!C8=3,120+Inputs!$B$28+Inputs!$B$30,MAX(0,(Inputs!$B$3-100)*3)+Inputs!$B$29+Inputs!$B$30)))</f>
        <v/>
      </c>
      <c r="E1925">
        <f>INDEX(FactorTable!$B$2:$Y$301, MATCH(ROUND(MIN(300,MAX(1,D1925)),0), FactorTable!$A$2:$A$301,0), Skills!L8+1)</f>
        <v/>
      </c>
      <c r="F1925">
        <f>IF(Skills!M8=TRUE,(Skills!K8/10)*(E1925/1000),Skills!K8/10)+Skills!N8</f>
        <v/>
      </c>
      <c r="G1925">
        <f>Calc!G8</f>
        <v/>
      </c>
      <c r="H1925">
        <f>Calc!H8</f>
        <v/>
      </c>
      <c r="I1925">
        <f>IF(Skills!T8&lt;&gt;"",1+(Skills!T8/10)*($Z$3/1000)/100,1)</f>
        <v/>
      </c>
      <c r="J1925">
        <f>((Inputs!$B$6*(1+Inputs!$B$7/100))+(((Inputs!$B$13*(1+Inputs!$B$14/100))-(Inputs!$B$13*(1+Inputs!$B$14/100)))+0.25*(Inputs!$B$15-Inputs!$B$15))*(1+Inputs!$B$7/100))*(F1925/100)</f>
        <v/>
      </c>
      <c r="K1925">
        <f>J1925*(1+(((Inputs!$B$13+IF(Inputs!$B$3&gt;=35,(10*INDEX(FactorTable!$B$2:$Y$301,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8="TRIUMPH_FEATHER",IF(C1933=TRUE,F1933,0),0)/100)*(1+IF(C1944=TRUE,F1944,0)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1925)</f>
        <v/>
      </c>
      <c r="L1925">
        <f>K1925*(MIN(Inputs!$B$23+(F1939-Calc!F22),(Inputs!$B$24+IF(ArtifactsInput!$M$15,CHOOSE(ArtifactsInput!$N$15+1,25,30,35,40,45,50)/100*(Inputs!$B$12-Inputs!$B$12),0)))/100+(Inputs!$B$24+IF(ArtifactsInput!$M$15,CHOOSE(ArtifactsInput!$N$15+1,25,30,35,40,45,50)/100*(Inputs!$B$12-Inputs!$B$12),0))/100)/2</f>
        <v/>
      </c>
      <c r="M1925">
        <f>L1925*(1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5">
        <f>L1925*(1-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(1-Summary!$B$11)*S1925+Summary!$B$11*U1925</f>
        <v/>
      </c>
      <c r="P1925">
        <f>IF(B1960=0,0,O1925/B1960)</f>
        <v/>
      </c>
      <c r="Q1925">
        <f>IFERROR(1/(IF(Inputs!$B$39="pvp",15,MAX(0.1,Skills!D8-IF(Skills!E8=TRUE,Inputs!$B$33,0)))*(1-IF(AND(ArtifactsInput!$M$27,Inputs!$B$4="Chapter Hunt"),CHOOSE(ArtifactsInput!$N$27+1,20,24,28,32,36,40),0)/100)),0)</f>
        <v/>
      </c>
      <c r="R1925">
        <f>IF(AND(Inputs!$B$39&lt;&gt;"pvp",Inputs!$B$44&gt;0),IF(MAX(0,Inputs!$B$44-B1957)&lt;=0,0,(INT(MAX(0,Inputs!$B$44-B1957)/(IF(Inputs!$B$39="pvp",15,MAX(0.1,Skills!D8-IF(Skills!E8=TRUE,Inputs!$B$33,0)))*(1-IF(AND(ArtifactsInput!$M$27,Inputs!$B$4="Chapter Hunt"),CHOOSE(ArtifactsInput!$N$27+1,20,24,28,32,36,40),0)/100)))+1)),0)</f>
        <v/>
      </c>
      <c r="S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$21+Skills!O8+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1925*(1-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$22+Skills!P8+B1949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Skills!A9</f>
        <v/>
      </c>
      <c r="B1926">
        <f>Skills!B9</f>
        <v/>
      </c>
      <c r="C1926">
        <f>Inputs!$B$3&gt;=115</f>
        <v/>
      </c>
      <c r="D1926">
        <f>IF(Skills!C9=1,60+Inputs!$B$26+Inputs!$B$30,IF(Skills!C9=2,90+Inputs!$B$27+Inputs!$B$30,IF(Skills!C9=3,120+Inputs!$B$28+Inputs!$B$30,MAX(0,(Inputs!$B$3-100)*3)+Inputs!$B$29+Inputs!$B$30)))</f>
        <v/>
      </c>
      <c r="E1926">
        <f>INDEX(FactorTable!$B$2:$Y$301, MATCH(ROUND(MIN(300,MAX(1,D1926)),0), FactorTable!$A$2:$A$301,0), Skills!L9+1)</f>
        <v/>
      </c>
      <c r="F1926">
        <f>IF(Skills!M9=TRUE,(Skills!K9/10)*(E1926/1000),Skills!K9/10)+Skills!N9</f>
        <v/>
      </c>
      <c r="G1926">
        <f>Calc!G9</f>
        <v/>
      </c>
      <c r="H1926">
        <f>Calc!H9</f>
        <v/>
      </c>
      <c r="I1926">
        <f>IF(Skills!T9&lt;&gt;"",1+(Skills!T9/10)*($Z$3/1000)/100,1)</f>
        <v/>
      </c>
      <c r="J1926">
        <f>((Inputs!$B$6*(1+Inputs!$B$7/100))+(((Inputs!$B$13*(1+Inputs!$B$14/100))-(Inputs!$B$13*(1+Inputs!$B$14/100)))+0.25*(Inputs!$B$15-Inputs!$B$15))*(1+Inputs!$B$7/100))*(F1926/100)</f>
        <v/>
      </c>
      <c r="K1926">
        <f>J1926*(1+(((Inputs!$B$13+IF(Inputs!$B$3&gt;=35,(10*INDEX(FactorTable!$B$2:$Y$301,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9="TRIUMPH_FEATHER",IF(C1933=TRUE,F1933,0),0)/100)*(1+IF(C1944=TRUE,F1944,0)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1926)</f>
        <v/>
      </c>
      <c r="L1926">
        <f>K1926*(MIN(Inputs!$B$23+(F1939-Calc!F22),(Inputs!$B$24+IF(ArtifactsInput!$M$15,CHOOSE(ArtifactsInput!$N$15+1,25,30,35,40,45,50)/100*(Inputs!$B$12-Inputs!$B$12),0)))/100+(Inputs!$B$24+IF(ArtifactsInput!$M$15,CHOOSE(ArtifactsInput!$N$15+1,25,30,35,40,45,50)/100*(Inputs!$B$12-Inputs!$B$12),0))/100)/2</f>
        <v/>
      </c>
      <c r="M1926">
        <f>L1926*(1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6">
        <f>L1926*(1-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(1-Summary!$B$11)*S1926+Summary!$B$11*U1926</f>
        <v/>
      </c>
      <c r="P1926">
        <f>IF(B1960=0,0,O1926/B1960)</f>
        <v/>
      </c>
      <c r="Q1926">
        <f>IFERROR(1/(IF(Inputs!$B$39="pvp",15,MAX(0.1,Skills!D9-IF(Skills!E9=TRUE,Inputs!$B$33,0)))*(1-IF(AND(ArtifactsInput!$M$27,Inputs!$B$4="Chapter Hunt"),CHOOSE(ArtifactsInput!$N$27+1,20,24,28,32,36,40),0)/100)),0)</f>
        <v/>
      </c>
      <c r="R1926">
        <f>IF(AND(Inputs!$B$39&lt;&gt;"pvp",Inputs!$B$44&gt;0),IF(MAX(0,Inputs!$B$44-B1957)&lt;=0,0,(INT(MAX(0,Inputs!$B$44-B1957)/(IF(Inputs!$B$39="pvp",15,MAX(0.1,Skills!D9-IF(Skills!E9=TRUE,Inputs!$B$33,0)))*(1-IF(AND(ArtifactsInput!$M$27,Inputs!$B$4="Chapter Hunt"),CHOOSE(ArtifactsInput!$N$27+1,20,24,28,32,36,40),0)/100)))+1)),0)</f>
        <v/>
      </c>
      <c r="S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$21+Skills!O9+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1926*(1-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$22+Skills!P9+B1949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Skills!A10</f>
        <v/>
      </c>
      <c r="B1927">
        <f>Skills!B10</f>
        <v/>
      </c>
      <c r="C1927">
        <f>Inputs!$B$3&gt;=66</f>
        <v/>
      </c>
      <c r="D1927">
        <f>IF(Skills!C10=1,60+Inputs!$B$26+Inputs!$B$30,IF(Skills!C10=2,90+Inputs!$B$27+Inputs!$B$30,IF(Skills!C10=3,120+Inputs!$B$28+Inputs!$B$30,MAX(0,(Inputs!$B$3-100)*3)+Inputs!$B$29+Inputs!$B$30)))</f>
        <v/>
      </c>
      <c r="E1927">
        <f>INDEX(FactorTable!$B$2:$Y$301, MATCH(ROUND(MIN(300,MAX(1,D1927)),0), FactorTable!$A$2:$A$301,0), Skills!L10+1)</f>
        <v/>
      </c>
      <c r="F1927" t="n">
        <v>0</v>
      </c>
      <c r="G1927">
        <f>Calc!G10</f>
        <v/>
      </c>
      <c r="H1927">
        <f>Calc!H10</f>
        <v/>
      </c>
      <c r="I1927">
        <f>IF(Skills!T10&lt;&gt;"",1+(Skills!T10/10)*($Z$3/1000)/100,1)</f>
        <v/>
      </c>
      <c r="J1927" t="inlineStr"/>
      <c r="K1927" t="inlineStr"/>
      <c r="L1927" t="inlineStr"/>
      <c r="M1927" t="inlineStr"/>
      <c r="N1927" t="inlineStr"/>
      <c r="O1927">
        <f>(1-Summary!$B$11)*S1927+Summary!$B$11*U1927</f>
        <v/>
      </c>
      <c r="P1927">
        <f>IF(B1960=0,0,O1927/B1960)</f>
        <v/>
      </c>
      <c r="Q1927">
        <f>IFERROR(1/(IF(Inputs!$B$39="pvp",15,MAX(0.1,Skills!D10-IF(Skills!E10=TRUE,Inputs!$B$33,0)))*(1-IF(AND(ArtifactsInput!$M$27,Inputs!$B$4="Chapter Hunt"),CHOOSE(ArtifactsInput!$N$27+1,20,24,28,32,36,40),0)/100)),0)</f>
        <v/>
      </c>
      <c r="R1927">
        <f>IF(AND(Inputs!$B$39&lt;&gt;"pvp",Inputs!$B$44&gt;0),IF(MAX(0,Inputs!$B$44-B1957)&lt;=0,0,(INT(MAX(0,Inputs!$B$44-B1957)/(IF(Inputs!$B$39="pvp",15,MAX(0.1,Skills!D10-IF(Skills!E10=TRUE,Inputs!$B$33,0)))*(1-IF(AND(ArtifactsInput!$M$27,Inputs!$B$4="Chapter Hunt"),CHOOSE(ArtifactsInput!$N$27+1,20,24,28,32,36,40),0)/100)))+1)),0)</f>
        <v/>
      </c>
      <c r="S1927" t="n">
        <v>0</v>
      </c>
      <c r="U1927" t="n">
        <v>0</v>
      </c>
    </row>
    <row r="1928">
      <c r="A1928">
        <f>Skills!A11</f>
        <v/>
      </c>
      <c r="B1928">
        <f>Skills!B11</f>
        <v/>
      </c>
      <c r="C1928">
        <f>Inputs!$B$3&gt;=69</f>
        <v/>
      </c>
      <c r="D1928">
        <f>IF(Skills!C11=1,60+Inputs!$B$26+Inputs!$B$30,IF(Skills!C11=2,90+Inputs!$B$27+Inputs!$B$30,IF(Skills!C11=3,120+Inputs!$B$28+Inputs!$B$30,MAX(0,(Inputs!$B$3-100)*3)+Inputs!$B$29+Inputs!$B$30)))</f>
        <v/>
      </c>
      <c r="E1928">
        <f>INDEX(FactorTable!$B$2:$Y$301, MATCH(ROUND(MIN(300,MAX(1,D1928)),0), FactorTable!$A$2:$A$301,0), Skills!L11+1)</f>
        <v/>
      </c>
      <c r="F1928">
        <f>IF(Skills!M11=TRUE,(Skills!K11/10)*(E1928/1000),Skills!K11/10)+Skills!N11</f>
        <v/>
      </c>
      <c r="G1928">
        <f>Calc!G11</f>
        <v/>
      </c>
      <c r="H1928">
        <f>Calc!H11</f>
        <v/>
      </c>
      <c r="I1928">
        <f>IF(Skills!T11&lt;&gt;"",1+(Skills!T11/10)*($Z$3/1000)/100,1)</f>
        <v/>
      </c>
      <c r="J1928" t="inlineStr"/>
      <c r="K1928" t="inlineStr"/>
      <c r="L1928" t="inlineStr"/>
      <c r="M1928" t="inlineStr"/>
      <c r="N1928" t="inlineStr"/>
      <c r="O1928">
        <f>(1-Summary!$B$11)*S1928+Summary!$B$11*U1928</f>
        <v/>
      </c>
      <c r="P1928">
        <f>IF(B1960=0,0,O1928/B1960)</f>
        <v/>
      </c>
      <c r="Q1928">
        <f>IFERROR(1/(IF(Inputs!$B$39="pvp",15,MAX(0.1,Skills!D11-IF(Skills!E11=TRUE,Inputs!$B$33,0)))*(1-IF(AND(ArtifactsInput!$M$27,Inputs!$B$4="Chapter Hunt"),CHOOSE(ArtifactsInput!$N$27+1,20,24,28,32,36,40),0)/100)),0)</f>
        <v/>
      </c>
      <c r="R1928">
        <f>IF(AND(Inputs!$B$39&lt;&gt;"pvp",Inputs!$B$44&gt;0),IF(Inputs!$B$44&lt;=0,0,(INT(Inputs!$B$44/(IF(Inputs!$B$39="pvp",15,MAX(0.1,Skills!D11-IF(Skills!E11=TRUE,Inputs!$B$33,0)))*(1-IF(AND(ArtifactsInput!$M$27,Inputs!$B$4="Chapter Hunt"),CHOOSE(ArtifactsInput!$N$27+1,20,24,28,32,36,40),0)/100)))+1)),0)</f>
        <v/>
      </c>
      <c r="S1928" t="n">
        <v>0</v>
      </c>
      <c r="U1928" t="n">
        <v>0</v>
      </c>
    </row>
    <row r="1929">
      <c r="A1929">
        <f>Skills!A12</f>
        <v/>
      </c>
      <c r="B1929">
        <f>Skills!B12</f>
        <v/>
      </c>
      <c r="C1929">
        <f>Inputs!$B$3&gt;=72</f>
        <v/>
      </c>
      <c r="D1929">
        <f>IF(Skills!C12=1,60+Inputs!$B$26+Inputs!$B$30,IF(Skills!C12=2,90+Inputs!$B$27+Inputs!$B$30,IF(Skills!C12=3,120+Inputs!$B$28+Inputs!$B$30,MAX(0,(Inputs!$B$3-100)*3)+Inputs!$B$29+Inputs!$B$30)))</f>
        <v/>
      </c>
      <c r="E1929">
        <f>INDEX(FactorTable!$B$2:$Y$301, MATCH(ROUND(MIN(300,MAX(1,D1929)),0), FactorTable!$A$2:$A$301,0), Skills!L12+1)</f>
        <v/>
      </c>
      <c r="F1929">
        <f>IF(Skills!M12=TRUE,(Skills!K12/10)*(E1929/1000),Skills!K12/10)+Skills!N12</f>
        <v/>
      </c>
      <c r="G1929">
        <f>Calc!G12</f>
        <v/>
      </c>
      <c r="H1929">
        <f>Calc!H12</f>
        <v/>
      </c>
      <c r="I1929">
        <f>IF(Skills!T12&lt;&gt;"",1+(Skills!T12/10)*($Z$3/1000)/100,1)</f>
        <v/>
      </c>
      <c r="J1929" t="inlineStr"/>
      <c r="K1929" t="inlineStr"/>
      <c r="L1929" t="inlineStr"/>
      <c r="M1929" t="inlineStr"/>
      <c r="N1929" t="inlineStr"/>
      <c r="O1929">
        <f>(1-Summary!$B$11)*S1929+Summary!$B$11*U1929</f>
        <v/>
      </c>
      <c r="P1929">
        <f>IF(B1960=0,0,O1929/B1960)</f>
        <v/>
      </c>
      <c r="Q1929">
        <f>IFERROR(1/(IF(Inputs!$B$39="pvp",15,MAX(0.1,Skills!D12-IF(Skills!E12=TRUE,Inputs!$B$33,0)))*(1-IF(AND(ArtifactsInput!$M$27,Inputs!$B$4="Chapter Hunt"),CHOOSE(ArtifactsInput!$N$27+1,20,24,28,32,36,40),0)/100)),0)</f>
        <v/>
      </c>
      <c r="R1929">
        <f>IF(AND(Inputs!$B$39&lt;&gt;"pvp",Inputs!$B$44&gt;0),IF(MAX(0,Inputs!$B$44-B1957)&lt;=0,0,(INT(MAX(0,Inputs!$B$44-B1957)/(IF(Inputs!$B$39="pvp",15,MAX(0.1,Skills!D12-IF(Skills!E12=TRUE,Inputs!$B$33,0)))*(1-IF(AND(ArtifactsInput!$M$27,Inputs!$B$4="Chapter Hunt"),CHOOSE(ArtifactsInput!$N$27+1,20,24,28,32,36,40),0)/100)))+1)),0)</f>
        <v/>
      </c>
      <c r="S1929" t="n">
        <v>0</v>
      </c>
      <c r="U1929" t="n">
        <v>0</v>
      </c>
    </row>
    <row r="1930">
      <c r="A1930">
        <f>Skills!A13</f>
        <v/>
      </c>
      <c r="B1930">
        <f>Skills!B13</f>
        <v/>
      </c>
      <c r="C1930">
        <f>Inputs!$B$3&gt;=60</f>
        <v/>
      </c>
      <c r="D1930">
        <f>IF(Skills!C13=1,60+Inputs!$B$26+Inputs!$B$30,IF(Skills!C13=2,90+Inputs!$B$27+Inputs!$B$30,IF(Skills!C13=3,120+Inputs!$B$28+Inputs!$B$30,MAX(0,(Inputs!$B$3-100)*3)+Inputs!$B$29+Inputs!$B$30)))</f>
        <v/>
      </c>
      <c r="E1930">
        <f>INDEX(FactorTable!$B$2:$Y$301, MATCH(ROUND(MIN(300,MAX(1,D1930)),0), FactorTable!$A$2:$A$301,0), Skills!L13+1)</f>
        <v/>
      </c>
      <c r="F1930">
        <f>IF(Skills!M13=TRUE,(Skills!K13/10)*(E1930/1000),Skills!K13/10)+Skills!N13</f>
        <v/>
      </c>
      <c r="G1930">
        <f>Calc!G13</f>
        <v/>
      </c>
      <c r="H1930">
        <f>Calc!H13</f>
        <v/>
      </c>
      <c r="I1930">
        <f>IF(Skills!T13&lt;&gt;"",1+(Skills!T13/10)*($Z$3/1000)/100,1)</f>
        <v/>
      </c>
      <c r="J1930" t="inlineStr"/>
      <c r="K1930" t="inlineStr"/>
      <c r="L1930" t="inlineStr"/>
      <c r="M1930" t="inlineStr"/>
      <c r="N1930" t="inlineStr"/>
      <c r="O1930">
        <f>(1-Summary!$B$11)*S1930+Summary!$B$11*U1930</f>
        <v/>
      </c>
      <c r="P1930">
        <f>IF(B1960=0,0,O1930/B1960)</f>
        <v/>
      </c>
      <c r="Q1930">
        <f>IFERROR(1/(IF(Inputs!$B$39="pvp",15,MAX(0.1,Skills!D13-IF(Skills!E13=TRUE,Inputs!$B$33,0)))*(1-IF(AND(ArtifactsInput!$M$27,Inputs!$B$4="Chapter Hunt"),CHOOSE(ArtifactsInput!$N$27+1,20,24,28,32,36,40),0)/100)),0)</f>
        <v/>
      </c>
      <c r="R1930">
        <f>IF(AND(Inputs!$B$39&lt;&gt;"pvp",Inputs!$B$44&gt;0),IF(MAX(0,Inputs!$B$44-B1957)&lt;=0,0,(INT(MAX(0,Inputs!$B$44-B1957)/(IF(Inputs!$B$39="pvp",15,MAX(0.1,Skills!D13-IF(Skills!E13=TRUE,Inputs!$B$33,0)))*(1-IF(AND(ArtifactsInput!$M$27,Inputs!$B$4="Chapter Hunt"),CHOOSE(ArtifactsInput!$N$27+1,20,24,28,32,36,40),0)/100)))+1)),0)</f>
        <v/>
      </c>
      <c r="S1930" t="n">
        <v>0</v>
      </c>
      <c r="U1930" t="n">
        <v>0</v>
      </c>
    </row>
    <row r="1931">
      <c r="A1931">
        <f>Skills!A14</f>
        <v/>
      </c>
      <c r="B1931">
        <f>Skills!B14</f>
        <v/>
      </c>
      <c r="C1931">
        <f>Inputs!$B$3&gt;=107</f>
        <v/>
      </c>
      <c r="D1931">
        <f>IF(Skills!C14=1,60+Inputs!$B$26+Inputs!$B$30,IF(Skills!C14=2,90+Inputs!$B$27+Inputs!$B$30,IF(Skills!C14=3,120+Inputs!$B$28+Inputs!$B$30,MAX(0,(Inputs!$B$3-100)*3)+Inputs!$B$29+Inputs!$B$30)))</f>
        <v/>
      </c>
      <c r="E1931">
        <f>INDEX(FactorTable!$B$2:$Y$301, MATCH(ROUND(MIN(300,MAX(1,D1931)),0), FactorTable!$A$2:$A$301,0), Skills!L14+1)</f>
        <v/>
      </c>
      <c r="F1931">
        <f>IF(Skills!M14=TRUE,(Skills!K14/10)*(E1931/1000),Skills!K14/10)+Skills!N14</f>
        <v/>
      </c>
      <c r="G1931">
        <f>Calc!G14</f>
        <v/>
      </c>
      <c r="H1931">
        <f>Calc!H14</f>
        <v/>
      </c>
      <c r="I1931">
        <f>IF(Skills!T14&lt;&gt;"",1+(Skills!T14/10)*($Z$3/1000)/100,1)</f>
        <v/>
      </c>
      <c r="J1931" t="inlineStr"/>
      <c r="K1931" t="inlineStr"/>
      <c r="L1931" t="inlineStr"/>
      <c r="M1931" t="inlineStr"/>
      <c r="N1931" t="inlineStr"/>
      <c r="O1931">
        <f>(1-Summary!$B$11)*S1931+Summary!$B$11*U1931</f>
        <v/>
      </c>
      <c r="P1931">
        <f>IF(B1960=0,0,O1931/B1960)</f>
        <v/>
      </c>
      <c r="Q1931">
        <f>IFERROR(1/(IF(Inputs!$B$39="pvp",15,MAX(0.1,Skills!D14-IF(Skills!E14=TRUE,Inputs!$B$33,0)))*(1-IF(AND(ArtifactsInput!$M$27,Inputs!$B$4="Chapter Hunt"),CHOOSE(ArtifactsInput!$N$27+1,20,24,28,32,36,40),0)/100)),0)</f>
        <v/>
      </c>
      <c r="R1931">
        <f>IF(AND(Inputs!$B$39&lt;&gt;"pvp",Inputs!$B$44&gt;0),IF(Inputs!$B$44&lt;=0,0,(INT(Inputs!$B$44/(IF(Inputs!$B$39="pvp",15,MAX(0.1,Skills!D14-IF(Skills!E14=TRUE,Inputs!$B$33,0)))*(1-IF(AND(ArtifactsInput!$M$27,Inputs!$B$4="Chapter Hunt"),CHOOSE(ArtifactsInput!$N$27+1,20,24,28,32,36,40),0)/100)))+1)),0)</f>
        <v/>
      </c>
      <c r="S1931" t="n">
        <v>0</v>
      </c>
      <c r="U1931" t="n">
        <v>0</v>
      </c>
    </row>
    <row r="1932">
      <c r="A1932">
        <f>Skills!A15</f>
        <v/>
      </c>
      <c r="B1932">
        <f>Skills!B15</f>
        <v/>
      </c>
      <c r="C1932">
        <f>Inputs!$B$3&gt;=63</f>
        <v/>
      </c>
      <c r="D1932">
        <f>IF(Skills!C15=1,60+Inputs!$B$26+Inputs!$B$30,IF(Skills!C15=2,90+Inputs!$B$27+Inputs!$B$30,IF(Skills!C15=3,120+Inputs!$B$28+Inputs!$B$30,MAX(0,(Inputs!$B$3-100)*3)+Inputs!$B$29+Inputs!$B$30)))</f>
        <v/>
      </c>
      <c r="E1932">
        <f>INDEX(FactorTable!$B$2:$Y$301, MATCH(ROUND(MIN(300,MAX(1,D1932)),0), FactorTable!$A$2:$A$301,0), Skills!L15+1)</f>
        <v/>
      </c>
      <c r="F1932">
        <f>IF(Skills!M15=TRUE,(Skills!K15/10)*(E1932/1000),Skills!K15/10)+Skills!N15</f>
        <v/>
      </c>
      <c r="G1932">
        <f>Calc!G15</f>
        <v/>
      </c>
      <c r="H1932">
        <f>Calc!H15</f>
        <v/>
      </c>
      <c r="I1932">
        <f>IF(Skills!T15&lt;&gt;"",1+(Skills!T15/10)*($Z$3/1000)/100,1)</f>
        <v/>
      </c>
      <c r="J1932">
        <f>((Inputs!$B$6*(1+Inputs!$B$7/100))+(((Inputs!$B$13*(1+Inputs!$B$14/100))-(Inputs!$B$13*(1+Inputs!$B$14/100)))+0.25*(Inputs!$B$15-Inputs!$B$15))*(1+Inputs!$B$7/100))*(F1932/100)</f>
        <v/>
      </c>
      <c r="K1932">
        <f>J1932*(1+(((Inputs!$B$13+IF(Inputs!$B$3&gt;=35,(10*INDEX(FactorTable!$B$2:$Y$301,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15="TRIUMPH_FEATHER",IF(C1933=TRUE,F1933,0),0)/100)*(1+IF(C1944=TRUE,F1944,0)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1932)</f>
        <v/>
      </c>
      <c r="L1932">
        <f>K1932*(MIN(Inputs!$B$23+(F1939-Calc!F22),(Inputs!$B$24+IF(ArtifactsInput!$M$15,CHOOSE(ArtifactsInput!$N$15+1,25,30,35,40,45,50)/100*(Inputs!$B$12-Inputs!$B$12),0)))/100+(Inputs!$B$24+IF(ArtifactsInput!$M$15,CHOOSE(ArtifactsInput!$N$15+1,25,30,35,40,45,50)/100*(Inputs!$B$12-Inputs!$B$12),0))/100)/2</f>
        <v/>
      </c>
      <c r="M1932">
        <f>L1932*(1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32">
        <f>L1932*(1-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(1-Summary!$B$11)*S1932+Summary!$B$11*U1932</f>
        <v/>
      </c>
      <c r="P1932">
        <f>IF(B1960=0,0,O1932/B1960)</f>
        <v/>
      </c>
      <c r="Q1932">
        <f>IFERROR(1/(IF(Inputs!$B$39="pvp",15,MAX(0.1,Skills!D15-IF(Skills!E15=TRUE,Inputs!$B$33,0)))*(1-IF(AND(ArtifactsInput!$M$27,Inputs!$B$4="Chapter Hunt"),CHOOSE(ArtifactsInput!$N$27+1,20,24,28,32,36,40),0)/100)),0)</f>
        <v/>
      </c>
      <c r="R1932" t="n">
        <v>0</v>
      </c>
      <c r="S1932">
        <f>IF(C1932,(Skills!F15*N1932*((IF(Inputs!$B$3&gt;=78,25,15)/100*B1953*10)/(1+IF(Inputs!$B$3&gt;=78,25,15)/100*B1953*10))*(Skills!I15/100*B1953)/(1+Skills!G15*Skills!I15/100*B1953))*IF(Inputs!$B$39="pvp",1,1+(Inputs!$B$21+Skills!O15+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1932*(1-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2">
        <f>IF(C1932,(Skills!F15*N1932*((IF(Inputs!$B$3&gt;=78,25,15)/100*B1953*10)/(1+IF(Inputs!$B$3&gt;=78,25,15)/100*B1953*10))*(Skills!I15/100*B1953)/(1+Skills!G15*Skills!I15/100*B1953))*IF(Inputs!$B$39="pvp",1,(1+(Inputs!$B$22+Skills!P15+B1949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Skills!A16</f>
        <v/>
      </c>
      <c r="B1933">
        <f>Skills!B16</f>
        <v/>
      </c>
      <c r="C1933">
        <f>Inputs!$B$3&gt;=100</f>
        <v/>
      </c>
      <c r="D1933">
        <f>IF(Skills!C16=1,60+Inputs!$B$26+Inputs!$B$30,IF(Skills!C16=2,90+Inputs!$B$27+Inputs!$B$30,IF(Skills!C16=3,120+Inputs!$B$28+Inputs!$B$30,MAX(0,(Inputs!$B$3-100)*3)+Inputs!$B$29+Inputs!$B$30)))</f>
        <v/>
      </c>
      <c r="E1933">
        <f>INDEX(FactorTable!$B$2:$Y$301, MATCH(ROUND(MIN(300,MAX(1,D1933)),0), FactorTable!$A$2:$A$301,0), Skills!L16+1)</f>
        <v/>
      </c>
      <c r="F1933">
        <f>IF(Skills!M16=TRUE,(Skills!K16/10)*(E1933/1000),Skills!K16/10)+Skills!N16</f>
        <v/>
      </c>
      <c r="G1933">
        <f>Calc!G16</f>
        <v/>
      </c>
      <c r="H1933">
        <f>Calc!H16</f>
        <v/>
      </c>
      <c r="I1933">
        <f>IF(Skills!T16&lt;&gt;"",1+(Skills!T16/10)*($Z$3/1000)/100,1)</f>
        <v/>
      </c>
      <c r="J1933" t="inlineStr"/>
      <c r="K1933" t="inlineStr"/>
      <c r="L1933" t="inlineStr"/>
      <c r="M1933" t="inlineStr"/>
      <c r="N1933" t="inlineStr"/>
      <c r="O1933">
        <f>(1-Summary!$B$11)*S1933+Summary!$B$11*U1933</f>
        <v/>
      </c>
      <c r="P1933">
        <f>IF(B1960=0,0,O1933/B1960)</f>
        <v/>
      </c>
      <c r="Q1933">
        <f>IFERROR(1/(IF(Inputs!$B$39="pvp",15,MAX(0.1,Skills!D16-IF(Skills!E16=TRUE,Inputs!$B$33,0)))*(1-IF(AND(ArtifactsInput!$M$27,Inputs!$B$4="Chapter Hunt"),CHOOSE(ArtifactsInput!$N$27+1,20,24,28,32,36,40),0)/100)),0)</f>
        <v/>
      </c>
      <c r="R1933" t="n">
        <v>0</v>
      </c>
      <c r="S1933" t="n">
        <v>0</v>
      </c>
      <c r="U1933" t="n">
        <v>0</v>
      </c>
    </row>
    <row r="1934">
      <c r="A1934">
        <f>Skills!A17</f>
        <v/>
      </c>
      <c r="B1934">
        <f>Skills!B17</f>
        <v/>
      </c>
      <c r="C1934">
        <f>Inputs!$B$3&gt;=49</f>
        <v/>
      </c>
      <c r="D1934">
        <f>IF(Skills!C17=1,60+Inputs!$B$26+Inputs!$B$30,IF(Skills!C17=2,90+Inputs!$B$27+Inputs!$B$30,IF(Skills!C17=3,120+Inputs!$B$28+Inputs!$B$30,MAX(0,(Inputs!$B$3-100)*3)+Inputs!$B$29+Inputs!$B$30)))</f>
        <v/>
      </c>
      <c r="E1934">
        <f>INDEX(FactorTable!$B$2:$Y$301, MATCH(ROUND(MIN(300,MAX(1,D1934)),0), FactorTable!$A$2:$A$301,0), Skills!L17+1)</f>
        <v/>
      </c>
      <c r="F1934">
        <f>IF(Skills!M17=TRUE,(Skills!K17/10)*(E1934/1000),Skills!K17/10)+Skills!N17</f>
        <v/>
      </c>
      <c r="G1934">
        <f>Calc!G17</f>
        <v/>
      </c>
      <c r="H1934">
        <f>Calc!H17</f>
        <v/>
      </c>
      <c r="I1934">
        <f>IF(Skills!T17&lt;&gt;"",1+(Skills!T17/10)*($Z$3/1000)/100,1)</f>
        <v/>
      </c>
      <c r="J1934" t="inlineStr"/>
      <c r="K1934" t="inlineStr"/>
      <c r="L1934" t="inlineStr"/>
      <c r="M1934" t="inlineStr"/>
      <c r="N1934" t="inlineStr"/>
      <c r="O1934">
        <f>(1-Summary!$B$11)*S1934+Summary!$B$11*U1934</f>
        <v/>
      </c>
      <c r="P1934">
        <f>IF(B1960=0,0,O1934/B1960)</f>
        <v/>
      </c>
      <c r="Q1934">
        <f>IFERROR(1/(IF(Inputs!$B$39="pvp",15,MAX(0.1,Skills!D17-IF(Skills!E17=TRUE,Inputs!$B$33,0)))*(1-IF(AND(ArtifactsInput!$M$27,Inputs!$B$4="Chapter Hunt"),CHOOSE(ArtifactsInput!$N$27+1,20,24,28,32,36,40),0)/100)),0)</f>
        <v/>
      </c>
      <c r="R1934" t="n">
        <v>0</v>
      </c>
      <c r="S1934" t="n">
        <v>0</v>
      </c>
      <c r="U1934" t="n">
        <v>0</v>
      </c>
    </row>
    <row r="1935">
      <c r="A1935">
        <f>Skills!A18</f>
        <v/>
      </c>
      <c r="B1935">
        <f>Skills!B18</f>
        <v/>
      </c>
      <c r="C1935">
        <f>Inputs!$B$3&gt;=75</f>
        <v/>
      </c>
      <c r="D1935">
        <f>IF(Skills!C18=1,60+Inputs!$B$26+Inputs!$B$30,IF(Skills!C18=2,90+Inputs!$B$27+Inputs!$B$30,IF(Skills!C18=3,120+Inputs!$B$28+Inputs!$B$30,MAX(0,(Inputs!$B$3-100)*3)+Inputs!$B$29+Inputs!$B$30)))</f>
        <v/>
      </c>
      <c r="E1935">
        <f>INDEX(FactorTable!$B$2:$Y$301, MATCH(ROUND(MIN(300,MAX(1,D1935)),0), FactorTable!$A$2:$A$301,0), Skills!L18+1)</f>
        <v/>
      </c>
      <c r="F1935">
        <f>IF(Skills!M18=TRUE,(Skills!K18/10)*(E1935/1000),Skills!K18/10)+Skills!N18</f>
        <v/>
      </c>
      <c r="G1935">
        <f>Calc!G18</f>
        <v/>
      </c>
      <c r="H1935">
        <f>Calc!H18</f>
        <v/>
      </c>
      <c r="I1935">
        <f>IF(Skills!T18&lt;&gt;"",1+(Skills!T18/10)*($Z$3/1000)/100,1)</f>
        <v/>
      </c>
      <c r="J1935" t="inlineStr"/>
      <c r="K1935" t="inlineStr"/>
      <c r="L1935" t="inlineStr"/>
      <c r="M1935" t="inlineStr"/>
      <c r="N1935" t="inlineStr"/>
      <c r="O1935">
        <f>(1-Summary!$B$11)*S1935+Summary!$B$11*U1935</f>
        <v/>
      </c>
      <c r="P1935">
        <f>IF(B1960=0,0,O1935/B1960)</f>
        <v/>
      </c>
      <c r="Q1935">
        <f>IFERROR(1/(IF(Inputs!$B$39="pvp",15,MAX(0.1,Skills!D18-IF(Skills!E18=TRUE,Inputs!$B$33,0)))*(1-IF(AND(ArtifactsInput!$M$27,Inputs!$B$4="Chapter Hunt"),CHOOSE(ArtifactsInput!$N$27+1,20,24,28,32,36,40),0)/100)),0)</f>
        <v/>
      </c>
      <c r="R1935" t="n">
        <v>0</v>
      </c>
      <c r="S1935" t="n">
        <v>0</v>
      </c>
      <c r="U1935" t="n">
        <v>0</v>
      </c>
    </row>
    <row r="1936">
      <c r="A1936">
        <f>Skills!A19</f>
        <v/>
      </c>
      <c r="B1936">
        <f>Skills!B19</f>
        <v/>
      </c>
      <c r="C1936">
        <f>Inputs!$B$3&gt;=110</f>
        <v/>
      </c>
      <c r="D1936">
        <f>IF(Skills!C19=1,60+Inputs!$B$26+Inputs!$B$30,IF(Skills!C19=2,90+Inputs!$B$27+Inputs!$B$30,IF(Skills!C19=3,120+Inputs!$B$28+Inputs!$B$30,MAX(0,(Inputs!$B$3-100)*3)+Inputs!$B$29+Inputs!$B$30)))</f>
        <v/>
      </c>
      <c r="E1936">
        <f>INDEX(FactorTable!$B$2:$Y$301, MATCH(ROUND(MIN(300,MAX(1,D1936)),0), FactorTable!$A$2:$A$301,0), Skills!L19+1)</f>
        <v/>
      </c>
      <c r="F1936">
        <f>(Skills!K19/10)*(E1936/1000)*64/45+Skills!N19</f>
        <v/>
      </c>
      <c r="G1936">
        <f>Calc!G19</f>
        <v/>
      </c>
      <c r="H1936">
        <f>Calc!H19</f>
        <v/>
      </c>
      <c r="I1936">
        <f>IF(Skills!T19&lt;&gt;"",1+(Skills!T19/10)*($Z$3/1000)/100,1)</f>
        <v/>
      </c>
      <c r="J1936" t="inlineStr"/>
      <c r="K1936" t="inlineStr"/>
      <c r="L1936" t="inlineStr"/>
      <c r="M1936" t="inlineStr"/>
      <c r="N1936" t="inlineStr"/>
      <c r="O1936">
        <f>(1-Summary!$B$11)*S1936+Summary!$B$11*U1936</f>
        <v/>
      </c>
      <c r="P1936">
        <f>IF(B1960=0,0,O1936/B1960)</f>
        <v/>
      </c>
      <c r="Q1936">
        <f>IFERROR(1/(IF(Inputs!$B$39="pvp",15,MAX(0.1,Skills!D19-IF(Skills!E19=TRUE,Inputs!$B$33,0)))*(1-IF(AND(ArtifactsInput!$M$27,Inputs!$B$4="Chapter Hunt"),CHOOSE(ArtifactsInput!$N$27+1,20,24,28,32,36,40),0)/100)),0)</f>
        <v/>
      </c>
      <c r="R1936">
        <f>IF(AND(Inputs!$B$39&lt;&gt;"pvp",Inputs!$B$44&gt;0),IF(Inputs!$B$44&lt;=0,0,(INT(Inputs!$B$44/(IF(Inputs!$B$39="pvp",15,MAX(0.1,Skills!D19-IF(Skills!E19=TRUE,Inputs!$B$33,0)))*(1-IF(AND(ArtifactsInput!$M$27,Inputs!$B$4="Chapter Hunt"),CHOOSE(ArtifactsInput!$N$27+1,20,24,28,32,36,40),0)/100)))+1)),0)</f>
        <v/>
      </c>
      <c r="S1936" t="n">
        <v>0</v>
      </c>
      <c r="U1936" t="n">
        <v>0</v>
      </c>
    </row>
    <row r="1937">
      <c r="A1937">
        <f>Skills!A20</f>
        <v/>
      </c>
      <c r="B1937">
        <f>Skills!B20</f>
        <v/>
      </c>
      <c r="C1937">
        <f>Inputs!$B$3&gt;=125</f>
        <v/>
      </c>
      <c r="D1937">
        <f>IF(Skills!C20=1,60+Inputs!$B$26+Inputs!$B$30,IF(Skills!C20=2,90+Inputs!$B$27+Inputs!$B$30,IF(Skills!C20=3,120+Inputs!$B$28+Inputs!$B$30,MAX(0,(Inputs!$B$3-100)*3)+Inputs!$B$29+Inputs!$B$30)))</f>
        <v/>
      </c>
      <c r="E1937">
        <f>INDEX(FactorTable!$B$2:$Y$301, MATCH(ROUND(MIN(300,MAX(1,D1937)),0), FactorTable!$A$2:$A$301,0), Skills!L20+1)</f>
        <v/>
      </c>
      <c r="F1937">
        <f>IF(Skills!M20=TRUE,(Skills!K20/10)*(E1937/1000),Skills!K20/10)+Skills!N20</f>
        <v/>
      </c>
      <c r="G1937">
        <f>Calc!G20</f>
        <v/>
      </c>
      <c r="H1937">
        <f>Calc!H20</f>
        <v/>
      </c>
      <c r="I1937">
        <f>IF(Skills!T20&lt;&gt;"",1+(Skills!T20/10)*($Z$3/1000)/100,1)</f>
        <v/>
      </c>
      <c r="J1937" t="inlineStr"/>
      <c r="K1937" t="inlineStr"/>
      <c r="L1937" t="inlineStr"/>
      <c r="M1937" t="inlineStr"/>
      <c r="N1937" t="inlineStr"/>
      <c r="O1937">
        <f>(1-Summary!$B$11)*S1937+Summary!$B$11*U1937</f>
        <v/>
      </c>
      <c r="P1937">
        <f>IF(B1960=0,0,O1937/B1960)</f>
        <v/>
      </c>
      <c r="Q1937">
        <f>IFERROR(1/(IF(Inputs!$B$39="pvp",15,MAX(0.1,Skills!D20-IF(Skills!E20=TRUE,Inputs!$B$33,0)))*(1-IF(AND(ArtifactsInput!$M$27,Inputs!$B$4="Chapter Hunt"),CHOOSE(ArtifactsInput!$N$27+1,20,24,28,32,36,40),0)/100)),0)</f>
        <v/>
      </c>
      <c r="R1937" t="n">
        <v>0</v>
      </c>
      <c r="S1937" t="n">
        <v>0</v>
      </c>
      <c r="U1937" t="n">
        <v>0</v>
      </c>
    </row>
    <row r="1938">
      <c r="A1938">
        <f>Skills!A21</f>
        <v/>
      </c>
      <c r="B1938">
        <f>Skills!B21</f>
        <v/>
      </c>
      <c r="C1938">
        <f>Inputs!$B$3&gt;=33</f>
        <v/>
      </c>
      <c r="D1938">
        <f>IF(Skills!C21=1,60+Inputs!$B$26+Inputs!$B$30,IF(Skills!C21=2,90+Inputs!$B$27+Inputs!$B$30,IF(Skills!C21=3,120+Inputs!$B$28+Inputs!$B$30,MAX(0,(Inputs!$B$3-100)*3)+Inputs!$B$29+Inputs!$B$30)))</f>
        <v/>
      </c>
      <c r="E1938">
        <f>INDEX(FactorTable!$B$2:$Y$301, MATCH(ROUND(MIN(300,MAX(1,D1938)),0), FactorTable!$A$2:$A$301,0), Skills!L21+1)</f>
        <v/>
      </c>
      <c r="F1938">
        <f>IF(Skills!M21=TRUE,(Skills!K21/10)*(E1938/1000),Skills!K21/10)+Skills!N21</f>
        <v/>
      </c>
      <c r="G1938">
        <f>Calc!G21</f>
        <v/>
      </c>
      <c r="H1938">
        <f>Calc!H21</f>
        <v/>
      </c>
      <c r="I1938">
        <f>IF(Skills!T21&lt;&gt;"",1+(Skills!T21/10)*($Z$3/1000)/100,1)</f>
        <v/>
      </c>
      <c r="J1938" t="inlineStr"/>
      <c r="K1938" t="inlineStr"/>
      <c r="L1938" t="inlineStr"/>
      <c r="M1938" t="inlineStr"/>
      <c r="N1938" t="inlineStr"/>
      <c r="O1938">
        <f>(1-Summary!$B$11)*S1938+Summary!$B$11*U1938</f>
        <v/>
      </c>
      <c r="P1938">
        <f>IF(B1960=0,0,O1938/B1960)</f>
        <v/>
      </c>
      <c r="Q1938">
        <f>IFERROR(1/(IF(Inputs!$B$39="pvp",15,MAX(0.1,Skills!D21-IF(Skills!E21=TRUE,Inputs!$B$33,0)))*(1-IF(AND(ArtifactsInput!$M$27,Inputs!$B$4="Chapter Hunt"),CHOOSE(ArtifactsInput!$N$27+1,20,24,28,32,36,40),0)/100)),0)</f>
        <v/>
      </c>
      <c r="R1938" t="n">
        <v>0</v>
      </c>
      <c r="S1938" t="n">
        <v>0</v>
      </c>
      <c r="U1938" t="n">
        <v>0</v>
      </c>
    </row>
    <row r="1939">
      <c r="A1939">
        <f>Skills!A22</f>
        <v/>
      </c>
      <c r="B1939">
        <f>Skills!B22</f>
        <v/>
      </c>
      <c r="C1939">
        <f>Inputs!$B$3&gt;=43</f>
        <v/>
      </c>
      <c r="D1939">
        <f>IF(Skills!C22=1,60+Inputs!$B$26+Inputs!$B$30,IF(Skills!C22=2,90+Inputs!$B$27+Inputs!$B$30,IF(Skills!C22=3,120+Inputs!$B$28+Inputs!$B$30,MAX(0,(Inputs!$B$3-100)*3)+Inputs!$B$29+Inputs!$B$30)))</f>
        <v/>
      </c>
      <c r="E1939">
        <f>INDEX(FactorTable!$B$2:$Y$301, MATCH(ROUND(MIN(300,MAX(1,D1939)),0), FactorTable!$A$2:$A$301,0), Skills!L22+1)</f>
        <v/>
      </c>
      <c r="F1939">
        <f>IF(Skills!M22=TRUE,(Skills!K22/10)*(E1939/1000),Skills!K22/10)+Skills!N22</f>
        <v/>
      </c>
      <c r="G1939">
        <f>Calc!G22</f>
        <v/>
      </c>
      <c r="H1939">
        <f>Calc!H22</f>
        <v/>
      </c>
      <c r="I1939">
        <f>IF(Skills!T22&lt;&gt;"",1+(Skills!T22/10)*($Z$3/1000)/100,1)</f>
        <v/>
      </c>
      <c r="J1939" t="inlineStr"/>
      <c r="K1939" t="inlineStr"/>
      <c r="L1939" t="inlineStr"/>
      <c r="M1939" t="inlineStr"/>
      <c r="N1939" t="inlineStr"/>
      <c r="O1939">
        <f>(1-Summary!$B$11)*S1939+Summary!$B$11*U1939</f>
        <v/>
      </c>
      <c r="P1939">
        <f>IF(B1960=0,0,O1939/B1960)</f>
        <v/>
      </c>
      <c r="Q1939">
        <f>IFERROR(1/(IF(Inputs!$B$39="pvp",15,MAX(0.1,Skills!D22-IF(Skills!E22=TRUE,Inputs!$B$33,0)))*(1-IF(AND(ArtifactsInput!$M$27,Inputs!$B$4="Chapter Hunt"),CHOOSE(ArtifactsInput!$N$27+1,20,24,28,32,36,40),0)/100)),0)</f>
        <v/>
      </c>
      <c r="R1939" t="n">
        <v>0</v>
      </c>
      <c r="S1939" t="n">
        <v>0</v>
      </c>
      <c r="U1939" t="n">
        <v>0</v>
      </c>
    </row>
    <row r="1940">
      <c r="A1940">
        <f>Skills!A23</f>
        <v/>
      </c>
      <c r="B1940">
        <f>Skills!B23</f>
        <v/>
      </c>
      <c r="C1940">
        <f>Inputs!$B$3&gt;=50</f>
        <v/>
      </c>
      <c r="D1940">
        <f>IF(Skills!C23=1,60+Inputs!$B$26+Inputs!$B$30,IF(Skills!C23=2,90+Inputs!$B$27+Inputs!$B$30,IF(Skills!C23=3,120+Inputs!$B$28+Inputs!$B$30,MAX(0,(Inputs!$B$3-100)*3)+Inputs!$B$29+Inputs!$B$30)))</f>
        <v/>
      </c>
      <c r="E1940">
        <f>INDEX(FactorTable!$B$2:$Y$301, MATCH(ROUND(MIN(300,MAX(1,D1940)),0), FactorTable!$A$2:$A$301,0), Skills!L23+1)</f>
        <v/>
      </c>
      <c r="F1940">
        <f>IF(Skills!M23=TRUE,(Skills!K23/10)*(E1940/1000),Skills!K23/10)+Skills!N23</f>
        <v/>
      </c>
      <c r="G1940">
        <f>Calc!G23</f>
        <v/>
      </c>
      <c r="H1940">
        <f>Calc!H23</f>
        <v/>
      </c>
      <c r="I1940">
        <f>IF(Skills!T23&lt;&gt;"",1+(Skills!T23/10)*($Z$3/1000)/100,1)</f>
        <v/>
      </c>
      <c r="J1940" t="inlineStr"/>
      <c r="K1940" t="inlineStr"/>
      <c r="L1940" t="inlineStr"/>
      <c r="M1940" t="inlineStr"/>
      <c r="N1940" t="inlineStr"/>
      <c r="O1940">
        <f>(1-Summary!$B$11)*S1940+Summary!$B$11*U1940</f>
        <v/>
      </c>
      <c r="P1940">
        <f>IF(B1960=0,0,O1940/B1960)</f>
        <v/>
      </c>
      <c r="Q1940">
        <f>IFERROR(1/(IF(Inputs!$B$39="pvp",15,MAX(0.1,Skills!D23-IF(Skills!E23=TRUE,Inputs!$B$33,0)))*(1-IF(AND(ArtifactsInput!$M$27,Inputs!$B$4="Chapter Hunt"),CHOOSE(ArtifactsInput!$N$27+1,20,24,28,32,36,40),0)/100)),0)</f>
        <v/>
      </c>
      <c r="R1940" t="n">
        <v>0</v>
      </c>
      <c r="S1940" t="n">
        <v>0</v>
      </c>
      <c r="U1940" t="n">
        <v>0</v>
      </c>
    </row>
    <row r="1941">
      <c r="A1941">
        <f>Skills!A24</f>
        <v/>
      </c>
      <c r="B1941">
        <f>Skills!B24</f>
        <v/>
      </c>
      <c r="C1941">
        <f>Inputs!$B$3&gt;=74</f>
        <v/>
      </c>
      <c r="D1941">
        <f>IF(Skills!C24=1,60+Inputs!$B$26+Inputs!$B$30,IF(Skills!C24=2,90+Inputs!$B$27+Inputs!$B$30,IF(Skills!C24=3,120+Inputs!$B$28+Inputs!$B$30,MAX(0,(Inputs!$B$3-100)*3)+Inputs!$B$29+Inputs!$B$30)))</f>
        <v/>
      </c>
      <c r="E1941">
        <f>INDEX(FactorTable!$B$2:$Y$301, MATCH(ROUND(MIN(300,MAX(1,D1941)),0), FactorTable!$A$2:$A$301,0), Skills!L24+1)</f>
        <v/>
      </c>
      <c r="F1941">
        <f>IF(Skills!M24=TRUE,(Skills!K24/10)*(E1941/1000),Skills!K24/10)+Skills!N24</f>
        <v/>
      </c>
      <c r="G1941">
        <f>Calc!G24</f>
        <v/>
      </c>
      <c r="H1941">
        <f>Calc!H24</f>
        <v/>
      </c>
      <c r="I1941">
        <f>IF(Skills!T24&lt;&gt;"",1+(Skills!T24/10)*($Z$3/1000)/100,1)</f>
        <v/>
      </c>
      <c r="J1941" t="inlineStr"/>
      <c r="K1941" t="inlineStr"/>
      <c r="L1941" t="inlineStr"/>
      <c r="M1941" t="inlineStr"/>
      <c r="N1941" t="inlineStr"/>
      <c r="O1941">
        <f>(1-Summary!$B$11)*S1941+Summary!$B$11*U1941</f>
        <v/>
      </c>
      <c r="P1941">
        <f>IF(B1960=0,0,O1941/B1960)</f>
        <v/>
      </c>
      <c r="Q1941">
        <f>IFERROR(1/(IF(Inputs!$B$39="pvp",15,MAX(0.1,Skills!D24-IF(Skills!E24=TRUE,Inputs!$B$33,0)))*(1-IF(AND(ArtifactsInput!$M$27,Inputs!$B$4="Chapter Hunt"),CHOOSE(ArtifactsInput!$N$27+1,20,24,28,32,36,40),0)/100)),0)</f>
        <v/>
      </c>
      <c r="R1941" t="n">
        <v>0</v>
      </c>
      <c r="S1941" t="n">
        <v>0</v>
      </c>
      <c r="U1941" t="n">
        <v>0</v>
      </c>
    </row>
    <row r="1942">
      <c r="A1942">
        <f>Skills!A25</f>
        <v/>
      </c>
      <c r="B1942">
        <f>Skills!B25</f>
        <v/>
      </c>
      <c r="C1942">
        <f>Inputs!$B$3&gt;=74</f>
        <v/>
      </c>
      <c r="D1942">
        <f>IF(Skills!C25=1,60+Inputs!$B$26+Inputs!$B$30,IF(Skills!C25=2,90+Inputs!$B$27+Inputs!$B$30,IF(Skills!C25=3,120+Inputs!$B$28+Inputs!$B$30,MAX(0,(Inputs!$B$3-100)*3)+Inputs!$B$29+Inputs!$B$30)))</f>
        <v/>
      </c>
      <c r="E1942">
        <f>INDEX(FactorTable!$B$2:$Y$301, MATCH(ROUND(MIN(300,MAX(1,D1942)),0), FactorTable!$A$2:$A$301,0), Skills!L25+1)</f>
        <v/>
      </c>
      <c r="F1942">
        <f>IF(Skills!M25=TRUE,(Skills!K25/10)*(E1942/1000),Skills!K25/10)+Skills!N25</f>
        <v/>
      </c>
      <c r="G1942">
        <f>Calc!G25</f>
        <v/>
      </c>
      <c r="H1942">
        <f>Calc!H25</f>
        <v/>
      </c>
      <c r="I1942">
        <f>IF(Skills!T25&lt;&gt;"",1+(Skills!T25/10)*($Z$3/1000)/100,1)</f>
        <v/>
      </c>
      <c r="J1942" t="inlineStr"/>
      <c r="K1942" t="inlineStr"/>
      <c r="L1942" t="inlineStr"/>
      <c r="M1942" t="inlineStr"/>
      <c r="N1942" t="inlineStr"/>
      <c r="O1942">
        <f>(1-Summary!$B$11)*S1942+Summary!$B$11*U1942</f>
        <v/>
      </c>
      <c r="P1942">
        <f>IF(B1960=0,0,O1942/B1960)</f>
        <v/>
      </c>
      <c r="Q1942">
        <f>IFERROR(1/(IF(Inputs!$B$39="pvp",15,MAX(0.1,Skills!D25-IF(Skills!E25=TRUE,Inputs!$B$33,0)))*(1-IF(AND(ArtifactsInput!$M$27,Inputs!$B$4="Chapter Hunt"),CHOOSE(ArtifactsInput!$N$27+1,20,24,28,32,36,40),0)/100)),0)</f>
        <v/>
      </c>
      <c r="R1942" t="n">
        <v>0</v>
      </c>
      <c r="S1942" t="n">
        <v>0</v>
      </c>
      <c r="U1942" t="n">
        <v>0</v>
      </c>
    </row>
    <row r="1943">
      <c r="A1943">
        <f>Skills!A26</f>
        <v/>
      </c>
      <c r="B1943">
        <f>Skills!B26</f>
        <v/>
      </c>
      <c r="C1943">
        <f>Inputs!$B$3&gt;=117</f>
        <v/>
      </c>
      <c r="D1943">
        <f>IF(Skills!C26=1,60+Inputs!$B$26+Inputs!$B$30,IF(Skills!C26=2,90+Inputs!$B$27+Inputs!$B$30,IF(Skills!C26=3,120+Inputs!$B$28+Inputs!$B$30,MAX(0,(Inputs!$B$3-100)*3)+Inputs!$B$29+Inputs!$B$30)))</f>
        <v/>
      </c>
      <c r="E1943">
        <f>INDEX(FactorTable!$B$2:$Y$301, MATCH(ROUND(MIN(300,MAX(1,D1943)),0), FactorTable!$A$2:$A$301,0), Skills!L26+1)</f>
        <v/>
      </c>
      <c r="F1943">
        <f>IF(Skills!M26=TRUE,(Skills!K26/10)*(E1943/1000),Skills!K26/10)+Skills!N26</f>
        <v/>
      </c>
      <c r="G1943">
        <f>Calc!G26</f>
        <v/>
      </c>
      <c r="H1943">
        <f>Calc!H26</f>
        <v/>
      </c>
      <c r="I1943">
        <f>IF(Skills!T26&lt;&gt;"",1+(Skills!T26/10)*($Z$3/1000)/100,1)</f>
        <v/>
      </c>
      <c r="J1943" t="inlineStr"/>
      <c r="K1943" t="inlineStr"/>
      <c r="L1943" t="inlineStr"/>
      <c r="M1943" t="inlineStr"/>
      <c r="N1943" t="inlineStr"/>
      <c r="O1943">
        <f>(1-Summary!$B$11)*S1943+Summary!$B$11*U1943</f>
        <v/>
      </c>
      <c r="P1943">
        <f>IF(B1960=0,0,O1943/B1960)</f>
        <v/>
      </c>
      <c r="Q1943">
        <f>IFERROR(1/(IF(Inputs!$B$39="pvp",15,MAX(0.1,Skills!D26-IF(Skills!E26=TRUE,Inputs!$B$33,0)))*(1-IF(AND(ArtifactsInput!$M$27,Inputs!$B$4="Chapter Hunt"),CHOOSE(ArtifactsInput!$N$27+1,20,24,28,32,36,40),0)/100)),0)</f>
        <v/>
      </c>
      <c r="R1943" t="n">
        <v>0</v>
      </c>
      <c r="S1943" t="n">
        <v>0</v>
      </c>
      <c r="U1943" t="n">
        <v>0</v>
      </c>
    </row>
    <row r="1944">
      <c r="A1944">
        <f>Skills!A27</f>
        <v/>
      </c>
      <c r="B1944">
        <f>Skills!B27</f>
        <v/>
      </c>
      <c r="C1944">
        <f>Inputs!$B$3&gt;=120</f>
        <v/>
      </c>
      <c r="D1944">
        <f>IF(Skills!C27=1,60+Inputs!$B$26+Inputs!$B$30,IF(Skills!C27=2,90+Inputs!$B$27+Inputs!$B$30,IF(Skills!C27=3,120+Inputs!$B$28+Inputs!$B$30,MAX(0,(Inputs!$B$3-100)*3)+Inputs!$B$29+Inputs!$B$30)))</f>
        <v/>
      </c>
      <c r="E1944">
        <f>INDEX(FactorTable!$B$2:$Y$301, MATCH(ROUND(MIN(300,MAX(1,D1944)),0), FactorTable!$A$2:$A$301,0), Skills!L27+1)</f>
        <v/>
      </c>
      <c r="F1944">
        <f>IF(Skills!M27=TRUE,(Skills!K27/10)*(E1944/1000),Skills!K27/10)+Skills!N27</f>
        <v/>
      </c>
      <c r="G1944">
        <f>Calc!G27</f>
        <v/>
      </c>
      <c r="H1944">
        <f>Calc!H27</f>
        <v/>
      </c>
      <c r="I1944">
        <f>IF(Skills!T27&lt;&gt;"",1+(Skills!T27/10)*($Z$3/1000)/100,1)</f>
        <v/>
      </c>
      <c r="J1944" t="inlineStr"/>
      <c r="K1944" t="inlineStr"/>
      <c r="L1944" t="inlineStr"/>
      <c r="M1944" t="inlineStr"/>
      <c r="N1944" t="inlineStr"/>
      <c r="O1944">
        <f>(1-Summary!$B$11)*S1944+Summary!$B$11*U1944</f>
        <v/>
      </c>
      <c r="P1944">
        <f>IF(B1960=0,0,O1944/B1960)</f>
        <v/>
      </c>
      <c r="Q1944">
        <f>IFERROR(1/(IF(Inputs!$B$39="pvp",15,MAX(0.1,Skills!D27-IF(Skills!E27=TRUE,Inputs!$B$33,0)))*(1-IF(AND(ArtifactsInput!$M$27,Inputs!$B$4="Chapter Hunt"),CHOOSE(ArtifactsInput!$N$27+1,20,24,28,32,36,40),0)/100)),0)</f>
        <v/>
      </c>
      <c r="R1944" t="n">
        <v>0</v>
      </c>
      <c r="S1944" t="n">
        <v>0</v>
      </c>
      <c r="U1944" t="n">
        <v>0</v>
      </c>
    </row>
    <row r="1945">
      <c r="A1945">
        <f>Skills!A28</f>
        <v/>
      </c>
      <c r="B1945">
        <f>Skills!B28</f>
        <v/>
      </c>
      <c r="C1945">
        <f>TRUE</f>
        <v/>
      </c>
      <c r="D1945">
        <f>IF(Skills!C28=1,60+Inputs!$B$26+Inputs!$B$30,IF(Skills!C28=2,90+Inputs!$B$27+Inputs!$B$30,IF(Skills!C28=3,120+Inputs!$B$28+Inputs!$B$30,MAX(0,(Inputs!$B$3-100)*3)+Inputs!$B$29+Inputs!$B$30)))</f>
        <v/>
      </c>
      <c r="E1945">
        <f>INDEX(FactorTable!$B$2:$Y$301, MATCH(ROUND(MIN(300,MAX(1,D1945)),0), FactorTable!$A$2:$A$301,0), Skills!L28+1)</f>
        <v/>
      </c>
      <c r="F1945">
        <f>IF(Skills!M28=TRUE,(Skills!K28/10)*(E1945/1000),Skills!K28/10)+Skills!N28</f>
        <v/>
      </c>
      <c r="G1945">
        <f>Calc!G28</f>
        <v/>
      </c>
      <c r="H1945">
        <f>Calc!H28</f>
        <v/>
      </c>
      <c r="I1945">
        <f>IF(Skills!T28&lt;&gt;"",1+(Skills!T28/10)*($Z$3/1000)/100,1)</f>
        <v/>
      </c>
      <c r="J1945" t="inlineStr"/>
      <c r="K1945" t="inlineStr"/>
      <c r="L1945" t="inlineStr"/>
      <c r="M1945" t="inlineStr"/>
      <c r="N1945" t="inlineStr"/>
      <c r="O1945">
        <f>(1-Summary!$B$11)*S1945+Summary!$B$11*U1945</f>
        <v/>
      </c>
      <c r="P1945">
        <f>IF(B1960=0,0,O1945/B1960)</f>
        <v/>
      </c>
      <c r="Q1945">
        <f>IFERROR(1/(IF(Inputs!$B$39="pvp",15,MAX(0.1,Skills!D28-IF(Skills!E28=TRUE,Inputs!$B$33,0)))*(1-IF(AND(ArtifactsInput!$M$27,Inputs!$B$4="Chapter Hunt"),CHOOSE(ArtifactsInput!$N$27+1,20,24,28,32,36,40),0)/100)),0)</f>
        <v/>
      </c>
      <c r="R1945">
        <f>IF(AND(Inputs!$B$39&lt;&gt;"pvp",Inputs!$B$44&gt;0),IF(Inputs!$B$44&lt;=0,0,(INT(Inputs!$B$44/(IF(Inputs!$B$39="pvp",15,MAX(0.1,Skills!D28-IF(Skills!E28=TRUE,Inputs!$B$33,0)))*(1-IF(AND(ArtifactsInput!$M$27,Inputs!$B$4="Chapter Hunt"),CHOOSE(ArtifactsInput!$N$27+1,20,24,28,32,36,40),0)/100)))+1)),0)</f>
        <v/>
      </c>
      <c r="S1945" t="n">
        <v>0</v>
      </c>
      <c r="U1945" t="n">
        <v>0</v>
      </c>
    </row>
    <row r="1947">
      <c r="A1947" t="inlineStr">
        <is>
          <t>Average Buff Multiplier</t>
        </is>
      </c>
      <c r="B1947">
        <f>(1+(IF(C1920=TRUE,F1920*IF(AND(Inputs!$B$39&lt;&gt;"pvp",Inputs!$B$44&gt;0),(((R1920-1)*(Skills!S3*(1+((Inputs!$B$35+(ArtifactsInput!$M$7-ArtifactsInput!$M$7)*CHOOSE(ArtifactsInput!$N$7+1,6,7.2,8.4,9.6,10.8,12))+IF(Inputs!$B$3&gt;=117,F1943,0))/100))+MIN((Skills!S3*(1+((Inputs!$B$35+(ArtifactsInput!$M$7-ArtifactsInput!$M$7)*CHOOSE(ArtifactsInput!$N$7+1,6,7.2,8.4,9.6,10.8,12))+IF(Inputs!$B$3&gt;=117,F1943,0))/100)),MAX(0,Inputs!$B$44-((R1920-1)*Skills!D3))))/Inputs!$B$44),IF(Inputs!$B$39="pvp",MIN((Skills!S3*(1+((Inputs!$B$35+(ArtifactsInput!$M$7-ArtifactsInput!$M$7)*CHOOSE(ArtifactsInput!$N$7+1,6,7.2,8.4,9.6,10.8,12))+IF(Inputs!$B$3&gt;=117,F1943,0))/100)),15)/15,(Skills!S3*(1+((Inputs!$B$35+(ArtifactsInput!$M$7-ArtifactsInput!$M$7)*CHOOSE(ArtifactsInput!$N$7+1,6,7.2,8.4,9.6,10.8,12))+IF(Inputs!$B$3&gt;=117,F1943,0))/100))/Skills!D3)),0)+IF(C1921=TRUE,F1921*IF(AND(Inputs!$B$39&lt;&gt;"pvp",Inputs!$B$44&gt;0),(((R1921-1)*(Skills!S4*(1+((Inputs!$B$35+(ArtifactsInput!$M$7-ArtifactsInput!$M$7)*CHOOSE(ArtifactsInput!$N$7+1,6,7.2,8.4,9.6,10.8,12))+IF(Inputs!$B$3&gt;=117,F1943,0))/100))+MIN((Skills!S4*(1+((Inputs!$B$35+(ArtifactsInput!$M$7-ArtifactsInput!$M$7)*CHOOSE(ArtifactsInput!$N$7+1,6,7.2,8.4,9.6,10.8,12))+IF(Inputs!$B$3&gt;=117,F1943,0))/100)),MAX(0,Inputs!$B$44-((R1921-1)*Skills!D4))))/Inputs!$B$44),IF(Inputs!$B$39="pvp",MIN((Skills!S4*(1+((Inputs!$B$35+(ArtifactsInput!$M$7-ArtifactsInput!$M$7)*CHOOSE(ArtifactsInput!$N$7+1,6,7.2,8.4,9.6,10.8,12))+IF(Inputs!$B$3&gt;=117,F1943,0))/100)),15)/15,(Skills!S4*(1+((Inputs!$B$35+(ArtifactsInput!$M$7-ArtifactsInput!$M$7)*CHOOSE(ArtifactsInput!$N$7+1,6,7.2,8.4,9.6,10.8,12))+IF(Inputs!$B$3&gt;=117,F1943,0))/100))/Skills!D4)),0)+IF(C1922=TRUE,F1922*IF(AND(Inputs!$B$39&lt;&gt;"pvp",Inputs!$B$44&gt;0),(((R1922-1)*(Skills!S5*(1+((Inputs!$B$35+(ArtifactsInput!$M$7-ArtifactsInput!$M$7)*CHOOSE(ArtifactsInput!$N$7+1,6,7.2,8.4,9.6,10.8,12))+IF(Inputs!$B$3&gt;=117,F1943,0))/100))+MIN((Skills!S5*(1+((Inputs!$B$35+(ArtifactsInput!$M$7-ArtifactsInput!$M$7)*CHOOSE(ArtifactsInput!$N$7+1,6,7.2,8.4,9.6,10.8,12))+IF(Inputs!$B$3&gt;=117,F1943,0))/100)),MAX(0,Inputs!$B$44-((R1922-1)*Skills!D5))))/Inputs!$B$44),IF(Inputs!$B$39="pvp",MIN((Skills!S5*(1+((Inputs!$B$35+(ArtifactsInput!$M$7-ArtifactsInput!$M$7)*CHOOSE(ArtifactsInput!$N$7+1,6,7.2,8.4,9.6,10.8,12))+IF(Inputs!$B$3&gt;=117,F1943,0))/100)),15)/15,(Skills!S5*(1+((Inputs!$B$35+(ArtifactsInput!$M$7-ArtifactsInput!$M$7)*CHOOSE(ArtifactsInput!$N$7+1,6,7.2,8.4,9.6,10.8,12))+IF(Inputs!$B$3&gt;=117,F1943,0))/100))/Skills!D5)),0)+IF(C1928=TRUE,F1928*IF(AND(Inputs!$B$39&lt;&gt;"pvp",Inputs!$B$44&gt;0),(((R1928-1)*(Skills!S11*(1+((Inputs!$B$35+(ArtifactsInput!$M$7-ArtifactsInput!$M$7)*CHOOSE(ArtifactsInput!$N$7+1,6,7.2,8.4,9.6,10.8,12))+IF(Inputs!$B$3&gt;=117,F1943,0))/100))+MIN((Skills!S11*(1+((Inputs!$B$35+(ArtifactsInput!$M$7-ArtifactsInput!$M$7)*CHOOSE(ArtifactsInput!$N$7+1,6,7.2,8.4,9.6,10.8,12))+IF(Inputs!$B$3&gt;=117,F1943,0))/100)),MAX(0,Inputs!$B$44-((R1928-1)*Skills!D11))))/Inputs!$B$44),IF(Inputs!$B$39="pvp",MIN((Skills!S11*(1+((Inputs!$B$35+(ArtifactsInput!$M$7-ArtifactsInput!$M$7)*CHOOSE(ArtifactsInput!$N$7+1,6,7.2,8.4,9.6,10.8,12))+IF(Inputs!$B$3&gt;=117,F1943,0))/100)),15)/15,(Skills!S11*(1+((Inputs!$B$35+(ArtifactsInput!$M$7-ArtifactsInput!$M$7)*CHOOSE(ArtifactsInput!$N$7+1,6,7.2,8.4,9.6,10.8,12))+IF(Inputs!$B$3&gt;=117,F1943,0))/100))/Skills!D11)),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1931=TRUE,(1+F1931*IF(AND(Inputs!$B$39&lt;&gt;"pvp",Inputs!$B$44&gt;0),(((R1931-1)*(Skills!S14*(1+((Inputs!$B$35+(ArtifactsInput!$M$7-ArtifactsInput!$M$7)*CHOOSE(ArtifactsInput!$N$7+1,6,7.2,8.4,9.6,10.8,12))+IF(Inputs!$B$3&gt;=117,F1943,0))/100))+MIN((Skills!S14*(1+((Inputs!$B$35+(ArtifactsInput!$M$7-ArtifactsInput!$M$7)*CHOOSE(ArtifactsInput!$N$7+1,6,7.2,8.4,9.6,10.8,12))+IF(Inputs!$B$3&gt;=117,F1943,0))/100)),MAX(0,Inputs!$B$44-((R1931-1)*Skills!D14))))/Inputs!$B$44),IF(Inputs!$B$39="pvp",MIN((Skills!S14*(1+((Inputs!$B$35+(ArtifactsInput!$M$7-ArtifactsInput!$M$7)*CHOOSE(ArtifactsInput!$N$7+1,6,7.2,8.4,9.6,10.8,12))+IF(Inputs!$B$3&gt;=117,F1943,0))/100)),15)/15,(Skills!S14*(1+((Inputs!$B$35+(ArtifactsInput!$M$7-ArtifactsInput!$M$7)*CHOOSE(ArtifactsInput!$N$7+1,6,7.2,8.4,9.6,10.8,12))+IF(Inputs!$B$3&gt;=117,F1943,0))/100))/Skills!D14))/100),1)*IF(C1936=TRUE,(1+F1936*IF(AND(Inputs!$B$39&lt;&gt;"pvp",Inputs!$B$44&gt;0),(((R1936-1)*(Skills!S19*(1+((Inputs!$B$35+(ArtifactsInput!$M$7-ArtifactsInput!$M$7)*CHOOSE(ArtifactsInput!$N$7+1,6,7.2,8.4,9.6,10.8,12))+IF(Inputs!$B$3&gt;=117,F1943,0))/100))+MIN((Skills!S19*(1+((Inputs!$B$35+(ArtifactsInput!$M$7-ArtifactsInput!$M$7)*CHOOSE(ArtifactsInput!$N$7+1,6,7.2,8.4,9.6,10.8,12))+IF(Inputs!$B$3&gt;=117,F1943,0))/100)),MAX(0,Inputs!$B$44-((R1936-1)*Skills!D19))))/Inputs!$B$44),IF(Inputs!$B$39="pvp",MIN((Skills!S19*(1+((Inputs!$B$35+(ArtifactsInput!$M$7-ArtifactsInput!$M$7)*CHOOSE(ArtifactsInput!$N$7+1,6,7.2,8.4,9.6,10.8,12))+IF(Inputs!$B$3&gt;=117,F1943,0))/100)),15)/15,(Skills!S19*(1+((Inputs!$B$35+(ArtifactsInput!$M$7-ArtifactsInput!$M$7)*CHOOSE(ArtifactsInput!$N$7+1,6,7.2,8.4,9.6,10.8,12))+IF(Inputs!$B$3&gt;=117,F1943,0))/100))/Skills!D19))/100),1)</f>
        <v/>
      </c>
    </row>
    <row r="1948">
      <c r="A1948" t="inlineStr">
        <is>
          <t>Monster Damage Taken Bonus % (Holy Fountain)</t>
        </is>
      </c>
      <c r="B1948">
        <f>IF(Inputs!$B$3&gt;=68,20*IF(Inputs!$B$39="pvp",MIN((15*(1+((Inputs!$B$35+(ArtifactsInput!$M$7-ArtifactsInput!$M$7)*CHOOSE(ArtifactsInput!$N$7+1,6,7.2,8.4,9.6,10.8,12))+IF(Inputs!$B$3&gt;=117,F1943,0))/100)),15)/15,(15*(1+((Inputs!$B$35+(ArtifactsInput!$M$7-ArtifactsInput!$M$7)*CHOOSE(ArtifactsInput!$N$7+1,6,7.2,8.4,9.6,10.8,12))+IF(Inputs!$B$3&gt;=117,F1943,0))/100))/Skills!D10),0)</f>
        <v/>
      </c>
    </row>
    <row r="1949">
      <c r="A1949" t="inlineStr">
        <is>
          <t>Normal Monster Damage Bonus % (Holy Symbol)</t>
        </is>
      </c>
      <c r="B1949">
        <f>IF(C1929=TRUE,F1929*IF(AND(Inputs!$B$39&lt;&gt;"pvp",Inputs!$B$44&gt;0),(((R1929-1)*(Skills!S12*(1+((Inputs!$B$35+(ArtifactsInput!$M$7-ArtifactsInput!$M$7)*CHOOSE(ArtifactsInput!$N$7+1,6,7.2,8.4,9.6,10.8,12))+IF(Inputs!$B$3&gt;=117,F1943,0))/100))+MIN((Skills!S12*(1+((Inputs!$B$35+(ArtifactsInput!$M$7-ArtifactsInput!$M$7)*CHOOSE(ArtifactsInput!$N$7+1,6,7.2,8.4,9.6,10.8,12))+IF(Inputs!$B$3&gt;=117,F1943,0))/100)),MAX(0,Inputs!$B$44-((R1929-1)*Skills!D12))))/Inputs!$B$44),IF(Inputs!$B$39="pvp",MIN((Skills!S12*(1+((Inputs!$B$35+(ArtifactsInput!$M$7-ArtifactsInput!$M$7)*CHOOSE(ArtifactsInput!$N$7+1,6,7.2,8.4,9.6,10.8,12))+IF(Inputs!$B$3&gt;=117,F1943,0))/100)),15)/15,(Skills!S12*(1+((Inputs!$B$35+(ArtifactsInput!$M$7-ArtifactsInput!$M$7)*CHOOSE(ArtifactsInput!$N$7+1,6,7.2,8.4,9.6,10.8,12))+IF(Inputs!$B$3&gt;=117,F1943,0))/100))/Skills!D12)),0)</f>
        <v/>
      </c>
    </row>
    <row r="1950">
      <c r="A1950" t="inlineStr">
        <is>
          <t>Damage % Bonus (Holy Symbol - Damage Boost)</t>
        </is>
      </c>
      <c r="B1950">
        <f>Skills!O12</f>
        <v/>
      </c>
    </row>
    <row r="1951">
      <c r="A1951" t="inlineStr">
        <is>
          <t>Crit Damage % Bonus (Blood of the Divine)</t>
        </is>
      </c>
      <c r="B1951">
        <f>4*IF(C1937=TRUE,F1937,0)</f>
        <v/>
      </c>
    </row>
    <row r="1952">
      <c r="A1952" t="inlineStr">
        <is>
          <t>Attack Speed Bonus %</t>
        </is>
      </c>
      <c r="B1952">
        <f>IF(C1934=TRUE,F1934+(F1938-Calc!F21),0)+IF(Inputs!$B$3&gt;=134,15,0)+((C1945=TRUE)*F1945*IF(AND(Inputs!$B$39&lt;&gt;"pvp",Inputs!$B$44&gt;0),(((R1945-1)*(Skills!S28*(1+((Inputs!$B$35+(ArtifactsInput!$M$7-ArtifactsInput!$M$7)*CHOOSE(ArtifactsInput!$N$7+1,6,7.2,8.4,9.6,10.8,12))+IF(Inputs!$B$3&gt;=117,F1943,0))/100))+MIN((Skills!S28*(1+((Inputs!$B$35+(ArtifactsInput!$M$7-ArtifactsInput!$M$7)*CHOOSE(ArtifactsInput!$N$7+1,6,7.2,8.4,9.6,10.8,12))+IF(Inputs!$B$3&gt;=117,F1943,0))/100)),MAX(0,Inputs!$B$44-((R1945-1)*Skills!D28))))/Inputs!$B$44),IF(Inputs!$B$39="pvp",MIN((Skills!S28*(1+((Inputs!$B$35+(ArtifactsInput!$M$7-ArtifactsInput!$M$7)*CHOOSE(ArtifactsInput!$N$7+1,6,7.2,8.4,9.6,10.8,12))+IF(Inputs!$B$3&gt;=117,F1943,0))/100)),15)/15,(Skills!S28*(1+((Inputs!$B$35+(ArtifactsInput!$M$7-ArtifactsInput!$M$7)*CHOOSE(ArtifactsInput!$N$7+1,6,7.2,8.4,9.6,10.8,12))+IF(Inputs!$B$3&gt;=117,F1943,0))/100))/Skills!D28)))</f>
        <v/>
      </c>
    </row>
    <row r="1953">
      <c r="A1953" t="inlineStr">
        <is>
          <t>Actions Per Second</t>
        </is>
      </c>
      <c r="B1953">
        <f>1+MIN(150,150*(1-(1-Inputs!$B$12/150)*(1-B1952/150)))/100</f>
        <v/>
      </c>
    </row>
    <row r="1954">
      <c r="A1954" t="inlineStr">
        <is>
          <t>Skill + Buff Cast Rate</t>
        </is>
      </c>
      <c r="B1954">
        <f>IF(AND(Inputs!$B$39&lt;&gt;"pvp",Inputs!$B$44&gt;0),SUMPRODUCT((Skills!E2:E28=TRUE)*(C1919:C1945=TRUE)*R1919:R1945)/Inputs!$B$44,SUMPRODUCT((Skills!E2:E28=TRUE)*(C1919:C1945=TRUE)*Q1919:Q1945))</f>
        <v/>
      </c>
    </row>
    <row r="1955">
      <c r="A1955" t="inlineStr">
        <is>
          <t>Big Bang Casts Per Second</t>
        </is>
      </c>
      <c r="B1955">
        <f>MAX(0,B1953-B1954)</f>
        <v/>
      </c>
    </row>
    <row r="1956">
      <c r="A1956" t="inlineStr">
        <is>
          <t>Defense % Bonus (Divine Protection)</t>
        </is>
      </c>
      <c r="B1956">
        <f>IF(C1930=TRUE,F1930*IF(AND(Inputs!$B$39&lt;&gt;"pvp",Inputs!$B$44&gt;0),(((R1930-1)*(Skills!S13*(1+((Inputs!$B$35+(ArtifactsInput!$M$7-ArtifactsInput!$M$7)*CHOOSE(ArtifactsInput!$N$7+1,6,7.2,8.4,9.6,10.8,12))+IF(Inputs!$B$3&gt;=117,F1943,0))/100))+MIN((Skills!S13*(1+((Inputs!$B$35+(ArtifactsInput!$M$7-ArtifactsInput!$M$7)*CHOOSE(ArtifactsInput!$N$7+1,6,7.2,8.4,9.6,10.8,12))+IF(Inputs!$B$3&gt;=117,F1943,0))/100)),MAX(0,Inputs!$B$44-((R1930-1)*Skills!D13))))/Inputs!$B$44),IF(Inputs!$B$39="pvp",MIN((Skills!S13*(1+((Inputs!$B$35+(ArtifactsInput!$M$7-ArtifactsInput!$M$7)*CHOOSE(ArtifactsInput!$N$7+1,6,7.2,8.4,9.6,10.8,12))+IF(Inputs!$B$3&gt;=117,F1943,0))/100)),15)/15,(Skills!S13*(1+((Inputs!$B$35+(ArtifactsInput!$M$7-ArtifactsInput!$M$7)*CHOOSE(ArtifactsInput!$N$7+1,6,7.2,8.4,9.6,10.8,12))+IF(Inputs!$B$3&gt;=117,F1943,0))/100))/Skills!D13)),0)</f>
        <v/>
      </c>
    </row>
    <row r="1957">
      <c r="A1957" t="inlineStr">
        <is>
          <t>Buff-Casting Startup Delay (s, fixed-duration only)</t>
        </is>
      </c>
      <c r="B1957">
        <f>IF(AND(Inputs!$B$39&lt;&gt;"pvp",Inputs!$B$44&gt;0),SUMPRODUCT((Skills!S2:S28&gt;0)*(Skills!E2:E28=TRUE)*(C1919:C1945=TRUE))/B1953,0)</f>
        <v/>
      </c>
    </row>
    <row r="1958">
      <c r="A1958" t="inlineStr">
        <is>
          <t>Boss-Only Total DPS (this block's swept value)</t>
        </is>
      </c>
      <c r="B1958">
        <f>SUM(S1919:S1945)</f>
        <v/>
      </c>
    </row>
    <row r="1959">
      <c r="A1959" t="inlineStr">
        <is>
          <t>Normal-Only Total DPS (this block's swept value)</t>
        </is>
      </c>
      <c r="B1959">
        <f>SUM(U1919:U1945)</f>
        <v/>
      </c>
    </row>
    <row r="1960">
      <c r="A1960" s="6" t="inlineStr">
        <is>
          <t>TOTAL DPS</t>
        </is>
      </c>
      <c r="B1960" s="6">
        <f>SUM(O1919:O1945)</f>
        <v/>
      </c>
    </row>
    <row r="1962">
      <c r="A1962" s="6" t="inlineStr">
        <is>
          <t>Stat: Silver Pendant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Inputs!$B$3&gt;=100</f>
        <v/>
      </c>
      <c r="D1964" t="inlineStr"/>
      <c r="E1964" t="inlineStr"/>
      <c r="F1964">
        <f>T1966+Skills!N2</f>
        <v/>
      </c>
      <c r="G1964">
        <f>Calc!G2</f>
        <v/>
      </c>
      <c r="H1964">
        <f>Calc!H2</f>
        <v/>
      </c>
      <c r="I1964">
        <f>IF(Skills!T2&lt;&gt;"",1+(Skills!T2/10)*($Z$3/1000)/100,1)</f>
        <v/>
      </c>
      <c r="J1964">
        <f>((Inputs!$B$6*(1+Inputs!$B$7/100))+(((Inputs!$B$13*(1+Inputs!$B$14/100))-(Inputs!$B$13*(1+Inputs!$B$14/100)))+0.25*(Inputs!$B$15-Inputs!$B$15))*(1+Inputs!$B$7/100))*(F1964/100)</f>
        <v/>
      </c>
      <c r="K1964">
        <f>J1964*(1+(((Inputs!$B$13+IF(Inputs!$B$3&gt;=35,(10*INDEX(FactorTable!$B$2:$Y$301,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2="TRIUMPH_FEATHER",IF(C1978=TRUE,F1978,0),0)/100)*(1+IF(C1989=TRUE,F1989,0)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1964)</f>
        <v/>
      </c>
      <c r="L1964">
        <f>K1964*(MIN(Inputs!$B$23+(F1984-Calc!F22),(Inputs!$B$24+IF(ArtifactsInput!$M$15,CHOOSE(ArtifactsInput!$N$15+1,25,30,35,40,45,50)/100*(Inputs!$B$12-Inputs!$B$12),0)))/100+(Inputs!$B$24+IF(ArtifactsInput!$M$15,CHOOSE(ArtifactsInput!$N$15+1,25,30,35,40,45,50)/100*(Inputs!$B$12-Inputs!$B$12),0))/100)/2</f>
        <v/>
      </c>
      <c r="M1964">
        <f>L1964*(1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4">
        <f>L1964*(1-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1964*(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4">
        <f>(1-Summary!$B$11)*S1964+Summary!$B$11*U1964</f>
        <v/>
      </c>
      <c r="P1964">
        <f>IF(B2005=0,0,O1964/B2005)</f>
        <v/>
      </c>
      <c r="Q1964">
        <f>IFERROR(1/(IF(Inputs!$B$39="pvp",15,MAX(0.1,Skills!D2-IF(Skills!E2=TRUE,Inputs!$B$33,0)))*(1-IF(AND(ArtifactsInput!$M$27,Inputs!$B$4="Chapter Hunt"),CHOOSE(ArtifactsInput!$N$27+1,20,24,28,32,36,40),0)/100)),0)</f>
        <v/>
      </c>
      <c r="R1964" t="n">
        <v>0</v>
      </c>
      <c r="S1964">
        <f>IF(C1964,(Skills!F2*N1964*B2000)*IF(Inputs!$B$39="pvp",1,1+(Inputs!$B$21+Skills!O2+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1964*(1-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1964*(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1964*(1-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1964*(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64">
        <f>MAX(0,(Inputs!$B$3-100)*3)+Inputs!$B$29+Inputs!$B$30</f>
        <v/>
      </c>
      <c r="U1964">
        <f>IF(C1964,(Skills!F2*N1964*B2000)*IF(Inputs!$B$39="pvp",1,(1+(Inputs!$B$22+Skills!P2+B1994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5">
      <c r="A1965">
        <f>Skills!A3</f>
        <v/>
      </c>
      <c r="B1965">
        <f>Skills!B3</f>
        <v/>
      </c>
      <c r="C1965">
        <f>Inputs!$B$3&gt;=15</f>
        <v/>
      </c>
      <c r="D1965">
        <f>IF(Skills!C3=1,60+Inputs!$B$26+Inputs!$B$30,IF(Skills!C3=2,90+Inputs!$B$27+Inputs!$B$30,IF(Skills!C3=3,120+Inputs!$B$28+Inputs!$B$30,MAX(0,(Inputs!$B$3-100)*3)+Inputs!$B$29+Inputs!$B$30)))</f>
        <v/>
      </c>
      <c r="E1965">
        <f>INDEX(FactorTable!$B$2:$Y$301, MATCH(ROUND(MIN(300,MAX(1,D1965)),0), FactorTable!$A$2:$A$301,0), Skills!L3+1)</f>
        <v/>
      </c>
      <c r="F1965">
        <f>IF(Skills!M3=TRUE,(Skills!K3/10)*(E1965/1000),Skills!K3/10)+Skills!N3</f>
        <v/>
      </c>
      <c r="G1965">
        <f>Calc!G3</f>
        <v/>
      </c>
      <c r="H1965">
        <f>Calc!H3</f>
        <v/>
      </c>
      <c r="I1965">
        <f>IF(Skills!T3&lt;&gt;"",1+(Skills!T3/10)*($Z$3/1000)/100,1)</f>
        <v/>
      </c>
      <c r="J1965" t="inlineStr"/>
      <c r="K1965" t="inlineStr"/>
      <c r="L1965" t="inlineStr"/>
      <c r="M1965" t="inlineStr"/>
      <c r="N1965" t="inlineStr"/>
      <c r="O1965">
        <f>(1-Summary!$B$11)*S1965+Summary!$B$11*U1965</f>
        <v/>
      </c>
      <c r="P1965">
        <f>IF(B2005=0,0,O1965/B2005)</f>
        <v/>
      </c>
      <c r="Q1965">
        <f>IFERROR(1/(IF(Inputs!$B$39="pvp",15,MAX(0.1,Skills!D3-IF(Skills!E3=TRUE,Inputs!$B$33,0)))*(1-IF(AND(ArtifactsInput!$M$27,Inputs!$B$4="Chapter Hunt"),CHOOSE(ArtifactsInput!$N$27+1,20,24,28,32,36,40),0)/100)),0)</f>
        <v/>
      </c>
      <c r="R1965">
        <f>IF(AND(Inputs!$B$39&lt;&gt;"pvp",Inputs!$B$44&gt;0),IF(Inputs!$B$44&lt;=0,0,(INT(Inputs!$B$44/(IF(Inputs!$B$39="pvp",15,MAX(0.1,Skills!D3-IF(Skills!E3=TRUE,Inputs!$B$33,0)))*(1-IF(AND(ArtifactsInput!$M$27,Inputs!$B$4="Chapter Hunt"),CHOOSE(ArtifactsInput!$N$27+1,20,24,28,32,36,40),0)/100)))+1)),0)</f>
        <v/>
      </c>
      <c r="S1965" t="n">
        <v>0</v>
      </c>
      <c r="T1965">
        <f>INDEX(FactorTable!$B$2:$Y$301, MATCH(ROUND(MIN(300,MAX(1,T1964)),0), FactorTable!$A$2:$A$301,0), 22)</f>
        <v/>
      </c>
      <c r="U1965" t="n">
        <v>0</v>
      </c>
    </row>
    <row r="1966">
      <c r="A1966">
        <f>Skills!A4</f>
        <v/>
      </c>
      <c r="B1966">
        <f>Skills!B4</f>
        <v/>
      </c>
      <c r="C1966">
        <f>Inputs!$B$3&gt;=38</f>
        <v/>
      </c>
      <c r="D1966">
        <f>IF(Skills!C4=1,60+Inputs!$B$26+Inputs!$B$30,IF(Skills!C4=2,90+Inputs!$B$27+Inputs!$B$30,IF(Skills!C4=3,120+Inputs!$B$28+Inputs!$B$30,MAX(0,(Inputs!$B$3-100)*3)+Inputs!$B$29+Inputs!$B$30)))</f>
        <v/>
      </c>
      <c r="E1966">
        <f>INDEX(FactorTable!$B$2:$Y$301, MATCH(ROUND(MIN(300,MAX(1,D1966)),0), FactorTable!$A$2:$A$301,0), Skills!L4+1)</f>
        <v/>
      </c>
      <c r="F1966">
        <f>IF(Skills!M4=TRUE,(Skills!K4/10)*(E1966/1000),Skills!K4/10)+Skills!N4</f>
        <v/>
      </c>
      <c r="G1966">
        <f>Calc!G4</f>
        <v/>
      </c>
      <c r="H1966">
        <f>Calc!H4</f>
        <v/>
      </c>
      <c r="I1966">
        <f>IF(Skills!T4&lt;&gt;"",1+(Skills!T4/10)*($Z$3/1000)/100,1)</f>
        <v/>
      </c>
      <c r="J1966" t="inlineStr"/>
      <c r="K1966" t="inlineStr"/>
      <c r="L1966" t="inlineStr"/>
      <c r="M1966" t="inlineStr"/>
      <c r="N1966" t="inlineStr"/>
      <c r="O1966">
        <f>(1-Summary!$B$11)*S1966+Summary!$B$11*U1966</f>
        <v/>
      </c>
      <c r="P1966">
        <f>IF(B2005=0,0,O1966/B2005)</f>
        <v/>
      </c>
      <c r="Q1966">
        <f>IFERROR(1/(IF(Inputs!$B$39="pvp",15,MAX(0.1,Skills!D4-IF(Skills!E4=TRUE,Inputs!$B$33,0)))*(1-IF(AND(ArtifactsInput!$M$27,Inputs!$B$4="Chapter Hunt"),CHOOSE(ArtifactsInput!$N$27+1,20,24,28,32,36,40),0)/100)),0)</f>
        <v/>
      </c>
      <c r="R1966">
        <f>IF(AND(Inputs!$B$39&lt;&gt;"pvp",Inputs!$B$44&gt;0),IF(Inputs!$B$44&lt;=0,0,(INT(Inputs!$B$44/(IF(Inputs!$B$39="pvp",15,MAX(0.1,Skills!D4-IF(Skills!E4=TRUE,Inputs!$B$33,0)))*(1-IF(AND(ArtifactsInput!$M$27,Inputs!$B$4="Chapter Hunt"),CHOOSE(ArtifactsInput!$N$27+1,20,24,28,32,36,40),0)/100)))+1)),0)</f>
        <v/>
      </c>
      <c r="S1966" t="n">
        <v>0</v>
      </c>
      <c r="T1966">
        <f>290*T1965/1000</f>
        <v/>
      </c>
      <c r="U1966" t="n">
        <v>0</v>
      </c>
    </row>
    <row r="1967">
      <c r="A1967">
        <f>Skills!A5</f>
        <v/>
      </c>
      <c r="B1967">
        <f>Skills!B5</f>
        <v/>
      </c>
      <c r="C1967">
        <f>Inputs!$B$3&gt;=40</f>
        <v/>
      </c>
      <c r="D1967">
        <f>IF(Skills!C5=1,60+Inputs!$B$26+Inputs!$B$30,IF(Skills!C5=2,90+Inputs!$B$27+Inputs!$B$30,IF(Skills!C5=3,120+Inputs!$B$28+Inputs!$B$30,MAX(0,(Inputs!$B$3-100)*3)+Inputs!$B$29+Inputs!$B$30)))</f>
        <v/>
      </c>
      <c r="E1967">
        <f>INDEX(FactorTable!$B$2:$Y$301, MATCH(ROUND(MIN(300,MAX(1,D1967)),0), FactorTable!$A$2:$A$301,0), Skills!L5+1)</f>
        <v/>
      </c>
      <c r="F1967">
        <f>IF(Skills!M5=TRUE,(Skills!K5/10)*(E1967/1000),Skills!K5/10)+Skills!N5</f>
        <v/>
      </c>
      <c r="G1967">
        <f>Calc!G5</f>
        <v/>
      </c>
      <c r="H1967">
        <f>Calc!H5</f>
        <v/>
      </c>
      <c r="I1967">
        <f>IF(Skills!T5&lt;&gt;"",1+(Skills!T5/10)*($Z$3/1000)/100,1)</f>
        <v/>
      </c>
      <c r="J1967" t="inlineStr"/>
      <c r="K1967" t="inlineStr"/>
      <c r="L1967" t="inlineStr"/>
      <c r="M1967" t="inlineStr"/>
      <c r="N1967" t="inlineStr"/>
      <c r="O1967">
        <f>(1-Summary!$B$11)*S1967+Summary!$B$11*U1967</f>
        <v/>
      </c>
      <c r="P1967">
        <f>IF(B2005=0,0,O1967/B2005)</f>
        <v/>
      </c>
      <c r="Q1967">
        <f>IFERROR(1/(IF(Inputs!$B$39="pvp",15,MAX(0.1,Skills!D5-IF(Skills!E5=TRUE,Inputs!$B$33,0)))*(1-IF(AND(ArtifactsInput!$M$27,Inputs!$B$4="Chapter Hunt"),CHOOSE(ArtifactsInput!$N$27+1,20,24,28,32,36,40),0)/100)),0)</f>
        <v/>
      </c>
      <c r="R1967">
        <f>IF(AND(Inputs!$B$39&lt;&gt;"pvp",Inputs!$B$44&gt;0),IF(Inputs!$B$44&lt;=0,0,(INT(Inputs!$B$44/(IF(Inputs!$B$39="pvp",15,MAX(0.1,Skills!D5-IF(Skills!E5=TRUE,Inputs!$B$33,0)))*(1-IF(AND(ArtifactsInput!$M$27,Inputs!$B$4="Chapter Hunt"),CHOOSE(ArtifactsInput!$N$27+1,20,24,28,32,36,40),0)/100)))+1)),0)</f>
        <v/>
      </c>
      <c r="S1967" t="n">
        <v>0</v>
      </c>
      <c r="U1967" t="n">
        <v>0</v>
      </c>
    </row>
    <row r="1968">
      <c r="A1968">
        <f>Skills!A6</f>
        <v/>
      </c>
      <c r="B1968">
        <f>Skills!B6</f>
        <v/>
      </c>
      <c r="C1968">
        <f>Inputs!$B$3&gt;=103</f>
        <v/>
      </c>
      <c r="D1968">
        <f>IF(Skills!C6=1,60+Inputs!$B$26+Inputs!$B$30,IF(Skills!C6=2,90+Inputs!$B$27+Inputs!$B$30,IF(Skills!C6=3,120+Inputs!$B$28+Inputs!$B$30,MAX(0,(Inputs!$B$3-100)*3)+Inputs!$B$29+Inputs!$B$30)))</f>
        <v/>
      </c>
      <c r="E1968">
        <f>INDEX(FactorTable!$B$2:$Y$301, MATCH(ROUND(MIN(300,MAX(1,D1968)),0), FactorTable!$A$2:$A$301,0), Skills!L6+1)</f>
        <v/>
      </c>
      <c r="F1968">
        <f>IF(Skills!M6=TRUE,(Skills!K6/10)*(E1968/1000),Skills!K6/10)+Skills!N6</f>
        <v/>
      </c>
      <c r="G1968">
        <f>Calc!G6</f>
        <v/>
      </c>
      <c r="H1968">
        <f>Calc!H6</f>
        <v/>
      </c>
      <c r="I1968">
        <f>IF(Skills!T6&lt;&gt;"",1+(Skills!T6/10)*($Z$3/1000)/100,1)</f>
        <v/>
      </c>
      <c r="J1968">
        <f>((Inputs!$B$6*(1+Inputs!$B$7/100))+(((Inputs!$B$13*(1+Inputs!$B$14/100))-(Inputs!$B$13*(1+Inputs!$B$14/100)))+0.25*(Inputs!$B$15-Inputs!$B$15))*(1+Inputs!$B$7/100))*(F1968/100)</f>
        <v/>
      </c>
      <c r="K1968">
        <f>J1968*(1+(((Inputs!$B$13+IF(Inputs!$B$3&gt;=35,(10*INDEX(FactorTable!$B$2:$Y$301,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6="TRIUMPH_FEATHER",IF(C1978=TRUE,F1978,0),0)/100)*(1+IF(C1989=TRUE,F1989,0)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1968)</f>
        <v/>
      </c>
      <c r="L1968">
        <f>K1968*(MIN(Inputs!$B$23+(F1984-Calc!F22),(Inputs!$B$24+IF(ArtifactsInput!$M$15,CHOOSE(ArtifactsInput!$N$15+1,25,30,35,40,45,50)/100*(Inputs!$B$12-Inputs!$B$12),0)))/100+(Inputs!$B$24+IF(ArtifactsInput!$M$15,CHOOSE(ArtifactsInput!$N$15+1,25,30,35,40,45,50)/100*(Inputs!$B$12-Inputs!$B$12),0))/100)/2</f>
        <v/>
      </c>
      <c r="M1968">
        <f>L1968*(1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8">
        <f>L1968*(1-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(1-Summary!$B$11)*S1968+Summary!$B$11*U1968</f>
        <v/>
      </c>
      <c r="P1968">
        <f>IF(B2005=0,0,O1968/B2005)</f>
        <v/>
      </c>
      <c r="Q1968">
        <f>IFERROR(1/(IF(Inputs!$B$39="pvp",15,MAX(0.1,Skills!D6-IF(Skills!E6=TRUE,Inputs!$B$33,0)))*(1-IF(AND(ArtifactsInput!$M$27,Inputs!$B$4="Chapter Hunt"),CHOOSE(ArtifactsInput!$N$27+1,20,24,28,32,36,40),0)/100)),0)</f>
        <v/>
      </c>
      <c r="R1968">
        <f>IF(AND(Inputs!$B$39&lt;&gt;"pvp",Inputs!$B$44&gt;0),IF(MAX(0,Inputs!$B$44-B2002)&lt;=0,0,(INT(MAX(0,Inputs!$B$44-B2002)/(IF(Inputs!$B$39="pvp",15,MAX(0.1,Skills!D6-IF(Skills!E6=TRUE,Inputs!$B$33,0)))*(1-IF(AND(ArtifactsInput!$M$27,Inputs!$B$4="Chapter Hunt"),CHOOSE(ArtifactsInput!$N$27+1,20,24,28,32,36,40),0)/100)))+1)),0)</f>
        <v/>
      </c>
      <c r="S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$21+Skills!O6+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1968*(1-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$22+Skills!P6+B1994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Skills!A7</f>
        <v/>
      </c>
      <c r="B1969">
        <f>Skills!B7</f>
        <v/>
      </c>
      <c r="C1969">
        <f>Inputs!$B$3&gt;=122</f>
        <v/>
      </c>
      <c r="D1969">
        <f>IF(Skills!C7=1,60+Inputs!$B$26+Inputs!$B$30,IF(Skills!C7=2,90+Inputs!$B$27+Inputs!$B$30,IF(Skills!C7=3,120+Inputs!$B$28+Inputs!$B$30,MAX(0,(Inputs!$B$3-100)*3)+Inputs!$B$29+Inputs!$B$30)))</f>
        <v/>
      </c>
      <c r="E1969">
        <f>INDEX(FactorTable!$B$2:$Y$301, MATCH(ROUND(MIN(300,MAX(1,D1969)),0), FactorTable!$A$2:$A$301,0), Skills!L7+1)</f>
        <v/>
      </c>
      <c r="F1969">
        <f>IF(Skills!M7=TRUE,(Skills!K7/10)*(E1969/1000),Skills!K7/10)+Skills!N7</f>
        <v/>
      </c>
      <c r="G1969">
        <f>Calc!G7</f>
        <v/>
      </c>
      <c r="H1969">
        <f>Calc!H7</f>
        <v/>
      </c>
      <c r="I1969">
        <f>IF(Skills!T7&lt;&gt;"",1+(Skills!T7/10)*($Z$3/1000)/100,1)</f>
        <v/>
      </c>
      <c r="J1969">
        <f>((Inputs!$B$6*(1+Inputs!$B$7/100))+(((Inputs!$B$13*(1+Inputs!$B$14/100))-(Inputs!$B$13*(1+Inputs!$B$14/100)))+0.25*(Inputs!$B$15-Inputs!$B$15))*(1+Inputs!$B$7/100))*(F1969/100)</f>
        <v/>
      </c>
      <c r="K1969">
        <f>J1969*(1+(((Inputs!$B$13+IF(Inputs!$B$3&gt;=35,(10*INDEX(FactorTable!$B$2:$Y$301,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7="TRIUMPH_FEATHER",IF(C1978=TRUE,F1978,0),0)/100)*(1+IF(C1989=TRUE,F1989,0)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1969)</f>
        <v/>
      </c>
      <c r="L1969">
        <f>K1969*(MIN(Inputs!$B$23+(F1984-Calc!F22),(Inputs!$B$24+IF(ArtifactsInput!$M$15,CHOOSE(ArtifactsInput!$N$15+1,25,30,35,40,45,50)/100*(Inputs!$B$12-Inputs!$B$12),0)))/100+(Inputs!$B$24+IF(ArtifactsInput!$M$15,CHOOSE(ArtifactsInput!$N$15+1,25,30,35,40,45,50)/100*(Inputs!$B$12-Inputs!$B$12),0))/100)/2</f>
        <v/>
      </c>
      <c r="M1969">
        <f>L1969*(1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9">
        <f>L1969*(1-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(1-Summary!$B$11)*S1969+Summary!$B$11*U1969</f>
        <v/>
      </c>
      <c r="P1969">
        <f>IF(B2005=0,0,O1969/B2005)</f>
        <v/>
      </c>
      <c r="Q1969">
        <f>IFERROR(1/(IF(Inputs!$B$39="pvp",15,MAX(0.1,Skills!D7-IF(Skills!E6=TRUE,Inputs!$B$33,0)))*(1-IF(AND(ArtifactsInput!$M$27,Inputs!$B$4="Chapter Hunt"),CHOOSE(ArtifactsInput!$N$27+1,20,24,28,32,36,40),0)/100)),0)</f>
        <v/>
      </c>
      <c r="R1969">
        <f>IF(AND(Inputs!$B$39&lt;&gt;"pvp",Inputs!$B$44&gt;0),IF(MAX(0,Inputs!$B$44-B2002)&lt;=0,0,(INT(MAX(0,Inputs!$B$44-B2002)/(IF(Inputs!$B$39="pvp",15,MAX(0.1,Skills!D7-IF(Skills!E6=TRUE,Inputs!$B$33,0)))*(1-IF(AND(ArtifactsInput!$M$27,Inputs!$B$4="Chapter Hunt"),CHOOSE(ArtifactsInput!$N$27+1,20,24,28,32,36,40),0)/100)))+1)),0)</f>
        <v/>
      </c>
      <c r="S1969">
        <f>IF(C1969,H1969*N1969*IF(AND(Inputs!$B$39&lt;&gt;"pvp",Inputs!$B$44&gt;0),((Skills!F7*((R1969-1)*IF(Skills!G7&gt;0,Skills!H7/Skills!G7,1)+IF(Skills!G7&gt;0,MIN(Skills!H7,MAX(0,MAX(0,Inputs!$B$44-B2002)-((R1969-1)*(IF(Inputs!$B$39="pvp",15,MAX(0.1,Skills!D7-IF(Skills!E6=TRUE,Inputs!$B$33,0)))*(1-IF(AND(ArtifactsInput!$M$27,Inputs!$B$4="Chapter Hunt"),CHOOSE(ArtifactsInput!$N$27+1,20,24,28,32,36,40),0)/100)))))/Skills!G7,1)))/Inputs!$B$44),G1969*Q1969)*IF(Inputs!$B$39="pvp",1,1+(Inputs!$B$21+Skills!O7+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1969*(1-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9" t="n">
        <v>0</v>
      </c>
    </row>
    <row r="1970">
      <c r="A1970">
        <f>Skills!A8</f>
        <v/>
      </c>
      <c r="B1970">
        <f>Skills!B8</f>
        <v/>
      </c>
      <c r="C1970">
        <f>Inputs!$B$3&gt;=105</f>
        <v/>
      </c>
      <c r="D1970">
        <f>IF(Skills!C8=1,60+Inputs!$B$26+Inputs!$B$30,IF(Skills!C8=2,90+Inputs!$B$27+Inputs!$B$30,IF(Skills!C8=3,120+Inputs!$B$28+Inputs!$B$30,MAX(0,(Inputs!$B$3-100)*3)+Inputs!$B$29+Inputs!$B$30)))</f>
        <v/>
      </c>
      <c r="E1970">
        <f>INDEX(FactorTable!$B$2:$Y$301, MATCH(ROUND(MIN(300,MAX(1,D1970)),0), FactorTable!$A$2:$A$301,0), Skills!L8+1)</f>
        <v/>
      </c>
      <c r="F1970">
        <f>IF(Skills!M8=TRUE,(Skills!K8/10)*(E1970/1000),Skills!K8/10)+Skills!N8</f>
        <v/>
      </c>
      <c r="G1970">
        <f>Calc!G8</f>
        <v/>
      </c>
      <c r="H1970">
        <f>Calc!H8</f>
        <v/>
      </c>
      <c r="I1970">
        <f>IF(Skills!T8&lt;&gt;"",1+(Skills!T8/10)*($Z$3/1000)/100,1)</f>
        <v/>
      </c>
      <c r="J1970">
        <f>((Inputs!$B$6*(1+Inputs!$B$7/100))+(((Inputs!$B$13*(1+Inputs!$B$14/100))-(Inputs!$B$13*(1+Inputs!$B$14/100)))+0.25*(Inputs!$B$15-Inputs!$B$15))*(1+Inputs!$B$7/100))*(F1970/100)</f>
        <v/>
      </c>
      <c r="K1970">
        <f>J1970*(1+(((Inputs!$B$13+IF(Inputs!$B$3&gt;=35,(10*INDEX(FactorTable!$B$2:$Y$301,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8="TRIUMPH_FEATHER",IF(C1978=TRUE,F1978,0),0)/100)*(1+IF(C1989=TRUE,F1989,0)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1970)</f>
        <v/>
      </c>
      <c r="L1970">
        <f>K1970*(MIN(Inputs!$B$23+(F1984-Calc!F22),(Inputs!$B$24+IF(ArtifactsInput!$M$15,CHOOSE(ArtifactsInput!$N$15+1,25,30,35,40,45,50)/100*(Inputs!$B$12-Inputs!$B$12),0)))/100+(Inputs!$B$24+IF(ArtifactsInput!$M$15,CHOOSE(ArtifactsInput!$N$15+1,25,30,35,40,45,50)/100*(Inputs!$B$12-Inputs!$B$12),0))/100)/2</f>
        <v/>
      </c>
      <c r="M1970">
        <f>L1970*(1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0">
        <f>L1970*(1-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(1-Summary!$B$11)*S1970+Summary!$B$11*U1970</f>
        <v/>
      </c>
      <c r="P1970">
        <f>IF(B2005=0,0,O1970/B2005)</f>
        <v/>
      </c>
      <c r="Q1970">
        <f>IFERROR(1/(IF(Inputs!$B$39="pvp",15,MAX(0.1,Skills!D8-IF(Skills!E8=TRUE,Inputs!$B$33,0)))*(1-IF(AND(ArtifactsInput!$M$27,Inputs!$B$4="Chapter Hunt"),CHOOSE(ArtifactsInput!$N$27+1,20,24,28,32,36,40),0)/100)),0)</f>
        <v/>
      </c>
      <c r="R1970">
        <f>IF(AND(Inputs!$B$39&lt;&gt;"pvp",Inputs!$B$44&gt;0),IF(MAX(0,Inputs!$B$44-B2002)&lt;=0,0,(INT(MAX(0,Inputs!$B$44-B2002)/(IF(Inputs!$B$39="pvp",15,MAX(0.1,Skills!D8-IF(Skills!E8=TRUE,Inputs!$B$33,0)))*(1-IF(AND(ArtifactsInput!$M$27,Inputs!$B$4="Chapter Hunt"),CHOOSE(ArtifactsInput!$N$27+1,20,24,28,32,36,40),0)/100)))+1)),0)</f>
        <v/>
      </c>
      <c r="S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$21+Skills!O8+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1970*(1-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$22+Skills!P8+B1994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Skills!A9</f>
        <v/>
      </c>
      <c r="B1971">
        <f>Skills!B9</f>
        <v/>
      </c>
      <c r="C1971">
        <f>Inputs!$B$3&gt;=115</f>
        <v/>
      </c>
      <c r="D1971">
        <f>IF(Skills!C9=1,60+Inputs!$B$26+Inputs!$B$30,IF(Skills!C9=2,90+Inputs!$B$27+Inputs!$B$30,IF(Skills!C9=3,120+Inputs!$B$28+Inputs!$B$30,MAX(0,(Inputs!$B$3-100)*3)+Inputs!$B$29+Inputs!$B$30)))</f>
        <v/>
      </c>
      <c r="E1971">
        <f>INDEX(FactorTable!$B$2:$Y$301, MATCH(ROUND(MIN(300,MAX(1,D1971)),0), FactorTable!$A$2:$A$301,0), Skills!L9+1)</f>
        <v/>
      </c>
      <c r="F1971">
        <f>IF(Skills!M9=TRUE,(Skills!K9/10)*(E1971/1000),Skills!K9/10)+Skills!N9</f>
        <v/>
      </c>
      <c r="G1971">
        <f>Calc!G9</f>
        <v/>
      </c>
      <c r="H1971">
        <f>Calc!H9</f>
        <v/>
      </c>
      <c r="I1971">
        <f>IF(Skills!T9&lt;&gt;"",1+(Skills!T9/10)*($Z$3/1000)/100,1)</f>
        <v/>
      </c>
      <c r="J1971">
        <f>((Inputs!$B$6*(1+Inputs!$B$7/100))+(((Inputs!$B$13*(1+Inputs!$B$14/100))-(Inputs!$B$13*(1+Inputs!$B$14/100)))+0.25*(Inputs!$B$15-Inputs!$B$15))*(1+Inputs!$B$7/100))*(F1971/100)</f>
        <v/>
      </c>
      <c r="K1971">
        <f>J1971*(1+(((Inputs!$B$13+IF(Inputs!$B$3&gt;=35,(10*INDEX(FactorTable!$B$2:$Y$301,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9="TRIUMPH_FEATHER",IF(C1978=TRUE,F1978,0),0)/100)*(1+IF(C1989=TRUE,F1989,0)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1971)</f>
        <v/>
      </c>
      <c r="L1971">
        <f>K1971*(MIN(Inputs!$B$23+(F1984-Calc!F22),(Inputs!$B$24+IF(ArtifactsInput!$M$15,CHOOSE(ArtifactsInput!$N$15+1,25,30,35,40,45,50)/100*(Inputs!$B$12-Inputs!$B$12),0)))/100+(Inputs!$B$24+IF(ArtifactsInput!$M$15,CHOOSE(ArtifactsInput!$N$15+1,25,30,35,40,45,50)/100*(Inputs!$B$12-Inputs!$B$12),0))/100)/2</f>
        <v/>
      </c>
      <c r="M1971">
        <f>L1971*(1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1">
        <f>L1971*(1-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(1-Summary!$B$11)*S1971+Summary!$B$11*U1971</f>
        <v/>
      </c>
      <c r="P1971">
        <f>IF(B2005=0,0,O1971/B2005)</f>
        <v/>
      </c>
      <c r="Q1971">
        <f>IFERROR(1/(IF(Inputs!$B$39="pvp",15,MAX(0.1,Skills!D9-IF(Skills!E9=TRUE,Inputs!$B$33,0)))*(1-IF(AND(ArtifactsInput!$M$27,Inputs!$B$4="Chapter Hunt"),CHOOSE(ArtifactsInput!$N$27+1,20,24,28,32,36,40),0)/100)),0)</f>
        <v/>
      </c>
      <c r="R1971">
        <f>IF(AND(Inputs!$B$39&lt;&gt;"pvp",Inputs!$B$44&gt;0),IF(MAX(0,Inputs!$B$44-B2002)&lt;=0,0,(INT(MAX(0,Inputs!$B$44-B2002)/(IF(Inputs!$B$39="pvp",15,MAX(0.1,Skills!D9-IF(Skills!E9=TRUE,Inputs!$B$33,0)))*(1-IF(AND(ArtifactsInput!$M$27,Inputs!$B$4="Chapter Hunt"),CHOOSE(ArtifactsInput!$N$27+1,20,24,28,32,36,40),0)/100)))+1)),0)</f>
        <v/>
      </c>
      <c r="S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$21+Skills!O9+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1971*(1-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$22+Skills!P9+B1994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2">
      <c r="A1972">
        <f>Skills!A10</f>
        <v/>
      </c>
      <c r="B1972">
        <f>Skills!B10</f>
        <v/>
      </c>
      <c r="C1972">
        <f>Inputs!$B$3&gt;=66</f>
        <v/>
      </c>
      <c r="D1972">
        <f>IF(Skills!C10=1,60+Inputs!$B$26+Inputs!$B$30,IF(Skills!C10=2,90+Inputs!$B$27+Inputs!$B$30,IF(Skills!C10=3,120+Inputs!$B$28+Inputs!$B$30,MAX(0,(Inputs!$B$3-100)*3)+Inputs!$B$29+Inputs!$B$30)))</f>
        <v/>
      </c>
      <c r="E1972">
        <f>INDEX(FactorTable!$B$2:$Y$301, MATCH(ROUND(MIN(300,MAX(1,D1972)),0), FactorTable!$A$2:$A$301,0), Skills!L10+1)</f>
        <v/>
      </c>
      <c r="F1972" t="n">
        <v>0</v>
      </c>
      <c r="G1972">
        <f>Calc!G10</f>
        <v/>
      </c>
      <c r="H1972">
        <f>Calc!H10</f>
        <v/>
      </c>
      <c r="I1972">
        <f>IF(Skills!T10&lt;&gt;"",1+(Skills!T10/10)*($Z$3/1000)/100,1)</f>
        <v/>
      </c>
      <c r="J1972" t="inlineStr"/>
      <c r="K1972" t="inlineStr"/>
      <c r="L1972" t="inlineStr"/>
      <c r="M1972" t="inlineStr"/>
      <c r="N1972" t="inlineStr"/>
      <c r="O1972">
        <f>(1-Summary!$B$11)*S1972+Summary!$B$11*U1972</f>
        <v/>
      </c>
      <c r="P1972">
        <f>IF(B2005=0,0,O1972/B2005)</f>
        <v/>
      </c>
      <c r="Q1972">
        <f>IFERROR(1/(IF(Inputs!$B$39="pvp",15,MAX(0.1,Skills!D10-IF(Skills!E10=TRUE,Inputs!$B$33,0)))*(1-IF(AND(ArtifactsInput!$M$27,Inputs!$B$4="Chapter Hunt"),CHOOSE(ArtifactsInput!$N$27+1,20,24,28,32,36,40),0)/100)),0)</f>
        <v/>
      </c>
      <c r="R1972">
        <f>IF(AND(Inputs!$B$39&lt;&gt;"pvp",Inputs!$B$44&gt;0),IF(MAX(0,Inputs!$B$44-B2002)&lt;=0,0,(INT(MAX(0,Inputs!$B$44-B2002)/(IF(Inputs!$B$39="pvp",15,MAX(0.1,Skills!D10-IF(Skills!E10=TRUE,Inputs!$B$33,0)))*(1-IF(AND(ArtifactsInput!$M$27,Inputs!$B$4="Chapter Hunt"),CHOOSE(ArtifactsInput!$N$27+1,20,24,28,32,36,40),0)/100)))+1)),0)</f>
        <v/>
      </c>
      <c r="S1972" t="n">
        <v>0</v>
      </c>
      <c r="U1972" t="n">
        <v>0</v>
      </c>
    </row>
    <row r="1973">
      <c r="A1973">
        <f>Skills!A11</f>
        <v/>
      </c>
      <c r="B1973">
        <f>Skills!B11</f>
        <v/>
      </c>
      <c r="C1973">
        <f>Inputs!$B$3&gt;=69</f>
        <v/>
      </c>
      <c r="D1973">
        <f>IF(Skills!C11=1,60+Inputs!$B$26+Inputs!$B$30,IF(Skills!C11=2,90+Inputs!$B$27+Inputs!$B$30,IF(Skills!C11=3,120+Inputs!$B$28+Inputs!$B$30,MAX(0,(Inputs!$B$3-100)*3)+Inputs!$B$29+Inputs!$B$30)))</f>
        <v/>
      </c>
      <c r="E1973">
        <f>INDEX(FactorTable!$B$2:$Y$301, MATCH(ROUND(MIN(300,MAX(1,D1973)),0), FactorTable!$A$2:$A$301,0), Skills!L11+1)</f>
        <v/>
      </c>
      <c r="F1973">
        <f>IF(Skills!M11=TRUE,(Skills!K11/10)*(E1973/1000),Skills!K11/10)+Skills!N11</f>
        <v/>
      </c>
      <c r="G1973">
        <f>Calc!G11</f>
        <v/>
      </c>
      <c r="H1973">
        <f>Calc!H11</f>
        <v/>
      </c>
      <c r="I1973">
        <f>IF(Skills!T11&lt;&gt;"",1+(Skills!T11/10)*($Z$3/1000)/100,1)</f>
        <v/>
      </c>
      <c r="J1973" t="inlineStr"/>
      <c r="K1973" t="inlineStr"/>
      <c r="L1973" t="inlineStr"/>
      <c r="M1973" t="inlineStr"/>
      <c r="N1973" t="inlineStr"/>
      <c r="O1973">
        <f>(1-Summary!$B$11)*S1973+Summary!$B$11*U1973</f>
        <v/>
      </c>
      <c r="P1973">
        <f>IF(B2005=0,0,O1973/B2005)</f>
        <v/>
      </c>
      <c r="Q1973">
        <f>IFERROR(1/(IF(Inputs!$B$39="pvp",15,MAX(0.1,Skills!D11-IF(Skills!E11=TRUE,Inputs!$B$33,0)))*(1-IF(AND(ArtifactsInput!$M$27,Inputs!$B$4="Chapter Hunt"),CHOOSE(ArtifactsInput!$N$27+1,20,24,28,32,36,40),0)/100)),0)</f>
        <v/>
      </c>
      <c r="R1973">
        <f>IF(AND(Inputs!$B$39&lt;&gt;"pvp",Inputs!$B$44&gt;0),IF(Inputs!$B$44&lt;=0,0,(INT(Inputs!$B$44/(IF(Inputs!$B$39="pvp",15,MAX(0.1,Skills!D11-IF(Skills!E11=TRUE,Inputs!$B$33,0)))*(1-IF(AND(ArtifactsInput!$M$27,Inputs!$B$4="Chapter Hunt"),CHOOSE(ArtifactsInput!$N$27+1,20,24,28,32,36,40),0)/100)))+1)),0)</f>
        <v/>
      </c>
      <c r="S1973" t="n">
        <v>0</v>
      </c>
      <c r="U1973" t="n">
        <v>0</v>
      </c>
    </row>
    <row r="1974">
      <c r="A1974">
        <f>Skills!A12</f>
        <v/>
      </c>
      <c r="B1974">
        <f>Skills!B12</f>
        <v/>
      </c>
      <c r="C1974">
        <f>Inputs!$B$3&gt;=72</f>
        <v/>
      </c>
      <c r="D1974">
        <f>IF(Skills!C12=1,60+Inputs!$B$26+Inputs!$B$30,IF(Skills!C12=2,90+Inputs!$B$27+Inputs!$B$30,IF(Skills!C12=3,120+Inputs!$B$28+Inputs!$B$30,MAX(0,(Inputs!$B$3-100)*3)+Inputs!$B$29+Inputs!$B$30)))</f>
        <v/>
      </c>
      <c r="E1974">
        <f>INDEX(FactorTable!$B$2:$Y$301, MATCH(ROUND(MIN(300,MAX(1,D1974)),0), FactorTable!$A$2:$A$301,0), Skills!L12+1)</f>
        <v/>
      </c>
      <c r="F1974">
        <f>IF(Skills!M12=TRUE,(Skills!K12/10)*(E1974/1000),Skills!K12/10)+Skills!N12</f>
        <v/>
      </c>
      <c r="G1974">
        <f>Calc!G12</f>
        <v/>
      </c>
      <c r="H1974">
        <f>Calc!H12</f>
        <v/>
      </c>
      <c r="I1974">
        <f>IF(Skills!T12&lt;&gt;"",1+(Skills!T12/10)*($Z$3/1000)/100,1)</f>
        <v/>
      </c>
      <c r="J1974" t="inlineStr"/>
      <c r="K1974" t="inlineStr"/>
      <c r="L1974" t="inlineStr"/>
      <c r="M1974" t="inlineStr"/>
      <c r="N1974" t="inlineStr"/>
      <c r="O1974">
        <f>(1-Summary!$B$11)*S1974+Summary!$B$11*U1974</f>
        <v/>
      </c>
      <c r="P1974">
        <f>IF(B2005=0,0,O1974/B2005)</f>
        <v/>
      </c>
      <c r="Q1974">
        <f>IFERROR(1/(IF(Inputs!$B$39="pvp",15,MAX(0.1,Skills!D12-IF(Skills!E12=TRUE,Inputs!$B$33,0)))*(1-IF(AND(ArtifactsInput!$M$27,Inputs!$B$4="Chapter Hunt"),CHOOSE(ArtifactsInput!$N$27+1,20,24,28,32,36,40),0)/100)),0)</f>
        <v/>
      </c>
      <c r="R1974">
        <f>IF(AND(Inputs!$B$39&lt;&gt;"pvp",Inputs!$B$44&gt;0),IF(MAX(0,Inputs!$B$44-B2002)&lt;=0,0,(INT(MAX(0,Inputs!$B$44-B2002)/(IF(Inputs!$B$39="pvp",15,MAX(0.1,Skills!D12-IF(Skills!E12=TRUE,Inputs!$B$33,0)))*(1-IF(AND(ArtifactsInput!$M$27,Inputs!$B$4="Chapter Hunt"),CHOOSE(ArtifactsInput!$N$27+1,20,24,28,32,36,40),0)/100)))+1)),0)</f>
        <v/>
      </c>
      <c r="S1974" t="n">
        <v>0</v>
      </c>
      <c r="U1974" t="n">
        <v>0</v>
      </c>
    </row>
    <row r="1975">
      <c r="A1975">
        <f>Skills!A13</f>
        <v/>
      </c>
      <c r="B1975">
        <f>Skills!B13</f>
        <v/>
      </c>
      <c r="C1975">
        <f>Inputs!$B$3&gt;=60</f>
        <v/>
      </c>
      <c r="D1975">
        <f>IF(Skills!C13=1,60+Inputs!$B$26+Inputs!$B$30,IF(Skills!C13=2,90+Inputs!$B$27+Inputs!$B$30,IF(Skills!C13=3,120+Inputs!$B$28+Inputs!$B$30,MAX(0,(Inputs!$B$3-100)*3)+Inputs!$B$29+Inputs!$B$30)))</f>
        <v/>
      </c>
      <c r="E1975">
        <f>INDEX(FactorTable!$B$2:$Y$301, MATCH(ROUND(MIN(300,MAX(1,D1975)),0), FactorTable!$A$2:$A$301,0), Skills!L13+1)</f>
        <v/>
      </c>
      <c r="F1975">
        <f>IF(Skills!M13=TRUE,(Skills!K13/10)*(E1975/1000),Skills!K13/10)+Skills!N13</f>
        <v/>
      </c>
      <c r="G1975">
        <f>Calc!G13</f>
        <v/>
      </c>
      <c r="H1975">
        <f>Calc!H13</f>
        <v/>
      </c>
      <c r="I1975">
        <f>IF(Skills!T13&lt;&gt;"",1+(Skills!T13/10)*($Z$3/1000)/100,1)</f>
        <v/>
      </c>
      <c r="J1975" t="inlineStr"/>
      <c r="K1975" t="inlineStr"/>
      <c r="L1975" t="inlineStr"/>
      <c r="M1975" t="inlineStr"/>
      <c r="N1975" t="inlineStr"/>
      <c r="O1975">
        <f>(1-Summary!$B$11)*S1975+Summary!$B$11*U1975</f>
        <v/>
      </c>
      <c r="P1975">
        <f>IF(B2005=0,0,O1975/B2005)</f>
        <v/>
      </c>
      <c r="Q1975">
        <f>IFERROR(1/(IF(Inputs!$B$39="pvp",15,MAX(0.1,Skills!D13-IF(Skills!E13=TRUE,Inputs!$B$33,0)))*(1-IF(AND(ArtifactsInput!$M$27,Inputs!$B$4="Chapter Hunt"),CHOOSE(ArtifactsInput!$N$27+1,20,24,28,32,36,40),0)/100)),0)</f>
        <v/>
      </c>
      <c r="R1975">
        <f>IF(AND(Inputs!$B$39&lt;&gt;"pvp",Inputs!$B$44&gt;0),IF(MAX(0,Inputs!$B$44-B2002)&lt;=0,0,(INT(MAX(0,Inputs!$B$44-B2002)/(IF(Inputs!$B$39="pvp",15,MAX(0.1,Skills!D13-IF(Skills!E13=TRUE,Inputs!$B$33,0)))*(1-IF(AND(ArtifactsInput!$M$27,Inputs!$B$4="Chapter Hunt"),CHOOSE(ArtifactsInput!$N$27+1,20,24,28,32,36,40),0)/100)))+1)),0)</f>
        <v/>
      </c>
      <c r="S1975" t="n">
        <v>0</v>
      </c>
      <c r="U1975" t="n">
        <v>0</v>
      </c>
    </row>
    <row r="1976">
      <c r="A1976">
        <f>Skills!A14</f>
        <v/>
      </c>
      <c r="B1976">
        <f>Skills!B14</f>
        <v/>
      </c>
      <c r="C1976">
        <f>Inputs!$B$3&gt;=107</f>
        <v/>
      </c>
      <c r="D1976">
        <f>IF(Skills!C14=1,60+Inputs!$B$26+Inputs!$B$30,IF(Skills!C14=2,90+Inputs!$B$27+Inputs!$B$30,IF(Skills!C14=3,120+Inputs!$B$28+Inputs!$B$30,MAX(0,(Inputs!$B$3-100)*3)+Inputs!$B$29+Inputs!$B$30)))</f>
        <v/>
      </c>
      <c r="E1976">
        <f>INDEX(FactorTable!$B$2:$Y$301, MATCH(ROUND(MIN(300,MAX(1,D1976)),0), FactorTable!$A$2:$A$301,0), Skills!L14+1)</f>
        <v/>
      </c>
      <c r="F1976">
        <f>IF(Skills!M14=TRUE,(Skills!K14/10)*(E1976/1000),Skills!K14/10)+Skills!N14</f>
        <v/>
      </c>
      <c r="G1976">
        <f>Calc!G14</f>
        <v/>
      </c>
      <c r="H1976">
        <f>Calc!H14</f>
        <v/>
      </c>
      <c r="I1976">
        <f>IF(Skills!T14&lt;&gt;"",1+(Skills!T14/10)*($Z$3/1000)/100,1)</f>
        <v/>
      </c>
      <c r="J1976" t="inlineStr"/>
      <c r="K1976" t="inlineStr"/>
      <c r="L1976" t="inlineStr"/>
      <c r="M1976" t="inlineStr"/>
      <c r="N1976" t="inlineStr"/>
      <c r="O1976">
        <f>(1-Summary!$B$11)*S1976+Summary!$B$11*U1976</f>
        <v/>
      </c>
      <c r="P1976">
        <f>IF(B2005=0,0,O1976/B2005)</f>
        <v/>
      </c>
      <c r="Q1976">
        <f>IFERROR(1/(IF(Inputs!$B$39="pvp",15,MAX(0.1,Skills!D14-IF(Skills!E14=TRUE,Inputs!$B$33,0)))*(1-IF(AND(ArtifactsInput!$M$27,Inputs!$B$4="Chapter Hunt"),CHOOSE(ArtifactsInput!$N$27+1,20,24,28,32,36,40),0)/100)),0)</f>
        <v/>
      </c>
      <c r="R1976">
        <f>IF(AND(Inputs!$B$39&lt;&gt;"pvp",Inputs!$B$44&gt;0),IF(Inputs!$B$44&lt;=0,0,(INT(Inputs!$B$44/(IF(Inputs!$B$39="pvp",15,MAX(0.1,Skills!D14-IF(Skills!E14=TRUE,Inputs!$B$33,0)))*(1-IF(AND(ArtifactsInput!$M$27,Inputs!$B$4="Chapter Hunt"),CHOOSE(ArtifactsInput!$N$27+1,20,24,28,32,36,40),0)/100)))+1)),0)</f>
        <v/>
      </c>
      <c r="S1976" t="n">
        <v>0</v>
      </c>
      <c r="U1976" t="n">
        <v>0</v>
      </c>
    </row>
    <row r="1977">
      <c r="A1977">
        <f>Skills!A15</f>
        <v/>
      </c>
      <c r="B1977">
        <f>Skills!B15</f>
        <v/>
      </c>
      <c r="C1977">
        <f>Inputs!$B$3&gt;=63</f>
        <v/>
      </c>
      <c r="D1977">
        <f>IF(Skills!C15=1,60+Inputs!$B$26+Inputs!$B$30,IF(Skills!C15=2,90+Inputs!$B$27+Inputs!$B$30,IF(Skills!C15=3,120+Inputs!$B$28+Inputs!$B$30,MAX(0,(Inputs!$B$3-100)*3)+Inputs!$B$29+Inputs!$B$30)))</f>
        <v/>
      </c>
      <c r="E1977">
        <f>INDEX(FactorTable!$B$2:$Y$301, MATCH(ROUND(MIN(300,MAX(1,D1977)),0), FactorTable!$A$2:$A$301,0), Skills!L15+1)</f>
        <v/>
      </c>
      <c r="F1977">
        <f>IF(Skills!M15=TRUE,(Skills!K15/10)*(E1977/1000),Skills!K15/10)+Skills!N15</f>
        <v/>
      </c>
      <c r="G1977">
        <f>Calc!G15</f>
        <v/>
      </c>
      <c r="H1977">
        <f>Calc!H15</f>
        <v/>
      </c>
      <c r="I1977">
        <f>IF(Skills!T15&lt;&gt;"",1+(Skills!T15/10)*($Z$3/1000)/100,1)</f>
        <v/>
      </c>
      <c r="J1977">
        <f>((Inputs!$B$6*(1+Inputs!$B$7/100))+(((Inputs!$B$13*(1+Inputs!$B$14/100))-(Inputs!$B$13*(1+Inputs!$B$14/100)))+0.25*(Inputs!$B$15-Inputs!$B$15))*(1+Inputs!$B$7/100))*(F1977/100)</f>
        <v/>
      </c>
      <c r="K1977">
        <f>J1977*(1+(((Inputs!$B$13+IF(Inputs!$B$3&gt;=35,(10*INDEX(FactorTable!$B$2:$Y$301,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15="TRIUMPH_FEATHER",IF(C1978=TRUE,F1978,0),0)/100)*(1+IF(C1989=TRUE,F1989,0)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1977)</f>
        <v/>
      </c>
      <c r="L1977">
        <f>K1977*(MIN(Inputs!$B$23+(F1984-Calc!F22),(Inputs!$B$24+IF(ArtifactsInput!$M$15,CHOOSE(ArtifactsInput!$N$15+1,25,30,35,40,45,50)/100*(Inputs!$B$12-Inputs!$B$12),0)))/100+(Inputs!$B$24+IF(ArtifactsInput!$M$15,CHOOSE(ArtifactsInput!$N$15+1,25,30,35,40,45,50)/100*(Inputs!$B$12-Inputs!$B$12),0))/100)/2</f>
        <v/>
      </c>
      <c r="M1977">
        <f>L1977*(1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7">
        <f>L1977*(1-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1977*(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7">
        <f>(1-Summary!$B$11)*S1977+Summary!$B$11*U1977</f>
        <v/>
      </c>
      <c r="P1977">
        <f>IF(B2005=0,0,O1977/B2005)</f>
        <v/>
      </c>
      <c r="Q1977">
        <f>IFERROR(1/(IF(Inputs!$B$39="pvp",15,MAX(0.1,Skills!D15-IF(Skills!E15=TRUE,Inputs!$B$33,0)))*(1-IF(AND(ArtifactsInput!$M$27,Inputs!$B$4="Chapter Hunt"),CHOOSE(ArtifactsInput!$N$27+1,20,24,28,32,36,40),0)/100)),0)</f>
        <v/>
      </c>
      <c r="R1977" t="n">
        <v>0</v>
      </c>
      <c r="S1977">
        <f>IF(C1977,(Skills!F15*N1977*((IF(Inputs!$B$3&gt;=78,25,15)/100*B1998*10)/(1+IF(Inputs!$B$3&gt;=78,25,15)/100*B1998*10))*(Skills!I15/100*B1998)/(1+Skills!G15*Skills!I15/100*B1998))*IF(Inputs!$B$39="pvp",1,1+(Inputs!$B$21+Skills!O15+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1977*(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1977*(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7">
        <f>IF(C1977,(Skills!F15*N1977*((IF(Inputs!$B$3&gt;=78,25,15)/100*B1998*10)/(1+IF(Inputs!$B$3&gt;=78,25,15)/100*B1998*10))*(Skills!I15/100*B1998)/(1+Skills!G15*Skills!I15/100*B1998))*IF(Inputs!$B$39="pvp",1,(1+(Inputs!$B$22+Skills!P15+B1994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8">
      <c r="A1978">
        <f>Skills!A16</f>
        <v/>
      </c>
      <c r="B1978">
        <f>Skills!B16</f>
        <v/>
      </c>
      <c r="C1978">
        <f>Inputs!$B$3&gt;=100</f>
        <v/>
      </c>
      <c r="D1978">
        <f>IF(Skills!C16=1,60+Inputs!$B$26+Inputs!$B$30,IF(Skills!C16=2,90+Inputs!$B$27+Inputs!$B$30,IF(Skills!C16=3,120+Inputs!$B$28+Inputs!$B$30,MAX(0,(Inputs!$B$3-100)*3)+Inputs!$B$29+Inputs!$B$30)))</f>
        <v/>
      </c>
      <c r="E1978">
        <f>INDEX(FactorTable!$B$2:$Y$301, MATCH(ROUND(MIN(300,MAX(1,D1978)),0), FactorTable!$A$2:$A$301,0), Skills!L16+1)</f>
        <v/>
      </c>
      <c r="F1978">
        <f>IF(Skills!M16=TRUE,(Skills!K16/10)*(E1978/1000),Skills!K16/10)+Skills!N16</f>
        <v/>
      </c>
      <c r="G1978">
        <f>Calc!G16</f>
        <v/>
      </c>
      <c r="H1978">
        <f>Calc!H16</f>
        <v/>
      </c>
      <c r="I1978">
        <f>IF(Skills!T16&lt;&gt;"",1+(Skills!T16/10)*($Z$3/1000)/100,1)</f>
        <v/>
      </c>
      <c r="J1978" t="inlineStr"/>
      <c r="K1978" t="inlineStr"/>
      <c r="L1978" t="inlineStr"/>
      <c r="M1978" t="inlineStr"/>
      <c r="N1978" t="inlineStr"/>
      <c r="O1978">
        <f>(1-Summary!$B$11)*S1978+Summary!$B$11*U1978</f>
        <v/>
      </c>
      <c r="P1978">
        <f>IF(B2005=0,0,O1978/B2005)</f>
        <v/>
      </c>
      <c r="Q1978">
        <f>IFERROR(1/(IF(Inputs!$B$39="pvp",15,MAX(0.1,Skills!D16-IF(Skills!E16=TRUE,Inputs!$B$33,0)))*(1-IF(AND(ArtifactsInput!$M$27,Inputs!$B$4="Chapter Hunt"),CHOOSE(ArtifactsInput!$N$27+1,20,24,28,32,36,40),0)/100)),0)</f>
        <v/>
      </c>
      <c r="R1978" t="n">
        <v>0</v>
      </c>
      <c r="S1978" t="n">
        <v>0</v>
      </c>
      <c r="U1978" t="n">
        <v>0</v>
      </c>
    </row>
    <row r="1979">
      <c r="A1979">
        <f>Skills!A17</f>
        <v/>
      </c>
      <c r="B1979">
        <f>Skills!B17</f>
        <v/>
      </c>
      <c r="C1979">
        <f>Inputs!$B$3&gt;=49</f>
        <v/>
      </c>
      <c r="D1979">
        <f>IF(Skills!C17=1,60+Inputs!$B$26+Inputs!$B$30,IF(Skills!C17=2,90+Inputs!$B$27+Inputs!$B$30,IF(Skills!C17=3,120+Inputs!$B$28+Inputs!$B$30,MAX(0,(Inputs!$B$3-100)*3)+Inputs!$B$29+Inputs!$B$30)))</f>
        <v/>
      </c>
      <c r="E1979">
        <f>INDEX(FactorTable!$B$2:$Y$301, MATCH(ROUND(MIN(300,MAX(1,D1979)),0), FactorTable!$A$2:$A$301,0), Skills!L17+1)</f>
        <v/>
      </c>
      <c r="F1979">
        <f>IF(Skills!M17=TRUE,(Skills!K17/10)*(E1979/1000),Skills!K17/10)+Skills!N17</f>
        <v/>
      </c>
      <c r="G1979">
        <f>Calc!G17</f>
        <v/>
      </c>
      <c r="H1979">
        <f>Calc!H17</f>
        <v/>
      </c>
      <c r="I1979">
        <f>IF(Skills!T17&lt;&gt;"",1+(Skills!T17/10)*($Z$3/1000)/100,1)</f>
        <v/>
      </c>
      <c r="J1979" t="inlineStr"/>
      <c r="K1979" t="inlineStr"/>
      <c r="L1979" t="inlineStr"/>
      <c r="M1979" t="inlineStr"/>
      <c r="N1979" t="inlineStr"/>
      <c r="O1979">
        <f>(1-Summary!$B$11)*S1979+Summary!$B$11*U1979</f>
        <v/>
      </c>
      <c r="P1979">
        <f>IF(B2005=0,0,O1979/B2005)</f>
        <v/>
      </c>
      <c r="Q1979">
        <f>IFERROR(1/(IF(Inputs!$B$39="pvp",15,MAX(0.1,Skills!D17-IF(Skills!E17=TRUE,Inputs!$B$33,0)))*(1-IF(AND(ArtifactsInput!$M$27,Inputs!$B$4="Chapter Hunt"),CHOOSE(ArtifactsInput!$N$27+1,20,24,28,32,36,40),0)/100)),0)</f>
        <v/>
      </c>
      <c r="R1979" t="n">
        <v>0</v>
      </c>
      <c r="S1979" t="n">
        <v>0</v>
      </c>
      <c r="U1979" t="n">
        <v>0</v>
      </c>
    </row>
    <row r="1980">
      <c r="A1980">
        <f>Skills!A18</f>
        <v/>
      </c>
      <c r="B1980">
        <f>Skills!B18</f>
        <v/>
      </c>
      <c r="C1980">
        <f>Inputs!$B$3&gt;=75</f>
        <v/>
      </c>
      <c r="D1980">
        <f>IF(Skills!C18=1,60+Inputs!$B$26+Inputs!$B$30,IF(Skills!C18=2,90+Inputs!$B$27+Inputs!$B$30,IF(Skills!C18=3,120+Inputs!$B$28+Inputs!$B$30,MAX(0,(Inputs!$B$3-100)*3)+Inputs!$B$29+Inputs!$B$30)))</f>
        <v/>
      </c>
      <c r="E1980">
        <f>INDEX(FactorTable!$B$2:$Y$301, MATCH(ROUND(MIN(300,MAX(1,D1980)),0), FactorTable!$A$2:$A$301,0), Skills!L18+1)</f>
        <v/>
      </c>
      <c r="F1980">
        <f>IF(Skills!M18=TRUE,(Skills!K18/10)*(E1980/1000),Skills!K18/10)+Skills!N18</f>
        <v/>
      </c>
      <c r="G1980">
        <f>Calc!G18</f>
        <v/>
      </c>
      <c r="H1980">
        <f>Calc!H18</f>
        <v/>
      </c>
      <c r="I1980">
        <f>IF(Skills!T18&lt;&gt;"",1+(Skills!T18/10)*($Z$3/1000)/100,1)</f>
        <v/>
      </c>
      <c r="J1980" t="inlineStr"/>
      <c r="K1980" t="inlineStr"/>
      <c r="L1980" t="inlineStr"/>
      <c r="M1980" t="inlineStr"/>
      <c r="N1980" t="inlineStr"/>
      <c r="O1980">
        <f>(1-Summary!$B$11)*S1980+Summary!$B$11*U1980</f>
        <v/>
      </c>
      <c r="P1980">
        <f>IF(B2005=0,0,O1980/B2005)</f>
        <v/>
      </c>
      <c r="Q1980">
        <f>IFERROR(1/(IF(Inputs!$B$39="pvp",15,MAX(0.1,Skills!D18-IF(Skills!E18=TRUE,Inputs!$B$33,0)))*(1-IF(AND(ArtifactsInput!$M$27,Inputs!$B$4="Chapter Hunt"),CHOOSE(ArtifactsInput!$N$27+1,20,24,28,32,36,40),0)/100)),0)</f>
        <v/>
      </c>
      <c r="R1980" t="n">
        <v>0</v>
      </c>
      <c r="S1980" t="n">
        <v>0</v>
      </c>
      <c r="U1980" t="n">
        <v>0</v>
      </c>
    </row>
    <row r="1981">
      <c r="A1981">
        <f>Skills!A19</f>
        <v/>
      </c>
      <c r="B1981">
        <f>Skills!B19</f>
        <v/>
      </c>
      <c r="C1981">
        <f>Inputs!$B$3&gt;=110</f>
        <v/>
      </c>
      <c r="D1981">
        <f>IF(Skills!C19=1,60+Inputs!$B$26+Inputs!$B$30,IF(Skills!C19=2,90+Inputs!$B$27+Inputs!$B$30,IF(Skills!C19=3,120+Inputs!$B$28+Inputs!$B$30,MAX(0,(Inputs!$B$3-100)*3)+Inputs!$B$29+Inputs!$B$30)))</f>
        <v/>
      </c>
      <c r="E1981">
        <f>INDEX(FactorTable!$B$2:$Y$301, MATCH(ROUND(MIN(300,MAX(1,D1981)),0), FactorTable!$A$2:$A$301,0), Skills!L19+1)</f>
        <v/>
      </c>
      <c r="F1981">
        <f>(Skills!K19/10)*(E1981/1000)*64/45+Skills!N19</f>
        <v/>
      </c>
      <c r="G1981">
        <f>Calc!G19</f>
        <v/>
      </c>
      <c r="H1981">
        <f>Calc!H19</f>
        <v/>
      </c>
      <c r="I1981">
        <f>IF(Skills!T19&lt;&gt;"",1+(Skills!T19/10)*($Z$3/1000)/100,1)</f>
        <v/>
      </c>
      <c r="J1981" t="inlineStr"/>
      <c r="K1981" t="inlineStr"/>
      <c r="L1981" t="inlineStr"/>
      <c r="M1981" t="inlineStr"/>
      <c r="N1981" t="inlineStr"/>
      <c r="O1981">
        <f>(1-Summary!$B$11)*S1981+Summary!$B$11*U1981</f>
        <v/>
      </c>
      <c r="P1981">
        <f>IF(B2005=0,0,O1981/B2005)</f>
        <v/>
      </c>
      <c r="Q1981">
        <f>IFERROR(1/(IF(Inputs!$B$39="pvp",15,MAX(0.1,Skills!D19-IF(Skills!E19=TRUE,Inputs!$B$33,0)))*(1-IF(AND(ArtifactsInput!$M$27,Inputs!$B$4="Chapter Hunt"),CHOOSE(ArtifactsInput!$N$27+1,20,24,28,32,36,40),0)/100)),0)</f>
        <v/>
      </c>
      <c r="R1981">
        <f>IF(AND(Inputs!$B$39&lt;&gt;"pvp",Inputs!$B$44&gt;0),IF(Inputs!$B$44&lt;=0,0,(INT(Inputs!$B$44/(IF(Inputs!$B$39="pvp",15,MAX(0.1,Skills!D19-IF(Skills!E19=TRUE,Inputs!$B$33,0)))*(1-IF(AND(ArtifactsInput!$M$27,Inputs!$B$4="Chapter Hunt"),CHOOSE(ArtifactsInput!$N$27+1,20,24,28,32,36,40),0)/100)))+1)),0)</f>
        <v/>
      </c>
      <c r="S1981" t="n">
        <v>0</v>
      </c>
      <c r="U1981" t="n">
        <v>0</v>
      </c>
    </row>
    <row r="1982">
      <c r="A1982">
        <f>Skills!A20</f>
        <v/>
      </c>
      <c r="B1982">
        <f>Skills!B20</f>
        <v/>
      </c>
      <c r="C1982">
        <f>Inputs!$B$3&gt;=125</f>
        <v/>
      </c>
      <c r="D1982">
        <f>IF(Skills!C20=1,60+Inputs!$B$26+Inputs!$B$30,IF(Skills!C20=2,90+Inputs!$B$27+Inputs!$B$30,IF(Skills!C20=3,120+Inputs!$B$28+Inputs!$B$30,MAX(0,(Inputs!$B$3-100)*3)+Inputs!$B$29+Inputs!$B$30)))</f>
        <v/>
      </c>
      <c r="E1982">
        <f>INDEX(FactorTable!$B$2:$Y$301, MATCH(ROUND(MIN(300,MAX(1,D1982)),0), FactorTable!$A$2:$A$301,0), Skills!L20+1)</f>
        <v/>
      </c>
      <c r="F1982">
        <f>IF(Skills!M20=TRUE,(Skills!K20/10)*(E1982/1000),Skills!K20/10)+Skills!N20</f>
        <v/>
      </c>
      <c r="G1982">
        <f>Calc!G20</f>
        <v/>
      </c>
      <c r="H1982">
        <f>Calc!H20</f>
        <v/>
      </c>
      <c r="I1982">
        <f>IF(Skills!T20&lt;&gt;"",1+(Skills!T20/10)*($Z$3/1000)/100,1)</f>
        <v/>
      </c>
      <c r="J1982" t="inlineStr"/>
      <c r="K1982" t="inlineStr"/>
      <c r="L1982" t="inlineStr"/>
      <c r="M1982" t="inlineStr"/>
      <c r="N1982" t="inlineStr"/>
      <c r="O1982">
        <f>(1-Summary!$B$11)*S1982+Summary!$B$11*U1982</f>
        <v/>
      </c>
      <c r="P1982">
        <f>IF(B2005=0,0,O1982/B2005)</f>
        <v/>
      </c>
      <c r="Q1982">
        <f>IFERROR(1/(IF(Inputs!$B$39="pvp",15,MAX(0.1,Skills!D20-IF(Skills!E20=TRUE,Inputs!$B$33,0)))*(1-IF(AND(ArtifactsInput!$M$27,Inputs!$B$4="Chapter Hunt"),CHOOSE(ArtifactsInput!$N$27+1,20,24,28,32,36,40),0)/100)),0)</f>
        <v/>
      </c>
      <c r="R1982" t="n">
        <v>0</v>
      </c>
      <c r="S1982" t="n">
        <v>0</v>
      </c>
      <c r="U1982" t="n">
        <v>0</v>
      </c>
    </row>
    <row r="1983">
      <c r="A1983">
        <f>Skills!A21</f>
        <v/>
      </c>
      <c r="B1983">
        <f>Skills!B21</f>
        <v/>
      </c>
      <c r="C1983">
        <f>Inputs!$B$3&gt;=33</f>
        <v/>
      </c>
      <c r="D1983">
        <f>IF(Skills!C21=1,60+Inputs!$B$26+Inputs!$B$30,IF(Skills!C21=2,90+Inputs!$B$27+Inputs!$B$30,IF(Skills!C21=3,120+Inputs!$B$28+Inputs!$B$30,MAX(0,(Inputs!$B$3-100)*3)+Inputs!$B$29+Inputs!$B$30)))</f>
        <v/>
      </c>
      <c r="E1983">
        <f>INDEX(FactorTable!$B$2:$Y$301, MATCH(ROUND(MIN(300,MAX(1,D1983)),0), FactorTable!$A$2:$A$301,0), Skills!L21+1)</f>
        <v/>
      </c>
      <c r="F1983">
        <f>IF(Skills!M21=TRUE,(Skills!K21/10)*(E1983/1000),Skills!K21/10)+Skills!N21</f>
        <v/>
      </c>
      <c r="G1983">
        <f>Calc!G21</f>
        <v/>
      </c>
      <c r="H1983">
        <f>Calc!H21</f>
        <v/>
      </c>
      <c r="I1983">
        <f>IF(Skills!T21&lt;&gt;"",1+(Skills!T21/10)*($Z$3/1000)/100,1)</f>
        <v/>
      </c>
      <c r="J1983" t="inlineStr"/>
      <c r="K1983" t="inlineStr"/>
      <c r="L1983" t="inlineStr"/>
      <c r="M1983" t="inlineStr"/>
      <c r="N1983" t="inlineStr"/>
      <c r="O1983">
        <f>(1-Summary!$B$11)*S1983+Summary!$B$11*U1983</f>
        <v/>
      </c>
      <c r="P1983">
        <f>IF(B2005=0,0,O1983/B2005)</f>
        <v/>
      </c>
      <c r="Q1983">
        <f>IFERROR(1/(IF(Inputs!$B$39="pvp",15,MAX(0.1,Skills!D21-IF(Skills!E21=TRUE,Inputs!$B$33,0)))*(1-IF(AND(ArtifactsInput!$M$27,Inputs!$B$4="Chapter Hunt"),CHOOSE(ArtifactsInput!$N$27+1,20,24,28,32,36,40),0)/100)),0)</f>
        <v/>
      </c>
      <c r="R1983" t="n">
        <v>0</v>
      </c>
      <c r="S1983" t="n">
        <v>0</v>
      </c>
      <c r="U1983" t="n">
        <v>0</v>
      </c>
    </row>
    <row r="1984">
      <c r="A1984">
        <f>Skills!A22</f>
        <v/>
      </c>
      <c r="B1984">
        <f>Skills!B22</f>
        <v/>
      </c>
      <c r="C1984">
        <f>Inputs!$B$3&gt;=43</f>
        <v/>
      </c>
      <c r="D1984">
        <f>IF(Skills!C22=1,60+Inputs!$B$26+Inputs!$B$30,IF(Skills!C22=2,90+Inputs!$B$27+Inputs!$B$30,IF(Skills!C22=3,120+Inputs!$B$28+Inputs!$B$30,MAX(0,(Inputs!$B$3-100)*3)+Inputs!$B$29+Inputs!$B$30)))</f>
        <v/>
      </c>
      <c r="E1984">
        <f>INDEX(FactorTable!$B$2:$Y$301, MATCH(ROUND(MIN(300,MAX(1,D1984)),0), FactorTable!$A$2:$A$301,0), Skills!L22+1)</f>
        <v/>
      </c>
      <c r="F1984">
        <f>IF(Skills!M22=TRUE,(Skills!K22/10)*(E1984/1000),Skills!K22/10)+Skills!N22</f>
        <v/>
      </c>
      <c r="G1984">
        <f>Calc!G22</f>
        <v/>
      </c>
      <c r="H1984">
        <f>Calc!H22</f>
        <v/>
      </c>
      <c r="I1984">
        <f>IF(Skills!T22&lt;&gt;"",1+(Skills!T22/10)*($Z$3/1000)/100,1)</f>
        <v/>
      </c>
      <c r="J1984" t="inlineStr"/>
      <c r="K1984" t="inlineStr"/>
      <c r="L1984" t="inlineStr"/>
      <c r="M1984" t="inlineStr"/>
      <c r="N1984" t="inlineStr"/>
      <c r="O1984">
        <f>(1-Summary!$B$11)*S1984+Summary!$B$11*U1984</f>
        <v/>
      </c>
      <c r="P1984">
        <f>IF(B2005=0,0,O1984/B2005)</f>
        <v/>
      </c>
      <c r="Q1984">
        <f>IFERROR(1/(IF(Inputs!$B$39="pvp",15,MAX(0.1,Skills!D22-IF(Skills!E22=TRUE,Inputs!$B$33,0)))*(1-IF(AND(ArtifactsInput!$M$27,Inputs!$B$4="Chapter Hunt"),CHOOSE(ArtifactsInput!$N$27+1,20,24,28,32,36,40),0)/100)),0)</f>
        <v/>
      </c>
      <c r="R1984" t="n">
        <v>0</v>
      </c>
      <c r="S1984" t="n">
        <v>0</v>
      </c>
      <c r="U1984" t="n">
        <v>0</v>
      </c>
    </row>
    <row r="1985">
      <c r="A1985">
        <f>Skills!A23</f>
        <v/>
      </c>
      <c r="B1985">
        <f>Skills!B23</f>
        <v/>
      </c>
      <c r="C1985">
        <f>Inputs!$B$3&gt;=50</f>
        <v/>
      </c>
      <c r="D1985">
        <f>IF(Skills!C23=1,60+Inputs!$B$26+Inputs!$B$30,IF(Skills!C23=2,90+Inputs!$B$27+Inputs!$B$30,IF(Skills!C23=3,120+Inputs!$B$28+Inputs!$B$30,MAX(0,(Inputs!$B$3-100)*3)+Inputs!$B$29+Inputs!$B$30)))</f>
        <v/>
      </c>
      <c r="E1985">
        <f>INDEX(FactorTable!$B$2:$Y$301, MATCH(ROUND(MIN(300,MAX(1,D1985)),0), FactorTable!$A$2:$A$301,0), Skills!L23+1)</f>
        <v/>
      </c>
      <c r="F1985">
        <f>IF(Skills!M23=TRUE,(Skills!K23/10)*(E1985/1000),Skills!K23/10)+Skills!N23</f>
        <v/>
      </c>
      <c r="G1985">
        <f>Calc!G23</f>
        <v/>
      </c>
      <c r="H1985">
        <f>Calc!H23</f>
        <v/>
      </c>
      <c r="I1985">
        <f>IF(Skills!T23&lt;&gt;"",1+(Skills!T23/10)*($Z$3/1000)/100,1)</f>
        <v/>
      </c>
      <c r="J1985" t="inlineStr"/>
      <c r="K1985" t="inlineStr"/>
      <c r="L1985" t="inlineStr"/>
      <c r="M1985" t="inlineStr"/>
      <c r="N1985" t="inlineStr"/>
      <c r="O1985">
        <f>(1-Summary!$B$11)*S1985+Summary!$B$11*U1985</f>
        <v/>
      </c>
      <c r="P1985">
        <f>IF(B2005=0,0,O1985/B2005)</f>
        <v/>
      </c>
      <c r="Q1985">
        <f>IFERROR(1/(IF(Inputs!$B$39="pvp",15,MAX(0.1,Skills!D23-IF(Skills!E23=TRUE,Inputs!$B$33,0)))*(1-IF(AND(ArtifactsInput!$M$27,Inputs!$B$4="Chapter Hunt"),CHOOSE(ArtifactsInput!$N$27+1,20,24,28,32,36,40),0)/100)),0)</f>
        <v/>
      </c>
      <c r="R1985" t="n">
        <v>0</v>
      </c>
      <c r="S1985" t="n">
        <v>0</v>
      </c>
      <c r="U1985" t="n">
        <v>0</v>
      </c>
    </row>
    <row r="1986">
      <c r="A1986">
        <f>Skills!A24</f>
        <v/>
      </c>
      <c r="B1986">
        <f>Skills!B24</f>
        <v/>
      </c>
      <c r="C1986">
        <f>Inputs!$B$3&gt;=74</f>
        <v/>
      </c>
      <c r="D1986">
        <f>IF(Skills!C24=1,60+Inputs!$B$26+Inputs!$B$30,IF(Skills!C24=2,90+Inputs!$B$27+Inputs!$B$30,IF(Skills!C24=3,120+Inputs!$B$28+Inputs!$B$30,MAX(0,(Inputs!$B$3-100)*3)+Inputs!$B$29+Inputs!$B$30)))</f>
        <v/>
      </c>
      <c r="E1986">
        <f>INDEX(FactorTable!$B$2:$Y$301, MATCH(ROUND(MIN(300,MAX(1,D1986)),0), FactorTable!$A$2:$A$301,0), Skills!L24+1)</f>
        <v/>
      </c>
      <c r="F1986">
        <f>IF(Skills!M24=TRUE,(Skills!K24/10)*(E1986/1000),Skills!K24/10)+Skills!N24</f>
        <v/>
      </c>
      <c r="G1986">
        <f>Calc!G24</f>
        <v/>
      </c>
      <c r="H1986">
        <f>Calc!H24</f>
        <v/>
      </c>
      <c r="I1986">
        <f>IF(Skills!T24&lt;&gt;"",1+(Skills!T24/10)*($Z$3/1000)/100,1)</f>
        <v/>
      </c>
      <c r="J1986" t="inlineStr"/>
      <c r="K1986" t="inlineStr"/>
      <c r="L1986" t="inlineStr"/>
      <c r="M1986" t="inlineStr"/>
      <c r="N1986" t="inlineStr"/>
      <c r="O1986">
        <f>(1-Summary!$B$11)*S1986+Summary!$B$11*U1986</f>
        <v/>
      </c>
      <c r="P1986">
        <f>IF(B2005=0,0,O1986/B2005)</f>
        <v/>
      </c>
      <c r="Q1986">
        <f>IFERROR(1/(IF(Inputs!$B$39="pvp",15,MAX(0.1,Skills!D24-IF(Skills!E24=TRUE,Inputs!$B$33,0)))*(1-IF(AND(ArtifactsInput!$M$27,Inputs!$B$4="Chapter Hunt"),CHOOSE(ArtifactsInput!$N$27+1,20,24,28,32,36,40),0)/100)),0)</f>
        <v/>
      </c>
      <c r="R1986" t="n">
        <v>0</v>
      </c>
      <c r="S1986" t="n">
        <v>0</v>
      </c>
      <c r="U1986" t="n">
        <v>0</v>
      </c>
    </row>
    <row r="1987">
      <c r="A1987">
        <f>Skills!A25</f>
        <v/>
      </c>
      <c r="B1987">
        <f>Skills!B25</f>
        <v/>
      </c>
      <c r="C1987">
        <f>Inputs!$B$3&gt;=74</f>
        <v/>
      </c>
      <c r="D1987">
        <f>IF(Skills!C25=1,60+Inputs!$B$26+Inputs!$B$30,IF(Skills!C25=2,90+Inputs!$B$27+Inputs!$B$30,IF(Skills!C25=3,120+Inputs!$B$28+Inputs!$B$30,MAX(0,(Inputs!$B$3-100)*3)+Inputs!$B$29+Inputs!$B$30)))</f>
        <v/>
      </c>
      <c r="E1987">
        <f>INDEX(FactorTable!$B$2:$Y$301, MATCH(ROUND(MIN(300,MAX(1,D1987)),0), FactorTable!$A$2:$A$301,0), Skills!L25+1)</f>
        <v/>
      </c>
      <c r="F1987">
        <f>IF(Skills!M25=TRUE,(Skills!K25/10)*(E1987/1000),Skills!K25/10)+Skills!N25</f>
        <v/>
      </c>
      <c r="G1987">
        <f>Calc!G25</f>
        <v/>
      </c>
      <c r="H1987">
        <f>Calc!H25</f>
        <v/>
      </c>
      <c r="I1987">
        <f>IF(Skills!T25&lt;&gt;"",1+(Skills!T25/10)*($Z$3/1000)/100,1)</f>
        <v/>
      </c>
      <c r="J1987" t="inlineStr"/>
      <c r="K1987" t="inlineStr"/>
      <c r="L1987" t="inlineStr"/>
      <c r="M1987" t="inlineStr"/>
      <c r="N1987" t="inlineStr"/>
      <c r="O1987">
        <f>(1-Summary!$B$11)*S1987+Summary!$B$11*U1987</f>
        <v/>
      </c>
      <c r="P1987">
        <f>IF(B2005=0,0,O1987/B2005)</f>
        <v/>
      </c>
      <c r="Q1987">
        <f>IFERROR(1/(IF(Inputs!$B$39="pvp",15,MAX(0.1,Skills!D25-IF(Skills!E25=TRUE,Inputs!$B$33,0)))*(1-IF(AND(ArtifactsInput!$M$27,Inputs!$B$4="Chapter Hunt"),CHOOSE(ArtifactsInput!$N$27+1,20,24,28,32,36,40),0)/100)),0)</f>
        <v/>
      </c>
      <c r="R1987" t="n">
        <v>0</v>
      </c>
      <c r="S1987" t="n">
        <v>0</v>
      </c>
      <c r="U1987" t="n">
        <v>0</v>
      </c>
    </row>
    <row r="1988">
      <c r="A1988">
        <f>Skills!A26</f>
        <v/>
      </c>
      <c r="B1988">
        <f>Skills!B26</f>
        <v/>
      </c>
      <c r="C1988">
        <f>Inputs!$B$3&gt;=117</f>
        <v/>
      </c>
      <c r="D1988">
        <f>IF(Skills!C26=1,60+Inputs!$B$26+Inputs!$B$30,IF(Skills!C26=2,90+Inputs!$B$27+Inputs!$B$30,IF(Skills!C26=3,120+Inputs!$B$28+Inputs!$B$30,MAX(0,(Inputs!$B$3-100)*3)+Inputs!$B$29+Inputs!$B$30)))</f>
        <v/>
      </c>
      <c r="E1988">
        <f>INDEX(FactorTable!$B$2:$Y$301, MATCH(ROUND(MIN(300,MAX(1,D1988)),0), FactorTable!$A$2:$A$301,0), Skills!L26+1)</f>
        <v/>
      </c>
      <c r="F1988">
        <f>IF(Skills!M26=TRUE,(Skills!K26/10)*(E1988/1000),Skills!K26/10)+Skills!N26</f>
        <v/>
      </c>
      <c r="G1988">
        <f>Calc!G26</f>
        <v/>
      </c>
      <c r="H1988">
        <f>Calc!H26</f>
        <v/>
      </c>
      <c r="I1988">
        <f>IF(Skills!T26&lt;&gt;"",1+(Skills!T26/10)*($Z$3/1000)/100,1)</f>
        <v/>
      </c>
      <c r="J1988" t="inlineStr"/>
      <c r="K1988" t="inlineStr"/>
      <c r="L1988" t="inlineStr"/>
      <c r="M1988" t="inlineStr"/>
      <c r="N1988" t="inlineStr"/>
      <c r="O1988">
        <f>(1-Summary!$B$11)*S1988+Summary!$B$11*U1988</f>
        <v/>
      </c>
      <c r="P1988">
        <f>IF(B2005=0,0,O1988/B2005)</f>
        <v/>
      </c>
      <c r="Q1988">
        <f>IFERROR(1/(IF(Inputs!$B$39="pvp",15,MAX(0.1,Skills!D26-IF(Skills!E26=TRUE,Inputs!$B$33,0)))*(1-IF(AND(ArtifactsInput!$M$27,Inputs!$B$4="Chapter Hunt"),CHOOSE(ArtifactsInput!$N$27+1,20,24,28,32,36,40),0)/100)),0)</f>
        <v/>
      </c>
      <c r="R1988" t="n">
        <v>0</v>
      </c>
      <c r="S1988" t="n">
        <v>0</v>
      </c>
      <c r="U1988" t="n">
        <v>0</v>
      </c>
    </row>
    <row r="1989">
      <c r="A1989">
        <f>Skills!A27</f>
        <v/>
      </c>
      <c r="B1989">
        <f>Skills!B27</f>
        <v/>
      </c>
      <c r="C1989">
        <f>Inputs!$B$3&gt;=120</f>
        <v/>
      </c>
      <c r="D1989">
        <f>IF(Skills!C27=1,60+Inputs!$B$26+Inputs!$B$30,IF(Skills!C27=2,90+Inputs!$B$27+Inputs!$B$30,IF(Skills!C27=3,120+Inputs!$B$28+Inputs!$B$30,MAX(0,(Inputs!$B$3-100)*3)+Inputs!$B$29+Inputs!$B$30)))</f>
        <v/>
      </c>
      <c r="E1989">
        <f>INDEX(FactorTable!$B$2:$Y$301, MATCH(ROUND(MIN(300,MAX(1,D1989)),0), FactorTable!$A$2:$A$301,0), Skills!L27+1)</f>
        <v/>
      </c>
      <c r="F1989">
        <f>IF(Skills!M27=TRUE,(Skills!K27/10)*(E1989/1000),Skills!K27/10)+Skills!N27</f>
        <v/>
      </c>
      <c r="G1989">
        <f>Calc!G27</f>
        <v/>
      </c>
      <c r="H1989">
        <f>Calc!H27</f>
        <v/>
      </c>
      <c r="I1989">
        <f>IF(Skills!T27&lt;&gt;"",1+(Skills!T27/10)*($Z$3/1000)/100,1)</f>
        <v/>
      </c>
      <c r="J1989" t="inlineStr"/>
      <c r="K1989" t="inlineStr"/>
      <c r="L1989" t="inlineStr"/>
      <c r="M1989" t="inlineStr"/>
      <c r="N1989" t="inlineStr"/>
      <c r="O1989">
        <f>(1-Summary!$B$11)*S1989+Summary!$B$11*U1989</f>
        <v/>
      </c>
      <c r="P1989">
        <f>IF(B2005=0,0,O1989/B2005)</f>
        <v/>
      </c>
      <c r="Q1989">
        <f>IFERROR(1/(IF(Inputs!$B$39="pvp",15,MAX(0.1,Skills!D27-IF(Skills!E27=TRUE,Inputs!$B$33,0)))*(1-IF(AND(ArtifactsInput!$M$27,Inputs!$B$4="Chapter Hunt"),CHOOSE(ArtifactsInput!$N$27+1,20,24,28,32,36,40),0)/100)),0)</f>
        <v/>
      </c>
      <c r="R1989" t="n">
        <v>0</v>
      </c>
      <c r="S1989" t="n">
        <v>0</v>
      </c>
      <c r="U1989" t="n">
        <v>0</v>
      </c>
    </row>
    <row r="1990">
      <c r="A1990">
        <f>Skills!A28</f>
        <v/>
      </c>
      <c r="B1990">
        <f>Skills!B28</f>
        <v/>
      </c>
      <c r="C1990">
        <f>TRUE</f>
        <v/>
      </c>
      <c r="D1990">
        <f>IF(Skills!C28=1,60+Inputs!$B$26+Inputs!$B$30,IF(Skills!C28=2,90+Inputs!$B$27+Inputs!$B$30,IF(Skills!C28=3,120+Inputs!$B$28+Inputs!$B$30,MAX(0,(Inputs!$B$3-100)*3)+Inputs!$B$29+Inputs!$B$30)))</f>
        <v/>
      </c>
      <c r="E1990">
        <f>INDEX(FactorTable!$B$2:$Y$301, MATCH(ROUND(MIN(300,MAX(1,D1990)),0), FactorTable!$A$2:$A$301,0), Skills!L28+1)</f>
        <v/>
      </c>
      <c r="F1990">
        <f>IF(Skills!M28=TRUE,(Skills!K28/10)*(E1990/1000),Skills!K28/10)+Skills!N28</f>
        <v/>
      </c>
      <c r="G1990">
        <f>Calc!G28</f>
        <v/>
      </c>
      <c r="H1990">
        <f>Calc!H28</f>
        <v/>
      </c>
      <c r="I1990">
        <f>IF(Skills!T28&lt;&gt;"",1+(Skills!T28/10)*($Z$3/1000)/100,1)</f>
        <v/>
      </c>
      <c r="J1990" t="inlineStr"/>
      <c r="K1990" t="inlineStr"/>
      <c r="L1990" t="inlineStr"/>
      <c r="M1990" t="inlineStr"/>
      <c r="N1990" t="inlineStr"/>
      <c r="O1990">
        <f>(1-Summary!$B$11)*S1990+Summary!$B$11*U1990</f>
        <v/>
      </c>
      <c r="P1990">
        <f>IF(B2005=0,0,O1990/B2005)</f>
        <v/>
      </c>
      <c r="Q1990">
        <f>IFERROR(1/(IF(Inputs!$B$39="pvp",15,MAX(0.1,Skills!D28-IF(Skills!E28=TRUE,Inputs!$B$33,0)))*(1-IF(AND(ArtifactsInput!$M$27,Inputs!$B$4="Chapter Hunt"),CHOOSE(ArtifactsInput!$N$27+1,20,24,28,32,36,40),0)/100)),0)</f>
        <v/>
      </c>
      <c r="R1990">
        <f>IF(AND(Inputs!$B$39&lt;&gt;"pvp",Inputs!$B$44&gt;0),IF(Inputs!$B$44&lt;=0,0,(INT(Inputs!$B$44/(IF(Inputs!$B$39="pvp",15,MAX(0.1,Skills!D28-IF(Skills!E28=TRUE,Inputs!$B$33,0)))*(1-IF(AND(ArtifactsInput!$M$27,Inputs!$B$4="Chapter Hunt"),CHOOSE(ArtifactsInput!$N$27+1,20,24,28,32,36,40),0)/100)))+1)),0)</f>
        <v/>
      </c>
      <c r="S1990" t="n">
        <v>0</v>
      </c>
      <c r="U1990" t="n">
        <v>0</v>
      </c>
    </row>
    <row r="1992">
      <c r="A1992" t="inlineStr">
        <is>
          <t>Average Buff Multiplier</t>
        </is>
      </c>
      <c r="B1992">
        <f>(1+(IF(C1965=TRUE,F1965*IF(AND(Inputs!$B$39&lt;&gt;"pvp",Inputs!$B$44&gt;0),(((R1965-1)*(Skills!S3*(1+((Inputs!$B$35+(ArtifactsInput!$M$7-ArtifactsInput!$M$7)*CHOOSE(ArtifactsInput!$N$7+1,6,7.2,8.4,9.6,10.8,12))+IF(Inputs!$B$3&gt;=117,F1988,0))/100))+MIN((Skills!S3*(1+((Inputs!$B$35+(ArtifactsInput!$M$7-ArtifactsInput!$M$7)*CHOOSE(ArtifactsInput!$N$7+1,6,7.2,8.4,9.6,10.8,12))+IF(Inputs!$B$3&gt;=117,F1988,0))/100)),MAX(0,Inputs!$B$44-((R1965-1)*Skills!D3))))/Inputs!$B$44),IF(Inputs!$B$39="pvp",MIN((Skills!S3*(1+((Inputs!$B$35+(ArtifactsInput!$M$7-ArtifactsInput!$M$7)*CHOOSE(ArtifactsInput!$N$7+1,6,7.2,8.4,9.6,10.8,12))+IF(Inputs!$B$3&gt;=117,F1988,0))/100)),15)/15,(Skills!S3*(1+((Inputs!$B$35+(ArtifactsInput!$M$7-ArtifactsInput!$M$7)*CHOOSE(ArtifactsInput!$N$7+1,6,7.2,8.4,9.6,10.8,12))+IF(Inputs!$B$3&gt;=117,F1988,0))/100))/Skills!D3)),0)+IF(C1966=TRUE,F1966*IF(AND(Inputs!$B$39&lt;&gt;"pvp",Inputs!$B$44&gt;0),(((R1966-1)*(Skills!S4*(1+((Inputs!$B$35+(ArtifactsInput!$M$7-ArtifactsInput!$M$7)*CHOOSE(ArtifactsInput!$N$7+1,6,7.2,8.4,9.6,10.8,12))+IF(Inputs!$B$3&gt;=117,F1988,0))/100))+MIN((Skills!S4*(1+((Inputs!$B$35+(ArtifactsInput!$M$7-ArtifactsInput!$M$7)*CHOOSE(ArtifactsInput!$N$7+1,6,7.2,8.4,9.6,10.8,12))+IF(Inputs!$B$3&gt;=117,F1988,0))/100)),MAX(0,Inputs!$B$44-((R1966-1)*Skills!D4))))/Inputs!$B$44),IF(Inputs!$B$39="pvp",MIN((Skills!S4*(1+((Inputs!$B$35+(ArtifactsInput!$M$7-ArtifactsInput!$M$7)*CHOOSE(ArtifactsInput!$N$7+1,6,7.2,8.4,9.6,10.8,12))+IF(Inputs!$B$3&gt;=117,F1988,0))/100)),15)/15,(Skills!S4*(1+((Inputs!$B$35+(ArtifactsInput!$M$7-ArtifactsInput!$M$7)*CHOOSE(ArtifactsInput!$N$7+1,6,7.2,8.4,9.6,10.8,12))+IF(Inputs!$B$3&gt;=117,F1988,0))/100))/Skills!D4)),0)+IF(C1967=TRUE,F1967*IF(AND(Inputs!$B$39&lt;&gt;"pvp",Inputs!$B$44&gt;0),(((R1967-1)*(Skills!S5*(1+((Inputs!$B$35+(ArtifactsInput!$M$7-ArtifactsInput!$M$7)*CHOOSE(ArtifactsInput!$N$7+1,6,7.2,8.4,9.6,10.8,12))+IF(Inputs!$B$3&gt;=117,F1988,0))/100))+MIN((Skills!S5*(1+((Inputs!$B$35+(ArtifactsInput!$M$7-ArtifactsInput!$M$7)*CHOOSE(ArtifactsInput!$N$7+1,6,7.2,8.4,9.6,10.8,12))+IF(Inputs!$B$3&gt;=117,F1988,0))/100)),MAX(0,Inputs!$B$44-((R1967-1)*Skills!D5))))/Inputs!$B$44),IF(Inputs!$B$39="pvp",MIN((Skills!S5*(1+((Inputs!$B$35+(ArtifactsInput!$M$7-ArtifactsInput!$M$7)*CHOOSE(ArtifactsInput!$N$7+1,6,7.2,8.4,9.6,10.8,12))+IF(Inputs!$B$3&gt;=117,F1988,0))/100)),15)/15,(Skills!S5*(1+((Inputs!$B$35+(ArtifactsInput!$M$7-ArtifactsInput!$M$7)*CHOOSE(ArtifactsInput!$N$7+1,6,7.2,8.4,9.6,10.8,12))+IF(Inputs!$B$3&gt;=117,F1988,0))/100))/Skills!D5)),0)+IF(C1973=TRUE,F1973*IF(AND(Inputs!$B$39&lt;&gt;"pvp",Inputs!$B$44&gt;0),(((R1973-1)*(Skills!S11*(1+((Inputs!$B$35+(ArtifactsInput!$M$7-ArtifactsInput!$M$7)*CHOOSE(ArtifactsInput!$N$7+1,6,7.2,8.4,9.6,10.8,12))+IF(Inputs!$B$3&gt;=117,F1988,0))/100))+MIN((Skills!S11*(1+((Inputs!$B$35+(ArtifactsInput!$M$7-ArtifactsInput!$M$7)*CHOOSE(ArtifactsInput!$N$7+1,6,7.2,8.4,9.6,10.8,12))+IF(Inputs!$B$3&gt;=117,F1988,0))/100)),MAX(0,Inputs!$B$44-((R1973-1)*Skills!D11))))/Inputs!$B$44),IF(Inputs!$B$39="pvp",MIN((Skills!S11*(1+((Inputs!$B$35+(ArtifactsInput!$M$7-ArtifactsInput!$M$7)*CHOOSE(ArtifactsInput!$N$7+1,6,7.2,8.4,9.6,10.8,12))+IF(Inputs!$B$3&gt;=117,F1988,0))/100)),15)/15,(Skills!S11*(1+((Inputs!$B$35+(ArtifactsInput!$M$7-ArtifactsInput!$M$7)*CHOOSE(ArtifactsInput!$N$7+1,6,7.2,8.4,9.6,10.8,12))+IF(Inputs!$B$3&gt;=117,F1988,0)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1976=TRUE,(1+F1976*IF(AND(Inputs!$B$39&lt;&gt;"pvp",Inputs!$B$44&gt;0),(((R1976-1)*(Skills!S14*(1+((Inputs!$B$35+(ArtifactsInput!$M$7-ArtifactsInput!$M$7)*CHOOSE(ArtifactsInput!$N$7+1,6,7.2,8.4,9.6,10.8,12))+IF(Inputs!$B$3&gt;=117,F1988,0))/100))+MIN((Skills!S14*(1+((Inputs!$B$35+(ArtifactsInput!$M$7-ArtifactsInput!$M$7)*CHOOSE(ArtifactsInput!$N$7+1,6,7.2,8.4,9.6,10.8,12))+IF(Inputs!$B$3&gt;=117,F1988,0))/100)),MAX(0,Inputs!$B$44-((R1976-1)*Skills!D14))))/Inputs!$B$44),IF(Inputs!$B$39="pvp",MIN((Skills!S14*(1+((Inputs!$B$35+(ArtifactsInput!$M$7-ArtifactsInput!$M$7)*CHOOSE(ArtifactsInput!$N$7+1,6,7.2,8.4,9.6,10.8,12))+IF(Inputs!$B$3&gt;=117,F1988,0))/100)),15)/15,(Skills!S14*(1+((Inputs!$B$35+(ArtifactsInput!$M$7-ArtifactsInput!$M$7)*CHOOSE(ArtifactsInput!$N$7+1,6,7.2,8.4,9.6,10.8,12))+IF(Inputs!$B$3&gt;=117,F1988,0))/100))/Skills!D14))/100),1)*IF(C1981=TRUE,(1+F1981*IF(AND(Inputs!$B$39&lt;&gt;"pvp",Inputs!$B$44&gt;0),(((R1981-1)*(Skills!S19*(1+((Inputs!$B$35+(ArtifactsInput!$M$7-ArtifactsInput!$M$7)*CHOOSE(ArtifactsInput!$N$7+1,6,7.2,8.4,9.6,10.8,12))+IF(Inputs!$B$3&gt;=117,F1988,0))/100))+MIN((Skills!S19*(1+((Inputs!$B$35+(ArtifactsInput!$M$7-ArtifactsInput!$M$7)*CHOOSE(ArtifactsInput!$N$7+1,6,7.2,8.4,9.6,10.8,12))+IF(Inputs!$B$3&gt;=117,F1988,0))/100)),MAX(0,Inputs!$B$44-((R1981-1)*Skills!D19))))/Inputs!$B$44),IF(Inputs!$B$39="pvp",MIN((Skills!S19*(1+((Inputs!$B$35+(ArtifactsInput!$M$7-ArtifactsInput!$M$7)*CHOOSE(ArtifactsInput!$N$7+1,6,7.2,8.4,9.6,10.8,12))+IF(Inputs!$B$3&gt;=117,F1988,0))/100)),15)/15,(Skills!S19*(1+((Inputs!$B$35+(ArtifactsInput!$M$7-ArtifactsInput!$M$7)*CHOOSE(ArtifactsInput!$N$7+1,6,7.2,8.4,9.6,10.8,12))+IF(Inputs!$B$3&gt;=117,F1988,0))/100))/Skills!D19))/100),1)</f>
        <v/>
      </c>
    </row>
    <row r="1993">
      <c r="A1993" t="inlineStr">
        <is>
          <t>Monster Damage Taken Bonus % (Holy Fountain)</t>
        </is>
      </c>
      <c r="B1993">
        <f>IF(Inputs!$B$3&gt;=68,20*IF(Inputs!$B$39="pvp",MIN((15*(1+((Inputs!$B$35+(ArtifactsInput!$M$7-ArtifactsInput!$M$7)*CHOOSE(ArtifactsInput!$N$7+1,6,7.2,8.4,9.6,10.8,12))+IF(Inputs!$B$3&gt;=117,F1988,0))/100)),15)/15,(15*(1+((Inputs!$B$35+(ArtifactsInput!$M$7-ArtifactsInput!$M$7)*CHOOSE(ArtifactsInput!$N$7+1,6,7.2,8.4,9.6,10.8,12))+IF(Inputs!$B$3&gt;=117,F1988,0))/100))/Skills!D10),0)</f>
        <v/>
      </c>
    </row>
    <row r="1994">
      <c r="A1994" t="inlineStr">
        <is>
          <t>Normal Monster Damage Bonus % (Holy Symbol)</t>
        </is>
      </c>
      <c r="B1994">
        <f>IF(C1974=TRUE,F1974*IF(AND(Inputs!$B$39&lt;&gt;"pvp",Inputs!$B$44&gt;0),(((R1974-1)*(Skills!S12*(1+((Inputs!$B$35+(ArtifactsInput!$M$7-ArtifactsInput!$M$7)*CHOOSE(ArtifactsInput!$N$7+1,6,7.2,8.4,9.6,10.8,12))+IF(Inputs!$B$3&gt;=117,F1988,0))/100))+MIN((Skills!S12*(1+((Inputs!$B$35+(ArtifactsInput!$M$7-ArtifactsInput!$M$7)*CHOOSE(ArtifactsInput!$N$7+1,6,7.2,8.4,9.6,10.8,12))+IF(Inputs!$B$3&gt;=117,F1988,0))/100)),MAX(0,Inputs!$B$44-((R1974-1)*Skills!D12))))/Inputs!$B$44),IF(Inputs!$B$39="pvp",MIN((Skills!S12*(1+((Inputs!$B$35+(ArtifactsInput!$M$7-ArtifactsInput!$M$7)*CHOOSE(ArtifactsInput!$N$7+1,6,7.2,8.4,9.6,10.8,12))+IF(Inputs!$B$3&gt;=117,F1988,0))/100)),15)/15,(Skills!S12*(1+((Inputs!$B$35+(ArtifactsInput!$M$7-ArtifactsInput!$M$7)*CHOOSE(ArtifactsInput!$N$7+1,6,7.2,8.4,9.6,10.8,12))+IF(Inputs!$B$3&gt;=117,F1988,0))/100))/Skills!D12)),0)</f>
        <v/>
      </c>
    </row>
    <row r="1995">
      <c r="A1995" t="inlineStr">
        <is>
          <t>Damage % Bonus (Holy Symbol - Damage Boost)</t>
        </is>
      </c>
      <c r="B1995">
        <f>Skills!O12</f>
        <v/>
      </c>
    </row>
    <row r="1996">
      <c r="A1996" t="inlineStr">
        <is>
          <t>Crit Damage % Bonus (Blood of the Divine)</t>
        </is>
      </c>
      <c r="B1996">
        <f>4*IF(C1982=TRUE,F1982,0)</f>
        <v/>
      </c>
    </row>
    <row r="1997">
      <c r="A1997" t="inlineStr">
        <is>
          <t>Attack Speed Bonus %</t>
        </is>
      </c>
      <c r="B1997">
        <f>IF(C1979=TRUE,F1979+(F1983-Calc!F21),0)+IF(Inputs!$B$3&gt;=134,15,0)+((C1990=TRUE)*F1990*IF(AND(Inputs!$B$39&lt;&gt;"pvp",Inputs!$B$44&gt;0),(((R1990-1)*(Skills!S28*(1+((Inputs!$B$35+(ArtifactsInput!$M$7-ArtifactsInput!$M$7)*CHOOSE(ArtifactsInput!$N$7+1,6,7.2,8.4,9.6,10.8,12))+IF(Inputs!$B$3&gt;=117,F1988,0))/100))+MIN((Skills!S28*(1+((Inputs!$B$35+(ArtifactsInput!$M$7-ArtifactsInput!$M$7)*CHOOSE(ArtifactsInput!$N$7+1,6,7.2,8.4,9.6,10.8,12))+IF(Inputs!$B$3&gt;=117,F1988,0))/100)),MAX(0,Inputs!$B$44-((R1990-1)*Skills!D28))))/Inputs!$B$44),IF(Inputs!$B$39="pvp",MIN((Skills!S28*(1+((Inputs!$B$35+(ArtifactsInput!$M$7-ArtifactsInput!$M$7)*CHOOSE(ArtifactsInput!$N$7+1,6,7.2,8.4,9.6,10.8,12))+IF(Inputs!$B$3&gt;=117,F1988,0))/100)),15)/15,(Skills!S28*(1+((Inputs!$B$35+(ArtifactsInput!$M$7-ArtifactsInput!$M$7)*CHOOSE(ArtifactsInput!$N$7+1,6,7.2,8.4,9.6,10.8,12))+IF(Inputs!$B$3&gt;=117,F1988,0))/100))/Skills!D28)))</f>
        <v/>
      </c>
    </row>
    <row r="1998">
      <c r="A1998" t="inlineStr">
        <is>
          <t>Actions Per Second</t>
        </is>
      </c>
      <c r="B1998">
        <f>1+MIN(150,150*(1-(1-Inputs!$B$12/150)*(1-B1997/150)))/100</f>
        <v/>
      </c>
    </row>
    <row r="1999">
      <c r="A1999" t="inlineStr">
        <is>
          <t>Skill + Buff Cast Rate</t>
        </is>
      </c>
      <c r="B1999">
        <f>IF(AND(Inputs!$B$39&lt;&gt;"pvp",Inputs!$B$44&gt;0),SUMPRODUCT((Skills!E2:E28=TRUE)*(C1964:C1990=TRUE)*R1964:R1990)/Inputs!$B$44,SUMPRODUCT((Skills!E2:E28=TRUE)*(C1964:C1990=TRUE)*Q1964:Q1990))</f>
        <v/>
      </c>
    </row>
    <row r="2000">
      <c r="A2000" t="inlineStr">
        <is>
          <t>Big Bang Casts Per Second</t>
        </is>
      </c>
      <c r="B2000">
        <f>MAX(0,B1998-B1999)</f>
        <v/>
      </c>
    </row>
    <row r="2001">
      <c r="A2001" t="inlineStr">
        <is>
          <t>Defense % Bonus (Divine Protection)</t>
        </is>
      </c>
      <c r="B2001">
        <f>IF(C1975=TRUE,F1975*IF(AND(Inputs!$B$39&lt;&gt;"pvp",Inputs!$B$44&gt;0),(((R1975-1)*(Skills!S13*(1+((Inputs!$B$35+(ArtifactsInput!$M$7-ArtifactsInput!$M$7)*CHOOSE(ArtifactsInput!$N$7+1,6,7.2,8.4,9.6,10.8,12))+IF(Inputs!$B$3&gt;=117,F1988,0))/100))+MIN((Skills!S13*(1+((Inputs!$B$35+(ArtifactsInput!$M$7-ArtifactsInput!$M$7)*CHOOSE(ArtifactsInput!$N$7+1,6,7.2,8.4,9.6,10.8,12))+IF(Inputs!$B$3&gt;=117,F1988,0))/100)),MAX(0,Inputs!$B$44-((R1975-1)*Skills!D13))))/Inputs!$B$44),IF(Inputs!$B$39="pvp",MIN((Skills!S13*(1+((Inputs!$B$35+(ArtifactsInput!$M$7-ArtifactsInput!$M$7)*CHOOSE(ArtifactsInput!$N$7+1,6,7.2,8.4,9.6,10.8,12))+IF(Inputs!$B$3&gt;=117,F1988,0))/100)),15)/15,(Skills!S13*(1+((Inputs!$B$35+(ArtifactsInput!$M$7-ArtifactsInput!$M$7)*CHOOSE(ArtifactsInput!$N$7+1,6,7.2,8.4,9.6,10.8,12))+IF(Inputs!$B$3&gt;=117,F1988,0))/100))/Skills!D13)),0)</f>
        <v/>
      </c>
    </row>
    <row r="2002">
      <c r="A2002" t="inlineStr">
        <is>
          <t>Buff-Casting Startup Delay (s, fixed-duration only)</t>
        </is>
      </c>
      <c r="B2002">
        <f>IF(AND(Inputs!$B$39&lt;&gt;"pvp",Inputs!$B$44&gt;0),SUMPRODUCT((Skills!S2:S28&gt;0)*(Skills!E2:E28=TRUE)*(C1964:C1990=TRUE))/B1998,0)</f>
        <v/>
      </c>
    </row>
    <row r="2003">
      <c r="A2003" t="inlineStr">
        <is>
          <t>Boss-Only Total DPS (this block's swept value)</t>
        </is>
      </c>
      <c r="B2003">
        <f>SUM(S1964:S1990)</f>
        <v/>
      </c>
    </row>
    <row r="2004">
      <c r="A2004" t="inlineStr">
        <is>
          <t>Normal-Only Total DPS (this block's swept value)</t>
        </is>
      </c>
      <c r="B2004">
        <f>SUM(U1964:U1990)</f>
        <v/>
      </c>
    </row>
    <row r="2005">
      <c r="A2005" s="6" t="inlineStr">
        <is>
          <t>TOTAL DPS</t>
        </is>
      </c>
      <c r="B2005" s="6">
        <f>SUM(O1964:O1990)</f>
        <v/>
      </c>
    </row>
    <row r="2007">
      <c r="A2007" s="6" t="inlineStr">
        <is>
          <t>Stat: Star Rock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R2008" t="inlineStr">
        <is>
          <t>helpers</t>
        </is>
      </c>
    </row>
    <row r="2009">
      <c r="A2009">
        <f>Skills!A2</f>
        <v/>
      </c>
      <c r="B2009">
        <f>Skills!B2</f>
        <v/>
      </c>
      <c r="C2009">
        <f>Inputs!$B$3&gt;=100</f>
        <v/>
      </c>
      <c r="D2009" t="inlineStr"/>
      <c r="E2009" t="inlineStr"/>
      <c r="F2009">
        <f>T2011+Skills!N2</f>
        <v/>
      </c>
      <c r="G2009">
        <f>Calc!G2</f>
        <v/>
      </c>
      <c r="H2009">
        <f>Calc!H2</f>
        <v/>
      </c>
      <c r="I2009">
        <f>IF(Skills!T2&lt;&gt;"",1+(Skills!T2/10)*($Z$3/1000)/100,1)</f>
        <v/>
      </c>
      <c r="J2009">
        <f>((Inputs!$B$6*(1+Inputs!$B$7/100))+(((Inputs!$B$13*(1+Inputs!$B$14/100))-(Inputs!$B$13*(1+Inputs!$B$14/100)))+0.25*(Inputs!$B$15-Inputs!$B$15))*(1+Inputs!$B$7/100))*(F2009/100)</f>
        <v/>
      </c>
      <c r="K2009">
        <f>J2009*(1+(((Inputs!$B$13+IF(Inputs!$B$3&gt;=35,(10*INDEX(FactorTable!$B$2:$Y$301,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2="TRIUMPH_FEATHER",IF(C2023=TRUE,F2023,0),0)/100)*(1+IF(C2034=TRUE,F2034,0)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2009)</f>
        <v/>
      </c>
      <c r="L2009">
        <f>K2009*(MIN(Inputs!$B$23+(F2029-Calc!F22),(Inputs!$B$24+IF(ArtifactsInput!$M$15,CHOOSE(ArtifactsInput!$N$15+1,25,30,35,40,45,50)/100*(Inputs!$B$12-Inputs!$B$12),0)))/100+(Inputs!$B$24+IF(ArtifactsInput!$M$15,CHOOSE(ArtifactsInput!$N$15+1,25,30,35,40,45,50)/100*(Inputs!$B$12-Inputs!$B$12),0))/100)/2</f>
        <v/>
      </c>
      <c r="M2009">
        <f>L2009*(1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09">
        <f>L2009*(1-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2009*(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9">
        <f>(1-Summary!$B$11)*S2009+Summary!$B$11*U2009</f>
        <v/>
      </c>
      <c r="P2009">
        <f>IF(B2050=0,0,O2009/B2050)</f>
        <v/>
      </c>
      <c r="Q2009">
        <f>IFERROR(1/(IF(Inputs!$B$39="pvp",15,MAX(0.1,Skills!D2-IF(Skills!E2=TRUE,Inputs!$B$33,0)))*(1-IF(AND(ArtifactsInput!$M$27,Inputs!$B$4="Chapter Hunt"),CHOOSE(ArtifactsInput!$N$27+1,20,24,28,32,36,40),0)/100)),0)</f>
        <v/>
      </c>
      <c r="R2009" t="n">
        <v>0</v>
      </c>
      <c r="S2009">
        <f>IF(C2009,(Skills!F2*N2009*B2045)*IF(Inputs!$B$39="pvp",1,1+(Inputs!$B$21+Skills!O2+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2009*(1-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2009*(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2009*(1-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2009*(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09">
        <f>MAX(0,(Inputs!$B$3-100)*3)+Inputs!$B$29+Inputs!$B$30</f>
        <v/>
      </c>
      <c r="U2009">
        <f>IF(C2009,(Skills!F2*N2009*B2045)*IF(Inputs!$B$39="pvp",1,(1+(Inputs!$B$22+Skills!P2+B2039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0">
      <c r="A2010">
        <f>Skills!A3</f>
        <v/>
      </c>
      <c r="B2010">
        <f>Skills!B3</f>
        <v/>
      </c>
      <c r="C2010">
        <f>Inputs!$B$3&gt;=15</f>
        <v/>
      </c>
      <c r="D2010">
        <f>IF(Skills!C3=1,60+Inputs!$B$26+Inputs!$B$30,IF(Skills!C3=2,90+Inputs!$B$27+Inputs!$B$30,IF(Skills!C3=3,120+Inputs!$B$28+Inputs!$B$30,MAX(0,(Inputs!$B$3-100)*3)+Inputs!$B$29+Inputs!$B$30)))</f>
        <v/>
      </c>
      <c r="E2010">
        <f>INDEX(FactorTable!$B$2:$Y$301, MATCH(ROUND(MIN(300,MAX(1,D2010)),0), FactorTable!$A$2:$A$301,0), Skills!L3+1)</f>
        <v/>
      </c>
      <c r="F2010">
        <f>IF(Skills!M3=TRUE,(Skills!K3/10)*(E2010/1000),Skills!K3/10)+Skills!N3</f>
        <v/>
      </c>
      <c r="G2010">
        <f>Calc!G3</f>
        <v/>
      </c>
      <c r="H2010">
        <f>Calc!H3</f>
        <v/>
      </c>
      <c r="I2010">
        <f>IF(Skills!T3&lt;&gt;"",1+(Skills!T3/10)*($Z$3/1000)/100,1)</f>
        <v/>
      </c>
      <c r="J2010" t="inlineStr"/>
      <c r="K2010" t="inlineStr"/>
      <c r="L2010" t="inlineStr"/>
      <c r="M2010" t="inlineStr"/>
      <c r="N2010" t="inlineStr"/>
      <c r="O2010">
        <f>(1-Summary!$B$11)*S2010+Summary!$B$11*U2010</f>
        <v/>
      </c>
      <c r="P2010">
        <f>IF(B2050=0,0,O2010/B2050)</f>
        <v/>
      </c>
      <c r="Q2010">
        <f>IFERROR(1/(IF(Inputs!$B$39="pvp",15,MAX(0.1,Skills!D3-IF(Skills!E3=TRUE,Inputs!$B$33,0)))*(1-IF(AND(ArtifactsInput!$M$27,Inputs!$B$4="Chapter Hunt"),CHOOSE(ArtifactsInput!$N$27+1,20,24,28,32,36,40),0)/100)),0)</f>
        <v/>
      </c>
      <c r="R2010">
        <f>IF(AND(Inputs!$B$39&lt;&gt;"pvp",Inputs!$B$44&gt;0),IF(Inputs!$B$44&lt;=0,0,(INT(Inputs!$B$44/(IF(Inputs!$B$39="pvp",15,MAX(0.1,Skills!D3-IF(Skills!E3=TRUE,Inputs!$B$33,0)))*(1-IF(AND(ArtifactsInput!$M$27,Inputs!$B$4="Chapter Hunt"),CHOOSE(ArtifactsInput!$N$27+1,20,24,28,32,36,40),0)/100)))+1)),0)</f>
        <v/>
      </c>
      <c r="S2010" t="n">
        <v>0</v>
      </c>
      <c r="T2010">
        <f>INDEX(FactorTable!$B$2:$Y$301, MATCH(ROUND(MIN(300,MAX(1,T2009)),0), FactorTable!$A$2:$A$301,0), 22)</f>
        <v/>
      </c>
      <c r="U2010" t="n">
        <v>0</v>
      </c>
    </row>
    <row r="2011">
      <c r="A2011">
        <f>Skills!A4</f>
        <v/>
      </c>
      <c r="B2011">
        <f>Skills!B4</f>
        <v/>
      </c>
      <c r="C2011">
        <f>Inputs!$B$3&gt;=38</f>
        <v/>
      </c>
      <c r="D2011">
        <f>IF(Skills!C4=1,60+Inputs!$B$26+Inputs!$B$30,IF(Skills!C4=2,90+Inputs!$B$27+Inputs!$B$30,IF(Skills!C4=3,120+Inputs!$B$28+Inputs!$B$30,MAX(0,(Inputs!$B$3-100)*3)+Inputs!$B$29+Inputs!$B$30)))</f>
        <v/>
      </c>
      <c r="E2011">
        <f>INDEX(FactorTable!$B$2:$Y$301, MATCH(ROUND(MIN(300,MAX(1,D2011)),0), FactorTable!$A$2:$A$301,0), Skills!L4+1)</f>
        <v/>
      </c>
      <c r="F2011">
        <f>IF(Skills!M4=TRUE,(Skills!K4/10)*(E2011/1000),Skills!K4/10)+Skills!N4</f>
        <v/>
      </c>
      <c r="G2011">
        <f>Calc!G4</f>
        <v/>
      </c>
      <c r="H2011">
        <f>Calc!H4</f>
        <v/>
      </c>
      <c r="I2011">
        <f>IF(Skills!T4&lt;&gt;"",1+(Skills!T4/10)*($Z$3/1000)/100,1)</f>
        <v/>
      </c>
      <c r="J2011" t="inlineStr"/>
      <c r="K2011" t="inlineStr"/>
      <c r="L2011" t="inlineStr"/>
      <c r="M2011" t="inlineStr"/>
      <c r="N2011" t="inlineStr"/>
      <c r="O2011">
        <f>(1-Summary!$B$11)*S2011+Summary!$B$11*U2011</f>
        <v/>
      </c>
      <c r="P2011">
        <f>IF(B2050=0,0,O2011/B2050)</f>
        <v/>
      </c>
      <c r="Q2011">
        <f>IFERROR(1/(IF(Inputs!$B$39="pvp",15,MAX(0.1,Skills!D4-IF(Skills!E4=TRUE,Inputs!$B$33,0)))*(1-IF(AND(ArtifactsInput!$M$27,Inputs!$B$4="Chapter Hunt"),CHOOSE(ArtifactsInput!$N$27+1,20,24,28,32,36,40),0)/100)),0)</f>
        <v/>
      </c>
      <c r="R2011">
        <f>IF(AND(Inputs!$B$39&lt;&gt;"pvp",Inputs!$B$44&gt;0),IF(Inputs!$B$44&lt;=0,0,(INT(Inputs!$B$44/(IF(Inputs!$B$39="pvp",15,MAX(0.1,Skills!D4-IF(Skills!E4=TRUE,Inputs!$B$33,0)))*(1-IF(AND(ArtifactsInput!$M$27,Inputs!$B$4="Chapter Hunt"),CHOOSE(ArtifactsInput!$N$27+1,20,24,28,32,36,40),0)/100)))+1)),0)</f>
        <v/>
      </c>
      <c r="S2011" t="n">
        <v>0</v>
      </c>
      <c r="T2011">
        <f>290*T2010/1000</f>
        <v/>
      </c>
      <c r="U2011" t="n">
        <v>0</v>
      </c>
    </row>
    <row r="2012">
      <c r="A2012">
        <f>Skills!A5</f>
        <v/>
      </c>
      <c r="B2012">
        <f>Skills!B5</f>
        <v/>
      </c>
      <c r="C2012">
        <f>Inputs!$B$3&gt;=40</f>
        <v/>
      </c>
      <c r="D2012">
        <f>IF(Skills!C5=1,60+Inputs!$B$26+Inputs!$B$30,IF(Skills!C5=2,90+Inputs!$B$27+Inputs!$B$30,IF(Skills!C5=3,120+Inputs!$B$28+Inputs!$B$30,MAX(0,(Inputs!$B$3-100)*3)+Inputs!$B$29+Inputs!$B$30)))</f>
        <v/>
      </c>
      <c r="E2012">
        <f>INDEX(FactorTable!$B$2:$Y$301, MATCH(ROUND(MIN(300,MAX(1,D2012)),0), FactorTable!$A$2:$A$301,0), Skills!L5+1)</f>
        <v/>
      </c>
      <c r="F2012">
        <f>IF(Skills!M5=TRUE,(Skills!K5/10)*(E2012/1000),Skills!K5/10)+Skills!N5</f>
        <v/>
      </c>
      <c r="G2012">
        <f>Calc!G5</f>
        <v/>
      </c>
      <c r="H2012">
        <f>Calc!H5</f>
        <v/>
      </c>
      <c r="I2012">
        <f>IF(Skills!T5&lt;&gt;"",1+(Skills!T5/10)*($Z$3/1000)/100,1)</f>
        <v/>
      </c>
      <c r="J2012" t="inlineStr"/>
      <c r="K2012" t="inlineStr"/>
      <c r="L2012" t="inlineStr"/>
      <c r="M2012" t="inlineStr"/>
      <c r="N2012" t="inlineStr"/>
      <c r="O2012">
        <f>(1-Summary!$B$11)*S2012+Summary!$B$11*U2012</f>
        <v/>
      </c>
      <c r="P2012">
        <f>IF(B2050=0,0,O2012/B2050)</f>
        <v/>
      </c>
      <c r="Q2012">
        <f>IFERROR(1/(IF(Inputs!$B$39="pvp",15,MAX(0.1,Skills!D5-IF(Skills!E5=TRUE,Inputs!$B$33,0)))*(1-IF(AND(ArtifactsInput!$M$27,Inputs!$B$4="Chapter Hunt"),CHOOSE(ArtifactsInput!$N$27+1,20,24,28,32,36,40),0)/100)),0)</f>
        <v/>
      </c>
      <c r="R2012">
        <f>IF(AND(Inputs!$B$39&lt;&gt;"pvp",Inputs!$B$44&gt;0),IF(Inputs!$B$44&lt;=0,0,(INT(Inputs!$B$44/(IF(Inputs!$B$39="pvp",15,MAX(0.1,Skills!D5-IF(Skills!E5=TRUE,Inputs!$B$33,0)))*(1-IF(AND(ArtifactsInput!$M$27,Inputs!$B$4="Chapter Hunt"),CHOOSE(ArtifactsInput!$N$27+1,20,24,28,32,36,40),0)/100)))+1)),0)</f>
        <v/>
      </c>
      <c r="S2012" t="n">
        <v>0</v>
      </c>
      <c r="U2012" t="n">
        <v>0</v>
      </c>
    </row>
    <row r="2013">
      <c r="A2013">
        <f>Skills!A6</f>
        <v/>
      </c>
      <c r="B2013">
        <f>Skills!B6</f>
        <v/>
      </c>
      <c r="C2013">
        <f>Inputs!$B$3&gt;=103</f>
        <v/>
      </c>
      <c r="D2013">
        <f>IF(Skills!C6=1,60+Inputs!$B$26+Inputs!$B$30,IF(Skills!C6=2,90+Inputs!$B$27+Inputs!$B$30,IF(Skills!C6=3,120+Inputs!$B$28+Inputs!$B$30,MAX(0,(Inputs!$B$3-100)*3)+Inputs!$B$29+Inputs!$B$30)))</f>
        <v/>
      </c>
      <c r="E2013">
        <f>INDEX(FactorTable!$B$2:$Y$301, MATCH(ROUND(MIN(300,MAX(1,D2013)),0), FactorTable!$A$2:$A$301,0), Skills!L6+1)</f>
        <v/>
      </c>
      <c r="F2013">
        <f>IF(Skills!M6=TRUE,(Skills!K6/10)*(E2013/1000),Skills!K6/10)+Skills!N6</f>
        <v/>
      </c>
      <c r="G2013">
        <f>Calc!G6</f>
        <v/>
      </c>
      <c r="H2013">
        <f>Calc!H6</f>
        <v/>
      </c>
      <c r="I2013">
        <f>IF(Skills!T6&lt;&gt;"",1+(Skills!T6/10)*($Z$3/1000)/100,1)</f>
        <v/>
      </c>
      <c r="J2013">
        <f>((Inputs!$B$6*(1+Inputs!$B$7/100))+(((Inputs!$B$13*(1+Inputs!$B$14/100))-(Inputs!$B$13*(1+Inputs!$B$14/100)))+0.25*(Inputs!$B$15-Inputs!$B$15))*(1+Inputs!$B$7/100))*(F2013/100)</f>
        <v/>
      </c>
      <c r="K2013">
        <f>J2013*(1+(((Inputs!$B$13+IF(Inputs!$B$3&gt;=35,(10*INDEX(FactorTable!$B$2:$Y$301,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6="TRIUMPH_FEATHER",IF(C2023=TRUE,F2023,0),0)/100)*(1+IF(C2034=TRUE,F2034,0)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2013)</f>
        <v/>
      </c>
      <c r="L2013">
        <f>K2013*(MIN(Inputs!$B$23+(F2029-Calc!F22),(Inputs!$B$24+IF(ArtifactsInput!$M$15,CHOOSE(ArtifactsInput!$N$15+1,25,30,35,40,45,50)/100*(Inputs!$B$12-Inputs!$B$12),0)))/100+(Inputs!$B$24+IF(ArtifactsInput!$M$15,CHOOSE(ArtifactsInput!$N$15+1,25,30,35,40,45,50)/100*(Inputs!$B$12-Inputs!$B$12),0))/100)/2</f>
        <v/>
      </c>
      <c r="M2013">
        <f>L2013*(1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3">
        <f>L2013*(1-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2013*(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3">
        <f>(1-Summary!$B$11)*S2013+Summary!$B$11*U2013</f>
        <v/>
      </c>
      <c r="P2013">
        <f>IF(B2050=0,0,O2013/B2050)</f>
        <v/>
      </c>
      <c r="Q2013">
        <f>IFERROR(1/(IF(Inputs!$B$39="pvp",15,MAX(0.1,Skills!D6-IF(Skills!E6=TRUE,Inputs!$B$33,0)))*(1-IF(AND(ArtifactsInput!$M$27,Inputs!$B$4="Chapter Hunt"),CHOOSE(ArtifactsInput!$N$27+1,20,24,28,32,36,40),0)/100)),0)</f>
        <v/>
      </c>
      <c r="R2013">
        <f>IF(AND(Inputs!$B$39&lt;&gt;"pvp",Inputs!$B$44&gt;0),IF(MAX(0,Inputs!$B$44-B2047)&lt;=0,0,(INT(MAX(0,Inputs!$B$44-B2047)/(IF(Inputs!$B$39="pvp",15,MAX(0.1,Skills!D6-IF(Skills!E6=TRUE,Inputs!$B$33,0)))*(1-IF(AND(ArtifactsInput!$M$27,Inputs!$B$4="Chapter Hunt"),CHOOSE(ArtifactsInput!$N$27+1,20,24,28,32,36,40),0)/100)))+1)),0)</f>
        <v/>
      </c>
      <c r="S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$21+Skills!O6+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2013*(1-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2013*(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2013*(1-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2013*(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$22+Skills!P6+B2039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4">
      <c r="A2014">
        <f>Skills!A7</f>
        <v/>
      </c>
      <c r="B2014">
        <f>Skills!B7</f>
        <v/>
      </c>
      <c r="C2014">
        <f>Inputs!$B$3&gt;=122</f>
        <v/>
      </c>
      <c r="D2014">
        <f>IF(Skills!C7=1,60+Inputs!$B$26+Inputs!$B$30,IF(Skills!C7=2,90+Inputs!$B$27+Inputs!$B$30,IF(Skills!C7=3,120+Inputs!$B$28+Inputs!$B$30,MAX(0,(Inputs!$B$3-100)*3)+Inputs!$B$29+Inputs!$B$30)))</f>
        <v/>
      </c>
      <c r="E2014">
        <f>INDEX(FactorTable!$B$2:$Y$301, MATCH(ROUND(MIN(300,MAX(1,D2014)),0), FactorTable!$A$2:$A$301,0), Skills!L7+1)</f>
        <v/>
      </c>
      <c r="F2014">
        <f>IF(Skills!M7=TRUE,(Skills!K7/10)*(E2014/1000),Skills!K7/10)+Skills!N7</f>
        <v/>
      </c>
      <c r="G2014">
        <f>Calc!G7</f>
        <v/>
      </c>
      <c r="H2014">
        <f>Calc!H7</f>
        <v/>
      </c>
      <c r="I2014">
        <f>IF(Skills!T7&lt;&gt;"",1+(Skills!T7/10)*($Z$3/1000)/100,1)</f>
        <v/>
      </c>
      <c r="J2014">
        <f>((Inputs!$B$6*(1+Inputs!$B$7/100))+(((Inputs!$B$13*(1+Inputs!$B$14/100))-(Inputs!$B$13*(1+Inputs!$B$14/100)))+0.25*(Inputs!$B$15-Inputs!$B$15))*(1+Inputs!$B$7/100))*(F2014/100)</f>
        <v/>
      </c>
      <c r="K2014">
        <f>J2014*(1+(((Inputs!$B$13+IF(Inputs!$B$3&gt;=35,(10*INDEX(FactorTable!$B$2:$Y$301,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7="TRIUMPH_FEATHER",IF(C2023=TRUE,F2023,0),0)/100)*(1+IF(C2034=TRUE,F2034,0)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2014)</f>
        <v/>
      </c>
      <c r="L2014">
        <f>K2014*(MIN(Inputs!$B$23+(F2029-Calc!F22),(Inputs!$B$24+IF(ArtifactsInput!$M$15,CHOOSE(ArtifactsInput!$N$15+1,25,30,35,40,45,50)/100*(Inputs!$B$12-Inputs!$B$12),0)))/100+(Inputs!$B$24+IF(ArtifactsInput!$M$15,CHOOSE(ArtifactsInput!$N$15+1,25,30,35,40,45,50)/100*(Inputs!$B$12-Inputs!$B$12),0))/100)/2</f>
        <v/>
      </c>
      <c r="M2014">
        <f>L2014*(1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4">
        <f>L2014*(1-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(1-Summary!$B$11)*S2014+Summary!$B$11*U2014</f>
        <v/>
      </c>
      <c r="P2014">
        <f>IF(B2050=0,0,O2014/B2050)</f>
        <v/>
      </c>
      <c r="Q2014">
        <f>IFERROR(1/(IF(Inputs!$B$39="pvp",15,MAX(0.1,Skills!D7-IF(Skills!E6=TRUE,Inputs!$B$33,0)))*(1-IF(AND(ArtifactsInput!$M$27,Inputs!$B$4="Chapter Hunt"),CHOOSE(ArtifactsInput!$N$27+1,20,24,28,32,36,40),0)/100)),0)</f>
        <v/>
      </c>
      <c r="R2014">
        <f>IF(AND(Inputs!$B$39&lt;&gt;"pvp",Inputs!$B$44&gt;0),IF(MAX(0,Inputs!$B$44-B2047)&lt;=0,0,(INT(MAX(0,Inputs!$B$44-B2047)/(IF(Inputs!$B$39="pvp",15,MAX(0.1,Skills!D7-IF(Skills!E6=TRUE,Inputs!$B$33,0)))*(1-IF(AND(ArtifactsInput!$M$27,Inputs!$B$4="Chapter Hunt"),CHOOSE(ArtifactsInput!$N$27+1,20,24,28,32,36,40),0)/100)))+1)),0)</f>
        <v/>
      </c>
      <c r="S2014">
        <f>IF(C2014,H2014*N2014*IF(AND(Inputs!$B$39&lt;&gt;"pvp",Inputs!$B$44&gt;0),((Skills!F7*((R2014-1)*IF(Skills!G7&gt;0,Skills!H7/Skills!G7,1)+IF(Skills!G7&gt;0,MIN(Skills!H7,MAX(0,MAX(0,Inputs!$B$44-B2047)-((R2014-1)*(IF(Inputs!$B$39="pvp",15,MAX(0.1,Skills!D7-IF(Skills!E6=TRUE,Inputs!$B$33,0)))*(1-IF(AND(ArtifactsInput!$M$27,Inputs!$B$4="Chapter Hunt"),CHOOSE(ArtifactsInput!$N$27+1,20,24,28,32,36,40),0)/100)))))/Skills!G7,1)))/Inputs!$B$44),G2014*Q2014)*IF(Inputs!$B$39="pvp",1,1+(Inputs!$B$21+Skills!O7+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2014*(1-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4" t="n">
        <v>0</v>
      </c>
    </row>
    <row r="2015">
      <c r="A2015">
        <f>Skills!A8</f>
        <v/>
      </c>
      <c r="B2015">
        <f>Skills!B8</f>
        <v/>
      </c>
      <c r="C2015">
        <f>Inputs!$B$3&gt;=105</f>
        <v/>
      </c>
      <c r="D2015">
        <f>IF(Skills!C8=1,60+Inputs!$B$26+Inputs!$B$30,IF(Skills!C8=2,90+Inputs!$B$27+Inputs!$B$30,IF(Skills!C8=3,120+Inputs!$B$28+Inputs!$B$30,MAX(0,(Inputs!$B$3-100)*3)+Inputs!$B$29+Inputs!$B$30)))</f>
        <v/>
      </c>
      <c r="E2015">
        <f>INDEX(FactorTable!$B$2:$Y$301, MATCH(ROUND(MIN(300,MAX(1,D2015)),0), FactorTable!$A$2:$A$301,0), Skills!L8+1)</f>
        <v/>
      </c>
      <c r="F2015">
        <f>IF(Skills!M8=TRUE,(Skills!K8/10)*(E2015/1000),Skills!K8/10)+Skills!N8</f>
        <v/>
      </c>
      <c r="G2015">
        <f>Calc!G8</f>
        <v/>
      </c>
      <c r="H2015">
        <f>Calc!H8</f>
        <v/>
      </c>
      <c r="I2015">
        <f>IF(Skills!T8&lt;&gt;"",1+(Skills!T8/10)*($Z$3/1000)/100,1)</f>
        <v/>
      </c>
      <c r="J2015">
        <f>((Inputs!$B$6*(1+Inputs!$B$7/100))+(((Inputs!$B$13*(1+Inputs!$B$14/100))-(Inputs!$B$13*(1+Inputs!$B$14/100)))+0.25*(Inputs!$B$15-Inputs!$B$15))*(1+Inputs!$B$7/100))*(F2015/100)</f>
        <v/>
      </c>
      <c r="K2015">
        <f>J2015*(1+(((Inputs!$B$13+IF(Inputs!$B$3&gt;=35,(10*INDEX(FactorTable!$B$2:$Y$301,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8="TRIUMPH_FEATHER",IF(C2023=TRUE,F2023,0),0)/100)*(1+IF(C2034=TRUE,F2034,0)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2015)</f>
        <v/>
      </c>
      <c r="L2015">
        <f>K2015*(MIN(Inputs!$B$23+(F2029-Calc!F22),(Inputs!$B$24+IF(ArtifactsInput!$M$15,CHOOSE(ArtifactsInput!$N$15+1,25,30,35,40,45,50)/100*(Inputs!$B$12-Inputs!$B$12),0)))/100+(Inputs!$B$24+IF(ArtifactsInput!$M$15,CHOOSE(ArtifactsInput!$N$15+1,25,30,35,40,45,50)/100*(Inputs!$B$12-Inputs!$B$12),0))/100)/2</f>
        <v/>
      </c>
      <c r="M2015">
        <f>L2015*(1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5">
        <f>L2015*(1-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(1-Summary!$B$11)*S2015+Summary!$B$11*U2015</f>
        <v/>
      </c>
      <c r="P2015">
        <f>IF(B2050=0,0,O2015/B2050)</f>
        <v/>
      </c>
      <c r="Q2015">
        <f>IFERROR(1/(IF(Inputs!$B$39="pvp",15,MAX(0.1,Skills!D8-IF(Skills!E8=TRUE,Inputs!$B$33,0)))*(1-IF(AND(ArtifactsInput!$M$27,Inputs!$B$4="Chapter Hunt"),CHOOSE(ArtifactsInput!$N$27+1,20,24,28,32,36,40),0)/100)),0)</f>
        <v/>
      </c>
      <c r="R2015">
        <f>IF(AND(Inputs!$B$39&lt;&gt;"pvp",Inputs!$B$44&gt;0),IF(MAX(0,Inputs!$B$44-B2047)&lt;=0,0,(INT(MAX(0,Inputs!$B$44-B2047)/(IF(Inputs!$B$39="pvp",15,MAX(0.1,Skills!D8-IF(Skills!E8=TRUE,Inputs!$B$33,0)))*(1-IF(AND(ArtifactsInput!$M$27,Inputs!$B$4="Chapter Hunt"),CHOOSE(ArtifactsInput!$N$27+1,20,24,28,32,36,40),0)/100)))+1)),0)</f>
        <v/>
      </c>
      <c r="S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$21+Skills!O8+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2015*(1-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$22+Skills!P8+B2039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Skills!A9</f>
        <v/>
      </c>
      <c r="B2016">
        <f>Skills!B9</f>
        <v/>
      </c>
      <c r="C2016">
        <f>Inputs!$B$3&gt;=115</f>
        <v/>
      </c>
      <c r="D2016">
        <f>IF(Skills!C9=1,60+Inputs!$B$26+Inputs!$B$30,IF(Skills!C9=2,90+Inputs!$B$27+Inputs!$B$30,IF(Skills!C9=3,120+Inputs!$B$28+Inputs!$B$30,MAX(0,(Inputs!$B$3-100)*3)+Inputs!$B$29+Inputs!$B$30)))</f>
        <v/>
      </c>
      <c r="E2016">
        <f>INDEX(FactorTable!$B$2:$Y$301, MATCH(ROUND(MIN(300,MAX(1,D2016)),0), FactorTable!$A$2:$A$301,0), Skills!L9+1)</f>
        <v/>
      </c>
      <c r="F2016">
        <f>IF(Skills!M9=TRUE,(Skills!K9/10)*(E2016/1000),Skills!K9/10)+Skills!N9</f>
        <v/>
      </c>
      <c r="G2016">
        <f>Calc!G9</f>
        <v/>
      </c>
      <c r="H2016">
        <f>Calc!H9</f>
        <v/>
      </c>
      <c r="I2016">
        <f>IF(Skills!T9&lt;&gt;"",1+(Skills!T9/10)*($Z$3/1000)/100,1)</f>
        <v/>
      </c>
      <c r="J2016">
        <f>((Inputs!$B$6*(1+Inputs!$B$7/100))+(((Inputs!$B$13*(1+Inputs!$B$14/100))-(Inputs!$B$13*(1+Inputs!$B$14/100)))+0.25*(Inputs!$B$15-Inputs!$B$15))*(1+Inputs!$B$7/100))*(F2016/100)</f>
        <v/>
      </c>
      <c r="K2016">
        <f>J2016*(1+(((Inputs!$B$13+IF(Inputs!$B$3&gt;=35,(10*INDEX(FactorTable!$B$2:$Y$301,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9="TRIUMPH_FEATHER",IF(C2023=TRUE,F2023,0),0)/100)*(1+IF(C2034=TRUE,F2034,0)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2016)</f>
        <v/>
      </c>
      <c r="L2016">
        <f>K2016*(MIN(Inputs!$B$23+(F2029-Calc!F22),(Inputs!$B$24+IF(ArtifactsInput!$M$15,CHOOSE(ArtifactsInput!$N$15+1,25,30,35,40,45,50)/100*(Inputs!$B$12-Inputs!$B$12),0)))/100+(Inputs!$B$24+IF(ArtifactsInput!$M$15,CHOOSE(ArtifactsInput!$N$15+1,25,30,35,40,45,50)/100*(Inputs!$B$12-Inputs!$B$12),0))/100)/2</f>
        <v/>
      </c>
      <c r="M2016">
        <f>L2016*(1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6">
        <f>L2016*(1-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2016*(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6">
        <f>(1-Summary!$B$11)*S2016+Summary!$B$11*U2016</f>
        <v/>
      </c>
      <c r="P2016">
        <f>IF(B2050=0,0,O2016/B2050)</f>
        <v/>
      </c>
      <c r="Q2016">
        <f>IFERROR(1/(IF(Inputs!$B$39="pvp",15,MAX(0.1,Skills!D9-IF(Skills!E9=TRUE,Inputs!$B$33,0)))*(1-IF(AND(ArtifactsInput!$M$27,Inputs!$B$4="Chapter Hunt"),CHOOSE(ArtifactsInput!$N$27+1,20,24,28,32,36,40),0)/100)),0)</f>
        <v/>
      </c>
      <c r="R2016">
        <f>IF(AND(Inputs!$B$39&lt;&gt;"pvp",Inputs!$B$44&gt;0),IF(MAX(0,Inputs!$B$44-B2047)&lt;=0,0,(INT(MAX(0,Inputs!$B$44-B2047)/(IF(Inputs!$B$39="pvp",15,MAX(0.1,Skills!D9-IF(Skills!E9=TRUE,Inputs!$B$33,0)))*(1-IF(AND(ArtifactsInput!$M$27,Inputs!$B$4="Chapter Hunt"),CHOOSE(ArtifactsInput!$N$27+1,20,24,28,32,36,40),0)/100)))+1)),0)</f>
        <v/>
      </c>
      <c r="S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$21+Skills!O9+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2016*(1-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2016*(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2016*(1-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2016*(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$22+Skills!P9+B2039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7">
      <c r="A2017">
        <f>Skills!A10</f>
        <v/>
      </c>
      <c r="B2017">
        <f>Skills!B10</f>
        <v/>
      </c>
      <c r="C2017">
        <f>Inputs!$B$3&gt;=66</f>
        <v/>
      </c>
      <c r="D2017">
        <f>IF(Skills!C10=1,60+Inputs!$B$26+Inputs!$B$30,IF(Skills!C10=2,90+Inputs!$B$27+Inputs!$B$30,IF(Skills!C10=3,120+Inputs!$B$28+Inputs!$B$30,MAX(0,(Inputs!$B$3-100)*3)+Inputs!$B$29+Inputs!$B$30)))</f>
        <v/>
      </c>
      <c r="E2017">
        <f>INDEX(FactorTable!$B$2:$Y$301, MATCH(ROUND(MIN(300,MAX(1,D2017)),0), FactorTable!$A$2:$A$301,0), Skills!L10+1)</f>
        <v/>
      </c>
      <c r="F2017" t="n">
        <v>0</v>
      </c>
      <c r="G2017">
        <f>Calc!G10</f>
        <v/>
      </c>
      <c r="H2017">
        <f>Calc!H10</f>
        <v/>
      </c>
      <c r="I2017">
        <f>IF(Skills!T10&lt;&gt;"",1+(Skills!T10/10)*($Z$3/1000)/100,1)</f>
        <v/>
      </c>
      <c r="J2017" t="inlineStr"/>
      <c r="K2017" t="inlineStr"/>
      <c r="L2017" t="inlineStr"/>
      <c r="M2017" t="inlineStr"/>
      <c r="N2017" t="inlineStr"/>
      <c r="O2017">
        <f>(1-Summary!$B$11)*S2017+Summary!$B$11*U2017</f>
        <v/>
      </c>
      <c r="P2017">
        <f>IF(B2050=0,0,O2017/B2050)</f>
        <v/>
      </c>
      <c r="Q2017">
        <f>IFERROR(1/(IF(Inputs!$B$39="pvp",15,MAX(0.1,Skills!D10-IF(Skills!E10=TRUE,Inputs!$B$33,0)))*(1-IF(AND(ArtifactsInput!$M$27,Inputs!$B$4="Chapter Hunt"),CHOOSE(ArtifactsInput!$N$27+1,20,24,28,32,36,40),0)/100)),0)</f>
        <v/>
      </c>
      <c r="R2017">
        <f>IF(AND(Inputs!$B$39&lt;&gt;"pvp",Inputs!$B$44&gt;0),IF(MAX(0,Inputs!$B$44-B2047)&lt;=0,0,(INT(MAX(0,Inputs!$B$44-B2047)/(IF(Inputs!$B$39="pvp",15,MAX(0.1,Skills!D10-IF(Skills!E10=TRUE,Inputs!$B$33,0)))*(1-IF(AND(ArtifactsInput!$M$27,Inputs!$B$4="Chapter Hunt"),CHOOSE(ArtifactsInput!$N$27+1,20,24,28,32,36,40),0)/100)))+1)),0)</f>
        <v/>
      </c>
      <c r="S2017" t="n">
        <v>0</v>
      </c>
      <c r="U2017" t="n">
        <v>0</v>
      </c>
    </row>
    <row r="2018">
      <c r="A2018">
        <f>Skills!A11</f>
        <v/>
      </c>
      <c r="B2018">
        <f>Skills!B11</f>
        <v/>
      </c>
      <c r="C2018">
        <f>Inputs!$B$3&gt;=69</f>
        <v/>
      </c>
      <c r="D2018">
        <f>IF(Skills!C11=1,60+Inputs!$B$26+Inputs!$B$30,IF(Skills!C11=2,90+Inputs!$B$27+Inputs!$B$30,IF(Skills!C11=3,120+Inputs!$B$28+Inputs!$B$30,MAX(0,(Inputs!$B$3-100)*3)+Inputs!$B$29+Inputs!$B$30)))</f>
        <v/>
      </c>
      <c r="E2018">
        <f>INDEX(FactorTable!$B$2:$Y$301, MATCH(ROUND(MIN(300,MAX(1,D2018)),0), FactorTable!$A$2:$A$301,0), Skills!L11+1)</f>
        <v/>
      </c>
      <c r="F2018">
        <f>IF(Skills!M11=TRUE,(Skills!K11/10)*(E2018/1000),Skills!K11/10)+Skills!N11</f>
        <v/>
      </c>
      <c r="G2018">
        <f>Calc!G11</f>
        <v/>
      </c>
      <c r="H2018">
        <f>Calc!H11</f>
        <v/>
      </c>
      <c r="I2018">
        <f>IF(Skills!T11&lt;&gt;"",1+(Skills!T11/10)*($Z$3/1000)/100,1)</f>
        <v/>
      </c>
      <c r="J2018" t="inlineStr"/>
      <c r="K2018" t="inlineStr"/>
      <c r="L2018" t="inlineStr"/>
      <c r="M2018" t="inlineStr"/>
      <c r="N2018" t="inlineStr"/>
      <c r="O2018">
        <f>(1-Summary!$B$11)*S2018+Summary!$B$11*U2018</f>
        <v/>
      </c>
      <c r="P2018">
        <f>IF(B2050=0,0,O2018/B2050)</f>
        <v/>
      </c>
      <c r="Q2018">
        <f>IFERROR(1/(IF(Inputs!$B$39="pvp",15,MAX(0.1,Skills!D11-IF(Skills!E11=TRUE,Inputs!$B$33,0)))*(1-IF(AND(ArtifactsInput!$M$27,Inputs!$B$4="Chapter Hunt"),CHOOSE(ArtifactsInput!$N$27+1,20,24,28,32,36,40),0)/100)),0)</f>
        <v/>
      </c>
      <c r="R2018">
        <f>IF(AND(Inputs!$B$39&lt;&gt;"pvp",Inputs!$B$44&gt;0),IF(Inputs!$B$44&lt;=0,0,(INT(Inputs!$B$44/(IF(Inputs!$B$39="pvp",15,MAX(0.1,Skills!D11-IF(Skills!E11=TRUE,Inputs!$B$33,0)))*(1-IF(AND(ArtifactsInput!$M$27,Inputs!$B$4="Chapter Hunt"),CHOOSE(ArtifactsInput!$N$27+1,20,24,28,32,36,40),0)/100)))+1)),0)</f>
        <v/>
      </c>
      <c r="S2018" t="n">
        <v>0</v>
      </c>
      <c r="U2018" t="n">
        <v>0</v>
      </c>
    </row>
    <row r="2019">
      <c r="A2019">
        <f>Skills!A12</f>
        <v/>
      </c>
      <c r="B2019">
        <f>Skills!B12</f>
        <v/>
      </c>
      <c r="C2019">
        <f>Inputs!$B$3&gt;=72</f>
        <v/>
      </c>
      <c r="D2019">
        <f>IF(Skills!C12=1,60+Inputs!$B$26+Inputs!$B$30,IF(Skills!C12=2,90+Inputs!$B$27+Inputs!$B$30,IF(Skills!C12=3,120+Inputs!$B$28+Inputs!$B$30,MAX(0,(Inputs!$B$3-100)*3)+Inputs!$B$29+Inputs!$B$30)))</f>
        <v/>
      </c>
      <c r="E2019">
        <f>INDEX(FactorTable!$B$2:$Y$301, MATCH(ROUND(MIN(300,MAX(1,D2019)),0), FactorTable!$A$2:$A$301,0), Skills!L12+1)</f>
        <v/>
      </c>
      <c r="F2019">
        <f>IF(Skills!M12=TRUE,(Skills!K12/10)*(E2019/1000),Skills!K12/10)+Skills!N12</f>
        <v/>
      </c>
      <c r="G2019">
        <f>Calc!G12</f>
        <v/>
      </c>
      <c r="H2019">
        <f>Calc!H12</f>
        <v/>
      </c>
      <c r="I2019">
        <f>IF(Skills!T12&lt;&gt;"",1+(Skills!T12/10)*($Z$3/1000)/100,1)</f>
        <v/>
      </c>
      <c r="J2019" t="inlineStr"/>
      <c r="K2019" t="inlineStr"/>
      <c r="L2019" t="inlineStr"/>
      <c r="M2019" t="inlineStr"/>
      <c r="N2019" t="inlineStr"/>
      <c r="O2019">
        <f>(1-Summary!$B$11)*S2019+Summary!$B$11*U2019</f>
        <v/>
      </c>
      <c r="P2019">
        <f>IF(B2050=0,0,O2019/B2050)</f>
        <v/>
      </c>
      <c r="Q2019">
        <f>IFERROR(1/(IF(Inputs!$B$39="pvp",15,MAX(0.1,Skills!D12-IF(Skills!E12=TRUE,Inputs!$B$33,0)))*(1-IF(AND(ArtifactsInput!$M$27,Inputs!$B$4="Chapter Hunt"),CHOOSE(ArtifactsInput!$N$27+1,20,24,28,32,36,40),0)/100)),0)</f>
        <v/>
      </c>
      <c r="R2019">
        <f>IF(AND(Inputs!$B$39&lt;&gt;"pvp",Inputs!$B$44&gt;0),IF(MAX(0,Inputs!$B$44-B2047)&lt;=0,0,(INT(MAX(0,Inputs!$B$44-B2047)/(IF(Inputs!$B$39="pvp",15,MAX(0.1,Skills!D12-IF(Skills!E12=TRUE,Inputs!$B$33,0)))*(1-IF(AND(ArtifactsInput!$M$27,Inputs!$B$4="Chapter Hunt"),CHOOSE(ArtifactsInput!$N$27+1,20,24,28,32,36,40),0)/100)))+1)),0)</f>
        <v/>
      </c>
      <c r="S2019" t="n">
        <v>0</v>
      </c>
      <c r="U2019" t="n">
        <v>0</v>
      </c>
    </row>
    <row r="2020">
      <c r="A2020">
        <f>Skills!A13</f>
        <v/>
      </c>
      <c r="B2020">
        <f>Skills!B13</f>
        <v/>
      </c>
      <c r="C2020">
        <f>Inputs!$B$3&gt;=60</f>
        <v/>
      </c>
      <c r="D2020">
        <f>IF(Skills!C13=1,60+Inputs!$B$26+Inputs!$B$30,IF(Skills!C13=2,90+Inputs!$B$27+Inputs!$B$30,IF(Skills!C13=3,120+Inputs!$B$28+Inputs!$B$30,MAX(0,(Inputs!$B$3-100)*3)+Inputs!$B$29+Inputs!$B$30)))</f>
        <v/>
      </c>
      <c r="E2020">
        <f>INDEX(FactorTable!$B$2:$Y$301, MATCH(ROUND(MIN(300,MAX(1,D2020)),0), FactorTable!$A$2:$A$301,0), Skills!L13+1)</f>
        <v/>
      </c>
      <c r="F2020">
        <f>IF(Skills!M13=TRUE,(Skills!K13/10)*(E2020/1000),Skills!K13/10)+Skills!N13</f>
        <v/>
      </c>
      <c r="G2020">
        <f>Calc!G13</f>
        <v/>
      </c>
      <c r="H2020">
        <f>Calc!H13</f>
        <v/>
      </c>
      <c r="I2020">
        <f>IF(Skills!T13&lt;&gt;"",1+(Skills!T13/10)*($Z$3/1000)/100,1)</f>
        <v/>
      </c>
      <c r="J2020" t="inlineStr"/>
      <c r="K2020" t="inlineStr"/>
      <c r="L2020" t="inlineStr"/>
      <c r="M2020" t="inlineStr"/>
      <c r="N2020" t="inlineStr"/>
      <c r="O2020">
        <f>(1-Summary!$B$11)*S2020+Summary!$B$11*U2020</f>
        <v/>
      </c>
      <c r="P2020">
        <f>IF(B2050=0,0,O2020/B2050)</f>
        <v/>
      </c>
      <c r="Q2020">
        <f>IFERROR(1/(IF(Inputs!$B$39="pvp",15,MAX(0.1,Skills!D13-IF(Skills!E13=TRUE,Inputs!$B$33,0)))*(1-IF(AND(ArtifactsInput!$M$27,Inputs!$B$4="Chapter Hunt"),CHOOSE(ArtifactsInput!$N$27+1,20,24,28,32,36,40),0)/100)),0)</f>
        <v/>
      </c>
      <c r="R2020">
        <f>IF(AND(Inputs!$B$39&lt;&gt;"pvp",Inputs!$B$44&gt;0),IF(MAX(0,Inputs!$B$44-B2047)&lt;=0,0,(INT(MAX(0,Inputs!$B$44-B2047)/(IF(Inputs!$B$39="pvp",15,MAX(0.1,Skills!D13-IF(Skills!E13=TRUE,Inputs!$B$33,0)))*(1-IF(AND(ArtifactsInput!$M$27,Inputs!$B$4="Chapter Hunt"),CHOOSE(ArtifactsInput!$N$27+1,20,24,28,32,36,40),0)/100)))+1)),0)</f>
        <v/>
      </c>
      <c r="S2020" t="n">
        <v>0</v>
      </c>
      <c r="U2020" t="n">
        <v>0</v>
      </c>
    </row>
    <row r="2021">
      <c r="A2021">
        <f>Skills!A14</f>
        <v/>
      </c>
      <c r="B2021">
        <f>Skills!B14</f>
        <v/>
      </c>
      <c r="C2021">
        <f>Inputs!$B$3&gt;=107</f>
        <v/>
      </c>
      <c r="D2021">
        <f>IF(Skills!C14=1,60+Inputs!$B$26+Inputs!$B$30,IF(Skills!C14=2,90+Inputs!$B$27+Inputs!$B$30,IF(Skills!C14=3,120+Inputs!$B$28+Inputs!$B$30,MAX(0,(Inputs!$B$3-100)*3)+Inputs!$B$29+Inputs!$B$30)))</f>
        <v/>
      </c>
      <c r="E2021">
        <f>INDEX(FactorTable!$B$2:$Y$301, MATCH(ROUND(MIN(300,MAX(1,D2021)),0), FactorTable!$A$2:$A$301,0), Skills!L14+1)</f>
        <v/>
      </c>
      <c r="F2021">
        <f>IF(Skills!M14=TRUE,(Skills!K14/10)*(E2021/1000),Skills!K14/10)+Skills!N14</f>
        <v/>
      </c>
      <c r="G2021">
        <f>Calc!G14</f>
        <v/>
      </c>
      <c r="H2021">
        <f>Calc!H14</f>
        <v/>
      </c>
      <c r="I2021">
        <f>IF(Skills!T14&lt;&gt;"",1+(Skills!T14/10)*($Z$3/1000)/100,1)</f>
        <v/>
      </c>
      <c r="J2021" t="inlineStr"/>
      <c r="K2021" t="inlineStr"/>
      <c r="L2021" t="inlineStr"/>
      <c r="M2021" t="inlineStr"/>
      <c r="N2021" t="inlineStr"/>
      <c r="O2021">
        <f>(1-Summary!$B$11)*S2021+Summary!$B$11*U2021</f>
        <v/>
      </c>
      <c r="P2021">
        <f>IF(B2050=0,0,O2021/B2050)</f>
        <v/>
      </c>
      <c r="Q2021">
        <f>IFERROR(1/(IF(Inputs!$B$39="pvp",15,MAX(0.1,Skills!D14-IF(Skills!E14=TRUE,Inputs!$B$33,0)))*(1-IF(AND(ArtifactsInput!$M$27,Inputs!$B$4="Chapter Hunt"),CHOOSE(ArtifactsInput!$N$27+1,20,24,28,32,36,40),0)/100)),0)</f>
        <v/>
      </c>
      <c r="R2021">
        <f>IF(AND(Inputs!$B$39&lt;&gt;"pvp",Inputs!$B$44&gt;0),IF(Inputs!$B$44&lt;=0,0,(INT(Inputs!$B$44/(IF(Inputs!$B$39="pvp",15,MAX(0.1,Skills!D14-IF(Skills!E14=TRUE,Inputs!$B$33,0)))*(1-IF(AND(ArtifactsInput!$M$27,Inputs!$B$4="Chapter Hunt"),CHOOSE(ArtifactsInput!$N$27+1,20,24,28,32,36,40),0)/100)))+1)),0)</f>
        <v/>
      </c>
      <c r="S2021" t="n">
        <v>0</v>
      </c>
      <c r="U2021" t="n">
        <v>0</v>
      </c>
    </row>
    <row r="2022">
      <c r="A2022">
        <f>Skills!A15</f>
        <v/>
      </c>
      <c r="B2022">
        <f>Skills!B15</f>
        <v/>
      </c>
      <c r="C2022">
        <f>Inputs!$B$3&gt;=63</f>
        <v/>
      </c>
      <c r="D2022">
        <f>IF(Skills!C15=1,60+Inputs!$B$26+Inputs!$B$30,IF(Skills!C15=2,90+Inputs!$B$27+Inputs!$B$30,IF(Skills!C15=3,120+Inputs!$B$28+Inputs!$B$30,MAX(0,(Inputs!$B$3-100)*3)+Inputs!$B$29+Inputs!$B$30)))</f>
        <v/>
      </c>
      <c r="E2022">
        <f>INDEX(FactorTable!$B$2:$Y$301, MATCH(ROUND(MIN(300,MAX(1,D2022)),0), FactorTable!$A$2:$A$301,0), Skills!L15+1)</f>
        <v/>
      </c>
      <c r="F2022">
        <f>IF(Skills!M15=TRUE,(Skills!K15/10)*(E2022/1000),Skills!K15/10)+Skills!N15</f>
        <v/>
      </c>
      <c r="G2022">
        <f>Calc!G15</f>
        <v/>
      </c>
      <c r="H2022">
        <f>Calc!H15</f>
        <v/>
      </c>
      <c r="I2022">
        <f>IF(Skills!T15&lt;&gt;"",1+(Skills!T15/10)*($Z$3/1000)/100,1)</f>
        <v/>
      </c>
      <c r="J2022">
        <f>((Inputs!$B$6*(1+Inputs!$B$7/100))+(((Inputs!$B$13*(1+Inputs!$B$14/100))-(Inputs!$B$13*(1+Inputs!$B$14/100)))+0.25*(Inputs!$B$15-Inputs!$B$15))*(1+Inputs!$B$7/100))*(F2022/100)</f>
        <v/>
      </c>
      <c r="K2022">
        <f>J2022*(1+(((Inputs!$B$13+IF(Inputs!$B$3&gt;=35,(10*INDEX(FactorTable!$B$2:$Y$301,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15="TRIUMPH_FEATHER",IF(C2023=TRUE,F2023,0),0)/100)*(1+IF(C2034=TRUE,F2034,0)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2022)</f>
        <v/>
      </c>
      <c r="L2022">
        <f>K2022*(MIN(Inputs!$B$23+(F2029-Calc!F22),(Inputs!$B$24+IF(ArtifactsInput!$M$15,CHOOSE(ArtifactsInput!$N$15+1,25,30,35,40,45,50)/100*(Inputs!$B$12-Inputs!$B$12),0)))/100+(Inputs!$B$24+IF(ArtifactsInput!$M$15,CHOOSE(ArtifactsInput!$N$15+1,25,30,35,40,45,50)/100*(Inputs!$B$12-Inputs!$B$12),0))/100)/2</f>
        <v/>
      </c>
      <c r="M2022">
        <f>L2022*(1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22">
        <f>L2022*(1-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(1-Summary!$B$11)*S2022+Summary!$B$11*U2022</f>
        <v/>
      </c>
      <c r="P2022">
        <f>IF(B2050=0,0,O2022/B2050)</f>
        <v/>
      </c>
      <c r="Q2022">
        <f>IFERROR(1/(IF(Inputs!$B$39="pvp",15,MAX(0.1,Skills!D15-IF(Skills!E15=TRUE,Inputs!$B$33,0)))*(1-IF(AND(ArtifactsInput!$M$27,Inputs!$B$4="Chapter Hunt"),CHOOSE(ArtifactsInput!$N$27+1,20,24,28,32,36,40),0)/100)),0)</f>
        <v/>
      </c>
      <c r="R2022" t="n">
        <v>0</v>
      </c>
      <c r="S2022">
        <f>IF(C2022,(Skills!F15*N2022*((IF(Inputs!$B$3&gt;=78,25,15)/100*B2043*10)/(1+IF(Inputs!$B$3&gt;=78,25,15)/100*B2043*10))*(Skills!I15/100*B2043)/(1+Skills!G15*Skills!I15/100*B2043))*IF(Inputs!$B$39="pvp",1,1+(Inputs!$B$21+Skills!O15+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2022*(1-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IF(C2022,(Skills!F15*N2022*((IF(Inputs!$B$3&gt;=78,25,15)/100*B2043*10)/(1+IF(Inputs!$B$3&gt;=78,25,15)/100*B2043*10))*(Skills!I15/100*B2043)/(1+Skills!G15*Skills!I15/100*B2043))*IF(Inputs!$B$39="pvp",1,(1+(Inputs!$B$22+Skills!P15+B2039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Skills!A16</f>
        <v/>
      </c>
      <c r="B2023">
        <f>Skills!B16</f>
        <v/>
      </c>
      <c r="C2023">
        <f>Inputs!$B$3&gt;=100</f>
        <v/>
      </c>
      <c r="D2023">
        <f>IF(Skills!C16=1,60+Inputs!$B$26+Inputs!$B$30,IF(Skills!C16=2,90+Inputs!$B$27+Inputs!$B$30,IF(Skills!C16=3,120+Inputs!$B$28+Inputs!$B$30,MAX(0,(Inputs!$B$3-100)*3)+Inputs!$B$29+Inputs!$B$30)))</f>
        <v/>
      </c>
      <c r="E2023">
        <f>INDEX(FactorTable!$B$2:$Y$301, MATCH(ROUND(MIN(300,MAX(1,D2023)),0), FactorTable!$A$2:$A$301,0), Skills!L16+1)</f>
        <v/>
      </c>
      <c r="F2023">
        <f>IF(Skills!M16=TRUE,(Skills!K16/10)*(E2023/1000),Skills!K16/10)+Skills!N16</f>
        <v/>
      </c>
      <c r="G2023">
        <f>Calc!G16</f>
        <v/>
      </c>
      <c r="H2023">
        <f>Calc!H16</f>
        <v/>
      </c>
      <c r="I2023">
        <f>IF(Skills!T16&lt;&gt;"",1+(Skills!T16/10)*($Z$3/1000)/100,1)</f>
        <v/>
      </c>
      <c r="J2023" t="inlineStr"/>
      <c r="K2023" t="inlineStr"/>
      <c r="L2023" t="inlineStr"/>
      <c r="M2023" t="inlineStr"/>
      <c r="N2023" t="inlineStr"/>
      <c r="O2023">
        <f>(1-Summary!$B$11)*S2023+Summary!$B$11*U2023</f>
        <v/>
      </c>
      <c r="P2023">
        <f>IF(B2050=0,0,O2023/B2050)</f>
        <v/>
      </c>
      <c r="Q2023">
        <f>IFERROR(1/(IF(Inputs!$B$39="pvp",15,MAX(0.1,Skills!D16-IF(Skills!E16=TRUE,Inputs!$B$33,0)))*(1-IF(AND(ArtifactsInput!$M$27,Inputs!$B$4="Chapter Hunt"),CHOOSE(ArtifactsInput!$N$27+1,20,24,28,32,36,40),0)/100)),0)</f>
        <v/>
      </c>
      <c r="R2023" t="n">
        <v>0</v>
      </c>
      <c r="S2023" t="n">
        <v>0</v>
      </c>
      <c r="U2023" t="n">
        <v>0</v>
      </c>
    </row>
    <row r="2024">
      <c r="A2024">
        <f>Skills!A17</f>
        <v/>
      </c>
      <c r="B2024">
        <f>Skills!B17</f>
        <v/>
      </c>
      <c r="C2024">
        <f>Inputs!$B$3&gt;=49</f>
        <v/>
      </c>
      <c r="D2024">
        <f>IF(Skills!C17=1,60+Inputs!$B$26+Inputs!$B$30,IF(Skills!C17=2,90+Inputs!$B$27+Inputs!$B$30,IF(Skills!C17=3,120+Inputs!$B$28+Inputs!$B$30,MAX(0,(Inputs!$B$3-100)*3)+Inputs!$B$29+Inputs!$B$30)))</f>
        <v/>
      </c>
      <c r="E2024">
        <f>INDEX(FactorTable!$B$2:$Y$301, MATCH(ROUND(MIN(300,MAX(1,D2024)),0), FactorTable!$A$2:$A$301,0), Skills!L17+1)</f>
        <v/>
      </c>
      <c r="F2024">
        <f>IF(Skills!M17=TRUE,(Skills!K17/10)*(E2024/1000),Skills!K17/10)+Skills!N17</f>
        <v/>
      </c>
      <c r="G2024">
        <f>Calc!G17</f>
        <v/>
      </c>
      <c r="H2024">
        <f>Calc!H17</f>
        <v/>
      </c>
      <c r="I2024">
        <f>IF(Skills!T17&lt;&gt;"",1+(Skills!T17/10)*($Z$3/1000)/100,1)</f>
        <v/>
      </c>
      <c r="J2024" t="inlineStr"/>
      <c r="K2024" t="inlineStr"/>
      <c r="L2024" t="inlineStr"/>
      <c r="M2024" t="inlineStr"/>
      <c r="N2024" t="inlineStr"/>
      <c r="O2024">
        <f>(1-Summary!$B$11)*S2024+Summary!$B$11*U2024</f>
        <v/>
      </c>
      <c r="P2024">
        <f>IF(B2050=0,0,O2024/B2050)</f>
        <v/>
      </c>
      <c r="Q2024">
        <f>IFERROR(1/(IF(Inputs!$B$39="pvp",15,MAX(0.1,Skills!D17-IF(Skills!E17=TRUE,Inputs!$B$33,0)))*(1-IF(AND(ArtifactsInput!$M$27,Inputs!$B$4="Chapter Hunt"),CHOOSE(ArtifactsInput!$N$27+1,20,24,28,32,36,40),0)/100)),0)</f>
        <v/>
      </c>
      <c r="R2024" t="n">
        <v>0</v>
      </c>
      <c r="S2024" t="n">
        <v>0</v>
      </c>
      <c r="U2024" t="n">
        <v>0</v>
      </c>
    </row>
    <row r="2025">
      <c r="A2025">
        <f>Skills!A18</f>
        <v/>
      </c>
      <c r="B2025">
        <f>Skills!B18</f>
        <v/>
      </c>
      <c r="C2025">
        <f>Inputs!$B$3&gt;=75</f>
        <v/>
      </c>
      <c r="D2025">
        <f>IF(Skills!C18=1,60+Inputs!$B$26+Inputs!$B$30,IF(Skills!C18=2,90+Inputs!$B$27+Inputs!$B$30,IF(Skills!C18=3,120+Inputs!$B$28+Inputs!$B$30,MAX(0,(Inputs!$B$3-100)*3)+Inputs!$B$29+Inputs!$B$30)))</f>
        <v/>
      </c>
      <c r="E2025">
        <f>INDEX(FactorTable!$B$2:$Y$301, MATCH(ROUND(MIN(300,MAX(1,D2025)),0), FactorTable!$A$2:$A$301,0), Skills!L18+1)</f>
        <v/>
      </c>
      <c r="F2025">
        <f>IF(Skills!M18=TRUE,(Skills!K18/10)*(E2025/1000),Skills!K18/10)+Skills!N18</f>
        <v/>
      </c>
      <c r="G2025">
        <f>Calc!G18</f>
        <v/>
      </c>
      <c r="H2025">
        <f>Calc!H18</f>
        <v/>
      </c>
      <c r="I2025">
        <f>IF(Skills!T18&lt;&gt;"",1+(Skills!T18/10)*($Z$3/1000)/100,1)</f>
        <v/>
      </c>
      <c r="J2025" t="inlineStr"/>
      <c r="K2025" t="inlineStr"/>
      <c r="L2025" t="inlineStr"/>
      <c r="M2025" t="inlineStr"/>
      <c r="N2025" t="inlineStr"/>
      <c r="O2025">
        <f>(1-Summary!$B$11)*S2025+Summary!$B$11*U2025</f>
        <v/>
      </c>
      <c r="P2025">
        <f>IF(B2050=0,0,O2025/B2050)</f>
        <v/>
      </c>
      <c r="Q2025">
        <f>IFERROR(1/(IF(Inputs!$B$39="pvp",15,MAX(0.1,Skills!D18-IF(Skills!E18=TRUE,Inputs!$B$33,0)))*(1-IF(AND(ArtifactsInput!$M$27,Inputs!$B$4="Chapter Hunt"),CHOOSE(ArtifactsInput!$N$27+1,20,24,28,32,36,40),0)/100)),0)</f>
        <v/>
      </c>
      <c r="R2025" t="n">
        <v>0</v>
      </c>
      <c r="S2025" t="n">
        <v>0</v>
      </c>
      <c r="U2025" t="n">
        <v>0</v>
      </c>
    </row>
    <row r="2026">
      <c r="A2026">
        <f>Skills!A19</f>
        <v/>
      </c>
      <c r="B2026">
        <f>Skills!B19</f>
        <v/>
      </c>
      <c r="C2026">
        <f>Inputs!$B$3&gt;=110</f>
        <v/>
      </c>
      <c r="D2026">
        <f>IF(Skills!C19=1,60+Inputs!$B$26+Inputs!$B$30,IF(Skills!C19=2,90+Inputs!$B$27+Inputs!$B$30,IF(Skills!C19=3,120+Inputs!$B$28+Inputs!$B$30,MAX(0,(Inputs!$B$3-100)*3)+Inputs!$B$29+Inputs!$B$30)))</f>
        <v/>
      </c>
      <c r="E2026">
        <f>INDEX(FactorTable!$B$2:$Y$301, MATCH(ROUND(MIN(300,MAX(1,D2026)),0), FactorTable!$A$2:$A$301,0), Skills!L19+1)</f>
        <v/>
      </c>
      <c r="F2026">
        <f>(Skills!K19/10)*(E2026/1000)*64/45+Skills!N19</f>
        <v/>
      </c>
      <c r="G2026">
        <f>Calc!G19</f>
        <v/>
      </c>
      <c r="H2026">
        <f>Calc!H19</f>
        <v/>
      </c>
      <c r="I2026">
        <f>IF(Skills!T19&lt;&gt;"",1+(Skills!T19/10)*($Z$3/1000)/100,1)</f>
        <v/>
      </c>
      <c r="J2026" t="inlineStr"/>
      <c r="K2026" t="inlineStr"/>
      <c r="L2026" t="inlineStr"/>
      <c r="M2026" t="inlineStr"/>
      <c r="N2026" t="inlineStr"/>
      <c r="O2026">
        <f>(1-Summary!$B$11)*S2026+Summary!$B$11*U2026</f>
        <v/>
      </c>
      <c r="P2026">
        <f>IF(B2050=0,0,O2026/B2050)</f>
        <v/>
      </c>
      <c r="Q2026">
        <f>IFERROR(1/(IF(Inputs!$B$39="pvp",15,MAX(0.1,Skills!D19-IF(Skills!E19=TRUE,Inputs!$B$33,0)))*(1-IF(AND(ArtifactsInput!$M$27,Inputs!$B$4="Chapter Hunt"),CHOOSE(ArtifactsInput!$N$27+1,20,24,28,32,36,40),0)/100)),0)</f>
        <v/>
      </c>
      <c r="R2026">
        <f>IF(AND(Inputs!$B$39&lt;&gt;"pvp",Inputs!$B$44&gt;0),IF(Inputs!$B$44&lt;=0,0,(INT(Inputs!$B$44/(IF(Inputs!$B$39="pvp",15,MAX(0.1,Skills!D19-IF(Skills!E19=TRUE,Inputs!$B$33,0)))*(1-IF(AND(ArtifactsInput!$M$27,Inputs!$B$4="Chapter Hunt"),CHOOSE(ArtifactsInput!$N$27+1,20,24,28,32,36,40),0)/100)))+1)),0)</f>
        <v/>
      </c>
      <c r="S2026" t="n">
        <v>0</v>
      </c>
      <c r="U2026" t="n">
        <v>0</v>
      </c>
    </row>
    <row r="2027">
      <c r="A2027">
        <f>Skills!A20</f>
        <v/>
      </c>
      <c r="B2027">
        <f>Skills!B20</f>
        <v/>
      </c>
      <c r="C2027">
        <f>Inputs!$B$3&gt;=125</f>
        <v/>
      </c>
      <c r="D2027">
        <f>IF(Skills!C20=1,60+Inputs!$B$26+Inputs!$B$30,IF(Skills!C20=2,90+Inputs!$B$27+Inputs!$B$30,IF(Skills!C20=3,120+Inputs!$B$28+Inputs!$B$30,MAX(0,(Inputs!$B$3-100)*3)+Inputs!$B$29+Inputs!$B$30)))</f>
        <v/>
      </c>
      <c r="E2027">
        <f>INDEX(FactorTable!$B$2:$Y$301, MATCH(ROUND(MIN(300,MAX(1,D2027)),0), FactorTable!$A$2:$A$301,0), Skills!L20+1)</f>
        <v/>
      </c>
      <c r="F2027">
        <f>IF(Skills!M20=TRUE,(Skills!K20/10)*(E2027/1000),Skills!K20/10)+Skills!N20</f>
        <v/>
      </c>
      <c r="G2027">
        <f>Calc!G20</f>
        <v/>
      </c>
      <c r="H2027">
        <f>Calc!H20</f>
        <v/>
      </c>
      <c r="I2027">
        <f>IF(Skills!T20&lt;&gt;"",1+(Skills!T20/10)*($Z$3/1000)/100,1)</f>
        <v/>
      </c>
      <c r="J2027" t="inlineStr"/>
      <c r="K2027" t="inlineStr"/>
      <c r="L2027" t="inlineStr"/>
      <c r="M2027" t="inlineStr"/>
      <c r="N2027" t="inlineStr"/>
      <c r="O2027">
        <f>(1-Summary!$B$11)*S2027+Summary!$B$11*U2027</f>
        <v/>
      </c>
      <c r="P2027">
        <f>IF(B2050=0,0,O2027/B2050)</f>
        <v/>
      </c>
      <c r="Q2027">
        <f>IFERROR(1/(IF(Inputs!$B$39="pvp",15,MAX(0.1,Skills!D20-IF(Skills!E20=TRUE,Inputs!$B$33,0)))*(1-IF(AND(ArtifactsInput!$M$27,Inputs!$B$4="Chapter Hunt"),CHOOSE(ArtifactsInput!$N$27+1,20,24,28,32,36,40),0)/100)),0)</f>
        <v/>
      </c>
      <c r="R2027" t="n">
        <v>0</v>
      </c>
      <c r="S2027" t="n">
        <v>0</v>
      </c>
      <c r="U2027" t="n">
        <v>0</v>
      </c>
    </row>
    <row r="2028">
      <c r="A2028">
        <f>Skills!A21</f>
        <v/>
      </c>
      <c r="B2028">
        <f>Skills!B21</f>
        <v/>
      </c>
      <c r="C2028">
        <f>Inputs!$B$3&gt;=33</f>
        <v/>
      </c>
      <c r="D2028">
        <f>IF(Skills!C21=1,60+Inputs!$B$26+Inputs!$B$30,IF(Skills!C21=2,90+Inputs!$B$27+Inputs!$B$30,IF(Skills!C21=3,120+Inputs!$B$28+Inputs!$B$30,MAX(0,(Inputs!$B$3-100)*3)+Inputs!$B$29+Inputs!$B$30)))</f>
        <v/>
      </c>
      <c r="E2028">
        <f>INDEX(FactorTable!$B$2:$Y$301, MATCH(ROUND(MIN(300,MAX(1,D2028)),0), FactorTable!$A$2:$A$301,0), Skills!L21+1)</f>
        <v/>
      </c>
      <c r="F2028">
        <f>IF(Skills!M21=TRUE,(Skills!K21/10)*(E2028/1000),Skills!K21/10)+Skills!N21</f>
        <v/>
      </c>
      <c r="G2028">
        <f>Calc!G21</f>
        <v/>
      </c>
      <c r="H2028">
        <f>Calc!H21</f>
        <v/>
      </c>
      <c r="I2028">
        <f>IF(Skills!T21&lt;&gt;"",1+(Skills!T21/10)*($Z$3/1000)/100,1)</f>
        <v/>
      </c>
      <c r="J2028" t="inlineStr"/>
      <c r="K2028" t="inlineStr"/>
      <c r="L2028" t="inlineStr"/>
      <c r="M2028" t="inlineStr"/>
      <c r="N2028" t="inlineStr"/>
      <c r="O2028">
        <f>(1-Summary!$B$11)*S2028+Summary!$B$11*U2028</f>
        <v/>
      </c>
      <c r="P2028">
        <f>IF(B2050=0,0,O2028/B2050)</f>
        <v/>
      </c>
      <c r="Q2028">
        <f>IFERROR(1/(IF(Inputs!$B$39="pvp",15,MAX(0.1,Skills!D21-IF(Skills!E21=TRUE,Inputs!$B$33,0)))*(1-IF(AND(ArtifactsInput!$M$27,Inputs!$B$4="Chapter Hunt"),CHOOSE(ArtifactsInput!$N$27+1,20,24,28,32,36,40),0)/100)),0)</f>
        <v/>
      </c>
      <c r="R2028" t="n">
        <v>0</v>
      </c>
      <c r="S2028" t="n">
        <v>0</v>
      </c>
      <c r="U2028" t="n">
        <v>0</v>
      </c>
    </row>
    <row r="2029">
      <c r="A2029">
        <f>Skills!A22</f>
        <v/>
      </c>
      <c r="B2029">
        <f>Skills!B22</f>
        <v/>
      </c>
      <c r="C2029">
        <f>Inputs!$B$3&gt;=43</f>
        <v/>
      </c>
      <c r="D2029">
        <f>IF(Skills!C22=1,60+Inputs!$B$26+Inputs!$B$30,IF(Skills!C22=2,90+Inputs!$B$27+Inputs!$B$30,IF(Skills!C22=3,120+Inputs!$B$28+Inputs!$B$30,MAX(0,(Inputs!$B$3-100)*3)+Inputs!$B$29+Inputs!$B$30)))</f>
        <v/>
      </c>
      <c r="E2029">
        <f>INDEX(FactorTable!$B$2:$Y$301, MATCH(ROUND(MIN(300,MAX(1,D2029)),0), FactorTable!$A$2:$A$301,0), Skills!L22+1)</f>
        <v/>
      </c>
      <c r="F2029">
        <f>IF(Skills!M22=TRUE,(Skills!K22/10)*(E2029/1000),Skills!K22/10)+Skills!N22</f>
        <v/>
      </c>
      <c r="G2029">
        <f>Calc!G22</f>
        <v/>
      </c>
      <c r="H2029">
        <f>Calc!H22</f>
        <v/>
      </c>
      <c r="I2029">
        <f>IF(Skills!T22&lt;&gt;"",1+(Skills!T22/10)*($Z$3/1000)/100,1)</f>
        <v/>
      </c>
      <c r="J2029" t="inlineStr"/>
      <c r="K2029" t="inlineStr"/>
      <c r="L2029" t="inlineStr"/>
      <c r="M2029" t="inlineStr"/>
      <c r="N2029" t="inlineStr"/>
      <c r="O2029">
        <f>(1-Summary!$B$11)*S2029+Summary!$B$11*U2029</f>
        <v/>
      </c>
      <c r="P2029">
        <f>IF(B2050=0,0,O2029/B2050)</f>
        <v/>
      </c>
      <c r="Q2029">
        <f>IFERROR(1/(IF(Inputs!$B$39="pvp",15,MAX(0.1,Skills!D22-IF(Skills!E22=TRUE,Inputs!$B$33,0)))*(1-IF(AND(ArtifactsInput!$M$27,Inputs!$B$4="Chapter Hunt"),CHOOSE(ArtifactsInput!$N$27+1,20,24,28,32,36,40),0)/100)),0)</f>
        <v/>
      </c>
      <c r="R2029" t="n">
        <v>0</v>
      </c>
      <c r="S2029" t="n">
        <v>0</v>
      </c>
      <c r="U2029" t="n">
        <v>0</v>
      </c>
    </row>
    <row r="2030">
      <c r="A2030">
        <f>Skills!A23</f>
        <v/>
      </c>
      <c r="B2030">
        <f>Skills!B23</f>
        <v/>
      </c>
      <c r="C2030">
        <f>Inputs!$B$3&gt;=50</f>
        <v/>
      </c>
      <c r="D2030">
        <f>IF(Skills!C23=1,60+Inputs!$B$26+Inputs!$B$30,IF(Skills!C23=2,90+Inputs!$B$27+Inputs!$B$30,IF(Skills!C23=3,120+Inputs!$B$28+Inputs!$B$30,MAX(0,(Inputs!$B$3-100)*3)+Inputs!$B$29+Inputs!$B$30)))</f>
        <v/>
      </c>
      <c r="E2030">
        <f>INDEX(FactorTable!$B$2:$Y$301, MATCH(ROUND(MIN(300,MAX(1,D2030)),0), FactorTable!$A$2:$A$301,0), Skills!L23+1)</f>
        <v/>
      </c>
      <c r="F2030">
        <f>IF(Skills!M23=TRUE,(Skills!K23/10)*(E2030/1000),Skills!K23/10)+Skills!N23</f>
        <v/>
      </c>
      <c r="G2030">
        <f>Calc!G23</f>
        <v/>
      </c>
      <c r="H2030">
        <f>Calc!H23</f>
        <v/>
      </c>
      <c r="I2030">
        <f>IF(Skills!T23&lt;&gt;"",1+(Skills!T23/10)*($Z$3/1000)/100,1)</f>
        <v/>
      </c>
      <c r="J2030" t="inlineStr"/>
      <c r="K2030" t="inlineStr"/>
      <c r="L2030" t="inlineStr"/>
      <c r="M2030" t="inlineStr"/>
      <c r="N2030" t="inlineStr"/>
      <c r="O2030">
        <f>(1-Summary!$B$11)*S2030+Summary!$B$11*U2030</f>
        <v/>
      </c>
      <c r="P2030">
        <f>IF(B2050=0,0,O2030/B2050)</f>
        <v/>
      </c>
      <c r="Q2030">
        <f>IFERROR(1/(IF(Inputs!$B$39="pvp",15,MAX(0.1,Skills!D23-IF(Skills!E23=TRUE,Inputs!$B$33,0)))*(1-IF(AND(ArtifactsInput!$M$27,Inputs!$B$4="Chapter Hunt"),CHOOSE(ArtifactsInput!$N$27+1,20,24,28,32,36,40),0)/100)),0)</f>
        <v/>
      </c>
      <c r="R2030" t="n">
        <v>0</v>
      </c>
      <c r="S2030" t="n">
        <v>0</v>
      </c>
      <c r="U2030" t="n">
        <v>0</v>
      </c>
    </row>
    <row r="2031">
      <c r="A2031">
        <f>Skills!A24</f>
        <v/>
      </c>
      <c r="B2031">
        <f>Skills!B24</f>
        <v/>
      </c>
      <c r="C2031">
        <f>Inputs!$B$3&gt;=74</f>
        <v/>
      </c>
      <c r="D2031">
        <f>IF(Skills!C24=1,60+Inputs!$B$26+Inputs!$B$30,IF(Skills!C24=2,90+Inputs!$B$27+Inputs!$B$30,IF(Skills!C24=3,120+Inputs!$B$28+Inputs!$B$30,MAX(0,(Inputs!$B$3-100)*3)+Inputs!$B$29+Inputs!$B$30)))</f>
        <v/>
      </c>
      <c r="E2031">
        <f>INDEX(FactorTable!$B$2:$Y$301, MATCH(ROUND(MIN(300,MAX(1,D2031)),0), FactorTable!$A$2:$A$301,0), Skills!L24+1)</f>
        <v/>
      </c>
      <c r="F2031">
        <f>IF(Skills!M24=TRUE,(Skills!K24/10)*(E2031/1000),Skills!K24/10)+Skills!N24</f>
        <v/>
      </c>
      <c r="G2031">
        <f>Calc!G24</f>
        <v/>
      </c>
      <c r="H2031">
        <f>Calc!H24</f>
        <v/>
      </c>
      <c r="I2031">
        <f>IF(Skills!T24&lt;&gt;"",1+(Skills!T24/10)*($Z$3/1000)/100,1)</f>
        <v/>
      </c>
      <c r="J2031" t="inlineStr"/>
      <c r="K2031" t="inlineStr"/>
      <c r="L2031" t="inlineStr"/>
      <c r="M2031" t="inlineStr"/>
      <c r="N2031" t="inlineStr"/>
      <c r="O2031">
        <f>(1-Summary!$B$11)*S2031+Summary!$B$11*U2031</f>
        <v/>
      </c>
      <c r="P2031">
        <f>IF(B2050=0,0,O2031/B2050)</f>
        <v/>
      </c>
      <c r="Q2031">
        <f>IFERROR(1/(IF(Inputs!$B$39="pvp",15,MAX(0.1,Skills!D24-IF(Skills!E24=TRUE,Inputs!$B$33,0)))*(1-IF(AND(ArtifactsInput!$M$27,Inputs!$B$4="Chapter Hunt"),CHOOSE(ArtifactsInput!$N$27+1,20,24,28,32,36,40),0)/100)),0)</f>
        <v/>
      </c>
      <c r="R2031" t="n">
        <v>0</v>
      </c>
      <c r="S2031" t="n">
        <v>0</v>
      </c>
      <c r="U2031" t="n">
        <v>0</v>
      </c>
    </row>
    <row r="2032">
      <c r="A2032">
        <f>Skills!A25</f>
        <v/>
      </c>
      <c r="B2032">
        <f>Skills!B25</f>
        <v/>
      </c>
      <c r="C2032">
        <f>Inputs!$B$3&gt;=74</f>
        <v/>
      </c>
      <c r="D2032">
        <f>IF(Skills!C25=1,60+Inputs!$B$26+Inputs!$B$30,IF(Skills!C25=2,90+Inputs!$B$27+Inputs!$B$30,IF(Skills!C25=3,120+Inputs!$B$28+Inputs!$B$30,MAX(0,(Inputs!$B$3-100)*3)+Inputs!$B$29+Inputs!$B$30)))</f>
        <v/>
      </c>
      <c r="E2032">
        <f>INDEX(FactorTable!$B$2:$Y$301, MATCH(ROUND(MIN(300,MAX(1,D2032)),0), FactorTable!$A$2:$A$301,0), Skills!L25+1)</f>
        <v/>
      </c>
      <c r="F2032">
        <f>IF(Skills!M25=TRUE,(Skills!K25/10)*(E2032/1000),Skills!K25/10)+Skills!N25</f>
        <v/>
      </c>
      <c r="G2032">
        <f>Calc!G25</f>
        <v/>
      </c>
      <c r="H2032">
        <f>Calc!H25</f>
        <v/>
      </c>
      <c r="I2032">
        <f>IF(Skills!T25&lt;&gt;"",1+(Skills!T25/10)*($Z$3/1000)/100,1)</f>
        <v/>
      </c>
      <c r="J2032" t="inlineStr"/>
      <c r="K2032" t="inlineStr"/>
      <c r="L2032" t="inlineStr"/>
      <c r="M2032" t="inlineStr"/>
      <c r="N2032" t="inlineStr"/>
      <c r="O2032">
        <f>(1-Summary!$B$11)*S2032+Summary!$B$11*U2032</f>
        <v/>
      </c>
      <c r="P2032">
        <f>IF(B2050=0,0,O2032/B2050)</f>
        <v/>
      </c>
      <c r="Q2032">
        <f>IFERROR(1/(IF(Inputs!$B$39="pvp",15,MAX(0.1,Skills!D25-IF(Skills!E25=TRUE,Inputs!$B$33,0)))*(1-IF(AND(ArtifactsInput!$M$27,Inputs!$B$4="Chapter Hunt"),CHOOSE(ArtifactsInput!$N$27+1,20,24,28,32,36,40),0)/100)),0)</f>
        <v/>
      </c>
      <c r="R2032" t="n">
        <v>0</v>
      </c>
      <c r="S2032" t="n">
        <v>0</v>
      </c>
      <c r="U2032" t="n">
        <v>0</v>
      </c>
    </row>
    <row r="2033">
      <c r="A2033">
        <f>Skills!A26</f>
        <v/>
      </c>
      <c r="B2033">
        <f>Skills!B26</f>
        <v/>
      </c>
      <c r="C2033">
        <f>Inputs!$B$3&gt;=117</f>
        <v/>
      </c>
      <c r="D2033">
        <f>IF(Skills!C26=1,60+Inputs!$B$26+Inputs!$B$30,IF(Skills!C26=2,90+Inputs!$B$27+Inputs!$B$30,IF(Skills!C26=3,120+Inputs!$B$28+Inputs!$B$30,MAX(0,(Inputs!$B$3-100)*3)+Inputs!$B$29+Inputs!$B$30)))</f>
        <v/>
      </c>
      <c r="E2033">
        <f>INDEX(FactorTable!$B$2:$Y$301, MATCH(ROUND(MIN(300,MAX(1,D2033)),0), FactorTable!$A$2:$A$301,0), Skills!L26+1)</f>
        <v/>
      </c>
      <c r="F2033">
        <f>IF(Skills!M26=TRUE,(Skills!K26/10)*(E2033/1000),Skills!K26/10)+Skills!N26</f>
        <v/>
      </c>
      <c r="G2033">
        <f>Calc!G26</f>
        <v/>
      </c>
      <c r="H2033">
        <f>Calc!H26</f>
        <v/>
      </c>
      <c r="I2033">
        <f>IF(Skills!T26&lt;&gt;"",1+(Skills!T26/10)*($Z$3/1000)/100,1)</f>
        <v/>
      </c>
      <c r="J2033" t="inlineStr"/>
      <c r="K2033" t="inlineStr"/>
      <c r="L2033" t="inlineStr"/>
      <c r="M2033" t="inlineStr"/>
      <c r="N2033" t="inlineStr"/>
      <c r="O2033">
        <f>(1-Summary!$B$11)*S2033+Summary!$B$11*U2033</f>
        <v/>
      </c>
      <c r="P2033">
        <f>IF(B2050=0,0,O2033/B2050)</f>
        <v/>
      </c>
      <c r="Q2033">
        <f>IFERROR(1/(IF(Inputs!$B$39="pvp",15,MAX(0.1,Skills!D26-IF(Skills!E26=TRUE,Inputs!$B$33,0)))*(1-IF(AND(ArtifactsInput!$M$27,Inputs!$B$4="Chapter Hunt"),CHOOSE(ArtifactsInput!$N$27+1,20,24,28,32,36,40),0)/100)),0)</f>
        <v/>
      </c>
      <c r="R2033" t="n">
        <v>0</v>
      </c>
      <c r="S2033" t="n">
        <v>0</v>
      </c>
      <c r="U2033" t="n">
        <v>0</v>
      </c>
    </row>
    <row r="2034">
      <c r="A2034">
        <f>Skills!A27</f>
        <v/>
      </c>
      <c r="B2034">
        <f>Skills!B27</f>
        <v/>
      </c>
      <c r="C2034">
        <f>Inputs!$B$3&gt;=120</f>
        <v/>
      </c>
      <c r="D2034">
        <f>IF(Skills!C27=1,60+Inputs!$B$26+Inputs!$B$30,IF(Skills!C27=2,90+Inputs!$B$27+Inputs!$B$30,IF(Skills!C27=3,120+Inputs!$B$28+Inputs!$B$30,MAX(0,(Inputs!$B$3-100)*3)+Inputs!$B$29+Inputs!$B$30)))</f>
        <v/>
      </c>
      <c r="E2034">
        <f>INDEX(FactorTable!$B$2:$Y$301, MATCH(ROUND(MIN(300,MAX(1,D2034)),0), FactorTable!$A$2:$A$301,0), Skills!L27+1)</f>
        <v/>
      </c>
      <c r="F2034">
        <f>IF(Skills!M27=TRUE,(Skills!K27/10)*(E2034/1000),Skills!K27/10)+Skills!N27</f>
        <v/>
      </c>
      <c r="G2034">
        <f>Calc!G27</f>
        <v/>
      </c>
      <c r="H2034">
        <f>Calc!H27</f>
        <v/>
      </c>
      <c r="I2034">
        <f>IF(Skills!T27&lt;&gt;"",1+(Skills!T27/10)*($Z$3/1000)/100,1)</f>
        <v/>
      </c>
      <c r="J2034" t="inlineStr"/>
      <c r="K2034" t="inlineStr"/>
      <c r="L2034" t="inlineStr"/>
      <c r="M2034" t="inlineStr"/>
      <c r="N2034" t="inlineStr"/>
      <c r="O2034">
        <f>(1-Summary!$B$11)*S2034+Summary!$B$11*U2034</f>
        <v/>
      </c>
      <c r="P2034">
        <f>IF(B2050=0,0,O2034/B2050)</f>
        <v/>
      </c>
      <c r="Q2034">
        <f>IFERROR(1/(IF(Inputs!$B$39="pvp",15,MAX(0.1,Skills!D27-IF(Skills!E27=TRUE,Inputs!$B$33,0)))*(1-IF(AND(ArtifactsInput!$M$27,Inputs!$B$4="Chapter Hunt"),CHOOSE(ArtifactsInput!$N$27+1,20,24,28,32,36,40),0)/100)),0)</f>
        <v/>
      </c>
      <c r="R2034" t="n">
        <v>0</v>
      </c>
      <c r="S2034" t="n">
        <v>0</v>
      </c>
      <c r="U2034" t="n">
        <v>0</v>
      </c>
    </row>
    <row r="2035">
      <c r="A2035">
        <f>Skills!A28</f>
        <v/>
      </c>
      <c r="B2035">
        <f>Skills!B28</f>
        <v/>
      </c>
      <c r="C2035">
        <f>TRUE</f>
        <v/>
      </c>
      <c r="D2035">
        <f>IF(Skills!C28=1,60+Inputs!$B$26+Inputs!$B$30,IF(Skills!C28=2,90+Inputs!$B$27+Inputs!$B$30,IF(Skills!C28=3,120+Inputs!$B$28+Inputs!$B$30,MAX(0,(Inputs!$B$3-100)*3)+Inputs!$B$29+Inputs!$B$30)))</f>
        <v/>
      </c>
      <c r="E2035">
        <f>INDEX(FactorTable!$B$2:$Y$301, MATCH(ROUND(MIN(300,MAX(1,D2035)),0), FactorTable!$A$2:$A$301,0), Skills!L28+1)</f>
        <v/>
      </c>
      <c r="F2035">
        <f>IF(Skills!M28=TRUE,(Skills!K28/10)*(E2035/1000),Skills!K28/10)+Skills!N28</f>
        <v/>
      </c>
      <c r="G2035">
        <f>Calc!G28</f>
        <v/>
      </c>
      <c r="H2035">
        <f>Calc!H28</f>
        <v/>
      </c>
      <c r="I2035">
        <f>IF(Skills!T28&lt;&gt;"",1+(Skills!T28/10)*($Z$3/1000)/100,1)</f>
        <v/>
      </c>
      <c r="J2035" t="inlineStr"/>
      <c r="K2035" t="inlineStr"/>
      <c r="L2035" t="inlineStr"/>
      <c r="M2035" t="inlineStr"/>
      <c r="N2035" t="inlineStr"/>
      <c r="O2035">
        <f>(1-Summary!$B$11)*S2035+Summary!$B$11*U2035</f>
        <v/>
      </c>
      <c r="P2035">
        <f>IF(B2050=0,0,O2035/B2050)</f>
        <v/>
      </c>
      <c r="Q2035">
        <f>IFERROR(1/(IF(Inputs!$B$39="pvp",15,MAX(0.1,Skills!D28-IF(Skills!E28=TRUE,Inputs!$B$33,0)))*(1-IF(AND(ArtifactsInput!$M$27,Inputs!$B$4="Chapter Hunt"),CHOOSE(ArtifactsInput!$N$27+1,20,24,28,32,36,40),0)/100)),0)</f>
        <v/>
      </c>
      <c r="R2035">
        <f>IF(AND(Inputs!$B$39&lt;&gt;"pvp",Inputs!$B$44&gt;0),IF(Inputs!$B$44&lt;=0,0,(INT(Inputs!$B$44/(IF(Inputs!$B$39="pvp",15,MAX(0.1,Skills!D28-IF(Skills!E28=TRUE,Inputs!$B$33,0)))*(1-IF(AND(ArtifactsInput!$M$27,Inputs!$B$4="Chapter Hunt"),CHOOSE(ArtifactsInput!$N$27+1,20,24,28,32,36,40),0)/100)))+1)),0)</f>
        <v/>
      </c>
      <c r="S2035" t="n">
        <v>0</v>
      </c>
      <c r="U2035" t="n">
        <v>0</v>
      </c>
    </row>
    <row r="2037">
      <c r="A2037" t="inlineStr">
        <is>
          <t>Average Buff Multiplier</t>
        </is>
      </c>
      <c r="B2037">
        <f>(1+(IF(C2010=TRUE,F2010*IF(AND(Inputs!$B$39&lt;&gt;"pvp",Inputs!$B$44&gt;0),(((R2010-1)*(Skills!S3*(1+((Inputs!$B$35+(ArtifactsInput!$M$7-ArtifactsInput!$M$7)*CHOOSE(ArtifactsInput!$N$7+1,6,7.2,8.4,9.6,10.8,12))+IF(Inputs!$B$3&gt;=117,F2033,0))/100))+MIN((Skills!S3*(1+((Inputs!$B$35+(ArtifactsInput!$M$7-ArtifactsInput!$M$7)*CHOOSE(ArtifactsInput!$N$7+1,6,7.2,8.4,9.6,10.8,12))+IF(Inputs!$B$3&gt;=117,F2033,0))/100)),MAX(0,Inputs!$B$44-((R2010-1)*Skills!D3))))/Inputs!$B$44),IF(Inputs!$B$39="pvp",MIN((Skills!S3*(1+((Inputs!$B$35+(ArtifactsInput!$M$7-ArtifactsInput!$M$7)*CHOOSE(ArtifactsInput!$N$7+1,6,7.2,8.4,9.6,10.8,12))+IF(Inputs!$B$3&gt;=117,F2033,0))/100)),15)/15,(Skills!S3*(1+((Inputs!$B$35+(ArtifactsInput!$M$7-ArtifactsInput!$M$7)*CHOOSE(ArtifactsInput!$N$7+1,6,7.2,8.4,9.6,10.8,12))+IF(Inputs!$B$3&gt;=117,F2033,0))/100))/Skills!D3)),0)+IF(C2011=TRUE,F2011*IF(AND(Inputs!$B$39&lt;&gt;"pvp",Inputs!$B$44&gt;0),(((R2011-1)*(Skills!S4*(1+((Inputs!$B$35+(ArtifactsInput!$M$7-ArtifactsInput!$M$7)*CHOOSE(ArtifactsInput!$N$7+1,6,7.2,8.4,9.6,10.8,12))+IF(Inputs!$B$3&gt;=117,F2033,0))/100))+MIN((Skills!S4*(1+((Inputs!$B$35+(ArtifactsInput!$M$7-ArtifactsInput!$M$7)*CHOOSE(ArtifactsInput!$N$7+1,6,7.2,8.4,9.6,10.8,12))+IF(Inputs!$B$3&gt;=117,F2033,0))/100)),MAX(0,Inputs!$B$44-((R2011-1)*Skills!D4))))/Inputs!$B$44),IF(Inputs!$B$39="pvp",MIN((Skills!S4*(1+((Inputs!$B$35+(ArtifactsInput!$M$7-ArtifactsInput!$M$7)*CHOOSE(ArtifactsInput!$N$7+1,6,7.2,8.4,9.6,10.8,12))+IF(Inputs!$B$3&gt;=117,F2033,0))/100)),15)/15,(Skills!S4*(1+((Inputs!$B$35+(ArtifactsInput!$M$7-ArtifactsInput!$M$7)*CHOOSE(ArtifactsInput!$N$7+1,6,7.2,8.4,9.6,10.8,12))+IF(Inputs!$B$3&gt;=117,F2033,0))/100))/Skills!D4)),0)+IF(C2012=TRUE,F2012*IF(AND(Inputs!$B$39&lt;&gt;"pvp",Inputs!$B$44&gt;0),(((R2012-1)*(Skills!S5*(1+((Inputs!$B$35+(ArtifactsInput!$M$7-ArtifactsInput!$M$7)*CHOOSE(ArtifactsInput!$N$7+1,6,7.2,8.4,9.6,10.8,12))+IF(Inputs!$B$3&gt;=117,F2033,0))/100))+MIN((Skills!S5*(1+((Inputs!$B$35+(ArtifactsInput!$M$7-ArtifactsInput!$M$7)*CHOOSE(ArtifactsInput!$N$7+1,6,7.2,8.4,9.6,10.8,12))+IF(Inputs!$B$3&gt;=117,F2033,0))/100)),MAX(0,Inputs!$B$44-((R2012-1)*Skills!D5))))/Inputs!$B$44),IF(Inputs!$B$39="pvp",MIN((Skills!S5*(1+((Inputs!$B$35+(ArtifactsInput!$M$7-ArtifactsInput!$M$7)*CHOOSE(ArtifactsInput!$N$7+1,6,7.2,8.4,9.6,10.8,12))+IF(Inputs!$B$3&gt;=117,F2033,0))/100)),15)/15,(Skills!S5*(1+((Inputs!$B$35+(ArtifactsInput!$M$7-ArtifactsInput!$M$7)*CHOOSE(ArtifactsInput!$N$7+1,6,7.2,8.4,9.6,10.8,12))+IF(Inputs!$B$3&gt;=117,F2033,0))/100))/Skills!D5)),0)+IF(C2018=TRUE,F2018*IF(AND(Inputs!$B$39&lt;&gt;"pvp",Inputs!$B$44&gt;0),(((R2018-1)*(Skills!S11*(1+((Inputs!$B$35+(ArtifactsInput!$M$7-ArtifactsInput!$M$7)*CHOOSE(ArtifactsInput!$N$7+1,6,7.2,8.4,9.6,10.8,12))+IF(Inputs!$B$3&gt;=117,F2033,0))/100))+MIN((Skills!S11*(1+((Inputs!$B$35+(ArtifactsInput!$M$7-ArtifactsInput!$M$7)*CHOOSE(ArtifactsInput!$N$7+1,6,7.2,8.4,9.6,10.8,12))+IF(Inputs!$B$3&gt;=117,F2033,0))/100)),MAX(0,Inputs!$B$44-((R2018-1)*Skills!D11))))/Inputs!$B$44),IF(Inputs!$B$39="pvp",MIN((Skills!S11*(1+((Inputs!$B$35+(ArtifactsInput!$M$7-ArtifactsInput!$M$7)*CHOOSE(ArtifactsInput!$N$7+1,6,7.2,8.4,9.6,10.8,12))+IF(Inputs!$B$3&gt;=117,F2033,0))/100)),15)/15,(Skills!S11*(1+((Inputs!$B$35+(ArtifactsInput!$M$7-ArtifactsInput!$M$7)*CHOOSE(ArtifactsInput!$N$7+1,6,7.2,8.4,9.6,10.8,12))+IF(Inputs!$B$3&gt;=117,F2033,0)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2021=TRUE,(1+F2021*IF(AND(Inputs!$B$39&lt;&gt;"pvp",Inputs!$B$44&gt;0),(((R2021-1)*(Skills!S14*(1+((Inputs!$B$35+(ArtifactsInput!$M$7-ArtifactsInput!$M$7)*CHOOSE(ArtifactsInput!$N$7+1,6,7.2,8.4,9.6,10.8,12))+IF(Inputs!$B$3&gt;=117,F2033,0))/100))+MIN((Skills!S14*(1+((Inputs!$B$35+(ArtifactsInput!$M$7-ArtifactsInput!$M$7)*CHOOSE(ArtifactsInput!$N$7+1,6,7.2,8.4,9.6,10.8,12))+IF(Inputs!$B$3&gt;=117,F2033,0))/100)),MAX(0,Inputs!$B$44-((R2021-1)*Skills!D14))))/Inputs!$B$44),IF(Inputs!$B$39="pvp",MIN((Skills!S14*(1+((Inputs!$B$35+(ArtifactsInput!$M$7-ArtifactsInput!$M$7)*CHOOSE(ArtifactsInput!$N$7+1,6,7.2,8.4,9.6,10.8,12))+IF(Inputs!$B$3&gt;=117,F2033,0))/100)),15)/15,(Skills!S14*(1+((Inputs!$B$35+(ArtifactsInput!$M$7-ArtifactsInput!$M$7)*CHOOSE(ArtifactsInput!$N$7+1,6,7.2,8.4,9.6,10.8,12))+IF(Inputs!$B$3&gt;=117,F2033,0))/100))/Skills!D14))/100),1)*IF(C2026=TRUE,(1+F2026*IF(AND(Inputs!$B$39&lt;&gt;"pvp",Inputs!$B$44&gt;0),(((R2026-1)*(Skills!S19*(1+((Inputs!$B$35+(ArtifactsInput!$M$7-ArtifactsInput!$M$7)*CHOOSE(ArtifactsInput!$N$7+1,6,7.2,8.4,9.6,10.8,12))+IF(Inputs!$B$3&gt;=117,F2033,0))/100))+MIN((Skills!S19*(1+((Inputs!$B$35+(ArtifactsInput!$M$7-ArtifactsInput!$M$7)*CHOOSE(ArtifactsInput!$N$7+1,6,7.2,8.4,9.6,10.8,12))+IF(Inputs!$B$3&gt;=117,F2033,0))/100)),MAX(0,Inputs!$B$44-((R2026-1)*Skills!D19))))/Inputs!$B$44),IF(Inputs!$B$39="pvp",MIN((Skills!S19*(1+((Inputs!$B$35+(ArtifactsInput!$M$7-ArtifactsInput!$M$7)*CHOOSE(ArtifactsInput!$N$7+1,6,7.2,8.4,9.6,10.8,12))+IF(Inputs!$B$3&gt;=117,F2033,0))/100)),15)/15,(Skills!S19*(1+((Inputs!$B$35+(ArtifactsInput!$M$7-ArtifactsInput!$M$7)*CHOOSE(ArtifactsInput!$N$7+1,6,7.2,8.4,9.6,10.8,12))+IF(Inputs!$B$3&gt;=117,F2033,0))/100))/Skills!D19))/100),1)</f>
        <v/>
      </c>
    </row>
    <row r="2038">
      <c r="A2038" t="inlineStr">
        <is>
          <t>Monster Damage Taken Bonus % (Holy Fountain)</t>
        </is>
      </c>
      <c r="B2038">
        <f>IF(Inputs!$B$3&gt;=68,20*IF(Inputs!$B$39="pvp",MIN((15*(1+((Inputs!$B$35+(ArtifactsInput!$M$7-ArtifactsInput!$M$7)*CHOOSE(ArtifactsInput!$N$7+1,6,7.2,8.4,9.6,10.8,12))+IF(Inputs!$B$3&gt;=117,F2033,0))/100)),15)/15,(15*(1+((Inputs!$B$35+(ArtifactsInput!$M$7-ArtifactsInput!$M$7)*CHOOSE(ArtifactsInput!$N$7+1,6,7.2,8.4,9.6,10.8,12))+IF(Inputs!$B$3&gt;=117,F2033,0))/100))/Skills!D10),0)</f>
        <v/>
      </c>
    </row>
    <row r="2039">
      <c r="A2039" t="inlineStr">
        <is>
          <t>Normal Monster Damage Bonus % (Holy Symbol)</t>
        </is>
      </c>
      <c r="B2039">
        <f>IF(C2019=TRUE,F2019*IF(AND(Inputs!$B$39&lt;&gt;"pvp",Inputs!$B$44&gt;0),(((R2019-1)*(Skills!S12*(1+((Inputs!$B$35+(ArtifactsInput!$M$7-ArtifactsInput!$M$7)*CHOOSE(ArtifactsInput!$N$7+1,6,7.2,8.4,9.6,10.8,12))+IF(Inputs!$B$3&gt;=117,F2033,0))/100))+MIN((Skills!S12*(1+((Inputs!$B$35+(ArtifactsInput!$M$7-ArtifactsInput!$M$7)*CHOOSE(ArtifactsInput!$N$7+1,6,7.2,8.4,9.6,10.8,12))+IF(Inputs!$B$3&gt;=117,F2033,0))/100)),MAX(0,Inputs!$B$44-((R2019-1)*Skills!D12))))/Inputs!$B$44),IF(Inputs!$B$39="pvp",MIN((Skills!S12*(1+((Inputs!$B$35+(ArtifactsInput!$M$7-ArtifactsInput!$M$7)*CHOOSE(ArtifactsInput!$N$7+1,6,7.2,8.4,9.6,10.8,12))+IF(Inputs!$B$3&gt;=117,F2033,0))/100)),15)/15,(Skills!S12*(1+((Inputs!$B$35+(ArtifactsInput!$M$7-ArtifactsInput!$M$7)*CHOOSE(ArtifactsInput!$N$7+1,6,7.2,8.4,9.6,10.8,12))+IF(Inputs!$B$3&gt;=117,F2033,0))/100))/Skills!D12)),0)</f>
        <v/>
      </c>
    </row>
    <row r="2040">
      <c r="A2040" t="inlineStr">
        <is>
          <t>Damage % Bonus (Holy Symbol - Damage Boost)</t>
        </is>
      </c>
      <c r="B2040">
        <f>Skills!O12</f>
        <v/>
      </c>
    </row>
    <row r="2041">
      <c r="A2041" t="inlineStr">
        <is>
          <t>Crit Damage % Bonus (Blood of the Divine)</t>
        </is>
      </c>
      <c r="B2041">
        <f>4*IF(C2027=TRUE,F2027,0)</f>
        <v/>
      </c>
    </row>
    <row r="2042">
      <c r="A2042" t="inlineStr">
        <is>
          <t>Attack Speed Bonus %</t>
        </is>
      </c>
      <c r="B2042">
        <f>IF(C2024=TRUE,F2024+(F2028-Calc!F21),0)+IF(Inputs!$B$3&gt;=134,15,0)+((C2035=TRUE)*F2035*IF(AND(Inputs!$B$39&lt;&gt;"pvp",Inputs!$B$44&gt;0),(((R2035-1)*(Skills!S28*(1+((Inputs!$B$35+(ArtifactsInput!$M$7-ArtifactsInput!$M$7)*CHOOSE(ArtifactsInput!$N$7+1,6,7.2,8.4,9.6,10.8,12))+IF(Inputs!$B$3&gt;=117,F2033,0))/100))+MIN((Skills!S28*(1+((Inputs!$B$35+(ArtifactsInput!$M$7-ArtifactsInput!$M$7)*CHOOSE(ArtifactsInput!$N$7+1,6,7.2,8.4,9.6,10.8,12))+IF(Inputs!$B$3&gt;=117,F2033,0))/100)),MAX(0,Inputs!$B$44-((R2035-1)*Skills!D28))))/Inputs!$B$44),IF(Inputs!$B$39="pvp",MIN((Skills!S28*(1+((Inputs!$B$35+(ArtifactsInput!$M$7-ArtifactsInput!$M$7)*CHOOSE(ArtifactsInput!$N$7+1,6,7.2,8.4,9.6,10.8,12))+IF(Inputs!$B$3&gt;=117,F2033,0))/100)),15)/15,(Skills!S28*(1+((Inputs!$B$35+(ArtifactsInput!$M$7-ArtifactsInput!$M$7)*CHOOSE(ArtifactsInput!$N$7+1,6,7.2,8.4,9.6,10.8,12))+IF(Inputs!$B$3&gt;=117,F2033,0))/100))/Skills!D28)))</f>
        <v/>
      </c>
    </row>
    <row r="2043">
      <c r="A2043" t="inlineStr">
        <is>
          <t>Actions Per Second</t>
        </is>
      </c>
      <c r="B2043">
        <f>1+MIN(150,150*(1-(1-Inputs!$B$12/150)*(1-B2042/150)))/100</f>
        <v/>
      </c>
    </row>
    <row r="2044">
      <c r="A2044" t="inlineStr">
        <is>
          <t>Skill + Buff Cast Rate</t>
        </is>
      </c>
      <c r="B2044">
        <f>IF(AND(Inputs!$B$39&lt;&gt;"pvp",Inputs!$B$44&gt;0),SUMPRODUCT((Skills!E2:E28=TRUE)*(C2009:C2035=TRUE)*R2009:R2035)/Inputs!$B$44,SUMPRODUCT((Skills!E2:E28=TRUE)*(C2009:C2035=TRUE)*Q2009:Q2035))</f>
        <v/>
      </c>
    </row>
    <row r="2045">
      <c r="A2045" t="inlineStr">
        <is>
          <t>Big Bang Casts Per Second</t>
        </is>
      </c>
      <c r="B2045">
        <f>MAX(0,B2043-B2044)</f>
        <v/>
      </c>
    </row>
    <row r="2046">
      <c r="A2046" t="inlineStr">
        <is>
          <t>Defense % Bonus (Divine Protection)</t>
        </is>
      </c>
      <c r="B2046">
        <f>IF(C2020=TRUE,F2020*IF(AND(Inputs!$B$39&lt;&gt;"pvp",Inputs!$B$44&gt;0),(((R2020-1)*(Skills!S13*(1+((Inputs!$B$35+(ArtifactsInput!$M$7-ArtifactsInput!$M$7)*CHOOSE(ArtifactsInput!$N$7+1,6,7.2,8.4,9.6,10.8,12))+IF(Inputs!$B$3&gt;=117,F2033,0))/100))+MIN((Skills!S13*(1+((Inputs!$B$35+(ArtifactsInput!$M$7-ArtifactsInput!$M$7)*CHOOSE(ArtifactsInput!$N$7+1,6,7.2,8.4,9.6,10.8,12))+IF(Inputs!$B$3&gt;=117,F2033,0))/100)),MAX(0,Inputs!$B$44-((R2020-1)*Skills!D13))))/Inputs!$B$44),IF(Inputs!$B$39="pvp",MIN((Skills!S13*(1+((Inputs!$B$35+(ArtifactsInput!$M$7-ArtifactsInput!$M$7)*CHOOSE(ArtifactsInput!$N$7+1,6,7.2,8.4,9.6,10.8,12))+IF(Inputs!$B$3&gt;=117,F2033,0))/100)),15)/15,(Skills!S13*(1+((Inputs!$B$35+(ArtifactsInput!$M$7-ArtifactsInput!$M$7)*CHOOSE(ArtifactsInput!$N$7+1,6,7.2,8.4,9.6,10.8,12))+IF(Inputs!$B$3&gt;=117,F2033,0))/100))/Skills!D13)),0)</f>
        <v/>
      </c>
    </row>
    <row r="2047">
      <c r="A2047" t="inlineStr">
        <is>
          <t>Buff-Casting Startup Delay (s, fixed-duration only)</t>
        </is>
      </c>
      <c r="B2047">
        <f>IF(AND(Inputs!$B$39&lt;&gt;"pvp",Inputs!$B$44&gt;0),SUMPRODUCT((Skills!S2:S28&gt;0)*(Skills!E2:E28=TRUE)*(C2009:C2035=TRUE))/B2043,0)</f>
        <v/>
      </c>
    </row>
    <row r="2048">
      <c r="A2048" t="inlineStr">
        <is>
          <t>Boss-Only Total DPS (this block's swept value)</t>
        </is>
      </c>
      <c r="B2048">
        <f>SUM(S2009:S2035)</f>
        <v/>
      </c>
    </row>
    <row r="2049">
      <c r="A2049" t="inlineStr">
        <is>
          <t>Normal-Only Total DPS (this block's swept value)</t>
        </is>
      </c>
      <c r="B2049">
        <f>SUM(U2009:U2035)</f>
        <v/>
      </c>
    </row>
    <row r="2050">
      <c r="A2050" s="6" t="inlineStr">
        <is>
          <t>TOTAL DPS</t>
        </is>
      </c>
      <c r="B2050" s="6">
        <f>SUM(O2009:O2035)</f>
        <v/>
      </c>
    </row>
    <row r="2052">
      <c r="A2052" s="6" t="inlineStr">
        <is>
          <t>Stat: Book of Ancient (Equip)</t>
        </is>
      </c>
    </row>
    <row r="2053">
      <c r="A2053" s="5" t="inlineStr">
        <is>
          <t>Key</t>
        </is>
      </c>
      <c r="B2053" s="5" t="inlineStr">
        <is>
          <t>Name</t>
        </is>
      </c>
      <c r="C2053" s="5" t="inlineStr">
        <is>
          <t>Unlocked</t>
        </is>
      </c>
      <c r="D2053" s="5" t="inlineStr">
        <is>
          <t>InputLevel</t>
        </is>
      </c>
      <c r="E2053" s="5" t="inlineStr">
        <is>
          <t>Factor</t>
        </is>
      </c>
      <c r="F2053" s="5" t="inlineStr">
        <is>
          <t>CoefficientPercent</t>
        </is>
      </c>
      <c r="G2053" s="5" t="inlineStr">
        <is>
          <t>EffectiveHits</t>
        </is>
      </c>
      <c r="H2053" s="5" t="inlineStr">
        <is>
          <t>ProcProbability</t>
        </is>
      </c>
      <c r="I2053" s="5" t="inlineStr">
        <is>
          <t>MapleHeroMultiplier</t>
        </is>
      </c>
      <c r="J2053" s="5" t="inlineStr">
        <is>
          <t>BaseDamage</t>
        </is>
      </c>
      <c r="K2053" s="5" t="inlineStr">
        <is>
          <t>BaseHitDamage</t>
        </is>
      </c>
      <c r="L2053" s="5" t="inlineStr">
        <is>
          <t>NonCritAvg</t>
        </is>
      </c>
      <c r="M2053" s="5" t="inlineStr">
        <is>
          <t>CritAvg</t>
        </is>
      </c>
      <c r="N2053" s="5" t="inlineStr">
        <is>
          <t>ExpectedDamage(perHit)</t>
        </is>
      </c>
      <c r="O2053" s="5" t="inlineStr">
        <is>
          <t>DPS</t>
        </is>
      </c>
      <c r="P2053" s="5" t="inlineStr">
        <is>
          <t>% of Total</t>
        </is>
      </c>
      <c r="R2053" t="inlineStr">
        <is>
          <t>helpers</t>
        </is>
      </c>
    </row>
    <row r="2054">
      <c r="A2054">
        <f>Skills!A2</f>
        <v/>
      </c>
      <c r="B2054">
        <f>Skills!B2</f>
        <v/>
      </c>
      <c r="C2054">
        <f>Inputs!$B$3&gt;=100</f>
        <v/>
      </c>
      <c r="D2054" t="inlineStr"/>
      <c r="E2054" t="inlineStr"/>
      <c r="F2054">
        <f>T2056+Skills!N2</f>
        <v/>
      </c>
      <c r="G2054">
        <f>Calc!G2</f>
        <v/>
      </c>
      <c r="H2054">
        <f>Calc!H2</f>
        <v/>
      </c>
      <c r="I2054">
        <f>IF(Skills!T2&lt;&gt;"",1+(Skills!T2/10)*($Z$3/1000)/100,1)</f>
        <v/>
      </c>
      <c r="J2054">
        <f>((Inputs!$B$6*(1+Inputs!$B$7/100))+(((Inputs!$B$13*(1+Inputs!$B$14/100))-(Inputs!$B$13*(1+Inputs!$B$14/100)))+0.25*(Inputs!$B$15-Inputs!$B$15))*(1+Inputs!$B$7/100))*(F2054/100)</f>
        <v/>
      </c>
      <c r="K2054">
        <f>J2054*(1+(((Inputs!$B$13+IF(Inputs!$B$3&gt;=35,(10*INDEX(FactorTable!$B$2:$Y$301,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2="TRIUMPH_FEATHER",IF(C2068=TRUE,F2068,0),0)/100)*(1+IF(C2079=TRUE,F2079,0)/100)^5*(1+(IF(Skills!A2="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2054)</f>
        <v/>
      </c>
      <c r="L2054">
        <f>K2054*(MIN(Inputs!$B$23+(F2074-Calc!F22),(Inputs!$B$24+IF(ArtifactsInput!$M$15,CHOOSE(ArtifactsInput!$N$15+1,25,30,35,40,45,50)/100*(Inputs!$B$12-Inputs!$B$12),0)))/100+(Inputs!$B$24+IF(ArtifactsInput!$M$15,CHOOSE(ArtifactsInput!$N$15+1,25,30,35,40,45,50)/100*(Inputs!$B$12-Inputs!$B$12),0))/100)/2</f>
        <v/>
      </c>
      <c r="M2054">
        <f>L2054*(1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4">
        <f>L2054*(1-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(1-Summary!$B$11)*S2054+Summary!$B$11*U2054</f>
        <v/>
      </c>
      <c r="P2054">
        <f>IF(B2095=0,0,O2054/B2095)</f>
        <v/>
      </c>
      <c r="Q2054">
        <f>IFERROR(1/(IF(Inputs!$B$39="pvp",15,MAX(0.1,Skills!D2-IF(Skills!E2=TRUE,Inputs!$B$33,0)))*(1-IF(AND(ArtifactsInput!$M$27,Inputs!$B$4="Chapter Hunt"),CHOOSE(ArtifactsInput!$N$27+1,20,24,28,32,36,40),0)/100)),0)</f>
        <v/>
      </c>
      <c r="R2054" t="n">
        <v>0</v>
      </c>
      <c r="S2054">
        <f>IF(C2054,(Skills!F2*N2054*B2090)*IF(Inputs!$B$39="pvp",1,1+(Inputs!$B$21+Skills!O2+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2054*(1-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54">
        <f>MAX(0,(Inputs!$B$3-100)*3)+Inputs!$B$29+Inputs!$B$30</f>
        <v/>
      </c>
      <c r="U2054">
        <f>IF(C2054,(Skills!F2*N2054*B2090)*IF(Inputs!$B$39="pvp",1,(1+(Inputs!$B$22+Skills!P2+B2084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Skills!A3</f>
        <v/>
      </c>
      <c r="B2055">
        <f>Skills!B3</f>
        <v/>
      </c>
      <c r="C2055">
        <f>Inputs!$B$3&gt;=15</f>
        <v/>
      </c>
      <c r="D2055">
        <f>IF(Skills!C3=1,60+Inputs!$B$26+Inputs!$B$30,IF(Skills!C3=2,90+Inputs!$B$27+Inputs!$B$30,IF(Skills!C3=3,120+Inputs!$B$28+Inputs!$B$30,MAX(0,(Inputs!$B$3-100)*3)+Inputs!$B$29+Inputs!$B$30)))</f>
        <v/>
      </c>
      <c r="E2055">
        <f>INDEX(FactorTable!$B$2:$Y$301, MATCH(ROUND(MIN(300,MAX(1,D2055)),0), FactorTable!$A$2:$A$301,0), Skills!L3+1)</f>
        <v/>
      </c>
      <c r="F2055">
        <f>IF(Skills!M3=TRUE,(Skills!K3/10)*(E2055/1000),Skills!K3/10)+Skills!N3</f>
        <v/>
      </c>
      <c r="G2055">
        <f>Calc!G3</f>
        <v/>
      </c>
      <c r="H2055">
        <f>Calc!H3</f>
        <v/>
      </c>
      <c r="I2055">
        <f>IF(Skills!T3&lt;&gt;"",1+(Skills!T3/10)*($Z$3/1000)/100,1)</f>
        <v/>
      </c>
      <c r="J2055" t="inlineStr"/>
      <c r="K2055" t="inlineStr"/>
      <c r="L2055" t="inlineStr"/>
      <c r="M2055" t="inlineStr"/>
      <c r="N2055" t="inlineStr"/>
      <c r="O2055">
        <f>(1-Summary!$B$11)*S2055+Summary!$B$11*U2055</f>
        <v/>
      </c>
      <c r="P2055">
        <f>IF(B2095=0,0,O2055/B2095)</f>
        <v/>
      </c>
      <c r="Q2055">
        <f>IFERROR(1/(IF(Inputs!$B$39="pvp",15,MAX(0.1,Skills!D3-IF(Skills!E3=TRUE,Inputs!$B$33,0)))*(1-IF(AND(ArtifactsInput!$M$27,Inputs!$B$4="Chapter Hunt"),CHOOSE(ArtifactsInput!$N$27+1,20,24,28,32,36,40),0)/100)),0)</f>
        <v/>
      </c>
      <c r="R2055">
        <f>IF(AND(Inputs!$B$39&lt;&gt;"pvp",Inputs!$B$44&gt;0),IF(Inputs!$B$44&lt;=0,0,(INT(Inputs!$B$44/(IF(Inputs!$B$39="pvp",15,MAX(0.1,Skills!D3-IF(Skills!E3=TRUE,Inputs!$B$33,0)))*(1-IF(AND(ArtifactsInput!$M$27,Inputs!$B$4="Chapter Hunt"),CHOOSE(ArtifactsInput!$N$27+1,20,24,28,32,36,40),0)/100)))+1)),0)</f>
        <v/>
      </c>
      <c r="S2055" t="n">
        <v>0</v>
      </c>
      <c r="T2055">
        <f>INDEX(FactorTable!$B$2:$Y$301, MATCH(ROUND(MIN(300,MAX(1,T2054)),0), FactorTable!$A$2:$A$301,0), 22)</f>
        <v/>
      </c>
      <c r="U2055" t="n">
        <v>0</v>
      </c>
    </row>
    <row r="2056">
      <c r="A2056">
        <f>Skills!A4</f>
        <v/>
      </c>
      <c r="B2056">
        <f>Skills!B4</f>
        <v/>
      </c>
      <c r="C2056">
        <f>Inputs!$B$3&gt;=38</f>
        <v/>
      </c>
      <c r="D2056">
        <f>IF(Skills!C4=1,60+Inputs!$B$26+Inputs!$B$30,IF(Skills!C4=2,90+Inputs!$B$27+Inputs!$B$30,IF(Skills!C4=3,120+Inputs!$B$28+Inputs!$B$30,MAX(0,(Inputs!$B$3-100)*3)+Inputs!$B$29+Inputs!$B$30)))</f>
        <v/>
      </c>
      <c r="E2056">
        <f>INDEX(FactorTable!$B$2:$Y$301, MATCH(ROUND(MIN(300,MAX(1,D2056)),0), FactorTable!$A$2:$A$301,0), Skills!L4+1)</f>
        <v/>
      </c>
      <c r="F2056">
        <f>IF(Skills!M4=TRUE,(Skills!K4/10)*(E2056/1000),Skills!K4/10)+Skills!N4</f>
        <v/>
      </c>
      <c r="G2056">
        <f>Calc!G4</f>
        <v/>
      </c>
      <c r="H2056">
        <f>Calc!H4</f>
        <v/>
      </c>
      <c r="I2056">
        <f>IF(Skills!T4&lt;&gt;"",1+(Skills!T4/10)*($Z$3/1000)/100,1)</f>
        <v/>
      </c>
      <c r="J2056" t="inlineStr"/>
      <c r="K2056" t="inlineStr"/>
      <c r="L2056" t="inlineStr"/>
      <c r="M2056" t="inlineStr"/>
      <c r="N2056" t="inlineStr"/>
      <c r="O2056">
        <f>(1-Summary!$B$11)*S2056+Summary!$B$11*U2056</f>
        <v/>
      </c>
      <c r="P2056">
        <f>IF(B2095=0,0,O2056/B2095)</f>
        <v/>
      </c>
      <c r="Q2056">
        <f>IFERROR(1/(IF(Inputs!$B$39="pvp",15,MAX(0.1,Skills!D4-IF(Skills!E4=TRUE,Inputs!$B$33,0)))*(1-IF(AND(ArtifactsInput!$M$27,Inputs!$B$4="Chapter Hunt"),CHOOSE(ArtifactsInput!$N$27+1,20,24,28,32,36,40),0)/100)),0)</f>
        <v/>
      </c>
      <c r="R2056">
        <f>IF(AND(Inputs!$B$39&lt;&gt;"pvp",Inputs!$B$44&gt;0),IF(Inputs!$B$44&lt;=0,0,(INT(Inputs!$B$44/(IF(Inputs!$B$39="pvp",15,MAX(0.1,Skills!D4-IF(Skills!E4=TRUE,Inputs!$B$33,0)))*(1-IF(AND(ArtifactsInput!$M$27,Inputs!$B$4="Chapter Hunt"),CHOOSE(ArtifactsInput!$N$27+1,20,24,28,32,36,40),0)/100)))+1)),0)</f>
        <v/>
      </c>
      <c r="S2056" t="n">
        <v>0</v>
      </c>
      <c r="T2056">
        <f>290*T2055/1000</f>
        <v/>
      </c>
      <c r="U2056" t="n">
        <v>0</v>
      </c>
    </row>
    <row r="2057">
      <c r="A2057">
        <f>Skills!A5</f>
        <v/>
      </c>
      <c r="B2057">
        <f>Skills!B5</f>
        <v/>
      </c>
      <c r="C2057">
        <f>Inputs!$B$3&gt;=40</f>
        <v/>
      </c>
      <c r="D2057">
        <f>IF(Skills!C5=1,60+Inputs!$B$26+Inputs!$B$30,IF(Skills!C5=2,90+Inputs!$B$27+Inputs!$B$30,IF(Skills!C5=3,120+Inputs!$B$28+Inputs!$B$30,MAX(0,(Inputs!$B$3-100)*3)+Inputs!$B$29+Inputs!$B$30)))</f>
        <v/>
      </c>
      <c r="E2057">
        <f>INDEX(FactorTable!$B$2:$Y$301, MATCH(ROUND(MIN(300,MAX(1,D2057)),0), FactorTable!$A$2:$A$301,0), Skills!L5+1)</f>
        <v/>
      </c>
      <c r="F2057">
        <f>IF(Skills!M5=TRUE,(Skills!K5/10)*(E2057/1000),Skills!K5/10)+Skills!N5</f>
        <v/>
      </c>
      <c r="G2057">
        <f>Calc!G5</f>
        <v/>
      </c>
      <c r="H2057">
        <f>Calc!H5</f>
        <v/>
      </c>
      <c r="I2057">
        <f>IF(Skills!T5&lt;&gt;"",1+(Skills!T5/10)*($Z$3/1000)/100,1)</f>
        <v/>
      </c>
      <c r="J2057" t="inlineStr"/>
      <c r="K2057" t="inlineStr"/>
      <c r="L2057" t="inlineStr"/>
      <c r="M2057" t="inlineStr"/>
      <c r="N2057" t="inlineStr"/>
      <c r="O2057">
        <f>(1-Summary!$B$11)*S2057+Summary!$B$11*U2057</f>
        <v/>
      </c>
      <c r="P2057">
        <f>IF(B2095=0,0,O2057/B2095)</f>
        <v/>
      </c>
      <c r="Q2057">
        <f>IFERROR(1/(IF(Inputs!$B$39="pvp",15,MAX(0.1,Skills!D5-IF(Skills!E5=TRUE,Inputs!$B$33,0)))*(1-IF(AND(ArtifactsInput!$M$27,Inputs!$B$4="Chapter Hunt"),CHOOSE(ArtifactsInput!$N$27+1,20,24,28,32,36,40),0)/100)),0)</f>
        <v/>
      </c>
      <c r="R2057">
        <f>IF(AND(Inputs!$B$39&lt;&gt;"pvp",Inputs!$B$44&gt;0),IF(Inputs!$B$44&lt;=0,0,(INT(Inputs!$B$44/(IF(Inputs!$B$39="pvp",15,MAX(0.1,Skills!D5-IF(Skills!E5=TRUE,Inputs!$B$33,0)))*(1-IF(AND(ArtifactsInput!$M$27,Inputs!$B$4="Chapter Hunt"),CHOOSE(ArtifactsInput!$N$27+1,20,24,28,32,36,40),0)/100)))+1)),0)</f>
        <v/>
      </c>
      <c r="S2057" t="n">
        <v>0</v>
      </c>
      <c r="U2057" t="n">
        <v>0</v>
      </c>
    </row>
    <row r="2058">
      <c r="A2058">
        <f>Skills!A6</f>
        <v/>
      </c>
      <c r="B2058">
        <f>Skills!B6</f>
        <v/>
      </c>
      <c r="C2058">
        <f>Inputs!$B$3&gt;=103</f>
        <v/>
      </c>
      <c r="D2058">
        <f>IF(Skills!C6=1,60+Inputs!$B$26+Inputs!$B$30,IF(Skills!C6=2,90+Inputs!$B$27+Inputs!$B$30,IF(Skills!C6=3,120+Inputs!$B$28+Inputs!$B$30,MAX(0,(Inputs!$B$3-100)*3)+Inputs!$B$29+Inputs!$B$30)))</f>
        <v/>
      </c>
      <c r="E2058">
        <f>INDEX(FactorTable!$B$2:$Y$301, MATCH(ROUND(MIN(300,MAX(1,D2058)),0), FactorTable!$A$2:$A$301,0), Skills!L6+1)</f>
        <v/>
      </c>
      <c r="F2058">
        <f>IF(Skills!M6=TRUE,(Skills!K6/10)*(E2058/1000),Skills!K6/10)+Skills!N6</f>
        <v/>
      </c>
      <c r="G2058">
        <f>Calc!G6</f>
        <v/>
      </c>
      <c r="H2058">
        <f>Calc!H6</f>
        <v/>
      </c>
      <c r="I2058">
        <f>IF(Skills!T6&lt;&gt;"",1+(Skills!T6/10)*($Z$3/1000)/100,1)</f>
        <v/>
      </c>
      <c r="J2058">
        <f>((Inputs!$B$6*(1+Inputs!$B$7/100))+(((Inputs!$B$13*(1+Inputs!$B$14/100))-(Inputs!$B$13*(1+Inputs!$B$14/100)))+0.25*(Inputs!$B$15-Inputs!$B$15))*(1+Inputs!$B$7/100))*(F2058/100)</f>
        <v/>
      </c>
      <c r="K2058">
        <f>J2058*(1+(((Inputs!$B$13+IF(Inputs!$B$3&gt;=35,(10*INDEX(FactorTable!$B$2:$Y$301,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6="TRIUMPH_FEATHER",IF(C2068=TRUE,F2068,0),0)/100)*(1+IF(C2079=TRUE,F2079,0)/100)^5*(1+(IF(Skills!A6="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2058)</f>
        <v/>
      </c>
      <c r="L2058">
        <f>K2058*(MIN(Inputs!$B$23+(F2074-Calc!F22),(Inputs!$B$24+IF(ArtifactsInput!$M$15,CHOOSE(ArtifactsInput!$N$15+1,25,30,35,40,45,50)/100*(Inputs!$B$12-Inputs!$B$12),0)))/100+(Inputs!$B$24+IF(ArtifactsInput!$M$15,CHOOSE(ArtifactsInput!$N$15+1,25,30,35,40,45,50)/100*(Inputs!$B$12-Inputs!$B$12),0))/100)/2</f>
        <v/>
      </c>
      <c r="M2058">
        <f>L2058*(1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8">
        <f>L2058*(1-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2058*(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8">
        <f>(1-Summary!$B$11)*S2058+Summary!$B$11*U2058</f>
        <v/>
      </c>
      <c r="P2058">
        <f>IF(B2095=0,0,O2058/B2095)</f>
        <v/>
      </c>
      <c r="Q2058">
        <f>IFERROR(1/(IF(Inputs!$B$39="pvp",15,MAX(0.1,Skills!D6-IF(Skills!E6=TRUE,Inputs!$B$33,0)))*(1-IF(AND(ArtifactsInput!$M$27,Inputs!$B$4="Chapter Hunt"),CHOOSE(ArtifactsInput!$N$27+1,20,24,28,32,36,40),0)/100)),0)</f>
        <v/>
      </c>
      <c r="R2058">
        <f>IF(AND(Inputs!$B$39&lt;&gt;"pvp",Inputs!$B$44&gt;0),IF(MAX(0,Inputs!$B$44-B2092)&lt;=0,0,(INT(MAX(0,Inputs!$B$44-B2092)/(IF(Inputs!$B$39="pvp",15,MAX(0.1,Skills!D6-IF(Skills!E6=TRUE,Inputs!$B$33,0)))*(1-IF(AND(ArtifactsInput!$M$27,Inputs!$B$4="Chapter Hunt"),CHOOSE(ArtifactsInput!$N$27+1,20,24,28,32,36,40),0)/100)))+1)),0)</f>
        <v/>
      </c>
      <c r="S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$21+Skills!O6+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2058*(1-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2058*(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2058*(1-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2058*(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$22+Skills!P6+B2084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9">
      <c r="A2059">
        <f>Skills!A7</f>
        <v/>
      </c>
      <c r="B2059">
        <f>Skills!B7</f>
        <v/>
      </c>
      <c r="C2059">
        <f>Inputs!$B$3&gt;=122</f>
        <v/>
      </c>
      <c r="D2059">
        <f>IF(Skills!C7=1,60+Inputs!$B$26+Inputs!$B$30,IF(Skills!C7=2,90+Inputs!$B$27+Inputs!$B$30,IF(Skills!C7=3,120+Inputs!$B$28+Inputs!$B$30,MAX(0,(Inputs!$B$3-100)*3)+Inputs!$B$29+Inputs!$B$30)))</f>
        <v/>
      </c>
      <c r="E2059">
        <f>INDEX(FactorTable!$B$2:$Y$301, MATCH(ROUND(MIN(300,MAX(1,D2059)),0), FactorTable!$A$2:$A$301,0), Skills!L7+1)</f>
        <v/>
      </c>
      <c r="F2059">
        <f>IF(Skills!M7=TRUE,(Skills!K7/10)*(E2059/1000),Skills!K7/10)+Skills!N7</f>
        <v/>
      </c>
      <c r="G2059">
        <f>Calc!G7</f>
        <v/>
      </c>
      <c r="H2059">
        <f>Calc!H7</f>
        <v/>
      </c>
      <c r="I2059">
        <f>IF(Skills!T7&lt;&gt;"",1+(Skills!T7/10)*($Z$3/1000)/100,1)</f>
        <v/>
      </c>
      <c r="J2059">
        <f>((Inputs!$B$6*(1+Inputs!$B$7/100))+(((Inputs!$B$13*(1+Inputs!$B$14/100))-(Inputs!$B$13*(1+Inputs!$B$14/100)))+0.25*(Inputs!$B$15-Inputs!$B$15))*(1+Inputs!$B$7/100))*(F2059/100)</f>
        <v/>
      </c>
      <c r="K2059">
        <f>J2059*(1+(((Inputs!$B$13+IF(Inputs!$B$3&gt;=35,(10*INDEX(FactorTable!$B$2:$Y$301,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7="TRIUMPH_FEATHER",IF(C2068=TRUE,F2068,0),0)/100)*(1+IF(C2079=TRUE,F2079,0)/100)^5*(1+(IF(Skills!A7="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2059)</f>
        <v/>
      </c>
      <c r="L2059">
        <f>K2059*(MIN(Inputs!$B$23+(F2074-Calc!F22),(Inputs!$B$24+IF(ArtifactsInput!$M$15,CHOOSE(ArtifactsInput!$N$15+1,25,30,35,40,45,50)/100*(Inputs!$B$12-Inputs!$B$12),0)))/100+(Inputs!$B$24+IF(ArtifactsInput!$M$15,CHOOSE(ArtifactsInput!$N$15+1,25,30,35,40,45,50)/100*(Inputs!$B$12-Inputs!$B$12),0))/100)/2</f>
        <v/>
      </c>
      <c r="M2059">
        <f>L2059*(1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9">
        <f>L2059*(1-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(1-Summary!$B$11)*S2059+Summary!$B$11*U2059</f>
        <v/>
      </c>
      <c r="P2059">
        <f>IF(B2095=0,0,O2059/B2095)</f>
        <v/>
      </c>
      <c r="Q2059">
        <f>IFERROR(1/(IF(Inputs!$B$39="pvp",15,MAX(0.1,Skills!D7-IF(Skills!E6=TRUE,Inputs!$B$33,0)))*(1-IF(AND(ArtifactsInput!$M$27,Inputs!$B$4="Chapter Hunt"),CHOOSE(ArtifactsInput!$N$27+1,20,24,28,32,36,40),0)/100)),0)</f>
        <v/>
      </c>
      <c r="R2059">
        <f>IF(AND(Inputs!$B$39&lt;&gt;"pvp",Inputs!$B$44&gt;0),IF(MAX(0,Inputs!$B$44-B2092)&lt;=0,0,(INT(MAX(0,Inputs!$B$44-B2092)/(IF(Inputs!$B$39="pvp",15,MAX(0.1,Skills!D7-IF(Skills!E6=TRUE,Inputs!$B$33,0)))*(1-IF(AND(ArtifactsInput!$M$27,Inputs!$B$4="Chapter Hunt"),CHOOSE(ArtifactsInput!$N$27+1,20,24,28,32,36,40),0)/100)))+1)),0)</f>
        <v/>
      </c>
      <c r="S2059">
        <f>IF(C2059,H2059*N2059*IF(AND(Inputs!$B$39&lt;&gt;"pvp",Inputs!$B$44&gt;0),((Skills!F7*((R2059-1)*IF(Skills!G7&gt;0,Skills!H7/Skills!G7,1)+IF(Skills!G7&gt;0,MIN(Skills!H7,MAX(0,MAX(0,Inputs!$B$44-B2092)-((R2059-1)*(IF(Inputs!$B$39="pvp",15,MAX(0.1,Skills!D7-IF(Skills!E6=TRUE,Inputs!$B$33,0)))*(1-IF(AND(ArtifactsInput!$M$27,Inputs!$B$4="Chapter Hunt"),CHOOSE(ArtifactsInput!$N$27+1,20,24,28,32,36,40),0)/100)))))/Skills!G7,1)))/Inputs!$B$44),G2059*Q2059)*IF(Inputs!$B$39="pvp",1,1+(Inputs!$B$21+Skills!O7+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2059*(1-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9" t="n">
        <v>0</v>
      </c>
    </row>
    <row r="2060">
      <c r="A2060">
        <f>Skills!A8</f>
        <v/>
      </c>
      <c r="B2060">
        <f>Skills!B8</f>
        <v/>
      </c>
      <c r="C2060">
        <f>Inputs!$B$3&gt;=105</f>
        <v/>
      </c>
      <c r="D2060">
        <f>IF(Skills!C8=1,60+Inputs!$B$26+Inputs!$B$30,IF(Skills!C8=2,90+Inputs!$B$27+Inputs!$B$30,IF(Skills!C8=3,120+Inputs!$B$28+Inputs!$B$30,MAX(0,(Inputs!$B$3-100)*3)+Inputs!$B$29+Inputs!$B$30)))</f>
        <v/>
      </c>
      <c r="E2060">
        <f>INDEX(FactorTable!$B$2:$Y$301, MATCH(ROUND(MIN(300,MAX(1,D2060)),0), FactorTable!$A$2:$A$301,0), Skills!L8+1)</f>
        <v/>
      </c>
      <c r="F2060">
        <f>IF(Skills!M8=TRUE,(Skills!K8/10)*(E2060/1000),Skills!K8/10)+Skills!N8</f>
        <v/>
      </c>
      <c r="G2060">
        <f>Calc!G8</f>
        <v/>
      </c>
      <c r="H2060">
        <f>Calc!H8</f>
        <v/>
      </c>
      <c r="I2060">
        <f>IF(Skills!T8&lt;&gt;"",1+(Skills!T8/10)*($Z$3/1000)/100,1)</f>
        <v/>
      </c>
      <c r="J2060">
        <f>((Inputs!$B$6*(1+Inputs!$B$7/100))+(((Inputs!$B$13*(1+Inputs!$B$14/100))-(Inputs!$B$13*(1+Inputs!$B$14/100)))+0.25*(Inputs!$B$15-Inputs!$B$15))*(1+Inputs!$B$7/100))*(F2060/100)</f>
        <v/>
      </c>
      <c r="K2060">
        <f>J2060*(1+(((Inputs!$B$13+IF(Inputs!$B$3&gt;=35,(10*INDEX(FactorTable!$B$2:$Y$301,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8="TRIUMPH_FEATHER",IF(C2068=TRUE,F2068,0),0)/100)*(1+IF(C2079=TRUE,F2079,0)/100)^5*(1+(IF(Skills!A8="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2060)</f>
        <v/>
      </c>
      <c r="L2060">
        <f>K2060*(MIN(Inputs!$B$23+(F2074-Calc!F22),(Inputs!$B$24+IF(ArtifactsInput!$M$15,CHOOSE(ArtifactsInput!$N$15+1,25,30,35,40,45,50)/100*(Inputs!$B$12-Inputs!$B$12),0)))/100+(Inputs!$B$24+IF(ArtifactsInput!$M$15,CHOOSE(ArtifactsInput!$N$15+1,25,30,35,40,45,50)/100*(Inputs!$B$12-Inputs!$B$12),0))/100)/2</f>
        <v/>
      </c>
      <c r="M2060">
        <f>L2060*(1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0">
        <f>L2060*(1-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2060*(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0">
        <f>(1-Summary!$B$11)*S2060+Summary!$B$11*U2060</f>
        <v/>
      </c>
      <c r="P2060">
        <f>IF(B2095=0,0,O2060/B2095)</f>
        <v/>
      </c>
      <c r="Q2060">
        <f>IFERROR(1/(IF(Inputs!$B$39="pvp",15,MAX(0.1,Skills!D8-IF(Skills!E8=TRUE,Inputs!$B$33,0)))*(1-IF(AND(ArtifactsInput!$M$27,Inputs!$B$4="Chapter Hunt"),CHOOSE(ArtifactsInput!$N$27+1,20,24,28,32,36,40),0)/100)),0)</f>
        <v/>
      </c>
      <c r="R2060">
        <f>IF(AND(Inputs!$B$39&lt;&gt;"pvp",Inputs!$B$44&gt;0),IF(MAX(0,Inputs!$B$44-B2092)&lt;=0,0,(INT(MAX(0,Inputs!$B$44-B2092)/(IF(Inputs!$B$39="pvp",15,MAX(0.1,Skills!D8-IF(Skills!E8=TRUE,Inputs!$B$33,0)))*(1-IF(AND(ArtifactsInput!$M$27,Inputs!$B$4="Chapter Hunt"),CHOOSE(ArtifactsInput!$N$27+1,20,24,28,32,36,40),0)/100)))+1)),0)</f>
        <v/>
      </c>
      <c r="S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$21+Skills!O8+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2060*(1-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2060*(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2060*(1-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2060*(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$22+Skills!P8+B2084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1">
      <c r="A2061">
        <f>Skills!A9</f>
        <v/>
      </c>
      <c r="B2061">
        <f>Skills!B9</f>
        <v/>
      </c>
      <c r="C2061">
        <f>Inputs!$B$3&gt;=115</f>
        <v/>
      </c>
      <c r="D2061">
        <f>IF(Skills!C9=1,60+Inputs!$B$26+Inputs!$B$30,IF(Skills!C9=2,90+Inputs!$B$27+Inputs!$B$30,IF(Skills!C9=3,120+Inputs!$B$28+Inputs!$B$30,MAX(0,(Inputs!$B$3-100)*3)+Inputs!$B$29+Inputs!$B$30)))</f>
        <v/>
      </c>
      <c r="E2061">
        <f>INDEX(FactorTable!$B$2:$Y$301, MATCH(ROUND(MIN(300,MAX(1,D2061)),0), FactorTable!$A$2:$A$301,0), Skills!L9+1)</f>
        <v/>
      </c>
      <c r="F2061">
        <f>IF(Skills!M9=TRUE,(Skills!K9/10)*(E2061/1000),Skills!K9/10)+Skills!N9</f>
        <v/>
      </c>
      <c r="G2061">
        <f>Calc!G9</f>
        <v/>
      </c>
      <c r="H2061">
        <f>Calc!H9</f>
        <v/>
      </c>
      <c r="I2061">
        <f>IF(Skills!T9&lt;&gt;"",1+(Skills!T9/10)*($Z$3/1000)/100,1)</f>
        <v/>
      </c>
      <c r="J2061">
        <f>((Inputs!$B$6*(1+Inputs!$B$7/100))+(((Inputs!$B$13*(1+Inputs!$B$14/100))-(Inputs!$B$13*(1+Inputs!$B$14/100)))+0.25*(Inputs!$B$15-Inputs!$B$15))*(1+Inputs!$B$7/100))*(F2061/100)</f>
        <v/>
      </c>
      <c r="K2061">
        <f>J2061*(1+(((Inputs!$B$13+IF(Inputs!$B$3&gt;=35,(10*INDEX(FactorTable!$B$2:$Y$301,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9="TRIUMPH_FEATHER",IF(C2068=TRUE,F2068,0),0)/100)*(1+IF(C2079=TRUE,F2079,0)/100)^5*(1+(IF(Skills!A9="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2061)</f>
        <v/>
      </c>
      <c r="L2061">
        <f>K2061*(MIN(Inputs!$B$23+(F2074-Calc!F22),(Inputs!$B$24+IF(ArtifactsInput!$M$15,CHOOSE(ArtifactsInput!$N$15+1,25,30,35,40,45,50)/100*(Inputs!$B$12-Inputs!$B$12),0)))/100+(Inputs!$B$24+IF(ArtifactsInput!$M$15,CHOOSE(ArtifactsInput!$N$15+1,25,30,35,40,45,50)/100*(Inputs!$B$12-Inputs!$B$12),0))/100)/2</f>
        <v/>
      </c>
      <c r="M2061">
        <f>L2061*(1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1">
        <f>L2061*(1-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(1-Summary!$B$11)*S2061+Summary!$B$11*U2061</f>
        <v/>
      </c>
      <c r="P2061">
        <f>IF(B2095=0,0,O2061/B2095)</f>
        <v/>
      </c>
      <c r="Q2061">
        <f>IFERROR(1/(IF(Inputs!$B$39="pvp",15,MAX(0.1,Skills!D9-IF(Skills!E9=TRUE,Inputs!$B$33,0)))*(1-IF(AND(ArtifactsInput!$M$27,Inputs!$B$4="Chapter Hunt"),CHOOSE(ArtifactsInput!$N$27+1,20,24,28,32,36,40),0)/100)),0)</f>
        <v/>
      </c>
      <c r="R2061">
        <f>IF(AND(Inputs!$B$39&lt;&gt;"pvp",Inputs!$B$44&gt;0),IF(MAX(0,Inputs!$B$44-B2092)&lt;=0,0,(INT(MAX(0,Inputs!$B$44-B2092)/(IF(Inputs!$B$39="pvp",15,MAX(0.1,Skills!D9-IF(Skills!E9=TRUE,Inputs!$B$33,0)))*(1-IF(AND(ArtifactsInput!$M$27,Inputs!$B$4="Chapter Hunt"),CHOOSE(ArtifactsInput!$N$27+1,20,24,28,32,36,40),0)/100)))+1)),0)</f>
        <v/>
      </c>
      <c r="S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$21+Skills!O9+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$22+Skills!P9+B2084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Skills!A10</f>
        <v/>
      </c>
      <c r="B2062">
        <f>Skills!B10</f>
        <v/>
      </c>
      <c r="C2062">
        <f>Inputs!$B$3&gt;=66</f>
        <v/>
      </c>
      <c r="D2062">
        <f>IF(Skills!C10=1,60+Inputs!$B$26+Inputs!$B$30,IF(Skills!C10=2,90+Inputs!$B$27+Inputs!$B$30,IF(Skills!C10=3,120+Inputs!$B$28+Inputs!$B$30,MAX(0,(Inputs!$B$3-100)*3)+Inputs!$B$29+Inputs!$B$30)))</f>
        <v/>
      </c>
      <c r="E2062">
        <f>INDEX(FactorTable!$B$2:$Y$301, MATCH(ROUND(MIN(300,MAX(1,D2062)),0), FactorTable!$A$2:$A$301,0), Skills!L10+1)</f>
        <v/>
      </c>
      <c r="F2062" t="n">
        <v>0</v>
      </c>
      <c r="G2062">
        <f>Calc!G10</f>
        <v/>
      </c>
      <c r="H2062">
        <f>Calc!H10</f>
        <v/>
      </c>
      <c r="I2062">
        <f>IF(Skills!T10&lt;&gt;"",1+(Skills!T10/10)*($Z$3/1000)/100,1)</f>
        <v/>
      </c>
      <c r="J2062" t="inlineStr"/>
      <c r="K2062" t="inlineStr"/>
      <c r="L2062" t="inlineStr"/>
      <c r="M2062" t="inlineStr"/>
      <c r="N2062" t="inlineStr"/>
      <c r="O2062">
        <f>(1-Summary!$B$11)*S2062+Summary!$B$11*U2062</f>
        <v/>
      </c>
      <c r="P2062">
        <f>IF(B2095=0,0,O2062/B2095)</f>
        <v/>
      </c>
      <c r="Q2062">
        <f>IFERROR(1/(IF(Inputs!$B$39="pvp",15,MAX(0.1,Skills!D10-IF(Skills!E10=TRUE,Inputs!$B$33,0)))*(1-IF(AND(ArtifactsInput!$M$27,Inputs!$B$4="Chapter Hunt"),CHOOSE(ArtifactsInput!$N$27+1,20,24,28,32,36,40),0)/100)),0)</f>
        <v/>
      </c>
      <c r="R2062">
        <f>IF(AND(Inputs!$B$39&lt;&gt;"pvp",Inputs!$B$44&gt;0),IF(MAX(0,Inputs!$B$44-B2092)&lt;=0,0,(INT(MAX(0,Inputs!$B$44-B2092)/(IF(Inputs!$B$39="pvp",15,MAX(0.1,Skills!D10-IF(Skills!E10=TRUE,Inputs!$B$33,0)))*(1-IF(AND(ArtifactsInput!$M$27,Inputs!$B$4="Chapter Hunt"),CHOOSE(ArtifactsInput!$N$27+1,20,24,28,32,36,40),0)/100)))+1)),0)</f>
        <v/>
      </c>
      <c r="S2062" t="n">
        <v>0</v>
      </c>
      <c r="U2062" t="n">
        <v>0</v>
      </c>
    </row>
    <row r="2063">
      <c r="A2063">
        <f>Skills!A11</f>
        <v/>
      </c>
      <c r="B2063">
        <f>Skills!B11</f>
        <v/>
      </c>
      <c r="C2063">
        <f>Inputs!$B$3&gt;=69</f>
        <v/>
      </c>
      <c r="D2063">
        <f>IF(Skills!C11=1,60+Inputs!$B$26+Inputs!$B$30,IF(Skills!C11=2,90+Inputs!$B$27+Inputs!$B$30,IF(Skills!C11=3,120+Inputs!$B$28+Inputs!$B$30,MAX(0,(Inputs!$B$3-100)*3)+Inputs!$B$29+Inputs!$B$30)))</f>
        <v/>
      </c>
      <c r="E2063">
        <f>INDEX(FactorTable!$B$2:$Y$301, MATCH(ROUND(MIN(300,MAX(1,D2063)),0), FactorTable!$A$2:$A$301,0), Skills!L11+1)</f>
        <v/>
      </c>
      <c r="F2063">
        <f>IF(Skills!M11=TRUE,(Skills!K11/10)*(E2063/1000),Skills!K11/10)+Skills!N11</f>
        <v/>
      </c>
      <c r="G2063">
        <f>Calc!G11</f>
        <v/>
      </c>
      <c r="H2063">
        <f>Calc!H11</f>
        <v/>
      </c>
      <c r="I2063">
        <f>IF(Skills!T11&lt;&gt;"",1+(Skills!T11/10)*($Z$3/1000)/100,1)</f>
        <v/>
      </c>
      <c r="J2063" t="inlineStr"/>
      <c r="K2063" t="inlineStr"/>
      <c r="L2063" t="inlineStr"/>
      <c r="M2063" t="inlineStr"/>
      <c r="N2063" t="inlineStr"/>
      <c r="O2063">
        <f>(1-Summary!$B$11)*S2063+Summary!$B$11*U2063</f>
        <v/>
      </c>
      <c r="P2063">
        <f>IF(B2095=0,0,O2063/B2095)</f>
        <v/>
      </c>
      <c r="Q2063">
        <f>IFERROR(1/(IF(Inputs!$B$39="pvp",15,MAX(0.1,Skills!D11-IF(Skills!E11=TRUE,Inputs!$B$33,0)))*(1-IF(AND(ArtifactsInput!$M$27,Inputs!$B$4="Chapter Hunt"),CHOOSE(ArtifactsInput!$N$27+1,20,24,28,32,36,40),0)/100)),0)</f>
        <v/>
      </c>
      <c r="R2063">
        <f>IF(AND(Inputs!$B$39&lt;&gt;"pvp",Inputs!$B$44&gt;0),IF(Inputs!$B$44&lt;=0,0,(INT(Inputs!$B$44/(IF(Inputs!$B$39="pvp",15,MAX(0.1,Skills!D11-IF(Skills!E11=TRUE,Inputs!$B$33,0)))*(1-IF(AND(ArtifactsInput!$M$27,Inputs!$B$4="Chapter Hunt"),CHOOSE(ArtifactsInput!$N$27+1,20,24,28,32,36,40),0)/100)))+1)),0)</f>
        <v/>
      </c>
      <c r="S2063" t="n">
        <v>0</v>
      </c>
      <c r="U2063" t="n">
        <v>0</v>
      </c>
    </row>
    <row r="2064">
      <c r="A2064">
        <f>Skills!A12</f>
        <v/>
      </c>
      <c r="B2064">
        <f>Skills!B12</f>
        <v/>
      </c>
      <c r="C2064">
        <f>Inputs!$B$3&gt;=72</f>
        <v/>
      </c>
      <c r="D2064">
        <f>IF(Skills!C12=1,60+Inputs!$B$26+Inputs!$B$30,IF(Skills!C12=2,90+Inputs!$B$27+Inputs!$B$30,IF(Skills!C12=3,120+Inputs!$B$28+Inputs!$B$30,MAX(0,(Inputs!$B$3-100)*3)+Inputs!$B$29+Inputs!$B$30)))</f>
        <v/>
      </c>
      <c r="E2064">
        <f>INDEX(FactorTable!$B$2:$Y$301, MATCH(ROUND(MIN(300,MAX(1,D2064)),0), FactorTable!$A$2:$A$301,0), Skills!L12+1)</f>
        <v/>
      </c>
      <c r="F2064">
        <f>IF(Skills!M12=TRUE,(Skills!K12/10)*(E2064/1000),Skills!K12/10)+Skills!N12</f>
        <v/>
      </c>
      <c r="G2064">
        <f>Calc!G12</f>
        <v/>
      </c>
      <c r="H2064">
        <f>Calc!H12</f>
        <v/>
      </c>
      <c r="I2064">
        <f>IF(Skills!T12&lt;&gt;"",1+(Skills!T12/10)*($Z$3/1000)/100,1)</f>
        <v/>
      </c>
      <c r="J2064" t="inlineStr"/>
      <c r="K2064" t="inlineStr"/>
      <c r="L2064" t="inlineStr"/>
      <c r="M2064" t="inlineStr"/>
      <c r="N2064" t="inlineStr"/>
      <c r="O2064">
        <f>(1-Summary!$B$11)*S2064+Summary!$B$11*U2064</f>
        <v/>
      </c>
      <c r="P2064">
        <f>IF(B2095=0,0,O2064/B2095)</f>
        <v/>
      </c>
      <c r="Q2064">
        <f>IFERROR(1/(IF(Inputs!$B$39="pvp",15,MAX(0.1,Skills!D12-IF(Skills!E12=TRUE,Inputs!$B$33,0)))*(1-IF(AND(ArtifactsInput!$M$27,Inputs!$B$4="Chapter Hunt"),CHOOSE(ArtifactsInput!$N$27+1,20,24,28,32,36,40),0)/100)),0)</f>
        <v/>
      </c>
      <c r="R2064">
        <f>IF(AND(Inputs!$B$39&lt;&gt;"pvp",Inputs!$B$44&gt;0),IF(MAX(0,Inputs!$B$44-B2092)&lt;=0,0,(INT(MAX(0,Inputs!$B$44-B2092)/(IF(Inputs!$B$39="pvp",15,MAX(0.1,Skills!D12-IF(Skills!E12=TRUE,Inputs!$B$33,0)))*(1-IF(AND(ArtifactsInput!$M$27,Inputs!$B$4="Chapter Hunt"),CHOOSE(ArtifactsInput!$N$27+1,20,24,28,32,36,40),0)/100)))+1)),0)</f>
        <v/>
      </c>
      <c r="S2064" t="n">
        <v>0</v>
      </c>
      <c r="U2064" t="n">
        <v>0</v>
      </c>
    </row>
    <row r="2065">
      <c r="A2065">
        <f>Skills!A13</f>
        <v/>
      </c>
      <c r="B2065">
        <f>Skills!B13</f>
        <v/>
      </c>
      <c r="C2065">
        <f>Inputs!$B$3&gt;=60</f>
        <v/>
      </c>
      <c r="D2065">
        <f>IF(Skills!C13=1,60+Inputs!$B$26+Inputs!$B$30,IF(Skills!C13=2,90+Inputs!$B$27+Inputs!$B$30,IF(Skills!C13=3,120+Inputs!$B$28+Inputs!$B$30,MAX(0,(Inputs!$B$3-100)*3)+Inputs!$B$29+Inputs!$B$30)))</f>
        <v/>
      </c>
      <c r="E2065">
        <f>INDEX(FactorTable!$B$2:$Y$301, MATCH(ROUND(MIN(300,MAX(1,D2065)),0), FactorTable!$A$2:$A$301,0), Skills!L13+1)</f>
        <v/>
      </c>
      <c r="F2065">
        <f>IF(Skills!M13=TRUE,(Skills!K13/10)*(E2065/1000),Skills!K13/10)+Skills!N13</f>
        <v/>
      </c>
      <c r="G2065">
        <f>Calc!G13</f>
        <v/>
      </c>
      <c r="H2065">
        <f>Calc!H13</f>
        <v/>
      </c>
      <c r="I2065">
        <f>IF(Skills!T13&lt;&gt;"",1+(Skills!T13/10)*($Z$3/1000)/100,1)</f>
        <v/>
      </c>
      <c r="J2065" t="inlineStr"/>
      <c r="K2065" t="inlineStr"/>
      <c r="L2065" t="inlineStr"/>
      <c r="M2065" t="inlineStr"/>
      <c r="N2065" t="inlineStr"/>
      <c r="O2065">
        <f>(1-Summary!$B$11)*S2065+Summary!$B$11*U2065</f>
        <v/>
      </c>
      <c r="P2065">
        <f>IF(B2095=0,0,O2065/B2095)</f>
        <v/>
      </c>
      <c r="Q2065">
        <f>IFERROR(1/(IF(Inputs!$B$39="pvp",15,MAX(0.1,Skills!D13-IF(Skills!E13=TRUE,Inputs!$B$33,0)))*(1-IF(AND(ArtifactsInput!$M$27,Inputs!$B$4="Chapter Hunt"),CHOOSE(ArtifactsInput!$N$27+1,20,24,28,32,36,40),0)/100)),0)</f>
        <v/>
      </c>
      <c r="R2065">
        <f>IF(AND(Inputs!$B$39&lt;&gt;"pvp",Inputs!$B$44&gt;0),IF(MAX(0,Inputs!$B$44-B2092)&lt;=0,0,(INT(MAX(0,Inputs!$B$44-B2092)/(IF(Inputs!$B$39="pvp",15,MAX(0.1,Skills!D13-IF(Skills!E13=TRUE,Inputs!$B$33,0)))*(1-IF(AND(ArtifactsInput!$M$27,Inputs!$B$4="Chapter Hunt"),CHOOSE(ArtifactsInput!$N$27+1,20,24,28,32,36,40),0)/100)))+1)),0)</f>
        <v/>
      </c>
      <c r="S2065" t="n">
        <v>0</v>
      </c>
      <c r="U2065" t="n">
        <v>0</v>
      </c>
    </row>
    <row r="2066">
      <c r="A2066">
        <f>Skills!A14</f>
        <v/>
      </c>
      <c r="B2066">
        <f>Skills!B14</f>
        <v/>
      </c>
      <c r="C2066">
        <f>Inputs!$B$3&gt;=107</f>
        <v/>
      </c>
      <c r="D2066">
        <f>IF(Skills!C14=1,60+Inputs!$B$26+Inputs!$B$30,IF(Skills!C14=2,90+Inputs!$B$27+Inputs!$B$30,IF(Skills!C14=3,120+Inputs!$B$28+Inputs!$B$30,MAX(0,(Inputs!$B$3-100)*3)+Inputs!$B$29+Inputs!$B$30)))</f>
        <v/>
      </c>
      <c r="E2066">
        <f>INDEX(FactorTable!$B$2:$Y$301, MATCH(ROUND(MIN(300,MAX(1,D2066)),0), FactorTable!$A$2:$A$301,0), Skills!L14+1)</f>
        <v/>
      </c>
      <c r="F2066">
        <f>IF(Skills!M14=TRUE,(Skills!K14/10)*(E2066/1000),Skills!K14/10)+Skills!N14</f>
        <v/>
      </c>
      <c r="G2066">
        <f>Calc!G14</f>
        <v/>
      </c>
      <c r="H2066">
        <f>Calc!H14</f>
        <v/>
      </c>
      <c r="I2066">
        <f>IF(Skills!T14&lt;&gt;"",1+(Skills!T14/10)*($Z$3/1000)/100,1)</f>
        <v/>
      </c>
      <c r="J2066" t="inlineStr"/>
      <c r="K2066" t="inlineStr"/>
      <c r="L2066" t="inlineStr"/>
      <c r="M2066" t="inlineStr"/>
      <c r="N2066" t="inlineStr"/>
      <c r="O2066">
        <f>(1-Summary!$B$11)*S2066+Summary!$B$11*U2066</f>
        <v/>
      </c>
      <c r="P2066">
        <f>IF(B2095=0,0,O2066/B2095)</f>
        <v/>
      </c>
      <c r="Q2066">
        <f>IFERROR(1/(IF(Inputs!$B$39="pvp",15,MAX(0.1,Skills!D14-IF(Skills!E14=TRUE,Inputs!$B$33,0)))*(1-IF(AND(ArtifactsInput!$M$27,Inputs!$B$4="Chapter Hunt"),CHOOSE(ArtifactsInput!$N$27+1,20,24,28,32,36,40),0)/100)),0)</f>
        <v/>
      </c>
      <c r="R2066">
        <f>IF(AND(Inputs!$B$39&lt;&gt;"pvp",Inputs!$B$44&gt;0),IF(Inputs!$B$44&lt;=0,0,(INT(Inputs!$B$44/(IF(Inputs!$B$39="pvp",15,MAX(0.1,Skills!D14-IF(Skills!E14=TRUE,Inputs!$B$33,0)))*(1-IF(AND(ArtifactsInput!$M$27,Inputs!$B$4="Chapter Hunt"),CHOOSE(ArtifactsInput!$N$27+1,20,24,28,32,36,40),0)/100)))+1)),0)</f>
        <v/>
      </c>
      <c r="S2066" t="n">
        <v>0</v>
      </c>
      <c r="U2066" t="n">
        <v>0</v>
      </c>
    </row>
    <row r="2067">
      <c r="A2067">
        <f>Skills!A15</f>
        <v/>
      </c>
      <c r="B2067">
        <f>Skills!B15</f>
        <v/>
      </c>
      <c r="C2067">
        <f>Inputs!$B$3&gt;=63</f>
        <v/>
      </c>
      <c r="D2067">
        <f>IF(Skills!C15=1,60+Inputs!$B$26+Inputs!$B$30,IF(Skills!C15=2,90+Inputs!$B$27+Inputs!$B$30,IF(Skills!C15=3,120+Inputs!$B$28+Inputs!$B$30,MAX(0,(Inputs!$B$3-100)*3)+Inputs!$B$29+Inputs!$B$30)))</f>
        <v/>
      </c>
      <c r="E2067">
        <f>INDEX(FactorTable!$B$2:$Y$301, MATCH(ROUND(MIN(300,MAX(1,D2067)),0), FactorTable!$A$2:$A$301,0), Skills!L15+1)</f>
        <v/>
      </c>
      <c r="F2067">
        <f>IF(Skills!M15=TRUE,(Skills!K15/10)*(E2067/1000),Skills!K15/10)+Skills!N15</f>
        <v/>
      </c>
      <c r="G2067">
        <f>Calc!G15</f>
        <v/>
      </c>
      <c r="H2067">
        <f>Calc!H15</f>
        <v/>
      </c>
      <c r="I2067">
        <f>IF(Skills!T15&lt;&gt;"",1+(Skills!T15/10)*($Z$3/1000)/100,1)</f>
        <v/>
      </c>
      <c r="J2067">
        <f>((Inputs!$B$6*(1+Inputs!$B$7/100))+(((Inputs!$B$13*(1+Inputs!$B$14/100))-(Inputs!$B$13*(1+Inputs!$B$14/100)))+0.25*(Inputs!$B$15-Inputs!$B$15))*(1+Inputs!$B$7/100))*(F2067/100)</f>
        <v/>
      </c>
      <c r="K2067">
        <f>J2067*(1+(((Inputs!$B$13+IF(Inputs!$B$3&gt;=35,(10*INDEX(FactorTable!$B$2:$Y$301,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15="TRIUMPH_FEATHER",IF(C2068=TRUE,F2068,0),0)/100)*(1+IF(C2079=TRUE,F2079,0)/100)^5*(1+(IF(Skills!A15="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2067)</f>
        <v/>
      </c>
      <c r="L2067">
        <f>K2067*(MIN(Inputs!$B$23+(F2074-Calc!F22),(Inputs!$B$24+IF(ArtifactsInput!$M$15,CHOOSE(ArtifactsInput!$N$15+1,25,30,35,40,45,50)/100*(Inputs!$B$12-Inputs!$B$12),0)))/100+(Inputs!$B$24+IF(ArtifactsInput!$M$15,CHOOSE(ArtifactsInput!$N$15+1,25,30,35,40,45,50)/100*(Inputs!$B$12-Inputs!$B$12),0))/100)/2</f>
        <v/>
      </c>
      <c r="M2067">
        <f>L2067*(1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7">
        <f>L2067*(1-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2067*(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7">
        <f>(1-Summary!$B$11)*S2067+Summary!$B$11*U2067</f>
        <v/>
      </c>
      <c r="P2067">
        <f>IF(B2095=0,0,O2067/B2095)</f>
        <v/>
      </c>
      <c r="Q2067">
        <f>IFERROR(1/(IF(Inputs!$B$39="pvp",15,MAX(0.1,Skills!D15-IF(Skills!E15=TRUE,Inputs!$B$33,0)))*(1-IF(AND(ArtifactsInput!$M$27,Inputs!$B$4="Chapter Hunt"),CHOOSE(ArtifactsInput!$N$27+1,20,24,28,32,36,40),0)/100)),0)</f>
        <v/>
      </c>
      <c r="R2067" t="n">
        <v>0</v>
      </c>
      <c r="S2067">
        <f>IF(C2067,(Skills!F15*N2067*((IF(Inputs!$B$3&gt;=78,25,15)/100*B2088*10)/(1+IF(Inputs!$B$3&gt;=78,25,15)/100*B2088*10))*(Skills!I15/100*B2088)/(1+Skills!G15*Skills!I15/100*B2088))*IF(Inputs!$B$39="pvp",1,1+(Inputs!$B$21+Skills!O15+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2067*(1-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2067*(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2067*(1-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2067*(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7">
        <f>IF(C2067,(Skills!F15*N2067*((IF(Inputs!$B$3&gt;=78,25,15)/100*B2088*10)/(1+IF(Inputs!$B$3&gt;=78,25,15)/100*B2088*10))*(Skills!I15/100*B2088)/(1+Skills!G15*Skills!I15/100*B2088))*IF(Inputs!$B$39="pvp",1,(1+(Inputs!$B$22+Skills!P15+B2084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8">
      <c r="A2068">
        <f>Skills!A16</f>
        <v/>
      </c>
      <c r="B2068">
        <f>Skills!B16</f>
        <v/>
      </c>
      <c r="C2068">
        <f>Inputs!$B$3&gt;=100</f>
        <v/>
      </c>
      <c r="D2068">
        <f>IF(Skills!C16=1,60+Inputs!$B$26+Inputs!$B$30,IF(Skills!C16=2,90+Inputs!$B$27+Inputs!$B$30,IF(Skills!C16=3,120+Inputs!$B$28+Inputs!$B$30,MAX(0,(Inputs!$B$3-100)*3)+Inputs!$B$29+Inputs!$B$30)))</f>
        <v/>
      </c>
      <c r="E2068">
        <f>INDEX(FactorTable!$B$2:$Y$301, MATCH(ROUND(MIN(300,MAX(1,D2068)),0), FactorTable!$A$2:$A$301,0), Skills!L16+1)</f>
        <v/>
      </c>
      <c r="F2068">
        <f>IF(Skills!M16=TRUE,(Skills!K16/10)*(E2068/1000),Skills!K16/10)+Skills!N16</f>
        <v/>
      </c>
      <c r="G2068">
        <f>Calc!G16</f>
        <v/>
      </c>
      <c r="H2068">
        <f>Calc!H16</f>
        <v/>
      </c>
      <c r="I2068">
        <f>IF(Skills!T16&lt;&gt;"",1+(Skills!T16/10)*($Z$3/1000)/100,1)</f>
        <v/>
      </c>
      <c r="J2068" t="inlineStr"/>
      <c r="K2068" t="inlineStr"/>
      <c r="L2068" t="inlineStr"/>
      <c r="M2068" t="inlineStr"/>
      <c r="N2068" t="inlineStr"/>
      <c r="O2068">
        <f>(1-Summary!$B$11)*S2068+Summary!$B$11*U2068</f>
        <v/>
      </c>
      <c r="P2068">
        <f>IF(B2095=0,0,O2068/B2095)</f>
        <v/>
      </c>
      <c r="Q2068">
        <f>IFERROR(1/(IF(Inputs!$B$39="pvp",15,MAX(0.1,Skills!D16-IF(Skills!E16=TRUE,Inputs!$B$33,0)))*(1-IF(AND(ArtifactsInput!$M$27,Inputs!$B$4="Chapter Hunt"),CHOOSE(ArtifactsInput!$N$27+1,20,24,28,32,36,40),0)/100)),0)</f>
        <v/>
      </c>
      <c r="R2068" t="n">
        <v>0</v>
      </c>
      <c r="S2068" t="n">
        <v>0</v>
      </c>
      <c r="U2068" t="n">
        <v>0</v>
      </c>
    </row>
    <row r="2069">
      <c r="A2069">
        <f>Skills!A17</f>
        <v/>
      </c>
      <c r="B2069">
        <f>Skills!B17</f>
        <v/>
      </c>
      <c r="C2069">
        <f>Inputs!$B$3&gt;=49</f>
        <v/>
      </c>
      <c r="D2069">
        <f>IF(Skills!C17=1,60+Inputs!$B$26+Inputs!$B$30,IF(Skills!C17=2,90+Inputs!$B$27+Inputs!$B$30,IF(Skills!C17=3,120+Inputs!$B$28+Inputs!$B$30,MAX(0,(Inputs!$B$3-100)*3)+Inputs!$B$29+Inputs!$B$30)))</f>
        <v/>
      </c>
      <c r="E2069">
        <f>INDEX(FactorTable!$B$2:$Y$301, MATCH(ROUND(MIN(300,MAX(1,D2069)),0), FactorTable!$A$2:$A$301,0), Skills!L17+1)</f>
        <v/>
      </c>
      <c r="F2069">
        <f>IF(Skills!M17=TRUE,(Skills!K17/10)*(E2069/1000),Skills!K17/10)+Skills!N17</f>
        <v/>
      </c>
      <c r="G2069">
        <f>Calc!G17</f>
        <v/>
      </c>
      <c r="H2069">
        <f>Calc!H17</f>
        <v/>
      </c>
      <c r="I2069">
        <f>IF(Skills!T17&lt;&gt;"",1+(Skills!T17/10)*($Z$3/1000)/100,1)</f>
        <v/>
      </c>
      <c r="J2069" t="inlineStr"/>
      <c r="K2069" t="inlineStr"/>
      <c r="L2069" t="inlineStr"/>
      <c r="M2069" t="inlineStr"/>
      <c r="N2069" t="inlineStr"/>
      <c r="O2069">
        <f>(1-Summary!$B$11)*S2069+Summary!$B$11*U2069</f>
        <v/>
      </c>
      <c r="P2069">
        <f>IF(B2095=0,0,O2069/B2095)</f>
        <v/>
      </c>
      <c r="Q2069">
        <f>IFERROR(1/(IF(Inputs!$B$39="pvp",15,MAX(0.1,Skills!D17-IF(Skills!E17=TRUE,Inputs!$B$33,0)))*(1-IF(AND(ArtifactsInput!$M$27,Inputs!$B$4="Chapter Hunt"),CHOOSE(ArtifactsInput!$N$27+1,20,24,28,32,36,40),0)/100)),0)</f>
        <v/>
      </c>
      <c r="R2069" t="n">
        <v>0</v>
      </c>
      <c r="S2069" t="n">
        <v>0</v>
      </c>
      <c r="U2069" t="n">
        <v>0</v>
      </c>
    </row>
    <row r="2070">
      <c r="A2070">
        <f>Skills!A18</f>
        <v/>
      </c>
      <c r="B2070">
        <f>Skills!B18</f>
        <v/>
      </c>
      <c r="C2070">
        <f>Inputs!$B$3&gt;=75</f>
        <v/>
      </c>
      <c r="D2070">
        <f>IF(Skills!C18=1,60+Inputs!$B$26+Inputs!$B$30,IF(Skills!C18=2,90+Inputs!$B$27+Inputs!$B$30,IF(Skills!C18=3,120+Inputs!$B$28+Inputs!$B$30,MAX(0,(Inputs!$B$3-100)*3)+Inputs!$B$29+Inputs!$B$30)))</f>
        <v/>
      </c>
      <c r="E2070">
        <f>INDEX(FactorTable!$B$2:$Y$301, MATCH(ROUND(MIN(300,MAX(1,D2070)),0), FactorTable!$A$2:$A$301,0), Skills!L18+1)</f>
        <v/>
      </c>
      <c r="F2070">
        <f>IF(Skills!M18=TRUE,(Skills!K18/10)*(E2070/1000),Skills!K18/10)+Skills!N18</f>
        <v/>
      </c>
      <c r="G2070">
        <f>Calc!G18</f>
        <v/>
      </c>
      <c r="H2070">
        <f>Calc!H18</f>
        <v/>
      </c>
      <c r="I2070">
        <f>IF(Skills!T18&lt;&gt;"",1+(Skills!T18/10)*($Z$3/1000)/100,1)</f>
        <v/>
      </c>
      <c r="J2070" t="inlineStr"/>
      <c r="K2070" t="inlineStr"/>
      <c r="L2070" t="inlineStr"/>
      <c r="M2070" t="inlineStr"/>
      <c r="N2070" t="inlineStr"/>
      <c r="O2070">
        <f>(1-Summary!$B$11)*S2070+Summary!$B$11*U2070</f>
        <v/>
      </c>
      <c r="P2070">
        <f>IF(B2095=0,0,O2070/B2095)</f>
        <v/>
      </c>
      <c r="Q2070">
        <f>IFERROR(1/(IF(Inputs!$B$39="pvp",15,MAX(0.1,Skills!D18-IF(Skills!E18=TRUE,Inputs!$B$33,0)))*(1-IF(AND(ArtifactsInput!$M$27,Inputs!$B$4="Chapter Hunt"),CHOOSE(ArtifactsInput!$N$27+1,20,24,28,32,36,40),0)/100)),0)</f>
        <v/>
      </c>
      <c r="R2070" t="n">
        <v>0</v>
      </c>
      <c r="S2070" t="n">
        <v>0</v>
      </c>
      <c r="U2070" t="n">
        <v>0</v>
      </c>
    </row>
    <row r="2071">
      <c r="A2071">
        <f>Skills!A19</f>
        <v/>
      </c>
      <c r="B2071">
        <f>Skills!B19</f>
        <v/>
      </c>
      <c r="C2071">
        <f>Inputs!$B$3&gt;=110</f>
        <v/>
      </c>
      <c r="D2071">
        <f>IF(Skills!C19=1,60+Inputs!$B$26+Inputs!$B$30,IF(Skills!C19=2,90+Inputs!$B$27+Inputs!$B$30,IF(Skills!C19=3,120+Inputs!$B$28+Inputs!$B$30,MAX(0,(Inputs!$B$3-100)*3)+Inputs!$B$29+Inputs!$B$30)))</f>
        <v/>
      </c>
      <c r="E2071">
        <f>INDEX(FactorTable!$B$2:$Y$301, MATCH(ROUND(MIN(300,MAX(1,D2071)),0), FactorTable!$A$2:$A$301,0), Skills!L19+1)</f>
        <v/>
      </c>
      <c r="F2071">
        <f>(Skills!K19/10)*(E2071/1000)*64/45+Skills!N19</f>
        <v/>
      </c>
      <c r="G2071">
        <f>Calc!G19</f>
        <v/>
      </c>
      <c r="H2071">
        <f>Calc!H19</f>
        <v/>
      </c>
      <c r="I2071">
        <f>IF(Skills!T19&lt;&gt;"",1+(Skills!T19/10)*($Z$3/1000)/100,1)</f>
        <v/>
      </c>
      <c r="J2071" t="inlineStr"/>
      <c r="K2071" t="inlineStr"/>
      <c r="L2071" t="inlineStr"/>
      <c r="M2071" t="inlineStr"/>
      <c r="N2071" t="inlineStr"/>
      <c r="O2071">
        <f>(1-Summary!$B$11)*S2071+Summary!$B$11*U2071</f>
        <v/>
      </c>
      <c r="P2071">
        <f>IF(B2095=0,0,O2071/B2095)</f>
        <v/>
      </c>
      <c r="Q2071">
        <f>IFERROR(1/(IF(Inputs!$B$39="pvp",15,MAX(0.1,Skills!D19-IF(Skills!E19=TRUE,Inputs!$B$33,0)))*(1-IF(AND(ArtifactsInput!$M$27,Inputs!$B$4="Chapter Hunt"),CHOOSE(ArtifactsInput!$N$27+1,20,24,28,32,36,40),0)/100)),0)</f>
        <v/>
      </c>
      <c r="R2071">
        <f>IF(AND(Inputs!$B$39&lt;&gt;"pvp",Inputs!$B$44&gt;0),IF(Inputs!$B$44&lt;=0,0,(INT(Inputs!$B$44/(IF(Inputs!$B$39="pvp",15,MAX(0.1,Skills!D19-IF(Skills!E19=TRUE,Inputs!$B$33,0)))*(1-IF(AND(ArtifactsInput!$M$27,Inputs!$B$4="Chapter Hunt"),CHOOSE(ArtifactsInput!$N$27+1,20,24,28,32,36,40),0)/100)))+1)),0)</f>
        <v/>
      </c>
      <c r="S2071" t="n">
        <v>0</v>
      </c>
      <c r="U2071" t="n">
        <v>0</v>
      </c>
    </row>
    <row r="2072">
      <c r="A2072">
        <f>Skills!A20</f>
        <v/>
      </c>
      <c r="B2072">
        <f>Skills!B20</f>
        <v/>
      </c>
      <c r="C2072">
        <f>Inputs!$B$3&gt;=125</f>
        <v/>
      </c>
      <c r="D2072">
        <f>IF(Skills!C20=1,60+Inputs!$B$26+Inputs!$B$30,IF(Skills!C20=2,90+Inputs!$B$27+Inputs!$B$30,IF(Skills!C20=3,120+Inputs!$B$28+Inputs!$B$30,MAX(0,(Inputs!$B$3-100)*3)+Inputs!$B$29+Inputs!$B$30)))</f>
        <v/>
      </c>
      <c r="E2072">
        <f>INDEX(FactorTable!$B$2:$Y$301, MATCH(ROUND(MIN(300,MAX(1,D2072)),0), FactorTable!$A$2:$A$301,0), Skills!L20+1)</f>
        <v/>
      </c>
      <c r="F2072">
        <f>IF(Skills!M20=TRUE,(Skills!K20/10)*(E2072/1000),Skills!K20/10)+Skills!N20</f>
        <v/>
      </c>
      <c r="G2072">
        <f>Calc!G20</f>
        <v/>
      </c>
      <c r="H2072">
        <f>Calc!H20</f>
        <v/>
      </c>
      <c r="I2072">
        <f>IF(Skills!T20&lt;&gt;"",1+(Skills!T20/10)*($Z$3/1000)/100,1)</f>
        <v/>
      </c>
      <c r="J2072" t="inlineStr"/>
      <c r="K2072" t="inlineStr"/>
      <c r="L2072" t="inlineStr"/>
      <c r="M2072" t="inlineStr"/>
      <c r="N2072" t="inlineStr"/>
      <c r="O2072">
        <f>(1-Summary!$B$11)*S2072+Summary!$B$11*U2072</f>
        <v/>
      </c>
      <c r="P2072">
        <f>IF(B2095=0,0,O2072/B2095)</f>
        <v/>
      </c>
      <c r="Q2072">
        <f>IFERROR(1/(IF(Inputs!$B$39="pvp",15,MAX(0.1,Skills!D20-IF(Skills!E20=TRUE,Inputs!$B$33,0)))*(1-IF(AND(ArtifactsInput!$M$27,Inputs!$B$4="Chapter Hunt"),CHOOSE(ArtifactsInput!$N$27+1,20,24,28,32,36,40),0)/100)),0)</f>
        <v/>
      </c>
      <c r="R2072" t="n">
        <v>0</v>
      </c>
      <c r="S2072" t="n">
        <v>0</v>
      </c>
      <c r="U2072" t="n">
        <v>0</v>
      </c>
    </row>
    <row r="2073">
      <c r="A2073">
        <f>Skills!A21</f>
        <v/>
      </c>
      <c r="B2073">
        <f>Skills!B21</f>
        <v/>
      </c>
      <c r="C2073">
        <f>Inputs!$B$3&gt;=33</f>
        <v/>
      </c>
      <c r="D2073">
        <f>IF(Skills!C21=1,60+Inputs!$B$26+Inputs!$B$30,IF(Skills!C21=2,90+Inputs!$B$27+Inputs!$B$30,IF(Skills!C21=3,120+Inputs!$B$28+Inputs!$B$30,MAX(0,(Inputs!$B$3-100)*3)+Inputs!$B$29+Inputs!$B$30)))</f>
        <v/>
      </c>
      <c r="E2073">
        <f>INDEX(FactorTable!$B$2:$Y$301, MATCH(ROUND(MIN(300,MAX(1,D2073)),0), FactorTable!$A$2:$A$301,0), Skills!L21+1)</f>
        <v/>
      </c>
      <c r="F2073">
        <f>IF(Skills!M21=TRUE,(Skills!K21/10)*(E2073/1000),Skills!K21/10)+Skills!N21</f>
        <v/>
      </c>
      <c r="G2073">
        <f>Calc!G21</f>
        <v/>
      </c>
      <c r="H2073">
        <f>Calc!H21</f>
        <v/>
      </c>
      <c r="I2073">
        <f>IF(Skills!T21&lt;&gt;"",1+(Skills!T21/10)*($Z$3/1000)/100,1)</f>
        <v/>
      </c>
      <c r="J2073" t="inlineStr"/>
      <c r="K2073" t="inlineStr"/>
      <c r="L2073" t="inlineStr"/>
      <c r="M2073" t="inlineStr"/>
      <c r="N2073" t="inlineStr"/>
      <c r="O2073">
        <f>(1-Summary!$B$11)*S2073+Summary!$B$11*U2073</f>
        <v/>
      </c>
      <c r="P2073">
        <f>IF(B2095=0,0,O2073/B2095)</f>
        <v/>
      </c>
      <c r="Q2073">
        <f>IFERROR(1/(IF(Inputs!$B$39="pvp",15,MAX(0.1,Skills!D21-IF(Skills!E21=TRUE,Inputs!$B$33,0)))*(1-IF(AND(ArtifactsInput!$M$27,Inputs!$B$4="Chapter Hunt"),CHOOSE(ArtifactsInput!$N$27+1,20,24,28,32,36,40),0)/100)),0)</f>
        <v/>
      </c>
      <c r="R2073" t="n">
        <v>0</v>
      </c>
      <c r="S2073" t="n">
        <v>0</v>
      </c>
      <c r="U2073" t="n">
        <v>0</v>
      </c>
    </row>
    <row r="2074">
      <c r="A2074">
        <f>Skills!A22</f>
        <v/>
      </c>
      <c r="B2074">
        <f>Skills!B22</f>
        <v/>
      </c>
      <c r="C2074">
        <f>Inputs!$B$3&gt;=43</f>
        <v/>
      </c>
      <c r="D2074">
        <f>IF(Skills!C22=1,60+Inputs!$B$26+Inputs!$B$30,IF(Skills!C22=2,90+Inputs!$B$27+Inputs!$B$30,IF(Skills!C22=3,120+Inputs!$B$28+Inputs!$B$30,MAX(0,(Inputs!$B$3-100)*3)+Inputs!$B$29+Inputs!$B$30)))</f>
        <v/>
      </c>
      <c r="E2074">
        <f>INDEX(FactorTable!$B$2:$Y$301, MATCH(ROUND(MIN(300,MAX(1,D2074)),0), FactorTable!$A$2:$A$301,0), Skills!L22+1)</f>
        <v/>
      </c>
      <c r="F2074">
        <f>IF(Skills!M22=TRUE,(Skills!K22/10)*(E2074/1000),Skills!K22/10)+Skills!N22</f>
        <v/>
      </c>
      <c r="G2074">
        <f>Calc!G22</f>
        <v/>
      </c>
      <c r="H2074">
        <f>Calc!H22</f>
        <v/>
      </c>
      <c r="I2074">
        <f>IF(Skills!T22&lt;&gt;"",1+(Skills!T22/10)*($Z$3/1000)/100,1)</f>
        <v/>
      </c>
      <c r="J2074" t="inlineStr"/>
      <c r="K2074" t="inlineStr"/>
      <c r="L2074" t="inlineStr"/>
      <c r="M2074" t="inlineStr"/>
      <c r="N2074" t="inlineStr"/>
      <c r="O2074">
        <f>(1-Summary!$B$11)*S2074+Summary!$B$11*U2074</f>
        <v/>
      </c>
      <c r="P2074">
        <f>IF(B2095=0,0,O2074/B2095)</f>
        <v/>
      </c>
      <c r="Q2074">
        <f>IFERROR(1/(IF(Inputs!$B$39="pvp",15,MAX(0.1,Skills!D22-IF(Skills!E22=TRUE,Inputs!$B$33,0)))*(1-IF(AND(ArtifactsInput!$M$27,Inputs!$B$4="Chapter Hunt"),CHOOSE(ArtifactsInput!$N$27+1,20,24,28,32,36,40),0)/100)),0)</f>
        <v/>
      </c>
      <c r="R2074" t="n">
        <v>0</v>
      </c>
      <c r="S2074" t="n">
        <v>0</v>
      </c>
      <c r="U2074" t="n">
        <v>0</v>
      </c>
    </row>
    <row r="2075">
      <c r="A2075">
        <f>Skills!A23</f>
        <v/>
      </c>
      <c r="B2075">
        <f>Skills!B23</f>
        <v/>
      </c>
      <c r="C2075">
        <f>Inputs!$B$3&gt;=50</f>
        <v/>
      </c>
      <c r="D2075">
        <f>IF(Skills!C23=1,60+Inputs!$B$26+Inputs!$B$30,IF(Skills!C23=2,90+Inputs!$B$27+Inputs!$B$30,IF(Skills!C23=3,120+Inputs!$B$28+Inputs!$B$30,MAX(0,(Inputs!$B$3-100)*3)+Inputs!$B$29+Inputs!$B$30)))</f>
        <v/>
      </c>
      <c r="E2075">
        <f>INDEX(FactorTable!$B$2:$Y$301, MATCH(ROUND(MIN(300,MAX(1,D2075)),0), FactorTable!$A$2:$A$301,0), Skills!L23+1)</f>
        <v/>
      </c>
      <c r="F2075">
        <f>IF(Skills!M23=TRUE,(Skills!K23/10)*(E2075/1000),Skills!K23/10)+Skills!N23</f>
        <v/>
      </c>
      <c r="G2075">
        <f>Calc!G23</f>
        <v/>
      </c>
      <c r="H2075">
        <f>Calc!H23</f>
        <v/>
      </c>
      <c r="I2075">
        <f>IF(Skills!T23&lt;&gt;"",1+(Skills!T23/10)*($Z$3/1000)/100,1)</f>
        <v/>
      </c>
      <c r="J2075" t="inlineStr"/>
      <c r="K2075" t="inlineStr"/>
      <c r="L2075" t="inlineStr"/>
      <c r="M2075" t="inlineStr"/>
      <c r="N2075" t="inlineStr"/>
      <c r="O2075">
        <f>(1-Summary!$B$11)*S2075+Summary!$B$11*U2075</f>
        <v/>
      </c>
      <c r="P2075">
        <f>IF(B2095=0,0,O2075/B2095)</f>
        <v/>
      </c>
      <c r="Q2075">
        <f>IFERROR(1/(IF(Inputs!$B$39="pvp",15,MAX(0.1,Skills!D23-IF(Skills!E23=TRUE,Inputs!$B$33,0)))*(1-IF(AND(ArtifactsInput!$M$27,Inputs!$B$4="Chapter Hunt"),CHOOSE(ArtifactsInput!$N$27+1,20,24,28,32,36,40),0)/100)),0)</f>
        <v/>
      </c>
      <c r="R2075" t="n">
        <v>0</v>
      </c>
      <c r="S2075" t="n">
        <v>0</v>
      </c>
      <c r="U2075" t="n">
        <v>0</v>
      </c>
    </row>
    <row r="2076">
      <c r="A2076">
        <f>Skills!A24</f>
        <v/>
      </c>
      <c r="B2076">
        <f>Skills!B24</f>
        <v/>
      </c>
      <c r="C2076">
        <f>Inputs!$B$3&gt;=74</f>
        <v/>
      </c>
      <c r="D2076">
        <f>IF(Skills!C24=1,60+Inputs!$B$26+Inputs!$B$30,IF(Skills!C24=2,90+Inputs!$B$27+Inputs!$B$30,IF(Skills!C24=3,120+Inputs!$B$28+Inputs!$B$30,MAX(0,(Inputs!$B$3-100)*3)+Inputs!$B$29+Inputs!$B$30)))</f>
        <v/>
      </c>
      <c r="E2076">
        <f>INDEX(FactorTable!$B$2:$Y$301, MATCH(ROUND(MIN(300,MAX(1,D2076)),0), FactorTable!$A$2:$A$301,0), Skills!L24+1)</f>
        <v/>
      </c>
      <c r="F2076">
        <f>IF(Skills!M24=TRUE,(Skills!K24/10)*(E2076/1000),Skills!K24/10)+Skills!N24</f>
        <v/>
      </c>
      <c r="G2076">
        <f>Calc!G24</f>
        <v/>
      </c>
      <c r="H2076">
        <f>Calc!H24</f>
        <v/>
      </c>
      <c r="I2076">
        <f>IF(Skills!T24&lt;&gt;"",1+(Skills!T24/10)*($Z$3/1000)/100,1)</f>
        <v/>
      </c>
      <c r="J2076" t="inlineStr"/>
      <c r="K2076" t="inlineStr"/>
      <c r="L2076" t="inlineStr"/>
      <c r="M2076" t="inlineStr"/>
      <c r="N2076" t="inlineStr"/>
      <c r="O2076">
        <f>(1-Summary!$B$11)*S2076+Summary!$B$11*U2076</f>
        <v/>
      </c>
      <c r="P2076">
        <f>IF(B2095=0,0,O2076/B2095)</f>
        <v/>
      </c>
      <c r="Q2076">
        <f>IFERROR(1/(IF(Inputs!$B$39="pvp",15,MAX(0.1,Skills!D24-IF(Skills!E24=TRUE,Inputs!$B$33,0)))*(1-IF(AND(ArtifactsInput!$M$27,Inputs!$B$4="Chapter Hunt"),CHOOSE(ArtifactsInput!$N$27+1,20,24,28,32,36,40),0)/100)),0)</f>
        <v/>
      </c>
      <c r="R2076" t="n">
        <v>0</v>
      </c>
      <c r="S2076" t="n">
        <v>0</v>
      </c>
      <c r="U2076" t="n">
        <v>0</v>
      </c>
    </row>
    <row r="2077">
      <c r="A2077">
        <f>Skills!A25</f>
        <v/>
      </c>
      <c r="B2077">
        <f>Skills!B25</f>
        <v/>
      </c>
      <c r="C2077">
        <f>Inputs!$B$3&gt;=74</f>
        <v/>
      </c>
      <c r="D2077">
        <f>IF(Skills!C25=1,60+Inputs!$B$26+Inputs!$B$30,IF(Skills!C25=2,90+Inputs!$B$27+Inputs!$B$30,IF(Skills!C25=3,120+Inputs!$B$28+Inputs!$B$30,MAX(0,(Inputs!$B$3-100)*3)+Inputs!$B$29+Inputs!$B$30)))</f>
        <v/>
      </c>
      <c r="E2077">
        <f>INDEX(FactorTable!$B$2:$Y$301, MATCH(ROUND(MIN(300,MAX(1,D2077)),0), FactorTable!$A$2:$A$301,0), Skills!L25+1)</f>
        <v/>
      </c>
      <c r="F2077">
        <f>IF(Skills!M25=TRUE,(Skills!K25/10)*(E2077/1000),Skills!K25/10)+Skills!N25</f>
        <v/>
      </c>
      <c r="G2077">
        <f>Calc!G25</f>
        <v/>
      </c>
      <c r="H2077">
        <f>Calc!H25</f>
        <v/>
      </c>
      <c r="I2077">
        <f>IF(Skills!T25&lt;&gt;"",1+(Skills!T25/10)*($Z$3/1000)/100,1)</f>
        <v/>
      </c>
      <c r="J2077" t="inlineStr"/>
      <c r="K2077" t="inlineStr"/>
      <c r="L2077" t="inlineStr"/>
      <c r="M2077" t="inlineStr"/>
      <c r="N2077" t="inlineStr"/>
      <c r="O2077">
        <f>(1-Summary!$B$11)*S2077+Summary!$B$11*U2077</f>
        <v/>
      </c>
      <c r="P2077">
        <f>IF(B2095=0,0,O2077/B2095)</f>
        <v/>
      </c>
      <c r="Q2077">
        <f>IFERROR(1/(IF(Inputs!$B$39="pvp",15,MAX(0.1,Skills!D25-IF(Skills!E25=TRUE,Inputs!$B$33,0)))*(1-IF(AND(ArtifactsInput!$M$27,Inputs!$B$4="Chapter Hunt"),CHOOSE(ArtifactsInput!$N$27+1,20,24,28,32,36,40),0)/100)),0)</f>
        <v/>
      </c>
      <c r="R2077" t="n">
        <v>0</v>
      </c>
      <c r="S2077" t="n">
        <v>0</v>
      </c>
      <c r="U2077" t="n">
        <v>0</v>
      </c>
    </row>
    <row r="2078">
      <c r="A2078">
        <f>Skills!A26</f>
        <v/>
      </c>
      <c r="B2078">
        <f>Skills!B26</f>
        <v/>
      </c>
      <c r="C2078">
        <f>Inputs!$B$3&gt;=117</f>
        <v/>
      </c>
      <c r="D2078">
        <f>IF(Skills!C26=1,60+Inputs!$B$26+Inputs!$B$30,IF(Skills!C26=2,90+Inputs!$B$27+Inputs!$B$30,IF(Skills!C26=3,120+Inputs!$B$28+Inputs!$B$30,MAX(0,(Inputs!$B$3-100)*3)+Inputs!$B$29+Inputs!$B$30)))</f>
        <v/>
      </c>
      <c r="E2078">
        <f>INDEX(FactorTable!$B$2:$Y$301, MATCH(ROUND(MIN(300,MAX(1,D2078)),0), FactorTable!$A$2:$A$301,0), Skills!L26+1)</f>
        <v/>
      </c>
      <c r="F2078">
        <f>IF(Skills!M26=TRUE,(Skills!K26/10)*(E2078/1000),Skills!K26/10)+Skills!N26</f>
        <v/>
      </c>
      <c r="G2078">
        <f>Calc!G26</f>
        <v/>
      </c>
      <c r="H2078">
        <f>Calc!H26</f>
        <v/>
      </c>
      <c r="I2078">
        <f>IF(Skills!T26&lt;&gt;"",1+(Skills!T26/10)*($Z$3/1000)/100,1)</f>
        <v/>
      </c>
      <c r="J2078" t="inlineStr"/>
      <c r="K2078" t="inlineStr"/>
      <c r="L2078" t="inlineStr"/>
      <c r="M2078" t="inlineStr"/>
      <c r="N2078" t="inlineStr"/>
      <c r="O2078">
        <f>(1-Summary!$B$11)*S2078+Summary!$B$11*U2078</f>
        <v/>
      </c>
      <c r="P2078">
        <f>IF(B2095=0,0,O2078/B2095)</f>
        <v/>
      </c>
      <c r="Q2078">
        <f>IFERROR(1/(IF(Inputs!$B$39="pvp",15,MAX(0.1,Skills!D26-IF(Skills!E26=TRUE,Inputs!$B$33,0)))*(1-IF(AND(ArtifactsInput!$M$27,Inputs!$B$4="Chapter Hunt"),CHOOSE(ArtifactsInput!$N$27+1,20,24,28,32,36,40),0)/100)),0)</f>
        <v/>
      </c>
      <c r="R2078" t="n">
        <v>0</v>
      </c>
      <c r="S2078" t="n">
        <v>0</v>
      </c>
      <c r="U2078" t="n">
        <v>0</v>
      </c>
    </row>
    <row r="2079">
      <c r="A2079">
        <f>Skills!A27</f>
        <v/>
      </c>
      <c r="B2079">
        <f>Skills!B27</f>
        <v/>
      </c>
      <c r="C2079">
        <f>Inputs!$B$3&gt;=120</f>
        <v/>
      </c>
      <c r="D2079">
        <f>IF(Skills!C27=1,60+Inputs!$B$26+Inputs!$B$30,IF(Skills!C27=2,90+Inputs!$B$27+Inputs!$B$30,IF(Skills!C27=3,120+Inputs!$B$28+Inputs!$B$30,MAX(0,(Inputs!$B$3-100)*3)+Inputs!$B$29+Inputs!$B$30)))</f>
        <v/>
      </c>
      <c r="E2079">
        <f>INDEX(FactorTable!$B$2:$Y$301, MATCH(ROUND(MIN(300,MAX(1,D2079)),0), FactorTable!$A$2:$A$301,0), Skills!L27+1)</f>
        <v/>
      </c>
      <c r="F2079">
        <f>IF(Skills!M27=TRUE,(Skills!K27/10)*(E2079/1000),Skills!K27/10)+Skills!N27</f>
        <v/>
      </c>
      <c r="G2079">
        <f>Calc!G27</f>
        <v/>
      </c>
      <c r="H2079">
        <f>Calc!H27</f>
        <v/>
      </c>
      <c r="I2079">
        <f>IF(Skills!T27&lt;&gt;"",1+(Skills!T27/10)*($Z$3/1000)/100,1)</f>
        <v/>
      </c>
      <c r="J2079" t="inlineStr"/>
      <c r="K2079" t="inlineStr"/>
      <c r="L2079" t="inlineStr"/>
      <c r="M2079" t="inlineStr"/>
      <c r="N2079" t="inlineStr"/>
      <c r="O2079">
        <f>(1-Summary!$B$11)*S2079+Summary!$B$11*U2079</f>
        <v/>
      </c>
      <c r="P2079">
        <f>IF(B2095=0,0,O2079/B2095)</f>
        <v/>
      </c>
      <c r="Q2079">
        <f>IFERROR(1/(IF(Inputs!$B$39="pvp",15,MAX(0.1,Skills!D27-IF(Skills!E27=TRUE,Inputs!$B$33,0)))*(1-IF(AND(ArtifactsInput!$M$27,Inputs!$B$4="Chapter Hunt"),CHOOSE(ArtifactsInput!$N$27+1,20,24,28,32,36,40),0)/100)),0)</f>
        <v/>
      </c>
      <c r="R2079" t="n">
        <v>0</v>
      </c>
      <c r="S2079" t="n">
        <v>0</v>
      </c>
      <c r="U2079" t="n">
        <v>0</v>
      </c>
    </row>
    <row r="2080">
      <c r="A2080">
        <f>Skills!A28</f>
        <v/>
      </c>
      <c r="B2080">
        <f>Skills!B28</f>
        <v/>
      </c>
      <c r="C2080">
        <f>TRUE</f>
        <v/>
      </c>
      <c r="D2080">
        <f>IF(Skills!C28=1,60+Inputs!$B$26+Inputs!$B$30,IF(Skills!C28=2,90+Inputs!$B$27+Inputs!$B$30,IF(Skills!C28=3,120+Inputs!$B$28+Inputs!$B$30,MAX(0,(Inputs!$B$3-100)*3)+Inputs!$B$29+Inputs!$B$30)))</f>
        <v/>
      </c>
      <c r="E2080">
        <f>INDEX(FactorTable!$B$2:$Y$301, MATCH(ROUND(MIN(300,MAX(1,D2080)),0), FactorTable!$A$2:$A$301,0), Skills!L28+1)</f>
        <v/>
      </c>
      <c r="F2080">
        <f>IF(Skills!M28=TRUE,(Skills!K28/10)*(E2080/1000),Skills!K28/10)+Skills!N28</f>
        <v/>
      </c>
      <c r="G2080">
        <f>Calc!G28</f>
        <v/>
      </c>
      <c r="H2080">
        <f>Calc!H28</f>
        <v/>
      </c>
      <c r="I2080">
        <f>IF(Skills!T28&lt;&gt;"",1+(Skills!T28/10)*($Z$3/1000)/100,1)</f>
        <v/>
      </c>
      <c r="J2080" t="inlineStr"/>
      <c r="K2080" t="inlineStr"/>
      <c r="L2080" t="inlineStr"/>
      <c r="M2080" t="inlineStr"/>
      <c r="N2080" t="inlineStr"/>
      <c r="O2080">
        <f>(1-Summary!$B$11)*S2080+Summary!$B$11*U2080</f>
        <v/>
      </c>
      <c r="P2080">
        <f>IF(B2095=0,0,O2080/B2095)</f>
        <v/>
      </c>
      <c r="Q2080">
        <f>IFERROR(1/(IF(Inputs!$B$39="pvp",15,MAX(0.1,Skills!D28-IF(Skills!E28=TRUE,Inputs!$B$33,0)))*(1-IF(AND(ArtifactsInput!$M$27,Inputs!$B$4="Chapter Hunt"),CHOOSE(ArtifactsInput!$N$27+1,20,24,28,32,36,40),0)/100)),0)</f>
        <v/>
      </c>
      <c r="R2080">
        <f>IF(AND(Inputs!$B$39&lt;&gt;"pvp",Inputs!$B$44&gt;0),IF(Inputs!$B$44&lt;=0,0,(INT(Inputs!$B$44/(IF(Inputs!$B$39="pvp",15,MAX(0.1,Skills!D28-IF(Skills!E28=TRUE,Inputs!$B$33,0)))*(1-IF(AND(ArtifactsInput!$M$27,Inputs!$B$4="Chapter Hunt"),CHOOSE(ArtifactsInput!$N$27+1,20,24,28,32,36,40),0)/100)))+1)),0)</f>
        <v/>
      </c>
      <c r="S2080" t="n">
        <v>0</v>
      </c>
      <c r="U2080" t="n">
        <v>0</v>
      </c>
    </row>
    <row r="2082">
      <c r="A2082" t="inlineStr">
        <is>
          <t>Average Buff Multiplier</t>
        </is>
      </c>
      <c r="B2082">
        <f>(1+(IF(C2055=TRUE,F2055*IF(AND(Inputs!$B$39&lt;&gt;"pvp",Inputs!$B$44&gt;0),(((R2055-1)*(Skills!S3*(1+((Inputs!$B$35+(ArtifactsInput!$M$7-ArtifactsInput!$M$7)*CHOOSE(ArtifactsInput!$N$7+1,6,7.2,8.4,9.6,10.8,12))+IF(Inputs!$B$3&gt;=117,F2078,0))/100))+MIN((Skills!S3*(1+((Inputs!$B$35+(ArtifactsInput!$M$7-ArtifactsInput!$M$7)*CHOOSE(ArtifactsInput!$N$7+1,6,7.2,8.4,9.6,10.8,12))+IF(Inputs!$B$3&gt;=117,F2078,0))/100)),MAX(0,Inputs!$B$44-((R2055-1)*Skills!D3))))/Inputs!$B$44),IF(Inputs!$B$39="pvp",MIN((Skills!S3*(1+((Inputs!$B$35+(ArtifactsInput!$M$7-ArtifactsInput!$M$7)*CHOOSE(ArtifactsInput!$N$7+1,6,7.2,8.4,9.6,10.8,12))+IF(Inputs!$B$3&gt;=117,F2078,0))/100)),15)/15,(Skills!S3*(1+((Inputs!$B$35+(ArtifactsInput!$M$7-ArtifactsInput!$M$7)*CHOOSE(ArtifactsInput!$N$7+1,6,7.2,8.4,9.6,10.8,12))+IF(Inputs!$B$3&gt;=117,F2078,0))/100))/Skills!D3)),0)+IF(C2056=TRUE,F2056*IF(AND(Inputs!$B$39&lt;&gt;"pvp",Inputs!$B$44&gt;0),(((R2056-1)*(Skills!S4*(1+((Inputs!$B$35+(ArtifactsInput!$M$7-ArtifactsInput!$M$7)*CHOOSE(ArtifactsInput!$N$7+1,6,7.2,8.4,9.6,10.8,12))+IF(Inputs!$B$3&gt;=117,F2078,0))/100))+MIN((Skills!S4*(1+((Inputs!$B$35+(ArtifactsInput!$M$7-ArtifactsInput!$M$7)*CHOOSE(ArtifactsInput!$N$7+1,6,7.2,8.4,9.6,10.8,12))+IF(Inputs!$B$3&gt;=117,F2078,0))/100)),MAX(0,Inputs!$B$44-((R2056-1)*Skills!D4))))/Inputs!$B$44),IF(Inputs!$B$39="pvp",MIN((Skills!S4*(1+((Inputs!$B$35+(ArtifactsInput!$M$7-ArtifactsInput!$M$7)*CHOOSE(ArtifactsInput!$N$7+1,6,7.2,8.4,9.6,10.8,12))+IF(Inputs!$B$3&gt;=117,F2078,0))/100)),15)/15,(Skills!S4*(1+((Inputs!$B$35+(ArtifactsInput!$M$7-ArtifactsInput!$M$7)*CHOOSE(ArtifactsInput!$N$7+1,6,7.2,8.4,9.6,10.8,12))+IF(Inputs!$B$3&gt;=117,F2078,0))/100))/Skills!D4)),0)+IF(C2057=TRUE,F2057*IF(AND(Inputs!$B$39&lt;&gt;"pvp",Inputs!$B$44&gt;0),(((R2057-1)*(Skills!S5*(1+((Inputs!$B$35+(ArtifactsInput!$M$7-ArtifactsInput!$M$7)*CHOOSE(ArtifactsInput!$N$7+1,6,7.2,8.4,9.6,10.8,12))+IF(Inputs!$B$3&gt;=117,F2078,0))/100))+MIN((Skills!S5*(1+((Inputs!$B$35+(ArtifactsInput!$M$7-ArtifactsInput!$M$7)*CHOOSE(ArtifactsInput!$N$7+1,6,7.2,8.4,9.6,10.8,12))+IF(Inputs!$B$3&gt;=117,F2078,0))/100)),MAX(0,Inputs!$B$44-((R2057-1)*Skills!D5))))/Inputs!$B$44),IF(Inputs!$B$39="pvp",MIN((Skills!S5*(1+((Inputs!$B$35+(ArtifactsInput!$M$7-ArtifactsInput!$M$7)*CHOOSE(ArtifactsInput!$N$7+1,6,7.2,8.4,9.6,10.8,12))+IF(Inputs!$B$3&gt;=117,F2078,0))/100)),15)/15,(Skills!S5*(1+((Inputs!$B$35+(ArtifactsInput!$M$7-ArtifactsInput!$M$7)*CHOOSE(ArtifactsInput!$N$7+1,6,7.2,8.4,9.6,10.8,12))+IF(Inputs!$B$3&gt;=117,F2078,0))/100))/Skills!D5)),0)+IF(C2063=TRUE,F2063*IF(AND(Inputs!$B$39&lt;&gt;"pvp",Inputs!$B$44&gt;0),(((R2063-1)*(Skills!S11*(1+((Inputs!$B$35+(ArtifactsInput!$M$7-ArtifactsInput!$M$7)*CHOOSE(ArtifactsInput!$N$7+1,6,7.2,8.4,9.6,10.8,12))+IF(Inputs!$B$3&gt;=117,F2078,0))/100))+MIN((Skills!S11*(1+((Inputs!$B$35+(ArtifactsInput!$M$7-ArtifactsInput!$M$7)*CHOOSE(ArtifactsInput!$N$7+1,6,7.2,8.4,9.6,10.8,12))+IF(Inputs!$B$3&gt;=117,F2078,0))/100)),MAX(0,Inputs!$B$44-((R2063-1)*Skills!D11))))/Inputs!$B$44),IF(Inputs!$B$39="pvp",MIN((Skills!S11*(1+((Inputs!$B$35+(ArtifactsInput!$M$7-ArtifactsInput!$M$7)*CHOOSE(ArtifactsInput!$N$7+1,6,7.2,8.4,9.6,10.8,12))+IF(Inputs!$B$3&gt;=117,F2078,0))/100)),15)/15,(Skills!S11*(1+((Inputs!$B$35+(ArtifactsInput!$M$7-ArtifactsInput!$M$7)*CHOOSE(ArtifactsInput!$N$7+1,6,7.2,8.4,9.6,10.8,12))+IF(Inputs!$B$3&gt;=117,F2078,0)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2066=TRUE,(1+F2066*IF(AND(Inputs!$B$39&lt;&gt;"pvp",Inputs!$B$44&gt;0),(((R2066-1)*(Skills!S14*(1+((Inputs!$B$35+(ArtifactsInput!$M$7-ArtifactsInput!$M$7)*CHOOSE(ArtifactsInput!$N$7+1,6,7.2,8.4,9.6,10.8,12))+IF(Inputs!$B$3&gt;=117,F2078,0))/100))+MIN((Skills!S14*(1+((Inputs!$B$35+(ArtifactsInput!$M$7-ArtifactsInput!$M$7)*CHOOSE(ArtifactsInput!$N$7+1,6,7.2,8.4,9.6,10.8,12))+IF(Inputs!$B$3&gt;=117,F2078,0))/100)),MAX(0,Inputs!$B$44-((R2066-1)*Skills!D14))))/Inputs!$B$44),IF(Inputs!$B$39="pvp",MIN((Skills!S14*(1+((Inputs!$B$35+(ArtifactsInput!$M$7-ArtifactsInput!$M$7)*CHOOSE(ArtifactsInput!$N$7+1,6,7.2,8.4,9.6,10.8,12))+IF(Inputs!$B$3&gt;=117,F2078,0))/100)),15)/15,(Skills!S14*(1+((Inputs!$B$35+(ArtifactsInput!$M$7-ArtifactsInput!$M$7)*CHOOSE(ArtifactsInput!$N$7+1,6,7.2,8.4,9.6,10.8,12))+IF(Inputs!$B$3&gt;=117,F2078,0))/100))/Skills!D14))/100),1)*IF(C2071=TRUE,(1+F2071*IF(AND(Inputs!$B$39&lt;&gt;"pvp",Inputs!$B$44&gt;0),(((R2071-1)*(Skills!S19*(1+((Inputs!$B$35+(ArtifactsInput!$M$7-ArtifactsInput!$M$7)*CHOOSE(ArtifactsInput!$N$7+1,6,7.2,8.4,9.6,10.8,12))+IF(Inputs!$B$3&gt;=117,F2078,0))/100))+MIN((Skills!S19*(1+((Inputs!$B$35+(ArtifactsInput!$M$7-ArtifactsInput!$M$7)*CHOOSE(ArtifactsInput!$N$7+1,6,7.2,8.4,9.6,10.8,12))+IF(Inputs!$B$3&gt;=117,F2078,0))/100)),MAX(0,Inputs!$B$44-((R2071-1)*Skills!D19))))/Inputs!$B$44),IF(Inputs!$B$39="pvp",MIN((Skills!S19*(1+((Inputs!$B$35+(ArtifactsInput!$M$7-ArtifactsInput!$M$7)*CHOOSE(ArtifactsInput!$N$7+1,6,7.2,8.4,9.6,10.8,12))+IF(Inputs!$B$3&gt;=117,F2078,0))/100)),15)/15,(Skills!S19*(1+((Inputs!$B$35+(ArtifactsInput!$M$7-ArtifactsInput!$M$7)*CHOOSE(ArtifactsInput!$N$7+1,6,7.2,8.4,9.6,10.8,12))+IF(Inputs!$B$3&gt;=117,F2078,0))/100))/Skills!D19))/100),1)</f>
        <v/>
      </c>
    </row>
    <row r="2083">
      <c r="A2083" t="inlineStr">
        <is>
          <t>Monster Damage Taken Bonus % (Holy Fountain)</t>
        </is>
      </c>
      <c r="B2083">
        <f>IF(Inputs!$B$3&gt;=68,20*IF(Inputs!$B$39="pvp",MIN((15*(1+((Inputs!$B$35+(ArtifactsInput!$M$7-ArtifactsInput!$M$7)*CHOOSE(ArtifactsInput!$N$7+1,6,7.2,8.4,9.6,10.8,12))+IF(Inputs!$B$3&gt;=117,F2078,0))/100)),15)/15,(15*(1+((Inputs!$B$35+(ArtifactsInput!$M$7-ArtifactsInput!$M$7)*CHOOSE(ArtifactsInput!$N$7+1,6,7.2,8.4,9.6,10.8,12))+IF(Inputs!$B$3&gt;=117,F2078,0))/100))/Skills!D10),0)</f>
        <v/>
      </c>
    </row>
    <row r="2084">
      <c r="A2084" t="inlineStr">
        <is>
          <t>Normal Monster Damage Bonus % (Holy Symbol)</t>
        </is>
      </c>
      <c r="B2084">
        <f>IF(C2064=TRUE,F2064*IF(AND(Inputs!$B$39&lt;&gt;"pvp",Inputs!$B$44&gt;0),(((R2064-1)*(Skills!S12*(1+((Inputs!$B$35+(ArtifactsInput!$M$7-ArtifactsInput!$M$7)*CHOOSE(ArtifactsInput!$N$7+1,6,7.2,8.4,9.6,10.8,12))+IF(Inputs!$B$3&gt;=117,F2078,0))/100))+MIN((Skills!S12*(1+((Inputs!$B$35+(ArtifactsInput!$M$7-ArtifactsInput!$M$7)*CHOOSE(ArtifactsInput!$N$7+1,6,7.2,8.4,9.6,10.8,12))+IF(Inputs!$B$3&gt;=117,F2078,0))/100)),MAX(0,Inputs!$B$44-((R2064-1)*Skills!D12))))/Inputs!$B$44),IF(Inputs!$B$39="pvp",MIN((Skills!S12*(1+((Inputs!$B$35+(ArtifactsInput!$M$7-ArtifactsInput!$M$7)*CHOOSE(ArtifactsInput!$N$7+1,6,7.2,8.4,9.6,10.8,12))+IF(Inputs!$B$3&gt;=117,F2078,0))/100)),15)/15,(Skills!S12*(1+((Inputs!$B$35+(ArtifactsInput!$M$7-ArtifactsInput!$M$7)*CHOOSE(ArtifactsInput!$N$7+1,6,7.2,8.4,9.6,10.8,12))+IF(Inputs!$B$3&gt;=117,F2078,0))/100))/Skills!D12)),0)</f>
        <v/>
      </c>
    </row>
    <row r="2085">
      <c r="A2085" t="inlineStr">
        <is>
          <t>Damage % Bonus (Holy Symbol - Damage Boost)</t>
        </is>
      </c>
      <c r="B2085">
        <f>Skills!O12</f>
        <v/>
      </c>
    </row>
    <row r="2086">
      <c r="A2086" t="inlineStr">
        <is>
          <t>Crit Damage % Bonus (Blood of the Divine)</t>
        </is>
      </c>
      <c r="B2086">
        <f>4*IF(C2072=TRUE,F2072,0)</f>
        <v/>
      </c>
    </row>
    <row r="2087">
      <c r="A2087" t="inlineStr">
        <is>
          <t>Attack Speed Bonus %</t>
        </is>
      </c>
      <c r="B2087">
        <f>IF(C2069=TRUE,F2069+(F2073-Calc!F21),0)+IF(Inputs!$B$3&gt;=134,15,0)+((C2080=TRUE)*F2080*IF(AND(Inputs!$B$39&lt;&gt;"pvp",Inputs!$B$44&gt;0),(((R2080-1)*(Skills!S28*(1+((Inputs!$B$35+(ArtifactsInput!$M$7-ArtifactsInput!$M$7)*CHOOSE(ArtifactsInput!$N$7+1,6,7.2,8.4,9.6,10.8,12))+IF(Inputs!$B$3&gt;=117,F2078,0))/100))+MIN((Skills!S28*(1+((Inputs!$B$35+(ArtifactsInput!$M$7-ArtifactsInput!$M$7)*CHOOSE(ArtifactsInput!$N$7+1,6,7.2,8.4,9.6,10.8,12))+IF(Inputs!$B$3&gt;=117,F2078,0))/100)),MAX(0,Inputs!$B$44-((R2080-1)*Skills!D28))))/Inputs!$B$44),IF(Inputs!$B$39="pvp",MIN((Skills!S28*(1+((Inputs!$B$35+(ArtifactsInput!$M$7-ArtifactsInput!$M$7)*CHOOSE(ArtifactsInput!$N$7+1,6,7.2,8.4,9.6,10.8,12))+IF(Inputs!$B$3&gt;=117,F2078,0))/100)),15)/15,(Skills!S28*(1+((Inputs!$B$35+(ArtifactsInput!$M$7-ArtifactsInput!$M$7)*CHOOSE(ArtifactsInput!$N$7+1,6,7.2,8.4,9.6,10.8,12))+IF(Inputs!$B$3&gt;=117,F2078,0))/100))/Skills!D28)))</f>
        <v/>
      </c>
    </row>
    <row r="2088">
      <c r="A2088" t="inlineStr">
        <is>
          <t>Actions Per Second</t>
        </is>
      </c>
      <c r="B2088">
        <f>1+MIN(150,150*(1-(1-Inputs!$B$12/150)*(1-B2087/150)))/100</f>
        <v/>
      </c>
    </row>
    <row r="2089">
      <c r="A2089" t="inlineStr">
        <is>
          <t>Skill + Buff Cast Rate</t>
        </is>
      </c>
      <c r="B2089">
        <f>IF(AND(Inputs!$B$39&lt;&gt;"pvp",Inputs!$B$44&gt;0),SUMPRODUCT((Skills!E2:E28=TRUE)*(C2054:C2080=TRUE)*R2054:R2080)/Inputs!$B$44,SUMPRODUCT((Skills!E2:E28=TRUE)*(C2054:C2080=TRUE)*Q2054:Q2080))</f>
        <v/>
      </c>
    </row>
    <row r="2090">
      <c r="A2090" t="inlineStr">
        <is>
          <t>Big Bang Casts Per Second</t>
        </is>
      </c>
      <c r="B2090">
        <f>MAX(0,B2088-B2089)</f>
        <v/>
      </c>
    </row>
    <row r="2091">
      <c r="A2091" t="inlineStr">
        <is>
          <t>Defense % Bonus (Divine Protection)</t>
        </is>
      </c>
      <c r="B2091">
        <f>IF(C2065=TRUE,F2065*IF(AND(Inputs!$B$39&lt;&gt;"pvp",Inputs!$B$44&gt;0),(((R2065-1)*(Skills!S13*(1+((Inputs!$B$35+(ArtifactsInput!$M$7-ArtifactsInput!$M$7)*CHOOSE(ArtifactsInput!$N$7+1,6,7.2,8.4,9.6,10.8,12))+IF(Inputs!$B$3&gt;=117,F2078,0))/100))+MIN((Skills!S13*(1+((Inputs!$B$35+(ArtifactsInput!$M$7-ArtifactsInput!$M$7)*CHOOSE(ArtifactsInput!$N$7+1,6,7.2,8.4,9.6,10.8,12))+IF(Inputs!$B$3&gt;=117,F2078,0))/100)),MAX(0,Inputs!$B$44-((R2065-1)*Skills!D13))))/Inputs!$B$44),IF(Inputs!$B$39="pvp",MIN((Skills!S13*(1+((Inputs!$B$35+(ArtifactsInput!$M$7-ArtifactsInput!$M$7)*CHOOSE(ArtifactsInput!$N$7+1,6,7.2,8.4,9.6,10.8,12))+IF(Inputs!$B$3&gt;=117,F2078,0))/100)),15)/15,(Skills!S13*(1+((Inputs!$B$35+(ArtifactsInput!$M$7-ArtifactsInput!$M$7)*CHOOSE(ArtifactsInput!$N$7+1,6,7.2,8.4,9.6,10.8,12))+IF(Inputs!$B$3&gt;=117,F2078,0))/100))/Skills!D13)),0)</f>
        <v/>
      </c>
    </row>
    <row r="2092">
      <c r="A2092" t="inlineStr">
        <is>
          <t>Buff-Casting Startup Delay (s, fixed-duration only)</t>
        </is>
      </c>
      <c r="B2092">
        <f>IF(AND(Inputs!$B$39&lt;&gt;"pvp",Inputs!$B$44&gt;0),SUMPRODUCT((Skills!S2:S28&gt;0)*(Skills!E2:E28=TRUE)*(C2054:C2080=TRUE))/B2088,0)</f>
        <v/>
      </c>
    </row>
    <row r="2093">
      <c r="A2093" t="inlineStr">
        <is>
          <t>Boss-Only Total DPS (this block's swept value)</t>
        </is>
      </c>
      <c r="B2093">
        <f>SUM(S2054:S2080)</f>
        <v/>
      </c>
    </row>
    <row r="2094">
      <c r="A2094" t="inlineStr">
        <is>
          <t>Normal-Only Total DPS (this block's swept value)</t>
        </is>
      </c>
      <c r="B2094">
        <f>SUM(U2054:U2080)</f>
        <v/>
      </c>
    </row>
    <row r="2095">
      <c r="A2095" s="6" t="inlineStr">
        <is>
          <t>TOTAL DPS</t>
        </is>
      </c>
      <c r="B2095" s="6">
        <f>SUM(O2054:O2080)</f>
        <v/>
      </c>
    </row>
    <row r="2097">
      <c r="A2097" s="6" t="inlineStr">
        <is>
          <t>Stat: Lunar Dew (Equip)</t>
        </is>
      </c>
    </row>
    <row r="2098">
      <c r="A2098" s="5" t="inlineStr">
        <is>
          <t>Key</t>
        </is>
      </c>
      <c r="B2098" s="5" t="inlineStr">
        <is>
          <t>Name</t>
        </is>
      </c>
      <c r="C2098" s="5" t="inlineStr">
        <is>
          <t>Unlocked</t>
        </is>
      </c>
      <c r="D2098" s="5" t="inlineStr">
        <is>
          <t>InputLevel</t>
        </is>
      </c>
      <c r="E2098" s="5" t="inlineStr">
        <is>
          <t>Factor</t>
        </is>
      </c>
      <c r="F2098" s="5" t="inlineStr">
        <is>
          <t>CoefficientPercent</t>
        </is>
      </c>
      <c r="G2098" s="5" t="inlineStr">
        <is>
          <t>EffectiveHits</t>
        </is>
      </c>
      <c r="H2098" s="5" t="inlineStr">
        <is>
          <t>ProcProbability</t>
        </is>
      </c>
      <c r="I2098" s="5" t="inlineStr">
        <is>
          <t>MapleHeroMultiplier</t>
        </is>
      </c>
      <c r="J2098" s="5" t="inlineStr">
        <is>
          <t>BaseDamage</t>
        </is>
      </c>
      <c r="K2098" s="5" t="inlineStr">
        <is>
          <t>BaseHitDamage</t>
        </is>
      </c>
      <c r="L2098" s="5" t="inlineStr">
        <is>
          <t>NonCritAvg</t>
        </is>
      </c>
      <c r="M2098" s="5" t="inlineStr">
        <is>
          <t>CritAvg</t>
        </is>
      </c>
      <c r="N2098" s="5" t="inlineStr">
        <is>
          <t>ExpectedDamage(perHit)</t>
        </is>
      </c>
      <c r="O2098" s="5" t="inlineStr">
        <is>
          <t>DPS</t>
        </is>
      </c>
      <c r="P2098" s="5" t="inlineStr">
        <is>
          <t>% of Total</t>
        </is>
      </c>
      <c r="R2098" t="inlineStr">
        <is>
          <t>helpers</t>
        </is>
      </c>
    </row>
    <row r="2099">
      <c r="A2099">
        <f>Skills!A2</f>
        <v/>
      </c>
      <c r="B2099">
        <f>Skills!B2</f>
        <v/>
      </c>
      <c r="C2099">
        <f>Inputs!$B$3&gt;=100</f>
        <v/>
      </c>
      <c r="D2099" t="inlineStr"/>
      <c r="E2099" t="inlineStr"/>
      <c r="F2099">
        <f>T2101+Skills!N2</f>
        <v/>
      </c>
      <c r="G2099">
        <f>Calc!G2</f>
        <v/>
      </c>
      <c r="H2099">
        <f>Calc!H2</f>
        <v/>
      </c>
      <c r="I2099">
        <f>IF(Skills!T2&lt;&gt;"",1+(Skills!T2/10)*($Z$3/1000)/100,1)</f>
        <v/>
      </c>
      <c r="J2099">
        <f>((Inputs!$B$6*(1+Inputs!$B$7/100))+(((Inputs!$B$13*(1+Inputs!$B$14/100))-(Inputs!$B$13*(1+Inputs!$B$14/100)))+0.25*(Inputs!$B$15-Inputs!$B$15))*(1+Inputs!$B$7/100))*(F2099/100)</f>
        <v/>
      </c>
      <c r="K2099">
        <f>J2099*(1+(((Inputs!$B$13+IF(Inputs!$B$3&gt;=35,(10*INDEX(FactorTable!$B$2:$Y$301,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2="TRIUMPH_FEATHER",IF(C2113=TRUE,F2113,0),0)/100)*(1+IF(C2124=TRUE,F2124,0)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2099)</f>
        <v/>
      </c>
      <c r="L2099">
        <f>K2099*(MIN(Inputs!$B$23+(F2119-Calc!F22),(Inputs!$B$24+IF(ArtifactsInput!$M$15,CHOOSE(ArtifactsInput!$N$15+1,25,30,35,40,45,50)/100*(Inputs!$B$12-Inputs!$B$12),0)))/100+(Inputs!$B$24+IF(ArtifactsInput!$M$15,CHOOSE(ArtifactsInput!$N$15+1,25,30,35,40,45,50)/100*(Inputs!$B$12-Inputs!$B$12),0))/100)/2</f>
        <v/>
      </c>
      <c r="M2099">
        <f>L2099*(1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9">
        <f>L2099*(1-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(1-Summary!$B$11)*S2099+Summary!$B$11*U2099</f>
        <v/>
      </c>
      <c r="P2099">
        <f>IF(B2140=0,0,O2099/B2140)</f>
        <v/>
      </c>
      <c r="Q2099">
        <f>IFERROR(1/(IF(Inputs!$B$39="pvp",15,MAX(0.1,Skills!D2-IF(Skills!E2=TRUE,Inputs!$B$33,0)))*(1-IF(AND(ArtifactsInput!$M$27,Inputs!$B$4="Chapter Hunt"),CHOOSE(ArtifactsInput!$N$27+1,20,24,28,32,36,40),0)/100)),0)</f>
        <v/>
      </c>
      <c r="R2099" t="n">
        <v>0</v>
      </c>
      <c r="S2099">
        <f>IF(C2099,(Skills!F2*N2099*B2135)*IF(Inputs!$B$39="pvp",1,1+(Inputs!$B$21+Skills!O2+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2099*(1-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9">
        <f>MAX(0,(Inputs!$B$3-100)*3)+Inputs!$B$29+Inputs!$B$30</f>
        <v/>
      </c>
      <c r="U2099">
        <f>IF(C2099,(Skills!F2*N2099*B2135)*IF(Inputs!$B$39="pvp",1,(1+(Inputs!$B$22+Skills!P2+B2129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Skills!A3</f>
        <v/>
      </c>
      <c r="B2100">
        <f>Skills!B3</f>
        <v/>
      </c>
      <c r="C2100">
        <f>Inputs!$B$3&gt;=15</f>
        <v/>
      </c>
      <c r="D2100">
        <f>IF(Skills!C3=1,60+Inputs!$B$26+Inputs!$B$30,IF(Skills!C3=2,90+Inputs!$B$27+Inputs!$B$30,IF(Skills!C3=3,120+Inputs!$B$28+Inputs!$B$30,MAX(0,(Inputs!$B$3-100)*3)+Inputs!$B$29+Inputs!$B$30)))</f>
        <v/>
      </c>
      <c r="E2100">
        <f>INDEX(FactorTable!$B$2:$Y$301, MATCH(ROUND(MIN(300,MAX(1,D2100)),0), FactorTable!$A$2:$A$301,0), Skills!L3+1)</f>
        <v/>
      </c>
      <c r="F2100">
        <f>IF(Skills!M3=TRUE,(Skills!K3/10)*(E2100/1000),Skills!K3/10)+Skills!N3</f>
        <v/>
      </c>
      <c r="G2100">
        <f>Calc!G3</f>
        <v/>
      </c>
      <c r="H2100">
        <f>Calc!H3</f>
        <v/>
      </c>
      <c r="I2100">
        <f>IF(Skills!T3&lt;&gt;"",1+(Skills!T3/10)*($Z$3/1000)/100,1)</f>
        <v/>
      </c>
      <c r="J2100" t="inlineStr"/>
      <c r="K2100" t="inlineStr"/>
      <c r="L2100" t="inlineStr"/>
      <c r="M2100" t="inlineStr"/>
      <c r="N2100" t="inlineStr"/>
      <c r="O2100">
        <f>(1-Summary!$B$11)*S2100+Summary!$B$11*U2100</f>
        <v/>
      </c>
      <c r="P2100">
        <f>IF(B2140=0,0,O2100/B2140)</f>
        <v/>
      </c>
      <c r="Q2100">
        <f>IFERROR(1/(IF(Inputs!$B$39="pvp",15,MAX(0.1,Skills!D3-IF(Skills!E3=TRUE,Inputs!$B$33,0)))*(1-IF(AND(ArtifactsInput!$M$27,Inputs!$B$4="Chapter Hunt"),CHOOSE(ArtifactsInput!$N$27+1,20,24,28,32,36,40),0)/100)),0)</f>
        <v/>
      </c>
      <c r="R2100">
        <f>IF(AND(Inputs!$B$39&lt;&gt;"pvp",Inputs!$B$44&gt;0),IF(Inputs!$B$44&lt;=0,0,(INT(Inputs!$B$44/(IF(Inputs!$B$39="pvp",15,MAX(0.1,Skills!D3-IF(Skills!E3=TRUE,Inputs!$B$33,0)))*(1-IF(AND(ArtifactsInput!$M$27,Inputs!$B$4="Chapter Hunt"),CHOOSE(ArtifactsInput!$N$27+1,20,24,28,32,36,40),0)/100)))+1)),0)</f>
        <v/>
      </c>
      <c r="S2100" t="n">
        <v>0</v>
      </c>
      <c r="T2100">
        <f>INDEX(FactorTable!$B$2:$Y$301, MATCH(ROUND(MIN(300,MAX(1,T2099)),0), FactorTable!$A$2:$A$301,0), 22)</f>
        <v/>
      </c>
      <c r="U2100" t="n">
        <v>0</v>
      </c>
    </row>
    <row r="2101">
      <c r="A2101">
        <f>Skills!A4</f>
        <v/>
      </c>
      <c r="B2101">
        <f>Skills!B4</f>
        <v/>
      </c>
      <c r="C2101">
        <f>Inputs!$B$3&gt;=38</f>
        <v/>
      </c>
      <c r="D2101">
        <f>IF(Skills!C4=1,60+Inputs!$B$26+Inputs!$B$30,IF(Skills!C4=2,90+Inputs!$B$27+Inputs!$B$30,IF(Skills!C4=3,120+Inputs!$B$28+Inputs!$B$30,MAX(0,(Inputs!$B$3-100)*3)+Inputs!$B$29+Inputs!$B$30)))</f>
        <v/>
      </c>
      <c r="E2101">
        <f>INDEX(FactorTable!$B$2:$Y$301, MATCH(ROUND(MIN(300,MAX(1,D2101)),0), FactorTable!$A$2:$A$301,0), Skills!L4+1)</f>
        <v/>
      </c>
      <c r="F2101">
        <f>IF(Skills!M4=TRUE,(Skills!K4/10)*(E2101/1000),Skills!K4/10)+Skills!N4</f>
        <v/>
      </c>
      <c r="G2101">
        <f>Calc!G4</f>
        <v/>
      </c>
      <c r="H2101">
        <f>Calc!H4</f>
        <v/>
      </c>
      <c r="I2101">
        <f>IF(Skills!T4&lt;&gt;"",1+(Skills!T4/10)*($Z$3/1000)/100,1)</f>
        <v/>
      </c>
      <c r="J2101" t="inlineStr"/>
      <c r="K2101" t="inlineStr"/>
      <c r="L2101" t="inlineStr"/>
      <c r="M2101" t="inlineStr"/>
      <c r="N2101" t="inlineStr"/>
      <c r="O2101">
        <f>(1-Summary!$B$11)*S2101+Summary!$B$11*U2101</f>
        <v/>
      </c>
      <c r="P2101">
        <f>IF(B2140=0,0,O2101/B2140)</f>
        <v/>
      </c>
      <c r="Q2101">
        <f>IFERROR(1/(IF(Inputs!$B$39="pvp",15,MAX(0.1,Skills!D4-IF(Skills!E4=TRUE,Inputs!$B$33,0)))*(1-IF(AND(ArtifactsInput!$M$27,Inputs!$B$4="Chapter Hunt"),CHOOSE(ArtifactsInput!$N$27+1,20,24,28,32,36,40),0)/100)),0)</f>
        <v/>
      </c>
      <c r="R2101">
        <f>IF(AND(Inputs!$B$39&lt;&gt;"pvp",Inputs!$B$44&gt;0),IF(Inputs!$B$44&lt;=0,0,(INT(Inputs!$B$44/(IF(Inputs!$B$39="pvp",15,MAX(0.1,Skills!D4-IF(Skills!E4=TRUE,Inputs!$B$33,0)))*(1-IF(AND(ArtifactsInput!$M$27,Inputs!$B$4="Chapter Hunt"),CHOOSE(ArtifactsInput!$N$27+1,20,24,28,32,36,40),0)/100)))+1)),0)</f>
        <v/>
      </c>
      <c r="S2101" t="n">
        <v>0</v>
      </c>
      <c r="T2101">
        <f>290*T2100/1000</f>
        <v/>
      </c>
      <c r="U2101" t="n">
        <v>0</v>
      </c>
    </row>
    <row r="2102">
      <c r="A2102">
        <f>Skills!A5</f>
        <v/>
      </c>
      <c r="B2102">
        <f>Skills!B5</f>
        <v/>
      </c>
      <c r="C2102">
        <f>Inputs!$B$3&gt;=40</f>
        <v/>
      </c>
      <c r="D2102">
        <f>IF(Skills!C5=1,60+Inputs!$B$26+Inputs!$B$30,IF(Skills!C5=2,90+Inputs!$B$27+Inputs!$B$30,IF(Skills!C5=3,120+Inputs!$B$28+Inputs!$B$30,MAX(0,(Inputs!$B$3-100)*3)+Inputs!$B$29+Inputs!$B$30)))</f>
        <v/>
      </c>
      <c r="E2102">
        <f>INDEX(FactorTable!$B$2:$Y$301, MATCH(ROUND(MIN(300,MAX(1,D2102)),0), FactorTable!$A$2:$A$301,0), Skills!L5+1)</f>
        <v/>
      </c>
      <c r="F2102">
        <f>IF(Skills!M5=TRUE,(Skills!K5/10)*(E2102/1000),Skills!K5/10)+Skills!N5</f>
        <v/>
      </c>
      <c r="G2102">
        <f>Calc!G5</f>
        <v/>
      </c>
      <c r="H2102">
        <f>Calc!H5</f>
        <v/>
      </c>
      <c r="I2102">
        <f>IF(Skills!T5&lt;&gt;"",1+(Skills!T5/10)*($Z$3/1000)/100,1)</f>
        <v/>
      </c>
      <c r="J2102" t="inlineStr"/>
      <c r="K2102" t="inlineStr"/>
      <c r="L2102" t="inlineStr"/>
      <c r="M2102" t="inlineStr"/>
      <c r="N2102" t="inlineStr"/>
      <c r="O2102">
        <f>(1-Summary!$B$11)*S2102+Summary!$B$11*U2102</f>
        <v/>
      </c>
      <c r="P2102">
        <f>IF(B2140=0,0,O2102/B2140)</f>
        <v/>
      </c>
      <c r="Q2102">
        <f>IFERROR(1/(IF(Inputs!$B$39="pvp",15,MAX(0.1,Skills!D5-IF(Skills!E5=TRUE,Inputs!$B$33,0)))*(1-IF(AND(ArtifactsInput!$M$27,Inputs!$B$4="Chapter Hunt"),CHOOSE(ArtifactsInput!$N$27+1,20,24,28,32,36,40),0)/100)),0)</f>
        <v/>
      </c>
      <c r="R2102">
        <f>IF(AND(Inputs!$B$39&lt;&gt;"pvp",Inputs!$B$44&gt;0),IF(Inputs!$B$44&lt;=0,0,(INT(Inputs!$B$44/(IF(Inputs!$B$39="pvp",15,MAX(0.1,Skills!D5-IF(Skills!E5=TRUE,Inputs!$B$33,0)))*(1-IF(AND(ArtifactsInput!$M$27,Inputs!$B$4="Chapter Hunt"),CHOOSE(ArtifactsInput!$N$27+1,20,24,28,32,36,40),0)/100)))+1)),0)</f>
        <v/>
      </c>
      <c r="S2102" t="n">
        <v>0</v>
      </c>
      <c r="U2102" t="n">
        <v>0</v>
      </c>
    </row>
    <row r="2103">
      <c r="A2103">
        <f>Skills!A6</f>
        <v/>
      </c>
      <c r="B2103">
        <f>Skills!B6</f>
        <v/>
      </c>
      <c r="C2103">
        <f>Inputs!$B$3&gt;=103</f>
        <v/>
      </c>
      <c r="D2103">
        <f>IF(Skills!C6=1,60+Inputs!$B$26+Inputs!$B$30,IF(Skills!C6=2,90+Inputs!$B$27+Inputs!$B$30,IF(Skills!C6=3,120+Inputs!$B$28+Inputs!$B$30,MAX(0,(Inputs!$B$3-100)*3)+Inputs!$B$29+Inputs!$B$30)))</f>
        <v/>
      </c>
      <c r="E2103">
        <f>INDEX(FactorTable!$B$2:$Y$301, MATCH(ROUND(MIN(300,MAX(1,D2103)),0), FactorTable!$A$2:$A$301,0), Skills!L6+1)</f>
        <v/>
      </c>
      <c r="F2103">
        <f>IF(Skills!M6=TRUE,(Skills!K6/10)*(E2103/1000),Skills!K6/10)+Skills!N6</f>
        <v/>
      </c>
      <c r="G2103">
        <f>Calc!G6</f>
        <v/>
      </c>
      <c r="H2103">
        <f>Calc!H6</f>
        <v/>
      </c>
      <c r="I2103">
        <f>IF(Skills!T6&lt;&gt;"",1+(Skills!T6/10)*($Z$3/1000)/100,1)</f>
        <v/>
      </c>
      <c r="J2103">
        <f>((Inputs!$B$6*(1+Inputs!$B$7/100))+(((Inputs!$B$13*(1+Inputs!$B$14/100))-(Inputs!$B$13*(1+Inputs!$B$14/100)))+0.25*(Inputs!$B$15-Inputs!$B$15))*(1+Inputs!$B$7/100))*(F2103/100)</f>
        <v/>
      </c>
      <c r="K2103">
        <f>J2103*(1+(((Inputs!$B$13+IF(Inputs!$B$3&gt;=35,(10*INDEX(FactorTable!$B$2:$Y$301,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6="TRIUMPH_FEATHER",IF(C2113=TRUE,F2113,0),0)/100)*(1+IF(C2124=TRUE,F2124,0)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2103)</f>
        <v/>
      </c>
      <c r="L2103">
        <f>K2103*(MIN(Inputs!$B$23+(F2119-Calc!F22),(Inputs!$B$24+IF(ArtifactsInput!$M$15,CHOOSE(ArtifactsInput!$N$15+1,25,30,35,40,45,50)/100*(Inputs!$B$12-Inputs!$B$12),0)))/100+(Inputs!$B$24+IF(ArtifactsInput!$M$15,CHOOSE(ArtifactsInput!$N$15+1,25,30,35,40,45,50)/100*(Inputs!$B$12-Inputs!$B$12),0))/100)/2</f>
        <v/>
      </c>
      <c r="M2103">
        <f>L2103*(1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3">
        <f>L2103*(1-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2103*(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3">
        <f>(1-Summary!$B$11)*S2103+Summary!$B$11*U2103</f>
        <v/>
      </c>
      <c r="P2103">
        <f>IF(B2140=0,0,O2103/B2140)</f>
        <v/>
      </c>
      <c r="Q2103">
        <f>IFERROR(1/(IF(Inputs!$B$39="pvp",15,MAX(0.1,Skills!D6-IF(Skills!E6=TRUE,Inputs!$B$33,0)))*(1-IF(AND(ArtifactsInput!$M$27,Inputs!$B$4="Chapter Hunt"),CHOOSE(ArtifactsInput!$N$27+1,20,24,28,32,36,40),0)/100)),0)</f>
        <v/>
      </c>
      <c r="R2103">
        <f>IF(AND(Inputs!$B$39&lt;&gt;"pvp",Inputs!$B$44&gt;0),IF(MAX(0,Inputs!$B$44-B2137)&lt;=0,0,(INT(MAX(0,Inputs!$B$44-B2137)/(IF(Inputs!$B$39="pvp",15,MAX(0.1,Skills!D6-IF(Skills!E6=TRUE,Inputs!$B$33,0)))*(1-IF(AND(ArtifactsInput!$M$27,Inputs!$B$4="Chapter Hunt"),CHOOSE(ArtifactsInput!$N$27+1,20,24,28,32,36,40),0)/100)))+1)),0)</f>
        <v/>
      </c>
      <c r="S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$21+Skills!O6+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2103*(1-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2103*(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2103*(1-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2103*(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$22+Skills!P6+B2129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4">
      <c r="A2104">
        <f>Skills!A7</f>
        <v/>
      </c>
      <c r="B2104">
        <f>Skills!B7</f>
        <v/>
      </c>
      <c r="C2104">
        <f>Inputs!$B$3&gt;=122</f>
        <v/>
      </c>
      <c r="D2104">
        <f>IF(Skills!C7=1,60+Inputs!$B$26+Inputs!$B$30,IF(Skills!C7=2,90+Inputs!$B$27+Inputs!$B$30,IF(Skills!C7=3,120+Inputs!$B$28+Inputs!$B$30,MAX(0,(Inputs!$B$3-100)*3)+Inputs!$B$29+Inputs!$B$30)))</f>
        <v/>
      </c>
      <c r="E2104">
        <f>INDEX(FactorTable!$B$2:$Y$301, MATCH(ROUND(MIN(300,MAX(1,D2104)),0), FactorTable!$A$2:$A$301,0), Skills!L7+1)</f>
        <v/>
      </c>
      <c r="F2104">
        <f>IF(Skills!M7=TRUE,(Skills!K7/10)*(E2104/1000),Skills!K7/10)+Skills!N7</f>
        <v/>
      </c>
      <c r="G2104">
        <f>Calc!G7</f>
        <v/>
      </c>
      <c r="H2104">
        <f>Calc!H7</f>
        <v/>
      </c>
      <c r="I2104">
        <f>IF(Skills!T7&lt;&gt;"",1+(Skills!T7/10)*($Z$3/1000)/100,1)</f>
        <v/>
      </c>
      <c r="J2104">
        <f>((Inputs!$B$6*(1+Inputs!$B$7/100))+(((Inputs!$B$13*(1+Inputs!$B$14/100))-(Inputs!$B$13*(1+Inputs!$B$14/100)))+0.25*(Inputs!$B$15-Inputs!$B$15))*(1+Inputs!$B$7/100))*(F2104/100)</f>
        <v/>
      </c>
      <c r="K2104">
        <f>J2104*(1+(((Inputs!$B$13+IF(Inputs!$B$3&gt;=35,(10*INDEX(FactorTable!$B$2:$Y$301,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7="TRIUMPH_FEATHER",IF(C2113=TRUE,F2113,0),0)/100)*(1+IF(C2124=TRUE,F2124,0)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2104)</f>
        <v/>
      </c>
      <c r="L2104">
        <f>K2104*(MIN(Inputs!$B$23+(F2119-Calc!F22),(Inputs!$B$24+IF(ArtifactsInput!$M$15,CHOOSE(ArtifactsInput!$N$15+1,25,30,35,40,45,50)/100*(Inputs!$B$12-Inputs!$B$12),0)))/100+(Inputs!$B$24+IF(ArtifactsInput!$M$15,CHOOSE(ArtifactsInput!$N$15+1,25,30,35,40,45,50)/100*(Inputs!$B$12-Inputs!$B$12),0))/100)/2</f>
        <v/>
      </c>
      <c r="M2104">
        <f>L2104*(1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4">
        <f>L2104*(1-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2104*(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4">
        <f>(1-Summary!$B$11)*S2104+Summary!$B$11*U2104</f>
        <v/>
      </c>
      <c r="P2104">
        <f>IF(B2140=0,0,O2104/B2140)</f>
        <v/>
      </c>
      <c r="Q2104">
        <f>IFERROR(1/(IF(Inputs!$B$39="pvp",15,MAX(0.1,Skills!D7-IF(Skills!E6=TRUE,Inputs!$B$33,0)))*(1-IF(AND(ArtifactsInput!$M$27,Inputs!$B$4="Chapter Hunt"),CHOOSE(ArtifactsInput!$N$27+1,20,24,28,32,36,40),0)/100)),0)</f>
        <v/>
      </c>
      <c r="R2104">
        <f>IF(AND(Inputs!$B$39&lt;&gt;"pvp",Inputs!$B$44&gt;0),IF(MAX(0,Inputs!$B$44-B2137)&lt;=0,0,(INT(MAX(0,Inputs!$B$44-B2137)/(IF(Inputs!$B$39="pvp",15,MAX(0.1,Skills!D7-IF(Skills!E6=TRUE,Inputs!$B$33,0)))*(1-IF(AND(ArtifactsInput!$M$27,Inputs!$B$4="Chapter Hunt"),CHOOSE(ArtifactsInput!$N$27+1,20,24,28,32,36,40),0)/100)))+1)),0)</f>
        <v/>
      </c>
      <c r="S2104">
        <f>IF(C2104,H2104*N2104*IF(AND(Inputs!$B$39&lt;&gt;"pvp",Inputs!$B$44&gt;0),((Skills!F7*((R2104-1)*IF(Skills!G7&gt;0,Skills!H7/Skills!G7,1)+IF(Skills!G7&gt;0,MIN(Skills!H7,MAX(0,MAX(0,Inputs!$B$44-B2137)-((R2104-1)*(IF(Inputs!$B$39="pvp",15,MAX(0.1,Skills!D7-IF(Skills!E6=TRUE,Inputs!$B$33,0)))*(1-IF(AND(ArtifactsInput!$M$27,Inputs!$B$4="Chapter Hunt"),CHOOSE(ArtifactsInput!$N$27+1,20,24,28,32,36,40),0)/100)))))/Skills!G7,1)))/Inputs!$B$44),G2104*Q2104)*IF(Inputs!$B$39="pvp",1,1+(Inputs!$B$21+Skills!O7+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2104*(1-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2104*(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2104*(1-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2104*(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4" t="n">
        <v>0</v>
      </c>
    </row>
    <row r="2105">
      <c r="A2105">
        <f>Skills!A8</f>
        <v/>
      </c>
      <c r="B2105">
        <f>Skills!B8</f>
        <v/>
      </c>
      <c r="C2105">
        <f>Inputs!$B$3&gt;=105</f>
        <v/>
      </c>
      <c r="D2105">
        <f>IF(Skills!C8=1,60+Inputs!$B$26+Inputs!$B$30,IF(Skills!C8=2,90+Inputs!$B$27+Inputs!$B$30,IF(Skills!C8=3,120+Inputs!$B$28+Inputs!$B$30,MAX(0,(Inputs!$B$3-100)*3)+Inputs!$B$29+Inputs!$B$30)))</f>
        <v/>
      </c>
      <c r="E2105">
        <f>INDEX(FactorTable!$B$2:$Y$301, MATCH(ROUND(MIN(300,MAX(1,D2105)),0), FactorTable!$A$2:$A$301,0), Skills!L8+1)</f>
        <v/>
      </c>
      <c r="F2105">
        <f>IF(Skills!M8=TRUE,(Skills!K8/10)*(E2105/1000),Skills!K8/10)+Skills!N8</f>
        <v/>
      </c>
      <c r="G2105">
        <f>Calc!G8</f>
        <v/>
      </c>
      <c r="H2105">
        <f>Calc!H8</f>
        <v/>
      </c>
      <c r="I2105">
        <f>IF(Skills!T8&lt;&gt;"",1+(Skills!T8/10)*($Z$3/1000)/100,1)</f>
        <v/>
      </c>
      <c r="J2105">
        <f>((Inputs!$B$6*(1+Inputs!$B$7/100))+(((Inputs!$B$13*(1+Inputs!$B$14/100))-(Inputs!$B$13*(1+Inputs!$B$14/100)))+0.25*(Inputs!$B$15-Inputs!$B$15))*(1+Inputs!$B$7/100))*(F2105/100)</f>
        <v/>
      </c>
      <c r="K2105">
        <f>J2105*(1+(((Inputs!$B$13+IF(Inputs!$B$3&gt;=35,(10*INDEX(FactorTable!$B$2:$Y$301,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8="TRIUMPH_FEATHER",IF(C2113=TRUE,F2113,0),0)/100)*(1+IF(C2124=TRUE,F2124,0)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2105)</f>
        <v/>
      </c>
      <c r="L2105">
        <f>K2105*(MIN(Inputs!$B$23+(F2119-Calc!F22),(Inputs!$B$24+IF(ArtifactsInput!$M$15,CHOOSE(ArtifactsInput!$N$15+1,25,30,35,40,45,50)/100*(Inputs!$B$12-Inputs!$B$12),0)))/100+(Inputs!$B$24+IF(ArtifactsInput!$M$15,CHOOSE(ArtifactsInput!$N$15+1,25,30,35,40,45,50)/100*(Inputs!$B$12-Inputs!$B$12),0))/100)/2</f>
        <v/>
      </c>
      <c r="M2105">
        <f>L2105*(1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5">
        <f>L2105*(1-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2105*(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5">
        <f>(1-Summary!$B$11)*S2105+Summary!$B$11*U2105</f>
        <v/>
      </c>
      <c r="P2105">
        <f>IF(B2140=0,0,O2105/B2140)</f>
        <v/>
      </c>
      <c r="Q2105">
        <f>IFERROR(1/(IF(Inputs!$B$39="pvp",15,MAX(0.1,Skills!D8-IF(Skills!E8=TRUE,Inputs!$B$33,0)))*(1-IF(AND(ArtifactsInput!$M$27,Inputs!$B$4="Chapter Hunt"),CHOOSE(ArtifactsInput!$N$27+1,20,24,28,32,36,40),0)/100)),0)</f>
        <v/>
      </c>
      <c r="R2105">
        <f>IF(AND(Inputs!$B$39&lt;&gt;"pvp",Inputs!$B$44&gt;0),IF(MAX(0,Inputs!$B$44-B2137)&lt;=0,0,(INT(MAX(0,Inputs!$B$44-B2137)/(IF(Inputs!$B$39="pvp",15,MAX(0.1,Skills!D8-IF(Skills!E8=TRUE,Inputs!$B$33,0)))*(1-IF(AND(ArtifactsInput!$M$27,Inputs!$B$4="Chapter Hunt"),CHOOSE(ArtifactsInput!$N$27+1,20,24,28,32,36,40),0)/100)))+1)),0)</f>
        <v/>
      </c>
      <c r="S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$21+Skills!O8+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2105*(1-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2105*(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2105*(1-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2105*(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$22+Skills!P8+B2129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6">
      <c r="A2106">
        <f>Skills!A9</f>
        <v/>
      </c>
      <c r="B2106">
        <f>Skills!B9</f>
        <v/>
      </c>
      <c r="C2106">
        <f>Inputs!$B$3&gt;=115</f>
        <v/>
      </c>
      <c r="D2106">
        <f>IF(Skills!C9=1,60+Inputs!$B$26+Inputs!$B$30,IF(Skills!C9=2,90+Inputs!$B$27+Inputs!$B$30,IF(Skills!C9=3,120+Inputs!$B$28+Inputs!$B$30,MAX(0,(Inputs!$B$3-100)*3)+Inputs!$B$29+Inputs!$B$30)))</f>
        <v/>
      </c>
      <c r="E2106">
        <f>INDEX(FactorTable!$B$2:$Y$301, MATCH(ROUND(MIN(300,MAX(1,D2106)),0), FactorTable!$A$2:$A$301,0), Skills!L9+1)</f>
        <v/>
      </c>
      <c r="F2106">
        <f>IF(Skills!M9=TRUE,(Skills!K9/10)*(E2106/1000),Skills!K9/10)+Skills!N9</f>
        <v/>
      </c>
      <c r="G2106">
        <f>Calc!G9</f>
        <v/>
      </c>
      <c r="H2106">
        <f>Calc!H9</f>
        <v/>
      </c>
      <c r="I2106">
        <f>IF(Skills!T9&lt;&gt;"",1+(Skills!T9/10)*($Z$3/1000)/100,1)</f>
        <v/>
      </c>
      <c r="J2106">
        <f>((Inputs!$B$6*(1+Inputs!$B$7/100))+(((Inputs!$B$13*(1+Inputs!$B$14/100))-(Inputs!$B$13*(1+Inputs!$B$14/100)))+0.25*(Inputs!$B$15-Inputs!$B$15))*(1+Inputs!$B$7/100))*(F2106/100)</f>
        <v/>
      </c>
      <c r="K2106">
        <f>J2106*(1+(((Inputs!$B$13+IF(Inputs!$B$3&gt;=35,(10*INDEX(FactorTable!$B$2:$Y$301,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9="TRIUMPH_FEATHER",IF(C2113=TRUE,F2113,0),0)/100)*(1+IF(C2124=TRUE,F2124,0)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2106)</f>
        <v/>
      </c>
      <c r="L2106">
        <f>K2106*(MIN(Inputs!$B$23+(F2119-Calc!F22),(Inputs!$B$24+IF(ArtifactsInput!$M$15,CHOOSE(ArtifactsInput!$N$15+1,25,30,35,40,45,50)/100*(Inputs!$B$12-Inputs!$B$12),0)))/100+(Inputs!$B$24+IF(ArtifactsInput!$M$15,CHOOSE(ArtifactsInput!$N$15+1,25,30,35,40,45,50)/100*(Inputs!$B$12-Inputs!$B$12),0))/100)/2</f>
        <v/>
      </c>
      <c r="M2106">
        <f>L2106*(1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6">
        <f>L2106*(1-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2106*(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6">
        <f>(1-Summary!$B$11)*S2106+Summary!$B$11*U2106</f>
        <v/>
      </c>
      <c r="P2106">
        <f>IF(B2140=0,0,O2106/B2140)</f>
        <v/>
      </c>
      <c r="Q2106">
        <f>IFERROR(1/(IF(Inputs!$B$39="pvp",15,MAX(0.1,Skills!D9-IF(Skills!E9=TRUE,Inputs!$B$33,0)))*(1-IF(AND(ArtifactsInput!$M$27,Inputs!$B$4="Chapter Hunt"),CHOOSE(ArtifactsInput!$N$27+1,20,24,28,32,36,40),0)/100)),0)</f>
        <v/>
      </c>
      <c r="R2106">
        <f>IF(AND(Inputs!$B$39&lt;&gt;"pvp",Inputs!$B$44&gt;0),IF(MAX(0,Inputs!$B$44-B2137)&lt;=0,0,(INT(MAX(0,Inputs!$B$44-B2137)/(IF(Inputs!$B$39="pvp",15,MAX(0.1,Skills!D9-IF(Skills!E9=TRUE,Inputs!$B$33,0)))*(1-IF(AND(ArtifactsInput!$M$27,Inputs!$B$4="Chapter Hunt"),CHOOSE(ArtifactsInput!$N$27+1,20,24,28,32,36,40),0)/100)))+1)),0)</f>
        <v/>
      </c>
      <c r="S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$21+Skills!O9+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2106*(1-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2106*(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2106*(1-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2106*(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$22+Skills!P9+B2129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7">
      <c r="A2107">
        <f>Skills!A10</f>
        <v/>
      </c>
      <c r="B2107">
        <f>Skills!B10</f>
        <v/>
      </c>
      <c r="C2107">
        <f>Inputs!$B$3&gt;=66</f>
        <v/>
      </c>
      <c r="D2107">
        <f>IF(Skills!C10=1,60+Inputs!$B$26+Inputs!$B$30,IF(Skills!C10=2,90+Inputs!$B$27+Inputs!$B$30,IF(Skills!C10=3,120+Inputs!$B$28+Inputs!$B$30,MAX(0,(Inputs!$B$3-100)*3)+Inputs!$B$29+Inputs!$B$30)))</f>
        <v/>
      </c>
      <c r="E2107">
        <f>INDEX(FactorTable!$B$2:$Y$301, MATCH(ROUND(MIN(300,MAX(1,D2107)),0), FactorTable!$A$2:$A$301,0), Skills!L10+1)</f>
        <v/>
      </c>
      <c r="F2107" t="n">
        <v>0</v>
      </c>
      <c r="G2107">
        <f>Calc!G10</f>
        <v/>
      </c>
      <c r="H2107">
        <f>Calc!H10</f>
        <v/>
      </c>
      <c r="I2107">
        <f>IF(Skills!T10&lt;&gt;"",1+(Skills!T10/10)*($Z$3/1000)/100,1)</f>
        <v/>
      </c>
      <c r="J2107" t="inlineStr"/>
      <c r="K2107" t="inlineStr"/>
      <c r="L2107" t="inlineStr"/>
      <c r="M2107" t="inlineStr"/>
      <c r="N2107" t="inlineStr"/>
      <c r="O2107">
        <f>(1-Summary!$B$11)*S2107+Summary!$B$11*U2107</f>
        <v/>
      </c>
      <c r="P2107">
        <f>IF(B2140=0,0,O2107/B2140)</f>
        <v/>
      </c>
      <c r="Q2107">
        <f>IFERROR(1/(IF(Inputs!$B$39="pvp",15,MAX(0.1,Skills!D10-IF(Skills!E10=TRUE,Inputs!$B$33,0)))*(1-IF(AND(ArtifactsInput!$M$27,Inputs!$B$4="Chapter Hunt"),CHOOSE(ArtifactsInput!$N$27+1,20,24,28,32,36,40),0)/100)),0)</f>
        <v/>
      </c>
      <c r="R2107">
        <f>IF(AND(Inputs!$B$39&lt;&gt;"pvp",Inputs!$B$44&gt;0),IF(MAX(0,Inputs!$B$44-B2137)&lt;=0,0,(INT(MAX(0,Inputs!$B$44-B2137)/(IF(Inputs!$B$39="pvp",15,MAX(0.1,Skills!D10-IF(Skills!E10=TRUE,Inputs!$B$33,0)))*(1-IF(AND(ArtifactsInput!$M$27,Inputs!$B$4="Chapter Hunt"),CHOOSE(ArtifactsInput!$N$27+1,20,24,28,32,36,40),0)/100)))+1)),0)</f>
        <v/>
      </c>
      <c r="S2107" t="n">
        <v>0</v>
      </c>
      <c r="U2107" t="n">
        <v>0</v>
      </c>
    </row>
    <row r="2108">
      <c r="A2108">
        <f>Skills!A11</f>
        <v/>
      </c>
      <c r="B2108">
        <f>Skills!B11</f>
        <v/>
      </c>
      <c r="C2108">
        <f>Inputs!$B$3&gt;=69</f>
        <v/>
      </c>
      <c r="D2108">
        <f>IF(Skills!C11=1,60+Inputs!$B$26+Inputs!$B$30,IF(Skills!C11=2,90+Inputs!$B$27+Inputs!$B$30,IF(Skills!C11=3,120+Inputs!$B$28+Inputs!$B$30,MAX(0,(Inputs!$B$3-100)*3)+Inputs!$B$29+Inputs!$B$30)))</f>
        <v/>
      </c>
      <c r="E2108">
        <f>INDEX(FactorTable!$B$2:$Y$301, MATCH(ROUND(MIN(300,MAX(1,D2108)),0), FactorTable!$A$2:$A$301,0), Skills!L11+1)</f>
        <v/>
      </c>
      <c r="F2108">
        <f>IF(Skills!M11=TRUE,(Skills!K11/10)*(E2108/1000),Skills!K11/10)+Skills!N11</f>
        <v/>
      </c>
      <c r="G2108">
        <f>Calc!G11</f>
        <v/>
      </c>
      <c r="H2108">
        <f>Calc!H11</f>
        <v/>
      </c>
      <c r="I2108">
        <f>IF(Skills!T11&lt;&gt;"",1+(Skills!T11/10)*($Z$3/1000)/100,1)</f>
        <v/>
      </c>
      <c r="J2108" t="inlineStr"/>
      <c r="K2108" t="inlineStr"/>
      <c r="L2108" t="inlineStr"/>
      <c r="M2108" t="inlineStr"/>
      <c r="N2108" t="inlineStr"/>
      <c r="O2108">
        <f>(1-Summary!$B$11)*S2108+Summary!$B$11*U2108</f>
        <v/>
      </c>
      <c r="P2108">
        <f>IF(B2140=0,0,O2108/B2140)</f>
        <v/>
      </c>
      <c r="Q2108">
        <f>IFERROR(1/(IF(Inputs!$B$39="pvp",15,MAX(0.1,Skills!D11-IF(Skills!E11=TRUE,Inputs!$B$33,0)))*(1-IF(AND(ArtifactsInput!$M$27,Inputs!$B$4="Chapter Hunt"),CHOOSE(ArtifactsInput!$N$27+1,20,24,28,32,36,40),0)/100)),0)</f>
        <v/>
      </c>
      <c r="R2108">
        <f>IF(AND(Inputs!$B$39&lt;&gt;"pvp",Inputs!$B$44&gt;0),IF(Inputs!$B$44&lt;=0,0,(INT(Inputs!$B$44/(IF(Inputs!$B$39="pvp",15,MAX(0.1,Skills!D11-IF(Skills!E11=TRUE,Inputs!$B$33,0)))*(1-IF(AND(ArtifactsInput!$M$27,Inputs!$B$4="Chapter Hunt"),CHOOSE(ArtifactsInput!$N$27+1,20,24,28,32,36,40),0)/100)))+1)),0)</f>
        <v/>
      </c>
      <c r="S2108" t="n">
        <v>0</v>
      </c>
      <c r="U2108" t="n">
        <v>0</v>
      </c>
    </row>
    <row r="2109">
      <c r="A2109">
        <f>Skills!A12</f>
        <v/>
      </c>
      <c r="B2109">
        <f>Skills!B12</f>
        <v/>
      </c>
      <c r="C2109">
        <f>Inputs!$B$3&gt;=72</f>
        <v/>
      </c>
      <c r="D2109">
        <f>IF(Skills!C12=1,60+Inputs!$B$26+Inputs!$B$30,IF(Skills!C12=2,90+Inputs!$B$27+Inputs!$B$30,IF(Skills!C12=3,120+Inputs!$B$28+Inputs!$B$30,MAX(0,(Inputs!$B$3-100)*3)+Inputs!$B$29+Inputs!$B$30)))</f>
        <v/>
      </c>
      <c r="E2109">
        <f>INDEX(FactorTable!$B$2:$Y$301, MATCH(ROUND(MIN(300,MAX(1,D2109)),0), FactorTable!$A$2:$A$301,0), Skills!L12+1)</f>
        <v/>
      </c>
      <c r="F2109">
        <f>IF(Skills!M12=TRUE,(Skills!K12/10)*(E2109/1000),Skills!K12/10)+Skills!N12</f>
        <v/>
      </c>
      <c r="G2109">
        <f>Calc!G12</f>
        <v/>
      </c>
      <c r="H2109">
        <f>Calc!H12</f>
        <v/>
      </c>
      <c r="I2109">
        <f>IF(Skills!T12&lt;&gt;"",1+(Skills!T12/10)*($Z$3/1000)/100,1)</f>
        <v/>
      </c>
      <c r="J2109" t="inlineStr"/>
      <c r="K2109" t="inlineStr"/>
      <c r="L2109" t="inlineStr"/>
      <c r="M2109" t="inlineStr"/>
      <c r="N2109" t="inlineStr"/>
      <c r="O2109">
        <f>(1-Summary!$B$11)*S2109+Summary!$B$11*U2109</f>
        <v/>
      </c>
      <c r="P2109">
        <f>IF(B2140=0,0,O2109/B2140)</f>
        <v/>
      </c>
      <c r="Q2109">
        <f>IFERROR(1/(IF(Inputs!$B$39="pvp",15,MAX(0.1,Skills!D12-IF(Skills!E12=TRUE,Inputs!$B$33,0)))*(1-IF(AND(ArtifactsInput!$M$27,Inputs!$B$4="Chapter Hunt"),CHOOSE(ArtifactsInput!$N$27+1,20,24,28,32,36,40),0)/100)),0)</f>
        <v/>
      </c>
      <c r="R2109">
        <f>IF(AND(Inputs!$B$39&lt;&gt;"pvp",Inputs!$B$44&gt;0),IF(MAX(0,Inputs!$B$44-B2137)&lt;=0,0,(INT(MAX(0,Inputs!$B$44-B2137)/(IF(Inputs!$B$39="pvp",15,MAX(0.1,Skills!D12-IF(Skills!E12=TRUE,Inputs!$B$33,0)))*(1-IF(AND(ArtifactsInput!$M$27,Inputs!$B$4="Chapter Hunt"),CHOOSE(ArtifactsInput!$N$27+1,20,24,28,32,36,40),0)/100)))+1)),0)</f>
        <v/>
      </c>
      <c r="S2109" t="n">
        <v>0</v>
      </c>
      <c r="U2109" t="n">
        <v>0</v>
      </c>
    </row>
    <row r="2110">
      <c r="A2110">
        <f>Skills!A13</f>
        <v/>
      </c>
      <c r="B2110">
        <f>Skills!B13</f>
        <v/>
      </c>
      <c r="C2110">
        <f>Inputs!$B$3&gt;=60</f>
        <v/>
      </c>
      <c r="D2110">
        <f>IF(Skills!C13=1,60+Inputs!$B$26+Inputs!$B$30,IF(Skills!C13=2,90+Inputs!$B$27+Inputs!$B$30,IF(Skills!C13=3,120+Inputs!$B$28+Inputs!$B$30,MAX(0,(Inputs!$B$3-100)*3)+Inputs!$B$29+Inputs!$B$30)))</f>
        <v/>
      </c>
      <c r="E2110">
        <f>INDEX(FactorTable!$B$2:$Y$301, MATCH(ROUND(MIN(300,MAX(1,D2110)),0), FactorTable!$A$2:$A$301,0), Skills!L13+1)</f>
        <v/>
      </c>
      <c r="F2110">
        <f>IF(Skills!M13=TRUE,(Skills!K13/10)*(E2110/1000),Skills!K13/10)+Skills!N13</f>
        <v/>
      </c>
      <c r="G2110">
        <f>Calc!G13</f>
        <v/>
      </c>
      <c r="H2110">
        <f>Calc!H13</f>
        <v/>
      </c>
      <c r="I2110">
        <f>IF(Skills!T13&lt;&gt;"",1+(Skills!T13/10)*($Z$3/1000)/100,1)</f>
        <v/>
      </c>
      <c r="J2110" t="inlineStr"/>
      <c r="K2110" t="inlineStr"/>
      <c r="L2110" t="inlineStr"/>
      <c r="M2110" t="inlineStr"/>
      <c r="N2110" t="inlineStr"/>
      <c r="O2110">
        <f>(1-Summary!$B$11)*S2110+Summary!$B$11*U2110</f>
        <v/>
      </c>
      <c r="P2110">
        <f>IF(B2140=0,0,O2110/B2140)</f>
        <v/>
      </c>
      <c r="Q2110">
        <f>IFERROR(1/(IF(Inputs!$B$39="pvp",15,MAX(0.1,Skills!D13-IF(Skills!E13=TRUE,Inputs!$B$33,0)))*(1-IF(AND(ArtifactsInput!$M$27,Inputs!$B$4="Chapter Hunt"),CHOOSE(ArtifactsInput!$N$27+1,20,24,28,32,36,40),0)/100)),0)</f>
        <v/>
      </c>
      <c r="R2110">
        <f>IF(AND(Inputs!$B$39&lt;&gt;"pvp",Inputs!$B$44&gt;0),IF(MAX(0,Inputs!$B$44-B2137)&lt;=0,0,(INT(MAX(0,Inputs!$B$44-B2137)/(IF(Inputs!$B$39="pvp",15,MAX(0.1,Skills!D13-IF(Skills!E13=TRUE,Inputs!$B$33,0)))*(1-IF(AND(ArtifactsInput!$M$27,Inputs!$B$4="Chapter Hunt"),CHOOSE(ArtifactsInput!$N$27+1,20,24,28,32,36,40),0)/100)))+1)),0)</f>
        <v/>
      </c>
      <c r="S2110" t="n">
        <v>0</v>
      </c>
      <c r="U2110" t="n">
        <v>0</v>
      </c>
    </row>
    <row r="2111">
      <c r="A2111">
        <f>Skills!A14</f>
        <v/>
      </c>
      <c r="B2111">
        <f>Skills!B14</f>
        <v/>
      </c>
      <c r="C2111">
        <f>Inputs!$B$3&gt;=107</f>
        <v/>
      </c>
      <c r="D2111">
        <f>IF(Skills!C14=1,60+Inputs!$B$26+Inputs!$B$30,IF(Skills!C14=2,90+Inputs!$B$27+Inputs!$B$30,IF(Skills!C14=3,120+Inputs!$B$28+Inputs!$B$30,MAX(0,(Inputs!$B$3-100)*3)+Inputs!$B$29+Inputs!$B$30)))</f>
        <v/>
      </c>
      <c r="E2111">
        <f>INDEX(FactorTable!$B$2:$Y$301, MATCH(ROUND(MIN(300,MAX(1,D2111)),0), FactorTable!$A$2:$A$301,0), Skills!L14+1)</f>
        <v/>
      </c>
      <c r="F2111">
        <f>IF(Skills!M14=TRUE,(Skills!K14/10)*(E2111/1000),Skills!K14/10)+Skills!N14</f>
        <v/>
      </c>
      <c r="G2111">
        <f>Calc!G14</f>
        <v/>
      </c>
      <c r="H2111">
        <f>Calc!H14</f>
        <v/>
      </c>
      <c r="I2111">
        <f>IF(Skills!T14&lt;&gt;"",1+(Skills!T14/10)*($Z$3/1000)/100,1)</f>
        <v/>
      </c>
      <c r="J2111" t="inlineStr"/>
      <c r="K2111" t="inlineStr"/>
      <c r="L2111" t="inlineStr"/>
      <c r="M2111" t="inlineStr"/>
      <c r="N2111" t="inlineStr"/>
      <c r="O2111">
        <f>(1-Summary!$B$11)*S2111+Summary!$B$11*U2111</f>
        <v/>
      </c>
      <c r="P2111">
        <f>IF(B2140=0,0,O2111/B2140)</f>
        <v/>
      </c>
      <c r="Q2111">
        <f>IFERROR(1/(IF(Inputs!$B$39="pvp",15,MAX(0.1,Skills!D14-IF(Skills!E14=TRUE,Inputs!$B$33,0)))*(1-IF(AND(ArtifactsInput!$M$27,Inputs!$B$4="Chapter Hunt"),CHOOSE(ArtifactsInput!$N$27+1,20,24,28,32,36,40),0)/100)),0)</f>
        <v/>
      </c>
      <c r="R2111">
        <f>IF(AND(Inputs!$B$39&lt;&gt;"pvp",Inputs!$B$44&gt;0),IF(Inputs!$B$44&lt;=0,0,(INT(Inputs!$B$44/(IF(Inputs!$B$39="pvp",15,MAX(0.1,Skills!D14-IF(Skills!E14=TRUE,Inputs!$B$33,0)))*(1-IF(AND(ArtifactsInput!$M$27,Inputs!$B$4="Chapter Hunt"),CHOOSE(ArtifactsInput!$N$27+1,20,24,28,32,36,40),0)/100)))+1)),0)</f>
        <v/>
      </c>
      <c r="S2111" t="n">
        <v>0</v>
      </c>
      <c r="U2111" t="n">
        <v>0</v>
      </c>
    </row>
    <row r="2112">
      <c r="A2112">
        <f>Skills!A15</f>
        <v/>
      </c>
      <c r="B2112">
        <f>Skills!B15</f>
        <v/>
      </c>
      <c r="C2112">
        <f>Inputs!$B$3&gt;=63</f>
        <v/>
      </c>
      <c r="D2112">
        <f>IF(Skills!C15=1,60+Inputs!$B$26+Inputs!$B$30,IF(Skills!C15=2,90+Inputs!$B$27+Inputs!$B$30,IF(Skills!C15=3,120+Inputs!$B$28+Inputs!$B$30,MAX(0,(Inputs!$B$3-100)*3)+Inputs!$B$29+Inputs!$B$30)))</f>
        <v/>
      </c>
      <c r="E2112">
        <f>INDEX(FactorTable!$B$2:$Y$301, MATCH(ROUND(MIN(300,MAX(1,D2112)),0), FactorTable!$A$2:$A$301,0), Skills!L15+1)</f>
        <v/>
      </c>
      <c r="F2112">
        <f>IF(Skills!M15=TRUE,(Skills!K15/10)*(E2112/1000),Skills!K15/10)+Skills!N15</f>
        <v/>
      </c>
      <c r="G2112">
        <f>Calc!G15</f>
        <v/>
      </c>
      <c r="H2112">
        <f>Calc!H15</f>
        <v/>
      </c>
      <c r="I2112">
        <f>IF(Skills!T15&lt;&gt;"",1+(Skills!T15/10)*($Z$3/1000)/100,1)</f>
        <v/>
      </c>
      <c r="J2112">
        <f>((Inputs!$B$6*(1+Inputs!$B$7/100))+(((Inputs!$B$13*(1+Inputs!$B$14/100))-(Inputs!$B$13*(1+Inputs!$B$14/100)))+0.25*(Inputs!$B$15-Inputs!$B$15))*(1+Inputs!$B$7/100))*(F2112/100)</f>
        <v/>
      </c>
      <c r="K2112">
        <f>J2112*(1+(((Inputs!$B$13+IF(Inputs!$B$3&gt;=35,(10*INDEX(FactorTable!$B$2:$Y$301,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15="TRIUMPH_FEATHER",IF(C2113=TRUE,F2113,0),0)/100)*(1+IF(C2124=TRUE,F2124,0)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2112)</f>
        <v/>
      </c>
      <c r="L2112">
        <f>K2112*(MIN(Inputs!$B$23+(F2119-Calc!F22),(Inputs!$B$24+IF(ArtifactsInput!$M$15,CHOOSE(ArtifactsInput!$N$15+1,25,30,35,40,45,50)/100*(Inputs!$B$12-Inputs!$B$12),0)))/100+(Inputs!$B$24+IF(ArtifactsInput!$M$15,CHOOSE(ArtifactsInput!$N$15+1,25,30,35,40,45,50)/100*(Inputs!$B$12-Inputs!$B$12),0))/100)/2</f>
        <v/>
      </c>
      <c r="M2112">
        <f>L2112*(1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2">
        <f>L2112*(1-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2112*(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2">
        <f>(1-Summary!$B$11)*S2112+Summary!$B$11*U2112</f>
        <v/>
      </c>
      <c r="P2112">
        <f>IF(B2140=0,0,O2112/B2140)</f>
        <v/>
      </c>
      <c r="Q2112">
        <f>IFERROR(1/(IF(Inputs!$B$39="pvp",15,MAX(0.1,Skills!D15-IF(Skills!E15=TRUE,Inputs!$B$33,0)))*(1-IF(AND(ArtifactsInput!$M$27,Inputs!$B$4="Chapter Hunt"),CHOOSE(ArtifactsInput!$N$27+1,20,24,28,32,36,40),0)/100)),0)</f>
        <v/>
      </c>
      <c r="R2112" t="n">
        <v>0</v>
      </c>
      <c r="S2112">
        <f>IF(C2112,(Skills!F15*N2112*((IF(Inputs!$B$3&gt;=78,25,15)/100*B2133*10)/(1+IF(Inputs!$B$3&gt;=78,25,15)/100*B2133*10))*(Skills!I15/100*B2133)/(1+Skills!G15*Skills!I15/100*B2133))*IF(Inputs!$B$39="pvp",1,1+(Inputs!$B$21+Skills!O15+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2112*(1-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2112*(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2112*(1-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2112*(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2">
        <f>IF(C2112,(Skills!F15*N2112*((IF(Inputs!$B$3&gt;=78,25,15)/100*B2133*10)/(1+IF(Inputs!$B$3&gt;=78,25,15)/100*B2133*10))*(Skills!I15/100*B2133)/(1+Skills!G15*Skills!I15/100*B2133))*IF(Inputs!$B$39="pvp",1,(1+(Inputs!$B$22+Skills!P15+B2129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3">
      <c r="A2113">
        <f>Skills!A16</f>
        <v/>
      </c>
      <c r="B2113">
        <f>Skills!B16</f>
        <v/>
      </c>
      <c r="C2113">
        <f>Inputs!$B$3&gt;=100</f>
        <v/>
      </c>
      <c r="D2113">
        <f>IF(Skills!C16=1,60+Inputs!$B$26+Inputs!$B$30,IF(Skills!C16=2,90+Inputs!$B$27+Inputs!$B$30,IF(Skills!C16=3,120+Inputs!$B$28+Inputs!$B$30,MAX(0,(Inputs!$B$3-100)*3)+Inputs!$B$29+Inputs!$B$30)))</f>
        <v/>
      </c>
      <c r="E2113">
        <f>INDEX(FactorTable!$B$2:$Y$301, MATCH(ROUND(MIN(300,MAX(1,D2113)),0), FactorTable!$A$2:$A$301,0), Skills!L16+1)</f>
        <v/>
      </c>
      <c r="F2113">
        <f>IF(Skills!M16=TRUE,(Skills!K16/10)*(E2113/1000),Skills!K16/10)+Skills!N16</f>
        <v/>
      </c>
      <c r="G2113">
        <f>Calc!G16</f>
        <v/>
      </c>
      <c r="H2113">
        <f>Calc!H16</f>
        <v/>
      </c>
      <c r="I2113">
        <f>IF(Skills!T16&lt;&gt;"",1+(Skills!T16/10)*($Z$3/1000)/100,1)</f>
        <v/>
      </c>
      <c r="J2113" t="inlineStr"/>
      <c r="K2113" t="inlineStr"/>
      <c r="L2113" t="inlineStr"/>
      <c r="M2113" t="inlineStr"/>
      <c r="N2113" t="inlineStr"/>
      <c r="O2113">
        <f>(1-Summary!$B$11)*S2113+Summary!$B$11*U2113</f>
        <v/>
      </c>
      <c r="P2113">
        <f>IF(B2140=0,0,O2113/B2140)</f>
        <v/>
      </c>
      <c r="Q2113">
        <f>IFERROR(1/(IF(Inputs!$B$39="pvp",15,MAX(0.1,Skills!D16-IF(Skills!E16=TRUE,Inputs!$B$33,0)))*(1-IF(AND(ArtifactsInput!$M$27,Inputs!$B$4="Chapter Hunt"),CHOOSE(ArtifactsInput!$N$27+1,20,24,28,32,36,40),0)/100)),0)</f>
        <v/>
      </c>
      <c r="R2113" t="n">
        <v>0</v>
      </c>
      <c r="S2113" t="n">
        <v>0</v>
      </c>
      <c r="U2113" t="n">
        <v>0</v>
      </c>
    </row>
    <row r="2114">
      <c r="A2114">
        <f>Skills!A17</f>
        <v/>
      </c>
      <c r="B2114">
        <f>Skills!B17</f>
        <v/>
      </c>
      <c r="C2114">
        <f>Inputs!$B$3&gt;=49</f>
        <v/>
      </c>
      <c r="D2114">
        <f>IF(Skills!C17=1,60+Inputs!$B$26+Inputs!$B$30,IF(Skills!C17=2,90+Inputs!$B$27+Inputs!$B$30,IF(Skills!C17=3,120+Inputs!$B$28+Inputs!$B$30,MAX(0,(Inputs!$B$3-100)*3)+Inputs!$B$29+Inputs!$B$30)))</f>
        <v/>
      </c>
      <c r="E2114">
        <f>INDEX(FactorTable!$B$2:$Y$301, MATCH(ROUND(MIN(300,MAX(1,D2114)),0), FactorTable!$A$2:$A$301,0), Skills!L17+1)</f>
        <v/>
      </c>
      <c r="F2114">
        <f>IF(Skills!M17=TRUE,(Skills!K17/10)*(E2114/1000),Skills!K17/10)+Skills!N17</f>
        <v/>
      </c>
      <c r="G2114">
        <f>Calc!G17</f>
        <v/>
      </c>
      <c r="H2114">
        <f>Calc!H17</f>
        <v/>
      </c>
      <c r="I2114">
        <f>IF(Skills!T17&lt;&gt;"",1+(Skills!T17/10)*($Z$3/1000)/100,1)</f>
        <v/>
      </c>
      <c r="J2114" t="inlineStr"/>
      <c r="K2114" t="inlineStr"/>
      <c r="L2114" t="inlineStr"/>
      <c r="M2114" t="inlineStr"/>
      <c r="N2114" t="inlineStr"/>
      <c r="O2114">
        <f>(1-Summary!$B$11)*S2114+Summary!$B$11*U2114</f>
        <v/>
      </c>
      <c r="P2114">
        <f>IF(B2140=0,0,O2114/B2140)</f>
        <v/>
      </c>
      <c r="Q2114">
        <f>IFERROR(1/(IF(Inputs!$B$39="pvp",15,MAX(0.1,Skills!D17-IF(Skills!E17=TRUE,Inputs!$B$33,0)))*(1-IF(AND(ArtifactsInput!$M$27,Inputs!$B$4="Chapter Hunt"),CHOOSE(ArtifactsInput!$N$27+1,20,24,28,32,36,40),0)/100)),0)</f>
        <v/>
      </c>
      <c r="R2114" t="n">
        <v>0</v>
      </c>
      <c r="S2114" t="n">
        <v>0</v>
      </c>
      <c r="U2114" t="n">
        <v>0</v>
      </c>
    </row>
    <row r="2115">
      <c r="A2115">
        <f>Skills!A18</f>
        <v/>
      </c>
      <c r="B2115">
        <f>Skills!B18</f>
        <v/>
      </c>
      <c r="C2115">
        <f>Inputs!$B$3&gt;=75</f>
        <v/>
      </c>
      <c r="D2115">
        <f>IF(Skills!C18=1,60+Inputs!$B$26+Inputs!$B$30,IF(Skills!C18=2,90+Inputs!$B$27+Inputs!$B$30,IF(Skills!C18=3,120+Inputs!$B$28+Inputs!$B$30,MAX(0,(Inputs!$B$3-100)*3)+Inputs!$B$29+Inputs!$B$30)))</f>
        <v/>
      </c>
      <c r="E2115">
        <f>INDEX(FactorTable!$B$2:$Y$301, MATCH(ROUND(MIN(300,MAX(1,D2115)),0), FactorTable!$A$2:$A$301,0), Skills!L18+1)</f>
        <v/>
      </c>
      <c r="F2115">
        <f>IF(Skills!M18=TRUE,(Skills!K18/10)*(E2115/1000),Skills!K18/10)+Skills!N18</f>
        <v/>
      </c>
      <c r="G2115">
        <f>Calc!G18</f>
        <v/>
      </c>
      <c r="H2115">
        <f>Calc!H18</f>
        <v/>
      </c>
      <c r="I2115">
        <f>IF(Skills!T18&lt;&gt;"",1+(Skills!T18/10)*($Z$3/1000)/100,1)</f>
        <v/>
      </c>
      <c r="J2115" t="inlineStr"/>
      <c r="K2115" t="inlineStr"/>
      <c r="L2115" t="inlineStr"/>
      <c r="M2115" t="inlineStr"/>
      <c r="N2115" t="inlineStr"/>
      <c r="O2115">
        <f>(1-Summary!$B$11)*S2115+Summary!$B$11*U2115</f>
        <v/>
      </c>
      <c r="P2115">
        <f>IF(B2140=0,0,O2115/B2140)</f>
        <v/>
      </c>
      <c r="Q2115">
        <f>IFERROR(1/(IF(Inputs!$B$39="pvp",15,MAX(0.1,Skills!D18-IF(Skills!E18=TRUE,Inputs!$B$33,0)))*(1-IF(AND(ArtifactsInput!$M$27,Inputs!$B$4="Chapter Hunt"),CHOOSE(ArtifactsInput!$N$27+1,20,24,28,32,36,40),0)/100)),0)</f>
        <v/>
      </c>
      <c r="R2115" t="n">
        <v>0</v>
      </c>
      <c r="S2115" t="n">
        <v>0</v>
      </c>
      <c r="U2115" t="n">
        <v>0</v>
      </c>
    </row>
    <row r="2116">
      <c r="A2116">
        <f>Skills!A19</f>
        <v/>
      </c>
      <c r="B2116">
        <f>Skills!B19</f>
        <v/>
      </c>
      <c r="C2116">
        <f>Inputs!$B$3&gt;=110</f>
        <v/>
      </c>
      <c r="D2116">
        <f>IF(Skills!C19=1,60+Inputs!$B$26+Inputs!$B$30,IF(Skills!C19=2,90+Inputs!$B$27+Inputs!$B$30,IF(Skills!C19=3,120+Inputs!$B$28+Inputs!$B$30,MAX(0,(Inputs!$B$3-100)*3)+Inputs!$B$29+Inputs!$B$30)))</f>
        <v/>
      </c>
      <c r="E2116">
        <f>INDEX(FactorTable!$B$2:$Y$301, MATCH(ROUND(MIN(300,MAX(1,D2116)),0), FactorTable!$A$2:$A$301,0), Skills!L19+1)</f>
        <v/>
      </c>
      <c r="F2116">
        <f>(Skills!K19/10)*(E2116/1000)*64/45+Skills!N19</f>
        <v/>
      </c>
      <c r="G2116">
        <f>Calc!G19</f>
        <v/>
      </c>
      <c r="H2116">
        <f>Calc!H19</f>
        <v/>
      </c>
      <c r="I2116">
        <f>IF(Skills!T19&lt;&gt;"",1+(Skills!T19/10)*($Z$3/1000)/100,1)</f>
        <v/>
      </c>
      <c r="J2116" t="inlineStr"/>
      <c r="K2116" t="inlineStr"/>
      <c r="L2116" t="inlineStr"/>
      <c r="M2116" t="inlineStr"/>
      <c r="N2116" t="inlineStr"/>
      <c r="O2116">
        <f>(1-Summary!$B$11)*S2116+Summary!$B$11*U2116</f>
        <v/>
      </c>
      <c r="P2116">
        <f>IF(B2140=0,0,O2116/B2140)</f>
        <v/>
      </c>
      <c r="Q2116">
        <f>IFERROR(1/(IF(Inputs!$B$39="pvp",15,MAX(0.1,Skills!D19-IF(Skills!E19=TRUE,Inputs!$B$33,0)))*(1-IF(AND(ArtifactsInput!$M$27,Inputs!$B$4="Chapter Hunt"),CHOOSE(ArtifactsInput!$N$27+1,20,24,28,32,36,40),0)/100)),0)</f>
        <v/>
      </c>
      <c r="R2116">
        <f>IF(AND(Inputs!$B$39&lt;&gt;"pvp",Inputs!$B$44&gt;0),IF(Inputs!$B$44&lt;=0,0,(INT(Inputs!$B$44/(IF(Inputs!$B$39="pvp",15,MAX(0.1,Skills!D19-IF(Skills!E19=TRUE,Inputs!$B$33,0)))*(1-IF(AND(ArtifactsInput!$M$27,Inputs!$B$4="Chapter Hunt"),CHOOSE(ArtifactsInput!$N$27+1,20,24,28,32,36,40),0)/100)))+1)),0)</f>
        <v/>
      </c>
      <c r="S2116" t="n">
        <v>0</v>
      </c>
      <c r="U2116" t="n">
        <v>0</v>
      </c>
    </row>
    <row r="2117">
      <c r="A2117">
        <f>Skills!A20</f>
        <v/>
      </c>
      <c r="B2117">
        <f>Skills!B20</f>
        <v/>
      </c>
      <c r="C2117">
        <f>Inputs!$B$3&gt;=125</f>
        <v/>
      </c>
      <c r="D2117">
        <f>IF(Skills!C20=1,60+Inputs!$B$26+Inputs!$B$30,IF(Skills!C20=2,90+Inputs!$B$27+Inputs!$B$30,IF(Skills!C20=3,120+Inputs!$B$28+Inputs!$B$30,MAX(0,(Inputs!$B$3-100)*3)+Inputs!$B$29+Inputs!$B$30)))</f>
        <v/>
      </c>
      <c r="E2117">
        <f>INDEX(FactorTable!$B$2:$Y$301, MATCH(ROUND(MIN(300,MAX(1,D2117)),0), FactorTable!$A$2:$A$301,0), Skills!L20+1)</f>
        <v/>
      </c>
      <c r="F2117">
        <f>IF(Skills!M20=TRUE,(Skills!K20/10)*(E2117/1000),Skills!K20/10)+Skills!N20</f>
        <v/>
      </c>
      <c r="G2117">
        <f>Calc!G20</f>
        <v/>
      </c>
      <c r="H2117">
        <f>Calc!H20</f>
        <v/>
      </c>
      <c r="I2117">
        <f>IF(Skills!T20&lt;&gt;"",1+(Skills!T20/10)*($Z$3/1000)/100,1)</f>
        <v/>
      </c>
      <c r="J2117" t="inlineStr"/>
      <c r="K2117" t="inlineStr"/>
      <c r="L2117" t="inlineStr"/>
      <c r="M2117" t="inlineStr"/>
      <c r="N2117" t="inlineStr"/>
      <c r="O2117">
        <f>(1-Summary!$B$11)*S2117+Summary!$B$11*U2117</f>
        <v/>
      </c>
      <c r="P2117">
        <f>IF(B2140=0,0,O2117/B2140)</f>
        <v/>
      </c>
      <c r="Q2117">
        <f>IFERROR(1/(IF(Inputs!$B$39="pvp",15,MAX(0.1,Skills!D20-IF(Skills!E20=TRUE,Inputs!$B$33,0)))*(1-IF(AND(ArtifactsInput!$M$27,Inputs!$B$4="Chapter Hunt"),CHOOSE(ArtifactsInput!$N$27+1,20,24,28,32,36,40),0)/100)),0)</f>
        <v/>
      </c>
      <c r="R2117" t="n">
        <v>0</v>
      </c>
      <c r="S2117" t="n">
        <v>0</v>
      </c>
      <c r="U2117" t="n">
        <v>0</v>
      </c>
    </row>
    <row r="2118">
      <c r="A2118">
        <f>Skills!A21</f>
        <v/>
      </c>
      <c r="B2118">
        <f>Skills!B21</f>
        <v/>
      </c>
      <c r="C2118">
        <f>Inputs!$B$3&gt;=33</f>
        <v/>
      </c>
      <c r="D2118">
        <f>IF(Skills!C21=1,60+Inputs!$B$26+Inputs!$B$30,IF(Skills!C21=2,90+Inputs!$B$27+Inputs!$B$30,IF(Skills!C21=3,120+Inputs!$B$28+Inputs!$B$30,MAX(0,(Inputs!$B$3-100)*3)+Inputs!$B$29+Inputs!$B$30)))</f>
        <v/>
      </c>
      <c r="E2118">
        <f>INDEX(FactorTable!$B$2:$Y$301, MATCH(ROUND(MIN(300,MAX(1,D2118)),0), FactorTable!$A$2:$A$301,0), Skills!L21+1)</f>
        <v/>
      </c>
      <c r="F2118">
        <f>IF(Skills!M21=TRUE,(Skills!K21/10)*(E2118/1000),Skills!K21/10)+Skills!N21</f>
        <v/>
      </c>
      <c r="G2118">
        <f>Calc!G21</f>
        <v/>
      </c>
      <c r="H2118">
        <f>Calc!H21</f>
        <v/>
      </c>
      <c r="I2118">
        <f>IF(Skills!T21&lt;&gt;"",1+(Skills!T21/10)*($Z$3/1000)/100,1)</f>
        <v/>
      </c>
      <c r="J2118" t="inlineStr"/>
      <c r="K2118" t="inlineStr"/>
      <c r="L2118" t="inlineStr"/>
      <c r="M2118" t="inlineStr"/>
      <c r="N2118" t="inlineStr"/>
      <c r="O2118">
        <f>(1-Summary!$B$11)*S2118+Summary!$B$11*U2118</f>
        <v/>
      </c>
      <c r="P2118">
        <f>IF(B2140=0,0,O2118/B2140)</f>
        <v/>
      </c>
      <c r="Q2118">
        <f>IFERROR(1/(IF(Inputs!$B$39="pvp",15,MAX(0.1,Skills!D21-IF(Skills!E21=TRUE,Inputs!$B$33,0)))*(1-IF(AND(ArtifactsInput!$M$27,Inputs!$B$4="Chapter Hunt"),CHOOSE(ArtifactsInput!$N$27+1,20,24,28,32,36,40),0)/100)),0)</f>
        <v/>
      </c>
      <c r="R2118" t="n">
        <v>0</v>
      </c>
      <c r="S2118" t="n">
        <v>0</v>
      </c>
      <c r="U2118" t="n">
        <v>0</v>
      </c>
    </row>
    <row r="2119">
      <c r="A2119">
        <f>Skills!A22</f>
        <v/>
      </c>
      <c r="B2119">
        <f>Skills!B22</f>
        <v/>
      </c>
      <c r="C2119">
        <f>Inputs!$B$3&gt;=43</f>
        <v/>
      </c>
      <c r="D2119">
        <f>IF(Skills!C22=1,60+Inputs!$B$26+Inputs!$B$30,IF(Skills!C22=2,90+Inputs!$B$27+Inputs!$B$30,IF(Skills!C22=3,120+Inputs!$B$28+Inputs!$B$30,MAX(0,(Inputs!$B$3-100)*3)+Inputs!$B$29+Inputs!$B$30)))</f>
        <v/>
      </c>
      <c r="E2119">
        <f>INDEX(FactorTable!$B$2:$Y$301, MATCH(ROUND(MIN(300,MAX(1,D2119)),0), FactorTable!$A$2:$A$301,0), Skills!L22+1)</f>
        <v/>
      </c>
      <c r="F2119">
        <f>IF(Skills!M22=TRUE,(Skills!K22/10)*(E2119/1000),Skills!K22/10)+Skills!N22</f>
        <v/>
      </c>
      <c r="G2119">
        <f>Calc!G22</f>
        <v/>
      </c>
      <c r="H2119">
        <f>Calc!H22</f>
        <v/>
      </c>
      <c r="I2119">
        <f>IF(Skills!T22&lt;&gt;"",1+(Skills!T22/10)*($Z$3/1000)/100,1)</f>
        <v/>
      </c>
      <c r="J2119" t="inlineStr"/>
      <c r="K2119" t="inlineStr"/>
      <c r="L2119" t="inlineStr"/>
      <c r="M2119" t="inlineStr"/>
      <c r="N2119" t="inlineStr"/>
      <c r="O2119">
        <f>(1-Summary!$B$11)*S2119+Summary!$B$11*U2119</f>
        <v/>
      </c>
      <c r="P2119">
        <f>IF(B2140=0,0,O2119/B2140)</f>
        <v/>
      </c>
      <c r="Q2119">
        <f>IFERROR(1/(IF(Inputs!$B$39="pvp",15,MAX(0.1,Skills!D22-IF(Skills!E22=TRUE,Inputs!$B$33,0)))*(1-IF(AND(ArtifactsInput!$M$27,Inputs!$B$4="Chapter Hunt"),CHOOSE(ArtifactsInput!$N$27+1,20,24,28,32,36,40),0)/100)),0)</f>
        <v/>
      </c>
      <c r="R2119" t="n">
        <v>0</v>
      </c>
      <c r="S2119" t="n">
        <v>0</v>
      </c>
      <c r="U2119" t="n">
        <v>0</v>
      </c>
    </row>
    <row r="2120">
      <c r="A2120">
        <f>Skills!A23</f>
        <v/>
      </c>
      <c r="B2120">
        <f>Skills!B23</f>
        <v/>
      </c>
      <c r="C2120">
        <f>Inputs!$B$3&gt;=50</f>
        <v/>
      </c>
      <c r="D2120">
        <f>IF(Skills!C23=1,60+Inputs!$B$26+Inputs!$B$30,IF(Skills!C23=2,90+Inputs!$B$27+Inputs!$B$30,IF(Skills!C23=3,120+Inputs!$B$28+Inputs!$B$30,MAX(0,(Inputs!$B$3-100)*3)+Inputs!$B$29+Inputs!$B$30)))</f>
        <v/>
      </c>
      <c r="E2120">
        <f>INDEX(FactorTable!$B$2:$Y$301, MATCH(ROUND(MIN(300,MAX(1,D2120)),0), FactorTable!$A$2:$A$301,0), Skills!L23+1)</f>
        <v/>
      </c>
      <c r="F2120">
        <f>IF(Skills!M23=TRUE,(Skills!K23/10)*(E2120/1000),Skills!K23/10)+Skills!N23</f>
        <v/>
      </c>
      <c r="G2120">
        <f>Calc!G23</f>
        <v/>
      </c>
      <c r="H2120">
        <f>Calc!H23</f>
        <v/>
      </c>
      <c r="I2120">
        <f>IF(Skills!T23&lt;&gt;"",1+(Skills!T23/10)*($Z$3/1000)/100,1)</f>
        <v/>
      </c>
      <c r="J2120" t="inlineStr"/>
      <c r="K2120" t="inlineStr"/>
      <c r="L2120" t="inlineStr"/>
      <c r="M2120" t="inlineStr"/>
      <c r="N2120" t="inlineStr"/>
      <c r="O2120">
        <f>(1-Summary!$B$11)*S2120+Summary!$B$11*U2120</f>
        <v/>
      </c>
      <c r="P2120">
        <f>IF(B2140=0,0,O2120/B2140)</f>
        <v/>
      </c>
      <c r="Q2120">
        <f>IFERROR(1/(IF(Inputs!$B$39="pvp",15,MAX(0.1,Skills!D23-IF(Skills!E23=TRUE,Inputs!$B$33,0)))*(1-IF(AND(ArtifactsInput!$M$27,Inputs!$B$4="Chapter Hunt"),CHOOSE(ArtifactsInput!$N$27+1,20,24,28,32,36,40),0)/100)),0)</f>
        <v/>
      </c>
      <c r="R2120" t="n">
        <v>0</v>
      </c>
      <c r="S2120" t="n">
        <v>0</v>
      </c>
      <c r="U2120" t="n">
        <v>0</v>
      </c>
    </row>
    <row r="2121">
      <c r="A2121">
        <f>Skills!A24</f>
        <v/>
      </c>
      <c r="B2121">
        <f>Skills!B24</f>
        <v/>
      </c>
      <c r="C2121">
        <f>Inputs!$B$3&gt;=74</f>
        <v/>
      </c>
      <c r="D2121">
        <f>IF(Skills!C24=1,60+Inputs!$B$26+Inputs!$B$30,IF(Skills!C24=2,90+Inputs!$B$27+Inputs!$B$30,IF(Skills!C24=3,120+Inputs!$B$28+Inputs!$B$30,MAX(0,(Inputs!$B$3-100)*3)+Inputs!$B$29+Inputs!$B$30)))</f>
        <v/>
      </c>
      <c r="E2121">
        <f>INDEX(FactorTable!$B$2:$Y$301, MATCH(ROUND(MIN(300,MAX(1,D2121)),0), FactorTable!$A$2:$A$301,0), Skills!L24+1)</f>
        <v/>
      </c>
      <c r="F2121">
        <f>IF(Skills!M24=TRUE,(Skills!K24/10)*(E2121/1000),Skills!K24/10)+Skills!N24</f>
        <v/>
      </c>
      <c r="G2121">
        <f>Calc!G24</f>
        <v/>
      </c>
      <c r="H2121">
        <f>Calc!H24</f>
        <v/>
      </c>
      <c r="I2121">
        <f>IF(Skills!T24&lt;&gt;"",1+(Skills!T24/10)*($Z$3/1000)/100,1)</f>
        <v/>
      </c>
      <c r="J2121" t="inlineStr"/>
      <c r="K2121" t="inlineStr"/>
      <c r="L2121" t="inlineStr"/>
      <c r="M2121" t="inlineStr"/>
      <c r="N2121" t="inlineStr"/>
      <c r="O2121">
        <f>(1-Summary!$B$11)*S2121+Summary!$B$11*U2121</f>
        <v/>
      </c>
      <c r="P2121">
        <f>IF(B2140=0,0,O2121/B2140)</f>
        <v/>
      </c>
      <c r="Q2121">
        <f>IFERROR(1/(IF(Inputs!$B$39="pvp",15,MAX(0.1,Skills!D24-IF(Skills!E24=TRUE,Inputs!$B$33,0)))*(1-IF(AND(ArtifactsInput!$M$27,Inputs!$B$4="Chapter Hunt"),CHOOSE(ArtifactsInput!$N$27+1,20,24,28,32,36,40),0)/100)),0)</f>
        <v/>
      </c>
      <c r="R2121" t="n">
        <v>0</v>
      </c>
      <c r="S2121" t="n">
        <v>0</v>
      </c>
      <c r="U2121" t="n">
        <v>0</v>
      </c>
    </row>
    <row r="2122">
      <c r="A2122">
        <f>Skills!A25</f>
        <v/>
      </c>
      <c r="B2122">
        <f>Skills!B25</f>
        <v/>
      </c>
      <c r="C2122">
        <f>Inputs!$B$3&gt;=74</f>
        <v/>
      </c>
      <c r="D2122">
        <f>IF(Skills!C25=1,60+Inputs!$B$26+Inputs!$B$30,IF(Skills!C25=2,90+Inputs!$B$27+Inputs!$B$30,IF(Skills!C25=3,120+Inputs!$B$28+Inputs!$B$30,MAX(0,(Inputs!$B$3-100)*3)+Inputs!$B$29+Inputs!$B$30)))</f>
        <v/>
      </c>
      <c r="E2122">
        <f>INDEX(FactorTable!$B$2:$Y$301, MATCH(ROUND(MIN(300,MAX(1,D2122)),0), FactorTable!$A$2:$A$301,0), Skills!L25+1)</f>
        <v/>
      </c>
      <c r="F2122">
        <f>IF(Skills!M25=TRUE,(Skills!K25/10)*(E2122/1000),Skills!K25/10)+Skills!N25</f>
        <v/>
      </c>
      <c r="G2122">
        <f>Calc!G25</f>
        <v/>
      </c>
      <c r="H2122">
        <f>Calc!H25</f>
        <v/>
      </c>
      <c r="I2122">
        <f>IF(Skills!T25&lt;&gt;"",1+(Skills!T25/10)*($Z$3/1000)/100,1)</f>
        <v/>
      </c>
      <c r="J2122" t="inlineStr"/>
      <c r="K2122" t="inlineStr"/>
      <c r="L2122" t="inlineStr"/>
      <c r="M2122" t="inlineStr"/>
      <c r="N2122" t="inlineStr"/>
      <c r="O2122">
        <f>(1-Summary!$B$11)*S2122+Summary!$B$11*U2122</f>
        <v/>
      </c>
      <c r="P2122">
        <f>IF(B2140=0,0,O2122/B2140)</f>
        <v/>
      </c>
      <c r="Q2122">
        <f>IFERROR(1/(IF(Inputs!$B$39="pvp",15,MAX(0.1,Skills!D25-IF(Skills!E25=TRUE,Inputs!$B$33,0)))*(1-IF(AND(ArtifactsInput!$M$27,Inputs!$B$4="Chapter Hunt"),CHOOSE(ArtifactsInput!$N$27+1,20,24,28,32,36,40),0)/100)),0)</f>
        <v/>
      </c>
      <c r="R2122" t="n">
        <v>0</v>
      </c>
      <c r="S2122" t="n">
        <v>0</v>
      </c>
      <c r="U2122" t="n">
        <v>0</v>
      </c>
    </row>
    <row r="2123">
      <c r="A2123">
        <f>Skills!A26</f>
        <v/>
      </c>
      <c r="B2123">
        <f>Skills!B26</f>
        <v/>
      </c>
      <c r="C2123">
        <f>Inputs!$B$3&gt;=117</f>
        <v/>
      </c>
      <c r="D2123">
        <f>IF(Skills!C26=1,60+Inputs!$B$26+Inputs!$B$30,IF(Skills!C26=2,90+Inputs!$B$27+Inputs!$B$30,IF(Skills!C26=3,120+Inputs!$B$28+Inputs!$B$30,MAX(0,(Inputs!$B$3-100)*3)+Inputs!$B$29+Inputs!$B$30)))</f>
        <v/>
      </c>
      <c r="E2123">
        <f>INDEX(FactorTable!$B$2:$Y$301, MATCH(ROUND(MIN(300,MAX(1,D2123)),0), FactorTable!$A$2:$A$301,0), Skills!L26+1)</f>
        <v/>
      </c>
      <c r="F2123">
        <f>IF(Skills!M26=TRUE,(Skills!K26/10)*(E2123/1000),Skills!K26/10)+Skills!N26</f>
        <v/>
      </c>
      <c r="G2123">
        <f>Calc!G26</f>
        <v/>
      </c>
      <c r="H2123">
        <f>Calc!H26</f>
        <v/>
      </c>
      <c r="I2123">
        <f>IF(Skills!T26&lt;&gt;"",1+(Skills!T26/10)*($Z$3/1000)/100,1)</f>
        <v/>
      </c>
      <c r="J2123" t="inlineStr"/>
      <c r="K2123" t="inlineStr"/>
      <c r="L2123" t="inlineStr"/>
      <c r="M2123" t="inlineStr"/>
      <c r="N2123" t="inlineStr"/>
      <c r="O2123">
        <f>(1-Summary!$B$11)*S2123+Summary!$B$11*U2123</f>
        <v/>
      </c>
      <c r="P2123">
        <f>IF(B2140=0,0,O2123/B2140)</f>
        <v/>
      </c>
      <c r="Q2123">
        <f>IFERROR(1/(IF(Inputs!$B$39="pvp",15,MAX(0.1,Skills!D26-IF(Skills!E26=TRUE,Inputs!$B$33,0)))*(1-IF(AND(ArtifactsInput!$M$27,Inputs!$B$4="Chapter Hunt"),CHOOSE(ArtifactsInput!$N$27+1,20,24,28,32,36,40),0)/100)),0)</f>
        <v/>
      </c>
      <c r="R2123" t="n">
        <v>0</v>
      </c>
      <c r="S2123" t="n">
        <v>0</v>
      </c>
      <c r="U2123" t="n">
        <v>0</v>
      </c>
    </row>
    <row r="2124">
      <c r="A2124">
        <f>Skills!A27</f>
        <v/>
      </c>
      <c r="B2124">
        <f>Skills!B27</f>
        <v/>
      </c>
      <c r="C2124">
        <f>Inputs!$B$3&gt;=120</f>
        <v/>
      </c>
      <c r="D2124">
        <f>IF(Skills!C27=1,60+Inputs!$B$26+Inputs!$B$30,IF(Skills!C27=2,90+Inputs!$B$27+Inputs!$B$30,IF(Skills!C27=3,120+Inputs!$B$28+Inputs!$B$30,MAX(0,(Inputs!$B$3-100)*3)+Inputs!$B$29+Inputs!$B$30)))</f>
        <v/>
      </c>
      <c r="E2124">
        <f>INDEX(FactorTable!$B$2:$Y$301, MATCH(ROUND(MIN(300,MAX(1,D2124)),0), FactorTable!$A$2:$A$301,0), Skills!L27+1)</f>
        <v/>
      </c>
      <c r="F2124">
        <f>IF(Skills!M27=TRUE,(Skills!K27/10)*(E2124/1000),Skills!K27/10)+Skills!N27</f>
        <v/>
      </c>
      <c r="G2124">
        <f>Calc!G27</f>
        <v/>
      </c>
      <c r="H2124">
        <f>Calc!H27</f>
        <v/>
      </c>
      <c r="I2124">
        <f>IF(Skills!T27&lt;&gt;"",1+(Skills!T27/10)*($Z$3/1000)/100,1)</f>
        <v/>
      </c>
      <c r="J2124" t="inlineStr"/>
      <c r="K2124" t="inlineStr"/>
      <c r="L2124" t="inlineStr"/>
      <c r="M2124" t="inlineStr"/>
      <c r="N2124" t="inlineStr"/>
      <c r="O2124">
        <f>(1-Summary!$B$11)*S2124+Summary!$B$11*U2124</f>
        <v/>
      </c>
      <c r="P2124">
        <f>IF(B2140=0,0,O2124/B2140)</f>
        <v/>
      </c>
      <c r="Q2124">
        <f>IFERROR(1/(IF(Inputs!$B$39="pvp",15,MAX(0.1,Skills!D27-IF(Skills!E27=TRUE,Inputs!$B$33,0)))*(1-IF(AND(ArtifactsInput!$M$27,Inputs!$B$4="Chapter Hunt"),CHOOSE(ArtifactsInput!$N$27+1,20,24,28,32,36,40),0)/100)),0)</f>
        <v/>
      </c>
      <c r="R2124" t="n">
        <v>0</v>
      </c>
      <c r="S2124" t="n">
        <v>0</v>
      </c>
      <c r="U2124" t="n">
        <v>0</v>
      </c>
    </row>
    <row r="2125">
      <c r="A2125">
        <f>Skills!A28</f>
        <v/>
      </c>
      <c r="B2125">
        <f>Skills!B28</f>
        <v/>
      </c>
      <c r="C2125">
        <f>TRUE</f>
        <v/>
      </c>
      <c r="D2125">
        <f>IF(Skills!C28=1,60+Inputs!$B$26+Inputs!$B$30,IF(Skills!C28=2,90+Inputs!$B$27+Inputs!$B$30,IF(Skills!C28=3,120+Inputs!$B$28+Inputs!$B$30,MAX(0,(Inputs!$B$3-100)*3)+Inputs!$B$29+Inputs!$B$30)))</f>
        <v/>
      </c>
      <c r="E2125">
        <f>INDEX(FactorTable!$B$2:$Y$301, MATCH(ROUND(MIN(300,MAX(1,D2125)),0), FactorTable!$A$2:$A$301,0), Skills!L28+1)</f>
        <v/>
      </c>
      <c r="F2125">
        <f>IF(Skills!M28=TRUE,(Skills!K28/10)*(E2125/1000),Skills!K28/10)+Skills!N28</f>
        <v/>
      </c>
      <c r="G2125">
        <f>Calc!G28</f>
        <v/>
      </c>
      <c r="H2125">
        <f>Calc!H28</f>
        <v/>
      </c>
      <c r="I2125">
        <f>IF(Skills!T28&lt;&gt;"",1+(Skills!T28/10)*($Z$3/1000)/100,1)</f>
        <v/>
      </c>
      <c r="J2125" t="inlineStr"/>
      <c r="K2125" t="inlineStr"/>
      <c r="L2125" t="inlineStr"/>
      <c r="M2125" t="inlineStr"/>
      <c r="N2125" t="inlineStr"/>
      <c r="O2125">
        <f>(1-Summary!$B$11)*S2125+Summary!$B$11*U2125</f>
        <v/>
      </c>
      <c r="P2125">
        <f>IF(B2140=0,0,O2125/B2140)</f>
        <v/>
      </c>
      <c r="Q2125">
        <f>IFERROR(1/(IF(Inputs!$B$39="pvp",15,MAX(0.1,Skills!D28-IF(Skills!E28=TRUE,Inputs!$B$33,0)))*(1-IF(AND(ArtifactsInput!$M$27,Inputs!$B$4="Chapter Hunt"),CHOOSE(ArtifactsInput!$N$27+1,20,24,28,32,36,40),0)/100)),0)</f>
        <v/>
      </c>
      <c r="R2125">
        <f>IF(AND(Inputs!$B$39&lt;&gt;"pvp",Inputs!$B$44&gt;0),IF(Inputs!$B$44&lt;=0,0,(INT(Inputs!$B$44/(IF(Inputs!$B$39="pvp",15,MAX(0.1,Skills!D28-IF(Skills!E28=TRUE,Inputs!$B$33,0)))*(1-IF(AND(ArtifactsInput!$M$27,Inputs!$B$4="Chapter Hunt"),CHOOSE(ArtifactsInput!$N$27+1,20,24,28,32,36,40),0)/100)))+1)),0)</f>
        <v/>
      </c>
      <c r="S2125" t="n">
        <v>0</v>
      </c>
      <c r="U2125" t="n">
        <v>0</v>
      </c>
    </row>
    <row r="2127">
      <c r="A2127" t="inlineStr">
        <is>
          <t>Average Buff Multiplier</t>
        </is>
      </c>
      <c r="B2127">
        <f>(1+(IF(C2100=TRUE,F2100*IF(AND(Inputs!$B$39&lt;&gt;"pvp",Inputs!$B$44&gt;0),(((R2100-1)*(Skills!S3*(1+((Inputs!$B$35+(ArtifactsInput!$M$7-ArtifactsInput!$M$7)*CHOOSE(ArtifactsInput!$N$7+1,6,7.2,8.4,9.6,10.8,12))+IF(Inputs!$B$3&gt;=117,F2123,0))/100))+MIN((Skills!S3*(1+((Inputs!$B$35+(ArtifactsInput!$M$7-ArtifactsInput!$M$7)*CHOOSE(ArtifactsInput!$N$7+1,6,7.2,8.4,9.6,10.8,12))+IF(Inputs!$B$3&gt;=117,F2123,0))/100)),MAX(0,Inputs!$B$44-((R2100-1)*Skills!D3))))/Inputs!$B$44),IF(Inputs!$B$39="pvp",MIN((Skills!S3*(1+((Inputs!$B$35+(ArtifactsInput!$M$7-ArtifactsInput!$M$7)*CHOOSE(ArtifactsInput!$N$7+1,6,7.2,8.4,9.6,10.8,12))+IF(Inputs!$B$3&gt;=117,F2123,0))/100)),15)/15,(Skills!S3*(1+((Inputs!$B$35+(ArtifactsInput!$M$7-ArtifactsInput!$M$7)*CHOOSE(ArtifactsInput!$N$7+1,6,7.2,8.4,9.6,10.8,12))+IF(Inputs!$B$3&gt;=117,F2123,0))/100))/Skills!D3)),0)+IF(C2101=TRUE,F2101*IF(AND(Inputs!$B$39&lt;&gt;"pvp",Inputs!$B$44&gt;0),(((R2101-1)*(Skills!S4*(1+((Inputs!$B$35+(ArtifactsInput!$M$7-ArtifactsInput!$M$7)*CHOOSE(ArtifactsInput!$N$7+1,6,7.2,8.4,9.6,10.8,12))+IF(Inputs!$B$3&gt;=117,F2123,0))/100))+MIN((Skills!S4*(1+((Inputs!$B$35+(ArtifactsInput!$M$7-ArtifactsInput!$M$7)*CHOOSE(ArtifactsInput!$N$7+1,6,7.2,8.4,9.6,10.8,12))+IF(Inputs!$B$3&gt;=117,F2123,0))/100)),MAX(0,Inputs!$B$44-((R2101-1)*Skills!D4))))/Inputs!$B$44),IF(Inputs!$B$39="pvp",MIN((Skills!S4*(1+((Inputs!$B$35+(ArtifactsInput!$M$7-ArtifactsInput!$M$7)*CHOOSE(ArtifactsInput!$N$7+1,6,7.2,8.4,9.6,10.8,12))+IF(Inputs!$B$3&gt;=117,F2123,0))/100)),15)/15,(Skills!S4*(1+((Inputs!$B$35+(ArtifactsInput!$M$7-ArtifactsInput!$M$7)*CHOOSE(ArtifactsInput!$N$7+1,6,7.2,8.4,9.6,10.8,12))+IF(Inputs!$B$3&gt;=117,F2123,0))/100))/Skills!D4)),0)+IF(C2102=TRUE,F2102*IF(AND(Inputs!$B$39&lt;&gt;"pvp",Inputs!$B$44&gt;0),(((R2102-1)*(Skills!S5*(1+((Inputs!$B$35+(ArtifactsInput!$M$7-ArtifactsInput!$M$7)*CHOOSE(ArtifactsInput!$N$7+1,6,7.2,8.4,9.6,10.8,12))+IF(Inputs!$B$3&gt;=117,F2123,0))/100))+MIN((Skills!S5*(1+((Inputs!$B$35+(ArtifactsInput!$M$7-ArtifactsInput!$M$7)*CHOOSE(ArtifactsInput!$N$7+1,6,7.2,8.4,9.6,10.8,12))+IF(Inputs!$B$3&gt;=117,F2123,0))/100)),MAX(0,Inputs!$B$44-((R2102-1)*Skills!D5))))/Inputs!$B$44),IF(Inputs!$B$39="pvp",MIN((Skills!S5*(1+((Inputs!$B$35+(ArtifactsInput!$M$7-ArtifactsInput!$M$7)*CHOOSE(ArtifactsInput!$N$7+1,6,7.2,8.4,9.6,10.8,12))+IF(Inputs!$B$3&gt;=117,F2123,0))/100)),15)/15,(Skills!S5*(1+((Inputs!$B$35+(ArtifactsInput!$M$7-ArtifactsInput!$M$7)*CHOOSE(ArtifactsInput!$N$7+1,6,7.2,8.4,9.6,10.8,12))+IF(Inputs!$B$3&gt;=117,F2123,0))/100))/Skills!D5)),0)+IF(C2108=TRUE,F2108*IF(AND(Inputs!$B$39&lt;&gt;"pvp",Inputs!$B$44&gt;0),(((R2108-1)*(Skills!S11*(1+((Inputs!$B$35+(ArtifactsInput!$M$7-ArtifactsInput!$M$7)*CHOOSE(ArtifactsInput!$N$7+1,6,7.2,8.4,9.6,10.8,12))+IF(Inputs!$B$3&gt;=117,F2123,0))/100))+MIN((Skills!S11*(1+((Inputs!$B$35+(ArtifactsInput!$M$7-ArtifactsInput!$M$7)*CHOOSE(ArtifactsInput!$N$7+1,6,7.2,8.4,9.6,10.8,12))+IF(Inputs!$B$3&gt;=117,F2123,0))/100)),MAX(0,Inputs!$B$44-((R2108-1)*Skills!D11))))/Inputs!$B$44),IF(Inputs!$B$39="pvp",MIN((Skills!S11*(1+((Inputs!$B$35+(ArtifactsInput!$M$7-ArtifactsInput!$M$7)*CHOOSE(ArtifactsInput!$N$7+1,6,7.2,8.4,9.6,10.8,12))+IF(Inputs!$B$3&gt;=117,F2123,0))/100)),15)/15,(Skills!S11*(1+((Inputs!$B$35+(ArtifactsInput!$M$7-ArtifactsInput!$M$7)*CHOOSE(ArtifactsInput!$N$7+1,6,7.2,8.4,9.6,10.8,12))+IF(Inputs!$B$3&gt;=117,F2123,0)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2111=TRUE,(1+F2111*IF(AND(Inputs!$B$39&lt;&gt;"pvp",Inputs!$B$44&gt;0),(((R2111-1)*(Skills!S14*(1+((Inputs!$B$35+(ArtifactsInput!$M$7-ArtifactsInput!$M$7)*CHOOSE(ArtifactsInput!$N$7+1,6,7.2,8.4,9.6,10.8,12))+IF(Inputs!$B$3&gt;=117,F2123,0))/100))+MIN((Skills!S14*(1+((Inputs!$B$35+(ArtifactsInput!$M$7-ArtifactsInput!$M$7)*CHOOSE(ArtifactsInput!$N$7+1,6,7.2,8.4,9.6,10.8,12))+IF(Inputs!$B$3&gt;=117,F2123,0))/100)),MAX(0,Inputs!$B$44-((R2111-1)*Skills!D14))))/Inputs!$B$44),IF(Inputs!$B$39="pvp",MIN((Skills!S14*(1+((Inputs!$B$35+(ArtifactsInput!$M$7-ArtifactsInput!$M$7)*CHOOSE(ArtifactsInput!$N$7+1,6,7.2,8.4,9.6,10.8,12))+IF(Inputs!$B$3&gt;=117,F2123,0))/100)),15)/15,(Skills!S14*(1+((Inputs!$B$35+(ArtifactsInput!$M$7-ArtifactsInput!$M$7)*CHOOSE(ArtifactsInput!$N$7+1,6,7.2,8.4,9.6,10.8,12))+IF(Inputs!$B$3&gt;=117,F2123,0))/100))/Skills!D14))/100),1)*IF(C2116=TRUE,(1+F2116*IF(AND(Inputs!$B$39&lt;&gt;"pvp",Inputs!$B$44&gt;0),(((R2116-1)*(Skills!S19*(1+((Inputs!$B$35+(ArtifactsInput!$M$7-ArtifactsInput!$M$7)*CHOOSE(ArtifactsInput!$N$7+1,6,7.2,8.4,9.6,10.8,12))+IF(Inputs!$B$3&gt;=117,F2123,0))/100))+MIN((Skills!S19*(1+((Inputs!$B$35+(ArtifactsInput!$M$7-ArtifactsInput!$M$7)*CHOOSE(ArtifactsInput!$N$7+1,6,7.2,8.4,9.6,10.8,12))+IF(Inputs!$B$3&gt;=117,F2123,0))/100)),MAX(0,Inputs!$B$44-((R2116-1)*Skills!D19))))/Inputs!$B$44),IF(Inputs!$B$39="pvp",MIN((Skills!S19*(1+((Inputs!$B$35+(ArtifactsInput!$M$7-ArtifactsInput!$M$7)*CHOOSE(ArtifactsInput!$N$7+1,6,7.2,8.4,9.6,10.8,12))+IF(Inputs!$B$3&gt;=117,F2123,0))/100)),15)/15,(Skills!S19*(1+((Inputs!$B$35+(ArtifactsInput!$M$7-ArtifactsInput!$M$7)*CHOOSE(ArtifactsInput!$N$7+1,6,7.2,8.4,9.6,10.8,12))+IF(Inputs!$B$3&gt;=117,F2123,0))/100))/Skills!D19))/100),1)</f>
        <v/>
      </c>
    </row>
    <row r="2128">
      <c r="A2128" t="inlineStr">
        <is>
          <t>Monster Damage Taken Bonus % (Holy Fountain)</t>
        </is>
      </c>
      <c r="B2128">
        <f>IF(Inputs!$B$3&gt;=68,20*IF(Inputs!$B$39="pvp",MIN((15*(1+((Inputs!$B$35+(ArtifactsInput!$M$7-ArtifactsInput!$M$7)*CHOOSE(ArtifactsInput!$N$7+1,6,7.2,8.4,9.6,10.8,12))+IF(Inputs!$B$3&gt;=117,F2123,0))/100)),15)/15,(15*(1+((Inputs!$B$35+(ArtifactsInput!$M$7-ArtifactsInput!$M$7)*CHOOSE(ArtifactsInput!$N$7+1,6,7.2,8.4,9.6,10.8,12))+IF(Inputs!$B$3&gt;=117,F2123,0))/100))/Skills!D10),0)</f>
        <v/>
      </c>
    </row>
    <row r="2129">
      <c r="A2129" t="inlineStr">
        <is>
          <t>Normal Monster Damage Bonus % (Holy Symbol)</t>
        </is>
      </c>
      <c r="B2129">
        <f>IF(C2109=TRUE,F2109*IF(AND(Inputs!$B$39&lt;&gt;"pvp",Inputs!$B$44&gt;0),(((R2109-1)*(Skills!S12*(1+((Inputs!$B$35+(ArtifactsInput!$M$7-ArtifactsInput!$M$7)*CHOOSE(ArtifactsInput!$N$7+1,6,7.2,8.4,9.6,10.8,12))+IF(Inputs!$B$3&gt;=117,F2123,0))/100))+MIN((Skills!S12*(1+((Inputs!$B$35+(ArtifactsInput!$M$7-ArtifactsInput!$M$7)*CHOOSE(ArtifactsInput!$N$7+1,6,7.2,8.4,9.6,10.8,12))+IF(Inputs!$B$3&gt;=117,F2123,0))/100)),MAX(0,Inputs!$B$44-((R2109-1)*Skills!D12))))/Inputs!$B$44),IF(Inputs!$B$39="pvp",MIN((Skills!S12*(1+((Inputs!$B$35+(ArtifactsInput!$M$7-ArtifactsInput!$M$7)*CHOOSE(ArtifactsInput!$N$7+1,6,7.2,8.4,9.6,10.8,12))+IF(Inputs!$B$3&gt;=117,F2123,0))/100)),15)/15,(Skills!S12*(1+((Inputs!$B$35+(ArtifactsInput!$M$7-ArtifactsInput!$M$7)*CHOOSE(ArtifactsInput!$N$7+1,6,7.2,8.4,9.6,10.8,12))+IF(Inputs!$B$3&gt;=117,F2123,0))/100))/Skills!D12)),0)</f>
        <v/>
      </c>
    </row>
    <row r="2130">
      <c r="A2130" t="inlineStr">
        <is>
          <t>Damage % Bonus (Holy Symbol - Damage Boost)</t>
        </is>
      </c>
      <c r="B2130">
        <f>Skills!O12</f>
        <v/>
      </c>
    </row>
    <row r="2131">
      <c r="A2131" t="inlineStr">
        <is>
          <t>Crit Damage % Bonus (Blood of the Divine)</t>
        </is>
      </c>
      <c r="B2131">
        <f>4*IF(C2117=TRUE,F2117,0)</f>
        <v/>
      </c>
    </row>
    <row r="2132">
      <c r="A2132" t="inlineStr">
        <is>
          <t>Attack Speed Bonus %</t>
        </is>
      </c>
      <c r="B2132">
        <f>IF(C2114=TRUE,F2114+(F2118-Calc!F21),0)+IF(Inputs!$B$3&gt;=134,15,0)+((C2125=TRUE)*F2125*IF(AND(Inputs!$B$39&lt;&gt;"pvp",Inputs!$B$44&gt;0),(((R2125-1)*(Skills!S28*(1+((Inputs!$B$35+(ArtifactsInput!$M$7-ArtifactsInput!$M$7)*CHOOSE(ArtifactsInput!$N$7+1,6,7.2,8.4,9.6,10.8,12))+IF(Inputs!$B$3&gt;=117,F2123,0))/100))+MIN((Skills!S28*(1+((Inputs!$B$35+(ArtifactsInput!$M$7-ArtifactsInput!$M$7)*CHOOSE(ArtifactsInput!$N$7+1,6,7.2,8.4,9.6,10.8,12))+IF(Inputs!$B$3&gt;=117,F2123,0))/100)),MAX(0,Inputs!$B$44-((R2125-1)*Skills!D28))))/Inputs!$B$44),IF(Inputs!$B$39="pvp",MIN((Skills!S28*(1+((Inputs!$B$35+(ArtifactsInput!$M$7-ArtifactsInput!$M$7)*CHOOSE(ArtifactsInput!$N$7+1,6,7.2,8.4,9.6,10.8,12))+IF(Inputs!$B$3&gt;=117,F2123,0))/100)),15)/15,(Skills!S28*(1+((Inputs!$B$35+(ArtifactsInput!$M$7-ArtifactsInput!$M$7)*CHOOSE(ArtifactsInput!$N$7+1,6,7.2,8.4,9.6,10.8,12))+IF(Inputs!$B$3&gt;=117,F2123,0))/100))/Skills!D28)))</f>
        <v/>
      </c>
    </row>
    <row r="2133">
      <c r="A2133" t="inlineStr">
        <is>
          <t>Actions Per Second</t>
        </is>
      </c>
      <c r="B2133">
        <f>1+MIN(150,150*(1-(1-Inputs!$B$12/150)*(1-B2132/150)))/100</f>
        <v/>
      </c>
    </row>
    <row r="2134">
      <c r="A2134" t="inlineStr">
        <is>
          <t>Skill + Buff Cast Rate</t>
        </is>
      </c>
      <c r="B2134">
        <f>IF(AND(Inputs!$B$39&lt;&gt;"pvp",Inputs!$B$44&gt;0),SUMPRODUCT((Skills!E2:E28=TRUE)*(C2099:C2125=TRUE)*R2099:R2125)/Inputs!$B$44,SUMPRODUCT((Skills!E2:E28=TRUE)*(C2099:C2125=TRUE)*Q2099:Q2125))</f>
        <v/>
      </c>
    </row>
    <row r="2135">
      <c r="A2135" t="inlineStr">
        <is>
          <t>Big Bang Casts Per Second</t>
        </is>
      </c>
      <c r="B2135">
        <f>MAX(0,B2133-B2134)</f>
        <v/>
      </c>
    </row>
    <row r="2136">
      <c r="A2136" t="inlineStr">
        <is>
          <t>Defense % Bonus (Divine Protection)</t>
        </is>
      </c>
      <c r="B2136">
        <f>IF(C2110=TRUE,F2110*IF(AND(Inputs!$B$39&lt;&gt;"pvp",Inputs!$B$44&gt;0),(((R2110-1)*(Skills!S13*(1+((Inputs!$B$35+(ArtifactsInput!$M$7-ArtifactsInput!$M$7)*CHOOSE(ArtifactsInput!$N$7+1,6,7.2,8.4,9.6,10.8,12))+IF(Inputs!$B$3&gt;=117,F2123,0))/100))+MIN((Skills!S13*(1+((Inputs!$B$35+(ArtifactsInput!$M$7-ArtifactsInput!$M$7)*CHOOSE(ArtifactsInput!$N$7+1,6,7.2,8.4,9.6,10.8,12))+IF(Inputs!$B$3&gt;=117,F2123,0))/100)),MAX(0,Inputs!$B$44-((R2110-1)*Skills!D13))))/Inputs!$B$44),IF(Inputs!$B$39="pvp",MIN((Skills!S13*(1+((Inputs!$B$35+(ArtifactsInput!$M$7-ArtifactsInput!$M$7)*CHOOSE(ArtifactsInput!$N$7+1,6,7.2,8.4,9.6,10.8,12))+IF(Inputs!$B$3&gt;=117,F2123,0))/100)),15)/15,(Skills!S13*(1+((Inputs!$B$35+(ArtifactsInput!$M$7-ArtifactsInput!$M$7)*CHOOSE(ArtifactsInput!$N$7+1,6,7.2,8.4,9.6,10.8,12))+IF(Inputs!$B$3&gt;=117,F2123,0))/100))/Skills!D13)),0)</f>
        <v/>
      </c>
    </row>
    <row r="2137">
      <c r="A2137" t="inlineStr">
        <is>
          <t>Buff-Casting Startup Delay (s, fixed-duration only)</t>
        </is>
      </c>
      <c r="B2137">
        <f>IF(AND(Inputs!$B$39&lt;&gt;"pvp",Inputs!$B$44&gt;0),SUMPRODUCT((Skills!S2:S28&gt;0)*(Skills!E2:E28=TRUE)*(C2099:C2125=TRUE))/B2133,0)</f>
        <v/>
      </c>
    </row>
    <row r="2138">
      <c r="A2138" t="inlineStr">
        <is>
          <t>Boss-Only Total DPS (this block's swept value)</t>
        </is>
      </c>
      <c r="B2138">
        <f>SUM(S2099:S2125)</f>
        <v/>
      </c>
    </row>
    <row r="2139">
      <c r="A2139" t="inlineStr">
        <is>
          <t>Normal-Only Total DPS (this block's swept value)</t>
        </is>
      </c>
      <c r="B2139">
        <f>SUM(U2099:U2125)</f>
        <v/>
      </c>
    </row>
    <row r="2140">
      <c r="A2140" s="6" t="inlineStr">
        <is>
          <t>TOTAL DPS</t>
        </is>
      </c>
      <c r="B2140" s="6">
        <f>SUM(O2099:O2125)</f>
        <v/>
      </c>
    </row>
    <row r="2142">
      <c r="A2142" s="6" t="inlineStr">
        <is>
          <t>Stat: Fire Flower (Equip)</t>
        </is>
      </c>
    </row>
    <row r="2143">
      <c r="A2143" s="5" t="inlineStr">
        <is>
          <t>Key</t>
        </is>
      </c>
      <c r="B2143" s="5" t="inlineStr">
        <is>
          <t>Name</t>
        </is>
      </c>
      <c r="C2143" s="5" t="inlineStr">
        <is>
          <t>Unlocked</t>
        </is>
      </c>
      <c r="D2143" s="5" t="inlineStr">
        <is>
          <t>InputLevel</t>
        </is>
      </c>
      <c r="E2143" s="5" t="inlineStr">
        <is>
          <t>Factor</t>
        </is>
      </c>
      <c r="F2143" s="5" t="inlineStr">
        <is>
          <t>CoefficientPercent</t>
        </is>
      </c>
      <c r="G2143" s="5" t="inlineStr">
        <is>
          <t>EffectiveHits</t>
        </is>
      </c>
      <c r="H2143" s="5" t="inlineStr">
        <is>
          <t>ProcProbability</t>
        </is>
      </c>
      <c r="I2143" s="5" t="inlineStr">
        <is>
          <t>MapleHeroMultiplier</t>
        </is>
      </c>
      <c r="J2143" s="5" t="inlineStr">
        <is>
          <t>BaseDamage</t>
        </is>
      </c>
      <c r="K2143" s="5" t="inlineStr">
        <is>
          <t>BaseHitDamage</t>
        </is>
      </c>
      <c r="L2143" s="5" t="inlineStr">
        <is>
          <t>NonCritAvg</t>
        </is>
      </c>
      <c r="M2143" s="5" t="inlineStr">
        <is>
          <t>CritAvg</t>
        </is>
      </c>
      <c r="N2143" s="5" t="inlineStr">
        <is>
          <t>ExpectedDamage(perHit)</t>
        </is>
      </c>
      <c r="O2143" s="5" t="inlineStr">
        <is>
          <t>DPS</t>
        </is>
      </c>
      <c r="P2143" s="5" t="inlineStr">
        <is>
          <t>% of Total</t>
        </is>
      </c>
      <c r="R2143" t="inlineStr">
        <is>
          <t>helpers</t>
        </is>
      </c>
    </row>
    <row r="2144">
      <c r="A2144">
        <f>Skills!A2</f>
        <v/>
      </c>
      <c r="B2144">
        <f>Skills!B2</f>
        <v/>
      </c>
      <c r="C2144">
        <f>Inputs!$B$3&gt;=100</f>
        <v/>
      </c>
      <c r="D2144" t="inlineStr"/>
      <c r="E2144" t="inlineStr"/>
      <c r="F2144">
        <f>T2146+Skills!N2</f>
        <v/>
      </c>
      <c r="G2144">
        <f>Calc!G2</f>
        <v/>
      </c>
      <c r="H2144">
        <f>Calc!H2</f>
        <v/>
      </c>
      <c r="I2144">
        <f>IF(Skills!T2&lt;&gt;"",1+(Skills!T2/10)*($Z$3/1000)/100,1)</f>
        <v/>
      </c>
      <c r="J2144">
        <f>((Inputs!$B$6*(1+Inputs!$B$7/100))+(((Inputs!$B$13*(1+Inputs!$B$14/100))-(Inputs!$B$13*(1+Inputs!$B$14/100)))+0.25*(Inputs!$B$15-Inputs!$B$15))*(1+Inputs!$B$7/100))*(F2144/100)</f>
        <v/>
      </c>
      <c r="K2144">
        <f>J2144*(1+(((Inputs!$B$13+IF(Inputs!$B$3&gt;=35,(10*INDEX(FactorTable!$B$2:$Y$301,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2="TRIUMPH_FEATHER",IF(C2158=TRUE,F2158,0),0)/100)*(1+IF(C2169=TRUE,F2169,0)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2144)</f>
        <v/>
      </c>
      <c r="L2144">
        <f>K2144*(MIN(Inputs!$B$23+(F2164-Calc!F22),(Inputs!$B$24+IF(ArtifactsInput!$M$15,CHOOSE(ArtifactsInput!$N$15+1,25,30,35,40,45,50)/100*(Inputs!$B$12-Inputs!$B$12),0)))/100+(Inputs!$B$24+IF(ArtifactsInput!$M$15,CHOOSE(ArtifactsInput!$N$15+1,25,30,35,40,45,50)/100*(Inputs!$B$12-Inputs!$B$12),0))/100)/2</f>
        <v/>
      </c>
      <c r="M2144">
        <f>L2144*(1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4">
        <f>L2144*(1-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(1-Summary!$B$11)*S2144+Summary!$B$11*U2144</f>
        <v/>
      </c>
      <c r="P2144">
        <f>IF(B2185=0,0,O2144/B2185)</f>
        <v/>
      </c>
      <c r="Q2144">
        <f>IFERROR(1/(IF(Inputs!$B$39="pvp",15,MAX(0.1,Skills!D2-IF(Skills!E2=TRUE,Inputs!$B$33,0)))*(1-IF(AND(ArtifactsInput!$M$27,Inputs!$B$4="Chapter Hunt"),CHOOSE(ArtifactsInput!$N$27+1,20,24,28,32,36,40),0)/100)),0)</f>
        <v/>
      </c>
      <c r="R2144" t="n">
        <v>0</v>
      </c>
      <c r="S2144">
        <f>IF(C2144,(Skills!F2*N2144*B2180)*IF(Inputs!$B$39="pvp",1,1+(Inputs!$B$21+Skills!O2+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2144*(1-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44">
        <f>MAX(0,(Inputs!$B$3-100)*3)+Inputs!$B$29+Inputs!$B$30</f>
        <v/>
      </c>
      <c r="U2144">
        <f>IF(C2144,(Skills!F2*N2144*B2180)*IF(Inputs!$B$39="pvp",1,(1+(Inputs!$B$22+Skills!P2+B2174+(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Skills!A3</f>
        <v/>
      </c>
      <c r="B2145">
        <f>Skills!B3</f>
        <v/>
      </c>
      <c r="C2145">
        <f>Inputs!$B$3&gt;=15</f>
        <v/>
      </c>
      <c r="D2145">
        <f>IF(Skills!C3=1,60+Inputs!$B$26+Inputs!$B$30,IF(Skills!C3=2,90+Inputs!$B$27+Inputs!$B$30,IF(Skills!C3=3,120+Inputs!$B$28+Inputs!$B$30,MAX(0,(Inputs!$B$3-100)*3)+Inputs!$B$29+Inputs!$B$30)))</f>
        <v/>
      </c>
      <c r="E2145">
        <f>INDEX(FactorTable!$B$2:$Y$301, MATCH(ROUND(MIN(300,MAX(1,D2145)),0), FactorTable!$A$2:$A$301,0), Skills!L3+1)</f>
        <v/>
      </c>
      <c r="F2145">
        <f>IF(Skills!M3=TRUE,(Skills!K3/10)*(E2145/1000),Skills!K3/10)+Skills!N3</f>
        <v/>
      </c>
      <c r="G2145">
        <f>Calc!G3</f>
        <v/>
      </c>
      <c r="H2145">
        <f>Calc!H3</f>
        <v/>
      </c>
      <c r="I2145">
        <f>IF(Skills!T3&lt;&gt;"",1+(Skills!T3/10)*($Z$3/1000)/100,1)</f>
        <v/>
      </c>
      <c r="J2145" t="inlineStr"/>
      <c r="K2145" t="inlineStr"/>
      <c r="L2145" t="inlineStr"/>
      <c r="M2145" t="inlineStr"/>
      <c r="N2145" t="inlineStr"/>
      <c r="O2145">
        <f>(1-Summary!$B$11)*S2145+Summary!$B$11*U2145</f>
        <v/>
      </c>
      <c r="P2145">
        <f>IF(B2185=0,0,O2145/B2185)</f>
        <v/>
      </c>
      <c r="Q2145">
        <f>IFERROR(1/(IF(Inputs!$B$39="pvp",15,MAX(0.1,Skills!D3-IF(Skills!E3=TRUE,Inputs!$B$33,0)))*(1-IF(AND(ArtifactsInput!$M$27,Inputs!$B$4="Chapter Hunt"),CHOOSE(ArtifactsInput!$N$27+1,20,24,28,32,36,40),0)/100)),0)</f>
        <v/>
      </c>
      <c r="R2145">
        <f>IF(AND(Inputs!$B$39&lt;&gt;"pvp",Inputs!$B$44&gt;0),IF(Inputs!$B$44&lt;=0,0,(INT(Inputs!$B$44/(IF(Inputs!$B$39="pvp",15,MAX(0.1,Skills!D3-IF(Skills!E3=TRUE,Inputs!$B$33,0)))*(1-IF(AND(ArtifactsInput!$M$27,Inputs!$B$4="Chapter Hunt"),CHOOSE(ArtifactsInput!$N$27+1,20,24,28,32,36,40),0)/100)))+1)),0)</f>
        <v/>
      </c>
      <c r="S2145" t="n">
        <v>0</v>
      </c>
      <c r="T2145">
        <f>INDEX(FactorTable!$B$2:$Y$301, MATCH(ROUND(MIN(300,MAX(1,T2144)),0), FactorTable!$A$2:$A$301,0), 22)</f>
        <v/>
      </c>
      <c r="U2145" t="n">
        <v>0</v>
      </c>
    </row>
    <row r="2146">
      <c r="A2146">
        <f>Skills!A4</f>
        <v/>
      </c>
      <c r="B2146">
        <f>Skills!B4</f>
        <v/>
      </c>
      <c r="C2146">
        <f>Inputs!$B$3&gt;=38</f>
        <v/>
      </c>
      <c r="D2146">
        <f>IF(Skills!C4=1,60+Inputs!$B$26+Inputs!$B$30,IF(Skills!C4=2,90+Inputs!$B$27+Inputs!$B$30,IF(Skills!C4=3,120+Inputs!$B$28+Inputs!$B$30,MAX(0,(Inputs!$B$3-100)*3)+Inputs!$B$29+Inputs!$B$30)))</f>
        <v/>
      </c>
      <c r="E2146">
        <f>INDEX(FactorTable!$B$2:$Y$301, MATCH(ROUND(MIN(300,MAX(1,D2146)),0), FactorTable!$A$2:$A$301,0), Skills!L4+1)</f>
        <v/>
      </c>
      <c r="F2146">
        <f>IF(Skills!M4=TRUE,(Skills!K4/10)*(E2146/1000),Skills!K4/10)+Skills!N4</f>
        <v/>
      </c>
      <c r="G2146">
        <f>Calc!G4</f>
        <v/>
      </c>
      <c r="H2146">
        <f>Calc!H4</f>
        <v/>
      </c>
      <c r="I2146">
        <f>IF(Skills!T4&lt;&gt;"",1+(Skills!T4/10)*($Z$3/1000)/100,1)</f>
        <v/>
      </c>
      <c r="J2146" t="inlineStr"/>
      <c r="K2146" t="inlineStr"/>
      <c r="L2146" t="inlineStr"/>
      <c r="M2146" t="inlineStr"/>
      <c r="N2146" t="inlineStr"/>
      <c r="O2146">
        <f>(1-Summary!$B$11)*S2146+Summary!$B$11*U2146</f>
        <v/>
      </c>
      <c r="P2146">
        <f>IF(B2185=0,0,O2146/B2185)</f>
        <v/>
      </c>
      <c r="Q2146">
        <f>IFERROR(1/(IF(Inputs!$B$39="pvp",15,MAX(0.1,Skills!D4-IF(Skills!E4=TRUE,Inputs!$B$33,0)))*(1-IF(AND(ArtifactsInput!$M$27,Inputs!$B$4="Chapter Hunt"),CHOOSE(ArtifactsInput!$N$27+1,20,24,28,32,36,40),0)/100)),0)</f>
        <v/>
      </c>
      <c r="R2146">
        <f>IF(AND(Inputs!$B$39&lt;&gt;"pvp",Inputs!$B$44&gt;0),IF(Inputs!$B$44&lt;=0,0,(INT(Inputs!$B$44/(IF(Inputs!$B$39="pvp",15,MAX(0.1,Skills!D4-IF(Skills!E4=TRUE,Inputs!$B$33,0)))*(1-IF(AND(ArtifactsInput!$M$27,Inputs!$B$4="Chapter Hunt"),CHOOSE(ArtifactsInput!$N$27+1,20,24,28,32,36,40),0)/100)))+1)),0)</f>
        <v/>
      </c>
      <c r="S2146" t="n">
        <v>0</v>
      </c>
      <c r="T2146">
        <f>290*T2145/1000</f>
        <v/>
      </c>
      <c r="U2146" t="n">
        <v>0</v>
      </c>
    </row>
    <row r="2147">
      <c r="A2147">
        <f>Skills!A5</f>
        <v/>
      </c>
      <c r="B2147">
        <f>Skills!B5</f>
        <v/>
      </c>
      <c r="C2147">
        <f>Inputs!$B$3&gt;=40</f>
        <v/>
      </c>
      <c r="D2147">
        <f>IF(Skills!C5=1,60+Inputs!$B$26+Inputs!$B$30,IF(Skills!C5=2,90+Inputs!$B$27+Inputs!$B$30,IF(Skills!C5=3,120+Inputs!$B$28+Inputs!$B$30,MAX(0,(Inputs!$B$3-100)*3)+Inputs!$B$29+Inputs!$B$30)))</f>
        <v/>
      </c>
      <c r="E2147">
        <f>INDEX(FactorTable!$B$2:$Y$301, MATCH(ROUND(MIN(300,MAX(1,D2147)),0), FactorTable!$A$2:$A$301,0), Skills!L5+1)</f>
        <v/>
      </c>
      <c r="F2147">
        <f>IF(Skills!M5=TRUE,(Skills!K5/10)*(E2147/1000),Skills!K5/10)+Skills!N5</f>
        <v/>
      </c>
      <c r="G2147">
        <f>Calc!G5</f>
        <v/>
      </c>
      <c r="H2147">
        <f>Calc!H5</f>
        <v/>
      </c>
      <c r="I2147">
        <f>IF(Skills!T5&lt;&gt;"",1+(Skills!T5/10)*($Z$3/1000)/100,1)</f>
        <v/>
      </c>
      <c r="J2147" t="inlineStr"/>
      <c r="K2147" t="inlineStr"/>
      <c r="L2147" t="inlineStr"/>
      <c r="M2147" t="inlineStr"/>
      <c r="N2147" t="inlineStr"/>
      <c r="O2147">
        <f>(1-Summary!$B$11)*S2147+Summary!$B$11*U2147</f>
        <v/>
      </c>
      <c r="P2147">
        <f>IF(B2185=0,0,O2147/B2185)</f>
        <v/>
      </c>
      <c r="Q2147">
        <f>IFERROR(1/(IF(Inputs!$B$39="pvp",15,MAX(0.1,Skills!D5-IF(Skills!E5=TRUE,Inputs!$B$33,0)))*(1-IF(AND(ArtifactsInput!$M$27,Inputs!$B$4="Chapter Hunt"),CHOOSE(ArtifactsInput!$N$27+1,20,24,28,32,36,40),0)/100)),0)</f>
        <v/>
      </c>
      <c r="R2147">
        <f>IF(AND(Inputs!$B$39&lt;&gt;"pvp",Inputs!$B$44&gt;0),IF(Inputs!$B$44&lt;=0,0,(INT(Inputs!$B$44/(IF(Inputs!$B$39="pvp",15,MAX(0.1,Skills!D5-IF(Skills!E5=TRUE,Inputs!$B$33,0)))*(1-IF(AND(ArtifactsInput!$M$27,Inputs!$B$4="Chapter Hunt"),CHOOSE(ArtifactsInput!$N$27+1,20,24,28,32,36,40),0)/100)))+1)),0)</f>
        <v/>
      </c>
      <c r="S2147" t="n">
        <v>0</v>
      </c>
      <c r="U2147" t="n">
        <v>0</v>
      </c>
    </row>
    <row r="2148">
      <c r="A2148">
        <f>Skills!A6</f>
        <v/>
      </c>
      <c r="B2148">
        <f>Skills!B6</f>
        <v/>
      </c>
      <c r="C2148">
        <f>Inputs!$B$3&gt;=103</f>
        <v/>
      </c>
      <c r="D2148">
        <f>IF(Skills!C6=1,60+Inputs!$B$26+Inputs!$B$30,IF(Skills!C6=2,90+Inputs!$B$27+Inputs!$B$30,IF(Skills!C6=3,120+Inputs!$B$28+Inputs!$B$30,MAX(0,(Inputs!$B$3-100)*3)+Inputs!$B$29+Inputs!$B$30)))</f>
        <v/>
      </c>
      <c r="E2148">
        <f>INDEX(FactorTable!$B$2:$Y$301, MATCH(ROUND(MIN(300,MAX(1,D2148)),0), FactorTable!$A$2:$A$301,0), Skills!L6+1)</f>
        <v/>
      </c>
      <c r="F2148">
        <f>IF(Skills!M6=TRUE,(Skills!K6/10)*(E2148/1000),Skills!K6/10)+Skills!N6</f>
        <v/>
      </c>
      <c r="G2148">
        <f>Calc!G6</f>
        <v/>
      </c>
      <c r="H2148">
        <f>Calc!H6</f>
        <v/>
      </c>
      <c r="I2148">
        <f>IF(Skills!T6&lt;&gt;"",1+(Skills!T6/10)*($Z$3/1000)/100,1)</f>
        <v/>
      </c>
      <c r="J2148">
        <f>((Inputs!$B$6*(1+Inputs!$B$7/100))+(((Inputs!$B$13*(1+Inputs!$B$14/100))-(Inputs!$B$13*(1+Inputs!$B$14/100)))+0.25*(Inputs!$B$15-Inputs!$B$15))*(1+Inputs!$B$7/100))*(F2148/100)</f>
        <v/>
      </c>
      <c r="K2148">
        <f>J2148*(1+(((Inputs!$B$13+IF(Inputs!$B$3&gt;=35,(10*INDEX(FactorTable!$B$2:$Y$301,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6="TRIUMPH_FEATHER",IF(C2158=TRUE,F2158,0),0)/100)*(1+IF(C2169=TRUE,F2169,0)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2148)</f>
        <v/>
      </c>
      <c r="L2148">
        <f>K2148*(MIN(Inputs!$B$23+(F2164-Calc!F22),(Inputs!$B$24+IF(ArtifactsInput!$M$15,CHOOSE(ArtifactsInput!$N$15+1,25,30,35,40,45,50)/100*(Inputs!$B$12-Inputs!$B$12),0)))/100+(Inputs!$B$24+IF(ArtifactsInput!$M$15,CHOOSE(ArtifactsInput!$N$15+1,25,30,35,40,45,50)/100*(Inputs!$B$12-Inputs!$B$12),0))/100)/2</f>
        <v/>
      </c>
      <c r="M2148">
        <f>L2148*(1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8">
        <f>L2148*(1-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2148*(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8">
        <f>(1-Summary!$B$11)*S2148+Summary!$B$11*U2148</f>
        <v/>
      </c>
      <c r="P2148">
        <f>IF(B2185=0,0,O2148/B2185)</f>
        <v/>
      </c>
      <c r="Q2148">
        <f>IFERROR(1/(IF(Inputs!$B$39="pvp",15,MAX(0.1,Skills!D6-IF(Skills!E6=TRUE,Inputs!$B$33,0)))*(1-IF(AND(ArtifactsInput!$M$27,Inputs!$B$4="Chapter Hunt"),CHOOSE(ArtifactsInput!$N$27+1,20,24,28,32,36,40),0)/100)),0)</f>
        <v/>
      </c>
      <c r="R2148">
        <f>IF(AND(Inputs!$B$39&lt;&gt;"pvp",Inputs!$B$44&gt;0),IF(MAX(0,Inputs!$B$44-B2182)&lt;=0,0,(INT(MAX(0,Inputs!$B$44-B2182)/(IF(Inputs!$B$39="pvp",15,MAX(0.1,Skills!D6-IF(Skills!E6=TRUE,Inputs!$B$33,0)))*(1-IF(AND(ArtifactsInput!$M$27,Inputs!$B$4="Chapter Hunt"),CHOOSE(ArtifactsInput!$N$27+1,20,24,28,32,36,40),0)/100)))+1)),0)</f>
        <v/>
      </c>
      <c r="S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$21+Skills!O6+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2148*(1-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2148*(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2148*(1-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2148*(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$22+Skills!P6+B2174+(IF(ArtifactsInput!$M$33,CHOOSE(ArtifactsInput!$N$33+1,30,36,42,48,54,60),0)))/100)*(MIN(Skills!Q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9">
      <c r="A2149">
        <f>Skills!A7</f>
        <v/>
      </c>
      <c r="B2149">
        <f>Skills!B7</f>
        <v/>
      </c>
      <c r="C2149">
        <f>Inputs!$B$3&gt;=122</f>
        <v/>
      </c>
      <c r="D2149">
        <f>IF(Skills!C7=1,60+Inputs!$B$26+Inputs!$B$30,IF(Skills!C7=2,90+Inputs!$B$27+Inputs!$B$30,IF(Skills!C7=3,120+Inputs!$B$28+Inputs!$B$30,MAX(0,(Inputs!$B$3-100)*3)+Inputs!$B$29+Inputs!$B$30)))</f>
        <v/>
      </c>
      <c r="E2149">
        <f>INDEX(FactorTable!$B$2:$Y$301, MATCH(ROUND(MIN(300,MAX(1,D2149)),0), FactorTable!$A$2:$A$301,0), Skills!L7+1)</f>
        <v/>
      </c>
      <c r="F2149">
        <f>IF(Skills!M7=TRUE,(Skills!K7/10)*(E2149/1000),Skills!K7/10)+Skills!N7</f>
        <v/>
      </c>
      <c r="G2149">
        <f>Calc!G7</f>
        <v/>
      </c>
      <c r="H2149">
        <f>Calc!H7</f>
        <v/>
      </c>
      <c r="I2149">
        <f>IF(Skills!T7&lt;&gt;"",1+(Skills!T7/10)*($Z$3/1000)/100,1)</f>
        <v/>
      </c>
      <c r="J2149">
        <f>((Inputs!$B$6*(1+Inputs!$B$7/100))+(((Inputs!$B$13*(1+Inputs!$B$14/100))-(Inputs!$B$13*(1+Inputs!$B$14/100)))+0.25*(Inputs!$B$15-Inputs!$B$15))*(1+Inputs!$B$7/100))*(F2149/100)</f>
        <v/>
      </c>
      <c r="K2149">
        <f>J2149*(1+(((Inputs!$B$13+IF(Inputs!$B$3&gt;=35,(10*INDEX(FactorTable!$B$2:$Y$301,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7="TRIUMPH_FEATHER",IF(C2158=TRUE,F2158,0),0)/100)*(1+IF(C2169=TRUE,F2169,0)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2149)</f>
        <v/>
      </c>
      <c r="L2149">
        <f>K2149*(MIN(Inputs!$B$23+(F2164-Calc!F22),(Inputs!$B$24+IF(ArtifactsInput!$M$15,CHOOSE(ArtifactsInput!$N$15+1,25,30,35,40,45,50)/100*(Inputs!$B$12-Inputs!$B$12),0)))/100+(Inputs!$B$24+IF(ArtifactsInput!$M$15,CHOOSE(ArtifactsInput!$N$15+1,25,30,35,40,45,50)/100*(Inputs!$B$12-Inputs!$B$12),0))/100)/2</f>
        <v/>
      </c>
      <c r="M2149">
        <f>L2149*(1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9">
        <f>L2149*(1-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2149*(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9">
        <f>(1-Summary!$B$11)*S2149+Summary!$B$11*U2149</f>
        <v/>
      </c>
      <c r="P2149">
        <f>IF(B2185=0,0,O2149/B2185)</f>
        <v/>
      </c>
      <c r="Q2149">
        <f>IFERROR(1/(IF(Inputs!$B$39="pvp",15,MAX(0.1,Skills!D7-IF(Skills!E6=TRUE,Inputs!$B$33,0)))*(1-IF(AND(ArtifactsInput!$M$27,Inputs!$B$4="Chapter Hunt"),CHOOSE(ArtifactsInput!$N$27+1,20,24,28,32,36,40),0)/100)),0)</f>
        <v/>
      </c>
      <c r="R2149">
        <f>IF(AND(Inputs!$B$39&lt;&gt;"pvp",Inputs!$B$44&gt;0),IF(MAX(0,Inputs!$B$44-B2182)&lt;=0,0,(INT(MAX(0,Inputs!$B$44-B2182)/(IF(Inputs!$B$39="pvp",15,MAX(0.1,Skills!D7-IF(Skills!E6=TRUE,Inputs!$B$33,0)))*(1-IF(AND(ArtifactsInput!$M$27,Inputs!$B$4="Chapter Hunt"),CHOOSE(ArtifactsInput!$N$27+1,20,24,28,32,36,40),0)/100)))+1)),0)</f>
        <v/>
      </c>
      <c r="S2149">
        <f>IF(C2149,H2149*N2149*IF(AND(Inputs!$B$39&lt;&gt;"pvp",Inputs!$B$44&gt;0),((Skills!F7*((R2149-1)*IF(Skills!G7&gt;0,Skills!H7/Skills!G7,1)+IF(Skills!G7&gt;0,MIN(Skills!H7,MAX(0,MAX(0,Inputs!$B$44-B2182)-((R2149-1)*(IF(Inputs!$B$39="pvp",15,MAX(0.1,Skills!D7-IF(Skills!E6=TRUE,Inputs!$B$33,0)))*(1-IF(AND(ArtifactsInput!$M$27,Inputs!$B$4="Chapter Hunt"),CHOOSE(ArtifactsInput!$N$27+1,20,24,28,32,36,40),0)/100)))))/Skills!G7,1)))/Inputs!$B$44),G2149*Q2149)*IF(Inputs!$B$39="pvp",1,1+(Inputs!$B$21+Skills!O7+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2149*(1-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2149*(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2149*(1-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2149*(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9" t="n">
        <v>0</v>
      </c>
    </row>
    <row r="2150">
      <c r="A2150">
        <f>Skills!A8</f>
        <v/>
      </c>
      <c r="B2150">
        <f>Skills!B8</f>
        <v/>
      </c>
      <c r="C2150">
        <f>Inputs!$B$3&gt;=105</f>
        <v/>
      </c>
      <c r="D2150">
        <f>IF(Skills!C8=1,60+Inputs!$B$26+Inputs!$B$30,IF(Skills!C8=2,90+Inputs!$B$27+Inputs!$B$30,IF(Skills!C8=3,120+Inputs!$B$28+Inputs!$B$30,MAX(0,(Inputs!$B$3-100)*3)+Inputs!$B$29+Inputs!$B$30)))</f>
        <v/>
      </c>
      <c r="E2150">
        <f>INDEX(FactorTable!$B$2:$Y$301, MATCH(ROUND(MIN(300,MAX(1,D2150)),0), FactorTable!$A$2:$A$301,0), Skills!L8+1)</f>
        <v/>
      </c>
      <c r="F2150">
        <f>IF(Skills!M8=TRUE,(Skills!K8/10)*(E2150/1000),Skills!K8/10)+Skills!N8</f>
        <v/>
      </c>
      <c r="G2150">
        <f>Calc!G8</f>
        <v/>
      </c>
      <c r="H2150">
        <f>Calc!H8</f>
        <v/>
      </c>
      <c r="I2150">
        <f>IF(Skills!T8&lt;&gt;"",1+(Skills!T8/10)*($Z$3/1000)/100,1)</f>
        <v/>
      </c>
      <c r="J2150">
        <f>((Inputs!$B$6*(1+Inputs!$B$7/100))+(((Inputs!$B$13*(1+Inputs!$B$14/100))-(Inputs!$B$13*(1+Inputs!$B$14/100)))+0.25*(Inputs!$B$15-Inputs!$B$15))*(1+Inputs!$B$7/100))*(F2150/100)</f>
        <v/>
      </c>
      <c r="K2150">
        <f>J2150*(1+(((Inputs!$B$13+IF(Inputs!$B$3&gt;=35,(10*INDEX(FactorTable!$B$2:$Y$301,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8="TRIUMPH_FEATHER",IF(C2158=TRUE,F2158,0),0)/100)*(1+IF(C2169=TRUE,F2169,0)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2150)</f>
        <v/>
      </c>
      <c r="L2150">
        <f>K2150*(MIN(Inputs!$B$23+(F2164-Calc!F22),(Inputs!$B$24+IF(ArtifactsInput!$M$15,CHOOSE(ArtifactsInput!$N$15+1,25,30,35,40,45,50)/100*(Inputs!$B$12-Inputs!$B$12),0)))/100+(Inputs!$B$24+IF(ArtifactsInput!$M$15,CHOOSE(ArtifactsInput!$N$15+1,25,30,35,40,45,50)/100*(Inputs!$B$12-Inputs!$B$12),0))/100)/2</f>
        <v/>
      </c>
      <c r="M2150">
        <f>L2150*(1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0">
        <f>L2150*(1-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2150*(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0">
        <f>(1-Summary!$B$11)*S2150+Summary!$B$11*U2150</f>
        <v/>
      </c>
      <c r="P2150">
        <f>IF(B2185=0,0,O2150/B2185)</f>
        <v/>
      </c>
      <c r="Q2150">
        <f>IFERROR(1/(IF(Inputs!$B$39="pvp",15,MAX(0.1,Skills!D8-IF(Skills!E8=TRUE,Inputs!$B$33,0)))*(1-IF(AND(ArtifactsInput!$M$27,Inputs!$B$4="Chapter Hunt"),CHOOSE(ArtifactsInput!$N$27+1,20,24,28,32,36,40),0)/100)),0)</f>
        <v/>
      </c>
      <c r="R2150">
        <f>IF(AND(Inputs!$B$39&lt;&gt;"pvp",Inputs!$B$44&gt;0),IF(MAX(0,Inputs!$B$44-B2182)&lt;=0,0,(INT(MAX(0,Inputs!$B$44-B2182)/(IF(Inputs!$B$39="pvp",15,MAX(0.1,Skills!D8-IF(Skills!E8=TRUE,Inputs!$B$33,0)))*(1-IF(AND(ArtifactsInput!$M$27,Inputs!$B$4="Chapter Hunt"),CHOOSE(ArtifactsInput!$N$27+1,20,24,28,32,36,40),0)/100)))+1)),0)</f>
        <v/>
      </c>
      <c r="S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$21+Skills!O8+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2150*(1-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2150*(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2150*(1-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2150*(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$22+Skills!P8+B2174+(IF(ArtifactsInput!$M$33,CHOOSE(ArtifactsInput!$N$33+1,30,36,42,48,54,60),0)))/100)*(MIN(Skills!Q8,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1">
      <c r="A2151">
        <f>Skills!A9</f>
        <v/>
      </c>
      <c r="B2151">
        <f>Skills!B9</f>
        <v/>
      </c>
      <c r="C2151">
        <f>Inputs!$B$3&gt;=115</f>
        <v/>
      </c>
      <c r="D2151">
        <f>IF(Skills!C9=1,60+Inputs!$B$26+Inputs!$B$30,IF(Skills!C9=2,90+Inputs!$B$27+Inputs!$B$30,IF(Skills!C9=3,120+Inputs!$B$28+Inputs!$B$30,MAX(0,(Inputs!$B$3-100)*3)+Inputs!$B$29+Inputs!$B$30)))</f>
        <v/>
      </c>
      <c r="E2151">
        <f>INDEX(FactorTable!$B$2:$Y$301, MATCH(ROUND(MIN(300,MAX(1,D2151)),0), FactorTable!$A$2:$A$301,0), Skills!L9+1)</f>
        <v/>
      </c>
      <c r="F2151">
        <f>IF(Skills!M9=TRUE,(Skills!K9/10)*(E2151/1000),Skills!K9/10)+Skills!N9</f>
        <v/>
      </c>
      <c r="G2151">
        <f>Calc!G9</f>
        <v/>
      </c>
      <c r="H2151">
        <f>Calc!H9</f>
        <v/>
      </c>
      <c r="I2151">
        <f>IF(Skills!T9&lt;&gt;"",1+(Skills!T9/10)*($Z$3/1000)/100,1)</f>
        <v/>
      </c>
      <c r="J2151">
        <f>((Inputs!$B$6*(1+Inputs!$B$7/100))+(((Inputs!$B$13*(1+Inputs!$B$14/100))-(Inputs!$B$13*(1+Inputs!$B$14/100)))+0.25*(Inputs!$B$15-Inputs!$B$15))*(1+Inputs!$B$7/100))*(F2151/100)</f>
        <v/>
      </c>
      <c r="K2151">
        <f>J2151*(1+(((Inputs!$B$13+IF(Inputs!$B$3&gt;=35,(10*INDEX(FactorTable!$B$2:$Y$301,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9="TRIUMPH_FEATHER",IF(C2158=TRUE,F2158,0),0)/100)*(1+IF(C2169=TRUE,F2169,0)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2151)</f>
        <v/>
      </c>
      <c r="L2151">
        <f>K2151*(MIN(Inputs!$B$23+(F2164-Calc!F22),(Inputs!$B$24+IF(ArtifactsInput!$M$15,CHOOSE(ArtifactsInput!$N$15+1,25,30,35,40,45,50)/100*(Inputs!$B$12-Inputs!$B$12),0)))/100+(Inputs!$B$24+IF(ArtifactsInput!$M$15,CHOOSE(ArtifactsInput!$N$15+1,25,30,35,40,45,50)/100*(Inputs!$B$12-Inputs!$B$12),0))/100)/2</f>
        <v/>
      </c>
      <c r="M2151">
        <f>L2151*(1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1">
        <f>L2151*(1-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1">
        <f>(1-Summary!$B$11)*S2151+Summary!$B$11*U2151</f>
        <v/>
      </c>
      <c r="P2151">
        <f>IF(B2185=0,0,O2151/B2185)</f>
        <v/>
      </c>
      <c r="Q2151">
        <f>IFERROR(1/(IF(Inputs!$B$39="pvp",15,MAX(0.1,Skills!D9-IF(Skills!E9=TRUE,Inputs!$B$33,0)))*(1-IF(AND(ArtifactsInput!$M$27,Inputs!$B$4="Chapter Hunt"),CHOOSE(ArtifactsInput!$N$27+1,20,24,28,32,36,40),0)/100)),0)</f>
        <v/>
      </c>
      <c r="R2151">
        <f>IF(AND(Inputs!$B$39&lt;&gt;"pvp",Inputs!$B$44&gt;0),IF(MAX(0,Inputs!$B$44-B2182)&lt;=0,0,(INT(MAX(0,Inputs!$B$44-B2182)/(IF(Inputs!$B$39="pvp",15,MAX(0.1,Skills!D9-IF(Skills!E9=TRUE,Inputs!$B$33,0)))*(1-IF(AND(ArtifactsInput!$M$27,Inputs!$B$4="Chapter Hunt"),CHOOSE(ArtifactsInput!$N$27+1,20,24,28,32,36,40),0)/100)))+1)),0)</f>
        <v/>
      </c>
      <c r="S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$21+Skills!O9+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$22+Skills!P9+B2174+(IF(ArtifactsInput!$M$33,CHOOSE(ArtifactsInput!$N$33+1,30,36,42,48,54,60),0)))/100)*(MIN(Skills!Q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2">
      <c r="A2152">
        <f>Skills!A10</f>
        <v/>
      </c>
      <c r="B2152">
        <f>Skills!B10</f>
        <v/>
      </c>
      <c r="C2152">
        <f>Inputs!$B$3&gt;=66</f>
        <v/>
      </c>
      <c r="D2152">
        <f>IF(Skills!C10=1,60+Inputs!$B$26+Inputs!$B$30,IF(Skills!C10=2,90+Inputs!$B$27+Inputs!$B$30,IF(Skills!C10=3,120+Inputs!$B$28+Inputs!$B$30,MAX(0,(Inputs!$B$3-100)*3)+Inputs!$B$29+Inputs!$B$30)))</f>
        <v/>
      </c>
      <c r="E2152">
        <f>INDEX(FactorTable!$B$2:$Y$301, MATCH(ROUND(MIN(300,MAX(1,D2152)),0), FactorTable!$A$2:$A$301,0), Skills!L10+1)</f>
        <v/>
      </c>
      <c r="F2152" t="n">
        <v>0</v>
      </c>
      <c r="G2152">
        <f>Calc!G10</f>
        <v/>
      </c>
      <c r="H2152">
        <f>Calc!H10</f>
        <v/>
      </c>
      <c r="I2152">
        <f>IF(Skills!T10&lt;&gt;"",1+(Skills!T10/10)*($Z$3/1000)/100,1)</f>
        <v/>
      </c>
      <c r="J2152" t="inlineStr"/>
      <c r="K2152" t="inlineStr"/>
      <c r="L2152" t="inlineStr"/>
      <c r="M2152" t="inlineStr"/>
      <c r="N2152" t="inlineStr"/>
      <c r="O2152">
        <f>(1-Summary!$B$11)*S2152+Summary!$B$11*U2152</f>
        <v/>
      </c>
      <c r="P2152">
        <f>IF(B2185=0,0,O2152/B2185)</f>
        <v/>
      </c>
      <c r="Q2152">
        <f>IFERROR(1/(IF(Inputs!$B$39="pvp",15,MAX(0.1,Skills!D10-IF(Skills!E10=TRUE,Inputs!$B$33,0)))*(1-IF(AND(ArtifactsInput!$M$27,Inputs!$B$4="Chapter Hunt"),CHOOSE(ArtifactsInput!$N$27+1,20,24,28,32,36,40),0)/100)),0)</f>
        <v/>
      </c>
      <c r="R2152">
        <f>IF(AND(Inputs!$B$39&lt;&gt;"pvp",Inputs!$B$44&gt;0),IF(MAX(0,Inputs!$B$44-B2182)&lt;=0,0,(INT(MAX(0,Inputs!$B$44-B2182)/(IF(Inputs!$B$39="pvp",15,MAX(0.1,Skills!D10-IF(Skills!E10=TRUE,Inputs!$B$33,0)))*(1-IF(AND(ArtifactsInput!$M$27,Inputs!$B$4="Chapter Hunt"),CHOOSE(ArtifactsInput!$N$27+1,20,24,28,32,36,40),0)/100)))+1)),0)</f>
        <v/>
      </c>
      <c r="S2152" t="n">
        <v>0</v>
      </c>
      <c r="U2152" t="n">
        <v>0</v>
      </c>
    </row>
    <row r="2153">
      <c r="A2153">
        <f>Skills!A11</f>
        <v/>
      </c>
      <c r="B2153">
        <f>Skills!B11</f>
        <v/>
      </c>
      <c r="C2153">
        <f>Inputs!$B$3&gt;=69</f>
        <v/>
      </c>
      <c r="D2153">
        <f>IF(Skills!C11=1,60+Inputs!$B$26+Inputs!$B$30,IF(Skills!C11=2,90+Inputs!$B$27+Inputs!$B$30,IF(Skills!C11=3,120+Inputs!$B$28+Inputs!$B$30,MAX(0,(Inputs!$B$3-100)*3)+Inputs!$B$29+Inputs!$B$30)))</f>
        <v/>
      </c>
      <c r="E2153">
        <f>INDEX(FactorTable!$B$2:$Y$301, MATCH(ROUND(MIN(300,MAX(1,D2153)),0), FactorTable!$A$2:$A$301,0), Skills!L11+1)</f>
        <v/>
      </c>
      <c r="F2153">
        <f>IF(Skills!M11=TRUE,(Skills!K11/10)*(E2153/1000),Skills!K11/10)+Skills!N11</f>
        <v/>
      </c>
      <c r="G2153">
        <f>Calc!G11</f>
        <v/>
      </c>
      <c r="H2153">
        <f>Calc!H11</f>
        <v/>
      </c>
      <c r="I2153">
        <f>IF(Skills!T11&lt;&gt;"",1+(Skills!T11/10)*($Z$3/1000)/100,1)</f>
        <v/>
      </c>
      <c r="J2153" t="inlineStr"/>
      <c r="K2153" t="inlineStr"/>
      <c r="L2153" t="inlineStr"/>
      <c r="M2153" t="inlineStr"/>
      <c r="N2153" t="inlineStr"/>
      <c r="O2153">
        <f>(1-Summary!$B$11)*S2153+Summary!$B$11*U2153</f>
        <v/>
      </c>
      <c r="P2153">
        <f>IF(B2185=0,0,O2153/B2185)</f>
        <v/>
      </c>
      <c r="Q2153">
        <f>IFERROR(1/(IF(Inputs!$B$39="pvp",15,MAX(0.1,Skills!D11-IF(Skills!E11=TRUE,Inputs!$B$33,0)))*(1-IF(AND(ArtifactsInput!$M$27,Inputs!$B$4="Chapter Hunt"),CHOOSE(ArtifactsInput!$N$27+1,20,24,28,32,36,40),0)/100)),0)</f>
        <v/>
      </c>
      <c r="R2153">
        <f>IF(AND(Inputs!$B$39&lt;&gt;"pvp",Inputs!$B$44&gt;0),IF(Inputs!$B$44&lt;=0,0,(INT(Inputs!$B$44/(IF(Inputs!$B$39="pvp",15,MAX(0.1,Skills!D11-IF(Skills!E11=TRUE,Inputs!$B$33,0)))*(1-IF(AND(ArtifactsInput!$M$27,Inputs!$B$4="Chapter Hunt"),CHOOSE(ArtifactsInput!$N$27+1,20,24,28,32,36,40),0)/100)))+1)),0)</f>
        <v/>
      </c>
      <c r="S2153" t="n">
        <v>0</v>
      </c>
      <c r="U2153" t="n">
        <v>0</v>
      </c>
    </row>
    <row r="2154">
      <c r="A2154">
        <f>Skills!A12</f>
        <v/>
      </c>
      <c r="B2154">
        <f>Skills!B12</f>
        <v/>
      </c>
      <c r="C2154">
        <f>Inputs!$B$3&gt;=72</f>
        <v/>
      </c>
      <c r="D2154">
        <f>IF(Skills!C12=1,60+Inputs!$B$26+Inputs!$B$30,IF(Skills!C12=2,90+Inputs!$B$27+Inputs!$B$30,IF(Skills!C12=3,120+Inputs!$B$28+Inputs!$B$30,MAX(0,(Inputs!$B$3-100)*3)+Inputs!$B$29+Inputs!$B$30)))</f>
        <v/>
      </c>
      <c r="E2154">
        <f>INDEX(FactorTable!$B$2:$Y$301, MATCH(ROUND(MIN(300,MAX(1,D2154)),0), FactorTable!$A$2:$A$301,0), Skills!L12+1)</f>
        <v/>
      </c>
      <c r="F2154">
        <f>IF(Skills!M12=TRUE,(Skills!K12/10)*(E2154/1000),Skills!K12/10)+Skills!N12</f>
        <v/>
      </c>
      <c r="G2154">
        <f>Calc!G12</f>
        <v/>
      </c>
      <c r="H2154">
        <f>Calc!H12</f>
        <v/>
      </c>
      <c r="I2154">
        <f>IF(Skills!T12&lt;&gt;"",1+(Skills!T12/10)*($Z$3/1000)/100,1)</f>
        <v/>
      </c>
      <c r="J2154" t="inlineStr"/>
      <c r="K2154" t="inlineStr"/>
      <c r="L2154" t="inlineStr"/>
      <c r="M2154" t="inlineStr"/>
      <c r="N2154" t="inlineStr"/>
      <c r="O2154">
        <f>(1-Summary!$B$11)*S2154+Summary!$B$11*U2154</f>
        <v/>
      </c>
      <c r="P2154">
        <f>IF(B2185=0,0,O2154/B2185)</f>
        <v/>
      </c>
      <c r="Q2154">
        <f>IFERROR(1/(IF(Inputs!$B$39="pvp",15,MAX(0.1,Skills!D12-IF(Skills!E12=TRUE,Inputs!$B$33,0)))*(1-IF(AND(ArtifactsInput!$M$27,Inputs!$B$4="Chapter Hunt"),CHOOSE(ArtifactsInput!$N$27+1,20,24,28,32,36,40),0)/100)),0)</f>
        <v/>
      </c>
      <c r="R2154">
        <f>IF(AND(Inputs!$B$39&lt;&gt;"pvp",Inputs!$B$44&gt;0),IF(MAX(0,Inputs!$B$44-B2182)&lt;=0,0,(INT(MAX(0,Inputs!$B$44-B2182)/(IF(Inputs!$B$39="pvp",15,MAX(0.1,Skills!D12-IF(Skills!E12=TRUE,Inputs!$B$33,0)))*(1-IF(AND(ArtifactsInput!$M$27,Inputs!$B$4="Chapter Hunt"),CHOOSE(ArtifactsInput!$N$27+1,20,24,28,32,36,40),0)/100)))+1)),0)</f>
        <v/>
      </c>
      <c r="S2154" t="n">
        <v>0</v>
      </c>
      <c r="U2154" t="n">
        <v>0</v>
      </c>
    </row>
    <row r="2155">
      <c r="A2155">
        <f>Skills!A13</f>
        <v/>
      </c>
      <c r="B2155">
        <f>Skills!B13</f>
        <v/>
      </c>
      <c r="C2155">
        <f>Inputs!$B$3&gt;=60</f>
        <v/>
      </c>
      <c r="D2155">
        <f>IF(Skills!C13=1,60+Inputs!$B$26+Inputs!$B$30,IF(Skills!C13=2,90+Inputs!$B$27+Inputs!$B$30,IF(Skills!C13=3,120+Inputs!$B$28+Inputs!$B$30,MAX(0,(Inputs!$B$3-100)*3)+Inputs!$B$29+Inputs!$B$30)))</f>
        <v/>
      </c>
      <c r="E2155">
        <f>INDEX(FactorTable!$B$2:$Y$301, MATCH(ROUND(MIN(300,MAX(1,D2155)),0), FactorTable!$A$2:$A$301,0), Skills!L13+1)</f>
        <v/>
      </c>
      <c r="F2155">
        <f>IF(Skills!M13=TRUE,(Skills!K13/10)*(E2155/1000),Skills!K13/10)+Skills!N13</f>
        <v/>
      </c>
      <c r="G2155">
        <f>Calc!G13</f>
        <v/>
      </c>
      <c r="H2155">
        <f>Calc!H13</f>
        <v/>
      </c>
      <c r="I2155">
        <f>IF(Skills!T13&lt;&gt;"",1+(Skills!T13/10)*($Z$3/1000)/100,1)</f>
        <v/>
      </c>
      <c r="J2155" t="inlineStr"/>
      <c r="K2155" t="inlineStr"/>
      <c r="L2155" t="inlineStr"/>
      <c r="M2155" t="inlineStr"/>
      <c r="N2155" t="inlineStr"/>
      <c r="O2155">
        <f>(1-Summary!$B$11)*S2155+Summary!$B$11*U2155</f>
        <v/>
      </c>
      <c r="P2155">
        <f>IF(B2185=0,0,O2155/B2185)</f>
        <v/>
      </c>
      <c r="Q2155">
        <f>IFERROR(1/(IF(Inputs!$B$39="pvp",15,MAX(0.1,Skills!D13-IF(Skills!E13=TRUE,Inputs!$B$33,0)))*(1-IF(AND(ArtifactsInput!$M$27,Inputs!$B$4="Chapter Hunt"),CHOOSE(ArtifactsInput!$N$27+1,20,24,28,32,36,40),0)/100)),0)</f>
        <v/>
      </c>
      <c r="R2155">
        <f>IF(AND(Inputs!$B$39&lt;&gt;"pvp",Inputs!$B$44&gt;0),IF(MAX(0,Inputs!$B$44-B2182)&lt;=0,0,(INT(MAX(0,Inputs!$B$44-B2182)/(IF(Inputs!$B$39="pvp",15,MAX(0.1,Skills!D13-IF(Skills!E13=TRUE,Inputs!$B$33,0)))*(1-IF(AND(ArtifactsInput!$M$27,Inputs!$B$4="Chapter Hunt"),CHOOSE(ArtifactsInput!$N$27+1,20,24,28,32,36,40),0)/100)))+1)),0)</f>
        <v/>
      </c>
      <c r="S2155" t="n">
        <v>0</v>
      </c>
      <c r="U2155" t="n">
        <v>0</v>
      </c>
    </row>
    <row r="2156">
      <c r="A2156">
        <f>Skills!A14</f>
        <v/>
      </c>
      <c r="B2156">
        <f>Skills!B14</f>
        <v/>
      </c>
      <c r="C2156">
        <f>Inputs!$B$3&gt;=107</f>
        <v/>
      </c>
      <c r="D2156">
        <f>IF(Skills!C14=1,60+Inputs!$B$26+Inputs!$B$30,IF(Skills!C14=2,90+Inputs!$B$27+Inputs!$B$30,IF(Skills!C14=3,120+Inputs!$B$28+Inputs!$B$30,MAX(0,(Inputs!$B$3-100)*3)+Inputs!$B$29+Inputs!$B$30)))</f>
        <v/>
      </c>
      <c r="E2156">
        <f>INDEX(FactorTable!$B$2:$Y$301, MATCH(ROUND(MIN(300,MAX(1,D2156)),0), FactorTable!$A$2:$A$301,0), Skills!L14+1)</f>
        <v/>
      </c>
      <c r="F2156">
        <f>IF(Skills!M14=TRUE,(Skills!K14/10)*(E2156/1000),Skills!K14/10)+Skills!N14</f>
        <v/>
      </c>
      <c r="G2156">
        <f>Calc!G14</f>
        <v/>
      </c>
      <c r="H2156">
        <f>Calc!H14</f>
        <v/>
      </c>
      <c r="I2156">
        <f>IF(Skills!T14&lt;&gt;"",1+(Skills!T14/10)*($Z$3/1000)/100,1)</f>
        <v/>
      </c>
      <c r="J2156" t="inlineStr"/>
      <c r="K2156" t="inlineStr"/>
      <c r="L2156" t="inlineStr"/>
      <c r="M2156" t="inlineStr"/>
      <c r="N2156" t="inlineStr"/>
      <c r="O2156">
        <f>(1-Summary!$B$11)*S2156+Summary!$B$11*U2156</f>
        <v/>
      </c>
      <c r="P2156">
        <f>IF(B2185=0,0,O2156/B2185)</f>
        <v/>
      </c>
      <c r="Q2156">
        <f>IFERROR(1/(IF(Inputs!$B$39="pvp",15,MAX(0.1,Skills!D14-IF(Skills!E14=TRUE,Inputs!$B$33,0)))*(1-IF(AND(ArtifactsInput!$M$27,Inputs!$B$4="Chapter Hunt"),CHOOSE(ArtifactsInput!$N$27+1,20,24,28,32,36,40),0)/100)),0)</f>
        <v/>
      </c>
      <c r="R2156">
        <f>IF(AND(Inputs!$B$39&lt;&gt;"pvp",Inputs!$B$44&gt;0),IF(Inputs!$B$44&lt;=0,0,(INT(Inputs!$B$44/(IF(Inputs!$B$39="pvp",15,MAX(0.1,Skills!D14-IF(Skills!E14=TRUE,Inputs!$B$33,0)))*(1-IF(AND(ArtifactsInput!$M$27,Inputs!$B$4="Chapter Hunt"),CHOOSE(ArtifactsInput!$N$27+1,20,24,28,32,36,40),0)/100)))+1)),0)</f>
        <v/>
      </c>
      <c r="S2156" t="n">
        <v>0</v>
      </c>
      <c r="U2156" t="n">
        <v>0</v>
      </c>
    </row>
    <row r="2157">
      <c r="A2157">
        <f>Skills!A15</f>
        <v/>
      </c>
      <c r="B2157">
        <f>Skills!B15</f>
        <v/>
      </c>
      <c r="C2157">
        <f>Inputs!$B$3&gt;=63</f>
        <v/>
      </c>
      <c r="D2157">
        <f>IF(Skills!C15=1,60+Inputs!$B$26+Inputs!$B$30,IF(Skills!C15=2,90+Inputs!$B$27+Inputs!$B$30,IF(Skills!C15=3,120+Inputs!$B$28+Inputs!$B$30,MAX(0,(Inputs!$B$3-100)*3)+Inputs!$B$29+Inputs!$B$30)))</f>
        <v/>
      </c>
      <c r="E2157">
        <f>INDEX(FactorTable!$B$2:$Y$301, MATCH(ROUND(MIN(300,MAX(1,D2157)),0), FactorTable!$A$2:$A$301,0), Skills!L15+1)</f>
        <v/>
      </c>
      <c r="F2157">
        <f>IF(Skills!M15=TRUE,(Skills!K15/10)*(E2157/1000),Skills!K15/10)+Skills!N15</f>
        <v/>
      </c>
      <c r="G2157">
        <f>Calc!G15</f>
        <v/>
      </c>
      <c r="H2157">
        <f>Calc!H15</f>
        <v/>
      </c>
      <c r="I2157">
        <f>IF(Skills!T15&lt;&gt;"",1+(Skills!T15/10)*($Z$3/1000)/100,1)</f>
        <v/>
      </c>
      <c r="J2157">
        <f>((Inputs!$B$6*(1+Inputs!$B$7/100))+(((Inputs!$B$13*(1+Inputs!$B$14/100))-(Inputs!$B$13*(1+Inputs!$B$14/100)))+0.25*(Inputs!$B$15-Inputs!$B$15))*(1+Inputs!$B$7/100))*(F2157/100)</f>
        <v/>
      </c>
      <c r="K2157">
        <f>J2157*(1+(((Inputs!$B$13+IF(Inputs!$B$3&gt;=35,(10*INDEX(FactorTable!$B$2:$Y$301,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15="TRIUMPH_FEATHER",IF(C2158=TRUE,F2158,0),0)/100)*(1+IF(C2169=TRUE,F2169,0)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2157)</f>
        <v/>
      </c>
      <c r="L2157">
        <f>K2157*(MIN(Inputs!$B$23+(F2164-Calc!F22),(Inputs!$B$24+IF(ArtifactsInput!$M$15,CHOOSE(ArtifactsInput!$N$15+1,25,30,35,40,45,50)/100*(Inputs!$B$12-Inputs!$B$12),0)))/100+(Inputs!$B$24+IF(ArtifactsInput!$M$15,CHOOSE(ArtifactsInput!$N$15+1,25,30,35,40,45,50)/100*(Inputs!$B$12-Inputs!$B$12),0))/100)/2</f>
        <v/>
      </c>
      <c r="M2157">
        <f>L2157*(1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7">
        <f>L2157*(1-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2157*(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7">
        <f>(1-Summary!$B$11)*S2157+Summary!$B$11*U2157</f>
        <v/>
      </c>
      <c r="P2157">
        <f>IF(B2185=0,0,O2157/B2185)</f>
        <v/>
      </c>
      <c r="Q2157">
        <f>IFERROR(1/(IF(Inputs!$B$39="pvp",15,MAX(0.1,Skills!D15-IF(Skills!E15=TRUE,Inputs!$B$33,0)))*(1-IF(AND(ArtifactsInput!$M$27,Inputs!$B$4="Chapter Hunt"),CHOOSE(ArtifactsInput!$N$27+1,20,24,28,32,36,40),0)/100)),0)</f>
        <v/>
      </c>
      <c r="R2157" t="n">
        <v>0</v>
      </c>
      <c r="S2157">
        <f>IF(C2157,(Skills!F15*N2157*((IF(Inputs!$B$3&gt;=78,25,15)/100*B2178*10)/(1+IF(Inputs!$B$3&gt;=78,25,15)/100*B2178*10))*(Skills!I15/100*B2178)/(1+Skills!G15*Skills!I15/100*B2178))*IF(Inputs!$B$39="pvp",1,1+(Inputs!$B$21+Skills!O15+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2157*(1-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2157*(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2157*(1-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2157*(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7">
        <f>IF(C2157,(Skills!F15*N2157*((IF(Inputs!$B$3&gt;=78,25,15)/100*B2178*10)/(1+IF(Inputs!$B$3&gt;=78,25,15)/100*B2178*10))*(Skills!I15/100*B2178)/(1+Skills!G15*Skills!I15/100*B2178))*IF(Inputs!$B$39="pvp",1,(1+(Inputs!$B$22+Skills!P15+B2174+(IF(ArtifactsInput!$M$33,CHOOSE(ArtifactsInput!$N$33+1,30,36,42,48,54,60),0)))/100)*(MIN(Skills!Q15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8">
      <c r="A2158">
        <f>Skills!A16</f>
        <v/>
      </c>
      <c r="B2158">
        <f>Skills!B16</f>
        <v/>
      </c>
      <c r="C2158">
        <f>Inputs!$B$3&gt;=100</f>
        <v/>
      </c>
      <c r="D2158">
        <f>IF(Skills!C16=1,60+Inputs!$B$26+Inputs!$B$30,IF(Skills!C16=2,90+Inputs!$B$27+Inputs!$B$30,IF(Skills!C16=3,120+Inputs!$B$28+Inputs!$B$30,MAX(0,(Inputs!$B$3-100)*3)+Inputs!$B$29+Inputs!$B$30)))</f>
        <v/>
      </c>
      <c r="E2158">
        <f>INDEX(FactorTable!$B$2:$Y$301, MATCH(ROUND(MIN(300,MAX(1,D2158)),0), FactorTable!$A$2:$A$301,0), Skills!L16+1)</f>
        <v/>
      </c>
      <c r="F2158">
        <f>IF(Skills!M16=TRUE,(Skills!K16/10)*(E2158/1000),Skills!K16/10)+Skills!N16</f>
        <v/>
      </c>
      <c r="G2158">
        <f>Calc!G16</f>
        <v/>
      </c>
      <c r="H2158">
        <f>Calc!H16</f>
        <v/>
      </c>
      <c r="I2158">
        <f>IF(Skills!T16&lt;&gt;"",1+(Skills!T16/10)*($Z$3/1000)/100,1)</f>
        <v/>
      </c>
      <c r="J2158" t="inlineStr"/>
      <c r="K2158" t="inlineStr"/>
      <c r="L2158" t="inlineStr"/>
      <c r="M2158" t="inlineStr"/>
      <c r="N2158" t="inlineStr"/>
      <c r="O2158">
        <f>(1-Summary!$B$11)*S2158+Summary!$B$11*U2158</f>
        <v/>
      </c>
      <c r="P2158">
        <f>IF(B2185=0,0,O2158/B2185)</f>
        <v/>
      </c>
      <c r="Q2158">
        <f>IFERROR(1/(IF(Inputs!$B$39="pvp",15,MAX(0.1,Skills!D16-IF(Skills!E16=TRUE,Inputs!$B$33,0)))*(1-IF(AND(ArtifactsInput!$M$27,Inputs!$B$4="Chapter Hunt"),CHOOSE(ArtifactsInput!$N$27+1,20,24,28,32,36,40),0)/100)),0)</f>
        <v/>
      </c>
      <c r="R2158" t="n">
        <v>0</v>
      </c>
      <c r="S2158" t="n">
        <v>0</v>
      </c>
      <c r="U2158" t="n">
        <v>0</v>
      </c>
    </row>
    <row r="2159">
      <c r="A2159">
        <f>Skills!A17</f>
        <v/>
      </c>
      <c r="B2159">
        <f>Skills!B17</f>
        <v/>
      </c>
      <c r="C2159">
        <f>Inputs!$B$3&gt;=49</f>
        <v/>
      </c>
      <c r="D2159">
        <f>IF(Skills!C17=1,60+Inputs!$B$26+Inputs!$B$30,IF(Skills!C17=2,90+Inputs!$B$27+Inputs!$B$30,IF(Skills!C17=3,120+Inputs!$B$28+Inputs!$B$30,MAX(0,(Inputs!$B$3-100)*3)+Inputs!$B$29+Inputs!$B$30)))</f>
        <v/>
      </c>
      <c r="E2159">
        <f>INDEX(FactorTable!$B$2:$Y$301, MATCH(ROUND(MIN(300,MAX(1,D2159)),0), FactorTable!$A$2:$A$301,0), Skills!L17+1)</f>
        <v/>
      </c>
      <c r="F2159">
        <f>IF(Skills!M17=TRUE,(Skills!K17/10)*(E2159/1000),Skills!K17/10)+Skills!N17</f>
        <v/>
      </c>
      <c r="G2159">
        <f>Calc!G17</f>
        <v/>
      </c>
      <c r="H2159">
        <f>Calc!H17</f>
        <v/>
      </c>
      <c r="I2159">
        <f>IF(Skills!T17&lt;&gt;"",1+(Skills!T17/10)*($Z$3/1000)/100,1)</f>
        <v/>
      </c>
      <c r="J2159" t="inlineStr"/>
      <c r="K2159" t="inlineStr"/>
      <c r="L2159" t="inlineStr"/>
      <c r="M2159" t="inlineStr"/>
      <c r="N2159" t="inlineStr"/>
      <c r="O2159">
        <f>(1-Summary!$B$11)*S2159+Summary!$B$11*U2159</f>
        <v/>
      </c>
      <c r="P2159">
        <f>IF(B2185=0,0,O2159/B2185)</f>
        <v/>
      </c>
      <c r="Q2159">
        <f>IFERROR(1/(IF(Inputs!$B$39="pvp",15,MAX(0.1,Skills!D17-IF(Skills!E17=TRUE,Inputs!$B$33,0)))*(1-IF(AND(ArtifactsInput!$M$27,Inputs!$B$4="Chapter Hunt"),CHOOSE(ArtifactsInput!$N$27+1,20,24,28,32,36,40),0)/100)),0)</f>
        <v/>
      </c>
      <c r="R2159" t="n">
        <v>0</v>
      </c>
      <c r="S2159" t="n">
        <v>0</v>
      </c>
      <c r="U2159" t="n">
        <v>0</v>
      </c>
    </row>
    <row r="2160">
      <c r="A2160">
        <f>Skills!A18</f>
        <v/>
      </c>
      <c r="B2160">
        <f>Skills!B18</f>
        <v/>
      </c>
      <c r="C2160">
        <f>Inputs!$B$3&gt;=75</f>
        <v/>
      </c>
      <c r="D2160">
        <f>IF(Skills!C18=1,60+Inputs!$B$26+Inputs!$B$30,IF(Skills!C18=2,90+Inputs!$B$27+Inputs!$B$30,IF(Skills!C18=3,120+Inputs!$B$28+Inputs!$B$30,MAX(0,(Inputs!$B$3-100)*3)+Inputs!$B$29+Inputs!$B$30)))</f>
        <v/>
      </c>
      <c r="E2160">
        <f>INDEX(FactorTable!$B$2:$Y$301, MATCH(ROUND(MIN(300,MAX(1,D2160)),0), FactorTable!$A$2:$A$301,0), Skills!L18+1)</f>
        <v/>
      </c>
      <c r="F2160">
        <f>IF(Skills!M18=TRUE,(Skills!K18/10)*(E2160/1000),Skills!K18/10)+Skills!N18</f>
        <v/>
      </c>
      <c r="G2160">
        <f>Calc!G18</f>
        <v/>
      </c>
      <c r="H2160">
        <f>Calc!H18</f>
        <v/>
      </c>
      <c r="I2160">
        <f>IF(Skills!T18&lt;&gt;"",1+(Skills!T18/10)*($Z$3/1000)/100,1)</f>
        <v/>
      </c>
      <c r="J2160" t="inlineStr"/>
      <c r="K2160" t="inlineStr"/>
      <c r="L2160" t="inlineStr"/>
      <c r="M2160" t="inlineStr"/>
      <c r="N2160" t="inlineStr"/>
      <c r="O2160">
        <f>(1-Summary!$B$11)*S2160+Summary!$B$11*U2160</f>
        <v/>
      </c>
      <c r="P2160">
        <f>IF(B2185=0,0,O2160/B2185)</f>
        <v/>
      </c>
      <c r="Q2160">
        <f>IFERROR(1/(IF(Inputs!$B$39="pvp",15,MAX(0.1,Skills!D18-IF(Skills!E18=TRUE,Inputs!$B$33,0)))*(1-IF(AND(ArtifactsInput!$M$27,Inputs!$B$4="Chapter Hunt"),CHOOSE(ArtifactsInput!$N$27+1,20,24,28,32,36,40),0)/100)),0)</f>
        <v/>
      </c>
      <c r="R2160" t="n">
        <v>0</v>
      </c>
      <c r="S2160" t="n">
        <v>0</v>
      </c>
      <c r="U2160" t="n">
        <v>0</v>
      </c>
    </row>
    <row r="2161">
      <c r="A2161">
        <f>Skills!A19</f>
        <v/>
      </c>
      <c r="B2161">
        <f>Skills!B19</f>
        <v/>
      </c>
      <c r="C2161">
        <f>Inputs!$B$3&gt;=110</f>
        <v/>
      </c>
      <c r="D2161">
        <f>IF(Skills!C19=1,60+Inputs!$B$26+Inputs!$B$30,IF(Skills!C19=2,90+Inputs!$B$27+Inputs!$B$30,IF(Skills!C19=3,120+Inputs!$B$28+Inputs!$B$30,MAX(0,(Inputs!$B$3-100)*3)+Inputs!$B$29+Inputs!$B$30)))</f>
        <v/>
      </c>
      <c r="E2161">
        <f>INDEX(FactorTable!$B$2:$Y$301, MATCH(ROUND(MIN(300,MAX(1,D2161)),0), FactorTable!$A$2:$A$301,0), Skills!L19+1)</f>
        <v/>
      </c>
      <c r="F2161">
        <f>(Skills!K19/10)*(E2161/1000)*64/45+Skills!N19</f>
        <v/>
      </c>
      <c r="G2161">
        <f>Calc!G19</f>
        <v/>
      </c>
      <c r="H2161">
        <f>Calc!H19</f>
        <v/>
      </c>
      <c r="I2161">
        <f>IF(Skills!T19&lt;&gt;"",1+(Skills!T19/10)*($Z$3/1000)/100,1)</f>
        <v/>
      </c>
      <c r="J2161" t="inlineStr"/>
      <c r="K2161" t="inlineStr"/>
      <c r="L2161" t="inlineStr"/>
      <c r="M2161" t="inlineStr"/>
      <c r="N2161" t="inlineStr"/>
      <c r="O2161">
        <f>(1-Summary!$B$11)*S2161+Summary!$B$11*U2161</f>
        <v/>
      </c>
      <c r="P2161">
        <f>IF(B2185=0,0,O2161/B2185)</f>
        <v/>
      </c>
      <c r="Q2161">
        <f>IFERROR(1/(IF(Inputs!$B$39="pvp",15,MAX(0.1,Skills!D19-IF(Skills!E19=TRUE,Inputs!$B$33,0)))*(1-IF(AND(ArtifactsInput!$M$27,Inputs!$B$4="Chapter Hunt"),CHOOSE(ArtifactsInput!$N$27+1,20,24,28,32,36,40),0)/100)),0)</f>
        <v/>
      </c>
      <c r="R2161">
        <f>IF(AND(Inputs!$B$39&lt;&gt;"pvp",Inputs!$B$44&gt;0),IF(Inputs!$B$44&lt;=0,0,(INT(Inputs!$B$44/(IF(Inputs!$B$39="pvp",15,MAX(0.1,Skills!D19-IF(Skills!E19=TRUE,Inputs!$B$33,0)))*(1-IF(AND(ArtifactsInput!$M$27,Inputs!$B$4="Chapter Hunt"),CHOOSE(ArtifactsInput!$N$27+1,20,24,28,32,36,40),0)/100)))+1)),0)</f>
        <v/>
      </c>
      <c r="S2161" t="n">
        <v>0</v>
      </c>
      <c r="U2161" t="n">
        <v>0</v>
      </c>
    </row>
    <row r="2162">
      <c r="A2162">
        <f>Skills!A20</f>
        <v/>
      </c>
      <c r="B2162">
        <f>Skills!B20</f>
        <v/>
      </c>
      <c r="C2162">
        <f>Inputs!$B$3&gt;=125</f>
        <v/>
      </c>
      <c r="D2162">
        <f>IF(Skills!C20=1,60+Inputs!$B$26+Inputs!$B$30,IF(Skills!C20=2,90+Inputs!$B$27+Inputs!$B$30,IF(Skills!C20=3,120+Inputs!$B$28+Inputs!$B$30,MAX(0,(Inputs!$B$3-100)*3)+Inputs!$B$29+Inputs!$B$30)))</f>
        <v/>
      </c>
      <c r="E2162">
        <f>INDEX(FactorTable!$B$2:$Y$301, MATCH(ROUND(MIN(300,MAX(1,D2162)),0), FactorTable!$A$2:$A$301,0), Skills!L20+1)</f>
        <v/>
      </c>
      <c r="F2162">
        <f>IF(Skills!M20=TRUE,(Skills!K20/10)*(E2162/1000),Skills!K20/10)+Skills!N20</f>
        <v/>
      </c>
      <c r="G2162">
        <f>Calc!G20</f>
        <v/>
      </c>
      <c r="H2162">
        <f>Calc!H20</f>
        <v/>
      </c>
      <c r="I2162">
        <f>IF(Skills!T20&lt;&gt;"",1+(Skills!T20/10)*($Z$3/1000)/100,1)</f>
        <v/>
      </c>
      <c r="J2162" t="inlineStr"/>
      <c r="K2162" t="inlineStr"/>
      <c r="L2162" t="inlineStr"/>
      <c r="M2162" t="inlineStr"/>
      <c r="N2162" t="inlineStr"/>
      <c r="O2162">
        <f>(1-Summary!$B$11)*S2162+Summary!$B$11*U2162</f>
        <v/>
      </c>
      <c r="P2162">
        <f>IF(B2185=0,0,O2162/B2185)</f>
        <v/>
      </c>
      <c r="Q2162">
        <f>IFERROR(1/(IF(Inputs!$B$39="pvp",15,MAX(0.1,Skills!D20-IF(Skills!E20=TRUE,Inputs!$B$33,0)))*(1-IF(AND(ArtifactsInput!$M$27,Inputs!$B$4="Chapter Hunt"),CHOOSE(ArtifactsInput!$N$27+1,20,24,28,32,36,40),0)/100)),0)</f>
        <v/>
      </c>
      <c r="R2162" t="n">
        <v>0</v>
      </c>
      <c r="S2162" t="n">
        <v>0</v>
      </c>
      <c r="U2162" t="n">
        <v>0</v>
      </c>
    </row>
    <row r="2163">
      <c r="A2163">
        <f>Skills!A21</f>
        <v/>
      </c>
      <c r="B2163">
        <f>Skills!B21</f>
        <v/>
      </c>
      <c r="C2163">
        <f>Inputs!$B$3&gt;=33</f>
        <v/>
      </c>
      <c r="D2163">
        <f>IF(Skills!C21=1,60+Inputs!$B$26+Inputs!$B$30,IF(Skills!C21=2,90+Inputs!$B$27+Inputs!$B$30,IF(Skills!C21=3,120+Inputs!$B$28+Inputs!$B$30,MAX(0,(Inputs!$B$3-100)*3)+Inputs!$B$29+Inputs!$B$30)))</f>
        <v/>
      </c>
      <c r="E2163">
        <f>INDEX(FactorTable!$B$2:$Y$301, MATCH(ROUND(MIN(300,MAX(1,D2163)),0), FactorTable!$A$2:$A$301,0), Skills!L21+1)</f>
        <v/>
      </c>
      <c r="F2163">
        <f>IF(Skills!M21=TRUE,(Skills!K21/10)*(E2163/1000),Skills!K21/10)+Skills!N21</f>
        <v/>
      </c>
      <c r="G2163">
        <f>Calc!G21</f>
        <v/>
      </c>
      <c r="H2163">
        <f>Calc!H21</f>
        <v/>
      </c>
      <c r="I2163">
        <f>IF(Skills!T21&lt;&gt;"",1+(Skills!T21/10)*($Z$3/1000)/100,1)</f>
        <v/>
      </c>
      <c r="J2163" t="inlineStr"/>
      <c r="K2163" t="inlineStr"/>
      <c r="L2163" t="inlineStr"/>
      <c r="M2163" t="inlineStr"/>
      <c r="N2163" t="inlineStr"/>
      <c r="O2163">
        <f>(1-Summary!$B$11)*S2163+Summary!$B$11*U2163</f>
        <v/>
      </c>
      <c r="P2163">
        <f>IF(B2185=0,0,O2163/B2185)</f>
        <v/>
      </c>
      <c r="Q2163">
        <f>IFERROR(1/(IF(Inputs!$B$39="pvp",15,MAX(0.1,Skills!D21-IF(Skills!E21=TRUE,Inputs!$B$33,0)))*(1-IF(AND(ArtifactsInput!$M$27,Inputs!$B$4="Chapter Hunt"),CHOOSE(ArtifactsInput!$N$27+1,20,24,28,32,36,40),0)/100)),0)</f>
        <v/>
      </c>
      <c r="R2163" t="n">
        <v>0</v>
      </c>
      <c r="S2163" t="n">
        <v>0</v>
      </c>
      <c r="U2163" t="n">
        <v>0</v>
      </c>
    </row>
    <row r="2164">
      <c r="A2164">
        <f>Skills!A22</f>
        <v/>
      </c>
      <c r="B2164">
        <f>Skills!B22</f>
        <v/>
      </c>
      <c r="C2164">
        <f>Inputs!$B$3&gt;=43</f>
        <v/>
      </c>
      <c r="D2164">
        <f>IF(Skills!C22=1,60+Inputs!$B$26+Inputs!$B$30,IF(Skills!C22=2,90+Inputs!$B$27+Inputs!$B$30,IF(Skills!C22=3,120+Inputs!$B$28+Inputs!$B$30,MAX(0,(Inputs!$B$3-100)*3)+Inputs!$B$29+Inputs!$B$30)))</f>
        <v/>
      </c>
      <c r="E2164">
        <f>INDEX(FactorTable!$B$2:$Y$301, MATCH(ROUND(MIN(300,MAX(1,D2164)),0), FactorTable!$A$2:$A$301,0), Skills!L22+1)</f>
        <v/>
      </c>
      <c r="F2164">
        <f>IF(Skills!M22=TRUE,(Skills!K22/10)*(E2164/1000),Skills!K22/10)+Skills!N22</f>
        <v/>
      </c>
      <c r="G2164">
        <f>Calc!G22</f>
        <v/>
      </c>
      <c r="H2164">
        <f>Calc!H22</f>
        <v/>
      </c>
      <c r="I2164">
        <f>IF(Skills!T22&lt;&gt;"",1+(Skills!T22/10)*($Z$3/1000)/100,1)</f>
        <v/>
      </c>
      <c r="J2164" t="inlineStr"/>
      <c r="K2164" t="inlineStr"/>
      <c r="L2164" t="inlineStr"/>
      <c r="M2164" t="inlineStr"/>
      <c r="N2164" t="inlineStr"/>
      <c r="O2164">
        <f>(1-Summary!$B$11)*S2164+Summary!$B$11*U2164</f>
        <v/>
      </c>
      <c r="P2164">
        <f>IF(B2185=0,0,O2164/B2185)</f>
        <v/>
      </c>
      <c r="Q2164">
        <f>IFERROR(1/(IF(Inputs!$B$39="pvp",15,MAX(0.1,Skills!D22-IF(Skills!E22=TRUE,Inputs!$B$33,0)))*(1-IF(AND(ArtifactsInput!$M$27,Inputs!$B$4="Chapter Hunt"),CHOOSE(ArtifactsInput!$N$27+1,20,24,28,32,36,40),0)/100)),0)</f>
        <v/>
      </c>
      <c r="R2164" t="n">
        <v>0</v>
      </c>
      <c r="S2164" t="n">
        <v>0</v>
      </c>
      <c r="U2164" t="n">
        <v>0</v>
      </c>
    </row>
    <row r="2165">
      <c r="A2165">
        <f>Skills!A23</f>
        <v/>
      </c>
      <c r="B2165">
        <f>Skills!B23</f>
        <v/>
      </c>
      <c r="C2165">
        <f>Inputs!$B$3&gt;=50</f>
        <v/>
      </c>
      <c r="D2165">
        <f>IF(Skills!C23=1,60+Inputs!$B$26+Inputs!$B$30,IF(Skills!C23=2,90+Inputs!$B$27+Inputs!$B$30,IF(Skills!C23=3,120+Inputs!$B$28+Inputs!$B$30,MAX(0,(Inputs!$B$3-100)*3)+Inputs!$B$29+Inputs!$B$30)))</f>
        <v/>
      </c>
      <c r="E2165">
        <f>INDEX(FactorTable!$B$2:$Y$301, MATCH(ROUND(MIN(300,MAX(1,D2165)),0), FactorTable!$A$2:$A$301,0), Skills!L23+1)</f>
        <v/>
      </c>
      <c r="F2165">
        <f>IF(Skills!M23=TRUE,(Skills!K23/10)*(E2165/1000),Skills!K23/10)+Skills!N23</f>
        <v/>
      </c>
      <c r="G2165">
        <f>Calc!G23</f>
        <v/>
      </c>
      <c r="H2165">
        <f>Calc!H23</f>
        <v/>
      </c>
      <c r="I2165">
        <f>IF(Skills!T23&lt;&gt;"",1+(Skills!T23/10)*($Z$3/1000)/100,1)</f>
        <v/>
      </c>
      <c r="J2165" t="inlineStr"/>
      <c r="K2165" t="inlineStr"/>
      <c r="L2165" t="inlineStr"/>
      <c r="M2165" t="inlineStr"/>
      <c r="N2165" t="inlineStr"/>
      <c r="O2165">
        <f>(1-Summary!$B$11)*S2165+Summary!$B$11*U2165</f>
        <v/>
      </c>
      <c r="P2165">
        <f>IF(B2185=0,0,O2165/B2185)</f>
        <v/>
      </c>
      <c r="Q2165">
        <f>IFERROR(1/(IF(Inputs!$B$39="pvp",15,MAX(0.1,Skills!D23-IF(Skills!E23=TRUE,Inputs!$B$33,0)))*(1-IF(AND(ArtifactsInput!$M$27,Inputs!$B$4="Chapter Hunt"),CHOOSE(ArtifactsInput!$N$27+1,20,24,28,32,36,40),0)/100)),0)</f>
        <v/>
      </c>
      <c r="R2165" t="n">
        <v>0</v>
      </c>
      <c r="S2165" t="n">
        <v>0</v>
      </c>
      <c r="U2165" t="n">
        <v>0</v>
      </c>
    </row>
    <row r="2166">
      <c r="A2166">
        <f>Skills!A24</f>
        <v/>
      </c>
      <c r="B2166">
        <f>Skills!B24</f>
        <v/>
      </c>
      <c r="C2166">
        <f>Inputs!$B$3&gt;=74</f>
        <v/>
      </c>
      <c r="D2166">
        <f>IF(Skills!C24=1,60+Inputs!$B$26+Inputs!$B$30,IF(Skills!C24=2,90+Inputs!$B$27+Inputs!$B$30,IF(Skills!C24=3,120+Inputs!$B$28+Inputs!$B$30,MAX(0,(Inputs!$B$3-100)*3)+Inputs!$B$29+Inputs!$B$30)))</f>
        <v/>
      </c>
      <c r="E2166">
        <f>INDEX(FactorTable!$B$2:$Y$301, MATCH(ROUND(MIN(300,MAX(1,D2166)),0), FactorTable!$A$2:$A$301,0), Skills!L24+1)</f>
        <v/>
      </c>
      <c r="F2166">
        <f>IF(Skills!M24=TRUE,(Skills!K24/10)*(E2166/1000),Skills!K24/10)+Skills!N24</f>
        <v/>
      </c>
      <c r="G2166">
        <f>Calc!G24</f>
        <v/>
      </c>
      <c r="H2166">
        <f>Calc!H24</f>
        <v/>
      </c>
      <c r="I2166">
        <f>IF(Skills!T24&lt;&gt;"",1+(Skills!T24/10)*($Z$3/1000)/100,1)</f>
        <v/>
      </c>
      <c r="J2166" t="inlineStr"/>
      <c r="K2166" t="inlineStr"/>
      <c r="L2166" t="inlineStr"/>
      <c r="M2166" t="inlineStr"/>
      <c r="N2166" t="inlineStr"/>
      <c r="O2166">
        <f>(1-Summary!$B$11)*S2166+Summary!$B$11*U2166</f>
        <v/>
      </c>
      <c r="P2166">
        <f>IF(B2185=0,0,O2166/B2185)</f>
        <v/>
      </c>
      <c r="Q2166">
        <f>IFERROR(1/(IF(Inputs!$B$39="pvp",15,MAX(0.1,Skills!D24-IF(Skills!E24=TRUE,Inputs!$B$33,0)))*(1-IF(AND(ArtifactsInput!$M$27,Inputs!$B$4="Chapter Hunt"),CHOOSE(ArtifactsInput!$N$27+1,20,24,28,32,36,40),0)/100)),0)</f>
        <v/>
      </c>
      <c r="R2166" t="n">
        <v>0</v>
      </c>
      <c r="S2166" t="n">
        <v>0</v>
      </c>
      <c r="U2166" t="n">
        <v>0</v>
      </c>
    </row>
    <row r="2167">
      <c r="A2167">
        <f>Skills!A25</f>
        <v/>
      </c>
      <c r="B2167">
        <f>Skills!B25</f>
        <v/>
      </c>
      <c r="C2167">
        <f>Inputs!$B$3&gt;=74</f>
        <v/>
      </c>
      <c r="D2167">
        <f>IF(Skills!C25=1,60+Inputs!$B$26+Inputs!$B$30,IF(Skills!C25=2,90+Inputs!$B$27+Inputs!$B$30,IF(Skills!C25=3,120+Inputs!$B$28+Inputs!$B$30,MAX(0,(Inputs!$B$3-100)*3)+Inputs!$B$29+Inputs!$B$30)))</f>
        <v/>
      </c>
      <c r="E2167">
        <f>INDEX(FactorTable!$B$2:$Y$301, MATCH(ROUND(MIN(300,MAX(1,D2167)),0), FactorTable!$A$2:$A$301,0), Skills!L25+1)</f>
        <v/>
      </c>
      <c r="F2167">
        <f>IF(Skills!M25=TRUE,(Skills!K25/10)*(E2167/1000),Skills!K25/10)+Skills!N25</f>
        <v/>
      </c>
      <c r="G2167">
        <f>Calc!G25</f>
        <v/>
      </c>
      <c r="H2167">
        <f>Calc!H25</f>
        <v/>
      </c>
      <c r="I2167">
        <f>IF(Skills!T25&lt;&gt;"",1+(Skills!T25/10)*($Z$3/1000)/100,1)</f>
        <v/>
      </c>
      <c r="J2167" t="inlineStr"/>
      <c r="K2167" t="inlineStr"/>
      <c r="L2167" t="inlineStr"/>
      <c r="M2167" t="inlineStr"/>
      <c r="N2167" t="inlineStr"/>
      <c r="O2167">
        <f>(1-Summary!$B$11)*S2167+Summary!$B$11*U2167</f>
        <v/>
      </c>
      <c r="P2167">
        <f>IF(B2185=0,0,O2167/B2185)</f>
        <v/>
      </c>
      <c r="Q2167">
        <f>IFERROR(1/(IF(Inputs!$B$39="pvp",15,MAX(0.1,Skills!D25-IF(Skills!E25=TRUE,Inputs!$B$33,0)))*(1-IF(AND(ArtifactsInput!$M$27,Inputs!$B$4="Chapter Hunt"),CHOOSE(ArtifactsInput!$N$27+1,20,24,28,32,36,40),0)/100)),0)</f>
        <v/>
      </c>
      <c r="R2167" t="n">
        <v>0</v>
      </c>
      <c r="S2167" t="n">
        <v>0</v>
      </c>
      <c r="U2167" t="n">
        <v>0</v>
      </c>
    </row>
    <row r="2168">
      <c r="A2168">
        <f>Skills!A26</f>
        <v/>
      </c>
      <c r="B2168">
        <f>Skills!B26</f>
        <v/>
      </c>
      <c r="C2168">
        <f>Inputs!$B$3&gt;=117</f>
        <v/>
      </c>
      <c r="D2168">
        <f>IF(Skills!C26=1,60+Inputs!$B$26+Inputs!$B$30,IF(Skills!C26=2,90+Inputs!$B$27+Inputs!$B$30,IF(Skills!C26=3,120+Inputs!$B$28+Inputs!$B$30,MAX(0,(Inputs!$B$3-100)*3)+Inputs!$B$29+Inputs!$B$30)))</f>
        <v/>
      </c>
      <c r="E2168">
        <f>INDEX(FactorTable!$B$2:$Y$301, MATCH(ROUND(MIN(300,MAX(1,D2168)),0), FactorTable!$A$2:$A$301,0), Skills!L26+1)</f>
        <v/>
      </c>
      <c r="F2168">
        <f>IF(Skills!M26=TRUE,(Skills!K26/10)*(E2168/1000),Skills!K26/10)+Skills!N26</f>
        <v/>
      </c>
      <c r="G2168">
        <f>Calc!G26</f>
        <v/>
      </c>
      <c r="H2168">
        <f>Calc!H26</f>
        <v/>
      </c>
      <c r="I2168">
        <f>IF(Skills!T26&lt;&gt;"",1+(Skills!T26/10)*($Z$3/1000)/100,1)</f>
        <v/>
      </c>
      <c r="J2168" t="inlineStr"/>
      <c r="K2168" t="inlineStr"/>
      <c r="L2168" t="inlineStr"/>
      <c r="M2168" t="inlineStr"/>
      <c r="N2168" t="inlineStr"/>
      <c r="O2168">
        <f>(1-Summary!$B$11)*S2168+Summary!$B$11*U2168</f>
        <v/>
      </c>
      <c r="P2168">
        <f>IF(B2185=0,0,O2168/B2185)</f>
        <v/>
      </c>
      <c r="Q2168">
        <f>IFERROR(1/(IF(Inputs!$B$39="pvp",15,MAX(0.1,Skills!D26-IF(Skills!E26=TRUE,Inputs!$B$33,0)))*(1-IF(AND(ArtifactsInput!$M$27,Inputs!$B$4="Chapter Hunt"),CHOOSE(ArtifactsInput!$N$27+1,20,24,28,32,36,40),0)/100)),0)</f>
        <v/>
      </c>
      <c r="R2168" t="n">
        <v>0</v>
      </c>
      <c r="S2168" t="n">
        <v>0</v>
      </c>
      <c r="U2168" t="n">
        <v>0</v>
      </c>
    </row>
    <row r="2169">
      <c r="A2169">
        <f>Skills!A27</f>
        <v/>
      </c>
      <c r="B2169">
        <f>Skills!B27</f>
        <v/>
      </c>
      <c r="C2169">
        <f>Inputs!$B$3&gt;=120</f>
        <v/>
      </c>
      <c r="D2169">
        <f>IF(Skills!C27=1,60+Inputs!$B$26+Inputs!$B$30,IF(Skills!C27=2,90+Inputs!$B$27+Inputs!$B$30,IF(Skills!C27=3,120+Inputs!$B$28+Inputs!$B$30,MAX(0,(Inputs!$B$3-100)*3)+Inputs!$B$29+Inputs!$B$30)))</f>
        <v/>
      </c>
      <c r="E2169">
        <f>INDEX(FactorTable!$B$2:$Y$301, MATCH(ROUND(MIN(300,MAX(1,D2169)),0), FactorTable!$A$2:$A$301,0), Skills!L27+1)</f>
        <v/>
      </c>
      <c r="F2169">
        <f>IF(Skills!M27=TRUE,(Skills!K27/10)*(E2169/1000),Skills!K27/10)+Skills!N27</f>
        <v/>
      </c>
      <c r="G2169">
        <f>Calc!G27</f>
        <v/>
      </c>
      <c r="H2169">
        <f>Calc!H27</f>
        <v/>
      </c>
      <c r="I2169">
        <f>IF(Skills!T27&lt;&gt;"",1+(Skills!T27/10)*($Z$3/1000)/100,1)</f>
        <v/>
      </c>
      <c r="J2169" t="inlineStr"/>
      <c r="K2169" t="inlineStr"/>
      <c r="L2169" t="inlineStr"/>
      <c r="M2169" t="inlineStr"/>
      <c r="N2169" t="inlineStr"/>
      <c r="O2169">
        <f>(1-Summary!$B$11)*S2169+Summary!$B$11*U2169</f>
        <v/>
      </c>
      <c r="P2169">
        <f>IF(B2185=0,0,O2169/B2185)</f>
        <v/>
      </c>
      <c r="Q2169">
        <f>IFERROR(1/(IF(Inputs!$B$39="pvp",15,MAX(0.1,Skills!D27-IF(Skills!E27=TRUE,Inputs!$B$33,0)))*(1-IF(AND(ArtifactsInput!$M$27,Inputs!$B$4="Chapter Hunt"),CHOOSE(ArtifactsInput!$N$27+1,20,24,28,32,36,40),0)/100)),0)</f>
        <v/>
      </c>
      <c r="R2169" t="n">
        <v>0</v>
      </c>
      <c r="S2169" t="n">
        <v>0</v>
      </c>
      <c r="U2169" t="n">
        <v>0</v>
      </c>
    </row>
    <row r="2170">
      <c r="A2170">
        <f>Skills!A28</f>
        <v/>
      </c>
      <c r="B2170">
        <f>Skills!B28</f>
        <v/>
      </c>
      <c r="C2170">
        <f>TRUE</f>
        <v/>
      </c>
      <c r="D2170">
        <f>IF(Skills!C28=1,60+Inputs!$B$26+Inputs!$B$30,IF(Skills!C28=2,90+Inputs!$B$27+Inputs!$B$30,IF(Skills!C28=3,120+Inputs!$B$28+Inputs!$B$30,MAX(0,(Inputs!$B$3-100)*3)+Inputs!$B$29+Inputs!$B$30)))</f>
        <v/>
      </c>
      <c r="E2170">
        <f>INDEX(FactorTable!$B$2:$Y$301, MATCH(ROUND(MIN(300,MAX(1,D2170)),0), FactorTable!$A$2:$A$301,0), Skills!L28+1)</f>
        <v/>
      </c>
      <c r="F2170">
        <f>IF(Skills!M28=TRUE,(Skills!K28/10)*(E2170/1000),Skills!K28/10)+Skills!N28</f>
        <v/>
      </c>
      <c r="G2170">
        <f>Calc!G28</f>
        <v/>
      </c>
      <c r="H2170">
        <f>Calc!H28</f>
        <v/>
      </c>
      <c r="I2170">
        <f>IF(Skills!T28&lt;&gt;"",1+(Skills!T28/10)*($Z$3/1000)/100,1)</f>
        <v/>
      </c>
      <c r="J2170" t="inlineStr"/>
      <c r="K2170" t="inlineStr"/>
      <c r="L2170" t="inlineStr"/>
      <c r="M2170" t="inlineStr"/>
      <c r="N2170" t="inlineStr"/>
      <c r="O2170">
        <f>(1-Summary!$B$11)*S2170+Summary!$B$11*U2170</f>
        <v/>
      </c>
      <c r="P2170">
        <f>IF(B2185=0,0,O2170/B2185)</f>
        <v/>
      </c>
      <c r="Q2170">
        <f>IFERROR(1/(IF(Inputs!$B$39="pvp",15,MAX(0.1,Skills!D28-IF(Skills!E28=TRUE,Inputs!$B$33,0)))*(1-IF(AND(ArtifactsInput!$M$27,Inputs!$B$4="Chapter Hunt"),CHOOSE(ArtifactsInput!$N$27+1,20,24,28,32,36,40),0)/100)),0)</f>
        <v/>
      </c>
      <c r="R2170">
        <f>IF(AND(Inputs!$B$39&lt;&gt;"pvp",Inputs!$B$44&gt;0),IF(Inputs!$B$44&lt;=0,0,(INT(Inputs!$B$44/(IF(Inputs!$B$39="pvp",15,MAX(0.1,Skills!D28-IF(Skills!E28=TRUE,Inputs!$B$33,0)))*(1-IF(AND(ArtifactsInput!$M$27,Inputs!$B$4="Chapter Hunt"),CHOOSE(ArtifactsInput!$N$27+1,20,24,28,32,36,40),0)/100)))+1)),0)</f>
        <v/>
      </c>
      <c r="S2170" t="n">
        <v>0</v>
      </c>
      <c r="U2170" t="n">
        <v>0</v>
      </c>
    </row>
    <row r="2172">
      <c r="A2172" t="inlineStr">
        <is>
          <t>Average Buff Multiplier</t>
        </is>
      </c>
      <c r="B2172">
        <f>(1+(IF(C2145=TRUE,F2145*IF(AND(Inputs!$B$39&lt;&gt;"pvp",Inputs!$B$44&gt;0),(((R2145-1)*(Skills!S3*(1+((Inputs!$B$35+(ArtifactsInput!$M$7-ArtifactsInput!$M$7)*CHOOSE(ArtifactsInput!$N$7+1,6,7.2,8.4,9.6,10.8,12))+IF(Inputs!$B$3&gt;=117,F2168,0))/100))+MIN((Skills!S3*(1+((Inputs!$B$35+(ArtifactsInput!$M$7-ArtifactsInput!$M$7)*CHOOSE(ArtifactsInput!$N$7+1,6,7.2,8.4,9.6,10.8,12))+IF(Inputs!$B$3&gt;=117,F2168,0))/100)),MAX(0,Inputs!$B$44-((R2145-1)*Skills!D3))))/Inputs!$B$44),IF(Inputs!$B$39="pvp",MIN((Skills!S3*(1+((Inputs!$B$35+(ArtifactsInput!$M$7-ArtifactsInput!$M$7)*CHOOSE(ArtifactsInput!$N$7+1,6,7.2,8.4,9.6,10.8,12))+IF(Inputs!$B$3&gt;=117,F2168,0))/100)),15)/15,(Skills!S3*(1+((Inputs!$B$35+(ArtifactsInput!$M$7-ArtifactsInput!$M$7)*CHOOSE(ArtifactsInput!$N$7+1,6,7.2,8.4,9.6,10.8,12))+IF(Inputs!$B$3&gt;=117,F2168,0))/100))/Skills!D3)),0)+IF(C2146=TRUE,F2146*IF(AND(Inputs!$B$39&lt;&gt;"pvp",Inputs!$B$44&gt;0),(((R2146-1)*(Skills!S4*(1+((Inputs!$B$35+(ArtifactsInput!$M$7-ArtifactsInput!$M$7)*CHOOSE(ArtifactsInput!$N$7+1,6,7.2,8.4,9.6,10.8,12))+IF(Inputs!$B$3&gt;=117,F2168,0))/100))+MIN((Skills!S4*(1+((Inputs!$B$35+(ArtifactsInput!$M$7-ArtifactsInput!$M$7)*CHOOSE(ArtifactsInput!$N$7+1,6,7.2,8.4,9.6,10.8,12))+IF(Inputs!$B$3&gt;=117,F2168,0))/100)),MAX(0,Inputs!$B$44-((R2146-1)*Skills!D4))))/Inputs!$B$44),IF(Inputs!$B$39="pvp",MIN((Skills!S4*(1+((Inputs!$B$35+(ArtifactsInput!$M$7-ArtifactsInput!$M$7)*CHOOSE(ArtifactsInput!$N$7+1,6,7.2,8.4,9.6,10.8,12))+IF(Inputs!$B$3&gt;=117,F2168,0))/100)),15)/15,(Skills!S4*(1+((Inputs!$B$35+(ArtifactsInput!$M$7-ArtifactsInput!$M$7)*CHOOSE(ArtifactsInput!$N$7+1,6,7.2,8.4,9.6,10.8,12))+IF(Inputs!$B$3&gt;=117,F2168,0))/100))/Skills!D4)),0)+IF(C2147=TRUE,F2147*IF(AND(Inputs!$B$39&lt;&gt;"pvp",Inputs!$B$44&gt;0),(((R2147-1)*(Skills!S5*(1+((Inputs!$B$35+(ArtifactsInput!$M$7-ArtifactsInput!$M$7)*CHOOSE(ArtifactsInput!$N$7+1,6,7.2,8.4,9.6,10.8,12))+IF(Inputs!$B$3&gt;=117,F2168,0))/100))+MIN((Skills!S5*(1+((Inputs!$B$35+(ArtifactsInput!$M$7-ArtifactsInput!$M$7)*CHOOSE(ArtifactsInput!$N$7+1,6,7.2,8.4,9.6,10.8,12))+IF(Inputs!$B$3&gt;=117,F2168,0))/100)),MAX(0,Inputs!$B$44-((R2147-1)*Skills!D5))))/Inputs!$B$44),IF(Inputs!$B$39="pvp",MIN((Skills!S5*(1+((Inputs!$B$35+(ArtifactsInput!$M$7-ArtifactsInput!$M$7)*CHOOSE(ArtifactsInput!$N$7+1,6,7.2,8.4,9.6,10.8,12))+IF(Inputs!$B$3&gt;=117,F2168,0))/100)),15)/15,(Skills!S5*(1+((Inputs!$B$35+(ArtifactsInput!$M$7-ArtifactsInput!$M$7)*CHOOSE(ArtifactsInput!$N$7+1,6,7.2,8.4,9.6,10.8,12))+IF(Inputs!$B$3&gt;=117,F2168,0))/100))/Skills!D5)),0)+IF(C2153=TRUE,F2153*IF(AND(Inputs!$B$39&lt;&gt;"pvp",Inputs!$B$44&gt;0),(((R2153-1)*(Skills!S11*(1+((Inputs!$B$35+(ArtifactsInput!$M$7-ArtifactsInput!$M$7)*CHOOSE(ArtifactsInput!$N$7+1,6,7.2,8.4,9.6,10.8,12))+IF(Inputs!$B$3&gt;=117,F2168,0))/100))+MIN((Skills!S11*(1+((Inputs!$B$35+(ArtifactsInput!$M$7-ArtifactsInput!$M$7)*CHOOSE(ArtifactsInput!$N$7+1,6,7.2,8.4,9.6,10.8,12))+IF(Inputs!$B$3&gt;=117,F2168,0))/100)),MAX(0,Inputs!$B$44-((R2153-1)*Skills!D11))))/Inputs!$B$44),IF(Inputs!$B$39="pvp",MIN((Skills!S11*(1+((Inputs!$B$35+(ArtifactsInput!$M$7-ArtifactsInput!$M$7)*CHOOSE(ArtifactsInput!$N$7+1,6,7.2,8.4,9.6,10.8,12))+IF(Inputs!$B$3&gt;=117,F2168,0))/100)),15)/15,(Skills!S11*(1+((Inputs!$B$35+(ArtifactsInput!$M$7-ArtifactsInput!$M$7)*CHOOSE(ArtifactsInput!$N$7+1,6,7.2,8.4,9.6,10.8,12))+IF(Inputs!$B$3&gt;=117,F2168,0)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2156=TRUE,(1+F2156*IF(AND(Inputs!$B$39&lt;&gt;"pvp",Inputs!$B$44&gt;0),(((R2156-1)*(Skills!S14*(1+((Inputs!$B$35+(ArtifactsInput!$M$7-ArtifactsInput!$M$7)*CHOOSE(ArtifactsInput!$N$7+1,6,7.2,8.4,9.6,10.8,12))+IF(Inputs!$B$3&gt;=117,F2168,0))/100))+MIN((Skills!S14*(1+((Inputs!$B$35+(ArtifactsInput!$M$7-ArtifactsInput!$M$7)*CHOOSE(ArtifactsInput!$N$7+1,6,7.2,8.4,9.6,10.8,12))+IF(Inputs!$B$3&gt;=117,F2168,0))/100)),MAX(0,Inputs!$B$44-((R2156-1)*Skills!D14))))/Inputs!$B$44),IF(Inputs!$B$39="pvp",MIN((Skills!S14*(1+((Inputs!$B$35+(ArtifactsInput!$M$7-ArtifactsInput!$M$7)*CHOOSE(ArtifactsInput!$N$7+1,6,7.2,8.4,9.6,10.8,12))+IF(Inputs!$B$3&gt;=117,F2168,0))/100)),15)/15,(Skills!S14*(1+((Inputs!$B$35+(ArtifactsInput!$M$7-ArtifactsInput!$M$7)*CHOOSE(ArtifactsInput!$N$7+1,6,7.2,8.4,9.6,10.8,12))+IF(Inputs!$B$3&gt;=117,F2168,0))/100))/Skills!D14))/100),1)*IF(C2161=TRUE,(1+F2161*IF(AND(Inputs!$B$39&lt;&gt;"pvp",Inputs!$B$44&gt;0),(((R2161-1)*(Skills!S19*(1+((Inputs!$B$35+(ArtifactsInput!$M$7-ArtifactsInput!$M$7)*CHOOSE(ArtifactsInput!$N$7+1,6,7.2,8.4,9.6,10.8,12))+IF(Inputs!$B$3&gt;=117,F2168,0))/100))+MIN((Skills!S19*(1+((Inputs!$B$35+(ArtifactsInput!$M$7-ArtifactsInput!$M$7)*CHOOSE(ArtifactsInput!$N$7+1,6,7.2,8.4,9.6,10.8,12))+IF(Inputs!$B$3&gt;=117,F2168,0))/100)),MAX(0,Inputs!$B$44-((R2161-1)*Skills!D19))))/Inputs!$B$44),IF(Inputs!$B$39="pvp",MIN((Skills!S19*(1+((Inputs!$B$35+(ArtifactsInput!$M$7-ArtifactsInput!$M$7)*CHOOSE(ArtifactsInput!$N$7+1,6,7.2,8.4,9.6,10.8,12))+IF(Inputs!$B$3&gt;=117,F2168,0))/100)),15)/15,(Skills!S19*(1+((Inputs!$B$35+(ArtifactsInput!$M$7-ArtifactsInput!$M$7)*CHOOSE(ArtifactsInput!$N$7+1,6,7.2,8.4,9.6,10.8,12))+IF(Inputs!$B$3&gt;=117,F2168,0))/100))/Skills!D19))/100),1)</f>
        <v/>
      </c>
    </row>
    <row r="2173">
      <c r="A2173" t="inlineStr">
        <is>
          <t>Monster Damage Taken Bonus % (Holy Fountain)</t>
        </is>
      </c>
      <c r="B2173">
        <f>IF(Inputs!$B$3&gt;=68,20*IF(Inputs!$B$39="pvp",MIN((15*(1+((Inputs!$B$35+(ArtifactsInput!$M$7-ArtifactsInput!$M$7)*CHOOSE(ArtifactsInput!$N$7+1,6,7.2,8.4,9.6,10.8,12))+IF(Inputs!$B$3&gt;=117,F2168,0))/100)),15)/15,(15*(1+((Inputs!$B$35+(ArtifactsInput!$M$7-ArtifactsInput!$M$7)*CHOOSE(ArtifactsInput!$N$7+1,6,7.2,8.4,9.6,10.8,12))+IF(Inputs!$B$3&gt;=117,F2168,0))/100))/Skills!D10),0)</f>
        <v/>
      </c>
    </row>
    <row r="2174">
      <c r="A2174" t="inlineStr">
        <is>
          <t>Normal Monster Damage Bonus % (Holy Symbol)</t>
        </is>
      </c>
      <c r="B2174">
        <f>IF(C2154=TRUE,F2154*IF(AND(Inputs!$B$39&lt;&gt;"pvp",Inputs!$B$44&gt;0),(((R2154-1)*(Skills!S12*(1+((Inputs!$B$35+(ArtifactsInput!$M$7-ArtifactsInput!$M$7)*CHOOSE(ArtifactsInput!$N$7+1,6,7.2,8.4,9.6,10.8,12))+IF(Inputs!$B$3&gt;=117,F2168,0))/100))+MIN((Skills!S12*(1+((Inputs!$B$35+(ArtifactsInput!$M$7-ArtifactsInput!$M$7)*CHOOSE(ArtifactsInput!$N$7+1,6,7.2,8.4,9.6,10.8,12))+IF(Inputs!$B$3&gt;=117,F2168,0))/100)),MAX(0,Inputs!$B$44-((R2154-1)*Skills!D12))))/Inputs!$B$44),IF(Inputs!$B$39="pvp",MIN((Skills!S12*(1+((Inputs!$B$35+(ArtifactsInput!$M$7-ArtifactsInput!$M$7)*CHOOSE(ArtifactsInput!$N$7+1,6,7.2,8.4,9.6,10.8,12))+IF(Inputs!$B$3&gt;=117,F2168,0))/100)),15)/15,(Skills!S12*(1+((Inputs!$B$35+(ArtifactsInput!$M$7-ArtifactsInput!$M$7)*CHOOSE(ArtifactsInput!$N$7+1,6,7.2,8.4,9.6,10.8,12))+IF(Inputs!$B$3&gt;=117,F2168,0))/100))/Skills!D12)),0)</f>
        <v/>
      </c>
    </row>
    <row r="2175">
      <c r="A2175" t="inlineStr">
        <is>
          <t>Damage % Bonus (Holy Symbol - Damage Boost)</t>
        </is>
      </c>
      <c r="B2175">
        <f>Skills!O12</f>
        <v/>
      </c>
    </row>
    <row r="2176">
      <c r="A2176" t="inlineStr">
        <is>
          <t>Crit Damage % Bonus (Blood of the Divine)</t>
        </is>
      </c>
      <c r="B2176">
        <f>4*IF(C2162=TRUE,F2162,0)</f>
        <v/>
      </c>
    </row>
    <row r="2177">
      <c r="A2177" t="inlineStr">
        <is>
          <t>Attack Speed Bonus %</t>
        </is>
      </c>
      <c r="B2177">
        <f>IF(C2159=TRUE,F2159+(F2163-Calc!F21),0)+IF(Inputs!$B$3&gt;=134,15,0)+((C2170=TRUE)*F2170*IF(AND(Inputs!$B$39&lt;&gt;"pvp",Inputs!$B$44&gt;0),(((R2170-1)*(Skills!S28*(1+((Inputs!$B$35+(ArtifactsInput!$M$7-ArtifactsInput!$M$7)*CHOOSE(ArtifactsInput!$N$7+1,6,7.2,8.4,9.6,10.8,12))+IF(Inputs!$B$3&gt;=117,F2168,0))/100))+MIN((Skills!S28*(1+((Inputs!$B$35+(ArtifactsInput!$M$7-ArtifactsInput!$M$7)*CHOOSE(ArtifactsInput!$N$7+1,6,7.2,8.4,9.6,10.8,12))+IF(Inputs!$B$3&gt;=117,F2168,0))/100)),MAX(0,Inputs!$B$44-((R2170-1)*Skills!D28))))/Inputs!$B$44),IF(Inputs!$B$39="pvp",MIN((Skills!S28*(1+((Inputs!$B$35+(ArtifactsInput!$M$7-ArtifactsInput!$M$7)*CHOOSE(ArtifactsInput!$N$7+1,6,7.2,8.4,9.6,10.8,12))+IF(Inputs!$B$3&gt;=117,F2168,0))/100)),15)/15,(Skills!S28*(1+((Inputs!$B$35+(ArtifactsInput!$M$7-ArtifactsInput!$M$7)*CHOOSE(ArtifactsInput!$N$7+1,6,7.2,8.4,9.6,10.8,12))+IF(Inputs!$B$3&gt;=117,F2168,0))/100))/Skills!D28)))</f>
        <v/>
      </c>
    </row>
    <row r="2178">
      <c r="A2178" t="inlineStr">
        <is>
          <t>Actions Per Second</t>
        </is>
      </c>
      <c r="B2178">
        <f>1+MIN(150,150*(1-(1-Inputs!$B$12/150)*(1-B2177/150)))/100</f>
        <v/>
      </c>
    </row>
    <row r="2179">
      <c r="A2179" t="inlineStr">
        <is>
          <t>Skill + Buff Cast Rate</t>
        </is>
      </c>
      <c r="B2179">
        <f>IF(AND(Inputs!$B$39&lt;&gt;"pvp",Inputs!$B$44&gt;0),SUMPRODUCT((Skills!E2:E28=TRUE)*(C2144:C2170=TRUE)*R2144:R2170)/Inputs!$B$44,SUMPRODUCT((Skills!E2:E28=TRUE)*(C2144:C2170=TRUE)*Q2144:Q2170))</f>
        <v/>
      </c>
    </row>
    <row r="2180">
      <c r="A2180" t="inlineStr">
        <is>
          <t>Big Bang Casts Per Second</t>
        </is>
      </c>
      <c r="B2180">
        <f>MAX(0,B2178-B2179)</f>
        <v/>
      </c>
    </row>
    <row r="2181">
      <c r="A2181" t="inlineStr">
        <is>
          <t>Defense % Bonus (Divine Protection)</t>
        </is>
      </c>
      <c r="B2181">
        <f>IF(C2155=TRUE,F2155*IF(AND(Inputs!$B$39&lt;&gt;"pvp",Inputs!$B$44&gt;0),(((R2155-1)*(Skills!S13*(1+((Inputs!$B$35+(ArtifactsInput!$M$7-ArtifactsInput!$M$7)*CHOOSE(ArtifactsInput!$N$7+1,6,7.2,8.4,9.6,10.8,12))+IF(Inputs!$B$3&gt;=117,F2168,0))/100))+MIN((Skills!S13*(1+((Inputs!$B$35+(ArtifactsInput!$M$7-ArtifactsInput!$M$7)*CHOOSE(ArtifactsInput!$N$7+1,6,7.2,8.4,9.6,10.8,12))+IF(Inputs!$B$3&gt;=117,F2168,0))/100)),MAX(0,Inputs!$B$44-((R2155-1)*Skills!D13))))/Inputs!$B$44),IF(Inputs!$B$39="pvp",MIN((Skills!S13*(1+((Inputs!$B$35+(ArtifactsInput!$M$7-ArtifactsInput!$M$7)*CHOOSE(ArtifactsInput!$N$7+1,6,7.2,8.4,9.6,10.8,12))+IF(Inputs!$B$3&gt;=117,F2168,0))/100)),15)/15,(Skills!S13*(1+((Inputs!$B$35+(ArtifactsInput!$M$7-ArtifactsInput!$M$7)*CHOOSE(ArtifactsInput!$N$7+1,6,7.2,8.4,9.6,10.8,12))+IF(Inputs!$B$3&gt;=117,F2168,0))/100))/Skills!D13)),0)</f>
        <v/>
      </c>
    </row>
    <row r="2182">
      <c r="A2182" t="inlineStr">
        <is>
          <t>Buff-Casting Startup Delay (s, fixed-duration only)</t>
        </is>
      </c>
      <c r="B2182">
        <f>IF(AND(Inputs!$B$39&lt;&gt;"pvp",Inputs!$B$44&gt;0),SUMPRODUCT((Skills!S2:S28&gt;0)*(Skills!E2:E28=TRUE)*(C2144:C2170=TRUE))/B2178,0)</f>
        <v/>
      </c>
    </row>
    <row r="2183">
      <c r="A2183" t="inlineStr">
        <is>
          <t>Boss-Only Total DPS (this block's swept value)</t>
        </is>
      </c>
      <c r="B2183">
        <f>SUM(S2144:S2170)</f>
        <v/>
      </c>
    </row>
    <row r="2184">
      <c r="A2184" t="inlineStr">
        <is>
          <t>Normal-Only Total DPS (this block's swept value)</t>
        </is>
      </c>
      <c r="B2184">
        <f>SUM(U2144:U2170)</f>
        <v/>
      </c>
    </row>
    <row r="2185">
      <c r="A2185" s="6" t="inlineStr">
        <is>
          <t>TOTAL DPS</t>
        </is>
      </c>
      <c r="B2185" s="6">
        <f>SUM(O2144:O2170)</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R2188" t="inlineStr">
        <is>
          <t>helpers</t>
        </is>
      </c>
    </row>
    <row r="2189">
      <c r="A2189">
        <f>Skills!A2</f>
        <v/>
      </c>
      <c r="B2189">
        <f>Skills!B2</f>
        <v/>
      </c>
      <c r="C2189">
        <f>Inputs!$B$3&gt;=100</f>
        <v/>
      </c>
      <c r="D2189" t="inlineStr"/>
      <c r="E2189" t="inlineStr"/>
      <c r="F2189">
        <f>T2191+Skills!N2</f>
        <v/>
      </c>
      <c r="G2189">
        <f>Calc!G2</f>
        <v/>
      </c>
      <c r="H2189">
        <f>Calc!H2</f>
        <v/>
      </c>
      <c r="I2189">
        <f>IF(Skills!T2&lt;&gt;"",1+(Skills!T2/10)*($Z$3/1000)/100,1)</f>
        <v/>
      </c>
      <c r="J2189">
        <f>((Inputs!$B$6*(1+Inputs!$B$7/100))+(((Inputs!$B$13*(1+Inputs!$B$14/100))-(Inputs!$B$13*(1+Inputs!$B$14/100)))+0.25*(Inputs!$B$15-Inputs!$B$15))*(1+Inputs!$B$7/100))*(F2189/100)</f>
        <v/>
      </c>
      <c r="K2189">
        <f>J2189*(1+(((Inputs!$B$13+IF(Inputs!$B$3&gt;=35,(10*INDEX(FactorTable!$B$2:$Y$301,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2="TRIUMPH_FEATHER",IF(C2203=TRUE,F2203,0),0)/100)*(1+IF(C2214=TRUE,F2214,0)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2189)</f>
        <v/>
      </c>
      <c r="L2189">
        <f>K2189*(MIN(Inputs!$B$23+(F2209-Calc!F22),(Inputs!$B$24+IF(ArtifactsInput!$M$15,CHOOSE(ArtifactsInput!$N$15+1,25,30,35,40,45,50)/100*(Inputs!$B$12-Inputs!$B$12),0)))/100+(Inputs!$B$24+IF(ArtifactsInput!$M$15,CHOOSE(ArtifactsInput!$N$15+1,25,30,35,40,45,50)/100*(Inputs!$B$12-Inputs!$B$12),0))/100)/2</f>
        <v/>
      </c>
      <c r="M2189">
        <f>L2189*(1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89">
        <f>L2189*(1-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(1-Summary!$B$11)*S2189+Summary!$B$11*U2189</f>
        <v/>
      </c>
      <c r="P2189">
        <f>IF(B2230=0,0,O2189/B2230)</f>
        <v/>
      </c>
      <c r="Q2189">
        <f>IFERROR(1/(IF(Inputs!$B$39="pvp",15,MAX(0.1,Skills!D2-IF(Skills!E2=TRUE,Inputs!$B$33,0)))*(1-IF(AND(IF(ArtifactsInput!$M$27,FALSE,TRUE),Inputs!$B$4="Chapter Hunt"),CHOOSE(ArtifactsInput!$N$27+1,20,24,28,32,36,40),0)/100)),0)</f>
        <v/>
      </c>
      <c r="R2189" t="n">
        <v>0</v>
      </c>
      <c r="S2189">
        <f>IF(C2189,(Skills!F2*N2189*B2225)*IF(Inputs!$B$39="pvp",1,1+(Inputs!$B$21+Skills!O2+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2189*(1-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89">
        <f>MAX(0,(Inputs!$B$3-100)*3)+Inputs!$B$29+Inputs!$B$30</f>
        <v/>
      </c>
      <c r="U2189">
        <f>IF(C2189,(Skills!F2*N2189*B2225)*IF(Inputs!$B$39="pvp",1,(1+(Inputs!$B$22+Skills!P2+B2219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Skills!A3</f>
        <v/>
      </c>
      <c r="B2190">
        <f>Skills!B3</f>
        <v/>
      </c>
      <c r="C2190">
        <f>Inputs!$B$3&gt;=15</f>
        <v/>
      </c>
      <c r="D2190">
        <f>IF(Skills!C3=1,60+Inputs!$B$26+Inputs!$B$30,IF(Skills!C3=2,90+Inputs!$B$27+Inputs!$B$30,IF(Skills!C3=3,120+Inputs!$B$28+Inputs!$B$30,MAX(0,(Inputs!$B$3-100)*3)+Inputs!$B$29+Inputs!$B$30)))</f>
        <v/>
      </c>
      <c r="E2190">
        <f>INDEX(FactorTable!$B$2:$Y$301, MATCH(ROUND(MIN(300,MAX(1,D2190)),0), FactorTable!$A$2:$A$301,0), Skills!L3+1)</f>
        <v/>
      </c>
      <c r="F2190">
        <f>IF(Skills!M3=TRUE,(Skills!K3/10)*(E2190/1000),Skills!K3/10)+Skills!N3</f>
        <v/>
      </c>
      <c r="G2190">
        <f>Calc!G3</f>
        <v/>
      </c>
      <c r="H2190">
        <f>Calc!H3</f>
        <v/>
      </c>
      <c r="I2190">
        <f>IF(Skills!T3&lt;&gt;"",1+(Skills!T3/10)*($Z$3/1000)/100,1)</f>
        <v/>
      </c>
      <c r="J2190" t="inlineStr"/>
      <c r="K2190" t="inlineStr"/>
      <c r="L2190" t="inlineStr"/>
      <c r="M2190" t="inlineStr"/>
      <c r="N2190" t="inlineStr"/>
      <c r="O2190">
        <f>(1-Summary!$B$11)*S2190+Summary!$B$11*U2190</f>
        <v/>
      </c>
      <c r="P2190">
        <f>IF(B2230=0,0,O2190/B2230)</f>
        <v/>
      </c>
      <c r="Q2190">
        <f>IFERROR(1/(IF(Inputs!$B$39="pvp",15,MAX(0.1,Skills!D3-IF(Skills!E3=TRUE,Inputs!$B$33,0)))*(1-IF(AND(IF(ArtifactsInput!$M$27,FALSE,TRUE),Inputs!$B$4="Chapter Hunt"),CHOOSE(ArtifactsInput!$N$27+1,20,24,28,32,36,40),0)/100)),0)</f>
        <v/>
      </c>
      <c r="R2190">
        <f>IF(AND(Inputs!$B$39&lt;&gt;"pvp",Inputs!$B$44&gt;0),IF(Inputs!$B$44&lt;=0,0,(INT(Inputs!$B$44/(IF(Inputs!$B$39="pvp",15,MAX(0.1,Skills!D3-IF(Skills!E3=TRUE,Inputs!$B$33,0)))*(1-IF(AND(IF(ArtifactsInput!$M$27,FALSE,TRUE),Inputs!$B$4="Chapter Hunt"),CHOOSE(ArtifactsInput!$N$27+1,20,24,28,32,36,40),0)/100)))+1)),0)</f>
        <v/>
      </c>
      <c r="S2190" t="n">
        <v>0</v>
      </c>
      <c r="T2190">
        <f>INDEX(FactorTable!$B$2:$Y$301, MATCH(ROUND(MIN(300,MAX(1,T2189)),0), FactorTable!$A$2:$A$301,0), 22)</f>
        <v/>
      </c>
      <c r="U2190" t="n">
        <v>0</v>
      </c>
    </row>
    <row r="2191">
      <c r="A2191">
        <f>Skills!A4</f>
        <v/>
      </c>
      <c r="B2191">
        <f>Skills!B4</f>
        <v/>
      </c>
      <c r="C2191">
        <f>Inputs!$B$3&gt;=38</f>
        <v/>
      </c>
      <c r="D2191">
        <f>IF(Skills!C4=1,60+Inputs!$B$26+Inputs!$B$30,IF(Skills!C4=2,90+Inputs!$B$27+Inputs!$B$30,IF(Skills!C4=3,120+Inputs!$B$28+Inputs!$B$30,MAX(0,(Inputs!$B$3-100)*3)+Inputs!$B$29+Inputs!$B$30)))</f>
        <v/>
      </c>
      <c r="E2191">
        <f>INDEX(FactorTable!$B$2:$Y$301, MATCH(ROUND(MIN(300,MAX(1,D2191)),0), FactorTable!$A$2:$A$301,0), Skills!L4+1)</f>
        <v/>
      </c>
      <c r="F2191">
        <f>IF(Skills!M4=TRUE,(Skills!K4/10)*(E2191/1000),Skills!K4/10)+Skills!N4</f>
        <v/>
      </c>
      <c r="G2191">
        <f>Calc!G4</f>
        <v/>
      </c>
      <c r="H2191">
        <f>Calc!H4</f>
        <v/>
      </c>
      <c r="I2191">
        <f>IF(Skills!T4&lt;&gt;"",1+(Skills!T4/10)*($Z$3/1000)/100,1)</f>
        <v/>
      </c>
      <c r="J2191" t="inlineStr"/>
      <c r="K2191" t="inlineStr"/>
      <c r="L2191" t="inlineStr"/>
      <c r="M2191" t="inlineStr"/>
      <c r="N2191" t="inlineStr"/>
      <c r="O2191">
        <f>(1-Summary!$B$11)*S2191+Summary!$B$11*U2191</f>
        <v/>
      </c>
      <c r="P2191">
        <f>IF(B2230=0,0,O2191/B2230)</f>
        <v/>
      </c>
      <c r="Q2191">
        <f>IFERROR(1/(IF(Inputs!$B$39="pvp",15,MAX(0.1,Skills!D4-IF(Skills!E4=TRUE,Inputs!$B$33,0)))*(1-IF(AND(IF(ArtifactsInput!$M$27,FALSE,TRUE),Inputs!$B$4="Chapter Hunt"),CHOOSE(ArtifactsInput!$N$27+1,20,24,28,32,36,40),0)/100)),0)</f>
        <v/>
      </c>
      <c r="R2191">
        <f>IF(AND(Inputs!$B$39&lt;&gt;"pvp",Inputs!$B$44&gt;0),IF(Inputs!$B$44&lt;=0,0,(INT(Inputs!$B$44/(IF(Inputs!$B$39="pvp",15,MAX(0.1,Skills!D4-IF(Skills!E4=TRUE,Inputs!$B$33,0)))*(1-IF(AND(IF(ArtifactsInput!$M$27,FALSE,TRUE),Inputs!$B$4="Chapter Hunt"),CHOOSE(ArtifactsInput!$N$27+1,20,24,28,32,36,40),0)/100)))+1)),0)</f>
        <v/>
      </c>
      <c r="S2191" t="n">
        <v>0</v>
      </c>
      <c r="T2191">
        <f>290*T2190/1000</f>
        <v/>
      </c>
      <c r="U2191" t="n">
        <v>0</v>
      </c>
    </row>
    <row r="2192">
      <c r="A2192">
        <f>Skills!A5</f>
        <v/>
      </c>
      <c r="B2192">
        <f>Skills!B5</f>
        <v/>
      </c>
      <c r="C2192">
        <f>Inputs!$B$3&gt;=40</f>
        <v/>
      </c>
      <c r="D2192">
        <f>IF(Skills!C5=1,60+Inputs!$B$26+Inputs!$B$30,IF(Skills!C5=2,90+Inputs!$B$27+Inputs!$B$30,IF(Skills!C5=3,120+Inputs!$B$28+Inputs!$B$30,MAX(0,(Inputs!$B$3-100)*3)+Inputs!$B$29+Inputs!$B$30)))</f>
        <v/>
      </c>
      <c r="E2192">
        <f>INDEX(FactorTable!$B$2:$Y$301, MATCH(ROUND(MIN(300,MAX(1,D2192)),0), FactorTable!$A$2:$A$301,0), Skills!L5+1)</f>
        <v/>
      </c>
      <c r="F2192">
        <f>IF(Skills!M5=TRUE,(Skills!K5/10)*(E2192/1000),Skills!K5/10)+Skills!N5</f>
        <v/>
      </c>
      <c r="G2192">
        <f>Calc!G5</f>
        <v/>
      </c>
      <c r="H2192">
        <f>Calc!H5</f>
        <v/>
      </c>
      <c r="I2192">
        <f>IF(Skills!T5&lt;&gt;"",1+(Skills!T5/10)*($Z$3/1000)/100,1)</f>
        <v/>
      </c>
      <c r="J2192" t="inlineStr"/>
      <c r="K2192" t="inlineStr"/>
      <c r="L2192" t="inlineStr"/>
      <c r="M2192" t="inlineStr"/>
      <c r="N2192" t="inlineStr"/>
      <c r="O2192">
        <f>(1-Summary!$B$11)*S2192+Summary!$B$11*U2192</f>
        <v/>
      </c>
      <c r="P2192">
        <f>IF(B2230=0,0,O2192/B2230)</f>
        <v/>
      </c>
      <c r="Q2192">
        <f>IFERROR(1/(IF(Inputs!$B$39="pvp",15,MAX(0.1,Skills!D5-IF(Skills!E5=TRUE,Inputs!$B$33,0)))*(1-IF(AND(IF(ArtifactsInput!$M$27,FALSE,TRUE),Inputs!$B$4="Chapter Hunt"),CHOOSE(ArtifactsInput!$N$27+1,20,24,28,32,36,40),0)/100)),0)</f>
        <v/>
      </c>
      <c r="R2192">
        <f>IF(AND(Inputs!$B$39&lt;&gt;"pvp",Inputs!$B$44&gt;0),IF(Inputs!$B$44&lt;=0,0,(INT(Inputs!$B$44/(IF(Inputs!$B$39="pvp",15,MAX(0.1,Skills!D5-IF(Skills!E5=TRUE,Inputs!$B$33,0)))*(1-IF(AND(IF(ArtifactsInput!$M$27,FALSE,TRUE),Inputs!$B$4="Chapter Hunt"),CHOOSE(ArtifactsInput!$N$27+1,20,24,28,32,36,40),0)/100)))+1)),0)</f>
        <v/>
      </c>
      <c r="S2192" t="n">
        <v>0</v>
      </c>
      <c r="U2192" t="n">
        <v>0</v>
      </c>
    </row>
    <row r="2193">
      <c r="A2193">
        <f>Skills!A6</f>
        <v/>
      </c>
      <c r="B2193">
        <f>Skills!B6</f>
        <v/>
      </c>
      <c r="C2193">
        <f>Inputs!$B$3&gt;=103</f>
        <v/>
      </c>
      <c r="D2193">
        <f>IF(Skills!C6=1,60+Inputs!$B$26+Inputs!$B$30,IF(Skills!C6=2,90+Inputs!$B$27+Inputs!$B$30,IF(Skills!C6=3,120+Inputs!$B$28+Inputs!$B$30,MAX(0,(Inputs!$B$3-100)*3)+Inputs!$B$29+Inputs!$B$30)))</f>
        <v/>
      </c>
      <c r="E2193">
        <f>INDEX(FactorTable!$B$2:$Y$301, MATCH(ROUND(MIN(300,MAX(1,D2193)),0), FactorTable!$A$2:$A$301,0), Skills!L6+1)</f>
        <v/>
      </c>
      <c r="F2193">
        <f>IF(Skills!M6=TRUE,(Skills!K6/10)*(E2193/1000),Skills!K6/10)+Skills!N6</f>
        <v/>
      </c>
      <c r="G2193">
        <f>Calc!G6</f>
        <v/>
      </c>
      <c r="H2193">
        <f>Calc!H6</f>
        <v/>
      </c>
      <c r="I2193">
        <f>IF(Skills!T6&lt;&gt;"",1+(Skills!T6/10)*($Z$3/1000)/100,1)</f>
        <v/>
      </c>
      <c r="J2193">
        <f>((Inputs!$B$6*(1+Inputs!$B$7/100))+(((Inputs!$B$13*(1+Inputs!$B$14/100))-(Inputs!$B$13*(1+Inputs!$B$14/100)))+0.25*(Inputs!$B$15-Inputs!$B$15))*(1+Inputs!$B$7/100))*(F2193/100)</f>
        <v/>
      </c>
      <c r="K2193">
        <f>J2193*(1+(((Inputs!$B$13+IF(Inputs!$B$3&gt;=35,(10*INDEX(FactorTable!$B$2:$Y$301,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6="TRIUMPH_FEATHER",IF(C2203=TRUE,F2203,0),0)/100)*(1+IF(C2214=TRUE,F2214,0)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2193)</f>
        <v/>
      </c>
      <c r="L2193">
        <f>K2193*(MIN(Inputs!$B$23+(F2209-Calc!F22),(Inputs!$B$24+IF(ArtifactsInput!$M$15,CHOOSE(ArtifactsInput!$N$15+1,25,30,35,40,45,50)/100*(Inputs!$B$12-Inputs!$B$12),0)))/100+(Inputs!$B$24+IF(ArtifactsInput!$M$15,CHOOSE(ArtifactsInput!$N$15+1,25,30,35,40,45,50)/100*(Inputs!$B$12-Inputs!$B$12),0))/100)/2</f>
        <v/>
      </c>
      <c r="M2193">
        <f>L2193*(1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3">
        <f>L2193*(1-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(1-Summary!$B$11)*S2193+Summary!$B$11*U2193</f>
        <v/>
      </c>
      <c r="P2193">
        <f>IF(B2230=0,0,O2193/B2230)</f>
        <v/>
      </c>
      <c r="Q2193">
        <f>IFERROR(1/(IF(Inputs!$B$39="pvp",15,MAX(0.1,Skills!D6-IF(Skills!E6=TRUE,Inputs!$B$33,0)))*(1-IF(AND(IF(ArtifactsInput!$M$27,FALSE,TRUE),Inputs!$B$4="Chapter Hunt"),CHOOSE(ArtifactsInput!$N$27+1,20,24,28,32,36,40),0)/100)),0)</f>
        <v/>
      </c>
      <c r="R2193">
        <f>IF(AND(Inputs!$B$39&lt;&gt;"pvp",Inputs!$B$44&gt;0),IF(MAX(0,Inputs!$B$44-B2227)&lt;=0,0,(INT(MAX(0,Inputs!$B$44-B2227)/(IF(Inputs!$B$39="pvp",15,MAX(0.1,Skills!D6-IF(Skills!E6=TRUE,Inputs!$B$33,0)))*(1-IF(AND(IF(ArtifactsInput!$M$27,FALSE,TRUE),Inputs!$B$4="Chapter Hunt"),CHOOSE(ArtifactsInput!$N$27+1,20,24,28,32,36,40),0)/100)))+1)),0)</f>
        <v/>
      </c>
      <c r="S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$21+Skills!O6+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2193*(1-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$22+Skills!P6+B2219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Skills!A7</f>
        <v/>
      </c>
      <c r="B2194">
        <f>Skills!B7</f>
        <v/>
      </c>
      <c r="C2194">
        <f>Inputs!$B$3&gt;=122</f>
        <v/>
      </c>
      <c r="D2194">
        <f>IF(Skills!C7=1,60+Inputs!$B$26+Inputs!$B$30,IF(Skills!C7=2,90+Inputs!$B$27+Inputs!$B$30,IF(Skills!C7=3,120+Inputs!$B$28+Inputs!$B$30,MAX(0,(Inputs!$B$3-100)*3)+Inputs!$B$29+Inputs!$B$30)))</f>
        <v/>
      </c>
      <c r="E2194">
        <f>INDEX(FactorTable!$B$2:$Y$301, MATCH(ROUND(MIN(300,MAX(1,D2194)),0), FactorTable!$A$2:$A$301,0), Skills!L7+1)</f>
        <v/>
      </c>
      <c r="F2194">
        <f>IF(Skills!M7=TRUE,(Skills!K7/10)*(E2194/1000),Skills!K7/10)+Skills!N7</f>
        <v/>
      </c>
      <c r="G2194">
        <f>Calc!G7</f>
        <v/>
      </c>
      <c r="H2194">
        <f>Calc!H7</f>
        <v/>
      </c>
      <c r="I2194">
        <f>IF(Skills!T7&lt;&gt;"",1+(Skills!T7/10)*($Z$3/1000)/100,1)</f>
        <v/>
      </c>
      <c r="J2194">
        <f>((Inputs!$B$6*(1+Inputs!$B$7/100))+(((Inputs!$B$13*(1+Inputs!$B$14/100))-(Inputs!$B$13*(1+Inputs!$B$14/100)))+0.25*(Inputs!$B$15-Inputs!$B$15))*(1+Inputs!$B$7/100))*(F2194/100)</f>
        <v/>
      </c>
      <c r="K2194">
        <f>J2194*(1+(((Inputs!$B$13+IF(Inputs!$B$3&gt;=35,(10*INDEX(FactorTable!$B$2:$Y$301,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7="TRIUMPH_FEATHER",IF(C2203=TRUE,F2203,0),0)/100)*(1+IF(C2214=TRUE,F2214,0)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2194)</f>
        <v/>
      </c>
      <c r="L2194">
        <f>K2194*(MIN(Inputs!$B$23+(F2209-Calc!F22),(Inputs!$B$24+IF(ArtifactsInput!$M$15,CHOOSE(ArtifactsInput!$N$15+1,25,30,35,40,45,50)/100*(Inputs!$B$12-Inputs!$B$12),0)))/100+(Inputs!$B$24+IF(ArtifactsInput!$M$15,CHOOSE(ArtifactsInput!$N$15+1,25,30,35,40,45,50)/100*(Inputs!$B$12-Inputs!$B$12),0))/100)/2</f>
        <v/>
      </c>
      <c r="M2194">
        <f>L2194*(1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4">
        <f>L2194*(1-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2194*(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4">
        <f>(1-Summary!$B$11)*S2194+Summary!$B$11*U2194</f>
        <v/>
      </c>
      <c r="P2194">
        <f>IF(B2230=0,0,O2194/B2230)</f>
        <v/>
      </c>
      <c r="Q2194">
        <f>IFERROR(1/(IF(Inputs!$B$39="pvp",15,MAX(0.1,Skills!D7-IF(Skills!E6=TRUE,Inputs!$B$33,0)))*(1-IF(AND(IF(ArtifactsInput!$M$27,FALSE,TRUE),Inputs!$B$4="Chapter Hunt"),CHOOSE(ArtifactsInput!$N$27+1,20,24,28,32,36,40),0)/100)),0)</f>
        <v/>
      </c>
      <c r="R2194">
        <f>IF(AND(Inputs!$B$39&lt;&gt;"pvp",Inputs!$B$44&gt;0),IF(MAX(0,Inputs!$B$44-B2227)&lt;=0,0,(INT(MAX(0,Inputs!$B$44-B2227)/(IF(Inputs!$B$39="pvp",15,MAX(0.1,Skills!D7-IF(Skills!E6=TRUE,Inputs!$B$33,0)))*(1-IF(AND(IF(ArtifactsInput!$M$27,FALSE,TRUE),Inputs!$B$4="Chapter Hunt"),CHOOSE(ArtifactsInput!$N$27+1,20,24,28,32,36,40),0)/100)))+1)),0)</f>
        <v/>
      </c>
      <c r="S2194">
        <f>IF(C2194,H2194*N2194*IF(AND(Inputs!$B$39&lt;&gt;"pvp",Inputs!$B$44&gt;0),((Skills!F7*((R2194-1)*IF(Skills!G7&gt;0,Skills!H7/Skills!G7,1)+IF(Skills!G7&gt;0,MIN(Skills!H7,MAX(0,MAX(0,Inputs!$B$44-B2227)-((R2194-1)*(IF(Inputs!$B$39="pvp",15,MAX(0.1,Skills!D7-IF(Skills!E6=TRUE,Inputs!$B$33,0)))*(1-IF(AND(IF(ArtifactsInput!$M$27,FALSE,TRUE),Inputs!$B$4="Chapter Hunt"),CHOOSE(ArtifactsInput!$N$27+1,20,24,28,32,36,40),0)/100)))))/Skills!G7,1)))/Inputs!$B$44),G2194*Q2194)*IF(Inputs!$B$39="pvp",1,1+(Inputs!$B$21+Skills!O7+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2194*(1-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2194*(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2194*(1-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2194*(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4" t="n">
        <v>0</v>
      </c>
    </row>
    <row r="2195">
      <c r="A2195">
        <f>Skills!A8</f>
        <v/>
      </c>
      <c r="B2195">
        <f>Skills!B8</f>
        <v/>
      </c>
      <c r="C2195">
        <f>Inputs!$B$3&gt;=105</f>
        <v/>
      </c>
      <c r="D2195">
        <f>IF(Skills!C8=1,60+Inputs!$B$26+Inputs!$B$30,IF(Skills!C8=2,90+Inputs!$B$27+Inputs!$B$30,IF(Skills!C8=3,120+Inputs!$B$28+Inputs!$B$30,MAX(0,(Inputs!$B$3-100)*3)+Inputs!$B$29+Inputs!$B$30)))</f>
        <v/>
      </c>
      <c r="E2195">
        <f>INDEX(FactorTable!$B$2:$Y$301, MATCH(ROUND(MIN(300,MAX(1,D2195)),0), FactorTable!$A$2:$A$301,0), Skills!L8+1)</f>
        <v/>
      </c>
      <c r="F2195">
        <f>IF(Skills!M8=TRUE,(Skills!K8/10)*(E2195/1000),Skills!K8/10)+Skills!N8</f>
        <v/>
      </c>
      <c r="G2195">
        <f>Calc!G8</f>
        <v/>
      </c>
      <c r="H2195">
        <f>Calc!H8</f>
        <v/>
      </c>
      <c r="I2195">
        <f>IF(Skills!T8&lt;&gt;"",1+(Skills!T8/10)*($Z$3/1000)/100,1)</f>
        <v/>
      </c>
      <c r="J2195">
        <f>((Inputs!$B$6*(1+Inputs!$B$7/100))+(((Inputs!$B$13*(1+Inputs!$B$14/100))-(Inputs!$B$13*(1+Inputs!$B$14/100)))+0.25*(Inputs!$B$15-Inputs!$B$15))*(1+Inputs!$B$7/100))*(F2195/100)</f>
        <v/>
      </c>
      <c r="K2195">
        <f>J2195*(1+(((Inputs!$B$13+IF(Inputs!$B$3&gt;=35,(10*INDEX(FactorTable!$B$2:$Y$301,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8="TRIUMPH_FEATHER",IF(C2203=TRUE,F2203,0),0)/100)*(1+IF(C2214=TRUE,F2214,0)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2195)</f>
        <v/>
      </c>
      <c r="L2195">
        <f>K2195*(MIN(Inputs!$B$23+(F2209-Calc!F22),(Inputs!$B$24+IF(ArtifactsInput!$M$15,CHOOSE(ArtifactsInput!$N$15+1,25,30,35,40,45,50)/100*(Inputs!$B$12-Inputs!$B$12),0)))/100+(Inputs!$B$24+IF(ArtifactsInput!$M$15,CHOOSE(ArtifactsInput!$N$15+1,25,30,35,40,45,50)/100*(Inputs!$B$12-Inputs!$B$12),0))/100)/2</f>
        <v/>
      </c>
      <c r="M2195">
        <f>L2195*(1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5">
        <f>L2195*(1-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2195*(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5">
        <f>(1-Summary!$B$11)*S2195+Summary!$B$11*U2195</f>
        <v/>
      </c>
      <c r="P2195">
        <f>IF(B2230=0,0,O2195/B2230)</f>
        <v/>
      </c>
      <c r="Q2195">
        <f>IFERROR(1/(IF(Inputs!$B$39="pvp",15,MAX(0.1,Skills!D8-IF(Skills!E8=TRUE,Inputs!$B$33,0)))*(1-IF(AND(IF(ArtifactsInput!$M$27,FALSE,TRUE),Inputs!$B$4="Chapter Hunt"),CHOOSE(ArtifactsInput!$N$27+1,20,24,28,32,36,40),0)/100)),0)</f>
        <v/>
      </c>
      <c r="R2195">
        <f>IF(AND(Inputs!$B$39&lt;&gt;"pvp",Inputs!$B$44&gt;0),IF(MAX(0,Inputs!$B$44-B2227)&lt;=0,0,(INT(MAX(0,Inputs!$B$44-B2227)/(IF(Inputs!$B$39="pvp",15,MAX(0.1,Skills!D8-IF(Skills!E8=TRUE,Inputs!$B$33,0)))*(1-IF(AND(IF(ArtifactsInput!$M$27,FALSE,TRUE),Inputs!$B$4="Chapter Hunt"),CHOOSE(ArtifactsInput!$N$27+1,20,24,28,32,36,40),0)/100)))+1)),0)</f>
        <v/>
      </c>
      <c r="S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$21+Skills!O8+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2195*(1-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2195*(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2195*(1-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2195*(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$22+Skills!P8+B2219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6">
      <c r="A2196">
        <f>Skills!A9</f>
        <v/>
      </c>
      <c r="B2196">
        <f>Skills!B9</f>
        <v/>
      </c>
      <c r="C2196">
        <f>Inputs!$B$3&gt;=115</f>
        <v/>
      </c>
      <c r="D2196">
        <f>IF(Skills!C9=1,60+Inputs!$B$26+Inputs!$B$30,IF(Skills!C9=2,90+Inputs!$B$27+Inputs!$B$30,IF(Skills!C9=3,120+Inputs!$B$28+Inputs!$B$30,MAX(0,(Inputs!$B$3-100)*3)+Inputs!$B$29+Inputs!$B$30)))</f>
        <v/>
      </c>
      <c r="E2196">
        <f>INDEX(FactorTable!$B$2:$Y$301, MATCH(ROUND(MIN(300,MAX(1,D2196)),0), FactorTable!$A$2:$A$301,0), Skills!L9+1)</f>
        <v/>
      </c>
      <c r="F2196">
        <f>IF(Skills!M9=TRUE,(Skills!K9/10)*(E2196/1000),Skills!K9/10)+Skills!N9</f>
        <v/>
      </c>
      <c r="G2196">
        <f>Calc!G9</f>
        <v/>
      </c>
      <c r="H2196">
        <f>Calc!H9</f>
        <v/>
      </c>
      <c r="I2196">
        <f>IF(Skills!T9&lt;&gt;"",1+(Skills!T9/10)*($Z$3/1000)/100,1)</f>
        <v/>
      </c>
      <c r="J2196">
        <f>((Inputs!$B$6*(1+Inputs!$B$7/100))+(((Inputs!$B$13*(1+Inputs!$B$14/100))-(Inputs!$B$13*(1+Inputs!$B$14/100)))+0.25*(Inputs!$B$15-Inputs!$B$15))*(1+Inputs!$B$7/100))*(F2196/100)</f>
        <v/>
      </c>
      <c r="K2196">
        <f>J2196*(1+(((Inputs!$B$13+IF(Inputs!$B$3&gt;=35,(10*INDEX(FactorTable!$B$2:$Y$301,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9="TRIUMPH_FEATHER",IF(C2203=TRUE,F2203,0),0)/100)*(1+IF(C2214=TRUE,F2214,0)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2196)</f>
        <v/>
      </c>
      <c r="L2196">
        <f>K2196*(MIN(Inputs!$B$23+(F2209-Calc!F22),(Inputs!$B$24+IF(ArtifactsInput!$M$15,CHOOSE(ArtifactsInput!$N$15+1,25,30,35,40,45,50)/100*(Inputs!$B$12-Inputs!$B$12),0)))/100+(Inputs!$B$24+IF(ArtifactsInput!$M$15,CHOOSE(ArtifactsInput!$N$15+1,25,30,35,40,45,50)/100*(Inputs!$B$12-Inputs!$B$12),0))/100)/2</f>
        <v/>
      </c>
      <c r="M2196">
        <f>L2196*(1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6">
        <f>L2196*(1-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(1-Summary!$B$11)*S2196+Summary!$B$11*U2196</f>
        <v/>
      </c>
      <c r="P2196">
        <f>IF(B2230=0,0,O2196/B2230)</f>
        <v/>
      </c>
      <c r="Q2196">
        <f>IFERROR(1/(IF(Inputs!$B$39="pvp",15,MAX(0.1,Skills!D9-IF(Skills!E9=TRUE,Inputs!$B$33,0)))*(1-IF(AND(IF(ArtifactsInput!$M$27,FALSE,TRUE),Inputs!$B$4="Chapter Hunt"),CHOOSE(ArtifactsInput!$N$27+1,20,24,28,32,36,40),0)/100)),0)</f>
        <v/>
      </c>
      <c r="R2196">
        <f>IF(AND(Inputs!$B$39&lt;&gt;"pvp",Inputs!$B$44&gt;0),IF(MAX(0,Inputs!$B$44-B2227)&lt;=0,0,(INT(MAX(0,Inputs!$B$44-B2227)/(IF(Inputs!$B$39="pvp",15,MAX(0.1,Skills!D9-IF(Skills!E9=TRUE,Inputs!$B$33,0)))*(1-IF(AND(IF(ArtifactsInput!$M$27,FALSE,TRUE),Inputs!$B$4="Chapter Hunt"),CHOOSE(ArtifactsInput!$N$27+1,20,24,28,32,36,40),0)/100)))+1)),0)</f>
        <v/>
      </c>
      <c r="S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$21+Skills!O9+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2196*(1-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$22+Skills!P9+B2219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Skills!A10</f>
        <v/>
      </c>
      <c r="B2197">
        <f>Skills!B10</f>
        <v/>
      </c>
      <c r="C2197">
        <f>Inputs!$B$3&gt;=66</f>
        <v/>
      </c>
      <c r="D2197">
        <f>IF(Skills!C10=1,60+Inputs!$B$26+Inputs!$B$30,IF(Skills!C10=2,90+Inputs!$B$27+Inputs!$B$30,IF(Skills!C10=3,120+Inputs!$B$28+Inputs!$B$30,MAX(0,(Inputs!$B$3-100)*3)+Inputs!$B$29+Inputs!$B$30)))</f>
        <v/>
      </c>
      <c r="E2197">
        <f>INDEX(FactorTable!$B$2:$Y$301, MATCH(ROUND(MIN(300,MAX(1,D2197)),0), FactorTable!$A$2:$A$301,0), Skills!L10+1)</f>
        <v/>
      </c>
      <c r="F2197" t="n">
        <v>0</v>
      </c>
      <c r="G2197">
        <f>Calc!G10</f>
        <v/>
      </c>
      <c r="H2197">
        <f>Calc!H10</f>
        <v/>
      </c>
      <c r="I2197">
        <f>IF(Skills!T10&lt;&gt;"",1+(Skills!T10/10)*($Z$3/1000)/100,1)</f>
        <v/>
      </c>
      <c r="J2197" t="inlineStr"/>
      <c r="K2197" t="inlineStr"/>
      <c r="L2197" t="inlineStr"/>
      <c r="M2197" t="inlineStr"/>
      <c r="N2197" t="inlineStr"/>
      <c r="O2197">
        <f>(1-Summary!$B$11)*S2197+Summary!$B$11*U2197</f>
        <v/>
      </c>
      <c r="P2197">
        <f>IF(B2230=0,0,O2197/B2230)</f>
        <v/>
      </c>
      <c r="Q2197">
        <f>IFERROR(1/(IF(Inputs!$B$39="pvp",15,MAX(0.1,Skills!D10-IF(Skills!E10=TRUE,Inputs!$B$33,0)))*(1-IF(AND(IF(ArtifactsInput!$M$27,FALSE,TRUE),Inputs!$B$4="Chapter Hunt"),CHOOSE(ArtifactsInput!$N$27+1,20,24,28,32,36,40),0)/100)),0)</f>
        <v/>
      </c>
      <c r="R2197">
        <f>IF(AND(Inputs!$B$39&lt;&gt;"pvp",Inputs!$B$44&gt;0),IF(MAX(0,Inputs!$B$44-B2227)&lt;=0,0,(INT(MAX(0,Inputs!$B$44-B2227)/(IF(Inputs!$B$39="pvp",15,MAX(0.1,Skills!D10-IF(Skills!E10=TRUE,Inputs!$B$33,0)))*(1-IF(AND(IF(ArtifactsInput!$M$27,FALSE,TRUE),Inputs!$B$4="Chapter Hunt"),CHOOSE(ArtifactsInput!$N$27+1,20,24,28,32,36,40),0)/100)))+1)),0)</f>
        <v/>
      </c>
      <c r="S2197" t="n">
        <v>0</v>
      </c>
      <c r="U2197" t="n">
        <v>0</v>
      </c>
    </row>
    <row r="2198">
      <c r="A2198">
        <f>Skills!A11</f>
        <v/>
      </c>
      <c r="B2198">
        <f>Skills!B11</f>
        <v/>
      </c>
      <c r="C2198">
        <f>Inputs!$B$3&gt;=69</f>
        <v/>
      </c>
      <c r="D2198">
        <f>IF(Skills!C11=1,60+Inputs!$B$26+Inputs!$B$30,IF(Skills!C11=2,90+Inputs!$B$27+Inputs!$B$30,IF(Skills!C11=3,120+Inputs!$B$28+Inputs!$B$30,MAX(0,(Inputs!$B$3-100)*3)+Inputs!$B$29+Inputs!$B$30)))</f>
        <v/>
      </c>
      <c r="E2198">
        <f>INDEX(FactorTable!$B$2:$Y$301, MATCH(ROUND(MIN(300,MAX(1,D2198)),0), FactorTable!$A$2:$A$301,0), Skills!L11+1)</f>
        <v/>
      </c>
      <c r="F2198">
        <f>IF(Skills!M11=TRUE,(Skills!K11/10)*(E2198/1000),Skills!K11/10)+Skills!N11</f>
        <v/>
      </c>
      <c r="G2198">
        <f>Calc!G11</f>
        <v/>
      </c>
      <c r="H2198">
        <f>Calc!H11</f>
        <v/>
      </c>
      <c r="I2198">
        <f>IF(Skills!T11&lt;&gt;"",1+(Skills!T11/10)*($Z$3/1000)/100,1)</f>
        <v/>
      </c>
      <c r="J2198" t="inlineStr"/>
      <c r="K2198" t="inlineStr"/>
      <c r="L2198" t="inlineStr"/>
      <c r="M2198" t="inlineStr"/>
      <c r="N2198" t="inlineStr"/>
      <c r="O2198">
        <f>(1-Summary!$B$11)*S2198+Summary!$B$11*U2198</f>
        <v/>
      </c>
      <c r="P2198">
        <f>IF(B2230=0,0,O2198/B2230)</f>
        <v/>
      </c>
      <c r="Q2198">
        <f>IFERROR(1/(IF(Inputs!$B$39="pvp",15,MAX(0.1,Skills!D11-IF(Skills!E11=TRUE,Inputs!$B$33,0)))*(1-IF(AND(IF(ArtifactsInput!$M$27,FALSE,TRUE),Inputs!$B$4="Chapter Hunt"),CHOOSE(ArtifactsInput!$N$27+1,20,24,28,32,36,40),0)/100)),0)</f>
        <v/>
      </c>
      <c r="R2198">
        <f>IF(AND(Inputs!$B$39&lt;&gt;"pvp",Inputs!$B$44&gt;0),IF(Inputs!$B$44&lt;=0,0,(INT(Inputs!$B$44/(IF(Inputs!$B$39="pvp",15,MAX(0.1,Skills!D11-IF(Skills!E11=TRUE,Inputs!$B$33,0)))*(1-IF(AND(IF(ArtifactsInput!$M$27,FALSE,TRUE),Inputs!$B$4="Chapter Hunt"),CHOOSE(ArtifactsInput!$N$27+1,20,24,28,32,36,40),0)/100)))+1)),0)</f>
        <v/>
      </c>
      <c r="S2198" t="n">
        <v>0</v>
      </c>
      <c r="U2198" t="n">
        <v>0</v>
      </c>
    </row>
    <row r="2199">
      <c r="A2199">
        <f>Skills!A12</f>
        <v/>
      </c>
      <c r="B2199">
        <f>Skills!B12</f>
        <v/>
      </c>
      <c r="C2199">
        <f>Inputs!$B$3&gt;=72</f>
        <v/>
      </c>
      <c r="D2199">
        <f>IF(Skills!C12=1,60+Inputs!$B$26+Inputs!$B$30,IF(Skills!C12=2,90+Inputs!$B$27+Inputs!$B$30,IF(Skills!C12=3,120+Inputs!$B$28+Inputs!$B$30,MAX(0,(Inputs!$B$3-100)*3)+Inputs!$B$29+Inputs!$B$30)))</f>
        <v/>
      </c>
      <c r="E2199">
        <f>INDEX(FactorTable!$B$2:$Y$301, MATCH(ROUND(MIN(300,MAX(1,D2199)),0), FactorTable!$A$2:$A$301,0), Skills!L12+1)</f>
        <v/>
      </c>
      <c r="F2199">
        <f>IF(Skills!M12=TRUE,(Skills!K12/10)*(E2199/1000),Skills!K12/10)+Skills!N12</f>
        <v/>
      </c>
      <c r="G2199">
        <f>Calc!G12</f>
        <v/>
      </c>
      <c r="H2199">
        <f>Calc!H12</f>
        <v/>
      </c>
      <c r="I2199">
        <f>IF(Skills!T12&lt;&gt;"",1+(Skills!T12/10)*($Z$3/1000)/100,1)</f>
        <v/>
      </c>
      <c r="J2199" t="inlineStr"/>
      <c r="K2199" t="inlineStr"/>
      <c r="L2199" t="inlineStr"/>
      <c r="M2199" t="inlineStr"/>
      <c r="N2199" t="inlineStr"/>
      <c r="O2199">
        <f>(1-Summary!$B$11)*S2199+Summary!$B$11*U2199</f>
        <v/>
      </c>
      <c r="P2199">
        <f>IF(B2230=0,0,O2199/B2230)</f>
        <v/>
      </c>
      <c r="Q2199">
        <f>IFERROR(1/(IF(Inputs!$B$39="pvp",15,MAX(0.1,Skills!D12-IF(Skills!E12=TRUE,Inputs!$B$33,0)))*(1-IF(AND(IF(ArtifactsInput!$M$27,FALSE,TRUE),Inputs!$B$4="Chapter Hunt"),CHOOSE(ArtifactsInput!$N$27+1,20,24,28,32,36,40),0)/100)),0)</f>
        <v/>
      </c>
      <c r="R2199">
        <f>IF(AND(Inputs!$B$39&lt;&gt;"pvp",Inputs!$B$44&gt;0),IF(MAX(0,Inputs!$B$44-B2227)&lt;=0,0,(INT(MAX(0,Inputs!$B$44-B2227)/(IF(Inputs!$B$39="pvp",15,MAX(0.1,Skills!D12-IF(Skills!E12=TRUE,Inputs!$B$33,0)))*(1-IF(AND(IF(ArtifactsInput!$M$27,FALSE,TRUE),Inputs!$B$4="Chapter Hunt"),CHOOSE(ArtifactsInput!$N$27+1,20,24,28,32,36,40),0)/100)))+1)),0)</f>
        <v/>
      </c>
      <c r="S2199" t="n">
        <v>0</v>
      </c>
      <c r="U2199" t="n">
        <v>0</v>
      </c>
    </row>
    <row r="2200">
      <c r="A2200">
        <f>Skills!A13</f>
        <v/>
      </c>
      <c r="B2200">
        <f>Skills!B13</f>
        <v/>
      </c>
      <c r="C2200">
        <f>Inputs!$B$3&gt;=60</f>
        <v/>
      </c>
      <c r="D2200">
        <f>IF(Skills!C13=1,60+Inputs!$B$26+Inputs!$B$30,IF(Skills!C13=2,90+Inputs!$B$27+Inputs!$B$30,IF(Skills!C13=3,120+Inputs!$B$28+Inputs!$B$30,MAX(0,(Inputs!$B$3-100)*3)+Inputs!$B$29+Inputs!$B$30)))</f>
        <v/>
      </c>
      <c r="E2200">
        <f>INDEX(FactorTable!$B$2:$Y$301, MATCH(ROUND(MIN(300,MAX(1,D2200)),0), FactorTable!$A$2:$A$301,0), Skills!L13+1)</f>
        <v/>
      </c>
      <c r="F2200">
        <f>IF(Skills!M13=TRUE,(Skills!K13/10)*(E2200/1000),Skills!K13/10)+Skills!N13</f>
        <v/>
      </c>
      <c r="G2200">
        <f>Calc!G13</f>
        <v/>
      </c>
      <c r="H2200">
        <f>Calc!H13</f>
        <v/>
      </c>
      <c r="I2200">
        <f>IF(Skills!T13&lt;&gt;"",1+(Skills!T13/10)*($Z$3/1000)/100,1)</f>
        <v/>
      </c>
      <c r="J2200" t="inlineStr"/>
      <c r="K2200" t="inlineStr"/>
      <c r="L2200" t="inlineStr"/>
      <c r="M2200" t="inlineStr"/>
      <c r="N2200" t="inlineStr"/>
      <c r="O2200">
        <f>(1-Summary!$B$11)*S2200+Summary!$B$11*U2200</f>
        <v/>
      </c>
      <c r="P2200">
        <f>IF(B2230=0,0,O2200/B2230)</f>
        <v/>
      </c>
      <c r="Q2200">
        <f>IFERROR(1/(IF(Inputs!$B$39="pvp",15,MAX(0.1,Skills!D13-IF(Skills!E13=TRUE,Inputs!$B$33,0)))*(1-IF(AND(IF(ArtifactsInput!$M$27,FALSE,TRUE),Inputs!$B$4="Chapter Hunt"),CHOOSE(ArtifactsInput!$N$27+1,20,24,28,32,36,40),0)/100)),0)</f>
        <v/>
      </c>
      <c r="R2200">
        <f>IF(AND(Inputs!$B$39&lt;&gt;"pvp",Inputs!$B$44&gt;0),IF(MAX(0,Inputs!$B$44-B2227)&lt;=0,0,(INT(MAX(0,Inputs!$B$44-B2227)/(IF(Inputs!$B$39="pvp",15,MAX(0.1,Skills!D13-IF(Skills!E13=TRUE,Inputs!$B$33,0)))*(1-IF(AND(IF(ArtifactsInput!$M$27,FALSE,TRUE),Inputs!$B$4="Chapter Hunt"),CHOOSE(ArtifactsInput!$N$27+1,20,24,28,32,36,40),0)/100)))+1)),0)</f>
        <v/>
      </c>
      <c r="S2200" t="n">
        <v>0</v>
      </c>
      <c r="U2200" t="n">
        <v>0</v>
      </c>
    </row>
    <row r="2201">
      <c r="A2201">
        <f>Skills!A14</f>
        <v/>
      </c>
      <c r="B2201">
        <f>Skills!B14</f>
        <v/>
      </c>
      <c r="C2201">
        <f>Inputs!$B$3&gt;=107</f>
        <v/>
      </c>
      <c r="D2201">
        <f>IF(Skills!C14=1,60+Inputs!$B$26+Inputs!$B$30,IF(Skills!C14=2,90+Inputs!$B$27+Inputs!$B$30,IF(Skills!C14=3,120+Inputs!$B$28+Inputs!$B$30,MAX(0,(Inputs!$B$3-100)*3)+Inputs!$B$29+Inputs!$B$30)))</f>
        <v/>
      </c>
      <c r="E2201">
        <f>INDEX(FactorTable!$B$2:$Y$301, MATCH(ROUND(MIN(300,MAX(1,D2201)),0), FactorTable!$A$2:$A$301,0), Skills!L14+1)</f>
        <v/>
      </c>
      <c r="F2201">
        <f>IF(Skills!M14=TRUE,(Skills!K14/10)*(E2201/1000),Skills!K14/10)+Skills!N14</f>
        <v/>
      </c>
      <c r="G2201">
        <f>Calc!G14</f>
        <v/>
      </c>
      <c r="H2201">
        <f>Calc!H14</f>
        <v/>
      </c>
      <c r="I2201">
        <f>IF(Skills!T14&lt;&gt;"",1+(Skills!T14/10)*($Z$3/1000)/100,1)</f>
        <v/>
      </c>
      <c r="J2201" t="inlineStr"/>
      <c r="K2201" t="inlineStr"/>
      <c r="L2201" t="inlineStr"/>
      <c r="M2201" t="inlineStr"/>
      <c r="N2201" t="inlineStr"/>
      <c r="O2201">
        <f>(1-Summary!$B$11)*S2201+Summary!$B$11*U2201</f>
        <v/>
      </c>
      <c r="P2201">
        <f>IF(B2230=0,0,O2201/B2230)</f>
        <v/>
      </c>
      <c r="Q2201">
        <f>IFERROR(1/(IF(Inputs!$B$39="pvp",15,MAX(0.1,Skills!D14-IF(Skills!E14=TRUE,Inputs!$B$33,0)))*(1-IF(AND(IF(ArtifactsInput!$M$27,FALSE,TRUE),Inputs!$B$4="Chapter Hunt"),CHOOSE(ArtifactsInput!$N$27+1,20,24,28,32,36,40),0)/100)),0)</f>
        <v/>
      </c>
      <c r="R2201">
        <f>IF(AND(Inputs!$B$39&lt;&gt;"pvp",Inputs!$B$44&gt;0),IF(Inputs!$B$44&lt;=0,0,(INT(Inputs!$B$44/(IF(Inputs!$B$39="pvp",15,MAX(0.1,Skills!D14-IF(Skills!E14=TRUE,Inputs!$B$33,0)))*(1-IF(AND(IF(ArtifactsInput!$M$27,FALSE,TRUE),Inputs!$B$4="Chapter Hunt"),CHOOSE(ArtifactsInput!$N$27+1,20,24,28,32,36,40),0)/100)))+1)),0)</f>
        <v/>
      </c>
      <c r="S2201" t="n">
        <v>0</v>
      </c>
      <c r="U2201" t="n">
        <v>0</v>
      </c>
    </row>
    <row r="2202">
      <c r="A2202">
        <f>Skills!A15</f>
        <v/>
      </c>
      <c r="B2202">
        <f>Skills!B15</f>
        <v/>
      </c>
      <c r="C2202">
        <f>Inputs!$B$3&gt;=63</f>
        <v/>
      </c>
      <c r="D2202">
        <f>IF(Skills!C15=1,60+Inputs!$B$26+Inputs!$B$30,IF(Skills!C15=2,90+Inputs!$B$27+Inputs!$B$30,IF(Skills!C15=3,120+Inputs!$B$28+Inputs!$B$30,MAX(0,(Inputs!$B$3-100)*3)+Inputs!$B$29+Inputs!$B$30)))</f>
        <v/>
      </c>
      <c r="E2202">
        <f>INDEX(FactorTable!$B$2:$Y$301, MATCH(ROUND(MIN(300,MAX(1,D2202)),0), FactorTable!$A$2:$A$301,0), Skills!L15+1)</f>
        <v/>
      </c>
      <c r="F2202">
        <f>IF(Skills!M15=TRUE,(Skills!K15/10)*(E2202/1000),Skills!K15/10)+Skills!N15</f>
        <v/>
      </c>
      <c r="G2202">
        <f>Calc!G15</f>
        <v/>
      </c>
      <c r="H2202">
        <f>Calc!H15</f>
        <v/>
      </c>
      <c r="I2202">
        <f>IF(Skills!T15&lt;&gt;"",1+(Skills!T15/10)*($Z$3/1000)/100,1)</f>
        <v/>
      </c>
      <c r="J2202">
        <f>((Inputs!$B$6*(1+Inputs!$B$7/100))+(((Inputs!$B$13*(1+Inputs!$B$14/100))-(Inputs!$B$13*(1+Inputs!$B$14/100)))+0.25*(Inputs!$B$15-Inputs!$B$15))*(1+Inputs!$B$7/100))*(F2202/100)</f>
        <v/>
      </c>
      <c r="K2202">
        <f>J2202*(1+(((Inputs!$B$13+IF(Inputs!$B$3&gt;=35,(10*INDEX(FactorTable!$B$2:$Y$301,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15="TRIUMPH_FEATHER",IF(C2203=TRUE,F2203,0),0)/100)*(1+IF(C2214=TRUE,F2214,0)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2202)</f>
        <v/>
      </c>
      <c r="L2202">
        <f>K2202*(MIN(Inputs!$B$23+(F2209-Calc!F22),(Inputs!$B$24+IF(ArtifactsInput!$M$15,CHOOSE(ArtifactsInput!$N$15+1,25,30,35,40,45,50)/100*(Inputs!$B$12-Inputs!$B$12),0)))/100+(Inputs!$B$24+IF(ArtifactsInput!$M$15,CHOOSE(ArtifactsInput!$N$15+1,25,30,35,40,45,50)/100*(Inputs!$B$12-Inputs!$B$12),0))/100)/2</f>
        <v/>
      </c>
      <c r="M2202">
        <f>L2202*(1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02">
        <f>L2202*(1-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2202*(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02">
        <f>(1-Summary!$B$11)*S2202+Summary!$B$11*U2202</f>
        <v/>
      </c>
      <c r="P2202">
        <f>IF(B2230=0,0,O2202/B2230)</f>
        <v/>
      </c>
      <c r="Q2202">
        <f>IFERROR(1/(IF(Inputs!$B$39="pvp",15,MAX(0.1,Skills!D15-IF(Skills!E15=TRUE,Inputs!$B$33,0)))*(1-IF(AND(IF(ArtifactsInput!$M$27,FALSE,TRUE),Inputs!$B$4="Chapter Hunt"),CHOOSE(ArtifactsInput!$N$27+1,20,24,28,32,36,40),0)/100)),0)</f>
        <v/>
      </c>
      <c r="R2202" t="n">
        <v>0</v>
      </c>
      <c r="S2202">
        <f>IF(C2202,(Skills!F15*N2202*((IF(Inputs!$B$3&gt;=78,25,15)/100*B2223*10)/(1+IF(Inputs!$B$3&gt;=78,25,15)/100*B2223*10))*(Skills!I15/100*B2223)/(1+Skills!G15*Skills!I15/100*B2223))*IF(Inputs!$B$39="pvp",1,1+(Inputs!$B$21+Skills!O15+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2202*(1-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2202*(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2202*(1-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2202*(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02">
        <f>IF(C2202,(Skills!F15*N2202*((IF(Inputs!$B$3&gt;=78,25,15)/100*B2223*10)/(1+IF(Inputs!$B$3&gt;=78,25,15)/100*B2223*10))*(Skills!I15/100*B2223)/(1+Skills!G15*Skills!I15/100*B2223))*IF(Inputs!$B$39="pvp",1,(1+(Inputs!$B$22+Skills!P15+B2219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3">
      <c r="A2203">
        <f>Skills!A16</f>
        <v/>
      </c>
      <c r="B2203">
        <f>Skills!B16</f>
        <v/>
      </c>
      <c r="C2203">
        <f>Inputs!$B$3&gt;=100</f>
        <v/>
      </c>
      <c r="D2203">
        <f>IF(Skills!C16=1,60+Inputs!$B$26+Inputs!$B$30,IF(Skills!C16=2,90+Inputs!$B$27+Inputs!$B$30,IF(Skills!C16=3,120+Inputs!$B$28+Inputs!$B$30,MAX(0,(Inputs!$B$3-100)*3)+Inputs!$B$29+Inputs!$B$30)))</f>
        <v/>
      </c>
      <c r="E2203">
        <f>INDEX(FactorTable!$B$2:$Y$301, MATCH(ROUND(MIN(300,MAX(1,D2203)),0), FactorTable!$A$2:$A$301,0), Skills!L16+1)</f>
        <v/>
      </c>
      <c r="F2203">
        <f>IF(Skills!M16=TRUE,(Skills!K16/10)*(E2203/1000),Skills!K16/10)+Skills!N16</f>
        <v/>
      </c>
      <c r="G2203">
        <f>Calc!G16</f>
        <v/>
      </c>
      <c r="H2203">
        <f>Calc!H16</f>
        <v/>
      </c>
      <c r="I2203">
        <f>IF(Skills!T16&lt;&gt;"",1+(Skills!T16/10)*($Z$3/1000)/100,1)</f>
        <v/>
      </c>
      <c r="J2203" t="inlineStr"/>
      <c r="K2203" t="inlineStr"/>
      <c r="L2203" t="inlineStr"/>
      <c r="M2203" t="inlineStr"/>
      <c r="N2203" t="inlineStr"/>
      <c r="O2203">
        <f>(1-Summary!$B$11)*S2203+Summary!$B$11*U2203</f>
        <v/>
      </c>
      <c r="P2203">
        <f>IF(B2230=0,0,O2203/B2230)</f>
        <v/>
      </c>
      <c r="Q2203">
        <f>IFERROR(1/(IF(Inputs!$B$39="pvp",15,MAX(0.1,Skills!D16-IF(Skills!E16=TRUE,Inputs!$B$33,0)))*(1-IF(AND(IF(ArtifactsInput!$M$27,FALSE,TRUE),Inputs!$B$4="Chapter Hunt"),CHOOSE(ArtifactsInput!$N$27+1,20,24,28,32,36,40),0)/100)),0)</f>
        <v/>
      </c>
      <c r="R2203" t="n">
        <v>0</v>
      </c>
      <c r="S2203" t="n">
        <v>0</v>
      </c>
      <c r="U2203" t="n">
        <v>0</v>
      </c>
    </row>
    <row r="2204">
      <c r="A2204">
        <f>Skills!A17</f>
        <v/>
      </c>
      <c r="B2204">
        <f>Skills!B17</f>
        <v/>
      </c>
      <c r="C2204">
        <f>Inputs!$B$3&gt;=49</f>
        <v/>
      </c>
      <c r="D2204">
        <f>IF(Skills!C17=1,60+Inputs!$B$26+Inputs!$B$30,IF(Skills!C17=2,90+Inputs!$B$27+Inputs!$B$30,IF(Skills!C17=3,120+Inputs!$B$28+Inputs!$B$30,MAX(0,(Inputs!$B$3-100)*3)+Inputs!$B$29+Inputs!$B$30)))</f>
        <v/>
      </c>
      <c r="E2204">
        <f>INDEX(FactorTable!$B$2:$Y$301, MATCH(ROUND(MIN(300,MAX(1,D2204)),0), FactorTable!$A$2:$A$301,0), Skills!L17+1)</f>
        <v/>
      </c>
      <c r="F2204">
        <f>IF(Skills!M17=TRUE,(Skills!K17/10)*(E2204/1000),Skills!K17/10)+Skills!N17</f>
        <v/>
      </c>
      <c r="G2204">
        <f>Calc!G17</f>
        <v/>
      </c>
      <c r="H2204">
        <f>Calc!H17</f>
        <v/>
      </c>
      <c r="I2204">
        <f>IF(Skills!T17&lt;&gt;"",1+(Skills!T17/10)*($Z$3/1000)/100,1)</f>
        <v/>
      </c>
      <c r="J2204" t="inlineStr"/>
      <c r="K2204" t="inlineStr"/>
      <c r="L2204" t="inlineStr"/>
      <c r="M2204" t="inlineStr"/>
      <c r="N2204" t="inlineStr"/>
      <c r="O2204">
        <f>(1-Summary!$B$11)*S2204+Summary!$B$11*U2204</f>
        <v/>
      </c>
      <c r="P2204">
        <f>IF(B2230=0,0,O2204/B2230)</f>
        <v/>
      </c>
      <c r="Q2204">
        <f>IFERROR(1/(IF(Inputs!$B$39="pvp",15,MAX(0.1,Skills!D17-IF(Skills!E17=TRUE,Inputs!$B$33,0)))*(1-IF(AND(IF(ArtifactsInput!$M$27,FALSE,TRUE),Inputs!$B$4="Chapter Hunt"),CHOOSE(ArtifactsInput!$N$27+1,20,24,28,32,36,40),0)/100)),0)</f>
        <v/>
      </c>
      <c r="R2204" t="n">
        <v>0</v>
      </c>
      <c r="S2204" t="n">
        <v>0</v>
      </c>
      <c r="U2204" t="n">
        <v>0</v>
      </c>
    </row>
    <row r="2205">
      <c r="A2205">
        <f>Skills!A18</f>
        <v/>
      </c>
      <c r="B2205">
        <f>Skills!B18</f>
        <v/>
      </c>
      <c r="C2205">
        <f>Inputs!$B$3&gt;=75</f>
        <v/>
      </c>
      <c r="D2205">
        <f>IF(Skills!C18=1,60+Inputs!$B$26+Inputs!$B$30,IF(Skills!C18=2,90+Inputs!$B$27+Inputs!$B$30,IF(Skills!C18=3,120+Inputs!$B$28+Inputs!$B$30,MAX(0,(Inputs!$B$3-100)*3)+Inputs!$B$29+Inputs!$B$30)))</f>
        <v/>
      </c>
      <c r="E2205">
        <f>INDEX(FactorTable!$B$2:$Y$301, MATCH(ROUND(MIN(300,MAX(1,D2205)),0), FactorTable!$A$2:$A$301,0), Skills!L18+1)</f>
        <v/>
      </c>
      <c r="F2205">
        <f>IF(Skills!M18=TRUE,(Skills!K18/10)*(E2205/1000),Skills!K18/10)+Skills!N18</f>
        <v/>
      </c>
      <c r="G2205">
        <f>Calc!G18</f>
        <v/>
      </c>
      <c r="H2205">
        <f>Calc!H18</f>
        <v/>
      </c>
      <c r="I2205">
        <f>IF(Skills!T18&lt;&gt;"",1+(Skills!T18/10)*($Z$3/1000)/100,1)</f>
        <v/>
      </c>
      <c r="J2205" t="inlineStr"/>
      <c r="K2205" t="inlineStr"/>
      <c r="L2205" t="inlineStr"/>
      <c r="M2205" t="inlineStr"/>
      <c r="N2205" t="inlineStr"/>
      <c r="O2205">
        <f>(1-Summary!$B$11)*S2205+Summary!$B$11*U2205</f>
        <v/>
      </c>
      <c r="P2205">
        <f>IF(B2230=0,0,O2205/B2230)</f>
        <v/>
      </c>
      <c r="Q2205">
        <f>IFERROR(1/(IF(Inputs!$B$39="pvp",15,MAX(0.1,Skills!D18-IF(Skills!E18=TRUE,Inputs!$B$33,0)))*(1-IF(AND(IF(ArtifactsInput!$M$27,FALSE,TRUE),Inputs!$B$4="Chapter Hunt"),CHOOSE(ArtifactsInput!$N$27+1,20,24,28,32,36,40),0)/100)),0)</f>
        <v/>
      </c>
      <c r="R2205" t="n">
        <v>0</v>
      </c>
      <c r="S2205" t="n">
        <v>0</v>
      </c>
      <c r="U2205" t="n">
        <v>0</v>
      </c>
    </row>
    <row r="2206">
      <c r="A2206">
        <f>Skills!A19</f>
        <v/>
      </c>
      <c r="B2206">
        <f>Skills!B19</f>
        <v/>
      </c>
      <c r="C2206">
        <f>Inputs!$B$3&gt;=110</f>
        <v/>
      </c>
      <c r="D2206">
        <f>IF(Skills!C19=1,60+Inputs!$B$26+Inputs!$B$30,IF(Skills!C19=2,90+Inputs!$B$27+Inputs!$B$30,IF(Skills!C19=3,120+Inputs!$B$28+Inputs!$B$30,MAX(0,(Inputs!$B$3-100)*3)+Inputs!$B$29+Inputs!$B$30)))</f>
        <v/>
      </c>
      <c r="E2206">
        <f>INDEX(FactorTable!$B$2:$Y$301, MATCH(ROUND(MIN(300,MAX(1,D2206)),0), FactorTable!$A$2:$A$301,0), Skills!L19+1)</f>
        <v/>
      </c>
      <c r="F2206">
        <f>(Skills!K19/10)*(E2206/1000)*64/45+Skills!N19</f>
        <v/>
      </c>
      <c r="G2206">
        <f>Calc!G19</f>
        <v/>
      </c>
      <c r="H2206">
        <f>Calc!H19</f>
        <v/>
      </c>
      <c r="I2206">
        <f>IF(Skills!T19&lt;&gt;"",1+(Skills!T19/10)*($Z$3/1000)/100,1)</f>
        <v/>
      </c>
      <c r="J2206" t="inlineStr"/>
      <c r="K2206" t="inlineStr"/>
      <c r="L2206" t="inlineStr"/>
      <c r="M2206" t="inlineStr"/>
      <c r="N2206" t="inlineStr"/>
      <c r="O2206">
        <f>(1-Summary!$B$11)*S2206+Summary!$B$11*U2206</f>
        <v/>
      </c>
      <c r="P2206">
        <f>IF(B2230=0,0,O2206/B2230)</f>
        <v/>
      </c>
      <c r="Q2206">
        <f>IFERROR(1/(IF(Inputs!$B$39="pvp",15,MAX(0.1,Skills!D19-IF(Skills!E19=TRUE,Inputs!$B$33,0)))*(1-IF(AND(IF(ArtifactsInput!$M$27,FALSE,TRUE),Inputs!$B$4="Chapter Hunt"),CHOOSE(ArtifactsInput!$N$27+1,20,24,28,32,36,40),0)/100)),0)</f>
        <v/>
      </c>
      <c r="R2206">
        <f>IF(AND(Inputs!$B$39&lt;&gt;"pvp",Inputs!$B$44&gt;0),IF(Inputs!$B$44&lt;=0,0,(INT(Inputs!$B$44/(IF(Inputs!$B$39="pvp",15,MAX(0.1,Skills!D19-IF(Skills!E19=TRUE,Inputs!$B$33,0)))*(1-IF(AND(IF(ArtifactsInput!$M$27,FALSE,TRUE),Inputs!$B$4="Chapter Hunt"),CHOOSE(ArtifactsInput!$N$27+1,20,24,28,32,36,40),0)/100)))+1)),0)</f>
        <v/>
      </c>
      <c r="S2206" t="n">
        <v>0</v>
      </c>
      <c r="U2206" t="n">
        <v>0</v>
      </c>
    </row>
    <row r="2207">
      <c r="A2207">
        <f>Skills!A20</f>
        <v/>
      </c>
      <c r="B2207">
        <f>Skills!B20</f>
        <v/>
      </c>
      <c r="C2207">
        <f>Inputs!$B$3&gt;=125</f>
        <v/>
      </c>
      <c r="D2207">
        <f>IF(Skills!C20=1,60+Inputs!$B$26+Inputs!$B$30,IF(Skills!C20=2,90+Inputs!$B$27+Inputs!$B$30,IF(Skills!C20=3,120+Inputs!$B$28+Inputs!$B$30,MAX(0,(Inputs!$B$3-100)*3)+Inputs!$B$29+Inputs!$B$30)))</f>
        <v/>
      </c>
      <c r="E2207">
        <f>INDEX(FactorTable!$B$2:$Y$301, MATCH(ROUND(MIN(300,MAX(1,D2207)),0), FactorTable!$A$2:$A$301,0), Skills!L20+1)</f>
        <v/>
      </c>
      <c r="F2207">
        <f>IF(Skills!M20=TRUE,(Skills!K20/10)*(E2207/1000),Skills!K20/10)+Skills!N20</f>
        <v/>
      </c>
      <c r="G2207">
        <f>Calc!G20</f>
        <v/>
      </c>
      <c r="H2207">
        <f>Calc!H20</f>
        <v/>
      </c>
      <c r="I2207">
        <f>IF(Skills!T20&lt;&gt;"",1+(Skills!T20/10)*($Z$3/1000)/100,1)</f>
        <v/>
      </c>
      <c r="J2207" t="inlineStr"/>
      <c r="K2207" t="inlineStr"/>
      <c r="L2207" t="inlineStr"/>
      <c r="M2207" t="inlineStr"/>
      <c r="N2207" t="inlineStr"/>
      <c r="O2207">
        <f>(1-Summary!$B$11)*S2207+Summary!$B$11*U2207</f>
        <v/>
      </c>
      <c r="P2207">
        <f>IF(B2230=0,0,O2207/B2230)</f>
        <v/>
      </c>
      <c r="Q2207">
        <f>IFERROR(1/(IF(Inputs!$B$39="pvp",15,MAX(0.1,Skills!D20-IF(Skills!E20=TRUE,Inputs!$B$33,0)))*(1-IF(AND(IF(ArtifactsInput!$M$27,FALSE,TRUE),Inputs!$B$4="Chapter Hunt"),CHOOSE(ArtifactsInput!$N$27+1,20,24,28,32,36,40),0)/100)),0)</f>
        <v/>
      </c>
      <c r="R2207" t="n">
        <v>0</v>
      </c>
      <c r="S2207" t="n">
        <v>0</v>
      </c>
      <c r="U2207" t="n">
        <v>0</v>
      </c>
    </row>
    <row r="2208">
      <c r="A2208">
        <f>Skills!A21</f>
        <v/>
      </c>
      <c r="B2208">
        <f>Skills!B21</f>
        <v/>
      </c>
      <c r="C2208">
        <f>Inputs!$B$3&gt;=33</f>
        <v/>
      </c>
      <c r="D2208">
        <f>IF(Skills!C21=1,60+Inputs!$B$26+Inputs!$B$30,IF(Skills!C21=2,90+Inputs!$B$27+Inputs!$B$30,IF(Skills!C21=3,120+Inputs!$B$28+Inputs!$B$30,MAX(0,(Inputs!$B$3-100)*3)+Inputs!$B$29+Inputs!$B$30)))</f>
        <v/>
      </c>
      <c r="E2208">
        <f>INDEX(FactorTable!$B$2:$Y$301, MATCH(ROUND(MIN(300,MAX(1,D2208)),0), FactorTable!$A$2:$A$301,0), Skills!L21+1)</f>
        <v/>
      </c>
      <c r="F2208">
        <f>IF(Skills!M21=TRUE,(Skills!K21/10)*(E2208/1000),Skills!K21/10)+Skills!N21</f>
        <v/>
      </c>
      <c r="G2208">
        <f>Calc!G21</f>
        <v/>
      </c>
      <c r="H2208">
        <f>Calc!H21</f>
        <v/>
      </c>
      <c r="I2208">
        <f>IF(Skills!T21&lt;&gt;"",1+(Skills!T21/10)*($Z$3/1000)/100,1)</f>
        <v/>
      </c>
      <c r="J2208" t="inlineStr"/>
      <c r="K2208" t="inlineStr"/>
      <c r="L2208" t="inlineStr"/>
      <c r="M2208" t="inlineStr"/>
      <c r="N2208" t="inlineStr"/>
      <c r="O2208">
        <f>(1-Summary!$B$11)*S2208+Summary!$B$11*U2208</f>
        <v/>
      </c>
      <c r="P2208">
        <f>IF(B2230=0,0,O2208/B2230)</f>
        <v/>
      </c>
      <c r="Q2208">
        <f>IFERROR(1/(IF(Inputs!$B$39="pvp",15,MAX(0.1,Skills!D21-IF(Skills!E21=TRUE,Inputs!$B$33,0)))*(1-IF(AND(IF(ArtifactsInput!$M$27,FALSE,TRUE),Inputs!$B$4="Chapter Hunt"),CHOOSE(ArtifactsInput!$N$27+1,20,24,28,32,36,40),0)/100)),0)</f>
        <v/>
      </c>
      <c r="R2208" t="n">
        <v>0</v>
      </c>
      <c r="S2208" t="n">
        <v>0</v>
      </c>
      <c r="U2208" t="n">
        <v>0</v>
      </c>
    </row>
    <row r="2209">
      <c r="A2209">
        <f>Skills!A22</f>
        <v/>
      </c>
      <c r="B2209">
        <f>Skills!B22</f>
        <v/>
      </c>
      <c r="C2209">
        <f>Inputs!$B$3&gt;=43</f>
        <v/>
      </c>
      <c r="D2209">
        <f>IF(Skills!C22=1,60+Inputs!$B$26+Inputs!$B$30,IF(Skills!C22=2,90+Inputs!$B$27+Inputs!$B$30,IF(Skills!C22=3,120+Inputs!$B$28+Inputs!$B$30,MAX(0,(Inputs!$B$3-100)*3)+Inputs!$B$29+Inputs!$B$30)))</f>
        <v/>
      </c>
      <c r="E2209">
        <f>INDEX(FactorTable!$B$2:$Y$301, MATCH(ROUND(MIN(300,MAX(1,D2209)),0), FactorTable!$A$2:$A$301,0), Skills!L22+1)</f>
        <v/>
      </c>
      <c r="F2209">
        <f>IF(Skills!M22=TRUE,(Skills!K22/10)*(E2209/1000),Skills!K22/10)+Skills!N22</f>
        <v/>
      </c>
      <c r="G2209">
        <f>Calc!G22</f>
        <v/>
      </c>
      <c r="H2209">
        <f>Calc!H22</f>
        <v/>
      </c>
      <c r="I2209">
        <f>IF(Skills!T22&lt;&gt;"",1+(Skills!T22/10)*($Z$3/1000)/100,1)</f>
        <v/>
      </c>
      <c r="J2209" t="inlineStr"/>
      <c r="K2209" t="inlineStr"/>
      <c r="L2209" t="inlineStr"/>
      <c r="M2209" t="inlineStr"/>
      <c r="N2209" t="inlineStr"/>
      <c r="O2209">
        <f>(1-Summary!$B$11)*S2209+Summary!$B$11*U2209</f>
        <v/>
      </c>
      <c r="P2209">
        <f>IF(B2230=0,0,O2209/B2230)</f>
        <v/>
      </c>
      <c r="Q2209">
        <f>IFERROR(1/(IF(Inputs!$B$39="pvp",15,MAX(0.1,Skills!D22-IF(Skills!E22=TRUE,Inputs!$B$33,0)))*(1-IF(AND(IF(ArtifactsInput!$M$27,FALSE,TRUE),Inputs!$B$4="Chapter Hunt"),CHOOSE(ArtifactsInput!$N$27+1,20,24,28,32,36,40),0)/100)),0)</f>
        <v/>
      </c>
      <c r="R2209" t="n">
        <v>0</v>
      </c>
      <c r="S2209" t="n">
        <v>0</v>
      </c>
      <c r="U2209" t="n">
        <v>0</v>
      </c>
    </row>
    <row r="2210">
      <c r="A2210">
        <f>Skills!A23</f>
        <v/>
      </c>
      <c r="B2210">
        <f>Skills!B23</f>
        <v/>
      </c>
      <c r="C2210">
        <f>Inputs!$B$3&gt;=50</f>
        <v/>
      </c>
      <c r="D2210">
        <f>IF(Skills!C23=1,60+Inputs!$B$26+Inputs!$B$30,IF(Skills!C23=2,90+Inputs!$B$27+Inputs!$B$30,IF(Skills!C23=3,120+Inputs!$B$28+Inputs!$B$30,MAX(0,(Inputs!$B$3-100)*3)+Inputs!$B$29+Inputs!$B$30)))</f>
        <v/>
      </c>
      <c r="E2210">
        <f>INDEX(FactorTable!$B$2:$Y$301, MATCH(ROUND(MIN(300,MAX(1,D2210)),0), FactorTable!$A$2:$A$301,0), Skills!L23+1)</f>
        <v/>
      </c>
      <c r="F2210">
        <f>IF(Skills!M23=TRUE,(Skills!K23/10)*(E2210/1000),Skills!K23/10)+Skills!N23</f>
        <v/>
      </c>
      <c r="G2210">
        <f>Calc!G23</f>
        <v/>
      </c>
      <c r="H2210">
        <f>Calc!H23</f>
        <v/>
      </c>
      <c r="I2210">
        <f>IF(Skills!T23&lt;&gt;"",1+(Skills!T23/10)*($Z$3/1000)/100,1)</f>
        <v/>
      </c>
      <c r="J2210" t="inlineStr"/>
      <c r="K2210" t="inlineStr"/>
      <c r="L2210" t="inlineStr"/>
      <c r="M2210" t="inlineStr"/>
      <c r="N2210" t="inlineStr"/>
      <c r="O2210">
        <f>(1-Summary!$B$11)*S2210+Summary!$B$11*U2210</f>
        <v/>
      </c>
      <c r="P2210">
        <f>IF(B2230=0,0,O2210/B2230)</f>
        <v/>
      </c>
      <c r="Q2210">
        <f>IFERROR(1/(IF(Inputs!$B$39="pvp",15,MAX(0.1,Skills!D23-IF(Skills!E23=TRUE,Inputs!$B$33,0)))*(1-IF(AND(IF(ArtifactsInput!$M$27,FALSE,TRUE),Inputs!$B$4="Chapter Hunt"),CHOOSE(ArtifactsInput!$N$27+1,20,24,28,32,36,40),0)/100)),0)</f>
        <v/>
      </c>
      <c r="R2210" t="n">
        <v>0</v>
      </c>
      <c r="S2210" t="n">
        <v>0</v>
      </c>
      <c r="U2210" t="n">
        <v>0</v>
      </c>
    </row>
    <row r="2211">
      <c r="A2211">
        <f>Skills!A24</f>
        <v/>
      </c>
      <c r="B2211">
        <f>Skills!B24</f>
        <v/>
      </c>
      <c r="C2211">
        <f>Inputs!$B$3&gt;=74</f>
        <v/>
      </c>
      <c r="D2211">
        <f>IF(Skills!C24=1,60+Inputs!$B$26+Inputs!$B$30,IF(Skills!C24=2,90+Inputs!$B$27+Inputs!$B$30,IF(Skills!C24=3,120+Inputs!$B$28+Inputs!$B$30,MAX(0,(Inputs!$B$3-100)*3)+Inputs!$B$29+Inputs!$B$30)))</f>
        <v/>
      </c>
      <c r="E2211">
        <f>INDEX(FactorTable!$B$2:$Y$301, MATCH(ROUND(MIN(300,MAX(1,D2211)),0), FactorTable!$A$2:$A$301,0), Skills!L24+1)</f>
        <v/>
      </c>
      <c r="F2211">
        <f>IF(Skills!M24=TRUE,(Skills!K24/10)*(E2211/1000),Skills!K24/10)+Skills!N24</f>
        <v/>
      </c>
      <c r="G2211">
        <f>Calc!G24</f>
        <v/>
      </c>
      <c r="H2211">
        <f>Calc!H24</f>
        <v/>
      </c>
      <c r="I2211">
        <f>IF(Skills!T24&lt;&gt;"",1+(Skills!T24/10)*($Z$3/1000)/100,1)</f>
        <v/>
      </c>
      <c r="J2211" t="inlineStr"/>
      <c r="K2211" t="inlineStr"/>
      <c r="L2211" t="inlineStr"/>
      <c r="M2211" t="inlineStr"/>
      <c r="N2211" t="inlineStr"/>
      <c r="O2211">
        <f>(1-Summary!$B$11)*S2211+Summary!$B$11*U2211</f>
        <v/>
      </c>
      <c r="P2211">
        <f>IF(B2230=0,0,O2211/B2230)</f>
        <v/>
      </c>
      <c r="Q2211">
        <f>IFERROR(1/(IF(Inputs!$B$39="pvp",15,MAX(0.1,Skills!D24-IF(Skills!E24=TRUE,Inputs!$B$33,0)))*(1-IF(AND(IF(ArtifactsInput!$M$27,FALSE,TRUE),Inputs!$B$4="Chapter Hunt"),CHOOSE(ArtifactsInput!$N$27+1,20,24,28,32,36,40),0)/100)),0)</f>
        <v/>
      </c>
      <c r="R2211" t="n">
        <v>0</v>
      </c>
      <c r="S2211" t="n">
        <v>0</v>
      </c>
      <c r="U2211" t="n">
        <v>0</v>
      </c>
    </row>
    <row r="2212">
      <c r="A2212">
        <f>Skills!A25</f>
        <v/>
      </c>
      <c r="B2212">
        <f>Skills!B25</f>
        <v/>
      </c>
      <c r="C2212">
        <f>Inputs!$B$3&gt;=74</f>
        <v/>
      </c>
      <c r="D2212">
        <f>IF(Skills!C25=1,60+Inputs!$B$26+Inputs!$B$30,IF(Skills!C25=2,90+Inputs!$B$27+Inputs!$B$30,IF(Skills!C25=3,120+Inputs!$B$28+Inputs!$B$30,MAX(0,(Inputs!$B$3-100)*3)+Inputs!$B$29+Inputs!$B$30)))</f>
        <v/>
      </c>
      <c r="E2212">
        <f>INDEX(FactorTable!$B$2:$Y$301, MATCH(ROUND(MIN(300,MAX(1,D2212)),0), FactorTable!$A$2:$A$301,0), Skills!L25+1)</f>
        <v/>
      </c>
      <c r="F2212">
        <f>IF(Skills!M25=TRUE,(Skills!K25/10)*(E2212/1000),Skills!K25/10)+Skills!N25</f>
        <v/>
      </c>
      <c r="G2212">
        <f>Calc!G25</f>
        <v/>
      </c>
      <c r="H2212">
        <f>Calc!H25</f>
        <v/>
      </c>
      <c r="I2212">
        <f>IF(Skills!T25&lt;&gt;"",1+(Skills!T25/10)*($Z$3/1000)/100,1)</f>
        <v/>
      </c>
      <c r="J2212" t="inlineStr"/>
      <c r="K2212" t="inlineStr"/>
      <c r="L2212" t="inlineStr"/>
      <c r="M2212" t="inlineStr"/>
      <c r="N2212" t="inlineStr"/>
      <c r="O2212">
        <f>(1-Summary!$B$11)*S2212+Summary!$B$11*U2212</f>
        <v/>
      </c>
      <c r="P2212">
        <f>IF(B2230=0,0,O2212/B2230)</f>
        <v/>
      </c>
      <c r="Q2212">
        <f>IFERROR(1/(IF(Inputs!$B$39="pvp",15,MAX(0.1,Skills!D25-IF(Skills!E25=TRUE,Inputs!$B$33,0)))*(1-IF(AND(IF(ArtifactsInput!$M$27,FALSE,TRUE),Inputs!$B$4="Chapter Hunt"),CHOOSE(ArtifactsInput!$N$27+1,20,24,28,32,36,40),0)/100)),0)</f>
        <v/>
      </c>
      <c r="R2212" t="n">
        <v>0</v>
      </c>
      <c r="S2212" t="n">
        <v>0</v>
      </c>
      <c r="U2212" t="n">
        <v>0</v>
      </c>
    </row>
    <row r="2213">
      <c r="A2213">
        <f>Skills!A26</f>
        <v/>
      </c>
      <c r="B2213">
        <f>Skills!B26</f>
        <v/>
      </c>
      <c r="C2213">
        <f>Inputs!$B$3&gt;=117</f>
        <v/>
      </c>
      <c r="D2213">
        <f>IF(Skills!C26=1,60+Inputs!$B$26+Inputs!$B$30,IF(Skills!C26=2,90+Inputs!$B$27+Inputs!$B$30,IF(Skills!C26=3,120+Inputs!$B$28+Inputs!$B$30,MAX(0,(Inputs!$B$3-100)*3)+Inputs!$B$29+Inputs!$B$30)))</f>
        <v/>
      </c>
      <c r="E2213">
        <f>INDEX(FactorTable!$B$2:$Y$301, MATCH(ROUND(MIN(300,MAX(1,D2213)),0), FactorTable!$A$2:$A$301,0), Skills!L26+1)</f>
        <v/>
      </c>
      <c r="F2213">
        <f>IF(Skills!M26=TRUE,(Skills!K26/10)*(E2213/1000),Skills!K26/10)+Skills!N26</f>
        <v/>
      </c>
      <c r="G2213">
        <f>Calc!G26</f>
        <v/>
      </c>
      <c r="H2213">
        <f>Calc!H26</f>
        <v/>
      </c>
      <c r="I2213">
        <f>IF(Skills!T26&lt;&gt;"",1+(Skills!T26/10)*($Z$3/1000)/100,1)</f>
        <v/>
      </c>
      <c r="J2213" t="inlineStr"/>
      <c r="K2213" t="inlineStr"/>
      <c r="L2213" t="inlineStr"/>
      <c r="M2213" t="inlineStr"/>
      <c r="N2213" t="inlineStr"/>
      <c r="O2213">
        <f>(1-Summary!$B$11)*S2213+Summary!$B$11*U2213</f>
        <v/>
      </c>
      <c r="P2213">
        <f>IF(B2230=0,0,O2213/B2230)</f>
        <v/>
      </c>
      <c r="Q2213">
        <f>IFERROR(1/(IF(Inputs!$B$39="pvp",15,MAX(0.1,Skills!D26-IF(Skills!E26=TRUE,Inputs!$B$33,0)))*(1-IF(AND(IF(ArtifactsInput!$M$27,FALSE,TRUE),Inputs!$B$4="Chapter Hunt"),CHOOSE(ArtifactsInput!$N$27+1,20,24,28,32,36,40),0)/100)),0)</f>
        <v/>
      </c>
      <c r="R2213" t="n">
        <v>0</v>
      </c>
      <c r="S2213" t="n">
        <v>0</v>
      </c>
      <c r="U2213" t="n">
        <v>0</v>
      </c>
    </row>
    <row r="2214">
      <c r="A2214">
        <f>Skills!A27</f>
        <v/>
      </c>
      <c r="B2214">
        <f>Skills!B27</f>
        <v/>
      </c>
      <c r="C2214">
        <f>Inputs!$B$3&gt;=120</f>
        <v/>
      </c>
      <c r="D2214">
        <f>IF(Skills!C27=1,60+Inputs!$B$26+Inputs!$B$30,IF(Skills!C27=2,90+Inputs!$B$27+Inputs!$B$30,IF(Skills!C27=3,120+Inputs!$B$28+Inputs!$B$30,MAX(0,(Inputs!$B$3-100)*3)+Inputs!$B$29+Inputs!$B$30)))</f>
        <v/>
      </c>
      <c r="E2214">
        <f>INDEX(FactorTable!$B$2:$Y$301, MATCH(ROUND(MIN(300,MAX(1,D2214)),0), FactorTable!$A$2:$A$301,0), Skills!L27+1)</f>
        <v/>
      </c>
      <c r="F2214">
        <f>IF(Skills!M27=TRUE,(Skills!K27/10)*(E2214/1000),Skills!K27/10)+Skills!N27</f>
        <v/>
      </c>
      <c r="G2214">
        <f>Calc!G27</f>
        <v/>
      </c>
      <c r="H2214">
        <f>Calc!H27</f>
        <v/>
      </c>
      <c r="I2214">
        <f>IF(Skills!T27&lt;&gt;"",1+(Skills!T27/10)*($Z$3/1000)/100,1)</f>
        <v/>
      </c>
      <c r="J2214" t="inlineStr"/>
      <c r="K2214" t="inlineStr"/>
      <c r="L2214" t="inlineStr"/>
      <c r="M2214" t="inlineStr"/>
      <c r="N2214" t="inlineStr"/>
      <c r="O2214">
        <f>(1-Summary!$B$11)*S2214+Summary!$B$11*U2214</f>
        <v/>
      </c>
      <c r="P2214">
        <f>IF(B2230=0,0,O2214/B2230)</f>
        <v/>
      </c>
      <c r="Q2214">
        <f>IFERROR(1/(IF(Inputs!$B$39="pvp",15,MAX(0.1,Skills!D27-IF(Skills!E27=TRUE,Inputs!$B$33,0)))*(1-IF(AND(IF(ArtifactsInput!$M$27,FALSE,TRUE),Inputs!$B$4="Chapter Hunt"),CHOOSE(ArtifactsInput!$N$27+1,20,24,28,32,36,40),0)/100)),0)</f>
        <v/>
      </c>
      <c r="R2214" t="n">
        <v>0</v>
      </c>
      <c r="S2214" t="n">
        <v>0</v>
      </c>
      <c r="U2214" t="n">
        <v>0</v>
      </c>
    </row>
    <row r="2215">
      <c r="A2215">
        <f>Skills!A28</f>
        <v/>
      </c>
      <c r="B2215">
        <f>Skills!B28</f>
        <v/>
      </c>
      <c r="C2215">
        <f>TRUE</f>
        <v/>
      </c>
      <c r="D2215">
        <f>IF(Skills!C28=1,60+Inputs!$B$26+Inputs!$B$30,IF(Skills!C28=2,90+Inputs!$B$27+Inputs!$B$30,IF(Skills!C28=3,120+Inputs!$B$28+Inputs!$B$30,MAX(0,(Inputs!$B$3-100)*3)+Inputs!$B$29+Inputs!$B$30)))</f>
        <v/>
      </c>
      <c r="E2215">
        <f>INDEX(FactorTable!$B$2:$Y$301, MATCH(ROUND(MIN(300,MAX(1,D2215)),0), FactorTable!$A$2:$A$301,0), Skills!L28+1)</f>
        <v/>
      </c>
      <c r="F2215">
        <f>IF(Skills!M28=TRUE,(Skills!K28/10)*(E2215/1000),Skills!K28/10)+Skills!N28</f>
        <v/>
      </c>
      <c r="G2215">
        <f>Calc!G28</f>
        <v/>
      </c>
      <c r="H2215">
        <f>Calc!H28</f>
        <v/>
      </c>
      <c r="I2215">
        <f>IF(Skills!T28&lt;&gt;"",1+(Skills!T28/10)*($Z$3/1000)/100,1)</f>
        <v/>
      </c>
      <c r="J2215" t="inlineStr"/>
      <c r="K2215" t="inlineStr"/>
      <c r="L2215" t="inlineStr"/>
      <c r="M2215" t="inlineStr"/>
      <c r="N2215" t="inlineStr"/>
      <c r="O2215">
        <f>(1-Summary!$B$11)*S2215+Summary!$B$11*U2215</f>
        <v/>
      </c>
      <c r="P2215">
        <f>IF(B2230=0,0,O2215/B2230)</f>
        <v/>
      </c>
      <c r="Q2215">
        <f>IFERROR(1/(IF(Inputs!$B$39="pvp",15,MAX(0.1,Skills!D28-IF(Skills!E28=TRUE,Inputs!$B$33,0)))*(1-IF(AND(IF(ArtifactsInput!$M$27,FALSE,TRUE),Inputs!$B$4="Chapter Hunt"),CHOOSE(ArtifactsInput!$N$27+1,20,24,28,32,36,40),0)/100)),0)</f>
        <v/>
      </c>
      <c r="R2215">
        <f>IF(AND(Inputs!$B$39&lt;&gt;"pvp",Inputs!$B$44&gt;0),IF(Inputs!$B$44&lt;=0,0,(INT(Inputs!$B$44/(IF(Inputs!$B$39="pvp",15,MAX(0.1,Skills!D28-IF(Skills!E28=TRUE,Inputs!$B$33,0)))*(1-IF(AND(IF(ArtifactsInput!$M$27,FALSE,TRUE),Inputs!$B$4="Chapter Hunt"),CHOOSE(ArtifactsInput!$N$27+1,20,24,28,32,36,40),0)/100)))+1)),0)</f>
        <v/>
      </c>
      <c r="S2215" t="n">
        <v>0</v>
      </c>
      <c r="U2215" t="n">
        <v>0</v>
      </c>
    </row>
    <row r="2217">
      <c r="A2217" t="inlineStr">
        <is>
          <t>Average Buff Multiplier</t>
        </is>
      </c>
      <c r="B2217">
        <f>(1+(IF(C2190=TRUE,F2190*IF(AND(Inputs!$B$39&lt;&gt;"pvp",Inputs!$B$44&gt;0),(((R2190-1)*(Skills!S3*(1+((Inputs!$B$35+(ArtifactsInput!$M$7-ArtifactsInput!$M$7)*CHOOSE(ArtifactsInput!$N$7+1,6,7.2,8.4,9.6,10.8,12))+IF(Inputs!$B$3&gt;=117,F2213,0))/100))+MIN((Skills!S3*(1+((Inputs!$B$35+(ArtifactsInput!$M$7-ArtifactsInput!$M$7)*CHOOSE(ArtifactsInput!$N$7+1,6,7.2,8.4,9.6,10.8,12))+IF(Inputs!$B$3&gt;=117,F2213,0))/100)),MAX(0,Inputs!$B$44-((R2190-1)*Skills!D3))))/Inputs!$B$44),IF(Inputs!$B$39="pvp",MIN((Skills!S3*(1+((Inputs!$B$35+(ArtifactsInput!$M$7-ArtifactsInput!$M$7)*CHOOSE(ArtifactsInput!$N$7+1,6,7.2,8.4,9.6,10.8,12))+IF(Inputs!$B$3&gt;=117,F2213,0))/100)),15)/15,(Skills!S3*(1+((Inputs!$B$35+(ArtifactsInput!$M$7-ArtifactsInput!$M$7)*CHOOSE(ArtifactsInput!$N$7+1,6,7.2,8.4,9.6,10.8,12))+IF(Inputs!$B$3&gt;=117,F2213,0))/100))/Skills!D3)),0)+IF(C2191=TRUE,F2191*IF(AND(Inputs!$B$39&lt;&gt;"pvp",Inputs!$B$44&gt;0),(((R2191-1)*(Skills!S4*(1+((Inputs!$B$35+(ArtifactsInput!$M$7-ArtifactsInput!$M$7)*CHOOSE(ArtifactsInput!$N$7+1,6,7.2,8.4,9.6,10.8,12))+IF(Inputs!$B$3&gt;=117,F2213,0))/100))+MIN((Skills!S4*(1+((Inputs!$B$35+(ArtifactsInput!$M$7-ArtifactsInput!$M$7)*CHOOSE(ArtifactsInput!$N$7+1,6,7.2,8.4,9.6,10.8,12))+IF(Inputs!$B$3&gt;=117,F2213,0))/100)),MAX(0,Inputs!$B$44-((R2191-1)*Skills!D4))))/Inputs!$B$44),IF(Inputs!$B$39="pvp",MIN((Skills!S4*(1+((Inputs!$B$35+(ArtifactsInput!$M$7-ArtifactsInput!$M$7)*CHOOSE(ArtifactsInput!$N$7+1,6,7.2,8.4,9.6,10.8,12))+IF(Inputs!$B$3&gt;=117,F2213,0))/100)),15)/15,(Skills!S4*(1+((Inputs!$B$35+(ArtifactsInput!$M$7-ArtifactsInput!$M$7)*CHOOSE(ArtifactsInput!$N$7+1,6,7.2,8.4,9.6,10.8,12))+IF(Inputs!$B$3&gt;=117,F2213,0))/100))/Skills!D4)),0)+IF(C2192=TRUE,F2192*IF(AND(Inputs!$B$39&lt;&gt;"pvp",Inputs!$B$44&gt;0),(((R2192-1)*(Skills!S5*(1+((Inputs!$B$35+(ArtifactsInput!$M$7-ArtifactsInput!$M$7)*CHOOSE(ArtifactsInput!$N$7+1,6,7.2,8.4,9.6,10.8,12))+IF(Inputs!$B$3&gt;=117,F2213,0))/100))+MIN((Skills!S5*(1+((Inputs!$B$35+(ArtifactsInput!$M$7-ArtifactsInput!$M$7)*CHOOSE(ArtifactsInput!$N$7+1,6,7.2,8.4,9.6,10.8,12))+IF(Inputs!$B$3&gt;=117,F2213,0))/100)),MAX(0,Inputs!$B$44-((R2192-1)*Skills!D5))))/Inputs!$B$44),IF(Inputs!$B$39="pvp",MIN((Skills!S5*(1+((Inputs!$B$35+(ArtifactsInput!$M$7-ArtifactsInput!$M$7)*CHOOSE(ArtifactsInput!$N$7+1,6,7.2,8.4,9.6,10.8,12))+IF(Inputs!$B$3&gt;=117,F2213,0))/100)),15)/15,(Skills!S5*(1+((Inputs!$B$35+(ArtifactsInput!$M$7-ArtifactsInput!$M$7)*CHOOSE(ArtifactsInput!$N$7+1,6,7.2,8.4,9.6,10.8,12))+IF(Inputs!$B$3&gt;=117,F2213,0))/100))/Skills!D5)),0)+IF(C2198=TRUE,F2198*IF(AND(Inputs!$B$39&lt;&gt;"pvp",Inputs!$B$44&gt;0),(((R2198-1)*(Skills!S11*(1+((Inputs!$B$35+(ArtifactsInput!$M$7-ArtifactsInput!$M$7)*CHOOSE(ArtifactsInput!$N$7+1,6,7.2,8.4,9.6,10.8,12))+IF(Inputs!$B$3&gt;=117,F2213,0))/100))+MIN((Skills!S11*(1+((Inputs!$B$35+(ArtifactsInput!$M$7-ArtifactsInput!$M$7)*CHOOSE(ArtifactsInput!$N$7+1,6,7.2,8.4,9.6,10.8,12))+IF(Inputs!$B$3&gt;=117,F2213,0))/100)),MAX(0,Inputs!$B$44-((R2198-1)*Skills!D11))))/Inputs!$B$44),IF(Inputs!$B$39="pvp",MIN((Skills!S11*(1+((Inputs!$B$35+(ArtifactsInput!$M$7-ArtifactsInput!$M$7)*CHOOSE(ArtifactsInput!$N$7+1,6,7.2,8.4,9.6,10.8,12))+IF(Inputs!$B$3&gt;=117,F2213,0))/100)),15)/15,(Skills!S11*(1+((Inputs!$B$35+(ArtifactsInput!$M$7-ArtifactsInput!$M$7)*CHOOSE(ArtifactsInput!$N$7+1,6,7.2,8.4,9.6,10.8,12))+IF(Inputs!$B$3&gt;=117,F2213,0)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2201=TRUE,(1+F2201*IF(AND(Inputs!$B$39&lt;&gt;"pvp",Inputs!$B$44&gt;0),(((R2201-1)*(Skills!S14*(1+((Inputs!$B$35+(ArtifactsInput!$M$7-ArtifactsInput!$M$7)*CHOOSE(ArtifactsInput!$N$7+1,6,7.2,8.4,9.6,10.8,12))+IF(Inputs!$B$3&gt;=117,F2213,0))/100))+MIN((Skills!S14*(1+((Inputs!$B$35+(ArtifactsInput!$M$7-ArtifactsInput!$M$7)*CHOOSE(ArtifactsInput!$N$7+1,6,7.2,8.4,9.6,10.8,12))+IF(Inputs!$B$3&gt;=117,F2213,0))/100)),MAX(0,Inputs!$B$44-((R2201-1)*Skills!D14))))/Inputs!$B$44),IF(Inputs!$B$39="pvp",MIN((Skills!S14*(1+((Inputs!$B$35+(ArtifactsInput!$M$7-ArtifactsInput!$M$7)*CHOOSE(ArtifactsInput!$N$7+1,6,7.2,8.4,9.6,10.8,12))+IF(Inputs!$B$3&gt;=117,F2213,0))/100)),15)/15,(Skills!S14*(1+((Inputs!$B$35+(ArtifactsInput!$M$7-ArtifactsInput!$M$7)*CHOOSE(ArtifactsInput!$N$7+1,6,7.2,8.4,9.6,10.8,12))+IF(Inputs!$B$3&gt;=117,F2213,0))/100))/Skills!D14))/100),1)*IF(C2206=TRUE,(1+F2206*IF(AND(Inputs!$B$39&lt;&gt;"pvp",Inputs!$B$44&gt;0),(((R2206-1)*(Skills!S19*(1+((Inputs!$B$35+(ArtifactsInput!$M$7-ArtifactsInput!$M$7)*CHOOSE(ArtifactsInput!$N$7+1,6,7.2,8.4,9.6,10.8,12))+IF(Inputs!$B$3&gt;=117,F2213,0))/100))+MIN((Skills!S19*(1+((Inputs!$B$35+(ArtifactsInput!$M$7-ArtifactsInput!$M$7)*CHOOSE(ArtifactsInput!$N$7+1,6,7.2,8.4,9.6,10.8,12))+IF(Inputs!$B$3&gt;=117,F2213,0))/100)),MAX(0,Inputs!$B$44-((R2206-1)*Skills!D19))))/Inputs!$B$44),IF(Inputs!$B$39="pvp",MIN((Skills!S19*(1+((Inputs!$B$35+(ArtifactsInput!$M$7-ArtifactsInput!$M$7)*CHOOSE(ArtifactsInput!$N$7+1,6,7.2,8.4,9.6,10.8,12))+IF(Inputs!$B$3&gt;=117,F2213,0))/100)),15)/15,(Skills!S19*(1+((Inputs!$B$35+(ArtifactsInput!$M$7-ArtifactsInput!$M$7)*CHOOSE(ArtifactsInput!$N$7+1,6,7.2,8.4,9.6,10.8,12))+IF(Inputs!$B$3&gt;=117,F2213,0))/100))/Skills!D19))/100),1)</f>
        <v/>
      </c>
    </row>
    <row r="2218">
      <c r="A2218" t="inlineStr">
        <is>
          <t>Monster Damage Taken Bonus % (Holy Fountain)</t>
        </is>
      </c>
      <c r="B2218">
        <f>IF(Inputs!$B$3&gt;=68,20*IF(Inputs!$B$39="pvp",MIN((15*(1+((Inputs!$B$35+(ArtifactsInput!$M$7-ArtifactsInput!$M$7)*CHOOSE(ArtifactsInput!$N$7+1,6,7.2,8.4,9.6,10.8,12))+IF(Inputs!$B$3&gt;=117,F2213,0))/100)),15)/15,(15*(1+((Inputs!$B$35+(ArtifactsInput!$M$7-ArtifactsInput!$M$7)*CHOOSE(ArtifactsInput!$N$7+1,6,7.2,8.4,9.6,10.8,12))+IF(Inputs!$B$3&gt;=117,F2213,0))/100))/Skills!D10),0)</f>
        <v/>
      </c>
    </row>
    <row r="2219">
      <c r="A2219" t="inlineStr">
        <is>
          <t>Normal Monster Damage Bonus % (Holy Symbol)</t>
        </is>
      </c>
      <c r="B2219">
        <f>IF(C2199=TRUE,F2199*IF(AND(Inputs!$B$39&lt;&gt;"pvp",Inputs!$B$44&gt;0),(((R2199-1)*(Skills!S12*(1+((Inputs!$B$35+(ArtifactsInput!$M$7-ArtifactsInput!$M$7)*CHOOSE(ArtifactsInput!$N$7+1,6,7.2,8.4,9.6,10.8,12))+IF(Inputs!$B$3&gt;=117,F2213,0))/100))+MIN((Skills!S12*(1+((Inputs!$B$35+(ArtifactsInput!$M$7-ArtifactsInput!$M$7)*CHOOSE(ArtifactsInput!$N$7+1,6,7.2,8.4,9.6,10.8,12))+IF(Inputs!$B$3&gt;=117,F2213,0))/100)),MAX(0,Inputs!$B$44-((R2199-1)*Skills!D12))))/Inputs!$B$44),IF(Inputs!$B$39="pvp",MIN((Skills!S12*(1+((Inputs!$B$35+(ArtifactsInput!$M$7-ArtifactsInput!$M$7)*CHOOSE(ArtifactsInput!$N$7+1,6,7.2,8.4,9.6,10.8,12))+IF(Inputs!$B$3&gt;=117,F2213,0))/100)),15)/15,(Skills!S12*(1+((Inputs!$B$35+(ArtifactsInput!$M$7-ArtifactsInput!$M$7)*CHOOSE(ArtifactsInput!$N$7+1,6,7.2,8.4,9.6,10.8,12))+IF(Inputs!$B$3&gt;=117,F2213,0))/100))/Skills!D12)),0)</f>
        <v/>
      </c>
    </row>
    <row r="2220">
      <c r="A2220" t="inlineStr">
        <is>
          <t>Damage % Bonus (Holy Symbol - Damage Boost)</t>
        </is>
      </c>
      <c r="B2220">
        <f>Skills!O12</f>
        <v/>
      </c>
    </row>
    <row r="2221">
      <c r="A2221" t="inlineStr">
        <is>
          <t>Crit Damage % Bonus (Blood of the Divine)</t>
        </is>
      </c>
      <c r="B2221">
        <f>4*IF(C2207=TRUE,F2207,0)</f>
        <v/>
      </c>
    </row>
    <row r="2222">
      <c r="A2222" t="inlineStr">
        <is>
          <t>Attack Speed Bonus %</t>
        </is>
      </c>
      <c r="B2222">
        <f>IF(C2204=TRUE,F2204+(F2208-Calc!F21),0)+IF(Inputs!$B$3&gt;=134,15,0)+((C2215=TRUE)*F2215*IF(AND(Inputs!$B$39&lt;&gt;"pvp",Inputs!$B$44&gt;0),(((R2215-1)*(Skills!S28*(1+((Inputs!$B$35+(ArtifactsInput!$M$7-ArtifactsInput!$M$7)*CHOOSE(ArtifactsInput!$N$7+1,6,7.2,8.4,9.6,10.8,12))+IF(Inputs!$B$3&gt;=117,F2213,0))/100))+MIN((Skills!S28*(1+((Inputs!$B$35+(ArtifactsInput!$M$7-ArtifactsInput!$M$7)*CHOOSE(ArtifactsInput!$N$7+1,6,7.2,8.4,9.6,10.8,12))+IF(Inputs!$B$3&gt;=117,F2213,0))/100)),MAX(0,Inputs!$B$44-((R2215-1)*Skills!D28))))/Inputs!$B$44),IF(Inputs!$B$39="pvp",MIN((Skills!S28*(1+((Inputs!$B$35+(ArtifactsInput!$M$7-ArtifactsInput!$M$7)*CHOOSE(ArtifactsInput!$N$7+1,6,7.2,8.4,9.6,10.8,12))+IF(Inputs!$B$3&gt;=117,F2213,0))/100)),15)/15,(Skills!S28*(1+((Inputs!$B$35+(ArtifactsInput!$M$7-ArtifactsInput!$M$7)*CHOOSE(ArtifactsInput!$N$7+1,6,7.2,8.4,9.6,10.8,12))+IF(Inputs!$B$3&gt;=117,F2213,0))/100))/Skills!D28)))</f>
        <v/>
      </c>
    </row>
    <row r="2223">
      <c r="A2223" t="inlineStr">
        <is>
          <t>Actions Per Second</t>
        </is>
      </c>
      <c r="B2223">
        <f>1+MIN(150,150*(1-(1-Inputs!$B$12/150)*(1-B2222/150)))/100</f>
        <v/>
      </c>
    </row>
    <row r="2224">
      <c r="A2224" t="inlineStr">
        <is>
          <t>Skill + Buff Cast Rate</t>
        </is>
      </c>
      <c r="B2224">
        <f>IF(AND(Inputs!$B$39&lt;&gt;"pvp",Inputs!$B$44&gt;0),SUMPRODUCT((Skills!E2:E28=TRUE)*(C2189:C2215=TRUE)*R2189:R2215)/Inputs!$B$44,SUMPRODUCT((Skills!E2:E28=TRUE)*(C2189:C2215=TRUE)*Q2189:Q2215))</f>
        <v/>
      </c>
    </row>
    <row r="2225">
      <c r="A2225" t="inlineStr">
        <is>
          <t>Big Bang Casts Per Second</t>
        </is>
      </c>
      <c r="B2225">
        <f>MAX(0,B2223-B2224)</f>
        <v/>
      </c>
    </row>
    <row r="2226">
      <c r="A2226" t="inlineStr">
        <is>
          <t>Defense % Bonus (Divine Protection)</t>
        </is>
      </c>
      <c r="B2226">
        <f>IF(C2200=TRUE,F2200*IF(AND(Inputs!$B$39&lt;&gt;"pvp",Inputs!$B$44&gt;0),(((R2200-1)*(Skills!S13*(1+((Inputs!$B$35+(ArtifactsInput!$M$7-ArtifactsInput!$M$7)*CHOOSE(ArtifactsInput!$N$7+1,6,7.2,8.4,9.6,10.8,12))+IF(Inputs!$B$3&gt;=117,F2213,0))/100))+MIN((Skills!S13*(1+((Inputs!$B$35+(ArtifactsInput!$M$7-ArtifactsInput!$M$7)*CHOOSE(ArtifactsInput!$N$7+1,6,7.2,8.4,9.6,10.8,12))+IF(Inputs!$B$3&gt;=117,F2213,0))/100)),MAX(0,Inputs!$B$44-((R2200-1)*Skills!D13))))/Inputs!$B$44),IF(Inputs!$B$39="pvp",MIN((Skills!S13*(1+((Inputs!$B$35+(ArtifactsInput!$M$7-ArtifactsInput!$M$7)*CHOOSE(ArtifactsInput!$N$7+1,6,7.2,8.4,9.6,10.8,12))+IF(Inputs!$B$3&gt;=117,F2213,0))/100)),15)/15,(Skills!S13*(1+((Inputs!$B$35+(ArtifactsInput!$M$7-ArtifactsInput!$M$7)*CHOOSE(ArtifactsInput!$N$7+1,6,7.2,8.4,9.6,10.8,12))+IF(Inputs!$B$3&gt;=117,F2213,0))/100))/Skills!D13)),0)</f>
        <v/>
      </c>
    </row>
    <row r="2227">
      <c r="A2227" t="inlineStr">
        <is>
          <t>Buff-Casting Startup Delay (s, fixed-duration only)</t>
        </is>
      </c>
      <c r="B2227">
        <f>IF(AND(Inputs!$B$39&lt;&gt;"pvp",Inputs!$B$44&gt;0),SUMPRODUCT((Skills!S2:S28&gt;0)*(Skills!E2:E28=TRUE)*(C2189:C2215=TRUE))/B2223,0)</f>
        <v/>
      </c>
    </row>
    <row r="2228">
      <c r="A2228" t="inlineStr">
        <is>
          <t>Boss-Only Total DPS (this block's swept value)</t>
        </is>
      </c>
      <c r="B2228">
        <f>SUM(S2189:S2215)</f>
        <v/>
      </c>
    </row>
    <row r="2229">
      <c r="A2229" t="inlineStr">
        <is>
          <t>Normal-Only Total DPS (this block's swept value)</t>
        </is>
      </c>
      <c r="B2229">
        <f>SUM(U2189:U2215)</f>
        <v/>
      </c>
    </row>
    <row r="2230">
      <c r="A2230" s="6" t="inlineStr">
        <is>
          <t>TOTAL DPS</t>
        </is>
      </c>
      <c r="B2230" s="6">
        <f>SUM(O2189:O2215)</f>
        <v/>
      </c>
    </row>
    <row r="2232">
      <c r="A2232" s="6" t="inlineStr">
        <is>
          <t>Stat: Lit Lamp (Equip)</t>
        </is>
      </c>
    </row>
    <row r="2233">
      <c r="A2233" s="5" t="inlineStr">
        <is>
          <t>Key</t>
        </is>
      </c>
      <c r="B2233" s="5" t="inlineStr">
        <is>
          <t>Name</t>
        </is>
      </c>
      <c r="C2233" s="5" t="inlineStr">
        <is>
          <t>Unlocked</t>
        </is>
      </c>
      <c r="D2233" s="5" t="inlineStr">
        <is>
          <t>InputLevel</t>
        </is>
      </c>
      <c r="E2233" s="5" t="inlineStr">
        <is>
          <t>Factor</t>
        </is>
      </c>
      <c r="F2233" s="5" t="inlineStr">
        <is>
          <t>CoefficientPercent</t>
        </is>
      </c>
      <c r="G2233" s="5" t="inlineStr">
        <is>
          <t>EffectiveHits</t>
        </is>
      </c>
      <c r="H2233" s="5" t="inlineStr">
        <is>
          <t>ProcProbability</t>
        </is>
      </c>
      <c r="I2233" s="5" t="inlineStr">
        <is>
          <t>MapleHeroMultiplier</t>
        </is>
      </c>
      <c r="J2233" s="5" t="inlineStr">
        <is>
          <t>BaseDamage</t>
        </is>
      </c>
      <c r="K2233" s="5" t="inlineStr">
        <is>
          <t>BaseHitDamage</t>
        </is>
      </c>
      <c r="L2233" s="5" t="inlineStr">
        <is>
          <t>NonCritAvg</t>
        </is>
      </c>
      <c r="M2233" s="5" t="inlineStr">
        <is>
          <t>CritAvg</t>
        </is>
      </c>
      <c r="N2233" s="5" t="inlineStr">
        <is>
          <t>ExpectedDamage(perHit)</t>
        </is>
      </c>
      <c r="O2233" s="5" t="inlineStr">
        <is>
          <t>DPS</t>
        </is>
      </c>
      <c r="P2233" s="5" t="inlineStr">
        <is>
          <t>% of Total</t>
        </is>
      </c>
      <c r="R2233" t="inlineStr">
        <is>
          <t>helpers</t>
        </is>
      </c>
    </row>
    <row r="2234">
      <c r="A2234">
        <f>Skills!A2</f>
        <v/>
      </c>
      <c r="B2234">
        <f>Skills!B2</f>
        <v/>
      </c>
      <c r="C2234">
        <f>Inputs!$B$3&gt;=100</f>
        <v/>
      </c>
      <c r="D2234" t="inlineStr"/>
      <c r="E2234" t="inlineStr"/>
      <c r="F2234">
        <f>T2236+Skills!N2</f>
        <v/>
      </c>
      <c r="G2234">
        <f>Calc!G2</f>
        <v/>
      </c>
      <c r="H2234">
        <f>Calc!H2</f>
        <v/>
      </c>
      <c r="I2234">
        <f>IF(Skills!T2&lt;&gt;"",1+(Skills!T2/10)*($Z$3/1000)/100,1)</f>
        <v/>
      </c>
      <c r="J2234">
        <f>((Inputs!$B$6*(1+Inputs!$B$7/100))+(((Inputs!$B$13*(1+Inputs!$B$14/100))-(Inputs!$B$13*(1+Inputs!$B$14/100)))+0.25*(Inputs!$B$15-Inputs!$B$15))*(1+Inputs!$B$7/100))*(F2234/100)</f>
        <v/>
      </c>
      <c r="K2234">
        <f>J2234*(1+(((Inputs!$B$13+IF(Inputs!$B$3&gt;=35,(10*INDEX(FactorTable!$B$2:$Y$301,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2="TRIUMPH_FEATHER",IF(C2248=TRUE,F2248,0),0)/100)*(1+IF(C2259=TRUE,F2259,0)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2234)</f>
        <v/>
      </c>
      <c r="L2234">
        <f>K2234*(MIN(Inputs!$B$23+(F2254-Calc!F22),(Inputs!$B$24+IF(ArtifactsInput!$M$15,CHOOSE(ArtifactsInput!$N$15+1,25,30,35,40,45,50)/100*(Inputs!$B$12-Inputs!$B$12),0)))/100+(Inputs!$B$24+IF(ArtifactsInput!$M$15,CHOOSE(ArtifactsInput!$N$15+1,25,30,35,40,45,50)/100*(Inputs!$B$12-Inputs!$B$12),0))/100)/2</f>
        <v/>
      </c>
      <c r="M2234">
        <f>L2234*(1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4">
        <f>L2234*(1-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(1-Summary!$B$11)*S2234+Summary!$B$11*U2234</f>
        <v/>
      </c>
      <c r="P2234">
        <f>IF(B2275=0,0,O2234/B2275)</f>
        <v/>
      </c>
      <c r="Q2234">
        <f>IFERROR(1/(IF(Inputs!$B$39="pvp",15,MAX(0.1,Skills!D2-IF(Skills!E2=TRUE,Inputs!$B$33,0)))*(1-IF(AND(ArtifactsInput!$M$27,Inputs!$B$4="Chapter Hunt"),CHOOSE(ArtifactsInput!$N$27+1,20,24,28,32,36,40),0)/100)),0)</f>
        <v/>
      </c>
      <c r="R2234" t="n">
        <v>0</v>
      </c>
      <c r="S2234">
        <f>IF(C2234,(Skills!F2*N2234*B2270)*IF(Inputs!$B$39="pvp",1,1+(Inputs!$B$21+Skills!O2+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34">
        <f>MAX(0,(Inputs!$B$3-100)*3)+Inputs!$B$29+Inputs!$B$30</f>
        <v/>
      </c>
      <c r="U2234">
        <f>IF(C2234,(Skills!F2*N2234*B2270)*IF(Inputs!$B$39="pvp",1,(1+(Inputs!$B$22+Skills!P2+B2264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Skills!A3</f>
        <v/>
      </c>
      <c r="B2235">
        <f>Skills!B3</f>
        <v/>
      </c>
      <c r="C2235">
        <f>Inputs!$B$3&gt;=15</f>
        <v/>
      </c>
      <c r="D2235">
        <f>IF(Skills!C3=1,60+Inputs!$B$26+Inputs!$B$30,IF(Skills!C3=2,90+Inputs!$B$27+Inputs!$B$30,IF(Skills!C3=3,120+Inputs!$B$28+Inputs!$B$30,MAX(0,(Inputs!$B$3-100)*3)+Inputs!$B$29+Inputs!$B$30)))</f>
        <v/>
      </c>
      <c r="E2235">
        <f>INDEX(FactorTable!$B$2:$Y$301, MATCH(ROUND(MIN(300,MAX(1,D2235)),0), FactorTable!$A$2:$A$301,0), Skills!L3+1)</f>
        <v/>
      </c>
      <c r="F2235">
        <f>IF(Skills!M3=TRUE,(Skills!K3/10)*(E2235/1000),Skills!K3/10)+Skills!N3</f>
        <v/>
      </c>
      <c r="G2235">
        <f>Calc!G3</f>
        <v/>
      </c>
      <c r="H2235">
        <f>Calc!H3</f>
        <v/>
      </c>
      <c r="I2235">
        <f>IF(Skills!T3&lt;&gt;"",1+(Skills!T3/10)*($Z$3/1000)/100,1)</f>
        <v/>
      </c>
      <c r="J2235" t="inlineStr"/>
      <c r="K2235" t="inlineStr"/>
      <c r="L2235" t="inlineStr"/>
      <c r="M2235" t="inlineStr"/>
      <c r="N2235" t="inlineStr"/>
      <c r="O2235">
        <f>(1-Summary!$B$11)*S2235+Summary!$B$11*U2235</f>
        <v/>
      </c>
      <c r="P2235">
        <f>IF(B2275=0,0,O2235/B2275)</f>
        <v/>
      </c>
      <c r="Q2235">
        <f>IFERROR(1/(IF(Inputs!$B$39="pvp",15,MAX(0.1,Skills!D3-IF(Skills!E3=TRUE,Inputs!$B$33,0)))*(1-IF(AND(ArtifactsInput!$M$27,Inputs!$B$4="Chapter Hunt"),CHOOSE(ArtifactsInput!$N$27+1,20,24,28,32,36,40),0)/100)),0)</f>
        <v/>
      </c>
      <c r="R2235">
        <f>IF(AND(Inputs!$B$39&lt;&gt;"pvp",Inputs!$B$44&gt;0),IF(Inputs!$B$44&lt;=0,0,(INT(Inputs!$B$44/(IF(Inputs!$B$39="pvp",15,MAX(0.1,Skills!D3-IF(Skills!E3=TRUE,Inputs!$B$33,0)))*(1-IF(AND(ArtifactsInput!$M$27,Inputs!$B$4="Chapter Hunt"),CHOOSE(ArtifactsInput!$N$27+1,20,24,28,32,36,40),0)/100)))+1)),0)</f>
        <v/>
      </c>
      <c r="S2235" t="n">
        <v>0</v>
      </c>
      <c r="T2235">
        <f>INDEX(FactorTable!$B$2:$Y$301, MATCH(ROUND(MIN(300,MAX(1,T2234)),0), FactorTable!$A$2:$A$301,0), 22)</f>
        <v/>
      </c>
      <c r="U2235" t="n">
        <v>0</v>
      </c>
    </row>
    <row r="2236">
      <c r="A2236">
        <f>Skills!A4</f>
        <v/>
      </c>
      <c r="B2236">
        <f>Skills!B4</f>
        <v/>
      </c>
      <c r="C2236">
        <f>Inputs!$B$3&gt;=38</f>
        <v/>
      </c>
      <c r="D2236">
        <f>IF(Skills!C4=1,60+Inputs!$B$26+Inputs!$B$30,IF(Skills!C4=2,90+Inputs!$B$27+Inputs!$B$30,IF(Skills!C4=3,120+Inputs!$B$28+Inputs!$B$30,MAX(0,(Inputs!$B$3-100)*3)+Inputs!$B$29+Inputs!$B$30)))</f>
        <v/>
      </c>
      <c r="E2236">
        <f>INDEX(FactorTable!$B$2:$Y$301, MATCH(ROUND(MIN(300,MAX(1,D2236)),0), FactorTable!$A$2:$A$301,0), Skills!L4+1)</f>
        <v/>
      </c>
      <c r="F2236">
        <f>IF(Skills!M4=TRUE,(Skills!K4/10)*(E2236/1000),Skills!K4/10)+Skills!N4</f>
        <v/>
      </c>
      <c r="G2236">
        <f>Calc!G4</f>
        <v/>
      </c>
      <c r="H2236">
        <f>Calc!H4</f>
        <v/>
      </c>
      <c r="I2236">
        <f>IF(Skills!T4&lt;&gt;"",1+(Skills!T4/10)*($Z$3/1000)/100,1)</f>
        <v/>
      </c>
      <c r="J2236" t="inlineStr"/>
      <c r="K2236" t="inlineStr"/>
      <c r="L2236" t="inlineStr"/>
      <c r="M2236" t="inlineStr"/>
      <c r="N2236" t="inlineStr"/>
      <c r="O2236">
        <f>(1-Summary!$B$11)*S2236+Summary!$B$11*U2236</f>
        <v/>
      </c>
      <c r="P2236">
        <f>IF(B2275=0,0,O2236/B2275)</f>
        <v/>
      </c>
      <c r="Q2236">
        <f>IFERROR(1/(IF(Inputs!$B$39="pvp",15,MAX(0.1,Skills!D4-IF(Skills!E4=TRUE,Inputs!$B$33,0)))*(1-IF(AND(ArtifactsInput!$M$27,Inputs!$B$4="Chapter Hunt"),CHOOSE(ArtifactsInput!$N$27+1,20,24,28,32,36,40),0)/100)),0)</f>
        <v/>
      </c>
      <c r="R2236">
        <f>IF(AND(Inputs!$B$39&lt;&gt;"pvp",Inputs!$B$44&gt;0),IF(Inputs!$B$44&lt;=0,0,(INT(Inputs!$B$44/(IF(Inputs!$B$39="pvp",15,MAX(0.1,Skills!D4-IF(Skills!E4=TRUE,Inputs!$B$33,0)))*(1-IF(AND(ArtifactsInput!$M$27,Inputs!$B$4="Chapter Hunt"),CHOOSE(ArtifactsInput!$N$27+1,20,24,28,32,36,40),0)/100)))+1)),0)</f>
        <v/>
      </c>
      <c r="S2236" t="n">
        <v>0</v>
      </c>
      <c r="T2236">
        <f>290*T2235/1000</f>
        <v/>
      </c>
      <c r="U2236" t="n">
        <v>0</v>
      </c>
    </row>
    <row r="2237">
      <c r="A2237">
        <f>Skills!A5</f>
        <v/>
      </c>
      <c r="B2237">
        <f>Skills!B5</f>
        <v/>
      </c>
      <c r="C2237">
        <f>Inputs!$B$3&gt;=40</f>
        <v/>
      </c>
      <c r="D2237">
        <f>IF(Skills!C5=1,60+Inputs!$B$26+Inputs!$B$30,IF(Skills!C5=2,90+Inputs!$B$27+Inputs!$B$30,IF(Skills!C5=3,120+Inputs!$B$28+Inputs!$B$30,MAX(0,(Inputs!$B$3-100)*3)+Inputs!$B$29+Inputs!$B$30)))</f>
        <v/>
      </c>
      <c r="E2237">
        <f>INDEX(FactorTable!$B$2:$Y$301, MATCH(ROUND(MIN(300,MAX(1,D2237)),0), FactorTable!$A$2:$A$301,0), Skills!L5+1)</f>
        <v/>
      </c>
      <c r="F2237">
        <f>IF(Skills!M5=TRUE,(Skills!K5/10)*(E2237/1000),Skills!K5/10)+Skills!N5</f>
        <v/>
      </c>
      <c r="G2237">
        <f>Calc!G5</f>
        <v/>
      </c>
      <c r="H2237">
        <f>Calc!H5</f>
        <v/>
      </c>
      <c r="I2237">
        <f>IF(Skills!T5&lt;&gt;"",1+(Skills!T5/10)*($Z$3/1000)/100,1)</f>
        <v/>
      </c>
      <c r="J2237" t="inlineStr"/>
      <c r="K2237" t="inlineStr"/>
      <c r="L2237" t="inlineStr"/>
      <c r="M2237" t="inlineStr"/>
      <c r="N2237" t="inlineStr"/>
      <c r="O2237">
        <f>(1-Summary!$B$11)*S2237+Summary!$B$11*U2237</f>
        <v/>
      </c>
      <c r="P2237">
        <f>IF(B2275=0,0,O2237/B2275)</f>
        <v/>
      </c>
      <c r="Q2237">
        <f>IFERROR(1/(IF(Inputs!$B$39="pvp",15,MAX(0.1,Skills!D5-IF(Skills!E5=TRUE,Inputs!$B$33,0)))*(1-IF(AND(ArtifactsInput!$M$27,Inputs!$B$4="Chapter Hunt"),CHOOSE(ArtifactsInput!$N$27+1,20,24,28,32,36,40),0)/100)),0)</f>
        <v/>
      </c>
      <c r="R2237">
        <f>IF(AND(Inputs!$B$39&lt;&gt;"pvp",Inputs!$B$44&gt;0),IF(Inputs!$B$44&lt;=0,0,(INT(Inputs!$B$44/(IF(Inputs!$B$39="pvp",15,MAX(0.1,Skills!D5-IF(Skills!E5=TRUE,Inputs!$B$33,0)))*(1-IF(AND(ArtifactsInput!$M$27,Inputs!$B$4="Chapter Hunt"),CHOOSE(ArtifactsInput!$N$27+1,20,24,28,32,36,40),0)/100)))+1)),0)</f>
        <v/>
      </c>
      <c r="S2237" t="n">
        <v>0</v>
      </c>
      <c r="U2237" t="n">
        <v>0</v>
      </c>
    </row>
    <row r="2238">
      <c r="A2238">
        <f>Skills!A6</f>
        <v/>
      </c>
      <c r="B2238">
        <f>Skills!B6</f>
        <v/>
      </c>
      <c r="C2238">
        <f>Inputs!$B$3&gt;=103</f>
        <v/>
      </c>
      <c r="D2238">
        <f>IF(Skills!C6=1,60+Inputs!$B$26+Inputs!$B$30,IF(Skills!C6=2,90+Inputs!$B$27+Inputs!$B$30,IF(Skills!C6=3,120+Inputs!$B$28+Inputs!$B$30,MAX(0,(Inputs!$B$3-100)*3)+Inputs!$B$29+Inputs!$B$30)))</f>
        <v/>
      </c>
      <c r="E2238">
        <f>INDEX(FactorTable!$B$2:$Y$301, MATCH(ROUND(MIN(300,MAX(1,D2238)),0), FactorTable!$A$2:$A$301,0), Skills!L6+1)</f>
        <v/>
      </c>
      <c r="F2238">
        <f>IF(Skills!M6=TRUE,(Skills!K6/10)*(E2238/1000),Skills!K6/10)+Skills!N6</f>
        <v/>
      </c>
      <c r="G2238">
        <f>Calc!G6</f>
        <v/>
      </c>
      <c r="H2238">
        <f>Calc!H6</f>
        <v/>
      </c>
      <c r="I2238">
        <f>IF(Skills!T6&lt;&gt;"",1+(Skills!T6/10)*($Z$3/1000)/100,1)</f>
        <v/>
      </c>
      <c r="J2238">
        <f>((Inputs!$B$6*(1+Inputs!$B$7/100))+(((Inputs!$B$13*(1+Inputs!$B$14/100))-(Inputs!$B$13*(1+Inputs!$B$14/100)))+0.25*(Inputs!$B$15-Inputs!$B$15))*(1+Inputs!$B$7/100))*(F2238/100)</f>
        <v/>
      </c>
      <c r="K2238">
        <f>J2238*(1+(((Inputs!$B$13+IF(Inputs!$B$3&gt;=35,(10*INDEX(FactorTable!$B$2:$Y$301,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6="TRIUMPH_FEATHER",IF(C2248=TRUE,F2248,0),0)/100)*(1+IF(C2259=TRUE,F2259,0)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2238)</f>
        <v/>
      </c>
      <c r="L2238">
        <f>K2238*(MIN(Inputs!$B$23+(F2254-Calc!F22),(Inputs!$B$24+IF(ArtifactsInput!$M$15,CHOOSE(ArtifactsInput!$N$15+1,25,30,35,40,45,50)/100*(Inputs!$B$12-Inputs!$B$12),0)))/100+(Inputs!$B$24+IF(ArtifactsInput!$M$15,CHOOSE(ArtifactsInput!$N$15+1,25,30,35,40,45,50)/100*(Inputs!$B$12-Inputs!$B$12),0))/100)/2</f>
        <v/>
      </c>
      <c r="M2238">
        <f>L2238*(1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8">
        <f>L2238*(1-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(1-Summary!$B$11)*S2238+Summary!$B$11*U2238</f>
        <v/>
      </c>
      <c r="P2238">
        <f>IF(B2275=0,0,O2238/B2275)</f>
        <v/>
      </c>
      <c r="Q2238">
        <f>IFERROR(1/(IF(Inputs!$B$39="pvp",15,MAX(0.1,Skills!D6-IF(Skills!E6=TRUE,Inputs!$B$33,0)))*(1-IF(AND(ArtifactsInput!$M$27,Inputs!$B$4="Chapter Hunt"),CHOOSE(ArtifactsInput!$N$27+1,20,24,28,32,36,40),0)/100)),0)</f>
        <v/>
      </c>
      <c r="R2238">
        <f>IF(AND(Inputs!$B$39&lt;&gt;"pvp",Inputs!$B$44&gt;0),IF(MAX(0,Inputs!$B$44-B2272)&lt;=0,0,(INT(MAX(0,Inputs!$B$44-B2272)/(IF(Inputs!$B$39="pvp",15,MAX(0.1,Skills!D6-IF(Skills!E6=TRUE,Inputs!$B$33,0)))*(1-IF(AND(ArtifactsInput!$M$27,Inputs!$B$4="Chapter Hunt"),CHOOSE(ArtifactsInput!$N$27+1,20,24,28,32,36,40),0)/100)))+1)),0)</f>
        <v/>
      </c>
      <c r="S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$21+Skills!O6+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2238*(1-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$22+Skills!P6+B2264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Skills!A7</f>
        <v/>
      </c>
      <c r="B2239">
        <f>Skills!B7</f>
        <v/>
      </c>
      <c r="C2239">
        <f>Inputs!$B$3&gt;=122</f>
        <v/>
      </c>
      <c r="D2239">
        <f>IF(Skills!C7=1,60+Inputs!$B$26+Inputs!$B$30,IF(Skills!C7=2,90+Inputs!$B$27+Inputs!$B$30,IF(Skills!C7=3,120+Inputs!$B$28+Inputs!$B$30,MAX(0,(Inputs!$B$3-100)*3)+Inputs!$B$29+Inputs!$B$30)))</f>
        <v/>
      </c>
      <c r="E2239">
        <f>INDEX(FactorTable!$B$2:$Y$301, MATCH(ROUND(MIN(300,MAX(1,D2239)),0), FactorTable!$A$2:$A$301,0), Skills!L7+1)</f>
        <v/>
      </c>
      <c r="F2239">
        <f>IF(Skills!M7=TRUE,(Skills!K7/10)*(E2239/1000),Skills!K7/10)+Skills!N7</f>
        <v/>
      </c>
      <c r="G2239">
        <f>Calc!G7</f>
        <v/>
      </c>
      <c r="H2239">
        <f>Calc!H7</f>
        <v/>
      </c>
      <c r="I2239">
        <f>IF(Skills!T7&lt;&gt;"",1+(Skills!T7/10)*($Z$3/1000)/100,1)</f>
        <v/>
      </c>
      <c r="J2239">
        <f>((Inputs!$B$6*(1+Inputs!$B$7/100))+(((Inputs!$B$13*(1+Inputs!$B$14/100))-(Inputs!$B$13*(1+Inputs!$B$14/100)))+0.25*(Inputs!$B$15-Inputs!$B$15))*(1+Inputs!$B$7/100))*(F2239/100)</f>
        <v/>
      </c>
      <c r="K2239">
        <f>J2239*(1+(((Inputs!$B$13+IF(Inputs!$B$3&gt;=35,(10*INDEX(FactorTable!$B$2:$Y$301,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7="TRIUMPH_FEATHER",IF(C2248=TRUE,F2248,0),0)/100)*(1+IF(C2259=TRUE,F2259,0)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2239)</f>
        <v/>
      </c>
      <c r="L2239">
        <f>K2239*(MIN(Inputs!$B$23+(F2254-Calc!F22),(Inputs!$B$24+IF(ArtifactsInput!$M$15,CHOOSE(ArtifactsInput!$N$15+1,25,30,35,40,45,50)/100*(Inputs!$B$12-Inputs!$B$12),0)))/100+(Inputs!$B$24+IF(ArtifactsInput!$M$15,CHOOSE(ArtifactsInput!$N$15+1,25,30,35,40,45,50)/100*(Inputs!$B$12-Inputs!$B$12),0))/100)/2</f>
        <v/>
      </c>
      <c r="M2239">
        <f>L2239*(1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9">
        <f>L2239*(1-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2239*(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9">
        <f>(1-Summary!$B$11)*S2239+Summary!$B$11*U2239</f>
        <v/>
      </c>
      <c r="P2239">
        <f>IF(B2275=0,0,O2239/B2275)</f>
        <v/>
      </c>
      <c r="Q2239">
        <f>IFERROR(1/(IF(Inputs!$B$39="pvp",15,MAX(0.1,Skills!D7-IF(Skills!E6=TRUE,Inputs!$B$33,0)))*(1-IF(AND(ArtifactsInput!$M$27,Inputs!$B$4="Chapter Hunt"),CHOOSE(ArtifactsInput!$N$27+1,20,24,28,32,36,40),0)/100)),0)</f>
        <v/>
      </c>
      <c r="R2239">
        <f>IF(AND(Inputs!$B$39&lt;&gt;"pvp",Inputs!$B$44&gt;0),IF(MAX(0,Inputs!$B$44-B2272)&lt;=0,0,(INT(MAX(0,Inputs!$B$44-B2272)/(IF(Inputs!$B$39="pvp",15,MAX(0.1,Skills!D7-IF(Skills!E6=TRUE,Inputs!$B$33,0)))*(1-IF(AND(ArtifactsInput!$M$27,Inputs!$B$4="Chapter Hunt"),CHOOSE(ArtifactsInput!$N$27+1,20,24,28,32,36,40),0)/100)))+1)),0)</f>
        <v/>
      </c>
      <c r="S2239">
        <f>IF(C2239,H2239*N2239*IF(AND(Inputs!$B$39&lt;&gt;"pvp",Inputs!$B$44&gt;0),((Skills!F7*((R2239-1)*IF(Skills!G7&gt;0,Skills!H7/Skills!G7,1)+IF(Skills!G7&gt;0,MIN(Skills!H7,MAX(0,MAX(0,Inputs!$B$44-B2272)-((R2239-1)*(IF(Inputs!$B$39="pvp",15,MAX(0.1,Skills!D7-IF(Skills!E6=TRUE,Inputs!$B$33,0)))*(1-IF(AND(ArtifactsInput!$M$27,Inputs!$B$4="Chapter Hunt"),CHOOSE(ArtifactsInput!$N$27+1,20,24,28,32,36,40),0)/100)))))/Skills!G7,1)))/Inputs!$B$44),G2239*Q2239)*IF(Inputs!$B$39="pvp",1,1+(Inputs!$B$21+Skills!O7+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2239*(1-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2239*(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2239*(1-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2239*(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9" t="n">
        <v>0</v>
      </c>
    </row>
    <row r="2240">
      <c r="A2240">
        <f>Skills!A8</f>
        <v/>
      </c>
      <c r="B2240">
        <f>Skills!B8</f>
        <v/>
      </c>
      <c r="C2240">
        <f>Inputs!$B$3&gt;=105</f>
        <v/>
      </c>
      <c r="D2240">
        <f>IF(Skills!C8=1,60+Inputs!$B$26+Inputs!$B$30,IF(Skills!C8=2,90+Inputs!$B$27+Inputs!$B$30,IF(Skills!C8=3,120+Inputs!$B$28+Inputs!$B$30,MAX(0,(Inputs!$B$3-100)*3)+Inputs!$B$29+Inputs!$B$30)))</f>
        <v/>
      </c>
      <c r="E2240">
        <f>INDEX(FactorTable!$B$2:$Y$301, MATCH(ROUND(MIN(300,MAX(1,D2240)),0), FactorTable!$A$2:$A$301,0), Skills!L8+1)</f>
        <v/>
      </c>
      <c r="F2240">
        <f>IF(Skills!M8=TRUE,(Skills!K8/10)*(E2240/1000),Skills!K8/10)+Skills!N8</f>
        <v/>
      </c>
      <c r="G2240">
        <f>Calc!G8</f>
        <v/>
      </c>
      <c r="H2240">
        <f>Calc!H8</f>
        <v/>
      </c>
      <c r="I2240">
        <f>IF(Skills!T8&lt;&gt;"",1+(Skills!T8/10)*($Z$3/1000)/100,1)</f>
        <v/>
      </c>
      <c r="J2240">
        <f>((Inputs!$B$6*(1+Inputs!$B$7/100))+(((Inputs!$B$13*(1+Inputs!$B$14/100))-(Inputs!$B$13*(1+Inputs!$B$14/100)))+0.25*(Inputs!$B$15-Inputs!$B$15))*(1+Inputs!$B$7/100))*(F2240/100)</f>
        <v/>
      </c>
      <c r="K2240">
        <f>J2240*(1+(((Inputs!$B$13+IF(Inputs!$B$3&gt;=35,(10*INDEX(FactorTable!$B$2:$Y$301,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8="TRIUMPH_FEATHER",IF(C2248=TRUE,F2248,0),0)/100)*(1+IF(C2259=TRUE,F2259,0)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2240)</f>
        <v/>
      </c>
      <c r="L2240">
        <f>K2240*(MIN(Inputs!$B$23+(F2254-Calc!F22),(Inputs!$B$24+IF(ArtifactsInput!$M$15,CHOOSE(ArtifactsInput!$N$15+1,25,30,35,40,45,50)/100*(Inputs!$B$12-Inputs!$B$12),0)))/100+(Inputs!$B$24+IF(ArtifactsInput!$M$15,CHOOSE(ArtifactsInput!$N$15+1,25,30,35,40,45,50)/100*(Inputs!$B$12-Inputs!$B$12),0))/100)/2</f>
        <v/>
      </c>
      <c r="M2240">
        <f>L2240*(1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0">
        <f>L2240*(1-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(1-Summary!$B$11)*S2240+Summary!$B$11*U2240</f>
        <v/>
      </c>
      <c r="P2240">
        <f>IF(B2275=0,0,O2240/B2275)</f>
        <v/>
      </c>
      <c r="Q2240">
        <f>IFERROR(1/(IF(Inputs!$B$39="pvp",15,MAX(0.1,Skills!D8-IF(Skills!E8=TRUE,Inputs!$B$33,0)))*(1-IF(AND(ArtifactsInput!$M$27,Inputs!$B$4="Chapter Hunt"),CHOOSE(ArtifactsInput!$N$27+1,20,24,28,32,36,40),0)/100)),0)</f>
        <v/>
      </c>
      <c r="R2240">
        <f>IF(AND(Inputs!$B$39&lt;&gt;"pvp",Inputs!$B$44&gt;0),IF(MAX(0,Inputs!$B$44-B2272)&lt;=0,0,(INT(MAX(0,Inputs!$B$44-B2272)/(IF(Inputs!$B$39="pvp",15,MAX(0.1,Skills!D8-IF(Skills!E8=TRUE,Inputs!$B$33,0)))*(1-IF(AND(ArtifactsInput!$M$27,Inputs!$B$4="Chapter Hunt"),CHOOSE(ArtifactsInput!$N$27+1,20,24,28,32,36,40),0)/100)))+1)),0)</f>
        <v/>
      </c>
      <c r="S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$21+Skills!O8+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2240*(1-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$22+Skills!P8+B2264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Skills!A9</f>
        <v/>
      </c>
      <c r="B2241">
        <f>Skills!B9</f>
        <v/>
      </c>
      <c r="C2241">
        <f>Inputs!$B$3&gt;=115</f>
        <v/>
      </c>
      <c r="D2241">
        <f>IF(Skills!C9=1,60+Inputs!$B$26+Inputs!$B$30,IF(Skills!C9=2,90+Inputs!$B$27+Inputs!$B$30,IF(Skills!C9=3,120+Inputs!$B$28+Inputs!$B$30,MAX(0,(Inputs!$B$3-100)*3)+Inputs!$B$29+Inputs!$B$30)))</f>
        <v/>
      </c>
      <c r="E2241">
        <f>INDEX(FactorTable!$B$2:$Y$301, MATCH(ROUND(MIN(300,MAX(1,D2241)),0), FactorTable!$A$2:$A$301,0), Skills!L9+1)</f>
        <v/>
      </c>
      <c r="F2241">
        <f>IF(Skills!M9=TRUE,(Skills!K9/10)*(E2241/1000),Skills!K9/10)+Skills!N9</f>
        <v/>
      </c>
      <c r="G2241">
        <f>Calc!G9</f>
        <v/>
      </c>
      <c r="H2241">
        <f>Calc!H9</f>
        <v/>
      </c>
      <c r="I2241">
        <f>IF(Skills!T9&lt;&gt;"",1+(Skills!T9/10)*($Z$3/1000)/100,1)</f>
        <v/>
      </c>
      <c r="J2241">
        <f>((Inputs!$B$6*(1+Inputs!$B$7/100))+(((Inputs!$B$13*(1+Inputs!$B$14/100))-(Inputs!$B$13*(1+Inputs!$B$14/100)))+0.25*(Inputs!$B$15-Inputs!$B$15))*(1+Inputs!$B$7/100))*(F2241/100)</f>
        <v/>
      </c>
      <c r="K2241">
        <f>J2241*(1+(((Inputs!$B$13+IF(Inputs!$B$3&gt;=35,(10*INDEX(FactorTable!$B$2:$Y$301,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9="TRIUMPH_FEATHER",IF(C2248=TRUE,F2248,0),0)/100)*(1+IF(C2259=TRUE,F2259,0)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2241)</f>
        <v/>
      </c>
      <c r="L2241">
        <f>K2241*(MIN(Inputs!$B$23+(F2254-Calc!F22),(Inputs!$B$24+IF(ArtifactsInput!$M$15,CHOOSE(ArtifactsInput!$N$15+1,25,30,35,40,45,50)/100*(Inputs!$B$12-Inputs!$B$12),0)))/100+(Inputs!$B$24+IF(ArtifactsInput!$M$15,CHOOSE(ArtifactsInput!$N$15+1,25,30,35,40,45,50)/100*(Inputs!$B$12-Inputs!$B$12),0))/100)/2</f>
        <v/>
      </c>
      <c r="M2241">
        <f>L2241*(1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1">
        <f>L2241*(1-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(1-Summary!$B$11)*S2241+Summary!$B$11*U2241</f>
        <v/>
      </c>
      <c r="P2241">
        <f>IF(B2275=0,0,O2241/B2275)</f>
        <v/>
      </c>
      <c r="Q2241">
        <f>IFERROR(1/(IF(Inputs!$B$39="pvp",15,MAX(0.1,Skills!D9-IF(Skills!E9=TRUE,Inputs!$B$33,0)))*(1-IF(AND(ArtifactsInput!$M$27,Inputs!$B$4="Chapter Hunt"),CHOOSE(ArtifactsInput!$N$27+1,20,24,28,32,36,40),0)/100)),0)</f>
        <v/>
      </c>
      <c r="R2241">
        <f>IF(AND(Inputs!$B$39&lt;&gt;"pvp",Inputs!$B$44&gt;0),IF(MAX(0,Inputs!$B$44-B2272)&lt;=0,0,(INT(MAX(0,Inputs!$B$44-B2272)/(IF(Inputs!$B$39="pvp",15,MAX(0.1,Skills!D9-IF(Skills!E9=TRUE,Inputs!$B$33,0)))*(1-IF(AND(ArtifactsInput!$M$27,Inputs!$B$4="Chapter Hunt"),CHOOSE(ArtifactsInput!$N$27+1,20,24,28,32,36,40),0)/100)))+1)),0)</f>
        <v/>
      </c>
      <c r="S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$21+Skills!O9+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2241*(1-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$22+Skills!P9+B2264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Skills!A10</f>
        <v/>
      </c>
      <c r="B2242">
        <f>Skills!B10</f>
        <v/>
      </c>
      <c r="C2242">
        <f>Inputs!$B$3&gt;=66</f>
        <v/>
      </c>
      <c r="D2242">
        <f>IF(Skills!C10=1,60+Inputs!$B$26+Inputs!$B$30,IF(Skills!C10=2,90+Inputs!$B$27+Inputs!$B$30,IF(Skills!C10=3,120+Inputs!$B$28+Inputs!$B$30,MAX(0,(Inputs!$B$3-100)*3)+Inputs!$B$29+Inputs!$B$30)))</f>
        <v/>
      </c>
      <c r="E2242">
        <f>INDEX(FactorTable!$B$2:$Y$301, MATCH(ROUND(MIN(300,MAX(1,D2242)),0), FactorTable!$A$2:$A$301,0), Skills!L10+1)</f>
        <v/>
      </c>
      <c r="F2242" t="n">
        <v>0</v>
      </c>
      <c r="G2242">
        <f>Calc!G10</f>
        <v/>
      </c>
      <c r="H2242">
        <f>Calc!H10</f>
        <v/>
      </c>
      <c r="I2242">
        <f>IF(Skills!T10&lt;&gt;"",1+(Skills!T10/10)*($Z$3/1000)/100,1)</f>
        <v/>
      </c>
      <c r="J2242" t="inlineStr"/>
      <c r="K2242" t="inlineStr"/>
      <c r="L2242" t="inlineStr"/>
      <c r="M2242" t="inlineStr"/>
      <c r="N2242" t="inlineStr"/>
      <c r="O2242">
        <f>(1-Summary!$B$11)*S2242+Summary!$B$11*U2242</f>
        <v/>
      </c>
      <c r="P2242">
        <f>IF(B2275=0,0,O2242/B2275)</f>
        <v/>
      </c>
      <c r="Q2242">
        <f>IFERROR(1/(IF(Inputs!$B$39="pvp",15,MAX(0.1,Skills!D10-IF(Skills!E10=TRUE,Inputs!$B$33,0)))*(1-IF(AND(ArtifactsInput!$M$27,Inputs!$B$4="Chapter Hunt"),CHOOSE(ArtifactsInput!$N$27+1,20,24,28,32,36,40),0)/100)),0)</f>
        <v/>
      </c>
      <c r="R2242">
        <f>IF(AND(Inputs!$B$39&lt;&gt;"pvp",Inputs!$B$44&gt;0),IF(MAX(0,Inputs!$B$44-B2272)&lt;=0,0,(INT(MAX(0,Inputs!$B$44-B2272)/(IF(Inputs!$B$39="pvp",15,MAX(0.1,Skills!D10-IF(Skills!E10=TRUE,Inputs!$B$33,0)))*(1-IF(AND(ArtifactsInput!$M$27,Inputs!$B$4="Chapter Hunt"),CHOOSE(ArtifactsInput!$N$27+1,20,24,28,32,36,40),0)/100)))+1)),0)</f>
        <v/>
      </c>
      <c r="S2242" t="n">
        <v>0</v>
      </c>
      <c r="U2242" t="n">
        <v>0</v>
      </c>
    </row>
    <row r="2243">
      <c r="A2243">
        <f>Skills!A11</f>
        <v/>
      </c>
      <c r="B2243">
        <f>Skills!B11</f>
        <v/>
      </c>
      <c r="C2243">
        <f>Inputs!$B$3&gt;=69</f>
        <v/>
      </c>
      <c r="D2243">
        <f>IF(Skills!C11=1,60+Inputs!$B$26+Inputs!$B$30,IF(Skills!C11=2,90+Inputs!$B$27+Inputs!$B$30,IF(Skills!C11=3,120+Inputs!$B$28+Inputs!$B$30,MAX(0,(Inputs!$B$3-100)*3)+Inputs!$B$29+Inputs!$B$30)))</f>
        <v/>
      </c>
      <c r="E2243">
        <f>INDEX(FactorTable!$B$2:$Y$301, MATCH(ROUND(MIN(300,MAX(1,D2243)),0), FactorTable!$A$2:$A$301,0), Skills!L11+1)</f>
        <v/>
      </c>
      <c r="F2243">
        <f>IF(Skills!M11=TRUE,(Skills!K11/10)*(E2243/1000),Skills!K11/10)+Skills!N11</f>
        <v/>
      </c>
      <c r="G2243">
        <f>Calc!G11</f>
        <v/>
      </c>
      <c r="H2243">
        <f>Calc!H11</f>
        <v/>
      </c>
      <c r="I2243">
        <f>IF(Skills!T11&lt;&gt;"",1+(Skills!T11/10)*($Z$3/1000)/100,1)</f>
        <v/>
      </c>
      <c r="J2243" t="inlineStr"/>
      <c r="K2243" t="inlineStr"/>
      <c r="L2243" t="inlineStr"/>
      <c r="M2243" t="inlineStr"/>
      <c r="N2243" t="inlineStr"/>
      <c r="O2243">
        <f>(1-Summary!$B$11)*S2243+Summary!$B$11*U2243</f>
        <v/>
      </c>
      <c r="P2243">
        <f>IF(B2275=0,0,O2243/B2275)</f>
        <v/>
      </c>
      <c r="Q2243">
        <f>IFERROR(1/(IF(Inputs!$B$39="pvp",15,MAX(0.1,Skills!D11-IF(Skills!E11=TRUE,Inputs!$B$33,0)))*(1-IF(AND(ArtifactsInput!$M$27,Inputs!$B$4="Chapter Hunt"),CHOOSE(ArtifactsInput!$N$27+1,20,24,28,32,36,40),0)/100)),0)</f>
        <v/>
      </c>
      <c r="R2243">
        <f>IF(AND(Inputs!$B$39&lt;&gt;"pvp",Inputs!$B$44&gt;0),IF(Inputs!$B$44&lt;=0,0,(INT(Inputs!$B$44/(IF(Inputs!$B$39="pvp",15,MAX(0.1,Skills!D11-IF(Skills!E11=TRUE,Inputs!$B$33,0)))*(1-IF(AND(ArtifactsInput!$M$27,Inputs!$B$4="Chapter Hunt"),CHOOSE(ArtifactsInput!$N$27+1,20,24,28,32,36,40),0)/100)))+1)),0)</f>
        <v/>
      </c>
      <c r="S2243" t="n">
        <v>0</v>
      </c>
      <c r="U2243" t="n">
        <v>0</v>
      </c>
    </row>
    <row r="2244">
      <c r="A2244">
        <f>Skills!A12</f>
        <v/>
      </c>
      <c r="B2244">
        <f>Skills!B12</f>
        <v/>
      </c>
      <c r="C2244">
        <f>Inputs!$B$3&gt;=72</f>
        <v/>
      </c>
      <c r="D2244">
        <f>IF(Skills!C12=1,60+Inputs!$B$26+Inputs!$B$30,IF(Skills!C12=2,90+Inputs!$B$27+Inputs!$B$30,IF(Skills!C12=3,120+Inputs!$B$28+Inputs!$B$30,MAX(0,(Inputs!$B$3-100)*3)+Inputs!$B$29+Inputs!$B$30)))</f>
        <v/>
      </c>
      <c r="E2244">
        <f>INDEX(FactorTable!$B$2:$Y$301, MATCH(ROUND(MIN(300,MAX(1,D2244)),0), FactorTable!$A$2:$A$301,0), Skills!L12+1)</f>
        <v/>
      </c>
      <c r="F2244">
        <f>IF(Skills!M12=TRUE,(Skills!K12/10)*(E2244/1000),Skills!K12/10)+Skills!N12</f>
        <v/>
      </c>
      <c r="G2244">
        <f>Calc!G12</f>
        <v/>
      </c>
      <c r="H2244">
        <f>Calc!H12</f>
        <v/>
      </c>
      <c r="I2244">
        <f>IF(Skills!T12&lt;&gt;"",1+(Skills!T12/10)*($Z$3/1000)/100,1)</f>
        <v/>
      </c>
      <c r="J2244" t="inlineStr"/>
      <c r="K2244" t="inlineStr"/>
      <c r="L2244" t="inlineStr"/>
      <c r="M2244" t="inlineStr"/>
      <c r="N2244" t="inlineStr"/>
      <c r="O2244">
        <f>(1-Summary!$B$11)*S2244+Summary!$B$11*U2244</f>
        <v/>
      </c>
      <c r="P2244">
        <f>IF(B2275=0,0,O2244/B2275)</f>
        <v/>
      </c>
      <c r="Q2244">
        <f>IFERROR(1/(IF(Inputs!$B$39="pvp",15,MAX(0.1,Skills!D12-IF(Skills!E12=TRUE,Inputs!$B$33,0)))*(1-IF(AND(ArtifactsInput!$M$27,Inputs!$B$4="Chapter Hunt"),CHOOSE(ArtifactsInput!$N$27+1,20,24,28,32,36,40),0)/100)),0)</f>
        <v/>
      </c>
      <c r="R2244">
        <f>IF(AND(Inputs!$B$39&lt;&gt;"pvp",Inputs!$B$44&gt;0),IF(MAX(0,Inputs!$B$44-B2272)&lt;=0,0,(INT(MAX(0,Inputs!$B$44-B2272)/(IF(Inputs!$B$39="pvp",15,MAX(0.1,Skills!D12-IF(Skills!E12=TRUE,Inputs!$B$33,0)))*(1-IF(AND(ArtifactsInput!$M$27,Inputs!$B$4="Chapter Hunt"),CHOOSE(ArtifactsInput!$N$27+1,20,24,28,32,36,40),0)/100)))+1)),0)</f>
        <v/>
      </c>
      <c r="S2244" t="n">
        <v>0</v>
      </c>
      <c r="U2244" t="n">
        <v>0</v>
      </c>
    </row>
    <row r="2245">
      <c r="A2245">
        <f>Skills!A13</f>
        <v/>
      </c>
      <c r="B2245">
        <f>Skills!B13</f>
        <v/>
      </c>
      <c r="C2245">
        <f>Inputs!$B$3&gt;=60</f>
        <v/>
      </c>
      <c r="D2245">
        <f>IF(Skills!C13=1,60+Inputs!$B$26+Inputs!$B$30,IF(Skills!C13=2,90+Inputs!$B$27+Inputs!$B$30,IF(Skills!C13=3,120+Inputs!$B$28+Inputs!$B$30,MAX(0,(Inputs!$B$3-100)*3)+Inputs!$B$29+Inputs!$B$30)))</f>
        <v/>
      </c>
      <c r="E2245">
        <f>INDEX(FactorTable!$B$2:$Y$301, MATCH(ROUND(MIN(300,MAX(1,D2245)),0), FactorTable!$A$2:$A$301,0), Skills!L13+1)</f>
        <v/>
      </c>
      <c r="F2245">
        <f>IF(Skills!M13=TRUE,(Skills!K13/10)*(E2245/1000),Skills!K13/10)+Skills!N13</f>
        <v/>
      </c>
      <c r="G2245">
        <f>Calc!G13</f>
        <v/>
      </c>
      <c r="H2245">
        <f>Calc!H13</f>
        <v/>
      </c>
      <c r="I2245">
        <f>IF(Skills!T13&lt;&gt;"",1+(Skills!T13/10)*($Z$3/1000)/100,1)</f>
        <v/>
      </c>
      <c r="J2245" t="inlineStr"/>
      <c r="K2245" t="inlineStr"/>
      <c r="L2245" t="inlineStr"/>
      <c r="M2245" t="inlineStr"/>
      <c r="N2245" t="inlineStr"/>
      <c r="O2245">
        <f>(1-Summary!$B$11)*S2245+Summary!$B$11*U2245</f>
        <v/>
      </c>
      <c r="P2245">
        <f>IF(B2275=0,0,O2245/B2275)</f>
        <v/>
      </c>
      <c r="Q2245">
        <f>IFERROR(1/(IF(Inputs!$B$39="pvp",15,MAX(0.1,Skills!D13-IF(Skills!E13=TRUE,Inputs!$B$33,0)))*(1-IF(AND(ArtifactsInput!$M$27,Inputs!$B$4="Chapter Hunt"),CHOOSE(ArtifactsInput!$N$27+1,20,24,28,32,36,40),0)/100)),0)</f>
        <v/>
      </c>
      <c r="R2245">
        <f>IF(AND(Inputs!$B$39&lt;&gt;"pvp",Inputs!$B$44&gt;0),IF(MAX(0,Inputs!$B$44-B2272)&lt;=0,0,(INT(MAX(0,Inputs!$B$44-B2272)/(IF(Inputs!$B$39="pvp",15,MAX(0.1,Skills!D13-IF(Skills!E13=TRUE,Inputs!$B$33,0)))*(1-IF(AND(ArtifactsInput!$M$27,Inputs!$B$4="Chapter Hunt"),CHOOSE(ArtifactsInput!$N$27+1,20,24,28,32,36,40),0)/100)))+1)),0)</f>
        <v/>
      </c>
      <c r="S2245" t="n">
        <v>0</v>
      </c>
      <c r="U2245" t="n">
        <v>0</v>
      </c>
    </row>
    <row r="2246">
      <c r="A2246">
        <f>Skills!A14</f>
        <v/>
      </c>
      <c r="B2246">
        <f>Skills!B14</f>
        <v/>
      </c>
      <c r="C2246">
        <f>Inputs!$B$3&gt;=107</f>
        <v/>
      </c>
      <c r="D2246">
        <f>IF(Skills!C14=1,60+Inputs!$B$26+Inputs!$B$30,IF(Skills!C14=2,90+Inputs!$B$27+Inputs!$B$30,IF(Skills!C14=3,120+Inputs!$B$28+Inputs!$B$30,MAX(0,(Inputs!$B$3-100)*3)+Inputs!$B$29+Inputs!$B$30)))</f>
        <v/>
      </c>
      <c r="E2246">
        <f>INDEX(FactorTable!$B$2:$Y$301, MATCH(ROUND(MIN(300,MAX(1,D2246)),0), FactorTable!$A$2:$A$301,0), Skills!L14+1)</f>
        <v/>
      </c>
      <c r="F2246">
        <f>IF(Skills!M14=TRUE,(Skills!K14/10)*(E2246/1000),Skills!K14/10)+Skills!N14</f>
        <v/>
      </c>
      <c r="G2246">
        <f>Calc!G14</f>
        <v/>
      </c>
      <c r="H2246">
        <f>Calc!H14</f>
        <v/>
      </c>
      <c r="I2246">
        <f>IF(Skills!T14&lt;&gt;"",1+(Skills!T14/10)*($Z$3/1000)/100,1)</f>
        <v/>
      </c>
      <c r="J2246" t="inlineStr"/>
      <c r="K2246" t="inlineStr"/>
      <c r="L2246" t="inlineStr"/>
      <c r="M2246" t="inlineStr"/>
      <c r="N2246" t="inlineStr"/>
      <c r="O2246">
        <f>(1-Summary!$B$11)*S2246+Summary!$B$11*U2246</f>
        <v/>
      </c>
      <c r="P2246">
        <f>IF(B2275=0,0,O2246/B2275)</f>
        <v/>
      </c>
      <c r="Q2246">
        <f>IFERROR(1/(IF(Inputs!$B$39="pvp",15,MAX(0.1,Skills!D14-IF(Skills!E14=TRUE,Inputs!$B$33,0)))*(1-IF(AND(ArtifactsInput!$M$27,Inputs!$B$4="Chapter Hunt"),CHOOSE(ArtifactsInput!$N$27+1,20,24,28,32,36,40),0)/100)),0)</f>
        <v/>
      </c>
      <c r="R2246">
        <f>IF(AND(Inputs!$B$39&lt;&gt;"pvp",Inputs!$B$44&gt;0),IF(Inputs!$B$44&lt;=0,0,(INT(Inputs!$B$44/(IF(Inputs!$B$39="pvp",15,MAX(0.1,Skills!D14-IF(Skills!E14=TRUE,Inputs!$B$33,0)))*(1-IF(AND(ArtifactsInput!$M$27,Inputs!$B$4="Chapter Hunt"),CHOOSE(ArtifactsInput!$N$27+1,20,24,28,32,36,40),0)/100)))+1)),0)</f>
        <v/>
      </c>
      <c r="S2246" t="n">
        <v>0</v>
      </c>
      <c r="U2246" t="n">
        <v>0</v>
      </c>
    </row>
    <row r="2247">
      <c r="A2247">
        <f>Skills!A15</f>
        <v/>
      </c>
      <c r="B2247">
        <f>Skills!B15</f>
        <v/>
      </c>
      <c r="C2247">
        <f>Inputs!$B$3&gt;=63</f>
        <v/>
      </c>
      <c r="D2247">
        <f>IF(Skills!C15=1,60+Inputs!$B$26+Inputs!$B$30,IF(Skills!C15=2,90+Inputs!$B$27+Inputs!$B$30,IF(Skills!C15=3,120+Inputs!$B$28+Inputs!$B$30,MAX(0,(Inputs!$B$3-100)*3)+Inputs!$B$29+Inputs!$B$30)))</f>
        <v/>
      </c>
      <c r="E2247">
        <f>INDEX(FactorTable!$B$2:$Y$301, MATCH(ROUND(MIN(300,MAX(1,D2247)),0), FactorTable!$A$2:$A$301,0), Skills!L15+1)</f>
        <v/>
      </c>
      <c r="F2247">
        <f>IF(Skills!M15=TRUE,(Skills!K15/10)*(E2247/1000),Skills!K15/10)+Skills!N15</f>
        <v/>
      </c>
      <c r="G2247">
        <f>Calc!G15</f>
        <v/>
      </c>
      <c r="H2247">
        <f>Calc!H15</f>
        <v/>
      </c>
      <c r="I2247">
        <f>IF(Skills!T15&lt;&gt;"",1+(Skills!T15/10)*($Z$3/1000)/100,1)</f>
        <v/>
      </c>
      <c r="J2247">
        <f>((Inputs!$B$6*(1+Inputs!$B$7/100))+(((Inputs!$B$13*(1+Inputs!$B$14/100))-(Inputs!$B$13*(1+Inputs!$B$14/100)))+0.25*(Inputs!$B$15-Inputs!$B$15))*(1+Inputs!$B$7/100))*(F2247/100)</f>
        <v/>
      </c>
      <c r="K2247">
        <f>J2247*(1+(((Inputs!$B$13+IF(Inputs!$B$3&gt;=35,(10*INDEX(FactorTable!$B$2:$Y$301,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15="TRIUMPH_FEATHER",IF(C2248=TRUE,F2248,0),0)/100)*(1+IF(C2259=TRUE,F2259,0)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2247)</f>
        <v/>
      </c>
      <c r="L2247">
        <f>K2247*(MIN(Inputs!$B$23+(F2254-Calc!F22),(Inputs!$B$24+IF(ArtifactsInput!$M$15,CHOOSE(ArtifactsInput!$N$15+1,25,30,35,40,45,50)/100*(Inputs!$B$12-Inputs!$B$12),0)))/100+(Inputs!$B$24+IF(ArtifactsInput!$M$15,CHOOSE(ArtifactsInput!$N$15+1,25,30,35,40,45,50)/100*(Inputs!$B$12-Inputs!$B$12),0))/100)/2</f>
        <v/>
      </c>
      <c r="M2247">
        <f>L2247*(1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7">
        <f>L2247*(1-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2247*(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7">
        <f>(1-Summary!$B$11)*S2247+Summary!$B$11*U2247</f>
        <v/>
      </c>
      <c r="P2247">
        <f>IF(B2275=0,0,O2247/B2275)</f>
        <v/>
      </c>
      <c r="Q2247">
        <f>IFERROR(1/(IF(Inputs!$B$39="pvp",15,MAX(0.1,Skills!D15-IF(Skills!E15=TRUE,Inputs!$B$33,0)))*(1-IF(AND(ArtifactsInput!$M$27,Inputs!$B$4="Chapter Hunt"),CHOOSE(ArtifactsInput!$N$27+1,20,24,28,32,36,40),0)/100)),0)</f>
        <v/>
      </c>
      <c r="R2247" t="n">
        <v>0</v>
      </c>
      <c r="S2247">
        <f>IF(C2247,(Skills!F15*N2247*((IF(Inputs!$B$3&gt;=78,25,15)/100*B2268*10)/(1+IF(Inputs!$B$3&gt;=78,25,15)/100*B2268*10))*(Skills!I15/100*B2268)/(1+Skills!G15*Skills!I15/100*B2268))*IF(Inputs!$B$39="pvp",1,1+(Inputs!$B$21+Skills!O15+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2247*(1-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2247*(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2247*(1-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2247*(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7">
        <f>IF(C2247,(Skills!F15*N2247*((IF(Inputs!$B$3&gt;=78,25,15)/100*B2268*10)/(1+IF(Inputs!$B$3&gt;=78,25,15)/100*B2268*10))*(Skills!I15/100*B2268)/(1+Skills!G15*Skills!I15/100*B2268))*IF(Inputs!$B$39="pvp",1,(1+(Inputs!$B$22+Skills!P15+B2264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8">
      <c r="A2248">
        <f>Skills!A16</f>
        <v/>
      </c>
      <c r="B2248">
        <f>Skills!B16</f>
        <v/>
      </c>
      <c r="C2248">
        <f>Inputs!$B$3&gt;=100</f>
        <v/>
      </c>
      <c r="D2248">
        <f>IF(Skills!C16=1,60+Inputs!$B$26+Inputs!$B$30,IF(Skills!C16=2,90+Inputs!$B$27+Inputs!$B$30,IF(Skills!C16=3,120+Inputs!$B$28+Inputs!$B$30,MAX(0,(Inputs!$B$3-100)*3)+Inputs!$B$29+Inputs!$B$30)))</f>
        <v/>
      </c>
      <c r="E2248">
        <f>INDEX(FactorTable!$B$2:$Y$301, MATCH(ROUND(MIN(300,MAX(1,D2248)),0), FactorTable!$A$2:$A$301,0), Skills!L16+1)</f>
        <v/>
      </c>
      <c r="F2248">
        <f>IF(Skills!M16=TRUE,(Skills!K16/10)*(E2248/1000),Skills!K16/10)+Skills!N16</f>
        <v/>
      </c>
      <c r="G2248">
        <f>Calc!G16</f>
        <v/>
      </c>
      <c r="H2248">
        <f>Calc!H16</f>
        <v/>
      </c>
      <c r="I2248">
        <f>IF(Skills!T16&lt;&gt;"",1+(Skills!T16/10)*($Z$3/1000)/100,1)</f>
        <v/>
      </c>
      <c r="J2248" t="inlineStr"/>
      <c r="K2248" t="inlineStr"/>
      <c r="L2248" t="inlineStr"/>
      <c r="M2248" t="inlineStr"/>
      <c r="N2248" t="inlineStr"/>
      <c r="O2248">
        <f>(1-Summary!$B$11)*S2248+Summary!$B$11*U2248</f>
        <v/>
      </c>
      <c r="P2248">
        <f>IF(B2275=0,0,O2248/B2275)</f>
        <v/>
      </c>
      <c r="Q2248">
        <f>IFERROR(1/(IF(Inputs!$B$39="pvp",15,MAX(0.1,Skills!D16-IF(Skills!E16=TRUE,Inputs!$B$33,0)))*(1-IF(AND(ArtifactsInput!$M$27,Inputs!$B$4="Chapter Hunt"),CHOOSE(ArtifactsInput!$N$27+1,20,24,28,32,36,40),0)/100)),0)</f>
        <v/>
      </c>
      <c r="R2248" t="n">
        <v>0</v>
      </c>
      <c r="S2248" t="n">
        <v>0</v>
      </c>
      <c r="U2248" t="n">
        <v>0</v>
      </c>
    </row>
    <row r="2249">
      <c r="A2249">
        <f>Skills!A17</f>
        <v/>
      </c>
      <c r="B2249">
        <f>Skills!B17</f>
        <v/>
      </c>
      <c r="C2249">
        <f>Inputs!$B$3&gt;=49</f>
        <v/>
      </c>
      <c r="D2249">
        <f>IF(Skills!C17=1,60+Inputs!$B$26+Inputs!$B$30,IF(Skills!C17=2,90+Inputs!$B$27+Inputs!$B$30,IF(Skills!C17=3,120+Inputs!$B$28+Inputs!$B$30,MAX(0,(Inputs!$B$3-100)*3)+Inputs!$B$29+Inputs!$B$30)))</f>
        <v/>
      </c>
      <c r="E2249">
        <f>INDEX(FactorTable!$B$2:$Y$301, MATCH(ROUND(MIN(300,MAX(1,D2249)),0), FactorTable!$A$2:$A$301,0), Skills!L17+1)</f>
        <v/>
      </c>
      <c r="F2249">
        <f>IF(Skills!M17=TRUE,(Skills!K17/10)*(E2249/1000),Skills!K17/10)+Skills!N17</f>
        <v/>
      </c>
      <c r="G2249">
        <f>Calc!G17</f>
        <v/>
      </c>
      <c r="H2249">
        <f>Calc!H17</f>
        <v/>
      </c>
      <c r="I2249">
        <f>IF(Skills!T17&lt;&gt;"",1+(Skills!T17/10)*($Z$3/1000)/100,1)</f>
        <v/>
      </c>
      <c r="J2249" t="inlineStr"/>
      <c r="K2249" t="inlineStr"/>
      <c r="L2249" t="inlineStr"/>
      <c r="M2249" t="inlineStr"/>
      <c r="N2249" t="inlineStr"/>
      <c r="O2249">
        <f>(1-Summary!$B$11)*S2249+Summary!$B$11*U2249</f>
        <v/>
      </c>
      <c r="P2249">
        <f>IF(B2275=0,0,O2249/B2275)</f>
        <v/>
      </c>
      <c r="Q2249">
        <f>IFERROR(1/(IF(Inputs!$B$39="pvp",15,MAX(0.1,Skills!D17-IF(Skills!E17=TRUE,Inputs!$B$33,0)))*(1-IF(AND(ArtifactsInput!$M$27,Inputs!$B$4="Chapter Hunt"),CHOOSE(ArtifactsInput!$N$27+1,20,24,28,32,36,40),0)/100)),0)</f>
        <v/>
      </c>
      <c r="R2249" t="n">
        <v>0</v>
      </c>
      <c r="S2249" t="n">
        <v>0</v>
      </c>
      <c r="U2249" t="n">
        <v>0</v>
      </c>
    </row>
    <row r="2250">
      <c r="A2250">
        <f>Skills!A18</f>
        <v/>
      </c>
      <c r="B2250">
        <f>Skills!B18</f>
        <v/>
      </c>
      <c r="C2250">
        <f>Inputs!$B$3&gt;=75</f>
        <v/>
      </c>
      <c r="D2250">
        <f>IF(Skills!C18=1,60+Inputs!$B$26+Inputs!$B$30,IF(Skills!C18=2,90+Inputs!$B$27+Inputs!$B$30,IF(Skills!C18=3,120+Inputs!$B$28+Inputs!$B$30,MAX(0,(Inputs!$B$3-100)*3)+Inputs!$B$29+Inputs!$B$30)))</f>
        <v/>
      </c>
      <c r="E2250">
        <f>INDEX(FactorTable!$B$2:$Y$301, MATCH(ROUND(MIN(300,MAX(1,D2250)),0), FactorTable!$A$2:$A$301,0), Skills!L18+1)</f>
        <v/>
      </c>
      <c r="F2250">
        <f>IF(Skills!M18=TRUE,(Skills!K18/10)*(E2250/1000),Skills!K18/10)+Skills!N18</f>
        <v/>
      </c>
      <c r="G2250">
        <f>Calc!G18</f>
        <v/>
      </c>
      <c r="H2250">
        <f>Calc!H18</f>
        <v/>
      </c>
      <c r="I2250">
        <f>IF(Skills!T18&lt;&gt;"",1+(Skills!T18/10)*($Z$3/1000)/100,1)</f>
        <v/>
      </c>
      <c r="J2250" t="inlineStr"/>
      <c r="K2250" t="inlineStr"/>
      <c r="L2250" t="inlineStr"/>
      <c r="M2250" t="inlineStr"/>
      <c r="N2250" t="inlineStr"/>
      <c r="O2250">
        <f>(1-Summary!$B$11)*S2250+Summary!$B$11*U2250</f>
        <v/>
      </c>
      <c r="P2250">
        <f>IF(B2275=0,0,O2250/B2275)</f>
        <v/>
      </c>
      <c r="Q2250">
        <f>IFERROR(1/(IF(Inputs!$B$39="pvp",15,MAX(0.1,Skills!D18-IF(Skills!E18=TRUE,Inputs!$B$33,0)))*(1-IF(AND(ArtifactsInput!$M$27,Inputs!$B$4="Chapter Hunt"),CHOOSE(ArtifactsInput!$N$27+1,20,24,28,32,36,40),0)/100)),0)</f>
        <v/>
      </c>
      <c r="R2250" t="n">
        <v>0</v>
      </c>
      <c r="S2250" t="n">
        <v>0</v>
      </c>
      <c r="U2250" t="n">
        <v>0</v>
      </c>
    </row>
    <row r="2251">
      <c r="A2251">
        <f>Skills!A19</f>
        <v/>
      </c>
      <c r="B2251">
        <f>Skills!B19</f>
        <v/>
      </c>
      <c r="C2251">
        <f>Inputs!$B$3&gt;=110</f>
        <v/>
      </c>
      <c r="D2251">
        <f>IF(Skills!C19=1,60+Inputs!$B$26+Inputs!$B$30,IF(Skills!C19=2,90+Inputs!$B$27+Inputs!$B$30,IF(Skills!C19=3,120+Inputs!$B$28+Inputs!$B$30,MAX(0,(Inputs!$B$3-100)*3)+Inputs!$B$29+Inputs!$B$30)))</f>
        <v/>
      </c>
      <c r="E2251">
        <f>INDEX(FactorTable!$B$2:$Y$301, MATCH(ROUND(MIN(300,MAX(1,D2251)),0), FactorTable!$A$2:$A$301,0), Skills!L19+1)</f>
        <v/>
      </c>
      <c r="F2251">
        <f>(Skills!K19/10)*(E2251/1000)*64/45+Skills!N19</f>
        <v/>
      </c>
      <c r="G2251">
        <f>Calc!G19</f>
        <v/>
      </c>
      <c r="H2251">
        <f>Calc!H19</f>
        <v/>
      </c>
      <c r="I2251">
        <f>IF(Skills!T19&lt;&gt;"",1+(Skills!T19/10)*($Z$3/1000)/100,1)</f>
        <v/>
      </c>
      <c r="J2251" t="inlineStr"/>
      <c r="K2251" t="inlineStr"/>
      <c r="L2251" t="inlineStr"/>
      <c r="M2251" t="inlineStr"/>
      <c r="N2251" t="inlineStr"/>
      <c r="O2251">
        <f>(1-Summary!$B$11)*S2251+Summary!$B$11*U2251</f>
        <v/>
      </c>
      <c r="P2251">
        <f>IF(B2275=0,0,O2251/B2275)</f>
        <v/>
      </c>
      <c r="Q2251">
        <f>IFERROR(1/(IF(Inputs!$B$39="pvp",15,MAX(0.1,Skills!D19-IF(Skills!E19=TRUE,Inputs!$B$33,0)))*(1-IF(AND(ArtifactsInput!$M$27,Inputs!$B$4="Chapter Hunt"),CHOOSE(ArtifactsInput!$N$27+1,20,24,28,32,36,40),0)/100)),0)</f>
        <v/>
      </c>
      <c r="R2251">
        <f>IF(AND(Inputs!$B$39&lt;&gt;"pvp",Inputs!$B$44&gt;0),IF(Inputs!$B$44&lt;=0,0,(INT(Inputs!$B$44/(IF(Inputs!$B$39="pvp",15,MAX(0.1,Skills!D19-IF(Skills!E19=TRUE,Inputs!$B$33,0)))*(1-IF(AND(ArtifactsInput!$M$27,Inputs!$B$4="Chapter Hunt"),CHOOSE(ArtifactsInput!$N$27+1,20,24,28,32,36,40),0)/100)))+1)),0)</f>
        <v/>
      </c>
      <c r="S2251" t="n">
        <v>0</v>
      </c>
      <c r="U2251" t="n">
        <v>0</v>
      </c>
    </row>
    <row r="2252">
      <c r="A2252">
        <f>Skills!A20</f>
        <v/>
      </c>
      <c r="B2252">
        <f>Skills!B20</f>
        <v/>
      </c>
      <c r="C2252">
        <f>Inputs!$B$3&gt;=125</f>
        <v/>
      </c>
      <c r="D2252">
        <f>IF(Skills!C20=1,60+Inputs!$B$26+Inputs!$B$30,IF(Skills!C20=2,90+Inputs!$B$27+Inputs!$B$30,IF(Skills!C20=3,120+Inputs!$B$28+Inputs!$B$30,MAX(0,(Inputs!$B$3-100)*3)+Inputs!$B$29+Inputs!$B$30)))</f>
        <v/>
      </c>
      <c r="E2252">
        <f>INDEX(FactorTable!$B$2:$Y$301, MATCH(ROUND(MIN(300,MAX(1,D2252)),0), FactorTable!$A$2:$A$301,0), Skills!L20+1)</f>
        <v/>
      </c>
      <c r="F2252">
        <f>IF(Skills!M20=TRUE,(Skills!K20/10)*(E2252/1000),Skills!K20/10)+Skills!N20</f>
        <v/>
      </c>
      <c r="G2252">
        <f>Calc!G20</f>
        <v/>
      </c>
      <c r="H2252">
        <f>Calc!H20</f>
        <v/>
      </c>
      <c r="I2252">
        <f>IF(Skills!T20&lt;&gt;"",1+(Skills!T20/10)*($Z$3/1000)/100,1)</f>
        <v/>
      </c>
      <c r="J2252" t="inlineStr"/>
      <c r="K2252" t="inlineStr"/>
      <c r="L2252" t="inlineStr"/>
      <c r="M2252" t="inlineStr"/>
      <c r="N2252" t="inlineStr"/>
      <c r="O2252">
        <f>(1-Summary!$B$11)*S2252+Summary!$B$11*U2252</f>
        <v/>
      </c>
      <c r="P2252">
        <f>IF(B2275=0,0,O2252/B2275)</f>
        <v/>
      </c>
      <c r="Q2252">
        <f>IFERROR(1/(IF(Inputs!$B$39="pvp",15,MAX(0.1,Skills!D20-IF(Skills!E20=TRUE,Inputs!$B$33,0)))*(1-IF(AND(ArtifactsInput!$M$27,Inputs!$B$4="Chapter Hunt"),CHOOSE(ArtifactsInput!$N$27+1,20,24,28,32,36,40),0)/100)),0)</f>
        <v/>
      </c>
      <c r="R2252" t="n">
        <v>0</v>
      </c>
      <c r="S2252" t="n">
        <v>0</v>
      </c>
      <c r="U2252" t="n">
        <v>0</v>
      </c>
    </row>
    <row r="2253">
      <c r="A2253">
        <f>Skills!A21</f>
        <v/>
      </c>
      <c r="B2253">
        <f>Skills!B21</f>
        <v/>
      </c>
      <c r="C2253">
        <f>Inputs!$B$3&gt;=33</f>
        <v/>
      </c>
      <c r="D2253">
        <f>IF(Skills!C21=1,60+Inputs!$B$26+Inputs!$B$30,IF(Skills!C21=2,90+Inputs!$B$27+Inputs!$B$30,IF(Skills!C21=3,120+Inputs!$B$28+Inputs!$B$30,MAX(0,(Inputs!$B$3-100)*3)+Inputs!$B$29+Inputs!$B$30)))</f>
        <v/>
      </c>
      <c r="E2253">
        <f>INDEX(FactorTable!$B$2:$Y$301, MATCH(ROUND(MIN(300,MAX(1,D2253)),0), FactorTable!$A$2:$A$301,0), Skills!L21+1)</f>
        <v/>
      </c>
      <c r="F2253">
        <f>IF(Skills!M21=TRUE,(Skills!K21/10)*(E2253/1000),Skills!K21/10)+Skills!N21</f>
        <v/>
      </c>
      <c r="G2253">
        <f>Calc!G21</f>
        <v/>
      </c>
      <c r="H2253">
        <f>Calc!H21</f>
        <v/>
      </c>
      <c r="I2253">
        <f>IF(Skills!T21&lt;&gt;"",1+(Skills!T21/10)*($Z$3/1000)/100,1)</f>
        <v/>
      </c>
      <c r="J2253" t="inlineStr"/>
      <c r="K2253" t="inlineStr"/>
      <c r="L2253" t="inlineStr"/>
      <c r="M2253" t="inlineStr"/>
      <c r="N2253" t="inlineStr"/>
      <c r="O2253">
        <f>(1-Summary!$B$11)*S2253+Summary!$B$11*U2253</f>
        <v/>
      </c>
      <c r="P2253">
        <f>IF(B2275=0,0,O2253/B2275)</f>
        <v/>
      </c>
      <c r="Q2253">
        <f>IFERROR(1/(IF(Inputs!$B$39="pvp",15,MAX(0.1,Skills!D21-IF(Skills!E21=TRUE,Inputs!$B$33,0)))*(1-IF(AND(ArtifactsInput!$M$27,Inputs!$B$4="Chapter Hunt"),CHOOSE(ArtifactsInput!$N$27+1,20,24,28,32,36,40),0)/100)),0)</f>
        <v/>
      </c>
      <c r="R2253" t="n">
        <v>0</v>
      </c>
      <c r="S2253" t="n">
        <v>0</v>
      </c>
      <c r="U2253" t="n">
        <v>0</v>
      </c>
    </row>
    <row r="2254">
      <c r="A2254">
        <f>Skills!A22</f>
        <v/>
      </c>
      <c r="B2254">
        <f>Skills!B22</f>
        <v/>
      </c>
      <c r="C2254">
        <f>Inputs!$B$3&gt;=43</f>
        <v/>
      </c>
      <c r="D2254">
        <f>IF(Skills!C22=1,60+Inputs!$B$26+Inputs!$B$30,IF(Skills!C22=2,90+Inputs!$B$27+Inputs!$B$30,IF(Skills!C22=3,120+Inputs!$B$28+Inputs!$B$30,MAX(0,(Inputs!$B$3-100)*3)+Inputs!$B$29+Inputs!$B$30)))</f>
        <v/>
      </c>
      <c r="E2254">
        <f>INDEX(FactorTable!$B$2:$Y$301, MATCH(ROUND(MIN(300,MAX(1,D2254)),0), FactorTable!$A$2:$A$301,0), Skills!L22+1)</f>
        <v/>
      </c>
      <c r="F2254">
        <f>IF(Skills!M22=TRUE,(Skills!K22/10)*(E2254/1000),Skills!K22/10)+Skills!N22</f>
        <v/>
      </c>
      <c r="G2254">
        <f>Calc!G22</f>
        <v/>
      </c>
      <c r="H2254">
        <f>Calc!H22</f>
        <v/>
      </c>
      <c r="I2254">
        <f>IF(Skills!T22&lt;&gt;"",1+(Skills!T22/10)*($Z$3/1000)/100,1)</f>
        <v/>
      </c>
      <c r="J2254" t="inlineStr"/>
      <c r="K2254" t="inlineStr"/>
      <c r="L2254" t="inlineStr"/>
      <c r="M2254" t="inlineStr"/>
      <c r="N2254" t="inlineStr"/>
      <c r="O2254">
        <f>(1-Summary!$B$11)*S2254+Summary!$B$11*U2254</f>
        <v/>
      </c>
      <c r="P2254">
        <f>IF(B2275=0,0,O2254/B2275)</f>
        <v/>
      </c>
      <c r="Q2254">
        <f>IFERROR(1/(IF(Inputs!$B$39="pvp",15,MAX(0.1,Skills!D22-IF(Skills!E22=TRUE,Inputs!$B$33,0)))*(1-IF(AND(ArtifactsInput!$M$27,Inputs!$B$4="Chapter Hunt"),CHOOSE(ArtifactsInput!$N$27+1,20,24,28,32,36,40),0)/100)),0)</f>
        <v/>
      </c>
      <c r="R2254" t="n">
        <v>0</v>
      </c>
      <c r="S2254" t="n">
        <v>0</v>
      </c>
      <c r="U2254" t="n">
        <v>0</v>
      </c>
    </row>
    <row r="2255">
      <c r="A2255">
        <f>Skills!A23</f>
        <v/>
      </c>
      <c r="B2255">
        <f>Skills!B23</f>
        <v/>
      </c>
      <c r="C2255">
        <f>Inputs!$B$3&gt;=50</f>
        <v/>
      </c>
      <c r="D2255">
        <f>IF(Skills!C23=1,60+Inputs!$B$26+Inputs!$B$30,IF(Skills!C23=2,90+Inputs!$B$27+Inputs!$B$30,IF(Skills!C23=3,120+Inputs!$B$28+Inputs!$B$30,MAX(0,(Inputs!$B$3-100)*3)+Inputs!$B$29+Inputs!$B$30)))</f>
        <v/>
      </c>
      <c r="E2255">
        <f>INDEX(FactorTable!$B$2:$Y$301, MATCH(ROUND(MIN(300,MAX(1,D2255)),0), FactorTable!$A$2:$A$301,0), Skills!L23+1)</f>
        <v/>
      </c>
      <c r="F2255">
        <f>IF(Skills!M23=TRUE,(Skills!K23/10)*(E2255/1000),Skills!K23/10)+Skills!N23</f>
        <v/>
      </c>
      <c r="G2255">
        <f>Calc!G23</f>
        <v/>
      </c>
      <c r="H2255">
        <f>Calc!H23</f>
        <v/>
      </c>
      <c r="I2255">
        <f>IF(Skills!T23&lt;&gt;"",1+(Skills!T23/10)*($Z$3/1000)/100,1)</f>
        <v/>
      </c>
      <c r="J2255" t="inlineStr"/>
      <c r="K2255" t="inlineStr"/>
      <c r="L2255" t="inlineStr"/>
      <c r="M2255" t="inlineStr"/>
      <c r="N2255" t="inlineStr"/>
      <c r="O2255">
        <f>(1-Summary!$B$11)*S2255+Summary!$B$11*U2255</f>
        <v/>
      </c>
      <c r="P2255">
        <f>IF(B2275=0,0,O2255/B2275)</f>
        <v/>
      </c>
      <c r="Q2255">
        <f>IFERROR(1/(IF(Inputs!$B$39="pvp",15,MAX(0.1,Skills!D23-IF(Skills!E23=TRUE,Inputs!$B$33,0)))*(1-IF(AND(ArtifactsInput!$M$27,Inputs!$B$4="Chapter Hunt"),CHOOSE(ArtifactsInput!$N$27+1,20,24,28,32,36,40),0)/100)),0)</f>
        <v/>
      </c>
      <c r="R2255" t="n">
        <v>0</v>
      </c>
      <c r="S2255" t="n">
        <v>0</v>
      </c>
      <c r="U2255" t="n">
        <v>0</v>
      </c>
    </row>
    <row r="2256">
      <c r="A2256">
        <f>Skills!A24</f>
        <v/>
      </c>
      <c r="B2256">
        <f>Skills!B24</f>
        <v/>
      </c>
      <c r="C2256">
        <f>Inputs!$B$3&gt;=74</f>
        <v/>
      </c>
      <c r="D2256">
        <f>IF(Skills!C24=1,60+Inputs!$B$26+Inputs!$B$30,IF(Skills!C24=2,90+Inputs!$B$27+Inputs!$B$30,IF(Skills!C24=3,120+Inputs!$B$28+Inputs!$B$30,MAX(0,(Inputs!$B$3-100)*3)+Inputs!$B$29+Inputs!$B$30)))</f>
        <v/>
      </c>
      <c r="E2256">
        <f>INDEX(FactorTable!$B$2:$Y$301, MATCH(ROUND(MIN(300,MAX(1,D2256)),0), FactorTable!$A$2:$A$301,0), Skills!L24+1)</f>
        <v/>
      </c>
      <c r="F2256">
        <f>IF(Skills!M24=TRUE,(Skills!K24/10)*(E2256/1000),Skills!K24/10)+Skills!N24</f>
        <v/>
      </c>
      <c r="G2256">
        <f>Calc!G24</f>
        <v/>
      </c>
      <c r="H2256">
        <f>Calc!H24</f>
        <v/>
      </c>
      <c r="I2256">
        <f>IF(Skills!T24&lt;&gt;"",1+(Skills!T24/10)*($Z$3/1000)/100,1)</f>
        <v/>
      </c>
      <c r="J2256" t="inlineStr"/>
      <c r="K2256" t="inlineStr"/>
      <c r="L2256" t="inlineStr"/>
      <c r="M2256" t="inlineStr"/>
      <c r="N2256" t="inlineStr"/>
      <c r="O2256">
        <f>(1-Summary!$B$11)*S2256+Summary!$B$11*U2256</f>
        <v/>
      </c>
      <c r="P2256">
        <f>IF(B2275=0,0,O2256/B2275)</f>
        <v/>
      </c>
      <c r="Q2256">
        <f>IFERROR(1/(IF(Inputs!$B$39="pvp",15,MAX(0.1,Skills!D24-IF(Skills!E24=TRUE,Inputs!$B$33,0)))*(1-IF(AND(ArtifactsInput!$M$27,Inputs!$B$4="Chapter Hunt"),CHOOSE(ArtifactsInput!$N$27+1,20,24,28,32,36,40),0)/100)),0)</f>
        <v/>
      </c>
      <c r="R2256" t="n">
        <v>0</v>
      </c>
      <c r="S2256" t="n">
        <v>0</v>
      </c>
      <c r="U2256" t="n">
        <v>0</v>
      </c>
    </row>
    <row r="2257">
      <c r="A2257">
        <f>Skills!A25</f>
        <v/>
      </c>
      <c r="B2257">
        <f>Skills!B25</f>
        <v/>
      </c>
      <c r="C2257">
        <f>Inputs!$B$3&gt;=74</f>
        <v/>
      </c>
      <c r="D2257">
        <f>IF(Skills!C25=1,60+Inputs!$B$26+Inputs!$B$30,IF(Skills!C25=2,90+Inputs!$B$27+Inputs!$B$30,IF(Skills!C25=3,120+Inputs!$B$28+Inputs!$B$30,MAX(0,(Inputs!$B$3-100)*3)+Inputs!$B$29+Inputs!$B$30)))</f>
        <v/>
      </c>
      <c r="E2257">
        <f>INDEX(FactorTable!$B$2:$Y$301, MATCH(ROUND(MIN(300,MAX(1,D2257)),0), FactorTable!$A$2:$A$301,0), Skills!L25+1)</f>
        <v/>
      </c>
      <c r="F2257">
        <f>IF(Skills!M25=TRUE,(Skills!K25/10)*(E2257/1000),Skills!K25/10)+Skills!N25</f>
        <v/>
      </c>
      <c r="G2257">
        <f>Calc!G25</f>
        <v/>
      </c>
      <c r="H2257">
        <f>Calc!H25</f>
        <v/>
      </c>
      <c r="I2257">
        <f>IF(Skills!T25&lt;&gt;"",1+(Skills!T25/10)*($Z$3/1000)/100,1)</f>
        <v/>
      </c>
      <c r="J2257" t="inlineStr"/>
      <c r="K2257" t="inlineStr"/>
      <c r="L2257" t="inlineStr"/>
      <c r="M2257" t="inlineStr"/>
      <c r="N2257" t="inlineStr"/>
      <c r="O2257">
        <f>(1-Summary!$B$11)*S2257+Summary!$B$11*U2257</f>
        <v/>
      </c>
      <c r="P2257">
        <f>IF(B2275=0,0,O2257/B2275)</f>
        <v/>
      </c>
      <c r="Q2257">
        <f>IFERROR(1/(IF(Inputs!$B$39="pvp",15,MAX(0.1,Skills!D25-IF(Skills!E25=TRUE,Inputs!$B$33,0)))*(1-IF(AND(ArtifactsInput!$M$27,Inputs!$B$4="Chapter Hunt"),CHOOSE(ArtifactsInput!$N$27+1,20,24,28,32,36,40),0)/100)),0)</f>
        <v/>
      </c>
      <c r="R2257" t="n">
        <v>0</v>
      </c>
      <c r="S2257" t="n">
        <v>0</v>
      </c>
      <c r="U2257" t="n">
        <v>0</v>
      </c>
    </row>
    <row r="2258">
      <c r="A2258">
        <f>Skills!A26</f>
        <v/>
      </c>
      <c r="B2258">
        <f>Skills!B26</f>
        <v/>
      </c>
      <c r="C2258">
        <f>Inputs!$B$3&gt;=117</f>
        <v/>
      </c>
      <c r="D2258">
        <f>IF(Skills!C26=1,60+Inputs!$B$26+Inputs!$B$30,IF(Skills!C26=2,90+Inputs!$B$27+Inputs!$B$30,IF(Skills!C26=3,120+Inputs!$B$28+Inputs!$B$30,MAX(0,(Inputs!$B$3-100)*3)+Inputs!$B$29+Inputs!$B$30)))</f>
        <v/>
      </c>
      <c r="E2258">
        <f>INDEX(FactorTable!$B$2:$Y$301, MATCH(ROUND(MIN(300,MAX(1,D2258)),0), FactorTable!$A$2:$A$301,0), Skills!L26+1)</f>
        <v/>
      </c>
      <c r="F2258">
        <f>IF(Skills!M26=TRUE,(Skills!K26/10)*(E2258/1000),Skills!K26/10)+Skills!N26</f>
        <v/>
      </c>
      <c r="G2258">
        <f>Calc!G26</f>
        <v/>
      </c>
      <c r="H2258">
        <f>Calc!H26</f>
        <v/>
      </c>
      <c r="I2258">
        <f>IF(Skills!T26&lt;&gt;"",1+(Skills!T26/10)*($Z$3/1000)/100,1)</f>
        <v/>
      </c>
      <c r="J2258" t="inlineStr"/>
      <c r="K2258" t="inlineStr"/>
      <c r="L2258" t="inlineStr"/>
      <c r="M2258" t="inlineStr"/>
      <c r="N2258" t="inlineStr"/>
      <c r="O2258">
        <f>(1-Summary!$B$11)*S2258+Summary!$B$11*U2258</f>
        <v/>
      </c>
      <c r="P2258">
        <f>IF(B2275=0,0,O2258/B2275)</f>
        <v/>
      </c>
      <c r="Q2258">
        <f>IFERROR(1/(IF(Inputs!$B$39="pvp",15,MAX(0.1,Skills!D26-IF(Skills!E26=TRUE,Inputs!$B$33,0)))*(1-IF(AND(ArtifactsInput!$M$27,Inputs!$B$4="Chapter Hunt"),CHOOSE(ArtifactsInput!$N$27+1,20,24,28,32,36,40),0)/100)),0)</f>
        <v/>
      </c>
      <c r="R2258" t="n">
        <v>0</v>
      </c>
      <c r="S2258" t="n">
        <v>0</v>
      </c>
      <c r="U2258" t="n">
        <v>0</v>
      </c>
    </row>
    <row r="2259">
      <c r="A2259">
        <f>Skills!A27</f>
        <v/>
      </c>
      <c r="B2259">
        <f>Skills!B27</f>
        <v/>
      </c>
      <c r="C2259">
        <f>Inputs!$B$3&gt;=120</f>
        <v/>
      </c>
      <c r="D2259">
        <f>IF(Skills!C27=1,60+Inputs!$B$26+Inputs!$B$30,IF(Skills!C27=2,90+Inputs!$B$27+Inputs!$B$30,IF(Skills!C27=3,120+Inputs!$B$28+Inputs!$B$30,MAX(0,(Inputs!$B$3-100)*3)+Inputs!$B$29+Inputs!$B$30)))</f>
        <v/>
      </c>
      <c r="E2259">
        <f>INDEX(FactorTable!$B$2:$Y$301, MATCH(ROUND(MIN(300,MAX(1,D2259)),0), FactorTable!$A$2:$A$301,0), Skills!L27+1)</f>
        <v/>
      </c>
      <c r="F2259">
        <f>IF(Skills!M27=TRUE,(Skills!K27/10)*(E2259/1000),Skills!K27/10)+Skills!N27</f>
        <v/>
      </c>
      <c r="G2259">
        <f>Calc!G27</f>
        <v/>
      </c>
      <c r="H2259">
        <f>Calc!H27</f>
        <v/>
      </c>
      <c r="I2259">
        <f>IF(Skills!T27&lt;&gt;"",1+(Skills!T27/10)*($Z$3/1000)/100,1)</f>
        <v/>
      </c>
      <c r="J2259" t="inlineStr"/>
      <c r="K2259" t="inlineStr"/>
      <c r="L2259" t="inlineStr"/>
      <c r="M2259" t="inlineStr"/>
      <c r="N2259" t="inlineStr"/>
      <c r="O2259">
        <f>(1-Summary!$B$11)*S2259+Summary!$B$11*U2259</f>
        <v/>
      </c>
      <c r="P2259">
        <f>IF(B2275=0,0,O2259/B2275)</f>
        <v/>
      </c>
      <c r="Q2259">
        <f>IFERROR(1/(IF(Inputs!$B$39="pvp",15,MAX(0.1,Skills!D27-IF(Skills!E27=TRUE,Inputs!$B$33,0)))*(1-IF(AND(ArtifactsInput!$M$27,Inputs!$B$4="Chapter Hunt"),CHOOSE(ArtifactsInput!$N$27+1,20,24,28,32,36,40),0)/100)),0)</f>
        <v/>
      </c>
      <c r="R2259" t="n">
        <v>0</v>
      </c>
      <c r="S2259" t="n">
        <v>0</v>
      </c>
      <c r="U2259" t="n">
        <v>0</v>
      </c>
    </row>
    <row r="2260">
      <c r="A2260">
        <f>Skills!A28</f>
        <v/>
      </c>
      <c r="B2260">
        <f>Skills!B28</f>
        <v/>
      </c>
      <c r="C2260">
        <f>TRUE</f>
        <v/>
      </c>
      <c r="D2260">
        <f>IF(Skills!C28=1,60+Inputs!$B$26+Inputs!$B$30,IF(Skills!C28=2,90+Inputs!$B$27+Inputs!$B$30,IF(Skills!C28=3,120+Inputs!$B$28+Inputs!$B$30,MAX(0,(Inputs!$B$3-100)*3)+Inputs!$B$29+Inputs!$B$30)))</f>
        <v/>
      </c>
      <c r="E2260">
        <f>INDEX(FactorTable!$B$2:$Y$301, MATCH(ROUND(MIN(300,MAX(1,D2260)),0), FactorTable!$A$2:$A$301,0), Skills!L28+1)</f>
        <v/>
      </c>
      <c r="F2260">
        <f>IF(Skills!M28=TRUE,(Skills!K28/10)*(E2260/1000),Skills!K28/10)+Skills!N28</f>
        <v/>
      </c>
      <c r="G2260">
        <f>Calc!G28</f>
        <v/>
      </c>
      <c r="H2260">
        <f>Calc!H28</f>
        <v/>
      </c>
      <c r="I2260">
        <f>IF(Skills!T28&lt;&gt;"",1+(Skills!T28/10)*($Z$3/1000)/100,1)</f>
        <v/>
      </c>
      <c r="J2260" t="inlineStr"/>
      <c r="K2260" t="inlineStr"/>
      <c r="L2260" t="inlineStr"/>
      <c r="M2260" t="inlineStr"/>
      <c r="N2260" t="inlineStr"/>
      <c r="O2260">
        <f>(1-Summary!$B$11)*S2260+Summary!$B$11*U2260</f>
        <v/>
      </c>
      <c r="P2260">
        <f>IF(B2275=0,0,O2260/B2275)</f>
        <v/>
      </c>
      <c r="Q2260">
        <f>IFERROR(1/(IF(Inputs!$B$39="pvp",15,MAX(0.1,Skills!D28-IF(Skills!E28=TRUE,Inputs!$B$33,0)))*(1-IF(AND(ArtifactsInput!$M$27,Inputs!$B$4="Chapter Hunt"),CHOOSE(ArtifactsInput!$N$27+1,20,24,28,32,36,40),0)/100)),0)</f>
        <v/>
      </c>
      <c r="R2260">
        <f>IF(AND(Inputs!$B$39&lt;&gt;"pvp",Inputs!$B$44&gt;0),IF(Inputs!$B$44&lt;=0,0,(INT(Inputs!$B$44/(IF(Inputs!$B$39="pvp",15,MAX(0.1,Skills!D28-IF(Skills!E28=TRUE,Inputs!$B$33,0)))*(1-IF(AND(ArtifactsInput!$M$27,Inputs!$B$4="Chapter Hunt"),CHOOSE(ArtifactsInput!$N$27+1,20,24,28,32,36,40),0)/100)))+1)),0)</f>
        <v/>
      </c>
      <c r="S2260" t="n">
        <v>0</v>
      </c>
      <c r="U2260" t="n">
        <v>0</v>
      </c>
    </row>
    <row r="2262">
      <c r="A2262" t="inlineStr">
        <is>
          <t>Average Buff Multiplier</t>
        </is>
      </c>
      <c r="B2262">
        <f>(1+(IF(C2235=TRUE,F2235*IF(AND(Inputs!$B$39&lt;&gt;"pvp",Inputs!$B$44&gt;0),(((R2235-1)*(Skills!S3*(1+((Inputs!$B$35+(ArtifactsInput!$M$7-ArtifactsInput!$M$7)*CHOOSE(ArtifactsInput!$N$7+1,6,7.2,8.4,9.6,10.8,12))+IF(Inputs!$B$3&gt;=117,F2258,0))/100))+MIN((Skills!S3*(1+((Inputs!$B$35+(ArtifactsInput!$M$7-ArtifactsInput!$M$7)*CHOOSE(ArtifactsInput!$N$7+1,6,7.2,8.4,9.6,10.8,12))+IF(Inputs!$B$3&gt;=117,F2258,0))/100)),MAX(0,Inputs!$B$44-((R2235-1)*Skills!D3))))/Inputs!$B$44),IF(Inputs!$B$39="pvp",MIN((Skills!S3*(1+((Inputs!$B$35+(ArtifactsInput!$M$7-ArtifactsInput!$M$7)*CHOOSE(ArtifactsInput!$N$7+1,6,7.2,8.4,9.6,10.8,12))+IF(Inputs!$B$3&gt;=117,F2258,0))/100)),15)/15,(Skills!S3*(1+((Inputs!$B$35+(ArtifactsInput!$M$7-ArtifactsInput!$M$7)*CHOOSE(ArtifactsInput!$N$7+1,6,7.2,8.4,9.6,10.8,12))+IF(Inputs!$B$3&gt;=117,F2258,0))/100))/Skills!D3)),0)+IF(C2236=TRUE,F2236*IF(AND(Inputs!$B$39&lt;&gt;"pvp",Inputs!$B$44&gt;0),(((R2236-1)*(Skills!S4*(1+((Inputs!$B$35+(ArtifactsInput!$M$7-ArtifactsInput!$M$7)*CHOOSE(ArtifactsInput!$N$7+1,6,7.2,8.4,9.6,10.8,12))+IF(Inputs!$B$3&gt;=117,F2258,0))/100))+MIN((Skills!S4*(1+((Inputs!$B$35+(ArtifactsInput!$M$7-ArtifactsInput!$M$7)*CHOOSE(ArtifactsInput!$N$7+1,6,7.2,8.4,9.6,10.8,12))+IF(Inputs!$B$3&gt;=117,F2258,0))/100)),MAX(0,Inputs!$B$44-((R2236-1)*Skills!D4))))/Inputs!$B$44),IF(Inputs!$B$39="pvp",MIN((Skills!S4*(1+((Inputs!$B$35+(ArtifactsInput!$M$7-ArtifactsInput!$M$7)*CHOOSE(ArtifactsInput!$N$7+1,6,7.2,8.4,9.6,10.8,12))+IF(Inputs!$B$3&gt;=117,F2258,0))/100)),15)/15,(Skills!S4*(1+((Inputs!$B$35+(ArtifactsInput!$M$7-ArtifactsInput!$M$7)*CHOOSE(ArtifactsInput!$N$7+1,6,7.2,8.4,9.6,10.8,12))+IF(Inputs!$B$3&gt;=117,F2258,0))/100))/Skills!D4)),0)+IF(C2237=TRUE,F2237*IF(AND(Inputs!$B$39&lt;&gt;"pvp",Inputs!$B$44&gt;0),(((R2237-1)*(Skills!S5*(1+((Inputs!$B$35+(ArtifactsInput!$M$7-ArtifactsInput!$M$7)*CHOOSE(ArtifactsInput!$N$7+1,6,7.2,8.4,9.6,10.8,12))+IF(Inputs!$B$3&gt;=117,F2258,0))/100))+MIN((Skills!S5*(1+((Inputs!$B$35+(ArtifactsInput!$M$7-ArtifactsInput!$M$7)*CHOOSE(ArtifactsInput!$N$7+1,6,7.2,8.4,9.6,10.8,12))+IF(Inputs!$B$3&gt;=117,F2258,0))/100)),MAX(0,Inputs!$B$44-((R2237-1)*Skills!D5))))/Inputs!$B$44),IF(Inputs!$B$39="pvp",MIN((Skills!S5*(1+((Inputs!$B$35+(ArtifactsInput!$M$7-ArtifactsInput!$M$7)*CHOOSE(ArtifactsInput!$N$7+1,6,7.2,8.4,9.6,10.8,12))+IF(Inputs!$B$3&gt;=117,F2258,0))/100)),15)/15,(Skills!S5*(1+((Inputs!$B$35+(ArtifactsInput!$M$7-ArtifactsInput!$M$7)*CHOOSE(ArtifactsInput!$N$7+1,6,7.2,8.4,9.6,10.8,12))+IF(Inputs!$B$3&gt;=117,F2258,0))/100))/Skills!D5)),0)+IF(C2243=TRUE,F2243*IF(AND(Inputs!$B$39&lt;&gt;"pvp",Inputs!$B$44&gt;0),(((R2243-1)*(Skills!S11*(1+((Inputs!$B$35+(ArtifactsInput!$M$7-ArtifactsInput!$M$7)*CHOOSE(ArtifactsInput!$N$7+1,6,7.2,8.4,9.6,10.8,12))+IF(Inputs!$B$3&gt;=117,F2258,0))/100))+MIN((Skills!S11*(1+((Inputs!$B$35+(ArtifactsInput!$M$7-ArtifactsInput!$M$7)*CHOOSE(ArtifactsInput!$N$7+1,6,7.2,8.4,9.6,10.8,12))+IF(Inputs!$B$3&gt;=117,F2258,0))/100)),MAX(0,Inputs!$B$44-((R2243-1)*Skills!D11))))/Inputs!$B$44),IF(Inputs!$B$39="pvp",MIN((Skills!S11*(1+((Inputs!$B$35+(ArtifactsInput!$M$7-ArtifactsInput!$M$7)*CHOOSE(ArtifactsInput!$N$7+1,6,7.2,8.4,9.6,10.8,12))+IF(Inputs!$B$3&gt;=117,F2258,0))/100)),15)/15,(Skills!S11*(1+((Inputs!$B$35+(ArtifactsInput!$M$7-ArtifactsInput!$M$7)*CHOOSE(ArtifactsInput!$N$7+1,6,7.2,8.4,9.6,10.8,12))+IF(Inputs!$B$3&gt;=117,F2258,0)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2246=TRUE,(1+F2246*IF(AND(Inputs!$B$39&lt;&gt;"pvp",Inputs!$B$44&gt;0),(((R2246-1)*(Skills!S14*(1+((Inputs!$B$35+(ArtifactsInput!$M$7-ArtifactsInput!$M$7)*CHOOSE(ArtifactsInput!$N$7+1,6,7.2,8.4,9.6,10.8,12))+IF(Inputs!$B$3&gt;=117,F2258,0))/100))+MIN((Skills!S14*(1+((Inputs!$B$35+(ArtifactsInput!$M$7-ArtifactsInput!$M$7)*CHOOSE(ArtifactsInput!$N$7+1,6,7.2,8.4,9.6,10.8,12))+IF(Inputs!$B$3&gt;=117,F2258,0))/100)),MAX(0,Inputs!$B$44-((R2246-1)*Skills!D14))))/Inputs!$B$44),IF(Inputs!$B$39="pvp",MIN((Skills!S14*(1+((Inputs!$B$35+(ArtifactsInput!$M$7-ArtifactsInput!$M$7)*CHOOSE(ArtifactsInput!$N$7+1,6,7.2,8.4,9.6,10.8,12))+IF(Inputs!$B$3&gt;=117,F2258,0))/100)),15)/15,(Skills!S14*(1+((Inputs!$B$35+(ArtifactsInput!$M$7-ArtifactsInput!$M$7)*CHOOSE(ArtifactsInput!$N$7+1,6,7.2,8.4,9.6,10.8,12))+IF(Inputs!$B$3&gt;=117,F2258,0))/100))/Skills!D14))/100),1)*IF(C2251=TRUE,(1+F2251*IF(AND(Inputs!$B$39&lt;&gt;"pvp",Inputs!$B$44&gt;0),(((R2251-1)*(Skills!S19*(1+((Inputs!$B$35+(ArtifactsInput!$M$7-ArtifactsInput!$M$7)*CHOOSE(ArtifactsInput!$N$7+1,6,7.2,8.4,9.6,10.8,12))+IF(Inputs!$B$3&gt;=117,F2258,0))/100))+MIN((Skills!S19*(1+((Inputs!$B$35+(ArtifactsInput!$M$7-ArtifactsInput!$M$7)*CHOOSE(ArtifactsInput!$N$7+1,6,7.2,8.4,9.6,10.8,12))+IF(Inputs!$B$3&gt;=117,F2258,0))/100)),MAX(0,Inputs!$B$44-((R2251-1)*Skills!D19))))/Inputs!$B$44),IF(Inputs!$B$39="pvp",MIN((Skills!S19*(1+((Inputs!$B$35+(ArtifactsInput!$M$7-ArtifactsInput!$M$7)*CHOOSE(ArtifactsInput!$N$7+1,6,7.2,8.4,9.6,10.8,12))+IF(Inputs!$B$3&gt;=117,F2258,0))/100)),15)/15,(Skills!S19*(1+((Inputs!$B$35+(ArtifactsInput!$M$7-ArtifactsInput!$M$7)*CHOOSE(ArtifactsInput!$N$7+1,6,7.2,8.4,9.6,10.8,12))+IF(Inputs!$B$3&gt;=117,F2258,0))/100))/Skills!D19))/100),1)</f>
        <v/>
      </c>
    </row>
    <row r="2263">
      <c r="A2263" t="inlineStr">
        <is>
          <t>Monster Damage Taken Bonus % (Holy Fountain)</t>
        </is>
      </c>
      <c r="B2263">
        <f>IF(Inputs!$B$3&gt;=68,20*IF(Inputs!$B$39="pvp",MIN((15*(1+((Inputs!$B$35+(ArtifactsInput!$M$7-ArtifactsInput!$M$7)*CHOOSE(ArtifactsInput!$N$7+1,6,7.2,8.4,9.6,10.8,12))+IF(Inputs!$B$3&gt;=117,F2258,0))/100)),15)/15,(15*(1+((Inputs!$B$35+(ArtifactsInput!$M$7-ArtifactsInput!$M$7)*CHOOSE(ArtifactsInput!$N$7+1,6,7.2,8.4,9.6,10.8,12))+IF(Inputs!$B$3&gt;=117,F2258,0))/100))/Skills!D10),0)</f>
        <v/>
      </c>
    </row>
    <row r="2264">
      <c r="A2264" t="inlineStr">
        <is>
          <t>Normal Monster Damage Bonus % (Holy Symbol)</t>
        </is>
      </c>
      <c r="B2264">
        <f>IF(C2244=TRUE,F2244*IF(AND(Inputs!$B$39&lt;&gt;"pvp",Inputs!$B$44&gt;0),(((R2244-1)*(Skills!S12*(1+((Inputs!$B$35+(ArtifactsInput!$M$7-ArtifactsInput!$M$7)*CHOOSE(ArtifactsInput!$N$7+1,6,7.2,8.4,9.6,10.8,12))+IF(Inputs!$B$3&gt;=117,F2258,0))/100))+MIN((Skills!S12*(1+((Inputs!$B$35+(ArtifactsInput!$M$7-ArtifactsInput!$M$7)*CHOOSE(ArtifactsInput!$N$7+1,6,7.2,8.4,9.6,10.8,12))+IF(Inputs!$B$3&gt;=117,F2258,0))/100)),MAX(0,Inputs!$B$44-((R2244-1)*Skills!D12))))/Inputs!$B$44),IF(Inputs!$B$39="pvp",MIN((Skills!S12*(1+((Inputs!$B$35+(ArtifactsInput!$M$7-ArtifactsInput!$M$7)*CHOOSE(ArtifactsInput!$N$7+1,6,7.2,8.4,9.6,10.8,12))+IF(Inputs!$B$3&gt;=117,F2258,0))/100)),15)/15,(Skills!S12*(1+((Inputs!$B$35+(ArtifactsInput!$M$7-ArtifactsInput!$M$7)*CHOOSE(ArtifactsInput!$N$7+1,6,7.2,8.4,9.6,10.8,12))+IF(Inputs!$B$3&gt;=117,F2258,0))/100))/Skills!D12)),0)</f>
        <v/>
      </c>
    </row>
    <row r="2265">
      <c r="A2265" t="inlineStr">
        <is>
          <t>Damage % Bonus (Holy Symbol - Damage Boost)</t>
        </is>
      </c>
      <c r="B2265">
        <f>Skills!O12</f>
        <v/>
      </c>
    </row>
    <row r="2266">
      <c r="A2266" t="inlineStr">
        <is>
          <t>Crit Damage % Bonus (Blood of the Divine)</t>
        </is>
      </c>
      <c r="B2266">
        <f>4*IF(C2252=TRUE,F2252,0)</f>
        <v/>
      </c>
    </row>
    <row r="2267">
      <c r="A2267" t="inlineStr">
        <is>
          <t>Attack Speed Bonus %</t>
        </is>
      </c>
      <c r="B2267">
        <f>IF(C2249=TRUE,F2249+(F2253-Calc!F21),0)+IF(Inputs!$B$3&gt;=134,15,0)+((C2260=TRUE)*F2260*IF(AND(Inputs!$B$39&lt;&gt;"pvp",Inputs!$B$44&gt;0),(((R2260-1)*(Skills!S28*(1+((Inputs!$B$35+(ArtifactsInput!$M$7-ArtifactsInput!$M$7)*CHOOSE(ArtifactsInput!$N$7+1,6,7.2,8.4,9.6,10.8,12))+IF(Inputs!$B$3&gt;=117,F2258,0))/100))+MIN((Skills!S28*(1+((Inputs!$B$35+(ArtifactsInput!$M$7-ArtifactsInput!$M$7)*CHOOSE(ArtifactsInput!$N$7+1,6,7.2,8.4,9.6,10.8,12))+IF(Inputs!$B$3&gt;=117,F2258,0))/100)),MAX(0,Inputs!$B$44-((R2260-1)*Skills!D28))))/Inputs!$B$44),IF(Inputs!$B$39="pvp",MIN((Skills!S28*(1+((Inputs!$B$35+(ArtifactsInput!$M$7-ArtifactsInput!$M$7)*CHOOSE(ArtifactsInput!$N$7+1,6,7.2,8.4,9.6,10.8,12))+IF(Inputs!$B$3&gt;=117,F2258,0))/100)),15)/15,(Skills!S28*(1+((Inputs!$B$35+(ArtifactsInput!$M$7-ArtifactsInput!$M$7)*CHOOSE(ArtifactsInput!$N$7+1,6,7.2,8.4,9.6,10.8,12))+IF(Inputs!$B$3&gt;=117,F2258,0))/100))/Skills!D28)))</f>
        <v/>
      </c>
    </row>
    <row r="2268">
      <c r="A2268" t="inlineStr">
        <is>
          <t>Actions Per Second</t>
        </is>
      </c>
      <c r="B2268">
        <f>1+MIN(150,150*(1-(1-Inputs!$B$12/150)*(1-B2267/150)))/100</f>
        <v/>
      </c>
    </row>
    <row r="2269">
      <c r="A2269" t="inlineStr">
        <is>
          <t>Skill + Buff Cast Rate</t>
        </is>
      </c>
      <c r="B2269">
        <f>IF(AND(Inputs!$B$39&lt;&gt;"pvp",Inputs!$B$44&gt;0),SUMPRODUCT((Skills!E2:E28=TRUE)*(C2234:C2260=TRUE)*R2234:R2260)/Inputs!$B$44,SUMPRODUCT((Skills!E2:E28=TRUE)*(C2234:C2260=TRUE)*Q2234:Q2260))</f>
        <v/>
      </c>
    </row>
    <row r="2270">
      <c r="A2270" t="inlineStr">
        <is>
          <t>Big Bang Casts Per Second</t>
        </is>
      </c>
      <c r="B2270">
        <f>MAX(0,B2268-B2269)</f>
        <v/>
      </c>
    </row>
    <row r="2271">
      <c r="A2271" t="inlineStr">
        <is>
          <t>Defense % Bonus (Divine Protection)</t>
        </is>
      </c>
      <c r="B2271">
        <f>IF(C2245=TRUE,F2245*IF(AND(Inputs!$B$39&lt;&gt;"pvp",Inputs!$B$44&gt;0),(((R2245-1)*(Skills!S13*(1+((Inputs!$B$35+(ArtifactsInput!$M$7-ArtifactsInput!$M$7)*CHOOSE(ArtifactsInput!$N$7+1,6,7.2,8.4,9.6,10.8,12))+IF(Inputs!$B$3&gt;=117,F2258,0))/100))+MIN((Skills!S13*(1+((Inputs!$B$35+(ArtifactsInput!$M$7-ArtifactsInput!$M$7)*CHOOSE(ArtifactsInput!$N$7+1,6,7.2,8.4,9.6,10.8,12))+IF(Inputs!$B$3&gt;=117,F2258,0))/100)),MAX(0,Inputs!$B$44-((R2245-1)*Skills!D13))))/Inputs!$B$44),IF(Inputs!$B$39="pvp",MIN((Skills!S13*(1+((Inputs!$B$35+(ArtifactsInput!$M$7-ArtifactsInput!$M$7)*CHOOSE(ArtifactsInput!$N$7+1,6,7.2,8.4,9.6,10.8,12))+IF(Inputs!$B$3&gt;=117,F2258,0))/100)),15)/15,(Skills!S13*(1+((Inputs!$B$35+(ArtifactsInput!$M$7-ArtifactsInput!$M$7)*CHOOSE(ArtifactsInput!$N$7+1,6,7.2,8.4,9.6,10.8,12))+IF(Inputs!$B$3&gt;=117,F2258,0))/100))/Skills!D13)),0)</f>
        <v/>
      </c>
    </row>
    <row r="2272">
      <c r="A2272" t="inlineStr">
        <is>
          <t>Buff-Casting Startup Delay (s, fixed-duration only)</t>
        </is>
      </c>
      <c r="B2272">
        <f>IF(AND(Inputs!$B$39&lt;&gt;"pvp",Inputs!$B$44&gt;0),SUMPRODUCT((Skills!S2:S28&gt;0)*(Skills!E2:E28=TRUE)*(C2234:C2260=TRUE))/B2268,0)</f>
        <v/>
      </c>
    </row>
    <row r="2273">
      <c r="A2273" t="inlineStr">
        <is>
          <t>Boss-Only Total DPS (this block's swept value)</t>
        </is>
      </c>
      <c r="B2273">
        <f>SUM(S2234:S2260)</f>
        <v/>
      </c>
    </row>
    <row r="2274">
      <c r="A2274" t="inlineStr">
        <is>
          <t>Normal-Only Total DPS (this block's swept value)</t>
        </is>
      </c>
      <c r="B2274">
        <f>SUM(U2234:U2260)</f>
        <v/>
      </c>
    </row>
    <row r="2275">
      <c r="A2275" s="6" t="inlineStr">
        <is>
          <t>TOTAL DPS</t>
        </is>
      </c>
      <c r="B2275" s="6">
        <f>SUM(O2234:O2260)</f>
        <v/>
      </c>
    </row>
    <row r="2277">
      <c r="A2277" s="6" t="inlineStr">
        <is>
          <t>Stat: Soul Pouch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R2278" t="inlineStr">
        <is>
          <t>helpers</t>
        </is>
      </c>
    </row>
    <row r="2279">
      <c r="A2279">
        <f>Skills!A2</f>
        <v/>
      </c>
      <c r="B2279">
        <f>Skills!B2</f>
        <v/>
      </c>
      <c r="C2279">
        <f>Inputs!$B$3&gt;=100</f>
        <v/>
      </c>
      <c r="D2279" t="inlineStr"/>
      <c r="E2279" t="inlineStr"/>
      <c r="F2279">
        <f>T2281+Skills!N2</f>
        <v/>
      </c>
      <c r="G2279">
        <f>Calc!G2</f>
        <v/>
      </c>
      <c r="H2279">
        <f>Calc!H2</f>
        <v/>
      </c>
      <c r="I2279">
        <f>IF(Skills!T2&lt;&gt;"",1+(Skills!T2/10)*($Z$3/1000)/100,1)</f>
        <v/>
      </c>
      <c r="J2279">
        <f>((Inputs!$B$6*(1+Inputs!$B$7/100))+(((Inputs!$B$13*(1+Inputs!$B$14/100))-(Inputs!$B$13*(1+Inputs!$B$14/100)))+0.25*(Inputs!$B$15-Inputs!$B$15))*(1+Inputs!$B$7/100))*(F2279/100)</f>
        <v/>
      </c>
      <c r="K2279">
        <f>J2279*(1+(((Inputs!$B$13+IF(Inputs!$B$3&gt;=35,(10*INDEX(FactorTable!$B$2:$Y$301,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2="TRIUMPH_FEATHER",IF(C2293=TRUE,F2293,0),0)/100)*(1+IF(C2304=TRUE,F2304,0)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2279)</f>
        <v/>
      </c>
      <c r="L2279">
        <f>K2279*(MIN(Inputs!$B$23+(F2299-Calc!F22),(Inputs!$B$24+IF(ArtifactsInput!$M$15,CHOOSE(ArtifactsInput!$N$15+1,25,30,35,40,45,50)/100*(Inputs!$B$12-Inputs!$B$12),0)))/100+(Inputs!$B$24+IF(ArtifactsInput!$M$15,CHOOSE(ArtifactsInput!$N$15+1,25,30,35,40,45,50)/100*(Inputs!$B$12-Inputs!$B$12),0))/100)/2</f>
        <v/>
      </c>
      <c r="M2279">
        <f>L2279*(1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9">
        <f>L2279*(1-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(1-Summary!$B$11)*S2279+Summary!$B$11*U2279</f>
        <v/>
      </c>
      <c r="P2279">
        <f>IF(B2320=0,0,O2279/B2320)</f>
        <v/>
      </c>
      <c r="Q2279">
        <f>IFERROR(1/(IF(Inputs!$B$39="pvp",15,MAX(0.1,Skills!D2-IF(Skills!E2=TRUE,Inputs!$B$33,0)))*(1-IF(AND(ArtifactsInput!$M$27,Inputs!$B$4="Chapter Hunt"),CHOOSE(ArtifactsInput!$N$27+1,20,24,28,32,36,40),0)/100)),0)</f>
        <v/>
      </c>
      <c r="R2279" t="n">
        <v>0</v>
      </c>
      <c r="S2279">
        <f>IF(C2279,(Skills!F2*N2279*B2315)*IF(Inputs!$B$39="pvp",1,1+(Inputs!$B$21+Skills!O2+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2279*(1-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79">
        <f>MAX(0,(Inputs!$B$3-100)*3)+Inputs!$B$29+Inputs!$B$30</f>
        <v/>
      </c>
      <c r="U2279">
        <f>IF(C2279,(Skills!F2*N2279*B2315)*IF(Inputs!$B$39="pvp",1,(1+(Inputs!$B$22+Skills!P2+B2309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Inputs!$B$3&gt;=15</f>
        <v/>
      </c>
      <c r="D2280">
        <f>IF(Skills!C3=1,60+Inputs!$B$26+Inputs!$B$30,IF(Skills!C3=2,90+Inputs!$B$27+Inputs!$B$30,IF(Skills!C3=3,120+Inputs!$B$28+Inputs!$B$30,MAX(0,(Inputs!$B$3-100)*3)+Inputs!$B$29+Inputs!$B$30)))</f>
        <v/>
      </c>
      <c r="E2280">
        <f>INDEX(FactorTable!$B$2:$Y$301, MATCH(ROUND(MIN(300,MAX(1,D2280)),0), FactorTable!$A$2:$A$301,0), Skills!L3+1)</f>
        <v/>
      </c>
      <c r="F2280">
        <f>IF(Skills!M3=TRUE,(Skills!K3/10)*(E2280/1000),Skills!K3/10)+Skills!N3</f>
        <v/>
      </c>
      <c r="G2280">
        <f>Calc!G3</f>
        <v/>
      </c>
      <c r="H2280">
        <f>Calc!H3</f>
        <v/>
      </c>
      <c r="I2280">
        <f>IF(Skills!T3&lt;&gt;"",1+(Skills!T3/10)*($Z$3/1000)/100,1)</f>
        <v/>
      </c>
      <c r="J2280" t="inlineStr"/>
      <c r="K2280" t="inlineStr"/>
      <c r="L2280" t="inlineStr"/>
      <c r="M2280" t="inlineStr"/>
      <c r="N2280" t="inlineStr"/>
      <c r="O2280">
        <f>(1-Summary!$B$11)*S2280+Summary!$B$11*U2280</f>
        <v/>
      </c>
      <c r="P2280">
        <f>IF(B2320=0,0,O2280/B2320)</f>
        <v/>
      </c>
      <c r="Q2280">
        <f>IFERROR(1/(IF(Inputs!$B$39="pvp",15,MAX(0.1,Skills!D3-IF(Skills!E3=TRUE,Inputs!$B$33,0)))*(1-IF(AND(ArtifactsInput!$M$27,Inputs!$B$4="Chapter Hunt"),CHOOSE(ArtifactsInput!$N$27+1,20,24,28,32,36,40),0)/100)),0)</f>
        <v/>
      </c>
      <c r="R2280">
        <f>IF(AND(Inputs!$B$39&lt;&gt;"pvp",Inputs!$B$44&gt;0),IF(Inputs!$B$44&lt;=0,0,(INT(Inputs!$B$44/(IF(Inputs!$B$39="pvp",15,MAX(0.1,Skills!D3-IF(Skills!E3=TRUE,Inputs!$B$33,0)))*(1-IF(AND(ArtifactsInput!$M$27,Inputs!$B$4="Chapter Hunt"),CHOOSE(ArtifactsInput!$N$27+1,20,24,28,32,36,40),0)/100)))+1)),0)</f>
        <v/>
      </c>
      <c r="S2280" t="n">
        <v>0</v>
      </c>
      <c r="T2280">
        <f>INDEX(FactorTable!$B$2:$Y$301, MATCH(ROUND(MIN(300,MAX(1,T2279)),0), FactorTable!$A$2:$A$301,0), 22)</f>
        <v/>
      </c>
      <c r="U2280" t="n">
        <v>0</v>
      </c>
    </row>
    <row r="2281">
      <c r="A2281">
        <f>Skills!A4</f>
        <v/>
      </c>
      <c r="B2281">
        <f>Skills!B4</f>
        <v/>
      </c>
      <c r="C2281">
        <f>Inputs!$B$3&gt;=38</f>
        <v/>
      </c>
      <c r="D2281">
        <f>IF(Skills!C4=1,60+Inputs!$B$26+Inputs!$B$30,IF(Skills!C4=2,90+Inputs!$B$27+Inputs!$B$30,IF(Skills!C4=3,120+Inputs!$B$28+Inputs!$B$30,MAX(0,(Inputs!$B$3-100)*3)+Inputs!$B$29+Inputs!$B$30)))</f>
        <v/>
      </c>
      <c r="E2281">
        <f>INDEX(FactorTable!$B$2:$Y$301, MATCH(ROUND(MIN(300,MAX(1,D2281)),0), FactorTable!$A$2:$A$301,0), Skills!L4+1)</f>
        <v/>
      </c>
      <c r="F2281">
        <f>IF(Skills!M4=TRUE,(Skills!K4/10)*(E2281/1000),Skills!K4/10)+Skills!N4</f>
        <v/>
      </c>
      <c r="G2281">
        <f>Calc!G4</f>
        <v/>
      </c>
      <c r="H2281">
        <f>Calc!H4</f>
        <v/>
      </c>
      <c r="I2281">
        <f>IF(Skills!T4&lt;&gt;"",1+(Skills!T4/10)*($Z$3/1000)/100,1)</f>
        <v/>
      </c>
      <c r="J2281" t="inlineStr"/>
      <c r="K2281" t="inlineStr"/>
      <c r="L2281" t="inlineStr"/>
      <c r="M2281" t="inlineStr"/>
      <c r="N2281" t="inlineStr"/>
      <c r="O2281">
        <f>(1-Summary!$B$11)*S2281+Summary!$B$11*U2281</f>
        <v/>
      </c>
      <c r="P2281">
        <f>IF(B2320=0,0,O2281/B2320)</f>
        <v/>
      </c>
      <c r="Q2281">
        <f>IFERROR(1/(IF(Inputs!$B$39="pvp",15,MAX(0.1,Skills!D4-IF(Skills!E4=TRUE,Inputs!$B$33,0)))*(1-IF(AND(ArtifactsInput!$M$27,Inputs!$B$4="Chapter Hunt"),CHOOSE(ArtifactsInput!$N$27+1,20,24,28,32,36,40),0)/100)),0)</f>
        <v/>
      </c>
      <c r="R2281">
        <f>IF(AND(Inputs!$B$39&lt;&gt;"pvp",Inputs!$B$44&gt;0),IF(Inputs!$B$44&lt;=0,0,(INT(Inputs!$B$44/(IF(Inputs!$B$39="pvp",15,MAX(0.1,Skills!D4-IF(Skills!E4=TRUE,Inputs!$B$33,0)))*(1-IF(AND(ArtifactsInput!$M$27,Inputs!$B$4="Chapter Hunt"),CHOOSE(ArtifactsInput!$N$27+1,20,24,28,32,36,40),0)/100)))+1)),0)</f>
        <v/>
      </c>
      <c r="S2281" t="n">
        <v>0</v>
      </c>
      <c r="T2281">
        <f>290*T2280/1000</f>
        <v/>
      </c>
      <c r="U2281" t="n">
        <v>0</v>
      </c>
    </row>
    <row r="2282">
      <c r="A2282">
        <f>Skills!A5</f>
        <v/>
      </c>
      <c r="B2282">
        <f>Skills!B5</f>
        <v/>
      </c>
      <c r="C2282">
        <f>Inputs!$B$3&gt;=40</f>
        <v/>
      </c>
      <c r="D2282">
        <f>IF(Skills!C5=1,60+Inputs!$B$26+Inputs!$B$30,IF(Skills!C5=2,90+Inputs!$B$27+Inputs!$B$30,IF(Skills!C5=3,120+Inputs!$B$28+Inputs!$B$30,MAX(0,(Inputs!$B$3-100)*3)+Inputs!$B$29+Inputs!$B$30)))</f>
        <v/>
      </c>
      <c r="E2282">
        <f>INDEX(FactorTable!$B$2:$Y$301, MATCH(ROUND(MIN(300,MAX(1,D2282)),0), FactorTable!$A$2:$A$301,0), Skills!L5+1)</f>
        <v/>
      </c>
      <c r="F2282">
        <f>IF(Skills!M5=TRUE,(Skills!K5/10)*(E2282/1000),Skills!K5/10)+Skills!N5</f>
        <v/>
      </c>
      <c r="G2282">
        <f>Calc!G5</f>
        <v/>
      </c>
      <c r="H2282">
        <f>Calc!H5</f>
        <v/>
      </c>
      <c r="I2282">
        <f>IF(Skills!T5&lt;&gt;"",1+(Skills!T5/10)*($Z$3/1000)/100,1)</f>
        <v/>
      </c>
      <c r="J2282" t="inlineStr"/>
      <c r="K2282" t="inlineStr"/>
      <c r="L2282" t="inlineStr"/>
      <c r="M2282" t="inlineStr"/>
      <c r="N2282" t="inlineStr"/>
      <c r="O2282">
        <f>(1-Summary!$B$11)*S2282+Summary!$B$11*U2282</f>
        <v/>
      </c>
      <c r="P2282">
        <f>IF(B2320=0,0,O2282/B2320)</f>
        <v/>
      </c>
      <c r="Q2282">
        <f>IFERROR(1/(IF(Inputs!$B$39="pvp",15,MAX(0.1,Skills!D5-IF(Skills!E5=TRUE,Inputs!$B$33,0)))*(1-IF(AND(ArtifactsInput!$M$27,Inputs!$B$4="Chapter Hunt"),CHOOSE(ArtifactsInput!$N$27+1,20,24,28,32,36,40),0)/100)),0)</f>
        <v/>
      </c>
      <c r="R2282">
        <f>IF(AND(Inputs!$B$39&lt;&gt;"pvp",Inputs!$B$44&gt;0),IF(Inputs!$B$44&lt;=0,0,(INT(Inputs!$B$44/(IF(Inputs!$B$39="pvp",15,MAX(0.1,Skills!D5-IF(Skills!E5=TRUE,Inputs!$B$33,0)))*(1-IF(AND(ArtifactsInput!$M$27,Inputs!$B$4="Chapter Hunt"),CHOOSE(ArtifactsInput!$N$27+1,20,24,28,32,36,40),0)/100)))+1)),0)</f>
        <v/>
      </c>
      <c r="S2282" t="n">
        <v>0</v>
      </c>
      <c r="U2282" t="n">
        <v>0</v>
      </c>
    </row>
    <row r="2283">
      <c r="A2283">
        <f>Skills!A6</f>
        <v/>
      </c>
      <c r="B2283">
        <f>Skills!B6</f>
        <v/>
      </c>
      <c r="C2283">
        <f>Inputs!$B$3&gt;=103</f>
        <v/>
      </c>
      <c r="D2283">
        <f>IF(Skills!C6=1,60+Inputs!$B$26+Inputs!$B$30,IF(Skills!C6=2,90+Inputs!$B$27+Inputs!$B$30,IF(Skills!C6=3,120+Inputs!$B$28+Inputs!$B$30,MAX(0,(Inputs!$B$3-100)*3)+Inputs!$B$29+Inputs!$B$30)))</f>
        <v/>
      </c>
      <c r="E2283">
        <f>INDEX(FactorTable!$B$2:$Y$301, MATCH(ROUND(MIN(300,MAX(1,D2283)),0), FactorTable!$A$2:$A$301,0), Skills!L6+1)</f>
        <v/>
      </c>
      <c r="F2283">
        <f>IF(Skills!M6=TRUE,(Skills!K6/10)*(E2283/1000),Skills!K6/10)+Skills!N6</f>
        <v/>
      </c>
      <c r="G2283">
        <f>Calc!G6</f>
        <v/>
      </c>
      <c r="H2283">
        <f>Calc!H6</f>
        <v/>
      </c>
      <c r="I2283">
        <f>IF(Skills!T6&lt;&gt;"",1+(Skills!T6/10)*($Z$3/1000)/100,1)</f>
        <v/>
      </c>
      <c r="J2283">
        <f>((Inputs!$B$6*(1+Inputs!$B$7/100))+(((Inputs!$B$13*(1+Inputs!$B$14/100))-(Inputs!$B$13*(1+Inputs!$B$14/100)))+0.25*(Inputs!$B$15-Inputs!$B$15))*(1+Inputs!$B$7/100))*(F2283/100)</f>
        <v/>
      </c>
      <c r="K2283">
        <f>J2283*(1+(((Inputs!$B$13+IF(Inputs!$B$3&gt;=35,(10*INDEX(FactorTable!$B$2:$Y$301,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6="TRIUMPH_FEATHER",IF(C2293=TRUE,F2293,0),0)/100)*(1+IF(C2304=TRUE,F2304,0)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2283)</f>
        <v/>
      </c>
      <c r="L2283">
        <f>K2283*(MIN(Inputs!$B$23+(F2299-Calc!F22),(Inputs!$B$24+IF(ArtifactsInput!$M$15,CHOOSE(ArtifactsInput!$N$15+1,25,30,35,40,45,50)/100*(Inputs!$B$12-Inputs!$B$12),0)))/100+(Inputs!$B$24+IF(ArtifactsInput!$M$15,CHOOSE(ArtifactsInput!$N$15+1,25,30,35,40,45,50)/100*(Inputs!$B$12-Inputs!$B$12),0))/100)/2</f>
        <v/>
      </c>
      <c r="M2283">
        <f>L2283*(1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3">
        <f>L2283*(1-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(1-Summary!$B$11)*S2283+Summary!$B$11*U2283</f>
        <v/>
      </c>
      <c r="P2283">
        <f>IF(B2320=0,0,O2283/B2320)</f>
        <v/>
      </c>
      <c r="Q2283">
        <f>IFERROR(1/(IF(Inputs!$B$39="pvp",15,MAX(0.1,Skills!D6-IF(Skills!E6=TRUE,Inputs!$B$33,0)))*(1-IF(AND(ArtifactsInput!$M$27,Inputs!$B$4="Chapter Hunt"),CHOOSE(ArtifactsInput!$N$27+1,20,24,28,32,36,40),0)/100)),0)</f>
        <v/>
      </c>
      <c r="R2283">
        <f>IF(AND(Inputs!$B$39&lt;&gt;"pvp",Inputs!$B$44&gt;0),IF(MAX(0,Inputs!$B$44-B2317)&lt;=0,0,(INT(MAX(0,Inputs!$B$44-B2317)/(IF(Inputs!$B$39="pvp",15,MAX(0.1,Skills!D6-IF(Skills!E6=TRUE,Inputs!$B$33,0)))*(1-IF(AND(ArtifactsInput!$M$27,Inputs!$B$4="Chapter Hunt"),CHOOSE(ArtifactsInput!$N$27+1,20,24,28,32,36,40),0)/100)))+1)),0)</f>
        <v/>
      </c>
      <c r="S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$21+Skills!O6+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2283*(1-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$22+Skills!P6+B2309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Skills!A7</f>
        <v/>
      </c>
      <c r="B2284">
        <f>Skills!B7</f>
        <v/>
      </c>
      <c r="C2284">
        <f>Inputs!$B$3&gt;=122</f>
        <v/>
      </c>
      <c r="D2284">
        <f>IF(Skills!C7=1,60+Inputs!$B$26+Inputs!$B$30,IF(Skills!C7=2,90+Inputs!$B$27+Inputs!$B$30,IF(Skills!C7=3,120+Inputs!$B$28+Inputs!$B$30,MAX(0,(Inputs!$B$3-100)*3)+Inputs!$B$29+Inputs!$B$30)))</f>
        <v/>
      </c>
      <c r="E2284">
        <f>INDEX(FactorTable!$B$2:$Y$301, MATCH(ROUND(MIN(300,MAX(1,D2284)),0), FactorTable!$A$2:$A$301,0), Skills!L7+1)</f>
        <v/>
      </c>
      <c r="F2284">
        <f>IF(Skills!M7=TRUE,(Skills!K7/10)*(E2284/1000),Skills!K7/10)+Skills!N7</f>
        <v/>
      </c>
      <c r="G2284">
        <f>Calc!G7</f>
        <v/>
      </c>
      <c r="H2284">
        <f>Calc!H7</f>
        <v/>
      </c>
      <c r="I2284">
        <f>IF(Skills!T7&lt;&gt;"",1+(Skills!T7/10)*($Z$3/1000)/100,1)</f>
        <v/>
      </c>
      <c r="J2284">
        <f>((Inputs!$B$6*(1+Inputs!$B$7/100))+(((Inputs!$B$13*(1+Inputs!$B$14/100))-(Inputs!$B$13*(1+Inputs!$B$14/100)))+0.25*(Inputs!$B$15-Inputs!$B$15))*(1+Inputs!$B$7/100))*(F2284/100)</f>
        <v/>
      </c>
      <c r="K2284">
        <f>J2284*(1+(((Inputs!$B$13+IF(Inputs!$B$3&gt;=35,(10*INDEX(FactorTable!$B$2:$Y$301,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7="TRIUMPH_FEATHER",IF(C2293=TRUE,F2293,0),0)/100)*(1+IF(C2304=TRUE,F2304,0)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2284)</f>
        <v/>
      </c>
      <c r="L2284">
        <f>K2284*(MIN(Inputs!$B$23+(F2299-Calc!F22),(Inputs!$B$24+IF(ArtifactsInput!$M$15,CHOOSE(ArtifactsInput!$N$15+1,25,30,35,40,45,50)/100*(Inputs!$B$12-Inputs!$B$12),0)))/100+(Inputs!$B$24+IF(ArtifactsInput!$M$15,CHOOSE(ArtifactsInput!$N$15+1,25,30,35,40,45,50)/100*(Inputs!$B$12-Inputs!$B$12),0))/100)/2</f>
        <v/>
      </c>
      <c r="M2284">
        <f>L2284*(1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4">
        <f>L2284*(1-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(1-Summary!$B$11)*S2284+Summary!$B$11*U2284</f>
        <v/>
      </c>
      <c r="P2284">
        <f>IF(B2320=0,0,O2284/B2320)</f>
        <v/>
      </c>
      <c r="Q2284">
        <f>IFERROR(1/(IF(Inputs!$B$39="pvp",15,MAX(0.1,Skills!D7-IF(Skills!E6=TRUE,Inputs!$B$33,0)))*(1-IF(AND(ArtifactsInput!$M$27,Inputs!$B$4="Chapter Hunt"),CHOOSE(ArtifactsInput!$N$27+1,20,24,28,32,36,40),0)/100)),0)</f>
        <v/>
      </c>
      <c r="R2284">
        <f>IF(AND(Inputs!$B$39&lt;&gt;"pvp",Inputs!$B$44&gt;0),IF(MAX(0,Inputs!$B$44-B2317)&lt;=0,0,(INT(MAX(0,Inputs!$B$44-B2317)/(IF(Inputs!$B$39="pvp",15,MAX(0.1,Skills!D7-IF(Skills!E6=TRUE,Inputs!$B$33,0)))*(1-IF(AND(ArtifactsInput!$M$27,Inputs!$B$4="Chapter Hunt"),CHOOSE(ArtifactsInput!$N$27+1,20,24,28,32,36,40),0)/100)))+1)),0)</f>
        <v/>
      </c>
      <c r="S2284">
        <f>IF(C2284,H2284*N2284*IF(AND(Inputs!$B$39&lt;&gt;"pvp",Inputs!$B$44&gt;0),((Skills!F7*((R2284-1)*IF(Skills!G7&gt;0,Skills!H7/Skills!G7,1)+IF(Skills!G7&gt;0,MIN(Skills!H7,MAX(0,MAX(0,Inputs!$B$44-B2317)-((R2284-1)*(IF(Inputs!$B$39="pvp",15,MAX(0.1,Skills!D7-IF(Skills!E6=TRUE,Inputs!$B$33,0)))*(1-IF(AND(ArtifactsInput!$M$27,Inputs!$B$4="Chapter Hunt"),CHOOSE(ArtifactsInput!$N$27+1,20,24,28,32,36,40),0)/100)))))/Skills!G7,1)))/Inputs!$B$44),G2284*Q2284)*IF(Inputs!$B$39="pvp",1,1+(Inputs!$B$21+Skills!O7+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2284*(1-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4" t="n">
        <v>0</v>
      </c>
    </row>
    <row r="2285">
      <c r="A2285">
        <f>Skills!A8</f>
        <v/>
      </c>
      <c r="B2285">
        <f>Skills!B8</f>
        <v/>
      </c>
      <c r="C2285">
        <f>Inputs!$B$3&gt;=105</f>
        <v/>
      </c>
      <c r="D2285">
        <f>IF(Skills!C8=1,60+Inputs!$B$26+Inputs!$B$30,IF(Skills!C8=2,90+Inputs!$B$27+Inputs!$B$30,IF(Skills!C8=3,120+Inputs!$B$28+Inputs!$B$30,MAX(0,(Inputs!$B$3-100)*3)+Inputs!$B$29+Inputs!$B$30)))</f>
        <v/>
      </c>
      <c r="E2285">
        <f>INDEX(FactorTable!$B$2:$Y$301, MATCH(ROUND(MIN(300,MAX(1,D2285)),0), FactorTable!$A$2:$A$301,0), Skills!L8+1)</f>
        <v/>
      </c>
      <c r="F2285">
        <f>IF(Skills!M8=TRUE,(Skills!K8/10)*(E2285/1000),Skills!K8/10)+Skills!N8</f>
        <v/>
      </c>
      <c r="G2285">
        <f>Calc!G8</f>
        <v/>
      </c>
      <c r="H2285">
        <f>Calc!H8</f>
        <v/>
      </c>
      <c r="I2285">
        <f>IF(Skills!T8&lt;&gt;"",1+(Skills!T8/10)*($Z$3/1000)/100,1)</f>
        <v/>
      </c>
      <c r="J2285">
        <f>((Inputs!$B$6*(1+Inputs!$B$7/100))+(((Inputs!$B$13*(1+Inputs!$B$14/100))-(Inputs!$B$13*(1+Inputs!$B$14/100)))+0.25*(Inputs!$B$15-Inputs!$B$15))*(1+Inputs!$B$7/100))*(F2285/100)</f>
        <v/>
      </c>
      <c r="K2285">
        <f>J2285*(1+(((Inputs!$B$13+IF(Inputs!$B$3&gt;=35,(10*INDEX(FactorTable!$B$2:$Y$301,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8="TRIUMPH_FEATHER",IF(C2293=TRUE,F2293,0),0)/100)*(1+IF(C2304=TRUE,F2304,0)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2285)</f>
        <v/>
      </c>
      <c r="L2285">
        <f>K2285*(MIN(Inputs!$B$23+(F2299-Calc!F22),(Inputs!$B$24+IF(ArtifactsInput!$M$15,CHOOSE(ArtifactsInput!$N$15+1,25,30,35,40,45,50)/100*(Inputs!$B$12-Inputs!$B$12),0)))/100+(Inputs!$B$24+IF(ArtifactsInput!$M$15,CHOOSE(ArtifactsInput!$N$15+1,25,30,35,40,45,50)/100*(Inputs!$B$12-Inputs!$B$12),0))/100)/2</f>
        <v/>
      </c>
      <c r="M2285">
        <f>L2285*(1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5">
        <f>L2285*(1-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(1-Summary!$B$11)*S2285+Summary!$B$11*U2285</f>
        <v/>
      </c>
      <c r="P2285">
        <f>IF(B2320=0,0,O2285/B2320)</f>
        <v/>
      </c>
      <c r="Q2285">
        <f>IFERROR(1/(IF(Inputs!$B$39="pvp",15,MAX(0.1,Skills!D8-IF(Skills!E8=TRUE,Inputs!$B$33,0)))*(1-IF(AND(ArtifactsInput!$M$27,Inputs!$B$4="Chapter Hunt"),CHOOSE(ArtifactsInput!$N$27+1,20,24,28,32,36,40),0)/100)),0)</f>
        <v/>
      </c>
      <c r="R2285">
        <f>IF(AND(Inputs!$B$39&lt;&gt;"pvp",Inputs!$B$44&gt;0),IF(MAX(0,Inputs!$B$44-B2317)&lt;=0,0,(INT(MAX(0,Inputs!$B$44-B2317)/(IF(Inputs!$B$39="pvp",15,MAX(0.1,Skills!D8-IF(Skills!E8=TRUE,Inputs!$B$33,0)))*(1-IF(AND(ArtifactsInput!$M$27,Inputs!$B$4="Chapter Hunt"),CHOOSE(ArtifactsInput!$N$27+1,20,24,28,32,36,40),0)/100)))+1)),0)</f>
        <v/>
      </c>
      <c r="S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$21+Skills!O8+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2285*(1-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$22+Skills!P8+B2309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Inputs!$B$3&gt;=115</f>
        <v/>
      </c>
      <c r="D2286">
        <f>IF(Skills!C9=1,60+Inputs!$B$26+Inputs!$B$30,IF(Skills!C9=2,90+Inputs!$B$27+Inputs!$B$30,IF(Skills!C9=3,120+Inputs!$B$28+Inputs!$B$30,MAX(0,(Inputs!$B$3-100)*3)+Inputs!$B$29+Inputs!$B$30)))</f>
        <v/>
      </c>
      <c r="E2286">
        <f>INDEX(FactorTable!$B$2:$Y$301, MATCH(ROUND(MIN(300,MAX(1,D2286)),0), FactorTable!$A$2:$A$301,0), Skills!L9+1)</f>
        <v/>
      </c>
      <c r="F2286">
        <f>IF(Skills!M9=TRUE,(Skills!K9/10)*(E2286/1000),Skills!K9/10)+Skills!N9</f>
        <v/>
      </c>
      <c r="G2286">
        <f>Calc!G9</f>
        <v/>
      </c>
      <c r="H2286">
        <f>Calc!H9</f>
        <v/>
      </c>
      <c r="I2286">
        <f>IF(Skills!T9&lt;&gt;"",1+(Skills!T9/10)*($Z$3/1000)/100,1)</f>
        <v/>
      </c>
      <c r="J2286">
        <f>((Inputs!$B$6*(1+Inputs!$B$7/100))+(((Inputs!$B$13*(1+Inputs!$B$14/100))-(Inputs!$B$13*(1+Inputs!$B$14/100)))+0.25*(Inputs!$B$15-Inputs!$B$15))*(1+Inputs!$B$7/100))*(F2286/100)</f>
        <v/>
      </c>
      <c r="K2286">
        <f>J2286*(1+(((Inputs!$B$13+IF(Inputs!$B$3&gt;=35,(10*INDEX(FactorTable!$B$2:$Y$301,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9="TRIUMPH_FEATHER",IF(C2293=TRUE,F2293,0),0)/100)*(1+IF(C2304=TRUE,F2304,0)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2286)</f>
        <v/>
      </c>
      <c r="L2286">
        <f>K2286*(MIN(Inputs!$B$23+(F2299-Calc!F22),(Inputs!$B$24+IF(ArtifactsInput!$M$15,CHOOSE(ArtifactsInput!$N$15+1,25,30,35,40,45,50)/100*(Inputs!$B$12-Inputs!$B$12),0)))/100+(Inputs!$B$24+IF(ArtifactsInput!$M$15,CHOOSE(ArtifactsInput!$N$15+1,25,30,35,40,45,50)/100*(Inputs!$B$12-Inputs!$B$12),0))/100)/2</f>
        <v/>
      </c>
      <c r="M2286">
        <f>L2286*(1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6">
        <f>L2286*(1-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(1-Summary!$B$11)*S2286+Summary!$B$11*U2286</f>
        <v/>
      </c>
      <c r="P2286">
        <f>IF(B2320=0,0,O2286/B2320)</f>
        <v/>
      </c>
      <c r="Q2286">
        <f>IFERROR(1/(IF(Inputs!$B$39="pvp",15,MAX(0.1,Skills!D9-IF(Skills!E9=TRUE,Inputs!$B$33,0)))*(1-IF(AND(ArtifactsInput!$M$27,Inputs!$B$4="Chapter Hunt"),CHOOSE(ArtifactsInput!$N$27+1,20,24,28,32,36,40),0)/100)),0)</f>
        <v/>
      </c>
      <c r="R2286">
        <f>IF(AND(Inputs!$B$39&lt;&gt;"pvp",Inputs!$B$44&gt;0),IF(MAX(0,Inputs!$B$44-B2317)&lt;=0,0,(INT(MAX(0,Inputs!$B$44-B2317)/(IF(Inputs!$B$39="pvp",15,MAX(0.1,Skills!D9-IF(Skills!E9=TRUE,Inputs!$B$33,0)))*(1-IF(AND(ArtifactsInput!$M$27,Inputs!$B$4="Chapter Hunt"),CHOOSE(ArtifactsInput!$N$27+1,20,24,28,32,36,40),0)/100)))+1)),0)</f>
        <v/>
      </c>
      <c r="S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$21+Skills!O9+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2286*(1-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$22+Skills!P9+B2309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Inputs!$B$3&gt;=66</f>
        <v/>
      </c>
      <c r="D2287">
        <f>IF(Skills!C10=1,60+Inputs!$B$26+Inputs!$B$30,IF(Skills!C10=2,90+Inputs!$B$27+Inputs!$B$30,IF(Skills!C10=3,120+Inputs!$B$28+Inputs!$B$30,MAX(0,(Inputs!$B$3-100)*3)+Inputs!$B$29+Inputs!$B$30)))</f>
        <v/>
      </c>
      <c r="E2287">
        <f>INDEX(FactorTable!$B$2:$Y$301, MATCH(ROUND(MIN(300,MAX(1,D2287)),0), FactorTable!$A$2:$A$301,0), Skills!L10+1)</f>
        <v/>
      </c>
      <c r="F2287" t="n">
        <v>0</v>
      </c>
      <c r="G2287">
        <f>Calc!G10</f>
        <v/>
      </c>
      <c r="H2287">
        <f>Calc!H10</f>
        <v/>
      </c>
      <c r="I2287">
        <f>IF(Skills!T10&lt;&gt;"",1+(Skills!T10/10)*($Z$3/1000)/100,1)</f>
        <v/>
      </c>
      <c r="J2287" t="inlineStr"/>
      <c r="K2287" t="inlineStr"/>
      <c r="L2287" t="inlineStr"/>
      <c r="M2287" t="inlineStr"/>
      <c r="N2287" t="inlineStr"/>
      <c r="O2287">
        <f>(1-Summary!$B$11)*S2287+Summary!$B$11*U2287</f>
        <v/>
      </c>
      <c r="P2287">
        <f>IF(B2320=0,0,O2287/B2320)</f>
        <v/>
      </c>
      <c r="Q2287">
        <f>IFERROR(1/(IF(Inputs!$B$39="pvp",15,MAX(0.1,Skills!D10-IF(Skills!E10=TRUE,Inputs!$B$33,0)))*(1-IF(AND(ArtifactsInput!$M$27,Inputs!$B$4="Chapter Hunt"),CHOOSE(ArtifactsInput!$N$27+1,20,24,28,32,36,40),0)/100)),0)</f>
        <v/>
      </c>
      <c r="R2287">
        <f>IF(AND(Inputs!$B$39&lt;&gt;"pvp",Inputs!$B$44&gt;0),IF(MAX(0,Inputs!$B$44-B2317)&lt;=0,0,(INT(MAX(0,Inputs!$B$44-B2317)/(IF(Inputs!$B$39="pvp",15,MAX(0.1,Skills!D10-IF(Skills!E10=TRUE,Inputs!$B$33,0)))*(1-IF(AND(ArtifactsInput!$M$27,Inputs!$B$4="Chapter Hunt"),CHOOSE(ArtifactsInput!$N$27+1,20,24,28,32,36,40),0)/100)))+1)),0)</f>
        <v/>
      </c>
      <c r="S2287" t="n">
        <v>0</v>
      </c>
      <c r="U2287" t="n">
        <v>0</v>
      </c>
    </row>
    <row r="2288">
      <c r="A2288">
        <f>Skills!A11</f>
        <v/>
      </c>
      <c r="B2288">
        <f>Skills!B11</f>
        <v/>
      </c>
      <c r="C2288">
        <f>Inputs!$B$3&gt;=69</f>
        <v/>
      </c>
      <c r="D2288">
        <f>IF(Skills!C11=1,60+Inputs!$B$26+Inputs!$B$30,IF(Skills!C11=2,90+Inputs!$B$27+Inputs!$B$30,IF(Skills!C11=3,120+Inputs!$B$28+Inputs!$B$30,MAX(0,(Inputs!$B$3-100)*3)+Inputs!$B$29+Inputs!$B$30)))</f>
        <v/>
      </c>
      <c r="E2288">
        <f>INDEX(FactorTable!$B$2:$Y$301, MATCH(ROUND(MIN(300,MAX(1,D2288)),0), FactorTable!$A$2:$A$301,0), Skills!L11+1)</f>
        <v/>
      </c>
      <c r="F2288">
        <f>IF(Skills!M11=TRUE,(Skills!K11/10)*(E2288/1000),Skills!K11/10)+Skills!N11</f>
        <v/>
      </c>
      <c r="G2288">
        <f>Calc!G11</f>
        <v/>
      </c>
      <c r="H2288">
        <f>Calc!H11</f>
        <v/>
      </c>
      <c r="I2288">
        <f>IF(Skills!T11&lt;&gt;"",1+(Skills!T11/10)*($Z$3/1000)/100,1)</f>
        <v/>
      </c>
      <c r="J2288" t="inlineStr"/>
      <c r="K2288" t="inlineStr"/>
      <c r="L2288" t="inlineStr"/>
      <c r="M2288" t="inlineStr"/>
      <c r="N2288" t="inlineStr"/>
      <c r="O2288">
        <f>(1-Summary!$B$11)*S2288+Summary!$B$11*U2288</f>
        <v/>
      </c>
      <c r="P2288">
        <f>IF(B2320=0,0,O2288/B2320)</f>
        <v/>
      </c>
      <c r="Q2288">
        <f>IFERROR(1/(IF(Inputs!$B$39="pvp",15,MAX(0.1,Skills!D11-IF(Skills!E11=TRUE,Inputs!$B$33,0)))*(1-IF(AND(ArtifactsInput!$M$27,Inputs!$B$4="Chapter Hunt"),CHOOSE(ArtifactsInput!$N$27+1,20,24,28,32,36,40),0)/100)),0)</f>
        <v/>
      </c>
      <c r="R2288">
        <f>IF(AND(Inputs!$B$39&lt;&gt;"pvp",Inputs!$B$44&gt;0),IF(Inputs!$B$44&lt;=0,0,(INT(Inputs!$B$44/(IF(Inputs!$B$39="pvp",15,MAX(0.1,Skills!D11-IF(Skills!E11=TRUE,Inputs!$B$33,0)))*(1-IF(AND(ArtifactsInput!$M$27,Inputs!$B$4="Chapter Hunt"),CHOOSE(ArtifactsInput!$N$27+1,20,24,28,32,36,40),0)/100)))+1)),0)</f>
        <v/>
      </c>
      <c r="S2288" t="n">
        <v>0</v>
      </c>
      <c r="U2288" t="n">
        <v>0</v>
      </c>
    </row>
    <row r="2289">
      <c r="A2289">
        <f>Skills!A12</f>
        <v/>
      </c>
      <c r="B2289">
        <f>Skills!B12</f>
        <v/>
      </c>
      <c r="C2289">
        <f>Inputs!$B$3&gt;=72</f>
        <v/>
      </c>
      <c r="D2289">
        <f>IF(Skills!C12=1,60+Inputs!$B$26+Inputs!$B$30,IF(Skills!C12=2,90+Inputs!$B$27+Inputs!$B$30,IF(Skills!C12=3,120+Inputs!$B$28+Inputs!$B$30,MAX(0,(Inputs!$B$3-100)*3)+Inputs!$B$29+Inputs!$B$30)))</f>
        <v/>
      </c>
      <c r="E2289">
        <f>INDEX(FactorTable!$B$2:$Y$301, MATCH(ROUND(MIN(300,MAX(1,D2289)),0), FactorTable!$A$2:$A$301,0), Skills!L12+1)</f>
        <v/>
      </c>
      <c r="F2289">
        <f>IF(Skills!M12=TRUE,(Skills!K12/10)*(E2289/1000),Skills!K12/10)+Skills!N12</f>
        <v/>
      </c>
      <c r="G2289">
        <f>Calc!G12</f>
        <v/>
      </c>
      <c r="H2289">
        <f>Calc!H12</f>
        <v/>
      </c>
      <c r="I2289">
        <f>IF(Skills!T12&lt;&gt;"",1+(Skills!T12/10)*($Z$3/1000)/100,1)</f>
        <v/>
      </c>
      <c r="J2289" t="inlineStr"/>
      <c r="K2289" t="inlineStr"/>
      <c r="L2289" t="inlineStr"/>
      <c r="M2289" t="inlineStr"/>
      <c r="N2289" t="inlineStr"/>
      <c r="O2289">
        <f>(1-Summary!$B$11)*S2289+Summary!$B$11*U2289</f>
        <v/>
      </c>
      <c r="P2289">
        <f>IF(B2320=0,0,O2289/B2320)</f>
        <v/>
      </c>
      <c r="Q2289">
        <f>IFERROR(1/(IF(Inputs!$B$39="pvp",15,MAX(0.1,Skills!D12-IF(Skills!E12=TRUE,Inputs!$B$33,0)))*(1-IF(AND(ArtifactsInput!$M$27,Inputs!$B$4="Chapter Hunt"),CHOOSE(ArtifactsInput!$N$27+1,20,24,28,32,36,40),0)/100)),0)</f>
        <v/>
      </c>
      <c r="R2289">
        <f>IF(AND(Inputs!$B$39&lt;&gt;"pvp",Inputs!$B$44&gt;0),IF(MAX(0,Inputs!$B$44-B2317)&lt;=0,0,(INT(MAX(0,Inputs!$B$44-B2317)/(IF(Inputs!$B$39="pvp",15,MAX(0.1,Skills!D12-IF(Skills!E12=TRUE,Inputs!$B$33,0)))*(1-IF(AND(ArtifactsInput!$M$27,Inputs!$B$4="Chapter Hunt"),CHOOSE(ArtifactsInput!$N$27+1,20,24,28,32,36,40),0)/100)))+1)),0)</f>
        <v/>
      </c>
      <c r="S2289" t="n">
        <v>0</v>
      </c>
      <c r="U2289" t="n">
        <v>0</v>
      </c>
    </row>
    <row r="2290">
      <c r="A2290">
        <f>Skills!A13</f>
        <v/>
      </c>
      <c r="B2290">
        <f>Skills!B13</f>
        <v/>
      </c>
      <c r="C2290">
        <f>Inputs!$B$3&gt;=60</f>
        <v/>
      </c>
      <c r="D2290">
        <f>IF(Skills!C13=1,60+Inputs!$B$26+Inputs!$B$30,IF(Skills!C13=2,90+Inputs!$B$27+Inputs!$B$30,IF(Skills!C13=3,120+Inputs!$B$28+Inputs!$B$30,MAX(0,(Inputs!$B$3-100)*3)+Inputs!$B$29+Inputs!$B$30)))</f>
        <v/>
      </c>
      <c r="E2290">
        <f>INDEX(FactorTable!$B$2:$Y$301, MATCH(ROUND(MIN(300,MAX(1,D2290)),0), FactorTable!$A$2:$A$301,0), Skills!L13+1)</f>
        <v/>
      </c>
      <c r="F2290">
        <f>IF(Skills!M13=TRUE,(Skills!K13/10)*(E2290/1000),Skills!K13/10)+Skills!N13</f>
        <v/>
      </c>
      <c r="G2290">
        <f>Calc!G13</f>
        <v/>
      </c>
      <c r="H2290">
        <f>Calc!H13</f>
        <v/>
      </c>
      <c r="I2290">
        <f>IF(Skills!T13&lt;&gt;"",1+(Skills!T13/10)*($Z$3/1000)/100,1)</f>
        <v/>
      </c>
      <c r="J2290" t="inlineStr"/>
      <c r="K2290" t="inlineStr"/>
      <c r="L2290" t="inlineStr"/>
      <c r="M2290" t="inlineStr"/>
      <c r="N2290" t="inlineStr"/>
      <c r="O2290">
        <f>(1-Summary!$B$11)*S2290+Summary!$B$11*U2290</f>
        <v/>
      </c>
      <c r="P2290">
        <f>IF(B2320=0,0,O2290/B2320)</f>
        <v/>
      </c>
      <c r="Q2290">
        <f>IFERROR(1/(IF(Inputs!$B$39="pvp",15,MAX(0.1,Skills!D13-IF(Skills!E13=TRUE,Inputs!$B$33,0)))*(1-IF(AND(ArtifactsInput!$M$27,Inputs!$B$4="Chapter Hunt"),CHOOSE(ArtifactsInput!$N$27+1,20,24,28,32,36,40),0)/100)),0)</f>
        <v/>
      </c>
      <c r="R2290">
        <f>IF(AND(Inputs!$B$39&lt;&gt;"pvp",Inputs!$B$44&gt;0),IF(MAX(0,Inputs!$B$44-B2317)&lt;=0,0,(INT(MAX(0,Inputs!$B$44-B2317)/(IF(Inputs!$B$39="pvp",15,MAX(0.1,Skills!D13-IF(Skills!E13=TRUE,Inputs!$B$33,0)))*(1-IF(AND(ArtifactsInput!$M$27,Inputs!$B$4="Chapter Hunt"),CHOOSE(ArtifactsInput!$N$27+1,20,24,28,32,36,40),0)/100)))+1)),0)</f>
        <v/>
      </c>
      <c r="S2290" t="n">
        <v>0</v>
      </c>
      <c r="U2290" t="n">
        <v>0</v>
      </c>
    </row>
    <row r="2291">
      <c r="A2291">
        <f>Skills!A14</f>
        <v/>
      </c>
      <c r="B2291">
        <f>Skills!B14</f>
        <v/>
      </c>
      <c r="C2291">
        <f>Inputs!$B$3&gt;=107</f>
        <v/>
      </c>
      <c r="D2291">
        <f>IF(Skills!C14=1,60+Inputs!$B$26+Inputs!$B$30,IF(Skills!C14=2,90+Inputs!$B$27+Inputs!$B$30,IF(Skills!C14=3,120+Inputs!$B$28+Inputs!$B$30,MAX(0,(Inputs!$B$3-100)*3)+Inputs!$B$29+Inputs!$B$30)))</f>
        <v/>
      </c>
      <c r="E2291">
        <f>INDEX(FactorTable!$B$2:$Y$301, MATCH(ROUND(MIN(300,MAX(1,D2291)),0), FactorTable!$A$2:$A$301,0), Skills!L14+1)</f>
        <v/>
      </c>
      <c r="F2291">
        <f>IF(Skills!M14=TRUE,(Skills!K14/10)*(E2291/1000),Skills!K14/10)+Skills!N14</f>
        <v/>
      </c>
      <c r="G2291">
        <f>Calc!G14</f>
        <v/>
      </c>
      <c r="H2291">
        <f>Calc!H14</f>
        <v/>
      </c>
      <c r="I2291">
        <f>IF(Skills!T14&lt;&gt;"",1+(Skills!T14/10)*($Z$3/1000)/100,1)</f>
        <v/>
      </c>
      <c r="J2291" t="inlineStr"/>
      <c r="K2291" t="inlineStr"/>
      <c r="L2291" t="inlineStr"/>
      <c r="M2291" t="inlineStr"/>
      <c r="N2291" t="inlineStr"/>
      <c r="O2291">
        <f>(1-Summary!$B$11)*S2291+Summary!$B$11*U2291</f>
        <v/>
      </c>
      <c r="P2291">
        <f>IF(B2320=0,0,O2291/B2320)</f>
        <v/>
      </c>
      <c r="Q2291">
        <f>IFERROR(1/(IF(Inputs!$B$39="pvp",15,MAX(0.1,Skills!D14-IF(Skills!E14=TRUE,Inputs!$B$33,0)))*(1-IF(AND(ArtifactsInput!$M$27,Inputs!$B$4="Chapter Hunt"),CHOOSE(ArtifactsInput!$N$27+1,20,24,28,32,36,40),0)/100)),0)</f>
        <v/>
      </c>
      <c r="R2291">
        <f>IF(AND(Inputs!$B$39&lt;&gt;"pvp",Inputs!$B$44&gt;0),IF(Inputs!$B$44&lt;=0,0,(INT(Inputs!$B$44/(IF(Inputs!$B$39="pvp",15,MAX(0.1,Skills!D14-IF(Skills!E14=TRUE,Inputs!$B$33,0)))*(1-IF(AND(ArtifactsInput!$M$27,Inputs!$B$4="Chapter Hunt"),CHOOSE(ArtifactsInput!$N$27+1,20,24,28,32,36,40),0)/100)))+1)),0)</f>
        <v/>
      </c>
      <c r="S2291" t="n">
        <v>0</v>
      </c>
      <c r="U2291" t="n">
        <v>0</v>
      </c>
    </row>
    <row r="2292">
      <c r="A2292">
        <f>Skills!A15</f>
        <v/>
      </c>
      <c r="B2292">
        <f>Skills!B15</f>
        <v/>
      </c>
      <c r="C2292">
        <f>Inputs!$B$3&gt;=63</f>
        <v/>
      </c>
      <c r="D2292">
        <f>IF(Skills!C15=1,60+Inputs!$B$26+Inputs!$B$30,IF(Skills!C15=2,90+Inputs!$B$27+Inputs!$B$30,IF(Skills!C15=3,120+Inputs!$B$28+Inputs!$B$30,MAX(0,(Inputs!$B$3-100)*3)+Inputs!$B$29+Inputs!$B$30)))</f>
        <v/>
      </c>
      <c r="E2292">
        <f>INDEX(FactorTable!$B$2:$Y$301, MATCH(ROUND(MIN(300,MAX(1,D2292)),0), FactorTable!$A$2:$A$301,0), Skills!L15+1)</f>
        <v/>
      </c>
      <c r="F2292">
        <f>IF(Skills!M15=TRUE,(Skills!K15/10)*(E2292/1000),Skills!K15/10)+Skills!N15</f>
        <v/>
      </c>
      <c r="G2292">
        <f>Calc!G15</f>
        <v/>
      </c>
      <c r="H2292">
        <f>Calc!H15</f>
        <v/>
      </c>
      <c r="I2292">
        <f>IF(Skills!T15&lt;&gt;"",1+(Skills!T15/10)*($Z$3/1000)/100,1)</f>
        <v/>
      </c>
      <c r="J2292">
        <f>((Inputs!$B$6*(1+Inputs!$B$7/100))+(((Inputs!$B$13*(1+Inputs!$B$14/100))-(Inputs!$B$13*(1+Inputs!$B$14/100)))+0.25*(Inputs!$B$15-Inputs!$B$15))*(1+Inputs!$B$7/100))*(F2292/100)</f>
        <v/>
      </c>
      <c r="K2292">
        <f>J2292*(1+(((Inputs!$B$13+IF(Inputs!$B$3&gt;=35,(10*INDEX(FactorTable!$B$2:$Y$301,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15="TRIUMPH_FEATHER",IF(C2293=TRUE,F2293,0),0)/100)*(1+IF(C2304=TRUE,F2304,0)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2292)</f>
        <v/>
      </c>
      <c r="L2292">
        <f>K2292*(MIN(Inputs!$B$23+(F2299-Calc!F22),(Inputs!$B$24+IF(ArtifactsInput!$M$15,CHOOSE(ArtifactsInput!$N$15+1,25,30,35,40,45,50)/100*(Inputs!$B$12-Inputs!$B$12),0)))/100+(Inputs!$B$24+IF(ArtifactsInput!$M$15,CHOOSE(ArtifactsInput!$N$15+1,25,30,35,40,45,50)/100*(Inputs!$B$12-Inputs!$B$12),0))/100)/2</f>
        <v/>
      </c>
      <c r="M2292">
        <f>L2292*(1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92">
        <f>L2292*(1-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2292*(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2">
        <f>(1-Summary!$B$11)*S2292+Summary!$B$11*U2292</f>
        <v/>
      </c>
      <c r="P2292">
        <f>IF(B2320=0,0,O2292/B2320)</f>
        <v/>
      </c>
      <c r="Q2292">
        <f>IFERROR(1/(IF(Inputs!$B$39="pvp",15,MAX(0.1,Skills!D15-IF(Skills!E15=TRUE,Inputs!$B$33,0)))*(1-IF(AND(ArtifactsInput!$M$27,Inputs!$B$4="Chapter Hunt"),CHOOSE(ArtifactsInput!$N$27+1,20,24,28,32,36,40),0)/100)),0)</f>
        <v/>
      </c>
      <c r="R2292" t="n">
        <v>0</v>
      </c>
      <c r="S2292">
        <f>IF(C2292,(Skills!F15*N2292*((IF(Inputs!$B$3&gt;=78,25,15)/100*B2313*10)/(1+IF(Inputs!$B$3&gt;=78,25,15)/100*B2313*10))*(Skills!I15/100*B2313)/(1+Skills!G15*Skills!I15/100*B2313))*IF(Inputs!$B$39="pvp",1,1+(Inputs!$B$21+Skills!O15+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2292*(1-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2292*(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2292*(1-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2292*(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92">
        <f>IF(C2292,(Skills!F15*N2292*((IF(Inputs!$B$3&gt;=78,25,15)/100*B2313*10)/(1+IF(Inputs!$B$3&gt;=78,25,15)/100*B2313*10))*(Skills!I15/100*B2313)/(1+Skills!G15*Skills!I15/100*B2313))*IF(Inputs!$B$39="pvp",1,(1+(Inputs!$B$22+Skills!P15+B2309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3">
      <c r="A2293">
        <f>Skills!A16</f>
        <v/>
      </c>
      <c r="B2293">
        <f>Skills!B16</f>
        <v/>
      </c>
      <c r="C2293">
        <f>Inputs!$B$3&gt;=100</f>
        <v/>
      </c>
      <c r="D2293">
        <f>IF(Skills!C16=1,60+Inputs!$B$26+Inputs!$B$30,IF(Skills!C16=2,90+Inputs!$B$27+Inputs!$B$30,IF(Skills!C16=3,120+Inputs!$B$28+Inputs!$B$30,MAX(0,(Inputs!$B$3-100)*3)+Inputs!$B$29+Inputs!$B$30)))</f>
        <v/>
      </c>
      <c r="E2293">
        <f>INDEX(FactorTable!$B$2:$Y$301, MATCH(ROUND(MIN(300,MAX(1,D2293)),0), FactorTable!$A$2:$A$301,0), Skills!L16+1)</f>
        <v/>
      </c>
      <c r="F2293">
        <f>IF(Skills!M16=TRUE,(Skills!K16/10)*(E2293/1000),Skills!K16/10)+Skills!N16</f>
        <v/>
      </c>
      <c r="G2293">
        <f>Calc!G16</f>
        <v/>
      </c>
      <c r="H2293">
        <f>Calc!H16</f>
        <v/>
      </c>
      <c r="I2293">
        <f>IF(Skills!T16&lt;&gt;"",1+(Skills!T16/10)*($Z$3/1000)/100,1)</f>
        <v/>
      </c>
      <c r="J2293" t="inlineStr"/>
      <c r="K2293" t="inlineStr"/>
      <c r="L2293" t="inlineStr"/>
      <c r="M2293" t="inlineStr"/>
      <c r="N2293" t="inlineStr"/>
      <c r="O2293">
        <f>(1-Summary!$B$11)*S2293+Summary!$B$11*U2293</f>
        <v/>
      </c>
      <c r="P2293">
        <f>IF(B2320=0,0,O2293/B2320)</f>
        <v/>
      </c>
      <c r="Q2293">
        <f>IFERROR(1/(IF(Inputs!$B$39="pvp",15,MAX(0.1,Skills!D16-IF(Skills!E16=TRUE,Inputs!$B$33,0)))*(1-IF(AND(ArtifactsInput!$M$27,Inputs!$B$4="Chapter Hunt"),CHOOSE(ArtifactsInput!$N$27+1,20,24,28,32,36,40),0)/100)),0)</f>
        <v/>
      </c>
      <c r="R2293" t="n">
        <v>0</v>
      </c>
      <c r="S2293" t="n">
        <v>0</v>
      </c>
      <c r="U2293" t="n">
        <v>0</v>
      </c>
    </row>
    <row r="2294">
      <c r="A2294">
        <f>Skills!A17</f>
        <v/>
      </c>
      <c r="B2294">
        <f>Skills!B17</f>
        <v/>
      </c>
      <c r="C2294">
        <f>Inputs!$B$3&gt;=49</f>
        <v/>
      </c>
      <c r="D2294">
        <f>IF(Skills!C17=1,60+Inputs!$B$26+Inputs!$B$30,IF(Skills!C17=2,90+Inputs!$B$27+Inputs!$B$30,IF(Skills!C17=3,120+Inputs!$B$28+Inputs!$B$30,MAX(0,(Inputs!$B$3-100)*3)+Inputs!$B$29+Inputs!$B$30)))</f>
        <v/>
      </c>
      <c r="E2294">
        <f>INDEX(FactorTable!$B$2:$Y$301, MATCH(ROUND(MIN(300,MAX(1,D2294)),0), FactorTable!$A$2:$A$301,0), Skills!L17+1)</f>
        <v/>
      </c>
      <c r="F2294">
        <f>IF(Skills!M17=TRUE,(Skills!K17/10)*(E2294/1000),Skills!K17/10)+Skills!N17</f>
        <v/>
      </c>
      <c r="G2294">
        <f>Calc!G17</f>
        <v/>
      </c>
      <c r="H2294">
        <f>Calc!H17</f>
        <v/>
      </c>
      <c r="I2294">
        <f>IF(Skills!T17&lt;&gt;"",1+(Skills!T17/10)*($Z$3/1000)/100,1)</f>
        <v/>
      </c>
      <c r="J2294" t="inlineStr"/>
      <c r="K2294" t="inlineStr"/>
      <c r="L2294" t="inlineStr"/>
      <c r="M2294" t="inlineStr"/>
      <c r="N2294" t="inlineStr"/>
      <c r="O2294">
        <f>(1-Summary!$B$11)*S2294+Summary!$B$11*U2294</f>
        <v/>
      </c>
      <c r="P2294">
        <f>IF(B2320=0,0,O2294/B2320)</f>
        <v/>
      </c>
      <c r="Q2294">
        <f>IFERROR(1/(IF(Inputs!$B$39="pvp",15,MAX(0.1,Skills!D17-IF(Skills!E17=TRUE,Inputs!$B$33,0)))*(1-IF(AND(ArtifactsInput!$M$27,Inputs!$B$4="Chapter Hunt"),CHOOSE(ArtifactsInput!$N$27+1,20,24,28,32,36,40),0)/100)),0)</f>
        <v/>
      </c>
      <c r="R2294" t="n">
        <v>0</v>
      </c>
      <c r="S2294" t="n">
        <v>0</v>
      </c>
      <c r="U2294" t="n">
        <v>0</v>
      </c>
    </row>
    <row r="2295">
      <c r="A2295">
        <f>Skills!A18</f>
        <v/>
      </c>
      <c r="B2295">
        <f>Skills!B18</f>
        <v/>
      </c>
      <c r="C2295">
        <f>Inputs!$B$3&gt;=75</f>
        <v/>
      </c>
      <c r="D2295">
        <f>IF(Skills!C18=1,60+Inputs!$B$26+Inputs!$B$30,IF(Skills!C18=2,90+Inputs!$B$27+Inputs!$B$30,IF(Skills!C18=3,120+Inputs!$B$28+Inputs!$B$30,MAX(0,(Inputs!$B$3-100)*3)+Inputs!$B$29+Inputs!$B$30)))</f>
        <v/>
      </c>
      <c r="E2295">
        <f>INDEX(FactorTable!$B$2:$Y$301, MATCH(ROUND(MIN(300,MAX(1,D2295)),0), FactorTable!$A$2:$A$301,0), Skills!L18+1)</f>
        <v/>
      </c>
      <c r="F2295">
        <f>IF(Skills!M18=TRUE,(Skills!K18/10)*(E2295/1000),Skills!K18/10)+Skills!N18</f>
        <v/>
      </c>
      <c r="G2295">
        <f>Calc!G18</f>
        <v/>
      </c>
      <c r="H2295">
        <f>Calc!H18</f>
        <v/>
      </c>
      <c r="I2295">
        <f>IF(Skills!T18&lt;&gt;"",1+(Skills!T18/10)*($Z$3/1000)/100,1)</f>
        <v/>
      </c>
      <c r="J2295" t="inlineStr"/>
      <c r="K2295" t="inlineStr"/>
      <c r="L2295" t="inlineStr"/>
      <c r="M2295" t="inlineStr"/>
      <c r="N2295" t="inlineStr"/>
      <c r="O2295">
        <f>(1-Summary!$B$11)*S2295+Summary!$B$11*U2295</f>
        <v/>
      </c>
      <c r="P2295">
        <f>IF(B2320=0,0,O2295/B2320)</f>
        <v/>
      </c>
      <c r="Q2295">
        <f>IFERROR(1/(IF(Inputs!$B$39="pvp",15,MAX(0.1,Skills!D18-IF(Skills!E18=TRUE,Inputs!$B$33,0)))*(1-IF(AND(ArtifactsInput!$M$27,Inputs!$B$4="Chapter Hunt"),CHOOSE(ArtifactsInput!$N$27+1,20,24,28,32,36,40),0)/100)),0)</f>
        <v/>
      </c>
      <c r="R2295" t="n">
        <v>0</v>
      </c>
      <c r="S2295" t="n">
        <v>0</v>
      </c>
      <c r="U2295" t="n">
        <v>0</v>
      </c>
    </row>
    <row r="2296">
      <c r="A2296">
        <f>Skills!A19</f>
        <v/>
      </c>
      <c r="B2296">
        <f>Skills!B19</f>
        <v/>
      </c>
      <c r="C2296">
        <f>Inputs!$B$3&gt;=110</f>
        <v/>
      </c>
      <c r="D2296">
        <f>IF(Skills!C19=1,60+Inputs!$B$26+Inputs!$B$30,IF(Skills!C19=2,90+Inputs!$B$27+Inputs!$B$30,IF(Skills!C19=3,120+Inputs!$B$28+Inputs!$B$30,MAX(0,(Inputs!$B$3-100)*3)+Inputs!$B$29+Inputs!$B$30)))</f>
        <v/>
      </c>
      <c r="E2296">
        <f>INDEX(FactorTable!$B$2:$Y$301, MATCH(ROUND(MIN(300,MAX(1,D2296)),0), FactorTable!$A$2:$A$301,0), Skills!L19+1)</f>
        <v/>
      </c>
      <c r="F2296">
        <f>(Skills!K19/10)*(E2296/1000)*64/45+Skills!N19</f>
        <v/>
      </c>
      <c r="G2296">
        <f>Calc!G19</f>
        <v/>
      </c>
      <c r="H2296">
        <f>Calc!H19</f>
        <v/>
      </c>
      <c r="I2296">
        <f>IF(Skills!T19&lt;&gt;"",1+(Skills!T19/10)*($Z$3/1000)/100,1)</f>
        <v/>
      </c>
      <c r="J2296" t="inlineStr"/>
      <c r="K2296" t="inlineStr"/>
      <c r="L2296" t="inlineStr"/>
      <c r="M2296" t="inlineStr"/>
      <c r="N2296" t="inlineStr"/>
      <c r="O2296">
        <f>(1-Summary!$B$11)*S2296+Summary!$B$11*U2296</f>
        <v/>
      </c>
      <c r="P2296">
        <f>IF(B2320=0,0,O2296/B2320)</f>
        <v/>
      </c>
      <c r="Q2296">
        <f>IFERROR(1/(IF(Inputs!$B$39="pvp",15,MAX(0.1,Skills!D19-IF(Skills!E19=TRUE,Inputs!$B$33,0)))*(1-IF(AND(ArtifactsInput!$M$27,Inputs!$B$4="Chapter Hunt"),CHOOSE(ArtifactsInput!$N$27+1,20,24,28,32,36,40),0)/100)),0)</f>
        <v/>
      </c>
      <c r="R2296">
        <f>IF(AND(Inputs!$B$39&lt;&gt;"pvp",Inputs!$B$44&gt;0),IF(Inputs!$B$44&lt;=0,0,(INT(Inputs!$B$44/(IF(Inputs!$B$39="pvp",15,MAX(0.1,Skills!D19-IF(Skills!E19=TRUE,Inputs!$B$33,0)))*(1-IF(AND(ArtifactsInput!$M$27,Inputs!$B$4="Chapter Hunt"),CHOOSE(ArtifactsInput!$N$27+1,20,24,28,32,36,40),0)/100)))+1)),0)</f>
        <v/>
      </c>
      <c r="S2296" t="n">
        <v>0</v>
      </c>
      <c r="U2296" t="n">
        <v>0</v>
      </c>
    </row>
    <row r="2297">
      <c r="A2297">
        <f>Skills!A20</f>
        <v/>
      </c>
      <c r="B2297">
        <f>Skills!B20</f>
        <v/>
      </c>
      <c r="C2297">
        <f>Inputs!$B$3&gt;=125</f>
        <v/>
      </c>
      <c r="D2297">
        <f>IF(Skills!C20=1,60+Inputs!$B$26+Inputs!$B$30,IF(Skills!C20=2,90+Inputs!$B$27+Inputs!$B$30,IF(Skills!C20=3,120+Inputs!$B$28+Inputs!$B$30,MAX(0,(Inputs!$B$3-100)*3)+Inputs!$B$29+Inputs!$B$30)))</f>
        <v/>
      </c>
      <c r="E2297">
        <f>INDEX(FactorTable!$B$2:$Y$301, MATCH(ROUND(MIN(300,MAX(1,D2297)),0), FactorTable!$A$2:$A$301,0), Skills!L20+1)</f>
        <v/>
      </c>
      <c r="F2297">
        <f>IF(Skills!M20=TRUE,(Skills!K20/10)*(E2297/1000),Skills!K20/10)+Skills!N20</f>
        <v/>
      </c>
      <c r="G2297">
        <f>Calc!G20</f>
        <v/>
      </c>
      <c r="H2297">
        <f>Calc!H20</f>
        <v/>
      </c>
      <c r="I2297">
        <f>IF(Skills!T20&lt;&gt;"",1+(Skills!T20/10)*($Z$3/1000)/100,1)</f>
        <v/>
      </c>
      <c r="J2297" t="inlineStr"/>
      <c r="K2297" t="inlineStr"/>
      <c r="L2297" t="inlineStr"/>
      <c r="M2297" t="inlineStr"/>
      <c r="N2297" t="inlineStr"/>
      <c r="O2297">
        <f>(1-Summary!$B$11)*S2297+Summary!$B$11*U2297</f>
        <v/>
      </c>
      <c r="P2297">
        <f>IF(B2320=0,0,O2297/B2320)</f>
        <v/>
      </c>
      <c r="Q2297">
        <f>IFERROR(1/(IF(Inputs!$B$39="pvp",15,MAX(0.1,Skills!D20-IF(Skills!E20=TRUE,Inputs!$B$33,0)))*(1-IF(AND(ArtifactsInput!$M$27,Inputs!$B$4="Chapter Hunt"),CHOOSE(ArtifactsInput!$N$27+1,20,24,28,32,36,40),0)/100)),0)</f>
        <v/>
      </c>
      <c r="R2297" t="n">
        <v>0</v>
      </c>
      <c r="S2297" t="n">
        <v>0</v>
      </c>
      <c r="U2297" t="n">
        <v>0</v>
      </c>
    </row>
    <row r="2298">
      <c r="A2298">
        <f>Skills!A21</f>
        <v/>
      </c>
      <c r="B2298">
        <f>Skills!B21</f>
        <v/>
      </c>
      <c r="C2298">
        <f>Inputs!$B$3&gt;=33</f>
        <v/>
      </c>
      <c r="D2298">
        <f>IF(Skills!C21=1,60+Inputs!$B$26+Inputs!$B$30,IF(Skills!C21=2,90+Inputs!$B$27+Inputs!$B$30,IF(Skills!C21=3,120+Inputs!$B$28+Inputs!$B$30,MAX(0,(Inputs!$B$3-100)*3)+Inputs!$B$29+Inputs!$B$30)))</f>
        <v/>
      </c>
      <c r="E2298">
        <f>INDEX(FactorTable!$B$2:$Y$301, MATCH(ROUND(MIN(300,MAX(1,D2298)),0), FactorTable!$A$2:$A$301,0), Skills!L21+1)</f>
        <v/>
      </c>
      <c r="F2298">
        <f>IF(Skills!M21=TRUE,(Skills!K21/10)*(E2298/1000),Skills!K21/10)+Skills!N21</f>
        <v/>
      </c>
      <c r="G2298">
        <f>Calc!G21</f>
        <v/>
      </c>
      <c r="H2298">
        <f>Calc!H21</f>
        <v/>
      </c>
      <c r="I2298">
        <f>IF(Skills!T21&lt;&gt;"",1+(Skills!T21/10)*($Z$3/1000)/100,1)</f>
        <v/>
      </c>
      <c r="J2298" t="inlineStr"/>
      <c r="K2298" t="inlineStr"/>
      <c r="L2298" t="inlineStr"/>
      <c r="M2298" t="inlineStr"/>
      <c r="N2298" t="inlineStr"/>
      <c r="O2298">
        <f>(1-Summary!$B$11)*S2298+Summary!$B$11*U2298</f>
        <v/>
      </c>
      <c r="P2298">
        <f>IF(B2320=0,0,O2298/B2320)</f>
        <v/>
      </c>
      <c r="Q2298">
        <f>IFERROR(1/(IF(Inputs!$B$39="pvp",15,MAX(0.1,Skills!D21-IF(Skills!E21=TRUE,Inputs!$B$33,0)))*(1-IF(AND(ArtifactsInput!$M$27,Inputs!$B$4="Chapter Hunt"),CHOOSE(ArtifactsInput!$N$27+1,20,24,28,32,36,40),0)/100)),0)</f>
        <v/>
      </c>
      <c r="R2298" t="n">
        <v>0</v>
      </c>
      <c r="S2298" t="n">
        <v>0</v>
      </c>
      <c r="U2298" t="n">
        <v>0</v>
      </c>
    </row>
    <row r="2299">
      <c r="A2299">
        <f>Skills!A22</f>
        <v/>
      </c>
      <c r="B2299">
        <f>Skills!B22</f>
        <v/>
      </c>
      <c r="C2299">
        <f>Inputs!$B$3&gt;=43</f>
        <v/>
      </c>
      <c r="D2299">
        <f>IF(Skills!C22=1,60+Inputs!$B$26+Inputs!$B$30,IF(Skills!C22=2,90+Inputs!$B$27+Inputs!$B$30,IF(Skills!C22=3,120+Inputs!$B$28+Inputs!$B$30,MAX(0,(Inputs!$B$3-100)*3)+Inputs!$B$29+Inputs!$B$30)))</f>
        <v/>
      </c>
      <c r="E2299">
        <f>INDEX(FactorTable!$B$2:$Y$301, MATCH(ROUND(MIN(300,MAX(1,D2299)),0), FactorTable!$A$2:$A$301,0), Skills!L22+1)</f>
        <v/>
      </c>
      <c r="F2299">
        <f>IF(Skills!M22=TRUE,(Skills!K22/10)*(E2299/1000),Skills!K22/10)+Skills!N22</f>
        <v/>
      </c>
      <c r="G2299">
        <f>Calc!G22</f>
        <v/>
      </c>
      <c r="H2299">
        <f>Calc!H22</f>
        <v/>
      </c>
      <c r="I2299">
        <f>IF(Skills!T22&lt;&gt;"",1+(Skills!T22/10)*($Z$3/1000)/100,1)</f>
        <v/>
      </c>
      <c r="J2299" t="inlineStr"/>
      <c r="K2299" t="inlineStr"/>
      <c r="L2299" t="inlineStr"/>
      <c r="M2299" t="inlineStr"/>
      <c r="N2299" t="inlineStr"/>
      <c r="O2299">
        <f>(1-Summary!$B$11)*S2299+Summary!$B$11*U2299</f>
        <v/>
      </c>
      <c r="P2299">
        <f>IF(B2320=0,0,O2299/B2320)</f>
        <v/>
      </c>
      <c r="Q2299">
        <f>IFERROR(1/(IF(Inputs!$B$39="pvp",15,MAX(0.1,Skills!D22-IF(Skills!E22=TRUE,Inputs!$B$33,0)))*(1-IF(AND(ArtifactsInput!$M$27,Inputs!$B$4="Chapter Hunt"),CHOOSE(ArtifactsInput!$N$27+1,20,24,28,32,36,40),0)/100)),0)</f>
        <v/>
      </c>
      <c r="R2299" t="n">
        <v>0</v>
      </c>
      <c r="S2299" t="n">
        <v>0</v>
      </c>
      <c r="U2299" t="n">
        <v>0</v>
      </c>
    </row>
    <row r="2300">
      <c r="A2300">
        <f>Skills!A23</f>
        <v/>
      </c>
      <c r="B2300">
        <f>Skills!B23</f>
        <v/>
      </c>
      <c r="C2300">
        <f>Inputs!$B$3&gt;=50</f>
        <v/>
      </c>
      <c r="D2300">
        <f>IF(Skills!C23=1,60+Inputs!$B$26+Inputs!$B$30,IF(Skills!C23=2,90+Inputs!$B$27+Inputs!$B$30,IF(Skills!C23=3,120+Inputs!$B$28+Inputs!$B$30,MAX(0,(Inputs!$B$3-100)*3)+Inputs!$B$29+Inputs!$B$30)))</f>
        <v/>
      </c>
      <c r="E2300">
        <f>INDEX(FactorTable!$B$2:$Y$301, MATCH(ROUND(MIN(300,MAX(1,D2300)),0), FactorTable!$A$2:$A$301,0), Skills!L23+1)</f>
        <v/>
      </c>
      <c r="F2300">
        <f>IF(Skills!M23=TRUE,(Skills!K23/10)*(E2300/1000),Skills!K23/10)+Skills!N23</f>
        <v/>
      </c>
      <c r="G2300">
        <f>Calc!G23</f>
        <v/>
      </c>
      <c r="H2300">
        <f>Calc!H23</f>
        <v/>
      </c>
      <c r="I2300">
        <f>IF(Skills!T23&lt;&gt;"",1+(Skills!T23/10)*($Z$3/1000)/100,1)</f>
        <v/>
      </c>
      <c r="J2300" t="inlineStr"/>
      <c r="K2300" t="inlineStr"/>
      <c r="L2300" t="inlineStr"/>
      <c r="M2300" t="inlineStr"/>
      <c r="N2300" t="inlineStr"/>
      <c r="O2300">
        <f>(1-Summary!$B$11)*S2300+Summary!$B$11*U2300</f>
        <v/>
      </c>
      <c r="P2300">
        <f>IF(B2320=0,0,O2300/B2320)</f>
        <v/>
      </c>
      <c r="Q2300">
        <f>IFERROR(1/(IF(Inputs!$B$39="pvp",15,MAX(0.1,Skills!D23-IF(Skills!E23=TRUE,Inputs!$B$33,0)))*(1-IF(AND(ArtifactsInput!$M$27,Inputs!$B$4="Chapter Hunt"),CHOOSE(ArtifactsInput!$N$27+1,20,24,28,32,36,40),0)/100)),0)</f>
        <v/>
      </c>
      <c r="R2300" t="n">
        <v>0</v>
      </c>
      <c r="S2300" t="n">
        <v>0</v>
      </c>
      <c r="U2300" t="n">
        <v>0</v>
      </c>
    </row>
    <row r="2301">
      <c r="A2301">
        <f>Skills!A24</f>
        <v/>
      </c>
      <c r="B2301">
        <f>Skills!B24</f>
        <v/>
      </c>
      <c r="C2301">
        <f>Inputs!$B$3&gt;=74</f>
        <v/>
      </c>
      <c r="D2301">
        <f>IF(Skills!C24=1,60+Inputs!$B$26+Inputs!$B$30,IF(Skills!C24=2,90+Inputs!$B$27+Inputs!$B$30,IF(Skills!C24=3,120+Inputs!$B$28+Inputs!$B$30,MAX(0,(Inputs!$B$3-100)*3)+Inputs!$B$29+Inputs!$B$30)))</f>
        <v/>
      </c>
      <c r="E2301">
        <f>INDEX(FactorTable!$B$2:$Y$301, MATCH(ROUND(MIN(300,MAX(1,D2301)),0), FactorTable!$A$2:$A$301,0), Skills!L24+1)</f>
        <v/>
      </c>
      <c r="F2301">
        <f>IF(Skills!M24=TRUE,(Skills!K24/10)*(E2301/1000),Skills!K24/10)+Skills!N24</f>
        <v/>
      </c>
      <c r="G2301">
        <f>Calc!G24</f>
        <v/>
      </c>
      <c r="H2301">
        <f>Calc!H24</f>
        <v/>
      </c>
      <c r="I2301">
        <f>IF(Skills!T24&lt;&gt;"",1+(Skills!T24/10)*($Z$3/1000)/100,1)</f>
        <v/>
      </c>
      <c r="J2301" t="inlineStr"/>
      <c r="K2301" t="inlineStr"/>
      <c r="L2301" t="inlineStr"/>
      <c r="M2301" t="inlineStr"/>
      <c r="N2301" t="inlineStr"/>
      <c r="O2301">
        <f>(1-Summary!$B$11)*S2301+Summary!$B$11*U2301</f>
        <v/>
      </c>
      <c r="P2301">
        <f>IF(B2320=0,0,O2301/B2320)</f>
        <v/>
      </c>
      <c r="Q2301">
        <f>IFERROR(1/(IF(Inputs!$B$39="pvp",15,MAX(0.1,Skills!D24-IF(Skills!E24=TRUE,Inputs!$B$33,0)))*(1-IF(AND(ArtifactsInput!$M$27,Inputs!$B$4="Chapter Hunt"),CHOOSE(ArtifactsInput!$N$27+1,20,24,28,32,36,40),0)/100)),0)</f>
        <v/>
      </c>
      <c r="R2301" t="n">
        <v>0</v>
      </c>
      <c r="S2301" t="n">
        <v>0</v>
      </c>
      <c r="U2301" t="n">
        <v>0</v>
      </c>
    </row>
    <row r="2302">
      <c r="A2302">
        <f>Skills!A25</f>
        <v/>
      </c>
      <c r="B2302">
        <f>Skills!B25</f>
        <v/>
      </c>
      <c r="C2302">
        <f>Inputs!$B$3&gt;=74</f>
        <v/>
      </c>
      <c r="D2302">
        <f>IF(Skills!C25=1,60+Inputs!$B$26+Inputs!$B$30,IF(Skills!C25=2,90+Inputs!$B$27+Inputs!$B$30,IF(Skills!C25=3,120+Inputs!$B$28+Inputs!$B$30,MAX(0,(Inputs!$B$3-100)*3)+Inputs!$B$29+Inputs!$B$30)))</f>
        <v/>
      </c>
      <c r="E2302">
        <f>INDEX(FactorTable!$B$2:$Y$301, MATCH(ROUND(MIN(300,MAX(1,D2302)),0), FactorTable!$A$2:$A$301,0), Skills!L25+1)</f>
        <v/>
      </c>
      <c r="F2302">
        <f>IF(Skills!M25=TRUE,(Skills!K25/10)*(E2302/1000),Skills!K25/10)+Skills!N25</f>
        <v/>
      </c>
      <c r="G2302">
        <f>Calc!G25</f>
        <v/>
      </c>
      <c r="H2302">
        <f>Calc!H25</f>
        <v/>
      </c>
      <c r="I2302">
        <f>IF(Skills!T25&lt;&gt;"",1+(Skills!T25/10)*($Z$3/1000)/100,1)</f>
        <v/>
      </c>
      <c r="J2302" t="inlineStr"/>
      <c r="K2302" t="inlineStr"/>
      <c r="L2302" t="inlineStr"/>
      <c r="M2302" t="inlineStr"/>
      <c r="N2302" t="inlineStr"/>
      <c r="O2302">
        <f>(1-Summary!$B$11)*S2302+Summary!$B$11*U2302</f>
        <v/>
      </c>
      <c r="P2302">
        <f>IF(B2320=0,0,O2302/B2320)</f>
        <v/>
      </c>
      <c r="Q2302">
        <f>IFERROR(1/(IF(Inputs!$B$39="pvp",15,MAX(0.1,Skills!D25-IF(Skills!E25=TRUE,Inputs!$B$33,0)))*(1-IF(AND(ArtifactsInput!$M$27,Inputs!$B$4="Chapter Hunt"),CHOOSE(ArtifactsInput!$N$27+1,20,24,28,32,36,40),0)/100)),0)</f>
        <v/>
      </c>
      <c r="R2302" t="n">
        <v>0</v>
      </c>
      <c r="S2302" t="n">
        <v>0</v>
      </c>
      <c r="U2302" t="n">
        <v>0</v>
      </c>
    </row>
    <row r="2303">
      <c r="A2303">
        <f>Skills!A26</f>
        <v/>
      </c>
      <c r="B2303">
        <f>Skills!B26</f>
        <v/>
      </c>
      <c r="C2303">
        <f>Inputs!$B$3&gt;=117</f>
        <v/>
      </c>
      <c r="D2303">
        <f>IF(Skills!C26=1,60+Inputs!$B$26+Inputs!$B$30,IF(Skills!C26=2,90+Inputs!$B$27+Inputs!$B$30,IF(Skills!C26=3,120+Inputs!$B$28+Inputs!$B$30,MAX(0,(Inputs!$B$3-100)*3)+Inputs!$B$29+Inputs!$B$30)))</f>
        <v/>
      </c>
      <c r="E2303">
        <f>INDEX(FactorTable!$B$2:$Y$301, MATCH(ROUND(MIN(300,MAX(1,D2303)),0), FactorTable!$A$2:$A$301,0), Skills!L26+1)</f>
        <v/>
      </c>
      <c r="F2303">
        <f>IF(Skills!M26=TRUE,(Skills!K26/10)*(E2303/1000),Skills!K26/10)+Skills!N26</f>
        <v/>
      </c>
      <c r="G2303">
        <f>Calc!G26</f>
        <v/>
      </c>
      <c r="H2303">
        <f>Calc!H26</f>
        <v/>
      </c>
      <c r="I2303">
        <f>IF(Skills!T26&lt;&gt;"",1+(Skills!T26/10)*($Z$3/1000)/100,1)</f>
        <v/>
      </c>
      <c r="J2303" t="inlineStr"/>
      <c r="K2303" t="inlineStr"/>
      <c r="L2303" t="inlineStr"/>
      <c r="M2303" t="inlineStr"/>
      <c r="N2303" t="inlineStr"/>
      <c r="O2303">
        <f>(1-Summary!$B$11)*S2303+Summary!$B$11*U2303</f>
        <v/>
      </c>
      <c r="P2303">
        <f>IF(B2320=0,0,O2303/B2320)</f>
        <v/>
      </c>
      <c r="Q2303">
        <f>IFERROR(1/(IF(Inputs!$B$39="pvp",15,MAX(0.1,Skills!D26-IF(Skills!E26=TRUE,Inputs!$B$33,0)))*(1-IF(AND(ArtifactsInput!$M$27,Inputs!$B$4="Chapter Hunt"),CHOOSE(ArtifactsInput!$N$27+1,20,24,28,32,36,40),0)/100)),0)</f>
        <v/>
      </c>
      <c r="R2303" t="n">
        <v>0</v>
      </c>
      <c r="S2303" t="n">
        <v>0</v>
      </c>
      <c r="U2303" t="n">
        <v>0</v>
      </c>
    </row>
    <row r="2304">
      <c r="A2304">
        <f>Skills!A27</f>
        <v/>
      </c>
      <c r="B2304">
        <f>Skills!B27</f>
        <v/>
      </c>
      <c r="C2304">
        <f>Inputs!$B$3&gt;=120</f>
        <v/>
      </c>
      <c r="D2304">
        <f>IF(Skills!C27=1,60+Inputs!$B$26+Inputs!$B$30,IF(Skills!C27=2,90+Inputs!$B$27+Inputs!$B$30,IF(Skills!C27=3,120+Inputs!$B$28+Inputs!$B$30,MAX(0,(Inputs!$B$3-100)*3)+Inputs!$B$29+Inputs!$B$30)))</f>
        <v/>
      </c>
      <c r="E2304">
        <f>INDEX(FactorTable!$B$2:$Y$301, MATCH(ROUND(MIN(300,MAX(1,D2304)),0), FactorTable!$A$2:$A$301,0), Skills!L27+1)</f>
        <v/>
      </c>
      <c r="F2304">
        <f>IF(Skills!M27=TRUE,(Skills!K27/10)*(E2304/1000),Skills!K27/10)+Skills!N27</f>
        <v/>
      </c>
      <c r="G2304">
        <f>Calc!G27</f>
        <v/>
      </c>
      <c r="H2304">
        <f>Calc!H27</f>
        <v/>
      </c>
      <c r="I2304">
        <f>IF(Skills!T27&lt;&gt;"",1+(Skills!T27/10)*($Z$3/1000)/100,1)</f>
        <v/>
      </c>
      <c r="J2304" t="inlineStr"/>
      <c r="K2304" t="inlineStr"/>
      <c r="L2304" t="inlineStr"/>
      <c r="M2304" t="inlineStr"/>
      <c r="N2304" t="inlineStr"/>
      <c r="O2304">
        <f>(1-Summary!$B$11)*S2304+Summary!$B$11*U2304</f>
        <v/>
      </c>
      <c r="P2304">
        <f>IF(B2320=0,0,O2304/B2320)</f>
        <v/>
      </c>
      <c r="Q2304">
        <f>IFERROR(1/(IF(Inputs!$B$39="pvp",15,MAX(0.1,Skills!D27-IF(Skills!E27=TRUE,Inputs!$B$33,0)))*(1-IF(AND(ArtifactsInput!$M$27,Inputs!$B$4="Chapter Hunt"),CHOOSE(ArtifactsInput!$N$27+1,20,24,28,32,36,40),0)/100)),0)</f>
        <v/>
      </c>
      <c r="R2304" t="n">
        <v>0</v>
      </c>
      <c r="S2304" t="n">
        <v>0</v>
      </c>
      <c r="U2304" t="n">
        <v>0</v>
      </c>
    </row>
    <row r="2305">
      <c r="A2305">
        <f>Skills!A28</f>
        <v/>
      </c>
      <c r="B2305">
        <f>Skills!B28</f>
        <v/>
      </c>
      <c r="C2305">
        <f>TRUE</f>
        <v/>
      </c>
      <c r="D2305">
        <f>IF(Skills!C28=1,60+Inputs!$B$26+Inputs!$B$30,IF(Skills!C28=2,90+Inputs!$B$27+Inputs!$B$30,IF(Skills!C28=3,120+Inputs!$B$28+Inputs!$B$30,MAX(0,(Inputs!$B$3-100)*3)+Inputs!$B$29+Inputs!$B$30)))</f>
        <v/>
      </c>
      <c r="E2305">
        <f>INDEX(FactorTable!$B$2:$Y$301, MATCH(ROUND(MIN(300,MAX(1,D2305)),0), FactorTable!$A$2:$A$301,0), Skills!L28+1)</f>
        <v/>
      </c>
      <c r="F2305">
        <f>IF(Skills!M28=TRUE,(Skills!K28/10)*(E2305/1000),Skills!K28/10)+Skills!N28</f>
        <v/>
      </c>
      <c r="G2305">
        <f>Calc!G28</f>
        <v/>
      </c>
      <c r="H2305">
        <f>Calc!H28</f>
        <v/>
      </c>
      <c r="I2305">
        <f>IF(Skills!T28&lt;&gt;"",1+(Skills!T28/10)*($Z$3/1000)/100,1)</f>
        <v/>
      </c>
      <c r="J2305" t="inlineStr"/>
      <c r="K2305" t="inlineStr"/>
      <c r="L2305" t="inlineStr"/>
      <c r="M2305" t="inlineStr"/>
      <c r="N2305" t="inlineStr"/>
      <c r="O2305">
        <f>(1-Summary!$B$11)*S2305+Summary!$B$11*U2305</f>
        <v/>
      </c>
      <c r="P2305">
        <f>IF(B2320=0,0,O2305/B2320)</f>
        <v/>
      </c>
      <c r="Q2305">
        <f>IFERROR(1/(IF(Inputs!$B$39="pvp",15,MAX(0.1,Skills!D28-IF(Skills!E28=TRUE,Inputs!$B$33,0)))*(1-IF(AND(ArtifactsInput!$M$27,Inputs!$B$4="Chapter Hunt"),CHOOSE(ArtifactsInput!$N$27+1,20,24,28,32,36,40),0)/100)),0)</f>
        <v/>
      </c>
      <c r="R2305">
        <f>IF(AND(Inputs!$B$39&lt;&gt;"pvp",Inputs!$B$44&gt;0),IF(Inputs!$B$44&lt;=0,0,(INT(Inputs!$B$44/(IF(Inputs!$B$39="pvp",15,MAX(0.1,Skills!D28-IF(Skills!E28=TRUE,Inputs!$B$33,0)))*(1-IF(AND(ArtifactsInput!$M$27,Inputs!$B$4="Chapter Hunt"),CHOOSE(ArtifactsInput!$N$27+1,20,24,28,32,36,40),0)/100)))+1)),0)</f>
        <v/>
      </c>
      <c r="S2305" t="n">
        <v>0</v>
      </c>
      <c r="U2305" t="n">
        <v>0</v>
      </c>
    </row>
    <row r="2307">
      <c r="A2307" t="inlineStr">
        <is>
          <t>Average Buff Multiplier</t>
        </is>
      </c>
      <c r="B2307">
        <f>(1+(IF(C2280=TRUE,F2280*IF(AND(Inputs!$B$39&lt;&gt;"pvp",Inputs!$B$44&gt;0),(((R2280-1)*(Skills!S3*(1+((Inputs!$B$35+(ArtifactsInput!$M$7-ArtifactsInput!$M$7)*CHOOSE(ArtifactsInput!$N$7+1,6,7.2,8.4,9.6,10.8,12))+IF(Inputs!$B$3&gt;=117,F2303,0))/100))+MIN((Skills!S3*(1+((Inputs!$B$35+(ArtifactsInput!$M$7-ArtifactsInput!$M$7)*CHOOSE(ArtifactsInput!$N$7+1,6,7.2,8.4,9.6,10.8,12))+IF(Inputs!$B$3&gt;=117,F2303,0))/100)),MAX(0,Inputs!$B$44-((R2280-1)*Skills!D3))))/Inputs!$B$44),IF(Inputs!$B$39="pvp",MIN((Skills!S3*(1+((Inputs!$B$35+(ArtifactsInput!$M$7-ArtifactsInput!$M$7)*CHOOSE(ArtifactsInput!$N$7+1,6,7.2,8.4,9.6,10.8,12))+IF(Inputs!$B$3&gt;=117,F2303,0))/100)),15)/15,(Skills!S3*(1+((Inputs!$B$35+(ArtifactsInput!$M$7-ArtifactsInput!$M$7)*CHOOSE(ArtifactsInput!$N$7+1,6,7.2,8.4,9.6,10.8,12))+IF(Inputs!$B$3&gt;=117,F2303,0))/100))/Skills!D3)),0)+IF(C2281=TRUE,F2281*IF(AND(Inputs!$B$39&lt;&gt;"pvp",Inputs!$B$44&gt;0),(((R2281-1)*(Skills!S4*(1+((Inputs!$B$35+(ArtifactsInput!$M$7-ArtifactsInput!$M$7)*CHOOSE(ArtifactsInput!$N$7+1,6,7.2,8.4,9.6,10.8,12))+IF(Inputs!$B$3&gt;=117,F2303,0))/100))+MIN((Skills!S4*(1+((Inputs!$B$35+(ArtifactsInput!$M$7-ArtifactsInput!$M$7)*CHOOSE(ArtifactsInput!$N$7+1,6,7.2,8.4,9.6,10.8,12))+IF(Inputs!$B$3&gt;=117,F2303,0))/100)),MAX(0,Inputs!$B$44-((R2281-1)*Skills!D4))))/Inputs!$B$44),IF(Inputs!$B$39="pvp",MIN((Skills!S4*(1+((Inputs!$B$35+(ArtifactsInput!$M$7-ArtifactsInput!$M$7)*CHOOSE(ArtifactsInput!$N$7+1,6,7.2,8.4,9.6,10.8,12))+IF(Inputs!$B$3&gt;=117,F2303,0))/100)),15)/15,(Skills!S4*(1+((Inputs!$B$35+(ArtifactsInput!$M$7-ArtifactsInput!$M$7)*CHOOSE(ArtifactsInput!$N$7+1,6,7.2,8.4,9.6,10.8,12))+IF(Inputs!$B$3&gt;=117,F2303,0))/100))/Skills!D4)),0)+IF(C2282=TRUE,F2282*IF(AND(Inputs!$B$39&lt;&gt;"pvp",Inputs!$B$44&gt;0),(((R2282-1)*(Skills!S5*(1+((Inputs!$B$35+(ArtifactsInput!$M$7-ArtifactsInput!$M$7)*CHOOSE(ArtifactsInput!$N$7+1,6,7.2,8.4,9.6,10.8,12))+IF(Inputs!$B$3&gt;=117,F2303,0))/100))+MIN((Skills!S5*(1+((Inputs!$B$35+(ArtifactsInput!$M$7-ArtifactsInput!$M$7)*CHOOSE(ArtifactsInput!$N$7+1,6,7.2,8.4,9.6,10.8,12))+IF(Inputs!$B$3&gt;=117,F2303,0))/100)),MAX(0,Inputs!$B$44-((R2282-1)*Skills!D5))))/Inputs!$B$44),IF(Inputs!$B$39="pvp",MIN((Skills!S5*(1+((Inputs!$B$35+(ArtifactsInput!$M$7-ArtifactsInput!$M$7)*CHOOSE(ArtifactsInput!$N$7+1,6,7.2,8.4,9.6,10.8,12))+IF(Inputs!$B$3&gt;=117,F2303,0))/100)),15)/15,(Skills!S5*(1+((Inputs!$B$35+(ArtifactsInput!$M$7-ArtifactsInput!$M$7)*CHOOSE(ArtifactsInput!$N$7+1,6,7.2,8.4,9.6,10.8,12))+IF(Inputs!$B$3&gt;=117,F2303,0))/100))/Skills!D5)),0)+IF(C2288=TRUE,F2288*IF(AND(Inputs!$B$39&lt;&gt;"pvp",Inputs!$B$44&gt;0),(((R2288-1)*(Skills!S11*(1+((Inputs!$B$35+(ArtifactsInput!$M$7-ArtifactsInput!$M$7)*CHOOSE(ArtifactsInput!$N$7+1,6,7.2,8.4,9.6,10.8,12))+IF(Inputs!$B$3&gt;=117,F2303,0))/100))+MIN((Skills!S11*(1+((Inputs!$B$35+(ArtifactsInput!$M$7-ArtifactsInput!$M$7)*CHOOSE(ArtifactsInput!$N$7+1,6,7.2,8.4,9.6,10.8,12))+IF(Inputs!$B$3&gt;=117,F2303,0))/100)),MAX(0,Inputs!$B$44-((R2288-1)*Skills!D11))))/Inputs!$B$44),IF(Inputs!$B$39="pvp",MIN((Skills!S11*(1+((Inputs!$B$35+(ArtifactsInput!$M$7-ArtifactsInput!$M$7)*CHOOSE(ArtifactsInput!$N$7+1,6,7.2,8.4,9.6,10.8,12))+IF(Inputs!$B$3&gt;=117,F2303,0))/100)),15)/15,(Skills!S11*(1+((Inputs!$B$35+(ArtifactsInput!$M$7-ArtifactsInput!$M$7)*CHOOSE(ArtifactsInput!$N$7+1,6,7.2,8.4,9.6,10.8,12))+IF(Inputs!$B$3&gt;=117,F2303,0)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2291=TRUE,(1+F2291*IF(AND(Inputs!$B$39&lt;&gt;"pvp",Inputs!$B$44&gt;0),(((R2291-1)*(Skills!S14*(1+((Inputs!$B$35+(ArtifactsInput!$M$7-ArtifactsInput!$M$7)*CHOOSE(ArtifactsInput!$N$7+1,6,7.2,8.4,9.6,10.8,12))+IF(Inputs!$B$3&gt;=117,F2303,0))/100))+MIN((Skills!S14*(1+((Inputs!$B$35+(ArtifactsInput!$M$7-ArtifactsInput!$M$7)*CHOOSE(ArtifactsInput!$N$7+1,6,7.2,8.4,9.6,10.8,12))+IF(Inputs!$B$3&gt;=117,F2303,0))/100)),MAX(0,Inputs!$B$44-((R2291-1)*Skills!D14))))/Inputs!$B$44),IF(Inputs!$B$39="pvp",MIN((Skills!S14*(1+((Inputs!$B$35+(ArtifactsInput!$M$7-ArtifactsInput!$M$7)*CHOOSE(ArtifactsInput!$N$7+1,6,7.2,8.4,9.6,10.8,12))+IF(Inputs!$B$3&gt;=117,F2303,0))/100)),15)/15,(Skills!S14*(1+((Inputs!$B$35+(ArtifactsInput!$M$7-ArtifactsInput!$M$7)*CHOOSE(ArtifactsInput!$N$7+1,6,7.2,8.4,9.6,10.8,12))+IF(Inputs!$B$3&gt;=117,F2303,0))/100))/Skills!D14))/100),1)*IF(C2296=TRUE,(1+F2296*IF(AND(Inputs!$B$39&lt;&gt;"pvp",Inputs!$B$44&gt;0),(((R2296-1)*(Skills!S19*(1+((Inputs!$B$35+(ArtifactsInput!$M$7-ArtifactsInput!$M$7)*CHOOSE(ArtifactsInput!$N$7+1,6,7.2,8.4,9.6,10.8,12))+IF(Inputs!$B$3&gt;=117,F2303,0))/100))+MIN((Skills!S19*(1+((Inputs!$B$35+(ArtifactsInput!$M$7-ArtifactsInput!$M$7)*CHOOSE(ArtifactsInput!$N$7+1,6,7.2,8.4,9.6,10.8,12))+IF(Inputs!$B$3&gt;=117,F2303,0))/100)),MAX(0,Inputs!$B$44-((R2296-1)*Skills!D19))))/Inputs!$B$44),IF(Inputs!$B$39="pvp",MIN((Skills!S19*(1+((Inputs!$B$35+(ArtifactsInput!$M$7-ArtifactsInput!$M$7)*CHOOSE(ArtifactsInput!$N$7+1,6,7.2,8.4,9.6,10.8,12))+IF(Inputs!$B$3&gt;=117,F2303,0))/100)),15)/15,(Skills!S19*(1+((Inputs!$B$35+(ArtifactsInput!$M$7-ArtifactsInput!$M$7)*CHOOSE(ArtifactsInput!$N$7+1,6,7.2,8.4,9.6,10.8,12))+IF(Inputs!$B$3&gt;=117,F2303,0))/100))/Skills!D19))/100),1)</f>
        <v/>
      </c>
    </row>
    <row r="2308">
      <c r="A2308" t="inlineStr">
        <is>
          <t>Monster Damage Taken Bonus % (Holy Fountain)</t>
        </is>
      </c>
      <c r="B2308">
        <f>IF(Inputs!$B$3&gt;=68,20*IF(Inputs!$B$39="pvp",MIN((15*(1+((Inputs!$B$35+(ArtifactsInput!$M$7-ArtifactsInput!$M$7)*CHOOSE(ArtifactsInput!$N$7+1,6,7.2,8.4,9.6,10.8,12))+IF(Inputs!$B$3&gt;=117,F2303,0))/100)),15)/15,(15*(1+((Inputs!$B$35+(ArtifactsInput!$M$7-ArtifactsInput!$M$7)*CHOOSE(ArtifactsInput!$N$7+1,6,7.2,8.4,9.6,10.8,12))+IF(Inputs!$B$3&gt;=117,F2303,0))/100))/Skills!D10),0)</f>
        <v/>
      </c>
    </row>
    <row r="2309">
      <c r="A2309" t="inlineStr">
        <is>
          <t>Normal Monster Damage Bonus % (Holy Symbol)</t>
        </is>
      </c>
      <c r="B2309">
        <f>IF(C2289=TRUE,F2289*IF(AND(Inputs!$B$39&lt;&gt;"pvp",Inputs!$B$44&gt;0),(((R2289-1)*(Skills!S12*(1+((Inputs!$B$35+(ArtifactsInput!$M$7-ArtifactsInput!$M$7)*CHOOSE(ArtifactsInput!$N$7+1,6,7.2,8.4,9.6,10.8,12))+IF(Inputs!$B$3&gt;=117,F2303,0))/100))+MIN((Skills!S12*(1+((Inputs!$B$35+(ArtifactsInput!$M$7-ArtifactsInput!$M$7)*CHOOSE(ArtifactsInput!$N$7+1,6,7.2,8.4,9.6,10.8,12))+IF(Inputs!$B$3&gt;=117,F2303,0))/100)),MAX(0,Inputs!$B$44-((R2289-1)*Skills!D12))))/Inputs!$B$44),IF(Inputs!$B$39="pvp",MIN((Skills!S12*(1+((Inputs!$B$35+(ArtifactsInput!$M$7-ArtifactsInput!$M$7)*CHOOSE(ArtifactsInput!$N$7+1,6,7.2,8.4,9.6,10.8,12))+IF(Inputs!$B$3&gt;=117,F2303,0))/100)),15)/15,(Skills!S12*(1+((Inputs!$B$35+(ArtifactsInput!$M$7-ArtifactsInput!$M$7)*CHOOSE(ArtifactsInput!$N$7+1,6,7.2,8.4,9.6,10.8,12))+IF(Inputs!$B$3&gt;=117,F2303,0))/100))/Skills!D12)),0)</f>
        <v/>
      </c>
    </row>
    <row r="2310">
      <c r="A2310" t="inlineStr">
        <is>
          <t>Damage % Bonus (Holy Symbol - Damage Boost)</t>
        </is>
      </c>
      <c r="B2310">
        <f>Skills!O12</f>
        <v/>
      </c>
    </row>
    <row r="2311">
      <c r="A2311" t="inlineStr">
        <is>
          <t>Crit Damage % Bonus (Blood of the Divine)</t>
        </is>
      </c>
      <c r="B2311">
        <f>4*IF(C2297=TRUE,F2297,0)</f>
        <v/>
      </c>
    </row>
    <row r="2312">
      <c r="A2312" t="inlineStr">
        <is>
          <t>Attack Speed Bonus %</t>
        </is>
      </c>
      <c r="B2312">
        <f>IF(C2294=TRUE,F2294+(F2298-Calc!F21),0)+IF(Inputs!$B$3&gt;=134,15,0)+((C2305=TRUE)*F2305*IF(AND(Inputs!$B$39&lt;&gt;"pvp",Inputs!$B$44&gt;0),(((R2305-1)*(Skills!S28*(1+((Inputs!$B$35+(ArtifactsInput!$M$7-ArtifactsInput!$M$7)*CHOOSE(ArtifactsInput!$N$7+1,6,7.2,8.4,9.6,10.8,12))+IF(Inputs!$B$3&gt;=117,F2303,0))/100))+MIN((Skills!S28*(1+((Inputs!$B$35+(ArtifactsInput!$M$7-ArtifactsInput!$M$7)*CHOOSE(ArtifactsInput!$N$7+1,6,7.2,8.4,9.6,10.8,12))+IF(Inputs!$B$3&gt;=117,F2303,0))/100)),MAX(0,Inputs!$B$44-((R2305-1)*Skills!D28))))/Inputs!$B$44),IF(Inputs!$B$39="pvp",MIN((Skills!S28*(1+((Inputs!$B$35+(ArtifactsInput!$M$7-ArtifactsInput!$M$7)*CHOOSE(ArtifactsInput!$N$7+1,6,7.2,8.4,9.6,10.8,12))+IF(Inputs!$B$3&gt;=117,F2303,0))/100)),15)/15,(Skills!S28*(1+((Inputs!$B$35+(ArtifactsInput!$M$7-ArtifactsInput!$M$7)*CHOOSE(ArtifactsInput!$N$7+1,6,7.2,8.4,9.6,10.8,12))+IF(Inputs!$B$3&gt;=117,F2303,0))/100))/Skills!D28)))</f>
        <v/>
      </c>
    </row>
    <row r="2313">
      <c r="A2313" t="inlineStr">
        <is>
          <t>Actions Per Second</t>
        </is>
      </c>
      <c r="B2313">
        <f>1+MIN(150,150*(1-(1-Inputs!$B$12/150)*(1-B2312/150)))/100</f>
        <v/>
      </c>
    </row>
    <row r="2314">
      <c r="A2314" t="inlineStr">
        <is>
          <t>Skill + Buff Cast Rate</t>
        </is>
      </c>
      <c r="B2314">
        <f>IF(AND(Inputs!$B$39&lt;&gt;"pvp",Inputs!$B$44&gt;0),SUMPRODUCT((Skills!E2:E28=TRUE)*(C2279:C2305=TRUE)*R2279:R2305)/Inputs!$B$44,SUMPRODUCT((Skills!E2:E28=TRUE)*(C2279:C2305=TRUE)*Q2279:Q2305))</f>
        <v/>
      </c>
    </row>
    <row r="2315">
      <c r="A2315" t="inlineStr">
        <is>
          <t>Big Bang Casts Per Second</t>
        </is>
      </c>
      <c r="B2315">
        <f>MAX(0,B2313-B2314)</f>
        <v/>
      </c>
    </row>
    <row r="2316">
      <c r="A2316" t="inlineStr">
        <is>
          <t>Defense % Bonus (Divine Protection)</t>
        </is>
      </c>
      <c r="B2316">
        <f>IF(C2290=TRUE,F2290*IF(AND(Inputs!$B$39&lt;&gt;"pvp",Inputs!$B$44&gt;0),(((R2290-1)*(Skills!S13*(1+((Inputs!$B$35+(ArtifactsInput!$M$7-ArtifactsInput!$M$7)*CHOOSE(ArtifactsInput!$N$7+1,6,7.2,8.4,9.6,10.8,12))+IF(Inputs!$B$3&gt;=117,F2303,0))/100))+MIN((Skills!S13*(1+((Inputs!$B$35+(ArtifactsInput!$M$7-ArtifactsInput!$M$7)*CHOOSE(ArtifactsInput!$N$7+1,6,7.2,8.4,9.6,10.8,12))+IF(Inputs!$B$3&gt;=117,F2303,0))/100)),MAX(0,Inputs!$B$44-((R2290-1)*Skills!D13))))/Inputs!$B$44),IF(Inputs!$B$39="pvp",MIN((Skills!S13*(1+((Inputs!$B$35+(ArtifactsInput!$M$7-ArtifactsInput!$M$7)*CHOOSE(ArtifactsInput!$N$7+1,6,7.2,8.4,9.6,10.8,12))+IF(Inputs!$B$3&gt;=117,F2303,0))/100)),15)/15,(Skills!S13*(1+((Inputs!$B$35+(ArtifactsInput!$M$7-ArtifactsInput!$M$7)*CHOOSE(ArtifactsInput!$N$7+1,6,7.2,8.4,9.6,10.8,12))+IF(Inputs!$B$3&gt;=117,F2303,0))/100))/Skills!D13)),0)</f>
        <v/>
      </c>
    </row>
    <row r="2317">
      <c r="A2317" t="inlineStr">
        <is>
          <t>Buff-Casting Startup Delay (s, fixed-duration only)</t>
        </is>
      </c>
      <c r="B2317">
        <f>IF(AND(Inputs!$B$39&lt;&gt;"pvp",Inputs!$B$44&gt;0),SUMPRODUCT((Skills!S2:S28&gt;0)*(Skills!E2:E28=TRUE)*(C2279:C2305=TRUE))/B2313,0)</f>
        <v/>
      </c>
    </row>
    <row r="2318">
      <c r="A2318" t="inlineStr">
        <is>
          <t>Boss-Only Total DPS (this block's swept value)</t>
        </is>
      </c>
      <c r="B2318">
        <f>SUM(S2279:S2305)</f>
        <v/>
      </c>
    </row>
    <row r="2319">
      <c r="A2319" t="inlineStr">
        <is>
          <t>Normal-Only Total DPS (this block's swept value)</t>
        </is>
      </c>
      <c r="B2319">
        <f>SUM(U2279:U2305)</f>
        <v/>
      </c>
    </row>
    <row r="2320">
      <c r="A2320" s="6" t="inlineStr">
        <is>
          <t>TOTAL DPS</t>
        </is>
      </c>
      <c r="B2320" s="6">
        <f>SUM(O2279:O2305)</f>
        <v/>
      </c>
    </row>
    <row r="2322">
      <c r="A2322" s="6" t="inlineStr">
        <is>
          <t>Stat: Ancient Text Piece (Equip)</t>
        </is>
      </c>
    </row>
    <row r="2323">
      <c r="A2323" s="5" t="inlineStr">
        <is>
          <t>Key</t>
        </is>
      </c>
      <c r="B2323" s="5" t="inlineStr">
        <is>
          <t>Name</t>
        </is>
      </c>
      <c r="C2323" s="5" t="inlineStr">
        <is>
          <t>Unlocked</t>
        </is>
      </c>
      <c r="D2323" s="5" t="inlineStr">
        <is>
          <t>InputLevel</t>
        </is>
      </c>
      <c r="E2323" s="5" t="inlineStr">
        <is>
          <t>Factor</t>
        </is>
      </c>
      <c r="F2323" s="5" t="inlineStr">
        <is>
          <t>CoefficientPercent</t>
        </is>
      </c>
      <c r="G2323" s="5" t="inlineStr">
        <is>
          <t>EffectiveHits</t>
        </is>
      </c>
      <c r="H2323" s="5" t="inlineStr">
        <is>
          <t>ProcProbability</t>
        </is>
      </c>
      <c r="I2323" s="5" t="inlineStr">
        <is>
          <t>MapleHeroMultiplier</t>
        </is>
      </c>
      <c r="J2323" s="5" t="inlineStr">
        <is>
          <t>BaseDamage</t>
        </is>
      </c>
      <c r="K2323" s="5" t="inlineStr">
        <is>
          <t>BaseHitDamage</t>
        </is>
      </c>
      <c r="L2323" s="5" t="inlineStr">
        <is>
          <t>NonCritAvg</t>
        </is>
      </c>
      <c r="M2323" s="5" t="inlineStr">
        <is>
          <t>CritAvg</t>
        </is>
      </c>
      <c r="N2323" s="5" t="inlineStr">
        <is>
          <t>ExpectedDamage(perHit)</t>
        </is>
      </c>
      <c r="O2323" s="5" t="inlineStr">
        <is>
          <t>DPS</t>
        </is>
      </c>
      <c r="P2323" s="5" t="inlineStr">
        <is>
          <t>% of Total</t>
        </is>
      </c>
      <c r="R2323" t="inlineStr">
        <is>
          <t>helpers</t>
        </is>
      </c>
    </row>
    <row r="2324">
      <c r="A2324">
        <f>Skills!A2</f>
        <v/>
      </c>
      <c r="B2324">
        <f>Skills!B2</f>
        <v/>
      </c>
      <c r="C2324">
        <f>Inputs!$B$3&gt;=100</f>
        <v/>
      </c>
      <c r="D2324" t="inlineStr"/>
      <c r="E2324" t="inlineStr"/>
      <c r="F2324">
        <f>T2326+Skills!N2</f>
        <v/>
      </c>
      <c r="G2324">
        <f>Calc!G2</f>
        <v/>
      </c>
      <c r="H2324">
        <f>Calc!H2</f>
        <v/>
      </c>
      <c r="I2324">
        <f>IF(Skills!T2&lt;&gt;"",1+(Skills!T2/10)*($Z$3/1000)/100,1)</f>
        <v/>
      </c>
      <c r="J2324">
        <f>((Inputs!$B$6*(1+Inputs!$B$7/100))+(((Inputs!$B$13*(1+Inputs!$B$14/100))-(Inputs!$B$13*(1+Inputs!$B$14/100)))+0.25*(Inputs!$B$15-Inputs!$B$15))*(1+Inputs!$B$7/100))*(F2324/100)</f>
        <v/>
      </c>
      <c r="K2324">
        <f>J2324*(1+(((Inputs!$B$13+IF(Inputs!$B$3&gt;=35,(10*INDEX(FactorTable!$B$2:$Y$301,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2="TRIUMPH_FEATHER",IF(C2338=TRUE,F2338,0),0)/100)*(1+IF(C2349=TRUE,F2349,0)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2324)</f>
        <v/>
      </c>
      <c r="L2324">
        <f>K2324*(MIN(Inputs!$B$23+(F2344-Calc!F22),(Inputs!$B$24+IF(ArtifactsInput!$M$15,CHOOSE(ArtifactsInput!$N$15+1,25,30,35,40,45,50)/100*(Inputs!$B$12-Inputs!$B$12),0)))/100+(Inputs!$B$24+IF(ArtifactsInput!$M$15,CHOOSE(ArtifactsInput!$N$15+1,25,30,35,40,45,50)/100*(Inputs!$B$12-Inputs!$B$12),0))/100)/2</f>
        <v/>
      </c>
      <c r="M2324">
        <f>L2324*(1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4">
        <f>L2324*(1-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(1-Summary!$B$11)*S2324+Summary!$B$11*U2324</f>
        <v/>
      </c>
      <c r="P2324">
        <f>IF(B2365=0,0,O2324/B2365)</f>
        <v/>
      </c>
      <c r="Q2324">
        <f>IFERROR(1/(IF(Inputs!$B$39="pvp",15,MAX(0.1,Skills!D2-IF(Skills!E2=TRUE,Inputs!$B$33,0)))*(1-IF(AND(ArtifactsInput!$M$27,Inputs!$B$4="Chapter Hunt"),CHOOSE(ArtifactsInput!$N$27+1,20,24,28,32,36,40),0)/100)),0)</f>
        <v/>
      </c>
      <c r="R2324" t="n">
        <v>0</v>
      </c>
      <c r="S2324">
        <f>IF(C2324,(Skills!F2*N2324*B2360)*IF(Inputs!$B$39="pvp",1,1+(Inputs!$B$21+Skills!O2+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2324*(1-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24">
        <f>MAX(0,(Inputs!$B$3-100)*3)+Inputs!$B$29+Inputs!$B$30</f>
        <v/>
      </c>
      <c r="U2324">
        <f>IF(C2324,(Skills!F2*N2324*B2360)*IF(Inputs!$B$39="pvp",1,(1+(Inputs!$B$22+Skills!P2+B2354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Skills!A3</f>
        <v/>
      </c>
      <c r="B2325">
        <f>Skills!B3</f>
        <v/>
      </c>
      <c r="C2325">
        <f>Inputs!$B$3&gt;=15</f>
        <v/>
      </c>
      <c r="D2325">
        <f>IF(Skills!C3=1,60+Inputs!$B$26+Inputs!$B$30,IF(Skills!C3=2,90+Inputs!$B$27+Inputs!$B$30,IF(Skills!C3=3,120+Inputs!$B$28+Inputs!$B$30,MAX(0,(Inputs!$B$3-100)*3)+Inputs!$B$29+Inputs!$B$30)))</f>
        <v/>
      </c>
      <c r="E2325">
        <f>INDEX(FactorTable!$B$2:$Y$301, MATCH(ROUND(MIN(300,MAX(1,D2325)),0), FactorTable!$A$2:$A$301,0), Skills!L3+1)</f>
        <v/>
      </c>
      <c r="F2325">
        <f>IF(Skills!M3=TRUE,(Skills!K3/10)*(E2325/1000),Skills!K3/10)+Skills!N3</f>
        <v/>
      </c>
      <c r="G2325">
        <f>Calc!G3</f>
        <v/>
      </c>
      <c r="H2325">
        <f>Calc!H3</f>
        <v/>
      </c>
      <c r="I2325">
        <f>IF(Skills!T3&lt;&gt;"",1+(Skills!T3/10)*($Z$3/1000)/100,1)</f>
        <v/>
      </c>
      <c r="J2325" t="inlineStr"/>
      <c r="K2325" t="inlineStr"/>
      <c r="L2325" t="inlineStr"/>
      <c r="M2325" t="inlineStr"/>
      <c r="N2325" t="inlineStr"/>
      <c r="O2325">
        <f>(1-Summary!$B$11)*S2325+Summary!$B$11*U2325</f>
        <v/>
      </c>
      <c r="P2325">
        <f>IF(B2365=0,0,O2325/B2365)</f>
        <v/>
      </c>
      <c r="Q2325">
        <f>IFERROR(1/(IF(Inputs!$B$39="pvp",15,MAX(0.1,Skills!D3-IF(Skills!E3=TRUE,Inputs!$B$33,0)))*(1-IF(AND(ArtifactsInput!$M$27,Inputs!$B$4="Chapter Hunt"),CHOOSE(ArtifactsInput!$N$27+1,20,24,28,32,36,40),0)/100)),0)</f>
        <v/>
      </c>
      <c r="R2325">
        <f>IF(AND(Inputs!$B$39&lt;&gt;"pvp",Inputs!$B$44&gt;0),IF(Inputs!$B$44&lt;=0,0,(INT(Inputs!$B$44/(IF(Inputs!$B$39="pvp",15,MAX(0.1,Skills!D3-IF(Skills!E3=TRUE,Inputs!$B$33,0)))*(1-IF(AND(ArtifactsInput!$M$27,Inputs!$B$4="Chapter Hunt"),CHOOSE(ArtifactsInput!$N$27+1,20,24,28,32,36,40),0)/100)))+1)),0)</f>
        <v/>
      </c>
      <c r="S2325" t="n">
        <v>0</v>
      </c>
      <c r="T2325">
        <f>INDEX(FactorTable!$B$2:$Y$301, MATCH(ROUND(MIN(300,MAX(1,T2324)),0), FactorTable!$A$2:$A$301,0), 22)</f>
        <v/>
      </c>
      <c r="U2325" t="n">
        <v>0</v>
      </c>
    </row>
    <row r="2326">
      <c r="A2326">
        <f>Skills!A4</f>
        <v/>
      </c>
      <c r="B2326">
        <f>Skills!B4</f>
        <v/>
      </c>
      <c r="C2326">
        <f>Inputs!$B$3&gt;=38</f>
        <v/>
      </c>
      <c r="D2326">
        <f>IF(Skills!C4=1,60+Inputs!$B$26+Inputs!$B$30,IF(Skills!C4=2,90+Inputs!$B$27+Inputs!$B$30,IF(Skills!C4=3,120+Inputs!$B$28+Inputs!$B$30,MAX(0,(Inputs!$B$3-100)*3)+Inputs!$B$29+Inputs!$B$30)))</f>
        <v/>
      </c>
      <c r="E2326">
        <f>INDEX(FactorTable!$B$2:$Y$301, MATCH(ROUND(MIN(300,MAX(1,D2326)),0), FactorTable!$A$2:$A$301,0), Skills!L4+1)</f>
        <v/>
      </c>
      <c r="F2326">
        <f>IF(Skills!M4=TRUE,(Skills!K4/10)*(E2326/1000),Skills!K4/10)+Skills!N4</f>
        <v/>
      </c>
      <c r="G2326">
        <f>Calc!G4</f>
        <v/>
      </c>
      <c r="H2326">
        <f>Calc!H4</f>
        <v/>
      </c>
      <c r="I2326">
        <f>IF(Skills!T4&lt;&gt;"",1+(Skills!T4/10)*($Z$3/1000)/100,1)</f>
        <v/>
      </c>
      <c r="J2326" t="inlineStr"/>
      <c r="K2326" t="inlineStr"/>
      <c r="L2326" t="inlineStr"/>
      <c r="M2326" t="inlineStr"/>
      <c r="N2326" t="inlineStr"/>
      <c r="O2326">
        <f>(1-Summary!$B$11)*S2326+Summary!$B$11*U2326</f>
        <v/>
      </c>
      <c r="P2326">
        <f>IF(B2365=0,0,O2326/B2365)</f>
        <v/>
      </c>
      <c r="Q2326">
        <f>IFERROR(1/(IF(Inputs!$B$39="pvp",15,MAX(0.1,Skills!D4-IF(Skills!E4=TRUE,Inputs!$B$33,0)))*(1-IF(AND(ArtifactsInput!$M$27,Inputs!$B$4="Chapter Hunt"),CHOOSE(ArtifactsInput!$N$27+1,20,24,28,32,36,40),0)/100)),0)</f>
        <v/>
      </c>
      <c r="R2326">
        <f>IF(AND(Inputs!$B$39&lt;&gt;"pvp",Inputs!$B$44&gt;0),IF(Inputs!$B$44&lt;=0,0,(INT(Inputs!$B$44/(IF(Inputs!$B$39="pvp",15,MAX(0.1,Skills!D4-IF(Skills!E4=TRUE,Inputs!$B$33,0)))*(1-IF(AND(ArtifactsInput!$M$27,Inputs!$B$4="Chapter Hunt"),CHOOSE(ArtifactsInput!$N$27+1,20,24,28,32,36,40),0)/100)))+1)),0)</f>
        <v/>
      </c>
      <c r="S2326" t="n">
        <v>0</v>
      </c>
      <c r="T2326">
        <f>290*T2325/1000</f>
        <v/>
      </c>
      <c r="U2326" t="n">
        <v>0</v>
      </c>
    </row>
    <row r="2327">
      <c r="A2327">
        <f>Skills!A5</f>
        <v/>
      </c>
      <c r="B2327">
        <f>Skills!B5</f>
        <v/>
      </c>
      <c r="C2327">
        <f>Inputs!$B$3&gt;=40</f>
        <v/>
      </c>
      <c r="D2327">
        <f>IF(Skills!C5=1,60+Inputs!$B$26+Inputs!$B$30,IF(Skills!C5=2,90+Inputs!$B$27+Inputs!$B$30,IF(Skills!C5=3,120+Inputs!$B$28+Inputs!$B$30,MAX(0,(Inputs!$B$3-100)*3)+Inputs!$B$29+Inputs!$B$30)))</f>
        <v/>
      </c>
      <c r="E2327">
        <f>INDEX(FactorTable!$B$2:$Y$301, MATCH(ROUND(MIN(300,MAX(1,D2327)),0), FactorTable!$A$2:$A$301,0), Skills!L5+1)</f>
        <v/>
      </c>
      <c r="F2327">
        <f>IF(Skills!M5=TRUE,(Skills!K5/10)*(E2327/1000),Skills!K5/10)+Skills!N5</f>
        <v/>
      </c>
      <c r="G2327">
        <f>Calc!G5</f>
        <v/>
      </c>
      <c r="H2327">
        <f>Calc!H5</f>
        <v/>
      </c>
      <c r="I2327">
        <f>IF(Skills!T5&lt;&gt;"",1+(Skills!T5/10)*($Z$3/1000)/100,1)</f>
        <v/>
      </c>
      <c r="J2327" t="inlineStr"/>
      <c r="K2327" t="inlineStr"/>
      <c r="L2327" t="inlineStr"/>
      <c r="M2327" t="inlineStr"/>
      <c r="N2327" t="inlineStr"/>
      <c r="O2327">
        <f>(1-Summary!$B$11)*S2327+Summary!$B$11*U2327</f>
        <v/>
      </c>
      <c r="P2327">
        <f>IF(B2365=0,0,O2327/B2365)</f>
        <v/>
      </c>
      <c r="Q2327">
        <f>IFERROR(1/(IF(Inputs!$B$39="pvp",15,MAX(0.1,Skills!D5-IF(Skills!E5=TRUE,Inputs!$B$33,0)))*(1-IF(AND(ArtifactsInput!$M$27,Inputs!$B$4="Chapter Hunt"),CHOOSE(ArtifactsInput!$N$27+1,20,24,28,32,36,40),0)/100)),0)</f>
        <v/>
      </c>
      <c r="R2327">
        <f>IF(AND(Inputs!$B$39&lt;&gt;"pvp",Inputs!$B$44&gt;0),IF(Inputs!$B$44&lt;=0,0,(INT(Inputs!$B$44/(IF(Inputs!$B$39="pvp",15,MAX(0.1,Skills!D5-IF(Skills!E5=TRUE,Inputs!$B$33,0)))*(1-IF(AND(ArtifactsInput!$M$27,Inputs!$B$4="Chapter Hunt"),CHOOSE(ArtifactsInput!$N$27+1,20,24,28,32,36,40),0)/100)))+1)),0)</f>
        <v/>
      </c>
      <c r="S2327" t="n">
        <v>0</v>
      </c>
      <c r="U2327" t="n">
        <v>0</v>
      </c>
    </row>
    <row r="2328">
      <c r="A2328">
        <f>Skills!A6</f>
        <v/>
      </c>
      <c r="B2328">
        <f>Skills!B6</f>
        <v/>
      </c>
      <c r="C2328">
        <f>Inputs!$B$3&gt;=103</f>
        <v/>
      </c>
      <c r="D2328">
        <f>IF(Skills!C6=1,60+Inputs!$B$26+Inputs!$B$30,IF(Skills!C6=2,90+Inputs!$B$27+Inputs!$B$30,IF(Skills!C6=3,120+Inputs!$B$28+Inputs!$B$30,MAX(0,(Inputs!$B$3-100)*3)+Inputs!$B$29+Inputs!$B$30)))</f>
        <v/>
      </c>
      <c r="E2328">
        <f>INDEX(FactorTable!$B$2:$Y$301, MATCH(ROUND(MIN(300,MAX(1,D2328)),0), FactorTable!$A$2:$A$301,0), Skills!L6+1)</f>
        <v/>
      </c>
      <c r="F2328">
        <f>IF(Skills!M6=TRUE,(Skills!K6/10)*(E2328/1000),Skills!K6/10)+Skills!N6</f>
        <v/>
      </c>
      <c r="G2328">
        <f>Calc!G6</f>
        <v/>
      </c>
      <c r="H2328">
        <f>Calc!H6</f>
        <v/>
      </c>
      <c r="I2328">
        <f>IF(Skills!T6&lt;&gt;"",1+(Skills!T6/10)*($Z$3/1000)/100,1)</f>
        <v/>
      </c>
      <c r="J2328">
        <f>((Inputs!$B$6*(1+Inputs!$B$7/100))+(((Inputs!$B$13*(1+Inputs!$B$14/100))-(Inputs!$B$13*(1+Inputs!$B$14/100)))+0.25*(Inputs!$B$15-Inputs!$B$15))*(1+Inputs!$B$7/100))*(F2328/100)</f>
        <v/>
      </c>
      <c r="K2328">
        <f>J2328*(1+(((Inputs!$B$13+IF(Inputs!$B$3&gt;=35,(10*INDEX(FactorTable!$B$2:$Y$301,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6="TRIUMPH_FEATHER",IF(C2338=TRUE,F2338,0),0)/100)*(1+IF(C2349=TRUE,F2349,0)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2328)</f>
        <v/>
      </c>
      <c r="L2328">
        <f>K2328*(MIN(Inputs!$B$23+(F2344-Calc!F22),(Inputs!$B$24+IF(ArtifactsInput!$M$15,CHOOSE(ArtifactsInput!$N$15+1,25,30,35,40,45,50)/100*(Inputs!$B$12-Inputs!$B$12),0)))/100+(Inputs!$B$24+IF(ArtifactsInput!$M$15,CHOOSE(ArtifactsInput!$N$15+1,25,30,35,40,45,50)/100*(Inputs!$B$12-Inputs!$B$12),0))/100)/2</f>
        <v/>
      </c>
      <c r="M2328">
        <f>L2328*(1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8">
        <f>L2328*(1-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(1-Summary!$B$11)*S2328+Summary!$B$11*U2328</f>
        <v/>
      </c>
      <c r="P2328">
        <f>IF(B2365=0,0,O2328/B2365)</f>
        <v/>
      </c>
      <c r="Q2328">
        <f>IFERROR(1/(IF(Inputs!$B$39="pvp",15,MAX(0.1,Skills!D6-IF(Skills!E6=TRUE,Inputs!$B$33,0)))*(1-IF(AND(ArtifactsInput!$M$27,Inputs!$B$4="Chapter Hunt"),CHOOSE(ArtifactsInput!$N$27+1,20,24,28,32,36,40),0)/100)),0)</f>
        <v/>
      </c>
      <c r="R2328">
        <f>IF(AND(Inputs!$B$39&lt;&gt;"pvp",Inputs!$B$44&gt;0),IF(MAX(0,Inputs!$B$44-B2362)&lt;=0,0,(INT(MAX(0,Inputs!$B$44-B2362)/(IF(Inputs!$B$39="pvp",15,MAX(0.1,Skills!D6-IF(Skills!E6=TRUE,Inputs!$B$33,0)))*(1-IF(AND(ArtifactsInput!$M$27,Inputs!$B$4="Chapter Hunt"),CHOOSE(ArtifactsInput!$N$27+1,20,24,28,32,36,40),0)/100)))+1)),0)</f>
        <v/>
      </c>
      <c r="S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$21+Skills!O6+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2328*(1-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$22+Skills!P6+B2354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Skills!A7</f>
        <v/>
      </c>
      <c r="B2329">
        <f>Skills!B7</f>
        <v/>
      </c>
      <c r="C2329">
        <f>Inputs!$B$3&gt;=122</f>
        <v/>
      </c>
      <c r="D2329">
        <f>IF(Skills!C7=1,60+Inputs!$B$26+Inputs!$B$30,IF(Skills!C7=2,90+Inputs!$B$27+Inputs!$B$30,IF(Skills!C7=3,120+Inputs!$B$28+Inputs!$B$30,MAX(0,(Inputs!$B$3-100)*3)+Inputs!$B$29+Inputs!$B$30)))</f>
        <v/>
      </c>
      <c r="E2329">
        <f>INDEX(FactorTable!$B$2:$Y$301, MATCH(ROUND(MIN(300,MAX(1,D2329)),0), FactorTable!$A$2:$A$301,0), Skills!L7+1)</f>
        <v/>
      </c>
      <c r="F2329">
        <f>IF(Skills!M7=TRUE,(Skills!K7/10)*(E2329/1000),Skills!K7/10)+Skills!N7</f>
        <v/>
      </c>
      <c r="G2329">
        <f>Calc!G7</f>
        <v/>
      </c>
      <c r="H2329">
        <f>Calc!H7</f>
        <v/>
      </c>
      <c r="I2329">
        <f>IF(Skills!T7&lt;&gt;"",1+(Skills!T7/10)*($Z$3/1000)/100,1)</f>
        <v/>
      </c>
      <c r="J2329">
        <f>((Inputs!$B$6*(1+Inputs!$B$7/100))+(((Inputs!$B$13*(1+Inputs!$B$14/100))-(Inputs!$B$13*(1+Inputs!$B$14/100)))+0.25*(Inputs!$B$15-Inputs!$B$15))*(1+Inputs!$B$7/100))*(F2329/100)</f>
        <v/>
      </c>
      <c r="K2329">
        <f>J2329*(1+(((Inputs!$B$13+IF(Inputs!$B$3&gt;=35,(10*INDEX(FactorTable!$B$2:$Y$301,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7="TRIUMPH_FEATHER",IF(C2338=TRUE,F2338,0),0)/100)*(1+IF(C2349=TRUE,F2349,0)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2329)</f>
        <v/>
      </c>
      <c r="L2329">
        <f>K2329*(MIN(Inputs!$B$23+(F2344-Calc!F22),(Inputs!$B$24+IF(ArtifactsInput!$M$15,CHOOSE(ArtifactsInput!$N$15+1,25,30,35,40,45,50)/100*(Inputs!$B$12-Inputs!$B$12),0)))/100+(Inputs!$B$24+IF(ArtifactsInput!$M$15,CHOOSE(ArtifactsInput!$N$15+1,25,30,35,40,45,50)/100*(Inputs!$B$12-Inputs!$B$12),0))/100)/2</f>
        <v/>
      </c>
      <c r="M2329">
        <f>L2329*(1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9">
        <f>L2329*(1-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(1-Summary!$B$11)*S2329+Summary!$B$11*U2329</f>
        <v/>
      </c>
      <c r="P2329">
        <f>IF(B2365=0,0,O2329/B2365)</f>
        <v/>
      </c>
      <c r="Q2329">
        <f>IFERROR(1/(IF(Inputs!$B$39="pvp",15,MAX(0.1,Skills!D7-IF(Skills!E6=TRUE,Inputs!$B$33,0)))*(1-IF(AND(ArtifactsInput!$M$27,Inputs!$B$4="Chapter Hunt"),CHOOSE(ArtifactsInput!$N$27+1,20,24,28,32,36,40),0)/100)),0)</f>
        <v/>
      </c>
      <c r="R2329">
        <f>IF(AND(Inputs!$B$39&lt;&gt;"pvp",Inputs!$B$44&gt;0),IF(MAX(0,Inputs!$B$44-B2362)&lt;=0,0,(INT(MAX(0,Inputs!$B$44-B2362)/(IF(Inputs!$B$39="pvp",15,MAX(0.1,Skills!D7-IF(Skills!E6=TRUE,Inputs!$B$33,0)))*(1-IF(AND(ArtifactsInput!$M$27,Inputs!$B$4="Chapter Hunt"),CHOOSE(ArtifactsInput!$N$27+1,20,24,28,32,36,40),0)/100)))+1)),0)</f>
        <v/>
      </c>
      <c r="S2329">
        <f>IF(C2329,H2329*N2329*IF(AND(Inputs!$B$39&lt;&gt;"pvp",Inputs!$B$44&gt;0),((Skills!F7*((R2329-1)*IF(Skills!G7&gt;0,Skills!H7/Skills!G7,1)+IF(Skills!G7&gt;0,MIN(Skills!H7,MAX(0,MAX(0,Inputs!$B$44-B2362)-((R2329-1)*(IF(Inputs!$B$39="pvp",15,MAX(0.1,Skills!D7-IF(Skills!E6=TRUE,Inputs!$B$33,0)))*(1-IF(AND(ArtifactsInput!$M$27,Inputs!$B$4="Chapter Hunt"),CHOOSE(ArtifactsInput!$N$27+1,20,24,28,32,36,40),0)/100)))))/Skills!G7,1)))/Inputs!$B$44),G2329*Q2329)*IF(Inputs!$B$39="pvp",1,1+(Inputs!$B$21+Skills!O7+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2329*(1-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t="n">
        <v>0</v>
      </c>
    </row>
    <row r="2330">
      <c r="A2330">
        <f>Skills!A8</f>
        <v/>
      </c>
      <c r="B2330">
        <f>Skills!B8</f>
        <v/>
      </c>
      <c r="C2330">
        <f>Inputs!$B$3&gt;=105</f>
        <v/>
      </c>
      <c r="D2330">
        <f>IF(Skills!C8=1,60+Inputs!$B$26+Inputs!$B$30,IF(Skills!C8=2,90+Inputs!$B$27+Inputs!$B$30,IF(Skills!C8=3,120+Inputs!$B$28+Inputs!$B$30,MAX(0,(Inputs!$B$3-100)*3)+Inputs!$B$29+Inputs!$B$30)))</f>
        <v/>
      </c>
      <c r="E2330">
        <f>INDEX(FactorTable!$B$2:$Y$301, MATCH(ROUND(MIN(300,MAX(1,D2330)),0), FactorTable!$A$2:$A$301,0), Skills!L8+1)</f>
        <v/>
      </c>
      <c r="F2330">
        <f>IF(Skills!M8=TRUE,(Skills!K8/10)*(E2330/1000),Skills!K8/10)+Skills!N8</f>
        <v/>
      </c>
      <c r="G2330">
        <f>Calc!G8</f>
        <v/>
      </c>
      <c r="H2330">
        <f>Calc!H8</f>
        <v/>
      </c>
      <c r="I2330">
        <f>IF(Skills!T8&lt;&gt;"",1+(Skills!T8/10)*($Z$3/1000)/100,1)</f>
        <v/>
      </c>
      <c r="J2330">
        <f>((Inputs!$B$6*(1+Inputs!$B$7/100))+(((Inputs!$B$13*(1+Inputs!$B$14/100))-(Inputs!$B$13*(1+Inputs!$B$14/100)))+0.25*(Inputs!$B$15-Inputs!$B$15))*(1+Inputs!$B$7/100))*(F2330/100)</f>
        <v/>
      </c>
      <c r="K2330">
        <f>J2330*(1+(((Inputs!$B$13+IF(Inputs!$B$3&gt;=35,(10*INDEX(FactorTable!$B$2:$Y$301,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8="TRIUMPH_FEATHER",IF(C2338=TRUE,F2338,0),0)/100)*(1+IF(C2349=TRUE,F2349,0)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2330)</f>
        <v/>
      </c>
      <c r="L2330">
        <f>K2330*(MIN(Inputs!$B$23+(F2344-Calc!F22),(Inputs!$B$24+IF(ArtifactsInput!$M$15,CHOOSE(ArtifactsInput!$N$15+1,25,30,35,40,45,50)/100*(Inputs!$B$12-Inputs!$B$12),0)))/100+(Inputs!$B$24+IF(ArtifactsInput!$M$15,CHOOSE(ArtifactsInput!$N$15+1,25,30,35,40,45,50)/100*(Inputs!$B$12-Inputs!$B$12),0))/100)/2</f>
        <v/>
      </c>
      <c r="M2330">
        <f>L2330*(1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0">
        <f>L2330*(1-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(1-Summary!$B$11)*S2330+Summary!$B$11*U2330</f>
        <v/>
      </c>
      <c r="P2330">
        <f>IF(B2365=0,0,O2330/B2365)</f>
        <v/>
      </c>
      <c r="Q2330">
        <f>IFERROR(1/(IF(Inputs!$B$39="pvp",15,MAX(0.1,Skills!D8-IF(Skills!E8=TRUE,Inputs!$B$33,0)))*(1-IF(AND(ArtifactsInput!$M$27,Inputs!$B$4="Chapter Hunt"),CHOOSE(ArtifactsInput!$N$27+1,20,24,28,32,36,40),0)/100)),0)</f>
        <v/>
      </c>
      <c r="R2330">
        <f>IF(AND(Inputs!$B$39&lt;&gt;"pvp",Inputs!$B$44&gt;0),IF(MAX(0,Inputs!$B$44-B2362)&lt;=0,0,(INT(MAX(0,Inputs!$B$44-B2362)/(IF(Inputs!$B$39="pvp",15,MAX(0.1,Skills!D8-IF(Skills!E8=TRUE,Inputs!$B$33,0)))*(1-IF(AND(ArtifactsInput!$M$27,Inputs!$B$4="Chapter Hunt"),CHOOSE(ArtifactsInput!$N$27+1,20,24,28,32,36,40),0)/100)))+1)),0)</f>
        <v/>
      </c>
      <c r="S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$21+Skills!O8+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2330*(1-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$22+Skills!P8+B2354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Skills!A9</f>
        <v/>
      </c>
      <c r="B2331">
        <f>Skills!B9</f>
        <v/>
      </c>
      <c r="C2331">
        <f>Inputs!$B$3&gt;=115</f>
        <v/>
      </c>
      <c r="D2331">
        <f>IF(Skills!C9=1,60+Inputs!$B$26+Inputs!$B$30,IF(Skills!C9=2,90+Inputs!$B$27+Inputs!$B$30,IF(Skills!C9=3,120+Inputs!$B$28+Inputs!$B$30,MAX(0,(Inputs!$B$3-100)*3)+Inputs!$B$29+Inputs!$B$30)))</f>
        <v/>
      </c>
      <c r="E2331">
        <f>INDEX(FactorTable!$B$2:$Y$301, MATCH(ROUND(MIN(300,MAX(1,D2331)),0), FactorTable!$A$2:$A$301,0), Skills!L9+1)</f>
        <v/>
      </c>
      <c r="F2331">
        <f>IF(Skills!M9=TRUE,(Skills!K9/10)*(E2331/1000),Skills!K9/10)+Skills!N9</f>
        <v/>
      </c>
      <c r="G2331">
        <f>Calc!G9</f>
        <v/>
      </c>
      <c r="H2331">
        <f>Calc!H9</f>
        <v/>
      </c>
      <c r="I2331">
        <f>IF(Skills!T9&lt;&gt;"",1+(Skills!T9/10)*($Z$3/1000)/100,1)</f>
        <v/>
      </c>
      <c r="J2331">
        <f>((Inputs!$B$6*(1+Inputs!$B$7/100))+(((Inputs!$B$13*(1+Inputs!$B$14/100))-(Inputs!$B$13*(1+Inputs!$B$14/100)))+0.25*(Inputs!$B$15-Inputs!$B$15))*(1+Inputs!$B$7/100))*(F2331/100)</f>
        <v/>
      </c>
      <c r="K2331">
        <f>J2331*(1+(((Inputs!$B$13+IF(Inputs!$B$3&gt;=35,(10*INDEX(FactorTable!$B$2:$Y$301,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9="TRIUMPH_FEATHER",IF(C2338=TRUE,F2338,0),0)/100)*(1+IF(C2349=TRUE,F2349,0)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2331)</f>
        <v/>
      </c>
      <c r="L2331">
        <f>K2331*(MIN(Inputs!$B$23+(F2344-Calc!F22),(Inputs!$B$24+IF(ArtifactsInput!$M$15,CHOOSE(ArtifactsInput!$N$15+1,25,30,35,40,45,50)/100*(Inputs!$B$12-Inputs!$B$12),0)))/100+(Inputs!$B$24+IF(ArtifactsInput!$M$15,CHOOSE(ArtifactsInput!$N$15+1,25,30,35,40,45,50)/100*(Inputs!$B$12-Inputs!$B$12),0))/100)/2</f>
        <v/>
      </c>
      <c r="M2331">
        <f>L2331*(1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1">
        <f>L2331*(1-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(1-Summary!$B$11)*S2331+Summary!$B$11*U2331</f>
        <v/>
      </c>
      <c r="P2331">
        <f>IF(B2365=0,0,O2331/B2365)</f>
        <v/>
      </c>
      <c r="Q2331">
        <f>IFERROR(1/(IF(Inputs!$B$39="pvp",15,MAX(0.1,Skills!D9-IF(Skills!E9=TRUE,Inputs!$B$33,0)))*(1-IF(AND(ArtifactsInput!$M$27,Inputs!$B$4="Chapter Hunt"),CHOOSE(ArtifactsInput!$N$27+1,20,24,28,32,36,40),0)/100)),0)</f>
        <v/>
      </c>
      <c r="R2331">
        <f>IF(AND(Inputs!$B$39&lt;&gt;"pvp",Inputs!$B$44&gt;0),IF(MAX(0,Inputs!$B$44-B2362)&lt;=0,0,(INT(MAX(0,Inputs!$B$44-B2362)/(IF(Inputs!$B$39="pvp",15,MAX(0.1,Skills!D9-IF(Skills!E9=TRUE,Inputs!$B$33,0)))*(1-IF(AND(ArtifactsInput!$M$27,Inputs!$B$4="Chapter Hunt"),CHOOSE(ArtifactsInput!$N$27+1,20,24,28,32,36,40),0)/100)))+1)),0)</f>
        <v/>
      </c>
      <c r="S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$21+Skills!O9+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2331*(1-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$22+Skills!P9+B2354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Skills!A10</f>
        <v/>
      </c>
      <c r="B2332">
        <f>Skills!B10</f>
        <v/>
      </c>
      <c r="C2332">
        <f>Inputs!$B$3&gt;=66</f>
        <v/>
      </c>
      <c r="D2332">
        <f>IF(Skills!C10=1,60+Inputs!$B$26+Inputs!$B$30,IF(Skills!C10=2,90+Inputs!$B$27+Inputs!$B$30,IF(Skills!C10=3,120+Inputs!$B$28+Inputs!$B$30,MAX(0,(Inputs!$B$3-100)*3)+Inputs!$B$29+Inputs!$B$30)))</f>
        <v/>
      </c>
      <c r="E2332">
        <f>INDEX(FactorTable!$B$2:$Y$301, MATCH(ROUND(MIN(300,MAX(1,D2332)),0), FactorTable!$A$2:$A$301,0), Skills!L10+1)</f>
        <v/>
      </c>
      <c r="F2332" t="n">
        <v>0</v>
      </c>
      <c r="G2332">
        <f>Calc!G10</f>
        <v/>
      </c>
      <c r="H2332">
        <f>Calc!H10</f>
        <v/>
      </c>
      <c r="I2332">
        <f>IF(Skills!T10&lt;&gt;"",1+(Skills!T10/10)*($Z$3/1000)/100,1)</f>
        <v/>
      </c>
      <c r="J2332" t="inlineStr"/>
      <c r="K2332" t="inlineStr"/>
      <c r="L2332" t="inlineStr"/>
      <c r="M2332" t="inlineStr"/>
      <c r="N2332" t="inlineStr"/>
      <c r="O2332">
        <f>(1-Summary!$B$11)*S2332+Summary!$B$11*U2332</f>
        <v/>
      </c>
      <c r="P2332">
        <f>IF(B2365=0,0,O2332/B2365)</f>
        <v/>
      </c>
      <c r="Q2332">
        <f>IFERROR(1/(IF(Inputs!$B$39="pvp",15,MAX(0.1,Skills!D10-IF(Skills!E10=TRUE,Inputs!$B$33,0)))*(1-IF(AND(ArtifactsInput!$M$27,Inputs!$B$4="Chapter Hunt"),CHOOSE(ArtifactsInput!$N$27+1,20,24,28,32,36,40),0)/100)),0)</f>
        <v/>
      </c>
      <c r="R2332">
        <f>IF(AND(Inputs!$B$39&lt;&gt;"pvp",Inputs!$B$44&gt;0),IF(MAX(0,Inputs!$B$44-B2362)&lt;=0,0,(INT(MAX(0,Inputs!$B$44-B2362)/(IF(Inputs!$B$39="pvp",15,MAX(0.1,Skills!D10-IF(Skills!E10=TRUE,Inputs!$B$33,0)))*(1-IF(AND(ArtifactsInput!$M$27,Inputs!$B$4="Chapter Hunt"),CHOOSE(ArtifactsInput!$N$27+1,20,24,28,32,36,40),0)/100)))+1)),0)</f>
        <v/>
      </c>
      <c r="S2332" t="n">
        <v>0</v>
      </c>
      <c r="U2332" t="n">
        <v>0</v>
      </c>
    </row>
    <row r="2333">
      <c r="A2333">
        <f>Skills!A11</f>
        <v/>
      </c>
      <c r="B2333">
        <f>Skills!B11</f>
        <v/>
      </c>
      <c r="C2333">
        <f>Inputs!$B$3&gt;=69</f>
        <v/>
      </c>
      <c r="D2333">
        <f>IF(Skills!C11=1,60+Inputs!$B$26+Inputs!$B$30,IF(Skills!C11=2,90+Inputs!$B$27+Inputs!$B$30,IF(Skills!C11=3,120+Inputs!$B$28+Inputs!$B$30,MAX(0,(Inputs!$B$3-100)*3)+Inputs!$B$29+Inputs!$B$30)))</f>
        <v/>
      </c>
      <c r="E2333">
        <f>INDEX(FactorTable!$B$2:$Y$301, MATCH(ROUND(MIN(300,MAX(1,D2333)),0), FactorTable!$A$2:$A$301,0), Skills!L11+1)</f>
        <v/>
      </c>
      <c r="F2333">
        <f>IF(Skills!M11=TRUE,(Skills!K11/10)*(E2333/1000),Skills!K11/10)+Skills!N11</f>
        <v/>
      </c>
      <c r="G2333">
        <f>Calc!G11</f>
        <v/>
      </c>
      <c r="H2333">
        <f>Calc!H11</f>
        <v/>
      </c>
      <c r="I2333">
        <f>IF(Skills!T11&lt;&gt;"",1+(Skills!T11/10)*($Z$3/1000)/100,1)</f>
        <v/>
      </c>
      <c r="J2333" t="inlineStr"/>
      <c r="K2333" t="inlineStr"/>
      <c r="L2333" t="inlineStr"/>
      <c r="M2333" t="inlineStr"/>
      <c r="N2333" t="inlineStr"/>
      <c r="O2333">
        <f>(1-Summary!$B$11)*S2333+Summary!$B$11*U2333</f>
        <v/>
      </c>
      <c r="P2333">
        <f>IF(B2365=0,0,O2333/B2365)</f>
        <v/>
      </c>
      <c r="Q2333">
        <f>IFERROR(1/(IF(Inputs!$B$39="pvp",15,MAX(0.1,Skills!D11-IF(Skills!E11=TRUE,Inputs!$B$33,0)))*(1-IF(AND(ArtifactsInput!$M$27,Inputs!$B$4="Chapter Hunt"),CHOOSE(ArtifactsInput!$N$27+1,20,24,28,32,36,40),0)/100)),0)</f>
        <v/>
      </c>
      <c r="R2333">
        <f>IF(AND(Inputs!$B$39&lt;&gt;"pvp",Inputs!$B$44&gt;0),IF(Inputs!$B$44&lt;=0,0,(INT(Inputs!$B$44/(IF(Inputs!$B$39="pvp",15,MAX(0.1,Skills!D11-IF(Skills!E11=TRUE,Inputs!$B$33,0)))*(1-IF(AND(ArtifactsInput!$M$27,Inputs!$B$4="Chapter Hunt"),CHOOSE(ArtifactsInput!$N$27+1,20,24,28,32,36,40),0)/100)))+1)),0)</f>
        <v/>
      </c>
      <c r="S2333" t="n">
        <v>0</v>
      </c>
      <c r="U2333" t="n">
        <v>0</v>
      </c>
    </row>
    <row r="2334">
      <c r="A2334">
        <f>Skills!A12</f>
        <v/>
      </c>
      <c r="B2334">
        <f>Skills!B12</f>
        <v/>
      </c>
      <c r="C2334">
        <f>Inputs!$B$3&gt;=72</f>
        <v/>
      </c>
      <c r="D2334">
        <f>IF(Skills!C12=1,60+Inputs!$B$26+Inputs!$B$30,IF(Skills!C12=2,90+Inputs!$B$27+Inputs!$B$30,IF(Skills!C12=3,120+Inputs!$B$28+Inputs!$B$30,MAX(0,(Inputs!$B$3-100)*3)+Inputs!$B$29+Inputs!$B$30)))</f>
        <v/>
      </c>
      <c r="E2334">
        <f>INDEX(FactorTable!$B$2:$Y$301, MATCH(ROUND(MIN(300,MAX(1,D2334)),0), FactorTable!$A$2:$A$301,0), Skills!L12+1)</f>
        <v/>
      </c>
      <c r="F2334">
        <f>IF(Skills!M12=TRUE,(Skills!K12/10)*(E2334/1000),Skills!K12/10)+Skills!N12</f>
        <v/>
      </c>
      <c r="G2334">
        <f>Calc!G12</f>
        <v/>
      </c>
      <c r="H2334">
        <f>Calc!H12</f>
        <v/>
      </c>
      <c r="I2334">
        <f>IF(Skills!T12&lt;&gt;"",1+(Skills!T12/10)*($Z$3/1000)/100,1)</f>
        <v/>
      </c>
      <c r="J2334" t="inlineStr"/>
      <c r="K2334" t="inlineStr"/>
      <c r="L2334" t="inlineStr"/>
      <c r="M2334" t="inlineStr"/>
      <c r="N2334" t="inlineStr"/>
      <c r="O2334">
        <f>(1-Summary!$B$11)*S2334+Summary!$B$11*U2334</f>
        <v/>
      </c>
      <c r="P2334">
        <f>IF(B2365=0,0,O2334/B2365)</f>
        <v/>
      </c>
      <c r="Q2334">
        <f>IFERROR(1/(IF(Inputs!$B$39="pvp",15,MAX(0.1,Skills!D12-IF(Skills!E12=TRUE,Inputs!$B$33,0)))*(1-IF(AND(ArtifactsInput!$M$27,Inputs!$B$4="Chapter Hunt"),CHOOSE(ArtifactsInput!$N$27+1,20,24,28,32,36,40),0)/100)),0)</f>
        <v/>
      </c>
      <c r="R2334">
        <f>IF(AND(Inputs!$B$39&lt;&gt;"pvp",Inputs!$B$44&gt;0),IF(MAX(0,Inputs!$B$44-B2362)&lt;=0,0,(INT(MAX(0,Inputs!$B$44-B2362)/(IF(Inputs!$B$39="pvp",15,MAX(0.1,Skills!D12-IF(Skills!E12=TRUE,Inputs!$B$33,0)))*(1-IF(AND(ArtifactsInput!$M$27,Inputs!$B$4="Chapter Hunt"),CHOOSE(ArtifactsInput!$N$27+1,20,24,28,32,36,40),0)/100)))+1)),0)</f>
        <v/>
      </c>
      <c r="S2334" t="n">
        <v>0</v>
      </c>
      <c r="U2334" t="n">
        <v>0</v>
      </c>
    </row>
    <row r="2335">
      <c r="A2335">
        <f>Skills!A13</f>
        <v/>
      </c>
      <c r="B2335">
        <f>Skills!B13</f>
        <v/>
      </c>
      <c r="C2335">
        <f>Inputs!$B$3&gt;=60</f>
        <v/>
      </c>
      <c r="D2335">
        <f>IF(Skills!C13=1,60+Inputs!$B$26+Inputs!$B$30,IF(Skills!C13=2,90+Inputs!$B$27+Inputs!$B$30,IF(Skills!C13=3,120+Inputs!$B$28+Inputs!$B$30,MAX(0,(Inputs!$B$3-100)*3)+Inputs!$B$29+Inputs!$B$30)))</f>
        <v/>
      </c>
      <c r="E2335">
        <f>INDEX(FactorTable!$B$2:$Y$301, MATCH(ROUND(MIN(300,MAX(1,D2335)),0), FactorTable!$A$2:$A$301,0), Skills!L13+1)</f>
        <v/>
      </c>
      <c r="F2335">
        <f>IF(Skills!M13=TRUE,(Skills!K13/10)*(E2335/1000),Skills!K13/10)+Skills!N13</f>
        <v/>
      </c>
      <c r="G2335">
        <f>Calc!G13</f>
        <v/>
      </c>
      <c r="H2335">
        <f>Calc!H13</f>
        <v/>
      </c>
      <c r="I2335">
        <f>IF(Skills!T13&lt;&gt;"",1+(Skills!T13/10)*($Z$3/1000)/100,1)</f>
        <v/>
      </c>
      <c r="J2335" t="inlineStr"/>
      <c r="K2335" t="inlineStr"/>
      <c r="L2335" t="inlineStr"/>
      <c r="M2335" t="inlineStr"/>
      <c r="N2335" t="inlineStr"/>
      <c r="O2335">
        <f>(1-Summary!$B$11)*S2335+Summary!$B$11*U2335</f>
        <v/>
      </c>
      <c r="P2335">
        <f>IF(B2365=0,0,O2335/B2365)</f>
        <v/>
      </c>
      <c r="Q2335">
        <f>IFERROR(1/(IF(Inputs!$B$39="pvp",15,MAX(0.1,Skills!D13-IF(Skills!E13=TRUE,Inputs!$B$33,0)))*(1-IF(AND(ArtifactsInput!$M$27,Inputs!$B$4="Chapter Hunt"),CHOOSE(ArtifactsInput!$N$27+1,20,24,28,32,36,40),0)/100)),0)</f>
        <v/>
      </c>
      <c r="R2335">
        <f>IF(AND(Inputs!$B$39&lt;&gt;"pvp",Inputs!$B$44&gt;0),IF(MAX(0,Inputs!$B$44-B2362)&lt;=0,0,(INT(MAX(0,Inputs!$B$44-B2362)/(IF(Inputs!$B$39="pvp",15,MAX(0.1,Skills!D13-IF(Skills!E13=TRUE,Inputs!$B$33,0)))*(1-IF(AND(ArtifactsInput!$M$27,Inputs!$B$4="Chapter Hunt"),CHOOSE(ArtifactsInput!$N$27+1,20,24,28,32,36,40),0)/100)))+1)),0)</f>
        <v/>
      </c>
      <c r="S2335" t="n">
        <v>0</v>
      </c>
      <c r="U2335" t="n">
        <v>0</v>
      </c>
    </row>
    <row r="2336">
      <c r="A2336">
        <f>Skills!A14</f>
        <v/>
      </c>
      <c r="B2336">
        <f>Skills!B14</f>
        <v/>
      </c>
      <c r="C2336">
        <f>Inputs!$B$3&gt;=107</f>
        <v/>
      </c>
      <c r="D2336">
        <f>IF(Skills!C14=1,60+Inputs!$B$26+Inputs!$B$30,IF(Skills!C14=2,90+Inputs!$B$27+Inputs!$B$30,IF(Skills!C14=3,120+Inputs!$B$28+Inputs!$B$30,MAX(0,(Inputs!$B$3-100)*3)+Inputs!$B$29+Inputs!$B$30)))</f>
        <v/>
      </c>
      <c r="E2336">
        <f>INDEX(FactorTable!$B$2:$Y$301, MATCH(ROUND(MIN(300,MAX(1,D2336)),0), FactorTable!$A$2:$A$301,0), Skills!L14+1)</f>
        <v/>
      </c>
      <c r="F2336">
        <f>IF(Skills!M14=TRUE,(Skills!K14/10)*(E2336/1000),Skills!K14/10)+Skills!N14</f>
        <v/>
      </c>
      <c r="G2336">
        <f>Calc!G14</f>
        <v/>
      </c>
      <c r="H2336">
        <f>Calc!H14</f>
        <v/>
      </c>
      <c r="I2336">
        <f>IF(Skills!T14&lt;&gt;"",1+(Skills!T14/10)*($Z$3/1000)/100,1)</f>
        <v/>
      </c>
      <c r="J2336" t="inlineStr"/>
      <c r="K2336" t="inlineStr"/>
      <c r="L2336" t="inlineStr"/>
      <c r="M2336" t="inlineStr"/>
      <c r="N2336" t="inlineStr"/>
      <c r="O2336">
        <f>(1-Summary!$B$11)*S2336+Summary!$B$11*U2336</f>
        <v/>
      </c>
      <c r="P2336">
        <f>IF(B2365=0,0,O2336/B2365)</f>
        <v/>
      </c>
      <c r="Q2336">
        <f>IFERROR(1/(IF(Inputs!$B$39="pvp",15,MAX(0.1,Skills!D14-IF(Skills!E14=TRUE,Inputs!$B$33,0)))*(1-IF(AND(ArtifactsInput!$M$27,Inputs!$B$4="Chapter Hunt"),CHOOSE(ArtifactsInput!$N$27+1,20,24,28,32,36,40),0)/100)),0)</f>
        <v/>
      </c>
      <c r="R2336">
        <f>IF(AND(Inputs!$B$39&lt;&gt;"pvp",Inputs!$B$44&gt;0),IF(Inputs!$B$44&lt;=0,0,(INT(Inputs!$B$44/(IF(Inputs!$B$39="pvp",15,MAX(0.1,Skills!D14-IF(Skills!E14=TRUE,Inputs!$B$33,0)))*(1-IF(AND(ArtifactsInput!$M$27,Inputs!$B$4="Chapter Hunt"),CHOOSE(ArtifactsInput!$N$27+1,20,24,28,32,36,40),0)/100)))+1)),0)</f>
        <v/>
      </c>
      <c r="S2336" t="n">
        <v>0</v>
      </c>
      <c r="U2336" t="n">
        <v>0</v>
      </c>
    </row>
    <row r="2337">
      <c r="A2337">
        <f>Skills!A15</f>
        <v/>
      </c>
      <c r="B2337">
        <f>Skills!B15</f>
        <v/>
      </c>
      <c r="C2337">
        <f>Inputs!$B$3&gt;=63</f>
        <v/>
      </c>
      <c r="D2337">
        <f>IF(Skills!C15=1,60+Inputs!$B$26+Inputs!$B$30,IF(Skills!C15=2,90+Inputs!$B$27+Inputs!$B$30,IF(Skills!C15=3,120+Inputs!$B$28+Inputs!$B$30,MAX(0,(Inputs!$B$3-100)*3)+Inputs!$B$29+Inputs!$B$30)))</f>
        <v/>
      </c>
      <c r="E2337">
        <f>INDEX(FactorTable!$B$2:$Y$301, MATCH(ROUND(MIN(300,MAX(1,D2337)),0), FactorTable!$A$2:$A$301,0), Skills!L15+1)</f>
        <v/>
      </c>
      <c r="F2337">
        <f>IF(Skills!M15=TRUE,(Skills!K15/10)*(E2337/1000),Skills!K15/10)+Skills!N15</f>
        <v/>
      </c>
      <c r="G2337">
        <f>Calc!G15</f>
        <v/>
      </c>
      <c r="H2337">
        <f>Calc!H15</f>
        <v/>
      </c>
      <c r="I2337">
        <f>IF(Skills!T15&lt;&gt;"",1+(Skills!T15/10)*($Z$3/1000)/100,1)</f>
        <v/>
      </c>
      <c r="J2337">
        <f>((Inputs!$B$6*(1+Inputs!$B$7/100))+(((Inputs!$B$13*(1+Inputs!$B$14/100))-(Inputs!$B$13*(1+Inputs!$B$14/100)))+0.25*(Inputs!$B$15-Inputs!$B$15))*(1+Inputs!$B$7/100))*(F2337/100)</f>
        <v/>
      </c>
      <c r="K2337">
        <f>J2337*(1+(((Inputs!$B$13+IF(Inputs!$B$3&gt;=35,(10*INDEX(FactorTable!$B$2:$Y$301,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15="TRIUMPH_FEATHER",IF(C2338=TRUE,F2338,0),0)/100)*(1+IF(C2349=TRUE,F2349,0)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2337)</f>
        <v/>
      </c>
      <c r="L2337">
        <f>K2337*(MIN(Inputs!$B$23+(F2344-Calc!F22),(Inputs!$B$24+IF(ArtifactsInput!$M$15,CHOOSE(ArtifactsInput!$N$15+1,25,30,35,40,45,50)/100*(Inputs!$B$12-Inputs!$B$12),0)))/100+(Inputs!$B$24+IF(ArtifactsInput!$M$15,CHOOSE(ArtifactsInput!$N$15+1,25,30,35,40,45,50)/100*(Inputs!$B$12-Inputs!$B$12),0))/100)/2</f>
        <v/>
      </c>
      <c r="M2337">
        <f>L2337*(1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7">
        <f>L2337*(1-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2337*(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7">
        <f>(1-Summary!$B$11)*S2337+Summary!$B$11*U2337</f>
        <v/>
      </c>
      <c r="P2337">
        <f>IF(B2365=0,0,O2337/B2365)</f>
        <v/>
      </c>
      <c r="Q2337">
        <f>IFERROR(1/(IF(Inputs!$B$39="pvp",15,MAX(0.1,Skills!D15-IF(Skills!E15=TRUE,Inputs!$B$33,0)))*(1-IF(AND(ArtifactsInput!$M$27,Inputs!$B$4="Chapter Hunt"),CHOOSE(ArtifactsInput!$N$27+1,20,24,28,32,36,40),0)/100)),0)</f>
        <v/>
      </c>
      <c r="R2337" t="n">
        <v>0</v>
      </c>
      <c r="S2337">
        <f>IF(C2337,(Skills!F15*N2337*((IF(Inputs!$B$3&gt;=78,25,15)/100*B2358*10)/(1+IF(Inputs!$B$3&gt;=78,25,15)/100*B2358*10))*(Skills!I15/100*B2358)/(1+Skills!G15*Skills!I15/100*B2358))*IF(Inputs!$B$39="pvp",1,1+(Inputs!$B$21+Skills!O15+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2337*(1-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2337*(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2337*(1-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2337*(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7">
        <f>IF(C2337,(Skills!F15*N2337*((IF(Inputs!$B$3&gt;=78,25,15)/100*B2358*10)/(1+IF(Inputs!$B$3&gt;=78,25,15)/100*B2358*10))*(Skills!I15/100*B2358)/(1+Skills!G15*Skills!I15/100*B2358))*IF(Inputs!$B$39="pvp",1,(1+(Inputs!$B$22+Skills!P15+B2354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8">
      <c r="A2338">
        <f>Skills!A16</f>
        <v/>
      </c>
      <c r="B2338">
        <f>Skills!B16</f>
        <v/>
      </c>
      <c r="C2338">
        <f>Inputs!$B$3&gt;=100</f>
        <v/>
      </c>
      <c r="D2338">
        <f>IF(Skills!C16=1,60+Inputs!$B$26+Inputs!$B$30,IF(Skills!C16=2,90+Inputs!$B$27+Inputs!$B$30,IF(Skills!C16=3,120+Inputs!$B$28+Inputs!$B$30,MAX(0,(Inputs!$B$3-100)*3)+Inputs!$B$29+Inputs!$B$30)))</f>
        <v/>
      </c>
      <c r="E2338">
        <f>INDEX(FactorTable!$B$2:$Y$301, MATCH(ROUND(MIN(300,MAX(1,D2338)),0), FactorTable!$A$2:$A$301,0), Skills!L16+1)</f>
        <v/>
      </c>
      <c r="F2338">
        <f>IF(Skills!M16=TRUE,(Skills!K16/10)*(E2338/1000),Skills!K16/10)+Skills!N16</f>
        <v/>
      </c>
      <c r="G2338">
        <f>Calc!G16</f>
        <v/>
      </c>
      <c r="H2338">
        <f>Calc!H16</f>
        <v/>
      </c>
      <c r="I2338">
        <f>IF(Skills!T16&lt;&gt;"",1+(Skills!T16/10)*($Z$3/1000)/100,1)</f>
        <v/>
      </c>
      <c r="J2338" t="inlineStr"/>
      <c r="K2338" t="inlineStr"/>
      <c r="L2338" t="inlineStr"/>
      <c r="M2338" t="inlineStr"/>
      <c r="N2338" t="inlineStr"/>
      <c r="O2338">
        <f>(1-Summary!$B$11)*S2338+Summary!$B$11*U2338</f>
        <v/>
      </c>
      <c r="P2338">
        <f>IF(B2365=0,0,O2338/B2365)</f>
        <v/>
      </c>
      <c r="Q2338">
        <f>IFERROR(1/(IF(Inputs!$B$39="pvp",15,MAX(0.1,Skills!D16-IF(Skills!E16=TRUE,Inputs!$B$33,0)))*(1-IF(AND(ArtifactsInput!$M$27,Inputs!$B$4="Chapter Hunt"),CHOOSE(ArtifactsInput!$N$27+1,20,24,28,32,36,40),0)/100)),0)</f>
        <v/>
      </c>
      <c r="R2338" t="n">
        <v>0</v>
      </c>
      <c r="S2338" t="n">
        <v>0</v>
      </c>
      <c r="U2338" t="n">
        <v>0</v>
      </c>
    </row>
    <row r="2339">
      <c r="A2339">
        <f>Skills!A17</f>
        <v/>
      </c>
      <c r="B2339">
        <f>Skills!B17</f>
        <v/>
      </c>
      <c r="C2339">
        <f>Inputs!$B$3&gt;=49</f>
        <v/>
      </c>
      <c r="D2339">
        <f>IF(Skills!C17=1,60+Inputs!$B$26+Inputs!$B$30,IF(Skills!C17=2,90+Inputs!$B$27+Inputs!$B$30,IF(Skills!C17=3,120+Inputs!$B$28+Inputs!$B$30,MAX(0,(Inputs!$B$3-100)*3)+Inputs!$B$29+Inputs!$B$30)))</f>
        <v/>
      </c>
      <c r="E2339">
        <f>INDEX(FactorTable!$B$2:$Y$301, MATCH(ROUND(MIN(300,MAX(1,D2339)),0), FactorTable!$A$2:$A$301,0), Skills!L17+1)</f>
        <v/>
      </c>
      <c r="F2339">
        <f>IF(Skills!M17=TRUE,(Skills!K17/10)*(E2339/1000),Skills!K17/10)+Skills!N17</f>
        <v/>
      </c>
      <c r="G2339">
        <f>Calc!G17</f>
        <v/>
      </c>
      <c r="H2339">
        <f>Calc!H17</f>
        <v/>
      </c>
      <c r="I2339">
        <f>IF(Skills!T17&lt;&gt;"",1+(Skills!T17/10)*($Z$3/1000)/100,1)</f>
        <v/>
      </c>
      <c r="J2339" t="inlineStr"/>
      <c r="K2339" t="inlineStr"/>
      <c r="L2339" t="inlineStr"/>
      <c r="M2339" t="inlineStr"/>
      <c r="N2339" t="inlineStr"/>
      <c r="O2339">
        <f>(1-Summary!$B$11)*S2339+Summary!$B$11*U2339</f>
        <v/>
      </c>
      <c r="P2339">
        <f>IF(B2365=0,0,O2339/B2365)</f>
        <v/>
      </c>
      <c r="Q2339">
        <f>IFERROR(1/(IF(Inputs!$B$39="pvp",15,MAX(0.1,Skills!D17-IF(Skills!E17=TRUE,Inputs!$B$33,0)))*(1-IF(AND(ArtifactsInput!$M$27,Inputs!$B$4="Chapter Hunt"),CHOOSE(ArtifactsInput!$N$27+1,20,24,28,32,36,40),0)/100)),0)</f>
        <v/>
      </c>
      <c r="R2339" t="n">
        <v>0</v>
      </c>
      <c r="S2339" t="n">
        <v>0</v>
      </c>
      <c r="U2339" t="n">
        <v>0</v>
      </c>
    </row>
    <row r="2340">
      <c r="A2340">
        <f>Skills!A18</f>
        <v/>
      </c>
      <c r="B2340">
        <f>Skills!B18</f>
        <v/>
      </c>
      <c r="C2340">
        <f>Inputs!$B$3&gt;=75</f>
        <v/>
      </c>
      <c r="D2340">
        <f>IF(Skills!C18=1,60+Inputs!$B$26+Inputs!$B$30,IF(Skills!C18=2,90+Inputs!$B$27+Inputs!$B$30,IF(Skills!C18=3,120+Inputs!$B$28+Inputs!$B$30,MAX(0,(Inputs!$B$3-100)*3)+Inputs!$B$29+Inputs!$B$30)))</f>
        <v/>
      </c>
      <c r="E2340">
        <f>INDEX(FactorTable!$B$2:$Y$301, MATCH(ROUND(MIN(300,MAX(1,D2340)),0), FactorTable!$A$2:$A$301,0), Skills!L18+1)</f>
        <v/>
      </c>
      <c r="F2340">
        <f>IF(Skills!M18=TRUE,(Skills!K18/10)*(E2340/1000),Skills!K18/10)+Skills!N18</f>
        <v/>
      </c>
      <c r="G2340">
        <f>Calc!G18</f>
        <v/>
      </c>
      <c r="H2340">
        <f>Calc!H18</f>
        <v/>
      </c>
      <c r="I2340">
        <f>IF(Skills!T18&lt;&gt;"",1+(Skills!T18/10)*($Z$3/1000)/100,1)</f>
        <v/>
      </c>
      <c r="J2340" t="inlineStr"/>
      <c r="K2340" t="inlineStr"/>
      <c r="L2340" t="inlineStr"/>
      <c r="M2340" t="inlineStr"/>
      <c r="N2340" t="inlineStr"/>
      <c r="O2340">
        <f>(1-Summary!$B$11)*S2340+Summary!$B$11*U2340</f>
        <v/>
      </c>
      <c r="P2340">
        <f>IF(B2365=0,0,O2340/B2365)</f>
        <v/>
      </c>
      <c r="Q2340">
        <f>IFERROR(1/(IF(Inputs!$B$39="pvp",15,MAX(0.1,Skills!D18-IF(Skills!E18=TRUE,Inputs!$B$33,0)))*(1-IF(AND(ArtifactsInput!$M$27,Inputs!$B$4="Chapter Hunt"),CHOOSE(ArtifactsInput!$N$27+1,20,24,28,32,36,40),0)/100)),0)</f>
        <v/>
      </c>
      <c r="R2340" t="n">
        <v>0</v>
      </c>
      <c r="S2340" t="n">
        <v>0</v>
      </c>
      <c r="U2340" t="n">
        <v>0</v>
      </c>
    </row>
    <row r="2341">
      <c r="A2341">
        <f>Skills!A19</f>
        <v/>
      </c>
      <c r="B2341">
        <f>Skills!B19</f>
        <v/>
      </c>
      <c r="C2341">
        <f>Inputs!$B$3&gt;=110</f>
        <v/>
      </c>
      <c r="D2341">
        <f>IF(Skills!C19=1,60+Inputs!$B$26+Inputs!$B$30,IF(Skills!C19=2,90+Inputs!$B$27+Inputs!$B$30,IF(Skills!C19=3,120+Inputs!$B$28+Inputs!$B$30,MAX(0,(Inputs!$B$3-100)*3)+Inputs!$B$29+Inputs!$B$30)))</f>
        <v/>
      </c>
      <c r="E2341">
        <f>INDEX(FactorTable!$B$2:$Y$301, MATCH(ROUND(MIN(300,MAX(1,D2341)),0), FactorTable!$A$2:$A$301,0), Skills!L19+1)</f>
        <v/>
      </c>
      <c r="F2341">
        <f>(Skills!K19/10)*(E2341/1000)*64/45+Skills!N19</f>
        <v/>
      </c>
      <c r="G2341">
        <f>Calc!G19</f>
        <v/>
      </c>
      <c r="H2341">
        <f>Calc!H19</f>
        <v/>
      </c>
      <c r="I2341">
        <f>IF(Skills!T19&lt;&gt;"",1+(Skills!T19/10)*($Z$3/1000)/100,1)</f>
        <v/>
      </c>
      <c r="J2341" t="inlineStr"/>
      <c r="K2341" t="inlineStr"/>
      <c r="L2341" t="inlineStr"/>
      <c r="M2341" t="inlineStr"/>
      <c r="N2341" t="inlineStr"/>
      <c r="O2341">
        <f>(1-Summary!$B$11)*S2341+Summary!$B$11*U2341</f>
        <v/>
      </c>
      <c r="P2341">
        <f>IF(B2365=0,0,O2341/B2365)</f>
        <v/>
      </c>
      <c r="Q2341">
        <f>IFERROR(1/(IF(Inputs!$B$39="pvp",15,MAX(0.1,Skills!D19-IF(Skills!E19=TRUE,Inputs!$B$33,0)))*(1-IF(AND(ArtifactsInput!$M$27,Inputs!$B$4="Chapter Hunt"),CHOOSE(ArtifactsInput!$N$27+1,20,24,28,32,36,40),0)/100)),0)</f>
        <v/>
      </c>
      <c r="R2341">
        <f>IF(AND(Inputs!$B$39&lt;&gt;"pvp",Inputs!$B$44&gt;0),IF(Inputs!$B$44&lt;=0,0,(INT(Inputs!$B$44/(IF(Inputs!$B$39="pvp",15,MAX(0.1,Skills!D19-IF(Skills!E19=TRUE,Inputs!$B$33,0)))*(1-IF(AND(ArtifactsInput!$M$27,Inputs!$B$4="Chapter Hunt"),CHOOSE(ArtifactsInput!$N$27+1,20,24,28,32,36,40),0)/100)))+1)),0)</f>
        <v/>
      </c>
      <c r="S2341" t="n">
        <v>0</v>
      </c>
      <c r="U2341" t="n">
        <v>0</v>
      </c>
    </row>
    <row r="2342">
      <c r="A2342">
        <f>Skills!A20</f>
        <v/>
      </c>
      <c r="B2342">
        <f>Skills!B20</f>
        <v/>
      </c>
      <c r="C2342">
        <f>Inputs!$B$3&gt;=125</f>
        <v/>
      </c>
      <c r="D2342">
        <f>IF(Skills!C20=1,60+Inputs!$B$26+Inputs!$B$30,IF(Skills!C20=2,90+Inputs!$B$27+Inputs!$B$30,IF(Skills!C20=3,120+Inputs!$B$28+Inputs!$B$30,MAX(0,(Inputs!$B$3-100)*3)+Inputs!$B$29+Inputs!$B$30)))</f>
        <v/>
      </c>
      <c r="E2342">
        <f>INDEX(FactorTable!$B$2:$Y$301, MATCH(ROUND(MIN(300,MAX(1,D2342)),0), FactorTable!$A$2:$A$301,0), Skills!L20+1)</f>
        <v/>
      </c>
      <c r="F2342">
        <f>IF(Skills!M20=TRUE,(Skills!K20/10)*(E2342/1000),Skills!K20/10)+Skills!N20</f>
        <v/>
      </c>
      <c r="G2342">
        <f>Calc!G20</f>
        <v/>
      </c>
      <c r="H2342">
        <f>Calc!H20</f>
        <v/>
      </c>
      <c r="I2342">
        <f>IF(Skills!T20&lt;&gt;"",1+(Skills!T20/10)*($Z$3/1000)/100,1)</f>
        <v/>
      </c>
      <c r="J2342" t="inlineStr"/>
      <c r="K2342" t="inlineStr"/>
      <c r="L2342" t="inlineStr"/>
      <c r="M2342" t="inlineStr"/>
      <c r="N2342" t="inlineStr"/>
      <c r="O2342">
        <f>(1-Summary!$B$11)*S2342+Summary!$B$11*U2342</f>
        <v/>
      </c>
      <c r="P2342">
        <f>IF(B2365=0,0,O2342/B2365)</f>
        <v/>
      </c>
      <c r="Q2342">
        <f>IFERROR(1/(IF(Inputs!$B$39="pvp",15,MAX(0.1,Skills!D20-IF(Skills!E20=TRUE,Inputs!$B$33,0)))*(1-IF(AND(ArtifactsInput!$M$27,Inputs!$B$4="Chapter Hunt"),CHOOSE(ArtifactsInput!$N$27+1,20,24,28,32,36,40),0)/100)),0)</f>
        <v/>
      </c>
      <c r="R2342" t="n">
        <v>0</v>
      </c>
      <c r="S2342" t="n">
        <v>0</v>
      </c>
      <c r="U2342" t="n">
        <v>0</v>
      </c>
    </row>
    <row r="2343">
      <c r="A2343">
        <f>Skills!A21</f>
        <v/>
      </c>
      <c r="B2343">
        <f>Skills!B21</f>
        <v/>
      </c>
      <c r="C2343">
        <f>Inputs!$B$3&gt;=33</f>
        <v/>
      </c>
      <c r="D2343">
        <f>IF(Skills!C21=1,60+Inputs!$B$26+Inputs!$B$30,IF(Skills!C21=2,90+Inputs!$B$27+Inputs!$B$30,IF(Skills!C21=3,120+Inputs!$B$28+Inputs!$B$30,MAX(0,(Inputs!$B$3-100)*3)+Inputs!$B$29+Inputs!$B$30)))</f>
        <v/>
      </c>
      <c r="E2343">
        <f>INDEX(FactorTable!$B$2:$Y$301, MATCH(ROUND(MIN(300,MAX(1,D2343)),0), FactorTable!$A$2:$A$301,0), Skills!L21+1)</f>
        <v/>
      </c>
      <c r="F2343">
        <f>IF(Skills!M21=TRUE,(Skills!K21/10)*(E2343/1000),Skills!K21/10)+Skills!N21</f>
        <v/>
      </c>
      <c r="G2343">
        <f>Calc!G21</f>
        <v/>
      </c>
      <c r="H2343">
        <f>Calc!H21</f>
        <v/>
      </c>
      <c r="I2343">
        <f>IF(Skills!T21&lt;&gt;"",1+(Skills!T21/10)*($Z$3/1000)/100,1)</f>
        <v/>
      </c>
      <c r="J2343" t="inlineStr"/>
      <c r="K2343" t="inlineStr"/>
      <c r="L2343" t="inlineStr"/>
      <c r="M2343" t="inlineStr"/>
      <c r="N2343" t="inlineStr"/>
      <c r="O2343">
        <f>(1-Summary!$B$11)*S2343+Summary!$B$11*U2343</f>
        <v/>
      </c>
      <c r="P2343">
        <f>IF(B2365=0,0,O2343/B2365)</f>
        <v/>
      </c>
      <c r="Q2343">
        <f>IFERROR(1/(IF(Inputs!$B$39="pvp",15,MAX(0.1,Skills!D21-IF(Skills!E21=TRUE,Inputs!$B$33,0)))*(1-IF(AND(ArtifactsInput!$M$27,Inputs!$B$4="Chapter Hunt"),CHOOSE(ArtifactsInput!$N$27+1,20,24,28,32,36,40),0)/100)),0)</f>
        <v/>
      </c>
      <c r="R2343" t="n">
        <v>0</v>
      </c>
      <c r="S2343" t="n">
        <v>0</v>
      </c>
      <c r="U2343" t="n">
        <v>0</v>
      </c>
    </row>
    <row r="2344">
      <c r="A2344">
        <f>Skills!A22</f>
        <v/>
      </c>
      <c r="B2344">
        <f>Skills!B22</f>
        <v/>
      </c>
      <c r="C2344">
        <f>Inputs!$B$3&gt;=43</f>
        <v/>
      </c>
      <c r="D2344">
        <f>IF(Skills!C22=1,60+Inputs!$B$26+Inputs!$B$30,IF(Skills!C22=2,90+Inputs!$B$27+Inputs!$B$30,IF(Skills!C22=3,120+Inputs!$B$28+Inputs!$B$30,MAX(0,(Inputs!$B$3-100)*3)+Inputs!$B$29+Inputs!$B$30)))</f>
        <v/>
      </c>
      <c r="E2344">
        <f>INDEX(FactorTable!$B$2:$Y$301, MATCH(ROUND(MIN(300,MAX(1,D2344)),0), FactorTable!$A$2:$A$301,0), Skills!L22+1)</f>
        <v/>
      </c>
      <c r="F2344">
        <f>IF(Skills!M22=TRUE,(Skills!K22/10)*(E2344/1000),Skills!K22/10)+Skills!N22</f>
        <v/>
      </c>
      <c r="G2344">
        <f>Calc!G22</f>
        <v/>
      </c>
      <c r="H2344">
        <f>Calc!H22</f>
        <v/>
      </c>
      <c r="I2344">
        <f>IF(Skills!T22&lt;&gt;"",1+(Skills!T22/10)*($Z$3/1000)/100,1)</f>
        <v/>
      </c>
      <c r="J2344" t="inlineStr"/>
      <c r="K2344" t="inlineStr"/>
      <c r="L2344" t="inlineStr"/>
      <c r="M2344" t="inlineStr"/>
      <c r="N2344" t="inlineStr"/>
      <c r="O2344">
        <f>(1-Summary!$B$11)*S2344+Summary!$B$11*U2344</f>
        <v/>
      </c>
      <c r="P2344">
        <f>IF(B2365=0,0,O2344/B2365)</f>
        <v/>
      </c>
      <c r="Q2344">
        <f>IFERROR(1/(IF(Inputs!$B$39="pvp",15,MAX(0.1,Skills!D22-IF(Skills!E22=TRUE,Inputs!$B$33,0)))*(1-IF(AND(ArtifactsInput!$M$27,Inputs!$B$4="Chapter Hunt"),CHOOSE(ArtifactsInput!$N$27+1,20,24,28,32,36,40),0)/100)),0)</f>
        <v/>
      </c>
      <c r="R2344" t="n">
        <v>0</v>
      </c>
      <c r="S2344" t="n">
        <v>0</v>
      </c>
      <c r="U2344" t="n">
        <v>0</v>
      </c>
    </row>
    <row r="2345">
      <c r="A2345">
        <f>Skills!A23</f>
        <v/>
      </c>
      <c r="B2345">
        <f>Skills!B23</f>
        <v/>
      </c>
      <c r="C2345">
        <f>Inputs!$B$3&gt;=50</f>
        <v/>
      </c>
      <c r="D2345">
        <f>IF(Skills!C23=1,60+Inputs!$B$26+Inputs!$B$30,IF(Skills!C23=2,90+Inputs!$B$27+Inputs!$B$30,IF(Skills!C23=3,120+Inputs!$B$28+Inputs!$B$30,MAX(0,(Inputs!$B$3-100)*3)+Inputs!$B$29+Inputs!$B$30)))</f>
        <v/>
      </c>
      <c r="E2345">
        <f>INDEX(FactorTable!$B$2:$Y$301, MATCH(ROUND(MIN(300,MAX(1,D2345)),0), FactorTable!$A$2:$A$301,0), Skills!L23+1)</f>
        <v/>
      </c>
      <c r="F2345">
        <f>IF(Skills!M23=TRUE,(Skills!K23/10)*(E2345/1000),Skills!K23/10)+Skills!N23</f>
        <v/>
      </c>
      <c r="G2345">
        <f>Calc!G23</f>
        <v/>
      </c>
      <c r="H2345">
        <f>Calc!H23</f>
        <v/>
      </c>
      <c r="I2345">
        <f>IF(Skills!T23&lt;&gt;"",1+(Skills!T23/10)*($Z$3/1000)/100,1)</f>
        <v/>
      </c>
      <c r="J2345" t="inlineStr"/>
      <c r="K2345" t="inlineStr"/>
      <c r="L2345" t="inlineStr"/>
      <c r="M2345" t="inlineStr"/>
      <c r="N2345" t="inlineStr"/>
      <c r="O2345">
        <f>(1-Summary!$B$11)*S2345+Summary!$B$11*U2345</f>
        <v/>
      </c>
      <c r="P2345">
        <f>IF(B2365=0,0,O2345/B2365)</f>
        <v/>
      </c>
      <c r="Q2345">
        <f>IFERROR(1/(IF(Inputs!$B$39="pvp",15,MAX(0.1,Skills!D23-IF(Skills!E23=TRUE,Inputs!$B$33,0)))*(1-IF(AND(ArtifactsInput!$M$27,Inputs!$B$4="Chapter Hunt"),CHOOSE(ArtifactsInput!$N$27+1,20,24,28,32,36,40),0)/100)),0)</f>
        <v/>
      </c>
      <c r="R2345" t="n">
        <v>0</v>
      </c>
      <c r="S2345" t="n">
        <v>0</v>
      </c>
      <c r="U2345" t="n">
        <v>0</v>
      </c>
    </row>
    <row r="2346">
      <c r="A2346">
        <f>Skills!A24</f>
        <v/>
      </c>
      <c r="B2346">
        <f>Skills!B24</f>
        <v/>
      </c>
      <c r="C2346">
        <f>Inputs!$B$3&gt;=74</f>
        <v/>
      </c>
      <c r="D2346">
        <f>IF(Skills!C24=1,60+Inputs!$B$26+Inputs!$B$30,IF(Skills!C24=2,90+Inputs!$B$27+Inputs!$B$30,IF(Skills!C24=3,120+Inputs!$B$28+Inputs!$B$30,MAX(0,(Inputs!$B$3-100)*3)+Inputs!$B$29+Inputs!$B$30)))</f>
        <v/>
      </c>
      <c r="E2346">
        <f>INDEX(FactorTable!$B$2:$Y$301, MATCH(ROUND(MIN(300,MAX(1,D2346)),0), FactorTable!$A$2:$A$301,0), Skills!L24+1)</f>
        <v/>
      </c>
      <c r="F2346">
        <f>IF(Skills!M24=TRUE,(Skills!K24/10)*(E2346/1000),Skills!K24/10)+Skills!N24</f>
        <v/>
      </c>
      <c r="G2346">
        <f>Calc!G24</f>
        <v/>
      </c>
      <c r="H2346">
        <f>Calc!H24</f>
        <v/>
      </c>
      <c r="I2346">
        <f>IF(Skills!T24&lt;&gt;"",1+(Skills!T24/10)*($Z$3/1000)/100,1)</f>
        <v/>
      </c>
      <c r="J2346" t="inlineStr"/>
      <c r="K2346" t="inlineStr"/>
      <c r="L2346" t="inlineStr"/>
      <c r="M2346" t="inlineStr"/>
      <c r="N2346" t="inlineStr"/>
      <c r="O2346">
        <f>(1-Summary!$B$11)*S2346+Summary!$B$11*U2346</f>
        <v/>
      </c>
      <c r="P2346">
        <f>IF(B2365=0,0,O2346/B2365)</f>
        <v/>
      </c>
      <c r="Q2346">
        <f>IFERROR(1/(IF(Inputs!$B$39="pvp",15,MAX(0.1,Skills!D24-IF(Skills!E24=TRUE,Inputs!$B$33,0)))*(1-IF(AND(ArtifactsInput!$M$27,Inputs!$B$4="Chapter Hunt"),CHOOSE(ArtifactsInput!$N$27+1,20,24,28,32,36,40),0)/100)),0)</f>
        <v/>
      </c>
      <c r="R2346" t="n">
        <v>0</v>
      </c>
      <c r="S2346" t="n">
        <v>0</v>
      </c>
      <c r="U2346" t="n">
        <v>0</v>
      </c>
    </row>
    <row r="2347">
      <c r="A2347">
        <f>Skills!A25</f>
        <v/>
      </c>
      <c r="B2347">
        <f>Skills!B25</f>
        <v/>
      </c>
      <c r="C2347">
        <f>Inputs!$B$3&gt;=74</f>
        <v/>
      </c>
      <c r="D2347">
        <f>IF(Skills!C25=1,60+Inputs!$B$26+Inputs!$B$30,IF(Skills!C25=2,90+Inputs!$B$27+Inputs!$B$30,IF(Skills!C25=3,120+Inputs!$B$28+Inputs!$B$30,MAX(0,(Inputs!$B$3-100)*3)+Inputs!$B$29+Inputs!$B$30)))</f>
        <v/>
      </c>
      <c r="E2347">
        <f>INDEX(FactorTable!$B$2:$Y$301, MATCH(ROUND(MIN(300,MAX(1,D2347)),0), FactorTable!$A$2:$A$301,0), Skills!L25+1)</f>
        <v/>
      </c>
      <c r="F2347">
        <f>IF(Skills!M25=TRUE,(Skills!K25/10)*(E2347/1000),Skills!K25/10)+Skills!N25</f>
        <v/>
      </c>
      <c r="G2347">
        <f>Calc!G25</f>
        <v/>
      </c>
      <c r="H2347">
        <f>Calc!H25</f>
        <v/>
      </c>
      <c r="I2347">
        <f>IF(Skills!T25&lt;&gt;"",1+(Skills!T25/10)*($Z$3/1000)/100,1)</f>
        <v/>
      </c>
      <c r="J2347" t="inlineStr"/>
      <c r="K2347" t="inlineStr"/>
      <c r="L2347" t="inlineStr"/>
      <c r="M2347" t="inlineStr"/>
      <c r="N2347" t="inlineStr"/>
      <c r="O2347">
        <f>(1-Summary!$B$11)*S2347+Summary!$B$11*U2347</f>
        <v/>
      </c>
      <c r="P2347">
        <f>IF(B2365=0,0,O2347/B2365)</f>
        <v/>
      </c>
      <c r="Q2347">
        <f>IFERROR(1/(IF(Inputs!$B$39="pvp",15,MAX(0.1,Skills!D25-IF(Skills!E25=TRUE,Inputs!$B$33,0)))*(1-IF(AND(ArtifactsInput!$M$27,Inputs!$B$4="Chapter Hunt"),CHOOSE(ArtifactsInput!$N$27+1,20,24,28,32,36,40),0)/100)),0)</f>
        <v/>
      </c>
      <c r="R2347" t="n">
        <v>0</v>
      </c>
      <c r="S2347" t="n">
        <v>0</v>
      </c>
      <c r="U2347" t="n">
        <v>0</v>
      </c>
    </row>
    <row r="2348">
      <c r="A2348">
        <f>Skills!A26</f>
        <v/>
      </c>
      <c r="B2348">
        <f>Skills!B26</f>
        <v/>
      </c>
      <c r="C2348">
        <f>Inputs!$B$3&gt;=117</f>
        <v/>
      </c>
      <c r="D2348">
        <f>IF(Skills!C26=1,60+Inputs!$B$26+Inputs!$B$30,IF(Skills!C26=2,90+Inputs!$B$27+Inputs!$B$30,IF(Skills!C26=3,120+Inputs!$B$28+Inputs!$B$30,MAX(0,(Inputs!$B$3-100)*3)+Inputs!$B$29+Inputs!$B$30)))</f>
        <v/>
      </c>
      <c r="E2348">
        <f>INDEX(FactorTable!$B$2:$Y$301, MATCH(ROUND(MIN(300,MAX(1,D2348)),0), FactorTable!$A$2:$A$301,0), Skills!L26+1)</f>
        <v/>
      </c>
      <c r="F2348">
        <f>IF(Skills!M26=TRUE,(Skills!K26/10)*(E2348/1000),Skills!K26/10)+Skills!N26</f>
        <v/>
      </c>
      <c r="G2348">
        <f>Calc!G26</f>
        <v/>
      </c>
      <c r="H2348">
        <f>Calc!H26</f>
        <v/>
      </c>
      <c r="I2348">
        <f>IF(Skills!T26&lt;&gt;"",1+(Skills!T26/10)*($Z$3/1000)/100,1)</f>
        <v/>
      </c>
      <c r="J2348" t="inlineStr"/>
      <c r="K2348" t="inlineStr"/>
      <c r="L2348" t="inlineStr"/>
      <c r="M2348" t="inlineStr"/>
      <c r="N2348" t="inlineStr"/>
      <c r="O2348">
        <f>(1-Summary!$B$11)*S2348+Summary!$B$11*U2348</f>
        <v/>
      </c>
      <c r="P2348">
        <f>IF(B2365=0,0,O2348/B2365)</f>
        <v/>
      </c>
      <c r="Q2348">
        <f>IFERROR(1/(IF(Inputs!$B$39="pvp",15,MAX(0.1,Skills!D26-IF(Skills!E26=TRUE,Inputs!$B$33,0)))*(1-IF(AND(ArtifactsInput!$M$27,Inputs!$B$4="Chapter Hunt"),CHOOSE(ArtifactsInput!$N$27+1,20,24,28,32,36,40),0)/100)),0)</f>
        <v/>
      </c>
      <c r="R2348" t="n">
        <v>0</v>
      </c>
      <c r="S2348" t="n">
        <v>0</v>
      </c>
      <c r="U2348" t="n">
        <v>0</v>
      </c>
    </row>
    <row r="2349">
      <c r="A2349">
        <f>Skills!A27</f>
        <v/>
      </c>
      <c r="B2349">
        <f>Skills!B27</f>
        <v/>
      </c>
      <c r="C2349">
        <f>Inputs!$B$3&gt;=120</f>
        <v/>
      </c>
      <c r="D2349">
        <f>IF(Skills!C27=1,60+Inputs!$B$26+Inputs!$B$30,IF(Skills!C27=2,90+Inputs!$B$27+Inputs!$B$30,IF(Skills!C27=3,120+Inputs!$B$28+Inputs!$B$30,MAX(0,(Inputs!$B$3-100)*3)+Inputs!$B$29+Inputs!$B$30)))</f>
        <v/>
      </c>
      <c r="E2349">
        <f>INDEX(FactorTable!$B$2:$Y$301, MATCH(ROUND(MIN(300,MAX(1,D2349)),0), FactorTable!$A$2:$A$301,0), Skills!L27+1)</f>
        <v/>
      </c>
      <c r="F2349">
        <f>IF(Skills!M27=TRUE,(Skills!K27/10)*(E2349/1000),Skills!K27/10)+Skills!N27</f>
        <v/>
      </c>
      <c r="G2349">
        <f>Calc!G27</f>
        <v/>
      </c>
      <c r="H2349">
        <f>Calc!H27</f>
        <v/>
      </c>
      <c r="I2349">
        <f>IF(Skills!T27&lt;&gt;"",1+(Skills!T27/10)*($Z$3/1000)/100,1)</f>
        <v/>
      </c>
      <c r="J2349" t="inlineStr"/>
      <c r="K2349" t="inlineStr"/>
      <c r="L2349" t="inlineStr"/>
      <c r="M2349" t="inlineStr"/>
      <c r="N2349" t="inlineStr"/>
      <c r="O2349">
        <f>(1-Summary!$B$11)*S2349+Summary!$B$11*U2349</f>
        <v/>
      </c>
      <c r="P2349">
        <f>IF(B2365=0,0,O2349/B2365)</f>
        <v/>
      </c>
      <c r="Q2349">
        <f>IFERROR(1/(IF(Inputs!$B$39="pvp",15,MAX(0.1,Skills!D27-IF(Skills!E27=TRUE,Inputs!$B$33,0)))*(1-IF(AND(ArtifactsInput!$M$27,Inputs!$B$4="Chapter Hunt"),CHOOSE(ArtifactsInput!$N$27+1,20,24,28,32,36,40),0)/100)),0)</f>
        <v/>
      </c>
      <c r="R2349" t="n">
        <v>0</v>
      </c>
      <c r="S2349" t="n">
        <v>0</v>
      </c>
      <c r="U2349" t="n">
        <v>0</v>
      </c>
    </row>
    <row r="2350">
      <c r="A2350">
        <f>Skills!A28</f>
        <v/>
      </c>
      <c r="B2350">
        <f>Skills!B28</f>
        <v/>
      </c>
      <c r="C2350">
        <f>TRUE</f>
        <v/>
      </c>
      <c r="D2350">
        <f>IF(Skills!C28=1,60+Inputs!$B$26+Inputs!$B$30,IF(Skills!C28=2,90+Inputs!$B$27+Inputs!$B$30,IF(Skills!C28=3,120+Inputs!$B$28+Inputs!$B$30,MAX(0,(Inputs!$B$3-100)*3)+Inputs!$B$29+Inputs!$B$30)))</f>
        <v/>
      </c>
      <c r="E2350">
        <f>INDEX(FactorTable!$B$2:$Y$301, MATCH(ROUND(MIN(300,MAX(1,D2350)),0), FactorTable!$A$2:$A$301,0), Skills!L28+1)</f>
        <v/>
      </c>
      <c r="F2350">
        <f>IF(Skills!M28=TRUE,(Skills!K28/10)*(E2350/1000),Skills!K28/10)+Skills!N28</f>
        <v/>
      </c>
      <c r="G2350">
        <f>Calc!G28</f>
        <v/>
      </c>
      <c r="H2350">
        <f>Calc!H28</f>
        <v/>
      </c>
      <c r="I2350">
        <f>IF(Skills!T28&lt;&gt;"",1+(Skills!T28/10)*($Z$3/1000)/100,1)</f>
        <v/>
      </c>
      <c r="J2350" t="inlineStr"/>
      <c r="K2350" t="inlineStr"/>
      <c r="L2350" t="inlineStr"/>
      <c r="M2350" t="inlineStr"/>
      <c r="N2350" t="inlineStr"/>
      <c r="O2350">
        <f>(1-Summary!$B$11)*S2350+Summary!$B$11*U2350</f>
        <v/>
      </c>
      <c r="P2350">
        <f>IF(B2365=0,0,O2350/B2365)</f>
        <v/>
      </c>
      <c r="Q2350">
        <f>IFERROR(1/(IF(Inputs!$B$39="pvp",15,MAX(0.1,Skills!D28-IF(Skills!E28=TRUE,Inputs!$B$33,0)))*(1-IF(AND(ArtifactsInput!$M$27,Inputs!$B$4="Chapter Hunt"),CHOOSE(ArtifactsInput!$N$27+1,20,24,28,32,36,40),0)/100)),0)</f>
        <v/>
      </c>
      <c r="R2350">
        <f>IF(AND(Inputs!$B$39&lt;&gt;"pvp",Inputs!$B$44&gt;0),IF(Inputs!$B$44&lt;=0,0,(INT(Inputs!$B$44/(IF(Inputs!$B$39="pvp",15,MAX(0.1,Skills!D28-IF(Skills!E28=TRUE,Inputs!$B$33,0)))*(1-IF(AND(ArtifactsInput!$M$27,Inputs!$B$4="Chapter Hunt"),CHOOSE(ArtifactsInput!$N$27+1,20,24,28,32,36,40),0)/100)))+1)),0)</f>
        <v/>
      </c>
      <c r="S2350" t="n">
        <v>0</v>
      </c>
      <c r="U2350" t="n">
        <v>0</v>
      </c>
    </row>
    <row r="2352">
      <c r="A2352" t="inlineStr">
        <is>
          <t>Average Buff Multiplier</t>
        </is>
      </c>
      <c r="B2352">
        <f>(1+(IF(C2325=TRUE,F2325*IF(AND(Inputs!$B$39&lt;&gt;"pvp",Inputs!$B$44&gt;0),(((R2325-1)*(Skills!S3*(1+((Inputs!$B$35+(ArtifactsInput!$M$7-ArtifactsInput!$M$7)*CHOOSE(ArtifactsInput!$N$7+1,6,7.2,8.4,9.6,10.8,12))+IF(Inputs!$B$3&gt;=117,F2348,0))/100))+MIN((Skills!S3*(1+((Inputs!$B$35+(ArtifactsInput!$M$7-ArtifactsInput!$M$7)*CHOOSE(ArtifactsInput!$N$7+1,6,7.2,8.4,9.6,10.8,12))+IF(Inputs!$B$3&gt;=117,F2348,0))/100)),MAX(0,Inputs!$B$44-((R2325-1)*Skills!D3))))/Inputs!$B$44),IF(Inputs!$B$39="pvp",MIN((Skills!S3*(1+((Inputs!$B$35+(ArtifactsInput!$M$7-ArtifactsInput!$M$7)*CHOOSE(ArtifactsInput!$N$7+1,6,7.2,8.4,9.6,10.8,12))+IF(Inputs!$B$3&gt;=117,F2348,0))/100)),15)/15,(Skills!S3*(1+((Inputs!$B$35+(ArtifactsInput!$M$7-ArtifactsInput!$M$7)*CHOOSE(ArtifactsInput!$N$7+1,6,7.2,8.4,9.6,10.8,12))+IF(Inputs!$B$3&gt;=117,F2348,0))/100))/Skills!D3)),0)+IF(C2326=TRUE,F2326*IF(AND(Inputs!$B$39&lt;&gt;"pvp",Inputs!$B$44&gt;0),(((R2326-1)*(Skills!S4*(1+((Inputs!$B$35+(ArtifactsInput!$M$7-ArtifactsInput!$M$7)*CHOOSE(ArtifactsInput!$N$7+1,6,7.2,8.4,9.6,10.8,12))+IF(Inputs!$B$3&gt;=117,F2348,0))/100))+MIN((Skills!S4*(1+((Inputs!$B$35+(ArtifactsInput!$M$7-ArtifactsInput!$M$7)*CHOOSE(ArtifactsInput!$N$7+1,6,7.2,8.4,9.6,10.8,12))+IF(Inputs!$B$3&gt;=117,F2348,0))/100)),MAX(0,Inputs!$B$44-((R2326-1)*Skills!D4))))/Inputs!$B$44),IF(Inputs!$B$39="pvp",MIN((Skills!S4*(1+((Inputs!$B$35+(ArtifactsInput!$M$7-ArtifactsInput!$M$7)*CHOOSE(ArtifactsInput!$N$7+1,6,7.2,8.4,9.6,10.8,12))+IF(Inputs!$B$3&gt;=117,F2348,0))/100)),15)/15,(Skills!S4*(1+((Inputs!$B$35+(ArtifactsInput!$M$7-ArtifactsInput!$M$7)*CHOOSE(ArtifactsInput!$N$7+1,6,7.2,8.4,9.6,10.8,12))+IF(Inputs!$B$3&gt;=117,F2348,0))/100))/Skills!D4)),0)+IF(C2327=TRUE,F2327*IF(AND(Inputs!$B$39&lt;&gt;"pvp",Inputs!$B$44&gt;0),(((R2327-1)*(Skills!S5*(1+((Inputs!$B$35+(ArtifactsInput!$M$7-ArtifactsInput!$M$7)*CHOOSE(ArtifactsInput!$N$7+1,6,7.2,8.4,9.6,10.8,12))+IF(Inputs!$B$3&gt;=117,F2348,0))/100))+MIN((Skills!S5*(1+((Inputs!$B$35+(ArtifactsInput!$M$7-ArtifactsInput!$M$7)*CHOOSE(ArtifactsInput!$N$7+1,6,7.2,8.4,9.6,10.8,12))+IF(Inputs!$B$3&gt;=117,F2348,0))/100)),MAX(0,Inputs!$B$44-((R2327-1)*Skills!D5))))/Inputs!$B$44),IF(Inputs!$B$39="pvp",MIN((Skills!S5*(1+((Inputs!$B$35+(ArtifactsInput!$M$7-ArtifactsInput!$M$7)*CHOOSE(ArtifactsInput!$N$7+1,6,7.2,8.4,9.6,10.8,12))+IF(Inputs!$B$3&gt;=117,F2348,0))/100)),15)/15,(Skills!S5*(1+((Inputs!$B$35+(ArtifactsInput!$M$7-ArtifactsInput!$M$7)*CHOOSE(ArtifactsInput!$N$7+1,6,7.2,8.4,9.6,10.8,12))+IF(Inputs!$B$3&gt;=117,F2348,0))/100))/Skills!D5)),0)+IF(C2333=TRUE,F2333*IF(AND(Inputs!$B$39&lt;&gt;"pvp",Inputs!$B$44&gt;0),(((R2333-1)*(Skills!S11*(1+((Inputs!$B$35+(ArtifactsInput!$M$7-ArtifactsInput!$M$7)*CHOOSE(ArtifactsInput!$N$7+1,6,7.2,8.4,9.6,10.8,12))+IF(Inputs!$B$3&gt;=117,F2348,0))/100))+MIN((Skills!S11*(1+((Inputs!$B$35+(ArtifactsInput!$M$7-ArtifactsInput!$M$7)*CHOOSE(ArtifactsInput!$N$7+1,6,7.2,8.4,9.6,10.8,12))+IF(Inputs!$B$3&gt;=117,F2348,0))/100)),MAX(0,Inputs!$B$44-((R2333-1)*Skills!D11))))/Inputs!$B$44),IF(Inputs!$B$39="pvp",MIN((Skills!S11*(1+((Inputs!$B$35+(ArtifactsInput!$M$7-ArtifactsInput!$M$7)*CHOOSE(ArtifactsInput!$N$7+1,6,7.2,8.4,9.6,10.8,12))+IF(Inputs!$B$3&gt;=117,F2348,0))/100)),15)/15,(Skills!S11*(1+((Inputs!$B$35+(ArtifactsInput!$M$7-ArtifactsInput!$M$7)*CHOOSE(ArtifactsInput!$N$7+1,6,7.2,8.4,9.6,10.8,12))+IF(Inputs!$B$3&gt;=117,F2348,0)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2336=TRUE,(1+F2336*IF(AND(Inputs!$B$39&lt;&gt;"pvp",Inputs!$B$44&gt;0),(((R2336-1)*(Skills!S14*(1+((Inputs!$B$35+(ArtifactsInput!$M$7-ArtifactsInput!$M$7)*CHOOSE(ArtifactsInput!$N$7+1,6,7.2,8.4,9.6,10.8,12))+IF(Inputs!$B$3&gt;=117,F2348,0))/100))+MIN((Skills!S14*(1+((Inputs!$B$35+(ArtifactsInput!$M$7-ArtifactsInput!$M$7)*CHOOSE(ArtifactsInput!$N$7+1,6,7.2,8.4,9.6,10.8,12))+IF(Inputs!$B$3&gt;=117,F2348,0))/100)),MAX(0,Inputs!$B$44-((R2336-1)*Skills!D14))))/Inputs!$B$44),IF(Inputs!$B$39="pvp",MIN((Skills!S14*(1+((Inputs!$B$35+(ArtifactsInput!$M$7-ArtifactsInput!$M$7)*CHOOSE(ArtifactsInput!$N$7+1,6,7.2,8.4,9.6,10.8,12))+IF(Inputs!$B$3&gt;=117,F2348,0))/100)),15)/15,(Skills!S14*(1+((Inputs!$B$35+(ArtifactsInput!$M$7-ArtifactsInput!$M$7)*CHOOSE(ArtifactsInput!$N$7+1,6,7.2,8.4,9.6,10.8,12))+IF(Inputs!$B$3&gt;=117,F2348,0))/100))/Skills!D14))/100),1)*IF(C2341=TRUE,(1+F2341*IF(AND(Inputs!$B$39&lt;&gt;"pvp",Inputs!$B$44&gt;0),(((R2341-1)*(Skills!S19*(1+((Inputs!$B$35+(ArtifactsInput!$M$7-ArtifactsInput!$M$7)*CHOOSE(ArtifactsInput!$N$7+1,6,7.2,8.4,9.6,10.8,12))+IF(Inputs!$B$3&gt;=117,F2348,0))/100))+MIN((Skills!S19*(1+((Inputs!$B$35+(ArtifactsInput!$M$7-ArtifactsInput!$M$7)*CHOOSE(ArtifactsInput!$N$7+1,6,7.2,8.4,9.6,10.8,12))+IF(Inputs!$B$3&gt;=117,F2348,0))/100)),MAX(0,Inputs!$B$44-((R2341-1)*Skills!D19))))/Inputs!$B$44),IF(Inputs!$B$39="pvp",MIN((Skills!S19*(1+((Inputs!$B$35+(ArtifactsInput!$M$7-ArtifactsInput!$M$7)*CHOOSE(ArtifactsInput!$N$7+1,6,7.2,8.4,9.6,10.8,12))+IF(Inputs!$B$3&gt;=117,F2348,0))/100)),15)/15,(Skills!S19*(1+((Inputs!$B$35+(ArtifactsInput!$M$7-ArtifactsInput!$M$7)*CHOOSE(ArtifactsInput!$N$7+1,6,7.2,8.4,9.6,10.8,12))+IF(Inputs!$B$3&gt;=117,F2348,0))/100))/Skills!D19))/100),1)</f>
        <v/>
      </c>
    </row>
    <row r="2353">
      <c r="A2353" t="inlineStr">
        <is>
          <t>Monster Damage Taken Bonus % (Holy Fountain)</t>
        </is>
      </c>
      <c r="B2353">
        <f>IF(Inputs!$B$3&gt;=68,20*IF(Inputs!$B$39="pvp",MIN((15*(1+((Inputs!$B$35+(ArtifactsInput!$M$7-ArtifactsInput!$M$7)*CHOOSE(ArtifactsInput!$N$7+1,6,7.2,8.4,9.6,10.8,12))+IF(Inputs!$B$3&gt;=117,F2348,0))/100)),15)/15,(15*(1+((Inputs!$B$35+(ArtifactsInput!$M$7-ArtifactsInput!$M$7)*CHOOSE(ArtifactsInput!$N$7+1,6,7.2,8.4,9.6,10.8,12))+IF(Inputs!$B$3&gt;=117,F2348,0))/100))/Skills!D10),0)</f>
        <v/>
      </c>
    </row>
    <row r="2354">
      <c r="A2354" t="inlineStr">
        <is>
          <t>Normal Monster Damage Bonus % (Holy Symbol)</t>
        </is>
      </c>
      <c r="B2354">
        <f>IF(C2334=TRUE,F2334*IF(AND(Inputs!$B$39&lt;&gt;"pvp",Inputs!$B$44&gt;0),(((R2334-1)*(Skills!S12*(1+((Inputs!$B$35+(ArtifactsInput!$M$7-ArtifactsInput!$M$7)*CHOOSE(ArtifactsInput!$N$7+1,6,7.2,8.4,9.6,10.8,12))+IF(Inputs!$B$3&gt;=117,F2348,0))/100))+MIN((Skills!S12*(1+((Inputs!$B$35+(ArtifactsInput!$M$7-ArtifactsInput!$M$7)*CHOOSE(ArtifactsInput!$N$7+1,6,7.2,8.4,9.6,10.8,12))+IF(Inputs!$B$3&gt;=117,F2348,0))/100)),MAX(0,Inputs!$B$44-((R2334-1)*Skills!D12))))/Inputs!$B$44),IF(Inputs!$B$39="pvp",MIN((Skills!S12*(1+((Inputs!$B$35+(ArtifactsInput!$M$7-ArtifactsInput!$M$7)*CHOOSE(ArtifactsInput!$N$7+1,6,7.2,8.4,9.6,10.8,12))+IF(Inputs!$B$3&gt;=117,F2348,0))/100)),15)/15,(Skills!S12*(1+((Inputs!$B$35+(ArtifactsInput!$M$7-ArtifactsInput!$M$7)*CHOOSE(ArtifactsInput!$N$7+1,6,7.2,8.4,9.6,10.8,12))+IF(Inputs!$B$3&gt;=117,F2348,0))/100))/Skills!D12)),0)</f>
        <v/>
      </c>
    </row>
    <row r="2355">
      <c r="A2355" t="inlineStr">
        <is>
          <t>Damage % Bonus (Holy Symbol - Damage Boost)</t>
        </is>
      </c>
      <c r="B2355">
        <f>Skills!O12</f>
        <v/>
      </c>
    </row>
    <row r="2356">
      <c r="A2356" t="inlineStr">
        <is>
          <t>Crit Damage % Bonus (Blood of the Divine)</t>
        </is>
      </c>
      <c r="B2356">
        <f>4*IF(C2342=TRUE,F2342,0)</f>
        <v/>
      </c>
    </row>
    <row r="2357">
      <c r="A2357" t="inlineStr">
        <is>
          <t>Attack Speed Bonus %</t>
        </is>
      </c>
      <c r="B2357">
        <f>IF(C2339=TRUE,F2339+(F2343-Calc!F21),0)+IF(Inputs!$B$3&gt;=134,15,0)+((C2350=TRUE)*F2350*IF(AND(Inputs!$B$39&lt;&gt;"pvp",Inputs!$B$44&gt;0),(((R2350-1)*(Skills!S28*(1+((Inputs!$B$35+(ArtifactsInput!$M$7-ArtifactsInput!$M$7)*CHOOSE(ArtifactsInput!$N$7+1,6,7.2,8.4,9.6,10.8,12))+IF(Inputs!$B$3&gt;=117,F2348,0))/100))+MIN((Skills!S28*(1+((Inputs!$B$35+(ArtifactsInput!$M$7-ArtifactsInput!$M$7)*CHOOSE(ArtifactsInput!$N$7+1,6,7.2,8.4,9.6,10.8,12))+IF(Inputs!$B$3&gt;=117,F2348,0))/100)),MAX(0,Inputs!$B$44-((R2350-1)*Skills!D28))))/Inputs!$B$44),IF(Inputs!$B$39="pvp",MIN((Skills!S28*(1+((Inputs!$B$35+(ArtifactsInput!$M$7-ArtifactsInput!$M$7)*CHOOSE(ArtifactsInput!$N$7+1,6,7.2,8.4,9.6,10.8,12))+IF(Inputs!$B$3&gt;=117,F2348,0))/100)),15)/15,(Skills!S28*(1+((Inputs!$B$35+(ArtifactsInput!$M$7-ArtifactsInput!$M$7)*CHOOSE(ArtifactsInput!$N$7+1,6,7.2,8.4,9.6,10.8,12))+IF(Inputs!$B$3&gt;=117,F2348,0))/100))/Skills!D28)))</f>
        <v/>
      </c>
    </row>
    <row r="2358">
      <c r="A2358" t="inlineStr">
        <is>
          <t>Actions Per Second</t>
        </is>
      </c>
      <c r="B2358">
        <f>1+MIN(150,150*(1-(1-Inputs!$B$12/150)*(1-B2357/150)))/100</f>
        <v/>
      </c>
    </row>
    <row r="2359">
      <c r="A2359" t="inlineStr">
        <is>
          <t>Skill + Buff Cast Rate</t>
        </is>
      </c>
      <c r="B2359">
        <f>IF(AND(Inputs!$B$39&lt;&gt;"pvp",Inputs!$B$44&gt;0),SUMPRODUCT((Skills!E2:E28=TRUE)*(C2324:C2350=TRUE)*R2324:R2350)/Inputs!$B$44,SUMPRODUCT((Skills!E2:E28=TRUE)*(C2324:C2350=TRUE)*Q2324:Q2350))</f>
        <v/>
      </c>
    </row>
    <row r="2360">
      <c r="A2360" t="inlineStr">
        <is>
          <t>Big Bang Casts Per Second</t>
        </is>
      </c>
      <c r="B2360">
        <f>MAX(0,B2358-B2359)</f>
        <v/>
      </c>
    </row>
    <row r="2361">
      <c r="A2361" t="inlineStr">
        <is>
          <t>Defense % Bonus (Divine Protection)</t>
        </is>
      </c>
      <c r="B2361">
        <f>IF(C2335=TRUE,F2335*IF(AND(Inputs!$B$39&lt;&gt;"pvp",Inputs!$B$44&gt;0),(((R2335-1)*(Skills!S13*(1+((Inputs!$B$35+(ArtifactsInput!$M$7-ArtifactsInput!$M$7)*CHOOSE(ArtifactsInput!$N$7+1,6,7.2,8.4,9.6,10.8,12))+IF(Inputs!$B$3&gt;=117,F2348,0))/100))+MIN((Skills!S13*(1+((Inputs!$B$35+(ArtifactsInput!$M$7-ArtifactsInput!$M$7)*CHOOSE(ArtifactsInput!$N$7+1,6,7.2,8.4,9.6,10.8,12))+IF(Inputs!$B$3&gt;=117,F2348,0))/100)),MAX(0,Inputs!$B$44-((R2335-1)*Skills!D13))))/Inputs!$B$44),IF(Inputs!$B$39="pvp",MIN((Skills!S13*(1+((Inputs!$B$35+(ArtifactsInput!$M$7-ArtifactsInput!$M$7)*CHOOSE(ArtifactsInput!$N$7+1,6,7.2,8.4,9.6,10.8,12))+IF(Inputs!$B$3&gt;=117,F2348,0))/100)),15)/15,(Skills!S13*(1+((Inputs!$B$35+(ArtifactsInput!$M$7-ArtifactsInput!$M$7)*CHOOSE(ArtifactsInput!$N$7+1,6,7.2,8.4,9.6,10.8,12))+IF(Inputs!$B$3&gt;=117,F2348,0))/100))/Skills!D13)),0)</f>
        <v/>
      </c>
    </row>
    <row r="2362">
      <c r="A2362" t="inlineStr">
        <is>
          <t>Buff-Casting Startup Delay (s, fixed-duration only)</t>
        </is>
      </c>
      <c r="B2362">
        <f>IF(AND(Inputs!$B$39&lt;&gt;"pvp",Inputs!$B$44&gt;0),SUMPRODUCT((Skills!S2:S28&gt;0)*(Skills!E2:E28=TRUE)*(C2324:C2350=TRUE))/B2358,0)</f>
        <v/>
      </c>
    </row>
    <row r="2363">
      <c r="A2363" t="inlineStr">
        <is>
          <t>Boss-Only Total DPS (this block's swept value)</t>
        </is>
      </c>
      <c r="B2363">
        <f>SUM(S2324:S2350)</f>
        <v/>
      </c>
    </row>
    <row r="2364">
      <c r="A2364" t="inlineStr">
        <is>
          <t>Normal-Only Total DPS (this block's swept value)</t>
        </is>
      </c>
      <c r="B2364">
        <f>SUM(U2324:U2350)</f>
        <v/>
      </c>
    </row>
    <row r="2365">
      <c r="A2365" s="6" t="inlineStr">
        <is>
          <t>TOTAL DPS</t>
        </is>
      </c>
      <c r="B2365" s="6">
        <f>SUM(O2324:O2350)</f>
        <v/>
      </c>
    </row>
    <row r="2367">
      <c r="A2367" s="6" t="inlineStr">
        <is>
          <t>Stat: Icy Soul Rock (Equip)</t>
        </is>
      </c>
    </row>
    <row r="2368">
      <c r="A2368" s="5" t="inlineStr">
        <is>
          <t>Key</t>
        </is>
      </c>
      <c r="B2368" s="5" t="inlineStr">
        <is>
          <t>Name</t>
        </is>
      </c>
      <c r="C2368" s="5" t="inlineStr">
        <is>
          <t>Unlocked</t>
        </is>
      </c>
      <c r="D2368" s="5" t="inlineStr">
        <is>
          <t>InputLevel</t>
        </is>
      </c>
      <c r="E2368" s="5" t="inlineStr">
        <is>
          <t>Factor</t>
        </is>
      </c>
      <c r="F2368" s="5" t="inlineStr">
        <is>
          <t>CoefficientPercent</t>
        </is>
      </c>
      <c r="G2368" s="5" t="inlineStr">
        <is>
          <t>EffectiveHits</t>
        </is>
      </c>
      <c r="H2368" s="5" t="inlineStr">
        <is>
          <t>ProcProbability</t>
        </is>
      </c>
      <c r="I2368" s="5" t="inlineStr">
        <is>
          <t>MapleHeroMultiplier</t>
        </is>
      </c>
      <c r="J2368" s="5" t="inlineStr">
        <is>
          <t>BaseDamage</t>
        </is>
      </c>
      <c r="K2368" s="5" t="inlineStr">
        <is>
          <t>BaseHitDamage</t>
        </is>
      </c>
      <c r="L2368" s="5" t="inlineStr">
        <is>
          <t>NonCritAvg</t>
        </is>
      </c>
      <c r="M2368" s="5" t="inlineStr">
        <is>
          <t>CritAvg</t>
        </is>
      </c>
      <c r="N2368" s="5" t="inlineStr">
        <is>
          <t>ExpectedDamage(perHit)</t>
        </is>
      </c>
      <c r="O2368" s="5" t="inlineStr">
        <is>
          <t>DPS</t>
        </is>
      </c>
      <c r="P2368" s="5" t="inlineStr">
        <is>
          <t>% of Total</t>
        </is>
      </c>
      <c r="R2368" t="inlineStr">
        <is>
          <t>helpers</t>
        </is>
      </c>
    </row>
    <row r="2369">
      <c r="A2369">
        <f>Skills!A2</f>
        <v/>
      </c>
      <c r="B2369">
        <f>Skills!B2</f>
        <v/>
      </c>
      <c r="C2369">
        <f>Inputs!$B$3&gt;=100</f>
        <v/>
      </c>
      <c r="D2369" t="inlineStr"/>
      <c r="E2369" t="inlineStr"/>
      <c r="F2369">
        <f>T2371+Skills!N2</f>
        <v/>
      </c>
      <c r="G2369">
        <f>Calc!G2</f>
        <v/>
      </c>
      <c r="H2369">
        <f>Calc!H2</f>
        <v/>
      </c>
      <c r="I2369">
        <f>IF(Skills!T2&lt;&gt;"",1+(Skills!T2/10)*($Z$3/1000)/100,1)</f>
        <v/>
      </c>
      <c r="J2369">
        <f>((Inputs!$B$6*(1+Inputs!$B$7/100))+(((Inputs!$B$13*(1+Inputs!$B$14/100))-(Inputs!$B$13*(1+Inputs!$B$14/100)))+0.25*(Inputs!$B$15-Inputs!$B$15))*(1+Inputs!$B$7/100))*(F2369/100)</f>
        <v/>
      </c>
      <c r="K2369">
        <f>J2369*(1+(((Inputs!$B$13+IF(Inputs!$B$3&gt;=35,(10*INDEX(FactorTable!$B$2:$Y$301,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2="TRIUMPH_FEATHER",IF(C2383=TRUE,F2383,0),0)/100)*(1+IF(C2394=TRUE,F2394,0)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2369)</f>
        <v/>
      </c>
      <c r="L2369">
        <f>K2369*(MIN(Inputs!$B$23+(F2389-Calc!F22),(Inputs!$B$24+IF(ArtifactsInput!$M$15,CHOOSE(ArtifactsInput!$N$15+1,25,30,35,40,45,50)/100*(Inputs!$B$12-Inputs!$B$12),0)))/100+(Inputs!$B$24+IF(ArtifactsInput!$M$15,CHOOSE(ArtifactsInput!$N$15+1,25,30,35,40,45,50)/100*(Inputs!$B$12-Inputs!$B$12),0))/100)/2</f>
        <v/>
      </c>
      <c r="M2369">
        <f>L2369*(1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69">
        <f>L2369*(1-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(1-Summary!$B$11)*S2369+Summary!$B$11*U2369</f>
        <v/>
      </c>
      <c r="P2369">
        <f>IF(B2410=0,0,O2369/B2410)</f>
        <v/>
      </c>
      <c r="Q2369">
        <f>IFERROR(1/(IF(Inputs!$B$39="pvp",15,MAX(0.1,Skills!D2-IF(Skills!E2=TRUE,Inputs!$B$33,0)))*(1-IF(AND(ArtifactsInput!$M$27,Inputs!$B$4="Chapter Hunt"),CHOOSE(ArtifactsInput!$N$27+1,20,24,28,32,36,40),0)/100)),0)</f>
        <v/>
      </c>
      <c r="R2369" t="n">
        <v>0</v>
      </c>
      <c r="S2369">
        <f>IF(C2369,(Skills!F2*N2369*B2405)*IF(Inputs!$B$39="pvp",1,1+(Inputs!$B$21+Skills!O2+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2369*(1-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69">
        <f>MAX(0,(Inputs!$B$3-100)*3)+Inputs!$B$29+Inputs!$B$30</f>
        <v/>
      </c>
      <c r="U2369">
        <f>IF(C2369,(Skills!F2*N2369*B2405)*IF(Inputs!$B$39="pvp",1,(1+(Inputs!$B$22+Skills!P2+B2399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Skills!A3</f>
        <v/>
      </c>
      <c r="B2370">
        <f>Skills!B3</f>
        <v/>
      </c>
      <c r="C2370">
        <f>Inputs!$B$3&gt;=15</f>
        <v/>
      </c>
      <c r="D2370">
        <f>IF(Skills!C3=1,60+Inputs!$B$26+Inputs!$B$30,IF(Skills!C3=2,90+Inputs!$B$27+Inputs!$B$30,IF(Skills!C3=3,120+Inputs!$B$28+Inputs!$B$30,MAX(0,(Inputs!$B$3-100)*3)+Inputs!$B$29+Inputs!$B$30)))</f>
        <v/>
      </c>
      <c r="E2370">
        <f>INDEX(FactorTable!$B$2:$Y$301, MATCH(ROUND(MIN(300,MAX(1,D2370)),0), FactorTable!$A$2:$A$301,0), Skills!L3+1)</f>
        <v/>
      </c>
      <c r="F2370">
        <f>IF(Skills!M3=TRUE,(Skills!K3/10)*(E2370/1000),Skills!K3/10)+Skills!N3</f>
        <v/>
      </c>
      <c r="G2370">
        <f>Calc!G3</f>
        <v/>
      </c>
      <c r="H2370">
        <f>Calc!H3</f>
        <v/>
      </c>
      <c r="I2370">
        <f>IF(Skills!T3&lt;&gt;"",1+(Skills!T3/10)*($Z$3/1000)/100,1)</f>
        <v/>
      </c>
      <c r="J2370" t="inlineStr"/>
      <c r="K2370" t="inlineStr"/>
      <c r="L2370" t="inlineStr"/>
      <c r="M2370" t="inlineStr"/>
      <c r="N2370" t="inlineStr"/>
      <c r="O2370">
        <f>(1-Summary!$B$11)*S2370+Summary!$B$11*U2370</f>
        <v/>
      </c>
      <c r="P2370">
        <f>IF(B2410=0,0,O2370/B2410)</f>
        <v/>
      </c>
      <c r="Q2370">
        <f>IFERROR(1/(IF(Inputs!$B$39="pvp",15,MAX(0.1,Skills!D3-IF(Skills!E3=TRUE,Inputs!$B$33,0)))*(1-IF(AND(ArtifactsInput!$M$27,Inputs!$B$4="Chapter Hunt"),CHOOSE(ArtifactsInput!$N$27+1,20,24,28,32,36,40),0)/100)),0)</f>
        <v/>
      </c>
      <c r="R2370">
        <f>IF(AND(Inputs!$B$39&lt;&gt;"pvp",Inputs!$B$44&gt;0),IF(Inputs!$B$44&lt;=0,0,(INT(Inputs!$B$44/(IF(Inputs!$B$39="pvp",15,MAX(0.1,Skills!D3-IF(Skills!E3=TRUE,Inputs!$B$33,0)))*(1-IF(AND(ArtifactsInput!$M$27,Inputs!$B$4="Chapter Hunt"),CHOOSE(ArtifactsInput!$N$27+1,20,24,28,32,36,40),0)/100)))+1)),0)</f>
        <v/>
      </c>
      <c r="S2370" t="n">
        <v>0</v>
      </c>
      <c r="T2370">
        <f>INDEX(FactorTable!$B$2:$Y$301, MATCH(ROUND(MIN(300,MAX(1,T2369)),0), FactorTable!$A$2:$A$301,0), 22)</f>
        <v/>
      </c>
      <c r="U2370" t="n">
        <v>0</v>
      </c>
    </row>
    <row r="2371">
      <c r="A2371">
        <f>Skills!A4</f>
        <v/>
      </c>
      <c r="B2371">
        <f>Skills!B4</f>
        <v/>
      </c>
      <c r="C2371">
        <f>Inputs!$B$3&gt;=38</f>
        <v/>
      </c>
      <c r="D2371">
        <f>IF(Skills!C4=1,60+Inputs!$B$26+Inputs!$B$30,IF(Skills!C4=2,90+Inputs!$B$27+Inputs!$B$30,IF(Skills!C4=3,120+Inputs!$B$28+Inputs!$B$30,MAX(0,(Inputs!$B$3-100)*3)+Inputs!$B$29+Inputs!$B$30)))</f>
        <v/>
      </c>
      <c r="E2371">
        <f>INDEX(FactorTable!$B$2:$Y$301, MATCH(ROUND(MIN(300,MAX(1,D2371)),0), FactorTable!$A$2:$A$301,0), Skills!L4+1)</f>
        <v/>
      </c>
      <c r="F2371">
        <f>IF(Skills!M4=TRUE,(Skills!K4/10)*(E2371/1000),Skills!K4/10)+Skills!N4</f>
        <v/>
      </c>
      <c r="G2371">
        <f>Calc!G4</f>
        <v/>
      </c>
      <c r="H2371">
        <f>Calc!H4</f>
        <v/>
      </c>
      <c r="I2371">
        <f>IF(Skills!T4&lt;&gt;"",1+(Skills!T4/10)*($Z$3/1000)/100,1)</f>
        <v/>
      </c>
      <c r="J2371" t="inlineStr"/>
      <c r="K2371" t="inlineStr"/>
      <c r="L2371" t="inlineStr"/>
      <c r="M2371" t="inlineStr"/>
      <c r="N2371" t="inlineStr"/>
      <c r="O2371">
        <f>(1-Summary!$B$11)*S2371+Summary!$B$11*U2371</f>
        <v/>
      </c>
      <c r="P2371">
        <f>IF(B2410=0,0,O2371/B2410)</f>
        <v/>
      </c>
      <c r="Q2371">
        <f>IFERROR(1/(IF(Inputs!$B$39="pvp",15,MAX(0.1,Skills!D4-IF(Skills!E4=TRUE,Inputs!$B$33,0)))*(1-IF(AND(ArtifactsInput!$M$27,Inputs!$B$4="Chapter Hunt"),CHOOSE(ArtifactsInput!$N$27+1,20,24,28,32,36,40),0)/100)),0)</f>
        <v/>
      </c>
      <c r="R2371">
        <f>IF(AND(Inputs!$B$39&lt;&gt;"pvp",Inputs!$B$44&gt;0),IF(Inputs!$B$44&lt;=0,0,(INT(Inputs!$B$44/(IF(Inputs!$B$39="pvp",15,MAX(0.1,Skills!D4-IF(Skills!E4=TRUE,Inputs!$B$33,0)))*(1-IF(AND(ArtifactsInput!$M$27,Inputs!$B$4="Chapter Hunt"),CHOOSE(ArtifactsInput!$N$27+1,20,24,28,32,36,40),0)/100)))+1)),0)</f>
        <v/>
      </c>
      <c r="S2371" t="n">
        <v>0</v>
      </c>
      <c r="T2371">
        <f>290*T2370/1000</f>
        <v/>
      </c>
      <c r="U2371" t="n">
        <v>0</v>
      </c>
    </row>
    <row r="2372">
      <c r="A2372">
        <f>Skills!A5</f>
        <v/>
      </c>
      <c r="B2372">
        <f>Skills!B5</f>
        <v/>
      </c>
      <c r="C2372">
        <f>Inputs!$B$3&gt;=40</f>
        <v/>
      </c>
      <c r="D2372">
        <f>IF(Skills!C5=1,60+Inputs!$B$26+Inputs!$B$30,IF(Skills!C5=2,90+Inputs!$B$27+Inputs!$B$30,IF(Skills!C5=3,120+Inputs!$B$28+Inputs!$B$30,MAX(0,(Inputs!$B$3-100)*3)+Inputs!$B$29+Inputs!$B$30)))</f>
        <v/>
      </c>
      <c r="E2372">
        <f>INDEX(FactorTable!$B$2:$Y$301, MATCH(ROUND(MIN(300,MAX(1,D2372)),0), FactorTable!$A$2:$A$301,0), Skills!L5+1)</f>
        <v/>
      </c>
      <c r="F2372">
        <f>IF(Skills!M5=TRUE,(Skills!K5/10)*(E2372/1000),Skills!K5/10)+Skills!N5</f>
        <v/>
      </c>
      <c r="G2372">
        <f>Calc!G5</f>
        <v/>
      </c>
      <c r="H2372">
        <f>Calc!H5</f>
        <v/>
      </c>
      <c r="I2372">
        <f>IF(Skills!T5&lt;&gt;"",1+(Skills!T5/10)*($Z$3/1000)/100,1)</f>
        <v/>
      </c>
      <c r="J2372" t="inlineStr"/>
      <c r="K2372" t="inlineStr"/>
      <c r="L2372" t="inlineStr"/>
      <c r="M2372" t="inlineStr"/>
      <c r="N2372" t="inlineStr"/>
      <c r="O2372">
        <f>(1-Summary!$B$11)*S2372+Summary!$B$11*U2372</f>
        <v/>
      </c>
      <c r="P2372">
        <f>IF(B2410=0,0,O2372/B2410)</f>
        <v/>
      </c>
      <c r="Q2372">
        <f>IFERROR(1/(IF(Inputs!$B$39="pvp",15,MAX(0.1,Skills!D5-IF(Skills!E5=TRUE,Inputs!$B$33,0)))*(1-IF(AND(ArtifactsInput!$M$27,Inputs!$B$4="Chapter Hunt"),CHOOSE(ArtifactsInput!$N$27+1,20,24,28,32,36,40),0)/100)),0)</f>
        <v/>
      </c>
      <c r="R2372">
        <f>IF(AND(Inputs!$B$39&lt;&gt;"pvp",Inputs!$B$44&gt;0),IF(Inputs!$B$44&lt;=0,0,(INT(Inputs!$B$44/(IF(Inputs!$B$39="pvp",15,MAX(0.1,Skills!D5-IF(Skills!E5=TRUE,Inputs!$B$33,0)))*(1-IF(AND(ArtifactsInput!$M$27,Inputs!$B$4="Chapter Hunt"),CHOOSE(ArtifactsInput!$N$27+1,20,24,28,32,36,40),0)/100)))+1)),0)</f>
        <v/>
      </c>
      <c r="S2372" t="n">
        <v>0</v>
      </c>
      <c r="U2372" t="n">
        <v>0</v>
      </c>
    </row>
    <row r="2373">
      <c r="A2373">
        <f>Skills!A6</f>
        <v/>
      </c>
      <c r="B2373">
        <f>Skills!B6</f>
        <v/>
      </c>
      <c r="C2373">
        <f>Inputs!$B$3&gt;=103</f>
        <v/>
      </c>
      <c r="D2373">
        <f>IF(Skills!C6=1,60+Inputs!$B$26+Inputs!$B$30,IF(Skills!C6=2,90+Inputs!$B$27+Inputs!$B$30,IF(Skills!C6=3,120+Inputs!$B$28+Inputs!$B$30,MAX(0,(Inputs!$B$3-100)*3)+Inputs!$B$29+Inputs!$B$30)))</f>
        <v/>
      </c>
      <c r="E2373">
        <f>INDEX(FactorTable!$B$2:$Y$301, MATCH(ROUND(MIN(300,MAX(1,D2373)),0), FactorTable!$A$2:$A$301,0), Skills!L6+1)</f>
        <v/>
      </c>
      <c r="F2373">
        <f>IF(Skills!M6=TRUE,(Skills!K6/10)*(E2373/1000),Skills!K6/10)+Skills!N6</f>
        <v/>
      </c>
      <c r="G2373">
        <f>Calc!G6</f>
        <v/>
      </c>
      <c r="H2373">
        <f>Calc!H6</f>
        <v/>
      </c>
      <c r="I2373">
        <f>IF(Skills!T6&lt;&gt;"",1+(Skills!T6/10)*($Z$3/1000)/100,1)</f>
        <v/>
      </c>
      <c r="J2373">
        <f>((Inputs!$B$6*(1+Inputs!$B$7/100))+(((Inputs!$B$13*(1+Inputs!$B$14/100))-(Inputs!$B$13*(1+Inputs!$B$14/100)))+0.25*(Inputs!$B$15-Inputs!$B$15))*(1+Inputs!$B$7/100))*(F2373/100)</f>
        <v/>
      </c>
      <c r="K2373">
        <f>J2373*(1+(((Inputs!$B$13+IF(Inputs!$B$3&gt;=35,(10*INDEX(FactorTable!$B$2:$Y$301,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6="TRIUMPH_FEATHER",IF(C2383=TRUE,F2383,0),0)/100)*(1+IF(C2394=TRUE,F2394,0)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2373)</f>
        <v/>
      </c>
      <c r="L2373">
        <f>K2373*(MIN(Inputs!$B$23+(F2389-Calc!F22),(Inputs!$B$24+IF(ArtifactsInput!$M$15,CHOOSE(ArtifactsInput!$N$15+1,25,30,35,40,45,50)/100*(Inputs!$B$12-Inputs!$B$12),0)))/100+(Inputs!$B$24+IF(ArtifactsInput!$M$15,CHOOSE(ArtifactsInput!$N$15+1,25,30,35,40,45,50)/100*(Inputs!$B$12-Inputs!$B$12),0))/100)/2</f>
        <v/>
      </c>
      <c r="M2373">
        <f>L2373*(1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3">
        <f>L2373*(1-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2373*(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3">
        <f>(1-Summary!$B$11)*S2373+Summary!$B$11*U2373</f>
        <v/>
      </c>
      <c r="P2373">
        <f>IF(B2410=0,0,O2373/B2410)</f>
        <v/>
      </c>
      <c r="Q2373">
        <f>IFERROR(1/(IF(Inputs!$B$39="pvp",15,MAX(0.1,Skills!D6-IF(Skills!E6=TRUE,Inputs!$B$33,0)))*(1-IF(AND(ArtifactsInput!$M$27,Inputs!$B$4="Chapter Hunt"),CHOOSE(ArtifactsInput!$N$27+1,20,24,28,32,36,40),0)/100)),0)</f>
        <v/>
      </c>
      <c r="R2373">
        <f>IF(AND(Inputs!$B$39&lt;&gt;"pvp",Inputs!$B$44&gt;0),IF(MAX(0,Inputs!$B$44-B2407)&lt;=0,0,(INT(MAX(0,Inputs!$B$44-B2407)/(IF(Inputs!$B$39="pvp",15,MAX(0.1,Skills!D6-IF(Skills!E6=TRUE,Inputs!$B$33,0)))*(1-IF(AND(ArtifactsInput!$M$27,Inputs!$B$4="Chapter Hunt"),CHOOSE(ArtifactsInput!$N$27+1,20,24,28,32,36,40),0)/100)))+1)),0)</f>
        <v/>
      </c>
      <c r="S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$21+Skills!O6+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2373*(1-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2373*(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2373*(1-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2373*(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$22+Skills!P6+B2399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4">
      <c r="A2374">
        <f>Skills!A7</f>
        <v/>
      </c>
      <c r="B2374">
        <f>Skills!B7</f>
        <v/>
      </c>
      <c r="C2374">
        <f>Inputs!$B$3&gt;=122</f>
        <v/>
      </c>
      <c r="D2374">
        <f>IF(Skills!C7=1,60+Inputs!$B$26+Inputs!$B$30,IF(Skills!C7=2,90+Inputs!$B$27+Inputs!$B$30,IF(Skills!C7=3,120+Inputs!$B$28+Inputs!$B$30,MAX(0,(Inputs!$B$3-100)*3)+Inputs!$B$29+Inputs!$B$30)))</f>
        <v/>
      </c>
      <c r="E2374">
        <f>INDEX(FactorTable!$B$2:$Y$301, MATCH(ROUND(MIN(300,MAX(1,D2374)),0), FactorTable!$A$2:$A$301,0), Skills!L7+1)</f>
        <v/>
      </c>
      <c r="F2374">
        <f>IF(Skills!M7=TRUE,(Skills!K7/10)*(E2374/1000),Skills!K7/10)+Skills!N7</f>
        <v/>
      </c>
      <c r="G2374">
        <f>Calc!G7</f>
        <v/>
      </c>
      <c r="H2374">
        <f>Calc!H7</f>
        <v/>
      </c>
      <c r="I2374">
        <f>IF(Skills!T7&lt;&gt;"",1+(Skills!T7/10)*($Z$3/1000)/100,1)</f>
        <v/>
      </c>
      <c r="J2374">
        <f>((Inputs!$B$6*(1+Inputs!$B$7/100))+(((Inputs!$B$13*(1+Inputs!$B$14/100))-(Inputs!$B$13*(1+Inputs!$B$14/100)))+0.25*(Inputs!$B$15-Inputs!$B$15))*(1+Inputs!$B$7/100))*(F2374/100)</f>
        <v/>
      </c>
      <c r="K2374">
        <f>J2374*(1+(((Inputs!$B$13+IF(Inputs!$B$3&gt;=35,(10*INDEX(FactorTable!$B$2:$Y$301,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7="TRIUMPH_FEATHER",IF(C2383=TRUE,F2383,0),0)/100)*(1+IF(C2394=TRUE,F2394,0)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2374)</f>
        <v/>
      </c>
      <c r="L2374">
        <f>K2374*(MIN(Inputs!$B$23+(F2389-Calc!F22),(Inputs!$B$24+IF(ArtifactsInput!$M$15,CHOOSE(ArtifactsInput!$N$15+1,25,30,35,40,45,50)/100*(Inputs!$B$12-Inputs!$B$12),0)))/100+(Inputs!$B$24+IF(ArtifactsInput!$M$15,CHOOSE(ArtifactsInput!$N$15+1,25,30,35,40,45,50)/100*(Inputs!$B$12-Inputs!$B$12),0))/100)/2</f>
        <v/>
      </c>
      <c r="M2374">
        <f>L2374*(1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4">
        <f>L2374*(1-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(1-Summary!$B$11)*S2374+Summary!$B$11*U2374</f>
        <v/>
      </c>
      <c r="P2374">
        <f>IF(B2410=0,0,O2374/B2410)</f>
        <v/>
      </c>
      <c r="Q2374">
        <f>IFERROR(1/(IF(Inputs!$B$39="pvp",15,MAX(0.1,Skills!D7-IF(Skills!E6=TRUE,Inputs!$B$33,0)))*(1-IF(AND(ArtifactsInput!$M$27,Inputs!$B$4="Chapter Hunt"),CHOOSE(ArtifactsInput!$N$27+1,20,24,28,32,36,40),0)/100)),0)</f>
        <v/>
      </c>
      <c r="R2374">
        <f>IF(AND(Inputs!$B$39&lt;&gt;"pvp",Inputs!$B$44&gt;0),IF(MAX(0,Inputs!$B$44-B2407)&lt;=0,0,(INT(MAX(0,Inputs!$B$44-B2407)/(IF(Inputs!$B$39="pvp",15,MAX(0.1,Skills!D7-IF(Skills!E6=TRUE,Inputs!$B$33,0)))*(1-IF(AND(ArtifactsInput!$M$27,Inputs!$B$4="Chapter Hunt"),CHOOSE(ArtifactsInput!$N$27+1,20,24,28,32,36,40),0)/100)))+1)),0)</f>
        <v/>
      </c>
      <c r="S2374">
        <f>IF(C2374,H2374*N2374*IF(AND(Inputs!$B$39&lt;&gt;"pvp",Inputs!$B$44&gt;0),((Skills!F7*((R2374-1)*IF(Skills!G7&gt;0,Skills!H7/Skills!G7,1)+IF(Skills!G7&gt;0,MIN(Skills!H7,MAX(0,MAX(0,Inputs!$B$44-B2407)-((R2374-1)*(IF(Inputs!$B$39="pvp",15,MAX(0.1,Skills!D7-IF(Skills!E6=TRUE,Inputs!$B$33,0)))*(1-IF(AND(ArtifactsInput!$M$27,Inputs!$B$4="Chapter Hunt"),CHOOSE(ArtifactsInput!$N$27+1,20,24,28,32,36,40),0)/100)))))/Skills!G7,1)))/Inputs!$B$44),G2374*Q2374)*IF(Inputs!$B$39="pvp",1,1+(Inputs!$B$21+Skills!O7+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2374*(1-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t="n">
        <v>0</v>
      </c>
    </row>
    <row r="2375">
      <c r="A2375">
        <f>Skills!A8</f>
        <v/>
      </c>
      <c r="B2375">
        <f>Skills!B8</f>
        <v/>
      </c>
      <c r="C2375">
        <f>Inputs!$B$3&gt;=105</f>
        <v/>
      </c>
      <c r="D2375">
        <f>IF(Skills!C8=1,60+Inputs!$B$26+Inputs!$B$30,IF(Skills!C8=2,90+Inputs!$B$27+Inputs!$B$30,IF(Skills!C8=3,120+Inputs!$B$28+Inputs!$B$30,MAX(0,(Inputs!$B$3-100)*3)+Inputs!$B$29+Inputs!$B$30)))</f>
        <v/>
      </c>
      <c r="E2375">
        <f>INDEX(FactorTable!$B$2:$Y$301, MATCH(ROUND(MIN(300,MAX(1,D2375)),0), FactorTable!$A$2:$A$301,0), Skills!L8+1)</f>
        <v/>
      </c>
      <c r="F2375">
        <f>IF(Skills!M8=TRUE,(Skills!K8/10)*(E2375/1000),Skills!K8/10)+Skills!N8</f>
        <v/>
      </c>
      <c r="G2375">
        <f>Calc!G8</f>
        <v/>
      </c>
      <c r="H2375">
        <f>Calc!H8</f>
        <v/>
      </c>
      <c r="I2375">
        <f>IF(Skills!T8&lt;&gt;"",1+(Skills!T8/10)*($Z$3/1000)/100,1)</f>
        <v/>
      </c>
      <c r="J2375">
        <f>((Inputs!$B$6*(1+Inputs!$B$7/100))+(((Inputs!$B$13*(1+Inputs!$B$14/100))-(Inputs!$B$13*(1+Inputs!$B$14/100)))+0.25*(Inputs!$B$15-Inputs!$B$15))*(1+Inputs!$B$7/100))*(F2375/100)</f>
        <v/>
      </c>
      <c r="K2375">
        <f>J2375*(1+(((Inputs!$B$13+IF(Inputs!$B$3&gt;=35,(10*INDEX(FactorTable!$B$2:$Y$301,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8="TRIUMPH_FEATHER",IF(C2383=TRUE,F2383,0),0)/100)*(1+IF(C2394=TRUE,F2394,0)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2375)</f>
        <v/>
      </c>
      <c r="L2375">
        <f>K2375*(MIN(Inputs!$B$23+(F2389-Calc!F22),(Inputs!$B$24+IF(ArtifactsInput!$M$15,CHOOSE(ArtifactsInput!$N$15+1,25,30,35,40,45,50)/100*(Inputs!$B$12-Inputs!$B$12),0)))/100+(Inputs!$B$24+IF(ArtifactsInput!$M$15,CHOOSE(ArtifactsInput!$N$15+1,25,30,35,40,45,50)/100*(Inputs!$B$12-Inputs!$B$12),0))/100)/2</f>
        <v/>
      </c>
      <c r="M2375">
        <f>L2375*(1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5">
        <f>L2375*(1-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(1-Summary!$B$11)*S2375+Summary!$B$11*U2375</f>
        <v/>
      </c>
      <c r="P2375">
        <f>IF(B2410=0,0,O2375/B2410)</f>
        <v/>
      </c>
      <c r="Q2375">
        <f>IFERROR(1/(IF(Inputs!$B$39="pvp",15,MAX(0.1,Skills!D8-IF(Skills!E8=TRUE,Inputs!$B$33,0)))*(1-IF(AND(ArtifactsInput!$M$27,Inputs!$B$4="Chapter Hunt"),CHOOSE(ArtifactsInput!$N$27+1,20,24,28,32,36,40),0)/100)),0)</f>
        <v/>
      </c>
      <c r="R2375">
        <f>IF(AND(Inputs!$B$39&lt;&gt;"pvp",Inputs!$B$44&gt;0),IF(MAX(0,Inputs!$B$44-B2407)&lt;=0,0,(INT(MAX(0,Inputs!$B$44-B2407)/(IF(Inputs!$B$39="pvp",15,MAX(0.1,Skills!D8-IF(Skills!E8=TRUE,Inputs!$B$33,0)))*(1-IF(AND(ArtifactsInput!$M$27,Inputs!$B$4="Chapter Hunt"),CHOOSE(ArtifactsInput!$N$27+1,20,24,28,32,36,40),0)/100)))+1)),0)</f>
        <v/>
      </c>
      <c r="S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$21+Skills!O8+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2375*(1-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$22+Skills!P8+B2399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Skills!A9</f>
        <v/>
      </c>
      <c r="B2376">
        <f>Skills!B9</f>
        <v/>
      </c>
      <c r="C2376">
        <f>Inputs!$B$3&gt;=115</f>
        <v/>
      </c>
      <c r="D2376">
        <f>IF(Skills!C9=1,60+Inputs!$B$26+Inputs!$B$30,IF(Skills!C9=2,90+Inputs!$B$27+Inputs!$B$30,IF(Skills!C9=3,120+Inputs!$B$28+Inputs!$B$30,MAX(0,(Inputs!$B$3-100)*3)+Inputs!$B$29+Inputs!$B$30)))</f>
        <v/>
      </c>
      <c r="E2376">
        <f>INDEX(FactorTable!$B$2:$Y$301, MATCH(ROUND(MIN(300,MAX(1,D2376)),0), FactorTable!$A$2:$A$301,0), Skills!L9+1)</f>
        <v/>
      </c>
      <c r="F2376">
        <f>IF(Skills!M9=TRUE,(Skills!K9/10)*(E2376/1000),Skills!K9/10)+Skills!N9</f>
        <v/>
      </c>
      <c r="G2376">
        <f>Calc!G9</f>
        <v/>
      </c>
      <c r="H2376">
        <f>Calc!H9</f>
        <v/>
      </c>
      <c r="I2376">
        <f>IF(Skills!T9&lt;&gt;"",1+(Skills!T9/10)*($Z$3/1000)/100,1)</f>
        <v/>
      </c>
      <c r="J2376">
        <f>((Inputs!$B$6*(1+Inputs!$B$7/100))+(((Inputs!$B$13*(1+Inputs!$B$14/100))-(Inputs!$B$13*(1+Inputs!$B$14/100)))+0.25*(Inputs!$B$15-Inputs!$B$15))*(1+Inputs!$B$7/100))*(F2376/100)</f>
        <v/>
      </c>
      <c r="K2376">
        <f>J2376*(1+(((Inputs!$B$13+IF(Inputs!$B$3&gt;=35,(10*INDEX(FactorTable!$B$2:$Y$301,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9="TRIUMPH_FEATHER",IF(C2383=TRUE,F2383,0),0)/100)*(1+IF(C2394=TRUE,F2394,0)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2376)</f>
        <v/>
      </c>
      <c r="L2376">
        <f>K2376*(MIN(Inputs!$B$23+(F2389-Calc!F22),(Inputs!$B$24+IF(ArtifactsInput!$M$15,CHOOSE(ArtifactsInput!$N$15+1,25,30,35,40,45,50)/100*(Inputs!$B$12-Inputs!$B$12),0)))/100+(Inputs!$B$24+IF(ArtifactsInput!$M$15,CHOOSE(ArtifactsInput!$N$15+1,25,30,35,40,45,50)/100*(Inputs!$B$12-Inputs!$B$12),0))/100)/2</f>
        <v/>
      </c>
      <c r="M2376">
        <f>L2376*(1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6">
        <f>L2376*(1-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(1-Summary!$B$11)*S2376+Summary!$B$11*U2376</f>
        <v/>
      </c>
      <c r="P2376">
        <f>IF(B2410=0,0,O2376/B2410)</f>
        <v/>
      </c>
      <c r="Q2376">
        <f>IFERROR(1/(IF(Inputs!$B$39="pvp",15,MAX(0.1,Skills!D9-IF(Skills!E9=TRUE,Inputs!$B$33,0)))*(1-IF(AND(ArtifactsInput!$M$27,Inputs!$B$4="Chapter Hunt"),CHOOSE(ArtifactsInput!$N$27+1,20,24,28,32,36,40),0)/100)),0)</f>
        <v/>
      </c>
      <c r="R2376">
        <f>IF(AND(Inputs!$B$39&lt;&gt;"pvp",Inputs!$B$44&gt;0),IF(MAX(0,Inputs!$B$44-B2407)&lt;=0,0,(INT(MAX(0,Inputs!$B$44-B2407)/(IF(Inputs!$B$39="pvp",15,MAX(0.1,Skills!D9-IF(Skills!E9=TRUE,Inputs!$B$33,0)))*(1-IF(AND(ArtifactsInput!$M$27,Inputs!$B$4="Chapter Hunt"),CHOOSE(ArtifactsInput!$N$27+1,20,24,28,32,36,40),0)/100)))+1)),0)</f>
        <v/>
      </c>
      <c r="S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$21+Skills!O9+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2376*(1-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$22+Skills!P9+B2399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Skills!A10</f>
        <v/>
      </c>
      <c r="B2377">
        <f>Skills!B10</f>
        <v/>
      </c>
      <c r="C2377">
        <f>Inputs!$B$3&gt;=66</f>
        <v/>
      </c>
      <c r="D2377">
        <f>IF(Skills!C10=1,60+Inputs!$B$26+Inputs!$B$30,IF(Skills!C10=2,90+Inputs!$B$27+Inputs!$B$30,IF(Skills!C10=3,120+Inputs!$B$28+Inputs!$B$30,MAX(0,(Inputs!$B$3-100)*3)+Inputs!$B$29+Inputs!$B$30)))</f>
        <v/>
      </c>
      <c r="E2377">
        <f>INDEX(FactorTable!$B$2:$Y$301, MATCH(ROUND(MIN(300,MAX(1,D2377)),0), FactorTable!$A$2:$A$301,0), Skills!L10+1)</f>
        <v/>
      </c>
      <c r="F2377" t="n">
        <v>0</v>
      </c>
      <c r="G2377">
        <f>Calc!G10</f>
        <v/>
      </c>
      <c r="H2377">
        <f>Calc!H10</f>
        <v/>
      </c>
      <c r="I2377">
        <f>IF(Skills!T10&lt;&gt;"",1+(Skills!T10/10)*($Z$3/1000)/100,1)</f>
        <v/>
      </c>
      <c r="J2377" t="inlineStr"/>
      <c r="K2377" t="inlineStr"/>
      <c r="L2377" t="inlineStr"/>
      <c r="M2377" t="inlineStr"/>
      <c r="N2377" t="inlineStr"/>
      <c r="O2377">
        <f>(1-Summary!$B$11)*S2377+Summary!$B$11*U2377</f>
        <v/>
      </c>
      <c r="P2377">
        <f>IF(B2410=0,0,O2377/B2410)</f>
        <v/>
      </c>
      <c r="Q2377">
        <f>IFERROR(1/(IF(Inputs!$B$39="pvp",15,MAX(0.1,Skills!D10-IF(Skills!E10=TRUE,Inputs!$B$33,0)))*(1-IF(AND(ArtifactsInput!$M$27,Inputs!$B$4="Chapter Hunt"),CHOOSE(ArtifactsInput!$N$27+1,20,24,28,32,36,40),0)/100)),0)</f>
        <v/>
      </c>
      <c r="R2377">
        <f>IF(AND(Inputs!$B$39&lt;&gt;"pvp",Inputs!$B$44&gt;0),IF(MAX(0,Inputs!$B$44-B2407)&lt;=0,0,(INT(MAX(0,Inputs!$B$44-B2407)/(IF(Inputs!$B$39="pvp",15,MAX(0.1,Skills!D10-IF(Skills!E10=TRUE,Inputs!$B$33,0)))*(1-IF(AND(ArtifactsInput!$M$27,Inputs!$B$4="Chapter Hunt"),CHOOSE(ArtifactsInput!$N$27+1,20,24,28,32,36,40),0)/100)))+1)),0)</f>
        <v/>
      </c>
      <c r="S2377" t="n">
        <v>0</v>
      </c>
      <c r="U2377" t="n">
        <v>0</v>
      </c>
    </row>
    <row r="2378">
      <c r="A2378">
        <f>Skills!A11</f>
        <v/>
      </c>
      <c r="B2378">
        <f>Skills!B11</f>
        <v/>
      </c>
      <c r="C2378">
        <f>Inputs!$B$3&gt;=69</f>
        <v/>
      </c>
      <c r="D2378">
        <f>IF(Skills!C11=1,60+Inputs!$B$26+Inputs!$B$30,IF(Skills!C11=2,90+Inputs!$B$27+Inputs!$B$30,IF(Skills!C11=3,120+Inputs!$B$28+Inputs!$B$30,MAX(0,(Inputs!$B$3-100)*3)+Inputs!$B$29+Inputs!$B$30)))</f>
        <v/>
      </c>
      <c r="E2378">
        <f>INDEX(FactorTable!$B$2:$Y$301, MATCH(ROUND(MIN(300,MAX(1,D2378)),0), FactorTable!$A$2:$A$301,0), Skills!L11+1)</f>
        <v/>
      </c>
      <c r="F2378">
        <f>IF(Skills!M11=TRUE,(Skills!K11/10)*(E2378/1000),Skills!K11/10)+Skills!N11</f>
        <v/>
      </c>
      <c r="G2378">
        <f>Calc!G11</f>
        <v/>
      </c>
      <c r="H2378">
        <f>Calc!H11</f>
        <v/>
      </c>
      <c r="I2378">
        <f>IF(Skills!T11&lt;&gt;"",1+(Skills!T11/10)*($Z$3/1000)/100,1)</f>
        <v/>
      </c>
      <c r="J2378" t="inlineStr"/>
      <c r="K2378" t="inlineStr"/>
      <c r="L2378" t="inlineStr"/>
      <c r="M2378" t="inlineStr"/>
      <c r="N2378" t="inlineStr"/>
      <c r="O2378">
        <f>(1-Summary!$B$11)*S2378+Summary!$B$11*U2378</f>
        <v/>
      </c>
      <c r="P2378">
        <f>IF(B2410=0,0,O2378/B2410)</f>
        <v/>
      </c>
      <c r="Q2378">
        <f>IFERROR(1/(IF(Inputs!$B$39="pvp",15,MAX(0.1,Skills!D11-IF(Skills!E11=TRUE,Inputs!$B$33,0)))*(1-IF(AND(ArtifactsInput!$M$27,Inputs!$B$4="Chapter Hunt"),CHOOSE(ArtifactsInput!$N$27+1,20,24,28,32,36,40),0)/100)),0)</f>
        <v/>
      </c>
      <c r="R2378">
        <f>IF(AND(Inputs!$B$39&lt;&gt;"pvp",Inputs!$B$44&gt;0),IF(Inputs!$B$44&lt;=0,0,(INT(Inputs!$B$44/(IF(Inputs!$B$39="pvp",15,MAX(0.1,Skills!D11-IF(Skills!E11=TRUE,Inputs!$B$33,0)))*(1-IF(AND(ArtifactsInput!$M$27,Inputs!$B$4="Chapter Hunt"),CHOOSE(ArtifactsInput!$N$27+1,20,24,28,32,36,40),0)/100)))+1)),0)</f>
        <v/>
      </c>
      <c r="S2378" t="n">
        <v>0</v>
      </c>
      <c r="U2378" t="n">
        <v>0</v>
      </c>
    </row>
    <row r="2379">
      <c r="A2379">
        <f>Skills!A12</f>
        <v/>
      </c>
      <c r="B2379">
        <f>Skills!B12</f>
        <v/>
      </c>
      <c r="C2379">
        <f>Inputs!$B$3&gt;=72</f>
        <v/>
      </c>
      <c r="D2379">
        <f>IF(Skills!C12=1,60+Inputs!$B$26+Inputs!$B$30,IF(Skills!C12=2,90+Inputs!$B$27+Inputs!$B$30,IF(Skills!C12=3,120+Inputs!$B$28+Inputs!$B$30,MAX(0,(Inputs!$B$3-100)*3)+Inputs!$B$29+Inputs!$B$30)))</f>
        <v/>
      </c>
      <c r="E2379">
        <f>INDEX(FactorTable!$B$2:$Y$301, MATCH(ROUND(MIN(300,MAX(1,D2379)),0), FactorTable!$A$2:$A$301,0), Skills!L12+1)</f>
        <v/>
      </c>
      <c r="F2379">
        <f>IF(Skills!M12=TRUE,(Skills!K12/10)*(E2379/1000),Skills!K12/10)+Skills!N12</f>
        <v/>
      </c>
      <c r="G2379">
        <f>Calc!G12</f>
        <v/>
      </c>
      <c r="H2379">
        <f>Calc!H12</f>
        <v/>
      </c>
      <c r="I2379">
        <f>IF(Skills!T12&lt;&gt;"",1+(Skills!T12/10)*($Z$3/1000)/100,1)</f>
        <v/>
      </c>
      <c r="J2379" t="inlineStr"/>
      <c r="K2379" t="inlineStr"/>
      <c r="L2379" t="inlineStr"/>
      <c r="M2379" t="inlineStr"/>
      <c r="N2379" t="inlineStr"/>
      <c r="O2379">
        <f>(1-Summary!$B$11)*S2379+Summary!$B$11*U2379</f>
        <v/>
      </c>
      <c r="P2379">
        <f>IF(B2410=0,0,O2379/B2410)</f>
        <v/>
      </c>
      <c r="Q2379">
        <f>IFERROR(1/(IF(Inputs!$B$39="pvp",15,MAX(0.1,Skills!D12-IF(Skills!E12=TRUE,Inputs!$B$33,0)))*(1-IF(AND(ArtifactsInput!$M$27,Inputs!$B$4="Chapter Hunt"),CHOOSE(ArtifactsInput!$N$27+1,20,24,28,32,36,40),0)/100)),0)</f>
        <v/>
      </c>
      <c r="R2379">
        <f>IF(AND(Inputs!$B$39&lt;&gt;"pvp",Inputs!$B$44&gt;0),IF(MAX(0,Inputs!$B$44-B2407)&lt;=0,0,(INT(MAX(0,Inputs!$B$44-B2407)/(IF(Inputs!$B$39="pvp",15,MAX(0.1,Skills!D12-IF(Skills!E12=TRUE,Inputs!$B$33,0)))*(1-IF(AND(ArtifactsInput!$M$27,Inputs!$B$4="Chapter Hunt"),CHOOSE(ArtifactsInput!$N$27+1,20,24,28,32,36,40),0)/100)))+1)),0)</f>
        <v/>
      </c>
      <c r="S2379" t="n">
        <v>0</v>
      </c>
      <c r="U2379" t="n">
        <v>0</v>
      </c>
    </row>
    <row r="2380">
      <c r="A2380">
        <f>Skills!A13</f>
        <v/>
      </c>
      <c r="B2380">
        <f>Skills!B13</f>
        <v/>
      </c>
      <c r="C2380">
        <f>Inputs!$B$3&gt;=60</f>
        <v/>
      </c>
      <c r="D2380">
        <f>IF(Skills!C13=1,60+Inputs!$B$26+Inputs!$B$30,IF(Skills!C13=2,90+Inputs!$B$27+Inputs!$B$30,IF(Skills!C13=3,120+Inputs!$B$28+Inputs!$B$30,MAX(0,(Inputs!$B$3-100)*3)+Inputs!$B$29+Inputs!$B$30)))</f>
        <v/>
      </c>
      <c r="E2380">
        <f>INDEX(FactorTable!$B$2:$Y$301, MATCH(ROUND(MIN(300,MAX(1,D2380)),0), FactorTable!$A$2:$A$301,0), Skills!L13+1)</f>
        <v/>
      </c>
      <c r="F2380">
        <f>IF(Skills!M13=TRUE,(Skills!K13/10)*(E2380/1000),Skills!K13/10)+Skills!N13</f>
        <v/>
      </c>
      <c r="G2380">
        <f>Calc!G13</f>
        <v/>
      </c>
      <c r="H2380">
        <f>Calc!H13</f>
        <v/>
      </c>
      <c r="I2380">
        <f>IF(Skills!T13&lt;&gt;"",1+(Skills!T13/10)*($Z$3/1000)/100,1)</f>
        <v/>
      </c>
      <c r="J2380" t="inlineStr"/>
      <c r="K2380" t="inlineStr"/>
      <c r="L2380" t="inlineStr"/>
      <c r="M2380" t="inlineStr"/>
      <c r="N2380" t="inlineStr"/>
      <c r="O2380">
        <f>(1-Summary!$B$11)*S2380+Summary!$B$11*U2380</f>
        <v/>
      </c>
      <c r="P2380">
        <f>IF(B2410=0,0,O2380/B2410)</f>
        <v/>
      </c>
      <c r="Q2380">
        <f>IFERROR(1/(IF(Inputs!$B$39="pvp",15,MAX(0.1,Skills!D13-IF(Skills!E13=TRUE,Inputs!$B$33,0)))*(1-IF(AND(ArtifactsInput!$M$27,Inputs!$B$4="Chapter Hunt"),CHOOSE(ArtifactsInput!$N$27+1,20,24,28,32,36,40),0)/100)),0)</f>
        <v/>
      </c>
      <c r="R2380">
        <f>IF(AND(Inputs!$B$39&lt;&gt;"pvp",Inputs!$B$44&gt;0),IF(MAX(0,Inputs!$B$44-B2407)&lt;=0,0,(INT(MAX(0,Inputs!$B$44-B2407)/(IF(Inputs!$B$39="pvp",15,MAX(0.1,Skills!D13-IF(Skills!E13=TRUE,Inputs!$B$33,0)))*(1-IF(AND(ArtifactsInput!$M$27,Inputs!$B$4="Chapter Hunt"),CHOOSE(ArtifactsInput!$N$27+1,20,24,28,32,36,40),0)/100)))+1)),0)</f>
        <v/>
      </c>
      <c r="S2380" t="n">
        <v>0</v>
      </c>
      <c r="U2380" t="n">
        <v>0</v>
      </c>
    </row>
    <row r="2381">
      <c r="A2381">
        <f>Skills!A14</f>
        <v/>
      </c>
      <c r="B2381">
        <f>Skills!B14</f>
        <v/>
      </c>
      <c r="C2381">
        <f>Inputs!$B$3&gt;=107</f>
        <v/>
      </c>
      <c r="D2381">
        <f>IF(Skills!C14=1,60+Inputs!$B$26+Inputs!$B$30,IF(Skills!C14=2,90+Inputs!$B$27+Inputs!$B$30,IF(Skills!C14=3,120+Inputs!$B$28+Inputs!$B$30,MAX(0,(Inputs!$B$3-100)*3)+Inputs!$B$29+Inputs!$B$30)))</f>
        <v/>
      </c>
      <c r="E2381">
        <f>INDEX(FactorTable!$B$2:$Y$301, MATCH(ROUND(MIN(300,MAX(1,D2381)),0), FactorTable!$A$2:$A$301,0), Skills!L14+1)</f>
        <v/>
      </c>
      <c r="F2381">
        <f>IF(Skills!M14=TRUE,(Skills!K14/10)*(E2381/1000),Skills!K14/10)+Skills!N14</f>
        <v/>
      </c>
      <c r="G2381">
        <f>Calc!G14</f>
        <v/>
      </c>
      <c r="H2381">
        <f>Calc!H14</f>
        <v/>
      </c>
      <c r="I2381">
        <f>IF(Skills!T14&lt;&gt;"",1+(Skills!T14/10)*($Z$3/1000)/100,1)</f>
        <v/>
      </c>
      <c r="J2381" t="inlineStr"/>
      <c r="K2381" t="inlineStr"/>
      <c r="L2381" t="inlineStr"/>
      <c r="M2381" t="inlineStr"/>
      <c r="N2381" t="inlineStr"/>
      <c r="O2381">
        <f>(1-Summary!$B$11)*S2381+Summary!$B$11*U2381</f>
        <v/>
      </c>
      <c r="P2381">
        <f>IF(B2410=0,0,O2381/B2410)</f>
        <v/>
      </c>
      <c r="Q2381">
        <f>IFERROR(1/(IF(Inputs!$B$39="pvp",15,MAX(0.1,Skills!D14-IF(Skills!E14=TRUE,Inputs!$B$33,0)))*(1-IF(AND(ArtifactsInput!$M$27,Inputs!$B$4="Chapter Hunt"),CHOOSE(ArtifactsInput!$N$27+1,20,24,28,32,36,40),0)/100)),0)</f>
        <v/>
      </c>
      <c r="R2381">
        <f>IF(AND(Inputs!$B$39&lt;&gt;"pvp",Inputs!$B$44&gt;0),IF(Inputs!$B$44&lt;=0,0,(INT(Inputs!$B$44/(IF(Inputs!$B$39="pvp",15,MAX(0.1,Skills!D14-IF(Skills!E14=TRUE,Inputs!$B$33,0)))*(1-IF(AND(ArtifactsInput!$M$27,Inputs!$B$4="Chapter Hunt"),CHOOSE(ArtifactsInput!$N$27+1,20,24,28,32,36,40),0)/100)))+1)),0)</f>
        <v/>
      </c>
      <c r="S2381" t="n">
        <v>0</v>
      </c>
      <c r="U2381" t="n">
        <v>0</v>
      </c>
    </row>
    <row r="2382">
      <c r="A2382">
        <f>Skills!A15</f>
        <v/>
      </c>
      <c r="B2382">
        <f>Skills!B15</f>
        <v/>
      </c>
      <c r="C2382">
        <f>Inputs!$B$3&gt;=63</f>
        <v/>
      </c>
      <c r="D2382">
        <f>IF(Skills!C15=1,60+Inputs!$B$26+Inputs!$B$30,IF(Skills!C15=2,90+Inputs!$B$27+Inputs!$B$30,IF(Skills!C15=3,120+Inputs!$B$28+Inputs!$B$30,MAX(0,(Inputs!$B$3-100)*3)+Inputs!$B$29+Inputs!$B$30)))</f>
        <v/>
      </c>
      <c r="E2382">
        <f>INDEX(FactorTable!$B$2:$Y$301, MATCH(ROUND(MIN(300,MAX(1,D2382)),0), FactorTable!$A$2:$A$301,0), Skills!L15+1)</f>
        <v/>
      </c>
      <c r="F2382">
        <f>IF(Skills!M15=TRUE,(Skills!K15/10)*(E2382/1000),Skills!K15/10)+Skills!N15</f>
        <v/>
      </c>
      <c r="G2382">
        <f>Calc!G15</f>
        <v/>
      </c>
      <c r="H2382">
        <f>Calc!H15</f>
        <v/>
      </c>
      <c r="I2382">
        <f>IF(Skills!T15&lt;&gt;"",1+(Skills!T15/10)*($Z$3/1000)/100,1)</f>
        <v/>
      </c>
      <c r="J2382">
        <f>((Inputs!$B$6*(1+Inputs!$B$7/100))+(((Inputs!$B$13*(1+Inputs!$B$14/100))-(Inputs!$B$13*(1+Inputs!$B$14/100)))+0.25*(Inputs!$B$15-Inputs!$B$15))*(1+Inputs!$B$7/100))*(F2382/100)</f>
        <v/>
      </c>
      <c r="K2382">
        <f>J2382*(1+(((Inputs!$B$13+IF(Inputs!$B$3&gt;=35,(10*INDEX(FactorTable!$B$2:$Y$301,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15="TRIUMPH_FEATHER",IF(C2383=TRUE,F2383,0),0)/100)*(1+IF(C2394=TRUE,F2394,0)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2382)</f>
        <v/>
      </c>
      <c r="L2382">
        <f>K2382*(MIN(Inputs!$B$23+(F2389-Calc!F22),(Inputs!$B$24+IF(ArtifactsInput!$M$15,CHOOSE(ArtifactsInput!$N$15+1,25,30,35,40,45,50)/100*(Inputs!$B$12-Inputs!$B$12),0)))/100+(Inputs!$B$24+IF(ArtifactsInput!$M$15,CHOOSE(ArtifactsInput!$N$15+1,25,30,35,40,45,50)/100*(Inputs!$B$12-Inputs!$B$12),0))/100)/2</f>
        <v/>
      </c>
      <c r="M2382">
        <f>L2382*(1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82">
        <f>L2382*(1-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(1-Summary!$B$11)*S2382+Summary!$B$11*U2382</f>
        <v/>
      </c>
      <c r="P2382">
        <f>IF(B2410=0,0,O2382/B2410)</f>
        <v/>
      </c>
      <c r="Q2382">
        <f>IFERROR(1/(IF(Inputs!$B$39="pvp",15,MAX(0.1,Skills!D15-IF(Skills!E15=TRUE,Inputs!$B$33,0)))*(1-IF(AND(ArtifactsInput!$M$27,Inputs!$B$4="Chapter Hunt"),CHOOSE(ArtifactsInput!$N$27+1,20,24,28,32,36,40),0)/100)),0)</f>
        <v/>
      </c>
      <c r="R2382" t="n">
        <v>0</v>
      </c>
      <c r="S2382">
        <f>IF(C2382,(Skills!F15*N2382*((IF(Inputs!$B$3&gt;=78,25,15)/100*B2403*10)/(1+IF(Inputs!$B$3&gt;=78,25,15)/100*B2403*10))*(Skills!I15/100*B2403)/(1+Skills!G15*Skills!I15/100*B2403))*IF(Inputs!$B$39="pvp",1,1+(Inputs!$B$21+Skills!O15+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2382*(1-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2">
        <f>IF(C2382,(Skills!F15*N2382*((IF(Inputs!$B$3&gt;=78,25,15)/100*B2403*10)/(1+IF(Inputs!$B$3&gt;=78,25,15)/100*B2403*10))*(Skills!I15/100*B2403)/(1+Skills!G15*Skills!I15/100*B2403))*IF(Inputs!$B$39="pvp",1,(1+(Inputs!$B$22+Skills!P15+B2399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Skills!A16</f>
        <v/>
      </c>
      <c r="B2383">
        <f>Skills!B16</f>
        <v/>
      </c>
      <c r="C2383">
        <f>Inputs!$B$3&gt;=100</f>
        <v/>
      </c>
      <c r="D2383">
        <f>IF(Skills!C16=1,60+Inputs!$B$26+Inputs!$B$30,IF(Skills!C16=2,90+Inputs!$B$27+Inputs!$B$30,IF(Skills!C16=3,120+Inputs!$B$28+Inputs!$B$30,MAX(0,(Inputs!$B$3-100)*3)+Inputs!$B$29+Inputs!$B$30)))</f>
        <v/>
      </c>
      <c r="E2383">
        <f>INDEX(FactorTable!$B$2:$Y$301, MATCH(ROUND(MIN(300,MAX(1,D2383)),0), FactorTable!$A$2:$A$301,0), Skills!L16+1)</f>
        <v/>
      </c>
      <c r="F2383">
        <f>IF(Skills!M16=TRUE,(Skills!K16/10)*(E2383/1000),Skills!K16/10)+Skills!N16</f>
        <v/>
      </c>
      <c r="G2383">
        <f>Calc!G16</f>
        <v/>
      </c>
      <c r="H2383">
        <f>Calc!H16</f>
        <v/>
      </c>
      <c r="I2383">
        <f>IF(Skills!T16&lt;&gt;"",1+(Skills!T16/10)*($Z$3/1000)/100,1)</f>
        <v/>
      </c>
      <c r="J2383" t="inlineStr"/>
      <c r="K2383" t="inlineStr"/>
      <c r="L2383" t="inlineStr"/>
      <c r="M2383" t="inlineStr"/>
      <c r="N2383" t="inlineStr"/>
      <c r="O2383">
        <f>(1-Summary!$B$11)*S2383+Summary!$B$11*U2383</f>
        <v/>
      </c>
      <c r="P2383">
        <f>IF(B2410=0,0,O2383/B2410)</f>
        <v/>
      </c>
      <c r="Q2383">
        <f>IFERROR(1/(IF(Inputs!$B$39="pvp",15,MAX(0.1,Skills!D16-IF(Skills!E16=TRUE,Inputs!$B$33,0)))*(1-IF(AND(ArtifactsInput!$M$27,Inputs!$B$4="Chapter Hunt"),CHOOSE(ArtifactsInput!$N$27+1,20,24,28,32,36,40),0)/100)),0)</f>
        <v/>
      </c>
      <c r="R2383" t="n">
        <v>0</v>
      </c>
      <c r="S2383" t="n">
        <v>0</v>
      </c>
      <c r="U2383" t="n">
        <v>0</v>
      </c>
    </row>
    <row r="2384">
      <c r="A2384">
        <f>Skills!A17</f>
        <v/>
      </c>
      <c r="B2384">
        <f>Skills!B17</f>
        <v/>
      </c>
      <c r="C2384">
        <f>Inputs!$B$3&gt;=49</f>
        <v/>
      </c>
      <c r="D2384">
        <f>IF(Skills!C17=1,60+Inputs!$B$26+Inputs!$B$30,IF(Skills!C17=2,90+Inputs!$B$27+Inputs!$B$30,IF(Skills!C17=3,120+Inputs!$B$28+Inputs!$B$30,MAX(0,(Inputs!$B$3-100)*3)+Inputs!$B$29+Inputs!$B$30)))</f>
        <v/>
      </c>
      <c r="E2384">
        <f>INDEX(FactorTable!$B$2:$Y$301, MATCH(ROUND(MIN(300,MAX(1,D2384)),0), FactorTable!$A$2:$A$301,0), Skills!L17+1)</f>
        <v/>
      </c>
      <c r="F2384">
        <f>IF(Skills!M17=TRUE,(Skills!K17/10)*(E2384/1000),Skills!K17/10)+Skills!N17</f>
        <v/>
      </c>
      <c r="G2384">
        <f>Calc!G17</f>
        <v/>
      </c>
      <c r="H2384">
        <f>Calc!H17</f>
        <v/>
      </c>
      <c r="I2384">
        <f>IF(Skills!T17&lt;&gt;"",1+(Skills!T17/10)*($Z$3/1000)/100,1)</f>
        <v/>
      </c>
      <c r="J2384" t="inlineStr"/>
      <c r="K2384" t="inlineStr"/>
      <c r="L2384" t="inlineStr"/>
      <c r="M2384" t="inlineStr"/>
      <c r="N2384" t="inlineStr"/>
      <c r="O2384">
        <f>(1-Summary!$B$11)*S2384+Summary!$B$11*U2384</f>
        <v/>
      </c>
      <c r="P2384">
        <f>IF(B2410=0,0,O2384/B2410)</f>
        <v/>
      </c>
      <c r="Q2384">
        <f>IFERROR(1/(IF(Inputs!$B$39="pvp",15,MAX(0.1,Skills!D17-IF(Skills!E17=TRUE,Inputs!$B$33,0)))*(1-IF(AND(ArtifactsInput!$M$27,Inputs!$B$4="Chapter Hunt"),CHOOSE(ArtifactsInput!$N$27+1,20,24,28,32,36,40),0)/100)),0)</f>
        <v/>
      </c>
      <c r="R2384" t="n">
        <v>0</v>
      </c>
      <c r="S2384" t="n">
        <v>0</v>
      </c>
      <c r="U2384" t="n">
        <v>0</v>
      </c>
    </row>
    <row r="2385">
      <c r="A2385">
        <f>Skills!A18</f>
        <v/>
      </c>
      <c r="B2385">
        <f>Skills!B18</f>
        <v/>
      </c>
      <c r="C2385">
        <f>Inputs!$B$3&gt;=75</f>
        <v/>
      </c>
      <c r="D2385">
        <f>IF(Skills!C18=1,60+Inputs!$B$26+Inputs!$B$30,IF(Skills!C18=2,90+Inputs!$B$27+Inputs!$B$30,IF(Skills!C18=3,120+Inputs!$B$28+Inputs!$B$30,MAX(0,(Inputs!$B$3-100)*3)+Inputs!$B$29+Inputs!$B$30)))</f>
        <v/>
      </c>
      <c r="E2385">
        <f>INDEX(FactorTable!$B$2:$Y$301, MATCH(ROUND(MIN(300,MAX(1,D2385)),0), FactorTable!$A$2:$A$301,0), Skills!L18+1)</f>
        <v/>
      </c>
      <c r="F2385">
        <f>IF(Skills!M18=TRUE,(Skills!K18/10)*(E2385/1000),Skills!K18/10)+Skills!N18</f>
        <v/>
      </c>
      <c r="G2385">
        <f>Calc!G18</f>
        <v/>
      </c>
      <c r="H2385">
        <f>Calc!H18</f>
        <v/>
      </c>
      <c r="I2385">
        <f>IF(Skills!T18&lt;&gt;"",1+(Skills!T18/10)*($Z$3/1000)/100,1)</f>
        <v/>
      </c>
      <c r="J2385" t="inlineStr"/>
      <c r="K2385" t="inlineStr"/>
      <c r="L2385" t="inlineStr"/>
      <c r="M2385" t="inlineStr"/>
      <c r="N2385" t="inlineStr"/>
      <c r="O2385">
        <f>(1-Summary!$B$11)*S2385+Summary!$B$11*U2385</f>
        <v/>
      </c>
      <c r="P2385">
        <f>IF(B2410=0,0,O2385/B2410)</f>
        <v/>
      </c>
      <c r="Q2385">
        <f>IFERROR(1/(IF(Inputs!$B$39="pvp",15,MAX(0.1,Skills!D18-IF(Skills!E18=TRUE,Inputs!$B$33,0)))*(1-IF(AND(ArtifactsInput!$M$27,Inputs!$B$4="Chapter Hunt"),CHOOSE(ArtifactsInput!$N$27+1,20,24,28,32,36,40),0)/100)),0)</f>
        <v/>
      </c>
      <c r="R2385" t="n">
        <v>0</v>
      </c>
      <c r="S2385" t="n">
        <v>0</v>
      </c>
      <c r="U2385" t="n">
        <v>0</v>
      </c>
    </row>
    <row r="2386">
      <c r="A2386">
        <f>Skills!A19</f>
        <v/>
      </c>
      <c r="B2386">
        <f>Skills!B19</f>
        <v/>
      </c>
      <c r="C2386">
        <f>Inputs!$B$3&gt;=110</f>
        <v/>
      </c>
      <c r="D2386">
        <f>IF(Skills!C19=1,60+Inputs!$B$26+Inputs!$B$30,IF(Skills!C19=2,90+Inputs!$B$27+Inputs!$B$30,IF(Skills!C19=3,120+Inputs!$B$28+Inputs!$B$30,MAX(0,(Inputs!$B$3-100)*3)+Inputs!$B$29+Inputs!$B$30)))</f>
        <v/>
      </c>
      <c r="E2386">
        <f>INDEX(FactorTable!$B$2:$Y$301, MATCH(ROUND(MIN(300,MAX(1,D2386)),0), FactorTable!$A$2:$A$301,0), Skills!L19+1)</f>
        <v/>
      </c>
      <c r="F2386">
        <f>(Skills!K19/10)*(E2386/1000)*64/45+Skills!N19</f>
        <v/>
      </c>
      <c r="G2386">
        <f>Calc!G19</f>
        <v/>
      </c>
      <c r="H2386">
        <f>Calc!H19</f>
        <v/>
      </c>
      <c r="I2386">
        <f>IF(Skills!T19&lt;&gt;"",1+(Skills!T19/10)*($Z$3/1000)/100,1)</f>
        <v/>
      </c>
      <c r="J2386" t="inlineStr"/>
      <c r="K2386" t="inlineStr"/>
      <c r="L2386" t="inlineStr"/>
      <c r="M2386" t="inlineStr"/>
      <c r="N2386" t="inlineStr"/>
      <c r="O2386">
        <f>(1-Summary!$B$11)*S2386+Summary!$B$11*U2386</f>
        <v/>
      </c>
      <c r="P2386">
        <f>IF(B2410=0,0,O2386/B2410)</f>
        <v/>
      </c>
      <c r="Q2386">
        <f>IFERROR(1/(IF(Inputs!$B$39="pvp",15,MAX(0.1,Skills!D19-IF(Skills!E19=TRUE,Inputs!$B$33,0)))*(1-IF(AND(ArtifactsInput!$M$27,Inputs!$B$4="Chapter Hunt"),CHOOSE(ArtifactsInput!$N$27+1,20,24,28,32,36,40),0)/100)),0)</f>
        <v/>
      </c>
      <c r="R2386">
        <f>IF(AND(Inputs!$B$39&lt;&gt;"pvp",Inputs!$B$44&gt;0),IF(Inputs!$B$44&lt;=0,0,(INT(Inputs!$B$44/(IF(Inputs!$B$39="pvp",15,MAX(0.1,Skills!D19-IF(Skills!E19=TRUE,Inputs!$B$33,0)))*(1-IF(AND(ArtifactsInput!$M$27,Inputs!$B$4="Chapter Hunt"),CHOOSE(ArtifactsInput!$N$27+1,20,24,28,32,36,40),0)/100)))+1)),0)</f>
        <v/>
      </c>
      <c r="S2386" t="n">
        <v>0</v>
      </c>
      <c r="U2386" t="n">
        <v>0</v>
      </c>
    </row>
    <row r="2387">
      <c r="A2387">
        <f>Skills!A20</f>
        <v/>
      </c>
      <c r="B2387">
        <f>Skills!B20</f>
        <v/>
      </c>
      <c r="C2387">
        <f>Inputs!$B$3&gt;=125</f>
        <v/>
      </c>
      <c r="D2387">
        <f>IF(Skills!C20=1,60+Inputs!$B$26+Inputs!$B$30,IF(Skills!C20=2,90+Inputs!$B$27+Inputs!$B$30,IF(Skills!C20=3,120+Inputs!$B$28+Inputs!$B$30,MAX(0,(Inputs!$B$3-100)*3)+Inputs!$B$29+Inputs!$B$30)))</f>
        <v/>
      </c>
      <c r="E2387">
        <f>INDEX(FactorTable!$B$2:$Y$301, MATCH(ROUND(MIN(300,MAX(1,D2387)),0), FactorTable!$A$2:$A$301,0), Skills!L20+1)</f>
        <v/>
      </c>
      <c r="F2387">
        <f>IF(Skills!M20=TRUE,(Skills!K20/10)*(E2387/1000),Skills!K20/10)+Skills!N20</f>
        <v/>
      </c>
      <c r="G2387">
        <f>Calc!G20</f>
        <v/>
      </c>
      <c r="H2387">
        <f>Calc!H20</f>
        <v/>
      </c>
      <c r="I2387">
        <f>IF(Skills!T20&lt;&gt;"",1+(Skills!T20/10)*($Z$3/1000)/100,1)</f>
        <v/>
      </c>
      <c r="J2387" t="inlineStr"/>
      <c r="K2387" t="inlineStr"/>
      <c r="L2387" t="inlineStr"/>
      <c r="M2387" t="inlineStr"/>
      <c r="N2387" t="inlineStr"/>
      <c r="O2387">
        <f>(1-Summary!$B$11)*S2387+Summary!$B$11*U2387</f>
        <v/>
      </c>
      <c r="P2387">
        <f>IF(B2410=0,0,O2387/B2410)</f>
        <v/>
      </c>
      <c r="Q2387">
        <f>IFERROR(1/(IF(Inputs!$B$39="pvp",15,MAX(0.1,Skills!D20-IF(Skills!E20=TRUE,Inputs!$B$33,0)))*(1-IF(AND(ArtifactsInput!$M$27,Inputs!$B$4="Chapter Hunt"),CHOOSE(ArtifactsInput!$N$27+1,20,24,28,32,36,40),0)/100)),0)</f>
        <v/>
      </c>
      <c r="R2387" t="n">
        <v>0</v>
      </c>
      <c r="S2387" t="n">
        <v>0</v>
      </c>
      <c r="U2387" t="n">
        <v>0</v>
      </c>
    </row>
    <row r="2388">
      <c r="A2388">
        <f>Skills!A21</f>
        <v/>
      </c>
      <c r="B2388">
        <f>Skills!B21</f>
        <v/>
      </c>
      <c r="C2388">
        <f>Inputs!$B$3&gt;=33</f>
        <v/>
      </c>
      <c r="D2388">
        <f>IF(Skills!C21=1,60+Inputs!$B$26+Inputs!$B$30,IF(Skills!C21=2,90+Inputs!$B$27+Inputs!$B$30,IF(Skills!C21=3,120+Inputs!$B$28+Inputs!$B$30,MAX(0,(Inputs!$B$3-100)*3)+Inputs!$B$29+Inputs!$B$30)))</f>
        <v/>
      </c>
      <c r="E2388">
        <f>INDEX(FactorTable!$B$2:$Y$301, MATCH(ROUND(MIN(300,MAX(1,D2388)),0), FactorTable!$A$2:$A$301,0), Skills!L21+1)</f>
        <v/>
      </c>
      <c r="F2388">
        <f>IF(Skills!M21=TRUE,(Skills!K21/10)*(E2388/1000),Skills!K21/10)+Skills!N21</f>
        <v/>
      </c>
      <c r="G2388">
        <f>Calc!G21</f>
        <v/>
      </c>
      <c r="H2388">
        <f>Calc!H21</f>
        <v/>
      </c>
      <c r="I2388">
        <f>IF(Skills!T21&lt;&gt;"",1+(Skills!T21/10)*($Z$3/1000)/100,1)</f>
        <v/>
      </c>
      <c r="J2388" t="inlineStr"/>
      <c r="K2388" t="inlineStr"/>
      <c r="L2388" t="inlineStr"/>
      <c r="M2388" t="inlineStr"/>
      <c r="N2388" t="inlineStr"/>
      <c r="O2388">
        <f>(1-Summary!$B$11)*S2388+Summary!$B$11*U2388</f>
        <v/>
      </c>
      <c r="P2388">
        <f>IF(B2410=0,0,O2388/B2410)</f>
        <v/>
      </c>
      <c r="Q2388">
        <f>IFERROR(1/(IF(Inputs!$B$39="pvp",15,MAX(0.1,Skills!D21-IF(Skills!E21=TRUE,Inputs!$B$33,0)))*(1-IF(AND(ArtifactsInput!$M$27,Inputs!$B$4="Chapter Hunt"),CHOOSE(ArtifactsInput!$N$27+1,20,24,28,32,36,40),0)/100)),0)</f>
        <v/>
      </c>
      <c r="R2388" t="n">
        <v>0</v>
      </c>
      <c r="S2388" t="n">
        <v>0</v>
      </c>
      <c r="U2388" t="n">
        <v>0</v>
      </c>
    </row>
    <row r="2389">
      <c r="A2389">
        <f>Skills!A22</f>
        <v/>
      </c>
      <c r="B2389">
        <f>Skills!B22</f>
        <v/>
      </c>
      <c r="C2389">
        <f>Inputs!$B$3&gt;=43</f>
        <v/>
      </c>
      <c r="D2389">
        <f>IF(Skills!C22=1,60+Inputs!$B$26+Inputs!$B$30,IF(Skills!C22=2,90+Inputs!$B$27+Inputs!$B$30,IF(Skills!C22=3,120+Inputs!$B$28+Inputs!$B$30,MAX(0,(Inputs!$B$3-100)*3)+Inputs!$B$29+Inputs!$B$30)))</f>
        <v/>
      </c>
      <c r="E2389">
        <f>INDEX(FactorTable!$B$2:$Y$301, MATCH(ROUND(MIN(300,MAX(1,D2389)),0), FactorTable!$A$2:$A$301,0), Skills!L22+1)</f>
        <v/>
      </c>
      <c r="F2389">
        <f>IF(Skills!M22=TRUE,(Skills!K22/10)*(E2389/1000),Skills!K22/10)+Skills!N22</f>
        <v/>
      </c>
      <c r="G2389">
        <f>Calc!G22</f>
        <v/>
      </c>
      <c r="H2389">
        <f>Calc!H22</f>
        <v/>
      </c>
      <c r="I2389">
        <f>IF(Skills!T22&lt;&gt;"",1+(Skills!T22/10)*($Z$3/1000)/100,1)</f>
        <v/>
      </c>
      <c r="J2389" t="inlineStr"/>
      <c r="K2389" t="inlineStr"/>
      <c r="L2389" t="inlineStr"/>
      <c r="M2389" t="inlineStr"/>
      <c r="N2389" t="inlineStr"/>
      <c r="O2389">
        <f>(1-Summary!$B$11)*S2389+Summary!$B$11*U2389</f>
        <v/>
      </c>
      <c r="P2389">
        <f>IF(B2410=0,0,O2389/B2410)</f>
        <v/>
      </c>
      <c r="Q2389">
        <f>IFERROR(1/(IF(Inputs!$B$39="pvp",15,MAX(0.1,Skills!D22-IF(Skills!E22=TRUE,Inputs!$B$33,0)))*(1-IF(AND(ArtifactsInput!$M$27,Inputs!$B$4="Chapter Hunt"),CHOOSE(ArtifactsInput!$N$27+1,20,24,28,32,36,40),0)/100)),0)</f>
        <v/>
      </c>
      <c r="R2389" t="n">
        <v>0</v>
      </c>
      <c r="S2389" t="n">
        <v>0</v>
      </c>
      <c r="U2389" t="n">
        <v>0</v>
      </c>
    </row>
    <row r="2390">
      <c r="A2390">
        <f>Skills!A23</f>
        <v/>
      </c>
      <c r="B2390">
        <f>Skills!B23</f>
        <v/>
      </c>
      <c r="C2390">
        <f>Inputs!$B$3&gt;=50</f>
        <v/>
      </c>
      <c r="D2390">
        <f>IF(Skills!C23=1,60+Inputs!$B$26+Inputs!$B$30,IF(Skills!C23=2,90+Inputs!$B$27+Inputs!$B$30,IF(Skills!C23=3,120+Inputs!$B$28+Inputs!$B$30,MAX(0,(Inputs!$B$3-100)*3)+Inputs!$B$29+Inputs!$B$30)))</f>
        <v/>
      </c>
      <c r="E2390">
        <f>INDEX(FactorTable!$B$2:$Y$301, MATCH(ROUND(MIN(300,MAX(1,D2390)),0), FactorTable!$A$2:$A$301,0), Skills!L23+1)</f>
        <v/>
      </c>
      <c r="F2390">
        <f>IF(Skills!M23=TRUE,(Skills!K23/10)*(E2390/1000),Skills!K23/10)+Skills!N23</f>
        <v/>
      </c>
      <c r="G2390">
        <f>Calc!G23</f>
        <v/>
      </c>
      <c r="H2390">
        <f>Calc!H23</f>
        <v/>
      </c>
      <c r="I2390">
        <f>IF(Skills!T23&lt;&gt;"",1+(Skills!T23/10)*($Z$3/1000)/100,1)</f>
        <v/>
      </c>
      <c r="J2390" t="inlineStr"/>
      <c r="K2390" t="inlineStr"/>
      <c r="L2390" t="inlineStr"/>
      <c r="M2390" t="inlineStr"/>
      <c r="N2390" t="inlineStr"/>
      <c r="O2390">
        <f>(1-Summary!$B$11)*S2390+Summary!$B$11*U2390</f>
        <v/>
      </c>
      <c r="P2390">
        <f>IF(B2410=0,0,O2390/B2410)</f>
        <v/>
      </c>
      <c r="Q2390">
        <f>IFERROR(1/(IF(Inputs!$B$39="pvp",15,MAX(0.1,Skills!D23-IF(Skills!E23=TRUE,Inputs!$B$33,0)))*(1-IF(AND(ArtifactsInput!$M$27,Inputs!$B$4="Chapter Hunt"),CHOOSE(ArtifactsInput!$N$27+1,20,24,28,32,36,40),0)/100)),0)</f>
        <v/>
      </c>
      <c r="R2390" t="n">
        <v>0</v>
      </c>
      <c r="S2390" t="n">
        <v>0</v>
      </c>
      <c r="U2390" t="n">
        <v>0</v>
      </c>
    </row>
    <row r="2391">
      <c r="A2391">
        <f>Skills!A24</f>
        <v/>
      </c>
      <c r="B2391">
        <f>Skills!B24</f>
        <v/>
      </c>
      <c r="C2391">
        <f>Inputs!$B$3&gt;=74</f>
        <v/>
      </c>
      <c r="D2391">
        <f>IF(Skills!C24=1,60+Inputs!$B$26+Inputs!$B$30,IF(Skills!C24=2,90+Inputs!$B$27+Inputs!$B$30,IF(Skills!C24=3,120+Inputs!$B$28+Inputs!$B$30,MAX(0,(Inputs!$B$3-100)*3)+Inputs!$B$29+Inputs!$B$30)))</f>
        <v/>
      </c>
      <c r="E2391">
        <f>INDEX(FactorTable!$B$2:$Y$301, MATCH(ROUND(MIN(300,MAX(1,D2391)),0), FactorTable!$A$2:$A$301,0), Skills!L24+1)</f>
        <v/>
      </c>
      <c r="F2391">
        <f>IF(Skills!M24=TRUE,(Skills!K24/10)*(E2391/1000),Skills!K24/10)+Skills!N24</f>
        <v/>
      </c>
      <c r="G2391">
        <f>Calc!G24</f>
        <v/>
      </c>
      <c r="H2391">
        <f>Calc!H24</f>
        <v/>
      </c>
      <c r="I2391">
        <f>IF(Skills!T24&lt;&gt;"",1+(Skills!T24/10)*($Z$3/1000)/100,1)</f>
        <v/>
      </c>
      <c r="J2391" t="inlineStr"/>
      <c r="K2391" t="inlineStr"/>
      <c r="L2391" t="inlineStr"/>
      <c r="M2391" t="inlineStr"/>
      <c r="N2391" t="inlineStr"/>
      <c r="O2391">
        <f>(1-Summary!$B$11)*S2391+Summary!$B$11*U2391</f>
        <v/>
      </c>
      <c r="P2391">
        <f>IF(B2410=0,0,O2391/B2410)</f>
        <v/>
      </c>
      <c r="Q2391">
        <f>IFERROR(1/(IF(Inputs!$B$39="pvp",15,MAX(0.1,Skills!D24-IF(Skills!E24=TRUE,Inputs!$B$33,0)))*(1-IF(AND(ArtifactsInput!$M$27,Inputs!$B$4="Chapter Hunt"),CHOOSE(ArtifactsInput!$N$27+1,20,24,28,32,36,40),0)/100)),0)</f>
        <v/>
      </c>
      <c r="R2391" t="n">
        <v>0</v>
      </c>
      <c r="S2391" t="n">
        <v>0</v>
      </c>
      <c r="U2391" t="n">
        <v>0</v>
      </c>
    </row>
    <row r="2392">
      <c r="A2392">
        <f>Skills!A25</f>
        <v/>
      </c>
      <c r="B2392">
        <f>Skills!B25</f>
        <v/>
      </c>
      <c r="C2392">
        <f>Inputs!$B$3&gt;=74</f>
        <v/>
      </c>
      <c r="D2392">
        <f>IF(Skills!C25=1,60+Inputs!$B$26+Inputs!$B$30,IF(Skills!C25=2,90+Inputs!$B$27+Inputs!$B$30,IF(Skills!C25=3,120+Inputs!$B$28+Inputs!$B$30,MAX(0,(Inputs!$B$3-100)*3)+Inputs!$B$29+Inputs!$B$30)))</f>
        <v/>
      </c>
      <c r="E2392">
        <f>INDEX(FactorTable!$B$2:$Y$301, MATCH(ROUND(MIN(300,MAX(1,D2392)),0), FactorTable!$A$2:$A$301,0), Skills!L25+1)</f>
        <v/>
      </c>
      <c r="F2392">
        <f>IF(Skills!M25=TRUE,(Skills!K25/10)*(E2392/1000),Skills!K25/10)+Skills!N25</f>
        <v/>
      </c>
      <c r="G2392">
        <f>Calc!G25</f>
        <v/>
      </c>
      <c r="H2392">
        <f>Calc!H25</f>
        <v/>
      </c>
      <c r="I2392">
        <f>IF(Skills!T25&lt;&gt;"",1+(Skills!T25/10)*($Z$3/1000)/100,1)</f>
        <v/>
      </c>
      <c r="J2392" t="inlineStr"/>
      <c r="K2392" t="inlineStr"/>
      <c r="L2392" t="inlineStr"/>
      <c r="M2392" t="inlineStr"/>
      <c r="N2392" t="inlineStr"/>
      <c r="O2392">
        <f>(1-Summary!$B$11)*S2392+Summary!$B$11*U2392</f>
        <v/>
      </c>
      <c r="P2392">
        <f>IF(B2410=0,0,O2392/B2410)</f>
        <v/>
      </c>
      <c r="Q2392">
        <f>IFERROR(1/(IF(Inputs!$B$39="pvp",15,MAX(0.1,Skills!D25-IF(Skills!E25=TRUE,Inputs!$B$33,0)))*(1-IF(AND(ArtifactsInput!$M$27,Inputs!$B$4="Chapter Hunt"),CHOOSE(ArtifactsInput!$N$27+1,20,24,28,32,36,40),0)/100)),0)</f>
        <v/>
      </c>
      <c r="R2392" t="n">
        <v>0</v>
      </c>
      <c r="S2392" t="n">
        <v>0</v>
      </c>
      <c r="U2392" t="n">
        <v>0</v>
      </c>
    </row>
    <row r="2393">
      <c r="A2393">
        <f>Skills!A26</f>
        <v/>
      </c>
      <c r="B2393">
        <f>Skills!B26</f>
        <v/>
      </c>
      <c r="C2393">
        <f>Inputs!$B$3&gt;=117</f>
        <v/>
      </c>
      <c r="D2393">
        <f>IF(Skills!C26=1,60+Inputs!$B$26+Inputs!$B$30,IF(Skills!C26=2,90+Inputs!$B$27+Inputs!$B$30,IF(Skills!C26=3,120+Inputs!$B$28+Inputs!$B$30,MAX(0,(Inputs!$B$3-100)*3)+Inputs!$B$29+Inputs!$B$30)))</f>
        <v/>
      </c>
      <c r="E2393">
        <f>INDEX(FactorTable!$B$2:$Y$301, MATCH(ROUND(MIN(300,MAX(1,D2393)),0), FactorTable!$A$2:$A$301,0), Skills!L26+1)</f>
        <v/>
      </c>
      <c r="F2393">
        <f>IF(Skills!M26=TRUE,(Skills!K26/10)*(E2393/1000),Skills!K26/10)+Skills!N26</f>
        <v/>
      </c>
      <c r="G2393">
        <f>Calc!G26</f>
        <v/>
      </c>
      <c r="H2393">
        <f>Calc!H26</f>
        <v/>
      </c>
      <c r="I2393">
        <f>IF(Skills!T26&lt;&gt;"",1+(Skills!T26/10)*($Z$3/1000)/100,1)</f>
        <v/>
      </c>
      <c r="J2393" t="inlineStr"/>
      <c r="K2393" t="inlineStr"/>
      <c r="L2393" t="inlineStr"/>
      <c r="M2393" t="inlineStr"/>
      <c r="N2393" t="inlineStr"/>
      <c r="O2393">
        <f>(1-Summary!$B$11)*S2393+Summary!$B$11*U2393</f>
        <v/>
      </c>
      <c r="P2393">
        <f>IF(B2410=0,0,O2393/B2410)</f>
        <v/>
      </c>
      <c r="Q2393">
        <f>IFERROR(1/(IF(Inputs!$B$39="pvp",15,MAX(0.1,Skills!D26-IF(Skills!E26=TRUE,Inputs!$B$33,0)))*(1-IF(AND(ArtifactsInput!$M$27,Inputs!$B$4="Chapter Hunt"),CHOOSE(ArtifactsInput!$N$27+1,20,24,28,32,36,40),0)/100)),0)</f>
        <v/>
      </c>
      <c r="R2393" t="n">
        <v>0</v>
      </c>
      <c r="S2393" t="n">
        <v>0</v>
      </c>
      <c r="U2393" t="n">
        <v>0</v>
      </c>
    </row>
    <row r="2394">
      <c r="A2394">
        <f>Skills!A27</f>
        <v/>
      </c>
      <c r="B2394">
        <f>Skills!B27</f>
        <v/>
      </c>
      <c r="C2394">
        <f>Inputs!$B$3&gt;=120</f>
        <v/>
      </c>
      <c r="D2394">
        <f>IF(Skills!C27=1,60+Inputs!$B$26+Inputs!$B$30,IF(Skills!C27=2,90+Inputs!$B$27+Inputs!$B$30,IF(Skills!C27=3,120+Inputs!$B$28+Inputs!$B$30,MAX(0,(Inputs!$B$3-100)*3)+Inputs!$B$29+Inputs!$B$30)))</f>
        <v/>
      </c>
      <c r="E2394">
        <f>INDEX(FactorTable!$B$2:$Y$301, MATCH(ROUND(MIN(300,MAX(1,D2394)),0), FactorTable!$A$2:$A$301,0), Skills!L27+1)</f>
        <v/>
      </c>
      <c r="F2394">
        <f>IF(Skills!M27=TRUE,(Skills!K27/10)*(E2394/1000),Skills!K27/10)+Skills!N27</f>
        <v/>
      </c>
      <c r="G2394">
        <f>Calc!G27</f>
        <v/>
      </c>
      <c r="H2394">
        <f>Calc!H27</f>
        <v/>
      </c>
      <c r="I2394">
        <f>IF(Skills!T27&lt;&gt;"",1+(Skills!T27/10)*($Z$3/1000)/100,1)</f>
        <v/>
      </c>
      <c r="J2394" t="inlineStr"/>
      <c r="K2394" t="inlineStr"/>
      <c r="L2394" t="inlineStr"/>
      <c r="M2394" t="inlineStr"/>
      <c r="N2394" t="inlineStr"/>
      <c r="O2394">
        <f>(1-Summary!$B$11)*S2394+Summary!$B$11*U2394</f>
        <v/>
      </c>
      <c r="P2394">
        <f>IF(B2410=0,0,O2394/B2410)</f>
        <v/>
      </c>
      <c r="Q2394">
        <f>IFERROR(1/(IF(Inputs!$B$39="pvp",15,MAX(0.1,Skills!D27-IF(Skills!E27=TRUE,Inputs!$B$33,0)))*(1-IF(AND(ArtifactsInput!$M$27,Inputs!$B$4="Chapter Hunt"),CHOOSE(ArtifactsInput!$N$27+1,20,24,28,32,36,40),0)/100)),0)</f>
        <v/>
      </c>
      <c r="R2394" t="n">
        <v>0</v>
      </c>
      <c r="S2394" t="n">
        <v>0</v>
      </c>
      <c r="U2394" t="n">
        <v>0</v>
      </c>
    </row>
    <row r="2395">
      <c r="A2395">
        <f>Skills!A28</f>
        <v/>
      </c>
      <c r="B2395">
        <f>Skills!B28</f>
        <v/>
      </c>
      <c r="C2395">
        <f>TRUE</f>
        <v/>
      </c>
      <c r="D2395">
        <f>IF(Skills!C28=1,60+Inputs!$B$26+Inputs!$B$30,IF(Skills!C28=2,90+Inputs!$B$27+Inputs!$B$30,IF(Skills!C28=3,120+Inputs!$B$28+Inputs!$B$30,MAX(0,(Inputs!$B$3-100)*3)+Inputs!$B$29+Inputs!$B$30)))</f>
        <v/>
      </c>
      <c r="E2395">
        <f>INDEX(FactorTable!$B$2:$Y$301, MATCH(ROUND(MIN(300,MAX(1,D2395)),0), FactorTable!$A$2:$A$301,0), Skills!L28+1)</f>
        <v/>
      </c>
      <c r="F2395">
        <f>IF(Skills!M28=TRUE,(Skills!K28/10)*(E2395/1000),Skills!K28/10)+Skills!N28</f>
        <v/>
      </c>
      <c r="G2395">
        <f>Calc!G28</f>
        <v/>
      </c>
      <c r="H2395">
        <f>Calc!H28</f>
        <v/>
      </c>
      <c r="I2395">
        <f>IF(Skills!T28&lt;&gt;"",1+(Skills!T28/10)*($Z$3/1000)/100,1)</f>
        <v/>
      </c>
      <c r="J2395" t="inlineStr"/>
      <c r="K2395" t="inlineStr"/>
      <c r="L2395" t="inlineStr"/>
      <c r="M2395" t="inlineStr"/>
      <c r="N2395" t="inlineStr"/>
      <c r="O2395">
        <f>(1-Summary!$B$11)*S2395+Summary!$B$11*U2395</f>
        <v/>
      </c>
      <c r="P2395">
        <f>IF(B2410=0,0,O2395/B2410)</f>
        <v/>
      </c>
      <c r="Q2395">
        <f>IFERROR(1/(IF(Inputs!$B$39="pvp",15,MAX(0.1,Skills!D28-IF(Skills!E28=TRUE,Inputs!$B$33,0)))*(1-IF(AND(ArtifactsInput!$M$27,Inputs!$B$4="Chapter Hunt"),CHOOSE(ArtifactsInput!$N$27+1,20,24,28,32,36,40),0)/100)),0)</f>
        <v/>
      </c>
      <c r="R2395">
        <f>IF(AND(Inputs!$B$39&lt;&gt;"pvp",Inputs!$B$44&gt;0),IF(Inputs!$B$44&lt;=0,0,(INT(Inputs!$B$44/(IF(Inputs!$B$39="pvp",15,MAX(0.1,Skills!D28-IF(Skills!E28=TRUE,Inputs!$B$33,0)))*(1-IF(AND(ArtifactsInput!$M$27,Inputs!$B$4="Chapter Hunt"),CHOOSE(ArtifactsInput!$N$27+1,20,24,28,32,36,40),0)/100)))+1)),0)</f>
        <v/>
      </c>
      <c r="S2395" t="n">
        <v>0</v>
      </c>
      <c r="U2395" t="n">
        <v>0</v>
      </c>
    </row>
    <row r="2397">
      <c r="A2397" t="inlineStr">
        <is>
          <t>Average Buff Multiplier</t>
        </is>
      </c>
      <c r="B2397">
        <f>(1+(IF(C2370=TRUE,F2370*IF(AND(Inputs!$B$39&lt;&gt;"pvp",Inputs!$B$44&gt;0),(((R2370-1)*(Skills!S3*(1+((Inputs!$B$35+(ArtifactsInput!$M$7-ArtifactsInput!$M$7)*CHOOSE(ArtifactsInput!$N$7+1,6,7.2,8.4,9.6,10.8,12))+IF(Inputs!$B$3&gt;=117,F2393,0))/100))+MIN((Skills!S3*(1+((Inputs!$B$35+(ArtifactsInput!$M$7-ArtifactsInput!$M$7)*CHOOSE(ArtifactsInput!$N$7+1,6,7.2,8.4,9.6,10.8,12))+IF(Inputs!$B$3&gt;=117,F2393,0))/100)),MAX(0,Inputs!$B$44-((R2370-1)*Skills!D3))))/Inputs!$B$44),IF(Inputs!$B$39="pvp",MIN((Skills!S3*(1+((Inputs!$B$35+(ArtifactsInput!$M$7-ArtifactsInput!$M$7)*CHOOSE(ArtifactsInput!$N$7+1,6,7.2,8.4,9.6,10.8,12))+IF(Inputs!$B$3&gt;=117,F2393,0))/100)),15)/15,(Skills!S3*(1+((Inputs!$B$35+(ArtifactsInput!$M$7-ArtifactsInput!$M$7)*CHOOSE(ArtifactsInput!$N$7+1,6,7.2,8.4,9.6,10.8,12))+IF(Inputs!$B$3&gt;=117,F2393,0))/100))/Skills!D3)),0)+IF(C2371=TRUE,F2371*IF(AND(Inputs!$B$39&lt;&gt;"pvp",Inputs!$B$44&gt;0),(((R2371-1)*(Skills!S4*(1+((Inputs!$B$35+(ArtifactsInput!$M$7-ArtifactsInput!$M$7)*CHOOSE(ArtifactsInput!$N$7+1,6,7.2,8.4,9.6,10.8,12))+IF(Inputs!$B$3&gt;=117,F2393,0))/100))+MIN((Skills!S4*(1+((Inputs!$B$35+(ArtifactsInput!$M$7-ArtifactsInput!$M$7)*CHOOSE(ArtifactsInput!$N$7+1,6,7.2,8.4,9.6,10.8,12))+IF(Inputs!$B$3&gt;=117,F2393,0))/100)),MAX(0,Inputs!$B$44-((R2371-1)*Skills!D4))))/Inputs!$B$44),IF(Inputs!$B$39="pvp",MIN((Skills!S4*(1+((Inputs!$B$35+(ArtifactsInput!$M$7-ArtifactsInput!$M$7)*CHOOSE(ArtifactsInput!$N$7+1,6,7.2,8.4,9.6,10.8,12))+IF(Inputs!$B$3&gt;=117,F2393,0))/100)),15)/15,(Skills!S4*(1+((Inputs!$B$35+(ArtifactsInput!$M$7-ArtifactsInput!$M$7)*CHOOSE(ArtifactsInput!$N$7+1,6,7.2,8.4,9.6,10.8,12))+IF(Inputs!$B$3&gt;=117,F2393,0))/100))/Skills!D4)),0)+IF(C2372=TRUE,F2372*IF(AND(Inputs!$B$39&lt;&gt;"pvp",Inputs!$B$44&gt;0),(((R2372-1)*(Skills!S5*(1+((Inputs!$B$35+(ArtifactsInput!$M$7-ArtifactsInput!$M$7)*CHOOSE(ArtifactsInput!$N$7+1,6,7.2,8.4,9.6,10.8,12))+IF(Inputs!$B$3&gt;=117,F2393,0))/100))+MIN((Skills!S5*(1+((Inputs!$B$35+(ArtifactsInput!$M$7-ArtifactsInput!$M$7)*CHOOSE(ArtifactsInput!$N$7+1,6,7.2,8.4,9.6,10.8,12))+IF(Inputs!$B$3&gt;=117,F2393,0))/100)),MAX(0,Inputs!$B$44-((R2372-1)*Skills!D5))))/Inputs!$B$44),IF(Inputs!$B$39="pvp",MIN((Skills!S5*(1+((Inputs!$B$35+(ArtifactsInput!$M$7-ArtifactsInput!$M$7)*CHOOSE(ArtifactsInput!$N$7+1,6,7.2,8.4,9.6,10.8,12))+IF(Inputs!$B$3&gt;=117,F2393,0))/100)),15)/15,(Skills!S5*(1+((Inputs!$B$35+(ArtifactsInput!$M$7-ArtifactsInput!$M$7)*CHOOSE(ArtifactsInput!$N$7+1,6,7.2,8.4,9.6,10.8,12))+IF(Inputs!$B$3&gt;=117,F2393,0))/100))/Skills!D5)),0)+IF(C2378=TRUE,F2378*IF(AND(Inputs!$B$39&lt;&gt;"pvp",Inputs!$B$44&gt;0),(((R2378-1)*(Skills!S11*(1+((Inputs!$B$35+(ArtifactsInput!$M$7-ArtifactsInput!$M$7)*CHOOSE(ArtifactsInput!$N$7+1,6,7.2,8.4,9.6,10.8,12))+IF(Inputs!$B$3&gt;=117,F2393,0))/100))+MIN((Skills!S11*(1+((Inputs!$B$35+(ArtifactsInput!$M$7-ArtifactsInput!$M$7)*CHOOSE(ArtifactsInput!$N$7+1,6,7.2,8.4,9.6,10.8,12))+IF(Inputs!$B$3&gt;=117,F2393,0))/100)),MAX(0,Inputs!$B$44-((R2378-1)*Skills!D11))))/Inputs!$B$44),IF(Inputs!$B$39="pvp",MIN((Skills!S11*(1+((Inputs!$B$35+(ArtifactsInput!$M$7-ArtifactsInput!$M$7)*CHOOSE(ArtifactsInput!$N$7+1,6,7.2,8.4,9.6,10.8,12))+IF(Inputs!$B$3&gt;=117,F2393,0))/100)),15)/15,(Skills!S11*(1+((Inputs!$B$35+(ArtifactsInput!$M$7-ArtifactsInput!$M$7)*CHOOSE(ArtifactsInput!$N$7+1,6,7.2,8.4,9.6,10.8,12))+IF(Inputs!$B$3&gt;=117,F2393,0)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2381=TRUE,(1+F2381*IF(AND(Inputs!$B$39&lt;&gt;"pvp",Inputs!$B$44&gt;0),(((R2381-1)*(Skills!S14*(1+((Inputs!$B$35+(ArtifactsInput!$M$7-ArtifactsInput!$M$7)*CHOOSE(ArtifactsInput!$N$7+1,6,7.2,8.4,9.6,10.8,12))+IF(Inputs!$B$3&gt;=117,F2393,0))/100))+MIN((Skills!S14*(1+((Inputs!$B$35+(ArtifactsInput!$M$7-ArtifactsInput!$M$7)*CHOOSE(ArtifactsInput!$N$7+1,6,7.2,8.4,9.6,10.8,12))+IF(Inputs!$B$3&gt;=117,F2393,0))/100)),MAX(0,Inputs!$B$44-((R2381-1)*Skills!D14))))/Inputs!$B$44),IF(Inputs!$B$39="pvp",MIN((Skills!S14*(1+((Inputs!$B$35+(ArtifactsInput!$M$7-ArtifactsInput!$M$7)*CHOOSE(ArtifactsInput!$N$7+1,6,7.2,8.4,9.6,10.8,12))+IF(Inputs!$B$3&gt;=117,F2393,0))/100)),15)/15,(Skills!S14*(1+((Inputs!$B$35+(ArtifactsInput!$M$7-ArtifactsInput!$M$7)*CHOOSE(ArtifactsInput!$N$7+1,6,7.2,8.4,9.6,10.8,12))+IF(Inputs!$B$3&gt;=117,F2393,0))/100))/Skills!D14))/100),1)*IF(C2386=TRUE,(1+F2386*IF(AND(Inputs!$B$39&lt;&gt;"pvp",Inputs!$B$44&gt;0),(((R2386-1)*(Skills!S19*(1+((Inputs!$B$35+(ArtifactsInput!$M$7-ArtifactsInput!$M$7)*CHOOSE(ArtifactsInput!$N$7+1,6,7.2,8.4,9.6,10.8,12))+IF(Inputs!$B$3&gt;=117,F2393,0))/100))+MIN((Skills!S19*(1+((Inputs!$B$35+(ArtifactsInput!$M$7-ArtifactsInput!$M$7)*CHOOSE(ArtifactsInput!$N$7+1,6,7.2,8.4,9.6,10.8,12))+IF(Inputs!$B$3&gt;=117,F2393,0))/100)),MAX(0,Inputs!$B$44-((R2386-1)*Skills!D19))))/Inputs!$B$44),IF(Inputs!$B$39="pvp",MIN((Skills!S19*(1+((Inputs!$B$35+(ArtifactsInput!$M$7-ArtifactsInput!$M$7)*CHOOSE(ArtifactsInput!$N$7+1,6,7.2,8.4,9.6,10.8,12))+IF(Inputs!$B$3&gt;=117,F2393,0))/100)),15)/15,(Skills!S19*(1+((Inputs!$B$35+(ArtifactsInput!$M$7-ArtifactsInput!$M$7)*CHOOSE(ArtifactsInput!$N$7+1,6,7.2,8.4,9.6,10.8,12))+IF(Inputs!$B$3&gt;=117,F2393,0))/100))/Skills!D19))/100),1)</f>
        <v/>
      </c>
    </row>
    <row r="2398">
      <c r="A2398" t="inlineStr">
        <is>
          <t>Monster Damage Taken Bonus % (Holy Fountain)</t>
        </is>
      </c>
      <c r="B2398">
        <f>IF(Inputs!$B$3&gt;=68,20*IF(Inputs!$B$39="pvp",MIN((15*(1+((Inputs!$B$35+(ArtifactsInput!$M$7-ArtifactsInput!$M$7)*CHOOSE(ArtifactsInput!$N$7+1,6,7.2,8.4,9.6,10.8,12))+IF(Inputs!$B$3&gt;=117,F2393,0))/100)),15)/15,(15*(1+((Inputs!$B$35+(ArtifactsInput!$M$7-ArtifactsInput!$M$7)*CHOOSE(ArtifactsInput!$N$7+1,6,7.2,8.4,9.6,10.8,12))+IF(Inputs!$B$3&gt;=117,F2393,0))/100))/Skills!D10),0)</f>
        <v/>
      </c>
    </row>
    <row r="2399">
      <c r="A2399" t="inlineStr">
        <is>
          <t>Normal Monster Damage Bonus % (Holy Symbol)</t>
        </is>
      </c>
      <c r="B2399">
        <f>IF(C2379=TRUE,F2379*IF(AND(Inputs!$B$39&lt;&gt;"pvp",Inputs!$B$44&gt;0),(((R2379-1)*(Skills!S12*(1+((Inputs!$B$35+(ArtifactsInput!$M$7-ArtifactsInput!$M$7)*CHOOSE(ArtifactsInput!$N$7+1,6,7.2,8.4,9.6,10.8,12))+IF(Inputs!$B$3&gt;=117,F2393,0))/100))+MIN((Skills!S12*(1+((Inputs!$B$35+(ArtifactsInput!$M$7-ArtifactsInput!$M$7)*CHOOSE(ArtifactsInput!$N$7+1,6,7.2,8.4,9.6,10.8,12))+IF(Inputs!$B$3&gt;=117,F2393,0))/100)),MAX(0,Inputs!$B$44-((R2379-1)*Skills!D12))))/Inputs!$B$44),IF(Inputs!$B$39="pvp",MIN((Skills!S12*(1+((Inputs!$B$35+(ArtifactsInput!$M$7-ArtifactsInput!$M$7)*CHOOSE(ArtifactsInput!$N$7+1,6,7.2,8.4,9.6,10.8,12))+IF(Inputs!$B$3&gt;=117,F2393,0))/100)),15)/15,(Skills!S12*(1+((Inputs!$B$35+(ArtifactsInput!$M$7-ArtifactsInput!$M$7)*CHOOSE(ArtifactsInput!$N$7+1,6,7.2,8.4,9.6,10.8,12))+IF(Inputs!$B$3&gt;=117,F2393,0))/100))/Skills!D12)),0)</f>
        <v/>
      </c>
    </row>
    <row r="2400">
      <c r="A2400" t="inlineStr">
        <is>
          <t>Damage % Bonus (Holy Symbol - Damage Boost)</t>
        </is>
      </c>
      <c r="B2400">
        <f>Skills!O12</f>
        <v/>
      </c>
    </row>
    <row r="2401">
      <c r="A2401" t="inlineStr">
        <is>
          <t>Crit Damage % Bonus (Blood of the Divine)</t>
        </is>
      </c>
      <c r="B2401">
        <f>4*IF(C2387=TRUE,F2387,0)</f>
        <v/>
      </c>
    </row>
    <row r="2402">
      <c r="A2402" t="inlineStr">
        <is>
          <t>Attack Speed Bonus %</t>
        </is>
      </c>
      <c r="B2402">
        <f>IF(C2384=TRUE,F2384+(F2388-Calc!F21),0)+IF(Inputs!$B$3&gt;=134,15,0)+((C2395=TRUE)*F2395*IF(AND(Inputs!$B$39&lt;&gt;"pvp",Inputs!$B$44&gt;0),(((R2395-1)*(Skills!S28*(1+((Inputs!$B$35+(ArtifactsInput!$M$7-ArtifactsInput!$M$7)*CHOOSE(ArtifactsInput!$N$7+1,6,7.2,8.4,9.6,10.8,12))+IF(Inputs!$B$3&gt;=117,F2393,0))/100))+MIN((Skills!S28*(1+((Inputs!$B$35+(ArtifactsInput!$M$7-ArtifactsInput!$M$7)*CHOOSE(ArtifactsInput!$N$7+1,6,7.2,8.4,9.6,10.8,12))+IF(Inputs!$B$3&gt;=117,F2393,0))/100)),MAX(0,Inputs!$B$44-((R2395-1)*Skills!D28))))/Inputs!$B$44),IF(Inputs!$B$39="pvp",MIN((Skills!S28*(1+((Inputs!$B$35+(ArtifactsInput!$M$7-ArtifactsInput!$M$7)*CHOOSE(ArtifactsInput!$N$7+1,6,7.2,8.4,9.6,10.8,12))+IF(Inputs!$B$3&gt;=117,F2393,0))/100)),15)/15,(Skills!S28*(1+((Inputs!$B$35+(ArtifactsInput!$M$7-ArtifactsInput!$M$7)*CHOOSE(ArtifactsInput!$N$7+1,6,7.2,8.4,9.6,10.8,12))+IF(Inputs!$B$3&gt;=117,F2393,0))/100))/Skills!D28)))</f>
        <v/>
      </c>
    </row>
    <row r="2403">
      <c r="A2403" t="inlineStr">
        <is>
          <t>Actions Per Second</t>
        </is>
      </c>
      <c r="B2403">
        <f>1+MIN(150,150*(1-(1-Inputs!$B$12/150)*(1-B2402/150)))/100</f>
        <v/>
      </c>
    </row>
    <row r="2404">
      <c r="A2404" t="inlineStr">
        <is>
          <t>Skill + Buff Cast Rate</t>
        </is>
      </c>
      <c r="B2404">
        <f>IF(AND(Inputs!$B$39&lt;&gt;"pvp",Inputs!$B$44&gt;0),SUMPRODUCT((Skills!E2:E28=TRUE)*(C2369:C2395=TRUE)*R2369:R2395)/Inputs!$B$44,SUMPRODUCT((Skills!E2:E28=TRUE)*(C2369:C2395=TRUE)*Q2369:Q2395))</f>
        <v/>
      </c>
    </row>
    <row r="2405">
      <c r="A2405" t="inlineStr">
        <is>
          <t>Big Bang Casts Per Second</t>
        </is>
      </c>
      <c r="B2405">
        <f>MAX(0,B2403-B2404)</f>
        <v/>
      </c>
    </row>
    <row r="2406">
      <c r="A2406" t="inlineStr">
        <is>
          <t>Defense % Bonus (Divine Protection)</t>
        </is>
      </c>
      <c r="B2406">
        <f>IF(C2380=TRUE,F2380*IF(AND(Inputs!$B$39&lt;&gt;"pvp",Inputs!$B$44&gt;0),(((R2380-1)*(Skills!S13*(1+((Inputs!$B$35+(ArtifactsInput!$M$7-ArtifactsInput!$M$7)*CHOOSE(ArtifactsInput!$N$7+1,6,7.2,8.4,9.6,10.8,12))+IF(Inputs!$B$3&gt;=117,F2393,0))/100))+MIN((Skills!S13*(1+((Inputs!$B$35+(ArtifactsInput!$M$7-ArtifactsInput!$M$7)*CHOOSE(ArtifactsInput!$N$7+1,6,7.2,8.4,9.6,10.8,12))+IF(Inputs!$B$3&gt;=117,F2393,0))/100)),MAX(0,Inputs!$B$44-((R2380-1)*Skills!D13))))/Inputs!$B$44),IF(Inputs!$B$39="pvp",MIN((Skills!S13*(1+((Inputs!$B$35+(ArtifactsInput!$M$7-ArtifactsInput!$M$7)*CHOOSE(ArtifactsInput!$N$7+1,6,7.2,8.4,9.6,10.8,12))+IF(Inputs!$B$3&gt;=117,F2393,0))/100)),15)/15,(Skills!S13*(1+((Inputs!$B$35+(ArtifactsInput!$M$7-ArtifactsInput!$M$7)*CHOOSE(ArtifactsInput!$N$7+1,6,7.2,8.4,9.6,10.8,12))+IF(Inputs!$B$3&gt;=117,F2393,0))/100))/Skills!D13)),0)</f>
        <v/>
      </c>
    </row>
    <row r="2407">
      <c r="A2407" t="inlineStr">
        <is>
          <t>Buff-Casting Startup Delay (s, fixed-duration only)</t>
        </is>
      </c>
      <c r="B2407">
        <f>IF(AND(Inputs!$B$39&lt;&gt;"pvp",Inputs!$B$44&gt;0),SUMPRODUCT((Skills!S2:S28&gt;0)*(Skills!E2:E28=TRUE)*(C2369:C2395=TRUE))/B2403,0)</f>
        <v/>
      </c>
    </row>
    <row r="2408">
      <c r="A2408" t="inlineStr">
        <is>
          <t>Boss-Only Total DPS (this block's swept value)</t>
        </is>
      </c>
      <c r="B2408">
        <f>SUM(S2369:S2395)</f>
        <v/>
      </c>
    </row>
    <row r="2409">
      <c r="A2409" t="inlineStr">
        <is>
          <t>Normal-Only Total DPS (this block's swept value)</t>
        </is>
      </c>
      <c r="B2409">
        <f>SUM(U2369:U2395)</f>
        <v/>
      </c>
    </row>
    <row r="2410">
      <c r="A2410" s="6" t="inlineStr">
        <is>
          <t>TOTAL DPS</t>
        </is>
      </c>
      <c r="B2410" s="6">
        <f>SUM(O2369:O2395)</f>
        <v/>
      </c>
    </row>
    <row r="2412">
      <c r="A2412" s="6" t="inlineStr">
        <is>
          <t>Stat: Flaming Lava (Equip)</t>
        </is>
      </c>
    </row>
    <row r="2413">
      <c r="A2413" s="5" t="inlineStr">
        <is>
          <t>Key</t>
        </is>
      </c>
      <c r="B2413" s="5" t="inlineStr">
        <is>
          <t>Name</t>
        </is>
      </c>
      <c r="C2413" s="5" t="inlineStr">
        <is>
          <t>Unlocked</t>
        </is>
      </c>
      <c r="D2413" s="5" t="inlineStr">
        <is>
          <t>InputLevel</t>
        </is>
      </c>
      <c r="E2413" s="5" t="inlineStr">
        <is>
          <t>Factor</t>
        </is>
      </c>
      <c r="F2413" s="5" t="inlineStr">
        <is>
          <t>CoefficientPercent</t>
        </is>
      </c>
      <c r="G2413" s="5" t="inlineStr">
        <is>
          <t>EffectiveHits</t>
        </is>
      </c>
      <c r="H2413" s="5" t="inlineStr">
        <is>
          <t>ProcProbability</t>
        </is>
      </c>
      <c r="I2413" s="5" t="inlineStr">
        <is>
          <t>MapleHeroMultiplier</t>
        </is>
      </c>
      <c r="J2413" s="5" t="inlineStr">
        <is>
          <t>BaseDamage</t>
        </is>
      </c>
      <c r="K2413" s="5" t="inlineStr">
        <is>
          <t>BaseHitDamage</t>
        </is>
      </c>
      <c r="L2413" s="5" t="inlineStr">
        <is>
          <t>NonCritAvg</t>
        </is>
      </c>
      <c r="M2413" s="5" t="inlineStr">
        <is>
          <t>CritAvg</t>
        </is>
      </c>
      <c r="N2413" s="5" t="inlineStr">
        <is>
          <t>ExpectedDamage(perHit)</t>
        </is>
      </c>
      <c r="O2413" s="5" t="inlineStr">
        <is>
          <t>DPS</t>
        </is>
      </c>
      <c r="P2413" s="5" t="inlineStr">
        <is>
          <t>% of Total</t>
        </is>
      </c>
      <c r="R2413" t="inlineStr">
        <is>
          <t>helpers</t>
        </is>
      </c>
    </row>
    <row r="2414">
      <c r="A2414">
        <f>Skills!A2</f>
        <v/>
      </c>
      <c r="B2414">
        <f>Skills!B2</f>
        <v/>
      </c>
      <c r="C2414">
        <f>Inputs!$B$3&gt;=100</f>
        <v/>
      </c>
      <c r="D2414" t="inlineStr"/>
      <c r="E2414" t="inlineStr"/>
      <c r="F2414">
        <f>T2416+Skills!N2</f>
        <v/>
      </c>
      <c r="G2414">
        <f>Calc!G2</f>
        <v/>
      </c>
      <c r="H2414">
        <f>Calc!H2</f>
        <v/>
      </c>
      <c r="I2414">
        <f>IF(Skills!T2&lt;&gt;"",1+(Skills!T2/10)*($Z$3/1000)/100,1)</f>
        <v/>
      </c>
      <c r="J2414">
        <f>((Inputs!$B$6*(1+Inputs!$B$7/100))+(((Inputs!$B$13*(1+Inputs!$B$14/100))-(Inputs!$B$13*(1+Inputs!$B$14/100)))+0.25*(Inputs!$B$15-Inputs!$B$15))*(1+Inputs!$B$7/100))*(F2414/100)</f>
        <v/>
      </c>
      <c r="K2414">
        <f>J2414*(1+(((Inputs!$B$13+IF(Inputs!$B$3&gt;=35,(10*INDEX(FactorTable!$B$2:$Y$301,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2="TRIUMPH_FEATHER",IF(C2428=TRUE,F2428,0),0)/100)*(1+IF(C2439=TRUE,F2439,0)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2414)</f>
        <v/>
      </c>
      <c r="L2414">
        <f>K2414*(MIN(Inputs!$B$23+(F2434-Calc!F22),(Inputs!$B$24+IF(ArtifactsInput!$M$15,CHOOSE(ArtifactsInput!$N$15+1,25,30,35,40,45,50)/100*(Inputs!$B$12-Inputs!$B$12),0)))/100+(Inputs!$B$24+IF(ArtifactsInput!$M$15,CHOOSE(ArtifactsInput!$N$15+1,25,30,35,40,45,50)/100*(Inputs!$B$12-Inputs!$B$12),0))/100)/2</f>
        <v/>
      </c>
      <c r="M2414">
        <f>L2414*(1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4">
        <f>L2414*(1-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2414*(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4">
        <f>(1-Summary!$B$11)*S2414+Summary!$B$11*U2414</f>
        <v/>
      </c>
      <c r="P2414">
        <f>IF(B2455=0,0,O2414/B2455)</f>
        <v/>
      </c>
      <c r="Q2414">
        <f>IFERROR(1/(IF(Inputs!$B$39="pvp",15,MAX(0.1,Skills!D2-IF(Skills!E2=TRUE,Inputs!$B$33,0)))*(1-IF(AND(ArtifactsInput!$M$27,Inputs!$B$4="Chapter Hunt"),CHOOSE(ArtifactsInput!$N$27+1,20,24,28,32,36,40),0)/100)),0)</f>
        <v/>
      </c>
      <c r="R2414" t="n">
        <v>0</v>
      </c>
      <c r="S2414">
        <f>IF(C2414,(Skills!F2*N2414*B2450)*IF(Inputs!$B$39="pvp",1,1+(Inputs!$B$21+Skills!O2+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2414*(1-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2414*(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2414*(1-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2414*(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14">
        <f>MAX(0,(Inputs!$B$3-100)*3)+Inputs!$B$29+Inputs!$B$30</f>
        <v/>
      </c>
      <c r="U2414">
        <f>IF(C2414,(Skills!F2*N2414*B2450)*IF(Inputs!$B$39="pvp",1,(1+(Inputs!$B$22+Skills!P2+B2444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5">
      <c r="A2415">
        <f>Skills!A3</f>
        <v/>
      </c>
      <c r="B2415">
        <f>Skills!B3</f>
        <v/>
      </c>
      <c r="C2415">
        <f>Inputs!$B$3&gt;=15</f>
        <v/>
      </c>
      <c r="D2415">
        <f>IF(Skills!C3=1,60+Inputs!$B$26+Inputs!$B$30,IF(Skills!C3=2,90+Inputs!$B$27+Inputs!$B$30,IF(Skills!C3=3,120+Inputs!$B$28+Inputs!$B$30,MAX(0,(Inputs!$B$3-100)*3)+Inputs!$B$29+Inputs!$B$30)))</f>
        <v/>
      </c>
      <c r="E2415">
        <f>INDEX(FactorTable!$B$2:$Y$301, MATCH(ROUND(MIN(300,MAX(1,D2415)),0), FactorTable!$A$2:$A$301,0), Skills!L3+1)</f>
        <v/>
      </c>
      <c r="F2415">
        <f>IF(Skills!M3=TRUE,(Skills!K3/10)*(E2415/1000),Skills!K3/10)+Skills!N3</f>
        <v/>
      </c>
      <c r="G2415">
        <f>Calc!G3</f>
        <v/>
      </c>
      <c r="H2415">
        <f>Calc!H3</f>
        <v/>
      </c>
      <c r="I2415">
        <f>IF(Skills!T3&lt;&gt;"",1+(Skills!T3/10)*($Z$3/1000)/100,1)</f>
        <v/>
      </c>
      <c r="J2415" t="inlineStr"/>
      <c r="K2415" t="inlineStr"/>
      <c r="L2415" t="inlineStr"/>
      <c r="M2415" t="inlineStr"/>
      <c r="N2415" t="inlineStr"/>
      <c r="O2415">
        <f>(1-Summary!$B$11)*S2415+Summary!$B$11*U2415</f>
        <v/>
      </c>
      <c r="P2415">
        <f>IF(B2455=0,0,O2415/B2455)</f>
        <v/>
      </c>
      <c r="Q2415">
        <f>IFERROR(1/(IF(Inputs!$B$39="pvp",15,MAX(0.1,Skills!D3-IF(Skills!E3=TRUE,Inputs!$B$33,0)))*(1-IF(AND(ArtifactsInput!$M$27,Inputs!$B$4="Chapter Hunt"),CHOOSE(ArtifactsInput!$N$27+1,20,24,28,32,36,40),0)/100)),0)</f>
        <v/>
      </c>
      <c r="R2415">
        <f>IF(AND(Inputs!$B$39&lt;&gt;"pvp",Inputs!$B$44&gt;0),IF(Inputs!$B$44&lt;=0,0,(INT(Inputs!$B$44/(IF(Inputs!$B$39="pvp",15,MAX(0.1,Skills!D3-IF(Skills!E3=TRUE,Inputs!$B$33,0)))*(1-IF(AND(ArtifactsInput!$M$27,Inputs!$B$4="Chapter Hunt"),CHOOSE(ArtifactsInput!$N$27+1,20,24,28,32,36,40),0)/100)))+1)),0)</f>
        <v/>
      </c>
      <c r="S2415" t="n">
        <v>0</v>
      </c>
      <c r="T2415">
        <f>INDEX(FactorTable!$B$2:$Y$301, MATCH(ROUND(MIN(300,MAX(1,T2414)),0), FactorTable!$A$2:$A$301,0), 22)</f>
        <v/>
      </c>
      <c r="U2415" t="n">
        <v>0</v>
      </c>
    </row>
    <row r="2416">
      <c r="A2416">
        <f>Skills!A4</f>
        <v/>
      </c>
      <c r="B2416">
        <f>Skills!B4</f>
        <v/>
      </c>
      <c r="C2416">
        <f>Inputs!$B$3&gt;=38</f>
        <v/>
      </c>
      <c r="D2416">
        <f>IF(Skills!C4=1,60+Inputs!$B$26+Inputs!$B$30,IF(Skills!C4=2,90+Inputs!$B$27+Inputs!$B$30,IF(Skills!C4=3,120+Inputs!$B$28+Inputs!$B$30,MAX(0,(Inputs!$B$3-100)*3)+Inputs!$B$29+Inputs!$B$30)))</f>
        <v/>
      </c>
      <c r="E2416">
        <f>INDEX(FactorTable!$B$2:$Y$301, MATCH(ROUND(MIN(300,MAX(1,D2416)),0), FactorTable!$A$2:$A$301,0), Skills!L4+1)</f>
        <v/>
      </c>
      <c r="F2416">
        <f>IF(Skills!M4=TRUE,(Skills!K4/10)*(E2416/1000),Skills!K4/10)+Skills!N4</f>
        <v/>
      </c>
      <c r="G2416">
        <f>Calc!G4</f>
        <v/>
      </c>
      <c r="H2416">
        <f>Calc!H4</f>
        <v/>
      </c>
      <c r="I2416">
        <f>IF(Skills!T4&lt;&gt;"",1+(Skills!T4/10)*($Z$3/1000)/100,1)</f>
        <v/>
      </c>
      <c r="J2416" t="inlineStr"/>
      <c r="K2416" t="inlineStr"/>
      <c r="L2416" t="inlineStr"/>
      <c r="M2416" t="inlineStr"/>
      <c r="N2416" t="inlineStr"/>
      <c r="O2416">
        <f>(1-Summary!$B$11)*S2416+Summary!$B$11*U2416</f>
        <v/>
      </c>
      <c r="P2416">
        <f>IF(B2455=0,0,O2416/B2455)</f>
        <v/>
      </c>
      <c r="Q2416">
        <f>IFERROR(1/(IF(Inputs!$B$39="pvp",15,MAX(0.1,Skills!D4-IF(Skills!E4=TRUE,Inputs!$B$33,0)))*(1-IF(AND(ArtifactsInput!$M$27,Inputs!$B$4="Chapter Hunt"),CHOOSE(ArtifactsInput!$N$27+1,20,24,28,32,36,40),0)/100)),0)</f>
        <v/>
      </c>
      <c r="R2416">
        <f>IF(AND(Inputs!$B$39&lt;&gt;"pvp",Inputs!$B$44&gt;0),IF(Inputs!$B$44&lt;=0,0,(INT(Inputs!$B$44/(IF(Inputs!$B$39="pvp",15,MAX(0.1,Skills!D4-IF(Skills!E4=TRUE,Inputs!$B$33,0)))*(1-IF(AND(ArtifactsInput!$M$27,Inputs!$B$4="Chapter Hunt"),CHOOSE(ArtifactsInput!$N$27+1,20,24,28,32,36,40),0)/100)))+1)),0)</f>
        <v/>
      </c>
      <c r="S2416" t="n">
        <v>0</v>
      </c>
      <c r="T2416">
        <f>290*T2415/1000</f>
        <v/>
      </c>
      <c r="U2416" t="n">
        <v>0</v>
      </c>
    </row>
    <row r="2417">
      <c r="A2417">
        <f>Skills!A5</f>
        <v/>
      </c>
      <c r="B2417">
        <f>Skills!B5</f>
        <v/>
      </c>
      <c r="C2417">
        <f>Inputs!$B$3&gt;=40</f>
        <v/>
      </c>
      <c r="D2417">
        <f>IF(Skills!C5=1,60+Inputs!$B$26+Inputs!$B$30,IF(Skills!C5=2,90+Inputs!$B$27+Inputs!$B$30,IF(Skills!C5=3,120+Inputs!$B$28+Inputs!$B$30,MAX(0,(Inputs!$B$3-100)*3)+Inputs!$B$29+Inputs!$B$30)))</f>
        <v/>
      </c>
      <c r="E2417">
        <f>INDEX(FactorTable!$B$2:$Y$301, MATCH(ROUND(MIN(300,MAX(1,D2417)),0), FactorTable!$A$2:$A$301,0), Skills!L5+1)</f>
        <v/>
      </c>
      <c r="F2417">
        <f>IF(Skills!M5=TRUE,(Skills!K5/10)*(E2417/1000),Skills!K5/10)+Skills!N5</f>
        <v/>
      </c>
      <c r="G2417">
        <f>Calc!G5</f>
        <v/>
      </c>
      <c r="H2417">
        <f>Calc!H5</f>
        <v/>
      </c>
      <c r="I2417">
        <f>IF(Skills!T5&lt;&gt;"",1+(Skills!T5/10)*($Z$3/1000)/100,1)</f>
        <v/>
      </c>
      <c r="J2417" t="inlineStr"/>
      <c r="K2417" t="inlineStr"/>
      <c r="L2417" t="inlineStr"/>
      <c r="M2417" t="inlineStr"/>
      <c r="N2417" t="inlineStr"/>
      <c r="O2417">
        <f>(1-Summary!$B$11)*S2417+Summary!$B$11*U2417</f>
        <v/>
      </c>
      <c r="P2417">
        <f>IF(B2455=0,0,O2417/B2455)</f>
        <v/>
      </c>
      <c r="Q2417">
        <f>IFERROR(1/(IF(Inputs!$B$39="pvp",15,MAX(0.1,Skills!D5-IF(Skills!E5=TRUE,Inputs!$B$33,0)))*(1-IF(AND(ArtifactsInput!$M$27,Inputs!$B$4="Chapter Hunt"),CHOOSE(ArtifactsInput!$N$27+1,20,24,28,32,36,40),0)/100)),0)</f>
        <v/>
      </c>
      <c r="R2417">
        <f>IF(AND(Inputs!$B$39&lt;&gt;"pvp",Inputs!$B$44&gt;0),IF(Inputs!$B$44&lt;=0,0,(INT(Inputs!$B$44/(IF(Inputs!$B$39="pvp",15,MAX(0.1,Skills!D5-IF(Skills!E5=TRUE,Inputs!$B$33,0)))*(1-IF(AND(ArtifactsInput!$M$27,Inputs!$B$4="Chapter Hunt"),CHOOSE(ArtifactsInput!$N$27+1,20,24,28,32,36,40),0)/100)))+1)),0)</f>
        <v/>
      </c>
      <c r="S2417" t="n">
        <v>0</v>
      </c>
      <c r="U2417" t="n">
        <v>0</v>
      </c>
    </row>
    <row r="2418">
      <c r="A2418">
        <f>Skills!A6</f>
        <v/>
      </c>
      <c r="B2418">
        <f>Skills!B6</f>
        <v/>
      </c>
      <c r="C2418">
        <f>Inputs!$B$3&gt;=103</f>
        <v/>
      </c>
      <c r="D2418">
        <f>IF(Skills!C6=1,60+Inputs!$B$26+Inputs!$B$30,IF(Skills!C6=2,90+Inputs!$B$27+Inputs!$B$30,IF(Skills!C6=3,120+Inputs!$B$28+Inputs!$B$30,MAX(0,(Inputs!$B$3-100)*3)+Inputs!$B$29+Inputs!$B$30)))</f>
        <v/>
      </c>
      <c r="E2418">
        <f>INDEX(FactorTable!$B$2:$Y$301, MATCH(ROUND(MIN(300,MAX(1,D2418)),0), FactorTable!$A$2:$A$301,0), Skills!L6+1)</f>
        <v/>
      </c>
      <c r="F2418">
        <f>IF(Skills!M6=TRUE,(Skills!K6/10)*(E2418/1000),Skills!K6/10)+Skills!N6</f>
        <v/>
      </c>
      <c r="G2418">
        <f>Calc!G6</f>
        <v/>
      </c>
      <c r="H2418">
        <f>Calc!H6</f>
        <v/>
      </c>
      <c r="I2418">
        <f>IF(Skills!T6&lt;&gt;"",1+(Skills!T6/10)*($Z$3/1000)/100,1)</f>
        <v/>
      </c>
      <c r="J2418">
        <f>((Inputs!$B$6*(1+Inputs!$B$7/100))+(((Inputs!$B$13*(1+Inputs!$B$14/100))-(Inputs!$B$13*(1+Inputs!$B$14/100)))+0.25*(Inputs!$B$15-Inputs!$B$15))*(1+Inputs!$B$7/100))*(F2418/100)</f>
        <v/>
      </c>
      <c r="K2418">
        <f>J2418*(1+(((Inputs!$B$13+IF(Inputs!$B$3&gt;=35,(10*INDEX(FactorTable!$B$2:$Y$301,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6="TRIUMPH_FEATHER",IF(C2428=TRUE,F2428,0),0)/100)*(1+IF(C2439=TRUE,F2439,0)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2418)</f>
        <v/>
      </c>
      <c r="L2418">
        <f>K2418*(MIN(Inputs!$B$23+(F2434-Calc!F22),(Inputs!$B$24+IF(ArtifactsInput!$M$15,CHOOSE(ArtifactsInput!$N$15+1,25,30,35,40,45,50)/100*(Inputs!$B$12-Inputs!$B$12),0)))/100+(Inputs!$B$24+IF(ArtifactsInput!$M$15,CHOOSE(ArtifactsInput!$N$15+1,25,30,35,40,45,50)/100*(Inputs!$B$12-Inputs!$B$12),0))/100)/2</f>
        <v/>
      </c>
      <c r="M2418">
        <f>L2418*(1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8">
        <f>L2418*(1-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2418*(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8">
        <f>(1-Summary!$B$11)*S2418+Summary!$B$11*U2418</f>
        <v/>
      </c>
      <c r="P2418">
        <f>IF(B2455=0,0,O2418/B2455)</f>
        <v/>
      </c>
      <c r="Q2418">
        <f>IFERROR(1/(IF(Inputs!$B$39="pvp",15,MAX(0.1,Skills!D6-IF(Skills!E6=TRUE,Inputs!$B$33,0)))*(1-IF(AND(ArtifactsInput!$M$27,Inputs!$B$4="Chapter Hunt"),CHOOSE(ArtifactsInput!$N$27+1,20,24,28,32,36,40),0)/100)),0)</f>
        <v/>
      </c>
      <c r="R2418">
        <f>IF(AND(Inputs!$B$39&lt;&gt;"pvp",Inputs!$B$44&gt;0),IF(MAX(0,Inputs!$B$44-B2452)&lt;=0,0,(INT(MAX(0,Inputs!$B$44-B2452)/(IF(Inputs!$B$39="pvp",15,MAX(0.1,Skills!D6-IF(Skills!E6=TRUE,Inputs!$B$33,0)))*(1-IF(AND(ArtifactsInput!$M$27,Inputs!$B$4="Chapter Hunt"),CHOOSE(ArtifactsInput!$N$27+1,20,24,28,32,36,40),0)/100)))+1)),0)</f>
        <v/>
      </c>
      <c r="S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$21+Skills!O6+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2418*(1-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2418*(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2418*(1-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2418*(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$22+Skills!P6+B2444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9">
      <c r="A2419">
        <f>Skills!A7</f>
        <v/>
      </c>
      <c r="B2419">
        <f>Skills!B7</f>
        <v/>
      </c>
      <c r="C2419">
        <f>Inputs!$B$3&gt;=122</f>
        <v/>
      </c>
      <c r="D2419">
        <f>IF(Skills!C7=1,60+Inputs!$B$26+Inputs!$B$30,IF(Skills!C7=2,90+Inputs!$B$27+Inputs!$B$30,IF(Skills!C7=3,120+Inputs!$B$28+Inputs!$B$30,MAX(0,(Inputs!$B$3-100)*3)+Inputs!$B$29+Inputs!$B$30)))</f>
        <v/>
      </c>
      <c r="E2419">
        <f>INDEX(FactorTable!$B$2:$Y$301, MATCH(ROUND(MIN(300,MAX(1,D2419)),0), FactorTable!$A$2:$A$301,0), Skills!L7+1)</f>
        <v/>
      </c>
      <c r="F2419">
        <f>IF(Skills!M7=TRUE,(Skills!K7/10)*(E2419/1000),Skills!K7/10)+Skills!N7</f>
        <v/>
      </c>
      <c r="G2419">
        <f>Calc!G7</f>
        <v/>
      </c>
      <c r="H2419">
        <f>Calc!H7</f>
        <v/>
      </c>
      <c r="I2419">
        <f>IF(Skills!T7&lt;&gt;"",1+(Skills!T7/10)*($Z$3/1000)/100,1)</f>
        <v/>
      </c>
      <c r="J2419">
        <f>((Inputs!$B$6*(1+Inputs!$B$7/100))+(((Inputs!$B$13*(1+Inputs!$B$14/100))-(Inputs!$B$13*(1+Inputs!$B$14/100)))+0.25*(Inputs!$B$15-Inputs!$B$15))*(1+Inputs!$B$7/100))*(F2419/100)</f>
        <v/>
      </c>
      <c r="K2419">
        <f>J2419*(1+(((Inputs!$B$13+IF(Inputs!$B$3&gt;=35,(10*INDEX(FactorTable!$B$2:$Y$301,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7="TRIUMPH_FEATHER",IF(C2428=TRUE,F2428,0),0)/100)*(1+IF(C2439=TRUE,F2439,0)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2419)</f>
        <v/>
      </c>
      <c r="L2419">
        <f>K2419*(MIN(Inputs!$B$23+(F2434-Calc!F22),(Inputs!$B$24+IF(ArtifactsInput!$M$15,CHOOSE(ArtifactsInput!$N$15+1,25,30,35,40,45,50)/100*(Inputs!$B$12-Inputs!$B$12),0)))/100+(Inputs!$B$24+IF(ArtifactsInput!$M$15,CHOOSE(ArtifactsInput!$N$15+1,25,30,35,40,45,50)/100*(Inputs!$B$12-Inputs!$B$12),0))/100)/2</f>
        <v/>
      </c>
      <c r="M2419">
        <f>L2419*(1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9">
        <f>L2419*(1-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2419*(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9">
        <f>(1-Summary!$B$11)*S2419+Summary!$B$11*U2419</f>
        <v/>
      </c>
      <c r="P2419">
        <f>IF(B2455=0,0,O2419/B2455)</f>
        <v/>
      </c>
      <c r="Q2419">
        <f>IFERROR(1/(IF(Inputs!$B$39="pvp",15,MAX(0.1,Skills!D7-IF(Skills!E6=TRUE,Inputs!$B$33,0)))*(1-IF(AND(ArtifactsInput!$M$27,Inputs!$B$4="Chapter Hunt"),CHOOSE(ArtifactsInput!$N$27+1,20,24,28,32,36,40),0)/100)),0)</f>
        <v/>
      </c>
      <c r="R2419">
        <f>IF(AND(Inputs!$B$39&lt;&gt;"pvp",Inputs!$B$44&gt;0),IF(MAX(0,Inputs!$B$44-B2452)&lt;=0,0,(INT(MAX(0,Inputs!$B$44-B2452)/(IF(Inputs!$B$39="pvp",15,MAX(0.1,Skills!D7-IF(Skills!E6=TRUE,Inputs!$B$33,0)))*(1-IF(AND(ArtifactsInput!$M$27,Inputs!$B$4="Chapter Hunt"),CHOOSE(ArtifactsInput!$N$27+1,20,24,28,32,36,40),0)/100)))+1)),0)</f>
        <v/>
      </c>
      <c r="S2419">
        <f>IF(C2419,H2419*N2419*IF(AND(Inputs!$B$39&lt;&gt;"pvp",Inputs!$B$44&gt;0),((Skills!F7*((R2419-1)*IF(Skills!G7&gt;0,Skills!H7/Skills!G7,1)+IF(Skills!G7&gt;0,MIN(Skills!H7,MAX(0,MAX(0,Inputs!$B$44-B2452)-((R2419-1)*(IF(Inputs!$B$39="pvp",15,MAX(0.1,Skills!D7-IF(Skills!E6=TRUE,Inputs!$B$33,0)))*(1-IF(AND(ArtifactsInput!$M$27,Inputs!$B$4="Chapter Hunt"),CHOOSE(ArtifactsInput!$N$27+1,20,24,28,32,36,40),0)/100)))))/Skills!G7,1)))/Inputs!$B$44),G2419*Q2419)*IF(Inputs!$B$39="pvp",1,1+(Inputs!$B$21+Skills!O7+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2419*(1-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2419*(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2419*(1-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2419*(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9" t="n">
        <v>0</v>
      </c>
    </row>
    <row r="2420">
      <c r="A2420">
        <f>Skills!A8</f>
        <v/>
      </c>
      <c r="B2420">
        <f>Skills!B8</f>
        <v/>
      </c>
      <c r="C2420">
        <f>Inputs!$B$3&gt;=105</f>
        <v/>
      </c>
      <c r="D2420">
        <f>IF(Skills!C8=1,60+Inputs!$B$26+Inputs!$B$30,IF(Skills!C8=2,90+Inputs!$B$27+Inputs!$B$30,IF(Skills!C8=3,120+Inputs!$B$28+Inputs!$B$30,MAX(0,(Inputs!$B$3-100)*3)+Inputs!$B$29+Inputs!$B$30)))</f>
        <v/>
      </c>
      <c r="E2420">
        <f>INDEX(FactorTable!$B$2:$Y$301, MATCH(ROUND(MIN(300,MAX(1,D2420)),0), FactorTable!$A$2:$A$301,0), Skills!L8+1)</f>
        <v/>
      </c>
      <c r="F2420">
        <f>IF(Skills!M8=TRUE,(Skills!K8/10)*(E2420/1000),Skills!K8/10)+Skills!N8</f>
        <v/>
      </c>
      <c r="G2420">
        <f>Calc!G8</f>
        <v/>
      </c>
      <c r="H2420">
        <f>Calc!H8</f>
        <v/>
      </c>
      <c r="I2420">
        <f>IF(Skills!T8&lt;&gt;"",1+(Skills!T8/10)*($Z$3/1000)/100,1)</f>
        <v/>
      </c>
      <c r="J2420">
        <f>((Inputs!$B$6*(1+Inputs!$B$7/100))+(((Inputs!$B$13*(1+Inputs!$B$14/100))-(Inputs!$B$13*(1+Inputs!$B$14/100)))+0.25*(Inputs!$B$15-Inputs!$B$15))*(1+Inputs!$B$7/100))*(F2420/100)</f>
        <v/>
      </c>
      <c r="K2420">
        <f>J2420*(1+(((Inputs!$B$13+IF(Inputs!$B$3&gt;=35,(10*INDEX(FactorTable!$B$2:$Y$301,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8="TRIUMPH_FEATHER",IF(C2428=TRUE,F2428,0),0)/100)*(1+IF(C2439=TRUE,F2439,0)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2420)</f>
        <v/>
      </c>
      <c r="L2420">
        <f>K2420*(MIN(Inputs!$B$23+(F2434-Calc!F22),(Inputs!$B$24+IF(ArtifactsInput!$M$15,CHOOSE(ArtifactsInput!$N$15+1,25,30,35,40,45,50)/100*(Inputs!$B$12-Inputs!$B$12),0)))/100+(Inputs!$B$24+IF(ArtifactsInput!$M$15,CHOOSE(ArtifactsInput!$N$15+1,25,30,35,40,45,50)/100*(Inputs!$B$12-Inputs!$B$12),0))/100)/2</f>
        <v/>
      </c>
      <c r="M2420">
        <f>L2420*(1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0">
        <f>L2420*(1-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2420*(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0">
        <f>(1-Summary!$B$11)*S2420+Summary!$B$11*U2420</f>
        <v/>
      </c>
      <c r="P2420">
        <f>IF(B2455=0,0,O2420/B2455)</f>
        <v/>
      </c>
      <c r="Q2420">
        <f>IFERROR(1/(IF(Inputs!$B$39="pvp",15,MAX(0.1,Skills!D8-IF(Skills!E8=TRUE,Inputs!$B$33,0)))*(1-IF(AND(ArtifactsInput!$M$27,Inputs!$B$4="Chapter Hunt"),CHOOSE(ArtifactsInput!$N$27+1,20,24,28,32,36,40),0)/100)),0)</f>
        <v/>
      </c>
      <c r="R2420">
        <f>IF(AND(Inputs!$B$39&lt;&gt;"pvp",Inputs!$B$44&gt;0),IF(MAX(0,Inputs!$B$44-B2452)&lt;=0,0,(INT(MAX(0,Inputs!$B$44-B2452)/(IF(Inputs!$B$39="pvp",15,MAX(0.1,Skills!D8-IF(Skills!E8=TRUE,Inputs!$B$33,0)))*(1-IF(AND(ArtifactsInput!$M$27,Inputs!$B$4="Chapter Hunt"),CHOOSE(ArtifactsInput!$N$27+1,20,24,28,32,36,40),0)/100)))+1)),0)</f>
        <v/>
      </c>
      <c r="S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$21+Skills!O8+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2420*(1-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2420*(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2420*(1-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2420*(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$22+Skills!P8+B2444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1">
      <c r="A2421">
        <f>Skills!A9</f>
        <v/>
      </c>
      <c r="B2421">
        <f>Skills!B9</f>
        <v/>
      </c>
      <c r="C2421">
        <f>Inputs!$B$3&gt;=115</f>
        <v/>
      </c>
      <c r="D2421">
        <f>IF(Skills!C9=1,60+Inputs!$B$26+Inputs!$B$30,IF(Skills!C9=2,90+Inputs!$B$27+Inputs!$B$30,IF(Skills!C9=3,120+Inputs!$B$28+Inputs!$B$30,MAX(0,(Inputs!$B$3-100)*3)+Inputs!$B$29+Inputs!$B$30)))</f>
        <v/>
      </c>
      <c r="E2421">
        <f>INDEX(FactorTable!$B$2:$Y$301, MATCH(ROUND(MIN(300,MAX(1,D2421)),0), FactorTable!$A$2:$A$301,0), Skills!L9+1)</f>
        <v/>
      </c>
      <c r="F2421">
        <f>IF(Skills!M9=TRUE,(Skills!K9/10)*(E2421/1000),Skills!K9/10)+Skills!N9</f>
        <v/>
      </c>
      <c r="G2421">
        <f>Calc!G9</f>
        <v/>
      </c>
      <c r="H2421">
        <f>Calc!H9</f>
        <v/>
      </c>
      <c r="I2421">
        <f>IF(Skills!T9&lt;&gt;"",1+(Skills!T9/10)*($Z$3/1000)/100,1)</f>
        <v/>
      </c>
      <c r="J2421">
        <f>((Inputs!$B$6*(1+Inputs!$B$7/100))+(((Inputs!$B$13*(1+Inputs!$B$14/100))-(Inputs!$B$13*(1+Inputs!$B$14/100)))+0.25*(Inputs!$B$15-Inputs!$B$15))*(1+Inputs!$B$7/100))*(F2421/100)</f>
        <v/>
      </c>
      <c r="K2421">
        <f>J2421*(1+(((Inputs!$B$13+IF(Inputs!$B$3&gt;=35,(10*INDEX(FactorTable!$B$2:$Y$301,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9="TRIUMPH_FEATHER",IF(C2428=TRUE,F2428,0),0)/100)*(1+IF(C2439=TRUE,F2439,0)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2421)</f>
        <v/>
      </c>
      <c r="L2421">
        <f>K2421*(MIN(Inputs!$B$23+(F2434-Calc!F22),(Inputs!$B$24+IF(ArtifactsInput!$M$15,CHOOSE(ArtifactsInput!$N$15+1,25,30,35,40,45,50)/100*(Inputs!$B$12-Inputs!$B$12),0)))/100+(Inputs!$B$24+IF(ArtifactsInput!$M$15,CHOOSE(ArtifactsInput!$N$15+1,25,30,35,40,45,50)/100*(Inputs!$B$12-Inputs!$B$12),0))/100)/2</f>
        <v/>
      </c>
      <c r="M2421">
        <f>L2421*(1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1">
        <f>L2421*(1-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1">
        <f>(1-Summary!$B$11)*S2421+Summary!$B$11*U2421</f>
        <v/>
      </c>
      <c r="P2421">
        <f>IF(B2455=0,0,O2421/B2455)</f>
        <v/>
      </c>
      <c r="Q2421">
        <f>IFERROR(1/(IF(Inputs!$B$39="pvp",15,MAX(0.1,Skills!D9-IF(Skills!E9=TRUE,Inputs!$B$33,0)))*(1-IF(AND(ArtifactsInput!$M$27,Inputs!$B$4="Chapter Hunt"),CHOOSE(ArtifactsInput!$N$27+1,20,24,28,32,36,40),0)/100)),0)</f>
        <v/>
      </c>
      <c r="R2421">
        <f>IF(AND(Inputs!$B$39&lt;&gt;"pvp",Inputs!$B$44&gt;0),IF(MAX(0,Inputs!$B$44-B2452)&lt;=0,0,(INT(MAX(0,Inputs!$B$44-B2452)/(IF(Inputs!$B$39="pvp",15,MAX(0.1,Skills!D9-IF(Skills!E9=TRUE,Inputs!$B$33,0)))*(1-IF(AND(ArtifactsInput!$M$27,Inputs!$B$4="Chapter Hunt"),CHOOSE(ArtifactsInput!$N$27+1,20,24,28,32,36,40),0)/100)))+1)),0)</f>
        <v/>
      </c>
      <c r="S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$21+Skills!O9+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2421*(1-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2421*(1-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$22+Skills!P9+B2444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2">
      <c r="A2422">
        <f>Skills!A10</f>
        <v/>
      </c>
      <c r="B2422">
        <f>Skills!B10</f>
        <v/>
      </c>
      <c r="C2422">
        <f>Inputs!$B$3&gt;=66</f>
        <v/>
      </c>
      <c r="D2422">
        <f>IF(Skills!C10=1,60+Inputs!$B$26+Inputs!$B$30,IF(Skills!C10=2,90+Inputs!$B$27+Inputs!$B$30,IF(Skills!C10=3,120+Inputs!$B$28+Inputs!$B$30,MAX(0,(Inputs!$B$3-100)*3)+Inputs!$B$29+Inputs!$B$30)))</f>
        <v/>
      </c>
      <c r="E2422">
        <f>INDEX(FactorTable!$B$2:$Y$301, MATCH(ROUND(MIN(300,MAX(1,D2422)),0), FactorTable!$A$2:$A$301,0), Skills!L10+1)</f>
        <v/>
      </c>
      <c r="F2422" t="n">
        <v>0</v>
      </c>
      <c r="G2422">
        <f>Calc!G10</f>
        <v/>
      </c>
      <c r="H2422">
        <f>Calc!H10</f>
        <v/>
      </c>
      <c r="I2422">
        <f>IF(Skills!T10&lt;&gt;"",1+(Skills!T10/10)*($Z$3/1000)/100,1)</f>
        <v/>
      </c>
      <c r="J2422" t="inlineStr"/>
      <c r="K2422" t="inlineStr"/>
      <c r="L2422" t="inlineStr"/>
      <c r="M2422" t="inlineStr"/>
      <c r="N2422" t="inlineStr"/>
      <c r="O2422">
        <f>(1-Summary!$B$11)*S2422+Summary!$B$11*U2422</f>
        <v/>
      </c>
      <c r="P2422">
        <f>IF(B2455=0,0,O2422/B2455)</f>
        <v/>
      </c>
      <c r="Q2422">
        <f>IFERROR(1/(IF(Inputs!$B$39="pvp",15,MAX(0.1,Skills!D10-IF(Skills!E10=TRUE,Inputs!$B$33,0)))*(1-IF(AND(ArtifactsInput!$M$27,Inputs!$B$4="Chapter Hunt"),CHOOSE(ArtifactsInput!$N$27+1,20,24,28,32,36,40),0)/100)),0)</f>
        <v/>
      </c>
      <c r="R2422">
        <f>IF(AND(Inputs!$B$39&lt;&gt;"pvp",Inputs!$B$44&gt;0),IF(MAX(0,Inputs!$B$44-B2452)&lt;=0,0,(INT(MAX(0,Inputs!$B$44-B2452)/(IF(Inputs!$B$39="pvp",15,MAX(0.1,Skills!D10-IF(Skills!E10=TRUE,Inputs!$B$33,0)))*(1-IF(AND(ArtifactsInput!$M$27,Inputs!$B$4="Chapter Hunt"),CHOOSE(ArtifactsInput!$N$27+1,20,24,28,32,36,40),0)/100)))+1)),0)</f>
        <v/>
      </c>
      <c r="S2422" t="n">
        <v>0</v>
      </c>
      <c r="U2422" t="n">
        <v>0</v>
      </c>
    </row>
    <row r="2423">
      <c r="A2423">
        <f>Skills!A11</f>
        <v/>
      </c>
      <c r="B2423">
        <f>Skills!B11</f>
        <v/>
      </c>
      <c r="C2423">
        <f>Inputs!$B$3&gt;=69</f>
        <v/>
      </c>
      <c r="D2423">
        <f>IF(Skills!C11=1,60+Inputs!$B$26+Inputs!$B$30,IF(Skills!C11=2,90+Inputs!$B$27+Inputs!$B$30,IF(Skills!C11=3,120+Inputs!$B$28+Inputs!$B$30,MAX(0,(Inputs!$B$3-100)*3)+Inputs!$B$29+Inputs!$B$30)))</f>
        <v/>
      </c>
      <c r="E2423">
        <f>INDEX(FactorTable!$B$2:$Y$301, MATCH(ROUND(MIN(300,MAX(1,D2423)),0), FactorTable!$A$2:$A$301,0), Skills!L11+1)</f>
        <v/>
      </c>
      <c r="F2423">
        <f>IF(Skills!M11=TRUE,(Skills!K11/10)*(E2423/1000),Skills!K11/10)+Skills!N11</f>
        <v/>
      </c>
      <c r="G2423">
        <f>Calc!G11</f>
        <v/>
      </c>
      <c r="H2423">
        <f>Calc!H11</f>
        <v/>
      </c>
      <c r="I2423">
        <f>IF(Skills!T11&lt;&gt;"",1+(Skills!T11/10)*($Z$3/1000)/100,1)</f>
        <v/>
      </c>
      <c r="J2423" t="inlineStr"/>
      <c r="K2423" t="inlineStr"/>
      <c r="L2423" t="inlineStr"/>
      <c r="M2423" t="inlineStr"/>
      <c r="N2423" t="inlineStr"/>
      <c r="O2423">
        <f>(1-Summary!$B$11)*S2423+Summary!$B$11*U2423</f>
        <v/>
      </c>
      <c r="P2423">
        <f>IF(B2455=0,0,O2423/B2455)</f>
        <v/>
      </c>
      <c r="Q2423">
        <f>IFERROR(1/(IF(Inputs!$B$39="pvp",15,MAX(0.1,Skills!D11-IF(Skills!E11=TRUE,Inputs!$B$33,0)))*(1-IF(AND(ArtifactsInput!$M$27,Inputs!$B$4="Chapter Hunt"),CHOOSE(ArtifactsInput!$N$27+1,20,24,28,32,36,40),0)/100)),0)</f>
        <v/>
      </c>
      <c r="R2423">
        <f>IF(AND(Inputs!$B$39&lt;&gt;"pvp",Inputs!$B$44&gt;0),IF(Inputs!$B$44&lt;=0,0,(INT(Inputs!$B$44/(IF(Inputs!$B$39="pvp",15,MAX(0.1,Skills!D11-IF(Skills!E11=TRUE,Inputs!$B$33,0)))*(1-IF(AND(ArtifactsInput!$M$27,Inputs!$B$4="Chapter Hunt"),CHOOSE(ArtifactsInput!$N$27+1,20,24,28,32,36,40),0)/100)))+1)),0)</f>
        <v/>
      </c>
      <c r="S2423" t="n">
        <v>0</v>
      </c>
      <c r="U2423" t="n">
        <v>0</v>
      </c>
    </row>
    <row r="2424">
      <c r="A2424">
        <f>Skills!A12</f>
        <v/>
      </c>
      <c r="B2424">
        <f>Skills!B12</f>
        <v/>
      </c>
      <c r="C2424">
        <f>Inputs!$B$3&gt;=72</f>
        <v/>
      </c>
      <c r="D2424">
        <f>IF(Skills!C12=1,60+Inputs!$B$26+Inputs!$B$30,IF(Skills!C12=2,90+Inputs!$B$27+Inputs!$B$30,IF(Skills!C12=3,120+Inputs!$B$28+Inputs!$B$30,MAX(0,(Inputs!$B$3-100)*3)+Inputs!$B$29+Inputs!$B$30)))</f>
        <v/>
      </c>
      <c r="E2424">
        <f>INDEX(FactorTable!$B$2:$Y$301, MATCH(ROUND(MIN(300,MAX(1,D2424)),0), FactorTable!$A$2:$A$301,0), Skills!L12+1)</f>
        <v/>
      </c>
      <c r="F2424">
        <f>IF(Skills!M12=TRUE,(Skills!K12/10)*(E2424/1000),Skills!K12/10)+Skills!N12</f>
        <v/>
      </c>
      <c r="G2424">
        <f>Calc!G12</f>
        <v/>
      </c>
      <c r="H2424">
        <f>Calc!H12</f>
        <v/>
      </c>
      <c r="I2424">
        <f>IF(Skills!T12&lt;&gt;"",1+(Skills!T12/10)*($Z$3/1000)/100,1)</f>
        <v/>
      </c>
      <c r="J2424" t="inlineStr"/>
      <c r="K2424" t="inlineStr"/>
      <c r="L2424" t="inlineStr"/>
      <c r="M2424" t="inlineStr"/>
      <c r="N2424" t="inlineStr"/>
      <c r="O2424">
        <f>(1-Summary!$B$11)*S2424+Summary!$B$11*U2424</f>
        <v/>
      </c>
      <c r="P2424">
        <f>IF(B2455=0,0,O2424/B2455)</f>
        <v/>
      </c>
      <c r="Q2424">
        <f>IFERROR(1/(IF(Inputs!$B$39="pvp",15,MAX(0.1,Skills!D12-IF(Skills!E12=TRUE,Inputs!$B$33,0)))*(1-IF(AND(ArtifactsInput!$M$27,Inputs!$B$4="Chapter Hunt"),CHOOSE(ArtifactsInput!$N$27+1,20,24,28,32,36,40),0)/100)),0)</f>
        <v/>
      </c>
      <c r="R2424">
        <f>IF(AND(Inputs!$B$39&lt;&gt;"pvp",Inputs!$B$44&gt;0),IF(MAX(0,Inputs!$B$44-B2452)&lt;=0,0,(INT(MAX(0,Inputs!$B$44-B2452)/(IF(Inputs!$B$39="pvp",15,MAX(0.1,Skills!D12-IF(Skills!E12=TRUE,Inputs!$B$33,0)))*(1-IF(AND(ArtifactsInput!$M$27,Inputs!$B$4="Chapter Hunt"),CHOOSE(ArtifactsInput!$N$27+1,20,24,28,32,36,40),0)/100)))+1)),0)</f>
        <v/>
      </c>
      <c r="S2424" t="n">
        <v>0</v>
      </c>
      <c r="U2424" t="n">
        <v>0</v>
      </c>
    </row>
    <row r="2425">
      <c r="A2425">
        <f>Skills!A13</f>
        <v/>
      </c>
      <c r="B2425">
        <f>Skills!B13</f>
        <v/>
      </c>
      <c r="C2425">
        <f>Inputs!$B$3&gt;=60</f>
        <v/>
      </c>
      <c r="D2425">
        <f>IF(Skills!C13=1,60+Inputs!$B$26+Inputs!$B$30,IF(Skills!C13=2,90+Inputs!$B$27+Inputs!$B$30,IF(Skills!C13=3,120+Inputs!$B$28+Inputs!$B$30,MAX(0,(Inputs!$B$3-100)*3)+Inputs!$B$29+Inputs!$B$30)))</f>
        <v/>
      </c>
      <c r="E2425">
        <f>INDEX(FactorTable!$B$2:$Y$301, MATCH(ROUND(MIN(300,MAX(1,D2425)),0), FactorTable!$A$2:$A$301,0), Skills!L13+1)</f>
        <v/>
      </c>
      <c r="F2425">
        <f>IF(Skills!M13=TRUE,(Skills!K13/10)*(E2425/1000),Skills!K13/10)+Skills!N13</f>
        <v/>
      </c>
      <c r="G2425">
        <f>Calc!G13</f>
        <v/>
      </c>
      <c r="H2425">
        <f>Calc!H13</f>
        <v/>
      </c>
      <c r="I2425">
        <f>IF(Skills!T13&lt;&gt;"",1+(Skills!T13/10)*($Z$3/1000)/100,1)</f>
        <v/>
      </c>
      <c r="J2425" t="inlineStr"/>
      <c r="K2425" t="inlineStr"/>
      <c r="L2425" t="inlineStr"/>
      <c r="M2425" t="inlineStr"/>
      <c r="N2425" t="inlineStr"/>
      <c r="O2425">
        <f>(1-Summary!$B$11)*S2425+Summary!$B$11*U2425</f>
        <v/>
      </c>
      <c r="P2425">
        <f>IF(B2455=0,0,O2425/B2455)</f>
        <v/>
      </c>
      <c r="Q2425">
        <f>IFERROR(1/(IF(Inputs!$B$39="pvp",15,MAX(0.1,Skills!D13-IF(Skills!E13=TRUE,Inputs!$B$33,0)))*(1-IF(AND(ArtifactsInput!$M$27,Inputs!$B$4="Chapter Hunt"),CHOOSE(ArtifactsInput!$N$27+1,20,24,28,32,36,40),0)/100)),0)</f>
        <v/>
      </c>
      <c r="R2425">
        <f>IF(AND(Inputs!$B$39&lt;&gt;"pvp",Inputs!$B$44&gt;0),IF(MAX(0,Inputs!$B$44-B2452)&lt;=0,0,(INT(MAX(0,Inputs!$B$44-B2452)/(IF(Inputs!$B$39="pvp",15,MAX(0.1,Skills!D13-IF(Skills!E13=TRUE,Inputs!$B$33,0)))*(1-IF(AND(ArtifactsInput!$M$27,Inputs!$B$4="Chapter Hunt"),CHOOSE(ArtifactsInput!$N$27+1,20,24,28,32,36,40),0)/100)))+1)),0)</f>
        <v/>
      </c>
      <c r="S2425" t="n">
        <v>0</v>
      </c>
      <c r="U2425" t="n">
        <v>0</v>
      </c>
    </row>
    <row r="2426">
      <c r="A2426">
        <f>Skills!A14</f>
        <v/>
      </c>
      <c r="B2426">
        <f>Skills!B14</f>
        <v/>
      </c>
      <c r="C2426">
        <f>Inputs!$B$3&gt;=107</f>
        <v/>
      </c>
      <c r="D2426">
        <f>IF(Skills!C14=1,60+Inputs!$B$26+Inputs!$B$30,IF(Skills!C14=2,90+Inputs!$B$27+Inputs!$B$30,IF(Skills!C14=3,120+Inputs!$B$28+Inputs!$B$30,MAX(0,(Inputs!$B$3-100)*3)+Inputs!$B$29+Inputs!$B$30)))</f>
        <v/>
      </c>
      <c r="E2426">
        <f>INDEX(FactorTable!$B$2:$Y$301, MATCH(ROUND(MIN(300,MAX(1,D2426)),0), FactorTable!$A$2:$A$301,0), Skills!L14+1)</f>
        <v/>
      </c>
      <c r="F2426">
        <f>IF(Skills!M14=TRUE,(Skills!K14/10)*(E2426/1000),Skills!K14/10)+Skills!N14</f>
        <v/>
      </c>
      <c r="G2426">
        <f>Calc!G14</f>
        <v/>
      </c>
      <c r="H2426">
        <f>Calc!H14</f>
        <v/>
      </c>
      <c r="I2426">
        <f>IF(Skills!T14&lt;&gt;"",1+(Skills!T14/10)*($Z$3/1000)/100,1)</f>
        <v/>
      </c>
      <c r="J2426" t="inlineStr"/>
      <c r="K2426" t="inlineStr"/>
      <c r="L2426" t="inlineStr"/>
      <c r="M2426" t="inlineStr"/>
      <c r="N2426" t="inlineStr"/>
      <c r="O2426">
        <f>(1-Summary!$B$11)*S2426+Summary!$B$11*U2426</f>
        <v/>
      </c>
      <c r="P2426">
        <f>IF(B2455=0,0,O2426/B2455)</f>
        <v/>
      </c>
      <c r="Q2426">
        <f>IFERROR(1/(IF(Inputs!$B$39="pvp",15,MAX(0.1,Skills!D14-IF(Skills!E14=TRUE,Inputs!$B$33,0)))*(1-IF(AND(ArtifactsInput!$M$27,Inputs!$B$4="Chapter Hunt"),CHOOSE(ArtifactsInput!$N$27+1,20,24,28,32,36,40),0)/100)),0)</f>
        <v/>
      </c>
      <c r="R2426">
        <f>IF(AND(Inputs!$B$39&lt;&gt;"pvp",Inputs!$B$44&gt;0),IF(Inputs!$B$44&lt;=0,0,(INT(Inputs!$B$44/(IF(Inputs!$B$39="pvp",15,MAX(0.1,Skills!D14-IF(Skills!E14=TRUE,Inputs!$B$33,0)))*(1-IF(AND(ArtifactsInput!$M$27,Inputs!$B$4="Chapter Hunt"),CHOOSE(ArtifactsInput!$N$27+1,20,24,28,32,36,40),0)/100)))+1)),0)</f>
        <v/>
      </c>
      <c r="S2426" t="n">
        <v>0</v>
      </c>
      <c r="U2426" t="n">
        <v>0</v>
      </c>
    </row>
    <row r="2427">
      <c r="A2427">
        <f>Skills!A15</f>
        <v/>
      </c>
      <c r="B2427">
        <f>Skills!B15</f>
        <v/>
      </c>
      <c r="C2427">
        <f>Inputs!$B$3&gt;=63</f>
        <v/>
      </c>
      <c r="D2427">
        <f>IF(Skills!C15=1,60+Inputs!$B$26+Inputs!$B$30,IF(Skills!C15=2,90+Inputs!$B$27+Inputs!$B$30,IF(Skills!C15=3,120+Inputs!$B$28+Inputs!$B$30,MAX(0,(Inputs!$B$3-100)*3)+Inputs!$B$29+Inputs!$B$30)))</f>
        <v/>
      </c>
      <c r="E2427">
        <f>INDEX(FactorTable!$B$2:$Y$301, MATCH(ROUND(MIN(300,MAX(1,D2427)),0), FactorTable!$A$2:$A$301,0), Skills!L15+1)</f>
        <v/>
      </c>
      <c r="F2427">
        <f>IF(Skills!M15=TRUE,(Skills!K15/10)*(E2427/1000),Skills!K15/10)+Skills!N15</f>
        <v/>
      </c>
      <c r="G2427">
        <f>Calc!G15</f>
        <v/>
      </c>
      <c r="H2427">
        <f>Calc!H15</f>
        <v/>
      </c>
      <c r="I2427">
        <f>IF(Skills!T15&lt;&gt;"",1+(Skills!T15/10)*($Z$3/1000)/100,1)</f>
        <v/>
      </c>
      <c r="J2427">
        <f>((Inputs!$B$6*(1+Inputs!$B$7/100))+(((Inputs!$B$13*(1+Inputs!$B$14/100))-(Inputs!$B$13*(1+Inputs!$B$14/100)))+0.25*(Inputs!$B$15-Inputs!$B$15))*(1+Inputs!$B$7/100))*(F2427/100)</f>
        <v/>
      </c>
      <c r="K2427">
        <f>J2427*(1+(((Inputs!$B$13+IF(Inputs!$B$3&gt;=35,(10*INDEX(FactorTable!$B$2:$Y$301,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15="TRIUMPH_FEATHER",IF(C2428=TRUE,F2428,0),0)/100)*(1+IF(C2439=TRUE,F2439,0)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2427)</f>
        <v/>
      </c>
      <c r="L2427">
        <f>K2427*(MIN(Inputs!$B$23+(F2434-Calc!F22),(Inputs!$B$24+IF(ArtifactsInput!$M$15,CHOOSE(ArtifactsInput!$N$15+1,25,30,35,40,45,50)/100*(Inputs!$B$12-Inputs!$B$12),0)))/100+(Inputs!$B$24+IF(ArtifactsInput!$M$15,CHOOSE(ArtifactsInput!$N$15+1,25,30,35,40,45,50)/100*(Inputs!$B$12-Inputs!$B$12),0))/100)/2</f>
        <v/>
      </c>
      <c r="M2427">
        <f>L2427*(1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7">
        <f>L2427*(1-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(1-Summary!$B$11)*S2427+Summary!$B$11*U2427</f>
        <v/>
      </c>
      <c r="P2427">
        <f>IF(B2455=0,0,O2427/B2455)</f>
        <v/>
      </c>
      <c r="Q2427">
        <f>IFERROR(1/(IF(Inputs!$B$39="pvp",15,MAX(0.1,Skills!D15-IF(Skills!E15=TRUE,Inputs!$B$33,0)))*(1-IF(AND(ArtifactsInput!$M$27,Inputs!$B$4="Chapter Hunt"),CHOOSE(ArtifactsInput!$N$27+1,20,24,28,32,36,40),0)/100)),0)</f>
        <v/>
      </c>
      <c r="R2427" t="n">
        <v>0</v>
      </c>
      <c r="S2427">
        <f>IF(C2427,(Skills!F15*N2427*((IF(Inputs!$B$3&gt;=78,25,15)/100*B2448*10)/(1+IF(Inputs!$B$3&gt;=78,25,15)/100*B2448*10))*(Skills!I15/100*B2448)/(1+Skills!G15*Skills!I15/100*B2448))*IF(Inputs!$B$39="pvp",1,1+(Inputs!$B$21+Skills!O15+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2427*(1-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F(C2427,(Skills!F15*N2427*((IF(Inputs!$B$3&gt;=78,25,15)/100*B2448*10)/(1+IF(Inputs!$B$3&gt;=78,25,15)/100*B2448*10))*(Skills!I15/100*B2448)/(1+Skills!G15*Skills!I15/100*B2448))*IF(Inputs!$B$39="pvp",1,(1+(Inputs!$B$22+Skills!P15+B2444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Skills!A16</f>
        <v/>
      </c>
      <c r="B2428">
        <f>Skills!B16</f>
        <v/>
      </c>
      <c r="C2428">
        <f>Inputs!$B$3&gt;=100</f>
        <v/>
      </c>
      <c r="D2428">
        <f>IF(Skills!C16=1,60+Inputs!$B$26+Inputs!$B$30,IF(Skills!C16=2,90+Inputs!$B$27+Inputs!$B$30,IF(Skills!C16=3,120+Inputs!$B$28+Inputs!$B$30,MAX(0,(Inputs!$B$3-100)*3)+Inputs!$B$29+Inputs!$B$30)))</f>
        <v/>
      </c>
      <c r="E2428">
        <f>INDEX(FactorTable!$B$2:$Y$301, MATCH(ROUND(MIN(300,MAX(1,D2428)),0), FactorTable!$A$2:$A$301,0), Skills!L16+1)</f>
        <v/>
      </c>
      <c r="F2428">
        <f>IF(Skills!M16=TRUE,(Skills!K16/10)*(E2428/1000),Skills!K16/10)+Skills!N16</f>
        <v/>
      </c>
      <c r="G2428">
        <f>Calc!G16</f>
        <v/>
      </c>
      <c r="H2428">
        <f>Calc!H16</f>
        <v/>
      </c>
      <c r="I2428">
        <f>IF(Skills!T16&lt;&gt;"",1+(Skills!T16/10)*($Z$3/1000)/100,1)</f>
        <v/>
      </c>
      <c r="J2428" t="inlineStr"/>
      <c r="K2428" t="inlineStr"/>
      <c r="L2428" t="inlineStr"/>
      <c r="M2428" t="inlineStr"/>
      <c r="N2428" t="inlineStr"/>
      <c r="O2428">
        <f>(1-Summary!$B$11)*S2428+Summary!$B$11*U2428</f>
        <v/>
      </c>
      <c r="P2428">
        <f>IF(B2455=0,0,O2428/B2455)</f>
        <v/>
      </c>
      <c r="Q2428">
        <f>IFERROR(1/(IF(Inputs!$B$39="pvp",15,MAX(0.1,Skills!D16-IF(Skills!E16=TRUE,Inputs!$B$33,0)))*(1-IF(AND(ArtifactsInput!$M$27,Inputs!$B$4="Chapter Hunt"),CHOOSE(ArtifactsInput!$N$27+1,20,24,28,32,36,40),0)/100)),0)</f>
        <v/>
      </c>
      <c r="R2428" t="n">
        <v>0</v>
      </c>
      <c r="S2428" t="n">
        <v>0</v>
      </c>
      <c r="U2428" t="n">
        <v>0</v>
      </c>
    </row>
    <row r="2429">
      <c r="A2429">
        <f>Skills!A17</f>
        <v/>
      </c>
      <c r="B2429">
        <f>Skills!B17</f>
        <v/>
      </c>
      <c r="C2429">
        <f>Inputs!$B$3&gt;=49</f>
        <v/>
      </c>
      <c r="D2429">
        <f>IF(Skills!C17=1,60+Inputs!$B$26+Inputs!$B$30,IF(Skills!C17=2,90+Inputs!$B$27+Inputs!$B$30,IF(Skills!C17=3,120+Inputs!$B$28+Inputs!$B$30,MAX(0,(Inputs!$B$3-100)*3)+Inputs!$B$29+Inputs!$B$30)))</f>
        <v/>
      </c>
      <c r="E2429">
        <f>INDEX(FactorTable!$B$2:$Y$301, MATCH(ROUND(MIN(300,MAX(1,D2429)),0), FactorTable!$A$2:$A$301,0), Skills!L17+1)</f>
        <v/>
      </c>
      <c r="F2429">
        <f>IF(Skills!M17=TRUE,(Skills!K17/10)*(E2429/1000),Skills!K17/10)+Skills!N17</f>
        <v/>
      </c>
      <c r="G2429">
        <f>Calc!G17</f>
        <v/>
      </c>
      <c r="H2429">
        <f>Calc!H17</f>
        <v/>
      </c>
      <c r="I2429">
        <f>IF(Skills!T17&lt;&gt;"",1+(Skills!T17/10)*($Z$3/1000)/100,1)</f>
        <v/>
      </c>
      <c r="J2429" t="inlineStr"/>
      <c r="K2429" t="inlineStr"/>
      <c r="L2429" t="inlineStr"/>
      <c r="M2429" t="inlineStr"/>
      <c r="N2429" t="inlineStr"/>
      <c r="O2429">
        <f>(1-Summary!$B$11)*S2429+Summary!$B$11*U2429</f>
        <v/>
      </c>
      <c r="P2429">
        <f>IF(B2455=0,0,O2429/B2455)</f>
        <v/>
      </c>
      <c r="Q2429">
        <f>IFERROR(1/(IF(Inputs!$B$39="pvp",15,MAX(0.1,Skills!D17-IF(Skills!E17=TRUE,Inputs!$B$33,0)))*(1-IF(AND(ArtifactsInput!$M$27,Inputs!$B$4="Chapter Hunt"),CHOOSE(ArtifactsInput!$N$27+1,20,24,28,32,36,40),0)/100)),0)</f>
        <v/>
      </c>
      <c r="R2429" t="n">
        <v>0</v>
      </c>
      <c r="S2429" t="n">
        <v>0</v>
      </c>
      <c r="U2429" t="n">
        <v>0</v>
      </c>
    </row>
    <row r="2430">
      <c r="A2430">
        <f>Skills!A18</f>
        <v/>
      </c>
      <c r="B2430">
        <f>Skills!B18</f>
        <v/>
      </c>
      <c r="C2430">
        <f>Inputs!$B$3&gt;=75</f>
        <v/>
      </c>
      <c r="D2430">
        <f>IF(Skills!C18=1,60+Inputs!$B$26+Inputs!$B$30,IF(Skills!C18=2,90+Inputs!$B$27+Inputs!$B$30,IF(Skills!C18=3,120+Inputs!$B$28+Inputs!$B$30,MAX(0,(Inputs!$B$3-100)*3)+Inputs!$B$29+Inputs!$B$30)))</f>
        <v/>
      </c>
      <c r="E2430">
        <f>INDEX(FactorTable!$B$2:$Y$301, MATCH(ROUND(MIN(300,MAX(1,D2430)),0), FactorTable!$A$2:$A$301,0), Skills!L18+1)</f>
        <v/>
      </c>
      <c r="F2430">
        <f>IF(Skills!M18=TRUE,(Skills!K18/10)*(E2430/1000),Skills!K18/10)+Skills!N18</f>
        <v/>
      </c>
      <c r="G2430">
        <f>Calc!G18</f>
        <v/>
      </c>
      <c r="H2430">
        <f>Calc!H18</f>
        <v/>
      </c>
      <c r="I2430">
        <f>IF(Skills!T18&lt;&gt;"",1+(Skills!T18/10)*($Z$3/1000)/100,1)</f>
        <v/>
      </c>
      <c r="J2430" t="inlineStr"/>
      <c r="K2430" t="inlineStr"/>
      <c r="L2430" t="inlineStr"/>
      <c r="M2430" t="inlineStr"/>
      <c r="N2430" t="inlineStr"/>
      <c r="O2430">
        <f>(1-Summary!$B$11)*S2430+Summary!$B$11*U2430</f>
        <v/>
      </c>
      <c r="P2430">
        <f>IF(B2455=0,0,O2430/B2455)</f>
        <v/>
      </c>
      <c r="Q2430">
        <f>IFERROR(1/(IF(Inputs!$B$39="pvp",15,MAX(0.1,Skills!D18-IF(Skills!E18=TRUE,Inputs!$B$33,0)))*(1-IF(AND(ArtifactsInput!$M$27,Inputs!$B$4="Chapter Hunt"),CHOOSE(ArtifactsInput!$N$27+1,20,24,28,32,36,40),0)/100)),0)</f>
        <v/>
      </c>
      <c r="R2430" t="n">
        <v>0</v>
      </c>
      <c r="S2430" t="n">
        <v>0</v>
      </c>
      <c r="U2430" t="n">
        <v>0</v>
      </c>
    </row>
    <row r="2431">
      <c r="A2431">
        <f>Skills!A19</f>
        <v/>
      </c>
      <c r="B2431">
        <f>Skills!B19</f>
        <v/>
      </c>
      <c r="C2431">
        <f>Inputs!$B$3&gt;=110</f>
        <v/>
      </c>
      <c r="D2431">
        <f>IF(Skills!C19=1,60+Inputs!$B$26+Inputs!$B$30,IF(Skills!C19=2,90+Inputs!$B$27+Inputs!$B$30,IF(Skills!C19=3,120+Inputs!$B$28+Inputs!$B$30,MAX(0,(Inputs!$B$3-100)*3)+Inputs!$B$29+Inputs!$B$30)))</f>
        <v/>
      </c>
      <c r="E2431">
        <f>INDEX(FactorTable!$B$2:$Y$301, MATCH(ROUND(MIN(300,MAX(1,D2431)),0), FactorTable!$A$2:$A$301,0), Skills!L19+1)</f>
        <v/>
      </c>
      <c r="F2431">
        <f>(Skills!K19/10)*(E2431/1000)*64/45+Skills!N19</f>
        <v/>
      </c>
      <c r="G2431">
        <f>Calc!G19</f>
        <v/>
      </c>
      <c r="H2431">
        <f>Calc!H19</f>
        <v/>
      </c>
      <c r="I2431">
        <f>IF(Skills!T19&lt;&gt;"",1+(Skills!T19/10)*($Z$3/1000)/100,1)</f>
        <v/>
      </c>
      <c r="J2431" t="inlineStr"/>
      <c r="K2431" t="inlineStr"/>
      <c r="L2431" t="inlineStr"/>
      <c r="M2431" t="inlineStr"/>
      <c r="N2431" t="inlineStr"/>
      <c r="O2431">
        <f>(1-Summary!$B$11)*S2431+Summary!$B$11*U2431</f>
        <v/>
      </c>
      <c r="P2431">
        <f>IF(B2455=0,0,O2431/B2455)</f>
        <v/>
      </c>
      <c r="Q2431">
        <f>IFERROR(1/(IF(Inputs!$B$39="pvp",15,MAX(0.1,Skills!D19-IF(Skills!E19=TRUE,Inputs!$B$33,0)))*(1-IF(AND(ArtifactsInput!$M$27,Inputs!$B$4="Chapter Hunt"),CHOOSE(ArtifactsInput!$N$27+1,20,24,28,32,36,40),0)/100)),0)</f>
        <v/>
      </c>
      <c r="R2431">
        <f>IF(AND(Inputs!$B$39&lt;&gt;"pvp",Inputs!$B$44&gt;0),IF(Inputs!$B$44&lt;=0,0,(INT(Inputs!$B$44/(IF(Inputs!$B$39="pvp",15,MAX(0.1,Skills!D19-IF(Skills!E19=TRUE,Inputs!$B$33,0)))*(1-IF(AND(ArtifactsInput!$M$27,Inputs!$B$4="Chapter Hunt"),CHOOSE(ArtifactsInput!$N$27+1,20,24,28,32,36,40),0)/100)))+1)),0)</f>
        <v/>
      </c>
      <c r="S2431" t="n">
        <v>0</v>
      </c>
      <c r="U2431" t="n">
        <v>0</v>
      </c>
    </row>
    <row r="2432">
      <c r="A2432">
        <f>Skills!A20</f>
        <v/>
      </c>
      <c r="B2432">
        <f>Skills!B20</f>
        <v/>
      </c>
      <c r="C2432">
        <f>Inputs!$B$3&gt;=125</f>
        <v/>
      </c>
      <c r="D2432">
        <f>IF(Skills!C20=1,60+Inputs!$B$26+Inputs!$B$30,IF(Skills!C20=2,90+Inputs!$B$27+Inputs!$B$30,IF(Skills!C20=3,120+Inputs!$B$28+Inputs!$B$30,MAX(0,(Inputs!$B$3-100)*3)+Inputs!$B$29+Inputs!$B$30)))</f>
        <v/>
      </c>
      <c r="E2432">
        <f>INDEX(FactorTable!$B$2:$Y$301, MATCH(ROUND(MIN(300,MAX(1,D2432)),0), FactorTable!$A$2:$A$301,0), Skills!L20+1)</f>
        <v/>
      </c>
      <c r="F2432">
        <f>IF(Skills!M20=TRUE,(Skills!K20/10)*(E2432/1000),Skills!K20/10)+Skills!N20</f>
        <v/>
      </c>
      <c r="G2432">
        <f>Calc!G20</f>
        <v/>
      </c>
      <c r="H2432">
        <f>Calc!H20</f>
        <v/>
      </c>
      <c r="I2432">
        <f>IF(Skills!T20&lt;&gt;"",1+(Skills!T20/10)*($Z$3/1000)/100,1)</f>
        <v/>
      </c>
      <c r="J2432" t="inlineStr"/>
      <c r="K2432" t="inlineStr"/>
      <c r="L2432" t="inlineStr"/>
      <c r="M2432" t="inlineStr"/>
      <c r="N2432" t="inlineStr"/>
      <c r="O2432">
        <f>(1-Summary!$B$11)*S2432+Summary!$B$11*U2432</f>
        <v/>
      </c>
      <c r="P2432">
        <f>IF(B2455=0,0,O2432/B2455)</f>
        <v/>
      </c>
      <c r="Q2432">
        <f>IFERROR(1/(IF(Inputs!$B$39="pvp",15,MAX(0.1,Skills!D20-IF(Skills!E20=TRUE,Inputs!$B$33,0)))*(1-IF(AND(ArtifactsInput!$M$27,Inputs!$B$4="Chapter Hunt"),CHOOSE(ArtifactsInput!$N$27+1,20,24,28,32,36,40),0)/100)),0)</f>
        <v/>
      </c>
      <c r="R2432" t="n">
        <v>0</v>
      </c>
      <c r="S2432" t="n">
        <v>0</v>
      </c>
      <c r="U2432" t="n">
        <v>0</v>
      </c>
    </row>
    <row r="2433">
      <c r="A2433">
        <f>Skills!A21</f>
        <v/>
      </c>
      <c r="B2433">
        <f>Skills!B21</f>
        <v/>
      </c>
      <c r="C2433">
        <f>Inputs!$B$3&gt;=33</f>
        <v/>
      </c>
      <c r="D2433">
        <f>IF(Skills!C21=1,60+Inputs!$B$26+Inputs!$B$30,IF(Skills!C21=2,90+Inputs!$B$27+Inputs!$B$30,IF(Skills!C21=3,120+Inputs!$B$28+Inputs!$B$30,MAX(0,(Inputs!$B$3-100)*3)+Inputs!$B$29+Inputs!$B$30)))</f>
        <v/>
      </c>
      <c r="E2433">
        <f>INDEX(FactorTable!$B$2:$Y$301, MATCH(ROUND(MIN(300,MAX(1,D2433)),0), FactorTable!$A$2:$A$301,0), Skills!L21+1)</f>
        <v/>
      </c>
      <c r="F2433">
        <f>IF(Skills!M21=TRUE,(Skills!K21/10)*(E2433/1000),Skills!K21/10)+Skills!N21</f>
        <v/>
      </c>
      <c r="G2433">
        <f>Calc!G21</f>
        <v/>
      </c>
      <c r="H2433">
        <f>Calc!H21</f>
        <v/>
      </c>
      <c r="I2433">
        <f>IF(Skills!T21&lt;&gt;"",1+(Skills!T21/10)*($Z$3/1000)/100,1)</f>
        <v/>
      </c>
      <c r="J2433" t="inlineStr"/>
      <c r="K2433" t="inlineStr"/>
      <c r="L2433" t="inlineStr"/>
      <c r="M2433" t="inlineStr"/>
      <c r="N2433" t="inlineStr"/>
      <c r="O2433">
        <f>(1-Summary!$B$11)*S2433+Summary!$B$11*U2433</f>
        <v/>
      </c>
      <c r="P2433">
        <f>IF(B2455=0,0,O2433/B2455)</f>
        <v/>
      </c>
      <c r="Q2433">
        <f>IFERROR(1/(IF(Inputs!$B$39="pvp",15,MAX(0.1,Skills!D21-IF(Skills!E21=TRUE,Inputs!$B$33,0)))*(1-IF(AND(ArtifactsInput!$M$27,Inputs!$B$4="Chapter Hunt"),CHOOSE(ArtifactsInput!$N$27+1,20,24,28,32,36,40),0)/100)),0)</f>
        <v/>
      </c>
      <c r="R2433" t="n">
        <v>0</v>
      </c>
      <c r="S2433" t="n">
        <v>0</v>
      </c>
      <c r="U2433" t="n">
        <v>0</v>
      </c>
    </row>
    <row r="2434">
      <c r="A2434">
        <f>Skills!A22</f>
        <v/>
      </c>
      <c r="B2434">
        <f>Skills!B22</f>
        <v/>
      </c>
      <c r="C2434">
        <f>Inputs!$B$3&gt;=43</f>
        <v/>
      </c>
      <c r="D2434">
        <f>IF(Skills!C22=1,60+Inputs!$B$26+Inputs!$B$30,IF(Skills!C22=2,90+Inputs!$B$27+Inputs!$B$30,IF(Skills!C22=3,120+Inputs!$B$28+Inputs!$B$30,MAX(0,(Inputs!$B$3-100)*3)+Inputs!$B$29+Inputs!$B$30)))</f>
        <v/>
      </c>
      <c r="E2434">
        <f>INDEX(FactorTable!$B$2:$Y$301, MATCH(ROUND(MIN(300,MAX(1,D2434)),0), FactorTable!$A$2:$A$301,0), Skills!L22+1)</f>
        <v/>
      </c>
      <c r="F2434">
        <f>IF(Skills!M22=TRUE,(Skills!K22/10)*(E2434/1000),Skills!K22/10)+Skills!N22</f>
        <v/>
      </c>
      <c r="G2434">
        <f>Calc!G22</f>
        <v/>
      </c>
      <c r="H2434">
        <f>Calc!H22</f>
        <v/>
      </c>
      <c r="I2434">
        <f>IF(Skills!T22&lt;&gt;"",1+(Skills!T22/10)*($Z$3/1000)/100,1)</f>
        <v/>
      </c>
      <c r="J2434" t="inlineStr"/>
      <c r="K2434" t="inlineStr"/>
      <c r="L2434" t="inlineStr"/>
      <c r="M2434" t="inlineStr"/>
      <c r="N2434" t="inlineStr"/>
      <c r="O2434">
        <f>(1-Summary!$B$11)*S2434+Summary!$B$11*U2434</f>
        <v/>
      </c>
      <c r="P2434">
        <f>IF(B2455=0,0,O2434/B2455)</f>
        <v/>
      </c>
      <c r="Q2434">
        <f>IFERROR(1/(IF(Inputs!$B$39="pvp",15,MAX(0.1,Skills!D22-IF(Skills!E22=TRUE,Inputs!$B$33,0)))*(1-IF(AND(ArtifactsInput!$M$27,Inputs!$B$4="Chapter Hunt"),CHOOSE(ArtifactsInput!$N$27+1,20,24,28,32,36,40),0)/100)),0)</f>
        <v/>
      </c>
      <c r="R2434" t="n">
        <v>0</v>
      </c>
      <c r="S2434" t="n">
        <v>0</v>
      </c>
      <c r="U2434" t="n">
        <v>0</v>
      </c>
    </row>
    <row r="2435">
      <c r="A2435">
        <f>Skills!A23</f>
        <v/>
      </c>
      <c r="B2435">
        <f>Skills!B23</f>
        <v/>
      </c>
      <c r="C2435">
        <f>Inputs!$B$3&gt;=50</f>
        <v/>
      </c>
      <c r="D2435">
        <f>IF(Skills!C23=1,60+Inputs!$B$26+Inputs!$B$30,IF(Skills!C23=2,90+Inputs!$B$27+Inputs!$B$30,IF(Skills!C23=3,120+Inputs!$B$28+Inputs!$B$30,MAX(0,(Inputs!$B$3-100)*3)+Inputs!$B$29+Inputs!$B$30)))</f>
        <v/>
      </c>
      <c r="E2435">
        <f>INDEX(FactorTable!$B$2:$Y$301, MATCH(ROUND(MIN(300,MAX(1,D2435)),0), FactorTable!$A$2:$A$301,0), Skills!L23+1)</f>
        <v/>
      </c>
      <c r="F2435">
        <f>IF(Skills!M23=TRUE,(Skills!K23/10)*(E2435/1000),Skills!K23/10)+Skills!N23</f>
        <v/>
      </c>
      <c r="G2435">
        <f>Calc!G23</f>
        <v/>
      </c>
      <c r="H2435">
        <f>Calc!H23</f>
        <v/>
      </c>
      <c r="I2435">
        <f>IF(Skills!T23&lt;&gt;"",1+(Skills!T23/10)*($Z$3/1000)/100,1)</f>
        <v/>
      </c>
      <c r="J2435" t="inlineStr"/>
      <c r="K2435" t="inlineStr"/>
      <c r="L2435" t="inlineStr"/>
      <c r="M2435" t="inlineStr"/>
      <c r="N2435" t="inlineStr"/>
      <c r="O2435">
        <f>(1-Summary!$B$11)*S2435+Summary!$B$11*U2435</f>
        <v/>
      </c>
      <c r="P2435">
        <f>IF(B2455=0,0,O2435/B2455)</f>
        <v/>
      </c>
      <c r="Q2435">
        <f>IFERROR(1/(IF(Inputs!$B$39="pvp",15,MAX(0.1,Skills!D23-IF(Skills!E23=TRUE,Inputs!$B$33,0)))*(1-IF(AND(ArtifactsInput!$M$27,Inputs!$B$4="Chapter Hunt"),CHOOSE(ArtifactsInput!$N$27+1,20,24,28,32,36,40),0)/100)),0)</f>
        <v/>
      </c>
      <c r="R2435" t="n">
        <v>0</v>
      </c>
      <c r="S2435" t="n">
        <v>0</v>
      </c>
      <c r="U2435" t="n">
        <v>0</v>
      </c>
    </row>
    <row r="2436">
      <c r="A2436">
        <f>Skills!A24</f>
        <v/>
      </c>
      <c r="B2436">
        <f>Skills!B24</f>
        <v/>
      </c>
      <c r="C2436">
        <f>Inputs!$B$3&gt;=74</f>
        <v/>
      </c>
      <c r="D2436">
        <f>IF(Skills!C24=1,60+Inputs!$B$26+Inputs!$B$30,IF(Skills!C24=2,90+Inputs!$B$27+Inputs!$B$30,IF(Skills!C24=3,120+Inputs!$B$28+Inputs!$B$30,MAX(0,(Inputs!$B$3-100)*3)+Inputs!$B$29+Inputs!$B$30)))</f>
        <v/>
      </c>
      <c r="E2436">
        <f>INDEX(FactorTable!$B$2:$Y$301, MATCH(ROUND(MIN(300,MAX(1,D2436)),0), FactorTable!$A$2:$A$301,0), Skills!L24+1)</f>
        <v/>
      </c>
      <c r="F2436">
        <f>IF(Skills!M24=TRUE,(Skills!K24/10)*(E2436/1000),Skills!K24/10)+Skills!N24</f>
        <v/>
      </c>
      <c r="G2436">
        <f>Calc!G24</f>
        <v/>
      </c>
      <c r="H2436">
        <f>Calc!H24</f>
        <v/>
      </c>
      <c r="I2436">
        <f>IF(Skills!T24&lt;&gt;"",1+(Skills!T24/10)*($Z$3/1000)/100,1)</f>
        <v/>
      </c>
      <c r="J2436" t="inlineStr"/>
      <c r="K2436" t="inlineStr"/>
      <c r="L2436" t="inlineStr"/>
      <c r="M2436" t="inlineStr"/>
      <c r="N2436" t="inlineStr"/>
      <c r="O2436">
        <f>(1-Summary!$B$11)*S2436+Summary!$B$11*U2436</f>
        <v/>
      </c>
      <c r="P2436">
        <f>IF(B2455=0,0,O2436/B2455)</f>
        <v/>
      </c>
      <c r="Q2436">
        <f>IFERROR(1/(IF(Inputs!$B$39="pvp",15,MAX(0.1,Skills!D24-IF(Skills!E24=TRUE,Inputs!$B$33,0)))*(1-IF(AND(ArtifactsInput!$M$27,Inputs!$B$4="Chapter Hunt"),CHOOSE(ArtifactsInput!$N$27+1,20,24,28,32,36,40),0)/100)),0)</f>
        <v/>
      </c>
      <c r="R2436" t="n">
        <v>0</v>
      </c>
      <c r="S2436" t="n">
        <v>0</v>
      </c>
      <c r="U2436" t="n">
        <v>0</v>
      </c>
    </row>
    <row r="2437">
      <c r="A2437">
        <f>Skills!A25</f>
        <v/>
      </c>
      <c r="B2437">
        <f>Skills!B25</f>
        <v/>
      </c>
      <c r="C2437">
        <f>Inputs!$B$3&gt;=74</f>
        <v/>
      </c>
      <c r="D2437">
        <f>IF(Skills!C25=1,60+Inputs!$B$26+Inputs!$B$30,IF(Skills!C25=2,90+Inputs!$B$27+Inputs!$B$30,IF(Skills!C25=3,120+Inputs!$B$28+Inputs!$B$30,MAX(0,(Inputs!$B$3-100)*3)+Inputs!$B$29+Inputs!$B$30)))</f>
        <v/>
      </c>
      <c r="E2437">
        <f>INDEX(FactorTable!$B$2:$Y$301, MATCH(ROUND(MIN(300,MAX(1,D2437)),0), FactorTable!$A$2:$A$301,0), Skills!L25+1)</f>
        <v/>
      </c>
      <c r="F2437">
        <f>IF(Skills!M25=TRUE,(Skills!K25/10)*(E2437/1000),Skills!K25/10)+Skills!N25</f>
        <v/>
      </c>
      <c r="G2437">
        <f>Calc!G25</f>
        <v/>
      </c>
      <c r="H2437">
        <f>Calc!H25</f>
        <v/>
      </c>
      <c r="I2437">
        <f>IF(Skills!T25&lt;&gt;"",1+(Skills!T25/10)*($Z$3/1000)/100,1)</f>
        <v/>
      </c>
      <c r="J2437" t="inlineStr"/>
      <c r="K2437" t="inlineStr"/>
      <c r="L2437" t="inlineStr"/>
      <c r="M2437" t="inlineStr"/>
      <c r="N2437" t="inlineStr"/>
      <c r="O2437">
        <f>(1-Summary!$B$11)*S2437+Summary!$B$11*U2437</f>
        <v/>
      </c>
      <c r="P2437">
        <f>IF(B2455=0,0,O2437/B2455)</f>
        <v/>
      </c>
      <c r="Q2437">
        <f>IFERROR(1/(IF(Inputs!$B$39="pvp",15,MAX(0.1,Skills!D25-IF(Skills!E25=TRUE,Inputs!$B$33,0)))*(1-IF(AND(ArtifactsInput!$M$27,Inputs!$B$4="Chapter Hunt"),CHOOSE(ArtifactsInput!$N$27+1,20,24,28,32,36,40),0)/100)),0)</f>
        <v/>
      </c>
      <c r="R2437" t="n">
        <v>0</v>
      </c>
      <c r="S2437" t="n">
        <v>0</v>
      </c>
      <c r="U2437" t="n">
        <v>0</v>
      </c>
    </row>
    <row r="2438">
      <c r="A2438">
        <f>Skills!A26</f>
        <v/>
      </c>
      <c r="B2438">
        <f>Skills!B26</f>
        <v/>
      </c>
      <c r="C2438">
        <f>Inputs!$B$3&gt;=117</f>
        <v/>
      </c>
      <c r="D2438">
        <f>IF(Skills!C26=1,60+Inputs!$B$26+Inputs!$B$30,IF(Skills!C26=2,90+Inputs!$B$27+Inputs!$B$30,IF(Skills!C26=3,120+Inputs!$B$28+Inputs!$B$30,MAX(0,(Inputs!$B$3-100)*3)+Inputs!$B$29+Inputs!$B$30)))</f>
        <v/>
      </c>
      <c r="E2438">
        <f>INDEX(FactorTable!$B$2:$Y$301, MATCH(ROUND(MIN(300,MAX(1,D2438)),0), FactorTable!$A$2:$A$301,0), Skills!L26+1)</f>
        <v/>
      </c>
      <c r="F2438">
        <f>IF(Skills!M26=TRUE,(Skills!K26/10)*(E2438/1000),Skills!K26/10)+Skills!N26</f>
        <v/>
      </c>
      <c r="G2438">
        <f>Calc!G26</f>
        <v/>
      </c>
      <c r="H2438">
        <f>Calc!H26</f>
        <v/>
      </c>
      <c r="I2438">
        <f>IF(Skills!T26&lt;&gt;"",1+(Skills!T26/10)*($Z$3/1000)/100,1)</f>
        <v/>
      </c>
      <c r="J2438" t="inlineStr"/>
      <c r="K2438" t="inlineStr"/>
      <c r="L2438" t="inlineStr"/>
      <c r="M2438" t="inlineStr"/>
      <c r="N2438" t="inlineStr"/>
      <c r="O2438">
        <f>(1-Summary!$B$11)*S2438+Summary!$B$11*U2438</f>
        <v/>
      </c>
      <c r="P2438">
        <f>IF(B2455=0,0,O2438/B2455)</f>
        <v/>
      </c>
      <c r="Q2438">
        <f>IFERROR(1/(IF(Inputs!$B$39="pvp",15,MAX(0.1,Skills!D26-IF(Skills!E26=TRUE,Inputs!$B$33,0)))*(1-IF(AND(ArtifactsInput!$M$27,Inputs!$B$4="Chapter Hunt"),CHOOSE(ArtifactsInput!$N$27+1,20,24,28,32,36,40),0)/100)),0)</f>
        <v/>
      </c>
      <c r="R2438" t="n">
        <v>0</v>
      </c>
      <c r="S2438" t="n">
        <v>0</v>
      </c>
      <c r="U2438" t="n">
        <v>0</v>
      </c>
    </row>
    <row r="2439">
      <c r="A2439">
        <f>Skills!A27</f>
        <v/>
      </c>
      <c r="B2439">
        <f>Skills!B27</f>
        <v/>
      </c>
      <c r="C2439">
        <f>Inputs!$B$3&gt;=120</f>
        <v/>
      </c>
      <c r="D2439">
        <f>IF(Skills!C27=1,60+Inputs!$B$26+Inputs!$B$30,IF(Skills!C27=2,90+Inputs!$B$27+Inputs!$B$30,IF(Skills!C27=3,120+Inputs!$B$28+Inputs!$B$30,MAX(0,(Inputs!$B$3-100)*3)+Inputs!$B$29+Inputs!$B$30)))</f>
        <v/>
      </c>
      <c r="E2439">
        <f>INDEX(FactorTable!$B$2:$Y$301, MATCH(ROUND(MIN(300,MAX(1,D2439)),0), FactorTable!$A$2:$A$301,0), Skills!L27+1)</f>
        <v/>
      </c>
      <c r="F2439">
        <f>IF(Skills!M27=TRUE,(Skills!K27/10)*(E2439/1000),Skills!K27/10)+Skills!N27</f>
        <v/>
      </c>
      <c r="G2439">
        <f>Calc!G27</f>
        <v/>
      </c>
      <c r="H2439">
        <f>Calc!H27</f>
        <v/>
      </c>
      <c r="I2439">
        <f>IF(Skills!T27&lt;&gt;"",1+(Skills!T27/10)*($Z$3/1000)/100,1)</f>
        <v/>
      </c>
      <c r="J2439" t="inlineStr"/>
      <c r="K2439" t="inlineStr"/>
      <c r="L2439" t="inlineStr"/>
      <c r="M2439" t="inlineStr"/>
      <c r="N2439" t="inlineStr"/>
      <c r="O2439">
        <f>(1-Summary!$B$11)*S2439+Summary!$B$11*U2439</f>
        <v/>
      </c>
      <c r="P2439">
        <f>IF(B2455=0,0,O2439/B2455)</f>
        <v/>
      </c>
      <c r="Q2439">
        <f>IFERROR(1/(IF(Inputs!$B$39="pvp",15,MAX(0.1,Skills!D27-IF(Skills!E27=TRUE,Inputs!$B$33,0)))*(1-IF(AND(ArtifactsInput!$M$27,Inputs!$B$4="Chapter Hunt"),CHOOSE(ArtifactsInput!$N$27+1,20,24,28,32,36,40),0)/100)),0)</f>
        <v/>
      </c>
      <c r="R2439" t="n">
        <v>0</v>
      </c>
      <c r="S2439" t="n">
        <v>0</v>
      </c>
      <c r="U2439" t="n">
        <v>0</v>
      </c>
    </row>
    <row r="2440">
      <c r="A2440">
        <f>Skills!A28</f>
        <v/>
      </c>
      <c r="B2440">
        <f>Skills!B28</f>
        <v/>
      </c>
      <c r="C2440">
        <f>TRUE</f>
        <v/>
      </c>
      <c r="D2440">
        <f>IF(Skills!C28=1,60+Inputs!$B$26+Inputs!$B$30,IF(Skills!C28=2,90+Inputs!$B$27+Inputs!$B$30,IF(Skills!C28=3,120+Inputs!$B$28+Inputs!$B$30,MAX(0,(Inputs!$B$3-100)*3)+Inputs!$B$29+Inputs!$B$30)))</f>
        <v/>
      </c>
      <c r="E2440">
        <f>INDEX(FactorTable!$B$2:$Y$301, MATCH(ROUND(MIN(300,MAX(1,D2440)),0), FactorTable!$A$2:$A$301,0), Skills!L28+1)</f>
        <v/>
      </c>
      <c r="F2440">
        <f>IF(Skills!M28=TRUE,(Skills!K28/10)*(E2440/1000),Skills!K28/10)+Skills!N28</f>
        <v/>
      </c>
      <c r="G2440">
        <f>Calc!G28</f>
        <v/>
      </c>
      <c r="H2440">
        <f>Calc!H28</f>
        <v/>
      </c>
      <c r="I2440">
        <f>IF(Skills!T28&lt;&gt;"",1+(Skills!T28/10)*($Z$3/1000)/100,1)</f>
        <v/>
      </c>
      <c r="J2440" t="inlineStr"/>
      <c r="K2440" t="inlineStr"/>
      <c r="L2440" t="inlineStr"/>
      <c r="M2440" t="inlineStr"/>
      <c r="N2440" t="inlineStr"/>
      <c r="O2440">
        <f>(1-Summary!$B$11)*S2440+Summary!$B$11*U2440</f>
        <v/>
      </c>
      <c r="P2440">
        <f>IF(B2455=0,0,O2440/B2455)</f>
        <v/>
      </c>
      <c r="Q2440">
        <f>IFERROR(1/(IF(Inputs!$B$39="pvp",15,MAX(0.1,Skills!D28-IF(Skills!E28=TRUE,Inputs!$B$33,0)))*(1-IF(AND(ArtifactsInput!$M$27,Inputs!$B$4="Chapter Hunt"),CHOOSE(ArtifactsInput!$N$27+1,20,24,28,32,36,40),0)/100)),0)</f>
        <v/>
      </c>
      <c r="R2440">
        <f>IF(AND(Inputs!$B$39&lt;&gt;"pvp",Inputs!$B$44&gt;0),IF(Inputs!$B$44&lt;=0,0,(INT(Inputs!$B$44/(IF(Inputs!$B$39="pvp",15,MAX(0.1,Skills!D28-IF(Skills!E28=TRUE,Inputs!$B$33,0)))*(1-IF(AND(ArtifactsInput!$M$27,Inputs!$B$4="Chapter Hunt"),CHOOSE(ArtifactsInput!$N$27+1,20,24,28,32,36,40),0)/100)))+1)),0)</f>
        <v/>
      </c>
      <c r="S2440" t="n">
        <v>0</v>
      </c>
      <c r="U2440" t="n">
        <v>0</v>
      </c>
    </row>
    <row r="2442">
      <c r="A2442" t="inlineStr">
        <is>
          <t>Average Buff Multiplier</t>
        </is>
      </c>
      <c r="B2442">
        <f>(1+(IF(C2415=TRUE,F2415*IF(AND(Inputs!$B$39&lt;&gt;"pvp",Inputs!$B$44&gt;0),(((R2415-1)*(Skills!S3*(1+((Inputs!$B$35+(ArtifactsInput!$M$7-ArtifactsInput!$M$7)*CHOOSE(ArtifactsInput!$N$7+1,6,7.2,8.4,9.6,10.8,12))+IF(Inputs!$B$3&gt;=117,F2438,0))/100))+MIN((Skills!S3*(1+((Inputs!$B$35+(ArtifactsInput!$M$7-ArtifactsInput!$M$7)*CHOOSE(ArtifactsInput!$N$7+1,6,7.2,8.4,9.6,10.8,12))+IF(Inputs!$B$3&gt;=117,F2438,0))/100)),MAX(0,Inputs!$B$44-((R2415-1)*Skills!D3))))/Inputs!$B$44),IF(Inputs!$B$39="pvp",MIN((Skills!S3*(1+((Inputs!$B$35+(ArtifactsInput!$M$7-ArtifactsInput!$M$7)*CHOOSE(ArtifactsInput!$N$7+1,6,7.2,8.4,9.6,10.8,12))+IF(Inputs!$B$3&gt;=117,F2438,0))/100)),15)/15,(Skills!S3*(1+((Inputs!$B$35+(ArtifactsInput!$M$7-ArtifactsInput!$M$7)*CHOOSE(ArtifactsInput!$N$7+1,6,7.2,8.4,9.6,10.8,12))+IF(Inputs!$B$3&gt;=117,F2438,0))/100))/Skills!D3)),0)+IF(C2416=TRUE,F2416*IF(AND(Inputs!$B$39&lt;&gt;"pvp",Inputs!$B$44&gt;0),(((R2416-1)*(Skills!S4*(1+((Inputs!$B$35+(ArtifactsInput!$M$7-ArtifactsInput!$M$7)*CHOOSE(ArtifactsInput!$N$7+1,6,7.2,8.4,9.6,10.8,12))+IF(Inputs!$B$3&gt;=117,F2438,0))/100))+MIN((Skills!S4*(1+((Inputs!$B$35+(ArtifactsInput!$M$7-ArtifactsInput!$M$7)*CHOOSE(ArtifactsInput!$N$7+1,6,7.2,8.4,9.6,10.8,12))+IF(Inputs!$B$3&gt;=117,F2438,0))/100)),MAX(0,Inputs!$B$44-((R2416-1)*Skills!D4))))/Inputs!$B$44),IF(Inputs!$B$39="pvp",MIN((Skills!S4*(1+((Inputs!$B$35+(ArtifactsInput!$M$7-ArtifactsInput!$M$7)*CHOOSE(ArtifactsInput!$N$7+1,6,7.2,8.4,9.6,10.8,12))+IF(Inputs!$B$3&gt;=117,F2438,0))/100)),15)/15,(Skills!S4*(1+((Inputs!$B$35+(ArtifactsInput!$M$7-ArtifactsInput!$M$7)*CHOOSE(ArtifactsInput!$N$7+1,6,7.2,8.4,9.6,10.8,12))+IF(Inputs!$B$3&gt;=117,F2438,0))/100))/Skills!D4)),0)+IF(C2417=TRUE,F2417*IF(AND(Inputs!$B$39&lt;&gt;"pvp",Inputs!$B$44&gt;0),(((R2417-1)*(Skills!S5*(1+((Inputs!$B$35+(ArtifactsInput!$M$7-ArtifactsInput!$M$7)*CHOOSE(ArtifactsInput!$N$7+1,6,7.2,8.4,9.6,10.8,12))+IF(Inputs!$B$3&gt;=117,F2438,0))/100))+MIN((Skills!S5*(1+((Inputs!$B$35+(ArtifactsInput!$M$7-ArtifactsInput!$M$7)*CHOOSE(ArtifactsInput!$N$7+1,6,7.2,8.4,9.6,10.8,12))+IF(Inputs!$B$3&gt;=117,F2438,0))/100)),MAX(0,Inputs!$B$44-((R2417-1)*Skills!D5))))/Inputs!$B$44),IF(Inputs!$B$39="pvp",MIN((Skills!S5*(1+((Inputs!$B$35+(ArtifactsInput!$M$7-ArtifactsInput!$M$7)*CHOOSE(ArtifactsInput!$N$7+1,6,7.2,8.4,9.6,10.8,12))+IF(Inputs!$B$3&gt;=117,F2438,0))/100)),15)/15,(Skills!S5*(1+((Inputs!$B$35+(ArtifactsInput!$M$7-ArtifactsInput!$M$7)*CHOOSE(ArtifactsInput!$N$7+1,6,7.2,8.4,9.6,10.8,12))+IF(Inputs!$B$3&gt;=117,F2438,0))/100))/Skills!D5)),0)+IF(C2423=TRUE,F2423*IF(AND(Inputs!$B$39&lt;&gt;"pvp",Inputs!$B$44&gt;0),(((R2423-1)*(Skills!S11*(1+((Inputs!$B$35+(ArtifactsInput!$M$7-ArtifactsInput!$M$7)*CHOOSE(ArtifactsInput!$N$7+1,6,7.2,8.4,9.6,10.8,12))+IF(Inputs!$B$3&gt;=117,F2438,0))/100))+MIN((Skills!S11*(1+((Inputs!$B$35+(ArtifactsInput!$M$7-ArtifactsInput!$M$7)*CHOOSE(ArtifactsInput!$N$7+1,6,7.2,8.4,9.6,10.8,12))+IF(Inputs!$B$3&gt;=117,F2438,0))/100)),MAX(0,Inputs!$B$44-((R2423-1)*Skills!D11))))/Inputs!$B$44),IF(Inputs!$B$39="pvp",MIN((Skills!S11*(1+((Inputs!$B$35+(ArtifactsInput!$M$7-ArtifactsInput!$M$7)*CHOOSE(ArtifactsInput!$N$7+1,6,7.2,8.4,9.6,10.8,12))+IF(Inputs!$B$3&gt;=117,F2438,0))/100)),15)/15,(Skills!S11*(1+((Inputs!$B$35+(ArtifactsInput!$M$7-ArtifactsInput!$M$7)*CHOOSE(ArtifactsInput!$N$7+1,6,7.2,8.4,9.6,10.8,12))+IF(Inputs!$B$3&gt;=117,F2438,0)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2426=TRUE,(1+F2426*IF(AND(Inputs!$B$39&lt;&gt;"pvp",Inputs!$B$44&gt;0),(((R2426-1)*(Skills!S14*(1+((Inputs!$B$35+(ArtifactsInput!$M$7-ArtifactsInput!$M$7)*CHOOSE(ArtifactsInput!$N$7+1,6,7.2,8.4,9.6,10.8,12))+IF(Inputs!$B$3&gt;=117,F2438,0))/100))+MIN((Skills!S14*(1+((Inputs!$B$35+(ArtifactsInput!$M$7-ArtifactsInput!$M$7)*CHOOSE(ArtifactsInput!$N$7+1,6,7.2,8.4,9.6,10.8,12))+IF(Inputs!$B$3&gt;=117,F2438,0))/100)),MAX(0,Inputs!$B$44-((R2426-1)*Skills!D14))))/Inputs!$B$44),IF(Inputs!$B$39="pvp",MIN((Skills!S14*(1+((Inputs!$B$35+(ArtifactsInput!$M$7-ArtifactsInput!$M$7)*CHOOSE(ArtifactsInput!$N$7+1,6,7.2,8.4,9.6,10.8,12))+IF(Inputs!$B$3&gt;=117,F2438,0))/100)),15)/15,(Skills!S14*(1+((Inputs!$B$35+(ArtifactsInput!$M$7-ArtifactsInput!$M$7)*CHOOSE(ArtifactsInput!$N$7+1,6,7.2,8.4,9.6,10.8,12))+IF(Inputs!$B$3&gt;=117,F2438,0))/100))/Skills!D14))/100),1)*IF(C2431=TRUE,(1+F2431*IF(AND(Inputs!$B$39&lt;&gt;"pvp",Inputs!$B$44&gt;0),(((R2431-1)*(Skills!S19*(1+((Inputs!$B$35+(ArtifactsInput!$M$7-ArtifactsInput!$M$7)*CHOOSE(ArtifactsInput!$N$7+1,6,7.2,8.4,9.6,10.8,12))+IF(Inputs!$B$3&gt;=117,F2438,0))/100))+MIN((Skills!S19*(1+((Inputs!$B$35+(ArtifactsInput!$M$7-ArtifactsInput!$M$7)*CHOOSE(ArtifactsInput!$N$7+1,6,7.2,8.4,9.6,10.8,12))+IF(Inputs!$B$3&gt;=117,F2438,0))/100)),MAX(0,Inputs!$B$44-((R2431-1)*Skills!D19))))/Inputs!$B$44),IF(Inputs!$B$39="pvp",MIN((Skills!S19*(1+((Inputs!$B$35+(ArtifactsInput!$M$7-ArtifactsInput!$M$7)*CHOOSE(ArtifactsInput!$N$7+1,6,7.2,8.4,9.6,10.8,12))+IF(Inputs!$B$3&gt;=117,F2438,0))/100)),15)/15,(Skills!S19*(1+((Inputs!$B$35+(ArtifactsInput!$M$7-ArtifactsInput!$M$7)*CHOOSE(ArtifactsInput!$N$7+1,6,7.2,8.4,9.6,10.8,12))+IF(Inputs!$B$3&gt;=117,F2438,0))/100))/Skills!D19))/100),1)</f>
        <v/>
      </c>
    </row>
    <row r="2443">
      <c r="A2443" t="inlineStr">
        <is>
          <t>Monster Damage Taken Bonus % (Holy Fountain)</t>
        </is>
      </c>
      <c r="B2443">
        <f>IF(Inputs!$B$3&gt;=68,20*IF(Inputs!$B$39="pvp",MIN((15*(1+((Inputs!$B$35+(ArtifactsInput!$M$7-ArtifactsInput!$M$7)*CHOOSE(ArtifactsInput!$N$7+1,6,7.2,8.4,9.6,10.8,12))+IF(Inputs!$B$3&gt;=117,F2438,0))/100)),15)/15,(15*(1+((Inputs!$B$35+(ArtifactsInput!$M$7-ArtifactsInput!$M$7)*CHOOSE(ArtifactsInput!$N$7+1,6,7.2,8.4,9.6,10.8,12))+IF(Inputs!$B$3&gt;=117,F2438,0))/100))/Skills!D10),0)</f>
        <v/>
      </c>
    </row>
    <row r="2444">
      <c r="A2444" t="inlineStr">
        <is>
          <t>Normal Monster Damage Bonus % (Holy Symbol)</t>
        </is>
      </c>
      <c r="B2444">
        <f>IF(C2424=TRUE,F2424*IF(AND(Inputs!$B$39&lt;&gt;"pvp",Inputs!$B$44&gt;0),(((R2424-1)*(Skills!S12*(1+((Inputs!$B$35+(ArtifactsInput!$M$7-ArtifactsInput!$M$7)*CHOOSE(ArtifactsInput!$N$7+1,6,7.2,8.4,9.6,10.8,12))+IF(Inputs!$B$3&gt;=117,F2438,0))/100))+MIN((Skills!S12*(1+((Inputs!$B$35+(ArtifactsInput!$M$7-ArtifactsInput!$M$7)*CHOOSE(ArtifactsInput!$N$7+1,6,7.2,8.4,9.6,10.8,12))+IF(Inputs!$B$3&gt;=117,F2438,0))/100)),MAX(0,Inputs!$B$44-((R2424-1)*Skills!D12))))/Inputs!$B$44),IF(Inputs!$B$39="pvp",MIN((Skills!S12*(1+((Inputs!$B$35+(ArtifactsInput!$M$7-ArtifactsInput!$M$7)*CHOOSE(ArtifactsInput!$N$7+1,6,7.2,8.4,9.6,10.8,12))+IF(Inputs!$B$3&gt;=117,F2438,0))/100)),15)/15,(Skills!S12*(1+((Inputs!$B$35+(ArtifactsInput!$M$7-ArtifactsInput!$M$7)*CHOOSE(ArtifactsInput!$N$7+1,6,7.2,8.4,9.6,10.8,12))+IF(Inputs!$B$3&gt;=117,F2438,0))/100))/Skills!D12)),0)</f>
        <v/>
      </c>
    </row>
    <row r="2445">
      <c r="A2445" t="inlineStr">
        <is>
          <t>Damage % Bonus (Holy Symbol - Damage Boost)</t>
        </is>
      </c>
      <c r="B2445">
        <f>Skills!O12</f>
        <v/>
      </c>
    </row>
    <row r="2446">
      <c r="A2446" t="inlineStr">
        <is>
          <t>Crit Damage % Bonus (Blood of the Divine)</t>
        </is>
      </c>
      <c r="B2446">
        <f>4*IF(C2432=TRUE,F2432,0)</f>
        <v/>
      </c>
    </row>
    <row r="2447">
      <c r="A2447" t="inlineStr">
        <is>
          <t>Attack Speed Bonus %</t>
        </is>
      </c>
      <c r="B2447">
        <f>IF(C2429=TRUE,F2429+(F2433-Calc!F21),0)+IF(Inputs!$B$3&gt;=134,15,0)+((C2440=TRUE)*F2440*IF(AND(Inputs!$B$39&lt;&gt;"pvp",Inputs!$B$44&gt;0),(((R2440-1)*(Skills!S28*(1+((Inputs!$B$35+(ArtifactsInput!$M$7-ArtifactsInput!$M$7)*CHOOSE(ArtifactsInput!$N$7+1,6,7.2,8.4,9.6,10.8,12))+IF(Inputs!$B$3&gt;=117,F2438,0))/100))+MIN((Skills!S28*(1+((Inputs!$B$35+(ArtifactsInput!$M$7-ArtifactsInput!$M$7)*CHOOSE(ArtifactsInput!$N$7+1,6,7.2,8.4,9.6,10.8,12))+IF(Inputs!$B$3&gt;=117,F2438,0))/100)),MAX(0,Inputs!$B$44-((R2440-1)*Skills!D28))))/Inputs!$B$44),IF(Inputs!$B$39="pvp",MIN((Skills!S28*(1+((Inputs!$B$35+(ArtifactsInput!$M$7-ArtifactsInput!$M$7)*CHOOSE(ArtifactsInput!$N$7+1,6,7.2,8.4,9.6,10.8,12))+IF(Inputs!$B$3&gt;=117,F2438,0))/100)),15)/15,(Skills!S28*(1+((Inputs!$B$35+(ArtifactsInput!$M$7-ArtifactsInput!$M$7)*CHOOSE(ArtifactsInput!$N$7+1,6,7.2,8.4,9.6,10.8,12))+IF(Inputs!$B$3&gt;=117,F2438,0))/100))/Skills!D28)))</f>
        <v/>
      </c>
    </row>
    <row r="2448">
      <c r="A2448" t="inlineStr">
        <is>
          <t>Actions Per Second</t>
        </is>
      </c>
      <c r="B2448">
        <f>1+MIN(150,150*(1-(1-Inputs!$B$12/150)*(1-B2447/150)))/100</f>
        <v/>
      </c>
    </row>
    <row r="2449">
      <c r="A2449" t="inlineStr">
        <is>
          <t>Skill + Buff Cast Rate</t>
        </is>
      </c>
      <c r="B2449">
        <f>IF(AND(Inputs!$B$39&lt;&gt;"pvp",Inputs!$B$44&gt;0),SUMPRODUCT((Skills!E2:E28=TRUE)*(C2414:C2440=TRUE)*R2414:R2440)/Inputs!$B$44,SUMPRODUCT((Skills!E2:E28=TRUE)*(C2414:C2440=TRUE)*Q2414:Q2440))</f>
        <v/>
      </c>
    </row>
    <row r="2450">
      <c r="A2450" t="inlineStr">
        <is>
          <t>Big Bang Casts Per Second</t>
        </is>
      </c>
      <c r="B2450">
        <f>MAX(0,B2448-B2449)</f>
        <v/>
      </c>
    </row>
    <row r="2451">
      <c r="A2451" t="inlineStr">
        <is>
          <t>Defense % Bonus (Divine Protection)</t>
        </is>
      </c>
      <c r="B2451">
        <f>IF(C2425=TRUE,F2425*IF(AND(Inputs!$B$39&lt;&gt;"pvp",Inputs!$B$44&gt;0),(((R2425-1)*(Skills!S13*(1+((Inputs!$B$35+(ArtifactsInput!$M$7-ArtifactsInput!$M$7)*CHOOSE(ArtifactsInput!$N$7+1,6,7.2,8.4,9.6,10.8,12))+IF(Inputs!$B$3&gt;=117,F2438,0))/100))+MIN((Skills!S13*(1+((Inputs!$B$35+(ArtifactsInput!$M$7-ArtifactsInput!$M$7)*CHOOSE(ArtifactsInput!$N$7+1,6,7.2,8.4,9.6,10.8,12))+IF(Inputs!$B$3&gt;=117,F2438,0))/100)),MAX(0,Inputs!$B$44-((R2425-1)*Skills!D13))))/Inputs!$B$44),IF(Inputs!$B$39="pvp",MIN((Skills!S13*(1+((Inputs!$B$35+(ArtifactsInput!$M$7-ArtifactsInput!$M$7)*CHOOSE(ArtifactsInput!$N$7+1,6,7.2,8.4,9.6,10.8,12))+IF(Inputs!$B$3&gt;=117,F2438,0))/100)),15)/15,(Skills!S13*(1+((Inputs!$B$35+(ArtifactsInput!$M$7-ArtifactsInput!$M$7)*CHOOSE(ArtifactsInput!$N$7+1,6,7.2,8.4,9.6,10.8,12))+IF(Inputs!$B$3&gt;=117,F2438,0))/100))/Skills!D13)),0)</f>
        <v/>
      </c>
    </row>
    <row r="2452">
      <c r="A2452" t="inlineStr">
        <is>
          <t>Buff-Casting Startup Delay (s, fixed-duration only)</t>
        </is>
      </c>
      <c r="B2452">
        <f>IF(AND(Inputs!$B$39&lt;&gt;"pvp",Inputs!$B$44&gt;0),SUMPRODUCT((Skills!S2:S28&gt;0)*(Skills!E2:E28=TRUE)*(C2414:C2440=TRUE))/B2448,0)</f>
        <v/>
      </c>
    </row>
    <row r="2453">
      <c r="A2453" t="inlineStr">
        <is>
          <t>Boss-Only Total DPS (this block's swept value)</t>
        </is>
      </c>
      <c r="B2453">
        <f>SUM(S2414:S2440)</f>
        <v/>
      </c>
    </row>
    <row r="2454">
      <c r="A2454" t="inlineStr">
        <is>
          <t>Normal-Only Total DPS (this block's swept value)</t>
        </is>
      </c>
      <c r="B2454">
        <f>SUM(U2414:U2440)</f>
        <v/>
      </c>
    </row>
    <row r="2455">
      <c r="A2455" s="6" t="inlineStr">
        <is>
          <t>TOTAL DPS</t>
        </is>
      </c>
      <c r="B2455" s="6">
        <f>SUM(O2414:O2440)</f>
        <v/>
      </c>
    </row>
    <row r="2457">
      <c r="A2457" s="6" t="inlineStr">
        <is>
          <t>Stat: Sayram's Necklace (Equip)</t>
        </is>
      </c>
    </row>
    <row r="2458">
      <c r="A2458" s="5" t="inlineStr">
        <is>
          <t>Key</t>
        </is>
      </c>
      <c r="B2458" s="5" t="inlineStr">
        <is>
          <t>Name</t>
        </is>
      </c>
      <c r="C2458" s="5" t="inlineStr">
        <is>
          <t>Unlocked</t>
        </is>
      </c>
      <c r="D2458" s="5" t="inlineStr">
        <is>
          <t>InputLevel</t>
        </is>
      </c>
      <c r="E2458" s="5" t="inlineStr">
        <is>
          <t>Factor</t>
        </is>
      </c>
      <c r="F2458" s="5" t="inlineStr">
        <is>
          <t>CoefficientPercent</t>
        </is>
      </c>
      <c r="G2458" s="5" t="inlineStr">
        <is>
          <t>EffectiveHits</t>
        </is>
      </c>
      <c r="H2458" s="5" t="inlineStr">
        <is>
          <t>ProcProbability</t>
        </is>
      </c>
      <c r="I2458" s="5" t="inlineStr">
        <is>
          <t>MapleHeroMultiplier</t>
        </is>
      </c>
      <c r="J2458" s="5" t="inlineStr">
        <is>
          <t>BaseDamage</t>
        </is>
      </c>
      <c r="K2458" s="5" t="inlineStr">
        <is>
          <t>BaseHitDamage</t>
        </is>
      </c>
      <c r="L2458" s="5" t="inlineStr">
        <is>
          <t>NonCritAvg</t>
        </is>
      </c>
      <c r="M2458" s="5" t="inlineStr">
        <is>
          <t>CritAvg</t>
        </is>
      </c>
      <c r="N2458" s="5" t="inlineStr">
        <is>
          <t>ExpectedDamage(perHit)</t>
        </is>
      </c>
      <c r="O2458" s="5" t="inlineStr">
        <is>
          <t>DPS</t>
        </is>
      </c>
      <c r="P2458" s="5" t="inlineStr">
        <is>
          <t>% of Total</t>
        </is>
      </c>
      <c r="R2458" t="inlineStr">
        <is>
          <t>helpers</t>
        </is>
      </c>
    </row>
    <row r="2459">
      <c r="A2459">
        <f>Skills!A2</f>
        <v/>
      </c>
      <c r="B2459">
        <f>Skills!B2</f>
        <v/>
      </c>
      <c r="C2459">
        <f>Inputs!$B$3&gt;=100</f>
        <v/>
      </c>
      <c r="D2459" t="inlineStr"/>
      <c r="E2459" t="inlineStr"/>
      <c r="F2459">
        <f>T2461+Skills!N2</f>
        <v/>
      </c>
      <c r="G2459">
        <f>Calc!G2</f>
        <v/>
      </c>
      <c r="H2459">
        <f>Calc!H2</f>
        <v/>
      </c>
      <c r="I2459">
        <f>IF(Skills!T2&lt;&gt;"",1+(Skills!T2/10)*($Z$3/1000)/100,1)</f>
        <v/>
      </c>
      <c r="J2459">
        <f>((Inputs!$B$6*(1+Inputs!$B$7/100))+(((Inputs!$B$13*(1+Inputs!$B$14/100))-(Inputs!$B$13*(1+Inputs!$B$14/100)))+0.25*(Inputs!$B$15-Inputs!$B$15))*(1+Inputs!$B$7/100))*(F2459/100)</f>
        <v/>
      </c>
      <c r="K2459">
        <f>J2459*(1+(((Inputs!$B$13+IF(Inputs!$B$3&gt;=35,(10*INDEX(FactorTable!$B$2:$Y$301,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2="TRIUMPH_FEATHER",IF(C2473=TRUE,F2473,0),0)/100)*(1+IF(C2484=TRUE,F2484,0)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2459)</f>
        <v/>
      </c>
      <c r="L2459">
        <f>K2459*(MIN(Inputs!$B$23+(F2479-Calc!F22),(Inputs!$B$24+IF(ArtifactsInput!$M$15,CHOOSE(ArtifactsInput!$N$15+1,25,30,35,40,45,50)/100*(Inputs!$B$12-Inputs!$B$12),0)))/100+(Inputs!$B$24+IF(ArtifactsInput!$M$15,CHOOSE(ArtifactsInput!$N$15+1,25,30,35,40,45,50)/100*(Inputs!$B$12-Inputs!$B$12),0))/100)/2</f>
        <v/>
      </c>
      <c r="M2459">
        <f>L2459*(1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9">
        <f>L2459*(1-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2459*(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9">
        <f>(1-Summary!$B$11)*S2459+Summary!$B$11*U2459</f>
        <v/>
      </c>
      <c r="P2459">
        <f>IF(B2500=0,0,O2459/B2500)</f>
        <v/>
      </c>
      <c r="Q2459">
        <f>IFERROR(1/(IF(Inputs!$B$39="pvp",15,MAX(0.1,Skills!D2-IF(Skills!E2=TRUE,Inputs!$B$33,0)))*(1-IF(AND(ArtifactsInput!$M$27,Inputs!$B$4="Chapter Hunt"),CHOOSE(ArtifactsInput!$N$27+1,20,24,28,32,36,40),0)/100)),0)</f>
        <v/>
      </c>
      <c r="R2459" t="n">
        <v>0</v>
      </c>
      <c r="S2459">
        <f>IF(C2459,(Skills!F2*N2459*B2495)*IF(Inputs!$B$39="pvp",1,1+(Inputs!$B$21+Skills!O2+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2459*(1-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2459*(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2459*(1-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2459*(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59">
        <f>MAX(0,(Inputs!$B$3-100)*3)+Inputs!$B$29+Inputs!$B$30</f>
        <v/>
      </c>
      <c r="U2459">
        <f>IF(C2459,(Skills!F2*N2459*B2495)*IF(Inputs!$B$39="pvp",1,(1+(Inputs!$B$22+Skills!P2+B2489+(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0">
      <c r="A2460">
        <f>Skills!A3</f>
        <v/>
      </c>
      <c r="B2460">
        <f>Skills!B3</f>
        <v/>
      </c>
      <c r="C2460">
        <f>Inputs!$B$3&gt;=15</f>
        <v/>
      </c>
      <c r="D2460">
        <f>IF(Skills!C3=1,60+Inputs!$B$26+Inputs!$B$30,IF(Skills!C3=2,90+Inputs!$B$27+Inputs!$B$30,IF(Skills!C3=3,120+Inputs!$B$28+Inputs!$B$30,MAX(0,(Inputs!$B$3-100)*3)+Inputs!$B$29+Inputs!$B$30)))</f>
        <v/>
      </c>
      <c r="E2460">
        <f>INDEX(FactorTable!$B$2:$Y$301, MATCH(ROUND(MIN(300,MAX(1,D2460)),0), FactorTable!$A$2:$A$301,0), Skills!L3+1)</f>
        <v/>
      </c>
      <c r="F2460">
        <f>IF(Skills!M3=TRUE,(Skills!K3/10)*(E2460/1000),Skills!K3/10)+Skills!N3</f>
        <v/>
      </c>
      <c r="G2460">
        <f>Calc!G3</f>
        <v/>
      </c>
      <c r="H2460">
        <f>Calc!H3</f>
        <v/>
      </c>
      <c r="I2460">
        <f>IF(Skills!T3&lt;&gt;"",1+(Skills!T3/10)*($Z$3/1000)/100,1)</f>
        <v/>
      </c>
      <c r="J2460" t="inlineStr"/>
      <c r="K2460" t="inlineStr"/>
      <c r="L2460" t="inlineStr"/>
      <c r="M2460" t="inlineStr"/>
      <c r="N2460" t="inlineStr"/>
      <c r="O2460">
        <f>(1-Summary!$B$11)*S2460+Summary!$B$11*U2460</f>
        <v/>
      </c>
      <c r="P2460">
        <f>IF(B2500=0,0,O2460/B2500)</f>
        <v/>
      </c>
      <c r="Q2460">
        <f>IFERROR(1/(IF(Inputs!$B$39="pvp",15,MAX(0.1,Skills!D3-IF(Skills!E3=TRUE,Inputs!$B$33,0)))*(1-IF(AND(ArtifactsInput!$M$27,Inputs!$B$4="Chapter Hunt"),CHOOSE(ArtifactsInput!$N$27+1,20,24,28,32,36,40),0)/100)),0)</f>
        <v/>
      </c>
      <c r="R2460">
        <f>IF(AND(Inputs!$B$39&lt;&gt;"pvp",Inputs!$B$44&gt;0),IF(Inputs!$B$44&lt;=0,0,(INT(Inputs!$B$44/(IF(Inputs!$B$39="pvp",15,MAX(0.1,Skills!D3-IF(Skills!E3=TRUE,Inputs!$B$33,0)))*(1-IF(AND(ArtifactsInput!$M$27,Inputs!$B$4="Chapter Hunt"),CHOOSE(ArtifactsInput!$N$27+1,20,24,28,32,36,40),0)/100)))+1)),0)</f>
        <v/>
      </c>
      <c r="S2460" t="n">
        <v>0</v>
      </c>
      <c r="T2460">
        <f>INDEX(FactorTable!$B$2:$Y$301, MATCH(ROUND(MIN(300,MAX(1,T2459)),0), FactorTable!$A$2:$A$301,0), 22)</f>
        <v/>
      </c>
      <c r="U2460" t="n">
        <v>0</v>
      </c>
    </row>
    <row r="2461">
      <c r="A2461">
        <f>Skills!A4</f>
        <v/>
      </c>
      <c r="B2461">
        <f>Skills!B4</f>
        <v/>
      </c>
      <c r="C2461">
        <f>Inputs!$B$3&gt;=38</f>
        <v/>
      </c>
      <c r="D2461">
        <f>IF(Skills!C4=1,60+Inputs!$B$26+Inputs!$B$30,IF(Skills!C4=2,90+Inputs!$B$27+Inputs!$B$30,IF(Skills!C4=3,120+Inputs!$B$28+Inputs!$B$30,MAX(0,(Inputs!$B$3-100)*3)+Inputs!$B$29+Inputs!$B$30)))</f>
        <v/>
      </c>
      <c r="E2461">
        <f>INDEX(FactorTable!$B$2:$Y$301, MATCH(ROUND(MIN(300,MAX(1,D2461)),0), FactorTable!$A$2:$A$301,0), Skills!L4+1)</f>
        <v/>
      </c>
      <c r="F2461">
        <f>IF(Skills!M4=TRUE,(Skills!K4/10)*(E2461/1000),Skills!K4/10)+Skills!N4</f>
        <v/>
      </c>
      <c r="G2461">
        <f>Calc!G4</f>
        <v/>
      </c>
      <c r="H2461">
        <f>Calc!H4</f>
        <v/>
      </c>
      <c r="I2461">
        <f>IF(Skills!T4&lt;&gt;"",1+(Skills!T4/10)*($Z$3/1000)/100,1)</f>
        <v/>
      </c>
      <c r="J2461" t="inlineStr"/>
      <c r="K2461" t="inlineStr"/>
      <c r="L2461" t="inlineStr"/>
      <c r="M2461" t="inlineStr"/>
      <c r="N2461" t="inlineStr"/>
      <c r="O2461">
        <f>(1-Summary!$B$11)*S2461+Summary!$B$11*U2461</f>
        <v/>
      </c>
      <c r="P2461">
        <f>IF(B2500=0,0,O2461/B2500)</f>
        <v/>
      </c>
      <c r="Q2461">
        <f>IFERROR(1/(IF(Inputs!$B$39="pvp",15,MAX(0.1,Skills!D4-IF(Skills!E4=TRUE,Inputs!$B$33,0)))*(1-IF(AND(ArtifactsInput!$M$27,Inputs!$B$4="Chapter Hunt"),CHOOSE(ArtifactsInput!$N$27+1,20,24,28,32,36,40),0)/100)),0)</f>
        <v/>
      </c>
      <c r="R2461">
        <f>IF(AND(Inputs!$B$39&lt;&gt;"pvp",Inputs!$B$44&gt;0),IF(Inputs!$B$44&lt;=0,0,(INT(Inputs!$B$44/(IF(Inputs!$B$39="pvp",15,MAX(0.1,Skills!D4-IF(Skills!E4=TRUE,Inputs!$B$33,0)))*(1-IF(AND(ArtifactsInput!$M$27,Inputs!$B$4="Chapter Hunt"),CHOOSE(ArtifactsInput!$N$27+1,20,24,28,32,36,40),0)/100)))+1)),0)</f>
        <v/>
      </c>
      <c r="S2461" t="n">
        <v>0</v>
      </c>
      <c r="T2461">
        <f>290*T2460/1000</f>
        <v/>
      </c>
      <c r="U2461" t="n">
        <v>0</v>
      </c>
    </row>
    <row r="2462">
      <c r="A2462">
        <f>Skills!A5</f>
        <v/>
      </c>
      <c r="B2462">
        <f>Skills!B5</f>
        <v/>
      </c>
      <c r="C2462">
        <f>Inputs!$B$3&gt;=40</f>
        <v/>
      </c>
      <c r="D2462">
        <f>IF(Skills!C5=1,60+Inputs!$B$26+Inputs!$B$30,IF(Skills!C5=2,90+Inputs!$B$27+Inputs!$B$30,IF(Skills!C5=3,120+Inputs!$B$28+Inputs!$B$30,MAX(0,(Inputs!$B$3-100)*3)+Inputs!$B$29+Inputs!$B$30)))</f>
        <v/>
      </c>
      <c r="E2462">
        <f>INDEX(FactorTable!$B$2:$Y$301, MATCH(ROUND(MIN(300,MAX(1,D2462)),0), FactorTable!$A$2:$A$301,0), Skills!L5+1)</f>
        <v/>
      </c>
      <c r="F2462">
        <f>IF(Skills!M5=TRUE,(Skills!K5/10)*(E2462/1000),Skills!K5/10)+Skills!N5</f>
        <v/>
      </c>
      <c r="G2462">
        <f>Calc!G5</f>
        <v/>
      </c>
      <c r="H2462">
        <f>Calc!H5</f>
        <v/>
      </c>
      <c r="I2462">
        <f>IF(Skills!T5&lt;&gt;"",1+(Skills!T5/10)*($Z$3/1000)/100,1)</f>
        <v/>
      </c>
      <c r="J2462" t="inlineStr"/>
      <c r="K2462" t="inlineStr"/>
      <c r="L2462" t="inlineStr"/>
      <c r="M2462" t="inlineStr"/>
      <c r="N2462" t="inlineStr"/>
      <c r="O2462">
        <f>(1-Summary!$B$11)*S2462+Summary!$B$11*U2462</f>
        <v/>
      </c>
      <c r="P2462">
        <f>IF(B2500=0,0,O2462/B2500)</f>
        <v/>
      </c>
      <c r="Q2462">
        <f>IFERROR(1/(IF(Inputs!$B$39="pvp",15,MAX(0.1,Skills!D5-IF(Skills!E5=TRUE,Inputs!$B$33,0)))*(1-IF(AND(ArtifactsInput!$M$27,Inputs!$B$4="Chapter Hunt"),CHOOSE(ArtifactsInput!$N$27+1,20,24,28,32,36,40),0)/100)),0)</f>
        <v/>
      </c>
      <c r="R2462">
        <f>IF(AND(Inputs!$B$39&lt;&gt;"pvp",Inputs!$B$44&gt;0),IF(Inputs!$B$44&lt;=0,0,(INT(Inputs!$B$44/(IF(Inputs!$B$39="pvp",15,MAX(0.1,Skills!D5-IF(Skills!E5=TRUE,Inputs!$B$33,0)))*(1-IF(AND(ArtifactsInput!$M$27,Inputs!$B$4="Chapter Hunt"),CHOOSE(ArtifactsInput!$N$27+1,20,24,28,32,36,40),0)/100)))+1)),0)</f>
        <v/>
      </c>
      <c r="S2462" t="n">
        <v>0</v>
      </c>
      <c r="U2462" t="n">
        <v>0</v>
      </c>
    </row>
    <row r="2463">
      <c r="A2463">
        <f>Skills!A6</f>
        <v/>
      </c>
      <c r="B2463">
        <f>Skills!B6</f>
        <v/>
      </c>
      <c r="C2463">
        <f>Inputs!$B$3&gt;=103</f>
        <v/>
      </c>
      <c r="D2463">
        <f>IF(Skills!C6=1,60+Inputs!$B$26+Inputs!$B$30,IF(Skills!C6=2,90+Inputs!$B$27+Inputs!$B$30,IF(Skills!C6=3,120+Inputs!$B$28+Inputs!$B$30,MAX(0,(Inputs!$B$3-100)*3)+Inputs!$B$29+Inputs!$B$30)))</f>
        <v/>
      </c>
      <c r="E2463">
        <f>INDEX(FactorTable!$B$2:$Y$301, MATCH(ROUND(MIN(300,MAX(1,D2463)),0), FactorTable!$A$2:$A$301,0), Skills!L6+1)</f>
        <v/>
      </c>
      <c r="F2463">
        <f>IF(Skills!M6=TRUE,(Skills!K6/10)*(E2463/1000),Skills!K6/10)+Skills!N6</f>
        <v/>
      </c>
      <c r="G2463">
        <f>Calc!G6</f>
        <v/>
      </c>
      <c r="H2463">
        <f>Calc!H6</f>
        <v/>
      </c>
      <c r="I2463">
        <f>IF(Skills!T6&lt;&gt;"",1+(Skills!T6/10)*($Z$3/1000)/100,1)</f>
        <v/>
      </c>
      <c r="J2463">
        <f>((Inputs!$B$6*(1+Inputs!$B$7/100))+(((Inputs!$B$13*(1+Inputs!$B$14/100))-(Inputs!$B$13*(1+Inputs!$B$14/100)))+0.25*(Inputs!$B$15-Inputs!$B$15))*(1+Inputs!$B$7/100))*(F2463/100)</f>
        <v/>
      </c>
      <c r="K2463">
        <f>J2463*(1+(((Inputs!$B$13+IF(Inputs!$B$3&gt;=35,(10*INDEX(FactorTable!$B$2:$Y$301,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6="TRIUMPH_FEATHER",IF(C2473=TRUE,F2473,0),0)/100)*(1+IF(C2484=TRUE,F2484,0)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2463)</f>
        <v/>
      </c>
      <c r="L2463">
        <f>K2463*(MIN(Inputs!$B$23+(F2479-Calc!F22),(Inputs!$B$24+IF(ArtifactsInput!$M$15,CHOOSE(ArtifactsInput!$N$15+1,25,30,35,40,45,50)/100*(Inputs!$B$12-Inputs!$B$12),0)))/100+(Inputs!$B$24+IF(ArtifactsInput!$M$15,CHOOSE(ArtifactsInput!$N$15+1,25,30,35,40,45,50)/100*(Inputs!$B$12-Inputs!$B$12),0))/100)/2</f>
        <v/>
      </c>
      <c r="M2463">
        <f>L2463*(1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3">
        <f>L2463*(1-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2463*(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3">
        <f>(1-Summary!$B$11)*S2463+Summary!$B$11*U2463</f>
        <v/>
      </c>
      <c r="P2463">
        <f>IF(B2500=0,0,O2463/B2500)</f>
        <v/>
      </c>
      <c r="Q2463">
        <f>IFERROR(1/(IF(Inputs!$B$39="pvp",15,MAX(0.1,Skills!D6-IF(Skills!E6=TRUE,Inputs!$B$33,0)))*(1-IF(AND(ArtifactsInput!$M$27,Inputs!$B$4="Chapter Hunt"),CHOOSE(ArtifactsInput!$N$27+1,20,24,28,32,36,40),0)/100)),0)</f>
        <v/>
      </c>
      <c r="R2463">
        <f>IF(AND(Inputs!$B$39&lt;&gt;"pvp",Inputs!$B$44&gt;0),IF(MAX(0,Inputs!$B$44-B2497)&lt;=0,0,(INT(MAX(0,Inputs!$B$44-B2497)/(IF(Inputs!$B$39="pvp",15,MAX(0.1,Skills!D6-IF(Skills!E6=TRUE,Inputs!$B$33,0)))*(1-IF(AND(ArtifactsInput!$M$27,Inputs!$B$4="Chapter Hunt"),CHOOSE(ArtifactsInput!$N$27+1,20,24,28,32,36,40),0)/100)))+1)),0)</f>
        <v/>
      </c>
      <c r="S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$21+Skills!O6+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2463*(1-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2463*(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2463*(1-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2463*(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$22+Skills!P6+B2489+(IF(IF(ArtifactsInput!$M$33,FALSE,TRUE),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4">
      <c r="A2464">
        <f>Skills!A7</f>
        <v/>
      </c>
      <c r="B2464">
        <f>Skills!B7</f>
        <v/>
      </c>
      <c r="C2464">
        <f>Inputs!$B$3&gt;=122</f>
        <v/>
      </c>
      <c r="D2464">
        <f>IF(Skills!C7=1,60+Inputs!$B$26+Inputs!$B$30,IF(Skills!C7=2,90+Inputs!$B$27+Inputs!$B$30,IF(Skills!C7=3,120+Inputs!$B$28+Inputs!$B$30,MAX(0,(Inputs!$B$3-100)*3)+Inputs!$B$29+Inputs!$B$30)))</f>
        <v/>
      </c>
      <c r="E2464">
        <f>INDEX(FactorTable!$B$2:$Y$301, MATCH(ROUND(MIN(300,MAX(1,D2464)),0), FactorTable!$A$2:$A$301,0), Skills!L7+1)</f>
        <v/>
      </c>
      <c r="F2464">
        <f>IF(Skills!M7=TRUE,(Skills!K7/10)*(E2464/1000),Skills!K7/10)+Skills!N7</f>
        <v/>
      </c>
      <c r="G2464">
        <f>Calc!G7</f>
        <v/>
      </c>
      <c r="H2464">
        <f>Calc!H7</f>
        <v/>
      </c>
      <c r="I2464">
        <f>IF(Skills!T7&lt;&gt;"",1+(Skills!T7/10)*($Z$3/1000)/100,1)</f>
        <v/>
      </c>
      <c r="J2464">
        <f>((Inputs!$B$6*(1+Inputs!$B$7/100))+(((Inputs!$B$13*(1+Inputs!$B$14/100))-(Inputs!$B$13*(1+Inputs!$B$14/100)))+0.25*(Inputs!$B$15-Inputs!$B$15))*(1+Inputs!$B$7/100))*(F2464/100)</f>
        <v/>
      </c>
      <c r="K2464">
        <f>J2464*(1+(((Inputs!$B$13+IF(Inputs!$B$3&gt;=35,(10*INDEX(FactorTable!$B$2:$Y$301,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7="TRIUMPH_FEATHER",IF(C2473=TRUE,F2473,0),0)/100)*(1+IF(C2484=TRUE,F2484,0)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2464)</f>
        <v/>
      </c>
      <c r="L2464">
        <f>K2464*(MIN(Inputs!$B$23+(F2479-Calc!F22),(Inputs!$B$24+IF(ArtifactsInput!$M$15,CHOOSE(ArtifactsInput!$N$15+1,25,30,35,40,45,50)/100*(Inputs!$B$12-Inputs!$B$12),0)))/100+(Inputs!$B$24+IF(ArtifactsInput!$M$15,CHOOSE(ArtifactsInput!$N$15+1,25,30,35,40,45,50)/100*(Inputs!$B$12-Inputs!$B$12),0))/100)/2</f>
        <v/>
      </c>
      <c r="M2464">
        <f>L2464*(1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4">
        <f>L2464*(1-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2464*(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4">
        <f>(1-Summary!$B$11)*S2464+Summary!$B$11*U2464</f>
        <v/>
      </c>
      <c r="P2464">
        <f>IF(B2500=0,0,O2464/B2500)</f>
        <v/>
      </c>
      <c r="Q2464">
        <f>IFERROR(1/(IF(Inputs!$B$39="pvp",15,MAX(0.1,Skills!D7-IF(Skills!E6=TRUE,Inputs!$B$33,0)))*(1-IF(AND(ArtifactsInput!$M$27,Inputs!$B$4="Chapter Hunt"),CHOOSE(ArtifactsInput!$N$27+1,20,24,28,32,36,40),0)/100)),0)</f>
        <v/>
      </c>
      <c r="R2464">
        <f>IF(AND(Inputs!$B$39&lt;&gt;"pvp",Inputs!$B$44&gt;0),IF(MAX(0,Inputs!$B$44-B2497)&lt;=0,0,(INT(MAX(0,Inputs!$B$44-B2497)/(IF(Inputs!$B$39="pvp",15,MAX(0.1,Skills!D7-IF(Skills!E6=TRUE,Inputs!$B$33,0)))*(1-IF(AND(ArtifactsInput!$M$27,Inputs!$B$4="Chapter Hunt"),CHOOSE(ArtifactsInput!$N$27+1,20,24,28,32,36,40),0)/100)))+1)),0)</f>
        <v/>
      </c>
      <c r="S2464">
        <f>IF(C2464,H2464*N2464*IF(AND(Inputs!$B$39&lt;&gt;"pvp",Inputs!$B$44&gt;0),((Skills!F7*((R2464-1)*IF(Skills!G7&gt;0,Skills!H7/Skills!G7,1)+IF(Skills!G7&gt;0,MIN(Skills!H7,MAX(0,MAX(0,Inputs!$B$44-B2497)-((R2464-1)*(IF(Inputs!$B$39="pvp",15,MAX(0.1,Skills!D7-IF(Skills!E6=TRUE,Inputs!$B$33,0)))*(1-IF(AND(ArtifactsInput!$M$27,Inputs!$B$4="Chapter Hunt"),CHOOSE(ArtifactsInput!$N$27+1,20,24,28,32,36,40),0)/100)))))/Skills!G7,1)))/Inputs!$B$44),G2464*Q2464)*IF(Inputs!$B$39="pvp",1,1+(Inputs!$B$21+Skills!O7+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2464*(1-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2464*(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2464*(1-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2464*(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4" t="n">
        <v>0</v>
      </c>
    </row>
    <row r="2465">
      <c r="A2465">
        <f>Skills!A8</f>
        <v/>
      </c>
      <c r="B2465">
        <f>Skills!B8</f>
        <v/>
      </c>
      <c r="C2465">
        <f>Inputs!$B$3&gt;=105</f>
        <v/>
      </c>
      <c r="D2465">
        <f>IF(Skills!C8=1,60+Inputs!$B$26+Inputs!$B$30,IF(Skills!C8=2,90+Inputs!$B$27+Inputs!$B$30,IF(Skills!C8=3,120+Inputs!$B$28+Inputs!$B$30,MAX(0,(Inputs!$B$3-100)*3)+Inputs!$B$29+Inputs!$B$30)))</f>
        <v/>
      </c>
      <c r="E2465">
        <f>INDEX(FactorTable!$B$2:$Y$301, MATCH(ROUND(MIN(300,MAX(1,D2465)),0), FactorTable!$A$2:$A$301,0), Skills!L8+1)</f>
        <v/>
      </c>
      <c r="F2465">
        <f>IF(Skills!M8=TRUE,(Skills!K8/10)*(E2465/1000),Skills!K8/10)+Skills!N8</f>
        <v/>
      </c>
      <c r="G2465">
        <f>Calc!G8</f>
        <v/>
      </c>
      <c r="H2465">
        <f>Calc!H8</f>
        <v/>
      </c>
      <c r="I2465">
        <f>IF(Skills!T8&lt;&gt;"",1+(Skills!T8/10)*($Z$3/1000)/100,1)</f>
        <v/>
      </c>
      <c r="J2465">
        <f>((Inputs!$B$6*(1+Inputs!$B$7/100))+(((Inputs!$B$13*(1+Inputs!$B$14/100))-(Inputs!$B$13*(1+Inputs!$B$14/100)))+0.25*(Inputs!$B$15-Inputs!$B$15))*(1+Inputs!$B$7/100))*(F2465/100)</f>
        <v/>
      </c>
      <c r="K2465">
        <f>J2465*(1+(((Inputs!$B$13+IF(Inputs!$B$3&gt;=35,(10*INDEX(FactorTable!$B$2:$Y$301,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8="TRIUMPH_FEATHER",IF(C2473=TRUE,F2473,0),0)/100)*(1+IF(C2484=TRUE,F2484,0)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2465)</f>
        <v/>
      </c>
      <c r="L2465">
        <f>K2465*(MIN(Inputs!$B$23+(F2479-Calc!F22),(Inputs!$B$24+IF(ArtifactsInput!$M$15,CHOOSE(ArtifactsInput!$N$15+1,25,30,35,40,45,50)/100*(Inputs!$B$12-Inputs!$B$12),0)))/100+(Inputs!$B$24+IF(ArtifactsInput!$M$15,CHOOSE(ArtifactsInput!$N$15+1,25,30,35,40,45,50)/100*(Inputs!$B$12-Inputs!$B$12),0))/100)/2</f>
        <v/>
      </c>
      <c r="M2465">
        <f>L2465*(1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5">
        <f>L2465*(1-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2465*(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5">
        <f>(1-Summary!$B$11)*S2465+Summary!$B$11*U2465</f>
        <v/>
      </c>
      <c r="P2465">
        <f>IF(B2500=0,0,O2465/B2500)</f>
        <v/>
      </c>
      <c r="Q2465">
        <f>IFERROR(1/(IF(Inputs!$B$39="pvp",15,MAX(0.1,Skills!D8-IF(Skills!E8=TRUE,Inputs!$B$33,0)))*(1-IF(AND(ArtifactsInput!$M$27,Inputs!$B$4="Chapter Hunt"),CHOOSE(ArtifactsInput!$N$27+1,20,24,28,32,36,40),0)/100)),0)</f>
        <v/>
      </c>
      <c r="R2465">
        <f>IF(AND(Inputs!$B$39&lt;&gt;"pvp",Inputs!$B$44&gt;0),IF(MAX(0,Inputs!$B$44-B2497)&lt;=0,0,(INT(MAX(0,Inputs!$B$44-B2497)/(IF(Inputs!$B$39="pvp",15,MAX(0.1,Skills!D8-IF(Skills!E8=TRUE,Inputs!$B$33,0)))*(1-IF(AND(ArtifactsInput!$M$27,Inputs!$B$4="Chapter Hunt"),CHOOSE(ArtifactsInput!$N$27+1,20,24,28,32,36,40),0)/100)))+1)),0)</f>
        <v/>
      </c>
      <c r="S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$21+Skills!O8+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2465*(1-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2465*(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2465*(1-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2465*(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$22+Skills!P8+B2489+(IF(IF(ArtifactsInput!$M$33,FALSE,TRUE),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6">
      <c r="A2466">
        <f>Skills!A9</f>
        <v/>
      </c>
      <c r="B2466">
        <f>Skills!B9</f>
        <v/>
      </c>
      <c r="C2466">
        <f>Inputs!$B$3&gt;=115</f>
        <v/>
      </c>
      <c r="D2466">
        <f>IF(Skills!C9=1,60+Inputs!$B$26+Inputs!$B$30,IF(Skills!C9=2,90+Inputs!$B$27+Inputs!$B$30,IF(Skills!C9=3,120+Inputs!$B$28+Inputs!$B$30,MAX(0,(Inputs!$B$3-100)*3)+Inputs!$B$29+Inputs!$B$30)))</f>
        <v/>
      </c>
      <c r="E2466">
        <f>INDEX(FactorTable!$B$2:$Y$301, MATCH(ROUND(MIN(300,MAX(1,D2466)),0), FactorTable!$A$2:$A$301,0), Skills!L9+1)</f>
        <v/>
      </c>
      <c r="F2466">
        <f>IF(Skills!M9=TRUE,(Skills!K9/10)*(E2466/1000),Skills!K9/10)+Skills!N9</f>
        <v/>
      </c>
      <c r="G2466">
        <f>Calc!G9</f>
        <v/>
      </c>
      <c r="H2466">
        <f>Calc!H9</f>
        <v/>
      </c>
      <c r="I2466">
        <f>IF(Skills!T9&lt;&gt;"",1+(Skills!T9/10)*($Z$3/1000)/100,1)</f>
        <v/>
      </c>
      <c r="J2466">
        <f>((Inputs!$B$6*(1+Inputs!$B$7/100))+(((Inputs!$B$13*(1+Inputs!$B$14/100))-(Inputs!$B$13*(1+Inputs!$B$14/100)))+0.25*(Inputs!$B$15-Inputs!$B$15))*(1+Inputs!$B$7/100))*(F2466/100)</f>
        <v/>
      </c>
      <c r="K2466">
        <f>J2466*(1+(((Inputs!$B$13+IF(Inputs!$B$3&gt;=35,(10*INDEX(FactorTable!$B$2:$Y$301,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9="TRIUMPH_FEATHER",IF(C2473=TRUE,F2473,0),0)/100)*(1+IF(C2484=TRUE,F2484,0)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2466)</f>
        <v/>
      </c>
      <c r="L2466">
        <f>K2466*(MIN(Inputs!$B$23+(F2479-Calc!F22),(Inputs!$B$24+IF(ArtifactsInput!$M$15,CHOOSE(ArtifactsInput!$N$15+1,25,30,35,40,45,50)/100*(Inputs!$B$12-Inputs!$B$12),0)))/100+(Inputs!$B$24+IF(ArtifactsInput!$M$15,CHOOSE(ArtifactsInput!$N$15+1,25,30,35,40,45,50)/100*(Inputs!$B$12-Inputs!$B$12),0))/100)/2</f>
        <v/>
      </c>
      <c r="M2466">
        <f>L2466*(1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6">
        <f>L2466*(1-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2466*(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6">
        <f>(1-Summary!$B$11)*S2466+Summary!$B$11*U2466</f>
        <v/>
      </c>
      <c r="P2466">
        <f>IF(B2500=0,0,O2466/B2500)</f>
        <v/>
      </c>
      <c r="Q2466">
        <f>IFERROR(1/(IF(Inputs!$B$39="pvp",15,MAX(0.1,Skills!D9-IF(Skills!E9=TRUE,Inputs!$B$33,0)))*(1-IF(AND(ArtifactsInput!$M$27,Inputs!$B$4="Chapter Hunt"),CHOOSE(ArtifactsInput!$N$27+1,20,24,28,32,36,40),0)/100)),0)</f>
        <v/>
      </c>
      <c r="R2466">
        <f>IF(AND(Inputs!$B$39&lt;&gt;"pvp",Inputs!$B$44&gt;0),IF(MAX(0,Inputs!$B$44-B2497)&lt;=0,0,(INT(MAX(0,Inputs!$B$44-B2497)/(IF(Inputs!$B$39="pvp",15,MAX(0.1,Skills!D9-IF(Skills!E9=TRUE,Inputs!$B$33,0)))*(1-IF(AND(ArtifactsInput!$M$27,Inputs!$B$4="Chapter Hunt"),CHOOSE(ArtifactsInput!$N$27+1,20,24,28,32,36,40),0)/100)))+1)),0)</f>
        <v/>
      </c>
      <c r="S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$21+Skills!O9+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2466*(1-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2466*(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2466*(1-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2466*(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$22+Skills!P9+B2489+(IF(IF(ArtifactsInput!$M$33,FALSE,TRUE),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7">
      <c r="A2467">
        <f>Skills!A10</f>
        <v/>
      </c>
      <c r="B2467">
        <f>Skills!B10</f>
        <v/>
      </c>
      <c r="C2467">
        <f>Inputs!$B$3&gt;=66</f>
        <v/>
      </c>
      <c r="D2467">
        <f>IF(Skills!C10=1,60+Inputs!$B$26+Inputs!$B$30,IF(Skills!C10=2,90+Inputs!$B$27+Inputs!$B$30,IF(Skills!C10=3,120+Inputs!$B$28+Inputs!$B$30,MAX(0,(Inputs!$B$3-100)*3)+Inputs!$B$29+Inputs!$B$30)))</f>
        <v/>
      </c>
      <c r="E2467">
        <f>INDEX(FactorTable!$B$2:$Y$301, MATCH(ROUND(MIN(300,MAX(1,D2467)),0), FactorTable!$A$2:$A$301,0), Skills!L10+1)</f>
        <v/>
      </c>
      <c r="F2467" t="n">
        <v>0</v>
      </c>
      <c r="G2467">
        <f>Calc!G10</f>
        <v/>
      </c>
      <c r="H2467">
        <f>Calc!H10</f>
        <v/>
      </c>
      <c r="I2467">
        <f>IF(Skills!T10&lt;&gt;"",1+(Skills!T10/10)*($Z$3/1000)/100,1)</f>
        <v/>
      </c>
      <c r="J2467" t="inlineStr"/>
      <c r="K2467" t="inlineStr"/>
      <c r="L2467" t="inlineStr"/>
      <c r="M2467" t="inlineStr"/>
      <c r="N2467" t="inlineStr"/>
      <c r="O2467">
        <f>(1-Summary!$B$11)*S2467+Summary!$B$11*U2467</f>
        <v/>
      </c>
      <c r="P2467">
        <f>IF(B2500=0,0,O2467/B2500)</f>
        <v/>
      </c>
      <c r="Q2467">
        <f>IFERROR(1/(IF(Inputs!$B$39="pvp",15,MAX(0.1,Skills!D10-IF(Skills!E10=TRUE,Inputs!$B$33,0)))*(1-IF(AND(ArtifactsInput!$M$27,Inputs!$B$4="Chapter Hunt"),CHOOSE(ArtifactsInput!$N$27+1,20,24,28,32,36,40),0)/100)),0)</f>
        <v/>
      </c>
      <c r="R2467">
        <f>IF(AND(Inputs!$B$39&lt;&gt;"pvp",Inputs!$B$44&gt;0),IF(MAX(0,Inputs!$B$44-B2497)&lt;=0,0,(INT(MAX(0,Inputs!$B$44-B2497)/(IF(Inputs!$B$39="pvp",15,MAX(0.1,Skills!D10-IF(Skills!E10=TRUE,Inputs!$B$33,0)))*(1-IF(AND(ArtifactsInput!$M$27,Inputs!$B$4="Chapter Hunt"),CHOOSE(ArtifactsInput!$N$27+1,20,24,28,32,36,40),0)/100)))+1)),0)</f>
        <v/>
      </c>
      <c r="S2467" t="n">
        <v>0</v>
      </c>
      <c r="U2467" t="n">
        <v>0</v>
      </c>
    </row>
    <row r="2468">
      <c r="A2468">
        <f>Skills!A11</f>
        <v/>
      </c>
      <c r="B2468">
        <f>Skills!B11</f>
        <v/>
      </c>
      <c r="C2468">
        <f>Inputs!$B$3&gt;=69</f>
        <v/>
      </c>
      <c r="D2468">
        <f>IF(Skills!C11=1,60+Inputs!$B$26+Inputs!$B$30,IF(Skills!C11=2,90+Inputs!$B$27+Inputs!$B$30,IF(Skills!C11=3,120+Inputs!$B$28+Inputs!$B$30,MAX(0,(Inputs!$B$3-100)*3)+Inputs!$B$29+Inputs!$B$30)))</f>
        <v/>
      </c>
      <c r="E2468">
        <f>INDEX(FactorTable!$B$2:$Y$301, MATCH(ROUND(MIN(300,MAX(1,D2468)),0), FactorTable!$A$2:$A$301,0), Skills!L11+1)</f>
        <v/>
      </c>
      <c r="F2468">
        <f>IF(Skills!M11=TRUE,(Skills!K11/10)*(E2468/1000),Skills!K11/10)+Skills!N11</f>
        <v/>
      </c>
      <c r="G2468">
        <f>Calc!G11</f>
        <v/>
      </c>
      <c r="H2468">
        <f>Calc!H11</f>
        <v/>
      </c>
      <c r="I2468">
        <f>IF(Skills!T11&lt;&gt;"",1+(Skills!T11/10)*($Z$3/1000)/100,1)</f>
        <v/>
      </c>
      <c r="J2468" t="inlineStr"/>
      <c r="K2468" t="inlineStr"/>
      <c r="L2468" t="inlineStr"/>
      <c r="M2468" t="inlineStr"/>
      <c r="N2468" t="inlineStr"/>
      <c r="O2468">
        <f>(1-Summary!$B$11)*S2468+Summary!$B$11*U2468</f>
        <v/>
      </c>
      <c r="P2468">
        <f>IF(B2500=0,0,O2468/B2500)</f>
        <v/>
      </c>
      <c r="Q2468">
        <f>IFERROR(1/(IF(Inputs!$B$39="pvp",15,MAX(0.1,Skills!D11-IF(Skills!E11=TRUE,Inputs!$B$33,0)))*(1-IF(AND(ArtifactsInput!$M$27,Inputs!$B$4="Chapter Hunt"),CHOOSE(ArtifactsInput!$N$27+1,20,24,28,32,36,40),0)/100)),0)</f>
        <v/>
      </c>
      <c r="R2468">
        <f>IF(AND(Inputs!$B$39&lt;&gt;"pvp",Inputs!$B$44&gt;0),IF(Inputs!$B$44&lt;=0,0,(INT(Inputs!$B$44/(IF(Inputs!$B$39="pvp",15,MAX(0.1,Skills!D11-IF(Skills!E11=TRUE,Inputs!$B$33,0)))*(1-IF(AND(ArtifactsInput!$M$27,Inputs!$B$4="Chapter Hunt"),CHOOSE(ArtifactsInput!$N$27+1,20,24,28,32,36,40),0)/100)))+1)),0)</f>
        <v/>
      </c>
      <c r="S2468" t="n">
        <v>0</v>
      </c>
      <c r="U2468" t="n">
        <v>0</v>
      </c>
    </row>
    <row r="2469">
      <c r="A2469">
        <f>Skills!A12</f>
        <v/>
      </c>
      <c r="B2469">
        <f>Skills!B12</f>
        <v/>
      </c>
      <c r="C2469">
        <f>Inputs!$B$3&gt;=72</f>
        <v/>
      </c>
      <c r="D2469">
        <f>IF(Skills!C12=1,60+Inputs!$B$26+Inputs!$B$30,IF(Skills!C12=2,90+Inputs!$B$27+Inputs!$B$30,IF(Skills!C12=3,120+Inputs!$B$28+Inputs!$B$30,MAX(0,(Inputs!$B$3-100)*3)+Inputs!$B$29+Inputs!$B$30)))</f>
        <v/>
      </c>
      <c r="E2469">
        <f>INDEX(FactorTable!$B$2:$Y$301, MATCH(ROUND(MIN(300,MAX(1,D2469)),0), FactorTable!$A$2:$A$301,0), Skills!L12+1)</f>
        <v/>
      </c>
      <c r="F2469">
        <f>IF(Skills!M12=TRUE,(Skills!K12/10)*(E2469/1000),Skills!K12/10)+Skills!N12</f>
        <v/>
      </c>
      <c r="G2469">
        <f>Calc!G12</f>
        <v/>
      </c>
      <c r="H2469">
        <f>Calc!H12</f>
        <v/>
      </c>
      <c r="I2469">
        <f>IF(Skills!T12&lt;&gt;"",1+(Skills!T12/10)*($Z$3/1000)/100,1)</f>
        <v/>
      </c>
      <c r="J2469" t="inlineStr"/>
      <c r="K2469" t="inlineStr"/>
      <c r="L2469" t="inlineStr"/>
      <c r="M2469" t="inlineStr"/>
      <c r="N2469" t="inlineStr"/>
      <c r="O2469">
        <f>(1-Summary!$B$11)*S2469+Summary!$B$11*U2469</f>
        <v/>
      </c>
      <c r="P2469">
        <f>IF(B2500=0,0,O2469/B2500)</f>
        <v/>
      </c>
      <c r="Q2469">
        <f>IFERROR(1/(IF(Inputs!$B$39="pvp",15,MAX(0.1,Skills!D12-IF(Skills!E12=TRUE,Inputs!$B$33,0)))*(1-IF(AND(ArtifactsInput!$M$27,Inputs!$B$4="Chapter Hunt"),CHOOSE(ArtifactsInput!$N$27+1,20,24,28,32,36,40),0)/100)),0)</f>
        <v/>
      </c>
      <c r="R2469">
        <f>IF(AND(Inputs!$B$39&lt;&gt;"pvp",Inputs!$B$44&gt;0),IF(MAX(0,Inputs!$B$44-B2497)&lt;=0,0,(INT(MAX(0,Inputs!$B$44-B2497)/(IF(Inputs!$B$39="pvp",15,MAX(0.1,Skills!D12-IF(Skills!E12=TRUE,Inputs!$B$33,0)))*(1-IF(AND(ArtifactsInput!$M$27,Inputs!$B$4="Chapter Hunt"),CHOOSE(ArtifactsInput!$N$27+1,20,24,28,32,36,40),0)/100)))+1)),0)</f>
        <v/>
      </c>
      <c r="S2469" t="n">
        <v>0</v>
      </c>
      <c r="U2469" t="n">
        <v>0</v>
      </c>
    </row>
    <row r="2470">
      <c r="A2470">
        <f>Skills!A13</f>
        <v/>
      </c>
      <c r="B2470">
        <f>Skills!B13</f>
        <v/>
      </c>
      <c r="C2470">
        <f>Inputs!$B$3&gt;=60</f>
        <v/>
      </c>
      <c r="D2470">
        <f>IF(Skills!C13=1,60+Inputs!$B$26+Inputs!$B$30,IF(Skills!C13=2,90+Inputs!$B$27+Inputs!$B$30,IF(Skills!C13=3,120+Inputs!$B$28+Inputs!$B$30,MAX(0,(Inputs!$B$3-100)*3)+Inputs!$B$29+Inputs!$B$30)))</f>
        <v/>
      </c>
      <c r="E2470">
        <f>INDEX(FactorTable!$B$2:$Y$301, MATCH(ROUND(MIN(300,MAX(1,D2470)),0), FactorTable!$A$2:$A$301,0), Skills!L13+1)</f>
        <v/>
      </c>
      <c r="F2470">
        <f>IF(Skills!M13=TRUE,(Skills!K13/10)*(E2470/1000),Skills!K13/10)+Skills!N13</f>
        <v/>
      </c>
      <c r="G2470">
        <f>Calc!G13</f>
        <v/>
      </c>
      <c r="H2470">
        <f>Calc!H13</f>
        <v/>
      </c>
      <c r="I2470">
        <f>IF(Skills!T13&lt;&gt;"",1+(Skills!T13/10)*($Z$3/1000)/100,1)</f>
        <v/>
      </c>
      <c r="J2470" t="inlineStr"/>
      <c r="K2470" t="inlineStr"/>
      <c r="L2470" t="inlineStr"/>
      <c r="M2470" t="inlineStr"/>
      <c r="N2470" t="inlineStr"/>
      <c r="O2470">
        <f>(1-Summary!$B$11)*S2470+Summary!$B$11*U2470</f>
        <v/>
      </c>
      <c r="P2470">
        <f>IF(B2500=0,0,O2470/B2500)</f>
        <v/>
      </c>
      <c r="Q2470">
        <f>IFERROR(1/(IF(Inputs!$B$39="pvp",15,MAX(0.1,Skills!D13-IF(Skills!E13=TRUE,Inputs!$B$33,0)))*(1-IF(AND(ArtifactsInput!$M$27,Inputs!$B$4="Chapter Hunt"),CHOOSE(ArtifactsInput!$N$27+1,20,24,28,32,36,40),0)/100)),0)</f>
        <v/>
      </c>
      <c r="R2470">
        <f>IF(AND(Inputs!$B$39&lt;&gt;"pvp",Inputs!$B$44&gt;0),IF(MAX(0,Inputs!$B$44-B2497)&lt;=0,0,(INT(MAX(0,Inputs!$B$44-B2497)/(IF(Inputs!$B$39="pvp",15,MAX(0.1,Skills!D13-IF(Skills!E13=TRUE,Inputs!$B$33,0)))*(1-IF(AND(ArtifactsInput!$M$27,Inputs!$B$4="Chapter Hunt"),CHOOSE(ArtifactsInput!$N$27+1,20,24,28,32,36,40),0)/100)))+1)),0)</f>
        <v/>
      </c>
      <c r="S2470" t="n">
        <v>0</v>
      </c>
      <c r="U2470" t="n">
        <v>0</v>
      </c>
    </row>
    <row r="2471">
      <c r="A2471">
        <f>Skills!A14</f>
        <v/>
      </c>
      <c r="B2471">
        <f>Skills!B14</f>
        <v/>
      </c>
      <c r="C2471">
        <f>Inputs!$B$3&gt;=107</f>
        <v/>
      </c>
      <c r="D2471">
        <f>IF(Skills!C14=1,60+Inputs!$B$26+Inputs!$B$30,IF(Skills!C14=2,90+Inputs!$B$27+Inputs!$B$30,IF(Skills!C14=3,120+Inputs!$B$28+Inputs!$B$30,MAX(0,(Inputs!$B$3-100)*3)+Inputs!$B$29+Inputs!$B$30)))</f>
        <v/>
      </c>
      <c r="E2471">
        <f>INDEX(FactorTable!$B$2:$Y$301, MATCH(ROUND(MIN(300,MAX(1,D2471)),0), FactorTable!$A$2:$A$301,0), Skills!L14+1)</f>
        <v/>
      </c>
      <c r="F2471">
        <f>IF(Skills!M14=TRUE,(Skills!K14/10)*(E2471/1000),Skills!K14/10)+Skills!N14</f>
        <v/>
      </c>
      <c r="G2471">
        <f>Calc!G14</f>
        <v/>
      </c>
      <c r="H2471">
        <f>Calc!H14</f>
        <v/>
      </c>
      <c r="I2471">
        <f>IF(Skills!T14&lt;&gt;"",1+(Skills!T14/10)*($Z$3/1000)/100,1)</f>
        <v/>
      </c>
      <c r="J2471" t="inlineStr"/>
      <c r="K2471" t="inlineStr"/>
      <c r="L2471" t="inlineStr"/>
      <c r="M2471" t="inlineStr"/>
      <c r="N2471" t="inlineStr"/>
      <c r="O2471">
        <f>(1-Summary!$B$11)*S2471+Summary!$B$11*U2471</f>
        <v/>
      </c>
      <c r="P2471">
        <f>IF(B2500=0,0,O2471/B2500)</f>
        <v/>
      </c>
      <c r="Q2471">
        <f>IFERROR(1/(IF(Inputs!$B$39="pvp",15,MAX(0.1,Skills!D14-IF(Skills!E14=TRUE,Inputs!$B$33,0)))*(1-IF(AND(ArtifactsInput!$M$27,Inputs!$B$4="Chapter Hunt"),CHOOSE(ArtifactsInput!$N$27+1,20,24,28,32,36,40),0)/100)),0)</f>
        <v/>
      </c>
      <c r="R2471">
        <f>IF(AND(Inputs!$B$39&lt;&gt;"pvp",Inputs!$B$44&gt;0),IF(Inputs!$B$44&lt;=0,0,(INT(Inputs!$B$44/(IF(Inputs!$B$39="pvp",15,MAX(0.1,Skills!D14-IF(Skills!E14=TRUE,Inputs!$B$33,0)))*(1-IF(AND(ArtifactsInput!$M$27,Inputs!$B$4="Chapter Hunt"),CHOOSE(ArtifactsInput!$N$27+1,20,24,28,32,36,40),0)/100)))+1)),0)</f>
        <v/>
      </c>
      <c r="S2471" t="n">
        <v>0</v>
      </c>
      <c r="U2471" t="n">
        <v>0</v>
      </c>
    </row>
    <row r="2472">
      <c r="A2472">
        <f>Skills!A15</f>
        <v/>
      </c>
      <c r="B2472">
        <f>Skills!B15</f>
        <v/>
      </c>
      <c r="C2472">
        <f>Inputs!$B$3&gt;=63</f>
        <v/>
      </c>
      <c r="D2472">
        <f>IF(Skills!C15=1,60+Inputs!$B$26+Inputs!$B$30,IF(Skills!C15=2,90+Inputs!$B$27+Inputs!$B$30,IF(Skills!C15=3,120+Inputs!$B$28+Inputs!$B$30,MAX(0,(Inputs!$B$3-100)*3)+Inputs!$B$29+Inputs!$B$30)))</f>
        <v/>
      </c>
      <c r="E2472">
        <f>INDEX(FactorTable!$B$2:$Y$301, MATCH(ROUND(MIN(300,MAX(1,D2472)),0), FactorTable!$A$2:$A$301,0), Skills!L15+1)</f>
        <v/>
      </c>
      <c r="F2472">
        <f>IF(Skills!M15=TRUE,(Skills!K15/10)*(E2472/1000),Skills!K15/10)+Skills!N15</f>
        <v/>
      </c>
      <c r="G2472">
        <f>Calc!G15</f>
        <v/>
      </c>
      <c r="H2472">
        <f>Calc!H15</f>
        <v/>
      </c>
      <c r="I2472">
        <f>IF(Skills!T15&lt;&gt;"",1+(Skills!T15/10)*($Z$3/1000)/100,1)</f>
        <v/>
      </c>
      <c r="J2472">
        <f>((Inputs!$B$6*(1+Inputs!$B$7/100))+(((Inputs!$B$13*(1+Inputs!$B$14/100))-(Inputs!$B$13*(1+Inputs!$B$14/100)))+0.25*(Inputs!$B$15-Inputs!$B$15))*(1+Inputs!$B$7/100))*(F2472/100)</f>
        <v/>
      </c>
      <c r="K2472">
        <f>J2472*(1+(((Inputs!$B$13+IF(Inputs!$B$3&gt;=35,(10*INDEX(FactorTable!$B$2:$Y$301,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15="TRIUMPH_FEATHER",IF(C2473=TRUE,F2473,0),0)/100)*(1+IF(C2484=TRUE,F2484,0)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2472)</f>
        <v/>
      </c>
      <c r="L2472">
        <f>K2472*(MIN(Inputs!$B$23+(F2479-Calc!F22),(Inputs!$B$24+IF(ArtifactsInput!$M$15,CHOOSE(ArtifactsInput!$N$15+1,25,30,35,40,45,50)/100*(Inputs!$B$12-Inputs!$B$12),0)))/100+(Inputs!$B$24+IF(ArtifactsInput!$M$15,CHOOSE(ArtifactsInput!$N$15+1,25,30,35,40,45,50)/100*(Inputs!$B$12-Inputs!$B$12),0))/100)/2</f>
        <v/>
      </c>
      <c r="M2472">
        <f>L2472*(1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72">
        <f>L2472*(1-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(1-Summary!$B$11)*S2472+Summary!$B$11*U2472</f>
        <v/>
      </c>
      <c r="P2472">
        <f>IF(B2500=0,0,O2472/B2500)</f>
        <v/>
      </c>
      <c r="Q2472">
        <f>IFERROR(1/(IF(Inputs!$B$39="pvp",15,MAX(0.1,Skills!D15-IF(Skills!E15=TRUE,Inputs!$B$33,0)))*(1-IF(AND(ArtifactsInput!$M$27,Inputs!$B$4="Chapter Hunt"),CHOOSE(ArtifactsInput!$N$27+1,20,24,28,32,36,40),0)/100)),0)</f>
        <v/>
      </c>
      <c r="R2472" t="n">
        <v>0</v>
      </c>
      <c r="S2472">
        <f>IF(C2472,(Skills!F15*N2472*((IF(Inputs!$B$3&gt;=78,25,15)/100*B2493*10)/(1+IF(Inputs!$B$3&gt;=78,25,15)/100*B2493*10))*(Skills!I15/100*B2493)/(1+Skills!G15*Skills!I15/100*B2493))*IF(Inputs!$B$39="pvp",1,1+(Inputs!$B$21+Skills!O15+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2472*(1-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IF(C2472,(Skills!F15*N2472*((IF(Inputs!$B$3&gt;=78,25,15)/100*B2493*10)/(1+IF(Inputs!$B$3&gt;=78,25,15)/100*B2493*10))*(Skills!I15/100*B2493)/(1+Skills!G15*Skills!I15/100*B2493))*IF(Inputs!$B$39="pvp",1,(1+(Inputs!$B$22+Skills!P15+B2489+(IF(IF(ArtifactsInput!$M$33,FALSE,TRUE),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Skills!A16</f>
        <v/>
      </c>
      <c r="B2473">
        <f>Skills!B16</f>
        <v/>
      </c>
      <c r="C2473">
        <f>Inputs!$B$3&gt;=100</f>
        <v/>
      </c>
      <c r="D2473">
        <f>IF(Skills!C16=1,60+Inputs!$B$26+Inputs!$B$30,IF(Skills!C16=2,90+Inputs!$B$27+Inputs!$B$30,IF(Skills!C16=3,120+Inputs!$B$28+Inputs!$B$30,MAX(0,(Inputs!$B$3-100)*3)+Inputs!$B$29+Inputs!$B$30)))</f>
        <v/>
      </c>
      <c r="E2473">
        <f>INDEX(FactorTable!$B$2:$Y$301, MATCH(ROUND(MIN(300,MAX(1,D2473)),0), FactorTable!$A$2:$A$301,0), Skills!L16+1)</f>
        <v/>
      </c>
      <c r="F2473">
        <f>IF(Skills!M16=TRUE,(Skills!K16/10)*(E2473/1000),Skills!K16/10)+Skills!N16</f>
        <v/>
      </c>
      <c r="G2473">
        <f>Calc!G16</f>
        <v/>
      </c>
      <c r="H2473">
        <f>Calc!H16</f>
        <v/>
      </c>
      <c r="I2473">
        <f>IF(Skills!T16&lt;&gt;"",1+(Skills!T16/10)*($Z$3/1000)/100,1)</f>
        <v/>
      </c>
      <c r="J2473" t="inlineStr"/>
      <c r="K2473" t="inlineStr"/>
      <c r="L2473" t="inlineStr"/>
      <c r="M2473" t="inlineStr"/>
      <c r="N2473" t="inlineStr"/>
      <c r="O2473">
        <f>(1-Summary!$B$11)*S2473+Summary!$B$11*U2473</f>
        <v/>
      </c>
      <c r="P2473">
        <f>IF(B2500=0,0,O2473/B2500)</f>
        <v/>
      </c>
      <c r="Q2473">
        <f>IFERROR(1/(IF(Inputs!$B$39="pvp",15,MAX(0.1,Skills!D16-IF(Skills!E16=TRUE,Inputs!$B$33,0)))*(1-IF(AND(ArtifactsInput!$M$27,Inputs!$B$4="Chapter Hunt"),CHOOSE(ArtifactsInput!$N$27+1,20,24,28,32,36,40),0)/100)),0)</f>
        <v/>
      </c>
      <c r="R2473" t="n">
        <v>0</v>
      </c>
      <c r="S2473" t="n">
        <v>0</v>
      </c>
      <c r="U2473" t="n">
        <v>0</v>
      </c>
    </row>
    <row r="2474">
      <c r="A2474">
        <f>Skills!A17</f>
        <v/>
      </c>
      <c r="B2474">
        <f>Skills!B17</f>
        <v/>
      </c>
      <c r="C2474">
        <f>Inputs!$B$3&gt;=49</f>
        <v/>
      </c>
      <c r="D2474">
        <f>IF(Skills!C17=1,60+Inputs!$B$26+Inputs!$B$30,IF(Skills!C17=2,90+Inputs!$B$27+Inputs!$B$30,IF(Skills!C17=3,120+Inputs!$B$28+Inputs!$B$30,MAX(0,(Inputs!$B$3-100)*3)+Inputs!$B$29+Inputs!$B$30)))</f>
        <v/>
      </c>
      <c r="E2474">
        <f>INDEX(FactorTable!$B$2:$Y$301, MATCH(ROUND(MIN(300,MAX(1,D2474)),0), FactorTable!$A$2:$A$301,0), Skills!L17+1)</f>
        <v/>
      </c>
      <c r="F2474">
        <f>IF(Skills!M17=TRUE,(Skills!K17/10)*(E2474/1000),Skills!K17/10)+Skills!N17</f>
        <v/>
      </c>
      <c r="G2474">
        <f>Calc!G17</f>
        <v/>
      </c>
      <c r="H2474">
        <f>Calc!H17</f>
        <v/>
      </c>
      <c r="I2474">
        <f>IF(Skills!T17&lt;&gt;"",1+(Skills!T17/10)*($Z$3/1000)/100,1)</f>
        <v/>
      </c>
      <c r="J2474" t="inlineStr"/>
      <c r="K2474" t="inlineStr"/>
      <c r="L2474" t="inlineStr"/>
      <c r="M2474" t="inlineStr"/>
      <c r="N2474" t="inlineStr"/>
      <c r="O2474">
        <f>(1-Summary!$B$11)*S2474+Summary!$B$11*U2474</f>
        <v/>
      </c>
      <c r="P2474">
        <f>IF(B2500=0,0,O2474/B2500)</f>
        <v/>
      </c>
      <c r="Q2474">
        <f>IFERROR(1/(IF(Inputs!$B$39="pvp",15,MAX(0.1,Skills!D17-IF(Skills!E17=TRUE,Inputs!$B$33,0)))*(1-IF(AND(ArtifactsInput!$M$27,Inputs!$B$4="Chapter Hunt"),CHOOSE(ArtifactsInput!$N$27+1,20,24,28,32,36,40),0)/100)),0)</f>
        <v/>
      </c>
      <c r="R2474" t="n">
        <v>0</v>
      </c>
      <c r="S2474" t="n">
        <v>0</v>
      </c>
      <c r="U2474" t="n">
        <v>0</v>
      </c>
    </row>
    <row r="2475">
      <c r="A2475">
        <f>Skills!A18</f>
        <v/>
      </c>
      <c r="B2475">
        <f>Skills!B18</f>
        <v/>
      </c>
      <c r="C2475">
        <f>Inputs!$B$3&gt;=75</f>
        <v/>
      </c>
      <c r="D2475">
        <f>IF(Skills!C18=1,60+Inputs!$B$26+Inputs!$B$30,IF(Skills!C18=2,90+Inputs!$B$27+Inputs!$B$30,IF(Skills!C18=3,120+Inputs!$B$28+Inputs!$B$30,MAX(0,(Inputs!$B$3-100)*3)+Inputs!$B$29+Inputs!$B$30)))</f>
        <v/>
      </c>
      <c r="E2475">
        <f>INDEX(FactorTable!$B$2:$Y$301, MATCH(ROUND(MIN(300,MAX(1,D2475)),0), FactorTable!$A$2:$A$301,0), Skills!L18+1)</f>
        <v/>
      </c>
      <c r="F2475">
        <f>IF(Skills!M18=TRUE,(Skills!K18/10)*(E2475/1000),Skills!K18/10)+Skills!N18</f>
        <v/>
      </c>
      <c r="G2475">
        <f>Calc!G18</f>
        <v/>
      </c>
      <c r="H2475">
        <f>Calc!H18</f>
        <v/>
      </c>
      <c r="I2475">
        <f>IF(Skills!T18&lt;&gt;"",1+(Skills!T18/10)*($Z$3/1000)/100,1)</f>
        <v/>
      </c>
      <c r="J2475" t="inlineStr"/>
      <c r="K2475" t="inlineStr"/>
      <c r="L2475" t="inlineStr"/>
      <c r="M2475" t="inlineStr"/>
      <c r="N2475" t="inlineStr"/>
      <c r="O2475">
        <f>(1-Summary!$B$11)*S2475+Summary!$B$11*U2475</f>
        <v/>
      </c>
      <c r="P2475">
        <f>IF(B2500=0,0,O2475/B2500)</f>
        <v/>
      </c>
      <c r="Q2475">
        <f>IFERROR(1/(IF(Inputs!$B$39="pvp",15,MAX(0.1,Skills!D18-IF(Skills!E18=TRUE,Inputs!$B$33,0)))*(1-IF(AND(ArtifactsInput!$M$27,Inputs!$B$4="Chapter Hunt"),CHOOSE(ArtifactsInput!$N$27+1,20,24,28,32,36,40),0)/100)),0)</f>
        <v/>
      </c>
      <c r="R2475" t="n">
        <v>0</v>
      </c>
      <c r="S2475" t="n">
        <v>0</v>
      </c>
      <c r="U2475" t="n">
        <v>0</v>
      </c>
    </row>
    <row r="2476">
      <c r="A2476">
        <f>Skills!A19</f>
        <v/>
      </c>
      <c r="B2476">
        <f>Skills!B19</f>
        <v/>
      </c>
      <c r="C2476">
        <f>Inputs!$B$3&gt;=110</f>
        <v/>
      </c>
      <c r="D2476">
        <f>IF(Skills!C19=1,60+Inputs!$B$26+Inputs!$B$30,IF(Skills!C19=2,90+Inputs!$B$27+Inputs!$B$30,IF(Skills!C19=3,120+Inputs!$B$28+Inputs!$B$30,MAX(0,(Inputs!$B$3-100)*3)+Inputs!$B$29+Inputs!$B$30)))</f>
        <v/>
      </c>
      <c r="E2476">
        <f>INDEX(FactorTable!$B$2:$Y$301, MATCH(ROUND(MIN(300,MAX(1,D2476)),0), FactorTable!$A$2:$A$301,0), Skills!L19+1)</f>
        <v/>
      </c>
      <c r="F2476">
        <f>(Skills!K19/10)*(E2476/1000)*64/45+Skills!N19</f>
        <v/>
      </c>
      <c r="G2476">
        <f>Calc!G19</f>
        <v/>
      </c>
      <c r="H2476">
        <f>Calc!H19</f>
        <v/>
      </c>
      <c r="I2476">
        <f>IF(Skills!T19&lt;&gt;"",1+(Skills!T19/10)*($Z$3/1000)/100,1)</f>
        <v/>
      </c>
      <c r="J2476" t="inlineStr"/>
      <c r="K2476" t="inlineStr"/>
      <c r="L2476" t="inlineStr"/>
      <c r="M2476" t="inlineStr"/>
      <c r="N2476" t="inlineStr"/>
      <c r="O2476">
        <f>(1-Summary!$B$11)*S2476+Summary!$B$11*U2476</f>
        <v/>
      </c>
      <c r="P2476">
        <f>IF(B2500=0,0,O2476/B2500)</f>
        <v/>
      </c>
      <c r="Q2476">
        <f>IFERROR(1/(IF(Inputs!$B$39="pvp",15,MAX(0.1,Skills!D19-IF(Skills!E19=TRUE,Inputs!$B$33,0)))*(1-IF(AND(ArtifactsInput!$M$27,Inputs!$B$4="Chapter Hunt"),CHOOSE(ArtifactsInput!$N$27+1,20,24,28,32,36,40),0)/100)),0)</f>
        <v/>
      </c>
      <c r="R2476">
        <f>IF(AND(Inputs!$B$39&lt;&gt;"pvp",Inputs!$B$44&gt;0),IF(Inputs!$B$44&lt;=0,0,(INT(Inputs!$B$44/(IF(Inputs!$B$39="pvp",15,MAX(0.1,Skills!D19-IF(Skills!E19=TRUE,Inputs!$B$33,0)))*(1-IF(AND(ArtifactsInput!$M$27,Inputs!$B$4="Chapter Hunt"),CHOOSE(ArtifactsInput!$N$27+1,20,24,28,32,36,40),0)/100)))+1)),0)</f>
        <v/>
      </c>
      <c r="S2476" t="n">
        <v>0</v>
      </c>
      <c r="U2476" t="n">
        <v>0</v>
      </c>
    </row>
    <row r="2477">
      <c r="A2477">
        <f>Skills!A20</f>
        <v/>
      </c>
      <c r="B2477">
        <f>Skills!B20</f>
        <v/>
      </c>
      <c r="C2477">
        <f>Inputs!$B$3&gt;=125</f>
        <v/>
      </c>
      <c r="D2477">
        <f>IF(Skills!C20=1,60+Inputs!$B$26+Inputs!$B$30,IF(Skills!C20=2,90+Inputs!$B$27+Inputs!$B$30,IF(Skills!C20=3,120+Inputs!$B$28+Inputs!$B$30,MAX(0,(Inputs!$B$3-100)*3)+Inputs!$B$29+Inputs!$B$30)))</f>
        <v/>
      </c>
      <c r="E2477">
        <f>INDEX(FactorTable!$B$2:$Y$301, MATCH(ROUND(MIN(300,MAX(1,D2477)),0), FactorTable!$A$2:$A$301,0), Skills!L20+1)</f>
        <v/>
      </c>
      <c r="F2477">
        <f>IF(Skills!M20=TRUE,(Skills!K20/10)*(E2477/1000),Skills!K20/10)+Skills!N20</f>
        <v/>
      </c>
      <c r="G2477">
        <f>Calc!G20</f>
        <v/>
      </c>
      <c r="H2477">
        <f>Calc!H20</f>
        <v/>
      </c>
      <c r="I2477">
        <f>IF(Skills!T20&lt;&gt;"",1+(Skills!T20/10)*($Z$3/1000)/100,1)</f>
        <v/>
      </c>
      <c r="J2477" t="inlineStr"/>
      <c r="K2477" t="inlineStr"/>
      <c r="L2477" t="inlineStr"/>
      <c r="M2477" t="inlineStr"/>
      <c r="N2477" t="inlineStr"/>
      <c r="O2477">
        <f>(1-Summary!$B$11)*S2477+Summary!$B$11*U2477</f>
        <v/>
      </c>
      <c r="P2477">
        <f>IF(B2500=0,0,O2477/B2500)</f>
        <v/>
      </c>
      <c r="Q2477">
        <f>IFERROR(1/(IF(Inputs!$B$39="pvp",15,MAX(0.1,Skills!D20-IF(Skills!E20=TRUE,Inputs!$B$33,0)))*(1-IF(AND(ArtifactsInput!$M$27,Inputs!$B$4="Chapter Hunt"),CHOOSE(ArtifactsInput!$N$27+1,20,24,28,32,36,40),0)/100)),0)</f>
        <v/>
      </c>
      <c r="R2477" t="n">
        <v>0</v>
      </c>
      <c r="S2477" t="n">
        <v>0</v>
      </c>
      <c r="U2477" t="n">
        <v>0</v>
      </c>
    </row>
    <row r="2478">
      <c r="A2478">
        <f>Skills!A21</f>
        <v/>
      </c>
      <c r="B2478">
        <f>Skills!B21</f>
        <v/>
      </c>
      <c r="C2478">
        <f>Inputs!$B$3&gt;=33</f>
        <v/>
      </c>
      <c r="D2478">
        <f>IF(Skills!C21=1,60+Inputs!$B$26+Inputs!$B$30,IF(Skills!C21=2,90+Inputs!$B$27+Inputs!$B$30,IF(Skills!C21=3,120+Inputs!$B$28+Inputs!$B$30,MAX(0,(Inputs!$B$3-100)*3)+Inputs!$B$29+Inputs!$B$30)))</f>
        <v/>
      </c>
      <c r="E2478">
        <f>INDEX(FactorTable!$B$2:$Y$301, MATCH(ROUND(MIN(300,MAX(1,D2478)),0), FactorTable!$A$2:$A$301,0), Skills!L21+1)</f>
        <v/>
      </c>
      <c r="F2478">
        <f>IF(Skills!M21=TRUE,(Skills!K21/10)*(E2478/1000),Skills!K21/10)+Skills!N21</f>
        <v/>
      </c>
      <c r="G2478">
        <f>Calc!G21</f>
        <v/>
      </c>
      <c r="H2478">
        <f>Calc!H21</f>
        <v/>
      </c>
      <c r="I2478">
        <f>IF(Skills!T21&lt;&gt;"",1+(Skills!T21/10)*($Z$3/1000)/100,1)</f>
        <v/>
      </c>
      <c r="J2478" t="inlineStr"/>
      <c r="K2478" t="inlineStr"/>
      <c r="L2478" t="inlineStr"/>
      <c r="M2478" t="inlineStr"/>
      <c r="N2478" t="inlineStr"/>
      <c r="O2478">
        <f>(1-Summary!$B$11)*S2478+Summary!$B$11*U2478</f>
        <v/>
      </c>
      <c r="P2478">
        <f>IF(B2500=0,0,O2478/B2500)</f>
        <v/>
      </c>
      <c r="Q2478">
        <f>IFERROR(1/(IF(Inputs!$B$39="pvp",15,MAX(0.1,Skills!D21-IF(Skills!E21=TRUE,Inputs!$B$33,0)))*(1-IF(AND(ArtifactsInput!$M$27,Inputs!$B$4="Chapter Hunt"),CHOOSE(ArtifactsInput!$N$27+1,20,24,28,32,36,40),0)/100)),0)</f>
        <v/>
      </c>
      <c r="R2478" t="n">
        <v>0</v>
      </c>
      <c r="S2478" t="n">
        <v>0</v>
      </c>
      <c r="U2478" t="n">
        <v>0</v>
      </c>
    </row>
    <row r="2479">
      <c r="A2479">
        <f>Skills!A22</f>
        <v/>
      </c>
      <c r="B2479">
        <f>Skills!B22</f>
        <v/>
      </c>
      <c r="C2479">
        <f>Inputs!$B$3&gt;=43</f>
        <v/>
      </c>
      <c r="D2479">
        <f>IF(Skills!C22=1,60+Inputs!$B$26+Inputs!$B$30,IF(Skills!C22=2,90+Inputs!$B$27+Inputs!$B$30,IF(Skills!C22=3,120+Inputs!$B$28+Inputs!$B$30,MAX(0,(Inputs!$B$3-100)*3)+Inputs!$B$29+Inputs!$B$30)))</f>
        <v/>
      </c>
      <c r="E2479">
        <f>INDEX(FactorTable!$B$2:$Y$301, MATCH(ROUND(MIN(300,MAX(1,D2479)),0), FactorTable!$A$2:$A$301,0), Skills!L22+1)</f>
        <v/>
      </c>
      <c r="F2479">
        <f>IF(Skills!M22=TRUE,(Skills!K22/10)*(E2479/1000),Skills!K22/10)+Skills!N22</f>
        <v/>
      </c>
      <c r="G2479">
        <f>Calc!G22</f>
        <v/>
      </c>
      <c r="H2479">
        <f>Calc!H22</f>
        <v/>
      </c>
      <c r="I2479">
        <f>IF(Skills!T22&lt;&gt;"",1+(Skills!T22/10)*($Z$3/1000)/100,1)</f>
        <v/>
      </c>
      <c r="J2479" t="inlineStr"/>
      <c r="K2479" t="inlineStr"/>
      <c r="L2479" t="inlineStr"/>
      <c r="M2479" t="inlineStr"/>
      <c r="N2479" t="inlineStr"/>
      <c r="O2479">
        <f>(1-Summary!$B$11)*S2479+Summary!$B$11*U2479</f>
        <v/>
      </c>
      <c r="P2479">
        <f>IF(B2500=0,0,O2479/B2500)</f>
        <v/>
      </c>
      <c r="Q2479">
        <f>IFERROR(1/(IF(Inputs!$B$39="pvp",15,MAX(0.1,Skills!D22-IF(Skills!E22=TRUE,Inputs!$B$33,0)))*(1-IF(AND(ArtifactsInput!$M$27,Inputs!$B$4="Chapter Hunt"),CHOOSE(ArtifactsInput!$N$27+1,20,24,28,32,36,40),0)/100)),0)</f>
        <v/>
      </c>
      <c r="R2479" t="n">
        <v>0</v>
      </c>
      <c r="S2479" t="n">
        <v>0</v>
      </c>
      <c r="U2479" t="n">
        <v>0</v>
      </c>
    </row>
    <row r="2480">
      <c r="A2480">
        <f>Skills!A23</f>
        <v/>
      </c>
      <c r="B2480">
        <f>Skills!B23</f>
        <v/>
      </c>
      <c r="C2480">
        <f>Inputs!$B$3&gt;=50</f>
        <v/>
      </c>
      <c r="D2480">
        <f>IF(Skills!C23=1,60+Inputs!$B$26+Inputs!$B$30,IF(Skills!C23=2,90+Inputs!$B$27+Inputs!$B$30,IF(Skills!C23=3,120+Inputs!$B$28+Inputs!$B$30,MAX(0,(Inputs!$B$3-100)*3)+Inputs!$B$29+Inputs!$B$30)))</f>
        <v/>
      </c>
      <c r="E2480">
        <f>INDEX(FactorTable!$B$2:$Y$301, MATCH(ROUND(MIN(300,MAX(1,D2480)),0), FactorTable!$A$2:$A$301,0), Skills!L23+1)</f>
        <v/>
      </c>
      <c r="F2480">
        <f>IF(Skills!M23=TRUE,(Skills!K23/10)*(E2480/1000),Skills!K23/10)+Skills!N23</f>
        <v/>
      </c>
      <c r="G2480">
        <f>Calc!G23</f>
        <v/>
      </c>
      <c r="H2480">
        <f>Calc!H23</f>
        <v/>
      </c>
      <c r="I2480">
        <f>IF(Skills!T23&lt;&gt;"",1+(Skills!T23/10)*($Z$3/1000)/100,1)</f>
        <v/>
      </c>
      <c r="J2480" t="inlineStr"/>
      <c r="K2480" t="inlineStr"/>
      <c r="L2480" t="inlineStr"/>
      <c r="M2480" t="inlineStr"/>
      <c r="N2480" t="inlineStr"/>
      <c r="O2480">
        <f>(1-Summary!$B$11)*S2480+Summary!$B$11*U2480</f>
        <v/>
      </c>
      <c r="P2480">
        <f>IF(B2500=0,0,O2480/B2500)</f>
        <v/>
      </c>
      <c r="Q2480">
        <f>IFERROR(1/(IF(Inputs!$B$39="pvp",15,MAX(0.1,Skills!D23-IF(Skills!E23=TRUE,Inputs!$B$33,0)))*(1-IF(AND(ArtifactsInput!$M$27,Inputs!$B$4="Chapter Hunt"),CHOOSE(ArtifactsInput!$N$27+1,20,24,28,32,36,40),0)/100)),0)</f>
        <v/>
      </c>
      <c r="R2480" t="n">
        <v>0</v>
      </c>
      <c r="S2480" t="n">
        <v>0</v>
      </c>
      <c r="U2480" t="n">
        <v>0</v>
      </c>
    </row>
    <row r="2481">
      <c r="A2481">
        <f>Skills!A24</f>
        <v/>
      </c>
      <c r="B2481">
        <f>Skills!B24</f>
        <v/>
      </c>
      <c r="C2481">
        <f>Inputs!$B$3&gt;=74</f>
        <v/>
      </c>
      <c r="D2481">
        <f>IF(Skills!C24=1,60+Inputs!$B$26+Inputs!$B$30,IF(Skills!C24=2,90+Inputs!$B$27+Inputs!$B$30,IF(Skills!C24=3,120+Inputs!$B$28+Inputs!$B$30,MAX(0,(Inputs!$B$3-100)*3)+Inputs!$B$29+Inputs!$B$30)))</f>
        <v/>
      </c>
      <c r="E2481">
        <f>INDEX(FactorTable!$B$2:$Y$301, MATCH(ROUND(MIN(300,MAX(1,D2481)),0), FactorTable!$A$2:$A$301,0), Skills!L24+1)</f>
        <v/>
      </c>
      <c r="F2481">
        <f>IF(Skills!M24=TRUE,(Skills!K24/10)*(E2481/1000),Skills!K24/10)+Skills!N24</f>
        <v/>
      </c>
      <c r="G2481">
        <f>Calc!G24</f>
        <v/>
      </c>
      <c r="H2481">
        <f>Calc!H24</f>
        <v/>
      </c>
      <c r="I2481">
        <f>IF(Skills!T24&lt;&gt;"",1+(Skills!T24/10)*($Z$3/1000)/100,1)</f>
        <v/>
      </c>
      <c r="J2481" t="inlineStr"/>
      <c r="K2481" t="inlineStr"/>
      <c r="L2481" t="inlineStr"/>
      <c r="M2481" t="inlineStr"/>
      <c r="N2481" t="inlineStr"/>
      <c r="O2481">
        <f>(1-Summary!$B$11)*S2481+Summary!$B$11*U2481</f>
        <v/>
      </c>
      <c r="P2481">
        <f>IF(B2500=0,0,O2481/B2500)</f>
        <v/>
      </c>
      <c r="Q2481">
        <f>IFERROR(1/(IF(Inputs!$B$39="pvp",15,MAX(0.1,Skills!D24-IF(Skills!E24=TRUE,Inputs!$B$33,0)))*(1-IF(AND(ArtifactsInput!$M$27,Inputs!$B$4="Chapter Hunt"),CHOOSE(ArtifactsInput!$N$27+1,20,24,28,32,36,40),0)/100)),0)</f>
        <v/>
      </c>
      <c r="R2481" t="n">
        <v>0</v>
      </c>
      <c r="S2481" t="n">
        <v>0</v>
      </c>
      <c r="U2481" t="n">
        <v>0</v>
      </c>
    </row>
    <row r="2482">
      <c r="A2482">
        <f>Skills!A25</f>
        <v/>
      </c>
      <c r="B2482">
        <f>Skills!B25</f>
        <v/>
      </c>
      <c r="C2482">
        <f>Inputs!$B$3&gt;=74</f>
        <v/>
      </c>
      <c r="D2482">
        <f>IF(Skills!C25=1,60+Inputs!$B$26+Inputs!$B$30,IF(Skills!C25=2,90+Inputs!$B$27+Inputs!$B$30,IF(Skills!C25=3,120+Inputs!$B$28+Inputs!$B$30,MAX(0,(Inputs!$B$3-100)*3)+Inputs!$B$29+Inputs!$B$30)))</f>
        <v/>
      </c>
      <c r="E2482">
        <f>INDEX(FactorTable!$B$2:$Y$301, MATCH(ROUND(MIN(300,MAX(1,D2482)),0), FactorTable!$A$2:$A$301,0), Skills!L25+1)</f>
        <v/>
      </c>
      <c r="F2482">
        <f>IF(Skills!M25=TRUE,(Skills!K25/10)*(E2482/1000),Skills!K25/10)+Skills!N25</f>
        <v/>
      </c>
      <c r="G2482">
        <f>Calc!G25</f>
        <v/>
      </c>
      <c r="H2482">
        <f>Calc!H25</f>
        <v/>
      </c>
      <c r="I2482">
        <f>IF(Skills!T25&lt;&gt;"",1+(Skills!T25/10)*($Z$3/1000)/100,1)</f>
        <v/>
      </c>
      <c r="J2482" t="inlineStr"/>
      <c r="K2482" t="inlineStr"/>
      <c r="L2482" t="inlineStr"/>
      <c r="M2482" t="inlineStr"/>
      <c r="N2482" t="inlineStr"/>
      <c r="O2482">
        <f>(1-Summary!$B$11)*S2482+Summary!$B$11*U2482</f>
        <v/>
      </c>
      <c r="P2482">
        <f>IF(B2500=0,0,O2482/B2500)</f>
        <v/>
      </c>
      <c r="Q2482">
        <f>IFERROR(1/(IF(Inputs!$B$39="pvp",15,MAX(0.1,Skills!D25-IF(Skills!E25=TRUE,Inputs!$B$33,0)))*(1-IF(AND(ArtifactsInput!$M$27,Inputs!$B$4="Chapter Hunt"),CHOOSE(ArtifactsInput!$N$27+1,20,24,28,32,36,40),0)/100)),0)</f>
        <v/>
      </c>
      <c r="R2482" t="n">
        <v>0</v>
      </c>
      <c r="S2482" t="n">
        <v>0</v>
      </c>
      <c r="U2482" t="n">
        <v>0</v>
      </c>
    </row>
    <row r="2483">
      <c r="A2483">
        <f>Skills!A26</f>
        <v/>
      </c>
      <c r="B2483">
        <f>Skills!B26</f>
        <v/>
      </c>
      <c r="C2483">
        <f>Inputs!$B$3&gt;=117</f>
        <v/>
      </c>
      <c r="D2483">
        <f>IF(Skills!C26=1,60+Inputs!$B$26+Inputs!$B$30,IF(Skills!C26=2,90+Inputs!$B$27+Inputs!$B$30,IF(Skills!C26=3,120+Inputs!$B$28+Inputs!$B$30,MAX(0,(Inputs!$B$3-100)*3)+Inputs!$B$29+Inputs!$B$30)))</f>
        <v/>
      </c>
      <c r="E2483">
        <f>INDEX(FactorTable!$B$2:$Y$301, MATCH(ROUND(MIN(300,MAX(1,D2483)),0), FactorTable!$A$2:$A$301,0), Skills!L26+1)</f>
        <v/>
      </c>
      <c r="F2483">
        <f>IF(Skills!M26=TRUE,(Skills!K26/10)*(E2483/1000),Skills!K26/10)+Skills!N26</f>
        <v/>
      </c>
      <c r="G2483">
        <f>Calc!G26</f>
        <v/>
      </c>
      <c r="H2483">
        <f>Calc!H26</f>
        <v/>
      </c>
      <c r="I2483">
        <f>IF(Skills!T26&lt;&gt;"",1+(Skills!T26/10)*($Z$3/1000)/100,1)</f>
        <v/>
      </c>
      <c r="J2483" t="inlineStr"/>
      <c r="K2483" t="inlineStr"/>
      <c r="L2483" t="inlineStr"/>
      <c r="M2483" t="inlineStr"/>
      <c r="N2483" t="inlineStr"/>
      <c r="O2483">
        <f>(1-Summary!$B$11)*S2483+Summary!$B$11*U2483</f>
        <v/>
      </c>
      <c r="P2483">
        <f>IF(B2500=0,0,O2483/B2500)</f>
        <v/>
      </c>
      <c r="Q2483">
        <f>IFERROR(1/(IF(Inputs!$B$39="pvp",15,MAX(0.1,Skills!D26-IF(Skills!E26=TRUE,Inputs!$B$33,0)))*(1-IF(AND(ArtifactsInput!$M$27,Inputs!$B$4="Chapter Hunt"),CHOOSE(ArtifactsInput!$N$27+1,20,24,28,32,36,40),0)/100)),0)</f>
        <v/>
      </c>
      <c r="R2483" t="n">
        <v>0</v>
      </c>
      <c r="S2483" t="n">
        <v>0</v>
      </c>
      <c r="U2483" t="n">
        <v>0</v>
      </c>
    </row>
    <row r="2484">
      <c r="A2484">
        <f>Skills!A27</f>
        <v/>
      </c>
      <c r="B2484">
        <f>Skills!B27</f>
        <v/>
      </c>
      <c r="C2484">
        <f>Inputs!$B$3&gt;=120</f>
        <v/>
      </c>
      <c r="D2484">
        <f>IF(Skills!C27=1,60+Inputs!$B$26+Inputs!$B$30,IF(Skills!C27=2,90+Inputs!$B$27+Inputs!$B$30,IF(Skills!C27=3,120+Inputs!$B$28+Inputs!$B$30,MAX(0,(Inputs!$B$3-100)*3)+Inputs!$B$29+Inputs!$B$30)))</f>
        <v/>
      </c>
      <c r="E2484">
        <f>INDEX(FactorTable!$B$2:$Y$301, MATCH(ROUND(MIN(300,MAX(1,D2484)),0), FactorTable!$A$2:$A$301,0), Skills!L27+1)</f>
        <v/>
      </c>
      <c r="F2484">
        <f>IF(Skills!M27=TRUE,(Skills!K27/10)*(E2484/1000),Skills!K27/10)+Skills!N27</f>
        <v/>
      </c>
      <c r="G2484">
        <f>Calc!G27</f>
        <v/>
      </c>
      <c r="H2484">
        <f>Calc!H27</f>
        <v/>
      </c>
      <c r="I2484">
        <f>IF(Skills!T27&lt;&gt;"",1+(Skills!T27/10)*($Z$3/1000)/100,1)</f>
        <v/>
      </c>
      <c r="J2484" t="inlineStr"/>
      <c r="K2484" t="inlineStr"/>
      <c r="L2484" t="inlineStr"/>
      <c r="M2484" t="inlineStr"/>
      <c r="N2484" t="inlineStr"/>
      <c r="O2484">
        <f>(1-Summary!$B$11)*S2484+Summary!$B$11*U2484</f>
        <v/>
      </c>
      <c r="P2484">
        <f>IF(B2500=0,0,O2484/B2500)</f>
        <v/>
      </c>
      <c r="Q2484">
        <f>IFERROR(1/(IF(Inputs!$B$39="pvp",15,MAX(0.1,Skills!D27-IF(Skills!E27=TRUE,Inputs!$B$33,0)))*(1-IF(AND(ArtifactsInput!$M$27,Inputs!$B$4="Chapter Hunt"),CHOOSE(ArtifactsInput!$N$27+1,20,24,28,32,36,40),0)/100)),0)</f>
        <v/>
      </c>
      <c r="R2484" t="n">
        <v>0</v>
      </c>
      <c r="S2484" t="n">
        <v>0</v>
      </c>
      <c r="U2484" t="n">
        <v>0</v>
      </c>
    </row>
    <row r="2485">
      <c r="A2485">
        <f>Skills!A28</f>
        <v/>
      </c>
      <c r="B2485">
        <f>Skills!B28</f>
        <v/>
      </c>
      <c r="C2485">
        <f>TRUE</f>
        <v/>
      </c>
      <c r="D2485">
        <f>IF(Skills!C28=1,60+Inputs!$B$26+Inputs!$B$30,IF(Skills!C28=2,90+Inputs!$B$27+Inputs!$B$30,IF(Skills!C28=3,120+Inputs!$B$28+Inputs!$B$30,MAX(0,(Inputs!$B$3-100)*3)+Inputs!$B$29+Inputs!$B$30)))</f>
        <v/>
      </c>
      <c r="E2485">
        <f>INDEX(FactorTable!$B$2:$Y$301, MATCH(ROUND(MIN(300,MAX(1,D2485)),0), FactorTable!$A$2:$A$301,0), Skills!L28+1)</f>
        <v/>
      </c>
      <c r="F2485">
        <f>IF(Skills!M28=TRUE,(Skills!K28/10)*(E2485/1000),Skills!K28/10)+Skills!N28</f>
        <v/>
      </c>
      <c r="G2485">
        <f>Calc!G28</f>
        <v/>
      </c>
      <c r="H2485">
        <f>Calc!H28</f>
        <v/>
      </c>
      <c r="I2485">
        <f>IF(Skills!T28&lt;&gt;"",1+(Skills!T28/10)*($Z$3/1000)/100,1)</f>
        <v/>
      </c>
      <c r="J2485" t="inlineStr"/>
      <c r="K2485" t="inlineStr"/>
      <c r="L2485" t="inlineStr"/>
      <c r="M2485" t="inlineStr"/>
      <c r="N2485" t="inlineStr"/>
      <c r="O2485">
        <f>(1-Summary!$B$11)*S2485+Summary!$B$11*U2485</f>
        <v/>
      </c>
      <c r="P2485">
        <f>IF(B2500=0,0,O2485/B2500)</f>
        <v/>
      </c>
      <c r="Q2485">
        <f>IFERROR(1/(IF(Inputs!$B$39="pvp",15,MAX(0.1,Skills!D28-IF(Skills!E28=TRUE,Inputs!$B$33,0)))*(1-IF(AND(ArtifactsInput!$M$27,Inputs!$B$4="Chapter Hunt"),CHOOSE(ArtifactsInput!$N$27+1,20,24,28,32,36,40),0)/100)),0)</f>
        <v/>
      </c>
      <c r="R2485">
        <f>IF(AND(Inputs!$B$39&lt;&gt;"pvp",Inputs!$B$44&gt;0),IF(Inputs!$B$44&lt;=0,0,(INT(Inputs!$B$44/(IF(Inputs!$B$39="pvp",15,MAX(0.1,Skills!D28-IF(Skills!E28=TRUE,Inputs!$B$33,0)))*(1-IF(AND(ArtifactsInput!$M$27,Inputs!$B$4="Chapter Hunt"),CHOOSE(ArtifactsInput!$N$27+1,20,24,28,32,36,40),0)/100)))+1)),0)</f>
        <v/>
      </c>
      <c r="S2485" t="n">
        <v>0</v>
      </c>
      <c r="U2485" t="n">
        <v>0</v>
      </c>
    </row>
    <row r="2487">
      <c r="A2487" t="inlineStr">
        <is>
          <t>Average Buff Multiplier</t>
        </is>
      </c>
      <c r="B2487">
        <f>(1+(IF(C2460=TRUE,F2460*IF(AND(Inputs!$B$39&lt;&gt;"pvp",Inputs!$B$44&gt;0),(((R2460-1)*(Skills!S3*(1+((Inputs!$B$35+(ArtifactsInput!$M$7-ArtifactsInput!$M$7)*CHOOSE(ArtifactsInput!$N$7+1,6,7.2,8.4,9.6,10.8,12))+IF(Inputs!$B$3&gt;=117,F2483,0))/100))+MIN((Skills!S3*(1+((Inputs!$B$35+(ArtifactsInput!$M$7-ArtifactsInput!$M$7)*CHOOSE(ArtifactsInput!$N$7+1,6,7.2,8.4,9.6,10.8,12))+IF(Inputs!$B$3&gt;=117,F2483,0))/100)),MAX(0,Inputs!$B$44-((R2460-1)*Skills!D3))))/Inputs!$B$44),IF(Inputs!$B$39="pvp",MIN((Skills!S3*(1+((Inputs!$B$35+(ArtifactsInput!$M$7-ArtifactsInput!$M$7)*CHOOSE(ArtifactsInput!$N$7+1,6,7.2,8.4,9.6,10.8,12))+IF(Inputs!$B$3&gt;=117,F2483,0))/100)),15)/15,(Skills!S3*(1+((Inputs!$B$35+(ArtifactsInput!$M$7-ArtifactsInput!$M$7)*CHOOSE(ArtifactsInput!$N$7+1,6,7.2,8.4,9.6,10.8,12))+IF(Inputs!$B$3&gt;=117,F2483,0))/100))/Skills!D3)),0)+IF(C2461=TRUE,F2461*IF(AND(Inputs!$B$39&lt;&gt;"pvp",Inputs!$B$44&gt;0),(((R2461-1)*(Skills!S4*(1+((Inputs!$B$35+(ArtifactsInput!$M$7-ArtifactsInput!$M$7)*CHOOSE(ArtifactsInput!$N$7+1,6,7.2,8.4,9.6,10.8,12))+IF(Inputs!$B$3&gt;=117,F2483,0))/100))+MIN((Skills!S4*(1+((Inputs!$B$35+(ArtifactsInput!$M$7-ArtifactsInput!$M$7)*CHOOSE(ArtifactsInput!$N$7+1,6,7.2,8.4,9.6,10.8,12))+IF(Inputs!$B$3&gt;=117,F2483,0))/100)),MAX(0,Inputs!$B$44-((R2461-1)*Skills!D4))))/Inputs!$B$44),IF(Inputs!$B$39="pvp",MIN((Skills!S4*(1+((Inputs!$B$35+(ArtifactsInput!$M$7-ArtifactsInput!$M$7)*CHOOSE(ArtifactsInput!$N$7+1,6,7.2,8.4,9.6,10.8,12))+IF(Inputs!$B$3&gt;=117,F2483,0))/100)),15)/15,(Skills!S4*(1+((Inputs!$B$35+(ArtifactsInput!$M$7-ArtifactsInput!$M$7)*CHOOSE(ArtifactsInput!$N$7+1,6,7.2,8.4,9.6,10.8,12))+IF(Inputs!$B$3&gt;=117,F2483,0))/100))/Skills!D4)),0)+IF(C2462=TRUE,F2462*IF(AND(Inputs!$B$39&lt;&gt;"pvp",Inputs!$B$44&gt;0),(((R2462-1)*(Skills!S5*(1+((Inputs!$B$35+(ArtifactsInput!$M$7-ArtifactsInput!$M$7)*CHOOSE(ArtifactsInput!$N$7+1,6,7.2,8.4,9.6,10.8,12))+IF(Inputs!$B$3&gt;=117,F2483,0))/100))+MIN((Skills!S5*(1+((Inputs!$B$35+(ArtifactsInput!$M$7-ArtifactsInput!$M$7)*CHOOSE(ArtifactsInput!$N$7+1,6,7.2,8.4,9.6,10.8,12))+IF(Inputs!$B$3&gt;=117,F2483,0))/100)),MAX(0,Inputs!$B$44-((R2462-1)*Skills!D5))))/Inputs!$B$44),IF(Inputs!$B$39="pvp",MIN((Skills!S5*(1+((Inputs!$B$35+(ArtifactsInput!$M$7-ArtifactsInput!$M$7)*CHOOSE(ArtifactsInput!$N$7+1,6,7.2,8.4,9.6,10.8,12))+IF(Inputs!$B$3&gt;=117,F2483,0))/100)),15)/15,(Skills!S5*(1+((Inputs!$B$35+(ArtifactsInput!$M$7-ArtifactsInput!$M$7)*CHOOSE(ArtifactsInput!$N$7+1,6,7.2,8.4,9.6,10.8,12))+IF(Inputs!$B$3&gt;=117,F2483,0))/100))/Skills!D5)),0)+IF(C2468=TRUE,F2468*IF(AND(Inputs!$B$39&lt;&gt;"pvp",Inputs!$B$44&gt;0),(((R2468-1)*(Skills!S11*(1+((Inputs!$B$35+(ArtifactsInput!$M$7-ArtifactsInput!$M$7)*CHOOSE(ArtifactsInput!$N$7+1,6,7.2,8.4,9.6,10.8,12))+IF(Inputs!$B$3&gt;=117,F2483,0))/100))+MIN((Skills!S11*(1+((Inputs!$B$35+(ArtifactsInput!$M$7-ArtifactsInput!$M$7)*CHOOSE(ArtifactsInput!$N$7+1,6,7.2,8.4,9.6,10.8,12))+IF(Inputs!$B$3&gt;=117,F2483,0))/100)),MAX(0,Inputs!$B$44-((R2468-1)*Skills!D11))))/Inputs!$B$44),IF(Inputs!$B$39="pvp",MIN((Skills!S11*(1+((Inputs!$B$35+(ArtifactsInput!$M$7-ArtifactsInput!$M$7)*CHOOSE(ArtifactsInput!$N$7+1,6,7.2,8.4,9.6,10.8,12))+IF(Inputs!$B$3&gt;=117,F2483,0))/100)),15)/15,(Skills!S11*(1+((Inputs!$B$35+(ArtifactsInput!$M$7-ArtifactsInput!$M$7)*CHOOSE(ArtifactsInput!$N$7+1,6,7.2,8.4,9.6,10.8,12))+IF(Inputs!$B$3&gt;=117,F2483,0)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2471=TRUE,(1+F2471*IF(AND(Inputs!$B$39&lt;&gt;"pvp",Inputs!$B$44&gt;0),(((R2471-1)*(Skills!S14*(1+((Inputs!$B$35+(ArtifactsInput!$M$7-ArtifactsInput!$M$7)*CHOOSE(ArtifactsInput!$N$7+1,6,7.2,8.4,9.6,10.8,12))+IF(Inputs!$B$3&gt;=117,F2483,0))/100))+MIN((Skills!S14*(1+((Inputs!$B$35+(ArtifactsInput!$M$7-ArtifactsInput!$M$7)*CHOOSE(ArtifactsInput!$N$7+1,6,7.2,8.4,9.6,10.8,12))+IF(Inputs!$B$3&gt;=117,F2483,0))/100)),MAX(0,Inputs!$B$44-((R2471-1)*Skills!D14))))/Inputs!$B$44),IF(Inputs!$B$39="pvp",MIN((Skills!S14*(1+((Inputs!$B$35+(ArtifactsInput!$M$7-ArtifactsInput!$M$7)*CHOOSE(ArtifactsInput!$N$7+1,6,7.2,8.4,9.6,10.8,12))+IF(Inputs!$B$3&gt;=117,F2483,0))/100)),15)/15,(Skills!S14*(1+((Inputs!$B$35+(ArtifactsInput!$M$7-ArtifactsInput!$M$7)*CHOOSE(ArtifactsInput!$N$7+1,6,7.2,8.4,9.6,10.8,12))+IF(Inputs!$B$3&gt;=117,F2483,0))/100))/Skills!D14))/100),1)*IF(C2476=TRUE,(1+F2476*IF(AND(Inputs!$B$39&lt;&gt;"pvp",Inputs!$B$44&gt;0),(((R2476-1)*(Skills!S19*(1+((Inputs!$B$35+(ArtifactsInput!$M$7-ArtifactsInput!$M$7)*CHOOSE(ArtifactsInput!$N$7+1,6,7.2,8.4,9.6,10.8,12))+IF(Inputs!$B$3&gt;=117,F2483,0))/100))+MIN((Skills!S19*(1+((Inputs!$B$35+(ArtifactsInput!$M$7-ArtifactsInput!$M$7)*CHOOSE(ArtifactsInput!$N$7+1,6,7.2,8.4,9.6,10.8,12))+IF(Inputs!$B$3&gt;=117,F2483,0))/100)),MAX(0,Inputs!$B$44-((R2476-1)*Skills!D19))))/Inputs!$B$44),IF(Inputs!$B$39="pvp",MIN((Skills!S19*(1+((Inputs!$B$35+(ArtifactsInput!$M$7-ArtifactsInput!$M$7)*CHOOSE(ArtifactsInput!$N$7+1,6,7.2,8.4,9.6,10.8,12))+IF(Inputs!$B$3&gt;=117,F2483,0))/100)),15)/15,(Skills!S19*(1+((Inputs!$B$35+(ArtifactsInput!$M$7-ArtifactsInput!$M$7)*CHOOSE(ArtifactsInput!$N$7+1,6,7.2,8.4,9.6,10.8,12))+IF(Inputs!$B$3&gt;=117,F2483,0))/100))/Skills!D19))/100),1)</f>
        <v/>
      </c>
    </row>
    <row r="2488">
      <c r="A2488" t="inlineStr">
        <is>
          <t>Monster Damage Taken Bonus % (Holy Fountain)</t>
        </is>
      </c>
      <c r="B2488">
        <f>IF(Inputs!$B$3&gt;=68,20*IF(Inputs!$B$39="pvp",MIN((15*(1+((Inputs!$B$35+(ArtifactsInput!$M$7-ArtifactsInput!$M$7)*CHOOSE(ArtifactsInput!$N$7+1,6,7.2,8.4,9.6,10.8,12))+IF(Inputs!$B$3&gt;=117,F2483,0))/100)),15)/15,(15*(1+((Inputs!$B$35+(ArtifactsInput!$M$7-ArtifactsInput!$M$7)*CHOOSE(ArtifactsInput!$N$7+1,6,7.2,8.4,9.6,10.8,12))+IF(Inputs!$B$3&gt;=117,F2483,0))/100))/Skills!D10),0)</f>
        <v/>
      </c>
    </row>
    <row r="2489">
      <c r="A2489" t="inlineStr">
        <is>
          <t>Normal Monster Damage Bonus % (Holy Symbol)</t>
        </is>
      </c>
      <c r="B2489">
        <f>IF(C2469=TRUE,F2469*IF(AND(Inputs!$B$39&lt;&gt;"pvp",Inputs!$B$44&gt;0),(((R2469-1)*(Skills!S12*(1+((Inputs!$B$35+(ArtifactsInput!$M$7-ArtifactsInput!$M$7)*CHOOSE(ArtifactsInput!$N$7+1,6,7.2,8.4,9.6,10.8,12))+IF(Inputs!$B$3&gt;=117,F2483,0))/100))+MIN((Skills!S12*(1+((Inputs!$B$35+(ArtifactsInput!$M$7-ArtifactsInput!$M$7)*CHOOSE(ArtifactsInput!$N$7+1,6,7.2,8.4,9.6,10.8,12))+IF(Inputs!$B$3&gt;=117,F2483,0))/100)),MAX(0,Inputs!$B$44-((R2469-1)*Skills!D12))))/Inputs!$B$44),IF(Inputs!$B$39="pvp",MIN((Skills!S12*(1+((Inputs!$B$35+(ArtifactsInput!$M$7-ArtifactsInput!$M$7)*CHOOSE(ArtifactsInput!$N$7+1,6,7.2,8.4,9.6,10.8,12))+IF(Inputs!$B$3&gt;=117,F2483,0))/100)),15)/15,(Skills!S12*(1+((Inputs!$B$35+(ArtifactsInput!$M$7-ArtifactsInput!$M$7)*CHOOSE(ArtifactsInput!$N$7+1,6,7.2,8.4,9.6,10.8,12))+IF(Inputs!$B$3&gt;=117,F2483,0))/100))/Skills!D12)),0)</f>
        <v/>
      </c>
    </row>
    <row r="2490">
      <c r="A2490" t="inlineStr">
        <is>
          <t>Damage % Bonus (Holy Symbol - Damage Boost)</t>
        </is>
      </c>
      <c r="B2490">
        <f>Skills!O12</f>
        <v/>
      </c>
    </row>
    <row r="2491">
      <c r="A2491" t="inlineStr">
        <is>
          <t>Crit Damage % Bonus (Blood of the Divine)</t>
        </is>
      </c>
      <c r="B2491">
        <f>4*IF(C2477=TRUE,F2477,0)</f>
        <v/>
      </c>
    </row>
    <row r="2492">
      <c r="A2492" t="inlineStr">
        <is>
          <t>Attack Speed Bonus %</t>
        </is>
      </c>
      <c r="B2492">
        <f>IF(C2474=TRUE,F2474+(F2478-Calc!F21),0)+IF(Inputs!$B$3&gt;=134,15,0)+((C2485=TRUE)*F2485*IF(AND(Inputs!$B$39&lt;&gt;"pvp",Inputs!$B$44&gt;0),(((R2485-1)*(Skills!S28*(1+((Inputs!$B$35+(ArtifactsInput!$M$7-ArtifactsInput!$M$7)*CHOOSE(ArtifactsInput!$N$7+1,6,7.2,8.4,9.6,10.8,12))+IF(Inputs!$B$3&gt;=117,F2483,0))/100))+MIN((Skills!S28*(1+((Inputs!$B$35+(ArtifactsInput!$M$7-ArtifactsInput!$M$7)*CHOOSE(ArtifactsInput!$N$7+1,6,7.2,8.4,9.6,10.8,12))+IF(Inputs!$B$3&gt;=117,F2483,0))/100)),MAX(0,Inputs!$B$44-((R2485-1)*Skills!D28))))/Inputs!$B$44),IF(Inputs!$B$39="pvp",MIN((Skills!S28*(1+((Inputs!$B$35+(ArtifactsInput!$M$7-ArtifactsInput!$M$7)*CHOOSE(ArtifactsInput!$N$7+1,6,7.2,8.4,9.6,10.8,12))+IF(Inputs!$B$3&gt;=117,F2483,0))/100)),15)/15,(Skills!S28*(1+((Inputs!$B$35+(ArtifactsInput!$M$7-ArtifactsInput!$M$7)*CHOOSE(ArtifactsInput!$N$7+1,6,7.2,8.4,9.6,10.8,12))+IF(Inputs!$B$3&gt;=117,F2483,0))/100))/Skills!D28)))</f>
        <v/>
      </c>
    </row>
    <row r="2493">
      <c r="A2493" t="inlineStr">
        <is>
          <t>Actions Per Second</t>
        </is>
      </c>
      <c r="B2493">
        <f>1+MIN(150,150*(1-(1-Inputs!$B$12/150)*(1-B2492/150)))/100</f>
        <v/>
      </c>
    </row>
    <row r="2494">
      <c r="A2494" t="inlineStr">
        <is>
          <t>Skill + Buff Cast Rate</t>
        </is>
      </c>
      <c r="B2494">
        <f>IF(AND(Inputs!$B$39&lt;&gt;"pvp",Inputs!$B$44&gt;0),SUMPRODUCT((Skills!E2:E28=TRUE)*(C2459:C2485=TRUE)*R2459:R2485)/Inputs!$B$44,SUMPRODUCT((Skills!E2:E28=TRUE)*(C2459:C2485=TRUE)*Q2459:Q2485))</f>
        <v/>
      </c>
    </row>
    <row r="2495">
      <c r="A2495" t="inlineStr">
        <is>
          <t>Big Bang Casts Per Second</t>
        </is>
      </c>
      <c r="B2495">
        <f>MAX(0,B2493-B2494)</f>
        <v/>
      </c>
    </row>
    <row r="2496">
      <c r="A2496" t="inlineStr">
        <is>
          <t>Defense % Bonus (Divine Protection)</t>
        </is>
      </c>
      <c r="B2496">
        <f>IF(C2470=TRUE,F2470*IF(AND(Inputs!$B$39&lt;&gt;"pvp",Inputs!$B$44&gt;0),(((R2470-1)*(Skills!S13*(1+((Inputs!$B$35+(ArtifactsInput!$M$7-ArtifactsInput!$M$7)*CHOOSE(ArtifactsInput!$N$7+1,6,7.2,8.4,9.6,10.8,12))+IF(Inputs!$B$3&gt;=117,F2483,0))/100))+MIN((Skills!S13*(1+((Inputs!$B$35+(ArtifactsInput!$M$7-ArtifactsInput!$M$7)*CHOOSE(ArtifactsInput!$N$7+1,6,7.2,8.4,9.6,10.8,12))+IF(Inputs!$B$3&gt;=117,F2483,0))/100)),MAX(0,Inputs!$B$44-((R2470-1)*Skills!D13))))/Inputs!$B$44),IF(Inputs!$B$39="pvp",MIN((Skills!S13*(1+((Inputs!$B$35+(ArtifactsInput!$M$7-ArtifactsInput!$M$7)*CHOOSE(ArtifactsInput!$N$7+1,6,7.2,8.4,9.6,10.8,12))+IF(Inputs!$B$3&gt;=117,F2483,0))/100)),15)/15,(Skills!S13*(1+((Inputs!$B$35+(ArtifactsInput!$M$7-ArtifactsInput!$M$7)*CHOOSE(ArtifactsInput!$N$7+1,6,7.2,8.4,9.6,10.8,12))+IF(Inputs!$B$3&gt;=117,F2483,0))/100))/Skills!D13)),0)</f>
        <v/>
      </c>
    </row>
    <row r="2497">
      <c r="A2497" t="inlineStr">
        <is>
          <t>Buff-Casting Startup Delay (s, fixed-duration only)</t>
        </is>
      </c>
      <c r="B2497">
        <f>IF(AND(Inputs!$B$39&lt;&gt;"pvp",Inputs!$B$44&gt;0),SUMPRODUCT((Skills!S2:S28&gt;0)*(Skills!E2:E28=TRUE)*(C2459:C2485=TRUE))/B2493,0)</f>
        <v/>
      </c>
    </row>
    <row r="2498">
      <c r="A2498" t="inlineStr">
        <is>
          <t>Boss-Only Total DPS (this block's swept value)</t>
        </is>
      </c>
      <c r="B2498">
        <f>SUM(S2459:S2485)</f>
        <v/>
      </c>
    </row>
    <row r="2499">
      <c r="A2499" t="inlineStr">
        <is>
          <t>Normal-Only Total DPS (this block's swept value)</t>
        </is>
      </c>
      <c r="B2499">
        <f>SUM(U2459:U2485)</f>
        <v/>
      </c>
    </row>
    <row r="2500">
      <c r="A2500" s="6" t="inlineStr">
        <is>
          <t>TOTAL DPS</t>
        </is>
      </c>
      <c r="B2500" s="6">
        <f>SUM(O2459:O2485)</f>
        <v/>
      </c>
    </row>
    <row r="2502">
      <c r="A2502" s="6" t="inlineStr">
        <is>
          <t>Stat: Bottle of Emotion (Equip)</t>
        </is>
      </c>
    </row>
    <row r="2503">
      <c r="A2503" s="5" t="inlineStr">
        <is>
          <t>Key</t>
        </is>
      </c>
      <c r="B2503" s="5" t="inlineStr">
        <is>
          <t>Name</t>
        </is>
      </c>
      <c r="C2503" s="5" t="inlineStr">
        <is>
          <t>Unlocked</t>
        </is>
      </c>
      <c r="D2503" s="5" t="inlineStr">
        <is>
          <t>InputLevel</t>
        </is>
      </c>
      <c r="E2503" s="5" t="inlineStr">
        <is>
          <t>Factor</t>
        </is>
      </c>
      <c r="F2503" s="5" t="inlineStr">
        <is>
          <t>CoefficientPercent</t>
        </is>
      </c>
      <c r="G2503" s="5" t="inlineStr">
        <is>
          <t>EffectiveHits</t>
        </is>
      </c>
      <c r="H2503" s="5" t="inlineStr">
        <is>
          <t>ProcProbability</t>
        </is>
      </c>
      <c r="I2503" s="5" t="inlineStr">
        <is>
          <t>MapleHeroMultiplier</t>
        </is>
      </c>
      <c r="J2503" s="5" t="inlineStr">
        <is>
          <t>BaseDamage</t>
        </is>
      </c>
      <c r="K2503" s="5" t="inlineStr">
        <is>
          <t>BaseHitDamage</t>
        </is>
      </c>
      <c r="L2503" s="5" t="inlineStr">
        <is>
          <t>NonCritAvg</t>
        </is>
      </c>
      <c r="M2503" s="5" t="inlineStr">
        <is>
          <t>CritAvg</t>
        </is>
      </c>
      <c r="N2503" s="5" t="inlineStr">
        <is>
          <t>ExpectedDamage(perHit)</t>
        </is>
      </c>
      <c r="O2503" s="5" t="inlineStr">
        <is>
          <t>DPS</t>
        </is>
      </c>
      <c r="P2503" s="5" t="inlineStr">
        <is>
          <t>% of Total</t>
        </is>
      </c>
      <c r="R2503" t="inlineStr">
        <is>
          <t>helpers</t>
        </is>
      </c>
    </row>
    <row r="2504">
      <c r="A2504">
        <f>Skills!A2</f>
        <v/>
      </c>
      <c r="B2504">
        <f>Skills!B2</f>
        <v/>
      </c>
      <c r="C2504">
        <f>Inputs!$B$3&gt;=100</f>
        <v/>
      </c>
      <c r="D2504" t="inlineStr"/>
      <c r="E2504" t="inlineStr"/>
      <c r="F2504">
        <f>T2506+Skills!N2</f>
        <v/>
      </c>
      <c r="G2504">
        <f>Calc!G2</f>
        <v/>
      </c>
      <c r="H2504">
        <f>Calc!H2</f>
        <v/>
      </c>
      <c r="I2504">
        <f>IF(Skills!T2&lt;&gt;"",1+(Skills!T2/10)*($Z$3/1000)/100,1)</f>
        <v/>
      </c>
      <c r="J2504">
        <f>((Inputs!$B$6*(1+Inputs!$B$7/100))+(((Inputs!$B$13*(1+Inputs!$B$14/100))-(Inputs!$B$13*(1+Inputs!$B$14/100)))+0.25*(Inputs!$B$15-Inputs!$B$15))*(1+Inputs!$B$7/100))*(F2504/100)</f>
        <v/>
      </c>
      <c r="K2504">
        <f>J2504*(1+(((Inputs!$B$13+IF(Inputs!$B$3&gt;=35,(10*INDEX(FactorTable!$B$2:$Y$301,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2="TRIUMPH_FEATHER",IF(C2518=TRUE,F2518,0),0)/100)*(1+IF(C2529=TRUE,F2529,0)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2504)</f>
        <v/>
      </c>
      <c r="L2504">
        <f>K2504*(MIN(Inputs!$B$23+(F2524-Calc!F22),(Inputs!$B$24+IF(ArtifactsInput!$M$15,CHOOSE(ArtifactsInput!$N$15+1,25,30,35,40,45,50)/100*(Inputs!$B$12-Inputs!$B$12),0)))/100+(Inputs!$B$24+IF(ArtifactsInput!$M$15,CHOOSE(ArtifactsInput!$N$15+1,25,30,35,40,45,50)/100*(Inputs!$B$12-Inputs!$B$12),0))/100)/2</f>
        <v/>
      </c>
      <c r="M2504">
        <f>L2504*(1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4">
        <f>L2504*(1-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2504*(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4">
        <f>(1-Summary!$B$11)*S2504+Summary!$B$11*U2504</f>
        <v/>
      </c>
      <c r="P2504">
        <f>IF(B2545=0,0,O2504/B2545)</f>
        <v/>
      </c>
      <c r="Q2504">
        <f>IFERROR(1/(IF(Inputs!$B$39="pvp",15,MAX(0.1,Skills!D2-IF(Skills!E2=TRUE,Inputs!$B$33,0)))*(1-IF(AND(ArtifactsInput!$M$27,Inputs!$B$4="Chapter Hunt"),CHOOSE(ArtifactsInput!$N$27+1,20,24,28,32,36,40),0)/100)),0)</f>
        <v/>
      </c>
      <c r="R2504" t="n">
        <v>0</v>
      </c>
      <c r="S2504">
        <f>IF(C2504,(Skills!F2*N2504*B2540)*IF(Inputs!$B$39="pvp",1,1+(Inputs!$B$21+Skills!O2+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2504*(1-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2504*(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2504*(1-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2504*(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04">
        <f>MAX(0,(Inputs!$B$3-100)*3)+Inputs!$B$29+Inputs!$B$30</f>
        <v/>
      </c>
      <c r="U2504">
        <f>IF(C2504,(Skills!F2*N2504*B2540)*IF(Inputs!$B$39="pvp",1,(1+(Inputs!$B$22+Skills!P2+B2534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5">
      <c r="A2505">
        <f>Skills!A3</f>
        <v/>
      </c>
      <c r="B2505">
        <f>Skills!B3</f>
        <v/>
      </c>
      <c r="C2505">
        <f>Inputs!$B$3&gt;=15</f>
        <v/>
      </c>
      <c r="D2505">
        <f>IF(Skills!C3=1,60+Inputs!$B$26+Inputs!$B$30,IF(Skills!C3=2,90+Inputs!$B$27+Inputs!$B$30,IF(Skills!C3=3,120+Inputs!$B$28+Inputs!$B$30,MAX(0,(Inputs!$B$3-100)*3)+Inputs!$B$29+Inputs!$B$30)))</f>
        <v/>
      </c>
      <c r="E2505">
        <f>INDEX(FactorTable!$B$2:$Y$301, MATCH(ROUND(MIN(300,MAX(1,D2505)),0), FactorTable!$A$2:$A$301,0), Skills!L3+1)</f>
        <v/>
      </c>
      <c r="F2505">
        <f>IF(Skills!M3=TRUE,(Skills!K3/10)*(E2505/1000),Skills!K3/10)+Skills!N3</f>
        <v/>
      </c>
      <c r="G2505">
        <f>Calc!G3</f>
        <v/>
      </c>
      <c r="H2505">
        <f>Calc!H3</f>
        <v/>
      </c>
      <c r="I2505">
        <f>IF(Skills!T3&lt;&gt;"",1+(Skills!T3/10)*($Z$3/1000)/100,1)</f>
        <v/>
      </c>
      <c r="J2505" t="inlineStr"/>
      <c r="K2505" t="inlineStr"/>
      <c r="L2505" t="inlineStr"/>
      <c r="M2505" t="inlineStr"/>
      <c r="N2505" t="inlineStr"/>
      <c r="O2505">
        <f>(1-Summary!$B$11)*S2505+Summary!$B$11*U2505</f>
        <v/>
      </c>
      <c r="P2505">
        <f>IF(B2545=0,0,O2505/B2545)</f>
        <v/>
      </c>
      <c r="Q2505">
        <f>IFERROR(1/(IF(Inputs!$B$39="pvp",15,MAX(0.1,Skills!D3-IF(Skills!E3=TRUE,Inputs!$B$33,0)))*(1-IF(AND(ArtifactsInput!$M$27,Inputs!$B$4="Chapter Hunt"),CHOOSE(ArtifactsInput!$N$27+1,20,24,28,32,36,40),0)/100)),0)</f>
        <v/>
      </c>
      <c r="R2505">
        <f>IF(AND(Inputs!$B$39&lt;&gt;"pvp",Inputs!$B$44&gt;0),IF(Inputs!$B$44&lt;=0,0,(INT(Inputs!$B$44/(IF(Inputs!$B$39="pvp",15,MAX(0.1,Skills!D3-IF(Skills!E3=TRUE,Inputs!$B$33,0)))*(1-IF(AND(ArtifactsInput!$M$27,Inputs!$B$4="Chapter Hunt"),CHOOSE(ArtifactsInput!$N$27+1,20,24,28,32,36,40),0)/100)))+1)),0)</f>
        <v/>
      </c>
      <c r="S2505" t="n">
        <v>0</v>
      </c>
      <c r="T2505">
        <f>INDEX(FactorTable!$B$2:$Y$301, MATCH(ROUND(MIN(300,MAX(1,T2504)),0), FactorTable!$A$2:$A$301,0), 22)</f>
        <v/>
      </c>
      <c r="U2505" t="n">
        <v>0</v>
      </c>
    </row>
    <row r="2506">
      <c r="A2506">
        <f>Skills!A4</f>
        <v/>
      </c>
      <c r="B2506">
        <f>Skills!B4</f>
        <v/>
      </c>
      <c r="C2506">
        <f>Inputs!$B$3&gt;=38</f>
        <v/>
      </c>
      <c r="D2506">
        <f>IF(Skills!C4=1,60+Inputs!$B$26+Inputs!$B$30,IF(Skills!C4=2,90+Inputs!$B$27+Inputs!$B$30,IF(Skills!C4=3,120+Inputs!$B$28+Inputs!$B$30,MAX(0,(Inputs!$B$3-100)*3)+Inputs!$B$29+Inputs!$B$30)))</f>
        <v/>
      </c>
      <c r="E2506">
        <f>INDEX(FactorTable!$B$2:$Y$301, MATCH(ROUND(MIN(300,MAX(1,D2506)),0), FactorTable!$A$2:$A$301,0), Skills!L4+1)</f>
        <v/>
      </c>
      <c r="F2506">
        <f>IF(Skills!M4=TRUE,(Skills!K4/10)*(E2506/1000),Skills!K4/10)+Skills!N4</f>
        <v/>
      </c>
      <c r="G2506">
        <f>Calc!G4</f>
        <v/>
      </c>
      <c r="H2506">
        <f>Calc!H4</f>
        <v/>
      </c>
      <c r="I2506">
        <f>IF(Skills!T4&lt;&gt;"",1+(Skills!T4/10)*($Z$3/1000)/100,1)</f>
        <v/>
      </c>
      <c r="J2506" t="inlineStr"/>
      <c r="K2506" t="inlineStr"/>
      <c r="L2506" t="inlineStr"/>
      <c r="M2506" t="inlineStr"/>
      <c r="N2506" t="inlineStr"/>
      <c r="O2506">
        <f>(1-Summary!$B$11)*S2506+Summary!$B$11*U2506</f>
        <v/>
      </c>
      <c r="P2506">
        <f>IF(B2545=0,0,O2506/B2545)</f>
        <v/>
      </c>
      <c r="Q2506">
        <f>IFERROR(1/(IF(Inputs!$B$39="pvp",15,MAX(0.1,Skills!D4-IF(Skills!E4=TRUE,Inputs!$B$33,0)))*(1-IF(AND(ArtifactsInput!$M$27,Inputs!$B$4="Chapter Hunt"),CHOOSE(ArtifactsInput!$N$27+1,20,24,28,32,36,40),0)/100)),0)</f>
        <v/>
      </c>
      <c r="R2506">
        <f>IF(AND(Inputs!$B$39&lt;&gt;"pvp",Inputs!$B$44&gt;0),IF(Inputs!$B$44&lt;=0,0,(INT(Inputs!$B$44/(IF(Inputs!$B$39="pvp",15,MAX(0.1,Skills!D4-IF(Skills!E4=TRUE,Inputs!$B$33,0)))*(1-IF(AND(ArtifactsInput!$M$27,Inputs!$B$4="Chapter Hunt"),CHOOSE(ArtifactsInput!$N$27+1,20,24,28,32,36,40),0)/100)))+1)),0)</f>
        <v/>
      </c>
      <c r="S2506" t="n">
        <v>0</v>
      </c>
      <c r="T2506">
        <f>290*T2505/1000</f>
        <v/>
      </c>
      <c r="U2506" t="n">
        <v>0</v>
      </c>
    </row>
    <row r="2507">
      <c r="A2507">
        <f>Skills!A5</f>
        <v/>
      </c>
      <c r="B2507">
        <f>Skills!B5</f>
        <v/>
      </c>
      <c r="C2507">
        <f>Inputs!$B$3&gt;=40</f>
        <v/>
      </c>
      <c r="D2507">
        <f>IF(Skills!C5=1,60+Inputs!$B$26+Inputs!$B$30,IF(Skills!C5=2,90+Inputs!$B$27+Inputs!$B$30,IF(Skills!C5=3,120+Inputs!$B$28+Inputs!$B$30,MAX(0,(Inputs!$B$3-100)*3)+Inputs!$B$29+Inputs!$B$30)))</f>
        <v/>
      </c>
      <c r="E2507">
        <f>INDEX(FactorTable!$B$2:$Y$301, MATCH(ROUND(MIN(300,MAX(1,D2507)),0), FactorTable!$A$2:$A$301,0), Skills!L5+1)</f>
        <v/>
      </c>
      <c r="F2507">
        <f>IF(Skills!M5=TRUE,(Skills!K5/10)*(E2507/1000),Skills!K5/10)+Skills!N5</f>
        <v/>
      </c>
      <c r="G2507">
        <f>Calc!G5</f>
        <v/>
      </c>
      <c r="H2507">
        <f>Calc!H5</f>
        <v/>
      </c>
      <c r="I2507">
        <f>IF(Skills!T5&lt;&gt;"",1+(Skills!T5/10)*($Z$3/1000)/100,1)</f>
        <v/>
      </c>
      <c r="J2507" t="inlineStr"/>
      <c r="K2507" t="inlineStr"/>
      <c r="L2507" t="inlineStr"/>
      <c r="M2507" t="inlineStr"/>
      <c r="N2507" t="inlineStr"/>
      <c r="O2507">
        <f>(1-Summary!$B$11)*S2507+Summary!$B$11*U2507</f>
        <v/>
      </c>
      <c r="P2507">
        <f>IF(B2545=0,0,O2507/B2545)</f>
        <v/>
      </c>
      <c r="Q2507">
        <f>IFERROR(1/(IF(Inputs!$B$39="pvp",15,MAX(0.1,Skills!D5-IF(Skills!E5=TRUE,Inputs!$B$33,0)))*(1-IF(AND(ArtifactsInput!$M$27,Inputs!$B$4="Chapter Hunt"),CHOOSE(ArtifactsInput!$N$27+1,20,24,28,32,36,40),0)/100)),0)</f>
        <v/>
      </c>
      <c r="R2507">
        <f>IF(AND(Inputs!$B$39&lt;&gt;"pvp",Inputs!$B$44&gt;0),IF(Inputs!$B$44&lt;=0,0,(INT(Inputs!$B$44/(IF(Inputs!$B$39="pvp",15,MAX(0.1,Skills!D5-IF(Skills!E5=TRUE,Inputs!$B$33,0)))*(1-IF(AND(ArtifactsInput!$M$27,Inputs!$B$4="Chapter Hunt"),CHOOSE(ArtifactsInput!$N$27+1,20,24,28,32,36,40),0)/100)))+1)),0)</f>
        <v/>
      </c>
      <c r="S2507" t="n">
        <v>0</v>
      </c>
      <c r="U2507" t="n">
        <v>0</v>
      </c>
    </row>
    <row r="2508">
      <c r="A2508">
        <f>Skills!A6</f>
        <v/>
      </c>
      <c r="B2508">
        <f>Skills!B6</f>
        <v/>
      </c>
      <c r="C2508">
        <f>Inputs!$B$3&gt;=103</f>
        <v/>
      </c>
      <c r="D2508">
        <f>IF(Skills!C6=1,60+Inputs!$B$26+Inputs!$B$30,IF(Skills!C6=2,90+Inputs!$B$27+Inputs!$B$30,IF(Skills!C6=3,120+Inputs!$B$28+Inputs!$B$30,MAX(0,(Inputs!$B$3-100)*3)+Inputs!$B$29+Inputs!$B$30)))</f>
        <v/>
      </c>
      <c r="E2508">
        <f>INDEX(FactorTable!$B$2:$Y$301, MATCH(ROUND(MIN(300,MAX(1,D2508)),0), FactorTable!$A$2:$A$301,0), Skills!L6+1)</f>
        <v/>
      </c>
      <c r="F2508">
        <f>IF(Skills!M6=TRUE,(Skills!K6/10)*(E2508/1000),Skills!K6/10)+Skills!N6</f>
        <v/>
      </c>
      <c r="G2508">
        <f>Calc!G6</f>
        <v/>
      </c>
      <c r="H2508">
        <f>Calc!H6</f>
        <v/>
      </c>
      <c r="I2508">
        <f>IF(Skills!T6&lt;&gt;"",1+(Skills!T6/10)*($Z$3/1000)/100,1)</f>
        <v/>
      </c>
      <c r="J2508">
        <f>((Inputs!$B$6*(1+Inputs!$B$7/100))+(((Inputs!$B$13*(1+Inputs!$B$14/100))-(Inputs!$B$13*(1+Inputs!$B$14/100)))+0.25*(Inputs!$B$15-Inputs!$B$15))*(1+Inputs!$B$7/100))*(F2508/100)</f>
        <v/>
      </c>
      <c r="K2508">
        <f>J2508*(1+(((Inputs!$B$13+IF(Inputs!$B$3&gt;=35,(10*INDEX(FactorTable!$B$2:$Y$301,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6="TRIUMPH_FEATHER",IF(C2518=TRUE,F2518,0),0)/100)*(1+IF(C2529=TRUE,F2529,0)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2508)</f>
        <v/>
      </c>
      <c r="L2508">
        <f>K2508*(MIN(Inputs!$B$23+(F2524-Calc!F22),(Inputs!$B$24+IF(ArtifactsInput!$M$15,CHOOSE(ArtifactsInput!$N$15+1,25,30,35,40,45,50)/100*(Inputs!$B$12-Inputs!$B$12),0)))/100+(Inputs!$B$24+IF(ArtifactsInput!$M$15,CHOOSE(ArtifactsInput!$N$15+1,25,30,35,40,45,50)/100*(Inputs!$B$12-Inputs!$B$12),0))/100)/2</f>
        <v/>
      </c>
      <c r="M2508">
        <f>L2508*(1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8">
        <f>L2508*(1-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2508*(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8">
        <f>(1-Summary!$B$11)*S2508+Summary!$B$11*U2508</f>
        <v/>
      </c>
      <c r="P2508">
        <f>IF(B2545=0,0,O2508/B2545)</f>
        <v/>
      </c>
      <c r="Q2508">
        <f>IFERROR(1/(IF(Inputs!$B$39="pvp",15,MAX(0.1,Skills!D6-IF(Skills!E6=TRUE,Inputs!$B$33,0)))*(1-IF(AND(ArtifactsInput!$M$27,Inputs!$B$4="Chapter Hunt"),CHOOSE(ArtifactsInput!$N$27+1,20,24,28,32,36,40),0)/100)),0)</f>
        <v/>
      </c>
      <c r="R2508">
        <f>IF(AND(Inputs!$B$39&lt;&gt;"pvp",Inputs!$B$44&gt;0),IF(MAX(0,Inputs!$B$44-B2542)&lt;=0,0,(INT(MAX(0,Inputs!$B$44-B2542)/(IF(Inputs!$B$39="pvp",15,MAX(0.1,Skills!D6-IF(Skills!E6=TRUE,Inputs!$B$33,0)))*(1-IF(AND(ArtifactsInput!$M$27,Inputs!$B$4="Chapter Hunt"),CHOOSE(ArtifactsInput!$N$27+1,20,24,28,32,36,40),0)/100)))+1)),0)</f>
        <v/>
      </c>
      <c r="S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$21+Skills!O6+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2508*(1-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2508*(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2508*(1-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2508*(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$22+Skills!P6+B2534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9">
      <c r="A2509">
        <f>Skills!A7</f>
        <v/>
      </c>
      <c r="B2509">
        <f>Skills!B7</f>
        <v/>
      </c>
      <c r="C2509">
        <f>Inputs!$B$3&gt;=122</f>
        <v/>
      </c>
      <c r="D2509">
        <f>IF(Skills!C7=1,60+Inputs!$B$26+Inputs!$B$30,IF(Skills!C7=2,90+Inputs!$B$27+Inputs!$B$30,IF(Skills!C7=3,120+Inputs!$B$28+Inputs!$B$30,MAX(0,(Inputs!$B$3-100)*3)+Inputs!$B$29+Inputs!$B$30)))</f>
        <v/>
      </c>
      <c r="E2509">
        <f>INDEX(FactorTable!$B$2:$Y$301, MATCH(ROUND(MIN(300,MAX(1,D2509)),0), FactorTable!$A$2:$A$301,0), Skills!L7+1)</f>
        <v/>
      </c>
      <c r="F2509">
        <f>IF(Skills!M7=TRUE,(Skills!K7/10)*(E2509/1000),Skills!K7/10)+Skills!N7</f>
        <v/>
      </c>
      <c r="G2509">
        <f>Calc!G7</f>
        <v/>
      </c>
      <c r="H2509">
        <f>Calc!H7</f>
        <v/>
      </c>
      <c r="I2509">
        <f>IF(Skills!T7&lt;&gt;"",1+(Skills!T7/10)*($Z$3/1000)/100,1)</f>
        <v/>
      </c>
      <c r="J2509">
        <f>((Inputs!$B$6*(1+Inputs!$B$7/100))+(((Inputs!$B$13*(1+Inputs!$B$14/100))-(Inputs!$B$13*(1+Inputs!$B$14/100)))+0.25*(Inputs!$B$15-Inputs!$B$15))*(1+Inputs!$B$7/100))*(F2509/100)</f>
        <v/>
      </c>
      <c r="K2509">
        <f>J2509*(1+(((Inputs!$B$13+IF(Inputs!$B$3&gt;=35,(10*INDEX(FactorTable!$B$2:$Y$301,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7="TRIUMPH_FEATHER",IF(C2518=TRUE,F2518,0),0)/100)*(1+IF(C2529=TRUE,F2529,0)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2509)</f>
        <v/>
      </c>
      <c r="L2509">
        <f>K2509*(MIN(Inputs!$B$23+(F2524-Calc!F22),(Inputs!$B$24+IF(ArtifactsInput!$M$15,CHOOSE(ArtifactsInput!$N$15+1,25,30,35,40,45,50)/100*(Inputs!$B$12-Inputs!$B$12),0)))/100+(Inputs!$B$24+IF(ArtifactsInput!$M$15,CHOOSE(ArtifactsInput!$N$15+1,25,30,35,40,45,50)/100*(Inputs!$B$12-Inputs!$B$12),0))/100)/2</f>
        <v/>
      </c>
      <c r="M2509">
        <f>L2509*(1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9">
        <f>L2509*(1-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2509*(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9">
        <f>(1-Summary!$B$11)*S2509+Summary!$B$11*U2509</f>
        <v/>
      </c>
      <c r="P2509">
        <f>IF(B2545=0,0,O2509/B2545)</f>
        <v/>
      </c>
      <c r="Q2509">
        <f>IFERROR(1/(IF(Inputs!$B$39="pvp",15,MAX(0.1,Skills!D7-IF(Skills!E6=TRUE,Inputs!$B$33,0)))*(1-IF(AND(ArtifactsInput!$M$27,Inputs!$B$4="Chapter Hunt"),CHOOSE(ArtifactsInput!$N$27+1,20,24,28,32,36,40),0)/100)),0)</f>
        <v/>
      </c>
      <c r="R2509">
        <f>IF(AND(Inputs!$B$39&lt;&gt;"pvp",Inputs!$B$44&gt;0),IF(MAX(0,Inputs!$B$44-B2542)&lt;=0,0,(INT(MAX(0,Inputs!$B$44-B2542)/(IF(Inputs!$B$39="pvp",15,MAX(0.1,Skills!D7-IF(Skills!E6=TRUE,Inputs!$B$33,0)))*(1-IF(AND(ArtifactsInput!$M$27,Inputs!$B$4="Chapter Hunt"),CHOOSE(ArtifactsInput!$N$27+1,20,24,28,32,36,40),0)/100)))+1)),0)</f>
        <v/>
      </c>
      <c r="S2509">
        <f>IF(C2509,H2509*N2509*IF(AND(Inputs!$B$39&lt;&gt;"pvp",Inputs!$B$44&gt;0),((Skills!F7*((R2509-1)*IF(Skills!G7&gt;0,Skills!H7/Skills!G7,1)+IF(Skills!G7&gt;0,MIN(Skills!H7,MAX(0,MAX(0,Inputs!$B$44-B2542)-((R2509-1)*(IF(Inputs!$B$39="pvp",15,MAX(0.1,Skills!D7-IF(Skills!E6=TRUE,Inputs!$B$33,0)))*(1-IF(AND(ArtifactsInput!$M$27,Inputs!$B$4="Chapter Hunt"),CHOOSE(ArtifactsInput!$N$27+1,20,24,28,32,36,40),0)/100)))))/Skills!G7,1)))/Inputs!$B$44),G2509*Q2509)*IF(Inputs!$B$39="pvp",1,1+(Inputs!$B$21+Skills!O7+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2509*(1-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2509*(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2509*(1-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2509*(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9" t="n">
        <v>0</v>
      </c>
    </row>
    <row r="2510">
      <c r="A2510">
        <f>Skills!A8</f>
        <v/>
      </c>
      <c r="B2510">
        <f>Skills!B8</f>
        <v/>
      </c>
      <c r="C2510">
        <f>Inputs!$B$3&gt;=105</f>
        <v/>
      </c>
      <c r="D2510">
        <f>IF(Skills!C8=1,60+Inputs!$B$26+Inputs!$B$30,IF(Skills!C8=2,90+Inputs!$B$27+Inputs!$B$30,IF(Skills!C8=3,120+Inputs!$B$28+Inputs!$B$30,MAX(0,(Inputs!$B$3-100)*3)+Inputs!$B$29+Inputs!$B$30)))</f>
        <v/>
      </c>
      <c r="E2510">
        <f>INDEX(FactorTable!$B$2:$Y$301, MATCH(ROUND(MIN(300,MAX(1,D2510)),0), FactorTable!$A$2:$A$301,0), Skills!L8+1)</f>
        <v/>
      </c>
      <c r="F2510">
        <f>IF(Skills!M8=TRUE,(Skills!K8/10)*(E2510/1000),Skills!K8/10)+Skills!N8</f>
        <v/>
      </c>
      <c r="G2510">
        <f>Calc!G8</f>
        <v/>
      </c>
      <c r="H2510">
        <f>Calc!H8</f>
        <v/>
      </c>
      <c r="I2510">
        <f>IF(Skills!T8&lt;&gt;"",1+(Skills!T8/10)*($Z$3/1000)/100,1)</f>
        <v/>
      </c>
      <c r="J2510">
        <f>((Inputs!$B$6*(1+Inputs!$B$7/100))+(((Inputs!$B$13*(1+Inputs!$B$14/100))-(Inputs!$B$13*(1+Inputs!$B$14/100)))+0.25*(Inputs!$B$15-Inputs!$B$15))*(1+Inputs!$B$7/100))*(F2510/100)</f>
        <v/>
      </c>
      <c r="K2510">
        <f>J2510*(1+(((Inputs!$B$13+IF(Inputs!$B$3&gt;=35,(10*INDEX(FactorTable!$B$2:$Y$301,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8="TRIUMPH_FEATHER",IF(C2518=TRUE,F2518,0),0)/100)*(1+IF(C2529=TRUE,F2529,0)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2510)</f>
        <v/>
      </c>
      <c r="L2510">
        <f>K2510*(MIN(Inputs!$B$23+(F2524-Calc!F22),(Inputs!$B$24+IF(ArtifactsInput!$M$15,CHOOSE(ArtifactsInput!$N$15+1,25,30,35,40,45,50)/100*(Inputs!$B$12-Inputs!$B$12),0)))/100+(Inputs!$B$24+IF(ArtifactsInput!$M$15,CHOOSE(ArtifactsInput!$N$15+1,25,30,35,40,45,50)/100*(Inputs!$B$12-Inputs!$B$12),0))/100)/2</f>
        <v/>
      </c>
      <c r="M2510">
        <f>L2510*(1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0">
        <f>L2510*(1-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2510*(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0">
        <f>(1-Summary!$B$11)*S2510+Summary!$B$11*U2510</f>
        <v/>
      </c>
      <c r="P2510">
        <f>IF(B2545=0,0,O2510/B2545)</f>
        <v/>
      </c>
      <c r="Q2510">
        <f>IFERROR(1/(IF(Inputs!$B$39="pvp",15,MAX(0.1,Skills!D8-IF(Skills!E8=TRUE,Inputs!$B$33,0)))*(1-IF(AND(ArtifactsInput!$M$27,Inputs!$B$4="Chapter Hunt"),CHOOSE(ArtifactsInput!$N$27+1,20,24,28,32,36,40),0)/100)),0)</f>
        <v/>
      </c>
      <c r="R2510">
        <f>IF(AND(Inputs!$B$39&lt;&gt;"pvp",Inputs!$B$44&gt;0),IF(MAX(0,Inputs!$B$44-B2542)&lt;=0,0,(INT(MAX(0,Inputs!$B$44-B2542)/(IF(Inputs!$B$39="pvp",15,MAX(0.1,Skills!D8-IF(Skills!E8=TRUE,Inputs!$B$33,0)))*(1-IF(AND(ArtifactsInput!$M$27,Inputs!$B$4="Chapter Hunt"),CHOOSE(ArtifactsInput!$N$27+1,20,24,28,32,36,40),0)/100)))+1)),0)</f>
        <v/>
      </c>
      <c r="S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$21+Skills!O8+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2510*(1-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2510*(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2510*(1-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2510*(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$22+Skills!P8+B2534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1">
      <c r="A2511">
        <f>Skills!A9</f>
        <v/>
      </c>
      <c r="B2511">
        <f>Skills!B9</f>
        <v/>
      </c>
      <c r="C2511">
        <f>Inputs!$B$3&gt;=115</f>
        <v/>
      </c>
      <c r="D2511">
        <f>IF(Skills!C9=1,60+Inputs!$B$26+Inputs!$B$30,IF(Skills!C9=2,90+Inputs!$B$27+Inputs!$B$30,IF(Skills!C9=3,120+Inputs!$B$28+Inputs!$B$30,MAX(0,(Inputs!$B$3-100)*3)+Inputs!$B$29+Inputs!$B$30)))</f>
        <v/>
      </c>
      <c r="E2511">
        <f>INDEX(FactorTable!$B$2:$Y$301, MATCH(ROUND(MIN(300,MAX(1,D2511)),0), FactorTable!$A$2:$A$301,0), Skills!L9+1)</f>
        <v/>
      </c>
      <c r="F2511">
        <f>IF(Skills!M9=TRUE,(Skills!K9/10)*(E2511/1000),Skills!K9/10)+Skills!N9</f>
        <v/>
      </c>
      <c r="G2511">
        <f>Calc!G9</f>
        <v/>
      </c>
      <c r="H2511">
        <f>Calc!H9</f>
        <v/>
      </c>
      <c r="I2511">
        <f>IF(Skills!T9&lt;&gt;"",1+(Skills!T9/10)*($Z$3/1000)/100,1)</f>
        <v/>
      </c>
      <c r="J2511">
        <f>((Inputs!$B$6*(1+Inputs!$B$7/100))+(((Inputs!$B$13*(1+Inputs!$B$14/100))-(Inputs!$B$13*(1+Inputs!$B$14/100)))+0.25*(Inputs!$B$15-Inputs!$B$15))*(1+Inputs!$B$7/100))*(F2511/100)</f>
        <v/>
      </c>
      <c r="K2511">
        <f>J2511*(1+(((Inputs!$B$13+IF(Inputs!$B$3&gt;=35,(10*INDEX(FactorTable!$B$2:$Y$301,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9="TRIUMPH_FEATHER",IF(C2518=TRUE,F2518,0),0)/100)*(1+IF(C2529=TRUE,F2529,0)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2511)</f>
        <v/>
      </c>
      <c r="L2511">
        <f>K2511*(MIN(Inputs!$B$23+(F2524-Calc!F22),(Inputs!$B$24+IF(ArtifactsInput!$M$15,CHOOSE(ArtifactsInput!$N$15+1,25,30,35,40,45,50)/100*(Inputs!$B$12-Inputs!$B$12),0)))/100+(Inputs!$B$24+IF(ArtifactsInput!$M$15,CHOOSE(ArtifactsInput!$N$15+1,25,30,35,40,45,50)/100*(Inputs!$B$12-Inputs!$B$12),0))/100)/2</f>
        <v/>
      </c>
      <c r="M2511">
        <f>L2511*(1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1">
        <f>L2511*(1-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(1-Summary!$B$11)*S2511+Summary!$B$11*U2511</f>
        <v/>
      </c>
      <c r="P2511">
        <f>IF(B2545=0,0,O2511/B2545)</f>
        <v/>
      </c>
      <c r="Q2511">
        <f>IFERROR(1/(IF(Inputs!$B$39="pvp",15,MAX(0.1,Skills!D9-IF(Skills!E9=TRUE,Inputs!$B$33,0)))*(1-IF(AND(ArtifactsInput!$M$27,Inputs!$B$4="Chapter Hunt"),CHOOSE(ArtifactsInput!$N$27+1,20,24,28,32,36,40),0)/100)),0)</f>
        <v/>
      </c>
      <c r="R2511">
        <f>IF(AND(Inputs!$B$39&lt;&gt;"pvp",Inputs!$B$44&gt;0),IF(MAX(0,Inputs!$B$44-B2542)&lt;=0,0,(INT(MAX(0,Inputs!$B$44-B2542)/(IF(Inputs!$B$39="pvp",15,MAX(0.1,Skills!D9-IF(Skills!E9=TRUE,Inputs!$B$33,0)))*(1-IF(AND(ArtifactsInput!$M$27,Inputs!$B$4="Chapter Hunt"),CHOOSE(ArtifactsInput!$N$27+1,20,24,28,32,36,40),0)/100)))+1)),0)</f>
        <v/>
      </c>
      <c r="S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$21+Skills!O9+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$22+Skills!P9+B2534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Skills!A10</f>
        <v/>
      </c>
      <c r="B2512">
        <f>Skills!B10</f>
        <v/>
      </c>
      <c r="C2512">
        <f>Inputs!$B$3&gt;=66</f>
        <v/>
      </c>
      <c r="D2512">
        <f>IF(Skills!C10=1,60+Inputs!$B$26+Inputs!$B$30,IF(Skills!C10=2,90+Inputs!$B$27+Inputs!$B$30,IF(Skills!C10=3,120+Inputs!$B$28+Inputs!$B$30,MAX(0,(Inputs!$B$3-100)*3)+Inputs!$B$29+Inputs!$B$30)))</f>
        <v/>
      </c>
      <c r="E2512">
        <f>INDEX(FactorTable!$B$2:$Y$301, MATCH(ROUND(MIN(300,MAX(1,D2512)),0), FactorTable!$A$2:$A$301,0), Skills!L10+1)</f>
        <v/>
      </c>
      <c r="F2512" t="n">
        <v>0</v>
      </c>
      <c r="G2512">
        <f>Calc!G10</f>
        <v/>
      </c>
      <c r="H2512">
        <f>Calc!H10</f>
        <v/>
      </c>
      <c r="I2512">
        <f>IF(Skills!T10&lt;&gt;"",1+(Skills!T10/10)*($Z$3/1000)/100,1)</f>
        <v/>
      </c>
      <c r="J2512" t="inlineStr"/>
      <c r="K2512" t="inlineStr"/>
      <c r="L2512" t="inlineStr"/>
      <c r="M2512" t="inlineStr"/>
      <c r="N2512" t="inlineStr"/>
      <c r="O2512">
        <f>(1-Summary!$B$11)*S2512+Summary!$B$11*U2512</f>
        <v/>
      </c>
      <c r="P2512">
        <f>IF(B2545=0,0,O2512/B2545)</f>
        <v/>
      </c>
      <c r="Q2512">
        <f>IFERROR(1/(IF(Inputs!$B$39="pvp",15,MAX(0.1,Skills!D10-IF(Skills!E10=TRUE,Inputs!$B$33,0)))*(1-IF(AND(ArtifactsInput!$M$27,Inputs!$B$4="Chapter Hunt"),CHOOSE(ArtifactsInput!$N$27+1,20,24,28,32,36,40),0)/100)),0)</f>
        <v/>
      </c>
      <c r="R2512">
        <f>IF(AND(Inputs!$B$39&lt;&gt;"pvp",Inputs!$B$44&gt;0),IF(MAX(0,Inputs!$B$44-B2542)&lt;=0,0,(INT(MAX(0,Inputs!$B$44-B2542)/(IF(Inputs!$B$39="pvp",15,MAX(0.1,Skills!D10-IF(Skills!E10=TRUE,Inputs!$B$33,0)))*(1-IF(AND(ArtifactsInput!$M$27,Inputs!$B$4="Chapter Hunt"),CHOOSE(ArtifactsInput!$N$27+1,20,24,28,32,36,40),0)/100)))+1)),0)</f>
        <v/>
      </c>
      <c r="S2512" t="n">
        <v>0</v>
      </c>
      <c r="U2512" t="n">
        <v>0</v>
      </c>
    </row>
    <row r="2513">
      <c r="A2513">
        <f>Skills!A11</f>
        <v/>
      </c>
      <c r="B2513">
        <f>Skills!B11</f>
        <v/>
      </c>
      <c r="C2513">
        <f>Inputs!$B$3&gt;=69</f>
        <v/>
      </c>
      <c r="D2513">
        <f>IF(Skills!C11=1,60+Inputs!$B$26+Inputs!$B$30,IF(Skills!C11=2,90+Inputs!$B$27+Inputs!$B$30,IF(Skills!C11=3,120+Inputs!$B$28+Inputs!$B$30,MAX(0,(Inputs!$B$3-100)*3)+Inputs!$B$29+Inputs!$B$30)))</f>
        <v/>
      </c>
      <c r="E2513">
        <f>INDEX(FactorTable!$B$2:$Y$301, MATCH(ROUND(MIN(300,MAX(1,D2513)),0), FactorTable!$A$2:$A$301,0), Skills!L11+1)</f>
        <v/>
      </c>
      <c r="F2513">
        <f>IF(Skills!M11=TRUE,(Skills!K11/10)*(E2513/1000),Skills!K11/10)+Skills!N11</f>
        <v/>
      </c>
      <c r="G2513">
        <f>Calc!G11</f>
        <v/>
      </c>
      <c r="H2513">
        <f>Calc!H11</f>
        <v/>
      </c>
      <c r="I2513">
        <f>IF(Skills!T11&lt;&gt;"",1+(Skills!T11/10)*($Z$3/1000)/100,1)</f>
        <v/>
      </c>
      <c r="J2513" t="inlineStr"/>
      <c r="K2513" t="inlineStr"/>
      <c r="L2513" t="inlineStr"/>
      <c r="M2513" t="inlineStr"/>
      <c r="N2513" t="inlineStr"/>
      <c r="O2513">
        <f>(1-Summary!$B$11)*S2513+Summary!$B$11*U2513</f>
        <v/>
      </c>
      <c r="P2513">
        <f>IF(B2545=0,0,O2513/B2545)</f>
        <v/>
      </c>
      <c r="Q2513">
        <f>IFERROR(1/(IF(Inputs!$B$39="pvp",15,MAX(0.1,Skills!D11-IF(Skills!E11=TRUE,Inputs!$B$33,0)))*(1-IF(AND(ArtifactsInput!$M$27,Inputs!$B$4="Chapter Hunt"),CHOOSE(ArtifactsInput!$N$27+1,20,24,28,32,36,40),0)/100)),0)</f>
        <v/>
      </c>
      <c r="R2513">
        <f>IF(AND(Inputs!$B$39&lt;&gt;"pvp",Inputs!$B$44&gt;0),IF(Inputs!$B$44&lt;=0,0,(INT(Inputs!$B$44/(IF(Inputs!$B$39="pvp",15,MAX(0.1,Skills!D11-IF(Skills!E11=TRUE,Inputs!$B$33,0)))*(1-IF(AND(ArtifactsInput!$M$27,Inputs!$B$4="Chapter Hunt"),CHOOSE(ArtifactsInput!$N$27+1,20,24,28,32,36,40),0)/100)))+1)),0)</f>
        <v/>
      </c>
      <c r="S2513" t="n">
        <v>0</v>
      </c>
      <c r="U2513" t="n">
        <v>0</v>
      </c>
    </row>
    <row r="2514">
      <c r="A2514">
        <f>Skills!A12</f>
        <v/>
      </c>
      <c r="B2514">
        <f>Skills!B12</f>
        <v/>
      </c>
      <c r="C2514">
        <f>Inputs!$B$3&gt;=72</f>
        <v/>
      </c>
      <c r="D2514">
        <f>IF(Skills!C12=1,60+Inputs!$B$26+Inputs!$B$30,IF(Skills!C12=2,90+Inputs!$B$27+Inputs!$B$30,IF(Skills!C12=3,120+Inputs!$B$28+Inputs!$B$30,MAX(0,(Inputs!$B$3-100)*3)+Inputs!$B$29+Inputs!$B$30)))</f>
        <v/>
      </c>
      <c r="E2514">
        <f>INDEX(FactorTable!$B$2:$Y$301, MATCH(ROUND(MIN(300,MAX(1,D2514)),0), FactorTable!$A$2:$A$301,0), Skills!L12+1)</f>
        <v/>
      </c>
      <c r="F2514">
        <f>IF(Skills!M12=TRUE,(Skills!K12/10)*(E2514/1000),Skills!K12/10)+Skills!N12</f>
        <v/>
      </c>
      <c r="G2514">
        <f>Calc!G12</f>
        <v/>
      </c>
      <c r="H2514">
        <f>Calc!H12</f>
        <v/>
      </c>
      <c r="I2514">
        <f>IF(Skills!T12&lt;&gt;"",1+(Skills!T12/10)*($Z$3/1000)/100,1)</f>
        <v/>
      </c>
      <c r="J2514" t="inlineStr"/>
      <c r="K2514" t="inlineStr"/>
      <c r="L2514" t="inlineStr"/>
      <c r="M2514" t="inlineStr"/>
      <c r="N2514" t="inlineStr"/>
      <c r="O2514">
        <f>(1-Summary!$B$11)*S2514+Summary!$B$11*U2514</f>
        <v/>
      </c>
      <c r="P2514">
        <f>IF(B2545=0,0,O2514/B2545)</f>
        <v/>
      </c>
      <c r="Q2514">
        <f>IFERROR(1/(IF(Inputs!$B$39="pvp",15,MAX(0.1,Skills!D12-IF(Skills!E12=TRUE,Inputs!$B$33,0)))*(1-IF(AND(ArtifactsInput!$M$27,Inputs!$B$4="Chapter Hunt"),CHOOSE(ArtifactsInput!$N$27+1,20,24,28,32,36,40),0)/100)),0)</f>
        <v/>
      </c>
      <c r="R2514">
        <f>IF(AND(Inputs!$B$39&lt;&gt;"pvp",Inputs!$B$44&gt;0),IF(MAX(0,Inputs!$B$44-B2542)&lt;=0,0,(INT(MAX(0,Inputs!$B$44-B2542)/(IF(Inputs!$B$39="pvp",15,MAX(0.1,Skills!D12-IF(Skills!E12=TRUE,Inputs!$B$33,0)))*(1-IF(AND(ArtifactsInput!$M$27,Inputs!$B$4="Chapter Hunt"),CHOOSE(ArtifactsInput!$N$27+1,20,24,28,32,36,40),0)/100)))+1)),0)</f>
        <v/>
      </c>
      <c r="S2514" t="n">
        <v>0</v>
      </c>
      <c r="U2514" t="n">
        <v>0</v>
      </c>
    </row>
    <row r="2515">
      <c r="A2515">
        <f>Skills!A13</f>
        <v/>
      </c>
      <c r="B2515">
        <f>Skills!B13</f>
        <v/>
      </c>
      <c r="C2515">
        <f>Inputs!$B$3&gt;=60</f>
        <v/>
      </c>
      <c r="D2515">
        <f>IF(Skills!C13=1,60+Inputs!$B$26+Inputs!$B$30,IF(Skills!C13=2,90+Inputs!$B$27+Inputs!$B$30,IF(Skills!C13=3,120+Inputs!$B$28+Inputs!$B$30,MAX(0,(Inputs!$B$3-100)*3)+Inputs!$B$29+Inputs!$B$30)))</f>
        <v/>
      </c>
      <c r="E2515">
        <f>INDEX(FactorTable!$B$2:$Y$301, MATCH(ROUND(MIN(300,MAX(1,D2515)),0), FactorTable!$A$2:$A$301,0), Skills!L13+1)</f>
        <v/>
      </c>
      <c r="F2515">
        <f>IF(Skills!M13=TRUE,(Skills!K13/10)*(E2515/1000),Skills!K13/10)+Skills!N13</f>
        <v/>
      </c>
      <c r="G2515">
        <f>Calc!G13</f>
        <v/>
      </c>
      <c r="H2515">
        <f>Calc!H13</f>
        <v/>
      </c>
      <c r="I2515">
        <f>IF(Skills!T13&lt;&gt;"",1+(Skills!T13/10)*($Z$3/1000)/100,1)</f>
        <v/>
      </c>
      <c r="J2515" t="inlineStr"/>
      <c r="K2515" t="inlineStr"/>
      <c r="L2515" t="inlineStr"/>
      <c r="M2515" t="inlineStr"/>
      <c r="N2515" t="inlineStr"/>
      <c r="O2515">
        <f>(1-Summary!$B$11)*S2515+Summary!$B$11*U2515</f>
        <v/>
      </c>
      <c r="P2515">
        <f>IF(B2545=0,0,O2515/B2545)</f>
        <v/>
      </c>
      <c r="Q2515">
        <f>IFERROR(1/(IF(Inputs!$B$39="pvp",15,MAX(0.1,Skills!D13-IF(Skills!E13=TRUE,Inputs!$B$33,0)))*(1-IF(AND(ArtifactsInput!$M$27,Inputs!$B$4="Chapter Hunt"),CHOOSE(ArtifactsInput!$N$27+1,20,24,28,32,36,40),0)/100)),0)</f>
        <v/>
      </c>
      <c r="R2515">
        <f>IF(AND(Inputs!$B$39&lt;&gt;"pvp",Inputs!$B$44&gt;0),IF(MAX(0,Inputs!$B$44-B2542)&lt;=0,0,(INT(MAX(0,Inputs!$B$44-B2542)/(IF(Inputs!$B$39="pvp",15,MAX(0.1,Skills!D13-IF(Skills!E13=TRUE,Inputs!$B$33,0)))*(1-IF(AND(ArtifactsInput!$M$27,Inputs!$B$4="Chapter Hunt"),CHOOSE(ArtifactsInput!$N$27+1,20,24,28,32,36,40),0)/100)))+1)),0)</f>
        <v/>
      </c>
      <c r="S2515" t="n">
        <v>0</v>
      </c>
      <c r="U2515" t="n">
        <v>0</v>
      </c>
    </row>
    <row r="2516">
      <c r="A2516">
        <f>Skills!A14</f>
        <v/>
      </c>
      <c r="B2516">
        <f>Skills!B14</f>
        <v/>
      </c>
      <c r="C2516">
        <f>Inputs!$B$3&gt;=107</f>
        <v/>
      </c>
      <c r="D2516">
        <f>IF(Skills!C14=1,60+Inputs!$B$26+Inputs!$B$30,IF(Skills!C14=2,90+Inputs!$B$27+Inputs!$B$30,IF(Skills!C14=3,120+Inputs!$B$28+Inputs!$B$30,MAX(0,(Inputs!$B$3-100)*3)+Inputs!$B$29+Inputs!$B$30)))</f>
        <v/>
      </c>
      <c r="E2516">
        <f>INDEX(FactorTable!$B$2:$Y$301, MATCH(ROUND(MIN(300,MAX(1,D2516)),0), FactorTable!$A$2:$A$301,0), Skills!L14+1)</f>
        <v/>
      </c>
      <c r="F2516">
        <f>IF(Skills!M14=TRUE,(Skills!K14/10)*(E2516/1000),Skills!K14/10)+Skills!N14</f>
        <v/>
      </c>
      <c r="G2516">
        <f>Calc!G14</f>
        <v/>
      </c>
      <c r="H2516">
        <f>Calc!H14</f>
        <v/>
      </c>
      <c r="I2516">
        <f>IF(Skills!T14&lt;&gt;"",1+(Skills!T14/10)*($Z$3/1000)/100,1)</f>
        <v/>
      </c>
      <c r="J2516" t="inlineStr"/>
      <c r="K2516" t="inlineStr"/>
      <c r="L2516" t="inlineStr"/>
      <c r="M2516" t="inlineStr"/>
      <c r="N2516" t="inlineStr"/>
      <c r="O2516">
        <f>(1-Summary!$B$11)*S2516+Summary!$B$11*U2516</f>
        <v/>
      </c>
      <c r="P2516">
        <f>IF(B2545=0,0,O2516/B2545)</f>
        <v/>
      </c>
      <c r="Q2516">
        <f>IFERROR(1/(IF(Inputs!$B$39="pvp",15,MAX(0.1,Skills!D14-IF(Skills!E14=TRUE,Inputs!$B$33,0)))*(1-IF(AND(ArtifactsInput!$M$27,Inputs!$B$4="Chapter Hunt"),CHOOSE(ArtifactsInput!$N$27+1,20,24,28,32,36,40),0)/100)),0)</f>
        <v/>
      </c>
      <c r="R2516">
        <f>IF(AND(Inputs!$B$39&lt;&gt;"pvp",Inputs!$B$44&gt;0),IF(Inputs!$B$44&lt;=0,0,(INT(Inputs!$B$44/(IF(Inputs!$B$39="pvp",15,MAX(0.1,Skills!D14-IF(Skills!E14=TRUE,Inputs!$B$33,0)))*(1-IF(AND(ArtifactsInput!$M$27,Inputs!$B$4="Chapter Hunt"),CHOOSE(ArtifactsInput!$N$27+1,20,24,28,32,36,40),0)/100)))+1)),0)</f>
        <v/>
      </c>
      <c r="S2516" t="n">
        <v>0</v>
      </c>
      <c r="U2516" t="n">
        <v>0</v>
      </c>
    </row>
    <row r="2517">
      <c r="A2517">
        <f>Skills!A15</f>
        <v/>
      </c>
      <c r="B2517">
        <f>Skills!B15</f>
        <v/>
      </c>
      <c r="C2517">
        <f>Inputs!$B$3&gt;=63</f>
        <v/>
      </c>
      <c r="D2517">
        <f>IF(Skills!C15=1,60+Inputs!$B$26+Inputs!$B$30,IF(Skills!C15=2,90+Inputs!$B$27+Inputs!$B$30,IF(Skills!C15=3,120+Inputs!$B$28+Inputs!$B$30,MAX(0,(Inputs!$B$3-100)*3)+Inputs!$B$29+Inputs!$B$30)))</f>
        <v/>
      </c>
      <c r="E2517">
        <f>INDEX(FactorTable!$B$2:$Y$301, MATCH(ROUND(MIN(300,MAX(1,D2517)),0), FactorTable!$A$2:$A$301,0), Skills!L15+1)</f>
        <v/>
      </c>
      <c r="F2517">
        <f>IF(Skills!M15=TRUE,(Skills!K15/10)*(E2517/1000),Skills!K15/10)+Skills!N15</f>
        <v/>
      </c>
      <c r="G2517">
        <f>Calc!G15</f>
        <v/>
      </c>
      <c r="H2517">
        <f>Calc!H15</f>
        <v/>
      </c>
      <c r="I2517">
        <f>IF(Skills!T15&lt;&gt;"",1+(Skills!T15/10)*($Z$3/1000)/100,1)</f>
        <v/>
      </c>
      <c r="J2517">
        <f>((Inputs!$B$6*(1+Inputs!$B$7/100))+(((Inputs!$B$13*(1+Inputs!$B$14/100))-(Inputs!$B$13*(1+Inputs!$B$14/100)))+0.25*(Inputs!$B$15-Inputs!$B$15))*(1+Inputs!$B$7/100))*(F2517/100)</f>
        <v/>
      </c>
      <c r="K2517">
        <f>J2517*(1+(((Inputs!$B$13+IF(Inputs!$B$3&gt;=35,(10*INDEX(FactorTable!$B$2:$Y$301,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15="TRIUMPH_FEATHER",IF(C2518=TRUE,F2518,0),0)/100)*(1+IF(C2529=TRUE,F2529,0)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2517)</f>
        <v/>
      </c>
      <c r="L2517">
        <f>K2517*(MIN(Inputs!$B$23+(F2524-Calc!F22),(Inputs!$B$24+IF(ArtifactsInput!$M$15,CHOOSE(ArtifactsInput!$N$15+1,25,30,35,40,45,50)/100*(Inputs!$B$12-Inputs!$B$12),0)))/100+(Inputs!$B$24+IF(ArtifactsInput!$M$15,CHOOSE(ArtifactsInput!$N$15+1,25,30,35,40,45,50)/100*(Inputs!$B$12-Inputs!$B$12),0))/100)/2</f>
        <v/>
      </c>
      <c r="M2517">
        <f>L2517*(1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7">
        <f>L2517*(1-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2517*(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7">
        <f>(1-Summary!$B$11)*S2517+Summary!$B$11*U2517</f>
        <v/>
      </c>
      <c r="P2517">
        <f>IF(B2545=0,0,O2517/B2545)</f>
        <v/>
      </c>
      <c r="Q2517">
        <f>IFERROR(1/(IF(Inputs!$B$39="pvp",15,MAX(0.1,Skills!D15-IF(Skills!E15=TRUE,Inputs!$B$33,0)))*(1-IF(AND(ArtifactsInput!$M$27,Inputs!$B$4="Chapter Hunt"),CHOOSE(ArtifactsInput!$N$27+1,20,24,28,32,36,40),0)/100)),0)</f>
        <v/>
      </c>
      <c r="R2517" t="n">
        <v>0</v>
      </c>
      <c r="S2517">
        <f>IF(C2517,(Skills!F15*N2517*((IF(Inputs!$B$3&gt;=78,25,15)/100*B2538*10)/(1+IF(Inputs!$B$3&gt;=78,25,15)/100*B2538*10))*(Skills!I15/100*B2538)/(1+Skills!G15*Skills!I15/100*B2538))*IF(Inputs!$B$39="pvp",1,1+(Inputs!$B$21+Skills!O15+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2517*(1-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2517*(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2517*(1-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2517*(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7">
        <f>IF(C2517,(Skills!F15*N2517*((IF(Inputs!$B$3&gt;=78,25,15)/100*B2538*10)/(1+IF(Inputs!$B$3&gt;=78,25,15)/100*B2538*10))*(Skills!I15/100*B2538)/(1+Skills!G15*Skills!I15/100*B2538))*IF(Inputs!$B$39="pvp",1,(1+(Inputs!$B$22+Skills!P15+B2534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8">
      <c r="A2518">
        <f>Skills!A16</f>
        <v/>
      </c>
      <c r="B2518">
        <f>Skills!B16</f>
        <v/>
      </c>
      <c r="C2518">
        <f>Inputs!$B$3&gt;=100</f>
        <v/>
      </c>
      <c r="D2518">
        <f>IF(Skills!C16=1,60+Inputs!$B$26+Inputs!$B$30,IF(Skills!C16=2,90+Inputs!$B$27+Inputs!$B$30,IF(Skills!C16=3,120+Inputs!$B$28+Inputs!$B$30,MAX(0,(Inputs!$B$3-100)*3)+Inputs!$B$29+Inputs!$B$30)))</f>
        <v/>
      </c>
      <c r="E2518">
        <f>INDEX(FactorTable!$B$2:$Y$301, MATCH(ROUND(MIN(300,MAX(1,D2518)),0), FactorTable!$A$2:$A$301,0), Skills!L16+1)</f>
        <v/>
      </c>
      <c r="F2518">
        <f>IF(Skills!M16=TRUE,(Skills!K16/10)*(E2518/1000),Skills!K16/10)+Skills!N16</f>
        <v/>
      </c>
      <c r="G2518">
        <f>Calc!G16</f>
        <v/>
      </c>
      <c r="H2518">
        <f>Calc!H16</f>
        <v/>
      </c>
      <c r="I2518">
        <f>IF(Skills!T16&lt;&gt;"",1+(Skills!T16/10)*($Z$3/1000)/100,1)</f>
        <v/>
      </c>
      <c r="J2518" t="inlineStr"/>
      <c r="K2518" t="inlineStr"/>
      <c r="L2518" t="inlineStr"/>
      <c r="M2518" t="inlineStr"/>
      <c r="N2518" t="inlineStr"/>
      <c r="O2518">
        <f>(1-Summary!$B$11)*S2518+Summary!$B$11*U2518</f>
        <v/>
      </c>
      <c r="P2518">
        <f>IF(B2545=0,0,O2518/B2545)</f>
        <v/>
      </c>
      <c r="Q2518">
        <f>IFERROR(1/(IF(Inputs!$B$39="pvp",15,MAX(0.1,Skills!D16-IF(Skills!E16=TRUE,Inputs!$B$33,0)))*(1-IF(AND(ArtifactsInput!$M$27,Inputs!$B$4="Chapter Hunt"),CHOOSE(ArtifactsInput!$N$27+1,20,24,28,32,36,40),0)/100)),0)</f>
        <v/>
      </c>
      <c r="R2518" t="n">
        <v>0</v>
      </c>
      <c r="S2518" t="n">
        <v>0</v>
      </c>
      <c r="U2518" t="n">
        <v>0</v>
      </c>
    </row>
    <row r="2519">
      <c r="A2519">
        <f>Skills!A17</f>
        <v/>
      </c>
      <c r="B2519">
        <f>Skills!B17</f>
        <v/>
      </c>
      <c r="C2519">
        <f>Inputs!$B$3&gt;=49</f>
        <v/>
      </c>
      <c r="D2519">
        <f>IF(Skills!C17=1,60+Inputs!$B$26+Inputs!$B$30,IF(Skills!C17=2,90+Inputs!$B$27+Inputs!$B$30,IF(Skills!C17=3,120+Inputs!$B$28+Inputs!$B$30,MAX(0,(Inputs!$B$3-100)*3)+Inputs!$B$29+Inputs!$B$30)))</f>
        <v/>
      </c>
      <c r="E2519">
        <f>INDEX(FactorTable!$B$2:$Y$301, MATCH(ROUND(MIN(300,MAX(1,D2519)),0), FactorTable!$A$2:$A$301,0), Skills!L17+1)</f>
        <v/>
      </c>
      <c r="F2519">
        <f>IF(Skills!M17=TRUE,(Skills!K17/10)*(E2519/1000),Skills!K17/10)+Skills!N17</f>
        <v/>
      </c>
      <c r="G2519">
        <f>Calc!G17</f>
        <v/>
      </c>
      <c r="H2519">
        <f>Calc!H17</f>
        <v/>
      </c>
      <c r="I2519">
        <f>IF(Skills!T17&lt;&gt;"",1+(Skills!T17/10)*($Z$3/1000)/100,1)</f>
        <v/>
      </c>
      <c r="J2519" t="inlineStr"/>
      <c r="K2519" t="inlineStr"/>
      <c r="L2519" t="inlineStr"/>
      <c r="M2519" t="inlineStr"/>
      <c r="N2519" t="inlineStr"/>
      <c r="O2519">
        <f>(1-Summary!$B$11)*S2519+Summary!$B$11*U2519</f>
        <v/>
      </c>
      <c r="P2519">
        <f>IF(B2545=0,0,O2519/B2545)</f>
        <v/>
      </c>
      <c r="Q2519">
        <f>IFERROR(1/(IF(Inputs!$B$39="pvp",15,MAX(0.1,Skills!D17-IF(Skills!E17=TRUE,Inputs!$B$33,0)))*(1-IF(AND(ArtifactsInput!$M$27,Inputs!$B$4="Chapter Hunt"),CHOOSE(ArtifactsInput!$N$27+1,20,24,28,32,36,40),0)/100)),0)</f>
        <v/>
      </c>
      <c r="R2519" t="n">
        <v>0</v>
      </c>
      <c r="S2519" t="n">
        <v>0</v>
      </c>
      <c r="U2519" t="n">
        <v>0</v>
      </c>
    </row>
    <row r="2520">
      <c r="A2520">
        <f>Skills!A18</f>
        <v/>
      </c>
      <c r="B2520">
        <f>Skills!B18</f>
        <v/>
      </c>
      <c r="C2520">
        <f>Inputs!$B$3&gt;=75</f>
        <v/>
      </c>
      <c r="D2520">
        <f>IF(Skills!C18=1,60+Inputs!$B$26+Inputs!$B$30,IF(Skills!C18=2,90+Inputs!$B$27+Inputs!$B$30,IF(Skills!C18=3,120+Inputs!$B$28+Inputs!$B$30,MAX(0,(Inputs!$B$3-100)*3)+Inputs!$B$29+Inputs!$B$30)))</f>
        <v/>
      </c>
      <c r="E2520">
        <f>INDEX(FactorTable!$B$2:$Y$301, MATCH(ROUND(MIN(300,MAX(1,D2520)),0), FactorTable!$A$2:$A$301,0), Skills!L18+1)</f>
        <v/>
      </c>
      <c r="F2520">
        <f>IF(Skills!M18=TRUE,(Skills!K18/10)*(E2520/1000),Skills!K18/10)+Skills!N18</f>
        <v/>
      </c>
      <c r="G2520">
        <f>Calc!G18</f>
        <v/>
      </c>
      <c r="H2520">
        <f>Calc!H18</f>
        <v/>
      </c>
      <c r="I2520">
        <f>IF(Skills!T18&lt;&gt;"",1+(Skills!T18/10)*($Z$3/1000)/100,1)</f>
        <v/>
      </c>
      <c r="J2520" t="inlineStr"/>
      <c r="K2520" t="inlineStr"/>
      <c r="L2520" t="inlineStr"/>
      <c r="M2520" t="inlineStr"/>
      <c r="N2520" t="inlineStr"/>
      <c r="O2520">
        <f>(1-Summary!$B$11)*S2520+Summary!$B$11*U2520</f>
        <v/>
      </c>
      <c r="P2520">
        <f>IF(B2545=0,0,O2520/B2545)</f>
        <v/>
      </c>
      <c r="Q2520">
        <f>IFERROR(1/(IF(Inputs!$B$39="pvp",15,MAX(0.1,Skills!D18-IF(Skills!E18=TRUE,Inputs!$B$33,0)))*(1-IF(AND(ArtifactsInput!$M$27,Inputs!$B$4="Chapter Hunt"),CHOOSE(ArtifactsInput!$N$27+1,20,24,28,32,36,40),0)/100)),0)</f>
        <v/>
      </c>
      <c r="R2520" t="n">
        <v>0</v>
      </c>
      <c r="S2520" t="n">
        <v>0</v>
      </c>
      <c r="U2520" t="n">
        <v>0</v>
      </c>
    </row>
    <row r="2521">
      <c r="A2521">
        <f>Skills!A19</f>
        <v/>
      </c>
      <c r="B2521">
        <f>Skills!B19</f>
        <v/>
      </c>
      <c r="C2521">
        <f>Inputs!$B$3&gt;=110</f>
        <v/>
      </c>
      <c r="D2521">
        <f>IF(Skills!C19=1,60+Inputs!$B$26+Inputs!$B$30,IF(Skills!C19=2,90+Inputs!$B$27+Inputs!$B$30,IF(Skills!C19=3,120+Inputs!$B$28+Inputs!$B$30,MAX(0,(Inputs!$B$3-100)*3)+Inputs!$B$29+Inputs!$B$30)))</f>
        <v/>
      </c>
      <c r="E2521">
        <f>INDEX(FactorTable!$B$2:$Y$301, MATCH(ROUND(MIN(300,MAX(1,D2521)),0), FactorTable!$A$2:$A$301,0), Skills!L19+1)</f>
        <v/>
      </c>
      <c r="F2521">
        <f>(Skills!K19/10)*(E2521/1000)*64/45+Skills!N19</f>
        <v/>
      </c>
      <c r="G2521">
        <f>Calc!G19</f>
        <v/>
      </c>
      <c r="H2521">
        <f>Calc!H19</f>
        <v/>
      </c>
      <c r="I2521">
        <f>IF(Skills!T19&lt;&gt;"",1+(Skills!T19/10)*($Z$3/1000)/100,1)</f>
        <v/>
      </c>
      <c r="J2521" t="inlineStr"/>
      <c r="K2521" t="inlineStr"/>
      <c r="L2521" t="inlineStr"/>
      <c r="M2521" t="inlineStr"/>
      <c r="N2521" t="inlineStr"/>
      <c r="O2521">
        <f>(1-Summary!$B$11)*S2521+Summary!$B$11*U2521</f>
        <v/>
      </c>
      <c r="P2521">
        <f>IF(B2545=0,0,O2521/B2545)</f>
        <v/>
      </c>
      <c r="Q2521">
        <f>IFERROR(1/(IF(Inputs!$B$39="pvp",15,MAX(0.1,Skills!D19-IF(Skills!E19=TRUE,Inputs!$B$33,0)))*(1-IF(AND(ArtifactsInput!$M$27,Inputs!$B$4="Chapter Hunt"),CHOOSE(ArtifactsInput!$N$27+1,20,24,28,32,36,40),0)/100)),0)</f>
        <v/>
      </c>
      <c r="R2521">
        <f>IF(AND(Inputs!$B$39&lt;&gt;"pvp",Inputs!$B$44&gt;0),IF(Inputs!$B$44&lt;=0,0,(INT(Inputs!$B$44/(IF(Inputs!$B$39="pvp",15,MAX(0.1,Skills!D19-IF(Skills!E19=TRUE,Inputs!$B$33,0)))*(1-IF(AND(ArtifactsInput!$M$27,Inputs!$B$4="Chapter Hunt"),CHOOSE(ArtifactsInput!$N$27+1,20,24,28,32,36,40),0)/100)))+1)),0)</f>
        <v/>
      </c>
      <c r="S2521" t="n">
        <v>0</v>
      </c>
      <c r="U2521" t="n">
        <v>0</v>
      </c>
    </row>
    <row r="2522">
      <c r="A2522">
        <f>Skills!A20</f>
        <v/>
      </c>
      <c r="B2522">
        <f>Skills!B20</f>
        <v/>
      </c>
      <c r="C2522">
        <f>Inputs!$B$3&gt;=125</f>
        <v/>
      </c>
      <c r="D2522">
        <f>IF(Skills!C20=1,60+Inputs!$B$26+Inputs!$B$30,IF(Skills!C20=2,90+Inputs!$B$27+Inputs!$B$30,IF(Skills!C20=3,120+Inputs!$B$28+Inputs!$B$30,MAX(0,(Inputs!$B$3-100)*3)+Inputs!$B$29+Inputs!$B$30)))</f>
        <v/>
      </c>
      <c r="E2522">
        <f>INDEX(FactorTable!$B$2:$Y$301, MATCH(ROUND(MIN(300,MAX(1,D2522)),0), FactorTable!$A$2:$A$301,0), Skills!L20+1)</f>
        <v/>
      </c>
      <c r="F2522">
        <f>IF(Skills!M20=TRUE,(Skills!K20/10)*(E2522/1000),Skills!K20/10)+Skills!N20</f>
        <v/>
      </c>
      <c r="G2522">
        <f>Calc!G20</f>
        <v/>
      </c>
      <c r="H2522">
        <f>Calc!H20</f>
        <v/>
      </c>
      <c r="I2522">
        <f>IF(Skills!T20&lt;&gt;"",1+(Skills!T20/10)*($Z$3/1000)/100,1)</f>
        <v/>
      </c>
      <c r="J2522" t="inlineStr"/>
      <c r="K2522" t="inlineStr"/>
      <c r="L2522" t="inlineStr"/>
      <c r="M2522" t="inlineStr"/>
      <c r="N2522" t="inlineStr"/>
      <c r="O2522">
        <f>(1-Summary!$B$11)*S2522+Summary!$B$11*U2522</f>
        <v/>
      </c>
      <c r="P2522">
        <f>IF(B2545=0,0,O2522/B2545)</f>
        <v/>
      </c>
      <c r="Q2522">
        <f>IFERROR(1/(IF(Inputs!$B$39="pvp",15,MAX(0.1,Skills!D20-IF(Skills!E20=TRUE,Inputs!$B$33,0)))*(1-IF(AND(ArtifactsInput!$M$27,Inputs!$B$4="Chapter Hunt"),CHOOSE(ArtifactsInput!$N$27+1,20,24,28,32,36,40),0)/100)),0)</f>
        <v/>
      </c>
      <c r="R2522" t="n">
        <v>0</v>
      </c>
      <c r="S2522" t="n">
        <v>0</v>
      </c>
      <c r="U2522" t="n">
        <v>0</v>
      </c>
    </row>
    <row r="2523">
      <c r="A2523">
        <f>Skills!A21</f>
        <v/>
      </c>
      <c r="B2523">
        <f>Skills!B21</f>
        <v/>
      </c>
      <c r="C2523">
        <f>Inputs!$B$3&gt;=33</f>
        <v/>
      </c>
      <c r="D2523">
        <f>IF(Skills!C21=1,60+Inputs!$B$26+Inputs!$B$30,IF(Skills!C21=2,90+Inputs!$B$27+Inputs!$B$30,IF(Skills!C21=3,120+Inputs!$B$28+Inputs!$B$30,MAX(0,(Inputs!$B$3-100)*3)+Inputs!$B$29+Inputs!$B$30)))</f>
        <v/>
      </c>
      <c r="E2523">
        <f>INDEX(FactorTable!$B$2:$Y$301, MATCH(ROUND(MIN(300,MAX(1,D2523)),0), FactorTable!$A$2:$A$301,0), Skills!L21+1)</f>
        <v/>
      </c>
      <c r="F2523">
        <f>IF(Skills!M21=TRUE,(Skills!K21/10)*(E2523/1000),Skills!K21/10)+Skills!N21</f>
        <v/>
      </c>
      <c r="G2523">
        <f>Calc!G21</f>
        <v/>
      </c>
      <c r="H2523">
        <f>Calc!H21</f>
        <v/>
      </c>
      <c r="I2523">
        <f>IF(Skills!T21&lt;&gt;"",1+(Skills!T21/10)*($Z$3/1000)/100,1)</f>
        <v/>
      </c>
      <c r="J2523" t="inlineStr"/>
      <c r="K2523" t="inlineStr"/>
      <c r="L2523" t="inlineStr"/>
      <c r="M2523" t="inlineStr"/>
      <c r="N2523" t="inlineStr"/>
      <c r="O2523">
        <f>(1-Summary!$B$11)*S2523+Summary!$B$11*U2523</f>
        <v/>
      </c>
      <c r="P2523">
        <f>IF(B2545=0,0,O2523/B2545)</f>
        <v/>
      </c>
      <c r="Q2523">
        <f>IFERROR(1/(IF(Inputs!$B$39="pvp",15,MAX(0.1,Skills!D21-IF(Skills!E21=TRUE,Inputs!$B$33,0)))*(1-IF(AND(ArtifactsInput!$M$27,Inputs!$B$4="Chapter Hunt"),CHOOSE(ArtifactsInput!$N$27+1,20,24,28,32,36,40),0)/100)),0)</f>
        <v/>
      </c>
      <c r="R2523" t="n">
        <v>0</v>
      </c>
      <c r="S2523" t="n">
        <v>0</v>
      </c>
      <c r="U2523" t="n">
        <v>0</v>
      </c>
    </row>
    <row r="2524">
      <c r="A2524">
        <f>Skills!A22</f>
        <v/>
      </c>
      <c r="B2524">
        <f>Skills!B22</f>
        <v/>
      </c>
      <c r="C2524">
        <f>Inputs!$B$3&gt;=43</f>
        <v/>
      </c>
      <c r="D2524">
        <f>IF(Skills!C22=1,60+Inputs!$B$26+Inputs!$B$30,IF(Skills!C22=2,90+Inputs!$B$27+Inputs!$B$30,IF(Skills!C22=3,120+Inputs!$B$28+Inputs!$B$30,MAX(0,(Inputs!$B$3-100)*3)+Inputs!$B$29+Inputs!$B$30)))</f>
        <v/>
      </c>
      <c r="E2524">
        <f>INDEX(FactorTable!$B$2:$Y$301, MATCH(ROUND(MIN(300,MAX(1,D2524)),0), FactorTable!$A$2:$A$301,0), Skills!L22+1)</f>
        <v/>
      </c>
      <c r="F2524">
        <f>IF(Skills!M22=TRUE,(Skills!K22/10)*(E2524/1000),Skills!K22/10)+Skills!N22</f>
        <v/>
      </c>
      <c r="G2524">
        <f>Calc!G22</f>
        <v/>
      </c>
      <c r="H2524">
        <f>Calc!H22</f>
        <v/>
      </c>
      <c r="I2524">
        <f>IF(Skills!T22&lt;&gt;"",1+(Skills!T22/10)*($Z$3/1000)/100,1)</f>
        <v/>
      </c>
      <c r="J2524" t="inlineStr"/>
      <c r="K2524" t="inlineStr"/>
      <c r="L2524" t="inlineStr"/>
      <c r="M2524" t="inlineStr"/>
      <c r="N2524" t="inlineStr"/>
      <c r="O2524">
        <f>(1-Summary!$B$11)*S2524+Summary!$B$11*U2524</f>
        <v/>
      </c>
      <c r="P2524">
        <f>IF(B2545=0,0,O2524/B2545)</f>
        <v/>
      </c>
      <c r="Q2524">
        <f>IFERROR(1/(IF(Inputs!$B$39="pvp",15,MAX(0.1,Skills!D22-IF(Skills!E22=TRUE,Inputs!$B$33,0)))*(1-IF(AND(ArtifactsInput!$M$27,Inputs!$B$4="Chapter Hunt"),CHOOSE(ArtifactsInput!$N$27+1,20,24,28,32,36,40),0)/100)),0)</f>
        <v/>
      </c>
      <c r="R2524" t="n">
        <v>0</v>
      </c>
      <c r="S2524" t="n">
        <v>0</v>
      </c>
      <c r="U2524" t="n">
        <v>0</v>
      </c>
    </row>
    <row r="2525">
      <c r="A2525">
        <f>Skills!A23</f>
        <v/>
      </c>
      <c r="B2525">
        <f>Skills!B23</f>
        <v/>
      </c>
      <c r="C2525">
        <f>Inputs!$B$3&gt;=50</f>
        <v/>
      </c>
      <c r="D2525">
        <f>IF(Skills!C23=1,60+Inputs!$B$26+Inputs!$B$30,IF(Skills!C23=2,90+Inputs!$B$27+Inputs!$B$30,IF(Skills!C23=3,120+Inputs!$B$28+Inputs!$B$30,MAX(0,(Inputs!$B$3-100)*3)+Inputs!$B$29+Inputs!$B$30)))</f>
        <v/>
      </c>
      <c r="E2525">
        <f>INDEX(FactorTable!$B$2:$Y$301, MATCH(ROUND(MIN(300,MAX(1,D2525)),0), FactorTable!$A$2:$A$301,0), Skills!L23+1)</f>
        <v/>
      </c>
      <c r="F2525">
        <f>IF(Skills!M23=TRUE,(Skills!K23/10)*(E2525/1000),Skills!K23/10)+Skills!N23</f>
        <v/>
      </c>
      <c r="G2525">
        <f>Calc!G23</f>
        <v/>
      </c>
      <c r="H2525">
        <f>Calc!H23</f>
        <v/>
      </c>
      <c r="I2525">
        <f>IF(Skills!T23&lt;&gt;"",1+(Skills!T23/10)*($Z$3/1000)/100,1)</f>
        <v/>
      </c>
      <c r="J2525" t="inlineStr"/>
      <c r="K2525" t="inlineStr"/>
      <c r="L2525" t="inlineStr"/>
      <c r="M2525" t="inlineStr"/>
      <c r="N2525" t="inlineStr"/>
      <c r="O2525">
        <f>(1-Summary!$B$11)*S2525+Summary!$B$11*U2525</f>
        <v/>
      </c>
      <c r="P2525">
        <f>IF(B2545=0,0,O2525/B2545)</f>
        <v/>
      </c>
      <c r="Q2525">
        <f>IFERROR(1/(IF(Inputs!$B$39="pvp",15,MAX(0.1,Skills!D23-IF(Skills!E23=TRUE,Inputs!$B$33,0)))*(1-IF(AND(ArtifactsInput!$M$27,Inputs!$B$4="Chapter Hunt"),CHOOSE(ArtifactsInput!$N$27+1,20,24,28,32,36,40),0)/100)),0)</f>
        <v/>
      </c>
      <c r="R2525" t="n">
        <v>0</v>
      </c>
      <c r="S2525" t="n">
        <v>0</v>
      </c>
      <c r="U2525" t="n">
        <v>0</v>
      </c>
    </row>
    <row r="2526">
      <c r="A2526">
        <f>Skills!A24</f>
        <v/>
      </c>
      <c r="B2526">
        <f>Skills!B24</f>
        <v/>
      </c>
      <c r="C2526">
        <f>Inputs!$B$3&gt;=74</f>
        <v/>
      </c>
      <c r="D2526">
        <f>IF(Skills!C24=1,60+Inputs!$B$26+Inputs!$B$30,IF(Skills!C24=2,90+Inputs!$B$27+Inputs!$B$30,IF(Skills!C24=3,120+Inputs!$B$28+Inputs!$B$30,MAX(0,(Inputs!$B$3-100)*3)+Inputs!$B$29+Inputs!$B$30)))</f>
        <v/>
      </c>
      <c r="E2526">
        <f>INDEX(FactorTable!$B$2:$Y$301, MATCH(ROUND(MIN(300,MAX(1,D2526)),0), FactorTable!$A$2:$A$301,0), Skills!L24+1)</f>
        <v/>
      </c>
      <c r="F2526">
        <f>IF(Skills!M24=TRUE,(Skills!K24/10)*(E2526/1000),Skills!K24/10)+Skills!N24</f>
        <v/>
      </c>
      <c r="G2526">
        <f>Calc!G24</f>
        <v/>
      </c>
      <c r="H2526">
        <f>Calc!H24</f>
        <v/>
      </c>
      <c r="I2526">
        <f>IF(Skills!T24&lt;&gt;"",1+(Skills!T24/10)*($Z$3/1000)/100,1)</f>
        <v/>
      </c>
      <c r="J2526" t="inlineStr"/>
      <c r="K2526" t="inlineStr"/>
      <c r="L2526" t="inlineStr"/>
      <c r="M2526" t="inlineStr"/>
      <c r="N2526" t="inlineStr"/>
      <c r="O2526">
        <f>(1-Summary!$B$11)*S2526+Summary!$B$11*U2526</f>
        <v/>
      </c>
      <c r="P2526">
        <f>IF(B2545=0,0,O2526/B2545)</f>
        <v/>
      </c>
      <c r="Q2526">
        <f>IFERROR(1/(IF(Inputs!$B$39="pvp",15,MAX(0.1,Skills!D24-IF(Skills!E24=TRUE,Inputs!$B$33,0)))*(1-IF(AND(ArtifactsInput!$M$27,Inputs!$B$4="Chapter Hunt"),CHOOSE(ArtifactsInput!$N$27+1,20,24,28,32,36,40),0)/100)),0)</f>
        <v/>
      </c>
      <c r="R2526" t="n">
        <v>0</v>
      </c>
      <c r="S2526" t="n">
        <v>0</v>
      </c>
      <c r="U2526" t="n">
        <v>0</v>
      </c>
    </row>
    <row r="2527">
      <c r="A2527">
        <f>Skills!A25</f>
        <v/>
      </c>
      <c r="B2527">
        <f>Skills!B25</f>
        <v/>
      </c>
      <c r="C2527">
        <f>Inputs!$B$3&gt;=74</f>
        <v/>
      </c>
      <c r="D2527">
        <f>IF(Skills!C25=1,60+Inputs!$B$26+Inputs!$B$30,IF(Skills!C25=2,90+Inputs!$B$27+Inputs!$B$30,IF(Skills!C25=3,120+Inputs!$B$28+Inputs!$B$30,MAX(0,(Inputs!$B$3-100)*3)+Inputs!$B$29+Inputs!$B$30)))</f>
        <v/>
      </c>
      <c r="E2527">
        <f>INDEX(FactorTable!$B$2:$Y$301, MATCH(ROUND(MIN(300,MAX(1,D2527)),0), FactorTable!$A$2:$A$301,0), Skills!L25+1)</f>
        <v/>
      </c>
      <c r="F2527">
        <f>IF(Skills!M25=TRUE,(Skills!K25/10)*(E2527/1000),Skills!K25/10)+Skills!N25</f>
        <v/>
      </c>
      <c r="G2527">
        <f>Calc!G25</f>
        <v/>
      </c>
      <c r="H2527">
        <f>Calc!H25</f>
        <v/>
      </c>
      <c r="I2527">
        <f>IF(Skills!T25&lt;&gt;"",1+(Skills!T25/10)*($Z$3/1000)/100,1)</f>
        <v/>
      </c>
      <c r="J2527" t="inlineStr"/>
      <c r="K2527" t="inlineStr"/>
      <c r="L2527" t="inlineStr"/>
      <c r="M2527" t="inlineStr"/>
      <c r="N2527" t="inlineStr"/>
      <c r="O2527">
        <f>(1-Summary!$B$11)*S2527+Summary!$B$11*U2527</f>
        <v/>
      </c>
      <c r="P2527">
        <f>IF(B2545=0,0,O2527/B2545)</f>
        <v/>
      </c>
      <c r="Q2527">
        <f>IFERROR(1/(IF(Inputs!$B$39="pvp",15,MAX(0.1,Skills!D25-IF(Skills!E25=TRUE,Inputs!$B$33,0)))*(1-IF(AND(ArtifactsInput!$M$27,Inputs!$B$4="Chapter Hunt"),CHOOSE(ArtifactsInput!$N$27+1,20,24,28,32,36,40),0)/100)),0)</f>
        <v/>
      </c>
      <c r="R2527" t="n">
        <v>0</v>
      </c>
      <c r="S2527" t="n">
        <v>0</v>
      </c>
      <c r="U2527" t="n">
        <v>0</v>
      </c>
    </row>
    <row r="2528">
      <c r="A2528">
        <f>Skills!A26</f>
        <v/>
      </c>
      <c r="B2528">
        <f>Skills!B26</f>
        <v/>
      </c>
      <c r="C2528">
        <f>Inputs!$B$3&gt;=117</f>
        <v/>
      </c>
      <c r="D2528">
        <f>IF(Skills!C26=1,60+Inputs!$B$26+Inputs!$B$30,IF(Skills!C26=2,90+Inputs!$B$27+Inputs!$B$30,IF(Skills!C26=3,120+Inputs!$B$28+Inputs!$B$30,MAX(0,(Inputs!$B$3-100)*3)+Inputs!$B$29+Inputs!$B$30)))</f>
        <v/>
      </c>
      <c r="E2528">
        <f>INDEX(FactorTable!$B$2:$Y$301, MATCH(ROUND(MIN(300,MAX(1,D2528)),0), FactorTable!$A$2:$A$301,0), Skills!L26+1)</f>
        <v/>
      </c>
      <c r="F2528">
        <f>IF(Skills!M26=TRUE,(Skills!K26/10)*(E2528/1000),Skills!K26/10)+Skills!N26</f>
        <v/>
      </c>
      <c r="G2528">
        <f>Calc!G26</f>
        <v/>
      </c>
      <c r="H2528">
        <f>Calc!H26</f>
        <v/>
      </c>
      <c r="I2528">
        <f>IF(Skills!T26&lt;&gt;"",1+(Skills!T26/10)*($Z$3/1000)/100,1)</f>
        <v/>
      </c>
      <c r="J2528" t="inlineStr"/>
      <c r="K2528" t="inlineStr"/>
      <c r="L2528" t="inlineStr"/>
      <c r="M2528" t="inlineStr"/>
      <c r="N2528" t="inlineStr"/>
      <c r="O2528">
        <f>(1-Summary!$B$11)*S2528+Summary!$B$11*U2528</f>
        <v/>
      </c>
      <c r="P2528">
        <f>IF(B2545=0,0,O2528/B2545)</f>
        <v/>
      </c>
      <c r="Q2528">
        <f>IFERROR(1/(IF(Inputs!$B$39="pvp",15,MAX(0.1,Skills!D26-IF(Skills!E26=TRUE,Inputs!$B$33,0)))*(1-IF(AND(ArtifactsInput!$M$27,Inputs!$B$4="Chapter Hunt"),CHOOSE(ArtifactsInput!$N$27+1,20,24,28,32,36,40),0)/100)),0)</f>
        <v/>
      </c>
      <c r="R2528" t="n">
        <v>0</v>
      </c>
      <c r="S2528" t="n">
        <v>0</v>
      </c>
      <c r="U2528" t="n">
        <v>0</v>
      </c>
    </row>
    <row r="2529">
      <c r="A2529">
        <f>Skills!A27</f>
        <v/>
      </c>
      <c r="B2529">
        <f>Skills!B27</f>
        <v/>
      </c>
      <c r="C2529">
        <f>Inputs!$B$3&gt;=120</f>
        <v/>
      </c>
      <c r="D2529">
        <f>IF(Skills!C27=1,60+Inputs!$B$26+Inputs!$B$30,IF(Skills!C27=2,90+Inputs!$B$27+Inputs!$B$30,IF(Skills!C27=3,120+Inputs!$B$28+Inputs!$B$30,MAX(0,(Inputs!$B$3-100)*3)+Inputs!$B$29+Inputs!$B$30)))</f>
        <v/>
      </c>
      <c r="E2529">
        <f>INDEX(FactorTable!$B$2:$Y$301, MATCH(ROUND(MIN(300,MAX(1,D2529)),0), FactorTable!$A$2:$A$301,0), Skills!L27+1)</f>
        <v/>
      </c>
      <c r="F2529">
        <f>IF(Skills!M27=TRUE,(Skills!K27/10)*(E2529/1000),Skills!K27/10)+Skills!N27</f>
        <v/>
      </c>
      <c r="G2529">
        <f>Calc!G27</f>
        <v/>
      </c>
      <c r="H2529">
        <f>Calc!H27</f>
        <v/>
      </c>
      <c r="I2529">
        <f>IF(Skills!T27&lt;&gt;"",1+(Skills!T27/10)*($Z$3/1000)/100,1)</f>
        <v/>
      </c>
      <c r="J2529" t="inlineStr"/>
      <c r="K2529" t="inlineStr"/>
      <c r="L2529" t="inlineStr"/>
      <c r="M2529" t="inlineStr"/>
      <c r="N2529" t="inlineStr"/>
      <c r="O2529">
        <f>(1-Summary!$B$11)*S2529+Summary!$B$11*U2529</f>
        <v/>
      </c>
      <c r="P2529">
        <f>IF(B2545=0,0,O2529/B2545)</f>
        <v/>
      </c>
      <c r="Q2529">
        <f>IFERROR(1/(IF(Inputs!$B$39="pvp",15,MAX(0.1,Skills!D27-IF(Skills!E27=TRUE,Inputs!$B$33,0)))*(1-IF(AND(ArtifactsInput!$M$27,Inputs!$B$4="Chapter Hunt"),CHOOSE(ArtifactsInput!$N$27+1,20,24,28,32,36,40),0)/100)),0)</f>
        <v/>
      </c>
      <c r="R2529" t="n">
        <v>0</v>
      </c>
      <c r="S2529" t="n">
        <v>0</v>
      </c>
      <c r="U2529" t="n">
        <v>0</v>
      </c>
    </row>
    <row r="2530">
      <c r="A2530">
        <f>Skills!A28</f>
        <v/>
      </c>
      <c r="B2530">
        <f>Skills!B28</f>
        <v/>
      </c>
      <c r="C2530">
        <f>TRUE</f>
        <v/>
      </c>
      <c r="D2530">
        <f>IF(Skills!C28=1,60+Inputs!$B$26+Inputs!$B$30,IF(Skills!C28=2,90+Inputs!$B$27+Inputs!$B$30,IF(Skills!C28=3,120+Inputs!$B$28+Inputs!$B$30,MAX(0,(Inputs!$B$3-100)*3)+Inputs!$B$29+Inputs!$B$30)))</f>
        <v/>
      </c>
      <c r="E2530">
        <f>INDEX(FactorTable!$B$2:$Y$301, MATCH(ROUND(MIN(300,MAX(1,D2530)),0), FactorTable!$A$2:$A$301,0), Skills!L28+1)</f>
        <v/>
      </c>
      <c r="F2530">
        <f>IF(Skills!M28=TRUE,(Skills!K28/10)*(E2530/1000),Skills!K28/10)+Skills!N28</f>
        <v/>
      </c>
      <c r="G2530">
        <f>Calc!G28</f>
        <v/>
      </c>
      <c r="H2530">
        <f>Calc!H28</f>
        <v/>
      </c>
      <c r="I2530">
        <f>IF(Skills!T28&lt;&gt;"",1+(Skills!T28/10)*($Z$3/1000)/100,1)</f>
        <v/>
      </c>
      <c r="J2530" t="inlineStr"/>
      <c r="K2530" t="inlineStr"/>
      <c r="L2530" t="inlineStr"/>
      <c r="M2530" t="inlineStr"/>
      <c r="N2530" t="inlineStr"/>
      <c r="O2530">
        <f>(1-Summary!$B$11)*S2530+Summary!$B$11*U2530</f>
        <v/>
      </c>
      <c r="P2530">
        <f>IF(B2545=0,0,O2530/B2545)</f>
        <v/>
      </c>
      <c r="Q2530">
        <f>IFERROR(1/(IF(Inputs!$B$39="pvp",15,MAX(0.1,Skills!D28-IF(Skills!E28=TRUE,Inputs!$B$33,0)))*(1-IF(AND(ArtifactsInput!$M$27,Inputs!$B$4="Chapter Hunt"),CHOOSE(ArtifactsInput!$N$27+1,20,24,28,32,36,40),0)/100)),0)</f>
        <v/>
      </c>
      <c r="R2530">
        <f>IF(AND(Inputs!$B$39&lt;&gt;"pvp",Inputs!$B$44&gt;0),IF(Inputs!$B$44&lt;=0,0,(INT(Inputs!$B$44/(IF(Inputs!$B$39="pvp",15,MAX(0.1,Skills!D28-IF(Skills!E28=TRUE,Inputs!$B$33,0)))*(1-IF(AND(ArtifactsInput!$M$27,Inputs!$B$4="Chapter Hunt"),CHOOSE(ArtifactsInput!$N$27+1,20,24,28,32,36,40),0)/100)))+1)),0)</f>
        <v/>
      </c>
      <c r="S2530" t="n">
        <v>0</v>
      </c>
      <c r="U2530" t="n">
        <v>0</v>
      </c>
    </row>
    <row r="2532">
      <c r="A2532" t="inlineStr">
        <is>
          <t>Average Buff Multiplier</t>
        </is>
      </c>
      <c r="B2532">
        <f>(1+(IF(C2505=TRUE,F2505*IF(AND(Inputs!$B$39&lt;&gt;"pvp",Inputs!$B$44&gt;0),(((R2505-1)*(Skills!S3*(1+((Inputs!$B$35+(ArtifactsInput!$M$7-ArtifactsInput!$M$7)*CHOOSE(ArtifactsInput!$N$7+1,6,7.2,8.4,9.6,10.8,12))+IF(Inputs!$B$3&gt;=117,F2528,0))/100))+MIN((Skills!S3*(1+((Inputs!$B$35+(ArtifactsInput!$M$7-ArtifactsInput!$M$7)*CHOOSE(ArtifactsInput!$N$7+1,6,7.2,8.4,9.6,10.8,12))+IF(Inputs!$B$3&gt;=117,F2528,0))/100)),MAX(0,Inputs!$B$44-((R2505-1)*Skills!D3))))/Inputs!$B$44),IF(Inputs!$B$39="pvp",MIN((Skills!S3*(1+((Inputs!$B$35+(ArtifactsInput!$M$7-ArtifactsInput!$M$7)*CHOOSE(ArtifactsInput!$N$7+1,6,7.2,8.4,9.6,10.8,12))+IF(Inputs!$B$3&gt;=117,F2528,0))/100)),15)/15,(Skills!S3*(1+((Inputs!$B$35+(ArtifactsInput!$M$7-ArtifactsInput!$M$7)*CHOOSE(ArtifactsInput!$N$7+1,6,7.2,8.4,9.6,10.8,12))+IF(Inputs!$B$3&gt;=117,F2528,0))/100))/Skills!D3)),0)+IF(C2506=TRUE,F2506*IF(AND(Inputs!$B$39&lt;&gt;"pvp",Inputs!$B$44&gt;0),(((R2506-1)*(Skills!S4*(1+((Inputs!$B$35+(ArtifactsInput!$M$7-ArtifactsInput!$M$7)*CHOOSE(ArtifactsInput!$N$7+1,6,7.2,8.4,9.6,10.8,12))+IF(Inputs!$B$3&gt;=117,F2528,0))/100))+MIN((Skills!S4*(1+((Inputs!$B$35+(ArtifactsInput!$M$7-ArtifactsInput!$M$7)*CHOOSE(ArtifactsInput!$N$7+1,6,7.2,8.4,9.6,10.8,12))+IF(Inputs!$B$3&gt;=117,F2528,0))/100)),MAX(0,Inputs!$B$44-((R2506-1)*Skills!D4))))/Inputs!$B$44),IF(Inputs!$B$39="pvp",MIN((Skills!S4*(1+((Inputs!$B$35+(ArtifactsInput!$M$7-ArtifactsInput!$M$7)*CHOOSE(ArtifactsInput!$N$7+1,6,7.2,8.4,9.6,10.8,12))+IF(Inputs!$B$3&gt;=117,F2528,0))/100)),15)/15,(Skills!S4*(1+((Inputs!$B$35+(ArtifactsInput!$M$7-ArtifactsInput!$M$7)*CHOOSE(ArtifactsInput!$N$7+1,6,7.2,8.4,9.6,10.8,12))+IF(Inputs!$B$3&gt;=117,F2528,0))/100))/Skills!D4)),0)+IF(C2507=TRUE,F2507*IF(AND(Inputs!$B$39&lt;&gt;"pvp",Inputs!$B$44&gt;0),(((R2507-1)*(Skills!S5*(1+((Inputs!$B$35+(ArtifactsInput!$M$7-ArtifactsInput!$M$7)*CHOOSE(ArtifactsInput!$N$7+1,6,7.2,8.4,9.6,10.8,12))+IF(Inputs!$B$3&gt;=117,F2528,0))/100))+MIN((Skills!S5*(1+((Inputs!$B$35+(ArtifactsInput!$M$7-ArtifactsInput!$M$7)*CHOOSE(ArtifactsInput!$N$7+1,6,7.2,8.4,9.6,10.8,12))+IF(Inputs!$B$3&gt;=117,F2528,0))/100)),MAX(0,Inputs!$B$44-((R2507-1)*Skills!D5))))/Inputs!$B$44),IF(Inputs!$B$39="pvp",MIN((Skills!S5*(1+((Inputs!$B$35+(ArtifactsInput!$M$7-ArtifactsInput!$M$7)*CHOOSE(ArtifactsInput!$N$7+1,6,7.2,8.4,9.6,10.8,12))+IF(Inputs!$B$3&gt;=117,F2528,0))/100)),15)/15,(Skills!S5*(1+((Inputs!$B$35+(ArtifactsInput!$M$7-ArtifactsInput!$M$7)*CHOOSE(ArtifactsInput!$N$7+1,6,7.2,8.4,9.6,10.8,12))+IF(Inputs!$B$3&gt;=117,F2528,0))/100))/Skills!D5)),0)+IF(C2513=TRUE,F2513*IF(AND(Inputs!$B$39&lt;&gt;"pvp",Inputs!$B$44&gt;0),(((R2513-1)*(Skills!S11*(1+((Inputs!$B$35+(ArtifactsInput!$M$7-ArtifactsInput!$M$7)*CHOOSE(ArtifactsInput!$N$7+1,6,7.2,8.4,9.6,10.8,12))+IF(Inputs!$B$3&gt;=117,F2528,0))/100))+MIN((Skills!S11*(1+((Inputs!$B$35+(ArtifactsInput!$M$7-ArtifactsInput!$M$7)*CHOOSE(ArtifactsInput!$N$7+1,6,7.2,8.4,9.6,10.8,12))+IF(Inputs!$B$3&gt;=117,F2528,0))/100)),MAX(0,Inputs!$B$44-((R2513-1)*Skills!D11))))/Inputs!$B$44),IF(Inputs!$B$39="pvp",MIN((Skills!S11*(1+((Inputs!$B$35+(ArtifactsInput!$M$7-ArtifactsInput!$M$7)*CHOOSE(ArtifactsInput!$N$7+1,6,7.2,8.4,9.6,10.8,12))+IF(Inputs!$B$3&gt;=117,F2528,0))/100)),15)/15,(Skills!S11*(1+((Inputs!$B$35+(ArtifactsInput!$M$7-ArtifactsInput!$M$7)*CHOOSE(ArtifactsInput!$N$7+1,6,7.2,8.4,9.6,10.8,12))+IF(Inputs!$B$3&gt;=117,F2528,0)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IF(C2516=TRUE,(1+F2516*IF(AND(Inputs!$B$39&lt;&gt;"pvp",Inputs!$B$44&gt;0),(((R2516-1)*(Skills!S14*(1+((Inputs!$B$35+(ArtifactsInput!$M$7-ArtifactsInput!$M$7)*CHOOSE(ArtifactsInput!$N$7+1,6,7.2,8.4,9.6,10.8,12))+IF(Inputs!$B$3&gt;=117,F2528,0))/100))+MIN((Skills!S14*(1+((Inputs!$B$35+(ArtifactsInput!$M$7-ArtifactsInput!$M$7)*CHOOSE(ArtifactsInput!$N$7+1,6,7.2,8.4,9.6,10.8,12))+IF(Inputs!$B$3&gt;=117,F2528,0))/100)),MAX(0,Inputs!$B$44-((R2516-1)*Skills!D14))))/Inputs!$B$44),IF(Inputs!$B$39="pvp",MIN((Skills!S14*(1+((Inputs!$B$35+(ArtifactsInput!$M$7-ArtifactsInput!$M$7)*CHOOSE(ArtifactsInput!$N$7+1,6,7.2,8.4,9.6,10.8,12))+IF(Inputs!$B$3&gt;=117,F2528,0))/100)),15)/15,(Skills!S14*(1+((Inputs!$B$35+(ArtifactsInput!$M$7-ArtifactsInput!$M$7)*CHOOSE(ArtifactsInput!$N$7+1,6,7.2,8.4,9.6,10.8,12))+IF(Inputs!$B$3&gt;=117,F2528,0))/100))/Skills!D14))/100),1)*IF(C2521=TRUE,(1+F2521*IF(AND(Inputs!$B$39&lt;&gt;"pvp",Inputs!$B$44&gt;0),(((R2521-1)*(Skills!S19*(1+((Inputs!$B$35+(ArtifactsInput!$M$7-ArtifactsInput!$M$7)*CHOOSE(ArtifactsInput!$N$7+1,6,7.2,8.4,9.6,10.8,12))+IF(Inputs!$B$3&gt;=117,F2528,0))/100))+MIN((Skills!S19*(1+((Inputs!$B$35+(ArtifactsInput!$M$7-ArtifactsInput!$M$7)*CHOOSE(ArtifactsInput!$N$7+1,6,7.2,8.4,9.6,10.8,12))+IF(Inputs!$B$3&gt;=117,F2528,0))/100)),MAX(0,Inputs!$B$44-((R2521-1)*Skills!D19))))/Inputs!$B$44),IF(Inputs!$B$39="pvp",MIN((Skills!S19*(1+((Inputs!$B$35+(ArtifactsInput!$M$7-ArtifactsInput!$M$7)*CHOOSE(ArtifactsInput!$N$7+1,6,7.2,8.4,9.6,10.8,12))+IF(Inputs!$B$3&gt;=117,F2528,0))/100)),15)/15,(Skills!S19*(1+((Inputs!$B$35+(ArtifactsInput!$M$7-ArtifactsInput!$M$7)*CHOOSE(ArtifactsInput!$N$7+1,6,7.2,8.4,9.6,10.8,12))+IF(Inputs!$B$3&gt;=117,F2528,0))/100))/Skills!D19))/100),1)</f>
        <v/>
      </c>
    </row>
    <row r="2533">
      <c r="A2533" t="inlineStr">
        <is>
          <t>Monster Damage Taken Bonus % (Holy Fountain)</t>
        </is>
      </c>
      <c r="B2533">
        <f>IF(Inputs!$B$3&gt;=68,20*IF(Inputs!$B$39="pvp",MIN((15*(1+((Inputs!$B$35+(ArtifactsInput!$M$7-ArtifactsInput!$M$7)*CHOOSE(ArtifactsInput!$N$7+1,6,7.2,8.4,9.6,10.8,12))+IF(Inputs!$B$3&gt;=117,F2528,0))/100)),15)/15,(15*(1+((Inputs!$B$35+(ArtifactsInput!$M$7-ArtifactsInput!$M$7)*CHOOSE(ArtifactsInput!$N$7+1,6,7.2,8.4,9.6,10.8,12))+IF(Inputs!$B$3&gt;=117,F2528,0))/100))/Skills!D10),0)</f>
        <v/>
      </c>
    </row>
    <row r="2534">
      <c r="A2534" t="inlineStr">
        <is>
          <t>Normal Monster Damage Bonus % (Holy Symbol)</t>
        </is>
      </c>
      <c r="B2534">
        <f>IF(C2514=TRUE,F2514*IF(AND(Inputs!$B$39&lt;&gt;"pvp",Inputs!$B$44&gt;0),(((R2514-1)*(Skills!S12*(1+((Inputs!$B$35+(ArtifactsInput!$M$7-ArtifactsInput!$M$7)*CHOOSE(ArtifactsInput!$N$7+1,6,7.2,8.4,9.6,10.8,12))+IF(Inputs!$B$3&gt;=117,F2528,0))/100))+MIN((Skills!S12*(1+((Inputs!$B$35+(ArtifactsInput!$M$7-ArtifactsInput!$M$7)*CHOOSE(ArtifactsInput!$N$7+1,6,7.2,8.4,9.6,10.8,12))+IF(Inputs!$B$3&gt;=117,F2528,0))/100)),MAX(0,Inputs!$B$44-((R2514-1)*Skills!D12))))/Inputs!$B$44),IF(Inputs!$B$39="pvp",MIN((Skills!S12*(1+((Inputs!$B$35+(ArtifactsInput!$M$7-ArtifactsInput!$M$7)*CHOOSE(ArtifactsInput!$N$7+1,6,7.2,8.4,9.6,10.8,12))+IF(Inputs!$B$3&gt;=117,F2528,0))/100)),15)/15,(Skills!S12*(1+((Inputs!$B$35+(ArtifactsInput!$M$7-ArtifactsInput!$M$7)*CHOOSE(ArtifactsInput!$N$7+1,6,7.2,8.4,9.6,10.8,12))+IF(Inputs!$B$3&gt;=117,F2528,0))/100))/Skills!D12)),0)</f>
        <v/>
      </c>
    </row>
    <row r="2535">
      <c r="A2535" t="inlineStr">
        <is>
          <t>Damage % Bonus (Holy Symbol - Damage Boost)</t>
        </is>
      </c>
      <c r="B2535">
        <f>Skills!O12</f>
        <v/>
      </c>
    </row>
    <row r="2536">
      <c r="A2536" t="inlineStr">
        <is>
          <t>Crit Damage % Bonus (Blood of the Divine)</t>
        </is>
      </c>
      <c r="B2536">
        <f>4*IF(C2522=TRUE,F2522,0)</f>
        <v/>
      </c>
    </row>
    <row r="2537">
      <c r="A2537" t="inlineStr">
        <is>
          <t>Attack Speed Bonus %</t>
        </is>
      </c>
      <c r="B2537">
        <f>IF(C2519=TRUE,F2519+(F2523-Calc!F21),0)+IF(Inputs!$B$3&gt;=134,15,0)+((C2530=TRUE)*F2530*IF(AND(Inputs!$B$39&lt;&gt;"pvp",Inputs!$B$44&gt;0),(((R2530-1)*(Skills!S28*(1+((Inputs!$B$35+(ArtifactsInput!$M$7-ArtifactsInput!$M$7)*CHOOSE(ArtifactsInput!$N$7+1,6,7.2,8.4,9.6,10.8,12))+IF(Inputs!$B$3&gt;=117,F2528,0))/100))+MIN((Skills!S28*(1+((Inputs!$B$35+(ArtifactsInput!$M$7-ArtifactsInput!$M$7)*CHOOSE(ArtifactsInput!$N$7+1,6,7.2,8.4,9.6,10.8,12))+IF(Inputs!$B$3&gt;=117,F2528,0))/100)),MAX(0,Inputs!$B$44-((R2530-1)*Skills!D28))))/Inputs!$B$44),IF(Inputs!$B$39="pvp",MIN((Skills!S28*(1+((Inputs!$B$35+(ArtifactsInput!$M$7-ArtifactsInput!$M$7)*CHOOSE(ArtifactsInput!$N$7+1,6,7.2,8.4,9.6,10.8,12))+IF(Inputs!$B$3&gt;=117,F2528,0))/100)),15)/15,(Skills!S28*(1+((Inputs!$B$35+(ArtifactsInput!$M$7-ArtifactsInput!$M$7)*CHOOSE(ArtifactsInput!$N$7+1,6,7.2,8.4,9.6,10.8,12))+IF(Inputs!$B$3&gt;=117,F2528,0))/100))/Skills!D28)))</f>
        <v/>
      </c>
    </row>
    <row r="2538">
      <c r="A2538" t="inlineStr">
        <is>
          <t>Actions Per Second</t>
        </is>
      </c>
      <c r="B2538">
        <f>1+MIN(150,150*(1-(1-Inputs!$B$12/150)*(1-B2537/150)))/100</f>
        <v/>
      </c>
    </row>
    <row r="2539">
      <c r="A2539" t="inlineStr">
        <is>
          <t>Skill + Buff Cast Rate</t>
        </is>
      </c>
      <c r="B2539">
        <f>IF(AND(Inputs!$B$39&lt;&gt;"pvp",Inputs!$B$44&gt;0),SUMPRODUCT((Skills!E2:E28=TRUE)*(C2504:C2530=TRUE)*R2504:R2530)/Inputs!$B$44,SUMPRODUCT((Skills!E2:E28=TRUE)*(C2504:C2530=TRUE)*Q2504:Q2530))</f>
        <v/>
      </c>
    </row>
    <row r="2540">
      <c r="A2540" t="inlineStr">
        <is>
          <t>Big Bang Casts Per Second</t>
        </is>
      </c>
      <c r="B2540">
        <f>MAX(0,B2538-B2539)</f>
        <v/>
      </c>
    </row>
    <row r="2541">
      <c r="A2541" t="inlineStr">
        <is>
          <t>Defense % Bonus (Divine Protection)</t>
        </is>
      </c>
      <c r="B2541">
        <f>IF(C2515=TRUE,F2515*IF(AND(Inputs!$B$39&lt;&gt;"pvp",Inputs!$B$44&gt;0),(((R2515-1)*(Skills!S13*(1+((Inputs!$B$35+(ArtifactsInput!$M$7-ArtifactsInput!$M$7)*CHOOSE(ArtifactsInput!$N$7+1,6,7.2,8.4,9.6,10.8,12))+IF(Inputs!$B$3&gt;=117,F2528,0))/100))+MIN((Skills!S13*(1+((Inputs!$B$35+(ArtifactsInput!$M$7-ArtifactsInput!$M$7)*CHOOSE(ArtifactsInput!$N$7+1,6,7.2,8.4,9.6,10.8,12))+IF(Inputs!$B$3&gt;=117,F2528,0))/100)),MAX(0,Inputs!$B$44-((R2515-1)*Skills!D13))))/Inputs!$B$44),IF(Inputs!$B$39="pvp",MIN((Skills!S13*(1+((Inputs!$B$35+(ArtifactsInput!$M$7-ArtifactsInput!$M$7)*CHOOSE(ArtifactsInput!$N$7+1,6,7.2,8.4,9.6,10.8,12))+IF(Inputs!$B$3&gt;=117,F2528,0))/100)),15)/15,(Skills!S13*(1+((Inputs!$B$35+(ArtifactsInput!$M$7-ArtifactsInput!$M$7)*CHOOSE(ArtifactsInput!$N$7+1,6,7.2,8.4,9.6,10.8,12))+IF(Inputs!$B$3&gt;=117,F2528,0))/100))/Skills!D13)),0)</f>
        <v/>
      </c>
    </row>
    <row r="2542">
      <c r="A2542" t="inlineStr">
        <is>
          <t>Buff-Casting Startup Delay (s, fixed-duration only)</t>
        </is>
      </c>
      <c r="B2542">
        <f>IF(AND(Inputs!$B$39&lt;&gt;"pvp",Inputs!$B$44&gt;0),SUMPRODUCT((Skills!S2:S28&gt;0)*(Skills!E2:E28=TRUE)*(C2504:C2530=TRUE))/B2538,0)</f>
        <v/>
      </c>
    </row>
    <row r="2543">
      <c r="A2543" t="inlineStr">
        <is>
          <t>Boss-Only Total DPS (this block's swept value)</t>
        </is>
      </c>
      <c r="B2543">
        <f>SUM(S2504:S2530)</f>
        <v/>
      </c>
    </row>
    <row r="2544">
      <c r="A2544" t="inlineStr">
        <is>
          <t>Normal-Only Total DPS (this block's swept value)</t>
        </is>
      </c>
      <c r="B2544">
        <f>SUM(U2504:U2530)</f>
        <v/>
      </c>
    </row>
    <row r="2545">
      <c r="A2545" s="6" t="inlineStr">
        <is>
          <t>TOTAL DPS</t>
        </is>
      </c>
      <c r="B2545" s="6">
        <f>SUM(O2504:O2530)</f>
        <v/>
      </c>
    </row>
    <row r="2547">
      <c r="A2547" s="6" t="inlineStr">
        <is>
          <t>Stat: Peach Tree Herb Pouch (Equip)</t>
        </is>
      </c>
    </row>
    <row r="2548">
      <c r="A2548" s="5" t="inlineStr">
        <is>
          <t>Key</t>
        </is>
      </c>
      <c r="B2548" s="5" t="inlineStr">
        <is>
          <t>Name</t>
        </is>
      </c>
      <c r="C2548" s="5" t="inlineStr">
        <is>
          <t>Unlocked</t>
        </is>
      </c>
      <c r="D2548" s="5" t="inlineStr">
        <is>
          <t>InputLevel</t>
        </is>
      </c>
      <c r="E2548" s="5" t="inlineStr">
        <is>
          <t>Factor</t>
        </is>
      </c>
      <c r="F2548" s="5" t="inlineStr">
        <is>
          <t>CoefficientPercent</t>
        </is>
      </c>
      <c r="G2548" s="5" t="inlineStr">
        <is>
          <t>EffectiveHits</t>
        </is>
      </c>
      <c r="H2548" s="5" t="inlineStr">
        <is>
          <t>ProcProbability</t>
        </is>
      </c>
      <c r="I2548" s="5" t="inlineStr">
        <is>
          <t>MapleHeroMultiplier</t>
        </is>
      </c>
      <c r="J2548" s="5" t="inlineStr">
        <is>
          <t>BaseDamage</t>
        </is>
      </c>
      <c r="K2548" s="5" t="inlineStr">
        <is>
          <t>BaseHitDamage</t>
        </is>
      </c>
      <c r="L2548" s="5" t="inlineStr">
        <is>
          <t>NonCritAvg</t>
        </is>
      </c>
      <c r="M2548" s="5" t="inlineStr">
        <is>
          <t>CritAvg</t>
        </is>
      </c>
      <c r="N2548" s="5" t="inlineStr">
        <is>
          <t>ExpectedDamage(perHit)</t>
        </is>
      </c>
      <c r="O2548" s="5" t="inlineStr">
        <is>
          <t>DPS</t>
        </is>
      </c>
      <c r="P2548" s="5" t="inlineStr">
        <is>
          <t>% of Total</t>
        </is>
      </c>
      <c r="R2548" t="inlineStr">
        <is>
          <t>helpers</t>
        </is>
      </c>
    </row>
    <row r="2549">
      <c r="A2549">
        <f>Skills!A2</f>
        <v/>
      </c>
      <c r="B2549">
        <f>Skills!B2</f>
        <v/>
      </c>
      <c r="C2549">
        <f>Inputs!$B$3&gt;=100</f>
        <v/>
      </c>
      <c r="D2549" t="inlineStr"/>
      <c r="E2549" t="inlineStr"/>
      <c r="F2549">
        <f>T2551+Skills!N2</f>
        <v/>
      </c>
      <c r="G2549">
        <f>Calc!G2</f>
        <v/>
      </c>
      <c r="H2549">
        <f>Calc!H2</f>
        <v/>
      </c>
      <c r="I2549">
        <f>IF(Skills!T2&lt;&gt;"",1+(Skills!T2/10)*($Z$3/1000)/100,1)</f>
        <v/>
      </c>
      <c r="J2549">
        <f>((Inputs!$B$6*(1+Inputs!$B$7/100))+(((Inputs!$B$13*(1+Inputs!$B$14/100))-(Inputs!$B$13*(1+Inputs!$B$14/100)))+0.25*(Inputs!$B$15-Inputs!$B$15))*(1+Inputs!$B$7/100))*(F2549/100)</f>
        <v/>
      </c>
      <c r="K2549">
        <f>J2549*(1+(((Inputs!$B$13+IF(Inputs!$B$3&gt;=35,(10*INDEX(FactorTable!$B$2:$Y$301,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2="TRIUMPH_FEATHER",IF(C2563=TRUE,F2563,0),0)/100)*(1+IF(C2574=TRUE,F2574,0)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2549)</f>
        <v/>
      </c>
      <c r="L2549">
        <f>K2549*(MIN(Inputs!$B$23+(F2569-Calc!F22),(Inputs!$B$24+IF(ArtifactsInput!$M$15,CHOOSE(ArtifactsInput!$N$15+1,25,30,35,40,45,50)/100*(Inputs!$B$12-Inputs!$B$12),0)))/100+(Inputs!$B$24+IF(ArtifactsInput!$M$15,CHOOSE(ArtifactsInput!$N$15+1,25,30,35,40,45,50)/100*(Inputs!$B$12-Inputs!$B$12),0))/100)/2</f>
        <v/>
      </c>
      <c r="M2549">
        <f>L2549*(1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9">
        <f>L2549*(1-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2549*(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9">
        <f>(1-Summary!$B$11)*S2549+Summary!$B$11*U2549</f>
        <v/>
      </c>
      <c r="P2549">
        <f>IF(B2590=0,0,O2549/B2590)</f>
        <v/>
      </c>
      <c r="Q2549">
        <f>IFERROR(1/(IF(Inputs!$B$39="pvp",15,MAX(0.1,Skills!D2-IF(Skills!E2=TRUE,Inputs!$B$33,0)))*(1-IF(AND(ArtifactsInput!$M$27,Inputs!$B$4="Chapter Hunt"),CHOOSE(ArtifactsInput!$N$27+1,20,24,28,32,36,40),0)/100)),0)</f>
        <v/>
      </c>
      <c r="R2549" t="n">
        <v>0</v>
      </c>
      <c r="S2549">
        <f>IF(C2549,(Skills!F2*N2549*B2585)*IF(Inputs!$B$39="pvp",1,1+(Inputs!$B$21+Skills!O2+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2549*(1-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2549*(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2549*(1-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2549*(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9">
        <f>MAX(0,(Inputs!$B$3-100)*3)+Inputs!$B$29+Inputs!$B$30</f>
        <v/>
      </c>
      <c r="U2549">
        <f>IF(C2549,(Skills!F2*N2549*B2585)*IF(Inputs!$B$39="pvp",1,(1+(Inputs!$B$22+Skills!P2+B2579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0">
      <c r="A2550">
        <f>Skills!A3</f>
        <v/>
      </c>
      <c r="B2550">
        <f>Skills!B3</f>
        <v/>
      </c>
      <c r="C2550">
        <f>Inputs!$B$3&gt;=15</f>
        <v/>
      </c>
      <c r="D2550">
        <f>IF(Skills!C3=1,60+Inputs!$B$26+Inputs!$B$30,IF(Skills!C3=2,90+Inputs!$B$27+Inputs!$B$30,IF(Skills!C3=3,120+Inputs!$B$28+Inputs!$B$30,MAX(0,(Inputs!$B$3-100)*3)+Inputs!$B$29+Inputs!$B$30)))</f>
        <v/>
      </c>
      <c r="E2550">
        <f>INDEX(FactorTable!$B$2:$Y$301, MATCH(ROUND(MIN(300,MAX(1,D2550)),0), FactorTable!$A$2:$A$301,0), Skills!L3+1)</f>
        <v/>
      </c>
      <c r="F2550">
        <f>IF(Skills!M3=TRUE,(Skills!K3/10)*(E2550/1000),Skills!K3/10)+Skills!N3</f>
        <v/>
      </c>
      <c r="G2550">
        <f>Calc!G3</f>
        <v/>
      </c>
      <c r="H2550">
        <f>Calc!H3</f>
        <v/>
      </c>
      <c r="I2550">
        <f>IF(Skills!T3&lt;&gt;"",1+(Skills!T3/10)*($Z$3/1000)/100,1)</f>
        <v/>
      </c>
      <c r="J2550" t="inlineStr"/>
      <c r="K2550" t="inlineStr"/>
      <c r="L2550" t="inlineStr"/>
      <c r="M2550" t="inlineStr"/>
      <c r="N2550" t="inlineStr"/>
      <c r="O2550">
        <f>(1-Summary!$B$11)*S2550+Summary!$B$11*U2550</f>
        <v/>
      </c>
      <c r="P2550">
        <f>IF(B2590=0,0,O2550/B2590)</f>
        <v/>
      </c>
      <c r="Q2550">
        <f>IFERROR(1/(IF(Inputs!$B$39="pvp",15,MAX(0.1,Skills!D3-IF(Skills!E3=TRUE,Inputs!$B$33,0)))*(1-IF(AND(ArtifactsInput!$M$27,Inputs!$B$4="Chapter Hunt"),CHOOSE(ArtifactsInput!$N$27+1,20,24,28,32,36,40),0)/100)),0)</f>
        <v/>
      </c>
      <c r="R2550">
        <f>IF(AND(Inputs!$B$39&lt;&gt;"pvp",Inputs!$B$44&gt;0),IF(Inputs!$B$44&lt;=0,0,(INT(Inputs!$B$44/(IF(Inputs!$B$39="pvp",15,MAX(0.1,Skills!D3-IF(Skills!E3=TRUE,Inputs!$B$33,0)))*(1-IF(AND(ArtifactsInput!$M$27,Inputs!$B$4="Chapter Hunt"),CHOOSE(ArtifactsInput!$N$27+1,20,24,28,32,36,40),0)/100)))+1)),0)</f>
        <v/>
      </c>
      <c r="S2550" t="n">
        <v>0</v>
      </c>
      <c r="T2550">
        <f>INDEX(FactorTable!$B$2:$Y$301, MATCH(ROUND(MIN(300,MAX(1,T2549)),0), FactorTable!$A$2:$A$301,0), 22)</f>
        <v/>
      </c>
      <c r="U2550" t="n">
        <v>0</v>
      </c>
    </row>
    <row r="2551">
      <c r="A2551">
        <f>Skills!A4</f>
        <v/>
      </c>
      <c r="B2551">
        <f>Skills!B4</f>
        <v/>
      </c>
      <c r="C2551">
        <f>Inputs!$B$3&gt;=38</f>
        <v/>
      </c>
      <c r="D2551">
        <f>IF(Skills!C4=1,60+Inputs!$B$26+Inputs!$B$30,IF(Skills!C4=2,90+Inputs!$B$27+Inputs!$B$30,IF(Skills!C4=3,120+Inputs!$B$28+Inputs!$B$30,MAX(0,(Inputs!$B$3-100)*3)+Inputs!$B$29+Inputs!$B$30)))</f>
        <v/>
      </c>
      <c r="E2551">
        <f>INDEX(FactorTable!$B$2:$Y$301, MATCH(ROUND(MIN(300,MAX(1,D2551)),0), FactorTable!$A$2:$A$301,0), Skills!L4+1)</f>
        <v/>
      </c>
      <c r="F2551">
        <f>IF(Skills!M4=TRUE,(Skills!K4/10)*(E2551/1000),Skills!K4/10)+Skills!N4</f>
        <v/>
      </c>
      <c r="G2551">
        <f>Calc!G4</f>
        <v/>
      </c>
      <c r="H2551">
        <f>Calc!H4</f>
        <v/>
      </c>
      <c r="I2551">
        <f>IF(Skills!T4&lt;&gt;"",1+(Skills!T4/10)*($Z$3/1000)/100,1)</f>
        <v/>
      </c>
      <c r="J2551" t="inlineStr"/>
      <c r="K2551" t="inlineStr"/>
      <c r="L2551" t="inlineStr"/>
      <c r="M2551" t="inlineStr"/>
      <c r="N2551" t="inlineStr"/>
      <c r="O2551">
        <f>(1-Summary!$B$11)*S2551+Summary!$B$11*U2551</f>
        <v/>
      </c>
      <c r="P2551">
        <f>IF(B2590=0,0,O2551/B2590)</f>
        <v/>
      </c>
      <c r="Q2551">
        <f>IFERROR(1/(IF(Inputs!$B$39="pvp",15,MAX(0.1,Skills!D4-IF(Skills!E4=TRUE,Inputs!$B$33,0)))*(1-IF(AND(ArtifactsInput!$M$27,Inputs!$B$4="Chapter Hunt"),CHOOSE(ArtifactsInput!$N$27+1,20,24,28,32,36,40),0)/100)),0)</f>
        <v/>
      </c>
      <c r="R2551">
        <f>IF(AND(Inputs!$B$39&lt;&gt;"pvp",Inputs!$B$44&gt;0),IF(Inputs!$B$44&lt;=0,0,(INT(Inputs!$B$44/(IF(Inputs!$B$39="pvp",15,MAX(0.1,Skills!D4-IF(Skills!E4=TRUE,Inputs!$B$33,0)))*(1-IF(AND(ArtifactsInput!$M$27,Inputs!$B$4="Chapter Hunt"),CHOOSE(ArtifactsInput!$N$27+1,20,24,28,32,36,40),0)/100)))+1)),0)</f>
        <v/>
      </c>
      <c r="S2551" t="n">
        <v>0</v>
      </c>
      <c r="T2551">
        <f>290*T2550/1000</f>
        <v/>
      </c>
      <c r="U2551" t="n">
        <v>0</v>
      </c>
    </row>
    <row r="2552">
      <c r="A2552">
        <f>Skills!A5</f>
        <v/>
      </c>
      <c r="B2552">
        <f>Skills!B5</f>
        <v/>
      </c>
      <c r="C2552">
        <f>Inputs!$B$3&gt;=40</f>
        <v/>
      </c>
      <c r="D2552">
        <f>IF(Skills!C5=1,60+Inputs!$B$26+Inputs!$B$30,IF(Skills!C5=2,90+Inputs!$B$27+Inputs!$B$30,IF(Skills!C5=3,120+Inputs!$B$28+Inputs!$B$30,MAX(0,(Inputs!$B$3-100)*3)+Inputs!$B$29+Inputs!$B$30)))</f>
        <v/>
      </c>
      <c r="E2552">
        <f>INDEX(FactorTable!$B$2:$Y$301, MATCH(ROUND(MIN(300,MAX(1,D2552)),0), FactorTable!$A$2:$A$301,0), Skills!L5+1)</f>
        <v/>
      </c>
      <c r="F2552">
        <f>IF(Skills!M5=TRUE,(Skills!K5/10)*(E2552/1000),Skills!K5/10)+Skills!N5</f>
        <v/>
      </c>
      <c r="G2552">
        <f>Calc!G5</f>
        <v/>
      </c>
      <c r="H2552">
        <f>Calc!H5</f>
        <v/>
      </c>
      <c r="I2552">
        <f>IF(Skills!T5&lt;&gt;"",1+(Skills!T5/10)*($Z$3/1000)/100,1)</f>
        <v/>
      </c>
      <c r="J2552" t="inlineStr"/>
      <c r="K2552" t="inlineStr"/>
      <c r="L2552" t="inlineStr"/>
      <c r="M2552" t="inlineStr"/>
      <c r="N2552" t="inlineStr"/>
      <c r="O2552">
        <f>(1-Summary!$B$11)*S2552+Summary!$B$11*U2552</f>
        <v/>
      </c>
      <c r="P2552">
        <f>IF(B2590=0,0,O2552/B2590)</f>
        <v/>
      </c>
      <c r="Q2552">
        <f>IFERROR(1/(IF(Inputs!$B$39="pvp",15,MAX(0.1,Skills!D5-IF(Skills!E5=TRUE,Inputs!$B$33,0)))*(1-IF(AND(ArtifactsInput!$M$27,Inputs!$B$4="Chapter Hunt"),CHOOSE(ArtifactsInput!$N$27+1,20,24,28,32,36,40),0)/100)),0)</f>
        <v/>
      </c>
      <c r="R2552">
        <f>IF(AND(Inputs!$B$39&lt;&gt;"pvp",Inputs!$B$44&gt;0),IF(Inputs!$B$44&lt;=0,0,(INT(Inputs!$B$44/(IF(Inputs!$B$39="pvp",15,MAX(0.1,Skills!D5-IF(Skills!E5=TRUE,Inputs!$B$33,0)))*(1-IF(AND(ArtifactsInput!$M$27,Inputs!$B$4="Chapter Hunt"),CHOOSE(ArtifactsInput!$N$27+1,20,24,28,32,36,40),0)/100)))+1)),0)</f>
        <v/>
      </c>
      <c r="S2552" t="n">
        <v>0</v>
      </c>
      <c r="U2552" t="n">
        <v>0</v>
      </c>
    </row>
    <row r="2553">
      <c r="A2553">
        <f>Skills!A6</f>
        <v/>
      </c>
      <c r="B2553">
        <f>Skills!B6</f>
        <v/>
      </c>
      <c r="C2553">
        <f>Inputs!$B$3&gt;=103</f>
        <v/>
      </c>
      <c r="D2553">
        <f>IF(Skills!C6=1,60+Inputs!$B$26+Inputs!$B$30,IF(Skills!C6=2,90+Inputs!$B$27+Inputs!$B$30,IF(Skills!C6=3,120+Inputs!$B$28+Inputs!$B$30,MAX(0,(Inputs!$B$3-100)*3)+Inputs!$B$29+Inputs!$B$30)))</f>
        <v/>
      </c>
      <c r="E2553">
        <f>INDEX(FactorTable!$B$2:$Y$301, MATCH(ROUND(MIN(300,MAX(1,D2553)),0), FactorTable!$A$2:$A$301,0), Skills!L6+1)</f>
        <v/>
      </c>
      <c r="F2553">
        <f>IF(Skills!M6=TRUE,(Skills!K6/10)*(E2553/1000),Skills!K6/10)+Skills!N6</f>
        <v/>
      </c>
      <c r="G2553">
        <f>Calc!G6</f>
        <v/>
      </c>
      <c r="H2553">
        <f>Calc!H6</f>
        <v/>
      </c>
      <c r="I2553">
        <f>IF(Skills!T6&lt;&gt;"",1+(Skills!T6/10)*($Z$3/1000)/100,1)</f>
        <v/>
      </c>
      <c r="J2553">
        <f>((Inputs!$B$6*(1+Inputs!$B$7/100))+(((Inputs!$B$13*(1+Inputs!$B$14/100))-(Inputs!$B$13*(1+Inputs!$B$14/100)))+0.25*(Inputs!$B$15-Inputs!$B$15))*(1+Inputs!$B$7/100))*(F2553/100)</f>
        <v/>
      </c>
      <c r="K2553">
        <f>J2553*(1+(((Inputs!$B$13+IF(Inputs!$B$3&gt;=35,(10*INDEX(FactorTable!$B$2:$Y$301,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6="TRIUMPH_FEATHER",IF(C2563=TRUE,F2563,0),0)/100)*(1+IF(C2574=TRUE,F2574,0)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2553)</f>
        <v/>
      </c>
      <c r="L2553">
        <f>K2553*(MIN(Inputs!$B$23+(F2569-Calc!F22),(Inputs!$B$24+IF(ArtifactsInput!$M$15,CHOOSE(ArtifactsInput!$N$15+1,25,30,35,40,45,50)/100*(Inputs!$B$12-Inputs!$B$12),0)))/100+(Inputs!$B$24+IF(ArtifactsInput!$M$15,CHOOSE(ArtifactsInput!$N$15+1,25,30,35,40,45,50)/100*(Inputs!$B$12-Inputs!$B$12),0))/100)/2</f>
        <v/>
      </c>
      <c r="M2553">
        <f>L2553*(1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3">
        <f>L2553*(1-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(1-Summary!$B$11)*S2553+Summary!$B$11*U2553</f>
        <v/>
      </c>
      <c r="P2553">
        <f>IF(B2590=0,0,O2553/B2590)</f>
        <v/>
      </c>
      <c r="Q2553">
        <f>IFERROR(1/(IF(Inputs!$B$39="pvp",15,MAX(0.1,Skills!D6-IF(Skills!E6=TRUE,Inputs!$B$33,0)))*(1-IF(AND(ArtifactsInput!$M$27,Inputs!$B$4="Chapter Hunt"),CHOOSE(ArtifactsInput!$N$27+1,20,24,28,32,36,40),0)/100)),0)</f>
        <v/>
      </c>
      <c r="R2553">
        <f>IF(AND(Inputs!$B$39&lt;&gt;"pvp",Inputs!$B$44&gt;0),IF(MAX(0,Inputs!$B$44-B2587)&lt;=0,0,(INT(MAX(0,Inputs!$B$44-B2587)/(IF(Inputs!$B$39="pvp",15,MAX(0.1,Skills!D6-IF(Skills!E6=TRUE,Inputs!$B$33,0)))*(1-IF(AND(ArtifactsInput!$M$27,Inputs!$B$4="Chapter Hunt"),CHOOSE(ArtifactsInput!$N$27+1,20,24,28,32,36,40),0)/100)))+1)),0)</f>
        <v/>
      </c>
      <c r="S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$21+Skills!O6+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2553*(1-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$22+Skills!P6+B2579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Skills!A7</f>
        <v/>
      </c>
      <c r="B2554">
        <f>Skills!B7</f>
        <v/>
      </c>
      <c r="C2554">
        <f>Inputs!$B$3&gt;=122</f>
        <v/>
      </c>
      <c r="D2554">
        <f>IF(Skills!C7=1,60+Inputs!$B$26+Inputs!$B$30,IF(Skills!C7=2,90+Inputs!$B$27+Inputs!$B$30,IF(Skills!C7=3,120+Inputs!$B$28+Inputs!$B$30,MAX(0,(Inputs!$B$3-100)*3)+Inputs!$B$29+Inputs!$B$30)))</f>
        <v/>
      </c>
      <c r="E2554">
        <f>INDEX(FactorTable!$B$2:$Y$301, MATCH(ROUND(MIN(300,MAX(1,D2554)),0), FactorTable!$A$2:$A$301,0), Skills!L7+1)</f>
        <v/>
      </c>
      <c r="F2554">
        <f>IF(Skills!M7=TRUE,(Skills!K7/10)*(E2554/1000),Skills!K7/10)+Skills!N7</f>
        <v/>
      </c>
      <c r="G2554">
        <f>Calc!G7</f>
        <v/>
      </c>
      <c r="H2554">
        <f>Calc!H7</f>
        <v/>
      </c>
      <c r="I2554">
        <f>IF(Skills!T7&lt;&gt;"",1+(Skills!T7/10)*($Z$3/1000)/100,1)</f>
        <v/>
      </c>
      <c r="J2554">
        <f>((Inputs!$B$6*(1+Inputs!$B$7/100))+(((Inputs!$B$13*(1+Inputs!$B$14/100))-(Inputs!$B$13*(1+Inputs!$B$14/100)))+0.25*(Inputs!$B$15-Inputs!$B$15))*(1+Inputs!$B$7/100))*(F2554/100)</f>
        <v/>
      </c>
      <c r="K2554">
        <f>J2554*(1+(((Inputs!$B$13+IF(Inputs!$B$3&gt;=35,(10*INDEX(FactorTable!$B$2:$Y$301,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7="TRIUMPH_FEATHER",IF(C2563=TRUE,F2563,0),0)/100)*(1+IF(C2574=TRUE,F2574,0)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2554)</f>
        <v/>
      </c>
      <c r="L2554">
        <f>K2554*(MIN(Inputs!$B$23+(F2569-Calc!F22),(Inputs!$B$24+IF(ArtifactsInput!$M$15,CHOOSE(ArtifactsInput!$N$15+1,25,30,35,40,45,50)/100*(Inputs!$B$12-Inputs!$B$12),0)))/100+(Inputs!$B$24+IF(ArtifactsInput!$M$15,CHOOSE(ArtifactsInput!$N$15+1,25,30,35,40,45,50)/100*(Inputs!$B$12-Inputs!$B$12),0))/100)/2</f>
        <v/>
      </c>
      <c r="M2554">
        <f>L2554*(1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4">
        <f>L2554*(1-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2554*(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4">
        <f>(1-Summary!$B$11)*S2554+Summary!$B$11*U2554</f>
        <v/>
      </c>
      <c r="P2554">
        <f>IF(B2590=0,0,O2554/B2590)</f>
        <v/>
      </c>
      <c r="Q2554">
        <f>IFERROR(1/(IF(Inputs!$B$39="pvp",15,MAX(0.1,Skills!D7-IF(Skills!E6=TRUE,Inputs!$B$33,0)))*(1-IF(AND(ArtifactsInput!$M$27,Inputs!$B$4="Chapter Hunt"),CHOOSE(ArtifactsInput!$N$27+1,20,24,28,32,36,40),0)/100)),0)</f>
        <v/>
      </c>
      <c r="R2554">
        <f>IF(AND(Inputs!$B$39&lt;&gt;"pvp",Inputs!$B$44&gt;0),IF(MAX(0,Inputs!$B$44-B2587)&lt;=0,0,(INT(MAX(0,Inputs!$B$44-B2587)/(IF(Inputs!$B$39="pvp",15,MAX(0.1,Skills!D7-IF(Skills!E6=TRUE,Inputs!$B$33,0)))*(1-IF(AND(ArtifactsInput!$M$27,Inputs!$B$4="Chapter Hunt"),CHOOSE(ArtifactsInput!$N$27+1,20,24,28,32,36,40),0)/100)))+1)),0)</f>
        <v/>
      </c>
      <c r="S2554">
        <f>IF(C2554,H2554*N2554*IF(AND(Inputs!$B$39&lt;&gt;"pvp",Inputs!$B$44&gt;0),((Skills!F7*((R2554-1)*IF(Skills!G7&gt;0,Skills!H7/Skills!G7,1)+IF(Skills!G7&gt;0,MIN(Skills!H7,MAX(0,MAX(0,Inputs!$B$44-B2587)-((R2554-1)*(IF(Inputs!$B$39="pvp",15,MAX(0.1,Skills!D7-IF(Skills!E6=TRUE,Inputs!$B$33,0)))*(1-IF(AND(ArtifactsInput!$M$27,Inputs!$B$4="Chapter Hunt"),CHOOSE(ArtifactsInput!$N$27+1,20,24,28,32,36,40),0)/100)))))/Skills!G7,1)))/Inputs!$B$44),G2554*Q2554)*IF(Inputs!$B$39="pvp",1,1+(Inputs!$B$21+Skills!O7+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2554*(1-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2554*(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2554*(1-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2554*(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4" t="n">
        <v>0</v>
      </c>
    </row>
    <row r="2555">
      <c r="A2555">
        <f>Skills!A8</f>
        <v/>
      </c>
      <c r="B2555">
        <f>Skills!B8</f>
        <v/>
      </c>
      <c r="C2555">
        <f>Inputs!$B$3&gt;=105</f>
        <v/>
      </c>
      <c r="D2555">
        <f>IF(Skills!C8=1,60+Inputs!$B$26+Inputs!$B$30,IF(Skills!C8=2,90+Inputs!$B$27+Inputs!$B$30,IF(Skills!C8=3,120+Inputs!$B$28+Inputs!$B$30,MAX(0,(Inputs!$B$3-100)*3)+Inputs!$B$29+Inputs!$B$30)))</f>
        <v/>
      </c>
      <c r="E2555">
        <f>INDEX(FactorTable!$B$2:$Y$301, MATCH(ROUND(MIN(300,MAX(1,D2555)),0), FactorTable!$A$2:$A$301,0), Skills!L8+1)</f>
        <v/>
      </c>
      <c r="F2555">
        <f>IF(Skills!M8=TRUE,(Skills!K8/10)*(E2555/1000),Skills!K8/10)+Skills!N8</f>
        <v/>
      </c>
      <c r="G2555">
        <f>Calc!G8</f>
        <v/>
      </c>
      <c r="H2555">
        <f>Calc!H8</f>
        <v/>
      </c>
      <c r="I2555">
        <f>IF(Skills!T8&lt;&gt;"",1+(Skills!T8/10)*($Z$3/1000)/100,1)</f>
        <v/>
      </c>
      <c r="J2555">
        <f>((Inputs!$B$6*(1+Inputs!$B$7/100))+(((Inputs!$B$13*(1+Inputs!$B$14/100))-(Inputs!$B$13*(1+Inputs!$B$14/100)))+0.25*(Inputs!$B$15-Inputs!$B$15))*(1+Inputs!$B$7/100))*(F2555/100)</f>
        <v/>
      </c>
      <c r="K2555">
        <f>J2555*(1+(((Inputs!$B$13+IF(Inputs!$B$3&gt;=35,(10*INDEX(FactorTable!$B$2:$Y$301,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8="TRIUMPH_FEATHER",IF(C2563=TRUE,F2563,0),0)/100)*(1+IF(C2574=TRUE,F2574,0)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2555)</f>
        <v/>
      </c>
      <c r="L2555">
        <f>K2555*(MIN(Inputs!$B$23+(F2569-Calc!F22),(Inputs!$B$24+IF(ArtifactsInput!$M$15,CHOOSE(ArtifactsInput!$N$15+1,25,30,35,40,45,50)/100*(Inputs!$B$12-Inputs!$B$12),0)))/100+(Inputs!$B$24+IF(ArtifactsInput!$M$15,CHOOSE(ArtifactsInput!$N$15+1,25,30,35,40,45,50)/100*(Inputs!$B$12-Inputs!$B$12),0))/100)/2</f>
        <v/>
      </c>
      <c r="M2555">
        <f>L2555*(1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5">
        <f>L2555*(1-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2555*(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5">
        <f>(1-Summary!$B$11)*S2555+Summary!$B$11*U2555</f>
        <v/>
      </c>
      <c r="P2555">
        <f>IF(B2590=0,0,O2555/B2590)</f>
        <v/>
      </c>
      <c r="Q2555">
        <f>IFERROR(1/(IF(Inputs!$B$39="pvp",15,MAX(0.1,Skills!D8-IF(Skills!E8=TRUE,Inputs!$B$33,0)))*(1-IF(AND(ArtifactsInput!$M$27,Inputs!$B$4="Chapter Hunt"),CHOOSE(ArtifactsInput!$N$27+1,20,24,28,32,36,40),0)/100)),0)</f>
        <v/>
      </c>
      <c r="R2555">
        <f>IF(AND(Inputs!$B$39&lt;&gt;"pvp",Inputs!$B$44&gt;0),IF(MAX(0,Inputs!$B$44-B2587)&lt;=0,0,(INT(MAX(0,Inputs!$B$44-B2587)/(IF(Inputs!$B$39="pvp",15,MAX(0.1,Skills!D8-IF(Skills!E8=TRUE,Inputs!$B$33,0)))*(1-IF(AND(ArtifactsInput!$M$27,Inputs!$B$4="Chapter Hunt"),CHOOSE(ArtifactsInput!$N$27+1,20,24,28,32,36,40),0)/100)))+1)),0)</f>
        <v/>
      </c>
      <c r="S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$21+Skills!O8+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2555*(1-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2555*(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2555*(1-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2555*(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$22+Skills!P8+B2579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6">
      <c r="A2556">
        <f>Skills!A9</f>
        <v/>
      </c>
      <c r="B2556">
        <f>Skills!B9</f>
        <v/>
      </c>
      <c r="C2556">
        <f>Inputs!$B$3&gt;=115</f>
        <v/>
      </c>
      <c r="D2556">
        <f>IF(Skills!C9=1,60+Inputs!$B$26+Inputs!$B$30,IF(Skills!C9=2,90+Inputs!$B$27+Inputs!$B$30,IF(Skills!C9=3,120+Inputs!$B$28+Inputs!$B$30,MAX(0,(Inputs!$B$3-100)*3)+Inputs!$B$29+Inputs!$B$30)))</f>
        <v/>
      </c>
      <c r="E2556">
        <f>INDEX(FactorTable!$B$2:$Y$301, MATCH(ROUND(MIN(300,MAX(1,D2556)),0), FactorTable!$A$2:$A$301,0), Skills!L9+1)</f>
        <v/>
      </c>
      <c r="F2556">
        <f>IF(Skills!M9=TRUE,(Skills!K9/10)*(E2556/1000),Skills!K9/10)+Skills!N9</f>
        <v/>
      </c>
      <c r="G2556">
        <f>Calc!G9</f>
        <v/>
      </c>
      <c r="H2556">
        <f>Calc!H9</f>
        <v/>
      </c>
      <c r="I2556">
        <f>IF(Skills!T9&lt;&gt;"",1+(Skills!T9/10)*($Z$3/1000)/100,1)</f>
        <v/>
      </c>
      <c r="J2556">
        <f>((Inputs!$B$6*(1+Inputs!$B$7/100))+(((Inputs!$B$13*(1+Inputs!$B$14/100))-(Inputs!$B$13*(1+Inputs!$B$14/100)))+0.25*(Inputs!$B$15-Inputs!$B$15))*(1+Inputs!$B$7/100))*(F2556/100)</f>
        <v/>
      </c>
      <c r="K2556">
        <f>J2556*(1+(((Inputs!$B$13+IF(Inputs!$B$3&gt;=35,(10*INDEX(FactorTable!$B$2:$Y$301,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9="TRIUMPH_FEATHER",IF(C2563=TRUE,F2563,0),0)/100)*(1+IF(C2574=TRUE,F2574,0)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2556)</f>
        <v/>
      </c>
      <c r="L2556">
        <f>K2556*(MIN(Inputs!$B$23+(F2569-Calc!F22),(Inputs!$B$24+IF(ArtifactsInput!$M$15,CHOOSE(ArtifactsInput!$N$15+1,25,30,35,40,45,50)/100*(Inputs!$B$12-Inputs!$B$12),0)))/100+(Inputs!$B$24+IF(ArtifactsInput!$M$15,CHOOSE(ArtifactsInput!$N$15+1,25,30,35,40,45,50)/100*(Inputs!$B$12-Inputs!$B$12),0))/100)/2</f>
        <v/>
      </c>
      <c r="M2556">
        <f>L2556*(1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6">
        <f>L2556*(1-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(1-Summary!$B$11)*S2556+Summary!$B$11*U2556</f>
        <v/>
      </c>
      <c r="P2556">
        <f>IF(B2590=0,0,O2556/B2590)</f>
        <v/>
      </c>
      <c r="Q2556">
        <f>IFERROR(1/(IF(Inputs!$B$39="pvp",15,MAX(0.1,Skills!D9-IF(Skills!E9=TRUE,Inputs!$B$33,0)))*(1-IF(AND(ArtifactsInput!$M$27,Inputs!$B$4="Chapter Hunt"),CHOOSE(ArtifactsInput!$N$27+1,20,24,28,32,36,40),0)/100)),0)</f>
        <v/>
      </c>
      <c r="R2556">
        <f>IF(AND(Inputs!$B$39&lt;&gt;"pvp",Inputs!$B$44&gt;0),IF(MAX(0,Inputs!$B$44-B2587)&lt;=0,0,(INT(MAX(0,Inputs!$B$44-B2587)/(IF(Inputs!$B$39="pvp",15,MAX(0.1,Skills!D9-IF(Skills!E9=TRUE,Inputs!$B$33,0)))*(1-IF(AND(ArtifactsInput!$M$27,Inputs!$B$4="Chapter Hunt"),CHOOSE(ArtifactsInput!$N$27+1,20,24,28,32,36,40),0)/100)))+1)),0)</f>
        <v/>
      </c>
      <c r="S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$21+Skills!O9+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2556*(1-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$22+Skills!P9+B2579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Skills!A10</f>
        <v/>
      </c>
      <c r="B2557">
        <f>Skills!B10</f>
        <v/>
      </c>
      <c r="C2557">
        <f>Inputs!$B$3&gt;=66</f>
        <v/>
      </c>
      <c r="D2557">
        <f>IF(Skills!C10=1,60+Inputs!$B$26+Inputs!$B$30,IF(Skills!C10=2,90+Inputs!$B$27+Inputs!$B$30,IF(Skills!C10=3,120+Inputs!$B$28+Inputs!$B$30,MAX(0,(Inputs!$B$3-100)*3)+Inputs!$B$29+Inputs!$B$30)))</f>
        <v/>
      </c>
      <c r="E2557">
        <f>INDEX(FactorTable!$B$2:$Y$301, MATCH(ROUND(MIN(300,MAX(1,D2557)),0), FactorTable!$A$2:$A$301,0), Skills!L10+1)</f>
        <v/>
      </c>
      <c r="F2557" t="n">
        <v>0</v>
      </c>
      <c r="G2557">
        <f>Calc!G10</f>
        <v/>
      </c>
      <c r="H2557">
        <f>Calc!H10</f>
        <v/>
      </c>
      <c r="I2557">
        <f>IF(Skills!T10&lt;&gt;"",1+(Skills!T10/10)*($Z$3/1000)/100,1)</f>
        <v/>
      </c>
      <c r="J2557" t="inlineStr"/>
      <c r="K2557" t="inlineStr"/>
      <c r="L2557" t="inlineStr"/>
      <c r="M2557" t="inlineStr"/>
      <c r="N2557" t="inlineStr"/>
      <c r="O2557">
        <f>(1-Summary!$B$11)*S2557+Summary!$B$11*U2557</f>
        <v/>
      </c>
      <c r="P2557">
        <f>IF(B2590=0,0,O2557/B2590)</f>
        <v/>
      </c>
      <c r="Q2557">
        <f>IFERROR(1/(IF(Inputs!$B$39="pvp",15,MAX(0.1,Skills!D10-IF(Skills!E10=TRUE,Inputs!$B$33,0)))*(1-IF(AND(ArtifactsInput!$M$27,Inputs!$B$4="Chapter Hunt"),CHOOSE(ArtifactsInput!$N$27+1,20,24,28,32,36,40),0)/100)),0)</f>
        <v/>
      </c>
      <c r="R2557">
        <f>IF(AND(Inputs!$B$39&lt;&gt;"pvp",Inputs!$B$44&gt;0),IF(MAX(0,Inputs!$B$44-B2587)&lt;=0,0,(INT(MAX(0,Inputs!$B$44-B2587)/(IF(Inputs!$B$39="pvp",15,MAX(0.1,Skills!D10-IF(Skills!E10=TRUE,Inputs!$B$33,0)))*(1-IF(AND(ArtifactsInput!$M$27,Inputs!$B$4="Chapter Hunt"),CHOOSE(ArtifactsInput!$N$27+1,20,24,28,32,36,40),0)/100)))+1)),0)</f>
        <v/>
      </c>
      <c r="S2557" t="n">
        <v>0</v>
      </c>
      <c r="U2557" t="n">
        <v>0</v>
      </c>
    </row>
    <row r="2558">
      <c r="A2558">
        <f>Skills!A11</f>
        <v/>
      </c>
      <c r="B2558">
        <f>Skills!B11</f>
        <v/>
      </c>
      <c r="C2558">
        <f>Inputs!$B$3&gt;=69</f>
        <v/>
      </c>
      <c r="D2558">
        <f>IF(Skills!C11=1,60+Inputs!$B$26+Inputs!$B$30,IF(Skills!C11=2,90+Inputs!$B$27+Inputs!$B$30,IF(Skills!C11=3,120+Inputs!$B$28+Inputs!$B$30,MAX(0,(Inputs!$B$3-100)*3)+Inputs!$B$29+Inputs!$B$30)))</f>
        <v/>
      </c>
      <c r="E2558">
        <f>INDEX(FactorTable!$B$2:$Y$301, MATCH(ROUND(MIN(300,MAX(1,D2558)),0), FactorTable!$A$2:$A$301,0), Skills!L11+1)</f>
        <v/>
      </c>
      <c r="F2558">
        <f>IF(Skills!M11=TRUE,(Skills!K11/10)*(E2558/1000),Skills!K11/10)+Skills!N11</f>
        <v/>
      </c>
      <c r="G2558">
        <f>Calc!G11</f>
        <v/>
      </c>
      <c r="H2558">
        <f>Calc!H11</f>
        <v/>
      </c>
      <c r="I2558">
        <f>IF(Skills!T11&lt;&gt;"",1+(Skills!T11/10)*($Z$3/1000)/100,1)</f>
        <v/>
      </c>
      <c r="J2558" t="inlineStr"/>
      <c r="K2558" t="inlineStr"/>
      <c r="L2558" t="inlineStr"/>
      <c r="M2558" t="inlineStr"/>
      <c r="N2558" t="inlineStr"/>
      <c r="O2558">
        <f>(1-Summary!$B$11)*S2558+Summary!$B$11*U2558</f>
        <v/>
      </c>
      <c r="P2558">
        <f>IF(B2590=0,0,O2558/B2590)</f>
        <v/>
      </c>
      <c r="Q2558">
        <f>IFERROR(1/(IF(Inputs!$B$39="pvp",15,MAX(0.1,Skills!D11-IF(Skills!E11=TRUE,Inputs!$B$33,0)))*(1-IF(AND(ArtifactsInput!$M$27,Inputs!$B$4="Chapter Hunt"),CHOOSE(ArtifactsInput!$N$27+1,20,24,28,32,36,40),0)/100)),0)</f>
        <v/>
      </c>
      <c r="R2558">
        <f>IF(AND(Inputs!$B$39&lt;&gt;"pvp",Inputs!$B$44&gt;0),IF(Inputs!$B$44&lt;=0,0,(INT(Inputs!$B$44/(IF(Inputs!$B$39="pvp",15,MAX(0.1,Skills!D11-IF(Skills!E11=TRUE,Inputs!$B$33,0)))*(1-IF(AND(ArtifactsInput!$M$27,Inputs!$B$4="Chapter Hunt"),CHOOSE(ArtifactsInput!$N$27+1,20,24,28,32,36,40),0)/100)))+1)),0)</f>
        <v/>
      </c>
      <c r="S2558" t="n">
        <v>0</v>
      </c>
      <c r="U2558" t="n">
        <v>0</v>
      </c>
    </row>
    <row r="2559">
      <c r="A2559">
        <f>Skills!A12</f>
        <v/>
      </c>
      <c r="B2559">
        <f>Skills!B12</f>
        <v/>
      </c>
      <c r="C2559">
        <f>Inputs!$B$3&gt;=72</f>
        <v/>
      </c>
      <c r="D2559">
        <f>IF(Skills!C12=1,60+Inputs!$B$26+Inputs!$B$30,IF(Skills!C12=2,90+Inputs!$B$27+Inputs!$B$30,IF(Skills!C12=3,120+Inputs!$B$28+Inputs!$B$30,MAX(0,(Inputs!$B$3-100)*3)+Inputs!$B$29+Inputs!$B$30)))</f>
        <v/>
      </c>
      <c r="E2559">
        <f>INDEX(FactorTable!$B$2:$Y$301, MATCH(ROUND(MIN(300,MAX(1,D2559)),0), FactorTable!$A$2:$A$301,0), Skills!L12+1)</f>
        <v/>
      </c>
      <c r="F2559">
        <f>IF(Skills!M12=TRUE,(Skills!K12/10)*(E2559/1000),Skills!K12/10)+Skills!N12</f>
        <v/>
      </c>
      <c r="G2559">
        <f>Calc!G12</f>
        <v/>
      </c>
      <c r="H2559">
        <f>Calc!H12</f>
        <v/>
      </c>
      <c r="I2559">
        <f>IF(Skills!T12&lt;&gt;"",1+(Skills!T12/10)*($Z$3/1000)/100,1)</f>
        <v/>
      </c>
      <c r="J2559" t="inlineStr"/>
      <c r="K2559" t="inlineStr"/>
      <c r="L2559" t="inlineStr"/>
      <c r="M2559" t="inlineStr"/>
      <c r="N2559" t="inlineStr"/>
      <c r="O2559">
        <f>(1-Summary!$B$11)*S2559+Summary!$B$11*U2559</f>
        <v/>
      </c>
      <c r="P2559">
        <f>IF(B2590=0,0,O2559/B2590)</f>
        <v/>
      </c>
      <c r="Q2559">
        <f>IFERROR(1/(IF(Inputs!$B$39="pvp",15,MAX(0.1,Skills!D12-IF(Skills!E12=TRUE,Inputs!$B$33,0)))*(1-IF(AND(ArtifactsInput!$M$27,Inputs!$B$4="Chapter Hunt"),CHOOSE(ArtifactsInput!$N$27+1,20,24,28,32,36,40),0)/100)),0)</f>
        <v/>
      </c>
      <c r="R2559">
        <f>IF(AND(Inputs!$B$39&lt;&gt;"pvp",Inputs!$B$44&gt;0),IF(MAX(0,Inputs!$B$44-B2587)&lt;=0,0,(INT(MAX(0,Inputs!$B$44-B2587)/(IF(Inputs!$B$39="pvp",15,MAX(0.1,Skills!D12-IF(Skills!E12=TRUE,Inputs!$B$33,0)))*(1-IF(AND(ArtifactsInput!$M$27,Inputs!$B$4="Chapter Hunt"),CHOOSE(ArtifactsInput!$N$27+1,20,24,28,32,36,40),0)/100)))+1)),0)</f>
        <v/>
      </c>
      <c r="S2559" t="n">
        <v>0</v>
      </c>
      <c r="U2559" t="n">
        <v>0</v>
      </c>
    </row>
    <row r="2560">
      <c r="A2560">
        <f>Skills!A13</f>
        <v/>
      </c>
      <c r="B2560">
        <f>Skills!B13</f>
        <v/>
      </c>
      <c r="C2560">
        <f>Inputs!$B$3&gt;=60</f>
        <v/>
      </c>
      <c r="D2560">
        <f>IF(Skills!C13=1,60+Inputs!$B$26+Inputs!$B$30,IF(Skills!C13=2,90+Inputs!$B$27+Inputs!$B$30,IF(Skills!C13=3,120+Inputs!$B$28+Inputs!$B$30,MAX(0,(Inputs!$B$3-100)*3)+Inputs!$B$29+Inputs!$B$30)))</f>
        <v/>
      </c>
      <c r="E2560">
        <f>INDEX(FactorTable!$B$2:$Y$301, MATCH(ROUND(MIN(300,MAX(1,D2560)),0), FactorTable!$A$2:$A$301,0), Skills!L13+1)</f>
        <v/>
      </c>
      <c r="F2560">
        <f>IF(Skills!M13=TRUE,(Skills!K13/10)*(E2560/1000),Skills!K13/10)+Skills!N13</f>
        <v/>
      </c>
      <c r="G2560">
        <f>Calc!G13</f>
        <v/>
      </c>
      <c r="H2560">
        <f>Calc!H13</f>
        <v/>
      </c>
      <c r="I2560">
        <f>IF(Skills!T13&lt;&gt;"",1+(Skills!T13/10)*($Z$3/1000)/100,1)</f>
        <v/>
      </c>
      <c r="J2560" t="inlineStr"/>
      <c r="K2560" t="inlineStr"/>
      <c r="L2560" t="inlineStr"/>
      <c r="M2560" t="inlineStr"/>
      <c r="N2560" t="inlineStr"/>
      <c r="O2560">
        <f>(1-Summary!$B$11)*S2560+Summary!$B$11*U2560</f>
        <v/>
      </c>
      <c r="P2560">
        <f>IF(B2590=0,0,O2560/B2590)</f>
        <v/>
      </c>
      <c r="Q2560">
        <f>IFERROR(1/(IF(Inputs!$B$39="pvp",15,MAX(0.1,Skills!D13-IF(Skills!E13=TRUE,Inputs!$B$33,0)))*(1-IF(AND(ArtifactsInput!$M$27,Inputs!$B$4="Chapter Hunt"),CHOOSE(ArtifactsInput!$N$27+1,20,24,28,32,36,40),0)/100)),0)</f>
        <v/>
      </c>
      <c r="R2560">
        <f>IF(AND(Inputs!$B$39&lt;&gt;"pvp",Inputs!$B$44&gt;0),IF(MAX(0,Inputs!$B$44-B2587)&lt;=0,0,(INT(MAX(0,Inputs!$B$44-B2587)/(IF(Inputs!$B$39="pvp",15,MAX(0.1,Skills!D13-IF(Skills!E13=TRUE,Inputs!$B$33,0)))*(1-IF(AND(ArtifactsInput!$M$27,Inputs!$B$4="Chapter Hunt"),CHOOSE(ArtifactsInput!$N$27+1,20,24,28,32,36,40),0)/100)))+1)),0)</f>
        <v/>
      </c>
      <c r="S2560" t="n">
        <v>0</v>
      </c>
      <c r="U2560" t="n">
        <v>0</v>
      </c>
    </row>
    <row r="2561">
      <c r="A2561">
        <f>Skills!A14</f>
        <v/>
      </c>
      <c r="B2561">
        <f>Skills!B14</f>
        <v/>
      </c>
      <c r="C2561">
        <f>Inputs!$B$3&gt;=107</f>
        <v/>
      </c>
      <c r="D2561">
        <f>IF(Skills!C14=1,60+Inputs!$B$26+Inputs!$B$30,IF(Skills!C14=2,90+Inputs!$B$27+Inputs!$B$30,IF(Skills!C14=3,120+Inputs!$B$28+Inputs!$B$30,MAX(0,(Inputs!$B$3-100)*3)+Inputs!$B$29+Inputs!$B$30)))</f>
        <v/>
      </c>
      <c r="E2561">
        <f>INDEX(FactorTable!$B$2:$Y$301, MATCH(ROUND(MIN(300,MAX(1,D2561)),0), FactorTable!$A$2:$A$301,0), Skills!L14+1)</f>
        <v/>
      </c>
      <c r="F2561">
        <f>IF(Skills!M14=TRUE,(Skills!K14/10)*(E2561/1000),Skills!K14/10)+Skills!N14</f>
        <v/>
      </c>
      <c r="G2561">
        <f>Calc!G14</f>
        <v/>
      </c>
      <c r="H2561">
        <f>Calc!H14</f>
        <v/>
      </c>
      <c r="I2561">
        <f>IF(Skills!T14&lt;&gt;"",1+(Skills!T14/10)*($Z$3/1000)/100,1)</f>
        <v/>
      </c>
      <c r="J2561" t="inlineStr"/>
      <c r="K2561" t="inlineStr"/>
      <c r="L2561" t="inlineStr"/>
      <c r="M2561" t="inlineStr"/>
      <c r="N2561" t="inlineStr"/>
      <c r="O2561">
        <f>(1-Summary!$B$11)*S2561+Summary!$B$11*U2561</f>
        <v/>
      </c>
      <c r="P2561">
        <f>IF(B2590=0,0,O2561/B2590)</f>
        <v/>
      </c>
      <c r="Q2561">
        <f>IFERROR(1/(IF(Inputs!$B$39="pvp",15,MAX(0.1,Skills!D14-IF(Skills!E14=TRUE,Inputs!$B$33,0)))*(1-IF(AND(ArtifactsInput!$M$27,Inputs!$B$4="Chapter Hunt"),CHOOSE(ArtifactsInput!$N$27+1,20,24,28,32,36,40),0)/100)),0)</f>
        <v/>
      </c>
      <c r="R2561">
        <f>IF(AND(Inputs!$B$39&lt;&gt;"pvp",Inputs!$B$44&gt;0),IF(Inputs!$B$44&lt;=0,0,(INT(Inputs!$B$44/(IF(Inputs!$B$39="pvp",15,MAX(0.1,Skills!D14-IF(Skills!E14=TRUE,Inputs!$B$33,0)))*(1-IF(AND(ArtifactsInput!$M$27,Inputs!$B$4="Chapter Hunt"),CHOOSE(ArtifactsInput!$N$27+1,20,24,28,32,36,40),0)/100)))+1)),0)</f>
        <v/>
      </c>
      <c r="S2561" t="n">
        <v>0</v>
      </c>
      <c r="U2561" t="n">
        <v>0</v>
      </c>
    </row>
    <row r="2562">
      <c r="A2562">
        <f>Skills!A15</f>
        <v/>
      </c>
      <c r="B2562">
        <f>Skills!B15</f>
        <v/>
      </c>
      <c r="C2562">
        <f>Inputs!$B$3&gt;=63</f>
        <v/>
      </c>
      <c r="D2562">
        <f>IF(Skills!C15=1,60+Inputs!$B$26+Inputs!$B$30,IF(Skills!C15=2,90+Inputs!$B$27+Inputs!$B$30,IF(Skills!C15=3,120+Inputs!$B$28+Inputs!$B$30,MAX(0,(Inputs!$B$3-100)*3)+Inputs!$B$29+Inputs!$B$30)))</f>
        <v/>
      </c>
      <c r="E2562">
        <f>INDEX(FactorTable!$B$2:$Y$301, MATCH(ROUND(MIN(300,MAX(1,D2562)),0), FactorTable!$A$2:$A$301,0), Skills!L15+1)</f>
        <v/>
      </c>
      <c r="F2562">
        <f>IF(Skills!M15=TRUE,(Skills!K15/10)*(E2562/1000),Skills!K15/10)+Skills!N15</f>
        <v/>
      </c>
      <c r="G2562">
        <f>Calc!G15</f>
        <v/>
      </c>
      <c r="H2562">
        <f>Calc!H15</f>
        <v/>
      </c>
      <c r="I2562">
        <f>IF(Skills!T15&lt;&gt;"",1+(Skills!T15/10)*($Z$3/1000)/100,1)</f>
        <v/>
      </c>
      <c r="J2562">
        <f>((Inputs!$B$6*(1+Inputs!$B$7/100))+(((Inputs!$B$13*(1+Inputs!$B$14/100))-(Inputs!$B$13*(1+Inputs!$B$14/100)))+0.25*(Inputs!$B$15-Inputs!$B$15))*(1+Inputs!$B$7/100))*(F2562/100)</f>
        <v/>
      </c>
      <c r="K2562">
        <f>J2562*(1+(((Inputs!$B$13+IF(Inputs!$B$3&gt;=35,(10*INDEX(FactorTable!$B$2:$Y$301,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15="TRIUMPH_FEATHER",IF(C2563=TRUE,F2563,0),0)/100)*(1+IF(C2574=TRUE,F2574,0)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2562)</f>
        <v/>
      </c>
      <c r="L2562">
        <f>K2562*(MIN(Inputs!$B$23+(F2569-Calc!F22),(Inputs!$B$24+IF(ArtifactsInput!$M$15,CHOOSE(ArtifactsInput!$N$15+1,25,30,35,40,45,50)/100*(Inputs!$B$12-Inputs!$B$12),0)))/100+(Inputs!$B$24+IF(ArtifactsInput!$M$15,CHOOSE(ArtifactsInput!$N$15+1,25,30,35,40,45,50)/100*(Inputs!$B$12-Inputs!$B$12),0))/100)/2</f>
        <v/>
      </c>
      <c r="M2562">
        <f>L2562*(1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62">
        <f>L2562*(1-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2562*(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2">
        <f>(1-Summary!$B$11)*S2562+Summary!$B$11*U2562</f>
        <v/>
      </c>
      <c r="P2562">
        <f>IF(B2590=0,0,O2562/B2590)</f>
        <v/>
      </c>
      <c r="Q2562">
        <f>IFERROR(1/(IF(Inputs!$B$39="pvp",15,MAX(0.1,Skills!D15-IF(Skills!E15=TRUE,Inputs!$B$33,0)))*(1-IF(AND(ArtifactsInput!$M$27,Inputs!$B$4="Chapter Hunt"),CHOOSE(ArtifactsInput!$N$27+1,20,24,28,32,36,40),0)/100)),0)</f>
        <v/>
      </c>
      <c r="R2562" t="n">
        <v>0</v>
      </c>
      <c r="S2562">
        <f>IF(C2562,(Skills!F15*N2562*((IF(Inputs!$B$3&gt;=78,25,15)/100*B2583*10)/(1+IF(Inputs!$B$3&gt;=78,25,15)/100*B2583*10))*(Skills!I15/100*B2583)/(1+Skills!G15*Skills!I15/100*B2583))*IF(Inputs!$B$39="pvp",1,1+(Inputs!$B$21+Skills!O15+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2562*(1-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2562*(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2562*(1-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2562*(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62">
        <f>IF(C2562,(Skills!F15*N2562*((IF(Inputs!$B$3&gt;=78,25,15)/100*B2583*10)/(1+IF(Inputs!$B$3&gt;=78,25,15)/100*B2583*10))*(Skills!I15/100*B2583)/(1+Skills!G15*Skills!I15/100*B2583))*IF(Inputs!$B$39="pvp",1,(1+(Inputs!$B$22+Skills!P15+B2579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3">
      <c r="A2563">
        <f>Skills!A16</f>
        <v/>
      </c>
      <c r="B2563">
        <f>Skills!B16</f>
        <v/>
      </c>
      <c r="C2563">
        <f>Inputs!$B$3&gt;=100</f>
        <v/>
      </c>
      <c r="D2563">
        <f>IF(Skills!C16=1,60+Inputs!$B$26+Inputs!$B$30,IF(Skills!C16=2,90+Inputs!$B$27+Inputs!$B$30,IF(Skills!C16=3,120+Inputs!$B$28+Inputs!$B$30,MAX(0,(Inputs!$B$3-100)*3)+Inputs!$B$29+Inputs!$B$30)))</f>
        <v/>
      </c>
      <c r="E2563">
        <f>INDEX(FactorTable!$B$2:$Y$301, MATCH(ROUND(MIN(300,MAX(1,D2563)),0), FactorTable!$A$2:$A$301,0), Skills!L16+1)</f>
        <v/>
      </c>
      <c r="F2563">
        <f>IF(Skills!M16=TRUE,(Skills!K16/10)*(E2563/1000),Skills!K16/10)+Skills!N16</f>
        <v/>
      </c>
      <c r="G2563">
        <f>Calc!G16</f>
        <v/>
      </c>
      <c r="H2563">
        <f>Calc!H16</f>
        <v/>
      </c>
      <c r="I2563">
        <f>IF(Skills!T16&lt;&gt;"",1+(Skills!T16/10)*($Z$3/1000)/100,1)</f>
        <v/>
      </c>
      <c r="J2563" t="inlineStr"/>
      <c r="K2563" t="inlineStr"/>
      <c r="L2563" t="inlineStr"/>
      <c r="M2563" t="inlineStr"/>
      <c r="N2563" t="inlineStr"/>
      <c r="O2563">
        <f>(1-Summary!$B$11)*S2563+Summary!$B$11*U2563</f>
        <v/>
      </c>
      <c r="P2563">
        <f>IF(B2590=0,0,O2563/B2590)</f>
        <v/>
      </c>
      <c r="Q2563">
        <f>IFERROR(1/(IF(Inputs!$B$39="pvp",15,MAX(0.1,Skills!D16-IF(Skills!E16=TRUE,Inputs!$B$33,0)))*(1-IF(AND(ArtifactsInput!$M$27,Inputs!$B$4="Chapter Hunt"),CHOOSE(ArtifactsInput!$N$27+1,20,24,28,32,36,40),0)/100)),0)</f>
        <v/>
      </c>
      <c r="R2563" t="n">
        <v>0</v>
      </c>
      <c r="S2563" t="n">
        <v>0</v>
      </c>
      <c r="U2563" t="n">
        <v>0</v>
      </c>
    </row>
    <row r="2564">
      <c r="A2564">
        <f>Skills!A17</f>
        <v/>
      </c>
      <c r="B2564">
        <f>Skills!B17</f>
        <v/>
      </c>
      <c r="C2564">
        <f>Inputs!$B$3&gt;=49</f>
        <v/>
      </c>
      <c r="D2564">
        <f>IF(Skills!C17=1,60+Inputs!$B$26+Inputs!$B$30,IF(Skills!C17=2,90+Inputs!$B$27+Inputs!$B$30,IF(Skills!C17=3,120+Inputs!$B$28+Inputs!$B$30,MAX(0,(Inputs!$B$3-100)*3)+Inputs!$B$29+Inputs!$B$30)))</f>
        <v/>
      </c>
      <c r="E2564">
        <f>INDEX(FactorTable!$B$2:$Y$301, MATCH(ROUND(MIN(300,MAX(1,D2564)),0), FactorTable!$A$2:$A$301,0), Skills!L17+1)</f>
        <v/>
      </c>
      <c r="F2564">
        <f>IF(Skills!M17=TRUE,(Skills!K17/10)*(E2564/1000),Skills!K17/10)+Skills!N17</f>
        <v/>
      </c>
      <c r="G2564">
        <f>Calc!G17</f>
        <v/>
      </c>
      <c r="H2564">
        <f>Calc!H17</f>
        <v/>
      </c>
      <c r="I2564">
        <f>IF(Skills!T17&lt;&gt;"",1+(Skills!T17/10)*($Z$3/1000)/100,1)</f>
        <v/>
      </c>
      <c r="J2564" t="inlineStr"/>
      <c r="K2564" t="inlineStr"/>
      <c r="L2564" t="inlineStr"/>
      <c r="M2564" t="inlineStr"/>
      <c r="N2564" t="inlineStr"/>
      <c r="O2564">
        <f>(1-Summary!$B$11)*S2564+Summary!$B$11*U2564</f>
        <v/>
      </c>
      <c r="P2564">
        <f>IF(B2590=0,0,O2564/B2590)</f>
        <v/>
      </c>
      <c r="Q2564">
        <f>IFERROR(1/(IF(Inputs!$B$39="pvp",15,MAX(0.1,Skills!D17-IF(Skills!E17=TRUE,Inputs!$B$33,0)))*(1-IF(AND(ArtifactsInput!$M$27,Inputs!$B$4="Chapter Hunt"),CHOOSE(ArtifactsInput!$N$27+1,20,24,28,32,36,40),0)/100)),0)</f>
        <v/>
      </c>
      <c r="R2564" t="n">
        <v>0</v>
      </c>
      <c r="S2564" t="n">
        <v>0</v>
      </c>
      <c r="U2564" t="n">
        <v>0</v>
      </c>
    </row>
    <row r="2565">
      <c r="A2565">
        <f>Skills!A18</f>
        <v/>
      </c>
      <c r="B2565">
        <f>Skills!B18</f>
        <v/>
      </c>
      <c r="C2565">
        <f>Inputs!$B$3&gt;=75</f>
        <v/>
      </c>
      <c r="D2565">
        <f>IF(Skills!C18=1,60+Inputs!$B$26+Inputs!$B$30,IF(Skills!C18=2,90+Inputs!$B$27+Inputs!$B$30,IF(Skills!C18=3,120+Inputs!$B$28+Inputs!$B$30,MAX(0,(Inputs!$B$3-100)*3)+Inputs!$B$29+Inputs!$B$30)))</f>
        <v/>
      </c>
      <c r="E2565">
        <f>INDEX(FactorTable!$B$2:$Y$301, MATCH(ROUND(MIN(300,MAX(1,D2565)),0), FactorTable!$A$2:$A$301,0), Skills!L18+1)</f>
        <v/>
      </c>
      <c r="F2565">
        <f>IF(Skills!M18=TRUE,(Skills!K18/10)*(E2565/1000),Skills!K18/10)+Skills!N18</f>
        <v/>
      </c>
      <c r="G2565">
        <f>Calc!G18</f>
        <v/>
      </c>
      <c r="H2565">
        <f>Calc!H18</f>
        <v/>
      </c>
      <c r="I2565">
        <f>IF(Skills!T18&lt;&gt;"",1+(Skills!T18/10)*($Z$3/1000)/100,1)</f>
        <v/>
      </c>
      <c r="J2565" t="inlineStr"/>
      <c r="K2565" t="inlineStr"/>
      <c r="L2565" t="inlineStr"/>
      <c r="M2565" t="inlineStr"/>
      <c r="N2565" t="inlineStr"/>
      <c r="O2565">
        <f>(1-Summary!$B$11)*S2565+Summary!$B$11*U2565</f>
        <v/>
      </c>
      <c r="P2565">
        <f>IF(B2590=0,0,O2565/B2590)</f>
        <v/>
      </c>
      <c r="Q2565">
        <f>IFERROR(1/(IF(Inputs!$B$39="pvp",15,MAX(0.1,Skills!D18-IF(Skills!E18=TRUE,Inputs!$B$33,0)))*(1-IF(AND(ArtifactsInput!$M$27,Inputs!$B$4="Chapter Hunt"),CHOOSE(ArtifactsInput!$N$27+1,20,24,28,32,36,40),0)/100)),0)</f>
        <v/>
      </c>
      <c r="R2565" t="n">
        <v>0</v>
      </c>
      <c r="S2565" t="n">
        <v>0</v>
      </c>
      <c r="U2565" t="n">
        <v>0</v>
      </c>
    </row>
    <row r="2566">
      <c r="A2566">
        <f>Skills!A19</f>
        <v/>
      </c>
      <c r="B2566">
        <f>Skills!B19</f>
        <v/>
      </c>
      <c r="C2566">
        <f>Inputs!$B$3&gt;=110</f>
        <v/>
      </c>
      <c r="D2566">
        <f>IF(Skills!C19=1,60+Inputs!$B$26+Inputs!$B$30,IF(Skills!C19=2,90+Inputs!$B$27+Inputs!$B$30,IF(Skills!C19=3,120+Inputs!$B$28+Inputs!$B$30,MAX(0,(Inputs!$B$3-100)*3)+Inputs!$B$29+Inputs!$B$30)))</f>
        <v/>
      </c>
      <c r="E2566">
        <f>INDEX(FactorTable!$B$2:$Y$301, MATCH(ROUND(MIN(300,MAX(1,D2566)),0), FactorTable!$A$2:$A$301,0), Skills!L19+1)</f>
        <v/>
      </c>
      <c r="F2566">
        <f>(Skills!K19/10)*(E2566/1000)*64/45+Skills!N19</f>
        <v/>
      </c>
      <c r="G2566">
        <f>Calc!G19</f>
        <v/>
      </c>
      <c r="H2566">
        <f>Calc!H19</f>
        <v/>
      </c>
      <c r="I2566">
        <f>IF(Skills!T19&lt;&gt;"",1+(Skills!T19/10)*($Z$3/1000)/100,1)</f>
        <v/>
      </c>
      <c r="J2566" t="inlineStr"/>
      <c r="K2566" t="inlineStr"/>
      <c r="L2566" t="inlineStr"/>
      <c r="M2566" t="inlineStr"/>
      <c r="N2566" t="inlineStr"/>
      <c r="O2566">
        <f>(1-Summary!$B$11)*S2566+Summary!$B$11*U2566</f>
        <v/>
      </c>
      <c r="P2566">
        <f>IF(B2590=0,0,O2566/B2590)</f>
        <v/>
      </c>
      <c r="Q2566">
        <f>IFERROR(1/(IF(Inputs!$B$39="pvp",15,MAX(0.1,Skills!D19-IF(Skills!E19=TRUE,Inputs!$B$33,0)))*(1-IF(AND(ArtifactsInput!$M$27,Inputs!$B$4="Chapter Hunt"),CHOOSE(ArtifactsInput!$N$27+1,20,24,28,32,36,40),0)/100)),0)</f>
        <v/>
      </c>
      <c r="R2566">
        <f>IF(AND(Inputs!$B$39&lt;&gt;"pvp",Inputs!$B$44&gt;0),IF(Inputs!$B$44&lt;=0,0,(INT(Inputs!$B$44/(IF(Inputs!$B$39="pvp",15,MAX(0.1,Skills!D19-IF(Skills!E19=TRUE,Inputs!$B$33,0)))*(1-IF(AND(ArtifactsInput!$M$27,Inputs!$B$4="Chapter Hunt"),CHOOSE(ArtifactsInput!$N$27+1,20,24,28,32,36,40),0)/100)))+1)),0)</f>
        <v/>
      </c>
      <c r="S2566" t="n">
        <v>0</v>
      </c>
      <c r="U2566" t="n">
        <v>0</v>
      </c>
    </row>
    <row r="2567">
      <c r="A2567">
        <f>Skills!A20</f>
        <v/>
      </c>
      <c r="B2567">
        <f>Skills!B20</f>
        <v/>
      </c>
      <c r="C2567">
        <f>Inputs!$B$3&gt;=125</f>
        <v/>
      </c>
      <c r="D2567">
        <f>IF(Skills!C20=1,60+Inputs!$B$26+Inputs!$B$30,IF(Skills!C20=2,90+Inputs!$B$27+Inputs!$B$30,IF(Skills!C20=3,120+Inputs!$B$28+Inputs!$B$30,MAX(0,(Inputs!$B$3-100)*3)+Inputs!$B$29+Inputs!$B$30)))</f>
        <v/>
      </c>
      <c r="E2567">
        <f>INDEX(FactorTable!$B$2:$Y$301, MATCH(ROUND(MIN(300,MAX(1,D2567)),0), FactorTable!$A$2:$A$301,0), Skills!L20+1)</f>
        <v/>
      </c>
      <c r="F2567">
        <f>IF(Skills!M20=TRUE,(Skills!K20/10)*(E2567/1000),Skills!K20/10)+Skills!N20</f>
        <v/>
      </c>
      <c r="G2567">
        <f>Calc!G20</f>
        <v/>
      </c>
      <c r="H2567">
        <f>Calc!H20</f>
        <v/>
      </c>
      <c r="I2567">
        <f>IF(Skills!T20&lt;&gt;"",1+(Skills!T20/10)*($Z$3/1000)/100,1)</f>
        <v/>
      </c>
      <c r="J2567" t="inlineStr"/>
      <c r="K2567" t="inlineStr"/>
      <c r="L2567" t="inlineStr"/>
      <c r="M2567" t="inlineStr"/>
      <c r="N2567" t="inlineStr"/>
      <c r="O2567">
        <f>(1-Summary!$B$11)*S2567+Summary!$B$11*U2567</f>
        <v/>
      </c>
      <c r="P2567">
        <f>IF(B2590=0,0,O2567/B2590)</f>
        <v/>
      </c>
      <c r="Q2567">
        <f>IFERROR(1/(IF(Inputs!$B$39="pvp",15,MAX(0.1,Skills!D20-IF(Skills!E20=TRUE,Inputs!$B$33,0)))*(1-IF(AND(ArtifactsInput!$M$27,Inputs!$B$4="Chapter Hunt"),CHOOSE(ArtifactsInput!$N$27+1,20,24,28,32,36,40),0)/100)),0)</f>
        <v/>
      </c>
      <c r="R2567" t="n">
        <v>0</v>
      </c>
      <c r="S2567" t="n">
        <v>0</v>
      </c>
      <c r="U2567" t="n">
        <v>0</v>
      </c>
    </row>
    <row r="2568">
      <c r="A2568">
        <f>Skills!A21</f>
        <v/>
      </c>
      <c r="B2568">
        <f>Skills!B21</f>
        <v/>
      </c>
      <c r="C2568">
        <f>Inputs!$B$3&gt;=33</f>
        <v/>
      </c>
      <c r="D2568">
        <f>IF(Skills!C21=1,60+Inputs!$B$26+Inputs!$B$30,IF(Skills!C21=2,90+Inputs!$B$27+Inputs!$B$30,IF(Skills!C21=3,120+Inputs!$B$28+Inputs!$B$30,MAX(0,(Inputs!$B$3-100)*3)+Inputs!$B$29+Inputs!$B$30)))</f>
        <v/>
      </c>
      <c r="E2568">
        <f>INDEX(FactorTable!$B$2:$Y$301, MATCH(ROUND(MIN(300,MAX(1,D2568)),0), FactorTable!$A$2:$A$301,0), Skills!L21+1)</f>
        <v/>
      </c>
      <c r="F2568">
        <f>IF(Skills!M21=TRUE,(Skills!K21/10)*(E2568/1000),Skills!K21/10)+Skills!N21</f>
        <v/>
      </c>
      <c r="G2568">
        <f>Calc!G21</f>
        <v/>
      </c>
      <c r="H2568">
        <f>Calc!H21</f>
        <v/>
      </c>
      <c r="I2568">
        <f>IF(Skills!T21&lt;&gt;"",1+(Skills!T21/10)*($Z$3/1000)/100,1)</f>
        <v/>
      </c>
      <c r="J2568" t="inlineStr"/>
      <c r="K2568" t="inlineStr"/>
      <c r="L2568" t="inlineStr"/>
      <c r="M2568" t="inlineStr"/>
      <c r="N2568" t="inlineStr"/>
      <c r="O2568">
        <f>(1-Summary!$B$11)*S2568+Summary!$B$11*U2568</f>
        <v/>
      </c>
      <c r="P2568">
        <f>IF(B2590=0,0,O2568/B2590)</f>
        <v/>
      </c>
      <c r="Q2568">
        <f>IFERROR(1/(IF(Inputs!$B$39="pvp",15,MAX(0.1,Skills!D21-IF(Skills!E21=TRUE,Inputs!$B$33,0)))*(1-IF(AND(ArtifactsInput!$M$27,Inputs!$B$4="Chapter Hunt"),CHOOSE(ArtifactsInput!$N$27+1,20,24,28,32,36,40),0)/100)),0)</f>
        <v/>
      </c>
      <c r="R2568" t="n">
        <v>0</v>
      </c>
      <c r="S2568" t="n">
        <v>0</v>
      </c>
      <c r="U2568" t="n">
        <v>0</v>
      </c>
    </row>
    <row r="2569">
      <c r="A2569">
        <f>Skills!A22</f>
        <v/>
      </c>
      <c r="B2569">
        <f>Skills!B22</f>
        <v/>
      </c>
      <c r="C2569">
        <f>Inputs!$B$3&gt;=43</f>
        <v/>
      </c>
      <c r="D2569">
        <f>IF(Skills!C22=1,60+Inputs!$B$26+Inputs!$B$30,IF(Skills!C22=2,90+Inputs!$B$27+Inputs!$B$30,IF(Skills!C22=3,120+Inputs!$B$28+Inputs!$B$30,MAX(0,(Inputs!$B$3-100)*3)+Inputs!$B$29+Inputs!$B$30)))</f>
        <v/>
      </c>
      <c r="E2569">
        <f>INDEX(FactorTable!$B$2:$Y$301, MATCH(ROUND(MIN(300,MAX(1,D2569)),0), FactorTable!$A$2:$A$301,0), Skills!L22+1)</f>
        <v/>
      </c>
      <c r="F2569">
        <f>IF(Skills!M22=TRUE,(Skills!K22/10)*(E2569/1000),Skills!K22/10)+Skills!N22</f>
        <v/>
      </c>
      <c r="G2569">
        <f>Calc!G22</f>
        <v/>
      </c>
      <c r="H2569">
        <f>Calc!H22</f>
        <v/>
      </c>
      <c r="I2569">
        <f>IF(Skills!T22&lt;&gt;"",1+(Skills!T22/10)*($Z$3/1000)/100,1)</f>
        <v/>
      </c>
      <c r="J2569" t="inlineStr"/>
      <c r="K2569" t="inlineStr"/>
      <c r="L2569" t="inlineStr"/>
      <c r="M2569" t="inlineStr"/>
      <c r="N2569" t="inlineStr"/>
      <c r="O2569">
        <f>(1-Summary!$B$11)*S2569+Summary!$B$11*U2569</f>
        <v/>
      </c>
      <c r="P2569">
        <f>IF(B2590=0,0,O2569/B2590)</f>
        <v/>
      </c>
      <c r="Q2569">
        <f>IFERROR(1/(IF(Inputs!$B$39="pvp",15,MAX(0.1,Skills!D22-IF(Skills!E22=TRUE,Inputs!$B$33,0)))*(1-IF(AND(ArtifactsInput!$M$27,Inputs!$B$4="Chapter Hunt"),CHOOSE(ArtifactsInput!$N$27+1,20,24,28,32,36,40),0)/100)),0)</f>
        <v/>
      </c>
      <c r="R2569" t="n">
        <v>0</v>
      </c>
      <c r="S2569" t="n">
        <v>0</v>
      </c>
      <c r="U2569" t="n">
        <v>0</v>
      </c>
    </row>
    <row r="2570">
      <c r="A2570">
        <f>Skills!A23</f>
        <v/>
      </c>
      <c r="B2570">
        <f>Skills!B23</f>
        <v/>
      </c>
      <c r="C2570">
        <f>Inputs!$B$3&gt;=50</f>
        <v/>
      </c>
      <c r="D2570">
        <f>IF(Skills!C23=1,60+Inputs!$B$26+Inputs!$B$30,IF(Skills!C23=2,90+Inputs!$B$27+Inputs!$B$30,IF(Skills!C23=3,120+Inputs!$B$28+Inputs!$B$30,MAX(0,(Inputs!$B$3-100)*3)+Inputs!$B$29+Inputs!$B$30)))</f>
        <v/>
      </c>
      <c r="E2570">
        <f>INDEX(FactorTable!$B$2:$Y$301, MATCH(ROUND(MIN(300,MAX(1,D2570)),0), FactorTable!$A$2:$A$301,0), Skills!L23+1)</f>
        <v/>
      </c>
      <c r="F2570">
        <f>IF(Skills!M23=TRUE,(Skills!K23/10)*(E2570/1000),Skills!K23/10)+Skills!N23</f>
        <v/>
      </c>
      <c r="G2570">
        <f>Calc!G23</f>
        <v/>
      </c>
      <c r="H2570">
        <f>Calc!H23</f>
        <v/>
      </c>
      <c r="I2570">
        <f>IF(Skills!T23&lt;&gt;"",1+(Skills!T23/10)*($Z$3/1000)/100,1)</f>
        <v/>
      </c>
      <c r="J2570" t="inlineStr"/>
      <c r="K2570" t="inlineStr"/>
      <c r="L2570" t="inlineStr"/>
      <c r="M2570" t="inlineStr"/>
      <c r="N2570" t="inlineStr"/>
      <c r="O2570">
        <f>(1-Summary!$B$11)*S2570+Summary!$B$11*U2570</f>
        <v/>
      </c>
      <c r="P2570">
        <f>IF(B2590=0,0,O2570/B2590)</f>
        <v/>
      </c>
      <c r="Q2570">
        <f>IFERROR(1/(IF(Inputs!$B$39="pvp",15,MAX(0.1,Skills!D23-IF(Skills!E23=TRUE,Inputs!$B$33,0)))*(1-IF(AND(ArtifactsInput!$M$27,Inputs!$B$4="Chapter Hunt"),CHOOSE(ArtifactsInput!$N$27+1,20,24,28,32,36,40),0)/100)),0)</f>
        <v/>
      </c>
      <c r="R2570" t="n">
        <v>0</v>
      </c>
      <c r="S2570" t="n">
        <v>0</v>
      </c>
      <c r="U2570" t="n">
        <v>0</v>
      </c>
    </row>
    <row r="2571">
      <c r="A2571">
        <f>Skills!A24</f>
        <v/>
      </c>
      <c r="B2571">
        <f>Skills!B24</f>
        <v/>
      </c>
      <c r="C2571">
        <f>Inputs!$B$3&gt;=74</f>
        <v/>
      </c>
      <c r="D2571">
        <f>IF(Skills!C24=1,60+Inputs!$B$26+Inputs!$B$30,IF(Skills!C24=2,90+Inputs!$B$27+Inputs!$B$30,IF(Skills!C24=3,120+Inputs!$B$28+Inputs!$B$30,MAX(0,(Inputs!$B$3-100)*3)+Inputs!$B$29+Inputs!$B$30)))</f>
        <v/>
      </c>
      <c r="E2571">
        <f>INDEX(FactorTable!$B$2:$Y$301, MATCH(ROUND(MIN(300,MAX(1,D2571)),0), FactorTable!$A$2:$A$301,0), Skills!L24+1)</f>
        <v/>
      </c>
      <c r="F2571">
        <f>IF(Skills!M24=TRUE,(Skills!K24/10)*(E2571/1000),Skills!K24/10)+Skills!N24</f>
        <v/>
      </c>
      <c r="G2571">
        <f>Calc!G24</f>
        <v/>
      </c>
      <c r="H2571">
        <f>Calc!H24</f>
        <v/>
      </c>
      <c r="I2571">
        <f>IF(Skills!T24&lt;&gt;"",1+(Skills!T24/10)*($Z$3/1000)/100,1)</f>
        <v/>
      </c>
      <c r="J2571" t="inlineStr"/>
      <c r="K2571" t="inlineStr"/>
      <c r="L2571" t="inlineStr"/>
      <c r="M2571" t="inlineStr"/>
      <c r="N2571" t="inlineStr"/>
      <c r="O2571">
        <f>(1-Summary!$B$11)*S2571+Summary!$B$11*U2571</f>
        <v/>
      </c>
      <c r="P2571">
        <f>IF(B2590=0,0,O2571/B2590)</f>
        <v/>
      </c>
      <c r="Q2571">
        <f>IFERROR(1/(IF(Inputs!$B$39="pvp",15,MAX(0.1,Skills!D24-IF(Skills!E24=TRUE,Inputs!$B$33,0)))*(1-IF(AND(ArtifactsInput!$M$27,Inputs!$B$4="Chapter Hunt"),CHOOSE(ArtifactsInput!$N$27+1,20,24,28,32,36,40),0)/100)),0)</f>
        <v/>
      </c>
      <c r="R2571" t="n">
        <v>0</v>
      </c>
      <c r="S2571" t="n">
        <v>0</v>
      </c>
      <c r="U2571" t="n">
        <v>0</v>
      </c>
    </row>
    <row r="2572">
      <c r="A2572">
        <f>Skills!A25</f>
        <v/>
      </c>
      <c r="B2572">
        <f>Skills!B25</f>
        <v/>
      </c>
      <c r="C2572">
        <f>Inputs!$B$3&gt;=74</f>
        <v/>
      </c>
      <c r="D2572">
        <f>IF(Skills!C25=1,60+Inputs!$B$26+Inputs!$B$30,IF(Skills!C25=2,90+Inputs!$B$27+Inputs!$B$30,IF(Skills!C25=3,120+Inputs!$B$28+Inputs!$B$30,MAX(0,(Inputs!$B$3-100)*3)+Inputs!$B$29+Inputs!$B$30)))</f>
        <v/>
      </c>
      <c r="E2572">
        <f>INDEX(FactorTable!$B$2:$Y$301, MATCH(ROUND(MIN(300,MAX(1,D2572)),0), FactorTable!$A$2:$A$301,0), Skills!L25+1)</f>
        <v/>
      </c>
      <c r="F2572">
        <f>IF(Skills!M25=TRUE,(Skills!K25/10)*(E2572/1000),Skills!K25/10)+Skills!N25</f>
        <v/>
      </c>
      <c r="G2572">
        <f>Calc!G25</f>
        <v/>
      </c>
      <c r="H2572">
        <f>Calc!H25</f>
        <v/>
      </c>
      <c r="I2572">
        <f>IF(Skills!T25&lt;&gt;"",1+(Skills!T25/10)*($Z$3/1000)/100,1)</f>
        <v/>
      </c>
      <c r="J2572" t="inlineStr"/>
      <c r="K2572" t="inlineStr"/>
      <c r="L2572" t="inlineStr"/>
      <c r="M2572" t="inlineStr"/>
      <c r="N2572" t="inlineStr"/>
      <c r="O2572">
        <f>(1-Summary!$B$11)*S2572+Summary!$B$11*U2572</f>
        <v/>
      </c>
      <c r="P2572">
        <f>IF(B2590=0,0,O2572/B2590)</f>
        <v/>
      </c>
      <c r="Q2572">
        <f>IFERROR(1/(IF(Inputs!$B$39="pvp",15,MAX(0.1,Skills!D25-IF(Skills!E25=TRUE,Inputs!$B$33,0)))*(1-IF(AND(ArtifactsInput!$M$27,Inputs!$B$4="Chapter Hunt"),CHOOSE(ArtifactsInput!$N$27+1,20,24,28,32,36,40),0)/100)),0)</f>
        <v/>
      </c>
      <c r="R2572" t="n">
        <v>0</v>
      </c>
      <c r="S2572" t="n">
        <v>0</v>
      </c>
      <c r="U2572" t="n">
        <v>0</v>
      </c>
    </row>
    <row r="2573">
      <c r="A2573">
        <f>Skills!A26</f>
        <v/>
      </c>
      <c r="B2573">
        <f>Skills!B26</f>
        <v/>
      </c>
      <c r="C2573">
        <f>Inputs!$B$3&gt;=117</f>
        <v/>
      </c>
      <c r="D2573">
        <f>IF(Skills!C26=1,60+Inputs!$B$26+Inputs!$B$30,IF(Skills!C26=2,90+Inputs!$B$27+Inputs!$B$30,IF(Skills!C26=3,120+Inputs!$B$28+Inputs!$B$30,MAX(0,(Inputs!$B$3-100)*3)+Inputs!$B$29+Inputs!$B$30)))</f>
        <v/>
      </c>
      <c r="E2573">
        <f>INDEX(FactorTable!$B$2:$Y$301, MATCH(ROUND(MIN(300,MAX(1,D2573)),0), FactorTable!$A$2:$A$301,0), Skills!L26+1)</f>
        <v/>
      </c>
      <c r="F2573">
        <f>IF(Skills!M26=TRUE,(Skills!K26/10)*(E2573/1000),Skills!K26/10)+Skills!N26</f>
        <v/>
      </c>
      <c r="G2573">
        <f>Calc!G26</f>
        <v/>
      </c>
      <c r="H2573">
        <f>Calc!H26</f>
        <v/>
      </c>
      <c r="I2573">
        <f>IF(Skills!T26&lt;&gt;"",1+(Skills!T26/10)*($Z$3/1000)/100,1)</f>
        <v/>
      </c>
      <c r="J2573" t="inlineStr"/>
      <c r="K2573" t="inlineStr"/>
      <c r="L2573" t="inlineStr"/>
      <c r="M2573" t="inlineStr"/>
      <c r="N2573" t="inlineStr"/>
      <c r="O2573">
        <f>(1-Summary!$B$11)*S2573+Summary!$B$11*U2573</f>
        <v/>
      </c>
      <c r="P2573">
        <f>IF(B2590=0,0,O2573/B2590)</f>
        <v/>
      </c>
      <c r="Q2573">
        <f>IFERROR(1/(IF(Inputs!$B$39="pvp",15,MAX(0.1,Skills!D26-IF(Skills!E26=TRUE,Inputs!$B$33,0)))*(1-IF(AND(ArtifactsInput!$M$27,Inputs!$B$4="Chapter Hunt"),CHOOSE(ArtifactsInput!$N$27+1,20,24,28,32,36,40),0)/100)),0)</f>
        <v/>
      </c>
      <c r="R2573" t="n">
        <v>0</v>
      </c>
      <c r="S2573" t="n">
        <v>0</v>
      </c>
      <c r="U2573" t="n">
        <v>0</v>
      </c>
    </row>
    <row r="2574">
      <c r="A2574">
        <f>Skills!A27</f>
        <v/>
      </c>
      <c r="B2574">
        <f>Skills!B27</f>
        <v/>
      </c>
      <c r="C2574">
        <f>Inputs!$B$3&gt;=120</f>
        <v/>
      </c>
      <c r="D2574">
        <f>IF(Skills!C27=1,60+Inputs!$B$26+Inputs!$B$30,IF(Skills!C27=2,90+Inputs!$B$27+Inputs!$B$30,IF(Skills!C27=3,120+Inputs!$B$28+Inputs!$B$30,MAX(0,(Inputs!$B$3-100)*3)+Inputs!$B$29+Inputs!$B$30)))</f>
        <v/>
      </c>
      <c r="E2574">
        <f>INDEX(FactorTable!$B$2:$Y$301, MATCH(ROUND(MIN(300,MAX(1,D2574)),0), FactorTable!$A$2:$A$301,0), Skills!L27+1)</f>
        <v/>
      </c>
      <c r="F2574">
        <f>IF(Skills!M27=TRUE,(Skills!K27/10)*(E2574/1000),Skills!K27/10)+Skills!N27</f>
        <v/>
      </c>
      <c r="G2574">
        <f>Calc!G27</f>
        <v/>
      </c>
      <c r="H2574">
        <f>Calc!H27</f>
        <v/>
      </c>
      <c r="I2574">
        <f>IF(Skills!T27&lt;&gt;"",1+(Skills!T27/10)*($Z$3/1000)/100,1)</f>
        <v/>
      </c>
      <c r="J2574" t="inlineStr"/>
      <c r="K2574" t="inlineStr"/>
      <c r="L2574" t="inlineStr"/>
      <c r="M2574" t="inlineStr"/>
      <c r="N2574" t="inlineStr"/>
      <c r="O2574">
        <f>(1-Summary!$B$11)*S2574+Summary!$B$11*U2574</f>
        <v/>
      </c>
      <c r="P2574">
        <f>IF(B2590=0,0,O2574/B2590)</f>
        <v/>
      </c>
      <c r="Q2574">
        <f>IFERROR(1/(IF(Inputs!$B$39="pvp",15,MAX(0.1,Skills!D27-IF(Skills!E27=TRUE,Inputs!$B$33,0)))*(1-IF(AND(ArtifactsInput!$M$27,Inputs!$B$4="Chapter Hunt"),CHOOSE(ArtifactsInput!$N$27+1,20,24,28,32,36,40),0)/100)),0)</f>
        <v/>
      </c>
      <c r="R2574" t="n">
        <v>0</v>
      </c>
      <c r="S2574" t="n">
        <v>0</v>
      </c>
      <c r="U2574" t="n">
        <v>0</v>
      </c>
    </row>
    <row r="2575">
      <c r="A2575">
        <f>Skills!A28</f>
        <v/>
      </c>
      <c r="B2575">
        <f>Skills!B28</f>
        <v/>
      </c>
      <c r="C2575">
        <f>TRUE</f>
        <v/>
      </c>
      <c r="D2575">
        <f>IF(Skills!C28=1,60+Inputs!$B$26+Inputs!$B$30,IF(Skills!C28=2,90+Inputs!$B$27+Inputs!$B$30,IF(Skills!C28=3,120+Inputs!$B$28+Inputs!$B$30,MAX(0,(Inputs!$B$3-100)*3)+Inputs!$B$29+Inputs!$B$30)))</f>
        <v/>
      </c>
      <c r="E2575">
        <f>INDEX(FactorTable!$B$2:$Y$301, MATCH(ROUND(MIN(300,MAX(1,D2575)),0), FactorTable!$A$2:$A$301,0), Skills!L28+1)</f>
        <v/>
      </c>
      <c r="F2575">
        <f>IF(Skills!M28=TRUE,(Skills!K28/10)*(E2575/1000),Skills!K28/10)+Skills!N28</f>
        <v/>
      </c>
      <c r="G2575">
        <f>Calc!G28</f>
        <v/>
      </c>
      <c r="H2575">
        <f>Calc!H28</f>
        <v/>
      </c>
      <c r="I2575">
        <f>IF(Skills!T28&lt;&gt;"",1+(Skills!T28/10)*($Z$3/1000)/100,1)</f>
        <v/>
      </c>
      <c r="J2575" t="inlineStr"/>
      <c r="K2575" t="inlineStr"/>
      <c r="L2575" t="inlineStr"/>
      <c r="M2575" t="inlineStr"/>
      <c r="N2575" t="inlineStr"/>
      <c r="O2575">
        <f>(1-Summary!$B$11)*S2575+Summary!$B$11*U2575</f>
        <v/>
      </c>
      <c r="P2575">
        <f>IF(B2590=0,0,O2575/B2590)</f>
        <v/>
      </c>
      <c r="Q2575">
        <f>IFERROR(1/(IF(Inputs!$B$39="pvp",15,MAX(0.1,Skills!D28-IF(Skills!E28=TRUE,Inputs!$B$33,0)))*(1-IF(AND(ArtifactsInput!$M$27,Inputs!$B$4="Chapter Hunt"),CHOOSE(ArtifactsInput!$N$27+1,20,24,28,32,36,40),0)/100)),0)</f>
        <v/>
      </c>
      <c r="R2575">
        <f>IF(AND(Inputs!$B$39&lt;&gt;"pvp",Inputs!$B$44&gt;0),IF(Inputs!$B$44&lt;=0,0,(INT(Inputs!$B$44/(IF(Inputs!$B$39="pvp",15,MAX(0.1,Skills!D28-IF(Skills!E28=TRUE,Inputs!$B$33,0)))*(1-IF(AND(ArtifactsInput!$M$27,Inputs!$B$4="Chapter Hunt"),CHOOSE(ArtifactsInput!$N$27+1,20,24,28,32,36,40),0)/100)))+1)),0)</f>
        <v/>
      </c>
      <c r="S2575" t="n">
        <v>0</v>
      </c>
      <c r="U2575" t="n">
        <v>0</v>
      </c>
    </row>
    <row r="2577">
      <c r="A2577" t="inlineStr">
        <is>
          <t>Average Buff Multiplier</t>
        </is>
      </c>
      <c r="B2577">
        <f>(1+(IF(C2550=TRUE,F2550*IF(AND(Inputs!$B$39&lt;&gt;"pvp",Inputs!$B$44&gt;0),(((R2550-1)*(Skills!S3*(1+((Inputs!$B$35+(ArtifactsInput!$M$7-ArtifactsInput!$M$7)*CHOOSE(ArtifactsInput!$N$7+1,6,7.2,8.4,9.6,10.8,12))+IF(Inputs!$B$3&gt;=117,F2573,0))/100))+MIN((Skills!S3*(1+((Inputs!$B$35+(ArtifactsInput!$M$7-ArtifactsInput!$M$7)*CHOOSE(ArtifactsInput!$N$7+1,6,7.2,8.4,9.6,10.8,12))+IF(Inputs!$B$3&gt;=117,F2573,0))/100)),MAX(0,Inputs!$B$44-((R2550-1)*Skills!D3))))/Inputs!$B$44),IF(Inputs!$B$39="pvp",MIN((Skills!S3*(1+((Inputs!$B$35+(ArtifactsInput!$M$7-ArtifactsInput!$M$7)*CHOOSE(ArtifactsInput!$N$7+1,6,7.2,8.4,9.6,10.8,12))+IF(Inputs!$B$3&gt;=117,F2573,0))/100)),15)/15,(Skills!S3*(1+((Inputs!$B$35+(ArtifactsInput!$M$7-ArtifactsInput!$M$7)*CHOOSE(ArtifactsInput!$N$7+1,6,7.2,8.4,9.6,10.8,12))+IF(Inputs!$B$3&gt;=117,F2573,0))/100))/Skills!D3)),0)+IF(C2551=TRUE,F2551*IF(AND(Inputs!$B$39&lt;&gt;"pvp",Inputs!$B$44&gt;0),(((R2551-1)*(Skills!S4*(1+((Inputs!$B$35+(ArtifactsInput!$M$7-ArtifactsInput!$M$7)*CHOOSE(ArtifactsInput!$N$7+1,6,7.2,8.4,9.6,10.8,12))+IF(Inputs!$B$3&gt;=117,F2573,0))/100))+MIN((Skills!S4*(1+((Inputs!$B$35+(ArtifactsInput!$M$7-ArtifactsInput!$M$7)*CHOOSE(ArtifactsInput!$N$7+1,6,7.2,8.4,9.6,10.8,12))+IF(Inputs!$B$3&gt;=117,F2573,0))/100)),MAX(0,Inputs!$B$44-((R2551-1)*Skills!D4))))/Inputs!$B$44),IF(Inputs!$B$39="pvp",MIN((Skills!S4*(1+((Inputs!$B$35+(ArtifactsInput!$M$7-ArtifactsInput!$M$7)*CHOOSE(ArtifactsInput!$N$7+1,6,7.2,8.4,9.6,10.8,12))+IF(Inputs!$B$3&gt;=117,F2573,0))/100)),15)/15,(Skills!S4*(1+((Inputs!$B$35+(ArtifactsInput!$M$7-ArtifactsInput!$M$7)*CHOOSE(ArtifactsInput!$N$7+1,6,7.2,8.4,9.6,10.8,12))+IF(Inputs!$B$3&gt;=117,F2573,0))/100))/Skills!D4)),0)+IF(C2552=TRUE,F2552*IF(AND(Inputs!$B$39&lt;&gt;"pvp",Inputs!$B$44&gt;0),(((R2552-1)*(Skills!S5*(1+((Inputs!$B$35+(ArtifactsInput!$M$7-ArtifactsInput!$M$7)*CHOOSE(ArtifactsInput!$N$7+1,6,7.2,8.4,9.6,10.8,12))+IF(Inputs!$B$3&gt;=117,F2573,0))/100))+MIN((Skills!S5*(1+((Inputs!$B$35+(ArtifactsInput!$M$7-ArtifactsInput!$M$7)*CHOOSE(ArtifactsInput!$N$7+1,6,7.2,8.4,9.6,10.8,12))+IF(Inputs!$B$3&gt;=117,F2573,0))/100)),MAX(0,Inputs!$B$44-((R2552-1)*Skills!D5))))/Inputs!$B$44),IF(Inputs!$B$39="pvp",MIN((Skills!S5*(1+((Inputs!$B$35+(ArtifactsInput!$M$7-ArtifactsInput!$M$7)*CHOOSE(ArtifactsInput!$N$7+1,6,7.2,8.4,9.6,10.8,12))+IF(Inputs!$B$3&gt;=117,F2573,0))/100)),15)/15,(Skills!S5*(1+((Inputs!$B$35+(ArtifactsInput!$M$7-ArtifactsInput!$M$7)*CHOOSE(ArtifactsInput!$N$7+1,6,7.2,8.4,9.6,10.8,12))+IF(Inputs!$B$3&gt;=117,F2573,0))/100))/Skills!D5)),0)+IF(C2558=TRUE,F2558*IF(AND(Inputs!$B$39&lt;&gt;"pvp",Inputs!$B$44&gt;0),(((R2558-1)*(Skills!S11*(1+((Inputs!$B$35+(ArtifactsInput!$M$7-ArtifactsInput!$M$7)*CHOOSE(ArtifactsInput!$N$7+1,6,7.2,8.4,9.6,10.8,12))+IF(Inputs!$B$3&gt;=117,F2573,0))/100))+MIN((Skills!S11*(1+((Inputs!$B$35+(ArtifactsInput!$M$7-ArtifactsInput!$M$7)*CHOOSE(ArtifactsInput!$N$7+1,6,7.2,8.4,9.6,10.8,12))+IF(Inputs!$B$3&gt;=117,F2573,0))/100)),MAX(0,Inputs!$B$44-((R2558-1)*Skills!D11))))/Inputs!$B$44),IF(Inputs!$B$39="pvp",MIN((Skills!S11*(1+((Inputs!$B$35+(ArtifactsInput!$M$7-ArtifactsInput!$M$7)*CHOOSE(ArtifactsInput!$N$7+1,6,7.2,8.4,9.6,10.8,12))+IF(Inputs!$B$3&gt;=117,F2573,0))/100)),15)/15,(Skills!S11*(1+((Inputs!$B$35+(ArtifactsInput!$M$7-ArtifactsInput!$M$7)*CHOOSE(ArtifactsInput!$N$7+1,6,7.2,8.4,9.6,10.8,12))+IF(Inputs!$B$3&gt;=117,F2573,0)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2561=TRUE,(1+F2561*IF(AND(Inputs!$B$39&lt;&gt;"pvp",Inputs!$B$44&gt;0),(((R2561-1)*(Skills!S14*(1+((Inputs!$B$35+(ArtifactsInput!$M$7-ArtifactsInput!$M$7)*CHOOSE(ArtifactsInput!$N$7+1,6,7.2,8.4,9.6,10.8,12))+IF(Inputs!$B$3&gt;=117,F2573,0))/100))+MIN((Skills!S14*(1+((Inputs!$B$35+(ArtifactsInput!$M$7-ArtifactsInput!$M$7)*CHOOSE(ArtifactsInput!$N$7+1,6,7.2,8.4,9.6,10.8,12))+IF(Inputs!$B$3&gt;=117,F2573,0))/100)),MAX(0,Inputs!$B$44-((R2561-1)*Skills!D14))))/Inputs!$B$44),IF(Inputs!$B$39="pvp",MIN((Skills!S14*(1+((Inputs!$B$35+(ArtifactsInput!$M$7-ArtifactsInput!$M$7)*CHOOSE(ArtifactsInput!$N$7+1,6,7.2,8.4,9.6,10.8,12))+IF(Inputs!$B$3&gt;=117,F2573,0))/100)),15)/15,(Skills!S14*(1+((Inputs!$B$35+(ArtifactsInput!$M$7-ArtifactsInput!$M$7)*CHOOSE(ArtifactsInput!$N$7+1,6,7.2,8.4,9.6,10.8,12))+IF(Inputs!$B$3&gt;=117,F2573,0))/100))/Skills!D14))/100),1)*IF(C2566=TRUE,(1+F2566*IF(AND(Inputs!$B$39&lt;&gt;"pvp",Inputs!$B$44&gt;0),(((R2566-1)*(Skills!S19*(1+((Inputs!$B$35+(ArtifactsInput!$M$7-ArtifactsInput!$M$7)*CHOOSE(ArtifactsInput!$N$7+1,6,7.2,8.4,9.6,10.8,12))+IF(Inputs!$B$3&gt;=117,F2573,0))/100))+MIN((Skills!S19*(1+((Inputs!$B$35+(ArtifactsInput!$M$7-ArtifactsInput!$M$7)*CHOOSE(ArtifactsInput!$N$7+1,6,7.2,8.4,9.6,10.8,12))+IF(Inputs!$B$3&gt;=117,F2573,0))/100)),MAX(0,Inputs!$B$44-((R2566-1)*Skills!D19))))/Inputs!$B$44),IF(Inputs!$B$39="pvp",MIN((Skills!S19*(1+((Inputs!$B$35+(ArtifactsInput!$M$7-ArtifactsInput!$M$7)*CHOOSE(ArtifactsInput!$N$7+1,6,7.2,8.4,9.6,10.8,12))+IF(Inputs!$B$3&gt;=117,F2573,0))/100)),15)/15,(Skills!S19*(1+((Inputs!$B$35+(ArtifactsInput!$M$7-ArtifactsInput!$M$7)*CHOOSE(ArtifactsInput!$N$7+1,6,7.2,8.4,9.6,10.8,12))+IF(Inputs!$B$3&gt;=117,F2573,0))/100))/Skills!D19))/100),1)</f>
        <v/>
      </c>
    </row>
    <row r="2578">
      <c r="A2578" t="inlineStr">
        <is>
          <t>Monster Damage Taken Bonus % (Holy Fountain)</t>
        </is>
      </c>
      <c r="B2578">
        <f>IF(Inputs!$B$3&gt;=68,20*IF(Inputs!$B$39="pvp",MIN((15*(1+((Inputs!$B$35+(ArtifactsInput!$M$7-ArtifactsInput!$M$7)*CHOOSE(ArtifactsInput!$N$7+1,6,7.2,8.4,9.6,10.8,12))+IF(Inputs!$B$3&gt;=117,F2573,0))/100)),15)/15,(15*(1+((Inputs!$B$35+(ArtifactsInput!$M$7-ArtifactsInput!$M$7)*CHOOSE(ArtifactsInput!$N$7+1,6,7.2,8.4,9.6,10.8,12))+IF(Inputs!$B$3&gt;=117,F2573,0))/100))/Skills!D10),0)</f>
        <v/>
      </c>
    </row>
    <row r="2579">
      <c r="A2579" t="inlineStr">
        <is>
          <t>Normal Monster Damage Bonus % (Holy Symbol)</t>
        </is>
      </c>
      <c r="B2579">
        <f>IF(C2559=TRUE,F2559*IF(AND(Inputs!$B$39&lt;&gt;"pvp",Inputs!$B$44&gt;0),(((R2559-1)*(Skills!S12*(1+((Inputs!$B$35+(ArtifactsInput!$M$7-ArtifactsInput!$M$7)*CHOOSE(ArtifactsInput!$N$7+1,6,7.2,8.4,9.6,10.8,12))+IF(Inputs!$B$3&gt;=117,F2573,0))/100))+MIN((Skills!S12*(1+((Inputs!$B$35+(ArtifactsInput!$M$7-ArtifactsInput!$M$7)*CHOOSE(ArtifactsInput!$N$7+1,6,7.2,8.4,9.6,10.8,12))+IF(Inputs!$B$3&gt;=117,F2573,0))/100)),MAX(0,Inputs!$B$44-((R2559-1)*Skills!D12))))/Inputs!$B$44),IF(Inputs!$B$39="pvp",MIN((Skills!S12*(1+((Inputs!$B$35+(ArtifactsInput!$M$7-ArtifactsInput!$M$7)*CHOOSE(ArtifactsInput!$N$7+1,6,7.2,8.4,9.6,10.8,12))+IF(Inputs!$B$3&gt;=117,F2573,0))/100)),15)/15,(Skills!S12*(1+((Inputs!$B$35+(ArtifactsInput!$M$7-ArtifactsInput!$M$7)*CHOOSE(ArtifactsInput!$N$7+1,6,7.2,8.4,9.6,10.8,12))+IF(Inputs!$B$3&gt;=117,F2573,0))/100))/Skills!D12)),0)</f>
        <v/>
      </c>
    </row>
    <row r="2580">
      <c r="A2580" t="inlineStr">
        <is>
          <t>Damage % Bonus (Holy Symbol - Damage Boost)</t>
        </is>
      </c>
      <c r="B2580">
        <f>Skills!O12</f>
        <v/>
      </c>
    </row>
    <row r="2581">
      <c r="A2581" t="inlineStr">
        <is>
          <t>Crit Damage % Bonus (Blood of the Divine)</t>
        </is>
      </c>
      <c r="B2581">
        <f>4*IF(C2567=TRUE,F2567,0)</f>
        <v/>
      </c>
    </row>
    <row r="2582">
      <c r="A2582" t="inlineStr">
        <is>
          <t>Attack Speed Bonus %</t>
        </is>
      </c>
      <c r="B2582">
        <f>IF(C2564=TRUE,F2564+(F2568-Calc!F21),0)+IF(Inputs!$B$3&gt;=134,15,0)+((C2575=TRUE)*F2575*IF(AND(Inputs!$B$39&lt;&gt;"pvp",Inputs!$B$44&gt;0),(((R2575-1)*(Skills!S28*(1+((Inputs!$B$35+(ArtifactsInput!$M$7-ArtifactsInput!$M$7)*CHOOSE(ArtifactsInput!$N$7+1,6,7.2,8.4,9.6,10.8,12))+IF(Inputs!$B$3&gt;=117,F2573,0))/100))+MIN((Skills!S28*(1+((Inputs!$B$35+(ArtifactsInput!$M$7-ArtifactsInput!$M$7)*CHOOSE(ArtifactsInput!$N$7+1,6,7.2,8.4,9.6,10.8,12))+IF(Inputs!$B$3&gt;=117,F2573,0))/100)),MAX(0,Inputs!$B$44-((R2575-1)*Skills!D28))))/Inputs!$B$44),IF(Inputs!$B$39="pvp",MIN((Skills!S28*(1+((Inputs!$B$35+(ArtifactsInput!$M$7-ArtifactsInput!$M$7)*CHOOSE(ArtifactsInput!$N$7+1,6,7.2,8.4,9.6,10.8,12))+IF(Inputs!$B$3&gt;=117,F2573,0))/100)),15)/15,(Skills!S28*(1+((Inputs!$B$35+(ArtifactsInput!$M$7-ArtifactsInput!$M$7)*CHOOSE(ArtifactsInput!$N$7+1,6,7.2,8.4,9.6,10.8,12))+IF(Inputs!$B$3&gt;=117,F2573,0))/100))/Skills!D28)))</f>
        <v/>
      </c>
    </row>
    <row r="2583">
      <c r="A2583" t="inlineStr">
        <is>
          <t>Actions Per Second</t>
        </is>
      </c>
      <c r="B2583">
        <f>1+MIN(150,150*(1-(1-Inputs!$B$12/150)*(1-B2582/150)))/100</f>
        <v/>
      </c>
    </row>
    <row r="2584">
      <c r="A2584" t="inlineStr">
        <is>
          <t>Skill + Buff Cast Rate</t>
        </is>
      </c>
      <c r="B2584">
        <f>IF(AND(Inputs!$B$39&lt;&gt;"pvp",Inputs!$B$44&gt;0),SUMPRODUCT((Skills!E2:E28=TRUE)*(C2549:C2575=TRUE)*R2549:R2575)/Inputs!$B$44,SUMPRODUCT((Skills!E2:E28=TRUE)*(C2549:C2575=TRUE)*Q2549:Q2575))</f>
        <v/>
      </c>
    </row>
    <row r="2585">
      <c r="A2585" t="inlineStr">
        <is>
          <t>Big Bang Casts Per Second</t>
        </is>
      </c>
      <c r="B2585">
        <f>MAX(0,B2583-B2584)</f>
        <v/>
      </c>
    </row>
    <row r="2586">
      <c r="A2586" t="inlineStr">
        <is>
          <t>Defense % Bonus (Divine Protection)</t>
        </is>
      </c>
      <c r="B2586">
        <f>IF(C2560=TRUE,F2560*IF(AND(Inputs!$B$39&lt;&gt;"pvp",Inputs!$B$44&gt;0),(((R2560-1)*(Skills!S13*(1+((Inputs!$B$35+(ArtifactsInput!$M$7-ArtifactsInput!$M$7)*CHOOSE(ArtifactsInput!$N$7+1,6,7.2,8.4,9.6,10.8,12))+IF(Inputs!$B$3&gt;=117,F2573,0))/100))+MIN((Skills!S13*(1+((Inputs!$B$35+(ArtifactsInput!$M$7-ArtifactsInput!$M$7)*CHOOSE(ArtifactsInput!$N$7+1,6,7.2,8.4,9.6,10.8,12))+IF(Inputs!$B$3&gt;=117,F2573,0))/100)),MAX(0,Inputs!$B$44-((R2560-1)*Skills!D13))))/Inputs!$B$44),IF(Inputs!$B$39="pvp",MIN((Skills!S13*(1+((Inputs!$B$35+(ArtifactsInput!$M$7-ArtifactsInput!$M$7)*CHOOSE(ArtifactsInput!$N$7+1,6,7.2,8.4,9.6,10.8,12))+IF(Inputs!$B$3&gt;=117,F2573,0))/100)),15)/15,(Skills!S13*(1+((Inputs!$B$35+(ArtifactsInput!$M$7-ArtifactsInput!$M$7)*CHOOSE(ArtifactsInput!$N$7+1,6,7.2,8.4,9.6,10.8,12))+IF(Inputs!$B$3&gt;=117,F2573,0))/100))/Skills!D13)),0)</f>
        <v/>
      </c>
    </row>
    <row r="2587">
      <c r="A2587" t="inlineStr">
        <is>
          <t>Buff-Casting Startup Delay (s, fixed-duration only)</t>
        </is>
      </c>
      <c r="B2587">
        <f>IF(AND(Inputs!$B$39&lt;&gt;"pvp",Inputs!$B$44&gt;0),SUMPRODUCT((Skills!S2:S28&gt;0)*(Skills!E2:E28=TRUE)*(C2549:C2575=TRUE))/B2583,0)</f>
        <v/>
      </c>
    </row>
    <row r="2588">
      <c r="A2588" t="inlineStr">
        <is>
          <t>Boss-Only Total DPS (this block's swept value)</t>
        </is>
      </c>
      <c r="B2588">
        <f>SUM(S2549:S2575)</f>
        <v/>
      </c>
    </row>
    <row r="2589">
      <c r="A2589" t="inlineStr">
        <is>
          <t>Normal-Only Total DPS (this block's swept value)</t>
        </is>
      </c>
      <c r="B2589">
        <f>SUM(U2549:U2575)</f>
        <v/>
      </c>
    </row>
    <row r="2590">
      <c r="A2590" s="6" t="inlineStr">
        <is>
          <t>TOTAL DPS</t>
        </is>
      </c>
      <c r="B2590" s="6">
        <f>SUM(O2549:O2575)</f>
        <v/>
      </c>
    </row>
    <row r="2592">
      <c r="A2592" s="6" t="inlineStr">
        <is>
          <t>Stat: Candle (Equip)</t>
        </is>
      </c>
    </row>
    <row r="2593">
      <c r="A2593" s="5" t="inlineStr">
        <is>
          <t>Key</t>
        </is>
      </c>
      <c r="B2593" s="5" t="inlineStr">
        <is>
          <t>Name</t>
        </is>
      </c>
      <c r="C2593" s="5" t="inlineStr">
        <is>
          <t>Unlocked</t>
        </is>
      </c>
      <c r="D2593" s="5" t="inlineStr">
        <is>
          <t>InputLevel</t>
        </is>
      </c>
      <c r="E2593" s="5" t="inlineStr">
        <is>
          <t>Factor</t>
        </is>
      </c>
      <c r="F2593" s="5" t="inlineStr">
        <is>
          <t>CoefficientPercent</t>
        </is>
      </c>
      <c r="G2593" s="5" t="inlineStr">
        <is>
          <t>EffectiveHits</t>
        </is>
      </c>
      <c r="H2593" s="5" t="inlineStr">
        <is>
          <t>ProcProbability</t>
        </is>
      </c>
      <c r="I2593" s="5" t="inlineStr">
        <is>
          <t>MapleHeroMultiplier</t>
        </is>
      </c>
      <c r="J2593" s="5" t="inlineStr">
        <is>
          <t>BaseDamage</t>
        </is>
      </c>
      <c r="K2593" s="5" t="inlineStr">
        <is>
          <t>BaseHitDamage</t>
        </is>
      </c>
      <c r="L2593" s="5" t="inlineStr">
        <is>
          <t>NonCritAvg</t>
        </is>
      </c>
      <c r="M2593" s="5" t="inlineStr">
        <is>
          <t>CritAvg</t>
        </is>
      </c>
      <c r="N2593" s="5" t="inlineStr">
        <is>
          <t>ExpectedDamage(perHit)</t>
        </is>
      </c>
      <c r="O2593" s="5" t="inlineStr">
        <is>
          <t>DPS</t>
        </is>
      </c>
      <c r="P2593" s="5" t="inlineStr">
        <is>
          <t>% of Total</t>
        </is>
      </c>
      <c r="R2593" t="inlineStr">
        <is>
          <t>helpers</t>
        </is>
      </c>
    </row>
    <row r="2594">
      <c r="A2594">
        <f>Skills!A2</f>
        <v/>
      </c>
      <c r="B2594">
        <f>Skills!B2</f>
        <v/>
      </c>
      <c r="C2594">
        <f>Inputs!$B$3&gt;=100</f>
        <v/>
      </c>
      <c r="D2594" t="inlineStr"/>
      <c r="E2594" t="inlineStr"/>
      <c r="F2594">
        <f>T2596+Skills!N2</f>
        <v/>
      </c>
      <c r="G2594">
        <f>Calc!G2</f>
        <v/>
      </c>
      <c r="H2594">
        <f>Calc!H2</f>
        <v/>
      </c>
      <c r="I2594">
        <f>IF(Skills!T2&lt;&gt;"",1+(Skills!T2/10)*($Z$3/1000)/100,1)</f>
        <v/>
      </c>
      <c r="J2594">
        <f>((Inputs!$B$6*(1+Inputs!$B$7/100))+(((Inputs!$B$13*(1+Inputs!$B$14/100))-(Inputs!$B$13*(1+Inputs!$B$14/100)))+0.25*(Inputs!$B$15-Inputs!$B$15))*(1+Inputs!$B$7/100))*(F2594/100)</f>
        <v/>
      </c>
      <c r="K2594">
        <f>J2594*(1+(((Inputs!$B$13+IF(Inputs!$B$3&gt;=35,(10*INDEX(FactorTable!$B$2:$Y$301,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2="TRIUMPH_FEATHER",IF(C2608=TRUE,F2608,0),0)/100)*(1+IF(C2619=TRUE,F2619,0)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2594)</f>
        <v/>
      </c>
      <c r="L2594">
        <f>K2594*(MIN(Inputs!$B$23+(F2614-Calc!F22),(Inputs!$B$24+IF(ArtifactsInput!$M$15,CHOOSE(ArtifactsInput!$N$15+1,25,30,35,40,45,50)/100*(Inputs!$B$12-Inputs!$B$12),0)))/100+(Inputs!$B$24+IF(ArtifactsInput!$M$15,CHOOSE(ArtifactsInput!$N$15+1,25,30,35,40,45,50)/100*(Inputs!$B$12-Inputs!$B$12),0))/100)/2</f>
        <v/>
      </c>
      <c r="M2594">
        <f>L2594*(1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4">
        <f>L2594*(1-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2594*(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4">
        <f>(1-Summary!$B$11)*S2594+Summary!$B$11*U2594</f>
        <v/>
      </c>
      <c r="P2594">
        <f>IF(B2635=0,0,O2594/B2635)</f>
        <v/>
      </c>
      <c r="Q2594">
        <f>IFERROR(1/(IF(Inputs!$B$39="pvp",15,MAX(0.1,Skills!D2-IF(Skills!E2=TRUE,Inputs!$B$33,0)))*(1-IF(AND(ArtifactsInput!$M$27,Inputs!$B$4="Chapter Hunt"),CHOOSE(ArtifactsInput!$N$27+1,20,24,28,32,36,40),0)/100)),0)</f>
        <v/>
      </c>
      <c r="R2594" t="n">
        <v>0</v>
      </c>
      <c r="S2594">
        <f>IF(C2594,(Skills!F2*N2594*B2630)*IF(Inputs!$B$39="pvp",1,1+(Inputs!$B$21+Skills!O2+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2594*(1-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2594*(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2594*(1-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2594*(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94">
        <f>MAX(0,(Inputs!$B$3-100)*3)+Inputs!$B$29+Inputs!$B$30</f>
        <v/>
      </c>
      <c r="U2594">
        <f>IF(C2594,(Skills!F2*N2594*B2630)*IF(Inputs!$B$39="pvp",1,(1+(Inputs!$B$22+Skills!P2+B2624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5">
      <c r="A2595">
        <f>Skills!A3</f>
        <v/>
      </c>
      <c r="B2595">
        <f>Skills!B3</f>
        <v/>
      </c>
      <c r="C2595">
        <f>Inputs!$B$3&gt;=15</f>
        <v/>
      </c>
      <c r="D2595">
        <f>IF(Skills!C3=1,60+Inputs!$B$26+Inputs!$B$30,IF(Skills!C3=2,90+Inputs!$B$27+Inputs!$B$30,IF(Skills!C3=3,120+Inputs!$B$28+Inputs!$B$30,MAX(0,(Inputs!$B$3-100)*3)+Inputs!$B$29+Inputs!$B$30)))</f>
        <v/>
      </c>
      <c r="E2595">
        <f>INDEX(FactorTable!$B$2:$Y$301, MATCH(ROUND(MIN(300,MAX(1,D2595)),0), FactorTable!$A$2:$A$301,0), Skills!L3+1)</f>
        <v/>
      </c>
      <c r="F2595">
        <f>IF(Skills!M3=TRUE,(Skills!K3/10)*(E2595/1000),Skills!K3/10)+Skills!N3</f>
        <v/>
      </c>
      <c r="G2595">
        <f>Calc!G3</f>
        <v/>
      </c>
      <c r="H2595">
        <f>Calc!H3</f>
        <v/>
      </c>
      <c r="I2595">
        <f>IF(Skills!T3&lt;&gt;"",1+(Skills!T3/10)*($Z$3/1000)/100,1)</f>
        <v/>
      </c>
      <c r="J2595" t="inlineStr"/>
      <c r="K2595" t="inlineStr"/>
      <c r="L2595" t="inlineStr"/>
      <c r="M2595" t="inlineStr"/>
      <c r="N2595" t="inlineStr"/>
      <c r="O2595">
        <f>(1-Summary!$B$11)*S2595+Summary!$B$11*U2595</f>
        <v/>
      </c>
      <c r="P2595">
        <f>IF(B2635=0,0,O2595/B2635)</f>
        <v/>
      </c>
      <c r="Q2595">
        <f>IFERROR(1/(IF(Inputs!$B$39="pvp",15,MAX(0.1,Skills!D3-IF(Skills!E3=TRUE,Inputs!$B$33,0)))*(1-IF(AND(ArtifactsInput!$M$27,Inputs!$B$4="Chapter Hunt"),CHOOSE(ArtifactsInput!$N$27+1,20,24,28,32,36,40),0)/100)),0)</f>
        <v/>
      </c>
      <c r="R2595">
        <f>IF(AND(Inputs!$B$39&lt;&gt;"pvp",Inputs!$B$44&gt;0),IF(Inputs!$B$44&lt;=0,0,(INT(Inputs!$B$44/(IF(Inputs!$B$39="pvp",15,MAX(0.1,Skills!D3-IF(Skills!E3=TRUE,Inputs!$B$33,0)))*(1-IF(AND(ArtifactsInput!$M$27,Inputs!$B$4="Chapter Hunt"),CHOOSE(ArtifactsInput!$N$27+1,20,24,28,32,36,40),0)/100)))+1)),0)</f>
        <v/>
      </c>
      <c r="S2595" t="n">
        <v>0</v>
      </c>
      <c r="T2595">
        <f>INDEX(FactorTable!$B$2:$Y$301, MATCH(ROUND(MIN(300,MAX(1,T2594)),0), FactorTable!$A$2:$A$301,0), 22)</f>
        <v/>
      </c>
      <c r="U2595" t="n">
        <v>0</v>
      </c>
    </row>
    <row r="2596">
      <c r="A2596">
        <f>Skills!A4</f>
        <v/>
      </c>
      <c r="B2596">
        <f>Skills!B4</f>
        <v/>
      </c>
      <c r="C2596">
        <f>Inputs!$B$3&gt;=38</f>
        <v/>
      </c>
      <c r="D2596">
        <f>IF(Skills!C4=1,60+Inputs!$B$26+Inputs!$B$30,IF(Skills!C4=2,90+Inputs!$B$27+Inputs!$B$30,IF(Skills!C4=3,120+Inputs!$B$28+Inputs!$B$30,MAX(0,(Inputs!$B$3-100)*3)+Inputs!$B$29+Inputs!$B$30)))</f>
        <v/>
      </c>
      <c r="E2596">
        <f>INDEX(FactorTable!$B$2:$Y$301, MATCH(ROUND(MIN(300,MAX(1,D2596)),0), FactorTable!$A$2:$A$301,0), Skills!L4+1)</f>
        <v/>
      </c>
      <c r="F2596">
        <f>IF(Skills!M4=TRUE,(Skills!K4/10)*(E2596/1000),Skills!K4/10)+Skills!N4</f>
        <v/>
      </c>
      <c r="G2596">
        <f>Calc!G4</f>
        <v/>
      </c>
      <c r="H2596">
        <f>Calc!H4</f>
        <v/>
      </c>
      <c r="I2596">
        <f>IF(Skills!T4&lt;&gt;"",1+(Skills!T4/10)*($Z$3/1000)/100,1)</f>
        <v/>
      </c>
      <c r="J2596" t="inlineStr"/>
      <c r="K2596" t="inlineStr"/>
      <c r="L2596" t="inlineStr"/>
      <c r="M2596" t="inlineStr"/>
      <c r="N2596" t="inlineStr"/>
      <c r="O2596">
        <f>(1-Summary!$B$11)*S2596+Summary!$B$11*U2596</f>
        <v/>
      </c>
      <c r="P2596">
        <f>IF(B2635=0,0,O2596/B2635)</f>
        <v/>
      </c>
      <c r="Q2596">
        <f>IFERROR(1/(IF(Inputs!$B$39="pvp",15,MAX(0.1,Skills!D4-IF(Skills!E4=TRUE,Inputs!$B$33,0)))*(1-IF(AND(ArtifactsInput!$M$27,Inputs!$B$4="Chapter Hunt"),CHOOSE(ArtifactsInput!$N$27+1,20,24,28,32,36,40),0)/100)),0)</f>
        <v/>
      </c>
      <c r="R2596">
        <f>IF(AND(Inputs!$B$39&lt;&gt;"pvp",Inputs!$B$44&gt;0),IF(Inputs!$B$44&lt;=0,0,(INT(Inputs!$B$44/(IF(Inputs!$B$39="pvp",15,MAX(0.1,Skills!D4-IF(Skills!E4=TRUE,Inputs!$B$33,0)))*(1-IF(AND(ArtifactsInput!$M$27,Inputs!$B$4="Chapter Hunt"),CHOOSE(ArtifactsInput!$N$27+1,20,24,28,32,36,40),0)/100)))+1)),0)</f>
        <v/>
      </c>
      <c r="S2596" t="n">
        <v>0</v>
      </c>
      <c r="T2596">
        <f>290*T2595/1000</f>
        <v/>
      </c>
      <c r="U2596" t="n">
        <v>0</v>
      </c>
    </row>
    <row r="2597">
      <c r="A2597">
        <f>Skills!A5</f>
        <v/>
      </c>
      <c r="B2597">
        <f>Skills!B5</f>
        <v/>
      </c>
      <c r="C2597">
        <f>Inputs!$B$3&gt;=40</f>
        <v/>
      </c>
      <c r="D2597">
        <f>IF(Skills!C5=1,60+Inputs!$B$26+Inputs!$B$30,IF(Skills!C5=2,90+Inputs!$B$27+Inputs!$B$30,IF(Skills!C5=3,120+Inputs!$B$28+Inputs!$B$30,MAX(0,(Inputs!$B$3-100)*3)+Inputs!$B$29+Inputs!$B$30)))</f>
        <v/>
      </c>
      <c r="E2597">
        <f>INDEX(FactorTable!$B$2:$Y$301, MATCH(ROUND(MIN(300,MAX(1,D2597)),0), FactorTable!$A$2:$A$301,0), Skills!L5+1)</f>
        <v/>
      </c>
      <c r="F2597">
        <f>IF(Skills!M5=TRUE,(Skills!K5/10)*(E2597/1000),Skills!K5/10)+Skills!N5</f>
        <v/>
      </c>
      <c r="G2597">
        <f>Calc!G5</f>
        <v/>
      </c>
      <c r="H2597">
        <f>Calc!H5</f>
        <v/>
      </c>
      <c r="I2597">
        <f>IF(Skills!T5&lt;&gt;"",1+(Skills!T5/10)*($Z$3/1000)/100,1)</f>
        <v/>
      </c>
      <c r="J2597" t="inlineStr"/>
      <c r="K2597" t="inlineStr"/>
      <c r="L2597" t="inlineStr"/>
      <c r="M2597" t="inlineStr"/>
      <c r="N2597" t="inlineStr"/>
      <c r="O2597">
        <f>(1-Summary!$B$11)*S2597+Summary!$B$11*U2597</f>
        <v/>
      </c>
      <c r="P2597">
        <f>IF(B2635=0,0,O2597/B2635)</f>
        <v/>
      </c>
      <c r="Q2597">
        <f>IFERROR(1/(IF(Inputs!$B$39="pvp",15,MAX(0.1,Skills!D5-IF(Skills!E5=TRUE,Inputs!$B$33,0)))*(1-IF(AND(ArtifactsInput!$M$27,Inputs!$B$4="Chapter Hunt"),CHOOSE(ArtifactsInput!$N$27+1,20,24,28,32,36,40),0)/100)),0)</f>
        <v/>
      </c>
      <c r="R2597">
        <f>IF(AND(Inputs!$B$39&lt;&gt;"pvp",Inputs!$B$44&gt;0),IF(Inputs!$B$44&lt;=0,0,(INT(Inputs!$B$44/(IF(Inputs!$B$39="pvp",15,MAX(0.1,Skills!D5-IF(Skills!E5=TRUE,Inputs!$B$33,0)))*(1-IF(AND(ArtifactsInput!$M$27,Inputs!$B$4="Chapter Hunt"),CHOOSE(ArtifactsInput!$N$27+1,20,24,28,32,36,40),0)/100)))+1)),0)</f>
        <v/>
      </c>
      <c r="S2597" t="n">
        <v>0</v>
      </c>
      <c r="U2597" t="n">
        <v>0</v>
      </c>
    </row>
    <row r="2598">
      <c r="A2598">
        <f>Skills!A6</f>
        <v/>
      </c>
      <c r="B2598">
        <f>Skills!B6</f>
        <v/>
      </c>
      <c r="C2598">
        <f>Inputs!$B$3&gt;=103</f>
        <v/>
      </c>
      <c r="D2598">
        <f>IF(Skills!C6=1,60+Inputs!$B$26+Inputs!$B$30,IF(Skills!C6=2,90+Inputs!$B$27+Inputs!$B$30,IF(Skills!C6=3,120+Inputs!$B$28+Inputs!$B$30,MAX(0,(Inputs!$B$3-100)*3)+Inputs!$B$29+Inputs!$B$30)))</f>
        <v/>
      </c>
      <c r="E2598">
        <f>INDEX(FactorTable!$B$2:$Y$301, MATCH(ROUND(MIN(300,MAX(1,D2598)),0), FactorTable!$A$2:$A$301,0), Skills!L6+1)</f>
        <v/>
      </c>
      <c r="F2598">
        <f>IF(Skills!M6=TRUE,(Skills!K6/10)*(E2598/1000),Skills!K6/10)+Skills!N6</f>
        <v/>
      </c>
      <c r="G2598">
        <f>Calc!G6</f>
        <v/>
      </c>
      <c r="H2598">
        <f>Calc!H6</f>
        <v/>
      </c>
      <c r="I2598">
        <f>IF(Skills!T6&lt;&gt;"",1+(Skills!T6/10)*($Z$3/1000)/100,1)</f>
        <v/>
      </c>
      <c r="J2598">
        <f>((Inputs!$B$6*(1+Inputs!$B$7/100))+(((Inputs!$B$13*(1+Inputs!$B$14/100))-(Inputs!$B$13*(1+Inputs!$B$14/100)))+0.25*(Inputs!$B$15-Inputs!$B$15))*(1+Inputs!$B$7/100))*(F2598/100)</f>
        <v/>
      </c>
      <c r="K2598">
        <f>J2598*(1+(((Inputs!$B$13+IF(Inputs!$B$3&gt;=35,(10*INDEX(FactorTable!$B$2:$Y$301,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6="TRIUMPH_FEATHER",IF(C2608=TRUE,F2608,0),0)/100)*(1+IF(C2619=TRUE,F2619,0)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2598)</f>
        <v/>
      </c>
      <c r="L2598">
        <f>K2598*(MIN(Inputs!$B$23+(F2614-Calc!F22),(Inputs!$B$24+IF(ArtifactsInput!$M$15,CHOOSE(ArtifactsInput!$N$15+1,25,30,35,40,45,50)/100*(Inputs!$B$12-Inputs!$B$12),0)))/100+(Inputs!$B$24+IF(ArtifactsInput!$M$15,CHOOSE(ArtifactsInput!$N$15+1,25,30,35,40,45,50)/100*(Inputs!$B$12-Inputs!$B$12),0))/100)/2</f>
        <v/>
      </c>
      <c r="M2598">
        <f>L2598*(1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8">
        <f>L2598*(1-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(1-Summary!$B$11)*S2598+Summary!$B$11*U2598</f>
        <v/>
      </c>
      <c r="P2598">
        <f>IF(B2635=0,0,O2598/B2635)</f>
        <v/>
      </c>
      <c r="Q2598">
        <f>IFERROR(1/(IF(Inputs!$B$39="pvp",15,MAX(0.1,Skills!D6-IF(Skills!E6=TRUE,Inputs!$B$33,0)))*(1-IF(AND(ArtifactsInput!$M$27,Inputs!$B$4="Chapter Hunt"),CHOOSE(ArtifactsInput!$N$27+1,20,24,28,32,36,40),0)/100)),0)</f>
        <v/>
      </c>
      <c r="R2598">
        <f>IF(AND(Inputs!$B$39&lt;&gt;"pvp",Inputs!$B$44&gt;0),IF(MAX(0,Inputs!$B$44-B2632)&lt;=0,0,(INT(MAX(0,Inputs!$B$44-B2632)/(IF(Inputs!$B$39="pvp",15,MAX(0.1,Skills!D6-IF(Skills!E6=TRUE,Inputs!$B$33,0)))*(1-IF(AND(ArtifactsInput!$M$27,Inputs!$B$4="Chapter Hunt"),CHOOSE(ArtifactsInput!$N$27+1,20,24,28,32,36,40),0)/100)))+1)),0)</f>
        <v/>
      </c>
      <c r="S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$21+Skills!O6+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2598*(1-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$22+Skills!P6+B2624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Skills!A7</f>
        <v/>
      </c>
      <c r="B2599">
        <f>Skills!B7</f>
        <v/>
      </c>
      <c r="C2599">
        <f>Inputs!$B$3&gt;=122</f>
        <v/>
      </c>
      <c r="D2599">
        <f>IF(Skills!C7=1,60+Inputs!$B$26+Inputs!$B$30,IF(Skills!C7=2,90+Inputs!$B$27+Inputs!$B$30,IF(Skills!C7=3,120+Inputs!$B$28+Inputs!$B$30,MAX(0,(Inputs!$B$3-100)*3)+Inputs!$B$29+Inputs!$B$30)))</f>
        <v/>
      </c>
      <c r="E2599">
        <f>INDEX(FactorTable!$B$2:$Y$301, MATCH(ROUND(MIN(300,MAX(1,D2599)),0), FactorTable!$A$2:$A$301,0), Skills!L7+1)</f>
        <v/>
      </c>
      <c r="F2599">
        <f>IF(Skills!M7=TRUE,(Skills!K7/10)*(E2599/1000),Skills!K7/10)+Skills!N7</f>
        <v/>
      </c>
      <c r="G2599">
        <f>Calc!G7</f>
        <v/>
      </c>
      <c r="H2599">
        <f>Calc!H7</f>
        <v/>
      </c>
      <c r="I2599">
        <f>IF(Skills!T7&lt;&gt;"",1+(Skills!T7/10)*($Z$3/1000)/100,1)</f>
        <v/>
      </c>
      <c r="J2599">
        <f>((Inputs!$B$6*(1+Inputs!$B$7/100))+(((Inputs!$B$13*(1+Inputs!$B$14/100))-(Inputs!$B$13*(1+Inputs!$B$14/100)))+0.25*(Inputs!$B$15-Inputs!$B$15))*(1+Inputs!$B$7/100))*(F2599/100)</f>
        <v/>
      </c>
      <c r="K2599">
        <f>J2599*(1+(((Inputs!$B$13+IF(Inputs!$B$3&gt;=35,(10*INDEX(FactorTable!$B$2:$Y$301,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7="TRIUMPH_FEATHER",IF(C2608=TRUE,F2608,0),0)/100)*(1+IF(C2619=TRUE,F2619,0)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2599)</f>
        <v/>
      </c>
      <c r="L2599">
        <f>K2599*(MIN(Inputs!$B$23+(F2614-Calc!F22),(Inputs!$B$24+IF(ArtifactsInput!$M$15,CHOOSE(ArtifactsInput!$N$15+1,25,30,35,40,45,50)/100*(Inputs!$B$12-Inputs!$B$12),0)))/100+(Inputs!$B$24+IF(ArtifactsInput!$M$15,CHOOSE(ArtifactsInput!$N$15+1,25,30,35,40,45,50)/100*(Inputs!$B$12-Inputs!$B$12),0))/100)/2</f>
        <v/>
      </c>
      <c r="M2599">
        <f>L2599*(1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9">
        <f>L2599*(1-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(1-Summary!$B$11)*S2599+Summary!$B$11*U2599</f>
        <v/>
      </c>
      <c r="P2599">
        <f>IF(B2635=0,0,O2599/B2635)</f>
        <v/>
      </c>
      <c r="Q2599">
        <f>IFERROR(1/(IF(Inputs!$B$39="pvp",15,MAX(0.1,Skills!D7-IF(Skills!E6=TRUE,Inputs!$B$33,0)))*(1-IF(AND(ArtifactsInput!$M$27,Inputs!$B$4="Chapter Hunt"),CHOOSE(ArtifactsInput!$N$27+1,20,24,28,32,36,40),0)/100)),0)</f>
        <v/>
      </c>
      <c r="R2599">
        <f>IF(AND(Inputs!$B$39&lt;&gt;"pvp",Inputs!$B$44&gt;0),IF(MAX(0,Inputs!$B$44-B2632)&lt;=0,0,(INT(MAX(0,Inputs!$B$44-B2632)/(IF(Inputs!$B$39="pvp",15,MAX(0.1,Skills!D7-IF(Skills!E6=TRUE,Inputs!$B$33,0)))*(1-IF(AND(ArtifactsInput!$M$27,Inputs!$B$4="Chapter Hunt"),CHOOSE(ArtifactsInput!$N$27+1,20,24,28,32,36,40),0)/100)))+1)),0)</f>
        <v/>
      </c>
      <c r="S2599">
        <f>IF(C2599,H2599*N2599*IF(AND(Inputs!$B$39&lt;&gt;"pvp",Inputs!$B$44&gt;0),((Skills!F7*((R2599-1)*IF(Skills!G7&gt;0,Skills!H7/Skills!G7,1)+IF(Skills!G7&gt;0,MIN(Skills!H7,MAX(0,MAX(0,Inputs!$B$44-B2632)-((R2599-1)*(IF(Inputs!$B$39="pvp",15,MAX(0.1,Skills!D7-IF(Skills!E6=TRUE,Inputs!$B$33,0)))*(1-IF(AND(ArtifactsInput!$M$27,Inputs!$B$4="Chapter Hunt"),CHOOSE(ArtifactsInput!$N$27+1,20,24,28,32,36,40),0)/100)))))/Skills!G7,1)))/Inputs!$B$44),G2599*Q2599)*IF(Inputs!$B$39="pvp",1,1+(Inputs!$B$21+Skills!O7+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2599*(1-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9" t="n">
        <v>0</v>
      </c>
    </row>
    <row r="2600">
      <c r="A2600">
        <f>Skills!A8</f>
        <v/>
      </c>
      <c r="B2600">
        <f>Skills!B8</f>
        <v/>
      </c>
      <c r="C2600">
        <f>Inputs!$B$3&gt;=105</f>
        <v/>
      </c>
      <c r="D2600">
        <f>IF(Skills!C8=1,60+Inputs!$B$26+Inputs!$B$30,IF(Skills!C8=2,90+Inputs!$B$27+Inputs!$B$30,IF(Skills!C8=3,120+Inputs!$B$28+Inputs!$B$30,MAX(0,(Inputs!$B$3-100)*3)+Inputs!$B$29+Inputs!$B$30)))</f>
        <v/>
      </c>
      <c r="E2600">
        <f>INDEX(FactorTable!$B$2:$Y$301, MATCH(ROUND(MIN(300,MAX(1,D2600)),0), FactorTable!$A$2:$A$301,0), Skills!L8+1)</f>
        <v/>
      </c>
      <c r="F2600">
        <f>IF(Skills!M8=TRUE,(Skills!K8/10)*(E2600/1000),Skills!K8/10)+Skills!N8</f>
        <v/>
      </c>
      <c r="G2600">
        <f>Calc!G8</f>
        <v/>
      </c>
      <c r="H2600">
        <f>Calc!H8</f>
        <v/>
      </c>
      <c r="I2600">
        <f>IF(Skills!T8&lt;&gt;"",1+(Skills!T8/10)*($Z$3/1000)/100,1)</f>
        <v/>
      </c>
      <c r="J2600">
        <f>((Inputs!$B$6*(1+Inputs!$B$7/100))+(((Inputs!$B$13*(1+Inputs!$B$14/100))-(Inputs!$B$13*(1+Inputs!$B$14/100)))+0.25*(Inputs!$B$15-Inputs!$B$15))*(1+Inputs!$B$7/100))*(F2600/100)</f>
        <v/>
      </c>
      <c r="K2600">
        <f>J2600*(1+(((Inputs!$B$13+IF(Inputs!$B$3&gt;=35,(10*INDEX(FactorTable!$B$2:$Y$301,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8="TRIUMPH_FEATHER",IF(C2608=TRUE,F2608,0),0)/100)*(1+IF(C2619=TRUE,F2619,0)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2600)</f>
        <v/>
      </c>
      <c r="L2600">
        <f>K2600*(MIN(Inputs!$B$23+(F2614-Calc!F22),(Inputs!$B$24+IF(ArtifactsInput!$M$15,CHOOSE(ArtifactsInput!$N$15+1,25,30,35,40,45,50)/100*(Inputs!$B$12-Inputs!$B$12),0)))/100+(Inputs!$B$24+IF(ArtifactsInput!$M$15,CHOOSE(ArtifactsInput!$N$15+1,25,30,35,40,45,50)/100*(Inputs!$B$12-Inputs!$B$12),0))/100)/2</f>
        <v/>
      </c>
      <c r="M2600">
        <f>L2600*(1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0">
        <f>L2600*(1-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(1-Summary!$B$11)*S2600+Summary!$B$11*U2600</f>
        <v/>
      </c>
      <c r="P2600">
        <f>IF(B2635=0,0,O2600/B2635)</f>
        <v/>
      </c>
      <c r="Q2600">
        <f>IFERROR(1/(IF(Inputs!$B$39="pvp",15,MAX(0.1,Skills!D8-IF(Skills!E8=TRUE,Inputs!$B$33,0)))*(1-IF(AND(ArtifactsInput!$M$27,Inputs!$B$4="Chapter Hunt"),CHOOSE(ArtifactsInput!$N$27+1,20,24,28,32,36,40),0)/100)),0)</f>
        <v/>
      </c>
      <c r="R2600">
        <f>IF(AND(Inputs!$B$39&lt;&gt;"pvp",Inputs!$B$44&gt;0),IF(MAX(0,Inputs!$B$44-B2632)&lt;=0,0,(INT(MAX(0,Inputs!$B$44-B2632)/(IF(Inputs!$B$39="pvp",15,MAX(0.1,Skills!D8-IF(Skills!E8=TRUE,Inputs!$B$33,0)))*(1-IF(AND(ArtifactsInput!$M$27,Inputs!$B$4="Chapter Hunt"),CHOOSE(ArtifactsInput!$N$27+1,20,24,28,32,36,40),0)/100)))+1)),0)</f>
        <v/>
      </c>
      <c r="S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$21+Skills!O8+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$22+Skills!P8+B2624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Skills!A9</f>
        <v/>
      </c>
      <c r="B2601">
        <f>Skills!B9</f>
        <v/>
      </c>
      <c r="C2601">
        <f>Inputs!$B$3&gt;=115</f>
        <v/>
      </c>
      <c r="D2601">
        <f>IF(Skills!C9=1,60+Inputs!$B$26+Inputs!$B$30,IF(Skills!C9=2,90+Inputs!$B$27+Inputs!$B$30,IF(Skills!C9=3,120+Inputs!$B$28+Inputs!$B$30,MAX(0,(Inputs!$B$3-100)*3)+Inputs!$B$29+Inputs!$B$30)))</f>
        <v/>
      </c>
      <c r="E2601">
        <f>INDEX(FactorTable!$B$2:$Y$301, MATCH(ROUND(MIN(300,MAX(1,D2601)),0), FactorTable!$A$2:$A$301,0), Skills!L9+1)</f>
        <v/>
      </c>
      <c r="F2601">
        <f>IF(Skills!M9=TRUE,(Skills!K9/10)*(E2601/1000),Skills!K9/10)+Skills!N9</f>
        <v/>
      </c>
      <c r="G2601">
        <f>Calc!G9</f>
        <v/>
      </c>
      <c r="H2601">
        <f>Calc!H9</f>
        <v/>
      </c>
      <c r="I2601">
        <f>IF(Skills!T9&lt;&gt;"",1+(Skills!T9/10)*($Z$3/1000)/100,1)</f>
        <v/>
      </c>
      <c r="J2601">
        <f>((Inputs!$B$6*(1+Inputs!$B$7/100))+(((Inputs!$B$13*(1+Inputs!$B$14/100))-(Inputs!$B$13*(1+Inputs!$B$14/100)))+0.25*(Inputs!$B$15-Inputs!$B$15))*(1+Inputs!$B$7/100))*(F2601/100)</f>
        <v/>
      </c>
      <c r="K2601">
        <f>J2601*(1+(((Inputs!$B$13+IF(Inputs!$B$3&gt;=35,(10*INDEX(FactorTable!$B$2:$Y$301,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9="TRIUMPH_FEATHER",IF(C2608=TRUE,F2608,0),0)/100)*(1+IF(C2619=TRUE,F2619,0)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2601)</f>
        <v/>
      </c>
      <c r="L2601">
        <f>K2601*(MIN(Inputs!$B$23+(F2614-Calc!F22),(Inputs!$B$24+IF(ArtifactsInput!$M$15,CHOOSE(ArtifactsInput!$N$15+1,25,30,35,40,45,50)/100*(Inputs!$B$12-Inputs!$B$12),0)))/100+(Inputs!$B$24+IF(ArtifactsInput!$M$15,CHOOSE(ArtifactsInput!$N$15+1,25,30,35,40,45,50)/100*(Inputs!$B$12-Inputs!$B$12),0))/100)/2</f>
        <v/>
      </c>
      <c r="M2601">
        <f>L2601*(1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1">
        <f>L2601*(1-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1">
        <f>(1-Summary!$B$11)*S2601+Summary!$B$11*U2601</f>
        <v/>
      </c>
      <c r="P2601">
        <f>IF(B2635=0,0,O2601/B2635)</f>
        <v/>
      </c>
      <c r="Q2601">
        <f>IFERROR(1/(IF(Inputs!$B$39="pvp",15,MAX(0.1,Skills!D9-IF(Skills!E9=TRUE,Inputs!$B$33,0)))*(1-IF(AND(ArtifactsInput!$M$27,Inputs!$B$4="Chapter Hunt"),CHOOSE(ArtifactsInput!$N$27+1,20,24,28,32,36,40),0)/100)),0)</f>
        <v/>
      </c>
      <c r="R2601">
        <f>IF(AND(Inputs!$B$39&lt;&gt;"pvp",Inputs!$B$44&gt;0),IF(MAX(0,Inputs!$B$44-B2632)&lt;=0,0,(INT(MAX(0,Inputs!$B$44-B2632)/(IF(Inputs!$B$39="pvp",15,MAX(0.1,Skills!D9-IF(Skills!E9=TRUE,Inputs!$B$33,0)))*(1-IF(AND(ArtifactsInput!$M$27,Inputs!$B$4="Chapter Hunt"),CHOOSE(ArtifactsInput!$N$27+1,20,24,28,32,36,40),0)/100)))+1)),0)</f>
        <v/>
      </c>
      <c r="S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$21+Skills!O9+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$22+Skills!P9+B2624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2">
      <c r="A2602">
        <f>Skills!A10</f>
        <v/>
      </c>
      <c r="B2602">
        <f>Skills!B10</f>
        <v/>
      </c>
      <c r="C2602">
        <f>Inputs!$B$3&gt;=66</f>
        <v/>
      </c>
      <c r="D2602">
        <f>IF(Skills!C10=1,60+Inputs!$B$26+Inputs!$B$30,IF(Skills!C10=2,90+Inputs!$B$27+Inputs!$B$30,IF(Skills!C10=3,120+Inputs!$B$28+Inputs!$B$30,MAX(0,(Inputs!$B$3-100)*3)+Inputs!$B$29+Inputs!$B$30)))</f>
        <v/>
      </c>
      <c r="E2602">
        <f>INDEX(FactorTable!$B$2:$Y$301, MATCH(ROUND(MIN(300,MAX(1,D2602)),0), FactorTable!$A$2:$A$301,0), Skills!L10+1)</f>
        <v/>
      </c>
      <c r="F2602" t="n">
        <v>0</v>
      </c>
      <c r="G2602">
        <f>Calc!G10</f>
        <v/>
      </c>
      <c r="H2602">
        <f>Calc!H10</f>
        <v/>
      </c>
      <c r="I2602">
        <f>IF(Skills!T10&lt;&gt;"",1+(Skills!T10/10)*($Z$3/1000)/100,1)</f>
        <v/>
      </c>
      <c r="J2602" t="inlineStr"/>
      <c r="K2602" t="inlineStr"/>
      <c r="L2602" t="inlineStr"/>
      <c r="M2602" t="inlineStr"/>
      <c r="N2602" t="inlineStr"/>
      <c r="O2602">
        <f>(1-Summary!$B$11)*S2602+Summary!$B$11*U2602</f>
        <v/>
      </c>
      <c r="P2602">
        <f>IF(B2635=0,0,O2602/B2635)</f>
        <v/>
      </c>
      <c r="Q2602">
        <f>IFERROR(1/(IF(Inputs!$B$39="pvp",15,MAX(0.1,Skills!D10-IF(Skills!E10=TRUE,Inputs!$B$33,0)))*(1-IF(AND(ArtifactsInput!$M$27,Inputs!$B$4="Chapter Hunt"),CHOOSE(ArtifactsInput!$N$27+1,20,24,28,32,36,40),0)/100)),0)</f>
        <v/>
      </c>
      <c r="R2602">
        <f>IF(AND(Inputs!$B$39&lt;&gt;"pvp",Inputs!$B$44&gt;0),IF(MAX(0,Inputs!$B$44-B2632)&lt;=0,0,(INT(MAX(0,Inputs!$B$44-B2632)/(IF(Inputs!$B$39="pvp",15,MAX(0.1,Skills!D10-IF(Skills!E10=TRUE,Inputs!$B$33,0)))*(1-IF(AND(ArtifactsInput!$M$27,Inputs!$B$4="Chapter Hunt"),CHOOSE(ArtifactsInput!$N$27+1,20,24,28,32,36,40),0)/100)))+1)),0)</f>
        <v/>
      </c>
      <c r="S2602" t="n">
        <v>0</v>
      </c>
      <c r="U2602" t="n">
        <v>0</v>
      </c>
    </row>
    <row r="2603">
      <c r="A2603">
        <f>Skills!A11</f>
        <v/>
      </c>
      <c r="B2603">
        <f>Skills!B11</f>
        <v/>
      </c>
      <c r="C2603">
        <f>Inputs!$B$3&gt;=69</f>
        <v/>
      </c>
      <c r="D2603">
        <f>IF(Skills!C11=1,60+Inputs!$B$26+Inputs!$B$30,IF(Skills!C11=2,90+Inputs!$B$27+Inputs!$B$30,IF(Skills!C11=3,120+Inputs!$B$28+Inputs!$B$30,MAX(0,(Inputs!$B$3-100)*3)+Inputs!$B$29+Inputs!$B$30)))</f>
        <v/>
      </c>
      <c r="E2603">
        <f>INDEX(FactorTable!$B$2:$Y$301, MATCH(ROUND(MIN(300,MAX(1,D2603)),0), FactorTable!$A$2:$A$301,0), Skills!L11+1)</f>
        <v/>
      </c>
      <c r="F2603">
        <f>IF(Skills!M11=TRUE,(Skills!K11/10)*(E2603/1000),Skills!K11/10)+Skills!N11</f>
        <v/>
      </c>
      <c r="G2603">
        <f>Calc!G11</f>
        <v/>
      </c>
      <c r="H2603">
        <f>Calc!H11</f>
        <v/>
      </c>
      <c r="I2603">
        <f>IF(Skills!T11&lt;&gt;"",1+(Skills!T11/10)*($Z$3/1000)/100,1)</f>
        <v/>
      </c>
      <c r="J2603" t="inlineStr"/>
      <c r="K2603" t="inlineStr"/>
      <c r="L2603" t="inlineStr"/>
      <c r="M2603" t="inlineStr"/>
      <c r="N2603" t="inlineStr"/>
      <c r="O2603">
        <f>(1-Summary!$B$11)*S2603+Summary!$B$11*U2603</f>
        <v/>
      </c>
      <c r="P2603">
        <f>IF(B2635=0,0,O2603/B2635)</f>
        <v/>
      </c>
      <c r="Q2603">
        <f>IFERROR(1/(IF(Inputs!$B$39="pvp",15,MAX(0.1,Skills!D11-IF(Skills!E11=TRUE,Inputs!$B$33,0)))*(1-IF(AND(ArtifactsInput!$M$27,Inputs!$B$4="Chapter Hunt"),CHOOSE(ArtifactsInput!$N$27+1,20,24,28,32,36,40),0)/100)),0)</f>
        <v/>
      </c>
      <c r="R2603">
        <f>IF(AND(Inputs!$B$39&lt;&gt;"pvp",Inputs!$B$44&gt;0),IF(Inputs!$B$44&lt;=0,0,(INT(Inputs!$B$44/(IF(Inputs!$B$39="pvp",15,MAX(0.1,Skills!D11-IF(Skills!E11=TRUE,Inputs!$B$33,0)))*(1-IF(AND(ArtifactsInput!$M$27,Inputs!$B$4="Chapter Hunt"),CHOOSE(ArtifactsInput!$N$27+1,20,24,28,32,36,40),0)/100)))+1)),0)</f>
        <v/>
      </c>
      <c r="S2603" t="n">
        <v>0</v>
      </c>
      <c r="U2603" t="n">
        <v>0</v>
      </c>
    </row>
    <row r="2604">
      <c r="A2604">
        <f>Skills!A12</f>
        <v/>
      </c>
      <c r="B2604">
        <f>Skills!B12</f>
        <v/>
      </c>
      <c r="C2604">
        <f>Inputs!$B$3&gt;=72</f>
        <v/>
      </c>
      <c r="D2604">
        <f>IF(Skills!C12=1,60+Inputs!$B$26+Inputs!$B$30,IF(Skills!C12=2,90+Inputs!$B$27+Inputs!$B$30,IF(Skills!C12=3,120+Inputs!$B$28+Inputs!$B$30,MAX(0,(Inputs!$B$3-100)*3)+Inputs!$B$29+Inputs!$B$30)))</f>
        <v/>
      </c>
      <c r="E2604">
        <f>INDEX(FactorTable!$B$2:$Y$301, MATCH(ROUND(MIN(300,MAX(1,D2604)),0), FactorTable!$A$2:$A$301,0), Skills!L12+1)</f>
        <v/>
      </c>
      <c r="F2604">
        <f>IF(Skills!M12=TRUE,(Skills!K12/10)*(E2604/1000),Skills!K12/10)+Skills!N12</f>
        <v/>
      </c>
      <c r="G2604">
        <f>Calc!G12</f>
        <v/>
      </c>
      <c r="H2604">
        <f>Calc!H12</f>
        <v/>
      </c>
      <c r="I2604">
        <f>IF(Skills!T12&lt;&gt;"",1+(Skills!T12/10)*($Z$3/1000)/100,1)</f>
        <v/>
      </c>
      <c r="J2604" t="inlineStr"/>
      <c r="K2604" t="inlineStr"/>
      <c r="L2604" t="inlineStr"/>
      <c r="M2604" t="inlineStr"/>
      <c r="N2604" t="inlineStr"/>
      <c r="O2604">
        <f>(1-Summary!$B$11)*S2604+Summary!$B$11*U2604</f>
        <v/>
      </c>
      <c r="P2604">
        <f>IF(B2635=0,0,O2604/B2635)</f>
        <v/>
      </c>
      <c r="Q2604">
        <f>IFERROR(1/(IF(Inputs!$B$39="pvp",15,MAX(0.1,Skills!D12-IF(Skills!E12=TRUE,Inputs!$B$33,0)))*(1-IF(AND(ArtifactsInput!$M$27,Inputs!$B$4="Chapter Hunt"),CHOOSE(ArtifactsInput!$N$27+1,20,24,28,32,36,40),0)/100)),0)</f>
        <v/>
      </c>
      <c r="R2604">
        <f>IF(AND(Inputs!$B$39&lt;&gt;"pvp",Inputs!$B$44&gt;0),IF(MAX(0,Inputs!$B$44-B2632)&lt;=0,0,(INT(MAX(0,Inputs!$B$44-B2632)/(IF(Inputs!$B$39="pvp",15,MAX(0.1,Skills!D12-IF(Skills!E12=TRUE,Inputs!$B$33,0)))*(1-IF(AND(ArtifactsInput!$M$27,Inputs!$B$4="Chapter Hunt"),CHOOSE(ArtifactsInput!$N$27+1,20,24,28,32,36,40),0)/100)))+1)),0)</f>
        <v/>
      </c>
      <c r="S2604" t="n">
        <v>0</v>
      </c>
      <c r="U2604" t="n">
        <v>0</v>
      </c>
    </row>
    <row r="2605">
      <c r="A2605">
        <f>Skills!A13</f>
        <v/>
      </c>
      <c r="B2605">
        <f>Skills!B13</f>
        <v/>
      </c>
      <c r="C2605">
        <f>Inputs!$B$3&gt;=60</f>
        <v/>
      </c>
      <c r="D2605">
        <f>IF(Skills!C13=1,60+Inputs!$B$26+Inputs!$B$30,IF(Skills!C13=2,90+Inputs!$B$27+Inputs!$B$30,IF(Skills!C13=3,120+Inputs!$B$28+Inputs!$B$30,MAX(0,(Inputs!$B$3-100)*3)+Inputs!$B$29+Inputs!$B$30)))</f>
        <v/>
      </c>
      <c r="E2605">
        <f>INDEX(FactorTable!$B$2:$Y$301, MATCH(ROUND(MIN(300,MAX(1,D2605)),0), FactorTable!$A$2:$A$301,0), Skills!L13+1)</f>
        <v/>
      </c>
      <c r="F2605">
        <f>IF(Skills!M13=TRUE,(Skills!K13/10)*(E2605/1000),Skills!K13/10)+Skills!N13</f>
        <v/>
      </c>
      <c r="G2605">
        <f>Calc!G13</f>
        <v/>
      </c>
      <c r="H2605">
        <f>Calc!H13</f>
        <v/>
      </c>
      <c r="I2605">
        <f>IF(Skills!T13&lt;&gt;"",1+(Skills!T13/10)*($Z$3/1000)/100,1)</f>
        <v/>
      </c>
      <c r="J2605" t="inlineStr"/>
      <c r="K2605" t="inlineStr"/>
      <c r="L2605" t="inlineStr"/>
      <c r="M2605" t="inlineStr"/>
      <c r="N2605" t="inlineStr"/>
      <c r="O2605">
        <f>(1-Summary!$B$11)*S2605+Summary!$B$11*U2605</f>
        <v/>
      </c>
      <c r="P2605">
        <f>IF(B2635=0,0,O2605/B2635)</f>
        <v/>
      </c>
      <c r="Q2605">
        <f>IFERROR(1/(IF(Inputs!$B$39="pvp",15,MAX(0.1,Skills!D13-IF(Skills!E13=TRUE,Inputs!$B$33,0)))*(1-IF(AND(ArtifactsInput!$M$27,Inputs!$B$4="Chapter Hunt"),CHOOSE(ArtifactsInput!$N$27+1,20,24,28,32,36,40),0)/100)),0)</f>
        <v/>
      </c>
      <c r="R2605">
        <f>IF(AND(Inputs!$B$39&lt;&gt;"pvp",Inputs!$B$44&gt;0),IF(MAX(0,Inputs!$B$44-B2632)&lt;=0,0,(INT(MAX(0,Inputs!$B$44-B2632)/(IF(Inputs!$B$39="pvp",15,MAX(0.1,Skills!D13-IF(Skills!E13=TRUE,Inputs!$B$33,0)))*(1-IF(AND(ArtifactsInput!$M$27,Inputs!$B$4="Chapter Hunt"),CHOOSE(ArtifactsInput!$N$27+1,20,24,28,32,36,40),0)/100)))+1)),0)</f>
        <v/>
      </c>
      <c r="S2605" t="n">
        <v>0</v>
      </c>
      <c r="U2605" t="n">
        <v>0</v>
      </c>
    </row>
    <row r="2606">
      <c r="A2606">
        <f>Skills!A14</f>
        <v/>
      </c>
      <c r="B2606">
        <f>Skills!B14</f>
        <v/>
      </c>
      <c r="C2606">
        <f>Inputs!$B$3&gt;=107</f>
        <v/>
      </c>
      <c r="D2606">
        <f>IF(Skills!C14=1,60+Inputs!$B$26+Inputs!$B$30,IF(Skills!C14=2,90+Inputs!$B$27+Inputs!$B$30,IF(Skills!C14=3,120+Inputs!$B$28+Inputs!$B$30,MAX(0,(Inputs!$B$3-100)*3)+Inputs!$B$29+Inputs!$B$30)))</f>
        <v/>
      </c>
      <c r="E2606">
        <f>INDEX(FactorTable!$B$2:$Y$301, MATCH(ROUND(MIN(300,MAX(1,D2606)),0), FactorTable!$A$2:$A$301,0), Skills!L14+1)</f>
        <v/>
      </c>
      <c r="F2606">
        <f>IF(Skills!M14=TRUE,(Skills!K14/10)*(E2606/1000),Skills!K14/10)+Skills!N14</f>
        <v/>
      </c>
      <c r="G2606">
        <f>Calc!G14</f>
        <v/>
      </c>
      <c r="H2606">
        <f>Calc!H14</f>
        <v/>
      </c>
      <c r="I2606">
        <f>IF(Skills!T14&lt;&gt;"",1+(Skills!T14/10)*($Z$3/1000)/100,1)</f>
        <v/>
      </c>
      <c r="J2606" t="inlineStr"/>
      <c r="K2606" t="inlineStr"/>
      <c r="L2606" t="inlineStr"/>
      <c r="M2606" t="inlineStr"/>
      <c r="N2606" t="inlineStr"/>
      <c r="O2606">
        <f>(1-Summary!$B$11)*S2606+Summary!$B$11*U2606</f>
        <v/>
      </c>
      <c r="P2606">
        <f>IF(B2635=0,0,O2606/B2635)</f>
        <v/>
      </c>
      <c r="Q2606">
        <f>IFERROR(1/(IF(Inputs!$B$39="pvp",15,MAX(0.1,Skills!D14-IF(Skills!E14=TRUE,Inputs!$B$33,0)))*(1-IF(AND(ArtifactsInput!$M$27,Inputs!$B$4="Chapter Hunt"),CHOOSE(ArtifactsInput!$N$27+1,20,24,28,32,36,40),0)/100)),0)</f>
        <v/>
      </c>
      <c r="R2606">
        <f>IF(AND(Inputs!$B$39&lt;&gt;"pvp",Inputs!$B$44&gt;0),IF(Inputs!$B$44&lt;=0,0,(INT(Inputs!$B$44/(IF(Inputs!$B$39="pvp",15,MAX(0.1,Skills!D14-IF(Skills!E14=TRUE,Inputs!$B$33,0)))*(1-IF(AND(ArtifactsInput!$M$27,Inputs!$B$4="Chapter Hunt"),CHOOSE(ArtifactsInput!$N$27+1,20,24,28,32,36,40),0)/100)))+1)),0)</f>
        <v/>
      </c>
      <c r="S2606" t="n">
        <v>0</v>
      </c>
      <c r="U2606" t="n">
        <v>0</v>
      </c>
    </row>
    <row r="2607">
      <c r="A2607">
        <f>Skills!A15</f>
        <v/>
      </c>
      <c r="B2607">
        <f>Skills!B15</f>
        <v/>
      </c>
      <c r="C2607">
        <f>Inputs!$B$3&gt;=63</f>
        <v/>
      </c>
      <c r="D2607">
        <f>IF(Skills!C15=1,60+Inputs!$B$26+Inputs!$B$30,IF(Skills!C15=2,90+Inputs!$B$27+Inputs!$B$30,IF(Skills!C15=3,120+Inputs!$B$28+Inputs!$B$30,MAX(0,(Inputs!$B$3-100)*3)+Inputs!$B$29+Inputs!$B$30)))</f>
        <v/>
      </c>
      <c r="E2607">
        <f>INDEX(FactorTable!$B$2:$Y$301, MATCH(ROUND(MIN(300,MAX(1,D2607)),0), FactorTable!$A$2:$A$301,0), Skills!L15+1)</f>
        <v/>
      </c>
      <c r="F2607">
        <f>IF(Skills!M15=TRUE,(Skills!K15/10)*(E2607/1000),Skills!K15/10)+Skills!N15</f>
        <v/>
      </c>
      <c r="G2607">
        <f>Calc!G15</f>
        <v/>
      </c>
      <c r="H2607">
        <f>Calc!H15</f>
        <v/>
      </c>
      <c r="I2607">
        <f>IF(Skills!T15&lt;&gt;"",1+(Skills!T15/10)*($Z$3/1000)/100,1)</f>
        <v/>
      </c>
      <c r="J2607">
        <f>((Inputs!$B$6*(1+Inputs!$B$7/100))+(((Inputs!$B$13*(1+Inputs!$B$14/100))-(Inputs!$B$13*(1+Inputs!$B$14/100)))+0.25*(Inputs!$B$15-Inputs!$B$15))*(1+Inputs!$B$7/100))*(F2607/100)</f>
        <v/>
      </c>
      <c r="K2607">
        <f>J2607*(1+(((Inputs!$B$13+IF(Inputs!$B$3&gt;=35,(10*INDEX(FactorTable!$B$2:$Y$301,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15="TRIUMPH_FEATHER",IF(C2608=TRUE,F2608,0),0)/100)*(1+IF(C2619=TRUE,F2619,0)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2607)</f>
        <v/>
      </c>
      <c r="L2607">
        <f>K2607*(MIN(Inputs!$B$23+(F2614-Calc!F22),(Inputs!$B$24+IF(ArtifactsInput!$M$15,CHOOSE(ArtifactsInput!$N$15+1,25,30,35,40,45,50)/100*(Inputs!$B$12-Inputs!$B$12),0)))/100+(Inputs!$B$24+IF(ArtifactsInput!$M$15,CHOOSE(ArtifactsInput!$N$15+1,25,30,35,40,45,50)/100*(Inputs!$B$12-Inputs!$B$12),0))/100)/2</f>
        <v/>
      </c>
      <c r="M2607">
        <f>L2607*(1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7">
        <f>L2607*(1-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2607*(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7">
        <f>(1-Summary!$B$11)*S2607+Summary!$B$11*U2607</f>
        <v/>
      </c>
      <c r="P2607">
        <f>IF(B2635=0,0,O2607/B2635)</f>
        <v/>
      </c>
      <c r="Q2607">
        <f>IFERROR(1/(IF(Inputs!$B$39="pvp",15,MAX(0.1,Skills!D15-IF(Skills!E15=TRUE,Inputs!$B$33,0)))*(1-IF(AND(ArtifactsInput!$M$27,Inputs!$B$4="Chapter Hunt"),CHOOSE(ArtifactsInput!$N$27+1,20,24,28,32,36,40),0)/100)),0)</f>
        <v/>
      </c>
      <c r="R2607" t="n">
        <v>0</v>
      </c>
      <c r="S2607">
        <f>IF(C2607,(Skills!F15*N2607*((IF(Inputs!$B$3&gt;=78,25,15)/100*B2628*10)/(1+IF(Inputs!$B$3&gt;=78,25,15)/100*B2628*10))*(Skills!I15/100*B2628)/(1+Skills!G15*Skills!I15/100*B2628))*IF(Inputs!$B$39="pvp",1,1+(Inputs!$B$21+Skills!O15+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2607*(1-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2607*(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2607*(1-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2607*(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7">
        <f>IF(C2607,(Skills!F15*N2607*((IF(Inputs!$B$3&gt;=78,25,15)/100*B2628*10)/(1+IF(Inputs!$B$3&gt;=78,25,15)/100*B2628*10))*(Skills!I15/100*B2628)/(1+Skills!G15*Skills!I15/100*B2628))*IF(Inputs!$B$39="pvp",1,(1+(Inputs!$B$22+Skills!P15+B2624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8">
      <c r="A2608">
        <f>Skills!A16</f>
        <v/>
      </c>
      <c r="B2608">
        <f>Skills!B16</f>
        <v/>
      </c>
      <c r="C2608">
        <f>Inputs!$B$3&gt;=100</f>
        <v/>
      </c>
      <c r="D2608">
        <f>IF(Skills!C16=1,60+Inputs!$B$26+Inputs!$B$30,IF(Skills!C16=2,90+Inputs!$B$27+Inputs!$B$30,IF(Skills!C16=3,120+Inputs!$B$28+Inputs!$B$30,MAX(0,(Inputs!$B$3-100)*3)+Inputs!$B$29+Inputs!$B$30)))</f>
        <v/>
      </c>
      <c r="E2608">
        <f>INDEX(FactorTable!$B$2:$Y$301, MATCH(ROUND(MIN(300,MAX(1,D2608)),0), FactorTable!$A$2:$A$301,0), Skills!L16+1)</f>
        <v/>
      </c>
      <c r="F2608">
        <f>IF(Skills!M16=TRUE,(Skills!K16/10)*(E2608/1000),Skills!K16/10)+Skills!N16</f>
        <v/>
      </c>
      <c r="G2608">
        <f>Calc!G16</f>
        <v/>
      </c>
      <c r="H2608">
        <f>Calc!H16</f>
        <v/>
      </c>
      <c r="I2608">
        <f>IF(Skills!T16&lt;&gt;"",1+(Skills!T16/10)*($Z$3/1000)/100,1)</f>
        <v/>
      </c>
      <c r="J2608" t="inlineStr"/>
      <c r="K2608" t="inlineStr"/>
      <c r="L2608" t="inlineStr"/>
      <c r="M2608" t="inlineStr"/>
      <c r="N2608" t="inlineStr"/>
      <c r="O2608">
        <f>(1-Summary!$B$11)*S2608+Summary!$B$11*U2608</f>
        <v/>
      </c>
      <c r="P2608">
        <f>IF(B2635=0,0,O2608/B2635)</f>
        <v/>
      </c>
      <c r="Q2608">
        <f>IFERROR(1/(IF(Inputs!$B$39="pvp",15,MAX(0.1,Skills!D16-IF(Skills!E16=TRUE,Inputs!$B$33,0)))*(1-IF(AND(ArtifactsInput!$M$27,Inputs!$B$4="Chapter Hunt"),CHOOSE(ArtifactsInput!$N$27+1,20,24,28,32,36,40),0)/100)),0)</f>
        <v/>
      </c>
      <c r="R2608" t="n">
        <v>0</v>
      </c>
      <c r="S2608" t="n">
        <v>0</v>
      </c>
      <c r="U2608" t="n">
        <v>0</v>
      </c>
    </row>
    <row r="2609">
      <c r="A2609">
        <f>Skills!A17</f>
        <v/>
      </c>
      <c r="B2609">
        <f>Skills!B17</f>
        <v/>
      </c>
      <c r="C2609">
        <f>Inputs!$B$3&gt;=49</f>
        <v/>
      </c>
      <c r="D2609">
        <f>IF(Skills!C17=1,60+Inputs!$B$26+Inputs!$B$30,IF(Skills!C17=2,90+Inputs!$B$27+Inputs!$B$30,IF(Skills!C17=3,120+Inputs!$B$28+Inputs!$B$30,MAX(0,(Inputs!$B$3-100)*3)+Inputs!$B$29+Inputs!$B$30)))</f>
        <v/>
      </c>
      <c r="E2609">
        <f>INDEX(FactorTable!$B$2:$Y$301, MATCH(ROUND(MIN(300,MAX(1,D2609)),0), FactorTable!$A$2:$A$301,0), Skills!L17+1)</f>
        <v/>
      </c>
      <c r="F2609">
        <f>IF(Skills!M17=TRUE,(Skills!K17/10)*(E2609/1000),Skills!K17/10)+Skills!N17</f>
        <v/>
      </c>
      <c r="G2609">
        <f>Calc!G17</f>
        <v/>
      </c>
      <c r="H2609">
        <f>Calc!H17</f>
        <v/>
      </c>
      <c r="I2609">
        <f>IF(Skills!T17&lt;&gt;"",1+(Skills!T17/10)*($Z$3/1000)/100,1)</f>
        <v/>
      </c>
      <c r="J2609" t="inlineStr"/>
      <c r="K2609" t="inlineStr"/>
      <c r="L2609" t="inlineStr"/>
      <c r="M2609" t="inlineStr"/>
      <c r="N2609" t="inlineStr"/>
      <c r="O2609">
        <f>(1-Summary!$B$11)*S2609+Summary!$B$11*U2609</f>
        <v/>
      </c>
      <c r="P2609">
        <f>IF(B2635=0,0,O2609/B2635)</f>
        <v/>
      </c>
      <c r="Q2609">
        <f>IFERROR(1/(IF(Inputs!$B$39="pvp",15,MAX(0.1,Skills!D17-IF(Skills!E17=TRUE,Inputs!$B$33,0)))*(1-IF(AND(ArtifactsInput!$M$27,Inputs!$B$4="Chapter Hunt"),CHOOSE(ArtifactsInput!$N$27+1,20,24,28,32,36,40),0)/100)),0)</f>
        <v/>
      </c>
      <c r="R2609" t="n">
        <v>0</v>
      </c>
      <c r="S2609" t="n">
        <v>0</v>
      </c>
      <c r="U2609" t="n">
        <v>0</v>
      </c>
    </row>
    <row r="2610">
      <c r="A2610">
        <f>Skills!A18</f>
        <v/>
      </c>
      <c r="B2610">
        <f>Skills!B18</f>
        <v/>
      </c>
      <c r="C2610">
        <f>Inputs!$B$3&gt;=75</f>
        <v/>
      </c>
      <c r="D2610">
        <f>IF(Skills!C18=1,60+Inputs!$B$26+Inputs!$B$30,IF(Skills!C18=2,90+Inputs!$B$27+Inputs!$B$30,IF(Skills!C18=3,120+Inputs!$B$28+Inputs!$B$30,MAX(0,(Inputs!$B$3-100)*3)+Inputs!$B$29+Inputs!$B$30)))</f>
        <v/>
      </c>
      <c r="E2610">
        <f>INDEX(FactorTable!$B$2:$Y$301, MATCH(ROUND(MIN(300,MAX(1,D2610)),0), FactorTable!$A$2:$A$301,0), Skills!L18+1)</f>
        <v/>
      </c>
      <c r="F2610">
        <f>IF(Skills!M18=TRUE,(Skills!K18/10)*(E2610/1000),Skills!K18/10)+Skills!N18</f>
        <v/>
      </c>
      <c r="G2610">
        <f>Calc!G18</f>
        <v/>
      </c>
      <c r="H2610">
        <f>Calc!H18</f>
        <v/>
      </c>
      <c r="I2610">
        <f>IF(Skills!T18&lt;&gt;"",1+(Skills!T18/10)*($Z$3/1000)/100,1)</f>
        <v/>
      </c>
      <c r="J2610" t="inlineStr"/>
      <c r="K2610" t="inlineStr"/>
      <c r="L2610" t="inlineStr"/>
      <c r="M2610" t="inlineStr"/>
      <c r="N2610" t="inlineStr"/>
      <c r="O2610">
        <f>(1-Summary!$B$11)*S2610+Summary!$B$11*U2610</f>
        <v/>
      </c>
      <c r="P2610">
        <f>IF(B2635=0,0,O2610/B2635)</f>
        <v/>
      </c>
      <c r="Q2610">
        <f>IFERROR(1/(IF(Inputs!$B$39="pvp",15,MAX(0.1,Skills!D18-IF(Skills!E18=TRUE,Inputs!$B$33,0)))*(1-IF(AND(ArtifactsInput!$M$27,Inputs!$B$4="Chapter Hunt"),CHOOSE(ArtifactsInput!$N$27+1,20,24,28,32,36,40),0)/100)),0)</f>
        <v/>
      </c>
      <c r="R2610" t="n">
        <v>0</v>
      </c>
      <c r="S2610" t="n">
        <v>0</v>
      </c>
      <c r="U2610" t="n">
        <v>0</v>
      </c>
    </row>
    <row r="2611">
      <c r="A2611">
        <f>Skills!A19</f>
        <v/>
      </c>
      <c r="B2611">
        <f>Skills!B19</f>
        <v/>
      </c>
      <c r="C2611">
        <f>Inputs!$B$3&gt;=110</f>
        <v/>
      </c>
      <c r="D2611">
        <f>IF(Skills!C19=1,60+Inputs!$B$26+Inputs!$B$30,IF(Skills!C19=2,90+Inputs!$B$27+Inputs!$B$30,IF(Skills!C19=3,120+Inputs!$B$28+Inputs!$B$30,MAX(0,(Inputs!$B$3-100)*3)+Inputs!$B$29+Inputs!$B$30)))</f>
        <v/>
      </c>
      <c r="E2611">
        <f>INDEX(FactorTable!$B$2:$Y$301, MATCH(ROUND(MIN(300,MAX(1,D2611)),0), FactorTable!$A$2:$A$301,0), Skills!L19+1)</f>
        <v/>
      </c>
      <c r="F2611">
        <f>(Skills!K19/10)*(E2611/1000)*64/45+Skills!N19</f>
        <v/>
      </c>
      <c r="G2611">
        <f>Calc!G19</f>
        <v/>
      </c>
      <c r="H2611">
        <f>Calc!H19</f>
        <v/>
      </c>
      <c r="I2611">
        <f>IF(Skills!T19&lt;&gt;"",1+(Skills!T19/10)*($Z$3/1000)/100,1)</f>
        <v/>
      </c>
      <c r="J2611" t="inlineStr"/>
      <c r="K2611" t="inlineStr"/>
      <c r="L2611" t="inlineStr"/>
      <c r="M2611" t="inlineStr"/>
      <c r="N2611" t="inlineStr"/>
      <c r="O2611">
        <f>(1-Summary!$B$11)*S2611+Summary!$B$11*U2611</f>
        <v/>
      </c>
      <c r="P2611">
        <f>IF(B2635=0,0,O2611/B2635)</f>
        <v/>
      </c>
      <c r="Q2611">
        <f>IFERROR(1/(IF(Inputs!$B$39="pvp",15,MAX(0.1,Skills!D19-IF(Skills!E19=TRUE,Inputs!$B$33,0)))*(1-IF(AND(ArtifactsInput!$M$27,Inputs!$B$4="Chapter Hunt"),CHOOSE(ArtifactsInput!$N$27+1,20,24,28,32,36,40),0)/100)),0)</f>
        <v/>
      </c>
      <c r="R2611">
        <f>IF(AND(Inputs!$B$39&lt;&gt;"pvp",Inputs!$B$44&gt;0),IF(Inputs!$B$44&lt;=0,0,(INT(Inputs!$B$44/(IF(Inputs!$B$39="pvp",15,MAX(0.1,Skills!D19-IF(Skills!E19=TRUE,Inputs!$B$33,0)))*(1-IF(AND(ArtifactsInput!$M$27,Inputs!$B$4="Chapter Hunt"),CHOOSE(ArtifactsInput!$N$27+1,20,24,28,32,36,40),0)/100)))+1)),0)</f>
        <v/>
      </c>
      <c r="S2611" t="n">
        <v>0</v>
      </c>
      <c r="U2611" t="n">
        <v>0</v>
      </c>
    </row>
    <row r="2612">
      <c r="A2612">
        <f>Skills!A20</f>
        <v/>
      </c>
      <c r="B2612">
        <f>Skills!B20</f>
        <v/>
      </c>
      <c r="C2612">
        <f>Inputs!$B$3&gt;=125</f>
        <v/>
      </c>
      <c r="D2612">
        <f>IF(Skills!C20=1,60+Inputs!$B$26+Inputs!$B$30,IF(Skills!C20=2,90+Inputs!$B$27+Inputs!$B$30,IF(Skills!C20=3,120+Inputs!$B$28+Inputs!$B$30,MAX(0,(Inputs!$B$3-100)*3)+Inputs!$B$29+Inputs!$B$30)))</f>
        <v/>
      </c>
      <c r="E2612">
        <f>INDEX(FactorTable!$B$2:$Y$301, MATCH(ROUND(MIN(300,MAX(1,D2612)),0), FactorTable!$A$2:$A$301,0), Skills!L20+1)</f>
        <v/>
      </c>
      <c r="F2612">
        <f>IF(Skills!M20=TRUE,(Skills!K20/10)*(E2612/1000),Skills!K20/10)+Skills!N20</f>
        <v/>
      </c>
      <c r="G2612">
        <f>Calc!G20</f>
        <v/>
      </c>
      <c r="H2612">
        <f>Calc!H20</f>
        <v/>
      </c>
      <c r="I2612">
        <f>IF(Skills!T20&lt;&gt;"",1+(Skills!T20/10)*($Z$3/1000)/100,1)</f>
        <v/>
      </c>
      <c r="J2612" t="inlineStr"/>
      <c r="K2612" t="inlineStr"/>
      <c r="L2612" t="inlineStr"/>
      <c r="M2612" t="inlineStr"/>
      <c r="N2612" t="inlineStr"/>
      <c r="O2612">
        <f>(1-Summary!$B$11)*S2612+Summary!$B$11*U2612</f>
        <v/>
      </c>
      <c r="P2612">
        <f>IF(B2635=0,0,O2612/B2635)</f>
        <v/>
      </c>
      <c r="Q2612">
        <f>IFERROR(1/(IF(Inputs!$B$39="pvp",15,MAX(0.1,Skills!D20-IF(Skills!E20=TRUE,Inputs!$B$33,0)))*(1-IF(AND(ArtifactsInput!$M$27,Inputs!$B$4="Chapter Hunt"),CHOOSE(ArtifactsInput!$N$27+1,20,24,28,32,36,40),0)/100)),0)</f>
        <v/>
      </c>
      <c r="R2612" t="n">
        <v>0</v>
      </c>
      <c r="S2612" t="n">
        <v>0</v>
      </c>
      <c r="U2612" t="n">
        <v>0</v>
      </c>
    </row>
    <row r="2613">
      <c r="A2613">
        <f>Skills!A21</f>
        <v/>
      </c>
      <c r="B2613">
        <f>Skills!B21</f>
        <v/>
      </c>
      <c r="C2613">
        <f>Inputs!$B$3&gt;=33</f>
        <v/>
      </c>
      <c r="D2613">
        <f>IF(Skills!C21=1,60+Inputs!$B$26+Inputs!$B$30,IF(Skills!C21=2,90+Inputs!$B$27+Inputs!$B$30,IF(Skills!C21=3,120+Inputs!$B$28+Inputs!$B$30,MAX(0,(Inputs!$B$3-100)*3)+Inputs!$B$29+Inputs!$B$30)))</f>
        <v/>
      </c>
      <c r="E2613">
        <f>INDEX(FactorTable!$B$2:$Y$301, MATCH(ROUND(MIN(300,MAX(1,D2613)),0), FactorTable!$A$2:$A$301,0), Skills!L21+1)</f>
        <v/>
      </c>
      <c r="F2613">
        <f>IF(Skills!M21=TRUE,(Skills!K21/10)*(E2613/1000),Skills!K21/10)+Skills!N21</f>
        <v/>
      </c>
      <c r="G2613">
        <f>Calc!G21</f>
        <v/>
      </c>
      <c r="H2613">
        <f>Calc!H21</f>
        <v/>
      </c>
      <c r="I2613">
        <f>IF(Skills!T21&lt;&gt;"",1+(Skills!T21/10)*($Z$3/1000)/100,1)</f>
        <v/>
      </c>
      <c r="J2613" t="inlineStr"/>
      <c r="K2613" t="inlineStr"/>
      <c r="L2613" t="inlineStr"/>
      <c r="M2613" t="inlineStr"/>
      <c r="N2613" t="inlineStr"/>
      <c r="O2613">
        <f>(1-Summary!$B$11)*S2613+Summary!$B$11*U2613</f>
        <v/>
      </c>
      <c r="P2613">
        <f>IF(B2635=0,0,O2613/B2635)</f>
        <v/>
      </c>
      <c r="Q2613">
        <f>IFERROR(1/(IF(Inputs!$B$39="pvp",15,MAX(0.1,Skills!D21-IF(Skills!E21=TRUE,Inputs!$B$33,0)))*(1-IF(AND(ArtifactsInput!$M$27,Inputs!$B$4="Chapter Hunt"),CHOOSE(ArtifactsInput!$N$27+1,20,24,28,32,36,40),0)/100)),0)</f>
        <v/>
      </c>
      <c r="R2613" t="n">
        <v>0</v>
      </c>
      <c r="S2613" t="n">
        <v>0</v>
      </c>
      <c r="U2613" t="n">
        <v>0</v>
      </c>
    </row>
    <row r="2614">
      <c r="A2614">
        <f>Skills!A22</f>
        <v/>
      </c>
      <c r="B2614">
        <f>Skills!B22</f>
        <v/>
      </c>
      <c r="C2614">
        <f>Inputs!$B$3&gt;=43</f>
        <v/>
      </c>
      <c r="D2614">
        <f>IF(Skills!C22=1,60+Inputs!$B$26+Inputs!$B$30,IF(Skills!C22=2,90+Inputs!$B$27+Inputs!$B$30,IF(Skills!C22=3,120+Inputs!$B$28+Inputs!$B$30,MAX(0,(Inputs!$B$3-100)*3)+Inputs!$B$29+Inputs!$B$30)))</f>
        <v/>
      </c>
      <c r="E2614">
        <f>INDEX(FactorTable!$B$2:$Y$301, MATCH(ROUND(MIN(300,MAX(1,D2614)),0), FactorTable!$A$2:$A$301,0), Skills!L22+1)</f>
        <v/>
      </c>
      <c r="F2614">
        <f>IF(Skills!M22=TRUE,(Skills!K22/10)*(E2614/1000),Skills!K22/10)+Skills!N22</f>
        <v/>
      </c>
      <c r="G2614">
        <f>Calc!G22</f>
        <v/>
      </c>
      <c r="H2614">
        <f>Calc!H22</f>
        <v/>
      </c>
      <c r="I2614">
        <f>IF(Skills!T22&lt;&gt;"",1+(Skills!T22/10)*($Z$3/1000)/100,1)</f>
        <v/>
      </c>
      <c r="J2614" t="inlineStr"/>
      <c r="K2614" t="inlineStr"/>
      <c r="L2614" t="inlineStr"/>
      <c r="M2614" t="inlineStr"/>
      <c r="N2614" t="inlineStr"/>
      <c r="O2614">
        <f>(1-Summary!$B$11)*S2614+Summary!$B$11*U2614</f>
        <v/>
      </c>
      <c r="P2614">
        <f>IF(B2635=0,0,O2614/B2635)</f>
        <v/>
      </c>
      <c r="Q2614">
        <f>IFERROR(1/(IF(Inputs!$B$39="pvp",15,MAX(0.1,Skills!D22-IF(Skills!E22=TRUE,Inputs!$B$33,0)))*(1-IF(AND(ArtifactsInput!$M$27,Inputs!$B$4="Chapter Hunt"),CHOOSE(ArtifactsInput!$N$27+1,20,24,28,32,36,40),0)/100)),0)</f>
        <v/>
      </c>
      <c r="R2614" t="n">
        <v>0</v>
      </c>
      <c r="S2614" t="n">
        <v>0</v>
      </c>
      <c r="U2614" t="n">
        <v>0</v>
      </c>
    </row>
    <row r="2615">
      <c r="A2615">
        <f>Skills!A23</f>
        <v/>
      </c>
      <c r="B2615">
        <f>Skills!B23</f>
        <v/>
      </c>
      <c r="C2615">
        <f>Inputs!$B$3&gt;=50</f>
        <v/>
      </c>
      <c r="D2615">
        <f>IF(Skills!C23=1,60+Inputs!$B$26+Inputs!$B$30,IF(Skills!C23=2,90+Inputs!$B$27+Inputs!$B$30,IF(Skills!C23=3,120+Inputs!$B$28+Inputs!$B$30,MAX(0,(Inputs!$B$3-100)*3)+Inputs!$B$29+Inputs!$B$30)))</f>
        <v/>
      </c>
      <c r="E2615">
        <f>INDEX(FactorTable!$B$2:$Y$301, MATCH(ROUND(MIN(300,MAX(1,D2615)),0), FactorTable!$A$2:$A$301,0), Skills!L23+1)</f>
        <v/>
      </c>
      <c r="F2615">
        <f>IF(Skills!M23=TRUE,(Skills!K23/10)*(E2615/1000),Skills!K23/10)+Skills!N23</f>
        <v/>
      </c>
      <c r="G2615">
        <f>Calc!G23</f>
        <v/>
      </c>
      <c r="H2615">
        <f>Calc!H23</f>
        <v/>
      </c>
      <c r="I2615">
        <f>IF(Skills!T23&lt;&gt;"",1+(Skills!T23/10)*($Z$3/1000)/100,1)</f>
        <v/>
      </c>
      <c r="J2615" t="inlineStr"/>
      <c r="K2615" t="inlineStr"/>
      <c r="L2615" t="inlineStr"/>
      <c r="M2615" t="inlineStr"/>
      <c r="N2615" t="inlineStr"/>
      <c r="O2615">
        <f>(1-Summary!$B$11)*S2615+Summary!$B$11*U2615</f>
        <v/>
      </c>
      <c r="P2615">
        <f>IF(B2635=0,0,O2615/B2635)</f>
        <v/>
      </c>
      <c r="Q2615">
        <f>IFERROR(1/(IF(Inputs!$B$39="pvp",15,MAX(0.1,Skills!D23-IF(Skills!E23=TRUE,Inputs!$B$33,0)))*(1-IF(AND(ArtifactsInput!$M$27,Inputs!$B$4="Chapter Hunt"),CHOOSE(ArtifactsInput!$N$27+1,20,24,28,32,36,40),0)/100)),0)</f>
        <v/>
      </c>
      <c r="R2615" t="n">
        <v>0</v>
      </c>
      <c r="S2615" t="n">
        <v>0</v>
      </c>
      <c r="U2615" t="n">
        <v>0</v>
      </c>
    </row>
    <row r="2616">
      <c r="A2616">
        <f>Skills!A24</f>
        <v/>
      </c>
      <c r="B2616">
        <f>Skills!B24</f>
        <v/>
      </c>
      <c r="C2616">
        <f>Inputs!$B$3&gt;=74</f>
        <v/>
      </c>
      <c r="D2616">
        <f>IF(Skills!C24=1,60+Inputs!$B$26+Inputs!$B$30,IF(Skills!C24=2,90+Inputs!$B$27+Inputs!$B$30,IF(Skills!C24=3,120+Inputs!$B$28+Inputs!$B$30,MAX(0,(Inputs!$B$3-100)*3)+Inputs!$B$29+Inputs!$B$30)))</f>
        <v/>
      </c>
      <c r="E2616">
        <f>INDEX(FactorTable!$B$2:$Y$301, MATCH(ROUND(MIN(300,MAX(1,D2616)),0), FactorTable!$A$2:$A$301,0), Skills!L24+1)</f>
        <v/>
      </c>
      <c r="F2616">
        <f>IF(Skills!M24=TRUE,(Skills!K24/10)*(E2616/1000),Skills!K24/10)+Skills!N24</f>
        <v/>
      </c>
      <c r="G2616">
        <f>Calc!G24</f>
        <v/>
      </c>
      <c r="H2616">
        <f>Calc!H24</f>
        <v/>
      </c>
      <c r="I2616">
        <f>IF(Skills!T24&lt;&gt;"",1+(Skills!T24/10)*($Z$3/1000)/100,1)</f>
        <v/>
      </c>
      <c r="J2616" t="inlineStr"/>
      <c r="K2616" t="inlineStr"/>
      <c r="L2616" t="inlineStr"/>
      <c r="M2616" t="inlineStr"/>
      <c r="N2616" t="inlineStr"/>
      <c r="O2616">
        <f>(1-Summary!$B$11)*S2616+Summary!$B$11*U2616</f>
        <v/>
      </c>
      <c r="P2616">
        <f>IF(B2635=0,0,O2616/B2635)</f>
        <v/>
      </c>
      <c r="Q2616">
        <f>IFERROR(1/(IF(Inputs!$B$39="pvp",15,MAX(0.1,Skills!D24-IF(Skills!E24=TRUE,Inputs!$B$33,0)))*(1-IF(AND(ArtifactsInput!$M$27,Inputs!$B$4="Chapter Hunt"),CHOOSE(ArtifactsInput!$N$27+1,20,24,28,32,36,40),0)/100)),0)</f>
        <v/>
      </c>
      <c r="R2616" t="n">
        <v>0</v>
      </c>
      <c r="S2616" t="n">
        <v>0</v>
      </c>
      <c r="U2616" t="n">
        <v>0</v>
      </c>
    </row>
    <row r="2617">
      <c r="A2617">
        <f>Skills!A25</f>
        <v/>
      </c>
      <c r="B2617">
        <f>Skills!B25</f>
        <v/>
      </c>
      <c r="C2617">
        <f>Inputs!$B$3&gt;=74</f>
        <v/>
      </c>
      <c r="D2617">
        <f>IF(Skills!C25=1,60+Inputs!$B$26+Inputs!$B$30,IF(Skills!C25=2,90+Inputs!$B$27+Inputs!$B$30,IF(Skills!C25=3,120+Inputs!$B$28+Inputs!$B$30,MAX(0,(Inputs!$B$3-100)*3)+Inputs!$B$29+Inputs!$B$30)))</f>
        <v/>
      </c>
      <c r="E2617">
        <f>INDEX(FactorTable!$B$2:$Y$301, MATCH(ROUND(MIN(300,MAX(1,D2617)),0), FactorTable!$A$2:$A$301,0), Skills!L25+1)</f>
        <v/>
      </c>
      <c r="F2617">
        <f>IF(Skills!M25=TRUE,(Skills!K25/10)*(E2617/1000),Skills!K25/10)+Skills!N25</f>
        <v/>
      </c>
      <c r="G2617">
        <f>Calc!G25</f>
        <v/>
      </c>
      <c r="H2617">
        <f>Calc!H25</f>
        <v/>
      </c>
      <c r="I2617">
        <f>IF(Skills!T25&lt;&gt;"",1+(Skills!T25/10)*($Z$3/1000)/100,1)</f>
        <v/>
      </c>
      <c r="J2617" t="inlineStr"/>
      <c r="K2617" t="inlineStr"/>
      <c r="L2617" t="inlineStr"/>
      <c r="M2617" t="inlineStr"/>
      <c r="N2617" t="inlineStr"/>
      <c r="O2617">
        <f>(1-Summary!$B$11)*S2617+Summary!$B$11*U2617</f>
        <v/>
      </c>
      <c r="P2617">
        <f>IF(B2635=0,0,O2617/B2635)</f>
        <v/>
      </c>
      <c r="Q2617">
        <f>IFERROR(1/(IF(Inputs!$B$39="pvp",15,MAX(0.1,Skills!D25-IF(Skills!E25=TRUE,Inputs!$B$33,0)))*(1-IF(AND(ArtifactsInput!$M$27,Inputs!$B$4="Chapter Hunt"),CHOOSE(ArtifactsInput!$N$27+1,20,24,28,32,36,40),0)/100)),0)</f>
        <v/>
      </c>
      <c r="R2617" t="n">
        <v>0</v>
      </c>
      <c r="S2617" t="n">
        <v>0</v>
      </c>
      <c r="U2617" t="n">
        <v>0</v>
      </c>
    </row>
    <row r="2618">
      <c r="A2618">
        <f>Skills!A26</f>
        <v/>
      </c>
      <c r="B2618">
        <f>Skills!B26</f>
        <v/>
      </c>
      <c r="C2618">
        <f>Inputs!$B$3&gt;=117</f>
        <v/>
      </c>
      <c r="D2618">
        <f>IF(Skills!C26=1,60+Inputs!$B$26+Inputs!$B$30,IF(Skills!C26=2,90+Inputs!$B$27+Inputs!$B$30,IF(Skills!C26=3,120+Inputs!$B$28+Inputs!$B$30,MAX(0,(Inputs!$B$3-100)*3)+Inputs!$B$29+Inputs!$B$30)))</f>
        <v/>
      </c>
      <c r="E2618">
        <f>INDEX(FactorTable!$B$2:$Y$301, MATCH(ROUND(MIN(300,MAX(1,D2618)),0), FactorTable!$A$2:$A$301,0), Skills!L26+1)</f>
        <v/>
      </c>
      <c r="F2618">
        <f>IF(Skills!M26=TRUE,(Skills!K26/10)*(E2618/1000),Skills!K26/10)+Skills!N26</f>
        <v/>
      </c>
      <c r="G2618">
        <f>Calc!G26</f>
        <v/>
      </c>
      <c r="H2618">
        <f>Calc!H26</f>
        <v/>
      </c>
      <c r="I2618">
        <f>IF(Skills!T26&lt;&gt;"",1+(Skills!T26/10)*($Z$3/1000)/100,1)</f>
        <v/>
      </c>
      <c r="J2618" t="inlineStr"/>
      <c r="K2618" t="inlineStr"/>
      <c r="L2618" t="inlineStr"/>
      <c r="M2618" t="inlineStr"/>
      <c r="N2618" t="inlineStr"/>
      <c r="O2618">
        <f>(1-Summary!$B$11)*S2618+Summary!$B$11*U2618</f>
        <v/>
      </c>
      <c r="P2618">
        <f>IF(B2635=0,0,O2618/B2635)</f>
        <v/>
      </c>
      <c r="Q2618">
        <f>IFERROR(1/(IF(Inputs!$B$39="pvp",15,MAX(0.1,Skills!D26-IF(Skills!E26=TRUE,Inputs!$B$33,0)))*(1-IF(AND(ArtifactsInput!$M$27,Inputs!$B$4="Chapter Hunt"),CHOOSE(ArtifactsInput!$N$27+1,20,24,28,32,36,40),0)/100)),0)</f>
        <v/>
      </c>
      <c r="R2618" t="n">
        <v>0</v>
      </c>
      <c r="S2618" t="n">
        <v>0</v>
      </c>
      <c r="U2618" t="n">
        <v>0</v>
      </c>
    </row>
    <row r="2619">
      <c r="A2619">
        <f>Skills!A27</f>
        <v/>
      </c>
      <c r="B2619">
        <f>Skills!B27</f>
        <v/>
      </c>
      <c r="C2619">
        <f>Inputs!$B$3&gt;=120</f>
        <v/>
      </c>
      <c r="D2619">
        <f>IF(Skills!C27=1,60+Inputs!$B$26+Inputs!$B$30,IF(Skills!C27=2,90+Inputs!$B$27+Inputs!$B$30,IF(Skills!C27=3,120+Inputs!$B$28+Inputs!$B$30,MAX(0,(Inputs!$B$3-100)*3)+Inputs!$B$29+Inputs!$B$30)))</f>
        <v/>
      </c>
      <c r="E2619">
        <f>INDEX(FactorTable!$B$2:$Y$301, MATCH(ROUND(MIN(300,MAX(1,D2619)),0), FactorTable!$A$2:$A$301,0), Skills!L27+1)</f>
        <v/>
      </c>
      <c r="F2619">
        <f>IF(Skills!M27=TRUE,(Skills!K27/10)*(E2619/1000),Skills!K27/10)+Skills!N27</f>
        <v/>
      </c>
      <c r="G2619">
        <f>Calc!G27</f>
        <v/>
      </c>
      <c r="H2619">
        <f>Calc!H27</f>
        <v/>
      </c>
      <c r="I2619">
        <f>IF(Skills!T27&lt;&gt;"",1+(Skills!T27/10)*($Z$3/1000)/100,1)</f>
        <v/>
      </c>
      <c r="J2619" t="inlineStr"/>
      <c r="K2619" t="inlineStr"/>
      <c r="L2619" t="inlineStr"/>
      <c r="M2619" t="inlineStr"/>
      <c r="N2619" t="inlineStr"/>
      <c r="O2619">
        <f>(1-Summary!$B$11)*S2619+Summary!$B$11*U2619</f>
        <v/>
      </c>
      <c r="P2619">
        <f>IF(B2635=0,0,O2619/B2635)</f>
        <v/>
      </c>
      <c r="Q2619">
        <f>IFERROR(1/(IF(Inputs!$B$39="pvp",15,MAX(0.1,Skills!D27-IF(Skills!E27=TRUE,Inputs!$B$33,0)))*(1-IF(AND(ArtifactsInput!$M$27,Inputs!$B$4="Chapter Hunt"),CHOOSE(ArtifactsInput!$N$27+1,20,24,28,32,36,40),0)/100)),0)</f>
        <v/>
      </c>
      <c r="R2619" t="n">
        <v>0</v>
      </c>
      <c r="S2619" t="n">
        <v>0</v>
      </c>
      <c r="U2619" t="n">
        <v>0</v>
      </c>
    </row>
    <row r="2620">
      <c r="A2620">
        <f>Skills!A28</f>
        <v/>
      </c>
      <c r="B2620">
        <f>Skills!B28</f>
        <v/>
      </c>
      <c r="C2620">
        <f>TRUE</f>
        <v/>
      </c>
      <c r="D2620">
        <f>IF(Skills!C28=1,60+Inputs!$B$26+Inputs!$B$30,IF(Skills!C28=2,90+Inputs!$B$27+Inputs!$B$30,IF(Skills!C28=3,120+Inputs!$B$28+Inputs!$B$30,MAX(0,(Inputs!$B$3-100)*3)+Inputs!$B$29+Inputs!$B$30)))</f>
        <v/>
      </c>
      <c r="E2620">
        <f>INDEX(FactorTable!$B$2:$Y$301, MATCH(ROUND(MIN(300,MAX(1,D2620)),0), FactorTable!$A$2:$A$301,0), Skills!L28+1)</f>
        <v/>
      </c>
      <c r="F2620">
        <f>IF(Skills!M28=TRUE,(Skills!K28/10)*(E2620/1000),Skills!K28/10)+Skills!N28</f>
        <v/>
      </c>
      <c r="G2620">
        <f>Calc!G28</f>
        <v/>
      </c>
      <c r="H2620">
        <f>Calc!H28</f>
        <v/>
      </c>
      <c r="I2620">
        <f>IF(Skills!T28&lt;&gt;"",1+(Skills!T28/10)*($Z$3/1000)/100,1)</f>
        <v/>
      </c>
      <c r="J2620" t="inlineStr"/>
      <c r="K2620" t="inlineStr"/>
      <c r="L2620" t="inlineStr"/>
      <c r="M2620" t="inlineStr"/>
      <c r="N2620" t="inlineStr"/>
      <c r="O2620">
        <f>(1-Summary!$B$11)*S2620+Summary!$B$11*U2620</f>
        <v/>
      </c>
      <c r="P2620">
        <f>IF(B2635=0,0,O2620/B2635)</f>
        <v/>
      </c>
      <c r="Q2620">
        <f>IFERROR(1/(IF(Inputs!$B$39="pvp",15,MAX(0.1,Skills!D28-IF(Skills!E28=TRUE,Inputs!$B$33,0)))*(1-IF(AND(ArtifactsInput!$M$27,Inputs!$B$4="Chapter Hunt"),CHOOSE(ArtifactsInput!$N$27+1,20,24,28,32,36,40),0)/100)),0)</f>
        <v/>
      </c>
      <c r="R2620">
        <f>IF(AND(Inputs!$B$39&lt;&gt;"pvp",Inputs!$B$44&gt;0),IF(Inputs!$B$44&lt;=0,0,(INT(Inputs!$B$44/(IF(Inputs!$B$39="pvp",15,MAX(0.1,Skills!D28-IF(Skills!E28=TRUE,Inputs!$B$33,0)))*(1-IF(AND(ArtifactsInput!$M$27,Inputs!$B$4="Chapter Hunt"),CHOOSE(ArtifactsInput!$N$27+1,20,24,28,32,36,40),0)/100)))+1)),0)</f>
        <v/>
      </c>
      <c r="S2620" t="n">
        <v>0</v>
      </c>
      <c r="U2620" t="n">
        <v>0</v>
      </c>
    </row>
    <row r="2622">
      <c r="A2622" t="inlineStr">
        <is>
          <t>Average Buff Multiplier</t>
        </is>
      </c>
      <c r="B2622">
        <f>(1+(IF(C2595=TRUE,F2595*IF(AND(Inputs!$B$39&lt;&gt;"pvp",Inputs!$B$44&gt;0),(((R2595-1)*(Skills!S3*(1+((Inputs!$B$35+(ArtifactsInput!$M$7-ArtifactsInput!$M$7)*CHOOSE(ArtifactsInput!$N$7+1,6,7.2,8.4,9.6,10.8,12))+IF(Inputs!$B$3&gt;=117,F2618,0))/100))+MIN((Skills!S3*(1+((Inputs!$B$35+(ArtifactsInput!$M$7-ArtifactsInput!$M$7)*CHOOSE(ArtifactsInput!$N$7+1,6,7.2,8.4,9.6,10.8,12))+IF(Inputs!$B$3&gt;=117,F2618,0))/100)),MAX(0,Inputs!$B$44-((R2595-1)*Skills!D3))))/Inputs!$B$44),IF(Inputs!$B$39="pvp",MIN((Skills!S3*(1+((Inputs!$B$35+(ArtifactsInput!$M$7-ArtifactsInput!$M$7)*CHOOSE(ArtifactsInput!$N$7+1,6,7.2,8.4,9.6,10.8,12))+IF(Inputs!$B$3&gt;=117,F2618,0))/100)),15)/15,(Skills!S3*(1+((Inputs!$B$35+(ArtifactsInput!$M$7-ArtifactsInput!$M$7)*CHOOSE(ArtifactsInput!$N$7+1,6,7.2,8.4,9.6,10.8,12))+IF(Inputs!$B$3&gt;=117,F2618,0))/100))/Skills!D3)),0)+IF(C2596=TRUE,F2596*IF(AND(Inputs!$B$39&lt;&gt;"pvp",Inputs!$B$44&gt;0),(((R2596-1)*(Skills!S4*(1+((Inputs!$B$35+(ArtifactsInput!$M$7-ArtifactsInput!$M$7)*CHOOSE(ArtifactsInput!$N$7+1,6,7.2,8.4,9.6,10.8,12))+IF(Inputs!$B$3&gt;=117,F2618,0))/100))+MIN((Skills!S4*(1+((Inputs!$B$35+(ArtifactsInput!$M$7-ArtifactsInput!$M$7)*CHOOSE(ArtifactsInput!$N$7+1,6,7.2,8.4,9.6,10.8,12))+IF(Inputs!$B$3&gt;=117,F2618,0))/100)),MAX(0,Inputs!$B$44-((R2596-1)*Skills!D4))))/Inputs!$B$44),IF(Inputs!$B$39="pvp",MIN((Skills!S4*(1+((Inputs!$B$35+(ArtifactsInput!$M$7-ArtifactsInput!$M$7)*CHOOSE(ArtifactsInput!$N$7+1,6,7.2,8.4,9.6,10.8,12))+IF(Inputs!$B$3&gt;=117,F2618,0))/100)),15)/15,(Skills!S4*(1+((Inputs!$B$35+(ArtifactsInput!$M$7-ArtifactsInput!$M$7)*CHOOSE(ArtifactsInput!$N$7+1,6,7.2,8.4,9.6,10.8,12))+IF(Inputs!$B$3&gt;=117,F2618,0))/100))/Skills!D4)),0)+IF(C2597=TRUE,F2597*IF(AND(Inputs!$B$39&lt;&gt;"pvp",Inputs!$B$44&gt;0),(((R2597-1)*(Skills!S5*(1+((Inputs!$B$35+(ArtifactsInput!$M$7-ArtifactsInput!$M$7)*CHOOSE(ArtifactsInput!$N$7+1,6,7.2,8.4,9.6,10.8,12))+IF(Inputs!$B$3&gt;=117,F2618,0))/100))+MIN((Skills!S5*(1+((Inputs!$B$35+(ArtifactsInput!$M$7-ArtifactsInput!$M$7)*CHOOSE(ArtifactsInput!$N$7+1,6,7.2,8.4,9.6,10.8,12))+IF(Inputs!$B$3&gt;=117,F2618,0))/100)),MAX(0,Inputs!$B$44-((R2597-1)*Skills!D5))))/Inputs!$B$44),IF(Inputs!$B$39="pvp",MIN((Skills!S5*(1+((Inputs!$B$35+(ArtifactsInput!$M$7-ArtifactsInput!$M$7)*CHOOSE(ArtifactsInput!$N$7+1,6,7.2,8.4,9.6,10.8,12))+IF(Inputs!$B$3&gt;=117,F2618,0))/100)),15)/15,(Skills!S5*(1+((Inputs!$B$35+(ArtifactsInput!$M$7-ArtifactsInput!$M$7)*CHOOSE(ArtifactsInput!$N$7+1,6,7.2,8.4,9.6,10.8,12))+IF(Inputs!$B$3&gt;=117,F2618,0))/100))/Skills!D5)),0)+IF(C2603=TRUE,F2603*IF(AND(Inputs!$B$39&lt;&gt;"pvp",Inputs!$B$44&gt;0),(((R2603-1)*(Skills!S11*(1+((Inputs!$B$35+(ArtifactsInput!$M$7-ArtifactsInput!$M$7)*CHOOSE(ArtifactsInput!$N$7+1,6,7.2,8.4,9.6,10.8,12))+IF(Inputs!$B$3&gt;=117,F2618,0))/100))+MIN((Skills!S11*(1+((Inputs!$B$35+(ArtifactsInput!$M$7-ArtifactsInput!$M$7)*CHOOSE(ArtifactsInput!$N$7+1,6,7.2,8.4,9.6,10.8,12))+IF(Inputs!$B$3&gt;=117,F2618,0))/100)),MAX(0,Inputs!$B$44-((R2603-1)*Skills!D11))))/Inputs!$B$44),IF(Inputs!$B$39="pvp",MIN((Skills!S11*(1+((Inputs!$B$35+(ArtifactsInput!$M$7-ArtifactsInput!$M$7)*CHOOSE(ArtifactsInput!$N$7+1,6,7.2,8.4,9.6,10.8,12))+IF(Inputs!$B$3&gt;=117,F2618,0))/100)),15)/15,(Skills!S11*(1+((Inputs!$B$35+(ArtifactsInput!$M$7-ArtifactsInput!$M$7)*CHOOSE(ArtifactsInput!$N$7+1,6,7.2,8.4,9.6,10.8,12))+IF(Inputs!$B$3&gt;=117,F2618,0)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2606=TRUE,(1+F2606*IF(AND(Inputs!$B$39&lt;&gt;"pvp",Inputs!$B$44&gt;0),(((R2606-1)*(Skills!S14*(1+((Inputs!$B$35+(ArtifactsInput!$M$7-ArtifactsInput!$M$7)*CHOOSE(ArtifactsInput!$N$7+1,6,7.2,8.4,9.6,10.8,12))+IF(Inputs!$B$3&gt;=117,F2618,0))/100))+MIN((Skills!S14*(1+((Inputs!$B$35+(ArtifactsInput!$M$7-ArtifactsInput!$M$7)*CHOOSE(ArtifactsInput!$N$7+1,6,7.2,8.4,9.6,10.8,12))+IF(Inputs!$B$3&gt;=117,F2618,0))/100)),MAX(0,Inputs!$B$44-((R2606-1)*Skills!D14))))/Inputs!$B$44),IF(Inputs!$B$39="pvp",MIN((Skills!S14*(1+((Inputs!$B$35+(ArtifactsInput!$M$7-ArtifactsInput!$M$7)*CHOOSE(ArtifactsInput!$N$7+1,6,7.2,8.4,9.6,10.8,12))+IF(Inputs!$B$3&gt;=117,F2618,0))/100)),15)/15,(Skills!S14*(1+((Inputs!$B$35+(ArtifactsInput!$M$7-ArtifactsInput!$M$7)*CHOOSE(ArtifactsInput!$N$7+1,6,7.2,8.4,9.6,10.8,12))+IF(Inputs!$B$3&gt;=117,F2618,0))/100))/Skills!D14))/100),1)*IF(C2611=TRUE,(1+F2611*IF(AND(Inputs!$B$39&lt;&gt;"pvp",Inputs!$B$44&gt;0),(((R2611-1)*(Skills!S19*(1+((Inputs!$B$35+(ArtifactsInput!$M$7-ArtifactsInput!$M$7)*CHOOSE(ArtifactsInput!$N$7+1,6,7.2,8.4,9.6,10.8,12))+IF(Inputs!$B$3&gt;=117,F2618,0))/100))+MIN((Skills!S19*(1+((Inputs!$B$35+(ArtifactsInput!$M$7-ArtifactsInput!$M$7)*CHOOSE(ArtifactsInput!$N$7+1,6,7.2,8.4,9.6,10.8,12))+IF(Inputs!$B$3&gt;=117,F2618,0))/100)),MAX(0,Inputs!$B$44-((R2611-1)*Skills!D19))))/Inputs!$B$44),IF(Inputs!$B$39="pvp",MIN((Skills!S19*(1+((Inputs!$B$35+(ArtifactsInput!$M$7-ArtifactsInput!$M$7)*CHOOSE(ArtifactsInput!$N$7+1,6,7.2,8.4,9.6,10.8,12))+IF(Inputs!$B$3&gt;=117,F2618,0))/100)),15)/15,(Skills!S19*(1+((Inputs!$B$35+(ArtifactsInput!$M$7-ArtifactsInput!$M$7)*CHOOSE(ArtifactsInput!$N$7+1,6,7.2,8.4,9.6,10.8,12))+IF(Inputs!$B$3&gt;=117,F2618,0))/100))/Skills!D19))/100),1)</f>
        <v/>
      </c>
    </row>
    <row r="2623">
      <c r="A2623" t="inlineStr">
        <is>
          <t>Monster Damage Taken Bonus % (Holy Fountain)</t>
        </is>
      </c>
      <c r="B2623">
        <f>IF(Inputs!$B$3&gt;=68,20*IF(Inputs!$B$39="pvp",MIN((15*(1+((Inputs!$B$35+(ArtifactsInput!$M$7-ArtifactsInput!$M$7)*CHOOSE(ArtifactsInput!$N$7+1,6,7.2,8.4,9.6,10.8,12))+IF(Inputs!$B$3&gt;=117,F2618,0))/100)),15)/15,(15*(1+((Inputs!$B$35+(ArtifactsInput!$M$7-ArtifactsInput!$M$7)*CHOOSE(ArtifactsInput!$N$7+1,6,7.2,8.4,9.6,10.8,12))+IF(Inputs!$B$3&gt;=117,F2618,0))/100))/Skills!D10),0)</f>
        <v/>
      </c>
    </row>
    <row r="2624">
      <c r="A2624" t="inlineStr">
        <is>
          <t>Normal Monster Damage Bonus % (Holy Symbol)</t>
        </is>
      </c>
      <c r="B2624">
        <f>IF(C2604=TRUE,F2604*IF(AND(Inputs!$B$39&lt;&gt;"pvp",Inputs!$B$44&gt;0),(((R2604-1)*(Skills!S12*(1+((Inputs!$B$35+(ArtifactsInput!$M$7-ArtifactsInput!$M$7)*CHOOSE(ArtifactsInput!$N$7+1,6,7.2,8.4,9.6,10.8,12))+IF(Inputs!$B$3&gt;=117,F2618,0))/100))+MIN((Skills!S12*(1+((Inputs!$B$35+(ArtifactsInput!$M$7-ArtifactsInput!$M$7)*CHOOSE(ArtifactsInput!$N$7+1,6,7.2,8.4,9.6,10.8,12))+IF(Inputs!$B$3&gt;=117,F2618,0))/100)),MAX(0,Inputs!$B$44-((R2604-1)*Skills!D12))))/Inputs!$B$44),IF(Inputs!$B$39="pvp",MIN((Skills!S12*(1+((Inputs!$B$35+(ArtifactsInput!$M$7-ArtifactsInput!$M$7)*CHOOSE(ArtifactsInput!$N$7+1,6,7.2,8.4,9.6,10.8,12))+IF(Inputs!$B$3&gt;=117,F2618,0))/100)),15)/15,(Skills!S12*(1+((Inputs!$B$35+(ArtifactsInput!$M$7-ArtifactsInput!$M$7)*CHOOSE(ArtifactsInput!$N$7+1,6,7.2,8.4,9.6,10.8,12))+IF(Inputs!$B$3&gt;=117,F2618,0))/100))/Skills!D12)),0)</f>
        <v/>
      </c>
    </row>
    <row r="2625">
      <c r="A2625" t="inlineStr">
        <is>
          <t>Damage % Bonus (Holy Symbol - Damage Boost)</t>
        </is>
      </c>
      <c r="B2625">
        <f>Skills!O12</f>
        <v/>
      </c>
    </row>
    <row r="2626">
      <c r="A2626" t="inlineStr">
        <is>
          <t>Crit Damage % Bonus (Blood of the Divine)</t>
        </is>
      </c>
      <c r="B2626">
        <f>4*IF(C2612=TRUE,F2612,0)</f>
        <v/>
      </c>
    </row>
    <row r="2627">
      <c r="A2627" t="inlineStr">
        <is>
          <t>Attack Speed Bonus %</t>
        </is>
      </c>
      <c r="B2627">
        <f>IF(C2609=TRUE,F2609+(F2613-Calc!F21),0)+IF(Inputs!$B$3&gt;=134,15,0)+((C2620=TRUE)*F2620*IF(AND(Inputs!$B$39&lt;&gt;"pvp",Inputs!$B$44&gt;0),(((R2620-1)*(Skills!S28*(1+((Inputs!$B$35+(ArtifactsInput!$M$7-ArtifactsInput!$M$7)*CHOOSE(ArtifactsInput!$N$7+1,6,7.2,8.4,9.6,10.8,12))+IF(Inputs!$B$3&gt;=117,F2618,0))/100))+MIN((Skills!S28*(1+((Inputs!$B$35+(ArtifactsInput!$M$7-ArtifactsInput!$M$7)*CHOOSE(ArtifactsInput!$N$7+1,6,7.2,8.4,9.6,10.8,12))+IF(Inputs!$B$3&gt;=117,F2618,0))/100)),MAX(0,Inputs!$B$44-((R2620-1)*Skills!D28))))/Inputs!$B$44),IF(Inputs!$B$39="pvp",MIN((Skills!S28*(1+((Inputs!$B$35+(ArtifactsInput!$M$7-ArtifactsInput!$M$7)*CHOOSE(ArtifactsInput!$N$7+1,6,7.2,8.4,9.6,10.8,12))+IF(Inputs!$B$3&gt;=117,F2618,0))/100)),15)/15,(Skills!S28*(1+((Inputs!$B$35+(ArtifactsInput!$M$7-ArtifactsInput!$M$7)*CHOOSE(ArtifactsInput!$N$7+1,6,7.2,8.4,9.6,10.8,12))+IF(Inputs!$B$3&gt;=117,F2618,0))/100))/Skills!D28)))</f>
        <v/>
      </c>
    </row>
    <row r="2628">
      <c r="A2628" t="inlineStr">
        <is>
          <t>Actions Per Second</t>
        </is>
      </c>
      <c r="B2628">
        <f>1+MIN(150,150*(1-(1-Inputs!$B$12/150)*(1-B2627/150)))/100</f>
        <v/>
      </c>
    </row>
    <row r="2629">
      <c r="A2629" t="inlineStr">
        <is>
          <t>Skill + Buff Cast Rate</t>
        </is>
      </c>
      <c r="B2629">
        <f>IF(AND(Inputs!$B$39&lt;&gt;"pvp",Inputs!$B$44&gt;0),SUMPRODUCT((Skills!E2:E28=TRUE)*(C2594:C2620=TRUE)*R2594:R2620)/Inputs!$B$44,SUMPRODUCT((Skills!E2:E28=TRUE)*(C2594:C2620=TRUE)*Q2594:Q2620))</f>
        <v/>
      </c>
    </row>
    <row r="2630">
      <c r="A2630" t="inlineStr">
        <is>
          <t>Big Bang Casts Per Second</t>
        </is>
      </c>
      <c r="B2630">
        <f>MAX(0,B2628-B2629)</f>
        <v/>
      </c>
    </row>
    <row r="2631">
      <c r="A2631" t="inlineStr">
        <is>
          <t>Defense % Bonus (Divine Protection)</t>
        </is>
      </c>
      <c r="B2631">
        <f>IF(C2605=TRUE,F2605*IF(AND(Inputs!$B$39&lt;&gt;"pvp",Inputs!$B$44&gt;0),(((R2605-1)*(Skills!S13*(1+((Inputs!$B$35+(ArtifactsInput!$M$7-ArtifactsInput!$M$7)*CHOOSE(ArtifactsInput!$N$7+1,6,7.2,8.4,9.6,10.8,12))+IF(Inputs!$B$3&gt;=117,F2618,0))/100))+MIN((Skills!S13*(1+((Inputs!$B$35+(ArtifactsInput!$M$7-ArtifactsInput!$M$7)*CHOOSE(ArtifactsInput!$N$7+1,6,7.2,8.4,9.6,10.8,12))+IF(Inputs!$B$3&gt;=117,F2618,0))/100)),MAX(0,Inputs!$B$44-((R2605-1)*Skills!D13))))/Inputs!$B$44),IF(Inputs!$B$39="pvp",MIN((Skills!S13*(1+((Inputs!$B$35+(ArtifactsInput!$M$7-ArtifactsInput!$M$7)*CHOOSE(ArtifactsInput!$N$7+1,6,7.2,8.4,9.6,10.8,12))+IF(Inputs!$B$3&gt;=117,F2618,0))/100)),15)/15,(Skills!S13*(1+((Inputs!$B$35+(ArtifactsInput!$M$7-ArtifactsInput!$M$7)*CHOOSE(ArtifactsInput!$N$7+1,6,7.2,8.4,9.6,10.8,12))+IF(Inputs!$B$3&gt;=117,F2618,0))/100))/Skills!D13)),0)</f>
        <v/>
      </c>
    </row>
    <row r="2632">
      <c r="A2632" t="inlineStr">
        <is>
          <t>Buff-Casting Startup Delay (s, fixed-duration only)</t>
        </is>
      </c>
      <c r="B2632">
        <f>IF(AND(Inputs!$B$39&lt;&gt;"pvp",Inputs!$B$44&gt;0),SUMPRODUCT((Skills!S2:S28&gt;0)*(Skills!E2:E28=TRUE)*(C2594:C2620=TRUE))/B2628,0)</f>
        <v/>
      </c>
    </row>
    <row r="2633">
      <c r="A2633" t="inlineStr">
        <is>
          <t>Boss-Only Total DPS (this block's swept value)</t>
        </is>
      </c>
      <c r="B2633">
        <f>SUM(S2594:S2620)</f>
        <v/>
      </c>
    </row>
    <row r="2634">
      <c r="A2634" t="inlineStr">
        <is>
          <t>Normal-Only Total DPS (this block's swept value)</t>
        </is>
      </c>
      <c r="B2634">
        <f>SUM(U2594:U2620)</f>
        <v/>
      </c>
    </row>
    <row r="2635">
      <c r="A2635" s="6" t="inlineStr">
        <is>
          <t>TOTAL DPS</t>
        </is>
      </c>
      <c r="B2635" s="6">
        <f>SUM(O2594:O2620)</f>
        <v/>
      </c>
    </row>
    <row r="2637">
      <c r="A2637" s="6" t="inlineStr">
        <is>
          <t>Stat: Alliance Badge (Equip)</t>
        </is>
      </c>
    </row>
    <row r="2638">
      <c r="A2638" s="5" t="inlineStr">
        <is>
          <t>Key</t>
        </is>
      </c>
      <c r="B2638" s="5" t="inlineStr">
        <is>
          <t>Name</t>
        </is>
      </c>
      <c r="C2638" s="5" t="inlineStr">
        <is>
          <t>Unlocked</t>
        </is>
      </c>
      <c r="D2638" s="5" t="inlineStr">
        <is>
          <t>InputLevel</t>
        </is>
      </c>
      <c r="E2638" s="5" t="inlineStr">
        <is>
          <t>Factor</t>
        </is>
      </c>
      <c r="F2638" s="5" t="inlineStr">
        <is>
          <t>CoefficientPercent</t>
        </is>
      </c>
      <c r="G2638" s="5" t="inlineStr">
        <is>
          <t>EffectiveHits</t>
        </is>
      </c>
      <c r="H2638" s="5" t="inlineStr">
        <is>
          <t>ProcProbability</t>
        </is>
      </c>
      <c r="I2638" s="5" t="inlineStr">
        <is>
          <t>MapleHeroMultiplier</t>
        </is>
      </c>
      <c r="J2638" s="5" t="inlineStr">
        <is>
          <t>BaseDamage</t>
        </is>
      </c>
      <c r="K2638" s="5" t="inlineStr">
        <is>
          <t>BaseHitDamage</t>
        </is>
      </c>
      <c r="L2638" s="5" t="inlineStr">
        <is>
          <t>NonCritAvg</t>
        </is>
      </c>
      <c r="M2638" s="5" t="inlineStr">
        <is>
          <t>CritAvg</t>
        </is>
      </c>
      <c r="N2638" s="5" t="inlineStr">
        <is>
          <t>ExpectedDamage(perHit)</t>
        </is>
      </c>
      <c r="O2638" s="5" t="inlineStr">
        <is>
          <t>DPS</t>
        </is>
      </c>
      <c r="P2638" s="5" t="inlineStr">
        <is>
          <t>% of Total</t>
        </is>
      </c>
      <c r="R2638" t="inlineStr">
        <is>
          <t>helpers</t>
        </is>
      </c>
    </row>
    <row r="2639">
      <c r="A2639">
        <f>Skills!A2</f>
        <v/>
      </c>
      <c r="B2639">
        <f>Skills!B2</f>
        <v/>
      </c>
      <c r="C2639">
        <f>Inputs!$B$3&gt;=100</f>
        <v/>
      </c>
      <c r="D2639" t="inlineStr"/>
      <c r="E2639" t="inlineStr"/>
      <c r="F2639">
        <f>T2641+Skills!N2</f>
        <v/>
      </c>
      <c r="G2639">
        <f>Calc!G2</f>
        <v/>
      </c>
      <c r="H2639">
        <f>Calc!H2</f>
        <v/>
      </c>
      <c r="I2639">
        <f>IF(Skills!T2&lt;&gt;"",1+(Skills!T2/10)*($Z$3/1000)/100,1)</f>
        <v/>
      </c>
      <c r="J2639">
        <f>((Inputs!$B$6*(1+Inputs!$B$7/100))+(((Inputs!$B$13*(1+Inputs!$B$14/100))-(Inputs!$B$13*(1+Inputs!$B$14/100)))+0.25*(Inputs!$B$15-Inputs!$B$15))*(1+Inputs!$B$7/100))*(F2639/100)</f>
        <v/>
      </c>
      <c r="K2639">
        <f>J2639*(1+(((Inputs!$B$13+IF(Inputs!$B$3&gt;=35,(10*INDEX(FactorTable!$B$2:$Y$301,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2="TRIUMPH_FEATHER",IF(C2653=TRUE,F2653,0),0)/100)*(1+IF(C2664=TRUE,F2664,0)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2639)</f>
        <v/>
      </c>
      <c r="L2639">
        <f>K2639*(MIN(Inputs!$B$23+(F2659-Calc!F22),(Inputs!$B$24+IF(ArtifactsInput!$M$15,CHOOSE(ArtifactsInput!$N$15+1,25,30,35,40,45,50)/100*(Inputs!$B$12-Inputs!$B$12),0)))/100+(Inputs!$B$24+IF(ArtifactsInput!$M$15,CHOOSE(ArtifactsInput!$N$15+1,25,30,35,40,45,50)/100*(Inputs!$B$12-Inputs!$B$12),0))/100)/2</f>
        <v/>
      </c>
      <c r="M2639">
        <f>L2639*(1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9">
        <f>L2639*(1-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2639*(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9">
        <f>(1-Summary!$B$11)*S2639+Summary!$B$11*U2639</f>
        <v/>
      </c>
      <c r="P2639">
        <f>IF(B2680=0,0,O2639/B2680)</f>
        <v/>
      </c>
      <c r="Q2639">
        <f>IFERROR(1/(IF(Inputs!$B$39="pvp",15,MAX(0.1,Skills!D2-IF(Skills!E2=TRUE,Inputs!$B$33,0)))*(1-IF(AND(ArtifactsInput!$M$27,Inputs!$B$4="Chapter Hunt"),CHOOSE(ArtifactsInput!$N$27+1,20,24,28,32,36,40),0)/100)),0)</f>
        <v/>
      </c>
      <c r="R2639" t="n">
        <v>0</v>
      </c>
      <c r="S2639">
        <f>IF(C2639,(Skills!F2*N2639*B2675)*IF(Inputs!$B$39="pvp",1,1+(Inputs!$B$21+Skills!O2+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2639*(1-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2639*(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2639*(1-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2639*(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39">
        <f>MAX(0,(Inputs!$B$3-100)*3)+Inputs!$B$29+Inputs!$B$30</f>
        <v/>
      </c>
      <c r="U2639">
        <f>IF(C2639,(Skills!F2*N2639*B2675)*IF(Inputs!$B$39="pvp",1,(1+(Inputs!$B$22+Skills!P2+B2669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0">
      <c r="A2640">
        <f>Skills!A3</f>
        <v/>
      </c>
      <c r="B2640">
        <f>Skills!B3</f>
        <v/>
      </c>
      <c r="C2640">
        <f>Inputs!$B$3&gt;=15</f>
        <v/>
      </c>
      <c r="D2640">
        <f>IF(Skills!C3=1,60+Inputs!$B$26+Inputs!$B$30,IF(Skills!C3=2,90+Inputs!$B$27+Inputs!$B$30,IF(Skills!C3=3,120+Inputs!$B$28+Inputs!$B$30,MAX(0,(Inputs!$B$3-100)*3)+Inputs!$B$29+Inputs!$B$30)))</f>
        <v/>
      </c>
      <c r="E2640">
        <f>INDEX(FactorTable!$B$2:$Y$301, MATCH(ROUND(MIN(300,MAX(1,D2640)),0), FactorTable!$A$2:$A$301,0), Skills!L3+1)</f>
        <v/>
      </c>
      <c r="F2640">
        <f>IF(Skills!M3=TRUE,(Skills!K3/10)*(E2640/1000),Skills!K3/10)+Skills!N3</f>
        <v/>
      </c>
      <c r="G2640">
        <f>Calc!G3</f>
        <v/>
      </c>
      <c r="H2640">
        <f>Calc!H3</f>
        <v/>
      </c>
      <c r="I2640">
        <f>IF(Skills!T3&lt;&gt;"",1+(Skills!T3/10)*($Z$3/1000)/100,1)</f>
        <v/>
      </c>
      <c r="J2640" t="inlineStr"/>
      <c r="K2640" t="inlineStr"/>
      <c r="L2640" t="inlineStr"/>
      <c r="M2640" t="inlineStr"/>
      <c r="N2640" t="inlineStr"/>
      <c r="O2640">
        <f>(1-Summary!$B$11)*S2640+Summary!$B$11*U2640</f>
        <v/>
      </c>
      <c r="P2640">
        <f>IF(B2680=0,0,O2640/B2680)</f>
        <v/>
      </c>
      <c r="Q2640">
        <f>IFERROR(1/(IF(Inputs!$B$39="pvp",15,MAX(0.1,Skills!D3-IF(Skills!E3=TRUE,Inputs!$B$33,0)))*(1-IF(AND(ArtifactsInput!$M$27,Inputs!$B$4="Chapter Hunt"),CHOOSE(ArtifactsInput!$N$27+1,20,24,28,32,36,40),0)/100)),0)</f>
        <v/>
      </c>
      <c r="R2640">
        <f>IF(AND(Inputs!$B$39&lt;&gt;"pvp",Inputs!$B$44&gt;0),IF(Inputs!$B$44&lt;=0,0,(INT(Inputs!$B$44/(IF(Inputs!$B$39="pvp",15,MAX(0.1,Skills!D3-IF(Skills!E3=TRUE,Inputs!$B$33,0)))*(1-IF(AND(ArtifactsInput!$M$27,Inputs!$B$4="Chapter Hunt"),CHOOSE(ArtifactsInput!$N$27+1,20,24,28,32,36,40),0)/100)))+1)),0)</f>
        <v/>
      </c>
      <c r="S2640" t="n">
        <v>0</v>
      </c>
      <c r="T2640">
        <f>INDEX(FactorTable!$B$2:$Y$301, MATCH(ROUND(MIN(300,MAX(1,T2639)),0), FactorTable!$A$2:$A$301,0), 22)</f>
        <v/>
      </c>
      <c r="U2640" t="n">
        <v>0</v>
      </c>
    </row>
    <row r="2641">
      <c r="A2641">
        <f>Skills!A4</f>
        <v/>
      </c>
      <c r="B2641">
        <f>Skills!B4</f>
        <v/>
      </c>
      <c r="C2641">
        <f>Inputs!$B$3&gt;=38</f>
        <v/>
      </c>
      <c r="D2641">
        <f>IF(Skills!C4=1,60+Inputs!$B$26+Inputs!$B$30,IF(Skills!C4=2,90+Inputs!$B$27+Inputs!$B$30,IF(Skills!C4=3,120+Inputs!$B$28+Inputs!$B$30,MAX(0,(Inputs!$B$3-100)*3)+Inputs!$B$29+Inputs!$B$30)))</f>
        <v/>
      </c>
      <c r="E2641">
        <f>INDEX(FactorTable!$B$2:$Y$301, MATCH(ROUND(MIN(300,MAX(1,D2641)),0), FactorTable!$A$2:$A$301,0), Skills!L4+1)</f>
        <v/>
      </c>
      <c r="F2641">
        <f>IF(Skills!M4=TRUE,(Skills!K4/10)*(E2641/1000),Skills!K4/10)+Skills!N4</f>
        <v/>
      </c>
      <c r="G2641">
        <f>Calc!G4</f>
        <v/>
      </c>
      <c r="H2641">
        <f>Calc!H4</f>
        <v/>
      </c>
      <c r="I2641">
        <f>IF(Skills!T4&lt;&gt;"",1+(Skills!T4/10)*($Z$3/1000)/100,1)</f>
        <v/>
      </c>
      <c r="J2641" t="inlineStr"/>
      <c r="K2641" t="inlineStr"/>
      <c r="L2641" t="inlineStr"/>
      <c r="M2641" t="inlineStr"/>
      <c r="N2641" t="inlineStr"/>
      <c r="O2641">
        <f>(1-Summary!$B$11)*S2641+Summary!$B$11*U2641</f>
        <v/>
      </c>
      <c r="P2641">
        <f>IF(B2680=0,0,O2641/B2680)</f>
        <v/>
      </c>
      <c r="Q2641">
        <f>IFERROR(1/(IF(Inputs!$B$39="pvp",15,MAX(0.1,Skills!D4-IF(Skills!E4=TRUE,Inputs!$B$33,0)))*(1-IF(AND(ArtifactsInput!$M$27,Inputs!$B$4="Chapter Hunt"),CHOOSE(ArtifactsInput!$N$27+1,20,24,28,32,36,40),0)/100)),0)</f>
        <v/>
      </c>
      <c r="R2641">
        <f>IF(AND(Inputs!$B$39&lt;&gt;"pvp",Inputs!$B$44&gt;0),IF(Inputs!$B$44&lt;=0,0,(INT(Inputs!$B$44/(IF(Inputs!$B$39="pvp",15,MAX(0.1,Skills!D4-IF(Skills!E4=TRUE,Inputs!$B$33,0)))*(1-IF(AND(ArtifactsInput!$M$27,Inputs!$B$4="Chapter Hunt"),CHOOSE(ArtifactsInput!$N$27+1,20,24,28,32,36,40),0)/100)))+1)),0)</f>
        <v/>
      </c>
      <c r="S2641" t="n">
        <v>0</v>
      </c>
      <c r="T2641">
        <f>290*T2640/1000</f>
        <v/>
      </c>
      <c r="U2641" t="n">
        <v>0</v>
      </c>
    </row>
    <row r="2642">
      <c r="A2642">
        <f>Skills!A5</f>
        <v/>
      </c>
      <c r="B2642">
        <f>Skills!B5</f>
        <v/>
      </c>
      <c r="C2642">
        <f>Inputs!$B$3&gt;=40</f>
        <v/>
      </c>
      <c r="D2642">
        <f>IF(Skills!C5=1,60+Inputs!$B$26+Inputs!$B$30,IF(Skills!C5=2,90+Inputs!$B$27+Inputs!$B$30,IF(Skills!C5=3,120+Inputs!$B$28+Inputs!$B$30,MAX(0,(Inputs!$B$3-100)*3)+Inputs!$B$29+Inputs!$B$30)))</f>
        <v/>
      </c>
      <c r="E2642">
        <f>INDEX(FactorTable!$B$2:$Y$301, MATCH(ROUND(MIN(300,MAX(1,D2642)),0), FactorTable!$A$2:$A$301,0), Skills!L5+1)</f>
        <v/>
      </c>
      <c r="F2642">
        <f>IF(Skills!M5=TRUE,(Skills!K5/10)*(E2642/1000),Skills!K5/10)+Skills!N5</f>
        <v/>
      </c>
      <c r="G2642">
        <f>Calc!G5</f>
        <v/>
      </c>
      <c r="H2642">
        <f>Calc!H5</f>
        <v/>
      </c>
      <c r="I2642">
        <f>IF(Skills!T5&lt;&gt;"",1+(Skills!T5/10)*($Z$3/1000)/100,1)</f>
        <v/>
      </c>
      <c r="J2642" t="inlineStr"/>
      <c r="K2642" t="inlineStr"/>
      <c r="L2642" t="inlineStr"/>
      <c r="M2642" t="inlineStr"/>
      <c r="N2642" t="inlineStr"/>
      <c r="O2642">
        <f>(1-Summary!$B$11)*S2642+Summary!$B$11*U2642</f>
        <v/>
      </c>
      <c r="P2642">
        <f>IF(B2680=0,0,O2642/B2680)</f>
        <v/>
      </c>
      <c r="Q2642">
        <f>IFERROR(1/(IF(Inputs!$B$39="pvp",15,MAX(0.1,Skills!D5-IF(Skills!E5=TRUE,Inputs!$B$33,0)))*(1-IF(AND(ArtifactsInput!$M$27,Inputs!$B$4="Chapter Hunt"),CHOOSE(ArtifactsInput!$N$27+1,20,24,28,32,36,40),0)/100)),0)</f>
        <v/>
      </c>
      <c r="R2642">
        <f>IF(AND(Inputs!$B$39&lt;&gt;"pvp",Inputs!$B$44&gt;0),IF(Inputs!$B$44&lt;=0,0,(INT(Inputs!$B$44/(IF(Inputs!$B$39="pvp",15,MAX(0.1,Skills!D5-IF(Skills!E5=TRUE,Inputs!$B$33,0)))*(1-IF(AND(ArtifactsInput!$M$27,Inputs!$B$4="Chapter Hunt"),CHOOSE(ArtifactsInput!$N$27+1,20,24,28,32,36,40),0)/100)))+1)),0)</f>
        <v/>
      </c>
      <c r="S2642" t="n">
        <v>0</v>
      </c>
      <c r="U2642" t="n">
        <v>0</v>
      </c>
    </row>
    <row r="2643">
      <c r="A2643">
        <f>Skills!A6</f>
        <v/>
      </c>
      <c r="B2643">
        <f>Skills!B6</f>
        <v/>
      </c>
      <c r="C2643">
        <f>Inputs!$B$3&gt;=103</f>
        <v/>
      </c>
      <c r="D2643">
        <f>IF(Skills!C6=1,60+Inputs!$B$26+Inputs!$B$30,IF(Skills!C6=2,90+Inputs!$B$27+Inputs!$B$30,IF(Skills!C6=3,120+Inputs!$B$28+Inputs!$B$30,MAX(0,(Inputs!$B$3-100)*3)+Inputs!$B$29+Inputs!$B$30)))</f>
        <v/>
      </c>
      <c r="E2643">
        <f>INDEX(FactorTable!$B$2:$Y$301, MATCH(ROUND(MIN(300,MAX(1,D2643)),0), FactorTable!$A$2:$A$301,0), Skills!L6+1)</f>
        <v/>
      </c>
      <c r="F2643">
        <f>IF(Skills!M6=TRUE,(Skills!K6/10)*(E2643/1000),Skills!K6/10)+Skills!N6</f>
        <v/>
      </c>
      <c r="G2643">
        <f>Calc!G6</f>
        <v/>
      </c>
      <c r="H2643">
        <f>Calc!H6</f>
        <v/>
      </c>
      <c r="I2643">
        <f>IF(Skills!T6&lt;&gt;"",1+(Skills!T6/10)*($Z$3/1000)/100,1)</f>
        <v/>
      </c>
      <c r="J2643">
        <f>((Inputs!$B$6*(1+Inputs!$B$7/100))+(((Inputs!$B$13*(1+Inputs!$B$14/100))-(Inputs!$B$13*(1+Inputs!$B$14/100)))+0.25*(Inputs!$B$15-Inputs!$B$15))*(1+Inputs!$B$7/100))*(F2643/100)</f>
        <v/>
      </c>
      <c r="K2643">
        <f>J2643*(1+(((Inputs!$B$13+IF(Inputs!$B$3&gt;=35,(10*INDEX(FactorTable!$B$2:$Y$301,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6="TRIUMPH_FEATHER",IF(C2653=TRUE,F2653,0),0)/100)*(1+IF(C2664=TRUE,F2664,0)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2643)</f>
        <v/>
      </c>
      <c r="L2643">
        <f>K2643*(MIN(Inputs!$B$23+(F2659-Calc!F22),(Inputs!$B$24+IF(ArtifactsInput!$M$15,CHOOSE(ArtifactsInput!$N$15+1,25,30,35,40,45,50)/100*(Inputs!$B$12-Inputs!$B$12),0)))/100+(Inputs!$B$24+IF(ArtifactsInput!$M$15,CHOOSE(ArtifactsInput!$N$15+1,25,30,35,40,45,50)/100*(Inputs!$B$12-Inputs!$B$12),0))/100)/2</f>
        <v/>
      </c>
      <c r="M2643">
        <f>L2643*(1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3">
        <f>L2643*(1-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2643*(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3">
        <f>(1-Summary!$B$11)*S2643+Summary!$B$11*U2643</f>
        <v/>
      </c>
      <c r="P2643">
        <f>IF(B2680=0,0,O2643/B2680)</f>
        <v/>
      </c>
      <c r="Q2643">
        <f>IFERROR(1/(IF(Inputs!$B$39="pvp",15,MAX(0.1,Skills!D6-IF(Skills!E6=TRUE,Inputs!$B$33,0)))*(1-IF(AND(ArtifactsInput!$M$27,Inputs!$B$4="Chapter Hunt"),CHOOSE(ArtifactsInput!$N$27+1,20,24,28,32,36,40),0)/100)),0)</f>
        <v/>
      </c>
      <c r="R2643">
        <f>IF(AND(Inputs!$B$39&lt;&gt;"pvp",Inputs!$B$44&gt;0),IF(MAX(0,Inputs!$B$44-B2677)&lt;=0,0,(INT(MAX(0,Inputs!$B$44-B2677)/(IF(Inputs!$B$39="pvp",15,MAX(0.1,Skills!D6-IF(Skills!E6=TRUE,Inputs!$B$33,0)))*(1-IF(AND(ArtifactsInput!$M$27,Inputs!$B$4="Chapter Hunt"),CHOOSE(ArtifactsInput!$N$27+1,20,24,28,32,36,40),0)/100)))+1)),0)</f>
        <v/>
      </c>
      <c r="S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$21+Skills!O6+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2643*(1-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2643*(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2643*(1-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2643*(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$22+Skills!P6+B2669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4">
      <c r="A2644">
        <f>Skills!A7</f>
        <v/>
      </c>
      <c r="B2644">
        <f>Skills!B7</f>
        <v/>
      </c>
      <c r="C2644">
        <f>Inputs!$B$3&gt;=122</f>
        <v/>
      </c>
      <c r="D2644">
        <f>IF(Skills!C7=1,60+Inputs!$B$26+Inputs!$B$30,IF(Skills!C7=2,90+Inputs!$B$27+Inputs!$B$30,IF(Skills!C7=3,120+Inputs!$B$28+Inputs!$B$30,MAX(0,(Inputs!$B$3-100)*3)+Inputs!$B$29+Inputs!$B$30)))</f>
        <v/>
      </c>
      <c r="E2644">
        <f>INDEX(FactorTable!$B$2:$Y$301, MATCH(ROUND(MIN(300,MAX(1,D2644)),0), FactorTable!$A$2:$A$301,0), Skills!L7+1)</f>
        <v/>
      </c>
      <c r="F2644">
        <f>IF(Skills!M7=TRUE,(Skills!K7/10)*(E2644/1000),Skills!K7/10)+Skills!N7</f>
        <v/>
      </c>
      <c r="G2644">
        <f>Calc!G7</f>
        <v/>
      </c>
      <c r="H2644">
        <f>Calc!H7</f>
        <v/>
      </c>
      <c r="I2644">
        <f>IF(Skills!T7&lt;&gt;"",1+(Skills!T7/10)*($Z$3/1000)/100,1)</f>
        <v/>
      </c>
      <c r="J2644">
        <f>((Inputs!$B$6*(1+Inputs!$B$7/100))+(((Inputs!$B$13*(1+Inputs!$B$14/100))-(Inputs!$B$13*(1+Inputs!$B$14/100)))+0.25*(Inputs!$B$15-Inputs!$B$15))*(1+Inputs!$B$7/100))*(F2644/100)</f>
        <v/>
      </c>
      <c r="K2644">
        <f>J2644*(1+(((Inputs!$B$13+IF(Inputs!$B$3&gt;=35,(10*INDEX(FactorTable!$B$2:$Y$301,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7="TRIUMPH_FEATHER",IF(C2653=TRUE,F2653,0),0)/100)*(1+IF(C2664=TRUE,F2664,0)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2644)</f>
        <v/>
      </c>
      <c r="L2644">
        <f>K2644*(MIN(Inputs!$B$23+(F2659-Calc!F22),(Inputs!$B$24+IF(ArtifactsInput!$M$15,CHOOSE(ArtifactsInput!$N$15+1,25,30,35,40,45,50)/100*(Inputs!$B$12-Inputs!$B$12),0)))/100+(Inputs!$B$24+IF(ArtifactsInput!$M$15,CHOOSE(ArtifactsInput!$N$15+1,25,30,35,40,45,50)/100*(Inputs!$B$12-Inputs!$B$12),0))/100)/2</f>
        <v/>
      </c>
      <c r="M2644">
        <f>L2644*(1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4">
        <f>L2644*(1-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(1-Summary!$B$11)*S2644+Summary!$B$11*U2644</f>
        <v/>
      </c>
      <c r="P2644">
        <f>IF(B2680=0,0,O2644/B2680)</f>
        <v/>
      </c>
      <c r="Q2644">
        <f>IFERROR(1/(IF(Inputs!$B$39="pvp",15,MAX(0.1,Skills!D7-IF(Skills!E6=TRUE,Inputs!$B$33,0)))*(1-IF(AND(ArtifactsInput!$M$27,Inputs!$B$4="Chapter Hunt"),CHOOSE(ArtifactsInput!$N$27+1,20,24,28,32,36,40),0)/100)),0)</f>
        <v/>
      </c>
      <c r="R2644">
        <f>IF(AND(Inputs!$B$39&lt;&gt;"pvp",Inputs!$B$44&gt;0),IF(MAX(0,Inputs!$B$44-B2677)&lt;=0,0,(INT(MAX(0,Inputs!$B$44-B2677)/(IF(Inputs!$B$39="pvp",15,MAX(0.1,Skills!D7-IF(Skills!E6=TRUE,Inputs!$B$33,0)))*(1-IF(AND(ArtifactsInput!$M$27,Inputs!$B$4="Chapter Hunt"),CHOOSE(ArtifactsInput!$N$27+1,20,24,28,32,36,40),0)/100)))+1)),0)</f>
        <v/>
      </c>
      <c r="S2644">
        <f>IF(C2644,H2644*N2644*IF(AND(Inputs!$B$39&lt;&gt;"pvp",Inputs!$B$44&gt;0),((Skills!F7*((R2644-1)*IF(Skills!G7&gt;0,Skills!H7/Skills!G7,1)+IF(Skills!G7&gt;0,MIN(Skills!H7,MAX(0,MAX(0,Inputs!$B$44-B2677)-((R2644-1)*(IF(Inputs!$B$39="pvp",15,MAX(0.1,Skills!D7-IF(Skills!E6=TRUE,Inputs!$B$33,0)))*(1-IF(AND(ArtifactsInput!$M$27,Inputs!$B$4="Chapter Hunt"),CHOOSE(ArtifactsInput!$N$27+1,20,24,28,32,36,40),0)/100)))))/Skills!G7,1)))/Inputs!$B$44),G2644*Q2644)*IF(Inputs!$B$39="pvp",1,1+(Inputs!$B$21+Skills!O7+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2644*(1-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4" t="n">
        <v>0</v>
      </c>
    </row>
    <row r="2645">
      <c r="A2645">
        <f>Skills!A8</f>
        <v/>
      </c>
      <c r="B2645">
        <f>Skills!B8</f>
        <v/>
      </c>
      <c r="C2645">
        <f>Inputs!$B$3&gt;=105</f>
        <v/>
      </c>
      <c r="D2645">
        <f>IF(Skills!C8=1,60+Inputs!$B$26+Inputs!$B$30,IF(Skills!C8=2,90+Inputs!$B$27+Inputs!$B$30,IF(Skills!C8=3,120+Inputs!$B$28+Inputs!$B$30,MAX(0,(Inputs!$B$3-100)*3)+Inputs!$B$29+Inputs!$B$30)))</f>
        <v/>
      </c>
      <c r="E2645">
        <f>INDEX(FactorTable!$B$2:$Y$301, MATCH(ROUND(MIN(300,MAX(1,D2645)),0), FactorTable!$A$2:$A$301,0), Skills!L8+1)</f>
        <v/>
      </c>
      <c r="F2645">
        <f>IF(Skills!M8=TRUE,(Skills!K8/10)*(E2645/1000),Skills!K8/10)+Skills!N8</f>
        <v/>
      </c>
      <c r="G2645">
        <f>Calc!G8</f>
        <v/>
      </c>
      <c r="H2645">
        <f>Calc!H8</f>
        <v/>
      </c>
      <c r="I2645">
        <f>IF(Skills!T8&lt;&gt;"",1+(Skills!T8/10)*($Z$3/1000)/100,1)</f>
        <v/>
      </c>
      <c r="J2645">
        <f>((Inputs!$B$6*(1+Inputs!$B$7/100))+(((Inputs!$B$13*(1+Inputs!$B$14/100))-(Inputs!$B$13*(1+Inputs!$B$14/100)))+0.25*(Inputs!$B$15-Inputs!$B$15))*(1+Inputs!$B$7/100))*(F2645/100)</f>
        <v/>
      </c>
      <c r="K2645">
        <f>J2645*(1+(((Inputs!$B$13+IF(Inputs!$B$3&gt;=35,(10*INDEX(FactorTable!$B$2:$Y$301,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8="TRIUMPH_FEATHER",IF(C2653=TRUE,F2653,0),0)/100)*(1+IF(C2664=TRUE,F2664,0)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2645)</f>
        <v/>
      </c>
      <c r="L2645">
        <f>K2645*(MIN(Inputs!$B$23+(F2659-Calc!F22),(Inputs!$B$24+IF(ArtifactsInput!$M$15,CHOOSE(ArtifactsInput!$N$15+1,25,30,35,40,45,50)/100*(Inputs!$B$12-Inputs!$B$12),0)))/100+(Inputs!$B$24+IF(ArtifactsInput!$M$15,CHOOSE(ArtifactsInput!$N$15+1,25,30,35,40,45,50)/100*(Inputs!$B$12-Inputs!$B$12),0))/100)/2</f>
        <v/>
      </c>
      <c r="M2645">
        <f>L2645*(1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5">
        <f>L2645*(1-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(1-Summary!$B$11)*S2645+Summary!$B$11*U2645</f>
        <v/>
      </c>
      <c r="P2645">
        <f>IF(B2680=0,0,O2645/B2680)</f>
        <v/>
      </c>
      <c r="Q2645">
        <f>IFERROR(1/(IF(Inputs!$B$39="pvp",15,MAX(0.1,Skills!D8-IF(Skills!E8=TRUE,Inputs!$B$33,0)))*(1-IF(AND(ArtifactsInput!$M$27,Inputs!$B$4="Chapter Hunt"),CHOOSE(ArtifactsInput!$N$27+1,20,24,28,32,36,40),0)/100)),0)</f>
        <v/>
      </c>
      <c r="R2645">
        <f>IF(AND(Inputs!$B$39&lt;&gt;"pvp",Inputs!$B$44&gt;0),IF(MAX(0,Inputs!$B$44-B2677)&lt;=0,0,(INT(MAX(0,Inputs!$B$44-B2677)/(IF(Inputs!$B$39="pvp",15,MAX(0.1,Skills!D8-IF(Skills!E8=TRUE,Inputs!$B$33,0)))*(1-IF(AND(ArtifactsInput!$M$27,Inputs!$B$4="Chapter Hunt"),CHOOSE(ArtifactsInput!$N$27+1,20,24,28,32,36,40),0)/100)))+1)),0)</f>
        <v/>
      </c>
      <c r="S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$21+Skills!O8+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2645*(1-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$22+Skills!P8+B2669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Skills!A9</f>
        <v/>
      </c>
      <c r="B2646">
        <f>Skills!B9</f>
        <v/>
      </c>
      <c r="C2646">
        <f>Inputs!$B$3&gt;=115</f>
        <v/>
      </c>
      <c r="D2646">
        <f>IF(Skills!C9=1,60+Inputs!$B$26+Inputs!$B$30,IF(Skills!C9=2,90+Inputs!$B$27+Inputs!$B$30,IF(Skills!C9=3,120+Inputs!$B$28+Inputs!$B$30,MAX(0,(Inputs!$B$3-100)*3)+Inputs!$B$29+Inputs!$B$30)))</f>
        <v/>
      </c>
      <c r="E2646">
        <f>INDEX(FactorTable!$B$2:$Y$301, MATCH(ROUND(MIN(300,MAX(1,D2646)),0), FactorTable!$A$2:$A$301,0), Skills!L9+1)</f>
        <v/>
      </c>
      <c r="F2646">
        <f>IF(Skills!M9=TRUE,(Skills!K9/10)*(E2646/1000),Skills!K9/10)+Skills!N9</f>
        <v/>
      </c>
      <c r="G2646">
        <f>Calc!G9</f>
        <v/>
      </c>
      <c r="H2646">
        <f>Calc!H9</f>
        <v/>
      </c>
      <c r="I2646">
        <f>IF(Skills!T9&lt;&gt;"",1+(Skills!T9/10)*($Z$3/1000)/100,1)</f>
        <v/>
      </c>
      <c r="J2646">
        <f>((Inputs!$B$6*(1+Inputs!$B$7/100))+(((Inputs!$B$13*(1+Inputs!$B$14/100))-(Inputs!$B$13*(1+Inputs!$B$14/100)))+0.25*(Inputs!$B$15-Inputs!$B$15))*(1+Inputs!$B$7/100))*(F2646/100)</f>
        <v/>
      </c>
      <c r="K2646">
        <f>J2646*(1+(((Inputs!$B$13+IF(Inputs!$B$3&gt;=35,(10*INDEX(FactorTable!$B$2:$Y$301,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9="TRIUMPH_FEATHER",IF(C2653=TRUE,F2653,0),0)/100)*(1+IF(C2664=TRUE,F2664,0)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2646)</f>
        <v/>
      </c>
      <c r="L2646">
        <f>K2646*(MIN(Inputs!$B$23+(F2659-Calc!F22),(Inputs!$B$24+IF(ArtifactsInput!$M$15,CHOOSE(ArtifactsInput!$N$15+1,25,30,35,40,45,50)/100*(Inputs!$B$12-Inputs!$B$12),0)))/100+(Inputs!$B$24+IF(ArtifactsInput!$M$15,CHOOSE(ArtifactsInput!$N$15+1,25,30,35,40,45,50)/100*(Inputs!$B$12-Inputs!$B$12),0))/100)/2</f>
        <v/>
      </c>
      <c r="M2646">
        <f>L2646*(1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6">
        <f>L2646*(1-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2646*(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6">
        <f>(1-Summary!$B$11)*S2646+Summary!$B$11*U2646</f>
        <v/>
      </c>
      <c r="P2646">
        <f>IF(B2680=0,0,O2646/B2680)</f>
        <v/>
      </c>
      <c r="Q2646">
        <f>IFERROR(1/(IF(Inputs!$B$39="pvp",15,MAX(0.1,Skills!D9-IF(Skills!E9=TRUE,Inputs!$B$33,0)))*(1-IF(AND(ArtifactsInput!$M$27,Inputs!$B$4="Chapter Hunt"),CHOOSE(ArtifactsInput!$N$27+1,20,24,28,32,36,40),0)/100)),0)</f>
        <v/>
      </c>
      <c r="R2646">
        <f>IF(AND(Inputs!$B$39&lt;&gt;"pvp",Inputs!$B$44&gt;0),IF(MAX(0,Inputs!$B$44-B2677)&lt;=0,0,(INT(MAX(0,Inputs!$B$44-B2677)/(IF(Inputs!$B$39="pvp",15,MAX(0.1,Skills!D9-IF(Skills!E9=TRUE,Inputs!$B$33,0)))*(1-IF(AND(ArtifactsInput!$M$27,Inputs!$B$4="Chapter Hunt"),CHOOSE(ArtifactsInput!$N$27+1,20,24,28,32,36,40),0)/100)))+1)),0)</f>
        <v/>
      </c>
      <c r="S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$21+Skills!O9+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2646*(1-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2646*(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2646*(1-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2646*(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$22+Skills!P9+B2669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7">
      <c r="A2647">
        <f>Skills!A10</f>
        <v/>
      </c>
      <c r="B2647">
        <f>Skills!B10</f>
        <v/>
      </c>
      <c r="C2647">
        <f>Inputs!$B$3&gt;=66</f>
        <v/>
      </c>
      <c r="D2647">
        <f>IF(Skills!C10=1,60+Inputs!$B$26+Inputs!$B$30,IF(Skills!C10=2,90+Inputs!$B$27+Inputs!$B$30,IF(Skills!C10=3,120+Inputs!$B$28+Inputs!$B$30,MAX(0,(Inputs!$B$3-100)*3)+Inputs!$B$29+Inputs!$B$30)))</f>
        <v/>
      </c>
      <c r="E2647">
        <f>INDEX(FactorTable!$B$2:$Y$301, MATCH(ROUND(MIN(300,MAX(1,D2647)),0), FactorTable!$A$2:$A$301,0), Skills!L10+1)</f>
        <v/>
      </c>
      <c r="F2647" t="n">
        <v>0</v>
      </c>
      <c r="G2647">
        <f>Calc!G10</f>
        <v/>
      </c>
      <c r="H2647">
        <f>Calc!H10</f>
        <v/>
      </c>
      <c r="I2647">
        <f>IF(Skills!T10&lt;&gt;"",1+(Skills!T10/10)*($Z$3/1000)/100,1)</f>
        <v/>
      </c>
      <c r="J2647" t="inlineStr"/>
      <c r="K2647" t="inlineStr"/>
      <c r="L2647" t="inlineStr"/>
      <c r="M2647" t="inlineStr"/>
      <c r="N2647" t="inlineStr"/>
      <c r="O2647">
        <f>(1-Summary!$B$11)*S2647+Summary!$B$11*U2647</f>
        <v/>
      </c>
      <c r="P2647">
        <f>IF(B2680=0,0,O2647/B2680)</f>
        <v/>
      </c>
      <c r="Q2647">
        <f>IFERROR(1/(IF(Inputs!$B$39="pvp",15,MAX(0.1,Skills!D10-IF(Skills!E10=TRUE,Inputs!$B$33,0)))*(1-IF(AND(ArtifactsInput!$M$27,Inputs!$B$4="Chapter Hunt"),CHOOSE(ArtifactsInput!$N$27+1,20,24,28,32,36,40),0)/100)),0)</f>
        <v/>
      </c>
      <c r="R2647">
        <f>IF(AND(Inputs!$B$39&lt;&gt;"pvp",Inputs!$B$44&gt;0),IF(MAX(0,Inputs!$B$44-B2677)&lt;=0,0,(INT(MAX(0,Inputs!$B$44-B2677)/(IF(Inputs!$B$39="pvp",15,MAX(0.1,Skills!D10-IF(Skills!E10=TRUE,Inputs!$B$33,0)))*(1-IF(AND(ArtifactsInput!$M$27,Inputs!$B$4="Chapter Hunt"),CHOOSE(ArtifactsInput!$N$27+1,20,24,28,32,36,40),0)/100)))+1)),0)</f>
        <v/>
      </c>
      <c r="S2647" t="n">
        <v>0</v>
      </c>
      <c r="U2647" t="n">
        <v>0</v>
      </c>
    </row>
    <row r="2648">
      <c r="A2648">
        <f>Skills!A11</f>
        <v/>
      </c>
      <c r="B2648">
        <f>Skills!B11</f>
        <v/>
      </c>
      <c r="C2648">
        <f>Inputs!$B$3&gt;=69</f>
        <v/>
      </c>
      <c r="D2648">
        <f>IF(Skills!C11=1,60+Inputs!$B$26+Inputs!$B$30,IF(Skills!C11=2,90+Inputs!$B$27+Inputs!$B$30,IF(Skills!C11=3,120+Inputs!$B$28+Inputs!$B$30,MAX(0,(Inputs!$B$3-100)*3)+Inputs!$B$29+Inputs!$B$30)))</f>
        <v/>
      </c>
      <c r="E2648">
        <f>INDEX(FactorTable!$B$2:$Y$301, MATCH(ROUND(MIN(300,MAX(1,D2648)),0), FactorTable!$A$2:$A$301,0), Skills!L11+1)</f>
        <v/>
      </c>
      <c r="F2648">
        <f>IF(Skills!M11=TRUE,(Skills!K11/10)*(E2648/1000),Skills!K11/10)+Skills!N11</f>
        <v/>
      </c>
      <c r="G2648">
        <f>Calc!G11</f>
        <v/>
      </c>
      <c r="H2648">
        <f>Calc!H11</f>
        <v/>
      </c>
      <c r="I2648">
        <f>IF(Skills!T11&lt;&gt;"",1+(Skills!T11/10)*($Z$3/1000)/100,1)</f>
        <v/>
      </c>
      <c r="J2648" t="inlineStr"/>
      <c r="K2648" t="inlineStr"/>
      <c r="L2648" t="inlineStr"/>
      <c r="M2648" t="inlineStr"/>
      <c r="N2648" t="inlineStr"/>
      <c r="O2648">
        <f>(1-Summary!$B$11)*S2648+Summary!$B$11*U2648</f>
        <v/>
      </c>
      <c r="P2648">
        <f>IF(B2680=0,0,O2648/B2680)</f>
        <v/>
      </c>
      <c r="Q2648">
        <f>IFERROR(1/(IF(Inputs!$B$39="pvp",15,MAX(0.1,Skills!D11-IF(Skills!E11=TRUE,Inputs!$B$33,0)))*(1-IF(AND(ArtifactsInput!$M$27,Inputs!$B$4="Chapter Hunt"),CHOOSE(ArtifactsInput!$N$27+1,20,24,28,32,36,40),0)/100)),0)</f>
        <v/>
      </c>
      <c r="R2648">
        <f>IF(AND(Inputs!$B$39&lt;&gt;"pvp",Inputs!$B$44&gt;0),IF(Inputs!$B$44&lt;=0,0,(INT(Inputs!$B$44/(IF(Inputs!$B$39="pvp",15,MAX(0.1,Skills!D11-IF(Skills!E11=TRUE,Inputs!$B$33,0)))*(1-IF(AND(ArtifactsInput!$M$27,Inputs!$B$4="Chapter Hunt"),CHOOSE(ArtifactsInput!$N$27+1,20,24,28,32,36,40),0)/100)))+1)),0)</f>
        <v/>
      </c>
      <c r="S2648" t="n">
        <v>0</v>
      </c>
      <c r="U2648" t="n">
        <v>0</v>
      </c>
    </row>
    <row r="2649">
      <c r="A2649">
        <f>Skills!A12</f>
        <v/>
      </c>
      <c r="B2649">
        <f>Skills!B12</f>
        <v/>
      </c>
      <c r="C2649">
        <f>Inputs!$B$3&gt;=72</f>
        <v/>
      </c>
      <c r="D2649">
        <f>IF(Skills!C12=1,60+Inputs!$B$26+Inputs!$B$30,IF(Skills!C12=2,90+Inputs!$B$27+Inputs!$B$30,IF(Skills!C12=3,120+Inputs!$B$28+Inputs!$B$30,MAX(0,(Inputs!$B$3-100)*3)+Inputs!$B$29+Inputs!$B$30)))</f>
        <v/>
      </c>
      <c r="E2649">
        <f>INDEX(FactorTable!$B$2:$Y$301, MATCH(ROUND(MIN(300,MAX(1,D2649)),0), FactorTable!$A$2:$A$301,0), Skills!L12+1)</f>
        <v/>
      </c>
      <c r="F2649">
        <f>IF(Skills!M12=TRUE,(Skills!K12/10)*(E2649/1000),Skills!K12/10)+Skills!N12</f>
        <v/>
      </c>
      <c r="G2649">
        <f>Calc!G12</f>
        <v/>
      </c>
      <c r="H2649">
        <f>Calc!H12</f>
        <v/>
      </c>
      <c r="I2649">
        <f>IF(Skills!T12&lt;&gt;"",1+(Skills!T12/10)*($Z$3/1000)/100,1)</f>
        <v/>
      </c>
      <c r="J2649" t="inlineStr"/>
      <c r="K2649" t="inlineStr"/>
      <c r="L2649" t="inlineStr"/>
      <c r="M2649" t="inlineStr"/>
      <c r="N2649" t="inlineStr"/>
      <c r="O2649">
        <f>(1-Summary!$B$11)*S2649+Summary!$B$11*U2649</f>
        <v/>
      </c>
      <c r="P2649">
        <f>IF(B2680=0,0,O2649/B2680)</f>
        <v/>
      </c>
      <c r="Q2649">
        <f>IFERROR(1/(IF(Inputs!$B$39="pvp",15,MAX(0.1,Skills!D12-IF(Skills!E12=TRUE,Inputs!$B$33,0)))*(1-IF(AND(ArtifactsInput!$M$27,Inputs!$B$4="Chapter Hunt"),CHOOSE(ArtifactsInput!$N$27+1,20,24,28,32,36,40),0)/100)),0)</f>
        <v/>
      </c>
      <c r="R2649">
        <f>IF(AND(Inputs!$B$39&lt;&gt;"pvp",Inputs!$B$44&gt;0),IF(MAX(0,Inputs!$B$44-B2677)&lt;=0,0,(INT(MAX(0,Inputs!$B$44-B2677)/(IF(Inputs!$B$39="pvp",15,MAX(0.1,Skills!D12-IF(Skills!E12=TRUE,Inputs!$B$33,0)))*(1-IF(AND(ArtifactsInput!$M$27,Inputs!$B$4="Chapter Hunt"),CHOOSE(ArtifactsInput!$N$27+1,20,24,28,32,36,40),0)/100)))+1)),0)</f>
        <v/>
      </c>
      <c r="S2649" t="n">
        <v>0</v>
      </c>
      <c r="U2649" t="n">
        <v>0</v>
      </c>
    </row>
    <row r="2650">
      <c r="A2650">
        <f>Skills!A13</f>
        <v/>
      </c>
      <c r="B2650">
        <f>Skills!B13</f>
        <v/>
      </c>
      <c r="C2650">
        <f>Inputs!$B$3&gt;=60</f>
        <v/>
      </c>
      <c r="D2650">
        <f>IF(Skills!C13=1,60+Inputs!$B$26+Inputs!$B$30,IF(Skills!C13=2,90+Inputs!$B$27+Inputs!$B$30,IF(Skills!C13=3,120+Inputs!$B$28+Inputs!$B$30,MAX(0,(Inputs!$B$3-100)*3)+Inputs!$B$29+Inputs!$B$30)))</f>
        <v/>
      </c>
      <c r="E2650">
        <f>INDEX(FactorTable!$B$2:$Y$301, MATCH(ROUND(MIN(300,MAX(1,D2650)),0), FactorTable!$A$2:$A$301,0), Skills!L13+1)</f>
        <v/>
      </c>
      <c r="F2650">
        <f>IF(Skills!M13=TRUE,(Skills!K13/10)*(E2650/1000),Skills!K13/10)+Skills!N13</f>
        <v/>
      </c>
      <c r="G2650">
        <f>Calc!G13</f>
        <v/>
      </c>
      <c r="H2650">
        <f>Calc!H13</f>
        <v/>
      </c>
      <c r="I2650">
        <f>IF(Skills!T13&lt;&gt;"",1+(Skills!T13/10)*($Z$3/1000)/100,1)</f>
        <v/>
      </c>
      <c r="J2650" t="inlineStr"/>
      <c r="K2650" t="inlineStr"/>
      <c r="L2650" t="inlineStr"/>
      <c r="M2650" t="inlineStr"/>
      <c r="N2650" t="inlineStr"/>
      <c r="O2650">
        <f>(1-Summary!$B$11)*S2650+Summary!$B$11*U2650</f>
        <v/>
      </c>
      <c r="P2650">
        <f>IF(B2680=0,0,O2650/B2680)</f>
        <v/>
      </c>
      <c r="Q2650">
        <f>IFERROR(1/(IF(Inputs!$B$39="pvp",15,MAX(0.1,Skills!D13-IF(Skills!E13=TRUE,Inputs!$B$33,0)))*(1-IF(AND(ArtifactsInput!$M$27,Inputs!$B$4="Chapter Hunt"),CHOOSE(ArtifactsInput!$N$27+1,20,24,28,32,36,40),0)/100)),0)</f>
        <v/>
      </c>
      <c r="R2650">
        <f>IF(AND(Inputs!$B$39&lt;&gt;"pvp",Inputs!$B$44&gt;0),IF(MAX(0,Inputs!$B$44-B2677)&lt;=0,0,(INT(MAX(0,Inputs!$B$44-B2677)/(IF(Inputs!$B$39="pvp",15,MAX(0.1,Skills!D13-IF(Skills!E13=TRUE,Inputs!$B$33,0)))*(1-IF(AND(ArtifactsInput!$M$27,Inputs!$B$4="Chapter Hunt"),CHOOSE(ArtifactsInput!$N$27+1,20,24,28,32,36,40),0)/100)))+1)),0)</f>
        <v/>
      </c>
      <c r="S2650" t="n">
        <v>0</v>
      </c>
      <c r="U2650" t="n">
        <v>0</v>
      </c>
    </row>
    <row r="2651">
      <c r="A2651">
        <f>Skills!A14</f>
        <v/>
      </c>
      <c r="B2651">
        <f>Skills!B14</f>
        <v/>
      </c>
      <c r="C2651">
        <f>Inputs!$B$3&gt;=107</f>
        <v/>
      </c>
      <c r="D2651">
        <f>IF(Skills!C14=1,60+Inputs!$B$26+Inputs!$B$30,IF(Skills!C14=2,90+Inputs!$B$27+Inputs!$B$30,IF(Skills!C14=3,120+Inputs!$B$28+Inputs!$B$30,MAX(0,(Inputs!$B$3-100)*3)+Inputs!$B$29+Inputs!$B$30)))</f>
        <v/>
      </c>
      <c r="E2651">
        <f>INDEX(FactorTable!$B$2:$Y$301, MATCH(ROUND(MIN(300,MAX(1,D2651)),0), FactorTable!$A$2:$A$301,0), Skills!L14+1)</f>
        <v/>
      </c>
      <c r="F2651">
        <f>IF(Skills!M14=TRUE,(Skills!K14/10)*(E2651/1000),Skills!K14/10)+Skills!N14</f>
        <v/>
      </c>
      <c r="G2651">
        <f>Calc!G14</f>
        <v/>
      </c>
      <c r="H2651">
        <f>Calc!H14</f>
        <v/>
      </c>
      <c r="I2651">
        <f>IF(Skills!T14&lt;&gt;"",1+(Skills!T14/10)*($Z$3/1000)/100,1)</f>
        <v/>
      </c>
      <c r="J2651" t="inlineStr"/>
      <c r="K2651" t="inlineStr"/>
      <c r="L2651" t="inlineStr"/>
      <c r="M2651" t="inlineStr"/>
      <c r="N2651" t="inlineStr"/>
      <c r="O2651">
        <f>(1-Summary!$B$11)*S2651+Summary!$B$11*U2651</f>
        <v/>
      </c>
      <c r="P2651">
        <f>IF(B2680=0,0,O2651/B2680)</f>
        <v/>
      </c>
      <c r="Q2651">
        <f>IFERROR(1/(IF(Inputs!$B$39="pvp",15,MAX(0.1,Skills!D14-IF(Skills!E14=TRUE,Inputs!$B$33,0)))*(1-IF(AND(ArtifactsInput!$M$27,Inputs!$B$4="Chapter Hunt"),CHOOSE(ArtifactsInput!$N$27+1,20,24,28,32,36,40),0)/100)),0)</f>
        <v/>
      </c>
      <c r="R2651">
        <f>IF(AND(Inputs!$B$39&lt;&gt;"pvp",Inputs!$B$44&gt;0),IF(Inputs!$B$44&lt;=0,0,(INT(Inputs!$B$44/(IF(Inputs!$B$39="pvp",15,MAX(0.1,Skills!D14-IF(Skills!E14=TRUE,Inputs!$B$33,0)))*(1-IF(AND(ArtifactsInput!$M$27,Inputs!$B$4="Chapter Hunt"),CHOOSE(ArtifactsInput!$N$27+1,20,24,28,32,36,40),0)/100)))+1)),0)</f>
        <v/>
      </c>
      <c r="S2651" t="n">
        <v>0</v>
      </c>
      <c r="U2651" t="n">
        <v>0</v>
      </c>
    </row>
    <row r="2652">
      <c r="A2652">
        <f>Skills!A15</f>
        <v/>
      </c>
      <c r="B2652">
        <f>Skills!B15</f>
        <v/>
      </c>
      <c r="C2652">
        <f>Inputs!$B$3&gt;=63</f>
        <v/>
      </c>
      <c r="D2652">
        <f>IF(Skills!C15=1,60+Inputs!$B$26+Inputs!$B$30,IF(Skills!C15=2,90+Inputs!$B$27+Inputs!$B$30,IF(Skills!C15=3,120+Inputs!$B$28+Inputs!$B$30,MAX(0,(Inputs!$B$3-100)*3)+Inputs!$B$29+Inputs!$B$30)))</f>
        <v/>
      </c>
      <c r="E2652">
        <f>INDEX(FactorTable!$B$2:$Y$301, MATCH(ROUND(MIN(300,MAX(1,D2652)),0), FactorTable!$A$2:$A$301,0), Skills!L15+1)</f>
        <v/>
      </c>
      <c r="F2652">
        <f>IF(Skills!M15=TRUE,(Skills!K15/10)*(E2652/1000),Skills!K15/10)+Skills!N15</f>
        <v/>
      </c>
      <c r="G2652">
        <f>Calc!G15</f>
        <v/>
      </c>
      <c r="H2652">
        <f>Calc!H15</f>
        <v/>
      </c>
      <c r="I2652">
        <f>IF(Skills!T15&lt;&gt;"",1+(Skills!T15/10)*($Z$3/1000)/100,1)</f>
        <v/>
      </c>
      <c r="J2652">
        <f>((Inputs!$B$6*(1+Inputs!$B$7/100))+(((Inputs!$B$13*(1+Inputs!$B$14/100))-(Inputs!$B$13*(1+Inputs!$B$14/100)))+0.25*(Inputs!$B$15-Inputs!$B$15))*(1+Inputs!$B$7/100))*(F2652/100)</f>
        <v/>
      </c>
      <c r="K2652">
        <f>J2652*(1+(((Inputs!$B$13+IF(Inputs!$B$3&gt;=35,(10*INDEX(FactorTable!$B$2:$Y$301,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15="TRIUMPH_FEATHER",IF(C2653=TRUE,F2653,0),0)/100)*(1+IF(C2664=TRUE,F2664,0)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2652)</f>
        <v/>
      </c>
      <c r="L2652">
        <f>K2652*(MIN(Inputs!$B$23+(F2659-Calc!F22),(Inputs!$B$24+IF(ArtifactsInput!$M$15,CHOOSE(ArtifactsInput!$N$15+1,25,30,35,40,45,50)/100*(Inputs!$B$12-Inputs!$B$12),0)))/100+(Inputs!$B$24+IF(ArtifactsInput!$M$15,CHOOSE(ArtifactsInput!$N$15+1,25,30,35,40,45,50)/100*(Inputs!$B$12-Inputs!$B$12),0))/100)/2</f>
        <v/>
      </c>
      <c r="M2652">
        <f>L2652*(1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52">
        <f>L2652*(1-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2652*(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52">
        <f>(1-Summary!$B$11)*S2652+Summary!$B$11*U2652</f>
        <v/>
      </c>
      <c r="P2652">
        <f>IF(B2680=0,0,O2652/B2680)</f>
        <v/>
      </c>
      <c r="Q2652">
        <f>IFERROR(1/(IF(Inputs!$B$39="pvp",15,MAX(0.1,Skills!D15-IF(Skills!E15=TRUE,Inputs!$B$33,0)))*(1-IF(AND(ArtifactsInput!$M$27,Inputs!$B$4="Chapter Hunt"),CHOOSE(ArtifactsInput!$N$27+1,20,24,28,32,36,40),0)/100)),0)</f>
        <v/>
      </c>
      <c r="R2652" t="n">
        <v>0</v>
      </c>
      <c r="S2652">
        <f>IF(C2652,(Skills!F15*N2652*((IF(Inputs!$B$3&gt;=78,25,15)/100*B2673*10)/(1+IF(Inputs!$B$3&gt;=78,25,15)/100*B2673*10))*(Skills!I15/100*B2673)/(1+Skills!G15*Skills!I15/100*B2673))*IF(Inputs!$B$39="pvp",1,1+(Inputs!$B$21+Skills!O15+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2652*(1-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2652*(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2652*(1-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2652*(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52">
        <f>IF(C2652,(Skills!F15*N2652*((IF(Inputs!$B$3&gt;=78,25,15)/100*B2673*10)/(1+IF(Inputs!$B$3&gt;=78,25,15)/100*B2673*10))*(Skills!I15/100*B2673)/(1+Skills!G15*Skills!I15/100*B2673))*IF(Inputs!$B$39="pvp",1,(1+(Inputs!$B$22+Skills!P15+B2669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53">
      <c r="A2653">
        <f>Skills!A16</f>
        <v/>
      </c>
      <c r="B2653">
        <f>Skills!B16</f>
        <v/>
      </c>
      <c r="C2653">
        <f>Inputs!$B$3&gt;=100</f>
        <v/>
      </c>
      <c r="D2653">
        <f>IF(Skills!C16=1,60+Inputs!$B$26+Inputs!$B$30,IF(Skills!C16=2,90+Inputs!$B$27+Inputs!$B$30,IF(Skills!C16=3,120+Inputs!$B$28+Inputs!$B$30,MAX(0,(Inputs!$B$3-100)*3)+Inputs!$B$29+Inputs!$B$30)))</f>
        <v/>
      </c>
      <c r="E2653">
        <f>INDEX(FactorTable!$B$2:$Y$301, MATCH(ROUND(MIN(300,MAX(1,D2653)),0), FactorTable!$A$2:$A$301,0), Skills!L16+1)</f>
        <v/>
      </c>
      <c r="F2653">
        <f>IF(Skills!M16=TRUE,(Skills!K16/10)*(E2653/1000),Skills!K16/10)+Skills!N16</f>
        <v/>
      </c>
      <c r="G2653">
        <f>Calc!G16</f>
        <v/>
      </c>
      <c r="H2653">
        <f>Calc!H16</f>
        <v/>
      </c>
      <c r="I2653">
        <f>IF(Skills!T16&lt;&gt;"",1+(Skills!T16/10)*($Z$3/1000)/100,1)</f>
        <v/>
      </c>
      <c r="J2653" t="inlineStr"/>
      <c r="K2653" t="inlineStr"/>
      <c r="L2653" t="inlineStr"/>
      <c r="M2653" t="inlineStr"/>
      <c r="N2653" t="inlineStr"/>
      <c r="O2653">
        <f>(1-Summary!$B$11)*S2653+Summary!$B$11*U2653</f>
        <v/>
      </c>
      <c r="P2653">
        <f>IF(B2680=0,0,O2653/B2680)</f>
        <v/>
      </c>
      <c r="Q2653">
        <f>IFERROR(1/(IF(Inputs!$B$39="pvp",15,MAX(0.1,Skills!D16-IF(Skills!E16=TRUE,Inputs!$B$33,0)))*(1-IF(AND(ArtifactsInput!$M$27,Inputs!$B$4="Chapter Hunt"),CHOOSE(ArtifactsInput!$N$27+1,20,24,28,32,36,40),0)/100)),0)</f>
        <v/>
      </c>
      <c r="R2653" t="n">
        <v>0</v>
      </c>
      <c r="S2653" t="n">
        <v>0</v>
      </c>
      <c r="U2653" t="n">
        <v>0</v>
      </c>
    </row>
    <row r="2654">
      <c r="A2654">
        <f>Skills!A17</f>
        <v/>
      </c>
      <c r="B2654">
        <f>Skills!B17</f>
        <v/>
      </c>
      <c r="C2654">
        <f>Inputs!$B$3&gt;=49</f>
        <v/>
      </c>
      <c r="D2654">
        <f>IF(Skills!C17=1,60+Inputs!$B$26+Inputs!$B$30,IF(Skills!C17=2,90+Inputs!$B$27+Inputs!$B$30,IF(Skills!C17=3,120+Inputs!$B$28+Inputs!$B$30,MAX(0,(Inputs!$B$3-100)*3)+Inputs!$B$29+Inputs!$B$30)))</f>
        <v/>
      </c>
      <c r="E2654">
        <f>INDEX(FactorTable!$B$2:$Y$301, MATCH(ROUND(MIN(300,MAX(1,D2654)),0), FactorTable!$A$2:$A$301,0), Skills!L17+1)</f>
        <v/>
      </c>
      <c r="F2654">
        <f>IF(Skills!M17=TRUE,(Skills!K17/10)*(E2654/1000),Skills!K17/10)+Skills!N17</f>
        <v/>
      </c>
      <c r="G2654">
        <f>Calc!G17</f>
        <v/>
      </c>
      <c r="H2654">
        <f>Calc!H17</f>
        <v/>
      </c>
      <c r="I2654">
        <f>IF(Skills!T17&lt;&gt;"",1+(Skills!T17/10)*($Z$3/1000)/100,1)</f>
        <v/>
      </c>
      <c r="J2654" t="inlineStr"/>
      <c r="K2654" t="inlineStr"/>
      <c r="L2654" t="inlineStr"/>
      <c r="M2654" t="inlineStr"/>
      <c r="N2654" t="inlineStr"/>
      <c r="O2654">
        <f>(1-Summary!$B$11)*S2654+Summary!$B$11*U2654</f>
        <v/>
      </c>
      <c r="P2654">
        <f>IF(B2680=0,0,O2654/B2680)</f>
        <v/>
      </c>
      <c r="Q2654">
        <f>IFERROR(1/(IF(Inputs!$B$39="pvp",15,MAX(0.1,Skills!D17-IF(Skills!E17=TRUE,Inputs!$B$33,0)))*(1-IF(AND(ArtifactsInput!$M$27,Inputs!$B$4="Chapter Hunt"),CHOOSE(ArtifactsInput!$N$27+1,20,24,28,32,36,40),0)/100)),0)</f>
        <v/>
      </c>
      <c r="R2654" t="n">
        <v>0</v>
      </c>
      <c r="S2654" t="n">
        <v>0</v>
      </c>
      <c r="U2654" t="n">
        <v>0</v>
      </c>
    </row>
    <row r="2655">
      <c r="A2655">
        <f>Skills!A18</f>
        <v/>
      </c>
      <c r="B2655">
        <f>Skills!B18</f>
        <v/>
      </c>
      <c r="C2655">
        <f>Inputs!$B$3&gt;=75</f>
        <v/>
      </c>
      <c r="D2655">
        <f>IF(Skills!C18=1,60+Inputs!$B$26+Inputs!$B$30,IF(Skills!C18=2,90+Inputs!$B$27+Inputs!$B$30,IF(Skills!C18=3,120+Inputs!$B$28+Inputs!$B$30,MAX(0,(Inputs!$B$3-100)*3)+Inputs!$B$29+Inputs!$B$30)))</f>
        <v/>
      </c>
      <c r="E2655">
        <f>INDEX(FactorTable!$B$2:$Y$301, MATCH(ROUND(MIN(300,MAX(1,D2655)),0), FactorTable!$A$2:$A$301,0), Skills!L18+1)</f>
        <v/>
      </c>
      <c r="F2655">
        <f>IF(Skills!M18=TRUE,(Skills!K18/10)*(E2655/1000),Skills!K18/10)+Skills!N18</f>
        <v/>
      </c>
      <c r="G2655">
        <f>Calc!G18</f>
        <v/>
      </c>
      <c r="H2655">
        <f>Calc!H18</f>
        <v/>
      </c>
      <c r="I2655">
        <f>IF(Skills!T18&lt;&gt;"",1+(Skills!T18/10)*($Z$3/1000)/100,1)</f>
        <v/>
      </c>
      <c r="J2655" t="inlineStr"/>
      <c r="K2655" t="inlineStr"/>
      <c r="L2655" t="inlineStr"/>
      <c r="M2655" t="inlineStr"/>
      <c r="N2655" t="inlineStr"/>
      <c r="O2655">
        <f>(1-Summary!$B$11)*S2655+Summary!$B$11*U2655</f>
        <v/>
      </c>
      <c r="P2655">
        <f>IF(B2680=0,0,O2655/B2680)</f>
        <v/>
      </c>
      <c r="Q2655">
        <f>IFERROR(1/(IF(Inputs!$B$39="pvp",15,MAX(0.1,Skills!D18-IF(Skills!E18=TRUE,Inputs!$B$33,0)))*(1-IF(AND(ArtifactsInput!$M$27,Inputs!$B$4="Chapter Hunt"),CHOOSE(ArtifactsInput!$N$27+1,20,24,28,32,36,40),0)/100)),0)</f>
        <v/>
      </c>
      <c r="R2655" t="n">
        <v>0</v>
      </c>
      <c r="S2655" t="n">
        <v>0</v>
      </c>
      <c r="U2655" t="n">
        <v>0</v>
      </c>
    </row>
    <row r="2656">
      <c r="A2656">
        <f>Skills!A19</f>
        <v/>
      </c>
      <c r="B2656">
        <f>Skills!B19</f>
        <v/>
      </c>
      <c r="C2656">
        <f>Inputs!$B$3&gt;=110</f>
        <v/>
      </c>
      <c r="D2656">
        <f>IF(Skills!C19=1,60+Inputs!$B$26+Inputs!$B$30,IF(Skills!C19=2,90+Inputs!$B$27+Inputs!$B$30,IF(Skills!C19=3,120+Inputs!$B$28+Inputs!$B$30,MAX(0,(Inputs!$B$3-100)*3)+Inputs!$B$29+Inputs!$B$30)))</f>
        <v/>
      </c>
      <c r="E2656">
        <f>INDEX(FactorTable!$B$2:$Y$301, MATCH(ROUND(MIN(300,MAX(1,D2656)),0), FactorTable!$A$2:$A$301,0), Skills!L19+1)</f>
        <v/>
      </c>
      <c r="F2656">
        <f>(Skills!K19/10)*(E2656/1000)*64/45+Skills!N19</f>
        <v/>
      </c>
      <c r="G2656">
        <f>Calc!G19</f>
        <v/>
      </c>
      <c r="H2656">
        <f>Calc!H19</f>
        <v/>
      </c>
      <c r="I2656">
        <f>IF(Skills!T19&lt;&gt;"",1+(Skills!T19/10)*($Z$3/1000)/100,1)</f>
        <v/>
      </c>
      <c r="J2656" t="inlineStr"/>
      <c r="K2656" t="inlineStr"/>
      <c r="L2656" t="inlineStr"/>
      <c r="M2656" t="inlineStr"/>
      <c r="N2656" t="inlineStr"/>
      <c r="O2656">
        <f>(1-Summary!$B$11)*S2656+Summary!$B$11*U2656</f>
        <v/>
      </c>
      <c r="P2656">
        <f>IF(B2680=0,0,O2656/B2680)</f>
        <v/>
      </c>
      <c r="Q2656">
        <f>IFERROR(1/(IF(Inputs!$B$39="pvp",15,MAX(0.1,Skills!D19-IF(Skills!E19=TRUE,Inputs!$B$33,0)))*(1-IF(AND(ArtifactsInput!$M$27,Inputs!$B$4="Chapter Hunt"),CHOOSE(ArtifactsInput!$N$27+1,20,24,28,32,36,40),0)/100)),0)</f>
        <v/>
      </c>
      <c r="R2656">
        <f>IF(AND(Inputs!$B$39&lt;&gt;"pvp",Inputs!$B$44&gt;0),IF(Inputs!$B$44&lt;=0,0,(INT(Inputs!$B$44/(IF(Inputs!$B$39="pvp",15,MAX(0.1,Skills!D19-IF(Skills!E19=TRUE,Inputs!$B$33,0)))*(1-IF(AND(ArtifactsInput!$M$27,Inputs!$B$4="Chapter Hunt"),CHOOSE(ArtifactsInput!$N$27+1,20,24,28,32,36,40),0)/100)))+1)),0)</f>
        <v/>
      </c>
      <c r="S2656" t="n">
        <v>0</v>
      </c>
      <c r="U2656" t="n">
        <v>0</v>
      </c>
    </row>
    <row r="2657">
      <c r="A2657">
        <f>Skills!A20</f>
        <v/>
      </c>
      <c r="B2657">
        <f>Skills!B20</f>
        <v/>
      </c>
      <c r="C2657">
        <f>Inputs!$B$3&gt;=125</f>
        <v/>
      </c>
      <c r="D2657">
        <f>IF(Skills!C20=1,60+Inputs!$B$26+Inputs!$B$30,IF(Skills!C20=2,90+Inputs!$B$27+Inputs!$B$30,IF(Skills!C20=3,120+Inputs!$B$28+Inputs!$B$30,MAX(0,(Inputs!$B$3-100)*3)+Inputs!$B$29+Inputs!$B$30)))</f>
        <v/>
      </c>
      <c r="E2657">
        <f>INDEX(FactorTable!$B$2:$Y$301, MATCH(ROUND(MIN(300,MAX(1,D2657)),0), FactorTable!$A$2:$A$301,0), Skills!L20+1)</f>
        <v/>
      </c>
      <c r="F2657">
        <f>IF(Skills!M20=TRUE,(Skills!K20/10)*(E2657/1000),Skills!K20/10)+Skills!N20</f>
        <v/>
      </c>
      <c r="G2657">
        <f>Calc!G20</f>
        <v/>
      </c>
      <c r="H2657">
        <f>Calc!H20</f>
        <v/>
      </c>
      <c r="I2657">
        <f>IF(Skills!T20&lt;&gt;"",1+(Skills!T20/10)*($Z$3/1000)/100,1)</f>
        <v/>
      </c>
      <c r="J2657" t="inlineStr"/>
      <c r="K2657" t="inlineStr"/>
      <c r="L2657" t="inlineStr"/>
      <c r="M2657" t="inlineStr"/>
      <c r="N2657" t="inlineStr"/>
      <c r="O2657">
        <f>(1-Summary!$B$11)*S2657+Summary!$B$11*U2657</f>
        <v/>
      </c>
      <c r="P2657">
        <f>IF(B2680=0,0,O2657/B2680)</f>
        <v/>
      </c>
      <c r="Q2657">
        <f>IFERROR(1/(IF(Inputs!$B$39="pvp",15,MAX(0.1,Skills!D20-IF(Skills!E20=TRUE,Inputs!$B$33,0)))*(1-IF(AND(ArtifactsInput!$M$27,Inputs!$B$4="Chapter Hunt"),CHOOSE(ArtifactsInput!$N$27+1,20,24,28,32,36,40),0)/100)),0)</f>
        <v/>
      </c>
      <c r="R2657" t="n">
        <v>0</v>
      </c>
      <c r="S2657" t="n">
        <v>0</v>
      </c>
      <c r="U2657" t="n">
        <v>0</v>
      </c>
    </row>
    <row r="2658">
      <c r="A2658">
        <f>Skills!A21</f>
        <v/>
      </c>
      <c r="B2658">
        <f>Skills!B21</f>
        <v/>
      </c>
      <c r="C2658">
        <f>Inputs!$B$3&gt;=33</f>
        <v/>
      </c>
      <c r="D2658">
        <f>IF(Skills!C21=1,60+Inputs!$B$26+Inputs!$B$30,IF(Skills!C21=2,90+Inputs!$B$27+Inputs!$B$30,IF(Skills!C21=3,120+Inputs!$B$28+Inputs!$B$30,MAX(0,(Inputs!$B$3-100)*3)+Inputs!$B$29+Inputs!$B$30)))</f>
        <v/>
      </c>
      <c r="E2658">
        <f>INDEX(FactorTable!$B$2:$Y$301, MATCH(ROUND(MIN(300,MAX(1,D2658)),0), FactorTable!$A$2:$A$301,0), Skills!L21+1)</f>
        <v/>
      </c>
      <c r="F2658">
        <f>IF(Skills!M21=TRUE,(Skills!K21/10)*(E2658/1000),Skills!K21/10)+Skills!N21</f>
        <v/>
      </c>
      <c r="G2658">
        <f>Calc!G21</f>
        <v/>
      </c>
      <c r="H2658">
        <f>Calc!H21</f>
        <v/>
      </c>
      <c r="I2658">
        <f>IF(Skills!T21&lt;&gt;"",1+(Skills!T21/10)*($Z$3/1000)/100,1)</f>
        <v/>
      </c>
      <c r="J2658" t="inlineStr"/>
      <c r="K2658" t="inlineStr"/>
      <c r="L2658" t="inlineStr"/>
      <c r="M2658" t="inlineStr"/>
      <c r="N2658" t="inlineStr"/>
      <c r="O2658">
        <f>(1-Summary!$B$11)*S2658+Summary!$B$11*U2658</f>
        <v/>
      </c>
      <c r="P2658">
        <f>IF(B2680=0,0,O2658/B2680)</f>
        <v/>
      </c>
      <c r="Q2658">
        <f>IFERROR(1/(IF(Inputs!$B$39="pvp",15,MAX(0.1,Skills!D21-IF(Skills!E21=TRUE,Inputs!$B$33,0)))*(1-IF(AND(ArtifactsInput!$M$27,Inputs!$B$4="Chapter Hunt"),CHOOSE(ArtifactsInput!$N$27+1,20,24,28,32,36,40),0)/100)),0)</f>
        <v/>
      </c>
      <c r="R2658" t="n">
        <v>0</v>
      </c>
      <c r="S2658" t="n">
        <v>0</v>
      </c>
      <c r="U2658" t="n">
        <v>0</v>
      </c>
    </row>
    <row r="2659">
      <c r="A2659">
        <f>Skills!A22</f>
        <v/>
      </c>
      <c r="B2659">
        <f>Skills!B22</f>
        <v/>
      </c>
      <c r="C2659">
        <f>Inputs!$B$3&gt;=43</f>
        <v/>
      </c>
      <c r="D2659">
        <f>IF(Skills!C22=1,60+Inputs!$B$26+Inputs!$B$30,IF(Skills!C22=2,90+Inputs!$B$27+Inputs!$B$30,IF(Skills!C22=3,120+Inputs!$B$28+Inputs!$B$30,MAX(0,(Inputs!$B$3-100)*3)+Inputs!$B$29+Inputs!$B$30)))</f>
        <v/>
      </c>
      <c r="E2659">
        <f>INDEX(FactorTable!$B$2:$Y$301, MATCH(ROUND(MIN(300,MAX(1,D2659)),0), FactorTable!$A$2:$A$301,0), Skills!L22+1)</f>
        <v/>
      </c>
      <c r="F2659">
        <f>IF(Skills!M22=TRUE,(Skills!K22/10)*(E2659/1000),Skills!K22/10)+Skills!N22</f>
        <v/>
      </c>
      <c r="G2659">
        <f>Calc!G22</f>
        <v/>
      </c>
      <c r="H2659">
        <f>Calc!H22</f>
        <v/>
      </c>
      <c r="I2659">
        <f>IF(Skills!T22&lt;&gt;"",1+(Skills!T22/10)*($Z$3/1000)/100,1)</f>
        <v/>
      </c>
      <c r="J2659" t="inlineStr"/>
      <c r="K2659" t="inlineStr"/>
      <c r="L2659" t="inlineStr"/>
      <c r="M2659" t="inlineStr"/>
      <c r="N2659" t="inlineStr"/>
      <c r="O2659">
        <f>(1-Summary!$B$11)*S2659+Summary!$B$11*U2659</f>
        <v/>
      </c>
      <c r="P2659">
        <f>IF(B2680=0,0,O2659/B2680)</f>
        <v/>
      </c>
      <c r="Q2659">
        <f>IFERROR(1/(IF(Inputs!$B$39="pvp",15,MAX(0.1,Skills!D22-IF(Skills!E22=TRUE,Inputs!$B$33,0)))*(1-IF(AND(ArtifactsInput!$M$27,Inputs!$B$4="Chapter Hunt"),CHOOSE(ArtifactsInput!$N$27+1,20,24,28,32,36,40),0)/100)),0)</f>
        <v/>
      </c>
      <c r="R2659" t="n">
        <v>0</v>
      </c>
      <c r="S2659" t="n">
        <v>0</v>
      </c>
      <c r="U2659" t="n">
        <v>0</v>
      </c>
    </row>
    <row r="2660">
      <c r="A2660">
        <f>Skills!A23</f>
        <v/>
      </c>
      <c r="B2660">
        <f>Skills!B23</f>
        <v/>
      </c>
      <c r="C2660">
        <f>Inputs!$B$3&gt;=50</f>
        <v/>
      </c>
      <c r="D2660">
        <f>IF(Skills!C23=1,60+Inputs!$B$26+Inputs!$B$30,IF(Skills!C23=2,90+Inputs!$B$27+Inputs!$B$30,IF(Skills!C23=3,120+Inputs!$B$28+Inputs!$B$30,MAX(0,(Inputs!$B$3-100)*3)+Inputs!$B$29+Inputs!$B$30)))</f>
        <v/>
      </c>
      <c r="E2660">
        <f>INDEX(FactorTable!$B$2:$Y$301, MATCH(ROUND(MIN(300,MAX(1,D2660)),0), FactorTable!$A$2:$A$301,0), Skills!L23+1)</f>
        <v/>
      </c>
      <c r="F2660">
        <f>IF(Skills!M23=TRUE,(Skills!K23/10)*(E2660/1000),Skills!K23/10)+Skills!N23</f>
        <v/>
      </c>
      <c r="G2660">
        <f>Calc!G23</f>
        <v/>
      </c>
      <c r="H2660">
        <f>Calc!H23</f>
        <v/>
      </c>
      <c r="I2660">
        <f>IF(Skills!T23&lt;&gt;"",1+(Skills!T23/10)*($Z$3/1000)/100,1)</f>
        <v/>
      </c>
      <c r="J2660" t="inlineStr"/>
      <c r="K2660" t="inlineStr"/>
      <c r="L2660" t="inlineStr"/>
      <c r="M2660" t="inlineStr"/>
      <c r="N2660" t="inlineStr"/>
      <c r="O2660">
        <f>(1-Summary!$B$11)*S2660+Summary!$B$11*U2660</f>
        <v/>
      </c>
      <c r="P2660">
        <f>IF(B2680=0,0,O2660/B2680)</f>
        <v/>
      </c>
      <c r="Q2660">
        <f>IFERROR(1/(IF(Inputs!$B$39="pvp",15,MAX(0.1,Skills!D23-IF(Skills!E23=TRUE,Inputs!$B$33,0)))*(1-IF(AND(ArtifactsInput!$M$27,Inputs!$B$4="Chapter Hunt"),CHOOSE(ArtifactsInput!$N$27+1,20,24,28,32,36,40),0)/100)),0)</f>
        <v/>
      </c>
      <c r="R2660" t="n">
        <v>0</v>
      </c>
      <c r="S2660" t="n">
        <v>0</v>
      </c>
      <c r="U2660" t="n">
        <v>0</v>
      </c>
    </row>
    <row r="2661">
      <c r="A2661">
        <f>Skills!A24</f>
        <v/>
      </c>
      <c r="B2661">
        <f>Skills!B24</f>
        <v/>
      </c>
      <c r="C2661">
        <f>Inputs!$B$3&gt;=74</f>
        <v/>
      </c>
      <c r="D2661">
        <f>IF(Skills!C24=1,60+Inputs!$B$26+Inputs!$B$30,IF(Skills!C24=2,90+Inputs!$B$27+Inputs!$B$30,IF(Skills!C24=3,120+Inputs!$B$28+Inputs!$B$30,MAX(0,(Inputs!$B$3-100)*3)+Inputs!$B$29+Inputs!$B$30)))</f>
        <v/>
      </c>
      <c r="E2661">
        <f>INDEX(FactorTable!$B$2:$Y$301, MATCH(ROUND(MIN(300,MAX(1,D2661)),0), FactorTable!$A$2:$A$301,0), Skills!L24+1)</f>
        <v/>
      </c>
      <c r="F2661">
        <f>IF(Skills!M24=TRUE,(Skills!K24/10)*(E2661/1000),Skills!K24/10)+Skills!N24</f>
        <v/>
      </c>
      <c r="G2661">
        <f>Calc!G24</f>
        <v/>
      </c>
      <c r="H2661">
        <f>Calc!H24</f>
        <v/>
      </c>
      <c r="I2661">
        <f>IF(Skills!T24&lt;&gt;"",1+(Skills!T24/10)*($Z$3/1000)/100,1)</f>
        <v/>
      </c>
      <c r="J2661" t="inlineStr"/>
      <c r="K2661" t="inlineStr"/>
      <c r="L2661" t="inlineStr"/>
      <c r="M2661" t="inlineStr"/>
      <c r="N2661" t="inlineStr"/>
      <c r="O2661">
        <f>(1-Summary!$B$11)*S2661+Summary!$B$11*U2661</f>
        <v/>
      </c>
      <c r="P2661">
        <f>IF(B2680=0,0,O2661/B2680)</f>
        <v/>
      </c>
      <c r="Q2661">
        <f>IFERROR(1/(IF(Inputs!$B$39="pvp",15,MAX(0.1,Skills!D24-IF(Skills!E24=TRUE,Inputs!$B$33,0)))*(1-IF(AND(ArtifactsInput!$M$27,Inputs!$B$4="Chapter Hunt"),CHOOSE(ArtifactsInput!$N$27+1,20,24,28,32,36,40),0)/100)),0)</f>
        <v/>
      </c>
      <c r="R2661" t="n">
        <v>0</v>
      </c>
      <c r="S2661" t="n">
        <v>0</v>
      </c>
      <c r="U2661" t="n">
        <v>0</v>
      </c>
    </row>
    <row r="2662">
      <c r="A2662">
        <f>Skills!A25</f>
        <v/>
      </c>
      <c r="B2662">
        <f>Skills!B25</f>
        <v/>
      </c>
      <c r="C2662">
        <f>Inputs!$B$3&gt;=74</f>
        <v/>
      </c>
      <c r="D2662">
        <f>IF(Skills!C25=1,60+Inputs!$B$26+Inputs!$B$30,IF(Skills!C25=2,90+Inputs!$B$27+Inputs!$B$30,IF(Skills!C25=3,120+Inputs!$B$28+Inputs!$B$30,MAX(0,(Inputs!$B$3-100)*3)+Inputs!$B$29+Inputs!$B$30)))</f>
        <v/>
      </c>
      <c r="E2662">
        <f>INDEX(FactorTable!$B$2:$Y$301, MATCH(ROUND(MIN(300,MAX(1,D2662)),0), FactorTable!$A$2:$A$301,0), Skills!L25+1)</f>
        <v/>
      </c>
      <c r="F2662">
        <f>IF(Skills!M25=TRUE,(Skills!K25/10)*(E2662/1000),Skills!K25/10)+Skills!N25</f>
        <v/>
      </c>
      <c r="G2662">
        <f>Calc!G25</f>
        <v/>
      </c>
      <c r="H2662">
        <f>Calc!H25</f>
        <v/>
      </c>
      <c r="I2662">
        <f>IF(Skills!T25&lt;&gt;"",1+(Skills!T25/10)*($Z$3/1000)/100,1)</f>
        <v/>
      </c>
      <c r="J2662" t="inlineStr"/>
      <c r="K2662" t="inlineStr"/>
      <c r="L2662" t="inlineStr"/>
      <c r="M2662" t="inlineStr"/>
      <c r="N2662" t="inlineStr"/>
      <c r="O2662">
        <f>(1-Summary!$B$11)*S2662+Summary!$B$11*U2662</f>
        <v/>
      </c>
      <c r="P2662">
        <f>IF(B2680=0,0,O2662/B2680)</f>
        <v/>
      </c>
      <c r="Q2662">
        <f>IFERROR(1/(IF(Inputs!$B$39="pvp",15,MAX(0.1,Skills!D25-IF(Skills!E25=TRUE,Inputs!$B$33,0)))*(1-IF(AND(ArtifactsInput!$M$27,Inputs!$B$4="Chapter Hunt"),CHOOSE(ArtifactsInput!$N$27+1,20,24,28,32,36,40),0)/100)),0)</f>
        <v/>
      </c>
      <c r="R2662" t="n">
        <v>0</v>
      </c>
      <c r="S2662" t="n">
        <v>0</v>
      </c>
      <c r="U2662" t="n">
        <v>0</v>
      </c>
    </row>
    <row r="2663">
      <c r="A2663">
        <f>Skills!A26</f>
        <v/>
      </c>
      <c r="B2663">
        <f>Skills!B26</f>
        <v/>
      </c>
      <c r="C2663">
        <f>Inputs!$B$3&gt;=117</f>
        <v/>
      </c>
      <c r="D2663">
        <f>IF(Skills!C26=1,60+Inputs!$B$26+Inputs!$B$30,IF(Skills!C26=2,90+Inputs!$B$27+Inputs!$B$30,IF(Skills!C26=3,120+Inputs!$B$28+Inputs!$B$30,MAX(0,(Inputs!$B$3-100)*3)+Inputs!$B$29+Inputs!$B$30)))</f>
        <v/>
      </c>
      <c r="E2663">
        <f>INDEX(FactorTable!$B$2:$Y$301, MATCH(ROUND(MIN(300,MAX(1,D2663)),0), FactorTable!$A$2:$A$301,0), Skills!L26+1)</f>
        <v/>
      </c>
      <c r="F2663">
        <f>IF(Skills!M26=TRUE,(Skills!K26/10)*(E2663/1000),Skills!K26/10)+Skills!N26</f>
        <v/>
      </c>
      <c r="G2663">
        <f>Calc!G26</f>
        <v/>
      </c>
      <c r="H2663">
        <f>Calc!H26</f>
        <v/>
      </c>
      <c r="I2663">
        <f>IF(Skills!T26&lt;&gt;"",1+(Skills!T26/10)*($Z$3/1000)/100,1)</f>
        <v/>
      </c>
      <c r="J2663" t="inlineStr"/>
      <c r="K2663" t="inlineStr"/>
      <c r="L2663" t="inlineStr"/>
      <c r="M2663" t="inlineStr"/>
      <c r="N2663" t="inlineStr"/>
      <c r="O2663">
        <f>(1-Summary!$B$11)*S2663+Summary!$B$11*U2663</f>
        <v/>
      </c>
      <c r="P2663">
        <f>IF(B2680=0,0,O2663/B2680)</f>
        <v/>
      </c>
      <c r="Q2663">
        <f>IFERROR(1/(IF(Inputs!$B$39="pvp",15,MAX(0.1,Skills!D26-IF(Skills!E26=TRUE,Inputs!$B$33,0)))*(1-IF(AND(ArtifactsInput!$M$27,Inputs!$B$4="Chapter Hunt"),CHOOSE(ArtifactsInput!$N$27+1,20,24,28,32,36,40),0)/100)),0)</f>
        <v/>
      </c>
      <c r="R2663" t="n">
        <v>0</v>
      </c>
      <c r="S2663" t="n">
        <v>0</v>
      </c>
      <c r="U2663" t="n">
        <v>0</v>
      </c>
    </row>
    <row r="2664">
      <c r="A2664">
        <f>Skills!A27</f>
        <v/>
      </c>
      <c r="B2664">
        <f>Skills!B27</f>
        <v/>
      </c>
      <c r="C2664">
        <f>Inputs!$B$3&gt;=120</f>
        <v/>
      </c>
      <c r="D2664">
        <f>IF(Skills!C27=1,60+Inputs!$B$26+Inputs!$B$30,IF(Skills!C27=2,90+Inputs!$B$27+Inputs!$B$30,IF(Skills!C27=3,120+Inputs!$B$28+Inputs!$B$30,MAX(0,(Inputs!$B$3-100)*3)+Inputs!$B$29+Inputs!$B$30)))</f>
        <v/>
      </c>
      <c r="E2664">
        <f>INDEX(FactorTable!$B$2:$Y$301, MATCH(ROUND(MIN(300,MAX(1,D2664)),0), FactorTable!$A$2:$A$301,0), Skills!L27+1)</f>
        <v/>
      </c>
      <c r="F2664">
        <f>IF(Skills!M27=TRUE,(Skills!K27/10)*(E2664/1000),Skills!K27/10)+Skills!N27</f>
        <v/>
      </c>
      <c r="G2664">
        <f>Calc!G27</f>
        <v/>
      </c>
      <c r="H2664">
        <f>Calc!H27</f>
        <v/>
      </c>
      <c r="I2664">
        <f>IF(Skills!T27&lt;&gt;"",1+(Skills!T27/10)*($Z$3/1000)/100,1)</f>
        <v/>
      </c>
      <c r="J2664" t="inlineStr"/>
      <c r="K2664" t="inlineStr"/>
      <c r="L2664" t="inlineStr"/>
      <c r="M2664" t="inlineStr"/>
      <c r="N2664" t="inlineStr"/>
      <c r="O2664">
        <f>(1-Summary!$B$11)*S2664+Summary!$B$11*U2664</f>
        <v/>
      </c>
      <c r="P2664">
        <f>IF(B2680=0,0,O2664/B2680)</f>
        <v/>
      </c>
      <c r="Q2664">
        <f>IFERROR(1/(IF(Inputs!$B$39="pvp",15,MAX(0.1,Skills!D27-IF(Skills!E27=TRUE,Inputs!$B$33,0)))*(1-IF(AND(ArtifactsInput!$M$27,Inputs!$B$4="Chapter Hunt"),CHOOSE(ArtifactsInput!$N$27+1,20,24,28,32,36,40),0)/100)),0)</f>
        <v/>
      </c>
      <c r="R2664" t="n">
        <v>0</v>
      </c>
      <c r="S2664" t="n">
        <v>0</v>
      </c>
      <c r="U2664" t="n">
        <v>0</v>
      </c>
    </row>
    <row r="2665">
      <c r="A2665">
        <f>Skills!A28</f>
        <v/>
      </c>
      <c r="B2665">
        <f>Skills!B28</f>
        <v/>
      </c>
      <c r="C2665">
        <f>TRUE</f>
        <v/>
      </c>
      <c r="D2665">
        <f>IF(Skills!C28=1,60+Inputs!$B$26+Inputs!$B$30,IF(Skills!C28=2,90+Inputs!$B$27+Inputs!$B$30,IF(Skills!C28=3,120+Inputs!$B$28+Inputs!$B$30,MAX(0,(Inputs!$B$3-100)*3)+Inputs!$B$29+Inputs!$B$30)))</f>
        <v/>
      </c>
      <c r="E2665">
        <f>INDEX(FactorTable!$B$2:$Y$301, MATCH(ROUND(MIN(300,MAX(1,D2665)),0), FactorTable!$A$2:$A$301,0), Skills!L28+1)</f>
        <v/>
      </c>
      <c r="F2665">
        <f>IF(Skills!M28=TRUE,(Skills!K28/10)*(E2665/1000),Skills!K28/10)+Skills!N28</f>
        <v/>
      </c>
      <c r="G2665">
        <f>Calc!G28</f>
        <v/>
      </c>
      <c r="H2665">
        <f>Calc!H28</f>
        <v/>
      </c>
      <c r="I2665">
        <f>IF(Skills!T28&lt;&gt;"",1+(Skills!T28/10)*($Z$3/1000)/100,1)</f>
        <v/>
      </c>
      <c r="J2665" t="inlineStr"/>
      <c r="K2665" t="inlineStr"/>
      <c r="L2665" t="inlineStr"/>
      <c r="M2665" t="inlineStr"/>
      <c r="N2665" t="inlineStr"/>
      <c r="O2665">
        <f>(1-Summary!$B$11)*S2665+Summary!$B$11*U2665</f>
        <v/>
      </c>
      <c r="P2665">
        <f>IF(B2680=0,0,O2665/B2680)</f>
        <v/>
      </c>
      <c r="Q2665">
        <f>IFERROR(1/(IF(Inputs!$B$39="pvp",15,MAX(0.1,Skills!D28-IF(Skills!E28=TRUE,Inputs!$B$33,0)))*(1-IF(AND(ArtifactsInput!$M$27,Inputs!$B$4="Chapter Hunt"),CHOOSE(ArtifactsInput!$N$27+1,20,24,28,32,36,40),0)/100)),0)</f>
        <v/>
      </c>
      <c r="R2665">
        <f>IF(AND(Inputs!$B$39&lt;&gt;"pvp",Inputs!$B$44&gt;0),IF(Inputs!$B$44&lt;=0,0,(INT(Inputs!$B$44/(IF(Inputs!$B$39="pvp",15,MAX(0.1,Skills!D28-IF(Skills!E28=TRUE,Inputs!$B$33,0)))*(1-IF(AND(ArtifactsInput!$M$27,Inputs!$B$4="Chapter Hunt"),CHOOSE(ArtifactsInput!$N$27+1,20,24,28,32,36,40),0)/100)))+1)),0)</f>
        <v/>
      </c>
      <c r="S2665" t="n">
        <v>0</v>
      </c>
      <c r="U2665" t="n">
        <v>0</v>
      </c>
    </row>
    <row r="2667">
      <c r="A2667" t="inlineStr">
        <is>
          <t>Average Buff Multiplier</t>
        </is>
      </c>
      <c r="B2667">
        <f>(1+(IF(C2640=TRUE,F2640*IF(AND(Inputs!$B$39&lt;&gt;"pvp",Inputs!$B$44&gt;0),(((R2640-1)*(Skills!S3*(1+((Inputs!$B$35+(ArtifactsInput!$M$7-ArtifactsInput!$M$7)*CHOOSE(ArtifactsInput!$N$7+1,6,7.2,8.4,9.6,10.8,12))+IF(Inputs!$B$3&gt;=117,F2663,0))/100))+MIN((Skills!S3*(1+((Inputs!$B$35+(ArtifactsInput!$M$7-ArtifactsInput!$M$7)*CHOOSE(ArtifactsInput!$N$7+1,6,7.2,8.4,9.6,10.8,12))+IF(Inputs!$B$3&gt;=117,F2663,0))/100)),MAX(0,Inputs!$B$44-((R2640-1)*Skills!D3))))/Inputs!$B$44),IF(Inputs!$B$39="pvp",MIN((Skills!S3*(1+((Inputs!$B$35+(ArtifactsInput!$M$7-ArtifactsInput!$M$7)*CHOOSE(ArtifactsInput!$N$7+1,6,7.2,8.4,9.6,10.8,12))+IF(Inputs!$B$3&gt;=117,F2663,0))/100)),15)/15,(Skills!S3*(1+((Inputs!$B$35+(ArtifactsInput!$M$7-ArtifactsInput!$M$7)*CHOOSE(ArtifactsInput!$N$7+1,6,7.2,8.4,9.6,10.8,12))+IF(Inputs!$B$3&gt;=117,F2663,0))/100))/Skills!D3)),0)+IF(C2641=TRUE,F2641*IF(AND(Inputs!$B$39&lt;&gt;"pvp",Inputs!$B$44&gt;0),(((R2641-1)*(Skills!S4*(1+((Inputs!$B$35+(ArtifactsInput!$M$7-ArtifactsInput!$M$7)*CHOOSE(ArtifactsInput!$N$7+1,6,7.2,8.4,9.6,10.8,12))+IF(Inputs!$B$3&gt;=117,F2663,0))/100))+MIN((Skills!S4*(1+((Inputs!$B$35+(ArtifactsInput!$M$7-ArtifactsInput!$M$7)*CHOOSE(ArtifactsInput!$N$7+1,6,7.2,8.4,9.6,10.8,12))+IF(Inputs!$B$3&gt;=117,F2663,0))/100)),MAX(0,Inputs!$B$44-((R2641-1)*Skills!D4))))/Inputs!$B$44),IF(Inputs!$B$39="pvp",MIN((Skills!S4*(1+((Inputs!$B$35+(ArtifactsInput!$M$7-ArtifactsInput!$M$7)*CHOOSE(ArtifactsInput!$N$7+1,6,7.2,8.4,9.6,10.8,12))+IF(Inputs!$B$3&gt;=117,F2663,0))/100)),15)/15,(Skills!S4*(1+((Inputs!$B$35+(ArtifactsInput!$M$7-ArtifactsInput!$M$7)*CHOOSE(ArtifactsInput!$N$7+1,6,7.2,8.4,9.6,10.8,12))+IF(Inputs!$B$3&gt;=117,F2663,0))/100))/Skills!D4)),0)+IF(C2642=TRUE,F2642*IF(AND(Inputs!$B$39&lt;&gt;"pvp",Inputs!$B$44&gt;0),(((R2642-1)*(Skills!S5*(1+((Inputs!$B$35+(ArtifactsInput!$M$7-ArtifactsInput!$M$7)*CHOOSE(ArtifactsInput!$N$7+1,6,7.2,8.4,9.6,10.8,12))+IF(Inputs!$B$3&gt;=117,F2663,0))/100))+MIN((Skills!S5*(1+((Inputs!$B$35+(ArtifactsInput!$M$7-ArtifactsInput!$M$7)*CHOOSE(ArtifactsInput!$N$7+1,6,7.2,8.4,9.6,10.8,12))+IF(Inputs!$B$3&gt;=117,F2663,0))/100)),MAX(0,Inputs!$B$44-((R2642-1)*Skills!D5))))/Inputs!$B$44),IF(Inputs!$B$39="pvp",MIN((Skills!S5*(1+((Inputs!$B$35+(ArtifactsInput!$M$7-ArtifactsInput!$M$7)*CHOOSE(ArtifactsInput!$N$7+1,6,7.2,8.4,9.6,10.8,12))+IF(Inputs!$B$3&gt;=117,F2663,0))/100)),15)/15,(Skills!S5*(1+((Inputs!$B$35+(ArtifactsInput!$M$7-ArtifactsInput!$M$7)*CHOOSE(ArtifactsInput!$N$7+1,6,7.2,8.4,9.6,10.8,12))+IF(Inputs!$B$3&gt;=117,F2663,0))/100))/Skills!D5)),0)+IF(C2648=TRUE,F2648*IF(AND(Inputs!$B$39&lt;&gt;"pvp",Inputs!$B$44&gt;0),(((R2648-1)*(Skills!S11*(1+((Inputs!$B$35+(ArtifactsInput!$M$7-ArtifactsInput!$M$7)*CHOOSE(ArtifactsInput!$N$7+1,6,7.2,8.4,9.6,10.8,12))+IF(Inputs!$B$3&gt;=117,F2663,0))/100))+MIN((Skills!S11*(1+((Inputs!$B$35+(ArtifactsInput!$M$7-ArtifactsInput!$M$7)*CHOOSE(ArtifactsInput!$N$7+1,6,7.2,8.4,9.6,10.8,12))+IF(Inputs!$B$3&gt;=117,F2663,0))/100)),MAX(0,Inputs!$B$44-((R2648-1)*Skills!D11))))/Inputs!$B$44),IF(Inputs!$B$39="pvp",MIN((Skills!S11*(1+((Inputs!$B$35+(ArtifactsInput!$M$7-ArtifactsInput!$M$7)*CHOOSE(ArtifactsInput!$N$7+1,6,7.2,8.4,9.6,10.8,12))+IF(Inputs!$B$3&gt;=117,F2663,0))/100)),15)/15,(Skills!S11*(1+((Inputs!$B$35+(ArtifactsInput!$M$7-ArtifactsInput!$M$7)*CHOOSE(ArtifactsInput!$N$7+1,6,7.2,8.4,9.6,10.8,12))+IF(Inputs!$B$3&gt;=117,F2663,0)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2651=TRUE,(1+F2651*IF(AND(Inputs!$B$39&lt;&gt;"pvp",Inputs!$B$44&gt;0),(((R2651-1)*(Skills!S14*(1+((Inputs!$B$35+(ArtifactsInput!$M$7-ArtifactsInput!$M$7)*CHOOSE(ArtifactsInput!$N$7+1,6,7.2,8.4,9.6,10.8,12))+IF(Inputs!$B$3&gt;=117,F2663,0))/100))+MIN((Skills!S14*(1+((Inputs!$B$35+(ArtifactsInput!$M$7-ArtifactsInput!$M$7)*CHOOSE(ArtifactsInput!$N$7+1,6,7.2,8.4,9.6,10.8,12))+IF(Inputs!$B$3&gt;=117,F2663,0))/100)),MAX(0,Inputs!$B$44-((R2651-1)*Skills!D14))))/Inputs!$B$44),IF(Inputs!$B$39="pvp",MIN((Skills!S14*(1+((Inputs!$B$35+(ArtifactsInput!$M$7-ArtifactsInput!$M$7)*CHOOSE(ArtifactsInput!$N$7+1,6,7.2,8.4,9.6,10.8,12))+IF(Inputs!$B$3&gt;=117,F2663,0))/100)),15)/15,(Skills!S14*(1+((Inputs!$B$35+(ArtifactsInput!$M$7-ArtifactsInput!$M$7)*CHOOSE(ArtifactsInput!$N$7+1,6,7.2,8.4,9.6,10.8,12))+IF(Inputs!$B$3&gt;=117,F2663,0))/100))/Skills!D14))/100),1)*IF(C2656=TRUE,(1+F2656*IF(AND(Inputs!$B$39&lt;&gt;"pvp",Inputs!$B$44&gt;0),(((R2656-1)*(Skills!S19*(1+((Inputs!$B$35+(ArtifactsInput!$M$7-ArtifactsInput!$M$7)*CHOOSE(ArtifactsInput!$N$7+1,6,7.2,8.4,9.6,10.8,12))+IF(Inputs!$B$3&gt;=117,F2663,0))/100))+MIN((Skills!S19*(1+((Inputs!$B$35+(ArtifactsInput!$M$7-ArtifactsInput!$M$7)*CHOOSE(ArtifactsInput!$N$7+1,6,7.2,8.4,9.6,10.8,12))+IF(Inputs!$B$3&gt;=117,F2663,0))/100)),MAX(0,Inputs!$B$44-((R2656-1)*Skills!D19))))/Inputs!$B$44),IF(Inputs!$B$39="pvp",MIN((Skills!S19*(1+((Inputs!$B$35+(ArtifactsInput!$M$7-ArtifactsInput!$M$7)*CHOOSE(ArtifactsInput!$N$7+1,6,7.2,8.4,9.6,10.8,12))+IF(Inputs!$B$3&gt;=117,F2663,0))/100)),15)/15,(Skills!S19*(1+((Inputs!$B$35+(ArtifactsInput!$M$7-ArtifactsInput!$M$7)*CHOOSE(ArtifactsInput!$N$7+1,6,7.2,8.4,9.6,10.8,12))+IF(Inputs!$B$3&gt;=117,F2663,0))/100))/Skills!D19))/100),1)</f>
        <v/>
      </c>
    </row>
    <row r="2668">
      <c r="A2668" t="inlineStr">
        <is>
          <t>Monster Damage Taken Bonus % (Holy Fountain)</t>
        </is>
      </c>
      <c r="B2668">
        <f>IF(Inputs!$B$3&gt;=68,20*IF(Inputs!$B$39="pvp",MIN((15*(1+((Inputs!$B$35+(ArtifactsInput!$M$7-ArtifactsInput!$M$7)*CHOOSE(ArtifactsInput!$N$7+1,6,7.2,8.4,9.6,10.8,12))+IF(Inputs!$B$3&gt;=117,F2663,0))/100)),15)/15,(15*(1+((Inputs!$B$35+(ArtifactsInput!$M$7-ArtifactsInput!$M$7)*CHOOSE(ArtifactsInput!$N$7+1,6,7.2,8.4,9.6,10.8,12))+IF(Inputs!$B$3&gt;=117,F2663,0))/100))/Skills!D10),0)</f>
        <v/>
      </c>
    </row>
    <row r="2669">
      <c r="A2669" t="inlineStr">
        <is>
          <t>Normal Monster Damage Bonus % (Holy Symbol)</t>
        </is>
      </c>
      <c r="B2669">
        <f>IF(C2649=TRUE,F2649*IF(AND(Inputs!$B$39&lt;&gt;"pvp",Inputs!$B$44&gt;0),(((R2649-1)*(Skills!S12*(1+((Inputs!$B$35+(ArtifactsInput!$M$7-ArtifactsInput!$M$7)*CHOOSE(ArtifactsInput!$N$7+1,6,7.2,8.4,9.6,10.8,12))+IF(Inputs!$B$3&gt;=117,F2663,0))/100))+MIN((Skills!S12*(1+((Inputs!$B$35+(ArtifactsInput!$M$7-ArtifactsInput!$M$7)*CHOOSE(ArtifactsInput!$N$7+1,6,7.2,8.4,9.6,10.8,12))+IF(Inputs!$B$3&gt;=117,F2663,0))/100)),MAX(0,Inputs!$B$44-((R2649-1)*Skills!D12))))/Inputs!$B$44),IF(Inputs!$B$39="pvp",MIN((Skills!S12*(1+((Inputs!$B$35+(ArtifactsInput!$M$7-ArtifactsInput!$M$7)*CHOOSE(ArtifactsInput!$N$7+1,6,7.2,8.4,9.6,10.8,12))+IF(Inputs!$B$3&gt;=117,F2663,0))/100)),15)/15,(Skills!S12*(1+((Inputs!$B$35+(ArtifactsInput!$M$7-ArtifactsInput!$M$7)*CHOOSE(ArtifactsInput!$N$7+1,6,7.2,8.4,9.6,10.8,12))+IF(Inputs!$B$3&gt;=117,F2663,0))/100))/Skills!D12)),0)</f>
        <v/>
      </c>
    </row>
    <row r="2670">
      <c r="A2670" t="inlineStr">
        <is>
          <t>Damage % Bonus (Holy Symbol - Damage Boost)</t>
        </is>
      </c>
      <c r="B2670">
        <f>Skills!O12</f>
        <v/>
      </c>
    </row>
    <row r="2671">
      <c r="A2671" t="inlineStr">
        <is>
          <t>Crit Damage % Bonus (Blood of the Divine)</t>
        </is>
      </c>
      <c r="B2671">
        <f>4*IF(C2657=TRUE,F2657,0)</f>
        <v/>
      </c>
    </row>
    <row r="2672">
      <c r="A2672" t="inlineStr">
        <is>
          <t>Attack Speed Bonus %</t>
        </is>
      </c>
      <c r="B2672">
        <f>IF(C2654=TRUE,F2654+(F2658-Calc!F21),0)+IF(Inputs!$B$3&gt;=134,15,0)+((C2665=TRUE)*F2665*IF(AND(Inputs!$B$39&lt;&gt;"pvp",Inputs!$B$44&gt;0),(((R2665-1)*(Skills!S28*(1+((Inputs!$B$35+(ArtifactsInput!$M$7-ArtifactsInput!$M$7)*CHOOSE(ArtifactsInput!$N$7+1,6,7.2,8.4,9.6,10.8,12))+IF(Inputs!$B$3&gt;=117,F2663,0))/100))+MIN((Skills!S28*(1+((Inputs!$B$35+(ArtifactsInput!$M$7-ArtifactsInput!$M$7)*CHOOSE(ArtifactsInput!$N$7+1,6,7.2,8.4,9.6,10.8,12))+IF(Inputs!$B$3&gt;=117,F2663,0))/100)),MAX(0,Inputs!$B$44-((R2665-1)*Skills!D28))))/Inputs!$B$44),IF(Inputs!$B$39="pvp",MIN((Skills!S28*(1+((Inputs!$B$35+(ArtifactsInput!$M$7-ArtifactsInput!$M$7)*CHOOSE(ArtifactsInput!$N$7+1,6,7.2,8.4,9.6,10.8,12))+IF(Inputs!$B$3&gt;=117,F2663,0))/100)),15)/15,(Skills!S28*(1+((Inputs!$B$35+(ArtifactsInput!$M$7-ArtifactsInput!$M$7)*CHOOSE(ArtifactsInput!$N$7+1,6,7.2,8.4,9.6,10.8,12))+IF(Inputs!$B$3&gt;=117,F2663,0))/100))/Skills!D28)))</f>
        <v/>
      </c>
    </row>
    <row r="2673">
      <c r="A2673" t="inlineStr">
        <is>
          <t>Actions Per Second</t>
        </is>
      </c>
      <c r="B2673">
        <f>1+MIN(150,150*(1-(1-Inputs!$B$12/150)*(1-B2672/150)))/100</f>
        <v/>
      </c>
    </row>
    <row r="2674">
      <c r="A2674" t="inlineStr">
        <is>
          <t>Skill + Buff Cast Rate</t>
        </is>
      </c>
      <c r="B2674">
        <f>IF(AND(Inputs!$B$39&lt;&gt;"pvp",Inputs!$B$44&gt;0),SUMPRODUCT((Skills!E2:E28=TRUE)*(C2639:C2665=TRUE)*R2639:R2665)/Inputs!$B$44,SUMPRODUCT((Skills!E2:E28=TRUE)*(C2639:C2665=TRUE)*Q2639:Q2665))</f>
        <v/>
      </c>
    </row>
    <row r="2675">
      <c r="A2675" t="inlineStr">
        <is>
          <t>Big Bang Casts Per Second</t>
        </is>
      </c>
      <c r="B2675">
        <f>MAX(0,B2673-B2674)</f>
        <v/>
      </c>
    </row>
    <row r="2676">
      <c r="A2676" t="inlineStr">
        <is>
          <t>Defense % Bonus (Divine Protection)</t>
        </is>
      </c>
      <c r="B2676">
        <f>IF(C2650=TRUE,F2650*IF(AND(Inputs!$B$39&lt;&gt;"pvp",Inputs!$B$44&gt;0),(((R2650-1)*(Skills!S13*(1+((Inputs!$B$35+(ArtifactsInput!$M$7-ArtifactsInput!$M$7)*CHOOSE(ArtifactsInput!$N$7+1,6,7.2,8.4,9.6,10.8,12))+IF(Inputs!$B$3&gt;=117,F2663,0))/100))+MIN((Skills!S13*(1+((Inputs!$B$35+(ArtifactsInput!$M$7-ArtifactsInput!$M$7)*CHOOSE(ArtifactsInput!$N$7+1,6,7.2,8.4,9.6,10.8,12))+IF(Inputs!$B$3&gt;=117,F2663,0))/100)),MAX(0,Inputs!$B$44-((R2650-1)*Skills!D13))))/Inputs!$B$44),IF(Inputs!$B$39="pvp",MIN((Skills!S13*(1+((Inputs!$B$35+(ArtifactsInput!$M$7-ArtifactsInput!$M$7)*CHOOSE(ArtifactsInput!$N$7+1,6,7.2,8.4,9.6,10.8,12))+IF(Inputs!$B$3&gt;=117,F2663,0))/100)),15)/15,(Skills!S13*(1+((Inputs!$B$35+(ArtifactsInput!$M$7-ArtifactsInput!$M$7)*CHOOSE(ArtifactsInput!$N$7+1,6,7.2,8.4,9.6,10.8,12))+IF(Inputs!$B$3&gt;=117,F2663,0))/100))/Skills!D13)),0)</f>
        <v/>
      </c>
    </row>
    <row r="2677">
      <c r="A2677" t="inlineStr">
        <is>
          <t>Buff-Casting Startup Delay (s, fixed-duration only)</t>
        </is>
      </c>
      <c r="B2677">
        <f>IF(AND(Inputs!$B$39&lt;&gt;"pvp",Inputs!$B$44&gt;0),SUMPRODUCT((Skills!S2:S28&gt;0)*(Skills!E2:E28=TRUE)*(C2639:C2665=TRUE))/B2673,0)</f>
        <v/>
      </c>
    </row>
    <row r="2678">
      <c r="A2678" t="inlineStr">
        <is>
          <t>Boss-Only Total DPS (this block's swept value)</t>
        </is>
      </c>
      <c r="B2678">
        <f>SUM(S2639:S2665)</f>
        <v/>
      </c>
    </row>
    <row r="2679">
      <c r="A2679" t="inlineStr">
        <is>
          <t>Normal-Only Total DPS (this block's swept value)</t>
        </is>
      </c>
      <c r="B2679">
        <f>SUM(U2639:U2665)</f>
        <v/>
      </c>
    </row>
    <row r="2680">
      <c r="A2680" s="6" t="inlineStr">
        <is>
          <t>TOTAL DPS</t>
        </is>
      </c>
      <c r="B2680" s="6">
        <f>SUM(O2639:O2665)</f>
        <v/>
      </c>
    </row>
    <row r="2682">
      <c r="A2682" s="6" t="inlineStr">
        <is>
          <t>Stat: Horn Flute (Equip)</t>
        </is>
      </c>
    </row>
    <row r="2683">
      <c r="A2683" s="5" t="inlineStr">
        <is>
          <t>Key</t>
        </is>
      </c>
      <c r="B2683" s="5" t="inlineStr">
        <is>
          <t>Name</t>
        </is>
      </c>
      <c r="C2683" s="5" t="inlineStr">
        <is>
          <t>Unlocked</t>
        </is>
      </c>
      <c r="D2683" s="5" t="inlineStr">
        <is>
          <t>InputLevel</t>
        </is>
      </c>
      <c r="E2683" s="5" t="inlineStr">
        <is>
          <t>Factor</t>
        </is>
      </c>
      <c r="F2683" s="5" t="inlineStr">
        <is>
          <t>CoefficientPercent</t>
        </is>
      </c>
      <c r="G2683" s="5" t="inlineStr">
        <is>
          <t>EffectiveHits</t>
        </is>
      </c>
      <c r="H2683" s="5" t="inlineStr">
        <is>
          <t>ProcProbability</t>
        </is>
      </c>
      <c r="I2683" s="5" t="inlineStr">
        <is>
          <t>MapleHeroMultiplier</t>
        </is>
      </c>
      <c r="J2683" s="5" t="inlineStr">
        <is>
          <t>BaseDamage</t>
        </is>
      </c>
      <c r="K2683" s="5" t="inlineStr">
        <is>
          <t>BaseHitDamage</t>
        </is>
      </c>
      <c r="L2683" s="5" t="inlineStr">
        <is>
          <t>NonCritAvg</t>
        </is>
      </c>
      <c r="M2683" s="5" t="inlineStr">
        <is>
          <t>CritAvg</t>
        </is>
      </c>
      <c r="N2683" s="5" t="inlineStr">
        <is>
          <t>ExpectedDamage(perHit)</t>
        </is>
      </c>
      <c r="O2683" s="5" t="inlineStr">
        <is>
          <t>DPS</t>
        </is>
      </c>
      <c r="P2683" s="5" t="inlineStr">
        <is>
          <t>% of Total</t>
        </is>
      </c>
      <c r="R2683" t="inlineStr">
        <is>
          <t>helpers</t>
        </is>
      </c>
    </row>
    <row r="2684">
      <c r="A2684">
        <f>Skills!A2</f>
        <v/>
      </c>
      <c r="B2684">
        <f>Skills!B2</f>
        <v/>
      </c>
      <c r="C2684">
        <f>Inputs!$B$3&gt;=100</f>
        <v/>
      </c>
      <c r="D2684" t="inlineStr"/>
      <c r="E2684" t="inlineStr"/>
      <c r="F2684">
        <f>T2686+Skills!N2</f>
        <v/>
      </c>
      <c r="G2684">
        <f>Calc!G2</f>
        <v/>
      </c>
      <c r="H2684">
        <f>Calc!H2</f>
        <v/>
      </c>
      <c r="I2684">
        <f>IF(Skills!T2&lt;&gt;"",1+(Skills!T2/10)*($Z$3/1000)/100,1)</f>
        <v/>
      </c>
      <c r="J2684">
        <f>((Inputs!$B$6*(1+Inputs!$B$7/100))+(((Inputs!$B$13*(1+Inputs!$B$14/100))-(Inputs!$B$13*(1+Inputs!$B$14/100)))+0.25*(Inputs!$B$15-Inputs!$B$15))*(1+Inputs!$B$7/100))*(F2684/100)</f>
        <v/>
      </c>
      <c r="K2684">
        <f>J2684*(1+(((Inputs!$B$13+IF(Inputs!$B$3&gt;=35,(10*INDEX(FactorTable!$B$2:$Y$301,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2="TRIUMPH_FEATHER",IF(C2698=TRUE,F2698,0),0)/100)*(1+IF(C2709=TRUE,F2709,0)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2684)</f>
        <v/>
      </c>
      <c r="L2684">
        <f>K2684*(MIN(Inputs!$B$23+(F2704-Calc!F22),(Inputs!$B$24+IF(ArtifactsInput!$M$15,CHOOSE(ArtifactsInput!$N$15+1,25,30,35,40,45,50)/100*(Inputs!$B$12-Inputs!$B$12),0)))/100+(Inputs!$B$24+IF(ArtifactsInput!$M$15,CHOOSE(ArtifactsInput!$N$15+1,25,30,35,40,45,50)/100*(Inputs!$B$12-Inputs!$B$12),0))/100)/2</f>
        <v/>
      </c>
      <c r="M2684">
        <f>L2684*(1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4">
        <f>L2684*(1-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(1-Summary!$B$11)*S2684+Summary!$B$11*U2684</f>
        <v/>
      </c>
      <c r="P2684">
        <f>IF(B2725=0,0,O2684/B2725)</f>
        <v/>
      </c>
      <c r="Q2684">
        <f>IFERROR(1/(IF(Inputs!$B$39="pvp",15,MAX(0.1,Skills!D2-IF(Skills!E2=TRUE,Inputs!$B$33,0)))*(1-IF(AND(ArtifactsInput!$M$27,Inputs!$B$4="Chapter Hunt"),CHOOSE(ArtifactsInput!$N$27+1,20,24,28,32,36,40),0)/100)),0)</f>
        <v/>
      </c>
      <c r="R2684" t="n">
        <v>0</v>
      </c>
      <c r="S2684">
        <f>IF(C2684,(Skills!F2*N2684*B2720)*IF(Inputs!$B$39="pvp",1,1+(Inputs!$B$21+Skills!O2+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2684*(1-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84">
        <f>MAX(0,(Inputs!$B$3-100)*3)+Inputs!$B$29+Inputs!$B$30</f>
        <v/>
      </c>
      <c r="U2684">
        <f>IF(C2684,(Skills!F2*N2684*B2720)*IF(Inputs!$B$39="pvp",1,(1+(Inputs!$B$22+Skills!P2+B2714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Skills!A3</f>
        <v/>
      </c>
      <c r="B2685">
        <f>Skills!B3</f>
        <v/>
      </c>
      <c r="C2685">
        <f>Inputs!$B$3&gt;=15</f>
        <v/>
      </c>
      <c r="D2685">
        <f>IF(Skills!C3=1,60+Inputs!$B$26+Inputs!$B$30,IF(Skills!C3=2,90+Inputs!$B$27+Inputs!$B$30,IF(Skills!C3=3,120+Inputs!$B$28+Inputs!$B$30,MAX(0,(Inputs!$B$3-100)*3)+Inputs!$B$29+Inputs!$B$30)))</f>
        <v/>
      </c>
      <c r="E2685">
        <f>INDEX(FactorTable!$B$2:$Y$301, MATCH(ROUND(MIN(300,MAX(1,D2685)),0), FactorTable!$A$2:$A$301,0), Skills!L3+1)</f>
        <v/>
      </c>
      <c r="F2685">
        <f>IF(Skills!M3=TRUE,(Skills!K3/10)*(E2685/1000),Skills!K3/10)+Skills!N3</f>
        <v/>
      </c>
      <c r="G2685">
        <f>Calc!G3</f>
        <v/>
      </c>
      <c r="H2685">
        <f>Calc!H3</f>
        <v/>
      </c>
      <c r="I2685">
        <f>IF(Skills!T3&lt;&gt;"",1+(Skills!T3/10)*($Z$3/1000)/100,1)</f>
        <v/>
      </c>
      <c r="J2685" t="inlineStr"/>
      <c r="K2685" t="inlineStr"/>
      <c r="L2685" t="inlineStr"/>
      <c r="M2685" t="inlineStr"/>
      <c r="N2685" t="inlineStr"/>
      <c r="O2685">
        <f>(1-Summary!$B$11)*S2685+Summary!$B$11*U2685</f>
        <v/>
      </c>
      <c r="P2685">
        <f>IF(B2725=0,0,O2685/B2725)</f>
        <v/>
      </c>
      <c r="Q2685">
        <f>IFERROR(1/(IF(Inputs!$B$39="pvp",15,MAX(0.1,Skills!D3-IF(Skills!E3=TRUE,Inputs!$B$33,0)))*(1-IF(AND(ArtifactsInput!$M$27,Inputs!$B$4="Chapter Hunt"),CHOOSE(ArtifactsInput!$N$27+1,20,24,28,32,36,40),0)/100)),0)</f>
        <v/>
      </c>
      <c r="R2685">
        <f>IF(AND(Inputs!$B$39&lt;&gt;"pvp",Inputs!$B$44&gt;0),IF(Inputs!$B$44&lt;=0,0,(INT(Inputs!$B$44/(IF(Inputs!$B$39="pvp",15,MAX(0.1,Skills!D3-IF(Skills!E3=TRUE,Inputs!$B$33,0)))*(1-IF(AND(ArtifactsInput!$M$27,Inputs!$B$4="Chapter Hunt"),CHOOSE(ArtifactsInput!$N$27+1,20,24,28,32,36,40),0)/100)))+1)),0)</f>
        <v/>
      </c>
      <c r="S2685" t="n">
        <v>0</v>
      </c>
      <c r="T2685">
        <f>INDEX(FactorTable!$B$2:$Y$301, MATCH(ROUND(MIN(300,MAX(1,T2684)),0), FactorTable!$A$2:$A$301,0), 22)</f>
        <v/>
      </c>
      <c r="U2685" t="n">
        <v>0</v>
      </c>
    </row>
    <row r="2686">
      <c r="A2686">
        <f>Skills!A4</f>
        <v/>
      </c>
      <c r="B2686">
        <f>Skills!B4</f>
        <v/>
      </c>
      <c r="C2686">
        <f>Inputs!$B$3&gt;=38</f>
        <v/>
      </c>
      <c r="D2686">
        <f>IF(Skills!C4=1,60+Inputs!$B$26+Inputs!$B$30,IF(Skills!C4=2,90+Inputs!$B$27+Inputs!$B$30,IF(Skills!C4=3,120+Inputs!$B$28+Inputs!$B$30,MAX(0,(Inputs!$B$3-100)*3)+Inputs!$B$29+Inputs!$B$30)))</f>
        <v/>
      </c>
      <c r="E2686">
        <f>INDEX(FactorTable!$B$2:$Y$301, MATCH(ROUND(MIN(300,MAX(1,D2686)),0), FactorTable!$A$2:$A$301,0), Skills!L4+1)</f>
        <v/>
      </c>
      <c r="F2686">
        <f>IF(Skills!M4=TRUE,(Skills!K4/10)*(E2686/1000),Skills!K4/10)+Skills!N4</f>
        <v/>
      </c>
      <c r="G2686">
        <f>Calc!G4</f>
        <v/>
      </c>
      <c r="H2686">
        <f>Calc!H4</f>
        <v/>
      </c>
      <c r="I2686">
        <f>IF(Skills!T4&lt;&gt;"",1+(Skills!T4/10)*($Z$3/1000)/100,1)</f>
        <v/>
      </c>
      <c r="J2686" t="inlineStr"/>
      <c r="K2686" t="inlineStr"/>
      <c r="L2686" t="inlineStr"/>
      <c r="M2686" t="inlineStr"/>
      <c r="N2686" t="inlineStr"/>
      <c r="O2686">
        <f>(1-Summary!$B$11)*S2686+Summary!$B$11*U2686</f>
        <v/>
      </c>
      <c r="P2686">
        <f>IF(B2725=0,0,O2686/B2725)</f>
        <v/>
      </c>
      <c r="Q2686">
        <f>IFERROR(1/(IF(Inputs!$B$39="pvp",15,MAX(0.1,Skills!D4-IF(Skills!E4=TRUE,Inputs!$B$33,0)))*(1-IF(AND(ArtifactsInput!$M$27,Inputs!$B$4="Chapter Hunt"),CHOOSE(ArtifactsInput!$N$27+1,20,24,28,32,36,40),0)/100)),0)</f>
        <v/>
      </c>
      <c r="R2686">
        <f>IF(AND(Inputs!$B$39&lt;&gt;"pvp",Inputs!$B$44&gt;0),IF(Inputs!$B$44&lt;=0,0,(INT(Inputs!$B$44/(IF(Inputs!$B$39="pvp",15,MAX(0.1,Skills!D4-IF(Skills!E4=TRUE,Inputs!$B$33,0)))*(1-IF(AND(ArtifactsInput!$M$27,Inputs!$B$4="Chapter Hunt"),CHOOSE(ArtifactsInput!$N$27+1,20,24,28,32,36,40),0)/100)))+1)),0)</f>
        <v/>
      </c>
      <c r="S2686" t="n">
        <v>0</v>
      </c>
      <c r="T2686">
        <f>290*T2685/1000</f>
        <v/>
      </c>
      <c r="U2686" t="n">
        <v>0</v>
      </c>
    </row>
    <row r="2687">
      <c r="A2687">
        <f>Skills!A5</f>
        <v/>
      </c>
      <c r="B2687">
        <f>Skills!B5</f>
        <v/>
      </c>
      <c r="C2687">
        <f>Inputs!$B$3&gt;=40</f>
        <v/>
      </c>
      <c r="D2687">
        <f>IF(Skills!C5=1,60+Inputs!$B$26+Inputs!$B$30,IF(Skills!C5=2,90+Inputs!$B$27+Inputs!$B$30,IF(Skills!C5=3,120+Inputs!$B$28+Inputs!$B$30,MAX(0,(Inputs!$B$3-100)*3)+Inputs!$B$29+Inputs!$B$30)))</f>
        <v/>
      </c>
      <c r="E2687">
        <f>INDEX(FactorTable!$B$2:$Y$301, MATCH(ROUND(MIN(300,MAX(1,D2687)),0), FactorTable!$A$2:$A$301,0), Skills!L5+1)</f>
        <v/>
      </c>
      <c r="F2687">
        <f>IF(Skills!M5=TRUE,(Skills!K5/10)*(E2687/1000),Skills!K5/10)+Skills!N5</f>
        <v/>
      </c>
      <c r="G2687">
        <f>Calc!G5</f>
        <v/>
      </c>
      <c r="H2687">
        <f>Calc!H5</f>
        <v/>
      </c>
      <c r="I2687">
        <f>IF(Skills!T5&lt;&gt;"",1+(Skills!T5/10)*($Z$3/1000)/100,1)</f>
        <v/>
      </c>
      <c r="J2687" t="inlineStr"/>
      <c r="K2687" t="inlineStr"/>
      <c r="L2687" t="inlineStr"/>
      <c r="M2687" t="inlineStr"/>
      <c r="N2687" t="inlineStr"/>
      <c r="O2687">
        <f>(1-Summary!$B$11)*S2687+Summary!$B$11*U2687</f>
        <v/>
      </c>
      <c r="P2687">
        <f>IF(B2725=0,0,O2687/B2725)</f>
        <v/>
      </c>
      <c r="Q2687">
        <f>IFERROR(1/(IF(Inputs!$B$39="pvp",15,MAX(0.1,Skills!D5-IF(Skills!E5=TRUE,Inputs!$B$33,0)))*(1-IF(AND(ArtifactsInput!$M$27,Inputs!$B$4="Chapter Hunt"),CHOOSE(ArtifactsInput!$N$27+1,20,24,28,32,36,40),0)/100)),0)</f>
        <v/>
      </c>
      <c r="R2687">
        <f>IF(AND(Inputs!$B$39&lt;&gt;"pvp",Inputs!$B$44&gt;0),IF(Inputs!$B$44&lt;=0,0,(INT(Inputs!$B$44/(IF(Inputs!$B$39="pvp",15,MAX(0.1,Skills!D5-IF(Skills!E5=TRUE,Inputs!$B$33,0)))*(1-IF(AND(ArtifactsInput!$M$27,Inputs!$B$4="Chapter Hunt"),CHOOSE(ArtifactsInput!$N$27+1,20,24,28,32,36,40),0)/100)))+1)),0)</f>
        <v/>
      </c>
      <c r="S2687" t="n">
        <v>0</v>
      </c>
      <c r="U2687" t="n">
        <v>0</v>
      </c>
    </row>
    <row r="2688">
      <c r="A2688">
        <f>Skills!A6</f>
        <v/>
      </c>
      <c r="B2688">
        <f>Skills!B6</f>
        <v/>
      </c>
      <c r="C2688">
        <f>Inputs!$B$3&gt;=103</f>
        <v/>
      </c>
      <c r="D2688">
        <f>IF(Skills!C6=1,60+Inputs!$B$26+Inputs!$B$30,IF(Skills!C6=2,90+Inputs!$B$27+Inputs!$B$30,IF(Skills!C6=3,120+Inputs!$B$28+Inputs!$B$30,MAX(0,(Inputs!$B$3-100)*3)+Inputs!$B$29+Inputs!$B$30)))</f>
        <v/>
      </c>
      <c r="E2688">
        <f>INDEX(FactorTable!$B$2:$Y$301, MATCH(ROUND(MIN(300,MAX(1,D2688)),0), FactorTable!$A$2:$A$301,0), Skills!L6+1)</f>
        <v/>
      </c>
      <c r="F2688">
        <f>IF(Skills!M6=TRUE,(Skills!K6/10)*(E2688/1000),Skills!K6/10)+Skills!N6</f>
        <v/>
      </c>
      <c r="G2688">
        <f>Calc!G6</f>
        <v/>
      </c>
      <c r="H2688">
        <f>Calc!H6</f>
        <v/>
      </c>
      <c r="I2688">
        <f>IF(Skills!T6&lt;&gt;"",1+(Skills!T6/10)*($Z$3/1000)/100,1)</f>
        <v/>
      </c>
      <c r="J2688">
        <f>((Inputs!$B$6*(1+Inputs!$B$7/100))+(((Inputs!$B$13*(1+Inputs!$B$14/100))-(Inputs!$B$13*(1+Inputs!$B$14/100)))+0.25*(Inputs!$B$15-Inputs!$B$15))*(1+Inputs!$B$7/100))*(F2688/100)</f>
        <v/>
      </c>
      <c r="K2688">
        <f>J2688*(1+(((Inputs!$B$13+IF(Inputs!$B$3&gt;=35,(10*INDEX(FactorTable!$B$2:$Y$301,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6="TRIUMPH_FEATHER",IF(C2698=TRUE,F2698,0),0)/100)*(1+IF(C2709=TRUE,F2709,0)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2688)</f>
        <v/>
      </c>
      <c r="L2688">
        <f>K2688*(MIN(Inputs!$B$23+(F2704-Calc!F22),(Inputs!$B$24+IF(ArtifactsInput!$M$15,CHOOSE(ArtifactsInput!$N$15+1,25,30,35,40,45,50)/100*(Inputs!$B$12-Inputs!$B$12),0)))/100+(Inputs!$B$24+IF(ArtifactsInput!$M$15,CHOOSE(ArtifactsInput!$N$15+1,25,30,35,40,45,50)/100*(Inputs!$B$12-Inputs!$B$12),0))/100)/2</f>
        <v/>
      </c>
      <c r="M2688">
        <f>L2688*(1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8">
        <f>L2688*(1-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2688*(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8">
        <f>(1-Summary!$B$11)*S2688+Summary!$B$11*U2688</f>
        <v/>
      </c>
      <c r="P2688">
        <f>IF(B2725=0,0,O2688/B2725)</f>
        <v/>
      </c>
      <c r="Q2688">
        <f>IFERROR(1/(IF(Inputs!$B$39="pvp",15,MAX(0.1,Skills!D6-IF(Skills!E6=TRUE,Inputs!$B$33,0)))*(1-IF(AND(ArtifactsInput!$M$27,Inputs!$B$4="Chapter Hunt"),CHOOSE(ArtifactsInput!$N$27+1,20,24,28,32,36,40),0)/100)),0)</f>
        <v/>
      </c>
      <c r="R2688">
        <f>IF(AND(Inputs!$B$39&lt;&gt;"pvp",Inputs!$B$44&gt;0),IF(MAX(0,Inputs!$B$44-B2722)&lt;=0,0,(INT(MAX(0,Inputs!$B$44-B2722)/(IF(Inputs!$B$39="pvp",15,MAX(0.1,Skills!D6-IF(Skills!E6=TRUE,Inputs!$B$33,0)))*(1-IF(AND(ArtifactsInput!$M$27,Inputs!$B$4="Chapter Hunt"),CHOOSE(ArtifactsInput!$N$27+1,20,24,28,32,36,40),0)/100)))+1)),0)</f>
        <v/>
      </c>
      <c r="S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$21+Skills!O6+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2688*(1-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2688*(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2688*(1-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2688*(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$22+Skills!P6+B2714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9">
      <c r="A2689">
        <f>Skills!A7</f>
        <v/>
      </c>
      <c r="B2689">
        <f>Skills!B7</f>
        <v/>
      </c>
      <c r="C2689">
        <f>Inputs!$B$3&gt;=122</f>
        <v/>
      </c>
      <c r="D2689">
        <f>IF(Skills!C7=1,60+Inputs!$B$26+Inputs!$B$30,IF(Skills!C7=2,90+Inputs!$B$27+Inputs!$B$30,IF(Skills!C7=3,120+Inputs!$B$28+Inputs!$B$30,MAX(0,(Inputs!$B$3-100)*3)+Inputs!$B$29+Inputs!$B$30)))</f>
        <v/>
      </c>
      <c r="E2689">
        <f>INDEX(FactorTable!$B$2:$Y$301, MATCH(ROUND(MIN(300,MAX(1,D2689)),0), FactorTable!$A$2:$A$301,0), Skills!L7+1)</f>
        <v/>
      </c>
      <c r="F2689">
        <f>IF(Skills!M7=TRUE,(Skills!K7/10)*(E2689/1000),Skills!K7/10)+Skills!N7</f>
        <v/>
      </c>
      <c r="G2689">
        <f>Calc!G7</f>
        <v/>
      </c>
      <c r="H2689">
        <f>Calc!H7</f>
        <v/>
      </c>
      <c r="I2689">
        <f>IF(Skills!T7&lt;&gt;"",1+(Skills!T7/10)*($Z$3/1000)/100,1)</f>
        <v/>
      </c>
      <c r="J2689">
        <f>((Inputs!$B$6*(1+Inputs!$B$7/100))+(((Inputs!$B$13*(1+Inputs!$B$14/100))-(Inputs!$B$13*(1+Inputs!$B$14/100)))+0.25*(Inputs!$B$15-Inputs!$B$15))*(1+Inputs!$B$7/100))*(F2689/100)</f>
        <v/>
      </c>
      <c r="K2689">
        <f>J2689*(1+(((Inputs!$B$13+IF(Inputs!$B$3&gt;=35,(10*INDEX(FactorTable!$B$2:$Y$301,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7="TRIUMPH_FEATHER",IF(C2698=TRUE,F2698,0),0)/100)*(1+IF(C2709=TRUE,F2709,0)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2689)</f>
        <v/>
      </c>
      <c r="L2689">
        <f>K2689*(MIN(Inputs!$B$23+(F2704-Calc!F22),(Inputs!$B$24+IF(ArtifactsInput!$M$15,CHOOSE(ArtifactsInput!$N$15+1,25,30,35,40,45,50)/100*(Inputs!$B$12-Inputs!$B$12),0)))/100+(Inputs!$B$24+IF(ArtifactsInput!$M$15,CHOOSE(ArtifactsInput!$N$15+1,25,30,35,40,45,50)/100*(Inputs!$B$12-Inputs!$B$12),0))/100)/2</f>
        <v/>
      </c>
      <c r="M2689">
        <f>L2689*(1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9">
        <f>L2689*(1-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(1-Summary!$B$11)*S2689+Summary!$B$11*U2689</f>
        <v/>
      </c>
      <c r="P2689">
        <f>IF(B2725=0,0,O2689/B2725)</f>
        <v/>
      </c>
      <c r="Q2689">
        <f>IFERROR(1/(IF(Inputs!$B$39="pvp",15,MAX(0.1,Skills!D7-IF(Skills!E6=TRUE,Inputs!$B$33,0)))*(1-IF(AND(ArtifactsInput!$M$27,Inputs!$B$4="Chapter Hunt"),CHOOSE(ArtifactsInput!$N$27+1,20,24,28,32,36,40),0)/100)),0)</f>
        <v/>
      </c>
      <c r="R2689">
        <f>IF(AND(Inputs!$B$39&lt;&gt;"pvp",Inputs!$B$44&gt;0),IF(MAX(0,Inputs!$B$44-B2722)&lt;=0,0,(INT(MAX(0,Inputs!$B$44-B2722)/(IF(Inputs!$B$39="pvp",15,MAX(0.1,Skills!D7-IF(Skills!E6=TRUE,Inputs!$B$33,0)))*(1-IF(AND(ArtifactsInput!$M$27,Inputs!$B$4="Chapter Hunt"),CHOOSE(ArtifactsInput!$N$27+1,20,24,28,32,36,40),0)/100)))+1)),0)</f>
        <v/>
      </c>
      <c r="S2689">
        <f>IF(C2689,H2689*N2689*IF(AND(Inputs!$B$39&lt;&gt;"pvp",Inputs!$B$44&gt;0),((Skills!F7*((R2689-1)*IF(Skills!G7&gt;0,Skills!H7/Skills!G7,1)+IF(Skills!G7&gt;0,MIN(Skills!H7,MAX(0,MAX(0,Inputs!$B$44-B2722)-((R2689-1)*(IF(Inputs!$B$39="pvp",15,MAX(0.1,Skills!D7-IF(Skills!E6=TRUE,Inputs!$B$33,0)))*(1-IF(AND(ArtifactsInput!$M$27,Inputs!$B$4="Chapter Hunt"),CHOOSE(ArtifactsInput!$N$27+1,20,24,28,32,36,40),0)/100)))))/Skills!G7,1)))/Inputs!$B$44),G2689*Q2689)*IF(Inputs!$B$39="pvp",1,1+(Inputs!$B$21+Skills!O7+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9" t="n">
        <v>0</v>
      </c>
    </row>
    <row r="2690">
      <c r="A2690">
        <f>Skills!A8</f>
        <v/>
      </c>
      <c r="B2690">
        <f>Skills!B8</f>
        <v/>
      </c>
      <c r="C2690">
        <f>Inputs!$B$3&gt;=105</f>
        <v/>
      </c>
      <c r="D2690">
        <f>IF(Skills!C8=1,60+Inputs!$B$26+Inputs!$B$30,IF(Skills!C8=2,90+Inputs!$B$27+Inputs!$B$30,IF(Skills!C8=3,120+Inputs!$B$28+Inputs!$B$30,MAX(0,(Inputs!$B$3-100)*3)+Inputs!$B$29+Inputs!$B$30)))</f>
        <v/>
      </c>
      <c r="E2690">
        <f>INDEX(FactorTable!$B$2:$Y$301, MATCH(ROUND(MIN(300,MAX(1,D2690)),0), FactorTable!$A$2:$A$301,0), Skills!L8+1)</f>
        <v/>
      </c>
      <c r="F2690">
        <f>IF(Skills!M8=TRUE,(Skills!K8/10)*(E2690/1000),Skills!K8/10)+Skills!N8</f>
        <v/>
      </c>
      <c r="G2690">
        <f>Calc!G8</f>
        <v/>
      </c>
      <c r="H2690">
        <f>Calc!H8</f>
        <v/>
      </c>
      <c r="I2690">
        <f>IF(Skills!T8&lt;&gt;"",1+(Skills!T8/10)*($Z$3/1000)/100,1)</f>
        <v/>
      </c>
      <c r="J2690">
        <f>((Inputs!$B$6*(1+Inputs!$B$7/100))+(((Inputs!$B$13*(1+Inputs!$B$14/100))-(Inputs!$B$13*(1+Inputs!$B$14/100)))+0.25*(Inputs!$B$15-Inputs!$B$15))*(1+Inputs!$B$7/100))*(F2690/100)</f>
        <v/>
      </c>
      <c r="K2690">
        <f>J2690*(1+(((Inputs!$B$13+IF(Inputs!$B$3&gt;=35,(10*INDEX(FactorTable!$B$2:$Y$301,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8="TRIUMPH_FEATHER",IF(C2698=TRUE,F2698,0),0)/100)*(1+IF(C2709=TRUE,F2709,0)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2690)</f>
        <v/>
      </c>
      <c r="L2690">
        <f>K2690*(MIN(Inputs!$B$23+(F2704-Calc!F22),(Inputs!$B$24+IF(ArtifactsInput!$M$15,CHOOSE(ArtifactsInput!$N$15+1,25,30,35,40,45,50)/100*(Inputs!$B$12-Inputs!$B$12),0)))/100+(Inputs!$B$24+IF(ArtifactsInput!$M$15,CHOOSE(ArtifactsInput!$N$15+1,25,30,35,40,45,50)/100*(Inputs!$B$12-Inputs!$B$12),0))/100)/2</f>
        <v/>
      </c>
      <c r="M2690">
        <f>L2690*(1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0">
        <f>L2690*(1-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2690*(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0">
        <f>(1-Summary!$B$11)*S2690+Summary!$B$11*U2690</f>
        <v/>
      </c>
      <c r="P2690">
        <f>IF(B2725=0,0,O2690/B2725)</f>
        <v/>
      </c>
      <c r="Q2690">
        <f>IFERROR(1/(IF(Inputs!$B$39="pvp",15,MAX(0.1,Skills!D8-IF(Skills!E8=TRUE,Inputs!$B$33,0)))*(1-IF(AND(ArtifactsInput!$M$27,Inputs!$B$4="Chapter Hunt"),CHOOSE(ArtifactsInput!$N$27+1,20,24,28,32,36,40),0)/100)),0)</f>
        <v/>
      </c>
      <c r="R2690">
        <f>IF(AND(Inputs!$B$39&lt;&gt;"pvp",Inputs!$B$44&gt;0),IF(MAX(0,Inputs!$B$44-B2722)&lt;=0,0,(INT(MAX(0,Inputs!$B$44-B2722)/(IF(Inputs!$B$39="pvp",15,MAX(0.1,Skills!D8-IF(Skills!E8=TRUE,Inputs!$B$33,0)))*(1-IF(AND(ArtifactsInput!$M$27,Inputs!$B$4="Chapter Hunt"),CHOOSE(ArtifactsInput!$N$27+1,20,24,28,32,36,40),0)/100)))+1)),0)</f>
        <v/>
      </c>
      <c r="S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$21+Skills!O8+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2690*(1-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2690*(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2690*(1-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2690*(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$22+Skills!P8+B2714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1">
      <c r="A2691">
        <f>Skills!A9</f>
        <v/>
      </c>
      <c r="B2691">
        <f>Skills!B9</f>
        <v/>
      </c>
      <c r="C2691">
        <f>Inputs!$B$3&gt;=115</f>
        <v/>
      </c>
      <c r="D2691">
        <f>IF(Skills!C9=1,60+Inputs!$B$26+Inputs!$B$30,IF(Skills!C9=2,90+Inputs!$B$27+Inputs!$B$30,IF(Skills!C9=3,120+Inputs!$B$28+Inputs!$B$30,MAX(0,(Inputs!$B$3-100)*3)+Inputs!$B$29+Inputs!$B$30)))</f>
        <v/>
      </c>
      <c r="E2691">
        <f>INDEX(FactorTable!$B$2:$Y$301, MATCH(ROUND(MIN(300,MAX(1,D2691)),0), FactorTable!$A$2:$A$301,0), Skills!L9+1)</f>
        <v/>
      </c>
      <c r="F2691">
        <f>IF(Skills!M9=TRUE,(Skills!K9/10)*(E2691/1000),Skills!K9/10)+Skills!N9</f>
        <v/>
      </c>
      <c r="G2691">
        <f>Calc!G9</f>
        <v/>
      </c>
      <c r="H2691">
        <f>Calc!H9</f>
        <v/>
      </c>
      <c r="I2691">
        <f>IF(Skills!T9&lt;&gt;"",1+(Skills!T9/10)*($Z$3/1000)/100,1)</f>
        <v/>
      </c>
      <c r="J2691">
        <f>((Inputs!$B$6*(1+Inputs!$B$7/100))+(((Inputs!$B$13*(1+Inputs!$B$14/100))-(Inputs!$B$13*(1+Inputs!$B$14/100)))+0.25*(Inputs!$B$15-Inputs!$B$15))*(1+Inputs!$B$7/100))*(F2691/100)</f>
        <v/>
      </c>
      <c r="K2691">
        <f>J2691*(1+(((Inputs!$B$13+IF(Inputs!$B$3&gt;=35,(10*INDEX(FactorTable!$B$2:$Y$301,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9="TRIUMPH_FEATHER",IF(C2698=TRUE,F2698,0),0)/100)*(1+IF(C2709=TRUE,F2709,0)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2691)</f>
        <v/>
      </c>
      <c r="L2691">
        <f>K2691*(MIN(Inputs!$B$23+(F2704-Calc!F22),(Inputs!$B$24+IF(ArtifactsInput!$M$15,CHOOSE(ArtifactsInput!$N$15+1,25,30,35,40,45,50)/100*(Inputs!$B$12-Inputs!$B$12),0)))/100+(Inputs!$B$24+IF(ArtifactsInput!$M$15,CHOOSE(ArtifactsInput!$N$15+1,25,30,35,40,45,50)/100*(Inputs!$B$12-Inputs!$B$12),0))/100)/2</f>
        <v/>
      </c>
      <c r="M2691">
        <f>L2691*(1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1">
        <f>L2691*(1-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1">
        <f>(1-Summary!$B$11)*S2691+Summary!$B$11*U2691</f>
        <v/>
      </c>
      <c r="P2691">
        <f>IF(B2725=0,0,O2691/B2725)</f>
        <v/>
      </c>
      <c r="Q2691">
        <f>IFERROR(1/(IF(Inputs!$B$39="pvp",15,MAX(0.1,Skills!D9-IF(Skills!E9=TRUE,Inputs!$B$33,0)))*(1-IF(AND(ArtifactsInput!$M$27,Inputs!$B$4="Chapter Hunt"),CHOOSE(ArtifactsInput!$N$27+1,20,24,28,32,36,40),0)/100)),0)</f>
        <v/>
      </c>
      <c r="R2691">
        <f>IF(AND(Inputs!$B$39&lt;&gt;"pvp",Inputs!$B$44&gt;0),IF(MAX(0,Inputs!$B$44-B2722)&lt;=0,0,(INT(MAX(0,Inputs!$B$44-B2722)/(IF(Inputs!$B$39="pvp",15,MAX(0.1,Skills!D9-IF(Skills!E9=TRUE,Inputs!$B$33,0)))*(1-IF(AND(ArtifactsInput!$M$27,Inputs!$B$4="Chapter Hunt"),CHOOSE(ArtifactsInput!$N$27+1,20,24,28,32,36,40),0)/100)))+1)),0)</f>
        <v/>
      </c>
      <c r="S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$21+Skills!O9+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2691*(1-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2691*(1-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$22+Skills!P9+B2714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2">
      <c r="A2692">
        <f>Skills!A10</f>
        <v/>
      </c>
      <c r="B2692">
        <f>Skills!B10</f>
        <v/>
      </c>
      <c r="C2692">
        <f>Inputs!$B$3&gt;=66</f>
        <v/>
      </c>
      <c r="D2692">
        <f>IF(Skills!C10=1,60+Inputs!$B$26+Inputs!$B$30,IF(Skills!C10=2,90+Inputs!$B$27+Inputs!$B$30,IF(Skills!C10=3,120+Inputs!$B$28+Inputs!$B$30,MAX(0,(Inputs!$B$3-100)*3)+Inputs!$B$29+Inputs!$B$30)))</f>
        <v/>
      </c>
      <c r="E2692">
        <f>INDEX(FactorTable!$B$2:$Y$301, MATCH(ROUND(MIN(300,MAX(1,D2692)),0), FactorTable!$A$2:$A$301,0), Skills!L10+1)</f>
        <v/>
      </c>
      <c r="F2692" t="n">
        <v>0</v>
      </c>
      <c r="G2692">
        <f>Calc!G10</f>
        <v/>
      </c>
      <c r="H2692">
        <f>Calc!H10</f>
        <v/>
      </c>
      <c r="I2692">
        <f>IF(Skills!T10&lt;&gt;"",1+(Skills!T10/10)*($Z$3/1000)/100,1)</f>
        <v/>
      </c>
      <c r="J2692" t="inlineStr"/>
      <c r="K2692" t="inlineStr"/>
      <c r="L2692" t="inlineStr"/>
      <c r="M2692" t="inlineStr"/>
      <c r="N2692" t="inlineStr"/>
      <c r="O2692">
        <f>(1-Summary!$B$11)*S2692+Summary!$B$11*U2692</f>
        <v/>
      </c>
      <c r="P2692">
        <f>IF(B2725=0,0,O2692/B2725)</f>
        <v/>
      </c>
      <c r="Q2692">
        <f>IFERROR(1/(IF(Inputs!$B$39="pvp",15,MAX(0.1,Skills!D10-IF(Skills!E10=TRUE,Inputs!$B$33,0)))*(1-IF(AND(ArtifactsInput!$M$27,Inputs!$B$4="Chapter Hunt"),CHOOSE(ArtifactsInput!$N$27+1,20,24,28,32,36,40),0)/100)),0)</f>
        <v/>
      </c>
      <c r="R2692">
        <f>IF(AND(Inputs!$B$39&lt;&gt;"pvp",Inputs!$B$44&gt;0),IF(MAX(0,Inputs!$B$44-B2722)&lt;=0,0,(INT(MAX(0,Inputs!$B$44-B2722)/(IF(Inputs!$B$39="pvp",15,MAX(0.1,Skills!D10-IF(Skills!E10=TRUE,Inputs!$B$33,0)))*(1-IF(AND(ArtifactsInput!$M$27,Inputs!$B$4="Chapter Hunt"),CHOOSE(ArtifactsInput!$N$27+1,20,24,28,32,36,40),0)/100)))+1)),0)</f>
        <v/>
      </c>
      <c r="S2692" t="n">
        <v>0</v>
      </c>
      <c r="U2692" t="n">
        <v>0</v>
      </c>
    </row>
    <row r="2693">
      <c r="A2693">
        <f>Skills!A11</f>
        <v/>
      </c>
      <c r="B2693">
        <f>Skills!B11</f>
        <v/>
      </c>
      <c r="C2693">
        <f>Inputs!$B$3&gt;=69</f>
        <v/>
      </c>
      <c r="D2693">
        <f>IF(Skills!C11=1,60+Inputs!$B$26+Inputs!$B$30,IF(Skills!C11=2,90+Inputs!$B$27+Inputs!$B$30,IF(Skills!C11=3,120+Inputs!$B$28+Inputs!$B$30,MAX(0,(Inputs!$B$3-100)*3)+Inputs!$B$29+Inputs!$B$30)))</f>
        <v/>
      </c>
      <c r="E2693">
        <f>INDEX(FactorTable!$B$2:$Y$301, MATCH(ROUND(MIN(300,MAX(1,D2693)),0), FactorTable!$A$2:$A$301,0), Skills!L11+1)</f>
        <v/>
      </c>
      <c r="F2693">
        <f>IF(Skills!M11=TRUE,(Skills!K11/10)*(E2693/1000),Skills!K11/10)+Skills!N11</f>
        <v/>
      </c>
      <c r="G2693">
        <f>Calc!G11</f>
        <v/>
      </c>
      <c r="H2693">
        <f>Calc!H11</f>
        <v/>
      </c>
      <c r="I2693">
        <f>IF(Skills!T11&lt;&gt;"",1+(Skills!T11/10)*($Z$3/1000)/100,1)</f>
        <v/>
      </c>
      <c r="J2693" t="inlineStr"/>
      <c r="K2693" t="inlineStr"/>
      <c r="L2693" t="inlineStr"/>
      <c r="M2693" t="inlineStr"/>
      <c r="N2693" t="inlineStr"/>
      <c r="O2693">
        <f>(1-Summary!$B$11)*S2693+Summary!$B$11*U2693</f>
        <v/>
      </c>
      <c r="P2693">
        <f>IF(B2725=0,0,O2693/B2725)</f>
        <v/>
      </c>
      <c r="Q2693">
        <f>IFERROR(1/(IF(Inputs!$B$39="pvp",15,MAX(0.1,Skills!D11-IF(Skills!E11=TRUE,Inputs!$B$33,0)))*(1-IF(AND(ArtifactsInput!$M$27,Inputs!$B$4="Chapter Hunt"),CHOOSE(ArtifactsInput!$N$27+1,20,24,28,32,36,40),0)/100)),0)</f>
        <v/>
      </c>
      <c r="R2693">
        <f>IF(AND(Inputs!$B$39&lt;&gt;"pvp",Inputs!$B$44&gt;0),IF(Inputs!$B$44&lt;=0,0,(INT(Inputs!$B$44/(IF(Inputs!$B$39="pvp",15,MAX(0.1,Skills!D11-IF(Skills!E11=TRUE,Inputs!$B$33,0)))*(1-IF(AND(ArtifactsInput!$M$27,Inputs!$B$4="Chapter Hunt"),CHOOSE(ArtifactsInput!$N$27+1,20,24,28,32,36,40),0)/100)))+1)),0)</f>
        <v/>
      </c>
      <c r="S2693" t="n">
        <v>0</v>
      </c>
      <c r="U2693" t="n">
        <v>0</v>
      </c>
    </row>
    <row r="2694">
      <c r="A2694">
        <f>Skills!A12</f>
        <v/>
      </c>
      <c r="B2694">
        <f>Skills!B12</f>
        <v/>
      </c>
      <c r="C2694">
        <f>Inputs!$B$3&gt;=72</f>
        <v/>
      </c>
      <c r="D2694">
        <f>IF(Skills!C12=1,60+Inputs!$B$26+Inputs!$B$30,IF(Skills!C12=2,90+Inputs!$B$27+Inputs!$B$30,IF(Skills!C12=3,120+Inputs!$B$28+Inputs!$B$30,MAX(0,(Inputs!$B$3-100)*3)+Inputs!$B$29+Inputs!$B$30)))</f>
        <v/>
      </c>
      <c r="E2694">
        <f>INDEX(FactorTable!$B$2:$Y$301, MATCH(ROUND(MIN(300,MAX(1,D2694)),0), FactorTable!$A$2:$A$301,0), Skills!L12+1)</f>
        <v/>
      </c>
      <c r="F2694">
        <f>IF(Skills!M12=TRUE,(Skills!K12/10)*(E2694/1000),Skills!K12/10)+Skills!N12</f>
        <v/>
      </c>
      <c r="G2694">
        <f>Calc!G12</f>
        <v/>
      </c>
      <c r="H2694">
        <f>Calc!H12</f>
        <v/>
      </c>
      <c r="I2694">
        <f>IF(Skills!T12&lt;&gt;"",1+(Skills!T12/10)*($Z$3/1000)/100,1)</f>
        <v/>
      </c>
      <c r="J2694" t="inlineStr"/>
      <c r="K2694" t="inlineStr"/>
      <c r="L2694" t="inlineStr"/>
      <c r="M2694" t="inlineStr"/>
      <c r="N2694" t="inlineStr"/>
      <c r="O2694">
        <f>(1-Summary!$B$11)*S2694+Summary!$B$11*U2694</f>
        <v/>
      </c>
      <c r="P2694">
        <f>IF(B2725=0,0,O2694/B2725)</f>
        <v/>
      </c>
      <c r="Q2694">
        <f>IFERROR(1/(IF(Inputs!$B$39="pvp",15,MAX(0.1,Skills!D12-IF(Skills!E12=TRUE,Inputs!$B$33,0)))*(1-IF(AND(ArtifactsInput!$M$27,Inputs!$B$4="Chapter Hunt"),CHOOSE(ArtifactsInput!$N$27+1,20,24,28,32,36,40),0)/100)),0)</f>
        <v/>
      </c>
      <c r="R2694">
        <f>IF(AND(Inputs!$B$39&lt;&gt;"pvp",Inputs!$B$44&gt;0),IF(MAX(0,Inputs!$B$44-B2722)&lt;=0,0,(INT(MAX(0,Inputs!$B$44-B2722)/(IF(Inputs!$B$39="pvp",15,MAX(0.1,Skills!D12-IF(Skills!E12=TRUE,Inputs!$B$33,0)))*(1-IF(AND(ArtifactsInput!$M$27,Inputs!$B$4="Chapter Hunt"),CHOOSE(ArtifactsInput!$N$27+1,20,24,28,32,36,40),0)/100)))+1)),0)</f>
        <v/>
      </c>
      <c r="S2694" t="n">
        <v>0</v>
      </c>
      <c r="U2694" t="n">
        <v>0</v>
      </c>
    </row>
    <row r="2695">
      <c r="A2695">
        <f>Skills!A13</f>
        <v/>
      </c>
      <c r="B2695">
        <f>Skills!B13</f>
        <v/>
      </c>
      <c r="C2695">
        <f>Inputs!$B$3&gt;=60</f>
        <v/>
      </c>
      <c r="D2695">
        <f>IF(Skills!C13=1,60+Inputs!$B$26+Inputs!$B$30,IF(Skills!C13=2,90+Inputs!$B$27+Inputs!$B$30,IF(Skills!C13=3,120+Inputs!$B$28+Inputs!$B$30,MAX(0,(Inputs!$B$3-100)*3)+Inputs!$B$29+Inputs!$B$30)))</f>
        <v/>
      </c>
      <c r="E2695">
        <f>INDEX(FactorTable!$B$2:$Y$301, MATCH(ROUND(MIN(300,MAX(1,D2695)),0), FactorTable!$A$2:$A$301,0), Skills!L13+1)</f>
        <v/>
      </c>
      <c r="F2695">
        <f>IF(Skills!M13=TRUE,(Skills!K13/10)*(E2695/1000),Skills!K13/10)+Skills!N13</f>
        <v/>
      </c>
      <c r="G2695">
        <f>Calc!G13</f>
        <v/>
      </c>
      <c r="H2695">
        <f>Calc!H13</f>
        <v/>
      </c>
      <c r="I2695">
        <f>IF(Skills!T13&lt;&gt;"",1+(Skills!T13/10)*($Z$3/1000)/100,1)</f>
        <v/>
      </c>
      <c r="J2695" t="inlineStr"/>
      <c r="K2695" t="inlineStr"/>
      <c r="L2695" t="inlineStr"/>
      <c r="M2695" t="inlineStr"/>
      <c r="N2695" t="inlineStr"/>
      <c r="O2695">
        <f>(1-Summary!$B$11)*S2695+Summary!$B$11*U2695</f>
        <v/>
      </c>
      <c r="P2695">
        <f>IF(B2725=0,0,O2695/B2725)</f>
        <v/>
      </c>
      <c r="Q2695">
        <f>IFERROR(1/(IF(Inputs!$B$39="pvp",15,MAX(0.1,Skills!D13-IF(Skills!E13=TRUE,Inputs!$B$33,0)))*(1-IF(AND(ArtifactsInput!$M$27,Inputs!$B$4="Chapter Hunt"),CHOOSE(ArtifactsInput!$N$27+1,20,24,28,32,36,40),0)/100)),0)</f>
        <v/>
      </c>
      <c r="R2695">
        <f>IF(AND(Inputs!$B$39&lt;&gt;"pvp",Inputs!$B$44&gt;0),IF(MAX(0,Inputs!$B$44-B2722)&lt;=0,0,(INT(MAX(0,Inputs!$B$44-B2722)/(IF(Inputs!$B$39="pvp",15,MAX(0.1,Skills!D13-IF(Skills!E13=TRUE,Inputs!$B$33,0)))*(1-IF(AND(ArtifactsInput!$M$27,Inputs!$B$4="Chapter Hunt"),CHOOSE(ArtifactsInput!$N$27+1,20,24,28,32,36,40),0)/100)))+1)),0)</f>
        <v/>
      </c>
      <c r="S2695" t="n">
        <v>0</v>
      </c>
      <c r="U2695" t="n">
        <v>0</v>
      </c>
    </row>
    <row r="2696">
      <c r="A2696">
        <f>Skills!A14</f>
        <v/>
      </c>
      <c r="B2696">
        <f>Skills!B14</f>
        <v/>
      </c>
      <c r="C2696">
        <f>Inputs!$B$3&gt;=107</f>
        <v/>
      </c>
      <c r="D2696">
        <f>IF(Skills!C14=1,60+Inputs!$B$26+Inputs!$B$30,IF(Skills!C14=2,90+Inputs!$B$27+Inputs!$B$30,IF(Skills!C14=3,120+Inputs!$B$28+Inputs!$B$30,MAX(0,(Inputs!$B$3-100)*3)+Inputs!$B$29+Inputs!$B$30)))</f>
        <v/>
      </c>
      <c r="E2696">
        <f>INDEX(FactorTable!$B$2:$Y$301, MATCH(ROUND(MIN(300,MAX(1,D2696)),0), FactorTable!$A$2:$A$301,0), Skills!L14+1)</f>
        <v/>
      </c>
      <c r="F2696">
        <f>IF(Skills!M14=TRUE,(Skills!K14/10)*(E2696/1000),Skills!K14/10)+Skills!N14</f>
        <v/>
      </c>
      <c r="G2696">
        <f>Calc!G14</f>
        <v/>
      </c>
      <c r="H2696">
        <f>Calc!H14</f>
        <v/>
      </c>
      <c r="I2696">
        <f>IF(Skills!T14&lt;&gt;"",1+(Skills!T14/10)*($Z$3/1000)/100,1)</f>
        <v/>
      </c>
      <c r="J2696" t="inlineStr"/>
      <c r="K2696" t="inlineStr"/>
      <c r="L2696" t="inlineStr"/>
      <c r="M2696" t="inlineStr"/>
      <c r="N2696" t="inlineStr"/>
      <c r="O2696">
        <f>(1-Summary!$B$11)*S2696+Summary!$B$11*U2696</f>
        <v/>
      </c>
      <c r="P2696">
        <f>IF(B2725=0,0,O2696/B2725)</f>
        <v/>
      </c>
      <c r="Q2696">
        <f>IFERROR(1/(IF(Inputs!$B$39="pvp",15,MAX(0.1,Skills!D14-IF(Skills!E14=TRUE,Inputs!$B$33,0)))*(1-IF(AND(ArtifactsInput!$M$27,Inputs!$B$4="Chapter Hunt"),CHOOSE(ArtifactsInput!$N$27+1,20,24,28,32,36,40),0)/100)),0)</f>
        <v/>
      </c>
      <c r="R2696">
        <f>IF(AND(Inputs!$B$39&lt;&gt;"pvp",Inputs!$B$44&gt;0),IF(Inputs!$B$44&lt;=0,0,(INT(Inputs!$B$44/(IF(Inputs!$B$39="pvp",15,MAX(0.1,Skills!D14-IF(Skills!E14=TRUE,Inputs!$B$33,0)))*(1-IF(AND(ArtifactsInput!$M$27,Inputs!$B$4="Chapter Hunt"),CHOOSE(ArtifactsInput!$N$27+1,20,24,28,32,36,40),0)/100)))+1)),0)</f>
        <v/>
      </c>
      <c r="S2696" t="n">
        <v>0</v>
      </c>
      <c r="U2696" t="n">
        <v>0</v>
      </c>
    </row>
    <row r="2697">
      <c r="A2697">
        <f>Skills!A15</f>
        <v/>
      </c>
      <c r="B2697">
        <f>Skills!B15</f>
        <v/>
      </c>
      <c r="C2697">
        <f>Inputs!$B$3&gt;=63</f>
        <v/>
      </c>
      <c r="D2697">
        <f>IF(Skills!C15=1,60+Inputs!$B$26+Inputs!$B$30,IF(Skills!C15=2,90+Inputs!$B$27+Inputs!$B$30,IF(Skills!C15=3,120+Inputs!$B$28+Inputs!$B$30,MAX(0,(Inputs!$B$3-100)*3)+Inputs!$B$29+Inputs!$B$30)))</f>
        <v/>
      </c>
      <c r="E2697">
        <f>INDEX(FactorTable!$B$2:$Y$301, MATCH(ROUND(MIN(300,MAX(1,D2697)),0), FactorTable!$A$2:$A$301,0), Skills!L15+1)</f>
        <v/>
      </c>
      <c r="F2697">
        <f>IF(Skills!M15=TRUE,(Skills!K15/10)*(E2697/1000),Skills!K15/10)+Skills!N15</f>
        <v/>
      </c>
      <c r="G2697">
        <f>Calc!G15</f>
        <v/>
      </c>
      <c r="H2697">
        <f>Calc!H15</f>
        <v/>
      </c>
      <c r="I2697">
        <f>IF(Skills!T15&lt;&gt;"",1+(Skills!T15/10)*($Z$3/1000)/100,1)</f>
        <v/>
      </c>
      <c r="J2697">
        <f>((Inputs!$B$6*(1+Inputs!$B$7/100))+(((Inputs!$B$13*(1+Inputs!$B$14/100))-(Inputs!$B$13*(1+Inputs!$B$14/100)))+0.25*(Inputs!$B$15-Inputs!$B$15))*(1+Inputs!$B$7/100))*(F2697/100)</f>
        <v/>
      </c>
      <c r="K2697">
        <f>J2697*(1+(((Inputs!$B$13+IF(Inputs!$B$3&gt;=35,(10*INDEX(FactorTable!$B$2:$Y$301,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15="TRIUMPH_FEATHER",IF(C2698=TRUE,F2698,0),0)/100)*(1+IF(C2709=TRUE,F2709,0)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2697)</f>
        <v/>
      </c>
      <c r="L2697">
        <f>K2697*(MIN(Inputs!$B$23+(F2704-Calc!F22),(Inputs!$B$24+IF(ArtifactsInput!$M$15,CHOOSE(ArtifactsInput!$N$15+1,25,30,35,40,45,50)/100*(Inputs!$B$12-Inputs!$B$12),0)))/100+(Inputs!$B$24+IF(ArtifactsInput!$M$15,CHOOSE(ArtifactsInput!$N$15+1,25,30,35,40,45,50)/100*(Inputs!$B$12-Inputs!$B$12),0))/100)/2</f>
        <v/>
      </c>
      <c r="M2697">
        <f>L2697*(1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7">
        <f>L2697*(1-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2697*(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7">
        <f>(1-Summary!$B$11)*S2697+Summary!$B$11*U2697</f>
        <v/>
      </c>
      <c r="P2697">
        <f>IF(B2725=0,0,O2697/B2725)</f>
        <v/>
      </c>
      <c r="Q2697">
        <f>IFERROR(1/(IF(Inputs!$B$39="pvp",15,MAX(0.1,Skills!D15-IF(Skills!E15=TRUE,Inputs!$B$33,0)))*(1-IF(AND(ArtifactsInput!$M$27,Inputs!$B$4="Chapter Hunt"),CHOOSE(ArtifactsInput!$N$27+1,20,24,28,32,36,40),0)/100)),0)</f>
        <v/>
      </c>
      <c r="R2697" t="n">
        <v>0</v>
      </c>
      <c r="S2697">
        <f>IF(C2697,(Skills!F15*N2697*((IF(Inputs!$B$3&gt;=78,25,15)/100*B2718*10)/(1+IF(Inputs!$B$3&gt;=78,25,15)/100*B2718*10))*(Skills!I15/100*B2718)/(1+Skills!G15*Skills!I15/100*B2718))*IF(Inputs!$B$39="pvp",1,1+(Inputs!$B$21+Skills!O15+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2697*(1-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2697*(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2697*(1-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2697*(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7">
        <f>IF(C2697,(Skills!F15*N2697*((IF(Inputs!$B$3&gt;=78,25,15)/100*B2718*10)/(1+IF(Inputs!$B$3&gt;=78,25,15)/100*B2718*10))*(Skills!I15/100*B2718)/(1+Skills!G15*Skills!I15/100*B2718))*IF(Inputs!$B$39="pvp",1,(1+(Inputs!$B$22+Skills!P15+B2714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8">
      <c r="A2698">
        <f>Skills!A16</f>
        <v/>
      </c>
      <c r="B2698">
        <f>Skills!B16</f>
        <v/>
      </c>
      <c r="C2698">
        <f>Inputs!$B$3&gt;=100</f>
        <v/>
      </c>
      <c r="D2698">
        <f>IF(Skills!C16=1,60+Inputs!$B$26+Inputs!$B$30,IF(Skills!C16=2,90+Inputs!$B$27+Inputs!$B$30,IF(Skills!C16=3,120+Inputs!$B$28+Inputs!$B$30,MAX(0,(Inputs!$B$3-100)*3)+Inputs!$B$29+Inputs!$B$30)))</f>
        <v/>
      </c>
      <c r="E2698">
        <f>INDEX(FactorTable!$B$2:$Y$301, MATCH(ROUND(MIN(300,MAX(1,D2698)),0), FactorTable!$A$2:$A$301,0), Skills!L16+1)</f>
        <v/>
      </c>
      <c r="F2698">
        <f>IF(Skills!M16=TRUE,(Skills!K16/10)*(E2698/1000),Skills!K16/10)+Skills!N16</f>
        <v/>
      </c>
      <c r="G2698">
        <f>Calc!G16</f>
        <v/>
      </c>
      <c r="H2698">
        <f>Calc!H16</f>
        <v/>
      </c>
      <c r="I2698">
        <f>IF(Skills!T16&lt;&gt;"",1+(Skills!T16/10)*($Z$3/1000)/100,1)</f>
        <v/>
      </c>
      <c r="J2698" t="inlineStr"/>
      <c r="K2698" t="inlineStr"/>
      <c r="L2698" t="inlineStr"/>
      <c r="M2698" t="inlineStr"/>
      <c r="N2698" t="inlineStr"/>
      <c r="O2698">
        <f>(1-Summary!$B$11)*S2698+Summary!$B$11*U2698</f>
        <v/>
      </c>
      <c r="P2698">
        <f>IF(B2725=0,0,O2698/B2725)</f>
        <v/>
      </c>
      <c r="Q2698">
        <f>IFERROR(1/(IF(Inputs!$B$39="pvp",15,MAX(0.1,Skills!D16-IF(Skills!E16=TRUE,Inputs!$B$33,0)))*(1-IF(AND(ArtifactsInput!$M$27,Inputs!$B$4="Chapter Hunt"),CHOOSE(ArtifactsInput!$N$27+1,20,24,28,32,36,40),0)/100)),0)</f>
        <v/>
      </c>
      <c r="R2698" t="n">
        <v>0</v>
      </c>
      <c r="S2698" t="n">
        <v>0</v>
      </c>
      <c r="U2698" t="n">
        <v>0</v>
      </c>
    </row>
    <row r="2699">
      <c r="A2699">
        <f>Skills!A17</f>
        <v/>
      </c>
      <c r="B2699">
        <f>Skills!B17</f>
        <v/>
      </c>
      <c r="C2699">
        <f>Inputs!$B$3&gt;=49</f>
        <v/>
      </c>
      <c r="D2699">
        <f>IF(Skills!C17=1,60+Inputs!$B$26+Inputs!$B$30,IF(Skills!C17=2,90+Inputs!$B$27+Inputs!$B$30,IF(Skills!C17=3,120+Inputs!$B$28+Inputs!$B$30,MAX(0,(Inputs!$B$3-100)*3)+Inputs!$B$29+Inputs!$B$30)))</f>
        <v/>
      </c>
      <c r="E2699">
        <f>INDEX(FactorTable!$B$2:$Y$301, MATCH(ROUND(MIN(300,MAX(1,D2699)),0), FactorTable!$A$2:$A$301,0), Skills!L17+1)</f>
        <v/>
      </c>
      <c r="F2699">
        <f>IF(Skills!M17=TRUE,(Skills!K17/10)*(E2699/1000),Skills!K17/10)+Skills!N17</f>
        <v/>
      </c>
      <c r="G2699">
        <f>Calc!G17</f>
        <v/>
      </c>
      <c r="H2699">
        <f>Calc!H17</f>
        <v/>
      </c>
      <c r="I2699">
        <f>IF(Skills!T17&lt;&gt;"",1+(Skills!T17/10)*($Z$3/1000)/100,1)</f>
        <v/>
      </c>
      <c r="J2699" t="inlineStr"/>
      <c r="K2699" t="inlineStr"/>
      <c r="L2699" t="inlineStr"/>
      <c r="M2699" t="inlineStr"/>
      <c r="N2699" t="inlineStr"/>
      <c r="O2699">
        <f>(1-Summary!$B$11)*S2699+Summary!$B$11*U2699</f>
        <v/>
      </c>
      <c r="P2699">
        <f>IF(B2725=0,0,O2699/B2725)</f>
        <v/>
      </c>
      <c r="Q2699">
        <f>IFERROR(1/(IF(Inputs!$B$39="pvp",15,MAX(0.1,Skills!D17-IF(Skills!E17=TRUE,Inputs!$B$33,0)))*(1-IF(AND(ArtifactsInput!$M$27,Inputs!$B$4="Chapter Hunt"),CHOOSE(ArtifactsInput!$N$27+1,20,24,28,32,36,40),0)/100)),0)</f>
        <v/>
      </c>
      <c r="R2699" t="n">
        <v>0</v>
      </c>
      <c r="S2699" t="n">
        <v>0</v>
      </c>
      <c r="U2699" t="n">
        <v>0</v>
      </c>
    </row>
    <row r="2700">
      <c r="A2700">
        <f>Skills!A18</f>
        <v/>
      </c>
      <c r="B2700">
        <f>Skills!B18</f>
        <v/>
      </c>
      <c r="C2700">
        <f>Inputs!$B$3&gt;=75</f>
        <v/>
      </c>
      <c r="D2700">
        <f>IF(Skills!C18=1,60+Inputs!$B$26+Inputs!$B$30,IF(Skills!C18=2,90+Inputs!$B$27+Inputs!$B$30,IF(Skills!C18=3,120+Inputs!$B$28+Inputs!$B$30,MAX(0,(Inputs!$B$3-100)*3)+Inputs!$B$29+Inputs!$B$30)))</f>
        <v/>
      </c>
      <c r="E2700">
        <f>INDEX(FactorTable!$B$2:$Y$301, MATCH(ROUND(MIN(300,MAX(1,D2700)),0), FactorTable!$A$2:$A$301,0), Skills!L18+1)</f>
        <v/>
      </c>
      <c r="F2700">
        <f>IF(Skills!M18=TRUE,(Skills!K18/10)*(E2700/1000),Skills!K18/10)+Skills!N18</f>
        <v/>
      </c>
      <c r="G2700">
        <f>Calc!G18</f>
        <v/>
      </c>
      <c r="H2700">
        <f>Calc!H18</f>
        <v/>
      </c>
      <c r="I2700">
        <f>IF(Skills!T18&lt;&gt;"",1+(Skills!T18/10)*($Z$3/1000)/100,1)</f>
        <v/>
      </c>
      <c r="J2700" t="inlineStr"/>
      <c r="K2700" t="inlineStr"/>
      <c r="L2700" t="inlineStr"/>
      <c r="M2700" t="inlineStr"/>
      <c r="N2700" t="inlineStr"/>
      <c r="O2700">
        <f>(1-Summary!$B$11)*S2700+Summary!$B$11*U2700</f>
        <v/>
      </c>
      <c r="P2700">
        <f>IF(B2725=0,0,O2700/B2725)</f>
        <v/>
      </c>
      <c r="Q2700">
        <f>IFERROR(1/(IF(Inputs!$B$39="pvp",15,MAX(0.1,Skills!D18-IF(Skills!E18=TRUE,Inputs!$B$33,0)))*(1-IF(AND(ArtifactsInput!$M$27,Inputs!$B$4="Chapter Hunt"),CHOOSE(ArtifactsInput!$N$27+1,20,24,28,32,36,40),0)/100)),0)</f>
        <v/>
      </c>
      <c r="R2700" t="n">
        <v>0</v>
      </c>
      <c r="S2700" t="n">
        <v>0</v>
      </c>
      <c r="U2700" t="n">
        <v>0</v>
      </c>
    </row>
    <row r="2701">
      <c r="A2701">
        <f>Skills!A19</f>
        <v/>
      </c>
      <c r="B2701">
        <f>Skills!B19</f>
        <v/>
      </c>
      <c r="C2701">
        <f>Inputs!$B$3&gt;=110</f>
        <v/>
      </c>
      <c r="D2701">
        <f>IF(Skills!C19=1,60+Inputs!$B$26+Inputs!$B$30,IF(Skills!C19=2,90+Inputs!$B$27+Inputs!$B$30,IF(Skills!C19=3,120+Inputs!$B$28+Inputs!$B$30,MAX(0,(Inputs!$B$3-100)*3)+Inputs!$B$29+Inputs!$B$30)))</f>
        <v/>
      </c>
      <c r="E2701">
        <f>INDEX(FactorTable!$B$2:$Y$301, MATCH(ROUND(MIN(300,MAX(1,D2701)),0), FactorTable!$A$2:$A$301,0), Skills!L19+1)</f>
        <v/>
      </c>
      <c r="F2701">
        <f>(Skills!K19/10)*(E2701/1000)*64/45+Skills!N19</f>
        <v/>
      </c>
      <c r="G2701">
        <f>Calc!G19</f>
        <v/>
      </c>
      <c r="H2701">
        <f>Calc!H19</f>
        <v/>
      </c>
      <c r="I2701">
        <f>IF(Skills!T19&lt;&gt;"",1+(Skills!T19/10)*($Z$3/1000)/100,1)</f>
        <v/>
      </c>
      <c r="J2701" t="inlineStr"/>
      <c r="K2701" t="inlineStr"/>
      <c r="L2701" t="inlineStr"/>
      <c r="M2701" t="inlineStr"/>
      <c r="N2701" t="inlineStr"/>
      <c r="O2701">
        <f>(1-Summary!$B$11)*S2701+Summary!$B$11*U2701</f>
        <v/>
      </c>
      <c r="P2701">
        <f>IF(B2725=0,0,O2701/B2725)</f>
        <v/>
      </c>
      <c r="Q2701">
        <f>IFERROR(1/(IF(Inputs!$B$39="pvp",15,MAX(0.1,Skills!D19-IF(Skills!E19=TRUE,Inputs!$B$33,0)))*(1-IF(AND(ArtifactsInput!$M$27,Inputs!$B$4="Chapter Hunt"),CHOOSE(ArtifactsInput!$N$27+1,20,24,28,32,36,40),0)/100)),0)</f>
        <v/>
      </c>
      <c r="R2701">
        <f>IF(AND(Inputs!$B$39&lt;&gt;"pvp",Inputs!$B$44&gt;0),IF(Inputs!$B$44&lt;=0,0,(INT(Inputs!$B$44/(IF(Inputs!$B$39="pvp",15,MAX(0.1,Skills!D19-IF(Skills!E19=TRUE,Inputs!$B$33,0)))*(1-IF(AND(ArtifactsInput!$M$27,Inputs!$B$4="Chapter Hunt"),CHOOSE(ArtifactsInput!$N$27+1,20,24,28,32,36,40),0)/100)))+1)),0)</f>
        <v/>
      </c>
      <c r="S2701" t="n">
        <v>0</v>
      </c>
      <c r="U2701" t="n">
        <v>0</v>
      </c>
    </row>
    <row r="2702">
      <c r="A2702">
        <f>Skills!A20</f>
        <v/>
      </c>
      <c r="B2702">
        <f>Skills!B20</f>
        <v/>
      </c>
      <c r="C2702">
        <f>Inputs!$B$3&gt;=125</f>
        <v/>
      </c>
      <c r="D2702">
        <f>IF(Skills!C20=1,60+Inputs!$B$26+Inputs!$B$30,IF(Skills!C20=2,90+Inputs!$B$27+Inputs!$B$30,IF(Skills!C20=3,120+Inputs!$B$28+Inputs!$B$30,MAX(0,(Inputs!$B$3-100)*3)+Inputs!$B$29+Inputs!$B$30)))</f>
        <v/>
      </c>
      <c r="E2702">
        <f>INDEX(FactorTable!$B$2:$Y$301, MATCH(ROUND(MIN(300,MAX(1,D2702)),0), FactorTable!$A$2:$A$301,0), Skills!L20+1)</f>
        <v/>
      </c>
      <c r="F2702">
        <f>IF(Skills!M20=TRUE,(Skills!K20/10)*(E2702/1000),Skills!K20/10)+Skills!N20</f>
        <v/>
      </c>
      <c r="G2702">
        <f>Calc!G20</f>
        <v/>
      </c>
      <c r="H2702">
        <f>Calc!H20</f>
        <v/>
      </c>
      <c r="I2702">
        <f>IF(Skills!T20&lt;&gt;"",1+(Skills!T20/10)*($Z$3/1000)/100,1)</f>
        <v/>
      </c>
      <c r="J2702" t="inlineStr"/>
      <c r="K2702" t="inlineStr"/>
      <c r="L2702" t="inlineStr"/>
      <c r="M2702" t="inlineStr"/>
      <c r="N2702" t="inlineStr"/>
      <c r="O2702">
        <f>(1-Summary!$B$11)*S2702+Summary!$B$11*U2702</f>
        <v/>
      </c>
      <c r="P2702">
        <f>IF(B2725=0,0,O2702/B2725)</f>
        <v/>
      </c>
      <c r="Q2702">
        <f>IFERROR(1/(IF(Inputs!$B$39="pvp",15,MAX(0.1,Skills!D20-IF(Skills!E20=TRUE,Inputs!$B$33,0)))*(1-IF(AND(ArtifactsInput!$M$27,Inputs!$B$4="Chapter Hunt"),CHOOSE(ArtifactsInput!$N$27+1,20,24,28,32,36,40),0)/100)),0)</f>
        <v/>
      </c>
      <c r="R2702" t="n">
        <v>0</v>
      </c>
      <c r="S2702" t="n">
        <v>0</v>
      </c>
      <c r="U2702" t="n">
        <v>0</v>
      </c>
    </row>
    <row r="2703">
      <c r="A2703">
        <f>Skills!A21</f>
        <v/>
      </c>
      <c r="B2703">
        <f>Skills!B21</f>
        <v/>
      </c>
      <c r="C2703">
        <f>Inputs!$B$3&gt;=33</f>
        <v/>
      </c>
      <c r="D2703">
        <f>IF(Skills!C21=1,60+Inputs!$B$26+Inputs!$B$30,IF(Skills!C21=2,90+Inputs!$B$27+Inputs!$B$30,IF(Skills!C21=3,120+Inputs!$B$28+Inputs!$B$30,MAX(0,(Inputs!$B$3-100)*3)+Inputs!$B$29+Inputs!$B$30)))</f>
        <v/>
      </c>
      <c r="E2703">
        <f>INDEX(FactorTable!$B$2:$Y$301, MATCH(ROUND(MIN(300,MAX(1,D2703)),0), FactorTable!$A$2:$A$301,0), Skills!L21+1)</f>
        <v/>
      </c>
      <c r="F2703">
        <f>IF(Skills!M21=TRUE,(Skills!K21/10)*(E2703/1000),Skills!K21/10)+Skills!N21</f>
        <v/>
      </c>
      <c r="G2703">
        <f>Calc!G21</f>
        <v/>
      </c>
      <c r="H2703">
        <f>Calc!H21</f>
        <v/>
      </c>
      <c r="I2703">
        <f>IF(Skills!T21&lt;&gt;"",1+(Skills!T21/10)*($Z$3/1000)/100,1)</f>
        <v/>
      </c>
      <c r="J2703" t="inlineStr"/>
      <c r="K2703" t="inlineStr"/>
      <c r="L2703" t="inlineStr"/>
      <c r="M2703" t="inlineStr"/>
      <c r="N2703" t="inlineStr"/>
      <c r="O2703">
        <f>(1-Summary!$B$11)*S2703+Summary!$B$11*U2703</f>
        <v/>
      </c>
      <c r="P2703">
        <f>IF(B2725=0,0,O2703/B2725)</f>
        <v/>
      </c>
      <c r="Q2703">
        <f>IFERROR(1/(IF(Inputs!$B$39="pvp",15,MAX(0.1,Skills!D21-IF(Skills!E21=TRUE,Inputs!$B$33,0)))*(1-IF(AND(ArtifactsInput!$M$27,Inputs!$B$4="Chapter Hunt"),CHOOSE(ArtifactsInput!$N$27+1,20,24,28,32,36,40),0)/100)),0)</f>
        <v/>
      </c>
      <c r="R2703" t="n">
        <v>0</v>
      </c>
      <c r="S2703" t="n">
        <v>0</v>
      </c>
      <c r="U2703" t="n">
        <v>0</v>
      </c>
    </row>
    <row r="2704">
      <c r="A2704">
        <f>Skills!A22</f>
        <v/>
      </c>
      <c r="B2704">
        <f>Skills!B22</f>
        <v/>
      </c>
      <c r="C2704">
        <f>Inputs!$B$3&gt;=43</f>
        <v/>
      </c>
      <c r="D2704">
        <f>IF(Skills!C22=1,60+Inputs!$B$26+Inputs!$B$30,IF(Skills!C22=2,90+Inputs!$B$27+Inputs!$B$30,IF(Skills!C22=3,120+Inputs!$B$28+Inputs!$B$30,MAX(0,(Inputs!$B$3-100)*3)+Inputs!$B$29+Inputs!$B$30)))</f>
        <v/>
      </c>
      <c r="E2704">
        <f>INDEX(FactorTable!$B$2:$Y$301, MATCH(ROUND(MIN(300,MAX(1,D2704)),0), FactorTable!$A$2:$A$301,0), Skills!L22+1)</f>
        <v/>
      </c>
      <c r="F2704">
        <f>IF(Skills!M22=TRUE,(Skills!K22/10)*(E2704/1000),Skills!K22/10)+Skills!N22</f>
        <v/>
      </c>
      <c r="G2704">
        <f>Calc!G22</f>
        <v/>
      </c>
      <c r="H2704">
        <f>Calc!H22</f>
        <v/>
      </c>
      <c r="I2704">
        <f>IF(Skills!T22&lt;&gt;"",1+(Skills!T22/10)*($Z$3/1000)/100,1)</f>
        <v/>
      </c>
      <c r="J2704" t="inlineStr"/>
      <c r="K2704" t="inlineStr"/>
      <c r="L2704" t="inlineStr"/>
      <c r="M2704" t="inlineStr"/>
      <c r="N2704" t="inlineStr"/>
      <c r="O2704">
        <f>(1-Summary!$B$11)*S2704+Summary!$B$11*U2704</f>
        <v/>
      </c>
      <c r="P2704">
        <f>IF(B2725=0,0,O2704/B2725)</f>
        <v/>
      </c>
      <c r="Q2704">
        <f>IFERROR(1/(IF(Inputs!$B$39="pvp",15,MAX(0.1,Skills!D22-IF(Skills!E22=TRUE,Inputs!$B$33,0)))*(1-IF(AND(ArtifactsInput!$M$27,Inputs!$B$4="Chapter Hunt"),CHOOSE(ArtifactsInput!$N$27+1,20,24,28,32,36,40),0)/100)),0)</f>
        <v/>
      </c>
      <c r="R2704" t="n">
        <v>0</v>
      </c>
      <c r="S2704" t="n">
        <v>0</v>
      </c>
      <c r="U2704" t="n">
        <v>0</v>
      </c>
    </row>
    <row r="2705">
      <c r="A2705">
        <f>Skills!A23</f>
        <v/>
      </c>
      <c r="B2705">
        <f>Skills!B23</f>
        <v/>
      </c>
      <c r="C2705">
        <f>Inputs!$B$3&gt;=50</f>
        <v/>
      </c>
      <c r="D2705">
        <f>IF(Skills!C23=1,60+Inputs!$B$26+Inputs!$B$30,IF(Skills!C23=2,90+Inputs!$B$27+Inputs!$B$30,IF(Skills!C23=3,120+Inputs!$B$28+Inputs!$B$30,MAX(0,(Inputs!$B$3-100)*3)+Inputs!$B$29+Inputs!$B$30)))</f>
        <v/>
      </c>
      <c r="E2705">
        <f>INDEX(FactorTable!$B$2:$Y$301, MATCH(ROUND(MIN(300,MAX(1,D2705)),0), FactorTable!$A$2:$A$301,0), Skills!L23+1)</f>
        <v/>
      </c>
      <c r="F2705">
        <f>IF(Skills!M23=TRUE,(Skills!K23/10)*(E2705/1000),Skills!K23/10)+Skills!N23</f>
        <v/>
      </c>
      <c r="G2705">
        <f>Calc!G23</f>
        <v/>
      </c>
      <c r="H2705">
        <f>Calc!H23</f>
        <v/>
      </c>
      <c r="I2705">
        <f>IF(Skills!T23&lt;&gt;"",1+(Skills!T23/10)*($Z$3/1000)/100,1)</f>
        <v/>
      </c>
      <c r="J2705" t="inlineStr"/>
      <c r="K2705" t="inlineStr"/>
      <c r="L2705" t="inlineStr"/>
      <c r="M2705" t="inlineStr"/>
      <c r="N2705" t="inlineStr"/>
      <c r="O2705">
        <f>(1-Summary!$B$11)*S2705+Summary!$B$11*U2705</f>
        <v/>
      </c>
      <c r="P2705">
        <f>IF(B2725=0,0,O2705/B2725)</f>
        <v/>
      </c>
      <c r="Q2705">
        <f>IFERROR(1/(IF(Inputs!$B$39="pvp",15,MAX(0.1,Skills!D23-IF(Skills!E23=TRUE,Inputs!$B$33,0)))*(1-IF(AND(ArtifactsInput!$M$27,Inputs!$B$4="Chapter Hunt"),CHOOSE(ArtifactsInput!$N$27+1,20,24,28,32,36,40),0)/100)),0)</f>
        <v/>
      </c>
      <c r="R2705" t="n">
        <v>0</v>
      </c>
      <c r="S2705" t="n">
        <v>0</v>
      </c>
      <c r="U2705" t="n">
        <v>0</v>
      </c>
    </row>
    <row r="2706">
      <c r="A2706">
        <f>Skills!A24</f>
        <v/>
      </c>
      <c r="B2706">
        <f>Skills!B24</f>
        <v/>
      </c>
      <c r="C2706">
        <f>Inputs!$B$3&gt;=74</f>
        <v/>
      </c>
      <c r="D2706">
        <f>IF(Skills!C24=1,60+Inputs!$B$26+Inputs!$B$30,IF(Skills!C24=2,90+Inputs!$B$27+Inputs!$B$30,IF(Skills!C24=3,120+Inputs!$B$28+Inputs!$B$30,MAX(0,(Inputs!$B$3-100)*3)+Inputs!$B$29+Inputs!$B$30)))</f>
        <v/>
      </c>
      <c r="E2706">
        <f>INDEX(FactorTable!$B$2:$Y$301, MATCH(ROUND(MIN(300,MAX(1,D2706)),0), FactorTable!$A$2:$A$301,0), Skills!L24+1)</f>
        <v/>
      </c>
      <c r="F2706">
        <f>IF(Skills!M24=TRUE,(Skills!K24/10)*(E2706/1000),Skills!K24/10)+Skills!N24</f>
        <v/>
      </c>
      <c r="G2706">
        <f>Calc!G24</f>
        <v/>
      </c>
      <c r="H2706">
        <f>Calc!H24</f>
        <v/>
      </c>
      <c r="I2706">
        <f>IF(Skills!T24&lt;&gt;"",1+(Skills!T24/10)*($Z$3/1000)/100,1)</f>
        <v/>
      </c>
      <c r="J2706" t="inlineStr"/>
      <c r="K2706" t="inlineStr"/>
      <c r="L2706" t="inlineStr"/>
      <c r="M2706" t="inlineStr"/>
      <c r="N2706" t="inlineStr"/>
      <c r="O2706">
        <f>(1-Summary!$B$11)*S2706+Summary!$B$11*U2706</f>
        <v/>
      </c>
      <c r="P2706">
        <f>IF(B2725=0,0,O2706/B2725)</f>
        <v/>
      </c>
      <c r="Q2706">
        <f>IFERROR(1/(IF(Inputs!$B$39="pvp",15,MAX(0.1,Skills!D24-IF(Skills!E24=TRUE,Inputs!$B$33,0)))*(1-IF(AND(ArtifactsInput!$M$27,Inputs!$B$4="Chapter Hunt"),CHOOSE(ArtifactsInput!$N$27+1,20,24,28,32,36,40),0)/100)),0)</f>
        <v/>
      </c>
      <c r="R2706" t="n">
        <v>0</v>
      </c>
      <c r="S2706" t="n">
        <v>0</v>
      </c>
      <c r="U2706" t="n">
        <v>0</v>
      </c>
    </row>
    <row r="2707">
      <c r="A2707">
        <f>Skills!A25</f>
        <v/>
      </c>
      <c r="B2707">
        <f>Skills!B25</f>
        <v/>
      </c>
      <c r="C2707">
        <f>Inputs!$B$3&gt;=74</f>
        <v/>
      </c>
      <c r="D2707">
        <f>IF(Skills!C25=1,60+Inputs!$B$26+Inputs!$B$30,IF(Skills!C25=2,90+Inputs!$B$27+Inputs!$B$30,IF(Skills!C25=3,120+Inputs!$B$28+Inputs!$B$30,MAX(0,(Inputs!$B$3-100)*3)+Inputs!$B$29+Inputs!$B$30)))</f>
        <v/>
      </c>
      <c r="E2707">
        <f>INDEX(FactorTable!$B$2:$Y$301, MATCH(ROUND(MIN(300,MAX(1,D2707)),0), FactorTable!$A$2:$A$301,0), Skills!L25+1)</f>
        <v/>
      </c>
      <c r="F2707">
        <f>IF(Skills!M25=TRUE,(Skills!K25/10)*(E2707/1000),Skills!K25/10)+Skills!N25</f>
        <v/>
      </c>
      <c r="G2707">
        <f>Calc!G25</f>
        <v/>
      </c>
      <c r="H2707">
        <f>Calc!H25</f>
        <v/>
      </c>
      <c r="I2707">
        <f>IF(Skills!T25&lt;&gt;"",1+(Skills!T25/10)*($Z$3/1000)/100,1)</f>
        <v/>
      </c>
      <c r="J2707" t="inlineStr"/>
      <c r="K2707" t="inlineStr"/>
      <c r="L2707" t="inlineStr"/>
      <c r="M2707" t="inlineStr"/>
      <c r="N2707" t="inlineStr"/>
      <c r="O2707">
        <f>(1-Summary!$B$11)*S2707+Summary!$B$11*U2707</f>
        <v/>
      </c>
      <c r="P2707">
        <f>IF(B2725=0,0,O2707/B2725)</f>
        <v/>
      </c>
      <c r="Q2707">
        <f>IFERROR(1/(IF(Inputs!$B$39="pvp",15,MAX(0.1,Skills!D25-IF(Skills!E25=TRUE,Inputs!$B$33,0)))*(1-IF(AND(ArtifactsInput!$M$27,Inputs!$B$4="Chapter Hunt"),CHOOSE(ArtifactsInput!$N$27+1,20,24,28,32,36,40),0)/100)),0)</f>
        <v/>
      </c>
      <c r="R2707" t="n">
        <v>0</v>
      </c>
      <c r="S2707" t="n">
        <v>0</v>
      </c>
      <c r="U2707" t="n">
        <v>0</v>
      </c>
    </row>
    <row r="2708">
      <c r="A2708">
        <f>Skills!A26</f>
        <v/>
      </c>
      <c r="B2708">
        <f>Skills!B26</f>
        <v/>
      </c>
      <c r="C2708">
        <f>Inputs!$B$3&gt;=117</f>
        <v/>
      </c>
      <c r="D2708">
        <f>IF(Skills!C26=1,60+Inputs!$B$26+Inputs!$B$30,IF(Skills!C26=2,90+Inputs!$B$27+Inputs!$B$30,IF(Skills!C26=3,120+Inputs!$B$28+Inputs!$B$30,MAX(0,(Inputs!$B$3-100)*3)+Inputs!$B$29+Inputs!$B$30)))</f>
        <v/>
      </c>
      <c r="E2708">
        <f>INDEX(FactorTable!$B$2:$Y$301, MATCH(ROUND(MIN(300,MAX(1,D2708)),0), FactorTable!$A$2:$A$301,0), Skills!L26+1)</f>
        <v/>
      </c>
      <c r="F2708">
        <f>IF(Skills!M26=TRUE,(Skills!K26/10)*(E2708/1000),Skills!K26/10)+Skills!N26</f>
        <v/>
      </c>
      <c r="G2708">
        <f>Calc!G26</f>
        <v/>
      </c>
      <c r="H2708">
        <f>Calc!H26</f>
        <v/>
      </c>
      <c r="I2708">
        <f>IF(Skills!T26&lt;&gt;"",1+(Skills!T26/10)*($Z$3/1000)/100,1)</f>
        <v/>
      </c>
      <c r="J2708" t="inlineStr"/>
      <c r="K2708" t="inlineStr"/>
      <c r="L2708" t="inlineStr"/>
      <c r="M2708" t="inlineStr"/>
      <c r="N2708" t="inlineStr"/>
      <c r="O2708">
        <f>(1-Summary!$B$11)*S2708+Summary!$B$11*U2708</f>
        <v/>
      </c>
      <c r="P2708">
        <f>IF(B2725=0,0,O2708/B2725)</f>
        <v/>
      </c>
      <c r="Q2708">
        <f>IFERROR(1/(IF(Inputs!$B$39="pvp",15,MAX(0.1,Skills!D26-IF(Skills!E26=TRUE,Inputs!$B$33,0)))*(1-IF(AND(ArtifactsInput!$M$27,Inputs!$B$4="Chapter Hunt"),CHOOSE(ArtifactsInput!$N$27+1,20,24,28,32,36,40),0)/100)),0)</f>
        <v/>
      </c>
      <c r="R2708" t="n">
        <v>0</v>
      </c>
      <c r="S2708" t="n">
        <v>0</v>
      </c>
      <c r="U2708" t="n">
        <v>0</v>
      </c>
    </row>
    <row r="2709">
      <c r="A2709">
        <f>Skills!A27</f>
        <v/>
      </c>
      <c r="B2709">
        <f>Skills!B27</f>
        <v/>
      </c>
      <c r="C2709">
        <f>Inputs!$B$3&gt;=120</f>
        <v/>
      </c>
      <c r="D2709">
        <f>IF(Skills!C27=1,60+Inputs!$B$26+Inputs!$B$30,IF(Skills!C27=2,90+Inputs!$B$27+Inputs!$B$30,IF(Skills!C27=3,120+Inputs!$B$28+Inputs!$B$30,MAX(0,(Inputs!$B$3-100)*3)+Inputs!$B$29+Inputs!$B$30)))</f>
        <v/>
      </c>
      <c r="E2709">
        <f>INDEX(FactorTable!$B$2:$Y$301, MATCH(ROUND(MIN(300,MAX(1,D2709)),0), FactorTable!$A$2:$A$301,0), Skills!L27+1)</f>
        <v/>
      </c>
      <c r="F2709">
        <f>IF(Skills!M27=TRUE,(Skills!K27/10)*(E2709/1000),Skills!K27/10)+Skills!N27</f>
        <v/>
      </c>
      <c r="G2709">
        <f>Calc!G27</f>
        <v/>
      </c>
      <c r="H2709">
        <f>Calc!H27</f>
        <v/>
      </c>
      <c r="I2709">
        <f>IF(Skills!T27&lt;&gt;"",1+(Skills!T27/10)*($Z$3/1000)/100,1)</f>
        <v/>
      </c>
      <c r="J2709" t="inlineStr"/>
      <c r="K2709" t="inlineStr"/>
      <c r="L2709" t="inlineStr"/>
      <c r="M2709" t="inlineStr"/>
      <c r="N2709" t="inlineStr"/>
      <c r="O2709">
        <f>(1-Summary!$B$11)*S2709+Summary!$B$11*U2709</f>
        <v/>
      </c>
      <c r="P2709">
        <f>IF(B2725=0,0,O2709/B2725)</f>
        <v/>
      </c>
      <c r="Q2709">
        <f>IFERROR(1/(IF(Inputs!$B$39="pvp",15,MAX(0.1,Skills!D27-IF(Skills!E27=TRUE,Inputs!$B$33,0)))*(1-IF(AND(ArtifactsInput!$M$27,Inputs!$B$4="Chapter Hunt"),CHOOSE(ArtifactsInput!$N$27+1,20,24,28,32,36,40),0)/100)),0)</f>
        <v/>
      </c>
      <c r="R2709" t="n">
        <v>0</v>
      </c>
      <c r="S2709" t="n">
        <v>0</v>
      </c>
      <c r="U2709" t="n">
        <v>0</v>
      </c>
    </row>
    <row r="2710">
      <c r="A2710">
        <f>Skills!A28</f>
        <v/>
      </c>
      <c r="B2710">
        <f>Skills!B28</f>
        <v/>
      </c>
      <c r="C2710">
        <f>TRUE</f>
        <v/>
      </c>
      <c r="D2710">
        <f>IF(Skills!C28=1,60+Inputs!$B$26+Inputs!$B$30,IF(Skills!C28=2,90+Inputs!$B$27+Inputs!$B$30,IF(Skills!C28=3,120+Inputs!$B$28+Inputs!$B$30,MAX(0,(Inputs!$B$3-100)*3)+Inputs!$B$29+Inputs!$B$30)))</f>
        <v/>
      </c>
      <c r="E2710">
        <f>INDEX(FactorTable!$B$2:$Y$301, MATCH(ROUND(MIN(300,MAX(1,D2710)),0), FactorTable!$A$2:$A$301,0), Skills!L28+1)</f>
        <v/>
      </c>
      <c r="F2710">
        <f>IF(Skills!M28=TRUE,(Skills!K28/10)*(E2710/1000),Skills!K28/10)+Skills!N28</f>
        <v/>
      </c>
      <c r="G2710">
        <f>Calc!G28</f>
        <v/>
      </c>
      <c r="H2710">
        <f>Calc!H28</f>
        <v/>
      </c>
      <c r="I2710">
        <f>IF(Skills!T28&lt;&gt;"",1+(Skills!T28/10)*($Z$3/1000)/100,1)</f>
        <v/>
      </c>
      <c r="J2710" t="inlineStr"/>
      <c r="K2710" t="inlineStr"/>
      <c r="L2710" t="inlineStr"/>
      <c r="M2710" t="inlineStr"/>
      <c r="N2710" t="inlineStr"/>
      <c r="O2710">
        <f>(1-Summary!$B$11)*S2710+Summary!$B$11*U2710</f>
        <v/>
      </c>
      <c r="P2710">
        <f>IF(B2725=0,0,O2710/B2725)</f>
        <v/>
      </c>
      <c r="Q2710">
        <f>IFERROR(1/(IF(Inputs!$B$39="pvp",15,MAX(0.1,Skills!D28-IF(Skills!E28=TRUE,Inputs!$B$33,0)))*(1-IF(AND(ArtifactsInput!$M$27,Inputs!$B$4="Chapter Hunt"),CHOOSE(ArtifactsInput!$N$27+1,20,24,28,32,36,40),0)/100)),0)</f>
        <v/>
      </c>
      <c r="R2710">
        <f>IF(AND(Inputs!$B$39&lt;&gt;"pvp",Inputs!$B$44&gt;0),IF(Inputs!$B$44&lt;=0,0,(INT(Inputs!$B$44/(IF(Inputs!$B$39="pvp",15,MAX(0.1,Skills!D28-IF(Skills!E28=TRUE,Inputs!$B$33,0)))*(1-IF(AND(ArtifactsInput!$M$27,Inputs!$B$4="Chapter Hunt"),CHOOSE(ArtifactsInput!$N$27+1,20,24,28,32,36,40),0)/100)))+1)),0)</f>
        <v/>
      </c>
      <c r="S2710" t="n">
        <v>0</v>
      </c>
      <c r="U2710" t="n">
        <v>0</v>
      </c>
    </row>
    <row r="2712">
      <c r="A2712" t="inlineStr">
        <is>
          <t>Average Buff Multiplier</t>
        </is>
      </c>
      <c r="B2712">
        <f>(1+(IF(C2685=TRUE,F2685*IF(AND(Inputs!$B$39&lt;&gt;"pvp",Inputs!$B$44&gt;0),(((R2685-1)*(Skills!S3*(1+((Inputs!$B$35+(ArtifactsInput!$M$7-ArtifactsInput!$M$7)*CHOOSE(ArtifactsInput!$N$7+1,6,7.2,8.4,9.6,10.8,12))+IF(Inputs!$B$3&gt;=117,F2708,0))/100))+MIN((Skills!S3*(1+((Inputs!$B$35+(ArtifactsInput!$M$7-ArtifactsInput!$M$7)*CHOOSE(ArtifactsInput!$N$7+1,6,7.2,8.4,9.6,10.8,12))+IF(Inputs!$B$3&gt;=117,F2708,0))/100)),MAX(0,Inputs!$B$44-((R2685-1)*Skills!D3))))/Inputs!$B$44),IF(Inputs!$B$39="pvp",MIN((Skills!S3*(1+((Inputs!$B$35+(ArtifactsInput!$M$7-ArtifactsInput!$M$7)*CHOOSE(ArtifactsInput!$N$7+1,6,7.2,8.4,9.6,10.8,12))+IF(Inputs!$B$3&gt;=117,F2708,0))/100)),15)/15,(Skills!S3*(1+((Inputs!$B$35+(ArtifactsInput!$M$7-ArtifactsInput!$M$7)*CHOOSE(ArtifactsInput!$N$7+1,6,7.2,8.4,9.6,10.8,12))+IF(Inputs!$B$3&gt;=117,F2708,0))/100))/Skills!D3)),0)+IF(C2686=TRUE,F2686*IF(AND(Inputs!$B$39&lt;&gt;"pvp",Inputs!$B$44&gt;0),(((R2686-1)*(Skills!S4*(1+((Inputs!$B$35+(ArtifactsInput!$M$7-ArtifactsInput!$M$7)*CHOOSE(ArtifactsInput!$N$7+1,6,7.2,8.4,9.6,10.8,12))+IF(Inputs!$B$3&gt;=117,F2708,0))/100))+MIN((Skills!S4*(1+((Inputs!$B$35+(ArtifactsInput!$M$7-ArtifactsInput!$M$7)*CHOOSE(ArtifactsInput!$N$7+1,6,7.2,8.4,9.6,10.8,12))+IF(Inputs!$B$3&gt;=117,F2708,0))/100)),MAX(0,Inputs!$B$44-((R2686-1)*Skills!D4))))/Inputs!$B$44),IF(Inputs!$B$39="pvp",MIN((Skills!S4*(1+((Inputs!$B$35+(ArtifactsInput!$M$7-ArtifactsInput!$M$7)*CHOOSE(ArtifactsInput!$N$7+1,6,7.2,8.4,9.6,10.8,12))+IF(Inputs!$B$3&gt;=117,F2708,0))/100)),15)/15,(Skills!S4*(1+((Inputs!$B$35+(ArtifactsInput!$M$7-ArtifactsInput!$M$7)*CHOOSE(ArtifactsInput!$N$7+1,6,7.2,8.4,9.6,10.8,12))+IF(Inputs!$B$3&gt;=117,F2708,0))/100))/Skills!D4)),0)+IF(C2687=TRUE,F2687*IF(AND(Inputs!$B$39&lt;&gt;"pvp",Inputs!$B$44&gt;0),(((R2687-1)*(Skills!S5*(1+((Inputs!$B$35+(ArtifactsInput!$M$7-ArtifactsInput!$M$7)*CHOOSE(ArtifactsInput!$N$7+1,6,7.2,8.4,9.6,10.8,12))+IF(Inputs!$B$3&gt;=117,F2708,0))/100))+MIN((Skills!S5*(1+((Inputs!$B$35+(ArtifactsInput!$M$7-ArtifactsInput!$M$7)*CHOOSE(ArtifactsInput!$N$7+1,6,7.2,8.4,9.6,10.8,12))+IF(Inputs!$B$3&gt;=117,F2708,0))/100)),MAX(0,Inputs!$B$44-((R2687-1)*Skills!D5))))/Inputs!$B$44),IF(Inputs!$B$39="pvp",MIN((Skills!S5*(1+((Inputs!$B$35+(ArtifactsInput!$M$7-ArtifactsInput!$M$7)*CHOOSE(ArtifactsInput!$N$7+1,6,7.2,8.4,9.6,10.8,12))+IF(Inputs!$B$3&gt;=117,F2708,0))/100)),15)/15,(Skills!S5*(1+((Inputs!$B$35+(ArtifactsInput!$M$7-ArtifactsInput!$M$7)*CHOOSE(ArtifactsInput!$N$7+1,6,7.2,8.4,9.6,10.8,12))+IF(Inputs!$B$3&gt;=117,F2708,0))/100))/Skills!D5)),0)+IF(C2693=TRUE,F2693*IF(AND(Inputs!$B$39&lt;&gt;"pvp",Inputs!$B$44&gt;0),(((R2693-1)*(Skills!S11*(1+((Inputs!$B$35+(ArtifactsInput!$M$7-ArtifactsInput!$M$7)*CHOOSE(ArtifactsInput!$N$7+1,6,7.2,8.4,9.6,10.8,12))+IF(Inputs!$B$3&gt;=117,F2708,0))/100))+MIN((Skills!S11*(1+((Inputs!$B$35+(ArtifactsInput!$M$7-ArtifactsInput!$M$7)*CHOOSE(ArtifactsInput!$N$7+1,6,7.2,8.4,9.6,10.8,12))+IF(Inputs!$B$3&gt;=117,F2708,0))/100)),MAX(0,Inputs!$B$44-((R2693-1)*Skills!D11))))/Inputs!$B$44),IF(Inputs!$B$39="pvp",MIN((Skills!S11*(1+((Inputs!$B$35+(ArtifactsInput!$M$7-ArtifactsInput!$M$7)*CHOOSE(ArtifactsInput!$N$7+1,6,7.2,8.4,9.6,10.8,12))+IF(Inputs!$B$3&gt;=117,F2708,0))/100)),15)/15,(Skills!S11*(1+((Inputs!$B$35+(ArtifactsInput!$M$7-ArtifactsInput!$M$7)*CHOOSE(ArtifactsInput!$N$7+1,6,7.2,8.4,9.6,10.8,12))+IF(Inputs!$B$3&gt;=117,F2708,0)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2696=TRUE,(1+F2696*IF(AND(Inputs!$B$39&lt;&gt;"pvp",Inputs!$B$44&gt;0),(((R2696-1)*(Skills!S14*(1+((Inputs!$B$35+(ArtifactsInput!$M$7-ArtifactsInput!$M$7)*CHOOSE(ArtifactsInput!$N$7+1,6,7.2,8.4,9.6,10.8,12))+IF(Inputs!$B$3&gt;=117,F2708,0))/100))+MIN((Skills!S14*(1+((Inputs!$B$35+(ArtifactsInput!$M$7-ArtifactsInput!$M$7)*CHOOSE(ArtifactsInput!$N$7+1,6,7.2,8.4,9.6,10.8,12))+IF(Inputs!$B$3&gt;=117,F2708,0))/100)),MAX(0,Inputs!$B$44-((R2696-1)*Skills!D14))))/Inputs!$B$44),IF(Inputs!$B$39="pvp",MIN((Skills!S14*(1+((Inputs!$B$35+(ArtifactsInput!$M$7-ArtifactsInput!$M$7)*CHOOSE(ArtifactsInput!$N$7+1,6,7.2,8.4,9.6,10.8,12))+IF(Inputs!$B$3&gt;=117,F2708,0))/100)),15)/15,(Skills!S14*(1+((Inputs!$B$35+(ArtifactsInput!$M$7-ArtifactsInput!$M$7)*CHOOSE(ArtifactsInput!$N$7+1,6,7.2,8.4,9.6,10.8,12))+IF(Inputs!$B$3&gt;=117,F2708,0))/100))/Skills!D14))/100),1)*IF(C2701=TRUE,(1+F2701*IF(AND(Inputs!$B$39&lt;&gt;"pvp",Inputs!$B$44&gt;0),(((R2701-1)*(Skills!S19*(1+((Inputs!$B$35+(ArtifactsInput!$M$7-ArtifactsInput!$M$7)*CHOOSE(ArtifactsInput!$N$7+1,6,7.2,8.4,9.6,10.8,12))+IF(Inputs!$B$3&gt;=117,F2708,0))/100))+MIN((Skills!S19*(1+((Inputs!$B$35+(ArtifactsInput!$M$7-ArtifactsInput!$M$7)*CHOOSE(ArtifactsInput!$N$7+1,6,7.2,8.4,9.6,10.8,12))+IF(Inputs!$B$3&gt;=117,F2708,0))/100)),MAX(0,Inputs!$B$44-((R2701-1)*Skills!D19))))/Inputs!$B$44),IF(Inputs!$B$39="pvp",MIN((Skills!S19*(1+((Inputs!$B$35+(ArtifactsInput!$M$7-ArtifactsInput!$M$7)*CHOOSE(ArtifactsInput!$N$7+1,6,7.2,8.4,9.6,10.8,12))+IF(Inputs!$B$3&gt;=117,F2708,0))/100)),15)/15,(Skills!S19*(1+((Inputs!$B$35+(ArtifactsInput!$M$7-ArtifactsInput!$M$7)*CHOOSE(ArtifactsInput!$N$7+1,6,7.2,8.4,9.6,10.8,12))+IF(Inputs!$B$3&gt;=117,F2708,0))/100))/Skills!D19))/100),1)</f>
        <v/>
      </c>
    </row>
    <row r="2713">
      <c r="A2713" t="inlineStr">
        <is>
          <t>Monster Damage Taken Bonus % (Holy Fountain)</t>
        </is>
      </c>
      <c r="B2713">
        <f>IF(Inputs!$B$3&gt;=68,20*IF(Inputs!$B$39="pvp",MIN((15*(1+((Inputs!$B$35+(ArtifactsInput!$M$7-ArtifactsInput!$M$7)*CHOOSE(ArtifactsInput!$N$7+1,6,7.2,8.4,9.6,10.8,12))+IF(Inputs!$B$3&gt;=117,F2708,0))/100)),15)/15,(15*(1+((Inputs!$B$35+(ArtifactsInput!$M$7-ArtifactsInput!$M$7)*CHOOSE(ArtifactsInput!$N$7+1,6,7.2,8.4,9.6,10.8,12))+IF(Inputs!$B$3&gt;=117,F2708,0))/100))/Skills!D10),0)</f>
        <v/>
      </c>
    </row>
    <row r="2714">
      <c r="A2714" t="inlineStr">
        <is>
          <t>Normal Monster Damage Bonus % (Holy Symbol)</t>
        </is>
      </c>
      <c r="B2714">
        <f>IF(C2694=TRUE,F2694*IF(AND(Inputs!$B$39&lt;&gt;"pvp",Inputs!$B$44&gt;0),(((R2694-1)*(Skills!S12*(1+((Inputs!$B$35+(ArtifactsInput!$M$7-ArtifactsInput!$M$7)*CHOOSE(ArtifactsInput!$N$7+1,6,7.2,8.4,9.6,10.8,12))+IF(Inputs!$B$3&gt;=117,F2708,0))/100))+MIN((Skills!S12*(1+((Inputs!$B$35+(ArtifactsInput!$M$7-ArtifactsInput!$M$7)*CHOOSE(ArtifactsInput!$N$7+1,6,7.2,8.4,9.6,10.8,12))+IF(Inputs!$B$3&gt;=117,F2708,0))/100)),MAX(0,Inputs!$B$44-((R2694-1)*Skills!D12))))/Inputs!$B$44),IF(Inputs!$B$39="pvp",MIN((Skills!S12*(1+((Inputs!$B$35+(ArtifactsInput!$M$7-ArtifactsInput!$M$7)*CHOOSE(ArtifactsInput!$N$7+1,6,7.2,8.4,9.6,10.8,12))+IF(Inputs!$B$3&gt;=117,F2708,0))/100)),15)/15,(Skills!S12*(1+((Inputs!$B$35+(ArtifactsInput!$M$7-ArtifactsInput!$M$7)*CHOOSE(ArtifactsInput!$N$7+1,6,7.2,8.4,9.6,10.8,12))+IF(Inputs!$B$3&gt;=117,F2708,0))/100))/Skills!D12)),0)</f>
        <v/>
      </c>
    </row>
    <row r="2715">
      <c r="A2715" t="inlineStr">
        <is>
          <t>Damage % Bonus (Holy Symbol - Damage Boost)</t>
        </is>
      </c>
      <c r="B2715">
        <f>Skills!O12</f>
        <v/>
      </c>
    </row>
    <row r="2716">
      <c r="A2716" t="inlineStr">
        <is>
          <t>Crit Damage % Bonus (Blood of the Divine)</t>
        </is>
      </c>
      <c r="B2716">
        <f>4*IF(C2702=TRUE,F2702,0)</f>
        <v/>
      </c>
    </row>
    <row r="2717">
      <c r="A2717" t="inlineStr">
        <is>
          <t>Attack Speed Bonus %</t>
        </is>
      </c>
      <c r="B2717">
        <f>IF(C2699=TRUE,F2699+(F2703-Calc!F21),0)+IF(Inputs!$B$3&gt;=134,15,0)+((C2710=TRUE)*F2710*IF(AND(Inputs!$B$39&lt;&gt;"pvp",Inputs!$B$44&gt;0),(((R2710-1)*(Skills!S28*(1+((Inputs!$B$35+(ArtifactsInput!$M$7-ArtifactsInput!$M$7)*CHOOSE(ArtifactsInput!$N$7+1,6,7.2,8.4,9.6,10.8,12))+IF(Inputs!$B$3&gt;=117,F2708,0))/100))+MIN((Skills!S28*(1+((Inputs!$B$35+(ArtifactsInput!$M$7-ArtifactsInput!$M$7)*CHOOSE(ArtifactsInput!$N$7+1,6,7.2,8.4,9.6,10.8,12))+IF(Inputs!$B$3&gt;=117,F2708,0))/100)),MAX(0,Inputs!$B$44-((R2710-1)*Skills!D28))))/Inputs!$B$44),IF(Inputs!$B$39="pvp",MIN((Skills!S28*(1+((Inputs!$B$35+(ArtifactsInput!$M$7-ArtifactsInput!$M$7)*CHOOSE(ArtifactsInput!$N$7+1,6,7.2,8.4,9.6,10.8,12))+IF(Inputs!$B$3&gt;=117,F2708,0))/100)),15)/15,(Skills!S28*(1+((Inputs!$B$35+(ArtifactsInput!$M$7-ArtifactsInput!$M$7)*CHOOSE(ArtifactsInput!$N$7+1,6,7.2,8.4,9.6,10.8,12))+IF(Inputs!$B$3&gt;=117,F2708,0))/100))/Skills!D28)))</f>
        <v/>
      </c>
    </row>
    <row r="2718">
      <c r="A2718" t="inlineStr">
        <is>
          <t>Actions Per Second</t>
        </is>
      </c>
      <c r="B2718">
        <f>1+MIN(150,150*(1-(1-Inputs!$B$12/150)*(1-B2717/150)))/100</f>
        <v/>
      </c>
    </row>
    <row r="2719">
      <c r="A2719" t="inlineStr">
        <is>
          <t>Skill + Buff Cast Rate</t>
        </is>
      </c>
      <c r="B2719">
        <f>IF(AND(Inputs!$B$39&lt;&gt;"pvp",Inputs!$B$44&gt;0),SUMPRODUCT((Skills!E2:E28=TRUE)*(C2684:C2710=TRUE)*R2684:R2710)/Inputs!$B$44,SUMPRODUCT((Skills!E2:E28=TRUE)*(C2684:C2710=TRUE)*Q2684:Q2710))</f>
        <v/>
      </c>
    </row>
    <row r="2720">
      <c r="A2720" t="inlineStr">
        <is>
          <t>Big Bang Casts Per Second</t>
        </is>
      </c>
      <c r="B2720">
        <f>MAX(0,B2718-B2719)</f>
        <v/>
      </c>
    </row>
    <row r="2721">
      <c r="A2721" t="inlineStr">
        <is>
          <t>Defense % Bonus (Divine Protection)</t>
        </is>
      </c>
      <c r="B2721">
        <f>IF(C2695=TRUE,F2695*IF(AND(Inputs!$B$39&lt;&gt;"pvp",Inputs!$B$44&gt;0),(((R2695-1)*(Skills!S13*(1+((Inputs!$B$35+(ArtifactsInput!$M$7-ArtifactsInput!$M$7)*CHOOSE(ArtifactsInput!$N$7+1,6,7.2,8.4,9.6,10.8,12))+IF(Inputs!$B$3&gt;=117,F2708,0))/100))+MIN((Skills!S13*(1+((Inputs!$B$35+(ArtifactsInput!$M$7-ArtifactsInput!$M$7)*CHOOSE(ArtifactsInput!$N$7+1,6,7.2,8.4,9.6,10.8,12))+IF(Inputs!$B$3&gt;=117,F2708,0))/100)),MAX(0,Inputs!$B$44-((R2695-1)*Skills!D13))))/Inputs!$B$44),IF(Inputs!$B$39="pvp",MIN((Skills!S13*(1+((Inputs!$B$35+(ArtifactsInput!$M$7-ArtifactsInput!$M$7)*CHOOSE(ArtifactsInput!$N$7+1,6,7.2,8.4,9.6,10.8,12))+IF(Inputs!$B$3&gt;=117,F2708,0))/100)),15)/15,(Skills!S13*(1+((Inputs!$B$35+(ArtifactsInput!$M$7-ArtifactsInput!$M$7)*CHOOSE(ArtifactsInput!$N$7+1,6,7.2,8.4,9.6,10.8,12))+IF(Inputs!$B$3&gt;=117,F2708,0))/100))/Skills!D13)),0)</f>
        <v/>
      </c>
    </row>
    <row r="2722">
      <c r="A2722" t="inlineStr">
        <is>
          <t>Buff-Casting Startup Delay (s, fixed-duration only)</t>
        </is>
      </c>
      <c r="B2722">
        <f>IF(AND(Inputs!$B$39&lt;&gt;"pvp",Inputs!$B$44&gt;0),SUMPRODUCT((Skills!S2:S28&gt;0)*(Skills!E2:E28=TRUE)*(C2684:C2710=TRUE))/B2718,0)</f>
        <v/>
      </c>
    </row>
    <row r="2723">
      <c r="A2723" t="inlineStr">
        <is>
          <t>Boss-Only Total DPS (this block's swept value)</t>
        </is>
      </c>
      <c r="B2723">
        <f>SUM(S2684:S2710)</f>
        <v/>
      </c>
    </row>
    <row r="2724">
      <c r="A2724" t="inlineStr">
        <is>
          <t>Normal-Only Total DPS (this block's swept value)</t>
        </is>
      </c>
      <c r="B2724">
        <f>SUM(U2684:U2710)</f>
        <v/>
      </c>
    </row>
    <row r="2725">
      <c r="A2725" s="6" t="inlineStr">
        <is>
          <t>TOTAL DPS</t>
        </is>
      </c>
      <c r="B2725" s="6">
        <f>SUM(O2684:O2710)</f>
        <v/>
      </c>
    </row>
    <row r="2727">
      <c r="A2727" s="6" t="inlineStr">
        <is>
          <t>Stat: Cursed Doll (Equip)</t>
        </is>
      </c>
    </row>
    <row r="2728">
      <c r="A2728" s="5" t="inlineStr">
        <is>
          <t>Key</t>
        </is>
      </c>
      <c r="B2728" s="5" t="inlineStr">
        <is>
          <t>Name</t>
        </is>
      </c>
      <c r="C2728" s="5" t="inlineStr">
        <is>
          <t>Unlocked</t>
        </is>
      </c>
      <c r="D2728" s="5" t="inlineStr">
        <is>
          <t>InputLevel</t>
        </is>
      </c>
      <c r="E2728" s="5" t="inlineStr">
        <is>
          <t>Factor</t>
        </is>
      </c>
      <c r="F2728" s="5" t="inlineStr">
        <is>
          <t>CoefficientPercent</t>
        </is>
      </c>
      <c r="G2728" s="5" t="inlineStr">
        <is>
          <t>EffectiveHits</t>
        </is>
      </c>
      <c r="H2728" s="5" t="inlineStr">
        <is>
          <t>ProcProbability</t>
        </is>
      </c>
      <c r="I2728" s="5" t="inlineStr">
        <is>
          <t>MapleHeroMultiplier</t>
        </is>
      </c>
      <c r="J2728" s="5" t="inlineStr">
        <is>
          <t>BaseDamage</t>
        </is>
      </c>
      <c r="K2728" s="5" t="inlineStr">
        <is>
          <t>BaseHitDamage</t>
        </is>
      </c>
      <c r="L2728" s="5" t="inlineStr">
        <is>
          <t>NonCritAvg</t>
        </is>
      </c>
      <c r="M2728" s="5" t="inlineStr">
        <is>
          <t>CritAvg</t>
        </is>
      </c>
      <c r="N2728" s="5" t="inlineStr">
        <is>
          <t>ExpectedDamage(perHit)</t>
        </is>
      </c>
      <c r="O2728" s="5" t="inlineStr">
        <is>
          <t>DPS</t>
        </is>
      </c>
      <c r="P2728" s="5" t="inlineStr">
        <is>
          <t>% of Total</t>
        </is>
      </c>
      <c r="R2728" t="inlineStr">
        <is>
          <t>helpers</t>
        </is>
      </c>
    </row>
    <row r="2729">
      <c r="A2729">
        <f>Skills!A2</f>
        <v/>
      </c>
      <c r="B2729">
        <f>Skills!B2</f>
        <v/>
      </c>
      <c r="C2729">
        <f>Inputs!$B$3&gt;=100</f>
        <v/>
      </c>
      <c r="D2729" t="inlineStr"/>
      <c r="E2729" t="inlineStr"/>
      <c r="F2729">
        <f>T2731+Skills!N2</f>
        <v/>
      </c>
      <c r="G2729">
        <f>Calc!G2</f>
        <v/>
      </c>
      <c r="H2729">
        <f>Calc!H2</f>
        <v/>
      </c>
      <c r="I2729">
        <f>IF(Skills!T2&lt;&gt;"",1+(Skills!T2/10)*($Z$3/1000)/100,1)</f>
        <v/>
      </c>
      <c r="J2729">
        <f>((Inputs!$B$6*(1+Inputs!$B$7/100))+(((Inputs!$B$13*(1+Inputs!$B$14/100))-(Inputs!$B$13*(1+Inputs!$B$14/100)))+0.25*(Inputs!$B$15-Inputs!$B$15))*(1+Inputs!$B$7/100))*(F2729/100)</f>
        <v/>
      </c>
      <c r="K2729">
        <f>J2729*(1+(((Inputs!$B$13+IF(Inputs!$B$3&gt;=35,(10*INDEX(FactorTable!$B$2:$Y$301,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2="TRIUMPH_FEATHER",IF(C2743=TRUE,F2743,0),0)/100)*(1+IF(C2754=TRUE,F2754,0)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2729)</f>
        <v/>
      </c>
      <c r="L2729">
        <f>K2729*(MIN(Inputs!$B$23+(F2749-Calc!F22),(Inputs!$B$24+IF(ArtifactsInput!$M$15,CHOOSE(ArtifactsInput!$N$15+1,25,30,35,40,45,50)/100*(Inputs!$B$12-Inputs!$B$12),0)))/100+(Inputs!$B$24+IF(ArtifactsInput!$M$15,CHOOSE(ArtifactsInput!$N$15+1,25,30,35,40,45,50)/100*(Inputs!$B$12-Inputs!$B$12),0))/100)/2</f>
        <v/>
      </c>
      <c r="M2729">
        <f>L2729*(1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9">
        <f>L2729*(1-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(1-Summary!$B$11)*S2729+Summary!$B$11*U2729</f>
        <v/>
      </c>
      <c r="P2729">
        <f>IF(B2770=0,0,O2729/B2770)</f>
        <v/>
      </c>
      <c r="Q2729">
        <f>IFERROR(1/(IF(Inputs!$B$39="pvp",15,MAX(0.1,Skills!D2-IF(Skills!E2=TRUE,Inputs!$B$33,0)))*(1-IF(AND(ArtifactsInput!$M$27,Inputs!$B$4="Chapter Hunt"),CHOOSE(ArtifactsInput!$N$27+1,20,24,28,32,36,40),0)/100)),0)</f>
        <v/>
      </c>
      <c r="R2729" t="n">
        <v>0</v>
      </c>
      <c r="S2729">
        <f>IF(C2729,(Skills!F2*N2729*B2765)*IF(Inputs!$B$39="pvp",1,1+(Inputs!$B$21+Skills!O2+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2729*(1-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29">
        <f>MAX(0,(Inputs!$B$3-100)*3)+Inputs!$B$29+Inputs!$B$30</f>
        <v/>
      </c>
      <c r="U2729">
        <f>IF(C2729,(Skills!F2*N2729*B2765)*IF(Inputs!$B$39="pvp",1,(1+(Inputs!$B$22+Skills!P2+B2759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Skills!A3</f>
        <v/>
      </c>
      <c r="B2730">
        <f>Skills!B3</f>
        <v/>
      </c>
      <c r="C2730">
        <f>Inputs!$B$3&gt;=15</f>
        <v/>
      </c>
      <c r="D2730">
        <f>IF(Skills!C3=1,60+Inputs!$B$26+Inputs!$B$30,IF(Skills!C3=2,90+Inputs!$B$27+Inputs!$B$30,IF(Skills!C3=3,120+Inputs!$B$28+Inputs!$B$30,MAX(0,(Inputs!$B$3-100)*3)+Inputs!$B$29+Inputs!$B$30)))</f>
        <v/>
      </c>
      <c r="E2730">
        <f>INDEX(FactorTable!$B$2:$Y$301, MATCH(ROUND(MIN(300,MAX(1,D2730)),0), FactorTable!$A$2:$A$301,0), Skills!L3+1)</f>
        <v/>
      </c>
      <c r="F2730">
        <f>IF(Skills!M3=TRUE,(Skills!K3/10)*(E2730/1000),Skills!K3/10)+Skills!N3</f>
        <v/>
      </c>
      <c r="G2730">
        <f>Calc!G3</f>
        <v/>
      </c>
      <c r="H2730">
        <f>Calc!H3</f>
        <v/>
      </c>
      <c r="I2730">
        <f>IF(Skills!T3&lt;&gt;"",1+(Skills!T3/10)*($Z$3/1000)/100,1)</f>
        <v/>
      </c>
      <c r="J2730" t="inlineStr"/>
      <c r="K2730" t="inlineStr"/>
      <c r="L2730" t="inlineStr"/>
      <c r="M2730" t="inlineStr"/>
      <c r="N2730" t="inlineStr"/>
      <c r="O2730">
        <f>(1-Summary!$B$11)*S2730+Summary!$B$11*U2730</f>
        <v/>
      </c>
      <c r="P2730">
        <f>IF(B2770=0,0,O2730/B2770)</f>
        <v/>
      </c>
      <c r="Q2730">
        <f>IFERROR(1/(IF(Inputs!$B$39="pvp",15,MAX(0.1,Skills!D3-IF(Skills!E3=TRUE,Inputs!$B$33,0)))*(1-IF(AND(ArtifactsInput!$M$27,Inputs!$B$4="Chapter Hunt"),CHOOSE(ArtifactsInput!$N$27+1,20,24,28,32,36,40),0)/100)),0)</f>
        <v/>
      </c>
      <c r="R2730">
        <f>IF(AND(Inputs!$B$39&lt;&gt;"pvp",Inputs!$B$44&gt;0),IF(Inputs!$B$44&lt;=0,0,(INT(Inputs!$B$44/(IF(Inputs!$B$39="pvp",15,MAX(0.1,Skills!D3-IF(Skills!E3=TRUE,Inputs!$B$33,0)))*(1-IF(AND(ArtifactsInput!$M$27,Inputs!$B$4="Chapter Hunt"),CHOOSE(ArtifactsInput!$N$27+1,20,24,28,32,36,40),0)/100)))+1)),0)</f>
        <v/>
      </c>
      <c r="S2730" t="n">
        <v>0</v>
      </c>
      <c r="T2730">
        <f>INDEX(FactorTable!$B$2:$Y$301, MATCH(ROUND(MIN(300,MAX(1,T2729)),0), FactorTable!$A$2:$A$301,0), 22)</f>
        <v/>
      </c>
      <c r="U2730" t="n">
        <v>0</v>
      </c>
    </row>
    <row r="2731">
      <c r="A2731">
        <f>Skills!A4</f>
        <v/>
      </c>
      <c r="B2731">
        <f>Skills!B4</f>
        <v/>
      </c>
      <c r="C2731">
        <f>Inputs!$B$3&gt;=38</f>
        <v/>
      </c>
      <c r="D2731">
        <f>IF(Skills!C4=1,60+Inputs!$B$26+Inputs!$B$30,IF(Skills!C4=2,90+Inputs!$B$27+Inputs!$B$30,IF(Skills!C4=3,120+Inputs!$B$28+Inputs!$B$30,MAX(0,(Inputs!$B$3-100)*3)+Inputs!$B$29+Inputs!$B$30)))</f>
        <v/>
      </c>
      <c r="E2731">
        <f>INDEX(FactorTable!$B$2:$Y$301, MATCH(ROUND(MIN(300,MAX(1,D2731)),0), FactorTable!$A$2:$A$301,0), Skills!L4+1)</f>
        <v/>
      </c>
      <c r="F2731">
        <f>IF(Skills!M4=TRUE,(Skills!K4/10)*(E2731/1000),Skills!K4/10)+Skills!N4</f>
        <v/>
      </c>
      <c r="G2731">
        <f>Calc!G4</f>
        <v/>
      </c>
      <c r="H2731">
        <f>Calc!H4</f>
        <v/>
      </c>
      <c r="I2731">
        <f>IF(Skills!T4&lt;&gt;"",1+(Skills!T4/10)*($Z$3/1000)/100,1)</f>
        <v/>
      </c>
      <c r="J2731" t="inlineStr"/>
      <c r="K2731" t="inlineStr"/>
      <c r="L2731" t="inlineStr"/>
      <c r="M2731" t="inlineStr"/>
      <c r="N2731" t="inlineStr"/>
      <c r="O2731">
        <f>(1-Summary!$B$11)*S2731+Summary!$B$11*U2731</f>
        <v/>
      </c>
      <c r="P2731">
        <f>IF(B2770=0,0,O2731/B2770)</f>
        <v/>
      </c>
      <c r="Q2731">
        <f>IFERROR(1/(IF(Inputs!$B$39="pvp",15,MAX(0.1,Skills!D4-IF(Skills!E4=TRUE,Inputs!$B$33,0)))*(1-IF(AND(ArtifactsInput!$M$27,Inputs!$B$4="Chapter Hunt"),CHOOSE(ArtifactsInput!$N$27+1,20,24,28,32,36,40),0)/100)),0)</f>
        <v/>
      </c>
      <c r="R2731">
        <f>IF(AND(Inputs!$B$39&lt;&gt;"pvp",Inputs!$B$44&gt;0),IF(Inputs!$B$44&lt;=0,0,(INT(Inputs!$B$44/(IF(Inputs!$B$39="pvp",15,MAX(0.1,Skills!D4-IF(Skills!E4=TRUE,Inputs!$B$33,0)))*(1-IF(AND(ArtifactsInput!$M$27,Inputs!$B$4="Chapter Hunt"),CHOOSE(ArtifactsInput!$N$27+1,20,24,28,32,36,40),0)/100)))+1)),0)</f>
        <v/>
      </c>
      <c r="S2731" t="n">
        <v>0</v>
      </c>
      <c r="T2731">
        <f>290*T2730/1000</f>
        <v/>
      </c>
      <c r="U2731" t="n">
        <v>0</v>
      </c>
    </row>
    <row r="2732">
      <c r="A2732">
        <f>Skills!A5</f>
        <v/>
      </c>
      <c r="B2732">
        <f>Skills!B5</f>
        <v/>
      </c>
      <c r="C2732">
        <f>Inputs!$B$3&gt;=40</f>
        <v/>
      </c>
      <c r="D2732">
        <f>IF(Skills!C5=1,60+Inputs!$B$26+Inputs!$B$30,IF(Skills!C5=2,90+Inputs!$B$27+Inputs!$B$30,IF(Skills!C5=3,120+Inputs!$B$28+Inputs!$B$30,MAX(0,(Inputs!$B$3-100)*3)+Inputs!$B$29+Inputs!$B$30)))</f>
        <v/>
      </c>
      <c r="E2732">
        <f>INDEX(FactorTable!$B$2:$Y$301, MATCH(ROUND(MIN(300,MAX(1,D2732)),0), FactorTable!$A$2:$A$301,0), Skills!L5+1)</f>
        <v/>
      </c>
      <c r="F2732">
        <f>IF(Skills!M5=TRUE,(Skills!K5/10)*(E2732/1000),Skills!K5/10)+Skills!N5</f>
        <v/>
      </c>
      <c r="G2732">
        <f>Calc!G5</f>
        <v/>
      </c>
      <c r="H2732">
        <f>Calc!H5</f>
        <v/>
      </c>
      <c r="I2732">
        <f>IF(Skills!T5&lt;&gt;"",1+(Skills!T5/10)*($Z$3/1000)/100,1)</f>
        <v/>
      </c>
      <c r="J2732" t="inlineStr"/>
      <c r="K2732" t="inlineStr"/>
      <c r="L2732" t="inlineStr"/>
      <c r="M2732" t="inlineStr"/>
      <c r="N2732" t="inlineStr"/>
      <c r="O2732">
        <f>(1-Summary!$B$11)*S2732+Summary!$B$11*U2732</f>
        <v/>
      </c>
      <c r="P2732">
        <f>IF(B2770=0,0,O2732/B2770)</f>
        <v/>
      </c>
      <c r="Q2732">
        <f>IFERROR(1/(IF(Inputs!$B$39="pvp",15,MAX(0.1,Skills!D5-IF(Skills!E5=TRUE,Inputs!$B$33,0)))*(1-IF(AND(ArtifactsInput!$M$27,Inputs!$B$4="Chapter Hunt"),CHOOSE(ArtifactsInput!$N$27+1,20,24,28,32,36,40),0)/100)),0)</f>
        <v/>
      </c>
      <c r="R2732">
        <f>IF(AND(Inputs!$B$39&lt;&gt;"pvp",Inputs!$B$44&gt;0),IF(Inputs!$B$44&lt;=0,0,(INT(Inputs!$B$44/(IF(Inputs!$B$39="pvp",15,MAX(0.1,Skills!D5-IF(Skills!E5=TRUE,Inputs!$B$33,0)))*(1-IF(AND(ArtifactsInput!$M$27,Inputs!$B$4="Chapter Hunt"),CHOOSE(ArtifactsInput!$N$27+1,20,24,28,32,36,40),0)/100)))+1)),0)</f>
        <v/>
      </c>
      <c r="S2732" t="n">
        <v>0</v>
      </c>
      <c r="U2732" t="n">
        <v>0</v>
      </c>
    </row>
    <row r="2733">
      <c r="A2733">
        <f>Skills!A6</f>
        <v/>
      </c>
      <c r="B2733">
        <f>Skills!B6</f>
        <v/>
      </c>
      <c r="C2733">
        <f>Inputs!$B$3&gt;=103</f>
        <v/>
      </c>
      <c r="D2733">
        <f>IF(Skills!C6=1,60+Inputs!$B$26+Inputs!$B$30,IF(Skills!C6=2,90+Inputs!$B$27+Inputs!$B$30,IF(Skills!C6=3,120+Inputs!$B$28+Inputs!$B$30,MAX(0,(Inputs!$B$3-100)*3)+Inputs!$B$29+Inputs!$B$30)))</f>
        <v/>
      </c>
      <c r="E2733">
        <f>INDEX(FactorTable!$B$2:$Y$301, MATCH(ROUND(MIN(300,MAX(1,D2733)),0), FactorTable!$A$2:$A$301,0), Skills!L6+1)</f>
        <v/>
      </c>
      <c r="F2733">
        <f>IF(Skills!M6=TRUE,(Skills!K6/10)*(E2733/1000),Skills!K6/10)+Skills!N6</f>
        <v/>
      </c>
      <c r="G2733">
        <f>Calc!G6</f>
        <v/>
      </c>
      <c r="H2733">
        <f>Calc!H6</f>
        <v/>
      </c>
      <c r="I2733">
        <f>IF(Skills!T6&lt;&gt;"",1+(Skills!T6/10)*($Z$3/1000)/100,1)</f>
        <v/>
      </c>
      <c r="J2733">
        <f>((Inputs!$B$6*(1+Inputs!$B$7/100))+(((Inputs!$B$13*(1+Inputs!$B$14/100))-(Inputs!$B$13*(1+Inputs!$B$14/100)))+0.25*(Inputs!$B$15-Inputs!$B$15))*(1+Inputs!$B$7/100))*(F2733/100)</f>
        <v/>
      </c>
      <c r="K2733">
        <f>J2733*(1+(((Inputs!$B$13+IF(Inputs!$B$3&gt;=35,(10*INDEX(FactorTable!$B$2:$Y$301,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6="TRIUMPH_FEATHER",IF(C2743=TRUE,F2743,0),0)/100)*(1+IF(C2754=TRUE,F2754,0)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2733)</f>
        <v/>
      </c>
      <c r="L2733">
        <f>K2733*(MIN(Inputs!$B$23+(F2749-Calc!F22),(Inputs!$B$24+IF(ArtifactsInput!$M$15,CHOOSE(ArtifactsInput!$N$15+1,25,30,35,40,45,50)/100*(Inputs!$B$12-Inputs!$B$12),0)))/100+(Inputs!$B$24+IF(ArtifactsInput!$M$15,CHOOSE(ArtifactsInput!$N$15+1,25,30,35,40,45,50)/100*(Inputs!$B$12-Inputs!$B$12),0))/100)/2</f>
        <v/>
      </c>
      <c r="M2733">
        <f>L2733*(1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3">
        <f>L2733*(1-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(1-Summary!$B$11)*S2733+Summary!$B$11*U2733</f>
        <v/>
      </c>
      <c r="P2733">
        <f>IF(B2770=0,0,O2733/B2770)</f>
        <v/>
      </c>
      <c r="Q2733">
        <f>IFERROR(1/(IF(Inputs!$B$39="pvp",15,MAX(0.1,Skills!D6-IF(Skills!E6=TRUE,Inputs!$B$33,0)))*(1-IF(AND(ArtifactsInput!$M$27,Inputs!$B$4="Chapter Hunt"),CHOOSE(ArtifactsInput!$N$27+1,20,24,28,32,36,40),0)/100)),0)</f>
        <v/>
      </c>
      <c r="R2733">
        <f>IF(AND(Inputs!$B$39&lt;&gt;"pvp",Inputs!$B$44&gt;0),IF(MAX(0,Inputs!$B$44-B2767)&lt;=0,0,(INT(MAX(0,Inputs!$B$44-B2767)/(IF(Inputs!$B$39="pvp",15,MAX(0.1,Skills!D6-IF(Skills!E6=TRUE,Inputs!$B$33,0)))*(1-IF(AND(ArtifactsInput!$M$27,Inputs!$B$4="Chapter Hunt"),CHOOSE(ArtifactsInput!$N$27+1,20,24,28,32,36,40),0)/100)))+1)),0)</f>
        <v/>
      </c>
      <c r="S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$21+Skills!O6+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2733*(1-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$22+Skills!P6+B2759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Skills!A7</f>
        <v/>
      </c>
      <c r="B2734">
        <f>Skills!B7</f>
        <v/>
      </c>
      <c r="C2734">
        <f>Inputs!$B$3&gt;=122</f>
        <v/>
      </c>
      <c r="D2734">
        <f>IF(Skills!C7=1,60+Inputs!$B$26+Inputs!$B$30,IF(Skills!C7=2,90+Inputs!$B$27+Inputs!$B$30,IF(Skills!C7=3,120+Inputs!$B$28+Inputs!$B$30,MAX(0,(Inputs!$B$3-100)*3)+Inputs!$B$29+Inputs!$B$30)))</f>
        <v/>
      </c>
      <c r="E2734">
        <f>INDEX(FactorTable!$B$2:$Y$301, MATCH(ROUND(MIN(300,MAX(1,D2734)),0), FactorTable!$A$2:$A$301,0), Skills!L7+1)</f>
        <v/>
      </c>
      <c r="F2734">
        <f>IF(Skills!M7=TRUE,(Skills!K7/10)*(E2734/1000),Skills!K7/10)+Skills!N7</f>
        <v/>
      </c>
      <c r="G2734">
        <f>Calc!G7</f>
        <v/>
      </c>
      <c r="H2734">
        <f>Calc!H7</f>
        <v/>
      </c>
      <c r="I2734">
        <f>IF(Skills!T7&lt;&gt;"",1+(Skills!T7/10)*($Z$3/1000)/100,1)</f>
        <v/>
      </c>
      <c r="J2734">
        <f>((Inputs!$B$6*(1+Inputs!$B$7/100))+(((Inputs!$B$13*(1+Inputs!$B$14/100))-(Inputs!$B$13*(1+Inputs!$B$14/100)))+0.25*(Inputs!$B$15-Inputs!$B$15))*(1+Inputs!$B$7/100))*(F2734/100)</f>
        <v/>
      </c>
      <c r="K2734">
        <f>J2734*(1+(((Inputs!$B$13+IF(Inputs!$B$3&gt;=35,(10*INDEX(FactorTable!$B$2:$Y$301,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7="TRIUMPH_FEATHER",IF(C2743=TRUE,F2743,0),0)/100)*(1+IF(C2754=TRUE,F2754,0)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2734)</f>
        <v/>
      </c>
      <c r="L2734">
        <f>K2734*(MIN(Inputs!$B$23+(F2749-Calc!F22),(Inputs!$B$24+IF(ArtifactsInput!$M$15,CHOOSE(ArtifactsInput!$N$15+1,25,30,35,40,45,50)/100*(Inputs!$B$12-Inputs!$B$12),0)))/100+(Inputs!$B$24+IF(ArtifactsInput!$M$15,CHOOSE(ArtifactsInput!$N$15+1,25,30,35,40,45,50)/100*(Inputs!$B$12-Inputs!$B$12),0))/100)/2</f>
        <v/>
      </c>
      <c r="M2734">
        <f>L2734*(1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4">
        <f>L2734*(1-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(1-Summary!$B$11)*S2734+Summary!$B$11*U2734</f>
        <v/>
      </c>
      <c r="P2734">
        <f>IF(B2770=0,0,O2734/B2770)</f>
        <v/>
      </c>
      <c r="Q2734">
        <f>IFERROR(1/(IF(Inputs!$B$39="pvp",15,MAX(0.1,Skills!D7-IF(Skills!E6=TRUE,Inputs!$B$33,0)))*(1-IF(AND(ArtifactsInput!$M$27,Inputs!$B$4="Chapter Hunt"),CHOOSE(ArtifactsInput!$N$27+1,20,24,28,32,36,40),0)/100)),0)</f>
        <v/>
      </c>
      <c r="R2734">
        <f>IF(AND(Inputs!$B$39&lt;&gt;"pvp",Inputs!$B$44&gt;0),IF(MAX(0,Inputs!$B$44-B2767)&lt;=0,0,(INT(MAX(0,Inputs!$B$44-B2767)/(IF(Inputs!$B$39="pvp",15,MAX(0.1,Skills!D7-IF(Skills!E6=TRUE,Inputs!$B$33,0)))*(1-IF(AND(ArtifactsInput!$M$27,Inputs!$B$4="Chapter Hunt"),CHOOSE(ArtifactsInput!$N$27+1,20,24,28,32,36,40),0)/100)))+1)),0)</f>
        <v/>
      </c>
      <c r="S2734">
        <f>IF(C2734,H2734*N2734*IF(AND(Inputs!$B$39&lt;&gt;"pvp",Inputs!$B$44&gt;0),((Skills!F7*((R2734-1)*IF(Skills!G7&gt;0,Skills!H7/Skills!G7,1)+IF(Skills!G7&gt;0,MIN(Skills!H7,MAX(0,MAX(0,Inputs!$B$44-B2767)-((R2734-1)*(IF(Inputs!$B$39="pvp",15,MAX(0.1,Skills!D7-IF(Skills!E6=TRUE,Inputs!$B$33,0)))*(1-IF(AND(ArtifactsInput!$M$27,Inputs!$B$4="Chapter Hunt"),CHOOSE(ArtifactsInput!$N$27+1,20,24,28,32,36,40),0)/100)))))/Skills!G7,1)))/Inputs!$B$44),G2734*Q2734)*IF(Inputs!$B$39="pvp",1,1+(Inputs!$B$21+Skills!O7+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2734*(1-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4" t="n">
        <v>0</v>
      </c>
    </row>
    <row r="2735">
      <c r="A2735">
        <f>Skills!A8</f>
        <v/>
      </c>
      <c r="B2735">
        <f>Skills!B8</f>
        <v/>
      </c>
      <c r="C2735">
        <f>Inputs!$B$3&gt;=105</f>
        <v/>
      </c>
      <c r="D2735">
        <f>IF(Skills!C8=1,60+Inputs!$B$26+Inputs!$B$30,IF(Skills!C8=2,90+Inputs!$B$27+Inputs!$B$30,IF(Skills!C8=3,120+Inputs!$B$28+Inputs!$B$30,MAX(0,(Inputs!$B$3-100)*3)+Inputs!$B$29+Inputs!$B$30)))</f>
        <v/>
      </c>
      <c r="E2735">
        <f>INDEX(FactorTable!$B$2:$Y$301, MATCH(ROUND(MIN(300,MAX(1,D2735)),0), FactorTable!$A$2:$A$301,0), Skills!L8+1)</f>
        <v/>
      </c>
      <c r="F2735">
        <f>IF(Skills!M8=TRUE,(Skills!K8/10)*(E2735/1000),Skills!K8/10)+Skills!N8</f>
        <v/>
      </c>
      <c r="G2735">
        <f>Calc!G8</f>
        <v/>
      </c>
      <c r="H2735">
        <f>Calc!H8</f>
        <v/>
      </c>
      <c r="I2735">
        <f>IF(Skills!T8&lt;&gt;"",1+(Skills!T8/10)*($Z$3/1000)/100,1)</f>
        <v/>
      </c>
      <c r="J2735">
        <f>((Inputs!$B$6*(1+Inputs!$B$7/100))+(((Inputs!$B$13*(1+Inputs!$B$14/100))-(Inputs!$B$13*(1+Inputs!$B$14/100)))+0.25*(Inputs!$B$15-Inputs!$B$15))*(1+Inputs!$B$7/100))*(F2735/100)</f>
        <v/>
      </c>
      <c r="K2735">
        <f>J2735*(1+(((Inputs!$B$13+IF(Inputs!$B$3&gt;=35,(10*INDEX(FactorTable!$B$2:$Y$301,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8="TRIUMPH_FEATHER",IF(C2743=TRUE,F2743,0),0)/100)*(1+IF(C2754=TRUE,F2754,0)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2735)</f>
        <v/>
      </c>
      <c r="L2735">
        <f>K2735*(MIN(Inputs!$B$23+(F2749-Calc!F22),(Inputs!$B$24+IF(ArtifactsInput!$M$15,CHOOSE(ArtifactsInput!$N$15+1,25,30,35,40,45,50)/100*(Inputs!$B$12-Inputs!$B$12),0)))/100+(Inputs!$B$24+IF(ArtifactsInput!$M$15,CHOOSE(ArtifactsInput!$N$15+1,25,30,35,40,45,50)/100*(Inputs!$B$12-Inputs!$B$12),0))/100)/2</f>
        <v/>
      </c>
      <c r="M2735">
        <f>L2735*(1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5">
        <f>L2735*(1-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(1-Summary!$B$11)*S2735+Summary!$B$11*U2735</f>
        <v/>
      </c>
      <c r="P2735">
        <f>IF(B2770=0,0,O2735/B2770)</f>
        <v/>
      </c>
      <c r="Q2735">
        <f>IFERROR(1/(IF(Inputs!$B$39="pvp",15,MAX(0.1,Skills!D8-IF(Skills!E8=TRUE,Inputs!$B$33,0)))*(1-IF(AND(ArtifactsInput!$M$27,Inputs!$B$4="Chapter Hunt"),CHOOSE(ArtifactsInput!$N$27+1,20,24,28,32,36,40),0)/100)),0)</f>
        <v/>
      </c>
      <c r="R2735">
        <f>IF(AND(Inputs!$B$39&lt;&gt;"pvp",Inputs!$B$44&gt;0),IF(MAX(0,Inputs!$B$44-B2767)&lt;=0,0,(INT(MAX(0,Inputs!$B$44-B2767)/(IF(Inputs!$B$39="pvp",15,MAX(0.1,Skills!D8-IF(Skills!E8=TRUE,Inputs!$B$33,0)))*(1-IF(AND(ArtifactsInput!$M$27,Inputs!$B$4="Chapter Hunt"),CHOOSE(ArtifactsInput!$N$27+1,20,24,28,32,36,40),0)/100)))+1)),0)</f>
        <v/>
      </c>
      <c r="S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$21+Skills!O8+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2735*(1-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$22+Skills!P8+B2759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Skills!A9</f>
        <v/>
      </c>
      <c r="B2736">
        <f>Skills!B9</f>
        <v/>
      </c>
      <c r="C2736">
        <f>Inputs!$B$3&gt;=115</f>
        <v/>
      </c>
      <c r="D2736">
        <f>IF(Skills!C9=1,60+Inputs!$B$26+Inputs!$B$30,IF(Skills!C9=2,90+Inputs!$B$27+Inputs!$B$30,IF(Skills!C9=3,120+Inputs!$B$28+Inputs!$B$30,MAX(0,(Inputs!$B$3-100)*3)+Inputs!$B$29+Inputs!$B$30)))</f>
        <v/>
      </c>
      <c r="E2736">
        <f>INDEX(FactorTable!$B$2:$Y$301, MATCH(ROUND(MIN(300,MAX(1,D2736)),0), FactorTable!$A$2:$A$301,0), Skills!L9+1)</f>
        <v/>
      </c>
      <c r="F2736">
        <f>IF(Skills!M9=TRUE,(Skills!K9/10)*(E2736/1000),Skills!K9/10)+Skills!N9</f>
        <v/>
      </c>
      <c r="G2736">
        <f>Calc!G9</f>
        <v/>
      </c>
      <c r="H2736">
        <f>Calc!H9</f>
        <v/>
      </c>
      <c r="I2736">
        <f>IF(Skills!T9&lt;&gt;"",1+(Skills!T9/10)*($Z$3/1000)/100,1)</f>
        <v/>
      </c>
      <c r="J2736">
        <f>((Inputs!$B$6*(1+Inputs!$B$7/100))+(((Inputs!$B$13*(1+Inputs!$B$14/100))-(Inputs!$B$13*(1+Inputs!$B$14/100)))+0.25*(Inputs!$B$15-Inputs!$B$15))*(1+Inputs!$B$7/100))*(F2736/100)</f>
        <v/>
      </c>
      <c r="K2736">
        <f>J2736*(1+(((Inputs!$B$13+IF(Inputs!$B$3&gt;=35,(10*INDEX(FactorTable!$B$2:$Y$301,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9="TRIUMPH_FEATHER",IF(C2743=TRUE,F2743,0),0)/100)*(1+IF(C2754=TRUE,F2754,0)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2736)</f>
        <v/>
      </c>
      <c r="L2736">
        <f>K2736*(MIN(Inputs!$B$23+(F2749-Calc!F22),(Inputs!$B$24+IF(ArtifactsInput!$M$15,CHOOSE(ArtifactsInput!$N$15+1,25,30,35,40,45,50)/100*(Inputs!$B$12-Inputs!$B$12),0)))/100+(Inputs!$B$24+IF(ArtifactsInput!$M$15,CHOOSE(ArtifactsInput!$N$15+1,25,30,35,40,45,50)/100*(Inputs!$B$12-Inputs!$B$12),0))/100)/2</f>
        <v/>
      </c>
      <c r="M2736">
        <f>L2736*(1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6">
        <f>L2736*(1-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(1-Summary!$B$11)*S2736+Summary!$B$11*U2736</f>
        <v/>
      </c>
      <c r="P2736">
        <f>IF(B2770=0,0,O2736/B2770)</f>
        <v/>
      </c>
      <c r="Q2736">
        <f>IFERROR(1/(IF(Inputs!$B$39="pvp",15,MAX(0.1,Skills!D9-IF(Skills!E9=TRUE,Inputs!$B$33,0)))*(1-IF(AND(ArtifactsInput!$M$27,Inputs!$B$4="Chapter Hunt"),CHOOSE(ArtifactsInput!$N$27+1,20,24,28,32,36,40),0)/100)),0)</f>
        <v/>
      </c>
      <c r="R2736">
        <f>IF(AND(Inputs!$B$39&lt;&gt;"pvp",Inputs!$B$44&gt;0),IF(MAX(0,Inputs!$B$44-B2767)&lt;=0,0,(INT(MAX(0,Inputs!$B$44-B2767)/(IF(Inputs!$B$39="pvp",15,MAX(0.1,Skills!D9-IF(Skills!E9=TRUE,Inputs!$B$33,0)))*(1-IF(AND(ArtifactsInput!$M$27,Inputs!$B$4="Chapter Hunt"),CHOOSE(ArtifactsInput!$N$27+1,20,24,28,32,36,40),0)/100)))+1)),0)</f>
        <v/>
      </c>
      <c r="S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$21+Skills!O9+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2736*(1-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$22+Skills!P9+B2759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Skills!A10</f>
        <v/>
      </c>
      <c r="B2737">
        <f>Skills!B10</f>
        <v/>
      </c>
      <c r="C2737">
        <f>Inputs!$B$3&gt;=66</f>
        <v/>
      </c>
      <c r="D2737">
        <f>IF(Skills!C10=1,60+Inputs!$B$26+Inputs!$B$30,IF(Skills!C10=2,90+Inputs!$B$27+Inputs!$B$30,IF(Skills!C10=3,120+Inputs!$B$28+Inputs!$B$30,MAX(0,(Inputs!$B$3-100)*3)+Inputs!$B$29+Inputs!$B$30)))</f>
        <v/>
      </c>
      <c r="E2737">
        <f>INDEX(FactorTable!$B$2:$Y$301, MATCH(ROUND(MIN(300,MAX(1,D2737)),0), FactorTable!$A$2:$A$301,0), Skills!L10+1)</f>
        <v/>
      </c>
      <c r="F2737" t="n">
        <v>0</v>
      </c>
      <c r="G2737">
        <f>Calc!G10</f>
        <v/>
      </c>
      <c r="H2737">
        <f>Calc!H10</f>
        <v/>
      </c>
      <c r="I2737">
        <f>IF(Skills!T10&lt;&gt;"",1+(Skills!T10/10)*($Z$3/1000)/100,1)</f>
        <v/>
      </c>
      <c r="J2737" t="inlineStr"/>
      <c r="K2737" t="inlineStr"/>
      <c r="L2737" t="inlineStr"/>
      <c r="M2737" t="inlineStr"/>
      <c r="N2737" t="inlineStr"/>
      <c r="O2737">
        <f>(1-Summary!$B$11)*S2737+Summary!$B$11*U2737</f>
        <v/>
      </c>
      <c r="P2737">
        <f>IF(B2770=0,0,O2737/B2770)</f>
        <v/>
      </c>
      <c r="Q2737">
        <f>IFERROR(1/(IF(Inputs!$B$39="pvp",15,MAX(0.1,Skills!D10-IF(Skills!E10=TRUE,Inputs!$B$33,0)))*(1-IF(AND(ArtifactsInput!$M$27,Inputs!$B$4="Chapter Hunt"),CHOOSE(ArtifactsInput!$N$27+1,20,24,28,32,36,40),0)/100)),0)</f>
        <v/>
      </c>
      <c r="R2737">
        <f>IF(AND(Inputs!$B$39&lt;&gt;"pvp",Inputs!$B$44&gt;0),IF(MAX(0,Inputs!$B$44-B2767)&lt;=0,0,(INT(MAX(0,Inputs!$B$44-B2767)/(IF(Inputs!$B$39="pvp",15,MAX(0.1,Skills!D10-IF(Skills!E10=TRUE,Inputs!$B$33,0)))*(1-IF(AND(ArtifactsInput!$M$27,Inputs!$B$4="Chapter Hunt"),CHOOSE(ArtifactsInput!$N$27+1,20,24,28,32,36,40),0)/100)))+1)),0)</f>
        <v/>
      </c>
      <c r="S2737" t="n">
        <v>0</v>
      </c>
      <c r="U2737" t="n">
        <v>0</v>
      </c>
    </row>
    <row r="2738">
      <c r="A2738">
        <f>Skills!A11</f>
        <v/>
      </c>
      <c r="B2738">
        <f>Skills!B11</f>
        <v/>
      </c>
      <c r="C2738">
        <f>Inputs!$B$3&gt;=69</f>
        <v/>
      </c>
      <c r="D2738">
        <f>IF(Skills!C11=1,60+Inputs!$B$26+Inputs!$B$30,IF(Skills!C11=2,90+Inputs!$B$27+Inputs!$B$30,IF(Skills!C11=3,120+Inputs!$B$28+Inputs!$B$30,MAX(0,(Inputs!$B$3-100)*3)+Inputs!$B$29+Inputs!$B$30)))</f>
        <v/>
      </c>
      <c r="E2738">
        <f>INDEX(FactorTable!$B$2:$Y$301, MATCH(ROUND(MIN(300,MAX(1,D2738)),0), FactorTable!$A$2:$A$301,0), Skills!L11+1)</f>
        <v/>
      </c>
      <c r="F2738">
        <f>IF(Skills!M11=TRUE,(Skills!K11/10)*(E2738/1000),Skills!K11/10)+Skills!N11</f>
        <v/>
      </c>
      <c r="G2738">
        <f>Calc!G11</f>
        <v/>
      </c>
      <c r="H2738">
        <f>Calc!H11</f>
        <v/>
      </c>
      <c r="I2738">
        <f>IF(Skills!T11&lt;&gt;"",1+(Skills!T11/10)*($Z$3/1000)/100,1)</f>
        <v/>
      </c>
      <c r="J2738" t="inlineStr"/>
      <c r="K2738" t="inlineStr"/>
      <c r="L2738" t="inlineStr"/>
      <c r="M2738" t="inlineStr"/>
      <c r="N2738" t="inlineStr"/>
      <c r="O2738">
        <f>(1-Summary!$B$11)*S2738+Summary!$B$11*U2738</f>
        <v/>
      </c>
      <c r="P2738">
        <f>IF(B2770=0,0,O2738/B2770)</f>
        <v/>
      </c>
      <c r="Q2738">
        <f>IFERROR(1/(IF(Inputs!$B$39="pvp",15,MAX(0.1,Skills!D11-IF(Skills!E11=TRUE,Inputs!$B$33,0)))*(1-IF(AND(ArtifactsInput!$M$27,Inputs!$B$4="Chapter Hunt"),CHOOSE(ArtifactsInput!$N$27+1,20,24,28,32,36,40),0)/100)),0)</f>
        <v/>
      </c>
      <c r="R2738">
        <f>IF(AND(Inputs!$B$39&lt;&gt;"pvp",Inputs!$B$44&gt;0),IF(Inputs!$B$44&lt;=0,0,(INT(Inputs!$B$44/(IF(Inputs!$B$39="pvp",15,MAX(0.1,Skills!D11-IF(Skills!E11=TRUE,Inputs!$B$33,0)))*(1-IF(AND(ArtifactsInput!$M$27,Inputs!$B$4="Chapter Hunt"),CHOOSE(ArtifactsInput!$N$27+1,20,24,28,32,36,40),0)/100)))+1)),0)</f>
        <v/>
      </c>
      <c r="S2738" t="n">
        <v>0</v>
      </c>
      <c r="U2738" t="n">
        <v>0</v>
      </c>
    </row>
    <row r="2739">
      <c r="A2739">
        <f>Skills!A12</f>
        <v/>
      </c>
      <c r="B2739">
        <f>Skills!B12</f>
        <v/>
      </c>
      <c r="C2739">
        <f>Inputs!$B$3&gt;=72</f>
        <v/>
      </c>
      <c r="D2739">
        <f>IF(Skills!C12=1,60+Inputs!$B$26+Inputs!$B$30,IF(Skills!C12=2,90+Inputs!$B$27+Inputs!$B$30,IF(Skills!C12=3,120+Inputs!$B$28+Inputs!$B$30,MAX(0,(Inputs!$B$3-100)*3)+Inputs!$B$29+Inputs!$B$30)))</f>
        <v/>
      </c>
      <c r="E2739">
        <f>INDEX(FactorTable!$B$2:$Y$301, MATCH(ROUND(MIN(300,MAX(1,D2739)),0), FactorTable!$A$2:$A$301,0), Skills!L12+1)</f>
        <v/>
      </c>
      <c r="F2739">
        <f>IF(Skills!M12=TRUE,(Skills!K12/10)*(E2739/1000),Skills!K12/10)+Skills!N12</f>
        <v/>
      </c>
      <c r="G2739">
        <f>Calc!G12</f>
        <v/>
      </c>
      <c r="H2739">
        <f>Calc!H12</f>
        <v/>
      </c>
      <c r="I2739">
        <f>IF(Skills!T12&lt;&gt;"",1+(Skills!T12/10)*($Z$3/1000)/100,1)</f>
        <v/>
      </c>
      <c r="J2739" t="inlineStr"/>
      <c r="K2739" t="inlineStr"/>
      <c r="L2739" t="inlineStr"/>
      <c r="M2739" t="inlineStr"/>
      <c r="N2739" t="inlineStr"/>
      <c r="O2739">
        <f>(1-Summary!$B$11)*S2739+Summary!$B$11*U2739</f>
        <v/>
      </c>
      <c r="P2739">
        <f>IF(B2770=0,0,O2739/B2770)</f>
        <v/>
      </c>
      <c r="Q2739">
        <f>IFERROR(1/(IF(Inputs!$B$39="pvp",15,MAX(0.1,Skills!D12-IF(Skills!E12=TRUE,Inputs!$B$33,0)))*(1-IF(AND(ArtifactsInput!$M$27,Inputs!$B$4="Chapter Hunt"),CHOOSE(ArtifactsInput!$N$27+1,20,24,28,32,36,40),0)/100)),0)</f>
        <v/>
      </c>
      <c r="R2739">
        <f>IF(AND(Inputs!$B$39&lt;&gt;"pvp",Inputs!$B$44&gt;0),IF(MAX(0,Inputs!$B$44-B2767)&lt;=0,0,(INT(MAX(0,Inputs!$B$44-B2767)/(IF(Inputs!$B$39="pvp",15,MAX(0.1,Skills!D12-IF(Skills!E12=TRUE,Inputs!$B$33,0)))*(1-IF(AND(ArtifactsInput!$M$27,Inputs!$B$4="Chapter Hunt"),CHOOSE(ArtifactsInput!$N$27+1,20,24,28,32,36,40),0)/100)))+1)),0)</f>
        <v/>
      </c>
      <c r="S2739" t="n">
        <v>0</v>
      </c>
      <c r="U2739" t="n">
        <v>0</v>
      </c>
    </row>
    <row r="2740">
      <c r="A2740">
        <f>Skills!A13</f>
        <v/>
      </c>
      <c r="B2740">
        <f>Skills!B13</f>
        <v/>
      </c>
      <c r="C2740">
        <f>Inputs!$B$3&gt;=60</f>
        <v/>
      </c>
      <c r="D2740">
        <f>IF(Skills!C13=1,60+Inputs!$B$26+Inputs!$B$30,IF(Skills!C13=2,90+Inputs!$B$27+Inputs!$B$30,IF(Skills!C13=3,120+Inputs!$B$28+Inputs!$B$30,MAX(0,(Inputs!$B$3-100)*3)+Inputs!$B$29+Inputs!$B$30)))</f>
        <v/>
      </c>
      <c r="E2740">
        <f>INDEX(FactorTable!$B$2:$Y$301, MATCH(ROUND(MIN(300,MAX(1,D2740)),0), FactorTable!$A$2:$A$301,0), Skills!L13+1)</f>
        <v/>
      </c>
      <c r="F2740">
        <f>IF(Skills!M13=TRUE,(Skills!K13/10)*(E2740/1000),Skills!K13/10)+Skills!N13</f>
        <v/>
      </c>
      <c r="G2740">
        <f>Calc!G13</f>
        <v/>
      </c>
      <c r="H2740">
        <f>Calc!H13</f>
        <v/>
      </c>
      <c r="I2740">
        <f>IF(Skills!T13&lt;&gt;"",1+(Skills!T13/10)*($Z$3/1000)/100,1)</f>
        <v/>
      </c>
      <c r="J2740" t="inlineStr"/>
      <c r="K2740" t="inlineStr"/>
      <c r="L2740" t="inlineStr"/>
      <c r="M2740" t="inlineStr"/>
      <c r="N2740" t="inlineStr"/>
      <c r="O2740">
        <f>(1-Summary!$B$11)*S2740+Summary!$B$11*U2740</f>
        <v/>
      </c>
      <c r="P2740">
        <f>IF(B2770=0,0,O2740/B2770)</f>
        <v/>
      </c>
      <c r="Q2740">
        <f>IFERROR(1/(IF(Inputs!$B$39="pvp",15,MAX(0.1,Skills!D13-IF(Skills!E13=TRUE,Inputs!$B$33,0)))*(1-IF(AND(ArtifactsInput!$M$27,Inputs!$B$4="Chapter Hunt"),CHOOSE(ArtifactsInput!$N$27+1,20,24,28,32,36,40),0)/100)),0)</f>
        <v/>
      </c>
      <c r="R2740">
        <f>IF(AND(Inputs!$B$39&lt;&gt;"pvp",Inputs!$B$44&gt;0),IF(MAX(0,Inputs!$B$44-B2767)&lt;=0,0,(INT(MAX(0,Inputs!$B$44-B2767)/(IF(Inputs!$B$39="pvp",15,MAX(0.1,Skills!D13-IF(Skills!E13=TRUE,Inputs!$B$33,0)))*(1-IF(AND(ArtifactsInput!$M$27,Inputs!$B$4="Chapter Hunt"),CHOOSE(ArtifactsInput!$N$27+1,20,24,28,32,36,40),0)/100)))+1)),0)</f>
        <v/>
      </c>
      <c r="S2740" t="n">
        <v>0</v>
      </c>
      <c r="U2740" t="n">
        <v>0</v>
      </c>
    </row>
    <row r="2741">
      <c r="A2741">
        <f>Skills!A14</f>
        <v/>
      </c>
      <c r="B2741">
        <f>Skills!B14</f>
        <v/>
      </c>
      <c r="C2741">
        <f>Inputs!$B$3&gt;=107</f>
        <v/>
      </c>
      <c r="D2741">
        <f>IF(Skills!C14=1,60+Inputs!$B$26+Inputs!$B$30,IF(Skills!C14=2,90+Inputs!$B$27+Inputs!$B$30,IF(Skills!C14=3,120+Inputs!$B$28+Inputs!$B$30,MAX(0,(Inputs!$B$3-100)*3)+Inputs!$B$29+Inputs!$B$30)))</f>
        <v/>
      </c>
      <c r="E2741">
        <f>INDEX(FactorTable!$B$2:$Y$301, MATCH(ROUND(MIN(300,MAX(1,D2741)),0), FactorTable!$A$2:$A$301,0), Skills!L14+1)</f>
        <v/>
      </c>
      <c r="F2741">
        <f>IF(Skills!M14=TRUE,(Skills!K14/10)*(E2741/1000),Skills!K14/10)+Skills!N14</f>
        <v/>
      </c>
      <c r="G2741">
        <f>Calc!G14</f>
        <v/>
      </c>
      <c r="H2741">
        <f>Calc!H14</f>
        <v/>
      </c>
      <c r="I2741">
        <f>IF(Skills!T14&lt;&gt;"",1+(Skills!T14/10)*($Z$3/1000)/100,1)</f>
        <v/>
      </c>
      <c r="J2741" t="inlineStr"/>
      <c r="K2741" t="inlineStr"/>
      <c r="L2741" t="inlineStr"/>
      <c r="M2741" t="inlineStr"/>
      <c r="N2741" t="inlineStr"/>
      <c r="O2741">
        <f>(1-Summary!$B$11)*S2741+Summary!$B$11*U2741</f>
        <v/>
      </c>
      <c r="P2741">
        <f>IF(B2770=0,0,O2741/B2770)</f>
        <v/>
      </c>
      <c r="Q2741">
        <f>IFERROR(1/(IF(Inputs!$B$39="pvp",15,MAX(0.1,Skills!D14-IF(Skills!E14=TRUE,Inputs!$B$33,0)))*(1-IF(AND(ArtifactsInput!$M$27,Inputs!$B$4="Chapter Hunt"),CHOOSE(ArtifactsInput!$N$27+1,20,24,28,32,36,40),0)/100)),0)</f>
        <v/>
      </c>
      <c r="R2741">
        <f>IF(AND(Inputs!$B$39&lt;&gt;"pvp",Inputs!$B$44&gt;0),IF(Inputs!$B$44&lt;=0,0,(INT(Inputs!$B$44/(IF(Inputs!$B$39="pvp",15,MAX(0.1,Skills!D14-IF(Skills!E14=TRUE,Inputs!$B$33,0)))*(1-IF(AND(ArtifactsInput!$M$27,Inputs!$B$4="Chapter Hunt"),CHOOSE(ArtifactsInput!$N$27+1,20,24,28,32,36,40),0)/100)))+1)),0)</f>
        <v/>
      </c>
      <c r="S2741" t="n">
        <v>0</v>
      </c>
      <c r="U2741" t="n">
        <v>0</v>
      </c>
    </row>
    <row r="2742">
      <c r="A2742">
        <f>Skills!A15</f>
        <v/>
      </c>
      <c r="B2742">
        <f>Skills!B15</f>
        <v/>
      </c>
      <c r="C2742">
        <f>Inputs!$B$3&gt;=63</f>
        <v/>
      </c>
      <c r="D2742">
        <f>IF(Skills!C15=1,60+Inputs!$B$26+Inputs!$B$30,IF(Skills!C15=2,90+Inputs!$B$27+Inputs!$B$30,IF(Skills!C15=3,120+Inputs!$B$28+Inputs!$B$30,MAX(0,(Inputs!$B$3-100)*3)+Inputs!$B$29+Inputs!$B$30)))</f>
        <v/>
      </c>
      <c r="E2742">
        <f>INDEX(FactorTable!$B$2:$Y$301, MATCH(ROUND(MIN(300,MAX(1,D2742)),0), FactorTable!$A$2:$A$301,0), Skills!L15+1)</f>
        <v/>
      </c>
      <c r="F2742">
        <f>IF(Skills!M15=TRUE,(Skills!K15/10)*(E2742/1000),Skills!K15/10)+Skills!N15</f>
        <v/>
      </c>
      <c r="G2742">
        <f>Calc!G15</f>
        <v/>
      </c>
      <c r="H2742">
        <f>Calc!H15</f>
        <v/>
      </c>
      <c r="I2742">
        <f>IF(Skills!T15&lt;&gt;"",1+(Skills!T15/10)*($Z$3/1000)/100,1)</f>
        <v/>
      </c>
      <c r="J2742">
        <f>((Inputs!$B$6*(1+Inputs!$B$7/100))+(((Inputs!$B$13*(1+Inputs!$B$14/100))-(Inputs!$B$13*(1+Inputs!$B$14/100)))+0.25*(Inputs!$B$15-Inputs!$B$15))*(1+Inputs!$B$7/100))*(F2742/100)</f>
        <v/>
      </c>
      <c r="K2742">
        <f>J2742*(1+(((Inputs!$B$13+IF(Inputs!$B$3&gt;=35,(10*INDEX(FactorTable!$B$2:$Y$301,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15="TRIUMPH_FEATHER",IF(C2743=TRUE,F2743,0),0)/100)*(1+IF(C2754=TRUE,F2754,0)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2742)</f>
        <v/>
      </c>
      <c r="L2742">
        <f>K2742*(MIN(Inputs!$B$23+(F2749-Calc!F22),(Inputs!$B$24+IF(ArtifactsInput!$M$15,CHOOSE(ArtifactsInput!$N$15+1,25,30,35,40,45,50)/100*(Inputs!$B$12-Inputs!$B$12),0)))/100+(Inputs!$B$24+IF(ArtifactsInput!$M$15,CHOOSE(ArtifactsInput!$N$15+1,25,30,35,40,45,50)/100*(Inputs!$B$12-Inputs!$B$12),0))/100)/2</f>
        <v/>
      </c>
      <c r="M2742">
        <f>L2742*(1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42">
        <f>L2742*(1-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2742*(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2">
        <f>(1-Summary!$B$11)*S2742+Summary!$B$11*U2742</f>
        <v/>
      </c>
      <c r="P2742">
        <f>IF(B2770=0,0,O2742/B2770)</f>
        <v/>
      </c>
      <c r="Q2742">
        <f>IFERROR(1/(IF(Inputs!$B$39="pvp",15,MAX(0.1,Skills!D15-IF(Skills!E15=TRUE,Inputs!$B$33,0)))*(1-IF(AND(ArtifactsInput!$M$27,Inputs!$B$4="Chapter Hunt"),CHOOSE(ArtifactsInput!$N$27+1,20,24,28,32,36,40),0)/100)),0)</f>
        <v/>
      </c>
      <c r="R2742" t="n">
        <v>0</v>
      </c>
      <c r="S2742">
        <f>IF(C2742,(Skills!F15*N2742*((IF(Inputs!$B$3&gt;=78,25,15)/100*B2763*10)/(1+IF(Inputs!$B$3&gt;=78,25,15)/100*B2763*10))*(Skills!I15/100*B2763)/(1+Skills!G15*Skills!I15/100*B2763))*IF(Inputs!$B$39="pvp",1,1+(Inputs!$B$21+Skills!O15+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2742*(1-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2742*(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2742*(1-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2742*(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2">
        <f>IF(C2742,(Skills!F15*N2742*((IF(Inputs!$B$3&gt;=78,25,15)/100*B2763*10)/(1+IF(Inputs!$B$3&gt;=78,25,15)/100*B2763*10))*(Skills!I15/100*B2763)/(1+Skills!G15*Skills!I15/100*B2763))*IF(Inputs!$B$39="pvp",1,(1+(Inputs!$B$22+Skills!P15+B2759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3">
      <c r="A2743">
        <f>Skills!A16</f>
        <v/>
      </c>
      <c r="B2743">
        <f>Skills!B16</f>
        <v/>
      </c>
      <c r="C2743">
        <f>Inputs!$B$3&gt;=100</f>
        <v/>
      </c>
      <c r="D2743">
        <f>IF(Skills!C16=1,60+Inputs!$B$26+Inputs!$B$30,IF(Skills!C16=2,90+Inputs!$B$27+Inputs!$B$30,IF(Skills!C16=3,120+Inputs!$B$28+Inputs!$B$30,MAX(0,(Inputs!$B$3-100)*3)+Inputs!$B$29+Inputs!$B$30)))</f>
        <v/>
      </c>
      <c r="E2743">
        <f>INDEX(FactorTable!$B$2:$Y$301, MATCH(ROUND(MIN(300,MAX(1,D2743)),0), FactorTable!$A$2:$A$301,0), Skills!L16+1)</f>
        <v/>
      </c>
      <c r="F2743">
        <f>IF(Skills!M16=TRUE,(Skills!K16/10)*(E2743/1000),Skills!K16/10)+Skills!N16</f>
        <v/>
      </c>
      <c r="G2743">
        <f>Calc!G16</f>
        <v/>
      </c>
      <c r="H2743">
        <f>Calc!H16</f>
        <v/>
      </c>
      <c r="I2743">
        <f>IF(Skills!T16&lt;&gt;"",1+(Skills!T16/10)*($Z$3/1000)/100,1)</f>
        <v/>
      </c>
      <c r="J2743" t="inlineStr"/>
      <c r="K2743" t="inlineStr"/>
      <c r="L2743" t="inlineStr"/>
      <c r="M2743" t="inlineStr"/>
      <c r="N2743" t="inlineStr"/>
      <c r="O2743">
        <f>(1-Summary!$B$11)*S2743+Summary!$B$11*U2743</f>
        <v/>
      </c>
      <c r="P2743">
        <f>IF(B2770=0,0,O2743/B2770)</f>
        <v/>
      </c>
      <c r="Q2743">
        <f>IFERROR(1/(IF(Inputs!$B$39="pvp",15,MAX(0.1,Skills!D16-IF(Skills!E16=TRUE,Inputs!$B$33,0)))*(1-IF(AND(ArtifactsInput!$M$27,Inputs!$B$4="Chapter Hunt"),CHOOSE(ArtifactsInput!$N$27+1,20,24,28,32,36,40),0)/100)),0)</f>
        <v/>
      </c>
      <c r="R2743" t="n">
        <v>0</v>
      </c>
      <c r="S2743" t="n">
        <v>0</v>
      </c>
      <c r="U2743" t="n">
        <v>0</v>
      </c>
    </row>
    <row r="2744">
      <c r="A2744">
        <f>Skills!A17</f>
        <v/>
      </c>
      <c r="B2744">
        <f>Skills!B17</f>
        <v/>
      </c>
      <c r="C2744">
        <f>Inputs!$B$3&gt;=49</f>
        <v/>
      </c>
      <c r="D2744">
        <f>IF(Skills!C17=1,60+Inputs!$B$26+Inputs!$B$30,IF(Skills!C17=2,90+Inputs!$B$27+Inputs!$B$30,IF(Skills!C17=3,120+Inputs!$B$28+Inputs!$B$30,MAX(0,(Inputs!$B$3-100)*3)+Inputs!$B$29+Inputs!$B$30)))</f>
        <v/>
      </c>
      <c r="E2744">
        <f>INDEX(FactorTable!$B$2:$Y$301, MATCH(ROUND(MIN(300,MAX(1,D2744)),0), FactorTable!$A$2:$A$301,0), Skills!L17+1)</f>
        <v/>
      </c>
      <c r="F2744">
        <f>IF(Skills!M17=TRUE,(Skills!K17/10)*(E2744/1000),Skills!K17/10)+Skills!N17</f>
        <v/>
      </c>
      <c r="G2744">
        <f>Calc!G17</f>
        <v/>
      </c>
      <c r="H2744">
        <f>Calc!H17</f>
        <v/>
      </c>
      <c r="I2744">
        <f>IF(Skills!T17&lt;&gt;"",1+(Skills!T17/10)*($Z$3/1000)/100,1)</f>
        <v/>
      </c>
      <c r="J2744" t="inlineStr"/>
      <c r="K2744" t="inlineStr"/>
      <c r="L2744" t="inlineStr"/>
      <c r="M2744" t="inlineStr"/>
      <c r="N2744" t="inlineStr"/>
      <c r="O2744">
        <f>(1-Summary!$B$11)*S2744+Summary!$B$11*U2744</f>
        <v/>
      </c>
      <c r="P2744">
        <f>IF(B2770=0,0,O2744/B2770)</f>
        <v/>
      </c>
      <c r="Q2744">
        <f>IFERROR(1/(IF(Inputs!$B$39="pvp",15,MAX(0.1,Skills!D17-IF(Skills!E17=TRUE,Inputs!$B$33,0)))*(1-IF(AND(ArtifactsInput!$M$27,Inputs!$B$4="Chapter Hunt"),CHOOSE(ArtifactsInput!$N$27+1,20,24,28,32,36,40),0)/100)),0)</f>
        <v/>
      </c>
      <c r="R2744" t="n">
        <v>0</v>
      </c>
      <c r="S2744" t="n">
        <v>0</v>
      </c>
      <c r="U2744" t="n">
        <v>0</v>
      </c>
    </row>
    <row r="2745">
      <c r="A2745">
        <f>Skills!A18</f>
        <v/>
      </c>
      <c r="B2745">
        <f>Skills!B18</f>
        <v/>
      </c>
      <c r="C2745">
        <f>Inputs!$B$3&gt;=75</f>
        <v/>
      </c>
      <c r="D2745">
        <f>IF(Skills!C18=1,60+Inputs!$B$26+Inputs!$B$30,IF(Skills!C18=2,90+Inputs!$B$27+Inputs!$B$30,IF(Skills!C18=3,120+Inputs!$B$28+Inputs!$B$30,MAX(0,(Inputs!$B$3-100)*3)+Inputs!$B$29+Inputs!$B$30)))</f>
        <v/>
      </c>
      <c r="E2745">
        <f>INDEX(FactorTable!$B$2:$Y$301, MATCH(ROUND(MIN(300,MAX(1,D2745)),0), FactorTable!$A$2:$A$301,0), Skills!L18+1)</f>
        <v/>
      </c>
      <c r="F2745">
        <f>IF(Skills!M18=TRUE,(Skills!K18/10)*(E2745/1000),Skills!K18/10)+Skills!N18</f>
        <v/>
      </c>
      <c r="G2745">
        <f>Calc!G18</f>
        <v/>
      </c>
      <c r="H2745">
        <f>Calc!H18</f>
        <v/>
      </c>
      <c r="I2745">
        <f>IF(Skills!T18&lt;&gt;"",1+(Skills!T18/10)*($Z$3/1000)/100,1)</f>
        <v/>
      </c>
      <c r="J2745" t="inlineStr"/>
      <c r="K2745" t="inlineStr"/>
      <c r="L2745" t="inlineStr"/>
      <c r="M2745" t="inlineStr"/>
      <c r="N2745" t="inlineStr"/>
      <c r="O2745">
        <f>(1-Summary!$B$11)*S2745+Summary!$B$11*U2745</f>
        <v/>
      </c>
      <c r="P2745">
        <f>IF(B2770=0,0,O2745/B2770)</f>
        <v/>
      </c>
      <c r="Q2745">
        <f>IFERROR(1/(IF(Inputs!$B$39="pvp",15,MAX(0.1,Skills!D18-IF(Skills!E18=TRUE,Inputs!$B$33,0)))*(1-IF(AND(ArtifactsInput!$M$27,Inputs!$B$4="Chapter Hunt"),CHOOSE(ArtifactsInput!$N$27+1,20,24,28,32,36,40),0)/100)),0)</f>
        <v/>
      </c>
      <c r="R2745" t="n">
        <v>0</v>
      </c>
      <c r="S2745" t="n">
        <v>0</v>
      </c>
      <c r="U2745" t="n">
        <v>0</v>
      </c>
    </row>
    <row r="2746">
      <c r="A2746">
        <f>Skills!A19</f>
        <v/>
      </c>
      <c r="B2746">
        <f>Skills!B19</f>
        <v/>
      </c>
      <c r="C2746">
        <f>Inputs!$B$3&gt;=110</f>
        <v/>
      </c>
      <c r="D2746">
        <f>IF(Skills!C19=1,60+Inputs!$B$26+Inputs!$B$30,IF(Skills!C19=2,90+Inputs!$B$27+Inputs!$B$30,IF(Skills!C19=3,120+Inputs!$B$28+Inputs!$B$30,MAX(0,(Inputs!$B$3-100)*3)+Inputs!$B$29+Inputs!$B$30)))</f>
        <v/>
      </c>
      <c r="E2746">
        <f>INDEX(FactorTable!$B$2:$Y$301, MATCH(ROUND(MIN(300,MAX(1,D2746)),0), FactorTable!$A$2:$A$301,0), Skills!L19+1)</f>
        <v/>
      </c>
      <c r="F2746">
        <f>(Skills!K19/10)*(E2746/1000)*64/45+Skills!N19</f>
        <v/>
      </c>
      <c r="G2746">
        <f>Calc!G19</f>
        <v/>
      </c>
      <c r="H2746">
        <f>Calc!H19</f>
        <v/>
      </c>
      <c r="I2746">
        <f>IF(Skills!T19&lt;&gt;"",1+(Skills!T19/10)*($Z$3/1000)/100,1)</f>
        <v/>
      </c>
      <c r="J2746" t="inlineStr"/>
      <c r="K2746" t="inlineStr"/>
      <c r="L2746" t="inlineStr"/>
      <c r="M2746" t="inlineStr"/>
      <c r="N2746" t="inlineStr"/>
      <c r="O2746">
        <f>(1-Summary!$B$11)*S2746+Summary!$B$11*U2746</f>
        <v/>
      </c>
      <c r="P2746">
        <f>IF(B2770=0,0,O2746/B2770)</f>
        <v/>
      </c>
      <c r="Q2746">
        <f>IFERROR(1/(IF(Inputs!$B$39="pvp",15,MAX(0.1,Skills!D19-IF(Skills!E19=TRUE,Inputs!$B$33,0)))*(1-IF(AND(ArtifactsInput!$M$27,Inputs!$B$4="Chapter Hunt"),CHOOSE(ArtifactsInput!$N$27+1,20,24,28,32,36,40),0)/100)),0)</f>
        <v/>
      </c>
      <c r="R2746">
        <f>IF(AND(Inputs!$B$39&lt;&gt;"pvp",Inputs!$B$44&gt;0),IF(Inputs!$B$44&lt;=0,0,(INT(Inputs!$B$44/(IF(Inputs!$B$39="pvp",15,MAX(0.1,Skills!D19-IF(Skills!E19=TRUE,Inputs!$B$33,0)))*(1-IF(AND(ArtifactsInput!$M$27,Inputs!$B$4="Chapter Hunt"),CHOOSE(ArtifactsInput!$N$27+1,20,24,28,32,36,40),0)/100)))+1)),0)</f>
        <v/>
      </c>
      <c r="S2746" t="n">
        <v>0</v>
      </c>
      <c r="U2746" t="n">
        <v>0</v>
      </c>
    </row>
    <row r="2747">
      <c r="A2747">
        <f>Skills!A20</f>
        <v/>
      </c>
      <c r="B2747">
        <f>Skills!B20</f>
        <v/>
      </c>
      <c r="C2747">
        <f>Inputs!$B$3&gt;=125</f>
        <v/>
      </c>
      <c r="D2747">
        <f>IF(Skills!C20=1,60+Inputs!$B$26+Inputs!$B$30,IF(Skills!C20=2,90+Inputs!$B$27+Inputs!$B$30,IF(Skills!C20=3,120+Inputs!$B$28+Inputs!$B$30,MAX(0,(Inputs!$B$3-100)*3)+Inputs!$B$29+Inputs!$B$30)))</f>
        <v/>
      </c>
      <c r="E2747">
        <f>INDEX(FactorTable!$B$2:$Y$301, MATCH(ROUND(MIN(300,MAX(1,D2747)),0), FactorTable!$A$2:$A$301,0), Skills!L20+1)</f>
        <v/>
      </c>
      <c r="F2747">
        <f>IF(Skills!M20=TRUE,(Skills!K20/10)*(E2747/1000),Skills!K20/10)+Skills!N20</f>
        <v/>
      </c>
      <c r="G2747">
        <f>Calc!G20</f>
        <v/>
      </c>
      <c r="H2747">
        <f>Calc!H20</f>
        <v/>
      </c>
      <c r="I2747">
        <f>IF(Skills!T20&lt;&gt;"",1+(Skills!T20/10)*($Z$3/1000)/100,1)</f>
        <v/>
      </c>
      <c r="J2747" t="inlineStr"/>
      <c r="K2747" t="inlineStr"/>
      <c r="L2747" t="inlineStr"/>
      <c r="M2747" t="inlineStr"/>
      <c r="N2747" t="inlineStr"/>
      <c r="O2747">
        <f>(1-Summary!$B$11)*S2747+Summary!$B$11*U2747</f>
        <v/>
      </c>
      <c r="P2747">
        <f>IF(B2770=0,0,O2747/B2770)</f>
        <v/>
      </c>
      <c r="Q2747">
        <f>IFERROR(1/(IF(Inputs!$B$39="pvp",15,MAX(0.1,Skills!D20-IF(Skills!E20=TRUE,Inputs!$B$33,0)))*(1-IF(AND(ArtifactsInput!$M$27,Inputs!$B$4="Chapter Hunt"),CHOOSE(ArtifactsInput!$N$27+1,20,24,28,32,36,40),0)/100)),0)</f>
        <v/>
      </c>
      <c r="R2747" t="n">
        <v>0</v>
      </c>
      <c r="S2747" t="n">
        <v>0</v>
      </c>
      <c r="U2747" t="n">
        <v>0</v>
      </c>
    </row>
    <row r="2748">
      <c r="A2748">
        <f>Skills!A21</f>
        <v/>
      </c>
      <c r="B2748">
        <f>Skills!B21</f>
        <v/>
      </c>
      <c r="C2748">
        <f>Inputs!$B$3&gt;=33</f>
        <v/>
      </c>
      <c r="D2748">
        <f>IF(Skills!C21=1,60+Inputs!$B$26+Inputs!$B$30,IF(Skills!C21=2,90+Inputs!$B$27+Inputs!$B$30,IF(Skills!C21=3,120+Inputs!$B$28+Inputs!$B$30,MAX(0,(Inputs!$B$3-100)*3)+Inputs!$B$29+Inputs!$B$30)))</f>
        <v/>
      </c>
      <c r="E2748">
        <f>INDEX(FactorTable!$B$2:$Y$301, MATCH(ROUND(MIN(300,MAX(1,D2748)),0), FactorTable!$A$2:$A$301,0), Skills!L21+1)</f>
        <v/>
      </c>
      <c r="F2748">
        <f>IF(Skills!M21=TRUE,(Skills!K21/10)*(E2748/1000),Skills!K21/10)+Skills!N21</f>
        <v/>
      </c>
      <c r="G2748">
        <f>Calc!G21</f>
        <v/>
      </c>
      <c r="H2748">
        <f>Calc!H21</f>
        <v/>
      </c>
      <c r="I2748">
        <f>IF(Skills!T21&lt;&gt;"",1+(Skills!T21/10)*($Z$3/1000)/100,1)</f>
        <v/>
      </c>
      <c r="J2748" t="inlineStr"/>
      <c r="K2748" t="inlineStr"/>
      <c r="L2748" t="inlineStr"/>
      <c r="M2748" t="inlineStr"/>
      <c r="N2748" t="inlineStr"/>
      <c r="O2748">
        <f>(1-Summary!$B$11)*S2748+Summary!$B$11*U2748</f>
        <v/>
      </c>
      <c r="P2748">
        <f>IF(B2770=0,0,O2748/B2770)</f>
        <v/>
      </c>
      <c r="Q2748">
        <f>IFERROR(1/(IF(Inputs!$B$39="pvp",15,MAX(0.1,Skills!D21-IF(Skills!E21=TRUE,Inputs!$B$33,0)))*(1-IF(AND(ArtifactsInput!$M$27,Inputs!$B$4="Chapter Hunt"),CHOOSE(ArtifactsInput!$N$27+1,20,24,28,32,36,40),0)/100)),0)</f>
        <v/>
      </c>
      <c r="R2748" t="n">
        <v>0</v>
      </c>
      <c r="S2748" t="n">
        <v>0</v>
      </c>
      <c r="U2748" t="n">
        <v>0</v>
      </c>
    </row>
    <row r="2749">
      <c r="A2749">
        <f>Skills!A22</f>
        <v/>
      </c>
      <c r="B2749">
        <f>Skills!B22</f>
        <v/>
      </c>
      <c r="C2749">
        <f>Inputs!$B$3&gt;=43</f>
        <v/>
      </c>
      <c r="D2749">
        <f>IF(Skills!C22=1,60+Inputs!$B$26+Inputs!$B$30,IF(Skills!C22=2,90+Inputs!$B$27+Inputs!$B$30,IF(Skills!C22=3,120+Inputs!$B$28+Inputs!$B$30,MAX(0,(Inputs!$B$3-100)*3)+Inputs!$B$29+Inputs!$B$30)))</f>
        <v/>
      </c>
      <c r="E2749">
        <f>INDEX(FactorTable!$B$2:$Y$301, MATCH(ROUND(MIN(300,MAX(1,D2749)),0), FactorTable!$A$2:$A$301,0), Skills!L22+1)</f>
        <v/>
      </c>
      <c r="F2749">
        <f>IF(Skills!M22=TRUE,(Skills!K22/10)*(E2749/1000),Skills!K22/10)+Skills!N22</f>
        <v/>
      </c>
      <c r="G2749">
        <f>Calc!G22</f>
        <v/>
      </c>
      <c r="H2749">
        <f>Calc!H22</f>
        <v/>
      </c>
      <c r="I2749">
        <f>IF(Skills!T22&lt;&gt;"",1+(Skills!T22/10)*($Z$3/1000)/100,1)</f>
        <v/>
      </c>
      <c r="J2749" t="inlineStr"/>
      <c r="K2749" t="inlineStr"/>
      <c r="L2749" t="inlineStr"/>
      <c r="M2749" t="inlineStr"/>
      <c r="N2749" t="inlineStr"/>
      <c r="O2749">
        <f>(1-Summary!$B$11)*S2749+Summary!$B$11*U2749</f>
        <v/>
      </c>
      <c r="P2749">
        <f>IF(B2770=0,0,O2749/B2770)</f>
        <v/>
      </c>
      <c r="Q2749">
        <f>IFERROR(1/(IF(Inputs!$B$39="pvp",15,MAX(0.1,Skills!D22-IF(Skills!E22=TRUE,Inputs!$B$33,0)))*(1-IF(AND(ArtifactsInput!$M$27,Inputs!$B$4="Chapter Hunt"),CHOOSE(ArtifactsInput!$N$27+1,20,24,28,32,36,40),0)/100)),0)</f>
        <v/>
      </c>
      <c r="R2749" t="n">
        <v>0</v>
      </c>
      <c r="S2749" t="n">
        <v>0</v>
      </c>
      <c r="U2749" t="n">
        <v>0</v>
      </c>
    </row>
    <row r="2750">
      <c r="A2750">
        <f>Skills!A23</f>
        <v/>
      </c>
      <c r="B2750">
        <f>Skills!B23</f>
        <v/>
      </c>
      <c r="C2750">
        <f>Inputs!$B$3&gt;=50</f>
        <v/>
      </c>
      <c r="D2750">
        <f>IF(Skills!C23=1,60+Inputs!$B$26+Inputs!$B$30,IF(Skills!C23=2,90+Inputs!$B$27+Inputs!$B$30,IF(Skills!C23=3,120+Inputs!$B$28+Inputs!$B$30,MAX(0,(Inputs!$B$3-100)*3)+Inputs!$B$29+Inputs!$B$30)))</f>
        <v/>
      </c>
      <c r="E2750">
        <f>INDEX(FactorTable!$B$2:$Y$301, MATCH(ROUND(MIN(300,MAX(1,D2750)),0), FactorTable!$A$2:$A$301,0), Skills!L23+1)</f>
        <v/>
      </c>
      <c r="F2750">
        <f>IF(Skills!M23=TRUE,(Skills!K23/10)*(E2750/1000),Skills!K23/10)+Skills!N23</f>
        <v/>
      </c>
      <c r="G2750">
        <f>Calc!G23</f>
        <v/>
      </c>
      <c r="H2750">
        <f>Calc!H23</f>
        <v/>
      </c>
      <c r="I2750">
        <f>IF(Skills!T23&lt;&gt;"",1+(Skills!T23/10)*($Z$3/1000)/100,1)</f>
        <v/>
      </c>
      <c r="J2750" t="inlineStr"/>
      <c r="K2750" t="inlineStr"/>
      <c r="L2750" t="inlineStr"/>
      <c r="M2750" t="inlineStr"/>
      <c r="N2750" t="inlineStr"/>
      <c r="O2750">
        <f>(1-Summary!$B$11)*S2750+Summary!$B$11*U2750</f>
        <v/>
      </c>
      <c r="P2750">
        <f>IF(B2770=0,0,O2750/B2770)</f>
        <v/>
      </c>
      <c r="Q2750">
        <f>IFERROR(1/(IF(Inputs!$B$39="pvp",15,MAX(0.1,Skills!D23-IF(Skills!E23=TRUE,Inputs!$B$33,0)))*(1-IF(AND(ArtifactsInput!$M$27,Inputs!$B$4="Chapter Hunt"),CHOOSE(ArtifactsInput!$N$27+1,20,24,28,32,36,40),0)/100)),0)</f>
        <v/>
      </c>
      <c r="R2750" t="n">
        <v>0</v>
      </c>
      <c r="S2750" t="n">
        <v>0</v>
      </c>
      <c r="U2750" t="n">
        <v>0</v>
      </c>
    </row>
    <row r="2751">
      <c r="A2751">
        <f>Skills!A24</f>
        <v/>
      </c>
      <c r="B2751">
        <f>Skills!B24</f>
        <v/>
      </c>
      <c r="C2751">
        <f>Inputs!$B$3&gt;=74</f>
        <v/>
      </c>
      <c r="D2751">
        <f>IF(Skills!C24=1,60+Inputs!$B$26+Inputs!$B$30,IF(Skills!C24=2,90+Inputs!$B$27+Inputs!$B$30,IF(Skills!C24=3,120+Inputs!$B$28+Inputs!$B$30,MAX(0,(Inputs!$B$3-100)*3)+Inputs!$B$29+Inputs!$B$30)))</f>
        <v/>
      </c>
      <c r="E2751">
        <f>INDEX(FactorTable!$B$2:$Y$301, MATCH(ROUND(MIN(300,MAX(1,D2751)),0), FactorTable!$A$2:$A$301,0), Skills!L24+1)</f>
        <v/>
      </c>
      <c r="F2751">
        <f>IF(Skills!M24=TRUE,(Skills!K24/10)*(E2751/1000),Skills!K24/10)+Skills!N24</f>
        <v/>
      </c>
      <c r="G2751">
        <f>Calc!G24</f>
        <v/>
      </c>
      <c r="H2751">
        <f>Calc!H24</f>
        <v/>
      </c>
      <c r="I2751">
        <f>IF(Skills!T24&lt;&gt;"",1+(Skills!T24/10)*($Z$3/1000)/100,1)</f>
        <v/>
      </c>
      <c r="J2751" t="inlineStr"/>
      <c r="K2751" t="inlineStr"/>
      <c r="L2751" t="inlineStr"/>
      <c r="M2751" t="inlineStr"/>
      <c r="N2751" t="inlineStr"/>
      <c r="O2751">
        <f>(1-Summary!$B$11)*S2751+Summary!$B$11*U2751</f>
        <v/>
      </c>
      <c r="P2751">
        <f>IF(B2770=0,0,O2751/B2770)</f>
        <v/>
      </c>
      <c r="Q2751">
        <f>IFERROR(1/(IF(Inputs!$B$39="pvp",15,MAX(0.1,Skills!D24-IF(Skills!E24=TRUE,Inputs!$B$33,0)))*(1-IF(AND(ArtifactsInput!$M$27,Inputs!$B$4="Chapter Hunt"),CHOOSE(ArtifactsInput!$N$27+1,20,24,28,32,36,40),0)/100)),0)</f>
        <v/>
      </c>
      <c r="R2751" t="n">
        <v>0</v>
      </c>
      <c r="S2751" t="n">
        <v>0</v>
      </c>
      <c r="U2751" t="n">
        <v>0</v>
      </c>
    </row>
    <row r="2752">
      <c r="A2752">
        <f>Skills!A25</f>
        <v/>
      </c>
      <c r="B2752">
        <f>Skills!B25</f>
        <v/>
      </c>
      <c r="C2752">
        <f>Inputs!$B$3&gt;=74</f>
        <v/>
      </c>
      <c r="D2752">
        <f>IF(Skills!C25=1,60+Inputs!$B$26+Inputs!$B$30,IF(Skills!C25=2,90+Inputs!$B$27+Inputs!$B$30,IF(Skills!C25=3,120+Inputs!$B$28+Inputs!$B$30,MAX(0,(Inputs!$B$3-100)*3)+Inputs!$B$29+Inputs!$B$30)))</f>
        <v/>
      </c>
      <c r="E2752">
        <f>INDEX(FactorTable!$B$2:$Y$301, MATCH(ROUND(MIN(300,MAX(1,D2752)),0), FactorTable!$A$2:$A$301,0), Skills!L25+1)</f>
        <v/>
      </c>
      <c r="F2752">
        <f>IF(Skills!M25=TRUE,(Skills!K25/10)*(E2752/1000),Skills!K25/10)+Skills!N25</f>
        <v/>
      </c>
      <c r="G2752">
        <f>Calc!G25</f>
        <v/>
      </c>
      <c r="H2752">
        <f>Calc!H25</f>
        <v/>
      </c>
      <c r="I2752">
        <f>IF(Skills!T25&lt;&gt;"",1+(Skills!T25/10)*($Z$3/1000)/100,1)</f>
        <v/>
      </c>
      <c r="J2752" t="inlineStr"/>
      <c r="K2752" t="inlineStr"/>
      <c r="L2752" t="inlineStr"/>
      <c r="M2752" t="inlineStr"/>
      <c r="N2752" t="inlineStr"/>
      <c r="O2752">
        <f>(1-Summary!$B$11)*S2752+Summary!$B$11*U2752</f>
        <v/>
      </c>
      <c r="P2752">
        <f>IF(B2770=0,0,O2752/B2770)</f>
        <v/>
      </c>
      <c r="Q2752">
        <f>IFERROR(1/(IF(Inputs!$B$39="pvp",15,MAX(0.1,Skills!D25-IF(Skills!E25=TRUE,Inputs!$B$33,0)))*(1-IF(AND(ArtifactsInput!$M$27,Inputs!$B$4="Chapter Hunt"),CHOOSE(ArtifactsInput!$N$27+1,20,24,28,32,36,40),0)/100)),0)</f>
        <v/>
      </c>
      <c r="R2752" t="n">
        <v>0</v>
      </c>
      <c r="S2752" t="n">
        <v>0</v>
      </c>
      <c r="U2752" t="n">
        <v>0</v>
      </c>
    </row>
    <row r="2753">
      <c r="A2753">
        <f>Skills!A26</f>
        <v/>
      </c>
      <c r="B2753">
        <f>Skills!B26</f>
        <v/>
      </c>
      <c r="C2753">
        <f>Inputs!$B$3&gt;=117</f>
        <v/>
      </c>
      <c r="D2753">
        <f>IF(Skills!C26=1,60+Inputs!$B$26+Inputs!$B$30,IF(Skills!C26=2,90+Inputs!$B$27+Inputs!$B$30,IF(Skills!C26=3,120+Inputs!$B$28+Inputs!$B$30,MAX(0,(Inputs!$B$3-100)*3)+Inputs!$B$29+Inputs!$B$30)))</f>
        <v/>
      </c>
      <c r="E2753">
        <f>INDEX(FactorTable!$B$2:$Y$301, MATCH(ROUND(MIN(300,MAX(1,D2753)),0), FactorTable!$A$2:$A$301,0), Skills!L26+1)</f>
        <v/>
      </c>
      <c r="F2753">
        <f>IF(Skills!M26=TRUE,(Skills!K26/10)*(E2753/1000),Skills!K26/10)+Skills!N26</f>
        <v/>
      </c>
      <c r="G2753">
        <f>Calc!G26</f>
        <v/>
      </c>
      <c r="H2753">
        <f>Calc!H26</f>
        <v/>
      </c>
      <c r="I2753">
        <f>IF(Skills!T26&lt;&gt;"",1+(Skills!T26/10)*($Z$3/1000)/100,1)</f>
        <v/>
      </c>
      <c r="J2753" t="inlineStr"/>
      <c r="K2753" t="inlineStr"/>
      <c r="L2753" t="inlineStr"/>
      <c r="M2753" t="inlineStr"/>
      <c r="N2753" t="inlineStr"/>
      <c r="O2753">
        <f>(1-Summary!$B$11)*S2753+Summary!$B$11*U2753</f>
        <v/>
      </c>
      <c r="P2753">
        <f>IF(B2770=0,0,O2753/B2770)</f>
        <v/>
      </c>
      <c r="Q2753">
        <f>IFERROR(1/(IF(Inputs!$B$39="pvp",15,MAX(0.1,Skills!D26-IF(Skills!E26=TRUE,Inputs!$B$33,0)))*(1-IF(AND(ArtifactsInput!$M$27,Inputs!$B$4="Chapter Hunt"),CHOOSE(ArtifactsInput!$N$27+1,20,24,28,32,36,40),0)/100)),0)</f>
        <v/>
      </c>
      <c r="R2753" t="n">
        <v>0</v>
      </c>
      <c r="S2753" t="n">
        <v>0</v>
      </c>
      <c r="U2753" t="n">
        <v>0</v>
      </c>
    </row>
    <row r="2754">
      <c r="A2754">
        <f>Skills!A27</f>
        <v/>
      </c>
      <c r="B2754">
        <f>Skills!B27</f>
        <v/>
      </c>
      <c r="C2754">
        <f>Inputs!$B$3&gt;=120</f>
        <v/>
      </c>
      <c r="D2754">
        <f>IF(Skills!C27=1,60+Inputs!$B$26+Inputs!$B$30,IF(Skills!C27=2,90+Inputs!$B$27+Inputs!$B$30,IF(Skills!C27=3,120+Inputs!$B$28+Inputs!$B$30,MAX(0,(Inputs!$B$3-100)*3)+Inputs!$B$29+Inputs!$B$30)))</f>
        <v/>
      </c>
      <c r="E2754">
        <f>INDEX(FactorTable!$B$2:$Y$301, MATCH(ROUND(MIN(300,MAX(1,D2754)),0), FactorTable!$A$2:$A$301,0), Skills!L27+1)</f>
        <v/>
      </c>
      <c r="F2754">
        <f>IF(Skills!M27=TRUE,(Skills!K27/10)*(E2754/1000),Skills!K27/10)+Skills!N27</f>
        <v/>
      </c>
      <c r="G2754">
        <f>Calc!G27</f>
        <v/>
      </c>
      <c r="H2754">
        <f>Calc!H27</f>
        <v/>
      </c>
      <c r="I2754">
        <f>IF(Skills!T27&lt;&gt;"",1+(Skills!T27/10)*($Z$3/1000)/100,1)</f>
        <v/>
      </c>
      <c r="J2754" t="inlineStr"/>
      <c r="K2754" t="inlineStr"/>
      <c r="L2754" t="inlineStr"/>
      <c r="M2754" t="inlineStr"/>
      <c r="N2754" t="inlineStr"/>
      <c r="O2754">
        <f>(1-Summary!$B$11)*S2754+Summary!$B$11*U2754</f>
        <v/>
      </c>
      <c r="P2754">
        <f>IF(B2770=0,0,O2754/B2770)</f>
        <v/>
      </c>
      <c r="Q2754">
        <f>IFERROR(1/(IF(Inputs!$B$39="pvp",15,MAX(0.1,Skills!D27-IF(Skills!E27=TRUE,Inputs!$B$33,0)))*(1-IF(AND(ArtifactsInput!$M$27,Inputs!$B$4="Chapter Hunt"),CHOOSE(ArtifactsInput!$N$27+1,20,24,28,32,36,40),0)/100)),0)</f>
        <v/>
      </c>
      <c r="R2754" t="n">
        <v>0</v>
      </c>
      <c r="S2754" t="n">
        <v>0</v>
      </c>
      <c r="U2754" t="n">
        <v>0</v>
      </c>
    </row>
    <row r="2755">
      <c r="A2755">
        <f>Skills!A28</f>
        <v/>
      </c>
      <c r="B2755">
        <f>Skills!B28</f>
        <v/>
      </c>
      <c r="C2755">
        <f>TRUE</f>
        <v/>
      </c>
      <c r="D2755">
        <f>IF(Skills!C28=1,60+Inputs!$B$26+Inputs!$B$30,IF(Skills!C28=2,90+Inputs!$B$27+Inputs!$B$30,IF(Skills!C28=3,120+Inputs!$B$28+Inputs!$B$30,MAX(0,(Inputs!$B$3-100)*3)+Inputs!$B$29+Inputs!$B$30)))</f>
        <v/>
      </c>
      <c r="E2755">
        <f>INDEX(FactorTable!$B$2:$Y$301, MATCH(ROUND(MIN(300,MAX(1,D2755)),0), FactorTable!$A$2:$A$301,0), Skills!L28+1)</f>
        <v/>
      </c>
      <c r="F2755">
        <f>IF(Skills!M28=TRUE,(Skills!K28/10)*(E2755/1000),Skills!K28/10)+Skills!N28</f>
        <v/>
      </c>
      <c r="G2755">
        <f>Calc!G28</f>
        <v/>
      </c>
      <c r="H2755">
        <f>Calc!H28</f>
        <v/>
      </c>
      <c r="I2755">
        <f>IF(Skills!T28&lt;&gt;"",1+(Skills!T28/10)*($Z$3/1000)/100,1)</f>
        <v/>
      </c>
      <c r="J2755" t="inlineStr"/>
      <c r="K2755" t="inlineStr"/>
      <c r="L2755" t="inlineStr"/>
      <c r="M2755" t="inlineStr"/>
      <c r="N2755" t="inlineStr"/>
      <c r="O2755">
        <f>(1-Summary!$B$11)*S2755+Summary!$B$11*U2755</f>
        <v/>
      </c>
      <c r="P2755">
        <f>IF(B2770=0,0,O2755/B2770)</f>
        <v/>
      </c>
      <c r="Q2755">
        <f>IFERROR(1/(IF(Inputs!$B$39="pvp",15,MAX(0.1,Skills!D28-IF(Skills!E28=TRUE,Inputs!$B$33,0)))*(1-IF(AND(ArtifactsInput!$M$27,Inputs!$B$4="Chapter Hunt"),CHOOSE(ArtifactsInput!$N$27+1,20,24,28,32,36,40),0)/100)),0)</f>
        <v/>
      </c>
      <c r="R2755">
        <f>IF(AND(Inputs!$B$39&lt;&gt;"pvp",Inputs!$B$44&gt;0),IF(Inputs!$B$44&lt;=0,0,(INT(Inputs!$B$44/(IF(Inputs!$B$39="pvp",15,MAX(0.1,Skills!D28-IF(Skills!E28=TRUE,Inputs!$B$33,0)))*(1-IF(AND(ArtifactsInput!$M$27,Inputs!$B$4="Chapter Hunt"),CHOOSE(ArtifactsInput!$N$27+1,20,24,28,32,36,40),0)/100)))+1)),0)</f>
        <v/>
      </c>
      <c r="S2755" t="n">
        <v>0</v>
      </c>
      <c r="U2755" t="n">
        <v>0</v>
      </c>
    </row>
    <row r="2757">
      <c r="A2757" t="inlineStr">
        <is>
          <t>Average Buff Multiplier</t>
        </is>
      </c>
      <c r="B2757">
        <f>(1+(IF(C2730=TRUE,F2730*IF(AND(Inputs!$B$39&lt;&gt;"pvp",Inputs!$B$44&gt;0),(((R2730-1)*(Skills!S3*(1+((Inputs!$B$35+(ArtifactsInput!$M$7-ArtifactsInput!$M$7)*CHOOSE(ArtifactsInput!$N$7+1,6,7.2,8.4,9.6,10.8,12))+IF(Inputs!$B$3&gt;=117,F2753,0))/100))+MIN((Skills!S3*(1+((Inputs!$B$35+(ArtifactsInput!$M$7-ArtifactsInput!$M$7)*CHOOSE(ArtifactsInput!$N$7+1,6,7.2,8.4,9.6,10.8,12))+IF(Inputs!$B$3&gt;=117,F2753,0))/100)),MAX(0,Inputs!$B$44-((R2730-1)*Skills!D3))))/Inputs!$B$44),IF(Inputs!$B$39="pvp",MIN((Skills!S3*(1+((Inputs!$B$35+(ArtifactsInput!$M$7-ArtifactsInput!$M$7)*CHOOSE(ArtifactsInput!$N$7+1,6,7.2,8.4,9.6,10.8,12))+IF(Inputs!$B$3&gt;=117,F2753,0))/100)),15)/15,(Skills!S3*(1+((Inputs!$B$35+(ArtifactsInput!$M$7-ArtifactsInput!$M$7)*CHOOSE(ArtifactsInput!$N$7+1,6,7.2,8.4,9.6,10.8,12))+IF(Inputs!$B$3&gt;=117,F2753,0))/100))/Skills!D3)),0)+IF(C2731=TRUE,F2731*IF(AND(Inputs!$B$39&lt;&gt;"pvp",Inputs!$B$44&gt;0),(((R2731-1)*(Skills!S4*(1+((Inputs!$B$35+(ArtifactsInput!$M$7-ArtifactsInput!$M$7)*CHOOSE(ArtifactsInput!$N$7+1,6,7.2,8.4,9.6,10.8,12))+IF(Inputs!$B$3&gt;=117,F2753,0))/100))+MIN((Skills!S4*(1+((Inputs!$B$35+(ArtifactsInput!$M$7-ArtifactsInput!$M$7)*CHOOSE(ArtifactsInput!$N$7+1,6,7.2,8.4,9.6,10.8,12))+IF(Inputs!$B$3&gt;=117,F2753,0))/100)),MAX(0,Inputs!$B$44-((R2731-1)*Skills!D4))))/Inputs!$B$44),IF(Inputs!$B$39="pvp",MIN((Skills!S4*(1+((Inputs!$B$35+(ArtifactsInput!$M$7-ArtifactsInput!$M$7)*CHOOSE(ArtifactsInput!$N$7+1,6,7.2,8.4,9.6,10.8,12))+IF(Inputs!$B$3&gt;=117,F2753,0))/100)),15)/15,(Skills!S4*(1+((Inputs!$B$35+(ArtifactsInput!$M$7-ArtifactsInput!$M$7)*CHOOSE(ArtifactsInput!$N$7+1,6,7.2,8.4,9.6,10.8,12))+IF(Inputs!$B$3&gt;=117,F2753,0))/100))/Skills!D4)),0)+IF(C2732=TRUE,F2732*IF(AND(Inputs!$B$39&lt;&gt;"pvp",Inputs!$B$44&gt;0),(((R2732-1)*(Skills!S5*(1+((Inputs!$B$35+(ArtifactsInput!$M$7-ArtifactsInput!$M$7)*CHOOSE(ArtifactsInput!$N$7+1,6,7.2,8.4,9.6,10.8,12))+IF(Inputs!$B$3&gt;=117,F2753,0))/100))+MIN((Skills!S5*(1+((Inputs!$B$35+(ArtifactsInput!$M$7-ArtifactsInput!$M$7)*CHOOSE(ArtifactsInput!$N$7+1,6,7.2,8.4,9.6,10.8,12))+IF(Inputs!$B$3&gt;=117,F2753,0))/100)),MAX(0,Inputs!$B$44-((R2732-1)*Skills!D5))))/Inputs!$B$44),IF(Inputs!$B$39="pvp",MIN((Skills!S5*(1+((Inputs!$B$35+(ArtifactsInput!$M$7-ArtifactsInput!$M$7)*CHOOSE(ArtifactsInput!$N$7+1,6,7.2,8.4,9.6,10.8,12))+IF(Inputs!$B$3&gt;=117,F2753,0))/100)),15)/15,(Skills!S5*(1+((Inputs!$B$35+(ArtifactsInput!$M$7-ArtifactsInput!$M$7)*CHOOSE(ArtifactsInput!$N$7+1,6,7.2,8.4,9.6,10.8,12))+IF(Inputs!$B$3&gt;=117,F2753,0))/100))/Skills!D5)),0)+IF(C2738=TRUE,F2738*IF(AND(Inputs!$B$39&lt;&gt;"pvp",Inputs!$B$44&gt;0),(((R2738-1)*(Skills!S11*(1+((Inputs!$B$35+(ArtifactsInput!$M$7-ArtifactsInput!$M$7)*CHOOSE(ArtifactsInput!$N$7+1,6,7.2,8.4,9.6,10.8,12))+IF(Inputs!$B$3&gt;=117,F2753,0))/100))+MIN((Skills!S11*(1+((Inputs!$B$35+(ArtifactsInput!$M$7-ArtifactsInput!$M$7)*CHOOSE(ArtifactsInput!$N$7+1,6,7.2,8.4,9.6,10.8,12))+IF(Inputs!$B$3&gt;=117,F2753,0))/100)),MAX(0,Inputs!$B$44-((R2738-1)*Skills!D11))))/Inputs!$B$44),IF(Inputs!$B$39="pvp",MIN((Skills!S11*(1+((Inputs!$B$35+(ArtifactsInput!$M$7-ArtifactsInput!$M$7)*CHOOSE(ArtifactsInput!$N$7+1,6,7.2,8.4,9.6,10.8,12))+IF(Inputs!$B$3&gt;=117,F2753,0))/100)),15)/15,(Skills!S11*(1+((Inputs!$B$35+(ArtifactsInput!$M$7-ArtifactsInput!$M$7)*CHOOSE(ArtifactsInput!$N$7+1,6,7.2,8.4,9.6,10.8,12))+IF(Inputs!$B$3&gt;=117,F2753,0)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2741=TRUE,(1+F2741*IF(AND(Inputs!$B$39&lt;&gt;"pvp",Inputs!$B$44&gt;0),(((R2741-1)*(Skills!S14*(1+((Inputs!$B$35+(ArtifactsInput!$M$7-ArtifactsInput!$M$7)*CHOOSE(ArtifactsInput!$N$7+1,6,7.2,8.4,9.6,10.8,12))+IF(Inputs!$B$3&gt;=117,F2753,0))/100))+MIN((Skills!S14*(1+((Inputs!$B$35+(ArtifactsInput!$M$7-ArtifactsInput!$M$7)*CHOOSE(ArtifactsInput!$N$7+1,6,7.2,8.4,9.6,10.8,12))+IF(Inputs!$B$3&gt;=117,F2753,0))/100)),MAX(0,Inputs!$B$44-((R2741-1)*Skills!D14))))/Inputs!$B$44),IF(Inputs!$B$39="pvp",MIN((Skills!S14*(1+((Inputs!$B$35+(ArtifactsInput!$M$7-ArtifactsInput!$M$7)*CHOOSE(ArtifactsInput!$N$7+1,6,7.2,8.4,9.6,10.8,12))+IF(Inputs!$B$3&gt;=117,F2753,0))/100)),15)/15,(Skills!S14*(1+((Inputs!$B$35+(ArtifactsInput!$M$7-ArtifactsInput!$M$7)*CHOOSE(ArtifactsInput!$N$7+1,6,7.2,8.4,9.6,10.8,12))+IF(Inputs!$B$3&gt;=117,F2753,0))/100))/Skills!D14))/100),1)*IF(C2746=TRUE,(1+F2746*IF(AND(Inputs!$B$39&lt;&gt;"pvp",Inputs!$B$44&gt;0),(((R2746-1)*(Skills!S19*(1+((Inputs!$B$35+(ArtifactsInput!$M$7-ArtifactsInput!$M$7)*CHOOSE(ArtifactsInput!$N$7+1,6,7.2,8.4,9.6,10.8,12))+IF(Inputs!$B$3&gt;=117,F2753,0))/100))+MIN((Skills!S19*(1+((Inputs!$B$35+(ArtifactsInput!$M$7-ArtifactsInput!$M$7)*CHOOSE(ArtifactsInput!$N$7+1,6,7.2,8.4,9.6,10.8,12))+IF(Inputs!$B$3&gt;=117,F2753,0))/100)),MAX(0,Inputs!$B$44-((R2746-1)*Skills!D19))))/Inputs!$B$44),IF(Inputs!$B$39="pvp",MIN((Skills!S19*(1+((Inputs!$B$35+(ArtifactsInput!$M$7-ArtifactsInput!$M$7)*CHOOSE(ArtifactsInput!$N$7+1,6,7.2,8.4,9.6,10.8,12))+IF(Inputs!$B$3&gt;=117,F2753,0))/100)),15)/15,(Skills!S19*(1+((Inputs!$B$35+(ArtifactsInput!$M$7-ArtifactsInput!$M$7)*CHOOSE(ArtifactsInput!$N$7+1,6,7.2,8.4,9.6,10.8,12))+IF(Inputs!$B$3&gt;=117,F2753,0))/100))/Skills!D19))/100),1)</f>
        <v/>
      </c>
    </row>
    <row r="2758">
      <c r="A2758" t="inlineStr">
        <is>
          <t>Monster Damage Taken Bonus % (Holy Fountain)</t>
        </is>
      </c>
      <c r="B2758">
        <f>IF(Inputs!$B$3&gt;=68,20*IF(Inputs!$B$39="pvp",MIN((15*(1+((Inputs!$B$35+(ArtifactsInput!$M$7-ArtifactsInput!$M$7)*CHOOSE(ArtifactsInput!$N$7+1,6,7.2,8.4,9.6,10.8,12))+IF(Inputs!$B$3&gt;=117,F2753,0))/100)),15)/15,(15*(1+((Inputs!$B$35+(ArtifactsInput!$M$7-ArtifactsInput!$M$7)*CHOOSE(ArtifactsInput!$N$7+1,6,7.2,8.4,9.6,10.8,12))+IF(Inputs!$B$3&gt;=117,F2753,0))/100))/Skills!D10),0)</f>
        <v/>
      </c>
    </row>
    <row r="2759">
      <c r="A2759" t="inlineStr">
        <is>
          <t>Normal Monster Damage Bonus % (Holy Symbol)</t>
        </is>
      </c>
      <c r="B2759">
        <f>IF(C2739=TRUE,F2739*IF(AND(Inputs!$B$39&lt;&gt;"pvp",Inputs!$B$44&gt;0),(((R2739-1)*(Skills!S12*(1+((Inputs!$B$35+(ArtifactsInput!$M$7-ArtifactsInput!$M$7)*CHOOSE(ArtifactsInput!$N$7+1,6,7.2,8.4,9.6,10.8,12))+IF(Inputs!$B$3&gt;=117,F2753,0))/100))+MIN((Skills!S12*(1+((Inputs!$B$35+(ArtifactsInput!$M$7-ArtifactsInput!$M$7)*CHOOSE(ArtifactsInput!$N$7+1,6,7.2,8.4,9.6,10.8,12))+IF(Inputs!$B$3&gt;=117,F2753,0))/100)),MAX(0,Inputs!$B$44-((R2739-1)*Skills!D12))))/Inputs!$B$44),IF(Inputs!$B$39="pvp",MIN((Skills!S12*(1+((Inputs!$B$35+(ArtifactsInput!$M$7-ArtifactsInput!$M$7)*CHOOSE(ArtifactsInput!$N$7+1,6,7.2,8.4,9.6,10.8,12))+IF(Inputs!$B$3&gt;=117,F2753,0))/100)),15)/15,(Skills!S12*(1+((Inputs!$B$35+(ArtifactsInput!$M$7-ArtifactsInput!$M$7)*CHOOSE(ArtifactsInput!$N$7+1,6,7.2,8.4,9.6,10.8,12))+IF(Inputs!$B$3&gt;=117,F2753,0))/100))/Skills!D12)),0)</f>
        <v/>
      </c>
    </row>
    <row r="2760">
      <c r="A2760" t="inlineStr">
        <is>
          <t>Damage % Bonus (Holy Symbol - Damage Boost)</t>
        </is>
      </c>
      <c r="B2760">
        <f>Skills!O12</f>
        <v/>
      </c>
    </row>
    <row r="2761">
      <c r="A2761" t="inlineStr">
        <is>
          <t>Crit Damage % Bonus (Blood of the Divine)</t>
        </is>
      </c>
      <c r="B2761">
        <f>4*IF(C2747=TRUE,F2747,0)</f>
        <v/>
      </c>
    </row>
    <row r="2762">
      <c r="A2762" t="inlineStr">
        <is>
          <t>Attack Speed Bonus %</t>
        </is>
      </c>
      <c r="B2762">
        <f>IF(C2744=TRUE,F2744+(F2748-Calc!F21),0)+IF(Inputs!$B$3&gt;=134,15,0)+((C2755=TRUE)*F2755*IF(AND(Inputs!$B$39&lt;&gt;"pvp",Inputs!$B$44&gt;0),(((R2755-1)*(Skills!S28*(1+((Inputs!$B$35+(ArtifactsInput!$M$7-ArtifactsInput!$M$7)*CHOOSE(ArtifactsInput!$N$7+1,6,7.2,8.4,9.6,10.8,12))+IF(Inputs!$B$3&gt;=117,F2753,0))/100))+MIN((Skills!S28*(1+((Inputs!$B$35+(ArtifactsInput!$M$7-ArtifactsInput!$M$7)*CHOOSE(ArtifactsInput!$N$7+1,6,7.2,8.4,9.6,10.8,12))+IF(Inputs!$B$3&gt;=117,F2753,0))/100)),MAX(0,Inputs!$B$44-((R2755-1)*Skills!D28))))/Inputs!$B$44),IF(Inputs!$B$39="pvp",MIN((Skills!S28*(1+((Inputs!$B$35+(ArtifactsInput!$M$7-ArtifactsInput!$M$7)*CHOOSE(ArtifactsInput!$N$7+1,6,7.2,8.4,9.6,10.8,12))+IF(Inputs!$B$3&gt;=117,F2753,0))/100)),15)/15,(Skills!S28*(1+((Inputs!$B$35+(ArtifactsInput!$M$7-ArtifactsInput!$M$7)*CHOOSE(ArtifactsInput!$N$7+1,6,7.2,8.4,9.6,10.8,12))+IF(Inputs!$B$3&gt;=117,F2753,0))/100))/Skills!D28)))</f>
        <v/>
      </c>
    </row>
    <row r="2763">
      <c r="A2763" t="inlineStr">
        <is>
          <t>Actions Per Second</t>
        </is>
      </c>
      <c r="B2763">
        <f>1+MIN(150,150*(1-(1-Inputs!$B$12/150)*(1-B2762/150)))/100</f>
        <v/>
      </c>
    </row>
    <row r="2764">
      <c r="A2764" t="inlineStr">
        <is>
          <t>Skill + Buff Cast Rate</t>
        </is>
      </c>
      <c r="B2764">
        <f>IF(AND(Inputs!$B$39&lt;&gt;"pvp",Inputs!$B$44&gt;0),SUMPRODUCT((Skills!E2:E28=TRUE)*(C2729:C2755=TRUE)*R2729:R2755)/Inputs!$B$44,SUMPRODUCT((Skills!E2:E28=TRUE)*(C2729:C2755=TRUE)*Q2729:Q2755))</f>
        <v/>
      </c>
    </row>
    <row r="2765">
      <c r="A2765" t="inlineStr">
        <is>
          <t>Big Bang Casts Per Second</t>
        </is>
      </c>
      <c r="B2765">
        <f>MAX(0,B2763-B2764)</f>
        <v/>
      </c>
    </row>
    <row r="2766">
      <c r="A2766" t="inlineStr">
        <is>
          <t>Defense % Bonus (Divine Protection)</t>
        </is>
      </c>
      <c r="B2766">
        <f>IF(C2740=TRUE,F2740*IF(AND(Inputs!$B$39&lt;&gt;"pvp",Inputs!$B$44&gt;0),(((R2740-1)*(Skills!S13*(1+((Inputs!$B$35+(ArtifactsInput!$M$7-ArtifactsInput!$M$7)*CHOOSE(ArtifactsInput!$N$7+1,6,7.2,8.4,9.6,10.8,12))+IF(Inputs!$B$3&gt;=117,F2753,0))/100))+MIN((Skills!S13*(1+((Inputs!$B$35+(ArtifactsInput!$M$7-ArtifactsInput!$M$7)*CHOOSE(ArtifactsInput!$N$7+1,6,7.2,8.4,9.6,10.8,12))+IF(Inputs!$B$3&gt;=117,F2753,0))/100)),MAX(0,Inputs!$B$44-((R2740-1)*Skills!D13))))/Inputs!$B$44),IF(Inputs!$B$39="pvp",MIN((Skills!S13*(1+((Inputs!$B$35+(ArtifactsInput!$M$7-ArtifactsInput!$M$7)*CHOOSE(ArtifactsInput!$N$7+1,6,7.2,8.4,9.6,10.8,12))+IF(Inputs!$B$3&gt;=117,F2753,0))/100)),15)/15,(Skills!S13*(1+((Inputs!$B$35+(ArtifactsInput!$M$7-ArtifactsInput!$M$7)*CHOOSE(ArtifactsInput!$N$7+1,6,7.2,8.4,9.6,10.8,12))+IF(Inputs!$B$3&gt;=117,F2753,0))/100))/Skills!D13)),0)</f>
        <v/>
      </c>
    </row>
    <row r="2767">
      <c r="A2767" t="inlineStr">
        <is>
          <t>Buff-Casting Startup Delay (s, fixed-duration only)</t>
        </is>
      </c>
      <c r="B2767">
        <f>IF(AND(Inputs!$B$39&lt;&gt;"pvp",Inputs!$B$44&gt;0),SUMPRODUCT((Skills!S2:S28&gt;0)*(Skills!E2:E28=TRUE)*(C2729:C2755=TRUE))/B2763,0)</f>
        <v/>
      </c>
    </row>
    <row r="2768">
      <c r="A2768" t="inlineStr">
        <is>
          <t>Boss-Only Total DPS (this block's swept value)</t>
        </is>
      </c>
      <c r="B2768">
        <f>SUM(S2729:S2755)</f>
        <v/>
      </c>
    </row>
    <row r="2769">
      <c r="A2769" t="inlineStr">
        <is>
          <t>Normal-Only Total DPS (this block's swept value)</t>
        </is>
      </c>
      <c r="B2769">
        <f>SUM(U2729:U2755)</f>
        <v/>
      </c>
    </row>
    <row r="2770">
      <c r="A2770" s="6" t="inlineStr">
        <is>
          <t>TOTAL DPS</t>
        </is>
      </c>
      <c r="B2770" s="6">
        <f>SUM(O2729:O2755)</f>
        <v/>
      </c>
    </row>
    <row r="2772">
      <c r="A2772" s="6" t="inlineStr">
        <is>
          <t>Stat: Reindeer's Spear (Equip)</t>
        </is>
      </c>
    </row>
    <row r="2773">
      <c r="A2773" s="5" t="inlineStr">
        <is>
          <t>Key</t>
        </is>
      </c>
      <c r="B2773" s="5" t="inlineStr">
        <is>
          <t>Name</t>
        </is>
      </c>
      <c r="C2773" s="5" t="inlineStr">
        <is>
          <t>Unlocked</t>
        </is>
      </c>
      <c r="D2773" s="5" t="inlineStr">
        <is>
          <t>InputLevel</t>
        </is>
      </c>
      <c r="E2773" s="5" t="inlineStr">
        <is>
          <t>Factor</t>
        </is>
      </c>
      <c r="F2773" s="5" t="inlineStr">
        <is>
          <t>CoefficientPercent</t>
        </is>
      </c>
      <c r="G2773" s="5" t="inlineStr">
        <is>
          <t>EffectiveHits</t>
        </is>
      </c>
      <c r="H2773" s="5" t="inlineStr">
        <is>
          <t>ProcProbability</t>
        </is>
      </c>
      <c r="I2773" s="5" t="inlineStr">
        <is>
          <t>MapleHeroMultiplier</t>
        </is>
      </c>
      <c r="J2773" s="5" t="inlineStr">
        <is>
          <t>BaseDamage</t>
        </is>
      </c>
      <c r="K2773" s="5" t="inlineStr">
        <is>
          <t>BaseHitDamage</t>
        </is>
      </c>
      <c r="L2773" s="5" t="inlineStr">
        <is>
          <t>NonCritAvg</t>
        </is>
      </c>
      <c r="M2773" s="5" t="inlineStr">
        <is>
          <t>CritAvg</t>
        </is>
      </c>
      <c r="N2773" s="5" t="inlineStr">
        <is>
          <t>ExpectedDamage(perHit)</t>
        </is>
      </c>
      <c r="O2773" s="5" t="inlineStr">
        <is>
          <t>DPS</t>
        </is>
      </c>
      <c r="P2773" s="5" t="inlineStr">
        <is>
          <t>% of Total</t>
        </is>
      </c>
      <c r="R2773" t="inlineStr">
        <is>
          <t>helpers</t>
        </is>
      </c>
    </row>
    <row r="2774">
      <c r="A2774">
        <f>Skills!A2</f>
        <v/>
      </c>
      <c r="B2774">
        <f>Skills!B2</f>
        <v/>
      </c>
      <c r="C2774">
        <f>Inputs!$B$3&gt;=100</f>
        <v/>
      </c>
      <c r="D2774" t="inlineStr"/>
      <c r="E2774" t="inlineStr"/>
      <c r="F2774">
        <f>T2776+Skills!N2</f>
        <v/>
      </c>
      <c r="G2774">
        <f>Calc!G2</f>
        <v/>
      </c>
      <c r="H2774">
        <f>Calc!H2</f>
        <v/>
      </c>
      <c r="I2774">
        <f>IF(Skills!T2&lt;&gt;"",1+(Skills!T2/10)*($Z$3/1000)/100,1)</f>
        <v/>
      </c>
      <c r="J2774">
        <f>((Inputs!$B$6*(1+Inputs!$B$7/100))+(((Inputs!$B$13*(1+Inputs!$B$14/100))-(Inputs!$B$13*(1+Inputs!$B$14/100)))+0.25*(Inputs!$B$15-Inputs!$B$15))*(1+Inputs!$B$7/100))*(F2774/100)</f>
        <v/>
      </c>
      <c r="K2774">
        <f>J2774*(1+(((Inputs!$B$13+IF(Inputs!$B$3&gt;=35,(10*INDEX(FactorTable!$B$2:$Y$301,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2="TRIUMPH_FEATHER",IF(C2788=TRUE,F2788,0),0)/100)*(1+IF(C2799=TRUE,F2799,0)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2774)</f>
        <v/>
      </c>
      <c r="L2774">
        <f>K2774*(MIN(Inputs!$B$23+(F2794-Calc!F22),(Inputs!$B$24+IF(ArtifactsInput!$M$15,CHOOSE(ArtifactsInput!$N$15+1,25,30,35,40,45,50)/100*(Inputs!$B$12-Inputs!$B$12),0)))/100+(Inputs!$B$24+IF(ArtifactsInput!$M$15,CHOOSE(ArtifactsInput!$N$15+1,25,30,35,40,45,50)/100*(Inputs!$B$12-Inputs!$B$12),0))/100)/2</f>
        <v/>
      </c>
      <c r="M2774">
        <f>L2774*(1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4">
        <f>L2774*(1-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(1-Summary!$B$11)*S2774+Summary!$B$11*U2774</f>
        <v/>
      </c>
      <c r="P2774">
        <f>IF(B2815=0,0,O2774/B2815)</f>
        <v/>
      </c>
      <c r="Q2774">
        <f>IFERROR(1/(IF(Inputs!$B$39="pvp",15,MAX(0.1,Skills!D2-IF(Skills!E2=TRUE,Inputs!$B$33,0)))*(1-IF(AND(ArtifactsInput!$M$27,Inputs!$B$4="Chapter Hunt"),CHOOSE(ArtifactsInput!$N$27+1,20,24,28,32,36,40),0)/100)),0)</f>
        <v/>
      </c>
      <c r="R2774" t="n">
        <v>0</v>
      </c>
      <c r="S2774">
        <f>IF(C2774,(Skills!F2*N2774*B2810)*IF(Inputs!$B$39="pvp",1,1+(Inputs!$B$21+Skills!O2+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2774*(1-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74">
        <f>MAX(0,(Inputs!$B$3-100)*3)+Inputs!$B$29+Inputs!$B$30</f>
        <v/>
      </c>
      <c r="U2774">
        <f>IF(C2774,(Skills!F2*N2774*B2810)*IF(Inputs!$B$39="pvp",1,(1+(Inputs!$B$22+Skills!P2+B2804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Skills!A3</f>
        <v/>
      </c>
      <c r="B2775">
        <f>Skills!B3</f>
        <v/>
      </c>
      <c r="C2775">
        <f>Inputs!$B$3&gt;=15</f>
        <v/>
      </c>
      <c r="D2775">
        <f>IF(Skills!C3=1,60+Inputs!$B$26+Inputs!$B$30,IF(Skills!C3=2,90+Inputs!$B$27+Inputs!$B$30,IF(Skills!C3=3,120+Inputs!$B$28+Inputs!$B$30,MAX(0,(Inputs!$B$3-100)*3)+Inputs!$B$29+Inputs!$B$30)))</f>
        <v/>
      </c>
      <c r="E2775">
        <f>INDEX(FactorTable!$B$2:$Y$301, MATCH(ROUND(MIN(300,MAX(1,D2775)),0), FactorTable!$A$2:$A$301,0), Skills!L3+1)</f>
        <v/>
      </c>
      <c r="F2775">
        <f>IF(Skills!M3=TRUE,(Skills!K3/10)*(E2775/1000),Skills!K3/10)+Skills!N3</f>
        <v/>
      </c>
      <c r="G2775">
        <f>Calc!G3</f>
        <v/>
      </c>
      <c r="H2775">
        <f>Calc!H3</f>
        <v/>
      </c>
      <c r="I2775">
        <f>IF(Skills!T3&lt;&gt;"",1+(Skills!T3/10)*($Z$3/1000)/100,1)</f>
        <v/>
      </c>
      <c r="J2775" t="inlineStr"/>
      <c r="K2775" t="inlineStr"/>
      <c r="L2775" t="inlineStr"/>
      <c r="M2775" t="inlineStr"/>
      <c r="N2775" t="inlineStr"/>
      <c r="O2775">
        <f>(1-Summary!$B$11)*S2775+Summary!$B$11*U2775</f>
        <v/>
      </c>
      <c r="P2775">
        <f>IF(B2815=0,0,O2775/B2815)</f>
        <v/>
      </c>
      <c r="Q2775">
        <f>IFERROR(1/(IF(Inputs!$B$39="pvp",15,MAX(0.1,Skills!D3-IF(Skills!E3=TRUE,Inputs!$B$33,0)))*(1-IF(AND(ArtifactsInput!$M$27,Inputs!$B$4="Chapter Hunt"),CHOOSE(ArtifactsInput!$N$27+1,20,24,28,32,36,40),0)/100)),0)</f>
        <v/>
      </c>
      <c r="R2775">
        <f>IF(AND(Inputs!$B$39&lt;&gt;"pvp",Inputs!$B$44&gt;0),IF(Inputs!$B$44&lt;=0,0,(INT(Inputs!$B$44/(IF(Inputs!$B$39="pvp",15,MAX(0.1,Skills!D3-IF(Skills!E3=TRUE,Inputs!$B$33,0)))*(1-IF(AND(ArtifactsInput!$M$27,Inputs!$B$4="Chapter Hunt"),CHOOSE(ArtifactsInput!$N$27+1,20,24,28,32,36,40),0)/100)))+1)),0)</f>
        <v/>
      </c>
      <c r="S2775" t="n">
        <v>0</v>
      </c>
      <c r="T2775">
        <f>INDEX(FactorTable!$B$2:$Y$301, MATCH(ROUND(MIN(300,MAX(1,T2774)),0), FactorTable!$A$2:$A$301,0), 22)</f>
        <v/>
      </c>
      <c r="U2775" t="n">
        <v>0</v>
      </c>
    </row>
    <row r="2776">
      <c r="A2776">
        <f>Skills!A4</f>
        <v/>
      </c>
      <c r="B2776">
        <f>Skills!B4</f>
        <v/>
      </c>
      <c r="C2776">
        <f>Inputs!$B$3&gt;=38</f>
        <v/>
      </c>
      <c r="D2776">
        <f>IF(Skills!C4=1,60+Inputs!$B$26+Inputs!$B$30,IF(Skills!C4=2,90+Inputs!$B$27+Inputs!$B$30,IF(Skills!C4=3,120+Inputs!$B$28+Inputs!$B$30,MAX(0,(Inputs!$B$3-100)*3)+Inputs!$B$29+Inputs!$B$30)))</f>
        <v/>
      </c>
      <c r="E2776">
        <f>INDEX(FactorTable!$B$2:$Y$301, MATCH(ROUND(MIN(300,MAX(1,D2776)),0), FactorTable!$A$2:$A$301,0), Skills!L4+1)</f>
        <v/>
      </c>
      <c r="F2776">
        <f>IF(Skills!M4=TRUE,(Skills!K4/10)*(E2776/1000),Skills!K4/10)+Skills!N4</f>
        <v/>
      </c>
      <c r="G2776">
        <f>Calc!G4</f>
        <v/>
      </c>
      <c r="H2776">
        <f>Calc!H4</f>
        <v/>
      </c>
      <c r="I2776">
        <f>IF(Skills!T4&lt;&gt;"",1+(Skills!T4/10)*($Z$3/1000)/100,1)</f>
        <v/>
      </c>
      <c r="J2776" t="inlineStr"/>
      <c r="K2776" t="inlineStr"/>
      <c r="L2776" t="inlineStr"/>
      <c r="M2776" t="inlineStr"/>
      <c r="N2776" t="inlineStr"/>
      <c r="O2776">
        <f>(1-Summary!$B$11)*S2776+Summary!$B$11*U2776</f>
        <v/>
      </c>
      <c r="P2776">
        <f>IF(B2815=0,0,O2776/B2815)</f>
        <v/>
      </c>
      <c r="Q2776">
        <f>IFERROR(1/(IF(Inputs!$B$39="pvp",15,MAX(0.1,Skills!D4-IF(Skills!E4=TRUE,Inputs!$B$33,0)))*(1-IF(AND(ArtifactsInput!$M$27,Inputs!$B$4="Chapter Hunt"),CHOOSE(ArtifactsInput!$N$27+1,20,24,28,32,36,40),0)/100)),0)</f>
        <v/>
      </c>
      <c r="R2776">
        <f>IF(AND(Inputs!$B$39&lt;&gt;"pvp",Inputs!$B$44&gt;0),IF(Inputs!$B$44&lt;=0,0,(INT(Inputs!$B$44/(IF(Inputs!$B$39="pvp",15,MAX(0.1,Skills!D4-IF(Skills!E4=TRUE,Inputs!$B$33,0)))*(1-IF(AND(ArtifactsInput!$M$27,Inputs!$B$4="Chapter Hunt"),CHOOSE(ArtifactsInput!$N$27+1,20,24,28,32,36,40),0)/100)))+1)),0)</f>
        <v/>
      </c>
      <c r="S2776" t="n">
        <v>0</v>
      </c>
      <c r="T2776">
        <f>290*T2775/1000</f>
        <v/>
      </c>
      <c r="U2776" t="n">
        <v>0</v>
      </c>
    </row>
    <row r="2777">
      <c r="A2777">
        <f>Skills!A5</f>
        <v/>
      </c>
      <c r="B2777">
        <f>Skills!B5</f>
        <v/>
      </c>
      <c r="C2777">
        <f>Inputs!$B$3&gt;=40</f>
        <v/>
      </c>
      <c r="D2777">
        <f>IF(Skills!C5=1,60+Inputs!$B$26+Inputs!$B$30,IF(Skills!C5=2,90+Inputs!$B$27+Inputs!$B$30,IF(Skills!C5=3,120+Inputs!$B$28+Inputs!$B$30,MAX(0,(Inputs!$B$3-100)*3)+Inputs!$B$29+Inputs!$B$30)))</f>
        <v/>
      </c>
      <c r="E2777">
        <f>INDEX(FactorTable!$B$2:$Y$301, MATCH(ROUND(MIN(300,MAX(1,D2777)),0), FactorTable!$A$2:$A$301,0), Skills!L5+1)</f>
        <v/>
      </c>
      <c r="F2777">
        <f>IF(Skills!M5=TRUE,(Skills!K5/10)*(E2777/1000),Skills!K5/10)+Skills!N5</f>
        <v/>
      </c>
      <c r="G2777">
        <f>Calc!G5</f>
        <v/>
      </c>
      <c r="H2777">
        <f>Calc!H5</f>
        <v/>
      </c>
      <c r="I2777">
        <f>IF(Skills!T5&lt;&gt;"",1+(Skills!T5/10)*($Z$3/1000)/100,1)</f>
        <v/>
      </c>
      <c r="J2777" t="inlineStr"/>
      <c r="K2777" t="inlineStr"/>
      <c r="L2777" t="inlineStr"/>
      <c r="M2777" t="inlineStr"/>
      <c r="N2777" t="inlineStr"/>
      <c r="O2777">
        <f>(1-Summary!$B$11)*S2777+Summary!$B$11*U2777</f>
        <v/>
      </c>
      <c r="P2777">
        <f>IF(B2815=0,0,O2777/B2815)</f>
        <v/>
      </c>
      <c r="Q2777">
        <f>IFERROR(1/(IF(Inputs!$B$39="pvp",15,MAX(0.1,Skills!D5-IF(Skills!E5=TRUE,Inputs!$B$33,0)))*(1-IF(AND(ArtifactsInput!$M$27,Inputs!$B$4="Chapter Hunt"),CHOOSE(ArtifactsInput!$N$27+1,20,24,28,32,36,40),0)/100)),0)</f>
        <v/>
      </c>
      <c r="R2777">
        <f>IF(AND(Inputs!$B$39&lt;&gt;"pvp",Inputs!$B$44&gt;0),IF(Inputs!$B$44&lt;=0,0,(INT(Inputs!$B$44/(IF(Inputs!$B$39="pvp",15,MAX(0.1,Skills!D5-IF(Skills!E5=TRUE,Inputs!$B$33,0)))*(1-IF(AND(ArtifactsInput!$M$27,Inputs!$B$4="Chapter Hunt"),CHOOSE(ArtifactsInput!$N$27+1,20,24,28,32,36,40),0)/100)))+1)),0)</f>
        <v/>
      </c>
      <c r="S2777" t="n">
        <v>0</v>
      </c>
      <c r="U2777" t="n">
        <v>0</v>
      </c>
    </row>
    <row r="2778">
      <c r="A2778">
        <f>Skills!A6</f>
        <v/>
      </c>
      <c r="B2778">
        <f>Skills!B6</f>
        <v/>
      </c>
      <c r="C2778">
        <f>Inputs!$B$3&gt;=103</f>
        <v/>
      </c>
      <c r="D2778">
        <f>IF(Skills!C6=1,60+Inputs!$B$26+Inputs!$B$30,IF(Skills!C6=2,90+Inputs!$B$27+Inputs!$B$30,IF(Skills!C6=3,120+Inputs!$B$28+Inputs!$B$30,MAX(0,(Inputs!$B$3-100)*3)+Inputs!$B$29+Inputs!$B$30)))</f>
        <v/>
      </c>
      <c r="E2778">
        <f>INDEX(FactorTable!$B$2:$Y$301, MATCH(ROUND(MIN(300,MAX(1,D2778)),0), FactorTable!$A$2:$A$301,0), Skills!L6+1)</f>
        <v/>
      </c>
      <c r="F2778">
        <f>IF(Skills!M6=TRUE,(Skills!K6/10)*(E2778/1000),Skills!K6/10)+Skills!N6</f>
        <v/>
      </c>
      <c r="G2778">
        <f>Calc!G6</f>
        <v/>
      </c>
      <c r="H2778">
        <f>Calc!H6</f>
        <v/>
      </c>
      <c r="I2778">
        <f>IF(Skills!T6&lt;&gt;"",1+(Skills!T6/10)*($Z$3/1000)/100,1)</f>
        <v/>
      </c>
      <c r="J2778">
        <f>((Inputs!$B$6*(1+Inputs!$B$7/100))+(((Inputs!$B$13*(1+Inputs!$B$14/100))-(Inputs!$B$13*(1+Inputs!$B$14/100)))+0.25*(Inputs!$B$15-Inputs!$B$15))*(1+Inputs!$B$7/100))*(F2778/100)</f>
        <v/>
      </c>
      <c r="K2778">
        <f>J2778*(1+(((Inputs!$B$13+IF(Inputs!$B$3&gt;=35,(10*INDEX(FactorTable!$B$2:$Y$301,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6="TRIUMPH_FEATHER",IF(C2788=TRUE,F2788,0),0)/100)*(1+IF(C2799=TRUE,F2799,0)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2778)</f>
        <v/>
      </c>
      <c r="L2778">
        <f>K2778*(MIN(Inputs!$B$23+(F2794-Calc!F22),(Inputs!$B$24+IF(ArtifactsInput!$M$15,CHOOSE(ArtifactsInput!$N$15+1,25,30,35,40,45,50)/100*(Inputs!$B$12-Inputs!$B$12),0)))/100+(Inputs!$B$24+IF(ArtifactsInput!$M$15,CHOOSE(ArtifactsInput!$N$15+1,25,30,35,40,45,50)/100*(Inputs!$B$12-Inputs!$B$12),0))/100)/2</f>
        <v/>
      </c>
      <c r="M2778">
        <f>L2778*(1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8">
        <f>L2778*(1-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(1-Summary!$B$11)*S2778+Summary!$B$11*U2778</f>
        <v/>
      </c>
      <c r="P2778">
        <f>IF(B2815=0,0,O2778/B2815)</f>
        <v/>
      </c>
      <c r="Q2778">
        <f>IFERROR(1/(IF(Inputs!$B$39="pvp",15,MAX(0.1,Skills!D6-IF(Skills!E6=TRUE,Inputs!$B$33,0)))*(1-IF(AND(ArtifactsInput!$M$27,Inputs!$B$4="Chapter Hunt"),CHOOSE(ArtifactsInput!$N$27+1,20,24,28,32,36,40),0)/100)),0)</f>
        <v/>
      </c>
      <c r="R2778">
        <f>IF(AND(Inputs!$B$39&lt;&gt;"pvp",Inputs!$B$44&gt;0),IF(MAX(0,Inputs!$B$44-B2812)&lt;=0,0,(INT(MAX(0,Inputs!$B$44-B2812)/(IF(Inputs!$B$39="pvp",15,MAX(0.1,Skills!D6-IF(Skills!E6=TRUE,Inputs!$B$33,0)))*(1-IF(AND(ArtifactsInput!$M$27,Inputs!$B$4="Chapter Hunt"),CHOOSE(ArtifactsInput!$N$27+1,20,24,28,32,36,40),0)/100)))+1)),0)</f>
        <v/>
      </c>
      <c r="S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$21+Skills!O6+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$22+Skills!P6+B2804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Skills!A7</f>
        <v/>
      </c>
      <c r="B2779">
        <f>Skills!B7</f>
        <v/>
      </c>
      <c r="C2779">
        <f>Inputs!$B$3&gt;=122</f>
        <v/>
      </c>
      <c r="D2779">
        <f>IF(Skills!C7=1,60+Inputs!$B$26+Inputs!$B$30,IF(Skills!C7=2,90+Inputs!$B$27+Inputs!$B$30,IF(Skills!C7=3,120+Inputs!$B$28+Inputs!$B$30,MAX(0,(Inputs!$B$3-100)*3)+Inputs!$B$29+Inputs!$B$30)))</f>
        <v/>
      </c>
      <c r="E2779">
        <f>INDEX(FactorTable!$B$2:$Y$301, MATCH(ROUND(MIN(300,MAX(1,D2779)),0), FactorTable!$A$2:$A$301,0), Skills!L7+1)</f>
        <v/>
      </c>
      <c r="F2779">
        <f>IF(Skills!M7=TRUE,(Skills!K7/10)*(E2779/1000),Skills!K7/10)+Skills!N7</f>
        <v/>
      </c>
      <c r="G2779">
        <f>Calc!G7</f>
        <v/>
      </c>
      <c r="H2779">
        <f>Calc!H7</f>
        <v/>
      </c>
      <c r="I2779">
        <f>IF(Skills!T7&lt;&gt;"",1+(Skills!T7/10)*($Z$3/1000)/100,1)</f>
        <v/>
      </c>
      <c r="J2779">
        <f>((Inputs!$B$6*(1+Inputs!$B$7/100))+(((Inputs!$B$13*(1+Inputs!$B$14/100))-(Inputs!$B$13*(1+Inputs!$B$14/100)))+0.25*(Inputs!$B$15-Inputs!$B$15))*(1+Inputs!$B$7/100))*(F2779/100)</f>
        <v/>
      </c>
      <c r="K2779">
        <f>J2779*(1+(((Inputs!$B$13+IF(Inputs!$B$3&gt;=35,(10*INDEX(FactorTable!$B$2:$Y$301,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7="TRIUMPH_FEATHER",IF(C2788=TRUE,F2788,0),0)/100)*(1+IF(C2799=TRUE,F2799,0)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2779)</f>
        <v/>
      </c>
      <c r="L2779">
        <f>K2779*(MIN(Inputs!$B$23+(F2794-Calc!F22),(Inputs!$B$24+IF(ArtifactsInput!$M$15,CHOOSE(ArtifactsInput!$N$15+1,25,30,35,40,45,50)/100*(Inputs!$B$12-Inputs!$B$12),0)))/100+(Inputs!$B$24+IF(ArtifactsInput!$M$15,CHOOSE(ArtifactsInput!$N$15+1,25,30,35,40,45,50)/100*(Inputs!$B$12-Inputs!$B$12),0))/100)/2</f>
        <v/>
      </c>
      <c r="M2779">
        <f>L2779*(1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9">
        <f>L2779*(1-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(1-Summary!$B$11)*S2779+Summary!$B$11*U2779</f>
        <v/>
      </c>
      <c r="P2779">
        <f>IF(B2815=0,0,O2779/B2815)</f>
        <v/>
      </c>
      <c r="Q2779">
        <f>IFERROR(1/(IF(Inputs!$B$39="pvp",15,MAX(0.1,Skills!D7-IF(Skills!E6=TRUE,Inputs!$B$33,0)))*(1-IF(AND(ArtifactsInput!$M$27,Inputs!$B$4="Chapter Hunt"),CHOOSE(ArtifactsInput!$N$27+1,20,24,28,32,36,40),0)/100)),0)</f>
        <v/>
      </c>
      <c r="R2779">
        <f>IF(AND(Inputs!$B$39&lt;&gt;"pvp",Inputs!$B$44&gt;0),IF(MAX(0,Inputs!$B$44-B2812)&lt;=0,0,(INT(MAX(0,Inputs!$B$44-B2812)/(IF(Inputs!$B$39="pvp",15,MAX(0.1,Skills!D7-IF(Skills!E6=TRUE,Inputs!$B$33,0)))*(1-IF(AND(ArtifactsInput!$M$27,Inputs!$B$4="Chapter Hunt"),CHOOSE(ArtifactsInput!$N$27+1,20,24,28,32,36,40),0)/100)))+1)),0)</f>
        <v/>
      </c>
      <c r="S2779">
        <f>IF(C2779,H2779*N2779*IF(AND(Inputs!$B$39&lt;&gt;"pvp",Inputs!$B$44&gt;0),((Skills!F7*((R2779-1)*IF(Skills!G7&gt;0,Skills!H7/Skills!G7,1)+IF(Skills!G7&gt;0,MIN(Skills!H7,MAX(0,MAX(0,Inputs!$B$44-B2812)-((R2779-1)*(IF(Inputs!$B$39="pvp",15,MAX(0.1,Skills!D7-IF(Skills!E6=TRUE,Inputs!$B$33,0)))*(1-IF(AND(ArtifactsInput!$M$27,Inputs!$B$4="Chapter Hunt"),CHOOSE(ArtifactsInput!$N$27+1,20,24,28,32,36,40),0)/100)))))/Skills!G7,1)))/Inputs!$B$44),G2779*Q2779)*IF(Inputs!$B$39="pvp",1,1+(Inputs!$B$21+Skills!O7+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2779*(1-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9" t="n">
        <v>0</v>
      </c>
    </row>
    <row r="2780">
      <c r="A2780">
        <f>Skills!A8</f>
        <v/>
      </c>
      <c r="B2780">
        <f>Skills!B8</f>
        <v/>
      </c>
      <c r="C2780">
        <f>Inputs!$B$3&gt;=105</f>
        <v/>
      </c>
      <c r="D2780">
        <f>IF(Skills!C8=1,60+Inputs!$B$26+Inputs!$B$30,IF(Skills!C8=2,90+Inputs!$B$27+Inputs!$B$30,IF(Skills!C8=3,120+Inputs!$B$28+Inputs!$B$30,MAX(0,(Inputs!$B$3-100)*3)+Inputs!$B$29+Inputs!$B$30)))</f>
        <v/>
      </c>
      <c r="E2780">
        <f>INDEX(FactorTable!$B$2:$Y$301, MATCH(ROUND(MIN(300,MAX(1,D2780)),0), FactorTable!$A$2:$A$301,0), Skills!L8+1)</f>
        <v/>
      </c>
      <c r="F2780">
        <f>IF(Skills!M8=TRUE,(Skills!K8/10)*(E2780/1000),Skills!K8/10)+Skills!N8</f>
        <v/>
      </c>
      <c r="G2780">
        <f>Calc!G8</f>
        <v/>
      </c>
      <c r="H2780">
        <f>Calc!H8</f>
        <v/>
      </c>
      <c r="I2780">
        <f>IF(Skills!T8&lt;&gt;"",1+(Skills!T8/10)*($Z$3/1000)/100,1)</f>
        <v/>
      </c>
      <c r="J2780">
        <f>((Inputs!$B$6*(1+Inputs!$B$7/100))+(((Inputs!$B$13*(1+Inputs!$B$14/100))-(Inputs!$B$13*(1+Inputs!$B$14/100)))+0.25*(Inputs!$B$15-Inputs!$B$15))*(1+Inputs!$B$7/100))*(F2780/100)</f>
        <v/>
      </c>
      <c r="K2780">
        <f>J2780*(1+(((Inputs!$B$13+IF(Inputs!$B$3&gt;=35,(10*INDEX(FactorTable!$B$2:$Y$301,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8="TRIUMPH_FEATHER",IF(C2788=TRUE,F2788,0),0)/100)*(1+IF(C2799=TRUE,F2799,0)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2780)</f>
        <v/>
      </c>
      <c r="L2780">
        <f>K2780*(MIN(Inputs!$B$23+(F2794-Calc!F22),(Inputs!$B$24+IF(ArtifactsInput!$M$15,CHOOSE(ArtifactsInput!$N$15+1,25,30,35,40,45,50)/100*(Inputs!$B$12-Inputs!$B$12),0)))/100+(Inputs!$B$24+IF(ArtifactsInput!$M$15,CHOOSE(ArtifactsInput!$N$15+1,25,30,35,40,45,50)/100*(Inputs!$B$12-Inputs!$B$12),0))/100)/2</f>
        <v/>
      </c>
      <c r="M2780">
        <f>L2780*(1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0">
        <f>L2780*(1-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(1-Summary!$B$11)*S2780+Summary!$B$11*U2780</f>
        <v/>
      </c>
      <c r="P2780">
        <f>IF(B2815=0,0,O2780/B2815)</f>
        <v/>
      </c>
      <c r="Q2780">
        <f>IFERROR(1/(IF(Inputs!$B$39="pvp",15,MAX(0.1,Skills!D8-IF(Skills!E8=TRUE,Inputs!$B$33,0)))*(1-IF(AND(ArtifactsInput!$M$27,Inputs!$B$4="Chapter Hunt"),CHOOSE(ArtifactsInput!$N$27+1,20,24,28,32,36,40),0)/100)),0)</f>
        <v/>
      </c>
      <c r="R2780">
        <f>IF(AND(Inputs!$B$39&lt;&gt;"pvp",Inputs!$B$44&gt;0),IF(MAX(0,Inputs!$B$44-B2812)&lt;=0,0,(INT(MAX(0,Inputs!$B$44-B2812)/(IF(Inputs!$B$39="pvp",15,MAX(0.1,Skills!D8-IF(Skills!E8=TRUE,Inputs!$B$33,0)))*(1-IF(AND(ArtifactsInput!$M$27,Inputs!$B$4="Chapter Hunt"),CHOOSE(ArtifactsInput!$N$27+1,20,24,28,32,36,40),0)/100)))+1)),0)</f>
        <v/>
      </c>
      <c r="S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$21+Skills!O8+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2780*(1-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$22+Skills!P8+B2804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Skills!A9</f>
        <v/>
      </c>
      <c r="B2781">
        <f>Skills!B9</f>
        <v/>
      </c>
      <c r="C2781">
        <f>Inputs!$B$3&gt;=115</f>
        <v/>
      </c>
      <c r="D2781">
        <f>IF(Skills!C9=1,60+Inputs!$B$26+Inputs!$B$30,IF(Skills!C9=2,90+Inputs!$B$27+Inputs!$B$30,IF(Skills!C9=3,120+Inputs!$B$28+Inputs!$B$30,MAX(0,(Inputs!$B$3-100)*3)+Inputs!$B$29+Inputs!$B$30)))</f>
        <v/>
      </c>
      <c r="E2781">
        <f>INDEX(FactorTable!$B$2:$Y$301, MATCH(ROUND(MIN(300,MAX(1,D2781)),0), FactorTable!$A$2:$A$301,0), Skills!L9+1)</f>
        <v/>
      </c>
      <c r="F2781">
        <f>IF(Skills!M9=TRUE,(Skills!K9/10)*(E2781/1000),Skills!K9/10)+Skills!N9</f>
        <v/>
      </c>
      <c r="G2781">
        <f>Calc!G9</f>
        <v/>
      </c>
      <c r="H2781">
        <f>Calc!H9</f>
        <v/>
      </c>
      <c r="I2781">
        <f>IF(Skills!T9&lt;&gt;"",1+(Skills!T9/10)*($Z$3/1000)/100,1)</f>
        <v/>
      </c>
      <c r="J2781">
        <f>((Inputs!$B$6*(1+Inputs!$B$7/100))+(((Inputs!$B$13*(1+Inputs!$B$14/100))-(Inputs!$B$13*(1+Inputs!$B$14/100)))+0.25*(Inputs!$B$15-Inputs!$B$15))*(1+Inputs!$B$7/100))*(F2781/100)</f>
        <v/>
      </c>
      <c r="K2781">
        <f>J2781*(1+(((Inputs!$B$13+IF(Inputs!$B$3&gt;=35,(10*INDEX(FactorTable!$B$2:$Y$301,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9="TRIUMPH_FEATHER",IF(C2788=TRUE,F2788,0),0)/100)*(1+IF(C2799=TRUE,F2799,0)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2781)</f>
        <v/>
      </c>
      <c r="L2781">
        <f>K2781*(MIN(Inputs!$B$23+(F2794-Calc!F22),(Inputs!$B$24+IF(ArtifactsInput!$M$15,CHOOSE(ArtifactsInput!$N$15+1,25,30,35,40,45,50)/100*(Inputs!$B$12-Inputs!$B$12),0)))/100+(Inputs!$B$24+IF(ArtifactsInput!$M$15,CHOOSE(ArtifactsInput!$N$15+1,25,30,35,40,45,50)/100*(Inputs!$B$12-Inputs!$B$12),0))/100)/2</f>
        <v/>
      </c>
      <c r="M2781">
        <f>L2781*(1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1">
        <f>L2781*(1-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(1-Summary!$B$11)*S2781+Summary!$B$11*U2781</f>
        <v/>
      </c>
      <c r="P2781">
        <f>IF(B2815=0,0,O2781/B2815)</f>
        <v/>
      </c>
      <c r="Q2781">
        <f>IFERROR(1/(IF(Inputs!$B$39="pvp",15,MAX(0.1,Skills!D9-IF(Skills!E9=TRUE,Inputs!$B$33,0)))*(1-IF(AND(ArtifactsInput!$M$27,Inputs!$B$4="Chapter Hunt"),CHOOSE(ArtifactsInput!$N$27+1,20,24,28,32,36,40),0)/100)),0)</f>
        <v/>
      </c>
      <c r="R2781">
        <f>IF(AND(Inputs!$B$39&lt;&gt;"pvp",Inputs!$B$44&gt;0),IF(MAX(0,Inputs!$B$44-B2812)&lt;=0,0,(INT(MAX(0,Inputs!$B$44-B2812)/(IF(Inputs!$B$39="pvp",15,MAX(0.1,Skills!D9-IF(Skills!E9=TRUE,Inputs!$B$33,0)))*(1-IF(AND(ArtifactsInput!$M$27,Inputs!$B$4="Chapter Hunt"),CHOOSE(ArtifactsInput!$N$27+1,20,24,28,32,36,40),0)/100)))+1)),0)</f>
        <v/>
      </c>
      <c r="S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$21+Skills!O9+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2781*(1-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$22+Skills!P9+B2804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Skills!A10</f>
        <v/>
      </c>
      <c r="B2782">
        <f>Skills!B10</f>
        <v/>
      </c>
      <c r="C2782">
        <f>Inputs!$B$3&gt;=66</f>
        <v/>
      </c>
      <c r="D2782">
        <f>IF(Skills!C10=1,60+Inputs!$B$26+Inputs!$B$30,IF(Skills!C10=2,90+Inputs!$B$27+Inputs!$B$30,IF(Skills!C10=3,120+Inputs!$B$28+Inputs!$B$30,MAX(0,(Inputs!$B$3-100)*3)+Inputs!$B$29+Inputs!$B$30)))</f>
        <v/>
      </c>
      <c r="E2782">
        <f>INDEX(FactorTable!$B$2:$Y$301, MATCH(ROUND(MIN(300,MAX(1,D2782)),0), FactorTable!$A$2:$A$301,0), Skills!L10+1)</f>
        <v/>
      </c>
      <c r="F2782" t="n">
        <v>0</v>
      </c>
      <c r="G2782">
        <f>Calc!G10</f>
        <v/>
      </c>
      <c r="H2782">
        <f>Calc!H10</f>
        <v/>
      </c>
      <c r="I2782">
        <f>IF(Skills!T10&lt;&gt;"",1+(Skills!T10/10)*($Z$3/1000)/100,1)</f>
        <v/>
      </c>
      <c r="J2782" t="inlineStr"/>
      <c r="K2782" t="inlineStr"/>
      <c r="L2782" t="inlineStr"/>
      <c r="M2782" t="inlineStr"/>
      <c r="N2782" t="inlineStr"/>
      <c r="O2782">
        <f>(1-Summary!$B$11)*S2782+Summary!$B$11*U2782</f>
        <v/>
      </c>
      <c r="P2782">
        <f>IF(B2815=0,0,O2782/B2815)</f>
        <v/>
      </c>
      <c r="Q2782">
        <f>IFERROR(1/(IF(Inputs!$B$39="pvp",15,MAX(0.1,Skills!D10-IF(Skills!E10=TRUE,Inputs!$B$33,0)))*(1-IF(AND(ArtifactsInput!$M$27,Inputs!$B$4="Chapter Hunt"),CHOOSE(ArtifactsInput!$N$27+1,20,24,28,32,36,40),0)/100)),0)</f>
        <v/>
      </c>
      <c r="R2782">
        <f>IF(AND(Inputs!$B$39&lt;&gt;"pvp",Inputs!$B$44&gt;0),IF(MAX(0,Inputs!$B$44-B2812)&lt;=0,0,(INT(MAX(0,Inputs!$B$44-B2812)/(IF(Inputs!$B$39="pvp",15,MAX(0.1,Skills!D10-IF(Skills!E10=TRUE,Inputs!$B$33,0)))*(1-IF(AND(ArtifactsInput!$M$27,Inputs!$B$4="Chapter Hunt"),CHOOSE(ArtifactsInput!$N$27+1,20,24,28,32,36,40),0)/100)))+1)),0)</f>
        <v/>
      </c>
      <c r="S2782" t="n">
        <v>0</v>
      </c>
      <c r="U2782" t="n">
        <v>0</v>
      </c>
    </row>
    <row r="2783">
      <c r="A2783">
        <f>Skills!A11</f>
        <v/>
      </c>
      <c r="B2783">
        <f>Skills!B11</f>
        <v/>
      </c>
      <c r="C2783">
        <f>Inputs!$B$3&gt;=69</f>
        <v/>
      </c>
      <c r="D2783">
        <f>IF(Skills!C11=1,60+Inputs!$B$26+Inputs!$B$30,IF(Skills!C11=2,90+Inputs!$B$27+Inputs!$B$30,IF(Skills!C11=3,120+Inputs!$B$28+Inputs!$B$30,MAX(0,(Inputs!$B$3-100)*3)+Inputs!$B$29+Inputs!$B$30)))</f>
        <v/>
      </c>
      <c r="E2783">
        <f>INDEX(FactorTable!$B$2:$Y$301, MATCH(ROUND(MIN(300,MAX(1,D2783)),0), FactorTable!$A$2:$A$301,0), Skills!L11+1)</f>
        <v/>
      </c>
      <c r="F2783">
        <f>IF(Skills!M11=TRUE,(Skills!K11/10)*(E2783/1000),Skills!K11/10)+Skills!N11</f>
        <v/>
      </c>
      <c r="G2783">
        <f>Calc!G11</f>
        <v/>
      </c>
      <c r="H2783">
        <f>Calc!H11</f>
        <v/>
      </c>
      <c r="I2783">
        <f>IF(Skills!T11&lt;&gt;"",1+(Skills!T11/10)*($Z$3/1000)/100,1)</f>
        <v/>
      </c>
      <c r="J2783" t="inlineStr"/>
      <c r="K2783" t="inlineStr"/>
      <c r="L2783" t="inlineStr"/>
      <c r="M2783" t="inlineStr"/>
      <c r="N2783" t="inlineStr"/>
      <c r="O2783">
        <f>(1-Summary!$B$11)*S2783+Summary!$B$11*U2783</f>
        <v/>
      </c>
      <c r="P2783">
        <f>IF(B2815=0,0,O2783/B2815)</f>
        <v/>
      </c>
      <c r="Q2783">
        <f>IFERROR(1/(IF(Inputs!$B$39="pvp",15,MAX(0.1,Skills!D11-IF(Skills!E11=TRUE,Inputs!$B$33,0)))*(1-IF(AND(ArtifactsInput!$M$27,Inputs!$B$4="Chapter Hunt"),CHOOSE(ArtifactsInput!$N$27+1,20,24,28,32,36,40),0)/100)),0)</f>
        <v/>
      </c>
      <c r="R2783">
        <f>IF(AND(Inputs!$B$39&lt;&gt;"pvp",Inputs!$B$44&gt;0),IF(Inputs!$B$44&lt;=0,0,(INT(Inputs!$B$44/(IF(Inputs!$B$39="pvp",15,MAX(0.1,Skills!D11-IF(Skills!E11=TRUE,Inputs!$B$33,0)))*(1-IF(AND(ArtifactsInput!$M$27,Inputs!$B$4="Chapter Hunt"),CHOOSE(ArtifactsInput!$N$27+1,20,24,28,32,36,40),0)/100)))+1)),0)</f>
        <v/>
      </c>
      <c r="S2783" t="n">
        <v>0</v>
      </c>
      <c r="U2783" t="n">
        <v>0</v>
      </c>
    </row>
    <row r="2784">
      <c r="A2784">
        <f>Skills!A12</f>
        <v/>
      </c>
      <c r="B2784">
        <f>Skills!B12</f>
        <v/>
      </c>
      <c r="C2784">
        <f>Inputs!$B$3&gt;=72</f>
        <v/>
      </c>
      <c r="D2784">
        <f>IF(Skills!C12=1,60+Inputs!$B$26+Inputs!$B$30,IF(Skills!C12=2,90+Inputs!$B$27+Inputs!$B$30,IF(Skills!C12=3,120+Inputs!$B$28+Inputs!$B$30,MAX(0,(Inputs!$B$3-100)*3)+Inputs!$B$29+Inputs!$B$30)))</f>
        <v/>
      </c>
      <c r="E2784">
        <f>INDEX(FactorTable!$B$2:$Y$301, MATCH(ROUND(MIN(300,MAX(1,D2784)),0), FactorTable!$A$2:$A$301,0), Skills!L12+1)</f>
        <v/>
      </c>
      <c r="F2784">
        <f>IF(Skills!M12=TRUE,(Skills!K12/10)*(E2784/1000),Skills!K12/10)+Skills!N12</f>
        <v/>
      </c>
      <c r="G2784">
        <f>Calc!G12</f>
        <v/>
      </c>
      <c r="H2784">
        <f>Calc!H12</f>
        <v/>
      </c>
      <c r="I2784">
        <f>IF(Skills!T12&lt;&gt;"",1+(Skills!T12/10)*($Z$3/1000)/100,1)</f>
        <v/>
      </c>
      <c r="J2784" t="inlineStr"/>
      <c r="K2784" t="inlineStr"/>
      <c r="L2784" t="inlineStr"/>
      <c r="M2784" t="inlineStr"/>
      <c r="N2784" t="inlineStr"/>
      <c r="O2784">
        <f>(1-Summary!$B$11)*S2784+Summary!$B$11*U2784</f>
        <v/>
      </c>
      <c r="P2784">
        <f>IF(B2815=0,0,O2784/B2815)</f>
        <v/>
      </c>
      <c r="Q2784">
        <f>IFERROR(1/(IF(Inputs!$B$39="pvp",15,MAX(0.1,Skills!D12-IF(Skills!E12=TRUE,Inputs!$B$33,0)))*(1-IF(AND(ArtifactsInput!$M$27,Inputs!$B$4="Chapter Hunt"),CHOOSE(ArtifactsInput!$N$27+1,20,24,28,32,36,40),0)/100)),0)</f>
        <v/>
      </c>
      <c r="R2784">
        <f>IF(AND(Inputs!$B$39&lt;&gt;"pvp",Inputs!$B$44&gt;0),IF(MAX(0,Inputs!$B$44-B2812)&lt;=0,0,(INT(MAX(0,Inputs!$B$44-B2812)/(IF(Inputs!$B$39="pvp",15,MAX(0.1,Skills!D12-IF(Skills!E12=TRUE,Inputs!$B$33,0)))*(1-IF(AND(ArtifactsInput!$M$27,Inputs!$B$4="Chapter Hunt"),CHOOSE(ArtifactsInput!$N$27+1,20,24,28,32,36,40),0)/100)))+1)),0)</f>
        <v/>
      </c>
      <c r="S2784" t="n">
        <v>0</v>
      </c>
      <c r="U2784" t="n">
        <v>0</v>
      </c>
    </row>
    <row r="2785">
      <c r="A2785">
        <f>Skills!A13</f>
        <v/>
      </c>
      <c r="B2785">
        <f>Skills!B13</f>
        <v/>
      </c>
      <c r="C2785">
        <f>Inputs!$B$3&gt;=60</f>
        <v/>
      </c>
      <c r="D2785">
        <f>IF(Skills!C13=1,60+Inputs!$B$26+Inputs!$B$30,IF(Skills!C13=2,90+Inputs!$B$27+Inputs!$B$30,IF(Skills!C13=3,120+Inputs!$B$28+Inputs!$B$30,MAX(0,(Inputs!$B$3-100)*3)+Inputs!$B$29+Inputs!$B$30)))</f>
        <v/>
      </c>
      <c r="E2785">
        <f>INDEX(FactorTable!$B$2:$Y$301, MATCH(ROUND(MIN(300,MAX(1,D2785)),0), FactorTable!$A$2:$A$301,0), Skills!L13+1)</f>
        <v/>
      </c>
      <c r="F2785">
        <f>IF(Skills!M13=TRUE,(Skills!K13/10)*(E2785/1000),Skills!K13/10)+Skills!N13</f>
        <v/>
      </c>
      <c r="G2785">
        <f>Calc!G13</f>
        <v/>
      </c>
      <c r="H2785">
        <f>Calc!H13</f>
        <v/>
      </c>
      <c r="I2785">
        <f>IF(Skills!T13&lt;&gt;"",1+(Skills!T13/10)*($Z$3/1000)/100,1)</f>
        <v/>
      </c>
      <c r="J2785" t="inlineStr"/>
      <c r="K2785" t="inlineStr"/>
      <c r="L2785" t="inlineStr"/>
      <c r="M2785" t="inlineStr"/>
      <c r="N2785" t="inlineStr"/>
      <c r="O2785">
        <f>(1-Summary!$B$11)*S2785+Summary!$B$11*U2785</f>
        <v/>
      </c>
      <c r="P2785">
        <f>IF(B2815=0,0,O2785/B2815)</f>
        <v/>
      </c>
      <c r="Q2785">
        <f>IFERROR(1/(IF(Inputs!$B$39="pvp",15,MAX(0.1,Skills!D13-IF(Skills!E13=TRUE,Inputs!$B$33,0)))*(1-IF(AND(ArtifactsInput!$M$27,Inputs!$B$4="Chapter Hunt"),CHOOSE(ArtifactsInput!$N$27+1,20,24,28,32,36,40),0)/100)),0)</f>
        <v/>
      </c>
      <c r="R2785">
        <f>IF(AND(Inputs!$B$39&lt;&gt;"pvp",Inputs!$B$44&gt;0),IF(MAX(0,Inputs!$B$44-B2812)&lt;=0,0,(INT(MAX(0,Inputs!$B$44-B2812)/(IF(Inputs!$B$39="pvp",15,MAX(0.1,Skills!D13-IF(Skills!E13=TRUE,Inputs!$B$33,0)))*(1-IF(AND(ArtifactsInput!$M$27,Inputs!$B$4="Chapter Hunt"),CHOOSE(ArtifactsInput!$N$27+1,20,24,28,32,36,40),0)/100)))+1)),0)</f>
        <v/>
      </c>
      <c r="S2785" t="n">
        <v>0</v>
      </c>
      <c r="U2785" t="n">
        <v>0</v>
      </c>
    </row>
    <row r="2786">
      <c r="A2786">
        <f>Skills!A14</f>
        <v/>
      </c>
      <c r="B2786">
        <f>Skills!B14</f>
        <v/>
      </c>
      <c r="C2786">
        <f>Inputs!$B$3&gt;=107</f>
        <v/>
      </c>
      <c r="D2786">
        <f>IF(Skills!C14=1,60+Inputs!$B$26+Inputs!$B$30,IF(Skills!C14=2,90+Inputs!$B$27+Inputs!$B$30,IF(Skills!C14=3,120+Inputs!$B$28+Inputs!$B$30,MAX(0,(Inputs!$B$3-100)*3)+Inputs!$B$29+Inputs!$B$30)))</f>
        <v/>
      </c>
      <c r="E2786">
        <f>INDEX(FactorTable!$B$2:$Y$301, MATCH(ROUND(MIN(300,MAX(1,D2786)),0), FactorTable!$A$2:$A$301,0), Skills!L14+1)</f>
        <v/>
      </c>
      <c r="F2786">
        <f>IF(Skills!M14=TRUE,(Skills!K14/10)*(E2786/1000),Skills!K14/10)+Skills!N14</f>
        <v/>
      </c>
      <c r="G2786">
        <f>Calc!G14</f>
        <v/>
      </c>
      <c r="H2786">
        <f>Calc!H14</f>
        <v/>
      </c>
      <c r="I2786">
        <f>IF(Skills!T14&lt;&gt;"",1+(Skills!T14/10)*($Z$3/1000)/100,1)</f>
        <v/>
      </c>
      <c r="J2786" t="inlineStr"/>
      <c r="K2786" t="inlineStr"/>
      <c r="L2786" t="inlineStr"/>
      <c r="M2786" t="inlineStr"/>
      <c r="N2786" t="inlineStr"/>
      <c r="O2786">
        <f>(1-Summary!$B$11)*S2786+Summary!$B$11*U2786</f>
        <v/>
      </c>
      <c r="P2786">
        <f>IF(B2815=0,0,O2786/B2815)</f>
        <v/>
      </c>
      <c r="Q2786">
        <f>IFERROR(1/(IF(Inputs!$B$39="pvp",15,MAX(0.1,Skills!D14-IF(Skills!E14=TRUE,Inputs!$B$33,0)))*(1-IF(AND(ArtifactsInput!$M$27,Inputs!$B$4="Chapter Hunt"),CHOOSE(ArtifactsInput!$N$27+1,20,24,28,32,36,40),0)/100)),0)</f>
        <v/>
      </c>
      <c r="R2786">
        <f>IF(AND(Inputs!$B$39&lt;&gt;"pvp",Inputs!$B$44&gt;0),IF(Inputs!$B$44&lt;=0,0,(INT(Inputs!$B$44/(IF(Inputs!$B$39="pvp",15,MAX(0.1,Skills!D14-IF(Skills!E14=TRUE,Inputs!$B$33,0)))*(1-IF(AND(ArtifactsInput!$M$27,Inputs!$B$4="Chapter Hunt"),CHOOSE(ArtifactsInput!$N$27+1,20,24,28,32,36,40),0)/100)))+1)),0)</f>
        <v/>
      </c>
      <c r="S2786" t="n">
        <v>0</v>
      </c>
      <c r="U2786" t="n">
        <v>0</v>
      </c>
    </row>
    <row r="2787">
      <c r="A2787">
        <f>Skills!A15</f>
        <v/>
      </c>
      <c r="B2787">
        <f>Skills!B15</f>
        <v/>
      </c>
      <c r="C2787">
        <f>Inputs!$B$3&gt;=63</f>
        <v/>
      </c>
      <c r="D2787">
        <f>IF(Skills!C15=1,60+Inputs!$B$26+Inputs!$B$30,IF(Skills!C15=2,90+Inputs!$B$27+Inputs!$B$30,IF(Skills!C15=3,120+Inputs!$B$28+Inputs!$B$30,MAX(0,(Inputs!$B$3-100)*3)+Inputs!$B$29+Inputs!$B$30)))</f>
        <v/>
      </c>
      <c r="E2787">
        <f>INDEX(FactorTable!$B$2:$Y$301, MATCH(ROUND(MIN(300,MAX(1,D2787)),0), FactorTable!$A$2:$A$301,0), Skills!L15+1)</f>
        <v/>
      </c>
      <c r="F2787">
        <f>IF(Skills!M15=TRUE,(Skills!K15/10)*(E2787/1000),Skills!K15/10)+Skills!N15</f>
        <v/>
      </c>
      <c r="G2787">
        <f>Calc!G15</f>
        <v/>
      </c>
      <c r="H2787">
        <f>Calc!H15</f>
        <v/>
      </c>
      <c r="I2787">
        <f>IF(Skills!T15&lt;&gt;"",1+(Skills!T15/10)*($Z$3/1000)/100,1)</f>
        <v/>
      </c>
      <c r="J2787">
        <f>((Inputs!$B$6*(1+Inputs!$B$7/100))+(((Inputs!$B$13*(1+Inputs!$B$14/100))-(Inputs!$B$13*(1+Inputs!$B$14/100)))+0.25*(Inputs!$B$15-Inputs!$B$15))*(1+Inputs!$B$7/100))*(F2787/100)</f>
        <v/>
      </c>
      <c r="K2787">
        <f>J2787*(1+(((Inputs!$B$13+IF(Inputs!$B$3&gt;=35,(10*INDEX(FactorTable!$B$2:$Y$301,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15="TRIUMPH_FEATHER",IF(C2788=TRUE,F2788,0),0)/100)*(1+IF(C2799=TRUE,F2799,0)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2787)</f>
        <v/>
      </c>
      <c r="L2787">
        <f>K2787*(MIN(Inputs!$B$23+(F2794-Calc!F22),(Inputs!$B$24+IF(ArtifactsInput!$M$15,CHOOSE(ArtifactsInput!$N$15+1,25,30,35,40,45,50)/100*(Inputs!$B$12-Inputs!$B$12),0)))/100+(Inputs!$B$24+IF(ArtifactsInput!$M$15,CHOOSE(ArtifactsInput!$N$15+1,25,30,35,40,45,50)/100*(Inputs!$B$12-Inputs!$B$12),0))/100)/2</f>
        <v/>
      </c>
      <c r="M2787">
        <f>L2787*(1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7">
        <f>L2787*(1-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(1-Summary!$B$11)*S2787+Summary!$B$11*U2787</f>
        <v/>
      </c>
      <c r="P2787">
        <f>IF(B2815=0,0,O2787/B2815)</f>
        <v/>
      </c>
      <c r="Q2787">
        <f>IFERROR(1/(IF(Inputs!$B$39="pvp",15,MAX(0.1,Skills!D15-IF(Skills!E15=TRUE,Inputs!$B$33,0)))*(1-IF(AND(ArtifactsInput!$M$27,Inputs!$B$4="Chapter Hunt"),CHOOSE(ArtifactsInput!$N$27+1,20,24,28,32,36,40),0)/100)),0)</f>
        <v/>
      </c>
      <c r="R2787" t="n">
        <v>0</v>
      </c>
      <c r="S2787">
        <f>IF(C2787,(Skills!F15*N2787*((IF(Inputs!$B$3&gt;=78,25,15)/100*B2808*10)/(1+IF(Inputs!$B$3&gt;=78,25,15)/100*B2808*10))*(Skills!I15/100*B2808)/(1+Skills!G15*Skills!I15/100*B2808))*IF(Inputs!$B$39="pvp",1,1+(Inputs!$B$21+Skills!O15+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2787*(1-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7">
        <f>IF(C2787,(Skills!F15*N2787*((IF(Inputs!$B$3&gt;=78,25,15)/100*B2808*10)/(1+IF(Inputs!$B$3&gt;=78,25,15)/100*B2808*10))*(Skills!I15/100*B2808)/(1+Skills!G15*Skills!I15/100*B2808))*IF(Inputs!$B$39="pvp",1,(1+(Inputs!$B$22+Skills!P15+B2804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Skills!A16</f>
        <v/>
      </c>
      <c r="B2788">
        <f>Skills!B16</f>
        <v/>
      </c>
      <c r="C2788">
        <f>Inputs!$B$3&gt;=100</f>
        <v/>
      </c>
      <c r="D2788">
        <f>IF(Skills!C16=1,60+Inputs!$B$26+Inputs!$B$30,IF(Skills!C16=2,90+Inputs!$B$27+Inputs!$B$30,IF(Skills!C16=3,120+Inputs!$B$28+Inputs!$B$30,MAX(0,(Inputs!$B$3-100)*3)+Inputs!$B$29+Inputs!$B$30)))</f>
        <v/>
      </c>
      <c r="E2788">
        <f>INDEX(FactorTable!$B$2:$Y$301, MATCH(ROUND(MIN(300,MAX(1,D2788)),0), FactorTable!$A$2:$A$301,0), Skills!L16+1)</f>
        <v/>
      </c>
      <c r="F2788">
        <f>IF(Skills!M16=TRUE,(Skills!K16/10)*(E2788/1000),Skills!K16/10)+Skills!N16</f>
        <v/>
      </c>
      <c r="G2788">
        <f>Calc!G16</f>
        <v/>
      </c>
      <c r="H2788">
        <f>Calc!H16</f>
        <v/>
      </c>
      <c r="I2788">
        <f>IF(Skills!T16&lt;&gt;"",1+(Skills!T16/10)*($Z$3/1000)/100,1)</f>
        <v/>
      </c>
      <c r="J2788" t="inlineStr"/>
      <c r="K2788" t="inlineStr"/>
      <c r="L2788" t="inlineStr"/>
      <c r="M2788" t="inlineStr"/>
      <c r="N2788" t="inlineStr"/>
      <c r="O2788">
        <f>(1-Summary!$B$11)*S2788+Summary!$B$11*U2788</f>
        <v/>
      </c>
      <c r="P2788">
        <f>IF(B2815=0,0,O2788/B2815)</f>
        <v/>
      </c>
      <c r="Q2788">
        <f>IFERROR(1/(IF(Inputs!$B$39="pvp",15,MAX(0.1,Skills!D16-IF(Skills!E16=TRUE,Inputs!$B$33,0)))*(1-IF(AND(ArtifactsInput!$M$27,Inputs!$B$4="Chapter Hunt"),CHOOSE(ArtifactsInput!$N$27+1,20,24,28,32,36,40),0)/100)),0)</f>
        <v/>
      </c>
      <c r="R2788" t="n">
        <v>0</v>
      </c>
      <c r="S2788" t="n">
        <v>0</v>
      </c>
      <c r="U2788" t="n">
        <v>0</v>
      </c>
    </row>
    <row r="2789">
      <c r="A2789">
        <f>Skills!A17</f>
        <v/>
      </c>
      <c r="B2789">
        <f>Skills!B17</f>
        <v/>
      </c>
      <c r="C2789">
        <f>Inputs!$B$3&gt;=49</f>
        <v/>
      </c>
      <c r="D2789">
        <f>IF(Skills!C17=1,60+Inputs!$B$26+Inputs!$B$30,IF(Skills!C17=2,90+Inputs!$B$27+Inputs!$B$30,IF(Skills!C17=3,120+Inputs!$B$28+Inputs!$B$30,MAX(0,(Inputs!$B$3-100)*3)+Inputs!$B$29+Inputs!$B$30)))</f>
        <v/>
      </c>
      <c r="E2789">
        <f>INDEX(FactorTable!$B$2:$Y$301, MATCH(ROUND(MIN(300,MAX(1,D2789)),0), FactorTable!$A$2:$A$301,0), Skills!L17+1)</f>
        <v/>
      </c>
      <c r="F2789">
        <f>IF(Skills!M17=TRUE,(Skills!K17/10)*(E2789/1000),Skills!K17/10)+Skills!N17</f>
        <v/>
      </c>
      <c r="G2789">
        <f>Calc!G17</f>
        <v/>
      </c>
      <c r="H2789">
        <f>Calc!H17</f>
        <v/>
      </c>
      <c r="I2789">
        <f>IF(Skills!T17&lt;&gt;"",1+(Skills!T17/10)*($Z$3/1000)/100,1)</f>
        <v/>
      </c>
      <c r="J2789" t="inlineStr"/>
      <c r="K2789" t="inlineStr"/>
      <c r="L2789" t="inlineStr"/>
      <c r="M2789" t="inlineStr"/>
      <c r="N2789" t="inlineStr"/>
      <c r="O2789">
        <f>(1-Summary!$B$11)*S2789+Summary!$B$11*U2789</f>
        <v/>
      </c>
      <c r="P2789">
        <f>IF(B2815=0,0,O2789/B2815)</f>
        <v/>
      </c>
      <c r="Q2789">
        <f>IFERROR(1/(IF(Inputs!$B$39="pvp",15,MAX(0.1,Skills!D17-IF(Skills!E17=TRUE,Inputs!$B$33,0)))*(1-IF(AND(ArtifactsInput!$M$27,Inputs!$B$4="Chapter Hunt"),CHOOSE(ArtifactsInput!$N$27+1,20,24,28,32,36,40),0)/100)),0)</f>
        <v/>
      </c>
      <c r="R2789" t="n">
        <v>0</v>
      </c>
      <c r="S2789" t="n">
        <v>0</v>
      </c>
      <c r="U2789" t="n">
        <v>0</v>
      </c>
    </row>
    <row r="2790">
      <c r="A2790">
        <f>Skills!A18</f>
        <v/>
      </c>
      <c r="B2790">
        <f>Skills!B18</f>
        <v/>
      </c>
      <c r="C2790">
        <f>Inputs!$B$3&gt;=75</f>
        <v/>
      </c>
      <c r="D2790">
        <f>IF(Skills!C18=1,60+Inputs!$B$26+Inputs!$B$30,IF(Skills!C18=2,90+Inputs!$B$27+Inputs!$B$30,IF(Skills!C18=3,120+Inputs!$B$28+Inputs!$B$30,MAX(0,(Inputs!$B$3-100)*3)+Inputs!$B$29+Inputs!$B$30)))</f>
        <v/>
      </c>
      <c r="E2790">
        <f>INDEX(FactorTable!$B$2:$Y$301, MATCH(ROUND(MIN(300,MAX(1,D2790)),0), FactorTable!$A$2:$A$301,0), Skills!L18+1)</f>
        <v/>
      </c>
      <c r="F2790">
        <f>IF(Skills!M18=TRUE,(Skills!K18/10)*(E2790/1000),Skills!K18/10)+Skills!N18</f>
        <v/>
      </c>
      <c r="G2790">
        <f>Calc!G18</f>
        <v/>
      </c>
      <c r="H2790">
        <f>Calc!H18</f>
        <v/>
      </c>
      <c r="I2790">
        <f>IF(Skills!T18&lt;&gt;"",1+(Skills!T18/10)*($Z$3/1000)/100,1)</f>
        <v/>
      </c>
      <c r="J2790" t="inlineStr"/>
      <c r="K2790" t="inlineStr"/>
      <c r="L2790" t="inlineStr"/>
      <c r="M2790" t="inlineStr"/>
      <c r="N2790" t="inlineStr"/>
      <c r="O2790">
        <f>(1-Summary!$B$11)*S2790+Summary!$B$11*U2790</f>
        <v/>
      </c>
      <c r="P2790">
        <f>IF(B2815=0,0,O2790/B2815)</f>
        <v/>
      </c>
      <c r="Q2790">
        <f>IFERROR(1/(IF(Inputs!$B$39="pvp",15,MAX(0.1,Skills!D18-IF(Skills!E18=TRUE,Inputs!$B$33,0)))*(1-IF(AND(ArtifactsInput!$M$27,Inputs!$B$4="Chapter Hunt"),CHOOSE(ArtifactsInput!$N$27+1,20,24,28,32,36,40),0)/100)),0)</f>
        <v/>
      </c>
      <c r="R2790" t="n">
        <v>0</v>
      </c>
      <c r="S2790" t="n">
        <v>0</v>
      </c>
      <c r="U2790" t="n">
        <v>0</v>
      </c>
    </row>
    <row r="2791">
      <c r="A2791">
        <f>Skills!A19</f>
        <v/>
      </c>
      <c r="B2791">
        <f>Skills!B19</f>
        <v/>
      </c>
      <c r="C2791">
        <f>Inputs!$B$3&gt;=110</f>
        <v/>
      </c>
      <c r="D2791">
        <f>IF(Skills!C19=1,60+Inputs!$B$26+Inputs!$B$30,IF(Skills!C19=2,90+Inputs!$B$27+Inputs!$B$30,IF(Skills!C19=3,120+Inputs!$B$28+Inputs!$B$30,MAX(0,(Inputs!$B$3-100)*3)+Inputs!$B$29+Inputs!$B$30)))</f>
        <v/>
      </c>
      <c r="E2791">
        <f>INDEX(FactorTable!$B$2:$Y$301, MATCH(ROUND(MIN(300,MAX(1,D2791)),0), FactorTable!$A$2:$A$301,0), Skills!L19+1)</f>
        <v/>
      </c>
      <c r="F2791">
        <f>(Skills!K19/10)*(E2791/1000)*64/45+Skills!N19</f>
        <v/>
      </c>
      <c r="G2791">
        <f>Calc!G19</f>
        <v/>
      </c>
      <c r="H2791">
        <f>Calc!H19</f>
        <v/>
      </c>
      <c r="I2791">
        <f>IF(Skills!T19&lt;&gt;"",1+(Skills!T19/10)*($Z$3/1000)/100,1)</f>
        <v/>
      </c>
      <c r="J2791" t="inlineStr"/>
      <c r="K2791" t="inlineStr"/>
      <c r="L2791" t="inlineStr"/>
      <c r="M2791" t="inlineStr"/>
      <c r="N2791" t="inlineStr"/>
      <c r="O2791">
        <f>(1-Summary!$B$11)*S2791+Summary!$B$11*U2791</f>
        <v/>
      </c>
      <c r="P2791">
        <f>IF(B2815=0,0,O2791/B2815)</f>
        <v/>
      </c>
      <c r="Q2791">
        <f>IFERROR(1/(IF(Inputs!$B$39="pvp",15,MAX(0.1,Skills!D19-IF(Skills!E19=TRUE,Inputs!$B$33,0)))*(1-IF(AND(ArtifactsInput!$M$27,Inputs!$B$4="Chapter Hunt"),CHOOSE(ArtifactsInput!$N$27+1,20,24,28,32,36,40),0)/100)),0)</f>
        <v/>
      </c>
      <c r="R2791">
        <f>IF(AND(Inputs!$B$39&lt;&gt;"pvp",Inputs!$B$44&gt;0),IF(Inputs!$B$44&lt;=0,0,(INT(Inputs!$B$44/(IF(Inputs!$B$39="pvp",15,MAX(0.1,Skills!D19-IF(Skills!E19=TRUE,Inputs!$B$33,0)))*(1-IF(AND(ArtifactsInput!$M$27,Inputs!$B$4="Chapter Hunt"),CHOOSE(ArtifactsInput!$N$27+1,20,24,28,32,36,40),0)/100)))+1)),0)</f>
        <v/>
      </c>
      <c r="S2791" t="n">
        <v>0</v>
      </c>
      <c r="U2791" t="n">
        <v>0</v>
      </c>
    </row>
    <row r="2792">
      <c r="A2792">
        <f>Skills!A20</f>
        <v/>
      </c>
      <c r="B2792">
        <f>Skills!B20</f>
        <v/>
      </c>
      <c r="C2792">
        <f>Inputs!$B$3&gt;=125</f>
        <v/>
      </c>
      <c r="D2792">
        <f>IF(Skills!C20=1,60+Inputs!$B$26+Inputs!$B$30,IF(Skills!C20=2,90+Inputs!$B$27+Inputs!$B$30,IF(Skills!C20=3,120+Inputs!$B$28+Inputs!$B$30,MAX(0,(Inputs!$B$3-100)*3)+Inputs!$B$29+Inputs!$B$30)))</f>
        <v/>
      </c>
      <c r="E2792">
        <f>INDEX(FactorTable!$B$2:$Y$301, MATCH(ROUND(MIN(300,MAX(1,D2792)),0), FactorTable!$A$2:$A$301,0), Skills!L20+1)</f>
        <v/>
      </c>
      <c r="F2792">
        <f>IF(Skills!M20=TRUE,(Skills!K20/10)*(E2792/1000),Skills!K20/10)+Skills!N20</f>
        <v/>
      </c>
      <c r="G2792">
        <f>Calc!G20</f>
        <v/>
      </c>
      <c r="H2792">
        <f>Calc!H20</f>
        <v/>
      </c>
      <c r="I2792">
        <f>IF(Skills!T20&lt;&gt;"",1+(Skills!T20/10)*($Z$3/1000)/100,1)</f>
        <v/>
      </c>
      <c r="J2792" t="inlineStr"/>
      <c r="K2792" t="inlineStr"/>
      <c r="L2792" t="inlineStr"/>
      <c r="M2792" t="inlineStr"/>
      <c r="N2792" t="inlineStr"/>
      <c r="O2792">
        <f>(1-Summary!$B$11)*S2792+Summary!$B$11*U2792</f>
        <v/>
      </c>
      <c r="P2792">
        <f>IF(B2815=0,0,O2792/B2815)</f>
        <v/>
      </c>
      <c r="Q2792">
        <f>IFERROR(1/(IF(Inputs!$B$39="pvp",15,MAX(0.1,Skills!D20-IF(Skills!E20=TRUE,Inputs!$B$33,0)))*(1-IF(AND(ArtifactsInput!$M$27,Inputs!$B$4="Chapter Hunt"),CHOOSE(ArtifactsInput!$N$27+1,20,24,28,32,36,40),0)/100)),0)</f>
        <v/>
      </c>
      <c r="R2792" t="n">
        <v>0</v>
      </c>
      <c r="S2792" t="n">
        <v>0</v>
      </c>
      <c r="U2792" t="n">
        <v>0</v>
      </c>
    </row>
    <row r="2793">
      <c r="A2793">
        <f>Skills!A21</f>
        <v/>
      </c>
      <c r="B2793">
        <f>Skills!B21</f>
        <v/>
      </c>
      <c r="C2793">
        <f>Inputs!$B$3&gt;=33</f>
        <v/>
      </c>
      <c r="D2793">
        <f>IF(Skills!C21=1,60+Inputs!$B$26+Inputs!$B$30,IF(Skills!C21=2,90+Inputs!$B$27+Inputs!$B$30,IF(Skills!C21=3,120+Inputs!$B$28+Inputs!$B$30,MAX(0,(Inputs!$B$3-100)*3)+Inputs!$B$29+Inputs!$B$30)))</f>
        <v/>
      </c>
      <c r="E2793">
        <f>INDEX(FactorTable!$B$2:$Y$301, MATCH(ROUND(MIN(300,MAX(1,D2793)),0), FactorTable!$A$2:$A$301,0), Skills!L21+1)</f>
        <v/>
      </c>
      <c r="F2793">
        <f>IF(Skills!M21=TRUE,(Skills!K21/10)*(E2793/1000),Skills!K21/10)+Skills!N21</f>
        <v/>
      </c>
      <c r="G2793">
        <f>Calc!G21</f>
        <v/>
      </c>
      <c r="H2793">
        <f>Calc!H21</f>
        <v/>
      </c>
      <c r="I2793">
        <f>IF(Skills!T21&lt;&gt;"",1+(Skills!T21/10)*($Z$3/1000)/100,1)</f>
        <v/>
      </c>
      <c r="J2793" t="inlineStr"/>
      <c r="K2793" t="inlineStr"/>
      <c r="L2793" t="inlineStr"/>
      <c r="M2793" t="inlineStr"/>
      <c r="N2793" t="inlineStr"/>
      <c r="O2793">
        <f>(1-Summary!$B$11)*S2793+Summary!$B$11*U2793</f>
        <v/>
      </c>
      <c r="P2793">
        <f>IF(B2815=0,0,O2793/B2815)</f>
        <v/>
      </c>
      <c r="Q2793">
        <f>IFERROR(1/(IF(Inputs!$B$39="pvp",15,MAX(0.1,Skills!D21-IF(Skills!E21=TRUE,Inputs!$B$33,0)))*(1-IF(AND(ArtifactsInput!$M$27,Inputs!$B$4="Chapter Hunt"),CHOOSE(ArtifactsInput!$N$27+1,20,24,28,32,36,40),0)/100)),0)</f>
        <v/>
      </c>
      <c r="R2793" t="n">
        <v>0</v>
      </c>
      <c r="S2793" t="n">
        <v>0</v>
      </c>
      <c r="U2793" t="n">
        <v>0</v>
      </c>
    </row>
    <row r="2794">
      <c r="A2794">
        <f>Skills!A22</f>
        <v/>
      </c>
      <c r="B2794">
        <f>Skills!B22</f>
        <v/>
      </c>
      <c r="C2794">
        <f>Inputs!$B$3&gt;=43</f>
        <v/>
      </c>
      <c r="D2794">
        <f>IF(Skills!C22=1,60+Inputs!$B$26+Inputs!$B$30,IF(Skills!C22=2,90+Inputs!$B$27+Inputs!$B$30,IF(Skills!C22=3,120+Inputs!$B$28+Inputs!$B$30,MAX(0,(Inputs!$B$3-100)*3)+Inputs!$B$29+Inputs!$B$30)))</f>
        <v/>
      </c>
      <c r="E2794">
        <f>INDEX(FactorTable!$B$2:$Y$301, MATCH(ROUND(MIN(300,MAX(1,D2794)),0), FactorTable!$A$2:$A$301,0), Skills!L22+1)</f>
        <v/>
      </c>
      <c r="F2794">
        <f>IF(Skills!M22=TRUE,(Skills!K22/10)*(E2794/1000),Skills!K22/10)+Skills!N22</f>
        <v/>
      </c>
      <c r="G2794">
        <f>Calc!G22</f>
        <v/>
      </c>
      <c r="H2794">
        <f>Calc!H22</f>
        <v/>
      </c>
      <c r="I2794">
        <f>IF(Skills!T22&lt;&gt;"",1+(Skills!T22/10)*($Z$3/1000)/100,1)</f>
        <v/>
      </c>
      <c r="J2794" t="inlineStr"/>
      <c r="K2794" t="inlineStr"/>
      <c r="L2794" t="inlineStr"/>
      <c r="M2794" t="inlineStr"/>
      <c r="N2794" t="inlineStr"/>
      <c r="O2794">
        <f>(1-Summary!$B$11)*S2794+Summary!$B$11*U2794</f>
        <v/>
      </c>
      <c r="P2794">
        <f>IF(B2815=0,0,O2794/B2815)</f>
        <v/>
      </c>
      <c r="Q2794">
        <f>IFERROR(1/(IF(Inputs!$B$39="pvp",15,MAX(0.1,Skills!D22-IF(Skills!E22=TRUE,Inputs!$B$33,0)))*(1-IF(AND(ArtifactsInput!$M$27,Inputs!$B$4="Chapter Hunt"),CHOOSE(ArtifactsInput!$N$27+1,20,24,28,32,36,40),0)/100)),0)</f>
        <v/>
      </c>
      <c r="R2794" t="n">
        <v>0</v>
      </c>
      <c r="S2794" t="n">
        <v>0</v>
      </c>
      <c r="U2794" t="n">
        <v>0</v>
      </c>
    </row>
    <row r="2795">
      <c r="A2795">
        <f>Skills!A23</f>
        <v/>
      </c>
      <c r="B2795">
        <f>Skills!B23</f>
        <v/>
      </c>
      <c r="C2795">
        <f>Inputs!$B$3&gt;=50</f>
        <v/>
      </c>
      <c r="D2795">
        <f>IF(Skills!C23=1,60+Inputs!$B$26+Inputs!$B$30,IF(Skills!C23=2,90+Inputs!$B$27+Inputs!$B$30,IF(Skills!C23=3,120+Inputs!$B$28+Inputs!$B$30,MAX(0,(Inputs!$B$3-100)*3)+Inputs!$B$29+Inputs!$B$30)))</f>
        <v/>
      </c>
      <c r="E2795">
        <f>INDEX(FactorTable!$B$2:$Y$301, MATCH(ROUND(MIN(300,MAX(1,D2795)),0), FactorTable!$A$2:$A$301,0), Skills!L23+1)</f>
        <v/>
      </c>
      <c r="F2795">
        <f>IF(Skills!M23=TRUE,(Skills!K23/10)*(E2795/1000),Skills!K23/10)+Skills!N23</f>
        <v/>
      </c>
      <c r="G2795">
        <f>Calc!G23</f>
        <v/>
      </c>
      <c r="H2795">
        <f>Calc!H23</f>
        <v/>
      </c>
      <c r="I2795">
        <f>IF(Skills!T23&lt;&gt;"",1+(Skills!T23/10)*($Z$3/1000)/100,1)</f>
        <v/>
      </c>
      <c r="J2795" t="inlineStr"/>
      <c r="K2795" t="inlineStr"/>
      <c r="L2795" t="inlineStr"/>
      <c r="M2795" t="inlineStr"/>
      <c r="N2795" t="inlineStr"/>
      <c r="O2795">
        <f>(1-Summary!$B$11)*S2795+Summary!$B$11*U2795</f>
        <v/>
      </c>
      <c r="P2795">
        <f>IF(B2815=0,0,O2795/B2815)</f>
        <v/>
      </c>
      <c r="Q2795">
        <f>IFERROR(1/(IF(Inputs!$B$39="pvp",15,MAX(0.1,Skills!D23-IF(Skills!E23=TRUE,Inputs!$B$33,0)))*(1-IF(AND(ArtifactsInput!$M$27,Inputs!$B$4="Chapter Hunt"),CHOOSE(ArtifactsInput!$N$27+1,20,24,28,32,36,40),0)/100)),0)</f>
        <v/>
      </c>
      <c r="R2795" t="n">
        <v>0</v>
      </c>
      <c r="S2795" t="n">
        <v>0</v>
      </c>
      <c r="U2795" t="n">
        <v>0</v>
      </c>
    </row>
    <row r="2796">
      <c r="A2796">
        <f>Skills!A24</f>
        <v/>
      </c>
      <c r="B2796">
        <f>Skills!B24</f>
        <v/>
      </c>
      <c r="C2796">
        <f>Inputs!$B$3&gt;=74</f>
        <v/>
      </c>
      <c r="D2796">
        <f>IF(Skills!C24=1,60+Inputs!$B$26+Inputs!$B$30,IF(Skills!C24=2,90+Inputs!$B$27+Inputs!$B$30,IF(Skills!C24=3,120+Inputs!$B$28+Inputs!$B$30,MAX(0,(Inputs!$B$3-100)*3)+Inputs!$B$29+Inputs!$B$30)))</f>
        <v/>
      </c>
      <c r="E2796">
        <f>INDEX(FactorTable!$B$2:$Y$301, MATCH(ROUND(MIN(300,MAX(1,D2796)),0), FactorTable!$A$2:$A$301,0), Skills!L24+1)</f>
        <v/>
      </c>
      <c r="F2796">
        <f>IF(Skills!M24=TRUE,(Skills!K24/10)*(E2796/1000),Skills!K24/10)+Skills!N24</f>
        <v/>
      </c>
      <c r="G2796">
        <f>Calc!G24</f>
        <v/>
      </c>
      <c r="H2796">
        <f>Calc!H24</f>
        <v/>
      </c>
      <c r="I2796">
        <f>IF(Skills!T24&lt;&gt;"",1+(Skills!T24/10)*($Z$3/1000)/100,1)</f>
        <v/>
      </c>
      <c r="J2796" t="inlineStr"/>
      <c r="K2796" t="inlineStr"/>
      <c r="L2796" t="inlineStr"/>
      <c r="M2796" t="inlineStr"/>
      <c r="N2796" t="inlineStr"/>
      <c r="O2796">
        <f>(1-Summary!$B$11)*S2796+Summary!$B$11*U2796</f>
        <v/>
      </c>
      <c r="P2796">
        <f>IF(B2815=0,0,O2796/B2815)</f>
        <v/>
      </c>
      <c r="Q2796">
        <f>IFERROR(1/(IF(Inputs!$B$39="pvp",15,MAX(0.1,Skills!D24-IF(Skills!E24=TRUE,Inputs!$B$33,0)))*(1-IF(AND(ArtifactsInput!$M$27,Inputs!$B$4="Chapter Hunt"),CHOOSE(ArtifactsInput!$N$27+1,20,24,28,32,36,40),0)/100)),0)</f>
        <v/>
      </c>
      <c r="R2796" t="n">
        <v>0</v>
      </c>
      <c r="S2796" t="n">
        <v>0</v>
      </c>
      <c r="U2796" t="n">
        <v>0</v>
      </c>
    </row>
    <row r="2797">
      <c r="A2797">
        <f>Skills!A25</f>
        <v/>
      </c>
      <c r="B2797">
        <f>Skills!B25</f>
        <v/>
      </c>
      <c r="C2797">
        <f>Inputs!$B$3&gt;=74</f>
        <v/>
      </c>
      <c r="D2797">
        <f>IF(Skills!C25=1,60+Inputs!$B$26+Inputs!$B$30,IF(Skills!C25=2,90+Inputs!$B$27+Inputs!$B$30,IF(Skills!C25=3,120+Inputs!$B$28+Inputs!$B$30,MAX(0,(Inputs!$B$3-100)*3)+Inputs!$B$29+Inputs!$B$30)))</f>
        <v/>
      </c>
      <c r="E2797">
        <f>INDEX(FactorTable!$B$2:$Y$301, MATCH(ROUND(MIN(300,MAX(1,D2797)),0), FactorTable!$A$2:$A$301,0), Skills!L25+1)</f>
        <v/>
      </c>
      <c r="F2797">
        <f>IF(Skills!M25=TRUE,(Skills!K25/10)*(E2797/1000),Skills!K25/10)+Skills!N25</f>
        <v/>
      </c>
      <c r="G2797">
        <f>Calc!G25</f>
        <v/>
      </c>
      <c r="H2797">
        <f>Calc!H25</f>
        <v/>
      </c>
      <c r="I2797">
        <f>IF(Skills!T25&lt;&gt;"",1+(Skills!T25/10)*($Z$3/1000)/100,1)</f>
        <v/>
      </c>
      <c r="J2797" t="inlineStr"/>
      <c r="K2797" t="inlineStr"/>
      <c r="L2797" t="inlineStr"/>
      <c r="M2797" t="inlineStr"/>
      <c r="N2797" t="inlineStr"/>
      <c r="O2797">
        <f>(1-Summary!$B$11)*S2797+Summary!$B$11*U2797</f>
        <v/>
      </c>
      <c r="P2797">
        <f>IF(B2815=0,0,O2797/B2815)</f>
        <v/>
      </c>
      <c r="Q2797">
        <f>IFERROR(1/(IF(Inputs!$B$39="pvp",15,MAX(0.1,Skills!D25-IF(Skills!E25=TRUE,Inputs!$B$33,0)))*(1-IF(AND(ArtifactsInput!$M$27,Inputs!$B$4="Chapter Hunt"),CHOOSE(ArtifactsInput!$N$27+1,20,24,28,32,36,40),0)/100)),0)</f>
        <v/>
      </c>
      <c r="R2797" t="n">
        <v>0</v>
      </c>
      <c r="S2797" t="n">
        <v>0</v>
      </c>
      <c r="U2797" t="n">
        <v>0</v>
      </c>
    </row>
    <row r="2798">
      <c r="A2798">
        <f>Skills!A26</f>
        <v/>
      </c>
      <c r="B2798">
        <f>Skills!B26</f>
        <v/>
      </c>
      <c r="C2798">
        <f>Inputs!$B$3&gt;=117</f>
        <v/>
      </c>
      <c r="D2798">
        <f>IF(Skills!C26=1,60+Inputs!$B$26+Inputs!$B$30,IF(Skills!C26=2,90+Inputs!$B$27+Inputs!$B$30,IF(Skills!C26=3,120+Inputs!$B$28+Inputs!$B$30,MAX(0,(Inputs!$B$3-100)*3)+Inputs!$B$29+Inputs!$B$30)))</f>
        <v/>
      </c>
      <c r="E2798">
        <f>INDEX(FactorTable!$B$2:$Y$301, MATCH(ROUND(MIN(300,MAX(1,D2798)),0), FactorTable!$A$2:$A$301,0), Skills!L26+1)</f>
        <v/>
      </c>
      <c r="F2798">
        <f>IF(Skills!M26=TRUE,(Skills!K26/10)*(E2798/1000),Skills!K26/10)+Skills!N26</f>
        <v/>
      </c>
      <c r="G2798">
        <f>Calc!G26</f>
        <v/>
      </c>
      <c r="H2798">
        <f>Calc!H26</f>
        <v/>
      </c>
      <c r="I2798">
        <f>IF(Skills!T26&lt;&gt;"",1+(Skills!T26/10)*($Z$3/1000)/100,1)</f>
        <v/>
      </c>
      <c r="J2798" t="inlineStr"/>
      <c r="K2798" t="inlineStr"/>
      <c r="L2798" t="inlineStr"/>
      <c r="M2798" t="inlineStr"/>
      <c r="N2798" t="inlineStr"/>
      <c r="O2798">
        <f>(1-Summary!$B$11)*S2798+Summary!$B$11*U2798</f>
        <v/>
      </c>
      <c r="P2798">
        <f>IF(B2815=0,0,O2798/B2815)</f>
        <v/>
      </c>
      <c r="Q2798">
        <f>IFERROR(1/(IF(Inputs!$B$39="pvp",15,MAX(0.1,Skills!D26-IF(Skills!E26=TRUE,Inputs!$B$33,0)))*(1-IF(AND(ArtifactsInput!$M$27,Inputs!$B$4="Chapter Hunt"),CHOOSE(ArtifactsInput!$N$27+1,20,24,28,32,36,40),0)/100)),0)</f>
        <v/>
      </c>
      <c r="R2798" t="n">
        <v>0</v>
      </c>
      <c r="S2798" t="n">
        <v>0</v>
      </c>
      <c r="U2798" t="n">
        <v>0</v>
      </c>
    </row>
    <row r="2799">
      <c r="A2799">
        <f>Skills!A27</f>
        <v/>
      </c>
      <c r="B2799">
        <f>Skills!B27</f>
        <v/>
      </c>
      <c r="C2799">
        <f>Inputs!$B$3&gt;=120</f>
        <v/>
      </c>
      <c r="D2799">
        <f>IF(Skills!C27=1,60+Inputs!$B$26+Inputs!$B$30,IF(Skills!C27=2,90+Inputs!$B$27+Inputs!$B$30,IF(Skills!C27=3,120+Inputs!$B$28+Inputs!$B$30,MAX(0,(Inputs!$B$3-100)*3)+Inputs!$B$29+Inputs!$B$30)))</f>
        <v/>
      </c>
      <c r="E2799">
        <f>INDEX(FactorTable!$B$2:$Y$301, MATCH(ROUND(MIN(300,MAX(1,D2799)),0), FactorTable!$A$2:$A$301,0), Skills!L27+1)</f>
        <v/>
      </c>
      <c r="F2799">
        <f>IF(Skills!M27=TRUE,(Skills!K27/10)*(E2799/1000),Skills!K27/10)+Skills!N27</f>
        <v/>
      </c>
      <c r="G2799">
        <f>Calc!G27</f>
        <v/>
      </c>
      <c r="H2799">
        <f>Calc!H27</f>
        <v/>
      </c>
      <c r="I2799">
        <f>IF(Skills!T27&lt;&gt;"",1+(Skills!T27/10)*($Z$3/1000)/100,1)</f>
        <v/>
      </c>
      <c r="J2799" t="inlineStr"/>
      <c r="K2799" t="inlineStr"/>
      <c r="L2799" t="inlineStr"/>
      <c r="M2799" t="inlineStr"/>
      <c r="N2799" t="inlineStr"/>
      <c r="O2799">
        <f>(1-Summary!$B$11)*S2799+Summary!$B$11*U2799</f>
        <v/>
      </c>
      <c r="P2799">
        <f>IF(B2815=0,0,O2799/B2815)</f>
        <v/>
      </c>
      <c r="Q2799">
        <f>IFERROR(1/(IF(Inputs!$B$39="pvp",15,MAX(0.1,Skills!D27-IF(Skills!E27=TRUE,Inputs!$B$33,0)))*(1-IF(AND(ArtifactsInput!$M$27,Inputs!$B$4="Chapter Hunt"),CHOOSE(ArtifactsInput!$N$27+1,20,24,28,32,36,40),0)/100)),0)</f>
        <v/>
      </c>
      <c r="R2799" t="n">
        <v>0</v>
      </c>
      <c r="S2799" t="n">
        <v>0</v>
      </c>
      <c r="U2799" t="n">
        <v>0</v>
      </c>
    </row>
    <row r="2800">
      <c r="A2800">
        <f>Skills!A28</f>
        <v/>
      </c>
      <c r="B2800">
        <f>Skills!B28</f>
        <v/>
      </c>
      <c r="C2800">
        <f>TRUE</f>
        <v/>
      </c>
      <c r="D2800">
        <f>IF(Skills!C28=1,60+Inputs!$B$26+Inputs!$B$30,IF(Skills!C28=2,90+Inputs!$B$27+Inputs!$B$30,IF(Skills!C28=3,120+Inputs!$B$28+Inputs!$B$30,MAX(0,(Inputs!$B$3-100)*3)+Inputs!$B$29+Inputs!$B$30)))</f>
        <v/>
      </c>
      <c r="E2800">
        <f>INDEX(FactorTable!$B$2:$Y$301, MATCH(ROUND(MIN(300,MAX(1,D2800)),0), FactorTable!$A$2:$A$301,0), Skills!L28+1)</f>
        <v/>
      </c>
      <c r="F2800">
        <f>IF(Skills!M28=TRUE,(Skills!K28/10)*(E2800/1000),Skills!K28/10)+Skills!N28</f>
        <v/>
      </c>
      <c r="G2800">
        <f>Calc!G28</f>
        <v/>
      </c>
      <c r="H2800">
        <f>Calc!H28</f>
        <v/>
      </c>
      <c r="I2800">
        <f>IF(Skills!T28&lt;&gt;"",1+(Skills!T28/10)*($Z$3/1000)/100,1)</f>
        <v/>
      </c>
      <c r="J2800" t="inlineStr"/>
      <c r="K2800" t="inlineStr"/>
      <c r="L2800" t="inlineStr"/>
      <c r="M2800" t="inlineStr"/>
      <c r="N2800" t="inlineStr"/>
      <c r="O2800">
        <f>(1-Summary!$B$11)*S2800+Summary!$B$11*U2800</f>
        <v/>
      </c>
      <c r="P2800">
        <f>IF(B2815=0,0,O2800/B2815)</f>
        <v/>
      </c>
      <c r="Q2800">
        <f>IFERROR(1/(IF(Inputs!$B$39="pvp",15,MAX(0.1,Skills!D28-IF(Skills!E28=TRUE,Inputs!$B$33,0)))*(1-IF(AND(ArtifactsInput!$M$27,Inputs!$B$4="Chapter Hunt"),CHOOSE(ArtifactsInput!$N$27+1,20,24,28,32,36,40),0)/100)),0)</f>
        <v/>
      </c>
      <c r="R2800">
        <f>IF(AND(Inputs!$B$39&lt;&gt;"pvp",Inputs!$B$44&gt;0),IF(Inputs!$B$44&lt;=0,0,(INT(Inputs!$B$44/(IF(Inputs!$B$39="pvp",15,MAX(0.1,Skills!D28-IF(Skills!E28=TRUE,Inputs!$B$33,0)))*(1-IF(AND(ArtifactsInput!$M$27,Inputs!$B$4="Chapter Hunt"),CHOOSE(ArtifactsInput!$N$27+1,20,24,28,32,36,40),0)/100)))+1)),0)</f>
        <v/>
      </c>
      <c r="S2800" t="n">
        <v>0</v>
      </c>
      <c r="U2800" t="n">
        <v>0</v>
      </c>
    </row>
    <row r="2802">
      <c r="A2802" t="inlineStr">
        <is>
          <t>Average Buff Multiplier</t>
        </is>
      </c>
      <c r="B2802">
        <f>(1+(IF(C2775=TRUE,F2775*IF(AND(Inputs!$B$39&lt;&gt;"pvp",Inputs!$B$44&gt;0),(((R2775-1)*(Skills!S3*(1+((Inputs!$B$35+(ArtifactsInput!$M$7-ArtifactsInput!$M$7)*CHOOSE(ArtifactsInput!$N$7+1,6,7.2,8.4,9.6,10.8,12))+IF(Inputs!$B$3&gt;=117,F2798,0))/100))+MIN((Skills!S3*(1+((Inputs!$B$35+(ArtifactsInput!$M$7-ArtifactsInput!$M$7)*CHOOSE(ArtifactsInput!$N$7+1,6,7.2,8.4,9.6,10.8,12))+IF(Inputs!$B$3&gt;=117,F2798,0))/100)),MAX(0,Inputs!$B$44-((R2775-1)*Skills!D3))))/Inputs!$B$44),IF(Inputs!$B$39="pvp",MIN((Skills!S3*(1+((Inputs!$B$35+(ArtifactsInput!$M$7-ArtifactsInput!$M$7)*CHOOSE(ArtifactsInput!$N$7+1,6,7.2,8.4,9.6,10.8,12))+IF(Inputs!$B$3&gt;=117,F2798,0))/100)),15)/15,(Skills!S3*(1+((Inputs!$B$35+(ArtifactsInput!$M$7-ArtifactsInput!$M$7)*CHOOSE(ArtifactsInput!$N$7+1,6,7.2,8.4,9.6,10.8,12))+IF(Inputs!$B$3&gt;=117,F2798,0))/100))/Skills!D3)),0)+IF(C2776=TRUE,F2776*IF(AND(Inputs!$B$39&lt;&gt;"pvp",Inputs!$B$44&gt;0),(((R2776-1)*(Skills!S4*(1+((Inputs!$B$35+(ArtifactsInput!$M$7-ArtifactsInput!$M$7)*CHOOSE(ArtifactsInput!$N$7+1,6,7.2,8.4,9.6,10.8,12))+IF(Inputs!$B$3&gt;=117,F2798,0))/100))+MIN((Skills!S4*(1+((Inputs!$B$35+(ArtifactsInput!$M$7-ArtifactsInput!$M$7)*CHOOSE(ArtifactsInput!$N$7+1,6,7.2,8.4,9.6,10.8,12))+IF(Inputs!$B$3&gt;=117,F2798,0))/100)),MAX(0,Inputs!$B$44-((R2776-1)*Skills!D4))))/Inputs!$B$44),IF(Inputs!$B$39="pvp",MIN((Skills!S4*(1+((Inputs!$B$35+(ArtifactsInput!$M$7-ArtifactsInput!$M$7)*CHOOSE(ArtifactsInput!$N$7+1,6,7.2,8.4,9.6,10.8,12))+IF(Inputs!$B$3&gt;=117,F2798,0))/100)),15)/15,(Skills!S4*(1+((Inputs!$B$35+(ArtifactsInput!$M$7-ArtifactsInput!$M$7)*CHOOSE(ArtifactsInput!$N$7+1,6,7.2,8.4,9.6,10.8,12))+IF(Inputs!$B$3&gt;=117,F2798,0))/100))/Skills!D4)),0)+IF(C2777=TRUE,F2777*IF(AND(Inputs!$B$39&lt;&gt;"pvp",Inputs!$B$44&gt;0),(((R2777-1)*(Skills!S5*(1+((Inputs!$B$35+(ArtifactsInput!$M$7-ArtifactsInput!$M$7)*CHOOSE(ArtifactsInput!$N$7+1,6,7.2,8.4,9.6,10.8,12))+IF(Inputs!$B$3&gt;=117,F2798,0))/100))+MIN((Skills!S5*(1+((Inputs!$B$35+(ArtifactsInput!$M$7-ArtifactsInput!$M$7)*CHOOSE(ArtifactsInput!$N$7+1,6,7.2,8.4,9.6,10.8,12))+IF(Inputs!$B$3&gt;=117,F2798,0))/100)),MAX(0,Inputs!$B$44-((R2777-1)*Skills!D5))))/Inputs!$B$44),IF(Inputs!$B$39="pvp",MIN((Skills!S5*(1+((Inputs!$B$35+(ArtifactsInput!$M$7-ArtifactsInput!$M$7)*CHOOSE(ArtifactsInput!$N$7+1,6,7.2,8.4,9.6,10.8,12))+IF(Inputs!$B$3&gt;=117,F2798,0))/100)),15)/15,(Skills!S5*(1+((Inputs!$B$35+(ArtifactsInput!$M$7-ArtifactsInput!$M$7)*CHOOSE(ArtifactsInput!$N$7+1,6,7.2,8.4,9.6,10.8,12))+IF(Inputs!$B$3&gt;=117,F2798,0))/100))/Skills!D5)),0)+IF(C2783=TRUE,F2783*IF(AND(Inputs!$B$39&lt;&gt;"pvp",Inputs!$B$44&gt;0),(((R2783-1)*(Skills!S11*(1+((Inputs!$B$35+(ArtifactsInput!$M$7-ArtifactsInput!$M$7)*CHOOSE(ArtifactsInput!$N$7+1,6,7.2,8.4,9.6,10.8,12))+IF(Inputs!$B$3&gt;=117,F2798,0))/100))+MIN((Skills!S11*(1+((Inputs!$B$35+(ArtifactsInput!$M$7-ArtifactsInput!$M$7)*CHOOSE(ArtifactsInput!$N$7+1,6,7.2,8.4,9.6,10.8,12))+IF(Inputs!$B$3&gt;=117,F2798,0))/100)),MAX(0,Inputs!$B$44-((R2783-1)*Skills!D11))))/Inputs!$B$44),IF(Inputs!$B$39="pvp",MIN((Skills!S11*(1+((Inputs!$B$35+(ArtifactsInput!$M$7-ArtifactsInput!$M$7)*CHOOSE(ArtifactsInput!$N$7+1,6,7.2,8.4,9.6,10.8,12))+IF(Inputs!$B$3&gt;=117,F2798,0))/100)),15)/15,(Skills!S11*(1+((Inputs!$B$35+(ArtifactsInput!$M$7-ArtifactsInput!$M$7)*CHOOSE(ArtifactsInput!$N$7+1,6,7.2,8.4,9.6,10.8,12))+IF(Inputs!$B$3&gt;=117,F2798,0)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2786=TRUE,(1+F2786*IF(AND(Inputs!$B$39&lt;&gt;"pvp",Inputs!$B$44&gt;0),(((R2786-1)*(Skills!S14*(1+((Inputs!$B$35+(ArtifactsInput!$M$7-ArtifactsInput!$M$7)*CHOOSE(ArtifactsInput!$N$7+1,6,7.2,8.4,9.6,10.8,12))+IF(Inputs!$B$3&gt;=117,F2798,0))/100))+MIN((Skills!S14*(1+((Inputs!$B$35+(ArtifactsInput!$M$7-ArtifactsInput!$M$7)*CHOOSE(ArtifactsInput!$N$7+1,6,7.2,8.4,9.6,10.8,12))+IF(Inputs!$B$3&gt;=117,F2798,0))/100)),MAX(0,Inputs!$B$44-((R2786-1)*Skills!D14))))/Inputs!$B$44),IF(Inputs!$B$39="pvp",MIN((Skills!S14*(1+((Inputs!$B$35+(ArtifactsInput!$M$7-ArtifactsInput!$M$7)*CHOOSE(ArtifactsInput!$N$7+1,6,7.2,8.4,9.6,10.8,12))+IF(Inputs!$B$3&gt;=117,F2798,0))/100)),15)/15,(Skills!S14*(1+((Inputs!$B$35+(ArtifactsInput!$M$7-ArtifactsInput!$M$7)*CHOOSE(ArtifactsInput!$N$7+1,6,7.2,8.4,9.6,10.8,12))+IF(Inputs!$B$3&gt;=117,F2798,0))/100))/Skills!D14))/100),1)*IF(C2791=TRUE,(1+F2791*IF(AND(Inputs!$B$39&lt;&gt;"pvp",Inputs!$B$44&gt;0),(((R2791-1)*(Skills!S19*(1+((Inputs!$B$35+(ArtifactsInput!$M$7-ArtifactsInput!$M$7)*CHOOSE(ArtifactsInput!$N$7+1,6,7.2,8.4,9.6,10.8,12))+IF(Inputs!$B$3&gt;=117,F2798,0))/100))+MIN((Skills!S19*(1+((Inputs!$B$35+(ArtifactsInput!$M$7-ArtifactsInput!$M$7)*CHOOSE(ArtifactsInput!$N$7+1,6,7.2,8.4,9.6,10.8,12))+IF(Inputs!$B$3&gt;=117,F2798,0))/100)),MAX(0,Inputs!$B$44-((R2791-1)*Skills!D19))))/Inputs!$B$44),IF(Inputs!$B$39="pvp",MIN((Skills!S19*(1+((Inputs!$B$35+(ArtifactsInput!$M$7-ArtifactsInput!$M$7)*CHOOSE(ArtifactsInput!$N$7+1,6,7.2,8.4,9.6,10.8,12))+IF(Inputs!$B$3&gt;=117,F2798,0))/100)),15)/15,(Skills!S19*(1+((Inputs!$B$35+(ArtifactsInput!$M$7-ArtifactsInput!$M$7)*CHOOSE(ArtifactsInput!$N$7+1,6,7.2,8.4,9.6,10.8,12))+IF(Inputs!$B$3&gt;=117,F2798,0))/100))/Skills!D19))/100),1)</f>
        <v/>
      </c>
    </row>
    <row r="2803">
      <c r="A2803" t="inlineStr">
        <is>
          <t>Monster Damage Taken Bonus % (Holy Fountain)</t>
        </is>
      </c>
      <c r="B2803">
        <f>IF(Inputs!$B$3&gt;=68,20*IF(Inputs!$B$39="pvp",MIN((15*(1+((Inputs!$B$35+(ArtifactsInput!$M$7-ArtifactsInput!$M$7)*CHOOSE(ArtifactsInput!$N$7+1,6,7.2,8.4,9.6,10.8,12))+IF(Inputs!$B$3&gt;=117,F2798,0))/100)),15)/15,(15*(1+((Inputs!$B$35+(ArtifactsInput!$M$7-ArtifactsInput!$M$7)*CHOOSE(ArtifactsInput!$N$7+1,6,7.2,8.4,9.6,10.8,12))+IF(Inputs!$B$3&gt;=117,F2798,0))/100))/Skills!D10),0)</f>
        <v/>
      </c>
    </row>
    <row r="2804">
      <c r="A2804" t="inlineStr">
        <is>
          <t>Normal Monster Damage Bonus % (Holy Symbol)</t>
        </is>
      </c>
      <c r="B2804">
        <f>IF(C2784=TRUE,F2784*IF(AND(Inputs!$B$39&lt;&gt;"pvp",Inputs!$B$44&gt;0),(((R2784-1)*(Skills!S12*(1+((Inputs!$B$35+(ArtifactsInput!$M$7-ArtifactsInput!$M$7)*CHOOSE(ArtifactsInput!$N$7+1,6,7.2,8.4,9.6,10.8,12))+IF(Inputs!$B$3&gt;=117,F2798,0))/100))+MIN((Skills!S12*(1+((Inputs!$B$35+(ArtifactsInput!$M$7-ArtifactsInput!$M$7)*CHOOSE(ArtifactsInput!$N$7+1,6,7.2,8.4,9.6,10.8,12))+IF(Inputs!$B$3&gt;=117,F2798,0))/100)),MAX(0,Inputs!$B$44-((R2784-1)*Skills!D12))))/Inputs!$B$44),IF(Inputs!$B$39="pvp",MIN((Skills!S12*(1+((Inputs!$B$35+(ArtifactsInput!$M$7-ArtifactsInput!$M$7)*CHOOSE(ArtifactsInput!$N$7+1,6,7.2,8.4,9.6,10.8,12))+IF(Inputs!$B$3&gt;=117,F2798,0))/100)),15)/15,(Skills!S12*(1+((Inputs!$B$35+(ArtifactsInput!$M$7-ArtifactsInput!$M$7)*CHOOSE(ArtifactsInput!$N$7+1,6,7.2,8.4,9.6,10.8,12))+IF(Inputs!$B$3&gt;=117,F2798,0))/100))/Skills!D12)),0)</f>
        <v/>
      </c>
    </row>
    <row r="2805">
      <c r="A2805" t="inlineStr">
        <is>
          <t>Damage % Bonus (Holy Symbol - Damage Boost)</t>
        </is>
      </c>
      <c r="B2805">
        <f>Skills!O12</f>
        <v/>
      </c>
    </row>
    <row r="2806">
      <c r="A2806" t="inlineStr">
        <is>
          <t>Crit Damage % Bonus (Blood of the Divine)</t>
        </is>
      </c>
      <c r="B2806">
        <f>4*IF(C2792=TRUE,F2792,0)</f>
        <v/>
      </c>
    </row>
    <row r="2807">
      <c r="A2807" t="inlineStr">
        <is>
          <t>Attack Speed Bonus %</t>
        </is>
      </c>
      <c r="B2807">
        <f>IF(C2789=TRUE,F2789+(F2793-Calc!F21),0)+IF(Inputs!$B$3&gt;=134,15,0)+((C2800=TRUE)*F2800*IF(AND(Inputs!$B$39&lt;&gt;"pvp",Inputs!$B$44&gt;0),(((R2800-1)*(Skills!S28*(1+((Inputs!$B$35+(ArtifactsInput!$M$7-ArtifactsInput!$M$7)*CHOOSE(ArtifactsInput!$N$7+1,6,7.2,8.4,9.6,10.8,12))+IF(Inputs!$B$3&gt;=117,F2798,0))/100))+MIN((Skills!S28*(1+((Inputs!$B$35+(ArtifactsInput!$M$7-ArtifactsInput!$M$7)*CHOOSE(ArtifactsInput!$N$7+1,6,7.2,8.4,9.6,10.8,12))+IF(Inputs!$B$3&gt;=117,F2798,0))/100)),MAX(0,Inputs!$B$44-((R2800-1)*Skills!D28))))/Inputs!$B$44),IF(Inputs!$B$39="pvp",MIN((Skills!S28*(1+((Inputs!$B$35+(ArtifactsInput!$M$7-ArtifactsInput!$M$7)*CHOOSE(ArtifactsInput!$N$7+1,6,7.2,8.4,9.6,10.8,12))+IF(Inputs!$B$3&gt;=117,F2798,0))/100)),15)/15,(Skills!S28*(1+((Inputs!$B$35+(ArtifactsInput!$M$7-ArtifactsInput!$M$7)*CHOOSE(ArtifactsInput!$N$7+1,6,7.2,8.4,9.6,10.8,12))+IF(Inputs!$B$3&gt;=117,F2798,0))/100))/Skills!D28)))</f>
        <v/>
      </c>
    </row>
    <row r="2808">
      <c r="A2808" t="inlineStr">
        <is>
          <t>Actions Per Second</t>
        </is>
      </c>
      <c r="B2808">
        <f>1+MIN(150,150*(1-(1-Inputs!$B$12/150)*(1-B2807/150)))/100</f>
        <v/>
      </c>
    </row>
    <row r="2809">
      <c r="A2809" t="inlineStr">
        <is>
          <t>Skill + Buff Cast Rate</t>
        </is>
      </c>
      <c r="B2809">
        <f>IF(AND(Inputs!$B$39&lt;&gt;"pvp",Inputs!$B$44&gt;0),SUMPRODUCT((Skills!E2:E28=TRUE)*(C2774:C2800=TRUE)*R2774:R2800)/Inputs!$B$44,SUMPRODUCT((Skills!E2:E28=TRUE)*(C2774:C2800=TRUE)*Q2774:Q2800))</f>
        <v/>
      </c>
    </row>
    <row r="2810">
      <c r="A2810" t="inlineStr">
        <is>
          <t>Big Bang Casts Per Second</t>
        </is>
      </c>
      <c r="B2810">
        <f>MAX(0,B2808-B2809)</f>
        <v/>
      </c>
    </row>
    <row r="2811">
      <c r="A2811" t="inlineStr">
        <is>
          <t>Defense % Bonus (Divine Protection)</t>
        </is>
      </c>
      <c r="B2811">
        <f>IF(C2785=TRUE,F2785*IF(AND(Inputs!$B$39&lt;&gt;"pvp",Inputs!$B$44&gt;0),(((R2785-1)*(Skills!S13*(1+((Inputs!$B$35+(ArtifactsInput!$M$7-ArtifactsInput!$M$7)*CHOOSE(ArtifactsInput!$N$7+1,6,7.2,8.4,9.6,10.8,12))+IF(Inputs!$B$3&gt;=117,F2798,0))/100))+MIN((Skills!S13*(1+((Inputs!$B$35+(ArtifactsInput!$M$7-ArtifactsInput!$M$7)*CHOOSE(ArtifactsInput!$N$7+1,6,7.2,8.4,9.6,10.8,12))+IF(Inputs!$B$3&gt;=117,F2798,0))/100)),MAX(0,Inputs!$B$44-((R2785-1)*Skills!D13))))/Inputs!$B$44),IF(Inputs!$B$39="pvp",MIN((Skills!S13*(1+((Inputs!$B$35+(ArtifactsInput!$M$7-ArtifactsInput!$M$7)*CHOOSE(ArtifactsInput!$N$7+1,6,7.2,8.4,9.6,10.8,12))+IF(Inputs!$B$3&gt;=117,F2798,0))/100)),15)/15,(Skills!S13*(1+((Inputs!$B$35+(ArtifactsInput!$M$7-ArtifactsInput!$M$7)*CHOOSE(ArtifactsInput!$N$7+1,6,7.2,8.4,9.6,10.8,12))+IF(Inputs!$B$3&gt;=117,F2798,0))/100))/Skills!D13)),0)</f>
        <v/>
      </c>
    </row>
    <row r="2812">
      <c r="A2812" t="inlineStr">
        <is>
          <t>Buff-Casting Startup Delay (s, fixed-duration only)</t>
        </is>
      </c>
      <c r="B2812">
        <f>IF(AND(Inputs!$B$39&lt;&gt;"pvp",Inputs!$B$44&gt;0),SUMPRODUCT((Skills!S2:S28&gt;0)*(Skills!E2:E28=TRUE)*(C2774:C2800=TRUE))/B2808,0)</f>
        <v/>
      </c>
    </row>
    <row r="2813">
      <c r="A2813" t="inlineStr">
        <is>
          <t>Boss-Only Total DPS (this block's swept value)</t>
        </is>
      </c>
      <c r="B2813">
        <f>SUM(S2774:S2800)</f>
        <v/>
      </c>
    </row>
    <row r="2814">
      <c r="A2814" t="inlineStr">
        <is>
          <t>Normal-Only Total DPS (this block's swept value)</t>
        </is>
      </c>
      <c r="B2814">
        <f>SUM(U2774:U2800)</f>
        <v/>
      </c>
    </row>
    <row r="2815">
      <c r="A2815" s="6" t="inlineStr">
        <is>
          <t>TOTAL DPS</t>
        </is>
      </c>
      <c r="B2815" s="6">
        <f>SUM(O2774:O2800)</f>
        <v/>
      </c>
    </row>
    <row r="2817">
      <c r="A2817" s="6" t="inlineStr">
        <is>
          <t>Stat: Secret Map (Equip)</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R2818" t="inlineStr">
        <is>
          <t>helpers</t>
        </is>
      </c>
    </row>
    <row r="2819">
      <c r="A2819">
        <f>Skills!A2</f>
        <v/>
      </c>
      <c r="B2819">
        <f>Skills!B2</f>
        <v/>
      </c>
      <c r="C2819">
        <f>Inputs!$B$3&gt;=100</f>
        <v/>
      </c>
      <c r="D2819" t="inlineStr"/>
      <c r="E2819" t="inlineStr"/>
      <c r="F2819">
        <f>T2821+Skills!N2</f>
        <v/>
      </c>
      <c r="G2819">
        <f>Calc!G2</f>
        <v/>
      </c>
      <c r="H2819">
        <f>Calc!H2</f>
        <v/>
      </c>
      <c r="I2819">
        <f>IF(Skills!T2&lt;&gt;"",1+(Skills!T2/10)*($Z$3/1000)/100,1)</f>
        <v/>
      </c>
      <c r="J2819">
        <f>((Inputs!$B$6*(1+Inputs!$B$7/100))+(((Inputs!$B$13*(1+Inputs!$B$14/100))-(Inputs!$B$13*(1+Inputs!$B$14/100)))+0.25*(Inputs!$B$15-Inputs!$B$15))*(1+Inputs!$B$7/100))*(F2819/100)</f>
        <v/>
      </c>
      <c r="K2819">
        <f>J2819*(1+(((Inputs!$B$13+IF(Inputs!$B$3&gt;=35,(10*INDEX(FactorTable!$B$2:$Y$301,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2="TRIUMPH_FEATHER",IF(C2833=TRUE,F2833,0),0)/100)*(1+IF(C2844=TRUE,F2844,0)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2819)</f>
        <v/>
      </c>
      <c r="L2819">
        <f>K2819*(MIN(Inputs!$B$23+(F2839-Calc!F22),(Inputs!$B$24+IF(ArtifactsInput!$M$15,CHOOSE(ArtifactsInput!$N$15+1,25,30,35,40,45,50)/100*(Inputs!$B$12-Inputs!$B$12),0)))/100+(Inputs!$B$24+IF(ArtifactsInput!$M$15,CHOOSE(ArtifactsInput!$N$15+1,25,30,35,40,45,50)/100*(Inputs!$B$12-Inputs!$B$12),0))/100)/2</f>
        <v/>
      </c>
      <c r="M2819">
        <f>L2819*(1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19">
        <f>L2819*(1-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(1-Summary!$B$11)*S2819+Summary!$B$11*U2819</f>
        <v/>
      </c>
      <c r="P2819">
        <f>IF(B2860=0,0,O2819/B2860)</f>
        <v/>
      </c>
      <c r="Q2819">
        <f>IFERROR(1/(IF(Inputs!$B$39="pvp",15,MAX(0.1,Skills!D2-IF(Skills!E2=TRUE,Inputs!$B$33,0)))*(1-IF(AND(ArtifactsInput!$M$27,Inputs!$B$4="Chapter Hunt"),CHOOSE(ArtifactsInput!$N$27+1,20,24,28,32,36,40),0)/100)),0)</f>
        <v/>
      </c>
      <c r="R2819" t="n">
        <v>0</v>
      </c>
      <c r="S2819">
        <f>IF(C2819,(Skills!F2*N2819*B2855)*IF(Inputs!$B$39="pvp",1,1+(Inputs!$B$21+Skills!O2+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2819*(1-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19">
        <f>MAX(0,(Inputs!$B$3-100)*3)+Inputs!$B$29+Inputs!$B$30</f>
        <v/>
      </c>
      <c r="U2819">
        <f>IF(C2819,(Skills!F2*N2819*B2855)*IF(Inputs!$B$39="pvp",1,(1+(Inputs!$B$22+Skills!P2+B2849+(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Inputs!$B$3&gt;=15</f>
        <v/>
      </c>
      <c r="D2820">
        <f>IF(Skills!C3=1,60+Inputs!$B$26+Inputs!$B$30,IF(Skills!C3=2,90+Inputs!$B$27+Inputs!$B$30,IF(Skills!C3=3,120+Inputs!$B$28+Inputs!$B$30,MAX(0,(Inputs!$B$3-100)*3)+Inputs!$B$29+Inputs!$B$30)))</f>
        <v/>
      </c>
      <c r="E2820">
        <f>INDEX(FactorTable!$B$2:$Y$301, MATCH(ROUND(MIN(300,MAX(1,D2820)),0), FactorTable!$A$2:$A$301,0), Skills!L3+1)</f>
        <v/>
      </c>
      <c r="F2820">
        <f>IF(Skills!M3=TRUE,(Skills!K3/10)*(E2820/1000),Skills!K3/10)+Skills!N3</f>
        <v/>
      </c>
      <c r="G2820">
        <f>Calc!G3</f>
        <v/>
      </c>
      <c r="H2820">
        <f>Calc!H3</f>
        <v/>
      </c>
      <c r="I2820">
        <f>IF(Skills!T3&lt;&gt;"",1+(Skills!T3/10)*($Z$3/1000)/100,1)</f>
        <v/>
      </c>
      <c r="J2820" t="inlineStr"/>
      <c r="K2820" t="inlineStr"/>
      <c r="L2820" t="inlineStr"/>
      <c r="M2820" t="inlineStr"/>
      <c r="N2820" t="inlineStr"/>
      <c r="O2820">
        <f>(1-Summary!$B$11)*S2820+Summary!$B$11*U2820</f>
        <v/>
      </c>
      <c r="P2820">
        <f>IF(B2860=0,0,O2820/B2860)</f>
        <v/>
      </c>
      <c r="Q2820">
        <f>IFERROR(1/(IF(Inputs!$B$39="pvp",15,MAX(0.1,Skills!D3-IF(Skills!E3=TRUE,Inputs!$B$33,0)))*(1-IF(AND(ArtifactsInput!$M$27,Inputs!$B$4="Chapter Hunt"),CHOOSE(ArtifactsInput!$N$27+1,20,24,28,32,36,40),0)/100)),0)</f>
        <v/>
      </c>
      <c r="R2820">
        <f>IF(AND(Inputs!$B$39&lt;&gt;"pvp",Inputs!$B$44&gt;0),IF(Inputs!$B$44&lt;=0,0,(INT(Inputs!$B$44/(IF(Inputs!$B$39="pvp",15,MAX(0.1,Skills!D3-IF(Skills!E3=TRUE,Inputs!$B$33,0)))*(1-IF(AND(ArtifactsInput!$M$27,Inputs!$B$4="Chapter Hunt"),CHOOSE(ArtifactsInput!$N$27+1,20,24,28,32,36,40),0)/100)))+1)),0)</f>
        <v/>
      </c>
      <c r="S2820" t="n">
        <v>0</v>
      </c>
      <c r="T2820">
        <f>INDEX(FactorTable!$B$2:$Y$301, MATCH(ROUND(MIN(300,MAX(1,T2819)),0), FactorTable!$A$2:$A$301,0), 22)</f>
        <v/>
      </c>
      <c r="U2820" t="n">
        <v>0</v>
      </c>
    </row>
    <row r="2821">
      <c r="A2821">
        <f>Skills!A4</f>
        <v/>
      </c>
      <c r="B2821">
        <f>Skills!B4</f>
        <v/>
      </c>
      <c r="C2821">
        <f>Inputs!$B$3&gt;=38</f>
        <v/>
      </c>
      <c r="D2821">
        <f>IF(Skills!C4=1,60+Inputs!$B$26+Inputs!$B$30,IF(Skills!C4=2,90+Inputs!$B$27+Inputs!$B$30,IF(Skills!C4=3,120+Inputs!$B$28+Inputs!$B$30,MAX(0,(Inputs!$B$3-100)*3)+Inputs!$B$29+Inputs!$B$30)))</f>
        <v/>
      </c>
      <c r="E2821">
        <f>INDEX(FactorTable!$B$2:$Y$301, MATCH(ROUND(MIN(300,MAX(1,D2821)),0), FactorTable!$A$2:$A$301,0), Skills!L4+1)</f>
        <v/>
      </c>
      <c r="F2821">
        <f>IF(Skills!M4=TRUE,(Skills!K4/10)*(E2821/1000),Skills!K4/10)+Skills!N4</f>
        <v/>
      </c>
      <c r="G2821">
        <f>Calc!G4</f>
        <v/>
      </c>
      <c r="H2821">
        <f>Calc!H4</f>
        <v/>
      </c>
      <c r="I2821">
        <f>IF(Skills!T4&lt;&gt;"",1+(Skills!T4/10)*($Z$3/1000)/100,1)</f>
        <v/>
      </c>
      <c r="J2821" t="inlineStr"/>
      <c r="K2821" t="inlineStr"/>
      <c r="L2821" t="inlineStr"/>
      <c r="M2821" t="inlineStr"/>
      <c r="N2821" t="inlineStr"/>
      <c r="O2821">
        <f>(1-Summary!$B$11)*S2821+Summary!$B$11*U2821</f>
        <v/>
      </c>
      <c r="P2821">
        <f>IF(B2860=0,0,O2821/B2860)</f>
        <v/>
      </c>
      <c r="Q2821">
        <f>IFERROR(1/(IF(Inputs!$B$39="pvp",15,MAX(0.1,Skills!D4-IF(Skills!E4=TRUE,Inputs!$B$33,0)))*(1-IF(AND(ArtifactsInput!$M$27,Inputs!$B$4="Chapter Hunt"),CHOOSE(ArtifactsInput!$N$27+1,20,24,28,32,36,40),0)/100)),0)</f>
        <v/>
      </c>
      <c r="R2821">
        <f>IF(AND(Inputs!$B$39&lt;&gt;"pvp",Inputs!$B$44&gt;0),IF(Inputs!$B$44&lt;=0,0,(INT(Inputs!$B$44/(IF(Inputs!$B$39="pvp",15,MAX(0.1,Skills!D4-IF(Skills!E4=TRUE,Inputs!$B$33,0)))*(1-IF(AND(ArtifactsInput!$M$27,Inputs!$B$4="Chapter Hunt"),CHOOSE(ArtifactsInput!$N$27+1,20,24,28,32,36,40),0)/100)))+1)),0)</f>
        <v/>
      </c>
      <c r="S2821" t="n">
        <v>0</v>
      </c>
      <c r="T2821">
        <f>290*T2820/1000</f>
        <v/>
      </c>
      <c r="U2821" t="n">
        <v>0</v>
      </c>
    </row>
    <row r="2822">
      <c r="A2822">
        <f>Skills!A5</f>
        <v/>
      </c>
      <c r="B2822">
        <f>Skills!B5</f>
        <v/>
      </c>
      <c r="C2822">
        <f>Inputs!$B$3&gt;=40</f>
        <v/>
      </c>
      <c r="D2822">
        <f>IF(Skills!C5=1,60+Inputs!$B$26+Inputs!$B$30,IF(Skills!C5=2,90+Inputs!$B$27+Inputs!$B$30,IF(Skills!C5=3,120+Inputs!$B$28+Inputs!$B$30,MAX(0,(Inputs!$B$3-100)*3)+Inputs!$B$29+Inputs!$B$30)))</f>
        <v/>
      </c>
      <c r="E2822">
        <f>INDEX(FactorTable!$B$2:$Y$301, MATCH(ROUND(MIN(300,MAX(1,D2822)),0), FactorTable!$A$2:$A$301,0), Skills!L5+1)</f>
        <v/>
      </c>
      <c r="F2822">
        <f>IF(Skills!M5=TRUE,(Skills!K5/10)*(E2822/1000),Skills!K5/10)+Skills!N5</f>
        <v/>
      </c>
      <c r="G2822">
        <f>Calc!G5</f>
        <v/>
      </c>
      <c r="H2822">
        <f>Calc!H5</f>
        <v/>
      </c>
      <c r="I2822">
        <f>IF(Skills!T5&lt;&gt;"",1+(Skills!T5/10)*($Z$3/1000)/100,1)</f>
        <v/>
      </c>
      <c r="J2822" t="inlineStr"/>
      <c r="K2822" t="inlineStr"/>
      <c r="L2822" t="inlineStr"/>
      <c r="M2822" t="inlineStr"/>
      <c r="N2822" t="inlineStr"/>
      <c r="O2822">
        <f>(1-Summary!$B$11)*S2822+Summary!$B$11*U2822</f>
        <v/>
      </c>
      <c r="P2822">
        <f>IF(B2860=0,0,O2822/B2860)</f>
        <v/>
      </c>
      <c r="Q2822">
        <f>IFERROR(1/(IF(Inputs!$B$39="pvp",15,MAX(0.1,Skills!D5-IF(Skills!E5=TRUE,Inputs!$B$33,0)))*(1-IF(AND(ArtifactsInput!$M$27,Inputs!$B$4="Chapter Hunt"),CHOOSE(ArtifactsInput!$N$27+1,20,24,28,32,36,40),0)/100)),0)</f>
        <v/>
      </c>
      <c r="R2822">
        <f>IF(AND(Inputs!$B$39&lt;&gt;"pvp",Inputs!$B$44&gt;0),IF(Inputs!$B$44&lt;=0,0,(INT(Inputs!$B$44/(IF(Inputs!$B$39="pvp",15,MAX(0.1,Skills!D5-IF(Skills!E5=TRUE,Inputs!$B$33,0)))*(1-IF(AND(ArtifactsInput!$M$27,Inputs!$B$4="Chapter Hunt"),CHOOSE(ArtifactsInput!$N$27+1,20,24,28,32,36,40),0)/100)))+1)),0)</f>
        <v/>
      </c>
      <c r="S2822" t="n">
        <v>0</v>
      </c>
      <c r="U2822" t="n">
        <v>0</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Skills!L6+1)</f>
        <v/>
      </c>
      <c r="F2823">
        <f>IF(Skills!M6=TRUE,(Skills!K6/10)*(E2823/1000),Skills!K6/10)+Skills!N6</f>
        <v/>
      </c>
      <c r="G2823">
        <f>Calc!G6</f>
        <v/>
      </c>
      <c r="H2823">
        <f>Calc!H6</f>
        <v/>
      </c>
      <c r="I2823">
        <f>IF(Skills!T6&lt;&gt;"",1+(Skills!T6/10)*($Z$3/1000)/100,1)</f>
        <v/>
      </c>
      <c r="J2823">
        <f>((Inputs!$B$6*(1+Inputs!$B$7/100))+(((Inputs!$B$13*(1+Inputs!$B$14/100))-(Inputs!$B$13*(1+Inputs!$B$14/100)))+0.25*(Inputs!$B$15-Inputs!$B$15))*(1+Inputs!$B$7/100))*(F2823/100)</f>
        <v/>
      </c>
      <c r="K2823">
        <f>J2823*(1+(((Inputs!$B$13+IF(Inputs!$B$3&gt;=35,(10*INDEX(FactorTable!$B$2:$Y$301,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6="TRIUMPH_FEATHER",IF(C2833=TRUE,F2833,0),0)/100)*(1+IF(C2844=TRUE,F2844,0)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2823)</f>
        <v/>
      </c>
      <c r="L2823">
        <f>K2823*(MIN(Inputs!$B$23+(F2839-Calc!F22),(Inputs!$B$24+IF(ArtifactsInput!$M$15,CHOOSE(ArtifactsInput!$N$15+1,25,30,35,40,45,50)/100*(Inputs!$B$12-Inputs!$B$12),0)))/100+(Inputs!$B$24+IF(ArtifactsInput!$M$15,CHOOSE(ArtifactsInput!$N$15+1,25,30,35,40,45,50)/100*(Inputs!$B$12-Inputs!$B$12),0))/100)/2</f>
        <v/>
      </c>
      <c r="M2823">
        <f>L2823*(1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3">
        <f>L2823*(1-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(1-Summary!$B$11)*S2823+Summary!$B$11*U2823</f>
        <v/>
      </c>
      <c r="P2823">
        <f>IF(B2860=0,0,O2823/B2860)</f>
        <v/>
      </c>
      <c r="Q2823">
        <f>IFERROR(1/(IF(Inputs!$B$39="pvp",15,MAX(0.1,Skills!D6-IF(Skills!E6=TRUE,Inputs!$B$33,0)))*(1-IF(AND(ArtifactsInput!$M$27,Inputs!$B$4="Chapter Hunt"),CHOOSE(ArtifactsInput!$N$27+1,20,24,28,32,36,40),0)/100)),0)</f>
        <v/>
      </c>
      <c r="R2823">
        <f>IF(AND(Inputs!$B$39&lt;&gt;"pvp",Inputs!$B$44&gt;0),IF(MAX(0,Inputs!$B$44-B2857)&lt;=0,0,(INT(MAX(0,Inputs!$B$44-B2857)/(IF(Inputs!$B$39="pvp",15,MAX(0.1,Skills!D6-IF(Skills!E6=TRUE,Inputs!$B$33,0)))*(1-IF(AND(ArtifactsInput!$M$27,Inputs!$B$4="Chapter Hunt"),CHOOSE(ArtifactsInput!$N$27+1,20,24,28,32,36,40),0)/100)))+1)),0)</f>
        <v/>
      </c>
      <c r="S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$21+Skills!O6+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2823*(1-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$22+Skills!P6+B2849+(IF(ArtifactsInput!$M$33,CHOOSE(ArtifactsInput!$N$33+1,30,36,42,48,54,60),0)))/100)*(MIN(Skills!Q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Inputs!$B$3&gt;=122</f>
        <v/>
      </c>
      <c r="D2824">
        <f>IF(Skills!C7=1,60+Inputs!$B$26+Inputs!$B$30,IF(Skills!C7=2,90+Inputs!$B$27+Inputs!$B$30,IF(Skills!C7=3,120+Inputs!$B$28+Inputs!$B$30,MAX(0,(Inputs!$B$3-100)*3)+Inputs!$B$29+Inputs!$B$30)))</f>
        <v/>
      </c>
      <c r="E2824">
        <f>INDEX(FactorTable!$B$2:$Y$301, MATCH(ROUND(MIN(300,MAX(1,D2824)),0), FactorTable!$A$2:$A$301,0), Skills!L7+1)</f>
        <v/>
      </c>
      <c r="F2824">
        <f>IF(Skills!M7=TRUE,(Skills!K7/10)*(E2824/1000),Skills!K7/10)+Skills!N7</f>
        <v/>
      </c>
      <c r="G2824">
        <f>Calc!G7</f>
        <v/>
      </c>
      <c r="H2824">
        <f>Calc!H7</f>
        <v/>
      </c>
      <c r="I2824">
        <f>IF(Skills!T7&lt;&gt;"",1+(Skills!T7/10)*($Z$3/1000)/100,1)</f>
        <v/>
      </c>
      <c r="J2824">
        <f>((Inputs!$B$6*(1+Inputs!$B$7/100))+(((Inputs!$B$13*(1+Inputs!$B$14/100))-(Inputs!$B$13*(1+Inputs!$B$14/100)))+0.25*(Inputs!$B$15-Inputs!$B$15))*(1+Inputs!$B$7/100))*(F2824/100)</f>
        <v/>
      </c>
      <c r="K2824">
        <f>J2824*(1+(((Inputs!$B$13+IF(Inputs!$B$3&gt;=35,(10*INDEX(FactorTable!$B$2:$Y$301,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7="TRIUMPH_FEATHER",IF(C2833=TRUE,F2833,0),0)/100)*(1+IF(C2844=TRUE,F2844,0)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2824)</f>
        <v/>
      </c>
      <c r="L2824">
        <f>K2824*(MIN(Inputs!$B$23+(F2839-Calc!F22),(Inputs!$B$24+IF(ArtifactsInput!$M$15,CHOOSE(ArtifactsInput!$N$15+1,25,30,35,40,45,50)/100*(Inputs!$B$12-Inputs!$B$12),0)))/100+(Inputs!$B$24+IF(ArtifactsInput!$M$15,CHOOSE(ArtifactsInput!$N$15+1,25,30,35,40,45,50)/100*(Inputs!$B$12-Inputs!$B$12),0))/100)/2</f>
        <v/>
      </c>
      <c r="M2824">
        <f>L2824*(1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4">
        <f>L2824*(1-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(1-Summary!$B$11)*S2824+Summary!$B$11*U2824</f>
        <v/>
      </c>
      <c r="P2824">
        <f>IF(B2860=0,0,O2824/B2860)</f>
        <v/>
      </c>
      <c r="Q2824">
        <f>IFERROR(1/(IF(Inputs!$B$39="pvp",15,MAX(0.1,Skills!D7-IF(Skills!E6=TRUE,Inputs!$B$33,0)))*(1-IF(AND(ArtifactsInput!$M$27,Inputs!$B$4="Chapter Hunt"),CHOOSE(ArtifactsInput!$N$27+1,20,24,28,32,36,40),0)/100)),0)</f>
        <v/>
      </c>
      <c r="R2824">
        <f>IF(AND(Inputs!$B$39&lt;&gt;"pvp",Inputs!$B$44&gt;0),IF(MAX(0,Inputs!$B$44-B2857)&lt;=0,0,(INT(MAX(0,Inputs!$B$44-B2857)/(IF(Inputs!$B$39="pvp",15,MAX(0.1,Skills!D7-IF(Skills!E6=TRUE,Inputs!$B$33,0)))*(1-IF(AND(ArtifactsInput!$M$27,Inputs!$B$4="Chapter Hunt"),CHOOSE(ArtifactsInput!$N$27+1,20,24,28,32,36,40),0)/100)))+1)),0)</f>
        <v/>
      </c>
      <c r="S2824">
        <f>IF(C2824,H2824*N2824*IF(AND(Inputs!$B$39&lt;&gt;"pvp",Inputs!$B$44&gt;0),((Skills!F7*((R2824-1)*IF(Skills!G7&gt;0,Skills!H7/Skills!G7,1)+IF(Skills!G7&gt;0,MIN(Skills!H7,MAX(0,MAX(0,Inputs!$B$44-B2857)-((R2824-1)*(IF(Inputs!$B$39="pvp",15,MAX(0.1,Skills!D7-IF(Skills!E6=TRUE,Inputs!$B$33,0)))*(1-IF(AND(ArtifactsInput!$M$27,Inputs!$B$4="Chapter Hunt"),CHOOSE(ArtifactsInput!$N$27+1,20,24,28,32,36,40),0)/100)))))/Skills!G7,1)))/Inputs!$B$44),G2824*Q2824)*IF(Inputs!$B$39="pvp",1,1+(Inputs!$B$21+Skills!O7+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2824*(1-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t="n">
        <v>0</v>
      </c>
    </row>
    <row r="2825">
      <c r="A2825">
        <f>Skills!A8</f>
        <v/>
      </c>
      <c r="B2825">
        <f>Skills!B8</f>
        <v/>
      </c>
      <c r="C2825">
        <f>Inputs!$B$3&gt;=105</f>
        <v/>
      </c>
      <c r="D2825">
        <f>IF(Skills!C8=1,60+Inputs!$B$26+Inputs!$B$30,IF(Skills!C8=2,90+Inputs!$B$27+Inputs!$B$30,IF(Skills!C8=3,120+Inputs!$B$28+Inputs!$B$30,MAX(0,(Inputs!$B$3-100)*3)+Inputs!$B$29+Inputs!$B$30)))</f>
        <v/>
      </c>
      <c r="E2825">
        <f>INDEX(FactorTable!$B$2:$Y$301, MATCH(ROUND(MIN(300,MAX(1,D2825)),0), FactorTable!$A$2:$A$301,0), Skills!L8+1)</f>
        <v/>
      </c>
      <c r="F2825">
        <f>IF(Skills!M8=TRUE,(Skills!K8/10)*(E2825/1000),Skills!K8/10)+Skills!N8</f>
        <v/>
      </c>
      <c r="G2825">
        <f>Calc!G8</f>
        <v/>
      </c>
      <c r="H2825">
        <f>Calc!H8</f>
        <v/>
      </c>
      <c r="I2825">
        <f>IF(Skills!T8&lt;&gt;"",1+(Skills!T8/10)*($Z$3/1000)/100,1)</f>
        <v/>
      </c>
      <c r="J2825">
        <f>((Inputs!$B$6*(1+Inputs!$B$7/100))+(((Inputs!$B$13*(1+Inputs!$B$14/100))-(Inputs!$B$13*(1+Inputs!$B$14/100)))+0.25*(Inputs!$B$15-Inputs!$B$15))*(1+Inputs!$B$7/100))*(F2825/100)</f>
        <v/>
      </c>
      <c r="K2825">
        <f>J2825*(1+(((Inputs!$B$13+IF(Inputs!$B$3&gt;=35,(10*INDEX(FactorTable!$B$2:$Y$301,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8="TRIUMPH_FEATHER",IF(C2833=TRUE,F2833,0),0)/100)*(1+IF(C2844=TRUE,F2844,0)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2825)</f>
        <v/>
      </c>
      <c r="L2825">
        <f>K2825*(MIN(Inputs!$B$23+(F2839-Calc!F22),(Inputs!$B$24+IF(ArtifactsInput!$M$15,CHOOSE(ArtifactsInput!$N$15+1,25,30,35,40,45,50)/100*(Inputs!$B$12-Inputs!$B$12),0)))/100+(Inputs!$B$24+IF(ArtifactsInput!$M$15,CHOOSE(ArtifactsInput!$N$15+1,25,30,35,40,45,50)/100*(Inputs!$B$12-Inputs!$B$12),0))/100)/2</f>
        <v/>
      </c>
      <c r="M2825">
        <f>L2825*(1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5">
        <f>L2825*(1-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(1-Summary!$B$11)*S2825+Summary!$B$11*U2825</f>
        <v/>
      </c>
      <c r="P2825">
        <f>IF(B2860=0,0,O2825/B2860)</f>
        <v/>
      </c>
      <c r="Q2825">
        <f>IFERROR(1/(IF(Inputs!$B$39="pvp",15,MAX(0.1,Skills!D8-IF(Skills!E8=TRUE,Inputs!$B$33,0)))*(1-IF(AND(ArtifactsInput!$M$27,Inputs!$B$4="Chapter Hunt"),CHOOSE(ArtifactsInput!$N$27+1,20,24,28,32,36,40),0)/100)),0)</f>
        <v/>
      </c>
      <c r="R2825">
        <f>IF(AND(Inputs!$B$39&lt;&gt;"pvp",Inputs!$B$44&gt;0),IF(MAX(0,Inputs!$B$44-B2857)&lt;=0,0,(INT(MAX(0,Inputs!$B$44-B2857)/(IF(Inputs!$B$39="pvp",15,MAX(0.1,Skills!D8-IF(Skills!E8=TRUE,Inputs!$B$33,0)))*(1-IF(AND(ArtifactsInput!$M$27,Inputs!$B$4="Chapter Hunt"),CHOOSE(ArtifactsInput!$N$27+1,20,24,28,32,36,40),0)/100)))+1)),0)</f>
        <v/>
      </c>
      <c r="S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$21+Skills!O8+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2825*(1-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$22+Skills!P8+B2849+(IF(ArtifactsInput!$M$33,CHOOSE(ArtifactsInput!$N$33+1,30,36,42,48,54,60),0)))/100)*(MIN(Skills!Q8,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Skills!A9</f>
        <v/>
      </c>
      <c r="B2826">
        <f>Skills!B9</f>
        <v/>
      </c>
      <c r="C2826">
        <f>Inputs!$B$3&gt;=115</f>
        <v/>
      </c>
      <c r="D2826">
        <f>IF(Skills!C9=1,60+Inputs!$B$26+Inputs!$B$30,IF(Skills!C9=2,90+Inputs!$B$27+Inputs!$B$30,IF(Skills!C9=3,120+Inputs!$B$28+Inputs!$B$30,MAX(0,(Inputs!$B$3-100)*3)+Inputs!$B$29+Inputs!$B$30)))</f>
        <v/>
      </c>
      <c r="E2826">
        <f>INDEX(FactorTable!$B$2:$Y$301, MATCH(ROUND(MIN(300,MAX(1,D2826)),0), FactorTable!$A$2:$A$301,0), Skills!L9+1)</f>
        <v/>
      </c>
      <c r="F2826">
        <f>IF(Skills!M9=TRUE,(Skills!K9/10)*(E2826/1000),Skills!K9/10)+Skills!N9</f>
        <v/>
      </c>
      <c r="G2826">
        <f>Calc!G9</f>
        <v/>
      </c>
      <c r="H2826">
        <f>Calc!H9</f>
        <v/>
      </c>
      <c r="I2826">
        <f>IF(Skills!T9&lt;&gt;"",1+(Skills!T9/10)*($Z$3/1000)/100,1)</f>
        <v/>
      </c>
      <c r="J2826">
        <f>((Inputs!$B$6*(1+Inputs!$B$7/100))+(((Inputs!$B$13*(1+Inputs!$B$14/100))-(Inputs!$B$13*(1+Inputs!$B$14/100)))+0.25*(Inputs!$B$15-Inputs!$B$15))*(1+Inputs!$B$7/100))*(F2826/100)</f>
        <v/>
      </c>
      <c r="K2826">
        <f>J2826*(1+(((Inputs!$B$13+IF(Inputs!$B$3&gt;=35,(10*INDEX(FactorTable!$B$2:$Y$301,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9="TRIUMPH_FEATHER",IF(C2833=TRUE,F2833,0),0)/100)*(1+IF(C2844=TRUE,F2844,0)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2826)</f>
        <v/>
      </c>
      <c r="L2826">
        <f>K2826*(MIN(Inputs!$B$23+(F2839-Calc!F22),(Inputs!$B$24+IF(ArtifactsInput!$M$15,CHOOSE(ArtifactsInput!$N$15+1,25,30,35,40,45,50)/100*(Inputs!$B$12-Inputs!$B$12),0)))/100+(Inputs!$B$24+IF(ArtifactsInput!$M$15,CHOOSE(ArtifactsInput!$N$15+1,25,30,35,40,45,50)/100*(Inputs!$B$12-Inputs!$B$12),0))/100)/2</f>
        <v/>
      </c>
      <c r="M2826">
        <f>L2826*(1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6">
        <f>L2826*(1-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(1-Summary!$B$11)*S2826+Summary!$B$11*U2826</f>
        <v/>
      </c>
      <c r="P2826">
        <f>IF(B2860=0,0,O2826/B2860)</f>
        <v/>
      </c>
      <c r="Q2826">
        <f>IFERROR(1/(IF(Inputs!$B$39="pvp",15,MAX(0.1,Skills!D9-IF(Skills!E9=TRUE,Inputs!$B$33,0)))*(1-IF(AND(ArtifactsInput!$M$27,Inputs!$B$4="Chapter Hunt"),CHOOSE(ArtifactsInput!$N$27+1,20,24,28,32,36,40),0)/100)),0)</f>
        <v/>
      </c>
      <c r="R2826">
        <f>IF(AND(Inputs!$B$39&lt;&gt;"pvp",Inputs!$B$44&gt;0),IF(MAX(0,Inputs!$B$44-B2857)&lt;=0,0,(INT(MAX(0,Inputs!$B$44-B2857)/(IF(Inputs!$B$39="pvp",15,MAX(0.1,Skills!D9-IF(Skills!E9=TRUE,Inputs!$B$33,0)))*(1-IF(AND(ArtifactsInput!$M$27,Inputs!$B$4="Chapter Hunt"),CHOOSE(ArtifactsInput!$N$27+1,20,24,28,32,36,40),0)/100)))+1)),0)</f>
        <v/>
      </c>
      <c r="S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$21+Skills!O9+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2826*(1-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$22+Skills!P9+B2849+(IF(ArtifactsInput!$M$33,CHOOSE(ArtifactsInput!$N$33+1,30,36,42,48,54,60),0)))/100)*(MIN(Skills!Q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Inputs!$B$3&gt;=66</f>
        <v/>
      </c>
      <c r="D2827">
        <f>IF(Skills!C10=1,60+Inputs!$B$26+Inputs!$B$30,IF(Skills!C10=2,90+Inputs!$B$27+Inputs!$B$30,IF(Skills!C10=3,120+Inputs!$B$28+Inputs!$B$30,MAX(0,(Inputs!$B$3-100)*3)+Inputs!$B$29+Inputs!$B$30)))</f>
        <v/>
      </c>
      <c r="E2827">
        <f>INDEX(FactorTable!$B$2:$Y$301, MATCH(ROUND(MIN(300,MAX(1,D2827)),0), FactorTable!$A$2:$A$301,0), Skills!L10+1)</f>
        <v/>
      </c>
      <c r="F2827" t="n">
        <v>0</v>
      </c>
      <c r="G2827">
        <f>Calc!G10</f>
        <v/>
      </c>
      <c r="H2827">
        <f>Calc!H10</f>
        <v/>
      </c>
      <c r="I2827">
        <f>IF(Skills!T10&lt;&gt;"",1+(Skills!T10/10)*($Z$3/1000)/100,1)</f>
        <v/>
      </c>
      <c r="J2827" t="inlineStr"/>
      <c r="K2827" t="inlineStr"/>
      <c r="L2827" t="inlineStr"/>
      <c r="M2827" t="inlineStr"/>
      <c r="N2827" t="inlineStr"/>
      <c r="O2827">
        <f>(1-Summary!$B$11)*S2827+Summary!$B$11*U2827</f>
        <v/>
      </c>
      <c r="P2827">
        <f>IF(B2860=0,0,O2827/B2860)</f>
        <v/>
      </c>
      <c r="Q2827">
        <f>IFERROR(1/(IF(Inputs!$B$39="pvp",15,MAX(0.1,Skills!D10-IF(Skills!E10=TRUE,Inputs!$B$33,0)))*(1-IF(AND(ArtifactsInput!$M$27,Inputs!$B$4="Chapter Hunt"),CHOOSE(ArtifactsInput!$N$27+1,20,24,28,32,36,40),0)/100)),0)</f>
        <v/>
      </c>
      <c r="R2827">
        <f>IF(AND(Inputs!$B$39&lt;&gt;"pvp",Inputs!$B$44&gt;0),IF(MAX(0,Inputs!$B$44-B2857)&lt;=0,0,(INT(MAX(0,Inputs!$B$44-B2857)/(IF(Inputs!$B$39="pvp",15,MAX(0.1,Skills!D10-IF(Skills!E10=TRUE,Inputs!$B$33,0)))*(1-IF(AND(ArtifactsInput!$M$27,Inputs!$B$4="Chapter Hunt"),CHOOSE(ArtifactsInput!$N$27+1,20,24,28,32,36,40),0)/100)))+1)),0)</f>
        <v/>
      </c>
      <c r="S2827" t="n">
        <v>0</v>
      </c>
      <c r="U2827" t="n">
        <v>0</v>
      </c>
    </row>
    <row r="2828">
      <c r="A2828">
        <f>Skills!A11</f>
        <v/>
      </c>
      <c r="B2828">
        <f>Skills!B11</f>
        <v/>
      </c>
      <c r="C2828">
        <f>Inputs!$B$3&gt;=69</f>
        <v/>
      </c>
      <c r="D2828">
        <f>IF(Skills!C11=1,60+Inputs!$B$26+Inputs!$B$30,IF(Skills!C11=2,90+Inputs!$B$27+Inputs!$B$30,IF(Skills!C11=3,120+Inputs!$B$28+Inputs!$B$30,MAX(0,(Inputs!$B$3-100)*3)+Inputs!$B$29+Inputs!$B$30)))</f>
        <v/>
      </c>
      <c r="E2828">
        <f>INDEX(FactorTable!$B$2:$Y$301, MATCH(ROUND(MIN(300,MAX(1,D2828)),0), FactorTable!$A$2:$A$301,0), Skills!L11+1)</f>
        <v/>
      </c>
      <c r="F2828">
        <f>IF(Skills!M11=TRUE,(Skills!K11/10)*(E2828/1000),Skills!K11/10)+Skills!N11</f>
        <v/>
      </c>
      <c r="G2828">
        <f>Calc!G11</f>
        <v/>
      </c>
      <c r="H2828">
        <f>Calc!H11</f>
        <v/>
      </c>
      <c r="I2828">
        <f>IF(Skills!T11&lt;&gt;"",1+(Skills!T11/10)*($Z$3/1000)/100,1)</f>
        <v/>
      </c>
      <c r="J2828" t="inlineStr"/>
      <c r="K2828" t="inlineStr"/>
      <c r="L2828" t="inlineStr"/>
      <c r="M2828" t="inlineStr"/>
      <c r="N2828" t="inlineStr"/>
      <c r="O2828">
        <f>(1-Summary!$B$11)*S2828+Summary!$B$11*U2828</f>
        <v/>
      </c>
      <c r="P2828">
        <f>IF(B2860=0,0,O2828/B2860)</f>
        <v/>
      </c>
      <c r="Q2828">
        <f>IFERROR(1/(IF(Inputs!$B$39="pvp",15,MAX(0.1,Skills!D11-IF(Skills!E11=TRUE,Inputs!$B$33,0)))*(1-IF(AND(ArtifactsInput!$M$27,Inputs!$B$4="Chapter Hunt"),CHOOSE(ArtifactsInput!$N$27+1,20,24,28,32,36,40),0)/100)),0)</f>
        <v/>
      </c>
      <c r="R2828">
        <f>IF(AND(Inputs!$B$39&lt;&gt;"pvp",Inputs!$B$44&gt;0),IF(Inputs!$B$44&lt;=0,0,(INT(Inputs!$B$44/(IF(Inputs!$B$39="pvp",15,MAX(0.1,Skills!D11-IF(Skills!E11=TRUE,Inputs!$B$33,0)))*(1-IF(AND(ArtifactsInput!$M$27,Inputs!$B$4="Chapter Hunt"),CHOOSE(ArtifactsInput!$N$27+1,20,24,28,32,36,40),0)/100)))+1)),0)</f>
        <v/>
      </c>
      <c r="S2828" t="n">
        <v>0</v>
      </c>
      <c r="U2828" t="n">
        <v>0</v>
      </c>
    </row>
    <row r="2829">
      <c r="A2829">
        <f>Skills!A12</f>
        <v/>
      </c>
      <c r="B2829">
        <f>Skills!B12</f>
        <v/>
      </c>
      <c r="C2829">
        <f>Inputs!$B$3&gt;=72</f>
        <v/>
      </c>
      <c r="D2829">
        <f>IF(Skills!C12=1,60+Inputs!$B$26+Inputs!$B$30,IF(Skills!C12=2,90+Inputs!$B$27+Inputs!$B$30,IF(Skills!C12=3,120+Inputs!$B$28+Inputs!$B$30,MAX(0,(Inputs!$B$3-100)*3)+Inputs!$B$29+Inputs!$B$30)))</f>
        <v/>
      </c>
      <c r="E2829">
        <f>INDEX(FactorTable!$B$2:$Y$301, MATCH(ROUND(MIN(300,MAX(1,D2829)),0), FactorTable!$A$2:$A$301,0), Skills!L12+1)</f>
        <v/>
      </c>
      <c r="F2829">
        <f>IF(Skills!M12=TRUE,(Skills!K12/10)*(E2829/1000),Skills!K12/10)+Skills!N12</f>
        <v/>
      </c>
      <c r="G2829">
        <f>Calc!G12</f>
        <v/>
      </c>
      <c r="H2829">
        <f>Calc!H12</f>
        <v/>
      </c>
      <c r="I2829">
        <f>IF(Skills!T12&lt;&gt;"",1+(Skills!T12/10)*($Z$3/1000)/100,1)</f>
        <v/>
      </c>
      <c r="J2829" t="inlineStr"/>
      <c r="K2829" t="inlineStr"/>
      <c r="L2829" t="inlineStr"/>
      <c r="M2829" t="inlineStr"/>
      <c r="N2829" t="inlineStr"/>
      <c r="O2829">
        <f>(1-Summary!$B$11)*S2829+Summary!$B$11*U2829</f>
        <v/>
      </c>
      <c r="P2829">
        <f>IF(B2860=0,0,O2829/B2860)</f>
        <v/>
      </c>
      <c r="Q2829">
        <f>IFERROR(1/(IF(Inputs!$B$39="pvp",15,MAX(0.1,Skills!D12-IF(Skills!E12=TRUE,Inputs!$B$33,0)))*(1-IF(AND(ArtifactsInput!$M$27,Inputs!$B$4="Chapter Hunt"),CHOOSE(ArtifactsInput!$N$27+1,20,24,28,32,36,40),0)/100)),0)</f>
        <v/>
      </c>
      <c r="R2829">
        <f>IF(AND(Inputs!$B$39&lt;&gt;"pvp",Inputs!$B$44&gt;0),IF(MAX(0,Inputs!$B$44-B2857)&lt;=0,0,(INT(MAX(0,Inputs!$B$44-B2857)/(IF(Inputs!$B$39="pvp",15,MAX(0.1,Skills!D12-IF(Skills!E12=TRUE,Inputs!$B$33,0)))*(1-IF(AND(ArtifactsInput!$M$27,Inputs!$B$4="Chapter Hunt"),CHOOSE(ArtifactsInput!$N$27+1,20,24,28,32,36,40),0)/100)))+1)),0)</f>
        <v/>
      </c>
      <c r="S2829" t="n">
        <v>0</v>
      </c>
      <c r="U2829" t="n">
        <v>0</v>
      </c>
    </row>
    <row r="2830">
      <c r="A2830">
        <f>Skills!A13</f>
        <v/>
      </c>
      <c r="B2830">
        <f>Skills!B13</f>
        <v/>
      </c>
      <c r="C2830">
        <f>Inputs!$B$3&gt;=60</f>
        <v/>
      </c>
      <c r="D2830">
        <f>IF(Skills!C13=1,60+Inputs!$B$26+Inputs!$B$30,IF(Skills!C13=2,90+Inputs!$B$27+Inputs!$B$30,IF(Skills!C13=3,120+Inputs!$B$28+Inputs!$B$30,MAX(0,(Inputs!$B$3-100)*3)+Inputs!$B$29+Inputs!$B$30)))</f>
        <v/>
      </c>
      <c r="E2830">
        <f>INDEX(FactorTable!$B$2:$Y$301, MATCH(ROUND(MIN(300,MAX(1,D2830)),0), FactorTable!$A$2:$A$301,0), Skills!L13+1)</f>
        <v/>
      </c>
      <c r="F2830">
        <f>IF(Skills!M13=TRUE,(Skills!K13/10)*(E2830/1000),Skills!K13/10)+Skills!N13</f>
        <v/>
      </c>
      <c r="G2830">
        <f>Calc!G13</f>
        <v/>
      </c>
      <c r="H2830">
        <f>Calc!H13</f>
        <v/>
      </c>
      <c r="I2830">
        <f>IF(Skills!T13&lt;&gt;"",1+(Skills!T13/10)*($Z$3/1000)/100,1)</f>
        <v/>
      </c>
      <c r="J2830" t="inlineStr"/>
      <c r="K2830" t="inlineStr"/>
      <c r="L2830" t="inlineStr"/>
      <c r="M2830" t="inlineStr"/>
      <c r="N2830" t="inlineStr"/>
      <c r="O2830">
        <f>(1-Summary!$B$11)*S2830+Summary!$B$11*U2830</f>
        <v/>
      </c>
      <c r="P2830">
        <f>IF(B2860=0,0,O2830/B2860)</f>
        <v/>
      </c>
      <c r="Q2830">
        <f>IFERROR(1/(IF(Inputs!$B$39="pvp",15,MAX(0.1,Skills!D13-IF(Skills!E13=TRUE,Inputs!$B$33,0)))*(1-IF(AND(ArtifactsInput!$M$27,Inputs!$B$4="Chapter Hunt"),CHOOSE(ArtifactsInput!$N$27+1,20,24,28,32,36,40),0)/100)),0)</f>
        <v/>
      </c>
      <c r="R2830">
        <f>IF(AND(Inputs!$B$39&lt;&gt;"pvp",Inputs!$B$44&gt;0),IF(MAX(0,Inputs!$B$44-B2857)&lt;=0,0,(INT(MAX(0,Inputs!$B$44-B2857)/(IF(Inputs!$B$39="pvp",15,MAX(0.1,Skills!D13-IF(Skills!E13=TRUE,Inputs!$B$33,0)))*(1-IF(AND(ArtifactsInput!$M$27,Inputs!$B$4="Chapter Hunt"),CHOOSE(ArtifactsInput!$N$27+1,20,24,28,32,36,40),0)/100)))+1)),0)</f>
        <v/>
      </c>
      <c r="S2830" t="n">
        <v>0</v>
      </c>
      <c r="U2830" t="n">
        <v>0</v>
      </c>
    </row>
    <row r="2831">
      <c r="A2831">
        <f>Skills!A14</f>
        <v/>
      </c>
      <c r="B2831">
        <f>Skills!B14</f>
        <v/>
      </c>
      <c r="C2831">
        <f>Inputs!$B$3&gt;=107</f>
        <v/>
      </c>
      <c r="D2831">
        <f>IF(Skills!C14=1,60+Inputs!$B$26+Inputs!$B$30,IF(Skills!C14=2,90+Inputs!$B$27+Inputs!$B$30,IF(Skills!C14=3,120+Inputs!$B$28+Inputs!$B$30,MAX(0,(Inputs!$B$3-100)*3)+Inputs!$B$29+Inputs!$B$30)))</f>
        <v/>
      </c>
      <c r="E2831">
        <f>INDEX(FactorTable!$B$2:$Y$301, MATCH(ROUND(MIN(300,MAX(1,D2831)),0), FactorTable!$A$2:$A$301,0), Skills!L14+1)</f>
        <v/>
      </c>
      <c r="F2831">
        <f>IF(Skills!M14=TRUE,(Skills!K14/10)*(E2831/1000),Skills!K14/10)+Skills!N14</f>
        <v/>
      </c>
      <c r="G2831">
        <f>Calc!G14</f>
        <v/>
      </c>
      <c r="H2831">
        <f>Calc!H14</f>
        <v/>
      </c>
      <c r="I2831">
        <f>IF(Skills!T14&lt;&gt;"",1+(Skills!T14/10)*($Z$3/1000)/100,1)</f>
        <v/>
      </c>
      <c r="J2831" t="inlineStr"/>
      <c r="K2831" t="inlineStr"/>
      <c r="L2831" t="inlineStr"/>
      <c r="M2831" t="inlineStr"/>
      <c r="N2831" t="inlineStr"/>
      <c r="O2831">
        <f>(1-Summary!$B$11)*S2831+Summary!$B$11*U2831</f>
        <v/>
      </c>
      <c r="P2831">
        <f>IF(B2860=0,0,O2831/B2860)</f>
        <v/>
      </c>
      <c r="Q2831">
        <f>IFERROR(1/(IF(Inputs!$B$39="pvp",15,MAX(0.1,Skills!D14-IF(Skills!E14=TRUE,Inputs!$B$33,0)))*(1-IF(AND(ArtifactsInput!$M$27,Inputs!$B$4="Chapter Hunt"),CHOOSE(ArtifactsInput!$N$27+1,20,24,28,32,36,40),0)/100)),0)</f>
        <v/>
      </c>
      <c r="R2831">
        <f>IF(AND(Inputs!$B$39&lt;&gt;"pvp",Inputs!$B$44&gt;0),IF(Inputs!$B$44&lt;=0,0,(INT(Inputs!$B$44/(IF(Inputs!$B$39="pvp",15,MAX(0.1,Skills!D14-IF(Skills!E14=TRUE,Inputs!$B$33,0)))*(1-IF(AND(ArtifactsInput!$M$27,Inputs!$B$4="Chapter Hunt"),CHOOSE(ArtifactsInput!$N$27+1,20,24,28,32,36,40),0)/100)))+1)),0)</f>
        <v/>
      </c>
      <c r="S2831" t="n">
        <v>0</v>
      </c>
      <c r="U2831" t="n">
        <v>0</v>
      </c>
    </row>
    <row r="2832">
      <c r="A2832">
        <f>Skills!A15</f>
        <v/>
      </c>
      <c r="B2832">
        <f>Skills!B15</f>
        <v/>
      </c>
      <c r="C2832">
        <f>Inputs!$B$3&gt;=63</f>
        <v/>
      </c>
      <c r="D2832">
        <f>IF(Skills!C15=1,60+Inputs!$B$26+Inputs!$B$30,IF(Skills!C15=2,90+Inputs!$B$27+Inputs!$B$30,IF(Skills!C15=3,120+Inputs!$B$28+Inputs!$B$30,MAX(0,(Inputs!$B$3-100)*3)+Inputs!$B$29+Inputs!$B$30)))</f>
        <v/>
      </c>
      <c r="E2832">
        <f>INDEX(FactorTable!$B$2:$Y$301, MATCH(ROUND(MIN(300,MAX(1,D2832)),0), FactorTable!$A$2:$A$301,0), Skills!L15+1)</f>
        <v/>
      </c>
      <c r="F2832">
        <f>IF(Skills!M15=TRUE,(Skills!K15/10)*(E2832/1000),Skills!K15/10)+Skills!N15</f>
        <v/>
      </c>
      <c r="G2832">
        <f>Calc!G15</f>
        <v/>
      </c>
      <c r="H2832">
        <f>Calc!H15</f>
        <v/>
      </c>
      <c r="I2832">
        <f>IF(Skills!T15&lt;&gt;"",1+(Skills!T15/10)*($Z$3/1000)/100,1)</f>
        <v/>
      </c>
      <c r="J2832">
        <f>((Inputs!$B$6*(1+Inputs!$B$7/100))+(((Inputs!$B$13*(1+Inputs!$B$14/100))-(Inputs!$B$13*(1+Inputs!$B$14/100)))+0.25*(Inputs!$B$15-Inputs!$B$15))*(1+Inputs!$B$7/100))*(F2832/100)</f>
        <v/>
      </c>
      <c r="K2832">
        <f>J2832*(1+(((Inputs!$B$13+IF(Inputs!$B$3&gt;=35,(10*INDEX(FactorTable!$B$2:$Y$301,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15="TRIUMPH_FEATHER",IF(C2833=TRUE,F2833,0),0)/100)*(1+IF(C2844=TRUE,F2844,0)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2832)</f>
        <v/>
      </c>
      <c r="L2832">
        <f>K2832*(MIN(Inputs!$B$23+(F2839-Calc!F22),(Inputs!$B$24+IF(ArtifactsInput!$M$15,CHOOSE(ArtifactsInput!$N$15+1,25,30,35,40,45,50)/100*(Inputs!$B$12-Inputs!$B$12),0)))/100+(Inputs!$B$24+IF(ArtifactsInput!$M$15,CHOOSE(ArtifactsInput!$N$15+1,25,30,35,40,45,50)/100*(Inputs!$B$12-Inputs!$B$12),0))/100)/2</f>
        <v/>
      </c>
      <c r="M2832">
        <f>L2832*(1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32">
        <f>L2832*(1-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(1-Summary!$B$11)*S2832+Summary!$B$11*U2832</f>
        <v/>
      </c>
      <c r="P2832">
        <f>IF(B2860=0,0,O2832/B2860)</f>
        <v/>
      </c>
      <c r="Q2832">
        <f>IFERROR(1/(IF(Inputs!$B$39="pvp",15,MAX(0.1,Skills!D15-IF(Skills!E15=TRUE,Inputs!$B$33,0)))*(1-IF(AND(ArtifactsInput!$M$27,Inputs!$B$4="Chapter Hunt"),CHOOSE(ArtifactsInput!$N$27+1,20,24,28,32,36,40),0)/100)),0)</f>
        <v/>
      </c>
      <c r="R2832" t="n">
        <v>0</v>
      </c>
      <c r="S2832">
        <f>IF(C2832,(Skills!F15*N2832*((IF(Inputs!$B$3&gt;=78,25,15)/100*B2853*10)/(1+IF(Inputs!$B$3&gt;=78,25,15)/100*B2853*10))*(Skills!I15/100*B2853)/(1+Skills!G15*Skills!I15/100*B2853))*IF(Inputs!$B$39="pvp",1,1+(Inputs!$B$21+Skills!O15+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2832*(1-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32">
        <f>IF(C2832,(Skills!F15*N2832*((IF(Inputs!$B$3&gt;=78,25,15)/100*B2853*10)/(1+IF(Inputs!$B$3&gt;=78,25,15)/100*B2853*10))*(Skills!I15/100*B2853)/(1+Skills!G15*Skills!I15/100*B2853))*IF(Inputs!$B$39="pvp",1,(1+(Inputs!$B$22+Skills!P15+B2849+(IF(ArtifactsInput!$M$33,CHOOSE(ArtifactsInput!$N$33+1,30,36,42,48,54,60),0)))/100)*(MIN(Skills!Q15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Skills!A16</f>
        <v/>
      </c>
      <c r="B2833">
        <f>Skills!B16</f>
        <v/>
      </c>
      <c r="C2833">
        <f>Inputs!$B$3&gt;=100</f>
        <v/>
      </c>
      <c r="D2833">
        <f>IF(Skills!C16=1,60+Inputs!$B$26+Inputs!$B$30,IF(Skills!C16=2,90+Inputs!$B$27+Inputs!$B$30,IF(Skills!C16=3,120+Inputs!$B$28+Inputs!$B$30,MAX(0,(Inputs!$B$3-100)*3)+Inputs!$B$29+Inputs!$B$30)))</f>
        <v/>
      </c>
      <c r="E2833">
        <f>INDEX(FactorTable!$B$2:$Y$301, MATCH(ROUND(MIN(300,MAX(1,D2833)),0), FactorTable!$A$2:$A$301,0), Skills!L16+1)</f>
        <v/>
      </c>
      <c r="F2833">
        <f>IF(Skills!M16=TRUE,(Skills!K16/10)*(E2833/1000),Skills!K16/10)+Skills!N16</f>
        <v/>
      </c>
      <c r="G2833">
        <f>Calc!G16</f>
        <v/>
      </c>
      <c r="H2833">
        <f>Calc!H16</f>
        <v/>
      </c>
      <c r="I2833">
        <f>IF(Skills!T16&lt;&gt;"",1+(Skills!T16/10)*($Z$3/1000)/100,1)</f>
        <v/>
      </c>
      <c r="J2833" t="inlineStr"/>
      <c r="K2833" t="inlineStr"/>
      <c r="L2833" t="inlineStr"/>
      <c r="M2833" t="inlineStr"/>
      <c r="N2833" t="inlineStr"/>
      <c r="O2833">
        <f>(1-Summary!$B$11)*S2833+Summary!$B$11*U2833</f>
        <v/>
      </c>
      <c r="P2833">
        <f>IF(B2860=0,0,O2833/B2860)</f>
        <v/>
      </c>
      <c r="Q2833">
        <f>IFERROR(1/(IF(Inputs!$B$39="pvp",15,MAX(0.1,Skills!D16-IF(Skills!E16=TRUE,Inputs!$B$33,0)))*(1-IF(AND(ArtifactsInput!$M$27,Inputs!$B$4="Chapter Hunt"),CHOOSE(ArtifactsInput!$N$27+1,20,24,28,32,36,40),0)/100)),0)</f>
        <v/>
      </c>
      <c r="R2833" t="n">
        <v>0</v>
      </c>
      <c r="S2833" t="n">
        <v>0</v>
      </c>
      <c r="U2833" t="n">
        <v>0</v>
      </c>
    </row>
    <row r="2834">
      <c r="A2834">
        <f>Skills!A17</f>
        <v/>
      </c>
      <c r="B2834">
        <f>Skills!B17</f>
        <v/>
      </c>
      <c r="C2834">
        <f>Inputs!$B$3&gt;=49</f>
        <v/>
      </c>
      <c r="D2834">
        <f>IF(Skills!C17=1,60+Inputs!$B$26+Inputs!$B$30,IF(Skills!C17=2,90+Inputs!$B$27+Inputs!$B$30,IF(Skills!C17=3,120+Inputs!$B$28+Inputs!$B$30,MAX(0,(Inputs!$B$3-100)*3)+Inputs!$B$29+Inputs!$B$30)))</f>
        <v/>
      </c>
      <c r="E2834">
        <f>INDEX(FactorTable!$B$2:$Y$301, MATCH(ROUND(MIN(300,MAX(1,D2834)),0), FactorTable!$A$2:$A$301,0), Skills!L17+1)</f>
        <v/>
      </c>
      <c r="F2834">
        <f>IF(Skills!M17=TRUE,(Skills!K17/10)*(E2834/1000),Skills!K17/10)+Skills!N17</f>
        <v/>
      </c>
      <c r="G2834">
        <f>Calc!G17</f>
        <v/>
      </c>
      <c r="H2834">
        <f>Calc!H17</f>
        <v/>
      </c>
      <c r="I2834">
        <f>IF(Skills!T17&lt;&gt;"",1+(Skills!T17/10)*($Z$3/1000)/100,1)</f>
        <v/>
      </c>
      <c r="J2834" t="inlineStr"/>
      <c r="K2834" t="inlineStr"/>
      <c r="L2834" t="inlineStr"/>
      <c r="M2834" t="inlineStr"/>
      <c r="N2834" t="inlineStr"/>
      <c r="O2834">
        <f>(1-Summary!$B$11)*S2834+Summary!$B$11*U2834</f>
        <v/>
      </c>
      <c r="P2834">
        <f>IF(B2860=0,0,O2834/B2860)</f>
        <v/>
      </c>
      <c r="Q2834">
        <f>IFERROR(1/(IF(Inputs!$B$39="pvp",15,MAX(0.1,Skills!D17-IF(Skills!E17=TRUE,Inputs!$B$33,0)))*(1-IF(AND(ArtifactsInput!$M$27,Inputs!$B$4="Chapter Hunt"),CHOOSE(ArtifactsInput!$N$27+1,20,24,28,32,36,40),0)/100)),0)</f>
        <v/>
      </c>
      <c r="R2834" t="n">
        <v>0</v>
      </c>
      <c r="S2834" t="n">
        <v>0</v>
      </c>
      <c r="U2834" t="n">
        <v>0</v>
      </c>
    </row>
    <row r="2835">
      <c r="A2835">
        <f>Skills!A18</f>
        <v/>
      </c>
      <c r="B2835">
        <f>Skills!B18</f>
        <v/>
      </c>
      <c r="C2835">
        <f>Inputs!$B$3&gt;=75</f>
        <v/>
      </c>
      <c r="D2835">
        <f>IF(Skills!C18=1,60+Inputs!$B$26+Inputs!$B$30,IF(Skills!C18=2,90+Inputs!$B$27+Inputs!$B$30,IF(Skills!C18=3,120+Inputs!$B$28+Inputs!$B$30,MAX(0,(Inputs!$B$3-100)*3)+Inputs!$B$29+Inputs!$B$30)))</f>
        <v/>
      </c>
      <c r="E2835">
        <f>INDEX(FactorTable!$B$2:$Y$301, MATCH(ROUND(MIN(300,MAX(1,D2835)),0), FactorTable!$A$2:$A$301,0), Skills!L18+1)</f>
        <v/>
      </c>
      <c r="F2835">
        <f>IF(Skills!M18=TRUE,(Skills!K18/10)*(E2835/1000),Skills!K18/10)+Skills!N18</f>
        <v/>
      </c>
      <c r="G2835">
        <f>Calc!G18</f>
        <v/>
      </c>
      <c r="H2835">
        <f>Calc!H18</f>
        <v/>
      </c>
      <c r="I2835">
        <f>IF(Skills!T18&lt;&gt;"",1+(Skills!T18/10)*($Z$3/1000)/100,1)</f>
        <v/>
      </c>
      <c r="J2835" t="inlineStr"/>
      <c r="K2835" t="inlineStr"/>
      <c r="L2835" t="inlineStr"/>
      <c r="M2835" t="inlineStr"/>
      <c r="N2835" t="inlineStr"/>
      <c r="O2835">
        <f>(1-Summary!$B$11)*S2835+Summary!$B$11*U2835</f>
        <v/>
      </c>
      <c r="P2835">
        <f>IF(B2860=0,0,O2835/B2860)</f>
        <v/>
      </c>
      <c r="Q2835">
        <f>IFERROR(1/(IF(Inputs!$B$39="pvp",15,MAX(0.1,Skills!D18-IF(Skills!E18=TRUE,Inputs!$B$33,0)))*(1-IF(AND(ArtifactsInput!$M$27,Inputs!$B$4="Chapter Hunt"),CHOOSE(ArtifactsInput!$N$27+1,20,24,28,32,36,40),0)/100)),0)</f>
        <v/>
      </c>
      <c r="R2835" t="n">
        <v>0</v>
      </c>
      <c r="S2835" t="n">
        <v>0</v>
      </c>
      <c r="U2835" t="n">
        <v>0</v>
      </c>
    </row>
    <row r="2836">
      <c r="A2836">
        <f>Skills!A19</f>
        <v/>
      </c>
      <c r="B2836">
        <f>Skills!B19</f>
        <v/>
      </c>
      <c r="C2836">
        <f>Inputs!$B$3&gt;=110</f>
        <v/>
      </c>
      <c r="D2836">
        <f>IF(Skills!C19=1,60+Inputs!$B$26+Inputs!$B$30,IF(Skills!C19=2,90+Inputs!$B$27+Inputs!$B$30,IF(Skills!C19=3,120+Inputs!$B$28+Inputs!$B$30,MAX(0,(Inputs!$B$3-100)*3)+Inputs!$B$29+Inputs!$B$30)))</f>
        <v/>
      </c>
      <c r="E2836">
        <f>INDEX(FactorTable!$B$2:$Y$301, MATCH(ROUND(MIN(300,MAX(1,D2836)),0), FactorTable!$A$2:$A$301,0), Skills!L19+1)</f>
        <v/>
      </c>
      <c r="F2836">
        <f>(Skills!K19/10)*(E2836/1000)*64/45+Skills!N19</f>
        <v/>
      </c>
      <c r="G2836">
        <f>Calc!G19</f>
        <v/>
      </c>
      <c r="H2836">
        <f>Calc!H19</f>
        <v/>
      </c>
      <c r="I2836">
        <f>IF(Skills!T19&lt;&gt;"",1+(Skills!T19/10)*($Z$3/1000)/100,1)</f>
        <v/>
      </c>
      <c r="J2836" t="inlineStr"/>
      <c r="K2836" t="inlineStr"/>
      <c r="L2836" t="inlineStr"/>
      <c r="M2836" t="inlineStr"/>
      <c r="N2836" t="inlineStr"/>
      <c r="O2836">
        <f>(1-Summary!$B$11)*S2836+Summary!$B$11*U2836</f>
        <v/>
      </c>
      <c r="P2836">
        <f>IF(B2860=0,0,O2836/B2860)</f>
        <v/>
      </c>
      <c r="Q2836">
        <f>IFERROR(1/(IF(Inputs!$B$39="pvp",15,MAX(0.1,Skills!D19-IF(Skills!E19=TRUE,Inputs!$B$33,0)))*(1-IF(AND(ArtifactsInput!$M$27,Inputs!$B$4="Chapter Hunt"),CHOOSE(ArtifactsInput!$N$27+1,20,24,28,32,36,40),0)/100)),0)</f>
        <v/>
      </c>
      <c r="R2836">
        <f>IF(AND(Inputs!$B$39&lt;&gt;"pvp",Inputs!$B$44&gt;0),IF(Inputs!$B$44&lt;=0,0,(INT(Inputs!$B$44/(IF(Inputs!$B$39="pvp",15,MAX(0.1,Skills!D19-IF(Skills!E19=TRUE,Inputs!$B$33,0)))*(1-IF(AND(ArtifactsInput!$M$27,Inputs!$B$4="Chapter Hunt"),CHOOSE(ArtifactsInput!$N$27+1,20,24,28,32,36,40),0)/100)))+1)),0)</f>
        <v/>
      </c>
      <c r="S2836" t="n">
        <v>0</v>
      </c>
      <c r="U2836" t="n">
        <v>0</v>
      </c>
    </row>
    <row r="2837">
      <c r="A2837">
        <f>Skills!A20</f>
        <v/>
      </c>
      <c r="B2837">
        <f>Skills!B20</f>
        <v/>
      </c>
      <c r="C2837">
        <f>Inputs!$B$3&gt;=125</f>
        <v/>
      </c>
      <c r="D2837">
        <f>IF(Skills!C20=1,60+Inputs!$B$26+Inputs!$B$30,IF(Skills!C20=2,90+Inputs!$B$27+Inputs!$B$30,IF(Skills!C20=3,120+Inputs!$B$28+Inputs!$B$30,MAX(0,(Inputs!$B$3-100)*3)+Inputs!$B$29+Inputs!$B$30)))</f>
        <v/>
      </c>
      <c r="E2837">
        <f>INDEX(FactorTable!$B$2:$Y$301, MATCH(ROUND(MIN(300,MAX(1,D2837)),0), FactorTable!$A$2:$A$301,0), Skills!L20+1)</f>
        <v/>
      </c>
      <c r="F2837">
        <f>IF(Skills!M20=TRUE,(Skills!K20/10)*(E2837/1000),Skills!K20/10)+Skills!N20</f>
        <v/>
      </c>
      <c r="G2837">
        <f>Calc!G20</f>
        <v/>
      </c>
      <c r="H2837">
        <f>Calc!H20</f>
        <v/>
      </c>
      <c r="I2837">
        <f>IF(Skills!T20&lt;&gt;"",1+(Skills!T20/10)*($Z$3/1000)/100,1)</f>
        <v/>
      </c>
      <c r="J2837" t="inlineStr"/>
      <c r="K2837" t="inlineStr"/>
      <c r="L2837" t="inlineStr"/>
      <c r="M2837" t="inlineStr"/>
      <c r="N2837" t="inlineStr"/>
      <c r="O2837">
        <f>(1-Summary!$B$11)*S2837+Summary!$B$11*U2837</f>
        <v/>
      </c>
      <c r="P2837">
        <f>IF(B2860=0,0,O2837/B2860)</f>
        <v/>
      </c>
      <c r="Q2837">
        <f>IFERROR(1/(IF(Inputs!$B$39="pvp",15,MAX(0.1,Skills!D20-IF(Skills!E20=TRUE,Inputs!$B$33,0)))*(1-IF(AND(ArtifactsInput!$M$27,Inputs!$B$4="Chapter Hunt"),CHOOSE(ArtifactsInput!$N$27+1,20,24,28,32,36,40),0)/100)),0)</f>
        <v/>
      </c>
      <c r="R2837" t="n">
        <v>0</v>
      </c>
      <c r="S2837" t="n">
        <v>0</v>
      </c>
      <c r="U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Skills!L21+1)</f>
        <v/>
      </c>
      <c r="F2838">
        <f>IF(Skills!M21=TRUE,(Skills!K21/10)*(E2838/1000),Skills!K21/10)+Skills!N21</f>
        <v/>
      </c>
      <c r="G2838">
        <f>Calc!G21</f>
        <v/>
      </c>
      <c r="H2838">
        <f>Calc!H21</f>
        <v/>
      </c>
      <c r="I2838">
        <f>IF(Skills!T21&lt;&gt;"",1+(Skills!T21/10)*($Z$3/1000)/100,1)</f>
        <v/>
      </c>
      <c r="J2838" t="inlineStr"/>
      <c r="K2838" t="inlineStr"/>
      <c r="L2838" t="inlineStr"/>
      <c r="M2838" t="inlineStr"/>
      <c r="N2838" t="inlineStr"/>
      <c r="O2838">
        <f>(1-Summary!$B$11)*S2838+Summary!$B$11*U2838</f>
        <v/>
      </c>
      <c r="P2838">
        <f>IF(B2860=0,0,O2838/B2860)</f>
        <v/>
      </c>
      <c r="Q2838">
        <f>IFERROR(1/(IF(Inputs!$B$39="pvp",15,MAX(0.1,Skills!D21-IF(Skills!E21=TRUE,Inputs!$B$33,0)))*(1-IF(AND(ArtifactsInput!$M$27,Inputs!$B$4="Chapter Hunt"),CHOOSE(ArtifactsInput!$N$27+1,20,24,28,32,36,40),0)/100)),0)</f>
        <v/>
      </c>
      <c r="R2838" t="n">
        <v>0</v>
      </c>
      <c r="S2838" t="n">
        <v>0</v>
      </c>
      <c r="U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Skills!L22+1)</f>
        <v/>
      </c>
      <c r="F2839">
        <f>IF(Skills!M22=TRUE,(Skills!K22/10)*(E2839/1000),Skills!K22/10)+Skills!N22</f>
        <v/>
      </c>
      <c r="G2839">
        <f>Calc!G22</f>
        <v/>
      </c>
      <c r="H2839">
        <f>Calc!H22</f>
        <v/>
      </c>
      <c r="I2839">
        <f>IF(Skills!T22&lt;&gt;"",1+(Skills!T22/10)*($Z$3/1000)/100,1)</f>
        <v/>
      </c>
      <c r="J2839" t="inlineStr"/>
      <c r="K2839" t="inlineStr"/>
      <c r="L2839" t="inlineStr"/>
      <c r="M2839" t="inlineStr"/>
      <c r="N2839" t="inlineStr"/>
      <c r="O2839">
        <f>(1-Summary!$B$11)*S2839+Summary!$B$11*U2839</f>
        <v/>
      </c>
      <c r="P2839">
        <f>IF(B2860=0,0,O2839/B2860)</f>
        <v/>
      </c>
      <c r="Q2839">
        <f>IFERROR(1/(IF(Inputs!$B$39="pvp",15,MAX(0.1,Skills!D22-IF(Skills!E22=TRUE,Inputs!$B$33,0)))*(1-IF(AND(ArtifactsInput!$M$27,Inputs!$B$4="Chapter Hunt"),CHOOSE(ArtifactsInput!$N$27+1,20,24,28,32,36,40),0)/100)),0)</f>
        <v/>
      </c>
      <c r="R2839" t="n">
        <v>0</v>
      </c>
      <c r="S2839" t="n">
        <v>0</v>
      </c>
      <c r="U2839" t="n">
        <v>0</v>
      </c>
    </row>
    <row r="2840">
      <c r="A2840">
        <f>Skills!A23</f>
        <v/>
      </c>
      <c r="B2840">
        <f>Skills!B23</f>
        <v/>
      </c>
      <c r="C2840">
        <f>Inputs!$B$3&gt;=50</f>
        <v/>
      </c>
      <c r="D2840">
        <f>IF(Skills!C23=1,60+Inputs!$B$26+Inputs!$B$30,IF(Skills!C23=2,90+Inputs!$B$27+Inputs!$B$30,IF(Skills!C23=3,120+Inputs!$B$28+Inputs!$B$30,MAX(0,(Inputs!$B$3-100)*3)+Inputs!$B$29+Inputs!$B$30)))</f>
        <v/>
      </c>
      <c r="E2840">
        <f>INDEX(FactorTable!$B$2:$Y$301, MATCH(ROUND(MIN(300,MAX(1,D2840)),0), FactorTable!$A$2:$A$301,0), Skills!L23+1)</f>
        <v/>
      </c>
      <c r="F2840">
        <f>IF(Skills!M23=TRUE,(Skills!K23/10)*(E2840/1000),Skills!K23/10)+Skills!N23</f>
        <v/>
      </c>
      <c r="G2840">
        <f>Calc!G23</f>
        <v/>
      </c>
      <c r="H2840">
        <f>Calc!H23</f>
        <v/>
      </c>
      <c r="I2840">
        <f>IF(Skills!T23&lt;&gt;"",1+(Skills!T23/10)*($Z$3/1000)/100,1)</f>
        <v/>
      </c>
      <c r="J2840" t="inlineStr"/>
      <c r="K2840" t="inlineStr"/>
      <c r="L2840" t="inlineStr"/>
      <c r="M2840" t="inlineStr"/>
      <c r="N2840" t="inlineStr"/>
      <c r="O2840">
        <f>(1-Summary!$B$11)*S2840+Summary!$B$11*U2840</f>
        <v/>
      </c>
      <c r="P2840">
        <f>IF(B2860=0,0,O2840/B2860)</f>
        <v/>
      </c>
      <c r="Q2840">
        <f>IFERROR(1/(IF(Inputs!$B$39="pvp",15,MAX(0.1,Skills!D23-IF(Skills!E23=TRUE,Inputs!$B$33,0)))*(1-IF(AND(ArtifactsInput!$M$27,Inputs!$B$4="Chapter Hunt"),CHOOSE(ArtifactsInput!$N$27+1,20,24,28,32,36,40),0)/100)),0)</f>
        <v/>
      </c>
      <c r="R2840" t="n">
        <v>0</v>
      </c>
      <c r="S2840" t="n">
        <v>0</v>
      </c>
      <c r="U2840" t="n">
        <v>0</v>
      </c>
    </row>
    <row r="2841">
      <c r="A2841">
        <f>Skills!A24</f>
        <v/>
      </c>
      <c r="B2841">
        <f>Skills!B24</f>
        <v/>
      </c>
      <c r="C2841">
        <f>Inputs!$B$3&gt;=74</f>
        <v/>
      </c>
      <c r="D2841">
        <f>IF(Skills!C24=1,60+Inputs!$B$26+Inputs!$B$30,IF(Skills!C24=2,90+Inputs!$B$27+Inputs!$B$30,IF(Skills!C24=3,120+Inputs!$B$28+Inputs!$B$30,MAX(0,(Inputs!$B$3-100)*3)+Inputs!$B$29+Inputs!$B$30)))</f>
        <v/>
      </c>
      <c r="E2841">
        <f>INDEX(FactorTable!$B$2:$Y$301, MATCH(ROUND(MIN(300,MAX(1,D2841)),0), FactorTable!$A$2:$A$301,0), Skills!L24+1)</f>
        <v/>
      </c>
      <c r="F2841">
        <f>IF(Skills!M24=TRUE,(Skills!K24/10)*(E2841/1000),Skills!K24/10)+Skills!N24</f>
        <v/>
      </c>
      <c r="G2841">
        <f>Calc!G24</f>
        <v/>
      </c>
      <c r="H2841">
        <f>Calc!H24</f>
        <v/>
      </c>
      <c r="I2841">
        <f>IF(Skills!T24&lt;&gt;"",1+(Skills!T24/10)*($Z$3/1000)/100,1)</f>
        <v/>
      </c>
      <c r="J2841" t="inlineStr"/>
      <c r="K2841" t="inlineStr"/>
      <c r="L2841" t="inlineStr"/>
      <c r="M2841" t="inlineStr"/>
      <c r="N2841" t="inlineStr"/>
      <c r="O2841">
        <f>(1-Summary!$B$11)*S2841+Summary!$B$11*U2841</f>
        <v/>
      </c>
      <c r="P2841">
        <f>IF(B2860=0,0,O2841/B2860)</f>
        <v/>
      </c>
      <c r="Q2841">
        <f>IFERROR(1/(IF(Inputs!$B$39="pvp",15,MAX(0.1,Skills!D24-IF(Skills!E24=TRUE,Inputs!$B$33,0)))*(1-IF(AND(ArtifactsInput!$M$27,Inputs!$B$4="Chapter Hunt"),CHOOSE(ArtifactsInput!$N$27+1,20,24,28,32,36,40),0)/100)),0)</f>
        <v/>
      </c>
      <c r="R2841" t="n">
        <v>0</v>
      </c>
      <c r="S2841" t="n">
        <v>0</v>
      </c>
      <c r="U2841" t="n">
        <v>0</v>
      </c>
    </row>
    <row r="2842">
      <c r="A2842">
        <f>Skills!A25</f>
        <v/>
      </c>
      <c r="B2842">
        <f>Skills!B25</f>
        <v/>
      </c>
      <c r="C2842">
        <f>Inputs!$B$3&gt;=74</f>
        <v/>
      </c>
      <c r="D2842">
        <f>IF(Skills!C25=1,60+Inputs!$B$26+Inputs!$B$30,IF(Skills!C25=2,90+Inputs!$B$27+Inputs!$B$30,IF(Skills!C25=3,120+Inputs!$B$28+Inputs!$B$30,MAX(0,(Inputs!$B$3-100)*3)+Inputs!$B$29+Inputs!$B$30)))</f>
        <v/>
      </c>
      <c r="E2842">
        <f>INDEX(FactorTable!$B$2:$Y$301, MATCH(ROUND(MIN(300,MAX(1,D2842)),0), FactorTable!$A$2:$A$301,0), Skills!L25+1)</f>
        <v/>
      </c>
      <c r="F2842">
        <f>IF(Skills!M25=TRUE,(Skills!K25/10)*(E2842/1000),Skills!K25/10)+Skills!N25</f>
        <v/>
      </c>
      <c r="G2842">
        <f>Calc!G25</f>
        <v/>
      </c>
      <c r="H2842">
        <f>Calc!H25</f>
        <v/>
      </c>
      <c r="I2842">
        <f>IF(Skills!T25&lt;&gt;"",1+(Skills!T25/10)*($Z$3/1000)/100,1)</f>
        <v/>
      </c>
      <c r="J2842" t="inlineStr"/>
      <c r="K2842" t="inlineStr"/>
      <c r="L2842" t="inlineStr"/>
      <c r="M2842" t="inlineStr"/>
      <c r="N2842" t="inlineStr"/>
      <c r="O2842">
        <f>(1-Summary!$B$11)*S2842+Summary!$B$11*U2842</f>
        <v/>
      </c>
      <c r="P2842">
        <f>IF(B2860=0,0,O2842/B2860)</f>
        <v/>
      </c>
      <c r="Q2842">
        <f>IFERROR(1/(IF(Inputs!$B$39="pvp",15,MAX(0.1,Skills!D25-IF(Skills!E25=TRUE,Inputs!$B$33,0)))*(1-IF(AND(ArtifactsInput!$M$27,Inputs!$B$4="Chapter Hunt"),CHOOSE(ArtifactsInput!$N$27+1,20,24,28,32,36,40),0)/100)),0)</f>
        <v/>
      </c>
      <c r="R2842" t="n">
        <v>0</v>
      </c>
      <c r="S2842" t="n">
        <v>0</v>
      </c>
      <c r="U2842" t="n">
        <v>0</v>
      </c>
    </row>
    <row r="2843">
      <c r="A2843">
        <f>Skills!A26</f>
        <v/>
      </c>
      <c r="B2843">
        <f>Skills!B26</f>
        <v/>
      </c>
      <c r="C2843">
        <f>Inputs!$B$3&gt;=117</f>
        <v/>
      </c>
      <c r="D2843">
        <f>IF(Skills!C26=1,60+Inputs!$B$26+Inputs!$B$30,IF(Skills!C26=2,90+Inputs!$B$27+Inputs!$B$30,IF(Skills!C26=3,120+Inputs!$B$28+Inputs!$B$30,MAX(0,(Inputs!$B$3-100)*3)+Inputs!$B$29+Inputs!$B$30)))</f>
        <v/>
      </c>
      <c r="E2843">
        <f>INDEX(FactorTable!$B$2:$Y$301, MATCH(ROUND(MIN(300,MAX(1,D2843)),0), FactorTable!$A$2:$A$301,0), Skills!L26+1)</f>
        <v/>
      </c>
      <c r="F2843">
        <f>IF(Skills!M26=TRUE,(Skills!K26/10)*(E2843/1000),Skills!K26/10)+Skills!N26</f>
        <v/>
      </c>
      <c r="G2843">
        <f>Calc!G26</f>
        <v/>
      </c>
      <c r="H2843">
        <f>Calc!H26</f>
        <v/>
      </c>
      <c r="I2843">
        <f>IF(Skills!T26&lt;&gt;"",1+(Skills!T26/10)*($Z$3/1000)/100,1)</f>
        <v/>
      </c>
      <c r="J2843" t="inlineStr"/>
      <c r="K2843" t="inlineStr"/>
      <c r="L2843" t="inlineStr"/>
      <c r="M2843" t="inlineStr"/>
      <c r="N2843" t="inlineStr"/>
      <c r="O2843">
        <f>(1-Summary!$B$11)*S2843+Summary!$B$11*U2843</f>
        <v/>
      </c>
      <c r="P2843">
        <f>IF(B2860=0,0,O2843/B2860)</f>
        <v/>
      </c>
      <c r="Q2843">
        <f>IFERROR(1/(IF(Inputs!$B$39="pvp",15,MAX(0.1,Skills!D26-IF(Skills!E26=TRUE,Inputs!$B$33,0)))*(1-IF(AND(ArtifactsInput!$M$27,Inputs!$B$4="Chapter Hunt"),CHOOSE(ArtifactsInput!$N$27+1,20,24,28,32,36,40),0)/100)),0)</f>
        <v/>
      </c>
      <c r="R2843" t="n">
        <v>0</v>
      </c>
      <c r="S2843" t="n">
        <v>0</v>
      </c>
      <c r="U2843" t="n">
        <v>0</v>
      </c>
    </row>
    <row r="2844">
      <c r="A2844">
        <f>Skills!A27</f>
        <v/>
      </c>
      <c r="B2844">
        <f>Skills!B27</f>
        <v/>
      </c>
      <c r="C2844">
        <f>Inputs!$B$3&gt;=120</f>
        <v/>
      </c>
      <c r="D2844">
        <f>IF(Skills!C27=1,60+Inputs!$B$26+Inputs!$B$30,IF(Skills!C27=2,90+Inputs!$B$27+Inputs!$B$30,IF(Skills!C27=3,120+Inputs!$B$28+Inputs!$B$30,MAX(0,(Inputs!$B$3-100)*3)+Inputs!$B$29+Inputs!$B$30)))</f>
        <v/>
      </c>
      <c r="E2844">
        <f>INDEX(FactorTable!$B$2:$Y$301, MATCH(ROUND(MIN(300,MAX(1,D2844)),0), FactorTable!$A$2:$A$301,0), Skills!L27+1)</f>
        <v/>
      </c>
      <c r="F2844">
        <f>IF(Skills!M27=TRUE,(Skills!K27/10)*(E2844/1000),Skills!K27/10)+Skills!N27</f>
        <v/>
      </c>
      <c r="G2844">
        <f>Calc!G27</f>
        <v/>
      </c>
      <c r="H2844">
        <f>Calc!H27</f>
        <v/>
      </c>
      <c r="I2844">
        <f>IF(Skills!T27&lt;&gt;"",1+(Skills!T27/10)*($Z$3/1000)/100,1)</f>
        <v/>
      </c>
      <c r="J2844" t="inlineStr"/>
      <c r="K2844" t="inlineStr"/>
      <c r="L2844" t="inlineStr"/>
      <c r="M2844" t="inlineStr"/>
      <c r="N2844" t="inlineStr"/>
      <c r="O2844">
        <f>(1-Summary!$B$11)*S2844+Summary!$B$11*U2844</f>
        <v/>
      </c>
      <c r="P2844">
        <f>IF(B2860=0,0,O2844/B2860)</f>
        <v/>
      </c>
      <c r="Q2844">
        <f>IFERROR(1/(IF(Inputs!$B$39="pvp",15,MAX(0.1,Skills!D27-IF(Skills!E27=TRUE,Inputs!$B$33,0)))*(1-IF(AND(ArtifactsInput!$M$27,Inputs!$B$4="Chapter Hunt"),CHOOSE(ArtifactsInput!$N$27+1,20,24,28,32,36,40),0)/100)),0)</f>
        <v/>
      </c>
      <c r="R2844" t="n">
        <v>0</v>
      </c>
      <c r="S2844" t="n">
        <v>0</v>
      </c>
      <c r="U2844" t="n">
        <v>0</v>
      </c>
    </row>
    <row r="2845">
      <c r="A2845">
        <f>Skills!A28</f>
        <v/>
      </c>
      <c r="B2845">
        <f>Skills!B28</f>
        <v/>
      </c>
      <c r="C2845">
        <f>TRUE</f>
        <v/>
      </c>
      <c r="D2845">
        <f>IF(Skills!C28=1,60+Inputs!$B$26+Inputs!$B$30,IF(Skills!C28=2,90+Inputs!$B$27+Inputs!$B$30,IF(Skills!C28=3,120+Inputs!$B$28+Inputs!$B$30,MAX(0,(Inputs!$B$3-100)*3)+Inputs!$B$29+Inputs!$B$30)))</f>
        <v/>
      </c>
      <c r="E2845">
        <f>INDEX(FactorTable!$B$2:$Y$301, MATCH(ROUND(MIN(300,MAX(1,D2845)),0), FactorTable!$A$2:$A$301,0), Skills!L28+1)</f>
        <v/>
      </c>
      <c r="F2845">
        <f>IF(Skills!M28=TRUE,(Skills!K28/10)*(E2845/1000),Skills!K28/10)+Skills!N28</f>
        <v/>
      </c>
      <c r="G2845">
        <f>Calc!G28</f>
        <v/>
      </c>
      <c r="H2845">
        <f>Calc!H28</f>
        <v/>
      </c>
      <c r="I2845">
        <f>IF(Skills!T28&lt;&gt;"",1+(Skills!T28/10)*($Z$3/1000)/100,1)</f>
        <v/>
      </c>
      <c r="J2845" t="inlineStr"/>
      <c r="K2845" t="inlineStr"/>
      <c r="L2845" t="inlineStr"/>
      <c r="M2845" t="inlineStr"/>
      <c r="N2845" t="inlineStr"/>
      <c r="O2845">
        <f>(1-Summary!$B$11)*S2845+Summary!$B$11*U2845</f>
        <v/>
      </c>
      <c r="P2845">
        <f>IF(B2860=0,0,O2845/B2860)</f>
        <v/>
      </c>
      <c r="Q2845">
        <f>IFERROR(1/(IF(Inputs!$B$39="pvp",15,MAX(0.1,Skills!D28-IF(Skills!E28=TRUE,Inputs!$B$33,0)))*(1-IF(AND(ArtifactsInput!$M$27,Inputs!$B$4="Chapter Hunt"),CHOOSE(ArtifactsInput!$N$27+1,20,24,28,32,36,40),0)/100)),0)</f>
        <v/>
      </c>
      <c r="R2845">
        <f>IF(AND(Inputs!$B$39&lt;&gt;"pvp",Inputs!$B$44&gt;0),IF(Inputs!$B$44&lt;=0,0,(INT(Inputs!$B$44/(IF(Inputs!$B$39="pvp",15,MAX(0.1,Skills!D28-IF(Skills!E28=TRUE,Inputs!$B$33,0)))*(1-IF(AND(ArtifactsInput!$M$27,Inputs!$B$4="Chapter Hunt"),CHOOSE(ArtifactsInput!$N$27+1,20,24,28,32,36,40),0)/100)))+1)),0)</f>
        <v/>
      </c>
      <c r="S2845" t="n">
        <v>0</v>
      </c>
      <c r="U2845" t="n">
        <v>0</v>
      </c>
    </row>
    <row r="2847">
      <c r="A2847" t="inlineStr">
        <is>
          <t>Average Buff Multiplier</t>
        </is>
      </c>
      <c r="B2847">
        <f>(1+(IF(C2820=TRUE,F2820*IF(AND(Inputs!$B$39&lt;&gt;"pvp",Inputs!$B$44&gt;0),(((R2820-1)*(Skills!S3*(1+((Inputs!$B$35+(ArtifactsInput!$M$7-ArtifactsInput!$M$7)*CHOOSE(ArtifactsInput!$N$7+1,6,7.2,8.4,9.6,10.8,12))+IF(Inputs!$B$3&gt;=117,F2843,0))/100))+MIN((Skills!S3*(1+((Inputs!$B$35+(ArtifactsInput!$M$7-ArtifactsInput!$M$7)*CHOOSE(ArtifactsInput!$N$7+1,6,7.2,8.4,9.6,10.8,12))+IF(Inputs!$B$3&gt;=117,F2843,0))/100)),MAX(0,Inputs!$B$44-((R2820-1)*Skills!D3))))/Inputs!$B$44),IF(Inputs!$B$39="pvp",MIN((Skills!S3*(1+((Inputs!$B$35+(ArtifactsInput!$M$7-ArtifactsInput!$M$7)*CHOOSE(ArtifactsInput!$N$7+1,6,7.2,8.4,9.6,10.8,12))+IF(Inputs!$B$3&gt;=117,F2843,0))/100)),15)/15,(Skills!S3*(1+((Inputs!$B$35+(ArtifactsInput!$M$7-ArtifactsInput!$M$7)*CHOOSE(ArtifactsInput!$N$7+1,6,7.2,8.4,9.6,10.8,12))+IF(Inputs!$B$3&gt;=117,F2843,0))/100))/Skills!D3)),0)+IF(C2821=TRUE,F2821*IF(AND(Inputs!$B$39&lt;&gt;"pvp",Inputs!$B$44&gt;0),(((R2821-1)*(Skills!S4*(1+((Inputs!$B$35+(ArtifactsInput!$M$7-ArtifactsInput!$M$7)*CHOOSE(ArtifactsInput!$N$7+1,6,7.2,8.4,9.6,10.8,12))+IF(Inputs!$B$3&gt;=117,F2843,0))/100))+MIN((Skills!S4*(1+((Inputs!$B$35+(ArtifactsInput!$M$7-ArtifactsInput!$M$7)*CHOOSE(ArtifactsInput!$N$7+1,6,7.2,8.4,9.6,10.8,12))+IF(Inputs!$B$3&gt;=117,F2843,0))/100)),MAX(0,Inputs!$B$44-((R2821-1)*Skills!D4))))/Inputs!$B$44),IF(Inputs!$B$39="pvp",MIN((Skills!S4*(1+((Inputs!$B$35+(ArtifactsInput!$M$7-ArtifactsInput!$M$7)*CHOOSE(ArtifactsInput!$N$7+1,6,7.2,8.4,9.6,10.8,12))+IF(Inputs!$B$3&gt;=117,F2843,0))/100)),15)/15,(Skills!S4*(1+((Inputs!$B$35+(ArtifactsInput!$M$7-ArtifactsInput!$M$7)*CHOOSE(ArtifactsInput!$N$7+1,6,7.2,8.4,9.6,10.8,12))+IF(Inputs!$B$3&gt;=117,F2843,0))/100))/Skills!D4)),0)+IF(C2822=TRUE,F2822*IF(AND(Inputs!$B$39&lt;&gt;"pvp",Inputs!$B$44&gt;0),(((R2822-1)*(Skills!S5*(1+((Inputs!$B$35+(ArtifactsInput!$M$7-ArtifactsInput!$M$7)*CHOOSE(ArtifactsInput!$N$7+1,6,7.2,8.4,9.6,10.8,12))+IF(Inputs!$B$3&gt;=117,F2843,0))/100))+MIN((Skills!S5*(1+((Inputs!$B$35+(ArtifactsInput!$M$7-ArtifactsInput!$M$7)*CHOOSE(ArtifactsInput!$N$7+1,6,7.2,8.4,9.6,10.8,12))+IF(Inputs!$B$3&gt;=117,F2843,0))/100)),MAX(0,Inputs!$B$44-((R2822-1)*Skills!D5))))/Inputs!$B$44),IF(Inputs!$B$39="pvp",MIN((Skills!S5*(1+((Inputs!$B$35+(ArtifactsInput!$M$7-ArtifactsInput!$M$7)*CHOOSE(ArtifactsInput!$N$7+1,6,7.2,8.4,9.6,10.8,12))+IF(Inputs!$B$3&gt;=117,F2843,0))/100)),15)/15,(Skills!S5*(1+((Inputs!$B$35+(ArtifactsInput!$M$7-ArtifactsInput!$M$7)*CHOOSE(ArtifactsInput!$N$7+1,6,7.2,8.4,9.6,10.8,12))+IF(Inputs!$B$3&gt;=117,F2843,0))/100))/Skills!D5)),0)+IF(C2828=TRUE,F2828*IF(AND(Inputs!$B$39&lt;&gt;"pvp",Inputs!$B$44&gt;0),(((R2828-1)*(Skills!S11*(1+((Inputs!$B$35+(ArtifactsInput!$M$7-ArtifactsInput!$M$7)*CHOOSE(ArtifactsInput!$N$7+1,6,7.2,8.4,9.6,10.8,12))+IF(Inputs!$B$3&gt;=117,F2843,0))/100))+MIN((Skills!S11*(1+((Inputs!$B$35+(ArtifactsInput!$M$7-ArtifactsInput!$M$7)*CHOOSE(ArtifactsInput!$N$7+1,6,7.2,8.4,9.6,10.8,12))+IF(Inputs!$B$3&gt;=117,F2843,0))/100)),MAX(0,Inputs!$B$44-((R2828-1)*Skills!D11))))/Inputs!$B$44),IF(Inputs!$B$39="pvp",MIN((Skills!S11*(1+((Inputs!$B$35+(ArtifactsInput!$M$7-ArtifactsInput!$M$7)*CHOOSE(ArtifactsInput!$N$7+1,6,7.2,8.4,9.6,10.8,12))+IF(Inputs!$B$3&gt;=117,F2843,0))/100)),15)/15,(Skills!S11*(1+((Inputs!$B$35+(ArtifactsInput!$M$7-ArtifactsInput!$M$7)*CHOOSE(ArtifactsInput!$N$7+1,6,7.2,8.4,9.6,10.8,12))+IF(Inputs!$B$3&gt;=117,F2843,0)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2831=TRUE,(1+F2831*IF(AND(Inputs!$B$39&lt;&gt;"pvp",Inputs!$B$44&gt;0),(((R2831-1)*(Skills!S14*(1+((Inputs!$B$35+(ArtifactsInput!$M$7-ArtifactsInput!$M$7)*CHOOSE(ArtifactsInput!$N$7+1,6,7.2,8.4,9.6,10.8,12))+IF(Inputs!$B$3&gt;=117,F2843,0))/100))+MIN((Skills!S14*(1+((Inputs!$B$35+(ArtifactsInput!$M$7-ArtifactsInput!$M$7)*CHOOSE(ArtifactsInput!$N$7+1,6,7.2,8.4,9.6,10.8,12))+IF(Inputs!$B$3&gt;=117,F2843,0))/100)),MAX(0,Inputs!$B$44-((R2831-1)*Skills!D14))))/Inputs!$B$44),IF(Inputs!$B$39="pvp",MIN((Skills!S14*(1+((Inputs!$B$35+(ArtifactsInput!$M$7-ArtifactsInput!$M$7)*CHOOSE(ArtifactsInput!$N$7+1,6,7.2,8.4,9.6,10.8,12))+IF(Inputs!$B$3&gt;=117,F2843,0))/100)),15)/15,(Skills!S14*(1+((Inputs!$B$35+(ArtifactsInput!$M$7-ArtifactsInput!$M$7)*CHOOSE(ArtifactsInput!$N$7+1,6,7.2,8.4,9.6,10.8,12))+IF(Inputs!$B$3&gt;=117,F2843,0))/100))/Skills!D14))/100),1)*IF(C2836=TRUE,(1+F2836*IF(AND(Inputs!$B$39&lt;&gt;"pvp",Inputs!$B$44&gt;0),(((R2836-1)*(Skills!S19*(1+((Inputs!$B$35+(ArtifactsInput!$M$7-ArtifactsInput!$M$7)*CHOOSE(ArtifactsInput!$N$7+1,6,7.2,8.4,9.6,10.8,12))+IF(Inputs!$B$3&gt;=117,F2843,0))/100))+MIN((Skills!S19*(1+((Inputs!$B$35+(ArtifactsInput!$M$7-ArtifactsInput!$M$7)*CHOOSE(ArtifactsInput!$N$7+1,6,7.2,8.4,9.6,10.8,12))+IF(Inputs!$B$3&gt;=117,F2843,0))/100)),MAX(0,Inputs!$B$44-((R2836-1)*Skills!D19))))/Inputs!$B$44),IF(Inputs!$B$39="pvp",MIN((Skills!S19*(1+((Inputs!$B$35+(ArtifactsInput!$M$7-ArtifactsInput!$M$7)*CHOOSE(ArtifactsInput!$N$7+1,6,7.2,8.4,9.6,10.8,12))+IF(Inputs!$B$3&gt;=117,F2843,0))/100)),15)/15,(Skills!S19*(1+((Inputs!$B$35+(ArtifactsInput!$M$7-ArtifactsInput!$M$7)*CHOOSE(ArtifactsInput!$N$7+1,6,7.2,8.4,9.6,10.8,12))+IF(Inputs!$B$3&gt;=117,F2843,0))/100))/Skills!D19))/100),1)</f>
        <v/>
      </c>
    </row>
    <row r="2848">
      <c r="A2848" t="inlineStr">
        <is>
          <t>Monster Damage Taken Bonus % (Holy Fountain)</t>
        </is>
      </c>
      <c r="B2848">
        <f>IF(Inputs!$B$3&gt;=68,20*IF(Inputs!$B$39="pvp",MIN((15*(1+((Inputs!$B$35+(ArtifactsInput!$M$7-ArtifactsInput!$M$7)*CHOOSE(ArtifactsInput!$N$7+1,6,7.2,8.4,9.6,10.8,12))+IF(Inputs!$B$3&gt;=117,F2843,0))/100)),15)/15,(15*(1+((Inputs!$B$35+(ArtifactsInput!$M$7-ArtifactsInput!$M$7)*CHOOSE(ArtifactsInput!$N$7+1,6,7.2,8.4,9.6,10.8,12))+IF(Inputs!$B$3&gt;=117,F2843,0))/100))/Skills!D10),0)</f>
        <v/>
      </c>
    </row>
    <row r="2849">
      <c r="A2849" t="inlineStr">
        <is>
          <t>Normal Monster Damage Bonus % (Holy Symbol)</t>
        </is>
      </c>
      <c r="B2849">
        <f>IF(C2829=TRUE,F2829*IF(AND(Inputs!$B$39&lt;&gt;"pvp",Inputs!$B$44&gt;0),(((R2829-1)*(Skills!S12*(1+((Inputs!$B$35+(ArtifactsInput!$M$7-ArtifactsInput!$M$7)*CHOOSE(ArtifactsInput!$N$7+1,6,7.2,8.4,9.6,10.8,12))+IF(Inputs!$B$3&gt;=117,F2843,0))/100))+MIN((Skills!S12*(1+((Inputs!$B$35+(ArtifactsInput!$M$7-ArtifactsInput!$M$7)*CHOOSE(ArtifactsInput!$N$7+1,6,7.2,8.4,9.6,10.8,12))+IF(Inputs!$B$3&gt;=117,F2843,0))/100)),MAX(0,Inputs!$B$44-((R2829-1)*Skills!D12))))/Inputs!$B$44),IF(Inputs!$B$39="pvp",MIN((Skills!S12*(1+((Inputs!$B$35+(ArtifactsInput!$M$7-ArtifactsInput!$M$7)*CHOOSE(ArtifactsInput!$N$7+1,6,7.2,8.4,9.6,10.8,12))+IF(Inputs!$B$3&gt;=117,F2843,0))/100)),15)/15,(Skills!S12*(1+((Inputs!$B$35+(ArtifactsInput!$M$7-ArtifactsInput!$M$7)*CHOOSE(ArtifactsInput!$N$7+1,6,7.2,8.4,9.6,10.8,12))+IF(Inputs!$B$3&gt;=117,F2843,0))/100))/Skills!D12)),0)</f>
        <v/>
      </c>
    </row>
    <row r="2850">
      <c r="A2850" t="inlineStr">
        <is>
          <t>Damage % Bonus (Holy Symbol - Damage Boost)</t>
        </is>
      </c>
      <c r="B2850">
        <f>Skills!O12</f>
        <v/>
      </c>
    </row>
    <row r="2851">
      <c r="A2851" t="inlineStr">
        <is>
          <t>Crit Damage % Bonus (Blood of the Divine)</t>
        </is>
      </c>
      <c r="B2851">
        <f>4*IF(C2837=TRUE,F2837,0)</f>
        <v/>
      </c>
    </row>
    <row r="2852">
      <c r="A2852" t="inlineStr">
        <is>
          <t>Attack Speed Bonus %</t>
        </is>
      </c>
      <c r="B2852">
        <f>IF(C2834=TRUE,F2834+(F2838-Calc!F21),0)+IF(Inputs!$B$3&gt;=134,15,0)+((C2845=TRUE)*F2845*IF(AND(Inputs!$B$39&lt;&gt;"pvp",Inputs!$B$44&gt;0),(((R2845-1)*(Skills!S28*(1+((Inputs!$B$35+(ArtifactsInput!$M$7-ArtifactsInput!$M$7)*CHOOSE(ArtifactsInput!$N$7+1,6,7.2,8.4,9.6,10.8,12))+IF(Inputs!$B$3&gt;=117,F2843,0))/100))+MIN((Skills!S28*(1+((Inputs!$B$35+(ArtifactsInput!$M$7-ArtifactsInput!$M$7)*CHOOSE(ArtifactsInput!$N$7+1,6,7.2,8.4,9.6,10.8,12))+IF(Inputs!$B$3&gt;=117,F2843,0))/100)),MAX(0,Inputs!$B$44-((R2845-1)*Skills!D28))))/Inputs!$B$44),IF(Inputs!$B$39="pvp",MIN((Skills!S28*(1+((Inputs!$B$35+(ArtifactsInput!$M$7-ArtifactsInput!$M$7)*CHOOSE(ArtifactsInput!$N$7+1,6,7.2,8.4,9.6,10.8,12))+IF(Inputs!$B$3&gt;=117,F2843,0))/100)),15)/15,(Skills!S28*(1+((Inputs!$B$35+(ArtifactsInput!$M$7-ArtifactsInput!$M$7)*CHOOSE(ArtifactsInput!$N$7+1,6,7.2,8.4,9.6,10.8,12))+IF(Inputs!$B$3&gt;=117,F2843,0))/100))/Skills!D28)))</f>
        <v/>
      </c>
    </row>
    <row r="2853">
      <c r="A2853" t="inlineStr">
        <is>
          <t>Actions Per Second</t>
        </is>
      </c>
      <c r="B2853">
        <f>1+MIN(150,150*(1-(1-Inputs!$B$12/150)*(1-B2852/150)))/100</f>
        <v/>
      </c>
    </row>
    <row r="2854">
      <c r="A2854" t="inlineStr">
        <is>
          <t>Skill + Buff Cast Rate</t>
        </is>
      </c>
      <c r="B2854">
        <f>IF(AND(Inputs!$B$39&lt;&gt;"pvp",Inputs!$B$44&gt;0),SUMPRODUCT((Skills!E2:E28=TRUE)*(C2819:C2845=TRUE)*R2819:R2845)/Inputs!$B$44,SUMPRODUCT((Skills!E2:E28=TRUE)*(C2819:C2845=TRUE)*Q2819:Q2845))</f>
        <v/>
      </c>
    </row>
    <row r="2855">
      <c r="A2855" t="inlineStr">
        <is>
          <t>Big Bang Casts Per Second</t>
        </is>
      </c>
      <c r="B2855">
        <f>MAX(0,B2853-B2854)</f>
        <v/>
      </c>
    </row>
    <row r="2856">
      <c r="A2856" t="inlineStr">
        <is>
          <t>Defense % Bonus (Divine Protection)</t>
        </is>
      </c>
      <c r="B2856">
        <f>IF(C2830=TRUE,F2830*IF(AND(Inputs!$B$39&lt;&gt;"pvp",Inputs!$B$44&gt;0),(((R2830-1)*(Skills!S13*(1+((Inputs!$B$35+(ArtifactsInput!$M$7-ArtifactsInput!$M$7)*CHOOSE(ArtifactsInput!$N$7+1,6,7.2,8.4,9.6,10.8,12))+IF(Inputs!$B$3&gt;=117,F2843,0))/100))+MIN((Skills!S13*(1+((Inputs!$B$35+(ArtifactsInput!$M$7-ArtifactsInput!$M$7)*CHOOSE(ArtifactsInput!$N$7+1,6,7.2,8.4,9.6,10.8,12))+IF(Inputs!$B$3&gt;=117,F2843,0))/100)),MAX(0,Inputs!$B$44-((R2830-1)*Skills!D13))))/Inputs!$B$44),IF(Inputs!$B$39="pvp",MIN((Skills!S13*(1+((Inputs!$B$35+(ArtifactsInput!$M$7-ArtifactsInput!$M$7)*CHOOSE(ArtifactsInput!$N$7+1,6,7.2,8.4,9.6,10.8,12))+IF(Inputs!$B$3&gt;=117,F2843,0))/100)),15)/15,(Skills!S13*(1+((Inputs!$B$35+(ArtifactsInput!$M$7-ArtifactsInput!$M$7)*CHOOSE(ArtifactsInput!$N$7+1,6,7.2,8.4,9.6,10.8,12))+IF(Inputs!$B$3&gt;=117,F2843,0))/100))/Skills!D13)),0)</f>
        <v/>
      </c>
    </row>
    <row r="2857">
      <c r="A2857" t="inlineStr">
        <is>
          <t>Buff-Casting Startup Delay (s, fixed-duration only)</t>
        </is>
      </c>
      <c r="B2857">
        <f>IF(AND(Inputs!$B$39&lt;&gt;"pvp",Inputs!$B$44&gt;0),SUMPRODUCT((Skills!S2:S28&gt;0)*(Skills!E2:E28=TRUE)*(C2819:C2845=TRUE))/B2853,0)</f>
        <v/>
      </c>
    </row>
    <row r="2858">
      <c r="A2858" t="inlineStr">
        <is>
          <t>Boss-Only Total DPS (this block's swept value)</t>
        </is>
      </c>
      <c r="B2858">
        <f>SUM(S2819:S2845)</f>
        <v/>
      </c>
    </row>
    <row r="2859">
      <c r="A2859" t="inlineStr">
        <is>
          <t>Normal-Only Total DPS (this block's swept value)</t>
        </is>
      </c>
      <c r="B2859">
        <f>SUM(U2819:U2845)</f>
        <v/>
      </c>
    </row>
    <row r="2860">
      <c r="A2860" s="6" t="inlineStr">
        <is>
          <t>TOTAL DPS</t>
        </is>
      </c>
      <c r="B2860" s="6">
        <f>SUM(O2819:O2845)</f>
        <v/>
      </c>
    </row>
    <row r="2862">
      <c r="A2862" s="6" t="inlineStr">
        <is>
          <t>Stat: Ring of Cycles (Equip)</t>
        </is>
      </c>
    </row>
    <row r="2863">
      <c r="A2863" s="5" t="inlineStr">
        <is>
          <t>Key</t>
        </is>
      </c>
      <c r="B2863" s="5" t="inlineStr">
        <is>
          <t>Name</t>
        </is>
      </c>
      <c r="C2863" s="5" t="inlineStr">
        <is>
          <t>Unlocked</t>
        </is>
      </c>
      <c r="D2863" s="5" t="inlineStr">
        <is>
          <t>InputLevel</t>
        </is>
      </c>
      <c r="E2863" s="5" t="inlineStr">
        <is>
          <t>Factor</t>
        </is>
      </c>
      <c r="F2863" s="5" t="inlineStr">
        <is>
          <t>CoefficientPercent</t>
        </is>
      </c>
      <c r="G2863" s="5" t="inlineStr">
        <is>
          <t>EffectiveHits</t>
        </is>
      </c>
      <c r="H2863" s="5" t="inlineStr">
        <is>
          <t>ProcProbability</t>
        </is>
      </c>
      <c r="I2863" s="5" t="inlineStr">
        <is>
          <t>MapleHeroMultiplier</t>
        </is>
      </c>
      <c r="J2863" s="5" t="inlineStr">
        <is>
          <t>BaseDamage</t>
        </is>
      </c>
      <c r="K2863" s="5" t="inlineStr">
        <is>
          <t>BaseHitDamage</t>
        </is>
      </c>
      <c r="L2863" s="5" t="inlineStr">
        <is>
          <t>NonCritAvg</t>
        </is>
      </c>
      <c r="M2863" s="5" t="inlineStr">
        <is>
          <t>CritAvg</t>
        </is>
      </c>
      <c r="N2863" s="5" t="inlineStr">
        <is>
          <t>ExpectedDamage(perHit)</t>
        </is>
      </c>
      <c r="O2863" s="5" t="inlineStr">
        <is>
          <t>DPS</t>
        </is>
      </c>
      <c r="P2863" s="5" t="inlineStr">
        <is>
          <t>% of Total</t>
        </is>
      </c>
      <c r="R2863" t="inlineStr">
        <is>
          <t>helpers</t>
        </is>
      </c>
    </row>
    <row r="2864">
      <c r="A2864">
        <f>Skills!A2</f>
        <v/>
      </c>
      <c r="B2864">
        <f>Skills!B2</f>
        <v/>
      </c>
      <c r="C2864">
        <f>Inputs!$B$3&gt;=100</f>
        <v/>
      </c>
      <c r="D2864" t="inlineStr"/>
      <c r="E2864" t="inlineStr"/>
      <c r="F2864">
        <f>T2866+Skills!N2</f>
        <v/>
      </c>
      <c r="G2864">
        <f>Calc!G2</f>
        <v/>
      </c>
      <c r="H2864">
        <f>Calc!H2</f>
        <v/>
      </c>
      <c r="I2864">
        <f>IF(Skills!T2&lt;&gt;"",1+(Skills!T2/10)*($Z$3/1000)/100,1)</f>
        <v/>
      </c>
      <c r="J2864">
        <f>((Inputs!$B$6*(1+Inputs!$B$7/100))+(((Inputs!$B$13*(1+Inputs!$B$14/100))-(Inputs!$B$13*(1+Inputs!$B$14/100)))+0.25*(Inputs!$B$15-Inputs!$B$15))*(1+Inputs!$B$7/100))*(F2864/100)</f>
        <v/>
      </c>
      <c r="K2864">
        <f>J2864*(1+(((Inputs!$B$13+IF(Inputs!$B$3&gt;=35,(10*INDEX(FactorTable!$B$2:$Y$301,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2="TRIUMPH_FEATHER",IF(C2878=TRUE,F2878,0),0)/100)*(1+IF(C2889=TRUE,F2889,0)/100)^5*(1+(IF(Skills!A2="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2864)</f>
        <v/>
      </c>
      <c r="L2864">
        <f>K2864*(MIN(Inputs!$B$23+(F2884-Calc!F22),(Inputs!$B$24+IF(ArtifactsInput!$M$15,CHOOSE(ArtifactsInput!$N$15+1,25,30,35,40,45,50)/100*(Inputs!$B$12-Inputs!$B$12),0)))/100+(Inputs!$B$24+IF(ArtifactsInput!$M$15,CHOOSE(ArtifactsInput!$N$15+1,25,30,35,40,45,50)/100*(Inputs!$B$12-Inputs!$B$12),0))/100)/2</f>
        <v/>
      </c>
      <c r="M2864">
        <f>L2864*(1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4">
        <f>L2864*(1-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(1-Summary!$B$11)*S2864+Summary!$B$11*U2864</f>
        <v/>
      </c>
      <c r="P2864">
        <f>IF(B2905=0,0,O2864/B2905)</f>
        <v/>
      </c>
      <c r="Q2864">
        <f>IFERROR(1/(IF(Inputs!$B$39="pvp",15,MAX(0.1,Skills!D2-IF(Skills!E2=TRUE,Inputs!$B$33,0)))*(1-IF(AND(ArtifactsInput!$M$27,Inputs!$B$4="Chapter Hunt"),CHOOSE(ArtifactsInput!$N$27+1,20,24,28,32,36,40),0)/100)),0)</f>
        <v/>
      </c>
      <c r="R2864" t="n">
        <v>0</v>
      </c>
      <c r="S2864">
        <f>IF(C2864,(Skills!F2*N2864*B2900)*IF(Inputs!$B$39="pvp",1,1+(Inputs!$B$21+Skills!O2+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2864*(1-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64">
        <f>MAX(0,(Inputs!$B$3-100)*3)+Inputs!$B$29+Inputs!$B$30</f>
        <v/>
      </c>
      <c r="U2864">
        <f>IF(C2864,(Skills!F2*N2864*B2900)*IF(Inputs!$B$39="pvp",1,(1+(Inputs!$B$22+Skills!P2+B2894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Skills!A3</f>
        <v/>
      </c>
      <c r="B2865">
        <f>Skills!B3</f>
        <v/>
      </c>
      <c r="C2865">
        <f>Inputs!$B$3&gt;=15</f>
        <v/>
      </c>
      <c r="D2865">
        <f>IF(Skills!C3=1,60+Inputs!$B$26+Inputs!$B$30,IF(Skills!C3=2,90+Inputs!$B$27+Inputs!$B$30,IF(Skills!C3=3,120+Inputs!$B$28+Inputs!$B$30,MAX(0,(Inputs!$B$3-100)*3)+Inputs!$B$29+Inputs!$B$30)))</f>
        <v/>
      </c>
      <c r="E2865">
        <f>INDEX(FactorTable!$B$2:$Y$301, MATCH(ROUND(MIN(300,MAX(1,D2865)),0), FactorTable!$A$2:$A$301,0), Skills!L3+1)</f>
        <v/>
      </c>
      <c r="F2865">
        <f>IF(Skills!M3=TRUE,(Skills!K3/10)*(E2865/1000),Skills!K3/10)+Skills!N3</f>
        <v/>
      </c>
      <c r="G2865">
        <f>Calc!G3</f>
        <v/>
      </c>
      <c r="H2865">
        <f>Calc!H3</f>
        <v/>
      </c>
      <c r="I2865">
        <f>IF(Skills!T3&lt;&gt;"",1+(Skills!T3/10)*($Z$3/1000)/100,1)</f>
        <v/>
      </c>
      <c r="J2865" t="inlineStr"/>
      <c r="K2865" t="inlineStr"/>
      <c r="L2865" t="inlineStr"/>
      <c r="M2865" t="inlineStr"/>
      <c r="N2865" t="inlineStr"/>
      <c r="O2865">
        <f>(1-Summary!$B$11)*S2865+Summary!$B$11*U2865</f>
        <v/>
      </c>
      <c r="P2865">
        <f>IF(B2905=0,0,O2865/B2905)</f>
        <v/>
      </c>
      <c r="Q2865">
        <f>IFERROR(1/(IF(Inputs!$B$39="pvp",15,MAX(0.1,Skills!D3-IF(Skills!E3=TRUE,Inputs!$B$33,0)))*(1-IF(AND(ArtifactsInput!$M$27,Inputs!$B$4="Chapter Hunt"),CHOOSE(ArtifactsInput!$N$27+1,20,24,28,32,36,40),0)/100)),0)</f>
        <v/>
      </c>
      <c r="R2865">
        <f>IF(AND(Inputs!$B$39&lt;&gt;"pvp",Inputs!$B$44&gt;0),IF(Inputs!$B$44&lt;=0,0,(INT(Inputs!$B$44/(IF(Inputs!$B$39="pvp",15,MAX(0.1,Skills!D3-IF(Skills!E3=TRUE,Inputs!$B$33,0)))*(1-IF(AND(ArtifactsInput!$M$27,Inputs!$B$4="Chapter Hunt"),CHOOSE(ArtifactsInput!$N$27+1,20,24,28,32,36,40),0)/100)))+1)),0)</f>
        <v/>
      </c>
      <c r="S2865" t="n">
        <v>0</v>
      </c>
      <c r="T2865">
        <f>INDEX(FactorTable!$B$2:$Y$301, MATCH(ROUND(MIN(300,MAX(1,T2864)),0), FactorTable!$A$2:$A$301,0), 22)</f>
        <v/>
      </c>
      <c r="U2865" t="n">
        <v>0</v>
      </c>
    </row>
    <row r="2866">
      <c r="A2866">
        <f>Skills!A4</f>
        <v/>
      </c>
      <c r="B2866">
        <f>Skills!B4</f>
        <v/>
      </c>
      <c r="C2866">
        <f>Inputs!$B$3&gt;=38</f>
        <v/>
      </c>
      <c r="D2866">
        <f>IF(Skills!C4=1,60+Inputs!$B$26+Inputs!$B$30,IF(Skills!C4=2,90+Inputs!$B$27+Inputs!$B$30,IF(Skills!C4=3,120+Inputs!$B$28+Inputs!$B$30,MAX(0,(Inputs!$B$3-100)*3)+Inputs!$B$29+Inputs!$B$30)))</f>
        <v/>
      </c>
      <c r="E2866">
        <f>INDEX(FactorTable!$B$2:$Y$301, MATCH(ROUND(MIN(300,MAX(1,D2866)),0), FactorTable!$A$2:$A$301,0), Skills!L4+1)</f>
        <v/>
      </c>
      <c r="F2866">
        <f>IF(Skills!M4=TRUE,(Skills!K4/10)*(E2866/1000),Skills!K4/10)+Skills!N4</f>
        <v/>
      </c>
      <c r="G2866">
        <f>Calc!G4</f>
        <v/>
      </c>
      <c r="H2866">
        <f>Calc!H4</f>
        <v/>
      </c>
      <c r="I2866">
        <f>IF(Skills!T4&lt;&gt;"",1+(Skills!T4/10)*($Z$3/1000)/100,1)</f>
        <v/>
      </c>
      <c r="J2866" t="inlineStr"/>
      <c r="K2866" t="inlineStr"/>
      <c r="L2866" t="inlineStr"/>
      <c r="M2866" t="inlineStr"/>
      <c r="N2866" t="inlineStr"/>
      <c r="O2866">
        <f>(1-Summary!$B$11)*S2866+Summary!$B$11*U2866</f>
        <v/>
      </c>
      <c r="P2866">
        <f>IF(B2905=0,0,O2866/B2905)</f>
        <v/>
      </c>
      <c r="Q2866">
        <f>IFERROR(1/(IF(Inputs!$B$39="pvp",15,MAX(0.1,Skills!D4-IF(Skills!E4=TRUE,Inputs!$B$33,0)))*(1-IF(AND(ArtifactsInput!$M$27,Inputs!$B$4="Chapter Hunt"),CHOOSE(ArtifactsInput!$N$27+1,20,24,28,32,36,40),0)/100)),0)</f>
        <v/>
      </c>
      <c r="R2866">
        <f>IF(AND(Inputs!$B$39&lt;&gt;"pvp",Inputs!$B$44&gt;0),IF(Inputs!$B$44&lt;=0,0,(INT(Inputs!$B$44/(IF(Inputs!$B$39="pvp",15,MAX(0.1,Skills!D4-IF(Skills!E4=TRUE,Inputs!$B$33,0)))*(1-IF(AND(ArtifactsInput!$M$27,Inputs!$B$4="Chapter Hunt"),CHOOSE(ArtifactsInput!$N$27+1,20,24,28,32,36,40),0)/100)))+1)),0)</f>
        <v/>
      </c>
      <c r="S2866" t="n">
        <v>0</v>
      </c>
      <c r="T2866">
        <f>290*T2865/1000</f>
        <v/>
      </c>
      <c r="U2866" t="n">
        <v>0</v>
      </c>
    </row>
    <row r="2867">
      <c r="A2867">
        <f>Skills!A5</f>
        <v/>
      </c>
      <c r="B2867">
        <f>Skills!B5</f>
        <v/>
      </c>
      <c r="C2867">
        <f>Inputs!$B$3&gt;=40</f>
        <v/>
      </c>
      <c r="D2867">
        <f>IF(Skills!C5=1,60+Inputs!$B$26+Inputs!$B$30,IF(Skills!C5=2,90+Inputs!$B$27+Inputs!$B$30,IF(Skills!C5=3,120+Inputs!$B$28+Inputs!$B$30,MAX(0,(Inputs!$B$3-100)*3)+Inputs!$B$29+Inputs!$B$30)))</f>
        <v/>
      </c>
      <c r="E2867">
        <f>INDEX(FactorTable!$B$2:$Y$301, MATCH(ROUND(MIN(300,MAX(1,D2867)),0), FactorTable!$A$2:$A$301,0), Skills!L5+1)</f>
        <v/>
      </c>
      <c r="F2867">
        <f>IF(Skills!M5=TRUE,(Skills!K5/10)*(E2867/1000),Skills!K5/10)+Skills!N5</f>
        <v/>
      </c>
      <c r="G2867">
        <f>Calc!G5</f>
        <v/>
      </c>
      <c r="H2867">
        <f>Calc!H5</f>
        <v/>
      </c>
      <c r="I2867">
        <f>IF(Skills!T5&lt;&gt;"",1+(Skills!T5/10)*($Z$3/1000)/100,1)</f>
        <v/>
      </c>
      <c r="J2867" t="inlineStr"/>
      <c r="K2867" t="inlineStr"/>
      <c r="L2867" t="inlineStr"/>
      <c r="M2867" t="inlineStr"/>
      <c r="N2867" t="inlineStr"/>
      <c r="O2867">
        <f>(1-Summary!$B$11)*S2867+Summary!$B$11*U2867</f>
        <v/>
      </c>
      <c r="P2867">
        <f>IF(B2905=0,0,O2867/B2905)</f>
        <v/>
      </c>
      <c r="Q2867">
        <f>IFERROR(1/(IF(Inputs!$B$39="pvp",15,MAX(0.1,Skills!D5-IF(Skills!E5=TRUE,Inputs!$B$33,0)))*(1-IF(AND(ArtifactsInput!$M$27,Inputs!$B$4="Chapter Hunt"),CHOOSE(ArtifactsInput!$N$27+1,20,24,28,32,36,40),0)/100)),0)</f>
        <v/>
      </c>
      <c r="R2867">
        <f>IF(AND(Inputs!$B$39&lt;&gt;"pvp",Inputs!$B$44&gt;0),IF(Inputs!$B$44&lt;=0,0,(INT(Inputs!$B$44/(IF(Inputs!$B$39="pvp",15,MAX(0.1,Skills!D5-IF(Skills!E5=TRUE,Inputs!$B$33,0)))*(1-IF(AND(ArtifactsInput!$M$27,Inputs!$B$4="Chapter Hunt"),CHOOSE(ArtifactsInput!$N$27+1,20,24,28,32,36,40),0)/100)))+1)),0)</f>
        <v/>
      </c>
      <c r="S2867" t="n">
        <v>0</v>
      </c>
      <c r="U2867" t="n">
        <v>0</v>
      </c>
    </row>
    <row r="2868">
      <c r="A2868">
        <f>Skills!A6</f>
        <v/>
      </c>
      <c r="B2868">
        <f>Skills!B6</f>
        <v/>
      </c>
      <c r="C2868">
        <f>Inputs!$B$3&gt;=103</f>
        <v/>
      </c>
      <c r="D2868">
        <f>IF(Skills!C6=1,60+Inputs!$B$26+Inputs!$B$30,IF(Skills!C6=2,90+Inputs!$B$27+Inputs!$B$30,IF(Skills!C6=3,120+Inputs!$B$28+Inputs!$B$30,MAX(0,(Inputs!$B$3-100)*3)+Inputs!$B$29+Inputs!$B$30)))</f>
        <v/>
      </c>
      <c r="E2868">
        <f>INDEX(FactorTable!$B$2:$Y$301, MATCH(ROUND(MIN(300,MAX(1,D2868)),0), FactorTable!$A$2:$A$301,0), Skills!L6+1)</f>
        <v/>
      </c>
      <c r="F2868">
        <f>IF(Skills!M6=TRUE,(Skills!K6/10)*(E2868/1000),Skills!K6/10)+Skills!N6</f>
        <v/>
      </c>
      <c r="G2868">
        <f>Calc!G6</f>
        <v/>
      </c>
      <c r="H2868">
        <f>Calc!H6</f>
        <v/>
      </c>
      <c r="I2868">
        <f>IF(Skills!T6&lt;&gt;"",1+(Skills!T6/10)*($Z$3/1000)/100,1)</f>
        <v/>
      </c>
      <c r="J2868">
        <f>((Inputs!$B$6*(1+Inputs!$B$7/100))+(((Inputs!$B$13*(1+Inputs!$B$14/100))-(Inputs!$B$13*(1+Inputs!$B$14/100)))+0.25*(Inputs!$B$15-Inputs!$B$15))*(1+Inputs!$B$7/100))*(F2868/100)</f>
        <v/>
      </c>
      <c r="K2868">
        <f>J2868*(1+(((Inputs!$B$13+IF(Inputs!$B$3&gt;=35,(10*INDEX(FactorTable!$B$2:$Y$301,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6="TRIUMPH_FEATHER",IF(C2878=TRUE,F2878,0),0)/100)*(1+IF(C2889=TRUE,F2889,0)/100)^5*(1+(IF(Skills!A6="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2868)</f>
        <v/>
      </c>
      <c r="L2868">
        <f>K2868*(MIN(Inputs!$B$23+(F2884-Calc!F22),(Inputs!$B$24+IF(ArtifactsInput!$M$15,CHOOSE(ArtifactsInput!$N$15+1,25,30,35,40,45,50)/100*(Inputs!$B$12-Inputs!$B$12),0)))/100+(Inputs!$B$24+IF(ArtifactsInput!$M$15,CHOOSE(ArtifactsInput!$N$15+1,25,30,35,40,45,50)/100*(Inputs!$B$12-Inputs!$B$12),0))/100)/2</f>
        <v/>
      </c>
      <c r="M2868">
        <f>L2868*(1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8">
        <f>L2868*(1-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(1-Summary!$B$11)*S2868+Summary!$B$11*U2868</f>
        <v/>
      </c>
      <c r="P2868">
        <f>IF(B2905=0,0,O2868/B2905)</f>
        <v/>
      </c>
      <c r="Q2868">
        <f>IFERROR(1/(IF(Inputs!$B$39="pvp",15,MAX(0.1,Skills!D6-IF(Skills!E6=TRUE,Inputs!$B$33,0)))*(1-IF(AND(ArtifactsInput!$M$27,Inputs!$B$4="Chapter Hunt"),CHOOSE(ArtifactsInput!$N$27+1,20,24,28,32,36,40),0)/100)),0)</f>
        <v/>
      </c>
      <c r="R2868">
        <f>IF(AND(Inputs!$B$39&lt;&gt;"pvp",Inputs!$B$44&gt;0),IF(MAX(0,Inputs!$B$44-B2902)&lt;=0,0,(INT(MAX(0,Inputs!$B$44-B2902)/(IF(Inputs!$B$39="pvp",15,MAX(0.1,Skills!D6-IF(Skills!E6=TRUE,Inputs!$B$33,0)))*(1-IF(AND(ArtifactsInput!$M$27,Inputs!$B$4="Chapter Hunt"),CHOOSE(ArtifactsInput!$N$27+1,20,24,28,32,36,40),0)/100)))+1)),0)</f>
        <v/>
      </c>
      <c r="S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$21+Skills!O6+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2868*(1-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$22+Skills!P6+B2894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Skills!A7</f>
        <v/>
      </c>
      <c r="B2869">
        <f>Skills!B7</f>
        <v/>
      </c>
      <c r="C2869">
        <f>Inputs!$B$3&gt;=122</f>
        <v/>
      </c>
      <c r="D2869">
        <f>IF(Skills!C7=1,60+Inputs!$B$26+Inputs!$B$30,IF(Skills!C7=2,90+Inputs!$B$27+Inputs!$B$30,IF(Skills!C7=3,120+Inputs!$B$28+Inputs!$B$30,MAX(0,(Inputs!$B$3-100)*3)+Inputs!$B$29+Inputs!$B$30)))</f>
        <v/>
      </c>
      <c r="E2869">
        <f>INDEX(FactorTable!$B$2:$Y$301, MATCH(ROUND(MIN(300,MAX(1,D2869)),0), FactorTable!$A$2:$A$301,0), Skills!L7+1)</f>
        <v/>
      </c>
      <c r="F2869">
        <f>IF(Skills!M7=TRUE,(Skills!K7/10)*(E2869/1000),Skills!K7/10)+Skills!N7</f>
        <v/>
      </c>
      <c r="G2869">
        <f>Calc!G7</f>
        <v/>
      </c>
      <c r="H2869">
        <f>Calc!H7</f>
        <v/>
      </c>
      <c r="I2869">
        <f>IF(Skills!T7&lt;&gt;"",1+(Skills!T7/10)*($Z$3/1000)/100,1)</f>
        <v/>
      </c>
      <c r="J2869">
        <f>((Inputs!$B$6*(1+Inputs!$B$7/100))+(((Inputs!$B$13*(1+Inputs!$B$14/100))-(Inputs!$B$13*(1+Inputs!$B$14/100)))+0.25*(Inputs!$B$15-Inputs!$B$15))*(1+Inputs!$B$7/100))*(F2869/100)</f>
        <v/>
      </c>
      <c r="K2869">
        <f>J2869*(1+(((Inputs!$B$13+IF(Inputs!$B$3&gt;=35,(10*INDEX(FactorTable!$B$2:$Y$301,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7="TRIUMPH_FEATHER",IF(C2878=TRUE,F2878,0),0)/100)*(1+IF(C2889=TRUE,F2889,0)/100)^5*(1+(IF(Skills!A7="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2869)</f>
        <v/>
      </c>
      <c r="L2869">
        <f>K2869*(MIN(Inputs!$B$23+(F2884-Calc!F22),(Inputs!$B$24+IF(ArtifactsInput!$M$15,CHOOSE(ArtifactsInput!$N$15+1,25,30,35,40,45,50)/100*(Inputs!$B$12-Inputs!$B$12),0)))/100+(Inputs!$B$24+IF(ArtifactsInput!$M$15,CHOOSE(ArtifactsInput!$N$15+1,25,30,35,40,45,50)/100*(Inputs!$B$12-Inputs!$B$12),0))/100)/2</f>
        <v/>
      </c>
      <c r="M2869">
        <f>L2869*(1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9">
        <f>L2869*(1-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(1-Summary!$B$11)*S2869+Summary!$B$11*U2869</f>
        <v/>
      </c>
      <c r="P2869">
        <f>IF(B2905=0,0,O2869/B2905)</f>
        <v/>
      </c>
      <c r="Q2869">
        <f>IFERROR(1/(IF(Inputs!$B$39="pvp",15,MAX(0.1,Skills!D7-IF(Skills!E6=TRUE,Inputs!$B$33,0)))*(1-IF(AND(ArtifactsInput!$M$27,Inputs!$B$4="Chapter Hunt"),CHOOSE(ArtifactsInput!$N$27+1,20,24,28,32,36,40),0)/100)),0)</f>
        <v/>
      </c>
      <c r="R2869">
        <f>IF(AND(Inputs!$B$39&lt;&gt;"pvp",Inputs!$B$44&gt;0),IF(MAX(0,Inputs!$B$44-B2902)&lt;=0,0,(INT(MAX(0,Inputs!$B$44-B2902)/(IF(Inputs!$B$39="pvp",15,MAX(0.1,Skills!D7-IF(Skills!E6=TRUE,Inputs!$B$33,0)))*(1-IF(AND(ArtifactsInput!$M$27,Inputs!$B$4="Chapter Hunt"),CHOOSE(ArtifactsInput!$N$27+1,20,24,28,32,36,40),0)/100)))+1)),0)</f>
        <v/>
      </c>
      <c r="S2869">
        <f>IF(C2869,H2869*N2869*IF(AND(Inputs!$B$39&lt;&gt;"pvp",Inputs!$B$44&gt;0),((Skills!F7*((R2869-1)*IF(Skills!G7&gt;0,Skills!H7/Skills!G7,1)+IF(Skills!G7&gt;0,MIN(Skills!H7,MAX(0,MAX(0,Inputs!$B$44-B2902)-((R2869-1)*(IF(Inputs!$B$39="pvp",15,MAX(0.1,Skills!D7-IF(Skills!E6=TRUE,Inputs!$B$33,0)))*(1-IF(AND(ArtifactsInput!$M$27,Inputs!$B$4="Chapter Hunt"),CHOOSE(ArtifactsInput!$N$27+1,20,24,28,32,36,40),0)/100)))))/Skills!G7,1)))/Inputs!$B$44),G2869*Q2869)*IF(Inputs!$B$39="pvp",1,1+(Inputs!$B$21+Skills!O7+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2869*(1-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t="n">
        <v>0</v>
      </c>
    </row>
    <row r="2870">
      <c r="A2870">
        <f>Skills!A8</f>
        <v/>
      </c>
      <c r="B2870">
        <f>Skills!B8</f>
        <v/>
      </c>
      <c r="C2870">
        <f>Inputs!$B$3&gt;=105</f>
        <v/>
      </c>
      <c r="D2870">
        <f>IF(Skills!C8=1,60+Inputs!$B$26+Inputs!$B$30,IF(Skills!C8=2,90+Inputs!$B$27+Inputs!$B$30,IF(Skills!C8=3,120+Inputs!$B$28+Inputs!$B$30,MAX(0,(Inputs!$B$3-100)*3)+Inputs!$B$29+Inputs!$B$30)))</f>
        <v/>
      </c>
      <c r="E2870">
        <f>INDEX(FactorTable!$B$2:$Y$301, MATCH(ROUND(MIN(300,MAX(1,D2870)),0), FactorTable!$A$2:$A$301,0), Skills!L8+1)</f>
        <v/>
      </c>
      <c r="F2870">
        <f>IF(Skills!M8=TRUE,(Skills!K8/10)*(E2870/1000),Skills!K8/10)+Skills!N8</f>
        <v/>
      </c>
      <c r="G2870">
        <f>Calc!G8</f>
        <v/>
      </c>
      <c r="H2870">
        <f>Calc!H8</f>
        <v/>
      </c>
      <c r="I2870">
        <f>IF(Skills!T8&lt;&gt;"",1+(Skills!T8/10)*($Z$3/1000)/100,1)</f>
        <v/>
      </c>
      <c r="J2870">
        <f>((Inputs!$B$6*(1+Inputs!$B$7/100))+(((Inputs!$B$13*(1+Inputs!$B$14/100))-(Inputs!$B$13*(1+Inputs!$B$14/100)))+0.25*(Inputs!$B$15-Inputs!$B$15))*(1+Inputs!$B$7/100))*(F2870/100)</f>
        <v/>
      </c>
      <c r="K2870">
        <f>J2870*(1+(((Inputs!$B$13+IF(Inputs!$B$3&gt;=35,(10*INDEX(FactorTable!$B$2:$Y$301,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8="TRIUMPH_FEATHER",IF(C2878=TRUE,F2878,0),0)/100)*(1+IF(C2889=TRUE,F2889,0)/100)^5*(1+(IF(Skills!A8="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2870)</f>
        <v/>
      </c>
      <c r="L2870">
        <f>K2870*(MIN(Inputs!$B$23+(F2884-Calc!F22),(Inputs!$B$24+IF(ArtifactsInput!$M$15,CHOOSE(ArtifactsInput!$N$15+1,25,30,35,40,45,50)/100*(Inputs!$B$12-Inputs!$B$12),0)))/100+(Inputs!$B$24+IF(ArtifactsInput!$M$15,CHOOSE(ArtifactsInput!$N$15+1,25,30,35,40,45,50)/100*(Inputs!$B$12-Inputs!$B$12),0))/100)/2</f>
        <v/>
      </c>
      <c r="M2870">
        <f>L2870*(1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0">
        <f>L2870*(1-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(1-Summary!$B$11)*S2870+Summary!$B$11*U2870</f>
        <v/>
      </c>
      <c r="P2870">
        <f>IF(B2905=0,0,O2870/B2905)</f>
        <v/>
      </c>
      <c r="Q2870">
        <f>IFERROR(1/(IF(Inputs!$B$39="pvp",15,MAX(0.1,Skills!D8-IF(Skills!E8=TRUE,Inputs!$B$33,0)))*(1-IF(AND(ArtifactsInput!$M$27,Inputs!$B$4="Chapter Hunt"),CHOOSE(ArtifactsInput!$N$27+1,20,24,28,32,36,40),0)/100)),0)</f>
        <v/>
      </c>
      <c r="R2870">
        <f>IF(AND(Inputs!$B$39&lt;&gt;"pvp",Inputs!$B$44&gt;0),IF(MAX(0,Inputs!$B$44-B2902)&lt;=0,0,(INT(MAX(0,Inputs!$B$44-B2902)/(IF(Inputs!$B$39="pvp",15,MAX(0.1,Skills!D8-IF(Skills!E8=TRUE,Inputs!$B$33,0)))*(1-IF(AND(ArtifactsInput!$M$27,Inputs!$B$4="Chapter Hunt"),CHOOSE(ArtifactsInput!$N$27+1,20,24,28,32,36,40),0)/100)))+1)),0)</f>
        <v/>
      </c>
      <c r="S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$21+Skills!O8+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2870*(1-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$22+Skills!P8+B2894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Skills!A9</f>
        <v/>
      </c>
      <c r="B2871">
        <f>Skills!B9</f>
        <v/>
      </c>
      <c r="C2871">
        <f>Inputs!$B$3&gt;=115</f>
        <v/>
      </c>
      <c r="D2871">
        <f>IF(Skills!C9=1,60+Inputs!$B$26+Inputs!$B$30,IF(Skills!C9=2,90+Inputs!$B$27+Inputs!$B$30,IF(Skills!C9=3,120+Inputs!$B$28+Inputs!$B$30,MAX(0,(Inputs!$B$3-100)*3)+Inputs!$B$29+Inputs!$B$30)))</f>
        <v/>
      </c>
      <c r="E2871">
        <f>INDEX(FactorTable!$B$2:$Y$301, MATCH(ROUND(MIN(300,MAX(1,D2871)),0), FactorTable!$A$2:$A$301,0), Skills!L9+1)</f>
        <v/>
      </c>
      <c r="F2871">
        <f>IF(Skills!M9=TRUE,(Skills!K9/10)*(E2871/1000),Skills!K9/10)+Skills!N9</f>
        <v/>
      </c>
      <c r="G2871">
        <f>Calc!G9</f>
        <v/>
      </c>
      <c r="H2871">
        <f>Calc!H9</f>
        <v/>
      </c>
      <c r="I2871">
        <f>IF(Skills!T9&lt;&gt;"",1+(Skills!T9/10)*($Z$3/1000)/100,1)</f>
        <v/>
      </c>
      <c r="J2871">
        <f>((Inputs!$B$6*(1+Inputs!$B$7/100))+(((Inputs!$B$13*(1+Inputs!$B$14/100))-(Inputs!$B$13*(1+Inputs!$B$14/100)))+0.25*(Inputs!$B$15-Inputs!$B$15))*(1+Inputs!$B$7/100))*(F2871/100)</f>
        <v/>
      </c>
      <c r="K2871">
        <f>J2871*(1+(((Inputs!$B$13+IF(Inputs!$B$3&gt;=35,(10*INDEX(FactorTable!$B$2:$Y$301,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9="TRIUMPH_FEATHER",IF(C2878=TRUE,F2878,0),0)/100)*(1+IF(C2889=TRUE,F2889,0)/100)^5*(1+(IF(Skills!A9="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2871)</f>
        <v/>
      </c>
      <c r="L2871">
        <f>K2871*(MIN(Inputs!$B$23+(F2884-Calc!F22),(Inputs!$B$24+IF(ArtifactsInput!$M$15,CHOOSE(ArtifactsInput!$N$15+1,25,30,35,40,45,50)/100*(Inputs!$B$12-Inputs!$B$12),0)))/100+(Inputs!$B$24+IF(ArtifactsInput!$M$15,CHOOSE(ArtifactsInput!$N$15+1,25,30,35,40,45,50)/100*(Inputs!$B$12-Inputs!$B$12),0))/100)/2</f>
        <v/>
      </c>
      <c r="M2871">
        <f>L2871*(1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1">
        <f>L2871*(1-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(1-Summary!$B$11)*S2871+Summary!$B$11*U2871</f>
        <v/>
      </c>
      <c r="P2871">
        <f>IF(B2905=0,0,O2871/B2905)</f>
        <v/>
      </c>
      <c r="Q2871">
        <f>IFERROR(1/(IF(Inputs!$B$39="pvp",15,MAX(0.1,Skills!D9-IF(Skills!E9=TRUE,Inputs!$B$33,0)))*(1-IF(AND(ArtifactsInput!$M$27,Inputs!$B$4="Chapter Hunt"),CHOOSE(ArtifactsInput!$N$27+1,20,24,28,32,36,40),0)/100)),0)</f>
        <v/>
      </c>
      <c r="R2871">
        <f>IF(AND(Inputs!$B$39&lt;&gt;"pvp",Inputs!$B$44&gt;0),IF(MAX(0,Inputs!$B$44-B2902)&lt;=0,0,(INT(MAX(0,Inputs!$B$44-B2902)/(IF(Inputs!$B$39="pvp",15,MAX(0.1,Skills!D9-IF(Skills!E9=TRUE,Inputs!$B$33,0)))*(1-IF(AND(ArtifactsInput!$M$27,Inputs!$B$4="Chapter Hunt"),CHOOSE(ArtifactsInput!$N$27+1,20,24,28,32,36,40),0)/100)))+1)),0)</f>
        <v/>
      </c>
      <c r="S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$21+Skills!O9+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2871*(1-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$22+Skills!P9+B2894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Skills!A10</f>
        <v/>
      </c>
      <c r="B2872">
        <f>Skills!B10</f>
        <v/>
      </c>
      <c r="C2872">
        <f>Inputs!$B$3&gt;=66</f>
        <v/>
      </c>
      <c r="D2872">
        <f>IF(Skills!C10=1,60+Inputs!$B$26+Inputs!$B$30,IF(Skills!C10=2,90+Inputs!$B$27+Inputs!$B$30,IF(Skills!C10=3,120+Inputs!$B$28+Inputs!$B$30,MAX(0,(Inputs!$B$3-100)*3)+Inputs!$B$29+Inputs!$B$30)))</f>
        <v/>
      </c>
      <c r="E2872">
        <f>INDEX(FactorTable!$B$2:$Y$301, MATCH(ROUND(MIN(300,MAX(1,D2872)),0), FactorTable!$A$2:$A$301,0), Skills!L10+1)</f>
        <v/>
      </c>
      <c r="F2872" t="n">
        <v>0</v>
      </c>
      <c r="G2872">
        <f>Calc!G10</f>
        <v/>
      </c>
      <c r="H2872">
        <f>Calc!H10</f>
        <v/>
      </c>
      <c r="I2872">
        <f>IF(Skills!T10&lt;&gt;"",1+(Skills!T10/10)*($Z$3/1000)/100,1)</f>
        <v/>
      </c>
      <c r="J2872" t="inlineStr"/>
      <c r="K2872" t="inlineStr"/>
      <c r="L2872" t="inlineStr"/>
      <c r="M2872" t="inlineStr"/>
      <c r="N2872" t="inlineStr"/>
      <c r="O2872">
        <f>(1-Summary!$B$11)*S2872+Summary!$B$11*U2872</f>
        <v/>
      </c>
      <c r="P2872">
        <f>IF(B2905=0,0,O2872/B2905)</f>
        <v/>
      </c>
      <c r="Q2872">
        <f>IFERROR(1/(IF(Inputs!$B$39="pvp",15,MAX(0.1,Skills!D10-IF(Skills!E10=TRUE,Inputs!$B$33,0)))*(1-IF(AND(ArtifactsInput!$M$27,Inputs!$B$4="Chapter Hunt"),CHOOSE(ArtifactsInput!$N$27+1,20,24,28,32,36,40),0)/100)),0)</f>
        <v/>
      </c>
      <c r="R2872">
        <f>IF(AND(Inputs!$B$39&lt;&gt;"pvp",Inputs!$B$44&gt;0),IF(MAX(0,Inputs!$B$44-B2902)&lt;=0,0,(INT(MAX(0,Inputs!$B$44-B2902)/(IF(Inputs!$B$39="pvp",15,MAX(0.1,Skills!D10-IF(Skills!E10=TRUE,Inputs!$B$33,0)))*(1-IF(AND(ArtifactsInput!$M$27,Inputs!$B$4="Chapter Hunt"),CHOOSE(ArtifactsInput!$N$27+1,20,24,28,32,36,40),0)/100)))+1)),0)</f>
        <v/>
      </c>
      <c r="S2872" t="n">
        <v>0</v>
      </c>
      <c r="U2872" t="n">
        <v>0</v>
      </c>
    </row>
    <row r="2873">
      <c r="A2873">
        <f>Skills!A11</f>
        <v/>
      </c>
      <c r="B2873">
        <f>Skills!B11</f>
        <v/>
      </c>
      <c r="C2873">
        <f>Inputs!$B$3&gt;=69</f>
        <v/>
      </c>
      <c r="D2873">
        <f>IF(Skills!C11=1,60+Inputs!$B$26+Inputs!$B$30,IF(Skills!C11=2,90+Inputs!$B$27+Inputs!$B$30,IF(Skills!C11=3,120+Inputs!$B$28+Inputs!$B$30,MAX(0,(Inputs!$B$3-100)*3)+Inputs!$B$29+Inputs!$B$30)))</f>
        <v/>
      </c>
      <c r="E2873">
        <f>INDEX(FactorTable!$B$2:$Y$301, MATCH(ROUND(MIN(300,MAX(1,D2873)),0), FactorTable!$A$2:$A$301,0), Skills!L11+1)</f>
        <v/>
      </c>
      <c r="F2873">
        <f>IF(Skills!M11=TRUE,(Skills!K11/10)*(E2873/1000),Skills!K11/10)+Skills!N11</f>
        <v/>
      </c>
      <c r="G2873">
        <f>Calc!G11</f>
        <v/>
      </c>
      <c r="H2873">
        <f>Calc!H11</f>
        <v/>
      </c>
      <c r="I2873">
        <f>IF(Skills!T11&lt;&gt;"",1+(Skills!T11/10)*($Z$3/1000)/100,1)</f>
        <v/>
      </c>
      <c r="J2873" t="inlineStr"/>
      <c r="K2873" t="inlineStr"/>
      <c r="L2873" t="inlineStr"/>
      <c r="M2873" t="inlineStr"/>
      <c r="N2873" t="inlineStr"/>
      <c r="O2873">
        <f>(1-Summary!$B$11)*S2873+Summary!$B$11*U2873</f>
        <v/>
      </c>
      <c r="P2873">
        <f>IF(B2905=0,0,O2873/B2905)</f>
        <v/>
      </c>
      <c r="Q2873">
        <f>IFERROR(1/(IF(Inputs!$B$39="pvp",15,MAX(0.1,Skills!D11-IF(Skills!E11=TRUE,Inputs!$B$33,0)))*(1-IF(AND(ArtifactsInput!$M$27,Inputs!$B$4="Chapter Hunt"),CHOOSE(ArtifactsInput!$N$27+1,20,24,28,32,36,40),0)/100)),0)</f>
        <v/>
      </c>
      <c r="R2873">
        <f>IF(AND(Inputs!$B$39&lt;&gt;"pvp",Inputs!$B$44&gt;0),IF(Inputs!$B$44&lt;=0,0,(INT(Inputs!$B$44/(IF(Inputs!$B$39="pvp",15,MAX(0.1,Skills!D11-IF(Skills!E11=TRUE,Inputs!$B$33,0)))*(1-IF(AND(ArtifactsInput!$M$27,Inputs!$B$4="Chapter Hunt"),CHOOSE(ArtifactsInput!$N$27+1,20,24,28,32,36,40),0)/100)))+1)),0)</f>
        <v/>
      </c>
      <c r="S2873" t="n">
        <v>0</v>
      </c>
      <c r="U2873" t="n">
        <v>0</v>
      </c>
    </row>
    <row r="2874">
      <c r="A2874">
        <f>Skills!A12</f>
        <v/>
      </c>
      <c r="B2874">
        <f>Skills!B12</f>
        <v/>
      </c>
      <c r="C2874">
        <f>Inputs!$B$3&gt;=72</f>
        <v/>
      </c>
      <c r="D2874">
        <f>IF(Skills!C12=1,60+Inputs!$B$26+Inputs!$B$30,IF(Skills!C12=2,90+Inputs!$B$27+Inputs!$B$30,IF(Skills!C12=3,120+Inputs!$B$28+Inputs!$B$30,MAX(0,(Inputs!$B$3-100)*3)+Inputs!$B$29+Inputs!$B$30)))</f>
        <v/>
      </c>
      <c r="E2874">
        <f>INDEX(FactorTable!$B$2:$Y$301, MATCH(ROUND(MIN(300,MAX(1,D2874)),0), FactorTable!$A$2:$A$301,0), Skills!L12+1)</f>
        <v/>
      </c>
      <c r="F2874">
        <f>IF(Skills!M12=TRUE,(Skills!K12/10)*(E2874/1000),Skills!K12/10)+Skills!N12</f>
        <v/>
      </c>
      <c r="G2874">
        <f>Calc!G12</f>
        <v/>
      </c>
      <c r="H2874">
        <f>Calc!H12</f>
        <v/>
      </c>
      <c r="I2874">
        <f>IF(Skills!T12&lt;&gt;"",1+(Skills!T12/10)*($Z$3/1000)/100,1)</f>
        <v/>
      </c>
      <c r="J2874" t="inlineStr"/>
      <c r="K2874" t="inlineStr"/>
      <c r="L2874" t="inlineStr"/>
      <c r="M2874" t="inlineStr"/>
      <c r="N2874" t="inlineStr"/>
      <c r="O2874">
        <f>(1-Summary!$B$11)*S2874+Summary!$B$11*U2874</f>
        <v/>
      </c>
      <c r="P2874">
        <f>IF(B2905=0,0,O2874/B2905)</f>
        <v/>
      </c>
      <c r="Q2874">
        <f>IFERROR(1/(IF(Inputs!$B$39="pvp",15,MAX(0.1,Skills!D12-IF(Skills!E12=TRUE,Inputs!$B$33,0)))*(1-IF(AND(ArtifactsInput!$M$27,Inputs!$B$4="Chapter Hunt"),CHOOSE(ArtifactsInput!$N$27+1,20,24,28,32,36,40),0)/100)),0)</f>
        <v/>
      </c>
      <c r="R2874">
        <f>IF(AND(Inputs!$B$39&lt;&gt;"pvp",Inputs!$B$44&gt;0),IF(MAX(0,Inputs!$B$44-B2902)&lt;=0,0,(INT(MAX(0,Inputs!$B$44-B2902)/(IF(Inputs!$B$39="pvp",15,MAX(0.1,Skills!D12-IF(Skills!E12=TRUE,Inputs!$B$33,0)))*(1-IF(AND(ArtifactsInput!$M$27,Inputs!$B$4="Chapter Hunt"),CHOOSE(ArtifactsInput!$N$27+1,20,24,28,32,36,40),0)/100)))+1)),0)</f>
        <v/>
      </c>
      <c r="S2874" t="n">
        <v>0</v>
      </c>
      <c r="U2874" t="n">
        <v>0</v>
      </c>
    </row>
    <row r="2875">
      <c r="A2875">
        <f>Skills!A13</f>
        <v/>
      </c>
      <c r="B2875">
        <f>Skills!B13</f>
        <v/>
      </c>
      <c r="C2875">
        <f>Inputs!$B$3&gt;=60</f>
        <v/>
      </c>
      <c r="D2875">
        <f>IF(Skills!C13=1,60+Inputs!$B$26+Inputs!$B$30,IF(Skills!C13=2,90+Inputs!$B$27+Inputs!$B$30,IF(Skills!C13=3,120+Inputs!$B$28+Inputs!$B$30,MAX(0,(Inputs!$B$3-100)*3)+Inputs!$B$29+Inputs!$B$30)))</f>
        <v/>
      </c>
      <c r="E2875">
        <f>INDEX(FactorTable!$B$2:$Y$301, MATCH(ROUND(MIN(300,MAX(1,D2875)),0), FactorTable!$A$2:$A$301,0), Skills!L13+1)</f>
        <v/>
      </c>
      <c r="F2875">
        <f>IF(Skills!M13=TRUE,(Skills!K13/10)*(E2875/1000),Skills!K13/10)+Skills!N13</f>
        <v/>
      </c>
      <c r="G2875">
        <f>Calc!G13</f>
        <v/>
      </c>
      <c r="H2875">
        <f>Calc!H13</f>
        <v/>
      </c>
      <c r="I2875">
        <f>IF(Skills!T13&lt;&gt;"",1+(Skills!T13/10)*($Z$3/1000)/100,1)</f>
        <v/>
      </c>
      <c r="J2875" t="inlineStr"/>
      <c r="K2875" t="inlineStr"/>
      <c r="L2875" t="inlineStr"/>
      <c r="M2875" t="inlineStr"/>
      <c r="N2875" t="inlineStr"/>
      <c r="O2875">
        <f>(1-Summary!$B$11)*S2875+Summary!$B$11*U2875</f>
        <v/>
      </c>
      <c r="P2875">
        <f>IF(B2905=0,0,O2875/B2905)</f>
        <v/>
      </c>
      <c r="Q2875">
        <f>IFERROR(1/(IF(Inputs!$B$39="pvp",15,MAX(0.1,Skills!D13-IF(Skills!E13=TRUE,Inputs!$B$33,0)))*(1-IF(AND(ArtifactsInput!$M$27,Inputs!$B$4="Chapter Hunt"),CHOOSE(ArtifactsInput!$N$27+1,20,24,28,32,36,40),0)/100)),0)</f>
        <v/>
      </c>
      <c r="R2875">
        <f>IF(AND(Inputs!$B$39&lt;&gt;"pvp",Inputs!$B$44&gt;0),IF(MAX(0,Inputs!$B$44-B2902)&lt;=0,0,(INT(MAX(0,Inputs!$B$44-B2902)/(IF(Inputs!$B$39="pvp",15,MAX(0.1,Skills!D13-IF(Skills!E13=TRUE,Inputs!$B$33,0)))*(1-IF(AND(ArtifactsInput!$M$27,Inputs!$B$4="Chapter Hunt"),CHOOSE(ArtifactsInput!$N$27+1,20,24,28,32,36,40),0)/100)))+1)),0)</f>
        <v/>
      </c>
      <c r="S2875" t="n">
        <v>0</v>
      </c>
      <c r="U2875" t="n">
        <v>0</v>
      </c>
    </row>
    <row r="2876">
      <c r="A2876">
        <f>Skills!A14</f>
        <v/>
      </c>
      <c r="B2876">
        <f>Skills!B14</f>
        <v/>
      </c>
      <c r="C2876">
        <f>Inputs!$B$3&gt;=107</f>
        <v/>
      </c>
      <c r="D2876">
        <f>IF(Skills!C14=1,60+Inputs!$B$26+Inputs!$B$30,IF(Skills!C14=2,90+Inputs!$B$27+Inputs!$B$30,IF(Skills!C14=3,120+Inputs!$B$28+Inputs!$B$30,MAX(0,(Inputs!$B$3-100)*3)+Inputs!$B$29+Inputs!$B$30)))</f>
        <v/>
      </c>
      <c r="E2876">
        <f>INDEX(FactorTable!$B$2:$Y$301, MATCH(ROUND(MIN(300,MAX(1,D2876)),0), FactorTable!$A$2:$A$301,0), Skills!L14+1)</f>
        <v/>
      </c>
      <c r="F2876">
        <f>IF(Skills!M14=TRUE,(Skills!K14/10)*(E2876/1000),Skills!K14/10)+Skills!N14</f>
        <v/>
      </c>
      <c r="G2876">
        <f>Calc!G14</f>
        <v/>
      </c>
      <c r="H2876">
        <f>Calc!H14</f>
        <v/>
      </c>
      <c r="I2876">
        <f>IF(Skills!T14&lt;&gt;"",1+(Skills!T14/10)*($Z$3/1000)/100,1)</f>
        <v/>
      </c>
      <c r="J2876" t="inlineStr"/>
      <c r="K2876" t="inlineStr"/>
      <c r="L2876" t="inlineStr"/>
      <c r="M2876" t="inlineStr"/>
      <c r="N2876" t="inlineStr"/>
      <c r="O2876">
        <f>(1-Summary!$B$11)*S2876+Summary!$B$11*U2876</f>
        <v/>
      </c>
      <c r="P2876">
        <f>IF(B2905=0,0,O2876/B2905)</f>
        <v/>
      </c>
      <c r="Q2876">
        <f>IFERROR(1/(IF(Inputs!$B$39="pvp",15,MAX(0.1,Skills!D14-IF(Skills!E14=TRUE,Inputs!$B$33,0)))*(1-IF(AND(ArtifactsInput!$M$27,Inputs!$B$4="Chapter Hunt"),CHOOSE(ArtifactsInput!$N$27+1,20,24,28,32,36,40),0)/100)),0)</f>
        <v/>
      </c>
      <c r="R2876">
        <f>IF(AND(Inputs!$B$39&lt;&gt;"pvp",Inputs!$B$44&gt;0),IF(Inputs!$B$44&lt;=0,0,(INT(Inputs!$B$44/(IF(Inputs!$B$39="pvp",15,MAX(0.1,Skills!D14-IF(Skills!E14=TRUE,Inputs!$B$33,0)))*(1-IF(AND(ArtifactsInput!$M$27,Inputs!$B$4="Chapter Hunt"),CHOOSE(ArtifactsInput!$N$27+1,20,24,28,32,36,40),0)/100)))+1)),0)</f>
        <v/>
      </c>
      <c r="S2876" t="n">
        <v>0</v>
      </c>
      <c r="U2876" t="n">
        <v>0</v>
      </c>
    </row>
    <row r="2877">
      <c r="A2877">
        <f>Skills!A15</f>
        <v/>
      </c>
      <c r="B2877">
        <f>Skills!B15</f>
        <v/>
      </c>
      <c r="C2877">
        <f>Inputs!$B$3&gt;=63</f>
        <v/>
      </c>
      <c r="D2877">
        <f>IF(Skills!C15=1,60+Inputs!$B$26+Inputs!$B$30,IF(Skills!C15=2,90+Inputs!$B$27+Inputs!$B$30,IF(Skills!C15=3,120+Inputs!$B$28+Inputs!$B$30,MAX(0,(Inputs!$B$3-100)*3)+Inputs!$B$29+Inputs!$B$30)))</f>
        <v/>
      </c>
      <c r="E2877">
        <f>INDEX(FactorTable!$B$2:$Y$301, MATCH(ROUND(MIN(300,MAX(1,D2877)),0), FactorTable!$A$2:$A$301,0), Skills!L15+1)</f>
        <v/>
      </c>
      <c r="F2877">
        <f>IF(Skills!M15=TRUE,(Skills!K15/10)*(E2877/1000),Skills!K15/10)+Skills!N15</f>
        <v/>
      </c>
      <c r="G2877">
        <f>Calc!G15</f>
        <v/>
      </c>
      <c r="H2877">
        <f>Calc!H15</f>
        <v/>
      </c>
      <c r="I2877">
        <f>IF(Skills!T15&lt;&gt;"",1+(Skills!T15/10)*($Z$3/1000)/100,1)</f>
        <v/>
      </c>
      <c r="J2877">
        <f>((Inputs!$B$6*(1+Inputs!$B$7/100))+(((Inputs!$B$13*(1+Inputs!$B$14/100))-(Inputs!$B$13*(1+Inputs!$B$14/100)))+0.25*(Inputs!$B$15-Inputs!$B$15))*(1+Inputs!$B$7/100))*(F2877/100)</f>
        <v/>
      </c>
      <c r="K2877">
        <f>J2877*(1+(((Inputs!$B$13+IF(Inputs!$B$3&gt;=35,(10*INDEX(FactorTable!$B$2:$Y$301,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15="TRIUMPH_FEATHER",IF(C2878=TRUE,F2878,0),0)/100)*(1+IF(C2889=TRUE,F2889,0)/100)^5*(1+(IF(Skills!A15="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2877)</f>
        <v/>
      </c>
      <c r="L2877">
        <f>K2877*(MIN(Inputs!$B$23+(F2884-Calc!F22),(Inputs!$B$24+IF(ArtifactsInput!$M$15,CHOOSE(ArtifactsInput!$N$15+1,25,30,35,40,45,50)/100*(Inputs!$B$12-Inputs!$B$12),0)))/100+(Inputs!$B$24+IF(ArtifactsInput!$M$15,CHOOSE(ArtifactsInput!$N$15+1,25,30,35,40,45,50)/100*(Inputs!$B$12-Inputs!$B$12),0))/100)/2</f>
        <v/>
      </c>
      <c r="M2877">
        <f>L2877*(1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7">
        <f>L2877*(1-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(1-Summary!$B$11)*S2877+Summary!$B$11*U2877</f>
        <v/>
      </c>
      <c r="P2877">
        <f>IF(B2905=0,0,O2877/B2905)</f>
        <v/>
      </c>
      <c r="Q2877">
        <f>IFERROR(1/(IF(Inputs!$B$39="pvp",15,MAX(0.1,Skills!D15-IF(Skills!E15=TRUE,Inputs!$B$33,0)))*(1-IF(AND(ArtifactsInput!$M$27,Inputs!$B$4="Chapter Hunt"),CHOOSE(ArtifactsInput!$N$27+1,20,24,28,32,36,40),0)/100)),0)</f>
        <v/>
      </c>
      <c r="R2877" t="n">
        <v>0</v>
      </c>
      <c r="S2877">
        <f>IF(C2877,(Skills!F15*N2877*((IF(Inputs!$B$3&gt;=78,25,15)/100*B2898*10)/(1+IF(Inputs!$B$3&gt;=78,25,15)/100*B2898*10))*(Skills!I15/100*B2898)/(1+Skills!G15*Skills!I15/100*B2898))*IF(Inputs!$B$39="pvp",1,1+(Inputs!$B$21+Skills!O15+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7">
        <f>IF(C2877,(Skills!F15*N2877*((IF(Inputs!$B$3&gt;=78,25,15)/100*B2898*10)/(1+IF(Inputs!$B$3&gt;=78,25,15)/100*B2898*10))*(Skills!I15/100*B2898)/(1+Skills!G15*Skills!I15/100*B2898))*IF(Inputs!$B$39="pvp",1,(1+(Inputs!$B$22+Skills!P15+B2894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Skills!A16</f>
        <v/>
      </c>
      <c r="B2878">
        <f>Skills!B16</f>
        <v/>
      </c>
      <c r="C2878">
        <f>Inputs!$B$3&gt;=100</f>
        <v/>
      </c>
      <c r="D2878">
        <f>IF(Skills!C16=1,60+Inputs!$B$26+Inputs!$B$30,IF(Skills!C16=2,90+Inputs!$B$27+Inputs!$B$30,IF(Skills!C16=3,120+Inputs!$B$28+Inputs!$B$30,MAX(0,(Inputs!$B$3-100)*3)+Inputs!$B$29+Inputs!$B$30)))</f>
        <v/>
      </c>
      <c r="E2878">
        <f>INDEX(FactorTable!$B$2:$Y$301, MATCH(ROUND(MIN(300,MAX(1,D2878)),0), FactorTable!$A$2:$A$301,0), Skills!L16+1)</f>
        <v/>
      </c>
      <c r="F2878">
        <f>IF(Skills!M16=TRUE,(Skills!K16/10)*(E2878/1000),Skills!K16/10)+Skills!N16</f>
        <v/>
      </c>
      <c r="G2878">
        <f>Calc!G16</f>
        <v/>
      </c>
      <c r="H2878">
        <f>Calc!H16</f>
        <v/>
      </c>
      <c r="I2878">
        <f>IF(Skills!T16&lt;&gt;"",1+(Skills!T16/10)*($Z$3/1000)/100,1)</f>
        <v/>
      </c>
      <c r="J2878" t="inlineStr"/>
      <c r="K2878" t="inlineStr"/>
      <c r="L2878" t="inlineStr"/>
      <c r="M2878" t="inlineStr"/>
      <c r="N2878" t="inlineStr"/>
      <c r="O2878">
        <f>(1-Summary!$B$11)*S2878+Summary!$B$11*U2878</f>
        <v/>
      </c>
      <c r="P2878">
        <f>IF(B2905=0,0,O2878/B2905)</f>
        <v/>
      </c>
      <c r="Q2878">
        <f>IFERROR(1/(IF(Inputs!$B$39="pvp",15,MAX(0.1,Skills!D16-IF(Skills!E16=TRUE,Inputs!$B$33,0)))*(1-IF(AND(ArtifactsInput!$M$27,Inputs!$B$4="Chapter Hunt"),CHOOSE(ArtifactsInput!$N$27+1,20,24,28,32,36,40),0)/100)),0)</f>
        <v/>
      </c>
      <c r="R2878" t="n">
        <v>0</v>
      </c>
      <c r="S2878" t="n">
        <v>0</v>
      </c>
      <c r="U2878" t="n">
        <v>0</v>
      </c>
    </row>
    <row r="2879">
      <c r="A2879">
        <f>Skills!A17</f>
        <v/>
      </c>
      <c r="B2879">
        <f>Skills!B17</f>
        <v/>
      </c>
      <c r="C2879">
        <f>Inputs!$B$3&gt;=49</f>
        <v/>
      </c>
      <c r="D2879">
        <f>IF(Skills!C17=1,60+Inputs!$B$26+Inputs!$B$30,IF(Skills!C17=2,90+Inputs!$B$27+Inputs!$B$30,IF(Skills!C17=3,120+Inputs!$B$28+Inputs!$B$30,MAX(0,(Inputs!$B$3-100)*3)+Inputs!$B$29+Inputs!$B$30)))</f>
        <v/>
      </c>
      <c r="E2879">
        <f>INDEX(FactorTable!$B$2:$Y$301, MATCH(ROUND(MIN(300,MAX(1,D2879)),0), FactorTable!$A$2:$A$301,0), Skills!L17+1)</f>
        <v/>
      </c>
      <c r="F2879">
        <f>IF(Skills!M17=TRUE,(Skills!K17/10)*(E2879/1000),Skills!K17/10)+Skills!N17</f>
        <v/>
      </c>
      <c r="G2879">
        <f>Calc!G17</f>
        <v/>
      </c>
      <c r="H2879">
        <f>Calc!H17</f>
        <v/>
      </c>
      <c r="I2879">
        <f>IF(Skills!T17&lt;&gt;"",1+(Skills!T17/10)*($Z$3/1000)/100,1)</f>
        <v/>
      </c>
      <c r="J2879" t="inlineStr"/>
      <c r="K2879" t="inlineStr"/>
      <c r="L2879" t="inlineStr"/>
      <c r="M2879" t="inlineStr"/>
      <c r="N2879" t="inlineStr"/>
      <c r="O2879">
        <f>(1-Summary!$B$11)*S2879+Summary!$B$11*U2879</f>
        <v/>
      </c>
      <c r="P2879">
        <f>IF(B2905=0,0,O2879/B2905)</f>
        <v/>
      </c>
      <c r="Q2879">
        <f>IFERROR(1/(IF(Inputs!$B$39="pvp",15,MAX(0.1,Skills!D17-IF(Skills!E17=TRUE,Inputs!$B$33,0)))*(1-IF(AND(ArtifactsInput!$M$27,Inputs!$B$4="Chapter Hunt"),CHOOSE(ArtifactsInput!$N$27+1,20,24,28,32,36,40),0)/100)),0)</f>
        <v/>
      </c>
      <c r="R2879" t="n">
        <v>0</v>
      </c>
      <c r="S2879" t="n">
        <v>0</v>
      </c>
      <c r="U2879" t="n">
        <v>0</v>
      </c>
    </row>
    <row r="2880">
      <c r="A2880">
        <f>Skills!A18</f>
        <v/>
      </c>
      <c r="B2880">
        <f>Skills!B18</f>
        <v/>
      </c>
      <c r="C2880">
        <f>Inputs!$B$3&gt;=75</f>
        <v/>
      </c>
      <c r="D2880">
        <f>IF(Skills!C18=1,60+Inputs!$B$26+Inputs!$B$30,IF(Skills!C18=2,90+Inputs!$B$27+Inputs!$B$30,IF(Skills!C18=3,120+Inputs!$B$28+Inputs!$B$30,MAX(0,(Inputs!$B$3-100)*3)+Inputs!$B$29+Inputs!$B$30)))</f>
        <v/>
      </c>
      <c r="E2880">
        <f>INDEX(FactorTable!$B$2:$Y$301, MATCH(ROUND(MIN(300,MAX(1,D2880)),0), FactorTable!$A$2:$A$301,0), Skills!L18+1)</f>
        <v/>
      </c>
      <c r="F2880">
        <f>IF(Skills!M18=TRUE,(Skills!K18/10)*(E2880/1000),Skills!K18/10)+Skills!N18</f>
        <v/>
      </c>
      <c r="G2880">
        <f>Calc!G18</f>
        <v/>
      </c>
      <c r="H2880">
        <f>Calc!H18</f>
        <v/>
      </c>
      <c r="I2880">
        <f>IF(Skills!T18&lt;&gt;"",1+(Skills!T18/10)*($Z$3/1000)/100,1)</f>
        <v/>
      </c>
      <c r="J2880" t="inlineStr"/>
      <c r="K2880" t="inlineStr"/>
      <c r="L2880" t="inlineStr"/>
      <c r="M2880" t="inlineStr"/>
      <c r="N2880" t="inlineStr"/>
      <c r="O2880">
        <f>(1-Summary!$B$11)*S2880+Summary!$B$11*U2880</f>
        <v/>
      </c>
      <c r="P2880">
        <f>IF(B2905=0,0,O2880/B2905)</f>
        <v/>
      </c>
      <c r="Q2880">
        <f>IFERROR(1/(IF(Inputs!$B$39="pvp",15,MAX(0.1,Skills!D18-IF(Skills!E18=TRUE,Inputs!$B$33,0)))*(1-IF(AND(ArtifactsInput!$M$27,Inputs!$B$4="Chapter Hunt"),CHOOSE(ArtifactsInput!$N$27+1,20,24,28,32,36,40),0)/100)),0)</f>
        <v/>
      </c>
      <c r="R2880" t="n">
        <v>0</v>
      </c>
      <c r="S2880" t="n">
        <v>0</v>
      </c>
      <c r="U2880" t="n">
        <v>0</v>
      </c>
    </row>
    <row r="2881">
      <c r="A2881">
        <f>Skills!A19</f>
        <v/>
      </c>
      <c r="B2881">
        <f>Skills!B19</f>
        <v/>
      </c>
      <c r="C2881">
        <f>Inputs!$B$3&gt;=110</f>
        <v/>
      </c>
      <c r="D2881">
        <f>IF(Skills!C19=1,60+Inputs!$B$26+Inputs!$B$30,IF(Skills!C19=2,90+Inputs!$B$27+Inputs!$B$30,IF(Skills!C19=3,120+Inputs!$B$28+Inputs!$B$30,MAX(0,(Inputs!$B$3-100)*3)+Inputs!$B$29+Inputs!$B$30)))</f>
        <v/>
      </c>
      <c r="E2881">
        <f>INDEX(FactorTable!$B$2:$Y$301, MATCH(ROUND(MIN(300,MAX(1,D2881)),0), FactorTable!$A$2:$A$301,0), Skills!L19+1)</f>
        <v/>
      </c>
      <c r="F2881">
        <f>(Skills!K19/10)*(E2881/1000)*64/45+Skills!N19</f>
        <v/>
      </c>
      <c r="G2881">
        <f>Calc!G19</f>
        <v/>
      </c>
      <c r="H2881">
        <f>Calc!H19</f>
        <v/>
      </c>
      <c r="I2881">
        <f>IF(Skills!T19&lt;&gt;"",1+(Skills!T19/10)*($Z$3/1000)/100,1)</f>
        <v/>
      </c>
      <c r="J2881" t="inlineStr"/>
      <c r="K2881" t="inlineStr"/>
      <c r="L2881" t="inlineStr"/>
      <c r="M2881" t="inlineStr"/>
      <c r="N2881" t="inlineStr"/>
      <c r="O2881">
        <f>(1-Summary!$B$11)*S2881+Summary!$B$11*U2881</f>
        <v/>
      </c>
      <c r="P2881">
        <f>IF(B2905=0,0,O2881/B2905)</f>
        <v/>
      </c>
      <c r="Q2881">
        <f>IFERROR(1/(IF(Inputs!$B$39="pvp",15,MAX(0.1,Skills!D19-IF(Skills!E19=TRUE,Inputs!$B$33,0)))*(1-IF(AND(ArtifactsInput!$M$27,Inputs!$B$4="Chapter Hunt"),CHOOSE(ArtifactsInput!$N$27+1,20,24,28,32,36,40),0)/100)),0)</f>
        <v/>
      </c>
      <c r="R2881">
        <f>IF(AND(Inputs!$B$39&lt;&gt;"pvp",Inputs!$B$44&gt;0),IF(Inputs!$B$44&lt;=0,0,(INT(Inputs!$B$44/(IF(Inputs!$B$39="pvp",15,MAX(0.1,Skills!D19-IF(Skills!E19=TRUE,Inputs!$B$33,0)))*(1-IF(AND(ArtifactsInput!$M$27,Inputs!$B$4="Chapter Hunt"),CHOOSE(ArtifactsInput!$N$27+1,20,24,28,32,36,40),0)/100)))+1)),0)</f>
        <v/>
      </c>
      <c r="S2881" t="n">
        <v>0</v>
      </c>
      <c r="U2881" t="n">
        <v>0</v>
      </c>
    </row>
    <row r="2882">
      <c r="A2882">
        <f>Skills!A20</f>
        <v/>
      </c>
      <c r="B2882">
        <f>Skills!B20</f>
        <v/>
      </c>
      <c r="C2882">
        <f>Inputs!$B$3&gt;=125</f>
        <v/>
      </c>
      <c r="D2882">
        <f>IF(Skills!C20=1,60+Inputs!$B$26+Inputs!$B$30,IF(Skills!C20=2,90+Inputs!$B$27+Inputs!$B$30,IF(Skills!C20=3,120+Inputs!$B$28+Inputs!$B$30,MAX(0,(Inputs!$B$3-100)*3)+Inputs!$B$29+Inputs!$B$30)))</f>
        <v/>
      </c>
      <c r="E2882">
        <f>INDEX(FactorTable!$B$2:$Y$301, MATCH(ROUND(MIN(300,MAX(1,D2882)),0), FactorTable!$A$2:$A$301,0), Skills!L20+1)</f>
        <v/>
      </c>
      <c r="F2882">
        <f>IF(Skills!M20=TRUE,(Skills!K20/10)*(E2882/1000),Skills!K20/10)+Skills!N20</f>
        <v/>
      </c>
      <c r="G2882">
        <f>Calc!G20</f>
        <v/>
      </c>
      <c r="H2882">
        <f>Calc!H20</f>
        <v/>
      </c>
      <c r="I2882">
        <f>IF(Skills!T20&lt;&gt;"",1+(Skills!T20/10)*($Z$3/1000)/100,1)</f>
        <v/>
      </c>
      <c r="J2882" t="inlineStr"/>
      <c r="K2882" t="inlineStr"/>
      <c r="L2882" t="inlineStr"/>
      <c r="M2882" t="inlineStr"/>
      <c r="N2882" t="inlineStr"/>
      <c r="O2882">
        <f>(1-Summary!$B$11)*S2882+Summary!$B$11*U2882</f>
        <v/>
      </c>
      <c r="P2882">
        <f>IF(B2905=0,0,O2882/B2905)</f>
        <v/>
      </c>
      <c r="Q2882">
        <f>IFERROR(1/(IF(Inputs!$B$39="pvp",15,MAX(0.1,Skills!D20-IF(Skills!E20=TRUE,Inputs!$B$33,0)))*(1-IF(AND(ArtifactsInput!$M$27,Inputs!$B$4="Chapter Hunt"),CHOOSE(ArtifactsInput!$N$27+1,20,24,28,32,36,40),0)/100)),0)</f>
        <v/>
      </c>
      <c r="R2882" t="n">
        <v>0</v>
      </c>
      <c r="S2882" t="n">
        <v>0</v>
      </c>
      <c r="U2882" t="n">
        <v>0</v>
      </c>
    </row>
    <row r="2883">
      <c r="A2883">
        <f>Skills!A21</f>
        <v/>
      </c>
      <c r="B2883">
        <f>Skills!B21</f>
        <v/>
      </c>
      <c r="C2883">
        <f>Inputs!$B$3&gt;=33</f>
        <v/>
      </c>
      <c r="D2883">
        <f>IF(Skills!C21=1,60+Inputs!$B$26+Inputs!$B$30,IF(Skills!C21=2,90+Inputs!$B$27+Inputs!$B$30,IF(Skills!C21=3,120+Inputs!$B$28+Inputs!$B$30,MAX(0,(Inputs!$B$3-100)*3)+Inputs!$B$29+Inputs!$B$30)))</f>
        <v/>
      </c>
      <c r="E2883">
        <f>INDEX(FactorTable!$B$2:$Y$301, MATCH(ROUND(MIN(300,MAX(1,D2883)),0), FactorTable!$A$2:$A$301,0), Skills!L21+1)</f>
        <v/>
      </c>
      <c r="F2883">
        <f>IF(Skills!M21=TRUE,(Skills!K21/10)*(E2883/1000),Skills!K21/10)+Skills!N21</f>
        <v/>
      </c>
      <c r="G2883">
        <f>Calc!G21</f>
        <v/>
      </c>
      <c r="H2883">
        <f>Calc!H21</f>
        <v/>
      </c>
      <c r="I2883">
        <f>IF(Skills!T21&lt;&gt;"",1+(Skills!T21/10)*($Z$3/1000)/100,1)</f>
        <v/>
      </c>
      <c r="J2883" t="inlineStr"/>
      <c r="K2883" t="inlineStr"/>
      <c r="L2883" t="inlineStr"/>
      <c r="M2883" t="inlineStr"/>
      <c r="N2883" t="inlineStr"/>
      <c r="O2883">
        <f>(1-Summary!$B$11)*S2883+Summary!$B$11*U2883</f>
        <v/>
      </c>
      <c r="P2883">
        <f>IF(B2905=0,0,O2883/B2905)</f>
        <v/>
      </c>
      <c r="Q2883">
        <f>IFERROR(1/(IF(Inputs!$B$39="pvp",15,MAX(0.1,Skills!D21-IF(Skills!E21=TRUE,Inputs!$B$33,0)))*(1-IF(AND(ArtifactsInput!$M$27,Inputs!$B$4="Chapter Hunt"),CHOOSE(ArtifactsInput!$N$27+1,20,24,28,32,36,40),0)/100)),0)</f>
        <v/>
      </c>
      <c r="R2883" t="n">
        <v>0</v>
      </c>
      <c r="S2883" t="n">
        <v>0</v>
      </c>
      <c r="U2883" t="n">
        <v>0</v>
      </c>
    </row>
    <row r="2884">
      <c r="A2884">
        <f>Skills!A22</f>
        <v/>
      </c>
      <c r="B2884">
        <f>Skills!B22</f>
        <v/>
      </c>
      <c r="C2884">
        <f>Inputs!$B$3&gt;=43</f>
        <v/>
      </c>
      <c r="D2884">
        <f>IF(Skills!C22=1,60+Inputs!$B$26+Inputs!$B$30,IF(Skills!C22=2,90+Inputs!$B$27+Inputs!$B$30,IF(Skills!C22=3,120+Inputs!$B$28+Inputs!$B$30,MAX(0,(Inputs!$B$3-100)*3)+Inputs!$B$29+Inputs!$B$30)))</f>
        <v/>
      </c>
      <c r="E2884">
        <f>INDEX(FactorTable!$B$2:$Y$301, MATCH(ROUND(MIN(300,MAX(1,D2884)),0), FactorTable!$A$2:$A$301,0), Skills!L22+1)</f>
        <v/>
      </c>
      <c r="F2884">
        <f>IF(Skills!M22=TRUE,(Skills!K22/10)*(E2884/1000),Skills!K22/10)+Skills!N22</f>
        <v/>
      </c>
      <c r="G2884">
        <f>Calc!G22</f>
        <v/>
      </c>
      <c r="H2884">
        <f>Calc!H22</f>
        <v/>
      </c>
      <c r="I2884">
        <f>IF(Skills!T22&lt;&gt;"",1+(Skills!T22/10)*($Z$3/1000)/100,1)</f>
        <v/>
      </c>
      <c r="J2884" t="inlineStr"/>
      <c r="K2884" t="inlineStr"/>
      <c r="L2884" t="inlineStr"/>
      <c r="M2884" t="inlineStr"/>
      <c r="N2884" t="inlineStr"/>
      <c r="O2884">
        <f>(1-Summary!$B$11)*S2884+Summary!$B$11*U2884</f>
        <v/>
      </c>
      <c r="P2884">
        <f>IF(B2905=0,0,O2884/B2905)</f>
        <v/>
      </c>
      <c r="Q2884">
        <f>IFERROR(1/(IF(Inputs!$B$39="pvp",15,MAX(0.1,Skills!D22-IF(Skills!E22=TRUE,Inputs!$B$33,0)))*(1-IF(AND(ArtifactsInput!$M$27,Inputs!$B$4="Chapter Hunt"),CHOOSE(ArtifactsInput!$N$27+1,20,24,28,32,36,40),0)/100)),0)</f>
        <v/>
      </c>
      <c r="R2884" t="n">
        <v>0</v>
      </c>
      <c r="S2884" t="n">
        <v>0</v>
      </c>
      <c r="U2884" t="n">
        <v>0</v>
      </c>
    </row>
    <row r="2885">
      <c r="A2885">
        <f>Skills!A23</f>
        <v/>
      </c>
      <c r="B2885">
        <f>Skills!B23</f>
        <v/>
      </c>
      <c r="C2885">
        <f>Inputs!$B$3&gt;=50</f>
        <v/>
      </c>
      <c r="D2885">
        <f>IF(Skills!C23=1,60+Inputs!$B$26+Inputs!$B$30,IF(Skills!C23=2,90+Inputs!$B$27+Inputs!$B$30,IF(Skills!C23=3,120+Inputs!$B$28+Inputs!$B$30,MAX(0,(Inputs!$B$3-100)*3)+Inputs!$B$29+Inputs!$B$30)))</f>
        <v/>
      </c>
      <c r="E2885">
        <f>INDEX(FactorTable!$B$2:$Y$301, MATCH(ROUND(MIN(300,MAX(1,D2885)),0), FactorTable!$A$2:$A$301,0), Skills!L23+1)</f>
        <v/>
      </c>
      <c r="F2885">
        <f>IF(Skills!M23=TRUE,(Skills!K23/10)*(E2885/1000),Skills!K23/10)+Skills!N23</f>
        <v/>
      </c>
      <c r="G2885">
        <f>Calc!G23</f>
        <v/>
      </c>
      <c r="H2885">
        <f>Calc!H23</f>
        <v/>
      </c>
      <c r="I2885">
        <f>IF(Skills!T23&lt;&gt;"",1+(Skills!T23/10)*($Z$3/1000)/100,1)</f>
        <v/>
      </c>
      <c r="J2885" t="inlineStr"/>
      <c r="K2885" t="inlineStr"/>
      <c r="L2885" t="inlineStr"/>
      <c r="M2885" t="inlineStr"/>
      <c r="N2885" t="inlineStr"/>
      <c r="O2885">
        <f>(1-Summary!$B$11)*S2885+Summary!$B$11*U2885</f>
        <v/>
      </c>
      <c r="P2885">
        <f>IF(B2905=0,0,O2885/B2905)</f>
        <v/>
      </c>
      <c r="Q2885">
        <f>IFERROR(1/(IF(Inputs!$B$39="pvp",15,MAX(0.1,Skills!D23-IF(Skills!E23=TRUE,Inputs!$B$33,0)))*(1-IF(AND(ArtifactsInput!$M$27,Inputs!$B$4="Chapter Hunt"),CHOOSE(ArtifactsInput!$N$27+1,20,24,28,32,36,40),0)/100)),0)</f>
        <v/>
      </c>
      <c r="R2885" t="n">
        <v>0</v>
      </c>
      <c r="S2885" t="n">
        <v>0</v>
      </c>
      <c r="U2885" t="n">
        <v>0</v>
      </c>
    </row>
    <row r="2886">
      <c r="A2886">
        <f>Skills!A24</f>
        <v/>
      </c>
      <c r="B2886">
        <f>Skills!B24</f>
        <v/>
      </c>
      <c r="C2886">
        <f>Inputs!$B$3&gt;=74</f>
        <v/>
      </c>
      <c r="D2886">
        <f>IF(Skills!C24=1,60+Inputs!$B$26+Inputs!$B$30,IF(Skills!C24=2,90+Inputs!$B$27+Inputs!$B$30,IF(Skills!C24=3,120+Inputs!$B$28+Inputs!$B$30,MAX(0,(Inputs!$B$3-100)*3)+Inputs!$B$29+Inputs!$B$30)))</f>
        <v/>
      </c>
      <c r="E2886">
        <f>INDEX(FactorTable!$B$2:$Y$301, MATCH(ROUND(MIN(300,MAX(1,D2886)),0), FactorTable!$A$2:$A$301,0), Skills!L24+1)</f>
        <v/>
      </c>
      <c r="F2886">
        <f>IF(Skills!M24=TRUE,(Skills!K24/10)*(E2886/1000),Skills!K24/10)+Skills!N24</f>
        <v/>
      </c>
      <c r="G2886">
        <f>Calc!G24</f>
        <v/>
      </c>
      <c r="H2886">
        <f>Calc!H24</f>
        <v/>
      </c>
      <c r="I2886">
        <f>IF(Skills!T24&lt;&gt;"",1+(Skills!T24/10)*($Z$3/1000)/100,1)</f>
        <v/>
      </c>
      <c r="J2886" t="inlineStr"/>
      <c r="K2886" t="inlineStr"/>
      <c r="L2886" t="inlineStr"/>
      <c r="M2886" t="inlineStr"/>
      <c r="N2886" t="inlineStr"/>
      <c r="O2886">
        <f>(1-Summary!$B$11)*S2886+Summary!$B$11*U2886</f>
        <v/>
      </c>
      <c r="P2886">
        <f>IF(B2905=0,0,O2886/B2905)</f>
        <v/>
      </c>
      <c r="Q2886">
        <f>IFERROR(1/(IF(Inputs!$B$39="pvp",15,MAX(0.1,Skills!D24-IF(Skills!E24=TRUE,Inputs!$B$33,0)))*(1-IF(AND(ArtifactsInput!$M$27,Inputs!$B$4="Chapter Hunt"),CHOOSE(ArtifactsInput!$N$27+1,20,24,28,32,36,40),0)/100)),0)</f>
        <v/>
      </c>
      <c r="R2886" t="n">
        <v>0</v>
      </c>
      <c r="S2886" t="n">
        <v>0</v>
      </c>
      <c r="U2886" t="n">
        <v>0</v>
      </c>
    </row>
    <row r="2887">
      <c r="A2887">
        <f>Skills!A25</f>
        <v/>
      </c>
      <c r="B2887">
        <f>Skills!B25</f>
        <v/>
      </c>
      <c r="C2887">
        <f>Inputs!$B$3&gt;=74</f>
        <v/>
      </c>
      <c r="D2887">
        <f>IF(Skills!C25=1,60+Inputs!$B$26+Inputs!$B$30,IF(Skills!C25=2,90+Inputs!$B$27+Inputs!$B$30,IF(Skills!C25=3,120+Inputs!$B$28+Inputs!$B$30,MAX(0,(Inputs!$B$3-100)*3)+Inputs!$B$29+Inputs!$B$30)))</f>
        <v/>
      </c>
      <c r="E2887">
        <f>INDEX(FactorTable!$B$2:$Y$301, MATCH(ROUND(MIN(300,MAX(1,D2887)),0), FactorTable!$A$2:$A$301,0), Skills!L25+1)</f>
        <v/>
      </c>
      <c r="F2887">
        <f>IF(Skills!M25=TRUE,(Skills!K25/10)*(E2887/1000),Skills!K25/10)+Skills!N25</f>
        <v/>
      </c>
      <c r="G2887">
        <f>Calc!G25</f>
        <v/>
      </c>
      <c r="H2887">
        <f>Calc!H25</f>
        <v/>
      </c>
      <c r="I2887">
        <f>IF(Skills!T25&lt;&gt;"",1+(Skills!T25/10)*($Z$3/1000)/100,1)</f>
        <v/>
      </c>
      <c r="J2887" t="inlineStr"/>
      <c r="K2887" t="inlineStr"/>
      <c r="L2887" t="inlineStr"/>
      <c r="M2887" t="inlineStr"/>
      <c r="N2887" t="inlineStr"/>
      <c r="O2887">
        <f>(1-Summary!$B$11)*S2887+Summary!$B$11*U2887</f>
        <v/>
      </c>
      <c r="P2887">
        <f>IF(B2905=0,0,O2887/B2905)</f>
        <v/>
      </c>
      <c r="Q2887">
        <f>IFERROR(1/(IF(Inputs!$B$39="pvp",15,MAX(0.1,Skills!D25-IF(Skills!E25=TRUE,Inputs!$B$33,0)))*(1-IF(AND(ArtifactsInput!$M$27,Inputs!$B$4="Chapter Hunt"),CHOOSE(ArtifactsInput!$N$27+1,20,24,28,32,36,40),0)/100)),0)</f>
        <v/>
      </c>
      <c r="R2887" t="n">
        <v>0</v>
      </c>
      <c r="S2887" t="n">
        <v>0</v>
      </c>
      <c r="U2887" t="n">
        <v>0</v>
      </c>
    </row>
    <row r="2888">
      <c r="A2888">
        <f>Skills!A26</f>
        <v/>
      </c>
      <c r="B2888">
        <f>Skills!B26</f>
        <v/>
      </c>
      <c r="C2888">
        <f>Inputs!$B$3&gt;=117</f>
        <v/>
      </c>
      <c r="D2888">
        <f>IF(Skills!C26=1,60+Inputs!$B$26+Inputs!$B$30,IF(Skills!C26=2,90+Inputs!$B$27+Inputs!$B$30,IF(Skills!C26=3,120+Inputs!$B$28+Inputs!$B$30,MAX(0,(Inputs!$B$3-100)*3)+Inputs!$B$29+Inputs!$B$30)))</f>
        <v/>
      </c>
      <c r="E2888">
        <f>INDEX(FactorTable!$B$2:$Y$301, MATCH(ROUND(MIN(300,MAX(1,D2888)),0), FactorTable!$A$2:$A$301,0), Skills!L26+1)</f>
        <v/>
      </c>
      <c r="F2888">
        <f>IF(Skills!M26=TRUE,(Skills!K26/10)*(E2888/1000),Skills!K26/10)+Skills!N26</f>
        <v/>
      </c>
      <c r="G2888">
        <f>Calc!G26</f>
        <v/>
      </c>
      <c r="H2888">
        <f>Calc!H26</f>
        <v/>
      </c>
      <c r="I2888">
        <f>IF(Skills!T26&lt;&gt;"",1+(Skills!T26/10)*($Z$3/1000)/100,1)</f>
        <v/>
      </c>
      <c r="J2888" t="inlineStr"/>
      <c r="K2888" t="inlineStr"/>
      <c r="L2888" t="inlineStr"/>
      <c r="M2888" t="inlineStr"/>
      <c r="N2888" t="inlineStr"/>
      <c r="O2888">
        <f>(1-Summary!$B$11)*S2888+Summary!$B$11*U2888</f>
        <v/>
      </c>
      <c r="P2888">
        <f>IF(B2905=0,0,O2888/B2905)</f>
        <v/>
      </c>
      <c r="Q2888">
        <f>IFERROR(1/(IF(Inputs!$B$39="pvp",15,MAX(0.1,Skills!D26-IF(Skills!E26=TRUE,Inputs!$B$33,0)))*(1-IF(AND(ArtifactsInput!$M$27,Inputs!$B$4="Chapter Hunt"),CHOOSE(ArtifactsInput!$N$27+1,20,24,28,32,36,40),0)/100)),0)</f>
        <v/>
      </c>
      <c r="R2888" t="n">
        <v>0</v>
      </c>
      <c r="S2888" t="n">
        <v>0</v>
      </c>
      <c r="U2888" t="n">
        <v>0</v>
      </c>
    </row>
    <row r="2889">
      <c r="A2889">
        <f>Skills!A27</f>
        <v/>
      </c>
      <c r="B2889">
        <f>Skills!B27</f>
        <v/>
      </c>
      <c r="C2889">
        <f>Inputs!$B$3&gt;=120</f>
        <v/>
      </c>
      <c r="D2889">
        <f>IF(Skills!C27=1,60+Inputs!$B$26+Inputs!$B$30,IF(Skills!C27=2,90+Inputs!$B$27+Inputs!$B$30,IF(Skills!C27=3,120+Inputs!$B$28+Inputs!$B$30,MAX(0,(Inputs!$B$3-100)*3)+Inputs!$B$29+Inputs!$B$30)))</f>
        <v/>
      </c>
      <c r="E2889">
        <f>INDEX(FactorTable!$B$2:$Y$301, MATCH(ROUND(MIN(300,MAX(1,D2889)),0), FactorTable!$A$2:$A$301,0), Skills!L27+1)</f>
        <v/>
      </c>
      <c r="F2889">
        <f>IF(Skills!M27=TRUE,(Skills!K27/10)*(E2889/1000),Skills!K27/10)+Skills!N27</f>
        <v/>
      </c>
      <c r="G2889">
        <f>Calc!G27</f>
        <v/>
      </c>
      <c r="H2889">
        <f>Calc!H27</f>
        <v/>
      </c>
      <c r="I2889">
        <f>IF(Skills!T27&lt;&gt;"",1+(Skills!T27/10)*($Z$3/1000)/100,1)</f>
        <v/>
      </c>
      <c r="J2889" t="inlineStr"/>
      <c r="K2889" t="inlineStr"/>
      <c r="L2889" t="inlineStr"/>
      <c r="M2889" t="inlineStr"/>
      <c r="N2889" t="inlineStr"/>
      <c r="O2889">
        <f>(1-Summary!$B$11)*S2889+Summary!$B$11*U2889</f>
        <v/>
      </c>
      <c r="P2889">
        <f>IF(B2905=0,0,O2889/B2905)</f>
        <v/>
      </c>
      <c r="Q2889">
        <f>IFERROR(1/(IF(Inputs!$B$39="pvp",15,MAX(0.1,Skills!D27-IF(Skills!E27=TRUE,Inputs!$B$33,0)))*(1-IF(AND(ArtifactsInput!$M$27,Inputs!$B$4="Chapter Hunt"),CHOOSE(ArtifactsInput!$N$27+1,20,24,28,32,36,40),0)/100)),0)</f>
        <v/>
      </c>
      <c r="R2889" t="n">
        <v>0</v>
      </c>
      <c r="S2889" t="n">
        <v>0</v>
      </c>
      <c r="U2889" t="n">
        <v>0</v>
      </c>
    </row>
    <row r="2890">
      <c r="A2890">
        <f>Skills!A28</f>
        <v/>
      </c>
      <c r="B2890">
        <f>Skills!B28</f>
        <v/>
      </c>
      <c r="C2890">
        <f>TRUE</f>
        <v/>
      </c>
      <c r="D2890">
        <f>IF(Skills!C28=1,60+Inputs!$B$26+Inputs!$B$30,IF(Skills!C28=2,90+Inputs!$B$27+Inputs!$B$30,IF(Skills!C28=3,120+Inputs!$B$28+Inputs!$B$30,MAX(0,(Inputs!$B$3-100)*3)+Inputs!$B$29+Inputs!$B$30)))</f>
        <v/>
      </c>
      <c r="E2890">
        <f>INDEX(FactorTable!$B$2:$Y$301, MATCH(ROUND(MIN(300,MAX(1,D2890)),0), FactorTable!$A$2:$A$301,0), Skills!L28+1)</f>
        <v/>
      </c>
      <c r="F2890">
        <f>IF(Skills!M28=TRUE,(Skills!K28/10)*(E2890/1000),Skills!K28/10)+Skills!N28</f>
        <v/>
      </c>
      <c r="G2890">
        <f>Calc!G28</f>
        <v/>
      </c>
      <c r="H2890">
        <f>Calc!H28</f>
        <v/>
      </c>
      <c r="I2890">
        <f>IF(Skills!T28&lt;&gt;"",1+(Skills!T28/10)*($Z$3/1000)/100,1)</f>
        <v/>
      </c>
      <c r="J2890" t="inlineStr"/>
      <c r="K2890" t="inlineStr"/>
      <c r="L2890" t="inlineStr"/>
      <c r="M2890" t="inlineStr"/>
      <c r="N2890" t="inlineStr"/>
      <c r="O2890">
        <f>(1-Summary!$B$11)*S2890+Summary!$B$11*U2890</f>
        <v/>
      </c>
      <c r="P2890">
        <f>IF(B2905=0,0,O2890/B2905)</f>
        <v/>
      </c>
      <c r="Q2890">
        <f>IFERROR(1/(IF(Inputs!$B$39="pvp",15,MAX(0.1,Skills!D28-IF(Skills!E28=TRUE,Inputs!$B$33,0)))*(1-IF(AND(ArtifactsInput!$M$27,Inputs!$B$4="Chapter Hunt"),CHOOSE(ArtifactsInput!$N$27+1,20,24,28,32,36,40),0)/100)),0)</f>
        <v/>
      </c>
      <c r="R2890">
        <f>IF(AND(Inputs!$B$39&lt;&gt;"pvp",Inputs!$B$44&gt;0),IF(Inputs!$B$44&lt;=0,0,(INT(Inputs!$B$44/(IF(Inputs!$B$39="pvp",15,MAX(0.1,Skills!D28-IF(Skills!E28=TRUE,Inputs!$B$33,0)))*(1-IF(AND(ArtifactsInput!$M$27,Inputs!$B$4="Chapter Hunt"),CHOOSE(ArtifactsInput!$N$27+1,20,24,28,32,36,40),0)/100)))+1)),0)</f>
        <v/>
      </c>
      <c r="S2890" t="n">
        <v>0</v>
      </c>
      <c r="U2890" t="n">
        <v>0</v>
      </c>
    </row>
    <row r="2892">
      <c r="A2892" t="inlineStr">
        <is>
          <t>Average Buff Multiplier</t>
        </is>
      </c>
      <c r="B2892">
        <f>(1+(IF(C2865=TRUE,F2865*IF(AND(Inputs!$B$39&lt;&gt;"pvp",Inputs!$B$44&gt;0),(((R2865-1)*(Skills!S3*(1+((Inputs!$B$35+(ArtifactsInput!$M$7-ArtifactsInput!$M$7)*CHOOSE(ArtifactsInput!$N$7+1,6,7.2,8.4,9.6,10.8,12))+IF(Inputs!$B$3&gt;=117,F2888,0))/100))+MIN((Skills!S3*(1+((Inputs!$B$35+(ArtifactsInput!$M$7-ArtifactsInput!$M$7)*CHOOSE(ArtifactsInput!$N$7+1,6,7.2,8.4,9.6,10.8,12))+IF(Inputs!$B$3&gt;=117,F2888,0))/100)),MAX(0,Inputs!$B$44-((R2865-1)*Skills!D3))))/Inputs!$B$44),IF(Inputs!$B$39="pvp",MIN((Skills!S3*(1+((Inputs!$B$35+(ArtifactsInput!$M$7-ArtifactsInput!$M$7)*CHOOSE(ArtifactsInput!$N$7+1,6,7.2,8.4,9.6,10.8,12))+IF(Inputs!$B$3&gt;=117,F2888,0))/100)),15)/15,(Skills!S3*(1+((Inputs!$B$35+(ArtifactsInput!$M$7-ArtifactsInput!$M$7)*CHOOSE(ArtifactsInput!$N$7+1,6,7.2,8.4,9.6,10.8,12))+IF(Inputs!$B$3&gt;=117,F2888,0))/100))/Skills!D3)),0)+IF(C2866=TRUE,F2866*IF(AND(Inputs!$B$39&lt;&gt;"pvp",Inputs!$B$44&gt;0),(((R2866-1)*(Skills!S4*(1+((Inputs!$B$35+(ArtifactsInput!$M$7-ArtifactsInput!$M$7)*CHOOSE(ArtifactsInput!$N$7+1,6,7.2,8.4,9.6,10.8,12))+IF(Inputs!$B$3&gt;=117,F2888,0))/100))+MIN((Skills!S4*(1+((Inputs!$B$35+(ArtifactsInput!$M$7-ArtifactsInput!$M$7)*CHOOSE(ArtifactsInput!$N$7+1,6,7.2,8.4,9.6,10.8,12))+IF(Inputs!$B$3&gt;=117,F2888,0))/100)),MAX(0,Inputs!$B$44-((R2866-1)*Skills!D4))))/Inputs!$B$44),IF(Inputs!$B$39="pvp",MIN((Skills!S4*(1+((Inputs!$B$35+(ArtifactsInput!$M$7-ArtifactsInput!$M$7)*CHOOSE(ArtifactsInput!$N$7+1,6,7.2,8.4,9.6,10.8,12))+IF(Inputs!$B$3&gt;=117,F2888,0))/100)),15)/15,(Skills!S4*(1+((Inputs!$B$35+(ArtifactsInput!$M$7-ArtifactsInput!$M$7)*CHOOSE(ArtifactsInput!$N$7+1,6,7.2,8.4,9.6,10.8,12))+IF(Inputs!$B$3&gt;=117,F2888,0))/100))/Skills!D4)),0)+IF(C2867=TRUE,F2867*IF(AND(Inputs!$B$39&lt;&gt;"pvp",Inputs!$B$44&gt;0),(((R2867-1)*(Skills!S5*(1+((Inputs!$B$35+(ArtifactsInput!$M$7-ArtifactsInput!$M$7)*CHOOSE(ArtifactsInput!$N$7+1,6,7.2,8.4,9.6,10.8,12))+IF(Inputs!$B$3&gt;=117,F2888,0))/100))+MIN((Skills!S5*(1+((Inputs!$B$35+(ArtifactsInput!$M$7-ArtifactsInput!$M$7)*CHOOSE(ArtifactsInput!$N$7+1,6,7.2,8.4,9.6,10.8,12))+IF(Inputs!$B$3&gt;=117,F2888,0))/100)),MAX(0,Inputs!$B$44-((R2867-1)*Skills!D5))))/Inputs!$B$44),IF(Inputs!$B$39="pvp",MIN((Skills!S5*(1+((Inputs!$B$35+(ArtifactsInput!$M$7-ArtifactsInput!$M$7)*CHOOSE(ArtifactsInput!$N$7+1,6,7.2,8.4,9.6,10.8,12))+IF(Inputs!$B$3&gt;=117,F2888,0))/100)),15)/15,(Skills!S5*(1+((Inputs!$B$35+(ArtifactsInput!$M$7-ArtifactsInput!$M$7)*CHOOSE(ArtifactsInput!$N$7+1,6,7.2,8.4,9.6,10.8,12))+IF(Inputs!$B$3&gt;=117,F2888,0))/100))/Skills!D5)),0)+IF(C2873=TRUE,F2873*IF(AND(Inputs!$B$39&lt;&gt;"pvp",Inputs!$B$44&gt;0),(((R2873-1)*(Skills!S11*(1+((Inputs!$B$35+(ArtifactsInput!$M$7-ArtifactsInput!$M$7)*CHOOSE(ArtifactsInput!$N$7+1,6,7.2,8.4,9.6,10.8,12))+IF(Inputs!$B$3&gt;=117,F2888,0))/100))+MIN((Skills!S11*(1+((Inputs!$B$35+(ArtifactsInput!$M$7-ArtifactsInput!$M$7)*CHOOSE(ArtifactsInput!$N$7+1,6,7.2,8.4,9.6,10.8,12))+IF(Inputs!$B$3&gt;=117,F2888,0))/100)),MAX(0,Inputs!$B$44-((R2873-1)*Skills!D11))))/Inputs!$B$44),IF(Inputs!$B$39="pvp",MIN((Skills!S11*(1+((Inputs!$B$35+(ArtifactsInput!$M$7-ArtifactsInput!$M$7)*CHOOSE(ArtifactsInput!$N$7+1,6,7.2,8.4,9.6,10.8,12))+IF(Inputs!$B$3&gt;=117,F2888,0))/100)),15)/15,(Skills!S11*(1+((Inputs!$B$35+(ArtifactsInput!$M$7-ArtifactsInput!$M$7)*CHOOSE(ArtifactsInput!$N$7+1,6,7.2,8.4,9.6,10.8,12))+IF(Inputs!$B$3&gt;=117,F2888,0)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2876=TRUE,(1+F2876*IF(AND(Inputs!$B$39&lt;&gt;"pvp",Inputs!$B$44&gt;0),(((R2876-1)*(Skills!S14*(1+((Inputs!$B$35+(ArtifactsInput!$M$7-ArtifactsInput!$M$7)*CHOOSE(ArtifactsInput!$N$7+1,6,7.2,8.4,9.6,10.8,12))+IF(Inputs!$B$3&gt;=117,F2888,0))/100))+MIN((Skills!S14*(1+((Inputs!$B$35+(ArtifactsInput!$M$7-ArtifactsInput!$M$7)*CHOOSE(ArtifactsInput!$N$7+1,6,7.2,8.4,9.6,10.8,12))+IF(Inputs!$B$3&gt;=117,F2888,0))/100)),MAX(0,Inputs!$B$44-((R2876-1)*Skills!D14))))/Inputs!$B$44),IF(Inputs!$B$39="pvp",MIN((Skills!S14*(1+((Inputs!$B$35+(ArtifactsInput!$M$7-ArtifactsInput!$M$7)*CHOOSE(ArtifactsInput!$N$7+1,6,7.2,8.4,9.6,10.8,12))+IF(Inputs!$B$3&gt;=117,F2888,0))/100)),15)/15,(Skills!S14*(1+((Inputs!$B$35+(ArtifactsInput!$M$7-ArtifactsInput!$M$7)*CHOOSE(ArtifactsInput!$N$7+1,6,7.2,8.4,9.6,10.8,12))+IF(Inputs!$B$3&gt;=117,F2888,0))/100))/Skills!D14))/100),1)*IF(C2881=TRUE,(1+F2881*IF(AND(Inputs!$B$39&lt;&gt;"pvp",Inputs!$B$44&gt;0),(((R2881-1)*(Skills!S19*(1+((Inputs!$B$35+(ArtifactsInput!$M$7-ArtifactsInput!$M$7)*CHOOSE(ArtifactsInput!$N$7+1,6,7.2,8.4,9.6,10.8,12))+IF(Inputs!$B$3&gt;=117,F2888,0))/100))+MIN((Skills!S19*(1+((Inputs!$B$35+(ArtifactsInput!$M$7-ArtifactsInput!$M$7)*CHOOSE(ArtifactsInput!$N$7+1,6,7.2,8.4,9.6,10.8,12))+IF(Inputs!$B$3&gt;=117,F2888,0))/100)),MAX(0,Inputs!$B$44-((R2881-1)*Skills!D19))))/Inputs!$B$44),IF(Inputs!$B$39="pvp",MIN((Skills!S19*(1+((Inputs!$B$35+(ArtifactsInput!$M$7-ArtifactsInput!$M$7)*CHOOSE(ArtifactsInput!$N$7+1,6,7.2,8.4,9.6,10.8,12))+IF(Inputs!$B$3&gt;=117,F2888,0))/100)),15)/15,(Skills!S19*(1+((Inputs!$B$35+(ArtifactsInput!$M$7-ArtifactsInput!$M$7)*CHOOSE(ArtifactsInput!$N$7+1,6,7.2,8.4,9.6,10.8,12))+IF(Inputs!$B$3&gt;=117,F2888,0))/100))/Skills!D19))/100),1)</f>
        <v/>
      </c>
    </row>
    <row r="2893">
      <c r="A2893" t="inlineStr">
        <is>
          <t>Monster Damage Taken Bonus % (Holy Fountain)</t>
        </is>
      </c>
      <c r="B2893">
        <f>IF(Inputs!$B$3&gt;=68,20*IF(Inputs!$B$39="pvp",MIN((15*(1+((Inputs!$B$35+(ArtifactsInput!$M$7-ArtifactsInput!$M$7)*CHOOSE(ArtifactsInput!$N$7+1,6,7.2,8.4,9.6,10.8,12))+IF(Inputs!$B$3&gt;=117,F2888,0))/100)),15)/15,(15*(1+((Inputs!$B$35+(ArtifactsInput!$M$7-ArtifactsInput!$M$7)*CHOOSE(ArtifactsInput!$N$7+1,6,7.2,8.4,9.6,10.8,12))+IF(Inputs!$B$3&gt;=117,F2888,0))/100))/Skills!D10),0)</f>
        <v/>
      </c>
    </row>
    <row r="2894">
      <c r="A2894" t="inlineStr">
        <is>
          <t>Normal Monster Damage Bonus % (Holy Symbol)</t>
        </is>
      </c>
      <c r="B2894">
        <f>IF(C2874=TRUE,F2874*IF(AND(Inputs!$B$39&lt;&gt;"pvp",Inputs!$B$44&gt;0),(((R2874-1)*(Skills!S12*(1+((Inputs!$B$35+(ArtifactsInput!$M$7-ArtifactsInput!$M$7)*CHOOSE(ArtifactsInput!$N$7+1,6,7.2,8.4,9.6,10.8,12))+IF(Inputs!$B$3&gt;=117,F2888,0))/100))+MIN((Skills!S12*(1+((Inputs!$B$35+(ArtifactsInput!$M$7-ArtifactsInput!$M$7)*CHOOSE(ArtifactsInput!$N$7+1,6,7.2,8.4,9.6,10.8,12))+IF(Inputs!$B$3&gt;=117,F2888,0))/100)),MAX(0,Inputs!$B$44-((R2874-1)*Skills!D12))))/Inputs!$B$44),IF(Inputs!$B$39="pvp",MIN((Skills!S12*(1+((Inputs!$B$35+(ArtifactsInput!$M$7-ArtifactsInput!$M$7)*CHOOSE(ArtifactsInput!$N$7+1,6,7.2,8.4,9.6,10.8,12))+IF(Inputs!$B$3&gt;=117,F2888,0))/100)),15)/15,(Skills!S12*(1+((Inputs!$B$35+(ArtifactsInput!$M$7-ArtifactsInput!$M$7)*CHOOSE(ArtifactsInput!$N$7+1,6,7.2,8.4,9.6,10.8,12))+IF(Inputs!$B$3&gt;=117,F2888,0))/100))/Skills!D12)),0)</f>
        <v/>
      </c>
    </row>
    <row r="2895">
      <c r="A2895" t="inlineStr">
        <is>
          <t>Damage % Bonus (Holy Symbol - Damage Boost)</t>
        </is>
      </c>
      <c r="B2895">
        <f>Skills!O12</f>
        <v/>
      </c>
    </row>
    <row r="2896">
      <c r="A2896" t="inlineStr">
        <is>
          <t>Crit Damage % Bonus (Blood of the Divine)</t>
        </is>
      </c>
      <c r="B2896">
        <f>4*IF(C2882=TRUE,F2882,0)</f>
        <v/>
      </c>
    </row>
    <row r="2897">
      <c r="A2897" t="inlineStr">
        <is>
          <t>Attack Speed Bonus %</t>
        </is>
      </c>
      <c r="B2897">
        <f>IF(C2879=TRUE,F2879+(F2883-Calc!F21),0)+IF(Inputs!$B$3&gt;=134,15,0)+((C2890=TRUE)*F2890*IF(AND(Inputs!$B$39&lt;&gt;"pvp",Inputs!$B$44&gt;0),(((R2890-1)*(Skills!S28*(1+((Inputs!$B$35+(ArtifactsInput!$M$7-ArtifactsInput!$M$7)*CHOOSE(ArtifactsInput!$N$7+1,6,7.2,8.4,9.6,10.8,12))+IF(Inputs!$B$3&gt;=117,F2888,0))/100))+MIN((Skills!S28*(1+((Inputs!$B$35+(ArtifactsInput!$M$7-ArtifactsInput!$M$7)*CHOOSE(ArtifactsInput!$N$7+1,6,7.2,8.4,9.6,10.8,12))+IF(Inputs!$B$3&gt;=117,F2888,0))/100)),MAX(0,Inputs!$B$44-((R2890-1)*Skills!D28))))/Inputs!$B$44),IF(Inputs!$B$39="pvp",MIN((Skills!S28*(1+((Inputs!$B$35+(ArtifactsInput!$M$7-ArtifactsInput!$M$7)*CHOOSE(ArtifactsInput!$N$7+1,6,7.2,8.4,9.6,10.8,12))+IF(Inputs!$B$3&gt;=117,F2888,0))/100)),15)/15,(Skills!S28*(1+((Inputs!$B$35+(ArtifactsInput!$M$7-ArtifactsInput!$M$7)*CHOOSE(ArtifactsInput!$N$7+1,6,7.2,8.4,9.6,10.8,12))+IF(Inputs!$B$3&gt;=117,F2888,0))/100))/Skills!D28)))</f>
        <v/>
      </c>
    </row>
    <row r="2898">
      <c r="A2898" t="inlineStr">
        <is>
          <t>Actions Per Second</t>
        </is>
      </c>
      <c r="B2898">
        <f>1+MIN(150,150*(1-(1-Inputs!$B$12/150)*(1-B2897/150)))/100</f>
        <v/>
      </c>
    </row>
    <row r="2899">
      <c r="A2899" t="inlineStr">
        <is>
          <t>Skill + Buff Cast Rate</t>
        </is>
      </c>
      <c r="B2899">
        <f>IF(AND(Inputs!$B$39&lt;&gt;"pvp",Inputs!$B$44&gt;0),SUMPRODUCT((Skills!E2:E28=TRUE)*(C2864:C2890=TRUE)*R2864:R2890)/Inputs!$B$44,SUMPRODUCT((Skills!E2:E28=TRUE)*(C2864:C2890=TRUE)*Q2864:Q2890))</f>
        <v/>
      </c>
    </row>
    <row r="2900">
      <c r="A2900" t="inlineStr">
        <is>
          <t>Big Bang Casts Per Second</t>
        </is>
      </c>
      <c r="B2900">
        <f>MAX(0,B2898-B2899)</f>
        <v/>
      </c>
    </row>
    <row r="2901">
      <c r="A2901" t="inlineStr">
        <is>
          <t>Defense % Bonus (Divine Protection)</t>
        </is>
      </c>
      <c r="B2901">
        <f>IF(C2875=TRUE,F2875*IF(AND(Inputs!$B$39&lt;&gt;"pvp",Inputs!$B$44&gt;0),(((R2875-1)*(Skills!S13*(1+((Inputs!$B$35+(ArtifactsInput!$M$7-ArtifactsInput!$M$7)*CHOOSE(ArtifactsInput!$N$7+1,6,7.2,8.4,9.6,10.8,12))+IF(Inputs!$B$3&gt;=117,F2888,0))/100))+MIN((Skills!S13*(1+((Inputs!$B$35+(ArtifactsInput!$M$7-ArtifactsInput!$M$7)*CHOOSE(ArtifactsInput!$N$7+1,6,7.2,8.4,9.6,10.8,12))+IF(Inputs!$B$3&gt;=117,F2888,0))/100)),MAX(0,Inputs!$B$44-((R2875-1)*Skills!D13))))/Inputs!$B$44),IF(Inputs!$B$39="pvp",MIN((Skills!S13*(1+((Inputs!$B$35+(ArtifactsInput!$M$7-ArtifactsInput!$M$7)*CHOOSE(ArtifactsInput!$N$7+1,6,7.2,8.4,9.6,10.8,12))+IF(Inputs!$B$3&gt;=117,F2888,0))/100)),15)/15,(Skills!S13*(1+((Inputs!$B$35+(ArtifactsInput!$M$7-ArtifactsInput!$M$7)*CHOOSE(ArtifactsInput!$N$7+1,6,7.2,8.4,9.6,10.8,12))+IF(Inputs!$B$3&gt;=117,F2888,0))/100))/Skills!D13)),0)</f>
        <v/>
      </c>
    </row>
    <row r="2902">
      <c r="A2902" t="inlineStr">
        <is>
          <t>Buff-Casting Startup Delay (s, fixed-duration only)</t>
        </is>
      </c>
      <c r="B2902">
        <f>IF(AND(Inputs!$B$39&lt;&gt;"pvp",Inputs!$B$44&gt;0),SUMPRODUCT((Skills!S2:S28&gt;0)*(Skills!E2:E28=TRUE)*(C2864:C2890=TRUE))/B2898,0)</f>
        <v/>
      </c>
    </row>
    <row r="2903">
      <c r="A2903" t="inlineStr">
        <is>
          <t>Boss-Only Total DPS (this block's swept value)</t>
        </is>
      </c>
      <c r="B2903">
        <f>SUM(S2864:S2890)</f>
        <v/>
      </c>
    </row>
    <row r="2904">
      <c r="A2904" t="inlineStr">
        <is>
          <t>Normal-Only Total DPS (this block's swept value)</t>
        </is>
      </c>
      <c r="B2904">
        <f>SUM(U2864:U2890)</f>
        <v/>
      </c>
    </row>
    <row r="2905">
      <c r="A2905" s="6" t="inlineStr">
        <is>
          <t>TOTAL DPS</t>
        </is>
      </c>
      <c r="B2905" s="6">
        <f>SUM(O2864:O2890)</f>
        <v/>
      </c>
    </row>
    <row r="2907">
      <c r="A2907" s="9" t="inlineStr">
        <is>
          <t>Cooldown Reduction Milestone Sweep (absolute CDR seconds, fixed-duration content only)</t>
        </is>
      </c>
    </row>
    <row r="2908">
      <c r="A2908" s="5" t="inlineStr">
        <is>
          <t>CDR (s)</t>
        </is>
      </c>
      <c r="B2908" s="5" t="inlineStr">
        <is>
          <t>Total DPS</t>
        </is>
      </c>
      <c r="C2908" s="5" t="inlineStr">
        <is>
          <t>DPS Gain (vs prior step)</t>
        </is>
      </c>
      <c r="D2908" s="5" t="inlineStr">
        <is>
          <t>% Gain (vs current CDR)</t>
        </is>
      </c>
    </row>
    <row r="2909">
      <c r="A2909" t="n">
        <v>0.5</v>
      </c>
      <c r="B2909">
        <f>B2964</f>
        <v/>
      </c>
      <c r="C2909" t="n">
        <v>0</v>
      </c>
      <c r="D2909">
        <f>IF(Summary!$B$3=0,0,(B2909-Summary!$B$3)/Summary!$B$3*100)</f>
        <v/>
      </c>
    </row>
    <row r="2910">
      <c r="A2910" t="n">
        <v>1</v>
      </c>
      <c r="B2910">
        <f>B3009</f>
        <v/>
      </c>
      <c r="C2910">
        <f>B2910-B2909</f>
        <v/>
      </c>
      <c r="D2910">
        <f>IF(Summary!$B$3=0,0,(B2910-Summary!$B$3)/Summary!$B$3*100)</f>
        <v/>
      </c>
    </row>
    <row r="2911">
      <c r="A2911" t="n">
        <v>1.5</v>
      </c>
      <c r="B2911">
        <f>B3054</f>
        <v/>
      </c>
      <c r="C2911">
        <f>B2911-B2910</f>
        <v/>
      </c>
      <c r="D2911">
        <f>IF(Summary!$B$3=0,0,(B2911-Summary!$B$3)/Summary!$B$3*100)</f>
        <v/>
      </c>
    </row>
    <row r="2912">
      <c r="A2912" t="n">
        <v>2</v>
      </c>
      <c r="B2912">
        <f>B3099</f>
        <v/>
      </c>
      <c r="C2912">
        <f>B2912-B2911</f>
        <v/>
      </c>
      <c r="D2912">
        <f>IF(Summary!$B$3=0,0,(B2912-Summary!$B$3)/Summary!$B$3*100)</f>
        <v/>
      </c>
    </row>
    <row r="2913">
      <c r="A2913" t="n">
        <v>2.5</v>
      </c>
      <c r="B2913">
        <f>B3144</f>
        <v/>
      </c>
      <c r="C2913">
        <f>B2913-B2912</f>
        <v/>
      </c>
      <c r="D2913">
        <f>IF(Summary!$B$3=0,0,(B2913-Summary!$B$3)/Summary!$B$3*100)</f>
        <v/>
      </c>
    </row>
    <row r="2914">
      <c r="A2914" t="n">
        <v>3</v>
      </c>
      <c r="B2914">
        <f>B3189</f>
        <v/>
      </c>
      <c r="C2914">
        <f>B2914-B2913</f>
        <v/>
      </c>
      <c r="D2914">
        <f>IF(Summary!$B$3=0,0,(B2914-Summary!$B$3)/Summary!$B$3*100)</f>
        <v/>
      </c>
    </row>
    <row r="2915">
      <c r="A2915" t="n">
        <v>3.5</v>
      </c>
      <c r="B2915">
        <f>B3234</f>
        <v/>
      </c>
      <c r="C2915">
        <f>B2915-B2914</f>
        <v/>
      </c>
      <c r="D2915">
        <f>IF(Summary!$B$3=0,0,(B2915-Summary!$B$3)/Summary!$B$3*100)</f>
        <v/>
      </c>
    </row>
    <row r="2916">
      <c r="A2916" t="n">
        <v>4</v>
      </c>
      <c r="B2916">
        <f>B3279</f>
        <v/>
      </c>
      <c r="C2916">
        <f>B2916-B2915</f>
        <v/>
      </c>
      <c r="D2916">
        <f>IF(Summary!$B$3=0,0,(B2916-Summary!$B$3)/Summary!$B$3*100)</f>
        <v/>
      </c>
    </row>
    <row r="2917">
      <c r="A2917" t="n">
        <v>4.5</v>
      </c>
      <c r="B2917">
        <f>B3324</f>
        <v/>
      </c>
      <c r="C2917">
        <f>B2917-B2916</f>
        <v/>
      </c>
      <c r="D2917">
        <f>IF(Summary!$B$3=0,0,(B2917-Summary!$B$3)/Summary!$B$3*100)</f>
        <v/>
      </c>
    </row>
    <row r="2918">
      <c r="A2918" t="n">
        <v>5</v>
      </c>
      <c r="B2918">
        <f>B3369</f>
        <v/>
      </c>
      <c r="C2918">
        <f>B2918-B2917</f>
        <v/>
      </c>
      <c r="D2918">
        <f>IF(Summary!$B$3=0,0,(B2918-Summary!$B$3)/Summary!$B$3*100)</f>
        <v/>
      </c>
    </row>
    <row r="2921">
      <c r="A2921" s="6" t="inlineStr">
        <is>
          <t>Stat: CDR = 0.5s</t>
        </is>
      </c>
    </row>
    <row r="2922">
      <c r="A2922" s="5" t="inlineStr">
        <is>
          <t>Key</t>
        </is>
      </c>
      <c r="B2922" s="5" t="inlineStr">
        <is>
          <t>Name</t>
        </is>
      </c>
      <c r="C2922" s="5" t="inlineStr">
        <is>
          <t>Unlocked</t>
        </is>
      </c>
      <c r="D2922" s="5" t="inlineStr">
        <is>
          <t>InputLevel</t>
        </is>
      </c>
      <c r="E2922" s="5" t="inlineStr">
        <is>
          <t>Factor</t>
        </is>
      </c>
      <c r="F2922" s="5" t="inlineStr">
        <is>
          <t>CoefficientPercent</t>
        </is>
      </c>
      <c r="G2922" s="5" t="inlineStr">
        <is>
          <t>EffectiveHits</t>
        </is>
      </c>
      <c r="H2922" s="5" t="inlineStr">
        <is>
          <t>ProcProbability</t>
        </is>
      </c>
      <c r="I2922" s="5" t="inlineStr">
        <is>
          <t>MapleHeroMultiplier</t>
        </is>
      </c>
      <c r="J2922" s="5" t="inlineStr">
        <is>
          <t>BaseDamage</t>
        </is>
      </c>
      <c r="K2922" s="5" t="inlineStr">
        <is>
          <t>BaseHitDamage</t>
        </is>
      </c>
      <c r="L2922" s="5" t="inlineStr">
        <is>
          <t>NonCritAvg</t>
        </is>
      </c>
      <c r="M2922" s="5" t="inlineStr">
        <is>
          <t>CritAvg</t>
        </is>
      </c>
      <c r="N2922" s="5" t="inlineStr">
        <is>
          <t>ExpectedDamage(perHit)</t>
        </is>
      </c>
      <c r="O2922" s="5" t="inlineStr">
        <is>
          <t>DPS</t>
        </is>
      </c>
      <c r="P2922" s="5" t="inlineStr">
        <is>
          <t>% of Total</t>
        </is>
      </c>
      <c r="R2922" t="inlineStr">
        <is>
          <t>helpers</t>
        </is>
      </c>
    </row>
    <row r="2923">
      <c r="A2923">
        <f>Skills!A2</f>
        <v/>
      </c>
      <c r="B2923">
        <f>Skills!B2</f>
        <v/>
      </c>
      <c r="C2923">
        <f>Inputs!$B$3&gt;=100</f>
        <v/>
      </c>
      <c r="D2923" t="inlineStr"/>
      <c r="E2923" t="inlineStr"/>
      <c r="F2923">
        <f>T2925+Skills!N2</f>
        <v/>
      </c>
      <c r="G2923">
        <f>Calc!G2</f>
        <v/>
      </c>
      <c r="H2923">
        <f>Calc!H2</f>
        <v/>
      </c>
      <c r="I2923">
        <f>IF(Skills!T2&lt;&gt;"",1+(Skills!T2/10)*($Z$3/1000)/100,1)</f>
        <v/>
      </c>
      <c r="J2923">
        <f>((Inputs!$B$6*(1+Inputs!$B$7/100))+(((Inputs!$B$13*(1+Inputs!$B$14/100))-(Inputs!$B$13*(1+Inputs!$B$14/100)))+0.25*(Inputs!$B$15-Inputs!$B$15))*(1+Inputs!$B$7/100))*(F2923/100)</f>
        <v/>
      </c>
      <c r="K2923">
        <f>J2923*(1+(((Inputs!$B$13+IF(Inputs!$B$3&gt;=35,(10*INDEX(FactorTable!$B$2:$Y$301,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2="TRIUMPH_FEATHER",IF(C2937=TRUE,F2937,0),0)/100)*(1+IF(C2948=TRUE,F2948,0)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2923)</f>
        <v/>
      </c>
      <c r="L2923">
        <f>K2923*(MIN(Inputs!$B$23+(F2943-Calc!F22),(Inputs!$B$24+IF(ArtifactsInput!$M$15,CHOOSE(ArtifactsInput!$N$15+1,25,30,35,40,45,50)/100*(Inputs!$B$12-Inputs!$B$12),0)))/100+(Inputs!$B$24+IF(ArtifactsInput!$M$15,CHOOSE(ArtifactsInput!$N$15+1,25,30,35,40,45,50)/100*(Inputs!$B$12-Inputs!$B$12),0))/100)/2</f>
        <v/>
      </c>
      <c r="M2923">
        <f>L2923*(1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3">
        <f>L2923*(1-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(1-Summary!$B$11)*S2923+Summary!$B$11*U2923</f>
        <v/>
      </c>
      <c r="P2923">
        <f>IF(B2964=0,0,O2923/B2964)</f>
        <v/>
      </c>
      <c r="Q2923">
        <f>IFERROR(1/(IF(Inputs!$B$39="pvp",15,MAX(0.1,Skills!D2-IF(Skills!E2=TRUE,0.5,0)))*(1-IF(AND(ArtifactsInput!$M$27,Inputs!$B$4="Chapter Hunt"),CHOOSE(ArtifactsInput!$N$27+1,20,24,28,32,36,40),0)/100)),0)</f>
        <v/>
      </c>
      <c r="R2923" t="n">
        <v>0</v>
      </c>
      <c r="S2923">
        <f>IF(C2923,(Skills!F2*N2923*B2959)*IF(Inputs!$B$39="pvp",1,1+(Inputs!$B$21+Skills!O2+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2923*(1-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23">
        <f>MAX(0,(Inputs!$B$3-100)*3)+Inputs!$B$29+Inputs!$B$30</f>
        <v/>
      </c>
      <c r="U2923">
        <f>IF(C2923,(Skills!F2*N2923*B2959)*IF(Inputs!$B$39="pvp",1,(1+(Inputs!$B$22+Skills!P2+B2953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Skills!A3</f>
        <v/>
      </c>
      <c r="B2924">
        <f>Skills!B3</f>
        <v/>
      </c>
      <c r="C2924">
        <f>Inputs!$B$3&gt;=15</f>
        <v/>
      </c>
      <c r="D2924">
        <f>IF(Skills!C3=1,60+Inputs!$B$26+Inputs!$B$30,IF(Skills!C3=2,90+Inputs!$B$27+Inputs!$B$30,IF(Skills!C3=3,120+Inputs!$B$28+Inputs!$B$30,MAX(0,(Inputs!$B$3-100)*3)+Inputs!$B$29+Inputs!$B$30)))</f>
        <v/>
      </c>
      <c r="E2924">
        <f>INDEX(FactorTable!$B$2:$Y$301, MATCH(ROUND(MIN(300,MAX(1,D2924)),0), FactorTable!$A$2:$A$301,0), Skills!L3+1)</f>
        <v/>
      </c>
      <c r="F2924">
        <f>IF(Skills!M3=TRUE,(Skills!K3/10)*(E2924/1000),Skills!K3/10)+Skills!N3</f>
        <v/>
      </c>
      <c r="G2924">
        <f>Calc!G3</f>
        <v/>
      </c>
      <c r="H2924">
        <f>Calc!H3</f>
        <v/>
      </c>
      <c r="I2924">
        <f>IF(Skills!T3&lt;&gt;"",1+(Skills!T3/10)*($Z$3/1000)/100,1)</f>
        <v/>
      </c>
      <c r="J2924" t="inlineStr"/>
      <c r="K2924" t="inlineStr"/>
      <c r="L2924" t="inlineStr"/>
      <c r="M2924" t="inlineStr"/>
      <c r="N2924" t="inlineStr"/>
      <c r="O2924">
        <f>(1-Summary!$B$11)*S2924+Summary!$B$11*U2924</f>
        <v/>
      </c>
      <c r="P2924">
        <f>IF(B2964=0,0,O2924/B2964)</f>
        <v/>
      </c>
      <c r="Q2924">
        <f>IFERROR(1/(IF(Inputs!$B$39="pvp",15,MAX(0.1,Skills!D3-IF(Skills!E3=TRUE,0.5,0)))*(1-IF(AND(ArtifactsInput!$M$27,Inputs!$B$4="Chapter Hunt"),CHOOSE(ArtifactsInput!$N$27+1,20,24,28,32,36,40),0)/100)),0)</f>
        <v/>
      </c>
      <c r="R2924">
        <f>IF(AND(Inputs!$B$39&lt;&gt;"pvp",Inputs!$B$44&gt;0),IF(Inputs!$B$44&lt;=0,0,(INT(Inputs!$B$44/(IF(Inputs!$B$39="pvp",15,MAX(0.1,Skills!D3-IF(Skills!E3=TRUE,0.5,0)))*(1-IF(AND(ArtifactsInput!$M$27,Inputs!$B$4="Chapter Hunt"),CHOOSE(ArtifactsInput!$N$27+1,20,24,28,32,36,40),0)/100)))+1)),0)</f>
        <v/>
      </c>
      <c r="S2924" t="n">
        <v>0</v>
      </c>
      <c r="T2924">
        <f>INDEX(FactorTable!$B$2:$Y$301, MATCH(ROUND(MIN(300,MAX(1,T2923)),0), FactorTable!$A$2:$A$301,0), 22)</f>
        <v/>
      </c>
      <c r="U2924" t="n">
        <v>0</v>
      </c>
    </row>
    <row r="2925">
      <c r="A2925">
        <f>Skills!A4</f>
        <v/>
      </c>
      <c r="B2925">
        <f>Skills!B4</f>
        <v/>
      </c>
      <c r="C2925">
        <f>Inputs!$B$3&gt;=38</f>
        <v/>
      </c>
      <c r="D2925">
        <f>IF(Skills!C4=1,60+Inputs!$B$26+Inputs!$B$30,IF(Skills!C4=2,90+Inputs!$B$27+Inputs!$B$30,IF(Skills!C4=3,120+Inputs!$B$28+Inputs!$B$30,MAX(0,(Inputs!$B$3-100)*3)+Inputs!$B$29+Inputs!$B$30)))</f>
        <v/>
      </c>
      <c r="E2925">
        <f>INDEX(FactorTable!$B$2:$Y$301, MATCH(ROUND(MIN(300,MAX(1,D2925)),0), FactorTable!$A$2:$A$301,0), Skills!L4+1)</f>
        <v/>
      </c>
      <c r="F2925">
        <f>IF(Skills!M4=TRUE,(Skills!K4/10)*(E2925/1000),Skills!K4/10)+Skills!N4</f>
        <v/>
      </c>
      <c r="G2925">
        <f>Calc!G4</f>
        <v/>
      </c>
      <c r="H2925">
        <f>Calc!H4</f>
        <v/>
      </c>
      <c r="I2925">
        <f>IF(Skills!T4&lt;&gt;"",1+(Skills!T4/10)*($Z$3/1000)/100,1)</f>
        <v/>
      </c>
      <c r="J2925" t="inlineStr"/>
      <c r="K2925" t="inlineStr"/>
      <c r="L2925" t="inlineStr"/>
      <c r="M2925" t="inlineStr"/>
      <c r="N2925" t="inlineStr"/>
      <c r="O2925">
        <f>(1-Summary!$B$11)*S2925+Summary!$B$11*U2925</f>
        <v/>
      </c>
      <c r="P2925">
        <f>IF(B2964=0,0,O2925/B2964)</f>
        <v/>
      </c>
      <c r="Q2925">
        <f>IFERROR(1/(IF(Inputs!$B$39="pvp",15,MAX(0.1,Skills!D4-IF(Skills!E4=TRUE,0.5,0)))*(1-IF(AND(ArtifactsInput!$M$27,Inputs!$B$4="Chapter Hunt"),CHOOSE(ArtifactsInput!$N$27+1,20,24,28,32,36,40),0)/100)),0)</f>
        <v/>
      </c>
      <c r="R2925">
        <f>IF(AND(Inputs!$B$39&lt;&gt;"pvp",Inputs!$B$44&gt;0),IF(Inputs!$B$44&lt;=0,0,(INT(Inputs!$B$44/(IF(Inputs!$B$39="pvp",15,MAX(0.1,Skills!D4-IF(Skills!E4=TRUE,0.5,0)))*(1-IF(AND(ArtifactsInput!$M$27,Inputs!$B$4="Chapter Hunt"),CHOOSE(ArtifactsInput!$N$27+1,20,24,28,32,36,40),0)/100)))+1)),0)</f>
        <v/>
      </c>
      <c r="S2925" t="n">
        <v>0</v>
      </c>
      <c r="T2925">
        <f>290*T2924/1000</f>
        <v/>
      </c>
      <c r="U2925" t="n">
        <v>0</v>
      </c>
    </row>
    <row r="2926">
      <c r="A2926">
        <f>Skills!A5</f>
        <v/>
      </c>
      <c r="B2926">
        <f>Skills!B5</f>
        <v/>
      </c>
      <c r="C2926">
        <f>Inputs!$B$3&gt;=40</f>
        <v/>
      </c>
      <c r="D2926">
        <f>IF(Skills!C5=1,60+Inputs!$B$26+Inputs!$B$30,IF(Skills!C5=2,90+Inputs!$B$27+Inputs!$B$30,IF(Skills!C5=3,120+Inputs!$B$28+Inputs!$B$30,MAX(0,(Inputs!$B$3-100)*3)+Inputs!$B$29+Inputs!$B$30)))</f>
        <v/>
      </c>
      <c r="E2926">
        <f>INDEX(FactorTable!$B$2:$Y$301, MATCH(ROUND(MIN(300,MAX(1,D2926)),0), FactorTable!$A$2:$A$301,0), Skills!L5+1)</f>
        <v/>
      </c>
      <c r="F2926">
        <f>IF(Skills!M5=TRUE,(Skills!K5/10)*(E2926/1000),Skills!K5/10)+Skills!N5</f>
        <v/>
      </c>
      <c r="G2926">
        <f>Calc!G5</f>
        <v/>
      </c>
      <c r="H2926">
        <f>Calc!H5</f>
        <v/>
      </c>
      <c r="I2926">
        <f>IF(Skills!T5&lt;&gt;"",1+(Skills!T5/10)*($Z$3/1000)/100,1)</f>
        <v/>
      </c>
      <c r="J2926" t="inlineStr"/>
      <c r="K2926" t="inlineStr"/>
      <c r="L2926" t="inlineStr"/>
      <c r="M2926" t="inlineStr"/>
      <c r="N2926" t="inlineStr"/>
      <c r="O2926">
        <f>(1-Summary!$B$11)*S2926+Summary!$B$11*U2926</f>
        <v/>
      </c>
      <c r="P2926">
        <f>IF(B2964=0,0,O2926/B2964)</f>
        <v/>
      </c>
      <c r="Q2926">
        <f>IFERROR(1/(IF(Inputs!$B$39="pvp",15,MAX(0.1,Skills!D5-IF(Skills!E5=TRUE,0.5,0)))*(1-IF(AND(ArtifactsInput!$M$27,Inputs!$B$4="Chapter Hunt"),CHOOSE(ArtifactsInput!$N$27+1,20,24,28,32,36,40),0)/100)),0)</f>
        <v/>
      </c>
      <c r="R2926">
        <f>IF(AND(Inputs!$B$39&lt;&gt;"pvp",Inputs!$B$44&gt;0),IF(Inputs!$B$44&lt;=0,0,(INT(Inputs!$B$44/(IF(Inputs!$B$39="pvp",15,MAX(0.1,Skills!D5-IF(Skills!E5=TRUE,0.5,0)))*(1-IF(AND(ArtifactsInput!$M$27,Inputs!$B$4="Chapter Hunt"),CHOOSE(ArtifactsInput!$N$27+1,20,24,28,32,36,40),0)/100)))+1)),0)</f>
        <v/>
      </c>
      <c r="S2926" t="n">
        <v>0</v>
      </c>
      <c r="U2926" t="n">
        <v>0</v>
      </c>
    </row>
    <row r="2927">
      <c r="A2927">
        <f>Skills!A6</f>
        <v/>
      </c>
      <c r="B2927">
        <f>Skills!B6</f>
        <v/>
      </c>
      <c r="C2927">
        <f>Inputs!$B$3&gt;=103</f>
        <v/>
      </c>
      <c r="D2927">
        <f>IF(Skills!C6=1,60+Inputs!$B$26+Inputs!$B$30,IF(Skills!C6=2,90+Inputs!$B$27+Inputs!$B$30,IF(Skills!C6=3,120+Inputs!$B$28+Inputs!$B$30,MAX(0,(Inputs!$B$3-100)*3)+Inputs!$B$29+Inputs!$B$30)))</f>
        <v/>
      </c>
      <c r="E2927">
        <f>INDEX(FactorTable!$B$2:$Y$301, MATCH(ROUND(MIN(300,MAX(1,D2927)),0), FactorTable!$A$2:$A$301,0), Skills!L6+1)</f>
        <v/>
      </c>
      <c r="F2927">
        <f>IF(Skills!M6=TRUE,(Skills!K6/10)*(E2927/1000),Skills!K6/10)+Skills!N6</f>
        <v/>
      </c>
      <c r="G2927">
        <f>Calc!G6</f>
        <v/>
      </c>
      <c r="H2927">
        <f>Calc!H6</f>
        <v/>
      </c>
      <c r="I2927">
        <f>IF(Skills!T6&lt;&gt;"",1+(Skills!T6/10)*($Z$3/1000)/100,1)</f>
        <v/>
      </c>
      <c r="J2927">
        <f>((Inputs!$B$6*(1+Inputs!$B$7/100))+(((Inputs!$B$13*(1+Inputs!$B$14/100))-(Inputs!$B$13*(1+Inputs!$B$14/100)))+0.25*(Inputs!$B$15-Inputs!$B$15))*(1+Inputs!$B$7/100))*(F2927/100)</f>
        <v/>
      </c>
      <c r="K2927">
        <f>J2927*(1+(((Inputs!$B$13+IF(Inputs!$B$3&gt;=35,(10*INDEX(FactorTable!$B$2:$Y$301,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6="TRIUMPH_FEATHER",IF(C2937=TRUE,F2937,0),0)/100)*(1+IF(C2948=TRUE,F2948,0)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2927)</f>
        <v/>
      </c>
      <c r="L2927">
        <f>K2927*(MIN(Inputs!$B$23+(F2943-Calc!F22),(Inputs!$B$24+IF(ArtifactsInput!$M$15,CHOOSE(ArtifactsInput!$N$15+1,25,30,35,40,45,50)/100*(Inputs!$B$12-Inputs!$B$12),0)))/100+(Inputs!$B$24+IF(ArtifactsInput!$M$15,CHOOSE(ArtifactsInput!$N$15+1,25,30,35,40,45,50)/100*(Inputs!$B$12-Inputs!$B$12),0))/100)/2</f>
        <v/>
      </c>
      <c r="M2927">
        <f>L2927*(1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7">
        <f>L2927*(1-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(1-Summary!$B$11)*S2927+Summary!$B$11*U2927</f>
        <v/>
      </c>
      <c r="P2927">
        <f>IF(B2964=0,0,O2927/B2964)</f>
        <v/>
      </c>
      <c r="Q2927">
        <f>IFERROR(1/(IF(Inputs!$B$39="pvp",15,MAX(0.1,Skills!D6-IF(Skills!E6=TRUE,0.5,0)))*(1-IF(AND(ArtifactsInput!$M$27,Inputs!$B$4="Chapter Hunt"),CHOOSE(ArtifactsInput!$N$27+1,20,24,28,32,36,40),0)/100)),0)</f>
        <v/>
      </c>
      <c r="R2927">
        <f>IF(AND(Inputs!$B$39&lt;&gt;"pvp",Inputs!$B$44&gt;0),IF(MAX(0,Inputs!$B$44-B2961)&lt;=0,0,(INT(MAX(0,Inputs!$B$44-B2961)/(IF(Inputs!$B$39="pvp",15,MAX(0.1,Skills!D6-IF(Skills!E6=TRUE,0.5,0)))*(1-IF(AND(ArtifactsInput!$M$27,Inputs!$B$4="Chapter Hunt"),CHOOSE(ArtifactsInput!$N$27+1,20,24,28,32,36,40),0)/100)))+1)),0)</f>
        <v/>
      </c>
      <c r="S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$21+Skills!O6+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2927*(1-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$22+Skills!P6+B2953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Skills!A7</f>
        <v/>
      </c>
      <c r="B2928">
        <f>Skills!B7</f>
        <v/>
      </c>
      <c r="C2928">
        <f>Inputs!$B$3&gt;=122</f>
        <v/>
      </c>
      <c r="D2928">
        <f>IF(Skills!C7=1,60+Inputs!$B$26+Inputs!$B$30,IF(Skills!C7=2,90+Inputs!$B$27+Inputs!$B$30,IF(Skills!C7=3,120+Inputs!$B$28+Inputs!$B$30,MAX(0,(Inputs!$B$3-100)*3)+Inputs!$B$29+Inputs!$B$30)))</f>
        <v/>
      </c>
      <c r="E2928">
        <f>INDEX(FactorTable!$B$2:$Y$301, MATCH(ROUND(MIN(300,MAX(1,D2928)),0), FactorTable!$A$2:$A$301,0), Skills!L7+1)</f>
        <v/>
      </c>
      <c r="F2928">
        <f>IF(Skills!M7=TRUE,(Skills!K7/10)*(E2928/1000),Skills!K7/10)+Skills!N7</f>
        <v/>
      </c>
      <c r="G2928">
        <f>Calc!G7</f>
        <v/>
      </c>
      <c r="H2928">
        <f>Calc!H7</f>
        <v/>
      </c>
      <c r="I2928">
        <f>IF(Skills!T7&lt;&gt;"",1+(Skills!T7/10)*($Z$3/1000)/100,1)</f>
        <v/>
      </c>
      <c r="J2928">
        <f>((Inputs!$B$6*(1+Inputs!$B$7/100))+(((Inputs!$B$13*(1+Inputs!$B$14/100))-(Inputs!$B$13*(1+Inputs!$B$14/100)))+0.25*(Inputs!$B$15-Inputs!$B$15))*(1+Inputs!$B$7/100))*(F2928/100)</f>
        <v/>
      </c>
      <c r="K2928">
        <f>J2928*(1+(((Inputs!$B$13+IF(Inputs!$B$3&gt;=35,(10*INDEX(FactorTable!$B$2:$Y$301,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7="TRIUMPH_FEATHER",IF(C2937=TRUE,F2937,0),0)/100)*(1+IF(C2948=TRUE,F2948,0)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2928)</f>
        <v/>
      </c>
      <c r="L2928">
        <f>K2928*(MIN(Inputs!$B$23+(F2943-Calc!F22),(Inputs!$B$24+IF(ArtifactsInput!$M$15,CHOOSE(ArtifactsInput!$N$15+1,25,30,35,40,45,50)/100*(Inputs!$B$12-Inputs!$B$12),0)))/100+(Inputs!$B$24+IF(ArtifactsInput!$M$15,CHOOSE(ArtifactsInput!$N$15+1,25,30,35,40,45,50)/100*(Inputs!$B$12-Inputs!$B$12),0))/100)/2</f>
        <v/>
      </c>
      <c r="M2928">
        <f>L2928*(1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8">
        <f>L2928*(1-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(1-Summary!$B$11)*S2928+Summary!$B$11*U2928</f>
        <v/>
      </c>
      <c r="P2928">
        <f>IF(B2964=0,0,O2928/B2964)</f>
        <v/>
      </c>
      <c r="Q2928">
        <f>IFERROR(1/(IF(Inputs!$B$39="pvp",15,MAX(0.1,Skills!D7-IF(Skills!E6=TRUE,0.5,0)))*(1-IF(AND(ArtifactsInput!$M$27,Inputs!$B$4="Chapter Hunt"),CHOOSE(ArtifactsInput!$N$27+1,20,24,28,32,36,40),0)/100)),0)</f>
        <v/>
      </c>
      <c r="R2928">
        <f>IF(AND(Inputs!$B$39&lt;&gt;"pvp",Inputs!$B$44&gt;0),IF(MAX(0,Inputs!$B$44-B2961)&lt;=0,0,(INT(MAX(0,Inputs!$B$44-B2961)/(IF(Inputs!$B$39="pvp",15,MAX(0.1,Skills!D7-IF(Skills!E6=TRUE,0.5,0)))*(1-IF(AND(ArtifactsInput!$M$27,Inputs!$B$4="Chapter Hunt"),CHOOSE(ArtifactsInput!$N$27+1,20,24,28,32,36,40),0)/100)))+1)),0)</f>
        <v/>
      </c>
      <c r="S2928">
        <f>IF(C2928,H2928*N2928*IF(AND(Inputs!$B$39&lt;&gt;"pvp",Inputs!$B$44&gt;0),((Skills!F7*((R2928-1)*IF(Skills!G7&gt;0,Skills!H7/Skills!G7,1)+IF(Skills!G7&gt;0,MIN(Skills!H7,MAX(0,MAX(0,Inputs!$B$44-B2961)-((R2928-1)*(IF(Inputs!$B$39="pvp",15,MAX(0.1,Skills!D7-IF(Skills!E6=TRUE,0.5,0)))*(1-IF(AND(ArtifactsInput!$M$27,Inputs!$B$4="Chapter Hunt"),CHOOSE(ArtifactsInput!$N$27+1,20,24,28,32,36,40),0)/100)))))/Skills!G7,1)))/Inputs!$B$44),G2928*Q2928)*IF(Inputs!$B$39="pvp",1,1+(Inputs!$B$21+Skills!O7+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2928*(1-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8" t="n">
        <v>0</v>
      </c>
    </row>
    <row r="2929">
      <c r="A2929">
        <f>Skills!A8</f>
        <v/>
      </c>
      <c r="B2929">
        <f>Skills!B8</f>
        <v/>
      </c>
      <c r="C2929">
        <f>Inputs!$B$3&gt;=105</f>
        <v/>
      </c>
      <c r="D2929">
        <f>IF(Skills!C8=1,60+Inputs!$B$26+Inputs!$B$30,IF(Skills!C8=2,90+Inputs!$B$27+Inputs!$B$30,IF(Skills!C8=3,120+Inputs!$B$28+Inputs!$B$30,MAX(0,(Inputs!$B$3-100)*3)+Inputs!$B$29+Inputs!$B$30)))</f>
        <v/>
      </c>
      <c r="E2929">
        <f>INDEX(FactorTable!$B$2:$Y$301, MATCH(ROUND(MIN(300,MAX(1,D2929)),0), FactorTable!$A$2:$A$301,0), Skills!L8+1)</f>
        <v/>
      </c>
      <c r="F2929">
        <f>IF(Skills!M8=TRUE,(Skills!K8/10)*(E2929/1000),Skills!K8/10)+Skills!N8</f>
        <v/>
      </c>
      <c r="G2929">
        <f>Calc!G8</f>
        <v/>
      </c>
      <c r="H2929">
        <f>Calc!H8</f>
        <v/>
      </c>
      <c r="I2929">
        <f>IF(Skills!T8&lt;&gt;"",1+(Skills!T8/10)*($Z$3/1000)/100,1)</f>
        <v/>
      </c>
      <c r="J2929">
        <f>((Inputs!$B$6*(1+Inputs!$B$7/100))+(((Inputs!$B$13*(1+Inputs!$B$14/100))-(Inputs!$B$13*(1+Inputs!$B$14/100)))+0.25*(Inputs!$B$15-Inputs!$B$15))*(1+Inputs!$B$7/100))*(F2929/100)</f>
        <v/>
      </c>
      <c r="K2929">
        <f>J2929*(1+(((Inputs!$B$13+IF(Inputs!$B$3&gt;=35,(10*INDEX(FactorTable!$B$2:$Y$301,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8="TRIUMPH_FEATHER",IF(C2937=TRUE,F2937,0),0)/100)*(1+IF(C2948=TRUE,F2948,0)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2929)</f>
        <v/>
      </c>
      <c r="L2929">
        <f>K2929*(MIN(Inputs!$B$23+(F2943-Calc!F22),(Inputs!$B$24+IF(ArtifactsInput!$M$15,CHOOSE(ArtifactsInput!$N$15+1,25,30,35,40,45,50)/100*(Inputs!$B$12-Inputs!$B$12),0)))/100+(Inputs!$B$24+IF(ArtifactsInput!$M$15,CHOOSE(ArtifactsInput!$N$15+1,25,30,35,40,45,50)/100*(Inputs!$B$12-Inputs!$B$12),0))/100)/2</f>
        <v/>
      </c>
      <c r="M2929">
        <f>L2929*(1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9">
        <f>L2929*(1-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(1-Summary!$B$11)*S2929+Summary!$B$11*U2929</f>
        <v/>
      </c>
      <c r="P2929">
        <f>IF(B2964=0,0,O2929/B2964)</f>
        <v/>
      </c>
      <c r="Q2929">
        <f>IFERROR(1/(IF(Inputs!$B$39="pvp",15,MAX(0.1,Skills!D8-IF(Skills!E8=TRUE,0.5,0)))*(1-IF(AND(ArtifactsInput!$M$27,Inputs!$B$4="Chapter Hunt"),CHOOSE(ArtifactsInput!$N$27+1,20,24,28,32,36,40),0)/100)),0)</f>
        <v/>
      </c>
      <c r="R2929">
        <f>IF(AND(Inputs!$B$39&lt;&gt;"pvp",Inputs!$B$44&gt;0),IF(MAX(0,Inputs!$B$44-B2961)&lt;=0,0,(INT(MAX(0,Inputs!$B$44-B2961)/(IF(Inputs!$B$39="pvp",15,MAX(0.1,Skills!D8-IF(Skills!E8=TRUE,0.5,0)))*(1-IF(AND(ArtifactsInput!$M$27,Inputs!$B$4="Chapter Hunt"),CHOOSE(ArtifactsInput!$N$27+1,20,24,28,32,36,40),0)/100)))+1)),0)</f>
        <v/>
      </c>
      <c r="S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$21+Skills!O8+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2929*(1-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$22+Skills!P8+B2953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Skills!A9</f>
        <v/>
      </c>
      <c r="B2930">
        <f>Skills!B9</f>
        <v/>
      </c>
      <c r="C2930">
        <f>Inputs!$B$3&gt;=115</f>
        <v/>
      </c>
      <c r="D2930">
        <f>IF(Skills!C9=1,60+Inputs!$B$26+Inputs!$B$30,IF(Skills!C9=2,90+Inputs!$B$27+Inputs!$B$30,IF(Skills!C9=3,120+Inputs!$B$28+Inputs!$B$30,MAX(0,(Inputs!$B$3-100)*3)+Inputs!$B$29+Inputs!$B$30)))</f>
        <v/>
      </c>
      <c r="E2930">
        <f>INDEX(FactorTable!$B$2:$Y$301, MATCH(ROUND(MIN(300,MAX(1,D2930)),0), FactorTable!$A$2:$A$301,0), Skills!L9+1)</f>
        <v/>
      </c>
      <c r="F2930">
        <f>IF(Skills!M9=TRUE,(Skills!K9/10)*(E2930/1000),Skills!K9/10)+Skills!N9</f>
        <v/>
      </c>
      <c r="G2930">
        <f>Calc!G9</f>
        <v/>
      </c>
      <c r="H2930">
        <f>Calc!H9</f>
        <v/>
      </c>
      <c r="I2930">
        <f>IF(Skills!T9&lt;&gt;"",1+(Skills!T9/10)*($Z$3/1000)/100,1)</f>
        <v/>
      </c>
      <c r="J2930">
        <f>((Inputs!$B$6*(1+Inputs!$B$7/100))+(((Inputs!$B$13*(1+Inputs!$B$14/100))-(Inputs!$B$13*(1+Inputs!$B$14/100)))+0.25*(Inputs!$B$15-Inputs!$B$15))*(1+Inputs!$B$7/100))*(F2930/100)</f>
        <v/>
      </c>
      <c r="K2930">
        <f>J2930*(1+(((Inputs!$B$13+IF(Inputs!$B$3&gt;=35,(10*INDEX(FactorTable!$B$2:$Y$301,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9="TRIUMPH_FEATHER",IF(C2937=TRUE,F2937,0),0)/100)*(1+IF(C2948=TRUE,F2948,0)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2930)</f>
        <v/>
      </c>
      <c r="L2930">
        <f>K2930*(MIN(Inputs!$B$23+(F2943-Calc!F22),(Inputs!$B$24+IF(ArtifactsInput!$M$15,CHOOSE(ArtifactsInput!$N$15+1,25,30,35,40,45,50)/100*(Inputs!$B$12-Inputs!$B$12),0)))/100+(Inputs!$B$24+IF(ArtifactsInput!$M$15,CHOOSE(ArtifactsInput!$N$15+1,25,30,35,40,45,50)/100*(Inputs!$B$12-Inputs!$B$12),0))/100)/2</f>
        <v/>
      </c>
      <c r="M2930">
        <f>L2930*(1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0">
        <f>L2930*(1-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2930*(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0">
        <f>(1-Summary!$B$11)*S2930+Summary!$B$11*U2930</f>
        <v/>
      </c>
      <c r="P2930">
        <f>IF(B2964=0,0,O2930/B2964)</f>
        <v/>
      </c>
      <c r="Q2930">
        <f>IFERROR(1/(IF(Inputs!$B$39="pvp",15,MAX(0.1,Skills!D9-IF(Skills!E9=TRUE,0.5,0)))*(1-IF(AND(ArtifactsInput!$M$27,Inputs!$B$4="Chapter Hunt"),CHOOSE(ArtifactsInput!$N$27+1,20,24,28,32,36,40),0)/100)),0)</f>
        <v/>
      </c>
      <c r="R2930">
        <f>IF(AND(Inputs!$B$39&lt;&gt;"pvp",Inputs!$B$44&gt;0),IF(MAX(0,Inputs!$B$44-B2961)&lt;=0,0,(INT(MAX(0,Inputs!$B$44-B2961)/(IF(Inputs!$B$39="pvp",15,MAX(0.1,Skills!D9-IF(Skills!E9=TRUE,0.5,0)))*(1-IF(AND(ArtifactsInput!$M$27,Inputs!$B$4="Chapter Hunt"),CHOOSE(ArtifactsInput!$N$27+1,20,24,28,32,36,40),0)/100)))+1)),0)</f>
        <v/>
      </c>
      <c r="S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$21+Skills!O9+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2930*(1-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2930*(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2930*(1-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2930*(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$22+Skills!P9+B2953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1">
      <c r="A2931">
        <f>Skills!A10</f>
        <v/>
      </c>
      <c r="B2931">
        <f>Skills!B10</f>
        <v/>
      </c>
      <c r="C2931">
        <f>Inputs!$B$3&gt;=66</f>
        <v/>
      </c>
      <c r="D2931">
        <f>IF(Skills!C10=1,60+Inputs!$B$26+Inputs!$B$30,IF(Skills!C10=2,90+Inputs!$B$27+Inputs!$B$30,IF(Skills!C10=3,120+Inputs!$B$28+Inputs!$B$30,MAX(0,(Inputs!$B$3-100)*3)+Inputs!$B$29+Inputs!$B$30)))</f>
        <v/>
      </c>
      <c r="E2931">
        <f>INDEX(FactorTable!$B$2:$Y$301, MATCH(ROUND(MIN(300,MAX(1,D2931)),0), FactorTable!$A$2:$A$301,0), Skills!L10+1)</f>
        <v/>
      </c>
      <c r="F2931" t="n">
        <v>0</v>
      </c>
      <c r="G2931">
        <f>Calc!G10</f>
        <v/>
      </c>
      <c r="H2931">
        <f>Calc!H10</f>
        <v/>
      </c>
      <c r="I2931">
        <f>IF(Skills!T10&lt;&gt;"",1+(Skills!T10/10)*($Z$3/1000)/100,1)</f>
        <v/>
      </c>
      <c r="J2931" t="inlineStr"/>
      <c r="K2931" t="inlineStr"/>
      <c r="L2931" t="inlineStr"/>
      <c r="M2931" t="inlineStr"/>
      <c r="N2931" t="inlineStr"/>
      <c r="O2931">
        <f>(1-Summary!$B$11)*S2931+Summary!$B$11*U2931</f>
        <v/>
      </c>
      <c r="P2931">
        <f>IF(B2964=0,0,O2931/B2964)</f>
        <v/>
      </c>
      <c r="Q2931">
        <f>IFERROR(1/(IF(Inputs!$B$39="pvp",15,MAX(0.1,Skills!D10-IF(Skills!E10=TRUE,0.5,0)))*(1-IF(AND(ArtifactsInput!$M$27,Inputs!$B$4="Chapter Hunt"),CHOOSE(ArtifactsInput!$N$27+1,20,24,28,32,36,40),0)/100)),0)</f>
        <v/>
      </c>
      <c r="R2931">
        <f>IF(AND(Inputs!$B$39&lt;&gt;"pvp",Inputs!$B$44&gt;0),IF(MAX(0,Inputs!$B$44-B2961)&lt;=0,0,(INT(MAX(0,Inputs!$B$44-B2961)/(IF(Inputs!$B$39="pvp",15,MAX(0.1,Skills!D10-IF(Skills!E10=TRUE,0.5,0)))*(1-IF(AND(ArtifactsInput!$M$27,Inputs!$B$4="Chapter Hunt"),CHOOSE(ArtifactsInput!$N$27+1,20,24,28,32,36,40),0)/100)))+1)),0)</f>
        <v/>
      </c>
      <c r="S2931" t="n">
        <v>0</v>
      </c>
      <c r="U2931" t="n">
        <v>0</v>
      </c>
    </row>
    <row r="2932">
      <c r="A2932">
        <f>Skills!A11</f>
        <v/>
      </c>
      <c r="B2932">
        <f>Skills!B11</f>
        <v/>
      </c>
      <c r="C2932">
        <f>Inputs!$B$3&gt;=69</f>
        <v/>
      </c>
      <c r="D2932">
        <f>IF(Skills!C11=1,60+Inputs!$B$26+Inputs!$B$30,IF(Skills!C11=2,90+Inputs!$B$27+Inputs!$B$30,IF(Skills!C11=3,120+Inputs!$B$28+Inputs!$B$30,MAX(0,(Inputs!$B$3-100)*3)+Inputs!$B$29+Inputs!$B$30)))</f>
        <v/>
      </c>
      <c r="E2932">
        <f>INDEX(FactorTable!$B$2:$Y$301, MATCH(ROUND(MIN(300,MAX(1,D2932)),0), FactorTable!$A$2:$A$301,0), Skills!L11+1)</f>
        <v/>
      </c>
      <c r="F2932">
        <f>IF(Skills!M11=TRUE,(Skills!K11/10)*(E2932/1000),Skills!K11/10)+Skills!N11</f>
        <v/>
      </c>
      <c r="G2932">
        <f>Calc!G11</f>
        <v/>
      </c>
      <c r="H2932">
        <f>Calc!H11</f>
        <v/>
      </c>
      <c r="I2932">
        <f>IF(Skills!T11&lt;&gt;"",1+(Skills!T11/10)*($Z$3/1000)/100,1)</f>
        <v/>
      </c>
      <c r="J2932" t="inlineStr"/>
      <c r="K2932" t="inlineStr"/>
      <c r="L2932" t="inlineStr"/>
      <c r="M2932" t="inlineStr"/>
      <c r="N2932" t="inlineStr"/>
      <c r="O2932">
        <f>(1-Summary!$B$11)*S2932+Summary!$B$11*U2932</f>
        <v/>
      </c>
      <c r="P2932">
        <f>IF(B2964=0,0,O2932/B2964)</f>
        <v/>
      </c>
      <c r="Q2932">
        <f>IFERROR(1/(IF(Inputs!$B$39="pvp",15,MAX(0.1,Skills!D11-IF(Skills!E11=TRUE,0.5,0)))*(1-IF(AND(ArtifactsInput!$M$27,Inputs!$B$4="Chapter Hunt"),CHOOSE(ArtifactsInput!$N$27+1,20,24,28,32,36,40),0)/100)),0)</f>
        <v/>
      </c>
      <c r="R2932">
        <f>IF(AND(Inputs!$B$39&lt;&gt;"pvp",Inputs!$B$44&gt;0),IF(Inputs!$B$44&lt;=0,0,(INT(Inputs!$B$44/(IF(Inputs!$B$39="pvp",15,MAX(0.1,Skills!D11-IF(Skills!E11=TRUE,0.5,0)))*(1-IF(AND(ArtifactsInput!$M$27,Inputs!$B$4="Chapter Hunt"),CHOOSE(ArtifactsInput!$N$27+1,20,24,28,32,36,40),0)/100)))+1)),0)</f>
        <v/>
      </c>
      <c r="S2932" t="n">
        <v>0</v>
      </c>
      <c r="U2932" t="n">
        <v>0</v>
      </c>
    </row>
    <row r="2933">
      <c r="A2933">
        <f>Skills!A12</f>
        <v/>
      </c>
      <c r="B2933">
        <f>Skills!B12</f>
        <v/>
      </c>
      <c r="C2933">
        <f>Inputs!$B$3&gt;=72</f>
        <v/>
      </c>
      <c r="D2933">
        <f>IF(Skills!C12=1,60+Inputs!$B$26+Inputs!$B$30,IF(Skills!C12=2,90+Inputs!$B$27+Inputs!$B$30,IF(Skills!C12=3,120+Inputs!$B$28+Inputs!$B$30,MAX(0,(Inputs!$B$3-100)*3)+Inputs!$B$29+Inputs!$B$30)))</f>
        <v/>
      </c>
      <c r="E2933">
        <f>INDEX(FactorTable!$B$2:$Y$301, MATCH(ROUND(MIN(300,MAX(1,D2933)),0), FactorTable!$A$2:$A$301,0), Skills!L12+1)</f>
        <v/>
      </c>
      <c r="F2933">
        <f>IF(Skills!M12=TRUE,(Skills!K12/10)*(E2933/1000),Skills!K12/10)+Skills!N12</f>
        <v/>
      </c>
      <c r="G2933">
        <f>Calc!G12</f>
        <v/>
      </c>
      <c r="H2933">
        <f>Calc!H12</f>
        <v/>
      </c>
      <c r="I2933">
        <f>IF(Skills!T12&lt;&gt;"",1+(Skills!T12/10)*($Z$3/1000)/100,1)</f>
        <v/>
      </c>
      <c r="J2933" t="inlineStr"/>
      <c r="K2933" t="inlineStr"/>
      <c r="L2933" t="inlineStr"/>
      <c r="M2933" t="inlineStr"/>
      <c r="N2933" t="inlineStr"/>
      <c r="O2933">
        <f>(1-Summary!$B$11)*S2933+Summary!$B$11*U2933</f>
        <v/>
      </c>
      <c r="P2933">
        <f>IF(B2964=0,0,O2933/B2964)</f>
        <v/>
      </c>
      <c r="Q2933">
        <f>IFERROR(1/(IF(Inputs!$B$39="pvp",15,MAX(0.1,Skills!D12-IF(Skills!E12=TRUE,0.5,0)))*(1-IF(AND(ArtifactsInput!$M$27,Inputs!$B$4="Chapter Hunt"),CHOOSE(ArtifactsInput!$N$27+1,20,24,28,32,36,40),0)/100)),0)</f>
        <v/>
      </c>
      <c r="R2933">
        <f>IF(AND(Inputs!$B$39&lt;&gt;"pvp",Inputs!$B$44&gt;0),IF(MAX(0,Inputs!$B$44-B2961)&lt;=0,0,(INT(MAX(0,Inputs!$B$44-B2961)/(IF(Inputs!$B$39="pvp",15,MAX(0.1,Skills!D12-IF(Skills!E12=TRUE,0.5,0)))*(1-IF(AND(ArtifactsInput!$M$27,Inputs!$B$4="Chapter Hunt"),CHOOSE(ArtifactsInput!$N$27+1,20,24,28,32,36,40),0)/100)))+1)),0)</f>
        <v/>
      </c>
      <c r="S2933" t="n">
        <v>0</v>
      </c>
      <c r="U2933" t="n">
        <v>0</v>
      </c>
    </row>
    <row r="2934">
      <c r="A2934">
        <f>Skills!A13</f>
        <v/>
      </c>
      <c r="B2934">
        <f>Skills!B13</f>
        <v/>
      </c>
      <c r="C2934">
        <f>Inputs!$B$3&gt;=60</f>
        <v/>
      </c>
      <c r="D2934">
        <f>IF(Skills!C13=1,60+Inputs!$B$26+Inputs!$B$30,IF(Skills!C13=2,90+Inputs!$B$27+Inputs!$B$30,IF(Skills!C13=3,120+Inputs!$B$28+Inputs!$B$30,MAX(0,(Inputs!$B$3-100)*3)+Inputs!$B$29+Inputs!$B$30)))</f>
        <v/>
      </c>
      <c r="E2934">
        <f>INDEX(FactorTable!$B$2:$Y$301, MATCH(ROUND(MIN(300,MAX(1,D2934)),0), FactorTable!$A$2:$A$301,0), Skills!L13+1)</f>
        <v/>
      </c>
      <c r="F2934">
        <f>IF(Skills!M13=TRUE,(Skills!K13/10)*(E2934/1000),Skills!K13/10)+Skills!N13</f>
        <v/>
      </c>
      <c r="G2934">
        <f>Calc!G13</f>
        <v/>
      </c>
      <c r="H2934">
        <f>Calc!H13</f>
        <v/>
      </c>
      <c r="I2934">
        <f>IF(Skills!T13&lt;&gt;"",1+(Skills!T13/10)*($Z$3/1000)/100,1)</f>
        <v/>
      </c>
      <c r="J2934" t="inlineStr"/>
      <c r="K2934" t="inlineStr"/>
      <c r="L2934" t="inlineStr"/>
      <c r="M2934" t="inlineStr"/>
      <c r="N2934" t="inlineStr"/>
      <c r="O2934">
        <f>(1-Summary!$B$11)*S2934+Summary!$B$11*U2934</f>
        <v/>
      </c>
      <c r="P2934">
        <f>IF(B2964=0,0,O2934/B2964)</f>
        <v/>
      </c>
      <c r="Q2934">
        <f>IFERROR(1/(IF(Inputs!$B$39="pvp",15,MAX(0.1,Skills!D13-IF(Skills!E13=TRUE,0.5,0)))*(1-IF(AND(ArtifactsInput!$M$27,Inputs!$B$4="Chapter Hunt"),CHOOSE(ArtifactsInput!$N$27+1,20,24,28,32,36,40),0)/100)),0)</f>
        <v/>
      </c>
      <c r="R2934">
        <f>IF(AND(Inputs!$B$39&lt;&gt;"pvp",Inputs!$B$44&gt;0),IF(MAX(0,Inputs!$B$44-B2961)&lt;=0,0,(INT(MAX(0,Inputs!$B$44-B2961)/(IF(Inputs!$B$39="pvp",15,MAX(0.1,Skills!D13-IF(Skills!E13=TRUE,0.5,0)))*(1-IF(AND(ArtifactsInput!$M$27,Inputs!$B$4="Chapter Hunt"),CHOOSE(ArtifactsInput!$N$27+1,20,24,28,32,36,40),0)/100)))+1)),0)</f>
        <v/>
      </c>
      <c r="S2934" t="n">
        <v>0</v>
      </c>
      <c r="U2934" t="n">
        <v>0</v>
      </c>
    </row>
    <row r="2935">
      <c r="A2935">
        <f>Skills!A14</f>
        <v/>
      </c>
      <c r="B2935">
        <f>Skills!B14</f>
        <v/>
      </c>
      <c r="C2935">
        <f>Inputs!$B$3&gt;=107</f>
        <v/>
      </c>
      <c r="D2935">
        <f>IF(Skills!C14=1,60+Inputs!$B$26+Inputs!$B$30,IF(Skills!C14=2,90+Inputs!$B$27+Inputs!$B$30,IF(Skills!C14=3,120+Inputs!$B$28+Inputs!$B$30,MAX(0,(Inputs!$B$3-100)*3)+Inputs!$B$29+Inputs!$B$30)))</f>
        <v/>
      </c>
      <c r="E2935">
        <f>INDEX(FactorTable!$B$2:$Y$301, MATCH(ROUND(MIN(300,MAX(1,D2935)),0), FactorTable!$A$2:$A$301,0), Skills!L14+1)</f>
        <v/>
      </c>
      <c r="F2935">
        <f>IF(Skills!M14=TRUE,(Skills!K14/10)*(E2935/1000),Skills!K14/10)+Skills!N14</f>
        <v/>
      </c>
      <c r="G2935">
        <f>Calc!G14</f>
        <v/>
      </c>
      <c r="H2935">
        <f>Calc!H14</f>
        <v/>
      </c>
      <c r="I2935">
        <f>IF(Skills!T14&lt;&gt;"",1+(Skills!T14/10)*($Z$3/1000)/100,1)</f>
        <v/>
      </c>
      <c r="J2935" t="inlineStr"/>
      <c r="K2935" t="inlineStr"/>
      <c r="L2935" t="inlineStr"/>
      <c r="M2935" t="inlineStr"/>
      <c r="N2935" t="inlineStr"/>
      <c r="O2935">
        <f>(1-Summary!$B$11)*S2935+Summary!$B$11*U2935</f>
        <v/>
      </c>
      <c r="P2935">
        <f>IF(B2964=0,0,O2935/B2964)</f>
        <v/>
      </c>
      <c r="Q2935">
        <f>IFERROR(1/(IF(Inputs!$B$39="pvp",15,MAX(0.1,Skills!D14-IF(Skills!E14=TRUE,0.5,0)))*(1-IF(AND(ArtifactsInput!$M$27,Inputs!$B$4="Chapter Hunt"),CHOOSE(ArtifactsInput!$N$27+1,20,24,28,32,36,40),0)/100)),0)</f>
        <v/>
      </c>
      <c r="R2935">
        <f>IF(AND(Inputs!$B$39&lt;&gt;"pvp",Inputs!$B$44&gt;0),IF(Inputs!$B$44&lt;=0,0,(INT(Inputs!$B$44/(IF(Inputs!$B$39="pvp",15,MAX(0.1,Skills!D14-IF(Skills!E14=TRUE,0.5,0)))*(1-IF(AND(ArtifactsInput!$M$27,Inputs!$B$4="Chapter Hunt"),CHOOSE(ArtifactsInput!$N$27+1,20,24,28,32,36,40),0)/100)))+1)),0)</f>
        <v/>
      </c>
      <c r="S2935" t="n">
        <v>0</v>
      </c>
      <c r="U2935" t="n">
        <v>0</v>
      </c>
    </row>
    <row r="2936">
      <c r="A2936">
        <f>Skills!A15</f>
        <v/>
      </c>
      <c r="B2936">
        <f>Skills!B15</f>
        <v/>
      </c>
      <c r="C2936">
        <f>Inputs!$B$3&gt;=63</f>
        <v/>
      </c>
      <c r="D2936">
        <f>IF(Skills!C15=1,60+Inputs!$B$26+Inputs!$B$30,IF(Skills!C15=2,90+Inputs!$B$27+Inputs!$B$30,IF(Skills!C15=3,120+Inputs!$B$28+Inputs!$B$30,MAX(0,(Inputs!$B$3-100)*3)+Inputs!$B$29+Inputs!$B$30)))</f>
        <v/>
      </c>
      <c r="E2936">
        <f>INDEX(FactorTable!$B$2:$Y$301, MATCH(ROUND(MIN(300,MAX(1,D2936)),0), FactorTable!$A$2:$A$301,0), Skills!L15+1)</f>
        <v/>
      </c>
      <c r="F2936">
        <f>IF(Skills!M15=TRUE,(Skills!K15/10)*(E2936/1000),Skills!K15/10)+Skills!N15</f>
        <v/>
      </c>
      <c r="G2936">
        <f>Calc!G15</f>
        <v/>
      </c>
      <c r="H2936">
        <f>Calc!H15</f>
        <v/>
      </c>
      <c r="I2936">
        <f>IF(Skills!T15&lt;&gt;"",1+(Skills!T15/10)*($Z$3/1000)/100,1)</f>
        <v/>
      </c>
      <c r="J2936">
        <f>((Inputs!$B$6*(1+Inputs!$B$7/100))+(((Inputs!$B$13*(1+Inputs!$B$14/100))-(Inputs!$B$13*(1+Inputs!$B$14/100)))+0.25*(Inputs!$B$15-Inputs!$B$15))*(1+Inputs!$B$7/100))*(F2936/100)</f>
        <v/>
      </c>
      <c r="K2936">
        <f>J2936*(1+(((Inputs!$B$13+IF(Inputs!$B$3&gt;=35,(10*INDEX(FactorTable!$B$2:$Y$301,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15="TRIUMPH_FEATHER",IF(C2937=TRUE,F2937,0),0)/100)*(1+IF(C2948=TRUE,F2948,0)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2936)</f>
        <v/>
      </c>
      <c r="L2936">
        <f>K2936*(MIN(Inputs!$B$23+(F2943-Calc!F22),(Inputs!$B$24+IF(ArtifactsInput!$M$15,CHOOSE(ArtifactsInput!$N$15+1,25,30,35,40,45,50)/100*(Inputs!$B$12-Inputs!$B$12),0)))/100+(Inputs!$B$24+IF(ArtifactsInput!$M$15,CHOOSE(ArtifactsInput!$N$15+1,25,30,35,40,45,50)/100*(Inputs!$B$12-Inputs!$B$12),0))/100)/2</f>
        <v/>
      </c>
      <c r="M2936">
        <f>L2936*(1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6">
        <f>L2936*(1-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(1-Summary!$B$11)*S2936+Summary!$B$11*U2936</f>
        <v/>
      </c>
      <c r="P2936">
        <f>IF(B2964=0,0,O2936/B2964)</f>
        <v/>
      </c>
      <c r="Q2936">
        <f>IFERROR(1/(IF(Inputs!$B$39="pvp",15,MAX(0.1,Skills!D15-IF(Skills!E15=TRUE,0.5,0)))*(1-IF(AND(ArtifactsInput!$M$27,Inputs!$B$4="Chapter Hunt"),CHOOSE(ArtifactsInput!$N$27+1,20,24,28,32,36,40),0)/100)),0)</f>
        <v/>
      </c>
      <c r="R2936" t="n">
        <v>0</v>
      </c>
      <c r="S2936">
        <f>IF(C2936,(Skills!F15*N2936*((IF(Inputs!$B$3&gt;=78,25,15)/100*B2957*10)/(1+IF(Inputs!$B$3&gt;=78,25,15)/100*B2957*10))*(Skills!I15/100*B2957)/(1+Skills!G15*Skills!I15/100*B2957))*IF(Inputs!$B$39="pvp",1,1+(Inputs!$B$21+Skills!O15+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2936*(1-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6">
        <f>IF(C2936,(Skills!F15*N2936*((IF(Inputs!$B$3&gt;=78,25,15)/100*B2957*10)/(1+IF(Inputs!$B$3&gt;=78,25,15)/100*B2957*10))*(Skills!I15/100*B2957)/(1+Skills!G15*Skills!I15/100*B2957))*IF(Inputs!$B$39="pvp",1,(1+(Inputs!$B$22+Skills!P15+B2953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Skills!A16</f>
        <v/>
      </c>
      <c r="B2937">
        <f>Skills!B16</f>
        <v/>
      </c>
      <c r="C2937">
        <f>Inputs!$B$3&gt;=100</f>
        <v/>
      </c>
      <c r="D2937">
        <f>IF(Skills!C16=1,60+Inputs!$B$26+Inputs!$B$30,IF(Skills!C16=2,90+Inputs!$B$27+Inputs!$B$30,IF(Skills!C16=3,120+Inputs!$B$28+Inputs!$B$30,MAX(0,(Inputs!$B$3-100)*3)+Inputs!$B$29+Inputs!$B$30)))</f>
        <v/>
      </c>
      <c r="E2937">
        <f>INDEX(FactorTable!$B$2:$Y$301, MATCH(ROUND(MIN(300,MAX(1,D2937)),0), FactorTable!$A$2:$A$301,0), Skills!L16+1)</f>
        <v/>
      </c>
      <c r="F2937">
        <f>IF(Skills!M16=TRUE,(Skills!K16/10)*(E2937/1000),Skills!K16/10)+Skills!N16</f>
        <v/>
      </c>
      <c r="G2937">
        <f>Calc!G16</f>
        <v/>
      </c>
      <c r="H2937">
        <f>Calc!H16</f>
        <v/>
      </c>
      <c r="I2937">
        <f>IF(Skills!T16&lt;&gt;"",1+(Skills!T16/10)*($Z$3/1000)/100,1)</f>
        <v/>
      </c>
      <c r="J2937" t="inlineStr"/>
      <c r="K2937" t="inlineStr"/>
      <c r="L2937" t="inlineStr"/>
      <c r="M2937" t="inlineStr"/>
      <c r="N2937" t="inlineStr"/>
      <c r="O2937">
        <f>(1-Summary!$B$11)*S2937+Summary!$B$11*U2937</f>
        <v/>
      </c>
      <c r="P2937">
        <f>IF(B2964=0,0,O2937/B2964)</f>
        <v/>
      </c>
      <c r="Q2937">
        <f>IFERROR(1/(IF(Inputs!$B$39="pvp",15,MAX(0.1,Skills!D16-IF(Skills!E16=TRUE,0.5,0)))*(1-IF(AND(ArtifactsInput!$M$27,Inputs!$B$4="Chapter Hunt"),CHOOSE(ArtifactsInput!$N$27+1,20,24,28,32,36,40),0)/100)),0)</f>
        <v/>
      </c>
      <c r="R2937" t="n">
        <v>0</v>
      </c>
      <c r="S2937" t="n">
        <v>0</v>
      </c>
      <c r="U2937" t="n">
        <v>0</v>
      </c>
    </row>
    <row r="2938">
      <c r="A2938">
        <f>Skills!A17</f>
        <v/>
      </c>
      <c r="B2938">
        <f>Skills!B17</f>
        <v/>
      </c>
      <c r="C2938">
        <f>Inputs!$B$3&gt;=49</f>
        <v/>
      </c>
      <c r="D2938">
        <f>IF(Skills!C17=1,60+Inputs!$B$26+Inputs!$B$30,IF(Skills!C17=2,90+Inputs!$B$27+Inputs!$B$30,IF(Skills!C17=3,120+Inputs!$B$28+Inputs!$B$30,MAX(0,(Inputs!$B$3-100)*3)+Inputs!$B$29+Inputs!$B$30)))</f>
        <v/>
      </c>
      <c r="E2938">
        <f>INDEX(FactorTable!$B$2:$Y$301, MATCH(ROUND(MIN(300,MAX(1,D2938)),0), FactorTable!$A$2:$A$301,0), Skills!L17+1)</f>
        <v/>
      </c>
      <c r="F2938">
        <f>IF(Skills!M17=TRUE,(Skills!K17/10)*(E2938/1000),Skills!K17/10)+Skills!N17</f>
        <v/>
      </c>
      <c r="G2938">
        <f>Calc!G17</f>
        <v/>
      </c>
      <c r="H2938">
        <f>Calc!H17</f>
        <v/>
      </c>
      <c r="I2938">
        <f>IF(Skills!T17&lt;&gt;"",1+(Skills!T17/10)*($Z$3/1000)/100,1)</f>
        <v/>
      </c>
      <c r="J2938" t="inlineStr"/>
      <c r="K2938" t="inlineStr"/>
      <c r="L2938" t="inlineStr"/>
      <c r="M2938" t="inlineStr"/>
      <c r="N2938" t="inlineStr"/>
      <c r="O2938">
        <f>(1-Summary!$B$11)*S2938+Summary!$B$11*U2938</f>
        <v/>
      </c>
      <c r="P2938">
        <f>IF(B2964=0,0,O2938/B2964)</f>
        <v/>
      </c>
      <c r="Q2938">
        <f>IFERROR(1/(IF(Inputs!$B$39="pvp",15,MAX(0.1,Skills!D17-IF(Skills!E17=TRUE,0.5,0)))*(1-IF(AND(ArtifactsInput!$M$27,Inputs!$B$4="Chapter Hunt"),CHOOSE(ArtifactsInput!$N$27+1,20,24,28,32,36,40),0)/100)),0)</f>
        <v/>
      </c>
      <c r="R2938" t="n">
        <v>0</v>
      </c>
      <c r="S2938" t="n">
        <v>0</v>
      </c>
      <c r="U2938" t="n">
        <v>0</v>
      </c>
    </row>
    <row r="2939">
      <c r="A2939">
        <f>Skills!A18</f>
        <v/>
      </c>
      <c r="B2939">
        <f>Skills!B18</f>
        <v/>
      </c>
      <c r="C2939">
        <f>Inputs!$B$3&gt;=75</f>
        <v/>
      </c>
      <c r="D2939">
        <f>IF(Skills!C18=1,60+Inputs!$B$26+Inputs!$B$30,IF(Skills!C18=2,90+Inputs!$B$27+Inputs!$B$30,IF(Skills!C18=3,120+Inputs!$B$28+Inputs!$B$30,MAX(0,(Inputs!$B$3-100)*3)+Inputs!$B$29+Inputs!$B$30)))</f>
        <v/>
      </c>
      <c r="E2939">
        <f>INDEX(FactorTable!$B$2:$Y$301, MATCH(ROUND(MIN(300,MAX(1,D2939)),0), FactorTable!$A$2:$A$301,0), Skills!L18+1)</f>
        <v/>
      </c>
      <c r="F2939">
        <f>IF(Skills!M18=TRUE,(Skills!K18/10)*(E2939/1000),Skills!K18/10)+Skills!N18</f>
        <v/>
      </c>
      <c r="G2939">
        <f>Calc!G18</f>
        <v/>
      </c>
      <c r="H2939">
        <f>Calc!H18</f>
        <v/>
      </c>
      <c r="I2939">
        <f>IF(Skills!T18&lt;&gt;"",1+(Skills!T18/10)*($Z$3/1000)/100,1)</f>
        <v/>
      </c>
      <c r="J2939" t="inlineStr"/>
      <c r="K2939" t="inlineStr"/>
      <c r="L2939" t="inlineStr"/>
      <c r="M2939" t="inlineStr"/>
      <c r="N2939" t="inlineStr"/>
      <c r="O2939">
        <f>(1-Summary!$B$11)*S2939+Summary!$B$11*U2939</f>
        <v/>
      </c>
      <c r="P2939">
        <f>IF(B2964=0,0,O2939/B2964)</f>
        <v/>
      </c>
      <c r="Q2939">
        <f>IFERROR(1/(IF(Inputs!$B$39="pvp",15,MAX(0.1,Skills!D18-IF(Skills!E18=TRUE,0.5,0)))*(1-IF(AND(ArtifactsInput!$M$27,Inputs!$B$4="Chapter Hunt"),CHOOSE(ArtifactsInput!$N$27+1,20,24,28,32,36,40),0)/100)),0)</f>
        <v/>
      </c>
      <c r="R2939" t="n">
        <v>0</v>
      </c>
      <c r="S2939" t="n">
        <v>0</v>
      </c>
      <c r="U2939" t="n">
        <v>0</v>
      </c>
    </row>
    <row r="2940">
      <c r="A2940">
        <f>Skills!A19</f>
        <v/>
      </c>
      <c r="B2940">
        <f>Skills!B19</f>
        <v/>
      </c>
      <c r="C2940">
        <f>Inputs!$B$3&gt;=110</f>
        <v/>
      </c>
      <c r="D2940">
        <f>IF(Skills!C19=1,60+Inputs!$B$26+Inputs!$B$30,IF(Skills!C19=2,90+Inputs!$B$27+Inputs!$B$30,IF(Skills!C19=3,120+Inputs!$B$28+Inputs!$B$30,MAX(0,(Inputs!$B$3-100)*3)+Inputs!$B$29+Inputs!$B$30)))</f>
        <v/>
      </c>
      <c r="E2940">
        <f>INDEX(FactorTable!$B$2:$Y$301, MATCH(ROUND(MIN(300,MAX(1,D2940)),0), FactorTable!$A$2:$A$301,0), Skills!L19+1)</f>
        <v/>
      </c>
      <c r="F2940">
        <f>(Skills!K19/10)*(E2940/1000)*64/45+Skills!N19</f>
        <v/>
      </c>
      <c r="G2940">
        <f>Calc!G19</f>
        <v/>
      </c>
      <c r="H2940">
        <f>Calc!H19</f>
        <v/>
      </c>
      <c r="I2940">
        <f>IF(Skills!T19&lt;&gt;"",1+(Skills!T19/10)*($Z$3/1000)/100,1)</f>
        <v/>
      </c>
      <c r="J2940" t="inlineStr"/>
      <c r="K2940" t="inlineStr"/>
      <c r="L2940" t="inlineStr"/>
      <c r="M2940" t="inlineStr"/>
      <c r="N2940" t="inlineStr"/>
      <c r="O2940">
        <f>(1-Summary!$B$11)*S2940+Summary!$B$11*U2940</f>
        <v/>
      </c>
      <c r="P2940">
        <f>IF(B2964=0,0,O2940/B2964)</f>
        <v/>
      </c>
      <c r="Q2940">
        <f>IFERROR(1/(IF(Inputs!$B$39="pvp",15,MAX(0.1,Skills!D19-IF(Skills!E19=TRUE,0.5,0)))*(1-IF(AND(ArtifactsInput!$M$27,Inputs!$B$4="Chapter Hunt"),CHOOSE(ArtifactsInput!$N$27+1,20,24,28,32,36,40),0)/100)),0)</f>
        <v/>
      </c>
      <c r="R2940">
        <f>IF(AND(Inputs!$B$39&lt;&gt;"pvp",Inputs!$B$44&gt;0),IF(Inputs!$B$44&lt;=0,0,(INT(Inputs!$B$44/(IF(Inputs!$B$39="pvp",15,MAX(0.1,Skills!D19-IF(Skills!E19=TRUE,0.5,0)))*(1-IF(AND(ArtifactsInput!$M$27,Inputs!$B$4="Chapter Hunt"),CHOOSE(ArtifactsInput!$N$27+1,20,24,28,32,36,40),0)/100)))+1)),0)</f>
        <v/>
      </c>
      <c r="S2940" t="n">
        <v>0</v>
      </c>
      <c r="U2940" t="n">
        <v>0</v>
      </c>
    </row>
    <row r="2941">
      <c r="A2941">
        <f>Skills!A20</f>
        <v/>
      </c>
      <c r="B2941">
        <f>Skills!B20</f>
        <v/>
      </c>
      <c r="C2941">
        <f>Inputs!$B$3&gt;=125</f>
        <v/>
      </c>
      <c r="D2941">
        <f>IF(Skills!C20=1,60+Inputs!$B$26+Inputs!$B$30,IF(Skills!C20=2,90+Inputs!$B$27+Inputs!$B$30,IF(Skills!C20=3,120+Inputs!$B$28+Inputs!$B$30,MAX(0,(Inputs!$B$3-100)*3)+Inputs!$B$29+Inputs!$B$30)))</f>
        <v/>
      </c>
      <c r="E2941">
        <f>INDEX(FactorTable!$B$2:$Y$301, MATCH(ROUND(MIN(300,MAX(1,D2941)),0), FactorTable!$A$2:$A$301,0), Skills!L20+1)</f>
        <v/>
      </c>
      <c r="F2941">
        <f>IF(Skills!M20=TRUE,(Skills!K20/10)*(E2941/1000),Skills!K20/10)+Skills!N20</f>
        <v/>
      </c>
      <c r="G2941">
        <f>Calc!G20</f>
        <v/>
      </c>
      <c r="H2941">
        <f>Calc!H20</f>
        <v/>
      </c>
      <c r="I2941">
        <f>IF(Skills!T20&lt;&gt;"",1+(Skills!T20/10)*($Z$3/1000)/100,1)</f>
        <v/>
      </c>
      <c r="J2941" t="inlineStr"/>
      <c r="K2941" t="inlineStr"/>
      <c r="L2941" t="inlineStr"/>
      <c r="M2941" t="inlineStr"/>
      <c r="N2941" t="inlineStr"/>
      <c r="O2941">
        <f>(1-Summary!$B$11)*S2941+Summary!$B$11*U2941</f>
        <v/>
      </c>
      <c r="P2941">
        <f>IF(B2964=0,0,O2941/B2964)</f>
        <v/>
      </c>
      <c r="Q2941">
        <f>IFERROR(1/(IF(Inputs!$B$39="pvp",15,MAX(0.1,Skills!D20-IF(Skills!E20=TRUE,0.5,0)))*(1-IF(AND(ArtifactsInput!$M$27,Inputs!$B$4="Chapter Hunt"),CHOOSE(ArtifactsInput!$N$27+1,20,24,28,32,36,40),0)/100)),0)</f>
        <v/>
      </c>
      <c r="R2941" t="n">
        <v>0</v>
      </c>
      <c r="S2941" t="n">
        <v>0</v>
      </c>
      <c r="U2941" t="n">
        <v>0</v>
      </c>
    </row>
    <row r="2942">
      <c r="A2942">
        <f>Skills!A21</f>
        <v/>
      </c>
      <c r="B2942">
        <f>Skills!B21</f>
        <v/>
      </c>
      <c r="C2942">
        <f>Inputs!$B$3&gt;=33</f>
        <v/>
      </c>
      <c r="D2942">
        <f>IF(Skills!C21=1,60+Inputs!$B$26+Inputs!$B$30,IF(Skills!C21=2,90+Inputs!$B$27+Inputs!$B$30,IF(Skills!C21=3,120+Inputs!$B$28+Inputs!$B$30,MAX(0,(Inputs!$B$3-100)*3)+Inputs!$B$29+Inputs!$B$30)))</f>
        <v/>
      </c>
      <c r="E2942">
        <f>INDEX(FactorTable!$B$2:$Y$301, MATCH(ROUND(MIN(300,MAX(1,D2942)),0), FactorTable!$A$2:$A$301,0), Skills!L21+1)</f>
        <v/>
      </c>
      <c r="F2942">
        <f>IF(Skills!M21=TRUE,(Skills!K21/10)*(E2942/1000),Skills!K21/10)+Skills!N21</f>
        <v/>
      </c>
      <c r="G2942">
        <f>Calc!G21</f>
        <v/>
      </c>
      <c r="H2942">
        <f>Calc!H21</f>
        <v/>
      </c>
      <c r="I2942">
        <f>IF(Skills!T21&lt;&gt;"",1+(Skills!T21/10)*($Z$3/1000)/100,1)</f>
        <v/>
      </c>
      <c r="J2942" t="inlineStr"/>
      <c r="K2942" t="inlineStr"/>
      <c r="L2942" t="inlineStr"/>
      <c r="M2942" t="inlineStr"/>
      <c r="N2942" t="inlineStr"/>
      <c r="O2942">
        <f>(1-Summary!$B$11)*S2942+Summary!$B$11*U2942</f>
        <v/>
      </c>
      <c r="P2942">
        <f>IF(B2964=0,0,O2942/B2964)</f>
        <v/>
      </c>
      <c r="Q2942">
        <f>IFERROR(1/(IF(Inputs!$B$39="pvp",15,MAX(0.1,Skills!D21-IF(Skills!E21=TRUE,0.5,0)))*(1-IF(AND(ArtifactsInput!$M$27,Inputs!$B$4="Chapter Hunt"),CHOOSE(ArtifactsInput!$N$27+1,20,24,28,32,36,40),0)/100)),0)</f>
        <v/>
      </c>
      <c r="R2942" t="n">
        <v>0</v>
      </c>
      <c r="S2942" t="n">
        <v>0</v>
      </c>
      <c r="U2942" t="n">
        <v>0</v>
      </c>
    </row>
    <row r="2943">
      <c r="A2943">
        <f>Skills!A22</f>
        <v/>
      </c>
      <c r="B2943">
        <f>Skills!B22</f>
        <v/>
      </c>
      <c r="C2943">
        <f>Inputs!$B$3&gt;=43</f>
        <v/>
      </c>
      <c r="D2943">
        <f>IF(Skills!C22=1,60+Inputs!$B$26+Inputs!$B$30,IF(Skills!C22=2,90+Inputs!$B$27+Inputs!$B$30,IF(Skills!C22=3,120+Inputs!$B$28+Inputs!$B$30,MAX(0,(Inputs!$B$3-100)*3)+Inputs!$B$29+Inputs!$B$30)))</f>
        <v/>
      </c>
      <c r="E2943">
        <f>INDEX(FactorTable!$B$2:$Y$301, MATCH(ROUND(MIN(300,MAX(1,D2943)),0), FactorTable!$A$2:$A$301,0), Skills!L22+1)</f>
        <v/>
      </c>
      <c r="F2943">
        <f>IF(Skills!M22=TRUE,(Skills!K22/10)*(E2943/1000),Skills!K22/10)+Skills!N22</f>
        <v/>
      </c>
      <c r="G2943">
        <f>Calc!G22</f>
        <v/>
      </c>
      <c r="H2943">
        <f>Calc!H22</f>
        <v/>
      </c>
      <c r="I2943">
        <f>IF(Skills!T22&lt;&gt;"",1+(Skills!T22/10)*($Z$3/1000)/100,1)</f>
        <v/>
      </c>
      <c r="J2943" t="inlineStr"/>
      <c r="K2943" t="inlineStr"/>
      <c r="L2943" t="inlineStr"/>
      <c r="M2943" t="inlineStr"/>
      <c r="N2943" t="inlineStr"/>
      <c r="O2943">
        <f>(1-Summary!$B$11)*S2943+Summary!$B$11*U2943</f>
        <v/>
      </c>
      <c r="P2943">
        <f>IF(B2964=0,0,O2943/B2964)</f>
        <v/>
      </c>
      <c r="Q2943">
        <f>IFERROR(1/(IF(Inputs!$B$39="pvp",15,MAX(0.1,Skills!D22-IF(Skills!E22=TRUE,0.5,0)))*(1-IF(AND(ArtifactsInput!$M$27,Inputs!$B$4="Chapter Hunt"),CHOOSE(ArtifactsInput!$N$27+1,20,24,28,32,36,40),0)/100)),0)</f>
        <v/>
      </c>
      <c r="R2943" t="n">
        <v>0</v>
      </c>
      <c r="S2943" t="n">
        <v>0</v>
      </c>
      <c r="U2943" t="n">
        <v>0</v>
      </c>
    </row>
    <row r="2944">
      <c r="A2944">
        <f>Skills!A23</f>
        <v/>
      </c>
      <c r="B2944">
        <f>Skills!B23</f>
        <v/>
      </c>
      <c r="C2944">
        <f>Inputs!$B$3&gt;=50</f>
        <v/>
      </c>
      <c r="D2944">
        <f>IF(Skills!C23=1,60+Inputs!$B$26+Inputs!$B$30,IF(Skills!C23=2,90+Inputs!$B$27+Inputs!$B$30,IF(Skills!C23=3,120+Inputs!$B$28+Inputs!$B$30,MAX(0,(Inputs!$B$3-100)*3)+Inputs!$B$29+Inputs!$B$30)))</f>
        <v/>
      </c>
      <c r="E2944">
        <f>INDEX(FactorTable!$B$2:$Y$301, MATCH(ROUND(MIN(300,MAX(1,D2944)),0), FactorTable!$A$2:$A$301,0), Skills!L23+1)</f>
        <v/>
      </c>
      <c r="F2944">
        <f>IF(Skills!M23=TRUE,(Skills!K23/10)*(E2944/1000),Skills!K23/10)+Skills!N23</f>
        <v/>
      </c>
      <c r="G2944">
        <f>Calc!G23</f>
        <v/>
      </c>
      <c r="H2944">
        <f>Calc!H23</f>
        <v/>
      </c>
      <c r="I2944">
        <f>IF(Skills!T23&lt;&gt;"",1+(Skills!T23/10)*($Z$3/1000)/100,1)</f>
        <v/>
      </c>
      <c r="J2944" t="inlineStr"/>
      <c r="K2944" t="inlineStr"/>
      <c r="L2944" t="inlineStr"/>
      <c r="M2944" t="inlineStr"/>
      <c r="N2944" t="inlineStr"/>
      <c r="O2944">
        <f>(1-Summary!$B$11)*S2944+Summary!$B$11*U2944</f>
        <v/>
      </c>
      <c r="P2944">
        <f>IF(B2964=0,0,O2944/B2964)</f>
        <v/>
      </c>
      <c r="Q2944">
        <f>IFERROR(1/(IF(Inputs!$B$39="pvp",15,MAX(0.1,Skills!D23-IF(Skills!E23=TRUE,0.5,0)))*(1-IF(AND(ArtifactsInput!$M$27,Inputs!$B$4="Chapter Hunt"),CHOOSE(ArtifactsInput!$N$27+1,20,24,28,32,36,40),0)/100)),0)</f>
        <v/>
      </c>
      <c r="R2944" t="n">
        <v>0</v>
      </c>
      <c r="S2944" t="n">
        <v>0</v>
      </c>
      <c r="U2944" t="n">
        <v>0</v>
      </c>
    </row>
    <row r="2945">
      <c r="A2945">
        <f>Skills!A24</f>
        <v/>
      </c>
      <c r="B2945">
        <f>Skills!B24</f>
        <v/>
      </c>
      <c r="C2945">
        <f>Inputs!$B$3&gt;=74</f>
        <v/>
      </c>
      <c r="D2945">
        <f>IF(Skills!C24=1,60+Inputs!$B$26+Inputs!$B$30,IF(Skills!C24=2,90+Inputs!$B$27+Inputs!$B$30,IF(Skills!C24=3,120+Inputs!$B$28+Inputs!$B$30,MAX(0,(Inputs!$B$3-100)*3)+Inputs!$B$29+Inputs!$B$30)))</f>
        <v/>
      </c>
      <c r="E2945">
        <f>INDEX(FactorTable!$B$2:$Y$301, MATCH(ROUND(MIN(300,MAX(1,D2945)),0), FactorTable!$A$2:$A$301,0), Skills!L24+1)</f>
        <v/>
      </c>
      <c r="F2945">
        <f>IF(Skills!M24=TRUE,(Skills!K24/10)*(E2945/1000),Skills!K24/10)+Skills!N24</f>
        <v/>
      </c>
      <c r="G2945">
        <f>Calc!G24</f>
        <v/>
      </c>
      <c r="H2945">
        <f>Calc!H24</f>
        <v/>
      </c>
      <c r="I2945">
        <f>IF(Skills!T24&lt;&gt;"",1+(Skills!T24/10)*($Z$3/1000)/100,1)</f>
        <v/>
      </c>
      <c r="J2945" t="inlineStr"/>
      <c r="K2945" t="inlineStr"/>
      <c r="L2945" t="inlineStr"/>
      <c r="M2945" t="inlineStr"/>
      <c r="N2945" t="inlineStr"/>
      <c r="O2945">
        <f>(1-Summary!$B$11)*S2945+Summary!$B$11*U2945</f>
        <v/>
      </c>
      <c r="P2945">
        <f>IF(B2964=0,0,O2945/B2964)</f>
        <v/>
      </c>
      <c r="Q2945">
        <f>IFERROR(1/(IF(Inputs!$B$39="pvp",15,MAX(0.1,Skills!D24-IF(Skills!E24=TRUE,0.5,0)))*(1-IF(AND(ArtifactsInput!$M$27,Inputs!$B$4="Chapter Hunt"),CHOOSE(ArtifactsInput!$N$27+1,20,24,28,32,36,40),0)/100)),0)</f>
        <v/>
      </c>
      <c r="R2945" t="n">
        <v>0</v>
      </c>
      <c r="S2945" t="n">
        <v>0</v>
      </c>
      <c r="U2945" t="n">
        <v>0</v>
      </c>
    </row>
    <row r="2946">
      <c r="A2946">
        <f>Skills!A25</f>
        <v/>
      </c>
      <c r="B2946">
        <f>Skills!B25</f>
        <v/>
      </c>
      <c r="C2946">
        <f>Inputs!$B$3&gt;=74</f>
        <v/>
      </c>
      <c r="D2946">
        <f>IF(Skills!C25=1,60+Inputs!$B$26+Inputs!$B$30,IF(Skills!C25=2,90+Inputs!$B$27+Inputs!$B$30,IF(Skills!C25=3,120+Inputs!$B$28+Inputs!$B$30,MAX(0,(Inputs!$B$3-100)*3)+Inputs!$B$29+Inputs!$B$30)))</f>
        <v/>
      </c>
      <c r="E2946">
        <f>INDEX(FactorTable!$B$2:$Y$301, MATCH(ROUND(MIN(300,MAX(1,D2946)),0), FactorTable!$A$2:$A$301,0), Skills!L25+1)</f>
        <v/>
      </c>
      <c r="F2946">
        <f>IF(Skills!M25=TRUE,(Skills!K25/10)*(E2946/1000),Skills!K25/10)+Skills!N25</f>
        <v/>
      </c>
      <c r="G2946">
        <f>Calc!G25</f>
        <v/>
      </c>
      <c r="H2946">
        <f>Calc!H25</f>
        <v/>
      </c>
      <c r="I2946">
        <f>IF(Skills!T25&lt;&gt;"",1+(Skills!T25/10)*($Z$3/1000)/100,1)</f>
        <v/>
      </c>
      <c r="J2946" t="inlineStr"/>
      <c r="K2946" t="inlineStr"/>
      <c r="L2946" t="inlineStr"/>
      <c r="M2946" t="inlineStr"/>
      <c r="N2946" t="inlineStr"/>
      <c r="O2946">
        <f>(1-Summary!$B$11)*S2946+Summary!$B$11*U2946</f>
        <v/>
      </c>
      <c r="P2946">
        <f>IF(B2964=0,0,O2946/B2964)</f>
        <v/>
      </c>
      <c r="Q2946">
        <f>IFERROR(1/(IF(Inputs!$B$39="pvp",15,MAX(0.1,Skills!D25-IF(Skills!E25=TRUE,0.5,0)))*(1-IF(AND(ArtifactsInput!$M$27,Inputs!$B$4="Chapter Hunt"),CHOOSE(ArtifactsInput!$N$27+1,20,24,28,32,36,40),0)/100)),0)</f>
        <v/>
      </c>
      <c r="R2946" t="n">
        <v>0</v>
      </c>
      <c r="S2946" t="n">
        <v>0</v>
      </c>
      <c r="U2946" t="n">
        <v>0</v>
      </c>
    </row>
    <row r="2947">
      <c r="A2947">
        <f>Skills!A26</f>
        <v/>
      </c>
      <c r="B2947">
        <f>Skills!B26</f>
        <v/>
      </c>
      <c r="C2947">
        <f>Inputs!$B$3&gt;=117</f>
        <v/>
      </c>
      <c r="D2947">
        <f>IF(Skills!C26=1,60+Inputs!$B$26+Inputs!$B$30,IF(Skills!C26=2,90+Inputs!$B$27+Inputs!$B$30,IF(Skills!C26=3,120+Inputs!$B$28+Inputs!$B$30,MAX(0,(Inputs!$B$3-100)*3)+Inputs!$B$29+Inputs!$B$30)))</f>
        <v/>
      </c>
      <c r="E2947">
        <f>INDEX(FactorTable!$B$2:$Y$301, MATCH(ROUND(MIN(300,MAX(1,D2947)),0), FactorTable!$A$2:$A$301,0), Skills!L26+1)</f>
        <v/>
      </c>
      <c r="F2947">
        <f>IF(Skills!M26=TRUE,(Skills!K26/10)*(E2947/1000),Skills!K26/10)+Skills!N26</f>
        <v/>
      </c>
      <c r="G2947">
        <f>Calc!G26</f>
        <v/>
      </c>
      <c r="H2947">
        <f>Calc!H26</f>
        <v/>
      </c>
      <c r="I2947">
        <f>IF(Skills!T26&lt;&gt;"",1+(Skills!T26/10)*($Z$3/1000)/100,1)</f>
        <v/>
      </c>
      <c r="J2947" t="inlineStr"/>
      <c r="K2947" t="inlineStr"/>
      <c r="L2947" t="inlineStr"/>
      <c r="M2947" t="inlineStr"/>
      <c r="N2947" t="inlineStr"/>
      <c r="O2947">
        <f>(1-Summary!$B$11)*S2947+Summary!$B$11*U2947</f>
        <v/>
      </c>
      <c r="P2947">
        <f>IF(B2964=0,0,O2947/B2964)</f>
        <v/>
      </c>
      <c r="Q2947">
        <f>IFERROR(1/(IF(Inputs!$B$39="pvp",15,MAX(0.1,Skills!D26-IF(Skills!E26=TRUE,0.5,0)))*(1-IF(AND(ArtifactsInput!$M$27,Inputs!$B$4="Chapter Hunt"),CHOOSE(ArtifactsInput!$N$27+1,20,24,28,32,36,40),0)/100)),0)</f>
        <v/>
      </c>
      <c r="R2947" t="n">
        <v>0</v>
      </c>
      <c r="S2947" t="n">
        <v>0</v>
      </c>
      <c r="U2947" t="n">
        <v>0</v>
      </c>
    </row>
    <row r="2948">
      <c r="A2948">
        <f>Skills!A27</f>
        <v/>
      </c>
      <c r="B2948">
        <f>Skills!B27</f>
        <v/>
      </c>
      <c r="C2948">
        <f>Inputs!$B$3&gt;=120</f>
        <v/>
      </c>
      <c r="D2948">
        <f>IF(Skills!C27=1,60+Inputs!$B$26+Inputs!$B$30,IF(Skills!C27=2,90+Inputs!$B$27+Inputs!$B$30,IF(Skills!C27=3,120+Inputs!$B$28+Inputs!$B$30,MAX(0,(Inputs!$B$3-100)*3)+Inputs!$B$29+Inputs!$B$30)))</f>
        <v/>
      </c>
      <c r="E2948">
        <f>INDEX(FactorTable!$B$2:$Y$301, MATCH(ROUND(MIN(300,MAX(1,D2948)),0), FactorTable!$A$2:$A$301,0), Skills!L27+1)</f>
        <v/>
      </c>
      <c r="F2948">
        <f>IF(Skills!M27=TRUE,(Skills!K27/10)*(E2948/1000),Skills!K27/10)+Skills!N27</f>
        <v/>
      </c>
      <c r="G2948">
        <f>Calc!G27</f>
        <v/>
      </c>
      <c r="H2948">
        <f>Calc!H27</f>
        <v/>
      </c>
      <c r="I2948">
        <f>IF(Skills!T27&lt;&gt;"",1+(Skills!T27/10)*($Z$3/1000)/100,1)</f>
        <v/>
      </c>
      <c r="J2948" t="inlineStr"/>
      <c r="K2948" t="inlineStr"/>
      <c r="L2948" t="inlineStr"/>
      <c r="M2948" t="inlineStr"/>
      <c r="N2948" t="inlineStr"/>
      <c r="O2948">
        <f>(1-Summary!$B$11)*S2948+Summary!$B$11*U2948</f>
        <v/>
      </c>
      <c r="P2948">
        <f>IF(B2964=0,0,O2948/B2964)</f>
        <v/>
      </c>
      <c r="Q2948">
        <f>IFERROR(1/(IF(Inputs!$B$39="pvp",15,MAX(0.1,Skills!D27-IF(Skills!E27=TRUE,0.5,0)))*(1-IF(AND(ArtifactsInput!$M$27,Inputs!$B$4="Chapter Hunt"),CHOOSE(ArtifactsInput!$N$27+1,20,24,28,32,36,40),0)/100)),0)</f>
        <v/>
      </c>
      <c r="R2948" t="n">
        <v>0</v>
      </c>
      <c r="S2948" t="n">
        <v>0</v>
      </c>
      <c r="U2948" t="n">
        <v>0</v>
      </c>
    </row>
    <row r="2949">
      <c r="A2949">
        <f>Skills!A28</f>
        <v/>
      </c>
      <c r="B2949">
        <f>Skills!B28</f>
        <v/>
      </c>
      <c r="C2949">
        <f>TRUE</f>
        <v/>
      </c>
      <c r="D2949">
        <f>IF(Skills!C28=1,60+Inputs!$B$26+Inputs!$B$30,IF(Skills!C28=2,90+Inputs!$B$27+Inputs!$B$30,IF(Skills!C28=3,120+Inputs!$B$28+Inputs!$B$30,MAX(0,(Inputs!$B$3-100)*3)+Inputs!$B$29+Inputs!$B$30)))</f>
        <v/>
      </c>
      <c r="E2949">
        <f>INDEX(FactorTable!$B$2:$Y$301, MATCH(ROUND(MIN(300,MAX(1,D2949)),0), FactorTable!$A$2:$A$301,0), Skills!L28+1)</f>
        <v/>
      </c>
      <c r="F2949">
        <f>IF(Skills!M28=TRUE,(Skills!K28/10)*(E2949/1000),Skills!K28/10)+Skills!N28</f>
        <v/>
      </c>
      <c r="G2949">
        <f>Calc!G28</f>
        <v/>
      </c>
      <c r="H2949">
        <f>Calc!H28</f>
        <v/>
      </c>
      <c r="I2949">
        <f>IF(Skills!T28&lt;&gt;"",1+(Skills!T28/10)*($Z$3/1000)/100,1)</f>
        <v/>
      </c>
      <c r="J2949" t="inlineStr"/>
      <c r="K2949" t="inlineStr"/>
      <c r="L2949" t="inlineStr"/>
      <c r="M2949" t="inlineStr"/>
      <c r="N2949" t="inlineStr"/>
      <c r="O2949">
        <f>(1-Summary!$B$11)*S2949+Summary!$B$11*U2949</f>
        <v/>
      </c>
      <c r="P2949">
        <f>IF(B2964=0,0,O2949/B2964)</f>
        <v/>
      </c>
      <c r="Q2949">
        <f>IFERROR(1/(IF(Inputs!$B$39="pvp",15,MAX(0.1,Skills!D28-IF(Skills!E28=TRUE,0.5,0)))*(1-IF(AND(ArtifactsInput!$M$27,Inputs!$B$4="Chapter Hunt"),CHOOSE(ArtifactsInput!$N$27+1,20,24,28,32,36,40),0)/100)),0)</f>
        <v/>
      </c>
      <c r="R2949">
        <f>IF(AND(Inputs!$B$39&lt;&gt;"pvp",Inputs!$B$44&gt;0),IF(Inputs!$B$44&lt;=0,0,(INT(Inputs!$B$44/(IF(Inputs!$B$39="pvp",15,MAX(0.1,Skills!D28-IF(Skills!E28=TRUE,0.5,0)))*(1-IF(AND(ArtifactsInput!$M$27,Inputs!$B$4="Chapter Hunt"),CHOOSE(ArtifactsInput!$N$27+1,20,24,28,32,36,40),0)/100)))+1)),0)</f>
        <v/>
      </c>
      <c r="S2949" t="n">
        <v>0</v>
      </c>
      <c r="U2949" t="n">
        <v>0</v>
      </c>
    </row>
    <row r="2951">
      <c r="A2951" t="inlineStr">
        <is>
          <t>Average Buff Multiplier</t>
        </is>
      </c>
      <c r="B2951">
        <f>(1+(IF(C2924=TRUE,F2924*IF(AND(Inputs!$B$39&lt;&gt;"pvp",Inputs!$B$44&gt;0),(((R2924-1)*(Skills!S3*(1+((Inputs!$B$35+(ArtifactsInput!$M$7-ArtifactsInput!$M$7)*CHOOSE(ArtifactsInput!$N$7+1,6,7.2,8.4,9.6,10.8,12))+IF(Inputs!$B$3&gt;=117,F2947,0))/100))+MIN((Skills!S3*(1+((Inputs!$B$35+(ArtifactsInput!$M$7-ArtifactsInput!$M$7)*CHOOSE(ArtifactsInput!$N$7+1,6,7.2,8.4,9.6,10.8,12))+IF(Inputs!$B$3&gt;=117,F2947,0))/100)),MAX(0,Inputs!$B$44-((R2924-1)*Skills!D3))))/Inputs!$B$44),IF(Inputs!$B$39="pvp",MIN((Skills!S3*(1+((Inputs!$B$35+(ArtifactsInput!$M$7-ArtifactsInput!$M$7)*CHOOSE(ArtifactsInput!$N$7+1,6,7.2,8.4,9.6,10.8,12))+IF(Inputs!$B$3&gt;=117,F2947,0))/100)),15)/15,(Skills!S3*(1+((Inputs!$B$35+(ArtifactsInput!$M$7-ArtifactsInput!$M$7)*CHOOSE(ArtifactsInput!$N$7+1,6,7.2,8.4,9.6,10.8,12))+IF(Inputs!$B$3&gt;=117,F2947,0))/100))/Skills!D3)),0)+IF(C2925=TRUE,F2925*IF(AND(Inputs!$B$39&lt;&gt;"pvp",Inputs!$B$44&gt;0),(((R2925-1)*(Skills!S4*(1+((Inputs!$B$35+(ArtifactsInput!$M$7-ArtifactsInput!$M$7)*CHOOSE(ArtifactsInput!$N$7+1,6,7.2,8.4,9.6,10.8,12))+IF(Inputs!$B$3&gt;=117,F2947,0))/100))+MIN((Skills!S4*(1+((Inputs!$B$35+(ArtifactsInput!$M$7-ArtifactsInput!$M$7)*CHOOSE(ArtifactsInput!$N$7+1,6,7.2,8.4,9.6,10.8,12))+IF(Inputs!$B$3&gt;=117,F2947,0))/100)),MAX(0,Inputs!$B$44-((R2925-1)*Skills!D4))))/Inputs!$B$44),IF(Inputs!$B$39="pvp",MIN((Skills!S4*(1+((Inputs!$B$35+(ArtifactsInput!$M$7-ArtifactsInput!$M$7)*CHOOSE(ArtifactsInput!$N$7+1,6,7.2,8.4,9.6,10.8,12))+IF(Inputs!$B$3&gt;=117,F2947,0))/100)),15)/15,(Skills!S4*(1+((Inputs!$B$35+(ArtifactsInput!$M$7-ArtifactsInput!$M$7)*CHOOSE(ArtifactsInput!$N$7+1,6,7.2,8.4,9.6,10.8,12))+IF(Inputs!$B$3&gt;=117,F2947,0))/100))/Skills!D4)),0)+IF(C2926=TRUE,F2926*IF(AND(Inputs!$B$39&lt;&gt;"pvp",Inputs!$B$44&gt;0),(((R2926-1)*(Skills!S5*(1+((Inputs!$B$35+(ArtifactsInput!$M$7-ArtifactsInput!$M$7)*CHOOSE(ArtifactsInput!$N$7+1,6,7.2,8.4,9.6,10.8,12))+IF(Inputs!$B$3&gt;=117,F2947,0))/100))+MIN((Skills!S5*(1+((Inputs!$B$35+(ArtifactsInput!$M$7-ArtifactsInput!$M$7)*CHOOSE(ArtifactsInput!$N$7+1,6,7.2,8.4,9.6,10.8,12))+IF(Inputs!$B$3&gt;=117,F2947,0))/100)),MAX(0,Inputs!$B$44-((R2926-1)*Skills!D5))))/Inputs!$B$44),IF(Inputs!$B$39="pvp",MIN((Skills!S5*(1+((Inputs!$B$35+(ArtifactsInput!$M$7-ArtifactsInput!$M$7)*CHOOSE(ArtifactsInput!$N$7+1,6,7.2,8.4,9.6,10.8,12))+IF(Inputs!$B$3&gt;=117,F2947,0))/100)),15)/15,(Skills!S5*(1+((Inputs!$B$35+(ArtifactsInput!$M$7-ArtifactsInput!$M$7)*CHOOSE(ArtifactsInput!$N$7+1,6,7.2,8.4,9.6,10.8,12))+IF(Inputs!$B$3&gt;=117,F2947,0))/100))/Skills!D5)),0)+IF(C2932=TRUE,F2932*IF(AND(Inputs!$B$39&lt;&gt;"pvp",Inputs!$B$44&gt;0),(((R2932-1)*(Skills!S11*(1+((Inputs!$B$35+(ArtifactsInput!$M$7-ArtifactsInput!$M$7)*CHOOSE(ArtifactsInput!$N$7+1,6,7.2,8.4,9.6,10.8,12))+IF(Inputs!$B$3&gt;=117,F2947,0))/100))+MIN((Skills!S11*(1+((Inputs!$B$35+(ArtifactsInput!$M$7-ArtifactsInput!$M$7)*CHOOSE(ArtifactsInput!$N$7+1,6,7.2,8.4,9.6,10.8,12))+IF(Inputs!$B$3&gt;=117,F2947,0))/100)),MAX(0,Inputs!$B$44-((R2932-1)*Skills!D11))))/Inputs!$B$44),IF(Inputs!$B$39="pvp",MIN((Skills!S11*(1+((Inputs!$B$35+(ArtifactsInput!$M$7-ArtifactsInput!$M$7)*CHOOSE(ArtifactsInput!$N$7+1,6,7.2,8.4,9.6,10.8,12))+IF(Inputs!$B$3&gt;=117,F2947,0))/100)),15)/15,(Skills!S11*(1+((Inputs!$B$35+(ArtifactsInput!$M$7-ArtifactsInput!$M$7)*CHOOSE(ArtifactsInput!$N$7+1,6,7.2,8.4,9.6,10.8,12))+IF(Inputs!$B$3&gt;=117,F2947,0)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2935=TRUE,(1+F2935*IF(AND(Inputs!$B$39&lt;&gt;"pvp",Inputs!$B$44&gt;0),(((R2935-1)*(Skills!S14*(1+((Inputs!$B$35+(ArtifactsInput!$M$7-ArtifactsInput!$M$7)*CHOOSE(ArtifactsInput!$N$7+1,6,7.2,8.4,9.6,10.8,12))+IF(Inputs!$B$3&gt;=117,F2947,0))/100))+MIN((Skills!S14*(1+((Inputs!$B$35+(ArtifactsInput!$M$7-ArtifactsInput!$M$7)*CHOOSE(ArtifactsInput!$N$7+1,6,7.2,8.4,9.6,10.8,12))+IF(Inputs!$B$3&gt;=117,F2947,0))/100)),MAX(0,Inputs!$B$44-((R2935-1)*Skills!D14))))/Inputs!$B$44),IF(Inputs!$B$39="pvp",MIN((Skills!S14*(1+((Inputs!$B$35+(ArtifactsInput!$M$7-ArtifactsInput!$M$7)*CHOOSE(ArtifactsInput!$N$7+1,6,7.2,8.4,9.6,10.8,12))+IF(Inputs!$B$3&gt;=117,F2947,0))/100)),15)/15,(Skills!S14*(1+((Inputs!$B$35+(ArtifactsInput!$M$7-ArtifactsInput!$M$7)*CHOOSE(ArtifactsInput!$N$7+1,6,7.2,8.4,9.6,10.8,12))+IF(Inputs!$B$3&gt;=117,F2947,0))/100))/Skills!D14))/100),1)*IF(C2940=TRUE,(1+F2940*IF(AND(Inputs!$B$39&lt;&gt;"pvp",Inputs!$B$44&gt;0),(((R2940-1)*(Skills!S19*(1+((Inputs!$B$35+(ArtifactsInput!$M$7-ArtifactsInput!$M$7)*CHOOSE(ArtifactsInput!$N$7+1,6,7.2,8.4,9.6,10.8,12))+IF(Inputs!$B$3&gt;=117,F2947,0))/100))+MIN((Skills!S19*(1+((Inputs!$B$35+(ArtifactsInput!$M$7-ArtifactsInput!$M$7)*CHOOSE(ArtifactsInput!$N$7+1,6,7.2,8.4,9.6,10.8,12))+IF(Inputs!$B$3&gt;=117,F2947,0))/100)),MAX(0,Inputs!$B$44-((R2940-1)*Skills!D19))))/Inputs!$B$44),IF(Inputs!$B$39="pvp",MIN((Skills!S19*(1+((Inputs!$B$35+(ArtifactsInput!$M$7-ArtifactsInput!$M$7)*CHOOSE(ArtifactsInput!$N$7+1,6,7.2,8.4,9.6,10.8,12))+IF(Inputs!$B$3&gt;=117,F2947,0))/100)),15)/15,(Skills!S19*(1+((Inputs!$B$35+(ArtifactsInput!$M$7-ArtifactsInput!$M$7)*CHOOSE(ArtifactsInput!$N$7+1,6,7.2,8.4,9.6,10.8,12))+IF(Inputs!$B$3&gt;=117,F2947,0))/100))/Skills!D19))/100),1)</f>
        <v/>
      </c>
    </row>
    <row r="2952">
      <c r="A2952" t="inlineStr">
        <is>
          <t>Monster Damage Taken Bonus % (Holy Fountain)</t>
        </is>
      </c>
      <c r="B2952">
        <f>IF(Inputs!$B$3&gt;=68,20*IF(Inputs!$B$39="pvp",MIN((15*(1+((Inputs!$B$35+(ArtifactsInput!$M$7-ArtifactsInput!$M$7)*CHOOSE(ArtifactsInput!$N$7+1,6,7.2,8.4,9.6,10.8,12))+IF(Inputs!$B$3&gt;=117,F2947,0))/100)),15)/15,(15*(1+((Inputs!$B$35+(ArtifactsInput!$M$7-ArtifactsInput!$M$7)*CHOOSE(ArtifactsInput!$N$7+1,6,7.2,8.4,9.6,10.8,12))+IF(Inputs!$B$3&gt;=117,F2947,0))/100))/Skills!D10),0)</f>
        <v/>
      </c>
    </row>
    <row r="2953">
      <c r="A2953" t="inlineStr">
        <is>
          <t>Normal Monster Damage Bonus % (Holy Symbol)</t>
        </is>
      </c>
      <c r="B2953">
        <f>IF(C2933=TRUE,F2933*IF(AND(Inputs!$B$39&lt;&gt;"pvp",Inputs!$B$44&gt;0),(((R2933-1)*(Skills!S12*(1+((Inputs!$B$35+(ArtifactsInput!$M$7-ArtifactsInput!$M$7)*CHOOSE(ArtifactsInput!$N$7+1,6,7.2,8.4,9.6,10.8,12))+IF(Inputs!$B$3&gt;=117,F2947,0))/100))+MIN((Skills!S12*(1+((Inputs!$B$35+(ArtifactsInput!$M$7-ArtifactsInput!$M$7)*CHOOSE(ArtifactsInput!$N$7+1,6,7.2,8.4,9.6,10.8,12))+IF(Inputs!$B$3&gt;=117,F2947,0))/100)),MAX(0,Inputs!$B$44-((R2933-1)*Skills!D12))))/Inputs!$B$44),IF(Inputs!$B$39="pvp",MIN((Skills!S12*(1+((Inputs!$B$35+(ArtifactsInput!$M$7-ArtifactsInput!$M$7)*CHOOSE(ArtifactsInput!$N$7+1,6,7.2,8.4,9.6,10.8,12))+IF(Inputs!$B$3&gt;=117,F2947,0))/100)),15)/15,(Skills!S12*(1+((Inputs!$B$35+(ArtifactsInput!$M$7-ArtifactsInput!$M$7)*CHOOSE(ArtifactsInput!$N$7+1,6,7.2,8.4,9.6,10.8,12))+IF(Inputs!$B$3&gt;=117,F2947,0))/100))/Skills!D12)),0)</f>
        <v/>
      </c>
    </row>
    <row r="2954">
      <c r="A2954" t="inlineStr">
        <is>
          <t>Damage % Bonus (Holy Symbol - Damage Boost)</t>
        </is>
      </c>
      <c r="B2954">
        <f>Skills!O12</f>
        <v/>
      </c>
    </row>
    <row r="2955">
      <c r="A2955" t="inlineStr">
        <is>
          <t>Crit Damage % Bonus (Blood of the Divine)</t>
        </is>
      </c>
      <c r="B2955">
        <f>4*IF(C2941=TRUE,F2941,0)</f>
        <v/>
      </c>
    </row>
    <row r="2956">
      <c r="A2956" t="inlineStr">
        <is>
          <t>Attack Speed Bonus %</t>
        </is>
      </c>
      <c r="B2956">
        <f>IF(C2938=TRUE,F2938+(F2942-Calc!F21),0)+IF(Inputs!$B$3&gt;=134,15,0)+((C2949=TRUE)*F2949*IF(AND(Inputs!$B$39&lt;&gt;"pvp",Inputs!$B$44&gt;0),(((R2949-1)*(Skills!S28*(1+((Inputs!$B$35+(ArtifactsInput!$M$7-ArtifactsInput!$M$7)*CHOOSE(ArtifactsInput!$N$7+1,6,7.2,8.4,9.6,10.8,12))+IF(Inputs!$B$3&gt;=117,F2947,0))/100))+MIN((Skills!S28*(1+((Inputs!$B$35+(ArtifactsInput!$M$7-ArtifactsInput!$M$7)*CHOOSE(ArtifactsInput!$N$7+1,6,7.2,8.4,9.6,10.8,12))+IF(Inputs!$B$3&gt;=117,F2947,0))/100)),MAX(0,Inputs!$B$44-((R2949-1)*Skills!D28))))/Inputs!$B$44),IF(Inputs!$B$39="pvp",MIN((Skills!S28*(1+((Inputs!$B$35+(ArtifactsInput!$M$7-ArtifactsInput!$M$7)*CHOOSE(ArtifactsInput!$N$7+1,6,7.2,8.4,9.6,10.8,12))+IF(Inputs!$B$3&gt;=117,F2947,0))/100)),15)/15,(Skills!S28*(1+((Inputs!$B$35+(ArtifactsInput!$M$7-ArtifactsInput!$M$7)*CHOOSE(ArtifactsInput!$N$7+1,6,7.2,8.4,9.6,10.8,12))+IF(Inputs!$B$3&gt;=117,F2947,0))/100))/Skills!D28)))</f>
        <v/>
      </c>
    </row>
    <row r="2957">
      <c r="A2957" t="inlineStr">
        <is>
          <t>Actions Per Second</t>
        </is>
      </c>
      <c r="B2957">
        <f>1+MIN(150,150*(1-(1-Inputs!$B$12/150)*(1-B2956/150)))/100</f>
        <v/>
      </c>
    </row>
    <row r="2958">
      <c r="A2958" t="inlineStr">
        <is>
          <t>Skill + Buff Cast Rate</t>
        </is>
      </c>
      <c r="B2958">
        <f>IF(AND(Inputs!$B$39&lt;&gt;"pvp",Inputs!$B$44&gt;0),SUMPRODUCT((Skills!E2:E28=TRUE)*(C2923:C2949=TRUE)*R2923:R2949)/Inputs!$B$44,SUMPRODUCT((Skills!E2:E28=TRUE)*(C2923:C2949=TRUE)*Q2923:Q2949))</f>
        <v/>
      </c>
    </row>
    <row r="2959">
      <c r="A2959" t="inlineStr">
        <is>
          <t>Big Bang Casts Per Second</t>
        </is>
      </c>
      <c r="B2959">
        <f>MAX(0,B2957-B2958)</f>
        <v/>
      </c>
    </row>
    <row r="2960">
      <c r="A2960" t="inlineStr">
        <is>
          <t>Defense % Bonus (Divine Protection)</t>
        </is>
      </c>
      <c r="B2960">
        <f>IF(C2934=TRUE,F2934*IF(AND(Inputs!$B$39&lt;&gt;"pvp",Inputs!$B$44&gt;0),(((R2934-1)*(Skills!S13*(1+((Inputs!$B$35+(ArtifactsInput!$M$7-ArtifactsInput!$M$7)*CHOOSE(ArtifactsInput!$N$7+1,6,7.2,8.4,9.6,10.8,12))+IF(Inputs!$B$3&gt;=117,F2947,0))/100))+MIN((Skills!S13*(1+((Inputs!$B$35+(ArtifactsInput!$M$7-ArtifactsInput!$M$7)*CHOOSE(ArtifactsInput!$N$7+1,6,7.2,8.4,9.6,10.8,12))+IF(Inputs!$B$3&gt;=117,F2947,0))/100)),MAX(0,Inputs!$B$44-((R2934-1)*Skills!D13))))/Inputs!$B$44),IF(Inputs!$B$39="pvp",MIN((Skills!S13*(1+((Inputs!$B$35+(ArtifactsInput!$M$7-ArtifactsInput!$M$7)*CHOOSE(ArtifactsInput!$N$7+1,6,7.2,8.4,9.6,10.8,12))+IF(Inputs!$B$3&gt;=117,F2947,0))/100)),15)/15,(Skills!S13*(1+((Inputs!$B$35+(ArtifactsInput!$M$7-ArtifactsInput!$M$7)*CHOOSE(ArtifactsInput!$N$7+1,6,7.2,8.4,9.6,10.8,12))+IF(Inputs!$B$3&gt;=117,F2947,0))/100))/Skills!D13)),0)</f>
        <v/>
      </c>
    </row>
    <row r="2961">
      <c r="A2961" t="inlineStr">
        <is>
          <t>Buff-Casting Startup Delay (s, fixed-duration only)</t>
        </is>
      </c>
      <c r="B2961">
        <f>IF(AND(Inputs!$B$39&lt;&gt;"pvp",Inputs!$B$44&gt;0),SUMPRODUCT((Skills!S2:S28&gt;0)*(Skills!E2:E28=TRUE)*(C2923:C2949=TRUE))/B2957,0)</f>
        <v/>
      </c>
    </row>
    <row r="2962">
      <c r="A2962" t="inlineStr">
        <is>
          <t>Boss-Only Total DPS (this block's swept value)</t>
        </is>
      </c>
      <c r="B2962">
        <f>SUM(S2923:S2949)</f>
        <v/>
      </c>
    </row>
    <row r="2963">
      <c r="A2963" t="inlineStr">
        <is>
          <t>Normal-Only Total DPS (this block's swept value)</t>
        </is>
      </c>
      <c r="B2963">
        <f>SUM(U2923:U2949)</f>
        <v/>
      </c>
    </row>
    <row r="2964">
      <c r="A2964" s="6" t="inlineStr">
        <is>
          <t>TOTAL DPS</t>
        </is>
      </c>
      <c r="B2964" s="6">
        <f>SUM(O2923:O2949)</f>
        <v/>
      </c>
    </row>
    <row r="2966">
      <c r="A2966" s="6" t="inlineStr">
        <is>
          <t>Stat: CDR = 1.0s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R2967" t="inlineStr">
        <is>
          <t>helpers</t>
        </is>
      </c>
    </row>
    <row r="2968">
      <c r="A2968">
        <f>Skills!A2</f>
        <v/>
      </c>
      <c r="B2968">
        <f>Skills!B2</f>
        <v/>
      </c>
      <c r="C2968">
        <f>Inputs!$B$3&gt;=100</f>
        <v/>
      </c>
      <c r="D2968" t="inlineStr"/>
      <c r="E2968" t="inlineStr"/>
      <c r="F2968">
        <f>T2970+Skills!N2</f>
        <v/>
      </c>
      <c r="G2968">
        <f>Calc!G2</f>
        <v/>
      </c>
      <c r="H2968">
        <f>Calc!H2</f>
        <v/>
      </c>
      <c r="I2968">
        <f>IF(Skills!T2&lt;&gt;"",1+(Skills!T2/10)*($Z$3/1000)/100,1)</f>
        <v/>
      </c>
      <c r="J2968">
        <f>((Inputs!$B$6*(1+Inputs!$B$7/100))+(((Inputs!$B$13*(1+Inputs!$B$14/100))-(Inputs!$B$13*(1+Inputs!$B$14/100)))+0.25*(Inputs!$B$15-Inputs!$B$15))*(1+Inputs!$B$7/100))*(F2968/100)</f>
        <v/>
      </c>
      <c r="K2968">
        <f>J2968*(1+(((Inputs!$B$13+IF(Inputs!$B$3&gt;=35,(10*INDEX(FactorTable!$B$2:$Y$301,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2="TRIUMPH_FEATHER",IF(C2982=TRUE,F2982,0),0)/100)*(1+IF(C2993=TRUE,F2993,0)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2968)</f>
        <v/>
      </c>
      <c r="L2968">
        <f>K2968*(MIN(Inputs!$B$23+(F2988-Calc!F22),(Inputs!$B$24+IF(ArtifactsInput!$M$15,CHOOSE(ArtifactsInput!$N$15+1,25,30,35,40,45,50)/100*(Inputs!$B$12-Inputs!$B$12),0)))/100+(Inputs!$B$24+IF(ArtifactsInput!$M$15,CHOOSE(ArtifactsInput!$N$15+1,25,30,35,40,45,50)/100*(Inputs!$B$12-Inputs!$B$12),0))/100)/2</f>
        <v/>
      </c>
      <c r="M2968">
        <f>L2968*(1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68">
        <f>L2968*(1-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(1-Summary!$B$11)*S2968+Summary!$B$11*U2968</f>
        <v/>
      </c>
      <c r="P2968">
        <f>IF(B3009=0,0,O2968/B3009)</f>
        <v/>
      </c>
      <c r="Q2968">
        <f>IFERROR(1/(IF(Inputs!$B$39="pvp",15,MAX(0.1,Skills!D2-IF(Skills!E2=TRUE,1.0,0)))*(1-IF(AND(ArtifactsInput!$M$27,Inputs!$B$4="Chapter Hunt"),CHOOSE(ArtifactsInput!$N$27+1,20,24,28,32,36,40),0)/100)),0)</f>
        <v/>
      </c>
      <c r="R2968" t="n">
        <v>0</v>
      </c>
      <c r="S2968">
        <f>IF(C2968,(Skills!F2*N2968*B3004)*IF(Inputs!$B$39="pvp",1,1+(Inputs!$B$21+Skills!O2+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2968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68">
        <f>MAX(0,(Inputs!$B$3-100)*3)+Inputs!$B$29+Inputs!$B$30</f>
        <v/>
      </c>
      <c r="U2968">
        <f>IF(C2968,(Skills!F2*N2968*B3004)*IF(Inputs!$B$39="pvp",1,(1+(Inputs!$B$22+Skills!P2+B2998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Skills!A3</f>
        <v/>
      </c>
      <c r="B2969">
        <f>Skills!B3</f>
        <v/>
      </c>
      <c r="C2969">
        <f>Inputs!$B$3&gt;=15</f>
        <v/>
      </c>
      <c r="D2969">
        <f>IF(Skills!C3=1,60+Inputs!$B$26+Inputs!$B$30,IF(Skills!C3=2,90+Inputs!$B$27+Inputs!$B$30,IF(Skills!C3=3,120+Inputs!$B$28+Inputs!$B$30,MAX(0,(Inputs!$B$3-100)*3)+Inputs!$B$29+Inputs!$B$30)))</f>
        <v/>
      </c>
      <c r="E2969">
        <f>INDEX(FactorTable!$B$2:$Y$301, MATCH(ROUND(MIN(300,MAX(1,D2969)),0), FactorTable!$A$2:$A$301,0), Skills!L3+1)</f>
        <v/>
      </c>
      <c r="F2969">
        <f>IF(Skills!M3=TRUE,(Skills!K3/10)*(E2969/1000),Skills!K3/10)+Skills!N3</f>
        <v/>
      </c>
      <c r="G2969">
        <f>Calc!G3</f>
        <v/>
      </c>
      <c r="H2969">
        <f>Calc!H3</f>
        <v/>
      </c>
      <c r="I2969">
        <f>IF(Skills!T3&lt;&gt;"",1+(Skills!T3/10)*($Z$3/1000)/100,1)</f>
        <v/>
      </c>
      <c r="J2969" t="inlineStr"/>
      <c r="K2969" t="inlineStr"/>
      <c r="L2969" t="inlineStr"/>
      <c r="M2969" t="inlineStr"/>
      <c r="N2969" t="inlineStr"/>
      <c r="O2969">
        <f>(1-Summary!$B$11)*S2969+Summary!$B$11*U2969</f>
        <v/>
      </c>
      <c r="P2969">
        <f>IF(B3009=0,0,O2969/B3009)</f>
        <v/>
      </c>
      <c r="Q2969">
        <f>IFERROR(1/(IF(Inputs!$B$39="pvp",15,MAX(0.1,Skills!D3-IF(Skills!E3=TRUE,1.0,0)))*(1-IF(AND(ArtifactsInput!$M$27,Inputs!$B$4="Chapter Hunt"),CHOOSE(ArtifactsInput!$N$27+1,20,24,28,32,36,40),0)/100)),0)</f>
        <v/>
      </c>
      <c r="R2969">
        <f>IF(AND(Inputs!$B$39&lt;&gt;"pvp",Inputs!$B$44&gt;0),IF(Inputs!$B$44&lt;=0,0,(INT(Inputs!$B$44/(IF(Inputs!$B$39="pvp",15,MAX(0.1,Skills!D3-IF(Skills!E3=TRUE,1.0,0)))*(1-IF(AND(ArtifactsInput!$M$27,Inputs!$B$4="Chapter Hunt"),CHOOSE(ArtifactsInput!$N$27+1,20,24,28,32,36,40),0)/100)))+1)),0)</f>
        <v/>
      </c>
      <c r="S2969" t="n">
        <v>0</v>
      </c>
      <c r="T2969">
        <f>INDEX(FactorTable!$B$2:$Y$301, MATCH(ROUND(MIN(300,MAX(1,T2968)),0), FactorTable!$A$2:$A$301,0), 22)</f>
        <v/>
      </c>
      <c r="U2969" t="n">
        <v>0</v>
      </c>
    </row>
    <row r="2970">
      <c r="A2970">
        <f>Skills!A4</f>
        <v/>
      </c>
      <c r="B2970">
        <f>Skills!B4</f>
        <v/>
      </c>
      <c r="C2970">
        <f>Inputs!$B$3&gt;=38</f>
        <v/>
      </c>
      <c r="D2970">
        <f>IF(Skills!C4=1,60+Inputs!$B$26+Inputs!$B$30,IF(Skills!C4=2,90+Inputs!$B$27+Inputs!$B$30,IF(Skills!C4=3,120+Inputs!$B$28+Inputs!$B$30,MAX(0,(Inputs!$B$3-100)*3)+Inputs!$B$29+Inputs!$B$30)))</f>
        <v/>
      </c>
      <c r="E2970">
        <f>INDEX(FactorTable!$B$2:$Y$301, MATCH(ROUND(MIN(300,MAX(1,D2970)),0), FactorTable!$A$2:$A$301,0), Skills!L4+1)</f>
        <v/>
      </c>
      <c r="F2970">
        <f>IF(Skills!M4=TRUE,(Skills!K4/10)*(E2970/1000),Skills!K4/10)+Skills!N4</f>
        <v/>
      </c>
      <c r="G2970">
        <f>Calc!G4</f>
        <v/>
      </c>
      <c r="H2970">
        <f>Calc!H4</f>
        <v/>
      </c>
      <c r="I2970">
        <f>IF(Skills!T4&lt;&gt;"",1+(Skills!T4/10)*($Z$3/1000)/100,1)</f>
        <v/>
      </c>
      <c r="J2970" t="inlineStr"/>
      <c r="K2970" t="inlineStr"/>
      <c r="L2970" t="inlineStr"/>
      <c r="M2970" t="inlineStr"/>
      <c r="N2970" t="inlineStr"/>
      <c r="O2970">
        <f>(1-Summary!$B$11)*S2970+Summary!$B$11*U2970</f>
        <v/>
      </c>
      <c r="P2970">
        <f>IF(B3009=0,0,O2970/B3009)</f>
        <v/>
      </c>
      <c r="Q2970">
        <f>IFERROR(1/(IF(Inputs!$B$39="pvp",15,MAX(0.1,Skills!D4-IF(Skills!E4=TRUE,1.0,0)))*(1-IF(AND(ArtifactsInput!$M$27,Inputs!$B$4="Chapter Hunt"),CHOOSE(ArtifactsInput!$N$27+1,20,24,28,32,36,40),0)/100)),0)</f>
        <v/>
      </c>
      <c r="R2970">
        <f>IF(AND(Inputs!$B$39&lt;&gt;"pvp",Inputs!$B$44&gt;0),IF(Inputs!$B$44&lt;=0,0,(INT(Inputs!$B$44/(IF(Inputs!$B$39="pvp",15,MAX(0.1,Skills!D4-IF(Skills!E4=TRUE,1.0,0)))*(1-IF(AND(ArtifactsInput!$M$27,Inputs!$B$4="Chapter Hunt"),CHOOSE(ArtifactsInput!$N$27+1,20,24,28,32,36,40),0)/100)))+1)),0)</f>
        <v/>
      </c>
      <c r="S2970" t="n">
        <v>0</v>
      </c>
      <c r="T2970">
        <f>290*T2969/1000</f>
        <v/>
      </c>
      <c r="U2970" t="n">
        <v>0</v>
      </c>
    </row>
    <row r="2971">
      <c r="A2971">
        <f>Skills!A5</f>
        <v/>
      </c>
      <c r="B2971">
        <f>Skills!B5</f>
        <v/>
      </c>
      <c r="C2971">
        <f>Inputs!$B$3&gt;=40</f>
        <v/>
      </c>
      <c r="D2971">
        <f>IF(Skills!C5=1,60+Inputs!$B$26+Inputs!$B$30,IF(Skills!C5=2,90+Inputs!$B$27+Inputs!$B$30,IF(Skills!C5=3,120+Inputs!$B$28+Inputs!$B$30,MAX(0,(Inputs!$B$3-100)*3)+Inputs!$B$29+Inputs!$B$30)))</f>
        <v/>
      </c>
      <c r="E2971">
        <f>INDEX(FactorTable!$B$2:$Y$301, MATCH(ROUND(MIN(300,MAX(1,D2971)),0), FactorTable!$A$2:$A$301,0), Skills!L5+1)</f>
        <v/>
      </c>
      <c r="F2971">
        <f>IF(Skills!M5=TRUE,(Skills!K5/10)*(E2971/1000),Skills!K5/10)+Skills!N5</f>
        <v/>
      </c>
      <c r="G2971">
        <f>Calc!G5</f>
        <v/>
      </c>
      <c r="H2971">
        <f>Calc!H5</f>
        <v/>
      </c>
      <c r="I2971">
        <f>IF(Skills!T5&lt;&gt;"",1+(Skills!T5/10)*($Z$3/1000)/100,1)</f>
        <v/>
      </c>
      <c r="J2971" t="inlineStr"/>
      <c r="K2971" t="inlineStr"/>
      <c r="L2971" t="inlineStr"/>
      <c r="M2971" t="inlineStr"/>
      <c r="N2971" t="inlineStr"/>
      <c r="O2971">
        <f>(1-Summary!$B$11)*S2971+Summary!$B$11*U2971</f>
        <v/>
      </c>
      <c r="P2971">
        <f>IF(B3009=0,0,O2971/B3009)</f>
        <v/>
      </c>
      <c r="Q2971">
        <f>IFERROR(1/(IF(Inputs!$B$39="pvp",15,MAX(0.1,Skills!D5-IF(Skills!E5=TRUE,1.0,0)))*(1-IF(AND(ArtifactsInput!$M$27,Inputs!$B$4="Chapter Hunt"),CHOOSE(ArtifactsInput!$N$27+1,20,24,28,32,36,40),0)/100)),0)</f>
        <v/>
      </c>
      <c r="R2971">
        <f>IF(AND(Inputs!$B$39&lt;&gt;"pvp",Inputs!$B$44&gt;0),IF(Inputs!$B$44&lt;=0,0,(INT(Inputs!$B$44/(IF(Inputs!$B$39="pvp",15,MAX(0.1,Skills!D5-IF(Skills!E5=TRUE,1.0,0)))*(1-IF(AND(ArtifactsInput!$M$27,Inputs!$B$4="Chapter Hunt"),CHOOSE(ArtifactsInput!$N$27+1,20,24,28,32,36,40),0)/100)))+1)),0)</f>
        <v/>
      </c>
      <c r="S2971" t="n">
        <v>0</v>
      </c>
      <c r="U2971" t="n">
        <v>0</v>
      </c>
    </row>
    <row r="2972">
      <c r="A2972">
        <f>Skills!A6</f>
        <v/>
      </c>
      <c r="B2972">
        <f>Skills!B6</f>
        <v/>
      </c>
      <c r="C2972">
        <f>Inputs!$B$3&gt;=103</f>
        <v/>
      </c>
      <c r="D2972">
        <f>IF(Skills!C6=1,60+Inputs!$B$26+Inputs!$B$30,IF(Skills!C6=2,90+Inputs!$B$27+Inputs!$B$30,IF(Skills!C6=3,120+Inputs!$B$28+Inputs!$B$30,MAX(0,(Inputs!$B$3-100)*3)+Inputs!$B$29+Inputs!$B$30)))</f>
        <v/>
      </c>
      <c r="E2972">
        <f>INDEX(FactorTable!$B$2:$Y$301, MATCH(ROUND(MIN(300,MAX(1,D2972)),0), FactorTable!$A$2:$A$301,0), Skills!L6+1)</f>
        <v/>
      </c>
      <c r="F2972">
        <f>IF(Skills!M6=TRUE,(Skills!K6/10)*(E2972/1000),Skills!K6/10)+Skills!N6</f>
        <v/>
      </c>
      <c r="G2972">
        <f>Calc!G6</f>
        <v/>
      </c>
      <c r="H2972">
        <f>Calc!H6</f>
        <v/>
      </c>
      <c r="I2972">
        <f>IF(Skills!T6&lt;&gt;"",1+(Skills!T6/10)*($Z$3/1000)/100,1)</f>
        <v/>
      </c>
      <c r="J2972">
        <f>((Inputs!$B$6*(1+Inputs!$B$7/100))+(((Inputs!$B$13*(1+Inputs!$B$14/100))-(Inputs!$B$13*(1+Inputs!$B$14/100)))+0.25*(Inputs!$B$15-Inputs!$B$15))*(1+Inputs!$B$7/100))*(F2972/100)</f>
        <v/>
      </c>
      <c r="K2972">
        <f>J2972*(1+(((Inputs!$B$13+IF(Inputs!$B$3&gt;=35,(10*INDEX(FactorTable!$B$2:$Y$301,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6="TRIUMPH_FEATHER",IF(C2982=TRUE,F2982,0),0)/100)*(1+IF(C2993=TRUE,F2993,0)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2972)</f>
        <v/>
      </c>
      <c r="L2972">
        <f>K2972*(MIN(Inputs!$B$23+(F2988-Calc!F22),(Inputs!$B$24+IF(ArtifactsInput!$M$15,CHOOSE(ArtifactsInput!$N$15+1,25,30,35,40,45,50)/100*(Inputs!$B$12-Inputs!$B$12),0)))/100+(Inputs!$B$24+IF(ArtifactsInput!$M$15,CHOOSE(ArtifactsInput!$N$15+1,25,30,35,40,45,50)/100*(Inputs!$B$12-Inputs!$B$12),0))/100)/2</f>
        <v/>
      </c>
      <c r="M2972">
        <f>L2972*(1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2">
        <f>L2972*(1-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(1-Summary!$B$11)*S2972+Summary!$B$11*U2972</f>
        <v/>
      </c>
      <c r="P2972">
        <f>IF(B3009=0,0,O2972/B3009)</f>
        <v/>
      </c>
      <c r="Q2972">
        <f>IFERROR(1/(IF(Inputs!$B$39="pvp",15,MAX(0.1,Skills!D6-IF(Skills!E6=TRUE,1.0,0)))*(1-IF(AND(ArtifactsInput!$M$27,Inputs!$B$4="Chapter Hunt"),CHOOSE(ArtifactsInput!$N$27+1,20,24,28,32,36,40),0)/100)),0)</f>
        <v/>
      </c>
      <c r="R2972">
        <f>IF(AND(Inputs!$B$39&lt;&gt;"pvp",Inputs!$B$44&gt;0),IF(MAX(0,Inputs!$B$44-B3006)&lt;=0,0,(INT(MAX(0,Inputs!$B$44-B3006)/(IF(Inputs!$B$39="pvp",15,MAX(0.1,Skills!D6-IF(Skills!E6=TRUE,1.0,0)))*(1-IF(AND(ArtifactsInput!$M$27,Inputs!$B$4="Chapter Hunt"),CHOOSE(ArtifactsInput!$N$27+1,20,24,28,32,36,40),0)/100)))+1)),0)</f>
        <v/>
      </c>
      <c r="S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$21+Skills!O6+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2972*(1-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$22+Skills!P6+B2998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Skills!A7</f>
        <v/>
      </c>
      <c r="B2973">
        <f>Skills!B7</f>
        <v/>
      </c>
      <c r="C2973">
        <f>Inputs!$B$3&gt;=122</f>
        <v/>
      </c>
      <c r="D2973">
        <f>IF(Skills!C7=1,60+Inputs!$B$26+Inputs!$B$30,IF(Skills!C7=2,90+Inputs!$B$27+Inputs!$B$30,IF(Skills!C7=3,120+Inputs!$B$28+Inputs!$B$30,MAX(0,(Inputs!$B$3-100)*3)+Inputs!$B$29+Inputs!$B$30)))</f>
        <v/>
      </c>
      <c r="E2973">
        <f>INDEX(FactorTable!$B$2:$Y$301, MATCH(ROUND(MIN(300,MAX(1,D2973)),0), FactorTable!$A$2:$A$301,0), Skills!L7+1)</f>
        <v/>
      </c>
      <c r="F2973">
        <f>IF(Skills!M7=TRUE,(Skills!K7/10)*(E2973/1000),Skills!K7/10)+Skills!N7</f>
        <v/>
      </c>
      <c r="G2973">
        <f>Calc!G7</f>
        <v/>
      </c>
      <c r="H2973">
        <f>Calc!H7</f>
        <v/>
      </c>
      <c r="I2973">
        <f>IF(Skills!T7&lt;&gt;"",1+(Skills!T7/10)*($Z$3/1000)/100,1)</f>
        <v/>
      </c>
      <c r="J2973">
        <f>((Inputs!$B$6*(1+Inputs!$B$7/100))+(((Inputs!$B$13*(1+Inputs!$B$14/100))-(Inputs!$B$13*(1+Inputs!$B$14/100)))+0.25*(Inputs!$B$15-Inputs!$B$15))*(1+Inputs!$B$7/100))*(F2973/100)</f>
        <v/>
      </c>
      <c r="K2973">
        <f>J2973*(1+(((Inputs!$B$13+IF(Inputs!$B$3&gt;=35,(10*INDEX(FactorTable!$B$2:$Y$301,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7="TRIUMPH_FEATHER",IF(C2982=TRUE,F2982,0),0)/100)*(1+IF(C2993=TRUE,F2993,0)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2973)</f>
        <v/>
      </c>
      <c r="L2973">
        <f>K2973*(MIN(Inputs!$B$23+(F2988-Calc!F22),(Inputs!$B$24+IF(ArtifactsInput!$M$15,CHOOSE(ArtifactsInput!$N$15+1,25,30,35,40,45,50)/100*(Inputs!$B$12-Inputs!$B$12),0)))/100+(Inputs!$B$24+IF(ArtifactsInput!$M$15,CHOOSE(ArtifactsInput!$N$15+1,25,30,35,40,45,50)/100*(Inputs!$B$12-Inputs!$B$12),0))/100)/2</f>
        <v/>
      </c>
      <c r="M2973">
        <f>L2973*(1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3">
        <f>L2973*(1-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(1-Summary!$B$11)*S2973+Summary!$B$11*U2973</f>
        <v/>
      </c>
      <c r="P2973">
        <f>IF(B3009=0,0,O2973/B3009)</f>
        <v/>
      </c>
      <c r="Q2973">
        <f>IFERROR(1/(IF(Inputs!$B$39="pvp",15,MAX(0.1,Skills!D7-IF(Skills!E6=TRUE,1.0,0)))*(1-IF(AND(ArtifactsInput!$M$27,Inputs!$B$4="Chapter Hunt"),CHOOSE(ArtifactsInput!$N$27+1,20,24,28,32,36,40),0)/100)),0)</f>
        <v/>
      </c>
      <c r="R2973">
        <f>IF(AND(Inputs!$B$39&lt;&gt;"pvp",Inputs!$B$44&gt;0),IF(MAX(0,Inputs!$B$44-B3006)&lt;=0,0,(INT(MAX(0,Inputs!$B$44-B3006)/(IF(Inputs!$B$39="pvp",15,MAX(0.1,Skills!D7-IF(Skills!E6=TRUE,1.0,0)))*(1-IF(AND(ArtifactsInput!$M$27,Inputs!$B$4="Chapter Hunt"),CHOOSE(ArtifactsInput!$N$27+1,20,24,28,32,36,40),0)/100)))+1)),0)</f>
        <v/>
      </c>
      <c r="S2973">
        <f>IF(C2973,H2973*N2973*IF(AND(Inputs!$B$39&lt;&gt;"pvp",Inputs!$B$44&gt;0),((Skills!F7*((R2973-1)*IF(Skills!G7&gt;0,Skills!H7/Skills!G7,1)+IF(Skills!G7&gt;0,MIN(Skills!H7,MAX(0,MAX(0,Inputs!$B$44-B3006)-((R2973-1)*(IF(Inputs!$B$39="pvp",15,MAX(0.1,Skills!D7-IF(Skills!E6=TRUE,1.0,0)))*(1-IF(AND(ArtifactsInput!$M$27,Inputs!$B$4="Chapter Hunt"),CHOOSE(ArtifactsInput!$N$27+1,20,24,28,32,36,40),0)/100)))))/Skills!G7,1)))/Inputs!$B$44),G2973*Q2973)*IF(Inputs!$B$39="pvp",1,1+(Inputs!$B$21+Skills!O7+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2973*(1-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3" t="n">
        <v>0</v>
      </c>
    </row>
    <row r="2974">
      <c r="A2974">
        <f>Skills!A8</f>
        <v/>
      </c>
      <c r="B2974">
        <f>Skills!B8</f>
        <v/>
      </c>
      <c r="C2974">
        <f>Inputs!$B$3&gt;=105</f>
        <v/>
      </c>
      <c r="D2974">
        <f>IF(Skills!C8=1,60+Inputs!$B$26+Inputs!$B$30,IF(Skills!C8=2,90+Inputs!$B$27+Inputs!$B$30,IF(Skills!C8=3,120+Inputs!$B$28+Inputs!$B$30,MAX(0,(Inputs!$B$3-100)*3)+Inputs!$B$29+Inputs!$B$30)))</f>
        <v/>
      </c>
      <c r="E2974">
        <f>INDEX(FactorTable!$B$2:$Y$301, MATCH(ROUND(MIN(300,MAX(1,D2974)),0), FactorTable!$A$2:$A$301,0), Skills!L8+1)</f>
        <v/>
      </c>
      <c r="F2974">
        <f>IF(Skills!M8=TRUE,(Skills!K8/10)*(E2974/1000),Skills!K8/10)+Skills!N8</f>
        <v/>
      </c>
      <c r="G2974">
        <f>Calc!G8</f>
        <v/>
      </c>
      <c r="H2974">
        <f>Calc!H8</f>
        <v/>
      </c>
      <c r="I2974">
        <f>IF(Skills!T8&lt;&gt;"",1+(Skills!T8/10)*($Z$3/1000)/100,1)</f>
        <v/>
      </c>
      <c r="J2974">
        <f>((Inputs!$B$6*(1+Inputs!$B$7/100))+(((Inputs!$B$13*(1+Inputs!$B$14/100))-(Inputs!$B$13*(1+Inputs!$B$14/100)))+0.25*(Inputs!$B$15-Inputs!$B$15))*(1+Inputs!$B$7/100))*(F2974/100)</f>
        <v/>
      </c>
      <c r="K2974">
        <f>J2974*(1+(((Inputs!$B$13+IF(Inputs!$B$3&gt;=35,(10*INDEX(FactorTable!$B$2:$Y$301,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8="TRIUMPH_FEATHER",IF(C2982=TRUE,F2982,0),0)/100)*(1+IF(C2993=TRUE,F2993,0)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2974)</f>
        <v/>
      </c>
      <c r="L2974">
        <f>K2974*(MIN(Inputs!$B$23+(F2988-Calc!F22),(Inputs!$B$24+IF(ArtifactsInput!$M$15,CHOOSE(ArtifactsInput!$N$15+1,25,30,35,40,45,50)/100*(Inputs!$B$12-Inputs!$B$12),0)))/100+(Inputs!$B$24+IF(ArtifactsInput!$M$15,CHOOSE(ArtifactsInput!$N$15+1,25,30,35,40,45,50)/100*(Inputs!$B$12-Inputs!$B$12),0))/100)/2</f>
        <v/>
      </c>
      <c r="M2974">
        <f>L2974*(1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4">
        <f>L2974*(1-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(1-Summary!$B$11)*S2974+Summary!$B$11*U2974</f>
        <v/>
      </c>
      <c r="P2974">
        <f>IF(B3009=0,0,O2974/B3009)</f>
        <v/>
      </c>
      <c r="Q2974">
        <f>IFERROR(1/(IF(Inputs!$B$39="pvp",15,MAX(0.1,Skills!D8-IF(Skills!E8=TRUE,1.0,0)))*(1-IF(AND(ArtifactsInput!$M$27,Inputs!$B$4="Chapter Hunt"),CHOOSE(ArtifactsInput!$N$27+1,20,24,28,32,36,40),0)/100)),0)</f>
        <v/>
      </c>
      <c r="R2974">
        <f>IF(AND(Inputs!$B$39&lt;&gt;"pvp",Inputs!$B$44&gt;0),IF(MAX(0,Inputs!$B$44-B3006)&lt;=0,0,(INT(MAX(0,Inputs!$B$44-B3006)/(IF(Inputs!$B$39="pvp",15,MAX(0.1,Skills!D8-IF(Skills!E8=TRUE,1.0,0)))*(1-IF(AND(ArtifactsInput!$M$27,Inputs!$B$4="Chapter Hunt"),CHOOSE(ArtifactsInput!$N$27+1,20,24,28,32,36,40),0)/100)))+1)),0)</f>
        <v/>
      </c>
      <c r="S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$21+Skills!O8+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2974*(1-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$22+Skills!P8+B2998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Skills!A9</f>
        <v/>
      </c>
      <c r="B2975">
        <f>Skills!B9</f>
        <v/>
      </c>
      <c r="C2975">
        <f>Inputs!$B$3&gt;=115</f>
        <v/>
      </c>
      <c r="D2975">
        <f>IF(Skills!C9=1,60+Inputs!$B$26+Inputs!$B$30,IF(Skills!C9=2,90+Inputs!$B$27+Inputs!$B$30,IF(Skills!C9=3,120+Inputs!$B$28+Inputs!$B$30,MAX(0,(Inputs!$B$3-100)*3)+Inputs!$B$29+Inputs!$B$30)))</f>
        <v/>
      </c>
      <c r="E2975">
        <f>INDEX(FactorTable!$B$2:$Y$301, MATCH(ROUND(MIN(300,MAX(1,D2975)),0), FactorTable!$A$2:$A$301,0), Skills!L9+1)</f>
        <v/>
      </c>
      <c r="F2975">
        <f>IF(Skills!M9=TRUE,(Skills!K9/10)*(E2975/1000),Skills!K9/10)+Skills!N9</f>
        <v/>
      </c>
      <c r="G2975">
        <f>Calc!G9</f>
        <v/>
      </c>
      <c r="H2975">
        <f>Calc!H9</f>
        <v/>
      </c>
      <c r="I2975">
        <f>IF(Skills!T9&lt;&gt;"",1+(Skills!T9/10)*($Z$3/1000)/100,1)</f>
        <v/>
      </c>
      <c r="J2975">
        <f>((Inputs!$B$6*(1+Inputs!$B$7/100))+(((Inputs!$B$13*(1+Inputs!$B$14/100))-(Inputs!$B$13*(1+Inputs!$B$14/100)))+0.25*(Inputs!$B$15-Inputs!$B$15))*(1+Inputs!$B$7/100))*(F2975/100)</f>
        <v/>
      </c>
      <c r="K2975">
        <f>J2975*(1+(((Inputs!$B$13+IF(Inputs!$B$3&gt;=35,(10*INDEX(FactorTable!$B$2:$Y$301,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9="TRIUMPH_FEATHER",IF(C2982=TRUE,F2982,0),0)/100)*(1+IF(C2993=TRUE,F2993,0)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2975)</f>
        <v/>
      </c>
      <c r="L2975">
        <f>K2975*(MIN(Inputs!$B$23+(F2988-Calc!F22),(Inputs!$B$24+IF(ArtifactsInput!$M$15,CHOOSE(ArtifactsInput!$N$15+1,25,30,35,40,45,50)/100*(Inputs!$B$12-Inputs!$B$12),0)))/100+(Inputs!$B$24+IF(ArtifactsInput!$M$15,CHOOSE(ArtifactsInput!$N$15+1,25,30,35,40,45,50)/100*(Inputs!$B$12-Inputs!$B$12),0))/100)/2</f>
        <v/>
      </c>
      <c r="M2975">
        <f>L2975*(1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5">
        <f>L2975*(1-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(1-Summary!$B$11)*S2975+Summary!$B$11*U2975</f>
        <v/>
      </c>
      <c r="P2975">
        <f>IF(B3009=0,0,O2975/B3009)</f>
        <v/>
      </c>
      <c r="Q2975">
        <f>IFERROR(1/(IF(Inputs!$B$39="pvp",15,MAX(0.1,Skills!D9-IF(Skills!E9=TRUE,1.0,0)))*(1-IF(AND(ArtifactsInput!$M$27,Inputs!$B$4="Chapter Hunt"),CHOOSE(ArtifactsInput!$N$27+1,20,24,28,32,36,40),0)/100)),0)</f>
        <v/>
      </c>
      <c r="R2975">
        <f>IF(AND(Inputs!$B$39&lt;&gt;"pvp",Inputs!$B$44&gt;0),IF(MAX(0,Inputs!$B$44-B3006)&lt;=0,0,(INT(MAX(0,Inputs!$B$44-B3006)/(IF(Inputs!$B$39="pvp",15,MAX(0.1,Skills!D9-IF(Skills!E9=TRUE,1.0,0)))*(1-IF(AND(ArtifactsInput!$M$27,Inputs!$B$4="Chapter Hunt"),CHOOSE(ArtifactsInput!$N$27+1,20,24,28,32,36,40),0)/100)))+1)),0)</f>
        <v/>
      </c>
      <c r="S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$21+Skills!O9+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2975*(1-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$22+Skills!P9+B2998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Skills!A10</f>
        <v/>
      </c>
      <c r="B2976">
        <f>Skills!B10</f>
        <v/>
      </c>
      <c r="C2976">
        <f>Inputs!$B$3&gt;=66</f>
        <v/>
      </c>
      <c r="D2976">
        <f>IF(Skills!C10=1,60+Inputs!$B$26+Inputs!$B$30,IF(Skills!C10=2,90+Inputs!$B$27+Inputs!$B$30,IF(Skills!C10=3,120+Inputs!$B$28+Inputs!$B$30,MAX(0,(Inputs!$B$3-100)*3)+Inputs!$B$29+Inputs!$B$30)))</f>
        <v/>
      </c>
      <c r="E2976">
        <f>INDEX(FactorTable!$B$2:$Y$301, MATCH(ROUND(MIN(300,MAX(1,D2976)),0), FactorTable!$A$2:$A$301,0), Skills!L10+1)</f>
        <v/>
      </c>
      <c r="F2976" t="n">
        <v>0</v>
      </c>
      <c r="G2976">
        <f>Calc!G10</f>
        <v/>
      </c>
      <c r="H2976">
        <f>Calc!H10</f>
        <v/>
      </c>
      <c r="I2976">
        <f>IF(Skills!T10&lt;&gt;"",1+(Skills!T10/10)*($Z$3/1000)/100,1)</f>
        <v/>
      </c>
      <c r="J2976" t="inlineStr"/>
      <c r="K2976" t="inlineStr"/>
      <c r="L2976" t="inlineStr"/>
      <c r="M2976" t="inlineStr"/>
      <c r="N2976" t="inlineStr"/>
      <c r="O2976">
        <f>(1-Summary!$B$11)*S2976+Summary!$B$11*U2976</f>
        <v/>
      </c>
      <c r="P2976">
        <f>IF(B3009=0,0,O2976/B3009)</f>
        <v/>
      </c>
      <c r="Q2976">
        <f>IFERROR(1/(IF(Inputs!$B$39="pvp",15,MAX(0.1,Skills!D10-IF(Skills!E10=TRUE,1.0,0)))*(1-IF(AND(ArtifactsInput!$M$27,Inputs!$B$4="Chapter Hunt"),CHOOSE(ArtifactsInput!$N$27+1,20,24,28,32,36,40),0)/100)),0)</f>
        <v/>
      </c>
      <c r="R2976">
        <f>IF(AND(Inputs!$B$39&lt;&gt;"pvp",Inputs!$B$44&gt;0),IF(MAX(0,Inputs!$B$44-B3006)&lt;=0,0,(INT(MAX(0,Inputs!$B$44-B3006)/(IF(Inputs!$B$39="pvp",15,MAX(0.1,Skills!D10-IF(Skills!E10=TRUE,1.0,0)))*(1-IF(AND(ArtifactsInput!$M$27,Inputs!$B$4="Chapter Hunt"),CHOOSE(ArtifactsInput!$N$27+1,20,24,28,32,36,40),0)/100)))+1)),0)</f>
        <v/>
      </c>
      <c r="S2976" t="n">
        <v>0</v>
      </c>
      <c r="U2976" t="n">
        <v>0</v>
      </c>
    </row>
    <row r="2977">
      <c r="A2977">
        <f>Skills!A11</f>
        <v/>
      </c>
      <c r="B2977">
        <f>Skills!B11</f>
        <v/>
      </c>
      <c r="C2977">
        <f>Inputs!$B$3&gt;=69</f>
        <v/>
      </c>
      <c r="D2977">
        <f>IF(Skills!C11=1,60+Inputs!$B$26+Inputs!$B$30,IF(Skills!C11=2,90+Inputs!$B$27+Inputs!$B$30,IF(Skills!C11=3,120+Inputs!$B$28+Inputs!$B$30,MAX(0,(Inputs!$B$3-100)*3)+Inputs!$B$29+Inputs!$B$30)))</f>
        <v/>
      </c>
      <c r="E2977">
        <f>INDEX(FactorTable!$B$2:$Y$301, MATCH(ROUND(MIN(300,MAX(1,D2977)),0), FactorTable!$A$2:$A$301,0), Skills!L11+1)</f>
        <v/>
      </c>
      <c r="F2977">
        <f>IF(Skills!M11=TRUE,(Skills!K11/10)*(E2977/1000),Skills!K11/10)+Skills!N11</f>
        <v/>
      </c>
      <c r="G2977">
        <f>Calc!G11</f>
        <v/>
      </c>
      <c r="H2977">
        <f>Calc!H11</f>
        <v/>
      </c>
      <c r="I2977">
        <f>IF(Skills!T11&lt;&gt;"",1+(Skills!T11/10)*($Z$3/1000)/100,1)</f>
        <v/>
      </c>
      <c r="J2977" t="inlineStr"/>
      <c r="K2977" t="inlineStr"/>
      <c r="L2977" t="inlineStr"/>
      <c r="M2977" t="inlineStr"/>
      <c r="N2977" t="inlineStr"/>
      <c r="O2977">
        <f>(1-Summary!$B$11)*S2977+Summary!$B$11*U2977</f>
        <v/>
      </c>
      <c r="P2977">
        <f>IF(B3009=0,0,O2977/B3009)</f>
        <v/>
      </c>
      <c r="Q2977">
        <f>IFERROR(1/(IF(Inputs!$B$39="pvp",15,MAX(0.1,Skills!D11-IF(Skills!E11=TRUE,1.0,0)))*(1-IF(AND(ArtifactsInput!$M$27,Inputs!$B$4="Chapter Hunt"),CHOOSE(ArtifactsInput!$N$27+1,20,24,28,32,36,40),0)/100)),0)</f>
        <v/>
      </c>
      <c r="R2977">
        <f>IF(AND(Inputs!$B$39&lt;&gt;"pvp",Inputs!$B$44&gt;0),IF(Inputs!$B$44&lt;=0,0,(INT(Inputs!$B$44/(IF(Inputs!$B$39="pvp",15,MAX(0.1,Skills!D11-IF(Skills!E11=TRUE,1.0,0)))*(1-IF(AND(ArtifactsInput!$M$27,Inputs!$B$4="Chapter Hunt"),CHOOSE(ArtifactsInput!$N$27+1,20,24,28,32,36,40),0)/100)))+1)),0)</f>
        <v/>
      </c>
      <c r="S2977" t="n">
        <v>0</v>
      </c>
      <c r="U2977" t="n">
        <v>0</v>
      </c>
    </row>
    <row r="2978">
      <c r="A2978">
        <f>Skills!A12</f>
        <v/>
      </c>
      <c r="B2978">
        <f>Skills!B12</f>
        <v/>
      </c>
      <c r="C2978">
        <f>Inputs!$B$3&gt;=72</f>
        <v/>
      </c>
      <c r="D2978">
        <f>IF(Skills!C12=1,60+Inputs!$B$26+Inputs!$B$30,IF(Skills!C12=2,90+Inputs!$B$27+Inputs!$B$30,IF(Skills!C12=3,120+Inputs!$B$28+Inputs!$B$30,MAX(0,(Inputs!$B$3-100)*3)+Inputs!$B$29+Inputs!$B$30)))</f>
        <v/>
      </c>
      <c r="E2978">
        <f>INDEX(FactorTable!$B$2:$Y$301, MATCH(ROUND(MIN(300,MAX(1,D2978)),0), FactorTable!$A$2:$A$301,0), Skills!L12+1)</f>
        <v/>
      </c>
      <c r="F2978">
        <f>IF(Skills!M12=TRUE,(Skills!K12/10)*(E2978/1000),Skills!K12/10)+Skills!N12</f>
        <v/>
      </c>
      <c r="G2978">
        <f>Calc!G12</f>
        <v/>
      </c>
      <c r="H2978">
        <f>Calc!H12</f>
        <v/>
      </c>
      <c r="I2978">
        <f>IF(Skills!T12&lt;&gt;"",1+(Skills!T12/10)*($Z$3/1000)/100,1)</f>
        <v/>
      </c>
      <c r="J2978" t="inlineStr"/>
      <c r="K2978" t="inlineStr"/>
      <c r="L2978" t="inlineStr"/>
      <c r="M2978" t="inlineStr"/>
      <c r="N2978" t="inlineStr"/>
      <c r="O2978">
        <f>(1-Summary!$B$11)*S2978+Summary!$B$11*U2978</f>
        <v/>
      </c>
      <c r="P2978">
        <f>IF(B3009=0,0,O2978/B3009)</f>
        <v/>
      </c>
      <c r="Q2978">
        <f>IFERROR(1/(IF(Inputs!$B$39="pvp",15,MAX(0.1,Skills!D12-IF(Skills!E12=TRUE,1.0,0)))*(1-IF(AND(ArtifactsInput!$M$27,Inputs!$B$4="Chapter Hunt"),CHOOSE(ArtifactsInput!$N$27+1,20,24,28,32,36,40),0)/100)),0)</f>
        <v/>
      </c>
      <c r="R2978">
        <f>IF(AND(Inputs!$B$39&lt;&gt;"pvp",Inputs!$B$44&gt;0),IF(MAX(0,Inputs!$B$44-B3006)&lt;=0,0,(INT(MAX(0,Inputs!$B$44-B3006)/(IF(Inputs!$B$39="pvp",15,MAX(0.1,Skills!D12-IF(Skills!E12=TRUE,1.0,0)))*(1-IF(AND(ArtifactsInput!$M$27,Inputs!$B$4="Chapter Hunt"),CHOOSE(ArtifactsInput!$N$27+1,20,24,28,32,36,40),0)/100)))+1)),0)</f>
        <v/>
      </c>
      <c r="S2978" t="n">
        <v>0</v>
      </c>
      <c r="U2978" t="n">
        <v>0</v>
      </c>
    </row>
    <row r="2979">
      <c r="A2979">
        <f>Skills!A13</f>
        <v/>
      </c>
      <c r="B2979">
        <f>Skills!B13</f>
        <v/>
      </c>
      <c r="C2979">
        <f>Inputs!$B$3&gt;=60</f>
        <v/>
      </c>
      <c r="D2979">
        <f>IF(Skills!C13=1,60+Inputs!$B$26+Inputs!$B$30,IF(Skills!C13=2,90+Inputs!$B$27+Inputs!$B$30,IF(Skills!C13=3,120+Inputs!$B$28+Inputs!$B$30,MAX(0,(Inputs!$B$3-100)*3)+Inputs!$B$29+Inputs!$B$30)))</f>
        <v/>
      </c>
      <c r="E2979">
        <f>INDEX(FactorTable!$B$2:$Y$301, MATCH(ROUND(MIN(300,MAX(1,D2979)),0), FactorTable!$A$2:$A$301,0), Skills!L13+1)</f>
        <v/>
      </c>
      <c r="F2979">
        <f>IF(Skills!M13=TRUE,(Skills!K13/10)*(E2979/1000),Skills!K13/10)+Skills!N13</f>
        <v/>
      </c>
      <c r="G2979">
        <f>Calc!G13</f>
        <v/>
      </c>
      <c r="H2979">
        <f>Calc!H13</f>
        <v/>
      </c>
      <c r="I2979">
        <f>IF(Skills!T13&lt;&gt;"",1+(Skills!T13/10)*($Z$3/1000)/100,1)</f>
        <v/>
      </c>
      <c r="J2979" t="inlineStr"/>
      <c r="K2979" t="inlineStr"/>
      <c r="L2979" t="inlineStr"/>
      <c r="M2979" t="inlineStr"/>
      <c r="N2979" t="inlineStr"/>
      <c r="O2979">
        <f>(1-Summary!$B$11)*S2979+Summary!$B$11*U2979</f>
        <v/>
      </c>
      <c r="P2979">
        <f>IF(B3009=0,0,O2979/B3009)</f>
        <v/>
      </c>
      <c r="Q2979">
        <f>IFERROR(1/(IF(Inputs!$B$39="pvp",15,MAX(0.1,Skills!D13-IF(Skills!E13=TRUE,1.0,0)))*(1-IF(AND(ArtifactsInput!$M$27,Inputs!$B$4="Chapter Hunt"),CHOOSE(ArtifactsInput!$N$27+1,20,24,28,32,36,40),0)/100)),0)</f>
        <v/>
      </c>
      <c r="R2979">
        <f>IF(AND(Inputs!$B$39&lt;&gt;"pvp",Inputs!$B$44&gt;0),IF(MAX(0,Inputs!$B$44-B3006)&lt;=0,0,(INT(MAX(0,Inputs!$B$44-B3006)/(IF(Inputs!$B$39="pvp",15,MAX(0.1,Skills!D13-IF(Skills!E13=TRUE,1.0,0)))*(1-IF(AND(ArtifactsInput!$M$27,Inputs!$B$4="Chapter Hunt"),CHOOSE(ArtifactsInput!$N$27+1,20,24,28,32,36,40),0)/100)))+1)),0)</f>
        <v/>
      </c>
      <c r="S2979" t="n">
        <v>0</v>
      </c>
      <c r="U2979" t="n">
        <v>0</v>
      </c>
    </row>
    <row r="2980">
      <c r="A2980">
        <f>Skills!A14</f>
        <v/>
      </c>
      <c r="B2980">
        <f>Skills!B14</f>
        <v/>
      </c>
      <c r="C2980">
        <f>Inputs!$B$3&gt;=107</f>
        <v/>
      </c>
      <c r="D2980">
        <f>IF(Skills!C14=1,60+Inputs!$B$26+Inputs!$B$30,IF(Skills!C14=2,90+Inputs!$B$27+Inputs!$B$30,IF(Skills!C14=3,120+Inputs!$B$28+Inputs!$B$30,MAX(0,(Inputs!$B$3-100)*3)+Inputs!$B$29+Inputs!$B$30)))</f>
        <v/>
      </c>
      <c r="E2980">
        <f>INDEX(FactorTable!$B$2:$Y$301, MATCH(ROUND(MIN(300,MAX(1,D2980)),0), FactorTable!$A$2:$A$301,0), Skills!L14+1)</f>
        <v/>
      </c>
      <c r="F2980">
        <f>IF(Skills!M14=TRUE,(Skills!K14/10)*(E2980/1000),Skills!K14/10)+Skills!N14</f>
        <v/>
      </c>
      <c r="G2980">
        <f>Calc!G14</f>
        <v/>
      </c>
      <c r="H2980">
        <f>Calc!H14</f>
        <v/>
      </c>
      <c r="I2980">
        <f>IF(Skills!T14&lt;&gt;"",1+(Skills!T14/10)*($Z$3/1000)/100,1)</f>
        <v/>
      </c>
      <c r="J2980" t="inlineStr"/>
      <c r="K2980" t="inlineStr"/>
      <c r="L2980" t="inlineStr"/>
      <c r="M2980" t="inlineStr"/>
      <c r="N2980" t="inlineStr"/>
      <c r="O2980">
        <f>(1-Summary!$B$11)*S2980+Summary!$B$11*U2980</f>
        <v/>
      </c>
      <c r="P2980">
        <f>IF(B3009=0,0,O2980/B3009)</f>
        <v/>
      </c>
      <c r="Q2980">
        <f>IFERROR(1/(IF(Inputs!$B$39="pvp",15,MAX(0.1,Skills!D14-IF(Skills!E14=TRUE,1.0,0)))*(1-IF(AND(ArtifactsInput!$M$27,Inputs!$B$4="Chapter Hunt"),CHOOSE(ArtifactsInput!$N$27+1,20,24,28,32,36,40),0)/100)),0)</f>
        <v/>
      </c>
      <c r="R2980">
        <f>IF(AND(Inputs!$B$39&lt;&gt;"pvp",Inputs!$B$44&gt;0),IF(Inputs!$B$44&lt;=0,0,(INT(Inputs!$B$44/(IF(Inputs!$B$39="pvp",15,MAX(0.1,Skills!D14-IF(Skills!E14=TRUE,1.0,0)))*(1-IF(AND(ArtifactsInput!$M$27,Inputs!$B$4="Chapter Hunt"),CHOOSE(ArtifactsInput!$N$27+1,20,24,28,32,36,40),0)/100)))+1)),0)</f>
        <v/>
      </c>
      <c r="S2980" t="n">
        <v>0</v>
      </c>
      <c r="U2980" t="n">
        <v>0</v>
      </c>
    </row>
    <row r="2981">
      <c r="A2981">
        <f>Skills!A15</f>
        <v/>
      </c>
      <c r="B2981">
        <f>Skills!B15</f>
        <v/>
      </c>
      <c r="C2981">
        <f>Inputs!$B$3&gt;=63</f>
        <v/>
      </c>
      <c r="D2981">
        <f>IF(Skills!C15=1,60+Inputs!$B$26+Inputs!$B$30,IF(Skills!C15=2,90+Inputs!$B$27+Inputs!$B$30,IF(Skills!C15=3,120+Inputs!$B$28+Inputs!$B$30,MAX(0,(Inputs!$B$3-100)*3)+Inputs!$B$29+Inputs!$B$30)))</f>
        <v/>
      </c>
      <c r="E2981">
        <f>INDEX(FactorTable!$B$2:$Y$301, MATCH(ROUND(MIN(300,MAX(1,D2981)),0), FactorTable!$A$2:$A$301,0), Skills!L15+1)</f>
        <v/>
      </c>
      <c r="F2981">
        <f>IF(Skills!M15=TRUE,(Skills!K15/10)*(E2981/1000),Skills!K15/10)+Skills!N15</f>
        <v/>
      </c>
      <c r="G2981">
        <f>Calc!G15</f>
        <v/>
      </c>
      <c r="H2981">
        <f>Calc!H15</f>
        <v/>
      </c>
      <c r="I2981">
        <f>IF(Skills!T15&lt;&gt;"",1+(Skills!T15/10)*($Z$3/1000)/100,1)</f>
        <v/>
      </c>
      <c r="J2981">
        <f>((Inputs!$B$6*(1+Inputs!$B$7/100))+(((Inputs!$B$13*(1+Inputs!$B$14/100))-(Inputs!$B$13*(1+Inputs!$B$14/100)))+0.25*(Inputs!$B$15-Inputs!$B$15))*(1+Inputs!$B$7/100))*(F2981/100)</f>
        <v/>
      </c>
      <c r="K2981">
        <f>J2981*(1+(((Inputs!$B$13+IF(Inputs!$B$3&gt;=35,(10*INDEX(FactorTable!$B$2:$Y$301,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15="TRIUMPH_FEATHER",IF(C2982=TRUE,F2982,0),0)/100)*(1+IF(C2993=TRUE,F2993,0)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2981)</f>
        <v/>
      </c>
      <c r="L2981">
        <f>K2981*(MIN(Inputs!$B$23+(F2988-Calc!F22),(Inputs!$B$24+IF(ArtifactsInput!$M$15,CHOOSE(ArtifactsInput!$N$15+1,25,30,35,40,45,50)/100*(Inputs!$B$12-Inputs!$B$12),0)))/100+(Inputs!$B$24+IF(ArtifactsInput!$M$15,CHOOSE(ArtifactsInput!$N$15+1,25,30,35,40,45,50)/100*(Inputs!$B$12-Inputs!$B$12),0))/100)/2</f>
        <v/>
      </c>
      <c r="M2981">
        <f>L2981*(1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81">
        <f>L2981*(1-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(1-Summary!$B$11)*S2981+Summary!$B$11*U2981</f>
        <v/>
      </c>
      <c r="P2981">
        <f>IF(B3009=0,0,O2981/B3009)</f>
        <v/>
      </c>
      <c r="Q2981">
        <f>IFERROR(1/(IF(Inputs!$B$39="pvp",15,MAX(0.1,Skills!D15-IF(Skills!E15=TRUE,1.0,0)))*(1-IF(AND(ArtifactsInput!$M$27,Inputs!$B$4="Chapter Hunt"),CHOOSE(ArtifactsInput!$N$27+1,20,24,28,32,36,40),0)/100)),0)</f>
        <v/>
      </c>
      <c r="R2981" t="n">
        <v>0</v>
      </c>
      <c r="S2981">
        <f>IF(C2981,(Skills!F15*N2981*((IF(Inputs!$B$3&gt;=78,25,15)/100*B3002*10)/(1+IF(Inputs!$B$3&gt;=78,25,15)/100*B3002*10))*(Skills!I15/100*B3002)/(1+Skills!G15*Skills!I15/100*B3002))*IF(Inputs!$B$39="pvp",1,1+(Inputs!$B$21+Skills!O15+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2981*(1-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1">
        <f>IF(C2981,(Skills!F15*N2981*((IF(Inputs!$B$3&gt;=78,25,15)/100*B3002*10)/(1+IF(Inputs!$B$3&gt;=78,25,15)/100*B3002*10))*(Skills!I15/100*B3002)/(1+Skills!G15*Skills!I15/100*B3002))*IF(Inputs!$B$39="pvp",1,(1+(Inputs!$B$22+Skills!P15+B2998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Skills!A16</f>
        <v/>
      </c>
      <c r="B2982">
        <f>Skills!B16</f>
        <v/>
      </c>
      <c r="C2982">
        <f>Inputs!$B$3&gt;=100</f>
        <v/>
      </c>
      <c r="D2982">
        <f>IF(Skills!C16=1,60+Inputs!$B$26+Inputs!$B$30,IF(Skills!C16=2,90+Inputs!$B$27+Inputs!$B$30,IF(Skills!C16=3,120+Inputs!$B$28+Inputs!$B$30,MAX(0,(Inputs!$B$3-100)*3)+Inputs!$B$29+Inputs!$B$30)))</f>
        <v/>
      </c>
      <c r="E2982">
        <f>INDEX(FactorTable!$B$2:$Y$301, MATCH(ROUND(MIN(300,MAX(1,D2982)),0), FactorTable!$A$2:$A$301,0), Skills!L16+1)</f>
        <v/>
      </c>
      <c r="F2982">
        <f>IF(Skills!M16=TRUE,(Skills!K16/10)*(E2982/1000),Skills!K16/10)+Skills!N16</f>
        <v/>
      </c>
      <c r="G2982">
        <f>Calc!G16</f>
        <v/>
      </c>
      <c r="H2982">
        <f>Calc!H16</f>
        <v/>
      </c>
      <c r="I2982">
        <f>IF(Skills!T16&lt;&gt;"",1+(Skills!T16/10)*($Z$3/1000)/100,1)</f>
        <v/>
      </c>
      <c r="J2982" t="inlineStr"/>
      <c r="K2982" t="inlineStr"/>
      <c r="L2982" t="inlineStr"/>
      <c r="M2982" t="inlineStr"/>
      <c r="N2982" t="inlineStr"/>
      <c r="O2982">
        <f>(1-Summary!$B$11)*S2982+Summary!$B$11*U2982</f>
        <v/>
      </c>
      <c r="P2982">
        <f>IF(B3009=0,0,O2982/B3009)</f>
        <v/>
      </c>
      <c r="Q2982">
        <f>IFERROR(1/(IF(Inputs!$B$39="pvp",15,MAX(0.1,Skills!D16-IF(Skills!E16=TRUE,1.0,0)))*(1-IF(AND(ArtifactsInput!$M$27,Inputs!$B$4="Chapter Hunt"),CHOOSE(ArtifactsInput!$N$27+1,20,24,28,32,36,40),0)/100)),0)</f>
        <v/>
      </c>
      <c r="R2982" t="n">
        <v>0</v>
      </c>
      <c r="S2982" t="n">
        <v>0</v>
      </c>
      <c r="U2982" t="n">
        <v>0</v>
      </c>
    </row>
    <row r="2983">
      <c r="A2983">
        <f>Skills!A17</f>
        <v/>
      </c>
      <c r="B2983">
        <f>Skills!B17</f>
        <v/>
      </c>
      <c r="C2983">
        <f>Inputs!$B$3&gt;=49</f>
        <v/>
      </c>
      <c r="D2983">
        <f>IF(Skills!C17=1,60+Inputs!$B$26+Inputs!$B$30,IF(Skills!C17=2,90+Inputs!$B$27+Inputs!$B$30,IF(Skills!C17=3,120+Inputs!$B$28+Inputs!$B$30,MAX(0,(Inputs!$B$3-100)*3)+Inputs!$B$29+Inputs!$B$30)))</f>
        <v/>
      </c>
      <c r="E2983">
        <f>INDEX(FactorTable!$B$2:$Y$301, MATCH(ROUND(MIN(300,MAX(1,D2983)),0), FactorTable!$A$2:$A$301,0), Skills!L17+1)</f>
        <v/>
      </c>
      <c r="F2983">
        <f>IF(Skills!M17=TRUE,(Skills!K17/10)*(E2983/1000),Skills!K17/10)+Skills!N17</f>
        <v/>
      </c>
      <c r="G2983">
        <f>Calc!G17</f>
        <v/>
      </c>
      <c r="H2983">
        <f>Calc!H17</f>
        <v/>
      </c>
      <c r="I2983">
        <f>IF(Skills!T17&lt;&gt;"",1+(Skills!T17/10)*($Z$3/1000)/100,1)</f>
        <v/>
      </c>
      <c r="J2983" t="inlineStr"/>
      <c r="K2983" t="inlineStr"/>
      <c r="L2983" t="inlineStr"/>
      <c r="M2983" t="inlineStr"/>
      <c r="N2983" t="inlineStr"/>
      <c r="O2983">
        <f>(1-Summary!$B$11)*S2983+Summary!$B$11*U2983</f>
        <v/>
      </c>
      <c r="P2983">
        <f>IF(B3009=0,0,O2983/B3009)</f>
        <v/>
      </c>
      <c r="Q2983">
        <f>IFERROR(1/(IF(Inputs!$B$39="pvp",15,MAX(0.1,Skills!D17-IF(Skills!E17=TRUE,1.0,0)))*(1-IF(AND(ArtifactsInput!$M$27,Inputs!$B$4="Chapter Hunt"),CHOOSE(ArtifactsInput!$N$27+1,20,24,28,32,36,40),0)/100)),0)</f>
        <v/>
      </c>
      <c r="R2983" t="n">
        <v>0</v>
      </c>
      <c r="S2983" t="n">
        <v>0</v>
      </c>
      <c r="U2983" t="n">
        <v>0</v>
      </c>
    </row>
    <row r="2984">
      <c r="A2984">
        <f>Skills!A18</f>
        <v/>
      </c>
      <c r="B2984">
        <f>Skills!B18</f>
        <v/>
      </c>
      <c r="C2984">
        <f>Inputs!$B$3&gt;=75</f>
        <v/>
      </c>
      <c r="D2984">
        <f>IF(Skills!C18=1,60+Inputs!$B$26+Inputs!$B$30,IF(Skills!C18=2,90+Inputs!$B$27+Inputs!$B$30,IF(Skills!C18=3,120+Inputs!$B$28+Inputs!$B$30,MAX(0,(Inputs!$B$3-100)*3)+Inputs!$B$29+Inputs!$B$30)))</f>
        <v/>
      </c>
      <c r="E2984">
        <f>INDEX(FactorTable!$B$2:$Y$301, MATCH(ROUND(MIN(300,MAX(1,D2984)),0), FactorTable!$A$2:$A$301,0), Skills!L18+1)</f>
        <v/>
      </c>
      <c r="F2984">
        <f>IF(Skills!M18=TRUE,(Skills!K18/10)*(E2984/1000),Skills!K18/10)+Skills!N18</f>
        <v/>
      </c>
      <c r="G2984">
        <f>Calc!G18</f>
        <v/>
      </c>
      <c r="H2984">
        <f>Calc!H18</f>
        <v/>
      </c>
      <c r="I2984">
        <f>IF(Skills!T18&lt;&gt;"",1+(Skills!T18/10)*($Z$3/1000)/100,1)</f>
        <v/>
      </c>
      <c r="J2984" t="inlineStr"/>
      <c r="K2984" t="inlineStr"/>
      <c r="L2984" t="inlineStr"/>
      <c r="M2984" t="inlineStr"/>
      <c r="N2984" t="inlineStr"/>
      <c r="O2984">
        <f>(1-Summary!$B$11)*S2984+Summary!$B$11*U2984</f>
        <v/>
      </c>
      <c r="P2984">
        <f>IF(B3009=0,0,O2984/B3009)</f>
        <v/>
      </c>
      <c r="Q2984">
        <f>IFERROR(1/(IF(Inputs!$B$39="pvp",15,MAX(0.1,Skills!D18-IF(Skills!E18=TRUE,1.0,0)))*(1-IF(AND(ArtifactsInput!$M$27,Inputs!$B$4="Chapter Hunt"),CHOOSE(ArtifactsInput!$N$27+1,20,24,28,32,36,40),0)/100)),0)</f>
        <v/>
      </c>
      <c r="R2984" t="n">
        <v>0</v>
      </c>
      <c r="S2984" t="n">
        <v>0</v>
      </c>
      <c r="U2984" t="n">
        <v>0</v>
      </c>
    </row>
    <row r="2985">
      <c r="A2985">
        <f>Skills!A19</f>
        <v/>
      </c>
      <c r="B2985">
        <f>Skills!B19</f>
        <v/>
      </c>
      <c r="C2985">
        <f>Inputs!$B$3&gt;=110</f>
        <v/>
      </c>
      <c r="D2985">
        <f>IF(Skills!C19=1,60+Inputs!$B$26+Inputs!$B$30,IF(Skills!C19=2,90+Inputs!$B$27+Inputs!$B$30,IF(Skills!C19=3,120+Inputs!$B$28+Inputs!$B$30,MAX(0,(Inputs!$B$3-100)*3)+Inputs!$B$29+Inputs!$B$30)))</f>
        <v/>
      </c>
      <c r="E2985">
        <f>INDEX(FactorTable!$B$2:$Y$301, MATCH(ROUND(MIN(300,MAX(1,D2985)),0), FactorTable!$A$2:$A$301,0), Skills!L19+1)</f>
        <v/>
      </c>
      <c r="F2985">
        <f>(Skills!K19/10)*(E2985/1000)*64/45+Skills!N19</f>
        <v/>
      </c>
      <c r="G2985">
        <f>Calc!G19</f>
        <v/>
      </c>
      <c r="H2985">
        <f>Calc!H19</f>
        <v/>
      </c>
      <c r="I2985">
        <f>IF(Skills!T19&lt;&gt;"",1+(Skills!T19/10)*($Z$3/1000)/100,1)</f>
        <v/>
      </c>
      <c r="J2985" t="inlineStr"/>
      <c r="K2985" t="inlineStr"/>
      <c r="L2985" t="inlineStr"/>
      <c r="M2985" t="inlineStr"/>
      <c r="N2985" t="inlineStr"/>
      <c r="O2985">
        <f>(1-Summary!$B$11)*S2985+Summary!$B$11*U2985</f>
        <v/>
      </c>
      <c r="P2985">
        <f>IF(B3009=0,0,O2985/B3009)</f>
        <v/>
      </c>
      <c r="Q2985">
        <f>IFERROR(1/(IF(Inputs!$B$39="pvp",15,MAX(0.1,Skills!D19-IF(Skills!E19=TRUE,1.0,0)))*(1-IF(AND(ArtifactsInput!$M$27,Inputs!$B$4="Chapter Hunt"),CHOOSE(ArtifactsInput!$N$27+1,20,24,28,32,36,40),0)/100)),0)</f>
        <v/>
      </c>
      <c r="R2985">
        <f>IF(AND(Inputs!$B$39&lt;&gt;"pvp",Inputs!$B$44&gt;0),IF(Inputs!$B$44&lt;=0,0,(INT(Inputs!$B$44/(IF(Inputs!$B$39="pvp",15,MAX(0.1,Skills!D19-IF(Skills!E19=TRUE,1.0,0)))*(1-IF(AND(ArtifactsInput!$M$27,Inputs!$B$4="Chapter Hunt"),CHOOSE(ArtifactsInput!$N$27+1,20,24,28,32,36,40),0)/100)))+1)),0)</f>
        <v/>
      </c>
      <c r="S2985" t="n">
        <v>0</v>
      </c>
      <c r="U2985" t="n">
        <v>0</v>
      </c>
    </row>
    <row r="2986">
      <c r="A2986">
        <f>Skills!A20</f>
        <v/>
      </c>
      <c r="B2986">
        <f>Skills!B20</f>
        <v/>
      </c>
      <c r="C2986">
        <f>Inputs!$B$3&gt;=125</f>
        <v/>
      </c>
      <c r="D2986">
        <f>IF(Skills!C20=1,60+Inputs!$B$26+Inputs!$B$30,IF(Skills!C20=2,90+Inputs!$B$27+Inputs!$B$30,IF(Skills!C20=3,120+Inputs!$B$28+Inputs!$B$30,MAX(0,(Inputs!$B$3-100)*3)+Inputs!$B$29+Inputs!$B$30)))</f>
        <v/>
      </c>
      <c r="E2986">
        <f>INDEX(FactorTable!$B$2:$Y$301, MATCH(ROUND(MIN(300,MAX(1,D2986)),0), FactorTable!$A$2:$A$301,0), Skills!L20+1)</f>
        <v/>
      </c>
      <c r="F2986">
        <f>IF(Skills!M20=TRUE,(Skills!K20/10)*(E2986/1000),Skills!K20/10)+Skills!N20</f>
        <v/>
      </c>
      <c r="G2986">
        <f>Calc!G20</f>
        <v/>
      </c>
      <c r="H2986">
        <f>Calc!H20</f>
        <v/>
      </c>
      <c r="I2986">
        <f>IF(Skills!T20&lt;&gt;"",1+(Skills!T20/10)*($Z$3/1000)/100,1)</f>
        <v/>
      </c>
      <c r="J2986" t="inlineStr"/>
      <c r="K2986" t="inlineStr"/>
      <c r="L2986" t="inlineStr"/>
      <c r="M2986" t="inlineStr"/>
      <c r="N2986" t="inlineStr"/>
      <c r="O2986">
        <f>(1-Summary!$B$11)*S2986+Summary!$B$11*U2986</f>
        <v/>
      </c>
      <c r="P2986">
        <f>IF(B3009=0,0,O2986/B3009)</f>
        <v/>
      </c>
      <c r="Q2986">
        <f>IFERROR(1/(IF(Inputs!$B$39="pvp",15,MAX(0.1,Skills!D20-IF(Skills!E20=TRUE,1.0,0)))*(1-IF(AND(ArtifactsInput!$M$27,Inputs!$B$4="Chapter Hunt"),CHOOSE(ArtifactsInput!$N$27+1,20,24,28,32,36,40),0)/100)),0)</f>
        <v/>
      </c>
      <c r="R2986" t="n">
        <v>0</v>
      </c>
      <c r="S2986" t="n">
        <v>0</v>
      </c>
      <c r="U2986" t="n">
        <v>0</v>
      </c>
    </row>
    <row r="2987">
      <c r="A2987">
        <f>Skills!A21</f>
        <v/>
      </c>
      <c r="B2987">
        <f>Skills!B21</f>
        <v/>
      </c>
      <c r="C2987">
        <f>Inputs!$B$3&gt;=33</f>
        <v/>
      </c>
      <c r="D2987">
        <f>IF(Skills!C21=1,60+Inputs!$B$26+Inputs!$B$30,IF(Skills!C21=2,90+Inputs!$B$27+Inputs!$B$30,IF(Skills!C21=3,120+Inputs!$B$28+Inputs!$B$30,MAX(0,(Inputs!$B$3-100)*3)+Inputs!$B$29+Inputs!$B$30)))</f>
        <v/>
      </c>
      <c r="E2987">
        <f>INDEX(FactorTable!$B$2:$Y$301, MATCH(ROUND(MIN(300,MAX(1,D2987)),0), FactorTable!$A$2:$A$301,0), Skills!L21+1)</f>
        <v/>
      </c>
      <c r="F2987">
        <f>IF(Skills!M21=TRUE,(Skills!K21/10)*(E2987/1000),Skills!K21/10)+Skills!N21</f>
        <v/>
      </c>
      <c r="G2987">
        <f>Calc!G21</f>
        <v/>
      </c>
      <c r="H2987">
        <f>Calc!H21</f>
        <v/>
      </c>
      <c r="I2987">
        <f>IF(Skills!T21&lt;&gt;"",1+(Skills!T21/10)*($Z$3/1000)/100,1)</f>
        <v/>
      </c>
      <c r="J2987" t="inlineStr"/>
      <c r="K2987" t="inlineStr"/>
      <c r="L2987" t="inlineStr"/>
      <c r="M2987" t="inlineStr"/>
      <c r="N2987" t="inlineStr"/>
      <c r="O2987">
        <f>(1-Summary!$B$11)*S2987+Summary!$B$11*U2987</f>
        <v/>
      </c>
      <c r="P2987">
        <f>IF(B3009=0,0,O2987/B3009)</f>
        <v/>
      </c>
      <c r="Q2987">
        <f>IFERROR(1/(IF(Inputs!$B$39="pvp",15,MAX(0.1,Skills!D21-IF(Skills!E21=TRUE,1.0,0)))*(1-IF(AND(ArtifactsInput!$M$27,Inputs!$B$4="Chapter Hunt"),CHOOSE(ArtifactsInput!$N$27+1,20,24,28,32,36,40),0)/100)),0)</f>
        <v/>
      </c>
      <c r="R2987" t="n">
        <v>0</v>
      </c>
      <c r="S2987" t="n">
        <v>0</v>
      </c>
      <c r="U2987" t="n">
        <v>0</v>
      </c>
    </row>
    <row r="2988">
      <c r="A2988">
        <f>Skills!A22</f>
        <v/>
      </c>
      <c r="B2988">
        <f>Skills!B22</f>
        <v/>
      </c>
      <c r="C2988">
        <f>Inputs!$B$3&gt;=43</f>
        <v/>
      </c>
      <c r="D2988">
        <f>IF(Skills!C22=1,60+Inputs!$B$26+Inputs!$B$30,IF(Skills!C22=2,90+Inputs!$B$27+Inputs!$B$30,IF(Skills!C22=3,120+Inputs!$B$28+Inputs!$B$30,MAX(0,(Inputs!$B$3-100)*3)+Inputs!$B$29+Inputs!$B$30)))</f>
        <v/>
      </c>
      <c r="E2988">
        <f>INDEX(FactorTable!$B$2:$Y$301, MATCH(ROUND(MIN(300,MAX(1,D2988)),0), FactorTable!$A$2:$A$301,0), Skills!L22+1)</f>
        <v/>
      </c>
      <c r="F2988">
        <f>IF(Skills!M22=TRUE,(Skills!K22/10)*(E2988/1000),Skills!K22/10)+Skills!N22</f>
        <v/>
      </c>
      <c r="G2988">
        <f>Calc!G22</f>
        <v/>
      </c>
      <c r="H2988">
        <f>Calc!H22</f>
        <v/>
      </c>
      <c r="I2988">
        <f>IF(Skills!T22&lt;&gt;"",1+(Skills!T22/10)*($Z$3/1000)/100,1)</f>
        <v/>
      </c>
      <c r="J2988" t="inlineStr"/>
      <c r="K2988" t="inlineStr"/>
      <c r="L2988" t="inlineStr"/>
      <c r="M2988" t="inlineStr"/>
      <c r="N2988" t="inlineStr"/>
      <c r="O2988">
        <f>(1-Summary!$B$11)*S2988+Summary!$B$11*U2988</f>
        <v/>
      </c>
      <c r="P2988">
        <f>IF(B3009=0,0,O2988/B3009)</f>
        <v/>
      </c>
      <c r="Q2988">
        <f>IFERROR(1/(IF(Inputs!$B$39="pvp",15,MAX(0.1,Skills!D22-IF(Skills!E22=TRUE,1.0,0)))*(1-IF(AND(ArtifactsInput!$M$27,Inputs!$B$4="Chapter Hunt"),CHOOSE(ArtifactsInput!$N$27+1,20,24,28,32,36,40),0)/100)),0)</f>
        <v/>
      </c>
      <c r="R2988" t="n">
        <v>0</v>
      </c>
      <c r="S2988" t="n">
        <v>0</v>
      </c>
      <c r="U2988" t="n">
        <v>0</v>
      </c>
    </row>
    <row r="2989">
      <c r="A2989">
        <f>Skills!A23</f>
        <v/>
      </c>
      <c r="B2989">
        <f>Skills!B23</f>
        <v/>
      </c>
      <c r="C2989">
        <f>Inputs!$B$3&gt;=50</f>
        <v/>
      </c>
      <c r="D2989">
        <f>IF(Skills!C23=1,60+Inputs!$B$26+Inputs!$B$30,IF(Skills!C23=2,90+Inputs!$B$27+Inputs!$B$30,IF(Skills!C23=3,120+Inputs!$B$28+Inputs!$B$30,MAX(0,(Inputs!$B$3-100)*3)+Inputs!$B$29+Inputs!$B$30)))</f>
        <v/>
      </c>
      <c r="E2989">
        <f>INDEX(FactorTable!$B$2:$Y$301, MATCH(ROUND(MIN(300,MAX(1,D2989)),0), FactorTable!$A$2:$A$301,0), Skills!L23+1)</f>
        <v/>
      </c>
      <c r="F2989">
        <f>IF(Skills!M23=TRUE,(Skills!K23/10)*(E2989/1000),Skills!K23/10)+Skills!N23</f>
        <v/>
      </c>
      <c r="G2989">
        <f>Calc!G23</f>
        <v/>
      </c>
      <c r="H2989">
        <f>Calc!H23</f>
        <v/>
      </c>
      <c r="I2989">
        <f>IF(Skills!T23&lt;&gt;"",1+(Skills!T23/10)*($Z$3/1000)/100,1)</f>
        <v/>
      </c>
      <c r="J2989" t="inlineStr"/>
      <c r="K2989" t="inlineStr"/>
      <c r="L2989" t="inlineStr"/>
      <c r="M2989" t="inlineStr"/>
      <c r="N2989" t="inlineStr"/>
      <c r="O2989">
        <f>(1-Summary!$B$11)*S2989+Summary!$B$11*U2989</f>
        <v/>
      </c>
      <c r="P2989">
        <f>IF(B3009=0,0,O2989/B3009)</f>
        <v/>
      </c>
      <c r="Q2989">
        <f>IFERROR(1/(IF(Inputs!$B$39="pvp",15,MAX(0.1,Skills!D23-IF(Skills!E23=TRUE,1.0,0)))*(1-IF(AND(ArtifactsInput!$M$27,Inputs!$B$4="Chapter Hunt"),CHOOSE(ArtifactsInput!$N$27+1,20,24,28,32,36,40),0)/100)),0)</f>
        <v/>
      </c>
      <c r="R2989" t="n">
        <v>0</v>
      </c>
      <c r="S2989" t="n">
        <v>0</v>
      </c>
      <c r="U2989" t="n">
        <v>0</v>
      </c>
    </row>
    <row r="2990">
      <c r="A2990">
        <f>Skills!A24</f>
        <v/>
      </c>
      <c r="B2990">
        <f>Skills!B24</f>
        <v/>
      </c>
      <c r="C2990">
        <f>Inputs!$B$3&gt;=74</f>
        <v/>
      </c>
      <c r="D2990">
        <f>IF(Skills!C24=1,60+Inputs!$B$26+Inputs!$B$30,IF(Skills!C24=2,90+Inputs!$B$27+Inputs!$B$30,IF(Skills!C24=3,120+Inputs!$B$28+Inputs!$B$30,MAX(0,(Inputs!$B$3-100)*3)+Inputs!$B$29+Inputs!$B$30)))</f>
        <v/>
      </c>
      <c r="E2990">
        <f>INDEX(FactorTable!$B$2:$Y$301, MATCH(ROUND(MIN(300,MAX(1,D2990)),0), FactorTable!$A$2:$A$301,0), Skills!L24+1)</f>
        <v/>
      </c>
      <c r="F2990">
        <f>IF(Skills!M24=TRUE,(Skills!K24/10)*(E2990/1000),Skills!K24/10)+Skills!N24</f>
        <v/>
      </c>
      <c r="G2990">
        <f>Calc!G24</f>
        <v/>
      </c>
      <c r="H2990">
        <f>Calc!H24</f>
        <v/>
      </c>
      <c r="I2990">
        <f>IF(Skills!T24&lt;&gt;"",1+(Skills!T24/10)*($Z$3/1000)/100,1)</f>
        <v/>
      </c>
      <c r="J2990" t="inlineStr"/>
      <c r="K2990" t="inlineStr"/>
      <c r="L2990" t="inlineStr"/>
      <c r="M2990" t="inlineStr"/>
      <c r="N2990" t="inlineStr"/>
      <c r="O2990">
        <f>(1-Summary!$B$11)*S2990+Summary!$B$11*U2990</f>
        <v/>
      </c>
      <c r="P2990">
        <f>IF(B3009=0,0,O2990/B3009)</f>
        <v/>
      </c>
      <c r="Q2990">
        <f>IFERROR(1/(IF(Inputs!$B$39="pvp",15,MAX(0.1,Skills!D24-IF(Skills!E24=TRUE,1.0,0)))*(1-IF(AND(ArtifactsInput!$M$27,Inputs!$B$4="Chapter Hunt"),CHOOSE(ArtifactsInput!$N$27+1,20,24,28,32,36,40),0)/100)),0)</f>
        <v/>
      </c>
      <c r="R2990" t="n">
        <v>0</v>
      </c>
      <c r="S2990" t="n">
        <v>0</v>
      </c>
      <c r="U2990" t="n">
        <v>0</v>
      </c>
    </row>
    <row r="2991">
      <c r="A2991">
        <f>Skills!A25</f>
        <v/>
      </c>
      <c r="B2991">
        <f>Skills!B25</f>
        <v/>
      </c>
      <c r="C2991">
        <f>Inputs!$B$3&gt;=74</f>
        <v/>
      </c>
      <c r="D2991">
        <f>IF(Skills!C25=1,60+Inputs!$B$26+Inputs!$B$30,IF(Skills!C25=2,90+Inputs!$B$27+Inputs!$B$30,IF(Skills!C25=3,120+Inputs!$B$28+Inputs!$B$30,MAX(0,(Inputs!$B$3-100)*3)+Inputs!$B$29+Inputs!$B$30)))</f>
        <v/>
      </c>
      <c r="E2991">
        <f>INDEX(FactorTable!$B$2:$Y$301, MATCH(ROUND(MIN(300,MAX(1,D2991)),0), FactorTable!$A$2:$A$301,0), Skills!L25+1)</f>
        <v/>
      </c>
      <c r="F2991">
        <f>IF(Skills!M25=TRUE,(Skills!K25/10)*(E2991/1000),Skills!K25/10)+Skills!N25</f>
        <v/>
      </c>
      <c r="G2991">
        <f>Calc!G25</f>
        <v/>
      </c>
      <c r="H2991">
        <f>Calc!H25</f>
        <v/>
      </c>
      <c r="I2991">
        <f>IF(Skills!T25&lt;&gt;"",1+(Skills!T25/10)*($Z$3/1000)/100,1)</f>
        <v/>
      </c>
      <c r="J2991" t="inlineStr"/>
      <c r="K2991" t="inlineStr"/>
      <c r="L2991" t="inlineStr"/>
      <c r="M2991" t="inlineStr"/>
      <c r="N2991" t="inlineStr"/>
      <c r="O2991">
        <f>(1-Summary!$B$11)*S2991+Summary!$B$11*U2991</f>
        <v/>
      </c>
      <c r="P2991">
        <f>IF(B3009=0,0,O2991/B3009)</f>
        <v/>
      </c>
      <c r="Q2991">
        <f>IFERROR(1/(IF(Inputs!$B$39="pvp",15,MAX(0.1,Skills!D25-IF(Skills!E25=TRUE,1.0,0)))*(1-IF(AND(ArtifactsInput!$M$27,Inputs!$B$4="Chapter Hunt"),CHOOSE(ArtifactsInput!$N$27+1,20,24,28,32,36,40),0)/100)),0)</f>
        <v/>
      </c>
      <c r="R2991" t="n">
        <v>0</v>
      </c>
      <c r="S2991" t="n">
        <v>0</v>
      </c>
      <c r="U2991" t="n">
        <v>0</v>
      </c>
    </row>
    <row r="2992">
      <c r="A2992">
        <f>Skills!A26</f>
        <v/>
      </c>
      <c r="B2992">
        <f>Skills!B26</f>
        <v/>
      </c>
      <c r="C2992">
        <f>Inputs!$B$3&gt;=117</f>
        <v/>
      </c>
      <c r="D2992">
        <f>IF(Skills!C26=1,60+Inputs!$B$26+Inputs!$B$30,IF(Skills!C26=2,90+Inputs!$B$27+Inputs!$B$30,IF(Skills!C26=3,120+Inputs!$B$28+Inputs!$B$30,MAX(0,(Inputs!$B$3-100)*3)+Inputs!$B$29+Inputs!$B$30)))</f>
        <v/>
      </c>
      <c r="E2992">
        <f>INDEX(FactorTable!$B$2:$Y$301, MATCH(ROUND(MIN(300,MAX(1,D2992)),0), FactorTable!$A$2:$A$301,0), Skills!L26+1)</f>
        <v/>
      </c>
      <c r="F2992">
        <f>IF(Skills!M26=TRUE,(Skills!K26/10)*(E2992/1000),Skills!K26/10)+Skills!N26</f>
        <v/>
      </c>
      <c r="G2992">
        <f>Calc!G26</f>
        <v/>
      </c>
      <c r="H2992">
        <f>Calc!H26</f>
        <v/>
      </c>
      <c r="I2992">
        <f>IF(Skills!T26&lt;&gt;"",1+(Skills!T26/10)*($Z$3/1000)/100,1)</f>
        <v/>
      </c>
      <c r="J2992" t="inlineStr"/>
      <c r="K2992" t="inlineStr"/>
      <c r="L2992" t="inlineStr"/>
      <c r="M2992" t="inlineStr"/>
      <c r="N2992" t="inlineStr"/>
      <c r="O2992">
        <f>(1-Summary!$B$11)*S2992+Summary!$B$11*U2992</f>
        <v/>
      </c>
      <c r="P2992">
        <f>IF(B3009=0,0,O2992/B3009)</f>
        <v/>
      </c>
      <c r="Q2992">
        <f>IFERROR(1/(IF(Inputs!$B$39="pvp",15,MAX(0.1,Skills!D26-IF(Skills!E26=TRUE,1.0,0)))*(1-IF(AND(ArtifactsInput!$M$27,Inputs!$B$4="Chapter Hunt"),CHOOSE(ArtifactsInput!$N$27+1,20,24,28,32,36,40),0)/100)),0)</f>
        <v/>
      </c>
      <c r="R2992" t="n">
        <v>0</v>
      </c>
      <c r="S2992" t="n">
        <v>0</v>
      </c>
      <c r="U2992" t="n">
        <v>0</v>
      </c>
    </row>
    <row r="2993">
      <c r="A2993">
        <f>Skills!A27</f>
        <v/>
      </c>
      <c r="B2993">
        <f>Skills!B27</f>
        <v/>
      </c>
      <c r="C2993">
        <f>Inputs!$B$3&gt;=120</f>
        <v/>
      </c>
      <c r="D2993">
        <f>IF(Skills!C27=1,60+Inputs!$B$26+Inputs!$B$30,IF(Skills!C27=2,90+Inputs!$B$27+Inputs!$B$30,IF(Skills!C27=3,120+Inputs!$B$28+Inputs!$B$30,MAX(0,(Inputs!$B$3-100)*3)+Inputs!$B$29+Inputs!$B$30)))</f>
        <v/>
      </c>
      <c r="E2993">
        <f>INDEX(FactorTable!$B$2:$Y$301, MATCH(ROUND(MIN(300,MAX(1,D2993)),0), FactorTable!$A$2:$A$301,0), Skills!L27+1)</f>
        <v/>
      </c>
      <c r="F2993">
        <f>IF(Skills!M27=TRUE,(Skills!K27/10)*(E2993/1000),Skills!K27/10)+Skills!N27</f>
        <v/>
      </c>
      <c r="G2993">
        <f>Calc!G27</f>
        <v/>
      </c>
      <c r="H2993">
        <f>Calc!H27</f>
        <v/>
      </c>
      <c r="I2993">
        <f>IF(Skills!T27&lt;&gt;"",1+(Skills!T27/10)*($Z$3/1000)/100,1)</f>
        <v/>
      </c>
      <c r="J2993" t="inlineStr"/>
      <c r="K2993" t="inlineStr"/>
      <c r="L2993" t="inlineStr"/>
      <c r="M2993" t="inlineStr"/>
      <c r="N2993" t="inlineStr"/>
      <c r="O2993">
        <f>(1-Summary!$B$11)*S2993+Summary!$B$11*U2993</f>
        <v/>
      </c>
      <c r="P2993">
        <f>IF(B3009=0,0,O2993/B3009)</f>
        <v/>
      </c>
      <c r="Q2993">
        <f>IFERROR(1/(IF(Inputs!$B$39="pvp",15,MAX(0.1,Skills!D27-IF(Skills!E27=TRUE,1.0,0)))*(1-IF(AND(ArtifactsInput!$M$27,Inputs!$B$4="Chapter Hunt"),CHOOSE(ArtifactsInput!$N$27+1,20,24,28,32,36,40),0)/100)),0)</f>
        <v/>
      </c>
      <c r="R2993" t="n">
        <v>0</v>
      </c>
      <c r="S2993" t="n">
        <v>0</v>
      </c>
      <c r="U2993" t="n">
        <v>0</v>
      </c>
    </row>
    <row r="2994">
      <c r="A2994">
        <f>Skills!A28</f>
        <v/>
      </c>
      <c r="B2994">
        <f>Skills!B28</f>
        <v/>
      </c>
      <c r="C2994">
        <f>TRUE</f>
        <v/>
      </c>
      <c r="D2994">
        <f>IF(Skills!C28=1,60+Inputs!$B$26+Inputs!$B$30,IF(Skills!C28=2,90+Inputs!$B$27+Inputs!$B$30,IF(Skills!C28=3,120+Inputs!$B$28+Inputs!$B$30,MAX(0,(Inputs!$B$3-100)*3)+Inputs!$B$29+Inputs!$B$30)))</f>
        <v/>
      </c>
      <c r="E2994">
        <f>INDEX(FactorTable!$B$2:$Y$301, MATCH(ROUND(MIN(300,MAX(1,D2994)),0), FactorTable!$A$2:$A$301,0), Skills!L28+1)</f>
        <v/>
      </c>
      <c r="F2994">
        <f>IF(Skills!M28=TRUE,(Skills!K28/10)*(E2994/1000),Skills!K28/10)+Skills!N28</f>
        <v/>
      </c>
      <c r="G2994">
        <f>Calc!G28</f>
        <v/>
      </c>
      <c r="H2994">
        <f>Calc!H28</f>
        <v/>
      </c>
      <c r="I2994">
        <f>IF(Skills!T28&lt;&gt;"",1+(Skills!T28/10)*($Z$3/1000)/100,1)</f>
        <v/>
      </c>
      <c r="J2994" t="inlineStr"/>
      <c r="K2994" t="inlineStr"/>
      <c r="L2994" t="inlineStr"/>
      <c r="M2994" t="inlineStr"/>
      <c r="N2994" t="inlineStr"/>
      <c r="O2994">
        <f>(1-Summary!$B$11)*S2994+Summary!$B$11*U2994</f>
        <v/>
      </c>
      <c r="P2994">
        <f>IF(B3009=0,0,O2994/B3009)</f>
        <v/>
      </c>
      <c r="Q2994">
        <f>IFERROR(1/(IF(Inputs!$B$39="pvp",15,MAX(0.1,Skills!D28-IF(Skills!E28=TRUE,1.0,0)))*(1-IF(AND(ArtifactsInput!$M$27,Inputs!$B$4="Chapter Hunt"),CHOOSE(ArtifactsInput!$N$27+1,20,24,28,32,36,40),0)/100)),0)</f>
        <v/>
      </c>
      <c r="R2994">
        <f>IF(AND(Inputs!$B$39&lt;&gt;"pvp",Inputs!$B$44&gt;0),IF(Inputs!$B$44&lt;=0,0,(INT(Inputs!$B$44/(IF(Inputs!$B$39="pvp",15,MAX(0.1,Skills!D28-IF(Skills!E28=TRUE,1.0,0)))*(1-IF(AND(ArtifactsInput!$M$27,Inputs!$B$4="Chapter Hunt"),CHOOSE(ArtifactsInput!$N$27+1,20,24,28,32,36,40),0)/100)))+1)),0)</f>
        <v/>
      </c>
      <c r="S2994" t="n">
        <v>0</v>
      </c>
      <c r="U2994" t="n">
        <v>0</v>
      </c>
    </row>
    <row r="2996">
      <c r="A2996" t="inlineStr">
        <is>
          <t>Average Buff Multiplier</t>
        </is>
      </c>
      <c r="B2996">
        <f>(1+(IF(C2969=TRUE,F2969*IF(AND(Inputs!$B$39&lt;&gt;"pvp",Inputs!$B$44&gt;0),(((R2969-1)*(Skills!S3*(1+((Inputs!$B$35+(ArtifactsInput!$M$7-ArtifactsInput!$M$7)*CHOOSE(ArtifactsInput!$N$7+1,6,7.2,8.4,9.6,10.8,12))+IF(Inputs!$B$3&gt;=117,F2992,0))/100))+MIN((Skills!S3*(1+((Inputs!$B$35+(ArtifactsInput!$M$7-ArtifactsInput!$M$7)*CHOOSE(ArtifactsInput!$N$7+1,6,7.2,8.4,9.6,10.8,12))+IF(Inputs!$B$3&gt;=117,F2992,0))/100)),MAX(0,Inputs!$B$44-((R2969-1)*Skills!D3))))/Inputs!$B$44),IF(Inputs!$B$39="pvp",MIN((Skills!S3*(1+((Inputs!$B$35+(ArtifactsInput!$M$7-ArtifactsInput!$M$7)*CHOOSE(ArtifactsInput!$N$7+1,6,7.2,8.4,9.6,10.8,12))+IF(Inputs!$B$3&gt;=117,F2992,0))/100)),15)/15,(Skills!S3*(1+((Inputs!$B$35+(ArtifactsInput!$M$7-ArtifactsInput!$M$7)*CHOOSE(ArtifactsInput!$N$7+1,6,7.2,8.4,9.6,10.8,12))+IF(Inputs!$B$3&gt;=117,F2992,0))/100))/Skills!D3)),0)+IF(C2970=TRUE,F2970*IF(AND(Inputs!$B$39&lt;&gt;"pvp",Inputs!$B$44&gt;0),(((R2970-1)*(Skills!S4*(1+((Inputs!$B$35+(ArtifactsInput!$M$7-ArtifactsInput!$M$7)*CHOOSE(ArtifactsInput!$N$7+1,6,7.2,8.4,9.6,10.8,12))+IF(Inputs!$B$3&gt;=117,F2992,0))/100))+MIN((Skills!S4*(1+((Inputs!$B$35+(ArtifactsInput!$M$7-ArtifactsInput!$M$7)*CHOOSE(ArtifactsInput!$N$7+1,6,7.2,8.4,9.6,10.8,12))+IF(Inputs!$B$3&gt;=117,F2992,0))/100)),MAX(0,Inputs!$B$44-((R2970-1)*Skills!D4))))/Inputs!$B$44),IF(Inputs!$B$39="pvp",MIN((Skills!S4*(1+((Inputs!$B$35+(ArtifactsInput!$M$7-ArtifactsInput!$M$7)*CHOOSE(ArtifactsInput!$N$7+1,6,7.2,8.4,9.6,10.8,12))+IF(Inputs!$B$3&gt;=117,F2992,0))/100)),15)/15,(Skills!S4*(1+((Inputs!$B$35+(ArtifactsInput!$M$7-ArtifactsInput!$M$7)*CHOOSE(ArtifactsInput!$N$7+1,6,7.2,8.4,9.6,10.8,12))+IF(Inputs!$B$3&gt;=117,F2992,0))/100))/Skills!D4)),0)+IF(C2971=TRUE,F2971*IF(AND(Inputs!$B$39&lt;&gt;"pvp",Inputs!$B$44&gt;0),(((R2971-1)*(Skills!S5*(1+((Inputs!$B$35+(ArtifactsInput!$M$7-ArtifactsInput!$M$7)*CHOOSE(ArtifactsInput!$N$7+1,6,7.2,8.4,9.6,10.8,12))+IF(Inputs!$B$3&gt;=117,F2992,0))/100))+MIN((Skills!S5*(1+((Inputs!$B$35+(ArtifactsInput!$M$7-ArtifactsInput!$M$7)*CHOOSE(ArtifactsInput!$N$7+1,6,7.2,8.4,9.6,10.8,12))+IF(Inputs!$B$3&gt;=117,F2992,0))/100)),MAX(0,Inputs!$B$44-((R2971-1)*Skills!D5))))/Inputs!$B$44),IF(Inputs!$B$39="pvp",MIN((Skills!S5*(1+((Inputs!$B$35+(ArtifactsInput!$M$7-ArtifactsInput!$M$7)*CHOOSE(ArtifactsInput!$N$7+1,6,7.2,8.4,9.6,10.8,12))+IF(Inputs!$B$3&gt;=117,F2992,0))/100)),15)/15,(Skills!S5*(1+((Inputs!$B$35+(ArtifactsInput!$M$7-ArtifactsInput!$M$7)*CHOOSE(ArtifactsInput!$N$7+1,6,7.2,8.4,9.6,10.8,12))+IF(Inputs!$B$3&gt;=117,F2992,0))/100))/Skills!D5)),0)+IF(C2977=TRUE,F2977*IF(AND(Inputs!$B$39&lt;&gt;"pvp",Inputs!$B$44&gt;0),(((R2977-1)*(Skills!S11*(1+((Inputs!$B$35+(ArtifactsInput!$M$7-ArtifactsInput!$M$7)*CHOOSE(ArtifactsInput!$N$7+1,6,7.2,8.4,9.6,10.8,12))+IF(Inputs!$B$3&gt;=117,F2992,0))/100))+MIN((Skills!S11*(1+((Inputs!$B$35+(ArtifactsInput!$M$7-ArtifactsInput!$M$7)*CHOOSE(ArtifactsInput!$N$7+1,6,7.2,8.4,9.6,10.8,12))+IF(Inputs!$B$3&gt;=117,F2992,0))/100)),MAX(0,Inputs!$B$44-((R2977-1)*Skills!D11))))/Inputs!$B$44),IF(Inputs!$B$39="pvp",MIN((Skills!S11*(1+((Inputs!$B$35+(ArtifactsInput!$M$7-ArtifactsInput!$M$7)*CHOOSE(ArtifactsInput!$N$7+1,6,7.2,8.4,9.6,10.8,12))+IF(Inputs!$B$3&gt;=117,F2992,0))/100)),15)/15,(Skills!S11*(1+((Inputs!$B$35+(ArtifactsInput!$M$7-ArtifactsInput!$M$7)*CHOOSE(ArtifactsInput!$N$7+1,6,7.2,8.4,9.6,10.8,12))+IF(Inputs!$B$3&gt;=117,F2992,0)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2980=TRUE,(1+F2980*IF(AND(Inputs!$B$39&lt;&gt;"pvp",Inputs!$B$44&gt;0),(((R2980-1)*(Skills!S14*(1+((Inputs!$B$35+(ArtifactsInput!$M$7-ArtifactsInput!$M$7)*CHOOSE(ArtifactsInput!$N$7+1,6,7.2,8.4,9.6,10.8,12))+IF(Inputs!$B$3&gt;=117,F2992,0))/100))+MIN((Skills!S14*(1+((Inputs!$B$35+(ArtifactsInput!$M$7-ArtifactsInput!$M$7)*CHOOSE(ArtifactsInput!$N$7+1,6,7.2,8.4,9.6,10.8,12))+IF(Inputs!$B$3&gt;=117,F2992,0))/100)),MAX(0,Inputs!$B$44-((R2980-1)*Skills!D14))))/Inputs!$B$44),IF(Inputs!$B$39="pvp",MIN((Skills!S14*(1+((Inputs!$B$35+(ArtifactsInput!$M$7-ArtifactsInput!$M$7)*CHOOSE(ArtifactsInput!$N$7+1,6,7.2,8.4,9.6,10.8,12))+IF(Inputs!$B$3&gt;=117,F2992,0))/100)),15)/15,(Skills!S14*(1+((Inputs!$B$35+(ArtifactsInput!$M$7-ArtifactsInput!$M$7)*CHOOSE(ArtifactsInput!$N$7+1,6,7.2,8.4,9.6,10.8,12))+IF(Inputs!$B$3&gt;=117,F2992,0))/100))/Skills!D14))/100),1)*IF(C2985=TRUE,(1+F2985*IF(AND(Inputs!$B$39&lt;&gt;"pvp",Inputs!$B$44&gt;0),(((R2985-1)*(Skills!S19*(1+((Inputs!$B$35+(ArtifactsInput!$M$7-ArtifactsInput!$M$7)*CHOOSE(ArtifactsInput!$N$7+1,6,7.2,8.4,9.6,10.8,12))+IF(Inputs!$B$3&gt;=117,F2992,0))/100))+MIN((Skills!S19*(1+((Inputs!$B$35+(ArtifactsInput!$M$7-ArtifactsInput!$M$7)*CHOOSE(ArtifactsInput!$N$7+1,6,7.2,8.4,9.6,10.8,12))+IF(Inputs!$B$3&gt;=117,F2992,0))/100)),MAX(0,Inputs!$B$44-((R2985-1)*Skills!D19))))/Inputs!$B$44),IF(Inputs!$B$39="pvp",MIN((Skills!S19*(1+((Inputs!$B$35+(ArtifactsInput!$M$7-ArtifactsInput!$M$7)*CHOOSE(ArtifactsInput!$N$7+1,6,7.2,8.4,9.6,10.8,12))+IF(Inputs!$B$3&gt;=117,F2992,0))/100)),15)/15,(Skills!S19*(1+((Inputs!$B$35+(ArtifactsInput!$M$7-ArtifactsInput!$M$7)*CHOOSE(ArtifactsInput!$N$7+1,6,7.2,8.4,9.6,10.8,12))+IF(Inputs!$B$3&gt;=117,F2992,0))/100))/Skills!D19))/100),1)</f>
        <v/>
      </c>
    </row>
    <row r="2997">
      <c r="A2997" t="inlineStr">
        <is>
          <t>Monster Damage Taken Bonus % (Holy Fountain)</t>
        </is>
      </c>
      <c r="B2997">
        <f>IF(Inputs!$B$3&gt;=68,20*IF(Inputs!$B$39="pvp",MIN((15*(1+((Inputs!$B$35+(ArtifactsInput!$M$7-ArtifactsInput!$M$7)*CHOOSE(ArtifactsInput!$N$7+1,6,7.2,8.4,9.6,10.8,12))+IF(Inputs!$B$3&gt;=117,F2992,0))/100)),15)/15,(15*(1+((Inputs!$B$35+(ArtifactsInput!$M$7-ArtifactsInput!$M$7)*CHOOSE(ArtifactsInput!$N$7+1,6,7.2,8.4,9.6,10.8,12))+IF(Inputs!$B$3&gt;=117,F2992,0))/100))/Skills!D10),0)</f>
        <v/>
      </c>
    </row>
    <row r="2998">
      <c r="A2998" t="inlineStr">
        <is>
          <t>Normal Monster Damage Bonus % (Holy Symbol)</t>
        </is>
      </c>
      <c r="B2998">
        <f>IF(C2978=TRUE,F2978*IF(AND(Inputs!$B$39&lt;&gt;"pvp",Inputs!$B$44&gt;0),(((R2978-1)*(Skills!S12*(1+((Inputs!$B$35+(ArtifactsInput!$M$7-ArtifactsInput!$M$7)*CHOOSE(ArtifactsInput!$N$7+1,6,7.2,8.4,9.6,10.8,12))+IF(Inputs!$B$3&gt;=117,F2992,0))/100))+MIN((Skills!S12*(1+((Inputs!$B$35+(ArtifactsInput!$M$7-ArtifactsInput!$M$7)*CHOOSE(ArtifactsInput!$N$7+1,6,7.2,8.4,9.6,10.8,12))+IF(Inputs!$B$3&gt;=117,F2992,0))/100)),MAX(0,Inputs!$B$44-((R2978-1)*Skills!D12))))/Inputs!$B$44),IF(Inputs!$B$39="pvp",MIN((Skills!S12*(1+((Inputs!$B$35+(ArtifactsInput!$M$7-ArtifactsInput!$M$7)*CHOOSE(ArtifactsInput!$N$7+1,6,7.2,8.4,9.6,10.8,12))+IF(Inputs!$B$3&gt;=117,F2992,0))/100)),15)/15,(Skills!S12*(1+((Inputs!$B$35+(ArtifactsInput!$M$7-ArtifactsInput!$M$7)*CHOOSE(ArtifactsInput!$N$7+1,6,7.2,8.4,9.6,10.8,12))+IF(Inputs!$B$3&gt;=117,F2992,0))/100))/Skills!D12)),0)</f>
        <v/>
      </c>
    </row>
    <row r="2999">
      <c r="A2999" t="inlineStr">
        <is>
          <t>Damage % Bonus (Holy Symbol - Damage Boost)</t>
        </is>
      </c>
      <c r="B2999">
        <f>Skills!O12</f>
        <v/>
      </c>
    </row>
    <row r="3000">
      <c r="A3000" t="inlineStr">
        <is>
          <t>Crit Damage % Bonus (Blood of the Divine)</t>
        </is>
      </c>
      <c r="B3000">
        <f>4*IF(C2986=TRUE,F2986,0)</f>
        <v/>
      </c>
    </row>
    <row r="3001">
      <c r="A3001" t="inlineStr">
        <is>
          <t>Attack Speed Bonus %</t>
        </is>
      </c>
      <c r="B3001">
        <f>IF(C2983=TRUE,F2983+(F2987-Calc!F21),0)+IF(Inputs!$B$3&gt;=134,15,0)+((C2994=TRUE)*F2994*IF(AND(Inputs!$B$39&lt;&gt;"pvp",Inputs!$B$44&gt;0),(((R2994-1)*(Skills!S28*(1+((Inputs!$B$35+(ArtifactsInput!$M$7-ArtifactsInput!$M$7)*CHOOSE(ArtifactsInput!$N$7+1,6,7.2,8.4,9.6,10.8,12))+IF(Inputs!$B$3&gt;=117,F2992,0))/100))+MIN((Skills!S28*(1+((Inputs!$B$35+(ArtifactsInput!$M$7-ArtifactsInput!$M$7)*CHOOSE(ArtifactsInput!$N$7+1,6,7.2,8.4,9.6,10.8,12))+IF(Inputs!$B$3&gt;=117,F2992,0))/100)),MAX(0,Inputs!$B$44-((R2994-1)*Skills!D28))))/Inputs!$B$44),IF(Inputs!$B$39="pvp",MIN((Skills!S28*(1+((Inputs!$B$35+(ArtifactsInput!$M$7-ArtifactsInput!$M$7)*CHOOSE(ArtifactsInput!$N$7+1,6,7.2,8.4,9.6,10.8,12))+IF(Inputs!$B$3&gt;=117,F2992,0))/100)),15)/15,(Skills!S28*(1+((Inputs!$B$35+(ArtifactsInput!$M$7-ArtifactsInput!$M$7)*CHOOSE(ArtifactsInput!$N$7+1,6,7.2,8.4,9.6,10.8,12))+IF(Inputs!$B$3&gt;=117,F2992,0))/100))/Skills!D28)))</f>
        <v/>
      </c>
    </row>
    <row r="3002">
      <c r="A3002" t="inlineStr">
        <is>
          <t>Actions Per Second</t>
        </is>
      </c>
      <c r="B3002">
        <f>1+MIN(150,150*(1-(1-Inputs!$B$12/150)*(1-B3001/150)))/100</f>
        <v/>
      </c>
    </row>
    <row r="3003">
      <c r="A3003" t="inlineStr">
        <is>
          <t>Skill + Buff Cast Rate</t>
        </is>
      </c>
      <c r="B3003">
        <f>IF(AND(Inputs!$B$39&lt;&gt;"pvp",Inputs!$B$44&gt;0),SUMPRODUCT((Skills!E2:E28=TRUE)*(C2968:C2994=TRUE)*R2968:R2994)/Inputs!$B$44,SUMPRODUCT((Skills!E2:E28=TRUE)*(C2968:C2994=TRUE)*Q2968:Q2994))</f>
        <v/>
      </c>
    </row>
    <row r="3004">
      <c r="A3004" t="inlineStr">
        <is>
          <t>Big Bang Casts Per Second</t>
        </is>
      </c>
      <c r="B3004">
        <f>MAX(0,B3002-B3003)</f>
        <v/>
      </c>
    </row>
    <row r="3005">
      <c r="A3005" t="inlineStr">
        <is>
          <t>Defense % Bonus (Divine Protection)</t>
        </is>
      </c>
      <c r="B3005">
        <f>IF(C2979=TRUE,F2979*IF(AND(Inputs!$B$39&lt;&gt;"pvp",Inputs!$B$44&gt;0),(((R2979-1)*(Skills!S13*(1+((Inputs!$B$35+(ArtifactsInput!$M$7-ArtifactsInput!$M$7)*CHOOSE(ArtifactsInput!$N$7+1,6,7.2,8.4,9.6,10.8,12))+IF(Inputs!$B$3&gt;=117,F2992,0))/100))+MIN((Skills!S13*(1+((Inputs!$B$35+(ArtifactsInput!$M$7-ArtifactsInput!$M$7)*CHOOSE(ArtifactsInput!$N$7+1,6,7.2,8.4,9.6,10.8,12))+IF(Inputs!$B$3&gt;=117,F2992,0))/100)),MAX(0,Inputs!$B$44-((R2979-1)*Skills!D13))))/Inputs!$B$44),IF(Inputs!$B$39="pvp",MIN((Skills!S13*(1+((Inputs!$B$35+(ArtifactsInput!$M$7-ArtifactsInput!$M$7)*CHOOSE(ArtifactsInput!$N$7+1,6,7.2,8.4,9.6,10.8,12))+IF(Inputs!$B$3&gt;=117,F2992,0))/100)),15)/15,(Skills!S13*(1+((Inputs!$B$35+(ArtifactsInput!$M$7-ArtifactsInput!$M$7)*CHOOSE(ArtifactsInput!$N$7+1,6,7.2,8.4,9.6,10.8,12))+IF(Inputs!$B$3&gt;=117,F2992,0))/100))/Skills!D13)),0)</f>
        <v/>
      </c>
    </row>
    <row r="3006">
      <c r="A3006" t="inlineStr">
        <is>
          <t>Buff-Casting Startup Delay (s, fixed-duration only)</t>
        </is>
      </c>
      <c r="B3006">
        <f>IF(AND(Inputs!$B$39&lt;&gt;"pvp",Inputs!$B$44&gt;0),SUMPRODUCT((Skills!S2:S28&gt;0)*(Skills!E2:E28=TRUE)*(C2968:C2994=TRUE))/B3002,0)</f>
        <v/>
      </c>
    </row>
    <row r="3007">
      <c r="A3007" t="inlineStr">
        <is>
          <t>Boss-Only Total DPS (this block's swept value)</t>
        </is>
      </c>
      <c r="B3007">
        <f>SUM(S2968:S2994)</f>
        <v/>
      </c>
    </row>
    <row r="3008">
      <c r="A3008" t="inlineStr">
        <is>
          <t>Normal-Only Total DPS (this block's swept value)</t>
        </is>
      </c>
      <c r="B3008">
        <f>SUM(U2968:U2994)</f>
        <v/>
      </c>
    </row>
    <row r="3009">
      <c r="A3009" s="6" t="inlineStr">
        <is>
          <t>TOTAL DPS</t>
        </is>
      </c>
      <c r="B3009" s="6">
        <f>SUM(O2968:O2994)</f>
        <v/>
      </c>
    </row>
    <row r="3011">
      <c r="A3011" s="6" t="inlineStr">
        <is>
          <t>Stat: CDR = 1.5s</t>
        </is>
      </c>
    </row>
    <row r="3012">
      <c r="A3012" s="5" t="inlineStr">
        <is>
          <t>Key</t>
        </is>
      </c>
      <c r="B3012" s="5" t="inlineStr">
        <is>
          <t>Name</t>
        </is>
      </c>
      <c r="C3012" s="5" t="inlineStr">
        <is>
          <t>Unlocked</t>
        </is>
      </c>
      <c r="D3012" s="5" t="inlineStr">
        <is>
          <t>InputLevel</t>
        </is>
      </c>
      <c r="E3012" s="5" t="inlineStr">
        <is>
          <t>Factor</t>
        </is>
      </c>
      <c r="F3012" s="5" t="inlineStr">
        <is>
          <t>CoefficientPercent</t>
        </is>
      </c>
      <c r="G3012" s="5" t="inlineStr">
        <is>
          <t>EffectiveHits</t>
        </is>
      </c>
      <c r="H3012" s="5" t="inlineStr">
        <is>
          <t>ProcProbability</t>
        </is>
      </c>
      <c r="I3012" s="5" t="inlineStr">
        <is>
          <t>MapleHeroMultiplier</t>
        </is>
      </c>
      <c r="J3012" s="5" t="inlineStr">
        <is>
          <t>BaseDamage</t>
        </is>
      </c>
      <c r="K3012" s="5" t="inlineStr">
        <is>
          <t>BaseHitDamage</t>
        </is>
      </c>
      <c r="L3012" s="5" t="inlineStr">
        <is>
          <t>NonCritAvg</t>
        </is>
      </c>
      <c r="M3012" s="5" t="inlineStr">
        <is>
          <t>CritAvg</t>
        </is>
      </c>
      <c r="N3012" s="5" t="inlineStr">
        <is>
          <t>ExpectedDamage(perHit)</t>
        </is>
      </c>
      <c r="O3012" s="5" t="inlineStr">
        <is>
          <t>DPS</t>
        </is>
      </c>
      <c r="P3012" s="5" t="inlineStr">
        <is>
          <t>% of Total</t>
        </is>
      </c>
      <c r="R3012" t="inlineStr">
        <is>
          <t>helpers</t>
        </is>
      </c>
    </row>
    <row r="3013">
      <c r="A3013">
        <f>Skills!A2</f>
        <v/>
      </c>
      <c r="B3013">
        <f>Skills!B2</f>
        <v/>
      </c>
      <c r="C3013">
        <f>Inputs!$B$3&gt;=100</f>
        <v/>
      </c>
      <c r="D3013" t="inlineStr"/>
      <c r="E3013" t="inlineStr"/>
      <c r="F3013">
        <f>T3015+Skills!N2</f>
        <v/>
      </c>
      <c r="G3013">
        <f>Calc!G2</f>
        <v/>
      </c>
      <c r="H3013">
        <f>Calc!H2</f>
        <v/>
      </c>
      <c r="I3013">
        <f>IF(Skills!T2&lt;&gt;"",1+(Skills!T2/10)*($Z$3/1000)/100,1)</f>
        <v/>
      </c>
      <c r="J3013">
        <f>((Inputs!$B$6*(1+Inputs!$B$7/100))+(((Inputs!$B$13*(1+Inputs!$B$14/100))-(Inputs!$B$13*(1+Inputs!$B$14/100)))+0.25*(Inputs!$B$15-Inputs!$B$15))*(1+Inputs!$B$7/100))*(F3013/100)</f>
        <v/>
      </c>
      <c r="K3013">
        <f>J3013*(1+(((Inputs!$B$13+IF(Inputs!$B$3&gt;=35,(10*INDEX(FactorTable!$B$2:$Y$301,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2="TRIUMPH_FEATHER",IF(C3027=TRUE,F3027,0),0)/100)*(1+IF(C3038=TRUE,F3038,0)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3013)</f>
        <v/>
      </c>
      <c r="L3013">
        <f>K3013*(MIN(Inputs!$B$23+(F3033-Calc!F22),(Inputs!$B$24+IF(ArtifactsInput!$M$15,CHOOSE(ArtifactsInput!$N$15+1,25,30,35,40,45,50)/100*(Inputs!$B$12-Inputs!$B$12),0)))/100+(Inputs!$B$24+IF(ArtifactsInput!$M$15,CHOOSE(ArtifactsInput!$N$15+1,25,30,35,40,45,50)/100*(Inputs!$B$12-Inputs!$B$12),0))/100)/2</f>
        <v/>
      </c>
      <c r="M3013">
        <f>L3013*(1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3">
        <f>L3013*(1-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3013*(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3">
        <f>(1-Summary!$B$11)*S3013+Summary!$B$11*U3013</f>
        <v/>
      </c>
      <c r="P3013">
        <f>IF(B3054=0,0,O3013/B3054)</f>
        <v/>
      </c>
      <c r="Q3013">
        <f>IFERROR(1/(IF(Inputs!$B$39="pvp",15,MAX(0.1,Skills!D2-IF(Skills!E2=TRUE,1.5,0)))*(1-IF(AND(ArtifactsInput!$M$27,Inputs!$B$4="Chapter Hunt"),CHOOSE(ArtifactsInput!$N$27+1,20,24,28,32,36,40),0)/100)),0)</f>
        <v/>
      </c>
      <c r="R3013" t="n">
        <v>0</v>
      </c>
      <c r="S3013">
        <f>IF(C3013,(Skills!F2*N3013*B3049)*IF(Inputs!$B$39="pvp",1,1+(Inputs!$B$21+Skills!O2+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3013*(1-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3013*(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3013*(1-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3013*(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13">
        <f>MAX(0,(Inputs!$B$3-100)*3)+Inputs!$B$29+Inputs!$B$30</f>
        <v/>
      </c>
      <c r="U3013">
        <f>IF(C3013,(Skills!F2*N3013*B3049)*IF(Inputs!$B$39="pvp",1,(1+(Inputs!$B$22+Skills!P2+B3043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4">
      <c r="A3014">
        <f>Skills!A3</f>
        <v/>
      </c>
      <c r="B3014">
        <f>Skills!B3</f>
        <v/>
      </c>
      <c r="C3014">
        <f>Inputs!$B$3&gt;=15</f>
        <v/>
      </c>
      <c r="D3014">
        <f>IF(Skills!C3=1,60+Inputs!$B$26+Inputs!$B$30,IF(Skills!C3=2,90+Inputs!$B$27+Inputs!$B$30,IF(Skills!C3=3,120+Inputs!$B$28+Inputs!$B$30,MAX(0,(Inputs!$B$3-100)*3)+Inputs!$B$29+Inputs!$B$30)))</f>
        <v/>
      </c>
      <c r="E3014">
        <f>INDEX(FactorTable!$B$2:$Y$301, MATCH(ROUND(MIN(300,MAX(1,D3014)),0), FactorTable!$A$2:$A$301,0), Skills!L3+1)</f>
        <v/>
      </c>
      <c r="F3014">
        <f>IF(Skills!M3=TRUE,(Skills!K3/10)*(E3014/1000),Skills!K3/10)+Skills!N3</f>
        <v/>
      </c>
      <c r="G3014">
        <f>Calc!G3</f>
        <v/>
      </c>
      <c r="H3014">
        <f>Calc!H3</f>
        <v/>
      </c>
      <c r="I3014">
        <f>IF(Skills!T3&lt;&gt;"",1+(Skills!T3/10)*($Z$3/1000)/100,1)</f>
        <v/>
      </c>
      <c r="J3014" t="inlineStr"/>
      <c r="K3014" t="inlineStr"/>
      <c r="L3014" t="inlineStr"/>
      <c r="M3014" t="inlineStr"/>
      <c r="N3014" t="inlineStr"/>
      <c r="O3014">
        <f>(1-Summary!$B$11)*S3014+Summary!$B$11*U3014</f>
        <v/>
      </c>
      <c r="P3014">
        <f>IF(B3054=0,0,O3014/B3054)</f>
        <v/>
      </c>
      <c r="Q3014">
        <f>IFERROR(1/(IF(Inputs!$B$39="pvp",15,MAX(0.1,Skills!D3-IF(Skills!E3=TRUE,1.5,0)))*(1-IF(AND(ArtifactsInput!$M$27,Inputs!$B$4="Chapter Hunt"),CHOOSE(ArtifactsInput!$N$27+1,20,24,28,32,36,40),0)/100)),0)</f>
        <v/>
      </c>
      <c r="R3014">
        <f>IF(AND(Inputs!$B$39&lt;&gt;"pvp",Inputs!$B$44&gt;0),IF(Inputs!$B$44&lt;=0,0,(INT(Inputs!$B$44/(IF(Inputs!$B$39="pvp",15,MAX(0.1,Skills!D3-IF(Skills!E3=TRUE,1.5,0)))*(1-IF(AND(ArtifactsInput!$M$27,Inputs!$B$4="Chapter Hunt"),CHOOSE(ArtifactsInput!$N$27+1,20,24,28,32,36,40),0)/100)))+1)),0)</f>
        <v/>
      </c>
      <c r="S3014" t="n">
        <v>0</v>
      </c>
      <c r="T3014">
        <f>INDEX(FactorTable!$B$2:$Y$301, MATCH(ROUND(MIN(300,MAX(1,T3013)),0), FactorTable!$A$2:$A$301,0), 22)</f>
        <v/>
      </c>
      <c r="U3014" t="n">
        <v>0</v>
      </c>
    </row>
    <row r="3015">
      <c r="A3015">
        <f>Skills!A4</f>
        <v/>
      </c>
      <c r="B3015">
        <f>Skills!B4</f>
        <v/>
      </c>
      <c r="C3015">
        <f>Inputs!$B$3&gt;=38</f>
        <v/>
      </c>
      <c r="D3015">
        <f>IF(Skills!C4=1,60+Inputs!$B$26+Inputs!$B$30,IF(Skills!C4=2,90+Inputs!$B$27+Inputs!$B$30,IF(Skills!C4=3,120+Inputs!$B$28+Inputs!$B$30,MAX(0,(Inputs!$B$3-100)*3)+Inputs!$B$29+Inputs!$B$30)))</f>
        <v/>
      </c>
      <c r="E3015">
        <f>INDEX(FactorTable!$B$2:$Y$301, MATCH(ROUND(MIN(300,MAX(1,D3015)),0), FactorTable!$A$2:$A$301,0), Skills!L4+1)</f>
        <v/>
      </c>
      <c r="F3015">
        <f>IF(Skills!M4=TRUE,(Skills!K4/10)*(E3015/1000),Skills!K4/10)+Skills!N4</f>
        <v/>
      </c>
      <c r="G3015">
        <f>Calc!G4</f>
        <v/>
      </c>
      <c r="H3015">
        <f>Calc!H4</f>
        <v/>
      </c>
      <c r="I3015">
        <f>IF(Skills!T4&lt;&gt;"",1+(Skills!T4/10)*($Z$3/1000)/100,1)</f>
        <v/>
      </c>
      <c r="J3015" t="inlineStr"/>
      <c r="K3015" t="inlineStr"/>
      <c r="L3015" t="inlineStr"/>
      <c r="M3015" t="inlineStr"/>
      <c r="N3015" t="inlineStr"/>
      <c r="O3015">
        <f>(1-Summary!$B$11)*S3015+Summary!$B$11*U3015</f>
        <v/>
      </c>
      <c r="P3015">
        <f>IF(B3054=0,0,O3015/B3054)</f>
        <v/>
      </c>
      <c r="Q3015">
        <f>IFERROR(1/(IF(Inputs!$B$39="pvp",15,MAX(0.1,Skills!D4-IF(Skills!E4=TRUE,1.5,0)))*(1-IF(AND(ArtifactsInput!$M$27,Inputs!$B$4="Chapter Hunt"),CHOOSE(ArtifactsInput!$N$27+1,20,24,28,32,36,40),0)/100)),0)</f>
        <v/>
      </c>
      <c r="R3015">
        <f>IF(AND(Inputs!$B$39&lt;&gt;"pvp",Inputs!$B$44&gt;0),IF(Inputs!$B$44&lt;=0,0,(INT(Inputs!$B$44/(IF(Inputs!$B$39="pvp",15,MAX(0.1,Skills!D4-IF(Skills!E4=TRUE,1.5,0)))*(1-IF(AND(ArtifactsInput!$M$27,Inputs!$B$4="Chapter Hunt"),CHOOSE(ArtifactsInput!$N$27+1,20,24,28,32,36,40),0)/100)))+1)),0)</f>
        <v/>
      </c>
      <c r="S3015" t="n">
        <v>0</v>
      </c>
      <c r="T3015">
        <f>290*T3014/1000</f>
        <v/>
      </c>
      <c r="U3015" t="n">
        <v>0</v>
      </c>
    </row>
    <row r="3016">
      <c r="A3016">
        <f>Skills!A5</f>
        <v/>
      </c>
      <c r="B3016">
        <f>Skills!B5</f>
        <v/>
      </c>
      <c r="C3016">
        <f>Inputs!$B$3&gt;=40</f>
        <v/>
      </c>
      <c r="D3016">
        <f>IF(Skills!C5=1,60+Inputs!$B$26+Inputs!$B$30,IF(Skills!C5=2,90+Inputs!$B$27+Inputs!$B$30,IF(Skills!C5=3,120+Inputs!$B$28+Inputs!$B$30,MAX(0,(Inputs!$B$3-100)*3)+Inputs!$B$29+Inputs!$B$30)))</f>
        <v/>
      </c>
      <c r="E3016">
        <f>INDEX(FactorTable!$B$2:$Y$301, MATCH(ROUND(MIN(300,MAX(1,D3016)),0), FactorTable!$A$2:$A$301,0), Skills!L5+1)</f>
        <v/>
      </c>
      <c r="F3016">
        <f>IF(Skills!M5=TRUE,(Skills!K5/10)*(E3016/1000),Skills!K5/10)+Skills!N5</f>
        <v/>
      </c>
      <c r="G3016">
        <f>Calc!G5</f>
        <v/>
      </c>
      <c r="H3016">
        <f>Calc!H5</f>
        <v/>
      </c>
      <c r="I3016">
        <f>IF(Skills!T5&lt;&gt;"",1+(Skills!T5/10)*($Z$3/1000)/100,1)</f>
        <v/>
      </c>
      <c r="J3016" t="inlineStr"/>
      <c r="K3016" t="inlineStr"/>
      <c r="L3016" t="inlineStr"/>
      <c r="M3016" t="inlineStr"/>
      <c r="N3016" t="inlineStr"/>
      <c r="O3016">
        <f>(1-Summary!$B$11)*S3016+Summary!$B$11*U3016</f>
        <v/>
      </c>
      <c r="P3016">
        <f>IF(B3054=0,0,O3016/B3054)</f>
        <v/>
      </c>
      <c r="Q3016">
        <f>IFERROR(1/(IF(Inputs!$B$39="pvp",15,MAX(0.1,Skills!D5-IF(Skills!E5=TRUE,1.5,0)))*(1-IF(AND(ArtifactsInput!$M$27,Inputs!$B$4="Chapter Hunt"),CHOOSE(ArtifactsInput!$N$27+1,20,24,28,32,36,40),0)/100)),0)</f>
        <v/>
      </c>
      <c r="R3016">
        <f>IF(AND(Inputs!$B$39&lt;&gt;"pvp",Inputs!$B$44&gt;0),IF(Inputs!$B$44&lt;=0,0,(INT(Inputs!$B$44/(IF(Inputs!$B$39="pvp",15,MAX(0.1,Skills!D5-IF(Skills!E5=TRUE,1.5,0)))*(1-IF(AND(ArtifactsInput!$M$27,Inputs!$B$4="Chapter Hunt"),CHOOSE(ArtifactsInput!$N$27+1,20,24,28,32,36,40),0)/100)))+1)),0)</f>
        <v/>
      </c>
      <c r="S3016" t="n">
        <v>0</v>
      </c>
      <c r="U3016" t="n">
        <v>0</v>
      </c>
    </row>
    <row r="3017">
      <c r="A3017">
        <f>Skills!A6</f>
        <v/>
      </c>
      <c r="B3017">
        <f>Skills!B6</f>
        <v/>
      </c>
      <c r="C3017">
        <f>Inputs!$B$3&gt;=103</f>
        <v/>
      </c>
      <c r="D3017">
        <f>IF(Skills!C6=1,60+Inputs!$B$26+Inputs!$B$30,IF(Skills!C6=2,90+Inputs!$B$27+Inputs!$B$30,IF(Skills!C6=3,120+Inputs!$B$28+Inputs!$B$30,MAX(0,(Inputs!$B$3-100)*3)+Inputs!$B$29+Inputs!$B$30)))</f>
        <v/>
      </c>
      <c r="E3017">
        <f>INDEX(FactorTable!$B$2:$Y$301, MATCH(ROUND(MIN(300,MAX(1,D3017)),0), FactorTable!$A$2:$A$301,0), Skills!L6+1)</f>
        <v/>
      </c>
      <c r="F3017">
        <f>IF(Skills!M6=TRUE,(Skills!K6/10)*(E3017/1000),Skills!K6/10)+Skills!N6</f>
        <v/>
      </c>
      <c r="G3017">
        <f>Calc!G6</f>
        <v/>
      </c>
      <c r="H3017">
        <f>Calc!H6</f>
        <v/>
      </c>
      <c r="I3017">
        <f>IF(Skills!T6&lt;&gt;"",1+(Skills!T6/10)*($Z$3/1000)/100,1)</f>
        <v/>
      </c>
      <c r="J3017">
        <f>((Inputs!$B$6*(1+Inputs!$B$7/100))+(((Inputs!$B$13*(1+Inputs!$B$14/100))-(Inputs!$B$13*(1+Inputs!$B$14/100)))+0.25*(Inputs!$B$15-Inputs!$B$15))*(1+Inputs!$B$7/100))*(F3017/100)</f>
        <v/>
      </c>
      <c r="K3017">
        <f>J3017*(1+(((Inputs!$B$13+IF(Inputs!$B$3&gt;=35,(10*INDEX(FactorTable!$B$2:$Y$301,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6="TRIUMPH_FEATHER",IF(C3027=TRUE,F3027,0),0)/100)*(1+IF(C3038=TRUE,F3038,0)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3017)</f>
        <v/>
      </c>
      <c r="L3017">
        <f>K3017*(MIN(Inputs!$B$23+(F3033-Calc!F22),(Inputs!$B$24+IF(ArtifactsInput!$M$15,CHOOSE(ArtifactsInput!$N$15+1,25,30,35,40,45,50)/100*(Inputs!$B$12-Inputs!$B$12),0)))/100+(Inputs!$B$24+IF(ArtifactsInput!$M$15,CHOOSE(ArtifactsInput!$N$15+1,25,30,35,40,45,50)/100*(Inputs!$B$12-Inputs!$B$12),0))/100)/2</f>
        <v/>
      </c>
      <c r="M3017">
        <f>L3017*(1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7">
        <f>L3017*(1-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(1-Summary!$B$11)*S3017+Summary!$B$11*U3017</f>
        <v/>
      </c>
      <c r="P3017">
        <f>IF(B3054=0,0,O3017/B3054)</f>
        <v/>
      </c>
      <c r="Q3017">
        <f>IFERROR(1/(IF(Inputs!$B$39="pvp",15,MAX(0.1,Skills!D6-IF(Skills!E6=TRUE,1.5,0)))*(1-IF(AND(ArtifactsInput!$M$27,Inputs!$B$4="Chapter Hunt"),CHOOSE(ArtifactsInput!$N$27+1,20,24,28,32,36,40),0)/100)),0)</f>
        <v/>
      </c>
      <c r="R3017">
        <f>IF(AND(Inputs!$B$39&lt;&gt;"pvp",Inputs!$B$44&gt;0),IF(MAX(0,Inputs!$B$44-B3051)&lt;=0,0,(INT(MAX(0,Inputs!$B$44-B3051)/(IF(Inputs!$B$39="pvp",15,MAX(0.1,Skills!D6-IF(Skills!E6=TRUE,1.5,0)))*(1-IF(AND(ArtifactsInput!$M$27,Inputs!$B$4="Chapter Hunt"),CHOOSE(ArtifactsInput!$N$27+1,20,24,28,32,36,40),0)/100)))+1)),0)</f>
        <v/>
      </c>
      <c r="S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$21+Skills!O6+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3017*(1-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$22+Skills!P6+B3043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Skills!A7</f>
        <v/>
      </c>
      <c r="B3018">
        <f>Skills!B7</f>
        <v/>
      </c>
      <c r="C3018">
        <f>Inputs!$B$3&gt;=122</f>
        <v/>
      </c>
      <c r="D3018">
        <f>IF(Skills!C7=1,60+Inputs!$B$26+Inputs!$B$30,IF(Skills!C7=2,90+Inputs!$B$27+Inputs!$B$30,IF(Skills!C7=3,120+Inputs!$B$28+Inputs!$B$30,MAX(0,(Inputs!$B$3-100)*3)+Inputs!$B$29+Inputs!$B$30)))</f>
        <v/>
      </c>
      <c r="E3018">
        <f>INDEX(FactorTable!$B$2:$Y$301, MATCH(ROUND(MIN(300,MAX(1,D3018)),0), FactorTable!$A$2:$A$301,0), Skills!L7+1)</f>
        <v/>
      </c>
      <c r="F3018">
        <f>IF(Skills!M7=TRUE,(Skills!K7/10)*(E3018/1000),Skills!K7/10)+Skills!N7</f>
        <v/>
      </c>
      <c r="G3018">
        <f>Calc!G7</f>
        <v/>
      </c>
      <c r="H3018">
        <f>Calc!H7</f>
        <v/>
      </c>
      <c r="I3018">
        <f>IF(Skills!T7&lt;&gt;"",1+(Skills!T7/10)*($Z$3/1000)/100,1)</f>
        <v/>
      </c>
      <c r="J3018">
        <f>((Inputs!$B$6*(1+Inputs!$B$7/100))+(((Inputs!$B$13*(1+Inputs!$B$14/100))-(Inputs!$B$13*(1+Inputs!$B$14/100)))+0.25*(Inputs!$B$15-Inputs!$B$15))*(1+Inputs!$B$7/100))*(F3018/100)</f>
        <v/>
      </c>
      <c r="K3018">
        <f>J3018*(1+(((Inputs!$B$13+IF(Inputs!$B$3&gt;=35,(10*INDEX(FactorTable!$B$2:$Y$301,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7="TRIUMPH_FEATHER",IF(C3027=TRUE,F3027,0),0)/100)*(1+IF(C3038=TRUE,F3038,0)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3018)</f>
        <v/>
      </c>
      <c r="L3018">
        <f>K3018*(MIN(Inputs!$B$23+(F3033-Calc!F22),(Inputs!$B$24+IF(ArtifactsInput!$M$15,CHOOSE(ArtifactsInput!$N$15+1,25,30,35,40,45,50)/100*(Inputs!$B$12-Inputs!$B$12),0)))/100+(Inputs!$B$24+IF(ArtifactsInput!$M$15,CHOOSE(ArtifactsInput!$N$15+1,25,30,35,40,45,50)/100*(Inputs!$B$12-Inputs!$B$12),0))/100)/2</f>
        <v/>
      </c>
      <c r="M3018">
        <f>L3018*(1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8">
        <f>L3018*(1-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3018*(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8">
        <f>(1-Summary!$B$11)*S3018+Summary!$B$11*U3018</f>
        <v/>
      </c>
      <c r="P3018">
        <f>IF(B3054=0,0,O3018/B3054)</f>
        <v/>
      </c>
      <c r="Q3018">
        <f>IFERROR(1/(IF(Inputs!$B$39="pvp",15,MAX(0.1,Skills!D7-IF(Skills!E6=TRUE,1.5,0)))*(1-IF(AND(ArtifactsInput!$M$27,Inputs!$B$4="Chapter Hunt"),CHOOSE(ArtifactsInput!$N$27+1,20,24,28,32,36,40),0)/100)),0)</f>
        <v/>
      </c>
      <c r="R3018">
        <f>IF(AND(Inputs!$B$39&lt;&gt;"pvp",Inputs!$B$44&gt;0),IF(MAX(0,Inputs!$B$44-B3051)&lt;=0,0,(INT(MAX(0,Inputs!$B$44-B3051)/(IF(Inputs!$B$39="pvp",15,MAX(0.1,Skills!D7-IF(Skills!E6=TRUE,1.5,0)))*(1-IF(AND(ArtifactsInput!$M$27,Inputs!$B$4="Chapter Hunt"),CHOOSE(ArtifactsInput!$N$27+1,20,24,28,32,36,40),0)/100)))+1)),0)</f>
        <v/>
      </c>
      <c r="S3018">
        <f>IF(C3018,H3018*N3018*IF(AND(Inputs!$B$39&lt;&gt;"pvp",Inputs!$B$44&gt;0),((Skills!F7*((R3018-1)*IF(Skills!G7&gt;0,Skills!H7/Skills!G7,1)+IF(Skills!G7&gt;0,MIN(Skills!H7,MAX(0,MAX(0,Inputs!$B$44-B3051)-((R3018-1)*(IF(Inputs!$B$39="pvp",15,MAX(0.1,Skills!D7-IF(Skills!E6=TRUE,1.5,0)))*(1-IF(AND(ArtifactsInput!$M$27,Inputs!$B$4="Chapter Hunt"),CHOOSE(ArtifactsInput!$N$27+1,20,24,28,32,36,40),0)/100)))))/Skills!G7,1)))/Inputs!$B$44),G3018*Q3018)*IF(Inputs!$B$39="pvp",1,1+(Inputs!$B$21+Skills!O7+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3018*(1-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3018*(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3018*(1-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3018*(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8" t="n">
        <v>0</v>
      </c>
    </row>
    <row r="3019">
      <c r="A3019">
        <f>Skills!A8</f>
        <v/>
      </c>
      <c r="B3019">
        <f>Skills!B8</f>
        <v/>
      </c>
      <c r="C3019">
        <f>Inputs!$B$3&gt;=105</f>
        <v/>
      </c>
      <c r="D3019">
        <f>IF(Skills!C8=1,60+Inputs!$B$26+Inputs!$B$30,IF(Skills!C8=2,90+Inputs!$B$27+Inputs!$B$30,IF(Skills!C8=3,120+Inputs!$B$28+Inputs!$B$30,MAX(0,(Inputs!$B$3-100)*3)+Inputs!$B$29+Inputs!$B$30)))</f>
        <v/>
      </c>
      <c r="E3019">
        <f>INDEX(FactorTable!$B$2:$Y$301, MATCH(ROUND(MIN(300,MAX(1,D3019)),0), FactorTable!$A$2:$A$301,0), Skills!L8+1)</f>
        <v/>
      </c>
      <c r="F3019">
        <f>IF(Skills!M8=TRUE,(Skills!K8/10)*(E3019/1000),Skills!K8/10)+Skills!N8</f>
        <v/>
      </c>
      <c r="G3019">
        <f>Calc!G8</f>
        <v/>
      </c>
      <c r="H3019">
        <f>Calc!H8</f>
        <v/>
      </c>
      <c r="I3019">
        <f>IF(Skills!T8&lt;&gt;"",1+(Skills!T8/10)*($Z$3/1000)/100,1)</f>
        <v/>
      </c>
      <c r="J3019">
        <f>((Inputs!$B$6*(1+Inputs!$B$7/100))+(((Inputs!$B$13*(1+Inputs!$B$14/100))-(Inputs!$B$13*(1+Inputs!$B$14/100)))+0.25*(Inputs!$B$15-Inputs!$B$15))*(1+Inputs!$B$7/100))*(F3019/100)</f>
        <v/>
      </c>
      <c r="K3019">
        <f>J3019*(1+(((Inputs!$B$13+IF(Inputs!$B$3&gt;=35,(10*INDEX(FactorTable!$B$2:$Y$301,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8="TRIUMPH_FEATHER",IF(C3027=TRUE,F3027,0),0)/100)*(1+IF(C3038=TRUE,F3038,0)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3019)</f>
        <v/>
      </c>
      <c r="L3019">
        <f>K3019*(MIN(Inputs!$B$23+(F3033-Calc!F22),(Inputs!$B$24+IF(ArtifactsInput!$M$15,CHOOSE(ArtifactsInput!$N$15+1,25,30,35,40,45,50)/100*(Inputs!$B$12-Inputs!$B$12),0)))/100+(Inputs!$B$24+IF(ArtifactsInput!$M$15,CHOOSE(ArtifactsInput!$N$15+1,25,30,35,40,45,50)/100*(Inputs!$B$12-Inputs!$B$12),0))/100)/2</f>
        <v/>
      </c>
      <c r="M3019">
        <f>L3019*(1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9">
        <f>L3019*(1-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3019*(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9">
        <f>(1-Summary!$B$11)*S3019+Summary!$B$11*U3019</f>
        <v/>
      </c>
      <c r="P3019">
        <f>IF(B3054=0,0,O3019/B3054)</f>
        <v/>
      </c>
      <c r="Q3019">
        <f>IFERROR(1/(IF(Inputs!$B$39="pvp",15,MAX(0.1,Skills!D8-IF(Skills!E8=TRUE,1.5,0)))*(1-IF(AND(ArtifactsInput!$M$27,Inputs!$B$4="Chapter Hunt"),CHOOSE(ArtifactsInput!$N$27+1,20,24,28,32,36,40),0)/100)),0)</f>
        <v/>
      </c>
      <c r="R3019">
        <f>IF(AND(Inputs!$B$39&lt;&gt;"pvp",Inputs!$B$44&gt;0),IF(MAX(0,Inputs!$B$44-B3051)&lt;=0,0,(INT(MAX(0,Inputs!$B$44-B3051)/(IF(Inputs!$B$39="pvp",15,MAX(0.1,Skills!D8-IF(Skills!E8=TRUE,1.5,0)))*(1-IF(AND(ArtifactsInput!$M$27,Inputs!$B$4="Chapter Hunt"),CHOOSE(ArtifactsInput!$N$27+1,20,24,28,32,36,40),0)/100)))+1)),0)</f>
        <v/>
      </c>
      <c r="S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$21+Skills!O8+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3019*(1-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3019*(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3019*(1-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3019*(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$22+Skills!P8+B3043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0">
      <c r="A3020">
        <f>Skills!A9</f>
        <v/>
      </c>
      <c r="B3020">
        <f>Skills!B9</f>
        <v/>
      </c>
      <c r="C3020">
        <f>Inputs!$B$3&gt;=115</f>
        <v/>
      </c>
      <c r="D3020">
        <f>IF(Skills!C9=1,60+Inputs!$B$26+Inputs!$B$30,IF(Skills!C9=2,90+Inputs!$B$27+Inputs!$B$30,IF(Skills!C9=3,120+Inputs!$B$28+Inputs!$B$30,MAX(0,(Inputs!$B$3-100)*3)+Inputs!$B$29+Inputs!$B$30)))</f>
        <v/>
      </c>
      <c r="E3020">
        <f>INDEX(FactorTable!$B$2:$Y$301, MATCH(ROUND(MIN(300,MAX(1,D3020)),0), FactorTable!$A$2:$A$301,0), Skills!L9+1)</f>
        <v/>
      </c>
      <c r="F3020">
        <f>IF(Skills!M9=TRUE,(Skills!K9/10)*(E3020/1000),Skills!K9/10)+Skills!N9</f>
        <v/>
      </c>
      <c r="G3020">
        <f>Calc!G9</f>
        <v/>
      </c>
      <c r="H3020">
        <f>Calc!H9</f>
        <v/>
      </c>
      <c r="I3020">
        <f>IF(Skills!T9&lt;&gt;"",1+(Skills!T9/10)*($Z$3/1000)/100,1)</f>
        <v/>
      </c>
      <c r="J3020">
        <f>((Inputs!$B$6*(1+Inputs!$B$7/100))+(((Inputs!$B$13*(1+Inputs!$B$14/100))-(Inputs!$B$13*(1+Inputs!$B$14/100)))+0.25*(Inputs!$B$15-Inputs!$B$15))*(1+Inputs!$B$7/100))*(F3020/100)</f>
        <v/>
      </c>
      <c r="K3020">
        <f>J3020*(1+(((Inputs!$B$13+IF(Inputs!$B$3&gt;=35,(10*INDEX(FactorTable!$B$2:$Y$301,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9="TRIUMPH_FEATHER",IF(C3027=TRUE,F3027,0),0)/100)*(1+IF(C3038=TRUE,F3038,0)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3020)</f>
        <v/>
      </c>
      <c r="L3020">
        <f>K3020*(MIN(Inputs!$B$23+(F3033-Calc!F22),(Inputs!$B$24+IF(ArtifactsInput!$M$15,CHOOSE(ArtifactsInput!$N$15+1,25,30,35,40,45,50)/100*(Inputs!$B$12-Inputs!$B$12),0)))/100+(Inputs!$B$24+IF(ArtifactsInput!$M$15,CHOOSE(ArtifactsInput!$N$15+1,25,30,35,40,45,50)/100*(Inputs!$B$12-Inputs!$B$12),0))/100)/2</f>
        <v/>
      </c>
      <c r="M3020">
        <f>L3020*(1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0">
        <f>L3020*(1-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(1-Summary!$B$11)*S3020+Summary!$B$11*U3020</f>
        <v/>
      </c>
      <c r="P3020">
        <f>IF(B3054=0,0,O3020/B3054)</f>
        <v/>
      </c>
      <c r="Q3020">
        <f>IFERROR(1/(IF(Inputs!$B$39="pvp",15,MAX(0.1,Skills!D9-IF(Skills!E9=TRUE,1.5,0)))*(1-IF(AND(ArtifactsInput!$M$27,Inputs!$B$4="Chapter Hunt"),CHOOSE(ArtifactsInput!$N$27+1,20,24,28,32,36,40),0)/100)),0)</f>
        <v/>
      </c>
      <c r="R3020">
        <f>IF(AND(Inputs!$B$39&lt;&gt;"pvp",Inputs!$B$44&gt;0),IF(MAX(0,Inputs!$B$44-B3051)&lt;=0,0,(INT(MAX(0,Inputs!$B$44-B3051)/(IF(Inputs!$B$39="pvp",15,MAX(0.1,Skills!D9-IF(Skills!E9=TRUE,1.5,0)))*(1-IF(AND(ArtifactsInput!$M$27,Inputs!$B$4="Chapter Hunt"),CHOOSE(ArtifactsInput!$N$27+1,20,24,28,32,36,40),0)/100)))+1)),0)</f>
        <v/>
      </c>
      <c r="S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$21+Skills!O9+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3020*(1-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$22+Skills!P9+B3043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Skills!A10</f>
        <v/>
      </c>
      <c r="B3021">
        <f>Skills!B10</f>
        <v/>
      </c>
      <c r="C3021">
        <f>Inputs!$B$3&gt;=66</f>
        <v/>
      </c>
      <c r="D3021">
        <f>IF(Skills!C10=1,60+Inputs!$B$26+Inputs!$B$30,IF(Skills!C10=2,90+Inputs!$B$27+Inputs!$B$30,IF(Skills!C10=3,120+Inputs!$B$28+Inputs!$B$30,MAX(0,(Inputs!$B$3-100)*3)+Inputs!$B$29+Inputs!$B$30)))</f>
        <v/>
      </c>
      <c r="E3021">
        <f>INDEX(FactorTable!$B$2:$Y$301, MATCH(ROUND(MIN(300,MAX(1,D3021)),0), FactorTable!$A$2:$A$301,0), Skills!L10+1)</f>
        <v/>
      </c>
      <c r="F3021" t="n">
        <v>0</v>
      </c>
      <c r="G3021">
        <f>Calc!G10</f>
        <v/>
      </c>
      <c r="H3021">
        <f>Calc!H10</f>
        <v/>
      </c>
      <c r="I3021">
        <f>IF(Skills!T10&lt;&gt;"",1+(Skills!T10/10)*($Z$3/1000)/100,1)</f>
        <v/>
      </c>
      <c r="J3021" t="inlineStr"/>
      <c r="K3021" t="inlineStr"/>
      <c r="L3021" t="inlineStr"/>
      <c r="M3021" t="inlineStr"/>
      <c r="N3021" t="inlineStr"/>
      <c r="O3021">
        <f>(1-Summary!$B$11)*S3021+Summary!$B$11*U3021</f>
        <v/>
      </c>
      <c r="P3021">
        <f>IF(B3054=0,0,O3021/B3054)</f>
        <v/>
      </c>
      <c r="Q3021">
        <f>IFERROR(1/(IF(Inputs!$B$39="pvp",15,MAX(0.1,Skills!D10-IF(Skills!E10=TRUE,1.5,0)))*(1-IF(AND(ArtifactsInput!$M$27,Inputs!$B$4="Chapter Hunt"),CHOOSE(ArtifactsInput!$N$27+1,20,24,28,32,36,40),0)/100)),0)</f>
        <v/>
      </c>
      <c r="R3021">
        <f>IF(AND(Inputs!$B$39&lt;&gt;"pvp",Inputs!$B$44&gt;0),IF(MAX(0,Inputs!$B$44-B3051)&lt;=0,0,(INT(MAX(0,Inputs!$B$44-B3051)/(IF(Inputs!$B$39="pvp",15,MAX(0.1,Skills!D10-IF(Skills!E10=TRUE,1.5,0)))*(1-IF(AND(ArtifactsInput!$M$27,Inputs!$B$4="Chapter Hunt"),CHOOSE(ArtifactsInput!$N$27+1,20,24,28,32,36,40),0)/100)))+1)),0)</f>
        <v/>
      </c>
      <c r="S3021" t="n">
        <v>0</v>
      </c>
      <c r="U3021" t="n">
        <v>0</v>
      </c>
    </row>
    <row r="3022">
      <c r="A3022">
        <f>Skills!A11</f>
        <v/>
      </c>
      <c r="B3022">
        <f>Skills!B11</f>
        <v/>
      </c>
      <c r="C3022">
        <f>Inputs!$B$3&gt;=69</f>
        <v/>
      </c>
      <c r="D3022">
        <f>IF(Skills!C11=1,60+Inputs!$B$26+Inputs!$B$30,IF(Skills!C11=2,90+Inputs!$B$27+Inputs!$B$30,IF(Skills!C11=3,120+Inputs!$B$28+Inputs!$B$30,MAX(0,(Inputs!$B$3-100)*3)+Inputs!$B$29+Inputs!$B$30)))</f>
        <v/>
      </c>
      <c r="E3022">
        <f>INDEX(FactorTable!$B$2:$Y$301, MATCH(ROUND(MIN(300,MAX(1,D3022)),0), FactorTable!$A$2:$A$301,0), Skills!L11+1)</f>
        <v/>
      </c>
      <c r="F3022">
        <f>IF(Skills!M11=TRUE,(Skills!K11/10)*(E3022/1000),Skills!K11/10)+Skills!N11</f>
        <v/>
      </c>
      <c r="G3022">
        <f>Calc!G11</f>
        <v/>
      </c>
      <c r="H3022">
        <f>Calc!H11</f>
        <v/>
      </c>
      <c r="I3022">
        <f>IF(Skills!T11&lt;&gt;"",1+(Skills!T11/10)*($Z$3/1000)/100,1)</f>
        <v/>
      </c>
      <c r="J3022" t="inlineStr"/>
      <c r="K3022" t="inlineStr"/>
      <c r="L3022" t="inlineStr"/>
      <c r="M3022" t="inlineStr"/>
      <c r="N3022" t="inlineStr"/>
      <c r="O3022">
        <f>(1-Summary!$B$11)*S3022+Summary!$B$11*U3022</f>
        <v/>
      </c>
      <c r="P3022">
        <f>IF(B3054=0,0,O3022/B3054)</f>
        <v/>
      </c>
      <c r="Q3022">
        <f>IFERROR(1/(IF(Inputs!$B$39="pvp",15,MAX(0.1,Skills!D11-IF(Skills!E11=TRUE,1.5,0)))*(1-IF(AND(ArtifactsInput!$M$27,Inputs!$B$4="Chapter Hunt"),CHOOSE(ArtifactsInput!$N$27+1,20,24,28,32,36,40),0)/100)),0)</f>
        <v/>
      </c>
      <c r="R3022">
        <f>IF(AND(Inputs!$B$39&lt;&gt;"pvp",Inputs!$B$44&gt;0),IF(Inputs!$B$44&lt;=0,0,(INT(Inputs!$B$44/(IF(Inputs!$B$39="pvp",15,MAX(0.1,Skills!D11-IF(Skills!E11=TRUE,1.5,0)))*(1-IF(AND(ArtifactsInput!$M$27,Inputs!$B$4="Chapter Hunt"),CHOOSE(ArtifactsInput!$N$27+1,20,24,28,32,36,40),0)/100)))+1)),0)</f>
        <v/>
      </c>
      <c r="S3022" t="n">
        <v>0</v>
      </c>
      <c r="U3022" t="n">
        <v>0</v>
      </c>
    </row>
    <row r="3023">
      <c r="A3023">
        <f>Skills!A12</f>
        <v/>
      </c>
      <c r="B3023">
        <f>Skills!B12</f>
        <v/>
      </c>
      <c r="C3023">
        <f>Inputs!$B$3&gt;=72</f>
        <v/>
      </c>
      <c r="D3023">
        <f>IF(Skills!C12=1,60+Inputs!$B$26+Inputs!$B$30,IF(Skills!C12=2,90+Inputs!$B$27+Inputs!$B$30,IF(Skills!C12=3,120+Inputs!$B$28+Inputs!$B$30,MAX(0,(Inputs!$B$3-100)*3)+Inputs!$B$29+Inputs!$B$30)))</f>
        <v/>
      </c>
      <c r="E3023">
        <f>INDEX(FactorTable!$B$2:$Y$301, MATCH(ROUND(MIN(300,MAX(1,D3023)),0), FactorTable!$A$2:$A$301,0), Skills!L12+1)</f>
        <v/>
      </c>
      <c r="F3023">
        <f>IF(Skills!M12=TRUE,(Skills!K12/10)*(E3023/1000),Skills!K12/10)+Skills!N12</f>
        <v/>
      </c>
      <c r="G3023">
        <f>Calc!G12</f>
        <v/>
      </c>
      <c r="H3023">
        <f>Calc!H12</f>
        <v/>
      </c>
      <c r="I3023">
        <f>IF(Skills!T12&lt;&gt;"",1+(Skills!T12/10)*($Z$3/1000)/100,1)</f>
        <v/>
      </c>
      <c r="J3023" t="inlineStr"/>
      <c r="K3023" t="inlineStr"/>
      <c r="L3023" t="inlineStr"/>
      <c r="M3023" t="inlineStr"/>
      <c r="N3023" t="inlineStr"/>
      <c r="O3023">
        <f>(1-Summary!$B$11)*S3023+Summary!$B$11*U3023</f>
        <v/>
      </c>
      <c r="P3023">
        <f>IF(B3054=0,0,O3023/B3054)</f>
        <v/>
      </c>
      <c r="Q3023">
        <f>IFERROR(1/(IF(Inputs!$B$39="pvp",15,MAX(0.1,Skills!D12-IF(Skills!E12=TRUE,1.5,0)))*(1-IF(AND(ArtifactsInput!$M$27,Inputs!$B$4="Chapter Hunt"),CHOOSE(ArtifactsInput!$N$27+1,20,24,28,32,36,40),0)/100)),0)</f>
        <v/>
      </c>
      <c r="R3023">
        <f>IF(AND(Inputs!$B$39&lt;&gt;"pvp",Inputs!$B$44&gt;0),IF(MAX(0,Inputs!$B$44-B3051)&lt;=0,0,(INT(MAX(0,Inputs!$B$44-B3051)/(IF(Inputs!$B$39="pvp",15,MAX(0.1,Skills!D12-IF(Skills!E12=TRUE,1.5,0)))*(1-IF(AND(ArtifactsInput!$M$27,Inputs!$B$4="Chapter Hunt"),CHOOSE(ArtifactsInput!$N$27+1,20,24,28,32,36,40),0)/100)))+1)),0)</f>
        <v/>
      </c>
      <c r="S3023" t="n">
        <v>0</v>
      </c>
      <c r="U3023" t="n">
        <v>0</v>
      </c>
    </row>
    <row r="3024">
      <c r="A3024">
        <f>Skills!A13</f>
        <v/>
      </c>
      <c r="B3024">
        <f>Skills!B13</f>
        <v/>
      </c>
      <c r="C3024">
        <f>Inputs!$B$3&gt;=60</f>
        <v/>
      </c>
      <c r="D3024">
        <f>IF(Skills!C13=1,60+Inputs!$B$26+Inputs!$B$30,IF(Skills!C13=2,90+Inputs!$B$27+Inputs!$B$30,IF(Skills!C13=3,120+Inputs!$B$28+Inputs!$B$30,MAX(0,(Inputs!$B$3-100)*3)+Inputs!$B$29+Inputs!$B$30)))</f>
        <v/>
      </c>
      <c r="E3024">
        <f>INDEX(FactorTable!$B$2:$Y$301, MATCH(ROUND(MIN(300,MAX(1,D3024)),0), FactorTable!$A$2:$A$301,0), Skills!L13+1)</f>
        <v/>
      </c>
      <c r="F3024">
        <f>IF(Skills!M13=TRUE,(Skills!K13/10)*(E3024/1000),Skills!K13/10)+Skills!N13</f>
        <v/>
      </c>
      <c r="G3024">
        <f>Calc!G13</f>
        <v/>
      </c>
      <c r="H3024">
        <f>Calc!H13</f>
        <v/>
      </c>
      <c r="I3024">
        <f>IF(Skills!T13&lt;&gt;"",1+(Skills!T13/10)*($Z$3/1000)/100,1)</f>
        <v/>
      </c>
      <c r="J3024" t="inlineStr"/>
      <c r="K3024" t="inlineStr"/>
      <c r="L3024" t="inlineStr"/>
      <c r="M3024" t="inlineStr"/>
      <c r="N3024" t="inlineStr"/>
      <c r="O3024">
        <f>(1-Summary!$B$11)*S3024+Summary!$B$11*U3024</f>
        <v/>
      </c>
      <c r="P3024">
        <f>IF(B3054=0,0,O3024/B3054)</f>
        <v/>
      </c>
      <c r="Q3024">
        <f>IFERROR(1/(IF(Inputs!$B$39="pvp",15,MAX(0.1,Skills!D13-IF(Skills!E13=TRUE,1.5,0)))*(1-IF(AND(ArtifactsInput!$M$27,Inputs!$B$4="Chapter Hunt"),CHOOSE(ArtifactsInput!$N$27+1,20,24,28,32,36,40),0)/100)),0)</f>
        <v/>
      </c>
      <c r="R3024">
        <f>IF(AND(Inputs!$B$39&lt;&gt;"pvp",Inputs!$B$44&gt;0),IF(MAX(0,Inputs!$B$44-B3051)&lt;=0,0,(INT(MAX(0,Inputs!$B$44-B3051)/(IF(Inputs!$B$39="pvp",15,MAX(0.1,Skills!D13-IF(Skills!E13=TRUE,1.5,0)))*(1-IF(AND(ArtifactsInput!$M$27,Inputs!$B$4="Chapter Hunt"),CHOOSE(ArtifactsInput!$N$27+1,20,24,28,32,36,40),0)/100)))+1)),0)</f>
        <v/>
      </c>
      <c r="S3024" t="n">
        <v>0</v>
      </c>
      <c r="U3024" t="n">
        <v>0</v>
      </c>
    </row>
    <row r="3025">
      <c r="A3025">
        <f>Skills!A14</f>
        <v/>
      </c>
      <c r="B3025">
        <f>Skills!B14</f>
        <v/>
      </c>
      <c r="C3025">
        <f>Inputs!$B$3&gt;=107</f>
        <v/>
      </c>
      <c r="D3025">
        <f>IF(Skills!C14=1,60+Inputs!$B$26+Inputs!$B$30,IF(Skills!C14=2,90+Inputs!$B$27+Inputs!$B$30,IF(Skills!C14=3,120+Inputs!$B$28+Inputs!$B$30,MAX(0,(Inputs!$B$3-100)*3)+Inputs!$B$29+Inputs!$B$30)))</f>
        <v/>
      </c>
      <c r="E3025">
        <f>INDEX(FactorTable!$B$2:$Y$301, MATCH(ROUND(MIN(300,MAX(1,D3025)),0), FactorTable!$A$2:$A$301,0), Skills!L14+1)</f>
        <v/>
      </c>
      <c r="F3025">
        <f>IF(Skills!M14=TRUE,(Skills!K14/10)*(E3025/1000),Skills!K14/10)+Skills!N14</f>
        <v/>
      </c>
      <c r="G3025">
        <f>Calc!G14</f>
        <v/>
      </c>
      <c r="H3025">
        <f>Calc!H14</f>
        <v/>
      </c>
      <c r="I3025">
        <f>IF(Skills!T14&lt;&gt;"",1+(Skills!T14/10)*($Z$3/1000)/100,1)</f>
        <v/>
      </c>
      <c r="J3025" t="inlineStr"/>
      <c r="K3025" t="inlineStr"/>
      <c r="L3025" t="inlineStr"/>
      <c r="M3025" t="inlineStr"/>
      <c r="N3025" t="inlineStr"/>
      <c r="O3025">
        <f>(1-Summary!$B$11)*S3025+Summary!$B$11*U3025</f>
        <v/>
      </c>
      <c r="P3025">
        <f>IF(B3054=0,0,O3025/B3054)</f>
        <v/>
      </c>
      <c r="Q3025">
        <f>IFERROR(1/(IF(Inputs!$B$39="pvp",15,MAX(0.1,Skills!D14-IF(Skills!E14=TRUE,1.5,0)))*(1-IF(AND(ArtifactsInput!$M$27,Inputs!$B$4="Chapter Hunt"),CHOOSE(ArtifactsInput!$N$27+1,20,24,28,32,36,40),0)/100)),0)</f>
        <v/>
      </c>
      <c r="R3025">
        <f>IF(AND(Inputs!$B$39&lt;&gt;"pvp",Inputs!$B$44&gt;0),IF(Inputs!$B$44&lt;=0,0,(INT(Inputs!$B$44/(IF(Inputs!$B$39="pvp",15,MAX(0.1,Skills!D14-IF(Skills!E14=TRUE,1.5,0)))*(1-IF(AND(ArtifactsInput!$M$27,Inputs!$B$4="Chapter Hunt"),CHOOSE(ArtifactsInput!$N$27+1,20,24,28,32,36,40),0)/100)))+1)),0)</f>
        <v/>
      </c>
      <c r="S3025" t="n">
        <v>0</v>
      </c>
      <c r="U3025" t="n">
        <v>0</v>
      </c>
    </row>
    <row r="3026">
      <c r="A3026">
        <f>Skills!A15</f>
        <v/>
      </c>
      <c r="B3026">
        <f>Skills!B15</f>
        <v/>
      </c>
      <c r="C3026">
        <f>Inputs!$B$3&gt;=63</f>
        <v/>
      </c>
      <c r="D3026">
        <f>IF(Skills!C15=1,60+Inputs!$B$26+Inputs!$B$30,IF(Skills!C15=2,90+Inputs!$B$27+Inputs!$B$30,IF(Skills!C15=3,120+Inputs!$B$28+Inputs!$B$30,MAX(0,(Inputs!$B$3-100)*3)+Inputs!$B$29+Inputs!$B$30)))</f>
        <v/>
      </c>
      <c r="E3026">
        <f>INDEX(FactorTable!$B$2:$Y$301, MATCH(ROUND(MIN(300,MAX(1,D3026)),0), FactorTable!$A$2:$A$301,0), Skills!L15+1)</f>
        <v/>
      </c>
      <c r="F3026">
        <f>IF(Skills!M15=TRUE,(Skills!K15/10)*(E3026/1000),Skills!K15/10)+Skills!N15</f>
        <v/>
      </c>
      <c r="G3026">
        <f>Calc!G15</f>
        <v/>
      </c>
      <c r="H3026">
        <f>Calc!H15</f>
        <v/>
      </c>
      <c r="I3026">
        <f>IF(Skills!T15&lt;&gt;"",1+(Skills!T15/10)*($Z$3/1000)/100,1)</f>
        <v/>
      </c>
      <c r="J3026">
        <f>((Inputs!$B$6*(1+Inputs!$B$7/100))+(((Inputs!$B$13*(1+Inputs!$B$14/100))-(Inputs!$B$13*(1+Inputs!$B$14/100)))+0.25*(Inputs!$B$15-Inputs!$B$15))*(1+Inputs!$B$7/100))*(F3026/100)</f>
        <v/>
      </c>
      <c r="K3026">
        <f>J3026*(1+(((Inputs!$B$13+IF(Inputs!$B$3&gt;=35,(10*INDEX(FactorTable!$B$2:$Y$301,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15="TRIUMPH_FEATHER",IF(C3027=TRUE,F3027,0),0)/100)*(1+IF(C3038=TRUE,F3038,0)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3026)</f>
        <v/>
      </c>
      <c r="L3026">
        <f>K3026*(MIN(Inputs!$B$23+(F3033-Calc!F22),(Inputs!$B$24+IF(ArtifactsInput!$M$15,CHOOSE(ArtifactsInput!$N$15+1,25,30,35,40,45,50)/100*(Inputs!$B$12-Inputs!$B$12),0)))/100+(Inputs!$B$24+IF(ArtifactsInput!$M$15,CHOOSE(ArtifactsInput!$N$15+1,25,30,35,40,45,50)/100*(Inputs!$B$12-Inputs!$B$12),0))/100)/2</f>
        <v/>
      </c>
      <c r="M3026">
        <f>L3026*(1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6">
        <f>L3026*(1-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(1-Summary!$B$11)*S3026+Summary!$B$11*U3026</f>
        <v/>
      </c>
      <c r="P3026">
        <f>IF(B3054=0,0,O3026/B3054)</f>
        <v/>
      </c>
      <c r="Q3026">
        <f>IFERROR(1/(IF(Inputs!$B$39="pvp",15,MAX(0.1,Skills!D15-IF(Skills!E15=TRUE,1.5,0)))*(1-IF(AND(ArtifactsInput!$M$27,Inputs!$B$4="Chapter Hunt"),CHOOSE(ArtifactsInput!$N$27+1,20,24,28,32,36,40),0)/100)),0)</f>
        <v/>
      </c>
      <c r="R3026" t="n">
        <v>0</v>
      </c>
      <c r="S3026">
        <f>IF(C3026,(Skills!F15*N3026*((IF(Inputs!$B$3&gt;=78,25,15)/100*B3047*10)/(1+IF(Inputs!$B$3&gt;=78,25,15)/100*B3047*10))*(Skills!I15/100*B3047)/(1+Skills!G15*Skills!I15/100*B3047))*IF(Inputs!$B$39="pvp",1,1+(Inputs!$B$21+Skills!O15+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3026*(1-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6">
        <f>IF(C3026,(Skills!F15*N3026*((IF(Inputs!$B$3&gt;=78,25,15)/100*B3047*10)/(1+IF(Inputs!$B$3&gt;=78,25,15)/100*B3047*10))*(Skills!I15/100*B3047)/(1+Skills!G15*Skills!I15/100*B3047))*IF(Inputs!$B$39="pvp",1,(1+(Inputs!$B$22+Skills!P15+B3043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Skills!A16</f>
        <v/>
      </c>
      <c r="B3027">
        <f>Skills!B16</f>
        <v/>
      </c>
      <c r="C3027">
        <f>Inputs!$B$3&gt;=100</f>
        <v/>
      </c>
      <c r="D3027">
        <f>IF(Skills!C16=1,60+Inputs!$B$26+Inputs!$B$30,IF(Skills!C16=2,90+Inputs!$B$27+Inputs!$B$30,IF(Skills!C16=3,120+Inputs!$B$28+Inputs!$B$30,MAX(0,(Inputs!$B$3-100)*3)+Inputs!$B$29+Inputs!$B$30)))</f>
        <v/>
      </c>
      <c r="E3027">
        <f>INDEX(FactorTable!$B$2:$Y$301, MATCH(ROUND(MIN(300,MAX(1,D3027)),0), FactorTable!$A$2:$A$301,0), Skills!L16+1)</f>
        <v/>
      </c>
      <c r="F3027">
        <f>IF(Skills!M16=TRUE,(Skills!K16/10)*(E3027/1000),Skills!K16/10)+Skills!N16</f>
        <v/>
      </c>
      <c r="G3027">
        <f>Calc!G16</f>
        <v/>
      </c>
      <c r="H3027">
        <f>Calc!H16</f>
        <v/>
      </c>
      <c r="I3027">
        <f>IF(Skills!T16&lt;&gt;"",1+(Skills!T16/10)*($Z$3/1000)/100,1)</f>
        <v/>
      </c>
      <c r="J3027" t="inlineStr"/>
      <c r="K3027" t="inlineStr"/>
      <c r="L3027" t="inlineStr"/>
      <c r="M3027" t="inlineStr"/>
      <c r="N3027" t="inlineStr"/>
      <c r="O3027">
        <f>(1-Summary!$B$11)*S3027+Summary!$B$11*U3027</f>
        <v/>
      </c>
      <c r="P3027">
        <f>IF(B3054=0,0,O3027/B3054)</f>
        <v/>
      </c>
      <c r="Q3027">
        <f>IFERROR(1/(IF(Inputs!$B$39="pvp",15,MAX(0.1,Skills!D16-IF(Skills!E16=TRUE,1.5,0)))*(1-IF(AND(ArtifactsInput!$M$27,Inputs!$B$4="Chapter Hunt"),CHOOSE(ArtifactsInput!$N$27+1,20,24,28,32,36,40),0)/100)),0)</f>
        <v/>
      </c>
      <c r="R3027" t="n">
        <v>0</v>
      </c>
      <c r="S3027" t="n">
        <v>0</v>
      </c>
      <c r="U3027" t="n">
        <v>0</v>
      </c>
    </row>
    <row r="3028">
      <c r="A3028">
        <f>Skills!A17</f>
        <v/>
      </c>
      <c r="B3028">
        <f>Skills!B17</f>
        <v/>
      </c>
      <c r="C3028">
        <f>Inputs!$B$3&gt;=49</f>
        <v/>
      </c>
      <c r="D3028">
        <f>IF(Skills!C17=1,60+Inputs!$B$26+Inputs!$B$30,IF(Skills!C17=2,90+Inputs!$B$27+Inputs!$B$30,IF(Skills!C17=3,120+Inputs!$B$28+Inputs!$B$30,MAX(0,(Inputs!$B$3-100)*3)+Inputs!$B$29+Inputs!$B$30)))</f>
        <v/>
      </c>
      <c r="E3028">
        <f>INDEX(FactorTable!$B$2:$Y$301, MATCH(ROUND(MIN(300,MAX(1,D3028)),0), FactorTable!$A$2:$A$301,0), Skills!L17+1)</f>
        <v/>
      </c>
      <c r="F3028">
        <f>IF(Skills!M17=TRUE,(Skills!K17/10)*(E3028/1000),Skills!K17/10)+Skills!N17</f>
        <v/>
      </c>
      <c r="G3028">
        <f>Calc!G17</f>
        <v/>
      </c>
      <c r="H3028">
        <f>Calc!H17</f>
        <v/>
      </c>
      <c r="I3028">
        <f>IF(Skills!T17&lt;&gt;"",1+(Skills!T17/10)*($Z$3/1000)/100,1)</f>
        <v/>
      </c>
      <c r="J3028" t="inlineStr"/>
      <c r="K3028" t="inlineStr"/>
      <c r="L3028" t="inlineStr"/>
      <c r="M3028" t="inlineStr"/>
      <c r="N3028" t="inlineStr"/>
      <c r="O3028">
        <f>(1-Summary!$B$11)*S3028+Summary!$B$11*U3028</f>
        <v/>
      </c>
      <c r="P3028">
        <f>IF(B3054=0,0,O3028/B3054)</f>
        <v/>
      </c>
      <c r="Q3028">
        <f>IFERROR(1/(IF(Inputs!$B$39="pvp",15,MAX(0.1,Skills!D17-IF(Skills!E17=TRUE,1.5,0)))*(1-IF(AND(ArtifactsInput!$M$27,Inputs!$B$4="Chapter Hunt"),CHOOSE(ArtifactsInput!$N$27+1,20,24,28,32,36,40),0)/100)),0)</f>
        <v/>
      </c>
      <c r="R3028" t="n">
        <v>0</v>
      </c>
      <c r="S3028" t="n">
        <v>0</v>
      </c>
      <c r="U3028" t="n">
        <v>0</v>
      </c>
    </row>
    <row r="3029">
      <c r="A3029">
        <f>Skills!A18</f>
        <v/>
      </c>
      <c r="B3029">
        <f>Skills!B18</f>
        <v/>
      </c>
      <c r="C3029">
        <f>Inputs!$B$3&gt;=75</f>
        <v/>
      </c>
      <c r="D3029">
        <f>IF(Skills!C18=1,60+Inputs!$B$26+Inputs!$B$30,IF(Skills!C18=2,90+Inputs!$B$27+Inputs!$B$30,IF(Skills!C18=3,120+Inputs!$B$28+Inputs!$B$30,MAX(0,(Inputs!$B$3-100)*3)+Inputs!$B$29+Inputs!$B$30)))</f>
        <v/>
      </c>
      <c r="E3029">
        <f>INDEX(FactorTable!$B$2:$Y$301, MATCH(ROUND(MIN(300,MAX(1,D3029)),0), FactorTable!$A$2:$A$301,0), Skills!L18+1)</f>
        <v/>
      </c>
      <c r="F3029">
        <f>IF(Skills!M18=TRUE,(Skills!K18/10)*(E3029/1000),Skills!K18/10)+Skills!N18</f>
        <v/>
      </c>
      <c r="G3029">
        <f>Calc!G18</f>
        <v/>
      </c>
      <c r="H3029">
        <f>Calc!H18</f>
        <v/>
      </c>
      <c r="I3029">
        <f>IF(Skills!T18&lt;&gt;"",1+(Skills!T18/10)*($Z$3/1000)/100,1)</f>
        <v/>
      </c>
      <c r="J3029" t="inlineStr"/>
      <c r="K3029" t="inlineStr"/>
      <c r="L3029" t="inlineStr"/>
      <c r="M3029" t="inlineStr"/>
      <c r="N3029" t="inlineStr"/>
      <c r="O3029">
        <f>(1-Summary!$B$11)*S3029+Summary!$B$11*U3029</f>
        <v/>
      </c>
      <c r="P3029">
        <f>IF(B3054=0,0,O3029/B3054)</f>
        <v/>
      </c>
      <c r="Q3029">
        <f>IFERROR(1/(IF(Inputs!$B$39="pvp",15,MAX(0.1,Skills!D18-IF(Skills!E18=TRUE,1.5,0)))*(1-IF(AND(ArtifactsInput!$M$27,Inputs!$B$4="Chapter Hunt"),CHOOSE(ArtifactsInput!$N$27+1,20,24,28,32,36,40),0)/100)),0)</f>
        <v/>
      </c>
      <c r="R3029" t="n">
        <v>0</v>
      </c>
      <c r="S3029" t="n">
        <v>0</v>
      </c>
      <c r="U3029" t="n">
        <v>0</v>
      </c>
    </row>
    <row r="3030">
      <c r="A3030">
        <f>Skills!A19</f>
        <v/>
      </c>
      <c r="B3030">
        <f>Skills!B19</f>
        <v/>
      </c>
      <c r="C3030">
        <f>Inputs!$B$3&gt;=110</f>
        <v/>
      </c>
      <c r="D3030">
        <f>IF(Skills!C19=1,60+Inputs!$B$26+Inputs!$B$30,IF(Skills!C19=2,90+Inputs!$B$27+Inputs!$B$30,IF(Skills!C19=3,120+Inputs!$B$28+Inputs!$B$30,MAX(0,(Inputs!$B$3-100)*3)+Inputs!$B$29+Inputs!$B$30)))</f>
        <v/>
      </c>
      <c r="E3030">
        <f>INDEX(FactorTable!$B$2:$Y$301, MATCH(ROUND(MIN(300,MAX(1,D3030)),0), FactorTable!$A$2:$A$301,0), Skills!L19+1)</f>
        <v/>
      </c>
      <c r="F3030">
        <f>(Skills!K19/10)*(E3030/1000)*64/45+Skills!N19</f>
        <v/>
      </c>
      <c r="G3030">
        <f>Calc!G19</f>
        <v/>
      </c>
      <c r="H3030">
        <f>Calc!H19</f>
        <v/>
      </c>
      <c r="I3030">
        <f>IF(Skills!T19&lt;&gt;"",1+(Skills!T19/10)*($Z$3/1000)/100,1)</f>
        <v/>
      </c>
      <c r="J3030" t="inlineStr"/>
      <c r="K3030" t="inlineStr"/>
      <c r="L3030" t="inlineStr"/>
      <c r="M3030" t="inlineStr"/>
      <c r="N3030" t="inlineStr"/>
      <c r="O3030">
        <f>(1-Summary!$B$11)*S3030+Summary!$B$11*U3030</f>
        <v/>
      </c>
      <c r="P3030">
        <f>IF(B3054=0,0,O3030/B3054)</f>
        <v/>
      </c>
      <c r="Q3030">
        <f>IFERROR(1/(IF(Inputs!$B$39="pvp",15,MAX(0.1,Skills!D19-IF(Skills!E19=TRUE,1.5,0)))*(1-IF(AND(ArtifactsInput!$M$27,Inputs!$B$4="Chapter Hunt"),CHOOSE(ArtifactsInput!$N$27+1,20,24,28,32,36,40),0)/100)),0)</f>
        <v/>
      </c>
      <c r="R3030">
        <f>IF(AND(Inputs!$B$39&lt;&gt;"pvp",Inputs!$B$44&gt;0),IF(Inputs!$B$44&lt;=0,0,(INT(Inputs!$B$44/(IF(Inputs!$B$39="pvp",15,MAX(0.1,Skills!D19-IF(Skills!E19=TRUE,1.5,0)))*(1-IF(AND(ArtifactsInput!$M$27,Inputs!$B$4="Chapter Hunt"),CHOOSE(ArtifactsInput!$N$27+1,20,24,28,32,36,40),0)/100)))+1)),0)</f>
        <v/>
      </c>
      <c r="S3030" t="n">
        <v>0</v>
      </c>
      <c r="U3030" t="n">
        <v>0</v>
      </c>
    </row>
    <row r="3031">
      <c r="A3031">
        <f>Skills!A20</f>
        <v/>
      </c>
      <c r="B3031">
        <f>Skills!B20</f>
        <v/>
      </c>
      <c r="C3031">
        <f>Inputs!$B$3&gt;=125</f>
        <v/>
      </c>
      <c r="D3031">
        <f>IF(Skills!C20=1,60+Inputs!$B$26+Inputs!$B$30,IF(Skills!C20=2,90+Inputs!$B$27+Inputs!$B$30,IF(Skills!C20=3,120+Inputs!$B$28+Inputs!$B$30,MAX(0,(Inputs!$B$3-100)*3)+Inputs!$B$29+Inputs!$B$30)))</f>
        <v/>
      </c>
      <c r="E3031">
        <f>INDEX(FactorTable!$B$2:$Y$301, MATCH(ROUND(MIN(300,MAX(1,D3031)),0), FactorTable!$A$2:$A$301,0), Skills!L20+1)</f>
        <v/>
      </c>
      <c r="F3031">
        <f>IF(Skills!M20=TRUE,(Skills!K20/10)*(E3031/1000),Skills!K20/10)+Skills!N20</f>
        <v/>
      </c>
      <c r="G3031">
        <f>Calc!G20</f>
        <v/>
      </c>
      <c r="H3031">
        <f>Calc!H20</f>
        <v/>
      </c>
      <c r="I3031">
        <f>IF(Skills!T20&lt;&gt;"",1+(Skills!T20/10)*($Z$3/1000)/100,1)</f>
        <v/>
      </c>
      <c r="J3031" t="inlineStr"/>
      <c r="K3031" t="inlineStr"/>
      <c r="L3031" t="inlineStr"/>
      <c r="M3031" t="inlineStr"/>
      <c r="N3031" t="inlineStr"/>
      <c r="O3031">
        <f>(1-Summary!$B$11)*S3031+Summary!$B$11*U3031</f>
        <v/>
      </c>
      <c r="P3031">
        <f>IF(B3054=0,0,O3031/B3054)</f>
        <v/>
      </c>
      <c r="Q3031">
        <f>IFERROR(1/(IF(Inputs!$B$39="pvp",15,MAX(0.1,Skills!D20-IF(Skills!E20=TRUE,1.5,0)))*(1-IF(AND(ArtifactsInput!$M$27,Inputs!$B$4="Chapter Hunt"),CHOOSE(ArtifactsInput!$N$27+1,20,24,28,32,36,40),0)/100)),0)</f>
        <v/>
      </c>
      <c r="R3031" t="n">
        <v>0</v>
      </c>
      <c r="S3031" t="n">
        <v>0</v>
      </c>
      <c r="U3031" t="n">
        <v>0</v>
      </c>
    </row>
    <row r="3032">
      <c r="A3032">
        <f>Skills!A21</f>
        <v/>
      </c>
      <c r="B3032">
        <f>Skills!B21</f>
        <v/>
      </c>
      <c r="C3032">
        <f>Inputs!$B$3&gt;=33</f>
        <v/>
      </c>
      <c r="D3032">
        <f>IF(Skills!C21=1,60+Inputs!$B$26+Inputs!$B$30,IF(Skills!C21=2,90+Inputs!$B$27+Inputs!$B$30,IF(Skills!C21=3,120+Inputs!$B$28+Inputs!$B$30,MAX(0,(Inputs!$B$3-100)*3)+Inputs!$B$29+Inputs!$B$30)))</f>
        <v/>
      </c>
      <c r="E3032">
        <f>INDEX(FactorTable!$B$2:$Y$301, MATCH(ROUND(MIN(300,MAX(1,D3032)),0), FactorTable!$A$2:$A$301,0), Skills!L21+1)</f>
        <v/>
      </c>
      <c r="F3032">
        <f>IF(Skills!M21=TRUE,(Skills!K21/10)*(E3032/1000),Skills!K21/10)+Skills!N21</f>
        <v/>
      </c>
      <c r="G3032">
        <f>Calc!G21</f>
        <v/>
      </c>
      <c r="H3032">
        <f>Calc!H21</f>
        <v/>
      </c>
      <c r="I3032">
        <f>IF(Skills!T21&lt;&gt;"",1+(Skills!T21/10)*($Z$3/1000)/100,1)</f>
        <v/>
      </c>
      <c r="J3032" t="inlineStr"/>
      <c r="K3032" t="inlineStr"/>
      <c r="L3032" t="inlineStr"/>
      <c r="M3032" t="inlineStr"/>
      <c r="N3032" t="inlineStr"/>
      <c r="O3032">
        <f>(1-Summary!$B$11)*S3032+Summary!$B$11*U3032</f>
        <v/>
      </c>
      <c r="P3032">
        <f>IF(B3054=0,0,O3032/B3054)</f>
        <v/>
      </c>
      <c r="Q3032">
        <f>IFERROR(1/(IF(Inputs!$B$39="pvp",15,MAX(0.1,Skills!D21-IF(Skills!E21=TRUE,1.5,0)))*(1-IF(AND(ArtifactsInput!$M$27,Inputs!$B$4="Chapter Hunt"),CHOOSE(ArtifactsInput!$N$27+1,20,24,28,32,36,40),0)/100)),0)</f>
        <v/>
      </c>
      <c r="R3032" t="n">
        <v>0</v>
      </c>
      <c r="S3032" t="n">
        <v>0</v>
      </c>
      <c r="U3032" t="n">
        <v>0</v>
      </c>
    </row>
    <row r="3033">
      <c r="A3033">
        <f>Skills!A22</f>
        <v/>
      </c>
      <c r="B3033">
        <f>Skills!B22</f>
        <v/>
      </c>
      <c r="C3033">
        <f>Inputs!$B$3&gt;=43</f>
        <v/>
      </c>
      <c r="D3033">
        <f>IF(Skills!C22=1,60+Inputs!$B$26+Inputs!$B$30,IF(Skills!C22=2,90+Inputs!$B$27+Inputs!$B$30,IF(Skills!C22=3,120+Inputs!$B$28+Inputs!$B$30,MAX(0,(Inputs!$B$3-100)*3)+Inputs!$B$29+Inputs!$B$30)))</f>
        <v/>
      </c>
      <c r="E3033">
        <f>INDEX(FactorTable!$B$2:$Y$301, MATCH(ROUND(MIN(300,MAX(1,D3033)),0), FactorTable!$A$2:$A$301,0), Skills!L22+1)</f>
        <v/>
      </c>
      <c r="F3033">
        <f>IF(Skills!M22=TRUE,(Skills!K22/10)*(E3033/1000),Skills!K22/10)+Skills!N22</f>
        <v/>
      </c>
      <c r="G3033">
        <f>Calc!G22</f>
        <v/>
      </c>
      <c r="H3033">
        <f>Calc!H22</f>
        <v/>
      </c>
      <c r="I3033">
        <f>IF(Skills!T22&lt;&gt;"",1+(Skills!T22/10)*($Z$3/1000)/100,1)</f>
        <v/>
      </c>
      <c r="J3033" t="inlineStr"/>
      <c r="K3033" t="inlineStr"/>
      <c r="L3033" t="inlineStr"/>
      <c r="M3033" t="inlineStr"/>
      <c r="N3033" t="inlineStr"/>
      <c r="O3033">
        <f>(1-Summary!$B$11)*S3033+Summary!$B$11*U3033</f>
        <v/>
      </c>
      <c r="P3033">
        <f>IF(B3054=0,0,O3033/B3054)</f>
        <v/>
      </c>
      <c r="Q3033">
        <f>IFERROR(1/(IF(Inputs!$B$39="pvp",15,MAX(0.1,Skills!D22-IF(Skills!E22=TRUE,1.5,0)))*(1-IF(AND(ArtifactsInput!$M$27,Inputs!$B$4="Chapter Hunt"),CHOOSE(ArtifactsInput!$N$27+1,20,24,28,32,36,40),0)/100)),0)</f>
        <v/>
      </c>
      <c r="R3033" t="n">
        <v>0</v>
      </c>
      <c r="S3033" t="n">
        <v>0</v>
      </c>
      <c r="U3033" t="n">
        <v>0</v>
      </c>
    </row>
    <row r="3034">
      <c r="A3034">
        <f>Skills!A23</f>
        <v/>
      </c>
      <c r="B3034">
        <f>Skills!B23</f>
        <v/>
      </c>
      <c r="C3034">
        <f>Inputs!$B$3&gt;=50</f>
        <v/>
      </c>
      <c r="D3034">
        <f>IF(Skills!C23=1,60+Inputs!$B$26+Inputs!$B$30,IF(Skills!C23=2,90+Inputs!$B$27+Inputs!$B$30,IF(Skills!C23=3,120+Inputs!$B$28+Inputs!$B$30,MAX(0,(Inputs!$B$3-100)*3)+Inputs!$B$29+Inputs!$B$30)))</f>
        <v/>
      </c>
      <c r="E3034">
        <f>INDEX(FactorTable!$B$2:$Y$301, MATCH(ROUND(MIN(300,MAX(1,D3034)),0), FactorTable!$A$2:$A$301,0), Skills!L23+1)</f>
        <v/>
      </c>
      <c r="F3034">
        <f>IF(Skills!M23=TRUE,(Skills!K23/10)*(E3034/1000),Skills!K23/10)+Skills!N23</f>
        <v/>
      </c>
      <c r="G3034">
        <f>Calc!G23</f>
        <v/>
      </c>
      <c r="H3034">
        <f>Calc!H23</f>
        <v/>
      </c>
      <c r="I3034">
        <f>IF(Skills!T23&lt;&gt;"",1+(Skills!T23/10)*($Z$3/1000)/100,1)</f>
        <v/>
      </c>
      <c r="J3034" t="inlineStr"/>
      <c r="K3034" t="inlineStr"/>
      <c r="L3034" t="inlineStr"/>
      <c r="M3034" t="inlineStr"/>
      <c r="N3034" t="inlineStr"/>
      <c r="O3034">
        <f>(1-Summary!$B$11)*S3034+Summary!$B$11*U3034</f>
        <v/>
      </c>
      <c r="P3034">
        <f>IF(B3054=0,0,O3034/B3054)</f>
        <v/>
      </c>
      <c r="Q3034">
        <f>IFERROR(1/(IF(Inputs!$B$39="pvp",15,MAX(0.1,Skills!D23-IF(Skills!E23=TRUE,1.5,0)))*(1-IF(AND(ArtifactsInput!$M$27,Inputs!$B$4="Chapter Hunt"),CHOOSE(ArtifactsInput!$N$27+1,20,24,28,32,36,40),0)/100)),0)</f>
        <v/>
      </c>
      <c r="R3034" t="n">
        <v>0</v>
      </c>
      <c r="S3034" t="n">
        <v>0</v>
      </c>
      <c r="U3034" t="n">
        <v>0</v>
      </c>
    </row>
    <row r="3035">
      <c r="A3035">
        <f>Skills!A24</f>
        <v/>
      </c>
      <c r="B3035">
        <f>Skills!B24</f>
        <v/>
      </c>
      <c r="C3035">
        <f>Inputs!$B$3&gt;=74</f>
        <v/>
      </c>
      <c r="D3035">
        <f>IF(Skills!C24=1,60+Inputs!$B$26+Inputs!$B$30,IF(Skills!C24=2,90+Inputs!$B$27+Inputs!$B$30,IF(Skills!C24=3,120+Inputs!$B$28+Inputs!$B$30,MAX(0,(Inputs!$B$3-100)*3)+Inputs!$B$29+Inputs!$B$30)))</f>
        <v/>
      </c>
      <c r="E3035">
        <f>INDEX(FactorTable!$B$2:$Y$301, MATCH(ROUND(MIN(300,MAX(1,D3035)),0), FactorTable!$A$2:$A$301,0), Skills!L24+1)</f>
        <v/>
      </c>
      <c r="F3035">
        <f>IF(Skills!M24=TRUE,(Skills!K24/10)*(E3035/1000),Skills!K24/10)+Skills!N24</f>
        <v/>
      </c>
      <c r="G3035">
        <f>Calc!G24</f>
        <v/>
      </c>
      <c r="H3035">
        <f>Calc!H24</f>
        <v/>
      </c>
      <c r="I3035">
        <f>IF(Skills!T24&lt;&gt;"",1+(Skills!T24/10)*($Z$3/1000)/100,1)</f>
        <v/>
      </c>
      <c r="J3035" t="inlineStr"/>
      <c r="K3035" t="inlineStr"/>
      <c r="L3035" t="inlineStr"/>
      <c r="M3035" t="inlineStr"/>
      <c r="N3035" t="inlineStr"/>
      <c r="O3035">
        <f>(1-Summary!$B$11)*S3035+Summary!$B$11*U3035</f>
        <v/>
      </c>
      <c r="P3035">
        <f>IF(B3054=0,0,O3035/B3054)</f>
        <v/>
      </c>
      <c r="Q3035">
        <f>IFERROR(1/(IF(Inputs!$B$39="pvp",15,MAX(0.1,Skills!D24-IF(Skills!E24=TRUE,1.5,0)))*(1-IF(AND(ArtifactsInput!$M$27,Inputs!$B$4="Chapter Hunt"),CHOOSE(ArtifactsInput!$N$27+1,20,24,28,32,36,40),0)/100)),0)</f>
        <v/>
      </c>
      <c r="R3035" t="n">
        <v>0</v>
      </c>
      <c r="S3035" t="n">
        <v>0</v>
      </c>
      <c r="U3035" t="n">
        <v>0</v>
      </c>
    </row>
    <row r="3036">
      <c r="A3036">
        <f>Skills!A25</f>
        <v/>
      </c>
      <c r="B3036">
        <f>Skills!B25</f>
        <v/>
      </c>
      <c r="C3036">
        <f>Inputs!$B$3&gt;=74</f>
        <v/>
      </c>
      <c r="D3036">
        <f>IF(Skills!C25=1,60+Inputs!$B$26+Inputs!$B$30,IF(Skills!C25=2,90+Inputs!$B$27+Inputs!$B$30,IF(Skills!C25=3,120+Inputs!$B$28+Inputs!$B$30,MAX(0,(Inputs!$B$3-100)*3)+Inputs!$B$29+Inputs!$B$30)))</f>
        <v/>
      </c>
      <c r="E3036">
        <f>INDEX(FactorTable!$B$2:$Y$301, MATCH(ROUND(MIN(300,MAX(1,D3036)),0), FactorTable!$A$2:$A$301,0), Skills!L25+1)</f>
        <v/>
      </c>
      <c r="F3036">
        <f>IF(Skills!M25=TRUE,(Skills!K25/10)*(E3036/1000),Skills!K25/10)+Skills!N25</f>
        <v/>
      </c>
      <c r="G3036">
        <f>Calc!G25</f>
        <v/>
      </c>
      <c r="H3036">
        <f>Calc!H25</f>
        <v/>
      </c>
      <c r="I3036">
        <f>IF(Skills!T25&lt;&gt;"",1+(Skills!T25/10)*($Z$3/1000)/100,1)</f>
        <v/>
      </c>
      <c r="J3036" t="inlineStr"/>
      <c r="K3036" t="inlineStr"/>
      <c r="L3036" t="inlineStr"/>
      <c r="M3036" t="inlineStr"/>
      <c r="N3036" t="inlineStr"/>
      <c r="O3036">
        <f>(1-Summary!$B$11)*S3036+Summary!$B$11*U3036</f>
        <v/>
      </c>
      <c r="P3036">
        <f>IF(B3054=0,0,O3036/B3054)</f>
        <v/>
      </c>
      <c r="Q3036">
        <f>IFERROR(1/(IF(Inputs!$B$39="pvp",15,MAX(0.1,Skills!D25-IF(Skills!E25=TRUE,1.5,0)))*(1-IF(AND(ArtifactsInput!$M$27,Inputs!$B$4="Chapter Hunt"),CHOOSE(ArtifactsInput!$N$27+1,20,24,28,32,36,40),0)/100)),0)</f>
        <v/>
      </c>
      <c r="R3036" t="n">
        <v>0</v>
      </c>
      <c r="S3036" t="n">
        <v>0</v>
      </c>
      <c r="U3036" t="n">
        <v>0</v>
      </c>
    </row>
    <row r="3037">
      <c r="A3037">
        <f>Skills!A26</f>
        <v/>
      </c>
      <c r="B3037">
        <f>Skills!B26</f>
        <v/>
      </c>
      <c r="C3037">
        <f>Inputs!$B$3&gt;=117</f>
        <v/>
      </c>
      <c r="D3037">
        <f>IF(Skills!C26=1,60+Inputs!$B$26+Inputs!$B$30,IF(Skills!C26=2,90+Inputs!$B$27+Inputs!$B$30,IF(Skills!C26=3,120+Inputs!$B$28+Inputs!$B$30,MAX(0,(Inputs!$B$3-100)*3)+Inputs!$B$29+Inputs!$B$30)))</f>
        <v/>
      </c>
      <c r="E3037">
        <f>INDEX(FactorTable!$B$2:$Y$301, MATCH(ROUND(MIN(300,MAX(1,D3037)),0), FactorTable!$A$2:$A$301,0), Skills!L26+1)</f>
        <v/>
      </c>
      <c r="F3037">
        <f>IF(Skills!M26=TRUE,(Skills!K26/10)*(E3037/1000),Skills!K26/10)+Skills!N26</f>
        <v/>
      </c>
      <c r="G3037">
        <f>Calc!G26</f>
        <v/>
      </c>
      <c r="H3037">
        <f>Calc!H26</f>
        <v/>
      </c>
      <c r="I3037">
        <f>IF(Skills!T26&lt;&gt;"",1+(Skills!T26/10)*($Z$3/1000)/100,1)</f>
        <v/>
      </c>
      <c r="J3037" t="inlineStr"/>
      <c r="K3037" t="inlineStr"/>
      <c r="L3037" t="inlineStr"/>
      <c r="M3037" t="inlineStr"/>
      <c r="N3037" t="inlineStr"/>
      <c r="O3037">
        <f>(1-Summary!$B$11)*S3037+Summary!$B$11*U3037</f>
        <v/>
      </c>
      <c r="P3037">
        <f>IF(B3054=0,0,O3037/B3054)</f>
        <v/>
      </c>
      <c r="Q3037">
        <f>IFERROR(1/(IF(Inputs!$B$39="pvp",15,MAX(0.1,Skills!D26-IF(Skills!E26=TRUE,1.5,0)))*(1-IF(AND(ArtifactsInput!$M$27,Inputs!$B$4="Chapter Hunt"),CHOOSE(ArtifactsInput!$N$27+1,20,24,28,32,36,40),0)/100)),0)</f>
        <v/>
      </c>
      <c r="R3037" t="n">
        <v>0</v>
      </c>
      <c r="S3037" t="n">
        <v>0</v>
      </c>
      <c r="U3037" t="n">
        <v>0</v>
      </c>
    </row>
    <row r="3038">
      <c r="A3038">
        <f>Skills!A27</f>
        <v/>
      </c>
      <c r="B3038">
        <f>Skills!B27</f>
        <v/>
      </c>
      <c r="C3038">
        <f>Inputs!$B$3&gt;=120</f>
        <v/>
      </c>
      <c r="D3038">
        <f>IF(Skills!C27=1,60+Inputs!$B$26+Inputs!$B$30,IF(Skills!C27=2,90+Inputs!$B$27+Inputs!$B$30,IF(Skills!C27=3,120+Inputs!$B$28+Inputs!$B$30,MAX(0,(Inputs!$B$3-100)*3)+Inputs!$B$29+Inputs!$B$30)))</f>
        <v/>
      </c>
      <c r="E3038">
        <f>INDEX(FactorTable!$B$2:$Y$301, MATCH(ROUND(MIN(300,MAX(1,D3038)),0), FactorTable!$A$2:$A$301,0), Skills!L27+1)</f>
        <v/>
      </c>
      <c r="F3038">
        <f>IF(Skills!M27=TRUE,(Skills!K27/10)*(E3038/1000),Skills!K27/10)+Skills!N27</f>
        <v/>
      </c>
      <c r="G3038">
        <f>Calc!G27</f>
        <v/>
      </c>
      <c r="H3038">
        <f>Calc!H27</f>
        <v/>
      </c>
      <c r="I3038">
        <f>IF(Skills!T27&lt;&gt;"",1+(Skills!T27/10)*($Z$3/1000)/100,1)</f>
        <v/>
      </c>
      <c r="J3038" t="inlineStr"/>
      <c r="K3038" t="inlineStr"/>
      <c r="L3038" t="inlineStr"/>
      <c r="M3038" t="inlineStr"/>
      <c r="N3038" t="inlineStr"/>
      <c r="O3038">
        <f>(1-Summary!$B$11)*S3038+Summary!$B$11*U3038</f>
        <v/>
      </c>
      <c r="P3038">
        <f>IF(B3054=0,0,O3038/B3054)</f>
        <v/>
      </c>
      <c r="Q3038">
        <f>IFERROR(1/(IF(Inputs!$B$39="pvp",15,MAX(0.1,Skills!D27-IF(Skills!E27=TRUE,1.5,0)))*(1-IF(AND(ArtifactsInput!$M$27,Inputs!$B$4="Chapter Hunt"),CHOOSE(ArtifactsInput!$N$27+1,20,24,28,32,36,40),0)/100)),0)</f>
        <v/>
      </c>
      <c r="R3038" t="n">
        <v>0</v>
      </c>
      <c r="S3038" t="n">
        <v>0</v>
      </c>
      <c r="U3038" t="n">
        <v>0</v>
      </c>
    </row>
    <row r="3039">
      <c r="A3039">
        <f>Skills!A28</f>
        <v/>
      </c>
      <c r="B3039">
        <f>Skills!B28</f>
        <v/>
      </c>
      <c r="C3039">
        <f>TRUE</f>
        <v/>
      </c>
      <c r="D3039">
        <f>IF(Skills!C28=1,60+Inputs!$B$26+Inputs!$B$30,IF(Skills!C28=2,90+Inputs!$B$27+Inputs!$B$30,IF(Skills!C28=3,120+Inputs!$B$28+Inputs!$B$30,MAX(0,(Inputs!$B$3-100)*3)+Inputs!$B$29+Inputs!$B$30)))</f>
        <v/>
      </c>
      <c r="E3039">
        <f>INDEX(FactorTable!$B$2:$Y$301, MATCH(ROUND(MIN(300,MAX(1,D3039)),0), FactorTable!$A$2:$A$301,0), Skills!L28+1)</f>
        <v/>
      </c>
      <c r="F3039">
        <f>IF(Skills!M28=TRUE,(Skills!K28/10)*(E3039/1000),Skills!K28/10)+Skills!N28</f>
        <v/>
      </c>
      <c r="G3039">
        <f>Calc!G28</f>
        <v/>
      </c>
      <c r="H3039">
        <f>Calc!H28</f>
        <v/>
      </c>
      <c r="I3039">
        <f>IF(Skills!T28&lt;&gt;"",1+(Skills!T28/10)*($Z$3/1000)/100,1)</f>
        <v/>
      </c>
      <c r="J3039" t="inlineStr"/>
      <c r="K3039" t="inlineStr"/>
      <c r="L3039" t="inlineStr"/>
      <c r="M3039" t="inlineStr"/>
      <c r="N3039" t="inlineStr"/>
      <c r="O3039">
        <f>(1-Summary!$B$11)*S3039+Summary!$B$11*U3039</f>
        <v/>
      </c>
      <c r="P3039">
        <f>IF(B3054=0,0,O3039/B3054)</f>
        <v/>
      </c>
      <c r="Q3039">
        <f>IFERROR(1/(IF(Inputs!$B$39="pvp",15,MAX(0.1,Skills!D28-IF(Skills!E28=TRUE,1.5,0)))*(1-IF(AND(ArtifactsInput!$M$27,Inputs!$B$4="Chapter Hunt"),CHOOSE(ArtifactsInput!$N$27+1,20,24,28,32,36,40),0)/100)),0)</f>
        <v/>
      </c>
      <c r="R3039">
        <f>IF(AND(Inputs!$B$39&lt;&gt;"pvp",Inputs!$B$44&gt;0),IF(Inputs!$B$44&lt;=0,0,(INT(Inputs!$B$44/(IF(Inputs!$B$39="pvp",15,MAX(0.1,Skills!D28-IF(Skills!E28=TRUE,1.5,0)))*(1-IF(AND(ArtifactsInput!$M$27,Inputs!$B$4="Chapter Hunt"),CHOOSE(ArtifactsInput!$N$27+1,20,24,28,32,36,40),0)/100)))+1)),0)</f>
        <v/>
      </c>
      <c r="S3039" t="n">
        <v>0</v>
      </c>
      <c r="U3039" t="n">
        <v>0</v>
      </c>
    </row>
    <row r="3041">
      <c r="A3041" t="inlineStr">
        <is>
          <t>Average Buff Multiplier</t>
        </is>
      </c>
      <c r="B3041">
        <f>(1+(IF(C3014=TRUE,F3014*IF(AND(Inputs!$B$39&lt;&gt;"pvp",Inputs!$B$44&gt;0),(((R3014-1)*(Skills!S3*(1+((Inputs!$B$35+(ArtifactsInput!$M$7-ArtifactsInput!$M$7)*CHOOSE(ArtifactsInput!$N$7+1,6,7.2,8.4,9.6,10.8,12))+IF(Inputs!$B$3&gt;=117,F3037,0))/100))+MIN((Skills!S3*(1+((Inputs!$B$35+(ArtifactsInput!$M$7-ArtifactsInput!$M$7)*CHOOSE(ArtifactsInput!$N$7+1,6,7.2,8.4,9.6,10.8,12))+IF(Inputs!$B$3&gt;=117,F3037,0))/100)),MAX(0,Inputs!$B$44-((R3014-1)*Skills!D3))))/Inputs!$B$44),IF(Inputs!$B$39="pvp",MIN((Skills!S3*(1+((Inputs!$B$35+(ArtifactsInput!$M$7-ArtifactsInput!$M$7)*CHOOSE(ArtifactsInput!$N$7+1,6,7.2,8.4,9.6,10.8,12))+IF(Inputs!$B$3&gt;=117,F3037,0))/100)),15)/15,(Skills!S3*(1+((Inputs!$B$35+(ArtifactsInput!$M$7-ArtifactsInput!$M$7)*CHOOSE(ArtifactsInput!$N$7+1,6,7.2,8.4,9.6,10.8,12))+IF(Inputs!$B$3&gt;=117,F3037,0))/100))/Skills!D3)),0)+IF(C3015=TRUE,F3015*IF(AND(Inputs!$B$39&lt;&gt;"pvp",Inputs!$B$44&gt;0),(((R3015-1)*(Skills!S4*(1+((Inputs!$B$35+(ArtifactsInput!$M$7-ArtifactsInput!$M$7)*CHOOSE(ArtifactsInput!$N$7+1,6,7.2,8.4,9.6,10.8,12))+IF(Inputs!$B$3&gt;=117,F3037,0))/100))+MIN((Skills!S4*(1+((Inputs!$B$35+(ArtifactsInput!$M$7-ArtifactsInput!$M$7)*CHOOSE(ArtifactsInput!$N$7+1,6,7.2,8.4,9.6,10.8,12))+IF(Inputs!$B$3&gt;=117,F3037,0))/100)),MAX(0,Inputs!$B$44-((R3015-1)*Skills!D4))))/Inputs!$B$44),IF(Inputs!$B$39="pvp",MIN((Skills!S4*(1+((Inputs!$B$35+(ArtifactsInput!$M$7-ArtifactsInput!$M$7)*CHOOSE(ArtifactsInput!$N$7+1,6,7.2,8.4,9.6,10.8,12))+IF(Inputs!$B$3&gt;=117,F3037,0))/100)),15)/15,(Skills!S4*(1+((Inputs!$B$35+(ArtifactsInput!$M$7-ArtifactsInput!$M$7)*CHOOSE(ArtifactsInput!$N$7+1,6,7.2,8.4,9.6,10.8,12))+IF(Inputs!$B$3&gt;=117,F3037,0))/100))/Skills!D4)),0)+IF(C3016=TRUE,F3016*IF(AND(Inputs!$B$39&lt;&gt;"pvp",Inputs!$B$44&gt;0),(((R3016-1)*(Skills!S5*(1+((Inputs!$B$35+(ArtifactsInput!$M$7-ArtifactsInput!$M$7)*CHOOSE(ArtifactsInput!$N$7+1,6,7.2,8.4,9.6,10.8,12))+IF(Inputs!$B$3&gt;=117,F3037,0))/100))+MIN((Skills!S5*(1+((Inputs!$B$35+(ArtifactsInput!$M$7-ArtifactsInput!$M$7)*CHOOSE(ArtifactsInput!$N$7+1,6,7.2,8.4,9.6,10.8,12))+IF(Inputs!$B$3&gt;=117,F3037,0))/100)),MAX(0,Inputs!$B$44-((R3016-1)*Skills!D5))))/Inputs!$B$44),IF(Inputs!$B$39="pvp",MIN((Skills!S5*(1+((Inputs!$B$35+(ArtifactsInput!$M$7-ArtifactsInput!$M$7)*CHOOSE(ArtifactsInput!$N$7+1,6,7.2,8.4,9.6,10.8,12))+IF(Inputs!$B$3&gt;=117,F3037,0))/100)),15)/15,(Skills!S5*(1+((Inputs!$B$35+(ArtifactsInput!$M$7-ArtifactsInput!$M$7)*CHOOSE(ArtifactsInput!$N$7+1,6,7.2,8.4,9.6,10.8,12))+IF(Inputs!$B$3&gt;=117,F3037,0))/100))/Skills!D5)),0)+IF(C3022=TRUE,F3022*IF(AND(Inputs!$B$39&lt;&gt;"pvp",Inputs!$B$44&gt;0),(((R3022-1)*(Skills!S11*(1+((Inputs!$B$35+(ArtifactsInput!$M$7-ArtifactsInput!$M$7)*CHOOSE(ArtifactsInput!$N$7+1,6,7.2,8.4,9.6,10.8,12))+IF(Inputs!$B$3&gt;=117,F3037,0))/100))+MIN((Skills!S11*(1+((Inputs!$B$35+(ArtifactsInput!$M$7-ArtifactsInput!$M$7)*CHOOSE(ArtifactsInput!$N$7+1,6,7.2,8.4,9.6,10.8,12))+IF(Inputs!$B$3&gt;=117,F3037,0))/100)),MAX(0,Inputs!$B$44-((R3022-1)*Skills!D11))))/Inputs!$B$44),IF(Inputs!$B$39="pvp",MIN((Skills!S11*(1+((Inputs!$B$35+(ArtifactsInput!$M$7-ArtifactsInput!$M$7)*CHOOSE(ArtifactsInput!$N$7+1,6,7.2,8.4,9.6,10.8,12))+IF(Inputs!$B$3&gt;=117,F3037,0))/100)),15)/15,(Skills!S11*(1+((Inputs!$B$35+(ArtifactsInput!$M$7-ArtifactsInput!$M$7)*CHOOSE(ArtifactsInput!$N$7+1,6,7.2,8.4,9.6,10.8,12))+IF(Inputs!$B$3&gt;=117,F3037,0)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3025=TRUE,(1+F3025*IF(AND(Inputs!$B$39&lt;&gt;"pvp",Inputs!$B$44&gt;0),(((R3025-1)*(Skills!S14*(1+((Inputs!$B$35+(ArtifactsInput!$M$7-ArtifactsInput!$M$7)*CHOOSE(ArtifactsInput!$N$7+1,6,7.2,8.4,9.6,10.8,12))+IF(Inputs!$B$3&gt;=117,F3037,0))/100))+MIN((Skills!S14*(1+((Inputs!$B$35+(ArtifactsInput!$M$7-ArtifactsInput!$M$7)*CHOOSE(ArtifactsInput!$N$7+1,6,7.2,8.4,9.6,10.8,12))+IF(Inputs!$B$3&gt;=117,F3037,0))/100)),MAX(0,Inputs!$B$44-((R3025-1)*Skills!D14))))/Inputs!$B$44),IF(Inputs!$B$39="pvp",MIN((Skills!S14*(1+((Inputs!$B$35+(ArtifactsInput!$M$7-ArtifactsInput!$M$7)*CHOOSE(ArtifactsInput!$N$7+1,6,7.2,8.4,9.6,10.8,12))+IF(Inputs!$B$3&gt;=117,F3037,0))/100)),15)/15,(Skills!S14*(1+((Inputs!$B$35+(ArtifactsInput!$M$7-ArtifactsInput!$M$7)*CHOOSE(ArtifactsInput!$N$7+1,6,7.2,8.4,9.6,10.8,12))+IF(Inputs!$B$3&gt;=117,F3037,0))/100))/Skills!D14))/100),1)*IF(C3030=TRUE,(1+F3030*IF(AND(Inputs!$B$39&lt;&gt;"pvp",Inputs!$B$44&gt;0),(((R3030-1)*(Skills!S19*(1+((Inputs!$B$35+(ArtifactsInput!$M$7-ArtifactsInput!$M$7)*CHOOSE(ArtifactsInput!$N$7+1,6,7.2,8.4,9.6,10.8,12))+IF(Inputs!$B$3&gt;=117,F3037,0))/100))+MIN((Skills!S19*(1+((Inputs!$B$35+(ArtifactsInput!$M$7-ArtifactsInput!$M$7)*CHOOSE(ArtifactsInput!$N$7+1,6,7.2,8.4,9.6,10.8,12))+IF(Inputs!$B$3&gt;=117,F3037,0))/100)),MAX(0,Inputs!$B$44-((R3030-1)*Skills!D19))))/Inputs!$B$44),IF(Inputs!$B$39="pvp",MIN((Skills!S19*(1+((Inputs!$B$35+(ArtifactsInput!$M$7-ArtifactsInput!$M$7)*CHOOSE(ArtifactsInput!$N$7+1,6,7.2,8.4,9.6,10.8,12))+IF(Inputs!$B$3&gt;=117,F3037,0))/100)),15)/15,(Skills!S19*(1+((Inputs!$B$35+(ArtifactsInput!$M$7-ArtifactsInput!$M$7)*CHOOSE(ArtifactsInput!$N$7+1,6,7.2,8.4,9.6,10.8,12))+IF(Inputs!$B$3&gt;=117,F3037,0))/100))/Skills!D19))/100),1)</f>
        <v/>
      </c>
    </row>
    <row r="3042">
      <c r="A3042" t="inlineStr">
        <is>
          <t>Monster Damage Taken Bonus % (Holy Fountain)</t>
        </is>
      </c>
      <c r="B3042">
        <f>IF(Inputs!$B$3&gt;=68,20*IF(Inputs!$B$39="pvp",MIN((15*(1+((Inputs!$B$35+(ArtifactsInput!$M$7-ArtifactsInput!$M$7)*CHOOSE(ArtifactsInput!$N$7+1,6,7.2,8.4,9.6,10.8,12))+IF(Inputs!$B$3&gt;=117,F3037,0))/100)),15)/15,(15*(1+((Inputs!$B$35+(ArtifactsInput!$M$7-ArtifactsInput!$M$7)*CHOOSE(ArtifactsInput!$N$7+1,6,7.2,8.4,9.6,10.8,12))+IF(Inputs!$B$3&gt;=117,F3037,0))/100))/Skills!D10),0)</f>
        <v/>
      </c>
    </row>
    <row r="3043">
      <c r="A3043" t="inlineStr">
        <is>
          <t>Normal Monster Damage Bonus % (Holy Symbol)</t>
        </is>
      </c>
      <c r="B3043">
        <f>IF(C3023=TRUE,F3023*IF(AND(Inputs!$B$39&lt;&gt;"pvp",Inputs!$B$44&gt;0),(((R3023-1)*(Skills!S12*(1+((Inputs!$B$35+(ArtifactsInput!$M$7-ArtifactsInput!$M$7)*CHOOSE(ArtifactsInput!$N$7+1,6,7.2,8.4,9.6,10.8,12))+IF(Inputs!$B$3&gt;=117,F3037,0))/100))+MIN((Skills!S12*(1+((Inputs!$B$35+(ArtifactsInput!$M$7-ArtifactsInput!$M$7)*CHOOSE(ArtifactsInput!$N$7+1,6,7.2,8.4,9.6,10.8,12))+IF(Inputs!$B$3&gt;=117,F3037,0))/100)),MAX(0,Inputs!$B$44-((R3023-1)*Skills!D12))))/Inputs!$B$44),IF(Inputs!$B$39="pvp",MIN((Skills!S12*(1+((Inputs!$B$35+(ArtifactsInput!$M$7-ArtifactsInput!$M$7)*CHOOSE(ArtifactsInput!$N$7+1,6,7.2,8.4,9.6,10.8,12))+IF(Inputs!$B$3&gt;=117,F3037,0))/100)),15)/15,(Skills!S12*(1+((Inputs!$B$35+(ArtifactsInput!$M$7-ArtifactsInput!$M$7)*CHOOSE(ArtifactsInput!$N$7+1,6,7.2,8.4,9.6,10.8,12))+IF(Inputs!$B$3&gt;=117,F3037,0))/100))/Skills!D12)),0)</f>
        <v/>
      </c>
    </row>
    <row r="3044">
      <c r="A3044" t="inlineStr">
        <is>
          <t>Damage % Bonus (Holy Symbol - Damage Boost)</t>
        </is>
      </c>
      <c r="B3044">
        <f>Skills!O12</f>
        <v/>
      </c>
    </row>
    <row r="3045">
      <c r="A3045" t="inlineStr">
        <is>
          <t>Crit Damage % Bonus (Blood of the Divine)</t>
        </is>
      </c>
      <c r="B3045">
        <f>4*IF(C3031=TRUE,F3031,0)</f>
        <v/>
      </c>
    </row>
    <row r="3046">
      <c r="A3046" t="inlineStr">
        <is>
          <t>Attack Speed Bonus %</t>
        </is>
      </c>
      <c r="B3046">
        <f>IF(C3028=TRUE,F3028+(F3032-Calc!F21),0)+IF(Inputs!$B$3&gt;=134,15,0)+((C3039=TRUE)*F3039*IF(AND(Inputs!$B$39&lt;&gt;"pvp",Inputs!$B$44&gt;0),(((R3039-1)*(Skills!S28*(1+((Inputs!$B$35+(ArtifactsInput!$M$7-ArtifactsInput!$M$7)*CHOOSE(ArtifactsInput!$N$7+1,6,7.2,8.4,9.6,10.8,12))+IF(Inputs!$B$3&gt;=117,F3037,0))/100))+MIN((Skills!S28*(1+((Inputs!$B$35+(ArtifactsInput!$M$7-ArtifactsInput!$M$7)*CHOOSE(ArtifactsInput!$N$7+1,6,7.2,8.4,9.6,10.8,12))+IF(Inputs!$B$3&gt;=117,F3037,0))/100)),MAX(0,Inputs!$B$44-((R3039-1)*Skills!D28))))/Inputs!$B$44),IF(Inputs!$B$39="pvp",MIN((Skills!S28*(1+((Inputs!$B$35+(ArtifactsInput!$M$7-ArtifactsInput!$M$7)*CHOOSE(ArtifactsInput!$N$7+1,6,7.2,8.4,9.6,10.8,12))+IF(Inputs!$B$3&gt;=117,F3037,0))/100)),15)/15,(Skills!S28*(1+((Inputs!$B$35+(ArtifactsInput!$M$7-ArtifactsInput!$M$7)*CHOOSE(ArtifactsInput!$N$7+1,6,7.2,8.4,9.6,10.8,12))+IF(Inputs!$B$3&gt;=117,F3037,0))/100))/Skills!D28)))</f>
        <v/>
      </c>
    </row>
    <row r="3047">
      <c r="A3047" t="inlineStr">
        <is>
          <t>Actions Per Second</t>
        </is>
      </c>
      <c r="B3047">
        <f>1+MIN(150,150*(1-(1-Inputs!$B$12/150)*(1-B3046/150)))/100</f>
        <v/>
      </c>
    </row>
    <row r="3048">
      <c r="A3048" t="inlineStr">
        <is>
          <t>Skill + Buff Cast Rate</t>
        </is>
      </c>
      <c r="B3048">
        <f>IF(AND(Inputs!$B$39&lt;&gt;"pvp",Inputs!$B$44&gt;0),SUMPRODUCT((Skills!E2:E28=TRUE)*(C3013:C3039=TRUE)*R3013:R3039)/Inputs!$B$44,SUMPRODUCT((Skills!E2:E28=TRUE)*(C3013:C3039=TRUE)*Q3013:Q3039))</f>
        <v/>
      </c>
    </row>
    <row r="3049">
      <c r="A3049" t="inlineStr">
        <is>
          <t>Big Bang Casts Per Second</t>
        </is>
      </c>
      <c r="B3049">
        <f>MAX(0,B3047-B3048)</f>
        <v/>
      </c>
    </row>
    <row r="3050">
      <c r="A3050" t="inlineStr">
        <is>
          <t>Defense % Bonus (Divine Protection)</t>
        </is>
      </c>
      <c r="B3050">
        <f>IF(C3024=TRUE,F3024*IF(AND(Inputs!$B$39&lt;&gt;"pvp",Inputs!$B$44&gt;0),(((R3024-1)*(Skills!S13*(1+((Inputs!$B$35+(ArtifactsInput!$M$7-ArtifactsInput!$M$7)*CHOOSE(ArtifactsInput!$N$7+1,6,7.2,8.4,9.6,10.8,12))+IF(Inputs!$B$3&gt;=117,F3037,0))/100))+MIN((Skills!S13*(1+((Inputs!$B$35+(ArtifactsInput!$M$7-ArtifactsInput!$M$7)*CHOOSE(ArtifactsInput!$N$7+1,6,7.2,8.4,9.6,10.8,12))+IF(Inputs!$B$3&gt;=117,F3037,0))/100)),MAX(0,Inputs!$B$44-((R3024-1)*Skills!D13))))/Inputs!$B$44),IF(Inputs!$B$39="pvp",MIN((Skills!S13*(1+((Inputs!$B$35+(ArtifactsInput!$M$7-ArtifactsInput!$M$7)*CHOOSE(ArtifactsInput!$N$7+1,6,7.2,8.4,9.6,10.8,12))+IF(Inputs!$B$3&gt;=117,F3037,0))/100)),15)/15,(Skills!S13*(1+((Inputs!$B$35+(ArtifactsInput!$M$7-ArtifactsInput!$M$7)*CHOOSE(ArtifactsInput!$N$7+1,6,7.2,8.4,9.6,10.8,12))+IF(Inputs!$B$3&gt;=117,F3037,0))/100))/Skills!D13)),0)</f>
        <v/>
      </c>
    </row>
    <row r="3051">
      <c r="A3051" t="inlineStr">
        <is>
          <t>Buff-Casting Startup Delay (s, fixed-duration only)</t>
        </is>
      </c>
      <c r="B3051">
        <f>IF(AND(Inputs!$B$39&lt;&gt;"pvp",Inputs!$B$44&gt;0),SUMPRODUCT((Skills!S2:S28&gt;0)*(Skills!E2:E28=TRUE)*(C3013:C3039=TRUE))/B3047,0)</f>
        <v/>
      </c>
    </row>
    <row r="3052">
      <c r="A3052" t="inlineStr">
        <is>
          <t>Boss-Only Total DPS (this block's swept value)</t>
        </is>
      </c>
      <c r="B3052">
        <f>SUM(S3013:S3039)</f>
        <v/>
      </c>
    </row>
    <row r="3053">
      <c r="A3053" t="inlineStr">
        <is>
          <t>Normal-Only Total DPS (this block's swept value)</t>
        </is>
      </c>
      <c r="B3053">
        <f>SUM(U3013:U3039)</f>
        <v/>
      </c>
    </row>
    <row r="3054">
      <c r="A3054" s="6" t="inlineStr">
        <is>
          <t>TOTAL DPS</t>
        </is>
      </c>
      <c r="B3054" s="6">
        <f>SUM(O3013:O3039)</f>
        <v/>
      </c>
    </row>
    <row r="3056">
      <c r="A3056" s="6" t="inlineStr">
        <is>
          <t>Stat: CDR = 2.0s</t>
        </is>
      </c>
    </row>
    <row r="3057">
      <c r="A3057" s="5" t="inlineStr">
        <is>
          <t>Key</t>
        </is>
      </c>
      <c r="B3057" s="5" t="inlineStr">
        <is>
          <t>Name</t>
        </is>
      </c>
      <c r="C3057" s="5" t="inlineStr">
        <is>
          <t>Unlocked</t>
        </is>
      </c>
      <c r="D3057" s="5" t="inlineStr">
        <is>
          <t>InputLevel</t>
        </is>
      </c>
      <c r="E3057" s="5" t="inlineStr">
        <is>
          <t>Factor</t>
        </is>
      </c>
      <c r="F3057" s="5" t="inlineStr">
        <is>
          <t>CoefficientPercent</t>
        </is>
      </c>
      <c r="G3057" s="5" t="inlineStr">
        <is>
          <t>EffectiveHits</t>
        </is>
      </c>
      <c r="H3057" s="5" t="inlineStr">
        <is>
          <t>ProcProbability</t>
        </is>
      </c>
      <c r="I3057" s="5" t="inlineStr">
        <is>
          <t>MapleHeroMultiplier</t>
        </is>
      </c>
      <c r="J3057" s="5" t="inlineStr">
        <is>
          <t>BaseDamage</t>
        </is>
      </c>
      <c r="K3057" s="5" t="inlineStr">
        <is>
          <t>BaseHitDamage</t>
        </is>
      </c>
      <c r="L3057" s="5" t="inlineStr">
        <is>
          <t>NonCritAvg</t>
        </is>
      </c>
      <c r="M3057" s="5" t="inlineStr">
        <is>
          <t>CritAvg</t>
        </is>
      </c>
      <c r="N3057" s="5" t="inlineStr">
        <is>
          <t>ExpectedDamage(perHit)</t>
        </is>
      </c>
      <c r="O3057" s="5" t="inlineStr">
        <is>
          <t>DPS</t>
        </is>
      </c>
      <c r="P3057" s="5" t="inlineStr">
        <is>
          <t>% of Total</t>
        </is>
      </c>
      <c r="R3057" t="inlineStr">
        <is>
          <t>helpers</t>
        </is>
      </c>
    </row>
    <row r="3058">
      <c r="A3058">
        <f>Skills!A2</f>
        <v/>
      </c>
      <c r="B3058">
        <f>Skills!B2</f>
        <v/>
      </c>
      <c r="C3058">
        <f>Inputs!$B$3&gt;=100</f>
        <v/>
      </c>
      <c r="D3058" t="inlineStr"/>
      <c r="E3058" t="inlineStr"/>
      <c r="F3058">
        <f>T3060+Skills!N2</f>
        <v/>
      </c>
      <c r="G3058">
        <f>Calc!G2</f>
        <v/>
      </c>
      <c r="H3058">
        <f>Calc!H2</f>
        <v/>
      </c>
      <c r="I3058">
        <f>IF(Skills!T2&lt;&gt;"",1+(Skills!T2/10)*($Z$3/1000)/100,1)</f>
        <v/>
      </c>
      <c r="J3058">
        <f>((Inputs!$B$6*(1+Inputs!$B$7/100))+(((Inputs!$B$13*(1+Inputs!$B$14/100))-(Inputs!$B$13*(1+Inputs!$B$14/100)))+0.25*(Inputs!$B$15-Inputs!$B$15))*(1+Inputs!$B$7/100))*(F3058/100)</f>
        <v/>
      </c>
      <c r="K3058">
        <f>J3058*(1+(((Inputs!$B$13+IF(Inputs!$B$3&gt;=35,(10*INDEX(FactorTable!$B$2:$Y$301,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2="TRIUMPH_FEATHER",IF(C3072=TRUE,F3072,0),0)/100)*(1+IF(C3083=TRUE,F3083,0)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3058)</f>
        <v/>
      </c>
      <c r="L3058">
        <f>K3058*(MIN(Inputs!$B$23+(F3078-Calc!F22),(Inputs!$B$24+IF(ArtifactsInput!$M$15,CHOOSE(ArtifactsInput!$N$15+1,25,30,35,40,45,50)/100*(Inputs!$B$12-Inputs!$B$12),0)))/100+(Inputs!$B$24+IF(ArtifactsInput!$M$15,CHOOSE(ArtifactsInput!$N$15+1,25,30,35,40,45,50)/100*(Inputs!$B$12-Inputs!$B$12),0))/100)/2</f>
        <v/>
      </c>
      <c r="M3058">
        <f>L3058*(1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8">
        <f>L3058*(1-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3058*(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8">
        <f>(1-Summary!$B$11)*S3058+Summary!$B$11*U3058</f>
        <v/>
      </c>
      <c r="P3058">
        <f>IF(B3099=0,0,O3058/B3099)</f>
        <v/>
      </c>
      <c r="Q3058">
        <f>IFERROR(1/(IF(Inputs!$B$39="pvp",15,MAX(0.1,Skills!D2-IF(Skills!E2=TRUE,2.0,0)))*(1-IF(AND(ArtifactsInput!$M$27,Inputs!$B$4="Chapter Hunt"),CHOOSE(ArtifactsInput!$N$27+1,20,24,28,32,36,40),0)/100)),0)</f>
        <v/>
      </c>
      <c r="R3058" t="n">
        <v>0</v>
      </c>
      <c r="S3058">
        <f>IF(C3058,(Skills!F2*N3058*B3094)*IF(Inputs!$B$39="pvp",1,1+(Inputs!$B$21+Skills!O2+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3058*(1-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3058*(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3058*(1-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3058*(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58">
        <f>MAX(0,(Inputs!$B$3-100)*3)+Inputs!$B$29+Inputs!$B$30</f>
        <v/>
      </c>
      <c r="U3058">
        <f>IF(C3058,(Skills!F2*N3058*B3094)*IF(Inputs!$B$39="pvp",1,(1+(Inputs!$B$22+Skills!P2+B3088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59">
      <c r="A3059">
        <f>Skills!A3</f>
        <v/>
      </c>
      <c r="B3059">
        <f>Skills!B3</f>
        <v/>
      </c>
      <c r="C3059">
        <f>Inputs!$B$3&gt;=15</f>
        <v/>
      </c>
      <c r="D3059">
        <f>IF(Skills!C3=1,60+Inputs!$B$26+Inputs!$B$30,IF(Skills!C3=2,90+Inputs!$B$27+Inputs!$B$30,IF(Skills!C3=3,120+Inputs!$B$28+Inputs!$B$30,MAX(0,(Inputs!$B$3-100)*3)+Inputs!$B$29+Inputs!$B$30)))</f>
        <v/>
      </c>
      <c r="E3059">
        <f>INDEX(FactorTable!$B$2:$Y$301, MATCH(ROUND(MIN(300,MAX(1,D3059)),0), FactorTable!$A$2:$A$301,0), Skills!L3+1)</f>
        <v/>
      </c>
      <c r="F3059">
        <f>IF(Skills!M3=TRUE,(Skills!K3/10)*(E3059/1000),Skills!K3/10)+Skills!N3</f>
        <v/>
      </c>
      <c r="G3059">
        <f>Calc!G3</f>
        <v/>
      </c>
      <c r="H3059">
        <f>Calc!H3</f>
        <v/>
      </c>
      <c r="I3059">
        <f>IF(Skills!T3&lt;&gt;"",1+(Skills!T3/10)*($Z$3/1000)/100,1)</f>
        <v/>
      </c>
      <c r="J3059" t="inlineStr"/>
      <c r="K3059" t="inlineStr"/>
      <c r="L3059" t="inlineStr"/>
      <c r="M3059" t="inlineStr"/>
      <c r="N3059" t="inlineStr"/>
      <c r="O3059">
        <f>(1-Summary!$B$11)*S3059+Summary!$B$11*U3059</f>
        <v/>
      </c>
      <c r="P3059">
        <f>IF(B3099=0,0,O3059/B3099)</f>
        <v/>
      </c>
      <c r="Q3059">
        <f>IFERROR(1/(IF(Inputs!$B$39="pvp",15,MAX(0.1,Skills!D3-IF(Skills!E3=TRUE,2.0,0)))*(1-IF(AND(ArtifactsInput!$M$27,Inputs!$B$4="Chapter Hunt"),CHOOSE(ArtifactsInput!$N$27+1,20,24,28,32,36,40),0)/100)),0)</f>
        <v/>
      </c>
      <c r="R3059">
        <f>IF(AND(Inputs!$B$39&lt;&gt;"pvp",Inputs!$B$44&gt;0),IF(Inputs!$B$44&lt;=0,0,(INT(Inputs!$B$44/(IF(Inputs!$B$39="pvp",15,MAX(0.1,Skills!D3-IF(Skills!E3=TRUE,2.0,0)))*(1-IF(AND(ArtifactsInput!$M$27,Inputs!$B$4="Chapter Hunt"),CHOOSE(ArtifactsInput!$N$27+1,20,24,28,32,36,40),0)/100)))+1)),0)</f>
        <v/>
      </c>
      <c r="S3059" t="n">
        <v>0</v>
      </c>
      <c r="T3059">
        <f>INDEX(FactorTable!$B$2:$Y$301, MATCH(ROUND(MIN(300,MAX(1,T3058)),0), FactorTable!$A$2:$A$301,0), 22)</f>
        <v/>
      </c>
      <c r="U3059" t="n">
        <v>0</v>
      </c>
    </row>
    <row r="3060">
      <c r="A3060">
        <f>Skills!A4</f>
        <v/>
      </c>
      <c r="B3060">
        <f>Skills!B4</f>
        <v/>
      </c>
      <c r="C3060">
        <f>Inputs!$B$3&gt;=38</f>
        <v/>
      </c>
      <c r="D3060">
        <f>IF(Skills!C4=1,60+Inputs!$B$26+Inputs!$B$30,IF(Skills!C4=2,90+Inputs!$B$27+Inputs!$B$30,IF(Skills!C4=3,120+Inputs!$B$28+Inputs!$B$30,MAX(0,(Inputs!$B$3-100)*3)+Inputs!$B$29+Inputs!$B$30)))</f>
        <v/>
      </c>
      <c r="E3060">
        <f>INDEX(FactorTable!$B$2:$Y$301, MATCH(ROUND(MIN(300,MAX(1,D3060)),0), FactorTable!$A$2:$A$301,0), Skills!L4+1)</f>
        <v/>
      </c>
      <c r="F3060">
        <f>IF(Skills!M4=TRUE,(Skills!K4/10)*(E3060/1000),Skills!K4/10)+Skills!N4</f>
        <v/>
      </c>
      <c r="G3060">
        <f>Calc!G4</f>
        <v/>
      </c>
      <c r="H3060">
        <f>Calc!H4</f>
        <v/>
      </c>
      <c r="I3060">
        <f>IF(Skills!T4&lt;&gt;"",1+(Skills!T4/10)*($Z$3/1000)/100,1)</f>
        <v/>
      </c>
      <c r="J3060" t="inlineStr"/>
      <c r="K3060" t="inlineStr"/>
      <c r="L3060" t="inlineStr"/>
      <c r="M3060" t="inlineStr"/>
      <c r="N3060" t="inlineStr"/>
      <c r="O3060">
        <f>(1-Summary!$B$11)*S3060+Summary!$B$11*U3060</f>
        <v/>
      </c>
      <c r="P3060">
        <f>IF(B3099=0,0,O3060/B3099)</f>
        <v/>
      </c>
      <c r="Q3060">
        <f>IFERROR(1/(IF(Inputs!$B$39="pvp",15,MAX(0.1,Skills!D4-IF(Skills!E4=TRUE,2.0,0)))*(1-IF(AND(ArtifactsInput!$M$27,Inputs!$B$4="Chapter Hunt"),CHOOSE(ArtifactsInput!$N$27+1,20,24,28,32,36,40),0)/100)),0)</f>
        <v/>
      </c>
      <c r="R3060">
        <f>IF(AND(Inputs!$B$39&lt;&gt;"pvp",Inputs!$B$44&gt;0),IF(Inputs!$B$44&lt;=0,0,(INT(Inputs!$B$44/(IF(Inputs!$B$39="pvp",15,MAX(0.1,Skills!D4-IF(Skills!E4=TRUE,2.0,0)))*(1-IF(AND(ArtifactsInput!$M$27,Inputs!$B$4="Chapter Hunt"),CHOOSE(ArtifactsInput!$N$27+1,20,24,28,32,36,40),0)/100)))+1)),0)</f>
        <v/>
      </c>
      <c r="S3060" t="n">
        <v>0</v>
      </c>
      <c r="T3060">
        <f>290*T3059/1000</f>
        <v/>
      </c>
      <c r="U3060" t="n">
        <v>0</v>
      </c>
    </row>
    <row r="3061">
      <c r="A3061">
        <f>Skills!A5</f>
        <v/>
      </c>
      <c r="B3061">
        <f>Skills!B5</f>
        <v/>
      </c>
      <c r="C3061">
        <f>Inputs!$B$3&gt;=40</f>
        <v/>
      </c>
      <c r="D3061">
        <f>IF(Skills!C5=1,60+Inputs!$B$26+Inputs!$B$30,IF(Skills!C5=2,90+Inputs!$B$27+Inputs!$B$30,IF(Skills!C5=3,120+Inputs!$B$28+Inputs!$B$30,MAX(0,(Inputs!$B$3-100)*3)+Inputs!$B$29+Inputs!$B$30)))</f>
        <v/>
      </c>
      <c r="E3061">
        <f>INDEX(FactorTable!$B$2:$Y$301, MATCH(ROUND(MIN(300,MAX(1,D3061)),0), FactorTable!$A$2:$A$301,0), Skills!L5+1)</f>
        <v/>
      </c>
      <c r="F3061">
        <f>IF(Skills!M5=TRUE,(Skills!K5/10)*(E3061/1000),Skills!K5/10)+Skills!N5</f>
        <v/>
      </c>
      <c r="G3061">
        <f>Calc!G5</f>
        <v/>
      </c>
      <c r="H3061">
        <f>Calc!H5</f>
        <v/>
      </c>
      <c r="I3061">
        <f>IF(Skills!T5&lt;&gt;"",1+(Skills!T5/10)*($Z$3/1000)/100,1)</f>
        <v/>
      </c>
      <c r="J3061" t="inlineStr"/>
      <c r="K3061" t="inlineStr"/>
      <c r="L3061" t="inlineStr"/>
      <c r="M3061" t="inlineStr"/>
      <c r="N3061" t="inlineStr"/>
      <c r="O3061">
        <f>(1-Summary!$B$11)*S3061+Summary!$B$11*U3061</f>
        <v/>
      </c>
      <c r="P3061">
        <f>IF(B3099=0,0,O3061/B3099)</f>
        <v/>
      </c>
      <c r="Q3061">
        <f>IFERROR(1/(IF(Inputs!$B$39="pvp",15,MAX(0.1,Skills!D5-IF(Skills!E5=TRUE,2.0,0)))*(1-IF(AND(ArtifactsInput!$M$27,Inputs!$B$4="Chapter Hunt"),CHOOSE(ArtifactsInput!$N$27+1,20,24,28,32,36,40),0)/100)),0)</f>
        <v/>
      </c>
      <c r="R3061">
        <f>IF(AND(Inputs!$B$39&lt;&gt;"pvp",Inputs!$B$44&gt;0),IF(Inputs!$B$44&lt;=0,0,(INT(Inputs!$B$44/(IF(Inputs!$B$39="pvp",15,MAX(0.1,Skills!D5-IF(Skills!E5=TRUE,2.0,0)))*(1-IF(AND(ArtifactsInput!$M$27,Inputs!$B$4="Chapter Hunt"),CHOOSE(ArtifactsInput!$N$27+1,20,24,28,32,36,40),0)/100)))+1)),0)</f>
        <v/>
      </c>
      <c r="S3061" t="n">
        <v>0</v>
      </c>
      <c r="U3061" t="n">
        <v>0</v>
      </c>
    </row>
    <row r="3062">
      <c r="A3062">
        <f>Skills!A6</f>
        <v/>
      </c>
      <c r="B3062">
        <f>Skills!B6</f>
        <v/>
      </c>
      <c r="C3062">
        <f>Inputs!$B$3&gt;=103</f>
        <v/>
      </c>
      <c r="D3062">
        <f>IF(Skills!C6=1,60+Inputs!$B$26+Inputs!$B$30,IF(Skills!C6=2,90+Inputs!$B$27+Inputs!$B$30,IF(Skills!C6=3,120+Inputs!$B$28+Inputs!$B$30,MAX(0,(Inputs!$B$3-100)*3)+Inputs!$B$29+Inputs!$B$30)))</f>
        <v/>
      </c>
      <c r="E3062">
        <f>INDEX(FactorTable!$B$2:$Y$301, MATCH(ROUND(MIN(300,MAX(1,D3062)),0), FactorTable!$A$2:$A$301,0), Skills!L6+1)</f>
        <v/>
      </c>
      <c r="F3062">
        <f>IF(Skills!M6=TRUE,(Skills!K6/10)*(E3062/1000),Skills!K6/10)+Skills!N6</f>
        <v/>
      </c>
      <c r="G3062">
        <f>Calc!G6</f>
        <v/>
      </c>
      <c r="H3062">
        <f>Calc!H6</f>
        <v/>
      </c>
      <c r="I3062">
        <f>IF(Skills!T6&lt;&gt;"",1+(Skills!T6/10)*($Z$3/1000)/100,1)</f>
        <v/>
      </c>
      <c r="J3062">
        <f>((Inputs!$B$6*(1+Inputs!$B$7/100))+(((Inputs!$B$13*(1+Inputs!$B$14/100))-(Inputs!$B$13*(1+Inputs!$B$14/100)))+0.25*(Inputs!$B$15-Inputs!$B$15))*(1+Inputs!$B$7/100))*(F3062/100)</f>
        <v/>
      </c>
      <c r="K3062">
        <f>J3062*(1+(((Inputs!$B$13+IF(Inputs!$B$3&gt;=35,(10*INDEX(FactorTable!$B$2:$Y$301,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6="TRIUMPH_FEATHER",IF(C3072=TRUE,F3072,0),0)/100)*(1+IF(C3083=TRUE,F3083,0)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3062)</f>
        <v/>
      </c>
      <c r="L3062">
        <f>K3062*(MIN(Inputs!$B$23+(F3078-Calc!F22),(Inputs!$B$24+IF(ArtifactsInput!$M$15,CHOOSE(ArtifactsInput!$N$15+1,25,30,35,40,45,50)/100*(Inputs!$B$12-Inputs!$B$12),0)))/100+(Inputs!$B$24+IF(ArtifactsInput!$M$15,CHOOSE(ArtifactsInput!$N$15+1,25,30,35,40,45,50)/100*(Inputs!$B$12-Inputs!$B$12),0))/100)/2</f>
        <v/>
      </c>
      <c r="M3062">
        <f>L3062*(1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2">
        <f>L3062*(1-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3062*(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2">
        <f>(1-Summary!$B$11)*S3062+Summary!$B$11*U3062</f>
        <v/>
      </c>
      <c r="P3062">
        <f>IF(B3099=0,0,O3062/B3099)</f>
        <v/>
      </c>
      <c r="Q3062">
        <f>IFERROR(1/(IF(Inputs!$B$39="pvp",15,MAX(0.1,Skills!D6-IF(Skills!E6=TRUE,2.0,0)))*(1-IF(AND(ArtifactsInput!$M$27,Inputs!$B$4="Chapter Hunt"),CHOOSE(ArtifactsInput!$N$27+1,20,24,28,32,36,40),0)/100)),0)</f>
        <v/>
      </c>
      <c r="R3062">
        <f>IF(AND(Inputs!$B$39&lt;&gt;"pvp",Inputs!$B$44&gt;0),IF(MAX(0,Inputs!$B$44-B3096)&lt;=0,0,(INT(MAX(0,Inputs!$B$44-B3096)/(IF(Inputs!$B$39="pvp",15,MAX(0.1,Skills!D6-IF(Skills!E6=TRUE,2.0,0)))*(1-IF(AND(ArtifactsInput!$M$27,Inputs!$B$4="Chapter Hunt"),CHOOSE(ArtifactsInput!$N$27+1,20,24,28,32,36,40),0)/100)))+1)),0)</f>
        <v/>
      </c>
      <c r="S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$21+Skills!O6+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3062*(1-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3062*(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3062*(1-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3062*(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$22+Skills!P6+B3088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3">
      <c r="A3063">
        <f>Skills!A7</f>
        <v/>
      </c>
      <c r="B3063">
        <f>Skills!B7</f>
        <v/>
      </c>
      <c r="C3063">
        <f>Inputs!$B$3&gt;=122</f>
        <v/>
      </c>
      <c r="D3063">
        <f>IF(Skills!C7=1,60+Inputs!$B$26+Inputs!$B$30,IF(Skills!C7=2,90+Inputs!$B$27+Inputs!$B$30,IF(Skills!C7=3,120+Inputs!$B$28+Inputs!$B$30,MAX(0,(Inputs!$B$3-100)*3)+Inputs!$B$29+Inputs!$B$30)))</f>
        <v/>
      </c>
      <c r="E3063">
        <f>INDEX(FactorTable!$B$2:$Y$301, MATCH(ROUND(MIN(300,MAX(1,D3063)),0), FactorTable!$A$2:$A$301,0), Skills!L7+1)</f>
        <v/>
      </c>
      <c r="F3063">
        <f>IF(Skills!M7=TRUE,(Skills!K7/10)*(E3063/1000),Skills!K7/10)+Skills!N7</f>
        <v/>
      </c>
      <c r="G3063">
        <f>Calc!G7</f>
        <v/>
      </c>
      <c r="H3063">
        <f>Calc!H7</f>
        <v/>
      </c>
      <c r="I3063">
        <f>IF(Skills!T7&lt;&gt;"",1+(Skills!T7/10)*($Z$3/1000)/100,1)</f>
        <v/>
      </c>
      <c r="J3063">
        <f>((Inputs!$B$6*(1+Inputs!$B$7/100))+(((Inputs!$B$13*(1+Inputs!$B$14/100))-(Inputs!$B$13*(1+Inputs!$B$14/100)))+0.25*(Inputs!$B$15-Inputs!$B$15))*(1+Inputs!$B$7/100))*(F3063/100)</f>
        <v/>
      </c>
      <c r="K3063">
        <f>J3063*(1+(((Inputs!$B$13+IF(Inputs!$B$3&gt;=35,(10*INDEX(FactorTable!$B$2:$Y$301,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7="TRIUMPH_FEATHER",IF(C3072=TRUE,F3072,0),0)/100)*(1+IF(C3083=TRUE,F3083,0)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3063)</f>
        <v/>
      </c>
      <c r="L3063">
        <f>K3063*(MIN(Inputs!$B$23+(F3078-Calc!F22),(Inputs!$B$24+IF(ArtifactsInput!$M$15,CHOOSE(ArtifactsInput!$N$15+1,25,30,35,40,45,50)/100*(Inputs!$B$12-Inputs!$B$12),0)))/100+(Inputs!$B$24+IF(ArtifactsInput!$M$15,CHOOSE(ArtifactsInput!$N$15+1,25,30,35,40,45,50)/100*(Inputs!$B$12-Inputs!$B$12),0))/100)/2</f>
        <v/>
      </c>
      <c r="M3063">
        <f>L3063*(1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3">
        <f>L3063*(1-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(1-Summary!$B$11)*S3063+Summary!$B$11*U3063</f>
        <v/>
      </c>
      <c r="P3063">
        <f>IF(B3099=0,0,O3063/B3099)</f>
        <v/>
      </c>
      <c r="Q3063">
        <f>IFERROR(1/(IF(Inputs!$B$39="pvp",15,MAX(0.1,Skills!D7-IF(Skills!E6=TRUE,2.0,0)))*(1-IF(AND(ArtifactsInput!$M$27,Inputs!$B$4="Chapter Hunt"),CHOOSE(ArtifactsInput!$N$27+1,20,24,28,32,36,40),0)/100)),0)</f>
        <v/>
      </c>
      <c r="R3063">
        <f>IF(AND(Inputs!$B$39&lt;&gt;"pvp",Inputs!$B$44&gt;0),IF(MAX(0,Inputs!$B$44-B3096)&lt;=0,0,(INT(MAX(0,Inputs!$B$44-B3096)/(IF(Inputs!$B$39="pvp",15,MAX(0.1,Skills!D7-IF(Skills!E6=TRUE,2.0,0)))*(1-IF(AND(ArtifactsInput!$M$27,Inputs!$B$4="Chapter Hunt"),CHOOSE(ArtifactsInput!$N$27+1,20,24,28,32,36,40),0)/100)))+1)),0)</f>
        <v/>
      </c>
      <c r="S3063">
        <f>IF(C3063,H3063*N3063*IF(AND(Inputs!$B$39&lt;&gt;"pvp",Inputs!$B$44&gt;0),((Skills!F7*((R3063-1)*IF(Skills!G7&gt;0,Skills!H7/Skills!G7,1)+IF(Skills!G7&gt;0,MIN(Skills!H7,MAX(0,MAX(0,Inputs!$B$44-B3096)-((R3063-1)*(IF(Inputs!$B$39="pvp",15,MAX(0.1,Skills!D7-IF(Skills!E6=TRUE,2.0,0)))*(1-IF(AND(ArtifactsInput!$M$27,Inputs!$B$4="Chapter Hunt"),CHOOSE(ArtifactsInput!$N$27+1,20,24,28,32,36,40),0)/100)))))/Skills!G7,1)))/Inputs!$B$44),G3063*Q3063)*IF(Inputs!$B$39="pvp",1,1+(Inputs!$B$21+Skills!O7+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3063*(1-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t="n">
        <v>0</v>
      </c>
    </row>
    <row r="3064">
      <c r="A3064">
        <f>Skills!A8</f>
        <v/>
      </c>
      <c r="B3064">
        <f>Skills!B8</f>
        <v/>
      </c>
      <c r="C3064">
        <f>Inputs!$B$3&gt;=105</f>
        <v/>
      </c>
      <c r="D3064">
        <f>IF(Skills!C8=1,60+Inputs!$B$26+Inputs!$B$30,IF(Skills!C8=2,90+Inputs!$B$27+Inputs!$B$30,IF(Skills!C8=3,120+Inputs!$B$28+Inputs!$B$30,MAX(0,(Inputs!$B$3-100)*3)+Inputs!$B$29+Inputs!$B$30)))</f>
        <v/>
      </c>
      <c r="E3064">
        <f>INDEX(FactorTable!$B$2:$Y$301, MATCH(ROUND(MIN(300,MAX(1,D3064)),0), FactorTable!$A$2:$A$301,0), Skills!L8+1)</f>
        <v/>
      </c>
      <c r="F3064">
        <f>IF(Skills!M8=TRUE,(Skills!K8/10)*(E3064/1000),Skills!K8/10)+Skills!N8</f>
        <v/>
      </c>
      <c r="G3064">
        <f>Calc!G8</f>
        <v/>
      </c>
      <c r="H3064">
        <f>Calc!H8</f>
        <v/>
      </c>
      <c r="I3064">
        <f>IF(Skills!T8&lt;&gt;"",1+(Skills!T8/10)*($Z$3/1000)/100,1)</f>
        <v/>
      </c>
      <c r="J3064">
        <f>((Inputs!$B$6*(1+Inputs!$B$7/100))+(((Inputs!$B$13*(1+Inputs!$B$14/100))-(Inputs!$B$13*(1+Inputs!$B$14/100)))+0.25*(Inputs!$B$15-Inputs!$B$15))*(1+Inputs!$B$7/100))*(F3064/100)</f>
        <v/>
      </c>
      <c r="K3064">
        <f>J3064*(1+(((Inputs!$B$13+IF(Inputs!$B$3&gt;=35,(10*INDEX(FactorTable!$B$2:$Y$301,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8="TRIUMPH_FEATHER",IF(C3072=TRUE,F3072,0),0)/100)*(1+IF(C3083=TRUE,F3083,0)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3064)</f>
        <v/>
      </c>
      <c r="L3064">
        <f>K3064*(MIN(Inputs!$B$23+(F3078-Calc!F22),(Inputs!$B$24+IF(ArtifactsInput!$M$15,CHOOSE(ArtifactsInput!$N$15+1,25,30,35,40,45,50)/100*(Inputs!$B$12-Inputs!$B$12),0)))/100+(Inputs!$B$24+IF(ArtifactsInput!$M$15,CHOOSE(ArtifactsInput!$N$15+1,25,30,35,40,45,50)/100*(Inputs!$B$12-Inputs!$B$12),0))/100)/2</f>
        <v/>
      </c>
      <c r="M3064">
        <f>L3064*(1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4">
        <f>L3064*(1-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(1-Summary!$B$11)*S3064+Summary!$B$11*U3064</f>
        <v/>
      </c>
      <c r="P3064">
        <f>IF(B3099=0,0,O3064/B3099)</f>
        <v/>
      </c>
      <c r="Q3064">
        <f>IFERROR(1/(IF(Inputs!$B$39="pvp",15,MAX(0.1,Skills!D8-IF(Skills!E8=TRUE,2.0,0)))*(1-IF(AND(ArtifactsInput!$M$27,Inputs!$B$4="Chapter Hunt"),CHOOSE(ArtifactsInput!$N$27+1,20,24,28,32,36,40),0)/100)),0)</f>
        <v/>
      </c>
      <c r="R3064">
        <f>IF(AND(Inputs!$B$39&lt;&gt;"pvp",Inputs!$B$44&gt;0),IF(MAX(0,Inputs!$B$44-B3096)&lt;=0,0,(INT(MAX(0,Inputs!$B$44-B3096)/(IF(Inputs!$B$39="pvp",15,MAX(0.1,Skills!D8-IF(Skills!E8=TRUE,2.0,0)))*(1-IF(AND(ArtifactsInput!$M$27,Inputs!$B$4="Chapter Hunt"),CHOOSE(ArtifactsInput!$N$27+1,20,24,28,32,36,40),0)/100)))+1)),0)</f>
        <v/>
      </c>
      <c r="S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$21+Skills!O8+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3064*(1-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$22+Skills!P8+B3088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Skills!A9</f>
        <v/>
      </c>
      <c r="B3065">
        <f>Skills!B9</f>
        <v/>
      </c>
      <c r="C3065">
        <f>Inputs!$B$3&gt;=115</f>
        <v/>
      </c>
      <c r="D3065">
        <f>IF(Skills!C9=1,60+Inputs!$B$26+Inputs!$B$30,IF(Skills!C9=2,90+Inputs!$B$27+Inputs!$B$30,IF(Skills!C9=3,120+Inputs!$B$28+Inputs!$B$30,MAX(0,(Inputs!$B$3-100)*3)+Inputs!$B$29+Inputs!$B$30)))</f>
        <v/>
      </c>
      <c r="E3065">
        <f>INDEX(FactorTable!$B$2:$Y$301, MATCH(ROUND(MIN(300,MAX(1,D3065)),0), FactorTable!$A$2:$A$301,0), Skills!L9+1)</f>
        <v/>
      </c>
      <c r="F3065">
        <f>IF(Skills!M9=TRUE,(Skills!K9/10)*(E3065/1000),Skills!K9/10)+Skills!N9</f>
        <v/>
      </c>
      <c r="G3065">
        <f>Calc!G9</f>
        <v/>
      </c>
      <c r="H3065">
        <f>Calc!H9</f>
        <v/>
      </c>
      <c r="I3065">
        <f>IF(Skills!T9&lt;&gt;"",1+(Skills!T9/10)*($Z$3/1000)/100,1)</f>
        <v/>
      </c>
      <c r="J3065">
        <f>((Inputs!$B$6*(1+Inputs!$B$7/100))+(((Inputs!$B$13*(1+Inputs!$B$14/100))-(Inputs!$B$13*(1+Inputs!$B$14/100)))+0.25*(Inputs!$B$15-Inputs!$B$15))*(1+Inputs!$B$7/100))*(F3065/100)</f>
        <v/>
      </c>
      <c r="K3065">
        <f>J3065*(1+(((Inputs!$B$13+IF(Inputs!$B$3&gt;=35,(10*INDEX(FactorTable!$B$2:$Y$301,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9="TRIUMPH_FEATHER",IF(C3072=TRUE,F3072,0),0)/100)*(1+IF(C3083=TRUE,F3083,0)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3065)</f>
        <v/>
      </c>
      <c r="L3065">
        <f>K3065*(MIN(Inputs!$B$23+(F3078-Calc!F22),(Inputs!$B$24+IF(ArtifactsInput!$M$15,CHOOSE(ArtifactsInput!$N$15+1,25,30,35,40,45,50)/100*(Inputs!$B$12-Inputs!$B$12),0)))/100+(Inputs!$B$24+IF(ArtifactsInput!$M$15,CHOOSE(ArtifactsInput!$N$15+1,25,30,35,40,45,50)/100*(Inputs!$B$12-Inputs!$B$12),0))/100)/2</f>
        <v/>
      </c>
      <c r="M3065">
        <f>L3065*(1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5">
        <f>L3065*(1-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(1-Summary!$B$11)*S3065+Summary!$B$11*U3065</f>
        <v/>
      </c>
      <c r="P3065">
        <f>IF(B3099=0,0,O3065/B3099)</f>
        <v/>
      </c>
      <c r="Q3065">
        <f>IFERROR(1/(IF(Inputs!$B$39="pvp",15,MAX(0.1,Skills!D9-IF(Skills!E9=TRUE,2.0,0)))*(1-IF(AND(ArtifactsInput!$M$27,Inputs!$B$4="Chapter Hunt"),CHOOSE(ArtifactsInput!$N$27+1,20,24,28,32,36,40),0)/100)),0)</f>
        <v/>
      </c>
      <c r="R3065">
        <f>IF(AND(Inputs!$B$39&lt;&gt;"pvp",Inputs!$B$44&gt;0),IF(MAX(0,Inputs!$B$44-B3096)&lt;=0,0,(INT(MAX(0,Inputs!$B$44-B3096)/(IF(Inputs!$B$39="pvp",15,MAX(0.1,Skills!D9-IF(Skills!E9=TRUE,2.0,0)))*(1-IF(AND(ArtifactsInput!$M$27,Inputs!$B$4="Chapter Hunt"),CHOOSE(ArtifactsInput!$N$27+1,20,24,28,32,36,40),0)/100)))+1)),0)</f>
        <v/>
      </c>
      <c r="S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$21+Skills!O9+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3065*(1-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$22+Skills!P9+B3088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Skills!A10</f>
        <v/>
      </c>
      <c r="B3066">
        <f>Skills!B10</f>
        <v/>
      </c>
      <c r="C3066">
        <f>Inputs!$B$3&gt;=66</f>
        <v/>
      </c>
      <c r="D3066">
        <f>IF(Skills!C10=1,60+Inputs!$B$26+Inputs!$B$30,IF(Skills!C10=2,90+Inputs!$B$27+Inputs!$B$30,IF(Skills!C10=3,120+Inputs!$B$28+Inputs!$B$30,MAX(0,(Inputs!$B$3-100)*3)+Inputs!$B$29+Inputs!$B$30)))</f>
        <v/>
      </c>
      <c r="E3066">
        <f>INDEX(FactorTable!$B$2:$Y$301, MATCH(ROUND(MIN(300,MAX(1,D3066)),0), FactorTable!$A$2:$A$301,0), Skills!L10+1)</f>
        <v/>
      </c>
      <c r="F3066" t="n">
        <v>0</v>
      </c>
      <c r="G3066">
        <f>Calc!G10</f>
        <v/>
      </c>
      <c r="H3066">
        <f>Calc!H10</f>
        <v/>
      </c>
      <c r="I3066">
        <f>IF(Skills!T10&lt;&gt;"",1+(Skills!T10/10)*($Z$3/1000)/100,1)</f>
        <v/>
      </c>
      <c r="J3066" t="inlineStr"/>
      <c r="K3066" t="inlineStr"/>
      <c r="L3066" t="inlineStr"/>
      <c r="M3066" t="inlineStr"/>
      <c r="N3066" t="inlineStr"/>
      <c r="O3066">
        <f>(1-Summary!$B$11)*S3066+Summary!$B$11*U3066</f>
        <v/>
      </c>
      <c r="P3066">
        <f>IF(B3099=0,0,O3066/B3099)</f>
        <v/>
      </c>
      <c r="Q3066">
        <f>IFERROR(1/(IF(Inputs!$B$39="pvp",15,MAX(0.1,Skills!D10-IF(Skills!E10=TRUE,2.0,0)))*(1-IF(AND(ArtifactsInput!$M$27,Inputs!$B$4="Chapter Hunt"),CHOOSE(ArtifactsInput!$N$27+1,20,24,28,32,36,40),0)/100)),0)</f>
        <v/>
      </c>
      <c r="R3066">
        <f>IF(AND(Inputs!$B$39&lt;&gt;"pvp",Inputs!$B$44&gt;0),IF(MAX(0,Inputs!$B$44-B3096)&lt;=0,0,(INT(MAX(0,Inputs!$B$44-B3096)/(IF(Inputs!$B$39="pvp",15,MAX(0.1,Skills!D10-IF(Skills!E10=TRUE,2.0,0)))*(1-IF(AND(ArtifactsInput!$M$27,Inputs!$B$4="Chapter Hunt"),CHOOSE(ArtifactsInput!$N$27+1,20,24,28,32,36,40),0)/100)))+1)),0)</f>
        <v/>
      </c>
      <c r="S3066" t="n">
        <v>0</v>
      </c>
      <c r="U3066" t="n">
        <v>0</v>
      </c>
    </row>
    <row r="3067">
      <c r="A3067">
        <f>Skills!A11</f>
        <v/>
      </c>
      <c r="B3067">
        <f>Skills!B11</f>
        <v/>
      </c>
      <c r="C3067">
        <f>Inputs!$B$3&gt;=69</f>
        <v/>
      </c>
      <c r="D3067">
        <f>IF(Skills!C11=1,60+Inputs!$B$26+Inputs!$B$30,IF(Skills!C11=2,90+Inputs!$B$27+Inputs!$B$30,IF(Skills!C11=3,120+Inputs!$B$28+Inputs!$B$30,MAX(0,(Inputs!$B$3-100)*3)+Inputs!$B$29+Inputs!$B$30)))</f>
        <v/>
      </c>
      <c r="E3067">
        <f>INDEX(FactorTable!$B$2:$Y$301, MATCH(ROUND(MIN(300,MAX(1,D3067)),0), FactorTable!$A$2:$A$301,0), Skills!L11+1)</f>
        <v/>
      </c>
      <c r="F3067">
        <f>IF(Skills!M11=TRUE,(Skills!K11/10)*(E3067/1000),Skills!K11/10)+Skills!N11</f>
        <v/>
      </c>
      <c r="G3067">
        <f>Calc!G11</f>
        <v/>
      </c>
      <c r="H3067">
        <f>Calc!H11</f>
        <v/>
      </c>
      <c r="I3067">
        <f>IF(Skills!T11&lt;&gt;"",1+(Skills!T11/10)*($Z$3/1000)/100,1)</f>
        <v/>
      </c>
      <c r="J3067" t="inlineStr"/>
      <c r="K3067" t="inlineStr"/>
      <c r="L3067" t="inlineStr"/>
      <c r="M3067" t="inlineStr"/>
      <c r="N3067" t="inlineStr"/>
      <c r="O3067">
        <f>(1-Summary!$B$11)*S3067+Summary!$B$11*U3067</f>
        <v/>
      </c>
      <c r="P3067">
        <f>IF(B3099=0,0,O3067/B3099)</f>
        <v/>
      </c>
      <c r="Q3067">
        <f>IFERROR(1/(IF(Inputs!$B$39="pvp",15,MAX(0.1,Skills!D11-IF(Skills!E11=TRUE,2.0,0)))*(1-IF(AND(ArtifactsInput!$M$27,Inputs!$B$4="Chapter Hunt"),CHOOSE(ArtifactsInput!$N$27+1,20,24,28,32,36,40),0)/100)),0)</f>
        <v/>
      </c>
      <c r="R3067">
        <f>IF(AND(Inputs!$B$39&lt;&gt;"pvp",Inputs!$B$44&gt;0),IF(Inputs!$B$44&lt;=0,0,(INT(Inputs!$B$44/(IF(Inputs!$B$39="pvp",15,MAX(0.1,Skills!D11-IF(Skills!E11=TRUE,2.0,0)))*(1-IF(AND(ArtifactsInput!$M$27,Inputs!$B$4="Chapter Hunt"),CHOOSE(ArtifactsInput!$N$27+1,20,24,28,32,36,40),0)/100)))+1)),0)</f>
        <v/>
      </c>
      <c r="S3067" t="n">
        <v>0</v>
      </c>
      <c r="U3067" t="n">
        <v>0</v>
      </c>
    </row>
    <row r="3068">
      <c r="A3068">
        <f>Skills!A12</f>
        <v/>
      </c>
      <c r="B3068">
        <f>Skills!B12</f>
        <v/>
      </c>
      <c r="C3068">
        <f>Inputs!$B$3&gt;=72</f>
        <v/>
      </c>
      <c r="D3068">
        <f>IF(Skills!C12=1,60+Inputs!$B$26+Inputs!$B$30,IF(Skills!C12=2,90+Inputs!$B$27+Inputs!$B$30,IF(Skills!C12=3,120+Inputs!$B$28+Inputs!$B$30,MAX(0,(Inputs!$B$3-100)*3)+Inputs!$B$29+Inputs!$B$30)))</f>
        <v/>
      </c>
      <c r="E3068">
        <f>INDEX(FactorTable!$B$2:$Y$301, MATCH(ROUND(MIN(300,MAX(1,D3068)),0), FactorTable!$A$2:$A$301,0), Skills!L12+1)</f>
        <v/>
      </c>
      <c r="F3068">
        <f>IF(Skills!M12=TRUE,(Skills!K12/10)*(E3068/1000),Skills!K12/10)+Skills!N12</f>
        <v/>
      </c>
      <c r="G3068">
        <f>Calc!G12</f>
        <v/>
      </c>
      <c r="H3068">
        <f>Calc!H12</f>
        <v/>
      </c>
      <c r="I3068">
        <f>IF(Skills!T12&lt;&gt;"",1+(Skills!T12/10)*($Z$3/1000)/100,1)</f>
        <v/>
      </c>
      <c r="J3068" t="inlineStr"/>
      <c r="K3068" t="inlineStr"/>
      <c r="L3068" t="inlineStr"/>
      <c r="M3068" t="inlineStr"/>
      <c r="N3068" t="inlineStr"/>
      <c r="O3068">
        <f>(1-Summary!$B$11)*S3068+Summary!$B$11*U3068</f>
        <v/>
      </c>
      <c r="P3068">
        <f>IF(B3099=0,0,O3068/B3099)</f>
        <v/>
      </c>
      <c r="Q3068">
        <f>IFERROR(1/(IF(Inputs!$B$39="pvp",15,MAX(0.1,Skills!D12-IF(Skills!E12=TRUE,2.0,0)))*(1-IF(AND(ArtifactsInput!$M$27,Inputs!$B$4="Chapter Hunt"),CHOOSE(ArtifactsInput!$N$27+1,20,24,28,32,36,40),0)/100)),0)</f>
        <v/>
      </c>
      <c r="R3068">
        <f>IF(AND(Inputs!$B$39&lt;&gt;"pvp",Inputs!$B$44&gt;0),IF(MAX(0,Inputs!$B$44-B3096)&lt;=0,0,(INT(MAX(0,Inputs!$B$44-B3096)/(IF(Inputs!$B$39="pvp",15,MAX(0.1,Skills!D12-IF(Skills!E12=TRUE,2.0,0)))*(1-IF(AND(ArtifactsInput!$M$27,Inputs!$B$4="Chapter Hunt"),CHOOSE(ArtifactsInput!$N$27+1,20,24,28,32,36,40),0)/100)))+1)),0)</f>
        <v/>
      </c>
      <c r="S3068" t="n">
        <v>0</v>
      </c>
      <c r="U3068" t="n">
        <v>0</v>
      </c>
    </row>
    <row r="3069">
      <c r="A3069">
        <f>Skills!A13</f>
        <v/>
      </c>
      <c r="B3069">
        <f>Skills!B13</f>
        <v/>
      </c>
      <c r="C3069">
        <f>Inputs!$B$3&gt;=60</f>
        <v/>
      </c>
      <c r="D3069">
        <f>IF(Skills!C13=1,60+Inputs!$B$26+Inputs!$B$30,IF(Skills!C13=2,90+Inputs!$B$27+Inputs!$B$30,IF(Skills!C13=3,120+Inputs!$B$28+Inputs!$B$30,MAX(0,(Inputs!$B$3-100)*3)+Inputs!$B$29+Inputs!$B$30)))</f>
        <v/>
      </c>
      <c r="E3069">
        <f>INDEX(FactorTable!$B$2:$Y$301, MATCH(ROUND(MIN(300,MAX(1,D3069)),0), FactorTable!$A$2:$A$301,0), Skills!L13+1)</f>
        <v/>
      </c>
      <c r="F3069">
        <f>IF(Skills!M13=TRUE,(Skills!K13/10)*(E3069/1000),Skills!K13/10)+Skills!N13</f>
        <v/>
      </c>
      <c r="G3069">
        <f>Calc!G13</f>
        <v/>
      </c>
      <c r="H3069">
        <f>Calc!H13</f>
        <v/>
      </c>
      <c r="I3069">
        <f>IF(Skills!T13&lt;&gt;"",1+(Skills!T13/10)*($Z$3/1000)/100,1)</f>
        <v/>
      </c>
      <c r="J3069" t="inlineStr"/>
      <c r="K3069" t="inlineStr"/>
      <c r="L3069" t="inlineStr"/>
      <c r="M3069" t="inlineStr"/>
      <c r="N3069" t="inlineStr"/>
      <c r="O3069">
        <f>(1-Summary!$B$11)*S3069+Summary!$B$11*U3069</f>
        <v/>
      </c>
      <c r="P3069">
        <f>IF(B3099=0,0,O3069/B3099)</f>
        <v/>
      </c>
      <c r="Q3069">
        <f>IFERROR(1/(IF(Inputs!$B$39="pvp",15,MAX(0.1,Skills!D13-IF(Skills!E13=TRUE,2.0,0)))*(1-IF(AND(ArtifactsInput!$M$27,Inputs!$B$4="Chapter Hunt"),CHOOSE(ArtifactsInput!$N$27+1,20,24,28,32,36,40),0)/100)),0)</f>
        <v/>
      </c>
      <c r="R3069">
        <f>IF(AND(Inputs!$B$39&lt;&gt;"pvp",Inputs!$B$44&gt;0),IF(MAX(0,Inputs!$B$44-B3096)&lt;=0,0,(INT(MAX(0,Inputs!$B$44-B3096)/(IF(Inputs!$B$39="pvp",15,MAX(0.1,Skills!D13-IF(Skills!E13=TRUE,2.0,0)))*(1-IF(AND(ArtifactsInput!$M$27,Inputs!$B$4="Chapter Hunt"),CHOOSE(ArtifactsInput!$N$27+1,20,24,28,32,36,40),0)/100)))+1)),0)</f>
        <v/>
      </c>
      <c r="S3069" t="n">
        <v>0</v>
      </c>
      <c r="U3069" t="n">
        <v>0</v>
      </c>
    </row>
    <row r="3070">
      <c r="A3070">
        <f>Skills!A14</f>
        <v/>
      </c>
      <c r="B3070">
        <f>Skills!B14</f>
        <v/>
      </c>
      <c r="C3070">
        <f>Inputs!$B$3&gt;=107</f>
        <v/>
      </c>
      <c r="D3070">
        <f>IF(Skills!C14=1,60+Inputs!$B$26+Inputs!$B$30,IF(Skills!C14=2,90+Inputs!$B$27+Inputs!$B$30,IF(Skills!C14=3,120+Inputs!$B$28+Inputs!$B$30,MAX(0,(Inputs!$B$3-100)*3)+Inputs!$B$29+Inputs!$B$30)))</f>
        <v/>
      </c>
      <c r="E3070">
        <f>INDEX(FactorTable!$B$2:$Y$301, MATCH(ROUND(MIN(300,MAX(1,D3070)),0), FactorTable!$A$2:$A$301,0), Skills!L14+1)</f>
        <v/>
      </c>
      <c r="F3070">
        <f>IF(Skills!M14=TRUE,(Skills!K14/10)*(E3070/1000),Skills!K14/10)+Skills!N14</f>
        <v/>
      </c>
      <c r="G3070">
        <f>Calc!G14</f>
        <v/>
      </c>
      <c r="H3070">
        <f>Calc!H14</f>
        <v/>
      </c>
      <c r="I3070">
        <f>IF(Skills!T14&lt;&gt;"",1+(Skills!T14/10)*($Z$3/1000)/100,1)</f>
        <v/>
      </c>
      <c r="J3070" t="inlineStr"/>
      <c r="K3070" t="inlineStr"/>
      <c r="L3070" t="inlineStr"/>
      <c r="M3070" t="inlineStr"/>
      <c r="N3070" t="inlineStr"/>
      <c r="O3070">
        <f>(1-Summary!$B$11)*S3070+Summary!$B$11*U3070</f>
        <v/>
      </c>
      <c r="P3070">
        <f>IF(B3099=0,0,O3070/B3099)</f>
        <v/>
      </c>
      <c r="Q3070">
        <f>IFERROR(1/(IF(Inputs!$B$39="pvp",15,MAX(0.1,Skills!D14-IF(Skills!E14=TRUE,2.0,0)))*(1-IF(AND(ArtifactsInput!$M$27,Inputs!$B$4="Chapter Hunt"),CHOOSE(ArtifactsInput!$N$27+1,20,24,28,32,36,40),0)/100)),0)</f>
        <v/>
      </c>
      <c r="R3070">
        <f>IF(AND(Inputs!$B$39&lt;&gt;"pvp",Inputs!$B$44&gt;0),IF(Inputs!$B$44&lt;=0,0,(INT(Inputs!$B$44/(IF(Inputs!$B$39="pvp",15,MAX(0.1,Skills!D14-IF(Skills!E14=TRUE,2.0,0)))*(1-IF(AND(ArtifactsInput!$M$27,Inputs!$B$4="Chapter Hunt"),CHOOSE(ArtifactsInput!$N$27+1,20,24,28,32,36,40),0)/100)))+1)),0)</f>
        <v/>
      </c>
      <c r="S3070" t="n">
        <v>0</v>
      </c>
      <c r="U3070" t="n">
        <v>0</v>
      </c>
    </row>
    <row r="3071">
      <c r="A3071">
        <f>Skills!A15</f>
        <v/>
      </c>
      <c r="B3071">
        <f>Skills!B15</f>
        <v/>
      </c>
      <c r="C3071">
        <f>Inputs!$B$3&gt;=63</f>
        <v/>
      </c>
      <c r="D3071">
        <f>IF(Skills!C15=1,60+Inputs!$B$26+Inputs!$B$30,IF(Skills!C15=2,90+Inputs!$B$27+Inputs!$B$30,IF(Skills!C15=3,120+Inputs!$B$28+Inputs!$B$30,MAX(0,(Inputs!$B$3-100)*3)+Inputs!$B$29+Inputs!$B$30)))</f>
        <v/>
      </c>
      <c r="E3071">
        <f>INDEX(FactorTable!$B$2:$Y$301, MATCH(ROUND(MIN(300,MAX(1,D3071)),0), FactorTable!$A$2:$A$301,0), Skills!L15+1)</f>
        <v/>
      </c>
      <c r="F3071">
        <f>IF(Skills!M15=TRUE,(Skills!K15/10)*(E3071/1000),Skills!K15/10)+Skills!N15</f>
        <v/>
      </c>
      <c r="G3071">
        <f>Calc!G15</f>
        <v/>
      </c>
      <c r="H3071">
        <f>Calc!H15</f>
        <v/>
      </c>
      <c r="I3071">
        <f>IF(Skills!T15&lt;&gt;"",1+(Skills!T15/10)*($Z$3/1000)/100,1)</f>
        <v/>
      </c>
      <c r="J3071">
        <f>((Inputs!$B$6*(1+Inputs!$B$7/100))+(((Inputs!$B$13*(1+Inputs!$B$14/100))-(Inputs!$B$13*(1+Inputs!$B$14/100)))+0.25*(Inputs!$B$15-Inputs!$B$15))*(1+Inputs!$B$7/100))*(F3071/100)</f>
        <v/>
      </c>
      <c r="K3071">
        <f>J3071*(1+(((Inputs!$B$13+IF(Inputs!$B$3&gt;=35,(10*INDEX(FactorTable!$B$2:$Y$301,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15="TRIUMPH_FEATHER",IF(C3072=TRUE,F3072,0),0)/100)*(1+IF(C3083=TRUE,F3083,0)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3071)</f>
        <v/>
      </c>
      <c r="L3071">
        <f>K3071*(MIN(Inputs!$B$23+(F3078-Calc!F22),(Inputs!$B$24+IF(ArtifactsInput!$M$15,CHOOSE(ArtifactsInput!$N$15+1,25,30,35,40,45,50)/100*(Inputs!$B$12-Inputs!$B$12),0)))/100+(Inputs!$B$24+IF(ArtifactsInput!$M$15,CHOOSE(ArtifactsInput!$N$15+1,25,30,35,40,45,50)/100*(Inputs!$B$12-Inputs!$B$12),0))/100)/2</f>
        <v/>
      </c>
      <c r="M3071">
        <f>L3071*(1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71">
        <f>L3071*(1-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(1-Summary!$B$11)*S3071+Summary!$B$11*U3071</f>
        <v/>
      </c>
      <c r="P3071">
        <f>IF(B3099=0,0,O3071/B3099)</f>
        <v/>
      </c>
      <c r="Q3071">
        <f>IFERROR(1/(IF(Inputs!$B$39="pvp",15,MAX(0.1,Skills!D15-IF(Skills!E15=TRUE,2.0,0)))*(1-IF(AND(ArtifactsInput!$M$27,Inputs!$B$4="Chapter Hunt"),CHOOSE(ArtifactsInput!$N$27+1,20,24,28,32,36,40),0)/100)),0)</f>
        <v/>
      </c>
      <c r="R3071" t="n">
        <v>0</v>
      </c>
      <c r="S3071">
        <f>IF(C3071,(Skills!F15*N3071*((IF(Inputs!$B$3&gt;=78,25,15)/100*B3092*10)/(1+IF(Inputs!$B$3&gt;=78,25,15)/100*B3092*10))*(Skills!I15/100*B3092)/(1+Skills!G15*Skills!I15/100*B3092))*IF(Inputs!$B$39="pvp",1,1+(Inputs!$B$21+Skills!O15+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3071*(1-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IF(C3071,(Skills!F15*N3071*((IF(Inputs!$B$3&gt;=78,25,15)/100*B3092*10)/(1+IF(Inputs!$B$3&gt;=78,25,15)/100*B3092*10))*(Skills!I15/100*B3092)/(1+Skills!G15*Skills!I15/100*B3092))*IF(Inputs!$B$39="pvp",1,(1+(Inputs!$B$22+Skills!P15+B3088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Skills!A16</f>
        <v/>
      </c>
      <c r="B3072">
        <f>Skills!B16</f>
        <v/>
      </c>
      <c r="C3072">
        <f>Inputs!$B$3&gt;=100</f>
        <v/>
      </c>
      <c r="D3072">
        <f>IF(Skills!C16=1,60+Inputs!$B$26+Inputs!$B$30,IF(Skills!C16=2,90+Inputs!$B$27+Inputs!$B$30,IF(Skills!C16=3,120+Inputs!$B$28+Inputs!$B$30,MAX(0,(Inputs!$B$3-100)*3)+Inputs!$B$29+Inputs!$B$30)))</f>
        <v/>
      </c>
      <c r="E3072">
        <f>INDEX(FactorTable!$B$2:$Y$301, MATCH(ROUND(MIN(300,MAX(1,D3072)),0), FactorTable!$A$2:$A$301,0), Skills!L16+1)</f>
        <v/>
      </c>
      <c r="F3072">
        <f>IF(Skills!M16=TRUE,(Skills!K16/10)*(E3072/1000),Skills!K16/10)+Skills!N16</f>
        <v/>
      </c>
      <c r="G3072">
        <f>Calc!G16</f>
        <v/>
      </c>
      <c r="H3072">
        <f>Calc!H16</f>
        <v/>
      </c>
      <c r="I3072">
        <f>IF(Skills!T16&lt;&gt;"",1+(Skills!T16/10)*($Z$3/1000)/100,1)</f>
        <v/>
      </c>
      <c r="J3072" t="inlineStr"/>
      <c r="K3072" t="inlineStr"/>
      <c r="L3072" t="inlineStr"/>
      <c r="M3072" t="inlineStr"/>
      <c r="N3072" t="inlineStr"/>
      <c r="O3072">
        <f>(1-Summary!$B$11)*S3072+Summary!$B$11*U3072</f>
        <v/>
      </c>
      <c r="P3072">
        <f>IF(B3099=0,0,O3072/B3099)</f>
        <v/>
      </c>
      <c r="Q3072">
        <f>IFERROR(1/(IF(Inputs!$B$39="pvp",15,MAX(0.1,Skills!D16-IF(Skills!E16=TRUE,2.0,0)))*(1-IF(AND(ArtifactsInput!$M$27,Inputs!$B$4="Chapter Hunt"),CHOOSE(ArtifactsInput!$N$27+1,20,24,28,32,36,40),0)/100)),0)</f>
        <v/>
      </c>
      <c r="R3072" t="n">
        <v>0</v>
      </c>
      <c r="S3072" t="n">
        <v>0</v>
      </c>
      <c r="U3072" t="n">
        <v>0</v>
      </c>
    </row>
    <row r="3073">
      <c r="A3073">
        <f>Skills!A17</f>
        <v/>
      </c>
      <c r="B3073">
        <f>Skills!B17</f>
        <v/>
      </c>
      <c r="C3073">
        <f>Inputs!$B$3&gt;=49</f>
        <v/>
      </c>
      <c r="D3073">
        <f>IF(Skills!C17=1,60+Inputs!$B$26+Inputs!$B$30,IF(Skills!C17=2,90+Inputs!$B$27+Inputs!$B$30,IF(Skills!C17=3,120+Inputs!$B$28+Inputs!$B$30,MAX(0,(Inputs!$B$3-100)*3)+Inputs!$B$29+Inputs!$B$30)))</f>
        <v/>
      </c>
      <c r="E3073">
        <f>INDEX(FactorTable!$B$2:$Y$301, MATCH(ROUND(MIN(300,MAX(1,D3073)),0), FactorTable!$A$2:$A$301,0), Skills!L17+1)</f>
        <v/>
      </c>
      <c r="F3073">
        <f>IF(Skills!M17=TRUE,(Skills!K17/10)*(E3073/1000),Skills!K17/10)+Skills!N17</f>
        <v/>
      </c>
      <c r="G3073">
        <f>Calc!G17</f>
        <v/>
      </c>
      <c r="H3073">
        <f>Calc!H17</f>
        <v/>
      </c>
      <c r="I3073">
        <f>IF(Skills!T17&lt;&gt;"",1+(Skills!T17/10)*($Z$3/1000)/100,1)</f>
        <v/>
      </c>
      <c r="J3073" t="inlineStr"/>
      <c r="K3073" t="inlineStr"/>
      <c r="L3073" t="inlineStr"/>
      <c r="M3073" t="inlineStr"/>
      <c r="N3073" t="inlineStr"/>
      <c r="O3073">
        <f>(1-Summary!$B$11)*S3073+Summary!$B$11*U3073</f>
        <v/>
      </c>
      <c r="P3073">
        <f>IF(B3099=0,0,O3073/B3099)</f>
        <v/>
      </c>
      <c r="Q3073">
        <f>IFERROR(1/(IF(Inputs!$B$39="pvp",15,MAX(0.1,Skills!D17-IF(Skills!E17=TRUE,2.0,0)))*(1-IF(AND(ArtifactsInput!$M$27,Inputs!$B$4="Chapter Hunt"),CHOOSE(ArtifactsInput!$N$27+1,20,24,28,32,36,40),0)/100)),0)</f>
        <v/>
      </c>
      <c r="R3073" t="n">
        <v>0</v>
      </c>
      <c r="S3073" t="n">
        <v>0</v>
      </c>
      <c r="U3073" t="n">
        <v>0</v>
      </c>
    </row>
    <row r="3074">
      <c r="A3074">
        <f>Skills!A18</f>
        <v/>
      </c>
      <c r="B3074">
        <f>Skills!B18</f>
        <v/>
      </c>
      <c r="C3074">
        <f>Inputs!$B$3&gt;=75</f>
        <v/>
      </c>
      <c r="D3074">
        <f>IF(Skills!C18=1,60+Inputs!$B$26+Inputs!$B$30,IF(Skills!C18=2,90+Inputs!$B$27+Inputs!$B$30,IF(Skills!C18=3,120+Inputs!$B$28+Inputs!$B$30,MAX(0,(Inputs!$B$3-100)*3)+Inputs!$B$29+Inputs!$B$30)))</f>
        <v/>
      </c>
      <c r="E3074">
        <f>INDEX(FactorTable!$B$2:$Y$301, MATCH(ROUND(MIN(300,MAX(1,D3074)),0), FactorTable!$A$2:$A$301,0), Skills!L18+1)</f>
        <v/>
      </c>
      <c r="F3074">
        <f>IF(Skills!M18=TRUE,(Skills!K18/10)*(E3074/1000),Skills!K18/10)+Skills!N18</f>
        <v/>
      </c>
      <c r="G3074">
        <f>Calc!G18</f>
        <v/>
      </c>
      <c r="H3074">
        <f>Calc!H18</f>
        <v/>
      </c>
      <c r="I3074">
        <f>IF(Skills!T18&lt;&gt;"",1+(Skills!T18/10)*($Z$3/1000)/100,1)</f>
        <v/>
      </c>
      <c r="J3074" t="inlineStr"/>
      <c r="K3074" t="inlineStr"/>
      <c r="L3074" t="inlineStr"/>
      <c r="M3074" t="inlineStr"/>
      <c r="N3074" t="inlineStr"/>
      <c r="O3074">
        <f>(1-Summary!$B$11)*S3074+Summary!$B$11*U3074</f>
        <v/>
      </c>
      <c r="P3074">
        <f>IF(B3099=0,0,O3074/B3099)</f>
        <v/>
      </c>
      <c r="Q3074">
        <f>IFERROR(1/(IF(Inputs!$B$39="pvp",15,MAX(0.1,Skills!D18-IF(Skills!E18=TRUE,2.0,0)))*(1-IF(AND(ArtifactsInput!$M$27,Inputs!$B$4="Chapter Hunt"),CHOOSE(ArtifactsInput!$N$27+1,20,24,28,32,36,40),0)/100)),0)</f>
        <v/>
      </c>
      <c r="R3074" t="n">
        <v>0</v>
      </c>
      <c r="S3074" t="n">
        <v>0</v>
      </c>
      <c r="U3074" t="n">
        <v>0</v>
      </c>
    </row>
    <row r="3075">
      <c r="A3075">
        <f>Skills!A19</f>
        <v/>
      </c>
      <c r="B3075">
        <f>Skills!B19</f>
        <v/>
      </c>
      <c r="C3075">
        <f>Inputs!$B$3&gt;=110</f>
        <v/>
      </c>
      <c r="D3075">
        <f>IF(Skills!C19=1,60+Inputs!$B$26+Inputs!$B$30,IF(Skills!C19=2,90+Inputs!$B$27+Inputs!$B$30,IF(Skills!C19=3,120+Inputs!$B$28+Inputs!$B$30,MAX(0,(Inputs!$B$3-100)*3)+Inputs!$B$29+Inputs!$B$30)))</f>
        <v/>
      </c>
      <c r="E3075">
        <f>INDEX(FactorTable!$B$2:$Y$301, MATCH(ROUND(MIN(300,MAX(1,D3075)),0), FactorTable!$A$2:$A$301,0), Skills!L19+1)</f>
        <v/>
      </c>
      <c r="F3075">
        <f>(Skills!K19/10)*(E3075/1000)*64/45+Skills!N19</f>
        <v/>
      </c>
      <c r="G3075">
        <f>Calc!G19</f>
        <v/>
      </c>
      <c r="H3075">
        <f>Calc!H19</f>
        <v/>
      </c>
      <c r="I3075">
        <f>IF(Skills!T19&lt;&gt;"",1+(Skills!T19/10)*($Z$3/1000)/100,1)</f>
        <v/>
      </c>
      <c r="J3075" t="inlineStr"/>
      <c r="K3075" t="inlineStr"/>
      <c r="L3075" t="inlineStr"/>
      <c r="M3075" t="inlineStr"/>
      <c r="N3075" t="inlineStr"/>
      <c r="O3075">
        <f>(1-Summary!$B$11)*S3075+Summary!$B$11*U3075</f>
        <v/>
      </c>
      <c r="P3075">
        <f>IF(B3099=0,0,O3075/B3099)</f>
        <v/>
      </c>
      <c r="Q3075">
        <f>IFERROR(1/(IF(Inputs!$B$39="pvp",15,MAX(0.1,Skills!D19-IF(Skills!E19=TRUE,2.0,0)))*(1-IF(AND(ArtifactsInput!$M$27,Inputs!$B$4="Chapter Hunt"),CHOOSE(ArtifactsInput!$N$27+1,20,24,28,32,36,40),0)/100)),0)</f>
        <v/>
      </c>
      <c r="R3075">
        <f>IF(AND(Inputs!$B$39&lt;&gt;"pvp",Inputs!$B$44&gt;0),IF(Inputs!$B$44&lt;=0,0,(INT(Inputs!$B$44/(IF(Inputs!$B$39="pvp",15,MAX(0.1,Skills!D19-IF(Skills!E19=TRUE,2.0,0)))*(1-IF(AND(ArtifactsInput!$M$27,Inputs!$B$4="Chapter Hunt"),CHOOSE(ArtifactsInput!$N$27+1,20,24,28,32,36,40),0)/100)))+1)),0)</f>
        <v/>
      </c>
      <c r="S3075" t="n">
        <v>0</v>
      </c>
      <c r="U3075" t="n">
        <v>0</v>
      </c>
    </row>
    <row r="3076">
      <c r="A3076">
        <f>Skills!A20</f>
        <v/>
      </c>
      <c r="B3076">
        <f>Skills!B20</f>
        <v/>
      </c>
      <c r="C3076">
        <f>Inputs!$B$3&gt;=125</f>
        <v/>
      </c>
      <c r="D3076">
        <f>IF(Skills!C20=1,60+Inputs!$B$26+Inputs!$B$30,IF(Skills!C20=2,90+Inputs!$B$27+Inputs!$B$30,IF(Skills!C20=3,120+Inputs!$B$28+Inputs!$B$30,MAX(0,(Inputs!$B$3-100)*3)+Inputs!$B$29+Inputs!$B$30)))</f>
        <v/>
      </c>
      <c r="E3076">
        <f>INDEX(FactorTable!$B$2:$Y$301, MATCH(ROUND(MIN(300,MAX(1,D3076)),0), FactorTable!$A$2:$A$301,0), Skills!L20+1)</f>
        <v/>
      </c>
      <c r="F3076">
        <f>IF(Skills!M20=TRUE,(Skills!K20/10)*(E3076/1000),Skills!K20/10)+Skills!N20</f>
        <v/>
      </c>
      <c r="G3076">
        <f>Calc!G20</f>
        <v/>
      </c>
      <c r="H3076">
        <f>Calc!H20</f>
        <v/>
      </c>
      <c r="I3076">
        <f>IF(Skills!T20&lt;&gt;"",1+(Skills!T20/10)*($Z$3/1000)/100,1)</f>
        <v/>
      </c>
      <c r="J3076" t="inlineStr"/>
      <c r="K3076" t="inlineStr"/>
      <c r="L3076" t="inlineStr"/>
      <c r="M3076" t="inlineStr"/>
      <c r="N3076" t="inlineStr"/>
      <c r="O3076">
        <f>(1-Summary!$B$11)*S3076+Summary!$B$11*U3076</f>
        <v/>
      </c>
      <c r="P3076">
        <f>IF(B3099=0,0,O3076/B3099)</f>
        <v/>
      </c>
      <c r="Q3076">
        <f>IFERROR(1/(IF(Inputs!$B$39="pvp",15,MAX(0.1,Skills!D20-IF(Skills!E20=TRUE,2.0,0)))*(1-IF(AND(ArtifactsInput!$M$27,Inputs!$B$4="Chapter Hunt"),CHOOSE(ArtifactsInput!$N$27+1,20,24,28,32,36,40),0)/100)),0)</f>
        <v/>
      </c>
      <c r="R3076" t="n">
        <v>0</v>
      </c>
      <c r="S3076" t="n">
        <v>0</v>
      </c>
      <c r="U3076" t="n">
        <v>0</v>
      </c>
    </row>
    <row r="3077">
      <c r="A3077">
        <f>Skills!A21</f>
        <v/>
      </c>
      <c r="B3077">
        <f>Skills!B21</f>
        <v/>
      </c>
      <c r="C3077">
        <f>Inputs!$B$3&gt;=33</f>
        <v/>
      </c>
      <c r="D3077">
        <f>IF(Skills!C21=1,60+Inputs!$B$26+Inputs!$B$30,IF(Skills!C21=2,90+Inputs!$B$27+Inputs!$B$30,IF(Skills!C21=3,120+Inputs!$B$28+Inputs!$B$30,MAX(0,(Inputs!$B$3-100)*3)+Inputs!$B$29+Inputs!$B$30)))</f>
        <v/>
      </c>
      <c r="E3077">
        <f>INDEX(FactorTable!$B$2:$Y$301, MATCH(ROUND(MIN(300,MAX(1,D3077)),0), FactorTable!$A$2:$A$301,0), Skills!L21+1)</f>
        <v/>
      </c>
      <c r="F3077">
        <f>IF(Skills!M21=TRUE,(Skills!K21/10)*(E3077/1000),Skills!K21/10)+Skills!N21</f>
        <v/>
      </c>
      <c r="G3077">
        <f>Calc!G21</f>
        <v/>
      </c>
      <c r="H3077">
        <f>Calc!H21</f>
        <v/>
      </c>
      <c r="I3077">
        <f>IF(Skills!T21&lt;&gt;"",1+(Skills!T21/10)*($Z$3/1000)/100,1)</f>
        <v/>
      </c>
      <c r="J3077" t="inlineStr"/>
      <c r="K3077" t="inlineStr"/>
      <c r="L3077" t="inlineStr"/>
      <c r="M3077" t="inlineStr"/>
      <c r="N3077" t="inlineStr"/>
      <c r="O3077">
        <f>(1-Summary!$B$11)*S3077+Summary!$B$11*U3077</f>
        <v/>
      </c>
      <c r="P3077">
        <f>IF(B3099=0,0,O3077/B3099)</f>
        <v/>
      </c>
      <c r="Q3077">
        <f>IFERROR(1/(IF(Inputs!$B$39="pvp",15,MAX(0.1,Skills!D21-IF(Skills!E21=TRUE,2.0,0)))*(1-IF(AND(ArtifactsInput!$M$27,Inputs!$B$4="Chapter Hunt"),CHOOSE(ArtifactsInput!$N$27+1,20,24,28,32,36,40),0)/100)),0)</f>
        <v/>
      </c>
      <c r="R3077" t="n">
        <v>0</v>
      </c>
      <c r="S3077" t="n">
        <v>0</v>
      </c>
      <c r="U3077" t="n">
        <v>0</v>
      </c>
    </row>
    <row r="3078">
      <c r="A3078">
        <f>Skills!A22</f>
        <v/>
      </c>
      <c r="B3078">
        <f>Skills!B22</f>
        <v/>
      </c>
      <c r="C3078">
        <f>Inputs!$B$3&gt;=43</f>
        <v/>
      </c>
      <c r="D3078">
        <f>IF(Skills!C22=1,60+Inputs!$B$26+Inputs!$B$30,IF(Skills!C22=2,90+Inputs!$B$27+Inputs!$B$30,IF(Skills!C22=3,120+Inputs!$B$28+Inputs!$B$30,MAX(0,(Inputs!$B$3-100)*3)+Inputs!$B$29+Inputs!$B$30)))</f>
        <v/>
      </c>
      <c r="E3078">
        <f>INDEX(FactorTable!$B$2:$Y$301, MATCH(ROUND(MIN(300,MAX(1,D3078)),0), FactorTable!$A$2:$A$301,0), Skills!L22+1)</f>
        <v/>
      </c>
      <c r="F3078">
        <f>IF(Skills!M22=TRUE,(Skills!K22/10)*(E3078/1000),Skills!K22/10)+Skills!N22</f>
        <v/>
      </c>
      <c r="G3078">
        <f>Calc!G22</f>
        <v/>
      </c>
      <c r="H3078">
        <f>Calc!H22</f>
        <v/>
      </c>
      <c r="I3078">
        <f>IF(Skills!T22&lt;&gt;"",1+(Skills!T22/10)*($Z$3/1000)/100,1)</f>
        <v/>
      </c>
      <c r="J3078" t="inlineStr"/>
      <c r="K3078" t="inlineStr"/>
      <c r="L3078" t="inlineStr"/>
      <c r="M3078" t="inlineStr"/>
      <c r="N3078" t="inlineStr"/>
      <c r="O3078">
        <f>(1-Summary!$B$11)*S3078+Summary!$B$11*U3078</f>
        <v/>
      </c>
      <c r="P3078">
        <f>IF(B3099=0,0,O3078/B3099)</f>
        <v/>
      </c>
      <c r="Q3078">
        <f>IFERROR(1/(IF(Inputs!$B$39="pvp",15,MAX(0.1,Skills!D22-IF(Skills!E22=TRUE,2.0,0)))*(1-IF(AND(ArtifactsInput!$M$27,Inputs!$B$4="Chapter Hunt"),CHOOSE(ArtifactsInput!$N$27+1,20,24,28,32,36,40),0)/100)),0)</f>
        <v/>
      </c>
      <c r="R3078" t="n">
        <v>0</v>
      </c>
      <c r="S3078" t="n">
        <v>0</v>
      </c>
      <c r="U3078" t="n">
        <v>0</v>
      </c>
    </row>
    <row r="3079">
      <c r="A3079">
        <f>Skills!A23</f>
        <v/>
      </c>
      <c r="B3079">
        <f>Skills!B23</f>
        <v/>
      </c>
      <c r="C3079">
        <f>Inputs!$B$3&gt;=50</f>
        <v/>
      </c>
      <c r="D3079">
        <f>IF(Skills!C23=1,60+Inputs!$B$26+Inputs!$B$30,IF(Skills!C23=2,90+Inputs!$B$27+Inputs!$B$30,IF(Skills!C23=3,120+Inputs!$B$28+Inputs!$B$30,MAX(0,(Inputs!$B$3-100)*3)+Inputs!$B$29+Inputs!$B$30)))</f>
        <v/>
      </c>
      <c r="E3079">
        <f>INDEX(FactorTable!$B$2:$Y$301, MATCH(ROUND(MIN(300,MAX(1,D3079)),0), FactorTable!$A$2:$A$301,0), Skills!L23+1)</f>
        <v/>
      </c>
      <c r="F3079">
        <f>IF(Skills!M23=TRUE,(Skills!K23/10)*(E3079/1000),Skills!K23/10)+Skills!N23</f>
        <v/>
      </c>
      <c r="G3079">
        <f>Calc!G23</f>
        <v/>
      </c>
      <c r="H3079">
        <f>Calc!H23</f>
        <v/>
      </c>
      <c r="I3079">
        <f>IF(Skills!T23&lt;&gt;"",1+(Skills!T23/10)*($Z$3/1000)/100,1)</f>
        <v/>
      </c>
      <c r="J3079" t="inlineStr"/>
      <c r="K3079" t="inlineStr"/>
      <c r="L3079" t="inlineStr"/>
      <c r="M3079" t="inlineStr"/>
      <c r="N3079" t="inlineStr"/>
      <c r="O3079">
        <f>(1-Summary!$B$11)*S3079+Summary!$B$11*U3079</f>
        <v/>
      </c>
      <c r="P3079">
        <f>IF(B3099=0,0,O3079/B3099)</f>
        <v/>
      </c>
      <c r="Q3079">
        <f>IFERROR(1/(IF(Inputs!$B$39="pvp",15,MAX(0.1,Skills!D23-IF(Skills!E23=TRUE,2.0,0)))*(1-IF(AND(ArtifactsInput!$M$27,Inputs!$B$4="Chapter Hunt"),CHOOSE(ArtifactsInput!$N$27+1,20,24,28,32,36,40),0)/100)),0)</f>
        <v/>
      </c>
      <c r="R3079" t="n">
        <v>0</v>
      </c>
      <c r="S3079" t="n">
        <v>0</v>
      </c>
      <c r="U3079" t="n">
        <v>0</v>
      </c>
    </row>
    <row r="3080">
      <c r="A3080">
        <f>Skills!A24</f>
        <v/>
      </c>
      <c r="B3080">
        <f>Skills!B24</f>
        <v/>
      </c>
      <c r="C3080">
        <f>Inputs!$B$3&gt;=74</f>
        <v/>
      </c>
      <c r="D3080">
        <f>IF(Skills!C24=1,60+Inputs!$B$26+Inputs!$B$30,IF(Skills!C24=2,90+Inputs!$B$27+Inputs!$B$30,IF(Skills!C24=3,120+Inputs!$B$28+Inputs!$B$30,MAX(0,(Inputs!$B$3-100)*3)+Inputs!$B$29+Inputs!$B$30)))</f>
        <v/>
      </c>
      <c r="E3080">
        <f>INDEX(FactorTable!$B$2:$Y$301, MATCH(ROUND(MIN(300,MAX(1,D3080)),0), FactorTable!$A$2:$A$301,0), Skills!L24+1)</f>
        <v/>
      </c>
      <c r="F3080">
        <f>IF(Skills!M24=TRUE,(Skills!K24/10)*(E3080/1000),Skills!K24/10)+Skills!N24</f>
        <v/>
      </c>
      <c r="G3080">
        <f>Calc!G24</f>
        <v/>
      </c>
      <c r="H3080">
        <f>Calc!H24</f>
        <v/>
      </c>
      <c r="I3080">
        <f>IF(Skills!T24&lt;&gt;"",1+(Skills!T24/10)*($Z$3/1000)/100,1)</f>
        <v/>
      </c>
      <c r="J3080" t="inlineStr"/>
      <c r="K3080" t="inlineStr"/>
      <c r="L3080" t="inlineStr"/>
      <c r="M3080" t="inlineStr"/>
      <c r="N3080" t="inlineStr"/>
      <c r="O3080">
        <f>(1-Summary!$B$11)*S3080+Summary!$B$11*U3080</f>
        <v/>
      </c>
      <c r="P3080">
        <f>IF(B3099=0,0,O3080/B3099)</f>
        <v/>
      </c>
      <c r="Q3080">
        <f>IFERROR(1/(IF(Inputs!$B$39="pvp",15,MAX(0.1,Skills!D24-IF(Skills!E24=TRUE,2.0,0)))*(1-IF(AND(ArtifactsInput!$M$27,Inputs!$B$4="Chapter Hunt"),CHOOSE(ArtifactsInput!$N$27+1,20,24,28,32,36,40),0)/100)),0)</f>
        <v/>
      </c>
      <c r="R3080" t="n">
        <v>0</v>
      </c>
      <c r="S3080" t="n">
        <v>0</v>
      </c>
      <c r="U3080" t="n">
        <v>0</v>
      </c>
    </row>
    <row r="3081">
      <c r="A3081">
        <f>Skills!A25</f>
        <v/>
      </c>
      <c r="B3081">
        <f>Skills!B25</f>
        <v/>
      </c>
      <c r="C3081">
        <f>Inputs!$B$3&gt;=74</f>
        <v/>
      </c>
      <c r="D3081">
        <f>IF(Skills!C25=1,60+Inputs!$B$26+Inputs!$B$30,IF(Skills!C25=2,90+Inputs!$B$27+Inputs!$B$30,IF(Skills!C25=3,120+Inputs!$B$28+Inputs!$B$30,MAX(0,(Inputs!$B$3-100)*3)+Inputs!$B$29+Inputs!$B$30)))</f>
        <v/>
      </c>
      <c r="E3081">
        <f>INDEX(FactorTable!$B$2:$Y$301, MATCH(ROUND(MIN(300,MAX(1,D3081)),0), FactorTable!$A$2:$A$301,0), Skills!L25+1)</f>
        <v/>
      </c>
      <c r="F3081">
        <f>IF(Skills!M25=TRUE,(Skills!K25/10)*(E3081/1000),Skills!K25/10)+Skills!N25</f>
        <v/>
      </c>
      <c r="G3081">
        <f>Calc!G25</f>
        <v/>
      </c>
      <c r="H3081">
        <f>Calc!H25</f>
        <v/>
      </c>
      <c r="I3081">
        <f>IF(Skills!T25&lt;&gt;"",1+(Skills!T25/10)*($Z$3/1000)/100,1)</f>
        <v/>
      </c>
      <c r="J3081" t="inlineStr"/>
      <c r="K3081" t="inlineStr"/>
      <c r="L3081" t="inlineStr"/>
      <c r="M3081" t="inlineStr"/>
      <c r="N3081" t="inlineStr"/>
      <c r="O3081">
        <f>(1-Summary!$B$11)*S3081+Summary!$B$11*U3081</f>
        <v/>
      </c>
      <c r="P3081">
        <f>IF(B3099=0,0,O3081/B3099)</f>
        <v/>
      </c>
      <c r="Q3081">
        <f>IFERROR(1/(IF(Inputs!$B$39="pvp",15,MAX(0.1,Skills!D25-IF(Skills!E25=TRUE,2.0,0)))*(1-IF(AND(ArtifactsInput!$M$27,Inputs!$B$4="Chapter Hunt"),CHOOSE(ArtifactsInput!$N$27+1,20,24,28,32,36,40),0)/100)),0)</f>
        <v/>
      </c>
      <c r="R3081" t="n">
        <v>0</v>
      </c>
      <c r="S3081" t="n">
        <v>0</v>
      </c>
      <c r="U3081" t="n">
        <v>0</v>
      </c>
    </row>
    <row r="3082">
      <c r="A3082">
        <f>Skills!A26</f>
        <v/>
      </c>
      <c r="B3082">
        <f>Skills!B26</f>
        <v/>
      </c>
      <c r="C3082">
        <f>Inputs!$B$3&gt;=117</f>
        <v/>
      </c>
      <c r="D3082">
        <f>IF(Skills!C26=1,60+Inputs!$B$26+Inputs!$B$30,IF(Skills!C26=2,90+Inputs!$B$27+Inputs!$B$30,IF(Skills!C26=3,120+Inputs!$B$28+Inputs!$B$30,MAX(0,(Inputs!$B$3-100)*3)+Inputs!$B$29+Inputs!$B$30)))</f>
        <v/>
      </c>
      <c r="E3082">
        <f>INDEX(FactorTable!$B$2:$Y$301, MATCH(ROUND(MIN(300,MAX(1,D3082)),0), FactorTable!$A$2:$A$301,0), Skills!L26+1)</f>
        <v/>
      </c>
      <c r="F3082">
        <f>IF(Skills!M26=TRUE,(Skills!K26/10)*(E3082/1000),Skills!K26/10)+Skills!N26</f>
        <v/>
      </c>
      <c r="G3082">
        <f>Calc!G26</f>
        <v/>
      </c>
      <c r="H3082">
        <f>Calc!H26</f>
        <v/>
      </c>
      <c r="I3082">
        <f>IF(Skills!T26&lt;&gt;"",1+(Skills!T26/10)*($Z$3/1000)/100,1)</f>
        <v/>
      </c>
      <c r="J3082" t="inlineStr"/>
      <c r="K3082" t="inlineStr"/>
      <c r="L3082" t="inlineStr"/>
      <c r="M3082" t="inlineStr"/>
      <c r="N3082" t="inlineStr"/>
      <c r="O3082">
        <f>(1-Summary!$B$11)*S3082+Summary!$B$11*U3082</f>
        <v/>
      </c>
      <c r="P3082">
        <f>IF(B3099=0,0,O3082/B3099)</f>
        <v/>
      </c>
      <c r="Q3082">
        <f>IFERROR(1/(IF(Inputs!$B$39="pvp",15,MAX(0.1,Skills!D26-IF(Skills!E26=TRUE,2.0,0)))*(1-IF(AND(ArtifactsInput!$M$27,Inputs!$B$4="Chapter Hunt"),CHOOSE(ArtifactsInput!$N$27+1,20,24,28,32,36,40),0)/100)),0)</f>
        <v/>
      </c>
      <c r="R3082" t="n">
        <v>0</v>
      </c>
      <c r="S3082" t="n">
        <v>0</v>
      </c>
      <c r="U3082" t="n">
        <v>0</v>
      </c>
    </row>
    <row r="3083">
      <c r="A3083">
        <f>Skills!A27</f>
        <v/>
      </c>
      <c r="B3083">
        <f>Skills!B27</f>
        <v/>
      </c>
      <c r="C3083">
        <f>Inputs!$B$3&gt;=120</f>
        <v/>
      </c>
      <c r="D3083">
        <f>IF(Skills!C27=1,60+Inputs!$B$26+Inputs!$B$30,IF(Skills!C27=2,90+Inputs!$B$27+Inputs!$B$30,IF(Skills!C27=3,120+Inputs!$B$28+Inputs!$B$30,MAX(0,(Inputs!$B$3-100)*3)+Inputs!$B$29+Inputs!$B$30)))</f>
        <v/>
      </c>
      <c r="E3083">
        <f>INDEX(FactorTable!$B$2:$Y$301, MATCH(ROUND(MIN(300,MAX(1,D3083)),0), FactorTable!$A$2:$A$301,0), Skills!L27+1)</f>
        <v/>
      </c>
      <c r="F3083">
        <f>IF(Skills!M27=TRUE,(Skills!K27/10)*(E3083/1000),Skills!K27/10)+Skills!N27</f>
        <v/>
      </c>
      <c r="G3083">
        <f>Calc!G27</f>
        <v/>
      </c>
      <c r="H3083">
        <f>Calc!H27</f>
        <v/>
      </c>
      <c r="I3083">
        <f>IF(Skills!T27&lt;&gt;"",1+(Skills!T27/10)*($Z$3/1000)/100,1)</f>
        <v/>
      </c>
      <c r="J3083" t="inlineStr"/>
      <c r="K3083" t="inlineStr"/>
      <c r="L3083" t="inlineStr"/>
      <c r="M3083" t="inlineStr"/>
      <c r="N3083" t="inlineStr"/>
      <c r="O3083">
        <f>(1-Summary!$B$11)*S3083+Summary!$B$11*U3083</f>
        <v/>
      </c>
      <c r="P3083">
        <f>IF(B3099=0,0,O3083/B3099)</f>
        <v/>
      </c>
      <c r="Q3083">
        <f>IFERROR(1/(IF(Inputs!$B$39="pvp",15,MAX(0.1,Skills!D27-IF(Skills!E27=TRUE,2.0,0)))*(1-IF(AND(ArtifactsInput!$M$27,Inputs!$B$4="Chapter Hunt"),CHOOSE(ArtifactsInput!$N$27+1,20,24,28,32,36,40),0)/100)),0)</f>
        <v/>
      </c>
      <c r="R3083" t="n">
        <v>0</v>
      </c>
      <c r="S3083" t="n">
        <v>0</v>
      </c>
      <c r="U3083" t="n">
        <v>0</v>
      </c>
    </row>
    <row r="3084">
      <c r="A3084">
        <f>Skills!A28</f>
        <v/>
      </c>
      <c r="B3084">
        <f>Skills!B28</f>
        <v/>
      </c>
      <c r="C3084">
        <f>TRUE</f>
        <v/>
      </c>
      <c r="D3084">
        <f>IF(Skills!C28=1,60+Inputs!$B$26+Inputs!$B$30,IF(Skills!C28=2,90+Inputs!$B$27+Inputs!$B$30,IF(Skills!C28=3,120+Inputs!$B$28+Inputs!$B$30,MAX(0,(Inputs!$B$3-100)*3)+Inputs!$B$29+Inputs!$B$30)))</f>
        <v/>
      </c>
      <c r="E3084">
        <f>INDEX(FactorTable!$B$2:$Y$301, MATCH(ROUND(MIN(300,MAX(1,D3084)),0), FactorTable!$A$2:$A$301,0), Skills!L28+1)</f>
        <v/>
      </c>
      <c r="F3084">
        <f>IF(Skills!M28=TRUE,(Skills!K28/10)*(E3084/1000),Skills!K28/10)+Skills!N28</f>
        <v/>
      </c>
      <c r="G3084">
        <f>Calc!G28</f>
        <v/>
      </c>
      <c r="H3084">
        <f>Calc!H28</f>
        <v/>
      </c>
      <c r="I3084">
        <f>IF(Skills!T28&lt;&gt;"",1+(Skills!T28/10)*($Z$3/1000)/100,1)</f>
        <v/>
      </c>
      <c r="J3084" t="inlineStr"/>
      <c r="K3084" t="inlineStr"/>
      <c r="L3084" t="inlineStr"/>
      <c r="M3084" t="inlineStr"/>
      <c r="N3084" t="inlineStr"/>
      <c r="O3084">
        <f>(1-Summary!$B$11)*S3084+Summary!$B$11*U3084</f>
        <v/>
      </c>
      <c r="P3084">
        <f>IF(B3099=0,0,O3084/B3099)</f>
        <v/>
      </c>
      <c r="Q3084">
        <f>IFERROR(1/(IF(Inputs!$B$39="pvp",15,MAX(0.1,Skills!D28-IF(Skills!E28=TRUE,2.0,0)))*(1-IF(AND(ArtifactsInput!$M$27,Inputs!$B$4="Chapter Hunt"),CHOOSE(ArtifactsInput!$N$27+1,20,24,28,32,36,40),0)/100)),0)</f>
        <v/>
      </c>
      <c r="R3084">
        <f>IF(AND(Inputs!$B$39&lt;&gt;"pvp",Inputs!$B$44&gt;0),IF(Inputs!$B$44&lt;=0,0,(INT(Inputs!$B$44/(IF(Inputs!$B$39="pvp",15,MAX(0.1,Skills!D28-IF(Skills!E28=TRUE,2.0,0)))*(1-IF(AND(ArtifactsInput!$M$27,Inputs!$B$4="Chapter Hunt"),CHOOSE(ArtifactsInput!$N$27+1,20,24,28,32,36,40),0)/100)))+1)),0)</f>
        <v/>
      </c>
      <c r="S3084" t="n">
        <v>0</v>
      </c>
      <c r="U3084" t="n">
        <v>0</v>
      </c>
    </row>
    <row r="3086">
      <c r="A3086" t="inlineStr">
        <is>
          <t>Average Buff Multiplier</t>
        </is>
      </c>
      <c r="B3086">
        <f>(1+(IF(C3059=TRUE,F3059*IF(AND(Inputs!$B$39&lt;&gt;"pvp",Inputs!$B$44&gt;0),(((R3059-1)*(Skills!S3*(1+((Inputs!$B$35+(ArtifactsInput!$M$7-ArtifactsInput!$M$7)*CHOOSE(ArtifactsInput!$N$7+1,6,7.2,8.4,9.6,10.8,12))+IF(Inputs!$B$3&gt;=117,F3082,0))/100))+MIN((Skills!S3*(1+((Inputs!$B$35+(ArtifactsInput!$M$7-ArtifactsInput!$M$7)*CHOOSE(ArtifactsInput!$N$7+1,6,7.2,8.4,9.6,10.8,12))+IF(Inputs!$B$3&gt;=117,F3082,0))/100)),MAX(0,Inputs!$B$44-((R3059-1)*Skills!D3))))/Inputs!$B$44),IF(Inputs!$B$39="pvp",MIN((Skills!S3*(1+((Inputs!$B$35+(ArtifactsInput!$M$7-ArtifactsInput!$M$7)*CHOOSE(ArtifactsInput!$N$7+1,6,7.2,8.4,9.6,10.8,12))+IF(Inputs!$B$3&gt;=117,F3082,0))/100)),15)/15,(Skills!S3*(1+((Inputs!$B$35+(ArtifactsInput!$M$7-ArtifactsInput!$M$7)*CHOOSE(ArtifactsInput!$N$7+1,6,7.2,8.4,9.6,10.8,12))+IF(Inputs!$B$3&gt;=117,F3082,0))/100))/Skills!D3)),0)+IF(C3060=TRUE,F3060*IF(AND(Inputs!$B$39&lt;&gt;"pvp",Inputs!$B$44&gt;0),(((R3060-1)*(Skills!S4*(1+((Inputs!$B$35+(ArtifactsInput!$M$7-ArtifactsInput!$M$7)*CHOOSE(ArtifactsInput!$N$7+1,6,7.2,8.4,9.6,10.8,12))+IF(Inputs!$B$3&gt;=117,F3082,0))/100))+MIN((Skills!S4*(1+((Inputs!$B$35+(ArtifactsInput!$M$7-ArtifactsInput!$M$7)*CHOOSE(ArtifactsInput!$N$7+1,6,7.2,8.4,9.6,10.8,12))+IF(Inputs!$B$3&gt;=117,F3082,0))/100)),MAX(0,Inputs!$B$44-((R3060-1)*Skills!D4))))/Inputs!$B$44),IF(Inputs!$B$39="pvp",MIN((Skills!S4*(1+((Inputs!$B$35+(ArtifactsInput!$M$7-ArtifactsInput!$M$7)*CHOOSE(ArtifactsInput!$N$7+1,6,7.2,8.4,9.6,10.8,12))+IF(Inputs!$B$3&gt;=117,F3082,0))/100)),15)/15,(Skills!S4*(1+((Inputs!$B$35+(ArtifactsInput!$M$7-ArtifactsInput!$M$7)*CHOOSE(ArtifactsInput!$N$7+1,6,7.2,8.4,9.6,10.8,12))+IF(Inputs!$B$3&gt;=117,F3082,0))/100))/Skills!D4)),0)+IF(C3061=TRUE,F3061*IF(AND(Inputs!$B$39&lt;&gt;"pvp",Inputs!$B$44&gt;0),(((R3061-1)*(Skills!S5*(1+((Inputs!$B$35+(ArtifactsInput!$M$7-ArtifactsInput!$M$7)*CHOOSE(ArtifactsInput!$N$7+1,6,7.2,8.4,9.6,10.8,12))+IF(Inputs!$B$3&gt;=117,F3082,0))/100))+MIN((Skills!S5*(1+((Inputs!$B$35+(ArtifactsInput!$M$7-ArtifactsInput!$M$7)*CHOOSE(ArtifactsInput!$N$7+1,6,7.2,8.4,9.6,10.8,12))+IF(Inputs!$B$3&gt;=117,F3082,0))/100)),MAX(0,Inputs!$B$44-((R3061-1)*Skills!D5))))/Inputs!$B$44),IF(Inputs!$B$39="pvp",MIN((Skills!S5*(1+((Inputs!$B$35+(ArtifactsInput!$M$7-ArtifactsInput!$M$7)*CHOOSE(ArtifactsInput!$N$7+1,6,7.2,8.4,9.6,10.8,12))+IF(Inputs!$B$3&gt;=117,F3082,0))/100)),15)/15,(Skills!S5*(1+((Inputs!$B$35+(ArtifactsInput!$M$7-ArtifactsInput!$M$7)*CHOOSE(ArtifactsInput!$N$7+1,6,7.2,8.4,9.6,10.8,12))+IF(Inputs!$B$3&gt;=117,F3082,0))/100))/Skills!D5)),0)+IF(C3067=TRUE,F3067*IF(AND(Inputs!$B$39&lt;&gt;"pvp",Inputs!$B$44&gt;0),(((R3067-1)*(Skills!S11*(1+((Inputs!$B$35+(ArtifactsInput!$M$7-ArtifactsInput!$M$7)*CHOOSE(ArtifactsInput!$N$7+1,6,7.2,8.4,9.6,10.8,12))+IF(Inputs!$B$3&gt;=117,F3082,0))/100))+MIN((Skills!S11*(1+((Inputs!$B$35+(ArtifactsInput!$M$7-ArtifactsInput!$M$7)*CHOOSE(ArtifactsInput!$N$7+1,6,7.2,8.4,9.6,10.8,12))+IF(Inputs!$B$3&gt;=117,F3082,0))/100)),MAX(0,Inputs!$B$44-((R3067-1)*Skills!D11))))/Inputs!$B$44),IF(Inputs!$B$39="pvp",MIN((Skills!S11*(1+((Inputs!$B$35+(ArtifactsInput!$M$7-ArtifactsInput!$M$7)*CHOOSE(ArtifactsInput!$N$7+1,6,7.2,8.4,9.6,10.8,12))+IF(Inputs!$B$3&gt;=117,F3082,0))/100)),15)/15,(Skills!S11*(1+((Inputs!$B$35+(ArtifactsInput!$M$7-ArtifactsInput!$M$7)*CHOOSE(ArtifactsInput!$N$7+1,6,7.2,8.4,9.6,10.8,12))+IF(Inputs!$B$3&gt;=117,F3082,0)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3070=TRUE,(1+F3070*IF(AND(Inputs!$B$39&lt;&gt;"pvp",Inputs!$B$44&gt;0),(((R3070-1)*(Skills!S14*(1+((Inputs!$B$35+(ArtifactsInput!$M$7-ArtifactsInput!$M$7)*CHOOSE(ArtifactsInput!$N$7+1,6,7.2,8.4,9.6,10.8,12))+IF(Inputs!$B$3&gt;=117,F3082,0))/100))+MIN((Skills!S14*(1+((Inputs!$B$35+(ArtifactsInput!$M$7-ArtifactsInput!$M$7)*CHOOSE(ArtifactsInput!$N$7+1,6,7.2,8.4,9.6,10.8,12))+IF(Inputs!$B$3&gt;=117,F3082,0))/100)),MAX(0,Inputs!$B$44-((R3070-1)*Skills!D14))))/Inputs!$B$44),IF(Inputs!$B$39="pvp",MIN((Skills!S14*(1+((Inputs!$B$35+(ArtifactsInput!$M$7-ArtifactsInput!$M$7)*CHOOSE(ArtifactsInput!$N$7+1,6,7.2,8.4,9.6,10.8,12))+IF(Inputs!$B$3&gt;=117,F3082,0))/100)),15)/15,(Skills!S14*(1+((Inputs!$B$35+(ArtifactsInput!$M$7-ArtifactsInput!$M$7)*CHOOSE(ArtifactsInput!$N$7+1,6,7.2,8.4,9.6,10.8,12))+IF(Inputs!$B$3&gt;=117,F3082,0))/100))/Skills!D14))/100),1)*IF(C3075=TRUE,(1+F3075*IF(AND(Inputs!$B$39&lt;&gt;"pvp",Inputs!$B$44&gt;0),(((R3075-1)*(Skills!S19*(1+((Inputs!$B$35+(ArtifactsInput!$M$7-ArtifactsInput!$M$7)*CHOOSE(ArtifactsInput!$N$7+1,6,7.2,8.4,9.6,10.8,12))+IF(Inputs!$B$3&gt;=117,F3082,0))/100))+MIN((Skills!S19*(1+((Inputs!$B$35+(ArtifactsInput!$M$7-ArtifactsInput!$M$7)*CHOOSE(ArtifactsInput!$N$7+1,6,7.2,8.4,9.6,10.8,12))+IF(Inputs!$B$3&gt;=117,F3082,0))/100)),MAX(0,Inputs!$B$44-((R3075-1)*Skills!D19))))/Inputs!$B$44),IF(Inputs!$B$39="pvp",MIN((Skills!S19*(1+((Inputs!$B$35+(ArtifactsInput!$M$7-ArtifactsInput!$M$7)*CHOOSE(ArtifactsInput!$N$7+1,6,7.2,8.4,9.6,10.8,12))+IF(Inputs!$B$3&gt;=117,F3082,0))/100)),15)/15,(Skills!S19*(1+((Inputs!$B$35+(ArtifactsInput!$M$7-ArtifactsInput!$M$7)*CHOOSE(ArtifactsInput!$N$7+1,6,7.2,8.4,9.6,10.8,12))+IF(Inputs!$B$3&gt;=117,F3082,0))/100))/Skills!D19))/100),1)</f>
        <v/>
      </c>
    </row>
    <row r="3087">
      <c r="A3087" t="inlineStr">
        <is>
          <t>Monster Damage Taken Bonus % (Holy Fountain)</t>
        </is>
      </c>
      <c r="B3087">
        <f>IF(Inputs!$B$3&gt;=68,20*IF(Inputs!$B$39="pvp",MIN((15*(1+((Inputs!$B$35+(ArtifactsInput!$M$7-ArtifactsInput!$M$7)*CHOOSE(ArtifactsInput!$N$7+1,6,7.2,8.4,9.6,10.8,12))+IF(Inputs!$B$3&gt;=117,F3082,0))/100)),15)/15,(15*(1+((Inputs!$B$35+(ArtifactsInput!$M$7-ArtifactsInput!$M$7)*CHOOSE(ArtifactsInput!$N$7+1,6,7.2,8.4,9.6,10.8,12))+IF(Inputs!$B$3&gt;=117,F3082,0))/100))/Skills!D10),0)</f>
        <v/>
      </c>
    </row>
    <row r="3088">
      <c r="A3088" t="inlineStr">
        <is>
          <t>Normal Monster Damage Bonus % (Holy Symbol)</t>
        </is>
      </c>
      <c r="B3088">
        <f>IF(C3068=TRUE,F3068*IF(AND(Inputs!$B$39&lt;&gt;"pvp",Inputs!$B$44&gt;0),(((R3068-1)*(Skills!S12*(1+((Inputs!$B$35+(ArtifactsInput!$M$7-ArtifactsInput!$M$7)*CHOOSE(ArtifactsInput!$N$7+1,6,7.2,8.4,9.6,10.8,12))+IF(Inputs!$B$3&gt;=117,F3082,0))/100))+MIN((Skills!S12*(1+((Inputs!$B$35+(ArtifactsInput!$M$7-ArtifactsInput!$M$7)*CHOOSE(ArtifactsInput!$N$7+1,6,7.2,8.4,9.6,10.8,12))+IF(Inputs!$B$3&gt;=117,F3082,0))/100)),MAX(0,Inputs!$B$44-((R3068-1)*Skills!D12))))/Inputs!$B$44),IF(Inputs!$B$39="pvp",MIN((Skills!S12*(1+((Inputs!$B$35+(ArtifactsInput!$M$7-ArtifactsInput!$M$7)*CHOOSE(ArtifactsInput!$N$7+1,6,7.2,8.4,9.6,10.8,12))+IF(Inputs!$B$3&gt;=117,F3082,0))/100)),15)/15,(Skills!S12*(1+((Inputs!$B$35+(ArtifactsInput!$M$7-ArtifactsInput!$M$7)*CHOOSE(ArtifactsInput!$N$7+1,6,7.2,8.4,9.6,10.8,12))+IF(Inputs!$B$3&gt;=117,F3082,0))/100))/Skills!D12)),0)</f>
        <v/>
      </c>
    </row>
    <row r="3089">
      <c r="A3089" t="inlineStr">
        <is>
          <t>Damage % Bonus (Holy Symbol - Damage Boost)</t>
        </is>
      </c>
      <c r="B3089">
        <f>Skills!O12</f>
        <v/>
      </c>
    </row>
    <row r="3090">
      <c r="A3090" t="inlineStr">
        <is>
          <t>Crit Damage % Bonus (Blood of the Divine)</t>
        </is>
      </c>
      <c r="B3090">
        <f>4*IF(C3076=TRUE,F3076,0)</f>
        <v/>
      </c>
    </row>
    <row r="3091">
      <c r="A3091" t="inlineStr">
        <is>
          <t>Attack Speed Bonus %</t>
        </is>
      </c>
      <c r="B3091">
        <f>IF(C3073=TRUE,F3073+(F3077-Calc!F21),0)+IF(Inputs!$B$3&gt;=134,15,0)+((C3084=TRUE)*F3084*IF(AND(Inputs!$B$39&lt;&gt;"pvp",Inputs!$B$44&gt;0),(((R3084-1)*(Skills!S28*(1+((Inputs!$B$35+(ArtifactsInput!$M$7-ArtifactsInput!$M$7)*CHOOSE(ArtifactsInput!$N$7+1,6,7.2,8.4,9.6,10.8,12))+IF(Inputs!$B$3&gt;=117,F3082,0))/100))+MIN((Skills!S28*(1+((Inputs!$B$35+(ArtifactsInput!$M$7-ArtifactsInput!$M$7)*CHOOSE(ArtifactsInput!$N$7+1,6,7.2,8.4,9.6,10.8,12))+IF(Inputs!$B$3&gt;=117,F3082,0))/100)),MAX(0,Inputs!$B$44-((R3084-1)*Skills!D28))))/Inputs!$B$44),IF(Inputs!$B$39="pvp",MIN((Skills!S28*(1+((Inputs!$B$35+(ArtifactsInput!$M$7-ArtifactsInput!$M$7)*CHOOSE(ArtifactsInput!$N$7+1,6,7.2,8.4,9.6,10.8,12))+IF(Inputs!$B$3&gt;=117,F3082,0))/100)),15)/15,(Skills!S28*(1+((Inputs!$B$35+(ArtifactsInput!$M$7-ArtifactsInput!$M$7)*CHOOSE(ArtifactsInput!$N$7+1,6,7.2,8.4,9.6,10.8,12))+IF(Inputs!$B$3&gt;=117,F3082,0))/100))/Skills!D28)))</f>
        <v/>
      </c>
    </row>
    <row r="3092">
      <c r="A3092" t="inlineStr">
        <is>
          <t>Actions Per Second</t>
        </is>
      </c>
      <c r="B3092">
        <f>1+MIN(150,150*(1-(1-Inputs!$B$12/150)*(1-B3091/150)))/100</f>
        <v/>
      </c>
    </row>
    <row r="3093">
      <c r="A3093" t="inlineStr">
        <is>
          <t>Skill + Buff Cast Rate</t>
        </is>
      </c>
      <c r="B3093">
        <f>IF(AND(Inputs!$B$39&lt;&gt;"pvp",Inputs!$B$44&gt;0),SUMPRODUCT((Skills!E2:E28=TRUE)*(C3058:C3084=TRUE)*R3058:R3084)/Inputs!$B$44,SUMPRODUCT((Skills!E2:E28=TRUE)*(C3058:C3084=TRUE)*Q3058:Q3084))</f>
        <v/>
      </c>
    </row>
    <row r="3094">
      <c r="A3094" t="inlineStr">
        <is>
          <t>Big Bang Casts Per Second</t>
        </is>
      </c>
      <c r="B3094">
        <f>MAX(0,B3092-B3093)</f>
        <v/>
      </c>
    </row>
    <row r="3095">
      <c r="A3095" t="inlineStr">
        <is>
          <t>Defense % Bonus (Divine Protection)</t>
        </is>
      </c>
      <c r="B3095">
        <f>IF(C3069=TRUE,F3069*IF(AND(Inputs!$B$39&lt;&gt;"pvp",Inputs!$B$44&gt;0),(((R3069-1)*(Skills!S13*(1+((Inputs!$B$35+(ArtifactsInput!$M$7-ArtifactsInput!$M$7)*CHOOSE(ArtifactsInput!$N$7+1,6,7.2,8.4,9.6,10.8,12))+IF(Inputs!$B$3&gt;=117,F3082,0))/100))+MIN((Skills!S13*(1+((Inputs!$B$35+(ArtifactsInput!$M$7-ArtifactsInput!$M$7)*CHOOSE(ArtifactsInput!$N$7+1,6,7.2,8.4,9.6,10.8,12))+IF(Inputs!$B$3&gt;=117,F3082,0))/100)),MAX(0,Inputs!$B$44-((R3069-1)*Skills!D13))))/Inputs!$B$44),IF(Inputs!$B$39="pvp",MIN((Skills!S13*(1+((Inputs!$B$35+(ArtifactsInput!$M$7-ArtifactsInput!$M$7)*CHOOSE(ArtifactsInput!$N$7+1,6,7.2,8.4,9.6,10.8,12))+IF(Inputs!$B$3&gt;=117,F3082,0))/100)),15)/15,(Skills!S13*(1+((Inputs!$B$35+(ArtifactsInput!$M$7-ArtifactsInput!$M$7)*CHOOSE(ArtifactsInput!$N$7+1,6,7.2,8.4,9.6,10.8,12))+IF(Inputs!$B$3&gt;=117,F3082,0))/100))/Skills!D13)),0)</f>
        <v/>
      </c>
    </row>
    <row r="3096">
      <c r="A3096" t="inlineStr">
        <is>
          <t>Buff-Casting Startup Delay (s, fixed-duration only)</t>
        </is>
      </c>
      <c r="B3096">
        <f>IF(AND(Inputs!$B$39&lt;&gt;"pvp",Inputs!$B$44&gt;0),SUMPRODUCT((Skills!S2:S28&gt;0)*(Skills!E2:E28=TRUE)*(C3058:C3084=TRUE))/B3092,0)</f>
        <v/>
      </c>
    </row>
    <row r="3097">
      <c r="A3097" t="inlineStr">
        <is>
          <t>Boss-Only Total DPS (this block's swept value)</t>
        </is>
      </c>
      <c r="B3097">
        <f>SUM(S3058:S3084)</f>
        <v/>
      </c>
    </row>
    <row r="3098">
      <c r="A3098" t="inlineStr">
        <is>
          <t>Normal-Only Total DPS (this block's swept value)</t>
        </is>
      </c>
      <c r="B3098">
        <f>SUM(U3058:U3084)</f>
        <v/>
      </c>
    </row>
    <row r="3099">
      <c r="A3099" s="6" t="inlineStr">
        <is>
          <t>TOTAL DPS</t>
        </is>
      </c>
      <c r="B3099" s="6">
        <f>SUM(O3058:O3084)</f>
        <v/>
      </c>
    </row>
    <row r="3101">
      <c r="A3101" s="6" t="inlineStr">
        <is>
          <t>Stat: CDR = 2.5s</t>
        </is>
      </c>
    </row>
    <row r="3102">
      <c r="A3102" s="5" t="inlineStr">
        <is>
          <t>Key</t>
        </is>
      </c>
      <c r="B3102" s="5" t="inlineStr">
        <is>
          <t>Name</t>
        </is>
      </c>
      <c r="C3102" s="5" t="inlineStr">
        <is>
          <t>Unlocked</t>
        </is>
      </c>
      <c r="D3102" s="5" t="inlineStr">
        <is>
          <t>InputLevel</t>
        </is>
      </c>
      <c r="E3102" s="5" t="inlineStr">
        <is>
          <t>Factor</t>
        </is>
      </c>
      <c r="F3102" s="5" t="inlineStr">
        <is>
          <t>CoefficientPercent</t>
        </is>
      </c>
      <c r="G3102" s="5" t="inlineStr">
        <is>
          <t>EffectiveHits</t>
        </is>
      </c>
      <c r="H3102" s="5" t="inlineStr">
        <is>
          <t>ProcProbability</t>
        </is>
      </c>
      <c r="I3102" s="5" t="inlineStr">
        <is>
          <t>MapleHeroMultiplier</t>
        </is>
      </c>
      <c r="J3102" s="5" t="inlineStr">
        <is>
          <t>BaseDamage</t>
        </is>
      </c>
      <c r="K3102" s="5" t="inlineStr">
        <is>
          <t>BaseHitDamage</t>
        </is>
      </c>
      <c r="L3102" s="5" t="inlineStr">
        <is>
          <t>NonCritAvg</t>
        </is>
      </c>
      <c r="M3102" s="5" t="inlineStr">
        <is>
          <t>CritAvg</t>
        </is>
      </c>
      <c r="N3102" s="5" t="inlineStr">
        <is>
          <t>ExpectedDamage(perHit)</t>
        </is>
      </c>
      <c r="O3102" s="5" t="inlineStr">
        <is>
          <t>DPS</t>
        </is>
      </c>
      <c r="P3102" s="5" t="inlineStr">
        <is>
          <t>% of Total</t>
        </is>
      </c>
      <c r="R3102" t="inlineStr">
        <is>
          <t>helpers</t>
        </is>
      </c>
    </row>
    <row r="3103">
      <c r="A3103">
        <f>Skills!A2</f>
        <v/>
      </c>
      <c r="B3103">
        <f>Skills!B2</f>
        <v/>
      </c>
      <c r="C3103">
        <f>Inputs!$B$3&gt;=100</f>
        <v/>
      </c>
      <c r="D3103" t="inlineStr"/>
      <c r="E3103" t="inlineStr"/>
      <c r="F3103">
        <f>T3105+Skills!N2</f>
        <v/>
      </c>
      <c r="G3103">
        <f>Calc!G2</f>
        <v/>
      </c>
      <c r="H3103">
        <f>Calc!H2</f>
        <v/>
      </c>
      <c r="I3103">
        <f>IF(Skills!T2&lt;&gt;"",1+(Skills!T2/10)*($Z$3/1000)/100,1)</f>
        <v/>
      </c>
      <c r="J3103">
        <f>((Inputs!$B$6*(1+Inputs!$B$7/100))+(((Inputs!$B$13*(1+Inputs!$B$14/100))-(Inputs!$B$13*(1+Inputs!$B$14/100)))+0.25*(Inputs!$B$15-Inputs!$B$15))*(1+Inputs!$B$7/100))*(F3103/100)</f>
        <v/>
      </c>
      <c r="K3103">
        <f>J3103*(1+(((Inputs!$B$13+IF(Inputs!$B$3&gt;=35,(10*INDEX(FactorTable!$B$2:$Y$301,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2="TRIUMPH_FEATHER",IF(C3117=TRUE,F3117,0),0)/100)*(1+IF(C3128=TRUE,F3128,0)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3103)</f>
        <v/>
      </c>
      <c r="L3103">
        <f>K3103*(MIN(Inputs!$B$23+(F3123-Calc!F22),(Inputs!$B$24+IF(ArtifactsInput!$M$15,CHOOSE(ArtifactsInput!$N$15+1,25,30,35,40,45,50)/100*(Inputs!$B$12-Inputs!$B$12),0)))/100+(Inputs!$B$24+IF(ArtifactsInput!$M$15,CHOOSE(ArtifactsInput!$N$15+1,25,30,35,40,45,50)/100*(Inputs!$B$12-Inputs!$B$12),0))/100)/2</f>
        <v/>
      </c>
      <c r="M3103">
        <f>L3103*(1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3">
        <f>L3103*(1-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3103*(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3">
        <f>(1-Summary!$B$11)*S3103+Summary!$B$11*U3103</f>
        <v/>
      </c>
      <c r="P3103">
        <f>IF(B3144=0,0,O3103/B3144)</f>
        <v/>
      </c>
      <c r="Q3103">
        <f>IFERROR(1/(IF(Inputs!$B$39="pvp",15,MAX(0.1,Skills!D2-IF(Skills!E2=TRUE,2.5,0)))*(1-IF(AND(ArtifactsInput!$M$27,Inputs!$B$4="Chapter Hunt"),CHOOSE(ArtifactsInput!$N$27+1,20,24,28,32,36,40),0)/100)),0)</f>
        <v/>
      </c>
      <c r="R3103" t="n">
        <v>0</v>
      </c>
      <c r="S3103">
        <f>IF(C3103,(Skills!F2*N3103*B3139)*IF(Inputs!$B$39="pvp",1,1+(Inputs!$B$21+Skills!O2+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3103*(1-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3103*(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3103*(1-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3103*(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03">
        <f>MAX(0,(Inputs!$B$3-100)*3)+Inputs!$B$29+Inputs!$B$30</f>
        <v/>
      </c>
      <c r="U3103">
        <f>IF(C3103,(Skills!F2*N3103*B3139)*IF(Inputs!$B$39="pvp",1,(1+(Inputs!$B$22+Skills!P2+B3133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4">
      <c r="A3104">
        <f>Skills!A3</f>
        <v/>
      </c>
      <c r="B3104">
        <f>Skills!B3</f>
        <v/>
      </c>
      <c r="C3104">
        <f>Inputs!$B$3&gt;=15</f>
        <v/>
      </c>
      <c r="D3104">
        <f>IF(Skills!C3=1,60+Inputs!$B$26+Inputs!$B$30,IF(Skills!C3=2,90+Inputs!$B$27+Inputs!$B$30,IF(Skills!C3=3,120+Inputs!$B$28+Inputs!$B$30,MAX(0,(Inputs!$B$3-100)*3)+Inputs!$B$29+Inputs!$B$30)))</f>
        <v/>
      </c>
      <c r="E3104">
        <f>INDEX(FactorTable!$B$2:$Y$301, MATCH(ROUND(MIN(300,MAX(1,D3104)),0), FactorTable!$A$2:$A$301,0), Skills!L3+1)</f>
        <v/>
      </c>
      <c r="F3104">
        <f>IF(Skills!M3=TRUE,(Skills!K3/10)*(E3104/1000),Skills!K3/10)+Skills!N3</f>
        <v/>
      </c>
      <c r="G3104">
        <f>Calc!G3</f>
        <v/>
      </c>
      <c r="H3104">
        <f>Calc!H3</f>
        <v/>
      </c>
      <c r="I3104">
        <f>IF(Skills!T3&lt;&gt;"",1+(Skills!T3/10)*($Z$3/1000)/100,1)</f>
        <v/>
      </c>
      <c r="J3104" t="inlineStr"/>
      <c r="K3104" t="inlineStr"/>
      <c r="L3104" t="inlineStr"/>
      <c r="M3104" t="inlineStr"/>
      <c r="N3104" t="inlineStr"/>
      <c r="O3104">
        <f>(1-Summary!$B$11)*S3104+Summary!$B$11*U3104</f>
        <v/>
      </c>
      <c r="P3104">
        <f>IF(B3144=0,0,O3104/B3144)</f>
        <v/>
      </c>
      <c r="Q3104">
        <f>IFERROR(1/(IF(Inputs!$B$39="pvp",15,MAX(0.1,Skills!D3-IF(Skills!E3=TRUE,2.5,0)))*(1-IF(AND(ArtifactsInput!$M$27,Inputs!$B$4="Chapter Hunt"),CHOOSE(ArtifactsInput!$N$27+1,20,24,28,32,36,40),0)/100)),0)</f>
        <v/>
      </c>
      <c r="R3104">
        <f>IF(AND(Inputs!$B$39&lt;&gt;"pvp",Inputs!$B$44&gt;0),IF(Inputs!$B$44&lt;=0,0,(INT(Inputs!$B$44/(IF(Inputs!$B$39="pvp",15,MAX(0.1,Skills!D3-IF(Skills!E3=TRUE,2.5,0)))*(1-IF(AND(ArtifactsInput!$M$27,Inputs!$B$4="Chapter Hunt"),CHOOSE(ArtifactsInput!$N$27+1,20,24,28,32,36,40),0)/100)))+1)),0)</f>
        <v/>
      </c>
      <c r="S3104" t="n">
        <v>0</v>
      </c>
      <c r="T3104">
        <f>INDEX(FactorTable!$B$2:$Y$301, MATCH(ROUND(MIN(300,MAX(1,T3103)),0), FactorTable!$A$2:$A$301,0), 22)</f>
        <v/>
      </c>
      <c r="U3104" t="n">
        <v>0</v>
      </c>
    </row>
    <row r="3105">
      <c r="A3105">
        <f>Skills!A4</f>
        <v/>
      </c>
      <c r="B3105">
        <f>Skills!B4</f>
        <v/>
      </c>
      <c r="C3105">
        <f>Inputs!$B$3&gt;=38</f>
        <v/>
      </c>
      <c r="D3105">
        <f>IF(Skills!C4=1,60+Inputs!$B$26+Inputs!$B$30,IF(Skills!C4=2,90+Inputs!$B$27+Inputs!$B$30,IF(Skills!C4=3,120+Inputs!$B$28+Inputs!$B$30,MAX(0,(Inputs!$B$3-100)*3)+Inputs!$B$29+Inputs!$B$30)))</f>
        <v/>
      </c>
      <c r="E3105">
        <f>INDEX(FactorTable!$B$2:$Y$301, MATCH(ROUND(MIN(300,MAX(1,D3105)),0), FactorTable!$A$2:$A$301,0), Skills!L4+1)</f>
        <v/>
      </c>
      <c r="F3105">
        <f>IF(Skills!M4=TRUE,(Skills!K4/10)*(E3105/1000),Skills!K4/10)+Skills!N4</f>
        <v/>
      </c>
      <c r="G3105">
        <f>Calc!G4</f>
        <v/>
      </c>
      <c r="H3105">
        <f>Calc!H4</f>
        <v/>
      </c>
      <c r="I3105">
        <f>IF(Skills!T4&lt;&gt;"",1+(Skills!T4/10)*($Z$3/1000)/100,1)</f>
        <v/>
      </c>
      <c r="J3105" t="inlineStr"/>
      <c r="K3105" t="inlineStr"/>
      <c r="L3105" t="inlineStr"/>
      <c r="M3105" t="inlineStr"/>
      <c r="N3105" t="inlineStr"/>
      <c r="O3105">
        <f>(1-Summary!$B$11)*S3105+Summary!$B$11*U3105</f>
        <v/>
      </c>
      <c r="P3105">
        <f>IF(B3144=0,0,O3105/B3144)</f>
        <v/>
      </c>
      <c r="Q3105">
        <f>IFERROR(1/(IF(Inputs!$B$39="pvp",15,MAX(0.1,Skills!D4-IF(Skills!E4=TRUE,2.5,0)))*(1-IF(AND(ArtifactsInput!$M$27,Inputs!$B$4="Chapter Hunt"),CHOOSE(ArtifactsInput!$N$27+1,20,24,28,32,36,40),0)/100)),0)</f>
        <v/>
      </c>
      <c r="R3105">
        <f>IF(AND(Inputs!$B$39&lt;&gt;"pvp",Inputs!$B$44&gt;0),IF(Inputs!$B$44&lt;=0,0,(INT(Inputs!$B$44/(IF(Inputs!$B$39="pvp",15,MAX(0.1,Skills!D4-IF(Skills!E4=TRUE,2.5,0)))*(1-IF(AND(ArtifactsInput!$M$27,Inputs!$B$4="Chapter Hunt"),CHOOSE(ArtifactsInput!$N$27+1,20,24,28,32,36,40),0)/100)))+1)),0)</f>
        <v/>
      </c>
      <c r="S3105" t="n">
        <v>0</v>
      </c>
      <c r="T3105">
        <f>290*T3104/1000</f>
        <v/>
      </c>
      <c r="U3105" t="n">
        <v>0</v>
      </c>
    </row>
    <row r="3106">
      <c r="A3106">
        <f>Skills!A5</f>
        <v/>
      </c>
      <c r="B3106">
        <f>Skills!B5</f>
        <v/>
      </c>
      <c r="C3106">
        <f>Inputs!$B$3&gt;=40</f>
        <v/>
      </c>
      <c r="D3106">
        <f>IF(Skills!C5=1,60+Inputs!$B$26+Inputs!$B$30,IF(Skills!C5=2,90+Inputs!$B$27+Inputs!$B$30,IF(Skills!C5=3,120+Inputs!$B$28+Inputs!$B$30,MAX(0,(Inputs!$B$3-100)*3)+Inputs!$B$29+Inputs!$B$30)))</f>
        <v/>
      </c>
      <c r="E3106">
        <f>INDEX(FactorTable!$B$2:$Y$301, MATCH(ROUND(MIN(300,MAX(1,D3106)),0), FactorTable!$A$2:$A$301,0), Skills!L5+1)</f>
        <v/>
      </c>
      <c r="F3106">
        <f>IF(Skills!M5=TRUE,(Skills!K5/10)*(E3106/1000),Skills!K5/10)+Skills!N5</f>
        <v/>
      </c>
      <c r="G3106">
        <f>Calc!G5</f>
        <v/>
      </c>
      <c r="H3106">
        <f>Calc!H5</f>
        <v/>
      </c>
      <c r="I3106">
        <f>IF(Skills!T5&lt;&gt;"",1+(Skills!T5/10)*($Z$3/1000)/100,1)</f>
        <v/>
      </c>
      <c r="J3106" t="inlineStr"/>
      <c r="K3106" t="inlineStr"/>
      <c r="L3106" t="inlineStr"/>
      <c r="M3106" t="inlineStr"/>
      <c r="N3106" t="inlineStr"/>
      <c r="O3106">
        <f>(1-Summary!$B$11)*S3106+Summary!$B$11*U3106</f>
        <v/>
      </c>
      <c r="P3106">
        <f>IF(B3144=0,0,O3106/B3144)</f>
        <v/>
      </c>
      <c r="Q3106">
        <f>IFERROR(1/(IF(Inputs!$B$39="pvp",15,MAX(0.1,Skills!D5-IF(Skills!E5=TRUE,2.5,0)))*(1-IF(AND(ArtifactsInput!$M$27,Inputs!$B$4="Chapter Hunt"),CHOOSE(ArtifactsInput!$N$27+1,20,24,28,32,36,40),0)/100)),0)</f>
        <v/>
      </c>
      <c r="R3106">
        <f>IF(AND(Inputs!$B$39&lt;&gt;"pvp",Inputs!$B$44&gt;0),IF(Inputs!$B$44&lt;=0,0,(INT(Inputs!$B$44/(IF(Inputs!$B$39="pvp",15,MAX(0.1,Skills!D5-IF(Skills!E5=TRUE,2.5,0)))*(1-IF(AND(ArtifactsInput!$M$27,Inputs!$B$4="Chapter Hunt"),CHOOSE(ArtifactsInput!$N$27+1,20,24,28,32,36,40),0)/100)))+1)),0)</f>
        <v/>
      </c>
      <c r="S3106" t="n">
        <v>0</v>
      </c>
      <c r="U3106" t="n">
        <v>0</v>
      </c>
    </row>
    <row r="3107">
      <c r="A3107">
        <f>Skills!A6</f>
        <v/>
      </c>
      <c r="B3107">
        <f>Skills!B6</f>
        <v/>
      </c>
      <c r="C3107">
        <f>Inputs!$B$3&gt;=103</f>
        <v/>
      </c>
      <c r="D3107">
        <f>IF(Skills!C6=1,60+Inputs!$B$26+Inputs!$B$30,IF(Skills!C6=2,90+Inputs!$B$27+Inputs!$B$30,IF(Skills!C6=3,120+Inputs!$B$28+Inputs!$B$30,MAX(0,(Inputs!$B$3-100)*3)+Inputs!$B$29+Inputs!$B$30)))</f>
        <v/>
      </c>
      <c r="E3107">
        <f>INDEX(FactorTable!$B$2:$Y$301, MATCH(ROUND(MIN(300,MAX(1,D3107)),0), FactorTable!$A$2:$A$301,0), Skills!L6+1)</f>
        <v/>
      </c>
      <c r="F3107">
        <f>IF(Skills!M6=TRUE,(Skills!K6/10)*(E3107/1000),Skills!K6/10)+Skills!N6</f>
        <v/>
      </c>
      <c r="G3107">
        <f>Calc!G6</f>
        <v/>
      </c>
      <c r="H3107">
        <f>Calc!H6</f>
        <v/>
      </c>
      <c r="I3107">
        <f>IF(Skills!T6&lt;&gt;"",1+(Skills!T6/10)*($Z$3/1000)/100,1)</f>
        <v/>
      </c>
      <c r="J3107">
        <f>((Inputs!$B$6*(1+Inputs!$B$7/100))+(((Inputs!$B$13*(1+Inputs!$B$14/100))-(Inputs!$B$13*(1+Inputs!$B$14/100)))+0.25*(Inputs!$B$15-Inputs!$B$15))*(1+Inputs!$B$7/100))*(F3107/100)</f>
        <v/>
      </c>
      <c r="K3107">
        <f>J3107*(1+(((Inputs!$B$13+IF(Inputs!$B$3&gt;=35,(10*INDEX(FactorTable!$B$2:$Y$301,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6="TRIUMPH_FEATHER",IF(C3117=TRUE,F3117,0),0)/100)*(1+IF(C3128=TRUE,F3128,0)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3107)</f>
        <v/>
      </c>
      <c r="L3107">
        <f>K3107*(MIN(Inputs!$B$23+(F3123-Calc!F22),(Inputs!$B$24+IF(ArtifactsInput!$M$15,CHOOSE(ArtifactsInput!$N$15+1,25,30,35,40,45,50)/100*(Inputs!$B$12-Inputs!$B$12),0)))/100+(Inputs!$B$24+IF(ArtifactsInput!$M$15,CHOOSE(ArtifactsInput!$N$15+1,25,30,35,40,45,50)/100*(Inputs!$B$12-Inputs!$B$12),0))/100)/2</f>
        <v/>
      </c>
      <c r="M3107">
        <f>L3107*(1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7">
        <f>L3107*(1-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3107*(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7">
        <f>(1-Summary!$B$11)*S3107+Summary!$B$11*U3107</f>
        <v/>
      </c>
      <c r="P3107">
        <f>IF(B3144=0,0,O3107/B3144)</f>
        <v/>
      </c>
      <c r="Q3107">
        <f>IFERROR(1/(IF(Inputs!$B$39="pvp",15,MAX(0.1,Skills!D6-IF(Skills!E6=TRUE,2.5,0)))*(1-IF(AND(ArtifactsInput!$M$27,Inputs!$B$4="Chapter Hunt"),CHOOSE(ArtifactsInput!$N$27+1,20,24,28,32,36,40),0)/100)),0)</f>
        <v/>
      </c>
      <c r="R3107">
        <f>IF(AND(Inputs!$B$39&lt;&gt;"pvp",Inputs!$B$44&gt;0),IF(MAX(0,Inputs!$B$44-B3141)&lt;=0,0,(INT(MAX(0,Inputs!$B$44-B3141)/(IF(Inputs!$B$39="pvp",15,MAX(0.1,Skills!D6-IF(Skills!E6=TRUE,2.5,0)))*(1-IF(AND(ArtifactsInput!$M$27,Inputs!$B$4="Chapter Hunt"),CHOOSE(ArtifactsInput!$N$27+1,20,24,28,32,36,40),0)/100)))+1)),0)</f>
        <v/>
      </c>
      <c r="S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$21+Skills!O6+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3107*(1-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3107*(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3107*(1-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3107*(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$22+Skills!P6+B3133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8">
      <c r="A3108">
        <f>Skills!A7</f>
        <v/>
      </c>
      <c r="B3108">
        <f>Skills!B7</f>
        <v/>
      </c>
      <c r="C3108">
        <f>Inputs!$B$3&gt;=122</f>
        <v/>
      </c>
      <c r="D3108">
        <f>IF(Skills!C7=1,60+Inputs!$B$26+Inputs!$B$30,IF(Skills!C7=2,90+Inputs!$B$27+Inputs!$B$30,IF(Skills!C7=3,120+Inputs!$B$28+Inputs!$B$30,MAX(0,(Inputs!$B$3-100)*3)+Inputs!$B$29+Inputs!$B$30)))</f>
        <v/>
      </c>
      <c r="E3108">
        <f>INDEX(FactorTable!$B$2:$Y$301, MATCH(ROUND(MIN(300,MAX(1,D3108)),0), FactorTable!$A$2:$A$301,0), Skills!L7+1)</f>
        <v/>
      </c>
      <c r="F3108">
        <f>IF(Skills!M7=TRUE,(Skills!K7/10)*(E3108/1000),Skills!K7/10)+Skills!N7</f>
        <v/>
      </c>
      <c r="G3108">
        <f>Calc!G7</f>
        <v/>
      </c>
      <c r="H3108">
        <f>Calc!H7</f>
        <v/>
      </c>
      <c r="I3108">
        <f>IF(Skills!T7&lt;&gt;"",1+(Skills!T7/10)*($Z$3/1000)/100,1)</f>
        <v/>
      </c>
      <c r="J3108">
        <f>((Inputs!$B$6*(1+Inputs!$B$7/100))+(((Inputs!$B$13*(1+Inputs!$B$14/100))-(Inputs!$B$13*(1+Inputs!$B$14/100)))+0.25*(Inputs!$B$15-Inputs!$B$15))*(1+Inputs!$B$7/100))*(F3108/100)</f>
        <v/>
      </c>
      <c r="K3108">
        <f>J3108*(1+(((Inputs!$B$13+IF(Inputs!$B$3&gt;=35,(10*INDEX(FactorTable!$B$2:$Y$301,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7="TRIUMPH_FEATHER",IF(C3117=TRUE,F3117,0),0)/100)*(1+IF(C3128=TRUE,F3128,0)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3108)</f>
        <v/>
      </c>
      <c r="L3108">
        <f>K3108*(MIN(Inputs!$B$23+(F3123-Calc!F22),(Inputs!$B$24+IF(ArtifactsInput!$M$15,CHOOSE(ArtifactsInput!$N$15+1,25,30,35,40,45,50)/100*(Inputs!$B$12-Inputs!$B$12),0)))/100+(Inputs!$B$24+IF(ArtifactsInput!$M$15,CHOOSE(ArtifactsInput!$N$15+1,25,30,35,40,45,50)/100*(Inputs!$B$12-Inputs!$B$12),0))/100)/2</f>
        <v/>
      </c>
      <c r="M3108">
        <f>L3108*(1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8">
        <f>L3108*(1-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3108*(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8">
        <f>(1-Summary!$B$11)*S3108+Summary!$B$11*U3108</f>
        <v/>
      </c>
      <c r="P3108">
        <f>IF(B3144=0,0,O3108/B3144)</f>
        <v/>
      </c>
      <c r="Q3108">
        <f>IFERROR(1/(IF(Inputs!$B$39="pvp",15,MAX(0.1,Skills!D7-IF(Skills!E6=TRUE,2.5,0)))*(1-IF(AND(ArtifactsInput!$M$27,Inputs!$B$4="Chapter Hunt"),CHOOSE(ArtifactsInput!$N$27+1,20,24,28,32,36,40),0)/100)),0)</f>
        <v/>
      </c>
      <c r="R3108">
        <f>IF(AND(Inputs!$B$39&lt;&gt;"pvp",Inputs!$B$44&gt;0),IF(MAX(0,Inputs!$B$44-B3141)&lt;=0,0,(INT(MAX(0,Inputs!$B$44-B3141)/(IF(Inputs!$B$39="pvp",15,MAX(0.1,Skills!D7-IF(Skills!E6=TRUE,2.5,0)))*(1-IF(AND(ArtifactsInput!$M$27,Inputs!$B$4="Chapter Hunt"),CHOOSE(ArtifactsInput!$N$27+1,20,24,28,32,36,40),0)/100)))+1)),0)</f>
        <v/>
      </c>
      <c r="S3108">
        <f>IF(C3108,H3108*N3108*IF(AND(Inputs!$B$39&lt;&gt;"pvp",Inputs!$B$44&gt;0),((Skills!F7*((R3108-1)*IF(Skills!G7&gt;0,Skills!H7/Skills!G7,1)+IF(Skills!G7&gt;0,MIN(Skills!H7,MAX(0,MAX(0,Inputs!$B$44-B3141)-((R3108-1)*(IF(Inputs!$B$39="pvp",15,MAX(0.1,Skills!D7-IF(Skills!E6=TRUE,2.5,0)))*(1-IF(AND(ArtifactsInput!$M$27,Inputs!$B$4="Chapter Hunt"),CHOOSE(ArtifactsInput!$N$27+1,20,24,28,32,36,40),0)/100)))))/Skills!G7,1)))/Inputs!$B$44),G3108*Q3108)*IF(Inputs!$B$39="pvp",1,1+(Inputs!$B$21+Skills!O7+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3108*(1-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3108*(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3108*(1-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3108*(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8" t="n">
        <v>0</v>
      </c>
    </row>
    <row r="3109">
      <c r="A3109">
        <f>Skills!A8</f>
        <v/>
      </c>
      <c r="B3109">
        <f>Skills!B8</f>
        <v/>
      </c>
      <c r="C3109">
        <f>Inputs!$B$3&gt;=105</f>
        <v/>
      </c>
      <c r="D3109">
        <f>IF(Skills!C8=1,60+Inputs!$B$26+Inputs!$B$30,IF(Skills!C8=2,90+Inputs!$B$27+Inputs!$B$30,IF(Skills!C8=3,120+Inputs!$B$28+Inputs!$B$30,MAX(0,(Inputs!$B$3-100)*3)+Inputs!$B$29+Inputs!$B$30)))</f>
        <v/>
      </c>
      <c r="E3109">
        <f>INDEX(FactorTable!$B$2:$Y$301, MATCH(ROUND(MIN(300,MAX(1,D3109)),0), FactorTable!$A$2:$A$301,0), Skills!L8+1)</f>
        <v/>
      </c>
      <c r="F3109">
        <f>IF(Skills!M8=TRUE,(Skills!K8/10)*(E3109/1000),Skills!K8/10)+Skills!N8</f>
        <v/>
      </c>
      <c r="G3109">
        <f>Calc!G8</f>
        <v/>
      </c>
      <c r="H3109">
        <f>Calc!H8</f>
        <v/>
      </c>
      <c r="I3109">
        <f>IF(Skills!T8&lt;&gt;"",1+(Skills!T8/10)*($Z$3/1000)/100,1)</f>
        <v/>
      </c>
      <c r="J3109">
        <f>((Inputs!$B$6*(1+Inputs!$B$7/100))+(((Inputs!$B$13*(1+Inputs!$B$14/100))-(Inputs!$B$13*(1+Inputs!$B$14/100)))+0.25*(Inputs!$B$15-Inputs!$B$15))*(1+Inputs!$B$7/100))*(F3109/100)</f>
        <v/>
      </c>
      <c r="K3109">
        <f>J3109*(1+(((Inputs!$B$13+IF(Inputs!$B$3&gt;=35,(10*INDEX(FactorTable!$B$2:$Y$301,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8="TRIUMPH_FEATHER",IF(C3117=TRUE,F3117,0),0)/100)*(1+IF(C3128=TRUE,F3128,0)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3109)</f>
        <v/>
      </c>
      <c r="L3109">
        <f>K3109*(MIN(Inputs!$B$23+(F3123-Calc!F22),(Inputs!$B$24+IF(ArtifactsInput!$M$15,CHOOSE(ArtifactsInput!$N$15+1,25,30,35,40,45,50)/100*(Inputs!$B$12-Inputs!$B$12),0)))/100+(Inputs!$B$24+IF(ArtifactsInput!$M$15,CHOOSE(ArtifactsInput!$N$15+1,25,30,35,40,45,50)/100*(Inputs!$B$12-Inputs!$B$12),0))/100)/2</f>
        <v/>
      </c>
      <c r="M3109">
        <f>L3109*(1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9">
        <f>L3109*(1-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3109*(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9">
        <f>(1-Summary!$B$11)*S3109+Summary!$B$11*U3109</f>
        <v/>
      </c>
      <c r="P3109">
        <f>IF(B3144=0,0,O3109/B3144)</f>
        <v/>
      </c>
      <c r="Q3109">
        <f>IFERROR(1/(IF(Inputs!$B$39="pvp",15,MAX(0.1,Skills!D8-IF(Skills!E8=TRUE,2.5,0)))*(1-IF(AND(ArtifactsInput!$M$27,Inputs!$B$4="Chapter Hunt"),CHOOSE(ArtifactsInput!$N$27+1,20,24,28,32,36,40),0)/100)),0)</f>
        <v/>
      </c>
      <c r="R3109">
        <f>IF(AND(Inputs!$B$39&lt;&gt;"pvp",Inputs!$B$44&gt;0),IF(MAX(0,Inputs!$B$44-B3141)&lt;=0,0,(INT(MAX(0,Inputs!$B$44-B3141)/(IF(Inputs!$B$39="pvp",15,MAX(0.1,Skills!D8-IF(Skills!E8=TRUE,2.5,0)))*(1-IF(AND(ArtifactsInput!$M$27,Inputs!$B$4="Chapter Hunt"),CHOOSE(ArtifactsInput!$N$27+1,20,24,28,32,36,40),0)/100)))+1)),0)</f>
        <v/>
      </c>
      <c r="S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$21+Skills!O8+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3109*(1-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3109*(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3109*(1-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3109*(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$22+Skills!P8+B3133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0">
      <c r="A3110">
        <f>Skills!A9</f>
        <v/>
      </c>
      <c r="B3110">
        <f>Skills!B9</f>
        <v/>
      </c>
      <c r="C3110">
        <f>Inputs!$B$3&gt;=115</f>
        <v/>
      </c>
      <c r="D3110">
        <f>IF(Skills!C9=1,60+Inputs!$B$26+Inputs!$B$30,IF(Skills!C9=2,90+Inputs!$B$27+Inputs!$B$30,IF(Skills!C9=3,120+Inputs!$B$28+Inputs!$B$30,MAX(0,(Inputs!$B$3-100)*3)+Inputs!$B$29+Inputs!$B$30)))</f>
        <v/>
      </c>
      <c r="E3110">
        <f>INDEX(FactorTable!$B$2:$Y$301, MATCH(ROUND(MIN(300,MAX(1,D3110)),0), FactorTable!$A$2:$A$301,0), Skills!L9+1)</f>
        <v/>
      </c>
      <c r="F3110">
        <f>IF(Skills!M9=TRUE,(Skills!K9/10)*(E3110/1000),Skills!K9/10)+Skills!N9</f>
        <v/>
      </c>
      <c r="G3110">
        <f>Calc!G9</f>
        <v/>
      </c>
      <c r="H3110">
        <f>Calc!H9</f>
        <v/>
      </c>
      <c r="I3110">
        <f>IF(Skills!T9&lt;&gt;"",1+(Skills!T9/10)*($Z$3/1000)/100,1)</f>
        <v/>
      </c>
      <c r="J3110">
        <f>((Inputs!$B$6*(1+Inputs!$B$7/100))+(((Inputs!$B$13*(1+Inputs!$B$14/100))-(Inputs!$B$13*(1+Inputs!$B$14/100)))+0.25*(Inputs!$B$15-Inputs!$B$15))*(1+Inputs!$B$7/100))*(F3110/100)</f>
        <v/>
      </c>
      <c r="K3110">
        <f>J3110*(1+(((Inputs!$B$13+IF(Inputs!$B$3&gt;=35,(10*INDEX(FactorTable!$B$2:$Y$301,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9="TRIUMPH_FEATHER",IF(C3117=TRUE,F3117,0),0)/100)*(1+IF(C3128=TRUE,F3128,0)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3110)</f>
        <v/>
      </c>
      <c r="L3110">
        <f>K3110*(MIN(Inputs!$B$23+(F3123-Calc!F22),(Inputs!$B$24+IF(ArtifactsInput!$M$15,CHOOSE(ArtifactsInput!$N$15+1,25,30,35,40,45,50)/100*(Inputs!$B$12-Inputs!$B$12),0)))/100+(Inputs!$B$24+IF(ArtifactsInput!$M$15,CHOOSE(ArtifactsInput!$N$15+1,25,30,35,40,45,50)/100*(Inputs!$B$12-Inputs!$B$12),0))/100)/2</f>
        <v/>
      </c>
      <c r="M3110">
        <f>L3110*(1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0">
        <f>L3110*(1-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3110*(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0">
        <f>(1-Summary!$B$11)*S3110+Summary!$B$11*U3110</f>
        <v/>
      </c>
      <c r="P3110">
        <f>IF(B3144=0,0,O3110/B3144)</f>
        <v/>
      </c>
      <c r="Q3110">
        <f>IFERROR(1/(IF(Inputs!$B$39="pvp",15,MAX(0.1,Skills!D9-IF(Skills!E9=TRUE,2.5,0)))*(1-IF(AND(ArtifactsInput!$M$27,Inputs!$B$4="Chapter Hunt"),CHOOSE(ArtifactsInput!$N$27+1,20,24,28,32,36,40),0)/100)),0)</f>
        <v/>
      </c>
      <c r="R3110">
        <f>IF(AND(Inputs!$B$39&lt;&gt;"pvp",Inputs!$B$44&gt;0),IF(MAX(0,Inputs!$B$44-B3141)&lt;=0,0,(INT(MAX(0,Inputs!$B$44-B3141)/(IF(Inputs!$B$39="pvp",15,MAX(0.1,Skills!D9-IF(Skills!E9=TRUE,2.5,0)))*(1-IF(AND(ArtifactsInput!$M$27,Inputs!$B$4="Chapter Hunt"),CHOOSE(ArtifactsInput!$N$27+1,20,24,28,32,36,40),0)/100)))+1)),0)</f>
        <v/>
      </c>
      <c r="S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$21+Skills!O9+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3110*(1-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3110*(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3110*(1-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3110*(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$22+Skills!P9+B3133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1">
      <c r="A3111">
        <f>Skills!A10</f>
        <v/>
      </c>
      <c r="B3111">
        <f>Skills!B10</f>
        <v/>
      </c>
      <c r="C3111">
        <f>Inputs!$B$3&gt;=66</f>
        <v/>
      </c>
      <c r="D3111">
        <f>IF(Skills!C10=1,60+Inputs!$B$26+Inputs!$B$30,IF(Skills!C10=2,90+Inputs!$B$27+Inputs!$B$30,IF(Skills!C10=3,120+Inputs!$B$28+Inputs!$B$30,MAX(0,(Inputs!$B$3-100)*3)+Inputs!$B$29+Inputs!$B$30)))</f>
        <v/>
      </c>
      <c r="E3111">
        <f>INDEX(FactorTable!$B$2:$Y$301, MATCH(ROUND(MIN(300,MAX(1,D3111)),0), FactorTable!$A$2:$A$301,0), Skills!L10+1)</f>
        <v/>
      </c>
      <c r="F3111" t="n">
        <v>0</v>
      </c>
      <c r="G3111">
        <f>Calc!G10</f>
        <v/>
      </c>
      <c r="H3111">
        <f>Calc!H10</f>
        <v/>
      </c>
      <c r="I3111">
        <f>IF(Skills!T10&lt;&gt;"",1+(Skills!T10/10)*($Z$3/1000)/100,1)</f>
        <v/>
      </c>
      <c r="J3111" t="inlineStr"/>
      <c r="K3111" t="inlineStr"/>
      <c r="L3111" t="inlineStr"/>
      <c r="M3111" t="inlineStr"/>
      <c r="N3111" t="inlineStr"/>
      <c r="O3111">
        <f>(1-Summary!$B$11)*S3111+Summary!$B$11*U3111</f>
        <v/>
      </c>
      <c r="P3111">
        <f>IF(B3144=0,0,O3111/B3144)</f>
        <v/>
      </c>
      <c r="Q3111">
        <f>IFERROR(1/(IF(Inputs!$B$39="pvp",15,MAX(0.1,Skills!D10-IF(Skills!E10=TRUE,2.5,0)))*(1-IF(AND(ArtifactsInput!$M$27,Inputs!$B$4="Chapter Hunt"),CHOOSE(ArtifactsInput!$N$27+1,20,24,28,32,36,40),0)/100)),0)</f>
        <v/>
      </c>
      <c r="R3111">
        <f>IF(AND(Inputs!$B$39&lt;&gt;"pvp",Inputs!$B$44&gt;0),IF(MAX(0,Inputs!$B$44-B3141)&lt;=0,0,(INT(MAX(0,Inputs!$B$44-B3141)/(IF(Inputs!$B$39="pvp",15,MAX(0.1,Skills!D10-IF(Skills!E10=TRUE,2.5,0)))*(1-IF(AND(ArtifactsInput!$M$27,Inputs!$B$4="Chapter Hunt"),CHOOSE(ArtifactsInput!$N$27+1,20,24,28,32,36,40),0)/100)))+1)),0)</f>
        <v/>
      </c>
      <c r="S3111" t="n">
        <v>0</v>
      </c>
      <c r="U3111" t="n">
        <v>0</v>
      </c>
    </row>
    <row r="3112">
      <c r="A3112">
        <f>Skills!A11</f>
        <v/>
      </c>
      <c r="B3112">
        <f>Skills!B11</f>
        <v/>
      </c>
      <c r="C3112">
        <f>Inputs!$B$3&gt;=69</f>
        <v/>
      </c>
      <c r="D3112">
        <f>IF(Skills!C11=1,60+Inputs!$B$26+Inputs!$B$30,IF(Skills!C11=2,90+Inputs!$B$27+Inputs!$B$30,IF(Skills!C11=3,120+Inputs!$B$28+Inputs!$B$30,MAX(0,(Inputs!$B$3-100)*3)+Inputs!$B$29+Inputs!$B$30)))</f>
        <v/>
      </c>
      <c r="E3112">
        <f>INDEX(FactorTable!$B$2:$Y$301, MATCH(ROUND(MIN(300,MAX(1,D3112)),0), FactorTable!$A$2:$A$301,0), Skills!L11+1)</f>
        <v/>
      </c>
      <c r="F3112">
        <f>IF(Skills!M11=TRUE,(Skills!K11/10)*(E3112/1000),Skills!K11/10)+Skills!N11</f>
        <v/>
      </c>
      <c r="G3112">
        <f>Calc!G11</f>
        <v/>
      </c>
      <c r="H3112">
        <f>Calc!H11</f>
        <v/>
      </c>
      <c r="I3112">
        <f>IF(Skills!T11&lt;&gt;"",1+(Skills!T11/10)*($Z$3/1000)/100,1)</f>
        <v/>
      </c>
      <c r="J3112" t="inlineStr"/>
      <c r="K3112" t="inlineStr"/>
      <c r="L3112" t="inlineStr"/>
      <c r="M3112" t="inlineStr"/>
      <c r="N3112" t="inlineStr"/>
      <c r="O3112">
        <f>(1-Summary!$B$11)*S3112+Summary!$B$11*U3112</f>
        <v/>
      </c>
      <c r="P3112">
        <f>IF(B3144=0,0,O3112/B3144)</f>
        <v/>
      </c>
      <c r="Q3112">
        <f>IFERROR(1/(IF(Inputs!$B$39="pvp",15,MAX(0.1,Skills!D11-IF(Skills!E11=TRUE,2.5,0)))*(1-IF(AND(ArtifactsInput!$M$27,Inputs!$B$4="Chapter Hunt"),CHOOSE(ArtifactsInput!$N$27+1,20,24,28,32,36,40),0)/100)),0)</f>
        <v/>
      </c>
      <c r="R3112">
        <f>IF(AND(Inputs!$B$39&lt;&gt;"pvp",Inputs!$B$44&gt;0),IF(Inputs!$B$44&lt;=0,0,(INT(Inputs!$B$44/(IF(Inputs!$B$39="pvp",15,MAX(0.1,Skills!D11-IF(Skills!E11=TRUE,2.5,0)))*(1-IF(AND(ArtifactsInput!$M$27,Inputs!$B$4="Chapter Hunt"),CHOOSE(ArtifactsInput!$N$27+1,20,24,28,32,36,40),0)/100)))+1)),0)</f>
        <v/>
      </c>
      <c r="S3112" t="n">
        <v>0</v>
      </c>
      <c r="U3112" t="n">
        <v>0</v>
      </c>
    </row>
    <row r="3113">
      <c r="A3113">
        <f>Skills!A12</f>
        <v/>
      </c>
      <c r="B3113">
        <f>Skills!B12</f>
        <v/>
      </c>
      <c r="C3113">
        <f>Inputs!$B$3&gt;=72</f>
        <v/>
      </c>
      <c r="D3113">
        <f>IF(Skills!C12=1,60+Inputs!$B$26+Inputs!$B$30,IF(Skills!C12=2,90+Inputs!$B$27+Inputs!$B$30,IF(Skills!C12=3,120+Inputs!$B$28+Inputs!$B$30,MAX(0,(Inputs!$B$3-100)*3)+Inputs!$B$29+Inputs!$B$30)))</f>
        <v/>
      </c>
      <c r="E3113">
        <f>INDEX(FactorTable!$B$2:$Y$301, MATCH(ROUND(MIN(300,MAX(1,D3113)),0), FactorTable!$A$2:$A$301,0), Skills!L12+1)</f>
        <v/>
      </c>
      <c r="F3113">
        <f>IF(Skills!M12=TRUE,(Skills!K12/10)*(E3113/1000),Skills!K12/10)+Skills!N12</f>
        <v/>
      </c>
      <c r="G3113">
        <f>Calc!G12</f>
        <v/>
      </c>
      <c r="H3113">
        <f>Calc!H12</f>
        <v/>
      </c>
      <c r="I3113">
        <f>IF(Skills!T12&lt;&gt;"",1+(Skills!T12/10)*($Z$3/1000)/100,1)</f>
        <v/>
      </c>
      <c r="J3113" t="inlineStr"/>
      <c r="K3113" t="inlineStr"/>
      <c r="L3113" t="inlineStr"/>
      <c r="M3113" t="inlineStr"/>
      <c r="N3113" t="inlineStr"/>
      <c r="O3113">
        <f>(1-Summary!$B$11)*S3113+Summary!$B$11*U3113</f>
        <v/>
      </c>
      <c r="P3113">
        <f>IF(B3144=0,0,O3113/B3144)</f>
        <v/>
      </c>
      <c r="Q3113">
        <f>IFERROR(1/(IF(Inputs!$B$39="pvp",15,MAX(0.1,Skills!D12-IF(Skills!E12=TRUE,2.5,0)))*(1-IF(AND(ArtifactsInput!$M$27,Inputs!$B$4="Chapter Hunt"),CHOOSE(ArtifactsInput!$N$27+1,20,24,28,32,36,40),0)/100)),0)</f>
        <v/>
      </c>
      <c r="R3113">
        <f>IF(AND(Inputs!$B$39&lt;&gt;"pvp",Inputs!$B$44&gt;0),IF(MAX(0,Inputs!$B$44-B3141)&lt;=0,0,(INT(MAX(0,Inputs!$B$44-B3141)/(IF(Inputs!$B$39="pvp",15,MAX(0.1,Skills!D12-IF(Skills!E12=TRUE,2.5,0)))*(1-IF(AND(ArtifactsInput!$M$27,Inputs!$B$4="Chapter Hunt"),CHOOSE(ArtifactsInput!$N$27+1,20,24,28,32,36,40),0)/100)))+1)),0)</f>
        <v/>
      </c>
      <c r="S3113" t="n">
        <v>0</v>
      </c>
      <c r="U3113" t="n">
        <v>0</v>
      </c>
    </row>
    <row r="3114">
      <c r="A3114">
        <f>Skills!A13</f>
        <v/>
      </c>
      <c r="B3114">
        <f>Skills!B13</f>
        <v/>
      </c>
      <c r="C3114">
        <f>Inputs!$B$3&gt;=60</f>
        <v/>
      </c>
      <c r="D3114">
        <f>IF(Skills!C13=1,60+Inputs!$B$26+Inputs!$B$30,IF(Skills!C13=2,90+Inputs!$B$27+Inputs!$B$30,IF(Skills!C13=3,120+Inputs!$B$28+Inputs!$B$30,MAX(0,(Inputs!$B$3-100)*3)+Inputs!$B$29+Inputs!$B$30)))</f>
        <v/>
      </c>
      <c r="E3114">
        <f>INDEX(FactorTable!$B$2:$Y$301, MATCH(ROUND(MIN(300,MAX(1,D3114)),0), FactorTable!$A$2:$A$301,0), Skills!L13+1)</f>
        <v/>
      </c>
      <c r="F3114">
        <f>IF(Skills!M13=TRUE,(Skills!K13/10)*(E3114/1000),Skills!K13/10)+Skills!N13</f>
        <v/>
      </c>
      <c r="G3114">
        <f>Calc!G13</f>
        <v/>
      </c>
      <c r="H3114">
        <f>Calc!H13</f>
        <v/>
      </c>
      <c r="I3114">
        <f>IF(Skills!T13&lt;&gt;"",1+(Skills!T13/10)*($Z$3/1000)/100,1)</f>
        <v/>
      </c>
      <c r="J3114" t="inlineStr"/>
      <c r="K3114" t="inlineStr"/>
      <c r="L3114" t="inlineStr"/>
      <c r="M3114" t="inlineStr"/>
      <c r="N3114" t="inlineStr"/>
      <c r="O3114">
        <f>(1-Summary!$B$11)*S3114+Summary!$B$11*U3114</f>
        <v/>
      </c>
      <c r="P3114">
        <f>IF(B3144=0,0,O3114/B3144)</f>
        <v/>
      </c>
      <c r="Q3114">
        <f>IFERROR(1/(IF(Inputs!$B$39="pvp",15,MAX(0.1,Skills!D13-IF(Skills!E13=TRUE,2.5,0)))*(1-IF(AND(ArtifactsInput!$M$27,Inputs!$B$4="Chapter Hunt"),CHOOSE(ArtifactsInput!$N$27+1,20,24,28,32,36,40),0)/100)),0)</f>
        <v/>
      </c>
      <c r="R3114">
        <f>IF(AND(Inputs!$B$39&lt;&gt;"pvp",Inputs!$B$44&gt;0),IF(MAX(0,Inputs!$B$44-B3141)&lt;=0,0,(INT(MAX(0,Inputs!$B$44-B3141)/(IF(Inputs!$B$39="pvp",15,MAX(0.1,Skills!D13-IF(Skills!E13=TRUE,2.5,0)))*(1-IF(AND(ArtifactsInput!$M$27,Inputs!$B$4="Chapter Hunt"),CHOOSE(ArtifactsInput!$N$27+1,20,24,28,32,36,40),0)/100)))+1)),0)</f>
        <v/>
      </c>
      <c r="S3114" t="n">
        <v>0</v>
      </c>
      <c r="U3114" t="n">
        <v>0</v>
      </c>
    </row>
    <row r="3115">
      <c r="A3115">
        <f>Skills!A14</f>
        <v/>
      </c>
      <c r="B3115">
        <f>Skills!B14</f>
        <v/>
      </c>
      <c r="C3115">
        <f>Inputs!$B$3&gt;=107</f>
        <v/>
      </c>
      <c r="D3115">
        <f>IF(Skills!C14=1,60+Inputs!$B$26+Inputs!$B$30,IF(Skills!C14=2,90+Inputs!$B$27+Inputs!$B$30,IF(Skills!C14=3,120+Inputs!$B$28+Inputs!$B$30,MAX(0,(Inputs!$B$3-100)*3)+Inputs!$B$29+Inputs!$B$30)))</f>
        <v/>
      </c>
      <c r="E3115">
        <f>INDEX(FactorTable!$B$2:$Y$301, MATCH(ROUND(MIN(300,MAX(1,D3115)),0), FactorTable!$A$2:$A$301,0), Skills!L14+1)</f>
        <v/>
      </c>
      <c r="F3115">
        <f>IF(Skills!M14=TRUE,(Skills!K14/10)*(E3115/1000),Skills!K14/10)+Skills!N14</f>
        <v/>
      </c>
      <c r="G3115">
        <f>Calc!G14</f>
        <v/>
      </c>
      <c r="H3115">
        <f>Calc!H14</f>
        <v/>
      </c>
      <c r="I3115">
        <f>IF(Skills!T14&lt;&gt;"",1+(Skills!T14/10)*($Z$3/1000)/100,1)</f>
        <v/>
      </c>
      <c r="J3115" t="inlineStr"/>
      <c r="K3115" t="inlineStr"/>
      <c r="L3115" t="inlineStr"/>
      <c r="M3115" t="inlineStr"/>
      <c r="N3115" t="inlineStr"/>
      <c r="O3115">
        <f>(1-Summary!$B$11)*S3115+Summary!$B$11*U3115</f>
        <v/>
      </c>
      <c r="P3115">
        <f>IF(B3144=0,0,O3115/B3144)</f>
        <v/>
      </c>
      <c r="Q3115">
        <f>IFERROR(1/(IF(Inputs!$B$39="pvp",15,MAX(0.1,Skills!D14-IF(Skills!E14=TRUE,2.5,0)))*(1-IF(AND(ArtifactsInput!$M$27,Inputs!$B$4="Chapter Hunt"),CHOOSE(ArtifactsInput!$N$27+1,20,24,28,32,36,40),0)/100)),0)</f>
        <v/>
      </c>
      <c r="R3115">
        <f>IF(AND(Inputs!$B$39&lt;&gt;"pvp",Inputs!$B$44&gt;0),IF(Inputs!$B$44&lt;=0,0,(INT(Inputs!$B$44/(IF(Inputs!$B$39="pvp",15,MAX(0.1,Skills!D14-IF(Skills!E14=TRUE,2.5,0)))*(1-IF(AND(ArtifactsInput!$M$27,Inputs!$B$4="Chapter Hunt"),CHOOSE(ArtifactsInput!$N$27+1,20,24,28,32,36,40),0)/100)))+1)),0)</f>
        <v/>
      </c>
      <c r="S3115" t="n">
        <v>0</v>
      </c>
      <c r="U3115" t="n">
        <v>0</v>
      </c>
    </row>
    <row r="3116">
      <c r="A3116">
        <f>Skills!A15</f>
        <v/>
      </c>
      <c r="B3116">
        <f>Skills!B15</f>
        <v/>
      </c>
      <c r="C3116">
        <f>Inputs!$B$3&gt;=63</f>
        <v/>
      </c>
      <c r="D3116">
        <f>IF(Skills!C15=1,60+Inputs!$B$26+Inputs!$B$30,IF(Skills!C15=2,90+Inputs!$B$27+Inputs!$B$30,IF(Skills!C15=3,120+Inputs!$B$28+Inputs!$B$30,MAX(0,(Inputs!$B$3-100)*3)+Inputs!$B$29+Inputs!$B$30)))</f>
        <v/>
      </c>
      <c r="E3116">
        <f>INDEX(FactorTable!$B$2:$Y$301, MATCH(ROUND(MIN(300,MAX(1,D3116)),0), FactorTable!$A$2:$A$301,0), Skills!L15+1)</f>
        <v/>
      </c>
      <c r="F3116">
        <f>IF(Skills!M15=TRUE,(Skills!K15/10)*(E3116/1000),Skills!K15/10)+Skills!N15</f>
        <v/>
      </c>
      <c r="G3116">
        <f>Calc!G15</f>
        <v/>
      </c>
      <c r="H3116">
        <f>Calc!H15</f>
        <v/>
      </c>
      <c r="I3116">
        <f>IF(Skills!T15&lt;&gt;"",1+(Skills!T15/10)*($Z$3/1000)/100,1)</f>
        <v/>
      </c>
      <c r="J3116">
        <f>((Inputs!$B$6*(1+Inputs!$B$7/100))+(((Inputs!$B$13*(1+Inputs!$B$14/100))-(Inputs!$B$13*(1+Inputs!$B$14/100)))+0.25*(Inputs!$B$15-Inputs!$B$15))*(1+Inputs!$B$7/100))*(F3116/100)</f>
        <v/>
      </c>
      <c r="K3116">
        <f>J3116*(1+(((Inputs!$B$13+IF(Inputs!$B$3&gt;=35,(10*INDEX(FactorTable!$B$2:$Y$301,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15="TRIUMPH_FEATHER",IF(C3117=TRUE,F3117,0),0)/100)*(1+IF(C3128=TRUE,F3128,0)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3116)</f>
        <v/>
      </c>
      <c r="L3116">
        <f>K3116*(MIN(Inputs!$B$23+(F3123-Calc!F22),(Inputs!$B$24+IF(ArtifactsInput!$M$15,CHOOSE(ArtifactsInput!$N$15+1,25,30,35,40,45,50)/100*(Inputs!$B$12-Inputs!$B$12),0)))/100+(Inputs!$B$24+IF(ArtifactsInput!$M$15,CHOOSE(ArtifactsInput!$N$15+1,25,30,35,40,45,50)/100*(Inputs!$B$12-Inputs!$B$12),0))/100)/2</f>
        <v/>
      </c>
      <c r="M3116">
        <f>L3116*(1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6">
        <f>L3116*(1-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(1-Summary!$B$11)*S3116+Summary!$B$11*U3116</f>
        <v/>
      </c>
      <c r="P3116">
        <f>IF(B3144=0,0,O3116/B3144)</f>
        <v/>
      </c>
      <c r="Q3116">
        <f>IFERROR(1/(IF(Inputs!$B$39="pvp",15,MAX(0.1,Skills!D15-IF(Skills!E15=TRUE,2.5,0)))*(1-IF(AND(ArtifactsInput!$M$27,Inputs!$B$4="Chapter Hunt"),CHOOSE(ArtifactsInput!$N$27+1,20,24,28,32,36,40),0)/100)),0)</f>
        <v/>
      </c>
      <c r="R3116" t="n">
        <v>0</v>
      </c>
      <c r="S3116">
        <f>IF(C3116,(Skills!F15*N3116*((IF(Inputs!$B$3&gt;=78,25,15)/100*B3137*10)/(1+IF(Inputs!$B$3&gt;=78,25,15)/100*B3137*10))*(Skills!I15/100*B3137)/(1+Skills!G15*Skills!I15/100*B3137))*IF(Inputs!$B$39="pvp",1,1+(Inputs!$B$21+Skills!O15+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3116*(1-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6">
        <f>IF(C3116,(Skills!F15*N3116*((IF(Inputs!$B$3&gt;=78,25,15)/100*B3137*10)/(1+IF(Inputs!$B$3&gt;=78,25,15)/100*B3137*10))*(Skills!I15/100*B3137)/(1+Skills!G15*Skills!I15/100*B3137))*IF(Inputs!$B$39="pvp",1,(1+(Inputs!$B$22+Skills!P15+B3133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Skills!A16</f>
        <v/>
      </c>
      <c r="B3117">
        <f>Skills!B16</f>
        <v/>
      </c>
      <c r="C3117">
        <f>Inputs!$B$3&gt;=100</f>
        <v/>
      </c>
      <c r="D3117">
        <f>IF(Skills!C16=1,60+Inputs!$B$26+Inputs!$B$30,IF(Skills!C16=2,90+Inputs!$B$27+Inputs!$B$30,IF(Skills!C16=3,120+Inputs!$B$28+Inputs!$B$30,MAX(0,(Inputs!$B$3-100)*3)+Inputs!$B$29+Inputs!$B$30)))</f>
        <v/>
      </c>
      <c r="E3117">
        <f>INDEX(FactorTable!$B$2:$Y$301, MATCH(ROUND(MIN(300,MAX(1,D3117)),0), FactorTable!$A$2:$A$301,0), Skills!L16+1)</f>
        <v/>
      </c>
      <c r="F3117">
        <f>IF(Skills!M16=TRUE,(Skills!K16/10)*(E3117/1000),Skills!K16/10)+Skills!N16</f>
        <v/>
      </c>
      <c r="G3117">
        <f>Calc!G16</f>
        <v/>
      </c>
      <c r="H3117">
        <f>Calc!H16</f>
        <v/>
      </c>
      <c r="I3117">
        <f>IF(Skills!T16&lt;&gt;"",1+(Skills!T16/10)*($Z$3/1000)/100,1)</f>
        <v/>
      </c>
      <c r="J3117" t="inlineStr"/>
      <c r="K3117" t="inlineStr"/>
      <c r="L3117" t="inlineStr"/>
      <c r="M3117" t="inlineStr"/>
      <c r="N3117" t="inlineStr"/>
      <c r="O3117">
        <f>(1-Summary!$B$11)*S3117+Summary!$B$11*U3117</f>
        <v/>
      </c>
      <c r="P3117">
        <f>IF(B3144=0,0,O3117/B3144)</f>
        <v/>
      </c>
      <c r="Q3117">
        <f>IFERROR(1/(IF(Inputs!$B$39="pvp",15,MAX(0.1,Skills!D16-IF(Skills!E16=TRUE,2.5,0)))*(1-IF(AND(ArtifactsInput!$M$27,Inputs!$B$4="Chapter Hunt"),CHOOSE(ArtifactsInput!$N$27+1,20,24,28,32,36,40),0)/100)),0)</f>
        <v/>
      </c>
      <c r="R3117" t="n">
        <v>0</v>
      </c>
      <c r="S3117" t="n">
        <v>0</v>
      </c>
      <c r="U3117" t="n">
        <v>0</v>
      </c>
    </row>
    <row r="3118">
      <c r="A3118">
        <f>Skills!A17</f>
        <v/>
      </c>
      <c r="B3118">
        <f>Skills!B17</f>
        <v/>
      </c>
      <c r="C3118">
        <f>Inputs!$B$3&gt;=49</f>
        <v/>
      </c>
      <c r="D3118">
        <f>IF(Skills!C17=1,60+Inputs!$B$26+Inputs!$B$30,IF(Skills!C17=2,90+Inputs!$B$27+Inputs!$B$30,IF(Skills!C17=3,120+Inputs!$B$28+Inputs!$B$30,MAX(0,(Inputs!$B$3-100)*3)+Inputs!$B$29+Inputs!$B$30)))</f>
        <v/>
      </c>
      <c r="E3118">
        <f>INDEX(FactorTable!$B$2:$Y$301, MATCH(ROUND(MIN(300,MAX(1,D3118)),0), FactorTable!$A$2:$A$301,0), Skills!L17+1)</f>
        <v/>
      </c>
      <c r="F3118">
        <f>IF(Skills!M17=TRUE,(Skills!K17/10)*(E3118/1000),Skills!K17/10)+Skills!N17</f>
        <v/>
      </c>
      <c r="G3118">
        <f>Calc!G17</f>
        <v/>
      </c>
      <c r="H3118">
        <f>Calc!H17</f>
        <v/>
      </c>
      <c r="I3118">
        <f>IF(Skills!T17&lt;&gt;"",1+(Skills!T17/10)*($Z$3/1000)/100,1)</f>
        <v/>
      </c>
      <c r="J3118" t="inlineStr"/>
      <c r="K3118" t="inlineStr"/>
      <c r="L3118" t="inlineStr"/>
      <c r="M3118" t="inlineStr"/>
      <c r="N3118" t="inlineStr"/>
      <c r="O3118">
        <f>(1-Summary!$B$11)*S3118+Summary!$B$11*U3118</f>
        <v/>
      </c>
      <c r="P3118">
        <f>IF(B3144=0,0,O3118/B3144)</f>
        <v/>
      </c>
      <c r="Q3118">
        <f>IFERROR(1/(IF(Inputs!$B$39="pvp",15,MAX(0.1,Skills!D17-IF(Skills!E17=TRUE,2.5,0)))*(1-IF(AND(ArtifactsInput!$M$27,Inputs!$B$4="Chapter Hunt"),CHOOSE(ArtifactsInput!$N$27+1,20,24,28,32,36,40),0)/100)),0)</f>
        <v/>
      </c>
      <c r="R3118" t="n">
        <v>0</v>
      </c>
      <c r="S3118" t="n">
        <v>0</v>
      </c>
      <c r="U3118" t="n">
        <v>0</v>
      </c>
    </row>
    <row r="3119">
      <c r="A3119">
        <f>Skills!A18</f>
        <v/>
      </c>
      <c r="B3119">
        <f>Skills!B18</f>
        <v/>
      </c>
      <c r="C3119">
        <f>Inputs!$B$3&gt;=75</f>
        <v/>
      </c>
      <c r="D3119">
        <f>IF(Skills!C18=1,60+Inputs!$B$26+Inputs!$B$30,IF(Skills!C18=2,90+Inputs!$B$27+Inputs!$B$30,IF(Skills!C18=3,120+Inputs!$B$28+Inputs!$B$30,MAX(0,(Inputs!$B$3-100)*3)+Inputs!$B$29+Inputs!$B$30)))</f>
        <v/>
      </c>
      <c r="E3119">
        <f>INDEX(FactorTable!$B$2:$Y$301, MATCH(ROUND(MIN(300,MAX(1,D3119)),0), FactorTable!$A$2:$A$301,0), Skills!L18+1)</f>
        <v/>
      </c>
      <c r="F3119">
        <f>IF(Skills!M18=TRUE,(Skills!K18/10)*(E3119/1000),Skills!K18/10)+Skills!N18</f>
        <v/>
      </c>
      <c r="G3119">
        <f>Calc!G18</f>
        <v/>
      </c>
      <c r="H3119">
        <f>Calc!H18</f>
        <v/>
      </c>
      <c r="I3119">
        <f>IF(Skills!T18&lt;&gt;"",1+(Skills!T18/10)*($Z$3/1000)/100,1)</f>
        <v/>
      </c>
      <c r="J3119" t="inlineStr"/>
      <c r="K3119" t="inlineStr"/>
      <c r="L3119" t="inlineStr"/>
      <c r="M3119" t="inlineStr"/>
      <c r="N3119" t="inlineStr"/>
      <c r="O3119">
        <f>(1-Summary!$B$11)*S3119+Summary!$B$11*U3119</f>
        <v/>
      </c>
      <c r="P3119">
        <f>IF(B3144=0,0,O3119/B3144)</f>
        <v/>
      </c>
      <c r="Q3119">
        <f>IFERROR(1/(IF(Inputs!$B$39="pvp",15,MAX(0.1,Skills!D18-IF(Skills!E18=TRUE,2.5,0)))*(1-IF(AND(ArtifactsInput!$M$27,Inputs!$B$4="Chapter Hunt"),CHOOSE(ArtifactsInput!$N$27+1,20,24,28,32,36,40),0)/100)),0)</f>
        <v/>
      </c>
      <c r="R3119" t="n">
        <v>0</v>
      </c>
      <c r="S3119" t="n">
        <v>0</v>
      </c>
      <c r="U3119" t="n">
        <v>0</v>
      </c>
    </row>
    <row r="3120">
      <c r="A3120">
        <f>Skills!A19</f>
        <v/>
      </c>
      <c r="B3120">
        <f>Skills!B19</f>
        <v/>
      </c>
      <c r="C3120">
        <f>Inputs!$B$3&gt;=110</f>
        <v/>
      </c>
      <c r="D3120">
        <f>IF(Skills!C19=1,60+Inputs!$B$26+Inputs!$B$30,IF(Skills!C19=2,90+Inputs!$B$27+Inputs!$B$30,IF(Skills!C19=3,120+Inputs!$B$28+Inputs!$B$30,MAX(0,(Inputs!$B$3-100)*3)+Inputs!$B$29+Inputs!$B$30)))</f>
        <v/>
      </c>
      <c r="E3120">
        <f>INDEX(FactorTable!$B$2:$Y$301, MATCH(ROUND(MIN(300,MAX(1,D3120)),0), FactorTable!$A$2:$A$301,0), Skills!L19+1)</f>
        <v/>
      </c>
      <c r="F3120">
        <f>(Skills!K19/10)*(E3120/1000)*64/45+Skills!N19</f>
        <v/>
      </c>
      <c r="G3120">
        <f>Calc!G19</f>
        <v/>
      </c>
      <c r="H3120">
        <f>Calc!H19</f>
        <v/>
      </c>
      <c r="I3120">
        <f>IF(Skills!T19&lt;&gt;"",1+(Skills!T19/10)*($Z$3/1000)/100,1)</f>
        <v/>
      </c>
      <c r="J3120" t="inlineStr"/>
      <c r="K3120" t="inlineStr"/>
      <c r="L3120" t="inlineStr"/>
      <c r="M3120" t="inlineStr"/>
      <c r="N3120" t="inlineStr"/>
      <c r="O3120">
        <f>(1-Summary!$B$11)*S3120+Summary!$B$11*U3120</f>
        <v/>
      </c>
      <c r="P3120">
        <f>IF(B3144=0,0,O3120/B3144)</f>
        <v/>
      </c>
      <c r="Q3120">
        <f>IFERROR(1/(IF(Inputs!$B$39="pvp",15,MAX(0.1,Skills!D19-IF(Skills!E19=TRUE,2.5,0)))*(1-IF(AND(ArtifactsInput!$M$27,Inputs!$B$4="Chapter Hunt"),CHOOSE(ArtifactsInput!$N$27+1,20,24,28,32,36,40),0)/100)),0)</f>
        <v/>
      </c>
      <c r="R3120">
        <f>IF(AND(Inputs!$B$39&lt;&gt;"pvp",Inputs!$B$44&gt;0),IF(Inputs!$B$44&lt;=0,0,(INT(Inputs!$B$44/(IF(Inputs!$B$39="pvp",15,MAX(0.1,Skills!D19-IF(Skills!E19=TRUE,2.5,0)))*(1-IF(AND(ArtifactsInput!$M$27,Inputs!$B$4="Chapter Hunt"),CHOOSE(ArtifactsInput!$N$27+1,20,24,28,32,36,40),0)/100)))+1)),0)</f>
        <v/>
      </c>
      <c r="S3120" t="n">
        <v>0</v>
      </c>
      <c r="U3120" t="n">
        <v>0</v>
      </c>
    </row>
    <row r="3121">
      <c r="A3121">
        <f>Skills!A20</f>
        <v/>
      </c>
      <c r="B3121">
        <f>Skills!B20</f>
        <v/>
      </c>
      <c r="C3121">
        <f>Inputs!$B$3&gt;=125</f>
        <v/>
      </c>
      <c r="D3121">
        <f>IF(Skills!C20=1,60+Inputs!$B$26+Inputs!$B$30,IF(Skills!C20=2,90+Inputs!$B$27+Inputs!$B$30,IF(Skills!C20=3,120+Inputs!$B$28+Inputs!$B$30,MAX(0,(Inputs!$B$3-100)*3)+Inputs!$B$29+Inputs!$B$30)))</f>
        <v/>
      </c>
      <c r="E3121">
        <f>INDEX(FactorTable!$B$2:$Y$301, MATCH(ROUND(MIN(300,MAX(1,D3121)),0), FactorTable!$A$2:$A$301,0), Skills!L20+1)</f>
        <v/>
      </c>
      <c r="F3121">
        <f>IF(Skills!M20=TRUE,(Skills!K20/10)*(E3121/1000),Skills!K20/10)+Skills!N20</f>
        <v/>
      </c>
      <c r="G3121">
        <f>Calc!G20</f>
        <v/>
      </c>
      <c r="H3121">
        <f>Calc!H20</f>
        <v/>
      </c>
      <c r="I3121">
        <f>IF(Skills!T20&lt;&gt;"",1+(Skills!T20/10)*($Z$3/1000)/100,1)</f>
        <v/>
      </c>
      <c r="J3121" t="inlineStr"/>
      <c r="K3121" t="inlineStr"/>
      <c r="L3121" t="inlineStr"/>
      <c r="M3121" t="inlineStr"/>
      <c r="N3121" t="inlineStr"/>
      <c r="O3121">
        <f>(1-Summary!$B$11)*S3121+Summary!$B$11*U3121</f>
        <v/>
      </c>
      <c r="P3121">
        <f>IF(B3144=0,0,O3121/B3144)</f>
        <v/>
      </c>
      <c r="Q3121">
        <f>IFERROR(1/(IF(Inputs!$B$39="pvp",15,MAX(0.1,Skills!D20-IF(Skills!E20=TRUE,2.5,0)))*(1-IF(AND(ArtifactsInput!$M$27,Inputs!$B$4="Chapter Hunt"),CHOOSE(ArtifactsInput!$N$27+1,20,24,28,32,36,40),0)/100)),0)</f>
        <v/>
      </c>
      <c r="R3121" t="n">
        <v>0</v>
      </c>
      <c r="S3121" t="n">
        <v>0</v>
      </c>
      <c r="U3121" t="n">
        <v>0</v>
      </c>
    </row>
    <row r="3122">
      <c r="A3122">
        <f>Skills!A21</f>
        <v/>
      </c>
      <c r="B3122">
        <f>Skills!B21</f>
        <v/>
      </c>
      <c r="C3122">
        <f>Inputs!$B$3&gt;=33</f>
        <v/>
      </c>
      <c r="D3122">
        <f>IF(Skills!C21=1,60+Inputs!$B$26+Inputs!$B$30,IF(Skills!C21=2,90+Inputs!$B$27+Inputs!$B$30,IF(Skills!C21=3,120+Inputs!$B$28+Inputs!$B$30,MAX(0,(Inputs!$B$3-100)*3)+Inputs!$B$29+Inputs!$B$30)))</f>
        <v/>
      </c>
      <c r="E3122">
        <f>INDEX(FactorTable!$B$2:$Y$301, MATCH(ROUND(MIN(300,MAX(1,D3122)),0), FactorTable!$A$2:$A$301,0), Skills!L21+1)</f>
        <v/>
      </c>
      <c r="F3122">
        <f>IF(Skills!M21=TRUE,(Skills!K21/10)*(E3122/1000),Skills!K21/10)+Skills!N21</f>
        <v/>
      </c>
      <c r="G3122">
        <f>Calc!G21</f>
        <v/>
      </c>
      <c r="H3122">
        <f>Calc!H21</f>
        <v/>
      </c>
      <c r="I3122">
        <f>IF(Skills!T21&lt;&gt;"",1+(Skills!T21/10)*($Z$3/1000)/100,1)</f>
        <v/>
      </c>
      <c r="J3122" t="inlineStr"/>
      <c r="K3122" t="inlineStr"/>
      <c r="L3122" t="inlineStr"/>
      <c r="M3122" t="inlineStr"/>
      <c r="N3122" t="inlineStr"/>
      <c r="O3122">
        <f>(1-Summary!$B$11)*S3122+Summary!$B$11*U3122</f>
        <v/>
      </c>
      <c r="P3122">
        <f>IF(B3144=0,0,O3122/B3144)</f>
        <v/>
      </c>
      <c r="Q3122">
        <f>IFERROR(1/(IF(Inputs!$B$39="pvp",15,MAX(0.1,Skills!D21-IF(Skills!E21=TRUE,2.5,0)))*(1-IF(AND(ArtifactsInput!$M$27,Inputs!$B$4="Chapter Hunt"),CHOOSE(ArtifactsInput!$N$27+1,20,24,28,32,36,40),0)/100)),0)</f>
        <v/>
      </c>
      <c r="R3122" t="n">
        <v>0</v>
      </c>
      <c r="S3122" t="n">
        <v>0</v>
      </c>
      <c r="U3122" t="n">
        <v>0</v>
      </c>
    </row>
    <row r="3123">
      <c r="A3123">
        <f>Skills!A22</f>
        <v/>
      </c>
      <c r="B3123">
        <f>Skills!B22</f>
        <v/>
      </c>
      <c r="C3123">
        <f>Inputs!$B$3&gt;=43</f>
        <v/>
      </c>
      <c r="D3123">
        <f>IF(Skills!C22=1,60+Inputs!$B$26+Inputs!$B$30,IF(Skills!C22=2,90+Inputs!$B$27+Inputs!$B$30,IF(Skills!C22=3,120+Inputs!$B$28+Inputs!$B$30,MAX(0,(Inputs!$B$3-100)*3)+Inputs!$B$29+Inputs!$B$30)))</f>
        <v/>
      </c>
      <c r="E3123">
        <f>INDEX(FactorTable!$B$2:$Y$301, MATCH(ROUND(MIN(300,MAX(1,D3123)),0), FactorTable!$A$2:$A$301,0), Skills!L22+1)</f>
        <v/>
      </c>
      <c r="F3123">
        <f>IF(Skills!M22=TRUE,(Skills!K22/10)*(E3123/1000),Skills!K22/10)+Skills!N22</f>
        <v/>
      </c>
      <c r="G3123">
        <f>Calc!G22</f>
        <v/>
      </c>
      <c r="H3123">
        <f>Calc!H22</f>
        <v/>
      </c>
      <c r="I3123">
        <f>IF(Skills!T22&lt;&gt;"",1+(Skills!T22/10)*($Z$3/1000)/100,1)</f>
        <v/>
      </c>
      <c r="J3123" t="inlineStr"/>
      <c r="K3123" t="inlineStr"/>
      <c r="L3123" t="inlineStr"/>
      <c r="M3123" t="inlineStr"/>
      <c r="N3123" t="inlineStr"/>
      <c r="O3123">
        <f>(1-Summary!$B$11)*S3123+Summary!$B$11*U3123</f>
        <v/>
      </c>
      <c r="P3123">
        <f>IF(B3144=0,0,O3123/B3144)</f>
        <v/>
      </c>
      <c r="Q3123">
        <f>IFERROR(1/(IF(Inputs!$B$39="pvp",15,MAX(0.1,Skills!D22-IF(Skills!E22=TRUE,2.5,0)))*(1-IF(AND(ArtifactsInput!$M$27,Inputs!$B$4="Chapter Hunt"),CHOOSE(ArtifactsInput!$N$27+1,20,24,28,32,36,40),0)/100)),0)</f>
        <v/>
      </c>
      <c r="R3123" t="n">
        <v>0</v>
      </c>
      <c r="S3123" t="n">
        <v>0</v>
      </c>
      <c r="U3123" t="n">
        <v>0</v>
      </c>
    </row>
    <row r="3124">
      <c r="A3124">
        <f>Skills!A23</f>
        <v/>
      </c>
      <c r="B3124">
        <f>Skills!B23</f>
        <v/>
      </c>
      <c r="C3124">
        <f>Inputs!$B$3&gt;=50</f>
        <v/>
      </c>
      <c r="D3124">
        <f>IF(Skills!C23=1,60+Inputs!$B$26+Inputs!$B$30,IF(Skills!C23=2,90+Inputs!$B$27+Inputs!$B$30,IF(Skills!C23=3,120+Inputs!$B$28+Inputs!$B$30,MAX(0,(Inputs!$B$3-100)*3)+Inputs!$B$29+Inputs!$B$30)))</f>
        <v/>
      </c>
      <c r="E3124">
        <f>INDEX(FactorTable!$B$2:$Y$301, MATCH(ROUND(MIN(300,MAX(1,D3124)),0), FactorTable!$A$2:$A$301,0), Skills!L23+1)</f>
        <v/>
      </c>
      <c r="F3124">
        <f>IF(Skills!M23=TRUE,(Skills!K23/10)*(E3124/1000),Skills!K23/10)+Skills!N23</f>
        <v/>
      </c>
      <c r="G3124">
        <f>Calc!G23</f>
        <v/>
      </c>
      <c r="H3124">
        <f>Calc!H23</f>
        <v/>
      </c>
      <c r="I3124">
        <f>IF(Skills!T23&lt;&gt;"",1+(Skills!T23/10)*($Z$3/1000)/100,1)</f>
        <v/>
      </c>
      <c r="J3124" t="inlineStr"/>
      <c r="K3124" t="inlineStr"/>
      <c r="L3124" t="inlineStr"/>
      <c r="M3124" t="inlineStr"/>
      <c r="N3124" t="inlineStr"/>
      <c r="O3124">
        <f>(1-Summary!$B$11)*S3124+Summary!$B$11*U3124</f>
        <v/>
      </c>
      <c r="P3124">
        <f>IF(B3144=0,0,O3124/B3144)</f>
        <v/>
      </c>
      <c r="Q3124">
        <f>IFERROR(1/(IF(Inputs!$B$39="pvp",15,MAX(0.1,Skills!D23-IF(Skills!E23=TRUE,2.5,0)))*(1-IF(AND(ArtifactsInput!$M$27,Inputs!$B$4="Chapter Hunt"),CHOOSE(ArtifactsInput!$N$27+1,20,24,28,32,36,40),0)/100)),0)</f>
        <v/>
      </c>
      <c r="R3124" t="n">
        <v>0</v>
      </c>
      <c r="S3124" t="n">
        <v>0</v>
      </c>
      <c r="U3124" t="n">
        <v>0</v>
      </c>
    </row>
    <row r="3125">
      <c r="A3125">
        <f>Skills!A24</f>
        <v/>
      </c>
      <c r="B3125">
        <f>Skills!B24</f>
        <v/>
      </c>
      <c r="C3125">
        <f>Inputs!$B$3&gt;=74</f>
        <v/>
      </c>
      <c r="D3125">
        <f>IF(Skills!C24=1,60+Inputs!$B$26+Inputs!$B$30,IF(Skills!C24=2,90+Inputs!$B$27+Inputs!$B$30,IF(Skills!C24=3,120+Inputs!$B$28+Inputs!$B$30,MAX(0,(Inputs!$B$3-100)*3)+Inputs!$B$29+Inputs!$B$30)))</f>
        <v/>
      </c>
      <c r="E3125">
        <f>INDEX(FactorTable!$B$2:$Y$301, MATCH(ROUND(MIN(300,MAX(1,D3125)),0), FactorTable!$A$2:$A$301,0), Skills!L24+1)</f>
        <v/>
      </c>
      <c r="F3125">
        <f>IF(Skills!M24=TRUE,(Skills!K24/10)*(E3125/1000),Skills!K24/10)+Skills!N24</f>
        <v/>
      </c>
      <c r="G3125">
        <f>Calc!G24</f>
        <v/>
      </c>
      <c r="H3125">
        <f>Calc!H24</f>
        <v/>
      </c>
      <c r="I3125">
        <f>IF(Skills!T24&lt;&gt;"",1+(Skills!T24/10)*($Z$3/1000)/100,1)</f>
        <v/>
      </c>
      <c r="J3125" t="inlineStr"/>
      <c r="K3125" t="inlineStr"/>
      <c r="L3125" t="inlineStr"/>
      <c r="M3125" t="inlineStr"/>
      <c r="N3125" t="inlineStr"/>
      <c r="O3125">
        <f>(1-Summary!$B$11)*S3125+Summary!$B$11*U3125</f>
        <v/>
      </c>
      <c r="P3125">
        <f>IF(B3144=0,0,O3125/B3144)</f>
        <v/>
      </c>
      <c r="Q3125">
        <f>IFERROR(1/(IF(Inputs!$B$39="pvp",15,MAX(0.1,Skills!D24-IF(Skills!E24=TRUE,2.5,0)))*(1-IF(AND(ArtifactsInput!$M$27,Inputs!$B$4="Chapter Hunt"),CHOOSE(ArtifactsInput!$N$27+1,20,24,28,32,36,40),0)/100)),0)</f>
        <v/>
      </c>
      <c r="R3125" t="n">
        <v>0</v>
      </c>
      <c r="S3125" t="n">
        <v>0</v>
      </c>
      <c r="U3125" t="n">
        <v>0</v>
      </c>
    </row>
    <row r="3126">
      <c r="A3126">
        <f>Skills!A25</f>
        <v/>
      </c>
      <c r="B3126">
        <f>Skills!B25</f>
        <v/>
      </c>
      <c r="C3126">
        <f>Inputs!$B$3&gt;=74</f>
        <v/>
      </c>
      <c r="D3126">
        <f>IF(Skills!C25=1,60+Inputs!$B$26+Inputs!$B$30,IF(Skills!C25=2,90+Inputs!$B$27+Inputs!$B$30,IF(Skills!C25=3,120+Inputs!$B$28+Inputs!$B$30,MAX(0,(Inputs!$B$3-100)*3)+Inputs!$B$29+Inputs!$B$30)))</f>
        <v/>
      </c>
      <c r="E3126">
        <f>INDEX(FactorTable!$B$2:$Y$301, MATCH(ROUND(MIN(300,MAX(1,D3126)),0), FactorTable!$A$2:$A$301,0), Skills!L25+1)</f>
        <v/>
      </c>
      <c r="F3126">
        <f>IF(Skills!M25=TRUE,(Skills!K25/10)*(E3126/1000),Skills!K25/10)+Skills!N25</f>
        <v/>
      </c>
      <c r="G3126">
        <f>Calc!G25</f>
        <v/>
      </c>
      <c r="H3126">
        <f>Calc!H25</f>
        <v/>
      </c>
      <c r="I3126">
        <f>IF(Skills!T25&lt;&gt;"",1+(Skills!T25/10)*($Z$3/1000)/100,1)</f>
        <v/>
      </c>
      <c r="J3126" t="inlineStr"/>
      <c r="K3126" t="inlineStr"/>
      <c r="L3126" t="inlineStr"/>
      <c r="M3126" t="inlineStr"/>
      <c r="N3126" t="inlineStr"/>
      <c r="O3126">
        <f>(1-Summary!$B$11)*S3126+Summary!$B$11*U3126</f>
        <v/>
      </c>
      <c r="P3126">
        <f>IF(B3144=0,0,O3126/B3144)</f>
        <v/>
      </c>
      <c r="Q3126">
        <f>IFERROR(1/(IF(Inputs!$B$39="pvp",15,MAX(0.1,Skills!D25-IF(Skills!E25=TRUE,2.5,0)))*(1-IF(AND(ArtifactsInput!$M$27,Inputs!$B$4="Chapter Hunt"),CHOOSE(ArtifactsInput!$N$27+1,20,24,28,32,36,40),0)/100)),0)</f>
        <v/>
      </c>
      <c r="R3126" t="n">
        <v>0</v>
      </c>
      <c r="S3126" t="n">
        <v>0</v>
      </c>
      <c r="U3126" t="n">
        <v>0</v>
      </c>
    </row>
    <row r="3127">
      <c r="A3127">
        <f>Skills!A26</f>
        <v/>
      </c>
      <c r="B3127">
        <f>Skills!B26</f>
        <v/>
      </c>
      <c r="C3127">
        <f>Inputs!$B$3&gt;=117</f>
        <v/>
      </c>
      <c r="D3127">
        <f>IF(Skills!C26=1,60+Inputs!$B$26+Inputs!$B$30,IF(Skills!C26=2,90+Inputs!$B$27+Inputs!$B$30,IF(Skills!C26=3,120+Inputs!$B$28+Inputs!$B$30,MAX(0,(Inputs!$B$3-100)*3)+Inputs!$B$29+Inputs!$B$30)))</f>
        <v/>
      </c>
      <c r="E3127">
        <f>INDEX(FactorTable!$B$2:$Y$301, MATCH(ROUND(MIN(300,MAX(1,D3127)),0), FactorTable!$A$2:$A$301,0), Skills!L26+1)</f>
        <v/>
      </c>
      <c r="F3127">
        <f>IF(Skills!M26=TRUE,(Skills!K26/10)*(E3127/1000),Skills!K26/10)+Skills!N26</f>
        <v/>
      </c>
      <c r="G3127">
        <f>Calc!G26</f>
        <v/>
      </c>
      <c r="H3127">
        <f>Calc!H26</f>
        <v/>
      </c>
      <c r="I3127">
        <f>IF(Skills!T26&lt;&gt;"",1+(Skills!T26/10)*($Z$3/1000)/100,1)</f>
        <v/>
      </c>
      <c r="J3127" t="inlineStr"/>
      <c r="K3127" t="inlineStr"/>
      <c r="L3127" t="inlineStr"/>
      <c r="M3127" t="inlineStr"/>
      <c r="N3127" t="inlineStr"/>
      <c r="O3127">
        <f>(1-Summary!$B$11)*S3127+Summary!$B$11*U3127</f>
        <v/>
      </c>
      <c r="P3127">
        <f>IF(B3144=0,0,O3127/B3144)</f>
        <v/>
      </c>
      <c r="Q3127">
        <f>IFERROR(1/(IF(Inputs!$B$39="pvp",15,MAX(0.1,Skills!D26-IF(Skills!E26=TRUE,2.5,0)))*(1-IF(AND(ArtifactsInput!$M$27,Inputs!$B$4="Chapter Hunt"),CHOOSE(ArtifactsInput!$N$27+1,20,24,28,32,36,40),0)/100)),0)</f>
        <v/>
      </c>
      <c r="R3127" t="n">
        <v>0</v>
      </c>
      <c r="S3127" t="n">
        <v>0</v>
      </c>
      <c r="U3127" t="n">
        <v>0</v>
      </c>
    </row>
    <row r="3128">
      <c r="A3128">
        <f>Skills!A27</f>
        <v/>
      </c>
      <c r="B3128">
        <f>Skills!B27</f>
        <v/>
      </c>
      <c r="C3128">
        <f>Inputs!$B$3&gt;=120</f>
        <v/>
      </c>
      <c r="D3128">
        <f>IF(Skills!C27=1,60+Inputs!$B$26+Inputs!$B$30,IF(Skills!C27=2,90+Inputs!$B$27+Inputs!$B$30,IF(Skills!C27=3,120+Inputs!$B$28+Inputs!$B$30,MAX(0,(Inputs!$B$3-100)*3)+Inputs!$B$29+Inputs!$B$30)))</f>
        <v/>
      </c>
      <c r="E3128">
        <f>INDEX(FactorTable!$B$2:$Y$301, MATCH(ROUND(MIN(300,MAX(1,D3128)),0), FactorTable!$A$2:$A$301,0), Skills!L27+1)</f>
        <v/>
      </c>
      <c r="F3128">
        <f>IF(Skills!M27=TRUE,(Skills!K27/10)*(E3128/1000),Skills!K27/10)+Skills!N27</f>
        <v/>
      </c>
      <c r="G3128">
        <f>Calc!G27</f>
        <v/>
      </c>
      <c r="H3128">
        <f>Calc!H27</f>
        <v/>
      </c>
      <c r="I3128">
        <f>IF(Skills!T27&lt;&gt;"",1+(Skills!T27/10)*($Z$3/1000)/100,1)</f>
        <v/>
      </c>
      <c r="J3128" t="inlineStr"/>
      <c r="K3128" t="inlineStr"/>
      <c r="L3128" t="inlineStr"/>
      <c r="M3128" t="inlineStr"/>
      <c r="N3128" t="inlineStr"/>
      <c r="O3128">
        <f>(1-Summary!$B$11)*S3128+Summary!$B$11*U3128</f>
        <v/>
      </c>
      <c r="P3128">
        <f>IF(B3144=0,0,O3128/B3144)</f>
        <v/>
      </c>
      <c r="Q3128">
        <f>IFERROR(1/(IF(Inputs!$B$39="pvp",15,MAX(0.1,Skills!D27-IF(Skills!E27=TRUE,2.5,0)))*(1-IF(AND(ArtifactsInput!$M$27,Inputs!$B$4="Chapter Hunt"),CHOOSE(ArtifactsInput!$N$27+1,20,24,28,32,36,40),0)/100)),0)</f>
        <v/>
      </c>
      <c r="R3128" t="n">
        <v>0</v>
      </c>
      <c r="S3128" t="n">
        <v>0</v>
      </c>
      <c r="U3128" t="n">
        <v>0</v>
      </c>
    </row>
    <row r="3129">
      <c r="A3129">
        <f>Skills!A28</f>
        <v/>
      </c>
      <c r="B3129">
        <f>Skills!B28</f>
        <v/>
      </c>
      <c r="C3129">
        <f>TRUE</f>
        <v/>
      </c>
      <c r="D3129">
        <f>IF(Skills!C28=1,60+Inputs!$B$26+Inputs!$B$30,IF(Skills!C28=2,90+Inputs!$B$27+Inputs!$B$30,IF(Skills!C28=3,120+Inputs!$B$28+Inputs!$B$30,MAX(0,(Inputs!$B$3-100)*3)+Inputs!$B$29+Inputs!$B$30)))</f>
        <v/>
      </c>
      <c r="E3129">
        <f>INDEX(FactorTable!$B$2:$Y$301, MATCH(ROUND(MIN(300,MAX(1,D3129)),0), FactorTable!$A$2:$A$301,0), Skills!L28+1)</f>
        <v/>
      </c>
      <c r="F3129">
        <f>IF(Skills!M28=TRUE,(Skills!K28/10)*(E3129/1000),Skills!K28/10)+Skills!N28</f>
        <v/>
      </c>
      <c r="G3129">
        <f>Calc!G28</f>
        <v/>
      </c>
      <c r="H3129">
        <f>Calc!H28</f>
        <v/>
      </c>
      <c r="I3129">
        <f>IF(Skills!T28&lt;&gt;"",1+(Skills!T28/10)*($Z$3/1000)/100,1)</f>
        <v/>
      </c>
      <c r="J3129" t="inlineStr"/>
      <c r="K3129" t="inlineStr"/>
      <c r="L3129" t="inlineStr"/>
      <c r="M3129" t="inlineStr"/>
      <c r="N3129" t="inlineStr"/>
      <c r="O3129">
        <f>(1-Summary!$B$11)*S3129+Summary!$B$11*U3129</f>
        <v/>
      </c>
      <c r="P3129">
        <f>IF(B3144=0,0,O3129/B3144)</f>
        <v/>
      </c>
      <c r="Q3129">
        <f>IFERROR(1/(IF(Inputs!$B$39="pvp",15,MAX(0.1,Skills!D28-IF(Skills!E28=TRUE,2.5,0)))*(1-IF(AND(ArtifactsInput!$M$27,Inputs!$B$4="Chapter Hunt"),CHOOSE(ArtifactsInput!$N$27+1,20,24,28,32,36,40),0)/100)),0)</f>
        <v/>
      </c>
      <c r="R3129">
        <f>IF(AND(Inputs!$B$39&lt;&gt;"pvp",Inputs!$B$44&gt;0),IF(Inputs!$B$44&lt;=0,0,(INT(Inputs!$B$44/(IF(Inputs!$B$39="pvp",15,MAX(0.1,Skills!D28-IF(Skills!E28=TRUE,2.5,0)))*(1-IF(AND(ArtifactsInput!$M$27,Inputs!$B$4="Chapter Hunt"),CHOOSE(ArtifactsInput!$N$27+1,20,24,28,32,36,40),0)/100)))+1)),0)</f>
        <v/>
      </c>
      <c r="S3129" t="n">
        <v>0</v>
      </c>
      <c r="U3129" t="n">
        <v>0</v>
      </c>
    </row>
    <row r="3131">
      <c r="A3131" t="inlineStr">
        <is>
          <t>Average Buff Multiplier</t>
        </is>
      </c>
      <c r="B3131">
        <f>(1+(IF(C3104=TRUE,F3104*IF(AND(Inputs!$B$39&lt;&gt;"pvp",Inputs!$B$44&gt;0),(((R3104-1)*(Skills!S3*(1+((Inputs!$B$35+(ArtifactsInput!$M$7-ArtifactsInput!$M$7)*CHOOSE(ArtifactsInput!$N$7+1,6,7.2,8.4,9.6,10.8,12))+IF(Inputs!$B$3&gt;=117,F3127,0))/100))+MIN((Skills!S3*(1+((Inputs!$B$35+(ArtifactsInput!$M$7-ArtifactsInput!$M$7)*CHOOSE(ArtifactsInput!$N$7+1,6,7.2,8.4,9.6,10.8,12))+IF(Inputs!$B$3&gt;=117,F3127,0))/100)),MAX(0,Inputs!$B$44-((R3104-1)*Skills!D3))))/Inputs!$B$44),IF(Inputs!$B$39="pvp",MIN((Skills!S3*(1+((Inputs!$B$35+(ArtifactsInput!$M$7-ArtifactsInput!$M$7)*CHOOSE(ArtifactsInput!$N$7+1,6,7.2,8.4,9.6,10.8,12))+IF(Inputs!$B$3&gt;=117,F3127,0))/100)),15)/15,(Skills!S3*(1+((Inputs!$B$35+(ArtifactsInput!$M$7-ArtifactsInput!$M$7)*CHOOSE(ArtifactsInput!$N$7+1,6,7.2,8.4,9.6,10.8,12))+IF(Inputs!$B$3&gt;=117,F3127,0))/100))/Skills!D3)),0)+IF(C3105=TRUE,F3105*IF(AND(Inputs!$B$39&lt;&gt;"pvp",Inputs!$B$44&gt;0),(((R3105-1)*(Skills!S4*(1+((Inputs!$B$35+(ArtifactsInput!$M$7-ArtifactsInput!$M$7)*CHOOSE(ArtifactsInput!$N$7+1,6,7.2,8.4,9.6,10.8,12))+IF(Inputs!$B$3&gt;=117,F3127,0))/100))+MIN((Skills!S4*(1+((Inputs!$B$35+(ArtifactsInput!$M$7-ArtifactsInput!$M$7)*CHOOSE(ArtifactsInput!$N$7+1,6,7.2,8.4,9.6,10.8,12))+IF(Inputs!$B$3&gt;=117,F3127,0))/100)),MAX(0,Inputs!$B$44-((R3105-1)*Skills!D4))))/Inputs!$B$44),IF(Inputs!$B$39="pvp",MIN((Skills!S4*(1+((Inputs!$B$35+(ArtifactsInput!$M$7-ArtifactsInput!$M$7)*CHOOSE(ArtifactsInput!$N$7+1,6,7.2,8.4,9.6,10.8,12))+IF(Inputs!$B$3&gt;=117,F3127,0))/100)),15)/15,(Skills!S4*(1+((Inputs!$B$35+(ArtifactsInput!$M$7-ArtifactsInput!$M$7)*CHOOSE(ArtifactsInput!$N$7+1,6,7.2,8.4,9.6,10.8,12))+IF(Inputs!$B$3&gt;=117,F3127,0))/100))/Skills!D4)),0)+IF(C3106=TRUE,F3106*IF(AND(Inputs!$B$39&lt;&gt;"pvp",Inputs!$B$44&gt;0),(((R3106-1)*(Skills!S5*(1+((Inputs!$B$35+(ArtifactsInput!$M$7-ArtifactsInput!$M$7)*CHOOSE(ArtifactsInput!$N$7+1,6,7.2,8.4,9.6,10.8,12))+IF(Inputs!$B$3&gt;=117,F3127,0))/100))+MIN((Skills!S5*(1+((Inputs!$B$35+(ArtifactsInput!$M$7-ArtifactsInput!$M$7)*CHOOSE(ArtifactsInput!$N$7+1,6,7.2,8.4,9.6,10.8,12))+IF(Inputs!$B$3&gt;=117,F3127,0))/100)),MAX(0,Inputs!$B$44-((R3106-1)*Skills!D5))))/Inputs!$B$44),IF(Inputs!$B$39="pvp",MIN((Skills!S5*(1+((Inputs!$B$35+(ArtifactsInput!$M$7-ArtifactsInput!$M$7)*CHOOSE(ArtifactsInput!$N$7+1,6,7.2,8.4,9.6,10.8,12))+IF(Inputs!$B$3&gt;=117,F3127,0))/100)),15)/15,(Skills!S5*(1+((Inputs!$B$35+(ArtifactsInput!$M$7-ArtifactsInput!$M$7)*CHOOSE(ArtifactsInput!$N$7+1,6,7.2,8.4,9.6,10.8,12))+IF(Inputs!$B$3&gt;=117,F3127,0))/100))/Skills!D5)),0)+IF(C3112=TRUE,F3112*IF(AND(Inputs!$B$39&lt;&gt;"pvp",Inputs!$B$44&gt;0),(((R3112-1)*(Skills!S11*(1+((Inputs!$B$35+(ArtifactsInput!$M$7-ArtifactsInput!$M$7)*CHOOSE(ArtifactsInput!$N$7+1,6,7.2,8.4,9.6,10.8,12))+IF(Inputs!$B$3&gt;=117,F3127,0))/100))+MIN((Skills!S11*(1+((Inputs!$B$35+(ArtifactsInput!$M$7-ArtifactsInput!$M$7)*CHOOSE(ArtifactsInput!$N$7+1,6,7.2,8.4,9.6,10.8,12))+IF(Inputs!$B$3&gt;=117,F3127,0))/100)),MAX(0,Inputs!$B$44-((R3112-1)*Skills!D11))))/Inputs!$B$44),IF(Inputs!$B$39="pvp",MIN((Skills!S11*(1+((Inputs!$B$35+(ArtifactsInput!$M$7-ArtifactsInput!$M$7)*CHOOSE(ArtifactsInput!$N$7+1,6,7.2,8.4,9.6,10.8,12))+IF(Inputs!$B$3&gt;=117,F3127,0))/100)),15)/15,(Skills!S11*(1+((Inputs!$B$35+(ArtifactsInput!$M$7-ArtifactsInput!$M$7)*CHOOSE(ArtifactsInput!$N$7+1,6,7.2,8.4,9.6,10.8,12))+IF(Inputs!$B$3&gt;=117,F3127,0)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3115=TRUE,(1+F3115*IF(AND(Inputs!$B$39&lt;&gt;"pvp",Inputs!$B$44&gt;0),(((R3115-1)*(Skills!S14*(1+((Inputs!$B$35+(ArtifactsInput!$M$7-ArtifactsInput!$M$7)*CHOOSE(ArtifactsInput!$N$7+1,6,7.2,8.4,9.6,10.8,12))+IF(Inputs!$B$3&gt;=117,F3127,0))/100))+MIN((Skills!S14*(1+((Inputs!$B$35+(ArtifactsInput!$M$7-ArtifactsInput!$M$7)*CHOOSE(ArtifactsInput!$N$7+1,6,7.2,8.4,9.6,10.8,12))+IF(Inputs!$B$3&gt;=117,F3127,0))/100)),MAX(0,Inputs!$B$44-((R3115-1)*Skills!D14))))/Inputs!$B$44),IF(Inputs!$B$39="pvp",MIN((Skills!S14*(1+((Inputs!$B$35+(ArtifactsInput!$M$7-ArtifactsInput!$M$7)*CHOOSE(ArtifactsInput!$N$7+1,6,7.2,8.4,9.6,10.8,12))+IF(Inputs!$B$3&gt;=117,F3127,0))/100)),15)/15,(Skills!S14*(1+((Inputs!$B$35+(ArtifactsInput!$M$7-ArtifactsInput!$M$7)*CHOOSE(ArtifactsInput!$N$7+1,6,7.2,8.4,9.6,10.8,12))+IF(Inputs!$B$3&gt;=117,F3127,0))/100))/Skills!D14))/100),1)*IF(C3120=TRUE,(1+F3120*IF(AND(Inputs!$B$39&lt;&gt;"pvp",Inputs!$B$44&gt;0),(((R3120-1)*(Skills!S19*(1+((Inputs!$B$35+(ArtifactsInput!$M$7-ArtifactsInput!$M$7)*CHOOSE(ArtifactsInput!$N$7+1,6,7.2,8.4,9.6,10.8,12))+IF(Inputs!$B$3&gt;=117,F3127,0))/100))+MIN((Skills!S19*(1+((Inputs!$B$35+(ArtifactsInput!$M$7-ArtifactsInput!$M$7)*CHOOSE(ArtifactsInput!$N$7+1,6,7.2,8.4,9.6,10.8,12))+IF(Inputs!$B$3&gt;=117,F3127,0))/100)),MAX(0,Inputs!$B$44-((R3120-1)*Skills!D19))))/Inputs!$B$44),IF(Inputs!$B$39="pvp",MIN((Skills!S19*(1+((Inputs!$B$35+(ArtifactsInput!$M$7-ArtifactsInput!$M$7)*CHOOSE(ArtifactsInput!$N$7+1,6,7.2,8.4,9.6,10.8,12))+IF(Inputs!$B$3&gt;=117,F3127,0))/100)),15)/15,(Skills!S19*(1+((Inputs!$B$35+(ArtifactsInput!$M$7-ArtifactsInput!$M$7)*CHOOSE(ArtifactsInput!$N$7+1,6,7.2,8.4,9.6,10.8,12))+IF(Inputs!$B$3&gt;=117,F3127,0))/100))/Skills!D19))/100),1)</f>
        <v/>
      </c>
    </row>
    <row r="3132">
      <c r="A3132" t="inlineStr">
        <is>
          <t>Monster Damage Taken Bonus % (Holy Fountain)</t>
        </is>
      </c>
      <c r="B3132">
        <f>IF(Inputs!$B$3&gt;=68,20*IF(Inputs!$B$39="pvp",MIN((15*(1+((Inputs!$B$35+(ArtifactsInput!$M$7-ArtifactsInput!$M$7)*CHOOSE(ArtifactsInput!$N$7+1,6,7.2,8.4,9.6,10.8,12))+IF(Inputs!$B$3&gt;=117,F3127,0))/100)),15)/15,(15*(1+((Inputs!$B$35+(ArtifactsInput!$M$7-ArtifactsInput!$M$7)*CHOOSE(ArtifactsInput!$N$7+1,6,7.2,8.4,9.6,10.8,12))+IF(Inputs!$B$3&gt;=117,F3127,0))/100))/Skills!D10),0)</f>
        <v/>
      </c>
    </row>
    <row r="3133">
      <c r="A3133" t="inlineStr">
        <is>
          <t>Normal Monster Damage Bonus % (Holy Symbol)</t>
        </is>
      </c>
      <c r="B3133">
        <f>IF(C3113=TRUE,F3113*IF(AND(Inputs!$B$39&lt;&gt;"pvp",Inputs!$B$44&gt;0),(((R3113-1)*(Skills!S12*(1+((Inputs!$B$35+(ArtifactsInput!$M$7-ArtifactsInput!$M$7)*CHOOSE(ArtifactsInput!$N$7+1,6,7.2,8.4,9.6,10.8,12))+IF(Inputs!$B$3&gt;=117,F3127,0))/100))+MIN((Skills!S12*(1+((Inputs!$B$35+(ArtifactsInput!$M$7-ArtifactsInput!$M$7)*CHOOSE(ArtifactsInput!$N$7+1,6,7.2,8.4,9.6,10.8,12))+IF(Inputs!$B$3&gt;=117,F3127,0))/100)),MAX(0,Inputs!$B$44-((R3113-1)*Skills!D12))))/Inputs!$B$44),IF(Inputs!$B$39="pvp",MIN((Skills!S12*(1+((Inputs!$B$35+(ArtifactsInput!$M$7-ArtifactsInput!$M$7)*CHOOSE(ArtifactsInput!$N$7+1,6,7.2,8.4,9.6,10.8,12))+IF(Inputs!$B$3&gt;=117,F3127,0))/100)),15)/15,(Skills!S12*(1+((Inputs!$B$35+(ArtifactsInput!$M$7-ArtifactsInput!$M$7)*CHOOSE(ArtifactsInput!$N$7+1,6,7.2,8.4,9.6,10.8,12))+IF(Inputs!$B$3&gt;=117,F3127,0))/100))/Skills!D12)),0)</f>
        <v/>
      </c>
    </row>
    <row r="3134">
      <c r="A3134" t="inlineStr">
        <is>
          <t>Damage % Bonus (Holy Symbol - Damage Boost)</t>
        </is>
      </c>
      <c r="B3134">
        <f>Skills!O12</f>
        <v/>
      </c>
    </row>
    <row r="3135">
      <c r="A3135" t="inlineStr">
        <is>
          <t>Crit Damage % Bonus (Blood of the Divine)</t>
        </is>
      </c>
      <c r="B3135">
        <f>4*IF(C3121=TRUE,F3121,0)</f>
        <v/>
      </c>
    </row>
    <row r="3136">
      <c r="A3136" t="inlineStr">
        <is>
          <t>Attack Speed Bonus %</t>
        </is>
      </c>
      <c r="B3136">
        <f>IF(C3118=TRUE,F3118+(F3122-Calc!F21),0)+IF(Inputs!$B$3&gt;=134,15,0)+((C3129=TRUE)*F3129*IF(AND(Inputs!$B$39&lt;&gt;"pvp",Inputs!$B$44&gt;0),(((R3129-1)*(Skills!S28*(1+((Inputs!$B$35+(ArtifactsInput!$M$7-ArtifactsInput!$M$7)*CHOOSE(ArtifactsInput!$N$7+1,6,7.2,8.4,9.6,10.8,12))+IF(Inputs!$B$3&gt;=117,F3127,0))/100))+MIN((Skills!S28*(1+((Inputs!$B$35+(ArtifactsInput!$M$7-ArtifactsInput!$M$7)*CHOOSE(ArtifactsInput!$N$7+1,6,7.2,8.4,9.6,10.8,12))+IF(Inputs!$B$3&gt;=117,F3127,0))/100)),MAX(0,Inputs!$B$44-((R3129-1)*Skills!D28))))/Inputs!$B$44),IF(Inputs!$B$39="pvp",MIN((Skills!S28*(1+((Inputs!$B$35+(ArtifactsInput!$M$7-ArtifactsInput!$M$7)*CHOOSE(ArtifactsInput!$N$7+1,6,7.2,8.4,9.6,10.8,12))+IF(Inputs!$B$3&gt;=117,F3127,0))/100)),15)/15,(Skills!S28*(1+((Inputs!$B$35+(ArtifactsInput!$M$7-ArtifactsInput!$M$7)*CHOOSE(ArtifactsInput!$N$7+1,6,7.2,8.4,9.6,10.8,12))+IF(Inputs!$B$3&gt;=117,F3127,0))/100))/Skills!D28)))</f>
        <v/>
      </c>
    </row>
    <row r="3137">
      <c r="A3137" t="inlineStr">
        <is>
          <t>Actions Per Second</t>
        </is>
      </c>
      <c r="B3137">
        <f>1+MIN(150,150*(1-(1-Inputs!$B$12/150)*(1-B3136/150)))/100</f>
        <v/>
      </c>
    </row>
    <row r="3138">
      <c r="A3138" t="inlineStr">
        <is>
          <t>Skill + Buff Cast Rate</t>
        </is>
      </c>
      <c r="B3138">
        <f>IF(AND(Inputs!$B$39&lt;&gt;"pvp",Inputs!$B$44&gt;0),SUMPRODUCT((Skills!E2:E28=TRUE)*(C3103:C3129=TRUE)*R3103:R3129)/Inputs!$B$44,SUMPRODUCT((Skills!E2:E28=TRUE)*(C3103:C3129=TRUE)*Q3103:Q3129))</f>
        <v/>
      </c>
    </row>
    <row r="3139">
      <c r="A3139" t="inlineStr">
        <is>
          <t>Big Bang Casts Per Second</t>
        </is>
      </c>
      <c r="B3139">
        <f>MAX(0,B3137-B3138)</f>
        <v/>
      </c>
    </row>
    <row r="3140">
      <c r="A3140" t="inlineStr">
        <is>
          <t>Defense % Bonus (Divine Protection)</t>
        </is>
      </c>
      <c r="B3140">
        <f>IF(C3114=TRUE,F3114*IF(AND(Inputs!$B$39&lt;&gt;"pvp",Inputs!$B$44&gt;0),(((R3114-1)*(Skills!S13*(1+((Inputs!$B$35+(ArtifactsInput!$M$7-ArtifactsInput!$M$7)*CHOOSE(ArtifactsInput!$N$7+1,6,7.2,8.4,9.6,10.8,12))+IF(Inputs!$B$3&gt;=117,F3127,0))/100))+MIN((Skills!S13*(1+((Inputs!$B$35+(ArtifactsInput!$M$7-ArtifactsInput!$M$7)*CHOOSE(ArtifactsInput!$N$7+1,6,7.2,8.4,9.6,10.8,12))+IF(Inputs!$B$3&gt;=117,F3127,0))/100)),MAX(0,Inputs!$B$44-((R3114-1)*Skills!D13))))/Inputs!$B$44),IF(Inputs!$B$39="pvp",MIN((Skills!S13*(1+((Inputs!$B$35+(ArtifactsInput!$M$7-ArtifactsInput!$M$7)*CHOOSE(ArtifactsInput!$N$7+1,6,7.2,8.4,9.6,10.8,12))+IF(Inputs!$B$3&gt;=117,F3127,0))/100)),15)/15,(Skills!S13*(1+((Inputs!$B$35+(ArtifactsInput!$M$7-ArtifactsInput!$M$7)*CHOOSE(ArtifactsInput!$N$7+1,6,7.2,8.4,9.6,10.8,12))+IF(Inputs!$B$3&gt;=117,F3127,0))/100))/Skills!D13)),0)</f>
        <v/>
      </c>
    </row>
    <row r="3141">
      <c r="A3141" t="inlineStr">
        <is>
          <t>Buff-Casting Startup Delay (s, fixed-duration only)</t>
        </is>
      </c>
      <c r="B3141">
        <f>IF(AND(Inputs!$B$39&lt;&gt;"pvp",Inputs!$B$44&gt;0),SUMPRODUCT((Skills!S2:S28&gt;0)*(Skills!E2:E28=TRUE)*(C3103:C3129=TRUE))/B3137,0)</f>
        <v/>
      </c>
    </row>
    <row r="3142">
      <c r="A3142" t="inlineStr">
        <is>
          <t>Boss-Only Total DPS (this block's swept value)</t>
        </is>
      </c>
      <c r="B3142">
        <f>SUM(S3103:S3129)</f>
        <v/>
      </c>
    </row>
    <row r="3143">
      <c r="A3143" t="inlineStr">
        <is>
          <t>Normal-Only Total DPS (this block's swept value)</t>
        </is>
      </c>
      <c r="B3143">
        <f>SUM(U3103:U3129)</f>
        <v/>
      </c>
    </row>
    <row r="3144">
      <c r="A3144" s="6" t="inlineStr">
        <is>
          <t>TOTAL DPS</t>
        </is>
      </c>
      <c r="B3144" s="6">
        <f>SUM(O3103:O3129)</f>
        <v/>
      </c>
    </row>
    <row r="3146">
      <c r="A3146" s="6" t="inlineStr">
        <is>
          <t>Stat: CDR = 3.0s</t>
        </is>
      </c>
    </row>
    <row r="3147">
      <c r="A3147" s="5" t="inlineStr">
        <is>
          <t>Key</t>
        </is>
      </c>
      <c r="B3147" s="5" t="inlineStr">
        <is>
          <t>Name</t>
        </is>
      </c>
      <c r="C3147" s="5" t="inlineStr">
        <is>
          <t>Unlocked</t>
        </is>
      </c>
      <c r="D3147" s="5" t="inlineStr">
        <is>
          <t>InputLevel</t>
        </is>
      </c>
      <c r="E3147" s="5" t="inlineStr">
        <is>
          <t>Factor</t>
        </is>
      </c>
      <c r="F3147" s="5" t="inlineStr">
        <is>
          <t>CoefficientPercent</t>
        </is>
      </c>
      <c r="G3147" s="5" t="inlineStr">
        <is>
          <t>EffectiveHits</t>
        </is>
      </c>
      <c r="H3147" s="5" t="inlineStr">
        <is>
          <t>ProcProbability</t>
        </is>
      </c>
      <c r="I3147" s="5" t="inlineStr">
        <is>
          <t>MapleHeroMultiplier</t>
        </is>
      </c>
      <c r="J3147" s="5" t="inlineStr">
        <is>
          <t>BaseDamage</t>
        </is>
      </c>
      <c r="K3147" s="5" t="inlineStr">
        <is>
          <t>BaseHitDamage</t>
        </is>
      </c>
      <c r="L3147" s="5" t="inlineStr">
        <is>
          <t>NonCritAvg</t>
        </is>
      </c>
      <c r="M3147" s="5" t="inlineStr">
        <is>
          <t>CritAvg</t>
        </is>
      </c>
      <c r="N3147" s="5" t="inlineStr">
        <is>
          <t>ExpectedDamage(perHit)</t>
        </is>
      </c>
      <c r="O3147" s="5" t="inlineStr">
        <is>
          <t>DPS</t>
        </is>
      </c>
      <c r="P3147" s="5" t="inlineStr">
        <is>
          <t>% of Total</t>
        </is>
      </c>
      <c r="R3147" t="inlineStr">
        <is>
          <t>helpers</t>
        </is>
      </c>
    </row>
    <row r="3148">
      <c r="A3148">
        <f>Skills!A2</f>
        <v/>
      </c>
      <c r="B3148">
        <f>Skills!B2</f>
        <v/>
      </c>
      <c r="C3148">
        <f>Inputs!$B$3&gt;=100</f>
        <v/>
      </c>
      <c r="D3148" t="inlineStr"/>
      <c r="E3148" t="inlineStr"/>
      <c r="F3148">
        <f>T3150+Skills!N2</f>
        <v/>
      </c>
      <c r="G3148">
        <f>Calc!G2</f>
        <v/>
      </c>
      <c r="H3148">
        <f>Calc!H2</f>
        <v/>
      </c>
      <c r="I3148">
        <f>IF(Skills!T2&lt;&gt;"",1+(Skills!T2/10)*($Z$3/1000)/100,1)</f>
        <v/>
      </c>
      <c r="J3148">
        <f>((Inputs!$B$6*(1+Inputs!$B$7/100))+(((Inputs!$B$13*(1+Inputs!$B$14/100))-(Inputs!$B$13*(1+Inputs!$B$14/100)))+0.25*(Inputs!$B$15-Inputs!$B$15))*(1+Inputs!$B$7/100))*(F3148/100)</f>
        <v/>
      </c>
      <c r="K3148">
        <f>J3148*(1+(((Inputs!$B$13+IF(Inputs!$B$3&gt;=35,(10*INDEX(FactorTable!$B$2:$Y$301,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2="TRIUMPH_FEATHER",IF(C3162=TRUE,F3162,0),0)/100)*(1+IF(C3173=TRUE,F3173,0)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3148)</f>
        <v/>
      </c>
      <c r="L3148">
        <f>K3148*(MIN(Inputs!$B$23+(F3168-Calc!F22),(Inputs!$B$24+IF(ArtifactsInput!$M$15,CHOOSE(ArtifactsInput!$N$15+1,25,30,35,40,45,50)/100*(Inputs!$B$12-Inputs!$B$12),0)))/100+(Inputs!$B$24+IF(ArtifactsInput!$M$15,CHOOSE(ArtifactsInput!$N$15+1,25,30,35,40,45,50)/100*(Inputs!$B$12-Inputs!$B$12),0))/100)/2</f>
        <v/>
      </c>
      <c r="M3148">
        <f>L3148*(1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48">
        <f>L3148*(1-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3148*(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8">
        <f>(1-Summary!$B$11)*S3148+Summary!$B$11*U3148</f>
        <v/>
      </c>
      <c r="P3148">
        <f>IF(B3189=0,0,O3148/B3189)</f>
        <v/>
      </c>
      <c r="Q3148">
        <f>IFERROR(1/(IF(Inputs!$B$39="pvp",15,MAX(0.1,Skills!D2-IF(Skills!E2=TRUE,3.0,0)))*(1-IF(AND(ArtifactsInput!$M$27,Inputs!$B$4="Chapter Hunt"),CHOOSE(ArtifactsInput!$N$27+1,20,24,28,32,36,40),0)/100)),0)</f>
        <v/>
      </c>
      <c r="R3148" t="n">
        <v>0</v>
      </c>
      <c r="S3148">
        <f>IF(C3148,(Skills!F2*N3148*B3184)*IF(Inputs!$B$39="pvp",1,1+(Inputs!$B$21+Skills!O2+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3148*(1-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3148*(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3148*(1-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3148*(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48">
        <f>MAX(0,(Inputs!$B$3-100)*3)+Inputs!$B$29+Inputs!$B$30</f>
        <v/>
      </c>
      <c r="U3148">
        <f>IF(C3148,(Skills!F2*N3148*B3184)*IF(Inputs!$B$39="pvp",1,(1+(Inputs!$B$22+Skills!P2+B3178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9">
      <c r="A3149">
        <f>Skills!A3</f>
        <v/>
      </c>
      <c r="B3149">
        <f>Skills!B3</f>
        <v/>
      </c>
      <c r="C3149">
        <f>Inputs!$B$3&gt;=15</f>
        <v/>
      </c>
      <c r="D3149">
        <f>IF(Skills!C3=1,60+Inputs!$B$26+Inputs!$B$30,IF(Skills!C3=2,90+Inputs!$B$27+Inputs!$B$30,IF(Skills!C3=3,120+Inputs!$B$28+Inputs!$B$30,MAX(0,(Inputs!$B$3-100)*3)+Inputs!$B$29+Inputs!$B$30)))</f>
        <v/>
      </c>
      <c r="E3149">
        <f>INDEX(FactorTable!$B$2:$Y$301, MATCH(ROUND(MIN(300,MAX(1,D3149)),0), FactorTable!$A$2:$A$301,0), Skills!L3+1)</f>
        <v/>
      </c>
      <c r="F3149">
        <f>IF(Skills!M3=TRUE,(Skills!K3/10)*(E3149/1000),Skills!K3/10)+Skills!N3</f>
        <v/>
      </c>
      <c r="G3149">
        <f>Calc!G3</f>
        <v/>
      </c>
      <c r="H3149">
        <f>Calc!H3</f>
        <v/>
      </c>
      <c r="I3149">
        <f>IF(Skills!T3&lt;&gt;"",1+(Skills!T3/10)*($Z$3/1000)/100,1)</f>
        <v/>
      </c>
      <c r="J3149" t="inlineStr"/>
      <c r="K3149" t="inlineStr"/>
      <c r="L3149" t="inlineStr"/>
      <c r="M3149" t="inlineStr"/>
      <c r="N3149" t="inlineStr"/>
      <c r="O3149">
        <f>(1-Summary!$B$11)*S3149+Summary!$B$11*U3149</f>
        <v/>
      </c>
      <c r="P3149">
        <f>IF(B3189=0,0,O3149/B3189)</f>
        <v/>
      </c>
      <c r="Q3149">
        <f>IFERROR(1/(IF(Inputs!$B$39="pvp",15,MAX(0.1,Skills!D3-IF(Skills!E3=TRUE,3.0,0)))*(1-IF(AND(ArtifactsInput!$M$27,Inputs!$B$4="Chapter Hunt"),CHOOSE(ArtifactsInput!$N$27+1,20,24,28,32,36,40),0)/100)),0)</f>
        <v/>
      </c>
      <c r="R3149">
        <f>IF(AND(Inputs!$B$39&lt;&gt;"pvp",Inputs!$B$44&gt;0),IF(Inputs!$B$44&lt;=0,0,(INT(Inputs!$B$44/(IF(Inputs!$B$39="pvp",15,MAX(0.1,Skills!D3-IF(Skills!E3=TRUE,3.0,0)))*(1-IF(AND(ArtifactsInput!$M$27,Inputs!$B$4="Chapter Hunt"),CHOOSE(ArtifactsInput!$N$27+1,20,24,28,32,36,40),0)/100)))+1)),0)</f>
        <v/>
      </c>
      <c r="S3149" t="n">
        <v>0</v>
      </c>
      <c r="T3149">
        <f>INDEX(FactorTable!$B$2:$Y$301, MATCH(ROUND(MIN(300,MAX(1,T3148)),0), FactorTable!$A$2:$A$301,0), 22)</f>
        <v/>
      </c>
      <c r="U3149" t="n">
        <v>0</v>
      </c>
    </row>
    <row r="3150">
      <c r="A3150">
        <f>Skills!A4</f>
        <v/>
      </c>
      <c r="B3150">
        <f>Skills!B4</f>
        <v/>
      </c>
      <c r="C3150">
        <f>Inputs!$B$3&gt;=38</f>
        <v/>
      </c>
      <c r="D3150">
        <f>IF(Skills!C4=1,60+Inputs!$B$26+Inputs!$B$30,IF(Skills!C4=2,90+Inputs!$B$27+Inputs!$B$30,IF(Skills!C4=3,120+Inputs!$B$28+Inputs!$B$30,MAX(0,(Inputs!$B$3-100)*3)+Inputs!$B$29+Inputs!$B$30)))</f>
        <v/>
      </c>
      <c r="E3150">
        <f>INDEX(FactorTable!$B$2:$Y$301, MATCH(ROUND(MIN(300,MAX(1,D3150)),0), FactorTable!$A$2:$A$301,0), Skills!L4+1)</f>
        <v/>
      </c>
      <c r="F3150">
        <f>IF(Skills!M4=TRUE,(Skills!K4/10)*(E3150/1000),Skills!K4/10)+Skills!N4</f>
        <v/>
      </c>
      <c r="G3150">
        <f>Calc!G4</f>
        <v/>
      </c>
      <c r="H3150">
        <f>Calc!H4</f>
        <v/>
      </c>
      <c r="I3150">
        <f>IF(Skills!T4&lt;&gt;"",1+(Skills!T4/10)*($Z$3/1000)/100,1)</f>
        <v/>
      </c>
      <c r="J3150" t="inlineStr"/>
      <c r="K3150" t="inlineStr"/>
      <c r="L3150" t="inlineStr"/>
      <c r="M3150" t="inlineStr"/>
      <c r="N3150" t="inlineStr"/>
      <c r="O3150">
        <f>(1-Summary!$B$11)*S3150+Summary!$B$11*U3150</f>
        <v/>
      </c>
      <c r="P3150">
        <f>IF(B3189=0,0,O3150/B3189)</f>
        <v/>
      </c>
      <c r="Q3150">
        <f>IFERROR(1/(IF(Inputs!$B$39="pvp",15,MAX(0.1,Skills!D4-IF(Skills!E4=TRUE,3.0,0)))*(1-IF(AND(ArtifactsInput!$M$27,Inputs!$B$4="Chapter Hunt"),CHOOSE(ArtifactsInput!$N$27+1,20,24,28,32,36,40),0)/100)),0)</f>
        <v/>
      </c>
      <c r="R3150">
        <f>IF(AND(Inputs!$B$39&lt;&gt;"pvp",Inputs!$B$44&gt;0),IF(Inputs!$B$44&lt;=0,0,(INT(Inputs!$B$44/(IF(Inputs!$B$39="pvp",15,MAX(0.1,Skills!D4-IF(Skills!E4=TRUE,3.0,0)))*(1-IF(AND(ArtifactsInput!$M$27,Inputs!$B$4="Chapter Hunt"),CHOOSE(ArtifactsInput!$N$27+1,20,24,28,32,36,40),0)/100)))+1)),0)</f>
        <v/>
      </c>
      <c r="S3150" t="n">
        <v>0</v>
      </c>
      <c r="T3150">
        <f>290*T3149/1000</f>
        <v/>
      </c>
      <c r="U3150" t="n">
        <v>0</v>
      </c>
    </row>
    <row r="3151">
      <c r="A3151">
        <f>Skills!A5</f>
        <v/>
      </c>
      <c r="B3151">
        <f>Skills!B5</f>
        <v/>
      </c>
      <c r="C3151">
        <f>Inputs!$B$3&gt;=40</f>
        <v/>
      </c>
      <c r="D3151">
        <f>IF(Skills!C5=1,60+Inputs!$B$26+Inputs!$B$30,IF(Skills!C5=2,90+Inputs!$B$27+Inputs!$B$30,IF(Skills!C5=3,120+Inputs!$B$28+Inputs!$B$30,MAX(0,(Inputs!$B$3-100)*3)+Inputs!$B$29+Inputs!$B$30)))</f>
        <v/>
      </c>
      <c r="E3151">
        <f>INDEX(FactorTable!$B$2:$Y$301, MATCH(ROUND(MIN(300,MAX(1,D3151)),0), FactorTable!$A$2:$A$301,0), Skills!L5+1)</f>
        <v/>
      </c>
      <c r="F3151">
        <f>IF(Skills!M5=TRUE,(Skills!K5/10)*(E3151/1000),Skills!K5/10)+Skills!N5</f>
        <v/>
      </c>
      <c r="G3151">
        <f>Calc!G5</f>
        <v/>
      </c>
      <c r="H3151">
        <f>Calc!H5</f>
        <v/>
      </c>
      <c r="I3151">
        <f>IF(Skills!T5&lt;&gt;"",1+(Skills!T5/10)*($Z$3/1000)/100,1)</f>
        <v/>
      </c>
      <c r="J3151" t="inlineStr"/>
      <c r="K3151" t="inlineStr"/>
      <c r="L3151" t="inlineStr"/>
      <c r="M3151" t="inlineStr"/>
      <c r="N3151" t="inlineStr"/>
      <c r="O3151">
        <f>(1-Summary!$B$11)*S3151+Summary!$B$11*U3151</f>
        <v/>
      </c>
      <c r="P3151">
        <f>IF(B3189=0,0,O3151/B3189)</f>
        <v/>
      </c>
      <c r="Q3151">
        <f>IFERROR(1/(IF(Inputs!$B$39="pvp",15,MAX(0.1,Skills!D5-IF(Skills!E5=TRUE,3.0,0)))*(1-IF(AND(ArtifactsInput!$M$27,Inputs!$B$4="Chapter Hunt"),CHOOSE(ArtifactsInput!$N$27+1,20,24,28,32,36,40),0)/100)),0)</f>
        <v/>
      </c>
      <c r="R3151">
        <f>IF(AND(Inputs!$B$39&lt;&gt;"pvp",Inputs!$B$44&gt;0),IF(Inputs!$B$44&lt;=0,0,(INT(Inputs!$B$44/(IF(Inputs!$B$39="pvp",15,MAX(0.1,Skills!D5-IF(Skills!E5=TRUE,3.0,0)))*(1-IF(AND(ArtifactsInput!$M$27,Inputs!$B$4="Chapter Hunt"),CHOOSE(ArtifactsInput!$N$27+1,20,24,28,32,36,40),0)/100)))+1)),0)</f>
        <v/>
      </c>
      <c r="S3151" t="n">
        <v>0</v>
      </c>
      <c r="U3151" t="n">
        <v>0</v>
      </c>
    </row>
    <row r="3152">
      <c r="A3152">
        <f>Skills!A6</f>
        <v/>
      </c>
      <c r="B3152">
        <f>Skills!B6</f>
        <v/>
      </c>
      <c r="C3152">
        <f>Inputs!$B$3&gt;=103</f>
        <v/>
      </c>
      <c r="D3152">
        <f>IF(Skills!C6=1,60+Inputs!$B$26+Inputs!$B$30,IF(Skills!C6=2,90+Inputs!$B$27+Inputs!$B$30,IF(Skills!C6=3,120+Inputs!$B$28+Inputs!$B$30,MAX(0,(Inputs!$B$3-100)*3)+Inputs!$B$29+Inputs!$B$30)))</f>
        <v/>
      </c>
      <c r="E3152">
        <f>INDEX(FactorTable!$B$2:$Y$301, MATCH(ROUND(MIN(300,MAX(1,D3152)),0), FactorTable!$A$2:$A$301,0), Skills!L6+1)</f>
        <v/>
      </c>
      <c r="F3152">
        <f>IF(Skills!M6=TRUE,(Skills!K6/10)*(E3152/1000),Skills!K6/10)+Skills!N6</f>
        <v/>
      </c>
      <c r="G3152">
        <f>Calc!G6</f>
        <v/>
      </c>
      <c r="H3152">
        <f>Calc!H6</f>
        <v/>
      </c>
      <c r="I3152">
        <f>IF(Skills!T6&lt;&gt;"",1+(Skills!T6/10)*($Z$3/1000)/100,1)</f>
        <v/>
      </c>
      <c r="J3152">
        <f>((Inputs!$B$6*(1+Inputs!$B$7/100))+(((Inputs!$B$13*(1+Inputs!$B$14/100))-(Inputs!$B$13*(1+Inputs!$B$14/100)))+0.25*(Inputs!$B$15-Inputs!$B$15))*(1+Inputs!$B$7/100))*(F3152/100)</f>
        <v/>
      </c>
      <c r="K3152">
        <f>J3152*(1+(((Inputs!$B$13+IF(Inputs!$B$3&gt;=35,(10*INDEX(FactorTable!$B$2:$Y$301,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6="TRIUMPH_FEATHER",IF(C3162=TRUE,F3162,0),0)/100)*(1+IF(C3173=TRUE,F3173,0)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3152)</f>
        <v/>
      </c>
      <c r="L3152">
        <f>K3152*(MIN(Inputs!$B$23+(F3168-Calc!F22),(Inputs!$B$24+IF(ArtifactsInput!$M$15,CHOOSE(ArtifactsInput!$N$15+1,25,30,35,40,45,50)/100*(Inputs!$B$12-Inputs!$B$12),0)))/100+(Inputs!$B$24+IF(ArtifactsInput!$M$15,CHOOSE(ArtifactsInput!$N$15+1,25,30,35,40,45,50)/100*(Inputs!$B$12-Inputs!$B$12),0))/100)/2</f>
        <v/>
      </c>
      <c r="M3152">
        <f>L3152*(1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2">
        <f>L3152*(1-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3152*(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2">
        <f>(1-Summary!$B$11)*S3152+Summary!$B$11*U3152</f>
        <v/>
      </c>
      <c r="P3152">
        <f>IF(B3189=0,0,O3152/B3189)</f>
        <v/>
      </c>
      <c r="Q3152">
        <f>IFERROR(1/(IF(Inputs!$B$39="pvp",15,MAX(0.1,Skills!D6-IF(Skills!E6=TRUE,3.0,0)))*(1-IF(AND(ArtifactsInput!$M$27,Inputs!$B$4="Chapter Hunt"),CHOOSE(ArtifactsInput!$N$27+1,20,24,28,32,36,40),0)/100)),0)</f>
        <v/>
      </c>
      <c r="R3152">
        <f>IF(AND(Inputs!$B$39&lt;&gt;"pvp",Inputs!$B$44&gt;0),IF(MAX(0,Inputs!$B$44-B3186)&lt;=0,0,(INT(MAX(0,Inputs!$B$44-B3186)/(IF(Inputs!$B$39="pvp",15,MAX(0.1,Skills!D6-IF(Skills!E6=TRUE,3.0,0)))*(1-IF(AND(ArtifactsInput!$M$27,Inputs!$B$4="Chapter Hunt"),CHOOSE(ArtifactsInput!$N$27+1,20,24,28,32,36,40),0)/100)))+1)),0)</f>
        <v/>
      </c>
      <c r="S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$21+Skills!O6+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3152*(1-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3152*(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3152*(1-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3152*(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$22+Skills!P6+B3178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3">
      <c r="A3153">
        <f>Skills!A7</f>
        <v/>
      </c>
      <c r="B3153">
        <f>Skills!B7</f>
        <v/>
      </c>
      <c r="C3153">
        <f>Inputs!$B$3&gt;=122</f>
        <v/>
      </c>
      <c r="D3153">
        <f>IF(Skills!C7=1,60+Inputs!$B$26+Inputs!$B$30,IF(Skills!C7=2,90+Inputs!$B$27+Inputs!$B$30,IF(Skills!C7=3,120+Inputs!$B$28+Inputs!$B$30,MAX(0,(Inputs!$B$3-100)*3)+Inputs!$B$29+Inputs!$B$30)))</f>
        <v/>
      </c>
      <c r="E3153">
        <f>INDEX(FactorTable!$B$2:$Y$301, MATCH(ROUND(MIN(300,MAX(1,D3153)),0), FactorTable!$A$2:$A$301,0), Skills!L7+1)</f>
        <v/>
      </c>
      <c r="F3153">
        <f>IF(Skills!M7=TRUE,(Skills!K7/10)*(E3153/1000),Skills!K7/10)+Skills!N7</f>
        <v/>
      </c>
      <c r="G3153">
        <f>Calc!G7</f>
        <v/>
      </c>
      <c r="H3153">
        <f>Calc!H7</f>
        <v/>
      </c>
      <c r="I3153">
        <f>IF(Skills!T7&lt;&gt;"",1+(Skills!T7/10)*($Z$3/1000)/100,1)</f>
        <v/>
      </c>
      <c r="J3153">
        <f>((Inputs!$B$6*(1+Inputs!$B$7/100))+(((Inputs!$B$13*(1+Inputs!$B$14/100))-(Inputs!$B$13*(1+Inputs!$B$14/100)))+0.25*(Inputs!$B$15-Inputs!$B$15))*(1+Inputs!$B$7/100))*(F3153/100)</f>
        <v/>
      </c>
      <c r="K3153">
        <f>J3153*(1+(((Inputs!$B$13+IF(Inputs!$B$3&gt;=35,(10*INDEX(FactorTable!$B$2:$Y$301,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7="TRIUMPH_FEATHER",IF(C3162=TRUE,F3162,0),0)/100)*(1+IF(C3173=TRUE,F3173,0)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3153)</f>
        <v/>
      </c>
      <c r="L3153">
        <f>K3153*(MIN(Inputs!$B$23+(F3168-Calc!F22),(Inputs!$B$24+IF(ArtifactsInput!$M$15,CHOOSE(ArtifactsInput!$N$15+1,25,30,35,40,45,50)/100*(Inputs!$B$12-Inputs!$B$12),0)))/100+(Inputs!$B$24+IF(ArtifactsInput!$M$15,CHOOSE(ArtifactsInput!$N$15+1,25,30,35,40,45,50)/100*(Inputs!$B$12-Inputs!$B$12),0))/100)/2</f>
        <v/>
      </c>
      <c r="M3153">
        <f>L3153*(1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3">
        <f>L3153*(1-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3153*(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3">
        <f>(1-Summary!$B$11)*S3153+Summary!$B$11*U3153</f>
        <v/>
      </c>
      <c r="P3153">
        <f>IF(B3189=0,0,O3153/B3189)</f>
        <v/>
      </c>
      <c r="Q3153">
        <f>IFERROR(1/(IF(Inputs!$B$39="pvp",15,MAX(0.1,Skills!D7-IF(Skills!E6=TRUE,3.0,0)))*(1-IF(AND(ArtifactsInput!$M$27,Inputs!$B$4="Chapter Hunt"),CHOOSE(ArtifactsInput!$N$27+1,20,24,28,32,36,40),0)/100)),0)</f>
        <v/>
      </c>
      <c r="R3153">
        <f>IF(AND(Inputs!$B$39&lt;&gt;"pvp",Inputs!$B$44&gt;0),IF(MAX(0,Inputs!$B$44-B3186)&lt;=0,0,(INT(MAX(0,Inputs!$B$44-B3186)/(IF(Inputs!$B$39="pvp",15,MAX(0.1,Skills!D7-IF(Skills!E6=TRUE,3.0,0)))*(1-IF(AND(ArtifactsInput!$M$27,Inputs!$B$4="Chapter Hunt"),CHOOSE(ArtifactsInput!$N$27+1,20,24,28,32,36,40),0)/100)))+1)),0)</f>
        <v/>
      </c>
      <c r="S3153">
        <f>IF(C3153,H3153*N3153*IF(AND(Inputs!$B$39&lt;&gt;"pvp",Inputs!$B$44&gt;0),((Skills!F7*((R3153-1)*IF(Skills!G7&gt;0,Skills!H7/Skills!G7,1)+IF(Skills!G7&gt;0,MIN(Skills!H7,MAX(0,MAX(0,Inputs!$B$44-B3186)-((R3153-1)*(IF(Inputs!$B$39="pvp",15,MAX(0.1,Skills!D7-IF(Skills!E6=TRUE,3.0,0)))*(1-IF(AND(ArtifactsInput!$M$27,Inputs!$B$4="Chapter Hunt"),CHOOSE(ArtifactsInput!$N$27+1,20,24,28,32,36,40),0)/100)))))/Skills!G7,1)))/Inputs!$B$44),G3153*Q3153)*IF(Inputs!$B$39="pvp",1,1+(Inputs!$B$21+Skills!O7+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3153*(1-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3153*(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3153*(1-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3153*(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3" t="n">
        <v>0</v>
      </c>
    </row>
    <row r="3154">
      <c r="A3154">
        <f>Skills!A8</f>
        <v/>
      </c>
      <c r="B3154">
        <f>Skills!B8</f>
        <v/>
      </c>
      <c r="C3154">
        <f>Inputs!$B$3&gt;=105</f>
        <v/>
      </c>
      <c r="D3154">
        <f>IF(Skills!C8=1,60+Inputs!$B$26+Inputs!$B$30,IF(Skills!C8=2,90+Inputs!$B$27+Inputs!$B$30,IF(Skills!C8=3,120+Inputs!$B$28+Inputs!$B$30,MAX(0,(Inputs!$B$3-100)*3)+Inputs!$B$29+Inputs!$B$30)))</f>
        <v/>
      </c>
      <c r="E3154">
        <f>INDEX(FactorTable!$B$2:$Y$301, MATCH(ROUND(MIN(300,MAX(1,D3154)),0), FactorTable!$A$2:$A$301,0), Skills!L8+1)</f>
        <v/>
      </c>
      <c r="F3154">
        <f>IF(Skills!M8=TRUE,(Skills!K8/10)*(E3154/1000),Skills!K8/10)+Skills!N8</f>
        <v/>
      </c>
      <c r="G3154">
        <f>Calc!G8</f>
        <v/>
      </c>
      <c r="H3154">
        <f>Calc!H8</f>
        <v/>
      </c>
      <c r="I3154">
        <f>IF(Skills!T8&lt;&gt;"",1+(Skills!T8/10)*($Z$3/1000)/100,1)</f>
        <v/>
      </c>
      <c r="J3154">
        <f>((Inputs!$B$6*(1+Inputs!$B$7/100))+(((Inputs!$B$13*(1+Inputs!$B$14/100))-(Inputs!$B$13*(1+Inputs!$B$14/100)))+0.25*(Inputs!$B$15-Inputs!$B$15))*(1+Inputs!$B$7/100))*(F3154/100)</f>
        <v/>
      </c>
      <c r="K3154">
        <f>J3154*(1+(((Inputs!$B$13+IF(Inputs!$B$3&gt;=35,(10*INDEX(FactorTable!$B$2:$Y$301,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8="TRIUMPH_FEATHER",IF(C3162=TRUE,F3162,0),0)/100)*(1+IF(C3173=TRUE,F3173,0)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3154)</f>
        <v/>
      </c>
      <c r="L3154">
        <f>K3154*(MIN(Inputs!$B$23+(F3168-Calc!F22),(Inputs!$B$24+IF(ArtifactsInput!$M$15,CHOOSE(ArtifactsInput!$N$15+1,25,30,35,40,45,50)/100*(Inputs!$B$12-Inputs!$B$12),0)))/100+(Inputs!$B$24+IF(ArtifactsInput!$M$15,CHOOSE(ArtifactsInput!$N$15+1,25,30,35,40,45,50)/100*(Inputs!$B$12-Inputs!$B$12),0))/100)/2</f>
        <v/>
      </c>
      <c r="M3154">
        <f>L3154*(1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4">
        <f>L3154*(1-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3154*(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4">
        <f>(1-Summary!$B$11)*S3154+Summary!$B$11*U3154</f>
        <v/>
      </c>
      <c r="P3154">
        <f>IF(B3189=0,0,O3154/B3189)</f>
        <v/>
      </c>
      <c r="Q3154">
        <f>IFERROR(1/(IF(Inputs!$B$39="pvp",15,MAX(0.1,Skills!D8-IF(Skills!E8=TRUE,3.0,0)))*(1-IF(AND(ArtifactsInput!$M$27,Inputs!$B$4="Chapter Hunt"),CHOOSE(ArtifactsInput!$N$27+1,20,24,28,32,36,40),0)/100)),0)</f>
        <v/>
      </c>
      <c r="R3154">
        <f>IF(AND(Inputs!$B$39&lt;&gt;"pvp",Inputs!$B$44&gt;0),IF(MAX(0,Inputs!$B$44-B3186)&lt;=0,0,(INT(MAX(0,Inputs!$B$44-B3186)/(IF(Inputs!$B$39="pvp",15,MAX(0.1,Skills!D8-IF(Skills!E8=TRUE,3.0,0)))*(1-IF(AND(ArtifactsInput!$M$27,Inputs!$B$4="Chapter Hunt"),CHOOSE(ArtifactsInput!$N$27+1,20,24,28,32,36,40),0)/100)))+1)),0)</f>
        <v/>
      </c>
      <c r="S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$21+Skills!O8+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3154*(1-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3154*(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3154*(1-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3154*(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$22+Skills!P8+B3178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5">
      <c r="A3155">
        <f>Skills!A9</f>
        <v/>
      </c>
      <c r="B3155">
        <f>Skills!B9</f>
        <v/>
      </c>
      <c r="C3155">
        <f>Inputs!$B$3&gt;=115</f>
        <v/>
      </c>
      <c r="D3155">
        <f>IF(Skills!C9=1,60+Inputs!$B$26+Inputs!$B$30,IF(Skills!C9=2,90+Inputs!$B$27+Inputs!$B$30,IF(Skills!C9=3,120+Inputs!$B$28+Inputs!$B$30,MAX(0,(Inputs!$B$3-100)*3)+Inputs!$B$29+Inputs!$B$30)))</f>
        <v/>
      </c>
      <c r="E3155">
        <f>INDEX(FactorTable!$B$2:$Y$301, MATCH(ROUND(MIN(300,MAX(1,D3155)),0), FactorTable!$A$2:$A$301,0), Skills!L9+1)</f>
        <v/>
      </c>
      <c r="F3155">
        <f>IF(Skills!M9=TRUE,(Skills!K9/10)*(E3155/1000),Skills!K9/10)+Skills!N9</f>
        <v/>
      </c>
      <c r="G3155">
        <f>Calc!G9</f>
        <v/>
      </c>
      <c r="H3155">
        <f>Calc!H9</f>
        <v/>
      </c>
      <c r="I3155">
        <f>IF(Skills!T9&lt;&gt;"",1+(Skills!T9/10)*($Z$3/1000)/100,1)</f>
        <v/>
      </c>
      <c r="J3155">
        <f>((Inputs!$B$6*(1+Inputs!$B$7/100))+(((Inputs!$B$13*(1+Inputs!$B$14/100))-(Inputs!$B$13*(1+Inputs!$B$14/100)))+0.25*(Inputs!$B$15-Inputs!$B$15))*(1+Inputs!$B$7/100))*(F3155/100)</f>
        <v/>
      </c>
      <c r="K3155">
        <f>J3155*(1+(((Inputs!$B$13+IF(Inputs!$B$3&gt;=35,(10*INDEX(FactorTable!$B$2:$Y$301,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9="TRIUMPH_FEATHER",IF(C3162=TRUE,F3162,0),0)/100)*(1+IF(C3173=TRUE,F3173,0)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3155)</f>
        <v/>
      </c>
      <c r="L3155">
        <f>K3155*(MIN(Inputs!$B$23+(F3168-Calc!F22),(Inputs!$B$24+IF(ArtifactsInput!$M$15,CHOOSE(ArtifactsInput!$N$15+1,25,30,35,40,45,50)/100*(Inputs!$B$12-Inputs!$B$12),0)))/100+(Inputs!$B$24+IF(ArtifactsInput!$M$15,CHOOSE(ArtifactsInput!$N$15+1,25,30,35,40,45,50)/100*(Inputs!$B$12-Inputs!$B$12),0))/100)/2</f>
        <v/>
      </c>
      <c r="M3155">
        <f>L3155*(1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5">
        <f>L3155*(1-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(1-Summary!$B$11)*S3155+Summary!$B$11*U3155</f>
        <v/>
      </c>
      <c r="P3155">
        <f>IF(B3189=0,0,O3155/B3189)</f>
        <v/>
      </c>
      <c r="Q3155">
        <f>IFERROR(1/(IF(Inputs!$B$39="pvp",15,MAX(0.1,Skills!D9-IF(Skills!E9=TRUE,3.0,0)))*(1-IF(AND(ArtifactsInput!$M$27,Inputs!$B$4="Chapter Hunt"),CHOOSE(ArtifactsInput!$N$27+1,20,24,28,32,36,40),0)/100)),0)</f>
        <v/>
      </c>
      <c r="R3155">
        <f>IF(AND(Inputs!$B$39&lt;&gt;"pvp",Inputs!$B$44&gt;0),IF(MAX(0,Inputs!$B$44-B3186)&lt;=0,0,(INT(MAX(0,Inputs!$B$44-B3186)/(IF(Inputs!$B$39="pvp",15,MAX(0.1,Skills!D9-IF(Skills!E9=TRUE,3.0,0)))*(1-IF(AND(ArtifactsInput!$M$27,Inputs!$B$4="Chapter Hunt"),CHOOSE(ArtifactsInput!$N$27+1,20,24,28,32,36,40),0)/100)))+1)),0)</f>
        <v/>
      </c>
      <c r="S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$21+Skills!O9+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3155*(1-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$22+Skills!P9+B3178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Skills!A10</f>
        <v/>
      </c>
      <c r="B3156">
        <f>Skills!B10</f>
        <v/>
      </c>
      <c r="C3156">
        <f>Inputs!$B$3&gt;=66</f>
        <v/>
      </c>
      <c r="D3156">
        <f>IF(Skills!C10=1,60+Inputs!$B$26+Inputs!$B$30,IF(Skills!C10=2,90+Inputs!$B$27+Inputs!$B$30,IF(Skills!C10=3,120+Inputs!$B$28+Inputs!$B$30,MAX(0,(Inputs!$B$3-100)*3)+Inputs!$B$29+Inputs!$B$30)))</f>
        <v/>
      </c>
      <c r="E3156">
        <f>INDEX(FactorTable!$B$2:$Y$301, MATCH(ROUND(MIN(300,MAX(1,D3156)),0), FactorTable!$A$2:$A$301,0), Skills!L10+1)</f>
        <v/>
      </c>
      <c r="F3156" t="n">
        <v>0</v>
      </c>
      <c r="G3156">
        <f>Calc!G10</f>
        <v/>
      </c>
      <c r="H3156">
        <f>Calc!H10</f>
        <v/>
      </c>
      <c r="I3156">
        <f>IF(Skills!T10&lt;&gt;"",1+(Skills!T10/10)*($Z$3/1000)/100,1)</f>
        <v/>
      </c>
      <c r="J3156" t="inlineStr"/>
      <c r="K3156" t="inlineStr"/>
      <c r="L3156" t="inlineStr"/>
      <c r="M3156" t="inlineStr"/>
      <c r="N3156" t="inlineStr"/>
      <c r="O3156">
        <f>(1-Summary!$B$11)*S3156+Summary!$B$11*U3156</f>
        <v/>
      </c>
      <c r="P3156">
        <f>IF(B3189=0,0,O3156/B3189)</f>
        <v/>
      </c>
      <c r="Q3156">
        <f>IFERROR(1/(IF(Inputs!$B$39="pvp",15,MAX(0.1,Skills!D10-IF(Skills!E10=TRUE,3.0,0)))*(1-IF(AND(ArtifactsInput!$M$27,Inputs!$B$4="Chapter Hunt"),CHOOSE(ArtifactsInput!$N$27+1,20,24,28,32,36,40),0)/100)),0)</f>
        <v/>
      </c>
      <c r="R3156">
        <f>IF(AND(Inputs!$B$39&lt;&gt;"pvp",Inputs!$B$44&gt;0),IF(MAX(0,Inputs!$B$44-B3186)&lt;=0,0,(INT(MAX(0,Inputs!$B$44-B3186)/(IF(Inputs!$B$39="pvp",15,MAX(0.1,Skills!D10-IF(Skills!E10=TRUE,3.0,0)))*(1-IF(AND(ArtifactsInput!$M$27,Inputs!$B$4="Chapter Hunt"),CHOOSE(ArtifactsInput!$N$27+1,20,24,28,32,36,40),0)/100)))+1)),0)</f>
        <v/>
      </c>
      <c r="S3156" t="n">
        <v>0</v>
      </c>
      <c r="U3156" t="n">
        <v>0</v>
      </c>
    </row>
    <row r="3157">
      <c r="A3157">
        <f>Skills!A11</f>
        <v/>
      </c>
      <c r="B3157">
        <f>Skills!B11</f>
        <v/>
      </c>
      <c r="C3157">
        <f>Inputs!$B$3&gt;=69</f>
        <v/>
      </c>
      <c r="D3157">
        <f>IF(Skills!C11=1,60+Inputs!$B$26+Inputs!$B$30,IF(Skills!C11=2,90+Inputs!$B$27+Inputs!$B$30,IF(Skills!C11=3,120+Inputs!$B$28+Inputs!$B$30,MAX(0,(Inputs!$B$3-100)*3)+Inputs!$B$29+Inputs!$B$30)))</f>
        <v/>
      </c>
      <c r="E3157">
        <f>INDEX(FactorTable!$B$2:$Y$301, MATCH(ROUND(MIN(300,MAX(1,D3157)),0), FactorTable!$A$2:$A$301,0), Skills!L11+1)</f>
        <v/>
      </c>
      <c r="F3157">
        <f>IF(Skills!M11=TRUE,(Skills!K11/10)*(E3157/1000),Skills!K11/10)+Skills!N11</f>
        <v/>
      </c>
      <c r="G3157">
        <f>Calc!G11</f>
        <v/>
      </c>
      <c r="H3157">
        <f>Calc!H11</f>
        <v/>
      </c>
      <c r="I3157">
        <f>IF(Skills!T11&lt;&gt;"",1+(Skills!T11/10)*($Z$3/1000)/100,1)</f>
        <v/>
      </c>
      <c r="J3157" t="inlineStr"/>
      <c r="K3157" t="inlineStr"/>
      <c r="L3157" t="inlineStr"/>
      <c r="M3157" t="inlineStr"/>
      <c r="N3157" t="inlineStr"/>
      <c r="O3157">
        <f>(1-Summary!$B$11)*S3157+Summary!$B$11*U3157</f>
        <v/>
      </c>
      <c r="P3157">
        <f>IF(B3189=0,0,O3157/B3189)</f>
        <v/>
      </c>
      <c r="Q3157">
        <f>IFERROR(1/(IF(Inputs!$B$39="pvp",15,MAX(0.1,Skills!D11-IF(Skills!E11=TRUE,3.0,0)))*(1-IF(AND(ArtifactsInput!$M$27,Inputs!$B$4="Chapter Hunt"),CHOOSE(ArtifactsInput!$N$27+1,20,24,28,32,36,40),0)/100)),0)</f>
        <v/>
      </c>
      <c r="R3157">
        <f>IF(AND(Inputs!$B$39&lt;&gt;"pvp",Inputs!$B$44&gt;0),IF(Inputs!$B$44&lt;=0,0,(INT(Inputs!$B$44/(IF(Inputs!$B$39="pvp",15,MAX(0.1,Skills!D11-IF(Skills!E11=TRUE,3.0,0)))*(1-IF(AND(ArtifactsInput!$M$27,Inputs!$B$4="Chapter Hunt"),CHOOSE(ArtifactsInput!$N$27+1,20,24,28,32,36,40),0)/100)))+1)),0)</f>
        <v/>
      </c>
      <c r="S3157" t="n">
        <v>0</v>
      </c>
      <c r="U3157" t="n">
        <v>0</v>
      </c>
    </row>
    <row r="3158">
      <c r="A3158">
        <f>Skills!A12</f>
        <v/>
      </c>
      <c r="B3158">
        <f>Skills!B12</f>
        <v/>
      </c>
      <c r="C3158">
        <f>Inputs!$B$3&gt;=72</f>
        <v/>
      </c>
      <c r="D3158">
        <f>IF(Skills!C12=1,60+Inputs!$B$26+Inputs!$B$30,IF(Skills!C12=2,90+Inputs!$B$27+Inputs!$B$30,IF(Skills!C12=3,120+Inputs!$B$28+Inputs!$B$30,MAX(0,(Inputs!$B$3-100)*3)+Inputs!$B$29+Inputs!$B$30)))</f>
        <v/>
      </c>
      <c r="E3158">
        <f>INDEX(FactorTable!$B$2:$Y$301, MATCH(ROUND(MIN(300,MAX(1,D3158)),0), FactorTable!$A$2:$A$301,0), Skills!L12+1)</f>
        <v/>
      </c>
      <c r="F3158">
        <f>IF(Skills!M12=TRUE,(Skills!K12/10)*(E3158/1000),Skills!K12/10)+Skills!N12</f>
        <v/>
      </c>
      <c r="G3158">
        <f>Calc!G12</f>
        <v/>
      </c>
      <c r="H3158">
        <f>Calc!H12</f>
        <v/>
      </c>
      <c r="I3158">
        <f>IF(Skills!T12&lt;&gt;"",1+(Skills!T12/10)*($Z$3/1000)/100,1)</f>
        <v/>
      </c>
      <c r="J3158" t="inlineStr"/>
      <c r="K3158" t="inlineStr"/>
      <c r="L3158" t="inlineStr"/>
      <c r="M3158" t="inlineStr"/>
      <c r="N3158" t="inlineStr"/>
      <c r="O3158">
        <f>(1-Summary!$B$11)*S3158+Summary!$B$11*U3158</f>
        <v/>
      </c>
      <c r="P3158">
        <f>IF(B3189=0,0,O3158/B3189)</f>
        <v/>
      </c>
      <c r="Q3158">
        <f>IFERROR(1/(IF(Inputs!$B$39="pvp",15,MAX(0.1,Skills!D12-IF(Skills!E12=TRUE,3.0,0)))*(1-IF(AND(ArtifactsInput!$M$27,Inputs!$B$4="Chapter Hunt"),CHOOSE(ArtifactsInput!$N$27+1,20,24,28,32,36,40),0)/100)),0)</f>
        <v/>
      </c>
      <c r="R3158">
        <f>IF(AND(Inputs!$B$39&lt;&gt;"pvp",Inputs!$B$44&gt;0),IF(MAX(0,Inputs!$B$44-B3186)&lt;=0,0,(INT(MAX(0,Inputs!$B$44-B3186)/(IF(Inputs!$B$39="pvp",15,MAX(0.1,Skills!D12-IF(Skills!E12=TRUE,3.0,0)))*(1-IF(AND(ArtifactsInput!$M$27,Inputs!$B$4="Chapter Hunt"),CHOOSE(ArtifactsInput!$N$27+1,20,24,28,32,36,40),0)/100)))+1)),0)</f>
        <v/>
      </c>
      <c r="S3158" t="n">
        <v>0</v>
      </c>
      <c r="U3158" t="n">
        <v>0</v>
      </c>
    </row>
    <row r="3159">
      <c r="A3159">
        <f>Skills!A13</f>
        <v/>
      </c>
      <c r="B3159">
        <f>Skills!B13</f>
        <v/>
      </c>
      <c r="C3159">
        <f>Inputs!$B$3&gt;=60</f>
        <v/>
      </c>
      <c r="D3159">
        <f>IF(Skills!C13=1,60+Inputs!$B$26+Inputs!$B$30,IF(Skills!C13=2,90+Inputs!$B$27+Inputs!$B$30,IF(Skills!C13=3,120+Inputs!$B$28+Inputs!$B$30,MAX(0,(Inputs!$B$3-100)*3)+Inputs!$B$29+Inputs!$B$30)))</f>
        <v/>
      </c>
      <c r="E3159">
        <f>INDEX(FactorTable!$B$2:$Y$301, MATCH(ROUND(MIN(300,MAX(1,D3159)),0), FactorTable!$A$2:$A$301,0), Skills!L13+1)</f>
        <v/>
      </c>
      <c r="F3159">
        <f>IF(Skills!M13=TRUE,(Skills!K13/10)*(E3159/1000),Skills!K13/10)+Skills!N13</f>
        <v/>
      </c>
      <c r="G3159">
        <f>Calc!G13</f>
        <v/>
      </c>
      <c r="H3159">
        <f>Calc!H13</f>
        <v/>
      </c>
      <c r="I3159">
        <f>IF(Skills!T13&lt;&gt;"",1+(Skills!T13/10)*($Z$3/1000)/100,1)</f>
        <v/>
      </c>
      <c r="J3159" t="inlineStr"/>
      <c r="K3159" t="inlineStr"/>
      <c r="L3159" t="inlineStr"/>
      <c r="M3159" t="inlineStr"/>
      <c r="N3159" t="inlineStr"/>
      <c r="O3159">
        <f>(1-Summary!$B$11)*S3159+Summary!$B$11*U3159</f>
        <v/>
      </c>
      <c r="P3159">
        <f>IF(B3189=0,0,O3159/B3189)</f>
        <v/>
      </c>
      <c r="Q3159">
        <f>IFERROR(1/(IF(Inputs!$B$39="pvp",15,MAX(0.1,Skills!D13-IF(Skills!E13=TRUE,3.0,0)))*(1-IF(AND(ArtifactsInput!$M$27,Inputs!$B$4="Chapter Hunt"),CHOOSE(ArtifactsInput!$N$27+1,20,24,28,32,36,40),0)/100)),0)</f>
        <v/>
      </c>
      <c r="R3159">
        <f>IF(AND(Inputs!$B$39&lt;&gt;"pvp",Inputs!$B$44&gt;0),IF(MAX(0,Inputs!$B$44-B3186)&lt;=0,0,(INT(MAX(0,Inputs!$B$44-B3186)/(IF(Inputs!$B$39="pvp",15,MAX(0.1,Skills!D13-IF(Skills!E13=TRUE,3.0,0)))*(1-IF(AND(ArtifactsInput!$M$27,Inputs!$B$4="Chapter Hunt"),CHOOSE(ArtifactsInput!$N$27+1,20,24,28,32,36,40),0)/100)))+1)),0)</f>
        <v/>
      </c>
      <c r="S3159" t="n">
        <v>0</v>
      </c>
      <c r="U3159" t="n">
        <v>0</v>
      </c>
    </row>
    <row r="3160">
      <c r="A3160">
        <f>Skills!A14</f>
        <v/>
      </c>
      <c r="B3160">
        <f>Skills!B14</f>
        <v/>
      </c>
      <c r="C3160">
        <f>Inputs!$B$3&gt;=107</f>
        <v/>
      </c>
      <c r="D3160">
        <f>IF(Skills!C14=1,60+Inputs!$B$26+Inputs!$B$30,IF(Skills!C14=2,90+Inputs!$B$27+Inputs!$B$30,IF(Skills!C14=3,120+Inputs!$B$28+Inputs!$B$30,MAX(0,(Inputs!$B$3-100)*3)+Inputs!$B$29+Inputs!$B$30)))</f>
        <v/>
      </c>
      <c r="E3160">
        <f>INDEX(FactorTable!$B$2:$Y$301, MATCH(ROUND(MIN(300,MAX(1,D3160)),0), FactorTable!$A$2:$A$301,0), Skills!L14+1)</f>
        <v/>
      </c>
      <c r="F3160">
        <f>IF(Skills!M14=TRUE,(Skills!K14/10)*(E3160/1000),Skills!K14/10)+Skills!N14</f>
        <v/>
      </c>
      <c r="G3160">
        <f>Calc!G14</f>
        <v/>
      </c>
      <c r="H3160">
        <f>Calc!H14</f>
        <v/>
      </c>
      <c r="I3160">
        <f>IF(Skills!T14&lt;&gt;"",1+(Skills!T14/10)*($Z$3/1000)/100,1)</f>
        <v/>
      </c>
      <c r="J3160" t="inlineStr"/>
      <c r="K3160" t="inlineStr"/>
      <c r="L3160" t="inlineStr"/>
      <c r="M3160" t="inlineStr"/>
      <c r="N3160" t="inlineStr"/>
      <c r="O3160">
        <f>(1-Summary!$B$11)*S3160+Summary!$B$11*U3160</f>
        <v/>
      </c>
      <c r="P3160">
        <f>IF(B3189=0,0,O3160/B3189)</f>
        <v/>
      </c>
      <c r="Q3160">
        <f>IFERROR(1/(IF(Inputs!$B$39="pvp",15,MAX(0.1,Skills!D14-IF(Skills!E14=TRUE,3.0,0)))*(1-IF(AND(ArtifactsInput!$M$27,Inputs!$B$4="Chapter Hunt"),CHOOSE(ArtifactsInput!$N$27+1,20,24,28,32,36,40),0)/100)),0)</f>
        <v/>
      </c>
      <c r="R3160">
        <f>IF(AND(Inputs!$B$39&lt;&gt;"pvp",Inputs!$B$44&gt;0),IF(Inputs!$B$44&lt;=0,0,(INT(Inputs!$B$44/(IF(Inputs!$B$39="pvp",15,MAX(0.1,Skills!D14-IF(Skills!E14=TRUE,3.0,0)))*(1-IF(AND(ArtifactsInput!$M$27,Inputs!$B$4="Chapter Hunt"),CHOOSE(ArtifactsInput!$N$27+1,20,24,28,32,36,40),0)/100)))+1)),0)</f>
        <v/>
      </c>
      <c r="S3160" t="n">
        <v>0</v>
      </c>
      <c r="U3160" t="n">
        <v>0</v>
      </c>
    </row>
    <row r="3161">
      <c r="A3161">
        <f>Skills!A15</f>
        <v/>
      </c>
      <c r="B3161">
        <f>Skills!B15</f>
        <v/>
      </c>
      <c r="C3161">
        <f>Inputs!$B$3&gt;=63</f>
        <v/>
      </c>
      <c r="D3161">
        <f>IF(Skills!C15=1,60+Inputs!$B$26+Inputs!$B$30,IF(Skills!C15=2,90+Inputs!$B$27+Inputs!$B$30,IF(Skills!C15=3,120+Inputs!$B$28+Inputs!$B$30,MAX(0,(Inputs!$B$3-100)*3)+Inputs!$B$29+Inputs!$B$30)))</f>
        <v/>
      </c>
      <c r="E3161">
        <f>INDEX(FactorTable!$B$2:$Y$301, MATCH(ROUND(MIN(300,MAX(1,D3161)),0), FactorTable!$A$2:$A$301,0), Skills!L15+1)</f>
        <v/>
      </c>
      <c r="F3161">
        <f>IF(Skills!M15=TRUE,(Skills!K15/10)*(E3161/1000),Skills!K15/10)+Skills!N15</f>
        <v/>
      </c>
      <c r="G3161">
        <f>Calc!G15</f>
        <v/>
      </c>
      <c r="H3161">
        <f>Calc!H15</f>
        <v/>
      </c>
      <c r="I3161">
        <f>IF(Skills!T15&lt;&gt;"",1+(Skills!T15/10)*($Z$3/1000)/100,1)</f>
        <v/>
      </c>
      <c r="J3161">
        <f>((Inputs!$B$6*(1+Inputs!$B$7/100))+(((Inputs!$B$13*(1+Inputs!$B$14/100))-(Inputs!$B$13*(1+Inputs!$B$14/100)))+0.25*(Inputs!$B$15-Inputs!$B$15))*(1+Inputs!$B$7/100))*(F3161/100)</f>
        <v/>
      </c>
      <c r="K3161">
        <f>J3161*(1+(((Inputs!$B$13+IF(Inputs!$B$3&gt;=35,(10*INDEX(FactorTable!$B$2:$Y$301,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15="TRIUMPH_FEATHER",IF(C3162=TRUE,F3162,0),0)/100)*(1+IF(C3173=TRUE,F3173,0)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3161)</f>
        <v/>
      </c>
      <c r="L3161">
        <f>K3161*(MIN(Inputs!$B$23+(F3168-Calc!F22),(Inputs!$B$24+IF(ArtifactsInput!$M$15,CHOOSE(ArtifactsInput!$N$15+1,25,30,35,40,45,50)/100*(Inputs!$B$12-Inputs!$B$12),0)))/100+(Inputs!$B$24+IF(ArtifactsInput!$M$15,CHOOSE(ArtifactsInput!$N$15+1,25,30,35,40,45,50)/100*(Inputs!$B$12-Inputs!$B$12),0))/100)/2</f>
        <v/>
      </c>
      <c r="M3161">
        <f>L3161*(1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61">
        <f>L3161*(1-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1">
        <f>(1-Summary!$B$11)*S3161+Summary!$B$11*U3161</f>
        <v/>
      </c>
      <c r="P3161">
        <f>IF(B3189=0,0,O3161/B3189)</f>
        <v/>
      </c>
      <c r="Q3161">
        <f>IFERROR(1/(IF(Inputs!$B$39="pvp",15,MAX(0.1,Skills!D15-IF(Skills!E15=TRUE,3.0,0)))*(1-IF(AND(ArtifactsInput!$M$27,Inputs!$B$4="Chapter Hunt"),CHOOSE(ArtifactsInput!$N$27+1,20,24,28,32,36,40),0)/100)),0)</f>
        <v/>
      </c>
      <c r="R3161" t="n">
        <v>0</v>
      </c>
      <c r="S3161">
        <f>IF(C3161,(Skills!F15*N3161*((IF(Inputs!$B$3&gt;=78,25,15)/100*B3182*10)/(1+IF(Inputs!$B$3&gt;=78,25,15)/100*B3182*10))*(Skills!I15/100*B3182)/(1+Skills!G15*Skills!I15/100*B3182))*IF(Inputs!$B$39="pvp",1,1+(Inputs!$B$21+Skills!O15+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3161*(1-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3161*(1-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61">
        <f>IF(C3161,(Skills!F15*N3161*((IF(Inputs!$B$3&gt;=78,25,15)/100*B3182*10)/(1+IF(Inputs!$B$3&gt;=78,25,15)/100*B3182*10))*(Skills!I15/100*B3182)/(1+Skills!G15*Skills!I15/100*B3182))*IF(Inputs!$B$39="pvp",1,(1+(Inputs!$B$22+Skills!P15+B3178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2">
      <c r="A3162">
        <f>Skills!A16</f>
        <v/>
      </c>
      <c r="B3162">
        <f>Skills!B16</f>
        <v/>
      </c>
      <c r="C3162">
        <f>Inputs!$B$3&gt;=100</f>
        <v/>
      </c>
      <c r="D3162">
        <f>IF(Skills!C16=1,60+Inputs!$B$26+Inputs!$B$30,IF(Skills!C16=2,90+Inputs!$B$27+Inputs!$B$30,IF(Skills!C16=3,120+Inputs!$B$28+Inputs!$B$30,MAX(0,(Inputs!$B$3-100)*3)+Inputs!$B$29+Inputs!$B$30)))</f>
        <v/>
      </c>
      <c r="E3162">
        <f>INDEX(FactorTable!$B$2:$Y$301, MATCH(ROUND(MIN(300,MAX(1,D3162)),0), FactorTable!$A$2:$A$301,0), Skills!L16+1)</f>
        <v/>
      </c>
      <c r="F3162">
        <f>IF(Skills!M16=TRUE,(Skills!K16/10)*(E3162/1000),Skills!K16/10)+Skills!N16</f>
        <v/>
      </c>
      <c r="G3162">
        <f>Calc!G16</f>
        <v/>
      </c>
      <c r="H3162">
        <f>Calc!H16</f>
        <v/>
      </c>
      <c r="I3162">
        <f>IF(Skills!T16&lt;&gt;"",1+(Skills!T16/10)*($Z$3/1000)/100,1)</f>
        <v/>
      </c>
      <c r="J3162" t="inlineStr"/>
      <c r="K3162" t="inlineStr"/>
      <c r="L3162" t="inlineStr"/>
      <c r="M3162" t="inlineStr"/>
      <c r="N3162" t="inlineStr"/>
      <c r="O3162">
        <f>(1-Summary!$B$11)*S3162+Summary!$B$11*U3162</f>
        <v/>
      </c>
      <c r="P3162">
        <f>IF(B3189=0,0,O3162/B3189)</f>
        <v/>
      </c>
      <c r="Q3162">
        <f>IFERROR(1/(IF(Inputs!$B$39="pvp",15,MAX(0.1,Skills!D16-IF(Skills!E16=TRUE,3.0,0)))*(1-IF(AND(ArtifactsInput!$M$27,Inputs!$B$4="Chapter Hunt"),CHOOSE(ArtifactsInput!$N$27+1,20,24,28,32,36,40),0)/100)),0)</f>
        <v/>
      </c>
      <c r="R3162" t="n">
        <v>0</v>
      </c>
      <c r="S3162" t="n">
        <v>0</v>
      </c>
      <c r="U3162" t="n">
        <v>0</v>
      </c>
    </row>
    <row r="3163">
      <c r="A3163">
        <f>Skills!A17</f>
        <v/>
      </c>
      <c r="B3163">
        <f>Skills!B17</f>
        <v/>
      </c>
      <c r="C3163">
        <f>Inputs!$B$3&gt;=49</f>
        <v/>
      </c>
      <c r="D3163">
        <f>IF(Skills!C17=1,60+Inputs!$B$26+Inputs!$B$30,IF(Skills!C17=2,90+Inputs!$B$27+Inputs!$B$30,IF(Skills!C17=3,120+Inputs!$B$28+Inputs!$B$30,MAX(0,(Inputs!$B$3-100)*3)+Inputs!$B$29+Inputs!$B$30)))</f>
        <v/>
      </c>
      <c r="E3163">
        <f>INDEX(FactorTable!$B$2:$Y$301, MATCH(ROUND(MIN(300,MAX(1,D3163)),0), FactorTable!$A$2:$A$301,0), Skills!L17+1)</f>
        <v/>
      </c>
      <c r="F3163">
        <f>IF(Skills!M17=TRUE,(Skills!K17/10)*(E3163/1000),Skills!K17/10)+Skills!N17</f>
        <v/>
      </c>
      <c r="G3163">
        <f>Calc!G17</f>
        <v/>
      </c>
      <c r="H3163">
        <f>Calc!H17</f>
        <v/>
      </c>
      <c r="I3163">
        <f>IF(Skills!T17&lt;&gt;"",1+(Skills!T17/10)*($Z$3/1000)/100,1)</f>
        <v/>
      </c>
      <c r="J3163" t="inlineStr"/>
      <c r="K3163" t="inlineStr"/>
      <c r="L3163" t="inlineStr"/>
      <c r="M3163" t="inlineStr"/>
      <c r="N3163" t="inlineStr"/>
      <c r="O3163">
        <f>(1-Summary!$B$11)*S3163+Summary!$B$11*U3163</f>
        <v/>
      </c>
      <c r="P3163">
        <f>IF(B3189=0,0,O3163/B3189)</f>
        <v/>
      </c>
      <c r="Q3163">
        <f>IFERROR(1/(IF(Inputs!$B$39="pvp",15,MAX(0.1,Skills!D17-IF(Skills!E17=TRUE,3.0,0)))*(1-IF(AND(ArtifactsInput!$M$27,Inputs!$B$4="Chapter Hunt"),CHOOSE(ArtifactsInput!$N$27+1,20,24,28,32,36,40),0)/100)),0)</f>
        <v/>
      </c>
      <c r="R3163" t="n">
        <v>0</v>
      </c>
      <c r="S3163" t="n">
        <v>0</v>
      </c>
      <c r="U3163" t="n">
        <v>0</v>
      </c>
    </row>
    <row r="3164">
      <c r="A3164">
        <f>Skills!A18</f>
        <v/>
      </c>
      <c r="B3164">
        <f>Skills!B18</f>
        <v/>
      </c>
      <c r="C3164">
        <f>Inputs!$B$3&gt;=75</f>
        <v/>
      </c>
      <c r="D3164">
        <f>IF(Skills!C18=1,60+Inputs!$B$26+Inputs!$B$30,IF(Skills!C18=2,90+Inputs!$B$27+Inputs!$B$30,IF(Skills!C18=3,120+Inputs!$B$28+Inputs!$B$30,MAX(0,(Inputs!$B$3-100)*3)+Inputs!$B$29+Inputs!$B$30)))</f>
        <v/>
      </c>
      <c r="E3164">
        <f>INDEX(FactorTable!$B$2:$Y$301, MATCH(ROUND(MIN(300,MAX(1,D3164)),0), FactorTable!$A$2:$A$301,0), Skills!L18+1)</f>
        <v/>
      </c>
      <c r="F3164">
        <f>IF(Skills!M18=TRUE,(Skills!K18/10)*(E3164/1000),Skills!K18/10)+Skills!N18</f>
        <v/>
      </c>
      <c r="G3164">
        <f>Calc!G18</f>
        <v/>
      </c>
      <c r="H3164">
        <f>Calc!H18</f>
        <v/>
      </c>
      <c r="I3164">
        <f>IF(Skills!T18&lt;&gt;"",1+(Skills!T18/10)*($Z$3/1000)/100,1)</f>
        <v/>
      </c>
      <c r="J3164" t="inlineStr"/>
      <c r="K3164" t="inlineStr"/>
      <c r="L3164" t="inlineStr"/>
      <c r="M3164" t="inlineStr"/>
      <c r="N3164" t="inlineStr"/>
      <c r="O3164">
        <f>(1-Summary!$B$11)*S3164+Summary!$B$11*U3164</f>
        <v/>
      </c>
      <c r="P3164">
        <f>IF(B3189=0,0,O3164/B3189)</f>
        <v/>
      </c>
      <c r="Q3164">
        <f>IFERROR(1/(IF(Inputs!$B$39="pvp",15,MAX(0.1,Skills!D18-IF(Skills!E18=TRUE,3.0,0)))*(1-IF(AND(ArtifactsInput!$M$27,Inputs!$B$4="Chapter Hunt"),CHOOSE(ArtifactsInput!$N$27+1,20,24,28,32,36,40),0)/100)),0)</f>
        <v/>
      </c>
      <c r="R3164" t="n">
        <v>0</v>
      </c>
      <c r="S3164" t="n">
        <v>0</v>
      </c>
      <c r="U3164" t="n">
        <v>0</v>
      </c>
    </row>
    <row r="3165">
      <c r="A3165">
        <f>Skills!A19</f>
        <v/>
      </c>
      <c r="B3165">
        <f>Skills!B19</f>
        <v/>
      </c>
      <c r="C3165">
        <f>Inputs!$B$3&gt;=110</f>
        <v/>
      </c>
      <c r="D3165">
        <f>IF(Skills!C19=1,60+Inputs!$B$26+Inputs!$B$30,IF(Skills!C19=2,90+Inputs!$B$27+Inputs!$B$30,IF(Skills!C19=3,120+Inputs!$B$28+Inputs!$B$30,MAX(0,(Inputs!$B$3-100)*3)+Inputs!$B$29+Inputs!$B$30)))</f>
        <v/>
      </c>
      <c r="E3165">
        <f>INDEX(FactorTable!$B$2:$Y$301, MATCH(ROUND(MIN(300,MAX(1,D3165)),0), FactorTable!$A$2:$A$301,0), Skills!L19+1)</f>
        <v/>
      </c>
      <c r="F3165">
        <f>(Skills!K19/10)*(E3165/1000)*64/45+Skills!N19</f>
        <v/>
      </c>
      <c r="G3165">
        <f>Calc!G19</f>
        <v/>
      </c>
      <c r="H3165">
        <f>Calc!H19</f>
        <v/>
      </c>
      <c r="I3165">
        <f>IF(Skills!T19&lt;&gt;"",1+(Skills!T19/10)*($Z$3/1000)/100,1)</f>
        <v/>
      </c>
      <c r="J3165" t="inlineStr"/>
      <c r="K3165" t="inlineStr"/>
      <c r="L3165" t="inlineStr"/>
      <c r="M3165" t="inlineStr"/>
      <c r="N3165" t="inlineStr"/>
      <c r="O3165">
        <f>(1-Summary!$B$11)*S3165+Summary!$B$11*U3165</f>
        <v/>
      </c>
      <c r="P3165">
        <f>IF(B3189=0,0,O3165/B3189)</f>
        <v/>
      </c>
      <c r="Q3165">
        <f>IFERROR(1/(IF(Inputs!$B$39="pvp",15,MAX(0.1,Skills!D19-IF(Skills!E19=TRUE,3.0,0)))*(1-IF(AND(ArtifactsInput!$M$27,Inputs!$B$4="Chapter Hunt"),CHOOSE(ArtifactsInput!$N$27+1,20,24,28,32,36,40),0)/100)),0)</f>
        <v/>
      </c>
      <c r="R3165">
        <f>IF(AND(Inputs!$B$39&lt;&gt;"pvp",Inputs!$B$44&gt;0),IF(Inputs!$B$44&lt;=0,0,(INT(Inputs!$B$44/(IF(Inputs!$B$39="pvp",15,MAX(0.1,Skills!D19-IF(Skills!E19=TRUE,3.0,0)))*(1-IF(AND(ArtifactsInput!$M$27,Inputs!$B$4="Chapter Hunt"),CHOOSE(ArtifactsInput!$N$27+1,20,24,28,32,36,40),0)/100)))+1)),0)</f>
        <v/>
      </c>
      <c r="S3165" t="n">
        <v>0</v>
      </c>
      <c r="U3165" t="n">
        <v>0</v>
      </c>
    </row>
    <row r="3166">
      <c r="A3166">
        <f>Skills!A20</f>
        <v/>
      </c>
      <c r="B3166">
        <f>Skills!B20</f>
        <v/>
      </c>
      <c r="C3166">
        <f>Inputs!$B$3&gt;=125</f>
        <v/>
      </c>
      <c r="D3166">
        <f>IF(Skills!C20=1,60+Inputs!$B$26+Inputs!$B$30,IF(Skills!C20=2,90+Inputs!$B$27+Inputs!$B$30,IF(Skills!C20=3,120+Inputs!$B$28+Inputs!$B$30,MAX(0,(Inputs!$B$3-100)*3)+Inputs!$B$29+Inputs!$B$30)))</f>
        <v/>
      </c>
      <c r="E3166">
        <f>INDEX(FactorTable!$B$2:$Y$301, MATCH(ROUND(MIN(300,MAX(1,D3166)),0), FactorTable!$A$2:$A$301,0), Skills!L20+1)</f>
        <v/>
      </c>
      <c r="F3166">
        <f>IF(Skills!M20=TRUE,(Skills!K20/10)*(E3166/1000),Skills!K20/10)+Skills!N20</f>
        <v/>
      </c>
      <c r="G3166">
        <f>Calc!G20</f>
        <v/>
      </c>
      <c r="H3166">
        <f>Calc!H20</f>
        <v/>
      </c>
      <c r="I3166">
        <f>IF(Skills!T20&lt;&gt;"",1+(Skills!T20/10)*($Z$3/1000)/100,1)</f>
        <v/>
      </c>
      <c r="J3166" t="inlineStr"/>
      <c r="K3166" t="inlineStr"/>
      <c r="L3166" t="inlineStr"/>
      <c r="M3166" t="inlineStr"/>
      <c r="N3166" t="inlineStr"/>
      <c r="O3166">
        <f>(1-Summary!$B$11)*S3166+Summary!$B$11*U3166</f>
        <v/>
      </c>
      <c r="P3166">
        <f>IF(B3189=0,0,O3166/B3189)</f>
        <v/>
      </c>
      <c r="Q3166">
        <f>IFERROR(1/(IF(Inputs!$B$39="pvp",15,MAX(0.1,Skills!D20-IF(Skills!E20=TRUE,3.0,0)))*(1-IF(AND(ArtifactsInput!$M$27,Inputs!$B$4="Chapter Hunt"),CHOOSE(ArtifactsInput!$N$27+1,20,24,28,32,36,40),0)/100)),0)</f>
        <v/>
      </c>
      <c r="R3166" t="n">
        <v>0</v>
      </c>
      <c r="S3166" t="n">
        <v>0</v>
      </c>
      <c r="U3166" t="n">
        <v>0</v>
      </c>
    </row>
    <row r="3167">
      <c r="A3167">
        <f>Skills!A21</f>
        <v/>
      </c>
      <c r="B3167">
        <f>Skills!B21</f>
        <v/>
      </c>
      <c r="C3167">
        <f>Inputs!$B$3&gt;=33</f>
        <v/>
      </c>
      <c r="D3167">
        <f>IF(Skills!C21=1,60+Inputs!$B$26+Inputs!$B$30,IF(Skills!C21=2,90+Inputs!$B$27+Inputs!$B$30,IF(Skills!C21=3,120+Inputs!$B$28+Inputs!$B$30,MAX(0,(Inputs!$B$3-100)*3)+Inputs!$B$29+Inputs!$B$30)))</f>
        <v/>
      </c>
      <c r="E3167">
        <f>INDEX(FactorTable!$B$2:$Y$301, MATCH(ROUND(MIN(300,MAX(1,D3167)),0), FactorTable!$A$2:$A$301,0), Skills!L21+1)</f>
        <v/>
      </c>
      <c r="F3167">
        <f>IF(Skills!M21=TRUE,(Skills!K21/10)*(E3167/1000),Skills!K21/10)+Skills!N21</f>
        <v/>
      </c>
      <c r="G3167">
        <f>Calc!G21</f>
        <v/>
      </c>
      <c r="H3167">
        <f>Calc!H21</f>
        <v/>
      </c>
      <c r="I3167">
        <f>IF(Skills!T21&lt;&gt;"",1+(Skills!T21/10)*($Z$3/1000)/100,1)</f>
        <v/>
      </c>
      <c r="J3167" t="inlineStr"/>
      <c r="K3167" t="inlineStr"/>
      <c r="L3167" t="inlineStr"/>
      <c r="M3167" t="inlineStr"/>
      <c r="N3167" t="inlineStr"/>
      <c r="O3167">
        <f>(1-Summary!$B$11)*S3167+Summary!$B$11*U3167</f>
        <v/>
      </c>
      <c r="P3167">
        <f>IF(B3189=0,0,O3167/B3189)</f>
        <v/>
      </c>
      <c r="Q3167">
        <f>IFERROR(1/(IF(Inputs!$B$39="pvp",15,MAX(0.1,Skills!D21-IF(Skills!E21=TRUE,3.0,0)))*(1-IF(AND(ArtifactsInput!$M$27,Inputs!$B$4="Chapter Hunt"),CHOOSE(ArtifactsInput!$N$27+1,20,24,28,32,36,40),0)/100)),0)</f>
        <v/>
      </c>
      <c r="R3167" t="n">
        <v>0</v>
      </c>
      <c r="S3167" t="n">
        <v>0</v>
      </c>
      <c r="U3167" t="n">
        <v>0</v>
      </c>
    </row>
    <row r="3168">
      <c r="A3168">
        <f>Skills!A22</f>
        <v/>
      </c>
      <c r="B3168">
        <f>Skills!B22</f>
        <v/>
      </c>
      <c r="C3168">
        <f>Inputs!$B$3&gt;=43</f>
        <v/>
      </c>
      <c r="D3168">
        <f>IF(Skills!C22=1,60+Inputs!$B$26+Inputs!$B$30,IF(Skills!C22=2,90+Inputs!$B$27+Inputs!$B$30,IF(Skills!C22=3,120+Inputs!$B$28+Inputs!$B$30,MAX(0,(Inputs!$B$3-100)*3)+Inputs!$B$29+Inputs!$B$30)))</f>
        <v/>
      </c>
      <c r="E3168">
        <f>INDEX(FactorTable!$B$2:$Y$301, MATCH(ROUND(MIN(300,MAX(1,D3168)),0), FactorTable!$A$2:$A$301,0), Skills!L22+1)</f>
        <v/>
      </c>
      <c r="F3168">
        <f>IF(Skills!M22=TRUE,(Skills!K22/10)*(E3168/1000),Skills!K22/10)+Skills!N22</f>
        <v/>
      </c>
      <c r="G3168">
        <f>Calc!G22</f>
        <v/>
      </c>
      <c r="H3168">
        <f>Calc!H22</f>
        <v/>
      </c>
      <c r="I3168">
        <f>IF(Skills!T22&lt;&gt;"",1+(Skills!T22/10)*($Z$3/1000)/100,1)</f>
        <v/>
      </c>
      <c r="J3168" t="inlineStr"/>
      <c r="K3168" t="inlineStr"/>
      <c r="L3168" t="inlineStr"/>
      <c r="M3168" t="inlineStr"/>
      <c r="N3168" t="inlineStr"/>
      <c r="O3168">
        <f>(1-Summary!$B$11)*S3168+Summary!$B$11*U3168</f>
        <v/>
      </c>
      <c r="P3168">
        <f>IF(B3189=0,0,O3168/B3189)</f>
        <v/>
      </c>
      <c r="Q3168">
        <f>IFERROR(1/(IF(Inputs!$B$39="pvp",15,MAX(0.1,Skills!D22-IF(Skills!E22=TRUE,3.0,0)))*(1-IF(AND(ArtifactsInput!$M$27,Inputs!$B$4="Chapter Hunt"),CHOOSE(ArtifactsInput!$N$27+1,20,24,28,32,36,40),0)/100)),0)</f>
        <v/>
      </c>
      <c r="R3168" t="n">
        <v>0</v>
      </c>
      <c r="S3168" t="n">
        <v>0</v>
      </c>
      <c r="U3168" t="n">
        <v>0</v>
      </c>
    </row>
    <row r="3169">
      <c r="A3169">
        <f>Skills!A23</f>
        <v/>
      </c>
      <c r="B3169">
        <f>Skills!B23</f>
        <v/>
      </c>
      <c r="C3169">
        <f>Inputs!$B$3&gt;=50</f>
        <v/>
      </c>
      <c r="D3169">
        <f>IF(Skills!C23=1,60+Inputs!$B$26+Inputs!$B$30,IF(Skills!C23=2,90+Inputs!$B$27+Inputs!$B$30,IF(Skills!C23=3,120+Inputs!$B$28+Inputs!$B$30,MAX(0,(Inputs!$B$3-100)*3)+Inputs!$B$29+Inputs!$B$30)))</f>
        <v/>
      </c>
      <c r="E3169">
        <f>INDEX(FactorTable!$B$2:$Y$301, MATCH(ROUND(MIN(300,MAX(1,D3169)),0), FactorTable!$A$2:$A$301,0), Skills!L23+1)</f>
        <v/>
      </c>
      <c r="F3169">
        <f>IF(Skills!M23=TRUE,(Skills!K23/10)*(E3169/1000),Skills!K23/10)+Skills!N23</f>
        <v/>
      </c>
      <c r="G3169">
        <f>Calc!G23</f>
        <v/>
      </c>
      <c r="H3169">
        <f>Calc!H23</f>
        <v/>
      </c>
      <c r="I3169">
        <f>IF(Skills!T23&lt;&gt;"",1+(Skills!T23/10)*($Z$3/1000)/100,1)</f>
        <v/>
      </c>
      <c r="J3169" t="inlineStr"/>
      <c r="K3169" t="inlineStr"/>
      <c r="L3169" t="inlineStr"/>
      <c r="M3169" t="inlineStr"/>
      <c r="N3169" t="inlineStr"/>
      <c r="O3169">
        <f>(1-Summary!$B$11)*S3169+Summary!$B$11*U3169</f>
        <v/>
      </c>
      <c r="P3169">
        <f>IF(B3189=0,0,O3169/B3189)</f>
        <v/>
      </c>
      <c r="Q3169">
        <f>IFERROR(1/(IF(Inputs!$B$39="pvp",15,MAX(0.1,Skills!D23-IF(Skills!E23=TRUE,3.0,0)))*(1-IF(AND(ArtifactsInput!$M$27,Inputs!$B$4="Chapter Hunt"),CHOOSE(ArtifactsInput!$N$27+1,20,24,28,32,36,40),0)/100)),0)</f>
        <v/>
      </c>
      <c r="R3169" t="n">
        <v>0</v>
      </c>
      <c r="S3169" t="n">
        <v>0</v>
      </c>
      <c r="U3169" t="n">
        <v>0</v>
      </c>
    </row>
    <row r="3170">
      <c r="A3170">
        <f>Skills!A24</f>
        <v/>
      </c>
      <c r="B3170">
        <f>Skills!B24</f>
        <v/>
      </c>
      <c r="C3170">
        <f>Inputs!$B$3&gt;=74</f>
        <v/>
      </c>
      <c r="D3170">
        <f>IF(Skills!C24=1,60+Inputs!$B$26+Inputs!$B$30,IF(Skills!C24=2,90+Inputs!$B$27+Inputs!$B$30,IF(Skills!C24=3,120+Inputs!$B$28+Inputs!$B$30,MAX(0,(Inputs!$B$3-100)*3)+Inputs!$B$29+Inputs!$B$30)))</f>
        <v/>
      </c>
      <c r="E3170">
        <f>INDEX(FactorTable!$B$2:$Y$301, MATCH(ROUND(MIN(300,MAX(1,D3170)),0), FactorTable!$A$2:$A$301,0), Skills!L24+1)</f>
        <v/>
      </c>
      <c r="F3170">
        <f>IF(Skills!M24=TRUE,(Skills!K24/10)*(E3170/1000),Skills!K24/10)+Skills!N24</f>
        <v/>
      </c>
      <c r="G3170">
        <f>Calc!G24</f>
        <v/>
      </c>
      <c r="H3170">
        <f>Calc!H24</f>
        <v/>
      </c>
      <c r="I3170">
        <f>IF(Skills!T24&lt;&gt;"",1+(Skills!T24/10)*($Z$3/1000)/100,1)</f>
        <v/>
      </c>
      <c r="J3170" t="inlineStr"/>
      <c r="K3170" t="inlineStr"/>
      <c r="L3170" t="inlineStr"/>
      <c r="M3170" t="inlineStr"/>
      <c r="N3170" t="inlineStr"/>
      <c r="O3170">
        <f>(1-Summary!$B$11)*S3170+Summary!$B$11*U3170</f>
        <v/>
      </c>
      <c r="P3170">
        <f>IF(B3189=0,0,O3170/B3189)</f>
        <v/>
      </c>
      <c r="Q3170">
        <f>IFERROR(1/(IF(Inputs!$B$39="pvp",15,MAX(0.1,Skills!D24-IF(Skills!E24=TRUE,3.0,0)))*(1-IF(AND(ArtifactsInput!$M$27,Inputs!$B$4="Chapter Hunt"),CHOOSE(ArtifactsInput!$N$27+1,20,24,28,32,36,40),0)/100)),0)</f>
        <v/>
      </c>
      <c r="R3170" t="n">
        <v>0</v>
      </c>
      <c r="S3170" t="n">
        <v>0</v>
      </c>
      <c r="U3170" t="n">
        <v>0</v>
      </c>
    </row>
    <row r="3171">
      <c r="A3171">
        <f>Skills!A25</f>
        <v/>
      </c>
      <c r="B3171">
        <f>Skills!B25</f>
        <v/>
      </c>
      <c r="C3171">
        <f>Inputs!$B$3&gt;=74</f>
        <v/>
      </c>
      <c r="D3171">
        <f>IF(Skills!C25=1,60+Inputs!$B$26+Inputs!$B$30,IF(Skills!C25=2,90+Inputs!$B$27+Inputs!$B$30,IF(Skills!C25=3,120+Inputs!$B$28+Inputs!$B$30,MAX(0,(Inputs!$B$3-100)*3)+Inputs!$B$29+Inputs!$B$30)))</f>
        <v/>
      </c>
      <c r="E3171">
        <f>INDEX(FactorTable!$B$2:$Y$301, MATCH(ROUND(MIN(300,MAX(1,D3171)),0), FactorTable!$A$2:$A$301,0), Skills!L25+1)</f>
        <v/>
      </c>
      <c r="F3171">
        <f>IF(Skills!M25=TRUE,(Skills!K25/10)*(E3171/1000),Skills!K25/10)+Skills!N25</f>
        <v/>
      </c>
      <c r="G3171">
        <f>Calc!G25</f>
        <v/>
      </c>
      <c r="H3171">
        <f>Calc!H25</f>
        <v/>
      </c>
      <c r="I3171">
        <f>IF(Skills!T25&lt;&gt;"",1+(Skills!T25/10)*($Z$3/1000)/100,1)</f>
        <v/>
      </c>
      <c r="J3171" t="inlineStr"/>
      <c r="K3171" t="inlineStr"/>
      <c r="L3171" t="inlineStr"/>
      <c r="M3171" t="inlineStr"/>
      <c r="N3171" t="inlineStr"/>
      <c r="O3171">
        <f>(1-Summary!$B$11)*S3171+Summary!$B$11*U3171</f>
        <v/>
      </c>
      <c r="P3171">
        <f>IF(B3189=0,0,O3171/B3189)</f>
        <v/>
      </c>
      <c r="Q3171">
        <f>IFERROR(1/(IF(Inputs!$B$39="pvp",15,MAX(0.1,Skills!D25-IF(Skills!E25=TRUE,3.0,0)))*(1-IF(AND(ArtifactsInput!$M$27,Inputs!$B$4="Chapter Hunt"),CHOOSE(ArtifactsInput!$N$27+1,20,24,28,32,36,40),0)/100)),0)</f>
        <v/>
      </c>
      <c r="R3171" t="n">
        <v>0</v>
      </c>
      <c r="S3171" t="n">
        <v>0</v>
      </c>
      <c r="U3171" t="n">
        <v>0</v>
      </c>
    </row>
    <row r="3172">
      <c r="A3172">
        <f>Skills!A26</f>
        <v/>
      </c>
      <c r="B3172">
        <f>Skills!B26</f>
        <v/>
      </c>
      <c r="C3172">
        <f>Inputs!$B$3&gt;=117</f>
        <v/>
      </c>
      <c r="D3172">
        <f>IF(Skills!C26=1,60+Inputs!$B$26+Inputs!$B$30,IF(Skills!C26=2,90+Inputs!$B$27+Inputs!$B$30,IF(Skills!C26=3,120+Inputs!$B$28+Inputs!$B$30,MAX(0,(Inputs!$B$3-100)*3)+Inputs!$B$29+Inputs!$B$30)))</f>
        <v/>
      </c>
      <c r="E3172">
        <f>INDEX(FactorTable!$B$2:$Y$301, MATCH(ROUND(MIN(300,MAX(1,D3172)),0), FactorTable!$A$2:$A$301,0), Skills!L26+1)</f>
        <v/>
      </c>
      <c r="F3172">
        <f>IF(Skills!M26=TRUE,(Skills!K26/10)*(E3172/1000),Skills!K26/10)+Skills!N26</f>
        <v/>
      </c>
      <c r="G3172">
        <f>Calc!G26</f>
        <v/>
      </c>
      <c r="H3172">
        <f>Calc!H26</f>
        <v/>
      </c>
      <c r="I3172">
        <f>IF(Skills!T26&lt;&gt;"",1+(Skills!T26/10)*($Z$3/1000)/100,1)</f>
        <v/>
      </c>
      <c r="J3172" t="inlineStr"/>
      <c r="K3172" t="inlineStr"/>
      <c r="L3172" t="inlineStr"/>
      <c r="M3172" t="inlineStr"/>
      <c r="N3172" t="inlineStr"/>
      <c r="O3172">
        <f>(1-Summary!$B$11)*S3172+Summary!$B$11*U3172</f>
        <v/>
      </c>
      <c r="P3172">
        <f>IF(B3189=0,0,O3172/B3189)</f>
        <v/>
      </c>
      <c r="Q3172">
        <f>IFERROR(1/(IF(Inputs!$B$39="pvp",15,MAX(0.1,Skills!D26-IF(Skills!E26=TRUE,3.0,0)))*(1-IF(AND(ArtifactsInput!$M$27,Inputs!$B$4="Chapter Hunt"),CHOOSE(ArtifactsInput!$N$27+1,20,24,28,32,36,40),0)/100)),0)</f>
        <v/>
      </c>
      <c r="R3172" t="n">
        <v>0</v>
      </c>
      <c r="S3172" t="n">
        <v>0</v>
      </c>
      <c r="U3172" t="n">
        <v>0</v>
      </c>
    </row>
    <row r="3173">
      <c r="A3173">
        <f>Skills!A27</f>
        <v/>
      </c>
      <c r="B3173">
        <f>Skills!B27</f>
        <v/>
      </c>
      <c r="C3173">
        <f>Inputs!$B$3&gt;=120</f>
        <v/>
      </c>
      <c r="D3173">
        <f>IF(Skills!C27=1,60+Inputs!$B$26+Inputs!$B$30,IF(Skills!C27=2,90+Inputs!$B$27+Inputs!$B$30,IF(Skills!C27=3,120+Inputs!$B$28+Inputs!$B$30,MAX(0,(Inputs!$B$3-100)*3)+Inputs!$B$29+Inputs!$B$30)))</f>
        <v/>
      </c>
      <c r="E3173">
        <f>INDEX(FactorTable!$B$2:$Y$301, MATCH(ROUND(MIN(300,MAX(1,D3173)),0), FactorTable!$A$2:$A$301,0), Skills!L27+1)</f>
        <v/>
      </c>
      <c r="F3173">
        <f>IF(Skills!M27=TRUE,(Skills!K27/10)*(E3173/1000),Skills!K27/10)+Skills!N27</f>
        <v/>
      </c>
      <c r="G3173">
        <f>Calc!G27</f>
        <v/>
      </c>
      <c r="H3173">
        <f>Calc!H27</f>
        <v/>
      </c>
      <c r="I3173">
        <f>IF(Skills!T27&lt;&gt;"",1+(Skills!T27/10)*($Z$3/1000)/100,1)</f>
        <v/>
      </c>
      <c r="J3173" t="inlineStr"/>
      <c r="K3173" t="inlineStr"/>
      <c r="L3173" t="inlineStr"/>
      <c r="M3173" t="inlineStr"/>
      <c r="N3173" t="inlineStr"/>
      <c r="O3173">
        <f>(1-Summary!$B$11)*S3173+Summary!$B$11*U3173</f>
        <v/>
      </c>
      <c r="P3173">
        <f>IF(B3189=0,0,O3173/B3189)</f>
        <v/>
      </c>
      <c r="Q3173">
        <f>IFERROR(1/(IF(Inputs!$B$39="pvp",15,MAX(0.1,Skills!D27-IF(Skills!E27=TRUE,3.0,0)))*(1-IF(AND(ArtifactsInput!$M$27,Inputs!$B$4="Chapter Hunt"),CHOOSE(ArtifactsInput!$N$27+1,20,24,28,32,36,40),0)/100)),0)</f>
        <v/>
      </c>
      <c r="R3173" t="n">
        <v>0</v>
      </c>
      <c r="S3173" t="n">
        <v>0</v>
      </c>
      <c r="U3173" t="n">
        <v>0</v>
      </c>
    </row>
    <row r="3174">
      <c r="A3174">
        <f>Skills!A28</f>
        <v/>
      </c>
      <c r="B3174">
        <f>Skills!B28</f>
        <v/>
      </c>
      <c r="C3174">
        <f>TRUE</f>
        <v/>
      </c>
      <c r="D3174">
        <f>IF(Skills!C28=1,60+Inputs!$B$26+Inputs!$B$30,IF(Skills!C28=2,90+Inputs!$B$27+Inputs!$B$30,IF(Skills!C28=3,120+Inputs!$B$28+Inputs!$B$30,MAX(0,(Inputs!$B$3-100)*3)+Inputs!$B$29+Inputs!$B$30)))</f>
        <v/>
      </c>
      <c r="E3174">
        <f>INDEX(FactorTable!$B$2:$Y$301, MATCH(ROUND(MIN(300,MAX(1,D3174)),0), FactorTable!$A$2:$A$301,0), Skills!L28+1)</f>
        <v/>
      </c>
      <c r="F3174">
        <f>IF(Skills!M28=TRUE,(Skills!K28/10)*(E3174/1000),Skills!K28/10)+Skills!N28</f>
        <v/>
      </c>
      <c r="G3174">
        <f>Calc!G28</f>
        <v/>
      </c>
      <c r="H3174">
        <f>Calc!H28</f>
        <v/>
      </c>
      <c r="I3174">
        <f>IF(Skills!T28&lt;&gt;"",1+(Skills!T28/10)*($Z$3/1000)/100,1)</f>
        <v/>
      </c>
      <c r="J3174" t="inlineStr"/>
      <c r="K3174" t="inlineStr"/>
      <c r="L3174" t="inlineStr"/>
      <c r="M3174" t="inlineStr"/>
      <c r="N3174" t="inlineStr"/>
      <c r="O3174">
        <f>(1-Summary!$B$11)*S3174+Summary!$B$11*U3174</f>
        <v/>
      </c>
      <c r="P3174">
        <f>IF(B3189=0,0,O3174/B3189)</f>
        <v/>
      </c>
      <c r="Q3174">
        <f>IFERROR(1/(IF(Inputs!$B$39="pvp",15,MAX(0.1,Skills!D28-IF(Skills!E28=TRUE,3.0,0)))*(1-IF(AND(ArtifactsInput!$M$27,Inputs!$B$4="Chapter Hunt"),CHOOSE(ArtifactsInput!$N$27+1,20,24,28,32,36,40),0)/100)),0)</f>
        <v/>
      </c>
      <c r="R3174">
        <f>IF(AND(Inputs!$B$39&lt;&gt;"pvp",Inputs!$B$44&gt;0),IF(Inputs!$B$44&lt;=0,0,(INT(Inputs!$B$44/(IF(Inputs!$B$39="pvp",15,MAX(0.1,Skills!D28-IF(Skills!E28=TRUE,3.0,0)))*(1-IF(AND(ArtifactsInput!$M$27,Inputs!$B$4="Chapter Hunt"),CHOOSE(ArtifactsInput!$N$27+1,20,24,28,32,36,40),0)/100)))+1)),0)</f>
        <v/>
      </c>
      <c r="S3174" t="n">
        <v>0</v>
      </c>
      <c r="U3174" t="n">
        <v>0</v>
      </c>
    </row>
    <row r="3176">
      <c r="A3176" t="inlineStr">
        <is>
          <t>Average Buff Multiplier</t>
        </is>
      </c>
      <c r="B3176">
        <f>(1+(IF(C3149=TRUE,F3149*IF(AND(Inputs!$B$39&lt;&gt;"pvp",Inputs!$B$44&gt;0),(((R3149-1)*(Skills!S3*(1+((Inputs!$B$35+(ArtifactsInput!$M$7-ArtifactsInput!$M$7)*CHOOSE(ArtifactsInput!$N$7+1,6,7.2,8.4,9.6,10.8,12))+IF(Inputs!$B$3&gt;=117,F3172,0))/100))+MIN((Skills!S3*(1+((Inputs!$B$35+(ArtifactsInput!$M$7-ArtifactsInput!$M$7)*CHOOSE(ArtifactsInput!$N$7+1,6,7.2,8.4,9.6,10.8,12))+IF(Inputs!$B$3&gt;=117,F3172,0))/100)),MAX(0,Inputs!$B$44-((R3149-1)*Skills!D3))))/Inputs!$B$44),IF(Inputs!$B$39="pvp",MIN((Skills!S3*(1+((Inputs!$B$35+(ArtifactsInput!$M$7-ArtifactsInput!$M$7)*CHOOSE(ArtifactsInput!$N$7+1,6,7.2,8.4,9.6,10.8,12))+IF(Inputs!$B$3&gt;=117,F3172,0))/100)),15)/15,(Skills!S3*(1+((Inputs!$B$35+(ArtifactsInput!$M$7-ArtifactsInput!$M$7)*CHOOSE(ArtifactsInput!$N$7+1,6,7.2,8.4,9.6,10.8,12))+IF(Inputs!$B$3&gt;=117,F3172,0))/100))/Skills!D3)),0)+IF(C3150=TRUE,F3150*IF(AND(Inputs!$B$39&lt;&gt;"pvp",Inputs!$B$44&gt;0),(((R3150-1)*(Skills!S4*(1+((Inputs!$B$35+(ArtifactsInput!$M$7-ArtifactsInput!$M$7)*CHOOSE(ArtifactsInput!$N$7+1,6,7.2,8.4,9.6,10.8,12))+IF(Inputs!$B$3&gt;=117,F3172,0))/100))+MIN((Skills!S4*(1+((Inputs!$B$35+(ArtifactsInput!$M$7-ArtifactsInput!$M$7)*CHOOSE(ArtifactsInput!$N$7+1,6,7.2,8.4,9.6,10.8,12))+IF(Inputs!$B$3&gt;=117,F3172,0))/100)),MAX(0,Inputs!$B$44-((R3150-1)*Skills!D4))))/Inputs!$B$44),IF(Inputs!$B$39="pvp",MIN((Skills!S4*(1+((Inputs!$B$35+(ArtifactsInput!$M$7-ArtifactsInput!$M$7)*CHOOSE(ArtifactsInput!$N$7+1,6,7.2,8.4,9.6,10.8,12))+IF(Inputs!$B$3&gt;=117,F3172,0))/100)),15)/15,(Skills!S4*(1+((Inputs!$B$35+(ArtifactsInput!$M$7-ArtifactsInput!$M$7)*CHOOSE(ArtifactsInput!$N$7+1,6,7.2,8.4,9.6,10.8,12))+IF(Inputs!$B$3&gt;=117,F3172,0))/100))/Skills!D4)),0)+IF(C3151=TRUE,F3151*IF(AND(Inputs!$B$39&lt;&gt;"pvp",Inputs!$B$44&gt;0),(((R3151-1)*(Skills!S5*(1+((Inputs!$B$35+(ArtifactsInput!$M$7-ArtifactsInput!$M$7)*CHOOSE(ArtifactsInput!$N$7+1,6,7.2,8.4,9.6,10.8,12))+IF(Inputs!$B$3&gt;=117,F3172,0))/100))+MIN((Skills!S5*(1+((Inputs!$B$35+(ArtifactsInput!$M$7-ArtifactsInput!$M$7)*CHOOSE(ArtifactsInput!$N$7+1,6,7.2,8.4,9.6,10.8,12))+IF(Inputs!$B$3&gt;=117,F3172,0))/100)),MAX(0,Inputs!$B$44-((R3151-1)*Skills!D5))))/Inputs!$B$44),IF(Inputs!$B$39="pvp",MIN((Skills!S5*(1+((Inputs!$B$35+(ArtifactsInput!$M$7-ArtifactsInput!$M$7)*CHOOSE(ArtifactsInput!$N$7+1,6,7.2,8.4,9.6,10.8,12))+IF(Inputs!$B$3&gt;=117,F3172,0))/100)),15)/15,(Skills!S5*(1+((Inputs!$B$35+(ArtifactsInput!$M$7-ArtifactsInput!$M$7)*CHOOSE(ArtifactsInput!$N$7+1,6,7.2,8.4,9.6,10.8,12))+IF(Inputs!$B$3&gt;=117,F3172,0))/100))/Skills!D5)),0)+IF(C3157=TRUE,F3157*IF(AND(Inputs!$B$39&lt;&gt;"pvp",Inputs!$B$44&gt;0),(((R3157-1)*(Skills!S11*(1+((Inputs!$B$35+(ArtifactsInput!$M$7-ArtifactsInput!$M$7)*CHOOSE(ArtifactsInput!$N$7+1,6,7.2,8.4,9.6,10.8,12))+IF(Inputs!$B$3&gt;=117,F3172,0))/100))+MIN((Skills!S11*(1+((Inputs!$B$35+(ArtifactsInput!$M$7-ArtifactsInput!$M$7)*CHOOSE(ArtifactsInput!$N$7+1,6,7.2,8.4,9.6,10.8,12))+IF(Inputs!$B$3&gt;=117,F3172,0))/100)),MAX(0,Inputs!$B$44-((R3157-1)*Skills!D11))))/Inputs!$B$44),IF(Inputs!$B$39="pvp",MIN((Skills!S11*(1+((Inputs!$B$35+(ArtifactsInput!$M$7-ArtifactsInput!$M$7)*CHOOSE(ArtifactsInput!$N$7+1,6,7.2,8.4,9.6,10.8,12))+IF(Inputs!$B$3&gt;=117,F3172,0))/100)),15)/15,(Skills!S11*(1+((Inputs!$B$35+(ArtifactsInput!$M$7-ArtifactsInput!$M$7)*CHOOSE(ArtifactsInput!$N$7+1,6,7.2,8.4,9.6,10.8,12))+IF(Inputs!$B$3&gt;=117,F3172,0)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3160=TRUE,(1+F3160*IF(AND(Inputs!$B$39&lt;&gt;"pvp",Inputs!$B$44&gt;0),(((R3160-1)*(Skills!S14*(1+((Inputs!$B$35+(ArtifactsInput!$M$7-ArtifactsInput!$M$7)*CHOOSE(ArtifactsInput!$N$7+1,6,7.2,8.4,9.6,10.8,12))+IF(Inputs!$B$3&gt;=117,F3172,0))/100))+MIN((Skills!S14*(1+((Inputs!$B$35+(ArtifactsInput!$M$7-ArtifactsInput!$M$7)*CHOOSE(ArtifactsInput!$N$7+1,6,7.2,8.4,9.6,10.8,12))+IF(Inputs!$B$3&gt;=117,F3172,0))/100)),MAX(0,Inputs!$B$44-((R3160-1)*Skills!D14))))/Inputs!$B$44),IF(Inputs!$B$39="pvp",MIN((Skills!S14*(1+((Inputs!$B$35+(ArtifactsInput!$M$7-ArtifactsInput!$M$7)*CHOOSE(ArtifactsInput!$N$7+1,6,7.2,8.4,9.6,10.8,12))+IF(Inputs!$B$3&gt;=117,F3172,0))/100)),15)/15,(Skills!S14*(1+((Inputs!$B$35+(ArtifactsInput!$M$7-ArtifactsInput!$M$7)*CHOOSE(ArtifactsInput!$N$7+1,6,7.2,8.4,9.6,10.8,12))+IF(Inputs!$B$3&gt;=117,F3172,0))/100))/Skills!D14))/100),1)*IF(C3165=TRUE,(1+F3165*IF(AND(Inputs!$B$39&lt;&gt;"pvp",Inputs!$B$44&gt;0),(((R3165-1)*(Skills!S19*(1+((Inputs!$B$35+(ArtifactsInput!$M$7-ArtifactsInput!$M$7)*CHOOSE(ArtifactsInput!$N$7+1,6,7.2,8.4,9.6,10.8,12))+IF(Inputs!$B$3&gt;=117,F3172,0))/100))+MIN((Skills!S19*(1+((Inputs!$B$35+(ArtifactsInput!$M$7-ArtifactsInput!$M$7)*CHOOSE(ArtifactsInput!$N$7+1,6,7.2,8.4,9.6,10.8,12))+IF(Inputs!$B$3&gt;=117,F3172,0))/100)),MAX(0,Inputs!$B$44-((R3165-1)*Skills!D19))))/Inputs!$B$44),IF(Inputs!$B$39="pvp",MIN((Skills!S19*(1+((Inputs!$B$35+(ArtifactsInput!$M$7-ArtifactsInput!$M$7)*CHOOSE(ArtifactsInput!$N$7+1,6,7.2,8.4,9.6,10.8,12))+IF(Inputs!$B$3&gt;=117,F3172,0))/100)),15)/15,(Skills!S19*(1+((Inputs!$B$35+(ArtifactsInput!$M$7-ArtifactsInput!$M$7)*CHOOSE(ArtifactsInput!$N$7+1,6,7.2,8.4,9.6,10.8,12))+IF(Inputs!$B$3&gt;=117,F3172,0))/100))/Skills!D19))/100),1)</f>
        <v/>
      </c>
    </row>
    <row r="3177">
      <c r="A3177" t="inlineStr">
        <is>
          <t>Monster Damage Taken Bonus % (Holy Fountain)</t>
        </is>
      </c>
      <c r="B3177">
        <f>IF(Inputs!$B$3&gt;=68,20*IF(Inputs!$B$39="pvp",MIN((15*(1+((Inputs!$B$35+(ArtifactsInput!$M$7-ArtifactsInput!$M$7)*CHOOSE(ArtifactsInput!$N$7+1,6,7.2,8.4,9.6,10.8,12))+IF(Inputs!$B$3&gt;=117,F3172,0))/100)),15)/15,(15*(1+((Inputs!$B$35+(ArtifactsInput!$M$7-ArtifactsInput!$M$7)*CHOOSE(ArtifactsInput!$N$7+1,6,7.2,8.4,9.6,10.8,12))+IF(Inputs!$B$3&gt;=117,F3172,0))/100))/Skills!D10),0)</f>
        <v/>
      </c>
    </row>
    <row r="3178">
      <c r="A3178" t="inlineStr">
        <is>
          <t>Normal Monster Damage Bonus % (Holy Symbol)</t>
        </is>
      </c>
      <c r="B3178">
        <f>IF(C3158=TRUE,F3158*IF(AND(Inputs!$B$39&lt;&gt;"pvp",Inputs!$B$44&gt;0),(((R3158-1)*(Skills!S12*(1+((Inputs!$B$35+(ArtifactsInput!$M$7-ArtifactsInput!$M$7)*CHOOSE(ArtifactsInput!$N$7+1,6,7.2,8.4,9.6,10.8,12))+IF(Inputs!$B$3&gt;=117,F3172,0))/100))+MIN((Skills!S12*(1+((Inputs!$B$35+(ArtifactsInput!$M$7-ArtifactsInput!$M$7)*CHOOSE(ArtifactsInput!$N$7+1,6,7.2,8.4,9.6,10.8,12))+IF(Inputs!$B$3&gt;=117,F3172,0))/100)),MAX(0,Inputs!$B$44-((R3158-1)*Skills!D12))))/Inputs!$B$44),IF(Inputs!$B$39="pvp",MIN((Skills!S12*(1+((Inputs!$B$35+(ArtifactsInput!$M$7-ArtifactsInput!$M$7)*CHOOSE(ArtifactsInput!$N$7+1,6,7.2,8.4,9.6,10.8,12))+IF(Inputs!$B$3&gt;=117,F3172,0))/100)),15)/15,(Skills!S12*(1+((Inputs!$B$35+(ArtifactsInput!$M$7-ArtifactsInput!$M$7)*CHOOSE(ArtifactsInput!$N$7+1,6,7.2,8.4,9.6,10.8,12))+IF(Inputs!$B$3&gt;=117,F3172,0))/100))/Skills!D12)),0)</f>
        <v/>
      </c>
    </row>
    <row r="3179">
      <c r="A3179" t="inlineStr">
        <is>
          <t>Damage % Bonus (Holy Symbol - Damage Boost)</t>
        </is>
      </c>
      <c r="B3179">
        <f>Skills!O12</f>
        <v/>
      </c>
    </row>
    <row r="3180">
      <c r="A3180" t="inlineStr">
        <is>
          <t>Crit Damage % Bonus (Blood of the Divine)</t>
        </is>
      </c>
      <c r="B3180">
        <f>4*IF(C3166=TRUE,F3166,0)</f>
        <v/>
      </c>
    </row>
    <row r="3181">
      <c r="A3181" t="inlineStr">
        <is>
          <t>Attack Speed Bonus %</t>
        </is>
      </c>
      <c r="B3181">
        <f>IF(C3163=TRUE,F3163+(F3167-Calc!F21),0)+IF(Inputs!$B$3&gt;=134,15,0)+((C3174=TRUE)*F3174*IF(AND(Inputs!$B$39&lt;&gt;"pvp",Inputs!$B$44&gt;0),(((R3174-1)*(Skills!S28*(1+((Inputs!$B$35+(ArtifactsInput!$M$7-ArtifactsInput!$M$7)*CHOOSE(ArtifactsInput!$N$7+1,6,7.2,8.4,9.6,10.8,12))+IF(Inputs!$B$3&gt;=117,F3172,0))/100))+MIN((Skills!S28*(1+((Inputs!$B$35+(ArtifactsInput!$M$7-ArtifactsInput!$M$7)*CHOOSE(ArtifactsInput!$N$7+1,6,7.2,8.4,9.6,10.8,12))+IF(Inputs!$B$3&gt;=117,F3172,0))/100)),MAX(0,Inputs!$B$44-((R3174-1)*Skills!D28))))/Inputs!$B$44),IF(Inputs!$B$39="pvp",MIN((Skills!S28*(1+((Inputs!$B$35+(ArtifactsInput!$M$7-ArtifactsInput!$M$7)*CHOOSE(ArtifactsInput!$N$7+1,6,7.2,8.4,9.6,10.8,12))+IF(Inputs!$B$3&gt;=117,F3172,0))/100)),15)/15,(Skills!S28*(1+((Inputs!$B$35+(ArtifactsInput!$M$7-ArtifactsInput!$M$7)*CHOOSE(ArtifactsInput!$N$7+1,6,7.2,8.4,9.6,10.8,12))+IF(Inputs!$B$3&gt;=117,F3172,0))/100))/Skills!D28)))</f>
        <v/>
      </c>
    </row>
    <row r="3182">
      <c r="A3182" t="inlineStr">
        <is>
          <t>Actions Per Second</t>
        </is>
      </c>
      <c r="B3182">
        <f>1+MIN(150,150*(1-(1-Inputs!$B$12/150)*(1-B3181/150)))/100</f>
        <v/>
      </c>
    </row>
    <row r="3183">
      <c r="A3183" t="inlineStr">
        <is>
          <t>Skill + Buff Cast Rate</t>
        </is>
      </c>
      <c r="B3183">
        <f>IF(AND(Inputs!$B$39&lt;&gt;"pvp",Inputs!$B$44&gt;0),SUMPRODUCT((Skills!E2:E28=TRUE)*(C3148:C3174=TRUE)*R3148:R3174)/Inputs!$B$44,SUMPRODUCT((Skills!E2:E28=TRUE)*(C3148:C3174=TRUE)*Q3148:Q3174))</f>
        <v/>
      </c>
    </row>
    <row r="3184">
      <c r="A3184" t="inlineStr">
        <is>
          <t>Big Bang Casts Per Second</t>
        </is>
      </c>
      <c r="B3184">
        <f>MAX(0,B3182-B3183)</f>
        <v/>
      </c>
    </row>
    <row r="3185">
      <c r="A3185" t="inlineStr">
        <is>
          <t>Defense % Bonus (Divine Protection)</t>
        </is>
      </c>
      <c r="B3185">
        <f>IF(C3159=TRUE,F3159*IF(AND(Inputs!$B$39&lt;&gt;"pvp",Inputs!$B$44&gt;0),(((R3159-1)*(Skills!S13*(1+((Inputs!$B$35+(ArtifactsInput!$M$7-ArtifactsInput!$M$7)*CHOOSE(ArtifactsInput!$N$7+1,6,7.2,8.4,9.6,10.8,12))+IF(Inputs!$B$3&gt;=117,F3172,0))/100))+MIN((Skills!S13*(1+((Inputs!$B$35+(ArtifactsInput!$M$7-ArtifactsInput!$M$7)*CHOOSE(ArtifactsInput!$N$7+1,6,7.2,8.4,9.6,10.8,12))+IF(Inputs!$B$3&gt;=117,F3172,0))/100)),MAX(0,Inputs!$B$44-((R3159-1)*Skills!D13))))/Inputs!$B$44),IF(Inputs!$B$39="pvp",MIN((Skills!S13*(1+((Inputs!$B$35+(ArtifactsInput!$M$7-ArtifactsInput!$M$7)*CHOOSE(ArtifactsInput!$N$7+1,6,7.2,8.4,9.6,10.8,12))+IF(Inputs!$B$3&gt;=117,F3172,0))/100)),15)/15,(Skills!S13*(1+((Inputs!$B$35+(ArtifactsInput!$M$7-ArtifactsInput!$M$7)*CHOOSE(ArtifactsInput!$N$7+1,6,7.2,8.4,9.6,10.8,12))+IF(Inputs!$B$3&gt;=117,F3172,0))/100))/Skills!D13)),0)</f>
        <v/>
      </c>
    </row>
    <row r="3186">
      <c r="A3186" t="inlineStr">
        <is>
          <t>Buff-Casting Startup Delay (s, fixed-duration only)</t>
        </is>
      </c>
      <c r="B3186">
        <f>IF(AND(Inputs!$B$39&lt;&gt;"pvp",Inputs!$B$44&gt;0),SUMPRODUCT((Skills!S2:S28&gt;0)*(Skills!E2:E28=TRUE)*(C3148:C3174=TRUE))/B3182,0)</f>
        <v/>
      </c>
    </row>
    <row r="3187">
      <c r="A3187" t="inlineStr">
        <is>
          <t>Boss-Only Total DPS (this block's swept value)</t>
        </is>
      </c>
      <c r="B3187">
        <f>SUM(S3148:S3174)</f>
        <v/>
      </c>
    </row>
    <row r="3188">
      <c r="A3188" t="inlineStr">
        <is>
          <t>Normal-Only Total DPS (this block's swept value)</t>
        </is>
      </c>
      <c r="B3188">
        <f>SUM(U3148:U3174)</f>
        <v/>
      </c>
    </row>
    <row r="3189">
      <c r="A3189" s="6" t="inlineStr">
        <is>
          <t>TOTAL DPS</t>
        </is>
      </c>
      <c r="B3189" s="6">
        <f>SUM(O3148:O3174)</f>
        <v/>
      </c>
    </row>
    <row r="3191">
      <c r="A3191" s="6" t="inlineStr">
        <is>
          <t>Stat: CDR = 3.5s</t>
        </is>
      </c>
    </row>
    <row r="3192">
      <c r="A3192" s="5" t="inlineStr">
        <is>
          <t>Key</t>
        </is>
      </c>
      <c r="B3192" s="5" t="inlineStr">
        <is>
          <t>Name</t>
        </is>
      </c>
      <c r="C3192" s="5" t="inlineStr">
        <is>
          <t>Unlocked</t>
        </is>
      </c>
      <c r="D3192" s="5" t="inlineStr">
        <is>
          <t>InputLevel</t>
        </is>
      </c>
      <c r="E3192" s="5" t="inlineStr">
        <is>
          <t>Factor</t>
        </is>
      </c>
      <c r="F3192" s="5" t="inlineStr">
        <is>
          <t>CoefficientPercent</t>
        </is>
      </c>
      <c r="G3192" s="5" t="inlineStr">
        <is>
          <t>EffectiveHits</t>
        </is>
      </c>
      <c r="H3192" s="5" t="inlineStr">
        <is>
          <t>ProcProbability</t>
        </is>
      </c>
      <c r="I3192" s="5" t="inlineStr">
        <is>
          <t>MapleHeroMultiplier</t>
        </is>
      </c>
      <c r="J3192" s="5" t="inlineStr">
        <is>
          <t>BaseDamage</t>
        </is>
      </c>
      <c r="K3192" s="5" t="inlineStr">
        <is>
          <t>BaseHitDamage</t>
        </is>
      </c>
      <c r="L3192" s="5" t="inlineStr">
        <is>
          <t>NonCritAvg</t>
        </is>
      </c>
      <c r="M3192" s="5" t="inlineStr">
        <is>
          <t>CritAvg</t>
        </is>
      </c>
      <c r="N3192" s="5" t="inlineStr">
        <is>
          <t>ExpectedDamage(perHit)</t>
        </is>
      </c>
      <c r="O3192" s="5" t="inlineStr">
        <is>
          <t>DPS</t>
        </is>
      </c>
      <c r="P3192" s="5" t="inlineStr">
        <is>
          <t>% of Total</t>
        </is>
      </c>
      <c r="R3192" t="inlineStr">
        <is>
          <t>helpers</t>
        </is>
      </c>
    </row>
    <row r="3193">
      <c r="A3193">
        <f>Skills!A2</f>
        <v/>
      </c>
      <c r="B3193">
        <f>Skills!B2</f>
        <v/>
      </c>
      <c r="C3193">
        <f>Inputs!$B$3&gt;=100</f>
        <v/>
      </c>
      <c r="D3193" t="inlineStr"/>
      <c r="E3193" t="inlineStr"/>
      <c r="F3193">
        <f>T3195+Skills!N2</f>
        <v/>
      </c>
      <c r="G3193">
        <f>Calc!G2</f>
        <v/>
      </c>
      <c r="H3193">
        <f>Calc!H2</f>
        <v/>
      </c>
      <c r="I3193">
        <f>IF(Skills!T2&lt;&gt;"",1+(Skills!T2/10)*($Z$3/1000)/100,1)</f>
        <v/>
      </c>
      <c r="J3193">
        <f>((Inputs!$B$6*(1+Inputs!$B$7/100))+(((Inputs!$B$13*(1+Inputs!$B$14/100))-(Inputs!$B$13*(1+Inputs!$B$14/100)))+0.25*(Inputs!$B$15-Inputs!$B$15))*(1+Inputs!$B$7/100))*(F3193/100)</f>
        <v/>
      </c>
      <c r="K3193">
        <f>J3193*(1+(((Inputs!$B$13+IF(Inputs!$B$3&gt;=35,(10*INDEX(FactorTable!$B$2:$Y$301,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2="TRIUMPH_FEATHER",IF(C3207=TRUE,F3207,0),0)/100)*(1+IF(C3218=TRUE,F3218,0)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3193)</f>
        <v/>
      </c>
      <c r="L3193">
        <f>K3193*(MIN(Inputs!$B$23+(F3213-Calc!F22),(Inputs!$B$24+IF(ArtifactsInput!$M$15,CHOOSE(ArtifactsInput!$N$15+1,25,30,35,40,45,50)/100*(Inputs!$B$12-Inputs!$B$12),0)))/100+(Inputs!$B$24+IF(ArtifactsInput!$M$15,CHOOSE(ArtifactsInput!$N$15+1,25,30,35,40,45,50)/100*(Inputs!$B$12-Inputs!$B$12),0))/100)/2</f>
        <v/>
      </c>
      <c r="M3193">
        <f>L3193*(1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3">
        <f>L3193*(1-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3193*(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3">
        <f>(1-Summary!$B$11)*S3193+Summary!$B$11*U3193</f>
        <v/>
      </c>
      <c r="P3193">
        <f>IF(B3234=0,0,O3193/B3234)</f>
        <v/>
      </c>
      <c r="Q3193">
        <f>IFERROR(1/(IF(Inputs!$B$39="pvp",15,MAX(0.1,Skills!D2-IF(Skills!E2=TRUE,3.5,0)))*(1-IF(AND(ArtifactsInput!$M$27,Inputs!$B$4="Chapter Hunt"),CHOOSE(ArtifactsInput!$N$27+1,20,24,28,32,36,40),0)/100)),0)</f>
        <v/>
      </c>
      <c r="R3193" t="n">
        <v>0</v>
      </c>
      <c r="S3193">
        <f>IF(C3193,(Skills!F2*N3193*B3229)*IF(Inputs!$B$39="pvp",1,1+(Inputs!$B$21+Skills!O2+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3193*(1-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3193*(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3193*(1-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3193*(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93">
        <f>MAX(0,(Inputs!$B$3-100)*3)+Inputs!$B$29+Inputs!$B$30</f>
        <v/>
      </c>
      <c r="U3193">
        <f>IF(C3193,(Skills!F2*N3193*B3229)*IF(Inputs!$B$39="pvp",1,(1+(Inputs!$B$22+Skills!P2+B3223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4">
      <c r="A3194">
        <f>Skills!A3</f>
        <v/>
      </c>
      <c r="B3194">
        <f>Skills!B3</f>
        <v/>
      </c>
      <c r="C3194">
        <f>Inputs!$B$3&gt;=15</f>
        <v/>
      </c>
      <c r="D3194">
        <f>IF(Skills!C3=1,60+Inputs!$B$26+Inputs!$B$30,IF(Skills!C3=2,90+Inputs!$B$27+Inputs!$B$30,IF(Skills!C3=3,120+Inputs!$B$28+Inputs!$B$30,MAX(0,(Inputs!$B$3-100)*3)+Inputs!$B$29+Inputs!$B$30)))</f>
        <v/>
      </c>
      <c r="E3194">
        <f>INDEX(FactorTable!$B$2:$Y$301, MATCH(ROUND(MIN(300,MAX(1,D3194)),0), FactorTable!$A$2:$A$301,0), Skills!L3+1)</f>
        <v/>
      </c>
      <c r="F3194">
        <f>IF(Skills!M3=TRUE,(Skills!K3/10)*(E3194/1000),Skills!K3/10)+Skills!N3</f>
        <v/>
      </c>
      <c r="G3194">
        <f>Calc!G3</f>
        <v/>
      </c>
      <c r="H3194">
        <f>Calc!H3</f>
        <v/>
      </c>
      <c r="I3194">
        <f>IF(Skills!T3&lt;&gt;"",1+(Skills!T3/10)*($Z$3/1000)/100,1)</f>
        <v/>
      </c>
      <c r="J3194" t="inlineStr"/>
      <c r="K3194" t="inlineStr"/>
      <c r="L3194" t="inlineStr"/>
      <c r="M3194" t="inlineStr"/>
      <c r="N3194" t="inlineStr"/>
      <c r="O3194">
        <f>(1-Summary!$B$11)*S3194+Summary!$B$11*U3194</f>
        <v/>
      </c>
      <c r="P3194">
        <f>IF(B3234=0,0,O3194/B3234)</f>
        <v/>
      </c>
      <c r="Q3194">
        <f>IFERROR(1/(IF(Inputs!$B$39="pvp",15,MAX(0.1,Skills!D3-IF(Skills!E3=TRUE,3.5,0)))*(1-IF(AND(ArtifactsInput!$M$27,Inputs!$B$4="Chapter Hunt"),CHOOSE(ArtifactsInput!$N$27+1,20,24,28,32,36,40),0)/100)),0)</f>
        <v/>
      </c>
      <c r="R3194">
        <f>IF(AND(Inputs!$B$39&lt;&gt;"pvp",Inputs!$B$44&gt;0),IF(Inputs!$B$44&lt;=0,0,(INT(Inputs!$B$44/(IF(Inputs!$B$39="pvp",15,MAX(0.1,Skills!D3-IF(Skills!E3=TRUE,3.5,0)))*(1-IF(AND(ArtifactsInput!$M$27,Inputs!$B$4="Chapter Hunt"),CHOOSE(ArtifactsInput!$N$27+1,20,24,28,32,36,40),0)/100)))+1)),0)</f>
        <v/>
      </c>
      <c r="S3194" t="n">
        <v>0</v>
      </c>
      <c r="T3194">
        <f>INDEX(FactorTable!$B$2:$Y$301, MATCH(ROUND(MIN(300,MAX(1,T3193)),0), FactorTable!$A$2:$A$301,0), 22)</f>
        <v/>
      </c>
      <c r="U3194" t="n">
        <v>0</v>
      </c>
    </row>
    <row r="3195">
      <c r="A3195">
        <f>Skills!A4</f>
        <v/>
      </c>
      <c r="B3195">
        <f>Skills!B4</f>
        <v/>
      </c>
      <c r="C3195">
        <f>Inputs!$B$3&gt;=38</f>
        <v/>
      </c>
      <c r="D3195">
        <f>IF(Skills!C4=1,60+Inputs!$B$26+Inputs!$B$30,IF(Skills!C4=2,90+Inputs!$B$27+Inputs!$B$30,IF(Skills!C4=3,120+Inputs!$B$28+Inputs!$B$30,MAX(0,(Inputs!$B$3-100)*3)+Inputs!$B$29+Inputs!$B$30)))</f>
        <v/>
      </c>
      <c r="E3195">
        <f>INDEX(FactorTable!$B$2:$Y$301, MATCH(ROUND(MIN(300,MAX(1,D3195)),0), FactorTable!$A$2:$A$301,0), Skills!L4+1)</f>
        <v/>
      </c>
      <c r="F3195">
        <f>IF(Skills!M4=TRUE,(Skills!K4/10)*(E3195/1000),Skills!K4/10)+Skills!N4</f>
        <v/>
      </c>
      <c r="G3195">
        <f>Calc!G4</f>
        <v/>
      </c>
      <c r="H3195">
        <f>Calc!H4</f>
        <v/>
      </c>
      <c r="I3195">
        <f>IF(Skills!T4&lt;&gt;"",1+(Skills!T4/10)*($Z$3/1000)/100,1)</f>
        <v/>
      </c>
      <c r="J3195" t="inlineStr"/>
      <c r="K3195" t="inlineStr"/>
      <c r="L3195" t="inlineStr"/>
      <c r="M3195" t="inlineStr"/>
      <c r="N3195" t="inlineStr"/>
      <c r="O3195">
        <f>(1-Summary!$B$11)*S3195+Summary!$B$11*U3195</f>
        <v/>
      </c>
      <c r="P3195">
        <f>IF(B3234=0,0,O3195/B3234)</f>
        <v/>
      </c>
      <c r="Q3195">
        <f>IFERROR(1/(IF(Inputs!$B$39="pvp",15,MAX(0.1,Skills!D4-IF(Skills!E4=TRUE,3.5,0)))*(1-IF(AND(ArtifactsInput!$M$27,Inputs!$B$4="Chapter Hunt"),CHOOSE(ArtifactsInput!$N$27+1,20,24,28,32,36,40),0)/100)),0)</f>
        <v/>
      </c>
      <c r="R3195">
        <f>IF(AND(Inputs!$B$39&lt;&gt;"pvp",Inputs!$B$44&gt;0),IF(Inputs!$B$44&lt;=0,0,(INT(Inputs!$B$44/(IF(Inputs!$B$39="pvp",15,MAX(0.1,Skills!D4-IF(Skills!E4=TRUE,3.5,0)))*(1-IF(AND(ArtifactsInput!$M$27,Inputs!$B$4="Chapter Hunt"),CHOOSE(ArtifactsInput!$N$27+1,20,24,28,32,36,40),0)/100)))+1)),0)</f>
        <v/>
      </c>
      <c r="S3195" t="n">
        <v>0</v>
      </c>
      <c r="T3195">
        <f>290*T3194/1000</f>
        <v/>
      </c>
      <c r="U3195" t="n">
        <v>0</v>
      </c>
    </row>
    <row r="3196">
      <c r="A3196">
        <f>Skills!A5</f>
        <v/>
      </c>
      <c r="B3196">
        <f>Skills!B5</f>
        <v/>
      </c>
      <c r="C3196">
        <f>Inputs!$B$3&gt;=40</f>
        <v/>
      </c>
      <c r="D3196">
        <f>IF(Skills!C5=1,60+Inputs!$B$26+Inputs!$B$30,IF(Skills!C5=2,90+Inputs!$B$27+Inputs!$B$30,IF(Skills!C5=3,120+Inputs!$B$28+Inputs!$B$30,MAX(0,(Inputs!$B$3-100)*3)+Inputs!$B$29+Inputs!$B$30)))</f>
        <v/>
      </c>
      <c r="E3196">
        <f>INDEX(FactorTable!$B$2:$Y$301, MATCH(ROUND(MIN(300,MAX(1,D3196)),0), FactorTable!$A$2:$A$301,0), Skills!L5+1)</f>
        <v/>
      </c>
      <c r="F3196">
        <f>IF(Skills!M5=TRUE,(Skills!K5/10)*(E3196/1000),Skills!K5/10)+Skills!N5</f>
        <v/>
      </c>
      <c r="G3196">
        <f>Calc!G5</f>
        <v/>
      </c>
      <c r="H3196">
        <f>Calc!H5</f>
        <v/>
      </c>
      <c r="I3196">
        <f>IF(Skills!T5&lt;&gt;"",1+(Skills!T5/10)*($Z$3/1000)/100,1)</f>
        <v/>
      </c>
      <c r="J3196" t="inlineStr"/>
      <c r="K3196" t="inlineStr"/>
      <c r="L3196" t="inlineStr"/>
      <c r="M3196" t="inlineStr"/>
      <c r="N3196" t="inlineStr"/>
      <c r="O3196">
        <f>(1-Summary!$B$11)*S3196+Summary!$B$11*U3196</f>
        <v/>
      </c>
      <c r="P3196">
        <f>IF(B3234=0,0,O3196/B3234)</f>
        <v/>
      </c>
      <c r="Q3196">
        <f>IFERROR(1/(IF(Inputs!$B$39="pvp",15,MAX(0.1,Skills!D5-IF(Skills!E5=TRUE,3.5,0)))*(1-IF(AND(ArtifactsInput!$M$27,Inputs!$B$4="Chapter Hunt"),CHOOSE(ArtifactsInput!$N$27+1,20,24,28,32,36,40),0)/100)),0)</f>
        <v/>
      </c>
      <c r="R3196">
        <f>IF(AND(Inputs!$B$39&lt;&gt;"pvp",Inputs!$B$44&gt;0),IF(Inputs!$B$44&lt;=0,0,(INT(Inputs!$B$44/(IF(Inputs!$B$39="pvp",15,MAX(0.1,Skills!D5-IF(Skills!E5=TRUE,3.5,0)))*(1-IF(AND(ArtifactsInput!$M$27,Inputs!$B$4="Chapter Hunt"),CHOOSE(ArtifactsInput!$N$27+1,20,24,28,32,36,40),0)/100)))+1)),0)</f>
        <v/>
      </c>
      <c r="S3196" t="n">
        <v>0</v>
      </c>
      <c r="U3196" t="n">
        <v>0</v>
      </c>
    </row>
    <row r="3197">
      <c r="A3197">
        <f>Skills!A6</f>
        <v/>
      </c>
      <c r="B3197">
        <f>Skills!B6</f>
        <v/>
      </c>
      <c r="C3197">
        <f>Inputs!$B$3&gt;=103</f>
        <v/>
      </c>
      <c r="D3197">
        <f>IF(Skills!C6=1,60+Inputs!$B$26+Inputs!$B$30,IF(Skills!C6=2,90+Inputs!$B$27+Inputs!$B$30,IF(Skills!C6=3,120+Inputs!$B$28+Inputs!$B$30,MAX(0,(Inputs!$B$3-100)*3)+Inputs!$B$29+Inputs!$B$30)))</f>
        <v/>
      </c>
      <c r="E3197">
        <f>INDEX(FactorTable!$B$2:$Y$301, MATCH(ROUND(MIN(300,MAX(1,D3197)),0), FactorTable!$A$2:$A$301,0), Skills!L6+1)</f>
        <v/>
      </c>
      <c r="F3197">
        <f>IF(Skills!M6=TRUE,(Skills!K6/10)*(E3197/1000),Skills!K6/10)+Skills!N6</f>
        <v/>
      </c>
      <c r="G3197">
        <f>Calc!G6</f>
        <v/>
      </c>
      <c r="H3197">
        <f>Calc!H6</f>
        <v/>
      </c>
      <c r="I3197">
        <f>IF(Skills!T6&lt;&gt;"",1+(Skills!T6/10)*($Z$3/1000)/100,1)</f>
        <v/>
      </c>
      <c r="J3197">
        <f>((Inputs!$B$6*(1+Inputs!$B$7/100))+(((Inputs!$B$13*(1+Inputs!$B$14/100))-(Inputs!$B$13*(1+Inputs!$B$14/100)))+0.25*(Inputs!$B$15-Inputs!$B$15))*(1+Inputs!$B$7/100))*(F3197/100)</f>
        <v/>
      </c>
      <c r="K3197">
        <f>J3197*(1+(((Inputs!$B$13+IF(Inputs!$B$3&gt;=35,(10*INDEX(FactorTable!$B$2:$Y$301,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6="TRIUMPH_FEATHER",IF(C3207=TRUE,F3207,0),0)/100)*(1+IF(C3218=TRUE,F3218,0)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3197)</f>
        <v/>
      </c>
      <c r="L3197">
        <f>K3197*(MIN(Inputs!$B$23+(F3213-Calc!F22),(Inputs!$B$24+IF(ArtifactsInput!$M$15,CHOOSE(ArtifactsInput!$N$15+1,25,30,35,40,45,50)/100*(Inputs!$B$12-Inputs!$B$12),0)))/100+(Inputs!$B$24+IF(ArtifactsInput!$M$15,CHOOSE(ArtifactsInput!$N$15+1,25,30,35,40,45,50)/100*(Inputs!$B$12-Inputs!$B$12),0))/100)/2</f>
        <v/>
      </c>
      <c r="M3197">
        <f>L3197*(1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7">
        <f>L3197*(1-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3197*(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7">
        <f>(1-Summary!$B$11)*S3197+Summary!$B$11*U3197</f>
        <v/>
      </c>
      <c r="P3197">
        <f>IF(B3234=0,0,O3197/B3234)</f>
        <v/>
      </c>
      <c r="Q3197">
        <f>IFERROR(1/(IF(Inputs!$B$39="pvp",15,MAX(0.1,Skills!D6-IF(Skills!E6=TRUE,3.5,0)))*(1-IF(AND(ArtifactsInput!$M$27,Inputs!$B$4="Chapter Hunt"),CHOOSE(ArtifactsInput!$N$27+1,20,24,28,32,36,40),0)/100)),0)</f>
        <v/>
      </c>
      <c r="R3197">
        <f>IF(AND(Inputs!$B$39&lt;&gt;"pvp",Inputs!$B$44&gt;0),IF(MAX(0,Inputs!$B$44-B3231)&lt;=0,0,(INT(MAX(0,Inputs!$B$44-B3231)/(IF(Inputs!$B$39="pvp",15,MAX(0.1,Skills!D6-IF(Skills!E6=TRUE,3.5,0)))*(1-IF(AND(ArtifactsInput!$M$27,Inputs!$B$4="Chapter Hunt"),CHOOSE(ArtifactsInput!$N$27+1,20,24,28,32,36,40),0)/100)))+1)),0)</f>
        <v/>
      </c>
      <c r="S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$21+Skills!O6+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3197*(1-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3197*(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3197*(1-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3197*(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$22+Skills!P6+B3223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8">
      <c r="A3198">
        <f>Skills!A7</f>
        <v/>
      </c>
      <c r="B3198">
        <f>Skills!B7</f>
        <v/>
      </c>
      <c r="C3198">
        <f>Inputs!$B$3&gt;=122</f>
        <v/>
      </c>
      <c r="D3198">
        <f>IF(Skills!C7=1,60+Inputs!$B$26+Inputs!$B$30,IF(Skills!C7=2,90+Inputs!$B$27+Inputs!$B$30,IF(Skills!C7=3,120+Inputs!$B$28+Inputs!$B$30,MAX(0,(Inputs!$B$3-100)*3)+Inputs!$B$29+Inputs!$B$30)))</f>
        <v/>
      </c>
      <c r="E3198">
        <f>INDEX(FactorTable!$B$2:$Y$301, MATCH(ROUND(MIN(300,MAX(1,D3198)),0), FactorTable!$A$2:$A$301,0), Skills!L7+1)</f>
        <v/>
      </c>
      <c r="F3198">
        <f>IF(Skills!M7=TRUE,(Skills!K7/10)*(E3198/1000),Skills!K7/10)+Skills!N7</f>
        <v/>
      </c>
      <c r="G3198">
        <f>Calc!G7</f>
        <v/>
      </c>
      <c r="H3198">
        <f>Calc!H7</f>
        <v/>
      </c>
      <c r="I3198">
        <f>IF(Skills!T7&lt;&gt;"",1+(Skills!T7/10)*($Z$3/1000)/100,1)</f>
        <v/>
      </c>
      <c r="J3198">
        <f>((Inputs!$B$6*(1+Inputs!$B$7/100))+(((Inputs!$B$13*(1+Inputs!$B$14/100))-(Inputs!$B$13*(1+Inputs!$B$14/100)))+0.25*(Inputs!$B$15-Inputs!$B$15))*(1+Inputs!$B$7/100))*(F3198/100)</f>
        <v/>
      </c>
      <c r="K3198">
        <f>J3198*(1+(((Inputs!$B$13+IF(Inputs!$B$3&gt;=35,(10*INDEX(FactorTable!$B$2:$Y$301,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7="TRIUMPH_FEATHER",IF(C3207=TRUE,F3207,0),0)/100)*(1+IF(C3218=TRUE,F3218,0)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3198)</f>
        <v/>
      </c>
      <c r="L3198">
        <f>K3198*(MIN(Inputs!$B$23+(F3213-Calc!F22),(Inputs!$B$24+IF(ArtifactsInput!$M$15,CHOOSE(ArtifactsInput!$N$15+1,25,30,35,40,45,50)/100*(Inputs!$B$12-Inputs!$B$12),0)))/100+(Inputs!$B$24+IF(ArtifactsInput!$M$15,CHOOSE(ArtifactsInput!$N$15+1,25,30,35,40,45,50)/100*(Inputs!$B$12-Inputs!$B$12),0))/100)/2</f>
        <v/>
      </c>
      <c r="M3198">
        <f>L3198*(1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8">
        <f>L3198*(1-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3198*(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8">
        <f>(1-Summary!$B$11)*S3198+Summary!$B$11*U3198</f>
        <v/>
      </c>
      <c r="P3198">
        <f>IF(B3234=0,0,O3198/B3234)</f>
        <v/>
      </c>
      <c r="Q3198">
        <f>IFERROR(1/(IF(Inputs!$B$39="pvp",15,MAX(0.1,Skills!D7-IF(Skills!E6=TRUE,3.5,0)))*(1-IF(AND(ArtifactsInput!$M$27,Inputs!$B$4="Chapter Hunt"),CHOOSE(ArtifactsInput!$N$27+1,20,24,28,32,36,40),0)/100)),0)</f>
        <v/>
      </c>
      <c r="R3198">
        <f>IF(AND(Inputs!$B$39&lt;&gt;"pvp",Inputs!$B$44&gt;0),IF(MAX(0,Inputs!$B$44-B3231)&lt;=0,0,(INT(MAX(0,Inputs!$B$44-B3231)/(IF(Inputs!$B$39="pvp",15,MAX(0.1,Skills!D7-IF(Skills!E6=TRUE,3.5,0)))*(1-IF(AND(ArtifactsInput!$M$27,Inputs!$B$4="Chapter Hunt"),CHOOSE(ArtifactsInput!$N$27+1,20,24,28,32,36,40),0)/100)))+1)),0)</f>
        <v/>
      </c>
      <c r="S3198">
        <f>IF(C3198,H3198*N3198*IF(AND(Inputs!$B$39&lt;&gt;"pvp",Inputs!$B$44&gt;0),((Skills!F7*((R3198-1)*IF(Skills!G7&gt;0,Skills!H7/Skills!G7,1)+IF(Skills!G7&gt;0,MIN(Skills!H7,MAX(0,MAX(0,Inputs!$B$44-B3231)-((R3198-1)*(IF(Inputs!$B$39="pvp",15,MAX(0.1,Skills!D7-IF(Skills!E6=TRUE,3.5,0)))*(1-IF(AND(ArtifactsInput!$M$27,Inputs!$B$4="Chapter Hunt"),CHOOSE(ArtifactsInput!$N$27+1,20,24,28,32,36,40),0)/100)))))/Skills!G7,1)))/Inputs!$B$44),G3198*Q3198)*IF(Inputs!$B$39="pvp",1,1+(Inputs!$B$21+Skills!O7+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3198*(1-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3198*(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3198*(1-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3198*(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8" t="n">
        <v>0</v>
      </c>
    </row>
    <row r="3199">
      <c r="A3199">
        <f>Skills!A8</f>
        <v/>
      </c>
      <c r="B3199">
        <f>Skills!B8</f>
        <v/>
      </c>
      <c r="C3199">
        <f>Inputs!$B$3&gt;=105</f>
        <v/>
      </c>
      <c r="D3199">
        <f>IF(Skills!C8=1,60+Inputs!$B$26+Inputs!$B$30,IF(Skills!C8=2,90+Inputs!$B$27+Inputs!$B$30,IF(Skills!C8=3,120+Inputs!$B$28+Inputs!$B$30,MAX(0,(Inputs!$B$3-100)*3)+Inputs!$B$29+Inputs!$B$30)))</f>
        <v/>
      </c>
      <c r="E3199">
        <f>INDEX(FactorTable!$B$2:$Y$301, MATCH(ROUND(MIN(300,MAX(1,D3199)),0), FactorTable!$A$2:$A$301,0), Skills!L8+1)</f>
        <v/>
      </c>
      <c r="F3199">
        <f>IF(Skills!M8=TRUE,(Skills!K8/10)*(E3199/1000),Skills!K8/10)+Skills!N8</f>
        <v/>
      </c>
      <c r="G3199">
        <f>Calc!G8</f>
        <v/>
      </c>
      <c r="H3199">
        <f>Calc!H8</f>
        <v/>
      </c>
      <c r="I3199">
        <f>IF(Skills!T8&lt;&gt;"",1+(Skills!T8/10)*($Z$3/1000)/100,1)</f>
        <v/>
      </c>
      <c r="J3199">
        <f>((Inputs!$B$6*(1+Inputs!$B$7/100))+(((Inputs!$B$13*(1+Inputs!$B$14/100))-(Inputs!$B$13*(1+Inputs!$B$14/100)))+0.25*(Inputs!$B$15-Inputs!$B$15))*(1+Inputs!$B$7/100))*(F3199/100)</f>
        <v/>
      </c>
      <c r="K3199">
        <f>J3199*(1+(((Inputs!$B$13+IF(Inputs!$B$3&gt;=35,(10*INDEX(FactorTable!$B$2:$Y$301,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8="TRIUMPH_FEATHER",IF(C3207=TRUE,F3207,0),0)/100)*(1+IF(C3218=TRUE,F3218,0)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3199)</f>
        <v/>
      </c>
      <c r="L3199">
        <f>K3199*(MIN(Inputs!$B$23+(F3213-Calc!F22),(Inputs!$B$24+IF(ArtifactsInput!$M$15,CHOOSE(ArtifactsInput!$N$15+1,25,30,35,40,45,50)/100*(Inputs!$B$12-Inputs!$B$12),0)))/100+(Inputs!$B$24+IF(ArtifactsInput!$M$15,CHOOSE(ArtifactsInput!$N$15+1,25,30,35,40,45,50)/100*(Inputs!$B$12-Inputs!$B$12),0))/100)/2</f>
        <v/>
      </c>
      <c r="M3199">
        <f>L3199*(1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9">
        <f>L3199*(1-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3199*(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9">
        <f>(1-Summary!$B$11)*S3199+Summary!$B$11*U3199</f>
        <v/>
      </c>
      <c r="P3199">
        <f>IF(B3234=0,0,O3199/B3234)</f>
        <v/>
      </c>
      <c r="Q3199">
        <f>IFERROR(1/(IF(Inputs!$B$39="pvp",15,MAX(0.1,Skills!D8-IF(Skills!E8=TRUE,3.5,0)))*(1-IF(AND(ArtifactsInput!$M$27,Inputs!$B$4="Chapter Hunt"),CHOOSE(ArtifactsInput!$N$27+1,20,24,28,32,36,40),0)/100)),0)</f>
        <v/>
      </c>
      <c r="R3199">
        <f>IF(AND(Inputs!$B$39&lt;&gt;"pvp",Inputs!$B$44&gt;0),IF(MAX(0,Inputs!$B$44-B3231)&lt;=0,0,(INT(MAX(0,Inputs!$B$44-B3231)/(IF(Inputs!$B$39="pvp",15,MAX(0.1,Skills!D8-IF(Skills!E8=TRUE,3.5,0)))*(1-IF(AND(ArtifactsInput!$M$27,Inputs!$B$4="Chapter Hunt"),CHOOSE(ArtifactsInput!$N$27+1,20,24,28,32,36,40),0)/100)))+1)),0)</f>
        <v/>
      </c>
      <c r="S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$21+Skills!O8+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3199*(1-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3199*(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3199*(1-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3199*(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$22+Skills!P8+B3223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0">
      <c r="A3200">
        <f>Skills!A9</f>
        <v/>
      </c>
      <c r="B3200">
        <f>Skills!B9</f>
        <v/>
      </c>
      <c r="C3200">
        <f>Inputs!$B$3&gt;=115</f>
        <v/>
      </c>
      <c r="D3200">
        <f>IF(Skills!C9=1,60+Inputs!$B$26+Inputs!$B$30,IF(Skills!C9=2,90+Inputs!$B$27+Inputs!$B$30,IF(Skills!C9=3,120+Inputs!$B$28+Inputs!$B$30,MAX(0,(Inputs!$B$3-100)*3)+Inputs!$B$29+Inputs!$B$30)))</f>
        <v/>
      </c>
      <c r="E3200">
        <f>INDEX(FactorTable!$B$2:$Y$301, MATCH(ROUND(MIN(300,MAX(1,D3200)),0), FactorTable!$A$2:$A$301,0), Skills!L9+1)</f>
        <v/>
      </c>
      <c r="F3200">
        <f>IF(Skills!M9=TRUE,(Skills!K9/10)*(E3200/1000),Skills!K9/10)+Skills!N9</f>
        <v/>
      </c>
      <c r="G3200">
        <f>Calc!G9</f>
        <v/>
      </c>
      <c r="H3200">
        <f>Calc!H9</f>
        <v/>
      </c>
      <c r="I3200">
        <f>IF(Skills!T9&lt;&gt;"",1+(Skills!T9/10)*($Z$3/1000)/100,1)</f>
        <v/>
      </c>
      <c r="J3200">
        <f>((Inputs!$B$6*(1+Inputs!$B$7/100))+(((Inputs!$B$13*(1+Inputs!$B$14/100))-(Inputs!$B$13*(1+Inputs!$B$14/100)))+0.25*(Inputs!$B$15-Inputs!$B$15))*(1+Inputs!$B$7/100))*(F3200/100)</f>
        <v/>
      </c>
      <c r="K3200">
        <f>J3200*(1+(((Inputs!$B$13+IF(Inputs!$B$3&gt;=35,(10*INDEX(FactorTable!$B$2:$Y$301,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9="TRIUMPH_FEATHER",IF(C3207=TRUE,F3207,0),0)/100)*(1+IF(C3218=TRUE,F3218,0)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3200)</f>
        <v/>
      </c>
      <c r="L3200">
        <f>K3200*(MIN(Inputs!$B$23+(F3213-Calc!F22),(Inputs!$B$24+IF(ArtifactsInput!$M$15,CHOOSE(ArtifactsInput!$N$15+1,25,30,35,40,45,50)/100*(Inputs!$B$12-Inputs!$B$12),0)))/100+(Inputs!$B$24+IF(ArtifactsInput!$M$15,CHOOSE(ArtifactsInput!$N$15+1,25,30,35,40,45,50)/100*(Inputs!$B$12-Inputs!$B$12),0))/100)/2</f>
        <v/>
      </c>
      <c r="M3200">
        <f>L3200*(1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0">
        <f>L3200*(1-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3200*(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0">
        <f>(1-Summary!$B$11)*S3200+Summary!$B$11*U3200</f>
        <v/>
      </c>
      <c r="P3200">
        <f>IF(B3234=0,0,O3200/B3234)</f>
        <v/>
      </c>
      <c r="Q3200">
        <f>IFERROR(1/(IF(Inputs!$B$39="pvp",15,MAX(0.1,Skills!D9-IF(Skills!E9=TRUE,3.5,0)))*(1-IF(AND(ArtifactsInput!$M$27,Inputs!$B$4="Chapter Hunt"),CHOOSE(ArtifactsInput!$N$27+1,20,24,28,32,36,40),0)/100)),0)</f>
        <v/>
      </c>
      <c r="R3200">
        <f>IF(AND(Inputs!$B$39&lt;&gt;"pvp",Inputs!$B$44&gt;0),IF(MAX(0,Inputs!$B$44-B3231)&lt;=0,0,(INT(MAX(0,Inputs!$B$44-B3231)/(IF(Inputs!$B$39="pvp",15,MAX(0.1,Skills!D9-IF(Skills!E9=TRUE,3.5,0)))*(1-IF(AND(ArtifactsInput!$M$27,Inputs!$B$4="Chapter Hunt"),CHOOSE(ArtifactsInput!$N$27+1,20,24,28,32,36,40),0)/100)))+1)),0)</f>
        <v/>
      </c>
      <c r="S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$21+Skills!O9+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3200*(1-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3200*(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3200*(1-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3200*(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$22+Skills!P9+B3223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1">
      <c r="A3201">
        <f>Skills!A10</f>
        <v/>
      </c>
      <c r="B3201">
        <f>Skills!B10</f>
        <v/>
      </c>
      <c r="C3201">
        <f>Inputs!$B$3&gt;=66</f>
        <v/>
      </c>
      <c r="D3201">
        <f>IF(Skills!C10=1,60+Inputs!$B$26+Inputs!$B$30,IF(Skills!C10=2,90+Inputs!$B$27+Inputs!$B$30,IF(Skills!C10=3,120+Inputs!$B$28+Inputs!$B$30,MAX(0,(Inputs!$B$3-100)*3)+Inputs!$B$29+Inputs!$B$30)))</f>
        <v/>
      </c>
      <c r="E3201">
        <f>INDEX(FactorTable!$B$2:$Y$301, MATCH(ROUND(MIN(300,MAX(1,D3201)),0), FactorTable!$A$2:$A$301,0), Skills!L10+1)</f>
        <v/>
      </c>
      <c r="F3201" t="n">
        <v>0</v>
      </c>
      <c r="G3201">
        <f>Calc!G10</f>
        <v/>
      </c>
      <c r="H3201">
        <f>Calc!H10</f>
        <v/>
      </c>
      <c r="I3201">
        <f>IF(Skills!T10&lt;&gt;"",1+(Skills!T10/10)*($Z$3/1000)/100,1)</f>
        <v/>
      </c>
      <c r="J3201" t="inlineStr"/>
      <c r="K3201" t="inlineStr"/>
      <c r="L3201" t="inlineStr"/>
      <c r="M3201" t="inlineStr"/>
      <c r="N3201" t="inlineStr"/>
      <c r="O3201">
        <f>(1-Summary!$B$11)*S3201+Summary!$B$11*U3201</f>
        <v/>
      </c>
      <c r="P3201">
        <f>IF(B3234=0,0,O3201/B3234)</f>
        <v/>
      </c>
      <c r="Q3201">
        <f>IFERROR(1/(IF(Inputs!$B$39="pvp",15,MAX(0.1,Skills!D10-IF(Skills!E10=TRUE,3.5,0)))*(1-IF(AND(ArtifactsInput!$M$27,Inputs!$B$4="Chapter Hunt"),CHOOSE(ArtifactsInput!$N$27+1,20,24,28,32,36,40),0)/100)),0)</f>
        <v/>
      </c>
      <c r="R3201">
        <f>IF(AND(Inputs!$B$39&lt;&gt;"pvp",Inputs!$B$44&gt;0),IF(MAX(0,Inputs!$B$44-B3231)&lt;=0,0,(INT(MAX(0,Inputs!$B$44-B3231)/(IF(Inputs!$B$39="pvp",15,MAX(0.1,Skills!D10-IF(Skills!E10=TRUE,3.5,0)))*(1-IF(AND(ArtifactsInput!$M$27,Inputs!$B$4="Chapter Hunt"),CHOOSE(ArtifactsInput!$N$27+1,20,24,28,32,36,40),0)/100)))+1)),0)</f>
        <v/>
      </c>
      <c r="S3201" t="n">
        <v>0</v>
      </c>
      <c r="U3201" t="n">
        <v>0</v>
      </c>
    </row>
    <row r="3202">
      <c r="A3202">
        <f>Skills!A11</f>
        <v/>
      </c>
      <c r="B3202">
        <f>Skills!B11</f>
        <v/>
      </c>
      <c r="C3202">
        <f>Inputs!$B$3&gt;=69</f>
        <v/>
      </c>
      <c r="D3202">
        <f>IF(Skills!C11=1,60+Inputs!$B$26+Inputs!$B$30,IF(Skills!C11=2,90+Inputs!$B$27+Inputs!$B$30,IF(Skills!C11=3,120+Inputs!$B$28+Inputs!$B$30,MAX(0,(Inputs!$B$3-100)*3)+Inputs!$B$29+Inputs!$B$30)))</f>
        <v/>
      </c>
      <c r="E3202">
        <f>INDEX(FactorTable!$B$2:$Y$301, MATCH(ROUND(MIN(300,MAX(1,D3202)),0), FactorTable!$A$2:$A$301,0), Skills!L11+1)</f>
        <v/>
      </c>
      <c r="F3202">
        <f>IF(Skills!M11=TRUE,(Skills!K11/10)*(E3202/1000),Skills!K11/10)+Skills!N11</f>
        <v/>
      </c>
      <c r="G3202">
        <f>Calc!G11</f>
        <v/>
      </c>
      <c r="H3202">
        <f>Calc!H11</f>
        <v/>
      </c>
      <c r="I3202">
        <f>IF(Skills!T11&lt;&gt;"",1+(Skills!T11/10)*($Z$3/1000)/100,1)</f>
        <v/>
      </c>
      <c r="J3202" t="inlineStr"/>
      <c r="K3202" t="inlineStr"/>
      <c r="L3202" t="inlineStr"/>
      <c r="M3202" t="inlineStr"/>
      <c r="N3202" t="inlineStr"/>
      <c r="O3202">
        <f>(1-Summary!$B$11)*S3202+Summary!$B$11*U3202</f>
        <v/>
      </c>
      <c r="P3202">
        <f>IF(B3234=0,0,O3202/B3234)</f>
        <v/>
      </c>
      <c r="Q3202">
        <f>IFERROR(1/(IF(Inputs!$B$39="pvp",15,MAX(0.1,Skills!D11-IF(Skills!E11=TRUE,3.5,0)))*(1-IF(AND(ArtifactsInput!$M$27,Inputs!$B$4="Chapter Hunt"),CHOOSE(ArtifactsInput!$N$27+1,20,24,28,32,36,40),0)/100)),0)</f>
        <v/>
      </c>
      <c r="R3202">
        <f>IF(AND(Inputs!$B$39&lt;&gt;"pvp",Inputs!$B$44&gt;0),IF(Inputs!$B$44&lt;=0,0,(INT(Inputs!$B$44/(IF(Inputs!$B$39="pvp",15,MAX(0.1,Skills!D11-IF(Skills!E11=TRUE,3.5,0)))*(1-IF(AND(ArtifactsInput!$M$27,Inputs!$B$4="Chapter Hunt"),CHOOSE(ArtifactsInput!$N$27+1,20,24,28,32,36,40),0)/100)))+1)),0)</f>
        <v/>
      </c>
      <c r="S3202" t="n">
        <v>0</v>
      </c>
      <c r="U3202" t="n">
        <v>0</v>
      </c>
    </row>
    <row r="3203">
      <c r="A3203">
        <f>Skills!A12</f>
        <v/>
      </c>
      <c r="B3203">
        <f>Skills!B12</f>
        <v/>
      </c>
      <c r="C3203">
        <f>Inputs!$B$3&gt;=72</f>
        <v/>
      </c>
      <c r="D3203">
        <f>IF(Skills!C12=1,60+Inputs!$B$26+Inputs!$B$30,IF(Skills!C12=2,90+Inputs!$B$27+Inputs!$B$30,IF(Skills!C12=3,120+Inputs!$B$28+Inputs!$B$30,MAX(0,(Inputs!$B$3-100)*3)+Inputs!$B$29+Inputs!$B$30)))</f>
        <v/>
      </c>
      <c r="E3203">
        <f>INDEX(FactorTable!$B$2:$Y$301, MATCH(ROUND(MIN(300,MAX(1,D3203)),0), FactorTable!$A$2:$A$301,0), Skills!L12+1)</f>
        <v/>
      </c>
      <c r="F3203">
        <f>IF(Skills!M12=TRUE,(Skills!K12/10)*(E3203/1000),Skills!K12/10)+Skills!N12</f>
        <v/>
      </c>
      <c r="G3203">
        <f>Calc!G12</f>
        <v/>
      </c>
      <c r="H3203">
        <f>Calc!H12</f>
        <v/>
      </c>
      <c r="I3203">
        <f>IF(Skills!T12&lt;&gt;"",1+(Skills!T12/10)*($Z$3/1000)/100,1)</f>
        <v/>
      </c>
      <c r="J3203" t="inlineStr"/>
      <c r="K3203" t="inlineStr"/>
      <c r="L3203" t="inlineStr"/>
      <c r="M3203" t="inlineStr"/>
      <c r="N3203" t="inlineStr"/>
      <c r="O3203">
        <f>(1-Summary!$B$11)*S3203+Summary!$B$11*U3203</f>
        <v/>
      </c>
      <c r="P3203">
        <f>IF(B3234=0,0,O3203/B3234)</f>
        <v/>
      </c>
      <c r="Q3203">
        <f>IFERROR(1/(IF(Inputs!$B$39="pvp",15,MAX(0.1,Skills!D12-IF(Skills!E12=TRUE,3.5,0)))*(1-IF(AND(ArtifactsInput!$M$27,Inputs!$B$4="Chapter Hunt"),CHOOSE(ArtifactsInput!$N$27+1,20,24,28,32,36,40),0)/100)),0)</f>
        <v/>
      </c>
      <c r="R3203">
        <f>IF(AND(Inputs!$B$39&lt;&gt;"pvp",Inputs!$B$44&gt;0),IF(MAX(0,Inputs!$B$44-B3231)&lt;=0,0,(INT(MAX(0,Inputs!$B$44-B3231)/(IF(Inputs!$B$39="pvp",15,MAX(0.1,Skills!D12-IF(Skills!E12=TRUE,3.5,0)))*(1-IF(AND(ArtifactsInput!$M$27,Inputs!$B$4="Chapter Hunt"),CHOOSE(ArtifactsInput!$N$27+1,20,24,28,32,36,40),0)/100)))+1)),0)</f>
        <v/>
      </c>
      <c r="S3203" t="n">
        <v>0</v>
      </c>
      <c r="U3203" t="n">
        <v>0</v>
      </c>
    </row>
    <row r="3204">
      <c r="A3204">
        <f>Skills!A13</f>
        <v/>
      </c>
      <c r="B3204">
        <f>Skills!B13</f>
        <v/>
      </c>
      <c r="C3204">
        <f>Inputs!$B$3&gt;=60</f>
        <v/>
      </c>
      <c r="D3204">
        <f>IF(Skills!C13=1,60+Inputs!$B$26+Inputs!$B$30,IF(Skills!C13=2,90+Inputs!$B$27+Inputs!$B$30,IF(Skills!C13=3,120+Inputs!$B$28+Inputs!$B$30,MAX(0,(Inputs!$B$3-100)*3)+Inputs!$B$29+Inputs!$B$30)))</f>
        <v/>
      </c>
      <c r="E3204">
        <f>INDEX(FactorTable!$B$2:$Y$301, MATCH(ROUND(MIN(300,MAX(1,D3204)),0), FactorTable!$A$2:$A$301,0), Skills!L13+1)</f>
        <v/>
      </c>
      <c r="F3204">
        <f>IF(Skills!M13=TRUE,(Skills!K13/10)*(E3204/1000),Skills!K13/10)+Skills!N13</f>
        <v/>
      </c>
      <c r="G3204">
        <f>Calc!G13</f>
        <v/>
      </c>
      <c r="H3204">
        <f>Calc!H13</f>
        <v/>
      </c>
      <c r="I3204">
        <f>IF(Skills!T13&lt;&gt;"",1+(Skills!T13/10)*($Z$3/1000)/100,1)</f>
        <v/>
      </c>
      <c r="J3204" t="inlineStr"/>
      <c r="K3204" t="inlineStr"/>
      <c r="L3204" t="inlineStr"/>
      <c r="M3204" t="inlineStr"/>
      <c r="N3204" t="inlineStr"/>
      <c r="O3204">
        <f>(1-Summary!$B$11)*S3204+Summary!$B$11*U3204</f>
        <v/>
      </c>
      <c r="P3204">
        <f>IF(B3234=0,0,O3204/B3234)</f>
        <v/>
      </c>
      <c r="Q3204">
        <f>IFERROR(1/(IF(Inputs!$B$39="pvp",15,MAX(0.1,Skills!D13-IF(Skills!E13=TRUE,3.5,0)))*(1-IF(AND(ArtifactsInput!$M$27,Inputs!$B$4="Chapter Hunt"),CHOOSE(ArtifactsInput!$N$27+1,20,24,28,32,36,40),0)/100)),0)</f>
        <v/>
      </c>
      <c r="R3204">
        <f>IF(AND(Inputs!$B$39&lt;&gt;"pvp",Inputs!$B$44&gt;0),IF(MAX(0,Inputs!$B$44-B3231)&lt;=0,0,(INT(MAX(0,Inputs!$B$44-B3231)/(IF(Inputs!$B$39="pvp",15,MAX(0.1,Skills!D13-IF(Skills!E13=TRUE,3.5,0)))*(1-IF(AND(ArtifactsInput!$M$27,Inputs!$B$4="Chapter Hunt"),CHOOSE(ArtifactsInput!$N$27+1,20,24,28,32,36,40),0)/100)))+1)),0)</f>
        <v/>
      </c>
      <c r="S3204" t="n">
        <v>0</v>
      </c>
      <c r="U3204" t="n">
        <v>0</v>
      </c>
    </row>
    <row r="3205">
      <c r="A3205">
        <f>Skills!A14</f>
        <v/>
      </c>
      <c r="B3205">
        <f>Skills!B14</f>
        <v/>
      </c>
      <c r="C3205">
        <f>Inputs!$B$3&gt;=107</f>
        <v/>
      </c>
      <c r="D3205">
        <f>IF(Skills!C14=1,60+Inputs!$B$26+Inputs!$B$30,IF(Skills!C14=2,90+Inputs!$B$27+Inputs!$B$30,IF(Skills!C14=3,120+Inputs!$B$28+Inputs!$B$30,MAX(0,(Inputs!$B$3-100)*3)+Inputs!$B$29+Inputs!$B$30)))</f>
        <v/>
      </c>
      <c r="E3205">
        <f>INDEX(FactorTable!$B$2:$Y$301, MATCH(ROUND(MIN(300,MAX(1,D3205)),0), FactorTable!$A$2:$A$301,0), Skills!L14+1)</f>
        <v/>
      </c>
      <c r="F3205">
        <f>IF(Skills!M14=TRUE,(Skills!K14/10)*(E3205/1000),Skills!K14/10)+Skills!N14</f>
        <v/>
      </c>
      <c r="G3205">
        <f>Calc!G14</f>
        <v/>
      </c>
      <c r="H3205">
        <f>Calc!H14</f>
        <v/>
      </c>
      <c r="I3205">
        <f>IF(Skills!T14&lt;&gt;"",1+(Skills!T14/10)*($Z$3/1000)/100,1)</f>
        <v/>
      </c>
      <c r="J3205" t="inlineStr"/>
      <c r="K3205" t="inlineStr"/>
      <c r="L3205" t="inlineStr"/>
      <c r="M3205" t="inlineStr"/>
      <c r="N3205" t="inlineStr"/>
      <c r="O3205">
        <f>(1-Summary!$B$11)*S3205+Summary!$B$11*U3205</f>
        <v/>
      </c>
      <c r="P3205">
        <f>IF(B3234=0,0,O3205/B3234)</f>
        <v/>
      </c>
      <c r="Q3205">
        <f>IFERROR(1/(IF(Inputs!$B$39="pvp",15,MAX(0.1,Skills!D14-IF(Skills!E14=TRUE,3.5,0)))*(1-IF(AND(ArtifactsInput!$M$27,Inputs!$B$4="Chapter Hunt"),CHOOSE(ArtifactsInput!$N$27+1,20,24,28,32,36,40),0)/100)),0)</f>
        <v/>
      </c>
      <c r="R3205">
        <f>IF(AND(Inputs!$B$39&lt;&gt;"pvp",Inputs!$B$44&gt;0),IF(Inputs!$B$44&lt;=0,0,(INT(Inputs!$B$44/(IF(Inputs!$B$39="pvp",15,MAX(0.1,Skills!D14-IF(Skills!E14=TRUE,3.5,0)))*(1-IF(AND(ArtifactsInput!$M$27,Inputs!$B$4="Chapter Hunt"),CHOOSE(ArtifactsInput!$N$27+1,20,24,28,32,36,40),0)/100)))+1)),0)</f>
        <v/>
      </c>
      <c r="S3205" t="n">
        <v>0</v>
      </c>
      <c r="U3205" t="n">
        <v>0</v>
      </c>
    </row>
    <row r="3206">
      <c r="A3206">
        <f>Skills!A15</f>
        <v/>
      </c>
      <c r="B3206">
        <f>Skills!B15</f>
        <v/>
      </c>
      <c r="C3206">
        <f>Inputs!$B$3&gt;=63</f>
        <v/>
      </c>
      <c r="D3206">
        <f>IF(Skills!C15=1,60+Inputs!$B$26+Inputs!$B$30,IF(Skills!C15=2,90+Inputs!$B$27+Inputs!$B$30,IF(Skills!C15=3,120+Inputs!$B$28+Inputs!$B$30,MAX(0,(Inputs!$B$3-100)*3)+Inputs!$B$29+Inputs!$B$30)))</f>
        <v/>
      </c>
      <c r="E3206">
        <f>INDEX(FactorTable!$B$2:$Y$301, MATCH(ROUND(MIN(300,MAX(1,D3206)),0), FactorTable!$A$2:$A$301,0), Skills!L15+1)</f>
        <v/>
      </c>
      <c r="F3206">
        <f>IF(Skills!M15=TRUE,(Skills!K15/10)*(E3206/1000),Skills!K15/10)+Skills!N15</f>
        <v/>
      </c>
      <c r="G3206">
        <f>Calc!G15</f>
        <v/>
      </c>
      <c r="H3206">
        <f>Calc!H15</f>
        <v/>
      </c>
      <c r="I3206">
        <f>IF(Skills!T15&lt;&gt;"",1+(Skills!T15/10)*($Z$3/1000)/100,1)</f>
        <v/>
      </c>
      <c r="J3206">
        <f>((Inputs!$B$6*(1+Inputs!$B$7/100))+(((Inputs!$B$13*(1+Inputs!$B$14/100))-(Inputs!$B$13*(1+Inputs!$B$14/100)))+0.25*(Inputs!$B$15-Inputs!$B$15))*(1+Inputs!$B$7/100))*(F3206/100)</f>
        <v/>
      </c>
      <c r="K3206">
        <f>J3206*(1+(((Inputs!$B$13+IF(Inputs!$B$3&gt;=35,(10*INDEX(FactorTable!$B$2:$Y$301,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15="TRIUMPH_FEATHER",IF(C3207=TRUE,F3207,0),0)/100)*(1+IF(C3218=TRUE,F3218,0)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3206)</f>
        <v/>
      </c>
      <c r="L3206">
        <f>K3206*(MIN(Inputs!$B$23+(F3213-Calc!F22),(Inputs!$B$24+IF(ArtifactsInput!$M$15,CHOOSE(ArtifactsInput!$N$15+1,25,30,35,40,45,50)/100*(Inputs!$B$12-Inputs!$B$12),0)))/100+(Inputs!$B$24+IF(ArtifactsInput!$M$15,CHOOSE(ArtifactsInput!$N$15+1,25,30,35,40,45,50)/100*(Inputs!$B$12-Inputs!$B$12),0))/100)/2</f>
        <v/>
      </c>
      <c r="M3206">
        <f>L3206*(1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6">
        <f>L3206*(1-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3206*(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6">
        <f>(1-Summary!$B$11)*S3206+Summary!$B$11*U3206</f>
        <v/>
      </c>
      <c r="P3206">
        <f>IF(B3234=0,0,O3206/B3234)</f>
        <v/>
      </c>
      <c r="Q3206">
        <f>IFERROR(1/(IF(Inputs!$B$39="pvp",15,MAX(0.1,Skills!D15-IF(Skills!E15=TRUE,3.5,0)))*(1-IF(AND(ArtifactsInput!$M$27,Inputs!$B$4="Chapter Hunt"),CHOOSE(ArtifactsInput!$N$27+1,20,24,28,32,36,40),0)/100)),0)</f>
        <v/>
      </c>
      <c r="R3206" t="n">
        <v>0</v>
      </c>
      <c r="S3206">
        <f>IF(C3206,(Skills!F15*N3206*((IF(Inputs!$B$3&gt;=78,25,15)/100*B3227*10)/(1+IF(Inputs!$B$3&gt;=78,25,15)/100*B3227*10))*(Skills!I15/100*B3227)/(1+Skills!G15*Skills!I15/100*B3227))*IF(Inputs!$B$39="pvp",1,1+(Inputs!$B$21+Skills!O15+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3206*(1-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3206*(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3206*(1-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3206*(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6">
        <f>IF(C3206,(Skills!F15*N3206*((IF(Inputs!$B$3&gt;=78,25,15)/100*B3227*10)/(1+IF(Inputs!$B$3&gt;=78,25,15)/100*B3227*10))*(Skills!I15/100*B3227)/(1+Skills!G15*Skills!I15/100*B3227))*IF(Inputs!$B$39="pvp",1,(1+(Inputs!$B$22+Skills!P15+B3223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7">
      <c r="A3207">
        <f>Skills!A16</f>
        <v/>
      </c>
      <c r="B3207">
        <f>Skills!B16</f>
        <v/>
      </c>
      <c r="C3207">
        <f>Inputs!$B$3&gt;=100</f>
        <v/>
      </c>
      <c r="D3207">
        <f>IF(Skills!C16=1,60+Inputs!$B$26+Inputs!$B$30,IF(Skills!C16=2,90+Inputs!$B$27+Inputs!$B$30,IF(Skills!C16=3,120+Inputs!$B$28+Inputs!$B$30,MAX(0,(Inputs!$B$3-100)*3)+Inputs!$B$29+Inputs!$B$30)))</f>
        <v/>
      </c>
      <c r="E3207">
        <f>INDEX(FactorTable!$B$2:$Y$301, MATCH(ROUND(MIN(300,MAX(1,D3207)),0), FactorTable!$A$2:$A$301,0), Skills!L16+1)</f>
        <v/>
      </c>
      <c r="F3207">
        <f>IF(Skills!M16=TRUE,(Skills!K16/10)*(E3207/1000),Skills!K16/10)+Skills!N16</f>
        <v/>
      </c>
      <c r="G3207">
        <f>Calc!G16</f>
        <v/>
      </c>
      <c r="H3207">
        <f>Calc!H16</f>
        <v/>
      </c>
      <c r="I3207">
        <f>IF(Skills!T16&lt;&gt;"",1+(Skills!T16/10)*($Z$3/1000)/100,1)</f>
        <v/>
      </c>
      <c r="J3207" t="inlineStr"/>
      <c r="K3207" t="inlineStr"/>
      <c r="L3207" t="inlineStr"/>
      <c r="M3207" t="inlineStr"/>
      <c r="N3207" t="inlineStr"/>
      <c r="O3207">
        <f>(1-Summary!$B$11)*S3207+Summary!$B$11*U3207</f>
        <v/>
      </c>
      <c r="P3207">
        <f>IF(B3234=0,0,O3207/B3234)</f>
        <v/>
      </c>
      <c r="Q3207">
        <f>IFERROR(1/(IF(Inputs!$B$39="pvp",15,MAX(0.1,Skills!D16-IF(Skills!E16=TRUE,3.5,0)))*(1-IF(AND(ArtifactsInput!$M$27,Inputs!$B$4="Chapter Hunt"),CHOOSE(ArtifactsInput!$N$27+1,20,24,28,32,36,40),0)/100)),0)</f>
        <v/>
      </c>
      <c r="R3207" t="n">
        <v>0</v>
      </c>
      <c r="S3207" t="n">
        <v>0</v>
      </c>
      <c r="U3207" t="n">
        <v>0</v>
      </c>
    </row>
    <row r="3208">
      <c r="A3208">
        <f>Skills!A17</f>
        <v/>
      </c>
      <c r="B3208">
        <f>Skills!B17</f>
        <v/>
      </c>
      <c r="C3208">
        <f>Inputs!$B$3&gt;=49</f>
        <v/>
      </c>
      <c r="D3208">
        <f>IF(Skills!C17=1,60+Inputs!$B$26+Inputs!$B$30,IF(Skills!C17=2,90+Inputs!$B$27+Inputs!$B$30,IF(Skills!C17=3,120+Inputs!$B$28+Inputs!$B$30,MAX(0,(Inputs!$B$3-100)*3)+Inputs!$B$29+Inputs!$B$30)))</f>
        <v/>
      </c>
      <c r="E3208">
        <f>INDEX(FactorTable!$B$2:$Y$301, MATCH(ROUND(MIN(300,MAX(1,D3208)),0), FactorTable!$A$2:$A$301,0), Skills!L17+1)</f>
        <v/>
      </c>
      <c r="F3208">
        <f>IF(Skills!M17=TRUE,(Skills!K17/10)*(E3208/1000),Skills!K17/10)+Skills!N17</f>
        <v/>
      </c>
      <c r="G3208">
        <f>Calc!G17</f>
        <v/>
      </c>
      <c r="H3208">
        <f>Calc!H17</f>
        <v/>
      </c>
      <c r="I3208">
        <f>IF(Skills!T17&lt;&gt;"",1+(Skills!T17/10)*($Z$3/1000)/100,1)</f>
        <v/>
      </c>
      <c r="J3208" t="inlineStr"/>
      <c r="K3208" t="inlineStr"/>
      <c r="L3208" t="inlineStr"/>
      <c r="M3208" t="inlineStr"/>
      <c r="N3208" t="inlineStr"/>
      <c r="O3208">
        <f>(1-Summary!$B$11)*S3208+Summary!$B$11*U3208</f>
        <v/>
      </c>
      <c r="P3208">
        <f>IF(B3234=0,0,O3208/B3234)</f>
        <v/>
      </c>
      <c r="Q3208">
        <f>IFERROR(1/(IF(Inputs!$B$39="pvp",15,MAX(0.1,Skills!D17-IF(Skills!E17=TRUE,3.5,0)))*(1-IF(AND(ArtifactsInput!$M$27,Inputs!$B$4="Chapter Hunt"),CHOOSE(ArtifactsInput!$N$27+1,20,24,28,32,36,40),0)/100)),0)</f>
        <v/>
      </c>
      <c r="R3208" t="n">
        <v>0</v>
      </c>
      <c r="S3208" t="n">
        <v>0</v>
      </c>
      <c r="U3208" t="n">
        <v>0</v>
      </c>
    </row>
    <row r="3209">
      <c r="A3209">
        <f>Skills!A18</f>
        <v/>
      </c>
      <c r="B3209">
        <f>Skills!B18</f>
        <v/>
      </c>
      <c r="C3209">
        <f>Inputs!$B$3&gt;=75</f>
        <v/>
      </c>
      <c r="D3209">
        <f>IF(Skills!C18=1,60+Inputs!$B$26+Inputs!$B$30,IF(Skills!C18=2,90+Inputs!$B$27+Inputs!$B$30,IF(Skills!C18=3,120+Inputs!$B$28+Inputs!$B$30,MAX(0,(Inputs!$B$3-100)*3)+Inputs!$B$29+Inputs!$B$30)))</f>
        <v/>
      </c>
      <c r="E3209">
        <f>INDEX(FactorTable!$B$2:$Y$301, MATCH(ROUND(MIN(300,MAX(1,D3209)),0), FactorTable!$A$2:$A$301,0), Skills!L18+1)</f>
        <v/>
      </c>
      <c r="F3209">
        <f>IF(Skills!M18=TRUE,(Skills!K18/10)*(E3209/1000),Skills!K18/10)+Skills!N18</f>
        <v/>
      </c>
      <c r="G3209">
        <f>Calc!G18</f>
        <v/>
      </c>
      <c r="H3209">
        <f>Calc!H18</f>
        <v/>
      </c>
      <c r="I3209">
        <f>IF(Skills!T18&lt;&gt;"",1+(Skills!T18/10)*($Z$3/1000)/100,1)</f>
        <v/>
      </c>
      <c r="J3209" t="inlineStr"/>
      <c r="K3209" t="inlineStr"/>
      <c r="L3209" t="inlineStr"/>
      <c r="M3209" t="inlineStr"/>
      <c r="N3209" t="inlineStr"/>
      <c r="O3209">
        <f>(1-Summary!$B$11)*S3209+Summary!$B$11*U3209</f>
        <v/>
      </c>
      <c r="P3209">
        <f>IF(B3234=0,0,O3209/B3234)</f>
        <v/>
      </c>
      <c r="Q3209">
        <f>IFERROR(1/(IF(Inputs!$B$39="pvp",15,MAX(0.1,Skills!D18-IF(Skills!E18=TRUE,3.5,0)))*(1-IF(AND(ArtifactsInput!$M$27,Inputs!$B$4="Chapter Hunt"),CHOOSE(ArtifactsInput!$N$27+1,20,24,28,32,36,40),0)/100)),0)</f>
        <v/>
      </c>
      <c r="R3209" t="n">
        <v>0</v>
      </c>
      <c r="S3209" t="n">
        <v>0</v>
      </c>
      <c r="U3209" t="n">
        <v>0</v>
      </c>
    </row>
    <row r="3210">
      <c r="A3210">
        <f>Skills!A19</f>
        <v/>
      </c>
      <c r="B3210">
        <f>Skills!B19</f>
        <v/>
      </c>
      <c r="C3210">
        <f>Inputs!$B$3&gt;=110</f>
        <v/>
      </c>
      <c r="D3210">
        <f>IF(Skills!C19=1,60+Inputs!$B$26+Inputs!$B$30,IF(Skills!C19=2,90+Inputs!$B$27+Inputs!$B$30,IF(Skills!C19=3,120+Inputs!$B$28+Inputs!$B$30,MAX(0,(Inputs!$B$3-100)*3)+Inputs!$B$29+Inputs!$B$30)))</f>
        <v/>
      </c>
      <c r="E3210">
        <f>INDEX(FactorTable!$B$2:$Y$301, MATCH(ROUND(MIN(300,MAX(1,D3210)),0), FactorTable!$A$2:$A$301,0), Skills!L19+1)</f>
        <v/>
      </c>
      <c r="F3210">
        <f>(Skills!K19/10)*(E3210/1000)*64/45+Skills!N19</f>
        <v/>
      </c>
      <c r="G3210">
        <f>Calc!G19</f>
        <v/>
      </c>
      <c r="H3210">
        <f>Calc!H19</f>
        <v/>
      </c>
      <c r="I3210">
        <f>IF(Skills!T19&lt;&gt;"",1+(Skills!T19/10)*($Z$3/1000)/100,1)</f>
        <v/>
      </c>
      <c r="J3210" t="inlineStr"/>
      <c r="K3210" t="inlineStr"/>
      <c r="L3210" t="inlineStr"/>
      <c r="M3210" t="inlineStr"/>
      <c r="N3210" t="inlineStr"/>
      <c r="O3210">
        <f>(1-Summary!$B$11)*S3210+Summary!$B$11*U3210</f>
        <v/>
      </c>
      <c r="P3210">
        <f>IF(B3234=0,0,O3210/B3234)</f>
        <v/>
      </c>
      <c r="Q3210">
        <f>IFERROR(1/(IF(Inputs!$B$39="pvp",15,MAX(0.1,Skills!D19-IF(Skills!E19=TRUE,3.5,0)))*(1-IF(AND(ArtifactsInput!$M$27,Inputs!$B$4="Chapter Hunt"),CHOOSE(ArtifactsInput!$N$27+1,20,24,28,32,36,40),0)/100)),0)</f>
        <v/>
      </c>
      <c r="R3210">
        <f>IF(AND(Inputs!$B$39&lt;&gt;"pvp",Inputs!$B$44&gt;0),IF(Inputs!$B$44&lt;=0,0,(INT(Inputs!$B$44/(IF(Inputs!$B$39="pvp",15,MAX(0.1,Skills!D19-IF(Skills!E19=TRUE,3.5,0)))*(1-IF(AND(ArtifactsInput!$M$27,Inputs!$B$4="Chapter Hunt"),CHOOSE(ArtifactsInput!$N$27+1,20,24,28,32,36,40),0)/100)))+1)),0)</f>
        <v/>
      </c>
      <c r="S3210" t="n">
        <v>0</v>
      </c>
      <c r="U3210" t="n">
        <v>0</v>
      </c>
    </row>
    <row r="3211">
      <c r="A3211">
        <f>Skills!A20</f>
        <v/>
      </c>
      <c r="B3211">
        <f>Skills!B20</f>
        <v/>
      </c>
      <c r="C3211">
        <f>Inputs!$B$3&gt;=125</f>
        <v/>
      </c>
      <c r="D3211">
        <f>IF(Skills!C20=1,60+Inputs!$B$26+Inputs!$B$30,IF(Skills!C20=2,90+Inputs!$B$27+Inputs!$B$30,IF(Skills!C20=3,120+Inputs!$B$28+Inputs!$B$30,MAX(0,(Inputs!$B$3-100)*3)+Inputs!$B$29+Inputs!$B$30)))</f>
        <v/>
      </c>
      <c r="E3211">
        <f>INDEX(FactorTable!$B$2:$Y$301, MATCH(ROUND(MIN(300,MAX(1,D3211)),0), FactorTable!$A$2:$A$301,0), Skills!L20+1)</f>
        <v/>
      </c>
      <c r="F3211">
        <f>IF(Skills!M20=TRUE,(Skills!K20/10)*(E3211/1000),Skills!K20/10)+Skills!N20</f>
        <v/>
      </c>
      <c r="G3211">
        <f>Calc!G20</f>
        <v/>
      </c>
      <c r="H3211">
        <f>Calc!H20</f>
        <v/>
      </c>
      <c r="I3211">
        <f>IF(Skills!T20&lt;&gt;"",1+(Skills!T20/10)*($Z$3/1000)/100,1)</f>
        <v/>
      </c>
      <c r="J3211" t="inlineStr"/>
      <c r="K3211" t="inlineStr"/>
      <c r="L3211" t="inlineStr"/>
      <c r="M3211" t="inlineStr"/>
      <c r="N3211" t="inlineStr"/>
      <c r="O3211">
        <f>(1-Summary!$B$11)*S3211+Summary!$B$11*U3211</f>
        <v/>
      </c>
      <c r="P3211">
        <f>IF(B3234=0,0,O3211/B3234)</f>
        <v/>
      </c>
      <c r="Q3211">
        <f>IFERROR(1/(IF(Inputs!$B$39="pvp",15,MAX(0.1,Skills!D20-IF(Skills!E20=TRUE,3.5,0)))*(1-IF(AND(ArtifactsInput!$M$27,Inputs!$B$4="Chapter Hunt"),CHOOSE(ArtifactsInput!$N$27+1,20,24,28,32,36,40),0)/100)),0)</f>
        <v/>
      </c>
      <c r="R3211" t="n">
        <v>0</v>
      </c>
      <c r="S3211" t="n">
        <v>0</v>
      </c>
      <c r="U3211" t="n">
        <v>0</v>
      </c>
    </row>
    <row r="3212">
      <c r="A3212">
        <f>Skills!A21</f>
        <v/>
      </c>
      <c r="B3212">
        <f>Skills!B21</f>
        <v/>
      </c>
      <c r="C3212">
        <f>Inputs!$B$3&gt;=33</f>
        <v/>
      </c>
      <c r="D3212">
        <f>IF(Skills!C21=1,60+Inputs!$B$26+Inputs!$B$30,IF(Skills!C21=2,90+Inputs!$B$27+Inputs!$B$30,IF(Skills!C21=3,120+Inputs!$B$28+Inputs!$B$30,MAX(0,(Inputs!$B$3-100)*3)+Inputs!$B$29+Inputs!$B$30)))</f>
        <v/>
      </c>
      <c r="E3212">
        <f>INDEX(FactorTable!$B$2:$Y$301, MATCH(ROUND(MIN(300,MAX(1,D3212)),0), FactorTable!$A$2:$A$301,0), Skills!L21+1)</f>
        <v/>
      </c>
      <c r="F3212">
        <f>IF(Skills!M21=TRUE,(Skills!K21/10)*(E3212/1000),Skills!K21/10)+Skills!N21</f>
        <v/>
      </c>
      <c r="G3212">
        <f>Calc!G21</f>
        <v/>
      </c>
      <c r="H3212">
        <f>Calc!H21</f>
        <v/>
      </c>
      <c r="I3212">
        <f>IF(Skills!T21&lt;&gt;"",1+(Skills!T21/10)*($Z$3/1000)/100,1)</f>
        <v/>
      </c>
      <c r="J3212" t="inlineStr"/>
      <c r="K3212" t="inlineStr"/>
      <c r="L3212" t="inlineStr"/>
      <c r="M3212" t="inlineStr"/>
      <c r="N3212" t="inlineStr"/>
      <c r="O3212">
        <f>(1-Summary!$B$11)*S3212+Summary!$B$11*U3212</f>
        <v/>
      </c>
      <c r="P3212">
        <f>IF(B3234=0,0,O3212/B3234)</f>
        <v/>
      </c>
      <c r="Q3212">
        <f>IFERROR(1/(IF(Inputs!$B$39="pvp",15,MAX(0.1,Skills!D21-IF(Skills!E21=TRUE,3.5,0)))*(1-IF(AND(ArtifactsInput!$M$27,Inputs!$B$4="Chapter Hunt"),CHOOSE(ArtifactsInput!$N$27+1,20,24,28,32,36,40),0)/100)),0)</f>
        <v/>
      </c>
      <c r="R3212" t="n">
        <v>0</v>
      </c>
      <c r="S3212" t="n">
        <v>0</v>
      </c>
      <c r="U3212" t="n">
        <v>0</v>
      </c>
    </row>
    <row r="3213">
      <c r="A3213">
        <f>Skills!A22</f>
        <v/>
      </c>
      <c r="B3213">
        <f>Skills!B22</f>
        <v/>
      </c>
      <c r="C3213">
        <f>Inputs!$B$3&gt;=43</f>
        <v/>
      </c>
      <c r="D3213">
        <f>IF(Skills!C22=1,60+Inputs!$B$26+Inputs!$B$30,IF(Skills!C22=2,90+Inputs!$B$27+Inputs!$B$30,IF(Skills!C22=3,120+Inputs!$B$28+Inputs!$B$30,MAX(0,(Inputs!$B$3-100)*3)+Inputs!$B$29+Inputs!$B$30)))</f>
        <v/>
      </c>
      <c r="E3213">
        <f>INDEX(FactorTable!$B$2:$Y$301, MATCH(ROUND(MIN(300,MAX(1,D3213)),0), FactorTable!$A$2:$A$301,0), Skills!L22+1)</f>
        <v/>
      </c>
      <c r="F3213">
        <f>IF(Skills!M22=TRUE,(Skills!K22/10)*(E3213/1000),Skills!K22/10)+Skills!N22</f>
        <v/>
      </c>
      <c r="G3213">
        <f>Calc!G22</f>
        <v/>
      </c>
      <c r="H3213">
        <f>Calc!H22</f>
        <v/>
      </c>
      <c r="I3213">
        <f>IF(Skills!T22&lt;&gt;"",1+(Skills!T22/10)*($Z$3/1000)/100,1)</f>
        <v/>
      </c>
      <c r="J3213" t="inlineStr"/>
      <c r="K3213" t="inlineStr"/>
      <c r="L3213" t="inlineStr"/>
      <c r="M3213" t="inlineStr"/>
      <c r="N3213" t="inlineStr"/>
      <c r="O3213">
        <f>(1-Summary!$B$11)*S3213+Summary!$B$11*U3213</f>
        <v/>
      </c>
      <c r="P3213">
        <f>IF(B3234=0,0,O3213/B3234)</f>
        <v/>
      </c>
      <c r="Q3213">
        <f>IFERROR(1/(IF(Inputs!$B$39="pvp",15,MAX(0.1,Skills!D22-IF(Skills!E22=TRUE,3.5,0)))*(1-IF(AND(ArtifactsInput!$M$27,Inputs!$B$4="Chapter Hunt"),CHOOSE(ArtifactsInput!$N$27+1,20,24,28,32,36,40),0)/100)),0)</f>
        <v/>
      </c>
      <c r="R3213" t="n">
        <v>0</v>
      </c>
      <c r="S3213" t="n">
        <v>0</v>
      </c>
      <c r="U3213" t="n">
        <v>0</v>
      </c>
    </row>
    <row r="3214">
      <c r="A3214">
        <f>Skills!A23</f>
        <v/>
      </c>
      <c r="B3214">
        <f>Skills!B23</f>
        <v/>
      </c>
      <c r="C3214">
        <f>Inputs!$B$3&gt;=50</f>
        <v/>
      </c>
      <c r="D3214">
        <f>IF(Skills!C23=1,60+Inputs!$B$26+Inputs!$B$30,IF(Skills!C23=2,90+Inputs!$B$27+Inputs!$B$30,IF(Skills!C23=3,120+Inputs!$B$28+Inputs!$B$30,MAX(0,(Inputs!$B$3-100)*3)+Inputs!$B$29+Inputs!$B$30)))</f>
        <v/>
      </c>
      <c r="E3214">
        <f>INDEX(FactorTable!$B$2:$Y$301, MATCH(ROUND(MIN(300,MAX(1,D3214)),0), FactorTable!$A$2:$A$301,0), Skills!L23+1)</f>
        <v/>
      </c>
      <c r="F3214">
        <f>IF(Skills!M23=TRUE,(Skills!K23/10)*(E3214/1000),Skills!K23/10)+Skills!N23</f>
        <v/>
      </c>
      <c r="G3214">
        <f>Calc!G23</f>
        <v/>
      </c>
      <c r="H3214">
        <f>Calc!H23</f>
        <v/>
      </c>
      <c r="I3214">
        <f>IF(Skills!T23&lt;&gt;"",1+(Skills!T23/10)*($Z$3/1000)/100,1)</f>
        <v/>
      </c>
      <c r="J3214" t="inlineStr"/>
      <c r="K3214" t="inlineStr"/>
      <c r="L3214" t="inlineStr"/>
      <c r="M3214" t="inlineStr"/>
      <c r="N3214" t="inlineStr"/>
      <c r="O3214">
        <f>(1-Summary!$B$11)*S3214+Summary!$B$11*U3214</f>
        <v/>
      </c>
      <c r="P3214">
        <f>IF(B3234=0,0,O3214/B3234)</f>
        <v/>
      </c>
      <c r="Q3214">
        <f>IFERROR(1/(IF(Inputs!$B$39="pvp",15,MAX(0.1,Skills!D23-IF(Skills!E23=TRUE,3.5,0)))*(1-IF(AND(ArtifactsInput!$M$27,Inputs!$B$4="Chapter Hunt"),CHOOSE(ArtifactsInput!$N$27+1,20,24,28,32,36,40),0)/100)),0)</f>
        <v/>
      </c>
      <c r="R3214" t="n">
        <v>0</v>
      </c>
      <c r="S3214" t="n">
        <v>0</v>
      </c>
      <c r="U3214" t="n">
        <v>0</v>
      </c>
    </row>
    <row r="3215">
      <c r="A3215">
        <f>Skills!A24</f>
        <v/>
      </c>
      <c r="B3215">
        <f>Skills!B24</f>
        <v/>
      </c>
      <c r="C3215">
        <f>Inputs!$B$3&gt;=74</f>
        <v/>
      </c>
      <c r="D3215">
        <f>IF(Skills!C24=1,60+Inputs!$B$26+Inputs!$B$30,IF(Skills!C24=2,90+Inputs!$B$27+Inputs!$B$30,IF(Skills!C24=3,120+Inputs!$B$28+Inputs!$B$30,MAX(0,(Inputs!$B$3-100)*3)+Inputs!$B$29+Inputs!$B$30)))</f>
        <v/>
      </c>
      <c r="E3215">
        <f>INDEX(FactorTable!$B$2:$Y$301, MATCH(ROUND(MIN(300,MAX(1,D3215)),0), FactorTable!$A$2:$A$301,0), Skills!L24+1)</f>
        <v/>
      </c>
      <c r="F3215">
        <f>IF(Skills!M24=TRUE,(Skills!K24/10)*(E3215/1000),Skills!K24/10)+Skills!N24</f>
        <v/>
      </c>
      <c r="G3215">
        <f>Calc!G24</f>
        <v/>
      </c>
      <c r="H3215">
        <f>Calc!H24</f>
        <v/>
      </c>
      <c r="I3215">
        <f>IF(Skills!T24&lt;&gt;"",1+(Skills!T24/10)*($Z$3/1000)/100,1)</f>
        <v/>
      </c>
      <c r="J3215" t="inlineStr"/>
      <c r="K3215" t="inlineStr"/>
      <c r="L3215" t="inlineStr"/>
      <c r="M3215" t="inlineStr"/>
      <c r="N3215" t="inlineStr"/>
      <c r="O3215">
        <f>(1-Summary!$B$11)*S3215+Summary!$B$11*U3215</f>
        <v/>
      </c>
      <c r="P3215">
        <f>IF(B3234=0,0,O3215/B3234)</f>
        <v/>
      </c>
      <c r="Q3215">
        <f>IFERROR(1/(IF(Inputs!$B$39="pvp",15,MAX(0.1,Skills!D24-IF(Skills!E24=TRUE,3.5,0)))*(1-IF(AND(ArtifactsInput!$M$27,Inputs!$B$4="Chapter Hunt"),CHOOSE(ArtifactsInput!$N$27+1,20,24,28,32,36,40),0)/100)),0)</f>
        <v/>
      </c>
      <c r="R3215" t="n">
        <v>0</v>
      </c>
      <c r="S3215" t="n">
        <v>0</v>
      </c>
      <c r="U3215" t="n">
        <v>0</v>
      </c>
    </row>
    <row r="3216">
      <c r="A3216">
        <f>Skills!A25</f>
        <v/>
      </c>
      <c r="B3216">
        <f>Skills!B25</f>
        <v/>
      </c>
      <c r="C3216">
        <f>Inputs!$B$3&gt;=74</f>
        <v/>
      </c>
      <c r="D3216">
        <f>IF(Skills!C25=1,60+Inputs!$B$26+Inputs!$B$30,IF(Skills!C25=2,90+Inputs!$B$27+Inputs!$B$30,IF(Skills!C25=3,120+Inputs!$B$28+Inputs!$B$30,MAX(0,(Inputs!$B$3-100)*3)+Inputs!$B$29+Inputs!$B$30)))</f>
        <v/>
      </c>
      <c r="E3216">
        <f>INDEX(FactorTable!$B$2:$Y$301, MATCH(ROUND(MIN(300,MAX(1,D3216)),0), FactorTable!$A$2:$A$301,0), Skills!L25+1)</f>
        <v/>
      </c>
      <c r="F3216">
        <f>IF(Skills!M25=TRUE,(Skills!K25/10)*(E3216/1000),Skills!K25/10)+Skills!N25</f>
        <v/>
      </c>
      <c r="G3216">
        <f>Calc!G25</f>
        <v/>
      </c>
      <c r="H3216">
        <f>Calc!H25</f>
        <v/>
      </c>
      <c r="I3216">
        <f>IF(Skills!T25&lt;&gt;"",1+(Skills!T25/10)*($Z$3/1000)/100,1)</f>
        <v/>
      </c>
      <c r="J3216" t="inlineStr"/>
      <c r="K3216" t="inlineStr"/>
      <c r="L3216" t="inlineStr"/>
      <c r="M3216" t="inlineStr"/>
      <c r="N3216" t="inlineStr"/>
      <c r="O3216">
        <f>(1-Summary!$B$11)*S3216+Summary!$B$11*U3216</f>
        <v/>
      </c>
      <c r="P3216">
        <f>IF(B3234=0,0,O3216/B3234)</f>
        <v/>
      </c>
      <c r="Q3216">
        <f>IFERROR(1/(IF(Inputs!$B$39="pvp",15,MAX(0.1,Skills!D25-IF(Skills!E25=TRUE,3.5,0)))*(1-IF(AND(ArtifactsInput!$M$27,Inputs!$B$4="Chapter Hunt"),CHOOSE(ArtifactsInput!$N$27+1,20,24,28,32,36,40),0)/100)),0)</f>
        <v/>
      </c>
      <c r="R3216" t="n">
        <v>0</v>
      </c>
      <c r="S3216" t="n">
        <v>0</v>
      </c>
      <c r="U3216" t="n">
        <v>0</v>
      </c>
    </row>
    <row r="3217">
      <c r="A3217">
        <f>Skills!A26</f>
        <v/>
      </c>
      <c r="B3217">
        <f>Skills!B26</f>
        <v/>
      </c>
      <c r="C3217">
        <f>Inputs!$B$3&gt;=117</f>
        <v/>
      </c>
      <c r="D3217">
        <f>IF(Skills!C26=1,60+Inputs!$B$26+Inputs!$B$30,IF(Skills!C26=2,90+Inputs!$B$27+Inputs!$B$30,IF(Skills!C26=3,120+Inputs!$B$28+Inputs!$B$30,MAX(0,(Inputs!$B$3-100)*3)+Inputs!$B$29+Inputs!$B$30)))</f>
        <v/>
      </c>
      <c r="E3217">
        <f>INDEX(FactorTable!$B$2:$Y$301, MATCH(ROUND(MIN(300,MAX(1,D3217)),0), FactorTable!$A$2:$A$301,0), Skills!L26+1)</f>
        <v/>
      </c>
      <c r="F3217">
        <f>IF(Skills!M26=TRUE,(Skills!K26/10)*(E3217/1000),Skills!K26/10)+Skills!N26</f>
        <v/>
      </c>
      <c r="G3217">
        <f>Calc!G26</f>
        <v/>
      </c>
      <c r="H3217">
        <f>Calc!H26</f>
        <v/>
      </c>
      <c r="I3217">
        <f>IF(Skills!T26&lt;&gt;"",1+(Skills!T26/10)*($Z$3/1000)/100,1)</f>
        <v/>
      </c>
      <c r="J3217" t="inlineStr"/>
      <c r="K3217" t="inlineStr"/>
      <c r="L3217" t="inlineStr"/>
      <c r="M3217" t="inlineStr"/>
      <c r="N3217" t="inlineStr"/>
      <c r="O3217">
        <f>(1-Summary!$B$11)*S3217+Summary!$B$11*U3217</f>
        <v/>
      </c>
      <c r="P3217">
        <f>IF(B3234=0,0,O3217/B3234)</f>
        <v/>
      </c>
      <c r="Q3217">
        <f>IFERROR(1/(IF(Inputs!$B$39="pvp",15,MAX(0.1,Skills!D26-IF(Skills!E26=TRUE,3.5,0)))*(1-IF(AND(ArtifactsInput!$M$27,Inputs!$B$4="Chapter Hunt"),CHOOSE(ArtifactsInput!$N$27+1,20,24,28,32,36,40),0)/100)),0)</f>
        <v/>
      </c>
      <c r="R3217" t="n">
        <v>0</v>
      </c>
      <c r="S3217" t="n">
        <v>0</v>
      </c>
      <c r="U3217" t="n">
        <v>0</v>
      </c>
    </row>
    <row r="3218">
      <c r="A3218">
        <f>Skills!A27</f>
        <v/>
      </c>
      <c r="B3218">
        <f>Skills!B27</f>
        <v/>
      </c>
      <c r="C3218">
        <f>Inputs!$B$3&gt;=120</f>
        <v/>
      </c>
      <c r="D3218">
        <f>IF(Skills!C27=1,60+Inputs!$B$26+Inputs!$B$30,IF(Skills!C27=2,90+Inputs!$B$27+Inputs!$B$30,IF(Skills!C27=3,120+Inputs!$B$28+Inputs!$B$30,MAX(0,(Inputs!$B$3-100)*3)+Inputs!$B$29+Inputs!$B$30)))</f>
        <v/>
      </c>
      <c r="E3218">
        <f>INDEX(FactorTable!$B$2:$Y$301, MATCH(ROUND(MIN(300,MAX(1,D3218)),0), FactorTable!$A$2:$A$301,0), Skills!L27+1)</f>
        <v/>
      </c>
      <c r="F3218">
        <f>IF(Skills!M27=TRUE,(Skills!K27/10)*(E3218/1000),Skills!K27/10)+Skills!N27</f>
        <v/>
      </c>
      <c r="G3218">
        <f>Calc!G27</f>
        <v/>
      </c>
      <c r="H3218">
        <f>Calc!H27</f>
        <v/>
      </c>
      <c r="I3218">
        <f>IF(Skills!T27&lt;&gt;"",1+(Skills!T27/10)*($Z$3/1000)/100,1)</f>
        <v/>
      </c>
      <c r="J3218" t="inlineStr"/>
      <c r="K3218" t="inlineStr"/>
      <c r="L3218" t="inlineStr"/>
      <c r="M3218" t="inlineStr"/>
      <c r="N3218" t="inlineStr"/>
      <c r="O3218">
        <f>(1-Summary!$B$11)*S3218+Summary!$B$11*U3218</f>
        <v/>
      </c>
      <c r="P3218">
        <f>IF(B3234=0,0,O3218/B3234)</f>
        <v/>
      </c>
      <c r="Q3218">
        <f>IFERROR(1/(IF(Inputs!$B$39="pvp",15,MAX(0.1,Skills!D27-IF(Skills!E27=TRUE,3.5,0)))*(1-IF(AND(ArtifactsInput!$M$27,Inputs!$B$4="Chapter Hunt"),CHOOSE(ArtifactsInput!$N$27+1,20,24,28,32,36,40),0)/100)),0)</f>
        <v/>
      </c>
      <c r="R3218" t="n">
        <v>0</v>
      </c>
      <c r="S3218" t="n">
        <v>0</v>
      </c>
      <c r="U3218" t="n">
        <v>0</v>
      </c>
    </row>
    <row r="3219">
      <c r="A3219">
        <f>Skills!A28</f>
        <v/>
      </c>
      <c r="B3219">
        <f>Skills!B28</f>
        <v/>
      </c>
      <c r="C3219">
        <f>TRUE</f>
        <v/>
      </c>
      <c r="D3219">
        <f>IF(Skills!C28=1,60+Inputs!$B$26+Inputs!$B$30,IF(Skills!C28=2,90+Inputs!$B$27+Inputs!$B$30,IF(Skills!C28=3,120+Inputs!$B$28+Inputs!$B$30,MAX(0,(Inputs!$B$3-100)*3)+Inputs!$B$29+Inputs!$B$30)))</f>
        <v/>
      </c>
      <c r="E3219">
        <f>INDEX(FactorTable!$B$2:$Y$301, MATCH(ROUND(MIN(300,MAX(1,D3219)),0), FactorTable!$A$2:$A$301,0), Skills!L28+1)</f>
        <v/>
      </c>
      <c r="F3219">
        <f>IF(Skills!M28=TRUE,(Skills!K28/10)*(E3219/1000),Skills!K28/10)+Skills!N28</f>
        <v/>
      </c>
      <c r="G3219">
        <f>Calc!G28</f>
        <v/>
      </c>
      <c r="H3219">
        <f>Calc!H28</f>
        <v/>
      </c>
      <c r="I3219">
        <f>IF(Skills!T28&lt;&gt;"",1+(Skills!T28/10)*($Z$3/1000)/100,1)</f>
        <v/>
      </c>
      <c r="J3219" t="inlineStr"/>
      <c r="K3219" t="inlineStr"/>
      <c r="L3219" t="inlineStr"/>
      <c r="M3219" t="inlineStr"/>
      <c r="N3219" t="inlineStr"/>
      <c r="O3219">
        <f>(1-Summary!$B$11)*S3219+Summary!$B$11*U3219</f>
        <v/>
      </c>
      <c r="P3219">
        <f>IF(B3234=0,0,O3219/B3234)</f>
        <v/>
      </c>
      <c r="Q3219">
        <f>IFERROR(1/(IF(Inputs!$B$39="pvp",15,MAX(0.1,Skills!D28-IF(Skills!E28=TRUE,3.5,0)))*(1-IF(AND(ArtifactsInput!$M$27,Inputs!$B$4="Chapter Hunt"),CHOOSE(ArtifactsInput!$N$27+1,20,24,28,32,36,40),0)/100)),0)</f>
        <v/>
      </c>
      <c r="R3219">
        <f>IF(AND(Inputs!$B$39&lt;&gt;"pvp",Inputs!$B$44&gt;0),IF(Inputs!$B$44&lt;=0,0,(INT(Inputs!$B$44/(IF(Inputs!$B$39="pvp",15,MAX(0.1,Skills!D28-IF(Skills!E28=TRUE,3.5,0)))*(1-IF(AND(ArtifactsInput!$M$27,Inputs!$B$4="Chapter Hunt"),CHOOSE(ArtifactsInput!$N$27+1,20,24,28,32,36,40),0)/100)))+1)),0)</f>
        <v/>
      </c>
      <c r="S3219" t="n">
        <v>0</v>
      </c>
      <c r="U3219" t="n">
        <v>0</v>
      </c>
    </row>
    <row r="3221">
      <c r="A3221" t="inlineStr">
        <is>
          <t>Average Buff Multiplier</t>
        </is>
      </c>
      <c r="B3221">
        <f>(1+(IF(C3194=TRUE,F3194*IF(AND(Inputs!$B$39&lt;&gt;"pvp",Inputs!$B$44&gt;0),(((R3194-1)*(Skills!S3*(1+((Inputs!$B$35+(ArtifactsInput!$M$7-ArtifactsInput!$M$7)*CHOOSE(ArtifactsInput!$N$7+1,6,7.2,8.4,9.6,10.8,12))+IF(Inputs!$B$3&gt;=117,F3217,0))/100))+MIN((Skills!S3*(1+((Inputs!$B$35+(ArtifactsInput!$M$7-ArtifactsInput!$M$7)*CHOOSE(ArtifactsInput!$N$7+1,6,7.2,8.4,9.6,10.8,12))+IF(Inputs!$B$3&gt;=117,F3217,0))/100)),MAX(0,Inputs!$B$44-((R3194-1)*Skills!D3))))/Inputs!$B$44),IF(Inputs!$B$39="pvp",MIN((Skills!S3*(1+((Inputs!$B$35+(ArtifactsInput!$M$7-ArtifactsInput!$M$7)*CHOOSE(ArtifactsInput!$N$7+1,6,7.2,8.4,9.6,10.8,12))+IF(Inputs!$B$3&gt;=117,F3217,0))/100)),15)/15,(Skills!S3*(1+((Inputs!$B$35+(ArtifactsInput!$M$7-ArtifactsInput!$M$7)*CHOOSE(ArtifactsInput!$N$7+1,6,7.2,8.4,9.6,10.8,12))+IF(Inputs!$B$3&gt;=117,F3217,0))/100))/Skills!D3)),0)+IF(C3195=TRUE,F3195*IF(AND(Inputs!$B$39&lt;&gt;"pvp",Inputs!$B$44&gt;0),(((R3195-1)*(Skills!S4*(1+((Inputs!$B$35+(ArtifactsInput!$M$7-ArtifactsInput!$M$7)*CHOOSE(ArtifactsInput!$N$7+1,6,7.2,8.4,9.6,10.8,12))+IF(Inputs!$B$3&gt;=117,F3217,0))/100))+MIN((Skills!S4*(1+((Inputs!$B$35+(ArtifactsInput!$M$7-ArtifactsInput!$M$7)*CHOOSE(ArtifactsInput!$N$7+1,6,7.2,8.4,9.6,10.8,12))+IF(Inputs!$B$3&gt;=117,F3217,0))/100)),MAX(0,Inputs!$B$44-((R3195-1)*Skills!D4))))/Inputs!$B$44),IF(Inputs!$B$39="pvp",MIN((Skills!S4*(1+((Inputs!$B$35+(ArtifactsInput!$M$7-ArtifactsInput!$M$7)*CHOOSE(ArtifactsInput!$N$7+1,6,7.2,8.4,9.6,10.8,12))+IF(Inputs!$B$3&gt;=117,F3217,0))/100)),15)/15,(Skills!S4*(1+((Inputs!$B$35+(ArtifactsInput!$M$7-ArtifactsInput!$M$7)*CHOOSE(ArtifactsInput!$N$7+1,6,7.2,8.4,9.6,10.8,12))+IF(Inputs!$B$3&gt;=117,F3217,0))/100))/Skills!D4)),0)+IF(C3196=TRUE,F3196*IF(AND(Inputs!$B$39&lt;&gt;"pvp",Inputs!$B$44&gt;0),(((R3196-1)*(Skills!S5*(1+((Inputs!$B$35+(ArtifactsInput!$M$7-ArtifactsInput!$M$7)*CHOOSE(ArtifactsInput!$N$7+1,6,7.2,8.4,9.6,10.8,12))+IF(Inputs!$B$3&gt;=117,F3217,0))/100))+MIN((Skills!S5*(1+((Inputs!$B$35+(ArtifactsInput!$M$7-ArtifactsInput!$M$7)*CHOOSE(ArtifactsInput!$N$7+1,6,7.2,8.4,9.6,10.8,12))+IF(Inputs!$B$3&gt;=117,F3217,0))/100)),MAX(0,Inputs!$B$44-((R3196-1)*Skills!D5))))/Inputs!$B$44),IF(Inputs!$B$39="pvp",MIN((Skills!S5*(1+((Inputs!$B$35+(ArtifactsInput!$M$7-ArtifactsInput!$M$7)*CHOOSE(ArtifactsInput!$N$7+1,6,7.2,8.4,9.6,10.8,12))+IF(Inputs!$B$3&gt;=117,F3217,0))/100)),15)/15,(Skills!S5*(1+((Inputs!$B$35+(ArtifactsInput!$M$7-ArtifactsInput!$M$7)*CHOOSE(ArtifactsInput!$N$7+1,6,7.2,8.4,9.6,10.8,12))+IF(Inputs!$B$3&gt;=117,F3217,0))/100))/Skills!D5)),0)+IF(C3202=TRUE,F3202*IF(AND(Inputs!$B$39&lt;&gt;"pvp",Inputs!$B$44&gt;0),(((R3202-1)*(Skills!S11*(1+((Inputs!$B$35+(ArtifactsInput!$M$7-ArtifactsInput!$M$7)*CHOOSE(ArtifactsInput!$N$7+1,6,7.2,8.4,9.6,10.8,12))+IF(Inputs!$B$3&gt;=117,F3217,0))/100))+MIN((Skills!S11*(1+((Inputs!$B$35+(ArtifactsInput!$M$7-ArtifactsInput!$M$7)*CHOOSE(ArtifactsInput!$N$7+1,6,7.2,8.4,9.6,10.8,12))+IF(Inputs!$B$3&gt;=117,F3217,0))/100)),MAX(0,Inputs!$B$44-((R3202-1)*Skills!D11))))/Inputs!$B$44),IF(Inputs!$B$39="pvp",MIN((Skills!S11*(1+((Inputs!$B$35+(ArtifactsInput!$M$7-ArtifactsInput!$M$7)*CHOOSE(ArtifactsInput!$N$7+1,6,7.2,8.4,9.6,10.8,12))+IF(Inputs!$B$3&gt;=117,F3217,0))/100)),15)/15,(Skills!S11*(1+((Inputs!$B$35+(ArtifactsInput!$M$7-ArtifactsInput!$M$7)*CHOOSE(ArtifactsInput!$N$7+1,6,7.2,8.4,9.6,10.8,12))+IF(Inputs!$B$3&gt;=117,F3217,0)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3205=TRUE,(1+F3205*IF(AND(Inputs!$B$39&lt;&gt;"pvp",Inputs!$B$44&gt;0),(((R3205-1)*(Skills!S14*(1+((Inputs!$B$35+(ArtifactsInput!$M$7-ArtifactsInput!$M$7)*CHOOSE(ArtifactsInput!$N$7+1,6,7.2,8.4,9.6,10.8,12))+IF(Inputs!$B$3&gt;=117,F3217,0))/100))+MIN((Skills!S14*(1+((Inputs!$B$35+(ArtifactsInput!$M$7-ArtifactsInput!$M$7)*CHOOSE(ArtifactsInput!$N$7+1,6,7.2,8.4,9.6,10.8,12))+IF(Inputs!$B$3&gt;=117,F3217,0))/100)),MAX(0,Inputs!$B$44-((R3205-1)*Skills!D14))))/Inputs!$B$44),IF(Inputs!$B$39="pvp",MIN((Skills!S14*(1+((Inputs!$B$35+(ArtifactsInput!$M$7-ArtifactsInput!$M$7)*CHOOSE(ArtifactsInput!$N$7+1,6,7.2,8.4,9.6,10.8,12))+IF(Inputs!$B$3&gt;=117,F3217,0))/100)),15)/15,(Skills!S14*(1+((Inputs!$B$35+(ArtifactsInput!$M$7-ArtifactsInput!$M$7)*CHOOSE(ArtifactsInput!$N$7+1,6,7.2,8.4,9.6,10.8,12))+IF(Inputs!$B$3&gt;=117,F3217,0))/100))/Skills!D14))/100),1)*IF(C3210=TRUE,(1+F3210*IF(AND(Inputs!$B$39&lt;&gt;"pvp",Inputs!$B$44&gt;0),(((R3210-1)*(Skills!S19*(1+((Inputs!$B$35+(ArtifactsInput!$M$7-ArtifactsInput!$M$7)*CHOOSE(ArtifactsInput!$N$7+1,6,7.2,8.4,9.6,10.8,12))+IF(Inputs!$B$3&gt;=117,F3217,0))/100))+MIN((Skills!S19*(1+((Inputs!$B$35+(ArtifactsInput!$M$7-ArtifactsInput!$M$7)*CHOOSE(ArtifactsInput!$N$7+1,6,7.2,8.4,9.6,10.8,12))+IF(Inputs!$B$3&gt;=117,F3217,0))/100)),MAX(0,Inputs!$B$44-((R3210-1)*Skills!D19))))/Inputs!$B$44),IF(Inputs!$B$39="pvp",MIN((Skills!S19*(1+((Inputs!$B$35+(ArtifactsInput!$M$7-ArtifactsInput!$M$7)*CHOOSE(ArtifactsInput!$N$7+1,6,7.2,8.4,9.6,10.8,12))+IF(Inputs!$B$3&gt;=117,F3217,0))/100)),15)/15,(Skills!S19*(1+((Inputs!$B$35+(ArtifactsInput!$M$7-ArtifactsInput!$M$7)*CHOOSE(ArtifactsInput!$N$7+1,6,7.2,8.4,9.6,10.8,12))+IF(Inputs!$B$3&gt;=117,F3217,0))/100))/Skills!D19))/100),1)</f>
        <v/>
      </c>
    </row>
    <row r="3222">
      <c r="A3222" t="inlineStr">
        <is>
          <t>Monster Damage Taken Bonus % (Holy Fountain)</t>
        </is>
      </c>
      <c r="B3222">
        <f>IF(Inputs!$B$3&gt;=68,20*IF(Inputs!$B$39="pvp",MIN((15*(1+((Inputs!$B$35+(ArtifactsInput!$M$7-ArtifactsInput!$M$7)*CHOOSE(ArtifactsInput!$N$7+1,6,7.2,8.4,9.6,10.8,12))+IF(Inputs!$B$3&gt;=117,F3217,0))/100)),15)/15,(15*(1+((Inputs!$B$35+(ArtifactsInput!$M$7-ArtifactsInput!$M$7)*CHOOSE(ArtifactsInput!$N$7+1,6,7.2,8.4,9.6,10.8,12))+IF(Inputs!$B$3&gt;=117,F3217,0))/100))/Skills!D10),0)</f>
        <v/>
      </c>
    </row>
    <row r="3223">
      <c r="A3223" t="inlineStr">
        <is>
          <t>Normal Monster Damage Bonus % (Holy Symbol)</t>
        </is>
      </c>
      <c r="B3223">
        <f>IF(C3203=TRUE,F3203*IF(AND(Inputs!$B$39&lt;&gt;"pvp",Inputs!$B$44&gt;0),(((R3203-1)*(Skills!S12*(1+((Inputs!$B$35+(ArtifactsInput!$M$7-ArtifactsInput!$M$7)*CHOOSE(ArtifactsInput!$N$7+1,6,7.2,8.4,9.6,10.8,12))+IF(Inputs!$B$3&gt;=117,F3217,0))/100))+MIN((Skills!S12*(1+((Inputs!$B$35+(ArtifactsInput!$M$7-ArtifactsInput!$M$7)*CHOOSE(ArtifactsInput!$N$7+1,6,7.2,8.4,9.6,10.8,12))+IF(Inputs!$B$3&gt;=117,F3217,0))/100)),MAX(0,Inputs!$B$44-((R3203-1)*Skills!D12))))/Inputs!$B$44),IF(Inputs!$B$39="pvp",MIN((Skills!S12*(1+((Inputs!$B$35+(ArtifactsInput!$M$7-ArtifactsInput!$M$7)*CHOOSE(ArtifactsInput!$N$7+1,6,7.2,8.4,9.6,10.8,12))+IF(Inputs!$B$3&gt;=117,F3217,0))/100)),15)/15,(Skills!S12*(1+((Inputs!$B$35+(ArtifactsInput!$M$7-ArtifactsInput!$M$7)*CHOOSE(ArtifactsInput!$N$7+1,6,7.2,8.4,9.6,10.8,12))+IF(Inputs!$B$3&gt;=117,F3217,0))/100))/Skills!D12)),0)</f>
        <v/>
      </c>
    </row>
    <row r="3224">
      <c r="A3224" t="inlineStr">
        <is>
          <t>Damage % Bonus (Holy Symbol - Damage Boost)</t>
        </is>
      </c>
      <c r="B3224">
        <f>Skills!O12</f>
        <v/>
      </c>
    </row>
    <row r="3225">
      <c r="A3225" t="inlineStr">
        <is>
          <t>Crit Damage % Bonus (Blood of the Divine)</t>
        </is>
      </c>
      <c r="B3225">
        <f>4*IF(C3211=TRUE,F3211,0)</f>
        <v/>
      </c>
    </row>
    <row r="3226">
      <c r="A3226" t="inlineStr">
        <is>
          <t>Attack Speed Bonus %</t>
        </is>
      </c>
      <c r="B3226">
        <f>IF(C3208=TRUE,F3208+(F3212-Calc!F21),0)+IF(Inputs!$B$3&gt;=134,15,0)+((C3219=TRUE)*F3219*IF(AND(Inputs!$B$39&lt;&gt;"pvp",Inputs!$B$44&gt;0),(((R3219-1)*(Skills!S28*(1+((Inputs!$B$35+(ArtifactsInput!$M$7-ArtifactsInput!$M$7)*CHOOSE(ArtifactsInput!$N$7+1,6,7.2,8.4,9.6,10.8,12))+IF(Inputs!$B$3&gt;=117,F3217,0))/100))+MIN((Skills!S28*(1+((Inputs!$B$35+(ArtifactsInput!$M$7-ArtifactsInput!$M$7)*CHOOSE(ArtifactsInput!$N$7+1,6,7.2,8.4,9.6,10.8,12))+IF(Inputs!$B$3&gt;=117,F3217,0))/100)),MAX(0,Inputs!$B$44-((R3219-1)*Skills!D28))))/Inputs!$B$44),IF(Inputs!$B$39="pvp",MIN((Skills!S28*(1+((Inputs!$B$35+(ArtifactsInput!$M$7-ArtifactsInput!$M$7)*CHOOSE(ArtifactsInput!$N$7+1,6,7.2,8.4,9.6,10.8,12))+IF(Inputs!$B$3&gt;=117,F3217,0))/100)),15)/15,(Skills!S28*(1+((Inputs!$B$35+(ArtifactsInput!$M$7-ArtifactsInput!$M$7)*CHOOSE(ArtifactsInput!$N$7+1,6,7.2,8.4,9.6,10.8,12))+IF(Inputs!$B$3&gt;=117,F3217,0))/100))/Skills!D28)))</f>
        <v/>
      </c>
    </row>
    <row r="3227">
      <c r="A3227" t="inlineStr">
        <is>
          <t>Actions Per Second</t>
        </is>
      </c>
      <c r="B3227">
        <f>1+MIN(150,150*(1-(1-Inputs!$B$12/150)*(1-B3226/150)))/100</f>
        <v/>
      </c>
    </row>
    <row r="3228">
      <c r="A3228" t="inlineStr">
        <is>
          <t>Skill + Buff Cast Rate</t>
        </is>
      </c>
      <c r="B3228">
        <f>IF(AND(Inputs!$B$39&lt;&gt;"pvp",Inputs!$B$44&gt;0),SUMPRODUCT((Skills!E2:E28=TRUE)*(C3193:C3219=TRUE)*R3193:R3219)/Inputs!$B$44,SUMPRODUCT((Skills!E2:E28=TRUE)*(C3193:C3219=TRUE)*Q3193:Q3219))</f>
        <v/>
      </c>
    </row>
    <row r="3229">
      <c r="A3229" t="inlineStr">
        <is>
          <t>Big Bang Casts Per Second</t>
        </is>
      </c>
      <c r="B3229">
        <f>MAX(0,B3227-B3228)</f>
        <v/>
      </c>
    </row>
    <row r="3230">
      <c r="A3230" t="inlineStr">
        <is>
          <t>Defense % Bonus (Divine Protection)</t>
        </is>
      </c>
      <c r="B3230">
        <f>IF(C3204=TRUE,F3204*IF(AND(Inputs!$B$39&lt;&gt;"pvp",Inputs!$B$44&gt;0),(((R3204-1)*(Skills!S13*(1+((Inputs!$B$35+(ArtifactsInput!$M$7-ArtifactsInput!$M$7)*CHOOSE(ArtifactsInput!$N$7+1,6,7.2,8.4,9.6,10.8,12))+IF(Inputs!$B$3&gt;=117,F3217,0))/100))+MIN((Skills!S13*(1+((Inputs!$B$35+(ArtifactsInput!$M$7-ArtifactsInput!$M$7)*CHOOSE(ArtifactsInput!$N$7+1,6,7.2,8.4,9.6,10.8,12))+IF(Inputs!$B$3&gt;=117,F3217,0))/100)),MAX(0,Inputs!$B$44-((R3204-1)*Skills!D13))))/Inputs!$B$44),IF(Inputs!$B$39="pvp",MIN((Skills!S13*(1+((Inputs!$B$35+(ArtifactsInput!$M$7-ArtifactsInput!$M$7)*CHOOSE(ArtifactsInput!$N$7+1,6,7.2,8.4,9.6,10.8,12))+IF(Inputs!$B$3&gt;=117,F3217,0))/100)),15)/15,(Skills!S13*(1+((Inputs!$B$35+(ArtifactsInput!$M$7-ArtifactsInput!$M$7)*CHOOSE(ArtifactsInput!$N$7+1,6,7.2,8.4,9.6,10.8,12))+IF(Inputs!$B$3&gt;=117,F3217,0))/100))/Skills!D13)),0)</f>
        <v/>
      </c>
    </row>
    <row r="3231">
      <c r="A3231" t="inlineStr">
        <is>
          <t>Buff-Casting Startup Delay (s, fixed-duration only)</t>
        </is>
      </c>
      <c r="B3231">
        <f>IF(AND(Inputs!$B$39&lt;&gt;"pvp",Inputs!$B$44&gt;0),SUMPRODUCT((Skills!S2:S28&gt;0)*(Skills!E2:E28=TRUE)*(C3193:C3219=TRUE))/B3227,0)</f>
        <v/>
      </c>
    </row>
    <row r="3232">
      <c r="A3232" t="inlineStr">
        <is>
          <t>Boss-Only Total DPS (this block's swept value)</t>
        </is>
      </c>
      <c r="B3232">
        <f>SUM(S3193:S3219)</f>
        <v/>
      </c>
    </row>
    <row r="3233">
      <c r="A3233" t="inlineStr">
        <is>
          <t>Normal-Only Total DPS (this block's swept value)</t>
        </is>
      </c>
      <c r="B3233">
        <f>SUM(U3193:U3219)</f>
        <v/>
      </c>
    </row>
    <row r="3234">
      <c r="A3234" s="6" t="inlineStr">
        <is>
          <t>TOTAL DPS</t>
        </is>
      </c>
      <c r="B3234" s="6">
        <f>SUM(O3193:O3219)</f>
        <v/>
      </c>
    </row>
    <row r="3236">
      <c r="A3236" s="6" t="inlineStr">
        <is>
          <t>Stat: CDR = 4.0s</t>
        </is>
      </c>
    </row>
    <row r="3237">
      <c r="A3237" s="5" t="inlineStr">
        <is>
          <t>Key</t>
        </is>
      </c>
      <c r="B3237" s="5" t="inlineStr">
        <is>
          <t>Name</t>
        </is>
      </c>
      <c r="C3237" s="5" t="inlineStr">
        <is>
          <t>Unlocked</t>
        </is>
      </c>
      <c r="D3237" s="5" t="inlineStr">
        <is>
          <t>InputLevel</t>
        </is>
      </c>
      <c r="E3237" s="5" t="inlineStr">
        <is>
          <t>Factor</t>
        </is>
      </c>
      <c r="F3237" s="5" t="inlineStr">
        <is>
          <t>CoefficientPercent</t>
        </is>
      </c>
      <c r="G3237" s="5" t="inlineStr">
        <is>
          <t>EffectiveHits</t>
        </is>
      </c>
      <c r="H3237" s="5" t="inlineStr">
        <is>
          <t>ProcProbability</t>
        </is>
      </c>
      <c r="I3237" s="5" t="inlineStr">
        <is>
          <t>MapleHeroMultiplier</t>
        </is>
      </c>
      <c r="J3237" s="5" t="inlineStr">
        <is>
          <t>BaseDamage</t>
        </is>
      </c>
      <c r="K3237" s="5" t="inlineStr">
        <is>
          <t>BaseHitDamage</t>
        </is>
      </c>
      <c r="L3237" s="5" t="inlineStr">
        <is>
          <t>NonCritAvg</t>
        </is>
      </c>
      <c r="M3237" s="5" t="inlineStr">
        <is>
          <t>CritAvg</t>
        </is>
      </c>
      <c r="N3237" s="5" t="inlineStr">
        <is>
          <t>ExpectedDamage(perHit)</t>
        </is>
      </c>
      <c r="O3237" s="5" t="inlineStr">
        <is>
          <t>DPS</t>
        </is>
      </c>
      <c r="P3237" s="5" t="inlineStr">
        <is>
          <t>% of Total</t>
        </is>
      </c>
      <c r="R3237" t="inlineStr">
        <is>
          <t>helpers</t>
        </is>
      </c>
    </row>
    <row r="3238">
      <c r="A3238">
        <f>Skills!A2</f>
        <v/>
      </c>
      <c r="B3238">
        <f>Skills!B2</f>
        <v/>
      </c>
      <c r="C3238">
        <f>Inputs!$B$3&gt;=100</f>
        <v/>
      </c>
      <c r="D3238" t="inlineStr"/>
      <c r="E3238" t="inlineStr"/>
      <c r="F3238">
        <f>T3240+Skills!N2</f>
        <v/>
      </c>
      <c r="G3238">
        <f>Calc!G2</f>
        <v/>
      </c>
      <c r="H3238">
        <f>Calc!H2</f>
        <v/>
      </c>
      <c r="I3238">
        <f>IF(Skills!T2&lt;&gt;"",1+(Skills!T2/10)*($Z$3/1000)/100,1)</f>
        <v/>
      </c>
      <c r="J3238">
        <f>((Inputs!$B$6*(1+Inputs!$B$7/100))+(((Inputs!$B$13*(1+Inputs!$B$14/100))-(Inputs!$B$13*(1+Inputs!$B$14/100)))+0.25*(Inputs!$B$15-Inputs!$B$15))*(1+Inputs!$B$7/100))*(F3238/100)</f>
        <v/>
      </c>
      <c r="K3238">
        <f>J3238*(1+(((Inputs!$B$13+IF(Inputs!$B$3&gt;=35,(10*INDEX(FactorTable!$B$2:$Y$301,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2="TRIUMPH_FEATHER",IF(C3252=TRUE,F3252,0),0)/100)*(1+IF(C3263=TRUE,F3263,0)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3238)</f>
        <v/>
      </c>
      <c r="L3238">
        <f>K3238*(MIN(Inputs!$B$23+(F3258-Calc!F22),(Inputs!$B$24+IF(ArtifactsInput!$M$15,CHOOSE(ArtifactsInput!$N$15+1,25,30,35,40,45,50)/100*(Inputs!$B$12-Inputs!$B$12),0)))/100+(Inputs!$B$24+IF(ArtifactsInput!$M$15,CHOOSE(ArtifactsInput!$N$15+1,25,30,35,40,45,50)/100*(Inputs!$B$12-Inputs!$B$12),0))/100)/2</f>
        <v/>
      </c>
      <c r="M3238">
        <f>L3238*(1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38">
        <f>L3238*(1-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(1-Summary!$B$11)*S3238+Summary!$B$11*U3238</f>
        <v/>
      </c>
      <c r="P3238">
        <f>IF(B3279=0,0,O3238/B3279)</f>
        <v/>
      </c>
      <c r="Q3238">
        <f>IFERROR(1/(IF(Inputs!$B$39="pvp",15,MAX(0.1,Skills!D2-IF(Skills!E2=TRUE,4.0,0)))*(1-IF(AND(ArtifactsInput!$M$27,Inputs!$B$4="Chapter Hunt"),CHOOSE(ArtifactsInput!$N$27+1,20,24,28,32,36,40),0)/100)),0)</f>
        <v/>
      </c>
      <c r="R3238" t="n">
        <v>0</v>
      </c>
      <c r="S3238">
        <f>IF(C3238,(Skills!F2*N3238*B3274)*IF(Inputs!$B$39="pvp",1,1+(Inputs!$B$21+Skills!O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3238*(1-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38">
        <f>MAX(0,(Inputs!$B$3-100)*3)+Inputs!$B$29+Inputs!$B$30</f>
        <v/>
      </c>
      <c r="U3238">
        <f>IF(C3238,(Skills!F2*N3238*B3274)*IF(Inputs!$B$39="pvp",1,(1+(Inputs!$B$22+Skills!P2+B3268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Skills!A3</f>
        <v/>
      </c>
      <c r="B3239">
        <f>Skills!B3</f>
        <v/>
      </c>
      <c r="C3239">
        <f>Inputs!$B$3&gt;=15</f>
        <v/>
      </c>
      <c r="D3239">
        <f>IF(Skills!C3=1,60+Inputs!$B$26+Inputs!$B$30,IF(Skills!C3=2,90+Inputs!$B$27+Inputs!$B$30,IF(Skills!C3=3,120+Inputs!$B$28+Inputs!$B$30,MAX(0,(Inputs!$B$3-100)*3)+Inputs!$B$29+Inputs!$B$30)))</f>
        <v/>
      </c>
      <c r="E3239">
        <f>INDEX(FactorTable!$B$2:$Y$301, MATCH(ROUND(MIN(300,MAX(1,D3239)),0), FactorTable!$A$2:$A$301,0), Skills!L3+1)</f>
        <v/>
      </c>
      <c r="F3239">
        <f>IF(Skills!M3=TRUE,(Skills!K3/10)*(E3239/1000),Skills!K3/10)+Skills!N3</f>
        <v/>
      </c>
      <c r="G3239">
        <f>Calc!G3</f>
        <v/>
      </c>
      <c r="H3239">
        <f>Calc!H3</f>
        <v/>
      </c>
      <c r="I3239">
        <f>IF(Skills!T3&lt;&gt;"",1+(Skills!T3/10)*($Z$3/1000)/100,1)</f>
        <v/>
      </c>
      <c r="J3239" t="inlineStr"/>
      <c r="K3239" t="inlineStr"/>
      <c r="L3239" t="inlineStr"/>
      <c r="M3239" t="inlineStr"/>
      <c r="N3239" t="inlineStr"/>
      <c r="O3239">
        <f>(1-Summary!$B$11)*S3239+Summary!$B$11*U3239</f>
        <v/>
      </c>
      <c r="P3239">
        <f>IF(B3279=0,0,O3239/B3279)</f>
        <v/>
      </c>
      <c r="Q3239">
        <f>IFERROR(1/(IF(Inputs!$B$39="pvp",15,MAX(0.1,Skills!D3-IF(Skills!E3=TRUE,4.0,0)))*(1-IF(AND(ArtifactsInput!$M$27,Inputs!$B$4="Chapter Hunt"),CHOOSE(ArtifactsInput!$N$27+1,20,24,28,32,36,40),0)/100)),0)</f>
        <v/>
      </c>
      <c r="R3239">
        <f>IF(AND(Inputs!$B$39&lt;&gt;"pvp",Inputs!$B$44&gt;0),IF(Inputs!$B$44&lt;=0,0,(INT(Inputs!$B$44/(IF(Inputs!$B$39="pvp",15,MAX(0.1,Skills!D3-IF(Skills!E3=TRUE,4.0,0)))*(1-IF(AND(ArtifactsInput!$M$27,Inputs!$B$4="Chapter Hunt"),CHOOSE(ArtifactsInput!$N$27+1,20,24,28,32,36,40),0)/100)))+1)),0)</f>
        <v/>
      </c>
      <c r="S3239" t="n">
        <v>0</v>
      </c>
      <c r="T3239">
        <f>INDEX(FactorTable!$B$2:$Y$301, MATCH(ROUND(MIN(300,MAX(1,T3238)),0), FactorTable!$A$2:$A$301,0), 22)</f>
        <v/>
      </c>
      <c r="U3239" t="n">
        <v>0</v>
      </c>
    </row>
    <row r="3240">
      <c r="A3240">
        <f>Skills!A4</f>
        <v/>
      </c>
      <c r="B3240">
        <f>Skills!B4</f>
        <v/>
      </c>
      <c r="C3240">
        <f>Inputs!$B$3&gt;=38</f>
        <v/>
      </c>
      <c r="D3240">
        <f>IF(Skills!C4=1,60+Inputs!$B$26+Inputs!$B$30,IF(Skills!C4=2,90+Inputs!$B$27+Inputs!$B$30,IF(Skills!C4=3,120+Inputs!$B$28+Inputs!$B$30,MAX(0,(Inputs!$B$3-100)*3)+Inputs!$B$29+Inputs!$B$30)))</f>
        <v/>
      </c>
      <c r="E3240">
        <f>INDEX(FactorTable!$B$2:$Y$301, MATCH(ROUND(MIN(300,MAX(1,D3240)),0), FactorTable!$A$2:$A$301,0), Skills!L4+1)</f>
        <v/>
      </c>
      <c r="F3240">
        <f>IF(Skills!M4=TRUE,(Skills!K4/10)*(E3240/1000),Skills!K4/10)+Skills!N4</f>
        <v/>
      </c>
      <c r="G3240">
        <f>Calc!G4</f>
        <v/>
      </c>
      <c r="H3240">
        <f>Calc!H4</f>
        <v/>
      </c>
      <c r="I3240">
        <f>IF(Skills!T4&lt;&gt;"",1+(Skills!T4/10)*($Z$3/1000)/100,1)</f>
        <v/>
      </c>
      <c r="J3240" t="inlineStr"/>
      <c r="K3240" t="inlineStr"/>
      <c r="L3240" t="inlineStr"/>
      <c r="M3240" t="inlineStr"/>
      <c r="N3240" t="inlineStr"/>
      <c r="O3240">
        <f>(1-Summary!$B$11)*S3240+Summary!$B$11*U3240</f>
        <v/>
      </c>
      <c r="P3240">
        <f>IF(B3279=0,0,O3240/B3279)</f>
        <v/>
      </c>
      <c r="Q3240">
        <f>IFERROR(1/(IF(Inputs!$B$39="pvp",15,MAX(0.1,Skills!D4-IF(Skills!E4=TRUE,4.0,0)))*(1-IF(AND(ArtifactsInput!$M$27,Inputs!$B$4="Chapter Hunt"),CHOOSE(ArtifactsInput!$N$27+1,20,24,28,32,36,40),0)/100)),0)</f>
        <v/>
      </c>
      <c r="R3240">
        <f>IF(AND(Inputs!$B$39&lt;&gt;"pvp",Inputs!$B$44&gt;0),IF(Inputs!$B$44&lt;=0,0,(INT(Inputs!$B$44/(IF(Inputs!$B$39="pvp",15,MAX(0.1,Skills!D4-IF(Skills!E4=TRUE,4.0,0)))*(1-IF(AND(ArtifactsInput!$M$27,Inputs!$B$4="Chapter Hunt"),CHOOSE(ArtifactsInput!$N$27+1,20,24,28,32,36,40),0)/100)))+1)),0)</f>
        <v/>
      </c>
      <c r="S3240" t="n">
        <v>0</v>
      </c>
      <c r="T3240">
        <f>290*T3239/1000</f>
        <v/>
      </c>
      <c r="U3240" t="n">
        <v>0</v>
      </c>
    </row>
    <row r="3241">
      <c r="A3241">
        <f>Skills!A5</f>
        <v/>
      </c>
      <c r="B3241">
        <f>Skills!B5</f>
        <v/>
      </c>
      <c r="C3241">
        <f>Inputs!$B$3&gt;=40</f>
        <v/>
      </c>
      <c r="D3241">
        <f>IF(Skills!C5=1,60+Inputs!$B$26+Inputs!$B$30,IF(Skills!C5=2,90+Inputs!$B$27+Inputs!$B$30,IF(Skills!C5=3,120+Inputs!$B$28+Inputs!$B$30,MAX(0,(Inputs!$B$3-100)*3)+Inputs!$B$29+Inputs!$B$30)))</f>
        <v/>
      </c>
      <c r="E3241">
        <f>INDEX(FactorTable!$B$2:$Y$301, MATCH(ROUND(MIN(300,MAX(1,D3241)),0), FactorTable!$A$2:$A$301,0), Skills!L5+1)</f>
        <v/>
      </c>
      <c r="F3241">
        <f>IF(Skills!M5=TRUE,(Skills!K5/10)*(E3241/1000),Skills!K5/10)+Skills!N5</f>
        <v/>
      </c>
      <c r="G3241">
        <f>Calc!G5</f>
        <v/>
      </c>
      <c r="H3241">
        <f>Calc!H5</f>
        <v/>
      </c>
      <c r="I3241">
        <f>IF(Skills!T5&lt;&gt;"",1+(Skills!T5/10)*($Z$3/1000)/100,1)</f>
        <v/>
      </c>
      <c r="J3241" t="inlineStr"/>
      <c r="K3241" t="inlineStr"/>
      <c r="L3241" t="inlineStr"/>
      <c r="M3241" t="inlineStr"/>
      <c r="N3241" t="inlineStr"/>
      <c r="O3241">
        <f>(1-Summary!$B$11)*S3241+Summary!$B$11*U3241</f>
        <v/>
      </c>
      <c r="P3241">
        <f>IF(B3279=0,0,O3241/B3279)</f>
        <v/>
      </c>
      <c r="Q3241">
        <f>IFERROR(1/(IF(Inputs!$B$39="pvp",15,MAX(0.1,Skills!D5-IF(Skills!E5=TRUE,4.0,0)))*(1-IF(AND(ArtifactsInput!$M$27,Inputs!$B$4="Chapter Hunt"),CHOOSE(ArtifactsInput!$N$27+1,20,24,28,32,36,40),0)/100)),0)</f>
        <v/>
      </c>
      <c r="R3241">
        <f>IF(AND(Inputs!$B$39&lt;&gt;"pvp",Inputs!$B$44&gt;0),IF(Inputs!$B$44&lt;=0,0,(INT(Inputs!$B$44/(IF(Inputs!$B$39="pvp",15,MAX(0.1,Skills!D5-IF(Skills!E5=TRUE,4.0,0)))*(1-IF(AND(ArtifactsInput!$M$27,Inputs!$B$4="Chapter Hunt"),CHOOSE(ArtifactsInput!$N$27+1,20,24,28,32,36,40),0)/100)))+1)),0)</f>
        <v/>
      </c>
      <c r="S3241" t="n">
        <v>0</v>
      </c>
      <c r="U3241" t="n">
        <v>0</v>
      </c>
    </row>
    <row r="3242">
      <c r="A3242">
        <f>Skills!A6</f>
        <v/>
      </c>
      <c r="B3242">
        <f>Skills!B6</f>
        <v/>
      </c>
      <c r="C3242">
        <f>Inputs!$B$3&gt;=103</f>
        <v/>
      </c>
      <c r="D3242">
        <f>IF(Skills!C6=1,60+Inputs!$B$26+Inputs!$B$30,IF(Skills!C6=2,90+Inputs!$B$27+Inputs!$B$30,IF(Skills!C6=3,120+Inputs!$B$28+Inputs!$B$30,MAX(0,(Inputs!$B$3-100)*3)+Inputs!$B$29+Inputs!$B$30)))</f>
        <v/>
      </c>
      <c r="E3242">
        <f>INDEX(FactorTable!$B$2:$Y$301, MATCH(ROUND(MIN(300,MAX(1,D3242)),0), FactorTable!$A$2:$A$301,0), Skills!L6+1)</f>
        <v/>
      </c>
      <c r="F3242">
        <f>IF(Skills!M6=TRUE,(Skills!K6/10)*(E3242/1000),Skills!K6/10)+Skills!N6</f>
        <v/>
      </c>
      <c r="G3242">
        <f>Calc!G6</f>
        <v/>
      </c>
      <c r="H3242">
        <f>Calc!H6</f>
        <v/>
      </c>
      <c r="I3242">
        <f>IF(Skills!T6&lt;&gt;"",1+(Skills!T6/10)*($Z$3/1000)/100,1)</f>
        <v/>
      </c>
      <c r="J3242">
        <f>((Inputs!$B$6*(1+Inputs!$B$7/100))+(((Inputs!$B$13*(1+Inputs!$B$14/100))-(Inputs!$B$13*(1+Inputs!$B$14/100)))+0.25*(Inputs!$B$15-Inputs!$B$15))*(1+Inputs!$B$7/100))*(F3242/100)</f>
        <v/>
      </c>
      <c r="K3242">
        <f>J3242*(1+(((Inputs!$B$13+IF(Inputs!$B$3&gt;=35,(10*INDEX(FactorTable!$B$2:$Y$301,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6="TRIUMPH_FEATHER",IF(C3252=TRUE,F3252,0),0)/100)*(1+IF(C3263=TRUE,F3263,0)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3242)</f>
        <v/>
      </c>
      <c r="L3242">
        <f>K3242*(MIN(Inputs!$B$23+(F3258-Calc!F22),(Inputs!$B$24+IF(ArtifactsInput!$M$15,CHOOSE(ArtifactsInput!$N$15+1,25,30,35,40,45,50)/100*(Inputs!$B$12-Inputs!$B$12),0)))/100+(Inputs!$B$24+IF(ArtifactsInput!$M$15,CHOOSE(ArtifactsInput!$N$15+1,25,30,35,40,45,50)/100*(Inputs!$B$12-Inputs!$B$12),0))/100)/2</f>
        <v/>
      </c>
      <c r="M3242">
        <f>L3242*(1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2">
        <f>L3242*(1-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(1-Summary!$B$11)*S3242+Summary!$B$11*U3242</f>
        <v/>
      </c>
      <c r="P3242">
        <f>IF(B3279=0,0,O3242/B3279)</f>
        <v/>
      </c>
      <c r="Q3242">
        <f>IFERROR(1/(IF(Inputs!$B$39="pvp",15,MAX(0.1,Skills!D6-IF(Skills!E6=TRUE,4.0,0)))*(1-IF(AND(ArtifactsInput!$M$27,Inputs!$B$4="Chapter Hunt"),CHOOSE(ArtifactsInput!$N$27+1,20,24,28,32,36,40),0)/100)),0)</f>
        <v/>
      </c>
      <c r="R3242">
        <f>IF(AND(Inputs!$B$39&lt;&gt;"pvp",Inputs!$B$44&gt;0),IF(MAX(0,Inputs!$B$44-B3276)&lt;=0,0,(INT(MAX(0,Inputs!$B$44-B3276)/(IF(Inputs!$B$39="pvp",15,MAX(0.1,Skills!D6-IF(Skills!E6=TRUE,4.0,0)))*(1-IF(AND(ArtifactsInput!$M$27,Inputs!$B$4="Chapter Hunt"),CHOOSE(ArtifactsInput!$N$27+1,20,24,28,32,36,40),0)/100)))+1)),0)</f>
        <v/>
      </c>
      <c r="S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$21+Skills!O6+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3242*(1-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$22+Skills!P6+B3268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Skills!A7</f>
        <v/>
      </c>
      <c r="B3243">
        <f>Skills!B7</f>
        <v/>
      </c>
      <c r="C3243">
        <f>Inputs!$B$3&gt;=122</f>
        <v/>
      </c>
      <c r="D3243">
        <f>IF(Skills!C7=1,60+Inputs!$B$26+Inputs!$B$30,IF(Skills!C7=2,90+Inputs!$B$27+Inputs!$B$30,IF(Skills!C7=3,120+Inputs!$B$28+Inputs!$B$30,MAX(0,(Inputs!$B$3-100)*3)+Inputs!$B$29+Inputs!$B$30)))</f>
        <v/>
      </c>
      <c r="E3243">
        <f>INDEX(FactorTable!$B$2:$Y$301, MATCH(ROUND(MIN(300,MAX(1,D3243)),0), FactorTable!$A$2:$A$301,0), Skills!L7+1)</f>
        <v/>
      </c>
      <c r="F3243">
        <f>IF(Skills!M7=TRUE,(Skills!K7/10)*(E3243/1000),Skills!K7/10)+Skills!N7</f>
        <v/>
      </c>
      <c r="G3243">
        <f>Calc!G7</f>
        <v/>
      </c>
      <c r="H3243">
        <f>Calc!H7</f>
        <v/>
      </c>
      <c r="I3243">
        <f>IF(Skills!T7&lt;&gt;"",1+(Skills!T7/10)*($Z$3/1000)/100,1)</f>
        <v/>
      </c>
      <c r="J3243">
        <f>((Inputs!$B$6*(1+Inputs!$B$7/100))+(((Inputs!$B$13*(1+Inputs!$B$14/100))-(Inputs!$B$13*(1+Inputs!$B$14/100)))+0.25*(Inputs!$B$15-Inputs!$B$15))*(1+Inputs!$B$7/100))*(F3243/100)</f>
        <v/>
      </c>
      <c r="K3243">
        <f>J3243*(1+(((Inputs!$B$13+IF(Inputs!$B$3&gt;=35,(10*INDEX(FactorTable!$B$2:$Y$301,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7="TRIUMPH_FEATHER",IF(C3252=TRUE,F3252,0),0)/100)*(1+IF(C3263=TRUE,F3263,0)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3243)</f>
        <v/>
      </c>
      <c r="L3243">
        <f>K3243*(MIN(Inputs!$B$23+(F3258-Calc!F22),(Inputs!$B$24+IF(ArtifactsInput!$M$15,CHOOSE(ArtifactsInput!$N$15+1,25,30,35,40,45,50)/100*(Inputs!$B$12-Inputs!$B$12),0)))/100+(Inputs!$B$24+IF(ArtifactsInput!$M$15,CHOOSE(ArtifactsInput!$N$15+1,25,30,35,40,45,50)/100*(Inputs!$B$12-Inputs!$B$12),0))/100)/2</f>
        <v/>
      </c>
      <c r="M3243">
        <f>L3243*(1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3">
        <f>L3243*(1-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(1-Summary!$B$11)*S3243+Summary!$B$11*U3243</f>
        <v/>
      </c>
      <c r="P3243">
        <f>IF(B3279=0,0,O3243/B3279)</f>
        <v/>
      </c>
      <c r="Q3243">
        <f>IFERROR(1/(IF(Inputs!$B$39="pvp",15,MAX(0.1,Skills!D7-IF(Skills!E6=TRUE,4.0,0)))*(1-IF(AND(ArtifactsInput!$M$27,Inputs!$B$4="Chapter Hunt"),CHOOSE(ArtifactsInput!$N$27+1,20,24,28,32,36,40),0)/100)),0)</f>
        <v/>
      </c>
      <c r="R3243">
        <f>IF(AND(Inputs!$B$39&lt;&gt;"pvp",Inputs!$B$44&gt;0),IF(MAX(0,Inputs!$B$44-B3276)&lt;=0,0,(INT(MAX(0,Inputs!$B$44-B3276)/(IF(Inputs!$B$39="pvp",15,MAX(0.1,Skills!D7-IF(Skills!E6=TRUE,4.0,0)))*(1-IF(AND(ArtifactsInput!$M$27,Inputs!$B$4="Chapter Hunt"),CHOOSE(ArtifactsInput!$N$27+1,20,24,28,32,36,40),0)/100)))+1)),0)</f>
        <v/>
      </c>
      <c r="S3243">
        <f>IF(C3243,H3243*N3243*IF(AND(Inputs!$B$39&lt;&gt;"pvp",Inputs!$B$44&gt;0),((Skills!F7*((R3243-1)*IF(Skills!G7&gt;0,Skills!H7/Skills!G7,1)+IF(Skills!G7&gt;0,MIN(Skills!H7,MAX(0,MAX(0,Inputs!$B$44-B3276)-((R3243-1)*(IF(Inputs!$B$39="pvp",15,MAX(0.1,Skills!D7-IF(Skills!E6=TRUE,4.0,0)))*(1-IF(AND(ArtifactsInput!$M$27,Inputs!$B$4="Chapter Hunt"),CHOOSE(ArtifactsInput!$N$27+1,20,24,28,32,36,40),0)/100)))))/Skills!G7,1)))/Inputs!$B$44),G3243*Q3243)*IF(Inputs!$B$39="pvp",1,1+(Inputs!$B$21+Skills!O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3243*(1-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3" t="n">
        <v>0</v>
      </c>
    </row>
    <row r="3244">
      <c r="A3244">
        <f>Skills!A8</f>
        <v/>
      </c>
      <c r="B3244">
        <f>Skills!B8</f>
        <v/>
      </c>
      <c r="C3244">
        <f>Inputs!$B$3&gt;=105</f>
        <v/>
      </c>
      <c r="D3244">
        <f>IF(Skills!C8=1,60+Inputs!$B$26+Inputs!$B$30,IF(Skills!C8=2,90+Inputs!$B$27+Inputs!$B$30,IF(Skills!C8=3,120+Inputs!$B$28+Inputs!$B$30,MAX(0,(Inputs!$B$3-100)*3)+Inputs!$B$29+Inputs!$B$30)))</f>
        <v/>
      </c>
      <c r="E3244">
        <f>INDEX(FactorTable!$B$2:$Y$301, MATCH(ROUND(MIN(300,MAX(1,D3244)),0), FactorTable!$A$2:$A$301,0), Skills!L8+1)</f>
        <v/>
      </c>
      <c r="F3244">
        <f>IF(Skills!M8=TRUE,(Skills!K8/10)*(E3244/1000),Skills!K8/10)+Skills!N8</f>
        <v/>
      </c>
      <c r="G3244">
        <f>Calc!G8</f>
        <v/>
      </c>
      <c r="H3244">
        <f>Calc!H8</f>
        <v/>
      </c>
      <c r="I3244">
        <f>IF(Skills!T8&lt;&gt;"",1+(Skills!T8/10)*($Z$3/1000)/100,1)</f>
        <v/>
      </c>
      <c r="J3244">
        <f>((Inputs!$B$6*(1+Inputs!$B$7/100))+(((Inputs!$B$13*(1+Inputs!$B$14/100))-(Inputs!$B$13*(1+Inputs!$B$14/100)))+0.25*(Inputs!$B$15-Inputs!$B$15))*(1+Inputs!$B$7/100))*(F3244/100)</f>
        <v/>
      </c>
      <c r="K3244">
        <f>J3244*(1+(((Inputs!$B$13+IF(Inputs!$B$3&gt;=35,(10*INDEX(FactorTable!$B$2:$Y$301,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8="TRIUMPH_FEATHER",IF(C3252=TRUE,F3252,0),0)/100)*(1+IF(C3263=TRUE,F3263,0)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3244)</f>
        <v/>
      </c>
      <c r="L3244">
        <f>K3244*(MIN(Inputs!$B$23+(F3258-Calc!F22),(Inputs!$B$24+IF(ArtifactsInput!$M$15,CHOOSE(ArtifactsInput!$N$15+1,25,30,35,40,45,50)/100*(Inputs!$B$12-Inputs!$B$12),0)))/100+(Inputs!$B$24+IF(ArtifactsInput!$M$15,CHOOSE(ArtifactsInput!$N$15+1,25,30,35,40,45,50)/100*(Inputs!$B$12-Inputs!$B$12),0))/100)/2</f>
        <v/>
      </c>
      <c r="M3244">
        <f>L3244*(1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4">
        <f>L3244*(1-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3244*(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4">
        <f>(1-Summary!$B$11)*S3244+Summary!$B$11*U3244</f>
        <v/>
      </c>
      <c r="P3244">
        <f>IF(B3279=0,0,O3244/B3279)</f>
        <v/>
      </c>
      <c r="Q3244">
        <f>IFERROR(1/(IF(Inputs!$B$39="pvp",15,MAX(0.1,Skills!D8-IF(Skills!E8=TRUE,4.0,0)))*(1-IF(AND(ArtifactsInput!$M$27,Inputs!$B$4="Chapter Hunt"),CHOOSE(ArtifactsInput!$N$27+1,20,24,28,32,36,40),0)/100)),0)</f>
        <v/>
      </c>
      <c r="R3244">
        <f>IF(AND(Inputs!$B$39&lt;&gt;"pvp",Inputs!$B$44&gt;0),IF(MAX(0,Inputs!$B$44-B3276)&lt;=0,0,(INT(MAX(0,Inputs!$B$44-B3276)/(IF(Inputs!$B$39="pvp",15,MAX(0.1,Skills!D8-IF(Skills!E8=TRUE,4.0,0)))*(1-IF(AND(ArtifactsInput!$M$27,Inputs!$B$4="Chapter Hunt"),CHOOSE(ArtifactsInput!$N$27+1,20,24,28,32,36,40),0)/100)))+1)),0)</f>
        <v/>
      </c>
      <c r="S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$21+Skills!O8+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3244*(1-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3244*(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3244*(1-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3244*(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$22+Skills!P8+B3268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5">
      <c r="A3245">
        <f>Skills!A9</f>
        <v/>
      </c>
      <c r="B3245">
        <f>Skills!B9</f>
        <v/>
      </c>
      <c r="C3245">
        <f>Inputs!$B$3&gt;=115</f>
        <v/>
      </c>
      <c r="D3245">
        <f>IF(Skills!C9=1,60+Inputs!$B$26+Inputs!$B$30,IF(Skills!C9=2,90+Inputs!$B$27+Inputs!$B$30,IF(Skills!C9=3,120+Inputs!$B$28+Inputs!$B$30,MAX(0,(Inputs!$B$3-100)*3)+Inputs!$B$29+Inputs!$B$30)))</f>
        <v/>
      </c>
      <c r="E3245">
        <f>INDEX(FactorTable!$B$2:$Y$301, MATCH(ROUND(MIN(300,MAX(1,D3245)),0), FactorTable!$A$2:$A$301,0), Skills!L9+1)</f>
        <v/>
      </c>
      <c r="F3245">
        <f>IF(Skills!M9=TRUE,(Skills!K9/10)*(E3245/1000),Skills!K9/10)+Skills!N9</f>
        <v/>
      </c>
      <c r="G3245">
        <f>Calc!G9</f>
        <v/>
      </c>
      <c r="H3245">
        <f>Calc!H9</f>
        <v/>
      </c>
      <c r="I3245">
        <f>IF(Skills!T9&lt;&gt;"",1+(Skills!T9/10)*($Z$3/1000)/100,1)</f>
        <v/>
      </c>
      <c r="J3245">
        <f>((Inputs!$B$6*(1+Inputs!$B$7/100))+(((Inputs!$B$13*(1+Inputs!$B$14/100))-(Inputs!$B$13*(1+Inputs!$B$14/100)))+0.25*(Inputs!$B$15-Inputs!$B$15))*(1+Inputs!$B$7/100))*(F3245/100)</f>
        <v/>
      </c>
      <c r="K3245">
        <f>J3245*(1+(((Inputs!$B$13+IF(Inputs!$B$3&gt;=35,(10*INDEX(FactorTable!$B$2:$Y$301,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9="TRIUMPH_FEATHER",IF(C3252=TRUE,F3252,0),0)/100)*(1+IF(C3263=TRUE,F3263,0)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3245)</f>
        <v/>
      </c>
      <c r="L3245">
        <f>K3245*(MIN(Inputs!$B$23+(F3258-Calc!F22),(Inputs!$B$24+IF(ArtifactsInput!$M$15,CHOOSE(ArtifactsInput!$N$15+1,25,30,35,40,45,50)/100*(Inputs!$B$12-Inputs!$B$12),0)))/100+(Inputs!$B$24+IF(ArtifactsInput!$M$15,CHOOSE(ArtifactsInput!$N$15+1,25,30,35,40,45,50)/100*(Inputs!$B$12-Inputs!$B$12),0))/100)/2</f>
        <v/>
      </c>
      <c r="M3245">
        <f>L3245*(1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5">
        <f>L3245*(1-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(1-Summary!$B$11)*S3245+Summary!$B$11*U3245</f>
        <v/>
      </c>
      <c r="P3245">
        <f>IF(B3279=0,0,O3245/B3279)</f>
        <v/>
      </c>
      <c r="Q3245">
        <f>IFERROR(1/(IF(Inputs!$B$39="pvp",15,MAX(0.1,Skills!D9-IF(Skills!E9=TRUE,4.0,0)))*(1-IF(AND(ArtifactsInput!$M$27,Inputs!$B$4="Chapter Hunt"),CHOOSE(ArtifactsInput!$N$27+1,20,24,28,32,36,40),0)/100)),0)</f>
        <v/>
      </c>
      <c r="R3245">
        <f>IF(AND(Inputs!$B$39&lt;&gt;"pvp",Inputs!$B$44&gt;0),IF(MAX(0,Inputs!$B$44-B3276)&lt;=0,0,(INT(MAX(0,Inputs!$B$44-B3276)/(IF(Inputs!$B$39="pvp",15,MAX(0.1,Skills!D9-IF(Skills!E9=TRUE,4.0,0)))*(1-IF(AND(ArtifactsInput!$M$27,Inputs!$B$4="Chapter Hunt"),CHOOSE(ArtifactsInput!$N$27+1,20,24,28,32,36,40),0)/100)))+1)),0)</f>
        <v/>
      </c>
      <c r="S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$21+Skills!O9+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$22+Skills!P9+B3268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Skills!A10</f>
        <v/>
      </c>
      <c r="B3246">
        <f>Skills!B10</f>
        <v/>
      </c>
      <c r="C3246">
        <f>Inputs!$B$3&gt;=66</f>
        <v/>
      </c>
      <c r="D3246">
        <f>IF(Skills!C10=1,60+Inputs!$B$26+Inputs!$B$30,IF(Skills!C10=2,90+Inputs!$B$27+Inputs!$B$30,IF(Skills!C10=3,120+Inputs!$B$28+Inputs!$B$30,MAX(0,(Inputs!$B$3-100)*3)+Inputs!$B$29+Inputs!$B$30)))</f>
        <v/>
      </c>
      <c r="E3246">
        <f>INDEX(FactorTable!$B$2:$Y$301, MATCH(ROUND(MIN(300,MAX(1,D3246)),0), FactorTable!$A$2:$A$301,0), Skills!L10+1)</f>
        <v/>
      </c>
      <c r="F3246" t="n">
        <v>0</v>
      </c>
      <c r="G3246">
        <f>Calc!G10</f>
        <v/>
      </c>
      <c r="H3246">
        <f>Calc!H10</f>
        <v/>
      </c>
      <c r="I3246">
        <f>IF(Skills!T10&lt;&gt;"",1+(Skills!T10/10)*($Z$3/1000)/100,1)</f>
        <v/>
      </c>
      <c r="J3246" t="inlineStr"/>
      <c r="K3246" t="inlineStr"/>
      <c r="L3246" t="inlineStr"/>
      <c r="M3246" t="inlineStr"/>
      <c r="N3246" t="inlineStr"/>
      <c r="O3246">
        <f>(1-Summary!$B$11)*S3246+Summary!$B$11*U3246</f>
        <v/>
      </c>
      <c r="P3246">
        <f>IF(B3279=0,0,O3246/B3279)</f>
        <v/>
      </c>
      <c r="Q3246">
        <f>IFERROR(1/(IF(Inputs!$B$39="pvp",15,MAX(0.1,Skills!D10-IF(Skills!E10=TRUE,4.0,0)))*(1-IF(AND(ArtifactsInput!$M$27,Inputs!$B$4="Chapter Hunt"),CHOOSE(ArtifactsInput!$N$27+1,20,24,28,32,36,40),0)/100)),0)</f>
        <v/>
      </c>
      <c r="R3246">
        <f>IF(AND(Inputs!$B$39&lt;&gt;"pvp",Inputs!$B$44&gt;0),IF(MAX(0,Inputs!$B$44-B3276)&lt;=0,0,(INT(MAX(0,Inputs!$B$44-B3276)/(IF(Inputs!$B$39="pvp",15,MAX(0.1,Skills!D10-IF(Skills!E10=TRUE,4.0,0)))*(1-IF(AND(ArtifactsInput!$M$27,Inputs!$B$4="Chapter Hunt"),CHOOSE(ArtifactsInput!$N$27+1,20,24,28,32,36,40),0)/100)))+1)),0)</f>
        <v/>
      </c>
      <c r="S3246" t="n">
        <v>0</v>
      </c>
      <c r="U3246" t="n">
        <v>0</v>
      </c>
    </row>
    <row r="3247">
      <c r="A3247">
        <f>Skills!A11</f>
        <v/>
      </c>
      <c r="B3247">
        <f>Skills!B11</f>
        <v/>
      </c>
      <c r="C3247">
        <f>Inputs!$B$3&gt;=69</f>
        <v/>
      </c>
      <c r="D3247">
        <f>IF(Skills!C11=1,60+Inputs!$B$26+Inputs!$B$30,IF(Skills!C11=2,90+Inputs!$B$27+Inputs!$B$30,IF(Skills!C11=3,120+Inputs!$B$28+Inputs!$B$30,MAX(0,(Inputs!$B$3-100)*3)+Inputs!$B$29+Inputs!$B$30)))</f>
        <v/>
      </c>
      <c r="E3247">
        <f>INDEX(FactorTable!$B$2:$Y$301, MATCH(ROUND(MIN(300,MAX(1,D3247)),0), FactorTable!$A$2:$A$301,0), Skills!L11+1)</f>
        <v/>
      </c>
      <c r="F3247">
        <f>IF(Skills!M11=TRUE,(Skills!K11/10)*(E3247/1000),Skills!K11/10)+Skills!N11</f>
        <v/>
      </c>
      <c r="G3247">
        <f>Calc!G11</f>
        <v/>
      </c>
      <c r="H3247">
        <f>Calc!H11</f>
        <v/>
      </c>
      <c r="I3247">
        <f>IF(Skills!T11&lt;&gt;"",1+(Skills!T11/10)*($Z$3/1000)/100,1)</f>
        <v/>
      </c>
      <c r="J3247" t="inlineStr"/>
      <c r="K3247" t="inlineStr"/>
      <c r="L3247" t="inlineStr"/>
      <c r="M3247" t="inlineStr"/>
      <c r="N3247" t="inlineStr"/>
      <c r="O3247">
        <f>(1-Summary!$B$11)*S3247+Summary!$B$11*U3247</f>
        <v/>
      </c>
      <c r="P3247">
        <f>IF(B3279=0,0,O3247/B3279)</f>
        <v/>
      </c>
      <c r="Q3247">
        <f>IFERROR(1/(IF(Inputs!$B$39="pvp",15,MAX(0.1,Skills!D11-IF(Skills!E11=TRUE,4.0,0)))*(1-IF(AND(ArtifactsInput!$M$27,Inputs!$B$4="Chapter Hunt"),CHOOSE(ArtifactsInput!$N$27+1,20,24,28,32,36,40),0)/100)),0)</f>
        <v/>
      </c>
      <c r="R3247">
        <f>IF(AND(Inputs!$B$39&lt;&gt;"pvp",Inputs!$B$44&gt;0),IF(Inputs!$B$44&lt;=0,0,(INT(Inputs!$B$44/(IF(Inputs!$B$39="pvp",15,MAX(0.1,Skills!D11-IF(Skills!E11=TRUE,4.0,0)))*(1-IF(AND(ArtifactsInput!$M$27,Inputs!$B$4="Chapter Hunt"),CHOOSE(ArtifactsInput!$N$27+1,20,24,28,32,36,40),0)/100)))+1)),0)</f>
        <v/>
      </c>
      <c r="S3247" t="n">
        <v>0</v>
      </c>
      <c r="U3247" t="n">
        <v>0</v>
      </c>
    </row>
    <row r="3248">
      <c r="A3248">
        <f>Skills!A12</f>
        <v/>
      </c>
      <c r="B3248">
        <f>Skills!B12</f>
        <v/>
      </c>
      <c r="C3248">
        <f>Inputs!$B$3&gt;=72</f>
        <v/>
      </c>
      <c r="D3248">
        <f>IF(Skills!C12=1,60+Inputs!$B$26+Inputs!$B$30,IF(Skills!C12=2,90+Inputs!$B$27+Inputs!$B$30,IF(Skills!C12=3,120+Inputs!$B$28+Inputs!$B$30,MAX(0,(Inputs!$B$3-100)*3)+Inputs!$B$29+Inputs!$B$30)))</f>
        <v/>
      </c>
      <c r="E3248">
        <f>INDEX(FactorTable!$B$2:$Y$301, MATCH(ROUND(MIN(300,MAX(1,D3248)),0), FactorTable!$A$2:$A$301,0), Skills!L12+1)</f>
        <v/>
      </c>
      <c r="F3248">
        <f>IF(Skills!M12=TRUE,(Skills!K12/10)*(E3248/1000),Skills!K12/10)+Skills!N12</f>
        <v/>
      </c>
      <c r="G3248">
        <f>Calc!G12</f>
        <v/>
      </c>
      <c r="H3248">
        <f>Calc!H12</f>
        <v/>
      </c>
      <c r="I3248">
        <f>IF(Skills!T12&lt;&gt;"",1+(Skills!T12/10)*($Z$3/1000)/100,1)</f>
        <v/>
      </c>
      <c r="J3248" t="inlineStr"/>
      <c r="K3248" t="inlineStr"/>
      <c r="L3248" t="inlineStr"/>
      <c r="M3248" t="inlineStr"/>
      <c r="N3248" t="inlineStr"/>
      <c r="O3248">
        <f>(1-Summary!$B$11)*S3248+Summary!$B$11*U3248</f>
        <v/>
      </c>
      <c r="P3248">
        <f>IF(B3279=0,0,O3248/B3279)</f>
        <v/>
      </c>
      <c r="Q3248">
        <f>IFERROR(1/(IF(Inputs!$B$39="pvp",15,MAX(0.1,Skills!D12-IF(Skills!E12=TRUE,4.0,0)))*(1-IF(AND(ArtifactsInput!$M$27,Inputs!$B$4="Chapter Hunt"),CHOOSE(ArtifactsInput!$N$27+1,20,24,28,32,36,40),0)/100)),0)</f>
        <v/>
      </c>
      <c r="R3248">
        <f>IF(AND(Inputs!$B$39&lt;&gt;"pvp",Inputs!$B$44&gt;0),IF(MAX(0,Inputs!$B$44-B3276)&lt;=0,0,(INT(MAX(0,Inputs!$B$44-B3276)/(IF(Inputs!$B$39="pvp",15,MAX(0.1,Skills!D12-IF(Skills!E12=TRUE,4.0,0)))*(1-IF(AND(ArtifactsInput!$M$27,Inputs!$B$4="Chapter Hunt"),CHOOSE(ArtifactsInput!$N$27+1,20,24,28,32,36,40),0)/100)))+1)),0)</f>
        <v/>
      </c>
      <c r="S3248" t="n">
        <v>0</v>
      </c>
      <c r="U3248" t="n">
        <v>0</v>
      </c>
    </row>
    <row r="3249">
      <c r="A3249">
        <f>Skills!A13</f>
        <v/>
      </c>
      <c r="B3249">
        <f>Skills!B13</f>
        <v/>
      </c>
      <c r="C3249">
        <f>Inputs!$B$3&gt;=60</f>
        <v/>
      </c>
      <c r="D3249">
        <f>IF(Skills!C13=1,60+Inputs!$B$26+Inputs!$B$30,IF(Skills!C13=2,90+Inputs!$B$27+Inputs!$B$30,IF(Skills!C13=3,120+Inputs!$B$28+Inputs!$B$30,MAX(0,(Inputs!$B$3-100)*3)+Inputs!$B$29+Inputs!$B$30)))</f>
        <v/>
      </c>
      <c r="E3249">
        <f>INDEX(FactorTable!$B$2:$Y$301, MATCH(ROUND(MIN(300,MAX(1,D3249)),0), FactorTable!$A$2:$A$301,0), Skills!L13+1)</f>
        <v/>
      </c>
      <c r="F3249">
        <f>IF(Skills!M13=TRUE,(Skills!K13/10)*(E3249/1000),Skills!K13/10)+Skills!N13</f>
        <v/>
      </c>
      <c r="G3249">
        <f>Calc!G13</f>
        <v/>
      </c>
      <c r="H3249">
        <f>Calc!H13</f>
        <v/>
      </c>
      <c r="I3249">
        <f>IF(Skills!T13&lt;&gt;"",1+(Skills!T13/10)*($Z$3/1000)/100,1)</f>
        <v/>
      </c>
      <c r="J3249" t="inlineStr"/>
      <c r="K3249" t="inlineStr"/>
      <c r="L3249" t="inlineStr"/>
      <c r="M3249" t="inlineStr"/>
      <c r="N3249" t="inlineStr"/>
      <c r="O3249">
        <f>(1-Summary!$B$11)*S3249+Summary!$B$11*U3249</f>
        <v/>
      </c>
      <c r="P3249">
        <f>IF(B3279=0,0,O3249/B3279)</f>
        <v/>
      </c>
      <c r="Q3249">
        <f>IFERROR(1/(IF(Inputs!$B$39="pvp",15,MAX(0.1,Skills!D13-IF(Skills!E13=TRUE,4.0,0)))*(1-IF(AND(ArtifactsInput!$M$27,Inputs!$B$4="Chapter Hunt"),CHOOSE(ArtifactsInput!$N$27+1,20,24,28,32,36,40),0)/100)),0)</f>
        <v/>
      </c>
      <c r="R3249">
        <f>IF(AND(Inputs!$B$39&lt;&gt;"pvp",Inputs!$B$44&gt;0),IF(MAX(0,Inputs!$B$44-B3276)&lt;=0,0,(INT(MAX(0,Inputs!$B$44-B3276)/(IF(Inputs!$B$39="pvp",15,MAX(0.1,Skills!D13-IF(Skills!E13=TRUE,4.0,0)))*(1-IF(AND(ArtifactsInput!$M$27,Inputs!$B$4="Chapter Hunt"),CHOOSE(ArtifactsInput!$N$27+1,20,24,28,32,36,40),0)/100)))+1)),0)</f>
        <v/>
      </c>
      <c r="S3249" t="n">
        <v>0</v>
      </c>
      <c r="U3249" t="n">
        <v>0</v>
      </c>
    </row>
    <row r="3250">
      <c r="A3250">
        <f>Skills!A14</f>
        <v/>
      </c>
      <c r="B3250">
        <f>Skills!B14</f>
        <v/>
      </c>
      <c r="C3250">
        <f>Inputs!$B$3&gt;=107</f>
        <v/>
      </c>
      <c r="D3250">
        <f>IF(Skills!C14=1,60+Inputs!$B$26+Inputs!$B$30,IF(Skills!C14=2,90+Inputs!$B$27+Inputs!$B$30,IF(Skills!C14=3,120+Inputs!$B$28+Inputs!$B$30,MAX(0,(Inputs!$B$3-100)*3)+Inputs!$B$29+Inputs!$B$30)))</f>
        <v/>
      </c>
      <c r="E3250">
        <f>INDEX(FactorTable!$B$2:$Y$301, MATCH(ROUND(MIN(300,MAX(1,D3250)),0), FactorTable!$A$2:$A$301,0), Skills!L14+1)</f>
        <v/>
      </c>
      <c r="F3250">
        <f>IF(Skills!M14=TRUE,(Skills!K14/10)*(E3250/1000),Skills!K14/10)+Skills!N14</f>
        <v/>
      </c>
      <c r="G3250">
        <f>Calc!G14</f>
        <v/>
      </c>
      <c r="H3250">
        <f>Calc!H14</f>
        <v/>
      </c>
      <c r="I3250">
        <f>IF(Skills!T14&lt;&gt;"",1+(Skills!T14/10)*($Z$3/1000)/100,1)</f>
        <v/>
      </c>
      <c r="J3250" t="inlineStr"/>
      <c r="K3250" t="inlineStr"/>
      <c r="L3250" t="inlineStr"/>
      <c r="M3250" t="inlineStr"/>
      <c r="N3250" t="inlineStr"/>
      <c r="O3250">
        <f>(1-Summary!$B$11)*S3250+Summary!$B$11*U3250</f>
        <v/>
      </c>
      <c r="P3250">
        <f>IF(B3279=0,0,O3250/B3279)</f>
        <v/>
      </c>
      <c r="Q3250">
        <f>IFERROR(1/(IF(Inputs!$B$39="pvp",15,MAX(0.1,Skills!D14-IF(Skills!E14=TRUE,4.0,0)))*(1-IF(AND(ArtifactsInput!$M$27,Inputs!$B$4="Chapter Hunt"),CHOOSE(ArtifactsInput!$N$27+1,20,24,28,32,36,40),0)/100)),0)</f>
        <v/>
      </c>
      <c r="R3250">
        <f>IF(AND(Inputs!$B$39&lt;&gt;"pvp",Inputs!$B$44&gt;0),IF(Inputs!$B$44&lt;=0,0,(INT(Inputs!$B$44/(IF(Inputs!$B$39="pvp",15,MAX(0.1,Skills!D14-IF(Skills!E14=TRUE,4.0,0)))*(1-IF(AND(ArtifactsInput!$M$27,Inputs!$B$4="Chapter Hunt"),CHOOSE(ArtifactsInput!$N$27+1,20,24,28,32,36,40),0)/100)))+1)),0)</f>
        <v/>
      </c>
      <c r="S3250" t="n">
        <v>0</v>
      </c>
      <c r="U3250" t="n">
        <v>0</v>
      </c>
    </row>
    <row r="3251">
      <c r="A3251">
        <f>Skills!A15</f>
        <v/>
      </c>
      <c r="B3251">
        <f>Skills!B15</f>
        <v/>
      </c>
      <c r="C3251">
        <f>Inputs!$B$3&gt;=63</f>
        <v/>
      </c>
      <c r="D3251">
        <f>IF(Skills!C15=1,60+Inputs!$B$26+Inputs!$B$30,IF(Skills!C15=2,90+Inputs!$B$27+Inputs!$B$30,IF(Skills!C15=3,120+Inputs!$B$28+Inputs!$B$30,MAX(0,(Inputs!$B$3-100)*3)+Inputs!$B$29+Inputs!$B$30)))</f>
        <v/>
      </c>
      <c r="E3251">
        <f>INDEX(FactorTable!$B$2:$Y$301, MATCH(ROUND(MIN(300,MAX(1,D3251)),0), FactorTable!$A$2:$A$301,0), Skills!L15+1)</f>
        <v/>
      </c>
      <c r="F3251">
        <f>IF(Skills!M15=TRUE,(Skills!K15/10)*(E3251/1000),Skills!K15/10)+Skills!N15</f>
        <v/>
      </c>
      <c r="G3251">
        <f>Calc!G15</f>
        <v/>
      </c>
      <c r="H3251">
        <f>Calc!H15</f>
        <v/>
      </c>
      <c r="I3251">
        <f>IF(Skills!T15&lt;&gt;"",1+(Skills!T15/10)*($Z$3/1000)/100,1)</f>
        <v/>
      </c>
      <c r="J3251">
        <f>((Inputs!$B$6*(1+Inputs!$B$7/100))+(((Inputs!$B$13*(1+Inputs!$B$14/100))-(Inputs!$B$13*(1+Inputs!$B$14/100)))+0.25*(Inputs!$B$15-Inputs!$B$15))*(1+Inputs!$B$7/100))*(F3251/100)</f>
        <v/>
      </c>
      <c r="K3251">
        <f>J3251*(1+(((Inputs!$B$13+IF(Inputs!$B$3&gt;=35,(10*INDEX(FactorTable!$B$2:$Y$301,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15="TRIUMPH_FEATHER",IF(C3252=TRUE,F3252,0),0)/100)*(1+IF(C3263=TRUE,F3263,0)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3251)</f>
        <v/>
      </c>
      <c r="L3251">
        <f>K3251*(MIN(Inputs!$B$23+(F3258-Calc!F22),(Inputs!$B$24+IF(ArtifactsInput!$M$15,CHOOSE(ArtifactsInput!$N$15+1,25,30,35,40,45,50)/100*(Inputs!$B$12-Inputs!$B$12),0)))/100+(Inputs!$B$24+IF(ArtifactsInput!$M$15,CHOOSE(ArtifactsInput!$N$15+1,25,30,35,40,45,50)/100*(Inputs!$B$12-Inputs!$B$12),0))/100)/2</f>
        <v/>
      </c>
      <c r="M3251">
        <f>L3251*(1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51">
        <f>L3251*(1-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1">
        <f>(1-Summary!$B$11)*S3251+Summary!$B$11*U3251</f>
        <v/>
      </c>
      <c r="P3251">
        <f>IF(B3279=0,0,O3251/B3279)</f>
        <v/>
      </c>
      <c r="Q3251">
        <f>IFERROR(1/(IF(Inputs!$B$39="pvp",15,MAX(0.1,Skills!D15-IF(Skills!E15=TRUE,4.0,0)))*(1-IF(AND(ArtifactsInput!$M$27,Inputs!$B$4="Chapter Hunt"),CHOOSE(ArtifactsInput!$N$27+1,20,24,28,32,36,40),0)/100)),0)</f>
        <v/>
      </c>
      <c r="R3251" t="n">
        <v>0</v>
      </c>
      <c r="S3251">
        <f>IF(C3251,(Skills!F15*N3251*((IF(Inputs!$B$3&gt;=78,25,15)/100*B3272*10)/(1+IF(Inputs!$B$3&gt;=78,25,15)/100*B3272*10))*(Skills!I15/100*B3272)/(1+Skills!G15*Skills!I15/100*B3272))*IF(Inputs!$B$39="pvp",1,1+(Inputs!$B$21+Skills!O15+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3251*(1-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51">
        <f>IF(C3251,(Skills!F15*N3251*((IF(Inputs!$B$3&gt;=78,25,15)/100*B3272*10)/(1+IF(Inputs!$B$3&gt;=78,25,15)/100*B3272*10))*(Skills!I15/100*B3272)/(1+Skills!G15*Skills!I15/100*B3272))*IF(Inputs!$B$39="pvp",1,(1+(Inputs!$B$22+Skills!P15+B3268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2">
      <c r="A3252">
        <f>Skills!A16</f>
        <v/>
      </c>
      <c r="B3252">
        <f>Skills!B16</f>
        <v/>
      </c>
      <c r="C3252">
        <f>Inputs!$B$3&gt;=100</f>
        <v/>
      </c>
      <c r="D3252">
        <f>IF(Skills!C16=1,60+Inputs!$B$26+Inputs!$B$30,IF(Skills!C16=2,90+Inputs!$B$27+Inputs!$B$30,IF(Skills!C16=3,120+Inputs!$B$28+Inputs!$B$30,MAX(0,(Inputs!$B$3-100)*3)+Inputs!$B$29+Inputs!$B$30)))</f>
        <v/>
      </c>
      <c r="E3252">
        <f>INDEX(FactorTable!$B$2:$Y$301, MATCH(ROUND(MIN(300,MAX(1,D3252)),0), FactorTable!$A$2:$A$301,0), Skills!L16+1)</f>
        <v/>
      </c>
      <c r="F3252">
        <f>IF(Skills!M16=TRUE,(Skills!K16/10)*(E3252/1000),Skills!K16/10)+Skills!N16</f>
        <v/>
      </c>
      <c r="G3252">
        <f>Calc!G16</f>
        <v/>
      </c>
      <c r="H3252">
        <f>Calc!H16</f>
        <v/>
      </c>
      <c r="I3252">
        <f>IF(Skills!T16&lt;&gt;"",1+(Skills!T16/10)*($Z$3/1000)/100,1)</f>
        <v/>
      </c>
      <c r="J3252" t="inlineStr"/>
      <c r="K3252" t="inlineStr"/>
      <c r="L3252" t="inlineStr"/>
      <c r="M3252" t="inlineStr"/>
      <c r="N3252" t="inlineStr"/>
      <c r="O3252">
        <f>(1-Summary!$B$11)*S3252+Summary!$B$11*U3252</f>
        <v/>
      </c>
      <c r="P3252">
        <f>IF(B3279=0,0,O3252/B3279)</f>
        <v/>
      </c>
      <c r="Q3252">
        <f>IFERROR(1/(IF(Inputs!$B$39="pvp",15,MAX(0.1,Skills!D16-IF(Skills!E16=TRUE,4.0,0)))*(1-IF(AND(ArtifactsInput!$M$27,Inputs!$B$4="Chapter Hunt"),CHOOSE(ArtifactsInput!$N$27+1,20,24,28,32,36,40),0)/100)),0)</f>
        <v/>
      </c>
      <c r="R3252" t="n">
        <v>0</v>
      </c>
      <c r="S3252" t="n">
        <v>0</v>
      </c>
      <c r="U3252" t="n">
        <v>0</v>
      </c>
    </row>
    <row r="3253">
      <c r="A3253">
        <f>Skills!A17</f>
        <v/>
      </c>
      <c r="B3253">
        <f>Skills!B17</f>
        <v/>
      </c>
      <c r="C3253">
        <f>Inputs!$B$3&gt;=49</f>
        <v/>
      </c>
      <c r="D3253">
        <f>IF(Skills!C17=1,60+Inputs!$B$26+Inputs!$B$30,IF(Skills!C17=2,90+Inputs!$B$27+Inputs!$B$30,IF(Skills!C17=3,120+Inputs!$B$28+Inputs!$B$30,MAX(0,(Inputs!$B$3-100)*3)+Inputs!$B$29+Inputs!$B$30)))</f>
        <v/>
      </c>
      <c r="E3253">
        <f>INDEX(FactorTable!$B$2:$Y$301, MATCH(ROUND(MIN(300,MAX(1,D3253)),0), FactorTable!$A$2:$A$301,0), Skills!L17+1)</f>
        <v/>
      </c>
      <c r="F3253">
        <f>IF(Skills!M17=TRUE,(Skills!K17/10)*(E3253/1000),Skills!K17/10)+Skills!N17</f>
        <v/>
      </c>
      <c r="G3253">
        <f>Calc!G17</f>
        <v/>
      </c>
      <c r="H3253">
        <f>Calc!H17</f>
        <v/>
      </c>
      <c r="I3253">
        <f>IF(Skills!T17&lt;&gt;"",1+(Skills!T17/10)*($Z$3/1000)/100,1)</f>
        <v/>
      </c>
      <c r="J3253" t="inlineStr"/>
      <c r="K3253" t="inlineStr"/>
      <c r="L3253" t="inlineStr"/>
      <c r="M3253" t="inlineStr"/>
      <c r="N3253" t="inlineStr"/>
      <c r="O3253">
        <f>(1-Summary!$B$11)*S3253+Summary!$B$11*U3253</f>
        <v/>
      </c>
      <c r="P3253">
        <f>IF(B3279=0,0,O3253/B3279)</f>
        <v/>
      </c>
      <c r="Q3253">
        <f>IFERROR(1/(IF(Inputs!$B$39="pvp",15,MAX(0.1,Skills!D17-IF(Skills!E17=TRUE,4.0,0)))*(1-IF(AND(ArtifactsInput!$M$27,Inputs!$B$4="Chapter Hunt"),CHOOSE(ArtifactsInput!$N$27+1,20,24,28,32,36,40),0)/100)),0)</f>
        <v/>
      </c>
      <c r="R3253" t="n">
        <v>0</v>
      </c>
      <c r="S3253" t="n">
        <v>0</v>
      </c>
      <c r="U3253" t="n">
        <v>0</v>
      </c>
    </row>
    <row r="3254">
      <c r="A3254">
        <f>Skills!A18</f>
        <v/>
      </c>
      <c r="B3254">
        <f>Skills!B18</f>
        <v/>
      </c>
      <c r="C3254">
        <f>Inputs!$B$3&gt;=75</f>
        <v/>
      </c>
      <c r="D3254">
        <f>IF(Skills!C18=1,60+Inputs!$B$26+Inputs!$B$30,IF(Skills!C18=2,90+Inputs!$B$27+Inputs!$B$30,IF(Skills!C18=3,120+Inputs!$B$28+Inputs!$B$30,MAX(0,(Inputs!$B$3-100)*3)+Inputs!$B$29+Inputs!$B$30)))</f>
        <v/>
      </c>
      <c r="E3254">
        <f>INDEX(FactorTable!$B$2:$Y$301, MATCH(ROUND(MIN(300,MAX(1,D3254)),0), FactorTable!$A$2:$A$301,0), Skills!L18+1)</f>
        <v/>
      </c>
      <c r="F3254">
        <f>IF(Skills!M18=TRUE,(Skills!K18/10)*(E3254/1000),Skills!K18/10)+Skills!N18</f>
        <v/>
      </c>
      <c r="G3254">
        <f>Calc!G18</f>
        <v/>
      </c>
      <c r="H3254">
        <f>Calc!H18</f>
        <v/>
      </c>
      <c r="I3254">
        <f>IF(Skills!T18&lt;&gt;"",1+(Skills!T18/10)*($Z$3/1000)/100,1)</f>
        <v/>
      </c>
      <c r="J3254" t="inlineStr"/>
      <c r="K3254" t="inlineStr"/>
      <c r="L3254" t="inlineStr"/>
      <c r="M3254" t="inlineStr"/>
      <c r="N3254" t="inlineStr"/>
      <c r="O3254">
        <f>(1-Summary!$B$11)*S3254+Summary!$B$11*U3254</f>
        <v/>
      </c>
      <c r="P3254">
        <f>IF(B3279=0,0,O3254/B3279)</f>
        <v/>
      </c>
      <c r="Q3254">
        <f>IFERROR(1/(IF(Inputs!$B$39="pvp",15,MAX(0.1,Skills!D18-IF(Skills!E18=TRUE,4.0,0)))*(1-IF(AND(ArtifactsInput!$M$27,Inputs!$B$4="Chapter Hunt"),CHOOSE(ArtifactsInput!$N$27+1,20,24,28,32,36,40),0)/100)),0)</f>
        <v/>
      </c>
      <c r="R3254" t="n">
        <v>0</v>
      </c>
      <c r="S3254" t="n">
        <v>0</v>
      </c>
      <c r="U3254" t="n">
        <v>0</v>
      </c>
    </row>
    <row r="3255">
      <c r="A3255">
        <f>Skills!A19</f>
        <v/>
      </c>
      <c r="B3255">
        <f>Skills!B19</f>
        <v/>
      </c>
      <c r="C3255">
        <f>Inputs!$B$3&gt;=110</f>
        <v/>
      </c>
      <c r="D3255">
        <f>IF(Skills!C19=1,60+Inputs!$B$26+Inputs!$B$30,IF(Skills!C19=2,90+Inputs!$B$27+Inputs!$B$30,IF(Skills!C19=3,120+Inputs!$B$28+Inputs!$B$30,MAX(0,(Inputs!$B$3-100)*3)+Inputs!$B$29+Inputs!$B$30)))</f>
        <v/>
      </c>
      <c r="E3255">
        <f>INDEX(FactorTable!$B$2:$Y$301, MATCH(ROUND(MIN(300,MAX(1,D3255)),0), FactorTable!$A$2:$A$301,0), Skills!L19+1)</f>
        <v/>
      </c>
      <c r="F3255">
        <f>(Skills!K19/10)*(E3255/1000)*64/45+Skills!N19</f>
        <v/>
      </c>
      <c r="G3255">
        <f>Calc!G19</f>
        <v/>
      </c>
      <c r="H3255">
        <f>Calc!H19</f>
        <v/>
      </c>
      <c r="I3255">
        <f>IF(Skills!T19&lt;&gt;"",1+(Skills!T19/10)*($Z$3/1000)/100,1)</f>
        <v/>
      </c>
      <c r="J3255" t="inlineStr"/>
      <c r="K3255" t="inlineStr"/>
      <c r="L3255" t="inlineStr"/>
      <c r="M3255" t="inlineStr"/>
      <c r="N3255" t="inlineStr"/>
      <c r="O3255">
        <f>(1-Summary!$B$11)*S3255+Summary!$B$11*U3255</f>
        <v/>
      </c>
      <c r="P3255">
        <f>IF(B3279=0,0,O3255/B3279)</f>
        <v/>
      </c>
      <c r="Q3255">
        <f>IFERROR(1/(IF(Inputs!$B$39="pvp",15,MAX(0.1,Skills!D19-IF(Skills!E19=TRUE,4.0,0)))*(1-IF(AND(ArtifactsInput!$M$27,Inputs!$B$4="Chapter Hunt"),CHOOSE(ArtifactsInput!$N$27+1,20,24,28,32,36,40),0)/100)),0)</f>
        <v/>
      </c>
      <c r="R3255">
        <f>IF(AND(Inputs!$B$39&lt;&gt;"pvp",Inputs!$B$44&gt;0),IF(Inputs!$B$44&lt;=0,0,(INT(Inputs!$B$44/(IF(Inputs!$B$39="pvp",15,MAX(0.1,Skills!D19-IF(Skills!E19=TRUE,4.0,0)))*(1-IF(AND(ArtifactsInput!$M$27,Inputs!$B$4="Chapter Hunt"),CHOOSE(ArtifactsInput!$N$27+1,20,24,28,32,36,40),0)/100)))+1)),0)</f>
        <v/>
      </c>
      <c r="S3255" t="n">
        <v>0</v>
      </c>
      <c r="U3255" t="n">
        <v>0</v>
      </c>
    </row>
    <row r="3256">
      <c r="A3256">
        <f>Skills!A20</f>
        <v/>
      </c>
      <c r="B3256">
        <f>Skills!B20</f>
        <v/>
      </c>
      <c r="C3256">
        <f>Inputs!$B$3&gt;=125</f>
        <v/>
      </c>
      <c r="D3256">
        <f>IF(Skills!C20=1,60+Inputs!$B$26+Inputs!$B$30,IF(Skills!C20=2,90+Inputs!$B$27+Inputs!$B$30,IF(Skills!C20=3,120+Inputs!$B$28+Inputs!$B$30,MAX(0,(Inputs!$B$3-100)*3)+Inputs!$B$29+Inputs!$B$30)))</f>
        <v/>
      </c>
      <c r="E3256">
        <f>INDEX(FactorTable!$B$2:$Y$301, MATCH(ROUND(MIN(300,MAX(1,D3256)),0), FactorTable!$A$2:$A$301,0), Skills!L20+1)</f>
        <v/>
      </c>
      <c r="F3256">
        <f>IF(Skills!M20=TRUE,(Skills!K20/10)*(E3256/1000),Skills!K20/10)+Skills!N20</f>
        <v/>
      </c>
      <c r="G3256">
        <f>Calc!G20</f>
        <v/>
      </c>
      <c r="H3256">
        <f>Calc!H20</f>
        <v/>
      </c>
      <c r="I3256">
        <f>IF(Skills!T20&lt;&gt;"",1+(Skills!T20/10)*($Z$3/1000)/100,1)</f>
        <v/>
      </c>
      <c r="J3256" t="inlineStr"/>
      <c r="K3256" t="inlineStr"/>
      <c r="L3256" t="inlineStr"/>
      <c r="M3256" t="inlineStr"/>
      <c r="N3256" t="inlineStr"/>
      <c r="O3256">
        <f>(1-Summary!$B$11)*S3256+Summary!$B$11*U3256</f>
        <v/>
      </c>
      <c r="P3256">
        <f>IF(B3279=0,0,O3256/B3279)</f>
        <v/>
      </c>
      <c r="Q3256">
        <f>IFERROR(1/(IF(Inputs!$B$39="pvp",15,MAX(0.1,Skills!D20-IF(Skills!E20=TRUE,4.0,0)))*(1-IF(AND(ArtifactsInput!$M$27,Inputs!$B$4="Chapter Hunt"),CHOOSE(ArtifactsInput!$N$27+1,20,24,28,32,36,40),0)/100)),0)</f>
        <v/>
      </c>
      <c r="R3256" t="n">
        <v>0</v>
      </c>
      <c r="S3256" t="n">
        <v>0</v>
      </c>
      <c r="U3256" t="n">
        <v>0</v>
      </c>
    </row>
    <row r="3257">
      <c r="A3257">
        <f>Skills!A21</f>
        <v/>
      </c>
      <c r="B3257">
        <f>Skills!B21</f>
        <v/>
      </c>
      <c r="C3257">
        <f>Inputs!$B$3&gt;=33</f>
        <v/>
      </c>
      <c r="D3257">
        <f>IF(Skills!C21=1,60+Inputs!$B$26+Inputs!$B$30,IF(Skills!C21=2,90+Inputs!$B$27+Inputs!$B$30,IF(Skills!C21=3,120+Inputs!$B$28+Inputs!$B$30,MAX(0,(Inputs!$B$3-100)*3)+Inputs!$B$29+Inputs!$B$30)))</f>
        <v/>
      </c>
      <c r="E3257">
        <f>INDEX(FactorTable!$B$2:$Y$301, MATCH(ROUND(MIN(300,MAX(1,D3257)),0), FactorTable!$A$2:$A$301,0), Skills!L21+1)</f>
        <v/>
      </c>
      <c r="F3257">
        <f>IF(Skills!M21=TRUE,(Skills!K21/10)*(E3257/1000),Skills!K21/10)+Skills!N21</f>
        <v/>
      </c>
      <c r="G3257">
        <f>Calc!G21</f>
        <v/>
      </c>
      <c r="H3257">
        <f>Calc!H21</f>
        <v/>
      </c>
      <c r="I3257">
        <f>IF(Skills!T21&lt;&gt;"",1+(Skills!T21/10)*($Z$3/1000)/100,1)</f>
        <v/>
      </c>
      <c r="J3257" t="inlineStr"/>
      <c r="K3257" t="inlineStr"/>
      <c r="L3257" t="inlineStr"/>
      <c r="M3257" t="inlineStr"/>
      <c r="N3257" t="inlineStr"/>
      <c r="O3257">
        <f>(1-Summary!$B$11)*S3257+Summary!$B$11*U3257</f>
        <v/>
      </c>
      <c r="P3257">
        <f>IF(B3279=0,0,O3257/B3279)</f>
        <v/>
      </c>
      <c r="Q3257">
        <f>IFERROR(1/(IF(Inputs!$B$39="pvp",15,MAX(0.1,Skills!D21-IF(Skills!E21=TRUE,4.0,0)))*(1-IF(AND(ArtifactsInput!$M$27,Inputs!$B$4="Chapter Hunt"),CHOOSE(ArtifactsInput!$N$27+1,20,24,28,32,36,40),0)/100)),0)</f>
        <v/>
      </c>
      <c r="R3257" t="n">
        <v>0</v>
      </c>
      <c r="S3257" t="n">
        <v>0</v>
      </c>
      <c r="U3257" t="n">
        <v>0</v>
      </c>
    </row>
    <row r="3258">
      <c r="A3258">
        <f>Skills!A22</f>
        <v/>
      </c>
      <c r="B3258">
        <f>Skills!B22</f>
        <v/>
      </c>
      <c r="C3258">
        <f>Inputs!$B$3&gt;=43</f>
        <v/>
      </c>
      <c r="D3258">
        <f>IF(Skills!C22=1,60+Inputs!$B$26+Inputs!$B$30,IF(Skills!C22=2,90+Inputs!$B$27+Inputs!$B$30,IF(Skills!C22=3,120+Inputs!$B$28+Inputs!$B$30,MAX(0,(Inputs!$B$3-100)*3)+Inputs!$B$29+Inputs!$B$30)))</f>
        <v/>
      </c>
      <c r="E3258">
        <f>INDEX(FactorTable!$B$2:$Y$301, MATCH(ROUND(MIN(300,MAX(1,D3258)),0), FactorTable!$A$2:$A$301,0), Skills!L22+1)</f>
        <v/>
      </c>
      <c r="F3258">
        <f>IF(Skills!M22=TRUE,(Skills!K22/10)*(E3258/1000),Skills!K22/10)+Skills!N22</f>
        <v/>
      </c>
      <c r="G3258">
        <f>Calc!G22</f>
        <v/>
      </c>
      <c r="H3258">
        <f>Calc!H22</f>
        <v/>
      </c>
      <c r="I3258">
        <f>IF(Skills!T22&lt;&gt;"",1+(Skills!T22/10)*($Z$3/1000)/100,1)</f>
        <v/>
      </c>
      <c r="J3258" t="inlineStr"/>
      <c r="K3258" t="inlineStr"/>
      <c r="L3258" t="inlineStr"/>
      <c r="M3258" t="inlineStr"/>
      <c r="N3258" t="inlineStr"/>
      <c r="O3258">
        <f>(1-Summary!$B$11)*S3258+Summary!$B$11*U3258</f>
        <v/>
      </c>
      <c r="P3258">
        <f>IF(B3279=0,0,O3258/B3279)</f>
        <v/>
      </c>
      <c r="Q3258">
        <f>IFERROR(1/(IF(Inputs!$B$39="pvp",15,MAX(0.1,Skills!D22-IF(Skills!E22=TRUE,4.0,0)))*(1-IF(AND(ArtifactsInput!$M$27,Inputs!$B$4="Chapter Hunt"),CHOOSE(ArtifactsInput!$N$27+1,20,24,28,32,36,40),0)/100)),0)</f>
        <v/>
      </c>
      <c r="R3258" t="n">
        <v>0</v>
      </c>
      <c r="S3258" t="n">
        <v>0</v>
      </c>
      <c r="U3258" t="n">
        <v>0</v>
      </c>
    </row>
    <row r="3259">
      <c r="A3259">
        <f>Skills!A23</f>
        <v/>
      </c>
      <c r="B3259">
        <f>Skills!B23</f>
        <v/>
      </c>
      <c r="C3259">
        <f>Inputs!$B$3&gt;=50</f>
        <v/>
      </c>
      <c r="D3259">
        <f>IF(Skills!C23=1,60+Inputs!$B$26+Inputs!$B$30,IF(Skills!C23=2,90+Inputs!$B$27+Inputs!$B$30,IF(Skills!C23=3,120+Inputs!$B$28+Inputs!$B$30,MAX(0,(Inputs!$B$3-100)*3)+Inputs!$B$29+Inputs!$B$30)))</f>
        <v/>
      </c>
      <c r="E3259">
        <f>INDEX(FactorTable!$B$2:$Y$301, MATCH(ROUND(MIN(300,MAX(1,D3259)),0), FactorTable!$A$2:$A$301,0), Skills!L23+1)</f>
        <v/>
      </c>
      <c r="F3259">
        <f>IF(Skills!M23=TRUE,(Skills!K23/10)*(E3259/1000),Skills!K23/10)+Skills!N23</f>
        <v/>
      </c>
      <c r="G3259">
        <f>Calc!G23</f>
        <v/>
      </c>
      <c r="H3259">
        <f>Calc!H23</f>
        <v/>
      </c>
      <c r="I3259">
        <f>IF(Skills!T23&lt;&gt;"",1+(Skills!T23/10)*($Z$3/1000)/100,1)</f>
        <v/>
      </c>
      <c r="J3259" t="inlineStr"/>
      <c r="K3259" t="inlineStr"/>
      <c r="L3259" t="inlineStr"/>
      <c r="M3259" t="inlineStr"/>
      <c r="N3259" t="inlineStr"/>
      <c r="O3259">
        <f>(1-Summary!$B$11)*S3259+Summary!$B$11*U3259</f>
        <v/>
      </c>
      <c r="P3259">
        <f>IF(B3279=0,0,O3259/B3279)</f>
        <v/>
      </c>
      <c r="Q3259">
        <f>IFERROR(1/(IF(Inputs!$B$39="pvp",15,MAX(0.1,Skills!D23-IF(Skills!E23=TRUE,4.0,0)))*(1-IF(AND(ArtifactsInput!$M$27,Inputs!$B$4="Chapter Hunt"),CHOOSE(ArtifactsInput!$N$27+1,20,24,28,32,36,40),0)/100)),0)</f>
        <v/>
      </c>
      <c r="R3259" t="n">
        <v>0</v>
      </c>
      <c r="S3259" t="n">
        <v>0</v>
      </c>
      <c r="U3259" t="n">
        <v>0</v>
      </c>
    </row>
    <row r="3260">
      <c r="A3260">
        <f>Skills!A24</f>
        <v/>
      </c>
      <c r="B3260">
        <f>Skills!B24</f>
        <v/>
      </c>
      <c r="C3260">
        <f>Inputs!$B$3&gt;=74</f>
        <v/>
      </c>
      <c r="D3260">
        <f>IF(Skills!C24=1,60+Inputs!$B$26+Inputs!$B$30,IF(Skills!C24=2,90+Inputs!$B$27+Inputs!$B$30,IF(Skills!C24=3,120+Inputs!$B$28+Inputs!$B$30,MAX(0,(Inputs!$B$3-100)*3)+Inputs!$B$29+Inputs!$B$30)))</f>
        <v/>
      </c>
      <c r="E3260">
        <f>INDEX(FactorTable!$B$2:$Y$301, MATCH(ROUND(MIN(300,MAX(1,D3260)),0), FactorTable!$A$2:$A$301,0), Skills!L24+1)</f>
        <v/>
      </c>
      <c r="F3260">
        <f>IF(Skills!M24=TRUE,(Skills!K24/10)*(E3260/1000),Skills!K24/10)+Skills!N24</f>
        <v/>
      </c>
      <c r="G3260">
        <f>Calc!G24</f>
        <v/>
      </c>
      <c r="H3260">
        <f>Calc!H24</f>
        <v/>
      </c>
      <c r="I3260">
        <f>IF(Skills!T24&lt;&gt;"",1+(Skills!T24/10)*($Z$3/1000)/100,1)</f>
        <v/>
      </c>
      <c r="J3260" t="inlineStr"/>
      <c r="K3260" t="inlineStr"/>
      <c r="L3260" t="inlineStr"/>
      <c r="M3260" t="inlineStr"/>
      <c r="N3260" t="inlineStr"/>
      <c r="O3260">
        <f>(1-Summary!$B$11)*S3260+Summary!$B$11*U3260</f>
        <v/>
      </c>
      <c r="P3260">
        <f>IF(B3279=0,0,O3260/B3279)</f>
        <v/>
      </c>
      <c r="Q3260">
        <f>IFERROR(1/(IF(Inputs!$B$39="pvp",15,MAX(0.1,Skills!D24-IF(Skills!E24=TRUE,4.0,0)))*(1-IF(AND(ArtifactsInput!$M$27,Inputs!$B$4="Chapter Hunt"),CHOOSE(ArtifactsInput!$N$27+1,20,24,28,32,36,40),0)/100)),0)</f>
        <v/>
      </c>
      <c r="R3260" t="n">
        <v>0</v>
      </c>
      <c r="S3260" t="n">
        <v>0</v>
      </c>
      <c r="U3260" t="n">
        <v>0</v>
      </c>
    </row>
    <row r="3261">
      <c r="A3261">
        <f>Skills!A25</f>
        <v/>
      </c>
      <c r="B3261">
        <f>Skills!B25</f>
        <v/>
      </c>
      <c r="C3261">
        <f>Inputs!$B$3&gt;=74</f>
        <v/>
      </c>
      <c r="D3261">
        <f>IF(Skills!C25=1,60+Inputs!$B$26+Inputs!$B$30,IF(Skills!C25=2,90+Inputs!$B$27+Inputs!$B$30,IF(Skills!C25=3,120+Inputs!$B$28+Inputs!$B$30,MAX(0,(Inputs!$B$3-100)*3)+Inputs!$B$29+Inputs!$B$30)))</f>
        <v/>
      </c>
      <c r="E3261">
        <f>INDEX(FactorTable!$B$2:$Y$301, MATCH(ROUND(MIN(300,MAX(1,D3261)),0), FactorTable!$A$2:$A$301,0), Skills!L25+1)</f>
        <v/>
      </c>
      <c r="F3261">
        <f>IF(Skills!M25=TRUE,(Skills!K25/10)*(E3261/1000),Skills!K25/10)+Skills!N25</f>
        <v/>
      </c>
      <c r="G3261">
        <f>Calc!G25</f>
        <v/>
      </c>
      <c r="H3261">
        <f>Calc!H25</f>
        <v/>
      </c>
      <c r="I3261">
        <f>IF(Skills!T25&lt;&gt;"",1+(Skills!T25/10)*($Z$3/1000)/100,1)</f>
        <v/>
      </c>
      <c r="J3261" t="inlineStr"/>
      <c r="K3261" t="inlineStr"/>
      <c r="L3261" t="inlineStr"/>
      <c r="M3261" t="inlineStr"/>
      <c r="N3261" t="inlineStr"/>
      <c r="O3261">
        <f>(1-Summary!$B$11)*S3261+Summary!$B$11*U3261</f>
        <v/>
      </c>
      <c r="P3261">
        <f>IF(B3279=0,0,O3261/B3279)</f>
        <v/>
      </c>
      <c r="Q3261">
        <f>IFERROR(1/(IF(Inputs!$B$39="pvp",15,MAX(0.1,Skills!D25-IF(Skills!E25=TRUE,4.0,0)))*(1-IF(AND(ArtifactsInput!$M$27,Inputs!$B$4="Chapter Hunt"),CHOOSE(ArtifactsInput!$N$27+1,20,24,28,32,36,40),0)/100)),0)</f>
        <v/>
      </c>
      <c r="R3261" t="n">
        <v>0</v>
      </c>
      <c r="S3261" t="n">
        <v>0</v>
      </c>
      <c r="U3261" t="n">
        <v>0</v>
      </c>
    </row>
    <row r="3262">
      <c r="A3262">
        <f>Skills!A26</f>
        <v/>
      </c>
      <c r="B3262">
        <f>Skills!B26</f>
        <v/>
      </c>
      <c r="C3262">
        <f>Inputs!$B$3&gt;=117</f>
        <v/>
      </c>
      <c r="D3262">
        <f>IF(Skills!C26=1,60+Inputs!$B$26+Inputs!$B$30,IF(Skills!C26=2,90+Inputs!$B$27+Inputs!$B$30,IF(Skills!C26=3,120+Inputs!$B$28+Inputs!$B$30,MAX(0,(Inputs!$B$3-100)*3)+Inputs!$B$29+Inputs!$B$30)))</f>
        <v/>
      </c>
      <c r="E3262">
        <f>INDEX(FactorTable!$B$2:$Y$301, MATCH(ROUND(MIN(300,MAX(1,D3262)),0), FactorTable!$A$2:$A$301,0), Skills!L26+1)</f>
        <v/>
      </c>
      <c r="F3262">
        <f>IF(Skills!M26=TRUE,(Skills!K26/10)*(E3262/1000),Skills!K26/10)+Skills!N26</f>
        <v/>
      </c>
      <c r="G3262">
        <f>Calc!G26</f>
        <v/>
      </c>
      <c r="H3262">
        <f>Calc!H26</f>
        <v/>
      </c>
      <c r="I3262">
        <f>IF(Skills!T26&lt;&gt;"",1+(Skills!T26/10)*($Z$3/1000)/100,1)</f>
        <v/>
      </c>
      <c r="J3262" t="inlineStr"/>
      <c r="K3262" t="inlineStr"/>
      <c r="L3262" t="inlineStr"/>
      <c r="M3262" t="inlineStr"/>
      <c r="N3262" t="inlineStr"/>
      <c r="O3262">
        <f>(1-Summary!$B$11)*S3262+Summary!$B$11*U3262</f>
        <v/>
      </c>
      <c r="P3262">
        <f>IF(B3279=0,0,O3262/B3279)</f>
        <v/>
      </c>
      <c r="Q3262">
        <f>IFERROR(1/(IF(Inputs!$B$39="pvp",15,MAX(0.1,Skills!D26-IF(Skills!E26=TRUE,4.0,0)))*(1-IF(AND(ArtifactsInput!$M$27,Inputs!$B$4="Chapter Hunt"),CHOOSE(ArtifactsInput!$N$27+1,20,24,28,32,36,40),0)/100)),0)</f>
        <v/>
      </c>
      <c r="R3262" t="n">
        <v>0</v>
      </c>
      <c r="S3262" t="n">
        <v>0</v>
      </c>
      <c r="U3262" t="n">
        <v>0</v>
      </c>
    </row>
    <row r="3263">
      <c r="A3263">
        <f>Skills!A27</f>
        <v/>
      </c>
      <c r="B3263">
        <f>Skills!B27</f>
        <v/>
      </c>
      <c r="C3263">
        <f>Inputs!$B$3&gt;=120</f>
        <v/>
      </c>
      <c r="D3263">
        <f>IF(Skills!C27=1,60+Inputs!$B$26+Inputs!$B$30,IF(Skills!C27=2,90+Inputs!$B$27+Inputs!$B$30,IF(Skills!C27=3,120+Inputs!$B$28+Inputs!$B$30,MAX(0,(Inputs!$B$3-100)*3)+Inputs!$B$29+Inputs!$B$30)))</f>
        <v/>
      </c>
      <c r="E3263">
        <f>INDEX(FactorTable!$B$2:$Y$301, MATCH(ROUND(MIN(300,MAX(1,D3263)),0), FactorTable!$A$2:$A$301,0), Skills!L27+1)</f>
        <v/>
      </c>
      <c r="F3263">
        <f>IF(Skills!M27=TRUE,(Skills!K27/10)*(E3263/1000),Skills!K27/10)+Skills!N27</f>
        <v/>
      </c>
      <c r="G3263">
        <f>Calc!G27</f>
        <v/>
      </c>
      <c r="H3263">
        <f>Calc!H27</f>
        <v/>
      </c>
      <c r="I3263">
        <f>IF(Skills!T27&lt;&gt;"",1+(Skills!T27/10)*($Z$3/1000)/100,1)</f>
        <v/>
      </c>
      <c r="J3263" t="inlineStr"/>
      <c r="K3263" t="inlineStr"/>
      <c r="L3263" t="inlineStr"/>
      <c r="M3263" t="inlineStr"/>
      <c r="N3263" t="inlineStr"/>
      <c r="O3263">
        <f>(1-Summary!$B$11)*S3263+Summary!$B$11*U3263</f>
        <v/>
      </c>
      <c r="P3263">
        <f>IF(B3279=0,0,O3263/B3279)</f>
        <v/>
      </c>
      <c r="Q3263">
        <f>IFERROR(1/(IF(Inputs!$B$39="pvp",15,MAX(0.1,Skills!D27-IF(Skills!E27=TRUE,4.0,0)))*(1-IF(AND(ArtifactsInput!$M$27,Inputs!$B$4="Chapter Hunt"),CHOOSE(ArtifactsInput!$N$27+1,20,24,28,32,36,40),0)/100)),0)</f>
        <v/>
      </c>
      <c r="R3263" t="n">
        <v>0</v>
      </c>
      <c r="S3263" t="n">
        <v>0</v>
      </c>
      <c r="U3263" t="n">
        <v>0</v>
      </c>
    </row>
    <row r="3264">
      <c r="A3264">
        <f>Skills!A28</f>
        <v/>
      </c>
      <c r="B3264">
        <f>Skills!B28</f>
        <v/>
      </c>
      <c r="C3264">
        <f>TRUE</f>
        <v/>
      </c>
      <c r="D3264">
        <f>IF(Skills!C28=1,60+Inputs!$B$26+Inputs!$B$30,IF(Skills!C28=2,90+Inputs!$B$27+Inputs!$B$30,IF(Skills!C28=3,120+Inputs!$B$28+Inputs!$B$30,MAX(0,(Inputs!$B$3-100)*3)+Inputs!$B$29+Inputs!$B$30)))</f>
        <v/>
      </c>
      <c r="E3264">
        <f>INDEX(FactorTable!$B$2:$Y$301, MATCH(ROUND(MIN(300,MAX(1,D3264)),0), FactorTable!$A$2:$A$301,0), Skills!L28+1)</f>
        <v/>
      </c>
      <c r="F3264">
        <f>IF(Skills!M28=TRUE,(Skills!K28/10)*(E3264/1000),Skills!K28/10)+Skills!N28</f>
        <v/>
      </c>
      <c r="G3264">
        <f>Calc!G28</f>
        <v/>
      </c>
      <c r="H3264">
        <f>Calc!H28</f>
        <v/>
      </c>
      <c r="I3264">
        <f>IF(Skills!T28&lt;&gt;"",1+(Skills!T28/10)*($Z$3/1000)/100,1)</f>
        <v/>
      </c>
      <c r="J3264" t="inlineStr"/>
      <c r="K3264" t="inlineStr"/>
      <c r="L3264" t="inlineStr"/>
      <c r="M3264" t="inlineStr"/>
      <c r="N3264" t="inlineStr"/>
      <c r="O3264">
        <f>(1-Summary!$B$11)*S3264+Summary!$B$11*U3264</f>
        <v/>
      </c>
      <c r="P3264">
        <f>IF(B3279=0,0,O3264/B3279)</f>
        <v/>
      </c>
      <c r="Q3264">
        <f>IFERROR(1/(IF(Inputs!$B$39="pvp",15,MAX(0.1,Skills!D28-IF(Skills!E28=TRUE,4.0,0)))*(1-IF(AND(ArtifactsInput!$M$27,Inputs!$B$4="Chapter Hunt"),CHOOSE(ArtifactsInput!$N$27+1,20,24,28,32,36,40),0)/100)),0)</f>
        <v/>
      </c>
      <c r="R3264">
        <f>IF(AND(Inputs!$B$39&lt;&gt;"pvp",Inputs!$B$44&gt;0),IF(Inputs!$B$44&lt;=0,0,(INT(Inputs!$B$44/(IF(Inputs!$B$39="pvp",15,MAX(0.1,Skills!D28-IF(Skills!E28=TRUE,4.0,0)))*(1-IF(AND(ArtifactsInput!$M$27,Inputs!$B$4="Chapter Hunt"),CHOOSE(ArtifactsInput!$N$27+1,20,24,28,32,36,40),0)/100)))+1)),0)</f>
        <v/>
      </c>
      <c r="S3264" t="n">
        <v>0</v>
      </c>
      <c r="U3264" t="n">
        <v>0</v>
      </c>
    </row>
    <row r="3266">
      <c r="A3266" t="inlineStr">
        <is>
          <t>Average Buff Multiplier</t>
        </is>
      </c>
      <c r="B3266">
        <f>(1+(IF(C3239=TRUE,F3239*IF(AND(Inputs!$B$39&lt;&gt;"pvp",Inputs!$B$44&gt;0),(((R3239-1)*(Skills!S3*(1+((Inputs!$B$35+(ArtifactsInput!$M$7-ArtifactsInput!$M$7)*CHOOSE(ArtifactsInput!$N$7+1,6,7.2,8.4,9.6,10.8,12))+IF(Inputs!$B$3&gt;=117,F3262,0))/100))+MIN((Skills!S3*(1+((Inputs!$B$35+(ArtifactsInput!$M$7-ArtifactsInput!$M$7)*CHOOSE(ArtifactsInput!$N$7+1,6,7.2,8.4,9.6,10.8,12))+IF(Inputs!$B$3&gt;=117,F3262,0))/100)),MAX(0,Inputs!$B$44-((R3239-1)*Skills!D3))))/Inputs!$B$44),IF(Inputs!$B$39="pvp",MIN((Skills!S3*(1+((Inputs!$B$35+(ArtifactsInput!$M$7-ArtifactsInput!$M$7)*CHOOSE(ArtifactsInput!$N$7+1,6,7.2,8.4,9.6,10.8,12))+IF(Inputs!$B$3&gt;=117,F3262,0))/100)),15)/15,(Skills!S3*(1+((Inputs!$B$35+(ArtifactsInput!$M$7-ArtifactsInput!$M$7)*CHOOSE(ArtifactsInput!$N$7+1,6,7.2,8.4,9.6,10.8,12))+IF(Inputs!$B$3&gt;=117,F3262,0))/100))/Skills!D3)),0)+IF(C3240=TRUE,F3240*IF(AND(Inputs!$B$39&lt;&gt;"pvp",Inputs!$B$44&gt;0),(((R3240-1)*(Skills!S4*(1+((Inputs!$B$35+(ArtifactsInput!$M$7-ArtifactsInput!$M$7)*CHOOSE(ArtifactsInput!$N$7+1,6,7.2,8.4,9.6,10.8,12))+IF(Inputs!$B$3&gt;=117,F3262,0))/100))+MIN((Skills!S4*(1+((Inputs!$B$35+(ArtifactsInput!$M$7-ArtifactsInput!$M$7)*CHOOSE(ArtifactsInput!$N$7+1,6,7.2,8.4,9.6,10.8,12))+IF(Inputs!$B$3&gt;=117,F3262,0))/100)),MAX(0,Inputs!$B$44-((R3240-1)*Skills!D4))))/Inputs!$B$44),IF(Inputs!$B$39="pvp",MIN((Skills!S4*(1+((Inputs!$B$35+(ArtifactsInput!$M$7-ArtifactsInput!$M$7)*CHOOSE(ArtifactsInput!$N$7+1,6,7.2,8.4,9.6,10.8,12))+IF(Inputs!$B$3&gt;=117,F3262,0))/100)),15)/15,(Skills!S4*(1+((Inputs!$B$35+(ArtifactsInput!$M$7-ArtifactsInput!$M$7)*CHOOSE(ArtifactsInput!$N$7+1,6,7.2,8.4,9.6,10.8,12))+IF(Inputs!$B$3&gt;=117,F3262,0))/100))/Skills!D4)),0)+IF(C3241=TRUE,F3241*IF(AND(Inputs!$B$39&lt;&gt;"pvp",Inputs!$B$44&gt;0),(((R3241-1)*(Skills!S5*(1+((Inputs!$B$35+(ArtifactsInput!$M$7-ArtifactsInput!$M$7)*CHOOSE(ArtifactsInput!$N$7+1,6,7.2,8.4,9.6,10.8,12))+IF(Inputs!$B$3&gt;=117,F3262,0))/100))+MIN((Skills!S5*(1+((Inputs!$B$35+(ArtifactsInput!$M$7-ArtifactsInput!$M$7)*CHOOSE(ArtifactsInput!$N$7+1,6,7.2,8.4,9.6,10.8,12))+IF(Inputs!$B$3&gt;=117,F3262,0))/100)),MAX(0,Inputs!$B$44-((R3241-1)*Skills!D5))))/Inputs!$B$44),IF(Inputs!$B$39="pvp",MIN((Skills!S5*(1+((Inputs!$B$35+(ArtifactsInput!$M$7-ArtifactsInput!$M$7)*CHOOSE(ArtifactsInput!$N$7+1,6,7.2,8.4,9.6,10.8,12))+IF(Inputs!$B$3&gt;=117,F3262,0))/100)),15)/15,(Skills!S5*(1+((Inputs!$B$35+(ArtifactsInput!$M$7-ArtifactsInput!$M$7)*CHOOSE(ArtifactsInput!$N$7+1,6,7.2,8.4,9.6,10.8,12))+IF(Inputs!$B$3&gt;=117,F3262,0))/100))/Skills!D5)),0)+IF(C3247=TRUE,F3247*IF(AND(Inputs!$B$39&lt;&gt;"pvp",Inputs!$B$44&gt;0),(((R3247-1)*(Skills!S11*(1+((Inputs!$B$35+(ArtifactsInput!$M$7-ArtifactsInput!$M$7)*CHOOSE(ArtifactsInput!$N$7+1,6,7.2,8.4,9.6,10.8,12))+IF(Inputs!$B$3&gt;=117,F3262,0))/100))+MIN((Skills!S11*(1+((Inputs!$B$35+(ArtifactsInput!$M$7-ArtifactsInput!$M$7)*CHOOSE(ArtifactsInput!$N$7+1,6,7.2,8.4,9.6,10.8,12))+IF(Inputs!$B$3&gt;=117,F3262,0))/100)),MAX(0,Inputs!$B$44-((R3247-1)*Skills!D11))))/Inputs!$B$44),IF(Inputs!$B$39="pvp",MIN((Skills!S11*(1+((Inputs!$B$35+(ArtifactsInput!$M$7-ArtifactsInput!$M$7)*CHOOSE(ArtifactsInput!$N$7+1,6,7.2,8.4,9.6,10.8,12))+IF(Inputs!$B$3&gt;=117,F3262,0))/100)),15)/15,(Skills!S11*(1+((Inputs!$B$35+(ArtifactsInput!$M$7-ArtifactsInput!$M$7)*CHOOSE(ArtifactsInput!$N$7+1,6,7.2,8.4,9.6,10.8,12))+IF(Inputs!$B$3&gt;=117,F3262,0)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3250=TRUE,(1+F3250*IF(AND(Inputs!$B$39&lt;&gt;"pvp",Inputs!$B$44&gt;0),(((R3250-1)*(Skills!S14*(1+((Inputs!$B$35+(ArtifactsInput!$M$7-ArtifactsInput!$M$7)*CHOOSE(ArtifactsInput!$N$7+1,6,7.2,8.4,9.6,10.8,12))+IF(Inputs!$B$3&gt;=117,F3262,0))/100))+MIN((Skills!S14*(1+((Inputs!$B$35+(ArtifactsInput!$M$7-ArtifactsInput!$M$7)*CHOOSE(ArtifactsInput!$N$7+1,6,7.2,8.4,9.6,10.8,12))+IF(Inputs!$B$3&gt;=117,F3262,0))/100)),MAX(0,Inputs!$B$44-((R3250-1)*Skills!D14))))/Inputs!$B$44),IF(Inputs!$B$39="pvp",MIN((Skills!S14*(1+((Inputs!$B$35+(ArtifactsInput!$M$7-ArtifactsInput!$M$7)*CHOOSE(ArtifactsInput!$N$7+1,6,7.2,8.4,9.6,10.8,12))+IF(Inputs!$B$3&gt;=117,F3262,0))/100)),15)/15,(Skills!S14*(1+((Inputs!$B$35+(ArtifactsInput!$M$7-ArtifactsInput!$M$7)*CHOOSE(ArtifactsInput!$N$7+1,6,7.2,8.4,9.6,10.8,12))+IF(Inputs!$B$3&gt;=117,F3262,0))/100))/Skills!D14))/100),1)*IF(C3255=TRUE,(1+F3255*IF(AND(Inputs!$B$39&lt;&gt;"pvp",Inputs!$B$44&gt;0),(((R3255-1)*(Skills!S19*(1+((Inputs!$B$35+(ArtifactsInput!$M$7-ArtifactsInput!$M$7)*CHOOSE(ArtifactsInput!$N$7+1,6,7.2,8.4,9.6,10.8,12))+IF(Inputs!$B$3&gt;=117,F3262,0))/100))+MIN((Skills!S19*(1+((Inputs!$B$35+(ArtifactsInput!$M$7-ArtifactsInput!$M$7)*CHOOSE(ArtifactsInput!$N$7+1,6,7.2,8.4,9.6,10.8,12))+IF(Inputs!$B$3&gt;=117,F3262,0))/100)),MAX(0,Inputs!$B$44-((R3255-1)*Skills!D19))))/Inputs!$B$44),IF(Inputs!$B$39="pvp",MIN((Skills!S19*(1+((Inputs!$B$35+(ArtifactsInput!$M$7-ArtifactsInput!$M$7)*CHOOSE(ArtifactsInput!$N$7+1,6,7.2,8.4,9.6,10.8,12))+IF(Inputs!$B$3&gt;=117,F3262,0))/100)),15)/15,(Skills!S19*(1+((Inputs!$B$35+(ArtifactsInput!$M$7-ArtifactsInput!$M$7)*CHOOSE(ArtifactsInput!$N$7+1,6,7.2,8.4,9.6,10.8,12))+IF(Inputs!$B$3&gt;=117,F3262,0))/100))/Skills!D19))/100),1)</f>
        <v/>
      </c>
    </row>
    <row r="3267">
      <c r="A3267" t="inlineStr">
        <is>
          <t>Monster Damage Taken Bonus % (Holy Fountain)</t>
        </is>
      </c>
      <c r="B3267">
        <f>IF(Inputs!$B$3&gt;=68,20*IF(Inputs!$B$39="pvp",MIN((15*(1+((Inputs!$B$35+(ArtifactsInput!$M$7-ArtifactsInput!$M$7)*CHOOSE(ArtifactsInput!$N$7+1,6,7.2,8.4,9.6,10.8,12))+IF(Inputs!$B$3&gt;=117,F3262,0))/100)),15)/15,(15*(1+((Inputs!$B$35+(ArtifactsInput!$M$7-ArtifactsInput!$M$7)*CHOOSE(ArtifactsInput!$N$7+1,6,7.2,8.4,9.6,10.8,12))+IF(Inputs!$B$3&gt;=117,F3262,0))/100))/Skills!D10),0)</f>
        <v/>
      </c>
    </row>
    <row r="3268">
      <c r="A3268" t="inlineStr">
        <is>
          <t>Normal Monster Damage Bonus % (Holy Symbol)</t>
        </is>
      </c>
      <c r="B3268">
        <f>IF(C3248=TRUE,F3248*IF(AND(Inputs!$B$39&lt;&gt;"pvp",Inputs!$B$44&gt;0),(((R3248-1)*(Skills!S12*(1+((Inputs!$B$35+(ArtifactsInput!$M$7-ArtifactsInput!$M$7)*CHOOSE(ArtifactsInput!$N$7+1,6,7.2,8.4,9.6,10.8,12))+IF(Inputs!$B$3&gt;=117,F3262,0))/100))+MIN((Skills!S12*(1+((Inputs!$B$35+(ArtifactsInput!$M$7-ArtifactsInput!$M$7)*CHOOSE(ArtifactsInput!$N$7+1,6,7.2,8.4,9.6,10.8,12))+IF(Inputs!$B$3&gt;=117,F3262,0))/100)),MAX(0,Inputs!$B$44-((R3248-1)*Skills!D12))))/Inputs!$B$44),IF(Inputs!$B$39="pvp",MIN((Skills!S12*(1+((Inputs!$B$35+(ArtifactsInput!$M$7-ArtifactsInput!$M$7)*CHOOSE(ArtifactsInput!$N$7+1,6,7.2,8.4,9.6,10.8,12))+IF(Inputs!$B$3&gt;=117,F3262,0))/100)),15)/15,(Skills!S12*(1+((Inputs!$B$35+(ArtifactsInput!$M$7-ArtifactsInput!$M$7)*CHOOSE(ArtifactsInput!$N$7+1,6,7.2,8.4,9.6,10.8,12))+IF(Inputs!$B$3&gt;=117,F3262,0))/100))/Skills!D12)),0)</f>
        <v/>
      </c>
    </row>
    <row r="3269">
      <c r="A3269" t="inlineStr">
        <is>
          <t>Damage % Bonus (Holy Symbol - Damage Boost)</t>
        </is>
      </c>
      <c r="B3269">
        <f>Skills!O12</f>
        <v/>
      </c>
    </row>
    <row r="3270">
      <c r="A3270" t="inlineStr">
        <is>
          <t>Crit Damage % Bonus (Blood of the Divine)</t>
        </is>
      </c>
      <c r="B3270">
        <f>4*IF(C3256=TRUE,F3256,0)</f>
        <v/>
      </c>
    </row>
    <row r="3271">
      <c r="A3271" t="inlineStr">
        <is>
          <t>Attack Speed Bonus %</t>
        </is>
      </c>
      <c r="B3271">
        <f>IF(C3253=TRUE,F3253+(F3257-Calc!F21),0)+IF(Inputs!$B$3&gt;=134,15,0)+((C3264=TRUE)*F3264*IF(AND(Inputs!$B$39&lt;&gt;"pvp",Inputs!$B$44&gt;0),(((R3264-1)*(Skills!S28*(1+((Inputs!$B$35+(ArtifactsInput!$M$7-ArtifactsInput!$M$7)*CHOOSE(ArtifactsInput!$N$7+1,6,7.2,8.4,9.6,10.8,12))+IF(Inputs!$B$3&gt;=117,F3262,0))/100))+MIN((Skills!S28*(1+((Inputs!$B$35+(ArtifactsInput!$M$7-ArtifactsInput!$M$7)*CHOOSE(ArtifactsInput!$N$7+1,6,7.2,8.4,9.6,10.8,12))+IF(Inputs!$B$3&gt;=117,F3262,0))/100)),MAX(0,Inputs!$B$44-((R3264-1)*Skills!D28))))/Inputs!$B$44),IF(Inputs!$B$39="pvp",MIN((Skills!S28*(1+((Inputs!$B$35+(ArtifactsInput!$M$7-ArtifactsInput!$M$7)*CHOOSE(ArtifactsInput!$N$7+1,6,7.2,8.4,9.6,10.8,12))+IF(Inputs!$B$3&gt;=117,F3262,0))/100)),15)/15,(Skills!S28*(1+((Inputs!$B$35+(ArtifactsInput!$M$7-ArtifactsInput!$M$7)*CHOOSE(ArtifactsInput!$N$7+1,6,7.2,8.4,9.6,10.8,12))+IF(Inputs!$B$3&gt;=117,F3262,0))/100))/Skills!D28)))</f>
        <v/>
      </c>
    </row>
    <row r="3272">
      <c r="A3272" t="inlineStr">
        <is>
          <t>Actions Per Second</t>
        </is>
      </c>
      <c r="B3272">
        <f>1+MIN(150,150*(1-(1-Inputs!$B$12/150)*(1-B3271/150)))/100</f>
        <v/>
      </c>
    </row>
    <row r="3273">
      <c r="A3273" t="inlineStr">
        <is>
          <t>Skill + Buff Cast Rate</t>
        </is>
      </c>
      <c r="B3273">
        <f>IF(AND(Inputs!$B$39&lt;&gt;"pvp",Inputs!$B$44&gt;0),SUMPRODUCT((Skills!E2:E28=TRUE)*(C3238:C3264=TRUE)*R3238:R3264)/Inputs!$B$44,SUMPRODUCT((Skills!E2:E28=TRUE)*(C3238:C3264=TRUE)*Q3238:Q3264))</f>
        <v/>
      </c>
    </row>
    <row r="3274">
      <c r="A3274" t="inlineStr">
        <is>
          <t>Big Bang Casts Per Second</t>
        </is>
      </c>
      <c r="B3274">
        <f>MAX(0,B3272-B3273)</f>
        <v/>
      </c>
    </row>
    <row r="3275">
      <c r="A3275" t="inlineStr">
        <is>
          <t>Defense % Bonus (Divine Protection)</t>
        </is>
      </c>
      <c r="B3275">
        <f>IF(C3249=TRUE,F3249*IF(AND(Inputs!$B$39&lt;&gt;"pvp",Inputs!$B$44&gt;0),(((R3249-1)*(Skills!S13*(1+((Inputs!$B$35+(ArtifactsInput!$M$7-ArtifactsInput!$M$7)*CHOOSE(ArtifactsInput!$N$7+1,6,7.2,8.4,9.6,10.8,12))+IF(Inputs!$B$3&gt;=117,F3262,0))/100))+MIN((Skills!S13*(1+((Inputs!$B$35+(ArtifactsInput!$M$7-ArtifactsInput!$M$7)*CHOOSE(ArtifactsInput!$N$7+1,6,7.2,8.4,9.6,10.8,12))+IF(Inputs!$B$3&gt;=117,F3262,0))/100)),MAX(0,Inputs!$B$44-((R3249-1)*Skills!D13))))/Inputs!$B$44),IF(Inputs!$B$39="pvp",MIN((Skills!S13*(1+((Inputs!$B$35+(ArtifactsInput!$M$7-ArtifactsInput!$M$7)*CHOOSE(ArtifactsInput!$N$7+1,6,7.2,8.4,9.6,10.8,12))+IF(Inputs!$B$3&gt;=117,F3262,0))/100)),15)/15,(Skills!S13*(1+((Inputs!$B$35+(ArtifactsInput!$M$7-ArtifactsInput!$M$7)*CHOOSE(ArtifactsInput!$N$7+1,6,7.2,8.4,9.6,10.8,12))+IF(Inputs!$B$3&gt;=117,F3262,0))/100))/Skills!D13)),0)</f>
        <v/>
      </c>
    </row>
    <row r="3276">
      <c r="A3276" t="inlineStr">
        <is>
          <t>Buff-Casting Startup Delay (s, fixed-duration only)</t>
        </is>
      </c>
      <c r="B3276">
        <f>IF(AND(Inputs!$B$39&lt;&gt;"pvp",Inputs!$B$44&gt;0),SUMPRODUCT((Skills!S2:S28&gt;0)*(Skills!E2:E28=TRUE)*(C3238:C3264=TRUE))/B3272,0)</f>
        <v/>
      </c>
    </row>
    <row r="3277">
      <c r="A3277" t="inlineStr">
        <is>
          <t>Boss-Only Total DPS (this block's swept value)</t>
        </is>
      </c>
      <c r="B3277">
        <f>SUM(S3238:S3264)</f>
        <v/>
      </c>
    </row>
    <row r="3278">
      <c r="A3278" t="inlineStr">
        <is>
          <t>Normal-Only Total DPS (this block's swept value)</t>
        </is>
      </c>
      <c r="B3278">
        <f>SUM(U3238:U3264)</f>
        <v/>
      </c>
    </row>
    <row r="3279">
      <c r="A3279" s="6" t="inlineStr">
        <is>
          <t>TOTAL DPS</t>
        </is>
      </c>
      <c r="B3279" s="6">
        <f>SUM(O3238:O3264)</f>
        <v/>
      </c>
    </row>
    <row r="3281">
      <c r="A3281" s="6" t="inlineStr">
        <is>
          <t>Stat: CDR = 4.5s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R3282" t="inlineStr">
        <is>
          <t>helpers</t>
        </is>
      </c>
    </row>
    <row r="3283">
      <c r="A3283">
        <f>Skills!A2</f>
        <v/>
      </c>
      <c r="B3283">
        <f>Skills!B2</f>
        <v/>
      </c>
      <c r="C3283">
        <f>Inputs!$B$3&gt;=100</f>
        <v/>
      </c>
      <c r="D3283" t="inlineStr"/>
      <c r="E3283" t="inlineStr"/>
      <c r="F3283">
        <f>T3285+Skills!N2</f>
        <v/>
      </c>
      <c r="G3283">
        <f>Calc!G2</f>
        <v/>
      </c>
      <c r="H3283">
        <f>Calc!H2</f>
        <v/>
      </c>
      <c r="I3283">
        <f>IF(Skills!T2&lt;&gt;"",1+(Skills!T2/10)*($Z$3/1000)/100,1)</f>
        <v/>
      </c>
      <c r="J3283">
        <f>((Inputs!$B$6*(1+Inputs!$B$7/100))+(((Inputs!$B$13*(1+Inputs!$B$14/100))-(Inputs!$B$13*(1+Inputs!$B$14/100)))+0.25*(Inputs!$B$15-Inputs!$B$15))*(1+Inputs!$B$7/100))*(F3283/100)</f>
        <v/>
      </c>
      <c r="K3283">
        <f>J3283*(1+(((Inputs!$B$13+IF(Inputs!$B$3&gt;=35,(10*INDEX(FactorTable!$B$2:$Y$301,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2="TRIUMPH_FEATHER",IF(C3297=TRUE,F3297,0),0)/100)*(1+IF(C3308=TRUE,F3308,0)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3283)</f>
        <v/>
      </c>
      <c r="L3283">
        <f>K3283*(MIN(Inputs!$B$23+(F3303-Calc!F22),(Inputs!$B$24+IF(ArtifactsInput!$M$15,CHOOSE(ArtifactsInput!$N$15+1,25,30,35,40,45,50)/100*(Inputs!$B$12-Inputs!$B$12),0)))/100+(Inputs!$B$24+IF(ArtifactsInput!$M$15,CHOOSE(ArtifactsInput!$N$15+1,25,30,35,40,45,50)/100*(Inputs!$B$12-Inputs!$B$12),0))/100)/2</f>
        <v/>
      </c>
      <c r="M3283">
        <f>L3283*(1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3">
        <f>L3283*(1-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(1-Summary!$B$11)*S3283+Summary!$B$11*U3283</f>
        <v/>
      </c>
      <c r="P3283">
        <f>IF(B3324=0,0,O3283/B3324)</f>
        <v/>
      </c>
      <c r="Q3283">
        <f>IFERROR(1/(IF(Inputs!$B$39="pvp",15,MAX(0.1,Skills!D2-IF(Skills!E2=TRUE,4.5,0)))*(1-IF(AND(ArtifactsInput!$M$27,Inputs!$B$4="Chapter Hunt"),CHOOSE(ArtifactsInput!$N$27+1,20,24,28,32,36,40),0)/100)),0)</f>
        <v/>
      </c>
      <c r="R3283" t="n">
        <v>0</v>
      </c>
      <c r="S3283">
        <f>IF(C3283,(Skills!F2*N3283*B3319)*IF(Inputs!$B$39="pvp",1,1+(Inputs!$B$21+Skills!O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3283*(1-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83">
        <f>MAX(0,(Inputs!$B$3-100)*3)+Inputs!$B$29+Inputs!$B$30</f>
        <v/>
      </c>
      <c r="U3283">
        <f>IF(C3283,(Skills!F2*N3283*B3319)*IF(Inputs!$B$39="pvp",1,(1+(Inputs!$B$22+Skills!P2+B3313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Skills!A3</f>
        <v/>
      </c>
      <c r="B3284">
        <f>Skills!B3</f>
        <v/>
      </c>
      <c r="C3284">
        <f>Inputs!$B$3&gt;=15</f>
        <v/>
      </c>
      <c r="D3284">
        <f>IF(Skills!C3=1,60+Inputs!$B$26+Inputs!$B$30,IF(Skills!C3=2,90+Inputs!$B$27+Inputs!$B$30,IF(Skills!C3=3,120+Inputs!$B$28+Inputs!$B$30,MAX(0,(Inputs!$B$3-100)*3)+Inputs!$B$29+Inputs!$B$30)))</f>
        <v/>
      </c>
      <c r="E3284">
        <f>INDEX(FactorTable!$B$2:$Y$301, MATCH(ROUND(MIN(300,MAX(1,D3284)),0), FactorTable!$A$2:$A$301,0), Skills!L3+1)</f>
        <v/>
      </c>
      <c r="F3284">
        <f>IF(Skills!M3=TRUE,(Skills!K3/10)*(E3284/1000),Skills!K3/10)+Skills!N3</f>
        <v/>
      </c>
      <c r="G3284">
        <f>Calc!G3</f>
        <v/>
      </c>
      <c r="H3284">
        <f>Calc!H3</f>
        <v/>
      </c>
      <c r="I3284">
        <f>IF(Skills!T3&lt;&gt;"",1+(Skills!T3/10)*($Z$3/1000)/100,1)</f>
        <v/>
      </c>
      <c r="J3284" t="inlineStr"/>
      <c r="K3284" t="inlineStr"/>
      <c r="L3284" t="inlineStr"/>
      <c r="M3284" t="inlineStr"/>
      <c r="N3284" t="inlineStr"/>
      <c r="O3284">
        <f>(1-Summary!$B$11)*S3284+Summary!$B$11*U3284</f>
        <v/>
      </c>
      <c r="P3284">
        <f>IF(B3324=0,0,O3284/B3324)</f>
        <v/>
      </c>
      <c r="Q3284">
        <f>IFERROR(1/(IF(Inputs!$B$39="pvp",15,MAX(0.1,Skills!D3-IF(Skills!E3=TRUE,4.5,0)))*(1-IF(AND(ArtifactsInput!$M$27,Inputs!$B$4="Chapter Hunt"),CHOOSE(ArtifactsInput!$N$27+1,20,24,28,32,36,40),0)/100)),0)</f>
        <v/>
      </c>
      <c r="R3284">
        <f>IF(AND(Inputs!$B$39&lt;&gt;"pvp",Inputs!$B$44&gt;0),IF(Inputs!$B$44&lt;=0,0,(INT(Inputs!$B$44/(IF(Inputs!$B$39="pvp",15,MAX(0.1,Skills!D3-IF(Skills!E3=TRUE,4.5,0)))*(1-IF(AND(ArtifactsInput!$M$27,Inputs!$B$4="Chapter Hunt"),CHOOSE(ArtifactsInput!$N$27+1,20,24,28,32,36,40),0)/100)))+1)),0)</f>
        <v/>
      </c>
      <c r="S3284" t="n">
        <v>0</v>
      </c>
      <c r="T3284">
        <f>INDEX(FactorTable!$B$2:$Y$301, MATCH(ROUND(MIN(300,MAX(1,T3283)),0), FactorTable!$A$2:$A$301,0), 22)</f>
        <v/>
      </c>
      <c r="U3284" t="n">
        <v>0</v>
      </c>
    </row>
    <row r="3285">
      <c r="A3285">
        <f>Skills!A4</f>
        <v/>
      </c>
      <c r="B3285">
        <f>Skills!B4</f>
        <v/>
      </c>
      <c r="C3285">
        <f>Inputs!$B$3&gt;=38</f>
        <v/>
      </c>
      <c r="D3285">
        <f>IF(Skills!C4=1,60+Inputs!$B$26+Inputs!$B$30,IF(Skills!C4=2,90+Inputs!$B$27+Inputs!$B$30,IF(Skills!C4=3,120+Inputs!$B$28+Inputs!$B$30,MAX(0,(Inputs!$B$3-100)*3)+Inputs!$B$29+Inputs!$B$30)))</f>
        <v/>
      </c>
      <c r="E3285">
        <f>INDEX(FactorTable!$B$2:$Y$301, MATCH(ROUND(MIN(300,MAX(1,D3285)),0), FactorTable!$A$2:$A$301,0), Skills!L4+1)</f>
        <v/>
      </c>
      <c r="F3285">
        <f>IF(Skills!M4=TRUE,(Skills!K4/10)*(E3285/1000),Skills!K4/10)+Skills!N4</f>
        <v/>
      </c>
      <c r="G3285">
        <f>Calc!G4</f>
        <v/>
      </c>
      <c r="H3285">
        <f>Calc!H4</f>
        <v/>
      </c>
      <c r="I3285">
        <f>IF(Skills!T4&lt;&gt;"",1+(Skills!T4/10)*($Z$3/1000)/100,1)</f>
        <v/>
      </c>
      <c r="J3285" t="inlineStr"/>
      <c r="K3285" t="inlineStr"/>
      <c r="L3285" t="inlineStr"/>
      <c r="M3285" t="inlineStr"/>
      <c r="N3285" t="inlineStr"/>
      <c r="O3285">
        <f>(1-Summary!$B$11)*S3285+Summary!$B$11*U3285</f>
        <v/>
      </c>
      <c r="P3285">
        <f>IF(B3324=0,0,O3285/B3324)</f>
        <v/>
      </c>
      <c r="Q3285">
        <f>IFERROR(1/(IF(Inputs!$B$39="pvp",15,MAX(0.1,Skills!D4-IF(Skills!E4=TRUE,4.5,0)))*(1-IF(AND(ArtifactsInput!$M$27,Inputs!$B$4="Chapter Hunt"),CHOOSE(ArtifactsInput!$N$27+1,20,24,28,32,36,40),0)/100)),0)</f>
        <v/>
      </c>
      <c r="R3285">
        <f>IF(AND(Inputs!$B$39&lt;&gt;"pvp",Inputs!$B$44&gt;0),IF(Inputs!$B$44&lt;=0,0,(INT(Inputs!$B$44/(IF(Inputs!$B$39="pvp",15,MAX(0.1,Skills!D4-IF(Skills!E4=TRUE,4.5,0)))*(1-IF(AND(ArtifactsInput!$M$27,Inputs!$B$4="Chapter Hunt"),CHOOSE(ArtifactsInput!$N$27+1,20,24,28,32,36,40),0)/100)))+1)),0)</f>
        <v/>
      </c>
      <c r="S3285" t="n">
        <v>0</v>
      </c>
      <c r="T3285">
        <f>290*T3284/1000</f>
        <v/>
      </c>
      <c r="U3285" t="n">
        <v>0</v>
      </c>
    </row>
    <row r="3286">
      <c r="A3286">
        <f>Skills!A5</f>
        <v/>
      </c>
      <c r="B3286">
        <f>Skills!B5</f>
        <v/>
      </c>
      <c r="C3286">
        <f>Inputs!$B$3&gt;=40</f>
        <v/>
      </c>
      <c r="D3286">
        <f>IF(Skills!C5=1,60+Inputs!$B$26+Inputs!$B$30,IF(Skills!C5=2,90+Inputs!$B$27+Inputs!$B$30,IF(Skills!C5=3,120+Inputs!$B$28+Inputs!$B$30,MAX(0,(Inputs!$B$3-100)*3)+Inputs!$B$29+Inputs!$B$30)))</f>
        <v/>
      </c>
      <c r="E3286">
        <f>INDEX(FactorTable!$B$2:$Y$301, MATCH(ROUND(MIN(300,MAX(1,D3286)),0), FactorTable!$A$2:$A$301,0), Skills!L5+1)</f>
        <v/>
      </c>
      <c r="F3286">
        <f>IF(Skills!M5=TRUE,(Skills!K5/10)*(E3286/1000),Skills!K5/10)+Skills!N5</f>
        <v/>
      </c>
      <c r="G3286">
        <f>Calc!G5</f>
        <v/>
      </c>
      <c r="H3286">
        <f>Calc!H5</f>
        <v/>
      </c>
      <c r="I3286">
        <f>IF(Skills!T5&lt;&gt;"",1+(Skills!T5/10)*($Z$3/1000)/100,1)</f>
        <v/>
      </c>
      <c r="J3286" t="inlineStr"/>
      <c r="K3286" t="inlineStr"/>
      <c r="L3286" t="inlineStr"/>
      <c r="M3286" t="inlineStr"/>
      <c r="N3286" t="inlineStr"/>
      <c r="O3286">
        <f>(1-Summary!$B$11)*S3286+Summary!$B$11*U3286</f>
        <v/>
      </c>
      <c r="P3286">
        <f>IF(B3324=0,0,O3286/B3324)</f>
        <v/>
      </c>
      <c r="Q3286">
        <f>IFERROR(1/(IF(Inputs!$B$39="pvp",15,MAX(0.1,Skills!D5-IF(Skills!E5=TRUE,4.5,0)))*(1-IF(AND(ArtifactsInput!$M$27,Inputs!$B$4="Chapter Hunt"),CHOOSE(ArtifactsInput!$N$27+1,20,24,28,32,36,40),0)/100)),0)</f>
        <v/>
      </c>
      <c r="R3286">
        <f>IF(AND(Inputs!$B$39&lt;&gt;"pvp",Inputs!$B$44&gt;0),IF(Inputs!$B$44&lt;=0,0,(INT(Inputs!$B$44/(IF(Inputs!$B$39="pvp",15,MAX(0.1,Skills!D5-IF(Skills!E5=TRUE,4.5,0)))*(1-IF(AND(ArtifactsInput!$M$27,Inputs!$B$4="Chapter Hunt"),CHOOSE(ArtifactsInput!$N$27+1,20,24,28,32,36,40),0)/100)))+1)),0)</f>
        <v/>
      </c>
      <c r="S3286" t="n">
        <v>0</v>
      </c>
      <c r="U3286" t="n">
        <v>0</v>
      </c>
    </row>
    <row r="3287">
      <c r="A3287">
        <f>Skills!A6</f>
        <v/>
      </c>
      <c r="B3287">
        <f>Skills!B6</f>
        <v/>
      </c>
      <c r="C3287">
        <f>Inputs!$B$3&gt;=103</f>
        <v/>
      </c>
      <c r="D3287">
        <f>IF(Skills!C6=1,60+Inputs!$B$26+Inputs!$B$30,IF(Skills!C6=2,90+Inputs!$B$27+Inputs!$B$30,IF(Skills!C6=3,120+Inputs!$B$28+Inputs!$B$30,MAX(0,(Inputs!$B$3-100)*3)+Inputs!$B$29+Inputs!$B$30)))</f>
        <v/>
      </c>
      <c r="E3287">
        <f>INDEX(FactorTable!$B$2:$Y$301, MATCH(ROUND(MIN(300,MAX(1,D3287)),0), FactorTable!$A$2:$A$301,0), Skills!L6+1)</f>
        <v/>
      </c>
      <c r="F3287">
        <f>IF(Skills!M6=TRUE,(Skills!K6/10)*(E3287/1000),Skills!K6/10)+Skills!N6</f>
        <v/>
      </c>
      <c r="G3287">
        <f>Calc!G6</f>
        <v/>
      </c>
      <c r="H3287">
        <f>Calc!H6</f>
        <v/>
      </c>
      <c r="I3287">
        <f>IF(Skills!T6&lt;&gt;"",1+(Skills!T6/10)*($Z$3/1000)/100,1)</f>
        <v/>
      </c>
      <c r="J3287">
        <f>((Inputs!$B$6*(1+Inputs!$B$7/100))+(((Inputs!$B$13*(1+Inputs!$B$14/100))-(Inputs!$B$13*(1+Inputs!$B$14/100)))+0.25*(Inputs!$B$15-Inputs!$B$15))*(1+Inputs!$B$7/100))*(F3287/100)</f>
        <v/>
      </c>
      <c r="K3287">
        <f>J3287*(1+(((Inputs!$B$13+IF(Inputs!$B$3&gt;=35,(10*INDEX(FactorTable!$B$2:$Y$301,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6="TRIUMPH_FEATHER",IF(C3297=TRUE,F3297,0),0)/100)*(1+IF(C3308=TRUE,F3308,0)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3287)</f>
        <v/>
      </c>
      <c r="L3287">
        <f>K3287*(MIN(Inputs!$B$23+(F3303-Calc!F22),(Inputs!$B$24+IF(ArtifactsInput!$M$15,CHOOSE(ArtifactsInput!$N$15+1,25,30,35,40,45,50)/100*(Inputs!$B$12-Inputs!$B$12),0)))/100+(Inputs!$B$24+IF(ArtifactsInput!$M$15,CHOOSE(ArtifactsInput!$N$15+1,25,30,35,40,45,50)/100*(Inputs!$B$12-Inputs!$B$12),0))/100)/2</f>
        <v/>
      </c>
      <c r="M3287">
        <f>L3287*(1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7">
        <f>L3287*(1-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3287*(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7">
        <f>(1-Summary!$B$11)*S3287+Summary!$B$11*U3287</f>
        <v/>
      </c>
      <c r="P3287">
        <f>IF(B3324=0,0,O3287/B3324)</f>
        <v/>
      </c>
      <c r="Q3287">
        <f>IFERROR(1/(IF(Inputs!$B$39="pvp",15,MAX(0.1,Skills!D6-IF(Skills!E6=TRUE,4.5,0)))*(1-IF(AND(ArtifactsInput!$M$27,Inputs!$B$4="Chapter Hunt"),CHOOSE(ArtifactsInput!$N$27+1,20,24,28,32,36,40),0)/100)),0)</f>
        <v/>
      </c>
      <c r="R3287">
        <f>IF(AND(Inputs!$B$39&lt;&gt;"pvp",Inputs!$B$44&gt;0),IF(MAX(0,Inputs!$B$44-B3321)&lt;=0,0,(INT(MAX(0,Inputs!$B$44-B3321)/(IF(Inputs!$B$39="pvp",15,MAX(0.1,Skills!D6-IF(Skills!E6=TRUE,4.5,0)))*(1-IF(AND(ArtifactsInput!$M$27,Inputs!$B$4="Chapter Hunt"),CHOOSE(ArtifactsInput!$N$27+1,20,24,28,32,36,40),0)/100)))+1)),0)</f>
        <v/>
      </c>
      <c r="S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$21+Skills!O6+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3287*(1-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3287*(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3287*(1-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3287*(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$22+Skills!P6+B3313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8">
      <c r="A3288">
        <f>Skills!A7</f>
        <v/>
      </c>
      <c r="B3288">
        <f>Skills!B7</f>
        <v/>
      </c>
      <c r="C3288">
        <f>Inputs!$B$3&gt;=122</f>
        <v/>
      </c>
      <c r="D3288">
        <f>IF(Skills!C7=1,60+Inputs!$B$26+Inputs!$B$30,IF(Skills!C7=2,90+Inputs!$B$27+Inputs!$B$30,IF(Skills!C7=3,120+Inputs!$B$28+Inputs!$B$30,MAX(0,(Inputs!$B$3-100)*3)+Inputs!$B$29+Inputs!$B$30)))</f>
        <v/>
      </c>
      <c r="E3288">
        <f>INDEX(FactorTable!$B$2:$Y$301, MATCH(ROUND(MIN(300,MAX(1,D3288)),0), FactorTable!$A$2:$A$301,0), Skills!L7+1)</f>
        <v/>
      </c>
      <c r="F3288">
        <f>IF(Skills!M7=TRUE,(Skills!K7/10)*(E3288/1000),Skills!K7/10)+Skills!N7</f>
        <v/>
      </c>
      <c r="G3288">
        <f>Calc!G7</f>
        <v/>
      </c>
      <c r="H3288">
        <f>Calc!H7</f>
        <v/>
      </c>
      <c r="I3288">
        <f>IF(Skills!T7&lt;&gt;"",1+(Skills!T7/10)*($Z$3/1000)/100,1)</f>
        <v/>
      </c>
      <c r="J3288">
        <f>((Inputs!$B$6*(1+Inputs!$B$7/100))+(((Inputs!$B$13*(1+Inputs!$B$14/100))-(Inputs!$B$13*(1+Inputs!$B$14/100)))+0.25*(Inputs!$B$15-Inputs!$B$15))*(1+Inputs!$B$7/100))*(F3288/100)</f>
        <v/>
      </c>
      <c r="K3288">
        <f>J3288*(1+(((Inputs!$B$13+IF(Inputs!$B$3&gt;=35,(10*INDEX(FactorTable!$B$2:$Y$301,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7="TRIUMPH_FEATHER",IF(C3297=TRUE,F3297,0),0)/100)*(1+IF(C3308=TRUE,F3308,0)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3288)</f>
        <v/>
      </c>
      <c r="L3288">
        <f>K3288*(MIN(Inputs!$B$23+(F3303-Calc!F22),(Inputs!$B$24+IF(ArtifactsInput!$M$15,CHOOSE(ArtifactsInput!$N$15+1,25,30,35,40,45,50)/100*(Inputs!$B$12-Inputs!$B$12),0)))/100+(Inputs!$B$24+IF(ArtifactsInput!$M$15,CHOOSE(ArtifactsInput!$N$15+1,25,30,35,40,45,50)/100*(Inputs!$B$12-Inputs!$B$12),0))/100)/2</f>
        <v/>
      </c>
      <c r="M3288">
        <f>L3288*(1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8">
        <f>L3288*(1-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(1-Summary!$B$11)*S3288+Summary!$B$11*U3288</f>
        <v/>
      </c>
      <c r="P3288">
        <f>IF(B3324=0,0,O3288/B3324)</f>
        <v/>
      </c>
      <c r="Q3288">
        <f>IFERROR(1/(IF(Inputs!$B$39="pvp",15,MAX(0.1,Skills!D7-IF(Skills!E6=TRUE,4.5,0)))*(1-IF(AND(ArtifactsInput!$M$27,Inputs!$B$4="Chapter Hunt"),CHOOSE(ArtifactsInput!$N$27+1,20,24,28,32,36,40),0)/100)),0)</f>
        <v/>
      </c>
      <c r="R3288">
        <f>IF(AND(Inputs!$B$39&lt;&gt;"pvp",Inputs!$B$44&gt;0),IF(MAX(0,Inputs!$B$44-B3321)&lt;=0,0,(INT(MAX(0,Inputs!$B$44-B3321)/(IF(Inputs!$B$39="pvp",15,MAX(0.1,Skills!D7-IF(Skills!E6=TRUE,4.5,0)))*(1-IF(AND(ArtifactsInput!$M$27,Inputs!$B$4="Chapter Hunt"),CHOOSE(ArtifactsInput!$N$27+1,20,24,28,32,36,40),0)/100)))+1)),0)</f>
        <v/>
      </c>
      <c r="S3288">
        <f>IF(C3288,H3288*N3288*IF(AND(Inputs!$B$39&lt;&gt;"pvp",Inputs!$B$44&gt;0),((Skills!F7*((R3288-1)*IF(Skills!G7&gt;0,Skills!H7/Skills!G7,1)+IF(Skills!G7&gt;0,MIN(Skills!H7,MAX(0,MAX(0,Inputs!$B$44-B3321)-((R3288-1)*(IF(Inputs!$B$39="pvp",15,MAX(0.1,Skills!D7-IF(Skills!E6=TRUE,4.5,0)))*(1-IF(AND(ArtifactsInput!$M$27,Inputs!$B$4="Chapter Hunt"),CHOOSE(ArtifactsInput!$N$27+1,20,24,28,32,36,40),0)/100)))))/Skills!G7,1)))/Inputs!$B$44),G3288*Q3288)*IF(Inputs!$B$39="pvp",1,1+(Inputs!$B$21+Skills!O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3288*(1-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t="n">
        <v>0</v>
      </c>
    </row>
    <row r="3289">
      <c r="A3289">
        <f>Skills!A8</f>
        <v/>
      </c>
      <c r="B3289">
        <f>Skills!B8</f>
        <v/>
      </c>
      <c r="C3289">
        <f>Inputs!$B$3&gt;=105</f>
        <v/>
      </c>
      <c r="D3289">
        <f>IF(Skills!C8=1,60+Inputs!$B$26+Inputs!$B$30,IF(Skills!C8=2,90+Inputs!$B$27+Inputs!$B$30,IF(Skills!C8=3,120+Inputs!$B$28+Inputs!$B$30,MAX(0,(Inputs!$B$3-100)*3)+Inputs!$B$29+Inputs!$B$30)))</f>
        <v/>
      </c>
      <c r="E3289">
        <f>INDEX(FactorTable!$B$2:$Y$301, MATCH(ROUND(MIN(300,MAX(1,D3289)),0), FactorTable!$A$2:$A$301,0), Skills!L8+1)</f>
        <v/>
      </c>
      <c r="F3289">
        <f>IF(Skills!M8=TRUE,(Skills!K8/10)*(E3289/1000),Skills!K8/10)+Skills!N8</f>
        <v/>
      </c>
      <c r="G3289">
        <f>Calc!G8</f>
        <v/>
      </c>
      <c r="H3289">
        <f>Calc!H8</f>
        <v/>
      </c>
      <c r="I3289">
        <f>IF(Skills!T8&lt;&gt;"",1+(Skills!T8/10)*($Z$3/1000)/100,1)</f>
        <v/>
      </c>
      <c r="J3289">
        <f>((Inputs!$B$6*(1+Inputs!$B$7/100))+(((Inputs!$B$13*(1+Inputs!$B$14/100))-(Inputs!$B$13*(1+Inputs!$B$14/100)))+0.25*(Inputs!$B$15-Inputs!$B$15))*(1+Inputs!$B$7/100))*(F3289/100)</f>
        <v/>
      </c>
      <c r="K3289">
        <f>J3289*(1+(((Inputs!$B$13+IF(Inputs!$B$3&gt;=35,(10*INDEX(FactorTable!$B$2:$Y$301,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8="TRIUMPH_FEATHER",IF(C3297=TRUE,F3297,0),0)/100)*(1+IF(C3308=TRUE,F3308,0)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3289)</f>
        <v/>
      </c>
      <c r="L3289">
        <f>K3289*(MIN(Inputs!$B$23+(F3303-Calc!F22),(Inputs!$B$24+IF(ArtifactsInput!$M$15,CHOOSE(ArtifactsInput!$N$15+1,25,30,35,40,45,50)/100*(Inputs!$B$12-Inputs!$B$12),0)))/100+(Inputs!$B$24+IF(ArtifactsInput!$M$15,CHOOSE(ArtifactsInput!$N$15+1,25,30,35,40,45,50)/100*(Inputs!$B$12-Inputs!$B$12),0))/100)/2</f>
        <v/>
      </c>
      <c r="M3289">
        <f>L3289*(1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9">
        <f>L3289*(1-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(1-Summary!$B$11)*S3289+Summary!$B$11*U3289</f>
        <v/>
      </c>
      <c r="P3289">
        <f>IF(B3324=0,0,O3289/B3324)</f>
        <v/>
      </c>
      <c r="Q3289">
        <f>IFERROR(1/(IF(Inputs!$B$39="pvp",15,MAX(0.1,Skills!D8-IF(Skills!E8=TRUE,4.5,0)))*(1-IF(AND(ArtifactsInput!$M$27,Inputs!$B$4="Chapter Hunt"),CHOOSE(ArtifactsInput!$N$27+1,20,24,28,32,36,40),0)/100)),0)</f>
        <v/>
      </c>
      <c r="R3289">
        <f>IF(AND(Inputs!$B$39&lt;&gt;"pvp",Inputs!$B$44&gt;0),IF(MAX(0,Inputs!$B$44-B3321)&lt;=0,0,(INT(MAX(0,Inputs!$B$44-B3321)/(IF(Inputs!$B$39="pvp",15,MAX(0.1,Skills!D8-IF(Skills!E8=TRUE,4.5,0)))*(1-IF(AND(ArtifactsInput!$M$27,Inputs!$B$4="Chapter Hunt"),CHOOSE(ArtifactsInput!$N$27+1,20,24,28,32,36,40),0)/100)))+1)),0)</f>
        <v/>
      </c>
      <c r="S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$21+Skills!O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3289*(1-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$22+Skills!P8+B3313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Skills!A9</f>
        <v/>
      </c>
      <c r="B3290">
        <f>Skills!B9</f>
        <v/>
      </c>
      <c r="C3290">
        <f>Inputs!$B$3&gt;=115</f>
        <v/>
      </c>
      <c r="D3290">
        <f>IF(Skills!C9=1,60+Inputs!$B$26+Inputs!$B$30,IF(Skills!C9=2,90+Inputs!$B$27+Inputs!$B$30,IF(Skills!C9=3,120+Inputs!$B$28+Inputs!$B$30,MAX(0,(Inputs!$B$3-100)*3)+Inputs!$B$29+Inputs!$B$30)))</f>
        <v/>
      </c>
      <c r="E3290">
        <f>INDEX(FactorTable!$B$2:$Y$301, MATCH(ROUND(MIN(300,MAX(1,D3290)),0), FactorTable!$A$2:$A$301,0), Skills!L9+1)</f>
        <v/>
      </c>
      <c r="F3290">
        <f>IF(Skills!M9=TRUE,(Skills!K9/10)*(E3290/1000),Skills!K9/10)+Skills!N9</f>
        <v/>
      </c>
      <c r="G3290">
        <f>Calc!G9</f>
        <v/>
      </c>
      <c r="H3290">
        <f>Calc!H9</f>
        <v/>
      </c>
      <c r="I3290">
        <f>IF(Skills!T9&lt;&gt;"",1+(Skills!T9/10)*($Z$3/1000)/100,1)</f>
        <v/>
      </c>
      <c r="J3290">
        <f>((Inputs!$B$6*(1+Inputs!$B$7/100))+(((Inputs!$B$13*(1+Inputs!$B$14/100))-(Inputs!$B$13*(1+Inputs!$B$14/100)))+0.25*(Inputs!$B$15-Inputs!$B$15))*(1+Inputs!$B$7/100))*(F3290/100)</f>
        <v/>
      </c>
      <c r="K3290">
        <f>J3290*(1+(((Inputs!$B$13+IF(Inputs!$B$3&gt;=35,(10*INDEX(FactorTable!$B$2:$Y$301,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9="TRIUMPH_FEATHER",IF(C3297=TRUE,F3297,0),0)/100)*(1+IF(C3308=TRUE,F3308,0)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3290)</f>
        <v/>
      </c>
      <c r="L3290">
        <f>K3290*(MIN(Inputs!$B$23+(F3303-Calc!F22),(Inputs!$B$24+IF(ArtifactsInput!$M$15,CHOOSE(ArtifactsInput!$N$15+1,25,30,35,40,45,50)/100*(Inputs!$B$12-Inputs!$B$12),0)))/100+(Inputs!$B$24+IF(ArtifactsInput!$M$15,CHOOSE(ArtifactsInput!$N$15+1,25,30,35,40,45,50)/100*(Inputs!$B$12-Inputs!$B$12),0))/100)/2</f>
        <v/>
      </c>
      <c r="M3290">
        <f>L3290*(1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0">
        <f>L3290*(1-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(1-Summary!$B$11)*S3290+Summary!$B$11*U3290</f>
        <v/>
      </c>
      <c r="P3290">
        <f>IF(B3324=0,0,O3290/B3324)</f>
        <v/>
      </c>
      <c r="Q3290">
        <f>IFERROR(1/(IF(Inputs!$B$39="pvp",15,MAX(0.1,Skills!D9-IF(Skills!E9=TRUE,4.5,0)))*(1-IF(AND(ArtifactsInput!$M$27,Inputs!$B$4="Chapter Hunt"),CHOOSE(ArtifactsInput!$N$27+1,20,24,28,32,36,40),0)/100)),0)</f>
        <v/>
      </c>
      <c r="R3290">
        <f>IF(AND(Inputs!$B$39&lt;&gt;"pvp",Inputs!$B$44&gt;0),IF(MAX(0,Inputs!$B$44-B3321)&lt;=0,0,(INT(MAX(0,Inputs!$B$44-B3321)/(IF(Inputs!$B$39="pvp",15,MAX(0.1,Skills!D9-IF(Skills!E9=TRUE,4.5,0)))*(1-IF(AND(ArtifactsInput!$M$27,Inputs!$B$4="Chapter Hunt"),CHOOSE(ArtifactsInput!$N$27+1,20,24,28,32,36,40),0)/100)))+1)),0)</f>
        <v/>
      </c>
      <c r="S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$21+Skills!O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3290*(1-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$22+Skills!P9+B3313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Skills!A10</f>
        <v/>
      </c>
      <c r="B3291">
        <f>Skills!B10</f>
        <v/>
      </c>
      <c r="C3291">
        <f>Inputs!$B$3&gt;=66</f>
        <v/>
      </c>
      <c r="D3291">
        <f>IF(Skills!C10=1,60+Inputs!$B$26+Inputs!$B$30,IF(Skills!C10=2,90+Inputs!$B$27+Inputs!$B$30,IF(Skills!C10=3,120+Inputs!$B$28+Inputs!$B$30,MAX(0,(Inputs!$B$3-100)*3)+Inputs!$B$29+Inputs!$B$30)))</f>
        <v/>
      </c>
      <c r="E3291">
        <f>INDEX(FactorTable!$B$2:$Y$301, MATCH(ROUND(MIN(300,MAX(1,D3291)),0), FactorTable!$A$2:$A$301,0), Skills!L10+1)</f>
        <v/>
      </c>
      <c r="F3291" t="n">
        <v>0</v>
      </c>
      <c r="G3291">
        <f>Calc!G10</f>
        <v/>
      </c>
      <c r="H3291">
        <f>Calc!H10</f>
        <v/>
      </c>
      <c r="I3291">
        <f>IF(Skills!T10&lt;&gt;"",1+(Skills!T10/10)*($Z$3/1000)/100,1)</f>
        <v/>
      </c>
      <c r="J3291" t="inlineStr"/>
      <c r="K3291" t="inlineStr"/>
      <c r="L3291" t="inlineStr"/>
      <c r="M3291" t="inlineStr"/>
      <c r="N3291" t="inlineStr"/>
      <c r="O3291">
        <f>(1-Summary!$B$11)*S3291+Summary!$B$11*U3291</f>
        <v/>
      </c>
      <c r="P3291">
        <f>IF(B3324=0,0,O3291/B3324)</f>
        <v/>
      </c>
      <c r="Q3291">
        <f>IFERROR(1/(IF(Inputs!$B$39="pvp",15,MAX(0.1,Skills!D10-IF(Skills!E10=TRUE,4.5,0)))*(1-IF(AND(ArtifactsInput!$M$27,Inputs!$B$4="Chapter Hunt"),CHOOSE(ArtifactsInput!$N$27+1,20,24,28,32,36,40),0)/100)),0)</f>
        <v/>
      </c>
      <c r="R3291">
        <f>IF(AND(Inputs!$B$39&lt;&gt;"pvp",Inputs!$B$44&gt;0),IF(MAX(0,Inputs!$B$44-B3321)&lt;=0,0,(INT(MAX(0,Inputs!$B$44-B3321)/(IF(Inputs!$B$39="pvp",15,MAX(0.1,Skills!D10-IF(Skills!E10=TRUE,4.5,0)))*(1-IF(AND(ArtifactsInput!$M$27,Inputs!$B$4="Chapter Hunt"),CHOOSE(ArtifactsInput!$N$27+1,20,24,28,32,36,40),0)/100)))+1)),0)</f>
        <v/>
      </c>
      <c r="S3291" t="n">
        <v>0</v>
      </c>
      <c r="U3291" t="n">
        <v>0</v>
      </c>
    </row>
    <row r="3292">
      <c r="A3292">
        <f>Skills!A11</f>
        <v/>
      </c>
      <c r="B3292">
        <f>Skills!B11</f>
        <v/>
      </c>
      <c r="C3292">
        <f>Inputs!$B$3&gt;=69</f>
        <v/>
      </c>
      <c r="D3292">
        <f>IF(Skills!C11=1,60+Inputs!$B$26+Inputs!$B$30,IF(Skills!C11=2,90+Inputs!$B$27+Inputs!$B$30,IF(Skills!C11=3,120+Inputs!$B$28+Inputs!$B$30,MAX(0,(Inputs!$B$3-100)*3)+Inputs!$B$29+Inputs!$B$30)))</f>
        <v/>
      </c>
      <c r="E3292">
        <f>INDEX(FactorTable!$B$2:$Y$301, MATCH(ROUND(MIN(300,MAX(1,D3292)),0), FactorTable!$A$2:$A$301,0), Skills!L11+1)</f>
        <v/>
      </c>
      <c r="F3292">
        <f>IF(Skills!M11=TRUE,(Skills!K11/10)*(E3292/1000),Skills!K11/10)+Skills!N11</f>
        <v/>
      </c>
      <c r="G3292">
        <f>Calc!G11</f>
        <v/>
      </c>
      <c r="H3292">
        <f>Calc!H11</f>
        <v/>
      </c>
      <c r="I3292">
        <f>IF(Skills!T11&lt;&gt;"",1+(Skills!T11/10)*($Z$3/1000)/100,1)</f>
        <v/>
      </c>
      <c r="J3292" t="inlineStr"/>
      <c r="K3292" t="inlineStr"/>
      <c r="L3292" t="inlineStr"/>
      <c r="M3292" t="inlineStr"/>
      <c r="N3292" t="inlineStr"/>
      <c r="O3292">
        <f>(1-Summary!$B$11)*S3292+Summary!$B$11*U3292</f>
        <v/>
      </c>
      <c r="P3292">
        <f>IF(B3324=0,0,O3292/B3324)</f>
        <v/>
      </c>
      <c r="Q3292">
        <f>IFERROR(1/(IF(Inputs!$B$39="pvp",15,MAX(0.1,Skills!D11-IF(Skills!E11=TRUE,4.5,0)))*(1-IF(AND(ArtifactsInput!$M$27,Inputs!$B$4="Chapter Hunt"),CHOOSE(ArtifactsInput!$N$27+1,20,24,28,32,36,40),0)/100)),0)</f>
        <v/>
      </c>
      <c r="R3292">
        <f>IF(AND(Inputs!$B$39&lt;&gt;"pvp",Inputs!$B$44&gt;0),IF(Inputs!$B$44&lt;=0,0,(INT(Inputs!$B$44/(IF(Inputs!$B$39="pvp",15,MAX(0.1,Skills!D11-IF(Skills!E11=TRUE,4.5,0)))*(1-IF(AND(ArtifactsInput!$M$27,Inputs!$B$4="Chapter Hunt"),CHOOSE(ArtifactsInput!$N$27+1,20,24,28,32,36,40),0)/100)))+1)),0)</f>
        <v/>
      </c>
      <c r="S3292" t="n">
        <v>0</v>
      </c>
      <c r="U3292" t="n">
        <v>0</v>
      </c>
    </row>
    <row r="3293">
      <c r="A3293">
        <f>Skills!A12</f>
        <v/>
      </c>
      <c r="B3293">
        <f>Skills!B12</f>
        <v/>
      </c>
      <c r="C3293">
        <f>Inputs!$B$3&gt;=72</f>
        <v/>
      </c>
      <c r="D3293">
        <f>IF(Skills!C12=1,60+Inputs!$B$26+Inputs!$B$30,IF(Skills!C12=2,90+Inputs!$B$27+Inputs!$B$30,IF(Skills!C12=3,120+Inputs!$B$28+Inputs!$B$30,MAX(0,(Inputs!$B$3-100)*3)+Inputs!$B$29+Inputs!$B$30)))</f>
        <v/>
      </c>
      <c r="E3293">
        <f>INDEX(FactorTable!$B$2:$Y$301, MATCH(ROUND(MIN(300,MAX(1,D3293)),0), FactorTable!$A$2:$A$301,0), Skills!L12+1)</f>
        <v/>
      </c>
      <c r="F3293">
        <f>IF(Skills!M12=TRUE,(Skills!K12/10)*(E3293/1000),Skills!K12/10)+Skills!N12</f>
        <v/>
      </c>
      <c r="G3293">
        <f>Calc!G12</f>
        <v/>
      </c>
      <c r="H3293">
        <f>Calc!H12</f>
        <v/>
      </c>
      <c r="I3293">
        <f>IF(Skills!T12&lt;&gt;"",1+(Skills!T12/10)*($Z$3/1000)/100,1)</f>
        <v/>
      </c>
      <c r="J3293" t="inlineStr"/>
      <c r="K3293" t="inlineStr"/>
      <c r="L3293" t="inlineStr"/>
      <c r="M3293" t="inlineStr"/>
      <c r="N3293" t="inlineStr"/>
      <c r="O3293">
        <f>(1-Summary!$B$11)*S3293+Summary!$B$11*U3293</f>
        <v/>
      </c>
      <c r="P3293">
        <f>IF(B3324=0,0,O3293/B3324)</f>
        <v/>
      </c>
      <c r="Q3293">
        <f>IFERROR(1/(IF(Inputs!$B$39="pvp",15,MAX(0.1,Skills!D12-IF(Skills!E12=TRUE,4.5,0)))*(1-IF(AND(ArtifactsInput!$M$27,Inputs!$B$4="Chapter Hunt"),CHOOSE(ArtifactsInput!$N$27+1,20,24,28,32,36,40),0)/100)),0)</f>
        <v/>
      </c>
      <c r="R3293">
        <f>IF(AND(Inputs!$B$39&lt;&gt;"pvp",Inputs!$B$44&gt;0),IF(MAX(0,Inputs!$B$44-B3321)&lt;=0,0,(INT(MAX(0,Inputs!$B$44-B3321)/(IF(Inputs!$B$39="pvp",15,MAX(0.1,Skills!D12-IF(Skills!E12=TRUE,4.5,0)))*(1-IF(AND(ArtifactsInput!$M$27,Inputs!$B$4="Chapter Hunt"),CHOOSE(ArtifactsInput!$N$27+1,20,24,28,32,36,40),0)/100)))+1)),0)</f>
        <v/>
      </c>
      <c r="S3293" t="n">
        <v>0</v>
      </c>
      <c r="U3293" t="n">
        <v>0</v>
      </c>
    </row>
    <row r="3294">
      <c r="A3294">
        <f>Skills!A13</f>
        <v/>
      </c>
      <c r="B3294">
        <f>Skills!B13</f>
        <v/>
      </c>
      <c r="C3294">
        <f>Inputs!$B$3&gt;=60</f>
        <v/>
      </c>
      <c r="D3294">
        <f>IF(Skills!C13=1,60+Inputs!$B$26+Inputs!$B$30,IF(Skills!C13=2,90+Inputs!$B$27+Inputs!$B$30,IF(Skills!C13=3,120+Inputs!$B$28+Inputs!$B$30,MAX(0,(Inputs!$B$3-100)*3)+Inputs!$B$29+Inputs!$B$30)))</f>
        <v/>
      </c>
      <c r="E3294">
        <f>INDEX(FactorTable!$B$2:$Y$301, MATCH(ROUND(MIN(300,MAX(1,D3294)),0), FactorTable!$A$2:$A$301,0), Skills!L13+1)</f>
        <v/>
      </c>
      <c r="F3294">
        <f>IF(Skills!M13=TRUE,(Skills!K13/10)*(E3294/1000),Skills!K13/10)+Skills!N13</f>
        <v/>
      </c>
      <c r="G3294">
        <f>Calc!G13</f>
        <v/>
      </c>
      <c r="H3294">
        <f>Calc!H13</f>
        <v/>
      </c>
      <c r="I3294">
        <f>IF(Skills!T13&lt;&gt;"",1+(Skills!T13/10)*($Z$3/1000)/100,1)</f>
        <v/>
      </c>
      <c r="J3294" t="inlineStr"/>
      <c r="K3294" t="inlineStr"/>
      <c r="L3294" t="inlineStr"/>
      <c r="M3294" t="inlineStr"/>
      <c r="N3294" t="inlineStr"/>
      <c r="O3294">
        <f>(1-Summary!$B$11)*S3294+Summary!$B$11*U3294</f>
        <v/>
      </c>
      <c r="P3294">
        <f>IF(B3324=0,0,O3294/B3324)</f>
        <v/>
      </c>
      <c r="Q3294">
        <f>IFERROR(1/(IF(Inputs!$B$39="pvp",15,MAX(0.1,Skills!D13-IF(Skills!E13=TRUE,4.5,0)))*(1-IF(AND(ArtifactsInput!$M$27,Inputs!$B$4="Chapter Hunt"),CHOOSE(ArtifactsInput!$N$27+1,20,24,28,32,36,40),0)/100)),0)</f>
        <v/>
      </c>
      <c r="R3294">
        <f>IF(AND(Inputs!$B$39&lt;&gt;"pvp",Inputs!$B$44&gt;0),IF(MAX(0,Inputs!$B$44-B3321)&lt;=0,0,(INT(MAX(0,Inputs!$B$44-B3321)/(IF(Inputs!$B$39="pvp",15,MAX(0.1,Skills!D13-IF(Skills!E13=TRUE,4.5,0)))*(1-IF(AND(ArtifactsInput!$M$27,Inputs!$B$4="Chapter Hunt"),CHOOSE(ArtifactsInput!$N$27+1,20,24,28,32,36,40),0)/100)))+1)),0)</f>
        <v/>
      </c>
      <c r="S3294" t="n">
        <v>0</v>
      </c>
      <c r="U3294" t="n">
        <v>0</v>
      </c>
    </row>
    <row r="3295">
      <c r="A3295">
        <f>Skills!A14</f>
        <v/>
      </c>
      <c r="B3295">
        <f>Skills!B14</f>
        <v/>
      </c>
      <c r="C3295">
        <f>Inputs!$B$3&gt;=107</f>
        <v/>
      </c>
      <c r="D3295">
        <f>IF(Skills!C14=1,60+Inputs!$B$26+Inputs!$B$30,IF(Skills!C14=2,90+Inputs!$B$27+Inputs!$B$30,IF(Skills!C14=3,120+Inputs!$B$28+Inputs!$B$30,MAX(0,(Inputs!$B$3-100)*3)+Inputs!$B$29+Inputs!$B$30)))</f>
        <v/>
      </c>
      <c r="E3295">
        <f>INDEX(FactorTable!$B$2:$Y$301, MATCH(ROUND(MIN(300,MAX(1,D3295)),0), FactorTable!$A$2:$A$301,0), Skills!L14+1)</f>
        <v/>
      </c>
      <c r="F3295">
        <f>IF(Skills!M14=TRUE,(Skills!K14/10)*(E3295/1000),Skills!K14/10)+Skills!N14</f>
        <v/>
      </c>
      <c r="G3295">
        <f>Calc!G14</f>
        <v/>
      </c>
      <c r="H3295">
        <f>Calc!H14</f>
        <v/>
      </c>
      <c r="I3295">
        <f>IF(Skills!T14&lt;&gt;"",1+(Skills!T14/10)*($Z$3/1000)/100,1)</f>
        <v/>
      </c>
      <c r="J3295" t="inlineStr"/>
      <c r="K3295" t="inlineStr"/>
      <c r="L3295" t="inlineStr"/>
      <c r="M3295" t="inlineStr"/>
      <c r="N3295" t="inlineStr"/>
      <c r="O3295">
        <f>(1-Summary!$B$11)*S3295+Summary!$B$11*U3295</f>
        <v/>
      </c>
      <c r="P3295">
        <f>IF(B3324=0,0,O3295/B3324)</f>
        <v/>
      </c>
      <c r="Q3295">
        <f>IFERROR(1/(IF(Inputs!$B$39="pvp",15,MAX(0.1,Skills!D14-IF(Skills!E14=TRUE,4.5,0)))*(1-IF(AND(ArtifactsInput!$M$27,Inputs!$B$4="Chapter Hunt"),CHOOSE(ArtifactsInput!$N$27+1,20,24,28,32,36,40),0)/100)),0)</f>
        <v/>
      </c>
      <c r="R3295">
        <f>IF(AND(Inputs!$B$39&lt;&gt;"pvp",Inputs!$B$44&gt;0),IF(Inputs!$B$44&lt;=0,0,(INT(Inputs!$B$44/(IF(Inputs!$B$39="pvp",15,MAX(0.1,Skills!D14-IF(Skills!E14=TRUE,4.5,0)))*(1-IF(AND(ArtifactsInput!$M$27,Inputs!$B$4="Chapter Hunt"),CHOOSE(ArtifactsInput!$N$27+1,20,24,28,32,36,40),0)/100)))+1)),0)</f>
        <v/>
      </c>
      <c r="S3295" t="n">
        <v>0</v>
      </c>
      <c r="U3295" t="n">
        <v>0</v>
      </c>
    </row>
    <row r="3296">
      <c r="A3296">
        <f>Skills!A15</f>
        <v/>
      </c>
      <c r="B3296">
        <f>Skills!B15</f>
        <v/>
      </c>
      <c r="C3296">
        <f>Inputs!$B$3&gt;=63</f>
        <v/>
      </c>
      <c r="D3296">
        <f>IF(Skills!C15=1,60+Inputs!$B$26+Inputs!$B$30,IF(Skills!C15=2,90+Inputs!$B$27+Inputs!$B$30,IF(Skills!C15=3,120+Inputs!$B$28+Inputs!$B$30,MAX(0,(Inputs!$B$3-100)*3)+Inputs!$B$29+Inputs!$B$30)))</f>
        <v/>
      </c>
      <c r="E3296">
        <f>INDEX(FactorTable!$B$2:$Y$301, MATCH(ROUND(MIN(300,MAX(1,D3296)),0), FactorTable!$A$2:$A$301,0), Skills!L15+1)</f>
        <v/>
      </c>
      <c r="F3296">
        <f>IF(Skills!M15=TRUE,(Skills!K15/10)*(E3296/1000),Skills!K15/10)+Skills!N15</f>
        <v/>
      </c>
      <c r="G3296">
        <f>Calc!G15</f>
        <v/>
      </c>
      <c r="H3296">
        <f>Calc!H15</f>
        <v/>
      </c>
      <c r="I3296">
        <f>IF(Skills!T15&lt;&gt;"",1+(Skills!T15/10)*($Z$3/1000)/100,1)</f>
        <v/>
      </c>
      <c r="J3296">
        <f>((Inputs!$B$6*(1+Inputs!$B$7/100))+(((Inputs!$B$13*(1+Inputs!$B$14/100))-(Inputs!$B$13*(1+Inputs!$B$14/100)))+0.25*(Inputs!$B$15-Inputs!$B$15))*(1+Inputs!$B$7/100))*(F3296/100)</f>
        <v/>
      </c>
      <c r="K3296">
        <f>J3296*(1+(((Inputs!$B$13+IF(Inputs!$B$3&gt;=35,(10*INDEX(FactorTable!$B$2:$Y$301,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15="TRIUMPH_FEATHER",IF(C3297=TRUE,F3297,0),0)/100)*(1+IF(C3308=TRUE,F3308,0)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3296)</f>
        <v/>
      </c>
      <c r="L3296">
        <f>K3296*(MIN(Inputs!$B$23+(F3303-Calc!F22),(Inputs!$B$24+IF(ArtifactsInput!$M$15,CHOOSE(ArtifactsInput!$N$15+1,25,30,35,40,45,50)/100*(Inputs!$B$12-Inputs!$B$12),0)))/100+(Inputs!$B$24+IF(ArtifactsInput!$M$15,CHOOSE(ArtifactsInput!$N$15+1,25,30,35,40,45,50)/100*(Inputs!$B$12-Inputs!$B$12),0))/100)/2</f>
        <v/>
      </c>
      <c r="M3296">
        <f>L3296*(1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6">
        <f>L3296*(1-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(1-Summary!$B$11)*S3296+Summary!$B$11*U3296</f>
        <v/>
      </c>
      <c r="P3296">
        <f>IF(B3324=0,0,O3296/B3324)</f>
        <v/>
      </c>
      <c r="Q3296">
        <f>IFERROR(1/(IF(Inputs!$B$39="pvp",15,MAX(0.1,Skills!D15-IF(Skills!E15=TRUE,4.5,0)))*(1-IF(AND(ArtifactsInput!$M$27,Inputs!$B$4="Chapter Hunt"),CHOOSE(ArtifactsInput!$N$27+1,20,24,28,32,36,40),0)/100)),0)</f>
        <v/>
      </c>
      <c r="R3296" t="n">
        <v>0</v>
      </c>
      <c r="S3296">
        <f>IF(C3296,(Skills!F15*N3296*((IF(Inputs!$B$3&gt;=78,25,15)/100*B3317*10)/(1+IF(Inputs!$B$3&gt;=78,25,15)/100*B3317*10))*(Skills!I15/100*B3317)/(1+Skills!G15*Skills!I15/100*B3317))*IF(Inputs!$B$39="pvp",1,1+(Inputs!$B$21+Skills!O15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3296*(1-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6">
        <f>IF(C3296,(Skills!F15*N3296*((IF(Inputs!$B$3&gt;=78,25,15)/100*B3317*10)/(1+IF(Inputs!$B$3&gt;=78,25,15)/100*B3317*10))*(Skills!I15/100*B3317)/(1+Skills!G15*Skills!I15/100*B3317))*IF(Inputs!$B$39="pvp",1,(1+(Inputs!$B$22+Skills!P15+B3313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Skills!A16</f>
        <v/>
      </c>
      <c r="B3297">
        <f>Skills!B16</f>
        <v/>
      </c>
      <c r="C3297">
        <f>Inputs!$B$3&gt;=100</f>
        <v/>
      </c>
      <c r="D3297">
        <f>IF(Skills!C16=1,60+Inputs!$B$26+Inputs!$B$30,IF(Skills!C16=2,90+Inputs!$B$27+Inputs!$B$30,IF(Skills!C16=3,120+Inputs!$B$28+Inputs!$B$30,MAX(0,(Inputs!$B$3-100)*3)+Inputs!$B$29+Inputs!$B$30)))</f>
        <v/>
      </c>
      <c r="E3297">
        <f>INDEX(FactorTable!$B$2:$Y$301, MATCH(ROUND(MIN(300,MAX(1,D3297)),0), FactorTable!$A$2:$A$301,0), Skills!L16+1)</f>
        <v/>
      </c>
      <c r="F3297">
        <f>IF(Skills!M16=TRUE,(Skills!K16/10)*(E3297/1000),Skills!K16/10)+Skills!N16</f>
        <v/>
      </c>
      <c r="G3297">
        <f>Calc!G16</f>
        <v/>
      </c>
      <c r="H3297">
        <f>Calc!H16</f>
        <v/>
      </c>
      <c r="I3297">
        <f>IF(Skills!T16&lt;&gt;"",1+(Skills!T16/10)*($Z$3/1000)/100,1)</f>
        <v/>
      </c>
      <c r="J3297" t="inlineStr"/>
      <c r="K3297" t="inlineStr"/>
      <c r="L3297" t="inlineStr"/>
      <c r="M3297" t="inlineStr"/>
      <c r="N3297" t="inlineStr"/>
      <c r="O3297">
        <f>(1-Summary!$B$11)*S3297+Summary!$B$11*U3297</f>
        <v/>
      </c>
      <c r="P3297">
        <f>IF(B3324=0,0,O3297/B3324)</f>
        <v/>
      </c>
      <c r="Q3297">
        <f>IFERROR(1/(IF(Inputs!$B$39="pvp",15,MAX(0.1,Skills!D16-IF(Skills!E16=TRUE,4.5,0)))*(1-IF(AND(ArtifactsInput!$M$27,Inputs!$B$4="Chapter Hunt"),CHOOSE(ArtifactsInput!$N$27+1,20,24,28,32,36,40),0)/100)),0)</f>
        <v/>
      </c>
      <c r="R3297" t="n">
        <v>0</v>
      </c>
      <c r="S3297" t="n">
        <v>0</v>
      </c>
      <c r="U3297" t="n">
        <v>0</v>
      </c>
    </row>
    <row r="3298">
      <c r="A3298">
        <f>Skills!A17</f>
        <v/>
      </c>
      <c r="B3298">
        <f>Skills!B17</f>
        <v/>
      </c>
      <c r="C3298">
        <f>Inputs!$B$3&gt;=49</f>
        <v/>
      </c>
      <c r="D3298">
        <f>IF(Skills!C17=1,60+Inputs!$B$26+Inputs!$B$30,IF(Skills!C17=2,90+Inputs!$B$27+Inputs!$B$30,IF(Skills!C17=3,120+Inputs!$B$28+Inputs!$B$30,MAX(0,(Inputs!$B$3-100)*3)+Inputs!$B$29+Inputs!$B$30)))</f>
        <v/>
      </c>
      <c r="E3298">
        <f>INDEX(FactorTable!$B$2:$Y$301, MATCH(ROUND(MIN(300,MAX(1,D3298)),0), FactorTable!$A$2:$A$301,0), Skills!L17+1)</f>
        <v/>
      </c>
      <c r="F3298">
        <f>IF(Skills!M17=TRUE,(Skills!K17/10)*(E3298/1000),Skills!K17/10)+Skills!N17</f>
        <v/>
      </c>
      <c r="G3298">
        <f>Calc!G17</f>
        <v/>
      </c>
      <c r="H3298">
        <f>Calc!H17</f>
        <v/>
      </c>
      <c r="I3298">
        <f>IF(Skills!T17&lt;&gt;"",1+(Skills!T17/10)*($Z$3/1000)/100,1)</f>
        <v/>
      </c>
      <c r="J3298" t="inlineStr"/>
      <c r="K3298" t="inlineStr"/>
      <c r="L3298" t="inlineStr"/>
      <c r="M3298" t="inlineStr"/>
      <c r="N3298" t="inlineStr"/>
      <c r="O3298">
        <f>(1-Summary!$B$11)*S3298+Summary!$B$11*U3298</f>
        <v/>
      </c>
      <c r="P3298">
        <f>IF(B3324=0,0,O3298/B3324)</f>
        <v/>
      </c>
      <c r="Q3298">
        <f>IFERROR(1/(IF(Inputs!$B$39="pvp",15,MAX(0.1,Skills!D17-IF(Skills!E17=TRUE,4.5,0)))*(1-IF(AND(ArtifactsInput!$M$27,Inputs!$B$4="Chapter Hunt"),CHOOSE(ArtifactsInput!$N$27+1,20,24,28,32,36,40),0)/100)),0)</f>
        <v/>
      </c>
      <c r="R3298" t="n">
        <v>0</v>
      </c>
      <c r="S3298" t="n">
        <v>0</v>
      </c>
      <c r="U3298" t="n">
        <v>0</v>
      </c>
    </row>
    <row r="3299">
      <c r="A3299">
        <f>Skills!A18</f>
        <v/>
      </c>
      <c r="B3299">
        <f>Skills!B18</f>
        <v/>
      </c>
      <c r="C3299">
        <f>Inputs!$B$3&gt;=75</f>
        <v/>
      </c>
      <c r="D3299">
        <f>IF(Skills!C18=1,60+Inputs!$B$26+Inputs!$B$30,IF(Skills!C18=2,90+Inputs!$B$27+Inputs!$B$30,IF(Skills!C18=3,120+Inputs!$B$28+Inputs!$B$30,MAX(0,(Inputs!$B$3-100)*3)+Inputs!$B$29+Inputs!$B$30)))</f>
        <v/>
      </c>
      <c r="E3299">
        <f>INDEX(FactorTable!$B$2:$Y$301, MATCH(ROUND(MIN(300,MAX(1,D3299)),0), FactorTable!$A$2:$A$301,0), Skills!L18+1)</f>
        <v/>
      </c>
      <c r="F3299">
        <f>IF(Skills!M18=TRUE,(Skills!K18/10)*(E3299/1000),Skills!K18/10)+Skills!N18</f>
        <v/>
      </c>
      <c r="G3299">
        <f>Calc!G18</f>
        <v/>
      </c>
      <c r="H3299">
        <f>Calc!H18</f>
        <v/>
      </c>
      <c r="I3299">
        <f>IF(Skills!T18&lt;&gt;"",1+(Skills!T18/10)*($Z$3/1000)/100,1)</f>
        <v/>
      </c>
      <c r="J3299" t="inlineStr"/>
      <c r="K3299" t="inlineStr"/>
      <c r="L3299" t="inlineStr"/>
      <c r="M3299" t="inlineStr"/>
      <c r="N3299" t="inlineStr"/>
      <c r="O3299">
        <f>(1-Summary!$B$11)*S3299+Summary!$B$11*U3299</f>
        <v/>
      </c>
      <c r="P3299">
        <f>IF(B3324=0,0,O3299/B3324)</f>
        <v/>
      </c>
      <c r="Q3299">
        <f>IFERROR(1/(IF(Inputs!$B$39="pvp",15,MAX(0.1,Skills!D18-IF(Skills!E18=TRUE,4.5,0)))*(1-IF(AND(ArtifactsInput!$M$27,Inputs!$B$4="Chapter Hunt"),CHOOSE(ArtifactsInput!$N$27+1,20,24,28,32,36,40),0)/100)),0)</f>
        <v/>
      </c>
      <c r="R3299" t="n">
        <v>0</v>
      </c>
      <c r="S3299" t="n">
        <v>0</v>
      </c>
      <c r="U3299" t="n">
        <v>0</v>
      </c>
    </row>
    <row r="3300">
      <c r="A3300">
        <f>Skills!A19</f>
        <v/>
      </c>
      <c r="B3300">
        <f>Skills!B19</f>
        <v/>
      </c>
      <c r="C3300">
        <f>Inputs!$B$3&gt;=110</f>
        <v/>
      </c>
      <c r="D3300">
        <f>IF(Skills!C19=1,60+Inputs!$B$26+Inputs!$B$30,IF(Skills!C19=2,90+Inputs!$B$27+Inputs!$B$30,IF(Skills!C19=3,120+Inputs!$B$28+Inputs!$B$30,MAX(0,(Inputs!$B$3-100)*3)+Inputs!$B$29+Inputs!$B$30)))</f>
        <v/>
      </c>
      <c r="E3300">
        <f>INDEX(FactorTable!$B$2:$Y$301, MATCH(ROUND(MIN(300,MAX(1,D3300)),0), FactorTable!$A$2:$A$301,0), Skills!L19+1)</f>
        <v/>
      </c>
      <c r="F3300">
        <f>(Skills!K19/10)*(E3300/1000)*64/45+Skills!N19</f>
        <v/>
      </c>
      <c r="G3300">
        <f>Calc!G19</f>
        <v/>
      </c>
      <c r="H3300">
        <f>Calc!H19</f>
        <v/>
      </c>
      <c r="I3300">
        <f>IF(Skills!T19&lt;&gt;"",1+(Skills!T19/10)*($Z$3/1000)/100,1)</f>
        <v/>
      </c>
      <c r="J3300" t="inlineStr"/>
      <c r="K3300" t="inlineStr"/>
      <c r="L3300" t="inlineStr"/>
      <c r="M3300" t="inlineStr"/>
      <c r="N3300" t="inlineStr"/>
      <c r="O3300">
        <f>(1-Summary!$B$11)*S3300+Summary!$B$11*U3300</f>
        <v/>
      </c>
      <c r="P3300">
        <f>IF(B3324=0,0,O3300/B3324)</f>
        <v/>
      </c>
      <c r="Q3300">
        <f>IFERROR(1/(IF(Inputs!$B$39="pvp",15,MAX(0.1,Skills!D19-IF(Skills!E19=TRUE,4.5,0)))*(1-IF(AND(ArtifactsInput!$M$27,Inputs!$B$4="Chapter Hunt"),CHOOSE(ArtifactsInput!$N$27+1,20,24,28,32,36,40),0)/100)),0)</f>
        <v/>
      </c>
      <c r="R3300">
        <f>IF(AND(Inputs!$B$39&lt;&gt;"pvp",Inputs!$B$44&gt;0),IF(Inputs!$B$44&lt;=0,0,(INT(Inputs!$B$44/(IF(Inputs!$B$39="pvp",15,MAX(0.1,Skills!D19-IF(Skills!E19=TRUE,4.5,0)))*(1-IF(AND(ArtifactsInput!$M$27,Inputs!$B$4="Chapter Hunt"),CHOOSE(ArtifactsInput!$N$27+1,20,24,28,32,36,40),0)/100)))+1)),0)</f>
        <v/>
      </c>
      <c r="S3300" t="n">
        <v>0</v>
      </c>
      <c r="U3300" t="n">
        <v>0</v>
      </c>
    </row>
    <row r="3301">
      <c r="A3301">
        <f>Skills!A20</f>
        <v/>
      </c>
      <c r="B3301">
        <f>Skills!B20</f>
        <v/>
      </c>
      <c r="C3301">
        <f>Inputs!$B$3&gt;=125</f>
        <v/>
      </c>
      <c r="D3301">
        <f>IF(Skills!C20=1,60+Inputs!$B$26+Inputs!$B$30,IF(Skills!C20=2,90+Inputs!$B$27+Inputs!$B$30,IF(Skills!C20=3,120+Inputs!$B$28+Inputs!$B$30,MAX(0,(Inputs!$B$3-100)*3)+Inputs!$B$29+Inputs!$B$30)))</f>
        <v/>
      </c>
      <c r="E3301">
        <f>INDEX(FactorTable!$B$2:$Y$301, MATCH(ROUND(MIN(300,MAX(1,D3301)),0), FactorTable!$A$2:$A$301,0), Skills!L20+1)</f>
        <v/>
      </c>
      <c r="F3301">
        <f>IF(Skills!M20=TRUE,(Skills!K20/10)*(E3301/1000),Skills!K20/10)+Skills!N20</f>
        <v/>
      </c>
      <c r="G3301">
        <f>Calc!G20</f>
        <v/>
      </c>
      <c r="H3301">
        <f>Calc!H20</f>
        <v/>
      </c>
      <c r="I3301">
        <f>IF(Skills!T20&lt;&gt;"",1+(Skills!T20/10)*($Z$3/1000)/100,1)</f>
        <v/>
      </c>
      <c r="J3301" t="inlineStr"/>
      <c r="K3301" t="inlineStr"/>
      <c r="L3301" t="inlineStr"/>
      <c r="M3301" t="inlineStr"/>
      <c r="N3301" t="inlineStr"/>
      <c r="O3301">
        <f>(1-Summary!$B$11)*S3301+Summary!$B$11*U3301</f>
        <v/>
      </c>
      <c r="P3301">
        <f>IF(B3324=0,0,O3301/B3324)</f>
        <v/>
      </c>
      <c r="Q3301">
        <f>IFERROR(1/(IF(Inputs!$B$39="pvp",15,MAX(0.1,Skills!D20-IF(Skills!E20=TRUE,4.5,0)))*(1-IF(AND(ArtifactsInput!$M$27,Inputs!$B$4="Chapter Hunt"),CHOOSE(ArtifactsInput!$N$27+1,20,24,28,32,36,40),0)/100)),0)</f>
        <v/>
      </c>
      <c r="R3301" t="n">
        <v>0</v>
      </c>
      <c r="S3301" t="n">
        <v>0</v>
      </c>
      <c r="U3301" t="n">
        <v>0</v>
      </c>
    </row>
    <row r="3302">
      <c r="A3302">
        <f>Skills!A21</f>
        <v/>
      </c>
      <c r="B3302">
        <f>Skills!B21</f>
        <v/>
      </c>
      <c r="C3302">
        <f>Inputs!$B$3&gt;=33</f>
        <v/>
      </c>
      <c r="D3302">
        <f>IF(Skills!C21=1,60+Inputs!$B$26+Inputs!$B$30,IF(Skills!C21=2,90+Inputs!$B$27+Inputs!$B$30,IF(Skills!C21=3,120+Inputs!$B$28+Inputs!$B$30,MAX(0,(Inputs!$B$3-100)*3)+Inputs!$B$29+Inputs!$B$30)))</f>
        <v/>
      </c>
      <c r="E3302">
        <f>INDEX(FactorTable!$B$2:$Y$301, MATCH(ROUND(MIN(300,MAX(1,D3302)),0), FactorTable!$A$2:$A$301,0), Skills!L21+1)</f>
        <v/>
      </c>
      <c r="F3302">
        <f>IF(Skills!M21=TRUE,(Skills!K21/10)*(E3302/1000),Skills!K21/10)+Skills!N21</f>
        <v/>
      </c>
      <c r="G3302">
        <f>Calc!G21</f>
        <v/>
      </c>
      <c r="H3302">
        <f>Calc!H21</f>
        <v/>
      </c>
      <c r="I3302">
        <f>IF(Skills!T21&lt;&gt;"",1+(Skills!T21/10)*($Z$3/1000)/100,1)</f>
        <v/>
      </c>
      <c r="J3302" t="inlineStr"/>
      <c r="K3302" t="inlineStr"/>
      <c r="L3302" t="inlineStr"/>
      <c r="M3302" t="inlineStr"/>
      <c r="N3302" t="inlineStr"/>
      <c r="O3302">
        <f>(1-Summary!$B$11)*S3302+Summary!$B$11*U3302</f>
        <v/>
      </c>
      <c r="P3302">
        <f>IF(B3324=0,0,O3302/B3324)</f>
        <v/>
      </c>
      <c r="Q3302">
        <f>IFERROR(1/(IF(Inputs!$B$39="pvp",15,MAX(0.1,Skills!D21-IF(Skills!E21=TRUE,4.5,0)))*(1-IF(AND(ArtifactsInput!$M$27,Inputs!$B$4="Chapter Hunt"),CHOOSE(ArtifactsInput!$N$27+1,20,24,28,32,36,40),0)/100)),0)</f>
        <v/>
      </c>
      <c r="R3302" t="n">
        <v>0</v>
      </c>
      <c r="S3302" t="n">
        <v>0</v>
      </c>
      <c r="U3302" t="n">
        <v>0</v>
      </c>
    </row>
    <row r="3303">
      <c r="A3303">
        <f>Skills!A22</f>
        <v/>
      </c>
      <c r="B3303">
        <f>Skills!B22</f>
        <v/>
      </c>
      <c r="C3303">
        <f>Inputs!$B$3&gt;=43</f>
        <v/>
      </c>
      <c r="D3303">
        <f>IF(Skills!C22=1,60+Inputs!$B$26+Inputs!$B$30,IF(Skills!C22=2,90+Inputs!$B$27+Inputs!$B$30,IF(Skills!C22=3,120+Inputs!$B$28+Inputs!$B$30,MAX(0,(Inputs!$B$3-100)*3)+Inputs!$B$29+Inputs!$B$30)))</f>
        <v/>
      </c>
      <c r="E3303">
        <f>INDEX(FactorTable!$B$2:$Y$301, MATCH(ROUND(MIN(300,MAX(1,D3303)),0), FactorTable!$A$2:$A$301,0), Skills!L22+1)</f>
        <v/>
      </c>
      <c r="F3303">
        <f>IF(Skills!M22=TRUE,(Skills!K22/10)*(E3303/1000),Skills!K22/10)+Skills!N22</f>
        <v/>
      </c>
      <c r="G3303">
        <f>Calc!G22</f>
        <v/>
      </c>
      <c r="H3303">
        <f>Calc!H22</f>
        <v/>
      </c>
      <c r="I3303">
        <f>IF(Skills!T22&lt;&gt;"",1+(Skills!T22/10)*($Z$3/1000)/100,1)</f>
        <v/>
      </c>
      <c r="J3303" t="inlineStr"/>
      <c r="K3303" t="inlineStr"/>
      <c r="L3303" t="inlineStr"/>
      <c r="M3303" t="inlineStr"/>
      <c r="N3303" t="inlineStr"/>
      <c r="O3303">
        <f>(1-Summary!$B$11)*S3303+Summary!$B$11*U3303</f>
        <v/>
      </c>
      <c r="P3303">
        <f>IF(B3324=0,0,O3303/B3324)</f>
        <v/>
      </c>
      <c r="Q3303">
        <f>IFERROR(1/(IF(Inputs!$B$39="pvp",15,MAX(0.1,Skills!D22-IF(Skills!E22=TRUE,4.5,0)))*(1-IF(AND(ArtifactsInput!$M$27,Inputs!$B$4="Chapter Hunt"),CHOOSE(ArtifactsInput!$N$27+1,20,24,28,32,36,40),0)/100)),0)</f>
        <v/>
      </c>
      <c r="R3303" t="n">
        <v>0</v>
      </c>
      <c r="S3303" t="n">
        <v>0</v>
      </c>
      <c r="U3303" t="n">
        <v>0</v>
      </c>
    </row>
    <row r="3304">
      <c r="A3304">
        <f>Skills!A23</f>
        <v/>
      </c>
      <c r="B3304">
        <f>Skills!B23</f>
        <v/>
      </c>
      <c r="C3304">
        <f>Inputs!$B$3&gt;=50</f>
        <v/>
      </c>
      <c r="D3304">
        <f>IF(Skills!C23=1,60+Inputs!$B$26+Inputs!$B$30,IF(Skills!C23=2,90+Inputs!$B$27+Inputs!$B$30,IF(Skills!C23=3,120+Inputs!$B$28+Inputs!$B$30,MAX(0,(Inputs!$B$3-100)*3)+Inputs!$B$29+Inputs!$B$30)))</f>
        <v/>
      </c>
      <c r="E3304">
        <f>INDEX(FactorTable!$B$2:$Y$301, MATCH(ROUND(MIN(300,MAX(1,D3304)),0), FactorTable!$A$2:$A$301,0), Skills!L23+1)</f>
        <v/>
      </c>
      <c r="F3304">
        <f>IF(Skills!M23=TRUE,(Skills!K23/10)*(E3304/1000),Skills!K23/10)+Skills!N23</f>
        <v/>
      </c>
      <c r="G3304">
        <f>Calc!G23</f>
        <v/>
      </c>
      <c r="H3304">
        <f>Calc!H23</f>
        <v/>
      </c>
      <c r="I3304">
        <f>IF(Skills!T23&lt;&gt;"",1+(Skills!T23/10)*($Z$3/1000)/100,1)</f>
        <v/>
      </c>
      <c r="J3304" t="inlineStr"/>
      <c r="K3304" t="inlineStr"/>
      <c r="L3304" t="inlineStr"/>
      <c r="M3304" t="inlineStr"/>
      <c r="N3304" t="inlineStr"/>
      <c r="O3304">
        <f>(1-Summary!$B$11)*S3304+Summary!$B$11*U3304</f>
        <v/>
      </c>
      <c r="P3304">
        <f>IF(B3324=0,0,O3304/B3324)</f>
        <v/>
      </c>
      <c r="Q3304">
        <f>IFERROR(1/(IF(Inputs!$B$39="pvp",15,MAX(0.1,Skills!D23-IF(Skills!E23=TRUE,4.5,0)))*(1-IF(AND(ArtifactsInput!$M$27,Inputs!$B$4="Chapter Hunt"),CHOOSE(ArtifactsInput!$N$27+1,20,24,28,32,36,40),0)/100)),0)</f>
        <v/>
      </c>
      <c r="R3304" t="n">
        <v>0</v>
      </c>
      <c r="S3304" t="n">
        <v>0</v>
      </c>
      <c r="U3304" t="n">
        <v>0</v>
      </c>
    </row>
    <row r="3305">
      <c r="A3305">
        <f>Skills!A24</f>
        <v/>
      </c>
      <c r="B3305">
        <f>Skills!B24</f>
        <v/>
      </c>
      <c r="C3305">
        <f>Inputs!$B$3&gt;=74</f>
        <v/>
      </c>
      <c r="D3305">
        <f>IF(Skills!C24=1,60+Inputs!$B$26+Inputs!$B$30,IF(Skills!C24=2,90+Inputs!$B$27+Inputs!$B$30,IF(Skills!C24=3,120+Inputs!$B$28+Inputs!$B$30,MAX(0,(Inputs!$B$3-100)*3)+Inputs!$B$29+Inputs!$B$30)))</f>
        <v/>
      </c>
      <c r="E3305">
        <f>INDEX(FactorTable!$B$2:$Y$301, MATCH(ROUND(MIN(300,MAX(1,D3305)),0), FactorTable!$A$2:$A$301,0), Skills!L24+1)</f>
        <v/>
      </c>
      <c r="F3305">
        <f>IF(Skills!M24=TRUE,(Skills!K24/10)*(E3305/1000),Skills!K24/10)+Skills!N24</f>
        <v/>
      </c>
      <c r="G3305">
        <f>Calc!G24</f>
        <v/>
      </c>
      <c r="H3305">
        <f>Calc!H24</f>
        <v/>
      </c>
      <c r="I3305">
        <f>IF(Skills!T24&lt;&gt;"",1+(Skills!T24/10)*($Z$3/1000)/100,1)</f>
        <v/>
      </c>
      <c r="J3305" t="inlineStr"/>
      <c r="K3305" t="inlineStr"/>
      <c r="L3305" t="inlineStr"/>
      <c r="M3305" t="inlineStr"/>
      <c r="N3305" t="inlineStr"/>
      <c r="O3305">
        <f>(1-Summary!$B$11)*S3305+Summary!$B$11*U3305</f>
        <v/>
      </c>
      <c r="P3305">
        <f>IF(B3324=0,0,O3305/B3324)</f>
        <v/>
      </c>
      <c r="Q3305">
        <f>IFERROR(1/(IF(Inputs!$B$39="pvp",15,MAX(0.1,Skills!D24-IF(Skills!E24=TRUE,4.5,0)))*(1-IF(AND(ArtifactsInput!$M$27,Inputs!$B$4="Chapter Hunt"),CHOOSE(ArtifactsInput!$N$27+1,20,24,28,32,36,40),0)/100)),0)</f>
        <v/>
      </c>
      <c r="R3305" t="n">
        <v>0</v>
      </c>
      <c r="S3305" t="n">
        <v>0</v>
      </c>
      <c r="U3305" t="n">
        <v>0</v>
      </c>
    </row>
    <row r="3306">
      <c r="A3306">
        <f>Skills!A25</f>
        <v/>
      </c>
      <c r="B3306">
        <f>Skills!B25</f>
        <v/>
      </c>
      <c r="C3306">
        <f>Inputs!$B$3&gt;=74</f>
        <v/>
      </c>
      <c r="D3306">
        <f>IF(Skills!C25=1,60+Inputs!$B$26+Inputs!$B$30,IF(Skills!C25=2,90+Inputs!$B$27+Inputs!$B$30,IF(Skills!C25=3,120+Inputs!$B$28+Inputs!$B$30,MAX(0,(Inputs!$B$3-100)*3)+Inputs!$B$29+Inputs!$B$30)))</f>
        <v/>
      </c>
      <c r="E3306">
        <f>INDEX(FactorTable!$B$2:$Y$301, MATCH(ROUND(MIN(300,MAX(1,D3306)),0), FactorTable!$A$2:$A$301,0), Skills!L25+1)</f>
        <v/>
      </c>
      <c r="F3306">
        <f>IF(Skills!M25=TRUE,(Skills!K25/10)*(E3306/1000),Skills!K25/10)+Skills!N25</f>
        <v/>
      </c>
      <c r="G3306">
        <f>Calc!G25</f>
        <v/>
      </c>
      <c r="H3306">
        <f>Calc!H25</f>
        <v/>
      </c>
      <c r="I3306">
        <f>IF(Skills!T25&lt;&gt;"",1+(Skills!T25/10)*($Z$3/1000)/100,1)</f>
        <v/>
      </c>
      <c r="J3306" t="inlineStr"/>
      <c r="K3306" t="inlineStr"/>
      <c r="L3306" t="inlineStr"/>
      <c r="M3306" t="inlineStr"/>
      <c r="N3306" t="inlineStr"/>
      <c r="O3306">
        <f>(1-Summary!$B$11)*S3306+Summary!$B$11*U3306</f>
        <v/>
      </c>
      <c r="P3306">
        <f>IF(B3324=0,0,O3306/B3324)</f>
        <v/>
      </c>
      <c r="Q3306">
        <f>IFERROR(1/(IF(Inputs!$B$39="pvp",15,MAX(0.1,Skills!D25-IF(Skills!E25=TRUE,4.5,0)))*(1-IF(AND(ArtifactsInput!$M$27,Inputs!$B$4="Chapter Hunt"),CHOOSE(ArtifactsInput!$N$27+1,20,24,28,32,36,40),0)/100)),0)</f>
        <v/>
      </c>
      <c r="R3306" t="n">
        <v>0</v>
      </c>
      <c r="S3306" t="n">
        <v>0</v>
      </c>
      <c r="U3306" t="n">
        <v>0</v>
      </c>
    </row>
    <row r="3307">
      <c r="A3307">
        <f>Skills!A26</f>
        <v/>
      </c>
      <c r="B3307">
        <f>Skills!B26</f>
        <v/>
      </c>
      <c r="C3307">
        <f>Inputs!$B$3&gt;=117</f>
        <v/>
      </c>
      <c r="D3307">
        <f>IF(Skills!C26=1,60+Inputs!$B$26+Inputs!$B$30,IF(Skills!C26=2,90+Inputs!$B$27+Inputs!$B$30,IF(Skills!C26=3,120+Inputs!$B$28+Inputs!$B$30,MAX(0,(Inputs!$B$3-100)*3)+Inputs!$B$29+Inputs!$B$30)))</f>
        <v/>
      </c>
      <c r="E3307">
        <f>INDEX(FactorTable!$B$2:$Y$301, MATCH(ROUND(MIN(300,MAX(1,D3307)),0), FactorTable!$A$2:$A$301,0), Skills!L26+1)</f>
        <v/>
      </c>
      <c r="F3307">
        <f>IF(Skills!M26=TRUE,(Skills!K26/10)*(E3307/1000),Skills!K26/10)+Skills!N26</f>
        <v/>
      </c>
      <c r="G3307">
        <f>Calc!G26</f>
        <v/>
      </c>
      <c r="H3307">
        <f>Calc!H26</f>
        <v/>
      </c>
      <c r="I3307">
        <f>IF(Skills!T26&lt;&gt;"",1+(Skills!T26/10)*($Z$3/1000)/100,1)</f>
        <v/>
      </c>
      <c r="J3307" t="inlineStr"/>
      <c r="K3307" t="inlineStr"/>
      <c r="L3307" t="inlineStr"/>
      <c r="M3307" t="inlineStr"/>
      <c r="N3307" t="inlineStr"/>
      <c r="O3307">
        <f>(1-Summary!$B$11)*S3307+Summary!$B$11*U3307</f>
        <v/>
      </c>
      <c r="P3307">
        <f>IF(B3324=0,0,O3307/B3324)</f>
        <v/>
      </c>
      <c r="Q3307">
        <f>IFERROR(1/(IF(Inputs!$B$39="pvp",15,MAX(0.1,Skills!D26-IF(Skills!E26=TRUE,4.5,0)))*(1-IF(AND(ArtifactsInput!$M$27,Inputs!$B$4="Chapter Hunt"),CHOOSE(ArtifactsInput!$N$27+1,20,24,28,32,36,40),0)/100)),0)</f>
        <v/>
      </c>
      <c r="R3307" t="n">
        <v>0</v>
      </c>
      <c r="S3307" t="n">
        <v>0</v>
      </c>
      <c r="U3307" t="n">
        <v>0</v>
      </c>
    </row>
    <row r="3308">
      <c r="A3308">
        <f>Skills!A27</f>
        <v/>
      </c>
      <c r="B3308">
        <f>Skills!B27</f>
        <v/>
      </c>
      <c r="C3308">
        <f>Inputs!$B$3&gt;=120</f>
        <v/>
      </c>
      <c r="D3308">
        <f>IF(Skills!C27=1,60+Inputs!$B$26+Inputs!$B$30,IF(Skills!C27=2,90+Inputs!$B$27+Inputs!$B$30,IF(Skills!C27=3,120+Inputs!$B$28+Inputs!$B$30,MAX(0,(Inputs!$B$3-100)*3)+Inputs!$B$29+Inputs!$B$30)))</f>
        <v/>
      </c>
      <c r="E3308">
        <f>INDEX(FactorTable!$B$2:$Y$301, MATCH(ROUND(MIN(300,MAX(1,D3308)),0), FactorTable!$A$2:$A$301,0), Skills!L27+1)</f>
        <v/>
      </c>
      <c r="F3308">
        <f>IF(Skills!M27=TRUE,(Skills!K27/10)*(E3308/1000),Skills!K27/10)+Skills!N27</f>
        <v/>
      </c>
      <c r="G3308">
        <f>Calc!G27</f>
        <v/>
      </c>
      <c r="H3308">
        <f>Calc!H27</f>
        <v/>
      </c>
      <c r="I3308">
        <f>IF(Skills!T27&lt;&gt;"",1+(Skills!T27/10)*($Z$3/1000)/100,1)</f>
        <v/>
      </c>
      <c r="J3308" t="inlineStr"/>
      <c r="K3308" t="inlineStr"/>
      <c r="L3308" t="inlineStr"/>
      <c r="M3308" t="inlineStr"/>
      <c r="N3308" t="inlineStr"/>
      <c r="O3308">
        <f>(1-Summary!$B$11)*S3308+Summary!$B$11*U3308</f>
        <v/>
      </c>
      <c r="P3308">
        <f>IF(B3324=0,0,O3308/B3324)</f>
        <v/>
      </c>
      <c r="Q3308">
        <f>IFERROR(1/(IF(Inputs!$B$39="pvp",15,MAX(0.1,Skills!D27-IF(Skills!E27=TRUE,4.5,0)))*(1-IF(AND(ArtifactsInput!$M$27,Inputs!$B$4="Chapter Hunt"),CHOOSE(ArtifactsInput!$N$27+1,20,24,28,32,36,40),0)/100)),0)</f>
        <v/>
      </c>
      <c r="R3308" t="n">
        <v>0</v>
      </c>
      <c r="S3308" t="n">
        <v>0</v>
      </c>
      <c r="U3308" t="n">
        <v>0</v>
      </c>
    </row>
    <row r="3309">
      <c r="A3309">
        <f>Skills!A28</f>
        <v/>
      </c>
      <c r="B3309">
        <f>Skills!B28</f>
        <v/>
      </c>
      <c r="C3309">
        <f>TRUE</f>
        <v/>
      </c>
      <c r="D3309">
        <f>IF(Skills!C28=1,60+Inputs!$B$26+Inputs!$B$30,IF(Skills!C28=2,90+Inputs!$B$27+Inputs!$B$30,IF(Skills!C28=3,120+Inputs!$B$28+Inputs!$B$30,MAX(0,(Inputs!$B$3-100)*3)+Inputs!$B$29+Inputs!$B$30)))</f>
        <v/>
      </c>
      <c r="E3309">
        <f>INDEX(FactorTable!$B$2:$Y$301, MATCH(ROUND(MIN(300,MAX(1,D3309)),0), FactorTable!$A$2:$A$301,0), Skills!L28+1)</f>
        <v/>
      </c>
      <c r="F3309">
        <f>IF(Skills!M28=TRUE,(Skills!K28/10)*(E3309/1000),Skills!K28/10)+Skills!N28</f>
        <v/>
      </c>
      <c r="G3309">
        <f>Calc!G28</f>
        <v/>
      </c>
      <c r="H3309">
        <f>Calc!H28</f>
        <v/>
      </c>
      <c r="I3309">
        <f>IF(Skills!T28&lt;&gt;"",1+(Skills!T28/10)*($Z$3/1000)/100,1)</f>
        <v/>
      </c>
      <c r="J3309" t="inlineStr"/>
      <c r="K3309" t="inlineStr"/>
      <c r="L3309" t="inlineStr"/>
      <c r="M3309" t="inlineStr"/>
      <c r="N3309" t="inlineStr"/>
      <c r="O3309">
        <f>(1-Summary!$B$11)*S3309+Summary!$B$11*U3309</f>
        <v/>
      </c>
      <c r="P3309">
        <f>IF(B3324=0,0,O3309/B3324)</f>
        <v/>
      </c>
      <c r="Q3309">
        <f>IFERROR(1/(IF(Inputs!$B$39="pvp",15,MAX(0.1,Skills!D28-IF(Skills!E28=TRUE,4.5,0)))*(1-IF(AND(ArtifactsInput!$M$27,Inputs!$B$4="Chapter Hunt"),CHOOSE(ArtifactsInput!$N$27+1,20,24,28,32,36,40),0)/100)),0)</f>
        <v/>
      </c>
      <c r="R3309">
        <f>IF(AND(Inputs!$B$39&lt;&gt;"pvp",Inputs!$B$44&gt;0),IF(Inputs!$B$44&lt;=0,0,(INT(Inputs!$B$44/(IF(Inputs!$B$39="pvp",15,MAX(0.1,Skills!D28-IF(Skills!E28=TRUE,4.5,0)))*(1-IF(AND(ArtifactsInput!$M$27,Inputs!$B$4="Chapter Hunt"),CHOOSE(ArtifactsInput!$N$27+1,20,24,28,32,36,40),0)/100)))+1)),0)</f>
        <v/>
      </c>
      <c r="S3309" t="n">
        <v>0</v>
      </c>
      <c r="U3309" t="n">
        <v>0</v>
      </c>
    </row>
    <row r="3311">
      <c r="A3311" t="inlineStr">
        <is>
          <t>Average Buff Multiplier</t>
        </is>
      </c>
      <c r="B3311">
        <f>(1+(IF(C3284=TRUE,F3284*IF(AND(Inputs!$B$39&lt;&gt;"pvp",Inputs!$B$44&gt;0),(((R3284-1)*(Skills!S3*(1+((Inputs!$B$35+(ArtifactsInput!$M$7-ArtifactsInput!$M$7)*CHOOSE(ArtifactsInput!$N$7+1,6,7.2,8.4,9.6,10.8,12))+IF(Inputs!$B$3&gt;=117,F3307,0))/100))+MIN((Skills!S3*(1+((Inputs!$B$35+(ArtifactsInput!$M$7-ArtifactsInput!$M$7)*CHOOSE(ArtifactsInput!$N$7+1,6,7.2,8.4,9.6,10.8,12))+IF(Inputs!$B$3&gt;=117,F3307,0))/100)),MAX(0,Inputs!$B$44-((R3284-1)*Skills!D3))))/Inputs!$B$44),IF(Inputs!$B$39="pvp",MIN((Skills!S3*(1+((Inputs!$B$35+(ArtifactsInput!$M$7-ArtifactsInput!$M$7)*CHOOSE(ArtifactsInput!$N$7+1,6,7.2,8.4,9.6,10.8,12))+IF(Inputs!$B$3&gt;=117,F3307,0))/100)),15)/15,(Skills!S3*(1+((Inputs!$B$35+(ArtifactsInput!$M$7-ArtifactsInput!$M$7)*CHOOSE(ArtifactsInput!$N$7+1,6,7.2,8.4,9.6,10.8,12))+IF(Inputs!$B$3&gt;=117,F3307,0))/100))/Skills!D3)),0)+IF(C3285=TRUE,F3285*IF(AND(Inputs!$B$39&lt;&gt;"pvp",Inputs!$B$44&gt;0),(((R3285-1)*(Skills!S4*(1+((Inputs!$B$35+(ArtifactsInput!$M$7-ArtifactsInput!$M$7)*CHOOSE(ArtifactsInput!$N$7+1,6,7.2,8.4,9.6,10.8,12))+IF(Inputs!$B$3&gt;=117,F3307,0))/100))+MIN((Skills!S4*(1+((Inputs!$B$35+(ArtifactsInput!$M$7-ArtifactsInput!$M$7)*CHOOSE(ArtifactsInput!$N$7+1,6,7.2,8.4,9.6,10.8,12))+IF(Inputs!$B$3&gt;=117,F3307,0))/100)),MAX(0,Inputs!$B$44-((R3285-1)*Skills!D4))))/Inputs!$B$44),IF(Inputs!$B$39="pvp",MIN((Skills!S4*(1+((Inputs!$B$35+(ArtifactsInput!$M$7-ArtifactsInput!$M$7)*CHOOSE(ArtifactsInput!$N$7+1,6,7.2,8.4,9.6,10.8,12))+IF(Inputs!$B$3&gt;=117,F3307,0))/100)),15)/15,(Skills!S4*(1+((Inputs!$B$35+(ArtifactsInput!$M$7-ArtifactsInput!$M$7)*CHOOSE(ArtifactsInput!$N$7+1,6,7.2,8.4,9.6,10.8,12))+IF(Inputs!$B$3&gt;=117,F3307,0))/100))/Skills!D4)),0)+IF(C3286=TRUE,F3286*IF(AND(Inputs!$B$39&lt;&gt;"pvp",Inputs!$B$44&gt;0),(((R3286-1)*(Skills!S5*(1+((Inputs!$B$35+(ArtifactsInput!$M$7-ArtifactsInput!$M$7)*CHOOSE(ArtifactsInput!$N$7+1,6,7.2,8.4,9.6,10.8,12))+IF(Inputs!$B$3&gt;=117,F3307,0))/100))+MIN((Skills!S5*(1+((Inputs!$B$35+(ArtifactsInput!$M$7-ArtifactsInput!$M$7)*CHOOSE(ArtifactsInput!$N$7+1,6,7.2,8.4,9.6,10.8,12))+IF(Inputs!$B$3&gt;=117,F3307,0))/100)),MAX(0,Inputs!$B$44-((R3286-1)*Skills!D5))))/Inputs!$B$44),IF(Inputs!$B$39="pvp",MIN((Skills!S5*(1+((Inputs!$B$35+(ArtifactsInput!$M$7-ArtifactsInput!$M$7)*CHOOSE(ArtifactsInput!$N$7+1,6,7.2,8.4,9.6,10.8,12))+IF(Inputs!$B$3&gt;=117,F3307,0))/100)),15)/15,(Skills!S5*(1+((Inputs!$B$35+(ArtifactsInput!$M$7-ArtifactsInput!$M$7)*CHOOSE(ArtifactsInput!$N$7+1,6,7.2,8.4,9.6,10.8,12))+IF(Inputs!$B$3&gt;=117,F3307,0))/100))/Skills!D5)),0)+IF(C3292=TRUE,F3292*IF(AND(Inputs!$B$39&lt;&gt;"pvp",Inputs!$B$44&gt;0),(((R3292-1)*(Skills!S11*(1+((Inputs!$B$35+(ArtifactsInput!$M$7-ArtifactsInput!$M$7)*CHOOSE(ArtifactsInput!$N$7+1,6,7.2,8.4,9.6,10.8,12))+IF(Inputs!$B$3&gt;=117,F3307,0))/100))+MIN((Skills!S11*(1+((Inputs!$B$35+(ArtifactsInput!$M$7-ArtifactsInput!$M$7)*CHOOSE(ArtifactsInput!$N$7+1,6,7.2,8.4,9.6,10.8,12))+IF(Inputs!$B$3&gt;=117,F3307,0))/100)),MAX(0,Inputs!$B$44-((R3292-1)*Skills!D11))))/Inputs!$B$44),IF(Inputs!$B$39="pvp",MIN((Skills!S11*(1+((Inputs!$B$35+(ArtifactsInput!$M$7-ArtifactsInput!$M$7)*CHOOSE(ArtifactsInput!$N$7+1,6,7.2,8.4,9.6,10.8,12))+IF(Inputs!$B$3&gt;=117,F3307,0))/100)),15)/15,(Skills!S11*(1+((Inputs!$B$35+(ArtifactsInput!$M$7-ArtifactsInput!$M$7)*CHOOSE(ArtifactsInput!$N$7+1,6,7.2,8.4,9.6,10.8,12))+IF(Inputs!$B$3&gt;=117,F3307,0)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3295=TRUE,(1+F3295*IF(AND(Inputs!$B$39&lt;&gt;"pvp",Inputs!$B$44&gt;0),(((R3295-1)*(Skills!S14*(1+((Inputs!$B$35+(ArtifactsInput!$M$7-ArtifactsInput!$M$7)*CHOOSE(ArtifactsInput!$N$7+1,6,7.2,8.4,9.6,10.8,12))+IF(Inputs!$B$3&gt;=117,F3307,0))/100))+MIN((Skills!S14*(1+((Inputs!$B$35+(ArtifactsInput!$M$7-ArtifactsInput!$M$7)*CHOOSE(ArtifactsInput!$N$7+1,6,7.2,8.4,9.6,10.8,12))+IF(Inputs!$B$3&gt;=117,F3307,0))/100)),MAX(0,Inputs!$B$44-((R3295-1)*Skills!D14))))/Inputs!$B$44),IF(Inputs!$B$39="pvp",MIN((Skills!S14*(1+((Inputs!$B$35+(ArtifactsInput!$M$7-ArtifactsInput!$M$7)*CHOOSE(ArtifactsInput!$N$7+1,6,7.2,8.4,9.6,10.8,12))+IF(Inputs!$B$3&gt;=117,F3307,0))/100)),15)/15,(Skills!S14*(1+((Inputs!$B$35+(ArtifactsInput!$M$7-ArtifactsInput!$M$7)*CHOOSE(ArtifactsInput!$N$7+1,6,7.2,8.4,9.6,10.8,12))+IF(Inputs!$B$3&gt;=117,F3307,0))/100))/Skills!D14))/100),1)*IF(C3300=TRUE,(1+F3300*IF(AND(Inputs!$B$39&lt;&gt;"pvp",Inputs!$B$44&gt;0),(((R3300-1)*(Skills!S19*(1+((Inputs!$B$35+(ArtifactsInput!$M$7-ArtifactsInput!$M$7)*CHOOSE(ArtifactsInput!$N$7+1,6,7.2,8.4,9.6,10.8,12))+IF(Inputs!$B$3&gt;=117,F3307,0))/100))+MIN((Skills!S19*(1+((Inputs!$B$35+(ArtifactsInput!$M$7-ArtifactsInput!$M$7)*CHOOSE(ArtifactsInput!$N$7+1,6,7.2,8.4,9.6,10.8,12))+IF(Inputs!$B$3&gt;=117,F3307,0))/100)),MAX(0,Inputs!$B$44-((R3300-1)*Skills!D19))))/Inputs!$B$44),IF(Inputs!$B$39="pvp",MIN((Skills!S19*(1+((Inputs!$B$35+(ArtifactsInput!$M$7-ArtifactsInput!$M$7)*CHOOSE(ArtifactsInput!$N$7+1,6,7.2,8.4,9.6,10.8,12))+IF(Inputs!$B$3&gt;=117,F3307,0))/100)),15)/15,(Skills!S19*(1+((Inputs!$B$35+(ArtifactsInput!$M$7-ArtifactsInput!$M$7)*CHOOSE(ArtifactsInput!$N$7+1,6,7.2,8.4,9.6,10.8,12))+IF(Inputs!$B$3&gt;=117,F3307,0))/100))/Skills!D19))/100),1)</f>
        <v/>
      </c>
    </row>
    <row r="3312">
      <c r="A3312" t="inlineStr">
        <is>
          <t>Monster Damage Taken Bonus % (Holy Fountain)</t>
        </is>
      </c>
      <c r="B3312">
        <f>IF(Inputs!$B$3&gt;=68,20*IF(Inputs!$B$39="pvp",MIN((15*(1+((Inputs!$B$35+(ArtifactsInput!$M$7-ArtifactsInput!$M$7)*CHOOSE(ArtifactsInput!$N$7+1,6,7.2,8.4,9.6,10.8,12))+IF(Inputs!$B$3&gt;=117,F3307,0))/100)),15)/15,(15*(1+((Inputs!$B$35+(ArtifactsInput!$M$7-ArtifactsInput!$M$7)*CHOOSE(ArtifactsInput!$N$7+1,6,7.2,8.4,9.6,10.8,12))+IF(Inputs!$B$3&gt;=117,F3307,0))/100))/Skills!D10),0)</f>
        <v/>
      </c>
    </row>
    <row r="3313">
      <c r="A3313" t="inlineStr">
        <is>
          <t>Normal Monster Damage Bonus % (Holy Symbol)</t>
        </is>
      </c>
      <c r="B3313">
        <f>IF(C3293=TRUE,F3293*IF(AND(Inputs!$B$39&lt;&gt;"pvp",Inputs!$B$44&gt;0),(((R3293-1)*(Skills!S12*(1+((Inputs!$B$35+(ArtifactsInput!$M$7-ArtifactsInput!$M$7)*CHOOSE(ArtifactsInput!$N$7+1,6,7.2,8.4,9.6,10.8,12))+IF(Inputs!$B$3&gt;=117,F3307,0))/100))+MIN((Skills!S12*(1+((Inputs!$B$35+(ArtifactsInput!$M$7-ArtifactsInput!$M$7)*CHOOSE(ArtifactsInput!$N$7+1,6,7.2,8.4,9.6,10.8,12))+IF(Inputs!$B$3&gt;=117,F3307,0))/100)),MAX(0,Inputs!$B$44-((R3293-1)*Skills!D12))))/Inputs!$B$44),IF(Inputs!$B$39="pvp",MIN((Skills!S12*(1+((Inputs!$B$35+(ArtifactsInput!$M$7-ArtifactsInput!$M$7)*CHOOSE(ArtifactsInput!$N$7+1,6,7.2,8.4,9.6,10.8,12))+IF(Inputs!$B$3&gt;=117,F3307,0))/100)),15)/15,(Skills!S12*(1+((Inputs!$B$35+(ArtifactsInput!$M$7-ArtifactsInput!$M$7)*CHOOSE(ArtifactsInput!$N$7+1,6,7.2,8.4,9.6,10.8,12))+IF(Inputs!$B$3&gt;=117,F3307,0))/100))/Skills!D12)),0)</f>
        <v/>
      </c>
    </row>
    <row r="3314">
      <c r="A3314" t="inlineStr">
        <is>
          <t>Damage % Bonus (Holy Symbol - Damage Boost)</t>
        </is>
      </c>
      <c r="B3314">
        <f>Skills!O12</f>
        <v/>
      </c>
    </row>
    <row r="3315">
      <c r="A3315" t="inlineStr">
        <is>
          <t>Crit Damage % Bonus (Blood of the Divine)</t>
        </is>
      </c>
      <c r="B3315">
        <f>4*IF(C3301=TRUE,F3301,0)</f>
        <v/>
      </c>
    </row>
    <row r="3316">
      <c r="A3316" t="inlineStr">
        <is>
          <t>Attack Speed Bonus %</t>
        </is>
      </c>
      <c r="B3316">
        <f>IF(C3298=TRUE,F3298+(F3302-Calc!F21),0)+IF(Inputs!$B$3&gt;=134,15,0)+((C3309=TRUE)*F3309*IF(AND(Inputs!$B$39&lt;&gt;"pvp",Inputs!$B$44&gt;0),(((R3309-1)*(Skills!S28*(1+((Inputs!$B$35+(ArtifactsInput!$M$7-ArtifactsInput!$M$7)*CHOOSE(ArtifactsInput!$N$7+1,6,7.2,8.4,9.6,10.8,12))+IF(Inputs!$B$3&gt;=117,F3307,0))/100))+MIN((Skills!S28*(1+((Inputs!$B$35+(ArtifactsInput!$M$7-ArtifactsInput!$M$7)*CHOOSE(ArtifactsInput!$N$7+1,6,7.2,8.4,9.6,10.8,12))+IF(Inputs!$B$3&gt;=117,F3307,0))/100)),MAX(0,Inputs!$B$44-((R3309-1)*Skills!D28))))/Inputs!$B$44),IF(Inputs!$B$39="pvp",MIN((Skills!S28*(1+((Inputs!$B$35+(ArtifactsInput!$M$7-ArtifactsInput!$M$7)*CHOOSE(ArtifactsInput!$N$7+1,6,7.2,8.4,9.6,10.8,12))+IF(Inputs!$B$3&gt;=117,F3307,0))/100)),15)/15,(Skills!S28*(1+((Inputs!$B$35+(ArtifactsInput!$M$7-ArtifactsInput!$M$7)*CHOOSE(ArtifactsInput!$N$7+1,6,7.2,8.4,9.6,10.8,12))+IF(Inputs!$B$3&gt;=117,F3307,0))/100))/Skills!D28)))</f>
        <v/>
      </c>
    </row>
    <row r="3317">
      <c r="A3317" t="inlineStr">
        <is>
          <t>Actions Per Second</t>
        </is>
      </c>
      <c r="B3317">
        <f>1+MIN(150,150*(1-(1-Inputs!$B$12/150)*(1-B3316/150)))/100</f>
        <v/>
      </c>
    </row>
    <row r="3318">
      <c r="A3318" t="inlineStr">
        <is>
          <t>Skill + Buff Cast Rate</t>
        </is>
      </c>
      <c r="B3318">
        <f>IF(AND(Inputs!$B$39&lt;&gt;"pvp",Inputs!$B$44&gt;0),SUMPRODUCT((Skills!E2:E28=TRUE)*(C3283:C3309=TRUE)*R3283:R3309)/Inputs!$B$44,SUMPRODUCT((Skills!E2:E28=TRUE)*(C3283:C3309=TRUE)*Q3283:Q3309))</f>
        <v/>
      </c>
    </row>
    <row r="3319">
      <c r="A3319" t="inlineStr">
        <is>
          <t>Big Bang Casts Per Second</t>
        </is>
      </c>
      <c r="B3319">
        <f>MAX(0,B3317-B3318)</f>
        <v/>
      </c>
    </row>
    <row r="3320">
      <c r="A3320" t="inlineStr">
        <is>
          <t>Defense % Bonus (Divine Protection)</t>
        </is>
      </c>
      <c r="B3320">
        <f>IF(C3294=TRUE,F3294*IF(AND(Inputs!$B$39&lt;&gt;"pvp",Inputs!$B$44&gt;0),(((R3294-1)*(Skills!S13*(1+((Inputs!$B$35+(ArtifactsInput!$M$7-ArtifactsInput!$M$7)*CHOOSE(ArtifactsInput!$N$7+1,6,7.2,8.4,9.6,10.8,12))+IF(Inputs!$B$3&gt;=117,F3307,0))/100))+MIN((Skills!S13*(1+((Inputs!$B$35+(ArtifactsInput!$M$7-ArtifactsInput!$M$7)*CHOOSE(ArtifactsInput!$N$7+1,6,7.2,8.4,9.6,10.8,12))+IF(Inputs!$B$3&gt;=117,F3307,0))/100)),MAX(0,Inputs!$B$44-((R3294-1)*Skills!D13))))/Inputs!$B$44),IF(Inputs!$B$39="pvp",MIN((Skills!S13*(1+((Inputs!$B$35+(ArtifactsInput!$M$7-ArtifactsInput!$M$7)*CHOOSE(ArtifactsInput!$N$7+1,6,7.2,8.4,9.6,10.8,12))+IF(Inputs!$B$3&gt;=117,F3307,0))/100)),15)/15,(Skills!S13*(1+((Inputs!$B$35+(ArtifactsInput!$M$7-ArtifactsInput!$M$7)*CHOOSE(ArtifactsInput!$N$7+1,6,7.2,8.4,9.6,10.8,12))+IF(Inputs!$B$3&gt;=117,F3307,0))/100))/Skills!D13)),0)</f>
        <v/>
      </c>
    </row>
    <row r="3321">
      <c r="A3321" t="inlineStr">
        <is>
          <t>Buff-Casting Startup Delay (s, fixed-duration only)</t>
        </is>
      </c>
      <c r="B3321">
        <f>IF(AND(Inputs!$B$39&lt;&gt;"pvp",Inputs!$B$44&gt;0),SUMPRODUCT((Skills!S2:S28&gt;0)*(Skills!E2:E28=TRUE)*(C3283:C3309=TRUE))/B3317,0)</f>
        <v/>
      </c>
    </row>
    <row r="3322">
      <c r="A3322" t="inlineStr">
        <is>
          <t>Boss-Only Total DPS (this block's swept value)</t>
        </is>
      </c>
      <c r="B3322">
        <f>SUM(S3283:S3309)</f>
        <v/>
      </c>
    </row>
    <row r="3323">
      <c r="A3323" t="inlineStr">
        <is>
          <t>Normal-Only Total DPS (this block's swept value)</t>
        </is>
      </c>
      <c r="B3323">
        <f>SUM(U3283:U3309)</f>
        <v/>
      </c>
    </row>
    <row r="3324">
      <c r="A3324" s="6" t="inlineStr">
        <is>
          <t>TOTAL DPS</t>
        </is>
      </c>
      <c r="B3324" s="6">
        <f>SUM(O3283:O3309)</f>
        <v/>
      </c>
    </row>
    <row r="3326">
      <c r="A3326" s="6" t="inlineStr">
        <is>
          <t>Stat: CDR = 5.0s</t>
        </is>
      </c>
    </row>
    <row r="3327">
      <c r="A3327" s="5" t="inlineStr">
        <is>
          <t>Key</t>
        </is>
      </c>
      <c r="B3327" s="5" t="inlineStr">
        <is>
          <t>Name</t>
        </is>
      </c>
      <c r="C3327" s="5" t="inlineStr">
        <is>
          <t>Unlocked</t>
        </is>
      </c>
      <c r="D3327" s="5" t="inlineStr">
        <is>
          <t>InputLevel</t>
        </is>
      </c>
      <c r="E3327" s="5" t="inlineStr">
        <is>
          <t>Factor</t>
        </is>
      </c>
      <c r="F3327" s="5" t="inlineStr">
        <is>
          <t>CoefficientPercent</t>
        </is>
      </c>
      <c r="G3327" s="5" t="inlineStr">
        <is>
          <t>EffectiveHits</t>
        </is>
      </c>
      <c r="H3327" s="5" t="inlineStr">
        <is>
          <t>ProcProbability</t>
        </is>
      </c>
      <c r="I3327" s="5" t="inlineStr">
        <is>
          <t>MapleHeroMultiplier</t>
        </is>
      </c>
      <c r="J3327" s="5" t="inlineStr">
        <is>
          <t>BaseDamage</t>
        </is>
      </c>
      <c r="K3327" s="5" t="inlineStr">
        <is>
          <t>BaseHitDamage</t>
        </is>
      </c>
      <c r="L3327" s="5" t="inlineStr">
        <is>
          <t>NonCritAvg</t>
        </is>
      </c>
      <c r="M3327" s="5" t="inlineStr">
        <is>
          <t>CritAvg</t>
        </is>
      </c>
      <c r="N3327" s="5" t="inlineStr">
        <is>
          <t>ExpectedDamage(perHit)</t>
        </is>
      </c>
      <c r="O3327" s="5" t="inlineStr">
        <is>
          <t>DPS</t>
        </is>
      </c>
      <c r="P3327" s="5" t="inlineStr">
        <is>
          <t>% of Total</t>
        </is>
      </c>
      <c r="R3327" t="inlineStr">
        <is>
          <t>helpers</t>
        </is>
      </c>
    </row>
    <row r="3328">
      <c r="A3328">
        <f>Skills!A2</f>
        <v/>
      </c>
      <c r="B3328">
        <f>Skills!B2</f>
        <v/>
      </c>
      <c r="C3328">
        <f>Inputs!$B$3&gt;=100</f>
        <v/>
      </c>
      <c r="D3328" t="inlineStr"/>
      <c r="E3328" t="inlineStr"/>
      <c r="F3328">
        <f>T3330+Skills!N2</f>
        <v/>
      </c>
      <c r="G3328">
        <f>Calc!G2</f>
        <v/>
      </c>
      <c r="H3328">
        <f>Calc!H2</f>
        <v/>
      </c>
      <c r="I3328">
        <f>IF(Skills!T2&lt;&gt;"",1+(Skills!T2/10)*($Z$3/1000)/100,1)</f>
        <v/>
      </c>
      <c r="J3328">
        <f>((Inputs!$B$6*(1+Inputs!$B$7/100))+(((Inputs!$B$13*(1+Inputs!$B$14/100))-(Inputs!$B$13*(1+Inputs!$B$14/100)))+0.25*(Inputs!$B$15-Inputs!$B$15))*(1+Inputs!$B$7/100))*(F3328/100)</f>
        <v/>
      </c>
      <c r="K3328">
        <f>J3328*(1+(((Inputs!$B$13+IF(Inputs!$B$3&gt;=35,(10*INDEX(FactorTable!$B$2:$Y$301,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2="TRIUMPH_FEATHER",IF(C3342=TRUE,F3342,0),0)/100)*(1+IF(C3353=TRUE,F3353,0)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3328)</f>
        <v/>
      </c>
      <c r="L3328">
        <f>K3328*(MIN(Inputs!$B$23+(F3348-Calc!F22),(Inputs!$B$24+IF(ArtifactsInput!$M$15,CHOOSE(ArtifactsInput!$N$15+1,25,30,35,40,45,50)/100*(Inputs!$B$12-Inputs!$B$12),0)))/100+(Inputs!$B$24+IF(ArtifactsInput!$M$15,CHOOSE(ArtifactsInput!$N$15+1,25,30,35,40,45,50)/100*(Inputs!$B$12-Inputs!$B$12),0))/100)/2</f>
        <v/>
      </c>
      <c r="M3328">
        <f>L3328*(1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28">
        <f>L3328*(1-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(1-Summary!$B$11)*S3328+Summary!$B$11*U3328</f>
        <v/>
      </c>
      <c r="P3328">
        <f>IF(B3369=0,0,O3328/B3369)</f>
        <v/>
      </c>
      <c r="Q3328">
        <f>IFERROR(1/(IF(Inputs!$B$39="pvp",15,MAX(0.1,Skills!D2-IF(Skills!E2=TRUE,5.0,0)))*(1-IF(AND(ArtifactsInput!$M$27,Inputs!$B$4="Chapter Hunt"),CHOOSE(ArtifactsInput!$N$27+1,20,24,28,32,36,40),0)/100)),0)</f>
        <v/>
      </c>
      <c r="R3328" t="n">
        <v>0</v>
      </c>
      <c r="S3328">
        <f>IF(C3328,(Skills!F2*N3328*B3364)*IF(Inputs!$B$39="pvp",1,1+(Inputs!$B$21+Skills!O2+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3328*(1-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328">
        <f>MAX(0,(Inputs!$B$3-100)*3)+Inputs!$B$29+Inputs!$B$30</f>
        <v/>
      </c>
      <c r="U3328">
        <f>IF(C3328,(Skills!F2*N3328*B3364)*IF(Inputs!$B$39="pvp",1,(1+(Inputs!$B$22+Skills!P2+B3358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Skills!A3</f>
        <v/>
      </c>
      <c r="B3329">
        <f>Skills!B3</f>
        <v/>
      </c>
      <c r="C3329">
        <f>Inputs!$B$3&gt;=15</f>
        <v/>
      </c>
      <c r="D3329">
        <f>IF(Skills!C3=1,60+Inputs!$B$26+Inputs!$B$30,IF(Skills!C3=2,90+Inputs!$B$27+Inputs!$B$30,IF(Skills!C3=3,120+Inputs!$B$28+Inputs!$B$30,MAX(0,(Inputs!$B$3-100)*3)+Inputs!$B$29+Inputs!$B$30)))</f>
        <v/>
      </c>
      <c r="E3329">
        <f>INDEX(FactorTable!$B$2:$Y$301, MATCH(ROUND(MIN(300,MAX(1,D3329)),0), FactorTable!$A$2:$A$301,0), Skills!L3+1)</f>
        <v/>
      </c>
      <c r="F3329">
        <f>IF(Skills!M3=TRUE,(Skills!K3/10)*(E3329/1000),Skills!K3/10)+Skills!N3</f>
        <v/>
      </c>
      <c r="G3329">
        <f>Calc!G3</f>
        <v/>
      </c>
      <c r="H3329">
        <f>Calc!H3</f>
        <v/>
      </c>
      <c r="I3329">
        <f>IF(Skills!T3&lt;&gt;"",1+(Skills!T3/10)*($Z$3/1000)/100,1)</f>
        <v/>
      </c>
      <c r="J3329" t="inlineStr"/>
      <c r="K3329" t="inlineStr"/>
      <c r="L3329" t="inlineStr"/>
      <c r="M3329" t="inlineStr"/>
      <c r="N3329" t="inlineStr"/>
      <c r="O3329">
        <f>(1-Summary!$B$11)*S3329+Summary!$B$11*U3329</f>
        <v/>
      </c>
      <c r="P3329">
        <f>IF(B3369=0,0,O3329/B3369)</f>
        <v/>
      </c>
      <c r="Q3329">
        <f>IFERROR(1/(IF(Inputs!$B$39="pvp",15,MAX(0.1,Skills!D3-IF(Skills!E3=TRUE,5.0,0)))*(1-IF(AND(ArtifactsInput!$M$27,Inputs!$B$4="Chapter Hunt"),CHOOSE(ArtifactsInput!$N$27+1,20,24,28,32,36,40),0)/100)),0)</f>
        <v/>
      </c>
      <c r="R3329">
        <f>IF(AND(Inputs!$B$39&lt;&gt;"pvp",Inputs!$B$44&gt;0),IF(Inputs!$B$44&lt;=0,0,(INT(Inputs!$B$44/(IF(Inputs!$B$39="pvp",15,MAX(0.1,Skills!D3-IF(Skills!E3=TRUE,5.0,0)))*(1-IF(AND(ArtifactsInput!$M$27,Inputs!$B$4="Chapter Hunt"),CHOOSE(ArtifactsInput!$N$27+1,20,24,28,32,36,40),0)/100)))+1)),0)</f>
        <v/>
      </c>
      <c r="S3329" t="n">
        <v>0</v>
      </c>
      <c r="T3329">
        <f>INDEX(FactorTable!$B$2:$Y$301, MATCH(ROUND(MIN(300,MAX(1,T3328)),0), FactorTable!$A$2:$A$301,0), 22)</f>
        <v/>
      </c>
      <c r="U3329" t="n">
        <v>0</v>
      </c>
    </row>
    <row r="3330">
      <c r="A3330">
        <f>Skills!A4</f>
        <v/>
      </c>
      <c r="B3330">
        <f>Skills!B4</f>
        <v/>
      </c>
      <c r="C3330">
        <f>Inputs!$B$3&gt;=38</f>
        <v/>
      </c>
      <c r="D3330">
        <f>IF(Skills!C4=1,60+Inputs!$B$26+Inputs!$B$30,IF(Skills!C4=2,90+Inputs!$B$27+Inputs!$B$30,IF(Skills!C4=3,120+Inputs!$B$28+Inputs!$B$30,MAX(0,(Inputs!$B$3-100)*3)+Inputs!$B$29+Inputs!$B$30)))</f>
        <v/>
      </c>
      <c r="E3330">
        <f>INDEX(FactorTable!$B$2:$Y$301, MATCH(ROUND(MIN(300,MAX(1,D3330)),0), FactorTable!$A$2:$A$301,0), Skills!L4+1)</f>
        <v/>
      </c>
      <c r="F3330">
        <f>IF(Skills!M4=TRUE,(Skills!K4/10)*(E3330/1000),Skills!K4/10)+Skills!N4</f>
        <v/>
      </c>
      <c r="G3330">
        <f>Calc!G4</f>
        <v/>
      </c>
      <c r="H3330">
        <f>Calc!H4</f>
        <v/>
      </c>
      <c r="I3330">
        <f>IF(Skills!T4&lt;&gt;"",1+(Skills!T4/10)*($Z$3/1000)/100,1)</f>
        <v/>
      </c>
      <c r="J3330" t="inlineStr"/>
      <c r="K3330" t="inlineStr"/>
      <c r="L3330" t="inlineStr"/>
      <c r="M3330" t="inlineStr"/>
      <c r="N3330" t="inlineStr"/>
      <c r="O3330">
        <f>(1-Summary!$B$11)*S3330+Summary!$B$11*U3330</f>
        <v/>
      </c>
      <c r="P3330">
        <f>IF(B3369=0,0,O3330/B3369)</f>
        <v/>
      </c>
      <c r="Q3330">
        <f>IFERROR(1/(IF(Inputs!$B$39="pvp",15,MAX(0.1,Skills!D4-IF(Skills!E4=TRUE,5.0,0)))*(1-IF(AND(ArtifactsInput!$M$27,Inputs!$B$4="Chapter Hunt"),CHOOSE(ArtifactsInput!$N$27+1,20,24,28,32,36,40),0)/100)),0)</f>
        <v/>
      </c>
      <c r="R3330">
        <f>IF(AND(Inputs!$B$39&lt;&gt;"pvp",Inputs!$B$44&gt;0),IF(Inputs!$B$44&lt;=0,0,(INT(Inputs!$B$44/(IF(Inputs!$B$39="pvp",15,MAX(0.1,Skills!D4-IF(Skills!E4=TRUE,5.0,0)))*(1-IF(AND(ArtifactsInput!$M$27,Inputs!$B$4="Chapter Hunt"),CHOOSE(ArtifactsInput!$N$27+1,20,24,28,32,36,40),0)/100)))+1)),0)</f>
        <v/>
      </c>
      <c r="S3330" t="n">
        <v>0</v>
      </c>
      <c r="T3330">
        <f>290*T3329/1000</f>
        <v/>
      </c>
      <c r="U3330" t="n">
        <v>0</v>
      </c>
    </row>
    <row r="3331">
      <c r="A3331">
        <f>Skills!A5</f>
        <v/>
      </c>
      <c r="B3331">
        <f>Skills!B5</f>
        <v/>
      </c>
      <c r="C3331">
        <f>Inputs!$B$3&gt;=40</f>
        <v/>
      </c>
      <c r="D3331">
        <f>IF(Skills!C5=1,60+Inputs!$B$26+Inputs!$B$30,IF(Skills!C5=2,90+Inputs!$B$27+Inputs!$B$30,IF(Skills!C5=3,120+Inputs!$B$28+Inputs!$B$30,MAX(0,(Inputs!$B$3-100)*3)+Inputs!$B$29+Inputs!$B$30)))</f>
        <v/>
      </c>
      <c r="E3331">
        <f>INDEX(FactorTable!$B$2:$Y$301, MATCH(ROUND(MIN(300,MAX(1,D3331)),0), FactorTable!$A$2:$A$301,0), Skills!L5+1)</f>
        <v/>
      </c>
      <c r="F3331">
        <f>IF(Skills!M5=TRUE,(Skills!K5/10)*(E3331/1000),Skills!K5/10)+Skills!N5</f>
        <v/>
      </c>
      <c r="G3331">
        <f>Calc!G5</f>
        <v/>
      </c>
      <c r="H3331">
        <f>Calc!H5</f>
        <v/>
      </c>
      <c r="I3331">
        <f>IF(Skills!T5&lt;&gt;"",1+(Skills!T5/10)*($Z$3/1000)/100,1)</f>
        <v/>
      </c>
      <c r="J3331" t="inlineStr"/>
      <c r="K3331" t="inlineStr"/>
      <c r="L3331" t="inlineStr"/>
      <c r="M3331" t="inlineStr"/>
      <c r="N3331" t="inlineStr"/>
      <c r="O3331">
        <f>(1-Summary!$B$11)*S3331+Summary!$B$11*U3331</f>
        <v/>
      </c>
      <c r="P3331">
        <f>IF(B3369=0,0,O3331/B3369)</f>
        <v/>
      </c>
      <c r="Q3331">
        <f>IFERROR(1/(IF(Inputs!$B$39="pvp",15,MAX(0.1,Skills!D5-IF(Skills!E5=TRUE,5.0,0)))*(1-IF(AND(ArtifactsInput!$M$27,Inputs!$B$4="Chapter Hunt"),CHOOSE(ArtifactsInput!$N$27+1,20,24,28,32,36,40),0)/100)),0)</f>
        <v/>
      </c>
      <c r="R3331">
        <f>IF(AND(Inputs!$B$39&lt;&gt;"pvp",Inputs!$B$44&gt;0),IF(Inputs!$B$44&lt;=0,0,(INT(Inputs!$B$44/(IF(Inputs!$B$39="pvp",15,MAX(0.1,Skills!D5-IF(Skills!E5=TRUE,5.0,0)))*(1-IF(AND(ArtifactsInput!$M$27,Inputs!$B$4="Chapter Hunt"),CHOOSE(ArtifactsInput!$N$27+1,20,24,28,32,36,40),0)/100)))+1)),0)</f>
        <v/>
      </c>
      <c r="S3331" t="n">
        <v>0</v>
      </c>
      <c r="U3331" t="n">
        <v>0</v>
      </c>
    </row>
    <row r="3332">
      <c r="A3332">
        <f>Skills!A6</f>
        <v/>
      </c>
      <c r="B3332">
        <f>Skills!B6</f>
        <v/>
      </c>
      <c r="C3332">
        <f>Inputs!$B$3&gt;=103</f>
        <v/>
      </c>
      <c r="D3332">
        <f>IF(Skills!C6=1,60+Inputs!$B$26+Inputs!$B$30,IF(Skills!C6=2,90+Inputs!$B$27+Inputs!$B$30,IF(Skills!C6=3,120+Inputs!$B$28+Inputs!$B$30,MAX(0,(Inputs!$B$3-100)*3)+Inputs!$B$29+Inputs!$B$30)))</f>
        <v/>
      </c>
      <c r="E3332">
        <f>INDEX(FactorTable!$B$2:$Y$301, MATCH(ROUND(MIN(300,MAX(1,D3332)),0), FactorTable!$A$2:$A$301,0), Skills!L6+1)</f>
        <v/>
      </c>
      <c r="F3332">
        <f>IF(Skills!M6=TRUE,(Skills!K6/10)*(E3332/1000),Skills!K6/10)+Skills!N6</f>
        <v/>
      </c>
      <c r="G3332">
        <f>Calc!G6</f>
        <v/>
      </c>
      <c r="H3332">
        <f>Calc!H6</f>
        <v/>
      </c>
      <c r="I3332">
        <f>IF(Skills!T6&lt;&gt;"",1+(Skills!T6/10)*($Z$3/1000)/100,1)</f>
        <v/>
      </c>
      <c r="J3332">
        <f>((Inputs!$B$6*(1+Inputs!$B$7/100))+(((Inputs!$B$13*(1+Inputs!$B$14/100))-(Inputs!$B$13*(1+Inputs!$B$14/100)))+0.25*(Inputs!$B$15-Inputs!$B$15))*(1+Inputs!$B$7/100))*(F3332/100)</f>
        <v/>
      </c>
      <c r="K3332">
        <f>J3332*(1+(((Inputs!$B$13+IF(Inputs!$B$3&gt;=35,(10*INDEX(FactorTable!$B$2:$Y$301,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6="TRIUMPH_FEATHER",IF(C3342=TRUE,F3342,0),0)/100)*(1+IF(C3353=TRUE,F3353,0)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3332)</f>
        <v/>
      </c>
      <c r="L3332">
        <f>K3332*(MIN(Inputs!$B$23+(F3348-Calc!F22),(Inputs!$B$24+IF(ArtifactsInput!$M$15,CHOOSE(ArtifactsInput!$N$15+1,25,30,35,40,45,50)/100*(Inputs!$B$12-Inputs!$B$12),0)))/100+(Inputs!$B$24+IF(ArtifactsInput!$M$15,CHOOSE(ArtifactsInput!$N$15+1,25,30,35,40,45,50)/100*(Inputs!$B$12-Inputs!$B$12),0))/100)/2</f>
        <v/>
      </c>
      <c r="M3332">
        <f>L3332*(1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2">
        <f>L3332*(1-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(1-Summary!$B$11)*S3332+Summary!$B$11*U3332</f>
        <v/>
      </c>
      <c r="P3332">
        <f>IF(B3369=0,0,O3332/B3369)</f>
        <v/>
      </c>
      <c r="Q3332">
        <f>IFERROR(1/(IF(Inputs!$B$39="pvp",15,MAX(0.1,Skills!D6-IF(Skills!E6=TRUE,5.0,0)))*(1-IF(AND(ArtifactsInput!$M$27,Inputs!$B$4="Chapter Hunt"),CHOOSE(ArtifactsInput!$N$27+1,20,24,28,32,36,40),0)/100)),0)</f>
        <v/>
      </c>
      <c r="R3332">
        <f>IF(AND(Inputs!$B$39&lt;&gt;"pvp",Inputs!$B$44&gt;0),IF(MAX(0,Inputs!$B$44-B3366)&lt;=0,0,(INT(MAX(0,Inputs!$B$44-B3366)/(IF(Inputs!$B$39="pvp",15,MAX(0.1,Skills!D6-IF(Skills!E6=TRUE,5.0,0)))*(1-IF(AND(ArtifactsInput!$M$27,Inputs!$B$4="Chapter Hunt"),CHOOSE(ArtifactsInput!$N$27+1,20,24,28,32,36,40),0)/100)))+1)),0)</f>
        <v/>
      </c>
      <c r="S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$21+Skills!O6+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3332*(1-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$22+Skills!P6+B3358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Skills!A7</f>
        <v/>
      </c>
      <c r="B3333">
        <f>Skills!B7</f>
        <v/>
      </c>
      <c r="C3333">
        <f>Inputs!$B$3&gt;=122</f>
        <v/>
      </c>
      <c r="D3333">
        <f>IF(Skills!C7=1,60+Inputs!$B$26+Inputs!$B$30,IF(Skills!C7=2,90+Inputs!$B$27+Inputs!$B$30,IF(Skills!C7=3,120+Inputs!$B$28+Inputs!$B$30,MAX(0,(Inputs!$B$3-100)*3)+Inputs!$B$29+Inputs!$B$30)))</f>
        <v/>
      </c>
      <c r="E3333">
        <f>INDEX(FactorTable!$B$2:$Y$301, MATCH(ROUND(MIN(300,MAX(1,D3333)),0), FactorTable!$A$2:$A$301,0), Skills!L7+1)</f>
        <v/>
      </c>
      <c r="F3333">
        <f>IF(Skills!M7=TRUE,(Skills!K7/10)*(E3333/1000),Skills!K7/10)+Skills!N7</f>
        <v/>
      </c>
      <c r="G3333">
        <f>Calc!G7</f>
        <v/>
      </c>
      <c r="H3333">
        <f>Calc!H7</f>
        <v/>
      </c>
      <c r="I3333">
        <f>IF(Skills!T7&lt;&gt;"",1+(Skills!T7/10)*($Z$3/1000)/100,1)</f>
        <v/>
      </c>
      <c r="J3333">
        <f>((Inputs!$B$6*(1+Inputs!$B$7/100))+(((Inputs!$B$13*(1+Inputs!$B$14/100))-(Inputs!$B$13*(1+Inputs!$B$14/100)))+0.25*(Inputs!$B$15-Inputs!$B$15))*(1+Inputs!$B$7/100))*(F3333/100)</f>
        <v/>
      </c>
      <c r="K3333">
        <f>J3333*(1+(((Inputs!$B$13+IF(Inputs!$B$3&gt;=35,(10*INDEX(FactorTable!$B$2:$Y$301,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7="TRIUMPH_FEATHER",IF(C3342=TRUE,F3342,0),0)/100)*(1+IF(C3353=TRUE,F3353,0)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3333)</f>
        <v/>
      </c>
      <c r="L3333">
        <f>K3333*(MIN(Inputs!$B$23+(F3348-Calc!F22),(Inputs!$B$24+IF(ArtifactsInput!$M$15,CHOOSE(ArtifactsInput!$N$15+1,25,30,35,40,45,50)/100*(Inputs!$B$12-Inputs!$B$12),0)))/100+(Inputs!$B$24+IF(ArtifactsInput!$M$15,CHOOSE(ArtifactsInput!$N$15+1,25,30,35,40,45,50)/100*(Inputs!$B$12-Inputs!$B$12),0))/100)/2</f>
        <v/>
      </c>
      <c r="M3333">
        <f>L3333*(1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3">
        <f>L3333*(1-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(1-Summary!$B$11)*S3333+Summary!$B$11*U3333</f>
        <v/>
      </c>
      <c r="P3333">
        <f>IF(B3369=0,0,O3333/B3369)</f>
        <v/>
      </c>
      <c r="Q3333">
        <f>IFERROR(1/(IF(Inputs!$B$39="pvp",15,MAX(0.1,Skills!D7-IF(Skills!E6=TRUE,5.0,0)))*(1-IF(AND(ArtifactsInput!$M$27,Inputs!$B$4="Chapter Hunt"),CHOOSE(ArtifactsInput!$N$27+1,20,24,28,32,36,40),0)/100)),0)</f>
        <v/>
      </c>
      <c r="R3333">
        <f>IF(AND(Inputs!$B$39&lt;&gt;"pvp",Inputs!$B$44&gt;0),IF(MAX(0,Inputs!$B$44-B3366)&lt;=0,0,(INT(MAX(0,Inputs!$B$44-B3366)/(IF(Inputs!$B$39="pvp",15,MAX(0.1,Skills!D7-IF(Skills!E6=TRUE,5.0,0)))*(1-IF(AND(ArtifactsInput!$M$27,Inputs!$B$4="Chapter Hunt"),CHOOSE(ArtifactsInput!$N$27+1,20,24,28,32,36,40),0)/100)))+1)),0)</f>
        <v/>
      </c>
      <c r="S3333">
        <f>IF(C3333,H3333*N3333*IF(AND(Inputs!$B$39&lt;&gt;"pvp",Inputs!$B$44&gt;0),((Skills!F7*((R3333-1)*IF(Skills!G7&gt;0,Skills!H7/Skills!G7,1)+IF(Skills!G7&gt;0,MIN(Skills!H7,MAX(0,MAX(0,Inputs!$B$44-B3366)-((R3333-1)*(IF(Inputs!$B$39="pvp",15,MAX(0.1,Skills!D7-IF(Skills!E6=TRUE,5.0,0)))*(1-IF(AND(ArtifactsInput!$M$27,Inputs!$B$4="Chapter Hunt"),CHOOSE(ArtifactsInput!$N$27+1,20,24,28,32,36,40),0)/100)))))/Skills!G7,1)))/Inputs!$B$44),G3333*Q3333)*IF(Inputs!$B$39="pvp",1,1+(Inputs!$B$21+Skills!O7+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3333*(1-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3" t="n">
        <v>0</v>
      </c>
    </row>
    <row r="3334">
      <c r="A3334">
        <f>Skills!A8</f>
        <v/>
      </c>
      <c r="B3334">
        <f>Skills!B8</f>
        <v/>
      </c>
      <c r="C3334">
        <f>Inputs!$B$3&gt;=105</f>
        <v/>
      </c>
      <c r="D3334">
        <f>IF(Skills!C8=1,60+Inputs!$B$26+Inputs!$B$30,IF(Skills!C8=2,90+Inputs!$B$27+Inputs!$B$30,IF(Skills!C8=3,120+Inputs!$B$28+Inputs!$B$30,MAX(0,(Inputs!$B$3-100)*3)+Inputs!$B$29+Inputs!$B$30)))</f>
        <v/>
      </c>
      <c r="E3334">
        <f>INDEX(FactorTable!$B$2:$Y$301, MATCH(ROUND(MIN(300,MAX(1,D3334)),0), FactorTable!$A$2:$A$301,0), Skills!L8+1)</f>
        <v/>
      </c>
      <c r="F3334">
        <f>IF(Skills!M8=TRUE,(Skills!K8/10)*(E3334/1000),Skills!K8/10)+Skills!N8</f>
        <v/>
      </c>
      <c r="G3334">
        <f>Calc!G8</f>
        <v/>
      </c>
      <c r="H3334">
        <f>Calc!H8</f>
        <v/>
      </c>
      <c r="I3334">
        <f>IF(Skills!T8&lt;&gt;"",1+(Skills!T8/10)*($Z$3/1000)/100,1)</f>
        <v/>
      </c>
      <c r="J3334">
        <f>((Inputs!$B$6*(1+Inputs!$B$7/100))+(((Inputs!$B$13*(1+Inputs!$B$14/100))-(Inputs!$B$13*(1+Inputs!$B$14/100)))+0.25*(Inputs!$B$15-Inputs!$B$15))*(1+Inputs!$B$7/100))*(F3334/100)</f>
        <v/>
      </c>
      <c r="K3334">
        <f>J3334*(1+(((Inputs!$B$13+IF(Inputs!$B$3&gt;=35,(10*INDEX(FactorTable!$B$2:$Y$301,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8="TRIUMPH_FEATHER",IF(C3342=TRUE,F3342,0),0)/100)*(1+IF(C3353=TRUE,F3353,0)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3334)</f>
        <v/>
      </c>
      <c r="L3334">
        <f>K3334*(MIN(Inputs!$B$23+(F3348-Calc!F22),(Inputs!$B$24+IF(ArtifactsInput!$M$15,CHOOSE(ArtifactsInput!$N$15+1,25,30,35,40,45,50)/100*(Inputs!$B$12-Inputs!$B$12),0)))/100+(Inputs!$B$24+IF(ArtifactsInput!$M$15,CHOOSE(ArtifactsInput!$N$15+1,25,30,35,40,45,50)/100*(Inputs!$B$12-Inputs!$B$12),0))/100)/2</f>
        <v/>
      </c>
      <c r="M3334">
        <f>L3334*(1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4">
        <f>L3334*(1-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(1-Summary!$B$11)*S3334+Summary!$B$11*U3334</f>
        <v/>
      </c>
      <c r="P3334">
        <f>IF(B3369=0,0,O3334/B3369)</f>
        <v/>
      </c>
      <c r="Q3334">
        <f>IFERROR(1/(IF(Inputs!$B$39="pvp",15,MAX(0.1,Skills!D8-IF(Skills!E8=TRUE,5.0,0)))*(1-IF(AND(ArtifactsInput!$M$27,Inputs!$B$4="Chapter Hunt"),CHOOSE(ArtifactsInput!$N$27+1,20,24,28,32,36,40),0)/100)),0)</f>
        <v/>
      </c>
      <c r="R3334">
        <f>IF(AND(Inputs!$B$39&lt;&gt;"pvp",Inputs!$B$44&gt;0),IF(MAX(0,Inputs!$B$44-B3366)&lt;=0,0,(INT(MAX(0,Inputs!$B$44-B3366)/(IF(Inputs!$B$39="pvp",15,MAX(0.1,Skills!D8-IF(Skills!E8=TRUE,5.0,0)))*(1-IF(AND(ArtifactsInput!$M$27,Inputs!$B$4="Chapter Hunt"),CHOOSE(ArtifactsInput!$N$27+1,20,24,28,32,36,40),0)/100)))+1)),0)</f>
        <v/>
      </c>
      <c r="S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$21+Skills!O8+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$22+Skills!P8+B3358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Skills!A9</f>
        <v/>
      </c>
      <c r="B3335">
        <f>Skills!B9</f>
        <v/>
      </c>
      <c r="C3335">
        <f>Inputs!$B$3&gt;=115</f>
        <v/>
      </c>
      <c r="D3335">
        <f>IF(Skills!C9=1,60+Inputs!$B$26+Inputs!$B$30,IF(Skills!C9=2,90+Inputs!$B$27+Inputs!$B$30,IF(Skills!C9=3,120+Inputs!$B$28+Inputs!$B$30,MAX(0,(Inputs!$B$3-100)*3)+Inputs!$B$29+Inputs!$B$30)))</f>
        <v/>
      </c>
      <c r="E3335">
        <f>INDEX(FactorTable!$B$2:$Y$301, MATCH(ROUND(MIN(300,MAX(1,D3335)),0), FactorTable!$A$2:$A$301,0), Skills!L9+1)</f>
        <v/>
      </c>
      <c r="F3335">
        <f>IF(Skills!M9=TRUE,(Skills!K9/10)*(E3335/1000),Skills!K9/10)+Skills!N9</f>
        <v/>
      </c>
      <c r="G3335">
        <f>Calc!G9</f>
        <v/>
      </c>
      <c r="H3335">
        <f>Calc!H9</f>
        <v/>
      </c>
      <c r="I3335">
        <f>IF(Skills!T9&lt;&gt;"",1+(Skills!T9/10)*($Z$3/1000)/100,1)</f>
        <v/>
      </c>
      <c r="J3335">
        <f>((Inputs!$B$6*(1+Inputs!$B$7/100))+(((Inputs!$B$13*(1+Inputs!$B$14/100))-(Inputs!$B$13*(1+Inputs!$B$14/100)))+0.25*(Inputs!$B$15-Inputs!$B$15))*(1+Inputs!$B$7/100))*(F3335/100)</f>
        <v/>
      </c>
      <c r="K3335">
        <f>J3335*(1+(((Inputs!$B$13+IF(Inputs!$B$3&gt;=35,(10*INDEX(FactorTable!$B$2:$Y$301,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9="TRIUMPH_FEATHER",IF(C3342=TRUE,F3342,0),0)/100)*(1+IF(C3353=TRUE,F3353,0)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3335)</f>
        <v/>
      </c>
      <c r="L3335">
        <f>K3335*(MIN(Inputs!$B$23+(F3348-Calc!F22),(Inputs!$B$24+IF(ArtifactsInput!$M$15,CHOOSE(ArtifactsInput!$N$15+1,25,30,35,40,45,50)/100*(Inputs!$B$12-Inputs!$B$12),0)))/100+(Inputs!$B$24+IF(ArtifactsInput!$M$15,CHOOSE(ArtifactsInput!$N$15+1,25,30,35,40,45,50)/100*(Inputs!$B$12-Inputs!$B$12),0))/100)/2</f>
        <v/>
      </c>
      <c r="M3335">
        <f>L3335*(1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5">
        <f>L3335*(1-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3335*(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5">
        <f>(1-Summary!$B$11)*S3335+Summary!$B$11*U3335</f>
        <v/>
      </c>
      <c r="P3335">
        <f>IF(B3369=0,0,O3335/B3369)</f>
        <v/>
      </c>
      <c r="Q3335">
        <f>IFERROR(1/(IF(Inputs!$B$39="pvp",15,MAX(0.1,Skills!D9-IF(Skills!E9=TRUE,5.0,0)))*(1-IF(AND(ArtifactsInput!$M$27,Inputs!$B$4="Chapter Hunt"),CHOOSE(ArtifactsInput!$N$27+1,20,24,28,32,36,40),0)/100)),0)</f>
        <v/>
      </c>
      <c r="R3335">
        <f>IF(AND(Inputs!$B$39&lt;&gt;"pvp",Inputs!$B$44&gt;0),IF(MAX(0,Inputs!$B$44-B3366)&lt;=0,0,(INT(MAX(0,Inputs!$B$44-B3366)/(IF(Inputs!$B$39="pvp",15,MAX(0.1,Skills!D9-IF(Skills!E9=TRUE,5.0,0)))*(1-IF(AND(ArtifactsInput!$M$27,Inputs!$B$4="Chapter Hunt"),CHOOSE(ArtifactsInput!$N$27+1,20,24,28,32,36,40),0)/100)))+1)),0)</f>
        <v/>
      </c>
      <c r="S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$21+Skills!O9+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3335*(1-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3335*(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3335*(1-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3335*(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$22+Skills!P9+B3358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6">
      <c r="A3336">
        <f>Skills!A10</f>
        <v/>
      </c>
      <c r="B3336">
        <f>Skills!B10</f>
        <v/>
      </c>
      <c r="C3336">
        <f>Inputs!$B$3&gt;=66</f>
        <v/>
      </c>
      <c r="D3336">
        <f>IF(Skills!C10=1,60+Inputs!$B$26+Inputs!$B$30,IF(Skills!C10=2,90+Inputs!$B$27+Inputs!$B$30,IF(Skills!C10=3,120+Inputs!$B$28+Inputs!$B$30,MAX(0,(Inputs!$B$3-100)*3)+Inputs!$B$29+Inputs!$B$30)))</f>
        <v/>
      </c>
      <c r="E3336">
        <f>INDEX(FactorTable!$B$2:$Y$301, MATCH(ROUND(MIN(300,MAX(1,D3336)),0), FactorTable!$A$2:$A$301,0), Skills!L10+1)</f>
        <v/>
      </c>
      <c r="F3336" t="n">
        <v>0</v>
      </c>
      <c r="G3336">
        <f>Calc!G10</f>
        <v/>
      </c>
      <c r="H3336">
        <f>Calc!H10</f>
        <v/>
      </c>
      <c r="I3336">
        <f>IF(Skills!T10&lt;&gt;"",1+(Skills!T10/10)*($Z$3/1000)/100,1)</f>
        <v/>
      </c>
      <c r="J3336" t="inlineStr"/>
      <c r="K3336" t="inlineStr"/>
      <c r="L3336" t="inlineStr"/>
      <c r="M3336" t="inlineStr"/>
      <c r="N3336" t="inlineStr"/>
      <c r="O3336">
        <f>(1-Summary!$B$11)*S3336+Summary!$B$11*U3336</f>
        <v/>
      </c>
      <c r="P3336">
        <f>IF(B3369=0,0,O3336/B3369)</f>
        <v/>
      </c>
      <c r="Q3336">
        <f>IFERROR(1/(IF(Inputs!$B$39="pvp",15,MAX(0.1,Skills!D10-IF(Skills!E10=TRUE,5.0,0)))*(1-IF(AND(ArtifactsInput!$M$27,Inputs!$B$4="Chapter Hunt"),CHOOSE(ArtifactsInput!$N$27+1,20,24,28,32,36,40),0)/100)),0)</f>
        <v/>
      </c>
      <c r="R3336">
        <f>IF(AND(Inputs!$B$39&lt;&gt;"pvp",Inputs!$B$44&gt;0),IF(MAX(0,Inputs!$B$44-B3366)&lt;=0,0,(INT(MAX(0,Inputs!$B$44-B3366)/(IF(Inputs!$B$39="pvp",15,MAX(0.1,Skills!D10-IF(Skills!E10=TRUE,5.0,0)))*(1-IF(AND(ArtifactsInput!$M$27,Inputs!$B$4="Chapter Hunt"),CHOOSE(ArtifactsInput!$N$27+1,20,24,28,32,36,40),0)/100)))+1)),0)</f>
        <v/>
      </c>
      <c r="S3336" t="n">
        <v>0</v>
      </c>
      <c r="U3336" t="n">
        <v>0</v>
      </c>
    </row>
    <row r="3337">
      <c r="A3337">
        <f>Skills!A11</f>
        <v/>
      </c>
      <c r="B3337">
        <f>Skills!B11</f>
        <v/>
      </c>
      <c r="C3337">
        <f>Inputs!$B$3&gt;=69</f>
        <v/>
      </c>
      <c r="D3337">
        <f>IF(Skills!C11=1,60+Inputs!$B$26+Inputs!$B$30,IF(Skills!C11=2,90+Inputs!$B$27+Inputs!$B$30,IF(Skills!C11=3,120+Inputs!$B$28+Inputs!$B$30,MAX(0,(Inputs!$B$3-100)*3)+Inputs!$B$29+Inputs!$B$30)))</f>
        <v/>
      </c>
      <c r="E3337">
        <f>INDEX(FactorTable!$B$2:$Y$301, MATCH(ROUND(MIN(300,MAX(1,D3337)),0), FactorTable!$A$2:$A$301,0), Skills!L11+1)</f>
        <v/>
      </c>
      <c r="F3337">
        <f>IF(Skills!M11=TRUE,(Skills!K11/10)*(E3337/1000),Skills!K11/10)+Skills!N11</f>
        <v/>
      </c>
      <c r="G3337">
        <f>Calc!G11</f>
        <v/>
      </c>
      <c r="H3337">
        <f>Calc!H11</f>
        <v/>
      </c>
      <c r="I3337">
        <f>IF(Skills!T11&lt;&gt;"",1+(Skills!T11/10)*($Z$3/1000)/100,1)</f>
        <v/>
      </c>
      <c r="J3337" t="inlineStr"/>
      <c r="K3337" t="inlineStr"/>
      <c r="L3337" t="inlineStr"/>
      <c r="M3337" t="inlineStr"/>
      <c r="N3337" t="inlineStr"/>
      <c r="O3337">
        <f>(1-Summary!$B$11)*S3337+Summary!$B$11*U3337</f>
        <v/>
      </c>
      <c r="P3337">
        <f>IF(B3369=0,0,O3337/B3369)</f>
        <v/>
      </c>
      <c r="Q3337">
        <f>IFERROR(1/(IF(Inputs!$B$39="pvp",15,MAX(0.1,Skills!D11-IF(Skills!E11=TRUE,5.0,0)))*(1-IF(AND(ArtifactsInput!$M$27,Inputs!$B$4="Chapter Hunt"),CHOOSE(ArtifactsInput!$N$27+1,20,24,28,32,36,40),0)/100)),0)</f>
        <v/>
      </c>
      <c r="R3337">
        <f>IF(AND(Inputs!$B$39&lt;&gt;"pvp",Inputs!$B$44&gt;0),IF(Inputs!$B$44&lt;=0,0,(INT(Inputs!$B$44/(IF(Inputs!$B$39="pvp",15,MAX(0.1,Skills!D11-IF(Skills!E11=TRUE,5.0,0)))*(1-IF(AND(ArtifactsInput!$M$27,Inputs!$B$4="Chapter Hunt"),CHOOSE(ArtifactsInput!$N$27+1,20,24,28,32,36,40),0)/100)))+1)),0)</f>
        <v/>
      </c>
      <c r="S3337" t="n">
        <v>0</v>
      </c>
      <c r="U3337" t="n">
        <v>0</v>
      </c>
    </row>
    <row r="3338">
      <c r="A3338">
        <f>Skills!A12</f>
        <v/>
      </c>
      <c r="B3338">
        <f>Skills!B12</f>
        <v/>
      </c>
      <c r="C3338">
        <f>Inputs!$B$3&gt;=72</f>
        <v/>
      </c>
      <c r="D3338">
        <f>IF(Skills!C12=1,60+Inputs!$B$26+Inputs!$B$30,IF(Skills!C12=2,90+Inputs!$B$27+Inputs!$B$30,IF(Skills!C12=3,120+Inputs!$B$28+Inputs!$B$30,MAX(0,(Inputs!$B$3-100)*3)+Inputs!$B$29+Inputs!$B$30)))</f>
        <v/>
      </c>
      <c r="E3338">
        <f>INDEX(FactorTable!$B$2:$Y$301, MATCH(ROUND(MIN(300,MAX(1,D3338)),0), FactorTable!$A$2:$A$301,0), Skills!L12+1)</f>
        <v/>
      </c>
      <c r="F3338">
        <f>IF(Skills!M12=TRUE,(Skills!K12/10)*(E3338/1000),Skills!K12/10)+Skills!N12</f>
        <v/>
      </c>
      <c r="G3338">
        <f>Calc!G12</f>
        <v/>
      </c>
      <c r="H3338">
        <f>Calc!H12</f>
        <v/>
      </c>
      <c r="I3338">
        <f>IF(Skills!T12&lt;&gt;"",1+(Skills!T12/10)*($Z$3/1000)/100,1)</f>
        <v/>
      </c>
      <c r="J3338" t="inlineStr"/>
      <c r="K3338" t="inlineStr"/>
      <c r="L3338" t="inlineStr"/>
      <c r="M3338" t="inlineStr"/>
      <c r="N3338" t="inlineStr"/>
      <c r="O3338">
        <f>(1-Summary!$B$11)*S3338+Summary!$B$11*U3338</f>
        <v/>
      </c>
      <c r="P3338">
        <f>IF(B3369=0,0,O3338/B3369)</f>
        <v/>
      </c>
      <c r="Q3338">
        <f>IFERROR(1/(IF(Inputs!$B$39="pvp",15,MAX(0.1,Skills!D12-IF(Skills!E12=TRUE,5.0,0)))*(1-IF(AND(ArtifactsInput!$M$27,Inputs!$B$4="Chapter Hunt"),CHOOSE(ArtifactsInput!$N$27+1,20,24,28,32,36,40),0)/100)),0)</f>
        <v/>
      </c>
      <c r="R3338">
        <f>IF(AND(Inputs!$B$39&lt;&gt;"pvp",Inputs!$B$44&gt;0),IF(MAX(0,Inputs!$B$44-B3366)&lt;=0,0,(INT(MAX(0,Inputs!$B$44-B3366)/(IF(Inputs!$B$39="pvp",15,MAX(0.1,Skills!D12-IF(Skills!E12=TRUE,5.0,0)))*(1-IF(AND(ArtifactsInput!$M$27,Inputs!$B$4="Chapter Hunt"),CHOOSE(ArtifactsInput!$N$27+1,20,24,28,32,36,40),0)/100)))+1)),0)</f>
        <v/>
      </c>
      <c r="S3338" t="n">
        <v>0</v>
      </c>
      <c r="U3338" t="n">
        <v>0</v>
      </c>
    </row>
    <row r="3339">
      <c r="A3339">
        <f>Skills!A13</f>
        <v/>
      </c>
      <c r="B3339">
        <f>Skills!B13</f>
        <v/>
      </c>
      <c r="C3339">
        <f>Inputs!$B$3&gt;=60</f>
        <v/>
      </c>
      <c r="D3339">
        <f>IF(Skills!C13=1,60+Inputs!$B$26+Inputs!$B$30,IF(Skills!C13=2,90+Inputs!$B$27+Inputs!$B$30,IF(Skills!C13=3,120+Inputs!$B$28+Inputs!$B$30,MAX(0,(Inputs!$B$3-100)*3)+Inputs!$B$29+Inputs!$B$30)))</f>
        <v/>
      </c>
      <c r="E3339">
        <f>INDEX(FactorTable!$B$2:$Y$301, MATCH(ROUND(MIN(300,MAX(1,D3339)),0), FactorTable!$A$2:$A$301,0), Skills!L13+1)</f>
        <v/>
      </c>
      <c r="F3339">
        <f>IF(Skills!M13=TRUE,(Skills!K13/10)*(E3339/1000),Skills!K13/10)+Skills!N13</f>
        <v/>
      </c>
      <c r="G3339">
        <f>Calc!G13</f>
        <v/>
      </c>
      <c r="H3339">
        <f>Calc!H13</f>
        <v/>
      </c>
      <c r="I3339">
        <f>IF(Skills!T13&lt;&gt;"",1+(Skills!T13/10)*($Z$3/1000)/100,1)</f>
        <v/>
      </c>
      <c r="J3339" t="inlineStr"/>
      <c r="K3339" t="inlineStr"/>
      <c r="L3339" t="inlineStr"/>
      <c r="M3339" t="inlineStr"/>
      <c r="N3339" t="inlineStr"/>
      <c r="O3339">
        <f>(1-Summary!$B$11)*S3339+Summary!$B$11*U3339</f>
        <v/>
      </c>
      <c r="P3339">
        <f>IF(B3369=0,0,O3339/B3369)</f>
        <v/>
      </c>
      <c r="Q3339">
        <f>IFERROR(1/(IF(Inputs!$B$39="pvp",15,MAX(0.1,Skills!D13-IF(Skills!E13=TRUE,5.0,0)))*(1-IF(AND(ArtifactsInput!$M$27,Inputs!$B$4="Chapter Hunt"),CHOOSE(ArtifactsInput!$N$27+1,20,24,28,32,36,40),0)/100)),0)</f>
        <v/>
      </c>
      <c r="R3339">
        <f>IF(AND(Inputs!$B$39&lt;&gt;"pvp",Inputs!$B$44&gt;0),IF(MAX(0,Inputs!$B$44-B3366)&lt;=0,0,(INT(MAX(0,Inputs!$B$44-B3366)/(IF(Inputs!$B$39="pvp",15,MAX(0.1,Skills!D13-IF(Skills!E13=TRUE,5.0,0)))*(1-IF(AND(ArtifactsInput!$M$27,Inputs!$B$4="Chapter Hunt"),CHOOSE(ArtifactsInput!$N$27+1,20,24,28,32,36,40),0)/100)))+1)),0)</f>
        <v/>
      </c>
      <c r="S3339" t="n">
        <v>0</v>
      </c>
      <c r="U3339" t="n">
        <v>0</v>
      </c>
    </row>
    <row r="3340">
      <c r="A3340">
        <f>Skills!A14</f>
        <v/>
      </c>
      <c r="B3340">
        <f>Skills!B14</f>
        <v/>
      </c>
      <c r="C3340">
        <f>Inputs!$B$3&gt;=107</f>
        <v/>
      </c>
      <c r="D3340">
        <f>IF(Skills!C14=1,60+Inputs!$B$26+Inputs!$B$30,IF(Skills!C14=2,90+Inputs!$B$27+Inputs!$B$30,IF(Skills!C14=3,120+Inputs!$B$28+Inputs!$B$30,MAX(0,(Inputs!$B$3-100)*3)+Inputs!$B$29+Inputs!$B$30)))</f>
        <v/>
      </c>
      <c r="E3340">
        <f>INDEX(FactorTable!$B$2:$Y$301, MATCH(ROUND(MIN(300,MAX(1,D3340)),0), FactorTable!$A$2:$A$301,0), Skills!L14+1)</f>
        <v/>
      </c>
      <c r="F3340">
        <f>IF(Skills!M14=TRUE,(Skills!K14/10)*(E3340/1000),Skills!K14/10)+Skills!N14</f>
        <v/>
      </c>
      <c r="G3340">
        <f>Calc!G14</f>
        <v/>
      </c>
      <c r="H3340">
        <f>Calc!H14</f>
        <v/>
      </c>
      <c r="I3340">
        <f>IF(Skills!T14&lt;&gt;"",1+(Skills!T14/10)*($Z$3/1000)/100,1)</f>
        <v/>
      </c>
      <c r="J3340" t="inlineStr"/>
      <c r="K3340" t="inlineStr"/>
      <c r="L3340" t="inlineStr"/>
      <c r="M3340" t="inlineStr"/>
      <c r="N3340" t="inlineStr"/>
      <c r="O3340">
        <f>(1-Summary!$B$11)*S3340+Summary!$B$11*U3340</f>
        <v/>
      </c>
      <c r="P3340">
        <f>IF(B3369=0,0,O3340/B3369)</f>
        <v/>
      </c>
      <c r="Q3340">
        <f>IFERROR(1/(IF(Inputs!$B$39="pvp",15,MAX(0.1,Skills!D14-IF(Skills!E14=TRUE,5.0,0)))*(1-IF(AND(ArtifactsInput!$M$27,Inputs!$B$4="Chapter Hunt"),CHOOSE(ArtifactsInput!$N$27+1,20,24,28,32,36,40),0)/100)),0)</f>
        <v/>
      </c>
      <c r="R3340">
        <f>IF(AND(Inputs!$B$39&lt;&gt;"pvp",Inputs!$B$44&gt;0),IF(Inputs!$B$44&lt;=0,0,(INT(Inputs!$B$44/(IF(Inputs!$B$39="pvp",15,MAX(0.1,Skills!D14-IF(Skills!E14=TRUE,5.0,0)))*(1-IF(AND(ArtifactsInput!$M$27,Inputs!$B$4="Chapter Hunt"),CHOOSE(ArtifactsInput!$N$27+1,20,24,28,32,36,40),0)/100)))+1)),0)</f>
        <v/>
      </c>
      <c r="S3340" t="n">
        <v>0</v>
      </c>
      <c r="U3340" t="n">
        <v>0</v>
      </c>
    </row>
    <row r="3341">
      <c r="A3341">
        <f>Skills!A15</f>
        <v/>
      </c>
      <c r="B3341">
        <f>Skills!B15</f>
        <v/>
      </c>
      <c r="C3341">
        <f>Inputs!$B$3&gt;=63</f>
        <v/>
      </c>
      <c r="D3341">
        <f>IF(Skills!C15=1,60+Inputs!$B$26+Inputs!$B$30,IF(Skills!C15=2,90+Inputs!$B$27+Inputs!$B$30,IF(Skills!C15=3,120+Inputs!$B$28+Inputs!$B$30,MAX(0,(Inputs!$B$3-100)*3)+Inputs!$B$29+Inputs!$B$30)))</f>
        <v/>
      </c>
      <c r="E3341">
        <f>INDEX(FactorTable!$B$2:$Y$301, MATCH(ROUND(MIN(300,MAX(1,D3341)),0), FactorTable!$A$2:$A$301,0), Skills!L15+1)</f>
        <v/>
      </c>
      <c r="F3341">
        <f>IF(Skills!M15=TRUE,(Skills!K15/10)*(E3341/1000),Skills!K15/10)+Skills!N15</f>
        <v/>
      </c>
      <c r="G3341">
        <f>Calc!G15</f>
        <v/>
      </c>
      <c r="H3341">
        <f>Calc!H15</f>
        <v/>
      </c>
      <c r="I3341">
        <f>IF(Skills!T15&lt;&gt;"",1+(Skills!T15/10)*($Z$3/1000)/100,1)</f>
        <v/>
      </c>
      <c r="J3341">
        <f>((Inputs!$B$6*(1+Inputs!$B$7/100))+(((Inputs!$B$13*(1+Inputs!$B$14/100))-(Inputs!$B$13*(1+Inputs!$B$14/100)))+0.25*(Inputs!$B$15-Inputs!$B$15))*(1+Inputs!$B$7/100))*(F3341/100)</f>
        <v/>
      </c>
      <c r="K3341">
        <f>J3341*(1+(((Inputs!$B$13+IF(Inputs!$B$3&gt;=35,(10*INDEX(FactorTable!$B$2:$Y$301,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15="TRIUMPH_FEATHER",IF(C3342=TRUE,F3342,0),0)/100)*(1+IF(C3353=TRUE,F3353,0)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3341)</f>
        <v/>
      </c>
      <c r="L3341">
        <f>K3341*(MIN(Inputs!$B$23+(F3348-Calc!F22),(Inputs!$B$24+IF(ArtifactsInput!$M$15,CHOOSE(ArtifactsInput!$N$15+1,25,30,35,40,45,50)/100*(Inputs!$B$12-Inputs!$B$12),0)))/100+(Inputs!$B$24+IF(ArtifactsInput!$M$15,CHOOSE(ArtifactsInput!$N$15+1,25,30,35,40,45,50)/100*(Inputs!$B$12-Inputs!$B$12),0))/100)/2</f>
        <v/>
      </c>
      <c r="M3341">
        <f>L3341*(1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41">
        <f>L3341*(1-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1">
        <f>(1-Summary!$B$11)*S3341+Summary!$B$11*U3341</f>
        <v/>
      </c>
      <c r="P3341">
        <f>IF(B3369=0,0,O3341/B3369)</f>
        <v/>
      </c>
      <c r="Q3341">
        <f>IFERROR(1/(IF(Inputs!$B$39="pvp",15,MAX(0.1,Skills!D15-IF(Skills!E15=TRUE,5.0,0)))*(1-IF(AND(ArtifactsInput!$M$27,Inputs!$B$4="Chapter Hunt"),CHOOSE(ArtifactsInput!$N$27+1,20,24,28,32,36,40),0)/100)),0)</f>
        <v/>
      </c>
      <c r="R3341" t="n">
        <v>0</v>
      </c>
      <c r="S3341">
        <f>IF(C3341,(Skills!F15*N3341*((IF(Inputs!$B$3&gt;=78,25,15)/100*B3362*10)/(1+IF(Inputs!$B$3&gt;=78,25,15)/100*B3362*10))*(Skills!I15/100*B3362)/(1+Skills!G15*Skills!I15/100*B3362))*IF(Inputs!$B$39="pvp",1,1+(Inputs!$B$21+Skills!O15+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3341*(1-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41">
        <f>IF(C3341,(Skills!F15*N3341*((IF(Inputs!$B$3&gt;=78,25,15)/100*B3362*10)/(1+IF(Inputs!$B$3&gt;=78,25,15)/100*B3362*10))*(Skills!I15/100*B3362)/(1+Skills!G15*Skills!I15/100*B3362))*IF(Inputs!$B$39="pvp",1,(1+(Inputs!$B$22+Skills!P15+B3358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2">
      <c r="A3342">
        <f>Skills!A16</f>
        <v/>
      </c>
      <c r="B3342">
        <f>Skills!B16</f>
        <v/>
      </c>
      <c r="C3342">
        <f>Inputs!$B$3&gt;=100</f>
        <v/>
      </c>
      <c r="D3342">
        <f>IF(Skills!C16=1,60+Inputs!$B$26+Inputs!$B$30,IF(Skills!C16=2,90+Inputs!$B$27+Inputs!$B$30,IF(Skills!C16=3,120+Inputs!$B$28+Inputs!$B$30,MAX(0,(Inputs!$B$3-100)*3)+Inputs!$B$29+Inputs!$B$30)))</f>
        <v/>
      </c>
      <c r="E3342">
        <f>INDEX(FactorTable!$B$2:$Y$301, MATCH(ROUND(MIN(300,MAX(1,D3342)),0), FactorTable!$A$2:$A$301,0), Skills!L16+1)</f>
        <v/>
      </c>
      <c r="F3342">
        <f>IF(Skills!M16=TRUE,(Skills!K16/10)*(E3342/1000),Skills!K16/10)+Skills!N16</f>
        <v/>
      </c>
      <c r="G3342">
        <f>Calc!G16</f>
        <v/>
      </c>
      <c r="H3342">
        <f>Calc!H16</f>
        <v/>
      </c>
      <c r="I3342">
        <f>IF(Skills!T16&lt;&gt;"",1+(Skills!T16/10)*($Z$3/1000)/100,1)</f>
        <v/>
      </c>
      <c r="J3342" t="inlineStr"/>
      <c r="K3342" t="inlineStr"/>
      <c r="L3342" t="inlineStr"/>
      <c r="M3342" t="inlineStr"/>
      <c r="N3342" t="inlineStr"/>
      <c r="O3342">
        <f>(1-Summary!$B$11)*S3342+Summary!$B$11*U3342</f>
        <v/>
      </c>
      <c r="P3342">
        <f>IF(B3369=0,0,O3342/B3369)</f>
        <v/>
      </c>
      <c r="Q3342">
        <f>IFERROR(1/(IF(Inputs!$B$39="pvp",15,MAX(0.1,Skills!D16-IF(Skills!E16=TRUE,5.0,0)))*(1-IF(AND(ArtifactsInput!$M$27,Inputs!$B$4="Chapter Hunt"),CHOOSE(ArtifactsInput!$N$27+1,20,24,28,32,36,40),0)/100)),0)</f>
        <v/>
      </c>
      <c r="R3342" t="n">
        <v>0</v>
      </c>
      <c r="S3342" t="n">
        <v>0</v>
      </c>
      <c r="U3342" t="n">
        <v>0</v>
      </c>
    </row>
    <row r="3343">
      <c r="A3343">
        <f>Skills!A17</f>
        <v/>
      </c>
      <c r="B3343">
        <f>Skills!B17</f>
        <v/>
      </c>
      <c r="C3343">
        <f>Inputs!$B$3&gt;=49</f>
        <v/>
      </c>
      <c r="D3343">
        <f>IF(Skills!C17=1,60+Inputs!$B$26+Inputs!$B$30,IF(Skills!C17=2,90+Inputs!$B$27+Inputs!$B$30,IF(Skills!C17=3,120+Inputs!$B$28+Inputs!$B$30,MAX(0,(Inputs!$B$3-100)*3)+Inputs!$B$29+Inputs!$B$30)))</f>
        <v/>
      </c>
      <c r="E3343">
        <f>INDEX(FactorTable!$B$2:$Y$301, MATCH(ROUND(MIN(300,MAX(1,D3343)),0), FactorTable!$A$2:$A$301,0), Skills!L17+1)</f>
        <v/>
      </c>
      <c r="F3343">
        <f>IF(Skills!M17=TRUE,(Skills!K17/10)*(E3343/1000),Skills!K17/10)+Skills!N17</f>
        <v/>
      </c>
      <c r="G3343">
        <f>Calc!G17</f>
        <v/>
      </c>
      <c r="H3343">
        <f>Calc!H17</f>
        <v/>
      </c>
      <c r="I3343">
        <f>IF(Skills!T17&lt;&gt;"",1+(Skills!T17/10)*($Z$3/1000)/100,1)</f>
        <v/>
      </c>
      <c r="J3343" t="inlineStr"/>
      <c r="K3343" t="inlineStr"/>
      <c r="L3343" t="inlineStr"/>
      <c r="M3343" t="inlineStr"/>
      <c r="N3343" t="inlineStr"/>
      <c r="O3343">
        <f>(1-Summary!$B$11)*S3343+Summary!$B$11*U3343</f>
        <v/>
      </c>
      <c r="P3343">
        <f>IF(B3369=0,0,O3343/B3369)</f>
        <v/>
      </c>
      <c r="Q3343">
        <f>IFERROR(1/(IF(Inputs!$B$39="pvp",15,MAX(0.1,Skills!D17-IF(Skills!E17=TRUE,5.0,0)))*(1-IF(AND(ArtifactsInput!$M$27,Inputs!$B$4="Chapter Hunt"),CHOOSE(ArtifactsInput!$N$27+1,20,24,28,32,36,40),0)/100)),0)</f>
        <v/>
      </c>
      <c r="R3343" t="n">
        <v>0</v>
      </c>
      <c r="S3343" t="n">
        <v>0</v>
      </c>
      <c r="U3343" t="n">
        <v>0</v>
      </c>
    </row>
    <row r="3344">
      <c r="A3344">
        <f>Skills!A18</f>
        <v/>
      </c>
      <c r="B3344">
        <f>Skills!B18</f>
        <v/>
      </c>
      <c r="C3344">
        <f>Inputs!$B$3&gt;=75</f>
        <v/>
      </c>
      <c r="D3344">
        <f>IF(Skills!C18=1,60+Inputs!$B$26+Inputs!$B$30,IF(Skills!C18=2,90+Inputs!$B$27+Inputs!$B$30,IF(Skills!C18=3,120+Inputs!$B$28+Inputs!$B$30,MAX(0,(Inputs!$B$3-100)*3)+Inputs!$B$29+Inputs!$B$30)))</f>
        <v/>
      </c>
      <c r="E3344">
        <f>INDEX(FactorTable!$B$2:$Y$301, MATCH(ROUND(MIN(300,MAX(1,D3344)),0), FactorTable!$A$2:$A$301,0), Skills!L18+1)</f>
        <v/>
      </c>
      <c r="F3344">
        <f>IF(Skills!M18=TRUE,(Skills!K18/10)*(E3344/1000),Skills!K18/10)+Skills!N18</f>
        <v/>
      </c>
      <c r="G3344">
        <f>Calc!G18</f>
        <v/>
      </c>
      <c r="H3344">
        <f>Calc!H18</f>
        <v/>
      </c>
      <c r="I3344">
        <f>IF(Skills!T18&lt;&gt;"",1+(Skills!T18/10)*($Z$3/1000)/100,1)</f>
        <v/>
      </c>
      <c r="J3344" t="inlineStr"/>
      <c r="K3344" t="inlineStr"/>
      <c r="L3344" t="inlineStr"/>
      <c r="M3344" t="inlineStr"/>
      <c r="N3344" t="inlineStr"/>
      <c r="O3344">
        <f>(1-Summary!$B$11)*S3344+Summary!$B$11*U3344</f>
        <v/>
      </c>
      <c r="P3344">
        <f>IF(B3369=0,0,O3344/B3369)</f>
        <v/>
      </c>
      <c r="Q3344">
        <f>IFERROR(1/(IF(Inputs!$B$39="pvp",15,MAX(0.1,Skills!D18-IF(Skills!E18=TRUE,5.0,0)))*(1-IF(AND(ArtifactsInput!$M$27,Inputs!$B$4="Chapter Hunt"),CHOOSE(ArtifactsInput!$N$27+1,20,24,28,32,36,40),0)/100)),0)</f>
        <v/>
      </c>
      <c r="R3344" t="n">
        <v>0</v>
      </c>
      <c r="S3344" t="n">
        <v>0</v>
      </c>
      <c r="U3344" t="n">
        <v>0</v>
      </c>
    </row>
    <row r="3345">
      <c r="A3345">
        <f>Skills!A19</f>
        <v/>
      </c>
      <c r="B3345">
        <f>Skills!B19</f>
        <v/>
      </c>
      <c r="C3345">
        <f>Inputs!$B$3&gt;=110</f>
        <v/>
      </c>
      <c r="D3345">
        <f>IF(Skills!C19=1,60+Inputs!$B$26+Inputs!$B$30,IF(Skills!C19=2,90+Inputs!$B$27+Inputs!$B$30,IF(Skills!C19=3,120+Inputs!$B$28+Inputs!$B$30,MAX(0,(Inputs!$B$3-100)*3)+Inputs!$B$29+Inputs!$B$30)))</f>
        <v/>
      </c>
      <c r="E3345">
        <f>INDEX(FactorTable!$B$2:$Y$301, MATCH(ROUND(MIN(300,MAX(1,D3345)),0), FactorTable!$A$2:$A$301,0), Skills!L19+1)</f>
        <v/>
      </c>
      <c r="F3345">
        <f>(Skills!K19/10)*(E3345/1000)*64/45+Skills!N19</f>
        <v/>
      </c>
      <c r="G3345">
        <f>Calc!G19</f>
        <v/>
      </c>
      <c r="H3345">
        <f>Calc!H19</f>
        <v/>
      </c>
      <c r="I3345">
        <f>IF(Skills!T19&lt;&gt;"",1+(Skills!T19/10)*($Z$3/1000)/100,1)</f>
        <v/>
      </c>
      <c r="J3345" t="inlineStr"/>
      <c r="K3345" t="inlineStr"/>
      <c r="L3345" t="inlineStr"/>
      <c r="M3345" t="inlineStr"/>
      <c r="N3345" t="inlineStr"/>
      <c r="O3345">
        <f>(1-Summary!$B$11)*S3345+Summary!$B$11*U3345</f>
        <v/>
      </c>
      <c r="P3345">
        <f>IF(B3369=0,0,O3345/B3369)</f>
        <v/>
      </c>
      <c r="Q3345">
        <f>IFERROR(1/(IF(Inputs!$B$39="pvp",15,MAX(0.1,Skills!D19-IF(Skills!E19=TRUE,5.0,0)))*(1-IF(AND(ArtifactsInput!$M$27,Inputs!$B$4="Chapter Hunt"),CHOOSE(ArtifactsInput!$N$27+1,20,24,28,32,36,40),0)/100)),0)</f>
        <v/>
      </c>
      <c r="R3345">
        <f>IF(AND(Inputs!$B$39&lt;&gt;"pvp",Inputs!$B$44&gt;0),IF(Inputs!$B$44&lt;=0,0,(INT(Inputs!$B$44/(IF(Inputs!$B$39="pvp",15,MAX(0.1,Skills!D19-IF(Skills!E19=TRUE,5.0,0)))*(1-IF(AND(ArtifactsInput!$M$27,Inputs!$B$4="Chapter Hunt"),CHOOSE(ArtifactsInput!$N$27+1,20,24,28,32,36,40),0)/100)))+1)),0)</f>
        <v/>
      </c>
      <c r="S3345" t="n">
        <v>0</v>
      </c>
      <c r="U3345" t="n">
        <v>0</v>
      </c>
    </row>
    <row r="3346">
      <c r="A3346">
        <f>Skills!A20</f>
        <v/>
      </c>
      <c r="B3346">
        <f>Skills!B20</f>
        <v/>
      </c>
      <c r="C3346">
        <f>Inputs!$B$3&gt;=125</f>
        <v/>
      </c>
      <c r="D3346">
        <f>IF(Skills!C20=1,60+Inputs!$B$26+Inputs!$B$30,IF(Skills!C20=2,90+Inputs!$B$27+Inputs!$B$30,IF(Skills!C20=3,120+Inputs!$B$28+Inputs!$B$30,MAX(0,(Inputs!$B$3-100)*3)+Inputs!$B$29+Inputs!$B$30)))</f>
        <v/>
      </c>
      <c r="E3346">
        <f>INDEX(FactorTable!$B$2:$Y$301, MATCH(ROUND(MIN(300,MAX(1,D3346)),0), FactorTable!$A$2:$A$301,0), Skills!L20+1)</f>
        <v/>
      </c>
      <c r="F3346">
        <f>IF(Skills!M20=TRUE,(Skills!K20/10)*(E3346/1000),Skills!K20/10)+Skills!N20</f>
        <v/>
      </c>
      <c r="G3346">
        <f>Calc!G20</f>
        <v/>
      </c>
      <c r="H3346">
        <f>Calc!H20</f>
        <v/>
      </c>
      <c r="I3346">
        <f>IF(Skills!T20&lt;&gt;"",1+(Skills!T20/10)*($Z$3/1000)/100,1)</f>
        <v/>
      </c>
      <c r="J3346" t="inlineStr"/>
      <c r="K3346" t="inlineStr"/>
      <c r="L3346" t="inlineStr"/>
      <c r="M3346" t="inlineStr"/>
      <c r="N3346" t="inlineStr"/>
      <c r="O3346">
        <f>(1-Summary!$B$11)*S3346+Summary!$B$11*U3346</f>
        <v/>
      </c>
      <c r="P3346">
        <f>IF(B3369=0,0,O3346/B3369)</f>
        <v/>
      </c>
      <c r="Q3346">
        <f>IFERROR(1/(IF(Inputs!$B$39="pvp",15,MAX(0.1,Skills!D20-IF(Skills!E20=TRUE,5.0,0)))*(1-IF(AND(ArtifactsInput!$M$27,Inputs!$B$4="Chapter Hunt"),CHOOSE(ArtifactsInput!$N$27+1,20,24,28,32,36,40),0)/100)),0)</f>
        <v/>
      </c>
      <c r="R3346" t="n">
        <v>0</v>
      </c>
      <c r="S3346" t="n">
        <v>0</v>
      </c>
      <c r="U3346" t="n">
        <v>0</v>
      </c>
    </row>
    <row r="3347">
      <c r="A3347">
        <f>Skills!A21</f>
        <v/>
      </c>
      <c r="B3347">
        <f>Skills!B21</f>
        <v/>
      </c>
      <c r="C3347">
        <f>Inputs!$B$3&gt;=33</f>
        <v/>
      </c>
      <c r="D3347">
        <f>IF(Skills!C21=1,60+Inputs!$B$26+Inputs!$B$30,IF(Skills!C21=2,90+Inputs!$B$27+Inputs!$B$30,IF(Skills!C21=3,120+Inputs!$B$28+Inputs!$B$30,MAX(0,(Inputs!$B$3-100)*3)+Inputs!$B$29+Inputs!$B$30)))</f>
        <v/>
      </c>
      <c r="E3347">
        <f>INDEX(FactorTable!$B$2:$Y$301, MATCH(ROUND(MIN(300,MAX(1,D3347)),0), FactorTable!$A$2:$A$301,0), Skills!L21+1)</f>
        <v/>
      </c>
      <c r="F3347">
        <f>IF(Skills!M21=TRUE,(Skills!K21/10)*(E3347/1000),Skills!K21/10)+Skills!N21</f>
        <v/>
      </c>
      <c r="G3347">
        <f>Calc!G21</f>
        <v/>
      </c>
      <c r="H3347">
        <f>Calc!H21</f>
        <v/>
      </c>
      <c r="I3347">
        <f>IF(Skills!T21&lt;&gt;"",1+(Skills!T21/10)*($Z$3/1000)/100,1)</f>
        <v/>
      </c>
      <c r="J3347" t="inlineStr"/>
      <c r="K3347" t="inlineStr"/>
      <c r="L3347" t="inlineStr"/>
      <c r="M3347" t="inlineStr"/>
      <c r="N3347" t="inlineStr"/>
      <c r="O3347">
        <f>(1-Summary!$B$11)*S3347+Summary!$B$11*U3347</f>
        <v/>
      </c>
      <c r="P3347">
        <f>IF(B3369=0,0,O3347/B3369)</f>
        <v/>
      </c>
      <c r="Q3347">
        <f>IFERROR(1/(IF(Inputs!$B$39="pvp",15,MAX(0.1,Skills!D21-IF(Skills!E21=TRUE,5.0,0)))*(1-IF(AND(ArtifactsInput!$M$27,Inputs!$B$4="Chapter Hunt"),CHOOSE(ArtifactsInput!$N$27+1,20,24,28,32,36,40),0)/100)),0)</f>
        <v/>
      </c>
      <c r="R3347" t="n">
        <v>0</v>
      </c>
      <c r="S3347" t="n">
        <v>0</v>
      </c>
      <c r="U3347" t="n">
        <v>0</v>
      </c>
    </row>
    <row r="3348">
      <c r="A3348">
        <f>Skills!A22</f>
        <v/>
      </c>
      <c r="B3348">
        <f>Skills!B22</f>
        <v/>
      </c>
      <c r="C3348">
        <f>Inputs!$B$3&gt;=43</f>
        <v/>
      </c>
      <c r="D3348">
        <f>IF(Skills!C22=1,60+Inputs!$B$26+Inputs!$B$30,IF(Skills!C22=2,90+Inputs!$B$27+Inputs!$B$30,IF(Skills!C22=3,120+Inputs!$B$28+Inputs!$B$30,MAX(0,(Inputs!$B$3-100)*3)+Inputs!$B$29+Inputs!$B$30)))</f>
        <v/>
      </c>
      <c r="E3348">
        <f>INDEX(FactorTable!$B$2:$Y$301, MATCH(ROUND(MIN(300,MAX(1,D3348)),0), FactorTable!$A$2:$A$301,0), Skills!L22+1)</f>
        <v/>
      </c>
      <c r="F3348">
        <f>IF(Skills!M22=TRUE,(Skills!K22/10)*(E3348/1000),Skills!K22/10)+Skills!N22</f>
        <v/>
      </c>
      <c r="G3348">
        <f>Calc!G22</f>
        <v/>
      </c>
      <c r="H3348">
        <f>Calc!H22</f>
        <v/>
      </c>
      <c r="I3348">
        <f>IF(Skills!T22&lt;&gt;"",1+(Skills!T22/10)*($Z$3/1000)/100,1)</f>
        <v/>
      </c>
      <c r="J3348" t="inlineStr"/>
      <c r="K3348" t="inlineStr"/>
      <c r="L3348" t="inlineStr"/>
      <c r="M3348" t="inlineStr"/>
      <c r="N3348" t="inlineStr"/>
      <c r="O3348">
        <f>(1-Summary!$B$11)*S3348+Summary!$B$11*U3348</f>
        <v/>
      </c>
      <c r="P3348">
        <f>IF(B3369=0,0,O3348/B3369)</f>
        <v/>
      </c>
      <c r="Q3348">
        <f>IFERROR(1/(IF(Inputs!$B$39="pvp",15,MAX(0.1,Skills!D22-IF(Skills!E22=TRUE,5.0,0)))*(1-IF(AND(ArtifactsInput!$M$27,Inputs!$B$4="Chapter Hunt"),CHOOSE(ArtifactsInput!$N$27+1,20,24,28,32,36,40),0)/100)),0)</f>
        <v/>
      </c>
      <c r="R3348" t="n">
        <v>0</v>
      </c>
      <c r="S3348" t="n">
        <v>0</v>
      </c>
      <c r="U3348" t="n">
        <v>0</v>
      </c>
    </row>
    <row r="3349">
      <c r="A3349">
        <f>Skills!A23</f>
        <v/>
      </c>
      <c r="B3349">
        <f>Skills!B23</f>
        <v/>
      </c>
      <c r="C3349">
        <f>Inputs!$B$3&gt;=50</f>
        <v/>
      </c>
      <c r="D3349">
        <f>IF(Skills!C23=1,60+Inputs!$B$26+Inputs!$B$30,IF(Skills!C23=2,90+Inputs!$B$27+Inputs!$B$30,IF(Skills!C23=3,120+Inputs!$B$28+Inputs!$B$30,MAX(0,(Inputs!$B$3-100)*3)+Inputs!$B$29+Inputs!$B$30)))</f>
        <v/>
      </c>
      <c r="E3349">
        <f>INDEX(FactorTable!$B$2:$Y$301, MATCH(ROUND(MIN(300,MAX(1,D3349)),0), FactorTable!$A$2:$A$301,0), Skills!L23+1)</f>
        <v/>
      </c>
      <c r="F3349">
        <f>IF(Skills!M23=TRUE,(Skills!K23/10)*(E3349/1000),Skills!K23/10)+Skills!N23</f>
        <v/>
      </c>
      <c r="G3349">
        <f>Calc!G23</f>
        <v/>
      </c>
      <c r="H3349">
        <f>Calc!H23</f>
        <v/>
      </c>
      <c r="I3349">
        <f>IF(Skills!T23&lt;&gt;"",1+(Skills!T23/10)*($Z$3/1000)/100,1)</f>
        <v/>
      </c>
      <c r="J3349" t="inlineStr"/>
      <c r="K3349" t="inlineStr"/>
      <c r="L3349" t="inlineStr"/>
      <c r="M3349" t="inlineStr"/>
      <c r="N3349" t="inlineStr"/>
      <c r="O3349">
        <f>(1-Summary!$B$11)*S3349+Summary!$B$11*U3349</f>
        <v/>
      </c>
      <c r="P3349">
        <f>IF(B3369=0,0,O3349/B3369)</f>
        <v/>
      </c>
      <c r="Q3349">
        <f>IFERROR(1/(IF(Inputs!$B$39="pvp",15,MAX(0.1,Skills!D23-IF(Skills!E23=TRUE,5.0,0)))*(1-IF(AND(ArtifactsInput!$M$27,Inputs!$B$4="Chapter Hunt"),CHOOSE(ArtifactsInput!$N$27+1,20,24,28,32,36,40),0)/100)),0)</f>
        <v/>
      </c>
      <c r="R3349" t="n">
        <v>0</v>
      </c>
      <c r="S3349" t="n">
        <v>0</v>
      </c>
      <c r="U3349" t="n">
        <v>0</v>
      </c>
    </row>
    <row r="3350">
      <c r="A3350">
        <f>Skills!A24</f>
        <v/>
      </c>
      <c r="B3350">
        <f>Skills!B24</f>
        <v/>
      </c>
      <c r="C3350">
        <f>Inputs!$B$3&gt;=74</f>
        <v/>
      </c>
      <c r="D3350">
        <f>IF(Skills!C24=1,60+Inputs!$B$26+Inputs!$B$30,IF(Skills!C24=2,90+Inputs!$B$27+Inputs!$B$30,IF(Skills!C24=3,120+Inputs!$B$28+Inputs!$B$30,MAX(0,(Inputs!$B$3-100)*3)+Inputs!$B$29+Inputs!$B$30)))</f>
        <v/>
      </c>
      <c r="E3350">
        <f>INDEX(FactorTable!$B$2:$Y$301, MATCH(ROUND(MIN(300,MAX(1,D3350)),0), FactorTable!$A$2:$A$301,0), Skills!L24+1)</f>
        <v/>
      </c>
      <c r="F3350">
        <f>IF(Skills!M24=TRUE,(Skills!K24/10)*(E3350/1000),Skills!K24/10)+Skills!N24</f>
        <v/>
      </c>
      <c r="G3350">
        <f>Calc!G24</f>
        <v/>
      </c>
      <c r="H3350">
        <f>Calc!H24</f>
        <v/>
      </c>
      <c r="I3350">
        <f>IF(Skills!T24&lt;&gt;"",1+(Skills!T24/10)*($Z$3/1000)/100,1)</f>
        <v/>
      </c>
      <c r="J3350" t="inlineStr"/>
      <c r="K3350" t="inlineStr"/>
      <c r="L3350" t="inlineStr"/>
      <c r="M3350" t="inlineStr"/>
      <c r="N3350" t="inlineStr"/>
      <c r="O3350">
        <f>(1-Summary!$B$11)*S3350+Summary!$B$11*U3350</f>
        <v/>
      </c>
      <c r="P3350">
        <f>IF(B3369=0,0,O3350/B3369)</f>
        <v/>
      </c>
      <c r="Q3350">
        <f>IFERROR(1/(IF(Inputs!$B$39="pvp",15,MAX(0.1,Skills!D24-IF(Skills!E24=TRUE,5.0,0)))*(1-IF(AND(ArtifactsInput!$M$27,Inputs!$B$4="Chapter Hunt"),CHOOSE(ArtifactsInput!$N$27+1,20,24,28,32,36,40),0)/100)),0)</f>
        <v/>
      </c>
      <c r="R3350" t="n">
        <v>0</v>
      </c>
      <c r="S3350" t="n">
        <v>0</v>
      </c>
      <c r="U3350" t="n">
        <v>0</v>
      </c>
    </row>
    <row r="3351">
      <c r="A3351">
        <f>Skills!A25</f>
        <v/>
      </c>
      <c r="B3351">
        <f>Skills!B25</f>
        <v/>
      </c>
      <c r="C3351">
        <f>Inputs!$B$3&gt;=74</f>
        <v/>
      </c>
      <c r="D3351">
        <f>IF(Skills!C25=1,60+Inputs!$B$26+Inputs!$B$30,IF(Skills!C25=2,90+Inputs!$B$27+Inputs!$B$30,IF(Skills!C25=3,120+Inputs!$B$28+Inputs!$B$30,MAX(0,(Inputs!$B$3-100)*3)+Inputs!$B$29+Inputs!$B$30)))</f>
        <v/>
      </c>
      <c r="E3351">
        <f>INDEX(FactorTable!$B$2:$Y$301, MATCH(ROUND(MIN(300,MAX(1,D3351)),0), FactorTable!$A$2:$A$301,0), Skills!L25+1)</f>
        <v/>
      </c>
      <c r="F3351">
        <f>IF(Skills!M25=TRUE,(Skills!K25/10)*(E3351/1000),Skills!K25/10)+Skills!N25</f>
        <v/>
      </c>
      <c r="G3351">
        <f>Calc!G25</f>
        <v/>
      </c>
      <c r="H3351">
        <f>Calc!H25</f>
        <v/>
      </c>
      <c r="I3351">
        <f>IF(Skills!T25&lt;&gt;"",1+(Skills!T25/10)*($Z$3/1000)/100,1)</f>
        <v/>
      </c>
      <c r="J3351" t="inlineStr"/>
      <c r="K3351" t="inlineStr"/>
      <c r="L3351" t="inlineStr"/>
      <c r="M3351" t="inlineStr"/>
      <c r="N3351" t="inlineStr"/>
      <c r="O3351">
        <f>(1-Summary!$B$11)*S3351+Summary!$B$11*U3351</f>
        <v/>
      </c>
      <c r="P3351">
        <f>IF(B3369=0,0,O3351/B3369)</f>
        <v/>
      </c>
      <c r="Q3351">
        <f>IFERROR(1/(IF(Inputs!$B$39="pvp",15,MAX(0.1,Skills!D25-IF(Skills!E25=TRUE,5.0,0)))*(1-IF(AND(ArtifactsInput!$M$27,Inputs!$B$4="Chapter Hunt"),CHOOSE(ArtifactsInput!$N$27+1,20,24,28,32,36,40),0)/100)),0)</f>
        <v/>
      </c>
      <c r="R3351" t="n">
        <v>0</v>
      </c>
      <c r="S3351" t="n">
        <v>0</v>
      </c>
      <c r="U3351" t="n">
        <v>0</v>
      </c>
    </row>
    <row r="3352">
      <c r="A3352">
        <f>Skills!A26</f>
        <v/>
      </c>
      <c r="B3352">
        <f>Skills!B26</f>
        <v/>
      </c>
      <c r="C3352">
        <f>Inputs!$B$3&gt;=117</f>
        <v/>
      </c>
      <c r="D3352">
        <f>IF(Skills!C26=1,60+Inputs!$B$26+Inputs!$B$30,IF(Skills!C26=2,90+Inputs!$B$27+Inputs!$B$30,IF(Skills!C26=3,120+Inputs!$B$28+Inputs!$B$30,MAX(0,(Inputs!$B$3-100)*3)+Inputs!$B$29+Inputs!$B$30)))</f>
        <v/>
      </c>
      <c r="E3352">
        <f>INDEX(FactorTable!$B$2:$Y$301, MATCH(ROUND(MIN(300,MAX(1,D3352)),0), FactorTable!$A$2:$A$301,0), Skills!L26+1)</f>
        <v/>
      </c>
      <c r="F3352">
        <f>IF(Skills!M26=TRUE,(Skills!K26/10)*(E3352/1000),Skills!K26/10)+Skills!N26</f>
        <v/>
      </c>
      <c r="G3352">
        <f>Calc!G26</f>
        <v/>
      </c>
      <c r="H3352">
        <f>Calc!H26</f>
        <v/>
      </c>
      <c r="I3352">
        <f>IF(Skills!T26&lt;&gt;"",1+(Skills!T26/10)*($Z$3/1000)/100,1)</f>
        <v/>
      </c>
      <c r="J3352" t="inlineStr"/>
      <c r="K3352" t="inlineStr"/>
      <c r="L3352" t="inlineStr"/>
      <c r="M3352" t="inlineStr"/>
      <c r="N3352" t="inlineStr"/>
      <c r="O3352">
        <f>(1-Summary!$B$11)*S3352+Summary!$B$11*U3352</f>
        <v/>
      </c>
      <c r="P3352">
        <f>IF(B3369=0,0,O3352/B3369)</f>
        <v/>
      </c>
      <c r="Q3352">
        <f>IFERROR(1/(IF(Inputs!$B$39="pvp",15,MAX(0.1,Skills!D26-IF(Skills!E26=TRUE,5.0,0)))*(1-IF(AND(ArtifactsInput!$M$27,Inputs!$B$4="Chapter Hunt"),CHOOSE(ArtifactsInput!$N$27+1,20,24,28,32,36,40),0)/100)),0)</f>
        <v/>
      </c>
      <c r="R3352" t="n">
        <v>0</v>
      </c>
      <c r="S3352" t="n">
        <v>0</v>
      </c>
      <c r="U3352" t="n">
        <v>0</v>
      </c>
    </row>
    <row r="3353">
      <c r="A3353">
        <f>Skills!A27</f>
        <v/>
      </c>
      <c r="B3353">
        <f>Skills!B27</f>
        <v/>
      </c>
      <c r="C3353">
        <f>Inputs!$B$3&gt;=120</f>
        <v/>
      </c>
      <c r="D3353">
        <f>IF(Skills!C27=1,60+Inputs!$B$26+Inputs!$B$30,IF(Skills!C27=2,90+Inputs!$B$27+Inputs!$B$30,IF(Skills!C27=3,120+Inputs!$B$28+Inputs!$B$30,MAX(0,(Inputs!$B$3-100)*3)+Inputs!$B$29+Inputs!$B$30)))</f>
        <v/>
      </c>
      <c r="E3353">
        <f>INDEX(FactorTable!$B$2:$Y$301, MATCH(ROUND(MIN(300,MAX(1,D3353)),0), FactorTable!$A$2:$A$301,0), Skills!L27+1)</f>
        <v/>
      </c>
      <c r="F3353">
        <f>IF(Skills!M27=TRUE,(Skills!K27/10)*(E3353/1000),Skills!K27/10)+Skills!N27</f>
        <v/>
      </c>
      <c r="G3353">
        <f>Calc!G27</f>
        <v/>
      </c>
      <c r="H3353">
        <f>Calc!H27</f>
        <v/>
      </c>
      <c r="I3353">
        <f>IF(Skills!T27&lt;&gt;"",1+(Skills!T27/10)*($Z$3/1000)/100,1)</f>
        <v/>
      </c>
      <c r="J3353" t="inlineStr"/>
      <c r="K3353" t="inlineStr"/>
      <c r="L3353" t="inlineStr"/>
      <c r="M3353" t="inlineStr"/>
      <c r="N3353" t="inlineStr"/>
      <c r="O3353">
        <f>(1-Summary!$B$11)*S3353+Summary!$B$11*U3353</f>
        <v/>
      </c>
      <c r="P3353">
        <f>IF(B3369=0,0,O3353/B3369)</f>
        <v/>
      </c>
      <c r="Q3353">
        <f>IFERROR(1/(IF(Inputs!$B$39="pvp",15,MAX(0.1,Skills!D27-IF(Skills!E27=TRUE,5.0,0)))*(1-IF(AND(ArtifactsInput!$M$27,Inputs!$B$4="Chapter Hunt"),CHOOSE(ArtifactsInput!$N$27+1,20,24,28,32,36,40),0)/100)),0)</f>
        <v/>
      </c>
      <c r="R3353" t="n">
        <v>0</v>
      </c>
      <c r="S3353" t="n">
        <v>0</v>
      </c>
      <c r="U3353" t="n">
        <v>0</v>
      </c>
    </row>
    <row r="3354">
      <c r="A3354">
        <f>Skills!A28</f>
        <v/>
      </c>
      <c r="B3354">
        <f>Skills!B28</f>
        <v/>
      </c>
      <c r="C3354">
        <f>TRUE</f>
        <v/>
      </c>
      <c r="D3354">
        <f>IF(Skills!C28=1,60+Inputs!$B$26+Inputs!$B$30,IF(Skills!C28=2,90+Inputs!$B$27+Inputs!$B$30,IF(Skills!C28=3,120+Inputs!$B$28+Inputs!$B$30,MAX(0,(Inputs!$B$3-100)*3)+Inputs!$B$29+Inputs!$B$30)))</f>
        <v/>
      </c>
      <c r="E3354">
        <f>INDEX(FactorTable!$B$2:$Y$301, MATCH(ROUND(MIN(300,MAX(1,D3354)),0), FactorTable!$A$2:$A$301,0), Skills!L28+1)</f>
        <v/>
      </c>
      <c r="F3354">
        <f>IF(Skills!M28=TRUE,(Skills!K28/10)*(E3354/1000),Skills!K28/10)+Skills!N28</f>
        <v/>
      </c>
      <c r="G3354">
        <f>Calc!G28</f>
        <v/>
      </c>
      <c r="H3354">
        <f>Calc!H28</f>
        <v/>
      </c>
      <c r="I3354">
        <f>IF(Skills!T28&lt;&gt;"",1+(Skills!T28/10)*($Z$3/1000)/100,1)</f>
        <v/>
      </c>
      <c r="J3354" t="inlineStr"/>
      <c r="K3354" t="inlineStr"/>
      <c r="L3354" t="inlineStr"/>
      <c r="M3354" t="inlineStr"/>
      <c r="N3354" t="inlineStr"/>
      <c r="O3354">
        <f>(1-Summary!$B$11)*S3354+Summary!$B$11*U3354</f>
        <v/>
      </c>
      <c r="P3354">
        <f>IF(B3369=0,0,O3354/B3369)</f>
        <v/>
      </c>
      <c r="Q3354">
        <f>IFERROR(1/(IF(Inputs!$B$39="pvp",15,MAX(0.1,Skills!D28-IF(Skills!E28=TRUE,5.0,0)))*(1-IF(AND(ArtifactsInput!$M$27,Inputs!$B$4="Chapter Hunt"),CHOOSE(ArtifactsInput!$N$27+1,20,24,28,32,36,40),0)/100)),0)</f>
        <v/>
      </c>
      <c r="R3354">
        <f>IF(AND(Inputs!$B$39&lt;&gt;"pvp",Inputs!$B$44&gt;0),IF(Inputs!$B$44&lt;=0,0,(INT(Inputs!$B$44/(IF(Inputs!$B$39="pvp",15,MAX(0.1,Skills!D28-IF(Skills!E28=TRUE,5.0,0)))*(1-IF(AND(ArtifactsInput!$M$27,Inputs!$B$4="Chapter Hunt"),CHOOSE(ArtifactsInput!$N$27+1,20,24,28,32,36,40),0)/100)))+1)),0)</f>
        <v/>
      </c>
      <c r="S3354" t="n">
        <v>0</v>
      </c>
      <c r="U3354" t="n">
        <v>0</v>
      </c>
    </row>
    <row r="3356">
      <c r="A3356" t="inlineStr">
        <is>
          <t>Average Buff Multiplier</t>
        </is>
      </c>
      <c r="B3356">
        <f>(1+(IF(C3329=TRUE,F3329*IF(AND(Inputs!$B$39&lt;&gt;"pvp",Inputs!$B$44&gt;0),(((R3329-1)*(Skills!S3*(1+((Inputs!$B$35+(ArtifactsInput!$M$7-ArtifactsInput!$M$7)*CHOOSE(ArtifactsInput!$N$7+1,6,7.2,8.4,9.6,10.8,12))+IF(Inputs!$B$3&gt;=117,F3352,0))/100))+MIN((Skills!S3*(1+((Inputs!$B$35+(ArtifactsInput!$M$7-ArtifactsInput!$M$7)*CHOOSE(ArtifactsInput!$N$7+1,6,7.2,8.4,9.6,10.8,12))+IF(Inputs!$B$3&gt;=117,F3352,0))/100)),MAX(0,Inputs!$B$44-((R3329-1)*Skills!D3))))/Inputs!$B$44),IF(Inputs!$B$39="pvp",MIN((Skills!S3*(1+((Inputs!$B$35+(ArtifactsInput!$M$7-ArtifactsInput!$M$7)*CHOOSE(ArtifactsInput!$N$7+1,6,7.2,8.4,9.6,10.8,12))+IF(Inputs!$B$3&gt;=117,F3352,0))/100)),15)/15,(Skills!S3*(1+((Inputs!$B$35+(ArtifactsInput!$M$7-ArtifactsInput!$M$7)*CHOOSE(ArtifactsInput!$N$7+1,6,7.2,8.4,9.6,10.8,12))+IF(Inputs!$B$3&gt;=117,F3352,0))/100))/Skills!D3)),0)+IF(C3330=TRUE,F3330*IF(AND(Inputs!$B$39&lt;&gt;"pvp",Inputs!$B$44&gt;0),(((R3330-1)*(Skills!S4*(1+((Inputs!$B$35+(ArtifactsInput!$M$7-ArtifactsInput!$M$7)*CHOOSE(ArtifactsInput!$N$7+1,6,7.2,8.4,9.6,10.8,12))+IF(Inputs!$B$3&gt;=117,F3352,0))/100))+MIN((Skills!S4*(1+((Inputs!$B$35+(ArtifactsInput!$M$7-ArtifactsInput!$M$7)*CHOOSE(ArtifactsInput!$N$7+1,6,7.2,8.4,9.6,10.8,12))+IF(Inputs!$B$3&gt;=117,F3352,0))/100)),MAX(0,Inputs!$B$44-((R3330-1)*Skills!D4))))/Inputs!$B$44),IF(Inputs!$B$39="pvp",MIN((Skills!S4*(1+((Inputs!$B$35+(ArtifactsInput!$M$7-ArtifactsInput!$M$7)*CHOOSE(ArtifactsInput!$N$7+1,6,7.2,8.4,9.6,10.8,12))+IF(Inputs!$B$3&gt;=117,F3352,0))/100)),15)/15,(Skills!S4*(1+((Inputs!$B$35+(ArtifactsInput!$M$7-ArtifactsInput!$M$7)*CHOOSE(ArtifactsInput!$N$7+1,6,7.2,8.4,9.6,10.8,12))+IF(Inputs!$B$3&gt;=117,F3352,0))/100))/Skills!D4)),0)+IF(C3331=TRUE,F3331*IF(AND(Inputs!$B$39&lt;&gt;"pvp",Inputs!$B$44&gt;0),(((R3331-1)*(Skills!S5*(1+((Inputs!$B$35+(ArtifactsInput!$M$7-ArtifactsInput!$M$7)*CHOOSE(ArtifactsInput!$N$7+1,6,7.2,8.4,9.6,10.8,12))+IF(Inputs!$B$3&gt;=117,F3352,0))/100))+MIN((Skills!S5*(1+((Inputs!$B$35+(ArtifactsInput!$M$7-ArtifactsInput!$M$7)*CHOOSE(ArtifactsInput!$N$7+1,6,7.2,8.4,9.6,10.8,12))+IF(Inputs!$B$3&gt;=117,F3352,0))/100)),MAX(0,Inputs!$B$44-((R3331-1)*Skills!D5))))/Inputs!$B$44),IF(Inputs!$B$39="pvp",MIN((Skills!S5*(1+((Inputs!$B$35+(ArtifactsInput!$M$7-ArtifactsInput!$M$7)*CHOOSE(ArtifactsInput!$N$7+1,6,7.2,8.4,9.6,10.8,12))+IF(Inputs!$B$3&gt;=117,F3352,0))/100)),15)/15,(Skills!S5*(1+((Inputs!$B$35+(ArtifactsInput!$M$7-ArtifactsInput!$M$7)*CHOOSE(ArtifactsInput!$N$7+1,6,7.2,8.4,9.6,10.8,12))+IF(Inputs!$B$3&gt;=117,F3352,0))/100))/Skills!D5)),0)+IF(C3337=TRUE,F3337*IF(AND(Inputs!$B$39&lt;&gt;"pvp",Inputs!$B$44&gt;0),(((R3337-1)*(Skills!S11*(1+((Inputs!$B$35+(ArtifactsInput!$M$7-ArtifactsInput!$M$7)*CHOOSE(ArtifactsInput!$N$7+1,6,7.2,8.4,9.6,10.8,12))+IF(Inputs!$B$3&gt;=117,F3352,0))/100))+MIN((Skills!S11*(1+((Inputs!$B$35+(ArtifactsInput!$M$7-ArtifactsInput!$M$7)*CHOOSE(ArtifactsInput!$N$7+1,6,7.2,8.4,9.6,10.8,12))+IF(Inputs!$B$3&gt;=117,F3352,0))/100)),MAX(0,Inputs!$B$44-((R3337-1)*Skills!D11))))/Inputs!$B$44),IF(Inputs!$B$39="pvp",MIN((Skills!S11*(1+((Inputs!$B$35+(ArtifactsInput!$M$7-ArtifactsInput!$M$7)*CHOOSE(ArtifactsInput!$N$7+1,6,7.2,8.4,9.6,10.8,12))+IF(Inputs!$B$3&gt;=117,F3352,0))/100)),15)/15,(Skills!S11*(1+((Inputs!$B$35+(ArtifactsInput!$M$7-ArtifactsInput!$M$7)*CHOOSE(ArtifactsInput!$N$7+1,6,7.2,8.4,9.6,10.8,12))+IF(Inputs!$B$3&gt;=117,F3352,0))/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3340=TRUE,(1+F3340*IF(AND(Inputs!$B$39&lt;&gt;"pvp",Inputs!$B$44&gt;0),(((R3340-1)*(Skills!S14*(1+((Inputs!$B$35+(ArtifactsInput!$M$7-ArtifactsInput!$M$7)*CHOOSE(ArtifactsInput!$N$7+1,6,7.2,8.4,9.6,10.8,12))+IF(Inputs!$B$3&gt;=117,F3352,0))/100))+MIN((Skills!S14*(1+((Inputs!$B$35+(ArtifactsInput!$M$7-ArtifactsInput!$M$7)*CHOOSE(ArtifactsInput!$N$7+1,6,7.2,8.4,9.6,10.8,12))+IF(Inputs!$B$3&gt;=117,F3352,0))/100)),MAX(0,Inputs!$B$44-((R3340-1)*Skills!D14))))/Inputs!$B$44),IF(Inputs!$B$39="pvp",MIN((Skills!S14*(1+((Inputs!$B$35+(ArtifactsInput!$M$7-ArtifactsInput!$M$7)*CHOOSE(ArtifactsInput!$N$7+1,6,7.2,8.4,9.6,10.8,12))+IF(Inputs!$B$3&gt;=117,F3352,0))/100)),15)/15,(Skills!S14*(1+((Inputs!$B$35+(ArtifactsInput!$M$7-ArtifactsInput!$M$7)*CHOOSE(ArtifactsInput!$N$7+1,6,7.2,8.4,9.6,10.8,12))+IF(Inputs!$B$3&gt;=117,F3352,0))/100))/Skills!D14))/100),1)*IF(C3345=TRUE,(1+F3345*IF(AND(Inputs!$B$39&lt;&gt;"pvp",Inputs!$B$44&gt;0),(((R3345-1)*(Skills!S19*(1+((Inputs!$B$35+(ArtifactsInput!$M$7-ArtifactsInput!$M$7)*CHOOSE(ArtifactsInput!$N$7+1,6,7.2,8.4,9.6,10.8,12))+IF(Inputs!$B$3&gt;=117,F3352,0))/100))+MIN((Skills!S19*(1+((Inputs!$B$35+(ArtifactsInput!$M$7-ArtifactsInput!$M$7)*CHOOSE(ArtifactsInput!$N$7+1,6,7.2,8.4,9.6,10.8,12))+IF(Inputs!$B$3&gt;=117,F3352,0))/100)),MAX(0,Inputs!$B$44-((R3345-1)*Skills!D19))))/Inputs!$B$44),IF(Inputs!$B$39="pvp",MIN((Skills!S19*(1+((Inputs!$B$35+(ArtifactsInput!$M$7-ArtifactsInput!$M$7)*CHOOSE(ArtifactsInput!$N$7+1,6,7.2,8.4,9.6,10.8,12))+IF(Inputs!$B$3&gt;=117,F3352,0))/100)),15)/15,(Skills!S19*(1+((Inputs!$B$35+(ArtifactsInput!$M$7-ArtifactsInput!$M$7)*CHOOSE(ArtifactsInput!$N$7+1,6,7.2,8.4,9.6,10.8,12))+IF(Inputs!$B$3&gt;=117,F3352,0))/100))/Skills!D19))/100),1)</f>
        <v/>
      </c>
    </row>
    <row r="3357">
      <c r="A3357" t="inlineStr">
        <is>
          <t>Monster Damage Taken Bonus % (Holy Fountain)</t>
        </is>
      </c>
      <c r="B3357">
        <f>IF(Inputs!$B$3&gt;=68,20*IF(Inputs!$B$39="pvp",MIN((15*(1+((Inputs!$B$35+(ArtifactsInput!$M$7-ArtifactsInput!$M$7)*CHOOSE(ArtifactsInput!$N$7+1,6,7.2,8.4,9.6,10.8,12))+IF(Inputs!$B$3&gt;=117,F3352,0))/100)),15)/15,(15*(1+((Inputs!$B$35+(ArtifactsInput!$M$7-ArtifactsInput!$M$7)*CHOOSE(ArtifactsInput!$N$7+1,6,7.2,8.4,9.6,10.8,12))+IF(Inputs!$B$3&gt;=117,F3352,0))/100))/Skills!D10),0)</f>
        <v/>
      </c>
    </row>
    <row r="3358">
      <c r="A3358" t="inlineStr">
        <is>
          <t>Normal Monster Damage Bonus % (Holy Symbol)</t>
        </is>
      </c>
      <c r="B3358">
        <f>IF(C3338=TRUE,F3338*IF(AND(Inputs!$B$39&lt;&gt;"pvp",Inputs!$B$44&gt;0),(((R3338-1)*(Skills!S12*(1+((Inputs!$B$35+(ArtifactsInput!$M$7-ArtifactsInput!$M$7)*CHOOSE(ArtifactsInput!$N$7+1,6,7.2,8.4,9.6,10.8,12))+IF(Inputs!$B$3&gt;=117,F3352,0))/100))+MIN((Skills!S12*(1+((Inputs!$B$35+(ArtifactsInput!$M$7-ArtifactsInput!$M$7)*CHOOSE(ArtifactsInput!$N$7+1,6,7.2,8.4,9.6,10.8,12))+IF(Inputs!$B$3&gt;=117,F3352,0))/100)),MAX(0,Inputs!$B$44-((R3338-1)*Skills!D12))))/Inputs!$B$44),IF(Inputs!$B$39="pvp",MIN((Skills!S12*(1+((Inputs!$B$35+(ArtifactsInput!$M$7-ArtifactsInput!$M$7)*CHOOSE(ArtifactsInput!$N$7+1,6,7.2,8.4,9.6,10.8,12))+IF(Inputs!$B$3&gt;=117,F3352,0))/100)),15)/15,(Skills!S12*(1+((Inputs!$B$35+(ArtifactsInput!$M$7-ArtifactsInput!$M$7)*CHOOSE(ArtifactsInput!$N$7+1,6,7.2,8.4,9.6,10.8,12))+IF(Inputs!$B$3&gt;=117,F3352,0))/100))/Skills!D12)),0)</f>
        <v/>
      </c>
    </row>
    <row r="3359">
      <c r="A3359" t="inlineStr">
        <is>
          <t>Damage % Bonus (Holy Symbol - Damage Boost)</t>
        </is>
      </c>
      <c r="B3359">
        <f>Skills!O12</f>
        <v/>
      </c>
    </row>
    <row r="3360">
      <c r="A3360" t="inlineStr">
        <is>
          <t>Crit Damage % Bonus (Blood of the Divine)</t>
        </is>
      </c>
      <c r="B3360">
        <f>4*IF(C3346=TRUE,F3346,0)</f>
        <v/>
      </c>
    </row>
    <row r="3361">
      <c r="A3361" t="inlineStr">
        <is>
          <t>Attack Speed Bonus %</t>
        </is>
      </c>
      <c r="B3361">
        <f>IF(C3343=TRUE,F3343+(F3347-Calc!F21),0)+IF(Inputs!$B$3&gt;=134,15,0)+((C3354=TRUE)*F3354*IF(AND(Inputs!$B$39&lt;&gt;"pvp",Inputs!$B$44&gt;0),(((R3354-1)*(Skills!S28*(1+((Inputs!$B$35+(ArtifactsInput!$M$7-ArtifactsInput!$M$7)*CHOOSE(ArtifactsInput!$N$7+1,6,7.2,8.4,9.6,10.8,12))+IF(Inputs!$B$3&gt;=117,F3352,0))/100))+MIN((Skills!S28*(1+((Inputs!$B$35+(ArtifactsInput!$M$7-ArtifactsInput!$M$7)*CHOOSE(ArtifactsInput!$N$7+1,6,7.2,8.4,9.6,10.8,12))+IF(Inputs!$B$3&gt;=117,F3352,0))/100)),MAX(0,Inputs!$B$44-((R3354-1)*Skills!D28))))/Inputs!$B$44),IF(Inputs!$B$39="pvp",MIN((Skills!S28*(1+((Inputs!$B$35+(ArtifactsInput!$M$7-ArtifactsInput!$M$7)*CHOOSE(ArtifactsInput!$N$7+1,6,7.2,8.4,9.6,10.8,12))+IF(Inputs!$B$3&gt;=117,F3352,0))/100)),15)/15,(Skills!S28*(1+((Inputs!$B$35+(ArtifactsInput!$M$7-ArtifactsInput!$M$7)*CHOOSE(ArtifactsInput!$N$7+1,6,7.2,8.4,9.6,10.8,12))+IF(Inputs!$B$3&gt;=117,F3352,0))/100))/Skills!D28)))</f>
        <v/>
      </c>
    </row>
    <row r="3362">
      <c r="A3362" t="inlineStr">
        <is>
          <t>Actions Per Second</t>
        </is>
      </c>
      <c r="B3362">
        <f>1+MIN(150,150*(1-(1-Inputs!$B$12/150)*(1-B3361/150)))/100</f>
        <v/>
      </c>
    </row>
    <row r="3363">
      <c r="A3363" t="inlineStr">
        <is>
          <t>Skill + Buff Cast Rate</t>
        </is>
      </c>
      <c r="B3363">
        <f>IF(AND(Inputs!$B$39&lt;&gt;"pvp",Inputs!$B$44&gt;0),SUMPRODUCT((Skills!E2:E28=TRUE)*(C3328:C3354=TRUE)*R3328:R3354)/Inputs!$B$44,SUMPRODUCT((Skills!E2:E28=TRUE)*(C3328:C3354=TRUE)*Q3328:Q3354))</f>
        <v/>
      </c>
    </row>
    <row r="3364">
      <c r="A3364" t="inlineStr">
        <is>
          <t>Big Bang Casts Per Second</t>
        </is>
      </c>
      <c r="B3364">
        <f>MAX(0,B3362-B3363)</f>
        <v/>
      </c>
    </row>
    <row r="3365">
      <c r="A3365" t="inlineStr">
        <is>
          <t>Defense % Bonus (Divine Protection)</t>
        </is>
      </c>
      <c r="B3365">
        <f>IF(C3339=TRUE,F3339*IF(AND(Inputs!$B$39&lt;&gt;"pvp",Inputs!$B$44&gt;0),(((R3339-1)*(Skills!S13*(1+((Inputs!$B$35+(ArtifactsInput!$M$7-ArtifactsInput!$M$7)*CHOOSE(ArtifactsInput!$N$7+1,6,7.2,8.4,9.6,10.8,12))+IF(Inputs!$B$3&gt;=117,F3352,0))/100))+MIN((Skills!S13*(1+((Inputs!$B$35+(ArtifactsInput!$M$7-ArtifactsInput!$M$7)*CHOOSE(ArtifactsInput!$N$7+1,6,7.2,8.4,9.6,10.8,12))+IF(Inputs!$B$3&gt;=117,F3352,0))/100)),MAX(0,Inputs!$B$44-((R3339-1)*Skills!D13))))/Inputs!$B$44),IF(Inputs!$B$39="pvp",MIN((Skills!S13*(1+((Inputs!$B$35+(ArtifactsInput!$M$7-ArtifactsInput!$M$7)*CHOOSE(ArtifactsInput!$N$7+1,6,7.2,8.4,9.6,10.8,12))+IF(Inputs!$B$3&gt;=117,F3352,0))/100)),15)/15,(Skills!S13*(1+((Inputs!$B$35+(ArtifactsInput!$M$7-ArtifactsInput!$M$7)*CHOOSE(ArtifactsInput!$N$7+1,6,7.2,8.4,9.6,10.8,12))+IF(Inputs!$B$3&gt;=117,F3352,0))/100))/Skills!D13)),0)</f>
        <v/>
      </c>
    </row>
    <row r="3366">
      <c r="A3366" t="inlineStr">
        <is>
          <t>Buff-Casting Startup Delay (s, fixed-duration only)</t>
        </is>
      </c>
      <c r="B3366">
        <f>IF(AND(Inputs!$B$39&lt;&gt;"pvp",Inputs!$B$44&gt;0),SUMPRODUCT((Skills!S2:S28&gt;0)*(Skills!E2:E28=TRUE)*(C3328:C3354=TRUE))/B3362,0)</f>
        <v/>
      </c>
    </row>
    <row r="3367">
      <c r="A3367" t="inlineStr">
        <is>
          <t>Boss-Only Total DPS (this block's swept value)</t>
        </is>
      </c>
      <c r="B3367">
        <f>SUM(S3328:S3354)</f>
        <v/>
      </c>
    </row>
    <row r="3368">
      <c r="A3368" t="inlineStr">
        <is>
          <t>Normal-Only Total DPS (this block's swept value)</t>
        </is>
      </c>
      <c r="B3368">
        <f>SUM(U3328:U3354)</f>
        <v/>
      </c>
    </row>
    <row r="3369">
      <c r="A3369" s="6" t="inlineStr">
        <is>
          <t>TOTAL DPS</t>
        </is>
      </c>
      <c r="B3369" s="6">
        <f>SUM(O3328:O3354)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Bishop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C5*Sensitivity!H27</f>
        <v/>
      </c>
      <c r="E5">
        <f>SUMIF($B$5:$B$10,B5,$D$5:$D$10)</f>
        <v/>
      </c>
      <c r="F5">
        <f>TRUE</f>
        <v/>
      </c>
      <c r="G5">
        <f>IF(NOT(F5),1,1+E5/Summary!$B$3)</f>
        <v/>
      </c>
      <c r="I5" s="8" t="inlineStr">
        <is>
          <t>Attack (flat)</t>
        </is>
      </c>
      <c r="J5" s="7" t="n">
        <v>0</v>
      </c>
      <c r="K5">
        <f>J5*Sensitivity!H27</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(flat)",Sensitivity!H27,IF(B6="Min Damage %",Sensitivity!H14,IF(B6="Max Damage %",Sensitivity!H15,IF(B6="Damage %",Sensitivity!H9,IF(B6="Critical Rate %",IF(Inputs!$B$10+Artifacts!$B$32&gt;=100,Sensitivity!H17,Sensitivity!H16),IF(B6="Critical Damage %",Sensitivity!H17,IF(B6="Boss Monster Damage %",Sensitivity!H11,IF(B6="Normal Monster Damage %",Sensitivity!H12,IF(B6="Defense Penetration %",Sensitivity!H19,IF(B6="Defense (flat)",Sensitivity!H7,IF(B6="Skill Level Bonus — 1st Job",Sensitivity!H22,IF(B6="Skill Level Bonus — 2nd Job",Sensitivity!H23,IF(B6="Skill Level Bonus — 3rd Job",Sensitivity!H24,IF(B6="Skill Level Bonus — 4th Job",Sensitivity!H25,IF(B6="Skill Level Bonus — All Skills",Sensitivity!H26,IF(B6="Final Damage %",Sensitivity!H13,IF(B6="Basic Attack Damage %",Sensitivity!H20,IF(B6="Skill Damage %",Sensitivity!H21,IF(B6="Attack Speed %",Sensitivity!H18,0)))))))))))))))))))))))</f>
        <v/>
      </c>
      <c r="E6">
        <f>SUMIF($B$5:$B$10,B6,$D$5:$D$10)</f>
        <v/>
      </c>
      <c r="F6">
        <f>AND(B6&lt;&gt;"(none)",COUNTIF($B$5:B5,B6)=0)</f>
        <v/>
      </c>
      <c r="G6">
        <f>IF(NOT(F6),1,1+E6/Summary!$B$3)</f>
        <v/>
      </c>
      <c r="I6" s="7" t="inlineStr">
        <is>
          <t>(none)</t>
        </is>
      </c>
      <c r="J6" s="7" t="n">
        <v>0</v>
      </c>
      <c r="K6">
        <f>IF(I6="(none)",0,J6*(IF(I6="Main Stat (flat)",Sensitivity!H5,IF(I6="Main Stat %",Sensitivity!H6,IF(I6="Attack (flat)",Sensitivity!H27,IF(I6="Min Damage %",Sensitivity!H14,IF(I6="Max Damage %",Sensitivity!H15,IF(I6="Damage %",Sensitivity!H9,IF(I6="Critical Rate %",IF(Inputs!$B$10+Artifacts!$B$32&gt;=100,Sensitivity!H17,Sensitivity!H16),IF(I6="Critical Damage %",Sensitivity!H17,IF(I6="Boss Monster Damage %",Sensitivity!H11,IF(I6="Normal Monster Damage %",Sensitivity!H12,IF(I6="Defense Penetration %",Sensitivity!H19,IF(I6="Defense (flat)",Sensitivity!H7,IF(I6="Skill Level Bonus — 1st Job",Sensitivity!H22,IF(I6="Skill Level Bonus — 2nd Job",Sensitivity!H23,IF(I6="Skill Level Bonus — 3rd Job",Sensitivity!H24,IF(I6="Skill Level Bonus — 4th Job",Sensitivity!H25,IF(I6="Skill Level Bonus — All Skills",Sensitivity!H26,IF(I6="Final Damage %",Sensitivity!H13,IF(I6="Basic Attack Damage %",Sensitivity!H20,IF(I6="Skill Damage %",Sensitivity!H21,IF(I6="Attack Speed %",Sensitivity!H18,0)))))))))))))))))))))))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(flat)",Sensitivity!H27,IF(B7="Min Damage %",Sensitivity!H14,IF(B7="Max Damage %",Sensitivity!H15,IF(B7="Damage %",Sensitivity!H9,IF(B7="Critical Rate %",IF(Inputs!$B$10+Artifacts!$B$32&gt;=100,Sensitivity!H17,Sensitivity!H16),IF(B7="Critical Damage %",Sensitivity!H17,IF(B7="Boss Monster Damage %",Sensitivity!H11,IF(B7="Normal Monster Damage %",Sensitivity!H12,IF(B7="Defense Penetration %",Sensitivity!H19,IF(B7="Defense (flat)",Sensitivity!H7,IF(B7="Skill Level Bonus — 1st Job",Sensitivity!H22,IF(B7="Skill Level Bonus — 2nd Job",Sensitivity!H23,IF(B7="Skill Level Bonus — 3rd Job",Sensitivity!H24,IF(B7="Skill Level Bonus — 4th Job",Sensitivity!H25,IF(B7="Skill Level Bonus — All Skills",Sensitivity!H26,IF(B7="Final Damage %",Sensitivity!H13,IF(B7="Basic Attack Damage %",Sensitivity!H20,IF(B7="Skill Damage %",Sensitivity!H21,IF(B7="Attack Speed %",Sensitivity!H18,0)))))))))))))))))))))))</f>
        <v/>
      </c>
      <c r="E7">
        <f>SUMIF($B$5:$B$10,B7,$D$5:$D$10)</f>
        <v/>
      </c>
      <c r="F7">
        <f>AND(B7&lt;&gt;"(none)",COUNTIF($B$5:B6,B7)=0)</f>
        <v/>
      </c>
      <c r="G7">
        <f>IF(NOT(F7),1,1+E7/Summary!$B$3)</f>
        <v/>
      </c>
      <c r="I7" s="7" t="inlineStr">
        <is>
          <t>(none)</t>
        </is>
      </c>
      <c r="J7" s="7" t="n">
        <v>0</v>
      </c>
      <c r="K7">
        <f>IF(I7="(none)",0,J7*(IF(I7="Main Stat (flat)",Sensitivity!H5,IF(I7="Main Stat %",Sensitivity!H6,IF(I7="Attack (flat)",Sensitivity!H27,IF(I7="Min Damage %",Sensitivity!H14,IF(I7="Max Damage %",Sensitivity!H15,IF(I7="Damage %",Sensitivity!H9,IF(I7="Critical Rate %",IF(Inputs!$B$10+Artifacts!$B$32&gt;=100,Sensitivity!H17,Sensitivity!H16),IF(I7="Critical Damage %",Sensitivity!H17,IF(I7="Boss Monster Damage %",Sensitivity!H11,IF(I7="Normal Monster Damage %",Sensitivity!H12,IF(I7="Defense Penetration %",Sensitivity!H19,IF(I7="Defense (flat)",Sensitivity!H7,IF(I7="Skill Level Bonus — 1st Job",Sensitivity!H22,IF(I7="Skill Level Bonus — 2nd Job",Sensitivity!H23,IF(I7="Skill Level Bonus — 3rd Job",Sensitivity!H24,IF(I7="Skill Level Bonus — 4th Job",Sensitivity!H25,IF(I7="Skill Level Bonus — All Skills",Sensitivity!H26,IF(I7="Final Damage %",Sensitivity!H13,IF(I7="Basic Attack Damage %",Sensitivity!H20,IF(I7="Skill Damage %",Sensitivity!H21,IF(I7="Attack Speed %",Sensitivity!H18,0)))))))))))))))))))))))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(flat)",Sensitivity!H27,IF(B8="Min Damage %",Sensitivity!H14,IF(B8="Max Damage %",Sensitivity!H15,IF(B8="Damage %",Sensitivity!H9,IF(B8="Critical Rate %",IF(Inputs!$B$10+Artifacts!$B$32&gt;=100,Sensitivity!H17,Sensitivity!H16),IF(B8="Critical Damage %",Sensitivity!H17,IF(B8="Boss Monster Damage %",Sensitivity!H11,IF(B8="Normal Monster Damage %",Sensitivity!H12,IF(B8="Defense Penetration %",Sensitivity!H19,IF(B8="Defense (flat)",Sensitivity!H7,IF(B8="Skill Level Bonus — 1st Job",Sensitivity!H22,IF(B8="Skill Level Bonus — 2nd Job",Sensitivity!H23,IF(B8="Skill Level Bonus — 3rd Job",Sensitivity!H24,IF(B8="Skill Level Bonus — 4th Job",Sensitivity!H25,IF(B8="Skill Level Bonus — All Skills",Sensitivity!H26,IF(B8="Final Damage %",Sensitivity!H13,IF(B8="Basic Attack Damage %",Sensitivity!H20,IF(B8="Skill Damage %",Sensitivity!H21,IF(B8="Attack Speed %",Sensitivity!H18,0)))))))))))))))))))))))</f>
        <v/>
      </c>
      <c r="E8">
        <f>SUMIF($B$5:$B$10,B8,$D$5:$D$10)</f>
        <v/>
      </c>
      <c r="F8">
        <f>AND(B8&lt;&gt;"(none)",COUNTIF($B$5:B7,B8)=0)</f>
        <v/>
      </c>
      <c r="G8">
        <f>IF(NOT(F8),1,1+E8/Summary!$B$3)</f>
        <v/>
      </c>
      <c r="I8" s="7" t="inlineStr">
        <is>
          <t>(none)</t>
        </is>
      </c>
      <c r="J8" s="7" t="n">
        <v>0</v>
      </c>
      <c r="K8">
        <f>IF(I8="(none)",0,J8*(IF(I8="Main Stat (flat)",Sensitivity!H5,IF(I8="Main Stat %",Sensitivity!H6,IF(I8="Attack (flat)",Sensitivity!H27,IF(I8="Min Damage %",Sensitivity!H14,IF(I8="Max Damage %",Sensitivity!H15,IF(I8="Damage %",Sensitivity!H9,IF(I8="Critical Rate %",IF(Inputs!$B$10+Artifacts!$B$32&gt;=100,Sensitivity!H17,Sensitivity!H16),IF(I8="Critical Damage %",Sensitivity!H17,IF(I8="Boss Monster Damage %",Sensitivity!H11,IF(I8="Normal Monster Damage %",Sensitivity!H12,IF(I8="Defense Penetration %",Sensitivity!H19,IF(I8="Defense (flat)",Sensitivity!H7,IF(I8="Skill Level Bonus — 1st Job",Sensitivity!H22,IF(I8="Skill Level Bonus — 2nd Job",Sensitivity!H23,IF(I8="Skill Level Bonus — 3rd Job",Sensitivity!H24,IF(I8="Skill Level Bonus — 4th Job",Sensitivity!H25,IF(I8="Skill Level Bonus — All Skills",Sensitivity!H26,IF(I8="Final Damage %",Sensitivity!H13,IF(I8="Basic Attack Damage %",Sensitivity!H20,IF(I8="Skill Damage %",Sensitivity!H21,IF(I8="Attack Speed %",Sensitivity!H18,0)))))))))))))))))))))))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(flat)",Sensitivity!H27,IF(B9="Min Damage %",Sensitivity!H14,IF(B9="Max Damage %",Sensitivity!H15,IF(B9="Damage %",Sensitivity!H9,IF(B9="Critical Rate %",IF(Inputs!$B$10+Artifacts!$B$32&gt;=100,Sensitivity!H17,Sensitivity!H16),IF(B9="Critical Damage %",Sensitivity!H17,IF(B9="Boss Monster Damage %",Sensitivity!H11,IF(B9="Normal Monster Damage %",Sensitivity!H12,IF(B9="Defense Penetration %",Sensitivity!H19,IF(B9="Defense (flat)",Sensitivity!H7,IF(B9="Skill Level Bonus — 1st Job",Sensitivity!H22,IF(B9="Skill Level Bonus — 2nd Job",Sensitivity!H23,IF(B9="Skill Level Bonus — 3rd Job",Sensitivity!H24,IF(B9="Skill Level Bonus — 4th Job",Sensitivity!H25,IF(B9="Skill Level Bonus — All Skills",Sensitivity!H26,IF(B9="Final Damage %",Sensitivity!H13,IF(B9="Basic Attack Damage %",Sensitivity!H20,IF(B9="Skill Damage %",Sensitivity!H21,IF(B9="Attack Speed %",Sensitivity!H18,0)))))))))))))))))))))))</f>
        <v/>
      </c>
      <c r="E9">
        <f>SUMIF($B$5:$B$10,B9,$D$5:$D$10)</f>
        <v/>
      </c>
      <c r="F9">
        <f>AND(B9&lt;&gt;"(none)",COUNTIF($B$5:B8,B9)=0)</f>
        <v/>
      </c>
      <c r="G9">
        <f>IF(NOT(F9),1,1+E9/Summary!$B$3)</f>
        <v/>
      </c>
      <c r="I9" s="7" t="inlineStr">
        <is>
          <t>(none)</t>
        </is>
      </c>
      <c r="J9" s="7" t="n">
        <v>0</v>
      </c>
      <c r="K9">
        <f>IF(I9="(none)",0,J9*(IF(I9="Main Stat (flat)",Sensitivity!H5,IF(I9="Main Stat %",Sensitivity!H6,IF(I9="Attack (flat)",Sensitivity!H27,IF(I9="Min Damage %",Sensitivity!H14,IF(I9="Max Damage %",Sensitivity!H15,IF(I9="Damage %",Sensitivity!H9,IF(I9="Critical Rate %",IF(Inputs!$B$10+Artifacts!$B$32&gt;=100,Sensitivity!H17,Sensitivity!H16),IF(I9="Critical Damage %",Sensitivity!H17,IF(I9="Boss Monster Damage %",Sensitivity!H11,IF(I9="Normal Monster Damage %",Sensitivity!H12,IF(I9="Defense Penetration %",Sensitivity!H19,IF(I9="Defense (flat)",Sensitivity!H7,IF(I9="Skill Level Bonus — 1st Job",Sensitivity!H22,IF(I9="Skill Level Bonus — 2nd Job",Sensitivity!H23,IF(I9="Skill Level Bonus — 3rd Job",Sensitivity!H24,IF(I9="Skill Level Bonus — 4th Job",Sensitivity!H25,IF(I9="Skill Level Bonus — All Skills",Sensitivity!H26,IF(I9="Final Damage %",Sensitivity!H13,IF(I9="Basic Attack Damage %",Sensitivity!H20,IF(I9="Skill Damage %",Sensitivity!H21,IF(I9="Attack Speed %",Sensitivity!H18,0)))))))))))))))))))))))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(flat)",Sensitivity!H27,IF(B10="Min Damage %",Sensitivity!H14,IF(B10="Max Damage %",Sensitivity!H15,IF(B10="Damage %",Sensitivity!H9,IF(B10="Critical Rate %",IF(Inputs!$B$10+Artifacts!$B$32&gt;=100,Sensitivity!H17,Sensitivity!H16),IF(B10="Critical Damage %",Sensitivity!H17,IF(B10="Boss Monster Damage %",Sensitivity!H11,IF(B10="Normal Monster Damage %",Sensitivity!H12,IF(B10="Defense Penetration %",Sensitivity!H19,IF(B10="Defense (flat)",Sensitivity!H7,IF(B10="Skill Level Bonus — 1st Job",Sensitivity!H22,IF(B10="Skill Level Bonus — 2nd Job",Sensitivity!H23,IF(B10="Skill Level Bonus — 3rd Job",Sensitivity!H24,IF(B10="Skill Level Bonus — 4th Job",Sensitivity!H25,IF(B10="Skill Level Bonus — All Skills",Sensitivity!H26,IF(B10="Final Damage %",Sensitivity!H13,IF(B10="Basic Attack Damage %",Sensitivity!H20,IF(B10="Skill Damage %",Sensitivity!H21,IF(B10="Attack Speed %",Sensitivity!H18,0)))))))))))))))))))))))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(flat)",Sensitivity!H27,IF(I10="Min Damage %",Sensitivity!H14,IF(I10="Max Damage %",Sensitivity!H15,IF(I10="Damage %",Sensitivity!H9,IF(I10="Critical Rate %",IF(Inputs!$B$10+Artifacts!$B$32&gt;=100,Sensitivity!H17,Sensitivity!H16),IF(I10="Critical Damage %",Sensitivity!H17,IF(I10="Boss Monster Damage %",Sensitivity!H11,IF(I10="Normal Monster Damage %",Sensitivity!H12,IF(I10="Defense Penetration %",Sensitivity!H19,IF(I10="Defense (flat)",Sensitivity!H7,IF(I10="Skill Level Bonus — 1st Job",Sensitivity!H22,IF(I10="Skill Level Bonus — 2nd Job",Sensitivity!H23,IF(I10="Skill Level Bonus — 3rd Job",Sensitivity!H24,IF(I10="Skill Level Bonus — 4th Job",Sensitivity!H25,IF(I10="Skill Level Bonus — All Skills",Sensitivity!H26,IF(I10="Final Damage %",Sensitivity!H13,IF(I10="Basic Attack Damage %",Sensitivity!H20,IF(I10="Skill Damage %",Sensitivity!H21,IF(I10="Attack Speed %",Sensitivity!H18,0)))))))))))))))))))))))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IF(Inputs!$B$10+Artifacts!$B$32&gt;=100,Sensitivity!H17,Sensitivity!H16)</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IF(Inputs!$B$10+Artifacts!$B$32&gt;=100,Sensitivity!H17,Sensitivity!H16)</f>
        <v/>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IF(Inputs!$B$10+Artifacts!$B$32&gt;=100,Sensitivity!H17,Sensitivity!H16)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IF(Inputs!$B$10+Artifacts!$B$32&gt;=100,Sensitivity!H17,Sensitivity!H16)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IF(Inputs!$B$10+Artifacts!$B$32&gt;=100,Sensitivity!H17,Sensitivity!H16)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IF(Inputs!$B$10+Artifacts!$B$32&gt;=100,Sensitivity!H17,Sensitivity!H16)</f>
        <v/>
      </c>
    </row>
    <row r="67">
      <c r="A67" t="inlineStr">
        <is>
          <t>ALL</t>
        </is>
      </c>
      <c r="B67" t="inlineStr">
        <is>
          <t>rare</t>
        </is>
      </c>
      <c r="C67" t="n">
        <v>2</v>
      </c>
      <c r="D67" t="inlineStr">
        <is>
          <t>Critical Rate %</t>
        </is>
      </c>
      <c r="E67" t="n">
        <v>4.5</v>
      </c>
      <c r="F67" t="n">
        <v>0.6</v>
      </c>
      <c r="G67" t="b">
        <v>1</v>
      </c>
      <c r="H67">
        <f>IF(Inputs!$B$10+Artifacts!$B$32&gt;=100,Sensitivity!H17,Sensitivity!H16)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IF(Inputs!$B$10+Artifacts!$B$32&gt;=100,Sensitivity!H17,Sensitivity!H16)</f>
        <v/>
      </c>
    </row>
    <row r="99">
      <c r="A99" t="inlineStr">
        <is>
          <t>ALL</t>
        </is>
      </c>
      <c r="B99" t="inlineStr">
        <is>
          <t>rare</t>
        </is>
      </c>
      <c r="C99" t="n">
        <v>3</v>
      </c>
      <c r="D99" t="inlineStr">
        <is>
          <t>Critical Rate %</t>
        </is>
      </c>
      <c r="E99" t="n">
        <v>4.5</v>
      </c>
      <c r="F99" t="n">
        <v>0.2</v>
      </c>
      <c r="G99" t="b">
        <v>1</v>
      </c>
      <c r="H99">
        <f>IF(Inputs!$B$10+Artifacts!$B$32&gt;=100,Sensitivity!H17,Sensitivity!H16)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IF(Inputs!$B$10+Artifacts!$B$32&gt;=100,Sensitivity!H17,Sensitivity!H16)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IF(Inputs!$B$10+Artifacts!$B$32&gt;=100,Sensitivity!H17,Sensitivity!H16)</f>
        <v/>
      </c>
    </row>
    <row r="147">
      <c r="A147" t="inlineStr">
        <is>
          <t>ALL</t>
        </is>
      </c>
      <c r="B147" t="inlineStr">
        <is>
          <t>epic</t>
        </is>
      </c>
      <c r="C147" t="n">
        <v>2</v>
      </c>
      <c r="D147" t="inlineStr">
        <is>
          <t>Critical Rate %</t>
        </is>
      </c>
      <c r="E147" t="n">
        <v>6</v>
      </c>
      <c r="F147" t="n">
        <v>0.6</v>
      </c>
      <c r="G147" t="b">
        <v>1</v>
      </c>
      <c r="H147">
        <f>IF(Inputs!$B$10+Artifacts!$B$32&gt;=100,Sensitivity!H17,Sensitivity!H16)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IF(Inputs!$B$10+Artifacts!$B$32&gt;=100,Sensitivity!H17,Sensitivity!H16)</f>
        <v/>
      </c>
    </row>
    <row r="179">
      <c r="A179" t="inlineStr">
        <is>
          <t>ALL</t>
        </is>
      </c>
      <c r="B179" t="inlineStr">
        <is>
          <t>epic</t>
        </is>
      </c>
      <c r="C179" t="n">
        <v>3</v>
      </c>
      <c r="D179" t="inlineStr">
        <is>
          <t>Critical Rate %</t>
        </is>
      </c>
      <c r="E179" t="n">
        <v>6</v>
      </c>
      <c r="F179" t="n">
        <v>0.2</v>
      </c>
      <c r="G179" t="b">
        <v>1</v>
      </c>
      <c r="H179">
        <f>IF(Inputs!$B$10+Artifacts!$B$32&gt;=100,Sensitivity!H17,Sensitivity!H16)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IF(Inputs!$B$10+Artifacts!$B$32&gt;=100,Sensitivity!H17,Sensitivity!H16)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IF(Inputs!$B$10+Artifacts!$B$32&gt;=100,Sensitivity!H17,Sensitivity!H16)</f>
        <v/>
      </c>
    </row>
    <row r="227">
      <c r="A227" t="inlineStr">
        <is>
          <t>ALL</t>
        </is>
      </c>
      <c r="B227" t="inlineStr">
        <is>
          <t>unique</t>
        </is>
      </c>
      <c r="C227" t="n">
        <v>2</v>
      </c>
      <c r="D227" t="inlineStr">
        <is>
          <t>Critical Rate %</t>
        </is>
      </c>
      <c r="E227" t="n">
        <v>9</v>
      </c>
      <c r="F227" t="n">
        <v>0.6</v>
      </c>
      <c r="G227" t="b">
        <v>1</v>
      </c>
      <c r="H227">
        <f>IF(Inputs!$B$10+Artifacts!$B$32&gt;=100,Sensitivity!H17,Sensitivity!H16)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IF(Inputs!$B$10+Artifacts!$B$32&gt;=100,Sensitivity!H17,Sensitivity!H16)</f>
        <v/>
      </c>
    </row>
    <row r="259">
      <c r="A259" t="inlineStr">
        <is>
          <t>ALL</t>
        </is>
      </c>
      <c r="B259" t="inlineStr">
        <is>
          <t>unique</t>
        </is>
      </c>
      <c r="C259" t="n">
        <v>3</v>
      </c>
      <c r="D259" t="inlineStr">
        <is>
          <t>Critical Rate %</t>
        </is>
      </c>
      <c r="E259" t="n">
        <v>9</v>
      </c>
      <c r="F259" t="n">
        <v>0.2</v>
      </c>
      <c r="G259" t="b">
        <v>1</v>
      </c>
      <c r="H259">
        <f>IF(Inputs!$B$10+Artifacts!$B$32&gt;=100,Sensitivity!H17,Sensitivity!H16)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IF(Inputs!$B$10+Artifacts!$B$32&gt;=100,Sensitivity!H17,Sensitivity!H16)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IF(Inputs!$B$10+Artifacts!$B$32&gt;=100,Sensitivity!H17,Sensitivity!H16)</f>
        <v/>
      </c>
    </row>
    <row r="307">
      <c r="A307" t="inlineStr">
        <is>
          <t>ALL</t>
        </is>
      </c>
      <c r="B307" t="inlineStr">
        <is>
          <t>legendary</t>
        </is>
      </c>
      <c r="C307" t="n">
        <v>2</v>
      </c>
      <c r="D307" t="inlineStr">
        <is>
          <t>Critical Rate %</t>
        </is>
      </c>
      <c r="E307" t="n">
        <v>12</v>
      </c>
      <c r="F307" t="n">
        <v>0.6</v>
      </c>
      <c r="G307" t="b">
        <v>1</v>
      </c>
      <c r="H307">
        <f>IF(Inputs!$B$10+Artifacts!$B$32&gt;=100,Sensitivity!H17,Sensitivity!H16)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IF(Inputs!$B$10+Artifacts!$B$32&gt;=100,Sensitivity!H17,Sensitivity!H16)</f>
        <v/>
      </c>
    </row>
    <row r="339">
      <c r="A339" t="inlineStr">
        <is>
          <t>ALL</t>
        </is>
      </c>
      <c r="B339" t="inlineStr">
        <is>
          <t>legendary</t>
        </is>
      </c>
      <c r="C339" t="n">
        <v>3</v>
      </c>
      <c r="D339" t="inlineStr">
        <is>
          <t>Critical Rate %</t>
        </is>
      </c>
      <c r="E339" t="n">
        <v>12</v>
      </c>
      <c r="F339" t="n">
        <v>0.2</v>
      </c>
      <c r="G339" t="b">
        <v>1</v>
      </c>
      <c r="H339">
        <f>IF(Inputs!$B$10+Artifacts!$B$32&gt;=100,Sensitivity!H17,Sensitivity!H16)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IF(Inputs!$B$10+Artifacts!$B$32&gt;=100,Sensitivity!H17,Sensitivity!H16)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IF(Inputs!$B$10+Artifacts!$B$32&gt;=100,Sensitivity!H17,Sensitivity!H16)</f>
        <v/>
      </c>
    </row>
    <row r="387">
      <c r="A387" t="inlineStr">
        <is>
          <t>ALL</t>
        </is>
      </c>
      <c r="B387" t="inlineStr">
        <is>
          <t>mystic</t>
        </is>
      </c>
      <c r="C387" t="n">
        <v>2</v>
      </c>
      <c r="D387" t="inlineStr">
        <is>
          <t>Critical Rate %</t>
        </is>
      </c>
      <c r="E387" t="n">
        <v>15</v>
      </c>
      <c r="F387" t="n">
        <v>0.6</v>
      </c>
      <c r="G387" t="b">
        <v>1</v>
      </c>
      <c r="H387">
        <f>IF(Inputs!$B$10+Artifacts!$B$32&gt;=100,Sensitivity!H17,Sensitivity!H16)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IF(Inputs!$B$10+Artifacts!$B$32&gt;=100,Sensitivity!H17,Sensitivity!H16)</f>
        <v/>
      </c>
    </row>
    <row r="419">
      <c r="A419" t="inlineStr">
        <is>
          <t>ALL</t>
        </is>
      </c>
      <c r="B419" t="inlineStr">
        <is>
          <t>mystic</t>
        </is>
      </c>
      <c r="C419" t="n">
        <v>3</v>
      </c>
      <c r="D419" t="inlineStr">
        <is>
          <t>Critical Rate %</t>
        </is>
      </c>
      <c r="E419" t="n">
        <v>15</v>
      </c>
      <c r="F419" t="n">
        <v>0.2</v>
      </c>
      <c r="G419" t="b">
        <v>1</v>
      </c>
      <c r="H419">
        <f>IF(Inputs!$B$10+Artifacts!$B$32&gt;=100,Sensitivity!H17,Sensitivity!H16)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Bishop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(Prime)"},0),2,3,4.5,7,10,12))*Sensitivity!$H$16,IF($D$5="Min Damage Multiplier %",(CHOOSE(MATCH($C$5,{"Rare","Epic","Unique","Legendary","Mystic","Mystic (Prime)"},0),2,3,4.5,7,10,12))*Sensitivity!$H$14,IF($D$5="Max Damage Multiplier %",(CHOOSE(MATCH($C$5,{"Rare","Epic","Unique","Legendary","Mystic","Mystic (Prime)"},0),2,3,4.5,7,10,12))*Sensitivity!$H$15,IF($D$5="Boss Monster Damage %",(CHOOSE(MATCH($C$5,{"Rare","Epic","Unique","Legendary","Mystic","Mystic (Prime)"},0),4,6,9,14,20,24))*Sensitivity!$H$11,IF($D$5="Normal Monster Damage %",(CHOOSE(MATCH($C$5,{"Rare","Epic","Unique","Legendary","Mystic","Mystic (Prime)"},0),4,6,9,14,20,24))*Sensitivity!$H$12,IF($D$5="Status Effect Damage %",0,IF($D$5="Damage %",(CHOOSE(MATCH($C$5,{"Rare","Epic","Unique","Legendary","Mystic","Mystic (Prime)"},0),4,6,9,14,20,24))*Sensitivity!$H$9,IF($D$5="Defense Penetration %",(CHOOSE(MATCH($C$5,{"Rare","Epic","Unique","Legendary","Mystic","Mystic (Prime)"},0),2,3,4.5,7,10,12))*Sensitivity!$H$19,0)))))))))))),0)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(Prime)"},0),2,3,4.5,7,10,12))*Sensitivity!$H$16,IF($G$5="Min Damage Multiplier %",(CHOOSE(MATCH($F$5,{"Rare","Epic","Unique","Legendary","Mystic","Mystic (Prime)"},0),2,3,4.5,7,10,12))*Sensitivity!$H$14,IF($G$5="Max Damage Multiplier %",(CHOOSE(MATCH($F$5,{"Rare","Epic","Unique","Legendary","Mystic","Mystic (Prime)"},0),2,3,4.5,7,10,12))*Sensitivity!$H$15,IF($G$5="Boss Monster Damage %",(CHOOSE(MATCH($F$5,{"Rare","Epic","Unique","Legendary","Mystic","Mystic (Prime)"},0),4,6,9,14,20,24))*Sensitivity!$H$11,IF($G$5="Normal Monster Damage %",(CHOOSE(MATCH($F$5,{"Rare","Epic","Unique","Legendary","Mystic","Mystic (Prime)"},0),4,6,9,14,20,24))*Sensitivity!$H$12,IF($G$5="Status Effect Damage %",0,IF($G$5="Damage %",(CHOOSE(MATCH($F$5,{"Rare","Epic","Unique","Legendary","Mystic","Mystic (Prime)"},0),4,6,9,14,20,24))*Sensitivity!$H$9,IF($G$5="Defense Penetration %",(CHOOSE(MATCH($F$5,{"Rare","Epic","Unique","Legendary","Mystic","Mystic (Prime)"},0),2,3,4.5,7,10,12))*Sensitivity!$H$19,0)))))))))))),0)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(Prime)"},0),2,3,4.5,7,10,12))*Sensitivity!$H$16,IF($D$6="Min Damage Multiplier %",(CHOOSE(MATCH($C$6,{"Rare","Epic","Unique","Legendary","Mystic","Mystic (Prime)"},0),2,3,4.5,7,10,12))*Sensitivity!$H$14,IF($D$6="Max Damage Multiplier %",(CHOOSE(MATCH($C$6,{"Rare","Epic","Unique","Legendary","Mystic","Mystic (Prime)"},0),2,3,4.5,7,10,12))*Sensitivity!$H$15,IF($D$6="Boss Monster Damage %",(CHOOSE(MATCH($C$6,{"Rare","Epic","Unique","Legendary","Mystic","Mystic (Prime)"},0),4,6,9,14,20,24))*Sensitivity!$H$11,IF($D$6="Normal Monster Damage %",(CHOOSE(MATCH($C$6,{"Rare","Epic","Unique","Legendary","Mystic","Mystic (Prime)"},0),4,6,9,14,20,24))*Sensitivity!$H$12,IF($D$6="Status Effect Damage %",0,IF($D$6="Damage %",(CHOOSE(MATCH($C$6,{"Rare","Epic","Unique","Legendary","Mystic","Mystic (Prime)"},0),4,6,9,14,20,24))*Sensitivity!$H$9,IF($D$6="Defense Penetration %",(CHOOSE(MATCH($C$6,{"Rare","Epic","Unique","Legendary","Mystic","Mystic (Prime)"},0),2,3,4.5,7,10,12))*Sensitivity!$H$19,0)))))))))))),0)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(Prime)"},0),2,3,4.5,7,10,12))*Sensitivity!$H$16,IF($G$6="Min Damage Multiplier %",(CHOOSE(MATCH($F$6,{"Rare","Epic","Unique","Legendary","Mystic","Mystic (Prime)"},0),2,3,4.5,7,10,12))*Sensitivity!$H$14,IF($G$6="Max Damage Multiplier %",(CHOOSE(MATCH($F$6,{"Rare","Epic","Unique","Legendary","Mystic","Mystic (Prime)"},0),2,3,4.5,7,10,12))*Sensitivity!$H$15,IF($G$6="Boss Monster Damage %",(CHOOSE(MATCH($F$6,{"Rare","Epic","Unique","Legendary","Mystic","Mystic (Prime)"},0),4,6,9,14,20,24))*Sensitivity!$H$11,IF($G$6="Normal Monster Damage %",(CHOOSE(MATCH($F$6,{"Rare","Epic","Unique","Legendary","Mystic","Mystic (Prime)"},0),4,6,9,14,20,24))*Sensitivity!$H$12,IF($G$6="Status Effect Damage %",0,IF($G$6="Damage %",(CHOOSE(MATCH($F$6,{"Rare","Epic","Unique","Legendary","Mystic","Mystic (Prime)"},0),4,6,9,14,20,24))*Sensitivity!$H$9,IF($G$6="Defense Penetration %",(CHOOSE(MATCH($F$6,{"Rare","Epic","Unique","Legendary","Mystic","Mystic (Prime)"},0),2,3,4.5,7,10,12))*Sensitivity!$H$19,0)))))))))))),0)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(Prime)"},0),2,3,4.5,7,10,12))*Sensitivity!$H$16,IF($D$7="Min Damage Multiplier %",(CHOOSE(MATCH($C$7,{"Rare","Epic","Unique","Legendary","Mystic","Mystic (Prime)"},0),2,3,4.5,7,10,12))*Sensitivity!$H$14,IF($D$7="Max Damage Multiplier %",(CHOOSE(MATCH($C$7,{"Rare","Epic","Unique","Legendary","Mystic","Mystic (Prime)"},0),2,3,4.5,7,10,12))*Sensitivity!$H$15,IF($D$7="Boss Monster Damage %",(CHOOSE(MATCH($C$7,{"Rare","Epic","Unique","Legendary","Mystic","Mystic (Prime)"},0),4,6,9,14,20,24))*Sensitivity!$H$11,IF($D$7="Normal Monster Damage %",(CHOOSE(MATCH($C$7,{"Rare","Epic","Unique","Legendary","Mystic","Mystic (Prime)"},0),4,6,9,14,20,24))*Sensitivity!$H$12,IF($D$7="Status Effect Damage %",0,IF($D$7="Damage %",(CHOOSE(MATCH($C$7,{"Rare","Epic","Unique","Legendary","Mystic","Mystic (Prime)"},0),4,6,9,14,20,24))*Sensitivity!$H$9,IF($D$7="Defense Penetration %",(CHOOSE(MATCH($C$7,{"Rare","Epic","Unique","Legendary","Mystic","Mystic (Prime)"},0),2,3,4.5,7,10,12))*Sensitivity!$H$19,0)))))))))))),0)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(Prime)"},0),2,3,4.5,7,10,12))*Sensitivity!$H$16,IF($G$7="Min Damage Multiplier %",(CHOOSE(MATCH($F$7,{"Rare","Epic","Unique","Legendary","Mystic","Mystic (Prime)"},0),2,3,4.5,7,10,12))*Sensitivity!$H$14,IF($G$7="Max Damage Multiplier %",(CHOOSE(MATCH($F$7,{"Rare","Epic","Unique","Legendary","Mystic","Mystic (Prime)"},0),2,3,4.5,7,10,12))*Sensitivity!$H$15,IF($G$7="Boss Monster Damage %",(CHOOSE(MATCH($F$7,{"Rare","Epic","Unique","Legendary","Mystic","Mystic (Prime)"},0),4,6,9,14,20,24))*Sensitivity!$H$11,IF($G$7="Normal Monster Damage %",(CHOOSE(MATCH($F$7,{"Rare","Epic","Unique","Legendary","Mystic","Mystic (Prime)"},0),4,6,9,14,20,24))*Sensitivity!$H$12,IF($G$7="Status Effect Damage %",0,IF($G$7="Damage %",(CHOOSE(MATCH($F$7,{"Rare","Epic","Unique","Legendary","Mystic","Mystic (Prime)"},0),4,6,9,14,20,24))*Sensitivity!$H$9,IF($G$7="Defense Penetration %",(CHOOSE(MATCH($F$7,{"Rare","Epic","Unique","Legendary","Mystic","Mystic (Prime)"},0),2,3,4.5,7,10,12))*Sensitivity!$H$19,0)))))))))))),0)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(Prime)"},0),2,3,4.5,7,10,12))*Sensitivity!$H$16,IF($D$8="Min Damage Multiplier %",(CHOOSE(MATCH($C$8,{"Rare","Epic","Unique","Legendary","Mystic","Mystic (Prime)"},0),2,3,4.5,7,10,12))*Sensitivity!$H$14,IF($D$8="Max Damage Multiplier %",(CHOOSE(MATCH($C$8,{"Rare","Epic","Unique","Legendary","Mystic","Mystic (Prime)"},0),2,3,4.5,7,10,12))*Sensitivity!$H$15,IF($D$8="Boss Monster Damage %",(CHOOSE(MATCH($C$8,{"Rare","Epic","Unique","Legendary","Mystic","Mystic (Prime)"},0),4,6,9,14,20,24))*Sensitivity!$H$11,IF($D$8="Normal Monster Damage %",(CHOOSE(MATCH($C$8,{"Rare","Epic","Unique","Legendary","Mystic","Mystic (Prime)"},0),4,6,9,14,20,24))*Sensitivity!$H$12,IF($D$8="Status Effect Damage %",0,IF($D$8="Damage %",(CHOOSE(MATCH($C$8,{"Rare","Epic","Unique","Legendary","Mystic","Mystic (Prime)"},0),4,6,9,14,20,24))*Sensitivity!$H$9,IF($D$8="Defense Penetration %",(CHOOSE(MATCH($C$8,{"Rare","Epic","Unique","Legendary","Mystic","Mystic (Prime)"},0),2,3,4.5,7,10,12))*Sensitivity!$H$19,0)))))))))))),0)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(Prime)"},0),2,3,4.5,7,10,12))*Sensitivity!$H$16,IF($G$8="Min Damage Multiplier %",(CHOOSE(MATCH($F$8,{"Rare","Epic","Unique","Legendary","Mystic","Mystic (Prime)"},0),2,3,4.5,7,10,12))*Sensitivity!$H$14,IF($G$8="Max Damage Multiplier %",(CHOOSE(MATCH($F$8,{"Rare","Epic","Unique","Legendary","Mystic","Mystic (Prime)"},0),2,3,4.5,7,10,12))*Sensitivity!$H$15,IF($G$8="Boss Monster Damage %",(CHOOSE(MATCH($F$8,{"Rare","Epic","Unique","Legendary","Mystic","Mystic (Prime)"},0),4,6,9,14,20,24))*Sensitivity!$H$11,IF($G$8="Normal Monster Damage %",(CHOOSE(MATCH($F$8,{"Rare","Epic","Unique","Legendary","Mystic","Mystic (Prime)"},0),4,6,9,14,20,24))*Sensitivity!$H$12,IF($G$8="Status Effect Damage %",0,IF($G$8="Damage %",(CHOOSE(MATCH($F$8,{"Rare","Epic","Unique","Legendary","Mystic","Mystic (Prime)"},0),4,6,9,14,20,24))*Sensitivity!$H$9,IF($G$8="Defense Penetration %",(CHOOSE(MATCH($F$8,{"Rare","Epic","Unique","Legendary","Mystic","Mystic (Prime)"},0),2,3,4.5,7,10,12))*Sensitivity!$H$19,0)))))))))))),0)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(Prime)"},0),2,3,4.5,7,10,12))*Sensitivity!$H$16,IF($D$10="Min Damage Multiplier %",(CHOOSE(MATCH($C$10,{"Rare","Epic","Unique","Legendary","Mystic","Mystic (Prime)"},0),2,3,4.5,7,10,12))*Sensitivity!$H$14,IF($D$10="Max Damage Multiplier %",(CHOOSE(MATCH($C$10,{"Rare","Epic","Unique","Legendary","Mystic","Mystic (Prime)"},0),2,3,4.5,7,10,12))*Sensitivity!$H$15,IF($D$10="Boss Monster Damage %",(CHOOSE(MATCH($C$10,{"Rare","Epic","Unique","Legendary","Mystic","Mystic (Prime)"},0),4,6,9,14,20,24))*Sensitivity!$H$11,IF($D$10="Normal Monster Damage %",(CHOOSE(MATCH($C$10,{"Rare","Epic","Unique","Legendary","Mystic","Mystic (Prime)"},0),4,6,9,14,20,24))*Sensitivity!$H$12,IF($D$10="Status Effect Damage %",0,IF($D$10="Damage %",(CHOOSE(MATCH($C$10,{"Rare","Epic","Unique","Legendary","Mystic","Mystic (Prime)"},0),4,6,9,14,20,24))*Sensitivity!$H$9,IF($D$10="Defense Penetration %",(CHOOSE(MATCH($C$10,{"Rare","Epic","Unique","Legendary","Mystic","Mystic (Prime)"},0),2,3,4.5,7,10,12))*Sensitivity!$H$19,0)))))))))))),0)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(Prime)"},0),2,3,4.5,7,10,12))*Sensitivity!$H$16,IF($G$10="Min Damage Multiplier %",(CHOOSE(MATCH($F$10,{"Rare","Epic","Unique","Legendary","Mystic","Mystic (Prime)"},0),2,3,4.5,7,10,12))*Sensitivity!$H$14,IF($G$10="Max Damage Multiplier %",(CHOOSE(MATCH($F$10,{"Rare","Epic","Unique","Legendary","Mystic","Mystic (Prime)"},0),2,3,4.5,7,10,12))*Sensitivity!$H$15,IF($G$10="Boss Monster Damage %",(CHOOSE(MATCH($F$10,{"Rare","Epic","Unique","Legendary","Mystic","Mystic (Prime)"},0),4,6,9,14,20,24))*Sensitivity!$H$11,IF($G$10="Normal Monster Damage %",(CHOOSE(MATCH($F$10,{"Rare","Epic","Unique","Legendary","Mystic","Mystic (Prime)"},0),4,6,9,14,20,24))*Sensitivity!$H$12,IF($G$10="Status Effect Damage %",0,IF($G$10="Damage %",(CHOOSE(MATCH($F$10,{"Rare","Epic","Unique","Legendary","Mystic","Mystic (Prime)"},0),4,6,9,14,20,24))*Sensitivity!$H$9,IF($G$10="Defense Penetration %",(CHOOSE(MATCH($F$10,{"Rare","Epic","Unique","Legendary","Mystic","Mystic (Prime)"},0),2,3,4.5,7,10,12))*Sensitivity!$H$19,0)))))))))))),0)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(Prime)"},0),2,3,4.5,7,10,12))*Sensitivity!$H$16,IF($D$11="Min Damage Multiplier %",(CHOOSE(MATCH($C$11,{"Rare","Epic","Unique","Legendary","Mystic","Mystic (Prime)"},0),2,3,4.5,7,10,12))*Sensitivity!$H$14,IF($D$11="Max Damage Multiplier %",(CHOOSE(MATCH($C$11,{"Rare","Epic","Unique","Legendary","Mystic","Mystic (Prime)"},0),2,3,4.5,7,10,12))*Sensitivity!$H$15,IF($D$11="Boss Monster Damage %",(CHOOSE(MATCH($C$11,{"Rare","Epic","Unique","Legendary","Mystic","Mystic (Prime)"},0),4,6,9,14,20,24))*Sensitivity!$H$11,IF($D$11="Normal Monster Damage %",(CHOOSE(MATCH($C$11,{"Rare","Epic","Unique","Legendary","Mystic","Mystic (Prime)"},0),4,6,9,14,20,24))*Sensitivity!$H$12,IF($D$11="Status Effect Damage %",0,IF($D$11="Damage %",(CHOOSE(MATCH($C$11,{"Rare","Epic","Unique","Legendary","Mystic","Mystic (Prime)"},0),4,6,9,14,20,24))*Sensitivity!$H$9,IF($D$11="Defense Penetration %",(CHOOSE(MATCH($C$11,{"Rare","Epic","Unique","Legendary","Mystic","Mystic (Prime)"},0),2,3,4.5,7,10,12))*Sensitivity!$H$19,0)))))))))))),0)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(Prime)"},0),2,3,4.5,7,10,12))*Sensitivity!$H$16,IF($G$11="Min Damage Multiplier %",(CHOOSE(MATCH($F$11,{"Rare","Epic","Unique","Legendary","Mystic","Mystic (Prime)"},0),2,3,4.5,7,10,12))*Sensitivity!$H$14,IF($G$11="Max Damage Multiplier %",(CHOOSE(MATCH($F$11,{"Rare","Epic","Unique","Legendary","Mystic","Mystic (Prime)"},0),2,3,4.5,7,10,12))*Sensitivity!$H$15,IF($G$11="Boss Monster Damage %",(CHOOSE(MATCH($F$11,{"Rare","Epic","Unique","Legendary","Mystic","Mystic (Prime)"},0),4,6,9,14,20,24))*Sensitivity!$H$11,IF($G$11="Normal Monster Damage %",(CHOOSE(MATCH($F$11,{"Rare","Epic","Unique","Legendary","Mystic","Mystic (Prime)"},0),4,6,9,14,20,24))*Sensitivity!$H$12,IF($G$11="Status Effect Damage %",0,IF($G$11="Damage %",(CHOOSE(MATCH($F$11,{"Rare","Epic","Unique","Legendary","Mystic","Mystic (Prime)"},0),4,6,9,14,20,24))*Sensitivity!$H$9,IF($G$11="Defense Penetration %",(CHOOSE(MATCH($F$11,{"Rare","Epic","Unique","Legendary","Mystic","Mystic (Prime)"},0),2,3,4.5,7,10,12))*Sensitivity!$H$19,0)))))))))))),0)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(Prime)"},0),2,3,4.5,7,10,12))*Sensitivity!$H$16,IF($D$12="Min Damage Multiplier %",(CHOOSE(MATCH($C$12,{"Rare","Epic","Unique","Legendary","Mystic","Mystic (Prime)"},0),2,3,4.5,7,10,12))*Sensitivity!$H$14,IF($D$12="Max Damage Multiplier %",(CHOOSE(MATCH($C$12,{"Rare","Epic","Unique","Legendary","Mystic","Mystic (Prime)"},0),2,3,4.5,7,10,12))*Sensitivity!$H$15,IF($D$12="Boss Monster Damage %",(CHOOSE(MATCH($C$12,{"Rare","Epic","Unique","Legendary","Mystic","Mystic (Prime)"},0),4,6,9,14,20,24))*Sensitivity!$H$11,IF($D$12="Normal Monster Damage %",(CHOOSE(MATCH($C$12,{"Rare","Epic","Unique","Legendary","Mystic","Mystic (Prime)"},0),4,6,9,14,20,24))*Sensitivity!$H$12,IF($D$12="Status Effect Damage %",0,IF($D$12="Damage %",(CHOOSE(MATCH($C$12,{"Rare","Epic","Unique","Legendary","Mystic","Mystic (Prime)"},0),4,6,9,14,20,24))*Sensitivity!$H$9,IF($D$12="Defense Penetration %",(CHOOSE(MATCH($C$12,{"Rare","Epic","Unique","Legendary","Mystic","Mystic (Prime)"},0),2,3,4.5,7,10,12))*Sensitivity!$H$19,0)))))))))))),0)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(Prime)"},0),2,3,4.5,7,10,12))*Sensitivity!$H$16,IF($G$12="Min Damage Multiplier %",(CHOOSE(MATCH($F$12,{"Rare","Epic","Unique","Legendary","Mystic","Mystic (Prime)"},0),2,3,4.5,7,10,12))*Sensitivity!$H$14,IF($G$12="Max Damage Multiplier %",(CHOOSE(MATCH($F$12,{"Rare","Epic","Unique","Legendary","Mystic","Mystic (Prime)"},0),2,3,4.5,7,10,12))*Sensitivity!$H$15,IF($G$12="Boss Monster Damage %",(CHOOSE(MATCH($F$12,{"Rare","Epic","Unique","Legendary","Mystic","Mystic (Prime)"},0),4,6,9,14,20,24))*Sensitivity!$H$11,IF($G$12="Normal Monster Damage %",(CHOOSE(MATCH($F$12,{"Rare","Epic","Unique","Legendary","Mystic","Mystic (Prime)"},0),4,6,9,14,20,24))*Sensitivity!$H$12,IF($G$12="Status Effect Damage %",0,IF($G$12="Damage %",(CHOOSE(MATCH($F$12,{"Rare","Epic","Unique","Legendary","Mystic","Mystic (Prime)"},0),4,6,9,14,20,24))*Sensitivity!$H$9,IF($G$12="Defense Penetration %",(CHOOSE(MATCH($F$12,{"Rare","Epic","Unique","Legendary","Mystic","Mystic (Prime)"},0),2,3,4.5,7,10,12))*Sensitivity!$H$19,0)))))))))))),0)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(Prime)"},0),2,3,4.5,7,10,12))*Sensitivity!$H$16,IF($D$13="Min Damage Multiplier %",(CHOOSE(MATCH($C$13,{"Rare","Epic","Unique","Legendary","Mystic","Mystic (Prime)"},0),2,3,4.5,7,10,12))*Sensitivity!$H$14,IF($D$13="Max Damage Multiplier %",(CHOOSE(MATCH($C$13,{"Rare","Epic","Unique","Legendary","Mystic","Mystic (Prime)"},0),2,3,4.5,7,10,12))*Sensitivity!$H$15,IF($D$13="Boss Monster Damage %",(CHOOSE(MATCH($C$13,{"Rare","Epic","Unique","Legendary","Mystic","Mystic (Prime)"},0),4,6,9,14,20,24))*Sensitivity!$H$11,IF($D$13="Normal Monster Damage %",(CHOOSE(MATCH($C$13,{"Rare","Epic","Unique","Legendary","Mystic","Mystic (Prime)"},0),4,6,9,14,20,24))*Sensitivity!$H$12,IF($D$13="Status Effect Damage %",0,IF($D$13="Damage %",(CHOOSE(MATCH($C$13,{"Rare","Epic","Unique","Legendary","Mystic","Mystic (Prime)"},0),4,6,9,14,20,24))*Sensitivity!$H$9,IF($D$13="Defense Penetration %",(CHOOSE(MATCH($C$13,{"Rare","Epic","Unique","Legendary","Mystic","Mystic (Prime)"},0),2,3,4.5,7,10,12))*Sensitivity!$H$19,0)))))))))))),0)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(Prime)"},0),2,3,4.5,7,10,12))*Sensitivity!$H$16,IF($G$13="Min Damage Multiplier %",(CHOOSE(MATCH($F$13,{"Rare","Epic","Unique","Legendary","Mystic","Mystic (Prime)"},0),2,3,4.5,7,10,12))*Sensitivity!$H$14,IF($G$13="Max Damage Multiplier %",(CHOOSE(MATCH($F$13,{"Rare","Epic","Unique","Legendary","Mystic","Mystic (Prime)"},0),2,3,4.5,7,10,12))*Sensitivity!$H$15,IF($G$13="Boss Monster Damage %",(CHOOSE(MATCH($F$13,{"Rare","Epic","Unique","Legendary","Mystic","Mystic (Prime)"},0),4,6,9,14,20,24))*Sensitivity!$H$11,IF($G$13="Normal Monster Damage %",(CHOOSE(MATCH($F$13,{"Rare","Epic","Unique","Legendary","Mystic","Mystic (Prime)"},0),4,6,9,14,20,24))*Sensitivity!$H$12,IF($G$13="Status Effect Damage %",0,IF($G$13="Damage %",(CHOOSE(MATCH($F$13,{"Rare","Epic","Unique","Legendary","Mystic","Mystic (Prime)"},0),4,6,9,14,20,24))*Sensitivity!$H$9,IF($G$13="Defense Penetration %",(CHOOSE(MATCH($F$13,{"Rare","Epic","Unique","Legendary","Mystic","Mystic (Prime)"},0),2,3,4.5,7,10,12))*Sensitivity!$H$19,0)))))))))))),0)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(Prime)"},0),2,3,4.5,7,10,12))*Sensitivity!$H$16,IF($D$14="Min Damage Multiplier %",(CHOOSE(MATCH($C$14,{"Rare","Epic","Unique","Legendary","Mystic","Mystic (Prime)"},0),2,3,4.5,7,10,12))*Sensitivity!$H$14,IF($D$14="Max Damage Multiplier %",(CHOOSE(MATCH($C$14,{"Rare","Epic","Unique","Legendary","Mystic","Mystic (Prime)"},0),2,3,4.5,7,10,12))*Sensitivity!$H$15,IF($D$14="Boss Monster Damage %",(CHOOSE(MATCH($C$14,{"Rare","Epic","Unique","Legendary","Mystic","Mystic (Prime)"},0),4,6,9,14,20,24))*Sensitivity!$H$11,IF($D$14="Normal Monster Damage %",(CHOOSE(MATCH($C$14,{"Rare","Epic","Unique","Legendary","Mystic","Mystic (Prime)"},0),4,6,9,14,20,24))*Sensitivity!$H$12,IF($D$14="Status Effect Damage %",0,IF($D$14="Damage %",(CHOOSE(MATCH($C$14,{"Rare","Epic","Unique","Legendary","Mystic","Mystic (Prime)"},0),4,6,9,14,20,24))*Sensitivity!$H$9,IF($D$14="Defense Penetration %",(CHOOSE(MATCH($C$14,{"Rare","Epic","Unique","Legendary","Mystic","Mystic (Prime)"},0),2,3,4.5,7,10,12))*Sensitivity!$H$19,0)))))))))))),0)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(Prime)"},0),2,3,4.5,7,10,12))*Sensitivity!$H$16,IF($G$14="Min Damage Multiplier %",(CHOOSE(MATCH($F$14,{"Rare","Epic","Unique","Legendary","Mystic","Mystic (Prime)"},0),2,3,4.5,7,10,12))*Sensitivity!$H$14,IF($G$14="Max Damage Multiplier %",(CHOOSE(MATCH($F$14,{"Rare","Epic","Unique","Legendary","Mystic","Mystic (Prime)"},0),2,3,4.5,7,10,12))*Sensitivity!$H$15,IF($G$14="Boss Monster Damage %",(CHOOSE(MATCH($F$14,{"Rare","Epic","Unique","Legendary","Mystic","Mystic (Prime)"},0),4,6,9,14,20,24))*Sensitivity!$H$11,IF($G$14="Normal Monster Damage %",(CHOOSE(MATCH($F$14,{"Rare","Epic","Unique","Legendary","Mystic","Mystic (Prime)"},0),4,6,9,14,20,24))*Sensitivity!$H$12,IF($G$14="Status Effect Damage %",0,IF($G$14="Damage %",(CHOOSE(MATCH($F$14,{"Rare","Epic","Unique","Legendary","Mystic","Mystic (Prime)"},0),4,6,9,14,20,24))*Sensitivity!$H$9,IF($G$14="Defense Penetration %",(CHOOSE(MATCH($F$14,{"Rare","Epic","Unique","Legendary","Mystic","Mystic (Prime)"},0),2,3,4.5,7,10,12))*Sensitivity!$H$19,0)))))))))))),0)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(Prime)"},0),2,3,4.5,7,10,12))*Sensitivity!$H$16,IF($D$15="Min Damage Multiplier %",(CHOOSE(MATCH($C$15,{"Rare","Epic","Unique","Legendary","Mystic","Mystic (Prime)"},0),2,3,4.5,7,10,12))*Sensitivity!$H$14,IF($D$15="Max Damage Multiplier %",(CHOOSE(MATCH($C$15,{"Rare","Epic","Unique","Legendary","Mystic","Mystic (Prime)"},0),2,3,4.5,7,10,12))*Sensitivity!$H$15,IF($D$15="Boss Monster Damage %",(CHOOSE(MATCH($C$15,{"Rare","Epic","Unique","Legendary","Mystic","Mystic (Prime)"},0),4,6,9,14,20,24))*Sensitivity!$H$11,IF($D$15="Normal Monster Damage %",(CHOOSE(MATCH($C$15,{"Rare","Epic","Unique","Legendary","Mystic","Mystic (Prime)"},0),4,6,9,14,20,24))*Sensitivity!$H$12,IF($D$15="Status Effect Damage %",0,IF($D$15="Damage %",(CHOOSE(MATCH($C$15,{"Rare","Epic","Unique","Legendary","Mystic","Mystic (Prime)"},0),4,6,9,14,20,24))*Sensitivity!$H$9,IF($D$15="Defense Penetration %",(CHOOSE(MATCH($C$15,{"Rare","Epic","Unique","Legendary","Mystic","Mystic (Prime)"},0),2,3,4.5,7,10,12))*Sensitivity!$H$19,0)))))))))))),0)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(Prime)"},0),2,3,4.5,7,10,12))*Sensitivity!$H$16,IF($G$15="Min Damage Multiplier %",(CHOOSE(MATCH($F$15,{"Rare","Epic","Unique","Legendary","Mystic","Mystic (Prime)"},0),2,3,4.5,7,10,12))*Sensitivity!$H$14,IF($G$15="Max Damage Multiplier %",(CHOOSE(MATCH($F$15,{"Rare","Epic","Unique","Legendary","Mystic","Mystic (Prime)"},0),2,3,4.5,7,10,12))*Sensitivity!$H$15,IF($G$15="Boss Monster Damage %",(CHOOSE(MATCH($F$15,{"Rare","Epic","Unique","Legendary","Mystic","Mystic (Prime)"},0),4,6,9,14,20,24))*Sensitivity!$H$11,IF($G$15="Normal Monster Damage %",(CHOOSE(MATCH($F$15,{"Rare","Epic","Unique","Legendary","Mystic","Mystic (Prime)"},0),4,6,9,14,20,24))*Sensitivity!$H$12,IF($G$15="Status Effect Damage %",0,IF($G$15="Damage %",(CHOOSE(MATCH($F$15,{"Rare","Epic","Unique","Legendary","Mystic","Mystic (Prime)"},0),4,6,9,14,20,24))*Sensitivity!$H$9,IF($G$15="Defense Penetration %",(CHOOSE(MATCH($F$15,{"Rare","Epic","Unique","Legendary","Mystic","Mystic (Prime)"},0),2,3,4.5,7,10,12))*Sensitivity!$H$19,0)))))))))))),0)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(Prime)"},0),2,3,4.5,7,10,12))*Sensitivity!$H$16,IF($D$16="Min Damage Multiplier %",(CHOOSE(MATCH($C$16,{"Rare","Epic","Unique","Legendary","Mystic","Mystic (Prime)"},0),2,3,4.5,7,10,12))*Sensitivity!$H$14,IF($D$16="Max Damage Multiplier %",(CHOOSE(MATCH($C$16,{"Rare","Epic","Unique","Legendary","Mystic","Mystic (Prime)"},0),2,3,4.5,7,10,12))*Sensitivity!$H$15,IF($D$16="Boss Monster Damage %",(CHOOSE(MATCH($C$16,{"Rare","Epic","Unique","Legendary","Mystic","Mystic (Prime)"},0),4,6,9,14,20,24))*Sensitivity!$H$11,IF($D$16="Normal Monster Damage %",(CHOOSE(MATCH($C$16,{"Rare","Epic","Unique","Legendary","Mystic","Mystic (Prime)"},0),4,6,9,14,20,24))*Sensitivity!$H$12,IF($D$16="Status Effect Damage %",0,IF($D$16="Damage %",(CHOOSE(MATCH($C$16,{"Rare","Epic","Unique","Legendary","Mystic","Mystic (Prime)"},0),4,6,9,14,20,24))*Sensitivity!$H$9,IF($D$16="Defense Penetration %",(CHOOSE(MATCH($C$16,{"Rare","Epic","Unique","Legendary","Mystic","Mystic (Prime)"},0),2,3,4.5,7,10,12))*Sensitivity!$H$19,0)))))))))))),0)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(Prime)"},0),2,3,4.5,7,10,12))*Sensitivity!$H$16,IF($G$16="Min Damage Multiplier %",(CHOOSE(MATCH($F$16,{"Rare","Epic","Unique","Legendary","Mystic","Mystic (Prime)"},0),2,3,4.5,7,10,12))*Sensitivity!$H$14,IF($G$16="Max Damage Multiplier %",(CHOOSE(MATCH($F$16,{"Rare","Epic","Unique","Legendary","Mystic","Mystic (Prime)"},0),2,3,4.5,7,10,12))*Sensitivity!$H$15,IF($G$16="Boss Monster Damage %",(CHOOSE(MATCH($F$16,{"Rare","Epic","Unique","Legendary","Mystic","Mystic (Prime)"},0),4,6,9,14,20,24))*Sensitivity!$H$11,IF($G$16="Normal Monster Damage %",(CHOOSE(MATCH($F$16,{"Rare","Epic","Unique","Legendary","Mystic","Mystic (Prime)"},0),4,6,9,14,20,24))*Sensitivity!$H$12,IF($G$16="Status Effect Damage %",0,IF($G$16="Damage %",(CHOOSE(MATCH($F$16,{"Rare","Epic","Unique","Legendary","Mystic","Mystic (Prime)"},0),4,6,9,14,20,24))*Sensitivity!$H$9,IF($G$16="Defense Penetration %",(CHOOSE(MATCH($F$16,{"Rare","Epic","Unique","Legendary","Mystic","Mystic (Prime)"},0),2,3,4.5,7,10,12))*Sensitivity!$H$19,0)))))))))))),0)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(Prime)"},0),2,3,4.5,7,10,12))*Sensitivity!$H$16,IF($D$17="Min Damage Multiplier %",(CHOOSE(MATCH($C$17,{"Rare","Epic","Unique","Legendary","Mystic","Mystic (Prime)"},0),2,3,4.5,7,10,12))*Sensitivity!$H$14,IF($D$17="Max Damage Multiplier %",(CHOOSE(MATCH($C$17,{"Rare","Epic","Unique","Legendary","Mystic","Mystic (Prime)"},0),2,3,4.5,7,10,12))*Sensitivity!$H$15,IF($D$17="Boss Monster Damage %",(CHOOSE(MATCH($C$17,{"Rare","Epic","Unique","Legendary","Mystic","Mystic (Prime)"},0),4,6,9,14,20,24))*Sensitivity!$H$11,IF($D$17="Normal Monster Damage %",(CHOOSE(MATCH($C$17,{"Rare","Epic","Unique","Legendary","Mystic","Mystic (Prime)"},0),4,6,9,14,20,24))*Sensitivity!$H$12,IF($D$17="Status Effect Damage %",0,IF($D$17="Damage %",(CHOOSE(MATCH($C$17,{"Rare","Epic","Unique","Legendary","Mystic","Mystic (Prime)"},0),4,6,9,14,20,24))*Sensitivity!$H$9,IF($D$17="Defense Penetration %",(CHOOSE(MATCH($C$17,{"Rare","Epic","Unique","Legendary","Mystic","Mystic (Prime)"},0),2,3,4.5,7,10,12))*Sensitivity!$H$19,0)))))))))))),0)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(Prime)"},0),2,3,4.5,7,10,12))*Sensitivity!$H$16,IF($G$17="Min Damage Multiplier %",(CHOOSE(MATCH($F$17,{"Rare","Epic","Unique","Legendary","Mystic","Mystic (Prime)"},0),2,3,4.5,7,10,12))*Sensitivity!$H$14,IF($G$17="Max Damage Multiplier %",(CHOOSE(MATCH($F$17,{"Rare","Epic","Unique","Legendary","Mystic","Mystic (Prime)"},0),2,3,4.5,7,10,12))*Sensitivity!$H$15,IF($G$17="Boss Monster Damage %",(CHOOSE(MATCH($F$17,{"Rare","Epic","Unique","Legendary","Mystic","Mystic (Prime)"},0),4,6,9,14,20,24))*Sensitivity!$H$11,IF($G$17="Normal Monster Damage %",(CHOOSE(MATCH($F$17,{"Rare","Epic","Unique","Legendary","Mystic","Mystic (Prime)"},0),4,6,9,14,20,24))*Sensitivity!$H$12,IF($G$17="Status Effect Damage %",0,IF($G$17="Damage %",(CHOOSE(MATCH($F$17,{"Rare","Epic","Unique","Legendary","Mystic","Mystic (Prime)"},0),4,6,9,14,20,24))*Sensitivity!$H$9,IF($G$17="Defense Penetration %",(CHOOSE(MATCH($F$17,{"Rare","Epic","Unique","Legendary","Mystic","Mystic (Prime)"},0),2,3,4.5,7,10,12))*Sensitivity!$H$19,0)))))))))))),0)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(Prime)"},0),2,3,4.5,7,10,12))*Sensitivity!$H$16,IF($D$18="Min Damage Multiplier %",(CHOOSE(MATCH($C$18,{"Rare","Epic","Unique","Legendary","Mystic","Mystic (Prime)"},0),2,3,4.5,7,10,12))*Sensitivity!$H$14,IF($D$18="Max Damage Multiplier %",(CHOOSE(MATCH($C$18,{"Rare","Epic","Unique","Legendary","Mystic","Mystic (Prime)"},0),2,3,4.5,7,10,12))*Sensitivity!$H$15,IF($D$18="Boss Monster Damage %",(CHOOSE(MATCH($C$18,{"Rare","Epic","Unique","Legendary","Mystic","Mystic (Prime)"},0),4,6,9,14,20,24))*Sensitivity!$H$11,IF($D$18="Normal Monster Damage %",(CHOOSE(MATCH($C$18,{"Rare","Epic","Unique","Legendary","Mystic","Mystic (Prime)"},0),4,6,9,14,20,24))*Sensitivity!$H$12,IF($D$18="Status Effect Damage %",0,IF($D$18="Damage %",(CHOOSE(MATCH($C$18,{"Rare","Epic","Unique","Legendary","Mystic","Mystic (Prime)"},0),4,6,9,14,20,24))*Sensitivity!$H$9,IF($D$18="Defense Penetration %",(CHOOSE(MATCH($C$18,{"Rare","Epic","Unique","Legendary","Mystic","Mystic (Prime)"},0),2,3,4.5,7,10,12))*Sensitivity!$H$19,0)))))))))))),0)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(Prime)"},0),2,3,4.5,7,10,12))*Sensitivity!$H$16,IF($G$18="Min Damage Multiplier %",(CHOOSE(MATCH($F$18,{"Rare","Epic","Unique","Legendary","Mystic","Mystic (Prime)"},0),2,3,4.5,7,10,12))*Sensitivity!$H$14,IF($G$18="Max Damage Multiplier %",(CHOOSE(MATCH($F$18,{"Rare","Epic","Unique","Legendary","Mystic","Mystic (Prime)"},0),2,3,4.5,7,10,12))*Sensitivity!$H$15,IF($G$18="Boss Monster Damage %",(CHOOSE(MATCH($F$18,{"Rare","Epic","Unique","Legendary","Mystic","Mystic (Prime)"},0),4,6,9,14,20,24))*Sensitivity!$H$11,IF($G$18="Normal Monster Damage %",(CHOOSE(MATCH($F$18,{"Rare","Epic","Unique","Legendary","Mystic","Mystic (Prime)"},0),4,6,9,14,20,24))*Sensitivity!$H$12,IF($G$18="Status Effect Damage %",0,IF($G$18="Damage %",(CHOOSE(MATCH($F$18,{"Rare","Epic","Unique","Legendary","Mystic","Mystic (Prime)"},0),4,6,9,14,20,24))*Sensitivity!$H$9,IF($G$18="Defense Penetration %",(CHOOSE(MATCH($F$18,{"Rare","Epic","Unique","Legendary","Mystic","Mystic (Prime)"},0),2,3,4.5,7,10,12))*Sensitivity!$H$19,0)))))))))))),0)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(Prime)"},0),2,3,4.5,7,10,12))*Sensitivity!$H$16,IF($D$20="Min Damage Multiplier %",(CHOOSE(MATCH($C$20,{"Rare","Epic","Unique","Legendary","Mystic","Mystic (Prime)"},0),2,3,4.5,7,10,12))*Sensitivity!$H$14,IF($D$20="Max Damage Multiplier %",(CHOOSE(MATCH($C$20,{"Rare","Epic","Unique","Legendary","Mystic","Mystic (Prime)"},0),2,3,4.5,7,10,12))*Sensitivity!$H$15,IF($D$20="Boss Monster Damage %",(CHOOSE(MATCH($C$20,{"Rare","Epic","Unique","Legendary","Mystic","Mystic (Prime)"},0),4,6,9,14,20,24))*Sensitivity!$H$11,IF($D$20="Normal Monster Damage %",(CHOOSE(MATCH($C$20,{"Rare","Epic","Unique","Legendary","Mystic","Mystic (Prime)"},0),4,6,9,14,20,24))*Sensitivity!$H$12,IF($D$20="Status Effect Damage %",0,IF($D$20="Damage %",(CHOOSE(MATCH($C$20,{"Rare","Epic","Unique","Legendary","Mystic","Mystic (Prime)"},0),4,6,9,14,20,24))*Sensitivity!$H$9,IF($D$20="Defense Penetration %",(CHOOSE(MATCH($C$20,{"Rare","Epic","Unique","Legendary","Mystic","Mystic (Prime)"},0),2,3,4.5,7,10,12))*Sensitivity!$H$19,0)))))))))))),0)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(Prime)"},0),2,3,4.5,7,10,12))*Sensitivity!$H$16,IF($G$20="Min Damage Multiplier %",(CHOOSE(MATCH($F$20,{"Rare","Epic","Unique","Legendary","Mystic","Mystic (Prime)"},0),2,3,4.5,7,10,12))*Sensitivity!$H$14,IF($G$20="Max Damage Multiplier %",(CHOOSE(MATCH($F$20,{"Rare","Epic","Unique","Legendary","Mystic","Mystic (Prime)"},0),2,3,4.5,7,10,12))*Sensitivity!$H$15,IF($G$20="Boss Monster Damage %",(CHOOSE(MATCH($F$20,{"Rare","Epic","Unique","Legendary","Mystic","Mystic (Prime)"},0),4,6,9,14,20,24))*Sensitivity!$H$11,IF($G$20="Normal Monster Damage %",(CHOOSE(MATCH($F$20,{"Rare","Epic","Unique","Legendary","Mystic","Mystic (Prime)"},0),4,6,9,14,20,24))*Sensitivity!$H$12,IF($G$20="Status Effect Damage %",0,IF($G$20="Damage %",(CHOOSE(MATCH($F$20,{"Rare","Epic","Unique","Legendary","Mystic","Mystic (Prime)"},0),4,6,9,14,20,24))*Sensitivity!$H$9,IF($G$20="Defense Penetration %",(CHOOSE(MATCH($F$20,{"Rare","Epic","Unique","Legendary","Mystic","Mystic (Prime)"},0),2,3,4.5,7,10,12))*Sensitivity!$H$19,0)))))))))))),0)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(Prime)"},0),2,3,4.5,7,10,12))*Sensitivity!$H$16,IF($J$20="Min Damage Multiplier %",(CHOOSE(MATCH($I$20,{"Rare","Epic","Unique","Legendary","Mystic","Mystic (Prime)"},0),2,3,4.5,7,10,12))*Sensitivity!$H$14,IF($J$20="Max Damage Multiplier %",(CHOOSE(MATCH($I$20,{"Rare","Epic","Unique","Legendary","Mystic","Mystic (Prime)"},0),2,3,4.5,7,10,12))*Sensitivity!$H$15,IF($J$20="Boss Monster Damage %",(CHOOSE(MATCH($I$20,{"Rare","Epic","Unique","Legendary","Mystic","Mystic (Prime)"},0),4,6,9,14,20,24))*Sensitivity!$H$11,IF($J$20="Normal Monster Damage %",(CHOOSE(MATCH($I$20,{"Rare","Epic","Unique","Legendary","Mystic","Mystic (Prime)"},0),4,6,9,14,20,24))*Sensitivity!$H$12,IF($J$20="Status Effect Damage %",0,IF($J$20="Damage %",(CHOOSE(MATCH($I$20,{"Rare","Epic","Unique","Legendary","Mystic","Mystic (Prime)"},0),4,6,9,14,20,24))*Sensitivity!$H$9,IF($J$20="Defense Penetration %",(CHOOSE(MATCH($I$20,{"Rare","Epic","Unique","Legendary","Mystic","Mystic (Prime)"},0),2,3,4.5,7,10,12))*Sensitivity!$H$19,0)))))))))))),0)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(Prime)"},0),2,3,4.5,7,10,12))*Sensitivity!$H$16,IF($D$21="Min Damage Multiplier %",(CHOOSE(MATCH($C$21,{"Rare","Epic","Unique","Legendary","Mystic","Mystic (Prime)"},0),2,3,4.5,7,10,12))*Sensitivity!$H$14,IF($D$21="Max Damage Multiplier %",(CHOOSE(MATCH($C$21,{"Rare","Epic","Unique","Legendary","Mystic","Mystic (Prime)"},0),2,3,4.5,7,10,12))*Sensitivity!$H$15,IF($D$21="Boss Monster Damage %",(CHOOSE(MATCH($C$21,{"Rare","Epic","Unique","Legendary","Mystic","Mystic (Prime)"},0),4,6,9,14,20,24))*Sensitivity!$H$11,IF($D$21="Normal Monster Damage %",(CHOOSE(MATCH($C$21,{"Rare","Epic","Unique","Legendary","Mystic","Mystic (Prime)"},0),4,6,9,14,20,24))*Sensitivity!$H$12,IF($D$21="Status Effect Damage %",0,IF($D$21="Damage %",(CHOOSE(MATCH($C$21,{"Rare","Epic","Unique","Legendary","Mystic","Mystic (Prime)"},0),4,6,9,14,20,24))*Sensitivity!$H$9,IF($D$21="Defense Penetration %",(CHOOSE(MATCH($C$21,{"Rare","Epic","Unique","Legendary","Mystic","Mystic (Prime)"},0),2,3,4.5,7,10,12))*Sensitivity!$H$19,0)))))))))))),0)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(Prime)"},0),2,3,4.5,7,10,12))*Sensitivity!$H$16,IF($G$21="Min Damage Multiplier %",(CHOOSE(MATCH($F$21,{"Rare","Epic","Unique","Legendary","Mystic","Mystic (Prime)"},0),2,3,4.5,7,10,12))*Sensitivity!$H$14,IF($G$21="Max Damage Multiplier %",(CHOOSE(MATCH($F$21,{"Rare","Epic","Unique","Legendary","Mystic","Mystic (Prime)"},0),2,3,4.5,7,10,12))*Sensitivity!$H$15,IF($G$21="Boss Monster Damage %",(CHOOSE(MATCH($F$21,{"Rare","Epic","Unique","Legendary","Mystic","Mystic (Prime)"},0),4,6,9,14,20,24))*Sensitivity!$H$11,IF($G$21="Normal Monster Damage %",(CHOOSE(MATCH($F$21,{"Rare","Epic","Unique","Legendary","Mystic","Mystic (Prime)"},0),4,6,9,14,20,24))*Sensitivity!$H$12,IF($G$21="Status Effect Damage %",0,IF($G$21="Damage %",(CHOOSE(MATCH($F$21,{"Rare","Epic","Unique","Legendary","Mystic","Mystic (Prime)"},0),4,6,9,14,20,24))*Sensitivity!$H$9,IF($G$21="Defense Penetration %",(CHOOSE(MATCH($F$21,{"Rare","Epic","Unique","Legendary","Mystic","Mystic (Prime)"},0),2,3,4.5,7,10,12))*Sensitivity!$H$19,0)))))))))))),0)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(Prime)"},0),2,3,4.5,7,10,12))*Sensitivity!$H$16,IF($J$21="Min Damage Multiplier %",(CHOOSE(MATCH($I$21,{"Rare","Epic","Unique","Legendary","Mystic","Mystic (Prime)"},0),2,3,4.5,7,10,12))*Sensitivity!$H$14,IF($J$21="Max Damage Multiplier %",(CHOOSE(MATCH($I$21,{"Rare","Epic","Unique","Legendary","Mystic","Mystic (Prime)"},0),2,3,4.5,7,10,12))*Sensitivity!$H$15,IF($J$21="Boss Monster Damage %",(CHOOSE(MATCH($I$21,{"Rare","Epic","Unique","Legendary","Mystic","Mystic (Prime)"},0),4,6,9,14,20,24))*Sensitivity!$H$11,IF($J$21="Normal Monster Damage %",(CHOOSE(MATCH($I$21,{"Rare","Epic","Unique","Legendary","Mystic","Mystic (Prime)"},0),4,6,9,14,20,24))*Sensitivity!$H$12,IF($J$21="Status Effect Damage %",0,IF($J$21="Damage %",(CHOOSE(MATCH($I$21,{"Rare","Epic","Unique","Legendary","Mystic","Mystic (Prime)"},0),4,6,9,14,20,24))*Sensitivity!$H$9,IF($J$21="Defense Penetration %",(CHOOSE(MATCH($I$21,{"Rare","Epic","Unique","Legendary","Mystic","Mystic (Prime)"},0),2,3,4.5,7,10,12))*Sensitivity!$H$19,0)))))))))))),0)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(Prime)"},0),2,3,4.5,7,10,12))*Sensitivity!$H$16,IF($D$22="Min Damage Multiplier %",(CHOOSE(MATCH($C$22,{"Rare","Epic","Unique","Legendary","Mystic","Mystic (Prime)"},0),2,3,4.5,7,10,12))*Sensitivity!$H$14,IF($D$22="Max Damage Multiplier %",(CHOOSE(MATCH($C$22,{"Rare","Epic","Unique","Legendary","Mystic","Mystic (Prime)"},0),2,3,4.5,7,10,12))*Sensitivity!$H$15,IF($D$22="Boss Monster Damage %",(CHOOSE(MATCH($C$22,{"Rare","Epic","Unique","Legendary","Mystic","Mystic (Prime)"},0),4,6,9,14,20,24))*Sensitivity!$H$11,IF($D$22="Normal Monster Damage %",(CHOOSE(MATCH($C$22,{"Rare","Epic","Unique","Legendary","Mystic","Mystic (Prime)"},0),4,6,9,14,20,24))*Sensitivity!$H$12,IF($D$22="Status Effect Damage %",0,IF($D$22="Damage %",(CHOOSE(MATCH($C$22,{"Rare","Epic","Unique","Legendary","Mystic","Mystic (Prime)"},0),4,6,9,14,20,24))*Sensitivity!$H$9,IF($D$22="Defense Penetration %",(CHOOSE(MATCH($C$22,{"Rare","Epic","Unique","Legendary","Mystic","Mystic (Prime)"},0),2,3,4.5,7,10,12))*Sensitivity!$H$19,0)))))))))))),0)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(Prime)"},0),2,3,4.5,7,10,12))*Sensitivity!$H$16,IF($G$22="Min Damage Multiplier %",(CHOOSE(MATCH($F$22,{"Rare","Epic","Unique","Legendary","Mystic","Mystic (Prime)"},0),2,3,4.5,7,10,12))*Sensitivity!$H$14,IF($G$22="Max Damage Multiplier %",(CHOOSE(MATCH($F$22,{"Rare","Epic","Unique","Legendary","Mystic","Mystic (Prime)"},0),2,3,4.5,7,10,12))*Sensitivity!$H$15,IF($G$22="Boss Monster Damage %",(CHOOSE(MATCH($F$22,{"Rare","Epic","Unique","Legendary","Mystic","Mystic (Prime)"},0),4,6,9,14,20,24))*Sensitivity!$H$11,IF($G$22="Normal Monster Damage %",(CHOOSE(MATCH($F$22,{"Rare","Epic","Unique","Legendary","Mystic","Mystic (Prime)"},0),4,6,9,14,20,24))*Sensitivity!$H$12,IF($G$22="Status Effect Damage %",0,IF($G$22="Damage %",(CHOOSE(MATCH($F$22,{"Rare","Epic","Unique","Legendary","Mystic","Mystic (Prime)"},0),4,6,9,14,20,24))*Sensitivity!$H$9,IF($G$22="Defense Penetration %",(CHOOSE(MATCH($F$22,{"Rare","Epic","Unique","Legendary","Mystic","Mystic (Prime)"},0),2,3,4.5,7,10,12))*Sensitivity!$H$19,0)))))))))))),0)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(Prime)"},0),2,3,4.5,7,10,12))*Sensitivity!$H$16,IF($J$22="Min Damage Multiplier %",(CHOOSE(MATCH($I$22,{"Rare","Epic","Unique","Legendary","Mystic","Mystic (Prime)"},0),2,3,4.5,7,10,12))*Sensitivity!$H$14,IF($J$22="Max Damage Multiplier %",(CHOOSE(MATCH($I$22,{"Rare","Epic","Unique","Legendary","Mystic","Mystic (Prime)"},0),2,3,4.5,7,10,12))*Sensitivity!$H$15,IF($J$22="Boss Monster Damage %",(CHOOSE(MATCH($I$22,{"Rare","Epic","Unique","Legendary","Mystic","Mystic (Prime)"},0),4,6,9,14,20,24))*Sensitivity!$H$11,IF($J$22="Normal Monster Damage %",(CHOOSE(MATCH($I$22,{"Rare","Epic","Unique","Legendary","Mystic","Mystic (Prime)"},0),4,6,9,14,20,24))*Sensitivity!$H$12,IF($J$22="Status Effect Damage %",0,IF($J$22="Damage %",(CHOOSE(MATCH($I$22,{"Rare","Epic","Unique","Legendary","Mystic","Mystic (Prime)"},0),4,6,9,14,20,24))*Sensitivity!$H$9,IF($J$22="Defense Penetration %",(CHOOSE(MATCH($I$22,{"Rare","Epic","Unique","Legendary","Mystic","Mystic (Prime)"},0),2,3,4.5,7,10,12))*Sensitivity!$H$19,0)))))))))))),0)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(Prime)"},0),2,3,4.5,7,10,12))*Sensitivity!$H$16,IF($D$23="Min Damage Multiplier %",(CHOOSE(MATCH($C$23,{"Rare","Epic","Unique","Legendary","Mystic","Mystic (Prime)"},0),2,3,4.5,7,10,12))*Sensitivity!$H$14,IF($D$23="Max Damage Multiplier %",(CHOOSE(MATCH($C$23,{"Rare","Epic","Unique","Legendary","Mystic","Mystic (Prime)"},0),2,3,4.5,7,10,12))*Sensitivity!$H$15,IF($D$23="Boss Monster Damage %",(CHOOSE(MATCH($C$23,{"Rare","Epic","Unique","Legendary","Mystic","Mystic (Prime)"},0),4,6,9,14,20,24))*Sensitivity!$H$11,IF($D$23="Normal Monster Damage %",(CHOOSE(MATCH($C$23,{"Rare","Epic","Unique","Legendary","Mystic","Mystic (Prime)"},0),4,6,9,14,20,24))*Sensitivity!$H$12,IF($D$23="Status Effect Damage %",0,IF($D$23="Damage %",(CHOOSE(MATCH($C$23,{"Rare","Epic","Unique","Legendary","Mystic","Mystic (Prime)"},0),4,6,9,14,20,24))*Sensitivity!$H$9,IF($D$23="Defense Penetration %",(CHOOSE(MATCH($C$23,{"Rare","Epic","Unique","Legendary","Mystic","Mystic (Prime)"},0),2,3,4.5,7,10,12))*Sensitivity!$H$19,0)))))))))))),0)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(Prime)"},0),2,3,4.5,7,10,12))*Sensitivity!$H$16,IF($G$23="Min Damage Multiplier %",(CHOOSE(MATCH($F$23,{"Rare","Epic","Unique","Legendary","Mystic","Mystic (Prime)"},0),2,3,4.5,7,10,12))*Sensitivity!$H$14,IF($G$23="Max Damage Multiplier %",(CHOOSE(MATCH($F$23,{"Rare","Epic","Unique","Legendary","Mystic","Mystic (Prime)"},0),2,3,4.5,7,10,12))*Sensitivity!$H$15,IF($G$23="Boss Monster Damage %",(CHOOSE(MATCH($F$23,{"Rare","Epic","Unique","Legendary","Mystic","Mystic (Prime)"},0),4,6,9,14,20,24))*Sensitivity!$H$11,IF($G$23="Normal Monster Damage %",(CHOOSE(MATCH($F$23,{"Rare","Epic","Unique","Legendary","Mystic","Mystic (Prime)"},0),4,6,9,14,20,24))*Sensitivity!$H$12,IF($G$23="Status Effect Damage %",0,IF($G$23="Damage %",(CHOOSE(MATCH($F$23,{"Rare","Epic","Unique","Legendary","Mystic","Mystic (Prime)"},0),4,6,9,14,20,24))*Sensitivity!$H$9,IF($G$23="Defense Penetration %",(CHOOSE(MATCH($F$23,{"Rare","Epic","Unique","Legendary","Mystic","Mystic (Prime)"},0),2,3,4.5,7,10,12))*Sensitivity!$H$19,0)))))))))))),0)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(Prime)"},0),2,3,4.5,7,10,12))*Sensitivity!$H$16,IF($J$23="Min Damage Multiplier %",(CHOOSE(MATCH($I$23,{"Rare","Epic","Unique","Legendary","Mystic","Mystic (Prime)"},0),2,3,4.5,7,10,12))*Sensitivity!$H$14,IF($J$23="Max Damage Multiplier %",(CHOOSE(MATCH($I$23,{"Rare","Epic","Unique","Legendary","Mystic","Mystic (Prime)"},0),2,3,4.5,7,10,12))*Sensitivity!$H$15,IF($J$23="Boss Monster Damage %",(CHOOSE(MATCH($I$23,{"Rare","Epic","Unique","Legendary","Mystic","Mystic (Prime)"},0),4,6,9,14,20,24))*Sensitivity!$H$11,IF($J$23="Normal Monster Damage %",(CHOOSE(MATCH($I$23,{"Rare","Epic","Unique","Legendary","Mystic","Mystic (Prime)"},0),4,6,9,14,20,24))*Sensitivity!$H$12,IF($J$23="Status Effect Damage %",0,IF($J$23="Damage %",(CHOOSE(MATCH($I$23,{"Rare","Epic","Unique","Legendary","Mystic","Mystic (Prime)"},0),4,6,9,14,20,24))*Sensitivity!$H$9,IF($J$23="Defense Penetration %",(CHOOSE(MATCH($I$23,{"Rare","Epic","Unique","Legendary","Mystic","Mystic (Prime)"},0),2,3,4.5,7,10,12))*Sensitivity!$H$19,0)))))))))))),0)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(Prime)"},0),2,3,4.5,7,10,12))*Sensitivity!$H$16,IF($D$24="Min Damage Multiplier %",(CHOOSE(MATCH($C$24,{"Rare","Epic","Unique","Legendary","Mystic","Mystic (Prime)"},0),2,3,4.5,7,10,12))*Sensitivity!$H$14,IF($D$24="Max Damage Multiplier %",(CHOOSE(MATCH($C$24,{"Rare","Epic","Unique","Legendary","Mystic","Mystic (Prime)"},0),2,3,4.5,7,10,12))*Sensitivity!$H$15,IF($D$24="Boss Monster Damage %",(CHOOSE(MATCH($C$24,{"Rare","Epic","Unique","Legendary","Mystic","Mystic (Prime)"},0),4,6,9,14,20,24))*Sensitivity!$H$11,IF($D$24="Normal Monster Damage %",(CHOOSE(MATCH($C$24,{"Rare","Epic","Unique","Legendary","Mystic","Mystic (Prime)"},0),4,6,9,14,20,24))*Sensitivity!$H$12,IF($D$24="Status Effect Damage %",0,IF($D$24="Damage %",(CHOOSE(MATCH($C$24,{"Rare","Epic","Unique","Legendary","Mystic","Mystic (Prime)"},0),4,6,9,14,20,24))*Sensitivity!$H$9,IF($D$24="Defense Penetration %",(CHOOSE(MATCH($C$24,{"Rare","Epic","Unique","Legendary","Mystic","Mystic (Prime)"},0),2,3,4.5,7,10,12))*Sensitivity!$H$19,0)))))))))))),0)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(Prime)"},0),2,3,4.5,7,10,12))*Sensitivity!$H$16,IF($G$24="Min Damage Multiplier %",(CHOOSE(MATCH($F$24,{"Rare","Epic","Unique","Legendary","Mystic","Mystic (Prime)"},0),2,3,4.5,7,10,12))*Sensitivity!$H$14,IF($G$24="Max Damage Multiplier %",(CHOOSE(MATCH($F$24,{"Rare","Epic","Unique","Legendary","Mystic","Mystic (Prime)"},0),2,3,4.5,7,10,12))*Sensitivity!$H$15,IF($G$24="Boss Monster Damage %",(CHOOSE(MATCH($F$24,{"Rare","Epic","Unique","Legendary","Mystic","Mystic (Prime)"},0),4,6,9,14,20,24))*Sensitivity!$H$11,IF($G$24="Normal Monster Damage %",(CHOOSE(MATCH($F$24,{"Rare","Epic","Unique","Legendary","Mystic","Mystic (Prime)"},0),4,6,9,14,20,24))*Sensitivity!$H$12,IF($G$24="Status Effect Damage %",0,IF($G$24="Damage %",(CHOOSE(MATCH($F$24,{"Rare","Epic","Unique","Legendary","Mystic","Mystic (Prime)"},0),4,6,9,14,20,24))*Sensitivity!$H$9,IF($G$24="Defense Penetration %",(CHOOSE(MATCH($F$24,{"Rare","Epic","Unique","Legendary","Mystic","Mystic (Prime)"},0),2,3,4.5,7,10,12))*Sensitivity!$H$19,0)))))))))))),0)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(Prime)"},0),2,3,4.5,7,10,12))*Sensitivity!$H$16,IF($J$24="Min Damage Multiplier %",(CHOOSE(MATCH($I$24,{"Rare","Epic","Unique","Legendary","Mystic","Mystic (Prime)"},0),2,3,4.5,7,10,12))*Sensitivity!$H$14,IF($J$24="Max Damage Multiplier %",(CHOOSE(MATCH($I$24,{"Rare","Epic","Unique","Legendary","Mystic","Mystic (Prime)"},0),2,3,4.5,7,10,12))*Sensitivity!$H$15,IF($J$24="Boss Monster Damage %",(CHOOSE(MATCH($I$24,{"Rare","Epic","Unique","Legendary","Mystic","Mystic (Prime)"},0),4,6,9,14,20,24))*Sensitivity!$H$11,IF($J$24="Normal Monster Damage %",(CHOOSE(MATCH($I$24,{"Rare","Epic","Unique","Legendary","Mystic","Mystic (Prime)"},0),4,6,9,14,20,24))*Sensitivity!$H$12,IF($J$24="Status Effect Damage %",0,IF($J$24="Damage %",(CHOOSE(MATCH($I$24,{"Rare","Epic","Unique","Legendary","Mystic","Mystic (Prime)"},0),4,6,9,14,20,24))*Sensitivity!$H$9,IF($J$24="Defense Penetration %",(CHOOSE(MATCH($I$24,{"Rare","Epic","Unique","Legendary","Mystic","Mystic (Prime)"},0),2,3,4.5,7,10,12))*Sensitivity!$H$19,0)))))))))))),0)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(Prime)"},0),2,3,4.5,7,10,12))*Sensitivity!$H$16,IF($D$25="Min Damage Multiplier %",(CHOOSE(MATCH($C$25,{"Rare","Epic","Unique","Legendary","Mystic","Mystic (Prime)"},0),2,3,4.5,7,10,12))*Sensitivity!$H$14,IF($D$25="Max Damage Multiplier %",(CHOOSE(MATCH($C$25,{"Rare","Epic","Unique","Legendary","Mystic","Mystic (Prime)"},0),2,3,4.5,7,10,12))*Sensitivity!$H$15,IF($D$25="Boss Monster Damage %",(CHOOSE(MATCH($C$25,{"Rare","Epic","Unique","Legendary","Mystic","Mystic (Prime)"},0),4,6,9,14,20,24))*Sensitivity!$H$11,IF($D$25="Normal Monster Damage %",(CHOOSE(MATCH($C$25,{"Rare","Epic","Unique","Legendary","Mystic","Mystic (Prime)"},0),4,6,9,14,20,24))*Sensitivity!$H$12,IF($D$25="Status Effect Damage %",0,IF($D$25="Damage %",(CHOOSE(MATCH($C$25,{"Rare","Epic","Unique","Legendary","Mystic","Mystic (Prime)"},0),4,6,9,14,20,24))*Sensitivity!$H$9,IF($D$25="Defense Penetration %",(CHOOSE(MATCH($C$25,{"Rare","Epic","Unique","Legendary","Mystic","Mystic (Prime)"},0),2,3,4.5,7,10,12))*Sensitivity!$H$19,0)))))))))))),0)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(Prime)"},0),2,3,4.5,7,10,12))*Sensitivity!$H$16,IF($G$25="Min Damage Multiplier %",(CHOOSE(MATCH($F$25,{"Rare","Epic","Unique","Legendary","Mystic","Mystic (Prime)"},0),2,3,4.5,7,10,12))*Sensitivity!$H$14,IF($G$25="Max Damage Multiplier %",(CHOOSE(MATCH($F$25,{"Rare","Epic","Unique","Legendary","Mystic","Mystic (Prime)"},0),2,3,4.5,7,10,12))*Sensitivity!$H$15,IF($G$25="Boss Monster Damage %",(CHOOSE(MATCH($F$25,{"Rare","Epic","Unique","Legendary","Mystic","Mystic (Prime)"},0),4,6,9,14,20,24))*Sensitivity!$H$11,IF($G$25="Normal Monster Damage %",(CHOOSE(MATCH($F$25,{"Rare","Epic","Unique","Legendary","Mystic","Mystic (Prime)"},0),4,6,9,14,20,24))*Sensitivity!$H$12,IF($G$25="Status Effect Damage %",0,IF($G$25="Damage %",(CHOOSE(MATCH($F$25,{"Rare","Epic","Unique","Legendary","Mystic","Mystic (Prime)"},0),4,6,9,14,20,24))*Sensitivity!$H$9,IF($G$25="Defense Penetration %",(CHOOSE(MATCH($F$25,{"Rare","Epic","Unique","Legendary","Mystic","Mystic (Prime)"},0),2,3,4.5,7,10,12))*Sensitivity!$H$19,0)))))))))))),0)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(Prime)"},0),2,3,4.5,7,10,12))*Sensitivity!$H$16,IF($J$25="Min Damage Multiplier %",(CHOOSE(MATCH($I$25,{"Rare","Epic","Unique","Legendary","Mystic","Mystic (Prime)"},0),2,3,4.5,7,10,12))*Sensitivity!$H$14,IF($J$25="Max Damage Multiplier %",(CHOOSE(MATCH($I$25,{"Rare","Epic","Unique","Legendary","Mystic","Mystic (Prime)"},0),2,3,4.5,7,10,12))*Sensitivity!$H$15,IF($J$25="Boss Monster Damage %",(CHOOSE(MATCH($I$25,{"Rare","Epic","Unique","Legendary","Mystic","Mystic (Prime)"},0),4,6,9,14,20,24))*Sensitivity!$H$11,IF($J$25="Normal Monster Damage %",(CHOOSE(MATCH($I$25,{"Rare","Epic","Unique","Legendary","Mystic","Mystic (Prime)"},0),4,6,9,14,20,24))*Sensitivity!$H$12,IF($J$25="Status Effect Damage %",0,IF($J$25="Damage %",(CHOOSE(MATCH($I$25,{"Rare","Epic","Unique","Legendary","Mystic","Mystic (Prime)"},0),4,6,9,14,20,24))*Sensitivity!$H$9,IF($J$25="Defense Penetration %",(CHOOSE(MATCH($I$25,{"Rare","Epic","Unique","Legendary","Mystic","Mystic (Prime)"},0),2,3,4.5,7,10,12))*Sensitivity!$H$19,0)))))))))))),0)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(Prime)"},0),2,3,4.5,7,10,12))*Sensitivity!$H$16,IF($D$26="Min Damage Multiplier %",(CHOOSE(MATCH($C$26,{"Rare","Epic","Unique","Legendary","Mystic","Mystic (Prime)"},0),2,3,4.5,7,10,12))*Sensitivity!$H$14,IF($D$26="Max Damage Multiplier %",(CHOOSE(MATCH($C$26,{"Rare","Epic","Unique","Legendary","Mystic","Mystic (Prime)"},0),2,3,4.5,7,10,12))*Sensitivity!$H$15,IF($D$26="Boss Monster Damage %",(CHOOSE(MATCH($C$26,{"Rare","Epic","Unique","Legendary","Mystic","Mystic (Prime)"},0),4,6,9,14,20,24))*Sensitivity!$H$11,IF($D$26="Normal Monster Damage %",(CHOOSE(MATCH($C$26,{"Rare","Epic","Unique","Legendary","Mystic","Mystic (Prime)"},0),4,6,9,14,20,24))*Sensitivity!$H$12,IF($D$26="Status Effect Damage %",0,IF($D$26="Damage %",(CHOOSE(MATCH($C$26,{"Rare","Epic","Unique","Legendary","Mystic","Mystic (Prime)"},0),4,6,9,14,20,24))*Sensitivity!$H$9,IF($D$26="Defense Penetration %",(CHOOSE(MATCH($C$26,{"Rare","Epic","Unique","Legendary","Mystic","Mystic (Prime)"},0),2,3,4.5,7,10,12))*Sensitivity!$H$19,0)))))))))))),0)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(Prime)"},0),2,3,4.5,7,10,12))*Sensitivity!$H$16,IF($G$26="Min Damage Multiplier %",(CHOOSE(MATCH($F$26,{"Rare","Epic","Unique","Legendary","Mystic","Mystic (Prime)"},0),2,3,4.5,7,10,12))*Sensitivity!$H$14,IF($G$26="Max Damage Multiplier %",(CHOOSE(MATCH($F$26,{"Rare","Epic","Unique","Legendary","Mystic","Mystic (Prime)"},0),2,3,4.5,7,10,12))*Sensitivity!$H$15,IF($G$26="Boss Monster Damage %",(CHOOSE(MATCH($F$26,{"Rare","Epic","Unique","Legendary","Mystic","Mystic (Prime)"},0),4,6,9,14,20,24))*Sensitivity!$H$11,IF($G$26="Normal Monster Damage %",(CHOOSE(MATCH($F$26,{"Rare","Epic","Unique","Legendary","Mystic","Mystic (Prime)"},0),4,6,9,14,20,24))*Sensitivity!$H$12,IF($G$26="Status Effect Damage %",0,IF($G$26="Damage %",(CHOOSE(MATCH($F$26,{"Rare","Epic","Unique","Legendary","Mystic","Mystic (Prime)"},0),4,6,9,14,20,24))*Sensitivity!$H$9,IF($G$26="Defense Penetration %",(CHOOSE(MATCH($F$26,{"Rare","Epic","Unique","Legendary","Mystic","Mystic (Prime)"},0),2,3,4.5,7,10,12))*Sensitivity!$H$19,0)))))))))))),0)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(Prime)"},0),2,3,4.5,7,10,12))*Sensitivity!$H$16,IF($J$26="Min Damage Multiplier %",(CHOOSE(MATCH($I$26,{"Rare","Epic","Unique","Legendary","Mystic","Mystic (Prime)"},0),2,3,4.5,7,10,12))*Sensitivity!$H$14,IF($J$26="Max Damage Multiplier %",(CHOOSE(MATCH($I$26,{"Rare","Epic","Unique","Legendary","Mystic","Mystic (Prime)"},0),2,3,4.5,7,10,12))*Sensitivity!$H$15,IF($J$26="Boss Monster Damage %",(CHOOSE(MATCH($I$26,{"Rare","Epic","Unique","Legendary","Mystic","Mystic (Prime)"},0),4,6,9,14,20,24))*Sensitivity!$H$11,IF($J$26="Normal Monster Damage %",(CHOOSE(MATCH($I$26,{"Rare","Epic","Unique","Legendary","Mystic","Mystic (Prime)"},0),4,6,9,14,20,24))*Sensitivity!$H$12,IF($J$26="Status Effect Damage %",0,IF($J$26="Damage %",(CHOOSE(MATCH($I$26,{"Rare","Epic","Unique","Legendary","Mystic","Mystic (Prime)"},0),4,6,9,14,20,24))*Sensitivity!$H$9,IF($J$26="Defense Penetration %",(CHOOSE(MATCH($I$26,{"Rare","Epic","Unique","Legendary","Mystic","Mystic (Prime)"},0),2,3,4.5,7,10,12))*Sensitivity!$H$19,0)))))))))))),0)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(Prime)"},0),2,3,4.5,7,10,12))*Sensitivity!$H$16,IF($D$27="Min Damage Multiplier %",(CHOOSE(MATCH($C$27,{"Rare","Epic","Unique","Legendary","Mystic","Mystic (Prime)"},0),2,3,4.5,7,10,12))*Sensitivity!$H$14,IF($D$27="Max Damage Multiplier %",(CHOOSE(MATCH($C$27,{"Rare","Epic","Unique","Legendary","Mystic","Mystic (Prime)"},0),2,3,4.5,7,10,12))*Sensitivity!$H$15,IF($D$27="Boss Monster Damage %",(CHOOSE(MATCH($C$27,{"Rare","Epic","Unique","Legendary","Mystic","Mystic (Prime)"},0),4,6,9,14,20,24))*Sensitivity!$H$11,IF($D$27="Normal Monster Damage %",(CHOOSE(MATCH($C$27,{"Rare","Epic","Unique","Legendary","Mystic","Mystic (Prime)"},0),4,6,9,14,20,24))*Sensitivity!$H$12,IF($D$27="Status Effect Damage %",0,IF($D$27="Damage %",(CHOOSE(MATCH($C$27,{"Rare","Epic","Unique","Legendary","Mystic","Mystic (Prime)"},0),4,6,9,14,20,24))*Sensitivity!$H$9,IF($D$27="Defense Penetration %",(CHOOSE(MATCH($C$27,{"Rare","Epic","Unique","Legendary","Mystic","Mystic (Prime)"},0),2,3,4.5,7,10,12))*Sensitivity!$H$19,0)))))))))))),0)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(Prime)"},0),2,3,4.5,7,10,12))*Sensitivity!$H$16,IF($G$27="Min Damage Multiplier %",(CHOOSE(MATCH($F$27,{"Rare","Epic","Unique","Legendary","Mystic","Mystic (Prime)"},0),2,3,4.5,7,10,12))*Sensitivity!$H$14,IF($G$27="Max Damage Multiplier %",(CHOOSE(MATCH($F$27,{"Rare","Epic","Unique","Legendary","Mystic","Mystic (Prime)"},0),2,3,4.5,7,10,12))*Sensitivity!$H$15,IF($G$27="Boss Monster Damage %",(CHOOSE(MATCH($F$27,{"Rare","Epic","Unique","Legendary","Mystic","Mystic (Prime)"},0),4,6,9,14,20,24))*Sensitivity!$H$11,IF($G$27="Normal Monster Damage %",(CHOOSE(MATCH($F$27,{"Rare","Epic","Unique","Legendary","Mystic","Mystic (Prime)"},0),4,6,9,14,20,24))*Sensitivity!$H$12,IF($G$27="Status Effect Damage %",0,IF($G$27="Damage %",(CHOOSE(MATCH($F$27,{"Rare","Epic","Unique","Legendary","Mystic","Mystic (Prime)"},0),4,6,9,14,20,24))*Sensitivity!$H$9,IF($G$27="Defense Penetration %",(CHOOSE(MATCH($F$27,{"Rare","Epic","Unique","Legendary","Mystic","Mystic (Prime)"},0),2,3,4.5,7,10,12))*Sensitivity!$H$19,0)))))))))))),0)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(Prime)"},0),2,3,4.5,7,10,12))*Sensitivity!$H$16,IF($J$27="Min Damage Multiplier %",(CHOOSE(MATCH($I$27,{"Rare","Epic","Unique","Legendary","Mystic","Mystic (Prime)"},0),2,3,4.5,7,10,12))*Sensitivity!$H$14,IF($J$27="Max Damage Multiplier %",(CHOOSE(MATCH($I$27,{"Rare","Epic","Unique","Legendary","Mystic","Mystic (Prime)"},0),2,3,4.5,7,10,12))*Sensitivity!$H$15,IF($J$27="Boss Monster Damage %",(CHOOSE(MATCH($I$27,{"Rare","Epic","Unique","Legendary","Mystic","Mystic (Prime)"},0),4,6,9,14,20,24))*Sensitivity!$H$11,IF($J$27="Normal Monster Damage %",(CHOOSE(MATCH($I$27,{"Rare","Epic","Unique","Legendary","Mystic","Mystic (Prime)"},0),4,6,9,14,20,24))*Sensitivity!$H$12,IF($J$27="Status Effect Damage %",0,IF($J$27="Damage %",(CHOOSE(MATCH($I$27,{"Rare","Epic","Unique","Legendary","Mystic","Mystic (Prime)"},0),4,6,9,14,20,24))*Sensitivity!$H$9,IF($J$27="Defense Penetration %",(CHOOSE(MATCH($I$27,{"Rare","Epic","Unique","Legendary","Mystic","Mystic (Prime)"},0),2,3,4.5,7,10,12))*Sensitivity!$H$19,0)))))))))))),0)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(Prime)"},0),2,3,4.5,7,10,12))*Sensitivity!$H$16,IF($D$28="Min Damage Multiplier %",(CHOOSE(MATCH($C$28,{"Rare","Epic","Unique","Legendary","Mystic","Mystic (Prime)"},0),2,3,4.5,7,10,12))*Sensitivity!$H$14,IF($D$28="Max Damage Multiplier %",(CHOOSE(MATCH($C$28,{"Rare","Epic","Unique","Legendary","Mystic","Mystic (Prime)"},0),2,3,4.5,7,10,12))*Sensitivity!$H$15,IF($D$28="Boss Monster Damage %",(CHOOSE(MATCH($C$28,{"Rare","Epic","Unique","Legendary","Mystic","Mystic (Prime)"},0),4,6,9,14,20,24))*Sensitivity!$H$11,IF($D$28="Normal Monster Damage %",(CHOOSE(MATCH($C$28,{"Rare","Epic","Unique","Legendary","Mystic","Mystic (Prime)"},0),4,6,9,14,20,24))*Sensitivity!$H$12,IF($D$28="Status Effect Damage %",0,IF($D$28="Damage %",(CHOOSE(MATCH($C$28,{"Rare","Epic","Unique","Legendary","Mystic","Mystic (Prime)"},0),4,6,9,14,20,24))*Sensitivity!$H$9,IF($D$28="Defense Penetration %",(CHOOSE(MATCH($C$28,{"Rare","Epic","Unique","Legendary","Mystic","Mystic (Prime)"},0),2,3,4.5,7,10,12))*Sensitivity!$H$19,0)))))))))))),0)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(Prime)"},0),2,3,4.5,7,10,12))*Sensitivity!$H$16,IF($G$28="Min Damage Multiplier %",(CHOOSE(MATCH($F$28,{"Rare","Epic","Unique","Legendary","Mystic","Mystic (Prime)"},0),2,3,4.5,7,10,12))*Sensitivity!$H$14,IF($G$28="Max Damage Multiplier %",(CHOOSE(MATCH($F$28,{"Rare","Epic","Unique","Legendary","Mystic","Mystic (Prime)"},0),2,3,4.5,7,10,12))*Sensitivity!$H$15,IF($G$28="Boss Monster Damage %",(CHOOSE(MATCH($F$28,{"Rare","Epic","Unique","Legendary","Mystic","Mystic (Prime)"},0),4,6,9,14,20,24))*Sensitivity!$H$11,IF($G$28="Normal Monster Damage %",(CHOOSE(MATCH($F$28,{"Rare","Epic","Unique","Legendary","Mystic","Mystic (Prime)"},0),4,6,9,14,20,24))*Sensitivity!$H$12,IF($G$28="Status Effect Damage %",0,IF($G$28="Damage %",(CHOOSE(MATCH($F$28,{"Rare","Epic","Unique","Legendary","Mystic","Mystic (Prime)"},0),4,6,9,14,20,24))*Sensitivity!$H$9,IF($G$28="Defense Penetration %",(CHOOSE(MATCH($F$28,{"Rare","Epic","Unique","Legendary","Mystic","Mystic (Prime)"},0),2,3,4.5,7,10,12))*Sensitivity!$H$19,0)))))))))))),0)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(Prime)"},0),2,3,4.5,7,10,12))*Sensitivity!$H$16,IF($J$28="Min Damage Multiplier %",(CHOOSE(MATCH($I$28,{"Rare","Epic","Unique","Legendary","Mystic","Mystic (Prime)"},0),2,3,4.5,7,10,12))*Sensitivity!$H$14,IF($J$28="Max Damage Multiplier %",(CHOOSE(MATCH($I$28,{"Rare","Epic","Unique","Legendary","Mystic","Mystic (Prime)"},0),2,3,4.5,7,10,12))*Sensitivity!$H$15,IF($J$28="Boss Monster Damage %",(CHOOSE(MATCH($I$28,{"Rare","Epic","Unique","Legendary","Mystic","Mystic (Prime)"},0),4,6,9,14,20,24))*Sensitivity!$H$11,IF($J$28="Normal Monster Damage %",(CHOOSE(MATCH($I$28,{"Rare","Epic","Unique","Legendary","Mystic","Mystic (Prime)"},0),4,6,9,14,20,24))*Sensitivity!$H$12,IF($J$28="Status Effect Damage %",0,IF($J$28="Damage %",(CHOOSE(MATCH($I$28,{"Rare","Epic","Unique","Legendary","Mystic","Mystic (Prime)"},0),4,6,9,14,20,24))*Sensitivity!$H$9,IF($J$28="Defense Penetration %",(CHOOSE(MATCH($I$28,{"Rare","Epic","Unique","Legendary","Mystic","Mystic (Prime)"},0),2,3,4.5,7,10,12))*Sensitivity!$H$19,0)))))))))))),0)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(Prime)"},0),2,3,4.5,7,10,12))*Sensitivity!$H$16,IF($D$29="Min Damage Multiplier %",(CHOOSE(MATCH($C$29,{"Rare","Epic","Unique","Legendary","Mystic","Mystic (Prime)"},0),2,3,4.5,7,10,12))*Sensitivity!$H$14,IF($D$29="Max Damage Multiplier %",(CHOOSE(MATCH($C$29,{"Rare","Epic","Unique","Legendary","Mystic","Mystic (Prime)"},0),2,3,4.5,7,10,12))*Sensitivity!$H$15,IF($D$29="Boss Monster Damage %",(CHOOSE(MATCH($C$29,{"Rare","Epic","Unique","Legendary","Mystic","Mystic (Prime)"},0),4,6,9,14,20,24))*Sensitivity!$H$11,IF($D$29="Normal Monster Damage %",(CHOOSE(MATCH($C$29,{"Rare","Epic","Unique","Legendary","Mystic","Mystic (Prime)"},0),4,6,9,14,20,24))*Sensitivity!$H$12,IF($D$29="Status Effect Damage %",0,IF($D$29="Damage %",(CHOOSE(MATCH($C$29,{"Rare","Epic","Unique","Legendary","Mystic","Mystic (Prime)"},0),4,6,9,14,20,24))*Sensitivity!$H$9,IF($D$29="Defense Penetration %",(CHOOSE(MATCH($C$29,{"Rare","Epic","Unique","Legendary","Mystic","Mystic (Prime)"},0),2,3,4.5,7,10,12))*Sensitivity!$H$19,0)))))))))))),0)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(Prime)"},0),2,3,4.5,7,10,12))*Sensitivity!$H$16,IF($G$29="Min Damage Multiplier %",(CHOOSE(MATCH($F$29,{"Rare","Epic","Unique","Legendary","Mystic","Mystic (Prime)"},0),2,3,4.5,7,10,12))*Sensitivity!$H$14,IF($G$29="Max Damage Multiplier %",(CHOOSE(MATCH($F$29,{"Rare","Epic","Unique","Legendary","Mystic","Mystic (Prime)"},0),2,3,4.5,7,10,12))*Sensitivity!$H$15,IF($G$29="Boss Monster Damage %",(CHOOSE(MATCH($F$29,{"Rare","Epic","Unique","Legendary","Mystic","Mystic (Prime)"},0),4,6,9,14,20,24))*Sensitivity!$H$11,IF($G$29="Normal Monster Damage %",(CHOOSE(MATCH($F$29,{"Rare","Epic","Unique","Legendary","Mystic","Mystic (Prime)"},0),4,6,9,14,20,24))*Sensitivity!$H$12,IF($G$29="Status Effect Damage %",0,IF($G$29="Damage %",(CHOOSE(MATCH($F$29,{"Rare","Epic","Unique","Legendary","Mystic","Mystic (Prime)"},0),4,6,9,14,20,24))*Sensitivity!$H$9,IF($G$29="Defense Penetration %",(CHOOSE(MATCH($F$29,{"Rare","Epic","Unique","Legendary","Mystic","Mystic (Prime)"},0),2,3,4.5,7,10,12))*Sensitivity!$H$19,0)))))))))))),0)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(Prime)"},0),2,3,4.5,7,10,12))*Sensitivity!$H$16,IF($J$29="Min Damage Multiplier %",(CHOOSE(MATCH($I$29,{"Rare","Epic","Unique","Legendary","Mystic","Mystic (Prime)"},0),2,3,4.5,7,10,12))*Sensitivity!$H$14,IF($J$29="Max Damage Multiplier %",(CHOOSE(MATCH($I$29,{"Rare","Epic","Unique","Legendary","Mystic","Mystic (Prime)"},0),2,3,4.5,7,10,12))*Sensitivity!$H$15,IF($J$29="Boss Monster Damage %",(CHOOSE(MATCH($I$29,{"Rare","Epic","Unique","Legendary","Mystic","Mystic (Prime)"},0),4,6,9,14,20,24))*Sensitivity!$H$11,IF($J$29="Normal Monster Damage %",(CHOOSE(MATCH($I$29,{"Rare","Epic","Unique","Legendary","Mystic","Mystic (Prime)"},0),4,6,9,14,20,24))*Sensitivity!$H$12,IF($J$29="Status Effect Damage %",0,IF($J$29="Damage %",(CHOOSE(MATCH($I$29,{"Rare","Epic","Unique","Legendary","Mystic","Mystic (Prime)"},0),4,6,9,14,20,24))*Sensitivity!$H$9,IF($J$29="Defense Penetration %",(CHOOSE(MATCH($I$29,{"Rare","Epic","Unique","Legendary","Mystic","Mystic (Prime)"},0),2,3,4.5,7,10,12))*Sensitivity!$H$19,0)))))))))))),0)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(Prime)"},0),2,3,4.5,7,10,12))*Sensitivity!$H$16,IF($D$30="Min Damage Multiplier %",(CHOOSE(MATCH($C$30,{"Rare","Epic","Unique","Legendary","Mystic","Mystic (Prime)"},0),2,3,4.5,7,10,12))*Sensitivity!$H$14,IF($D$30="Max Damage Multiplier %",(CHOOSE(MATCH($C$30,{"Rare","Epic","Unique","Legendary","Mystic","Mystic (Prime)"},0),2,3,4.5,7,10,12))*Sensitivity!$H$15,IF($D$30="Boss Monster Damage %",(CHOOSE(MATCH($C$30,{"Rare","Epic","Unique","Legendary","Mystic","Mystic (Prime)"},0),4,6,9,14,20,24))*Sensitivity!$H$11,IF($D$30="Normal Monster Damage %",(CHOOSE(MATCH($C$30,{"Rare","Epic","Unique","Legendary","Mystic","Mystic (Prime)"},0),4,6,9,14,20,24))*Sensitivity!$H$12,IF($D$30="Status Effect Damage %",0,IF($D$30="Damage %",(CHOOSE(MATCH($C$30,{"Rare","Epic","Unique","Legendary","Mystic","Mystic (Prime)"},0),4,6,9,14,20,24))*Sensitivity!$H$9,IF($D$30="Defense Penetration %",(CHOOSE(MATCH($C$30,{"Rare","Epic","Unique","Legendary","Mystic","Mystic (Prime)"},0),2,3,4.5,7,10,12))*Sensitivity!$H$19,0)))))))))))),0)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(Prime)"},0),2,3,4.5,7,10,12))*Sensitivity!$H$16,IF($G$30="Min Damage Multiplier %",(CHOOSE(MATCH($F$30,{"Rare","Epic","Unique","Legendary","Mystic","Mystic (Prime)"},0),2,3,4.5,7,10,12))*Sensitivity!$H$14,IF($G$30="Max Damage Multiplier %",(CHOOSE(MATCH($F$30,{"Rare","Epic","Unique","Legendary","Mystic","Mystic (Prime)"},0),2,3,4.5,7,10,12))*Sensitivity!$H$15,IF($G$30="Boss Monster Damage %",(CHOOSE(MATCH($F$30,{"Rare","Epic","Unique","Legendary","Mystic","Mystic (Prime)"},0),4,6,9,14,20,24))*Sensitivity!$H$11,IF($G$30="Normal Monster Damage %",(CHOOSE(MATCH($F$30,{"Rare","Epic","Unique","Legendary","Mystic","Mystic (Prime)"},0),4,6,9,14,20,24))*Sensitivity!$H$12,IF($G$30="Status Effect Damage %",0,IF($G$30="Damage %",(CHOOSE(MATCH($F$30,{"Rare","Epic","Unique","Legendary","Mystic","Mystic (Prime)"},0),4,6,9,14,20,24))*Sensitivity!$H$9,IF($G$30="Defense Penetration %",(CHOOSE(MATCH($F$30,{"Rare","Epic","Unique","Legendary","Mystic","Mystic (Prime)"},0),2,3,4.5,7,10,12))*Sensitivity!$H$19,0)))))))))))),0)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(Prime)"},0),2,3,4.5,7,10,12))*Sensitivity!$H$16,IF($J$30="Min Damage Multiplier %",(CHOOSE(MATCH($I$30,{"Rare","Epic","Unique","Legendary","Mystic","Mystic (Prime)"},0),2,3,4.5,7,10,12))*Sensitivity!$H$14,IF($J$30="Max Damage Multiplier %",(CHOOSE(MATCH($I$30,{"Rare","Epic","Unique","Legendary","Mystic","Mystic (Prime)"},0),2,3,4.5,7,10,12))*Sensitivity!$H$15,IF($J$30="Boss Monster Damage %",(CHOOSE(MATCH($I$30,{"Rare","Epic","Unique","Legendary","Mystic","Mystic (Prime)"},0),4,6,9,14,20,24))*Sensitivity!$H$11,IF($J$30="Normal Monster Damage %",(CHOOSE(MATCH($I$30,{"Rare","Epic","Unique","Legendary","Mystic","Mystic (Prime)"},0),4,6,9,14,20,24))*Sensitivity!$H$12,IF($J$30="Status Effect Damage %",0,IF($J$30="Damage %",(CHOOSE(MATCH($I$30,{"Rare","Epic","Unique","Legendary","Mystic","Mystic (Prime)"},0),4,6,9,14,20,24))*Sensitivity!$H$9,IF($J$30="Defense Penetration %",(CHOOSE(MATCH($I$30,{"Rare","Epic","Unique","Legendary","Mystic","Mystic (Prime)"},0),2,3,4.5,7,10,12))*Sensitivity!$H$19,0)))))))))))),0)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(Prime)"},0),2,3,4.5,7,10,12))*Sensitivity!$H$16,IF($D$31="Min Damage Multiplier %",(CHOOSE(MATCH($C$31,{"Rare","Epic","Unique","Legendary","Mystic","Mystic (Prime)"},0),2,3,4.5,7,10,12))*Sensitivity!$H$14,IF($D$31="Max Damage Multiplier %",(CHOOSE(MATCH($C$31,{"Rare","Epic","Unique","Legendary","Mystic","Mystic (Prime)"},0),2,3,4.5,7,10,12))*Sensitivity!$H$15,IF($D$31="Boss Monster Damage %",(CHOOSE(MATCH($C$31,{"Rare","Epic","Unique","Legendary","Mystic","Mystic (Prime)"},0),4,6,9,14,20,24))*Sensitivity!$H$11,IF($D$31="Normal Monster Damage %",(CHOOSE(MATCH($C$31,{"Rare","Epic","Unique","Legendary","Mystic","Mystic (Prime)"},0),4,6,9,14,20,24))*Sensitivity!$H$12,IF($D$31="Status Effect Damage %",0,IF($D$31="Damage %",(CHOOSE(MATCH($C$31,{"Rare","Epic","Unique","Legendary","Mystic","Mystic (Prime)"},0),4,6,9,14,20,24))*Sensitivity!$H$9,IF($D$31="Defense Penetration %",(CHOOSE(MATCH($C$31,{"Rare","Epic","Unique","Legendary","Mystic","Mystic (Prime)"},0),2,3,4.5,7,10,12))*Sensitivity!$H$19,0)))))))))))),0)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(Prime)"},0),2,3,4.5,7,10,12))*Sensitivity!$H$16,IF($G$31="Min Damage Multiplier %",(CHOOSE(MATCH($F$31,{"Rare","Epic","Unique","Legendary","Mystic","Mystic (Prime)"},0),2,3,4.5,7,10,12))*Sensitivity!$H$14,IF($G$31="Max Damage Multiplier %",(CHOOSE(MATCH($F$31,{"Rare","Epic","Unique","Legendary","Mystic","Mystic (Prime)"},0),2,3,4.5,7,10,12))*Sensitivity!$H$15,IF($G$31="Boss Monster Damage %",(CHOOSE(MATCH($F$31,{"Rare","Epic","Unique","Legendary","Mystic","Mystic (Prime)"},0),4,6,9,14,20,24))*Sensitivity!$H$11,IF($G$31="Normal Monster Damage %",(CHOOSE(MATCH($F$31,{"Rare","Epic","Unique","Legendary","Mystic","Mystic (Prime)"},0),4,6,9,14,20,24))*Sensitivity!$H$12,IF($G$31="Status Effect Damage %",0,IF($G$31="Damage %",(CHOOSE(MATCH($F$31,{"Rare","Epic","Unique","Legendary","Mystic","Mystic (Prime)"},0),4,6,9,14,20,24))*Sensitivity!$H$9,IF($G$31="Defense Penetration %",(CHOOSE(MATCH($F$31,{"Rare","Epic","Unique","Legendary","Mystic","Mystic (Prime)"},0),2,3,4.5,7,10,12))*Sensitivity!$H$19,0)))))))))))),0)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(Prime)"},0),2,3,4.5,7,10,12))*Sensitivity!$H$16,IF($J$31="Min Damage Multiplier %",(CHOOSE(MATCH($I$31,{"Rare","Epic","Unique","Legendary","Mystic","Mystic (Prime)"},0),2,3,4.5,7,10,12))*Sensitivity!$H$14,IF($J$31="Max Damage Multiplier %",(CHOOSE(MATCH($I$31,{"Rare","Epic","Unique","Legendary","Mystic","Mystic (Prime)"},0),2,3,4.5,7,10,12))*Sensitivity!$H$15,IF($J$31="Boss Monster Damage %",(CHOOSE(MATCH($I$31,{"Rare","Epic","Unique","Legendary","Mystic","Mystic (Prime)"},0),4,6,9,14,20,24))*Sensitivity!$H$11,IF($J$31="Normal Monster Damage %",(CHOOSE(MATCH($I$31,{"Rare","Epic","Unique","Legendary","Mystic","Mystic (Prime)"},0),4,6,9,14,20,24))*Sensitivity!$H$12,IF($J$31="Status Effect Damage %",0,IF($J$31="Damage %",(CHOOSE(MATCH($I$31,{"Rare","Epic","Unique","Legendary","Mystic","Mystic (Prime)"},0),4,6,9,14,20,24))*Sensitivity!$H$9,IF($J$31="Defense Penetration %",(CHOOSE(MATCH($I$31,{"Rare","Epic","Unique","Legendary","Mystic","Mystic (Prime)"},0),2,3,4.5,7,10,12))*Sensitivity!$H$19,0)))))))))))),0)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(Prime)"},0),2,3,4.5,7,10,12))*Sensitivity!$H$16,IF($D$32="Min Damage Multiplier %",(CHOOSE(MATCH($C$32,{"Rare","Epic","Unique","Legendary","Mystic","Mystic (Prime)"},0),2,3,4.5,7,10,12))*Sensitivity!$H$14,IF($D$32="Max Damage Multiplier %",(CHOOSE(MATCH($C$32,{"Rare","Epic","Unique","Legendary","Mystic","Mystic (Prime)"},0),2,3,4.5,7,10,12))*Sensitivity!$H$15,IF($D$32="Boss Monster Damage %",(CHOOSE(MATCH($C$32,{"Rare","Epic","Unique","Legendary","Mystic","Mystic (Prime)"},0),4,6,9,14,20,24))*Sensitivity!$H$11,IF($D$32="Normal Monster Damage %",(CHOOSE(MATCH($C$32,{"Rare","Epic","Unique","Legendary","Mystic","Mystic (Prime)"},0),4,6,9,14,20,24))*Sensitivity!$H$12,IF($D$32="Status Effect Damage %",0,IF($D$32="Damage %",(CHOOSE(MATCH($C$32,{"Rare","Epic","Unique","Legendary","Mystic","Mystic (Prime)"},0),4,6,9,14,20,24))*Sensitivity!$H$9,IF($D$32="Defense Penetration %",(CHOOSE(MATCH($C$32,{"Rare","Epic","Unique","Legendary","Mystic","Mystic (Prime)"},0),2,3,4.5,7,10,12))*Sensitivity!$H$19,0)))))))))))),0)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(Prime)"},0),2,3,4.5,7,10,12))*Sensitivity!$H$16,IF($G$32="Min Damage Multiplier %",(CHOOSE(MATCH($F$32,{"Rare","Epic","Unique","Legendary","Mystic","Mystic (Prime)"},0),2,3,4.5,7,10,12))*Sensitivity!$H$14,IF($G$32="Max Damage Multiplier %",(CHOOSE(MATCH($F$32,{"Rare","Epic","Unique","Legendary","Mystic","Mystic (Prime)"},0),2,3,4.5,7,10,12))*Sensitivity!$H$15,IF($G$32="Boss Monster Damage %",(CHOOSE(MATCH($F$32,{"Rare","Epic","Unique","Legendary","Mystic","Mystic (Prime)"},0),4,6,9,14,20,24))*Sensitivity!$H$11,IF($G$32="Normal Monster Damage %",(CHOOSE(MATCH($F$32,{"Rare","Epic","Unique","Legendary","Mystic","Mystic (Prime)"},0),4,6,9,14,20,24))*Sensitivity!$H$12,IF($G$32="Status Effect Damage %",0,IF($G$32="Damage %",(CHOOSE(MATCH($F$32,{"Rare","Epic","Unique","Legendary","Mystic","Mystic (Prime)"},0),4,6,9,14,20,24))*Sensitivity!$H$9,IF($G$32="Defense Penetration %",(CHOOSE(MATCH($F$32,{"Rare","Epic","Unique","Legendary","Mystic","Mystic (Prime)"},0),2,3,4.5,7,10,12))*Sensitivity!$H$19,0)))))))))))),0)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(Prime)"},0),2,3,4.5,7,10,12))*Sensitivity!$H$16,IF($J$32="Min Damage Multiplier %",(CHOOSE(MATCH($I$32,{"Rare","Epic","Unique","Legendary","Mystic","Mystic (Prime)"},0),2,3,4.5,7,10,12))*Sensitivity!$H$14,IF($J$32="Max Damage Multiplier %",(CHOOSE(MATCH($I$32,{"Rare","Epic","Unique","Legendary","Mystic","Mystic (Prime)"},0),2,3,4.5,7,10,12))*Sensitivity!$H$15,IF($J$32="Boss Monster Damage %",(CHOOSE(MATCH($I$32,{"Rare","Epic","Unique","Legendary","Mystic","Mystic (Prime)"},0),4,6,9,14,20,24))*Sensitivity!$H$11,IF($J$32="Normal Monster Damage %",(CHOOSE(MATCH($I$32,{"Rare","Epic","Unique","Legendary","Mystic","Mystic (Prime)"},0),4,6,9,14,20,24))*Sensitivity!$H$12,IF($J$32="Status Effect Damage %",0,IF($J$32="Damage %",(CHOOSE(MATCH($I$32,{"Rare","Epic","Unique","Legendary","Mystic","Mystic (Prime)"},0),4,6,9,14,20,24))*Sensitivity!$H$9,IF($J$32="Defense Penetration %",(CHOOSE(MATCH($I$32,{"Rare","Epic","Unique","Legendary","Mystic","Mystic (Prime)"},0),2,3,4.5,7,10,12))*Sensitivity!$H$19,0)))))))))))),0)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(Prime)"},0),2,3,4.5,7,10,12))*Sensitivity!$H$16,IF($D$33="Min Damage Multiplier %",(CHOOSE(MATCH($C$33,{"Rare","Epic","Unique","Legendary","Mystic","Mystic (Prime)"},0),2,3,4.5,7,10,12))*Sensitivity!$H$14,IF($D$33="Max Damage Multiplier %",(CHOOSE(MATCH($C$33,{"Rare","Epic","Unique","Legendary","Mystic","Mystic (Prime)"},0),2,3,4.5,7,10,12))*Sensitivity!$H$15,IF($D$33="Boss Monster Damage %",(CHOOSE(MATCH($C$33,{"Rare","Epic","Unique","Legendary","Mystic","Mystic (Prime)"},0),4,6,9,14,20,24))*Sensitivity!$H$11,IF($D$33="Normal Monster Damage %",(CHOOSE(MATCH($C$33,{"Rare","Epic","Unique","Legendary","Mystic","Mystic (Prime)"},0),4,6,9,14,20,24))*Sensitivity!$H$12,IF($D$33="Status Effect Damage %",0,IF($D$33="Damage %",(CHOOSE(MATCH($C$33,{"Rare","Epic","Unique","Legendary","Mystic","Mystic (Prime)"},0),4,6,9,14,20,24))*Sensitivity!$H$9,IF($D$33="Defense Penetration %",(CHOOSE(MATCH($C$33,{"Rare","Epic","Unique","Legendary","Mystic","Mystic (Prime)"},0),2,3,4.5,7,10,12))*Sensitivity!$H$19,0)))))))))))),0)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(Prime)"},0),2,3,4.5,7,10,12))*Sensitivity!$H$16,IF($G$33="Min Damage Multiplier %",(CHOOSE(MATCH($F$33,{"Rare","Epic","Unique","Legendary","Mystic","Mystic (Prime)"},0),2,3,4.5,7,10,12))*Sensitivity!$H$14,IF($G$33="Max Damage Multiplier %",(CHOOSE(MATCH($F$33,{"Rare","Epic","Unique","Legendary","Mystic","Mystic (Prime)"},0),2,3,4.5,7,10,12))*Sensitivity!$H$15,IF($G$33="Boss Monster Damage %",(CHOOSE(MATCH($F$33,{"Rare","Epic","Unique","Legendary","Mystic","Mystic (Prime)"},0),4,6,9,14,20,24))*Sensitivity!$H$11,IF($G$33="Normal Monster Damage %",(CHOOSE(MATCH($F$33,{"Rare","Epic","Unique","Legendary","Mystic","Mystic (Prime)"},0),4,6,9,14,20,24))*Sensitivity!$H$12,IF($G$33="Status Effect Damage %",0,IF($G$33="Damage %",(CHOOSE(MATCH($F$33,{"Rare","Epic","Unique","Legendary","Mystic","Mystic (Prime)"},0),4,6,9,14,20,24))*Sensitivity!$H$9,IF($G$33="Defense Penetration %",(CHOOSE(MATCH($F$33,{"Rare","Epic","Unique","Legendary","Mystic","Mystic (Prime)"},0),2,3,4.5,7,10,12))*Sensitivity!$H$19,0)))))))))))),0)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(Prime)"},0),2,3,4.5,7,10,12))*Sensitivity!$H$16,IF($J$33="Min Damage Multiplier %",(CHOOSE(MATCH($I$33,{"Rare","Epic","Unique","Legendary","Mystic","Mystic (Prime)"},0),2,3,4.5,7,10,12))*Sensitivity!$H$14,IF($J$33="Max Damage Multiplier %",(CHOOSE(MATCH($I$33,{"Rare","Epic","Unique","Legendary","Mystic","Mystic (Prime)"},0),2,3,4.5,7,10,12))*Sensitivity!$H$15,IF($J$33="Boss Monster Damage %",(CHOOSE(MATCH($I$33,{"Rare","Epic","Unique","Legendary","Mystic","Mystic (Prime)"},0),4,6,9,14,20,24))*Sensitivity!$H$11,IF($J$33="Normal Monster Damage %",(CHOOSE(MATCH($I$33,{"Rare","Epic","Unique","Legendary","Mystic","Mystic (Prime)"},0),4,6,9,14,20,24))*Sensitivity!$H$12,IF($J$33="Status Effect Damage %",0,IF($J$33="Damage %",(CHOOSE(MATCH($I$33,{"Rare","Epic","Unique","Legendary","Mystic","Mystic (Prime)"},0),4,6,9,14,20,24))*Sensitivity!$H$9,IF($J$33="Defense Penetration %",(CHOOSE(MATCH($I$33,{"Rare","Epic","Unique","Legendary","Mystic","Mystic (Prime)"},0),2,3,4.5,7,10,12))*Sensitivity!$H$19,0)))))))))))),0)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(Prime)"},0),2,3,4.5,7,10,12))*Sensitivity!$H$16,IF($D$34="Min Damage Multiplier %",(CHOOSE(MATCH($C$34,{"Rare","Epic","Unique","Legendary","Mystic","Mystic (Prime)"},0),2,3,4.5,7,10,12))*Sensitivity!$H$14,IF($D$34="Max Damage Multiplier %",(CHOOSE(MATCH($C$34,{"Rare","Epic","Unique","Legendary","Mystic","Mystic (Prime)"},0),2,3,4.5,7,10,12))*Sensitivity!$H$15,IF($D$34="Boss Monster Damage %",(CHOOSE(MATCH($C$34,{"Rare","Epic","Unique","Legendary","Mystic","Mystic (Prime)"},0),4,6,9,14,20,24))*Sensitivity!$H$11,IF($D$34="Normal Monster Damage %",(CHOOSE(MATCH($C$34,{"Rare","Epic","Unique","Legendary","Mystic","Mystic (Prime)"},0),4,6,9,14,20,24))*Sensitivity!$H$12,IF($D$34="Status Effect Damage %",0,IF($D$34="Damage %",(CHOOSE(MATCH($C$34,{"Rare","Epic","Unique","Legendary","Mystic","Mystic (Prime)"},0),4,6,9,14,20,24))*Sensitivity!$H$9,IF($D$34="Defense Penetration %",(CHOOSE(MATCH($C$34,{"Rare","Epic","Unique","Legendary","Mystic","Mystic (Prime)"},0),2,3,4.5,7,10,12))*Sensitivity!$H$19,0)))))))))))),0)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(Prime)"},0),2,3,4.5,7,10,12))*Sensitivity!$H$16,IF($G$34="Min Damage Multiplier %",(CHOOSE(MATCH($F$34,{"Rare","Epic","Unique","Legendary","Mystic","Mystic (Prime)"},0),2,3,4.5,7,10,12))*Sensitivity!$H$14,IF($G$34="Max Damage Multiplier %",(CHOOSE(MATCH($F$34,{"Rare","Epic","Unique","Legendary","Mystic","Mystic (Prime)"},0),2,3,4.5,7,10,12))*Sensitivity!$H$15,IF($G$34="Boss Monster Damage %",(CHOOSE(MATCH($F$34,{"Rare","Epic","Unique","Legendary","Mystic","Mystic (Prime)"},0),4,6,9,14,20,24))*Sensitivity!$H$11,IF($G$34="Normal Monster Damage %",(CHOOSE(MATCH($F$34,{"Rare","Epic","Unique","Legendary","Mystic","Mystic (Prime)"},0),4,6,9,14,20,24))*Sensitivity!$H$12,IF($G$34="Status Effect Damage %",0,IF($G$34="Damage %",(CHOOSE(MATCH($F$34,{"Rare","Epic","Unique","Legendary","Mystic","Mystic (Prime)"},0),4,6,9,14,20,24))*Sensitivity!$H$9,IF($G$34="Defense Penetration %",(CHOOSE(MATCH($F$34,{"Rare","Epic","Unique","Legendary","Mystic","Mystic (Prime)"},0),2,3,4.5,7,10,12))*Sensitivity!$H$19,0)))))))))))),0)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(Prime)"},0),2,3,4.5,7,10,12))*Sensitivity!$H$16,IF($J$34="Min Damage Multiplier %",(CHOOSE(MATCH($I$34,{"Rare","Epic","Unique","Legendary","Mystic","Mystic (Prime)"},0),2,3,4.5,7,10,12))*Sensitivity!$H$14,IF($J$34="Max Damage Multiplier %",(CHOOSE(MATCH($I$34,{"Rare","Epic","Unique","Legendary","Mystic","Mystic (Prime)"},0),2,3,4.5,7,10,12))*Sensitivity!$H$15,IF($J$34="Boss Monster Damage %",(CHOOSE(MATCH($I$34,{"Rare","Epic","Unique","Legendary","Mystic","Mystic (Prime)"},0),4,6,9,14,20,24))*Sensitivity!$H$11,IF($J$34="Normal Monster Damage %",(CHOOSE(MATCH($I$34,{"Rare","Epic","Unique","Legendary","Mystic","Mystic (Prime)"},0),4,6,9,14,20,24))*Sensitivity!$H$12,IF($J$34="Status Effect Damage %",0,IF($J$34="Damage %",(CHOOSE(MATCH($I$34,{"Rare","Epic","Unique","Legendary","Mystic","Mystic (Prime)"},0),4,6,9,14,20,24))*Sensitivity!$H$9,IF($J$34="Defense Penetration %",(CHOOSE(MATCH($I$34,{"Rare","Epic","Unique","Legendary","Mystic","Mystic (Prime)"},0),2,3,4.5,7,10,12))*Sensitivity!$H$19,0)))))))))))),0)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(Prime)"},0),2,3,4.5,7,10,12))*Sensitivity!$H$16,IF($D$35="Min Damage Multiplier %",(CHOOSE(MATCH($C$35,{"Rare","Epic","Unique","Legendary","Mystic","Mystic (Prime)"},0),2,3,4.5,7,10,12))*Sensitivity!$H$14,IF($D$35="Max Damage Multiplier %",(CHOOSE(MATCH($C$35,{"Rare","Epic","Unique","Legendary","Mystic","Mystic (Prime)"},0),2,3,4.5,7,10,12))*Sensitivity!$H$15,IF($D$35="Boss Monster Damage %",(CHOOSE(MATCH($C$35,{"Rare","Epic","Unique","Legendary","Mystic","Mystic (Prime)"},0),4,6,9,14,20,24))*Sensitivity!$H$11,IF($D$35="Normal Monster Damage %",(CHOOSE(MATCH($C$35,{"Rare","Epic","Unique","Legendary","Mystic","Mystic (Prime)"},0),4,6,9,14,20,24))*Sensitivity!$H$12,IF($D$35="Status Effect Damage %",0,IF($D$35="Damage %",(CHOOSE(MATCH($C$35,{"Rare","Epic","Unique","Legendary","Mystic","Mystic (Prime)"},0),4,6,9,14,20,24))*Sensitivity!$H$9,IF($D$35="Defense Penetration %",(CHOOSE(MATCH($C$35,{"Rare","Epic","Unique","Legendary","Mystic","Mystic (Prime)"},0),2,3,4.5,7,10,12))*Sensitivity!$H$19,0)))))))))))),0)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(Prime)"},0),2,3,4.5,7,10,12))*Sensitivity!$H$16,IF($G$35="Min Damage Multiplier %",(CHOOSE(MATCH($F$35,{"Rare","Epic","Unique","Legendary","Mystic","Mystic (Prime)"},0),2,3,4.5,7,10,12))*Sensitivity!$H$14,IF($G$35="Max Damage Multiplier %",(CHOOSE(MATCH($F$35,{"Rare","Epic","Unique","Legendary","Mystic","Mystic (Prime)"},0),2,3,4.5,7,10,12))*Sensitivity!$H$15,IF($G$35="Boss Monster Damage %",(CHOOSE(MATCH($F$35,{"Rare","Epic","Unique","Legendary","Mystic","Mystic (Prime)"},0),4,6,9,14,20,24))*Sensitivity!$H$11,IF($G$35="Normal Monster Damage %",(CHOOSE(MATCH($F$35,{"Rare","Epic","Unique","Legendary","Mystic","Mystic (Prime)"},0),4,6,9,14,20,24))*Sensitivity!$H$12,IF($G$35="Status Effect Damage %",0,IF($G$35="Damage %",(CHOOSE(MATCH($F$35,{"Rare","Epic","Unique","Legendary","Mystic","Mystic (Prime)"},0),4,6,9,14,20,24))*Sensitivity!$H$9,IF($G$35="Defense Penetration %",(CHOOSE(MATCH($F$35,{"Rare","Epic","Unique","Legendary","Mystic","Mystic (Prime)"},0),2,3,4.5,7,10,12))*Sensitivity!$H$19,0)))))))))))),0)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(Prime)"},0),2,3,4.5,7,10,12))*Sensitivity!$H$16,IF($J$35="Min Damage Multiplier %",(CHOOSE(MATCH($I$35,{"Rare","Epic","Unique","Legendary","Mystic","Mystic (Prime)"},0),2,3,4.5,7,10,12))*Sensitivity!$H$14,IF($J$35="Max Damage Multiplier %",(CHOOSE(MATCH($I$35,{"Rare","Epic","Unique","Legendary","Mystic","Mystic (Prime)"},0),2,3,4.5,7,10,12))*Sensitivity!$H$15,IF($J$35="Boss Monster Damage %",(CHOOSE(MATCH($I$35,{"Rare","Epic","Unique","Legendary","Mystic","Mystic (Prime)"},0),4,6,9,14,20,24))*Sensitivity!$H$11,IF($J$35="Normal Monster Damage %",(CHOOSE(MATCH($I$35,{"Rare","Epic","Unique","Legendary","Mystic","Mystic (Prime)"},0),4,6,9,14,20,24))*Sensitivity!$H$12,IF($J$35="Status Effect Damage %",0,IF($J$35="Damage %",(CHOOSE(MATCH($I$35,{"Rare","Epic","Unique","Legendary","Mystic","Mystic (Prime)"},0),4,6,9,14,20,24))*Sensitivity!$H$9,IF($J$35="Defense Penetration %",(CHOOSE(MATCH($I$35,{"Rare","Epic","Unique","Legendary","Mystic","Mystic (Prime)"},0),2,3,4.5,7,10,12))*Sensitivity!$H$19,0)))))))))))),0)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(Prime)"},0),2,3,4.5,7,10,12))*Sensitivity!$H$16,IF($D$36="Min Damage Multiplier %",(CHOOSE(MATCH($C$36,{"Rare","Epic","Unique","Legendary","Mystic","Mystic (Prime)"},0),2,3,4.5,7,10,12))*Sensitivity!$H$14,IF($D$36="Max Damage Multiplier %",(CHOOSE(MATCH($C$36,{"Rare","Epic","Unique","Legendary","Mystic","Mystic (Prime)"},0),2,3,4.5,7,10,12))*Sensitivity!$H$15,IF($D$36="Boss Monster Damage %",(CHOOSE(MATCH($C$36,{"Rare","Epic","Unique","Legendary","Mystic","Mystic (Prime)"},0),4,6,9,14,20,24))*Sensitivity!$H$11,IF($D$36="Normal Monster Damage %",(CHOOSE(MATCH($C$36,{"Rare","Epic","Unique","Legendary","Mystic","Mystic (Prime)"},0),4,6,9,14,20,24))*Sensitivity!$H$12,IF($D$36="Status Effect Damage %",0,IF($D$36="Damage %",(CHOOSE(MATCH($C$36,{"Rare","Epic","Unique","Legendary","Mystic","Mystic (Prime)"},0),4,6,9,14,20,24))*Sensitivity!$H$9,IF($D$36="Defense Penetration %",(CHOOSE(MATCH($C$36,{"Rare","Epic","Unique","Legendary","Mystic","Mystic (Prime)"},0),2,3,4.5,7,10,12))*Sensitivity!$H$19,0)))))))))))),0)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(Prime)"},0),2,3,4.5,7,10,12))*Sensitivity!$H$16,IF($G$36="Min Damage Multiplier %",(CHOOSE(MATCH($F$36,{"Rare","Epic","Unique","Legendary","Mystic","Mystic (Prime)"},0),2,3,4.5,7,10,12))*Sensitivity!$H$14,IF($G$36="Max Damage Multiplier %",(CHOOSE(MATCH($F$36,{"Rare","Epic","Unique","Legendary","Mystic","Mystic (Prime)"},0),2,3,4.5,7,10,12))*Sensitivity!$H$15,IF($G$36="Boss Monster Damage %",(CHOOSE(MATCH($F$36,{"Rare","Epic","Unique","Legendary","Mystic","Mystic (Prime)"},0),4,6,9,14,20,24))*Sensitivity!$H$11,IF($G$36="Normal Monster Damage %",(CHOOSE(MATCH($F$36,{"Rare","Epic","Unique","Legendary","Mystic","Mystic (Prime)"},0),4,6,9,14,20,24))*Sensitivity!$H$12,IF($G$36="Status Effect Damage %",0,IF($G$36="Damage %",(CHOOSE(MATCH($F$36,{"Rare","Epic","Unique","Legendary","Mystic","Mystic (Prime)"},0),4,6,9,14,20,24))*Sensitivity!$H$9,IF($G$36="Defense Penetration %",(CHOOSE(MATCH($F$36,{"Rare","Epic","Unique","Legendary","Mystic","Mystic (Prime)"},0),2,3,4.5,7,10,12))*Sensitivity!$H$19,0)))))))))))),0)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(Prime)"},0),2,3,4.5,7,10,12))*Sensitivity!$H$16,IF($J$36="Min Damage Multiplier %",(CHOOSE(MATCH($I$36,{"Rare","Epic","Unique","Legendary","Mystic","Mystic (Prime)"},0),2,3,4.5,7,10,12))*Sensitivity!$H$14,IF($J$36="Max Damage Multiplier %",(CHOOSE(MATCH($I$36,{"Rare","Epic","Unique","Legendary","Mystic","Mystic (Prime)"},0),2,3,4.5,7,10,12))*Sensitivity!$H$15,IF($J$36="Boss Monster Damage %",(CHOOSE(MATCH($I$36,{"Rare","Epic","Unique","Legendary","Mystic","Mystic (Prime)"},0),4,6,9,14,20,24))*Sensitivity!$H$11,IF($J$36="Normal Monster Damage %",(CHOOSE(MATCH($I$36,{"Rare","Epic","Unique","Legendary","Mystic","Mystic (Prime)"},0),4,6,9,14,20,24))*Sensitivity!$H$12,IF($J$36="Status Effect Damage %",0,IF($J$36="Damage %",(CHOOSE(MATCH($I$36,{"Rare","Epic","Unique","Legendary","Mystic","Mystic (Prime)"},0),4,6,9,14,20,24))*Sensitivity!$H$9,IF($J$36="Defense Penetration %",(CHOOSE(MATCH($I$36,{"Rare","Epic","Unique","Legendary","Mystic","Mystic (Prime)"},0),2,3,4.5,7,10,12))*Sensitivity!$H$19,0)))))))))))),0)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(Prime)"},0),2,3,4.5,7,10,12))*Sensitivity!$H$16,IF($D$37="Min Damage Multiplier %",(CHOOSE(MATCH($C$37,{"Rare","Epic","Unique","Legendary","Mystic","Mystic (Prime)"},0),2,3,4.5,7,10,12))*Sensitivity!$H$14,IF($D$37="Max Damage Multiplier %",(CHOOSE(MATCH($C$37,{"Rare","Epic","Unique","Legendary","Mystic","Mystic (Prime)"},0),2,3,4.5,7,10,12))*Sensitivity!$H$15,IF($D$37="Boss Monster Damage %",(CHOOSE(MATCH($C$37,{"Rare","Epic","Unique","Legendary","Mystic","Mystic (Prime)"},0),4,6,9,14,20,24))*Sensitivity!$H$11,IF($D$37="Normal Monster Damage %",(CHOOSE(MATCH($C$37,{"Rare","Epic","Unique","Legendary","Mystic","Mystic (Prime)"},0),4,6,9,14,20,24))*Sensitivity!$H$12,IF($D$37="Status Effect Damage %",0,IF($D$37="Damage %",(CHOOSE(MATCH($C$37,{"Rare","Epic","Unique","Legendary","Mystic","Mystic (Prime)"},0),4,6,9,14,20,24))*Sensitivity!$H$9,IF($D$37="Defense Penetration %",(CHOOSE(MATCH($C$37,{"Rare","Epic","Unique","Legendary","Mystic","Mystic (Prime)"},0),2,3,4.5,7,10,12))*Sensitivity!$H$19,0)))))))))))),0)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(Prime)"},0),2,3,4.5,7,10,12))*Sensitivity!$H$16,IF($G$37="Min Damage Multiplier %",(CHOOSE(MATCH($F$37,{"Rare","Epic","Unique","Legendary","Mystic","Mystic (Prime)"},0),2,3,4.5,7,10,12))*Sensitivity!$H$14,IF($G$37="Max Damage Multiplier %",(CHOOSE(MATCH($F$37,{"Rare","Epic","Unique","Legendary","Mystic","Mystic (Prime)"},0),2,3,4.5,7,10,12))*Sensitivity!$H$15,IF($G$37="Boss Monster Damage %",(CHOOSE(MATCH($F$37,{"Rare","Epic","Unique","Legendary","Mystic","Mystic (Prime)"},0),4,6,9,14,20,24))*Sensitivity!$H$11,IF($G$37="Normal Monster Damage %",(CHOOSE(MATCH($F$37,{"Rare","Epic","Unique","Legendary","Mystic","Mystic (Prime)"},0),4,6,9,14,20,24))*Sensitivity!$H$12,IF($G$37="Status Effect Damage %",0,IF($G$37="Damage %",(CHOOSE(MATCH($F$37,{"Rare","Epic","Unique","Legendary","Mystic","Mystic (Prime)"},0),4,6,9,14,20,24))*Sensitivity!$H$9,IF($G$37="Defense Penetration %",(CHOOSE(MATCH($F$37,{"Rare","Epic","Unique","Legendary","Mystic","Mystic (Prime)"},0),2,3,4.5,7,10,12))*Sensitivity!$H$19,0)))))))))))),0)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(Prime)"},0),2,3,4.5,7,10,12))*Sensitivity!$H$16,IF($J$37="Min Damage Multiplier %",(CHOOSE(MATCH($I$37,{"Rare","Epic","Unique","Legendary","Mystic","Mystic (Prime)"},0),2,3,4.5,7,10,12))*Sensitivity!$H$14,IF($J$37="Max Damage Multiplier %",(CHOOSE(MATCH($I$37,{"Rare","Epic","Unique","Legendary","Mystic","Mystic (Prime)"},0),2,3,4.5,7,10,12))*Sensitivity!$H$15,IF($J$37="Boss Monster Damage %",(CHOOSE(MATCH($I$37,{"Rare","Epic","Unique","Legendary","Mystic","Mystic (Prime)"},0),4,6,9,14,20,24))*Sensitivity!$H$11,IF($J$37="Normal Monster Damage %",(CHOOSE(MATCH($I$37,{"Rare","Epic","Unique","Legendary","Mystic","Mystic (Prime)"},0),4,6,9,14,20,24))*Sensitivity!$H$12,IF($J$37="Status Effect Damage %",0,IF($J$37="Damage %",(CHOOSE(MATCH($I$37,{"Rare","Epic","Unique","Legendary","Mystic","Mystic (Prime)"},0),4,6,9,14,20,24))*Sensitivity!$H$9,IF($J$37="Defense Penetration %",(CHOOSE(MATCH($I$37,{"Rare","Epic","Unique","Legendary","Mystic","Mystic (Prime)"},0),2,3,4.5,7,10,12))*Sensitivity!$H$19,0)))))))))))),0)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(Prime)"},0),2,3,4.5,7,10,12))*Sensitivity!$H$16,IF($D$38="Min Damage Multiplier %",(CHOOSE(MATCH($C$38,{"Rare","Epic","Unique","Legendary","Mystic","Mystic (Prime)"},0),2,3,4.5,7,10,12))*Sensitivity!$H$14,IF($D$38="Max Damage Multiplier %",(CHOOSE(MATCH($C$38,{"Rare","Epic","Unique","Legendary","Mystic","Mystic (Prime)"},0),2,3,4.5,7,10,12))*Sensitivity!$H$15,IF($D$38="Boss Monster Damage %",(CHOOSE(MATCH($C$38,{"Rare","Epic","Unique","Legendary","Mystic","Mystic (Prime)"},0),4,6,9,14,20,24))*Sensitivity!$H$11,IF($D$38="Normal Monster Damage %",(CHOOSE(MATCH($C$38,{"Rare","Epic","Unique","Legendary","Mystic","Mystic (Prime)"},0),4,6,9,14,20,24))*Sensitivity!$H$12,IF($D$38="Status Effect Damage %",0,IF($D$38="Damage %",(CHOOSE(MATCH($C$38,{"Rare","Epic","Unique","Legendary","Mystic","Mystic (Prime)"},0),4,6,9,14,20,24))*Sensitivity!$H$9,IF($D$38="Defense Penetration %",(CHOOSE(MATCH($C$38,{"Rare","Epic","Unique","Legendary","Mystic","Mystic (Prime)"},0),2,3,4.5,7,10,12))*Sensitivity!$H$19,0)))))))))))),0)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(Prime)"},0),2,3,4.5,7,10,12))*Sensitivity!$H$16,IF($G$38="Min Damage Multiplier %",(CHOOSE(MATCH($F$38,{"Rare","Epic","Unique","Legendary","Mystic","Mystic (Prime)"},0),2,3,4.5,7,10,12))*Sensitivity!$H$14,IF($G$38="Max Damage Multiplier %",(CHOOSE(MATCH($F$38,{"Rare","Epic","Unique","Legendary","Mystic","Mystic (Prime)"},0),2,3,4.5,7,10,12))*Sensitivity!$H$15,IF($G$38="Boss Monster Damage %",(CHOOSE(MATCH($F$38,{"Rare","Epic","Unique","Legendary","Mystic","Mystic (Prime)"},0),4,6,9,14,20,24))*Sensitivity!$H$11,IF($G$38="Normal Monster Damage %",(CHOOSE(MATCH($F$38,{"Rare","Epic","Unique","Legendary","Mystic","Mystic (Prime)"},0),4,6,9,14,20,24))*Sensitivity!$H$12,IF($G$38="Status Effect Damage %",0,IF($G$38="Damage %",(CHOOSE(MATCH($F$38,{"Rare","Epic","Unique","Legendary","Mystic","Mystic (Prime)"},0),4,6,9,14,20,24))*Sensitivity!$H$9,IF($G$38="Defense Penetration %",(CHOOSE(MATCH($F$38,{"Rare","Epic","Unique","Legendary","Mystic","Mystic (Prime)"},0),2,3,4.5,7,10,12))*Sensitivity!$H$19,0)))))))))))),0)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(Prime)"},0),2,3,4.5,7,10,12))*Sensitivity!$H$16,IF($J$38="Min Damage Multiplier %",(CHOOSE(MATCH($I$38,{"Rare","Epic","Unique","Legendary","Mystic","Mystic (Prime)"},0),2,3,4.5,7,10,12))*Sensitivity!$H$14,IF($J$38="Max Damage Multiplier %",(CHOOSE(MATCH($I$38,{"Rare","Epic","Unique","Legendary","Mystic","Mystic (Prime)"},0),2,3,4.5,7,10,12))*Sensitivity!$H$15,IF($J$38="Boss Monster Damage %",(CHOOSE(MATCH($I$38,{"Rare","Epic","Unique","Legendary","Mystic","Mystic (Prime)"},0),4,6,9,14,20,24))*Sensitivity!$H$11,IF($J$38="Normal Monster Damage %",(CHOOSE(MATCH($I$38,{"Rare","Epic","Unique","Legendary","Mystic","Mystic (Prime)"},0),4,6,9,14,20,24))*Sensitivity!$H$12,IF($J$38="Status Effect Damage %",0,IF($J$38="Damage %",(CHOOSE(MATCH($I$38,{"Rare","Epic","Unique","Legendary","Mystic","Mystic (Prime)"},0),4,6,9,14,20,24))*Sensitivity!$H$9,IF($J$38="Defense Penetration %",(CHOOSE(MATCH($I$38,{"Rare","Epic","Unique","Legendary","Mystic","Mystic (Prime)"},0),2,3,4.5,7,10,12))*Sensitivity!$H$19,0)))))))))))),0)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(Prime)"},0),2,3,4.5,7,10,12))*Sensitivity!$H$16,IF($D$39="Min Damage Multiplier %",(CHOOSE(MATCH($C$39,{"Rare","Epic","Unique","Legendary","Mystic","Mystic (Prime)"},0),2,3,4.5,7,10,12))*Sensitivity!$H$14,IF($D$39="Max Damage Multiplier %",(CHOOSE(MATCH($C$39,{"Rare","Epic","Unique","Legendary","Mystic","Mystic (Prime)"},0),2,3,4.5,7,10,12))*Sensitivity!$H$15,IF($D$39="Boss Monster Damage %",(CHOOSE(MATCH($C$39,{"Rare","Epic","Unique","Legendary","Mystic","Mystic (Prime)"},0),4,6,9,14,20,24))*Sensitivity!$H$11,IF($D$39="Normal Monster Damage %",(CHOOSE(MATCH($C$39,{"Rare","Epic","Unique","Legendary","Mystic","Mystic (Prime)"},0),4,6,9,14,20,24))*Sensitivity!$H$12,IF($D$39="Status Effect Damage %",0,IF($D$39="Damage %",(CHOOSE(MATCH($C$39,{"Rare","Epic","Unique","Legendary","Mystic","Mystic (Prime)"},0),4,6,9,14,20,24))*Sensitivity!$H$9,IF($D$39="Defense Penetration %",(CHOOSE(MATCH($C$39,{"Rare","Epic","Unique","Legendary","Mystic","Mystic (Prime)"},0),2,3,4.5,7,10,12))*Sensitivity!$H$19,0)))))))))))),0)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(Prime)"},0),2,3,4.5,7,10,12))*Sensitivity!$H$16,IF($G$39="Min Damage Multiplier %",(CHOOSE(MATCH($F$39,{"Rare","Epic","Unique","Legendary","Mystic","Mystic (Prime)"},0),2,3,4.5,7,10,12))*Sensitivity!$H$14,IF($G$39="Max Damage Multiplier %",(CHOOSE(MATCH($F$39,{"Rare","Epic","Unique","Legendary","Mystic","Mystic (Prime)"},0),2,3,4.5,7,10,12))*Sensitivity!$H$15,IF($G$39="Boss Monster Damage %",(CHOOSE(MATCH($F$39,{"Rare","Epic","Unique","Legendary","Mystic","Mystic (Prime)"},0),4,6,9,14,20,24))*Sensitivity!$H$11,IF($G$39="Normal Monster Damage %",(CHOOSE(MATCH($F$39,{"Rare","Epic","Unique","Legendary","Mystic","Mystic (Prime)"},0),4,6,9,14,20,24))*Sensitivity!$H$12,IF($G$39="Status Effect Damage %",0,IF($G$39="Damage %",(CHOOSE(MATCH($F$39,{"Rare","Epic","Unique","Legendary","Mystic","Mystic (Prime)"},0),4,6,9,14,20,24))*Sensitivity!$H$9,IF($G$39="Defense Penetration %",(CHOOSE(MATCH($F$39,{"Rare","Epic","Unique","Legendary","Mystic","Mystic (Prime)"},0),2,3,4.5,7,10,12))*Sensitivity!$H$19,0)))))))))))),0)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(Prime)"},0),2,3,4.5,7,10,12))*Sensitivity!$H$16,IF($J$39="Min Damage Multiplier %",(CHOOSE(MATCH($I$39,{"Rare","Epic","Unique","Legendary","Mystic","Mystic (Prime)"},0),2,3,4.5,7,10,12))*Sensitivity!$H$14,IF($J$39="Max Damage Multiplier %",(CHOOSE(MATCH($I$39,{"Rare","Epic","Unique","Legendary","Mystic","Mystic (Prime)"},0),2,3,4.5,7,10,12))*Sensitivity!$H$15,IF($J$39="Boss Monster Damage %",(CHOOSE(MATCH($I$39,{"Rare","Epic","Unique","Legendary","Mystic","Mystic (Prime)"},0),4,6,9,14,20,24))*Sensitivity!$H$11,IF($J$39="Normal Monster Damage %",(CHOOSE(MATCH($I$39,{"Rare","Epic","Unique","Legendary","Mystic","Mystic (Prime)"},0),4,6,9,14,20,24))*Sensitivity!$H$12,IF($J$39="Status Effect Damage %",0,IF($J$39="Damage %",(CHOOSE(MATCH($I$39,{"Rare","Epic","Unique","Legendary","Mystic","Mystic (Prime)"},0),4,6,9,14,20,24))*Sensitivity!$H$9,IF($J$39="Defense Penetration %",(CHOOSE(MATCH($I$39,{"Rare","Epic","Unique","Legendary","Mystic","Mystic (Prime)"},0),2,3,4.5,7,10,12))*Sensitivity!$H$19,0)))))))))))),0)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(Prime)"},0),2,3,4.5,7,10,12))*Sensitivity!$H$16,IF($D$40="Min Damage Multiplier %",(CHOOSE(MATCH($C$40,{"Rare","Epic","Unique","Legendary","Mystic","Mystic (Prime)"},0),2,3,4.5,7,10,12))*Sensitivity!$H$14,IF($D$40="Max Damage Multiplier %",(CHOOSE(MATCH($C$40,{"Rare","Epic","Unique","Legendary","Mystic","Mystic (Prime)"},0),2,3,4.5,7,10,12))*Sensitivity!$H$15,IF($D$40="Boss Monster Damage %",(CHOOSE(MATCH($C$40,{"Rare","Epic","Unique","Legendary","Mystic","Mystic (Prime)"},0),4,6,9,14,20,24))*Sensitivity!$H$11,IF($D$40="Normal Monster Damage %",(CHOOSE(MATCH($C$40,{"Rare","Epic","Unique","Legendary","Mystic","Mystic (Prime)"},0),4,6,9,14,20,24))*Sensitivity!$H$12,IF($D$40="Status Effect Damage %",0,IF($D$40="Damage %",(CHOOSE(MATCH($C$40,{"Rare","Epic","Unique","Legendary","Mystic","Mystic (Prime)"},0),4,6,9,14,20,24))*Sensitivity!$H$9,IF($D$40="Defense Penetration %",(CHOOSE(MATCH($C$40,{"Rare","Epic","Unique","Legendary","Mystic","Mystic (Prime)"},0),2,3,4.5,7,10,12))*Sensitivity!$H$19,0)))))))))))),0)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(Prime)"},0),2,3,4.5,7,10,12))*Sensitivity!$H$16,IF($G$40="Min Damage Multiplier %",(CHOOSE(MATCH($F$40,{"Rare","Epic","Unique","Legendary","Mystic","Mystic (Prime)"},0),2,3,4.5,7,10,12))*Sensitivity!$H$14,IF($G$40="Max Damage Multiplier %",(CHOOSE(MATCH($F$40,{"Rare","Epic","Unique","Legendary","Mystic","Mystic (Prime)"},0),2,3,4.5,7,10,12))*Sensitivity!$H$15,IF($G$40="Boss Monster Damage %",(CHOOSE(MATCH($F$40,{"Rare","Epic","Unique","Legendary","Mystic","Mystic (Prime)"},0),4,6,9,14,20,24))*Sensitivity!$H$11,IF($G$40="Normal Monster Damage %",(CHOOSE(MATCH($F$40,{"Rare","Epic","Unique","Legendary","Mystic","Mystic (Prime)"},0),4,6,9,14,20,24))*Sensitivity!$H$12,IF($G$40="Status Effect Damage %",0,IF($G$40="Damage %",(CHOOSE(MATCH($F$40,{"Rare","Epic","Unique","Legendary","Mystic","Mystic (Prime)"},0),4,6,9,14,20,24))*Sensitivity!$H$9,IF($G$40="Defense Penetration %",(CHOOSE(MATCH($F$40,{"Rare","Epic","Unique","Legendary","Mystic","Mystic (Prime)"},0),2,3,4.5,7,10,12))*Sensitivity!$H$19,0)))))))))))),0)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(Prime)"},0),2,3,4.5,7,10,12))*Sensitivity!$H$16,IF($J$40="Min Damage Multiplier %",(CHOOSE(MATCH($I$40,{"Rare","Epic","Unique","Legendary","Mystic","Mystic (Prime)"},0),2,3,4.5,7,10,12))*Sensitivity!$H$14,IF($J$40="Max Damage Multiplier %",(CHOOSE(MATCH($I$40,{"Rare","Epic","Unique","Legendary","Mystic","Mystic (Prime)"},0),2,3,4.5,7,10,12))*Sensitivity!$H$15,IF($J$40="Boss Monster Damage %",(CHOOSE(MATCH($I$40,{"Rare","Epic","Unique","Legendary","Mystic","Mystic (Prime)"},0),4,6,9,14,20,24))*Sensitivity!$H$11,IF($J$40="Normal Monster Damage %",(CHOOSE(MATCH($I$40,{"Rare","Epic","Unique","Legendary","Mystic","Mystic (Prime)"},0),4,6,9,14,20,24))*Sensitivity!$H$12,IF($J$40="Status Effect Damage %",0,IF($J$40="Damage %",(CHOOSE(MATCH($I$40,{"Rare","Epic","Unique","Legendary","Mystic","Mystic (Prime)"},0),4,6,9,14,20,24))*Sensitivity!$H$9,IF($J$40="Defense Penetration %",(CHOOSE(MATCH($I$40,{"Rare","Epic","Unique","Legendary","Mystic","Mystic (Prime)"},0),2,3,4.5,7,10,12))*Sensitivity!$H$19,0)))))))))))),0)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(Prime)"},0),2,3,4.5,7,10,12))*Sensitivity!$H$16,IF($D$41="Min Damage Multiplier %",(CHOOSE(MATCH($C$41,{"Rare","Epic","Unique","Legendary","Mystic","Mystic (Prime)"},0),2,3,4.5,7,10,12))*Sensitivity!$H$14,IF($D$41="Max Damage Multiplier %",(CHOOSE(MATCH($C$41,{"Rare","Epic","Unique","Legendary","Mystic","Mystic (Prime)"},0),2,3,4.5,7,10,12))*Sensitivity!$H$15,IF($D$41="Boss Monster Damage %",(CHOOSE(MATCH($C$41,{"Rare","Epic","Unique","Legendary","Mystic","Mystic (Prime)"},0),4,6,9,14,20,24))*Sensitivity!$H$11,IF($D$41="Normal Monster Damage %",(CHOOSE(MATCH($C$41,{"Rare","Epic","Unique","Legendary","Mystic","Mystic (Prime)"},0),4,6,9,14,20,24))*Sensitivity!$H$12,IF($D$41="Status Effect Damage %",0,IF($D$41="Damage %",(CHOOSE(MATCH($C$41,{"Rare","Epic","Unique","Legendary","Mystic","Mystic (Prime)"},0),4,6,9,14,20,24))*Sensitivity!$H$9,IF($D$41="Defense Penetration %",(CHOOSE(MATCH($C$41,{"Rare","Epic","Unique","Legendary","Mystic","Mystic (Prime)"},0),2,3,4.5,7,10,12))*Sensitivity!$H$19,0)))))))))))),0)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(Prime)"},0),2,3,4.5,7,10,12))*Sensitivity!$H$16,IF($G$41="Min Damage Multiplier %",(CHOOSE(MATCH($F$41,{"Rare","Epic","Unique","Legendary","Mystic","Mystic (Prime)"},0),2,3,4.5,7,10,12))*Sensitivity!$H$14,IF($G$41="Max Damage Multiplier %",(CHOOSE(MATCH($F$41,{"Rare","Epic","Unique","Legendary","Mystic","Mystic (Prime)"},0),2,3,4.5,7,10,12))*Sensitivity!$H$15,IF($G$41="Boss Monster Damage %",(CHOOSE(MATCH($F$41,{"Rare","Epic","Unique","Legendary","Mystic","Mystic (Prime)"},0),4,6,9,14,20,24))*Sensitivity!$H$11,IF($G$41="Normal Monster Damage %",(CHOOSE(MATCH($F$41,{"Rare","Epic","Unique","Legendary","Mystic","Mystic (Prime)"},0),4,6,9,14,20,24))*Sensitivity!$H$12,IF($G$41="Status Effect Damage %",0,IF($G$41="Damage %",(CHOOSE(MATCH($F$41,{"Rare","Epic","Unique","Legendary","Mystic","Mystic (Prime)"},0),4,6,9,14,20,24))*Sensitivity!$H$9,IF($G$41="Defense Penetration %",(CHOOSE(MATCH($F$41,{"Rare","Epic","Unique","Legendary","Mystic","Mystic (Prime)"},0),2,3,4.5,7,10,12))*Sensitivity!$H$19,0)))))))))))),0)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(Prime)"},0),2,3,4.5,7,10,12))*Sensitivity!$H$16,IF($J$41="Min Damage Multiplier %",(CHOOSE(MATCH($I$41,{"Rare","Epic","Unique","Legendary","Mystic","Mystic (Prime)"},0),2,3,4.5,7,10,12))*Sensitivity!$H$14,IF($J$41="Max Damage Multiplier %",(CHOOSE(MATCH($I$41,{"Rare","Epic","Unique","Legendary","Mystic","Mystic (Prime)"},0),2,3,4.5,7,10,12))*Sensitivity!$H$15,IF($J$41="Boss Monster Damage %",(CHOOSE(MATCH($I$41,{"Rare","Epic","Unique","Legendary","Mystic","Mystic (Prime)"},0),4,6,9,14,20,24))*Sensitivity!$H$11,IF($J$41="Normal Monster Damage %",(CHOOSE(MATCH($I$41,{"Rare","Epic","Unique","Legendary","Mystic","Mystic (Prime)"},0),4,6,9,14,20,24))*Sensitivity!$H$12,IF($J$41="Status Effect Damage %",0,IF($J$41="Damage %",(CHOOSE(MATCH($I$41,{"Rare","Epic","Unique","Legendary","Mystic","Mystic (Prime)"},0),4,6,9,14,20,24))*Sensitivity!$H$9,IF($J$41="Defense Penetration %",(CHOOSE(MATCH($I$41,{"Rare","Epic","Unique","Legendary","Mystic","Mystic (Prime)"},0),2,3,4.5,7,10,12))*Sensitivity!$H$19,0)))))))))))),0)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(Prime)"},0),2,3,4.5,7,10,12))*Sensitivity!$H$16,IF($D$42="Min Damage Multiplier %",(CHOOSE(MATCH($C$42,{"Rare","Epic","Unique","Legendary","Mystic","Mystic (Prime)"},0),2,3,4.5,7,10,12))*Sensitivity!$H$14,IF($D$42="Max Damage Multiplier %",(CHOOSE(MATCH($C$42,{"Rare","Epic","Unique","Legendary","Mystic","Mystic (Prime)"},0),2,3,4.5,7,10,12))*Sensitivity!$H$15,IF($D$42="Boss Monster Damage %",(CHOOSE(MATCH($C$42,{"Rare","Epic","Unique","Legendary","Mystic","Mystic (Prime)"},0),4,6,9,14,20,24))*Sensitivity!$H$11,IF($D$42="Normal Monster Damage %",(CHOOSE(MATCH($C$42,{"Rare","Epic","Unique","Legendary","Mystic","Mystic (Prime)"},0),4,6,9,14,20,24))*Sensitivity!$H$12,IF($D$42="Status Effect Damage %",0,IF($D$42="Damage %",(CHOOSE(MATCH($C$42,{"Rare","Epic","Unique","Legendary","Mystic","Mystic (Prime)"},0),4,6,9,14,20,24))*Sensitivity!$H$9,IF($D$42="Defense Penetration %",(CHOOSE(MATCH($C$42,{"Rare","Epic","Unique","Legendary","Mystic","Mystic (Prime)"},0),2,3,4.5,7,10,12))*Sensitivity!$H$19,0)))))))))))),0)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(Prime)"},0),2,3,4.5,7,10,12))*Sensitivity!$H$16,IF($G$42="Min Damage Multiplier %",(CHOOSE(MATCH($F$42,{"Rare","Epic","Unique","Legendary","Mystic","Mystic (Prime)"},0),2,3,4.5,7,10,12))*Sensitivity!$H$14,IF($G$42="Max Damage Multiplier %",(CHOOSE(MATCH($F$42,{"Rare","Epic","Unique","Legendary","Mystic","Mystic (Prime)"},0),2,3,4.5,7,10,12))*Sensitivity!$H$15,IF($G$42="Boss Monster Damage %",(CHOOSE(MATCH($F$42,{"Rare","Epic","Unique","Legendary","Mystic","Mystic (Prime)"},0),4,6,9,14,20,24))*Sensitivity!$H$11,IF($G$42="Normal Monster Damage %",(CHOOSE(MATCH($F$42,{"Rare","Epic","Unique","Legendary","Mystic","Mystic (Prime)"},0),4,6,9,14,20,24))*Sensitivity!$H$12,IF($G$42="Status Effect Damage %",0,IF($G$42="Damage %",(CHOOSE(MATCH($F$42,{"Rare","Epic","Unique","Legendary","Mystic","Mystic (Prime)"},0),4,6,9,14,20,24))*Sensitivity!$H$9,IF($G$42="Defense Penetration %",(CHOOSE(MATCH($F$42,{"Rare","Epic","Unique","Legendary","Mystic","Mystic (Prime)"},0),2,3,4.5,7,10,12))*Sensitivity!$H$19,0)))))))))))),0)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(Prime)"},0),2,3,4.5,7,10,12))*Sensitivity!$H$16,IF($J$42="Min Damage Multiplier %",(CHOOSE(MATCH($I$42,{"Rare","Epic","Unique","Legendary","Mystic","Mystic (Prime)"},0),2,3,4.5,7,10,12))*Sensitivity!$H$14,IF($J$42="Max Damage Multiplier %",(CHOOSE(MATCH($I$42,{"Rare","Epic","Unique","Legendary","Mystic","Mystic (Prime)"},0),2,3,4.5,7,10,12))*Sensitivity!$H$15,IF($J$42="Boss Monster Damage %",(CHOOSE(MATCH($I$42,{"Rare","Epic","Unique","Legendary","Mystic","Mystic (Prime)"},0),4,6,9,14,20,24))*Sensitivity!$H$11,IF($J$42="Normal Monster Damage %",(CHOOSE(MATCH($I$42,{"Rare","Epic","Unique","Legendary","Mystic","Mystic (Prime)"},0),4,6,9,14,20,24))*Sensitivity!$H$12,IF($J$42="Status Effect Damage %",0,IF($J$42="Damage %",(CHOOSE(MATCH($I$42,{"Rare","Epic","Unique","Legendary","Mystic","Mystic (Prime)"},0),4,6,9,14,20,24))*Sensitivity!$H$9,IF($J$42="Defense Penetration %",(CHOOSE(MATCH($I$42,{"Rare","Epic","Unique","Legendary","Mystic","Mystic (Prime)"},0),2,3,4.5,7,10,12))*Sensitivity!$H$19,0)))))))))))),0)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2026-09-27T07:39:46Z</dcterms:created>
  <dcterms:modified xsi:type="dcterms:W3CDTF">2026-09-27T07:39:46Z</dcterms:modified>
</cp:coreProperties>
</file>