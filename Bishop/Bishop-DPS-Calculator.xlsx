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46" customWidth="1" min="1" max="1"/>
    <col width="16" customWidth="1" min="2" max="2"/>
  </cols>
  <sheetData>
    <row r="1">
      <c r="A1" s="4" t="inlineStr">
        <is>
          <t>Bishop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Invincible converts a level-scaling % (10% at Lv.1, growing with level) of it into INT, and PvP assumes the opponent has the same total Defense as you</t>
        </is>
      </c>
      <c r="B8" s="6" t="n">
        <v>0</v>
      </c>
    </row>
    <row r="9">
      <c r="A9" s="5" t="inlineStr">
        <is>
          <t>Defense % (Invincible converts total Defense, incl. this %, into INT, at a level-scaling rate)</t>
        </is>
      </c>
      <c r="B9" s="6" t="n">
        <v>0</v>
      </c>
    </row>
    <row r="10">
      <c r="A10" s="5" t="inlineStr">
        <is>
          <t>CRIT_RATE %</t>
        </is>
      </c>
      <c r="B10" s="6" t="n">
        <v>0</v>
      </c>
    </row>
    <row r="11">
      <c r="A11" s="5" t="inlineStr">
        <is>
          <t>CRIT_DAMAGE %</t>
        </is>
      </c>
      <c r="B11" s="6" t="n">
        <v>0</v>
      </c>
    </row>
    <row r="12">
      <c r="A12" s="5" t="inlineStr">
        <is>
          <t>ATTACK_SPEED % (base, excludes Nimble Feet/MP Eater/Blood of the Divine)</t>
        </is>
      </c>
      <c r="B12" s="6" t="n">
        <v>0</v>
      </c>
    </row>
    <row r="13">
      <c r="A13" s="5" t="inlineStr">
        <is>
          <t>Flat INT</t>
        </is>
      </c>
      <c r="B13" s="6" t="n">
        <v>0</v>
      </c>
    </row>
    <row r="14">
      <c r="A14" s="5" t="inlineStr">
        <is>
          <t>INT %</t>
        </is>
      </c>
      <c r="B14" s="6" t="n">
        <v>0</v>
      </c>
    </row>
    <row r="15">
      <c r="A15" s="5" t="inlineStr">
        <is>
          <t>LUK</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Infinity/Blood of the Divine)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Hunt"),4860+20*Inputs!$B$42,(Inputs!$B$8*(1+(Inputs!$B$9+Summary!$B$60)/100)))))))))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(unused — see Note on MAPLE_HERO_BISHOP row)</t>
        </is>
      </c>
    </row>
    <row r="2">
      <c r="A2">
        <f>Skills!A2</f>
        <v/>
      </c>
      <c r="B2">
        <f>Skills!B2</f>
        <v/>
      </c>
      <c r="C2">
        <f>Inputs!$B$3&gt;=100</f>
        <v/>
      </c>
      <c r="D2" t="inlineStr"/>
      <c r="E2" t="inlineStr"/>
      <c r="F2">
        <f>Summary!$B$47+Skills!N2</f>
        <v/>
      </c>
      <c r="G2">
        <f>Skills!F2*IF(Skills!G2&gt;0,Skills!H2/Skills!G2,1)</f>
        <v/>
      </c>
      <c r="H2">
        <f>1-(1-Skills!I2/100)^Skills!J2</f>
        <v/>
      </c>
      <c r="I2">
        <f>IF(Skills!T2&lt;&gt;"",1+(Skills!T2/10)*($Z$3/1000)/100,1)</f>
        <v/>
      </c>
      <c r="J2">
        <f>Summary!$B$43*(F2/100)</f>
        <v/>
      </c>
      <c r="K2">
        <f>J2*(1+Summary!$B$44/100)*(1+(Inputs!$B$16+Summary!$B$53)/100)*(1+IF(Inputs!$B$39="pvp",0,(1-Summary!$B$48)*(Inputs!$B$21+Skills!O2+Summary!$B$51)+Summary!$B$48*(Inputs!$B$22+Skills!P2+Summary!$B$52))/100)*(1+Inputs!$B$17/100)*(5000/(6000+Inputs!$B$43*(1-Inputs!$B$20/100)))*(1+Inputs!$B$25/100)*(1+IF(C18=TRUE,F18,0)/100)*(1+IF(C20=TRUE,F20,0)/100)*(1+IF(Skills!A2="TRIUMPH_FEATHER",IF(C16=TRUE,F16,0),0)/100)*(1+IF(C27=TRUE,F27,0)/100)^5*(1+(IF(Skills!A2="BIG_BANG",Inputs!$B$18,Inputs!$B$19))/100)*(Summary!$B$50*I2)</f>
        <v/>
      </c>
      <c r="L2">
        <f>K2*(MIN(Inputs!$B$23,Inputs!$B$24)/100+Inputs!$B$24/100)/2</f>
        <v/>
      </c>
      <c r="M2">
        <f>L2*(1+(Inputs!$B$11+Summary!$B$54)/100)</f>
        <v/>
      </c>
      <c r="N2">
        <f>L2*(1-MIN(Inputs!$B$10,100)/100)+M2*(MIN(Inputs!$B$10,100)/100)</f>
        <v/>
      </c>
      <c r="O2">
        <f>IF(C2,Skills!F2*N2*Summary!$B$58*IF(Inputs!$B$39="pvp",1,(1-Summary!$B$48)*(1)+Summary!$B$48*(MIN(Skills!Q2,Inputs!$B$38))),0)</f>
        <v/>
      </c>
      <c r="P2">
        <f>IF(Summary!$B$3=0,0,O2/Summary!$B$3)</f>
        <v/>
      </c>
      <c r="Q2">
        <f>IFERROR(1/IF(Inputs!$B$39="pvp",15,MAX(0.1,Skills!D2-IF(Skills!E2=TRUE,Inputs!$B$33,0))),0)</f>
        <v/>
      </c>
      <c r="R2" t="n">
        <v>0</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IFERROR(1/IF(Inputs!$B$39="pvp",15,MAX(0.1,Skills!D3-IF(Skills!E3=TRUE,Inputs!$B$33,0))),0)</f>
        <v/>
      </c>
      <c r="R3">
        <f>IF(AND(Inputs!$B$39&lt;&gt;"pvp",Inputs!$B$44&gt;0),IF(Inputs!$B$44&lt;=0,0,(INT(Inputs!$B$44/IF(Inputs!$B$39="pvp",15,MAX(0.1,Skills!D3-IF(Skills!E3=TRUE,Inputs!$B$33,0))))+1)),0)</f>
        <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IFERROR(1/IF(Inputs!$B$39="pvp",15,MAX(0.1,Skills!D4-IF(Skills!E4=TRUE,Inputs!$B$33,0))),0)</f>
        <v/>
      </c>
      <c r="R4">
        <f>IF(AND(Inputs!$B$39&lt;&gt;"pvp",Inputs!$B$44&gt;0),IF(Inputs!$B$44&lt;=0,0,(INT(Inputs!$B$44/IF(Inputs!$B$39="pvp",15,MAX(0.1,Skills!D4-IF(Skills!E4=TRUE,Inputs!$B$33,0))))+1)),0)</f>
        <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t="n">
        <v>0</v>
      </c>
      <c r="P5">
        <f>IF(Summary!$B$3=0,0,O5/Summary!$B$3)</f>
        <v/>
      </c>
      <c r="Q5">
        <f>IFERROR(1/IF(Inputs!$B$39="pvp",15,MAX(0.1,Skills!D5-IF(Skills!E5=TRUE,Inputs!$B$33,0))),0)</f>
        <v/>
      </c>
      <c r="R5">
        <f>IF(AND(Inputs!$B$39&lt;&gt;"pvp",Inputs!$B$44&gt;0),IF(Inputs!$B$44&lt;=0,0,(INT(Inputs!$B$44/IF(Inputs!$B$39="pvp",15,MAX(0.1,Skills!D5-IF(Skills!E5=TRUE,Inputs!$B$33,0))))+1)),0)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Summary!$B$43*(F6/100)</f>
        <v/>
      </c>
      <c r="K6">
        <f>J6*(1+Summary!$B$44/100)*(1+(Inputs!$B$16+Summary!$B$53)/100)*(1+IF(Inputs!$B$39="pvp",0,(1-Summary!$B$48)*(Inputs!$B$21+Skills!O6+Summary!$B$51)+Summary!$B$48*(Inputs!$B$22+Skills!P6+Summary!$B$52))/100)*(1+Inputs!$B$17/100)*(5000/(6000+Inputs!$B$43*(1-Inputs!$B$20/100)))*(1+Inputs!$B$25/100)*(1+IF(C18=TRUE,F18,0)/100)*(1+IF(C20=TRUE,F20,0)/100)*(1+IF(Skills!A6="TRIUMPH_FEATHER",IF(C16=TRUE,F16,0),0)/100)*(1+IF(C27=TRUE,F27,0)/100)^5*(1+(IF(Skills!A6="BIG_BANG",Inputs!$B$18,Inputs!$B$19))/100)*(Summary!$B$50*I6)</f>
        <v/>
      </c>
      <c r="L6">
        <f>K6*(MIN(Inputs!$B$23,Inputs!$B$24)/100+Inputs!$B$24/100)/2</f>
        <v/>
      </c>
      <c r="M6">
        <f>L6*(1+(Inputs!$B$11+Summary!$B$54)/100)</f>
        <v/>
      </c>
      <c r="N6">
        <f>L6*(1-MIN(Inputs!$B$10,100)/100)+M6*(MIN(Inputs!$B$10,100)/100)</f>
        <v/>
      </c>
      <c r="O6">
        <f>IF(C6,H6*N6*IF(AND(Inputs!$B$39&lt;&gt;"pvp",Inputs!$B$44&gt;0),((Skills!F6*((R6-1)*IF(Skills!G6&gt;0,Skills!H6/Skills!G6,1)+IF(Skills!G6&gt;0,MIN(Skills!H6,MAX(0,MAX(0,Inputs!$B$44-Summary!$B$61)-((R6-1)*IF(Inputs!$B$39="pvp",15,MAX(0.1,Skills!D6-IF(Skills!E6=TRUE,Inputs!$B$33,0))))))/Skills!G6,1)))/Inputs!$B$44),G6*Q6)*IF(Inputs!$B$39="pvp",1,(1-Summary!$B$48)*(1)+Summary!$B$48*(MIN(Skills!Q6,Inputs!$B$38))),0)</f>
        <v/>
      </c>
      <c r="P6">
        <f>IF(Summary!$B$3=0,0,O6/Summary!$B$3)</f>
        <v/>
      </c>
      <c r="Q6">
        <f>IFERROR(1/IF(Inputs!$B$39="pvp",15,MAX(0.1,Skills!D6-IF(Skills!E6=TRUE,Inputs!$B$33,0))),0)</f>
        <v/>
      </c>
      <c r="R6">
        <f>IF(AND(Inputs!$B$39&lt;&gt;"pvp",Inputs!$B$44&gt;0),IF(MAX(0,Inputs!$B$44-Summary!$B$61)&lt;=0,0,(INT(MAX(0,Inputs!$B$44-Summary!$B$61)/IF(Inputs!$B$39="pvp",15,MAX(0.1,Skills!D6-IF(Skills!E6=TRUE,Inputs!$B$33,0))))+1)),0)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Summary!$B$43*(F7/100)</f>
        <v/>
      </c>
      <c r="K7">
        <f>J7*(1+Summary!$B$44/100)*(1+(Inputs!$B$16+Summary!$B$53)/100)*(1+IF(Inputs!$B$39="pvp",0,(1-Summary!$B$48)*(Inputs!$B$21+Skills!O7+Summary!$B$51)+Summary!$B$48*(Inputs!$B$22+Skills!P7+Summary!$B$52))/100)*(1+Inputs!$B$17/100)*(5000/(6000+Inputs!$B$43*(1-Inputs!$B$20/100)))*(1+Inputs!$B$25/100)*(1+IF(C18=TRUE,F18,0)/100)*(1+IF(C20=TRUE,F20,0)/100)*(1+IF(Skills!A7="TRIUMPH_FEATHER",IF(C16=TRUE,F16,0),0)/100)*(1+IF(C27=TRUE,F27,0)/100)^5*(1+(IF(Skills!A7="BIG_BANG",Inputs!$B$18,Inputs!$B$19))/100)*(Summary!$B$50*I7)</f>
        <v/>
      </c>
      <c r="L7">
        <f>K7*(MIN(Inputs!$B$23,Inputs!$B$24)/100+Inputs!$B$24/100)/2</f>
        <v/>
      </c>
      <c r="M7">
        <f>L7*(1+(Inputs!$B$11+Summary!$B$54)/100)</f>
        <v/>
      </c>
      <c r="N7">
        <f>L7*(1-MIN(Inputs!$B$10,100)/100)+M7*(MIN(Inputs!$B$10,100)/100)</f>
        <v/>
      </c>
      <c r="O7">
        <f>IF(C7,H7*N7*IF(AND(Inputs!$B$39&lt;&gt;"pvp",Inputs!$B$44&gt;0),((Skills!F7*((R7-1)*IF(Skills!G7&gt;0,Skills!H7/Skills!G7,1)+IF(Skills!G7&gt;0,MIN(Skills!H7,MAX(0,MAX(0,Inputs!$B$44-Summary!$B$61)-((R7-1)*IF(Inputs!$B$39="pvp",15,MAX(0.1,Skills!D7-IF(Skills!E6=TRUE,Inputs!$B$33,0))))))/Skills!G7,1)))/Inputs!$B$44),G7*Q7)*(1-Summary!$B$48),0)</f>
        <v/>
      </c>
      <c r="P7">
        <f>IF(Summary!$B$3=0,0,O7/Summary!$B$3)</f>
        <v/>
      </c>
      <c r="Q7">
        <f>IFERROR(1/IF(Inputs!$B$39="pvp",15,MAX(0.1,Skills!D7-IF(Skills!E6=TRUE,Inputs!$B$33,0))),0)</f>
        <v/>
      </c>
      <c r="R7">
        <f>IF(AND(Inputs!$B$39&lt;&gt;"pvp",Inputs!$B$44&gt;0),IF(MAX(0,Inputs!$B$44-Summary!$B$61)&lt;=0,0,(INT(MAX(0,Inputs!$B$44-Summary!$B$61)/IF(Inputs!$B$39="pvp",15,MAX(0.1,Skills!D7-IF(Skills!E6=TRUE,Inputs!$B$33,0))))+1)),0)</f>
        <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Summary!$B$43*(F8/100)</f>
        <v/>
      </c>
      <c r="K8">
        <f>J8*(1+Summary!$B$44/100)*(1+(Inputs!$B$16+Summary!$B$53)/100)*(1+IF(Inputs!$B$39="pvp",0,(1-Summary!$B$48)*(Inputs!$B$21+Skills!O8+Summary!$B$51)+Summary!$B$48*(Inputs!$B$22+Skills!P8+Summary!$B$52))/100)*(1+Inputs!$B$17/100)*(5000/(6000+Inputs!$B$43*(1-Inputs!$B$20/100)))*(1+Inputs!$B$25/100)*(1+IF(C18=TRUE,F18,0)/100)*(1+IF(C20=TRUE,F20,0)/100)*(1+IF(Skills!A8="TRIUMPH_FEATHER",IF(C16=TRUE,F16,0),0)/100)*(1+IF(C27=TRUE,F27,0)/100)^5*(1+(IF(Skills!A8="BIG_BANG",Inputs!$B$18,Inputs!$B$19))/100)*(Summary!$B$50*I8)</f>
        <v/>
      </c>
      <c r="L8">
        <f>K8*(MIN(Inputs!$B$23,Inputs!$B$24)/100+Inputs!$B$24/100)/2</f>
        <v/>
      </c>
      <c r="M8">
        <f>L8*(1+(Inputs!$B$11+Summary!$B$54)/100)</f>
        <v/>
      </c>
      <c r="N8">
        <f>L8*(1-MIN(Inputs!$B$10,100)/100)+M8*(MIN(Inputs!$B$10,100)/100)</f>
        <v/>
      </c>
      <c r="O8">
        <f>IF(C8,H8*N8*IF(AND(Inputs!$B$39&lt;&gt;"pvp",Inputs!$B$44&gt;0),((Skills!F8*((R8-1)*IF(Skills!G8&gt;0,Skills!H8/Skills!G8,1)+IF(Skills!G8&gt;0,MIN(Skills!H8,MAX(0,MAX(0,Inputs!$B$44-Summary!$B$61)-((R8-1)*IF(Inputs!$B$39="pvp",15,MAX(0.1,Skills!D8-IF(Skills!E8=TRUE,Inputs!$B$33,0))))))/Skills!G8,1)))/Inputs!$B$44),G8*Q8)*IF(Inputs!$B$39="pvp",1,(1-Summary!$B$48)*(1)+Summary!$B$48*(MIN(Skills!Q8,Inputs!$B$38))),0)</f>
        <v/>
      </c>
      <c r="P8">
        <f>IF(Summary!$B$3=0,0,O8/Summary!$B$3)</f>
        <v/>
      </c>
      <c r="Q8">
        <f>IFERROR(1/IF(Inputs!$B$39="pvp",15,MAX(0.1,Skills!D8-IF(Skills!E8=TRUE,Inputs!$B$33,0))),0)</f>
        <v/>
      </c>
      <c r="R8">
        <f>IF(AND(Inputs!$B$39&lt;&gt;"pvp",Inputs!$B$44&gt;0),IF(MAX(0,Inputs!$B$44-Summary!$B$61)&lt;=0,0,(INT(MAX(0,Inputs!$B$44-Summary!$B$61)/IF(Inputs!$B$39="pvp",15,MAX(0.1,Skills!D8-IF(Skills!E8=TRUE,Inputs!$B$33,0))))+1)),0)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Summary!$B$43*(F9/100)</f>
        <v/>
      </c>
      <c r="K9">
        <f>J9*(1+Summary!$B$44/100)*(1+(Inputs!$B$16+Summary!$B$53)/100)*(1+IF(Inputs!$B$39="pvp",0,(1-Summary!$B$48)*(Inputs!$B$21+Skills!O9+Summary!$B$51)+Summary!$B$48*(Inputs!$B$22+Skills!P9+Summary!$B$52))/100)*(1+Inputs!$B$17/100)*(5000/(6000+Inputs!$B$43*(1-Inputs!$B$20/100)))*(1+Inputs!$B$25/100)*(1+IF(C18=TRUE,F18,0)/100)*(1+IF(C20=TRUE,F20,0)/100)*(1+IF(Skills!A9="TRIUMPH_FEATHER",IF(C16=TRUE,F16,0),0)/100)*(1+IF(C27=TRUE,F27,0)/100)^5*(1+(IF(Skills!A9="BIG_BANG",Inputs!$B$18,Inputs!$B$19))/100)*(Summary!$B$50*I9)</f>
        <v/>
      </c>
      <c r="L9">
        <f>K9*(MIN(Inputs!$B$23,Inputs!$B$24)/100+Inputs!$B$24/100)/2</f>
        <v/>
      </c>
      <c r="M9">
        <f>L9*(1+(Inputs!$B$11+Summary!$B$54)/100)</f>
        <v/>
      </c>
      <c r="N9">
        <f>L9*(1-MIN(Inputs!$B$10,100)/100)+M9*(MIN(Inputs!$B$10,100)/100)</f>
        <v/>
      </c>
      <c r="O9">
        <f>IF(C9,H9*N9*IF(AND(Inputs!$B$39&lt;&gt;"pvp",Inputs!$B$44&gt;0),((Skills!F9*((R9-1)*IF(Skills!G9&gt;0,Skills!H9/Skills!G9,1)+IF(Skills!G9&gt;0,MIN(Skills!H9,MAX(0,MAX(0,Inputs!$B$44-Summary!$B$61)-((R9-1)*IF(Inputs!$B$39="pvp",15,MAX(0.1,Skills!D9-IF(Skills!E9=TRUE,Inputs!$B$33,0))))))/Skills!G9,1)))/Inputs!$B$44),G9*Q9)*IF(Inputs!$B$39="pvp",1,(1-Summary!$B$48)*(1)+Summary!$B$48*(MIN(Skills!Q9,Inputs!$B$38))),0)</f>
        <v/>
      </c>
      <c r="P9">
        <f>IF(Summary!$B$3=0,0,O9/Summary!$B$3)</f>
        <v/>
      </c>
      <c r="Q9">
        <f>IFERROR(1/IF(Inputs!$B$39="pvp",15,MAX(0.1,Skills!D9-IF(Skills!E9=TRUE,Inputs!$B$33,0))),0)</f>
        <v/>
      </c>
      <c r="R9">
        <f>IF(AND(Inputs!$B$39&lt;&gt;"pvp",Inputs!$B$44&gt;0),IF(MAX(0,Inputs!$B$44-Summary!$B$61)&lt;=0,0,(INT(MAX(0,Inputs!$B$44-Summary!$B$61)/IF(Inputs!$B$39="pvp",15,MAX(0.1,Skills!D9-IF(Skills!E9=TRUE,Inputs!$B$33,0))))+1)),0)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t="n">
        <v>0</v>
      </c>
      <c r="P10">
        <f>IF(Summary!$B$3=0,0,O10/Summary!$B$3)</f>
        <v/>
      </c>
      <c r="Q10">
        <f>IFERROR(1/IF(Inputs!$B$39="pvp",15,MAX(0.1,Skills!D10-IF(Skills!E10=TRUE,Inputs!$B$33,0))),0)</f>
        <v/>
      </c>
      <c r="R10">
        <f>IF(AND(Inputs!$B$39&lt;&gt;"pvp",Inputs!$B$44&gt;0),IF(MAX(0,Inputs!$B$44-Summary!$B$61)&lt;=0,0,(INT(MAX(0,Inputs!$B$44-Summary!$B$61)/IF(Inputs!$B$39="pvp",15,MAX(0.1,Skills!D10-IF(Skills!E10=TRUE,Inputs!$B$33,0))))+1)),0)</f>
        <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t="n">
        <v>0</v>
      </c>
      <c r="P11">
        <f>IF(Summary!$B$3=0,0,O11/Summary!$B$3)</f>
        <v/>
      </c>
      <c r="Q11">
        <f>IFERROR(1/IF(Inputs!$B$39="pvp",15,MAX(0.1,Skills!D11-IF(Skills!E11=TRUE,Inputs!$B$33,0))),0)</f>
        <v/>
      </c>
      <c r="R11">
        <f>IF(AND(Inputs!$B$39&lt;&gt;"pvp",Inputs!$B$44&gt;0),IF(Inputs!$B$44&lt;=0,0,(INT(Inputs!$B$44/IF(Inputs!$B$39="pvp",15,MAX(0.1,Skills!D11-IF(Skills!E11=TRUE,Inputs!$B$33,0))))+1)),0)</f>
        <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t="n">
        <v>0</v>
      </c>
      <c r="P12">
        <f>IF(Summary!$B$3=0,0,O12/Summary!$B$3)</f>
        <v/>
      </c>
      <c r="Q12">
        <f>IFERROR(1/IF(Inputs!$B$39="pvp",15,MAX(0.1,Skills!D12-IF(Skills!E12=TRUE,Inputs!$B$33,0))),0)</f>
        <v/>
      </c>
      <c r="R12">
        <f>IF(AND(Inputs!$B$39&lt;&gt;"pvp",Inputs!$B$44&gt;0),IF(MAX(0,Inputs!$B$44-Summary!$B$61)&lt;=0,0,(INT(MAX(0,Inputs!$B$44-Summary!$B$61)/IF(Inputs!$B$39="pvp",15,MAX(0.1,Skills!D12-IF(Skills!E12=TRUE,Inputs!$B$33,0))))+1)),0)</f>
        <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IFERROR(1/IF(Inputs!$B$39="pvp",15,MAX(0.1,Skills!D13-IF(Skills!E13=TRUE,Inputs!$B$33,0))),0)</f>
        <v/>
      </c>
      <c r="R13">
        <f>IF(AND(Inputs!$B$39&lt;&gt;"pvp",Inputs!$B$44&gt;0),IF(MAX(0,Inputs!$B$44-Summary!$B$61)&lt;=0,0,(INT(MAX(0,Inputs!$B$44-Summary!$B$61)/IF(Inputs!$B$39="pvp",15,MAX(0.1,Skills!D13-IF(Skills!E13=TRUE,Inputs!$B$33,0))))+1)),0)</f>
        <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IFERROR(1/IF(Inputs!$B$39="pvp",15,MAX(0.1,Skills!D14-IF(Skills!E14=TRUE,Inputs!$B$33,0))),0)</f>
        <v/>
      </c>
      <c r="R14">
        <f>IF(AND(Inputs!$B$39&lt;&gt;"pvp",Inputs!$B$44&gt;0),IF(Inputs!$B$44&lt;=0,0,(INT(Inputs!$B$44/IF(Inputs!$B$39="pvp",15,MAX(0.1,Skills!D14-IF(Skills!E14=TRUE,Inputs!$B$33,0))))+1)),0)</f>
        <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Summary!$B$43*(F15/100)</f>
        <v/>
      </c>
      <c r="K15">
        <f>J15*(1+Summary!$B$44/100)*(1+(Inputs!$B$16+Summary!$B$53)/100)*(1+IF(Inputs!$B$39="pvp",0,(1-Summary!$B$48)*(Inputs!$B$21+Skills!O15+Summary!$B$51)+Summary!$B$48*(Inputs!$B$22+Skills!P15+Summary!$B$52))/100)*(1+Inputs!$B$17/100)*(5000/(6000+Inputs!$B$43*(1-Inputs!$B$20/100)))*(1+Inputs!$B$25/100)*(1+IF(C18=TRUE,F18,0)/100)*(1+IF(C20=TRUE,F20,0)/100)*(1+IF(Skills!A15="TRIUMPH_FEATHER",IF(C16=TRUE,F16,0),0)/100)*(1+IF(C27=TRUE,F27,0)/100)^5*(1+(IF(Skills!A15="BIG_BANG",Inputs!$B$18,Inputs!$B$19))/100)*(Summary!$B$50*I15)</f>
        <v/>
      </c>
      <c r="L15">
        <f>K15*(MIN(Inputs!$B$23,Inputs!$B$24)/100+Inputs!$B$24/100)/2</f>
        <v/>
      </c>
      <c r="M15">
        <f>L15*(1+(Inputs!$B$11+Summary!$B$54)/100)</f>
        <v/>
      </c>
      <c r="N15">
        <f>L15*(1-MIN(Inputs!$B$10,100)/100)+M15*(MIN(Inputs!$B$10,100)/100)</f>
        <v/>
      </c>
      <c r="O15">
        <f>IF(C15,Skills!F15*N15*((IF(Inputs!$B$3&gt;=78,25,15)/100*Summary!$B$56*10)/(1+IF(Inputs!$B$3&gt;=78,25,15)/100*Summary!$B$56*10))*(Skills!I15/100*Summary!$B$56)/(1+Skills!G15*Skills!I15/100*Summary!$B$56)*IF(Inputs!$B$39="pvp",1,(1-Summary!$B$48)*(1)+Summary!$B$48*(MIN(Skills!Q15,Inputs!$B$38))),0)</f>
        <v/>
      </c>
      <c r="P15">
        <f>IF(Summary!$B$3=0,0,O15/Summary!$B$3)</f>
        <v/>
      </c>
      <c r="Q15">
        <f>IFERROR(1/IF(Inputs!$B$39="pvp",15,MAX(0.1,Skills!D15-IF(Skills!E15=TRUE,Inputs!$B$33,0))),0)</f>
        <v/>
      </c>
      <c r="R15" t="n">
        <v>0</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IFERROR(1/IF(Inputs!$B$39="pvp",15,MAX(0.1,Skills!D16-IF(Skills!E16=TRUE,Inputs!$B$33,0))),0)</f>
        <v/>
      </c>
      <c r="R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IFERROR(1/IF(Inputs!$B$39="pvp",15,MAX(0.1,Skills!D17-IF(Skills!E17=TRUE,Inputs!$B$33,0))),0)</f>
        <v/>
      </c>
      <c r="R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IFERROR(1/IF(Inputs!$B$39="pvp",15,MAX(0.1,Skills!D18-IF(Skills!E18=TRUE,Inputs!$B$33,0))),0)</f>
        <v/>
      </c>
      <c r="R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IFERROR(1/IF(Inputs!$B$39="pvp",15,MAX(0.1,Skills!D19-IF(Skills!E19=TRUE,Inputs!$B$33,0))),0)</f>
        <v/>
      </c>
      <c r="R19">
        <f>IF(AND(Inputs!$B$39&lt;&gt;"pvp",Inputs!$B$44&gt;0),IF(Inputs!$B$44&lt;=0,0,(INT(Inputs!$B$44/IF(Inputs!$B$39="pvp",15,MAX(0.1,Skills!D19-IF(Skills!E19=TRUE,Inputs!$B$33,0))))+1)),0)</f>
        <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IFERROR(1/IF(Inputs!$B$39="pvp",15,MAX(0.1,Skills!D20-IF(Skills!E20=TRUE,Inputs!$B$33,0))),0)</f>
        <v/>
      </c>
      <c r="R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IFERROR(1/IF(Inputs!$B$39="pvp",15,MAX(0.1,Skills!D21-IF(Skills!E21=TRUE,Inputs!$B$33,0))),0)</f>
        <v/>
      </c>
      <c r="R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IFERROR(1/IF(Inputs!$B$39="pvp",15,MAX(0.1,Skills!D22-IF(Skills!E22=TRUE,Inputs!$B$33,0))),0)</f>
        <v/>
      </c>
      <c r="R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IFERROR(1/IF(Inputs!$B$39="pvp",15,MAX(0.1,Skills!D23-IF(Skills!E23=TRUE,Inputs!$B$33,0))),0)</f>
        <v/>
      </c>
      <c r="R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t="n">
        <v>0</v>
      </c>
      <c r="P24">
        <f>IF(Summary!$B$3=0,0,O24/Summary!$B$3)</f>
        <v/>
      </c>
      <c r="Q24">
        <f>IFERROR(1/IF(Inputs!$B$39="pvp",15,MAX(0.1,Skills!D24-IF(Skills!E24=TRUE,Inputs!$B$33,0))),0)</f>
        <v/>
      </c>
      <c r="R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t="n">
        <v>0</v>
      </c>
      <c r="P25">
        <f>IF(Summary!$B$3=0,0,O25/Summary!$B$3)</f>
        <v/>
      </c>
      <c r="Q25">
        <f>IFERROR(1/IF(Inputs!$B$39="pvp",15,MAX(0.1,Skills!D25-IF(Skills!E25=TRUE,Inputs!$B$33,0))),0)</f>
        <v/>
      </c>
      <c r="R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t="n">
        <v>0</v>
      </c>
      <c r="P26">
        <f>IF(Summary!$B$3=0,0,O26/Summary!$B$3)</f>
        <v/>
      </c>
      <c r="Q26">
        <f>IFERROR(1/IF(Inputs!$B$39="pvp",15,MAX(0.1,Skills!D26-IF(Skills!E26=TRUE,Inputs!$B$33,0))),0)</f>
        <v/>
      </c>
      <c r="R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t="n">
        <v>0</v>
      </c>
      <c r="P27">
        <f>IF(Summary!$B$3=0,0,O27/Summary!$B$3)</f>
        <v/>
      </c>
      <c r="Q27">
        <f>IFERROR(1/IF(Inputs!$B$39="pvp",15,MAX(0.1,Skills!D27-IF(Skills!E27=TRUE,Inputs!$B$33,0))),0)</f>
        <v/>
      </c>
      <c r="R27"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Calc!B6</f>
        <v/>
      </c>
      <c r="B8">
        <f>Calc!O6</f>
        <v/>
      </c>
      <c r="C8">
        <f>Calc!P6*100</f>
        <v/>
      </c>
    </row>
    <row r="9">
      <c r="A9">
        <f>Calc!B7</f>
        <v/>
      </c>
      <c r="B9">
        <f>Calc!O7</f>
        <v/>
      </c>
      <c r="C9">
        <f>Calc!P7*100</f>
        <v/>
      </c>
    </row>
    <row r="10">
      <c r="A10">
        <f>Calc!B8</f>
        <v/>
      </c>
      <c r="B10">
        <f>Calc!O8</f>
        <v/>
      </c>
      <c r="C10">
        <f>Calc!P8*100</f>
        <v/>
      </c>
    </row>
    <row r="11">
      <c r="A11">
        <f>Calc!B9</f>
        <v/>
      </c>
      <c r="B11">
        <f>Calc!O9</f>
        <v/>
      </c>
      <c r="C11">
        <f>Calc!P9*100</f>
        <v/>
      </c>
    </row>
    <row r="12">
      <c r="A12">
        <f>Calc!B15</f>
        <v/>
      </c>
      <c r="B12">
        <f>Calc!O15</f>
        <v/>
      </c>
      <c r="C12">
        <f>Calc!P15*100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2">
      <c r="A42" s="7">
        <f>Sensitivity!A31</f>
        <v/>
      </c>
      <c r="B42">
        <f>Sensitivity!H31</f>
        <v/>
      </c>
      <c r="C42">
        <f>Sensitivity!B31</f>
        <v/>
      </c>
    </row>
    <row r="43">
      <c r="A43" t="inlineStr">
        <is>
          <t>ATTACK (= Flat ATTACK x (1+ATTACK%/100))</t>
        </is>
      </c>
      <c r="B43">
        <f>Inputs!$B$6*(1+Inputs!$B$7/100)</f>
        <v/>
      </c>
    </row>
    <row r="44">
      <c r="A44" t="inlineStr">
        <is>
          <t>STAT_DAMAGE % (= 1% of total INT [incl. Invincible's Defense-&gt; INT] + 0.25% of LUK)</t>
        </is>
      </c>
      <c r="B44">
        <f>((Inputs!$B$13+IF(Inputs!$B$3&gt;=35,(10*INDEX(FactorTable!$B$2:$Y$301, MATCH(ROUND(MIN(300,MAX(1,Inputs!$B$3)),0), FactorTable!$A$2:$A$301,0), 23)/1000)/100*(Inputs!$B$8*(1+(Inputs!$B$9+Summary!$B$60)/100)),0))*(1+Inputs!$B$14/100))*0.01+Inputs!$B$15*0.0025</f>
        <v/>
      </c>
    </row>
    <row r="45">
      <c r="A45" t="inlineStr">
        <is>
          <t>Basic Attack (Big Bang) Input Level (4th job formula)</t>
        </is>
      </c>
      <c r="B45">
        <f>MAX(0,(Inputs!$B$3-100)*3)+Inputs!$B$29+Inputs!$B$30</f>
        <v/>
      </c>
    </row>
    <row r="46">
      <c r="A46" t="inlineStr">
        <is>
          <t>Basic Attack Factor (factorIndex 21, from Big Bang == Chain Lightning reuse)</t>
        </is>
      </c>
      <c r="B46">
        <f>INDEX(FactorTable!$B$2:$Y$301, MATCH(ROUND(MIN(300,MAX(1,Summary!$B$45)),0), FactorTable!$A$2:$A$301,0), 22)</f>
        <v/>
      </c>
    </row>
    <row r="47">
      <c r="A47" t="inlineStr">
        <is>
          <t>SKILL_COEFFICIENT — Big Bang base coefficient % (before Skill Mastery)</t>
        </is>
      </c>
      <c r="B47">
        <f>290*Summary!$B$46/1000</f>
        <v/>
      </c>
    </row>
    <row r="48">
      <c r="A48" t="inlineStr">
        <is>
          <t>Normal-Monster Weight (= 0 for boss, 1 for normal, Breakthrough Normal Weight % for breakthrough, 0 for pvp)</t>
        </is>
      </c>
      <c r="B48">
        <f>IF(Inputs!$B$39="normal",1,IF(Inputs!$B$39="breakthrough",Inputs!$B$45/100,0))</f>
        <v/>
      </c>
    </row>
    <row r="50">
      <c r="A50" t="inlineStr">
        <is>
          <t>Average Buff Multiplier (Magic Guard + Heal + Bless + Holy Magic Shell, summed; then Advanced Blessing, Infinity)</t>
        </is>
      </c>
      <c r="B50">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51">
      <c r="A51" t="inlineStr">
        <is>
          <t>Monster Damage Taken Bonus % (Holy Fountain - Boss Monster Damage, averaged)</t>
        </is>
      </c>
      <c r="B51">
        <f>IF(Inputs!$B$3&gt;=68,20*IF(Inputs!$B$39="pvp",MIN((15*(1+(Inputs!$B$35+IF(Inputs!$B$3&gt;=117,Calc!F26,0))/100)),15)/15,(15*(1+(Inputs!$B$35+IF(Inputs!$B$3&gt;=117,Calc!F26,0))/100))/Skills!D10),0)</f>
        <v/>
      </c>
    </row>
    <row r="52">
      <c r="A52" t="inlineStr">
        <is>
          <t>Normal Monster Damage Bonus % (Holy Symbol, averaged)</t>
        </is>
      </c>
      <c r="B52">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53">
      <c r="A53" t="inlineStr">
        <is>
          <t>Damage % Bonus (Holy Symbol - Damage Boost, solo-always-true)</t>
        </is>
      </c>
      <c r="B53">
        <f>Skills!O12</f>
        <v/>
      </c>
    </row>
    <row r="54">
      <c r="A54" t="inlineStr">
        <is>
          <t>Crit Damage % Bonus (Blood of the Divine, assumed 100% HP)</t>
        </is>
      </c>
      <c r="B54">
        <f>4*IF(Calc!C20=TRUE,Calc!F20,0)</f>
        <v/>
      </c>
    </row>
    <row r="55">
      <c r="A55" t="inlineStr">
        <is>
          <t>Attack Speed Bonus % (MP Eater - MP Boost + Blood of the Divine - Attack Speed, always-on)</t>
        </is>
      </c>
      <c r="B55">
        <f>IF(Calc!C17=TRUE,Calc!F17,0)+IF(Inputs!$B$3&gt;=134,15,0)</f>
        <v/>
      </c>
    </row>
    <row r="56">
      <c r="A56" t="inlineStr">
        <is>
          <t>Actions Per Second (Attack Speed combined via diminishing-returns stack, factor 150, then capped)</t>
        </is>
      </c>
      <c r="B56">
        <f>1+MIN(150,150*(1-(1-Inputs!$B$12/150)*(1-B55/150)))/100</f>
        <v/>
      </c>
    </row>
    <row r="57">
      <c r="A57" t="inlineStr">
        <is>
          <t>Skill + Buff Cast Rate (subtracted from Big Bang, 1/s)</t>
        </is>
      </c>
      <c r="B57">
        <f>IF(AND(Inputs!$B$39&lt;&gt;"pvp",Inputs!$B$44&gt;0),SUMPRODUCT((Skills!E2:E27=TRUE)*(Calc!C2:C27=TRUE)*Calc!R2:R27)/Inputs!$B$44,SUMPRODUCT((Skills!E2:E27=TRUE)*(Calc!C2:C27=TRUE)*Calc!Q2:Q27))</f>
        <v/>
      </c>
    </row>
    <row r="58">
      <c r="A58" t="inlineStr">
        <is>
          <t>Big Bang Casts Per Second (basic-attack rate)</t>
        </is>
      </c>
      <c r="B58">
        <f>MAX(0,B56-B57)</f>
        <v/>
      </c>
    </row>
    <row r="59">
      <c r="A59" t="inlineStr">
        <is>
          <t>Big Bang DPS</t>
        </is>
      </c>
      <c r="B59">
        <f>Calc!O2</f>
        <v/>
      </c>
    </row>
    <row r="60">
      <c r="A60" t="inlineStr">
        <is>
          <t>Defense % Bonus (Divine Protection, averaged)</t>
        </is>
      </c>
      <c r="B60">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61">
      <c r="A61" t="inlineStr">
        <is>
          <t>Buff-Casting Startup Delay (s, before first damage-skill cast; fixed-duration only)</t>
        </is>
      </c>
      <c r="B61">
        <f>IF(AND(Inputs!$B$39&lt;&gt;"pvp",Inputs!$B$44&gt;0),SUMPRODUCT((Skills!S2:S27&gt;0)*(Skills!E2:E27=TRUE)*(Calc!C2:C27=TRUE))/B56,0)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60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Inputs!$B$13</f>
        <v/>
      </c>
      <c r="E5">
        <f>(Inputs!$B$13+1)</f>
        <v/>
      </c>
      <c r="F5">
        <f>Summary!$B$3</f>
        <v/>
      </c>
      <c r="G5">
        <f>B74</f>
        <v/>
      </c>
      <c r="H5">
        <f>G5-F5</f>
        <v/>
      </c>
      <c r="I5">
        <f>IF(F5=0,0,G5/F5*100)</f>
        <v/>
      </c>
    </row>
    <row r="6">
      <c r="A6" t="inlineStr">
        <is>
          <t>INT %</t>
        </is>
      </c>
      <c r="B6">
        <f>IFERROR(1/(I6-100),"n/a")</f>
        <v/>
      </c>
      <c r="C6" t="inlineStr">
        <is>
          <t>pct</t>
        </is>
      </c>
      <c r="D6">
        <f>Inputs!$B$14</f>
        <v/>
      </c>
      <c r="E6">
        <f>(Inputs!$B$14+1)</f>
        <v/>
      </c>
      <c r="F6">
        <f>Summary!$B$3</f>
        <v/>
      </c>
      <c r="G6">
        <f>B116</f>
        <v/>
      </c>
      <c r="H6">
        <f>G6-F6</f>
        <v/>
      </c>
      <c r="I6">
        <f>IF(F6=0,0,G6/F6*100)</f>
        <v/>
      </c>
    </row>
    <row r="7">
      <c r="A7" t="inlineStr">
        <is>
          <t>Defense (flat) — Invincible converts a level-scaling % (10%+) into INT</t>
        </is>
      </c>
      <c r="B7">
        <f>IFERROR(1/(I7-100),"n/a")</f>
        <v/>
      </c>
      <c r="C7" t="inlineStr">
        <is>
          <t>flat</t>
        </is>
      </c>
      <c r="D7">
        <f>Inputs!$B$8</f>
        <v/>
      </c>
      <c r="E7">
        <f>(Inputs!$B$8+1)</f>
        <v/>
      </c>
      <c r="F7">
        <f>Summary!$B$3</f>
        <v/>
      </c>
      <c r="G7">
        <f>B158</f>
        <v/>
      </c>
      <c r="H7">
        <f>G7-F7</f>
        <v/>
      </c>
      <c r="I7">
        <f>IF(F7=0,0,G7/F7*100)</f>
        <v/>
      </c>
    </row>
    <row r="8">
      <c r="A8" t="inlineStr">
        <is>
          <t>Defense %</t>
        </is>
      </c>
      <c r="B8">
        <f>IFERROR(1/(I8-100),"n/a")</f>
        <v/>
      </c>
      <c r="C8" t="inlineStr">
        <is>
          <t>pct</t>
        </is>
      </c>
      <c r="D8">
        <f>Inputs!$B$9</f>
        <v/>
      </c>
      <c r="E8">
        <f>(Inputs!$B$9+1)</f>
        <v/>
      </c>
      <c r="F8">
        <f>Summary!$B$3</f>
        <v/>
      </c>
      <c r="G8">
        <f>B200</f>
        <v/>
      </c>
      <c r="H8">
        <f>G8-F8</f>
        <v/>
      </c>
      <c r="I8">
        <f>IF(F8=0,0,G8/F8*100)</f>
        <v/>
      </c>
    </row>
    <row r="9">
      <c r="A9" t="inlineStr">
        <is>
          <t>DAMAGE %</t>
        </is>
      </c>
      <c r="B9">
        <f>IFERROR(1/(I9-100),"n/a")</f>
        <v/>
      </c>
      <c r="C9" t="inlineStr">
        <is>
          <t>pct</t>
        </is>
      </c>
      <c r="D9">
        <f>Inputs!$B$16</f>
        <v/>
      </c>
      <c r="E9">
        <f>(Inputs!$B$16+1)</f>
        <v/>
      </c>
      <c r="F9">
        <f>Summary!$B$3</f>
        <v/>
      </c>
      <c r="G9">
        <f>B242</f>
        <v/>
      </c>
      <c r="H9">
        <f>G9-F9</f>
        <v/>
      </c>
      <c r="I9">
        <f>IF(F9=0,0,G9/F9*100)</f>
        <v/>
      </c>
    </row>
    <row r="10">
      <c r="A10" t="inlineStr">
        <is>
          <t>DAMAGE_AMP %</t>
        </is>
      </c>
      <c r="B10">
        <f>IFERROR(1/(I10-100),"n/a")</f>
        <v/>
      </c>
      <c r="C10" t="inlineStr">
        <is>
          <t>pct</t>
        </is>
      </c>
      <c r="D10">
        <f>Inputs!$B$17</f>
        <v/>
      </c>
      <c r="E10">
        <f>(Inputs!$B$17+1)</f>
        <v/>
      </c>
      <c r="F10">
        <f>Summary!$B$3</f>
        <v/>
      </c>
      <c r="G10">
        <f>B284</f>
        <v/>
      </c>
      <c r="H10">
        <f>G10-F10</f>
        <v/>
      </c>
      <c r="I10">
        <f>IF(F10=0,0,G10/F10*100)</f>
        <v/>
      </c>
    </row>
    <row r="11">
      <c r="A11" t="inlineStr">
        <is>
          <t>BOSS_DAMAGE %</t>
        </is>
      </c>
      <c r="B11">
        <f>IFERROR(1/(I11-100),"n/a")</f>
        <v/>
      </c>
      <c r="C11" t="inlineStr">
        <is>
          <t>pct</t>
        </is>
      </c>
      <c r="D11">
        <f>Inputs!$B$21</f>
        <v/>
      </c>
      <c r="E11">
        <f>(Inputs!$B$21+1)</f>
        <v/>
      </c>
      <c r="F11">
        <f>Summary!$B$3</f>
        <v/>
      </c>
      <c r="G11">
        <f>B326</f>
        <v/>
      </c>
      <c r="H11">
        <f>G11-F11</f>
        <v/>
      </c>
      <c r="I11">
        <f>IF(F11=0,0,G11/F11*100)</f>
        <v/>
      </c>
    </row>
    <row r="12">
      <c r="A12" t="inlineStr">
        <is>
          <t>NORMAL_DAMAGE %</t>
        </is>
      </c>
      <c r="B12">
        <f>IFERROR(1/(I12-100),"n/a")</f>
        <v/>
      </c>
      <c r="C12" t="inlineStr">
        <is>
          <t>pct</t>
        </is>
      </c>
      <c r="D12">
        <f>Inputs!$B$22</f>
        <v/>
      </c>
      <c r="E12">
        <f>(Inputs!$B$22+1)</f>
        <v/>
      </c>
      <c r="F12">
        <f>Summary!$B$3</f>
        <v/>
      </c>
      <c r="G12">
        <f>B368</f>
        <v/>
      </c>
      <c r="H12">
        <f>G12-F12</f>
        <v/>
      </c>
      <c r="I12">
        <f>IF(F12=0,0,G12/F12*100)</f>
        <v/>
      </c>
    </row>
    <row r="13">
      <c r="A13" t="inlineStr">
        <is>
          <t>FINAL_DAMAGE % (multiplicative source)</t>
        </is>
      </c>
      <c r="B13">
        <f>IFERROR(1/(I13-100),"n/a")</f>
        <v/>
      </c>
      <c r="C13" t="inlineStr">
        <is>
          <t>mult</t>
        </is>
      </c>
      <c r="D13">
        <f>Inputs!$B$25</f>
        <v/>
      </c>
      <c r="E13">
        <f>((((1+Inputs!$B$25/100)*(1.01))-1)*100)</f>
        <v/>
      </c>
      <c r="F13">
        <f>Summary!$B$3</f>
        <v/>
      </c>
      <c r="G13">
        <f>B410</f>
        <v/>
      </c>
      <c r="H13">
        <f>G13-F13</f>
        <v/>
      </c>
      <c r="I13">
        <f>IF(F13=0,0,G13/F13*100)</f>
        <v/>
      </c>
    </row>
    <row r="14">
      <c r="A14" t="inlineStr">
        <is>
          <t>MIN_DAMAGE %</t>
        </is>
      </c>
      <c r="B14">
        <f>IFERROR(1/(I14-100),"n/a")</f>
        <v/>
      </c>
      <c r="C14" t="inlineStr">
        <is>
          <t>pct</t>
        </is>
      </c>
      <c r="D14">
        <f>Inputs!$B$23</f>
        <v/>
      </c>
      <c r="E14">
        <f>(Inputs!$B$23+1)</f>
        <v/>
      </c>
      <c r="F14">
        <f>Summary!$B$3</f>
        <v/>
      </c>
      <c r="G14">
        <f>B452</f>
        <v/>
      </c>
      <c r="H14">
        <f>G14-F14</f>
        <v/>
      </c>
      <c r="I14">
        <f>IF(F14=0,0,G14/F14*100)</f>
        <v/>
      </c>
    </row>
    <row r="15">
      <c r="A15" t="inlineStr">
        <is>
          <t>MAX_DAMAGE %</t>
        </is>
      </c>
      <c r="B15">
        <f>IFERROR(1/(I15-100),"n/a")</f>
        <v/>
      </c>
      <c r="C15" t="inlineStr">
        <is>
          <t>pct</t>
        </is>
      </c>
      <c r="D15">
        <f>Inputs!$B$24</f>
        <v/>
      </c>
      <c r="E15">
        <f>(Inputs!$B$24+1)</f>
        <v/>
      </c>
      <c r="F15">
        <f>Summary!$B$3</f>
        <v/>
      </c>
      <c r="G15">
        <f>B494</f>
        <v/>
      </c>
      <c r="H15">
        <f>G15-F15</f>
        <v/>
      </c>
      <c r="I15">
        <f>IF(F15=0,0,G15/F15*100)</f>
        <v/>
      </c>
    </row>
    <row r="16">
      <c r="A16" t="inlineStr">
        <is>
          <t>CRIT_RATE %</t>
        </is>
      </c>
      <c r="B16">
        <f>IFERROR(1/(I16-100),"n/a")</f>
        <v/>
      </c>
      <c r="C16" t="inlineStr">
        <is>
          <t>pct</t>
        </is>
      </c>
      <c r="D16">
        <f>Inputs!$B$10</f>
        <v/>
      </c>
      <c r="E16">
        <f>(Inputs!$B$10+1)</f>
        <v/>
      </c>
      <c r="F16">
        <f>Summary!$B$3</f>
        <v/>
      </c>
      <c r="G16">
        <f>B536</f>
        <v/>
      </c>
      <c r="H16">
        <f>G16-F16</f>
        <v/>
      </c>
      <c r="I16">
        <f>IF(F16=0,0,G16/F16*100)</f>
        <v/>
      </c>
    </row>
    <row r="17">
      <c r="A17" t="inlineStr">
        <is>
          <t>CRIT_DAMAGE %</t>
        </is>
      </c>
      <c r="B17">
        <f>IFERROR(1/(I17-100),"n/a")</f>
        <v/>
      </c>
      <c r="C17" t="inlineStr">
        <is>
          <t>pct</t>
        </is>
      </c>
      <c r="D17">
        <f>Inputs!$B$11</f>
        <v/>
      </c>
      <c r="E17">
        <f>(Inputs!$B$11+1)</f>
        <v/>
      </c>
      <c r="F17">
        <f>Summary!$B$3</f>
        <v/>
      </c>
      <c r="G17">
        <f>B578</f>
        <v/>
      </c>
      <c r="H17">
        <f>G17-F17</f>
        <v/>
      </c>
      <c r="I17">
        <f>IF(F17=0,0,G17/F17*100)</f>
        <v/>
      </c>
    </row>
    <row r="18">
      <c r="A18" t="inlineStr">
        <is>
          <t>ATTACK_SPEED % (diminishing returns, factor 150)</t>
        </is>
      </c>
      <c r="B18">
        <f>IFERROR(1/(I18-100),"n/a")</f>
        <v/>
      </c>
      <c r="C18" t="inlineStr">
        <is>
          <t>dr150</t>
        </is>
      </c>
      <c r="D18">
        <f>Inputs!$B$12</f>
        <v/>
      </c>
      <c r="E18">
        <f>((1-(1-Inputs!$B$12/150)*(1-1/150))*150)</f>
        <v/>
      </c>
      <c r="F18">
        <f>Summary!$B$3</f>
        <v/>
      </c>
      <c r="G18">
        <f>B620</f>
        <v/>
      </c>
      <c r="H18">
        <f>G18-F18</f>
        <v/>
      </c>
      <c r="I18">
        <f>IF(F18=0,0,G18/F18*100)</f>
        <v/>
      </c>
    </row>
    <row r="19">
      <c r="A19" t="inlineStr">
        <is>
          <t>DEF_PEN % (diminishing returns, factor 100)</t>
        </is>
      </c>
      <c r="B19">
        <f>IFERROR(1/(I19-100),"n/a")</f>
        <v/>
      </c>
      <c r="C19" t="inlineStr">
        <is>
          <t>dr100</t>
        </is>
      </c>
      <c r="D19">
        <f>Inputs!$B$20</f>
        <v/>
      </c>
      <c r="E19">
        <f>((1-(1-Inputs!$B$20/100)*(1-1/100))*100)</f>
        <v/>
      </c>
      <c r="F19">
        <f>Summary!$B$3</f>
        <v/>
      </c>
      <c r="G19">
        <f>B662</f>
        <v/>
      </c>
      <c r="H19">
        <f>G19-F19</f>
        <v/>
      </c>
      <c r="I19">
        <f>IF(F19=0,0,G19/F19*100)</f>
        <v/>
      </c>
    </row>
    <row r="20">
      <c r="A20" t="inlineStr">
        <is>
          <t>BASIC_ATTACK_DAMAGE %</t>
        </is>
      </c>
      <c r="B20">
        <f>IFERROR(1/(I20-100),"n/a")</f>
        <v/>
      </c>
      <c r="C20" t="inlineStr">
        <is>
          <t>pct</t>
        </is>
      </c>
      <c r="D20">
        <f>Inputs!$B$18</f>
        <v/>
      </c>
      <c r="E20">
        <f>(Inputs!$B$18+1)</f>
        <v/>
      </c>
      <c r="F20">
        <f>Summary!$B$3</f>
        <v/>
      </c>
      <c r="G20">
        <f>B704</f>
        <v/>
      </c>
      <c r="H20">
        <f>G20-F20</f>
        <v/>
      </c>
      <c r="I20">
        <f>IF(F20=0,0,G20/F20*100)</f>
        <v/>
      </c>
    </row>
    <row r="21">
      <c r="A21" t="inlineStr">
        <is>
          <t>SKILL_DAMAGE %</t>
        </is>
      </c>
      <c r="B21">
        <f>IFERROR(1/(I21-100),"n/a")</f>
        <v/>
      </c>
      <c r="C21" t="inlineStr">
        <is>
          <t>pct</t>
        </is>
      </c>
      <c r="D21">
        <f>Inputs!$B$19</f>
        <v/>
      </c>
      <c r="E21">
        <f>(Inputs!$B$19+1)</f>
        <v/>
      </c>
      <c r="F21">
        <f>Summary!$B$3</f>
        <v/>
      </c>
      <c r="G21">
        <f>B746</f>
        <v/>
      </c>
      <c r="H21">
        <f>G21-F21</f>
        <v/>
      </c>
      <c r="I21">
        <f>IF(F21=0,0,G21/F21*100)</f>
        <v/>
      </c>
    </row>
    <row r="22">
      <c r="A22" t="inlineStr">
        <is>
          <t>Skill Level Bonus — 1st Job</t>
        </is>
      </c>
      <c r="B22">
        <f>IFERROR(1/(I22-100),"n/a")</f>
        <v/>
      </c>
      <c r="C22" t="inlineStr">
        <is>
          <t>level</t>
        </is>
      </c>
      <c r="D22">
        <f>Inputs!$B$26</f>
        <v/>
      </c>
      <c r="E22">
        <f>(Inputs!$B$26+1)</f>
        <v/>
      </c>
      <c r="F22">
        <f>Summary!$B$3</f>
        <v/>
      </c>
      <c r="G22">
        <f>B788</f>
        <v/>
      </c>
      <c r="H22">
        <f>G22-F22</f>
        <v/>
      </c>
      <c r="I22">
        <f>IF(F22=0,0,G22/F22*100)</f>
        <v/>
      </c>
    </row>
    <row r="23">
      <c r="A23" t="inlineStr">
        <is>
          <t>Skill Level Bonus — 2nd Job</t>
        </is>
      </c>
      <c r="B23">
        <f>IFERROR(1/(I23-100),"n/a")</f>
        <v/>
      </c>
      <c r="C23" t="inlineStr">
        <is>
          <t>level</t>
        </is>
      </c>
      <c r="D23">
        <f>Inputs!$B$27</f>
        <v/>
      </c>
      <c r="E23">
        <f>(Inputs!$B$27+1)</f>
        <v/>
      </c>
      <c r="F23">
        <f>Summary!$B$3</f>
        <v/>
      </c>
      <c r="G23">
        <f>B830</f>
        <v/>
      </c>
      <c r="H23">
        <f>G23-F23</f>
        <v/>
      </c>
      <c r="I23">
        <f>IF(F23=0,0,G23/F23*100)</f>
        <v/>
      </c>
    </row>
    <row r="24">
      <c r="A24" t="inlineStr">
        <is>
          <t>Skill Level Bonus — 3rd Job</t>
        </is>
      </c>
      <c r="B24">
        <f>IFERROR(1/(I24-100),"n/a")</f>
        <v/>
      </c>
      <c r="C24" t="inlineStr">
        <is>
          <t>level</t>
        </is>
      </c>
      <c r="D24">
        <f>Inputs!$B$28</f>
        <v/>
      </c>
      <c r="E24">
        <f>(Inputs!$B$28+1)</f>
        <v/>
      </c>
      <c r="F24">
        <f>Summary!$B$3</f>
        <v/>
      </c>
      <c r="G24">
        <f>B872</f>
        <v/>
      </c>
      <c r="H24">
        <f>G24-F24</f>
        <v/>
      </c>
      <c r="I24">
        <f>IF(F24=0,0,G24/F24*100)</f>
        <v/>
      </c>
    </row>
    <row r="25">
      <c r="A25" t="inlineStr">
        <is>
          <t>Skill Level Bonus — 4th Job</t>
        </is>
      </c>
      <c r="B25">
        <f>IFERROR(1/(I25-100),"n/a")</f>
        <v/>
      </c>
      <c r="C25" t="inlineStr">
        <is>
          <t>level</t>
        </is>
      </c>
      <c r="D25">
        <f>Inputs!$B$29</f>
        <v/>
      </c>
      <c r="E25">
        <f>(Inputs!$B$29+1)</f>
        <v/>
      </c>
      <c r="F25">
        <f>Summary!$B$3</f>
        <v/>
      </c>
      <c r="G25">
        <f>B914</f>
        <v/>
      </c>
      <c r="H25">
        <f>G25-F25</f>
        <v/>
      </c>
      <c r="I25">
        <f>IF(F25=0,0,G25/F25*100)</f>
        <v/>
      </c>
    </row>
    <row r="26">
      <c r="A26" t="inlineStr">
        <is>
          <t>Skill Level Bonus — All Skills</t>
        </is>
      </c>
      <c r="B26">
        <f>IFERROR(1/(I26-100),"n/a")</f>
        <v/>
      </c>
      <c r="C26" t="inlineStr">
        <is>
          <t>level</t>
        </is>
      </c>
      <c r="D26">
        <f>Inputs!$B$30</f>
        <v/>
      </c>
      <c r="E26">
        <f>(Inputs!$B$30+1)</f>
        <v/>
      </c>
      <c r="F26">
        <f>Summary!$B$3</f>
        <v/>
      </c>
      <c r="G26">
        <f>B956</f>
        <v/>
      </c>
      <c r="H26">
        <f>G26-F26</f>
        <v/>
      </c>
      <c r="I26">
        <f>IF(F26=0,0,G26/F26*100)</f>
        <v/>
      </c>
    </row>
    <row r="27">
      <c r="A27" t="inlineStr">
        <is>
          <t>Flat ATTACK</t>
        </is>
      </c>
      <c r="B27">
        <f>IFERROR(1/(I27-100),"n/a")</f>
        <v/>
      </c>
      <c r="C27" t="inlineStr">
        <is>
          <t>flat</t>
        </is>
      </c>
      <c r="D27">
        <f>Inputs!$B$6</f>
        <v/>
      </c>
      <c r="E27">
        <f>(Inputs!$B$6+1)</f>
        <v/>
      </c>
      <c r="F27">
        <f>Summary!$B$3</f>
        <v/>
      </c>
      <c r="G27">
        <f>B998</f>
        <v/>
      </c>
      <c r="H27">
        <f>G27-F27</f>
        <v/>
      </c>
      <c r="I27">
        <f>IF(F27=0,0,G27/F27*100)</f>
        <v/>
      </c>
    </row>
    <row r="28">
      <c r="A28" t="inlineStr">
        <is>
          <t>ATTACK %</t>
        </is>
      </c>
      <c r="B28">
        <f>IFERROR(1/(I28-100),"n/a")</f>
        <v/>
      </c>
      <c r="C28" t="inlineStr">
        <is>
          <t>pct</t>
        </is>
      </c>
      <c r="D28">
        <f>Inputs!$B$7</f>
        <v/>
      </c>
      <c r="E28">
        <f>(Inputs!$B$7+1)</f>
        <v/>
      </c>
      <c r="F28">
        <f>Summary!$B$3</f>
        <v/>
      </c>
      <c r="G28">
        <f>B1040</f>
        <v/>
      </c>
      <c r="H28">
        <f>G28-F28</f>
        <v/>
      </c>
      <c r="I28">
        <f>IF(F28=0,0,G28/F28*100)</f>
        <v/>
      </c>
    </row>
    <row r="29">
      <c r="A29" t="inlineStr">
        <is>
          <t>Skill Cooldown Decrease (seconds)</t>
        </is>
      </c>
      <c r="B29">
        <f>IFERROR(1/(I29-100),"n/a")</f>
        <v/>
      </c>
      <c r="C29" t="inlineStr">
        <is>
          <t>flat</t>
        </is>
      </c>
      <c r="D29">
        <f>Inputs!$B$33</f>
        <v/>
      </c>
      <c r="E29">
        <f>(Inputs!$B$33+1)</f>
        <v/>
      </c>
      <c r="F29">
        <f>Summary!$B$3</f>
        <v/>
      </c>
      <c r="G29">
        <f>B1082</f>
        <v/>
      </c>
      <c r="H29">
        <f>G29-F29</f>
        <v/>
      </c>
      <c r="I29">
        <f>IF(F29=0,0,G29/F29*100)</f>
        <v/>
      </c>
    </row>
    <row r="30">
      <c r="A30" t="inlineStr">
        <is>
          <t>Basic Attack Target Increase (flat)</t>
        </is>
      </c>
      <c r="B30">
        <f>IFERROR(1/(I30-100),"n/a")</f>
        <v/>
      </c>
      <c r="C30" t="inlineStr">
        <is>
          <t>flat</t>
        </is>
      </c>
      <c r="D30">
        <f>Inputs!$B$34</f>
        <v/>
      </c>
      <c r="E30">
        <f>(Inputs!$B$34+1)</f>
        <v/>
      </c>
      <c r="F30">
        <f>Summary!$B$3</f>
        <v/>
      </c>
      <c r="G30">
        <f>B1124</f>
        <v/>
      </c>
      <c r="H30">
        <f>G30-F30</f>
        <v/>
      </c>
      <c r="I30">
        <f>IF(F30=0,0,G30/F30*100)</f>
        <v/>
      </c>
    </row>
    <row r="31">
      <c r="A31" t="inlineStr">
        <is>
          <t>Buff Duration Increase %</t>
        </is>
      </c>
      <c r="B31">
        <f>IFERROR(1/(I31-100),"n/a")</f>
        <v/>
      </c>
      <c r="C31" t="inlineStr">
        <is>
          <t>pct</t>
        </is>
      </c>
      <c r="D31">
        <f>Inputs!$B$35</f>
        <v/>
      </c>
      <c r="E31">
        <f>(Inputs!$B$35+1)</f>
        <v/>
      </c>
      <c r="F31">
        <f>Summary!$B$3</f>
        <v/>
      </c>
      <c r="G31">
        <f>B1166</f>
        <v/>
      </c>
      <c r="H31">
        <f>G31-F31</f>
        <v/>
      </c>
      <c r="I31">
        <f>IF(F31=0,0,G31/F31*100)</f>
        <v/>
      </c>
    </row>
    <row r="34">
      <c r="A34" s="5" t="inlineStr">
        <is>
          <t>Stat: Flat INT</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R35" t="inlineStr">
        <is>
          <t>helpers</t>
        </is>
      </c>
    </row>
    <row r="36">
      <c r="A36">
        <f>Skills!A2</f>
        <v/>
      </c>
      <c r="B36">
        <f>Skills!B2</f>
        <v/>
      </c>
      <c r="C36">
        <f>Inputs!$B$3&gt;=100</f>
        <v/>
      </c>
      <c r="D36" t="inlineStr"/>
      <c r="E36" t="inlineStr"/>
      <c r="F36">
        <f>T38+Skills!N2</f>
        <v/>
      </c>
      <c r="G36">
        <f>Calc!G2</f>
        <v/>
      </c>
      <c r="H36">
        <f>Calc!H2</f>
        <v/>
      </c>
      <c r="I36">
        <f>IF(Skills!T2&lt;&gt;"",1+(Skills!T2/10)*($Z$3/1000)/100,1)</f>
        <v/>
      </c>
      <c r="J36">
        <f>((Inputs!$B$6*(1+Inputs!$B$7/100))+((((Inputs!$B$13+1)*(1+Inputs!$B$14/100))-(Inputs!$B$13*(1+Inputs!$B$14/100)))+0.25*(Inputs!$B$15-Inputs!$B$15))*(1+Inputs!$B$7/100))*(F36/100)</f>
        <v/>
      </c>
      <c r="K36">
        <f>J36*(1+((((Inputs!$B$13+1)+IF(Inputs!$B$3&gt;=35,(10*INDEX(FactorTable!$B$2:$Y$301, MATCH(ROUND(MIN(300,MAX(1,Inputs!$B$3)),0), FactorTable!$A$2:$A$301,0), 23)/1000)/100*(Inputs!$B$8*(1+(Inputs!$B$9+B72)/100)),0))*(1+Inputs!$B$14/100))*0.01+Inputs!$B$15*0.0025)/100)*(1+(Inputs!$B$16+B66)/100)*(1+IF(Inputs!$B$39="pvp",0,(1-Summary!$B$48)*(Inputs!$B$21+Skills!O2+B64)+Summary!$B$48*(Inputs!$B$22+Skills!P2+B65))/100)*(1+Inputs!$B$17/100)*(5000/(6000+Inputs!$B$43*(1-Inputs!$B$20/100)))*(1+Inputs!$B$25/100)*(1+IF(C52=TRUE,F52,0)/100)*(1+IF(C54=TRUE,F54,0)/100)*(1+IF(Skills!A2="TRIUMPH_FEATHER",IF(C50=TRUE,F50,0),0)/100)*(1+IF(C61=TRUE,F61,0)/100)^5*(1+(IF(Skills!A2="BIG_BANG",Inputs!$B$18,Inputs!$B$19))/100)*(B63*I36)</f>
        <v/>
      </c>
      <c r="L36">
        <f>K36*(MIN(Inputs!$B$23+(F56-Calc!F22),Inputs!$B$24)/100+Inputs!$B$24/100)/2</f>
        <v/>
      </c>
      <c r="M36">
        <f>L36*(1+(Inputs!$B$11+B67+(F59-Calc!F25))/100)</f>
        <v/>
      </c>
      <c r="N36">
        <f>L36*(1-MIN(Inputs!$B$10+((F58-Calc!F24)+(F57-Calc!F23)),100)/100)+M36*(MIN(Inputs!$B$10+((F58-Calc!F24)+(F57-Calc!F23)),100)/100)</f>
        <v/>
      </c>
      <c r="O36">
        <f>IF(C36,Skills!F2*N36*B71*IF(Inputs!$B$39="pvp",1,(1-Summary!$B$48)*(1)+Summary!$B$48*(MIN((6+Inputs!$B$34),Inputs!$B$38))),0)</f>
        <v/>
      </c>
      <c r="P36">
        <f>IF(B74=0,0,O36/B74)</f>
        <v/>
      </c>
      <c r="Q36">
        <f>IFERROR(1/IF(Inputs!$B$39="pvp",15,MAX(0.1,Skills!D2-IF(Skills!E2=TRUE,Inputs!$B$33,0))),0)</f>
        <v/>
      </c>
      <c r="R36" t="n">
        <v>0</v>
      </c>
      <c r="T36">
        <f>MAX(0,(Inputs!$B$3-100)*3)+Inputs!$B$29+Inputs!$B$30</f>
        <v/>
      </c>
    </row>
    <row r="37">
      <c r="A37">
        <f>Skills!A3</f>
        <v/>
      </c>
      <c r="B37">
        <f>Skills!B3</f>
        <v/>
      </c>
      <c r="C37">
        <f>Inputs!$B$3&gt;=15</f>
        <v/>
      </c>
      <c r="D37">
        <f>IF(Skills!C3=1,60+Inputs!$B$26+Inputs!$B$30,IF(Skills!C3=2,90+Inputs!$B$27+Inputs!$B$30,IF(Skills!C3=3,120+Inputs!$B$28+Inputs!$B$30,MAX(0,(Inputs!$B$3-100)*3)+Inputs!$B$29+Inputs!$B$30)))</f>
        <v/>
      </c>
      <c r="E37">
        <f>INDEX(FactorTable!$B$2:$Y$301, MATCH(ROUND(MIN(300,MAX(1,D37)),0), FactorTable!$A$2:$A$301,0), Skills!L3+1)</f>
        <v/>
      </c>
      <c r="F37">
        <f>IF(Skills!M3=TRUE,(Skills!K3/10)*(E37/1000),Skills!K3/10)+Skills!N3</f>
        <v/>
      </c>
      <c r="G37">
        <f>Calc!G3</f>
        <v/>
      </c>
      <c r="H37">
        <f>Calc!H3</f>
        <v/>
      </c>
      <c r="I37">
        <f>IF(Skills!T3&lt;&gt;"",1+(Skills!T3/10)*($Z$3/1000)/100,1)</f>
        <v/>
      </c>
      <c r="J37" t="inlineStr"/>
      <c r="K37" t="inlineStr"/>
      <c r="L37" t="inlineStr"/>
      <c r="M37" t="inlineStr"/>
      <c r="N37" t="inlineStr"/>
      <c r="O37" t="n">
        <v>0</v>
      </c>
      <c r="P37">
        <f>IF(B74=0,0,O37/B74)</f>
        <v/>
      </c>
      <c r="Q37">
        <f>IFERROR(1/IF(Inputs!$B$39="pvp",15,MAX(0.1,Skills!D3-IF(Skills!E3=TRUE,Inputs!$B$33,0))),0)</f>
        <v/>
      </c>
      <c r="R37">
        <f>IF(AND(Inputs!$B$39&lt;&gt;"pvp",Inputs!$B$44&gt;0),IF(Inputs!$B$44&lt;=0,0,(INT(Inputs!$B$44/IF(Inputs!$B$39="pvp",15,MAX(0.1,Skills!D3-IF(Skills!E3=TRUE,Inputs!$B$33,0))))+1)),0)</f>
        <v/>
      </c>
      <c r="T37">
        <f>INDEX(FactorTable!$B$2:$Y$301, MATCH(ROUND(MIN(300,MAX(1,T36)),0), FactorTable!$A$2:$A$301,0), 22)</f>
        <v/>
      </c>
    </row>
    <row r="38">
      <c r="A38">
        <f>Skills!A4</f>
        <v/>
      </c>
      <c r="B38">
        <f>Skills!B4</f>
        <v/>
      </c>
      <c r="C38">
        <f>Inputs!$B$3&gt;=38</f>
        <v/>
      </c>
      <c r="D38">
        <f>IF(Skills!C4=1,60+Inputs!$B$26+Inputs!$B$30,IF(Skills!C4=2,90+Inputs!$B$27+Inputs!$B$30,IF(Skills!C4=3,120+Inputs!$B$28+Inputs!$B$30,MAX(0,(Inputs!$B$3-100)*3)+Inputs!$B$29+Inputs!$B$30)))</f>
        <v/>
      </c>
      <c r="E38">
        <f>INDEX(FactorTable!$B$2:$Y$301, MATCH(ROUND(MIN(300,MAX(1,D38)),0), FactorTable!$A$2:$A$301,0), Skills!L4+1)</f>
        <v/>
      </c>
      <c r="F38">
        <f>IF(Skills!M4=TRUE,(Skills!K4/10)*(E38/1000),Skills!K4/10)+Skills!N4</f>
        <v/>
      </c>
      <c r="G38">
        <f>Calc!G4</f>
        <v/>
      </c>
      <c r="H38">
        <f>Calc!H4</f>
        <v/>
      </c>
      <c r="I38">
        <f>IF(Skills!T4&lt;&gt;"",1+(Skills!T4/10)*($Z$3/1000)/100,1)</f>
        <v/>
      </c>
      <c r="J38" t="inlineStr"/>
      <c r="K38" t="inlineStr"/>
      <c r="L38" t="inlineStr"/>
      <c r="M38" t="inlineStr"/>
      <c r="N38" t="inlineStr"/>
      <c r="O38" t="n">
        <v>0</v>
      </c>
      <c r="P38">
        <f>IF(B74=0,0,O38/B74)</f>
        <v/>
      </c>
      <c r="Q38">
        <f>IFERROR(1/IF(Inputs!$B$39="pvp",15,MAX(0.1,Skills!D4-IF(Skills!E4=TRUE,Inputs!$B$33,0))),0)</f>
        <v/>
      </c>
      <c r="R38">
        <f>IF(AND(Inputs!$B$39&lt;&gt;"pvp",Inputs!$B$44&gt;0),IF(Inputs!$B$44&lt;=0,0,(INT(Inputs!$B$44/IF(Inputs!$B$39="pvp",15,MAX(0.1,Skills!D4-IF(Skills!E4=TRUE,Inputs!$B$33,0))))+1)),0)</f>
        <v/>
      </c>
      <c r="T38">
        <f>290*T37/1000</f>
        <v/>
      </c>
    </row>
    <row r="39">
      <c r="A39">
        <f>Skills!A5</f>
        <v/>
      </c>
      <c r="B39">
        <f>Skills!B5</f>
        <v/>
      </c>
      <c r="C39">
        <f>Inputs!$B$3&gt;=40</f>
        <v/>
      </c>
      <c r="D39">
        <f>IF(Skills!C5=1,60+Inputs!$B$26+Inputs!$B$30,IF(Skills!C5=2,90+Inputs!$B$27+Inputs!$B$30,IF(Skills!C5=3,120+Inputs!$B$28+Inputs!$B$30,MAX(0,(Inputs!$B$3-100)*3)+Inputs!$B$29+Inputs!$B$30)))</f>
        <v/>
      </c>
      <c r="E39">
        <f>INDEX(FactorTable!$B$2:$Y$301, MATCH(ROUND(MIN(300,MAX(1,D39)),0), FactorTable!$A$2:$A$301,0), Skills!L5+1)</f>
        <v/>
      </c>
      <c r="F39">
        <f>IF(Skills!M5=TRUE,(Skills!K5/10)*(E39/1000),Skills!K5/10)+Skills!N5</f>
        <v/>
      </c>
      <c r="G39">
        <f>Calc!G5</f>
        <v/>
      </c>
      <c r="H39">
        <f>Calc!H5</f>
        <v/>
      </c>
      <c r="I39">
        <f>IF(Skills!T5&lt;&gt;"",1+(Skills!T5/10)*($Z$3/1000)/100,1)</f>
        <v/>
      </c>
      <c r="J39" t="inlineStr"/>
      <c r="K39" t="inlineStr"/>
      <c r="L39" t="inlineStr"/>
      <c r="M39" t="inlineStr"/>
      <c r="N39" t="inlineStr"/>
      <c r="O39" t="n">
        <v>0</v>
      </c>
      <c r="P39">
        <f>IF(B74=0,0,O39/B74)</f>
        <v/>
      </c>
      <c r="Q39">
        <f>IFERROR(1/IF(Inputs!$B$39="pvp",15,MAX(0.1,Skills!D5-IF(Skills!E5=TRUE,Inputs!$B$33,0))),0)</f>
        <v/>
      </c>
      <c r="R39">
        <f>IF(AND(Inputs!$B$39&lt;&gt;"pvp",Inputs!$B$44&gt;0),IF(Inputs!$B$44&lt;=0,0,(INT(Inputs!$B$44/IF(Inputs!$B$39="pvp",15,MAX(0.1,Skills!D5-IF(Skills!E5=TRUE,Inputs!$B$33,0))))+1)),0)</f>
        <v/>
      </c>
    </row>
    <row r="40">
      <c r="A40">
        <f>Skills!A6</f>
        <v/>
      </c>
      <c r="B40">
        <f>Skills!B6</f>
        <v/>
      </c>
      <c r="C40">
        <f>Inputs!$B$3&gt;=103</f>
        <v/>
      </c>
      <c r="D40">
        <f>IF(Skills!C6=1,60+Inputs!$B$26+Inputs!$B$30,IF(Skills!C6=2,90+Inputs!$B$27+Inputs!$B$30,IF(Skills!C6=3,120+Inputs!$B$28+Inputs!$B$30,MAX(0,(Inputs!$B$3-100)*3)+Inputs!$B$29+Inputs!$B$30)))</f>
        <v/>
      </c>
      <c r="E40">
        <f>INDEX(FactorTable!$B$2:$Y$301, MATCH(ROUND(MIN(300,MAX(1,D40)),0), FactorTable!$A$2:$A$301,0), Skills!L6+1)</f>
        <v/>
      </c>
      <c r="F40">
        <f>IF(Skills!M6=TRUE,(Skills!K6/10)*(E40/1000),Skills!K6/10)+Skills!N6</f>
        <v/>
      </c>
      <c r="G40">
        <f>Calc!G6</f>
        <v/>
      </c>
      <c r="H40">
        <f>Calc!H6</f>
        <v/>
      </c>
      <c r="I40">
        <f>IF(Skills!T6&lt;&gt;"",1+(Skills!T6/10)*($Z$3/1000)/100,1)</f>
        <v/>
      </c>
      <c r="J40">
        <f>((Inputs!$B$6*(1+Inputs!$B$7/100))+((((Inputs!$B$13+1)*(1+Inputs!$B$14/100))-(Inputs!$B$13*(1+Inputs!$B$14/100)))+0.25*(Inputs!$B$15-Inputs!$B$15))*(1+Inputs!$B$7/100))*(F40/100)</f>
        <v/>
      </c>
      <c r="K40">
        <f>J40*(1+((((Inputs!$B$13+1)+IF(Inputs!$B$3&gt;=35,(10*INDEX(FactorTable!$B$2:$Y$301, MATCH(ROUND(MIN(300,MAX(1,Inputs!$B$3)),0), FactorTable!$A$2:$A$301,0), 23)/1000)/100*(Inputs!$B$8*(1+(Inputs!$B$9+B72)/100)),0))*(1+Inputs!$B$14/100))*0.01+Inputs!$B$15*0.0025)/100)*(1+(Inputs!$B$16+B66)/100)*(1+IF(Inputs!$B$39="pvp",0,(1-Summary!$B$48)*(Inputs!$B$21+Skills!O6+B64)+Summary!$B$48*(Inputs!$B$22+Skills!P6+B65))/100)*(1+Inputs!$B$17/100)*(5000/(6000+Inputs!$B$43*(1-Inputs!$B$20/100)))*(1+Inputs!$B$25/100)*(1+IF(C52=TRUE,F52,0)/100)*(1+IF(C54=TRUE,F54,0)/100)*(1+IF(Skills!A6="TRIUMPH_FEATHER",IF(C50=TRUE,F50,0),0)/100)*(1+IF(C61=TRUE,F61,0)/100)^5*(1+(IF(Skills!A6="BIG_BANG",Inputs!$B$18,Inputs!$B$19))/100)*(B63*I40)</f>
        <v/>
      </c>
      <c r="L40">
        <f>K40*(MIN(Inputs!$B$23+(F56-Calc!F22),Inputs!$B$24)/100+Inputs!$B$24/100)/2</f>
        <v/>
      </c>
      <c r="M40">
        <f>L40*(1+(Inputs!$B$11+B67+(F59-Calc!F25))/100)</f>
        <v/>
      </c>
      <c r="N40">
        <f>L40*(1-MIN(Inputs!$B$10+((F58-Calc!F24)+(F57-Calc!F23)),100)/100)+M40*(MIN(Inputs!$B$10+((F58-Calc!F24)+(F57-Calc!F23)),100)/100)</f>
        <v/>
      </c>
      <c r="O40">
        <f>IF(C40,H40*N40*IF(AND(Inputs!$B$39&lt;&gt;"pvp",Inputs!$B$44&gt;0),((Skills!F6*((R40-1)*IF(Skills!G6&gt;0,Skills!H6/Skills!G6,1)+IF(Skills!G6&gt;0,MIN(Skills!H6,MAX(0,MAX(0,Inputs!$B$44-B73)-((R40-1)*IF(Inputs!$B$39="pvp",15,MAX(0.1,Skills!D6-IF(Skills!E6=TRUE,Inputs!$B$33,0))))))/Skills!G6,1)))/Inputs!$B$44),G40*Q40)*IF(Inputs!$B$39="pvp",1,(1-Summary!$B$48)*(1)+Summary!$B$48*(MIN(Skills!Q6,Inputs!$B$38))),0)</f>
        <v/>
      </c>
      <c r="P40">
        <f>IF(B74=0,0,O40/B74)</f>
        <v/>
      </c>
      <c r="Q40">
        <f>IFERROR(1/IF(Inputs!$B$39="pvp",15,MAX(0.1,Skills!D6-IF(Skills!E6=TRUE,Inputs!$B$33,0))),0)</f>
        <v/>
      </c>
      <c r="R40">
        <f>IF(AND(Inputs!$B$39&lt;&gt;"pvp",Inputs!$B$44&gt;0),IF(MAX(0,Inputs!$B$44-B73)&lt;=0,0,(INT(MAX(0,Inputs!$B$44-B73)/IF(Inputs!$B$39="pvp",15,MAX(0.1,Skills!D6-IF(Skills!E6=TRUE,Inputs!$B$33,0))))+1)),0)</f>
        <v/>
      </c>
    </row>
    <row r="41">
      <c r="A41">
        <f>Skills!A7</f>
        <v/>
      </c>
      <c r="B41">
        <f>Skills!B7</f>
        <v/>
      </c>
      <c r="C41">
        <f>Inputs!$B$3&gt;=122</f>
        <v/>
      </c>
      <c r="D41">
        <f>IF(Skills!C7=1,60+Inputs!$B$26+Inputs!$B$30,IF(Skills!C7=2,90+Inputs!$B$27+Inputs!$B$30,IF(Skills!C7=3,120+Inputs!$B$28+Inputs!$B$30,MAX(0,(Inputs!$B$3-100)*3)+Inputs!$B$29+Inputs!$B$30)))</f>
        <v/>
      </c>
      <c r="E41">
        <f>INDEX(FactorTable!$B$2:$Y$301, MATCH(ROUND(MIN(300,MAX(1,D41)),0), FactorTable!$A$2:$A$301,0), Skills!L7+1)</f>
        <v/>
      </c>
      <c r="F41">
        <f>IF(Skills!M7=TRUE,(Skills!K7/10)*(E41/1000),Skills!K7/10)+Skills!N7</f>
        <v/>
      </c>
      <c r="G41">
        <f>Calc!G7</f>
        <v/>
      </c>
      <c r="H41">
        <f>Calc!H7</f>
        <v/>
      </c>
      <c r="I41">
        <f>IF(Skills!T7&lt;&gt;"",1+(Skills!T7/10)*($Z$3/1000)/100,1)</f>
        <v/>
      </c>
      <c r="J41">
        <f>((Inputs!$B$6*(1+Inputs!$B$7/100))+((((Inputs!$B$13+1)*(1+Inputs!$B$14/100))-(Inputs!$B$13*(1+Inputs!$B$14/100)))+0.25*(Inputs!$B$15-Inputs!$B$15))*(1+Inputs!$B$7/100))*(F41/100)</f>
        <v/>
      </c>
      <c r="K41">
        <f>J41*(1+((((Inputs!$B$13+1)+IF(Inputs!$B$3&gt;=35,(10*INDEX(FactorTable!$B$2:$Y$301, MATCH(ROUND(MIN(300,MAX(1,Inputs!$B$3)),0), FactorTable!$A$2:$A$301,0), 23)/1000)/100*(Inputs!$B$8*(1+(Inputs!$B$9+B72)/100)),0))*(1+Inputs!$B$14/100))*0.01+Inputs!$B$15*0.0025)/100)*(1+(Inputs!$B$16+B66)/100)*(1+IF(Inputs!$B$39="pvp",0,(1-Summary!$B$48)*(Inputs!$B$21+Skills!O7+B64)+Summary!$B$48*(Inputs!$B$22+Skills!P7+B65))/100)*(1+Inputs!$B$17/100)*(5000/(6000+Inputs!$B$43*(1-Inputs!$B$20/100)))*(1+Inputs!$B$25/100)*(1+IF(C52=TRUE,F52,0)/100)*(1+IF(C54=TRUE,F54,0)/100)*(1+IF(Skills!A7="TRIUMPH_FEATHER",IF(C50=TRUE,F50,0),0)/100)*(1+IF(C61=TRUE,F61,0)/100)^5*(1+(IF(Skills!A7="BIG_BANG",Inputs!$B$18,Inputs!$B$19))/100)*(B63*I41)</f>
        <v/>
      </c>
      <c r="L41">
        <f>K41*(MIN(Inputs!$B$23+(F56-Calc!F22),Inputs!$B$24)/100+Inputs!$B$24/100)/2</f>
        <v/>
      </c>
      <c r="M41">
        <f>L41*(1+(Inputs!$B$11+B67+(F59-Calc!F25))/100)</f>
        <v/>
      </c>
      <c r="N41">
        <f>L41*(1-MIN(Inputs!$B$10+((F58-Calc!F24)+(F57-Calc!F23)),100)/100)+M41*(MIN(Inputs!$B$10+((F58-Calc!F24)+(F57-Calc!F23)),100)/100)</f>
        <v/>
      </c>
      <c r="O41">
        <f>IF(C41,H41*N41*IF(AND(Inputs!$B$39&lt;&gt;"pvp",Inputs!$B$44&gt;0),((Skills!F7*((R41-1)*IF(Skills!G7&gt;0,Skills!H7/Skills!G7,1)+IF(Skills!G7&gt;0,MIN(Skills!H7,MAX(0,MAX(0,Inputs!$B$44-B73)-((R41-1)*IF(Inputs!$B$39="pvp",15,MAX(0.1,Skills!D7-IF(Skills!E6=TRUE,Inputs!$B$33,0))))))/Skills!G7,1)))/Inputs!$B$44),G41*Q41)*(1-Summary!$B$48),0)</f>
        <v/>
      </c>
      <c r="P41">
        <f>IF(B74=0,0,O41/B74)</f>
        <v/>
      </c>
      <c r="Q41">
        <f>IFERROR(1/IF(Inputs!$B$39="pvp",15,MAX(0.1,Skills!D7-IF(Skills!E6=TRUE,Inputs!$B$33,0))),0)</f>
        <v/>
      </c>
      <c r="R41">
        <f>IF(AND(Inputs!$B$39&lt;&gt;"pvp",Inputs!$B$44&gt;0),IF(MAX(0,Inputs!$B$44-B73)&lt;=0,0,(INT(MAX(0,Inputs!$B$44-B73)/IF(Inputs!$B$39="pvp",15,MAX(0.1,Skills!D7-IF(Skills!E6=TRUE,Inputs!$B$33,0))))+1)),0)</f>
        <v/>
      </c>
    </row>
    <row r="42">
      <c r="A42">
        <f>Skills!A8</f>
        <v/>
      </c>
      <c r="B42">
        <f>Skills!B8</f>
        <v/>
      </c>
      <c r="C42">
        <f>Inputs!$B$3&gt;=105</f>
        <v/>
      </c>
      <c r="D42">
        <f>IF(Skills!C8=1,60+Inputs!$B$26+Inputs!$B$30,IF(Skills!C8=2,90+Inputs!$B$27+Inputs!$B$30,IF(Skills!C8=3,120+Inputs!$B$28+Inputs!$B$30,MAX(0,(Inputs!$B$3-100)*3)+Inputs!$B$29+Inputs!$B$30)))</f>
        <v/>
      </c>
      <c r="E42">
        <f>INDEX(FactorTable!$B$2:$Y$301, MATCH(ROUND(MIN(300,MAX(1,D42)),0), FactorTable!$A$2:$A$301,0), Skills!L8+1)</f>
        <v/>
      </c>
      <c r="F42">
        <f>IF(Skills!M8=TRUE,(Skills!K8/10)*(E42/1000),Skills!K8/10)+Skills!N8</f>
        <v/>
      </c>
      <c r="G42">
        <f>Calc!G8</f>
        <v/>
      </c>
      <c r="H42">
        <f>Calc!H8</f>
        <v/>
      </c>
      <c r="I42">
        <f>IF(Skills!T8&lt;&gt;"",1+(Skills!T8/10)*($Z$3/1000)/100,1)</f>
        <v/>
      </c>
      <c r="J42">
        <f>((Inputs!$B$6*(1+Inputs!$B$7/100))+((((Inputs!$B$13+1)*(1+Inputs!$B$14/100))-(Inputs!$B$13*(1+Inputs!$B$14/100)))+0.25*(Inputs!$B$15-Inputs!$B$15))*(1+Inputs!$B$7/100))*(F42/100)</f>
        <v/>
      </c>
      <c r="K42">
        <f>J42*(1+((((Inputs!$B$13+1)+IF(Inputs!$B$3&gt;=35,(10*INDEX(FactorTable!$B$2:$Y$301, MATCH(ROUND(MIN(300,MAX(1,Inputs!$B$3)),0), FactorTable!$A$2:$A$301,0), 23)/1000)/100*(Inputs!$B$8*(1+(Inputs!$B$9+B72)/100)),0))*(1+Inputs!$B$14/100))*0.01+Inputs!$B$15*0.0025)/100)*(1+(Inputs!$B$16+B66)/100)*(1+IF(Inputs!$B$39="pvp",0,(1-Summary!$B$48)*(Inputs!$B$21+Skills!O8+B64)+Summary!$B$48*(Inputs!$B$22+Skills!P8+B65))/100)*(1+Inputs!$B$17/100)*(5000/(6000+Inputs!$B$43*(1-Inputs!$B$20/100)))*(1+Inputs!$B$25/100)*(1+IF(C52=TRUE,F52,0)/100)*(1+IF(C54=TRUE,F54,0)/100)*(1+IF(Skills!A8="TRIUMPH_FEATHER",IF(C50=TRUE,F50,0),0)/100)*(1+IF(C61=TRUE,F61,0)/100)^5*(1+(IF(Skills!A8="BIG_BANG",Inputs!$B$18,Inputs!$B$19))/100)*(B63*I42)</f>
        <v/>
      </c>
      <c r="L42">
        <f>K42*(MIN(Inputs!$B$23+(F56-Calc!F22),Inputs!$B$24)/100+Inputs!$B$24/100)/2</f>
        <v/>
      </c>
      <c r="M42">
        <f>L42*(1+(Inputs!$B$11+B67+(F59-Calc!F25))/100)</f>
        <v/>
      </c>
      <c r="N42">
        <f>L42*(1-MIN(Inputs!$B$10+((F58-Calc!F24)+(F57-Calc!F23)),100)/100)+M42*(MIN(Inputs!$B$10+((F58-Calc!F24)+(F57-Calc!F23)),100)/100)</f>
        <v/>
      </c>
      <c r="O42">
        <f>IF(C42,H42*N42*IF(AND(Inputs!$B$39&lt;&gt;"pvp",Inputs!$B$44&gt;0),((Skills!F8*((R42-1)*IF(Skills!G8&gt;0,Skills!H8/Skills!G8,1)+IF(Skills!G8&gt;0,MIN(Skills!H8,MAX(0,MAX(0,Inputs!$B$44-B73)-((R42-1)*IF(Inputs!$B$39="pvp",15,MAX(0.1,Skills!D8-IF(Skills!E8=TRUE,Inputs!$B$33,0))))))/Skills!G8,1)))/Inputs!$B$44),G42*Q42)*IF(Inputs!$B$39="pvp",1,(1-Summary!$B$48)*(1)+Summary!$B$48*(MIN(Skills!Q8,Inputs!$B$38))),0)</f>
        <v/>
      </c>
      <c r="P42">
        <f>IF(B74=0,0,O42/B74)</f>
        <v/>
      </c>
      <c r="Q42">
        <f>IFERROR(1/IF(Inputs!$B$39="pvp",15,MAX(0.1,Skills!D8-IF(Skills!E8=TRUE,Inputs!$B$33,0))),0)</f>
        <v/>
      </c>
      <c r="R42">
        <f>IF(AND(Inputs!$B$39&lt;&gt;"pvp",Inputs!$B$44&gt;0),IF(MAX(0,Inputs!$B$44-B73)&lt;=0,0,(INT(MAX(0,Inputs!$B$44-B73)/IF(Inputs!$B$39="pvp",15,MAX(0.1,Skills!D8-IF(Skills!E8=TRUE,Inputs!$B$33,0))))+1)),0)</f>
        <v/>
      </c>
    </row>
    <row r="43">
      <c r="A43">
        <f>Skills!A9</f>
        <v/>
      </c>
      <c r="B43">
        <f>Skills!B9</f>
        <v/>
      </c>
      <c r="C43">
        <f>Inputs!$B$3&gt;=115</f>
        <v/>
      </c>
      <c r="D43">
        <f>IF(Skills!C9=1,60+Inputs!$B$26+Inputs!$B$30,IF(Skills!C9=2,90+Inputs!$B$27+Inputs!$B$30,IF(Skills!C9=3,120+Inputs!$B$28+Inputs!$B$30,MAX(0,(Inputs!$B$3-100)*3)+Inputs!$B$29+Inputs!$B$30)))</f>
        <v/>
      </c>
      <c r="E43">
        <f>INDEX(FactorTable!$B$2:$Y$301, MATCH(ROUND(MIN(300,MAX(1,D43)),0), FactorTable!$A$2:$A$301,0), Skills!L9+1)</f>
        <v/>
      </c>
      <c r="F43">
        <f>IF(Skills!M9=TRUE,(Skills!K9/10)*(E43/1000),Skills!K9/10)+Skills!N9</f>
        <v/>
      </c>
      <c r="G43">
        <f>Calc!G9</f>
        <v/>
      </c>
      <c r="H43">
        <f>Calc!H9</f>
        <v/>
      </c>
      <c r="I43">
        <f>IF(Skills!T9&lt;&gt;"",1+(Skills!T9/10)*($Z$3/1000)/100,1)</f>
        <v/>
      </c>
      <c r="J43">
        <f>((Inputs!$B$6*(1+Inputs!$B$7/100))+((((Inputs!$B$13+1)*(1+Inputs!$B$14/100))-(Inputs!$B$13*(1+Inputs!$B$14/100)))+0.25*(Inputs!$B$15-Inputs!$B$15))*(1+Inputs!$B$7/100))*(F43/100)</f>
        <v/>
      </c>
      <c r="K43">
        <f>J43*(1+((((Inputs!$B$13+1)+IF(Inputs!$B$3&gt;=35,(10*INDEX(FactorTable!$B$2:$Y$301, MATCH(ROUND(MIN(300,MAX(1,Inputs!$B$3)),0), FactorTable!$A$2:$A$301,0), 23)/1000)/100*(Inputs!$B$8*(1+(Inputs!$B$9+B72)/100)),0))*(1+Inputs!$B$14/100))*0.01+Inputs!$B$15*0.0025)/100)*(1+(Inputs!$B$16+B66)/100)*(1+IF(Inputs!$B$39="pvp",0,(1-Summary!$B$48)*(Inputs!$B$21+Skills!O9+B64)+Summary!$B$48*(Inputs!$B$22+Skills!P9+B65))/100)*(1+Inputs!$B$17/100)*(5000/(6000+Inputs!$B$43*(1-Inputs!$B$20/100)))*(1+Inputs!$B$25/100)*(1+IF(C52=TRUE,F52,0)/100)*(1+IF(C54=TRUE,F54,0)/100)*(1+IF(Skills!A9="TRIUMPH_FEATHER",IF(C50=TRUE,F50,0),0)/100)*(1+IF(C61=TRUE,F61,0)/100)^5*(1+(IF(Skills!A9="BIG_BANG",Inputs!$B$18,Inputs!$B$19))/100)*(B63*I43)</f>
        <v/>
      </c>
      <c r="L43">
        <f>K43*(MIN(Inputs!$B$23+(F56-Calc!F22),Inputs!$B$24)/100+Inputs!$B$24/100)/2</f>
        <v/>
      </c>
      <c r="M43">
        <f>L43*(1+(Inputs!$B$11+B67+(F59-Calc!F25))/100)</f>
        <v/>
      </c>
      <c r="N43">
        <f>L43*(1-MIN(Inputs!$B$10+((F58-Calc!F24)+(F57-Calc!F23)),100)/100)+M43*(MIN(Inputs!$B$10+((F58-Calc!F24)+(F57-Calc!F23)),100)/100)</f>
        <v/>
      </c>
      <c r="O43">
        <f>IF(C43,H43*N43*IF(AND(Inputs!$B$39&lt;&gt;"pvp",Inputs!$B$44&gt;0),((Skills!F9*((R43-1)*IF(Skills!G9&gt;0,Skills!H9/Skills!G9,1)+IF(Skills!G9&gt;0,MIN(Skills!H9,MAX(0,MAX(0,Inputs!$B$44-B73)-((R43-1)*IF(Inputs!$B$39="pvp",15,MAX(0.1,Skills!D9-IF(Skills!E9=TRUE,Inputs!$B$33,0))))))/Skills!G9,1)))/Inputs!$B$44),G43*Q43)*IF(Inputs!$B$39="pvp",1,(1-Summary!$B$48)*(1)+Summary!$B$48*(MIN(Skills!Q9,Inputs!$B$38))),0)</f>
        <v/>
      </c>
      <c r="P43">
        <f>IF(B74=0,0,O43/B74)</f>
        <v/>
      </c>
      <c r="Q43">
        <f>IFERROR(1/IF(Inputs!$B$39="pvp",15,MAX(0.1,Skills!D9-IF(Skills!E9=TRUE,Inputs!$B$33,0))),0)</f>
        <v/>
      </c>
      <c r="R43">
        <f>IF(AND(Inputs!$B$39&lt;&gt;"pvp",Inputs!$B$44&gt;0),IF(MAX(0,Inputs!$B$44-B73)&lt;=0,0,(INT(MAX(0,Inputs!$B$44-B73)/IF(Inputs!$B$39="pvp",15,MAX(0.1,Skills!D9-IF(Skills!E9=TRUE,Inputs!$B$33,0))))+1)),0)</f>
        <v/>
      </c>
    </row>
    <row r="44">
      <c r="A44">
        <f>Skills!A10</f>
        <v/>
      </c>
      <c r="B44">
        <f>Skills!B10</f>
        <v/>
      </c>
      <c r="C44">
        <f>Inputs!$B$3&gt;=66</f>
        <v/>
      </c>
      <c r="D44">
        <f>IF(Skills!C10=1,60+Inputs!$B$26+Inputs!$B$30,IF(Skills!C10=2,90+Inputs!$B$27+Inputs!$B$30,IF(Skills!C10=3,120+Inputs!$B$28+Inputs!$B$30,MAX(0,(Inputs!$B$3-100)*3)+Inputs!$B$29+Inputs!$B$30)))</f>
        <v/>
      </c>
      <c r="E44">
        <f>INDEX(FactorTable!$B$2:$Y$301, MATCH(ROUND(MIN(300,MAX(1,D44)),0), FactorTable!$A$2:$A$301,0), Skills!L10+1)</f>
        <v/>
      </c>
      <c r="F44" t="n">
        <v>0</v>
      </c>
      <c r="G44">
        <f>Calc!G10</f>
        <v/>
      </c>
      <c r="H44">
        <f>Calc!H10</f>
        <v/>
      </c>
      <c r="I44">
        <f>IF(Skills!T10&lt;&gt;"",1+(Skills!T10/10)*($Z$3/1000)/100,1)</f>
        <v/>
      </c>
      <c r="J44" t="inlineStr"/>
      <c r="K44" t="inlineStr"/>
      <c r="L44" t="inlineStr"/>
      <c r="M44" t="inlineStr"/>
      <c r="N44" t="inlineStr"/>
      <c r="O44" t="n">
        <v>0</v>
      </c>
      <c r="P44">
        <f>IF(B74=0,0,O44/B74)</f>
        <v/>
      </c>
      <c r="Q44">
        <f>IFERROR(1/IF(Inputs!$B$39="pvp",15,MAX(0.1,Skills!D10-IF(Skills!E10=TRUE,Inputs!$B$33,0))),0)</f>
        <v/>
      </c>
      <c r="R44">
        <f>IF(AND(Inputs!$B$39&lt;&gt;"pvp",Inputs!$B$44&gt;0),IF(MAX(0,Inputs!$B$44-B73)&lt;=0,0,(INT(MAX(0,Inputs!$B$44-B73)/IF(Inputs!$B$39="pvp",15,MAX(0.1,Skills!D10-IF(Skills!E10=TRUE,Inputs!$B$33,0))))+1)),0)</f>
        <v/>
      </c>
    </row>
    <row r="45">
      <c r="A45">
        <f>Skills!A11</f>
        <v/>
      </c>
      <c r="B45">
        <f>Skills!B11</f>
        <v/>
      </c>
      <c r="C45">
        <f>Inputs!$B$3&gt;=69</f>
        <v/>
      </c>
      <c r="D45">
        <f>IF(Skills!C11=1,60+Inputs!$B$26+Inputs!$B$30,IF(Skills!C11=2,90+Inputs!$B$27+Inputs!$B$30,IF(Skills!C11=3,120+Inputs!$B$28+Inputs!$B$30,MAX(0,(Inputs!$B$3-100)*3)+Inputs!$B$29+Inputs!$B$30)))</f>
        <v/>
      </c>
      <c r="E45">
        <f>INDEX(FactorTable!$B$2:$Y$301, MATCH(ROUND(MIN(300,MAX(1,D45)),0), FactorTable!$A$2:$A$301,0), Skills!L11+1)</f>
        <v/>
      </c>
      <c r="F45">
        <f>IF(Skills!M11=TRUE,(Skills!K11/10)*(E45/1000),Skills!K11/10)+Skills!N11</f>
        <v/>
      </c>
      <c r="G45">
        <f>Calc!G11</f>
        <v/>
      </c>
      <c r="H45">
        <f>Calc!H11</f>
        <v/>
      </c>
      <c r="I45">
        <f>IF(Skills!T11&lt;&gt;"",1+(Skills!T11/10)*($Z$3/1000)/100,1)</f>
        <v/>
      </c>
      <c r="J45" t="inlineStr"/>
      <c r="K45" t="inlineStr"/>
      <c r="L45" t="inlineStr"/>
      <c r="M45" t="inlineStr"/>
      <c r="N45" t="inlineStr"/>
      <c r="O45" t="n">
        <v>0</v>
      </c>
      <c r="P45">
        <f>IF(B74=0,0,O45/B74)</f>
        <v/>
      </c>
      <c r="Q45">
        <f>IFERROR(1/IF(Inputs!$B$39="pvp",15,MAX(0.1,Skills!D11-IF(Skills!E11=TRUE,Inputs!$B$33,0))),0)</f>
        <v/>
      </c>
      <c r="R45">
        <f>IF(AND(Inputs!$B$39&lt;&gt;"pvp",Inputs!$B$44&gt;0),IF(Inputs!$B$44&lt;=0,0,(INT(Inputs!$B$44/IF(Inputs!$B$39="pvp",15,MAX(0.1,Skills!D11-IF(Skills!E11=TRUE,Inputs!$B$33,0))))+1)),0)</f>
        <v/>
      </c>
    </row>
    <row r="46">
      <c r="A46">
        <f>Skills!A12</f>
        <v/>
      </c>
      <c r="B46">
        <f>Skills!B12</f>
        <v/>
      </c>
      <c r="C46">
        <f>Inputs!$B$3&gt;=72</f>
        <v/>
      </c>
      <c r="D46">
        <f>IF(Skills!C12=1,60+Inputs!$B$26+Inputs!$B$30,IF(Skills!C12=2,90+Inputs!$B$27+Inputs!$B$30,IF(Skills!C12=3,120+Inputs!$B$28+Inputs!$B$30,MAX(0,(Inputs!$B$3-100)*3)+Inputs!$B$29+Inputs!$B$30)))</f>
        <v/>
      </c>
      <c r="E46">
        <f>INDEX(FactorTable!$B$2:$Y$301, MATCH(ROUND(MIN(300,MAX(1,D46)),0), FactorTable!$A$2:$A$301,0), Skills!L12+1)</f>
        <v/>
      </c>
      <c r="F46">
        <f>IF(Skills!M12=TRUE,(Skills!K12/10)*(E46/1000),Skills!K12/10)+Skills!N12</f>
        <v/>
      </c>
      <c r="G46">
        <f>Calc!G12</f>
        <v/>
      </c>
      <c r="H46">
        <f>Calc!H12</f>
        <v/>
      </c>
      <c r="I46">
        <f>IF(Skills!T12&lt;&gt;"",1+(Skills!T12/10)*($Z$3/1000)/100,1)</f>
        <v/>
      </c>
      <c r="J46" t="inlineStr"/>
      <c r="K46" t="inlineStr"/>
      <c r="L46" t="inlineStr"/>
      <c r="M46" t="inlineStr"/>
      <c r="N46" t="inlineStr"/>
      <c r="O46" t="n">
        <v>0</v>
      </c>
      <c r="P46">
        <f>IF(B74=0,0,O46/B74)</f>
        <v/>
      </c>
      <c r="Q46">
        <f>IFERROR(1/IF(Inputs!$B$39="pvp",15,MAX(0.1,Skills!D12-IF(Skills!E12=TRUE,Inputs!$B$33,0))),0)</f>
        <v/>
      </c>
      <c r="R46">
        <f>IF(AND(Inputs!$B$39&lt;&gt;"pvp",Inputs!$B$44&gt;0),IF(MAX(0,Inputs!$B$44-B73)&lt;=0,0,(INT(MAX(0,Inputs!$B$44-B73)/IF(Inputs!$B$39="pvp",15,MAX(0.1,Skills!D12-IF(Skills!E12=TRUE,Inputs!$B$33,0))))+1)),0)</f>
        <v/>
      </c>
    </row>
    <row r="47">
      <c r="A47">
        <f>Skills!A13</f>
        <v/>
      </c>
      <c r="B47">
        <f>Skills!B13</f>
        <v/>
      </c>
      <c r="C47">
        <f>Inputs!$B$3&gt;=60</f>
        <v/>
      </c>
      <c r="D47">
        <f>IF(Skills!C13=1,60+Inputs!$B$26+Inputs!$B$30,IF(Skills!C13=2,90+Inputs!$B$27+Inputs!$B$30,IF(Skills!C13=3,120+Inputs!$B$28+Inputs!$B$30,MAX(0,(Inputs!$B$3-100)*3)+Inputs!$B$29+Inputs!$B$30)))</f>
        <v/>
      </c>
      <c r="E47">
        <f>INDEX(FactorTable!$B$2:$Y$301, MATCH(ROUND(MIN(300,MAX(1,D47)),0), FactorTable!$A$2:$A$301,0), Skills!L13+1)</f>
        <v/>
      </c>
      <c r="F47">
        <f>IF(Skills!M13=TRUE,(Skills!K13/10)*(E47/1000),Skills!K13/10)+Skills!N13</f>
        <v/>
      </c>
      <c r="G47">
        <f>Calc!G13</f>
        <v/>
      </c>
      <c r="H47">
        <f>Calc!H13</f>
        <v/>
      </c>
      <c r="I47">
        <f>IF(Skills!T13&lt;&gt;"",1+(Skills!T13/10)*($Z$3/1000)/100,1)</f>
        <v/>
      </c>
      <c r="J47" t="inlineStr"/>
      <c r="K47" t="inlineStr"/>
      <c r="L47" t="inlineStr"/>
      <c r="M47" t="inlineStr"/>
      <c r="N47" t="inlineStr"/>
      <c r="O47" t="n">
        <v>0</v>
      </c>
      <c r="P47">
        <f>IF(B74=0,0,O47/B74)</f>
        <v/>
      </c>
      <c r="Q47">
        <f>IFERROR(1/IF(Inputs!$B$39="pvp",15,MAX(0.1,Skills!D13-IF(Skills!E13=TRUE,Inputs!$B$33,0))),0)</f>
        <v/>
      </c>
      <c r="R47">
        <f>IF(AND(Inputs!$B$39&lt;&gt;"pvp",Inputs!$B$44&gt;0),IF(MAX(0,Inputs!$B$44-B73)&lt;=0,0,(INT(MAX(0,Inputs!$B$44-B73)/IF(Inputs!$B$39="pvp",15,MAX(0.1,Skills!D13-IF(Skills!E13=TRUE,Inputs!$B$33,0))))+1)),0)</f>
        <v/>
      </c>
    </row>
    <row r="48">
      <c r="A48">
        <f>Skills!A14</f>
        <v/>
      </c>
      <c r="B48">
        <f>Skills!B14</f>
        <v/>
      </c>
      <c r="C48">
        <f>Inputs!$B$3&gt;=107</f>
        <v/>
      </c>
      <c r="D48">
        <f>IF(Skills!C14=1,60+Inputs!$B$26+Inputs!$B$30,IF(Skills!C14=2,90+Inputs!$B$27+Inputs!$B$30,IF(Skills!C14=3,120+Inputs!$B$28+Inputs!$B$30,MAX(0,(Inputs!$B$3-100)*3)+Inputs!$B$29+Inputs!$B$30)))</f>
        <v/>
      </c>
      <c r="E48">
        <f>INDEX(FactorTable!$B$2:$Y$301, MATCH(ROUND(MIN(300,MAX(1,D48)),0), FactorTable!$A$2:$A$301,0), Skills!L14+1)</f>
        <v/>
      </c>
      <c r="F48">
        <f>IF(Skills!M14=TRUE,(Skills!K14/10)*(E48/1000),Skills!K14/10)+Skills!N14</f>
        <v/>
      </c>
      <c r="G48">
        <f>Calc!G14</f>
        <v/>
      </c>
      <c r="H48">
        <f>Calc!H14</f>
        <v/>
      </c>
      <c r="I48">
        <f>IF(Skills!T14&lt;&gt;"",1+(Skills!T14/10)*($Z$3/1000)/100,1)</f>
        <v/>
      </c>
      <c r="J48" t="inlineStr"/>
      <c r="K48" t="inlineStr"/>
      <c r="L48" t="inlineStr"/>
      <c r="M48" t="inlineStr"/>
      <c r="N48" t="inlineStr"/>
      <c r="O48" t="n">
        <v>0</v>
      </c>
      <c r="P48">
        <f>IF(B74=0,0,O48/B74)</f>
        <v/>
      </c>
      <c r="Q48">
        <f>IFERROR(1/IF(Inputs!$B$39="pvp",15,MAX(0.1,Skills!D14-IF(Skills!E14=TRUE,Inputs!$B$33,0))),0)</f>
        <v/>
      </c>
      <c r="R48">
        <f>IF(AND(Inputs!$B$39&lt;&gt;"pvp",Inputs!$B$44&gt;0),IF(Inputs!$B$44&lt;=0,0,(INT(Inputs!$B$44/IF(Inputs!$B$39="pvp",15,MAX(0.1,Skills!D14-IF(Skills!E14=TRUE,Inputs!$B$33,0))))+1)),0)</f>
        <v/>
      </c>
    </row>
    <row r="49">
      <c r="A49">
        <f>Skills!A15</f>
        <v/>
      </c>
      <c r="B49">
        <f>Skills!B15</f>
        <v/>
      </c>
      <c r="C49">
        <f>Inputs!$B$3&gt;=63</f>
        <v/>
      </c>
      <c r="D49">
        <f>IF(Skills!C15=1,60+Inputs!$B$26+Inputs!$B$30,IF(Skills!C15=2,90+Inputs!$B$27+Inputs!$B$30,IF(Skills!C15=3,120+Inputs!$B$28+Inputs!$B$30,MAX(0,(Inputs!$B$3-100)*3)+Inputs!$B$29+Inputs!$B$30)))</f>
        <v/>
      </c>
      <c r="E49">
        <f>INDEX(FactorTable!$B$2:$Y$301, MATCH(ROUND(MIN(300,MAX(1,D49)),0), FactorTable!$A$2:$A$301,0), Skills!L15+1)</f>
        <v/>
      </c>
      <c r="F49">
        <f>IF(Skills!M15=TRUE,(Skills!K15/10)*(E49/1000),Skills!K15/10)+Skills!N15</f>
        <v/>
      </c>
      <c r="G49">
        <f>Calc!G15</f>
        <v/>
      </c>
      <c r="H49">
        <f>Calc!H15</f>
        <v/>
      </c>
      <c r="I49">
        <f>IF(Skills!T15&lt;&gt;"",1+(Skills!T15/10)*($Z$3/1000)/100,1)</f>
        <v/>
      </c>
      <c r="J49">
        <f>((Inputs!$B$6*(1+Inputs!$B$7/100))+((((Inputs!$B$13+1)*(1+Inputs!$B$14/100))-(Inputs!$B$13*(1+Inputs!$B$14/100)))+0.25*(Inputs!$B$15-Inputs!$B$15))*(1+Inputs!$B$7/100))*(F49/100)</f>
        <v/>
      </c>
      <c r="K49">
        <f>J49*(1+((((Inputs!$B$13+1)+IF(Inputs!$B$3&gt;=35,(10*INDEX(FactorTable!$B$2:$Y$301, MATCH(ROUND(MIN(300,MAX(1,Inputs!$B$3)),0), FactorTable!$A$2:$A$301,0), 23)/1000)/100*(Inputs!$B$8*(1+(Inputs!$B$9+B72)/100)),0))*(1+Inputs!$B$14/100))*0.01+Inputs!$B$15*0.0025)/100)*(1+(Inputs!$B$16+B66)/100)*(1+IF(Inputs!$B$39="pvp",0,(1-Summary!$B$48)*(Inputs!$B$21+Skills!O15+B64)+Summary!$B$48*(Inputs!$B$22+Skills!P15+B65))/100)*(1+Inputs!$B$17/100)*(5000/(6000+Inputs!$B$43*(1-Inputs!$B$20/100)))*(1+Inputs!$B$25/100)*(1+IF(C52=TRUE,F52,0)/100)*(1+IF(C54=TRUE,F54,0)/100)*(1+IF(Skills!A15="TRIUMPH_FEATHER",IF(C50=TRUE,F50,0),0)/100)*(1+IF(C61=TRUE,F61,0)/100)^5*(1+(IF(Skills!A15="BIG_BANG",Inputs!$B$18,Inputs!$B$19))/100)*(B63*I49)</f>
        <v/>
      </c>
      <c r="L49">
        <f>K49*(MIN(Inputs!$B$23+(F56-Calc!F22),Inputs!$B$24)/100+Inputs!$B$24/100)/2</f>
        <v/>
      </c>
      <c r="M49">
        <f>L49*(1+(Inputs!$B$11+B67+(F59-Calc!F25))/100)</f>
        <v/>
      </c>
      <c r="N49">
        <f>L49*(1-MIN(Inputs!$B$10+((F58-Calc!F24)+(F57-Calc!F23)),100)/100)+M49*(MIN(Inputs!$B$10+((F58-Calc!F24)+(F57-Calc!F23)),100)/100)</f>
        <v/>
      </c>
      <c r="O49">
        <f>IF(C49,Skills!F15*N49*((IF(Inputs!$B$3&gt;=78,25,15)/100*B69*10)/(1+IF(Inputs!$B$3&gt;=78,25,15)/100*B69*10))*(Skills!I15/100*B69)/(1+Skills!G15*Skills!I15/100*B69)*IF(Inputs!$B$39="pvp",1,(1-Summary!$B$48)*(1)+Summary!$B$48*(MIN(Skills!Q15,Inputs!$B$38))),0)</f>
        <v/>
      </c>
      <c r="P49">
        <f>IF(B74=0,0,O49/B74)</f>
        <v/>
      </c>
      <c r="Q49">
        <f>IFERROR(1/IF(Inputs!$B$39="pvp",15,MAX(0.1,Skills!D15-IF(Skills!E15=TRUE,Inputs!$B$33,0))),0)</f>
        <v/>
      </c>
      <c r="R49" t="n">
        <v>0</v>
      </c>
    </row>
    <row r="50">
      <c r="A50">
        <f>Skills!A16</f>
        <v/>
      </c>
      <c r="B50">
        <f>Skills!B16</f>
        <v/>
      </c>
      <c r="C50">
        <f>Inputs!$B$3&gt;=100</f>
        <v/>
      </c>
      <c r="D50">
        <f>IF(Skills!C16=1,60+Inputs!$B$26+Inputs!$B$30,IF(Skills!C16=2,90+Inputs!$B$27+Inputs!$B$30,IF(Skills!C16=3,120+Inputs!$B$28+Inputs!$B$30,MAX(0,(Inputs!$B$3-100)*3)+Inputs!$B$29+Inputs!$B$30)))</f>
        <v/>
      </c>
      <c r="E50">
        <f>INDEX(FactorTable!$B$2:$Y$301, MATCH(ROUND(MIN(300,MAX(1,D50)),0), FactorTable!$A$2:$A$301,0), Skills!L16+1)</f>
        <v/>
      </c>
      <c r="F50">
        <f>IF(Skills!M16=TRUE,(Skills!K16/10)*(E50/1000),Skills!K16/10)+Skills!N16</f>
        <v/>
      </c>
      <c r="G50">
        <f>Calc!G16</f>
        <v/>
      </c>
      <c r="H50">
        <f>Calc!H16</f>
        <v/>
      </c>
      <c r="I50">
        <f>IF(Skills!T16&lt;&gt;"",1+(Skills!T16/10)*($Z$3/1000)/100,1)</f>
        <v/>
      </c>
      <c r="J50" t="inlineStr"/>
      <c r="K50" t="inlineStr"/>
      <c r="L50" t="inlineStr"/>
      <c r="M50" t="inlineStr"/>
      <c r="N50" t="inlineStr"/>
      <c r="O50" t="n">
        <v>0</v>
      </c>
      <c r="P50">
        <f>IF(B74=0,0,O50/B74)</f>
        <v/>
      </c>
      <c r="Q50">
        <f>IFERROR(1/IF(Inputs!$B$39="pvp",15,MAX(0.1,Skills!D16-IF(Skills!E16=TRUE,Inputs!$B$33,0))),0)</f>
        <v/>
      </c>
      <c r="R50" t="n">
        <v>0</v>
      </c>
    </row>
    <row r="51">
      <c r="A51">
        <f>Skills!A17</f>
        <v/>
      </c>
      <c r="B51">
        <f>Skills!B17</f>
        <v/>
      </c>
      <c r="C51">
        <f>Inputs!$B$3&gt;=49</f>
        <v/>
      </c>
      <c r="D51">
        <f>IF(Skills!C17=1,60+Inputs!$B$26+Inputs!$B$30,IF(Skills!C17=2,90+Inputs!$B$27+Inputs!$B$30,IF(Skills!C17=3,120+Inputs!$B$28+Inputs!$B$30,MAX(0,(Inputs!$B$3-100)*3)+Inputs!$B$29+Inputs!$B$30)))</f>
        <v/>
      </c>
      <c r="E51">
        <f>INDEX(FactorTable!$B$2:$Y$301, MATCH(ROUND(MIN(300,MAX(1,D51)),0), FactorTable!$A$2:$A$301,0), Skills!L17+1)</f>
        <v/>
      </c>
      <c r="F51">
        <f>IF(Skills!M17=TRUE,(Skills!K17/10)*(E51/1000),Skills!K17/10)+Skills!N17</f>
        <v/>
      </c>
      <c r="G51">
        <f>Calc!G17</f>
        <v/>
      </c>
      <c r="H51">
        <f>Calc!H17</f>
        <v/>
      </c>
      <c r="I51">
        <f>IF(Skills!T17&lt;&gt;"",1+(Skills!T17/10)*($Z$3/1000)/100,1)</f>
        <v/>
      </c>
      <c r="J51" t="inlineStr"/>
      <c r="K51" t="inlineStr"/>
      <c r="L51" t="inlineStr"/>
      <c r="M51" t="inlineStr"/>
      <c r="N51" t="inlineStr"/>
      <c r="O51" t="n">
        <v>0</v>
      </c>
      <c r="P51">
        <f>IF(B74=0,0,O51/B74)</f>
        <v/>
      </c>
      <c r="Q51">
        <f>IFERROR(1/IF(Inputs!$B$39="pvp",15,MAX(0.1,Skills!D17-IF(Skills!E17=TRUE,Inputs!$B$33,0))),0)</f>
        <v/>
      </c>
      <c r="R51" t="n">
        <v>0</v>
      </c>
    </row>
    <row r="52">
      <c r="A52">
        <f>Skills!A18</f>
        <v/>
      </c>
      <c r="B52">
        <f>Skills!B18</f>
        <v/>
      </c>
      <c r="C52">
        <f>Inputs!$B$3&gt;=75</f>
        <v/>
      </c>
      <c r="D52">
        <f>IF(Skills!C18=1,60+Inputs!$B$26+Inputs!$B$30,IF(Skills!C18=2,90+Inputs!$B$27+Inputs!$B$30,IF(Skills!C18=3,120+Inputs!$B$28+Inputs!$B$30,MAX(0,(Inputs!$B$3-100)*3)+Inputs!$B$29+Inputs!$B$30)))</f>
        <v/>
      </c>
      <c r="E52">
        <f>INDEX(FactorTable!$B$2:$Y$301, MATCH(ROUND(MIN(300,MAX(1,D52)),0), FactorTable!$A$2:$A$301,0), Skills!L18+1)</f>
        <v/>
      </c>
      <c r="F52">
        <f>IF(Skills!M18=TRUE,(Skills!K18/10)*(E52/1000),Skills!K18/10)+Skills!N18</f>
        <v/>
      </c>
      <c r="G52">
        <f>Calc!G18</f>
        <v/>
      </c>
      <c r="H52">
        <f>Calc!H18</f>
        <v/>
      </c>
      <c r="I52">
        <f>IF(Skills!T18&lt;&gt;"",1+(Skills!T18/10)*($Z$3/1000)/100,1)</f>
        <v/>
      </c>
      <c r="J52" t="inlineStr"/>
      <c r="K52" t="inlineStr"/>
      <c r="L52" t="inlineStr"/>
      <c r="M52" t="inlineStr"/>
      <c r="N52" t="inlineStr"/>
      <c r="O52" t="n">
        <v>0</v>
      </c>
      <c r="P52">
        <f>IF(B74=0,0,O52/B74)</f>
        <v/>
      </c>
      <c r="Q52">
        <f>IFERROR(1/IF(Inputs!$B$39="pvp",15,MAX(0.1,Skills!D18-IF(Skills!E18=TRUE,Inputs!$B$33,0))),0)</f>
        <v/>
      </c>
      <c r="R52" t="n">
        <v>0</v>
      </c>
    </row>
    <row r="53">
      <c r="A53">
        <f>Skills!A19</f>
        <v/>
      </c>
      <c r="B53">
        <f>Skills!B19</f>
        <v/>
      </c>
      <c r="C53">
        <f>Inputs!$B$3&gt;=110</f>
        <v/>
      </c>
      <c r="D53">
        <f>IF(Skills!C19=1,60+Inputs!$B$26+Inputs!$B$30,IF(Skills!C19=2,90+Inputs!$B$27+Inputs!$B$30,IF(Skills!C19=3,120+Inputs!$B$28+Inputs!$B$30,MAX(0,(Inputs!$B$3-100)*3)+Inputs!$B$29+Inputs!$B$30)))</f>
        <v/>
      </c>
      <c r="E53">
        <f>INDEX(FactorTable!$B$2:$Y$301, MATCH(ROUND(MIN(300,MAX(1,D53)),0), FactorTable!$A$2:$A$301,0), Skills!L19+1)</f>
        <v/>
      </c>
      <c r="F53">
        <f>(Skills!K19/10)*(E53/1000)*64/45+Skills!N19</f>
        <v/>
      </c>
      <c r="G53">
        <f>Calc!G19</f>
        <v/>
      </c>
      <c r="H53">
        <f>Calc!H19</f>
        <v/>
      </c>
      <c r="I53">
        <f>IF(Skills!T19&lt;&gt;"",1+(Skills!T19/10)*($Z$3/1000)/100,1)</f>
        <v/>
      </c>
      <c r="J53" t="inlineStr"/>
      <c r="K53" t="inlineStr"/>
      <c r="L53" t="inlineStr"/>
      <c r="M53" t="inlineStr"/>
      <c r="N53" t="inlineStr"/>
      <c r="O53" t="n">
        <v>0</v>
      </c>
      <c r="P53">
        <f>IF(B74=0,0,O53/B74)</f>
        <v/>
      </c>
      <c r="Q53">
        <f>IFERROR(1/IF(Inputs!$B$39="pvp",15,MAX(0.1,Skills!D19-IF(Skills!E19=TRUE,Inputs!$B$33,0))),0)</f>
        <v/>
      </c>
      <c r="R53">
        <f>IF(AND(Inputs!$B$39&lt;&gt;"pvp",Inputs!$B$44&gt;0),IF(Inputs!$B$44&lt;=0,0,(INT(Inputs!$B$44/IF(Inputs!$B$39="pvp",15,MAX(0.1,Skills!D19-IF(Skills!E19=TRUE,Inputs!$B$33,0))))+1)),0)</f>
        <v/>
      </c>
    </row>
    <row r="54">
      <c r="A54">
        <f>Skills!A20</f>
        <v/>
      </c>
      <c r="B54">
        <f>Skills!B20</f>
        <v/>
      </c>
      <c r="C54">
        <f>Inputs!$B$3&gt;=125</f>
        <v/>
      </c>
      <c r="D54">
        <f>IF(Skills!C20=1,60+Inputs!$B$26+Inputs!$B$30,IF(Skills!C20=2,90+Inputs!$B$27+Inputs!$B$30,IF(Skills!C20=3,120+Inputs!$B$28+Inputs!$B$30,MAX(0,(Inputs!$B$3-100)*3)+Inputs!$B$29+Inputs!$B$30)))</f>
        <v/>
      </c>
      <c r="E54">
        <f>INDEX(FactorTable!$B$2:$Y$301, MATCH(ROUND(MIN(300,MAX(1,D54)),0), FactorTable!$A$2:$A$301,0), Skills!L20+1)</f>
        <v/>
      </c>
      <c r="F54">
        <f>IF(Skills!M20=TRUE,(Skills!K20/10)*(E54/1000),Skills!K20/10)+Skills!N20</f>
        <v/>
      </c>
      <c r="G54">
        <f>Calc!G20</f>
        <v/>
      </c>
      <c r="H54">
        <f>Calc!H20</f>
        <v/>
      </c>
      <c r="I54">
        <f>IF(Skills!T20&lt;&gt;"",1+(Skills!T20/10)*($Z$3/1000)/100,1)</f>
        <v/>
      </c>
      <c r="J54" t="inlineStr"/>
      <c r="K54" t="inlineStr"/>
      <c r="L54" t="inlineStr"/>
      <c r="M54" t="inlineStr"/>
      <c r="N54" t="inlineStr"/>
      <c r="O54" t="n">
        <v>0</v>
      </c>
      <c r="P54">
        <f>IF(B74=0,0,O54/B74)</f>
        <v/>
      </c>
      <c r="Q54">
        <f>IFERROR(1/IF(Inputs!$B$39="pvp",15,MAX(0.1,Skills!D20-IF(Skills!E20=TRUE,Inputs!$B$33,0))),0)</f>
        <v/>
      </c>
      <c r="R54" t="n">
        <v>0</v>
      </c>
    </row>
    <row r="55">
      <c r="A55">
        <f>Skills!A21</f>
        <v/>
      </c>
      <c r="B55">
        <f>Skills!B21</f>
        <v/>
      </c>
      <c r="C55">
        <f>Inputs!$B$3&gt;=33</f>
        <v/>
      </c>
      <c r="D55">
        <f>IF(Skills!C21=1,60+Inputs!$B$26+Inputs!$B$30,IF(Skills!C21=2,90+Inputs!$B$27+Inputs!$B$30,IF(Skills!C21=3,120+Inputs!$B$28+Inputs!$B$30,MAX(0,(Inputs!$B$3-100)*3)+Inputs!$B$29+Inputs!$B$30)))</f>
        <v/>
      </c>
      <c r="E55">
        <f>INDEX(FactorTable!$B$2:$Y$301, MATCH(ROUND(MIN(300,MAX(1,D55)),0), FactorTable!$A$2:$A$301,0), Skills!L21+1)</f>
        <v/>
      </c>
      <c r="F55">
        <f>IF(Skills!M21=TRUE,(Skills!K21/10)*(E55/1000),Skills!K21/10)+Skills!N21</f>
        <v/>
      </c>
      <c r="G55">
        <f>Calc!G21</f>
        <v/>
      </c>
      <c r="H55">
        <f>Calc!H21</f>
        <v/>
      </c>
      <c r="I55">
        <f>IF(Skills!T21&lt;&gt;"",1+(Skills!T21/10)*($Z$3/1000)/100,1)</f>
        <v/>
      </c>
      <c r="J55" t="inlineStr"/>
      <c r="K55" t="inlineStr"/>
      <c r="L55" t="inlineStr"/>
      <c r="M55" t="inlineStr"/>
      <c r="N55" t="inlineStr"/>
      <c r="O55" t="n">
        <v>0</v>
      </c>
      <c r="P55">
        <f>IF(B74=0,0,O55/B74)</f>
        <v/>
      </c>
      <c r="Q55">
        <f>IFERROR(1/IF(Inputs!$B$39="pvp",15,MAX(0.1,Skills!D21-IF(Skills!E21=TRUE,Inputs!$B$33,0))),0)</f>
        <v/>
      </c>
      <c r="R55" t="n">
        <v>0</v>
      </c>
    </row>
    <row r="56">
      <c r="A56">
        <f>Skills!A22</f>
        <v/>
      </c>
      <c r="B56">
        <f>Skills!B22</f>
        <v/>
      </c>
      <c r="C56">
        <f>Inputs!$B$3&gt;=43</f>
        <v/>
      </c>
      <c r="D56">
        <f>IF(Skills!C22=1,60+Inputs!$B$26+Inputs!$B$30,IF(Skills!C22=2,90+Inputs!$B$27+Inputs!$B$30,IF(Skills!C22=3,120+Inputs!$B$28+Inputs!$B$30,MAX(0,(Inputs!$B$3-100)*3)+Inputs!$B$29+Inputs!$B$30)))</f>
        <v/>
      </c>
      <c r="E56">
        <f>INDEX(FactorTable!$B$2:$Y$301, MATCH(ROUND(MIN(300,MAX(1,D56)),0), FactorTable!$A$2:$A$301,0), Skills!L22+1)</f>
        <v/>
      </c>
      <c r="F56">
        <f>IF(Skills!M22=TRUE,(Skills!K22/10)*(E56/1000),Skills!K22/10)+Skills!N22</f>
        <v/>
      </c>
      <c r="G56">
        <f>Calc!G22</f>
        <v/>
      </c>
      <c r="H56">
        <f>Calc!H22</f>
        <v/>
      </c>
      <c r="I56">
        <f>IF(Skills!T22&lt;&gt;"",1+(Skills!T22/10)*($Z$3/1000)/100,1)</f>
        <v/>
      </c>
      <c r="J56" t="inlineStr"/>
      <c r="K56" t="inlineStr"/>
      <c r="L56" t="inlineStr"/>
      <c r="M56" t="inlineStr"/>
      <c r="N56" t="inlineStr"/>
      <c r="O56" t="n">
        <v>0</v>
      </c>
      <c r="P56">
        <f>IF(B74=0,0,O56/B74)</f>
        <v/>
      </c>
      <c r="Q56">
        <f>IFERROR(1/IF(Inputs!$B$39="pvp",15,MAX(0.1,Skills!D22-IF(Skills!E22=TRUE,Inputs!$B$33,0))),0)</f>
        <v/>
      </c>
      <c r="R56" t="n">
        <v>0</v>
      </c>
    </row>
    <row r="57">
      <c r="A57">
        <f>Skills!A23</f>
        <v/>
      </c>
      <c r="B57">
        <f>Skills!B23</f>
        <v/>
      </c>
      <c r="C57">
        <f>Inputs!$B$3&gt;=50</f>
        <v/>
      </c>
      <c r="D57">
        <f>IF(Skills!C23=1,60+Inputs!$B$26+Inputs!$B$30,IF(Skills!C23=2,90+Inputs!$B$27+Inputs!$B$30,IF(Skills!C23=3,120+Inputs!$B$28+Inputs!$B$30,MAX(0,(Inputs!$B$3-100)*3)+Inputs!$B$29+Inputs!$B$30)))</f>
        <v/>
      </c>
      <c r="E57">
        <f>INDEX(FactorTable!$B$2:$Y$301, MATCH(ROUND(MIN(300,MAX(1,D57)),0), FactorTable!$A$2:$A$301,0), Skills!L23+1)</f>
        <v/>
      </c>
      <c r="F57">
        <f>IF(Skills!M23=TRUE,(Skills!K23/10)*(E57/1000),Skills!K23/10)+Skills!N23</f>
        <v/>
      </c>
      <c r="G57">
        <f>Calc!G23</f>
        <v/>
      </c>
      <c r="H57">
        <f>Calc!H23</f>
        <v/>
      </c>
      <c r="I57">
        <f>IF(Skills!T23&lt;&gt;"",1+(Skills!T23/10)*($Z$3/1000)/100,1)</f>
        <v/>
      </c>
      <c r="J57" t="inlineStr"/>
      <c r="K57" t="inlineStr"/>
      <c r="L57" t="inlineStr"/>
      <c r="M57" t="inlineStr"/>
      <c r="N57" t="inlineStr"/>
      <c r="O57" t="n">
        <v>0</v>
      </c>
      <c r="P57">
        <f>IF(B74=0,0,O57/B74)</f>
        <v/>
      </c>
      <c r="Q57">
        <f>IFERROR(1/IF(Inputs!$B$39="pvp",15,MAX(0.1,Skills!D23-IF(Skills!E23=TRUE,Inputs!$B$33,0))),0)</f>
        <v/>
      </c>
      <c r="R57" t="n">
        <v>0</v>
      </c>
    </row>
    <row r="58">
      <c r="A58">
        <f>Skills!A24</f>
        <v/>
      </c>
      <c r="B58">
        <f>Skills!B24</f>
        <v/>
      </c>
      <c r="C58">
        <f>Inputs!$B$3&gt;=74</f>
        <v/>
      </c>
      <c r="D58">
        <f>IF(Skills!C24=1,60+Inputs!$B$26+Inputs!$B$30,IF(Skills!C24=2,90+Inputs!$B$27+Inputs!$B$30,IF(Skills!C24=3,120+Inputs!$B$28+Inputs!$B$30,MAX(0,(Inputs!$B$3-100)*3)+Inputs!$B$29+Inputs!$B$30)))</f>
        <v/>
      </c>
      <c r="E58">
        <f>INDEX(FactorTable!$B$2:$Y$301, MATCH(ROUND(MIN(300,MAX(1,D58)),0), FactorTable!$A$2:$A$301,0), Skills!L24+1)</f>
        <v/>
      </c>
      <c r="F58">
        <f>IF(Skills!M24=TRUE,(Skills!K24/10)*(E58/1000),Skills!K24/10)+Skills!N24</f>
        <v/>
      </c>
      <c r="G58">
        <f>Calc!G24</f>
        <v/>
      </c>
      <c r="H58">
        <f>Calc!H24</f>
        <v/>
      </c>
      <c r="I58">
        <f>IF(Skills!T24&lt;&gt;"",1+(Skills!T24/10)*($Z$3/1000)/100,1)</f>
        <v/>
      </c>
      <c r="J58" t="inlineStr"/>
      <c r="K58" t="inlineStr"/>
      <c r="L58" t="inlineStr"/>
      <c r="M58" t="inlineStr"/>
      <c r="N58" t="inlineStr"/>
      <c r="O58" t="n">
        <v>0</v>
      </c>
      <c r="P58">
        <f>IF(B74=0,0,O58/B74)</f>
        <v/>
      </c>
      <c r="Q58">
        <f>IFERROR(1/IF(Inputs!$B$39="pvp",15,MAX(0.1,Skills!D24-IF(Skills!E24=TRUE,Inputs!$B$33,0))),0)</f>
        <v/>
      </c>
      <c r="R58" t="n">
        <v>0</v>
      </c>
    </row>
    <row r="59">
      <c r="A59">
        <f>Skills!A25</f>
        <v/>
      </c>
      <c r="B59">
        <f>Skills!B25</f>
        <v/>
      </c>
      <c r="C59">
        <f>Inputs!$B$3&gt;=74</f>
        <v/>
      </c>
      <c r="D59">
        <f>IF(Skills!C25=1,60+Inputs!$B$26+Inputs!$B$30,IF(Skills!C25=2,90+Inputs!$B$27+Inputs!$B$30,IF(Skills!C25=3,120+Inputs!$B$28+Inputs!$B$30,MAX(0,(Inputs!$B$3-100)*3)+Inputs!$B$29+Inputs!$B$30)))</f>
        <v/>
      </c>
      <c r="E59">
        <f>INDEX(FactorTable!$B$2:$Y$301, MATCH(ROUND(MIN(300,MAX(1,D59)),0), FactorTable!$A$2:$A$301,0), Skills!L25+1)</f>
        <v/>
      </c>
      <c r="F59">
        <f>IF(Skills!M25=TRUE,(Skills!K25/10)*(E59/1000),Skills!K25/10)+Skills!N25</f>
        <v/>
      </c>
      <c r="G59">
        <f>Calc!G25</f>
        <v/>
      </c>
      <c r="H59">
        <f>Calc!H25</f>
        <v/>
      </c>
      <c r="I59">
        <f>IF(Skills!T25&lt;&gt;"",1+(Skills!T25/10)*($Z$3/1000)/100,1)</f>
        <v/>
      </c>
      <c r="J59" t="inlineStr"/>
      <c r="K59" t="inlineStr"/>
      <c r="L59" t="inlineStr"/>
      <c r="M59" t="inlineStr"/>
      <c r="N59" t="inlineStr"/>
      <c r="O59" t="n">
        <v>0</v>
      </c>
      <c r="P59">
        <f>IF(B74=0,0,O59/B74)</f>
        <v/>
      </c>
      <c r="Q59">
        <f>IFERROR(1/IF(Inputs!$B$39="pvp",15,MAX(0.1,Skills!D25-IF(Skills!E25=TRUE,Inputs!$B$33,0))),0)</f>
        <v/>
      </c>
      <c r="R59" t="n">
        <v>0</v>
      </c>
    </row>
    <row r="60">
      <c r="A60">
        <f>Skills!A26</f>
        <v/>
      </c>
      <c r="B60">
        <f>Skills!B26</f>
        <v/>
      </c>
      <c r="C60">
        <f>Inputs!$B$3&gt;=117</f>
        <v/>
      </c>
      <c r="D60">
        <f>IF(Skills!C26=1,60+Inputs!$B$26+Inputs!$B$30,IF(Skills!C26=2,90+Inputs!$B$27+Inputs!$B$30,IF(Skills!C26=3,120+Inputs!$B$28+Inputs!$B$30,MAX(0,(Inputs!$B$3-100)*3)+Inputs!$B$29+Inputs!$B$30)))</f>
        <v/>
      </c>
      <c r="E60">
        <f>INDEX(FactorTable!$B$2:$Y$301, MATCH(ROUND(MIN(300,MAX(1,D60)),0), FactorTable!$A$2:$A$301,0), Skills!L26+1)</f>
        <v/>
      </c>
      <c r="F60">
        <f>IF(Skills!M26=TRUE,(Skills!K26/10)*(E60/1000),Skills!K26/10)+Skills!N26</f>
        <v/>
      </c>
      <c r="G60">
        <f>Calc!G26</f>
        <v/>
      </c>
      <c r="H60">
        <f>Calc!H26</f>
        <v/>
      </c>
      <c r="I60">
        <f>IF(Skills!T26&lt;&gt;"",1+(Skills!T26/10)*($Z$3/1000)/100,1)</f>
        <v/>
      </c>
      <c r="J60" t="inlineStr"/>
      <c r="K60" t="inlineStr"/>
      <c r="L60" t="inlineStr"/>
      <c r="M60" t="inlineStr"/>
      <c r="N60" t="inlineStr"/>
      <c r="O60" t="n">
        <v>0</v>
      </c>
      <c r="P60">
        <f>IF(B74=0,0,O60/B74)</f>
        <v/>
      </c>
      <c r="Q60">
        <f>IFERROR(1/IF(Inputs!$B$39="pvp",15,MAX(0.1,Skills!D26-IF(Skills!E26=TRUE,Inputs!$B$33,0))),0)</f>
        <v/>
      </c>
      <c r="R60" t="n">
        <v>0</v>
      </c>
    </row>
    <row r="61">
      <c r="A61">
        <f>Skills!A27</f>
        <v/>
      </c>
      <c r="B61">
        <f>Skills!B27</f>
        <v/>
      </c>
      <c r="C61">
        <f>Inputs!$B$3&gt;=120</f>
        <v/>
      </c>
      <c r="D61">
        <f>IF(Skills!C27=1,60+Inputs!$B$26+Inputs!$B$30,IF(Skills!C27=2,90+Inputs!$B$27+Inputs!$B$30,IF(Skills!C27=3,120+Inputs!$B$28+Inputs!$B$30,MAX(0,(Inputs!$B$3-100)*3)+Inputs!$B$29+Inputs!$B$30)))</f>
        <v/>
      </c>
      <c r="E61">
        <f>INDEX(FactorTable!$B$2:$Y$301, MATCH(ROUND(MIN(300,MAX(1,D61)),0), FactorTable!$A$2:$A$301,0), Skills!L27+1)</f>
        <v/>
      </c>
      <c r="F61">
        <f>IF(Skills!M27=TRUE,(Skills!K27/10)*(E61/1000),Skills!K27/10)+Skills!N27</f>
        <v/>
      </c>
      <c r="G61">
        <f>Calc!G27</f>
        <v/>
      </c>
      <c r="H61">
        <f>Calc!H27</f>
        <v/>
      </c>
      <c r="I61">
        <f>IF(Skills!T27&lt;&gt;"",1+(Skills!T27/10)*($Z$3/1000)/100,1)</f>
        <v/>
      </c>
      <c r="J61" t="inlineStr"/>
      <c r="K61" t="inlineStr"/>
      <c r="L61" t="inlineStr"/>
      <c r="M61" t="inlineStr"/>
      <c r="N61" t="inlineStr"/>
      <c r="O61" t="n">
        <v>0</v>
      </c>
      <c r="P61">
        <f>IF(B74=0,0,O61/B74)</f>
        <v/>
      </c>
      <c r="Q61">
        <f>IFERROR(1/IF(Inputs!$B$39="pvp",15,MAX(0.1,Skills!D27-IF(Skills!E27=TRUE,Inputs!$B$33,0))),0)</f>
        <v/>
      </c>
      <c r="R61" t="n">
        <v>0</v>
      </c>
    </row>
    <row r="63">
      <c r="A63" t="inlineStr">
        <is>
          <t>Average Buff Multiplier</t>
        </is>
      </c>
      <c r="B63">
        <f>(1+(IF(C37=TRUE,F37*IF(AND(Inputs!$B$39&lt;&gt;"pvp",Inputs!$B$44&gt;0),(((R37-1)*(Skills!S3*(1+(Inputs!$B$35+IF(Inputs!$B$3&gt;=117,F60,0))/100))+MIN((Skills!S3*(1+(Inputs!$B$35+IF(Inputs!$B$3&gt;=117,F60,0))/100)),MAX(0,Inputs!$B$44-((R37-1)*Skills!D3))))/Inputs!$B$44),IF(Inputs!$B$39="pvp",MIN((Skills!S3*(1+(Inputs!$B$35+IF(Inputs!$B$3&gt;=117,F60,0))/100)),15)/15,(Skills!S3*(1+(Inputs!$B$35+IF(Inputs!$B$3&gt;=117,F60,0))/100))/Skills!D3)),0)+IF(C38=TRUE,F38*IF(AND(Inputs!$B$39&lt;&gt;"pvp",Inputs!$B$44&gt;0),(((R38-1)*(Skills!S4*(1+(Inputs!$B$35+IF(Inputs!$B$3&gt;=117,F60,0))/100))+MIN((Skills!S4*(1+(Inputs!$B$35+IF(Inputs!$B$3&gt;=117,F60,0))/100)),MAX(0,Inputs!$B$44-((R38-1)*Skills!D4))))/Inputs!$B$44),IF(Inputs!$B$39="pvp",MIN((Skills!S4*(1+(Inputs!$B$35+IF(Inputs!$B$3&gt;=117,F60,0))/100)),15)/15,(Skills!S4*(1+(Inputs!$B$35+IF(Inputs!$B$3&gt;=117,F60,0))/100))/Skills!D4)),0)+IF(C39=TRUE,F39*IF(AND(Inputs!$B$39&lt;&gt;"pvp",Inputs!$B$44&gt;0),(((R39-1)*(Skills!S5*(1+(Inputs!$B$35+IF(Inputs!$B$3&gt;=117,F60,0))/100))+MIN((Skills!S5*(1+(Inputs!$B$35+IF(Inputs!$B$3&gt;=117,F60,0))/100)),MAX(0,Inputs!$B$44-((R39-1)*Skills!D5))))/Inputs!$B$44),IF(Inputs!$B$39="pvp",MIN((Skills!S5*(1+(Inputs!$B$35+IF(Inputs!$B$3&gt;=117,F60,0))/100)),15)/15,(Skills!S5*(1+(Inputs!$B$35+IF(Inputs!$B$3&gt;=117,F60,0))/100))/Skills!D5)),0)+IF(C45=TRUE,F45*IF(AND(Inputs!$B$39&lt;&gt;"pvp",Inputs!$B$44&gt;0),(((R45-1)*(Skills!S11*(1+(Inputs!$B$35+IF(Inputs!$B$3&gt;=117,F60,0))/100))+MIN((Skills!S11*(1+(Inputs!$B$35+IF(Inputs!$B$3&gt;=117,F60,0))/100)),MAX(0,Inputs!$B$44-((R45-1)*Skills!D11))))/Inputs!$B$44),IF(Inputs!$B$39="pvp",MIN((Skills!S11*(1+(Inputs!$B$35+IF(Inputs!$B$3&gt;=117,F60,0))/100)),15)/15,(Skills!S11*(1+(Inputs!$B$35+IF(Inputs!$B$3&gt;=117,F60,0))/100))/Skills!D11)),0))/100)*IF(C48=TRUE,(1+F48*IF(AND(Inputs!$B$39&lt;&gt;"pvp",Inputs!$B$44&gt;0),(((R48-1)*(Skills!S14*(1+(Inputs!$B$35+IF(Inputs!$B$3&gt;=117,F60,0))/100))+MIN((Skills!S14*(1+(Inputs!$B$35+IF(Inputs!$B$3&gt;=117,F60,0))/100)),MAX(0,Inputs!$B$44-((R48-1)*Skills!D14))))/Inputs!$B$44),IF(Inputs!$B$39="pvp",MIN((Skills!S14*(1+(Inputs!$B$35+IF(Inputs!$B$3&gt;=117,F60,0))/100)),15)/15,(Skills!S14*(1+(Inputs!$B$35+IF(Inputs!$B$3&gt;=117,F60,0))/100))/Skills!D14))/100),1)*IF(C53=TRUE,(1+F53*IF(AND(Inputs!$B$39&lt;&gt;"pvp",Inputs!$B$44&gt;0),(((R53-1)*(Skills!S19*(1+(Inputs!$B$35+IF(Inputs!$B$3&gt;=117,F60,0))/100))+MIN((Skills!S19*(1+(Inputs!$B$35+IF(Inputs!$B$3&gt;=117,F60,0))/100)),MAX(0,Inputs!$B$44-((R53-1)*Skills!D19))))/Inputs!$B$44),IF(Inputs!$B$39="pvp",MIN((Skills!S19*(1+(Inputs!$B$35+IF(Inputs!$B$3&gt;=117,F60,0))/100)),15)/15,(Skills!S19*(1+(Inputs!$B$35+IF(Inputs!$B$3&gt;=117,F60,0))/100))/Skills!D19))/100),1)</f>
        <v/>
      </c>
    </row>
    <row r="64">
      <c r="A64" t="inlineStr">
        <is>
          <t>Monster Damage Taken Bonus % (Holy Fountain)</t>
        </is>
      </c>
      <c r="B64">
        <f>IF(Inputs!$B$3&gt;=68,20*IF(Inputs!$B$39="pvp",MIN((15*(1+(Inputs!$B$35+IF(Inputs!$B$3&gt;=117,F60,0))/100)),15)/15,(15*(1+(Inputs!$B$35+IF(Inputs!$B$3&gt;=117,F60,0))/100))/Skills!D10),0)</f>
        <v/>
      </c>
    </row>
    <row r="65">
      <c r="A65" t="inlineStr">
        <is>
          <t>Normal Monster Damage Bonus % (Holy Symbol)</t>
        </is>
      </c>
      <c r="B65">
        <f>IF(C46=TRUE,F46*IF(AND(Inputs!$B$39&lt;&gt;"pvp",Inputs!$B$44&gt;0),(((R46-1)*(Skills!S12*(1+(Inputs!$B$35+IF(Inputs!$B$3&gt;=117,F60,0))/100))+MIN((Skills!S12*(1+(Inputs!$B$35+IF(Inputs!$B$3&gt;=117,F60,0))/100)),MAX(0,Inputs!$B$44-((R46-1)*Skills!D12))))/Inputs!$B$44),IF(Inputs!$B$39="pvp",MIN((Skills!S12*(1+(Inputs!$B$35+IF(Inputs!$B$3&gt;=117,F60,0))/100)),15)/15,(Skills!S12*(1+(Inputs!$B$35+IF(Inputs!$B$3&gt;=117,F60,0))/100))/Skills!D12)),0)</f>
        <v/>
      </c>
    </row>
    <row r="66">
      <c r="A66" t="inlineStr">
        <is>
          <t>Damage % Bonus (Holy Symbol - Damage Boost)</t>
        </is>
      </c>
      <c r="B66">
        <f>Skills!O12</f>
        <v/>
      </c>
    </row>
    <row r="67">
      <c r="A67" t="inlineStr">
        <is>
          <t>Crit Damage % Bonus (Blood of the Divine)</t>
        </is>
      </c>
      <c r="B67">
        <f>4*IF(C54=TRUE,F54,0)</f>
        <v/>
      </c>
    </row>
    <row r="68">
      <c r="A68" t="inlineStr">
        <is>
          <t>Attack Speed Bonus %</t>
        </is>
      </c>
      <c r="B68">
        <f>IF(C51=TRUE,F51+(F55-Calc!F21),0)+IF(Inputs!$B$3&gt;=134,15,0)</f>
        <v/>
      </c>
    </row>
    <row r="69">
      <c r="A69" t="inlineStr">
        <is>
          <t>Actions Per Second</t>
        </is>
      </c>
      <c r="B69">
        <f>1+MIN(150,150*(1-(1-Inputs!$B$12/150)*(1-B68/150)))/100</f>
        <v/>
      </c>
    </row>
    <row r="70">
      <c r="A70" t="inlineStr">
        <is>
          <t>Skill + Buff Cast Rate</t>
        </is>
      </c>
      <c r="B70">
        <f>IF(AND(Inputs!$B$39&lt;&gt;"pvp",Inputs!$B$44&gt;0),SUMPRODUCT((Skills!E2:E27=TRUE)*(C36:C61=TRUE)*R36:R61)/Inputs!$B$44,SUMPRODUCT((Skills!E2:E27=TRUE)*(C36:C61=TRUE)*Q36:Q61))</f>
        <v/>
      </c>
    </row>
    <row r="71">
      <c r="A71" t="inlineStr">
        <is>
          <t>Big Bang Casts Per Second</t>
        </is>
      </c>
      <c r="B71">
        <f>MAX(0,B69-B70)</f>
        <v/>
      </c>
    </row>
    <row r="72">
      <c r="A72" t="inlineStr">
        <is>
          <t>Defense % Bonus (Divine Protection)</t>
        </is>
      </c>
      <c r="B72">
        <f>IF(C47=TRUE,F47*IF(AND(Inputs!$B$39&lt;&gt;"pvp",Inputs!$B$44&gt;0),(((R47-1)*(Skills!S13*(1+(Inputs!$B$35+IF(Inputs!$B$3&gt;=117,F60,0))/100))+MIN((Skills!S13*(1+(Inputs!$B$35+IF(Inputs!$B$3&gt;=117,F60,0))/100)),MAX(0,Inputs!$B$44-((R47-1)*Skills!D13))))/Inputs!$B$44),IF(Inputs!$B$39="pvp",MIN((Skills!S13*(1+(Inputs!$B$35+IF(Inputs!$B$3&gt;=117,F60,0))/100)),15)/15,(Skills!S13*(1+(Inputs!$B$35+IF(Inputs!$B$3&gt;=117,F60,0))/100))/Skills!D13)),0)</f>
        <v/>
      </c>
    </row>
    <row r="73">
      <c r="A73" t="inlineStr">
        <is>
          <t>Buff-Casting Startup Delay (s, fixed-duration only)</t>
        </is>
      </c>
      <c r="B73">
        <f>IF(AND(Inputs!$B$39&lt;&gt;"pvp",Inputs!$B$44&gt;0),SUMPRODUCT((Skills!S2:S27&gt;0)*(Skills!E2:E27=TRUE)*(C36:C61=TRUE))/B69,0)</f>
        <v/>
      </c>
    </row>
    <row r="74">
      <c r="A74" s="5" t="inlineStr">
        <is>
          <t>TOTAL DPS</t>
        </is>
      </c>
      <c r="B74" s="5">
        <f>SUM(O36:O61)</f>
        <v/>
      </c>
    </row>
    <row r="76">
      <c r="A76" s="5" t="inlineStr">
        <is>
          <t>Stat: INT %</t>
        </is>
      </c>
    </row>
    <row r="77">
      <c r="A77" s="9" t="inlineStr">
        <is>
          <t>Key</t>
        </is>
      </c>
      <c r="B77" s="9" t="inlineStr">
        <is>
          <t>Name</t>
        </is>
      </c>
      <c r="C77" s="9" t="inlineStr">
        <is>
          <t>Unlocked</t>
        </is>
      </c>
      <c r="D77" s="9" t="inlineStr">
        <is>
          <t>InputLevel</t>
        </is>
      </c>
      <c r="E77" s="9" t="inlineStr">
        <is>
          <t>Factor</t>
        </is>
      </c>
      <c r="F77" s="9" t="inlineStr">
        <is>
          <t>CoefficientPercent</t>
        </is>
      </c>
      <c r="G77" s="9" t="inlineStr">
        <is>
          <t>EffectiveHits</t>
        </is>
      </c>
      <c r="H77" s="9" t="inlineStr">
        <is>
          <t>ProcProbability</t>
        </is>
      </c>
      <c r="I77" s="9" t="inlineStr">
        <is>
          <t>MapleHeroMultiplier</t>
        </is>
      </c>
      <c r="J77" s="9" t="inlineStr">
        <is>
          <t>BaseDamage</t>
        </is>
      </c>
      <c r="K77" s="9" t="inlineStr">
        <is>
          <t>BaseHitDamage</t>
        </is>
      </c>
      <c r="L77" s="9" t="inlineStr">
        <is>
          <t>NonCritAvg</t>
        </is>
      </c>
      <c r="M77" s="9" t="inlineStr">
        <is>
          <t>CritAvg</t>
        </is>
      </c>
      <c r="N77" s="9" t="inlineStr">
        <is>
          <t>ExpectedDamage(perHit)</t>
        </is>
      </c>
      <c r="O77" s="9" t="inlineStr">
        <is>
          <t>DPS</t>
        </is>
      </c>
      <c r="P77" s="9" t="inlineStr">
        <is>
          <t>% of Total</t>
        </is>
      </c>
      <c r="R77" t="inlineStr">
        <is>
          <t>helpers</t>
        </is>
      </c>
    </row>
    <row r="78">
      <c r="A78">
        <f>Skills!A2</f>
        <v/>
      </c>
      <c r="B78">
        <f>Skills!B2</f>
        <v/>
      </c>
      <c r="C78">
        <f>Inputs!$B$3&gt;=100</f>
        <v/>
      </c>
      <c r="D78" t="inlineStr"/>
      <c r="E78" t="inlineStr"/>
      <c r="F78">
        <f>T80+Skills!N2</f>
        <v/>
      </c>
      <c r="G78">
        <f>Calc!G2</f>
        <v/>
      </c>
      <c r="H78">
        <f>Calc!H2</f>
        <v/>
      </c>
      <c r="I78">
        <f>IF(Skills!T2&lt;&gt;"",1+(Skills!T2/10)*($Z$3/1000)/100,1)</f>
        <v/>
      </c>
      <c r="J78">
        <f>((Inputs!$B$6*(1+Inputs!$B$7/100))+(((Inputs!$B$13*(1+(Inputs!$B$14+1)/100))-(Inputs!$B$13*(1+Inputs!$B$14/100)))+0.25*(Inputs!$B$15-Inputs!$B$15))*(1+Inputs!$B$7/100))*(F78/100)</f>
        <v/>
      </c>
      <c r="K78">
        <f>J78*(1+(((Inputs!$B$13+IF(Inputs!$B$3&gt;=35,(10*INDEX(FactorTable!$B$2:$Y$301, MATCH(ROUND(MIN(300,MAX(1,Inputs!$B$3)),0), FactorTable!$A$2:$A$301,0), 23)/1000)/100*(Inputs!$B$8*(1+(Inputs!$B$9+B114)/100)),0))*(1+(Inputs!$B$14+1)/100))*0.01+Inputs!$B$15*0.0025)/100)*(1+(Inputs!$B$16+B108)/100)*(1+IF(Inputs!$B$39="pvp",0,(1-Summary!$B$48)*(Inputs!$B$21+Skills!O2+B106)+Summary!$B$48*(Inputs!$B$22+Skills!P2+B107))/100)*(1+Inputs!$B$17/100)*(5000/(6000+Inputs!$B$43*(1-Inputs!$B$20/100)))*(1+Inputs!$B$25/100)*(1+IF(C94=TRUE,F94,0)/100)*(1+IF(C96=TRUE,F96,0)/100)*(1+IF(Skills!A2="TRIUMPH_FEATHER",IF(C92=TRUE,F92,0),0)/100)*(1+IF(C103=TRUE,F103,0)/100)^5*(1+(IF(Skills!A2="BIG_BANG",Inputs!$B$18,Inputs!$B$19))/100)*(B105*I78)</f>
        <v/>
      </c>
      <c r="L78">
        <f>K78*(MIN(Inputs!$B$23+(F98-Calc!F22),Inputs!$B$24)/100+Inputs!$B$24/100)/2</f>
        <v/>
      </c>
      <c r="M78">
        <f>L78*(1+(Inputs!$B$11+B109+(F101-Calc!F25))/100)</f>
        <v/>
      </c>
      <c r="N78">
        <f>L78*(1-MIN(Inputs!$B$10+((F100-Calc!F24)+(F99-Calc!F23)),100)/100)+M78*(MIN(Inputs!$B$10+((F100-Calc!F24)+(F99-Calc!F23)),100)/100)</f>
        <v/>
      </c>
      <c r="O78">
        <f>IF(C78,Skills!F2*N78*B113*IF(Inputs!$B$39="pvp",1,(1-Summary!$B$48)*(1)+Summary!$B$48*(MIN((6+Inputs!$B$34),Inputs!$B$38))),0)</f>
        <v/>
      </c>
      <c r="P78">
        <f>IF(B116=0,0,O78/B116)</f>
        <v/>
      </c>
      <c r="Q78">
        <f>IFERROR(1/IF(Inputs!$B$39="pvp",15,MAX(0.1,Skills!D2-IF(Skills!E2=TRUE,Inputs!$B$33,0))),0)</f>
        <v/>
      </c>
      <c r="R78" t="n">
        <v>0</v>
      </c>
      <c r="T78">
        <f>MAX(0,(Inputs!$B$3-100)*3)+Inputs!$B$29+Inputs!$B$30</f>
        <v/>
      </c>
    </row>
    <row r="79">
      <c r="A79">
        <f>Skills!A3</f>
        <v/>
      </c>
      <c r="B79">
        <f>Skills!B3</f>
        <v/>
      </c>
      <c r="C79">
        <f>Inputs!$B$3&gt;=15</f>
        <v/>
      </c>
      <c r="D79">
        <f>IF(Skills!C3=1,60+Inputs!$B$26+Inputs!$B$30,IF(Skills!C3=2,90+Inputs!$B$27+Inputs!$B$30,IF(Skills!C3=3,120+Inputs!$B$28+Inputs!$B$30,MAX(0,(Inputs!$B$3-100)*3)+Inputs!$B$29+Inputs!$B$30)))</f>
        <v/>
      </c>
      <c r="E79">
        <f>INDEX(FactorTable!$B$2:$Y$301, MATCH(ROUND(MIN(300,MAX(1,D79)),0), FactorTable!$A$2:$A$301,0), Skills!L3+1)</f>
        <v/>
      </c>
      <c r="F79">
        <f>IF(Skills!M3=TRUE,(Skills!K3/10)*(E79/1000),Skills!K3/10)+Skills!N3</f>
        <v/>
      </c>
      <c r="G79">
        <f>Calc!G3</f>
        <v/>
      </c>
      <c r="H79">
        <f>Calc!H3</f>
        <v/>
      </c>
      <c r="I79">
        <f>IF(Skills!T3&lt;&gt;"",1+(Skills!T3/10)*($Z$3/1000)/100,1)</f>
        <v/>
      </c>
      <c r="J79" t="inlineStr"/>
      <c r="K79" t="inlineStr"/>
      <c r="L79" t="inlineStr"/>
      <c r="M79" t="inlineStr"/>
      <c r="N79" t="inlineStr"/>
      <c r="O79" t="n">
        <v>0</v>
      </c>
      <c r="P79">
        <f>IF(B116=0,0,O79/B116)</f>
        <v/>
      </c>
      <c r="Q79">
        <f>IFERROR(1/IF(Inputs!$B$39="pvp",15,MAX(0.1,Skills!D3-IF(Skills!E3=TRUE,Inputs!$B$33,0))),0)</f>
        <v/>
      </c>
      <c r="R79">
        <f>IF(AND(Inputs!$B$39&lt;&gt;"pvp",Inputs!$B$44&gt;0),IF(Inputs!$B$44&lt;=0,0,(INT(Inputs!$B$44/IF(Inputs!$B$39="pvp",15,MAX(0.1,Skills!D3-IF(Skills!E3=TRUE,Inputs!$B$33,0))))+1)),0)</f>
        <v/>
      </c>
      <c r="T79">
        <f>INDEX(FactorTable!$B$2:$Y$301, MATCH(ROUND(MIN(300,MAX(1,T78)),0), FactorTable!$A$2:$A$301,0), 22)</f>
        <v/>
      </c>
    </row>
    <row r="80">
      <c r="A80">
        <f>Skills!A4</f>
        <v/>
      </c>
      <c r="B80">
        <f>Skills!B4</f>
        <v/>
      </c>
      <c r="C80">
        <f>Inputs!$B$3&gt;=38</f>
        <v/>
      </c>
      <c r="D80">
        <f>IF(Skills!C4=1,60+Inputs!$B$26+Inputs!$B$30,IF(Skills!C4=2,90+Inputs!$B$27+Inputs!$B$30,IF(Skills!C4=3,120+Inputs!$B$28+Inputs!$B$30,MAX(0,(Inputs!$B$3-100)*3)+Inputs!$B$29+Inputs!$B$30)))</f>
        <v/>
      </c>
      <c r="E80">
        <f>INDEX(FactorTable!$B$2:$Y$301, MATCH(ROUND(MIN(300,MAX(1,D80)),0), FactorTable!$A$2:$A$301,0), Skills!L4+1)</f>
        <v/>
      </c>
      <c r="F80">
        <f>IF(Skills!M4=TRUE,(Skills!K4/10)*(E80/1000),Skills!K4/10)+Skills!N4</f>
        <v/>
      </c>
      <c r="G80">
        <f>Calc!G4</f>
        <v/>
      </c>
      <c r="H80">
        <f>Calc!H4</f>
        <v/>
      </c>
      <c r="I80">
        <f>IF(Skills!T4&lt;&gt;"",1+(Skills!T4/10)*($Z$3/1000)/100,1)</f>
        <v/>
      </c>
      <c r="J80" t="inlineStr"/>
      <c r="K80" t="inlineStr"/>
      <c r="L80" t="inlineStr"/>
      <c r="M80" t="inlineStr"/>
      <c r="N80" t="inlineStr"/>
      <c r="O80" t="n">
        <v>0</v>
      </c>
      <c r="P80">
        <f>IF(B116=0,0,O80/B116)</f>
        <v/>
      </c>
      <c r="Q80">
        <f>IFERROR(1/IF(Inputs!$B$39="pvp",15,MAX(0.1,Skills!D4-IF(Skills!E4=TRUE,Inputs!$B$33,0))),0)</f>
        <v/>
      </c>
      <c r="R80">
        <f>IF(AND(Inputs!$B$39&lt;&gt;"pvp",Inputs!$B$44&gt;0),IF(Inputs!$B$44&lt;=0,0,(INT(Inputs!$B$44/IF(Inputs!$B$39="pvp",15,MAX(0.1,Skills!D4-IF(Skills!E4=TRUE,Inputs!$B$33,0))))+1)),0)</f>
        <v/>
      </c>
      <c r="T80">
        <f>290*T79/1000</f>
        <v/>
      </c>
    </row>
    <row r="81">
      <c r="A81">
        <f>Skills!A5</f>
        <v/>
      </c>
      <c r="B81">
        <f>Skills!B5</f>
        <v/>
      </c>
      <c r="C81">
        <f>Inputs!$B$3&gt;=40</f>
        <v/>
      </c>
      <c r="D81">
        <f>IF(Skills!C5=1,60+Inputs!$B$26+Inputs!$B$30,IF(Skills!C5=2,90+Inputs!$B$27+Inputs!$B$30,IF(Skills!C5=3,120+Inputs!$B$28+Inputs!$B$30,MAX(0,(Inputs!$B$3-100)*3)+Inputs!$B$29+Inputs!$B$30)))</f>
        <v/>
      </c>
      <c r="E81">
        <f>INDEX(FactorTable!$B$2:$Y$301, MATCH(ROUND(MIN(300,MAX(1,D81)),0), FactorTable!$A$2:$A$301,0), Skills!L5+1)</f>
        <v/>
      </c>
      <c r="F81">
        <f>IF(Skills!M5=TRUE,(Skills!K5/10)*(E81/1000),Skills!K5/10)+Skills!N5</f>
        <v/>
      </c>
      <c r="G81">
        <f>Calc!G5</f>
        <v/>
      </c>
      <c r="H81">
        <f>Calc!H5</f>
        <v/>
      </c>
      <c r="I81">
        <f>IF(Skills!T5&lt;&gt;"",1+(Skills!T5/10)*($Z$3/1000)/100,1)</f>
        <v/>
      </c>
      <c r="J81" t="inlineStr"/>
      <c r="K81" t="inlineStr"/>
      <c r="L81" t="inlineStr"/>
      <c r="M81" t="inlineStr"/>
      <c r="N81" t="inlineStr"/>
      <c r="O81" t="n">
        <v>0</v>
      </c>
      <c r="P81">
        <f>IF(B116=0,0,O81/B116)</f>
        <v/>
      </c>
      <c r="Q81">
        <f>IFERROR(1/IF(Inputs!$B$39="pvp",15,MAX(0.1,Skills!D5-IF(Skills!E5=TRUE,Inputs!$B$33,0))),0)</f>
        <v/>
      </c>
      <c r="R81">
        <f>IF(AND(Inputs!$B$39&lt;&gt;"pvp",Inputs!$B$44&gt;0),IF(Inputs!$B$44&lt;=0,0,(INT(Inputs!$B$44/IF(Inputs!$B$39="pvp",15,MAX(0.1,Skills!D5-IF(Skills!E5=TRUE,Inputs!$B$33,0))))+1)),0)</f>
        <v/>
      </c>
    </row>
    <row r="82">
      <c r="A82">
        <f>Skills!A6</f>
        <v/>
      </c>
      <c r="B82">
        <f>Skills!B6</f>
        <v/>
      </c>
      <c r="C82">
        <f>Inputs!$B$3&gt;=103</f>
        <v/>
      </c>
      <c r="D82">
        <f>IF(Skills!C6=1,60+Inputs!$B$26+Inputs!$B$30,IF(Skills!C6=2,90+Inputs!$B$27+Inputs!$B$30,IF(Skills!C6=3,120+Inputs!$B$28+Inputs!$B$30,MAX(0,(Inputs!$B$3-100)*3)+Inputs!$B$29+Inputs!$B$30)))</f>
        <v/>
      </c>
      <c r="E82">
        <f>INDEX(FactorTable!$B$2:$Y$301, MATCH(ROUND(MIN(300,MAX(1,D82)),0), FactorTable!$A$2:$A$301,0), Skills!L6+1)</f>
        <v/>
      </c>
      <c r="F82">
        <f>IF(Skills!M6=TRUE,(Skills!K6/10)*(E82/1000),Skills!K6/10)+Skills!N6</f>
        <v/>
      </c>
      <c r="G82">
        <f>Calc!G6</f>
        <v/>
      </c>
      <c r="H82">
        <f>Calc!H6</f>
        <v/>
      </c>
      <c r="I82">
        <f>IF(Skills!T6&lt;&gt;"",1+(Skills!T6/10)*($Z$3/1000)/100,1)</f>
        <v/>
      </c>
      <c r="J82">
        <f>((Inputs!$B$6*(1+Inputs!$B$7/100))+(((Inputs!$B$13*(1+(Inputs!$B$14+1)/100))-(Inputs!$B$13*(1+Inputs!$B$14/100)))+0.25*(Inputs!$B$15-Inputs!$B$15))*(1+Inputs!$B$7/100))*(F82/100)</f>
        <v/>
      </c>
      <c r="K82">
        <f>J82*(1+(((Inputs!$B$13+IF(Inputs!$B$3&gt;=35,(10*INDEX(FactorTable!$B$2:$Y$301, MATCH(ROUND(MIN(300,MAX(1,Inputs!$B$3)),0), FactorTable!$A$2:$A$301,0), 23)/1000)/100*(Inputs!$B$8*(1+(Inputs!$B$9+B114)/100)),0))*(1+(Inputs!$B$14+1)/100))*0.01+Inputs!$B$15*0.0025)/100)*(1+(Inputs!$B$16+B108)/100)*(1+IF(Inputs!$B$39="pvp",0,(1-Summary!$B$48)*(Inputs!$B$21+Skills!O6+B106)+Summary!$B$48*(Inputs!$B$22+Skills!P6+B107))/100)*(1+Inputs!$B$17/100)*(5000/(6000+Inputs!$B$43*(1-Inputs!$B$20/100)))*(1+Inputs!$B$25/100)*(1+IF(C94=TRUE,F94,0)/100)*(1+IF(C96=TRUE,F96,0)/100)*(1+IF(Skills!A6="TRIUMPH_FEATHER",IF(C92=TRUE,F92,0),0)/100)*(1+IF(C103=TRUE,F103,0)/100)^5*(1+(IF(Skills!A6="BIG_BANG",Inputs!$B$18,Inputs!$B$19))/100)*(B105*I82)</f>
        <v/>
      </c>
      <c r="L82">
        <f>K82*(MIN(Inputs!$B$23+(F98-Calc!F22),Inputs!$B$24)/100+Inputs!$B$24/100)/2</f>
        <v/>
      </c>
      <c r="M82">
        <f>L82*(1+(Inputs!$B$11+B109+(F101-Calc!F25))/100)</f>
        <v/>
      </c>
      <c r="N82">
        <f>L82*(1-MIN(Inputs!$B$10+((F100-Calc!F24)+(F99-Calc!F23)),100)/100)+M82*(MIN(Inputs!$B$10+((F100-Calc!F24)+(F99-Calc!F23)),100)/100)</f>
        <v/>
      </c>
      <c r="O82">
        <f>IF(C82,H82*N82*IF(AND(Inputs!$B$39&lt;&gt;"pvp",Inputs!$B$44&gt;0),((Skills!F6*((R82-1)*IF(Skills!G6&gt;0,Skills!H6/Skills!G6,1)+IF(Skills!G6&gt;0,MIN(Skills!H6,MAX(0,MAX(0,Inputs!$B$44-B115)-((R82-1)*IF(Inputs!$B$39="pvp",15,MAX(0.1,Skills!D6-IF(Skills!E6=TRUE,Inputs!$B$33,0))))))/Skills!G6,1)))/Inputs!$B$44),G82*Q82)*IF(Inputs!$B$39="pvp",1,(1-Summary!$B$48)*(1)+Summary!$B$48*(MIN(Skills!Q6,Inputs!$B$38))),0)</f>
        <v/>
      </c>
      <c r="P82">
        <f>IF(B116=0,0,O82/B116)</f>
        <v/>
      </c>
      <c r="Q82">
        <f>IFERROR(1/IF(Inputs!$B$39="pvp",15,MAX(0.1,Skills!D6-IF(Skills!E6=TRUE,Inputs!$B$33,0))),0)</f>
        <v/>
      </c>
      <c r="R82">
        <f>IF(AND(Inputs!$B$39&lt;&gt;"pvp",Inputs!$B$44&gt;0),IF(MAX(0,Inputs!$B$44-B115)&lt;=0,0,(INT(MAX(0,Inputs!$B$44-B115)/IF(Inputs!$B$39="pvp",15,MAX(0.1,Skills!D6-IF(Skills!E6=TRUE,Inputs!$B$33,0))))+1)),0)</f>
        <v/>
      </c>
    </row>
    <row r="83">
      <c r="A83">
        <f>Skills!A7</f>
        <v/>
      </c>
      <c r="B83">
        <f>Skills!B7</f>
        <v/>
      </c>
      <c r="C83">
        <f>Inputs!$B$3&gt;=122</f>
        <v/>
      </c>
      <c r="D83">
        <f>IF(Skills!C7=1,60+Inputs!$B$26+Inputs!$B$30,IF(Skills!C7=2,90+Inputs!$B$27+Inputs!$B$30,IF(Skills!C7=3,120+Inputs!$B$28+Inputs!$B$30,MAX(0,(Inputs!$B$3-100)*3)+Inputs!$B$29+Inputs!$B$30)))</f>
        <v/>
      </c>
      <c r="E83">
        <f>INDEX(FactorTable!$B$2:$Y$301, MATCH(ROUND(MIN(300,MAX(1,D83)),0), FactorTable!$A$2:$A$301,0), Skills!L7+1)</f>
        <v/>
      </c>
      <c r="F83">
        <f>IF(Skills!M7=TRUE,(Skills!K7/10)*(E83/1000),Skills!K7/10)+Skills!N7</f>
        <v/>
      </c>
      <c r="G83">
        <f>Calc!G7</f>
        <v/>
      </c>
      <c r="H83">
        <f>Calc!H7</f>
        <v/>
      </c>
      <c r="I83">
        <f>IF(Skills!T7&lt;&gt;"",1+(Skills!T7/10)*($Z$3/1000)/100,1)</f>
        <v/>
      </c>
      <c r="J83">
        <f>((Inputs!$B$6*(1+Inputs!$B$7/100))+(((Inputs!$B$13*(1+(Inputs!$B$14+1)/100))-(Inputs!$B$13*(1+Inputs!$B$14/100)))+0.25*(Inputs!$B$15-Inputs!$B$15))*(1+Inputs!$B$7/100))*(F83/100)</f>
        <v/>
      </c>
      <c r="K83">
        <f>J83*(1+(((Inputs!$B$13+IF(Inputs!$B$3&gt;=35,(10*INDEX(FactorTable!$B$2:$Y$301, MATCH(ROUND(MIN(300,MAX(1,Inputs!$B$3)),0), FactorTable!$A$2:$A$301,0), 23)/1000)/100*(Inputs!$B$8*(1+(Inputs!$B$9+B114)/100)),0))*(1+(Inputs!$B$14+1)/100))*0.01+Inputs!$B$15*0.0025)/100)*(1+(Inputs!$B$16+B108)/100)*(1+IF(Inputs!$B$39="pvp",0,(1-Summary!$B$48)*(Inputs!$B$21+Skills!O7+B106)+Summary!$B$48*(Inputs!$B$22+Skills!P7+B107))/100)*(1+Inputs!$B$17/100)*(5000/(6000+Inputs!$B$43*(1-Inputs!$B$20/100)))*(1+Inputs!$B$25/100)*(1+IF(C94=TRUE,F94,0)/100)*(1+IF(C96=TRUE,F96,0)/100)*(1+IF(Skills!A7="TRIUMPH_FEATHER",IF(C92=TRUE,F92,0),0)/100)*(1+IF(C103=TRUE,F103,0)/100)^5*(1+(IF(Skills!A7="BIG_BANG",Inputs!$B$18,Inputs!$B$19))/100)*(B105*I83)</f>
        <v/>
      </c>
      <c r="L83">
        <f>K83*(MIN(Inputs!$B$23+(F98-Calc!F22),Inputs!$B$24)/100+Inputs!$B$24/100)/2</f>
        <v/>
      </c>
      <c r="M83">
        <f>L83*(1+(Inputs!$B$11+B109+(F101-Calc!F25))/100)</f>
        <v/>
      </c>
      <c r="N83">
        <f>L83*(1-MIN(Inputs!$B$10+((F100-Calc!F24)+(F99-Calc!F23)),100)/100)+M83*(MIN(Inputs!$B$10+((F100-Calc!F24)+(F99-Calc!F23)),100)/100)</f>
        <v/>
      </c>
      <c r="O83">
        <f>IF(C83,H83*N83*IF(AND(Inputs!$B$39&lt;&gt;"pvp",Inputs!$B$44&gt;0),((Skills!F7*((R83-1)*IF(Skills!G7&gt;0,Skills!H7/Skills!G7,1)+IF(Skills!G7&gt;0,MIN(Skills!H7,MAX(0,MAX(0,Inputs!$B$44-B115)-((R83-1)*IF(Inputs!$B$39="pvp",15,MAX(0.1,Skills!D7-IF(Skills!E6=TRUE,Inputs!$B$33,0))))))/Skills!G7,1)))/Inputs!$B$44),G83*Q83)*(1-Summary!$B$48),0)</f>
        <v/>
      </c>
      <c r="P83">
        <f>IF(B116=0,0,O83/B116)</f>
        <v/>
      </c>
      <c r="Q83">
        <f>IFERROR(1/IF(Inputs!$B$39="pvp",15,MAX(0.1,Skills!D7-IF(Skills!E6=TRUE,Inputs!$B$33,0))),0)</f>
        <v/>
      </c>
      <c r="R83">
        <f>IF(AND(Inputs!$B$39&lt;&gt;"pvp",Inputs!$B$44&gt;0),IF(MAX(0,Inputs!$B$44-B115)&lt;=0,0,(INT(MAX(0,Inputs!$B$44-B115)/IF(Inputs!$B$39="pvp",15,MAX(0.1,Skills!D7-IF(Skills!E6=TRUE,Inputs!$B$33,0))))+1)),0)</f>
        <v/>
      </c>
    </row>
    <row r="84">
      <c r="A84">
        <f>Skills!A8</f>
        <v/>
      </c>
      <c r="B84">
        <f>Skills!B8</f>
        <v/>
      </c>
      <c r="C84">
        <f>Inputs!$B$3&gt;=105</f>
        <v/>
      </c>
      <c r="D84">
        <f>IF(Skills!C8=1,60+Inputs!$B$26+Inputs!$B$30,IF(Skills!C8=2,90+Inputs!$B$27+Inputs!$B$30,IF(Skills!C8=3,120+Inputs!$B$28+Inputs!$B$30,MAX(0,(Inputs!$B$3-100)*3)+Inputs!$B$29+Inputs!$B$30)))</f>
        <v/>
      </c>
      <c r="E84">
        <f>INDEX(FactorTable!$B$2:$Y$301, MATCH(ROUND(MIN(300,MAX(1,D84)),0), FactorTable!$A$2:$A$301,0), Skills!L8+1)</f>
        <v/>
      </c>
      <c r="F84">
        <f>IF(Skills!M8=TRUE,(Skills!K8/10)*(E84/1000),Skills!K8/10)+Skills!N8</f>
        <v/>
      </c>
      <c r="G84">
        <f>Calc!G8</f>
        <v/>
      </c>
      <c r="H84">
        <f>Calc!H8</f>
        <v/>
      </c>
      <c r="I84">
        <f>IF(Skills!T8&lt;&gt;"",1+(Skills!T8/10)*($Z$3/1000)/100,1)</f>
        <v/>
      </c>
      <c r="J84">
        <f>((Inputs!$B$6*(1+Inputs!$B$7/100))+(((Inputs!$B$13*(1+(Inputs!$B$14+1)/100))-(Inputs!$B$13*(1+Inputs!$B$14/100)))+0.25*(Inputs!$B$15-Inputs!$B$15))*(1+Inputs!$B$7/100))*(F84/100)</f>
        <v/>
      </c>
      <c r="K84">
        <f>J84*(1+(((Inputs!$B$13+IF(Inputs!$B$3&gt;=35,(10*INDEX(FactorTable!$B$2:$Y$301, MATCH(ROUND(MIN(300,MAX(1,Inputs!$B$3)),0), FactorTable!$A$2:$A$301,0), 23)/1000)/100*(Inputs!$B$8*(1+(Inputs!$B$9+B114)/100)),0))*(1+(Inputs!$B$14+1)/100))*0.01+Inputs!$B$15*0.0025)/100)*(1+(Inputs!$B$16+B108)/100)*(1+IF(Inputs!$B$39="pvp",0,(1-Summary!$B$48)*(Inputs!$B$21+Skills!O8+B106)+Summary!$B$48*(Inputs!$B$22+Skills!P8+B107))/100)*(1+Inputs!$B$17/100)*(5000/(6000+Inputs!$B$43*(1-Inputs!$B$20/100)))*(1+Inputs!$B$25/100)*(1+IF(C94=TRUE,F94,0)/100)*(1+IF(C96=TRUE,F96,0)/100)*(1+IF(Skills!A8="TRIUMPH_FEATHER",IF(C92=TRUE,F92,0),0)/100)*(1+IF(C103=TRUE,F103,0)/100)^5*(1+(IF(Skills!A8="BIG_BANG",Inputs!$B$18,Inputs!$B$19))/100)*(B105*I84)</f>
        <v/>
      </c>
      <c r="L84">
        <f>K84*(MIN(Inputs!$B$23+(F98-Calc!F22),Inputs!$B$24)/100+Inputs!$B$24/100)/2</f>
        <v/>
      </c>
      <c r="M84">
        <f>L84*(1+(Inputs!$B$11+B109+(F101-Calc!F25))/100)</f>
        <v/>
      </c>
      <c r="N84">
        <f>L84*(1-MIN(Inputs!$B$10+((F100-Calc!F24)+(F99-Calc!F23)),100)/100)+M84*(MIN(Inputs!$B$10+((F100-Calc!F24)+(F99-Calc!F23)),100)/100)</f>
        <v/>
      </c>
      <c r="O84">
        <f>IF(C84,H84*N84*IF(AND(Inputs!$B$39&lt;&gt;"pvp",Inputs!$B$44&gt;0),((Skills!F8*((R84-1)*IF(Skills!G8&gt;0,Skills!H8/Skills!G8,1)+IF(Skills!G8&gt;0,MIN(Skills!H8,MAX(0,MAX(0,Inputs!$B$44-B115)-((R84-1)*IF(Inputs!$B$39="pvp",15,MAX(0.1,Skills!D8-IF(Skills!E8=TRUE,Inputs!$B$33,0))))))/Skills!G8,1)))/Inputs!$B$44),G84*Q84)*IF(Inputs!$B$39="pvp",1,(1-Summary!$B$48)*(1)+Summary!$B$48*(MIN(Skills!Q8,Inputs!$B$38))),0)</f>
        <v/>
      </c>
      <c r="P84">
        <f>IF(B116=0,0,O84/B116)</f>
        <v/>
      </c>
      <c r="Q84">
        <f>IFERROR(1/IF(Inputs!$B$39="pvp",15,MAX(0.1,Skills!D8-IF(Skills!E8=TRUE,Inputs!$B$33,0))),0)</f>
        <v/>
      </c>
      <c r="R84">
        <f>IF(AND(Inputs!$B$39&lt;&gt;"pvp",Inputs!$B$44&gt;0),IF(MAX(0,Inputs!$B$44-B115)&lt;=0,0,(INT(MAX(0,Inputs!$B$44-B115)/IF(Inputs!$B$39="pvp",15,MAX(0.1,Skills!D8-IF(Skills!E8=TRUE,Inputs!$B$33,0))))+1)),0)</f>
        <v/>
      </c>
    </row>
    <row r="85">
      <c r="A85">
        <f>Skills!A9</f>
        <v/>
      </c>
      <c r="B85">
        <f>Skills!B9</f>
        <v/>
      </c>
      <c r="C85">
        <f>Inputs!$B$3&gt;=115</f>
        <v/>
      </c>
      <c r="D85">
        <f>IF(Skills!C9=1,60+Inputs!$B$26+Inputs!$B$30,IF(Skills!C9=2,90+Inputs!$B$27+Inputs!$B$30,IF(Skills!C9=3,120+Inputs!$B$28+Inputs!$B$30,MAX(0,(Inputs!$B$3-100)*3)+Inputs!$B$29+Inputs!$B$30)))</f>
        <v/>
      </c>
      <c r="E85">
        <f>INDEX(FactorTable!$B$2:$Y$301, MATCH(ROUND(MIN(300,MAX(1,D85)),0), FactorTable!$A$2:$A$301,0), Skills!L9+1)</f>
        <v/>
      </c>
      <c r="F85">
        <f>IF(Skills!M9=TRUE,(Skills!K9/10)*(E85/1000),Skills!K9/10)+Skills!N9</f>
        <v/>
      </c>
      <c r="G85">
        <f>Calc!G9</f>
        <v/>
      </c>
      <c r="H85">
        <f>Calc!H9</f>
        <v/>
      </c>
      <c r="I85">
        <f>IF(Skills!T9&lt;&gt;"",1+(Skills!T9/10)*($Z$3/1000)/100,1)</f>
        <v/>
      </c>
      <c r="J85">
        <f>((Inputs!$B$6*(1+Inputs!$B$7/100))+(((Inputs!$B$13*(1+(Inputs!$B$14+1)/100))-(Inputs!$B$13*(1+Inputs!$B$14/100)))+0.25*(Inputs!$B$15-Inputs!$B$15))*(1+Inputs!$B$7/100))*(F85/100)</f>
        <v/>
      </c>
      <c r="K85">
        <f>J85*(1+(((Inputs!$B$13+IF(Inputs!$B$3&gt;=35,(10*INDEX(FactorTable!$B$2:$Y$301, MATCH(ROUND(MIN(300,MAX(1,Inputs!$B$3)),0), FactorTable!$A$2:$A$301,0), 23)/1000)/100*(Inputs!$B$8*(1+(Inputs!$B$9+B114)/100)),0))*(1+(Inputs!$B$14+1)/100))*0.01+Inputs!$B$15*0.0025)/100)*(1+(Inputs!$B$16+B108)/100)*(1+IF(Inputs!$B$39="pvp",0,(1-Summary!$B$48)*(Inputs!$B$21+Skills!O9+B106)+Summary!$B$48*(Inputs!$B$22+Skills!P9+B107))/100)*(1+Inputs!$B$17/100)*(5000/(6000+Inputs!$B$43*(1-Inputs!$B$20/100)))*(1+Inputs!$B$25/100)*(1+IF(C94=TRUE,F94,0)/100)*(1+IF(C96=TRUE,F96,0)/100)*(1+IF(Skills!A9="TRIUMPH_FEATHER",IF(C92=TRUE,F92,0),0)/100)*(1+IF(C103=TRUE,F103,0)/100)^5*(1+(IF(Skills!A9="BIG_BANG",Inputs!$B$18,Inputs!$B$19))/100)*(B105*I85)</f>
        <v/>
      </c>
      <c r="L85">
        <f>K85*(MIN(Inputs!$B$23+(F98-Calc!F22),Inputs!$B$24)/100+Inputs!$B$24/100)/2</f>
        <v/>
      </c>
      <c r="M85">
        <f>L85*(1+(Inputs!$B$11+B109+(F101-Calc!F25))/100)</f>
        <v/>
      </c>
      <c r="N85">
        <f>L85*(1-MIN(Inputs!$B$10+((F100-Calc!F24)+(F99-Calc!F23)),100)/100)+M85*(MIN(Inputs!$B$10+((F100-Calc!F24)+(F99-Calc!F23)),100)/100)</f>
        <v/>
      </c>
      <c r="O85">
        <f>IF(C85,H85*N85*IF(AND(Inputs!$B$39&lt;&gt;"pvp",Inputs!$B$44&gt;0),((Skills!F9*((R85-1)*IF(Skills!G9&gt;0,Skills!H9/Skills!G9,1)+IF(Skills!G9&gt;0,MIN(Skills!H9,MAX(0,MAX(0,Inputs!$B$44-B115)-((R85-1)*IF(Inputs!$B$39="pvp",15,MAX(0.1,Skills!D9-IF(Skills!E9=TRUE,Inputs!$B$33,0))))))/Skills!G9,1)))/Inputs!$B$44),G85*Q85)*IF(Inputs!$B$39="pvp",1,(1-Summary!$B$48)*(1)+Summary!$B$48*(MIN(Skills!Q9,Inputs!$B$38))),0)</f>
        <v/>
      </c>
      <c r="P85">
        <f>IF(B116=0,0,O85/B116)</f>
        <v/>
      </c>
      <c r="Q85">
        <f>IFERROR(1/IF(Inputs!$B$39="pvp",15,MAX(0.1,Skills!D9-IF(Skills!E9=TRUE,Inputs!$B$33,0))),0)</f>
        <v/>
      </c>
      <c r="R85">
        <f>IF(AND(Inputs!$B$39&lt;&gt;"pvp",Inputs!$B$44&gt;0),IF(MAX(0,Inputs!$B$44-B115)&lt;=0,0,(INT(MAX(0,Inputs!$B$44-B115)/IF(Inputs!$B$39="pvp",15,MAX(0.1,Skills!D9-IF(Skills!E9=TRUE,Inputs!$B$33,0))))+1)),0)</f>
        <v/>
      </c>
    </row>
    <row r="86">
      <c r="A86">
        <f>Skills!A10</f>
        <v/>
      </c>
      <c r="B86">
        <f>Skills!B10</f>
        <v/>
      </c>
      <c r="C86">
        <f>Inputs!$B$3&gt;=66</f>
        <v/>
      </c>
      <c r="D86">
        <f>IF(Skills!C10=1,60+Inputs!$B$26+Inputs!$B$30,IF(Skills!C10=2,90+Inputs!$B$27+Inputs!$B$30,IF(Skills!C10=3,120+Inputs!$B$28+Inputs!$B$30,MAX(0,(Inputs!$B$3-100)*3)+Inputs!$B$29+Inputs!$B$30)))</f>
        <v/>
      </c>
      <c r="E86">
        <f>INDEX(FactorTable!$B$2:$Y$301, MATCH(ROUND(MIN(300,MAX(1,D86)),0), FactorTable!$A$2:$A$301,0), Skills!L10+1)</f>
        <v/>
      </c>
      <c r="F86" t="n">
        <v>0</v>
      </c>
      <c r="G86">
        <f>Calc!G10</f>
        <v/>
      </c>
      <c r="H86">
        <f>Calc!H10</f>
        <v/>
      </c>
      <c r="I86">
        <f>IF(Skills!T10&lt;&gt;"",1+(Skills!T10/10)*($Z$3/1000)/100,1)</f>
        <v/>
      </c>
      <c r="J86" t="inlineStr"/>
      <c r="K86" t="inlineStr"/>
      <c r="L86" t="inlineStr"/>
      <c r="M86" t="inlineStr"/>
      <c r="N86" t="inlineStr"/>
      <c r="O86" t="n">
        <v>0</v>
      </c>
      <c r="P86">
        <f>IF(B116=0,0,O86/B116)</f>
        <v/>
      </c>
      <c r="Q86">
        <f>IFERROR(1/IF(Inputs!$B$39="pvp",15,MAX(0.1,Skills!D10-IF(Skills!E10=TRUE,Inputs!$B$33,0))),0)</f>
        <v/>
      </c>
      <c r="R86">
        <f>IF(AND(Inputs!$B$39&lt;&gt;"pvp",Inputs!$B$44&gt;0),IF(MAX(0,Inputs!$B$44-B115)&lt;=0,0,(INT(MAX(0,Inputs!$B$44-B115)/IF(Inputs!$B$39="pvp",15,MAX(0.1,Skills!D10-IF(Skills!E10=TRUE,Inputs!$B$33,0))))+1)),0)</f>
        <v/>
      </c>
    </row>
    <row r="87">
      <c r="A87">
        <f>Skills!A11</f>
        <v/>
      </c>
      <c r="B87">
        <f>Skills!B11</f>
        <v/>
      </c>
      <c r="C87">
        <f>Inputs!$B$3&gt;=69</f>
        <v/>
      </c>
      <c r="D87">
        <f>IF(Skills!C11=1,60+Inputs!$B$26+Inputs!$B$30,IF(Skills!C11=2,90+Inputs!$B$27+Inputs!$B$30,IF(Skills!C11=3,120+Inputs!$B$28+Inputs!$B$30,MAX(0,(Inputs!$B$3-100)*3)+Inputs!$B$29+Inputs!$B$30)))</f>
        <v/>
      </c>
      <c r="E87">
        <f>INDEX(FactorTable!$B$2:$Y$301, MATCH(ROUND(MIN(300,MAX(1,D87)),0), FactorTable!$A$2:$A$301,0), Skills!L11+1)</f>
        <v/>
      </c>
      <c r="F87">
        <f>IF(Skills!M11=TRUE,(Skills!K11/10)*(E87/1000),Skills!K11/10)+Skills!N11</f>
        <v/>
      </c>
      <c r="G87">
        <f>Calc!G11</f>
        <v/>
      </c>
      <c r="H87">
        <f>Calc!H11</f>
        <v/>
      </c>
      <c r="I87">
        <f>IF(Skills!T11&lt;&gt;"",1+(Skills!T11/10)*($Z$3/1000)/100,1)</f>
        <v/>
      </c>
      <c r="J87" t="inlineStr"/>
      <c r="K87" t="inlineStr"/>
      <c r="L87" t="inlineStr"/>
      <c r="M87" t="inlineStr"/>
      <c r="N87" t="inlineStr"/>
      <c r="O87" t="n">
        <v>0</v>
      </c>
      <c r="P87">
        <f>IF(B116=0,0,O87/B116)</f>
        <v/>
      </c>
      <c r="Q87">
        <f>IFERROR(1/IF(Inputs!$B$39="pvp",15,MAX(0.1,Skills!D11-IF(Skills!E11=TRUE,Inputs!$B$33,0))),0)</f>
        <v/>
      </c>
      <c r="R87">
        <f>IF(AND(Inputs!$B$39&lt;&gt;"pvp",Inputs!$B$44&gt;0),IF(Inputs!$B$44&lt;=0,0,(INT(Inputs!$B$44/IF(Inputs!$B$39="pvp",15,MAX(0.1,Skills!D11-IF(Skills!E11=TRUE,Inputs!$B$33,0))))+1)),0)</f>
        <v/>
      </c>
    </row>
    <row r="88">
      <c r="A88">
        <f>Skills!A12</f>
        <v/>
      </c>
      <c r="B88">
        <f>Skills!B12</f>
        <v/>
      </c>
      <c r="C88">
        <f>Inputs!$B$3&gt;=72</f>
        <v/>
      </c>
      <c r="D88">
        <f>IF(Skills!C12=1,60+Inputs!$B$26+Inputs!$B$30,IF(Skills!C12=2,90+Inputs!$B$27+Inputs!$B$30,IF(Skills!C12=3,120+Inputs!$B$28+Inputs!$B$30,MAX(0,(Inputs!$B$3-100)*3)+Inputs!$B$29+Inputs!$B$30)))</f>
        <v/>
      </c>
      <c r="E88">
        <f>INDEX(FactorTable!$B$2:$Y$301, MATCH(ROUND(MIN(300,MAX(1,D88)),0), FactorTable!$A$2:$A$301,0), Skills!L12+1)</f>
        <v/>
      </c>
      <c r="F88">
        <f>IF(Skills!M12=TRUE,(Skills!K12/10)*(E88/1000),Skills!K12/10)+Skills!N12</f>
        <v/>
      </c>
      <c r="G88">
        <f>Calc!G12</f>
        <v/>
      </c>
      <c r="H88">
        <f>Calc!H12</f>
        <v/>
      </c>
      <c r="I88">
        <f>IF(Skills!T12&lt;&gt;"",1+(Skills!T12/10)*($Z$3/1000)/100,1)</f>
        <v/>
      </c>
      <c r="J88" t="inlineStr"/>
      <c r="K88" t="inlineStr"/>
      <c r="L88" t="inlineStr"/>
      <c r="M88" t="inlineStr"/>
      <c r="N88" t="inlineStr"/>
      <c r="O88" t="n">
        <v>0</v>
      </c>
      <c r="P88">
        <f>IF(B116=0,0,O88/B116)</f>
        <v/>
      </c>
      <c r="Q88">
        <f>IFERROR(1/IF(Inputs!$B$39="pvp",15,MAX(0.1,Skills!D12-IF(Skills!E12=TRUE,Inputs!$B$33,0))),0)</f>
        <v/>
      </c>
      <c r="R88">
        <f>IF(AND(Inputs!$B$39&lt;&gt;"pvp",Inputs!$B$44&gt;0),IF(MAX(0,Inputs!$B$44-B115)&lt;=0,0,(INT(MAX(0,Inputs!$B$44-B115)/IF(Inputs!$B$39="pvp",15,MAX(0.1,Skills!D12-IF(Skills!E12=TRUE,Inputs!$B$33,0))))+1)),0)</f>
        <v/>
      </c>
    </row>
    <row r="89">
      <c r="A89">
        <f>Skills!A13</f>
        <v/>
      </c>
      <c r="B89">
        <f>Skills!B13</f>
        <v/>
      </c>
      <c r="C89">
        <f>Inputs!$B$3&gt;=60</f>
        <v/>
      </c>
      <c r="D89">
        <f>IF(Skills!C13=1,60+Inputs!$B$26+Inputs!$B$30,IF(Skills!C13=2,90+Inputs!$B$27+Inputs!$B$30,IF(Skills!C13=3,120+Inputs!$B$28+Inputs!$B$30,MAX(0,(Inputs!$B$3-100)*3)+Inputs!$B$29+Inputs!$B$30)))</f>
        <v/>
      </c>
      <c r="E89">
        <f>INDEX(FactorTable!$B$2:$Y$301, MATCH(ROUND(MIN(300,MAX(1,D89)),0), FactorTable!$A$2:$A$301,0), Skills!L13+1)</f>
        <v/>
      </c>
      <c r="F89">
        <f>IF(Skills!M13=TRUE,(Skills!K13/10)*(E89/1000),Skills!K13/10)+Skills!N13</f>
        <v/>
      </c>
      <c r="G89">
        <f>Calc!G13</f>
        <v/>
      </c>
      <c r="H89">
        <f>Calc!H13</f>
        <v/>
      </c>
      <c r="I89">
        <f>IF(Skills!T13&lt;&gt;"",1+(Skills!T13/10)*($Z$3/1000)/100,1)</f>
        <v/>
      </c>
      <c r="J89" t="inlineStr"/>
      <c r="K89" t="inlineStr"/>
      <c r="L89" t="inlineStr"/>
      <c r="M89" t="inlineStr"/>
      <c r="N89" t="inlineStr"/>
      <c r="O89" t="n">
        <v>0</v>
      </c>
      <c r="P89">
        <f>IF(B116=0,0,O89/B116)</f>
        <v/>
      </c>
      <c r="Q89">
        <f>IFERROR(1/IF(Inputs!$B$39="pvp",15,MAX(0.1,Skills!D13-IF(Skills!E13=TRUE,Inputs!$B$33,0))),0)</f>
        <v/>
      </c>
      <c r="R89">
        <f>IF(AND(Inputs!$B$39&lt;&gt;"pvp",Inputs!$B$44&gt;0),IF(MAX(0,Inputs!$B$44-B115)&lt;=0,0,(INT(MAX(0,Inputs!$B$44-B115)/IF(Inputs!$B$39="pvp",15,MAX(0.1,Skills!D13-IF(Skills!E13=TRUE,Inputs!$B$33,0))))+1)),0)</f>
        <v/>
      </c>
    </row>
    <row r="90">
      <c r="A90">
        <f>Skills!A14</f>
        <v/>
      </c>
      <c r="B90">
        <f>Skills!B14</f>
        <v/>
      </c>
      <c r="C90">
        <f>Inputs!$B$3&gt;=107</f>
        <v/>
      </c>
      <c r="D90">
        <f>IF(Skills!C14=1,60+Inputs!$B$26+Inputs!$B$30,IF(Skills!C14=2,90+Inputs!$B$27+Inputs!$B$30,IF(Skills!C14=3,120+Inputs!$B$28+Inputs!$B$30,MAX(0,(Inputs!$B$3-100)*3)+Inputs!$B$29+Inputs!$B$30)))</f>
        <v/>
      </c>
      <c r="E90">
        <f>INDEX(FactorTable!$B$2:$Y$301, MATCH(ROUND(MIN(300,MAX(1,D90)),0), FactorTable!$A$2:$A$301,0), Skills!L14+1)</f>
        <v/>
      </c>
      <c r="F90">
        <f>IF(Skills!M14=TRUE,(Skills!K14/10)*(E90/1000),Skills!K14/10)+Skills!N14</f>
        <v/>
      </c>
      <c r="G90">
        <f>Calc!G14</f>
        <v/>
      </c>
      <c r="H90">
        <f>Calc!H14</f>
        <v/>
      </c>
      <c r="I90">
        <f>IF(Skills!T14&lt;&gt;"",1+(Skills!T14/10)*($Z$3/1000)/100,1)</f>
        <v/>
      </c>
      <c r="J90" t="inlineStr"/>
      <c r="K90" t="inlineStr"/>
      <c r="L90" t="inlineStr"/>
      <c r="M90" t="inlineStr"/>
      <c r="N90" t="inlineStr"/>
      <c r="O90" t="n">
        <v>0</v>
      </c>
      <c r="P90">
        <f>IF(B116=0,0,O90/B116)</f>
        <v/>
      </c>
      <c r="Q90">
        <f>IFERROR(1/IF(Inputs!$B$39="pvp",15,MAX(0.1,Skills!D14-IF(Skills!E14=TRUE,Inputs!$B$33,0))),0)</f>
        <v/>
      </c>
      <c r="R90">
        <f>IF(AND(Inputs!$B$39&lt;&gt;"pvp",Inputs!$B$44&gt;0),IF(Inputs!$B$44&lt;=0,0,(INT(Inputs!$B$44/IF(Inputs!$B$39="pvp",15,MAX(0.1,Skills!D14-IF(Skills!E14=TRUE,Inputs!$B$33,0))))+1)),0)</f>
        <v/>
      </c>
    </row>
    <row r="91">
      <c r="A91">
        <f>Skills!A15</f>
        <v/>
      </c>
      <c r="B91">
        <f>Skills!B15</f>
        <v/>
      </c>
      <c r="C91">
        <f>Inputs!$B$3&gt;=63</f>
        <v/>
      </c>
      <c r="D91">
        <f>IF(Skills!C15=1,60+Inputs!$B$26+Inputs!$B$30,IF(Skills!C15=2,90+Inputs!$B$27+Inputs!$B$30,IF(Skills!C15=3,120+Inputs!$B$28+Inputs!$B$30,MAX(0,(Inputs!$B$3-100)*3)+Inputs!$B$29+Inputs!$B$30)))</f>
        <v/>
      </c>
      <c r="E91">
        <f>INDEX(FactorTable!$B$2:$Y$301, MATCH(ROUND(MIN(300,MAX(1,D91)),0), FactorTable!$A$2:$A$301,0), Skills!L15+1)</f>
        <v/>
      </c>
      <c r="F91">
        <f>IF(Skills!M15=TRUE,(Skills!K15/10)*(E91/1000),Skills!K15/10)+Skills!N15</f>
        <v/>
      </c>
      <c r="G91">
        <f>Calc!G15</f>
        <v/>
      </c>
      <c r="H91">
        <f>Calc!H15</f>
        <v/>
      </c>
      <c r="I91">
        <f>IF(Skills!T15&lt;&gt;"",1+(Skills!T15/10)*($Z$3/1000)/100,1)</f>
        <v/>
      </c>
      <c r="J91">
        <f>((Inputs!$B$6*(1+Inputs!$B$7/100))+(((Inputs!$B$13*(1+(Inputs!$B$14+1)/100))-(Inputs!$B$13*(1+Inputs!$B$14/100)))+0.25*(Inputs!$B$15-Inputs!$B$15))*(1+Inputs!$B$7/100))*(F91/100)</f>
        <v/>
      </c>
      <c r="K91">
        <f>J91*(1+(((Inputs!$B$13+IF(Inputs!$B$3&gt;=35,(10*INDEX(FactorTable!$B$2:$Y$301, MATCH(ROUND(MIN(300,MAX(1,Inputs!$B$3)),0), FactorTable!$A$2:$A$301,0), 23)/1000)/100*(Inputs!$B$8*(1+(Inputs!$B$9+B114)/100)),0))*(1+(Inputs!$B$14+1)/100))*0.01+Inputs!$B$15*0.0025)/100)*(1+(Inputs!$B$16+B108)/100)*(1+IF(Inputs!$B$39="pvp",0,(1-Summary!$B$48)*(Inputs!$B$21+Skills!O15+B106)+Summary!$B$48*(Inputs!$B$22+Skills!P15+B107))/100)*(1+Inputs!$B$17/100)*(5000/(6000+Inputs!$B$43*(1-Inputs!$B$20/100)))*(1+Inputs!$B$25/100)*(1+IF(C94=TRUE,F94,0)/100)*(1+IF(C96=TRUE,F96,0)/100)*(1+IF(Skills!A15="TRIUMPH_FEATHER",IF(C92=TRUE,F92,0),0)/100)*(1+IF(C103=TRUE,F103,0)/100)^5*(1+(IF(Skills!A15="BIG_BANG",Inputs!$B$18,Inputs!$B$19))/100)*(B105*I91)</f>
        <v/>
      </c>
      <c r="L91">
        <f>K91*(MIN(Inputs!$B$23+(F98-Calc!F22),Inputs!$B$24)/100+Inputs!$B$24/100)/2</f>
        <v/>
      </c>
      <c r="M91">
        <f>L91*(1+(Inputs!$B$11+B109+(F101-Calc!F25))/100)</f>
        <v/>
      </c>
      <c r="N91">
        <f>L91*(1-MIN(Inputs!$B$10+((F100-Calc!F24)+(F99-Calc!F23)),100)/100)+M91*(MIN(Inputs!$B$10+((F100-Calc!F24)+(F99-Calc!F23)),100)/100)</f>
        <v/>
      </c>
      <c r="O91">
        <f>IF(C91,Skills!F15*N91*((IF(Inputs!$B$3&gt;=78,25,15)/100*B111*10)/(1+IF(Inputs!$B$3&gt;=78,25,15)/100*B111*10))*(Skills!I15/100*B111)/(1+Skills!G15*Skills!I15/100*B111)*IF(Inputs!$B$39="pvp",1,(1-Summary!$B$48)*(1)+Summary!$B$48*(MIN(Skills!Q15,Inputs!$B$38))),0)</f>
        <v/>
      </c>
      <c r="P91">
        <f>IF(B116=0,0,O91/B116)</f>
        <v/>
      </c>
      <c r="Q91">
        <f>IFERROR(1/IF(Inputs!$B$39="pvp",15,MAX(0.1,Skills!D15-IF(Skills!E15=TRUE,Inputs!$B$33,0))),0)</f>
        <v/>
      </c>
      <c r="R91" t="n">
        <v>0</v>
      </c>
    </row>
    <row r="92">
      <c r="A92">
        <f>Skills!A16</f>
        <v/>
      </c>
      <c r="B92">
        <f>Skills!B16</f>
        <v/>
      </c>
      <c r="C92">
        <f>Inputs!$B$3&gt;=100</f>
        <v/>
      </c>
      <c r="D92">
        <f>IF(Skills!C16=1,60+Inputs!$B$26+Inputs!$B$30,IF(Skills!C16=2,90+Inputs!$B$27+Inputs!$B$30,IF(Skills!C16=3,120+Inputs!$B$28+Inputs!$B$30,MAX(0,(Inputs!$B$3-100)*3)+Inputs!$B$29+Inputs!$B$30)))</f>
        <v/>
      </c>
      <c r="E92">
        <f>INDEX(FactorTable!$B$2:$Y$301, MATCH(ROUND(MIN(300,MAX(1,D92)),0), FactorTable!$A$2:$A$301,0), Skills!L16+1)</f>
        <v/>
      </c>
      <c r="F92">
        <f>IF(Skills!M16=TRUE,(Skills!K16/10)*(E92/1000),Skills!K16/10)+Skills!N16</f>
        <v/>
      </c>
      <c r="G92">
        <f>Calc!G16</f>
        <v/>
      </c>
      <c r="H92">
        <f>Calc!H16</f>
        <v/>
      </c>
      <c r="I92">
        <f>IF(Skills!T16&lt;&gt;"",1+(Skills!T16/10)*($Z$3/1000)/100,1)</f>
        <v/>
      </c>
      <c r="J92" t="inlineStr"/>
      <c r="K92" t="inlineStr"/>
      <c r="L92" t="inlineStr"/>
      <c r="M92" t="inlineStr"/>
      <c r="N92" t="inlineStr"/>
      <c r="O92" t="n">
        <v>0</v>
      </c>
      <c r="P92">
        <f>IF(B116=0,0,O92/B116)</f>
        <v/>
      </c>
      <c r="Q92">
        <f>IFERROR(1/IF(Inputs!$B$39="pvp",15,MAX(0.1,Skills!D16-IF(Skills!E16=TRUE,Inputs!$B$33,0))),0)</f>
        <v/>
      </c>
      <c r="R92" t="n">
        <v>0</v>
      </c>
    </row>
    <row r="93">
      <c r="A93">
        <f>Skills!A17</f>
        <v/>
      </c>
      <c r="B93">
        <f>Skills!B17</f>
        <v/>
      </c>
      <c r="C93">
        <f>Inputs!$B$3&gt;=49</f>
        <v/>
      </c>
      <c r="D93">
        <f>IF(Skills!C17=1,60+Inputs!$B$26+Inputs!$B$30,IF(Skills!C17=2,90+Inputs!$B$27+Inputs!$B$30,IF(Skills!C17=3,120+Inputs!$B$28+Inputs!$B$30,MAX(0,(Inputs!$B$3-100)*3)+Inputs!$B$29+Inputs!$B$30)))</f>
        <v/>
      </c>
      <c r="E93">
        <f>INDEX(FactorTable!$B$2:$Y$301, MATCH(ROUND(MIN(300,MAX(1,D93)),0), FactorTable!$A$2:$A$301,0), Skills!L17+1)</f>
        <v/>
      </c>
      <c r="F93">
        <f>IF(Skills!M17=TRUE,(Skills!K17/10)*(E93/1000),Skills!K17/10)+Skills!N17</f>
        <v/>
      </c>
      <c r="G93">
        <f>Calc!G17</f>
        <v/>
      </c>
      <c r="H93">
        <f>Calc!H17</f>
        <v/>
      </c>
      <c r="I93">
        <f>IF(Skills!T17&lt;&gt;"",1+(Skills!T17/10)*($Z$3/1000)/100,1)</f>
        <v/>
      </c>
      <c r="J93" t="inlineStr"/>
      <c r="K93" t="inlineStr"/>
      <c r="L93" t="inlineStr"/>
      <c r="M93" t="inlineStr"/>
      <c r="N93" t="inlineStr"/>
      <c r="O93" t="n">
        <v>0</v>
      </c>
      <c r="P93">
        <f>IF(B116=0,0,O93/B116)</f>
        <v/>
      </c>
      <c r="Q93">
        <f>IFERROR(1/IF(Inputs!$B$39="pvp",15,MAX(0.1,Skills!D17-IF(Skills!E17=TRUE,Inputs!$B$33,0))),0)</f>
        <v/>
      </c>
      <c r="R93" t="n">
        <v>0</v>
      </c>
    </row>
    <row r="94">
      <c r="A94">
        <f>Skills!A18</f>
        <v/>
      </c>
      <c r="B94">
        <f>Skills!B18</f>
        <v/>
      </c>
      <c r="C94">
        <f>Inputs!$B$3&gt;=75</f>
        <v/>
      </c>
      <c r="D94">
        <f>IF(Skills!C18=1,60+Inputs!$B$26+Inputs!$B$30,IF(Skills!C18=2,90+Inputs!$B$27+Inputs!$B$30,IF(Skills!C18=3,120+Inputs!$B$28+Inputs!$B$30,MAX(0,(Inputs!$B$3-100)*3)+Inputs!$B$29+Inputs!$B$30)))</f>
        <v/>
      </c>
      <c r="E94">
        <f>INDEX(FactorTable!$B$2:$Y$301, MATCH(ROUND(MIN(300,MAX(1,D94)),0), FactorTable!$A$2:$A$301,0), Skills!L18+1)</f>
        <v/>
      </c>
      <c r="F94">
        <f>IF(Skills!M18=TRUE,(Skills!K18/10)*(E94/1000),Skills!K18/10)+Skills!N18</f>
        <v/>
      </c>
      <c r="G94">
        <f>Calc!G18</f>
        <v/>
      </c>
      <c r="H94">
        <f>Calc!H18</f>
        <v/>
      </c>
      <c r="I94">
        <f>IF(Skills!T18&lt;&gt;"",1+(Skills!T18/10)*($Z$3/1000)/100,1)</f>
        <v/>
      </c>
      <c r="J94" t="inlineStr"/>
      <c r="K94" t="inlineStr"/>
      <c r="L94" t="inlineStr"/>
      <c r="M94" t="inlineStr"/>
      <c r="N94" t="inlineStr"/>
      <c r="O94" t="n">
        <v>0</v>
      </c>
      <c r="P94">
        <f>IF(B116=0,0,O94/B116)</f>
        <v/>
      </c>
      <c r="Q94">
        <f>IFERROR(1/IF(Inputs!$B$39="pvp",15,MAX(0.1,Skills!D18-IF(Skills!E18=TRUE,Inputs!$B$33,0))),0)</f>
        <v/>
      </c>
      <c r="R94" t="n">
        <v>0</v>
      </c>
    </row>
    <row r="95">
      <c r="A95">
        <f>Skills!A19</f>
        <v/>
      </c>
      <c r="B95">
        <f>Skills!B19</f>
        <v/>
      </c>
      <c r="C95">
        <f>Inputs!$B$3&gt;=110</f>
        <v/>
      </c>
      <c r="D95">
        <f>IF(Skills!C19=1,60+Inputs!$B$26+Inputs!$B$30,IF(Skills!C19=2,90+Inputs!$B$27+Inputs!$B$30,IF(Skills!C19=3,120+Inputs!$B$28+Inputs!$B$30,MAX(0,(Inputs!$B$3-100)*3)+Inputs!$B$29+Inputs!$B$30)))</f>
        <v/>
      </c>
      <c r="E95">
        <f>INDEX(FactorTable!$B$2:$Y$301, MATCH(ROUND(MIN(300,MAX(1,D95)),0), FactorTable!$A$2:$A$301,0), Skills!L19+1)</f>
        <v/>
      </c>
      <c r="F95">
        <f>(Skills!K19/10)*(E95/1000)*64/45+Skills!N19</f>
        <v/>
      </c>
      <c r="G95">
        <f>Calc!G19</f>
        <v/>
      </c>
      <c r="H95">
        <f>Calc!H19</f>
        <v/>
      </c>
      <c r="I95">
        <f>IF(Skills!T19&lt;&gt;"",1+(Skills!T19/10)*($Z$3/1000)/100,1)</f>
        <v/>
      </c>
      <c r="J95" t="inlineStr"/>
      <c r="K95" t="inlineStr"/>
      <c r="L95" t="inlineStr"/>
      <c r="M95" t="inlineStr"/>
      <c r="N95" t="inlineStr"/>
      <c r="O95" t="n">
        <v>0</v>
      </c>
      <c r="P95">
        <f>IF(B116=0,0,O95/B116)</f>
        <v/>
      </c>
      <c r="Q95">
        <f>IFERROR(1/IF(Inputs!$B$39="pvp",15,MAX(0.1,Skills!D19-IF(Skills!E19=TRUE,Inputs!$B$33,0))),0)</f>
        <v/>
      </c>
      <c r="R95">
        <f>IF(AND(Inputs!$B$39&lt;&gt;"pvp",Inputs!$B$44&gt;0),IF(Inputs!$B$44&lt;=0,0,(INT(Inputs!$B$44/IF(Inputs!$B$39="pvp",15,MAX(0.1,Skills!D19-IF(Skills!E19=TRUE,Inputs!$B$33,0))))+1)),0)</f>
        <v/>
      </c>
    </row>
    <row r="96">
      <c r="A96">
        <f>Skills!A20</f>
        <v/>
      </c>
      <c r="B96">
        <f>Skills!B20</f>
        <v/>
      </c>
      <c r="C96">
        <f>Inputs!$B$3&gt;=125</f>
        <v/>
      </c>
      <c r="D96">
        <f>IF(Skills!C20=1,60+Inputs!$B$26+Inputs!$B$30,IF(Skills!C20=2,90+Inputs!$B$27+Inputs!$B$30,IF(Skills!C20=3,120+Inputs!$B$28+Inputs!$B$30,MAX(0,(Inputs!$B$3-100)*3)+Inputs!$B$29+Inputs!$B$30)))</f>
        <v/>
      </c>
      <c r="E96">
        <f>INDEX(FactorTable!$B$2:$Y$301, MATCH(ROUND(MIN(300,MAX(1,D96)),0), FactorTable!$A$2:$A$301,0), Skills!L20+1)</f>
        <v/>
      </c>
      <c r="F96">
        <f>IF(Skills!M20=TRUE,(Skills!K20/10)*(E96/1000),Skills!K20/10)+Skills!N20</f>
        <v/>
      </c>
      <c r="G96">
        <f>Calc!G20</f>
        <v/>
      </c>
      <c r="H96">
        <f>Calc!H20</f>
        <v/>
      </c>
      <c r="I96">
        <f>IF(Skills!T20&lt;&gt;"",1+(Skills!T20/10)*($Z$3/1000)/100,1)</f>
        <v/>
      </c>
      <c r="J96" t="inlineStr"/>
      <c r="K96" t="inlineStr"/>
      <c r="L96" t="inlineStr"/>
      <c r="M96" t="inlineStr"/>
      <c r="N96" t="inlineStr"/>
      <c r="O96" t="n">
        <v>0</v>
      </c>
      <c r="P96">
        <f>IF(B116=0,0,O96/B116)</f>
        <v/>
      </c>
      <c r="Q96">
        <f>IFERROR(1/IF(Inputs!$B$39="pvp",15,MAX(0.1,Skills!D20-IF(Skills!E20=TRUE,Inputs!$B$33,0))),0)</f>
        <v/>
      </c>
      <c r="R96" t="n">
        <v>0</v>
      </c>
    </row>
    <row r="97">
      <c r="A97">
        <f>Skills!A21</f>
        <v/>
      </c>
      <c r="B97">
        <f>Skills!B21</f>
        <v/>
      </c>
      <c r="C97">
        <f>Inputs!$B$3&gt;=33</f>
        <v/>
      </c>
      <c r="D97">
        <f>IF(Skills!C21=1,60+Inputs!$B$26+Inputs!$B$30,IF(Skills!C21=2,90+Inputs!$B$27+Inputs!$B$30,IF(Skills!C21=3,120+Inputs!$B$28+Inputs!$B$30,MAX(0,(Inputs!$B$3-100)*3)+Inputs!$B$29+Inputs!$B$30)))</f>
        <v/>
      </c>
      <c r="E97">
        <f>INDEX(FactorTable!$B$2:$Y$301, MATCH(ROUND(MIN(300,MAX(1,D97)),0), FactorTable!$A$2:$A$301,0), Skills!L21+1)</f>
        <v/>
      </c>
      <c r="F97">
        <f>IF(Skills!M21=TRUE,(Skills!K21/10)*(E97/1000),Skills!K21/10)+Skills!N21</f>
        <v/>
      </c>
      <c r="G97">
        <f>Calc!G21</f>
        <v/>
      </c>
      <c r="H97">
        <f>Calc!H21</f>
        <v/>
      </c>
      <c r="I97">
        <f>IF(Skills!T21&lt;&gt;"",1+(Skills!T21/10)*($Z$3/1000)/100,1)</f>
        <v/>
      </c>
      <c r="J97" t="inlineStr"/>
      <c r="K97" t="inlineStr"/>
      <c r="L97" t="inlineStr"/>
      <c r="M97" t="inlineStr"/>
      <c r="N97" t="inlineStr"/>
      <c r="O97" t="n">
        <v>0</v>
      </c>
      <c r="P97">
        <f>IF(B116=0,0,O97/B116)</f>
        <v/>
      </c>
      <c r="Q97">
        <f>IFERROR(1/IF(Inputs!$B$39="pvp",15,MAX(0.1,Skills!D21-IF(Skills!E21=TRUE,Inputs!$B$33,0))),0)</f>
        <v/>
      </c>
      <c r="R97" t="n">
        <v>0</v>
      </c>
    </row>
    <row r="98">
      <c r="A98">
        <f>Skills!A22</f>
        <v/>
      </c>
      <c r="B98">
        <f>Skills!B22</f>
        <v/>
      </c>
      <c r="C98">
        <f>Inputs!$B$3&gt;=43</f>
        <v/>
      </c>
      <c r="D98">
        <f>IF(Skills!C22=1,60+Inputs!$B$26+Inputs!$B$30,IF(Skills!C22=2,90+Inputs!$B$27+Inputs!$B$30,IF(Skills!C22=3,120+Inputs!$B$28+Inputs!$B$30,MAX(0,(Inputs!$B$3-100)*3)+Inputs!$B$29+Inputs!$B$30)))</f>
        <v/>
      </c>
      <c r="E98">
        <f>INDEX(FactorTable!$B$2:$Y$301, MATCH(ROUND(MIN(300,MAX(1,D98)),0), FactorTable!$A$2:$A$301,0), Skills!L22+1)</f>
        <v/>
      </c>
      <c r="F98">
        <f>IF(Skills!M22=TRUE,(Skills!K22/10)*(E98/1000),Skills!K22/10)+Skills!N22</f>
        <v/>
      </c>
      <c r="G98">
        <f>Calc!G22</f>
        <v/>
      </c>
      <c r="H98">
        <f>Calc!H22</f>
        <v/>
      </c>
      <c r="I98">
        <f>IF(Skills!T22&lt;&gt;"",1+(Skills!T22/10)*($Z$3/1000)/100,1)</f>
        <v/>
      </c>
      <c r="J98" t="inlineStr"/>
      <c r="K98" t="inlineStr"/>
      <c r="L98" t="inlineStr"/>
      <c r="M98" t="inlineStr"/>
      <c r="N98" t="inlineStr"/>
      <c r="O98" t="n">
        <v>0</v>
      </c>
      <c r="P98">
        <f>IF(B116=0,0,O98/B116)</f>
        <v/>
      </c>
      <c r="Q98">
        <f>IFERROR(1/IF(Inputs!$B$39="pvp",15,MAX(0.1,Skills!D22-IF(Skills!E22=TRUE,Inputs!$B$33,0))),0)</f>
        <v/>
      </c>
      <c r="R98" t="n">
        <v>0</v>
      </c>
    </row>
    <row r="99">
      <c r="A99">
        <f>Skills!A23</f>
        <v/>
      </c>
      <c r="B99">
        <f>Skills!B23</f>
        <v/>
      </c>
      <c r="C99">
        <f>Inputs!$B$3&gt;=50</f>
        <v/>
      </c>
      <c r="D99">
        <f>IF(Skills!C23=1,60+Inputs!$B$26+Inputs!$B$30,IF(Skills!C23=2,90+Inputs!$B$27+Inputs!$B$30,IF(Skills!C23=3,120+Inputs!$B$28+Inputs!$B$30,MAX(0,(Inputs!$B$3-100)*3)+Inputs!$B$29+Inputs!$B$30)))</f>
        <v/>
      </c>
      <c r="E99">
        <f>INDEX(FactorTable!$B$2:$Y$301, MATCH(ROUND(MIN(300,MAX(1,D99)),0), FactorTable!$A$2:$A$301,0), Skills!L23+1)</f>
        <v/>
      </c>
      <c r="F99">
        <f>IF(Skills!M23=TRUE,(Skills!K23/10)*(E99/1000),Skills!K23/10)+Skills!N23</f>
        <v/>
      </c>
      <c r="G99">
        <f>Calc!G23</f>
        <v/>
      </c>
      <c r="H99">
        <f>Calc!H23</f>
        <v/>
      </c>
      <c r="I99">
        <f>IF(Skills!T23&lt;&gt;"",1+(Skills!T23/10)*($Z$3/1000)/100,1)</f>
        <v/>
      </c>
      <c r="J99" t="inlineStr"/>
      <c r="K99" t="inlineStr"/>
      <c r="L99" t="inlineStr"/>
      <c r="M99" t="inlineStr"/>
      <c r="N99" t="inlineStr"/>
      <c r="O99" t="n">
        <v>0</v>
      </c>
      <c r="P99">
        <f>IF(B116=0,0,O99/B116)</f>
        <v/>
      </c>
      <c r="Q99">
        <f>IFERROR(1/IF(Inputs!$B$39="pvp",15,MAX(0.1,Skills!D23-IF(Skills!E23=TRUE,Inputs!$B$33,0))),0)</f>
        <v/>
      </c>
      <c r="R99" t="n">
        <v>0</v>
      </c>
    </row>
    <row r="100">
      <c r="A100">
        <f>Skills!A24</f>
        <v/>
      </c>
      <c r="B100">
        <f>Skills!B24</f>
        <v/>
      </c>
      <c r="C100">
        <f>Inputs!$B$3&gt;=74</f>
        <v/>
      </c>
      <c r="D100">
        <f>IF(Skills!C24=1,60+Inputs!$B$26+Inputs!$B$30,IF(Skills!C24=2,90+Inputs!$B$27+Inputs!$B$30,IF(Skills!C24=3,120+Inputs!$B$28+Inputs!$B$30,MAX(0,(Inputs!$B$3-100)*3)+Inputs!$B$29+Inputs!$B$30)))</f>
        <v/>
      </c>
      <c r="E100">
        <f>INDEX(FactorTable!$B$2:$Y$301, MATCH(ROUND(MIN(300,MAX(1,D100)),0), FactorTable!$A$2:$A$301,0), Skills!L24+1)</f>
        <v/>
      </c>
      <c r="F100">
        <f>IF(Skills!M24=TRUE,(Skills!K24/10)*(E100/1000),Skills!K24/10)+Skills!N24</f>
        <v/>
      </c>
      <c r="G100">
        <f>Calc!G24</f>
        <v/>
      </c>
      <c r="H100">
        <f>Calc!H24</f>
        <v/>
      </c>
      <c r="I100">
        <f>IF(Skills!T24&lt;&gt;"",1+(Skills!T24/10)*($Z$3/1000)/100,1)</f>
        <v/>
      </c>
      <c r="J100" t="inlineStr"/>
      <c r="K100" t="inlineStr"/>
      <c r="L100" t="inlineStr"/>
      <c r="M100" t="inlineStr"/>
      <c r="N100" t="inlineStr"/>
      <c r="O100" t="n">
        <v>0</v>
      </c>
      <c r="P100">
        <f>IF(B116=0,0,O100/B116)</f>
        <v/>
      </c>
      <c r="Q100">
        <f>IFERROR(1/IF(Inputs!$B$39="pvp",15,MAX(0.1,Skills!D24-IF(Skills!E24=TRUE,Inputs!$B$33,0))),0)</f>
        <v/>
      </c>
      <c r="R100" t="n">
        <v>0</v>
      </c>
    </row>
    <row r="101">
      <c r="A101">
        <f>Skills!A25</f>
        <v/>
      </c>
      <c r="B101">
        <f>Skills!B25</f>
        <v/>
      </c>
      <c r="C101">
        <f>Inputs!$B$3&gt;=74</f>
        <v/>
      </c>
      <c r="D101">
        <f>IF(Skills!C25=1,60+Inputs!$B$26+Inputs!$B$30,IF(Skills!C25=2,90+Inputs!$B$27+Inputs!$B$30,IF(Skills!C25=3,120+Inputs!$B$28+Inputs!$B$30,MAX(0,(Inputs!$B$3-100)*3)+Inputs!$B$29+Inputs!$B$30)))</f>
        <v/>
      </c>
      <c r="E101">
        <f>INDEX(FactorTable!$B$2:$Y$301, MATCH(ROUND(MIN(300,MAX(1,D101)),0), FactorTable!$A$2:$A$301,0), Skills!L25+1)</f>
        <v/>
      </c>
      <c r="F101">
        <f>IF(Skills!M25=TRUE,(Skills!K25/10)*(E101/1000),Skills!K25/10)+Skills!N25</f>
        <v/>
      </c>
      <c r="G101">
        <f>Calc!G25</f>
        <v/>
      </c>
      <c r="H101">
        <f>Calc!H25</f>
        <v/>
      </c>
      <c r="I101">
        <f>IF(Skills!T25&lt;&gt;"",1+(Skills!T25/10)*($Z$3/1000)/100,1)</f>
        <v/>
      </c>
      <c r="J101" t="inlineStr"/>
      <c r="K101" t="inlineStr"/>
      <c r="L101" t="inlineStr"/>
      <c r="M101" t="inlineStr"/>
      <c r="N101" t="inlineStr"/>
      <c r="O101" t="n">
        <v>0</v>
      </c>
      <c r="P101">
        <f>IF(B116=0,0,O101/B116)</f>
        <v/>
      </c>
      <c r="Q101">
        <f>IFERROR(1/IF(Inputs!$B$39="pvp",15,MAX(0.1,Skills!D25-IF(Skills!E25=TRUE,Inputs!$B$33,0))),0)</f>
        <v/>
      </c>
      <c r="R101" t="n">
        <v>0</v>
      </c>
    </row>
    <row r="102">
      <c r="A102">
        <f>Skills!A26</f>
        <v/>
      </c>
      <c r="B102">
        <f>Skills!B26</f>
        <v/>
      </c>
      <c r="C102">
        <f>Inputs!$B$3&gt;=117</f>
        <v/>
      </c>
      <c r="D102">
        <f>IF(Skills!C26=1,60+Inputs!$B$26+Inputs!$B$30,IF(Skills!C26=2,90+Inputs!$B$27+Inputs!$B$30,IF(Skills!C26=3,120+Inputs!$B$28+Inputs!$B$30,MAX(0,(Inputs!$B$3-100)*3)+Inputs!$B$29+Inputs!$B$30)))</f>
        <v/>
      </c>
      <c r="E102">
        <f>INDEX(FactorTable!$B$2:$Y$301, MATCH(ROUND(MIN(300,MAX(1,D102)),0), FactorTable!$A$2:$A$301,0), Skills!L26+1)</f>
        <v/>
      </c>
      <c r="F102">
        <f>IF(Skills!M26=TRUE,(Skills!K26/10)*(E102/1000),Skills!K26/10)+Skills!N26</f>
        <v/>
      </c>
      <c r="G102">
        <f>Calc!G26</f>
        <v/>
      </c>
      <c r="H102">
        <f>Calc!H26</f>
        <v/>
      </c>
      <c r="I102">
        <f>IF(Skills!T26&lt;&gt;"",1+(Skills!T26/10)*($Z$3/1000)/100,1)</f>
        <v/>
      </c>
      <c r="J102" t="inlineStr"/>
      <c r="K102" t="inlineStr"/>
      <c r="L102" t="inlineStr"/>
      <c r="M102" t="inlineStr"/>
      <c r="N102" t="inlineStr"/>
      <c r="O102" t="n">
        <v>0</v>
      </c>
      <c r="P102">
        <f>IF(B116=0,0,O102/B116)</f>
        <v/>
      </c>
      <c r="Q102">
        <f>IFERROR(1/IF(Inputs!$B$39="pvp",15,MAX(0.1,Skills!D26-IF(Skills!E26=TRUE,Inputs!$B$33,0))),0)</f>
        <v/>
      </c>
      <c r="R102" t="n">
        <v>0</v>
      </c>
    </row>
    <row r="103">
      <c r="A103">
        <f>Skills!A27</f>
        <v/>
      </c>
      <c r="B103">
        <f>Skills!B27</f>
        <v/>
      </c>
      <c r="C103">
        <f>Inputs!$B$3&gt;=120</f>
        <v/>
      </c>
      <c r="D103">
        <f>IF(Skills!C27=1,60+Inputs!$B$26+Inputs!$B$30,IF(Skills!C27=2,90+Inputs!$B$27+Inputs!$B$30,IF(Skills!C27=3,120+Inputs!$B$28+Inputs!$B$30,MAX(0,(Inputs!$B$3-100)*3)+Inputs!$B$29+Inputs!$B$30)))</f>
        <v/>
      </c>
      <c r="E103">
        <f>INDEX(FactorTable!$B$2:$Y$301, MATCH(ROUND(MIN(300,MAX(1,D103)),0), FactorTable!$A$2:$A$301,0), Skills!L27+1)</f>
        <v/>
      </c>
      <c r="F103">
        <f>IF(Skills!M27=TRUE,(Skills!K27/10)*(E103/1000),Skills!K27/10)+Skills!N27</f>
        <v/>
      </c>
      <c r="G103">
        <f>Calc!G27</f>
        <v/>
      </c>
      <c r="H103">
        <f>Calc!H27</f>
        <v/>
      </c>
      <c r="I103">
        <f>IF(Skills!T27&lt;&gt;"",1+(Skills!T27/10)*($Z$3/1000)/100,1)</f>
        <v/>
      </c>
      <c r="J103" t="inlineStr"/>
      <c r="K103" t="inlineStr"/>
      <c r="L103" t="inlineStr"/>
      <c r="M103" t="inlineStr"/>
      <c r="N103" t="inlineStr"/>
      <c r="O103" t="n">
        <v>0</v>
      </c>
      <c r="P103">
        <f>IF(B116=0,0,O103/B116)</f>
        <v/>
      </c>
      <c r="Q103">
        <f>IFERROR(1/IF(Inputs!$B$39="pvp",15,MAX(0.1,Skills!D27-IF(Skills!E27=TRUE,Inputs!$B$33,0))),0)</f>
        <v/>
      </c>
      <c r="R103" t="n">
        <v>0</v>
      </c>
    </row>
    <row r="105">
      <c r="A105" t="inlineStr">
        <is>
          <t>Average Buff Multiplier</t>
        </is>
      </c>
      <c r="B105">
        <f>(1+(IF(C79=TRUE,F79*IF(AND(Inputs!$B$39&lt;&gt;"pvp",Inputs!$B$44&gt;0),(((R79-1)*(Skills!S3*(1+(Inputs!$B$35+IF(Inputs!$B$3&gt;=117,F102,0))/100))+MIN((Skills!S3*(1+(Inputs!$B$35+IF(Inputs!$B$3&gt;=117,F102,0))/100)),MAX(0,Inputs!$B$44-((R79-1)*Skills!D3))))/Inputs!$B$44),IF(Inputs!$B$39="pvp",MIN((Skills!S3*(1+(Inputs!$B$35+IF(Inputs!$B$3&gt;=117,F102,0))/100)),15)/15,(Skills!S3*(1+(Inputs!$B$35+IF(Inputs!$B$3&gt;=117,F102,0))/100))/Skills!D3)),0)+IF(C80=TRUE,F80*IF(AND(Inputs!$B$39&lt;&gt;"pvp",Inputs!$B$44&gt;0),(((R80-1)*(Skills!S4*(1+(Inputs!$B$35+IF(Inputs!$B$3&gt;=117,F102,0))/100))+MIN((Skills!S4*(1+(Inputs!$B$35+IF(Inputs!$B$3&gt;=117,F102,0))/100)),MAX(0,Inputs!$B$44-((R80-1)*Skills!D4))))/Inputs!$B$44),IF(Inputs!$B$39="pvp",MIN((Skills!S4*(1+(Inputs!$B$35+IF(Inputs!$B$3&gt;=117,F102,0))/100)),15)/15,(Skills!S4*(1+(Inputs!$B$35+IF(Inputs!$B$3&gt;=117,F102,0))/100))/Skills!D4)),0)+IF(C81=TRUE,F81*IF(AND(Inputs!$B$39&lt;&gt;"pvp",Inputs!$B$44&gt;0),(((R81-1)*(Skills!S5*(1+(Inputs!$B$35+IF(Inputs!$B$3&gt;=117,F102,0))/100))+MIN((Skills!S5*(1+(Inputs!$B$35+IF(Inputs!$B$3&gt;=117,F102,0))/100)),MAX(0,Inputs!$B$44-((R81-1)*Skills!D5))))/Inputs!$B$44),IF(Inputs!$B$39="pvp",MIN((Skills!S5*(1+(Inputs!$B$35+IF(Inputs!$B$3&gt;=117,F102,0))/100)),15)/15,(Skills!S5*(1+(Inputs!$B$35+IF(Inputs!$B$3&gt;=117,F102,0))/100))/Skills!D5)),0)+IF(C87=TRUE,F87*IF(AND(Inputs!$B$39&lt;&gt;"pvp",Inputs!$B$44&gt;0),(((R87-1)*(Skills!S11*(1+(Inputs!$B$35+IF(Inputs!$B$3&gt;=117,F102,0))/100))+MIN((Skills!S11*(1+(Inputs!$B$35+IF(Inputs!$B$3&gt;=117,F102,0))/100)),MAX(0,Inputs!$B$44-((R87-1)*Skills!D11))))/Inputs!$B$44),IF(Inputs!$B$39="pvp",MIN((Skills!S11*(1+(Inputs!$B$35+IF(Inputs!$B$3&gt;=117,F102,0))/100)),15)/15,(Skills!S11*(1+(Inputs!$B$35+IF(Inputs!$B$3&gt;=117,F102,0))/100))/Skills!D11)),0))/100)*IF(C90=TRUE,(1+F90*IF(AND(Inputs!$B$39&lt;&gt;"pvp",Inputs!$B$44&gt;0),(((R90-1)*(Skills!S14*(1+(Inputs!$B$35+IF(Inputs!$B$3&gt;=117,F102,0))/100))+MIN((Skills!S14*(1+(Inputs!$B$35+IF(Inputs!$B$3&gt;=117,F102,0))/100)),MAX(0,Inputs!$B$44-((R90-1)*Skills!D14))))/Inputs!$B$44),IF(Inputs!$B$39="pvp",MIN((Skills!S14*(1+(Inputs!$B$35+IF(Inputs!$B$3&gt;=117,F102,0))/100)),15)/15,(Skills!S14*(1+(Inputs!$B$35+IF(Inputs!$B$3&gt;=117,F102,0))/100))/Skills!D14))/100),1)*IF(C95=TRUE,(1+F95*IF(AND(Inputs!$B$39&lt;&gt;"pvp",Inputs!$B$44&gt;0),(((R95-1)*(Skills!S19*(1+(Inputs!$B$35+IF(Inputs!$B$3&gt;=117,F102,0))/100))+MIN((Skills!S19*(1+(Inputs!$B$35+IF(Inputs!$B$3&gt;=117,F102,0))/100)),MAX(0,Inputs!$B$44-((R95-1)*Skills!D19))))/Inputs!$B$44),IF(Inputs!$B$39="pvp",MIN((Skills!S19*(1+(Inputs!$B$35+IF(Inputs!$B$3&gt;=117,F102,0))/100)),15)/15,(Skills!S19*(1+(Inputs!$B$35+IF(Inputs!$B$3&gt;=117,F102,0))/100))/Skills!D19))/100),1)</f>
        <v/>
      </c>
    </row>
    <row r="106">
      <c r="A106" t="inlineStr">
        <is>
          <t>Monster Damage Taken Bonus % (Holy Fountain)</t>
        </is>
      </c>
      <c r="B106">
        <f>IF(Inputs!$B$3&gt;=68,20*IF(Inputs!$B$39="pvp",MIN((15*(1+(Inputs!$B$35+IF(Inputs!$B$3&gt;=117,F102,0))/100)),15)/15,(15*(1+(Inputs!$B$35+IF(Inputs!$B$3&gt;=117,F102,0))/100))/Skills!D10),0)</f>
        <v/>
      </c>
    </row>
    <row r="107">
      <c r="A107" t="inlineStr">
        <is>
          <t>Normal Monster Damage Bonus % (Holy Symbol)</t>
        </is>
      </c>
      <c r="B107">
        <f>IF(C88=TRUE,F88*IF(AND(Inputs!$B$39&lt;&gt;"pvp",Inputs!$B$44&gt;0),(((R88-1)*(Skills!S12*(1+(Inputs!$B$35+IF(Inputs!$B$3&gt;=117,F102,0))/100))+MIN((Skills!S12*(1+(Inputs!$B$35+IF(Inputs!$B$3&gt;=117,F102,0))/100)),MAX(0,Inputs!$B$44-((R88-1)*Skills!D12))))/Inputs!$B$44),IF(Inputs!$B$39="pvp",MIN((Skills!S12*(1+(Inputs!$B$35+IF(Inputs!$B$3&gt;=117,F102,0))/100)),15)/15,(Skills!S12*(1+(Inputs!$B$35+IF(Inputs!$B$3&gt;=117,F102,0))/100))/Skills!D12)),0)</f>
        <v/>
      </c>
    </row>
    <row r="108">
      <c r="A108" t="inlineStr">
        <is>
          <t>Damage % Bonus (Holy Symbol - Damage Boost)</t>
        </is>
      </c>
      <c r="B108">
        <f>Skills!O12</f>
        <v/>
      </c>
    </row>
    <row r="109">
      <c r="A109" t="inlineStr">
        <is>
          <t>Crit Damage % Bonus (Blood of the Divine)</t>
        </is>
      </c>
      <c r="B109">
        <f>4*IF(C96=TRUE,F96,0)</f>
        <v/>
      </c>
    </row>
    <row r="110">
      <c r="A110" t="inlineStr">
        <is>
          <t>Attack Speed Bonus %</t>
        </is>
      </c>
      <c r="B110">
        <f>IF(C93=TRUE,F93+(F97-Calc!F21),0)+IF(Inputs!$B$3&gt;=134,15,0)</f>
        <v/>
      </c>
    </row>
    <row r="111">
      <c r="A111" t="inlineStr">
        <is>
          <t>Actions Per Second</t>
        </is>
      </c>
      <c r="B111">
        <f>1+MIN(150,150*(1-(1-Inputs!$B$12/150)*(1-B110/150)))/100</f>
        <v/>
      </c>
    </row>
    <row r="112">
      <c r="A112" t="inlineStr">
        <is>
          <t>Skill + Buff Cast Rate</t>
        </is>
      </c>
      <c r="B112">
        <f>IF(AND(Inputs!$B$39&lt;&gt;"pvp",Inputs!$B$44&gt;0),SUMPRODUCT((Skills!E2:E27=TRUE)*(C78:C103=TRUE)*R78:R103)/Inputs!$B$44,SUMPRODUCT((Skills!E2:E27=TRUE)*(C78:C103=TRUE)*Q78:Q103))</f>
        <v/>
      </c>
    </row>
    <row r="113">
      <c r="A113" t="inlineStr">
        <is>
          <t>Big Bang Casts Per Second</t>
        </is>
      </c>
      <c r="B113">
        <f>MAX(0,B111-B112)</f>
        <v/>
      </c>
    </row>
    <row r="114">
      <c r="A114" t="inlineStr">
        <is>
          <t>Defense % Bonus (Divine Protection)</t>
        </is>
      </c>
      <c r="B114">
        <f>IF(C89=TRUE,F89*IF(AND(Inputs!$B$39&lt;&gt;"pvp",Inputs!$B$44&gt;0),(((R89-1)*(Skills!S13*(1+(Inputs!$B$35+IF(Inputs!$B$3&gt;=117,F102,0))/100))+MIN((Skills!S13*(1+(Inputs!$B$35+IF(Inputs!$B$3&gt;=117,F102,0))/100)),MAX(0,Inputs!$B$44-((R89-1)*Skills!D13))))/Inputs!$B$44),IF(Inputs!$B$39="pvp",MIN((Skills!S13*(1+(Inputs!$B$35+IF(Inputs!$B$3&gt;=117,F102,0))/100)),15)/15,(Skills!S13*(1+(Inputs!$B$35+IF(Inputs!$B$3&gt;=117,F102,0))/100))/Skills!D13)),0)</f>
        <v/>
      </c>
    </row>
    <row r="115">
      <c r="A115" t="inlineStr">
        <is>
          <t>Buff-Casting Startup Delay (s, fixed-duration only)</t>
        </is>
      </c>
      <c r="B115">
        <f>IF(AND(Inputs!$B$39&lt;&gt;"pvp",Inputs!$B$44&gt;0),SUMPRODUCT((Skills!S2:S27&gt;0)*(Skills!E2:E27=TRUE)*(C78:C103=TRUE))/B111,0)</f>
        <v/>
      </c>
    </row>
    <row r="116">
      <c r="A116" s="5" t="inlineStr">
        <is>
          <t>TOTAL DPS</t>
        </is>
      </c>
      <c r="B116" s="5">
        <f>SUM(O78:O103)</f>
        <v/>
      </c>
    </row>
    <row r="118">
      <c r="A118" s="5" t="inlineStr">
        <is>
          <t>Stat: Defense (flat) — Invincible converts a level-scaling % (10%+) into INT</t>
        </is>
      </c>
    </row>
    <row r="119">
      <c r="A119" s="9" t="inlineStr">
        <is>
          <t>Key</t>
        </is>
      </c>
      <c r="B119" s="9" t="inlineStr">
        <is>
          <t>Name</t>
        </is>
      </c>
      <c r="C119" s="9" t="inlineStr">
        <is>
          <t>Unlocked</t>
        </is>
      </c>
      <c r="D119" s="9" t="inlineStr">
        <is>
          <t>InputLevel</t>
        </is>
      </c>
      <c r="E119" s="9" t="inlineStr">
        <is>
          <t>Factor</t>
        </is>
      </c>
      <c r="F119" s="9" t="inlineStr">
        <is>
          <t>CoefficientPercent</t>
        </is>
      </c>
      <c r="G119" s="9" t="inlineStr">
        <is>
          <t>EffectiveHits</t>
        </is>
      </c>
      <c r="H119" s="9" t="inlineStr">
        <is>
          <t>ProcProbability</t>
        </is>
      </c>
      <c r="I119" s="9" t="inlineStr">
        <is>
          <t>MapleHeroMultiplier</t>
        </is>
      </c>
      <c r="J119" s="9" t="inlineStr">
        <is>
          <t>BaseDamage</t>
        </is>
      </c>
      <c r="K119" s="9" t="inlineStr">
        <is>
          <t>BaseHitDamage</t>
        </is>
      </c>
      <c r="L119" s="9" t="inlineStr">
        <is>
          <t>NonCritAvg</t>
        </is>
      </c>
      <c r="M119" s="9" t="inlineStr">
        <is>
          <t>CritAvg</t>
        </is>
      </c>
      <c r="N119" s="9" t="inlineStr">
        <is>
          <t>ExpectedDamage(perHit)</t>
        </is>
      </c>
      <c r="O119" s="9" t="inlineStr">
        <is>
          <t>DPS</t>
        </is>
      </c>
      <c r="P119" s="9" t="inlineStr">
        <is>
          <t>% of Total</t>
        </is>
      </c>
      <c r="R119" t="inlineStr">
        <is>
          <t>helpers</t>
        </is>
      </c>
    </row>
    <row r="120">
      <c r="A120">
        <f>Skills!A2</f>
        <v/>
      </c>
      <c r="B120">
        <f>Skills!B2</f>
        <v/>
      </c>
      <c r="C120">
        <f>Inputs!$B$3&gt;=100</f>
        <v/>
      </c>
      <c r="D120" t="inlineStr"/>
      <c r="E120" t="inlineStr"/>
      <c r="F120">
        <f>T122+Skills!N2</f>
        <v/>
      </c>
      <c r="G120">
        <f>Calc!G2</f>
        <v/>
      </c>
      <c r="H120">
        <f>Calc!H2</f>
        <v/>
      </c>
      <c r="I120">
        <f>IF(Skills!T2&lt;&gt;"",1+(Skills!T2/10)*($Z$3/1000)/100,1)</f>
        <v/>
      </c>
      <c r="J120">
        <f>((Inputs!$B$6*(1+Inputs!$B$7/100))+(((Inputs!$B$13*(1+Inputs!$B$14/100))-(Inputs!$B$13*(1+Inputs!$B$14/100)))+0.25*(Inputs!$B$15-Inputs!$B$15))*(1+Inputs!$B$7/100))*(F120/100)</f>
        <v/>
      </c>
      <c r="K120">
        <f>J120*(1+(((Inputs!$B$13+IF(Inputs!$B$3&gt;=35,(10*INDEX(FactorTable!$B$2:$Y$301, MATCH(ROUND(MIN(300,MAX(1,Inputs!$B$3)),0), FactorTable!$A$2:$A$301,0), 23)/1000)/100*((Inputs!$B$8+1)*(1+(Inputs!$B$9+B156)/100)),0))*(1+Inputs!$B$14/100))*0.01+Inputs!$B$15*0.0025)/100)*(1+(Inputs!$B$16+B150)/100)*(1+IF(Inputs!$B$39="pvp",0,(1-Summary!$B$48)*(Inputs!$B$21+Skills!O2+B148)+Summary!$B$48*(Inputs!$B$22+Skills!P2+B149))/100)*(1+Inputs!$B$17/100)*(5000/(6000+Inputs!$B$43*(1-Inputs!$B$20/100)))*(1+Inputs!$B$25/100)*(1+IF(C136=TRUE,F136,0)/100)*(1+IF(C138=TRUE,F138,0)/100)*(1+IF(Skills!A2="TRIUMPH_FEATHER",IF(C134=TRUE,F134,0),0)/100)*(1+IF(C145=TRUE,F145,0)/100)^5*(1+(IF(Skills!A2="BIG_BANG",Inputs!$B$18,Inputs!$B$19))/100)*(B147*I120)</f>
        <v/>
      </c>
      <c r="L120">
        <f>K120*(MIN(Inputs!$B$23+(F140-Calc!F22),Inputs!$B$24)/100+Inputs!$B$24/100)/2</f>
        <v/>
      </c>
      <c r="M120">
        <f>L120*(1+(Inputs!$B$11+B151+(F143-Calc!F25))/100)</f>
        <v/>
      </c>
      <c r="N120">
        <f>L120*(1-MIN(Inputs!$B$10+((F142-Calc!F24)+(F141-Calc!F23)),100)/100)+M120*(MIN(Inputs!$B$10+((F142-Calc!F24)+(F141-Calc!F23)),100)/100)</f>
        <v/>
      </c>
      <c r="O120">
        <f>IF(C120,Skills!F2*N120*B155*IF(Inputs!$B$39="pvp",1,(1-Summary!$B$48)*(1)+Summary!$B$48*(MIN((6+Inputs!$B$34),Inputs!$B$38))),0)</f>
        <v/>
      </c>
      <c r="P120">
        <f>IF(B158=0,0,O120/B158)</f>
        <v/>
      </c>
      <c r="Q120">
        <f>IFERROR(1/IF(Inputs!$B$39="pvp",15,MAX(0.1,Skills!D2-IF(Skills!E2=TRUE,Inputs!$B$33,0))),0)</f>
        <v/>
      </c>
      <c r="R120" t="n">
        <v>0</v>
      </c>
      <c r="T120">
        <f>MAX(0,(Inputs!$B$3-100)*3)+Inputs!$B$29+Inputs!$B$30</f>
        <v/>
      </c>
    </row>
    <row r="121">
      <c r="A121">
        <f>Skills!A3</f>
        <v/>
      </c>
      <c r="B121">
        <f>Skills!B3</f>
        <v/>
      </c>
      <c r="C121">
        <f>Inputs!$B$3&gt;=15</f>
        <v/>
      </c>
      <c r="D121">
        <f>IF(Skills!C3=1,60+Inputs!$B$26+Inputs!$B$30,IF(Skills!C3=2,90+Inputs!$B$27+Inputs!$B$30,IF(Skills!C3=3,120+Inputs!$B$28+Inputs!$B$30,MAX(0,(Inputs!$B$3-100)*3)+Inputs!$B$29+Inputs!$B$30)))</f>
        <v/>
      </c>
      <c r="E121">
        <f>INDEX(FactorTable!$B$2:$Y$301, MATCH(ROUND(MIN(300,MAX(1,D121)),0), FactorTable!$A$2:$A$301,0), Skills!L3+1)</f>
        <v/>
      </c>
      <c r="F121">
        <f>IF(Skills!M3=TRUE,(Skills!K3/10)*(E121/1000),Skills!K3/10)+Skills!N3</f>
        <v/>
      </c>
      <c r="G121">
        <f>Calc!G3</f>
        <v/>
      </c>
      <c r="H121">
        <f>Calc!H3</f>
        <v/>
      </c>
      <c r="I121">
        <f>IF(Skills!T3&lt;&gt;"",1+(Skills!T3/10)*($Z$3/1000)/100,1)</f>
        <v/>
      </c>
      <c r="J121" t="inlineStr"/>
      <c r="K121" t="inlineStr"/>
      <c r="L121" t="inlineStr"/>
      <c r="M121" t="inlineStr"/>
      <c r="N121" t="inlineStr"/>
      <c r="O121" t="n">
        <v>0</v>
      </c>
      <c r="P121">
        <f>IF(B158=0,0,O121/B158)</f>
        <v/>
      </c>
      <c r="Q121">
        <f>IFERROR(1/IF(Inputs!$B$39="pvp",15,MAX(0.1,Skills!D3-IF(Skills!E3=TRUE,Inputs!$B$33,0))),0)</f>
        <v/>
      </c>
      <c r="R121">
        <f>IF(AND(Inputs!$B$39&lt;&gt;"pvp",Inputs!$B$44&gt;0),IF(Inputs!$B$44&lt;=0,0,(INT(Inputs!$B$44/IF(Inputs!$B$39="pvp",15,MAX(0.1,Skills!D3-IF(Skills!E3=TRUE,Inputs!$B$33,0))))+1)),0)</f>
        <v/>
      </c>
      <c r="T121">
        <f>INDEX(FactorTable!$B$2:$Y$301, MATCH(ROUND(MIN(300,MAX(1,T120)),0), FactorTable!$A$2:$A$301,0), 22)</f>
        <v/>
      </c>
    </row>
    <row r="122">
      <c r="A122">
        <f>Skills!A4</f>
        <v/>
      </c>
      <c r="B122">
        <f>Skills!B4</f>
        <v/>
      </c>
      <c r="C122">
        <f>Inputs!$B$3&gt;=38</f>
        <v/>
      </c>
      <c r="D122">
        <f>IF(Skills!C4=1,60+Inputs!$B$26+Inputs!$B$30,IF(Skills!C4=2,90+Inputs!$B$27+Inputs!$B$30,IF(Skills!C4=3,120+Inputs!$B$28+Inputs!$B$30,MAX(0,(Inputs!$B$3-100)*3)+Inputs!$B$29+Inputs!$B$30)))</f>
        <v/>
      </c>
      <c r="E122">
        <f>INDEX(FactorTable!$B$2:$Y$301, MATCH(ROUND(MIN(300,MAX(1,D122)),0), FactorTable!$A$2:$A$301,0), Skills!L4+1)</f>
        <v/>
      </c>
      <c r="F122">
        <f>IF(Skills!M4=TRUE,(Skills!K4/10)*(E122/1000),Skills!K4/10)+Skills!N4</f>
        <v/>
      </c>
      <c r="G122">
        <f>Calc!G4</f>
        <v/>
      </c>
      <c r="H122">
        <f>Calc!H4</f>
        <v/>
      </c>
      <c r="I122">
        <f>IF(Skills!T4&lt;&gt;"",1+(Skills!T4/10)*($Z$3/1000)/100,1)</f>
        <v/>
      </c>
      <c r="J122" t="inlineStr"/>
      <c r="K122" t="inlineStr"/>
      <c r="L122" t="inlineStr"/>
      <c r="M122" t="inlineStr"/>
      <c r="N122" t="inlineStr"/>
      <c r="O122" t="n">
        <v>0</v>
      </c>
      <c r="P122">
        <f>IF(B158=0,0,O122/B158)</f>
        <v/>
      </c>
      <c r="Q122">
        <f>IFERROR(1/IF(Inputs!$B$39="pvp",15,MAX(0.1,Skills!D4-IF(Skills!E4=TRUE,Inputs!$B$33,0))),0)</f>
        <v/>
      </c>
      <c r="R122">
        <f>IF(AND(Inputs!$B$39&lt;&gt;"pvp",Inputs!$B$44&gt;0),IF(Inputs!$B$44&lt;=0,0,(INT(Inputs!$B$44/IF(Inputs!$B$39="pvp",15,MAX(0.1,Skills!D4-IF(Skills!E4=TRUE,Inputs!$B$33,0))))+1)),0)</f>
        <v/>
      </c>
      <c r="T122">
        <f>290*T121/1000</f>
        <v/>
      </c>
    </row>
    <row r="123">
      <c r="A123">
        <f>Skills!A5</f>
        <v/>
      </c>
      <c r="B123">
        <f>Skills!B5</f>
        <v/>
      </c>
      <c r="C123">
        <f>Inputs!$B$3&gt;=40</f>
        <v/>
      </c>
      <c r="D123">
        <f>IF(Skills!C5=1,60+Inputs!$B$26+Inputs!$B$30,IF(Skills!C5=2,90+Inputs!$B$27+Inputs!$B$30,IF(Skills!C5=3,120+Inputs!$B$28+Inputs!$B$30,MAX(0,(Inputs!$B$3-100)*3)+Inputs!$B$29+Inputs!$B$30)))</f>
        <v/>
      </c>
      <c r="E123">
        <f>INDEX(FactorTable!$B$2:$Y$301, MATCH(ROUND(MIN(300,MAX(1,D123)),0), FactorTable!$A$2:$A$301,0), Skills!L5+1)</f>
        <v/>
      </c>
      <c r="F123">
        <f>IF(Skills!M5=TRUE,(Skills!K5/10)*(E123/1000),Skills!K5/10)+Skills!N5</f>
        <v/>
      </c>
      <c r="G123">
        <f>Calc!G5</f>
        <v/>
      </c>
      <c r="H123">
        <f>Calc!H5</f>
        <v/>
      </c>
      <c r="I123">
        <f>IF(Skills!T5&lt;&gt;"",1+(Skills!T5/10)*($Z$3/1000)/100,1)</f>
        <v/>
      </c>
      <c r="J123" t="inlineStr"/>
      <c r="K123" t="inlineStr"/>
      <c r="L123" t="inlineStr"/>
      <c r="M123" t="inlineStr"/>
      <c r="N123" t="inlineStr"/>
      <c r="O123" t="n">
        <v>0</v>
      </c>
      <c r="P123">
        <f>IF(B158=0,0,O123/B158)</f>
        <v/>
      </c>
      <c r="Q123">
        <f>IFERROR(1/IF(Inputs!$B$39="pvp",15,MAX(0.1,Skills!D5-IF(Skills!E5=TRUE,Inputs!$B$33,0))),0)</f>
        <v/>
      </c>
      <c r="R123">
        <f>IF(AND(Inputs!$B$39&lt;&gt;"pvp",Inputs!$B$44&gt;0),IF(Inputs!$B$44&lt;=0,0,(INT(Inputs!$B$44/IF(Inputs!$B$39="pvp",15,MAX(0.1,Skills!D5-IF(Skills!E5=TRUE,Inputs!$B$33,0))))+1)),0)</f>
        <v/>
      </c>
    </row>
    <row r="124">
      <c r="A124">
        <f>Skills!A6</f>
        <v/>
      </c>
      <c r="B124">
        <f>Skills!B6</f>
        <v/>
      </c>
      <c r="C124">
        <f>Inputs!$B$3&gt;=103</f>
        <v/>
      </c>
      <c r="D124">
        <f>IF(Skills!C6=1,60+Inputs!$B$26+Inputs!$B$30,IF(Skills!C6=2,90+Inputs!$B$27+Inputs!$B$30,IF(Skills!C6=3,120+Inputs!$B$28+Inputs!$B$30,MAX(0,(Inputs!$B$3-100)*3)+Inputs!$B$29+Inputs!$B$30)))</f>
        <v/>
      </c>
      <c r="E124">
        <f>INDEX(FactorTable!$B$2:$Y$301, MATCH(ROUND(MIN(300,MAX(1,D124)),0), FactorTable!$A$2:$A$301,0), Skills!L6+1)</f>
        <v/>
      </c>
      <c r="F124">
        <f>IF(Skills!M6=TRUE,(Skills!K6/10)*(E124/1000),Skills!K6/10)+Skills!N6</f>
        <v/>
      </c>
      <c r="G124">
        <f>Calc!G6</f>
        <v/>
      </c>
      <c r="H124">
        <f>Calc!H6</f>
        <v/>
      </c>
      <c r="I124">
        <f>IF(Skills!T6&lt;&gt;"",1+(Skills!T6/10)*($Z$3/1000)/100,1)</f>
        <v/>
      </c>
      <c r="J124">
        <f>((Inputs!$B$6*(1+Inputs!$B$7/100))+(((Inputs!$B$13*(1+Inputs!$B$14/100))-(Inputs!$B$13*(1+Inputs!$B$14/100)))+0.25*(Inputs!$B$15-Inputs!$B$15))*(1+Inputs!$B$7/100))*(F124/100)</f>
        <v/>
      </c>
      <c r="K124">
        <f>J124*(1+(((Inputs!$B$13+IF(Inputs!$B$3&gt;=35,(10*INDEX(FactorTable!$B$2:$Y$301, MATCH(ROUND(MIN(300,MAX(1,Inputs!$B$3)),0), FactorTable!$A$2:$A$301,0), 23)/1000)/100*((Inputs!$B$8+1)*(1+(Inputs!$B$9+B156)/100)),0))*(1+Inputs!$B$14/100))*0.01+Inputs!$B$15*0.0025)/100)*(1+(Inputs!$B$16+B150)/100)*(1+IF(Inputs!$B$39="pvp",0,(1-Summary!$B$48)*(Inputs!$B$21+Skills!O6+B148)+Summary!$B$48*(Inputs!$B$22+Skills!P6+B149))/100)*(1+Inputs!$B$17/100)*(5000/(6000+Inputs!$B$43*(1-Inputs!$B$20/100)))*(1+Inputs!$B$25/100)*(1+IF(C136=TRUE,F136,0)/100)*(1+IF(C138=TRUE,F138,0)/100)*(1+IF(Skills!A6="TRIUMPH_FEATHER",IF(C134=TRUE,F134,0),0)/100)*(1+IF(C145=TRUE,F145,0)/100)^5*(1+(IF(Skills!A6="BIG_BANG",Inputs!$B$18,Inputs!$B$19))/100)*(B147*I124)</f>
        <v/>
      </c>
      <c r="L124">
        <f>K124*(MIN(Inputs!$B$23+(F140-Calc!F22),Inputs!$B$24)/100+Inputs!$B$24/100)/2</f>
        <v/>
      </c>
      <c r="M124">
        <f>L124*(1+(Inputs!$B$11+B151+(F143-Calc!F25))/100)</f>
        <v/>
      </c>
      <c r="N124">
        <f>L124*(1-MIN(Inputs!$B$10+((F142-Calc!F24)+(F141-Calc!F23)),100)/100)+M124*(MIN(Inputs!$B$10+((F142-Calc!F24)+(F141-Calc!F23)),100)/100)</f>
        <v/>
      </c>
      <c r="O124">
        <f>IF(C124,H124*N124*IF(AND(Inputs!$B$39&lt;&gt;"pvp",Inputs!$B$44&gt;0),((Skills!F6*((R124-1)*IF(Skills!G6&gt;0,Skills!H6/Skills!G6,1)+IF(Skills!G6&gt;0,MIN(Skills!H6,MAX(0,MAX(0,Inputs!$B$44-B157)-((R124-1)*IF(Inputs!$B$39="pvp",15,MAX(0.1,Skills!D6-IF(Skills!E6=TRUE,Inputs!$B$33,0))))))/Skills!G6,1)))/Inputs!$B$44),G124*Q124)*IF(Inputs!$B$39="pvp",1,(1-Summary!$B$48)*(1)+Summary!$B$48*(MIN(Skills!Q6,Inputs!$B$38))),0)</f>
        <v/>
      </c>
      <c r="P124">
        <f>IF(B158=0,0,O124/B158)</f>
        <v/>
      </c>
      <c r="Q124">
        <f>IFERROR(1/IF(Inputs!$B$39="pvp",15,MAX(0.1,Skills!D6-IF(Skills!E6=TRUE,Inputs!$B$33,0))),0)</f>
        <v/>
      </c>
      <c r="R124">
        <f>IF(AND(Inputs!$B$39&lt;&gt;"pvp",Inputs!$B$44&gt;0),IF(MAX(0,Inputs!$B$44-B157)&lt;=0,0,(INT(MAX(0,Inputs!$B$44-B157)/IF(Inputs!$B$39="pvp",15,MAX(0.1,Skills!D6-IF(Skills!E6=TRUE,Inputs!$B$33,0))))+1)),0)</f>
        <v/>
      </c>
    </row>
    <row r="125">
      <c r="A125">
        <f>Skills!A7</f>
        <v/>
      </c>
      <c r="B125">
        <f>Skills!B7</f>
        <v/>
      </c>
      <c r="C125">
        <f>Inputs!$B$3&gt;=122</f>
        <v/>
      </c>
      <c r="D125">
        <f>IF(Skills!C7=1,60+Inputs!$B$26+Inputs!$B$30,IF(Skills!C7=2,90+Inputs!$B$27+Inputs!$B$30,IF(Skills!C7=3,120+Inputs!$B$28+Inputs!$B$30,MAX(0,(Inputs!$B$3-100)*3)+Inputs!$B$29+Inputs!$B$30)))</f>
        <v/>
      </c>
      <c r="E125">
        <f>INDEX(FactorTable!$B$2:$Y$301, MATCH(ROUND(MIN(300,MAX(1,D125)),0), FactorTable!$A$2:$A$301,0), Skills!L7+1)</f>
        <v/>
      </c>
      <c r="F125">
        <f>IF(Skills!M7=TRUE,(Skills!K7/10)*(E125/1000),Skills!K7/10)+Skills!N7</f>
        <v/>
      </c>
      <c r="G125">
        <f>Calc!G7</f>
        <v/>
      </c>
      <c r="H125">
        <f>Calc!H7</f>
        <v/>
      </c>
      <c r="I125">
        <f>IF(Skills!T7&lt;&gt;"",1+(Skills!T7/10)*($Z$3/1000)/100,1)</f>
        <v/>
      </c>
      <c r="J125">
        <f>((Inputs!$B$6*(1+Inputs!$B$7/100))+(((Inputs!$B$13*(1+Inputs!$B$14/100))-(Inputs!$B$13*(1+Inputs!$B$14/100)))+0.25*(Inputs!$B$15-Inputs!$B$15))*(1+Inputs!$B$7/100))*(F125/100)</f>
        <v/>
      </c>
      <c r="K125">
        <f>J125*(1+(((Inputs!$B$13+IF(Inputs!$B$3&gt;=35,(10*INDEX(FactorTable!$B$2:$Y$301, MATCH(ROUND(MIN(300,MAX(1,Inputs!$B$3)),0), FactorTable!$A$2:$A$301,0), 23)/1000)/100*((Inputs!$B$8+1)*(1+(Inputs!$B$9+B156)/100)),0))*(1+Inputs!$B$14/100))*0.01+Inputs!$B$15*0.0025)/100)*(1+(Inputs!$B$16+B150)/100)*(1+IF(Inputs!$B$39="pvp",0,(1-Summary!$B$48)*(Inputs!$B$21+Skills!O7+B148)+Summary!$B$48*(Inputs!$B$22+Skills!P7+B149))/100)*(1+Inputs!$B$17/100)*(5000/(6000+Inputs!$B$43*(1-Inputs!$B$20/100)))*(1+Inputs!$B$25/100)*(1+IF(C136=TRUE,F136,0)/100)*(1+IF(C138=TRUE,F138,0)/100)*(1+IF(Skills!A7="TRIUMPH_FEATHER",IF(C134=TRUE,F134,0),0)/100)*(1+IF(C145=TRUE,F145,0)/100)^5*(1+(IF(Skills!A7="BIG_BANG",Inputs!$B$18,Inputs!$B$19))/100)*(B147*I125)</f>
        <v/>
      </c>
      <c r="L125">
        <f>K125*(MIN(Inputs!$B$23+(F140-Calc!F22),Inputs!$B$24)/100+Inputs!$B$24/100)/2</f>
        <v/>
      </c>
      <c r="M125">
        <f>L125*(1+(Inputs!$B$11+B151+(F143-Calc!F25))/100)</f>
        <v/>
      </c>
      <c r="N125">
        <f>L125*(1-MIN(Inputs!$B$10+((F142-Calc!F24)+(F141-Calc!F23)),100)/100)+M125*(MIN(Inputs!$B$10+((F142-Calc!F24)+(F141-Calc!F23)),100)/100)</f>
        <v/>
      </c>
      <c r="O125">
        <f>IF(C125,H125*N125*IF(AND(Inputs!$B$39&lt;&gt;"pvp",Inputs!$B$44&gt;0),((Skills!F7*((R125-1)*IF(Skills!G7&gt;0,Skills!H7/Skills!G7,1)+IF(Skills!G7&gt;0,MIN(Skills!H7,MAX(0,MAX(0,Inputs!$B$44-B157)-((R125-1)*IF(Inputs!$B$39="pvp",15,MAX(0.1,Skills!D7-IF(Skills!E6=TRUE,Inputs!$B$33,0))))))/Skills!G7,1)))/Inputs!$B$44),G125*Q125)*(1-Summary!$B$48),0)</f>
        <v/>
      </c>
      <c r="P125">
        <f>IF(B158=0,0,O125/B158)</f>
        <v/>
      </c>
      <c r="Q125">
        <f>IFERROR(1/IF(Inputs!$B$39="pvp",15,MAX(0.1,Skills!D7-IF(Skills!E6=TRUE,Inputs!$B$33,0))),0)</f>
        <v/>
      </c>
      <c r="R125">
        <f>IF(AND(Inputs!$B$39&lt;&gt;"pvp",Inputs!$B$44&gt;0),IF(MAX(0,Inputs!$B$44-B157)&lt;=0,0,(INT(MAX(0,Inputs!$B$44-B157)/IF(Inputs!$B$39="pvp",15,MAX(0.1,Skills!D7-IF(Skills!E6=TRUE,Inputs!$B$33,0))))+1)),0)</f>
        <v/>
      </c>
    </row>
    <row r="126">
      <c r="A126">
        <f>Skills!A8</f>
        <v/>
      </c>
      <c r="B126">
        <f>Skills!B8</f>
        <v/>
      </c>
      <c r="C126">
        <f>Inputs!$B$3&gt;=105</f>
        <v/>
      </c>
      <c r="D126">
        <f>IF(Skills!C8=1,60+Inputs!$B$26+Inputs!$B$30,IF(Skills!C8=2,90+Inputs!$B$27+Inputs!$B$30,IF(Skills!C8=3,120+Inputs!$B$28+Inputs!$B$30,MAX(0,(Inputs!$B$3-100)*3)+Inputs!$B$29+Inputs!$B$30)))</f>
        <v/>
      </c>
      <c r="E126">
        <f>INDEX(FactorTable!$B$2:$Y$301, MATCH(ROUND(MIN(300,MAX(1,D126)),0), FactorTable!$A$2:$A$301,0), Skills!L8+1)</f>
        <v/>
      </c>
      <c r="F126">
        <f>IF(Skills!M8=TRUE,(Skills!K8/10)*(E126/1000),Skills!K8/10)+Skills!N8</f>
        <v/>
      </c>
      <c r="G126">
        <f>Calc!G8</f>
        <v/>
      </c>
      <c r="H126">
        <f>Calc!H8</f>
        <v/>
      </c>
      <c r="I126">
        <f>IF(Skills!T8&lt;&gt;"",1+(Skills!T8/10)*($Z$3/1000)/100,1)</f>
        <v/>
      </c>
      <c r="J126">
        <f>((Inputs!$B$6*(1+Inputs!$B$7/100))+(((Inputs!$B$13*(1+Inputs!$B$14/100))-(Inputs!$B$13*(1+Inputs!$B$14/100)))+0.25*(Inputs!$B$15-Inputs!$B$15))*(1+Inputs!$B$7/100))*(F126/100)</f>
        <v/>
      </c>
      <c r="K126">
        <f>J126*(1+(((Inputs!$B$13+IF(Inputs!$B$3&gt;=35,(10*INDEX(FactorTable!$B$2:$Y$301, MATCH(ROUND(MIN(300,MAX(1,Inputs!$B$3)),0), FactorTable!$A$2:$A$301,0), 23)/1000)/100*((Inputs!$B$8+1)*(1+(Inputs!$B$9+B156)/100)),0))*(1+Inputs!$B$14/100))*0.01+Inputs!$B$15*0.0025)/100)*(1+(Inputs!$B$16+B150)/100)*(1+IF(Inputs!$B$39="pvp",0,(1-Summary!$B$48)*(Inputs!$B$21+Skills!O8+B148)+Summary!$B$48*(Inputs!$B$22+Skills!P8+B149))/100)*(1+Inputs!$B$17/100)*(5000/(6000+Inputs!$B$43*(1-Inputs!$B$20/100)))*(1+Inputs!$B$25/100)*(1+IF(C136=TRUE,F136,0)/100)*(1+IF(C138=TRUE,F138,0)/100)*(1+IF(Skills!A8="TRIUMPH_FEATHER",IF(C134=TRUE,F134,0),0)/100)*(1+IF(C145=TRUE,F145,0)/100)^5*(1+(IF(Skills!A8="BIG_BANG",Inputs!$B$18,Inputs!$B$19))/100)*(B147*I126)</f>
        <v/>
      </c>
      <c r="L126">
        <f>K126*(MIN(Inputs!$B$23+(F140-Calc!F22),Inputs!$B$24)/100+Inputs!$B$24/100)/2</f>
        <v/>
      </c>
      <c r="M126">
        <f>L126*(1+(Inputs!$B$11+B151+(F143-Calc!F25))/100)</f>
        <v/>
      </c>
      <c r="N126">
        <f>L126*(1-MIN(Inputs!$B$10+((F142-Calc!F24)+(F141-Calc!F23)),100)/100)+M126*(MIN(Inputs!$B$10+((F142-Calc!F24)+(F141-Calc!F23)),100)/100)</f>
        <v/>
      </c>
      <c r="O126">
        <f>IF(C126,H126*N126*IF(AND(Inputs!$B$39&lt;&gt;"pvp",Inputs!$B$44&gt;0),((Skills!F8*((R126-1)*IF(Skills!G8&gt;0,Skills!H8/Skills!G8,1)+IF(Skills!G8&gt;0,MIN(Skills!H8,MAX(0,MAX(0,Inputs!$B$44-B157)-((R126-1)*IF(Inputs!$B$39="pvp",15,MAX(0.1,Skills!D8-IF(Skills!E8=TRUE,Inputs!$B$33,0))))))/Skills!G8,1)))/Inputs!$B$44),G126*Q126)*IF(Inputs!$B$39="pvp",1,(1-Summary!$B$48)*(1)+Summary!$B$48*(MIN(Skills!Q8,Inputs!$B$38))),0)</f>
        <v/>
      </c>
      <c r="P126">
        <f>IF(B158=0,0,O126/B158)</f>
        <v/>
      </c>
      <c r="Q126">
        <f>IFERROR(1/IF(Inputs!$B$39="pvp",15,MAX(0.1,Skills!D8-IF(Skills!E8=TRUE,Inputs!$B$33,0))),0)</f>
        <v/>
      </c>
      <c r="R126">
        <f>IF(AND(Inputs!$B$39&lt;&gt;"pvp",Inputs!$B$44&gt;0),IF(MAX(0,Inputs!$B$44-B157)&lt;=0,0,(INT(MAX(0,Inputs!$B$44-B157)/IF(Inputs!$B$39="pvp",15,MAX(0.1,Skills!D8-IF(Skills!E8=TRUE,Inputs!$B$33,0))))+1)),0)</f>
        <v/>
      </c>
    </row>
    <row r="127">
      <c r="A127">
        <f>Skills!A9</f>
        <v/>
      </c>
      <c r="B127">
        <f>Skills!B9</f>
        <v/>
      </c>
      <c r="C127">
        <f>Inputs!$B$3&gt;=115</f>
        <v/>
      </c>
      <c r="D127">
        <f>IF(Skills!C9=1,60+Inputs!$B$26+Inputs!$B$30,IF(Skills!C9=2,90+Inputs!$B$27+Inputs!$B$30,IF(Skills!C9=3,120+Inputs!$B$28+Inputs!$B$30,MAX(0,(Inputs!$B$3-100)*3)+Inputs!$B$29+Inputs!$B$30)))</f>
        <v/>
      </c>
      <c r="E127">
        <f>INDEX(FactorTable!$B$2:$Y$301, MATCH(ROUND(MIN(300,MAX(1,D127)),0), FactorTable!$A$2:$A$301,0), Skills!L9+1)</f>
        <v/>
      </c>
      <c r="F127">
        <f>IF(Skills!M9=TRUE,(Skills!K9/10)*(E127/1000),Skills!K9/10)+Skills!N9</f>
        <v/>
      </c>
      <c r="G127">
        <f>Calc!G9</f>
        <v/>
      </c>
      <c r="H127">
        <f>Calc!H9</f>
        <v/>
      </c>
      <c r="I127">
        <f>IF(Skills!T9&lt;&gt;"",1+(Skills!T9/10)*($Z$3/1000)/100,1)</f>
        <v/>
      </c>
      <c r="J127">
        <f>((Inputs!$B$6*(1+Inputs!$B$7/100))+(((Inputs!$B$13*(1+Inputs!$B$14/100))-(Inputs!$B$13*(1+Inputs!$B$14/100)))+0.25*(Inputs!$B$15-Inputs!$B$15))*(1+Inputs!$B$7/100))*(F127/100)</f>
        <v/>
      </c>
      <c r="K127">
        <f>J127*(1+(((Inputs!$B$13+IF(Inputs!$B$3&gt;=35,(10*INDEX(FactorTable!$B$2:$Y$301, MATCH(ROUND(MIN(300,MAX(1,Inputs!$B$3)),0), FactorTable!$A$2:$A$301,0), 23)/1000)/100*((Inputs!$B$8+1)*(1+(Inputs!$B$9+B156)/100)),0))*(1+Inputs!$B$14/100))*0.01+Inputs!$B$15*0.0025)/100)*(1+(Inputs!$B$16+B150)/100)*(1+IF(Inputs!$B$39="pvp",0,(1-Summary!$B$48)*(Inputs!$B$21+Skills!O9+B148)+Summary!$B$48*(Inputs!$B$22+Skills!P9+B149))/100)*(1+Inputs!$B$17/100)*(5000/(6000+Inputs!$B$43*(1-Inputs!$B$20/100)))*(1+Inputs!$B$25/100)*(1+IF(C136=TRUE,F136,0)/100)*(1+IF(C138=TRUE,F138,0)/100)*(1+IF(Skills!A9="TRIUMPH_FEATHER",IF(C134=TRUE,F134,0),0)/100)*(1+IF(C145=TRUE,F145,0)/100)^5*(1+(IF(Skills!A9="BIG_BANG",Inputs!$B$18,Inputs!$B$19))/100)*(B147*I127)</f>
        <v/>
      </c>
      <c r="L127">
        <f>K127*(MIN(Inputs!$B$23+(F140-Calc!F22),Inputs!$B$24)/100+Inputs!$B$24/100)/2</f>
        <v/>
      </c>
      <c r="M127">
        <f>L127*(1+(Inputs!$B$11+B151+(F143-Calc!F25))/100)</f>
        <v/>
      </c>
      <c r="N127">
        <f>L127*(1-MIN(Inputs!$B$10+((F142-Calc!F24)+(F141-Calc!F23)),100)/100)+M127*(MIN(Inputs!$B$10+((F142-Calc!F24)+(F141-Calc!F23)),100)/100)</f>
        <v/>
      </c>
      <c r="O127">
        <f>IF(C127,H127*N127*IF(AND(Inputs!$B$39&lt;&gt;"pvp",Inputs!$B$44&gt;0),((Skills!F9*((R127-1)*IF(Skills!G9&gt;0,Skills!H9/Skills!G9,1)+IF(Skills!G9&gt;0,MIN(Skills!H9,MAX(0,MAX(0,Inputs!$B$44-B157)-((R127-1)*IF(Inputs!$B$39="pvp",15,MAX(0.1,Skills!D9-IF(Skills!E9=TRUE,Inputs!$B$33,0))))))/Skills!G9,1)))/Inputs!$B$44),G127*Q127)*IF(Inputs!$B$39="pvp",1,(1-Summary!$B$48)*(1)+Summary!$B$48*(MIN(Skills!Q9,Inputs!$B$38))),0)</f>
        <v/>
      </c>
      <c r="P127">
        <f>IF(B158=0,0,O127/B158)</f>
        <v/>
      </c>
      <c r="Q127">
        <f>IFERROR(1/IF(Inputs!$B$39="pvp",15,MAX(0.1,Skills!D9-IF(Skills!E9=TRUE,Inputs!$B$33,0))),0)</f>
        <v/>
      </c>
      <c r="R127">
        <f>IF(AND(Inputs!$B$39&lt;&gt;"pvp",Inputs!$B$44&gt;0),IF(MAX(0,Inputs!$B$44-B157)&lt;=0,0,(INT(MAX(0,Inputs!$B$44-B157)/IF(Inputs!$B$39="pvp",15,MAX(0.1,Skills!D9-IF(Skills!E9=TRUE,Inputs!$B$33,0))))+1)),0)</f>
        <v/>
      </c>
    </row>
    <row r="128">
      <c r="A128">
        <f>Skills!A10</f>
        <v/>
      </c>
      <c r="B128">
        <f>Skills!B10</f>
        <v/>
      </c>
      <c r="C128">
        <f>Inputs!$B$3&gt;=66</f>
        <v/>
      </c>
      <c r="D128">
        <f>IF(Skills!C10=1,60+Inputs!$B$26+Inputs!$B$30,IF(Skills!C10=2,90+Inputs!$B$27+Inputs!$B$30,IF(Skills!C10=3,120+Inputs!$B$28+Inputs!$B$30,MAX(0,(Inputs!$B$3-100)*3)+Inputs!$B$29+Inputs!$B$30)))</f>
        <v/>
      </c>
      <c r="E128">
        <f>INDEX(FactorTable!$B$2:$Y$301, MATCH(ROUND(MIN(300,MAX(1,D128)),0), FactorTable!$A$2:$A$301,0), Skills!L10+1)</f>
        <v/>
      </c>
      <c r="F128" t="n">
        <v>0</v>
      </c>
      <c r="G128">
        <f>Calc!G10</f>
        <v/>
      </c>
      <c r="H128">
        <f>Calc!H10</f>
        <v/>
      </c>
      <c r="I128">
        <f>IF(Skills!T10&lt;&gt;"",1+(Skills!T10/10)*($Z$3/1000)/100,1)</f>
        <v/>
      </c>
      <c r="J128" t="inlineStr"/>
      <c r="K128" t="inlineStr"/>
      <c r="L128" t="inlineStr"/>
      <c r="M128" t="inlineStr"/>
      <c r="N128" t="inlineStr"/>
      <c r="O128" t="n">
        <v>0</v>
      </c>
      <c r="P128">
        <f>IF(B158=0,0,O128/B158)</f>
        <v/>
      </c>
      <c r="Q128">
        <f>IFERROR(1/IF(Inputs!$B$39="pvp",15,MAX(0.1,Skills!D10-IF(Skills!E10=TRUE,Inputs!$B$33,0))),0)</f>
        <v/>
      </c>
      <c r="R128">
        <f>IF(AND(Inputs!$B$39&lt;&gt;"pvp",Inputs!$B$44&gt;0),IF(MAX(0,Inputs!$B$44-B157)&lt;=0,0,(INT(MAX(0,Inputs!$B$44-B157)/IF(Inputs!$B$39="pvp",15,MAX(0.1,Skills!D10-IF(Skills!E10=TRUE,Inputs!$B$33,0))))+1)),0)</f>
        <v/>
      </c>
    </row>
    <row r="129">
      <c r="A129">
        <f>Skills!A11</f>
        <v/>
      </c>
      <c r="B129">
        <f>Skills!B11</f>
        <v/>
      </c>
      <c r="C129">
        <f>Inputs!$B$3&gt;=69</f>
        <v/>
      </c>
      <c r="D129">
        <f>IF(Skills!C11=1,60+Inputs!$B$26+Inputs!$B$30,IF(Skills!C11=2,90+Inputs!$B$27+Inputs!$B$30,IF(Skills!C11=3,120+Inputs!$B$28+Inputs!$B$30,MAX(0,(Inputs!$B$3-100)*3)+Inputs!$B$29+Inputs!$B$30)))</f>
        <v/>
      </c>
      <c r="E129">
        <f>INDEX(FactorTable!$B$2:$Y$301, MATCH(ROUND(MIN(300,MAX(1,D129)),0), FactorTable!$A$2:$A$301,0), Skills!L11+1)</f>
        <v/>
      </c>
      <c r="F129">
        <f>IF(Skills!M11=TRUE,(Skills!K11/10)*(E129/1000),Skills!K11/10)+Skills!N11</f>
        <v/>
      </c>
      <c r="G129">
        <f>Calc!G11</f>
        <v/>
      </c>
      <c r="H129">
        <f>Calc!H11</f>
        <v/>
      </c>
      <c r="I129">
        <f>IF(Skills!T11&lt;&gt;"",1+(Skills!T11/10)*($Z$3/1000)/100,1)</f>
        <v/>
      </c>
      <c r="J129" t="inlineStr"/>
      <c r="K129" t="inlineStr"/>
      <c r="L129" t="inlineStr"/>
      <c r="M129" t="inlineStr"/>
      <c r="N129" t="inlineStr"/>
      <c r="O129" t="n">
        <v>0</v>
      </c>
      <c r="P129">
        <f>IF(B158=0,0,O129/B158)</f>
        <v/>
      </c>
      <c r="Q129">
        <f>IFERROR(1/IF(Inputs!$B$39="pvp",15,MAX(0.1,Skills!D11-IF(Skills!E11=TRUE,Inputs!$B$33,0))),0)</f>
        <v/>
      </c>
      <c r="R129">
        <f>IF(AND(Inputs!$B$39&lt;&gt;"pvp",Inputs!$B$44&gt;0),IF(Inputs!$B$44&lt;=0,0,(INT(Inputs!$B$44/IF(Inputs!$B$39="pvp",15,MAX(0.1,Skills!D11-IF(Skills!E11=TRUE,Inputs!$B$33,0))))+1)),0)</f>
        <v/>
      </c>
    </row>
    <row r="130">
      <c r="A130">
        <f>Skills!A12</f>
        <v/>
      </c>
      <c r="B130">
        <f>Skills!B12</f>
        <v/>
      </c>
      <c r="C130">
        <f>Inputs!$B$3&gt;=72</f>
        <v/>
      </c>
      <c r="D130">
        <f>IF(Skills!C12=1,60+Inputs!$B$26+Inputs!$B$30,IF(Skills!C12=2,90+Inputs!$B$27+Inputs!$B$30,IF(Skills!C12=3,120+Inputs!$B$28+Inputs!$B$30,MAX(0,(Inputs!$B$3-100)*3)+Inputs!$B$29+Inputs!$B$30)))</f>
        <v/>
      </c>
      <c r="E130">
        <f>INDEX(FactorTable!$B$2:$Y$301, MATCH(ROUND(MIN(300,MAX(1,D130)),0), FactorTable!$A$2:$A$301,0), Skills!L12+1)</f>
        <v/>
      </c>
      <c r="F130">
        <f>IF(Skills!M12=TRUE,(Skills!K12/10)*(E130/1000),Skills!K12/10)+Skills!N12</f>
        <v/>
      </c>
      <c r="G130">
        <f>Calc!G12</f>
        <v/>
      </c>
      <c r="H130">
        <f>Calc!H12</f>
        <v/>
      </c>
      <c r="I130">
        <f>IF(Skills!T12&lt;&gt;"",1+(Skills!T12/10)*($Z$3/1000)/100,1)</f>
        <v/>
      </c>
      <c r="J130" t="inlineStr"/>
      <c r="K130" t="inlineStr"/>
      <c r="L130" t="inlineStr"/>
      <c r="M130" t="inlineStr"/>
      <c r="N130" t="inlineStr"/>
      <c r="O130" t="n">
        <v>0</v>
      </c>
      <c r="P130">
        <f>IF(B158=0,0,O130/B158)</f>
        <v/>
      </c>
      <c r="Q130">
        <f>IFERROR(1/IF(Inputs!$B$39="pvp",15,MAX(0.1,Skills!D12-IF(Skills!E12=TRUE,Inputs!$B$33,0))),0)</f>
        <v/>
      </c>
      <c r="R130">
        <f>IF(AND(Inputs!$B$39&lt;&gt;"pvp",Inputs!$B$44&gt;0),IF(MAX(0,Inputs!$B$44-B157)&lt;=0,0,(INT(MAX(0,Inputs!$B$44-B157)/IF(Inputs!$B$39="pvp",15,MAX(0.1,Skills!D12-IF(Skills!E12=TRUE,Inputs!$B$33,0))))+1)),0)</f>
        <v/>
      </c>
    </row>
    <row r="131">
      <c r="A131">
        <f>Skills!A13</f>
        <v/>
      </c>
      <c r="B131">
        <f>Skills!B13</f>
        <v/>
      </c>
      <c r="C131">
        <f>Inputs!$B$3&gt;=60</f>
        <v/>
      </c>
      <c r="D131">
        <f>IF(Skills!C13=1,60+Inputs!$B$26+Inputs!$B$30,IF(Skills!C13=2,90+Inputs!$B$27+Inputs!$B$30,IF(Skills!C13=3,120+Inputs!$B$28+Inputs!$B$30,MAX(0,(Inputs!$B$3-100)*3)+Inputs!$B$29+Inputs!$B$30)))</f>
        <v/>
      </c>
      <c r="E131">
        <f>INDEX(FactorTable!$B$2:$Y$301, MATCH(ROUND(MIN(300,MAX(1,D131)),0), FactorTable!$A$2:$A$301,0), Skills!L13+1)</f>
        <v/>
      </c>
      <c r="F131">
        <f>IF(Skills!M13=TRUE,(Skills!K13/10)*(E131/1000),Skills!K13/10)+Skills!N13</f>
        <v/>
      </c>
      <c r="G131">
        <f>Calc!G13</f>
        <v/>
      </c>
      <c r="H131">
        <f>Calc!H13</f>
        <v/>
      </c>
      <c r="I131">
        <f>IF(Skills!T13&lt;&gt;"",1+(Skills!T13/10)*($Z$3/1000)/100,1)</f>
        <v/>
      </c>
      <c r="J131" t="inlineStr"/>
      <c r="K131" t="inlineStr"/>
      <c r="L131" t="inlineStr"/>
      <c r="M131" t="inlineStr"/>
      <c r="N131" t="inlineStr"/>
      <c r="O131" t="n">
        <v>0</v>
      </c>
      <c r="P131">
        <f>IF(B158=0,0,O131/B158)</f>
        <v/>
      </c>
      <c r="Q131">
        <f>IFERROR(1/IF(Inputs!$B$39="pvp",15,MAX(0.1,Skills!D13-IF(Skills!E13=TRUE,Inputs!$B$33,0))),0)</f>
        <v/>
      </c>
      <c r="R131">
        <f>IF(AND(Inputs!$B$39&lt;&gt;"pvp",Inputs!$B$44&gt;0),IF(MAX(0,Inputs!$B$44-B157)&lt;=0,0,(INT(MAX(0,Inputs!$B$44-B157)/IF(Inputs!$B$39="pvp",15,MAX(0.1,Skills!D13-IF(Skills!E13=TRUE,Inputs!$B$33,0))))+1)),0)</f>
        <v/>
      </c>
    </row>
    <row r="132">
      <c r="A132">
        <f>Skills!A14</f>
        <v/>
      </c>
      <c r="B132">
        <f>Skills!B14</f>
        <v/>
      </c>
      <c r="C132">
        <f>Inputs!$B$3&gt;=107</f>
        <v/>
      </c>
      <c r="D132">
        <f>IF(Skills!C14=1,60+Inputs!$B$26+Inputs!$B$30,IF(Skills!C14=2,90+Inputs!$B$27+Inputs!$B$30,IF(Skills!C14=3,120+Inputs!$B$28+Inputs!$B$30,MAX(0,(Inputs!$B$3-100)*3)+Inputs!$B$29+Inputs!$B$30)))</f>
        <v/>
      </c>
      <c r="E132">
        <f>INDEX(FactorTable!$B$2:$Y$301, MATCH(ROUND(MIN(300,MAX(1,D132)),0), FactorTable!$A$2:$A$301,0), Skills!L14+1)</f>
        <v/>
      </c>
      <c r="F132">
        <f>IF(Skills!M14=TRUE,(Skills!K14/10)*(E132/1000),Skills!K14/10)+Skills!N14</f>
        <v/>
      </c>
      <c r="G132">
        <f>Calc!G14</f>
        <v/>
      </c>
      <c r="H132">
        <f>Calc!H14</f>
        <v/>
      </c>
      <c r="I132">
        <f>IF(Skills!T14&lt;&gt;"",1+(Skills!T14/10)*($Z$3/1000)/100,1)</f>
        <v/>
      </c>
      <c r="J132" t="inlineStr"/>
      <c r="K132" t="inlineStr"/>
      <c r="L132" t="inlineStr"/>
      <c r="M132" t="inlineStr"/>
      <c r="N132" t="inlineStr"/>
      <c r="O132" t="n">
        <v>0</v>
      </c>
      <c r="P132">
        <f>IF(B158=0,0,O132/B158)</f>
        <v/>
      </c>
      <c r="Q132">
        <f>IFERROR(1/IF(Inputs!$B$39="pvp",15,MAX(0.1,Skills!D14-IF(Skills!E14=TRUE,Inputs!$B$33,0))),0)</f>
        <v/>
      </c>
      <c r="R132">
        <f>IF(AND(Inputs!$B$39&lt;&gt;"pvp",Inputs!$B$44&gt;0),IF(Inputs!$B$44&lt;=0,0,(INT(Inputs!$B$44/IF(Inputs!$B$39="pvp",15,MAX(0.1,Skills!D14-IF(Skills!E14=TRUE,Inputs!$B$33,0))))+1)),0)</f>
        <v/>
      </c>
    </row>
    <row r="133">
      <c r="A133">
        <f>Skills!A15</f>
        <v/>
      </c>
      <c r="B133">
        <f>Skills!B15</f>
        <v/>
      </c>
      <c r="C133">
        <f>Inputs!$B$3&gt;=63</f>
        <v/>
      </c>
      <c r="D133">
        <f>IF(Skills!C15=1,60+Inputs!$B$26+Inputs!$B$30,IF(Skills!C15=2,90+Inputs!$B$27+Inputs!$B$30,IF(Skills!C15=3,120+Inputs!$B$28+Inputs!$B$30,MAX(0,(Inputs!$B$3-100)*3)+Inputs!$B$29+Inputs!$B$30)))</f>
        <v/>
      </c>
      <c r="E133">
        <f>INDEX(FactorTable!$B$2:$Y$301, MATCH(ROUND(MIN(300,MAX(1,D133)),0), FactorTable!$A$2:$A$301,0), Skills!L15+1)</f>
        <v/>
      </c>
      <c r="F133">
        <f>IF(Skills!M15=TRUE,(Skills!K15/10)*(E133/1000),Skills!K15/10)+Skills!N15</f>
        <v/>
      </c>
      <c r="G133">
        <f>Calc!G15</f>
        <v/>
      </c>
      <c r="H133">
        <f>Calc!H15</f>
        <v/>
      </c>
      <c r="I133">
        <f>IF(Skills!T15&lt;&gt;"",1+(Skills!T15/10)*($Z$3/1000)/100,1)</f>
        <v/>
      </c>
      <c r="J133">
        <f>((Inputs!$B$6*(1+Inputs!$B$7/100))+(((Inputs!$B$13*(1+Inputs!$B$14/100))-(Inputs!$B$13*(1+Inputs!$B$14/100)))+0.25*(Inputs!$B$15-Inputs!$B$15))*(1+Inputs!$B$7/100))*(F133/100)</f>
        <v/>
      </c>
      <c r="K133">
        <f>J133*(1+(((Inputs!$B$13+IF(Inputs!$B$3&gt;=35,(10*INDEX(FactorTable!$B$2:$Y$301, MATCH(ROUND(MIN(300,MAX(1,Inputs!$B$3)),0), FactorTable!$A$2:$A$301,0), 23)/1000)/100*((Inputs!$B$8+1)*(1+(Inputs!$B$9+B156)/100)),0))*(1+Inputs!$B$14/100))*0.01+Inputs!$B$15*0.0025)/100)*(1+(Inputs!$B$16+B150)/100)*(1+IF(Inputs!$B$39="pvp",0,(1-Summary!$B$48)*(Inputs!$B$21+Skills!O15+B148)+Summary!$B$48*(Inputs!$B$22+Skills!P15+B149))/100)*(1+Inputs!$B$17/100)*(5000/(6000+Inputs!$B$43*(1-Inputs!$B$20/100)))*(1+Inputs!$B$25/100)*(1+IF(C136=TRUE,F136,0)/100)*(1+IF(C138=TRUE,F138,0)/100)*(1+IF(Skills!A15="TRIUMPH_FEATHER",IF(C134=TRUE,F134,0),0)/100)*(1+IF(C145=TRUE,F145,0)/100)^5*(1+(IF(Skills!A15="BIG_BANG",Inputs!$B$18,Inputs!$B$19))/100)*(B147*I133)</f>
        <v/>
      </c>
      <c r="L133">
        <f>K133*(MIN(Inputs!$B$23+(F140-Calc!F22),Inputs!$B$24)/100+Inputs!$B$24/100)/2</f>
        <v/>
      </c>
      <c r="M133">
        <f>L133*(1+(Inputs!$B$11+B151+(F143-Calc!F25))/100)</f>
        <v/>
      </c>
      <c r="N133">
        <f>L133*(1-MIN(Inputs!$B$10+((F142-Calc!F24)+(F141-Calc!F23)),100)/100)+M133*(MIN(Inputs!$B$10+((F142-Calc!F24)+(F141-Calc!F23)),100)/100)</f>
        <v/>
      </c>
      <c r="O133">
        <f>IF(C133,Skills!F15*N133*((IF(Inputs!$B$3&gt;=78,25,15)/100*B153*10)/(1+IF(Inputs!$B$3&gt;=78,25,15)/100*B153*10))*(Skills!I15/100*B153)/(1+Skills!G15*Skills!I15/100*B153)*IF(Inputs!$B$39="pvp",1,(1-Summary!$B$48)*(1)+Summary!$B$48*(MIN(Skills!Q15,Inputs!$B$38))),0)</f>
        <v/>
      </c>
      <c r="P133">
        <f>IF(B158=0,0,O133/B158)</f>
        <v/>
      </c>
      <c r="Q133">
        <f>IFERROR(1/IF(Inputs!$B$39="pvp",15,MAX(0.1,Skills!D15-IF(Skills!E15=TRUE,Inputs!$B$33,0))),0)</f>
        <v/>
      </c>
      <c r="R133" t="n">
        <v>0</v>
      </c>
    </row>
    <row r="134">
      <c r="A134">
        <f>Skills!A16</f>
        <v/>
      </c>
      <c r="B134">
        <f>Skills!B16</f>
        <v/>
      </c>
      <c r="C134">
        <f>Inputs!$B$3&gt;=100</f>
        <v/>
      </c>
      <c r="D134">
        <f>IF(Skills!C16=1,60+Inputs!$B$26+Inputs!$B$30,IF(Skills!C16=2,90+Inputs!$B$27+Inputs!$B$30,IF(Skills!C16=3,120+Inputs!$B$28+Inputs!$B$30,MAX(0,(Inputs!$B$3-100)*3)+Inputs!$B$29+Inputs!$B$30)))</f>
        <v/>
      </c>
      <c r="E134">
        <f>INDEX(FactorTable!$B$2:$Y$301, MATCH(ROUND(MIN(300,MAX(1,D134)),0), FactorTable!$A$2:$A$301,0), Skills!L16+1)</f>
        <v/>
      </c>
      <c r="F134">
        <f>IF(Skills!M16=TRUE,(Skills!K16/10)*(E134/1000),Skills!K16/10)+Skills!N16</f>
        <v/>
      </c>
      <c r="G134">
        <f>Calc!G16</f>
        <v/>
      </c>
      <c r="H134">
        <f>Calc!H16</f>
        <v/>
      </c>
      <c r="I134">
        <f>IF(Skills!T16&lt;&gt;"",1+(Skills!T16/10)*($Z$3/1000)/100,1)</f>
        <v/>
      </c>
      <c r="J134" t="inlineStr"/>
      <c r="K134" t="inlineStr"/>
      <c r="L134" t="inlineStr"/>
      <c r="M134" t="inlineStr"/>
      <c r="N134" t="inlineStr"/>
      <c r="O134" t="n">
        <v>0</v>
      </c>
      <c r="P134">
        <f>IF(B158=0,0,O134/B158)</f>
        <v/>
      </c>
      <c r="Q134">
        <f>IFERROR(1/IF(Inputs!$B$39="pvp",15,MAX(0.1,Skills!D16-IF(Skills!E16=TRUE,Inputs!$B$33,0))),0)</f>
        <v/>
      </c>
      <c r="R134" t="n">
        <v>0</v>
      </c>
    </row>
    <row r="135">
      <c r="A135">
        <f>Skills!A17</f>
        <v/>
      </c>
      <c r="B135">
        <f>Skills!B17</f>
        <v/>
      </c>
      <c r="C135">
        <f>Inputs!$B$3&gt;=49</f>
        <v/>
      </c>
      <c r="D135">
        <f>IF(Skills!C17=1,60+Inputs!$B$26+Inputs!$B$30,IF(Skills!C17=2,90+Inputs!$B$27+Inputs!$B$30,IF(Skills!C17=3,120+Inputs!$B$28+Inputs!$B$30,MAX(0,(Inputs!$B$3-100)*3)+Inputs!$B$29+Inputs!$B$30)))</f>
        <v/>
      </c>
      <c r="E135">
        <f>INDEX(FactorTable!$B$2:$Y$301, MATCH(ROUND(MIN(300,MAX(1,D135)),0), FactorTable!$A$2:$A$301,0), Skills!L17+1)</f>
        <v/>
      </c>
      <c r="F135">
        <f>IF(Skills!M17=TRUE,(Skills!K17/10)*(E135/1000),Skills!K17/10)+Skills!N17</f>
        <v/>
      </c>
      <c r="G135">
        <f>Calc!G17</f>
        <v/>
      </c>
      <c r="H135">
        <f>Calc!H17</f>
        <v/>
      </c>
      <c r="I135">
        <f>IF(Skills!T17&lt;&gt;"",1+(Skills!T17/10)*($Z$3/1000)/100,1)</f>
        <v/>
      </c>
      <c r="J135" t="inlineStr"/>
      <c r="K135" t="inlineStr"/>
      <c r="L135" t="inlineStr"/>
      <c r="M135" t="inlineStr"/>
      <c r="N135" t="inlineStr"/>
      <c r="O135" t="n">
        <v>0</v>
      </c>
      <c r="P135">
        <f>IF(B158=0,0,O135/B158)</f>
        <v/>
      </c>
      <c r="Q135">
        <f>IFERROR(1/IF(Inputs!$B$39="pvp",15,MAX(0.1,Skills!D17-IF(Skills!E17=TRUE,Inputs!$B$33,0))),0)</f>
        <v/>
      </c>
      <c r="R135" t="n">
        <v>0</v>
      </c>
    </row>
    <row r="136">
      <c r="A136">
        <f>Skills!A18</f>
        <v/>
      </c>
      <c r="B136">
        <f>Skills!B18</f>
        <v/>
      </c>
      <c r="C136">
        <f>Inputs!$B$3&gt;=75</f>
        <v/>
      </c>
      <c r="D136">
        <f>IF(Skills!C18=1,60+Inputs!$B$26+Inputs!$B$30,IF(Skills!C18=2,90+Inputs!$B$27+Inputs!$B$30,IF(Skills!C18=3,120+Inputs!$B$28+Inputs!$B$30,MAX(0,(Inputs!$B$3-100)*3)+Inputs!$B$29+Inputs!$B$30)))</f>
        <v/>
      </c>
      <c r="E136">
        <f>INDEX(FactorTable!$B$2:$Y$301, MATCH(ROUND(MIN(300,MAX(1,D136)),0), FactorTable!$A$2:$A$301,0), Skills!L18+1)</f>
        <v/>
      </c>
      <c r="F136">
        <f>IF(Skills!M18=TRUE,(Skills!K18/10)*(E136/1000),Skills!K18/10)+Skills!N18</f>
        <v/>
      </c>
      <c r="G136">
        <f>Calc!G18</f>
        <v/>
      </c>
      <c r="H136">
        <f>Calc!H18</f>
        <v/>
      </c>
      <c r="I136">
        <f>IF(Skills!T18&lt;&gt;"",1+(Skills!T18/10)*($Z$3/1000)/100,1)</f>
        <v/>
      </c>
      <c r="J136" t="inlineStr"/>
      <c r="K136" t="inlineStr"/>
      <c r="L136" t="inlineStr"/>
      <c r="M136" t="inlineStr"/>
      <c r="N136" t="inlineStr"/>
      <c r="O136" t="n">
        <v>0</v>
      </c>
      <c r="P136">
        <f>IF(B158=0,0,O136/B158)</f>
        <v/>
      </c>
      <c r="Q136">
        <f>IFERROR(1/IF(Inputs!$B$39="pvp",15,MAX(0.1,Skills!D18-IF(Skills!E18=TRUE,Inputs!$B$33,0))),0)</f>
        <v/>
      </c>
      <c r="R136" t="n">
        <v>0</v>
      </c>
    </row>
    <row r="137">
      <c r="A137">
        <f>Skills!A19</f>
        <v/>
      </c>
      <c r="B137">
        <f>Skills!B19</f>
        <v/>
      </c>
      <c r="C137">
        <f>Inputs!$B$3&gt;=110</f>
        <v/>
      </c>
      <c r="D137">
        <f>IF(Skills!C19=1,60+Inputs!$B$26+Inputs!$B$30,IF(Skills!C19=2,90+Inputs!$B$27+Inputs!$B$30,IF(Skills!C19=3,120+Inputs!$B$28+Inputs!$B$30,MAX(0,(Inputs!$B$3-100)*3)+Inputs!$B$29+Inputs!$B$30)))</f>
        <v/>
      </c>
      <c r="E137">
        <f>INDEX(FactorTable!$B$2:$Y$301, MATCH(ROUND(MIN(300,MAX(1,D137)),0), FactorTable!$A$2:$A$301,0), Skills!L19+1)</f>
        <v/>
      </c>
      <c r="F137">
        <f>(Skills!K19/10)*(E137/1000)*64/45+Skills!N19</f>
        <v/>
      </c>
      <c r="G137">
        <f>Calc!G19</f>
        <v/>
      </c>
      <c r="H137">
        <f>Calc!H19</f>
        <v/>
      </c>
      <c r="I137">
        <f>IF(Skills!T19&lt;&gt;"",1+(Skills!T19/10)*($Z$3/1000)/100,1)</f>
        <v/>
      </c>
      <c r="J137" t="inlineStr"/>
      <c r="K137" t="inlineStr"/>
      <c r="L137" t="inlineStr"/>
      <c r="M137" t="inlineStr"/>
      <c r="N137" t="inlineStr"/>
      <c r="O137" t="n">
        <v>0</v>
      </c>
      <c r="P137">
        <f>IF(B158=0,0,O137/B158)</f>
        <v/>
      </c>
      <c r="Q137">
        <f>IFERROR(1/IF(Inputs!$B$39="pvp",15,MAX(0.1,Skills!D19-IF(Skills!E19=TRUE,Inputs!$B$33,0))),0)</f>
        <v/>
      </c>
      <c r="R137">
        <f>IF(AND(Inputs!$B$39&lt;&gt;"pvp",Inputs!$B$44&gt;0),IF(Inputs!$B$44&lt;=0,0,(INT(Inputs!$B$44/IF(Inputs!$B$39="pvp",15,MAX(0.1,Skills!D19-IF(Skills!E19=TRUE,Inputs!$B$33,0))))+1)),0)</f>
        <v/>
      </c>
    </row>
    <row r="138">
      <c r="A138">
        <f>Skills!A20</f>
        <v/>
      </c>
      <c r="B138">
        <f>Skills!B20</f>
        <v/>
      </c>
      <c r="C138">
        <f>Inputs!$B$3&gt;=125</f>
        <v/>
      </c>
      <c r="D138">
        <f>IF(Skills!C20=1,60+Inputs!$B$26+Inputs!$B$30,IF(Skills!C20=2,90+Inputs!$B$27+Inputs!$B$30,IF(Skills!C20=3,120+Inputs!$B$28+Inputs!$B$30,MAX(0,(Inputs!$B$3-100)*3)+Inputs!$B$29+Inputs!$B$30)))</f>
        <v/>
      </c>
      <c r="E138">
        <f>INDEX(FactorTable!$B$2:$Y$301, MATCH(ROUND(MIN(300,MAX(1,D138)),0), FactorTable!$A$2:$A$301,0), Skills!L20+1)</f>
        <v/>
      </c>
      <c r="F138">
        <f>IF(Skills!M20=TRUE,(Skills!K20/10)*(E138/1000),Skills!K20/10)+Skills!N20</f>
        <v/>
      </c>
      <c r="G138">
        <f>Calc!G20</f>
        <v/>
      </c>
      <c r="H138">
        <f>Calc!H20</f>
        <v/>
      </c>
      <c r="I138">
        <f>IF(Skills!T20&lt;&gt;"",1+(Skills!T20/10)*($Z$3/1000)/100,1)</f>
        <v/>
      </c>
      <c r="J138" t="inlineStr"/>
      <c r="K138" t="inlineStr"/>
      <c r="L138" t="inlineStr"/>
      <c r="M138" t="inlineStr"/>
      <c r="N138" t="inlineStr"/>
      <c r="O138" t="n">
        <v>0</v>
      </c>
      <c r="P138">
        <f>IF(B158=0,0,O138/B158)</f>
        <v/>
      </c>
      <c r="Q138">
        <f>IFERROR(1/IF(Inputs!$B$39="pvp",15,MAX(0.1,Skills!D20-IF(Skills!E20=TRUE,Inputs!$B$33,0))),0)</f>
        <v/>
      </c>
      <c r="R138" t="n">
        <v>0</v>
      </c>
    </row>
    <row r="139">
      <c r="A139">
        <f>Skills!A21</f>
        <v/>
      </c>
      <c r="B139">
        <f>Skills!B21</f>
        <v/>
      </c>
      <c r="C139">
        <f>Inputs!$B$3&gt;=33</f>
        <v/>
      </c>
      <c r="D139">
        <f>IF(Skills!C21=1,60+Inputs!$B$26+Inputs!$B$30,IF(Skills!C21=2,90+Inputs!$B$27+Inputs!$B$30,IF(Skills!C21=3,120+Inputs!$B$28+Inputs!$B$30,MAX(0,(Inputs!$B$3-100)*3)+Inputs!$B$29+Inputs!$B$30)))</f>
        <v/>
      </c>
      <c r="E139">
        <f>INDEX(FactorTable!$B$2:$Y$301, MATCH(ROUND(MIN(300,MAX(1,D139)),0), FactorTable!$A$2:$A$301,0), Skills!L21+1)</f>
        <v/>
      </c>
      <c r="F139">
        <f>IF(Skills!M21=TRUE,(Skills!K21/10)*(E139/1000),Skills!K21/10)+Skills!N21</f>
        <v/>
      </c>
      <c r="G139">
        <f>Calc!G21</f>
        <v/>
      </c>
      <c r="H139">
        <f>Calc!H21</f>
        <v/>
      </c>
      <c r="I139">
        <f>IF(Skills!T21&lt;&gt;"",1+(Skills!T21/10)*($Z$3/1000)/100,1)</f>
        <v/>
      </c>
      <c r="J139" t="inlineStr"/>
      <c r="K139" t="inlineStr"/>
      <c r="L139" t="inlineStr"/>
      <c r="M139" t="inlineStr"/>
      <c r="N139" t="inlineStr"/>
      <c r="O139" t="n">
        <v>0</v>
      </c>
      <c r="P139">
        <f>IF(B158=0,0,O139/B158)</f>
        <v/>
      </c>
      <c r="Q139">
        <f>IFERROR(1/IF(Inputs!$B$39="pvp",15,MAX(0.1,Skills!D21-IF(Skills!E21=TRUE,Inputs!$B$33,0))),0)</f>
        <v/>
      </c>
      <c r="R139" t="n">
        <v>0</v>
      </c>
    </row>
    <row r="140">
      <c r="A140">
        <f>Skills!A22</f>
        <v/>
      </c>
      <c r="B140">
        <f>Skills!B22</f>
        <v/>
      </c>
      <c r="C140">
        <f>Inputs!$B$3&gt;=43</f>
        <v/>
      </c>
      <c r="D140">
        <f>IF(Skills!C22=1,60+Inputs!$B$26+Inputs!$B$30,IF(Skills!C22=2,90+Inputs!$B$27+Inputs!$B$30,IF(Skills!C22=3,120+Inputs!$B$28+Inputs!$B$30,MAX(0,(Inputs!$B$3-100)*3)+Inputs!$B$29+Inputs!$B$30)))</f>
        <v/>
      </c>
      <c r="E140">
        <f>INDEX(FactorTable!$B$2:$Y$301, MATCH(ROUND(MIN(300,MAX(1,D140)),0), FactorTable!$A$2:$A$301,0), Skills!L22+1)</f>
        <v/>
      </c>
      <c r="F140">
        <f>IF(Skills!M22=TRUE,(Skills!K22/10)*(E140/1000),Skills!K22/10)+Skills!N22</f>
        <v/>
      </c>
      <c r="G140">
        <f>Calc!G22</f>
        <v/>
      </c>
      <c r="H140">
        <f>Calc!H22</f>
        <v/>
      </c>
      <c r="I140">
        <f>IF(Skills!T22&lt;&gt;"",1+(Skills!T22/10)*($Z$3/1000)/100,1)</f>
        <v/>
      </c>
      <c r="J140" t="inlineStr"/>
      <c r="K140" t="inlineStr"/>
      <c r="L140" t="inlineStr"/>
      <c r="M140" t="inlineStr"/>
      <c r="N140" t="inlineStr"/>
      <c r="O140" t="n">
        <v>0</v>
      </c>
      <c r="P140">
        <f>IF(B158=0,0,O140/B158)</f>
        <v/>
      </c>
      <c r="Q140">
        <f>IFERROR(1/IF(Inputs!$B$39="pvp",15,MAX(0.1,Skills!D22-IF(Skills!E22=TRUE,Inputs!$B$33,0))),0)</f>
        <v/>
      </c>
      <c r="R140" t="n">
        <v>0</v>
      </c>
    </row>
    <row r="141">
      <c r="A141">
        <f>Skills!A23</f>
        <v/>
      </c>
      <c r="B141">
        <f>Skills!B23</f>
        <v/>
      </c>
      <c r="C141">
        <f>Inputs!$B$3&gt;=50</f>
        <v/>
      </c>
      <c r="D141">
        <f>IF(Skills!C23=1,60+Inputs!$B$26+Inputs!$B$30,IF(Skills!C23=2,90+Inputs!$B$27+Inputs!$B$30,IF(Skills!C23=3,120+Inputs!$B$28+Inputs!$B$30,MAX(0,(Inputs!$B$3-100)*3)+Inputs!$B$29+Inputs!$B$30)))</f>
        <v/>
      </c>
      <c r="E141">
        <f>INDEX(FactorTable!$B$2:$Y$301, MATCH(ROUND(MIN(300,MAX(1,D141)),0), FactorTable!$A$2:$A$301,0), Skills!L23+1)</f>
        <v/>
      </c>
      <c r="F141">
        <f>IF(Skills!M23=TRUE,(Skills!K23/10)*(E141/1000),Skills!K23/10)+Skills!N23</f>
        <v/>
      </c>
      <c r="G141">
        <f>Calc!G23</f>
        <v/>
      </c>
      <c r="H141">
        <f>Calc!H23</f>
        <v/>
      </c>
      <c r="I141">
        <f>IF(Skills!T23&lt;&gt;"",1+(Skills!T23/10)*($Z$3/1000)/100,1)</f>
        <v/>
      </c>
      <c r="J141" t="inlineStr"/>
      <c r="K141" t="inlineStr"/>
      <c r="L141" t="inlineStr"/>
      <c r="M141" t="inlineStr"/>
      <c r="N141" t="inlineStr"/>
      <c r="O141" t="n">
        <v>0</v>
      </c>
      <c r="P141">
        <f>IF(B158=0,0,O141/B158)</f>
        <v/>
      </c>
      <c r="Q141">
        <f>IFERROR(1/IF(Inputs!$B$39="pvp",15,MAX(0.1,Skills!D23-IF(Skills!E23=TRUE,Inputs!$B$33,0))),0)</f>
        <v/>
      </c>
      <c r="R141" t="n">
        <v>0</v>
      </c>
    </row>
    <row r="142">
      <c r="A142">
        <f>Skills!A24</f>
        <v/>
      </c>
      <c r="B142">
        <f>Skills!B24</f>
        <v/>
      </c>
      <c r="C142">
        <f>Inputs!$B$3&gt;=74</f>
        <v/>
      </c>
      <c r="D142">
        <f>IF(Skills!C24=1,60+Inputs!$B$26+Inputs!$B$30,IF(Skills!C24=2,90+Inputs!$B$27+Inputs!$B$30,IF(Skills!C24=3,120+Inputs!$B$28+Inputs!$B$30,MAX(0,(Inputs!$B$3-100)*3)+Inputs!$B$29+Inputs!$B$30)))</f>
        <v/>
      </c>
      <c r="E142">
        <f>INDEX(FactorTable!$B$2:$Y$301, MATCH(ROUND(MIN(300,MAX(1,D142)),0), FactorTable!$A$2:$A$301,0), Skills!L24+1)</f>
        <v/>
      </c>
      <c r="F142">
        <f>IF(Skills!M24=TRUE,(Skills!K24/10)*(E142/1000),Skills!K24/10)+Skills!N24</f>
        <v/>
      </c>
      <c r="G142">
        <f>Calc!G24</f>
        <v/>
      </c>
      <c r="H142">
        <f>Calc!H24</f>
        <v/>
      </c>
      <c r="I142">
        <f>IF(Skills!T24&lt;&gt;"",1+(Skills!T24/10)*($Z$3/1000)/100,1)</f>
        <v/>
      </c>
      <c r="J142" t="inlineStr"/>
      <c r="K142" t="inlineStr"/>
      <c r="L142" t="inlineStr"/>
      <c r="M142" t="inlineStr"/>
      <c r="N142" t="inlineStr"/>
      <c r="O142" t="n">
        <v>0</v>
      </c>
      <c r="P142">
        <f>IF(B158=0,0,O142/B158)</f>
        <v/>
      </c>
      <c r="Q142">
        <f>IFERROR(1/IF(Inputs!$B$39="pvp",15,MAX(0.1,Skills!D24-IF(Skills!E24=TRUE,Inputs!$B$33,0))),0)</f>
        <v/>
      </c>
      <c r="R142" t="n">
        <v>0</v>
      </c>
    </row>
    <row r="143">
      <c r="A143">
        <f>Skills!A25</f>
        <v/>
      </c>
      <c r="B143">
        <f>Skills!B25</f>
        <v/>
      </c>
      <c r="C143">
        <f>Inputs!$B$3&gt;=74</f>
        <v/>
      </c>
      <c r="D143">
        <f>IF(Skills!C25=1,60+Inputs!$B$26+Inputs!$B$30,IF(Skills!C25=2,90+Inputs!$B$27+Inputs!$B$30,IF(Skills!C25=3,120+Inputs!$B$28+Inputs!$B$30,MAX(0,(Inputs!$B$3-100)*3)+Inputs!$B$29+Inputs!$B$30)))</f>
        <v/>
      </c>
      <c r="E143">
        <f>INDEX(FactorTable!$B$2:$Y$301, MATCH(ROUND(MIN(300,MAX(1,D143)),0), FactorTable!$A$2:$A$301,0), Skills!L25+1)</f>
        <v/>
      </c>
      <c r="F143">
        <f>IF(Skills!M25=TRUE,(Skills!K25/10)*(E143/1000),Skills!K25/10)+Skills!N25</f>
        <v/>
      </c>
      <c r="G143">
        <f>Calc!G25</f>
        <v/>
      </c>
      <c r="H143">
        <f>Calc!H25</f>
        <v/>
      </c>
      <c r="I143">
        <f>IF(Skills!T25&lt;&gt;"",1+(Skills!T25/10)*($Z$3/1000)/100,1)</f>
        <v/>
      </c>
      <c r="J143" t="inlineStr"/>
      <c r="K143" t="inlineStr"/>
      <c r="L143" t="inlineStr"/>
      <c r="M143" t="inlineStr"/>
      <c r="N143" t="inlineStr"/>
      <c r="O143" t="n">
        <v>0</v>
      </c>
      <c r="P143">
        <f>IF(B158=0,0,O143/B158)</f>
        <v/>
      </c>
      <c r="Q143">
        <f>IFERROR(1/IF(Inputs!$B$39="pvp",15,MAX(0.1,Skills!D25-IF(Skills!E25=TRUE,Inputs!$B$33,0))),0)</f>
        <v/>
      </c>
      <c r="R143" t="n">
        <v>0</v>
      </c>
    </row>
    <row r="144">
      <c r="A144">
        <f>Skills!A26</f>
        <v/>
      </c>
      <c r="B144">
        <f>Skills!B26</f>
        <v/>
      </c>
      <c r="C144">
        <f>Inputs!$B$3&gt;=117</f>
        <v/>
      </c>
      <c r="D144">
        <f>IF(Skills!C26=1,60+Inputs!$B$26+Inputs!$B$30,IF(Skills!C26=2,90+Inputs!$B$27+Inputs!$B$30,IF(Skills!C26=3,120+Inputs!$B$28+Inputs!$B$30,MAX(0,(Inputs!$B$3-100)*3)+Inputs!$B$29+Inputs!$B$30)))</f>
        <v/>
      </c>
      <c r="E144">
        <f>INDEX(FactorTable!$B$2:$Y$301, MATCH(ROUND(MIN(300,MAX(1,D144)),0), FactorTable!$A$2:$A$301,0), Skills!L26+1)</f>
        <v/>
      </c>
      <c r="F144">
        <f>IF(Skills!M26=TRUE,(Skills!K26/10)*(E144/1000),Skills!K26/10)+Skills!N26</f>
        <v/>
      </c>
      <c r="G144">
        <f>Calc!G26</f>
        <v/>
      </c>
      <c r="H144">
        <f>Calc!H26</f>
        <v/>
      </c>
      <c r="I144">
        <f>IF(Skills!T26&lt;&gt;"",1+(Skills!T26/10)*($Z$3/1000)/100,1)</f>
        <v/>
      </c>
      <c r="J144" t="inlineStr"/>
      <c r="K144" t="inlineStr"/>
      <c r="L144" t="inlineStr"/>
      <c r="M144" t="inlineStr"/>
      <c r="N144" t="inlineStr"/>
      <c r="O144" t="n">
        <v>0</v>
      </c>
      <c r="P144">
        <f>IF(B158=0,0,O144/B158)</f>
        <v/>
      </c>
      <c r="Q144">
        <f>IFERROR(1/IF(Inputs!$B$39="pvp",15,MAX(0.1,Skills!D26-IF(Skills!E26=TRUE,Inputs!$B$33,0))),0)</f>
        <v/>
      </c>
      <c r="R144" t="n">
        <v>0</v>
      </c>
    </row>
    <row r="145">
      <c r="A145">
        <f>Skills!A27</f>
        <v/>
      </c>
      <c r="B145">
        <f>Skills!B27</f>
        <v/>
      </c>
      <c r="C145">
        <f>Inputs!$B$3&gt;=120</f>
        <v/>
      </c>
      <c r="D145">
        <f>IF(Skills!C27=1,60+Inputs!$B$26+Inputs!$B$30,IF(Skills!C27=2,90+Inputs!$B$27+Inputs!$B$30,IF(Skills!C27=3,120+Inputs!$B$28+Inputs!$B$30,MAX(0,(Inputs!$B$3-100)*3)+Inputs!$B$29+Inputs!$B$30)))</f>
        <v/>
      </c>
      <c r="E145">
        <f>INDEX(FactorTable!$B$2:$Y$301, MATCH(ROUND(MIN(300,MAX(1,D145)),0), FactorTable!$A$2:$A$301,0), Skills!L27+1)</f>
        <v/>
      </c>
      <c r="F145">
        <f>IF(Skills!M27=TRUE,(Skills!K27/10)*(E145/1000),Skills!K27/10)+Skills!N27</f>
        <v/>
      </c>
      <c r="G145">
        <f>Calc!G27</f>
        <v/>
      </c>
      <c r="H145">
        <f>Calc!H27</f>
        <v/>
      </c>
      <c r="I145">
        <f>IF(Skills!T27&lt;&gt;"",1+(Skills!T27/10)*($Z$3/1000)/100,1)</f>
        <v/>
      </c>
      <c r="J145" t="inlineStr"/>
      <c r="K145" t="inlineStr"/>
      <c r="L145" t="inlineStr"/>
      <c r="M145" t="inlineStr"/>
      <c r="N145" t="inlineStr"/>
      <c r="O145" t="n">
        <v>0</v>
      </c>
      <c r="P145">
        <f>IF(B158=0,0,O145/B158)</f>
        <v/>
      </c>
      <c r="Q145">
        <f>IFERROR(1/IF(Inputs!$B$39="pvp",15,MAX(0.1,Skills!D27-IF(Skills!E27=TRUE,Inputs!$B$33,0))),0)</f>
        <v/>
      </c>
      <c r="R145" t="n">
        <v>0</v>
      </c>
    </row>
    <row r="147">
      <c r="A147" t="inlineStr">
        <is>
          <t>Average Buff Multiplier</t>
        </is>
      </c>
      <c r="B147">
        <f>(1+(IF(C121=TRUE,F121*IF(AND(Inputs!$B$39&lt;&gt;"pvp",Inputs!$B$44&gt;0),(((R121-1)*(Skills!S3*(1+(Inputs!$B$35+IF(Inputs!$B$3&gt;=117,F144,0))/100))+MIN((Skills!S3*(1+(Inputs!$B$35+IF(Inputs!$B$3&gt;=117,F144,0))/100)),MAX(0,Inputs!$B$44-((R121-1)*Skills!D3))))/Inputs!$B$44),IF(Inputs!$B$39="pvp",MIN((Skills!S3*(1+(Inputs!$B$35+IF(Inputs!$B$3&gt;=117,F144,0))/100)),15)/15,(Skills!S3*(1+(Inputs!$B$35+IF(Inputs!$B$3&gt;=117,F144,0))/100))/Skills!D3)),0)+IF(C122=TRUE,F122*IF(AND(Inputs!$B$39&lt;&gt;"pvp",Inputs!$B$44&gt;0),(((R122-1)*(Skills!S4*(1+(Inputs!$B$35+IF(Inputs!$B$3&gt;=117,F144,0))/100))+MIN((Skills!S4*(1+(Inputs!$B$35+IF(Inputs!$B$3&gt;=117,F144,0))/100)),MAX(0,Inputs!$B$44-((R122-1)*Skills!D4))))/Inputs!$B$44),IF(Inputs!$B$39="pvp",MIN((Skills!S4*(1+(Inputs!$B$35+IF(Inputs!$B$3&gt;=117,F144,0))/100)),15)/15,(Skills!S4*(1+(Inputs!$B$35+IF(Inputs!$B$3&gt;=117,F144,0))/100))/Skills!D4)),0)+IF(C123=TRUE,F123*IF(AND(Inputs!$B$39&lt;&gt;"pvp",Inputs!$B$44&gt;0),(((R123-1)*(Skills!S5*(1+(Inputs!$B$35+IF(Inputs!$B$3&gt;=117,F144,0))/100))+MIN((Skills!S5*(1+(Inputs!$B$35+IF(Inputs!$B$3&gt;=117,F144,0))/100)),MAX(0,Inputs!$B$44-((R123-1)*Skills!D5))))/Inputs!$B$44),IF(Inputs!$B$39="pvp",MIN((Skills!S5*(1+(Inputs!$B$35+IF(Inputs!$B$3&gt;=117,F144,0))/100)),15)/15,(Skills!S5*(1+(Inputs!$B$35+IF(Inputs!$B$3&gt;=117,F144,0))/100))/Skills!D5)),0)+IF(C129=TRUE,F129*IF(AND(Inputs!$B$39&lt;&gt;"pvp",Inputs!$B$44&gt;0),(((R129-1)*(Skills!S11*(1+(Inputs!$B$35+IF(Inputs!$B$3&gt;=117,F144,0))/100))+MIN((Skills!S11*(1+(Inputs!$B$35+IF(Inputs!$B$3&gt;=117,F144,0))/100)),MAX(0,Inputs!$B$44-((R129-1)*Skills!D11))))/Inputs!$B$44),IF(Inputs!$B$39="pvp",MIN((Skills!S11*(1+(Inputs!$B$35+IF(Inputs!$B$3&gt;=117,F144,0))/100)),15)/15,(Skills!S11*(1+(Inputs!$B$35+IF(Inputs!$B$3&gt;=117,F144,0))/100))/Skills!D11)),0))/100)*IF(C132=TRUE,(1+F132*IF(AND(Inputs!$B$39&lt;&gt;"pvp",Inputs!$B$44&gt;0),(((R132-1)*(Skills!S14*(1+(Inputs!$B$35+IF(Inputs!$B$3&gt;=117,F144,0))/100))+MIN((Skills!S14*(1+(Inputs!$B$35+IF(Inputs!$B$3&gt;=117,F144,0))/100)),MAX(0,Inputs!$B$44-((R132-1)*Skills!D14))))/Inputs!$B$44),IF(Inputs!$B$39="pvp",MIN((Skills!S14*(1+(Inputs!$B$35+IF(Inputs!$B$3&gt;=117,F144,0))/100)),15)/15,(Skills!S14*(1+(Inputs!$B$35+IF(Inputs!$B$3&gt;=117,F144,0))/100))/Skills!D14))/100),1)*IF(C137=TRUE,(1+F137*IF(AND(Inputs!$B$39&lt;&gt;"pvp",Inputs!$B$44&gt;0),(((R137-1)*(Skills!S19*(1+(Inputs!$B$35+IF(Inputs!$B$3&gt;=117,F144,0))/100))+MIN((Skills!S19*(1+(Inputs!$B$35+IF(Inputs!$B$3&gt;=117,F144,0))/100)),MAX(0,Inputs!$B$44-((R137-1)*Skills!D19))))/Inputs!$B$44),IF(Inputs!$B$39="pvp",MIN((Skills!S19*(1+(Inputs!$B$35+IF(Inputs!$B$3&gt;=117,F144,0))/100)),15)/15,(Skills!S19*(1+(Inputs!$B$35+IF(Inputs!$B$3&gt;=117,F144,0))/100))/Skills!D19))/100),1)</f>
        <v/>
      </c>
    </row>
    <row r="148">
      <c r="A148" t="inlineStr">
        <is>
          <t>Monster Damage Taken Bonus % (Holy Fountain)</t>
        </is>
      </c>
      <c r="B148">
        <f>IF(Inputs!$B$3&gt;=68,20*IF(Inputs!$B$39="pvp",MIN((15*(1+(Inputs!$B$35+IF(Inputs!$B$3&gt;=117,F144,0))/100)),15)/15,(15*(1+(Inputs!$B$35+IF(Inputs!$B$3&gt;=117,F144,0))/100))/Skills!D10),0)</f>
        <v/>
      </c>
    </row>
    <row r="149">
      <c r="A149" t="inlineStr">
        <is>
          <t>Normal Monster Damage Bonus % (Holy Symbol)</t>
        </is>
      </c>
      <c r="B149">
        <f>IF(C130=TRUE,F130*IF(AND(Inputs!$B$39&lt;&gt;"pvp",Inputs!$B$44&gt;0),(((R130-1)*(Skills!S12*(1+(Inputs!$B$35+IF(Inputs!$B$3&gt;=117,F144,0))/100))+MIN((Skills!S12*(1+(Inputs!$B$35+IF(Inputs!$B$3&gt;=117,F144,0))/100)),MAX(0,Inputs!$B$44-((R130-1)*Skills!D12))))/Inputs!$B$44),IF(Inputs!$B$39="pvp",MIN((Skills!S12*(1+(Inputs!$B$35+IF(Inputs!$B$3&gt;=117,F144,0))/100)),15)/15,(Skills!S12*(1+(Inputs!$B$35+IF(Inputs!$B$3&gt;=117,F144,0))/100))/Skills!D12)),0)</f>
        <v/>
      </c>
    </row>
    <row r="150">
      <c r="A150" t="inlineStr">
        <is>
          <t>Damage % Bonus (Holy Symbol - Damage Boost)</t>
        </is>
      </c>
      <c r="B150">
        <f>Skills!O12</f>
        <v/>
      </c>
    </row>
    <row r="151">
      <c r="A151" t="inlineStr">
        <is>
          <t>Crit Damage % Bonus (Blood of the Divine)</t>
        </is>
      </c>
      <c r="B151">
        <f>4*IF(C138=TRUE,F138,0)</f>
        <v/>
      </c>
    </row>
    <row r="152">
      <c r="A152" t="inlineStr">
        <is>
          <t>Attack Speed Bonus %</t>
        </is>
      </c>
      <c r="B152">
        <f>IF(C135=TRUE,F135+(F139-Calc!F21),0)+IF(Inputs!$B$3&gt;=134,15,0)</f>
        <v/>
      </c>
    </row>
    <row r="153">
      <c r="A153" t="inlineStr">
        <is>
          <t>Actions Per Second</t>
        </is>
      </c>
      <c r="B153">
        <f>1+MIN(150,150*(1-(1-Inputs!$B$12/150)*(1-B152/150)))/100</f>
        <v/>
      </c>
    </row>
    <row r="154">
      <c r="A154" t="inlineStr">
        <is>
          <t>Skill + Buff Cast Rate</t>
        </is>
      </c>
      <c r="B154">
        <f>IF(AND(Inputs!$B$39&lt;&gt;"pvp",Inputs!$B$44&gt;0),SUMPRODUCT((Skills!E2:E27=TRUE)*(C120:C145=TRUE)*R120:R145)/Inputs!$B$44,SUMPRODUCT((Skills!E2:E27=TRUE)*(C120:C145=TRUE)*Q120:Q145))</f>
        <v/>
      </c>
    </row>
    <row r="155">
      <c r="A155" t="inlineStr">
        <is>
          <t>Big Bang Casts Per Second</t>
        </is>
      </c>
      <c r="B155">
        <f>MAX(0,B153-B154)</f>
        <v/>
      </c>
    </row>
    <row r="156">
      <c r="A156" t="inlineStr">
        <is>
          <t>Defense % Bonus (Divine Protection)</t>
        </is>
      </c>
      <c r="B156">
        <f>IF(C131=TRUE,F131*IF(AND(Inputs!$B$39&lt;&gt;"pvp",Inputs!$B$44&gt;0),(((R131-1)*(Skills!S13*(1+(Inputs!$B$35+IF(Inputs!$B$3&gt;=117,F144,0))/100))+MIN((Skills!S13*(1+(Inputs!$B$35+IF(Inputs!$B$3&gt;=117,F144,0))/100)),MAX(0,Inputs!$B$44-((R131-1)*Skills!D13))))/Inputs!$B$44),IF(Inputs!$B$39="pvp",MIN((Skills!S13*(1+(Inputs!$B$35+IF(Inputs!$B$3&gt;=117,F144,0))/100)),15)/15,(Skills!S13*(1+(Inputs!$B$35+IF(Inputs!$B$3&gt;=117,F144,0))/100))/Skills!D13)),0)</f>
        <v/>
      </c>
    </row>
    <row r="157">
      <c r="A157" t="inlineStr">
        <is>
          <t>Buff-Casting Startup Delay (s, fixed-duration only)</t>
        </is>
      </c>
      <c r="B157">
        <f>IF(AND(Inputs!$B$39&lt;&gt;"pvp",Inputs!$B$44&gt;0),SUMPRODUCT((Skills!S2:S27&gt;0)*(Skills!E2:E27=TRUE)*(C120:C145=TRUE))/B153,0)</f>
        <v/>
      </c>
    </row>
    <row r="158">
      <c r="A158" s="5" t="inlineStr">
        <is>
          <t>TOTAL DPS</t>
        </is>
      </c>
      <c r="B158" s="5">
        <f>SUM(O120:O145)</f>
        <v/>
      </c>
    </row>
    <row r="160">
      <c r="A160" s="5" t="inlineStr">
        <is>
          <t>Stat: Defense %</t>
        </is>
      </c>
    </row>
    <row r="161">
      <c r="A161" s="9" t="inlineStr">
        <is>
          <t>Key</t>
        </is>
      </c>
      <c r="B161" s="9" t="inlineStr">
        <is>
          <t>Name</t>
        </is>
      </c>
      <c r="C161" s="9" t="inlineStr">
        <is>
          <t>Unlocked</t>
        </is>
      </c>
      <c r="D161" s="9" t="inlineStr">
        <is>
          <t>InputLevel</t>
        </is>
      </c>
      <c r="E161" s="9" t="inlineStr">
        <is>
          <t>Factor</t>
        </is>
      </c>
      <c r="F161" s="9" t="inlineStr">
        <is>
          <t>CoefficientPercent</t>
        </is>
      </c>
      <c r="G161" s="9" t="inlineStr">
        <is>
          <t>EffectiveHits</t>
        </is>
      </c>
      <c r="H161" s="9" t="inlineStr">
        <is>
          <t>ProcProbability</t>
        </is>
      </c>
      <c r="I161" s="9" t="inlineStr">
        <is>
          <t>MapleHeroMultiplier</t>
        </is>
      </c>
      <c r="J161" s="9" t="inlineStr">
        <is>
          <t>BaseDamage</t>
        </is>
      </c>
      <c r="K161" s="9" t="inlineStr">
        <is>
          <t>BaseHitDamage</t>
        </is>
      </c>
      <c r="L161" s="9" t="inlineStr">
        <is>
          <t>NonCritAvg</t>
        </is>
      </c>
      <c r="M161" s="9" t="inlineStr">
        <is>
          <t>CritAvg</t>
        </is>
      </c>
      <c r="N161" s="9" t="inlineStr">
        <is>
          <t>ExpectedDamage(perHit)</t>
        </is>
      </c>
      <c r="O161" s="9" t="inlineStr">
        <is>
          <t>DPS</t>
        </is>
      </c>
      <c r="P161" s="9" t="inlineStr">
        <is>
          <t>% of Total</t>
        </is>
      </c>
      <c r="R161" t="inlineStr">
        <is>
          <t>helpers</t>
        </is>
      </c>
    </row>
    <row r="162">
      <c r="A162">
        <f>Skills!A2</f>
        <v/>
      </c>
      <c r="B162">
        <f>Skills!B2</f>
        <v/>
      </c>
      <c r="C162">
        <f>Inputs!$B$3&gt;=100</f>
        <v/>
      </c>
      <c r="D162" t="inlineStr"/>
      <c r="E162" t="inlineStr"/>
      <c r="F162">
        <f>T164+Skills!N2</f>
        <v/>
      </c>
      <c r="G162">
        <f>Calc!G2</f>
        <v/>
      </c>
      <c r="H162">
        <f>Calc!H2</f>
        <v/>
      </c>
      <c r="I162">
        <f>IF(Skills!T2&lt;&gt;"",1+(Skills!T2/10)*($Z$3/1000)/100,1)</f>
        <v/>
      </c>
      <c r="J162">
        <f>((Inputs!$B$6*(1+Inputs!$B$7/100))+(((Inputs!$B$13*(1+Inputs!$B$14/100))-(Inputs!$B$13*(1+Inputs!$B$14/100)))+0.25*(Inputs!$B$15-Inputs!$B$15))*(1+Inputs!$B$7/100))*(F162/100)</f>
        <v/>
      </c>
      <c r="K162">
        <f>J162*(1+(((Inputs!$B$13+IF(Inputs!$B$3&gt;=35,(10*INDEX(FactorTable!$B$2:$Y$301, MATCH(ROUND(MIN(300,MAX(1,Inputs!$B$3)),0), FactorTable!$A$2:$A$301,0), 23)/1000)/100*(Inputs!$B$8*(1+((Inputs!$B$9+1)+B198)/100)),0))*(1+Inputs!$B$14/100))*0.01+Inputs!$B$15*0.0025)/100)*(1+(Inputs!$B$16+B192)/100)*(1+IF(Inputs!$B$39="pvp",0,(1-Summary!$B$48)*(Inputs!$B$21+Skills!O2+B190)+Summary!$B$48*(Inputs!$B$22+Skills!P2+B191))/100)*(1+Inputs!$B$17/100)*(5000/(6000+Inputs!$B$43*(1-Inputs!$B$20/100)))*(1+Inputs!$B$25/100)*(1+IF(C178=TRUE,F178,0)/100)*(1+IF(C180=TRUE,F180,0)/100)*(1+IF(Skills!A2="TRIUMPH_FEATHER",IF(C176=TRUE,F176,0),0)/100)*(1+IF(C187=TRUE,F187,0)/100)^5*(1+(IF(Skills!A2="BIG_BANG",Inputs!$B$18,Inputs!$B$19))/100)*(B189*I162)</f>
        <v/>
      </c>
      <c r="L162">
        <f>K162*(MIN(Inputs!$B$23+(F182-Calc!F22),Inputs!$B$24)/100+Inputs!$B$24/100)/2</f>
        <v/>
      </c>
      <c r="M162">
        <f>L162*(1+(Inputs!$B$11+B193+(F185-Calc!F25))/100)</f>
        <v/>
      </c>
      <c r="N162">
        <f>L162*(1-MIN(Inputs!$B$10+((F184-Calc!F24)+(F183-Calc!F23)),100)/100)+M162*(MIN(Inputs!$B$10+((F184-Calc!F24)+(F183-Calc!F23)),100)/100)</f>
        <v/>
      </c>
      <c r="O162">
        <f>IF(C162,Skills!F2*N162*B197*IF(Inputs!$B$39="pvp",1,(1-Summary!$B$48)*(1)+Summary!$B$48*(MIN((6+Inputs!$B$34),Inputs!$B$38))),0)</f>
        <v/>
      </c>
      <c r="P162">
        <f>IF(B200=0,0,O162/B200)</f>
        <v/>
      </c>
      <c r="Q162">
        <f>IFERROR(1/IF(Inputs!$B$39="pvp",15,MAX(0.1,Skills!D2-IF(Skills!E2=TRUE,Inputs!$B$33,0))),0)</f>
        <v/>
      </c>
      <c r="R162" t="n">
        <v>0</v>
      </c>
      <c r="T162">
        <f>MAX(0,(Inputs!$B$3-100)*3)+Inputs!$B$29+Inputs!$B$30</f>
        <v/>
      </c>
    </row>
    <row r="163">
      <c r="A163">
        <f>Skills!A3</f>
        <v/>
      </c>
      <c r="B163">
        <f>Skills!B3</f>
        <v/>
      </c>
      <c r="C163">
        <f>Inputs!$B$3&gt;=15</f>
        <v/>
      </c>
      <c r="D163">
        <f>IF(Skills!C3=1,60+Inputs!$B$26+Inputs!$B$30,IF(Skills!C3=2,90+Inputs!$B$27+Inputs!$B$30,IF(Skills!C3=3,120+Inputs!$B$28+Inputs!$B$30,MAX(0,(Inputs!$B$3-100)*3)+Inputs!$B$29+Inputs!$B$30)))</f>
        <v/>
      </c>
      <c r="E163">
        <f>INDEX(FactorTable!$B$2:$Y$301, MATCH(ROUND(MIN(300,MAX(1,D163)),0), FactorTable!$A$2:$A$301,0), Skills!L3+1)</f>
        <v/>
      </c>
      <c r="F163">
        <f>IF(Skills!M3=TRUE,(Skills!K3/10)*(E163/1000),Skills!K3/10)+Skills!N3</f>
        <v/>
      </c>
      <c r="G163">
        <f>Calc!G3</f>
        <v/>
      </c>
      <c r="H163">
        <f>Calc!H3</f>
        <v/>
      </c>
      <c r="I163">
        <f>IF(Skills!T3&lt;&gt;"",1+(Skills!T3/10)*($Z$3/1000)/100,1)</f>
        <v/>
      </c>
      <c r="J163" t="inlineStr"/>
      <c r="K163" t="inlineStr"/>
      <c r="L163" t="inlineStr"/>
      <c r="M163" t="inlineStr"/>
      <c r="N163" t="inlineStr"/>
      <c r="O163" t="n">
        <v>0</v>
      </c>
      <c r="P163">
        <f>IF(B200=0,0,O163/B200)</f>
        <v/>
      </c>
      <c r="Q163">
        <f>IFERROR(1/IF(Inputs!$B$39="pvp",15,MAX(0.1,Skills!D3-IF(Skills!E3=TRUE,Inputs!$B$33,0))),0)</f>
        <v/>
      </c>
      <c r="R163">
        <f>IF(AND(Inputs!$B$39&lt;&gt;"pvp",Inputs!$B$44&gt;0),IF(Inputs!$B$44&lt;=0,0,(INT(Inputs!$B$44/IF(Inputs!$B$39="pvp",15,MAX(0.1,Skills!D3-IF(Skills!E3=TRUE,Inputs!$B$33,0))))+1)),0)</f>
        <v/>
      </c>
      <c r="T163">
        <f>INDEX(FactorTable!$B$2:$Y$301, MATCH(ROUND(MIN(300,MAX(1,T162)),0), FactorTable!$A$2:$A$301,0), 22)</f>
        <v/>
      </c>
    </row>
    <row r="164">
      <c r="A164">
        <f>Skills!A4</f>
        <v/>
      </c>
      <c r="B164">
        <f>Skills!B4</f>
        <v/>
      </c>
      <c r="C164">
        <f>Inputs!$B$3&gt;=38</f>
        <v/>
      </c>
      <c r="D164">
        <f>IF(Skills!C4=1,60+Inputs!$B$26+Inputs!$B$30,IF(Skills!C4=2,90+Inputs!$B$27+Inputs!$B$30,IF(Skills!C4=3,120+Inputs!$B$28+Inputs!$B$30,MAX(0,(Inputs!$B$3-100)*3)+Inputs!$B$29+Inputs!$B$30)))</f>
        <v/>
      </c>
      <c r="E164">
        <f>INDEX(FactorTable!$B$2:$Y$301, MATCH(ROUND(MIN(300,MAX(1,D164)),0), FactorTable!$A$2:$A$301,0), Skills!L4+1)</f>
        <v/>
      </c>
      <c r="F164">
        <f>IF(Skills!M4=TRUE,(Skills!K4/10)*(E164/1000),Skills!K4/10)+Skills!N4</f>
        <v/>
      </c>
      <c r="G164">
        <f>Calc!G4</f>
        <v/>
      </c>
      <c r="H164">
        <f>Calc!H4</f>
        <v/>
      </c>
      <c r="I164">
        <f>IF(Skills!T4&lt;&gt;"",1+(Skills!T4/10)*($Z$3/1000)/100,1)</f>
        <v/>
      </c>
      <c r="J164" t="inlineStr"/>
      <c r="K164" t="inlineStr"/>
      <c r="L164" t="inlineStr"/>
      <c r="M164" t="inlineStr"/>
      <c r="N164" t="inlineStr"/>
      <c r="O164" t="n">
        <v>0</v>
      </c>
      <c r="P164">
        <f>IF(B200=0,0,O164/B200)</f>
        <v/>
      </c>
      <c r="Q164">
        <f>IFERROR(1/IF(Inputs!$B$39="pvp",15,MAX(0.1,Skills!D4-IF(Skills!E4=TRUE,Inputs!$B$33,0))),0)</f>
        <v/>
      </c>
      <c r="R164">
        <f>IF(AND(Inputs!$B$39&lt;&gt;"pvp",Inputs!$B$44&gt;0),IF(Inputs!$B$44&lt;=0,0,(INT(Inputs!$B$44/IF(Inputs!$B$39="pvp",15,MAX(0.1,Skills!D4-IF(Skills!E4=TRUE,Inputs!$B$33,0))))+1)),0)</f>
        <v/>
      </c>
      <c r="T164">
        <f>290*T163/1000</f>
        <v/>
      </c>
    </row>
    <row r="165">
      <c r="A165">
        <f>Skills!A5</f>
        <v/>
      </c>
      <c r="B165">
        <f>Skills!B5</f>
        <v/>
      </c>
      <c r="C165">
        <f>Inputs!$B$3&gt;=40</f>
        <v/>
      </c>
      <c r="D165">
        <f>IF(Skills!C5=1,60+Inputs!$B$26+Inputs!$B$30,IF(Skills!C5=2,90+Inputs!$B$27+Inputs!$B$30,IF(Skills!C5=3,120+Inputs!$B$28+Inputs!$B$30,MAX(0,(Inputs!$B$3-100)*3)+Inputs!$B$29+Inputs!$B$30)))</f>
        <v/>
      </c>
      <c r="E165">
        <f>INDEX(FactorTable!$B$2:$Y$301, MATCH(ROUND(MIN(300,MAX(1,D165)),0), FactorTable!$A$2:$A$301,0), Skills!L5+1)</f>
        <v/>
      </c>
      <c r="F165">
        <f>IF(Skills!M5=TRUE,(Skills!K5/10)*(E165/1000),Skills!K5/10)+Skills!N5</f>
        <v/>
      </c>
      <c r="G165">
        <f>Calc!G5</f>
        <v/>
      </c>
      <c r="H165">
        <f>Calc!H5</f>
        <v/>
      </c>
      <c r="I165">
        <f>IF(Skills!T5&lt;&gt;"",1+(Skills!T5/10)*($Z$3/1000)/100,1)</f>
        <v/>
      </c>
      <c r="J165" t="inlineStr"/>
      <c r="K165" t="inlineStr"/>
      <c r="L165" t="inlineStr"/>
      <c r="M165" t="inlineStr"/>
      <c r="N165" t="inlineStr"/>
      <c r="O165" t="n">
        <v>0</v>
      </c>
      <c r="P165">
        <f>IF(B200=0,0,O165/B200)</f>
        <v/>
      </c>
      <c r="Q165">
        <f>IFERROR(1/IF(Inputs!$B$39="pvp",15,MAX(0.1,Skills!D5-IF(Skills!E5=TRUE,Inputs!$B$33,0))),0)</f>
        <v/>
      </c>
      <c r="R165">
        <f>IF(AND(Inputs!$B$39&lt;&gt;"pvp",Inputs!$B$44&gt;0),IF(Inputs!$B$44&lt;=0,0,(INT(Inputs!$B$44/IF(Inputs!$B$39="pvp",15,MAX(0.1,Skills!D5-IF(Skills!E5=TRUE,Inputs!$B$33,0))))+1)),0)</f>
        <v/>
      </c>
    </row>
    <row r="166">
      <c r="A166">
        <f>Skills!A6</f>
        <v/>
      </c>
      <c r="B166">
        <f>Skills!B6</f>
        <v/>
      </c>
      <c r="C166">
        <f>Inputs!$B$3&gt;=103</f>
        <v/>
      </c>
      <c r="D166">
        <f>IF(Skills!C6=1,60+Inputs!$B$26+Inputs!$B$30,IF(Skills!C6=2,90+Inputs!$B$27+Inputs!$B$30,IF(Skills!C6=3,120+Inputs!$B$28+Inputs!$B$30,MAX(0,(Inputs!$B$3-100)*3)+Inputs!$B$29+Inputs!$B$30)))</f>
        <v/>
      </c>
      <c r="E166">
        <f>INDEX(FactorTable!$B$2:$Y$301, MATCH(ROUND(MIN(300,MAX(1,D166)),0), FactorTable!$A$2:$A$301,0), Skills!L6+1)</f>
        <v/>
      </c>
      <c r="F166">
        <f>IF(Skills!M6=TRUE,(Skills!K6/10)*(E166/1000),Skills!K6/10)+Skills!N6</f>
        <v/>
      </c>
      <c r="G166">
        <f>Calc!G6</f>
        <v/>
      </c>
      <c r="H166">
        <f>Calc!H6</f>
        <v/>
      </c>
      <c r="I166">
        <f>IF(Skills!T6&lt;&gt;"",1+(Skills!T6/10)*($Z$3/1000)/100,1)</f>
        <v/>
      </c>
      <c r="J166">
        <f>((Inputs!$B$6*(1+Inputs!$B$7/100))+(((Inputs!$B$13*(1+Inputs!$B$14/100))-(Inputs!$B$13*(1+Inputs!$B$14/100)))+0.25*(Inputs!$B$15-Inputs!$B$15))*(1+Inputs!$B$7/100))*(F166/100)</f>
        <v/>
      </c>
      <c r="K166">
        <f>J166*(1+(((Inputs!$B$13+IF(Inputs!$B$3&gt;=35,(10*INDEX(FactorTable!$B$2:$Y$301, MATCH(ROUND(MIN(300,MAX(1,Inputs!$B$3)),0), FactorTable!$A$2:$A$301,0), 23)/1000)/100*(Inputs!$B$8*(1+((Inputs!$B$9+1)+B198)/100)),0))*(1+Inputs!$B$14/100))*0.01+Inputs!$B$15*0.0025)/100)*(1+(Inputs!$B$16+B192)/100)*(1+IF(Inputs!$B$39="pvp",0,(1-Summary!$B$48)*(Inputs!$B$21+Skills!O6+B190)+Summary!$B$48*(Inputs!$B$22+Skills!P6+B191))/100)*(1+Inputs!$B$17/100)*(5000/(6000+Inputs!$B$43*(1-Inputs!$B$20/100)))*(1+Inputs!$B$25/100)*(1+IF(C178=TRUE,F178,0)/100)*(1+IF(C180=TRUE,F180,0)/100)*(1+IF(Skills!A6="TRIUMPH_FEATHER",IF(C176=TRUE,F176,0),0)/100)*(1+IF(C187=TRUE,F187,0)/100)^5*(1+(IF(Skills!A6="BIG_BANG",Inputs!$B$18,Inputs!$B$19))/100)*(B189*I166)</f>
        <v/>
      </c>
      <c r="L166">
        <f>K166*(MIN(Inputs!$B$23+(F182-Calc!F22),Inputs!$B$24)/100+Inputs!$B$24/100)/2</f>
        <v/>
      </c>
      <c r="M166">
        <f>L166*(1+(Inputs!$B$11+B193+(F185-Calc!F25))/100)</f>
        <v/>
      </c>
      <c r="N166">
        <f>L166*(1-MIN(Inputs!$B$10+((F184-Calc!F24)+(F183-Calc!F23)),100)/100)+M166*(MIN(Inputs!$B$10+((F184-Calc!F24)+(F183-Calc!F23)),100)/100)</f>
        <v/>
      </c>
      <c r="O166">
        <f>IF(C166,H166*N166*IF(AND(Inputs!$B$39&lt;&gt;"pvp",Inputs!$B$44&gt;0),((Skills!F6*((R166-1)*IF(Skills!G6&gt;0,Skills!H6/Skills!G6,1)+IF(Skills!G6&gt;0,MIN(Skills!H6,MAX(0,MAX(0,Inputs!$B$44-B199)-((R166-1)*IF(Inputs!$B$39="pvp",15,MAX(0.1,Skills!D6-IF(Skills!E6=TRUE,Inputs!$B$33,0))))))/Skills!G6,1)))/Inputs!$B$44),G166*Q166)*IF(Inputs!$B$39="pvp",1,(1-Summary!$B$48)*(1)+Summary!$B$48*(MIN(Skills!Q6,Inputs!$B$38))),0)</f>
        <v/>
      </c>
      <c r="P166">
        <f>IF(B200=0,0,O166/B200)</f>
        <v/>
      </c>
      <c r="Q166">
        <f>IFERROR(1/IF(Inputs!$B$39="pvp",15,MAX(0.1,Skills!D6-IF(Skills!E6=TRUE,Inputs!$B$33,0))),0)</f>
        <v/>
      </c>
      <c r="R166">
        <f>IF(AND(Inputs!$B$39&lt;&gt;"pvp",Inputs!$B$44&gt;0),IF(MAX(0,Inputs!$B$44-B199)&lt;=0,0,(INT(MAX(0,Inputs!$B$44-B199)/IF(Inputs!$B$39="pvp",15,MAX(0.1,Skills!D6-IF(Skills!E6=TRUE,Inputs!$B$33,0))))+1)),0)</f>
        <v/>
      </c>
    </row>
    <row r="167">
      <c r="A167">
        <f>Skills!A7</f>
        <v/>
      </c>
      <c r="B167">
        <f>Skills!B7</f>
        <v/>
      </c>
      <c r="C167">
        <f>Inputs!$B$3&gt;=122</f>
        <v/>
      </c>
      <c r="D167">
        <f>IF(Skills!C7=1,60+Inputs!$B$26+Inputs!$B$30,IF(Skills!C7=2,90+Inputs!$B$27+Inputs!$B$30,IF(Skills!C7=3,120+Inputs!$B$28+Inputs!$B$30,MAX(0,(Inputs!$B$3-100)*3)+Inputs!$B$29+Inputs!$B$30)))</f>
        <v/>
      </c>
      <c r="E167">
        <f>INDEX(FactorTable!$B$2:$Y$301, MATCH(ROUND(MIN(300,MAX(1,D167)),0), FactorTable!$A$2:$A$301,0), Skills!L7+1)</f>
        <v/>
      </c>
      <c r="F167">
        <f>IF(Skills!M7=TRUE,(Skills!K7/10)*(E167/1000),Skills!K7/10)+Skills!N7</f>
        <v/>
      </c>
      <c r="G167">
        <f>Calc!G7</f>
        <v/>
      </c>
      <c r="H167">
        <f>Calc!H7</f>
        <v/>
      </c>
      <c r="I167">
        <f>IF(Skills!T7&lt;&gt;"",1+(Skills!T7/10)*($Z$3/1000)/100,1)</f>
        <v/>
      </c>
      <c r="J167">
        <f>((Inputs!$B$6*(1+Inputs!$B$7/100))+(((Inputs!$B$13*(1+Inputs!$B$14/100))-(Inputs!$B$13*(1+Inputs!$B$14/100)))+0.25*(Inputs!$B$15-Inputs!$B$15))*(1+Inputs!$B$7/100))*(F167/100)</f>
        <v/>
      </c>
      <c r="K167">
        <f>J167*(1+(((Inputs!$B$13+IF(Inputs!$B$3&gt;=35,(10*INDEX(FactorTable!$B$2:$Y$301, MATCH(ROUND(MIN(300,MAX(1,Inputs!$B$3)),0), FactorTable!$A$2:$A$301,0), 23)/1000)/100*(Inputs!$B$8*(1+((Inputs!$B$9+1)+B198)/100)),0))*(1+Inputs!$B$14/100))*0.01+Inputs!$B$15*0.0025)/100)*(1+(Inputs!$B$16+B192)/100)*(1+IF(Inputs!$B$39="pvp",0,(1-Summary!$B$48)*(Inputs!$B$21+Skills!O7+B190)+Summary!$B$48*(Inputs!$B$22+Skills!P7+B191))/100)*(1+Inputs!$B$17/100)*(5000/(6000+Inputs!$B$43*(1-Inputs!$B$20/100)))*(1+Inputs!$B$25/100)*(1+IF(C178=TRUE,F178,0)/100)*(1+IF(C180=TRUE,F180,0)/100)*(1+IF(Skills!A7="TRIUMPH_FEATHER",IF(C176=TRUE,F176,0),0)/100)*(1+IF(C187=TRUE,F187,0)/100)^5*(1+(IF(Skills!A7="BIG_BANG",Inputs!$B$18,Inputs!$B$19))/100)*(B189*I167)</f>
        <v/>
      </c>
      <c r="L167">
        <f>K167*(MIN(Inputs!$B$23+(F182-Calc!F22),Inputs!$B$24)/100+Inputs!$B$24/100)/2</f>
        <v/>
      </c>
      <c r="M167">
        <f>L167*(1+(Inputs!$B$11+B193+(F185-Calc!F25))/100)</f>
        <v/>
      </c>
      <c r="N167">
        <f>L167*(1-MIN(Inputs!$B$10+((F184-Calc!F24)+(F183-Calc!F23)),100)/100)+M167*(MIN(Inputs!$B$10+((F184-Calc!F24)+(F183-Calc!F23)),100)/100)</f>
        <v/>
      </c>
      <c r="O167">
        <f>IF(C167,H167*N167*IF(AND(Inputs!$B$39&lt;&gt;"pvp",Inputs!$B$44&gt;0),((Skills!F7*((R167-1)*IF(Skills!G7&gt;0,Skills!H7/Skills!G7,1)+IF(Skills!G7&gt;0,MIN(Skills!H7,MAX(0,MAX(0,Inputs!$B$44-B199)-((R167-1)*IF(Inputs!$B$39="pvp",15,MAX(0.1,Skills!D7-IF(Skills!E6=TRUE,Inputs!$B$33,0))))))/Skills!G7,1)))/Inputs!$B$44),G167*Q167)*(1-Summary!$B$48),0)</f>
        <v/>
      </c>
      <c r="P167">
        <f>IF(B200=0,0,O167/B200)</f>
        <v/>
      </c>
      <c r="Q167">
        <f>IFERROR(1/IF(Inputs!$B$39="pvp",15,MAX(0.1,Skills!D7-IF(Skills!E6=TRUE,Inputs!$B$33,0))),0)</f>
        <v/>
      </c>
      <c r="R167">
        <f>IF(AND(Inputs!$B$39&lt;&gt;"pvp",Inputs!$B$44&gt;0),IF(MAX(0,Inputs!$B$44-B199)&lt;=0,0,(INT(MAX(0,Inputs!$B$44-B199)/IF(Inputs!$B$39="pvp",15,MAX(0.1,Skills!D7-IF(Skills!E6=TRUE,Inputs!$B$33,0))))+1)),0)</f>
        <v/>
      </c>
    </row>
    <row r="168">
      <c r="A168">
        <f>Skills!A8</f>
        <v/>
      </c>
      <c r="B168">
        <f>Skills!B8</f>
        <v/>
      </c>
      <c r="C168">
        <f>Inputs!$B$3&gt;=105</f>
        <v/>
      </c>
      <c r="D168">
        <f>IF(Skills!C8=1,60+Inputs!$B$26+Inputs!$B$30,IF(Skills!C8=2,90+Inputs!$B$27+Inputs!$B$30,IF(Skills!C8=3,120+Inputs!$B$28+Inputs!$B$30,MAX(0,(Inputs!$B$3-100)*3)+Inputs!$B$29+Inputs!$B$30)))</f>
        <v/>
      </c>
      <c r="E168">
        <f>INDEX(FactorTable!$B$2:$Y$301, MATCH(ROUND(MIN(300,MAX(1,D168)),0), FactorTable!$A$2:$A$301,0), Skills!L8+1)</f>
        <v/>
      </c>
      <c r="F168">
        <f>IF(Skills!M8=TRUE,(Skills!K8/10)*(E168/1000),Skills!K8/10)+Skills!N8</f>
        <v/>
      </c>
      <c r="G168">
        <f>Calc!G8</f>
        <v/>
      </c>
      <c r="H168">
        <f>Calc!H8</f>
        <v/>
      </c>
      <c r="I168">
        <f>IF(Skills!T8&lt;&gt;"",1+(Skills!T8/10)*($Z$3/1000)/100,1)</f>
        <v/>
      </c>
      <c r="J168">
        <f>((Inputs!$B$6*(1+Inputs!$B$7/100))+(((Inputs!$B$13*(1+Inputs!$B$14/100))-(Inputs!$B$13*(1+Inputs!$B$14/100)))+0.25*(Inputs!$B$15-Inputs!$B$15))*(1+Inputs!$B$7/100))*(F168/100)</f>
        <v/>
      </c>
      <c r="K168">
        <f>J168*(1+(((Inputs!$B$13+IF(Inputs!$B$3&gt;=35,(10*INDEX(FactorTable!$B$2:$Y$301, MATCH(ROUND(MIN(300,MAX(1,Inputs!$B$3)),0), FactorTable!$A$2:$A$301,0), 23)/1000)/100*(Inputs!$B$8*(1+((Inputs!$B$9+1)+B198)/100)),0))*(1+Inputs!$B$14/100))*0.01+Inputs!$B$15*0.0025)/100)*(1+(Inputs!$B$16+B192)/100)*(1+IF(Inputs!$B$39="pvp",0,(1-Summary!$B$48)*(Inputs!$B$21+Skills!O8+B190)+Summary!$B$48*(Inputs!$B$22+Skills!P8+B191))/100)*(1+Inputs!$B$17/100)*(5000/(6000+Inputs!$B$43*(1-Inputs!$B$20/100)))*(1+Inputs!$B$25/100)*(1+IF(C178=TRUE,F178,0)/100)*(1+IF(C180=TRUE,F180,0)/100)*(1+IF(Skills!A8="TRIUMPH_FEATHER",IF(C176=TRUE,F176,0),0)/100)*(1+IF(C187=TRUE,F187,0)/100)^5*(1+(IF(Skills!A8="BIG_BANG",Inputs!$B$18,Inputs!$B$19))/100)*(B189*I168)</f>
        <v/>
      </c>
      <c r="L168">
        <f>K168*(MIN(Inputs!$B$23+(F182-Calc!F22),Inputs!$B$24)/100+Inputs!$B$24/100)/2</f>
        <v/>
      </c>
      <c r="M168">
        <f>L168*(1+(Inputs!$B$11+B193+(F185-Calc!F25))/100)</f>
        <v/>
      </c>
      <c r="N168">
        <f>L168*(1-MIN(Inputs!$B$10+((F184-Calc!F24)+(F183-Calc!F23)),100)/100)+M168*(MIN(Inputs!$B$10+((F184-Calc!F24)+(F183-Calc!F23)),100)/100)</f>
        <v/>
      </c>
      <c r="O168">
        <f>IF(C168,H168*N168*IF(AND(Inputs!$B$39&lt;&gt;"pvp",Inputs!$B$44&gt;0),((Skills!F8*((R168-1)*IF(Skills!G8&gt;0,Skills!H8/Skills!G8,1)+IF(Skills!G8&gt;0,MIN(Skills!H8,MAX(0,MAX(0,Inputs!$B$44-B199)-((R168-1)*IF(Inputs!$B$39="pvp",15,MAX(0.1,Skills!D8-IF(Skills!E8=TRUE,Inputs!$B$33,0))))))/Skills!G8,1)))/Inputs!$B$44),G168*Q168)*IF(Inputs!$B$39="pvp",1,(1-Summary!$B$48)*(1)+Summary!$B$48*(MIN(Skills!Q8,Inputs!$B$38))),0)</f>
        <v/>
      </c>
      <c r="P168">
        <f>IF(B200=0,0,O168/B200)</f>
        <v/>
      </c>
      <c r="Q168">
        <f>IFERROR(1/IF(Inputs!$B$39="pvp",15,MAX(0.1,Skills!D8-IF(Skills!E8=TRUE,Inputs!$B$33,0))),0)</f>
        <v/>
      </c>
      <c r="R168">
        <f>IF(AND(Inputs!$B$39&lt;&gt;"pvp",Inputs!$B$44&gt;0),IF(MAX(0,Inputs!$B$44-B199)&lt;=0,0,(INT(MAX(0,Inputs!$B$44-B199)/IF(Inputs!$B$39="pvp",15,MAX(0.1,Skills!D8-IF(Skills!E8=TRUE,Inputs!$B$33,0))))+1)),0)</f>
        <v/>
      </c>
    </row>
    <row r="169">
      <c r="A169">
        <f>Skills!A9</f>
        <v/>
      </c>
      <c r="B169">
        <f>Skills!B9</f>
        <v/>
      </c>
      <c r="C169">
        <f>Inputs!$B$3&gt;=115</f>
        <v/>
      </c>
      <c r="D169">
        <f>IF(Skills!C9=1,60+Inputs!$B$26+Inputs!$B$30,IF(Skills!C9=2,90+Inputs!$B$27+Inputs!$B$30,IF(Skills!C9=3,120+Inputs!$B$28+Inputs!$B$30,MAX(0,(Inputs!$B$3-100)*3)+Inputs!$B$29+Inputs!$B$30)))</f>
        <v/>
      </c>
      <c r="E169">
        <f>INDEX(FactorTable!$B$2:$Y$301, MATCH(ROUND(MIN(300,MAX(1,D169)),0), FactorTable!$A$2:$A$301,0), Skills!L9+1)</f>
        <v/>
      </c>
      <c r="F169">
        <f>IF(Skills!M9=TRUE,(Skills!K9/10)*(E169/1000),Skills!K9/10)+Skills!N9</f>
        <v/>
      </c>
      <c r="G169">
        <f>Calc!G9</f>
        <v/>
      </c>
      <c r="H169">
        <f>Calc!H9</f>
        <v/>
      </c>
      <c r="I169">
        <f>IF(Skills!T9&lt;&gt;"",1+(Skills!T9/10)*($Z$3/1000)/100,1)</f>
        <v/>
      </c>
      <c r="J169">
        <f>((Inputs!$B$6*(1+Inputs!$B$7/100))+(((Inputs!$B$13*(1+Inputs!$B$14/100))-(Inputs!$B$13*(1+Inputs!$B$14/100)))+0.25*(Inputs!$B$15-Inputs!$B$15))*(1+Inputs!$B$7/100))*(F169/100)</f>
        <v/>
      </c>
      <c r="K169">
        <f>J169*(1+(((Inputs!$B$13+IF(Inputs!$B$3&gt;=35,(10*INDEX(FactorTable!$B$2:$Y$301, MATCH(ROUND(MIN(300,MAX(1,Inputs!$B$3)),0), FactorTable!$A$2:$A$301,0), 23)/1000)/100*(Inputs!$B$8*(1+((Inputs!$B$9+1)+B198)/100)),0))*(1+Inputs!$B$14/100))*0.01+Inputs!$B$15*0.0025)/100)*(1+(Inputs!$B$16+B192)/100)*(1+IF(Inputs!$B$39="pvp",0,(1-Summary!$B$48)*(Inputs!$B$21+Skills!O9+B190)+Summary!$B$48*(Inputs!$B$22+Skills!P9+B191))/100)*(1+Inputs!$B$17/100)*(5000/(6000+Inputs!$B$43*(1-Inputs!$B$20/100)))*(1+Inputs!$B$25/100)*(1+IF(C178=TRUE,F178,0)/100)*(1+IF(C180=TRUE,F180,0)/100)*(1+IF(Skills!A9="TRIUMPH_FEATHER",IF(C176=TRUE,F176,0),0)/100)*(1+IF(C187=TRUE,F187,0)/100)^5*(1+(IF(Skills!A9="BIG_BANG",Inputs!$B$18,Inputs!$B$19))/100)*(B189*I169)</f>
        <v/>
      </c>
      <c r="L169">
        <f>K169*(MIN(Inputs!$B$23+(F182-Calc!F22),Inputs!$B$24)/100+Inputs!$B$24/100)/2</f>
        <v/>
      </c>
      <c r="M169">
        <f>L169*(1+(Inputs!$B$11+B193+(F185-Calc!F25))/100)</f>
        <v/>
      </c>
      <c r="N169">
        <f>L169*(1-MIN(Inputs!$B$10+((F184-Calc!F24)+(F183-Calc!F23)),100)/100)+M169*(MIN(Inputs!$B$10+((F184-Calc!F24)+(F183-Calc!F23)),100)/100)</f>
        <v/>
      </c>
      <c r="O169">
        <f>IF(C169,H169*N169*IF(AND(Inputs!$B$39&lt;&gt;"pvp",Inputs!$B$44&gt;0),((Skills!F9*((R169-1)*IF(Skills!G9&gt;0,Skills!H9/Skills!G9,1)+IF(Skills!G9&gt;0,MIN(Skills!H9,MAX(0,MAX(0,Inputs!$B$44-B199)-((R169-1)*IF(Inputs!$B$39="pvp",15,MAX(0.1,Skills!D9-IF(Skills!E9=TRUE,Inputs!$B$33,0))))))/Skills!G9,1)))/Inputs!$B$44),G169*Q169)*IF(Inputs!$B$39="pvp",1,(1-Summary!$B$48)*(1)+Summary!$B$48*(MIN(Skills!Q9,Inputs!$B$38))),0)</f>
        <v/>
      </c>
      <c r="P169">
        <f>IF(B200=0,0,O169/B200)</f>
        <v/>
      </c>
      <c r="Q169">
        <f>IFERROR(1/IF(Inputs!$B$39="pvp",15,MAX(0.1,Skills!D9-IF(Skills!E9=TRUE,Inputs!$B$33,0))),0)</f>
        <v/>
      </c>
      <c r="R169">
        <f>IF(AND(Inputs!$B$39&lt;&gt;"pvp",Inputs!$B$44&gt;0),IF(MAX(0,Inputs!$B$44-B199)&lt;=0,0,(INT(MAX(0,Inputs!$B$44-B199)/IF(Inputs!$B$39="pvp",15,MAX(0.1,Skills!D9-IF(Skills!E9=TRUE,Inputs!$B$33,0))))+1)),0)</f>
        <v/>
      </c>
    </row>
    <row r="170">
      <c r="A170">
        <f>Skills!A10</f>
        <v/>
      </c>
      <c r="B170">
        <f>Skills!B10</f>
        <v/>
      </c>
      <c r="C170">
        <f>Inputs!$B$3&gt;=66</f>
        <v/>
      </c>
      <c r="D170">
        <f>IF(Skills!C10=1,60+Inputs!$B$26+Inputs!$B$30,IF(Skills!C10=2,90+Inputs!$B$27+Inputs!$B$30,IF(Skills!C10=3,120+Inputs!$B$28+Inputs!$B$30,MAX(0,(Inputs!$B$3-100)*3)+Inputs!$B$29+Inputs!$B$30)))</f>
        <v/>
      </c>
      <c r="E170">
        <f>INDEX(FactorTable!$B$2:$Y$301, MATCH(ROUND(MIN(300,MAX(1,D170)),0), FactorTable!$A$2:$A$301,0), Skills!L10+1)</f>
        <v/>
      </c>
      <c r="F170" t="n">
        <v>0</v>
      </c>
      <c r="G170">
        <f>Calc!G10</f>
        <v/>
      </c>
      <c r="H170">
        <f>Calc!H10</f>
        <v/>
      </c>
      <c r="I170">
        <f>IF(Skills!T10&lt;&gt;"",1+(Skills!T10/10)*($Z$3/1000)/100,1)</f>
        <v/>
      </c>
      <c r="J170" t="inlineStr"/>
      <c r="K170" t="inlineStr"/>
      <c r="L170" t="inlineStr"/>
      <c r="M170" t="inlineStr"/>
      <c r="N170" t="inlineStr"/>
      <c r="O170" t="n">
        <v>0</v>
      </c>
      <c r="P170">
        <f>IF(B200=0,0,O170/B200)</f>
        <v/>
      </c>
      <c r="Q170">
        <f>IFERROR(1/IF(Inputs!$B$39="pvp",15,MAX(0.1,Skills!D10-IF(Skills!E10=TRUE,Inputs!$B$33,0))),0)</f>
        <v/>
      </c>
      <c r="R170">
        <f>IF(AND(Inputs!$B$39&lt;&gt;"pvp",Inputs!$B$44&gt;0),IF(MAX(0,Inputs!$B$44-B199)&lt;=0,0,(INT(MAX(0,Inputs!$B$44-B199)/IF(Inputs!$B$39="pvp",15,MAX(0.1,Skills!D10-IF(Skills!E10=TRUE,Inputs!$B$33,0))))+1)),0)</f>
        <v/>
      </c>
    </row>
    <row r="171">
      <c r="A171">
        <f>Skills!A11</f>
        <v/>
      </c>
      <c r="B171">
        <f>Skills!B11</f>
        <v/>
      </c>
      <c r="C171">
        <f>Inputs!$B$3&gt;=69</f>
        <v/>
      </c>
      <c r="D171">
        <f>IF(Skills!C11=1,60+Inputs!$B$26+Inputs!$B$30,IF(Skills!C11=2,90+Inputs!$B$27+Inputs!$B$30,IF(Skills!C11=3,120+Inputs!$B$28+Inputs!$B$30,MAX(0,(Inputs!$B$3-100)*3)+Inputs!$B$29+Inputs!$B$30)))</f>
        <v/>
      </c>
      <c r="E171">
        <f>INDEX(FactorTable!$B$2:$Y$301, MATCH(ROUND(MIN(300,MAX(1,D171)),0), FactorTable!$A$2:$A$301,0), Skills!L11+1)</f>
        <v/>
      </c>
      <c r="F171">
        <f>IF(Skills!M11=TRUE,(Skills!K11/10)*(E171/1000),Skills!K11/10)+Skills!N11</f>
        <v/>
      </c>
      <c r="G171">
        <f>Calc!G11</f>
        <v/>
      </c>
      <c r="H171">
        <f>Calc!H11</f>
        <v/>
      </c>
      <c r="I171">
        <f>IF(Skills!T11&lt;&gt;"",1+(Skills!T11/10)*($Z$3/1000)/100,1)</f>
        <v/>
      </c>
      <c r="J171" t="inlineStr"/>
      <c r="K171" t="inlineStr"/>
      <c r="L171" t="inlineStr"/>
      <c r="M171" t="inlineStr"/>
      <c r="N171" t="inlineStr"/>
      <c r="O171" t="n">
        <v>0</v>
      </c>
      <c r="P171">
        <f>IF(B200=0,0,O171/B200)</f>
        <v/>
      </c>
      <c r="Q171">
        <f>IFERROR(1/IF(Inputs!$B$39="pvp",15,MAX(0.1,Skills!D11-IF(Skills!E11=TRUE,Inputs!$B$33,0))),0)</f>
        <v/>
      </c>
      <c r="R171">
        <f>IF(AND(Inputs!$B$39&lt;&gt;"pvp",Inputs!$B$44&gt;0),IF(Inputs!$B$44&lt;=0,0,(INT(Inputs!$B$44/IF(Inputs!$B$39="pvp",15,MAX(0.1,Skills!D11-IF(Skills!E11=TRUE,Inputs!$B$33,0))))+1)),0)</f>
        <v/>
      </c>
    </row>
    <row r="172">
      <c r="A172">
        <f>Skills!A12</f>
        <v/>
      </c>
      <c r="B172">
        <f>Skills!B12</f>
        <v/>
      </c>
      <c r="C172">
        <f>Inputs!$B$3&gt;=72</f>
        <v/>
      </c>
      <c r="D172">
        <f>IF(Skills!C12=1,60+Inputs!$B$26+Inputs!$B$30,IF(Skills!C12=2,90+Inputs!$B$27+Inputs!$B$30,IF(Skills!C12=3,120+Inputs!$B$28+Inputs!$B$30,MAX(0,(Inputs!$B$3-100)*3)+Inputs!$B$29+Inputs!$B$30)))</f>
        <v/>
      </c>
      <c r="E172">
        <f>INDEX(FactorTable!$B$2:$Y$301, MATCH(ROUND(MIN(300,MAX(1,D172)),0), FactorTable!$A$2:$A$301,0), Skills!L12+1)</f>
        <v/>
      </c>
      <c r="F172">
        <f>IF(Skills!M12=TRUE,(Skills!K12/10)*(E172/1000),Skills!K12/10)+Skills!N12</f>
        <v/>
      </c>
      <c r="G172">
        <f>Calc!G12</f>
        <v/>
      </c>
      <c r="H172">
        <f>Calc!H12</f>
        <v/>
      </c>
      <c r="I172">
        <f>IF(Skills!T12&lt;&gt;"",1+(Skills!T12/10)*($Z$3/1000)/100,1)</f>
        <v/>
      </c>
      <c r="J172" t="inlineStr"/>
      <c r="K172" t="inlineStr"/>
      <c r="L172" t="inlineStr"/>
      <c r="M172" t="inlineStr"/>
      <c r="N172" t="inlineStr"/>
      <c r="O172" t="n">
        <v>0</v>
      </c>
      <c r="P172">
        <f>IF(B200=0,0,O172/B200)</f>
        <v/>
      </c>
      <c r="Q172">
        <f>IFERROR(1/IF(Inputs!$B$39="pvp",15,MAX(0.1,Skills!D12-IF(Skills!E12=TRUE,Inputs!$B$33,0))),0)</f>
        <v/>
      </c>
      <c r="R172">
        <f>IF(AND(Inputs!$B$39&lt;&gt;"pvp",Inputs!$B$44&gt;0),IF(MAX(0,Inputs!$B$44-B199)&lt;=0,0,(INT(MAX(0,Inputs!$B$44-B199)/IF(Inputs!$B$39="pvp",15,MAX(0.1,Skills!D12-IF(Skills!E12=TRUE,Inputs!$B$33,0))))+1)),0)</f>
        <v/>
      </c>
    </row>
    <row r="173">
      <c r="A173">
        <f>Skills!A13</f>
        <v/>
      </c>
      <c r="B173">
        <f>Skills!B13</f>
        <v/>
      </c>
      <c r="C173">
        <f>Inputs!$B$3&gt;=60</f>
        <v/>
      </c>
      <c r="D173">
        <f>IF(Skills!C13=1,60+Inputs!$B$26+Inputs!$B$30,IF(Skills!C13=2,90+Inputs!$B$27+Inputs!$B$30,IF(Skills!C13=3,120+Inputs!$B$28+Inputs!$B$30,MAX(0,(Inputs!$B$3-100)*3)+Inputs!$B$29+Inputs!$B$30)))</f>
        <v/>
      </c>
      <c r="E173">
        <f>INDEX(FactorTable!$B$2:$Y$301, MATCH(ROUND(MIN(300,MAX(1,D173)),0), FactorTable!$A$2:$A$301,0), Skills!L13+1)</f>
        <v/>
      </c>
      <c r="F173">
        <f>IF(Skills!M13=TRUE,(Skills!K13/10)*(E173/1000),Skills!K13/10)+Skills!N13</f>
        <v/>
      </c>
      <c r="G173">
        <f>Calc!G13</f>
        <v/>
      </c>
      <c r="H173">
        <f>Calc!H13</f>
        <v/>
      </c>
      <c r="I173">
        <f>IF(Skills!T13&lt;&gt;"",1+(Skills!T13/10)*($Z$3/1000)/100,1)</f>
        <v/>
      </c>
      <c r="J173" t="inlineStr"/>
      <c r="K173" t="inlineStr"/>
      <c r="L173" t="inlineStr"/>
      <c r="M173" t="inlineStr"/>
      <c r="N173" t="inlineStr"/>
      <c r="O173" t="n">
        <v>0</v>
      </c>
      <c r="P173">
        <f>IF(B200=0,0,O173/B200)</f>
        <v/>
      </c>
      <c r="Q173">
        <f>IFERROR(1/IF(Inputs!$B$39="pvp",15,MAX(0.1,Skills!D13-IF(Skills!E13=TRUE,Inputs!$B$33,0))),0)</f>
        <v/>
      </c>
      <c r="R173">
        <f>IF(AND(Inputs!$B$39&lt;&gt;"pvp",Inputs!$B$44&gt;0),IF(MAX(0,Inputs!$B$44-B199)&lt;=0,0,(INT(MAX(0,Inputs!$B$44-B199)/IF(Inputs!$B$39="pvp",15,MAX(0.1,Skills!D13-IF(Skills!E13=TRUE,Inputs!$B$33,0))))+1)),0)</f>
        <v/>
      </c>
    </row>
    <row r="174">
      <c r="A174">
        <f>Skills!A14</f>
        <v/>
      </c>
      <c r="B174">
        <f>Skills!B14</f>
        <v/>
      </c>
      <c r="C174">
        <f>Inputs!$B$3&gt;=107</f>
        <v/>
      </c>
      <c r="D174">
        <f>IF(Skills!C14=1,60+Inputs!$B$26+Inputs!$B$30,IF(Skills!C14=2,90+Inputs!$B$27+Inputs!$B$30,IF(Skills!C14=3,120+Inputs!$B$28+Inputs!$B$30,MAX(0,(Inputs!$B$3-100)*3)+Inputs!$B$29+Inputs!$B$30)))</f>
        <v/>
      </c>
      <c r="E174">
        <f>INDEX(FactorTable!$B$2:$Y$301, MATCH(ROUND(MIN(300,MAX(1,D174)),0), FactorTable!$A$2:$A$301,0), Skills!L14+1)</f>
        <v/>
      </c>
      <c r="F174">
        <f>IF(Skills!M14=TRUE,(Skills!K14/10)*(E174/1000),Skills!K14/10)+Skills!N14</f>
        <v/>
      </c>
      <c r="G174">
        <f>Calc!G14</f>
        <v/>
      </c>
      <c r="H174">
        <f>Calc!H14</f>
        <v/>
      </c>
      <c r="I174">
        <f>IF(Skills!T14&lt;&gt;"",1+(Skills!T14/10)*($Z$3/1000)/100,1)</f>
        <v/>
      </c>
      <c r="J174" t="inlineStr"/>
      <c r="K174" t="inlineStr"/>
      <c r="L174" t="inlineStr"/>
      <c r="M174" t="inlineStr"/>
      <c r="N174" t="inlineStr"/>
      <c r="O174" t="n">
        <v>0</v>
      </c>
      <c r="P174">
        <f>IF(B200=0,0,O174/B200)</f>
        <v/>
      </c>
      <c r="Q174">
        <f>IFERROR(1/IF(Inputs!$B$39="pvp",15,MAX(0.1,Skills!D14-IF(Skills!E14=TRUE,Inputs!$B$33,0))),0)</f>
        <v/>
      </c>
      <c r="R174">
        <f>IF(AND(Inputs!$B$39&lt;&gt;"pvp",Inputs!$B$44&gt;0),IF(Inputs!$B$44&lt;=0,0,(INT(Inputs!$B$44/IF(Inputs!$B$39="pvp",15,MAX(0.1,Skills!D14-IF(Skills!E14=TRUE,Inputs!$B$33,0))))+1)),0)</f>
        <v/>
      </c>
    </row>
    <row r="175">
      <c r="A175">
        <f>Skills!A15</f>
        <v/>
      </c>
      <c r="B175">
        <f>Skills!B15</f>
        <v/>
      </c>
      <c r="C175">
        <f>Inputs!$B$3&gt;=63</f>
        <v/>
      </c>
      <c r="D175">
        <f>IF(Skills!C15=1,60+Inputs!$B$26+Inputs!$B$30,IF(Skills!C15=2,90+Inputs!$B$27+Inputs!$B$30,IF(Skills!C15=3,120+Inputs!$B$28+Inputs!$B$30,MAX(0,(Inputs!$B$3-100)*3)+Inputs!$B$29+Inputs!$B$30)))</f>
        <v/>
      </c>
      <c r="E175">
        <f>INDEX(FactorTable!$B$2:$Y$301, MATCH(ROUND(MIN(300,MAX(1,D175)),0), FactorTable!$A$2:$A$301,0), Skills!L15+1)</f>
        <v/>
      </c>
      <c r="F175">
        <f>IF(Skills!M15=TRUE,(Skills!K15/10)*(E175/1000),Skills!K15/10)+Skills!N15</f>
        <v/>
      </c>
      <c r="G175">
        <f>Calc!G15</f>
        <v/>
      </c>
      <c r="H175">
        <f>Calc!H15</f>
        <v/>
      </c>
      <c r="I175">
        <f>IF(Skills!T15&lt;&gt;"",1+(Skills!T15/10)*($Z$3/1000)/100,1)</f>
        <v/>
      </c>
      <c r="J175">
        <f>((Inputs!$B$6*(1+Inputs!$B$7/100))+(((Inputs!$B$13*(1+Inputs!$B$14/100))-(Inputs!$B$13*(1+Inputs!$B$14/100)))+0.25*(Inputs!$B$15-Inputs!$B$15))*(1+Inputs!$B$7/100))*(F175/100)</f>
        <v/>
      </c>
      <c r="K175">
        <f>J175*(1+(((Inputs!$B$13+IF(Inputs!$B$3&gt;=35,(10*INDEX(FactorTable!$B$2:$Y$301, MATCH(ROUND(MIN(300,MAX(1,Inputs!$B$3)),0), FactorTable!$A$2:$A$301,0), 23)/1000)/100*(Inputs!$B$8*(1+((Inputs!$B$9+1)+B198)/100)),0))*(1+Inputs!$B$14/100))*0.01+Inputs!$B$15*0.0025)/100)*(1+(Inputs!$B$16+B192)/100)*(1+IF(Inputs!$B$39="pvp",0,(1-Summary!$B$48)*(Inputs!$B$21+Skills!O15+B190)+Summary!$B$48*(Inputs!$B$22+Skills!P15+B191))/100)*(1+Inputs!$B$17/100)*(5000/(6000+Inputs!$B$43*(1-Inputs!$B$20/100)))*(1+Inputs!$B$25/100)*(1+IF(C178=TRUE,F178,0)/100)*(1+IF(C180=TRUE,F180,0)/100)*(1+IF(Skills!A15="TRIUMPH_FEATHER",IF(C176=TRUE,F176,0),0)/100)*(1+IF(C187=TRUE,F187,0)/100)^5*(1+(IF(Skills!A15="BIG_BANG",Inputs!$B$18,Inputs!$B$19))/100)*(B189*I175)</f>
        <v/>
      </c>
      <c r="L175">
        <f>K175*(MIN(Inputs!$B$23+(F182-Calc!F22),Inputs!$B$24)/100+Inputs!$B$24/100)/2</f>
        <v/>
      </c>
      <c r="M175">
        <f>L175*(1+(Inputs!$B$11+B193+(F185-Calc!F25))/100)</f>
        <v/>
      </c>
      <c r="N175">
        <f>L175*(1-MIN(Inputs!$B$10+((F184-Calc!F24)+(F183-Calc!F23)),100)/100)+M175*(MIN(Inputs!$B$10+((F184-Calc!F24)+(F183-Calc!F23)),100)/100)</f>
        <v/>
      </c>
      <c r="O175">
        <f>IF(C175,Skills!F15*N175*((IF(Inputs!$B$3&gt;=78,25,15)/100*B195*10)/(1+IF(Inputs!$B$3&gt;=78,25,15)/100*B195*10))*(Skills!I15/100*B195)/(1+Skills!G15*Skills!I15/100*B195)*IF(Inputs!$B$39="pvp",1,(1-Summary!$B$48)*(1)+Summary!$B$48*(MIN(Skills!Q15,Inputs!$B$38))),0)</f>
        <v/>
      </c>
      <c r="P175">
        <f>IF(B200=0,0,O175/B200)</f>
        <v/>
      </c>
      <c r="Q175">
        <f>IFERROR(1/IF(Inputs!$B$39="pvp",15,MAX(0.1,Skills!D15-IF(Skills!E15=TRUE,Inputs!$B$33,0))),0)</f>
        <v/>
      </c>
      <c r="R175" t="n">
        <v>0</v>
      </c>
    </row>
    <row r="176">
      <c r="A176">
        <f>Skills!A16</f>
        <v/>
      </c>
      <c r="B176">
        <f>Skills!B16</f>
        <v/>
      </c>
      <c r="C176">
        <f>Inputs!$B$3&gt;=100</f>
        <v/>
      </c>
      <c r="D176">
        <f>IF(Skills!C16=1,60+Inputs!$B$26+Inputs!$B$30,IF(Skills!C16=2,90+Inputs!$B$27+Inputs!$B$30,IF(Skills!C16=3,120+Inputs!$B$28+Inputs!$B$30,MAX(0,(Inputs!$B$3-100)*3)+Inputs!$B$29+Inputs!$B$30)))</f>
        <v/>
      </c>
      <c r="E176">
        <f>INDEX(FactorTable!$B$2:$Y$301, MATCH(ROUND(MIN(300,MAX(1,D176)),0), FactorTable!$A$2:$A$301,0), Skills!L16+1)</f>
        <v/>
      </c>
      <c r="F176">
        <f>IF(Skills!M16=TRUE,(Skills!K16/10)*(E176/1000),Skills!K16/10)+Skills!N16</f>
        <v/>
      </c>
      <c r="G176">
        <f>Calc!G16</f>
        <v/>
      </c>
      <c r="H176">
        <f>Calc!H16</f>
        <v/>
      </c>
      <c r="I176">
        <f>IF(Skills!T16&lt;&gt;"",1+(Skills!T16/10)*($Z$3/1000)/100,1)</f>
        <v/>
      </c>
      <c r="J176" t="inlineStr"/>
      <c r="K176" t="inlineStr"/>
      <c r="L176" t="inlineStr"/>
      <c r="M176" t="inlineStr"/>
      <c r="N176" t="inlineStr"/>
      <c r="O176" t="n">
        <v>0</v>
      </c>
      <c r="P176">
        <f>IF(B200=0,0,O176/B200)</f>
        <v/>
      </c>
      <c r="Q176">
        <f>IFERROR(1/IF(Inputs!$B$39="pvp",15,MAX(0.1,Skills!D16-IF(Skills!E16=TRUE,Inputs!$B$33,0))),0)</f>
        <v/>
      </c>
      <c r="R176" t="n">
        <v>0</v>
      </c>
    </row>
    <row r="177">
      <c r="A177">
        <f>Skills!A17</f>
        <v/>
      </c>
      <c r="B177">
        <f>Skills!B17</f>
        <v/>
      </c>
      <c r="C177">
        <f>Inputs!$B$3&gt;=49</f>
        <v/>
      </c>
      <c r="D177">
        <f>IF(Skills!C17=1,60+Inputs!$B$26+Inputs!$B$30,IF(Skills!C17=2,90+Inputs!$B$27+Inputs!$B$30,IF(Skills!C17=3,120+Inputs!$B$28+Inputs!$B$30,MAX(0,(Inputs!$B$3-100)*3)+Inputs!$B$29+Inputs!$B$30)))</f>
        <v/>
      </c>
      <c r="E177">
        <f>INDEX(FactorTable!$B$2:$Y$301, MATCH(ROUND(MIN(300,MAX(1,D177)),0), FactorTable!$A$2:$A$301,0), Skills!L17+1)</f>
        <v/>
      </c>
      <c r="F177">
        <f>IF(Skills!M17=TRUE,(Skills!K17/10)*(E177/1000),Skills!K17/10)+Skills!N17</f>
        <v/>
      </c>
      <c r="G177">
        <f>Calc!G17</f>
        <v/>
      </c>
      <c r="H177">
        <f>Calc!H17</f>
        <v/>
      </c>
      <c r="I177">
        <f>IF(Skills!T17&lt;&gt;"",1+(Skills!T17/10)*($Z$3/1000)/100,1)</f>
        <v/>
      </c>
      <c r="J177" t="inlineStr"/>
      <c r="K177" t="inlineStr"/>
      <c r="L177" t="inlineStr"/>
      <c r="M177" t="inlineStr"/>
      <c r="N177" t="inlineStr"/>
      <c r="O177" t="n">
        <v>0</v>
      </c>
      <c r="P177">
        <f>IF(B200=0,0,O177/B200)</f>
        <v/>
      </c>
      <c r="Q177">
        <f>IFERROR(1/IF(Inputs!$B$39="pvp",15,MAX(0.1,Skills!D17-IF(Skills!E17=TRUE,Inputs!$B$33,0))),0)</f>
        <v/>
      </c>
      <c r="R177" t="n">
        <v>0</v>
      </c>
    </row>
    <row r="178">
      <c r="A178">
        <f>Skills!A18</f>
        <v/>
      </c>
      <c r="B178">
        <f>Skills!B18</f>
        <v/>
      </c>
      <c r="C178">
        <f>Inputs!$B$3&gt;=75</f>
        <v/>
      </c>
      <c r="D178">
        <f>IF(Skills!C18=1,60+Inputs!$B$26+Inputs!$B$30,IF(Skills!C18=2,90+Inputs!$B$27+Inputs!$B$30,IF(Skills!C18=3,120+Inputs!$B$28+Inputs!$B$30,MAX(0,(Inputs!$B$3-100)*3)+Inputs!$B$29+Inputs!$B$30)))</f>
        <v/>
      </c>
      <c r="E178">
        <f>INDEX(FactorTable!$B$2:$Y$301, MATCH(ROUND(MIN(300,MAX(1,D178)),0), FactorTable!$A$2:$A$301,0), Skills!L18+1)</f>
        <v/>
      </c>
      <c r="F178">
        <f>IF(Skills!M18=TRUE,(Skills!K18/10)*(E178/1000),Skills!K18/10)+Skills!N18</f>
        <v/>
      </c>
      <c r="G178">
        <f>Calc!G18</f>
        <v/>
      </c>
      <c r="H178">
        <f>Calc!H18</f>
        <v/>
      </c>
      <c r="I178">
        <f>IF(Skills!T18&lt;&gt;"",1+(Skills!T18/10)*($Z$3/1000)/100,1)</f>
        <v/>
      </c>
      <c r="J178" t="inlineStr"/>
      <c r="K178" t="inlineStr"/>
      <c r="L178" t="inlineStr"/>
      <c r="M178" t="inlineStr"/>
      <c r="N178" t="inlineStr"/>
      <c r="O178" t="n">
        <v>0</v>
      </c>
      <c r="P178">
        <f>IF(B200=0,0,O178/B200)</f>
        <v/>
      </c>
      <c r="Q178">
        <f>IFERROR(1/IF(Inputs!$B$39="pvp",15,MAX(0.1,Skills!D18-IF(Skills!E18=TRUE,Inputs!$B$33,0))),0)</f>
        <v/>
      </c>
      <c r="R178" t="n">
        <v>0</v>
      </c>
    </row>
    <row r="179">
      <c r="A179">
        <f>Skills!A19</f>
        <v/>
      </c>
      <c r="B179">
        <f>Skills!B19</f>
        <v/>
      </c>
      <c r="C179">
        <f>Inputs!$B$3&gt;=110</f>
        <v/>
      </c>
      <c r="D179">
        <f>IF(Skills!C19=1,60+Inputs!$B$26+Inputs!$B$30,IF(Skills!C19=2,90+Inputs!$B$27+Inputs!$B$30,IF(Skills!C19=3,120+Inputs!$B$28+Inputs!$B$30,MAX(0,(Inputs!$B$3-100)*3)+Inputs!$B$29+Inputs!$B$30)))</f>
        <v/>
      </c>
      <c r="E179">
        <f>INDEX(FactorTable!$B$2:$Y$301, MATCH(ROUND(MIN(300,MAX(1,D179)),0), FactorTable!$A$2:$A$301,0), Skills!L19+1)</f>
        <v/>
      </c>
      <c r="F179">
        <f>(Skills!K19/10)*(E179/1000)*64/45+Skills!N19</f>
        <v/>
      </c>
      <c r="G179">
        <f>Calc!G19</f>
        <v/>
      </c>
      <c r="H179">
        <f>Calc!H19</f>
        <v/>
      </c>
      <c r="I179">
        <f>IF(Skills!T19&lt;&gt;"",1+(Skills!T19/10)*($Z$3/1000)/100,1)</f>
        <v/>
      </c>
      <c r="J179" t="inlineStr"/>
      <c r="K179" t="inlineStr"/>
      <c r="L179" t="inlineStr"/>
      <c r="M179" t="inlineStr"/>
      <c r="N179" t="inlineStr"/>
      <c r="O179" t="n">
        <v>0</v>
      </c>
      <c r="P179">
        <f>IF(B200=0,0,O179/B200)</f>
        <v/>
      </c>
      <c r="Q179">
        <f>IFERROR(1/IF(Inputs!$B$39="pvp",15,MAX(0.1,Skills!D19-IF(Skills!E19=TRUE,Inputs!$B$33,0))),0)</f>
        <v/>
      </c>
      <c r="R179">
        <f>IF(AND(Inputs!$B$39&lt;&gt;"pvp",Inputs!$B$44&gt;0),IF(Inputs!$B$44&lt;=0,0,(INT(Inputs!$B$44/IF(Inputs!$B$39="pvp",15,MAX(0.1,Skills!D19-IF(Skills!E19=TRUE,Inputs!$B$33,0))))+1)),0)</f>
        <v/>
      </c>
    </row>
    <row r="180">
      <c r="A180">
        <f>Skills!A20</f>
        <v/>
      </c>
      <c r="B180">
        <f>Skills!B20</f>
        <v/>
      </c>
      <c r="C180">
        <f>Inputs!$B$3&gt;=125</f>
        <v/>
      </c>
      <c r="D180">
        <f>IF(Skills!C20=1,60+Inputs!$B$26+Inputs!$B$30,IF(Skills!C20=2,90+Inputs!$B$27+Inputs!$B$30,IF(Skills!C20=3,120+Inputs!$B$28+Inputs!$B$30,MAX(0,(Inputs!$B$3-100)*3)+Inputs!$B$29+Inputs!$B$30)))</f>
        <v/>
      </c>
      <c r="E180">
        <f>INDEX(FactorTable!$B$2:$Y$301, MATCH(ROUND(MIN(300,MAX(1,D180)),0), FactorTable!$A$2:$A$301,0), Skills!L20+1)</f>
        <v/>
      </c>
      <c r="F180">
        <f>IF(Skills!M20=TRUE,(Skills!K20/10)*(E180/1000),Skills!K20/10)+Skills!N20</f>
        <v/>
      </c>
      <c r="G180">
        <f>Calc!G20</f>
        <v/>
      </c>
      <c r="H180">
        <f>Calc!H20</f>
        <v/>
      </c>
      <c r="I180">
        <f>IF(Skills!T20&lt;&gt;"",1+(Skills!T20/10)*($Z$3/1000)/100,1)</f>
        <v/>
      </c>
      <c r="J180" t="inlineStr"/>
      <c r="K180" t="inlineStr"/>
      <c r="L180" t="inlineStr"/>
      <c r="M180" t="inlineStr"/>
      <c r="N180" t="inlineStr"/>
      <c r="O180" t="n">
        <v>0</v>
      </c>
      <c r="P180">
        <f>IF(B200=0,0,O180/B200)</f>
        <v/>
      </c>
      <c r="Q180">
        <f>IFERROR(1/IF(Inputs!$B$39="pvp",15,MAX(0.1,Skills!D20-IF(Skills!E20=TRUE,Inputs!$B$33,0))),0)</f>
        <v/>
      </c>
      <c r="R180" t="n">
        <v>0</v>
      </c>
    </row>
    <row r="181">
      <c r="A181">
        <f>Skills!A21</f>
        <v/>
      </c>
      <c r="B181">
        <f>Skills!B21</f>
        <v/>
      </c>
      <c r="C181">
        <f>Inputs!$B$3&gt;=33</f>
        <v/>
      </c>
      <c r="D181">
        <f>IF(Skills!C21=1,60+Inputs!$B$26+Inputs!$B$30,IF(Skills!C21=2,90+Inputs!$B$27+Inputs!$B$30,IF(Skills!C21=3,120+Inputs!$B$28+Inputs!$B$30,MAX(0,(Inputs!$B$3-100)*3)+Inputs!$B$29+Inputs!$B$30)))</f>
        <v/>
      </c>
      <c r="E181">
        <f>INDEX(FactorTable!$B$2:$Y$301, MATCH(ROUND(MIN(300,MAX(1,D181)),0), FactorTable!$A$2:$A$301,0), Skills!L21+1)</f>
        <v/>
      </c>
      <c r="F181">
        <f>IF(Skills!M21=TRUE,(Skills!K21/10)*(E181/1000),Skills!K21/10)+Skills!N21</f>
        <v/>
      </c>
      <c r="G181">
        <f>Calc!G21</f>
        <v/>
      </c>
      <c r="H181">
        <f>Calc!H21</f>
        <v/>
      </c>
      <c r="I181">
        <f>IF(Skills!T21&lt;&gt;"",1+(Skills!T21/10)*($Z$3/1000)/100,1)</f>
        <v/>
      </c>
      <c r="J181" t="inlineStr"/>
      <c r="K181" t="inlineStr"/>
      <c r="L181" t="inlineStr"/>
      <c r="M181" t="inlineStr"/>
      <c r="N181" t="inlineStr"/>
      <c r="O181" t="n">
        <v>0</v>
      </c>
      <c r="P181">
        <f>IF(B200=0,0,O181/B200)</f>
        <v/>
      </c>
      <c r="Q181">
        <f>IFERROR(1/IF(Inputs!$B$39="pvp",15,MAX(0.1,Skills!D21-IF(Skills!E21=TRUE,Inputs!$B$33,0))),0)</f>
        <v/>
      </c>
      <c r="R181" t="n">
        <v>0</v>
      </c>
    </row>
    <row r="182">
      <c r="A182">
        <f>Skills!A22</f>
        <v/>
      </c>
      <c r="B182">
        <f>Skills!B22</f>
        <v/>
      </c>
      <c r="C182">
        <f>Inputs!$B$3&gt;=43</f>
        <v/>
      </c>
      <c r="D182">
        <f>IF(Skills!C22=1,60+Inputs!$B$26+Inputs!$B$30,IF(Skills!C22=2,90+Inputs!$B$27+Inputs!$B$30,IF(Skills!C22=3,120+Inputs!$B$28+Inputs!$B$30,MAX(0,(Inputs!$B$3-100)*3)+Inputs!$B$29+Inputs!$B$30)))</f>
        <v/>
      </c>
      <c r="E182">
        <f>INDEX(FactorTable!$B$2:$Y$301, MATCH(ROUND(MIN(300,MAX(1,D182)),0), FactorTable!$A$2:$A$301,0), Skills!L22+1)</f>
        <v/>
      </c>
      <c r="F182">
        <f>IF(Skills!M22=TRUE,(Skills!K22/10)*(E182/1000),Skills!K22/10)+Skills!N22</f>
        <v/>
      </c>
      <c r="G182">
        <f>Calc!G22</f>
        <v/>
      </c>
      <c r="H182">
        <f>Calc!H22</f>
        <v/>
      </c>
      <c r="I182">
        <f>IF(Skills!T22&lt;&gt;"",1+(Skills!T22/10)*($Z$3/1000)/100,1)</f>
        <v/>
      </c>
      <c r="J182" t="inlineStr"/>
      <c r="K182" t="inlineStr"/>
      <c r="L182" t="inlineStr"/>
      <c r="M182" t="inlineStr"/>
      <c r="N182" t="inlineStr"/>
      <c r="O182" t="n">
        <v>0</v>
      </c>
      <c r="P182">
        <f>IF(B200=0,0,O182/B200)</f>
        <v/>
      </c>
      <c r="Q182">
        <f>IFERROR(1/IF(Inputs!$B$39="pvp",15,MAX(0.1,Skills!D22-IF(Skills!E22=TRUE,Inputs!$B$33,0))),0)</f>
        <v/>
      </c>
      <c r="R182" t="n">
        <v>0</v>
      </c>
    </row>
    <row r="183">
      <c r="A183">
        <f>Skills!A23</f>
        <v/>
      </c>
      <c r="B183">
        <f>Skills!B23</f>
        <v/>
      </c>
      <c r="C183">
        <f>Inputs!$B$3&gt;=50</f>
        <v/>
      </c>
      <c r="D183">
        <f>IF(Skills!C23=1,60+Inputs!$B$26+Inputs!$B$30,IF(Skills!C23=2,90+Inputs!$B$27+Inputs!$B$30,IF(Skills!C23=3,120+Inputs!$B$28+Inputs!$B$30,MAX(0,(Inputs!$B$3-100)*3)+Inputs!$B$29+Inputs!$B$30)))</f>
        <v/>
      </c>
      <c r="E183">
        <f>INDEX(FactorTable!$B$2:$Y$301, MATCH(ROUND(MIN(300,MAX(1,D183)),0), FactorTable!$A$2:$A$301,0), Skills!L23+1)</f>
        <v/>
      </c>
      <c r="F183">
        <f>IF(Skills!M23=TRUE,(Skills!K23/10)*(E183/1000),Skills!K23/10)+Skills!N23</f>
        <v/>
      </c>
      <c r="G183">
        <f>Calc!G23</f>
        <v/>
      </c>
      <c r="H183">
        <f>Calc!H23</f>
        <v/>
      </c>
      <c r="I183">
        <f>IF(Skills!T23&lt;&gt;"",1+(Skills!T23/10)*($Z$3/1000)/100,1)</f>
        <v/>
      </c>
      <c r="J183" t="inlineStr"/>
      <c r="K183" t="inlineStr"/>
      <c r="L183" t="inlineStr"/>
      <c r="M183" t="inlineStr"/>
      <c r="N183" t="inlineStr"/>
      <c r="O183" t="n">
        <v>0</v>
      </c>
      <c r="P183">
        <f>IF(B200=0,0,O183/B200)</f>
        <v/>
      </c>
      <c r="Q183">
        <f>IFERROR(1/IF(Inputs!$B$39="pvp",15,MAX(0.1,Skills!D23-IF(Skills!E23=TRUE,Inputs!$B$33,0))),0)</f>
        <v/>
      </c>
      <c r="R183" t="n">
        <v>0</v>
      </c>
    </row>
    <row r="184">
      <c r="A184">
        <f>Skills!A24</f>
        <v/>
      </c>
      <c r="B184">
        <f>Skills!B24</f>
        <v/>
      </c>
      <c r="C184">
        <f>Inputs!$B$3&gt;=74</f>
        <v/>
      </c>
      <c r="D184">
        <f>IF(Skills!C24=1,60+Inputs!$B$26+Inputs!$B$30,IF(Skills!C24=2,90+Inputs!$B$27+Inputs!$B$30,IF(Skills!C24=3,120+Inputs!$B$28+Inputs!$B$30,MAX(0,(Inputs!$B$3-100)*3)+Inputs!$B$29+Inputs!$B$30)))</f>
        <v/>
      </c>
      <c r="E184">
        <f>INDEX(FactorTable!$B$2:$Y$301, MATCH(ROUND(MIN(300,MAX(1,D184)),0), FactorTable!$A$2:$A$301,0), Skills!L24+1)</f>
        <v/>
      </c>
      <c r="F184">
        <f>IF(Skills!M24=TRUE,(Skills!K24/10)*(E184/1000),Skills!K24/10)+Skills!N24</f>
        <v/>
      </c>
      <c r="G184">
        <f>Calc!G24</f>
        <v/>
      </c>
      <c r="H184">
        <f>Calc!H24</f>
        <v/>
      </c>
      <c r="I184">
        <f>IF(Skills!T24&lt;&gt;"",1+(Skills!T24/10)*($Z$3/1000)/100,1)</f>
        <v/>
      </c>
      <c r="J184" t="inlineStr"/>
      <c r="K184" t="inlineStr"/>
      <c r="L184" t="inlineStr"/>
      <c r="M184" t="inlineStr"/>
      <c r="N184" t="inlineStr"/>
      <c r="O184" t="n">
        <v>0</v>
      </c>
      <c r="P184">
        <f>IF(B200=0,0,O184/B200)</f>
        <v/>
      </c>
      <c r="Q184">
        <f>IFERROR(1/IF(Inputs!$B$39="pvp",15,MAX(0.1,Skills!D24-IF(Skills!E24=TRUE,Inputs!$B$33,0))),0)</f>
        <v/>
      </c>
      <c r="R184" t="n">
        <v>0</v>
      </c>
    </row>
    <row r="185">
      <c r="A185">
        <f>Skills!A25</f>
        <v/>
      </c>
      <c r="B185">
        <f>Skills!B25</f>
        <v/>
      </c>
      <c r="C185">
        <f>Inputs!$B$3&gt;=74</f>
        <v/>
      </c>
      <c r="D185">
        <f>IF(Skills!C25=1,60+Inputs!$B$26+Inputs!$B$30,IF(Skills!C25=2,90+Inputs!$B$27+Inputs!$B$30,IF(Skills!C25=3,120+Inputs!$B$28+Inputs!$B$30,MAX(0,(Inputs!$B$3-100)*3)+Inputs!$B$29+Inputs!$B$30)))</f>
        <v/>
      </c>
      <c r="E185">
        <f>INDEX(FactorTable!$B$2:$Y$301, MATCH(ROUND(MIN(300,MAX(1,D185)),0), FactorTable!$A$2:$A$301,0), Skills!L25+1)</f>
        <v/>
      </c>
      <c r="F185">
        <f>IF(Skills!M25=TRUE,(Skills!K25/10)*(E185/1000),Skills!K25/10)+Skills!N25</f>
        <v/>
      </c>
      <c r="G185">
        <f>Calc!G25</f>
        <v/>
      </c>
      <c r="H185">
        <f>Calc!H25</f>
        <v/>
      </c>
      <c r="I185">
        <f>IF(Skills!T25&lt;&gt;"",1+(Skills!T25/10)*($Z$3/1000)/100,1)</f>
        <v/>
      </c>
      <c r="J185" t="inlineStr"/>
      <c r="K185" t="inlineStr"/>
      <c r="L185" t="inlineStr"/>
      <c r="M185" t="inlineStr"/>
      <c r="N185" t="inlineStr"/>
      <c r="O185" t="n">
        <v>0</v>
      </c>
      <c r="P185">
        <f>IF(B200=0,0,O185/B200)</f>
        <v/>
      </c>
      <c r="Q185">
        <f>IFERROR(1/IF(Inputs!$B$39="pvp",15,MAX(0.1,Skills!D25-IF(Skills!E25=TRUE,Inputs!$B$33,0))),0)</f>
        <v/>
      </c>
      <c r="R185" t="n">
        <v>0</v>
      </c>
    </row>
    <row r="186">
      <c r="A186">
        <f>Skills!A26</f>
        <v/>
      </c>
      <c r="B186">
        <f>Skills!B26</f>
        <v/>
      </c>
      <c r="C186">
        <f>Inputs!$B$3&gt;=117</f>
        <v/>
      </c>
      <c r="D186">
        <f>IF(Skills!C26=1,60+Inputs!$B$26+Inputs!$B$30,IF(Skills!C26=2,90+Inputs!$B$27+Inputs!$B$30,IF(Skills!C26=3,120+Inputs!$B$28+Inputs!$B$30,MAX(0,(Inputs!$B$3-100)*3)+Inputs!$B$29+Inputs!$B$30)))</f>
        <v/>
      </c>
      <c r="E186">
        <f>INDEX(FactorTable!$B$2:$Y$301, MATCH(ROUND(MIN(300,MAX(1,D186)),0), FactorTable!$A$2:$A$301,0), Skills!L26+1)</f>
        <v/>
      </c>
      <c r="F186">
        <f>IF(Skills!M26=TRUE,(Skills!K26/10)*(E186/1000),Skills!K26/10)+Skills!N26</f>
        <v/>
      </c>
      <c r="G186">
        <f>Calc!G26</f>
        <v/>
      </c>
      <c r="H186">
        <f>Calc!H26</f>
        <v/>
      </c>
      <c r="I186">
        <f>IF(Skills!T26&lt;&gt;"",1+(Skills!T26/10)*($Z$3/1000)/100,1)</f>
        <v/>
      </c>
      <c r="J186" t="inlineStr"/>
      <c r="K186" t="inlineStr"/>
      <c r="L186" t="inlineStr"/>
      <c r="M186" t="inlineStr"/>
      <c r="N186" t="inlineStr"/>
      <c r="O186" t="n">
        <v>0</v>
      </c>
      <c r="P186">
        <f>IF(B200=0,0,O186/B200)</f>
        <v/>
      </c>
      <c r="Q186">
        <f>IFERROR(1/IF(Inputs!$B$39="pvp",15,MAX(0.1,Skills!D26-IF(Skills!E26=TRUE,Inputs!$B$33,0))),0)</f>
        <v/>
      </c>
      <c r="R186" t="n">
        <v>0</v>
      </c>
    </row>
    <row r="187">
      <c r="A187">
        <f>Skills!A27</f>
        <v/>
      </c>
      <c r="B187">
        <f>Skills!B27</f>
        <v/>
      </c>
      <c r="C187">
        <f>Inputs!$B$3&gt;=120</f>
        <v/>
      </c>
      <c r="D187">
        <f>IF(Skills!C27=1,60+Inputs!$B$26+Inputs!$B$30,IF(Skills!C27=2,90+Inputs!$B$27+Inputs!$B$30,IF(Skills!C27=3,120+Inputs!$B$28+Inputs!$B$30,MAX(0,(Inputs!$B$3-100)*3)+Inputs!$B$29+Inputs!$B$30)))</f>
        <v/>
      </c>
      <c r="E187">
        <f>INDEX(FactorTable!$B$2:$Y$301, MATCH(ROUND(MIN(300,MAX(1,D187)),0), FactorTable!$A$2:$A$301,0), Skills!L27+1)</f>
        <v/>
      </c>
      <c r="F187">
        <f>IF(Skills!M27=TRUE,(Skills!K27/10)*(E187/1000),Skills!K27/10)+Skills!N27</f>
        <v/>
      </c>
      <c r="G187">
        <f>Calc!G27</f>
        <v/>
      </c>
      <c r="H187">
        <f>Calc!H27</f>
        <v/>
      </c>
      <c r="I187">
        <f>IF(Skills!T27&lt;&gt;"",1+(Skills!T27/10)*($Z$3/1000)/100,1)</f>
        <v/>
      </c>
      <c r="J187" t="inlineStr"/>
      <c r="K187" t="inlineStr"/>
      <c r="L187" t="inlineStr"/>
      <c r="M187" t="inlineStr"/>
      <c r="N187" t="inlineStr"/>
      <c r="O187" t="n">
        <v>0</v>
      </c>
      <c r="P187">
        <f>IF(B200=0,0,O187/B200)</f>
        <v/>
      </c>
      <c r="Q187">
        <f>IFERROR(1/IF(Inputs!$B$39="pvp",15,MAX(0.1,Skills!D27-IF(Skills!E27=TRUE,Inputs!$B$33,0))),0)</f>
        <v/>
      </c>
      <c r="R187" t="n">
        <v>0</v>
      </c>
    </row>
    <row r="189">
      <c r="A189" t="inlineStr">
        <is>
          <t>Average Buff Multiplier</t>
        </is>
      </c>
      <c r="B189">
        <f>(1+(IF(C163=TRUE,F163*IF(AND(Inputs!$B$39&lt;&gt;"pvp",Inputs!$B$44&gt;0),(((R163-1)*(Skills!S3*(1+(Inputs!$B$35+IF(Inputs!$B$3&gt;=117,F186,0))/100))+MIN((Skills!S3*(1+(Inputs!$B$35+IF(Inputs!$B$3&gt;=117,F186,0))/100)),MAX(0,Inputs!$B$44-((R163-1)*Skills!D3))))/Inputs!$B$44),IF(Inputs!$B$39="pvp",MIN((Skills!S3*(1+(Inputs!$B$35+IF(Inputs!$B$3&gt;=117,F186,0))/100)),15)/15,(Skills!S3*(1+(Inputs!$B$35+IF(Inputs!$B$3&gt;=117,F186,0))/100))/Skills!D3)),0)+IF(C164=TRUE,F164*IF(AND(Inputs!$B$39&lt;&gt;"pvp",Inputs!$B$44&gt;0),(((R164-1)*(Skills!S4*(1+(Inputs!$B$35+IF(Inputs!$B$3&gt;=117,F186,0))/100))+MIN((Skills!S4*(1+(Inputs!$B$35+IF(Inputs!$B$3&gt;=117,F186,0))/100)),MAX(0,Inputs!$B$44-((R164-1)*Skills!D4))))/Inputs!$B$44),IF(Inputs!$B$39="pvp",MIN((Skills!S4*(1+(Inputs!$B$35+IF(Inputs!$B$3&gt;=117,F186,0))/100)),15)/15,(Skills!S4*(1+(Inputs!$B$35+IF(Inputs!$B$3&gt;=117,F186,0))/100))/Skills!D4)),0)+IF(C165=TRUE,F165*IF(AND(Inputs!$B$39&lt;&gt;"pvp",Inputs!$B$44&gt;0),(((R165-1)*(Skills!S5*(1+(Inputs!$B$35+IF(Inputs!$B$3&gt;=117,F186,0))/100))+MIN((Skills!S5*(1+(Inputs!$B$35+IF(Inputs!$B$3&gt;=117,F186,0))/100)),MAX(0,Inputs!$B$44-((R165-1)*Skills!D5))))/Inputs!$B$44),IF(Inputs!$B$39="pvp",MIN((Skills!S5*(1+(Inputs!$B$35+IF(Inputs!$B$3&gt;=117,F186,0))/100)),15)/15,(Skills!S5*(1+(Inputs!$B$35+IF(Inputs!$B$3&gt;=117,F186,0))/100))/Skills!D5)),0)+IF(C171=TRUE,F171*IF(AND(Inputs!$B$39&lt;&gt;"pvp",Inputs!$B$44&gt;0),(((R171-1)*(Skills!S11*(1+(Inputs!$B$35+IF(Inputs!$B$3&gt;=117,F186,0))/100))+MIN((Skills!S11*(1+(Inputs!$B$35+IF(Inputs!$B$3&gt;=117,F186,0))/100)),MAX(0,Inputs!$B$44-((R171-1)*Skills!D11))))/Inputs!$B$44),IF(Inputs!$B$39="pvp",MIN((Skills!S11*(1+(Inputs!$B$35+IF(Inputs!$B$3&gt;=117,F186,0))/100)),15)/15,(Skills!S11*(1+(Inputs!$B$35+IF(Inputs!$B$3&gt;=117,F186,0))/100))/Skills!D11)),0))/100)*IF(C174=TRUE,(1+F174*IF(AND(Inputs!$B$39&lt;&gt;"pvp",Inputs!$B$44&gt;0),(((R174-1)*(Skills!S14*(1+(Inputs!$B$35+IF(Inputs!$B$3&gt;=117,F186,0))/100))+MIN((Skills!S14*(1+(Inputs!$B$35+IF(Inputs!$B$3&gt;=117,F186,0))/100)),MAX(0,Inputs!$B$44-((R174-1)*Skills!D14))))/Inputs!$B$44),IF(Inputs!$B$39="pvp",MIN((Skills!S14*(1+(Inputs!$B$35+IF(Inputs!$B$3&gt;=117,F186,0))/100)),15)/15,(Skills!S14*(1+(Inputs!$B$35+IF(Inputs!$B$3&gt;=117,F186,0))/100))/Skills!D14))/100),1)*IF(C179=TRUE,(1+F179*IF(AND(Inputs!$B$39&lt;&gt;"pvp",Inputs!$B$44&gt;0),(((R179-1)*(Skills!S19*(1+(Inputs!$B$35+IF(Inputs!$B$3&gt;=117,F186,0))/100))+MIN((Skills!S19*(1+(Inputs!$B$35+IF(Inputs!$B$3&gt;=117,F186,0))/100)),MAX(0,Inputs!$B$44-((R179-1)*Skills!D19))))/Inputs!$B$44),IF(Inputs!$B$39="pvp",MIN((Skills!S19*(1+(Inputs!$B$35+IF(Inputs!$B$3&gt;=117,F186,0))/100)),15)/15,(Skills!S19*(1+(Inputs!$B$35+IF(Inputs!$B$3&gt;=117,F186,0))/100))/Skills!D19))/100),1)</f>
        <v/>
      </c>
    </row>
    <row r="190">
      <c r="A190" t="inlineStr">
        <is>
          <t>Monster Damage Taken Bonus % (Holy Fountain)</t>
        </is>
      </c>
      <c r="B190">
        <f>IF(Inputs!$B$3&gt;=68,20*IF(Inputs!$B$39="pvp",MIN((15*(1+(Inputs!$B$35+IF(Inputs!$B$3&gt;=117,F186,0))/100)),15)/15,(15*(1+(Inputs!$B$35+IF(Inputs!$B$3&gt;=117,F186,0))/100))/Skills!D10),0)</f>
        <v/>
      </c>
    </row>
    <row r="191">
      <c r="A191" t="inlineStr">
        <is>
          <t>Normal Monster Damage Bonus % (Holy Symbol)</t>
        </is>
      </c>
      <c r="B191">
        <f>IF(C172=TRUE,F172*IF(AND(Inputs!$B$39&lt;&gt;"pvp",Inputs!$B$44&gt;0),(((R172-1)*(Skills!S12*(1+(Inputs!$B$35+IF(Inputs!$B$3&gt;=117,F186,0))/100))+MIN((Skills!S12*(1+(Inputs!$B$35+IF(Inputs!$B$3&gt;=117,F186,0))/100)),MAX(0,Inputs!$B$44-((R172-1)*Skills!D12))))/Inputs!$B$44),IF(Inputs!$B$39="pvp",MIN((Skills!S12*(1+(Inputs!$B$35+IF(Inputs!$B$3&gt;=117,F186,0))/100)),15)/15,(Skills!S12*(1+(Inputs!$B$35+IF(Inputs!$B$3&gt;=117,F186,0))/100))/Skills!D12)),0)</f>
        <v/>
      </c>
    </row>
    <row r="192">
      <c r="A192" t="inlineStr">
        <is>
          <t>Damage % Bonus (Holy Symbol - Damage Boost)</t>
        </is>
      </c>
      <c r="B192">
        <f>Skills!O12</f>
        <v/>
      </c>
    </row>
    <row r="193">
      <c r="A193" t="inlineStr">
        <is>
          <t>Crit Damage % Bonus (Blood of the Divine)</t>
        </is>
      </c>
      <c r="B193">
        <f>4*IF(C180=TRUE,F180,0)</f>
        <v/>
      </c>
    </row>
    <row r="194">
      <c r="A194" t="inlineStr">
        <is>
          <t>Attack Speed Bonus %</t>
        </is>
      </c>
      <c r="B194">
        <f>IF(C177=TRUE,F177+(F181-Calc!F21),0)+IF(Inputs!$B$3&gt;=134,15,0)</f>
        <v/>
      </c>
    </row>
    <row r="195">
      <c r="A195" t="inlineStr">
        <is>
          <t>Actions Per Second</t>
        </is>
      </c>
      <c r="B195">
        <f>1+MIN(150,150*(1-(1-Inputs!$B$12/150)*(1-B194/150)))/100</f>
        <v/>
      </c>
    </row>
    <row r="196">
      <c r="A196" t="inlineStr">
        <is>
          <t>Skill + Buff Cast Rate</t>
        </is>
      </c>
      <c r="B196">
        <f>IF(AND(Inputs!$B$39&lt;&gt;"pvp",Inputs!$B$44&gt;0),SUMPRODUCT((Skills!E2:E27=TRUE)*(C162:C187=TRUE)*R162:R187)/Inputs!$B$44,SUMPRODUCT((Skills!E2:E27=TRUE)*(C162:C187=TRUE)*Q162:Q187))</f>
        <v/>
      </c>
    </row>
    <row r="197">
      <c r="A197" t="inlineStr">
        <is>
          <t>Big Bang Casts Per Second</t>
        </is>
      </c>
      <c r="B197">
        <f>MAX(0,B195-B196)</f>
        <v/>
      </c>
    </row>
    <row r="198">
      <c r="A198" t="inlineStr">
        <is>
          <t>Defense % Bonus (Divine Protection)</t>
        </is>
      </c>
      <c r="B198">
        <f>IF(C173=TRUE,F173*IF(AND(Inputs!$B$39&lt;&gt;"pvp",Inputs!$B$44&gt;0),(((R173-1)*(Skills!S13*(1+(Inputs!$B$35+IF(Inputs!$B$3&gt;=117,F186,0))/100))+MIN((Skills!S13*(1+(Inputs!$B$35+IF(Inputs!$B$3&gt;=117,F186,0))/100)),MAX(0,Inputs!$B$44-((R173-1)*Skills!D13))))/Inputs!$B$44),IF(Inputs!$B$39="pvp",MIN((Skills!S13*(1+(Inputs!$B$35+IF(Inputs!$B$3&gt;=117,F186,0))/100)),15)/15,(Skills!S13*(1+(Inputs!$B$35+IF(Inputs!$B$3&gt;=117,F186,0))/100))/Skills!D13)),0)</f>
        <v/>
      </c>
    </row>
    <row r="199">
      <c r="A199" t="inlineStr">
        <is>
          <t>Buff-Casting Startup Delay (s, fixed-duration only)</t>
        </is>
      </c>
      <c r="B199">
        <f>IF(AND(Inputs!$B$39&lt;&gt;"pvp",Inputs!$B$44&gt;0),SUMPRODUCT((Skills!S2:S27&gt;0)*(Skills!E2:E27=TRUE)*(C162:C187=TRUE))/B195,0)</f>
        <v/>
      </c>
    </row>
    <row r="200">
      <c r="A200" s="5" t="inlineStr">
        <is>
          <t>TOTAL DPS</t>
        </is>
      </c>
      <c r="B200" s="5">
        <f>SUM(O162:O187)</f>
        <v/>
      </c>
    </row>
    <row r="202">
      <c r="A202" s="5" t="inlineStr">
        <is>
          <t>Stat: DAMAGE %</t>
        </is>
      </c>
    </row>
    <row r="203">
      <c r="A203" s="9" t="inlineStr">
        <is>
          <t>Key</t>
        </is>
      </c>
      <c r="B203" s="9" t="inlineStr">
        <is>
          <t>Name</t>
        </is>
      </c>
      <c r="C203" s="9" t="inlineStr">
        <is>
          <t>Unlocked</t>
        </is>
      </c>
      <c r="D203" s="9" t="inlineStr">
        <is>
          <t>InputLevel</t>
        </is>
      </c>
      <c r="E203" s="9" t="inlineStr">
        <is>
          <t>Factor</t>
        </is>
      </c>
      <c r="F203" s="9" t="inlineStr">
        <is>
          <t>CoefficientPercent</t>
        </is>
      </c>
      <c r="G203" s="9" t="inlineStr">
        <is>
          <t>EffectiveHits</t>
        </is>
      </c>
      <c r="H203" s="9" t="inlineStr">
        <is>
          <t>ProcProbability</t>
        </is>
      </c>
      <c r="I203" s="9" t="inlineStr">
        <is>
          <t>MapleHeroMultiplier</t>
        </is>
      </c>
      <c r="J203" s="9" t="inlineStr">
        <is>
          <t>BaseDamage</t>
        </is>
      </c>
      <c r="K203" s="9" t="inlineStr">
        <is>
          <t>BaseHitDamage</t>
        </is>
      </c>
      <c r="L203" s="9" t="inlineStr">
        <is>
          <t>NonCritAvg</t>
        </is>
      </c>
      <c r="M203" s="9" t="inlineStr">
        <is>
          <t>CritAvg</t>
        </is>
      </c>
      <c r="N203" s="9" t="inlineStr">
        <is>
          <t>ExpectedDamage(perHit)</t>
        </is>
      </c>
      <c r="O203" s="9" t="inlineStr">
        <is>
          <t>DPS</t>
        </is>
      </c>
      <c r="P203" s="9" t="inlineStr">
        <is>
          <t>% of Total</t>
        </is>
      </c>
      <c r="R203" t="inlineStr">
        <is>
          <t>helpers</t>
        </is>
      </c>
    </row>
    <row r="204">
      <c r="A204">
        <f>Skills!A2</f>
        <v/>
      </c>
      <c r="B204">
        <f>Skills!B2</f>
        <v/>
      </c>
      <c r="C204">
        <f>Inputs!$B$3&gt;=100</f>
        <v/>
      </c>
      <c r="D204" t="inlineStr"/>
      <c r="E204" t="inlineStr"/>
      <c r="F204">
        <f>T206+Skills!N2</f>
        <v/>
      </c>
      <c r="G204">
        <f>Calc!G2</f>
        <v/>
      </c>
      <c r="H204">
        <f>Calc!H2</f>
        <v/>
      </c>
      <c r="I204">
        <f>IF(Skills!T2&lt;&gt;"",1+(Skills!T2/10)*($Z$3/1000)/100,1)</f>
        <v/>
      </c>
      <c r="J204">
        <f>((Inputs!$B$6*(1+Inputs!$B$7/100))+(((Inputs!$B$13*(1+Inputs!$B$14/100))-(Inputs!$B$13*(1+Inputs!$B$14/100)))+0.25*(Inputs!$B$15-Inputs!$B$15))*(1+Inputs!$B$7/100))*(F204/100)</f>
        <v/>
      </c>
      <c r="K204">
        <f>J204*(1+(((Inputs!$B$13+IF(Inputs!$B$3&gt;=35,(10*INDEX(FactorTable!$B$2:$Y$301, MATCH(ROUND(MIN(300,MAX(1,Inputs!$B$3)),0), FactorTable!$A$2:$A$301,0), 23)/1000)/100*(Inputs!$B$8*(1+(Inputs!$B$9+B240)/100)),0))*(1+Inputs!$B$14/100))*0.01+Inputs!$B$15*0.0025)/100)*(1+((Inputs!$B$16+1)+B234)/100)*(1+IF(Inputs!$B$39="pvp",0,(1-Summary!$B$48)*(Inputs!$B$21+Skills!O2+B232)+Summary!$B$48*(Inputs!$B$22+Skills!P2+B233))/100)*(1+Inputs!$B$17/100)*(5000/(6000+Inputs!$B$43*(1-Inputs!$B$20/100)))*(1+Inputs!$B$25/100)*(1+IF(C220=TRUE,F220,0)/100)*(1+IF(C222=TRUE,F222,0)/100)*(1+IF(Skills!A2="TRIUMPH_FEATHER",IF(C218=TRUE,F218,0),0)/100)*(1+IF(C229=TRUE,F229,0)/100)^5*(1+(IF(Skills!A2="BIG_BANG",Inputs!$B$18,Inputs!$B$19))/100)*(B231*I204)</f>
        <v/>
      </c>
      <c r="L204">
        <f>K204*(MIN(Inputs!$B$23+(F224-Calc!F22),Inputs!$B$24)/100+Inputs!$B$24/100)/2</f>
        <v/>
      </c>
      <c r="M204">
        <f>L204*(1+(Inputs!$B$11+B235+(F227-Calc!F25))/100)</f>
        <v/>
      </c>
      <c r="N204">
        <f>L204*(1-MIN(Inputs!$B$10+((F226-Calc!F24)+(F225-Calc!F23)),100)/100)+M204*(MIN(Inputs!$B$10+((F226-Calc!F24)+(F225-Calc!F23)),100)/100)</f>
        <v/>
      </c>
      <c r="O204">
        <f>IF(C204,Skills!F2*N204*B239*IF(Inputs!$B$39="pvp",1,(1-Summary!$B$48)*(1)+Summary!$B$48*(MIN((6+Inputs!$B$34),Inputs!$B$38))),0)</f>
        <v/>
      </c>
      <c r="P204">
        <f>IF(B242=0,0,O204/B242)</f>
        <v/>
      </c>
      <c r="Q204">
        <f>IFERROR(1/IF(Inputs!$B$39="pvp",15,MAX(0.1,Skills!D2-IF(Skills!E2=TRUE,Inputs!$B$33,0))),0)</f>
        <v/>
      </c>
      <c r="R204" t="n">
        <v>0</v>
      </c>
      <c r="T204">
        <f>MAX(0,(Inputs!$B$3-100)*3)+Inputs!$B$29+Inputs!$B$30</f>
        <v/>
      </c>
    </row>
    <row r="205">
      <c r="A205">
        <f>Skills!A3</f>
        <v/>
      </c>
      <c r="B205">
        <f>Skills!B3</f>
        <v/>
      </c>
      <c r="C205">
        <f>Inputs!$B$3&gt;=15</f>
        <v/>
      </c>
      <c r="D205">
        <f>IF(Skills!C3=1,60+Inputs!$B$26+Inputs!$B$30,IF(Skills!C3=2,90+Inputs!$B$27+Inputs!$B$30,IF(Skills!C3=3,120+Inputs!$B$28+Inputs!$B$30,MAX(0,(Inputs!$B$3-100)*3)+Inputs!$B$29+Inputs!$B$30)))</f>
        <v/>
      </c>
      <c r="E205">
        <f>INDEX(FactorTable!$B$2:$Y$301, MATCH(ROUND(MIN(300,MAX(1,D205)),0), FactorTable!$A$2:$A$301,0), Skills!L3+1)</f>
        <v/>
      </c>
      <c r="F205">
        <f>IF(Skills!M3=TRUE,(Skills!K3/10)*(E205/1000),Skills!K3/10)+Skills!N3</f>
        <v/>
      </c>
      <c r="G205">
        <f>Calc!G3</f>
        <v/>
      </c>
      <c r="H205">
        <f>Calc!H3</f>
        <v/>
      </c>
      <c r="I205">
        <f>IF(Skills!T3&lt;&gt;"",1+(Skills!T3/10)*($Z$3/1000)/100,1)</f>
        <v/>
      </c>
      <c r="J205" t="inlineStr"/>
      <c r="K205" t="inlineStr"/>
      <c r="L205" t="inlineStr"/>
      <c r="M205" t="inlineStr"/>
      <c r="N205" t="inlineStr"/>
      <c r="O205" t="n">
        <v>0</v>
      </c>
      <c r="P205">
        <f>IF(B242=0,0,O205/B242)</f>
        <v/>
      </c>
      <c r="Q205">
        <f>IFERROR(1/IF(Inputs!$B$39="pvp",15,MAX(0.1,Skills!D3-IF(Skills!E3=TRUE,Inputs!$B$33,0))),0)</f>
        <v/>
      </c>
      <c r="R205">
        <f>IF(AND(Inputs!$B$39&lt;&gt;"pvp",Inputs!$B$44&gt;0),IF(Inputs!$B$44&lt;=0,0,(INT(Inputs!$B$44/IF(Inputs!$B$39="pvp",15,MAX(0.1,Skills!D3-IF(Skills!E3=TRUE,Inputs!$B$33,0))))+1)),0)</f>
        <v/>
      </c>
      <c r="T205">
        <f>INDEX(FactorTable!$B$2:$Y$301, MATCH(ROUND(MIN(300,MAX(1,T204)),0), FactorTable!$A$2:$A$301,0), 22)</f>
        <v/>
      </c>
    </row>
    <row r="206">
      <c r="A206">
        <f>Skills!A4</f>
        <v/>
      </c>
      <c r="B206">
        <f>Skills!B4</f>
        <v/>
      </c>
      <c r="C206">
        <f>Inputs!$B$3&gt;=38</f>
        <v/>
      </c>
      <c r="D206">
        <f>IF(Skills!C4=1,60+Inputs!$B$26+Inputs!$B$30,IF(Skills!C4=2,90+Inputs!$B$27+Inputs!$B$30,IF(Skills!C4=3,120+Inputs!$B$28+Inputs!$B$30,MAX(0,(Inputs!$B$3-100)*3)+Inputs!$B$29+Inputs!$B$30)))</f>
        <v/>
      </c>
      <c r="E206">
        <f>INDEX(FactorTable!$B$2:$Y$301, MATCH(ROUND(MIN(300,MAX(1,D206)),0), FactorTable!$A$2:$A$301,0), Skills!L4+1)</f>
        <v/>
      </c>
      <c r="F206">
        <f>IF(Skills!M4=TRUE,(Skills!K4/10)*(E206/1000),Skills!K4/10)+Skills!N4</f>
        <v/>
      </c>
      <c r="G206">
        <f>Calc!G4</f>
        <v/>
      </c>
      <c r="H206">
        <f>Calc!H4</f>
        <v/>
      </c>
      <c r="I206">
        <f>IF(Skills!T4&lt;&gt;"",1+(Skills!T4/10)*($Z$3/1000)/100,1)</f>
        <v/>
      </c>
      <c r="J206" t="inlineStr"/>
      <c r="K206" t="inlineStr"/>
      <c r="L206" t="inlineStr"/>
      <c r="M206" t="inlineStr"/>
      <c r="N206" t="inlineStr"/>
      <c r="O206" t="n">
        <v>0</v>
      </c>
      <c r="P206">
        <f>IF(B242=0,0,O206/B242)</f>
        <v/>
      </c>
      <c r="Q206">
        <f>IFERROR(1/IF(Inputs!$B$39="pvp",15,MAX(0.1,Skills!D4-IF(Skills!E4=TRUE,Inputs!$B$33,0))),0)</f>
        <v/>
      </c>
      <c r="R206">
        <f>IF(AND(Inputs!$B$39&lt;&gt;"pvp",Inputs!$B$44&gt;0),IF(Inputs!$B$44&lt;=0,0,(INT(Inputs!$B$44/IF(Inputs!$B$39="pvp",15,MAX(0.1,Skills!D4-IF(Skills!E4=TRUE,Inputs!$B$33,0))))+1)),0)</f>
        <v/>
      </c>
      <c r="T206">
        <f>290*T205/1000</f>
        <v/>
      </c>
    </row>
    <row r="207">
      <c r="A207">
        <f>Skills!A5</f>
        <v/>
      </c>
      <c r="B207">
        <f>Skills!B5</f>
        <v/>
      </c>
      <c r="C207">
        <f>Inputs!$B$3&gt;=40</f>
        <v/>
      </c>
      <c r="D207">
        <f>IF(Skills!C5=1,60+Inputs!$B$26+Inputs!$B$30,IF(Skills!C5=2,90+Inputs!$B$27+Inputs!$B$30,IF(Skills!C5=3,120+Inputs!$B$28+Inputs!$B$30,MAX(0,(Inputs!$B$3-100)*3)+Inputs!$B$29+Inputs!$B$30)))</f>
        <v/>
      </c>
      <c r="E207">
        <f>INDEX(FactorTable!$B$2:$Y$301, MATCH(ROUND(MIN(300,MAX(1,D207)),0), FactorTable!$A$2:$A$301,0), Skills!L5+1)</f>
        <v/>
      </c>
      <c r="F207">
        <f>IF(Skills!M5=TRUE,(Skills!K5/10)*(E207/1000),Skills!K5/10)+Skills!N5</f>
        <v/>
      </c>
      <c r="G207">
        <f>Calc!G5</f>
        <v/>
      </c>
      <c r="H207">
        <f>Calc!H5</f>
        <v/>
      </c>
      <c r="I207">
        <f>IF(Skills!T5&lt;&gt;"",1+(Skills!T5/10)*($Z$3/1000)/100,1)</f>
        <v/>
      </c>
      <c r="J207" t="inlineStr"/>
      <c r="K207" t="inlineStr"/>
      <c r="L207" t="inlineStr"/>
      <c r="M207" t="inlineStr"/>
      <c r="N207" t="inlineStr"/>
      <c r="O207" t="n">
        <v>0</v>
      </c>
      <c r="P207">
        <f>IF(B242=0,0,O207/B242)</f>
        <v/>
      </c>
      <c r="Q207">
        <f>IFERROR(1/IF(Inputs!$B$39="pvp",15,MAX(0.1,Skills!D5-IF(Skills!E5=TRUE,Inputs!$B$33,0))),0)</f>
        <v/>
      </c>
      <c r="R207">
        <f>IF(AND(Inputs!$B$39&lt;&gt;"pvp",Inputs!$B$44&gt;0),IF(Inputs!$B$44&lt;=0,0,(INT(Inputs!$B$44/IF(Inputs!$B$39="pvp",15,MAX(0.1,Skills!D5-IF(Skills!E5=TRUE,Inputs!$B$33,0))))+1)),0)</f>
        <v/>
      </c>
    </row>
    <row r="208">
      <c r="A208">
        <f>Skills!A6</f>
        <v/>
      </c>
      <c r="B208">
        <f>Skills!B6</f>
        <v/>
      </c>
      <c r="C208">
        <f>Inputs!$B$3&gt;=103</f>
        <v/>
      </c>
      <c r="D208">
        <f>IF(Skills!C6=1,60+Inputs!$B$26+Inputs!$B$30,IF(Skills!C6=2,90+Inputs!$B$27+Inputs!$B$30,IF(Skills!C6=3,120+Inputs!$B$28+Inputs!$B$30,MAX(0,(Inputs!$B$3-100)*3)+Inputs!$B$29+Inputs!$B$30)))</f>
        <v/>
      </c>
      <c r="E208">
        <f>INDEX(FactorTable!$B$2:$Y$301, MATCH(ROUND(MIN(300,MAX(1,D208)),0), FactorTable!$A$2:$A$301,0), Skills!L6+1)</f>
        <v/>
      </c>
      <c r="F208">
        <f>IF(Skills!M6=TRUE,(Skills!K6/10)*(E208/1000),Skills!K6/10)+Skills!N6</f>
        <v/>
      </c>
      <c r="G208">
        <f>Calc!G6</f>
        <v/>
      </c>
      <c r="H208">
        <f>Calc!H6</f>
        <v/>
      </c>
      <c r="I208">
        <f>IF(Skills!T6&lt;&gt;"",1+(Skills!T6/10)*($Z$3/1000)/100,1)</f>
        <v/>
      </c>
      <c r="J208">
        <f>((Inputs!$B$6*(1+Inputs!$B$7/100))+(((Inputs!$B$13*(1+Inputs!$B$14/100))-(Inputs!$B$13*(1+Inputs!$B$14/100)))+0.25*(Inputs!$B$15-Inputs!$B$15))*(1+Inputs!$B$7/100))*(F208/100)</f>
        <v/>
      </c>
      <c r="K208">
        <f>J208*(1+(((Inputs!$B$13+IF(Inputs!$B$3&gt;=35,(10*INDEX(FactorTable!$B$2:$Y$301, MATCH(ROUND(MIN(300,MAX(1,Inputs!$B$3)),0), FactorTable!$A$2:$A$301,0), 23)/1000)/100*(Inputs!$B$8*(1+(Inputs!$B$9+B240)/100)),0))*(1+Inputs!$B$14/100))*0.01+Inputs!$B$15*0.0025)/100)*(1+((Inputs!$B$16+1)+B234)/100)*(1+IF(Inputs!$B$39="pvp",0,(1-Summary!$B$48)*(Inputs!$B$21+Skills!O6+B232)+Summary!$B$48*(Inputs!$B$22+Skills!P6+B233))/100)*(1+Inputs!$B$17/100)*(5000/(6000+Inputs!$B$43*(1-Inputs!$B$20/100)))*(1+Inputs!$B$25/100)*(1+IF(C220=TRUE,F220,0)/100)*(1+IF(C222=TRUE,F222,0)/100)*(1+IF(Skills!A6="TRIUMPH_FEATHER",IF(C218=TRUE,F218,0),0)/100)*(1+IF(C229=TRUE,F229,0)/100)^5*(1+(IF(Skills!A6="BIG_BANG",Inputs!$B$18,Inputs!$B$19))/100)*(B231*I208)</f>
        <v/>
      </c>
      <c r="L208">
        <f>K208*(MIN(Inputs!$B$23+(F224-Calc!F22),Inputs!$B$24)/100+Inputs!$B$24/100)/2</f>
        <v/>
      </c>
      <c r="M208">
        <f>L208*(1+(Inputs!$B$11+B235+(F227-Calc!F25))/100)</f>
        <v/>
      </c>
      <c r="N208">
        <f>L208*(1-MIN(Inputs!$B$10+((F226-Calc!F24)+(F225-Calc!F23)),100)/100)+M208*(MIN(Inputs!$B$10+((F226-Calc!F24)+(F225-Calc!F23)),100)/100)</f>
        <v/>
      </c>
      <c r="O208">
        <f>IF(C208,H208*N208*IF(AND(Inputs!$B$39&lt;&gt;"pvp",Inputs!$B$44&gt;0),((Skills!F6*((R208-1)*IF(Skills!G6&gt;0,Skills!H6/Skills!G6,1)+IF(Skills!G6&gt;0,MIN(Skills!H6,MAX(0,MAX(0,Inputs!$B$44-B241)-((R208-1)*IF(Inputs!$B$39="pvp",15,MAX(0.1,Skills!D6-IF(Skills!E6=TRUE,Inputs!$B$33,0))))))/Skills!G6,1)))/Inputs!$B$44),G208*Q208)*IF(Inputs!$B$39="pvp",1,(1-Summary!$B$48)*(1)+Summary!$B$48*(MIN(Skills!Q6,Inputs!$B$38))),0)</f>
        <v/>
      </c>
      <c r="P208">
        <f>IF(B242=0,0,O208/B242)</f>
        <v/>
      </c>
      <c r="Q208">
        <f>IFERROR(1/IF(Inputs!$B$39="pvp",15,MAX(0.1,Skills!D6-IF(Skills!E6=TRUE,Inputs!$B$33,0))),0)</f>
        <v/>
      </c>
      <c r="R208">
        <f>IF(AND(Inputs!$B$39&lt;&gt;"pvp",Inputs!$B$44&gt;0),IF(MAX(0,Inputs!$B$44-B241)&lt;=0,0,(INT(MAX(0,Inputs!$B$44-B241)/IF(Inputs!$B$39="pvp",15,MAX(0.1,Skills!D6-IF(Skills!E6=TRUE,Inputs!$B$33,0))))+1)),0)</f>
        <v/>
      </c>
    </row>
    <row r="209">
      <c r="A209">
        <f>Skills!A7</f>
        <v/>
      </c>
      <c r="B209">
        <f>Skills!B7</f>
        <v/>
      </c>
      <c r="C209">
        <f>Inputs!$B$3&gt;=122</f>
        <v/>
      </c>
      <c r="D209">
        <f>IF(Skills!C7=1,60+Inputs!$B$26+Inputs!$B$30,IF(Skills!C7=2,90+Inputs!$B$27+Inputs!$B$30,IF(Skills!C7=3,120+Inputs!$B$28+Inputs!$B$30,MAX(0,(Inputs!$B$3-100)*3)+Inputs!$B$29+Inputs!$B$30)))</f>
        <v/>
      </c>
      <c r="E209">
        <f>INDEX(FactorTable!$B$2:$Y$301, MATCH(ROUND(MIN(300,MAX(1,D209)),0), FactorTable!$A$2:$A$301,0), Skills!L7+1)</f>
        <v/>
      </c>
      <c r="F209">
        <f>IF(Skills!M7=TRUE,(Skills!K7/10)*(E209/1000),Skills!K7/10)+Skills!N7</f>
        <v/>
      </c>
      <c r="G209">
        <f>Calc!G7</f>
        <v/>
      </c>
      <c r="H209">
        <f>Calc!H7</f>
        <v/>
      </c>
      <c r="I209">
        <f>IF(Skills!T7&lt;&gt;"",1+(Skills!T7/10)*($Z$3/1000)/100,1)</f>
        <v/>
      </c>
      <c r="J209">
        <f>((Inputs!$B$6*(1+Inputs!$B$7/100))+(((Inputs!$B$13*(1+Inputs!$B$14/100))-(Inputs!$B$13*(1+Inputs!$B$14/100)))+0.25*(Inputs!$B$15-Inputs!$B$15))*(1+Inputs!$B$7/100))*(F209/100)</f>
        <v/>
      </c>
      <c r="K209">
        <f>J209*(1+(((Inputs!$B$13+IF(Inputs!$B$3&gt;=35,(10*INDEX(FactorTable!$B$2:$Y$301, MATCH(ROUND(MIN(300,MAX(1,Inputs!$B$3)),0), FactorTable!$A$2:$A$301,0), 23)/1000)/100*(Inputs!$B$8*(1+(Inputs!$B$9+B240)/100)),0))*(1+Inputs!$B$14/100))*0.01+Inputs!$B$15*0.0025)/100)*(1+((Inputs!$B$16+1)+B234)/100)*(1+IF(Inputs!$B$39="pvp",0,(1-Summary!$B$48)*(Inputs!$B$21+Skills!O7+B232)+Summary!$B$48*(Inputs!$B$22+Skills!P7+B233))/100)*(1+Inputs!$B$17/100)*(5000/(6000+Inputs!$B$43*(1-Inputs!$B$20/100)))*(1+Inputs!$B$25/100)*(1+IF(C220=TRUE,F220,0)/100)*(1+IF(C222=TRUE,F222,0)/100)*(1+IF(Skills!A7="TRIUMPH_FEATHER",IF(C218=TRUE,F218,0),0)/100)*(1+IF(C229=TRUE,F229,0)/100)^5*(1+(IF(Skills!A7="BIG_BANG",Inputs!$B$18,Inputs!$B$19))/100)*(B231*I209)</f>
        <v/>
      </c>
      <c r="L209">
        <f>K209*(MIN(Inputs!$B$23+(F224-Calc!F22),Inputs!$B$24)/100+Inputs!$B$24/100)/2</f>
        <v/>
      </c>
      <c r="M209">
        <f>L209*(1+(Inputs!$B$11+B235+(F227-Calc!F25))/100)</f>
        <v/>
      </c>
      <c r="N209">
        <f>L209*(1-MIN(Inputs!$B$10+((F226-Calc!F24)+(F225-Calc!F23)),100)/100)+M209*(MIN(Inputs!$B$10+((F226-Calc!F24)+(F225-Calc!F23)),100)/100)</f>
        <v/>
      </c>
      <c r="O209">
        <f>IF(C209,H209*N209*IF(AND(Inputs!$B$39&lt;&gt;"pvp",Inputs!$B$44&gt;0),((Skills!F7*((R209-1)*IF(Skills!G7&gt;0,Skills!H7/Skills!G7,1)+IF(Skills!G7&gt;0,MIN(Skills!H7,MAX(0,MAX(0,Inputs!$B$44-B241)-((R209-1)*IF(Inputs!$B$39="pvp",15,MAX(0.1,Skills!D7-IF(Skills!E6=TRUE,Inputs!$B$33,0))))))/Skills!G7,1)))/Inputs!$B$44),G209*Q209)*(1-Summary!$B$48),0)</f>
        <v/>
      </c>
      <c r="P209">
        <f>IF(B242=0,0,O209/B242)</f>
        <v/>
      </c>
      <c r="Q209">
        <f>IFERROR(1/IF(Inputs!$B$39="pvp",15,MAX(0.1,Skills!D7-IF(Skills!E6=TRUE,Inputs!$B$33,0))),0)</f>
        <v/>
      </c>
      <c r="R209">
        <f>IF(AND(Inputs!$B$39&lt;&gt;"pvp",Inputs!$B$44&gt;0),IF(MAX(0,Inputs!$B$44-B241)&lt;=0,0,(INT(MAX(0,Inputs!$B$44-B241)/IF(Inputs!$B$39="pvp",15,MAX(0.1,Skills!D7-IF(Skills!E6=TRUE,Inputs!$B$33,0))))+1)),0)</f>
        <v/>
      </c>
    </row>
    <row r="210">
      <c r="A210">
        <f>Skills!A8</f>
        <v/>
      </c>
      <c r="B210">
        <f>Skills!B8</f>
        <v/>
      </c>
      <c r="C210">
        <f>Inputs!$B$3&gt;=105</f>
        <v/>
      </c>
      <c r="D210">
        <f>IF(Skills!C8=1,60+Inputs!$B$26+Inputs!$B$30,IF(Skills!C8=2,90+Inputs!$B$27+Inputs!$B$30,IF(Skills!C8=3,120+Inputs!$B$28+Inputs!$B$30,MAX(0,(Inputs!$B$3-100)*3)+Inputs!$B$29+Inputs!$B$30)))</f>
        <v/>
      </c>
      <c r="E210">
        <f>INDEX(FactorTable!$B$2:$Y$301, MATCH(ROUND(MIN(300,MAX(1,D210)),0), FactorTable!$A$2:$A$301,0), Skills!L8+1)</f>
        <v/>
      </c>
      <c r="F210">
        <f>IF(Skills!M8=TRUE,(Skills!K8/10)*(E210/1000),Skills!K8/10)+Skills!N8</f>
        <v/>
      </c>
      <c r="G210">
        <f>Calc!G8</f>
        <v/>
      </c>
      <c r="H210">
        <f>Calc!H8</f>
        <v/>
      </c>
      <c r="I210">
        <f>IF(Skills!T8&lt;&gt;"",1+(Skills!T8/10)*($Z$3/1000)/100,1)</f>
        <v/>
      </c>
      <c r="J210">
        <f>((Inputs!$B$6*(1+Inputs!$B$7/100))+(((Inputs!$B$13*(1+Inputs!$B$14/100))-(Inputs!$B$13*(1+Inputs!$B$14/100)))+0.25*(Inputs!$B$15-Inputs!$B$15))*(1+Inputs!$B$7/100))*(F210/100)</f>
        <v/>
      </c>
      <c r="K210">
        <f>J210*(1+(((Inputs!$B$13+IF(Inputs!$B$3&gt;=35,(10*INDEX(FactorTable!$B$2:$Y$301, MATCH(ROUND(MIN(300,MAX(1,Inputs!$B$3)),0), FactorTable!$A$2:$A$301,0), 23)/1000)/100*(Inputs!$B$8*(1+(Inputs!$B$9+B240)/100)),0))*(1+Inputs!$B$14/100))*0.01+Inputs!$B$15*0.0025)/100)*(1+((Inputs!$B$16+1)+B234)/100)*(1+IF(Inputs!$B$39="pvp",0,(1-Summary!$B$48)*(Inputs!$B$21+Skills!O8+B232)+Summary!$B$48*(Inputs!$B$22+Skills!P8+B233))/100)*(1+Inputs!$B$17/100)*(5000/(6000+Inputs!$B$43*(1-Inputs!$B$20/100)))*(1+Inputs!$B$25/100)*(1+IF(C220=TRUE,F220,0)/100)*(1+IF(C222=TRUE,F222,0)/100)*(1+IF(Skills!A8="TRIUMPH_FEATHER",IF(C218=TRUE,F218,0),0)/100)*(1+IF(C229=TRUE,F229,0)/100)^5*(1+(IF(Skills!A8="BIG_BANG",Inputs!$B$18,Inputs!$B$19))/100)*(B231*I210)</f>
        <v/>
      </c>
      <c r="L210">
        <f>K210*(MIN(Inputs!$B$23+(F224-Calc!F22),Inputs!$B$24)/100+Inputs!$B$24/100)/2</f>
        <v/>
      </c>
      <c r="M210">
        <f>L210*(1+(Inputs!$B$11+B235+(F227-Calc!F25))/100)</f>
        <v/>
      </c>
      <c r="N210">
        <f>L210*(1-MIN(Inputs!$B$10+((F226-Calc!F24)+(F225-Calc!F23)),100)/100)+M210*(MIN(Inputs!$B$10+((F226-Calc!F24)+(F225-Calc!F23)),100)/100)</f>
        <v/>
      </c>
      <c r="O210">
        <f>IF(C210,H210*N210*IF(AND(Inputs!$B$39&lt;&gt;"pvp",Inputs!$B$44&gt;0),((Skills!F8*((R210-1)*IF(Skills!G8&gt;0,Skills!H8/Skills!G8,1)+IF(Skills!G8&gt;0,MIN(Skills!H8,MAX(0,MAX(0,Inputs!$B$44-B241)-((R210-1)*IF(Inputs!$B$39="pvp",15,MAX(0.1,Skills!D8-IF(Skills!E8=TRUE,Inputs!$B$33,0))))))/Skills!G8,1)))/Inputs!$B$44),G210*Q210)*IF(Inputs!$B$39="pvp",1,(1-Summary!$B$48)*(1)+Summary!$B$48*(MIN(Skills!Q8,Inputs!$B$38))),0)</f>
        <v/>
      </c>
      <c r="P210">
        <f>IF(B242=0,0,O210/B242)</f>
        <v/>
      </c>
      <c r="Q210">
        <f>IFERROR(1/IF(Inputs!$B$39="pvp",15,MAX(0.1,Skills!D8-IF(Skills!E8=TRUE,Inputs!$B$33,0))),0)</f>
        <v/>
      </c>
      <c r="R210">
        <f>IF(AND(Inputs!$B$39&lt;&gt;"pvp",Inputs!$B$44&gt;0),IF(MAX(0,Inputs!$B$44-B241)&lt;=0,0,(INT(MAX(0,Inputs!$B$44-B241)/IF(Inputs!$B$39="pvp",15,MAX(0.1,Skills!D8-IF(Skills!E8=TRUE,Inputs!$B$33,0))))+1)),0)</f>
        <v/>
      </c>
    </row>
    <row r="211">
      <c r="A211">
        <f>Skills!A9</f>
        <v/>
      </c>
      <c r="B211">
        <f>Skills!B9</f>
        <v/>
      </c>
      <c r="C211">
        <f>Inputs!$B$3&gt;=115</f>
        <v/>
      </c>
      <c r="D211">
        <f>IF(Skills!C9=1,60+Inputs!$B$26+Inputs!$B$30,IF(Skills!C9=2,90+Inputs!$B$27+Inputs!$B$30,IF(Skills!C9=3,120+Inputs!$B$28+Inputs!$B$30,MAX(0,(Inputs!$B$3-100)*3)+Inputs!$B$29+Inputs!$B$30)))</f>
        <v/>
      </c>
      <c r="E211">
        <f>INDEX(FactorTable!$B$2:$Y$301, MATCH(ROUND(MIN(300,MAX(1,D211)),0), FactorTable!$A$2:$A$301,0), Skills!L9+1)</f>
        <v/>
      </c>
      <c r="F211">
        <f>IF(Skills!M9=TRUE,(Skills!K9/10)*(E211/1000),Skills!K9/10)+Skills!N9</f>
        <v/>
      </c>
      <c r="G211">
        <f>Calc!G9</f>
        <v/>
      </c>
      <c r="H211">
        <f>Calc!H9</f>
        <v/>
      </c>
      <c r="I211">
        <f>IF(Skills!T9&lt;&gt;"",1+(Skills!T9/10)*($Z$3/1000)/100,1)</f>
        <v/>
      </c>
      <c r="J211">
        <f>((Inputs!$B$6*(1+Inputs!$B$7/100))+(((Inputs!$B$13*(1+Inputs!$B$14/100))-(Inputs!$B$13*(1+Inputs!$B$14/100)))+0.25*(Inputs!$B$15-Inputs!$B$15))*(1+Inputs!$B$7/100))*(F211/100)</f>
        <v/>
      </c>
      <c r="K211">
        <f>J211*(1+(((Inputs!$B$13+IF(Inputs!$B$3&gt;=35,(10*INDEX(FactorTable!$B$2:$Y$301, MATCH(ROUND(MIN(300,MAX(1,Inputs!$B$3)),0), FactorTable!$A$2:$A$301,0), 23)/1000)/100*(Inputs!$B$8*(1+(Inputs!$B$9+B240)/100)),0))*(1+Inputs!$B$14/100))*0.01+Inputs!$B$15*0.0025)/100)*(1+((Inputs!$B$16+1)+B234)/100)*(1+IF(Inputs!$B$39="pvp",0,(1-Summary!$B$48)*(Inputs!$B$21+Skills!O9+B232)+Summary!$B$48*(Inputs!$B$22+Skills!P9+B233))/100)*(1+Inputs!$B$17/100)*(5000/(6000+Inputs!$B$43*(1-Inputs!$B$20/100)))*(1+Inputs!$B$25/100)*(1+IF(C220=TRUE,F220,0)/100)*(1+IF(C222=TRUE,F222,0)/100)*(1+IF(Skills!A9="TRIUMPH_FEATHER",IF(C218=TRUE,F218,0),0)/100)*(1+IF(C229=TRUE,F229,0)/100)^5*(1+(IF(Skills!A9="BIG_BANG",Inputs!$B$18,Inputs!$B$19))/100)*(B231*I211)</f>
        <v/>
      </c>
      <c r="L211">
        <f>K211*(MIN(Inputs!$B$23+(F224-Calc!F22),Inputs!$B$24)/100+Inputs!$B$24/100)/2</f>
        <v/>
      </c>
      <c r="M211">
        <f>L211*(1+(Inputs!$B$11+B235+(F227-Calc!F25))/100)</f>
        <v/>
      </c>
      <c r="N211">
        <f>L211*(1-MIN(Inputs!$B$10+((F226-Calc!F24)+(F225-Calc!F23)),100)/100)+M211*(MIN(Inputs!$B$10+((F226-Calc!F24)+(F225-Calc!F23)),100)/100)</f>
        <v/>
      </c>
      <c r="O211">
        <f>IF(C211,H211*N211*IF(AND(Inputs!$B$39&lt;&gt;"pvp",Inputs!$B$44&gt;0),((Skills!F9*((R211-1)*IF(Skills!G9&gt;0,Skills!H9/Skills!G9,1)+IF(Skills!G9&gt;0,MIN(Skills!H9,MAX(0,MAX(0,Inputs!$B$44-B241)-((R211-1)*IF(Inputs!$B$39="pvp",15,MAX(0.1,Skills!D9-IF(Skills!E9=TRUE,Inputs!$B$33,0))))))/Skills!G9,1)))/Inputs!$B$44),G211*Q211)*IF(Inputs!$B$39="pvp",1,(1-Summary!$B$48)*(1)+Summary!$B$48*(MIN(Skills!Q9,Inputs!$B$38))),0)</f>
        <v/>
      </c>
      <c r="P211">
        <f>IF(B242=0,0,O211/B242)</f>
        <v/>
      </c>
      <c r="Q211">
        <f>IFERROR(1/IF(Inputs!$B$39="pvp",15,MAX(0.1,Skills!D9-IF(Skills!E9=TRUE,Inputs!$B$33,0))),0)</f>
        <v/>
      </c>
      <c r="R211">
        <f>IF(AND(Inputs!$B$39&lt;&gt;"pvp",Inputs!$B$44&gt;0),IF(MAX(0,Inputs!$B$44-B241)&lt;=0,0,(INT(MAX(0,Inputs!$B$44-B241)/IF(Inputs!$B$39="pvp",15,MAX(0.1,Skills!D9-IF(Skills!E9=TRUE,Inputs!$B$33,0))))+1)),0)</f>
        <v/>
      </c>
    </row>
    <row r="212">
      <c r="A212">
        <f>Skills!A10</f>
        <v/>
      </c>
      <c r="B212">
        <f>Skills!B10</f>
        <v/>
      </c>
      <c r="C212">
        <f>Inputs!$B$3&gt;=66</f>
        <v/>
      </c>
      <c r="D212">
        <f>IF(Skills!C10=1,60+Inputs!$B$26+Inputs!$B$30,IF(Skills!C10=2,90+Inputs!$B$27+Inputs!$B$30,IF(Skills!C10=3,120+Inputs!$B$28+Inputs!$B$30,MAX(0,(Inputs!$B$3-100)*3)+Inputs!$B$29+Inputs!$B$30)))</f>
        <v/>
      </c>
      <c r="E212">
        <f>INDEX(FactorTable!$B$2:$Y$301, MATCH(ROUND(MIN(300,MAX(1,D212)),0), FactorTable!$A$2:$A$301,0), Skills!L10+1)</f>
        <v/>
      </c>
      <c r="F212" t="n">
        <v>0</v>
      </c>
      <c r="G212">
        <f>Calc!G10</f>
        <v/>
      </c>
      <c r="H212">
        <f>Calc!H10</f>
        <v/>
      </c>
      <c r="I212">
        <f>IF(Skills!T10&lt;&gt;"",1+(Skills!T10/10)*($Z$3/1000)/100,1)</f>
        <v/>
      </c>
      <c r="J212" t="inlineStr"/>
      <c r="K212" t="inlineStr"/>
      <c r="L212" t="inlineStr"/>
      <c r="M212" t="inlineStr"/>
      <c r="N212" t="inlineStr"/>
      <c r="O212" t="n">
        <v>0</v>
      </c>
      <c r="P212">
        <f>IF(B242=0,0,O212/B242)</f>
        <v/>
      </c>
      <c r="Q212">
        <f>IFERROR(1/IF(Inputs!$B$39="pvp",15,MAX(0.1,Skills!D10-IF(Skills!E10=TRUE,Inputs!$B$33,0))),0)</f>
        <v/>
      </c>
      <c r="R212">
        <f>IF(AND(Inputs!$B$39&lt;&gt;"pvp",Inputs!$B$44&gt;0),IF(MAX(0,Inputs!$B$44-B241)&lt;=0,0,(INT(MAX(0,Inputs!$B$44-B241)/IF(Inputs!$B$39="pvp",15,MAX(0.1,Skills!D10-IF(Skills!E10=TRUE,Inputs!$B$33,0))))+1)),0)</f>
        <v/>
      </c>
    </row>
    <row r="213">
      <c r="A213">
        <f>Skills!A11</f>
        <v/>
      </c>
      <c r="B213">
        <f>Skills!B11</f>
        <v/>
      </c>
      <c r="C213">
        <f>Inputs!$B$3&gt;=69</f>
        <v/>
      </c>
      <c r="D213">
        <f>IF(Skills!C11=1,60+Inputs!$B$26+Inputs!$B$30,IF(Skills!C11=2,90+Inputs!$B$27+Inputs!$B$30,IF(Skills!C11=3,120+Inputs!$B$28+Inputs!$B$30,MAX(0,(Inputs!$B$3-100)*3)+Inputs!$B$29+Inputs!$B$30)))</f>
        <v/>
      </c>
      <c r="E213">
        <f>INDEX(FactorTable!$B$2:$Y$301, MATCH(ROUND(MIN(300,MAX(1,D213)),0), FactorTable!$A$2:$A$301,0), Skills!L11+1)</f>
        <v/>
      </c>
      <c r="F213">
        <f>IF(Skills!M11=TRUE,(Skills!K11/10)*(E213/1000),Skills!K11/10)+Skills!N11</f>
        <v/>
      </c>
      <c r="G213">
        <f>Calc!G11</f>
        <v/>
      </c>
      <c r="H213">
        <f>Calc!H11</f>
        <v/>
      </c>
      <c r="I213">
        <f>IF(Skills!T11&lt;&gt;"",1+(Skills!T11/10)*($Z$3/1000)/100,1)</f>
        <v/>
      </c>
      <c r="J213" t="inlineStr"/>
      <c r="K213" t="inlineStr"/>
      <c r="L213" t="inlineStr"/>
      <c r="M213" t="inlineStr"/>
      <c r="N213" t="inlineStr"/>
      <c r="O213" t="n">
        <v>0</v>
      </c>
      <c r="P213">
        <f>IF(B242=0,0,O213/B242)</f>
        <v/>
      </c>
      <c r="Q213">
        <f>IFERROR(1/IF(Inputs!$B$39="pvp",15,MAX(0.1,Skills!D11-IF(Skills!E11=TRUE,Inputs!$B$33,0))),0)</f>
        <v/>
      </c>
      <c r="R213">
        <f>IF(AND(Inputs!$B$39&lt;&gt;"pvp",Inputs!$B$44&gt;0),IF(Inputs!$B$44&lt;=0,0,(INT(Inputs!$B$44/IF(Inputs!$B$39="pvp",15,MAX(0.1,Skills!D11-IF(Skills!E11=TRUE,Inputs!$B$33,0))))+1)),0)</f>
        <v/>
      </c>
    </row>
    <row r="214">
      <c r="A214">
        <f>Skills!A12</f>
        <v/>
      </c>
      <c r="B214">
        <f>Skills!B12</f>
        <v/>
      </c>
      <c r="C214">
        <f>Inputs!$B$3&gt;=72</f>
        <v/>
      </c>
      <c r="D214">
        <f>IF(Skills!C12=1,60+Inputs!$B$26+Inputs!$B$30,IF(Skills!C12=2,90+Inputs!$B$27+Inputs!$B$30,IF(Skills!C12=3,120+Inputs!$B$28+Inputs!$B$30,MAX(0,(Inputs!$B$3-100)*3)+Inputs!$B$29+Inputs!$B$30)))</f>
        <v/>
      </c>
      <c r="E214">
        <f>INDEX(FactorTable!$B$2:$Y$301, MATCH(ROUND(MIN(300,MAX(1,D214)),0), FactorTable!$A$2:$A$301,0), Skills!L12+1)</f>
        <v/>
      </c>
      <c r="F214">
        <f>IF(Skills!M12=TRUE,(Skills!K12/10)*(E214/1000),Skills!K12/10)+Skills!N12</f>
        <v/>
      </c>
      <c r="G214">
        <f>Calc!G12</f>
        <v/>
      </c>
      <c r="H214">
        <f>Calc!H12</f>
        <v/>
      </c>
      <c r="I214">
        <f>IF(Skills!T12&lt;&gt;"",1+(Skills!T12/10)*($Z$3/1000)/100,1)</f>
        <v/>
      </c>
      <c r="J214" t="inlineStr"/>
      <c r="K214" t="inlineStr"/>
      <c r="L214" t="inlineStr"/>
      <c r="M214" t="inlineStr"/>
      <c r="N214" t="inlineStr"/>
      <c r="O214" t="n">
        <v>0</v>
      </c>
      <c r="P214">
        <f>IF(B242=0,0,O214/B242)</f>
        <v/>
      </c>
      <c r="Q214">
        <f>IFERROR(1/IF(Inputs!$B$39="pvp",15,MAX(0.1,Skills!D12-IF(Skills!E12=TRUE,Inputs!$B$33,0))),0)</f>
        <v/>
      </c>
      <c r="R214">
        <f>IF(AND(Inputs!$B$39&lt;&gt;"pvp",Inputs!$B$44&gt;0),IF(MAX(0,Inputs!$B$44-B241)&lt;=0,0,(INT(MAX(0,Inputs!$B$44-B241)/IF(Inputs!$B$39="pvp",15,MAX(0.1,Skills!D12-IF(Skills!E12=TRUE,Inputs!$B$33,0))))+1)),0)</f>
        <v/>
      </c>
    </row>
    <row r="215">
      <c r="A215">
        <f>Skills!A13</f>
        <v/>
      </c>
      <c r="B215">
        <f>Skills!B13</f>
        <v/>
      </c>
      <c r="C215">
        <f>Inputs!$B$3&gt;=60</f>
        <v/>
      </c>
      <c r="D215">
        <f>IF(Skills!C13=1,60+Inputs!$B$26+Inputs!$B$30,IF(Skills!C13=2,90+Inputs!$B$27+Inputs!$B$30,IF(Skills!C13=3,120+Inputs!$B$28+Inputs!$B$30,MAX(0,(Inputs!$B$3-100)*3)+Inputs!$B$29+Inputs!$B$30)))</f>
        <v/>
      </c>
      <c r="E215">
        <f>INDEX(FactorTable!$B$2:$Y$301, MATCH(ROUND(MIN(300,MAX(1,D215)),0), FactorTable!$A$2:$A$301,0), Skills!L13+1)</f>
        <v/>
      </c>
      <c r="F215">
        <f>IF(Skills!M13=TRUE,(Skills!K13/10)*(E215/1000),Skills!K13/10)+Skills!N13</f>
        <v/>
      </c>
      <c r="G215">
        <f>Calc!G13</f>
        <v/>
      </c>
      <c r="H215">
        <f>Calc!H13</f>
        <v/>
      </c>
      <c r="I215">
        <f>IF(Skills!T13&lt;&gt;"",1+(Skills!T13/10)*($Z$3/1000)/100,1)</f>
        <v/>
      </c>
      <c r="J215" t="inlineStr"/>
      <c r="K215" t="inlineStr"/>
      <c r="L215" t="inlineStr"/>
      <c r="M215" t="inlineStr"/>
      <c r="N215" t="inlineStr"/>
      <c r="O215" t="n">
        <v>0</v>
      </c>
      <c r="P215">
        <f>IF(B242=0,0,O215/B242)</f>
        <v/>
      </c>
      <c r="Q215">
        <f>IFERROR(1/IF(Inputs!$B$39="pvp",15,MAX(0.1,Skills!D13-IF(Skills!E13=TRUE,Inputs!$B$33,0))),0)</f>
        <v/>
      </c>
      <c r="R215">
        <f>IF(AND(Inputs!$B$39&lt;&gt;"pvp",Inputs!$B$44&gt;0),IF(MAX(0,Inputs!$B$44-B241)&lt;=0,0,(INT(MAX(0,Inputs!$B$44-B241)/IF(Inputs!$B$39="pvp",15,MAX(0.1,Skills!D13-IF(Skills!E13=TRUE,Inputs!$B$33,0))))+1)),0)</f>
        <v/>
      </c>
    </row>
    <row r="216">
      <c r="A216">
        <f>Skills!A14</f>
        <v/>
      </c>
      <c r="B216">
        <f>Skills!B14</f>
        <v/>
      </c>
      <c r="C216">
        <f>Inputs!$B$3&gt;=107</f>
        <v/>
      </c>
      <c r="D216">
        <f>IF(Skills!C14=1,60+Inputs!$B$26+Inputs!$B$30,IF(Skills!C14=2,90+Inputs!$B$27+Inputs!$B$30,IF(Skills!C14=3,120+Inputs!$B$28+Inputs!$B$30,MAX(0,(Inputs!$B$3-100)*3)+Inputs!$B$29+Inputs!$B$30)))</f>
        <v/>
      </c>
      <c r="E216">
        <f>INDEX(FactorTable!$B$2:$Y$301, MATCH(ROUND(MIN(300,MAX(1,D216)),0), FactorTable!$A$2:$A$301,0), Skills!L14+1)</f>
        <v/>
      </c>
      <c r="F216">
        <f>IF(Skills!M14=TRUE,(Skills!K14/10)*(E216/1000),Skills!K14/10)+Skills!N14</f>
        <v/>
      </c>
      <c r="G216">
        <f>Calc!G14</f>
        <v/>
      </c>
      <c r="H216">
        <f>Calc!H14</f>
        <v/>
      </c>
      <c r="I216">
        <f>IF(Skills!T14&lt;&gt;"",1+(Skills!T14/10)*($Z$3/1000)/100,1)</f>
        <v/>
      </c>
      <c r="J216" t="inlineStr"/>
      <c r="K216" t="inlineStr"/>
      <c r="L216" t="inlineStr"/>
      <c r="M216" t="inlineStr"/>
      <c r="N216" t="inlineStr"/>
      <c r="O216" t="n">
        <v>0</v>
      </c>
      <c r="P216">
        <f>IF(B242=0,0,O216/B242)</f>
        <v/>
      </c>
      <c r="Q216">
        <f>IFERROR(1/IF(Inputs!$B$39="pvp",15,MAX(0.1,Skills!D14-IF(Skills!E14=TRUE,Inputs!$B$33,0))),0)</f>
        <v/>
      </c>
      <c r="R216">
        <f>IF(AND(Inputs!$B$39&lt;&gt;"pvp",Inputs!$B$44&gt;0),IF(Inputs!$B$44&lt;=0,0,(INT(Inputs!$B$44/IF(Inputs!$B$39="pvp",15,MAX(0.1,Skills!D14-IF(Skills!E14=TRUE,Inputs!$B$33,0))))+1)),0)</f>
        <v/>
      </c>
    </row>
    <row r="217">
      <c r="A217">
        <f>Skills!A15</f>
        <v/>
      </c>
      <c r="B217">
        <f>Skills!B15</f>
        <v/>
      </c>
      <c r="C217">
        <f>Inputs!$B$3&gt;=63</f>
        <v/>
      </c>
      <c r="D217">
        <f>IF(Skills!C15=1,60+Inputs!$B$26+Inputs!$B$30,IF(Skills!C15=2,90+Inputs!$B$27+Inputs!$B$30,IF(Skills!C15=3,120+Inputs!$B$28+Inputs!$B$30,MAX(0,(Inputs!$B$3-100)*3)+Inputs!$B$29+Inputs!$B$30)))</f>
        <v/>
      </c>
      <c r="E217">
        <f>INDEX(FactorTable!$B$2:$Y$301, MATCH(ROUND(MIN(300,MAX(1,D217)),0), FactorTable!$A$2:$A$301,0), Skills!L15+1)</f>
        <v/>
      </c>
      <c r="F217">
        <f>IF(Skills!M15=TRUE,(Skills!K15/10)*(E217/1000),Skills!K15/10)+Skills!N15</f>
        <v/>
      </c>
      <c r="G217">
        <f>Calc!G15</f>
        <v/>
      </c>
      <c r="H217">
        <f>Calc!H15</f>
        <v/>
      </c>
      <c r="I217">
        <f>IF(Skills!T15&lt;&gt;"",1+(Skills!T15/10)*($Z$3/1000)/100,1)</f>
        <v/>
      </c>
      <c r="J217">
        <f>((Inputs!$B$6*(1+Inputs!$B$7/100))+(((Inputs!$B$13*(1+Inputs!$B$14/100))-(Inputs!$B$13*(1+Inputs!$B$14/100)))+0.25*(Inputs!$B$15-Inputs!$B$15))*(1+Inputs!$B$7/100))*(F217/100)</f>
        <v/>
      </c>
      <c r="K217">
        <f>J217*(1+(((Inputs!$B$13+IF(Inputs!$B$3&gt;=35,(10*INDEX(FactorTable!$B$2:$Y$301, MATCH(ROUND(MIN(300,MAX(1,Inputs!$B$3)),0), FactorTable!$A$2:$A$301,0), 23)/1000)/100*(Inputs!$B$8*(1+(Inputs!$B$9+B240)/100)),0))*(1+Inputs!$B$14/100))*0.01+Inputs!$B$15*0.0025)/100)*(1+((Inputs!$B$16+1)+B234)/100)*(1+IF(Inputs!$B$39="pvp",0,(1-Summary!$B$48)*(Inputs!$B$21+Skills!O15+B232)+Summary!$B$48*(Inputs!$B$22+Skills!P15+B233))/100)*(1+Inputs!$B$17/100)*(5000/(6000+Inputs!$B$43*(1-Inputs!$B$20/100)))*(1+Inputs!$B$25/100)*(1+IF(C220=TRUE,F220,0)/100)*(1+IF(C222=TRUE,F222,0)/100)*(1+IF(Skills!A15="TRIUMPH_FEATHER",IF(C218=TRUE,F218,0),0)/100)*(1+IF(C229=TRUE,F229,0)/100)^5*(1+(IF(Skills!A15="BIG_BANG",Inputs!$B$18,Inputs!$B$19))/100)*(B231*I217)</f>
        <v/>
      </c>
      <c r="L217">
        <f>K217*(MIN(Inputs!$B$23+(F224-Calc!F22),Inputs!$B$24)/100+Inputs!$B$24/100)/2</f>
        <v/>
      </c>
      <c r="M217">
        <f>L217*(1+(Inputs!$B$11+B235+(F227-Calc!F25))/100)</f>
        <v/>
      </c>
      <c r="N217">
        <f>L217*(1-MIN(Inputs!$B$10+((F226-Calc!F24)+(F225-Calc!F23)),100)/100)+M217*(MIN(Inputs!$B$10+((F226-Calc!F24)+(F225-Calc!F23)),100)/100)</f>
        <v/>
      </c>
      <c r="O217">
        <f>IF(C217,Skills!F15*N217*((IF(Inputs!$B$3&gt;=78,25,15)/100*B237*10)/(1+IF(Inputs!$B$3&gt;=78,25,15)/100*B237*10))*(Skills!I15/100*B237)/(1+Skills!G15*Skills!I15/100*B237)*IF(Inputs!$B$39="pvp",1,(1-Summary!$B$48)*(1)+Summary!$B$48*(MIN(Skills!Q15,Inputs!$B$38))),0)</f>
        <v/>
      </c>
      <c r="P217">
        <f>IF(B242=0,0,O217/B242)</f>
        <v/>
      </c>
      <c r="Q217">
        <f>IFERROR(1/IF(Inputs!$B$39="pvp",15,MAX(0.1,Skills!D15-IF(Skills!E15=TRUE,Inputs!$B$33,0))),0)</f>
        <v/>
      </c>
      <c r="R217" t="n">
        <v>0</v>
      </c>
    </row>
    <row r="218">
      <c r="A218">
        <f>Skills!A16</f>
        <v/>
      </c>
      <c r="B218">
        <f>Skills!B16</f>
        <v/>
      </c>
      <c r="C218">
        <f>Inputs!$B$3&gt;=100</f>
        <v/>
      </c>
      <c r="D218">
        <f>IF(Skills!C16=1,60+Inputs!$B$26+Inputs!$B$30,IF(Skills!C16=2,90+Inputs!$B$27+Inputs!$B$30,IF(Skills!C16=3,120+Inputs!$B$28+Inputs!$B$30,MAX(0,(Inputs!$B$3-100)*3)+Inputs!$B$29+Inputs!$B$30)))</f>
        <v/>
      </c>
      <c r="E218">
        <f>INDEX(FactorTable!$B$2:$Y$301, MATCH(ROUND(MIN(300,MAX(1,D218)),0), FactorTable!$A$2:$A$301,0), Skills!L16+1)</f>
        <v/>
      </c>
      <c r="F218">
        <f>IF(Skills!M16=TRUE,(Skills!K16/10)*(E218/1000),Skills!K16/10)+Skills!N16</f>
        <v/>
      </c>
      <c r="G218">
        <f>Calc!G16</f>
        <v/>
      </c>
      <c r="H218">
        <f>Calc!H16</f>
        <v/>
      </c>
      <c r="I218">
        <f>IF(Skills!T16&lt;&gt;"",1+(Skills!T16/10)*($Z$3/1000)/100,1)</f>
        <v/>
      </c>
      <c r="J218" t="inlineStr"/>
      <c r="K218" t="inlineStr"/>
      <c r="L218" t="inlineStr"/>
      <c r="M218" t="inlineStr"/>
      <c r="N218" t="inlineStr"/>
      <c r="O218" t="n">
        <v>0</v>
      </c>
      <c r="P218">
        <f>IF(B242=0,0,O218/B242)</f>
        <v/>
      </c>
      <c r="Q218">
        <f>IFERROR(1/IF(Inputs!$B$39="pvp",15,MAX(0.1,Skills!D16-IF(Skills!E16=TRUE,Inputs!$B$33,0))),0)</f>
        <v/>
      </c>
      <c r="R218" t="n">
        <v>0</v>
      </c>
    </row>
    <row r="219">
      <c r="A219">
        <f>Skills!A17</f>
        <v/>
      </c>
      <c r="B219">
        <f>Skills!B17</f>
        <v/>
      </c>
      <c r="C219">
        <f>Inputs!$B$3&gt;=49</f>
        <v/>
      </c>
      <c r="D219">
        <f>IF(Skills!C17=1,60+Inputs!$B$26+Inputs!$B$30,IF(Skills!C17=2,90+Inputs!$B$27+Inputs!$B$30,IF(Skills!C17=3,120+Inputs!$B$28+Inputs!$B$30,MAX(0,(Inputs!$B$3-100)*3)+Inputs!$B$29+Inputs!$B$30)))</f>
        <v/>
      </c>
      <c r="E219">
        <f>INDEX(FactorTable!$B$2:$Y$301, MATCH(ROUND(MIN(300,MAX(1,D219)),0), FactorTable!$A$2:$A$301,0), Skills!L17+1)</f>
        <v/>
      </c>
      <c r="F219">
        <f>IF(Skills!M17=TRUE,(Skills!K17/10)*(E219/1000),Skills!K17/10)+Skills!N17</f>
        <v/>
      </c>
      <c r="G219">
        <f>Calc!G17</f>
        <v/>
      </c>
      <c r="H219">
        <f>Calc!H17</f>
        <v/>
      </c>
      <c r="I219">
        <f>IF(Skills!T17&lt;&gt;"",1+(Skills!T17/10)*($Z$3/1000)/100,1)</f>
        <v/>
      </c>
      <c r="J219" t="inlineStr"/>
      <c r="K219" t="inlineStr"/>
      <c r="L219" t="inlineStr"/>
      <c r="M219" t="inlineStr"/>
      <c r="N219" t="inlineStr"/>
      <c r="O219" t="n">
        <v>0</v>
      </c>
      <c r="P219">
        <f>IF(B242=0,0,O219/B242)</f>
        <v/>
      </c>
      <c r="Q219">
        <f>IFERROR(1/IF(Inputs!$B$39="pvp",15,MAX(0.1,Skills!D17-IF(Skills!E17=TRUE,Inputs!$B$33,0))),0)</f>
        <v/>
      </c>
      <c r="R219" t="n">
        <v>0</v>
      </c>
    </row>
    <row r="220">
      <c r="A220">
        <f>Skills!A18</f>
        <v/>
      </c>
      <c r="B220">
        <f>Skills!B18</f>
        <v/>
      </c>
      <c r="C220">
        <f>Inputs!$B$3&gt;=75</f>
        <v/>
      </c>
      <c r="D220">
        <f>IF(Skills!C18=1,60+Inputs!$B$26+Inputs!$B$30,IF(Skills!C18=2,90+Inputs!$B$27+Inputs!$B$30,IF(Skills!C18=3,120+Inputs!$B$28+Inputs!$B$30,MAX(0,(Inputs!$B$3-100)*3)+Inputs!$B$29+Inputs!$B$30)))</f>
        <v/>
      </c>
      <c r="E220">
        <f>INDEX(FactorTable!$B$2:$Y$301, MATCH(ROUND(MIN(300,MAX(1,D220)),0), FactorTable!$A$2:$A$301,0), Skills!L18+1)</f>
        <v/>
      </c>
      <c r="F220">
        <f>IF(Skills!M18=TRUE,(Skills!K18/10)*(E220/1000),Skills!K18/10)+Skills!N18</f>
        <v/>
      </c>
      <c r="G220">
        <f>Calc!G18</f>
        <v/>
      </c>
      <c r="H220">
        <f>Calc!H18</f>
        <v/>
      </c>
      <c r="I220">
        <f>IF(Skills!T18&lt;&gt;"",1+(Skills!T18/10)*($Z$3/1000)/100,1)</f>
        <v/>
      </c>
      <c r="J220" t="inlineStr"/>
      <c r="K220" t="inlineStr"/>
      <c r="L220" t="inlineStr"/>
      <c r="M220" t="inlineStr"/>
      <c r="N220" t="inlineStr"/>
      <c r="O220" t="n">
        <v>0</v>
      </c>
      <c r="P220">
        <f>IF(B242=0,0,O220/B242)</f>
        <v/>
      </c>
      <c r="Q220">
        <f>IFERROR(1/IF(Inputs!$B$39="pvp",15,MAX(0.1,Skills!D18-IF(Skills!E18=TRUE,Inputs!$B$33,0))),0)</f>
        <v/>
      </c>
      <c r="R220" t="n">
        <v>0</v>
      </c>
    </row>
    <row r="221">
      <c r="A221">
        <f>Skills!A19</f>
        <v/>
      </c>
      <c r="B221">
        <f>Skills!B19</f>
        <v/>
      </c>
      <c r="C221">
        <f>Inputs!$B$3&gt;=110</f>
        <v/>
      </c>
      <c r="D221">
        <f>IF(Skills!C19=1,60+Inputs!$B$26+Inputs!$B$30,IF(Skills!C19=2,90+Inputs!$B$27+Inputs!$B$30,IF(Skills!C19=3,120+Inputs!$B$28+Inputs!$B$30,MAX(0,(Inputs!$B$3-100)*3)+Inputs!$B$29+Inputs!$B$30)))</f>
        <v/>
      </c>
      <c r="E221">
        <f>INDEX(FactorTable!$B$2:$Y$301, MATCH(ROUND(MIN(300,MAX(1,D221)),0), FactorTable!$A$2:$A$301,0), Skills!L19+1)</f>
        <v/>
      </c>
      <c r="F221">
        <f>(Skills!K19/10)*(E221/1000)*64/45+Skills!N19</f>
        <v/>
      </c>
      <c r="G221">
        <f>Calc!G19</f>
        <v/>
      </c>
      <c r="H221">
        <f>Calc!H19</f>
        <v/>
      </c>
      <c r="I221">
        <f>IF(Skills!T19&lt;&gt;"",1+(Skills!T19/10)*($Z$3/1000)/100,1)</f>
        <v/>
      </c>
      <c r="J221" t="inlineStr"/>
      <c r="K221" t="inlineStr"/>
      <c r="L221" t="inlineStr"/>
      <c r="M221" t="inlineStr"/>
      <c r="N221" t="inlineStr"/>
      <c r="O221" t="n">
        <v>0</v>
      </c>
      <c r="P221">
        <f>IF(B242=0,0,O221/B242)</f>
        <v/>
      </c>
      <c r="Q221">
        <f>IFERROR(1/IF(Inputs!$B$39="pvp",15,MAX(0.1,Skills!D19-IF(Skills!E19=TRUE,Inputs!$B$33,0))),0)</f>
        <v/>
      </c>
      <c r="R221">
        <f>IF(AND(Inputs!$B$39&lt;&gt;"pvp",Inputs!$B$44&gt;0),IF(Inputs!$B$44&lt;=0,0,(INT(Inputs!$B$44/IF(Inputs!$B$39="pvp",15,MAX(0.1,Skills!D19-IF(Skills!E19=TRUE,Inputs!$B$33,0))))+1)),0)</f>
        <v/>
      </c>
    </row>
    <row r="222">
      <c r="A222">
        <f>Skills!A20</f>
        <v/>
      </c>
      <c r="B222">
        <f>Skills!B20</f>
        <v/>
      </c>
      <c r="C222">
        <f>Inputs!$B$3&gt;=125</f>
        <v/>
      </c>
      <c r="D222">
        <f>IF(Skills!C20=1,60+Inputs!$B$26+Inputs!$B$30,IF(Skills!C20=2,90+Inputs!$B$27+Inputs!$B$30,IF(Skills!C20=3,120+Inputs!$B$28+Inputs!$B$30,MAX(0,(Inputs!$B$3-100)*3)+Inputs!$B$29+Inputs!$B$30)))</f>
        <v/>
      </c>
      <c r="E222">
        <f>INDEX(FactorTable!$B$2:$Y$301, MATCH(ROUND(MIN(300,MAX(1,D222)),0), FactorTable!$A$2:$A$301,0), Skills!L20+1)</f>
        <v/>
      </c>
      <c r="F222">
        <f>IF(Skills!M20=TRUE,(Skills!K20/10)*(E222/1000),Skills!K20/10)+Skills!N20</f>
        <v/>
      </c>
      <c r="G222">
        <f>Calc!G20</f>
        <v/>
      </c>
      <c r="H222">
        <f>Calc!H20</f>
        <v/>
      </c>
      <c r="I222">
        <f>IF(Skills!T20&lt;&gt;"",1+(Skills!T20/10)*($Z$3/1000)/100,1)</f>
        <v/>
      </c>
      <c r="J222" t="inlineStr"/>
      <c r="K222" t="inlineStr"/>
      <c r="L222" t="inlineStr"/>
      <c r="M222" t="inlineStr"/>
      <c r="N222" t="inlineStr"/>
      <c r="O222" t="n">
        <v>0</v>
      </c>
      <c r="P222">
        <f>IF(B242=0,0,O222/B242)</f>
        <v/>
      </c>
      <c r="Q222">
        <f>IFERROR(1/IF(Inputs!$B$39="pvp",15,MAX(0.1,Skills!D20-IF(Skills!E20=TRUE,Inputs!$B$33,0))),0)</f>
        <v/>
      </c>
      <c r="R222" t="n">
        <v>0</v>
      </c>
    </row>
    <row r="223">
      <c r="A223">
        <f>Skills!A21</f>
        <v/>
      </c>
      <c r="B223">
        <f>Skills!B21</f>
        <v/>
      </c>
      <c r="C223">
        <f>Inputs!$B$3&gt;=33</f>
        <v/>
      </c>
      <c r="D223">
        <f>IF(Skills!C21=1,60+Inputs!$B$26+Inputs!$B$30,IF(Skills!C21=2,90+Inputs!$B$27+Inputs!$B$30,IF(Skills!C21=3,120+Inputs!$B$28+Inputs!$B$30,MAX(0,(Inputs!$B$3-100)*3)+Inputs!$B$29+Inputs!$B$30)))</f>
        <v/>
      </c>
      <c r="E223">
        <f>INDEX(FactorTable!$B$2:$Y$301, MATCH(ROUND(MIN(300,MAX(1,D223)),0), FactorTable!$A$2:$A$301,0), Skills!L21+1)</f>
        <v/>
      </c>
      <c r="F223">
        <f>IF(Skills!M21=TRUE,(Skills!K21/10)*(E223/1000),Skills!K21/10)+Skills!N21</f>
        <v/>
      </c>
      <c r="G223">
        <f>Calc!G21</f>
        <v/>
      </c>
      <c r="H223">
        <f>Calc!H21</f>
        <v/>
      </c>
      <c r="I223">
        <f>IF(Skills!T21&lt;&gt;"",1+(Skills!T21/10)*($Z$3/1000)/100,1)</f>
        <v/>
      </c>
      <c r="J223" t="inlineStr"/>
      <c r="K223" t="inlineStr"/>
      <c r="L223" t="inlineStr"/>
      <c r="M223" t="inlineStr"/>
      <c r="N223" t="inlineStr"/>
      <c r="O223" t="n">
        <v>0</v>
      </c>
      <c r="P223">
        <f>IF(B242=0,0,O223/B242)</f>
        <v/>
      </c>
      <c r="Q223">
        <f>IFERROR(1/IF(Inputs!$B$39="pvp",15,MAX(0.1,Skills!D21-IF(Skills!E21=TRUE,Inputs!$B$33,0))),0)</f>
        <v/>
      </c>
      <c r="R223" t="n">
        <v>0</v>
      </c>
    </row>
    <row r="224">
      <c r="A224">
        <f>Skills!A22</f>
        <v/>
      </c>
      <c r="B224">
        <f>Skills!B22</f>
        <v/>
      </c>
      <c r="C224">
        <f>Inputs!$B$3&gt;=43</f>
        <v/>
      </c>
      <c r="D224">
        <f>IF(Skills!C22=1,60+Inputs!$B$26+Inputs!$B$30,IF(Skills!C22=2,90+Inputs!$B$27+Inputs!$B$30,IF(Skills!C22=3,120+Inputs!$B$28+Inputs!$B$30,MAX(0,(Inputs!$B$3-100)*3)+Inputs!$B$29+Inputs!$B$30)))</f>
        <v/>
      </c>
      <c r="E224">
        <f>INDEX(FactorTable!$B$2:$Y$301, MATCH(ROUND(MIN(300,MAX(1,D224)),0), FactorTable!$A$2:$A$301,0), Skills!L22+1)</f>
        <v/>
      </c>
      <c r="F224">
        <f>IF(Skills!M22=TRUE,(Skills!K22/10)*(E224/1000),Skills!K22/10)+Skills!N22</f>
        <v/>
      </c>
      <c r="G224">
        <f>Calc!G22</f>
        <v/>
      </c>
      <c r="H224">
        <f>Calc!H22</f>
        <v/>
      </c>
      <c r="I224">
        <f>IF(Skills!T22&lt;&gt;"",1+(Skills!T22/10)*($Z$3/1000)/100,1)</f>
        <v/>
      </c>
      <c r="J224" t="inlineStr"/>
      <c r="K224" t="inlineStr"/>
      <c r="L224" t="inlineStr"/>
      <c r="M224" t="inlineStr"/>
      <c r="N224" t="inlineStr"/>
      <c r="O224" t="n">
        <v>0</v>
      </c>
      <c r="P224">
        <f>IF(B242=0,0,O224/B242)</f>
        <v/>
      </c>
      <c r="Q224">
        <f>IFERROR(1/IF(Inputs!$B$39="pvp",15,MAX(0.1,Skills!D22-IF(Skills!E22=TRUE,Inputs!$B$33,0))),0)</f>
        <v/>
      </c>
      <c r="R224" t="n">
        <v>0</v>
      </c>
    </row>
    <row r="225">
      <c r="A225">
        <f>Skills!A23</f>
        <v/>
      </c>
      <c r="B225">
        <f>Skills!B23</f>
        <v/>
      </c>
      <c r="C225">
        <f>Inputs!$B$3&gt;=50</f>
        <v/>
      </c>
      <c r="D225">
        <f>IF(Skills!C23=1,60+Inputs!$B$26+Inputs!$B$30,IF(Skills!C23=2,90+Inputs!$B$27+Inputs!$B$30,IF(Skills!C23=3,120+Inputs!$B$28+Inputs!$B$30,MAX(0,(Inputs!$B$3-100)*3)+Inputs!$B$29+Inputs!$B$30)))</f>
        <v/>
      </c>
      <c r="E225">
        <f>INDEX(FactorTable!$B$2:$Y$301, MATCH(ROUND(MIN(300,MAX(1,D225)),0), FactorTable!$A$2:$A$301,0), Skills!L23+1)</f>
        <v/>
      </c>
      <c r="F225">
        <f>IF(Skills!M23=TRUE,(Skills!K23/10)*(E225/1000),Skills!K23/10)+Skills!N23</f>
        <v/>
      </c>
      <c r="G225">
        <f>Calc!G23</f>
        <v/>
      </c>
      <c r="H225">
        <f>Calc!H23</f>
        <v/>
      </c>
      <c r="I225">
        <f>IF(Skills!T23&lt;&gt;"",1+(Skills!T23/10)*($Z$3/1000)/100,1)</f>
        <v/>
      </c>
      <c r="J225" t="inlineStr"/>
      <c r="K225" t="inlineStr"/>
      <c r="L225" t="inlineStr"/>
      <c r="M225" t="inlineStr"/>
      <c r="N225" t="inlineStr"/>
      <c r="O225" t="n">
        <v>0</v>
      </c>
      <c r="P225">
        <f>IF(B242=0,0,O225/B242)</f>
        <v/>
      </c>
      <c r="Q225">
        <f>IFERROR(1/IF(Inputs!$B$39="pvp",15,MAX(0.1,Skills!D23-IF(Skills!E23=TRUE,Inputs!$B$33,0))),0)</f>
        <v/>
      </c>
      <c r="R225" t="n">
        <v>0</v>
      </c>
    </row>
    <row r="226">
      <c r="A226">
        <f>Skills!A24</f>
        <v/>
      </c>
      <c r="B226">
        <f>Skills!B24</f>
        <v/>
      </c>
      <c r="C226">
        <f>Inputs!$B$3&gt;=74</f>
        <v/>
      </c>
      <c r="D226">
        <f>IF(Skills!C24=1,60+Inputs!$B$26+Inputs!$B$30,IF(Skills!C24=2,90+Inputs!$B$27+Inputs!$B$30,IF(Skills!C24=3,120+Inputs!$B$28+Inputs!$B$30,MAX(0,(Inputs!$B$3-100)*3)+Inputs!$B$29+Inputs!$B$30)))</f>
        <v/>
      </c>
      <c r="E226">
        <f>INDEX(FactorTable!$B$2:$Y$301, MATCH(ROUND(MIN(300,MAX(1,D226)),0), FactorTable!$A$2:$A$301,0), Skills!L24+1)</f>
        <v/>
      </c>
      <c r="F226">
        <f>IF(Skills!M24=TRUE,(Skills!K24/10)*(E226/1000),Skills!K24/10)+Skills!N24</f>
        <v/>
      </c>
      <c r="G226">
        <f>Calc!G24</f>
        <v/>
      </c>
      <c r="H226">
        <f>Calc!H24</f>
        <v/>
      </c>
      <c r="I226">
        <f>IF(Skills!T24&lt;&gt;"",1+(Skills!T24/10)*($Z$3/1000)/100,1)</f>
        <v/>
      </c>
      <c r="J226" t="inlineStr"/>
      <c r="K226" t="inlineStr"/>
      <c r="L226" t="inlineStr"/>
      <c r="M226" t="inlineStr"/>
      <c r="N226" t="inlineStr"/>
      <c r="O226" t="n">
        <v>0</v>
      </c>
      <c r="P226">
        <f>IF(B242=0,0,O226/B242)</f>
        <v/>
      </c>
      <c r="Q226">
        <f>IFERROR(1/IF(Inputs!$B$39="pvp",15,MAX(0.1,Skills!D24-IF(Skills!E24=TRUE,Inputs!$B$33,0))),0)</f>
        <v/>
      </c>
      <c r="R226" t="n">
        <v>0</v>
      </c>
    </row>
    <row r="227">
      <c r="A227">
        <f>Skills!A25</f>
        <v/>
      </c>
      <c r="B227">
        <f>Skills!B25</f>
        <v/>
      </c>
      <c r="C227">
        <f>Inputs!$B$3&gt;=74</f>
        <v/>
      </c>
      <c r="D227">
        <f>IF(Skills!C25=1,60+Inputs!$B$26+Inputs!$B$30,IF(Skills!C25=2,90+Inputs!$B$27+Inputs!$B$30,IF(Skills!C25=3,120+Inputs!$B$28+Inputs!$B$30,MAX(0,(Inputs!$B$3-100)*3)+Inputs!$B$29+Inputs!$B$30)))</f>
        <v/>
      </c>
      <c r="E227">
        <f>INDEX(FactorTable!$B$2:$Y$301, MATCH(ROUND(MIN(300,MAX(1,D227)),0), FactorTable!$A$2:$A$301,0), Skills!L25+1)</f>
        <v/>
      </c>
      <c r="F227">
        <f>IF(Skills!M25=TRUE,(Skills!K25/10)*(E227/1000),Skills!K25/10)+Skills!N25</f>
        <v/>
      </c>
      <c r="G227">
        <f>Calc!G25</f>
        <v/>
      </c>
      <c r="H227">
        <f>Calc!H25</f>
        <v/>
      </c>
      <c r="I227">
        <f>IF(Skills!T25&lt;&gt;"",1+(Skills!T25/10)*($Z$3/1000)/100,1)</f>
        <v/>
      </c>
      <c r="J227" t="inlineStr"/>
      <c r="K227" t="inlineStr"/>
      <c r="L227" t="inlineStr"/>
      <c r="M227" t="inlineStr"/>
      <c r="N227" t="inlineStr"/>
      <c r="O227" t="n">
        <v>0</v>
      </c>
      <c r="P227">
        <f>IF(B242=0,0,O227/B242)</f>
        <v/>
      </c>
      <c r="Q227">
        <f>IFERROR(1/IF(Inputs!$B$39="pvp",15,MAX(0.1,Skills!D25-IF(Skills!E25=TRUE,Inputs!$B$33,0))),0)</f>
        <v/>
      </c>
      <c r="R227" t="n">
        <v>0</v>
      </c>
    </row>
    <row r="228">
      <c r="A228">
        <f>Skills!A26</f>
        <v/>
      </c>
      <c r="B228">
        <f>Skills!B26</f>
        <v/>
      </c>
      <c r="C228">
        <f>Inputs!$B$3&gt;=117</f>
        <v/>
      </c>
      <c r="D228">
        <f>IF(Skills!C26=1,60+Inputs!$B$26+Inputs!$B$30,IF(Skills!C26=2,90+Inputs!$B$27+Inputs!$B$30,IF(Skills!C26=3,120+Inputs!$B$28+Inputs!$B$30,MAX(0,(Inputs!$B$3-100)*3)+Inputs!$B$29+Inputs!$B$30)))</f>
        <v/>
      </c>
      <c r="E228">
        <f>INDEX(FactorTable!$B$2:$Y$301, MATCH(ROUND(MIN(300,MAX(1,D228)),0), FactorTable!$A$2:$A$301,0), Skills!L26+1)</f>
        <v/>
      </c>
      <c r="F228">
        <f>IF(Skills!M26=TRUE,(Skills!K26/10)*(E228/1000),Skills!K26/10)+Skills!N26</f>
        <v/>
      </c>
      <c r="G228">
        <f>Calc!G26</f>
        <v/>
      </c>
      <c r="H228">
        <f>Calc!H26</f>
        <v/>
      </c>
      <c r="I228">
        <f>IF(Skills!T26&lt;&gt;"",1+(Skills!T26/10)*($Z$3/1000)/100,1)</f>
        <v/>
      </c>
      <c r="J228" t="inlineStr"/>
      <c r="K228" t="inlineStr"/>
      <c r="L228" t="inlineStr"/>
      <c r="M228" t="inlineStr"/>
      <c r="N228" t="inlineStr"/>
      <c r="O228" t="n">
        <v>0</v>
      </c>
      <c r="P228">
        <f>IF(B242=0,0,O228/B242)</f>
        <v/>
      </c>
      <c r="Q228">
        <f>IFERROR(1/IF(Inputs!$B$39="pvp",15,MAX(0.1,Skills!D26-IF(Skills!E26=TRUE,Inputs!$B$33,0))),0)</f>
        <v/>
      </c>
      <c r="R228" t="n">
        <v>0</v>
      </c>
    </row>
    <row r="229">
      <c r="A229">
        <f>Skills!A27</f>
        <v/>
      </c>
      <c r="B229">
        <f>Skills!B27</f>
        <v/>
      </c>
      <c r="C229">
        <f>Inputs!$B$3&gt;=120</f>
        <v/>
      </c>
      <c r="D229">
        <f>IF(Skills!C27=1,60+Inputs!$B$26+Inputs!$B$30,IF(Skills!C27=2,90+Inputs!$B$27+Inputs!$B$30,IF(Skills!C27=3,120+Inputs!$B$28+Inputs!$B$30,MAX(0,(Inputs!$B$3-100)*3)+Inputs!$B$29+Inputs!$B$30)))</f>
        <v/>
      </c>
      <c r="E229">
        <f>INDEX(FactorTable!$B$2:$Y$301, MATCH(ROUND(MIN(300,MAX(1,D229)),0), FactorTable!$A$2:$A$301,0), Skills!L27+1)</f>
        <v/>
      </c>
      <c r="F229">
        <f>IF(Skills!M27=TRUE,(Skills!K27/10)*(E229/1000),Skills!K27/10)+Skills!N27</f>
        <v/>
      </c>
      <c r="G229">
        <f>Calc!G27</f>
        <v/>
      </c>
      <c r="H229">
        <f>Calc!H27</f>
        <v/>
      </c>
      <c r="I229">
        <f>IF(Skills!T27&lt;&gt;"",1+(Skills!T27/10)*($Z$3/1000)/100,1)</f>
        <v/>
      </c>
      <c r="J229" t="inlineStr"/>
      <c r="K229" t="inlineStr"/>
      <c r="L229" t="inlineStr"/>
      <c r="M229" t="inlineStr"/>
      <c r="N229" t="inlineStr"/>
      <c r="O229" t="n">
        <v>0</v>
      </c>
      <c r="P229">
        <f>IF(B242=0,0,O229/B242)</f>
        <v/>
      </c>
      <c r="Q229">
        <f>IFERROR(1/IF(Inputs!$B$39="pvp",15,MAX(0.1,Skills!D27-IF(Skills!E27=TRUE,Inputs!$B$33,0))),0)</f>
        <v/>
      </c>
      <c r="R229" t="n">
        <v>0</v>
      </c>
    </row>
    <row r="231">
      <c r="A231" t="inlineStr">
        <is>
          <t>Average Buff Multiplier</t>
        </is>
      </c>
      <c r="B231">
        <f>(1+(IF(C205=TRUE,F205*IF(AND(Inputs!$B$39&lt;&gt;"pvp",Inputs!$B$44&gt;0),(((R205-1)*(Skills!S3*(1+(Inputs!$B$35+IF(Inputs!$B$3&gt;=117,F228,0))/100))+MIN((Skills!S3*(1+(Inputs!$B$35+IF(Inputs!$B$3&gt;=117,F228,0))/100)),MAX(0,Inputs!$B$44-((R205-1)*Skills!D3))))/Inputs!$B$44),IF(Inputs!$B$39="pvp",MIN((Skills!S3*(1+(Inputs!$B$35+IF(Inputs!$B$3&gt;=117,F228,0))/100)),15)/15,(Skills!S3*(1+(Inputs!$B$35+IF(Inputs!$B$3&gt;=117,F228,0))/100))/Skills!D3)),0)+IF(C206=TRUE,F206*IF(AND(Inputs!$B$39&lt;&gt;"pvp",Inputs!$B$44&gt;0),(((R206-1)*(Skills!S4*(1+(Inputs!$B$35+IF(Inputs!$B$3&gt;=117,F228,0))/100))+MIN((Skills!S4*(1+(Inputs!$B$35+IF(Inputs!$B$3&gt;=117,F228,0))/100)),MAX(0,Inputs!$B$44-((R206-1)*Skills!D4))))/Inputs!$B$44),IF(Inputs!$B$39="pvp",MIN((Skills!S4*(1+(Inputs!$B$35+IF(Inputs!$B$3&gt;=117,F228,0))/100)),15)/15,(Skills!S4*(1+(Inputs!$B$35+IF(Inputs!$B$3&gt;=117,F228,0))/100))/Skills!D4)),0)+IF(C207=TRUE,F207*IF(AND(Inputs!$B$39&lt;&gt;"pvp",Inputs!$B$44&gt;0),(((R207-1)*(Skills!S5*(1+(Inputs!$B$35+IF(Inputs!$B$3&gt;=117,F228,0))/100))+MIN((Skills!S5*(1+(Inputs!$B$35+IF(Inputs!$B$3&gt;=117,F228,0))/100)),MAX(0,Inputs!$B$44-((R207-1)*Skills!D5))))/Inputs!$B$44),IF(Inputs!$B$39="pvp",MIN((Skills!S5*(1+(Inputs!$B$35+IF(Inputs!$B$3&gt;=117,F228,0))/100)),15)/15,(Skills!S5*(1+(Inputs!$B$35+IF(Inputs!$B$3&gt;=117,F228,0))/100))/Skills!D5)),0)+IF(C213=TRUE,F213*IF(AND(Inputs!$B$39&lt;&gt;"pvp",Inputs!$B$44&gt;0),(((R213-1)*(Skills!S11*(1+(Inputs!$B$35+IF(Inputs!$B$3&gt;=117,F228,0))/100))+MIN((Skills!S11*(1+(Inputs!$B$35+IF(Inputs!$B$3&gt;=117,F228,0))/100)),MAX(0,Inputs!$B$44-((R213-1)*Skills!D11))))/Inputs!$B$44),IF(Inputs!$B$39="pvp",MIN((Skills!S11*(1+(Inputs!$B$35+IF(Inputs!$B$3&gt;=117,F228,0))/100)),15)/15,(Skills!S11*(1+(Inputs!$B$35+IF(Inputs!$B$3&gt;=117,F228,0))/100))/Skills!D11)),0))/100)*IF(C216=TRUE,(1+F216*IF(AND(Inputs!$B$39&lt;&gt;"pvp",Inputs!$B$44&gt;0),(((R216-1)*(Skills!S14*(1+(Inputs!$B$35+IF(Inputs!$B$3&gt;=117,F228,0))/100))+MIN((Skills!S14*(1+(Inputs!$B$35+IF(Inputs!$B$3&gt;=117,F228,0))/100)),MAX(0,Inputs!$B$44-((R216-1)*Skills!D14))))/Inputs!$B$44),IF(Inputs!$B$39="pvp",MIN((Skills!S14*(1+(Inputs!$B$35+IF(Inputs!$B$3&gt;=117,F228,0))/100)),15)/15,(Skills!S14*(1+(Inputs!$B$35+IF(Inputs!$B$3&gt;=117,F228,0))/100))/Skills!D14))/100),1)*IF(C221=TRUE,(1+F221*IF(AND(Inputs!$B$39&lt;&gt;"pvp",Inputs!$B$44&gt;0),(((R221-1)*(Skills!S19*(1+(Inputs!$B$35+IF(Inputs!$B$3&gt;=117,F228,0))/100))+MIN((Skills!S19*(1+(Inputs!$B$35+IF(Inputs!$B$3&gt;=117,F228,0))/100)),MAX(0,Inputs!$B$44-((R221-1)*Skills!D19))))/Inputs!$B$44),IF(Inputs!$B$39="pvp",MIN((Skills!S19*(1+(Inputs!$B$35+IF(Inputs!$B$3&gt;=117,F228,0))/100)),15)/15,(Skills!S19*(1+(Inputs!$B$35+IF(Inputs!$B$3&gt;=117,F228,0))/100))/Skills!D19))/100),1)</f>
        <v/>
      </c>
    </row>
    <row r="232">
      <c r="A232" t="inlineStr">
        <is>
          <t>Monster Damage Taken Bonus % (Holy Fountain)</t>
        </is>
      </c>
      <c r="B232">
        <f>IF(Inputs!$B$3&gt;=68,20*IF(Inputs!$B$39="pvp",MIN((15*(1+(Inputs!$B$35+IF(Inputs!$B$3&gt;=117,F228,0))/100)),15)/15,(15*(1+(Inputs!$B$35+IF(Inputs!$B$3&gt;=117,F228,0))/100))/Skills!D10),0)</f>
        <v/>
      </c>
    </row>
    <row r="233">
      <c r="A233" t="inlineStr">
        <is>
          <t>Normal Monster Damage Bonus % (Holy Symbol)</t>
        </is>
      </c>
      <c r="B233">
        <f>IF(C214=TRUE,F214*IF(AND(Inputs!$B$39&lt;&gt;"pvp",Inputs!$B$44&gt;0),(((R214-1)*(Skills!S12*(1+(Inputs!$B$35+IF(Inputs!$B$3&gt;=117,F228,0))/100))+MIN((Skills!S12*(1+(Inputs!$B$35+IF(Inputs!$B$3&gt;=117,F228,0))/100)),MAX(0,Inputs!$B$44-((R214-1)*Skills!D12))))/Inputs!$B$44),IF(Inputs!$B$39="pvp",MIN((Skills!S12*(1+(Inputs!$B$35+IF(Inputs!$B$3&gt;=117,F228,0))/100)),15)/15,(Skills!S12*(1+(Inputs!$B$35+IF(Inputs!$B$3&gt;=117,F228,0))/100))/Skills!D12)),0)</f>
        <v/>
      </c>
    </row>
    <row r="234">
      <c r="A234" t="inlineStr">
        <is>
          <t>Damage % Bonus (Holy Symbol - Damage Boost)</t>
        </is>
      </c>
      <c r="B234">
        <f>Skills!O12</f>
        <v/>
      </c>
    </row>
    <row r="235">
      <c r="A235" t="inlineStr">
        <is>
          <t>Crit Damage % Bonus (Blood of the Divine)</t>
        </is>
      </c>
      <c r="B235">
        <f>4*IF(C222=TRUE,F222,0)</f>
        <v/>
      </c>
    </row>
    <row r="236">
      <c r="A236" t="inlineStr">
        <is>
          <t>Attack Speed Bonus %</t>
        </is>
      </c>
      <c r="B236">
        <f>IF(C219=TRUE,F219+(F223-Calc!F21),0)+IF(Inputs!$B$3&gt;=134,15,0)</f>
        <v/>
      </c>
    </row>
    <row r="237">
      <c r="A237" t="inlineStr">
        <is>
          <t>Actions Per Second</t>
        </is>
      </c>
      <c r="B237">
        <f>1+MIN(150,150*(1-(1-Inputs!$B$12/150)*(1-B236/150)))/100</f>
        <v/>
      </c>
    </row>
    <row r="238">
      <c r="A238" t="inlineStr">
        <is>
          <t>Skill + Buff Cast Rate</t>
        </is>
      </c>
      <c r="B238">
        <f>IF(AND(Inputs!$B$39&lt;&gt;"pvp",Inputs!$B$44&gt;0),SUMPRODUCT((Skills!E2:E27=TRUE)*(C204:C229=TRUE)*R204:R229)/Inputs!$B$44,SUMPRODUCT((Skills!E2:E27=TRUE)*(C204:C229=TRUE)*Q204:Q229))</f>
        <v/>
      </c>
    </row>
    <row r="239">
      <c r="A239" t="inlineStr">
        <is>
          <t>Big Bang Casts Per Second</t>
        </is>
      </c>
      <c r="B239">
        <f>MAX(0,B237-B238)</f>
        <v/>
      </c>
    </row>
    <row r="240">
      <c r="A240" t="inlineStr">
        <is>
          <t>Defense % Bonus (Divine Protection)</t>
        </is>
      </c>
      <c r="B240">
        <f>IF(C215=TRUE,F215*IF(AND(Inputs!$B$39&lt;&gt;"pvp",Inputs!$B$44&gt;0),(((R215-1)*(Skills!S13*(1+(Inputs!$B$35+IF(Inputs!$B$3&gt;=117,F228,0))/100))+MIN((Skills!S13*(1+(Inputs!$B$35+IF(Inputs!$B$3&gt;=117,F228,0))/100)),MAX(0,Inputs!$B$44-((R215-1)*Skills!D13))))/Inputs!$B$44),IF(Inputs!$B$39="pvp",MIN((Skills!S13*(1+(Inputs!$B$35+IF(Inputs!$B$3&gt;=117,F228,0))/100)),15)/15,(Skills!S13*(1+(Inputs!$B$35+IF(Inputs!$B$3&gt;=117,F228,0))/100))/Skills!D13)),0)</f>
        <v/>
      </c>
    </row>
    <row r="241">
      <c r="A241" t="inlineStr">
        <is>
          <t>Buff-Casting Startup Delay (s, fixed-duration only)</t>
        </is>
      </c>
      <c r="B241">
        <f>IF(AND(Inputs!$B$39&lt;&gt;"pvp",Inputs!$B$44&gt;0),SUMPRODUCT((Skills!S2:S27&gt;0)*(Skills!E2:E27=TRUE)*(C204:C229=TRUE))/B237,0)</f>
        <v/>
      </c>
    </row>
    <row r="242">
      <c r="A242" s="5" t="inlineStr">
        <is>
          <t>TOTAL DPS</t>
        </is>
      </c>
      <c r="B242" s="5">
        <f>SUM(O204:O229)</f>
        <v/>
      </c>
    </row>
    <row r="244">
      <c r="A244" s="5" t="inlineStr">
        <is>
          <t>Stat: DAMAGE_AMP %</t>
        </is>
      </c>
    </row>
    <row r="245">
      <c r="A245" s="9" t="inlineStr">
        <is>
          <t>Key</t>
        </is>
      </c>
      <c r="B245" s="9" t="inlineStr">
        <is>
          <t>Name</t>
        </is>
      </c>
      <c r="C245" s="9" t="inlineStr">
        <is>
          <t>Unlocked</t>
        </is>
      </c>
      <c r="D245" s="9" t="inlineStr">
        <is>
          <t>InputLevel</t>
        </is>
      </c>
      <c r="E245" s="9" t="inlineStr">
        <is>
          <t>Factor</t>
        </is>
      </c>
      <c r="F245" s="9" t="inlineStr">
        <is>
          <t>CoefficientPercent</t>
        </is>
      </c>
      <c r="G245" s="9" t="inlineStr">
        <is>
          <t>EffectiveHits</t>
        </is>
      </c>
      <c r="H245" s="9" t="inlineStr">
        <is>
          <t>ProcProbability</t>
        </is>
      </c>
      <c r="I245" s="9" t="inlineStr">
        <is>
          <t>MapleHeroMultiplier</t>
        </is>
      </c>
      <c r="J245" s="9" t="inlineStr">
        <is>
          <t>BaseDamage</t>
        </is>
      </c>
      <c r="K245" s="9" t="inlineStr">
        <is>
          <t>BaseHitDamage</t>
        </is>
      </c>
      <c r="L245" s="9" t="inlineStr">
        <is>
          <t>NonCritAvg</t>
        </is>
      </c>
      <c r="M245" s="9" t="inlineStr">
        <is>
          <t>CritAvg</t>
        </is>
      </c>
      <c r="N245" s="9" t="inlineStr">
        <is>
          <t>ExpectedDamage(perHit)</t>
        </is>
      </c>
      <c r="O245" s="9" t="inlineStr">
        <is>
          <t>DPS</t>
        </is>
      </c>
      <c r="P245" s="9" t="inlineStr">
        <is>
          <t>% of Total</t>
        </is>
      </c>
      <c r="R245" t="inlineStr">
        <is>
          <t>helpers</t>
        </is>
      </c>
    </row>
    <row r="246">
      <c r="A246">
        <f>Skills!A2</f>
        <v/>
      </c>
      <c r="B246">
        <f>Skills!B2</f>
        <v/>
      </c>
      <c r="C246">
        <f>Inputs!$B$3&gt;=100</f>
        <v/>
      </c>
      <c r="D246" t="inlineStr"/>
      <c r="E246" t="inlineStr"/>
      <c r="F246">
        <f>T248+Skills!N2</f>
        <v/>
      </c>
      <c r="G246">
        <f>Calc!G2</f>
        <v/>
      </c>
      <c r="H246">
        <f>Calc!H2</f>
        <v/>
      </c>
      <c r="I246">
        <f>IF(Skills!T2&lt;&gt;"",1+(Skills!T2/10)*($Z$3/1000)/100,1)</f>
        <v/>
      </c>
      <c r="J246">
        <f>((Inputs!$B$6*(1+Inputs!$B$7/100))+(((Inputs!$B$13*(1+Inputs!$B$14/100))-(Inputs!$B$13*(1+Inputs!$B$14/100)))+0.25*(Inputs!$B$15-Inputs!$B$15))*(1+Inputs!$B$7/100))*(F246/100)</f>
        <v/>
      </c>
      <c r="K246">
        <f>J246*(1+(((Inputs!$B$13+IF(Inputs!$B$3&gt;=35,(10*INDEX(FactorTable!$B$2:$Y$301, MATCH(ROUND(MIN(300,MAX(1,Inputs!$B$3)),0), FactorTable!$A$2:$A$301,0), 23)/1000)/100*(Inputs!$B$8*(1+(Inputs!$B$9+B282)/100)),0))*(1+Inputs!$B$14/100))*0.01+Inputs!$B$15*0.0025)/100)*(1+(Inputs!$B$16+B276)/100)*(1+IF(Inputs!$B$39="pvp",0,(1-Summary!$B$48)*(Inputs!$B$21+Skills!O2+B274)+Summary!$B$48*(Inputs!$B$22+Skills!P2+B275))/100)*(1+(Inputs!$B$17+1)/100)*(5000/(6000+Inputs!$B$43*(1-Inputs!$B$20/100)))*(1+Inputs!$B$25/100)*(1+IF(C262=TRUE,F262,0)/100)*(1+IF(C264=TRUE,F264,0)/100)*(1+IF(Skills!A2="TRIUMPH_FEATHER",IF(C260=TRUE,F260,0),0)/100)*(1+IF(C271=TRUE,F271,0)/100)^5*(1+(IF(Skills!A2="BIG_BANG",Inputs!$B$18,Inputs!$B$19))/100)*(B273*I246)</f>
        <v/>
      </c>
      <c r="L246">
        <f>K246*(MIN(Inputs!$B$23+(F266-Calc!F22),Inputs!$B$24)/100+Inputs!$B$24/100)/2</f>
        <v/>
      </c>
      <c r="M246">
        <f>L246*(1+(Inputs!$B$11+B277+(F269-Calc!F25))/100)</f>
        <v/>
      </c>
      <c r="N246">
        <f>L246*(1-MIN(Inputs!$B$10+((F268-Calc!F24)+(F267-Calc!F23)),100)/100)+M246*(MIN(Inputs!$B$10+((F268-Calc!F24)+(F267-Calc!F23)),100)/100)</f>
        <v/>
      </c>
      <c r="O246">
        <f>IF(C246,Skills!F2*N246*B281*IF(Inputs!$B$39="pvp",1,(1-Summary!$B$48)*(1)+Summary!$B$48*(MIN((6+Inputs!$B$34),Inputs!$B$38))),0)</f>
        <v/>
      </c>
      <c r="P246">
        <f>IF(B284=0,0,O246/B284)</f>
        <v/>
      </c>
      <c r="Q246">
        <f>IFERROR(1/IF(Inputs!$B$39="pvp",15,MAX(0.1,Skills!D2-IF(Skills!E2=TRUE,Inputs!$B$33,0))),0)</f>
        <v/>
      </c>
      <c r="R246" t="n">
        <v>0</v>
      </c>
      <c r="T246">
        <f>MAX(0,(Inputs!$B$3-100)*3)+Inputs!$B$29+Inputs!$B$30</f>
        <v/>
      </c>
    </row>
    <row r="247">
      <c r="A247">
        <f>Skills!A3</f>
        <v/>
      </c>
      <c r="B247">
        <f>Skills!B3</f>
        <v/>
      </c>
      <c r="C247">
        <f>Inputs!$B$3&gt;=15</f>
        <v/>
      </c>
      <c r="D247">
        <f>IF(Skills!C3=1,60+Inputs!$B$26+Inputs!$B$30,IF(Skills!C3=2,90+Inputs!$B$27+Inputs!$B$30,IF(Skills!C3=3,120+Inputs!$B$28+Inputs!$B$30,MAX(0,(Inputs!$B$3-100)*3)+Inputs!$B$29+Inputs!$B$30)))</f>
        <v/>
      </c>
      <c r="E247">
        <f>INDEX(FactorTable!$B$2:$Y$301, MATCH(ROUND(MIN(300,MAX(1,D247)),0), FactorTable!$A$2:$A$301,0), Skills!L3+1)</f>
        <v/>
      </c>
      <c r="F247">
        <f>IF(Skills!M3=TRUE,(Skills!K3/10)*(E247/1000),Skills!K3/10)+Skills!N3</f>
        <v/>
      </c>
      <c r="G247">
        <f>Calc!G3</f>
        <v/>
      </c>
      <c r="H247">
        <f>Calc!H3</f>
        <v/>
      </c>
      <c r="I247">
        <f>IF(Skills!T3&lt;&gt;"",1+(Skills!T3/10)*($Z$3/1000)/100,1)</f>
        <v/>
      </c>
      <c r="J247" t="inlineStr"/>
      <c r="K247" t="inlineStr"/>
      <c r="L247" t="inlineStr"/>
      <c r="M247" t="inlineStr"/>
      <c r="N247" t="inlineStr"/>
      <c r="O247" t="n">
        <v>0</v>
      </c>
      <c r="P247">
        <f>IF(B284=0,0,O247/B284)</f>
        <v/>
      </c>
      <c r="Q247">
        <f>IFERROR(1/IF(Inputs!$B$39="pvp",15,MAX(0.1,Skills!D3-IF(Skills!E3=TRUE,Inputs!$B$33,0))),0)</f>
        <v/>
      </c>
      <c r="R247">
        <f>IF(AND(Inputs!$B$39&lt;&gt;"pvp",Inputs!$B$44&gt;0),IF(Inputs!$B$44&lt;=0,0,(INT(Inputs!$B$44/IF(Inputs!$B$39="pvp",15,MAX(0.1,Skills!D3-IF(Skills!E3=TRUE,Inputs!$B$33,0))))+1)),0)</f>
        <v/>
      </c>
      <c r="T247">
        <f>INDEX(FactorTable!$B$2:$Y$301, MATCH(ROUND(MIN(300,MAX(1,T246)),0), FactorTable!$A$2:$A$301,0), 22)</f>
        <v/>
      </c>
    </row>
    <row r="248">
      <c r="A248">
        <f>Skills!A4</f>
        <v/>
      </c>
      <c r="B248">
        <f>Skills!B4</f>
        <v/>
      </c>
      <c r="C248">
        <f>Inputs!$B$3&gt;=38</f>
        <v/>
      </c>
      <c r="D248">
        <f>IF(Skills!C4=1,60+Inputs!$B$26+Inputs!$B$30,IF(Skills!C4=2,90+Inputs!$B$27+Inputs!$B$30,IF(Skills!C4=3,120+Inputs!$B$28+Inputs!$B$30,MAX(0,(Inputs!$B$3-100)*3)+Inputs!$B$29+Inputs!$B$30)))</f>
        <v/>
      </c>
      <c r="E248">
        <f>INDEX(FactorTable!$B$2:$Y$301, MATCH(ROUND(MIN(300,MAX(1,D248)),0), FactorTable!$A$2:$A$301,0), Skills!L4+1)</f>
        <v/>
      </c>
      <c r="F248">
        <f>IF(Skills!M4=TRUE,(Skills!K4/10)*(E248/1000),Skills!K4/10)+Skills!N4</f>
        <v/>
      </c>
      <c r="G248">
        <f>Calc!G4</f>
        <v/>
      </c>
      <c r="H248">
        <f>Calc!H4</f>
        <v/>
      </c>
      <c r="I248">
        <f>IF(Skills!T4&lt;&gt;"",1+(Skills!T4/10)*($Z$3/1000)/100,1)</f>
        <v/>
      </c>
      <c r="J248" t="inlineStr"/>
      <c r="K248" t="inlineStr"/>
      <c r="L248" t="inlineStr"/>
      <c r="M248" t="inlineStr"/>
      <c r="N248" t="inlineStr"/>
      <c r="O248" t="n">
        <v>0</v>
      </c>
      <c r="P248">
        <f>IF(B284=0,0,O248/B284)</f>
        <v/>
      </c>
      <c r="Q248">
        <f>IFERROR(1/IF(Inputs!$B$39="pvp",15,MAX(0.1,Skills!D4-IF(Skills!E4=TRUE,Inputs!$B$33,0))),0)</f>
        <v/>
      </c>
      <c r="R248">
        <f>IF(AND(Inputs!$B$39&lt;&gt;"pvp",Inputs!$B$44&gt;0),IF(Inputs!$B$44&lt;=0,0,(INT(Inputs!$B$44/IF(Inputs!$B$39="pvp",15,MAX(0.1,Skills!D4-IF(Skills!E4=TRUE,Inputs!$B$33,0))))+1)),0)</f>
        <v/>
      </c>
      <c r="T248">
        <f>290*T247/1000</f>
        <v/>
      </c>
    </row>
    <row r="249">
      <c r="A249">
        <f>Skills!A5</f>
        <v/>
      </c>
      <c r="B249">
        <f>Skills!B5</f>
        <v/>
      </c>
      <c r="C249">
        <f>Inputs!$B$3&gt;=40</f>
        <v/>
      </c>
      <c r="D249">
        <f>IF(Skills!C5=1,60+Inputs!$B$26+Inputs!$B$30,IF(Skills!C5=2,90+Inputs!$B$27+Inputs!$B$30,IF(Skills!C5=3,120+Inputs!$B$28+Inputs!$B$30,MAX(0,(Inputs!$B$3-100)*3)+Inputs!$B$29+Inputs!$B$30)))</f>
        <v/>
      </c>
      <c r="E249">
        <f>INDEX(FactorTable!$B$2:$Y$301, MATCH(ROUND(MIN(300,MAX(1,D249)),0), FactorTable!$A$2:$A$301,0), Skills!L5+1)</f>
        <v/>
      </c>
      <c r="F249">
        <f>IF(Skills!M5=TRUE,(Skills!K5/10)*(E249/1000),Skills!K5/10)+Skills!N5</f>
        <v/>
      </c>
      <c r="G249">
        <f>Calc!G5</f>
        <v/>
      </c>
      <c r="H249">
        <f>Calc!H5</f>
        <v/>
      </c>
      <c r="I249">
        <f>IF(Skills!T5&lt;&gt;"",1+(Skills!T5/10)*($Z$3/1000)/100,1)</f>
        <v/>
      </c>
      <c r="J249" t="inlineStr"/>
      <c r="K249" t="inlineStr"/>
      <c r="L249" t="inlineStr"/>
      <c r="M249" t="inlineStr"/>
      <c r="N249" t="inlineStr"/>
      <c r="O249" t="n">
        <v>0</v>
      </c>
      <c r="P249">
        <f>IF(B284=0,0,O249/B284)</f>
        <v/>
      </c>
      <c r="Q249">
        <f>IFERROR(1/IF(Inputs!$B$39="pvp",15,MAX(0.1,Skills!D5-IF(Skills!E5=TRUE,Inputs!$B$33,0))),0)</f>
        <v/>
      </c>
      <c r="R249">
        <f>IF(AND(Inputs!$B$39&lt;&gt;"pvp",Inputs!$B$44&gt;0),IF(Inputs!$B$44&lt;=0,0,(INT(Inputs!$B$44/IF(Inputs!$B$39="pvp",15,MAX(0.1,Skills!D5-IF(Skills!E5=TRUE,Inputs!$B$33,0))))+1)),0)</f>
        <v/>
      </c>
    </row>
    <row r="250">
      <c r="A250">
        <f>Skills!A6</f>
        <v/>
      </c>
      <c r="B250">
        <f>Skills!B6</f>
        <v/>
      </c>
      <c r="C250">
        <f>Inputs!$B$3&gt;=103</f>
        <v/>
      </c>
      <c r="D250">
        <f>IF(Skills!C6=1,60+Inputs!$B$26+Inputs!$B$30,IF(Skills!C6=2,90+Inputs!$B$27+Inputs!$B$30,IF(Skills!C6=3,120+Inputs!$B$28+Inputs!$B$30,MAX(0,(Inputs!$B$3-100)*3)+Inputs!$B$29+Inputs!$B$30)))</f>
        <v/>
      </c>
      <c r="E250">
        <f>INDEX(FactorTable!$B$2:$Y$301, MATCH(ROUND(MIN(300,MAX(1,D250)),0), FactorTable!$A$2:$A$301,0), Skills!L6+1)</f>
        <v/>
      </c>
      <c r="F250">
        <f>IF(Skills!M6=TRUE,(Skills!K6/10)*(E250/1000),Skills!K6/10)+Skills!N6</f>
        <v/>
      </c>
      <c r="G250">
        <f>Calc!G6</f>
        <v/>
      </c>
      <c r="H250">
        <f>Calc!H6</f>
        <v/>
      </c>
      <c r="I250">
        <f>IF(Skills!T6&lt;&gt;"",1+(Skills!T6/10)*($Z$3/1000)/100,1)</f>
        <v/>
      </c>
      <c r="J250">
        <f>((Inputs!$B$6*(1+Inputs!$B$7/100))+(((Inputs!$B$13*(1+Inputs!$B$14/100))-(Inputs!$B$13*(1+Inputs!$B$14/100)))+0.25*(Inputs!$B$15-Inputs!$B$15))*(1+Inputs!$B$7/100))*(F250/100)</f>
        <v/>
      </c>
      <c r="K250">
        <f>J250*(1+(((Inputs!$B$13+IF(Inputs!$B$3&gt;=35,(10*INDEX(FactorTable!$B$2:$Y$301, MATCH(ROUND(MIN(300,MAX(1,Inputs!$B$3)),0), FactorTable!$A$2:$A$301,0), 23)/1000)/100*(Inputs!$B$8*(1+(Inputs!$B$9+B282)/100)),0))*(1+Inputs!$B$14/100))*0.01+Inputs!$B$15*0.0025)/100)*(1+(Inputs!$B$16+B276)/100)*(1+IF(Inputs!$B$39="pvp",0,(1-Summary!$B$48)*(Inputs!$B$21+Skills!O6+B274)+Summary!$B$48*(Inputs!$B$22+Skills!P6+B275))/100)*(1+(Inputs!$B$17+1)/100)*(5000/(6000+Inputs!$B$43*(1-Inputs!$B$20/100)))*(1+Inputs!$B$25/100)*(1+IF(C262=TRUE,F262,0)/100)*(1+IF(C264=TRUE,F264,0)/100)*(1+IF(Skills!A6="TRIUMPH_FEATHER",IF(C260=TRUE,F260,0),0)/100)*(1+IF(C271=TRUE,F271,0)/100)^5*(1+(IF(Skills!A6="BIG_BANG",Inputs!$B$18,Inputs!$B$19))/100)*(B273*I250)</f>
        <v/>
      </c>
      <c r="L250">
        <f>K250*(MIN(Inputs!$B$23+(F266-Calc!F22),Inputs!$B$24)/100+Inputs!$B$24/100)/2</f>
        <v/>
      </c>
      <c r="M250">
        <f>L250*(1+(Inputs!$B$11+B277+(F269-Calc!F25))/100)</f>
        <v/>
      </c>
      <c r="N250">
        <f>L250*(1-MIN(Inputs!$B$10+((F268-Calc!F24)+(F267-Calc!F23)),100)/100)+M250*(MIN(Inputs!$B$10+((F268-Calc!F24)+(F267-Calc!F23)),100)/100)</f>
        <v/>
      </c>
      <c r="O250">
        <f>IF(C250,H250*N250*IF(AND(Inputs!$B$39&lt;&gt;"pvp",Inputs!$B$44&gt;0),((Skills!F6*((R250-1)*IF(Skills!G6&gt;0,Skills!H6/Skills!G6,1)+IF(Skills!G6&gt;0,MIN(Skills!H6,MAX(0,MAX(0,Inputs!$B$44-B283)-((R250-1)*IF(Inputs!$B$39="pvp",15,MAX(0.1,Skills!D6-IF(Skills!E6=TRUE,Inputs!$B$33,0))))))/Skills!G6,1)))/Inputs!$B$44),G250*Q250)*IF(Inputs!$B$39="pvp",1,(1-Summary!$B$48)*(1)+Summary!$B$48*(MIN(Skills!Q6,Inputs!$B$38))),0)</f>
        <v/>
      </c>
      <c r="P250">
        <f>IF(B284=0,0,O250/B284)</f>
        <v/>
      </c>
      <c r="Q250">
        <f>IFERROR(1/IF(Inputs!$B$39="pvp",15,MAX(0.1,Skills!D6-IF(Skills!E6=TRUE,Inputs!$B$33,0))),0)</f>
        <v/>
      </c>
      <c r="R250">
        <f>IF(AND(Inputs!$B$39&lt;&gt;"pvp",Inputs!$B$44&gt;0),IF(MAX(0,Inputs!$B$44-B283)&lt;=0,0,(INT(MAX(0,Inputs!$B$44-B283)/IF(Inputs!$B$39="pvp",15,MAX(0.1,Skills!D6-IF(Skills!E6=TRUE,Inputs!$B$33,0))))+1)),0)</f>
        <v/>
      </c>
    </row>
    <row r="251">
      <c r="A251">
        <f>Skills!A7</f>
        <v/>
      </c>
      <c r="B251">
        <f>Skills!B7</f>
        <v/>
      </c>
      <c r="C251">
        <f>Inputs!$B$3&gt;=122</f>
        <v/>
      </c>
      <c r="D251">
        <f>IF(Skills!C7=1,60+Inputs!$B$26+Inputs!$B$30,IF(Skills!C7=2,90+Inputs!$B$27+Inputs!$B$30,IF(Skills!C7=3,120+Inputs!$B$28+Inputs!$B$30,MAX(0,(Inputs!$B$3-100)*3)+Inputs!$B$29+Inputs!$B$30)))</f>
        <v/>
      </c>
      <c r="E251">
        <f>INDEX(FactorTable!$B$2:$Y$301, MATCH(ROUND(MIN(300,MAX(1,D251)),0), FactorTable!$A$2:$A$301,0), Skills!L7+1)</f>
        <v/>
      </c>
      <c r="F251">
        <f>IF(Skills!M7=TRUE,(Skills!K7/10)*(E251/1000),Skills!K7/10)+Skills!N7</f>
        <v/>
      </c>
      <c r="G251">
        <f>Calc!G7</f>
        <v/>
      </c>
      <c r="H251">
        <f>Calc!H7</f>
        <v/>
      </c>
      <c r="I251">
        <f>IF(Skills!T7&lt;&gt;"",1+(Skills!T7/10)*($Z$3/1000)/100,1)</f>
        <v/>
      </c>
      <c r="J251">
        <f>((Inputs!$B$6*(1+Inputs!$B$7/100))+(((Inputs!$B$13*(1+Inputs!$B$14/100))-(Inputs!$B$13*(1+Inputs!$B$14/100)))+0.25*(Inputs!$B$15-Inputs!$B$15))*(1+Inputs!$B$7/100))*(F251/100)</f>
        <v/>
      </c>
      <c r="K251">
        <f>J251*(1+(((Inputs!$B$13+IF(Inputs!$B$3&gt;=35,(10*INDEX(FactorTable!$B$2:$Y$301, MATCH(ROUND(MIN(300,MAX(1,Inputs!$B$3)),0), FactorTable!$A$2:$A$301,0), 23)/1000)/100*(Inputs!$B$8*(1+(Inputs!$B$9+B282)/100)),0))*(1+Inputs!$B$14/100))*0.01+Inputs!$B$15*0.0025)/100)*(1+(Inputs!$B$16+B276)/100)*(1+IF(Inputs!$B$39="pvp",0,(1-Summary!$B$48)*(Inputs!$B$21+Skills!O7+B274)+Summary!$B$48*(Inputs!$B$22+Skills!P7+B275))/100)*(1+(Inputs!$B$17+1)/100)*(5000/(6000+Inputs!$B$43*(1-Inputs!$B$20/100)))*(1+Inputs!$B$25/100)*(1+IF(C262=TRUE,F262,0)/100)*(1+IF(C264=TRUE,F264,0)/100)*(1+IF(Skills!A7="TRIUMPH_FEATHER",IF(C260=TRUE,F260,0),0)/100)*(1+IF(C271=TRUE,F271,0)/100)^5*(1+(IF(Skills!A7="BIG_BANG",Inputs!$B$18,Inputs!$B$19))/100)*(B273*I251)</f>
        <v/>
      </c>
      <c r="L251">
        <f>K251*(MIN(Inputs!$B$23+(F266-Calc!F22),Inputs!$B$24)/100+Inputs!$B$24/100)/2</f>
        <v/>
      </c>
      <c r="M251">
        <f>L251*(1+(Inputs!$B$11+B277+(F269-Calc!F25))/100)</f>
        <v/>
      </c>
      <c r="N251">
        <f>L251*(1-MIN(Inputs!$B$10+((F268-Calc!F24)+(F267-Calc!F23)),100)/100)+M251*(MIN(Inputs!$B$10+((F268-Calc!F24)+(F267-Calc!F23)),100)/100)</f>
        <v/>
      </c>
      <c r="O251">
        <f>IF(C251,H251*N251*IF(AND(Inputs!$B$39&lt;&gt;"pvp",Inputs!$B$44&gt;0),((Skills!F7*((R251-1)*IF(Skills!G7&gt;0,Skills!H7/Skills!G7,1)+IF(Skills!G7&gt;0,MIN(Skills!H7,MAX(0,MAX(0,Inputs!$B$44-B283)-((R251-1)*IF(Inputs!$B$39="pvp",15,MAX(0.1,Skills!D7-IF(Skills!E6=TRUE,Inputs!$B$33,0))))))/Skills!G7,1)))/Inputs!$B$44),G251*Q251)*(1-Summary!$B$48),0)</f>
        <v/>
      </c>
      <c r="P251">
        <f>IF(B284=0,0,O251/B284)</f>
        <v/>
      </c>
      <c r="Q251">
        <f>IFERROR(1/IF(Inputs!$B$39="pvp",15,MAX(0.1,Skills!D7-IF(Skills!E6=TRUE,Inputs!$B$33,0))),0)</f>
        <v/>
      </c>
      <c r="R251">
        <f>IF(AND(Inputs!$B$39&lt;&gt;"pvp",Inputs!$B$44&gt;0),IF(MAX(0,Inputs!$B$44-B283)&lt;=0,0,(INT(MAX(0,Inputs!$B$44-B283)/IF(Inputs!$B$39="pvp",15,MAX(0.1,Skills!D7-IF(Skills!E6=TRUE,Inputs!$B$33,0))))+1)),0)</f>
        <v/>
      </c>
    </row>
    <row r="252">
      <c r="A252">
        <f>Skills!A8</f>
        <v/>
      </c>
      <c r="B252">
        <f>Skills!B8</f>
        <v/>
      </c>
      <c r="C252">
        <f>Inputs!$B$3&gt;=105</f>
        <v/>
      </c>
      <c r="D252">
        <f>IF(Skills!C8=1,60+Inputs!$B$26+Inputs!$B$30,IF(Skills!C8=2,90+Inputs!$B$27+Inputs!$B$30,IF(Skills!C8=3,120+Inputs!$B$28+Inputs!$B$30,MAX(0,(Inputs!$B$3-100)*3)+Inputs!$B$29+Inputs!$B$30)))</f>
        <v/>
      </c>
      <c r="E252">
        <f>INDEX(FactorTable!$B$2:$Y$301, MATCH(ROUND(MIN(300,MAX(1,D252)),0), FactorTable!$A$2:$A$301,0), Skills!L8+1)</f>
        <v/>
      </c>
      <c r="F252">
        <f>IF(Skills!M8=TRUE,(Skills!K8/10)*(E252/1000),Skills!K8/10)+Skills!N8</f>
        <v/>
      </c>
      <c r="G252">
        <f>Calc!G8</f>
        <v/>
      </c>
      <c r="H252">
        <f>Calc!H8</f>
        <v/>
      </c>
      <c r="I252">
        <f>IF(Skills!T8&lt;&gt;"",1+(Skills!T8/10)*($Z$3/1000)/100,1)</f>
        <v/>
      </c>
      <c r="J252">
        <f>((Inputs!$B$6*(1+Inputs!$B$7/100))+(((Inputs!$B$13*(1+Inputs!$B$14/100))-(Inputs!$B$13*(1+Inputs!$B$14/100)))+0.25*(Inputs!$B$15-Inputs!$B$15))*(1+Inputs!$B$7/100))*(F252/100)</f>
        <v/>
      </c>
      <c r="K252">
        <f>J252*(1+(((Inputs!$B$13+IF(Inputs!$B$3&gt;=35,(10*INDEX(FactorTable!$B$2:$Y$301, MATCH(ROUND(MIN(300,MAX(1,Inputs!$B$3)),0), FactorTable!$A$2:$A$301,0), 23)/1000)/100*(Inputs!$B$8*(1+(Inputs!$B$9+B282)/100)),0))*(1+Inputs!$B$14/100))*0.01+Inputs!$B$15*0.0025)/100)*(1+(Inputs!$B$16+B276)/100)*(1+IF(Inputs!$B$39="pvp",0,(1-Summary!$B$48)*(Inputs!$B$21+Skills!O8+B274)+Summary!$B$48*(Inputs!$B$22+Skills!P8+B275))/100)*(1+(Inputs!$B$17+1)/100)*(5000/(6000+Inputs!$B$43*(1-Inputs!$B$20/100)))*(1+Inputs!$B$25/100)*(1+IF(C262=TRUE,F262,0)/100)*(1+IF(C264=TRUE,F264,0)/100)*(1+IF(Skills!A8="TRIUMPH_FEATHER",IF(C260=TRUE,F260,0),0)/100)*(1+IF(C271=TRUE,F271,0)/100)^5*(1+(IF(Skills!A8="BIG_BANG",Inputs!$B$18,Inputs!$B$19))/100)*(B273*I252)</f>
        <v/>
      </c>
      <c r="L252">
        <f>K252*(MIN(Inputs!$B$23+(F266-Calc!F22),Inputs!$B$24)/100+Inputs!$B$24/100)/2</f>
        <v/>
      </c>
      <c r="M252">
        <f>L252*(1+(Inputs!$B$11+B277+(F269-Calc!F25))/100)</f>
        <v/>
      </c>
      <c r="N252">
        <f>L252*(1-MIN(Inputs!$B$10+((F268-Calc!F24)+(F267-Calc!F23)),100)/100)+M252*(MIN(Inputs!$B$10+((F268-Calc!F24)+(F267-Calc!F23)),100)/100)</f>
        <v/>
      </c>
      <c r="O252">
        <f>IF(C252,H252*N252*IF(AND(Inputs!$B$39&lt;&gt;"pvp",Inputs!$B$44&gt;0),((Skills!F8*((R252-1)*IF(Skills!G8&gt;0,Skills!H8/Skills!G8,1)+IF(Skills!G8&gt;0,MIN(Skills!H8,MAX(0,MAX(0,Inputs!$B$44-B283)-((R252-1)*IF(Inputs!$B$39="pvp",15,MAX(0.1,Skills!D8-IF(Skills!E8=TRUE,Inputs!$B$33,0))))))/Skills!G8,1)))/Inputs!$B$44),G252*Q252)*IF(Inputs!$B$39="pvp",1,(1-Summary!$B$48)*(1)+Summary!$B$48*(MIN(Skills!Q8,Inputs!$B$38))),0)</f>
        <v/>
      </c>
      <c r="P252">
        <f>IF(B284=0,0,O252/B284)</f>
        <v/>
      </c>
      <c r="Q252">
        <f>IFERROR(1/IF(Inputs!$B$39="pvp",15,MAX(0.1,Skills!D8-IF(Skills!E8=TRUE,Inputs!$B$33,0))),0)</f>
        <v/>
      </c>
      <c r="R252">
        <f>IF(AND(Inputs!$B$39&lt;&gt;"pvp",Inputs!$B$44&gt;0),IF(MAX(0,Inputs!$B$44-B283)&lt;=0,0,(INT(MAX(0,Inputs!$B$44-B283)/IF(Inputs!$B$39="pvp",15,MAX(0.1,Skills!D8-IF(Skills!E8=TRUE,Inputs!$B$33,0))))+1)),0)</f>
        <v/>
      </c>
    </row>
    <row r="253">
      <c r="A253">
        <f>Skills!A9</f>
        <v/>
      </c>
      <c r="B253">
        <f>Skills!B9</f>
        <v/>
      </c>
      <c r="C253">
        <f>Inputs!$B$3&gt;=115</f>
        <v/>
      </c>
      <c r="D253">
        <f>IF(Skills!C9=1,60+Inputs!$B$26+Inputs!$B$30,IF(Skills!C9=2,90+Inputs!$B$27+Inputs!$B$30,IF(Skills!C9=3,120+Inputs!$B$28+Inputs!$B$30,MAX(0,(Inputs!$B$3-100)*3)+Inputs!$B$29+Inputs!$B$30)))</f>
        <v/>
      </c>
      <c r="E253">
        <f>INDEX(FactorTable!$B$2:$Y$301, MATCH(ROUND(MIN(300,MAX(1,D253)),0), FactorTable!$A$2:$A$301,0), Skills!L9+1)</f>
        <v/>
      </c>
      <c r="F253">
        <f>IF(Skills!M9=TRUE,(Skills!K9/10)*(E253/1000),Skills!K9/10)+Skills!N9</f>
        <v/>
      </c>
      <c r="G253">
        <f>Calc!G9</f>
        <v/>
      </c>
      <c r="H253">
        <f>Calc!H9</f>
        <v/>
      </c>
      <c r="I253">
        <f>IF(Skills!T9&lt;&gt;"",1+(Skills!T9/10)*($Z$3/1000)/100,1)</f>
        <v/>
      </c>
      <c r="J253">
        <f>((Inputs!$B$6*(1+Inputs!$B$7/100))+(((Inputs!$B$13*(1+Inputs!$B$14/100))-(Inputs!$B$13*(1+Inputs!$B$14/100)))+0.25*(Inputs!$B$15-Inputs!$B$15))*(1+Inputs!$B$7/100))*(F253/100)</f>
        <v/>
      </c>
      <c r="K253">
        <f>J253*(1+(((Inputs!$B$13+IF(Inputs!$B$3&gt;=35,(10*INDEX(FactorTable!$B$2:$Y$301, MATCH(ROUND(MIN(300,MAX(1,Inputs!$B$3)),0), FactorTable!$A$2:$A$301,0), 23)/1000)/100*(Inputs!$B$8*(1+(Inputs!$B$9+B282)/100)),0))*(1+Inputs!$B$14/100))*0.01+Inputs!$B$15*0.0025)/100)*(1+(Inputs!$B$16+B276)/100)*(1+IF(Inputs!$B$39="pvp",0,(1-Summary!$B$48)*(Inputs!$B$21+Skills!O9+B274)+Summary!$B$48*(Inputs!$B$22+Skills!P9+B275))/100)*(1+(Inputs!$B$17+1)/100)*(5000/(6000+Inputs!$B$43*(1-Inputs!$B$20/100)))*(1+Inputs!$B$25/100)*(1+IF(C262=TRUE,F262,0)/100)*(1+IF(C264=TRUE,F264,0)/100)*(1+IF(Skills!A9="TRIUMPH_FEATHER",IF(C260=TRUE,F260,0),0)/100)*(1+IF(C271=TRUE,F271,0)/100)^5*(1+(IF(Skills!A9="BIG_BANG",Inputs!$B$18,Inputs!$B$19))/100)*(B273*I253)</f>
        <v/>
      </c>
      <c r="L253">
        <f>K253*(MIN(Inputs!$B$23+(F266-Calc!F22),Inputs!$B$24)/100+Inputs!$B$24/100)/2</f>
        <v/>
      </c>
      <c r="M253">
        <f>L253*(1+(Inputs!$B$11+B277+(F269-Calc!F25))/100)</f>
        <v/>
      </c>
      <c r="N253">
        <f>L253*(1-MIN(Inputs!$B$10+((F268-Calc!F24)+(F267-Calc!F23)),100)/100)+M253*(MIN(Inputs!$B$10+((F268-Calc!F24)+(F267-Calc!F23)),100)/100)</f>
        <v/>
      </c>
      <c r="O253">
        <f>IF(C253,H253*N253*IF(AND(Inputs!$B$39&lt;&gt;"pvp",Inputs!$B$44&gt;0),((Skills!F9*((R253-1)*IF(Skills!G9&gt;0,Skills!H9/Skills!G9,1)+IF(Skills!G9&gt;0,MIN(Skills!H9,MAX(0,MAX(0,Inputs!$B$44-B283)-((R253-1)*IF(Inputs!$B$39="pvp",15,MAX(0.1,Skills!D9-IF(Skills!E9=TRUE,Inputs!$B$33,0))))))/Skills!G9,1)))/Inputs!$B$44),G253*Q253)*IF(Inputs!$B$39="pvp",1,(1-Summary!$B$48)*(1)+Summary!$B$48*(MIN(Skills!Q9,Inputs!$B$38))),0)</f>
        <v/>
      </c>
      <c r="P253">
        <f>IF(B284=0,0,O253/B284)</f>
        <v/>
      </c>
      <c r="Q253">
        <f>IFERROR(1/IF(Inputs!$B$39="pvp",15,MAX(0.1,Skills!D9-IF(Skills!E9=TRUE,Inputs!$B$33,0))),0)</f>
        <v/>
      </c>
      <c r="R253">
        <f>IF(AND(Inputs!$B$39&lt;&gt;"pvp",Inputs!$B$44&gt;0),IF(MAX(0,Inputs!$B$44-B283)&lt;=0,0,(INT(MAX(0,Inputs!$B$44-B283)/IF(Inputs!$B$39="pvp",15,MAX(0.1,Skills!D9-IF(Skills!E9=TRUE,Inputs!$B$33,0))))+1)),0)</f>
        <v/>
      </c>
    </row>
    <row r="254">
      <c r="A254">
        <f>Skills!A10</f>
        <v/>
      </c>
      <c r="B254">
        <f>Skills!B10</f>
        <v/>
      </c>
      <c r="C254">
        <f>Inputs!$B$3&gt;=66</f>
        <v/>
      </c>
      <c r="D254">
        <f>IF(Skills!C10=1,60+Inputs!$B$26+Inputs!$B$30,IF(Skills!C10=2,90+Inputs!$B$27+Inputs!$B$30,IF(Skills!C10=3,120+Inputs!$B$28+Inputs!$B$30,MAX(0,(Inputs!$B$3-100)*3)+Inputs!$B$29+Inputs!$B$30)))</f>
        <v/>
      </c>
      <c r="E254">
        <f>INDEX(FactorTable!$B$2:$Y$301, MATCH(ROUND(MIN(300,MAX(1,D254)),0), FactorTable!$A$2:$A$301,0), Skills!L10+1)</f>
        <v/>
      </c>
      <c r="F254" t="n">
        <v>0</v>
      </c>
      <c r="G254">
        <f>Calc!G10</f>
        <v/>
      </c>
      <c r="H254">
        <f>Calc!H10</f>
        <v/>
      </c>
      <c r="I254">
        <f>IF(Skills!T10&lt;&gt;"",1+(Skills!T10/10)*($Z$3/1000)/100,1)</f>
        <v/>
      </c>
      <c r="J254" t="inlineStr"/>
      <c r="K254" t="inlineStr"/>
      <c r="L254" t="inlineStr"/>
      <c r="M254" t="inlineStr"/>
      <c r="N254" t="inlineStr"/>
      <c r="O254" t="n">
        <v>0</v>
      </c>
      <c r="P254">
        <f>IF(B284=0,0,O254/B284)</f>
        <v/>
      </c>
      <c r="Q254">
        <f>IFERROR(1/IF(Inputs!$B$39="pvp",15,MAX(0.1,Skills!D10-IF(Skills!E10=TRUE,Inputs!$B$33,0))),0)</f>
        <v/>
      </c>
      <c r="R254">
        <f>IF(AND(Inputs!$B$39&lt;&gt;"pvp",Inputs!$B$44&gt;0),IF(MAX(0,Inputs!$B$44-B283)&lt;=0,0,(INT(MAX(0,Inputs!$B$44-B283)/IF(Inputs!$B$39="pvp",15,MAX(0.1,Skills!D10-IF(Skills!E10=TRUE,Inputs!$B$33,0))))+1)),0)</f>
        <v/>
      </c>
    </row>
    <row r="255">
      <c r="A255">
        <f>Skills!A11</f>
        <v/>
      </c>
      <c r="B255">
        <f>Skills!B11</f>
        <v/>
      </c>
      <c r="C255">
        <f>Inputs!$B$3&gt;=69</f>
        <v/>
      </c>
      <c r="D255">
        <f>IF(Skills!C11=1,60+Inputs!$B$26+Inputs!$B$30,IF(Skills!C11=2,90+Inputs!$B$27+Inputs!$B$30,IF(Skills!C11=3,120+Inputs!$B$28+Inputs!$B$30,MAX(0,(Inputs!$B$3-100)*3)+Inputs!$B$29+Inputs!$B$30)))</f>
        <v/>
      </c>
      <c r="E255">
        <f>INDEX(FactorTable!$B$2:$Y$301, MATCH(ROUND(MIN(300,MAX(1,D255)),0), FactorTable!$A$2:$A$301,0), Skills!L11+1)</f>
        <v/>
      </c>
      <c r="F255">
        <f>IF(Skills!M11=TRUE,(Skills!K11/10)*(E255/1000),Skills!K11/10)+Skills!N11</f>
        <v/>
      </c>
      <c r="G255">
        <f>Calc!G11</f>
        <v/>
      </c>
      <c r="H255">
        <f>Calc!H11</f>
        <v/>
      </c>
      <c r="I255">
        <f>IF(Skills!T11&lt;&gt;"",1+(Skills!T11/10)*($Z$3/1000)/100,1)</f>
        <v/>
      </c>
      <c r="J255" t="inlineStr"/>
      <c r="K255" t="inlineStr"/>
      <c r="L255" t="inlineStr"/>
      <c r="M255" t="inlineStr"/>
      <c r="N255" t="inlineStr"/>
      <c r="O255" t="n">
        <v>0</v>
      </c>
      <c r="P255">
        <f>IF(B284=0,0,O255/B284)</f>
        <v/>
      </c>
      <c r="Q255">
        <f>IFERROR(1/IF(Inputs!$B$39="pvp",15,MAX(0.1,Skills!D11-IF(Skills!E11=TRUE,Inputs!$B$33,0))),0)</f>
        <v/>
      </c>
      <c r="R255">
        <f>IF(AND(Inputs!$B$39&lt;&gt;"pvp",Inputs!$B$44&gt;0),IF(Inputs!$B$44&lt;=0,0,(INT(Inputs!$B$44/IF(Inputs!$B$39="pvp",15,MAX(0.1,Skills!D11-IF(Skills!E11=TRUE,Inputs!$B$33,0))))+1)),0)</f>
        <v/>
      </c>
    </row>
    <row r="256">
      <c r="A256">
        <f>Skills!A12</f>
        <v/>
      </c>
      <c r="B256">
        <f>Skills!B12</f>
        <v/>
      </c>
      <c r="C256">
        <f>Inputs!$B$3&gt;=72</f>
        <v/>
      </c>
      <c r="D256">
        <f>IF(Skills!C12=1,60+Inputs!$B$26+Inputs!$B$30,IF(Skills!C12=2,90+Inputs!$B$27+Inputs!$B$30,IF(Skills!C12=3,120+Inputs!$B$28+Inputs!$B$30,MAX(0,(Inputs!$B$3-100)*3)+Inputs!$B$29+Inputs!$B$30)))</f>
        <v/>
      </c>
      <c r="E256">
        <f>INDEX(FactorTable!$B$2:$Y$301, MATCH(ROUND(MIN(300,MAX(1,D256)),0), FactorTable!$A$2:$A$301,0), Skills!L12+1)</f>
        <v/>
      </c>
      <c r="F256">
        <f>IF(Skills!M12=TRUE,(Skills!K12/10)*(E256/1000),Skills!K12/10)+Skills!N12</f>
        <v/>
      </c>
      <c r="G256">
        <f>Calc!G12</f>
        <v/>
      </c>
      <c r="H256">
        <f>Calc!H12</f>
        <v/>
      </c>
      <c r="I256">
        <f>IF(Skills!T12&lt;&gt;"",1+(Skills!T12/10)*($Z$3/1000)/100,1)</f>
        <v/>
      </c>
      <c r="J256" t="inlineStr"/>
      <c r="K256" t="inlineStr"/>
      <c r="L256" t="inlineStr"/>
      <c r="M256" t="inlineStr"/>
      <c r="N256" t="inlineStr"/>
      <c r="O256" t="n">
        <v>0</v>
      </c>
      <c r="P256">
        <f>IF(B284=0,0,O256/B284)</f>
        <v/>
      </c>
      <c r="Q256">
        <f>IFERROR(1/IF(Inputs!$B$39="pvp",15,MAX(0.1,Skills!D12-IF(Skills!E12=TRUE,Inputs!$B$33,0))),0)</f>
        <v/>
      </c>
      <c r="R256">
        <f>IF(AND(Inputs!$B$39&lt;&gt;"pvp",Inputs!$B$44&gt;0),IF(MAX(0,Inputs!$B$44-B283)&lt;=0,0,(INT(MAX(0,Inputs!$B$44-B283)/IF(Inputs!$B$39="pvp",15,MAX(0.1,Skills!D12-IF(Skills!E12=TRUE,Inputs!$B$33,0))))+1)),0)</f>
        <v/>
      </c>
    </row>
    <row r="257">
      <c r="A257">
        <f>Skills!A13</f>
        <v/>
      </c>
      <c r="B257">
        <f>Skills!B13</f>
        <v/>
      </c>
      <c r="C257">
        <f>Inputs!$B$3&gt;=60</f>
        <v/>
      </c>
      <c r="D257">
        <f>IF(Skills!C13=1,60+Inputs!$B$26+Inputs!$B$30,IF(Skills!C13=2,90+Inputs!$B$27+Inputs!$B$30,IF(Skills!C13=3,120+Inputs!$B$28+Inputs!$B$30,MAX(0,(Inputs!$B$3-100)*3)+Inputs!$B$29+Inputs!$B$30)))</f>
        <v/>
      </c>
      <c r="E257">
        <f>INDEX(FactorTable!$B$2:$Y$301, MATCH(ROUND(MIN(300,MAX(1,D257)),0), FactorTable!$A$2:$A$301,0), Skills!L13+1)</f>
        <v/>
      </c>
      <c r="F257">
        <f>IF(Skills!M13=TRUE,(Skills!K13/10)*(E257/1000),Skills!K13/10)+Skills!N13</f>
        <v/>
      </c>
      <c r="G257">
        <f>Calc!G13</f>
        <v/>
      </c>
      <c r="H257">
        <f>Calc!H13</f>
        <v/>
      </c>
      <c r="I257">
        <f>IF(Skills!T13&lt;&gt;"",1+(Skills!T13/10)*($Z$3/1000)/100,1)</f>
        <v/>
      </c>
      <c r="J257" t="inlineStr"/>
      <c r="K257" t="inlineStr"/>
      <c r="L257" t="inlineStr"/>
      <c r="M257" t="inlineStr"/>
      <c r="N257" t="inlineStr"/>
      <c r="O257" t="n">
        <v>0</v>
      </c>
      <c r="P257">
        <f>IF(B284=0,0,O257/B284)</f>
        <v/>
      </c>
      <c r="Q257">
        <f>IFERROR(1/IF(Inputs!$B$39="pvp",15,MAX(0.1,Skills!D13-IF(Skills!E13=TRUE,Inputs!$B$33,0))),0)</f>
        <v/>
      </c>
      <c r="R257">
        <f>IF(AND(Inputs!$B$39&lt;&gt;"pvp",Inputs!$B$44&gt;0),IF(MAX(0,Inputs!$B$44-B283)&lt;=0,0,(INT(MAX(0,Inputs!$B$44-B283)/IF(Inputs!$B$39="pvp",15,MAX(0.1,Skills!D13-IF(Skills!E13=TRUE,Inputs!$B$33,0))))+1)),0)</f>
        <v/>
      </c>
    </row>
    <row r="258">
      <c r="A258">
        <f>Skills!A14</f>
        <v/>
      </c>
      <c r="B258">
        <f>Skills!B14</f>
        <v/>
      </c>
      <c r="C258">
        <f>Inputs!$B$3&gt;=107</f>
        <v/>
      </c>
      <c r="D258">
        <f>IF(Skills!C14=1,60+Inputs!$B$26+Inputs!$B$30,IF(Skills!C14=2,90+Inputs!$B$27+Inputs!$B$30,IF(Skills!C14=3,120+Inputs!$B$28+Inputs!$B$30,MAX(0,(Inputs!$B$3-100)*3)+Inputs!$B$29+Inputs!$B$30)))</f>
        <v/>
      </c>
      <c r="E258">
        <f>INDEX(FactorTable!$B$2:$Y$301, MATCH(ROUND(MIN(300,MAX(1,D258)),0), FactorTable!$A$2:$A$301,0), Skills!L14+1)</f>
        <v/>
      </c>
      <c r="F258">
        <f>IF(Skills!M14=TRUE,(Skills!K14/10)*(E258/1000),Skills!K14/10)+Skills!N14</f>
        <v/>
      </c>
      <c r="G258">
        <f>Calc!G14</f>
        <v/>
      </c>
      <c r="H258">
        <f>Calc!H14</f>
        <v/>
      </c>
      <c r="I258">
        <f>IF(Skills!T14&lt;&gt;"",1+(Skills!T14/10)*($Z$3/1000)/100,1)</f>
        <v/>
      </c>
      <c r="J258" t="inlineStr"/>
      <c r="K258" t="inlineStr"/>
      <c r="L258" t="inlineStr"/>
      <c r="M258" t="inlineStr"/>
      <c r="N258" t="inlineStr"/>
      <c r="O258" t="n">
        <v>0</v>
      </c>
      <c r="P258">
        <f>IF(B284=0,0,O258/B284)</f>
        <v/>
      </c>
      <c r="Q258">
        <f>IFERROR(1/IF(Inputs!$B$39="pvp",15,MAX(0.1,Skills!D14-IF(Skills!E14=TRUE,Inputs!$B$33,0))),0)</f>
        <v/>
      </c>
      <c r="R258">
        <f>IF(AND(Inputs!$B$39&lt;&gt;"pvp",Inputs!$B$44&gt;0),IF(Inputs!$B$44&lt;=0,0,(INT(Inputs!$B$44/IF(Inputs!$B$39="pvp",15,MAX(0.1,Skills!D14-IF(Skills!E14=TRUE,Inputs!$B$33,0))))+1)),0)</f>
        <v/>
      </c>
    </row>
    <row r="259">
      <c r="A259">
        <f>Skills!A15</f>
        <v/>
      </c>
      <c r="B259">
        <f>Skills!B15</f>
        <v/>
      </c>
      <c r="C259">
        <f>Inputs!$B$3&gt;=63</f>
        <v/>
      </c>
      <c r="D259">
        <f>IF(Skills!C15=1,60+Inputs!$B$26+Inputs!$B$30,IF(Skills!C15=2,90+Inputs!$B$27+Inputs!$B$30,IF(Skills!C15=3,120+Inputs!$B$28+Inputs!$B$30,MAX(0,(Inputs!$B$3-100)*3)+Inputs!$B$29+Inputs!$B$30)))</f>
        <v/>
      </c>
      <c r="E259">
        <f>INDEX(FactorTable!$B$2:$Y$301, MATCH(ROUND(MIN(300,MAX(1,D259)),0), FactorTable!$A$2:$A$301,0), Skills!L15+1)</f>
        <v/>
      </c>
      <c r="F259">
        <f>IF(Skills!M15=TRUE,(Skills!K15/10)*(E259/1000),Skills!K15/10)+Skills!N15</f>
        <v/>
      </c>
      <c r="G259">
        <f>Calc!G15</f>
        <v/>
      </c>
      <c r="H259">
        <f>Calc!H15</f>
        <v/>
      </c>
      <c r="I259">
        <f>IF(Skills!T15&lt;&gt;"",1+(Skills!T15/10)*($Z$3/1000)/100,1)</f>
        <v/>
      </c>
      <c r="J259">
        <f>((Inputs!$B$6*(1+Inputs!$B$7/100))+(((Inputs!$B$13*(1+Inputs!$B$14/100))-(Inputs!$B$13*(1+Inputs!$B$14/100)))+0.25*(Inputs!$B$15-Inputs!$B$15))*(1+Inputs!$B$7/100))*(F259/100)</f>
        <v/>
      </c>
      <c r="K259">
        <f>J259*(1+(((Inputs!$B$13+IF(Inputs!$B$3&gt;=35,(10*INDEX(FactorTable!$B$2:$Y$301, MATCH(ROUND(MIN(300,MAX(1,Inputs!$B$3)),0), FactorTable!$A$2:$A$301,0), 23)/1000)/100*(Inputs!$B$8*(1+(Inputs!$B$9+B282)/100)),0))*(1+Inputs!$B$14/100))*0.01+Inputs!$B$15*0.0025)/100)*(1+(Inputs!$B$16+B276)/100)*(1+IF(Inputs!$B$39="pvp",0,(1-Summary!$B$48)*(Inputs!$B$21+Skills!O15+B274)+Summary!$B$48*(Inputs!$B$22+Skills!P15+B275))/100)*(1+(Inputs!$B$17+1)/100)*(5000/(6000+Inputs!$B$43*(1-Inputs!$B$20/100)))*(1+Inputs!$B$25/100)*(1+IF(C262=TRUE,F262,0)/100)*(1+IF(C264=TRUE,F264,0)/100)*(1+IF(Skills!A15="TRIUMPH_FEATHER",IF(C260=TRUE,F260,0),0)/100)*(1+IF(C271=TRUE,F271,0)/100)^5*(1+(IF(Skills!A15="BIG_BANG",Inputs!$B$18,Inputs!$B$19))/100)*(B273*I259)</f>
        <v/>
      </c>
      <c r="L259">
        <f>K259*(MIN(Inputs!$B$23+(F266-Calc!F22),Inputs!$B$24)/100+Inputs!$B$24/100)/2</f>
        <v/>
      </c>
      <c r="M259">
        <f>L259*(1+(Inputs!$B$11+B277+(F269-Calc!F25))/100)</f>
        <v/>
      </c>
      <c r="N259">
        <f>L259*(1-MIN(Inputs!$B$10+((F268-Calc!F24)+(F267-Calc!F23)),100)/100)+M259*(MIN(Inputs!$B$10+((F268-Calc!F24)+(F267-Calc!F23)),100)/100)</f>
        <v/>
      </c>
      <c r="O259">
        <f>IF(C259,Skills!F15*N259*((IF(Inputs!$B$3&gt;=78,25,15)/100*B279*10)/(1+IF(Inputs!$B$3&gt;=78,25,15)/100*B279*10))*(Skills!I15/100*B279)/(1+Skills!G15*Skills!I15/100*B279)*IF(Inputs!$B$39="pvp",1,(1-Summary!$B$48)*(1)+Summary!$B$48*(MIN(Skills!Q15,Inputs!$B$38))),0)</f>
        <v/>
      </c>
      <c r="P259">
        <f>IF(B284=0,0,O259/B284)</f>
        <v/>
      </c>
      <c r="Q259">
        <f>IFERROR(1/IF(Inputs!$B$39="pvp",15,MAX(0.1,Skills!D15-IF(Skills!E15=TRUE,Inputs!$B$33,0))),0)</f>
        <v/>
      </c>
      <c r="R259" t="n">
        <v>0</v>
      </c>
    </row>
    <row r="260">
      <c r="A260">
        <f>Skills!A16</f>
        <v/>
      </c>
      <c r="B260">
        <f>Skills!B16</f>
        <v/>
      </c>
      <c r="C260">
        <f>Inputs!$B$3&gt;=100</f>
        <v/>
      </c>
      <c r="D260">
        <f>IF(Skills!C16=1,60+Inputs!$B$26+Inputs!$B$30,IF(Skills!C16=2,90+Inputs!$B$27+Inputs!$B$30,IF(Skills!C16=3,120+Inputs!$B$28+Inputs!$B$30,MAX(0,(Inputs!$B$3-100)*3)+Inputs!$B$29+Inputs!$B$30)))</f>
        <v/>
      </c>
      <c r="E260">
        <f>INDEX(FactorTable!$B$2:$Y$301, MATCH(ROUND(MIN(300,MAX(1,D260)),0), FactorTable!$A$2:$A$301,0), Skills!L16+1)</f>
        <v/>
      </c>
      <c r="F260">
        <f>IF(Skills!M16=TRUE,(Skills!K16/10)*(E260/1000),Skills!K16/10)+Skills!N16</f>
        <v/>
      </c>
      <c r="G260">
        <f>Calc!G16</f>
        <v/>
      </c>
      <c r="H260">
        <f>Calc!H16</f>
        <v/>
      </c>
      <c r="I260">
        <f>IF(Skills!T16&lt;&gt;"",1+(Skills!T16/10)*($Z$3/1000)/100,1)</f>
        <v/>
      </c>
      <c r="J260" t="inlineStr"/>
      <c r="K260" t="inlineStr"/>
      <c r="L260" t="inlineStr"/>
      <c r="M260" t="inlineStr"/>
      <c r="N260" t="inlineStr"/>
      <c r="O260" t="n">
        <v>0</v>
      </c>
      <c r="P260">
        <f>IF(B284=0,0,O260/B284)</f>
        <v/>
      </c>
      <c r="Q260">
        <f>IFERROR(1/IF(Inputs!$B$39="pvp",15,MAX(0.1,Skills!D16-IF(Skills!E16=TRUE,Inputs!$B$33,0))),0)</f>
        <v/>
      </c>
      <c r="R260" t="n">
        <v>0</v>
      </c>
    </row>
    <row r="261">
      <c r="A261">
        <f>Skills!A17</f>
        <v/>
      </c>
      <c r="B261">
        <f>Skills!B17</f>
        <v/>
      </c>
      <c r="C261">
        <f>Inputs!$B$3&gt;=49</f>
        <v/>
      </c>
      <c r="D261">
        <f>IF(Skills!C17=1,60+Inputs!$B$26+Inputs!$B$30,IF(Skills!C17=2,90+Inputs!$B$27+Inputs!$B$30,IF(Skills!C17=3,120+Inputs!$B$28+Inputs!$B$30,MAX(0,(Inputs!$B$3-100)*3)+Inputs!$B$29+Inputs!$B$30)))</f>
        <v/>
      </c>
      <c r="E261">
        <f>INDEX(FactorTable!$B$2:$Y$301, MATCH(ROUND(MIN(300,MAX(1,D261)),0), FactorTable!$A$2:$A$301,0), Skills!L17+1)</f>
        <v/>
      </c>
      <c r="F261">
        <f>IF(Skills!M17=TRUE,(Skills!K17/10)*(E261/1000),Skills!K17/10)+Skills!N17</f>
        <v/>
      </c>
      <c r="G261">
        <f>Calc!G17</f>
        <v/>
      </c>
      <c r="H261">
        <f>Calc!H17</f>
        <v/>
      </c>
      <c r="I261">
        <f>IF(Skills!T17&lt;&gt;"",1+(Skills!T17/10)*($Z$3/1000)/100,1)</f>
        <v/>
      </c>
      <c r="J261" t="inlineStr"/>
      <c r="K261" t="inlineStr"/>
      <c r="L261" t="inlineStr"/>
      <c r="M261" t="inlineStr"/>
      <c r="N261" t="inlineStr"/>
      <c r="O261" t="n">
        <v>0</v>
      </c>
      <c r="P261">
        <f>IF(B284=0,0,O261/B284)</f>
        <v/>
      </c>
      <c r="Q261">
        <f>IFERROR(1/IF(Inputs!$B$39="pvp",15,MAX(0.1,Skills!D17-IF(Skills!E17=TRUE,Inputs!$B$33,0))),0)</f>
        <v/>
      </c>
      <c r="R261" t="n">
        <v>0</v>
      </c>
    </row>
    <row r="262">
      <c r="A262">
        <f>Skills!A18</f>
        <v/>
      </c>
      <c r="B262">
        <f>Skills!B18</f>
        <v/>
      </c>
      <c r="C262">
        <f>Inputs!$B$3&gt;=75</f>
        <v/>
      </c>
      <c r="D262">
        <f>IF(Skills!C18=1,60+Inputs!$B$26+Inputs!$B$30,IF(Skills!C18=2,90+Inputs!$B$27+Inputs!$B$30,IF(Skills!C18=3,120+Inputs!$B$28+Inputs!$B$30,MAX(0,(Inputs!$B$3-100)*3)+Inputs!$B$29+Inputs!$B$30)))</f>
        <v/>
      </c>
      <c r="E262">
        <f>INDEX(FactorTable!$B$2:$Y$301, MATCH(ROUND(MIN(300,MAX(1,D262)),0), FactorTable!$A$2:$A$301,0), Skills!L18+1)</f>
        <v/>
      </c>
      <c r="F262">
        <f>IF(Skills!M18=TRUE,(Skills!K18/10)*(E262/1000),Skills!K18/10)+Skills!N18</f>
        <v/>
      </c>
      <c r="G262">
        <f>Calc!G18</f>
        <v/>
      </c>
      <c r="H262">
        <f>Calc!H18</f>
        <v/>
      </c>
      <c r="I262">
        <f>IF(Skills!T18&lt;&gt;"",1+(Skills!T18/10)*($Z$3/1000)/100,1)</f>
        <v/>
      </c>
      <c r="J262" t="inlineStr"/>
      <c r="K262" t="inlineStr"/>
      <c r="L262" t="inlineStr"/>
      <c r="M262" t="inlineStr"/>
      <c r="N262" t="inlineStr"/>
      <c r="O262" t="n">
        <v>0</v>
      </c>
      <c r="P262">
        <f>IF(B284=0,0,O262/B284)</f>
        <v/>
      </c>
      <c r="Q262">
        <f>IFERROR(1/IF(Inputs!$B$39="pvp",15,MAX(0.1,Skills!D18-IF(Skills!E18=TRUE,Inputs!$B$33,0))),0)</f>
        <v/>
      </c>
      <c r="R262" t="n">
        <v>0</v>
      </c>
    </row>
    <row r="263">
      <c r="A263">
        <f>Skills!A19</f>
        <v/>
      </c>
      <c r="B263">
        <f>Skills!B19</f>
        <v/>
      </c>
      <c r="C263">
        <f>Inputs!$B$3&gt;=110</f>
        <v/>
      </c>
      <c r="D263">
        <f>IF(Skills!C19=1,60+Inputs!$B$26+Inputs!$B$30,IF(Skills!C19=2,90+Inputs!$B$27+Inputs!$B$30,IF(Skills!C19=3,120+Inputs!$B$28+Inputs!$B$30,MAX(0,(Inputs!$B$3-100)*3)+Inputs!$B$29+Inputs!$B$30)))</f>
        <v/>
      </c>
      <c r="E263">
        <f>INDEX(FactorTable!$B$2:$Y$301, MATCH(ROUND(MIN(300,MAX(1,D263)),0), FactorTable!$A$2:$A$301,0), Skills!L19+1)</f>
        <v/>
      </c>
      <c r="F263">
        <f>(Skills!K19/10)*(E263/1000)*64/45+Skills!N19</f>
        <v/>
      </c>
      <c r="G263">
        <f>Calc!G19</f>
        <v/>
      </c>
      <c r="H263">
        <f>Calc!H19</f>
        <v/>
      </c>
      <c r="I263">
        <f>IF(Skills!T19&lt;&gt;"",1+(Skills!T19/10)*($Z$3/1000)/100,1)</f>
        <v/>
      </c>
      <c r="J263" t="inlineStr"/>
      <c r="K263" t="inlineStr"/>
      <c r="L263" t="inlineStr"/>
      <c r="M263" t="inlineStr"/>
      <c r="N263" t="inlineStr"/>
      <c r="O263" t="n">
        <v>0</v>
      </c>
      <c r="P263">
        <f>IF(B284=0,0,O263/B284)</f>
        <v/>
      </c>
      <c r="Q263">
        <f>IFERROR(1/IF(Inputs!$B$39="pvp",15,MAX(0.1,Skills!D19-IF(Skills!E19=TRUE,Inputs!$B$33,0))),0)</f>
        <v/>
      </c>
      <c r="R263">
        <f>IF(AND(Inputs!$B$39&lt;&gt;"pvp",Inputs!$B$44&gt;0),IF(Inputs!$B$44&lt;=0,0,(INT(Inputs!$B$44/IF(Inputs!$B$39="pvp",15,MAX(0.1,Skills!D19-IF(Skills!E19=TRUE,Inputs!$B$33,0))))+1)),0)</f>
        <v/>
      </c>
    </row>
    <row r="264">
      <c r="A264">
        <f>Skills!A20</f>
        <v/>
      </c>
      <c r="B264">
        <f>Skills!B20</f>
        <v/>
      </c>
      <c r="C264">
        <f>Inputs!$B$3&gt;=125</f>
        <v/>
      </c>
      <c r="D264">
        <f>IF(Skills!C20=1,60+Inputs!$B$26+Inputs!$B$30,IF(Skills!C20=2,90+Inputs!$B$27+Inputs!$B$30,IF(Skills!C20=3,120+Inputs!$B$28+Inputs!$B$30,MAX(0,(Inputs!$B$3-100)*3)+Inputs!$B$29+Inputs!$B$30)))</f>
        <v/>
      </c>
      <c r="E264">
        <f>INDEX(FactorTable!$B$2:$Y$301, MATCH(ROUND(MIN(300,MAX(1,D264)),0), FactorTable!$A$2:$A$301,0), Skills!L20+1)</f>
        <v/>
      </c>
      <c r="F264">
        <f>IF(Skills!M20=TRUE,(Skills!K20/10)*(E264/1000),Skills!K20/10)+Skills!N20</f>
        <v/>
      </c>
      <c r="G264">
        <f>Calc!G20</f>
        <v/>
      </c>
      <c r="H264">
        <f>Calc!H20</f>
        <v/>
      </c>
      <c r="I264">
        <f>IF(Skills!T20&lt;&gt;"",1+(Skills!T20/10)*($Z$3/1000)/100,1)</f>
        <v/>
      </c>
      <c r="J264" t="inlineStr"/>
      <c r="K264" t="inlineStr"/>
      <c r="L264" t="inlineStr"/>
      <c r="M264" t="inlineStr"/>
      <c r="N264" t="inlineStr"/>
      <c r="O264" t="n">
        <v>0</v>
      </c>
      <c r="P264">
        <f>IF(B284=0,0,O264/B284)</f>
        <v/>
      </c>
      <c r="Q264">
        <f>IFERROR(1/IF(Inputs!$B$39="pvp",15,MAX(0.1,Skills!D20-IF(Skills!E20=TRUE,Inputs!$B$33,0))),0)</f>
        <v/>
      </c>
      <c r="R264" t="n">
        <v>0</v>
      </c>
    </row>
    <row r="265">
      <c r="A265">
        <f>Skills!A21</f>
        <v/>
      </c>
      <c r="B265">
        <f>Skills!B21</f>
        <v/>
      </c>
      <c r="C265">
        <f>Inputs!$B$3&gt;=33</f>
        <v/>
      </c>
      <c r="D265">
        <f>IF(Skills!C21=1,60+Inputs!$B$26+Inputs!$B$30,IF(Skills!C21=2,90+Inputs!$B$27+Inputs!$B$30,IF(Skills!C21=3,120+Inputs!$B$28+Inputs!$B$30,MAX(0,(Inputs!$B$3-100)*3)+Inputs!$B$29+Inputs!$B$30)))</f>
        <v/>
      </c>
      <c r="E265">
        <f>INDEX(FactorTable!$B$2:$Y$301, MATCH(ROUND(MIN(300,MAX(1,D265)),0), FactorTable!$A$2:$A$301,0), Skills!L21+1)</f>
        <v/>
      </c>
      <c r="F265">
        <f>IF(Skills!M21=TRUE,(Skills!K21/10)*(E265/1000),Skills!K21/10)+Skills!N21</f>
        <v/>
      </c>
      <c r="G265">
        <f>Calc!G21</f>
        <v/>
      </c>
      <c r="H265">
        <f>Calc!H21</f>
        <v/>
      </c>
      <c r="I265">
        <f>IF(Skills!T21&lt;&gt;"",1+(Skills!T21/10)*($Z$3/1000)/100,1)</f>
        <v/>
      </c>
      <c r="J265" t="inlineStr"/>
      <c r="K265" t="inlineStr"/>
      <c r="L265" t="inlineStr"/>
      <c r="M265" t="inlineStr"/>
      <c r="N265" t="inlineStr"/>
      <c r="O265" t="n">
        <v>0</v>
      </c>
      <c r="P265">
        <f>IF(B284=0,0,O265/B284)</f>
        <v/>
      </c>
      <c r="Q265">
        <f>IFERROR(1/IF(Inputs!$B$39="pvp",15,MAX(0.1,Skills!D21-IF(Skills!E21=TRUE,Inputs!$B$33,0))),0)</f>
        <v/>
      </c>
      <c r="R265" t="n">
        <v>0</v>
      </c>
    </row>
    <row r="266">
      <c r="A266">
        <f>Skills!A22</f>
        <v/>
      </c>
      <c r="B266">
        <f>Skills!B22</f>
        <v/>
      </c>
      <c r="C266">
        <f>Inputs!$B$3&gt;=43</f>
        <v/>
      </c>
      <c r="D266">
        <f>IF(Skills!C22=1,60+Inputs!$B$26+Inputs!$B$30,IF(Skills!C22=2,90+Inputs!$B$27+Inputs!$B$30,IF(Skills!C22=3,120+Inputs!$B$28+Inputs!$B$30,MAX(0,(Inputs!$B$3-100)*3)+Inputs!$B$29+Inputs!$B$30)))</f>
        <v/>
      </c>
      <c r="E266">
        <f>INDEX(FactorTable!$B$2:$Y$301, MATCH(ROUND(MIN(300,MAX(1,D266)),0), FactorTable!$A$2:$A$301,0), Skills!L22+1)</f>
        <v/>
      </c>
      <c r="F266">
        <f>IF(Skills!M22=TRUE,(Skills!K22/10)*(E266/1000),Skills!K22/10)+Skills!N22</f>
        <v/>
      </c>
      <c r="G266">
        <f>Calc!G22</f>
        <v/>
      </c>
      <c r="H266">
        <f>Calc!H22</f>
        <v/>
      </c>
      <c r="I266">
        <f>IF(Skills!T22&lt;&gt;"",1+(Skills!T22/10)*($Z$3/1000)/100,1)</f>
        <v/>
      </c>
      <c r="J266" t="inlineStr"/>
      <c r="K266" t="inlineStr"/>
      <c r="L266" t="inlineStr"/>
      <c r="M266" t="inlineStr"/>
      <c r="N266" t="inlineStr"/>
      <c r="O266" t="n">
        <v>0</v>
      </c>
      <c r="P266">
        <f>IF(B284=0,0,O266/B284)</f>
        <v/>
      </c>
      <c r="Q266">
        <f>IFERROR(1/IF(Inputs!$B$39="pvp",15,MAX(0.1,Skills!D22-IF(Skills!E22=TRUE,Inputs!$B$33,0))),0)</f>
        <v/>
      </c>
      <c r="R266" t="n">
        <v>0</v>
      </c>
    </row>
    <row r="267">
      <c r="A267">
        <f>Skills!A23</f>
        <v/>
      </c>
      <c r="B267">
        <f>Skills!B23</f>
        <v/>
      </c>
      <c r="C267">
        <f>Inputs!$B$3&gt;=50</f>
        <v/>
      </c>
      <c r="D267">
        <f>IF(Skills!C23=1,60+Inputs!$B$26+Inputs!$B$30,IF(Skills!C23=2,90+Inputs!$B$27+Inputs!$B$30,IF(Skills!C23=3,120+Inputs!$B$28+Inputs!$B$30,MAX(0,(Inputs!$B$3-100)*3)+Inputs!$B$29+Inputs!$B$30)))</f>
        <v/>
      </c>
      <c r="E267">
        <f>INDEX(FactorTable!$B$2:$Y$301, MATCH(ROUND(MIN(300,MAX(1,D267)),0), FactorTable!$A$2:$A$301,0), Skills!L23+1)</f>
        <v/>
      </c>
      <c r="F267">
        <f>IF(Skills!M23=TRUE,(Skills!K23/10)*(E267/1000),Skills!K23/10)+Skills!N23</f>
        <v/>
      </c>
      <c r="G267">
        <f>Calc!G23</f>
        <v/>
      </c>
      <c r="H267">
        <f>Calc!H23</f>
        <v/>
      </c>
      <c r="I267">
        <f>IF(Skills!T23&lt;&gt;"",1+(Skills!T23/10)*($Z$3/1000)/100,1)</f>
        <v/>
      </c>
      <c r="J267" t="inlineStr"/>
      <c r="K267" t="inlineStr"/>
      <c r="L267" t="inlineStr"/>
      <c r="M267" t="inlineStr"/>
      <c r="N267" t="inlineStr"/>
      <c r="O267" t="n">
        <v>0</v>
      </c>
      <c r="P267">
        <f>IF(B284=0,0,O267/B284)</f>
        <v/>
      </c>
      <c r="Q267">
        <f>IFERROR(1/IF(Inputs!$B$39="pvp",15,MAX(0.1,Skills!D23-IF(Skills!E23=TRUE,Inputs!$B$33,0))),0)</f>
        <v/>
      </c>
      <c r="R267" t="n">
        <v>0</v>
      </c>
    </row>
    <row r="268">
      <c r="A268">
        <f>Skills!A24</f>
        <v/>
      </c>
      <c r="B268">
        <f>Skills!B24</f>
        <v/>
      </c>
      <c r="C268">
        <f>Inputs!$B$3&gt;=74</f>
        <v/>
      </c>
      <c r="D268">
        <f>IF(Skills!C24=1,60+Inputs!$B$26+Inputs!$B$30,IF(Skills!C24=2,90+Inputs!$B$27+Inputs!$B$30,IF(Skills!C24=3,120+Inputs!$B$28+Inputs!$B$30,MAX(0,(Inputs!$B$3-100)*3)+Inputs!$B$29+Inputs!$B$30)))</f>
        <v/>
      </c>
      <c r="E268">
        <f>INDEX(FactorTable!$B$2:$Y$301, MATCH(ROUND(MIN(300,MAX(1,D268)),0), FactorTable!$A$2:$A$301,0), Skills!L24+1)</f>
        <v/>
      </c>
      <c r="F268">
        <f>IF(Skills!M24=TRUE,(Skills!K24/10)*(E268/1000),Skills!K24/10)+Skills!N24</f>
        <v/>
      </c>
      <c r="G268">
        <f>Calc!G24</f>
        <v/>
      </c>
      <c r="H268">
        <f>Calc!H24</f>
        <v/>
      </c>
      <c r="I268">
        <f>IF(Skills!T24&lt;&gt;"",1+(Skills!T24/10)*($Z$3/1000)/100,1)</f>
        <v/>
      </c>
      <c r="J268" t="inlineStr"/>
      <c r="K268" t="inlineStr"/>
      <c r="L268" t="inlineStr"/>
      <c r="M268" t="inlineStr"/>
      <c r="N268" t="inlineStr"/>
      <c r="O268" t="n">
        <v>0</v>
      </c>
      <c r="P268">
        <f>IF(B284=0,0,O268/B284)</f>
        <v/>
      </c>
      <c r="Q268">
        <f>IFERROR(1/IF(Inputs!$B$39="pvp",15,MAX(0.1,Skills!D24-IF(Skills!E24=TRUE,Inputs!$B$33,0))),0)</f>
        <v/>
      </c>
      <c r="R268" t="n">
        <v>0</v>
      </c>
    </row>
    <row r="269">
      <c r="A269">
        <f>Skills!A25</f>
        <v/>
      </c>
      <c r="B269">
        <f>Skills!B25</f>
        <v/>
      </c>
      <c r="C269">
        <f>Inputs!$B$3&gt;=74</f>
        <v/>
      </c>
      <c r="D269">
        <f>IF(Skills!C25=1,60+Inputs!$B$26+Inputs!$B$30,IF(Skills!C25=2,90+Inputs!$B$27+Inputs!$B$30,IF(Skills!C25=3,120+Inputs!$B$28+Inputs!$B$30,MAX(0,(Inputs!$B$3-100)*3)+Inputs!$B$29+Inputs!$B$30)))</f>
        <v/>
      </c>
      <c r="E269">
        <f>INDEX(FactorTable!$B$2:$Y$301, MATCH(ROUND(MIN(300,MAX(1,D269)),0), FactorTable!$A$2:$A$301,0), Skills!L25+1)</f>
        <v/>
      </c>
      <c r="F269">
        <f>IF(Skills!M25=TRUE,(Skills!K25/10)*(E269/1000),Skills!K25/10)+Skills!N25</f>
        <v/>
      </c>
      <c r="G269">
        <f>Calc!G25</f>
        <v/>
      </c>
      <c r="H269">
        <f>Calc!H25</f>
        <v/>
      </c>
      <c r="I269">
        <f>IF(Skills!T25&lt;&gt;"",1+(Skills!T25/10)*($Z$3/1000)/100,1)</f>
        <v/>
      </c>
      <c r="J269" t="inlineStr"/>
      <c r="K269" t="inlineStr"/>
      <c r="L269" t="inlineStr"/>
      <c r="M269" t="inlineStr"/>
      <c r="N269" t="inlineStr"/>
      <c r="O269" t="n">
        <v>0</v>
      </c>
      <c r="P269">
        <f>IF(B284=0,0,O269/B284)</f>
        <v/>
      </c>
      <c r="Q269">
        <f>IFERROR(1/IF(Inputs!$B$39="pvp",15,MAX(0.1,Skills!D25-IF(Skills!E25=TRUE,Inputs!$B$33,0))),0)</f>
        <v/>
      </c>
      <c r="R269" t="n">
        <v>0</v>
      </c>
    </row>
    <row r="270">
      <c r="A270">
        <f>Skills!A26</f>
        <v/>
      </c>
      <c r="B270">
        <f>Skills!B26</f>
        <v/>
      </c>
      <c r="C270">
        <f>Inputs!$B$3&gt;=117</f>
        <v/>
      </c>
      <c r="D270">
        <f>IF(Skills!C26=1,60+Inputs!$B$26+Inputs!$B$30,IF(Skills!C26=2,90+Inputs!$B$27+Inputs!$B$30,IF(Skills!C26=3,120+Inputs!$B$28+Inputs!$B$30,MAX(0,(Inputs!$B$3-100)*3)+Inputs!$B$29+Inputs!$B$30)))</f>
        <v/>
      </c>
      <c r="E270">
        <f>INDEX(FactorTable!$B$2:$Y$301, MATCH(ROUND(MIN(300,MAX(1,D270)),0), FactorTable!$A$2:$A$301,0), Skills!L26+1)</f>
        <v/>
      </c>
      <c r="F270">
        <f>IF(Skills!M26=TRUE,(Skills!K26/10)*(E270/1000),Skills!K26/10)+Skills!N26</f>
        <v/>
      </c>
      <c r="G270">
        <f>Calc!G26</f>
        <v/>
      </c>
      <c r="H270">
        <f>Calc!H26</f>
        <v/>
      </c>
      <c r="I270">
        <f>IF(Skills!T26&lt;&gt;"",1+(Skills!T26/10)*($Z$3/1000)/100,1)</f>
        <v/>
      </c>
      <c r="J270" t="inlineStr"/>
      <c r="K270" t="inlineStr"/>
      <c r="L270" t="inlineStr"/>
      <c r="M270" t="inlineStr"/>
      <c r="N270" t="inlineStr"/>
      <c r="O270" t="n">
        <v>0</v>
      </c>
      <c r="P270">
        <f>IF(B284=0,0,O270/B284)</f>
        <v/>
      </c>
      <c r="Q270">
        <f>IFERROR(1/IF(Inputs!$B$39="pvp",15,MAX(0.1,Skills!D26-IF(Skills!E26=TRUE,Inputs!$B$33,0))),0)</f>
        <v/>
      </c>
      <c r="R270" t="n">
        <v>0</v>
      </c>
    </row>
    <row r="271">
      <c r="A271">
        <f>Skills!A27</f>
        <v/>
      </c>
      <c r="B271">
        <f>Skills!B27</f>
        <v/>
      </c>
      <c r="C271">
        <f>Inputs!$B$3&gt;=120</f>
        <v/>
      </c>
      <c r="D271">
        <f>IF(Skills!C27=1,60+Inputs!$B$26+Inputs!$B$30,IF(Skills!C27=2,90+Inputs!$B$27+Inputs!$B$30,IF(Skills!C27=3,120+Inputs!$B$28+Inputs!$B$30,MAX(0,(Inputs!$B$3-100)*3)+Inputs!$B$29+Inputs!$B$30)))</f>
        <v/>
      </c>
      <c r="E271">
        <f>INDEX(FactorTable!$B$2:$Y$301, MATCH(ROUND(MIN(300,MAX(1,D271)),0), FactorTable!$A$2:$A$301,0), Skills!L27+1)</f>
        <v/>
      </c>
      <c r="F271">
        <f>IF(Skills!M27=TRUE,(Skills!K27/10)*(E271/1000),Skills!K27/10)+Skills!N27</f>
        <v/>
      </c>
      <c r="G271">
        <f>Calc!G27</f>
        <v/>
      </c>
      <c r="H271">
        <f>Calc!H27</f>
        <v/>
      </c>
      <c r="I271">
        <f>IF(Skills!T27&lt;&gt;"",1+(Skills!T27/10)*($Z$3/1000)/100,1)</f>
        <v/>
      </c>
      <c r="J271" t="inlineStr"/>
      <c r="K271" t="inlineStr"/>
      <c r="L271" t="inlineStr"/>
      <c r="M271" t="inlineStr"/>
      <c r="N271" t="inlineStr"/>
      <c r="O271" t="n">
        <v>0</v>
      </c>
      <c r="P271">
        <f>IF(B284=0,0,O271/B284)</f>
        <v/>
      </c>
      <c r="Q271">
        <f>IFERROR(1/IF(Inputs!$B$39="pvp",15,MAX(0.1,Skills!D27-IF(Skills!E27=TRUE,Inputs!$B$33,0))),0)</f>
        <v/>
      </c>
      <c r="R271" t="n">
        <v>0</v>
      </c>
    </row>
    <row r="273">
      <c r="A273" t="inlineStr">
        <is>
          <t>Average Buff Multiplier</t>
        </is>
      </c>
      <c r="B273">
        <f>(1+(IF(C247=TRUE,F247*IF(AND(Inputs!$B$39&lt;&gt;"pvp",Inputs!$B$44&gt;0),(((R247-1)*(Skills!S3*(1+(Inputs!$B$35+IF(Inputs!$B$3&gt;=117,F270,0))/100))+MIN((Skills!S3*(1+(Inputs!$B$35+IF(Inputs!$B$3&gt;=117,F270,0))/100)),MAX(0,Inputs!$B$44-((R247-1)*Skills!D3))))/Inputs!$B$44),IF(Inputs!$B$39="pvp",MIN((Skills!S3*(1+(Inputs!$B$35+IF(Inputs!$B$3&gt;=117,F270,0))/100)),15)/15,(Skills!S3*(1+(Inputs!$B$35+IF(Inputs!$B$3&gt;=117,F270,0))/100))/Skills!D3)),0)+IF(C248=TRUE,F248*IF(AND(Inputs!$B$39&lt;&gt;"pvp",Inputs!$B$44&gt;0),(((R248-1)*(Skills!S4*(1+(Inputs!$B$35+IF(Inputs!$B$3&gt;=117,F270,0))/100))+MIN((Skills!S4*(1+(Inputs!$B$35+IF(Inputs!$B$3&gt;=117,F270,0))/100)),MAX(0,Inputs!$B$44-((R248-1)*Skills!D4))))/Inputs!$B$44),IF(Inputs!$B$39="pvp",MIN((Skills!S4*(1+(Inputs!$B$35+IF(Inputs!$B$3&gt;=117,F270,0))/100)),15)/15,(Skills!S4*(1+(Inputs!$B$35+IF(Inputs!$B$3&gt;=117,F270,0))/100))/Skills!D4)),0)+IF(C249=TRUE,F249*IF(AND(Inputs!$B$39&lt;&gt;"pvp",Inputs!$B$44&gt;0),(((R249-1)*(Skills!S5*(1+(Inputs!$B$35+IF(Inputs!$B$3&gt;=117,F270,0))/100))+MIN((Skills!S5*(1+(Inputs!$B$35+IF(Inputs!$B$3&gt;=117,F270,0))/100)),MAX(0,Inputs!$B$44-((R249-1)*Skills!D5))))/Inputs!$B$44),IF(Inputs!$B$39="pvp",MIN((Skills!S5*(1+(Inputs!$B$35+IF(Inputs!$B$3&gt;=117,F270,0))/100)),15)/15,(Skills!S5*(1+(Inputs!$B$35+IF(Inputs!$B$3&gt;=117,F270,0))/100))/Skills!D5)),0)+IF(C255=TRUE,F255*IF(AND(Inputs!$B$39&lt;&gt;"pvp",Inputs!$B$44&gt;0),(((R255-1)*(Skills!S11*(1+(Inputs!$B$35+IF(Inputs!$B$3&gt;=117,F270,0))/100))+MIN((Skills!S11*(1+(Inputs!$B$35+IF(Inputs!$B$3&gt;=117,F270,0))/100)),MAX(0,Inputs!$B$44-((R255-1)*Skills!D11))))/Inputs!$B$44),IF(Inputs!$B$39="pvp",MIN((Skills!S11*(1+(Inputs!$B$35+IF(Inputs!$B$3&gt;=117,F270,0))/100)),15)/15,(Skills!S11*(1+(Inputs!$B$35+IF(Inputs!$B$3&gt;=117,F270,0))/100))/Skills!D11)),0))/100)*IF(C258=TRUE,(1+F258*IF(AND(Inputs!$B$39&lt;&gt;"pvp",Inputs!$B$44&gt;0),(((R258-1)*(Skills!S14*(1+(Inputs!$B$35+IF(Inputs!$B$3&gt;=117,F270,0))/100))+MIN((Skills!S14*(1+(Inputs!$B$35+IF(Inputs!$B$3&gt;=117,F270,0))/100)),MAX(0,Inputs!$B$44-((R258-1)*Skills!D14))))/Inputs!$B$44),IF(Inputs!$B$39="pvp",MIN((Skills!S14*(1+(Inputs!$B$35+IF(Inputs!$B$3&gt;=117,F270,0))/100)),15)/15,(Skills!S14*(1+(Inputs!$B$35+IF(Inputs!$B$3&gt;=117,F270,0))/100))/Skills!D14))/100),1)*IF(C263=TRUE,(1+F263*IF(AND(Inputs!$B$39&lt;&gt;"pvp",Inputs!$B$44&gt;0),(((R263-1)*(Skills!S19*(1+(Inputs!$B$35+IF(Inputs!$B$3&gt;=117,F270,0))/100))+MIN((Skills!S19*(1+(Inputs!$B$35+IF(Inputs!$B$3&gt;=117,F270,0))/100)),MAX(0,Inputs!$B$44-((R263-1)*Skills!D19))))/Inputs!$B$44),IF(Inputs!$B$39="pvp",MIN((Skills!S19*(1+(Inputs!$B$35+IF(Inputs!$B$3&gt;=117,F270,0))/100)),15)/15,(Skills!S19*(1+(Inputs!$B$35+IF(Inputs!$B$3&gt;=117,F270,0))/100))/Skills!D19))/100),1)</f>
        <v/>
      </c>
    </row>
    <row r="274">
      <c r="A274" t="inlineStr">
        <is>
          <t>Monster Damage Taken Bonus % (Holy Fountain)</t>
        </is>
      </c>
      <c r="B274">
        <f>IF(Inputs!$B$3&gt;=68,20*IF(Inputs!$B$39="pvp",MIN((15*(1+(Inputs!$B$35+IF(Inputs!$B$3&gt;=117,F270,0))/100)),15)/15,(15*(1+(Inputs!$B$35+IF(Inputs!$B$3&gt;=117,F270,0))/100))/Skills!D10),0)</f>
        <v/>
      </c>
    </row>
    <row r="275">
      <c r="A275" t="inlineStr">
        <is>
          <t>Normal Monster Damage Bonus % (Holy Symbol)</t>
        </is>
      </c>
      <c r="B275">
        <f>IF(C256=TRUE,F256*IF(AND(Inputs!$B$39&lt;&gt;"pvp",Inputs!$B$44&gt;0),(((R256-1)*(Skills!S12*(1+(Inputs!$B$35+IF(Inputs!$B$3&gt;=117,F270,0))/100))+MIN((Skills!S12*(1+(Inputs!$B$35+IF(Inputs!$B$3&gt;=117,F270,0))/100)),MAX(0,Inputs!$B$44-((R256-1)*Skills!D12))))/Inputs!$B$44),IF(Inputs!$B$39="pvp",MIN((Skills!S12*(1+(Inputs!$B$35+IF(Inputs!$B$3&gt;=117,F270,0))/100)),15)/15,(Skills!S12*(1+(Inputs!$B$35+IF(Inputs!$B$3&gt;=117,F270,0))/100))/Skills!D12)),0)</f>
        <v/>
      </c>
    </row>
    <row r="276">
      <c r="A276" t="inlineStr">
        <is>
          <t>Damage % Bonus (Holy Symbol - Damage Boost)</t>
        </is>
      </c>
      <c r="B276">
        <f>Skills!O12</f>
        <v/>
      </c>
    </row>
    <row r="277">
      <c r="A277" t="inlineStr">
        <is>
          <t>Crit Damage % Bonus (Blood of the Divine)</t>
        </is>
      </c>
      <c r="B277">
        <f>4*IF(C264=TRUE,F264,0)</f>
        <v/>
      </c>
    </row>
    <row r="278">
      <c r="A278" t="inlineStr">
        <is>
          <t>Attack Speed Bonus %</t>
        </is>
      </c>
      <c r="B278">
        <f>IF(C261=TRUE,F261+(F265-Calc!F21),0)+IF(Inputs!$B$3&gt;=134,15,0)</f>
        <v/>
      </c>
    </row>
    <row r="279">
      <c r="A279" t="inlineStr">
        <is>
          <t>Actions Per Second</t>
        </is>
      </c>
      <c r="B279">
        <f>1+MIN(150,150*(1-(1-Inputs!$B$12/150)*(1-B278/150)))/100</f>
        <v/>
      </c>
    </row>
    <row r="280">
      <c r="A280" t="inlineStr">
        <is>
          <t>Skill + Buff Cast Rate</t>
        </is>
      </c>
      <c r="B280">
        <f>IF(AND(Inputs!$B$39&lt;&gt;"pvp",Inputs!$B$44&gt;0),SUMPRODUCT((Skills!E2:E27=TRUE)*(C246:C271=TRUE)*R246:R271)/Inputs!$B$44,SUMPRODUCT((Skills!E2:E27=TRUE)*(C246:C271=TRUE)*Q246:Q271))</f>
        <v/>
      </c>
    </row>
    <row r="281">
      <c r="A281" t="inlineStr">
        <is>
          <t>Big Bang Casts Per Second</t>
        </is>
      </c>
      <c r="B281">
        <f>MAX(0,B279-B280)</f>
        <v/>
      </c>
    </row>
    <row r="282">
      <c r="A282" t="inlineStr">
        <is>
          <t>Defense % Bonus (Divine Protection)</t>
        </is>
      </c>
      <c r="B282">
        <f>IF(C257=TRUE,F257*IF(AND(Inputs!$B$39&lt;&gt;"pvp",Inputs!$B$44&gt;0),(((R257-1)*(Skills!S13*(1+(Inputs!$B$35+IF(Inputs!$B$3&gt;=117,F270,0))/100))+MIN((Skills!S13*(1+(Inputs!$B$35+IF(Inputs!$B$3&gt;=117,F270,0))/100)),MAX(0,Inputs!$B$44-((R257-1)*Skills!D13))))/Inputs!$B$44),IF(Inputs!$B$39="pvp",MIN((Skills!S13*(1+(Inputs!$B$35+IF(Inputs!$B$3&gt;=117,F270,0))/100)),15)/15,(Skills!S13*(1+(Inputs!$B$35+IF(Inputs!$B$3&gt;=117,F270,0))/100))/Skills!D13)),0)</f>
        <v/>
      </c>
    </row>
    <row r="283">
      <c r="A283" t="inlineStr">
        <is>
          <t>Buff-Casting Startup Delay (s, fixed-duration only)</t>
        </is>
      </c>
      <c r="B283">
        <f>IF(AND(Inputs!$B$39&lt;&gt;"pvp",Inputs!$B$44&gt;0),SUMPRODUCT((Skills!S2:S27&gt;0)*(Skills!E2:E27=TRUE)*(C246:C271=TRUE))/B279,0)</f>
        <v/>
      </c>
    </row>
    <row r="284">
      <c r="A284" s="5" t="inlineStr">
        <is>
          <t>TOTAL DPS</t>
        </is>
      </c>
      <c r="B284" s="5">
        <f>SUM(O246:O271)</f>
        <v/>
      </c>
    </row>
    <row r="286">
      <c r="A286" s="5" t="inlineStr">
        <is>
          <t>Stat: BOSS_DAMAGE %</t>
        </is>
      </c>
    </row>
    <row r="287">
      <c r="A287" s="9" t="inlineStr">
        <is>
          <t>Key</t>
        </is>
      </c>
      <c r="B287" s="9" t="inlineStr">
        <is>
          <t>Name</t>
        </is>
      </c>
      <c r="C287" s="9" t="inlineStr">
        <is>
          <t>Unlocked</t>
        </is>
      </c>
      <c r="D287" s="9" t="inlineStr">
        <is>
          <t>InputLevel</t>
        </is>
      </c>
      <c r="E287" s="9" t="inlineStr">
        <is>
          <t>Factor</t>
        </is>
      </c>
      <c r="F287" s="9" t="inlineStr">
        <is>
          <t>CoefficientPercent</t>
        </is>
      </c>
      <c r="G287" s="9" t="inlineStr">
        <is>
          <t>EffectiveHits</t>
        </is>
      </c>
      <c r="H287" s="9" t="inlineStr">
        <is>
          <t>ProcProbability</t>
        </is>
      </c>
      <c r="I287" s="9" t="inlineStr">
        <is>
          <t>MapleHeroMultiplier</t>
        </is>
      </c>
      <c r="J287" s="9" t="inlineStr">
        <is>
          <t>BaseDamage</t>
        </is>
      </c>
      <c r="K287" s="9" t="inlineStr">
        <is>
          <t>BaseHitDamage</t>
        </is>
      </c>
      <c r="L287" s="9" t="inlineStr">
        <is>
          <t>NonCritAvg</t>
        </is>
      </c>
      <c r="M287" s="9" t="inlineStr">
        <is>
          <t>CritAvg</t>
        </is>
      </c>
      <c r="N287" s="9" t="inlineStr">
        <is>
          <t>ExpectedDamage(perHit)</t>
        </is>
      </c>
      <c r="O287" s="9" t="inlineStr">
        <is>
          <t>DPS</t>
        </is>
      </c>
      <c r="P287" s="9" t="inlineStr">
        <is>
          <t>% of Total</t>
        </is>
      </c>
      <c r="R287" t="inlineStr">
        <is>
          <t>helpers</t>
        </is>
      </c>
    </row>
    <row r="288">
      <c r="A288">
        <f>Skills!A2</f>
        <v/>
      </c>
      <c r="B288">
        <f>Skills!B2</f>
        <v/>
      </c>
      <c r="C288">
        <f>Inputs!$B$3&gt;=100</f>
        <v/>
      </c>
      <c r="D288" t="inlineStr"/>
      <c r="E288" t="inlineStr"/>
      <c r="F288">
        <f>T290+Skills!N2</f>
        <v/>
      </c>
      <c r="G288">
        <f>Calc!G2</f>
        <v/>
      </c>
      <c r="H288">
        <f>Calc!H2</f>
        <v/>
      </c>
      <c r="I288">
        <f>IF(Skills!T2&lt;&gt;"",1+(Skills!T2/10)*($Z$3/1000)/100,1)</f>
        <v/>
      </c>
      <c r="J288">
        <f>((Inputs!$B$6*(1+Inputs!$B$7/100))+(((Inputs!$B$13*(1+Inputs!$B$14/100))-(Inputs!$B$13*(1+Inputs!$B$14/100)))+0.25*(Inputs!$B$15-Inputs!$B$15))*(1+Inputs!$B$7/100))*(F288/100)</f>
        <v/>
      </c>
      <c r="K288">
        <f>J288*(1+(((Inputs!$B$13+IF(Inputs!$B$3&gt;=35,(10*INDEX(FactorTable!$B$2:$Y$301, MATCH(ROUND(MIN(300,MAX(1,Inputs!$B$3)),0), FactorTable!$A$2:$A$301,0), 23)/1000)/100*(Inputs!$B$8*(1+(Inputs!$B$9+B324)/100)),0))*(1+Inputs!$B$14/100))*0.01+Inputs!$B$15*0.0025)/100)*(1+(Inputs!$B$16+B318)/100)*(1+IF(Inputs!$B$39="pvp",0,(1-Summary!$B$48)*((Inputs!$B$21+1)+Skills!O2+B316)+Summary!$B$48*(Inputs!$B$22+Skills!P2+B317))/100)*(1+Inputs!$B$17/100)*(5000/(6000+Inputs!$B$43*(1-Inputs!$B$20/100)))*(1+Inputs!$B$25/100)*(1+IF(C304=TRUE,F304,0)/100)*(1+IF(C306=TRUE,F306,0)/100)*(1+IF(Skills!A2="TRIUMPH_FEATHER",IF(C302=TRUE,F302,0),0)/100)*(1+IF(C313=TRUE,F313,0)/100)^5*(1+(IF(Skills!A2="BIG_BANG",Inputs!$B$18,Inputs!$B$19))/100)*(B315*I288)</f>
        <v/>
      </c>
      <c r="L288">
        <f>K288*(MIN(Inputs!$B$23+(F308-Calc!F22),Inputs!$B$24)/100+Inputs!$B$24/100)/2</f>
        <v/>
      </c>
      <c r="M288">
        <f>L288*(1+(Inputs!$B$11+B319+(F311-Calc!F25))/100)</f>
        <v/>
      </c>
      <c r="N288">
        <f>L288*(1-MIN(Inputs!$B$10+((F310-Calc!F24)+(F309-Calc!F23)),100)/100)+M288*(MIN(Inputs!$B$10+((F310-Calc!F24)+(F309-Calc!F23)),100)/100)</f>
        <v/>
      </c>
      <c r="O288">
        <f>IF(C288,Skills!F2*N288*B323*IF(Inputs!$B$39="pvp",1,(1-Summary!$B$48)*(1)+Summary!$B$48*(MIN((6+Inputs!$B$34),Inputs!$B$38))),0)</f>
        <v/>
      </c>
      <c r="P288">
        <f>IF(B326=0,0,O288/B326)</f>
        <v/>
      </c>
      <c r="Q288">
        <f>IFERROR(1/IF(Inputs!$B$39="pvp",15,MAX(0.1,Skills!D2-IF(Skills!E2=TRUE,Inputs!$B$33,0))),0)</f>
        <v/>
      </c>
      <c r="R288" t="n">
        <v>0</v>
      </c>
      <c r="T288">
        <f>MAX(0,(Inputs!$B$3-100)*3)+Inputs!$B$29+Inputs!$B$30</f>
        <v/>
      </c>
    </row>
    <row r="289">
      <c r="A289">
        <f>Skills!A3</f>
        <v/>
      </c>
      <c r="B289">
        <f>Skills!B3</f>
        <v/>
      </c>
      <c r="C289">
        <f>Inputs!$B$3&gt;=15</f>
        <v/>
      </c>
      <c r="D289">
        <f>IF(Skills!C3=1,60+Inputs!$B$26+Inputs!$B$30,IF(Skills!C3=2,90+Inputs!$B$27+Inputs!$B$30,IF(Skills!C3=3,120+Inputs!$B$28+Inputs!$B$30,MAX(0,(Inputs!$B$3-100)*3)+Inputs!$B$29+Inputs!$B$30)))</f>
        <v/>
      </c>
      <c r="E289">
        <f>INDEX(FactorTable!$B$2:$Y$301, MATCH(ROUND(MIN(300,MAX(1,D289)),0), FactorTable!$A$2:$A$301,0), Skills!L3+1)</f>
        <v/>
      </c>
      <c r="F289">
        <f>IF(Skills!M3=TRUE,(Skills!K3/10)*(E289/1000),Skills!K3/10)+Skills!N3</f>
        <v/>
      </c>
      <c r="G289">
        <f>Calc!G3</f>
        <v/>
      </c>
      <c r="H289">
        <f>Calc!H3</f>
        <v/>
      </c>
      <c r="I289">
        <f>IF(Skills!T3&lt;&gt;"",1+(Skills!T3/10)*($Z$3/1000)/100,1)</f>
        <v/>
      </c>
      <c r="J289" t="inlineStr"/>
      <c r="K289" t="inlineStr"/>
      <c r="L289" t="inlineStr"/>
      <c r="M289" t="inlineStr"/>
      <c r="N289" t="inlineStr"/>
      <c r="O289" t="n">
        <v>0</v>
      </c>
      <c r="P289">
        <f>IF(B326=0,0,O289/B326)</f>
        <v/>
      </c>
      <c r="Q289">
        <f>IFERROR(1/IF(Inputs!$B$39="pvp",15,MAX(0.1,Skills!D3-IF(Skills!E3=TRUE,Inputs!$B$33,0))),0)</f>
        <v/>
      </c>
      <c r="R289">
        <f>IF(AND(Inputs!$B$39&lt;&gt;"pvp",Inputs!$B$44&gt;0),IF(Inputs!$B$44&lt;=0,0,(INT(Inputs!$B$44/IF(Inputs!$B$39="pvp",15,MAX(0.1,Skills!D3-IF(Skills!E3=TRUE,Inputs!$B$33,0))))+1)),0)</f>
        <v/>
      </c>
      <c r="T289">
        <f>INDEX(FactorTable!$B$2:$Y$301, MATCH(ROUND(MIN(300,MAX(1,T288)),0), FactorTable!$A$2:$A$301,0), 22)</f>
        <v/>
      </c>
    </row>
    <row r="290">
      <c r="A290">
        <f>Skills!A4</f>
        <v/>
      </c>
      <c r="B290">
        <f>Skills!B4</f>
        <v/>
      </c>
      <c r="C290">
        <f>Inputs!$B$3&gt;=38</f>
        <v/>
      </c>
      <c r="D290">
        <f>IF(Skills!C4=1,60+Inputs!$B$26+Inputs!$B$30,IF(Skills!C4=2,90+Inputs!$B$27+Inputs!$B$30,IF(Skills!C4=3,120+Inputs!$B$28+Inputs!$B$30,MAX(0,(Inputs!$B$3-100)*3)+Inputs!$B$29+Inputs!$B$30)))</f>
        <v/>
      </c>
      <c r="E290">
        <f>INDEX(FactorTable!$B$2:$Y$301, MATCH(ROUND(MIN(300,MAX(1,D290)),0), FactorTable!$A$2:$A$301,0), Skills!L4+1)</f>
        <v/>
      </c>
      <c r="F290">
        <f>IF(Skills!M4=TRUE,(Skills!K4/10)*(E290/1000),Skills!K4/10)+Skills!N4</f>
        <v/>
      </c>
      <c r="G290">
        <f>Calc!G4</f>
        <v/>
      </c>
      <c r="H290">
        <f>Calc!H4</f>
        <v/>
      </c>
      <c r="I290">
        <f>IF(Skills!T4&lt;&gt;"",1+(Skills!T4/10)*($Z$3/1000)/100,1)</f>
        <v/>
      </c>
      <c r="J290" t="inlineStr"/>
      <c r="K290" t="inlineStr"/>
      <c r="L290" t="inlineStr"/>
      <c r="M290" t="inlineStr"/>
      <c r="N290" t="inlineStr"/>
      <c r="O290" t="n">
        <v>0</v>
      </c>
      <c r="P290">
        <f>IF(B326=0,0,O290/B326)</f>
        <v/>
      </c>
      <c r="Q290">
        <f>IFERROR(1/IF(Inputs!$B$39="pvp",15,MAX(0.1,Skills!D4-IF(Skills!E4=TRUE,Inputs!$B$33,0))),0)</f>
        <v/>
      </c>
      <c r="R290">
        <f>IF(AND(Inputs!$B$39&lt;&gt;"pvp",Inputs!$B$44&gt;0),IF(Inputs!$B$44&lt;=0,0,(INT(Inputs!$B$44/IF(Inputs!$B$39="pvp",15,MAX(0.1,Skills!D4-IF(Skills!E4=TRUE,Inputs!$B$33,0))))+1)),0)</f>
        <v/>
      </c>
      <c r="T290">
        <f>290*T289/1000</f>
        <v/>
      </c>
    </row>
    <row r="291">
      <c r="A291">
        <f>Skills!A5</f>
        <v/>
      </c>
      <c r="B291">
        <f>Skills!B5</f>
        <v/>
      </c>
      <c r="C291">
        <f>Inputs!$B$3&gt;=40</f>
        <v/>
      </c>
      <c r="D291">
        <f>IF(Skills!C5=1,60+Inputs!$B$26+Inputs!$B$30,IF(Skills!C5=2,90+Inputs!$B$27+Inputs!$B$30,IF(Skills!C5=3,120+Inputs!$B$28+Inputs!$B$30,MAX(0,(Inputs!$B$3-100)*3)+Inputs!$B$29+Inputs!$B$30)))</f>
        <v/>
      </c>
      <c r="E291">
        <f>INDEX(FactorTable!$B$2:$Y$301, MATCH(ROUND(MIN(300,MAX(1,D291)),0), FactorTable!$A$2:$A$301,0), Skills!L5+1)</f>
        <v/>
      </c>
      <c r="F291">
        <f>IF(Skills!M5=TRUE,(Skills!K5/10)*(E291/1000),Skills!K5/10)+Skills!N5</f>
        <v/>
      </c>
      <c r="G291">
        <f>Calc!G5</f>
        <v/>
      </c>
      <c r="H291">
        <f>Calc!H5</f>
        <v/>
      </c>
      <c r="I291">
        <f>IF(Skills!T5&lt;&gt;"",1+(Skills!T5/10)*($Z$3/1000)/100,1)</f>
        <v/>
      </c>
      <c r="J291" t="inlineStr"/>
      <c r="K291" t="inlineStr"/>
      <c r="L291" t="inlineStr"/>
      <c r="M291" t="inlineStr"/>
      <c r="N291" t="inlineStr"/>
      <c r="O291" t="n">
        <v>0</v>
      </c>
      <c r="P291">
        <f>IF(B326=0,0,O291/B326)</f>
        <v/>
      </c>
      <c r="Q291">
        <f>IFERROR(1/IF(Inputs!$B$39="pvp",15,MAX(0.1,Skills!D5-IF(Skills!E5=TRUE,Inputs!$B$33,0))),0)</f>
        <v/>
      </c>
      <c r="R291">
        <f>IF(AND(Inputs!$B$39&lt;&gt;"pvp",Inputs!$B$44&gt;0),IF(Inputs!$B$44&lt;=0,0,(INT(Inputs!$B$44/IF(Inputs!$B$39="pvp",15,MAX(0.1,Skills!D5-IF(Skills!E5=TRUE,Inputs!$B$33,0))))+1)),0)</f>
        <v/>
      </c>
    </row>
    <row r="292">
      <c r="A292">
        <f>Skills!A6</f>
        <v/>
      </c>
      <c r="B292">
        <f>Skills!B6</f>
        <v/>
      </c>
      <c r="C292">
        <f>Inputs!$B$3&gt;=103</f>
        <v/>
      </c>
      <c r="D292">
        <f>IF(Skills!C6=1,60+Inputs!$B$26+Inputs!$B$30,IF(Skills!C6=2,90+Inputs!$B$27+Inputs!$B$30,IF(Skills!C6=3,120+Inputs!$B$28+Inputs!$B$30,MAX(0,(Inputs!$B$3-100)*3)+Inputs!$B$29+Inputs!$B$30)))</f>
        <v/>
      </c>
      <c r="E292">
        <f>INDEX(FactorTable!$B$2:$Y$301, MATCH(ROUND(MIN(300,MAX(1,D292)),0), FactorTable!$A$2:$A$301,0), Skills!L6+1)</f>
        <v/>
      </c>
      <c r="F292">
        <f>IF(Skills!M6=TRUE,(Skills!K6/10)*(E292/1000),Skills!K6/10)+Skills!N6</f>
        <v/>
      </c>
      <c r="G292">
        <f>Calc!G6</f>
        <v/>
      </c>
      <c r="H292">
        <f>Calc!H6</f>
        <v/>
      </c>
      <c r="I292">
        <f>IF(Skills!T6&lt;&gt;"",1+(Skills!T6/10)*($Z$3/1000)/100,1)</f>
        <v/>
      </c>
      <c r="J292">
        <f>((Inputs!$B$6*(1+Inputs!$B$7/100))+(((Inputs!$B$13*(1+Inputs!$B$14/100))-(Inputs!$B$13*(1+Inputs!$B$14/100)))+0.25*(Inputs!$B$15-Inputs!$B$15))*(1+Inputs!$B$7/100))*(F292/100)</f>
        <v/>
      </c>
      <c r="K292">
        <f>J292*(1+(((Inputs!$B$13+IF(Inputs!$B$3&gt;=35,(10*INDEX(FactorTable!$B$2:$Y$301, MATCH(ROUND(MIN(300,MAX(1,Inputs!$B$3)),0), FactorTable!$A$2:$A$301,0), 23)/1000)/100*(Inputs!$B$8*(1+(Inputs!$B$9+B324)/100)),0))*(1+Inputs!$B$14/100))*0.01+Inputs!$B$15*0.0025)/100)*(1+(Inputs!$B$16+B318)/100)*(1+IF(Inputs!$B$39="pvp",0,(1-Summary!$B$48)*((Inputs!$B$21+1)+Skills!O6+B316)+Summary!$B$48*(Inputs!$B$22+Skills!P6+B317))/100)*(1+Inputs!$B$17/100)*(5000/(6000+Inputs!$B$43*(1-Inputs!$B$20/100)))*(1+Inputs!$B$25/100)*(1+IF(C304=TRUE,F304,0)/100)*(1+IF(C306=TRUE,F306,0)/100)*(1+IF(Skills!A6="TRIUMPH_FEATHER",IF(C302=TRUE,F302,0),0)/100)*(1+IF(C313=TRUE,F313,0)/100)^5*(1+(IF(Skills!A6="BIG_BANG",Inputs!$B$18,Inputs!$B$19))/100)*(B315*I292)</f>
        <v/>
      </c>
      <c r="L292">
        <f>K292*(MIN(Inputs!$B$23+(F308-Calc!F22),Inputs!$B$24)/100+Inputs!$B$24/100)/2</f>
        <v/>
      </c>
      <c r="M292">
        <f>L292*(1+(Inputs!$B$11+B319+(F311-Calc!F25))/100)</f>
        <v/>
      </c>
      <c r="N292">
        <f>L292*(1-MIN(Inputs!$B$10+((F310-Calc!F24)+(F309-Calc!F23)),100)/100)+M292*(MIN(Inputs!$B$10+((F310-Calc!F24)+(F309-Calc!F23)),100)/100)</f>
        <v/>
      </c>
      <c r="O292">
        <f>IF(C292,H292*N292*IF(AND(Inputs!$B$39&lt;&gt;"pvp",Inputs!$B$44&gt;0),((Skills!F6*((R292-1)*IF(Skills!G6&gt;0,Skills!H6/Skills!G6,1)+IF(Skills!G6&gt;0,MIN(Skills!H6,MAX(0,MAX(0,Inputs!$B$44-B325)-((R292-1)*IF(Inputs!$B$39="pvp",15,MAX(0.1,Skills!D6-IF(Skills!E6=TRUE,Inputs!$B$33,0))))))/Skills!G6,1)))/Inputs!$B$44),G292*Q292)*IF(Inputs!$B$39="pvp",1,(1-Summary!$B$48)*(1)+Summary!$B$48*(MIN(Skills!Q6,Inputs!$B$38))),0)</f>
        <v/>
      </c>
      <c r="P292">
        <f>IF(B326=0,0,O292/B326)</f>
        <v/>
      </c>
      <c r="Q292">
        <f>IFERROR(1/IF(Inputs!$B$39="pvp",15,MAX(0.1,Skills!D6-IF(Skills!E6=TRUE,Inputs!$B$33,0))),0)</f>
        <v/>
      </c>
      <c r="R292">
        <f>IF(AND(Inputs!$B$39&lt;&gt;"pvp",Inputs!$B$44&gt;0),IF(MAX(0,Inputs!$B$44-B325)&lt;=0,0,(INT(MAX(0,Inputs!$B$44-B325)/IF(Inputs!$B$39="pvp",15,MAX(0.1,Skills!D6-IF(Skills!E6=TRUE,Inputs!$B$33,0))))+1)),0)</f>
        <v/>
      </c>
    </row>
    <row r="293">
      <c r="A293">
        <f>Skills!A7</f>
        <v/>
      </c>
      <c r="B293">
        <f>Skills!B7</f>
        <v/>
      </c>
      <c r="C293">
        <f>Inputs!$B$3&gt;=122</f>
        <v/>
      </c>
      <c r="D293">
        <f>IF(Skills!C7=1,60+Inputs!$B$26+Inputs!$B$30,IF(Skills!C7=2,90+Inputs!$B$27+Inputs!$B$30,IF(Skills!C7=3,120+Inputs!$B$28+Inputs!$B$30,MAX(0,(Inputs!$B$3-100)*3)+Inputs!$B$29+Inputs!$B$30)))</f>
        <v/>
      </c>
      <c r="E293">
        <f>INDEX(FactorTable!$B$2:$Y$301, MATCH(ROUND(MIN(300,MAX(1,D293)),0), FactorTable!$A$2:$A$301,0), Skills!L7+1)</f>
        <v/>
      </c>
      <c r="F293">
        <f>IF(Skills!M7=TRUE,(Skills!K7/10)*(E293/1000),Skills!K7/10)+Skills!N7</f>
        <v/>
      </c>
      <c r="G293">
        <f>Calc!G7</f>
        <v/>
      </c>
      <c r="H293">
        <f>Calc!H7</f>
        <v/>
      </c>
      <c r="I293">
        <f>IF(Skills!T7&lt;&gt;"",1+(Skills!T7/10)*($Z$3/1000)/100,1)</f>
        <v/>
      </c>
      <c r="J293">
        <f>((Inputs!$B$6*(1+Inputs!$B$7/100))+(((Inputs!$B$13*(1+Inputs!$B$14/100))-(Inputs!$B$13*(1+Inputs!$B$14/100)))+0.25*(Inputs!$B$15-Inputs!$B$15))*(1+Inputs!$B$7/100))*(F293/100)</f>
        <v/>
      </c>
      <c r="K293">
        <f>J293*(1+(((Inputs!$B$13+IF(Inputs!$B$3&gt;=35,(10*INDEX(FactorTable!$B$2:$Y$301, MATCH(ROUND(MIN(300,MAX(1,Inputs!$B$3)),0), FactorTable!$A$2:$A$301,0), 23)/1000)/100*(Inputs!$B$8*(1+(Inputs!$B$9+B324)/100)),0))*(1+Inputs!$B$14/100))*0.01+Inputs!$B$15*0.0025)/100)*(1+(Inputs!$B$16+B318)/100)*(1+IF(Inputs!$B$39="pvp",0,(1-Summary!$B$48)*((Inputs!$B$21+1)+Skills!O7+B316)+Summary!$B$48*(Inputs!$B$22+Skills!P7+B317))/100)*(1+Inputs!$B$17/100)*(5000/(6000+Inputs!$B$43*(1-Inputs!$B$20/100)))*(1+Inputs!$B$25/100)*(1+IF(C304=TRUE,F304,0)/100)*(1+IF(C306=TRUE,F306,0)/100)*(1+IF(Skills!A7="TRIUMPH_FEATHER",IF(C302=TRUE,F302,0),0)/100)*(1+IF(C313=TRUE,F313,0)/100)^5*(1+(IF(Skills!A7="BIG_BANG",Inputs!$B$18,Inputs!$B$19))/100)*(B315*I293)</f>
        <v/>
      </c>
      <c r="L293">
        <f>K293*(MIN(Inputs!$B$23+(F308-Calc!F22),Inputs!$B$24)/100+Inputs!$B$24/100)/2</f>
        <v/>
      </c>
      <c r="M293">
        <f>L293*(1+(Inputs!$B$11+B319+(F311-Calc!F25))/100)</f>
        <v/>
      </c>
      <c r="N293">
        <f>L293*(1-MIN(Inputs!$B$10+((F310-Calc!F24)+(F309-Calc!F23)),100)/100)+M293*(MIN(Inputs!$B$10+((F310-Calc!F24)+(F309-Calc!F23)),100)/100)</f>
        <v/>
      </c>
      <c r="O293">
        <f>IF(C293,H293*N293*IF(AND(Inputs!$B$39&lt;&gt;"pvp",Inputs!$B$44&gt;0),((Skills!F7*((R293-1)*IF(Skills!G7&gt;0,Skills!H7/Skills!G7,1)+IF(Skills!G7&gt;0,MIN(Skills!H7,MAX(0,MAX(0,Inputs!$B$44-B325)-((R293-1)*IF(Inputs!$B$39="pvp",15,MAX(0.1,Skills!D7-IF(Skills!E6=TRUE,Inputs!$B$33,0))))))/Skills!G7,1)))/Inputs!$B$44),G293*Q293)*(1-Summary!$B$48),0)</f>
        <v/>
      </c>
      <c r="P293">
        <f>IF(B326=0,0,O293/B326)</f>
        <v/>
      </c>
      <c r="Q293">
        <f>IFERROR(1/IF(Inputs!$B$39="pvp",15,MAX(0.1,Skills!D7-IF(Skills!E6=TRUE,Inputs!$B$33,0))),0)</f>
        <v/>
      </c>
      <c r="R293">
        <f>IF(AND(Inputs!$B$39&lt;&gt;"pvp",Inputs!$B$44&gt;0),IF(MAX(0,Inputs!$B$44-B325)&lt;=0,0,(INT(MAX(0,Inputs!$B$44-B325)/IF(Inputs!$B$39="pvp",15,MAX(0.1,Skills!D7-IF(Skills!E6=TRUE,Inputs!$B$33,0))))+1)),0)</f>
        <v/>
      </c>
    </row>
    <row r="294">
      <c r="A294">
        <f>Skills!A8</f>
        <v/>
      </c>
      <c r="B294">
        <f>Skills!B8</f>
        <v/>
      </c>
      <c r="C294">
        <f>Inputs!$B$3&gt;=105</f>
        <v/>
      </c>
      <c r="D294">
        <f>IF(Skills!C8=1,60+Inputs!$B$26+Inputs!$B$30,IF(Skills!C8=2,90+Inputs!$B$27+Inputs!$B$30,IF(Skills!C8=3,120+Inputs!$B$28+Inputs!$B$30,MAX(0,(Inputs!$B$3-100)*3)+Inputs!$B$29+Inputs!$B$30)))</f>
        <v/>
      </c>
      <c r="E294">
        <f>INDEX(FactorTable!$B$2:$Y$301, MATCH(ROUND(MIN(300,MAX(1,D294)),0), FactorTable!$A$2:$A$301,0), Skills!L8+1)</f>
        <v/>
      </c>
      <c r="F294">
        <f>IF(Skills!M8=TRUE,(Skills!K8/10)*(E294/1000),Skills!K8/10)+Skills!N8</f>
        <v/>
      </c>
      <c r="G294">
        <f>Calc!G8</f>
        <v/>
      </c>
      <c r="H294">
        <f>Calc!H8</f>
        <v/>
      </c>
      <c r="I294">
        <f>IF(Skills!T8&lt;&gt;"",1+(Skills!T8/10)*($Z$3/1000)/100,1)</f>
        <v/>
      </c>
      <c r="J294">
        <f>((Inputs!$B$6*(1+Inputs!$B$7/100))+(((Inputs!$B$13*(1+Inputs!$B$14/100))-(Inputs!$B$13*(1+Inputs!$B$14/100)))+0.25*(Inputs!$B$15-Inputs!$B$15))*(1+Inputs!$B$7/100))*(F294/100)</f>
        <v/>
      </c>
      <c r="K294">
        <f>J294*(1+(((Inputs!$B$13+IF(Inputs!$B$3&gt;=35,(10*INDEX(FactorTable!$B$2:$Y$301, MATCH(ROUND(MIN(300,MAX(1,Inputs!$B$3)),0), FactorTable!$A$2:$A$301,0), 23)/1000)/100*(Inputs!$B$8*(1+(Inputs!$B$9+B324)/100)),0))*(1+Inputs!$B$14/100))*0.01+Inputs!$B$15*0.0025)/100)*(1+(Inputs!$B$16+B318)/100)*(1+IF(Inputs!$B$39="pvp",0,(1-Summary!$B$48)*((Inputs!$B$21+1)+Skills!O8+B316)+Summary!$B$48*(Inputs!$B$22+Skills!P8+B317))/100)*(1+Inputs!$B$17/100)*(5000/(6000+Inputs!$B$43*(1-Inputs!$B$20/100)))*(1+Inputs!$B$25/100)*(1+IF(C304=TRUE,F304,0)/100)*(1+IF(C306=TRUE,F306,0)/100)*(1+IF(Skills!A8="TRIUMPH_FEATHER",IF(C302=TRUE,F302,0),0)/100)*(1+IF(C313=TRUE,F313,0)/100)^5*(1+(IF(Skills!A8="BIG_BANG",Inputs!$B$18,Inputs!$B$19))/100)*(B315*I294)</f>
        <v/>
      </c>
      <c r="L294">
        <f>K294*(MIN(Inputs!$B$23+(F308-Calc!F22),Inputs!$B$24)/100+Inputs!$B$24/100)/2</f>
        <v/>
      </c>
      <c r="M294">
        <f>L294*(1+(Inputs!$B$11+B319+(F311-Calc!F25))/100)</f>
        <v/>
      </c>
      <c r="N294">
        <f>L294*(1-MIN(Inputs!$B$10+((F310-Calc!F24)+(F309-Calc!F23)),100)/100)+M294*(MIN(Inputs!$B$10+((F310-Calc!F24)+(F309-Calc!F23)),100)/100)</f>
        <v/>
      </c>
      <c r="O294">
        <f>IF(C294,H294*N294*IF(AND(Inputs!$B$39&lt;&gt;"pvp",Inputs!$B$44&gt;0),((Skills!F8*((R294-1)*IF(Skills!G8&gt;0,Skills!H8/Skills!G8,1)+IF(Skills!G8&gt;0,MIN(Skills!H8,MAX(0,MAX(0,Inputs!$B$44-B325)-((R294-1)*IF(Inputs!$B$39="pvp",15,MAX(0.1,Skills!D8-IF(Skills!E8=TRUE,Inputs!$B$33,0))))))/Skills!G8,1)))/Inputs!$B$44),G294*Q294)*IF(Inputs!$B$39="pvp",1,(1-Summary!$B$48)*(1)+Summary!$B$48*(MIN(Skills!Q8,Inputs!$B$38))),0)</f>
        <v/>
      </c>
      <c r="P294">
        <f>IF(B326=0,0,O294/B326)</f>
        <v/>
      </c>
      <c r="Q294">
        <f>IFERROR(1/IF(Inputs!$B$39="pvp",15,MAX(0.1,Skills!D8-IF(Skills!E8=TRUE,Inputs!$B$33,0))),0)</f>
        <v/>
      </c>
      <c r="R294">
        <f>IF(AND(Inputs!$B$39&lt;&gt;"pvp",Inputs!$B$44&gt;0),IF(MAX(0,Inputs!$B$44-B325)&lt;=0,0,(INT(MAX(0,Inputs!$B$44-B325)/IF(Inputs!$B$39="pvp",15,MAX(0.1,Skills!D8-IF(Skills!E8=TRUE,Inputs!$B$33,0))))+1)),0)</f>
        <v/>
      </c>
    </row>
    <row r="295">
      <c r="A295">
        <f>Skills!A9</f>
        <v/>
      </c>
      <c r="B295">
        <f>Skills!B9</f>
        <v/>
      </c>
      <c r="C295">
        <f>Inputs!$B$3&gt;=115</f>
        <v/>
      </c>
      <c r="D295">
        <f>IF(Skills!C9=1,60+Inputs!$B$26+Inputs!$B$30,IF(Skills!C9=2,90+Inputs!$B$27+Inputs!$B$30,IF(Skills!C9=3,120+Inputs!$B$28+Inputs!$B$30,MAX(0,(Inputs!$B$3-100)*3)+Inputs!$B$29+Inputs!$B$30)))</f>
        <v/>
      </c>
      <c r="E295">
        <f>INDEX(FactorTable!$B$2:$Y$301, MATCH(ROUND(MIN(300,MAX(1,D295)),0), FactorTable!$A$2:$A$301,0), Skills!L9+1)</f>
        <v/>
      </c>
      <c r="F295">
        <f>IF(Skills!M9=TRUE,(Skills!K9/10)*(E295/1000),Skills!K9/10)+Skills!N9</f>
        <v/>
      </c>
      <c r="G295">
        <f>Calc!G9</f>
        <v/>
      </c>
      <c r="H295">
        <f>Calc!H9</f>
        <v/>
      </c>
      <c r="I295">
        <f>IF(Skills!T9&lt;&gt;"",1+(Skills!T9/10)*($Z$3/1000)/100,1)</f>
        <v/>
      </c>
      <c r="J295">
        <f>((Inputs!$B$6*(1+Inputs!$B$7/100))+(((Inputs!$B$13*(1+Inputs!$B$14/100))-(Inputs!$B$13*(1+Inputs!$B$14/100)))+0.25*(Inputs!$B$15-Inputs!$B$15))*(1+Inputs!$B$7/100))*(F295/100)</f>
        <v/>
      </c>
      <c r="K295">
        <f>J295*(1+(((Inputs!$B$13+IF(Inputs!$B$3&gt;=35,(10*INDEX(FactorTable!$B$2:$Y$301, MATCH(ROUND(MIN(300,MAX(1,Inputs!$B$3)),0), FactorTable!$A$2:$A$301,0), 23)/1000)/100*(Inputs!$B$8*(1+(Inputs!$B$9+B324)/100)),0))*(1+Inputs!$B$14/100))*0.01+Inputs!$B$15*0.0025)/100)*(1+(Inputs!$B$16+B318)/100)*(1+IF(Inputs!$B$39="pvp",0,(1-Summary!$B$48)*((Inputs!$B$21+1)+Skills!O9+B316)+Summary!$B$48*(Inputs!$B$22+Skills!P9+B317))/100)*(1+Inputs!$B$17/100)*(5000/(6000+Inputs!$B$43*(1-Inputs!$B$20/100)))*(1+Inputs!$B$25/100)*(1+IF(C304=TRUE,F304,0)/100)*(1+IF(C306=TRUE,F306,0)/100)*(1+IF(Skills!A9="TRIUMPH_FEATHER",IF(C302=TRUE,F302,0),0)/100)*(1+IF(C313=TRUE,F313,0)/100)^5*(1+(IF(Skills!A9="BIG_BANG",Inputs!$B$18,Inputs!$B$19))/100)*(B315*I295)</f>
        <v/>
      </c>
      <c r="L295">
        <f>K295*(MIN(Inputs!$B$23+(F308-Calc!F22),Inputs!$B$24)/100+Inputs!$B$24/100)/2</f>
        <v/>
      </c>
      <c r="M295">
        <f>L295*(1+(Inputs!$B$11+B319+(F311-Calc!F25))/100)</f>
        <v/>
      </c>
      <c r="N295">
        <f>L295*(1-MIN(Inputs!$B$10+((F310-Calc!F24)+(F309-Calc!F23)),100)/100)+M295*(MIN(Inputs!$B$10+((F310-Calc!F24)+(F309-Calc!F23)),100)/100)</f>
        <v/>
      </c>
      <c r="O295">
        <f>IF(C295,H295*N295*IF(AND(Inputs!$B$39&lt;&gt;"pvp",Inputs!$B$44&gt;0),((Skills!F9*((R295-1)*IF(Skills!G9&gt;0,Skills!H9/Skills!G9,1)+IF(Skills!G9&gt;0,MIN(Skills!H9,MAX(0,MAX(0,Inputs!$B$44-B325)-((R295-1)*IF(Inputs!$B$39="pvp",15,MAX(0.1,Skills!D9-IF(Skills!E9=TRUE,Inputs!$B$33,0))))))/Skills!G9,1)))/Inputs!$B$44),G295*Q295)*IF(Inputs!$B$39="pvp",1,(1-Summary!$B$48)*(1)+Summary!$B$48*(MIN(Skills!Q9,Inputs!$B$38))),0)</f>
        <v/>
      </c>
      <c r="P295">
        <f>IF(B326=0,0,O295/B326)</f>
        <v/>
      </c>
      <c r="Q295">
        <f>IFERROR(1/IF(Inputs!$B$39="pvp",15,MAX(0.1,Skills!D9-IF(Skills!E9=TRUE,Inputs!$B$33,0))),0)</f>
        <v/>
      </c>
      <c r="R295">
        <f>IF(AND(Inputs!$B$39&lt;&gt;"pvp",Inputs!$B$44&gt;0),IF(MAX(0,Inputs!$B$44-B325)&lt;=0,0,(INT(MAX(0,Inputs!$B$44-B325)/IF(Inputs!$B$39="pvp",15,MAX(0.1,Skills!D9-IF(Skills!E9=TRUE,Inputs!$B$33,0))))+1)),0)</f>
        <v/>
      </c>
    </row>
    <row r="296">
      <c r="A296">
        <f>Skills!A10</f>
        <v/>
      </c>
      <c r="B296">
        <f>Skills!B10</f>
        <v/>
      </c>
      <c r="C296">
        <f>Inputs!$B$3&gt;=66</f>
        <v/>
      </c>
      <c r="D296">
        <f>IF(Skills!C10=1,60+Inputs!$B$26+Inputs!$B$30,IF(Skills!C10=2,90+Inputs!$B$27+Inputs!$B$30,IF(Skills!C10=3,120+Inputs!$B$28+Inputs!$B$30,MAX(0,(Inputs!$B$3-100)*3)+Inputs!$B$29+Inputs!$B$30)))</f>
        <v/>
      </c>
      <c r="E296">
        <f>INDEX(FactorTable!$B$2:$Y$301, MATCH(ROUND(MIN(300,MAX(1,D296)),0), FactorTable!$A$2:$A$301,0), Skills!L10+1)</f>
        <v/>
      </c>
      <c r="F296" t="n">
        <v>0</v>
      </c>
      <c r="G296">
        <f>Calc!G10</f>
        <v/>
      </c>
      <c r="H296">
        <f>Calc!H10</f>
        <v/>
      </c>
      <c r="I296">
        <f>IF(Skills!T10&lt;&gt;"",1+(Skills!T10/10)*($Z$3/1000)/100,1)</f>
        <v/>
      </c>
      <c r="J296" t="inlineStr"/>
      <c r="K296" t="inlineStr"/>
      <c r="L296" t="inlineStr"/>
      <c r="M296" t="inlineStr"/>
      <c r="N296" t="inlineStr"/>
      <c r="O296" t="n">
        <v>0</v>
      </c>
      <c r="P296">
        <f>IF(B326=0,0,O296/B326)</f>
        <v/>
      </c>
      <c r="Q296">
        <f>IFERROR(1/IF(Inputs!$B$39="pvp",15,MAX(0.1,Skills!D10-IF(Skills!E10=TRUE,Inputs!$B$33,0))),0)</f>
        <v/>
      </c>
      <c r="R296">
        <f>IF(AND(Inputs!$B$39&lt;&gt;"pvp",Inputs!$B$44&gt;0),IF(MAX(0,Inputs!$B$44-B325)&lt;=0,0,(INT(MAX(0,Inputs!$B$44-B325)/IF(Inputs!$B$39="pvp",15,MAX(0.1,Skills!D10-IF(Skills!E10=TRUE,Inputs!$B$33,0))))+1)),0)</f>
        <v/>
      </c>
    </row>
    <row r="297">
      <c r="A297">
        <f>Skills!A11</f>
        <v/>
      </c>
      <c r="B297">
        <f>Skills!B11</f>
        <v/>
      </c>
      <c r="C297">
        <f>Inputs!$B$3&gt;=69</f>
        <v/>
      </c>
      <c r="D297">
        <f>IF(Skills!C11=1,60+Inputs!$B$26+Inputs!$B$30,IF(Skills!C11=2,90+Inputs!$B$27+Inputs!$B$30,IF(Skills!C11=3,120+Inputs!$B$28+Inputs!$B$30,MAX(0,(Inputs!$B$3-100)*3)+Inputs!$B$29+Inputs!$B$30)))</f>
        <v/>
      </c>
      <c r="E297">
        <f>INDEX(FactorTable!$B$2:$Y$301, MATCH(ROUND(MIN(300,MAX(1,D297)),0), FactorTable!$A$2:$A$301,0), Skills!L11+1)</f>
        <v/>
      </c>
      <c r="F297">
        <f>IF(Skills!M11=TRUE,(Skills!K11/10)*(E297/1000),Skills!K11/10)+Skills!N11</f>
        <v/>
      </c>
      <c r="G297">
        <f>Calc!G11</f>
        <v/>
      </c>
      <c r="H297">
        <f>Calc!H11</f>
        <v/>
      </c>
      <c r="I297">
        <f>IF(Skills!T11&lt;&gt;"",1+(Skills!T11/10)*($Z$3/1000)/100,1)</f>
        <v/>
      </c>
      <c r="J297" t="inlineStr"/>
      <c r="K297" t="inlineStr"/>
      <c r="L297" t="inlineStr"/>
      <c r="M297" t="inlineStr"/>
      <c r="N297" t="inlineStr"/>
      <c r="O297" t="n">
        <v>0</v>
      </c>
      <c r="P297">
        <f>IF(B326=0,0,O297/B326)</f>
        <v/>
      </c>
      <c r="Q297">
        <f>IFERROR(1/IF(Inputs!$B$39="pvp",15,MAX(0.1,Skills!D11-IF(Skills!E11=TRUE,Inputs!$B$33,0))),0)</f>
        <v/>
      </c>
      <c r="R297">
        <f>IF(AND(Inputs!$B$39&lt;&gt;"pvp",Inputs!$B$44&gt;0),IF(Inputs!$B$44&lt;=0,0,(INT(Inputs!$B$44/IF(Inputs!$B$39="pvp",15,MAX(0.1,Skills!D11-IF(Skills!E11=TRUE,Inputs!$B$33,0))))+1)),0)</f>
        <v/>
      </c>
    </row>
    <row r="298">
      <c r="A298">
        <f>Skills!A12</f>
        <v/>
      </c>
      <c r="B298">
        <f>Skills!B12</f>
        <v/>
      </c>
      <c r="C298">
        <f>Inputs!$B$3&gt;=72</f>
        <v/>
      </c>
      <c r="D298">
        <f>IF(Skills!C12=1,60+Inputs!$B$26+Inputs!$B$30,IF(Skills!C12=2,90+Inputs!$B$27+Inputs!$B$30,IF(Skills!C12=3,120+Inputs!$B$28+Inputs!$B$30,MAX(0,(Inputs!$B$3-100)*3)+Inputs!$B$29+Inputs!$B$30)))</f>
        <v/>
      </c>
      <c r="E298">
        <f>INDEX(FactorTable!$B$2:$Y$301, MATCH(ROUND(MIN(300,MAX(1,D298)),0), FactorTable!$A$2:$A$301,0), Skills!L12+1)</f>
        <v/>
      </c>
      <c r="F298">
        <f>IF(Skills!M12=TRUE,(Skills!K12/10)*(E298/1000),Skills!K12/10)+Skills!N12</f>
        <v/>
      </c>
      <c r="G298">
        <f>Calc!G12</f>
        <v/>
      </c>
      <c r="H298">
        <f>Calc!H12</f>
        <v/>
      </c>
      <c r="I298">
        <f>IF(Skills!T12&lt;&gt;"",1+(Skills!T12/10)*($Z$3/1000)/100,1)</f>
        <v/>
      </c>
      <c r="J298" t="inlineStr"/>
      <c r="K298" t="inlineStr"/>
      <c r="L298" t="inlineStr"/>
      <c r="M298" t="inlineStr"/>
      <c r="N298" t="inlineStr"/>
      <c r="O298" t="n">
        <v>0</v>
      </c>
      <c r="P298">
        <f>IF(B326=0,0,O298/B326)</f>
        <v/>
      </c>
      <c r="Q298">
        <f>IFERROR(1/IF(Inputs!$B$39="pvp",15,MAX(0.1,Skills!D12-IF(Skills!E12=TRUE,Inputs!$B$33,0))),0)</f>
        <v/>
      </c>
      <c r="R298">
        <f>IF(AND(Inputs!$B$39&lt;&gt;"pvp",Inputs!$B$44&gt;0),IF(MAX(0,Inputs!$B$44-B325)&lt;=0,0,(INT(MAX(0,Inputs!$B$44-B325)/IF(Inputs!$B$39="pvp",15,MAX(0.1,Skills!D12-IF(Skills!E12=TRUE,Inputs!$B$33,0))))+1)),0)</f>
        <v/>
      </c>
    </row>
    <row r="299">
      <c r="A299">
        <f>Skills!A13</f>
        <v/>
      </c>
      <c r="B299">
        <f>Skills!B13</f>
        <v/>
      </c>
      <c r="C299">
        <f>Inputs!$B$3&gt;=60</f>
        <v/>
      </c>
      <c r="D299">
        <f>IF(Skills!C13=1,60+Inputs!$B$26+Inputs!$B$30,IF(Skills!C13=2,90+Inputs!$B$27+Inputs!$B$30,IF(Skills!C13=3,120+Inputs!$B$28+Inputs!$B$30,MAX(0,(Inputs!$B$3-100)*3)+Inputs!$B$29+Inputs!$B$30)))</f>
        <v/>
      </c>
      <c r="E299">
        <f>INDEX(FactorTable!$B$2:$Y$301, MATCH(ROUND(MIN(300,MAX(1,D299)),0), FactorTable!$A$2:$A$301,0), Skills!L13+1)</f>
        <v/>
      </c>
      <c r="F299">
        <f>IF(Skills!M13=TRUE,(Skills!K13/10)*(E299/1000),Skills!K13/10)+Skills!N13</f>
        <v/>
      </c>
      <c r="G299">
        <f>Calc!G13</f>
        <v/>
      </c>
      <c r="H299">
        <f>Calc!H13</f>
        <v/>
      </c>
      <c r="I299">
        <f>IF(Skills!T13&lt;&gt;"",1+(Skills!T13/10)*($Z$3/1000)/100,1)</f>
        <v/>
      </c>
      <c r="J299" t="inlineStr"/>
      <c r="K299" t="inlineStr"/>
      <c r="L299" t="inlineStr"/>
      <c r="M299" t="inlineStr"/>
      <c r="N299" t="inlineStr"/>
      <c r="O299" t="n">
        <v>0</v>
      </c>
      <c r="P299">
        <f>IF(B326=0,0,O299/B326)</f>
        <v/>
      </c>
      <c r="Q299">
        <f>IFERROR(1/IF(Inputs!$B$39="pvp",15,MAX(0.1,Skills!D13-IF(Skills!E13=TRUE,Inputs!$B$33,0))),0)</f>
        <v/>
      </c>
      <c r="R299">
        <f>IF(AND(Inputs!$B$39&lt;&gt;"pvp",Inputs!$B$44&gt;0),IF(MAX(0,Inputs!$B$44-B325)&lt;=0,0,(INT(MAX(0,Inputs!$B$44-B325)/IF(Inputs!$B$39="pvp",15,MAX(0.1,Skills!D13-IF(Skills!E13=TRUE,Inputs!$B$33,0))))+1)),0)</f>
        <v/>
      </c>
    </row>
    <row r="300">
      <c r="A300">
        <f>Skills!A14</f>
        <v/>
      </c>
      <c r="B300">
        <f>Skills!B14</f>
        <v/>
      </c>
      <c r="C300">
        <f>Inputs!$B$3&gt;=107</f>
        <v/>
      </c>
      <c r="D300">
        <f>IF(Skills!C14=1,60+Inputs!$B$26+Inputs!$B$30,IF(Skills!C14=2,90+Inputs!$B$27+Inputs!$B$30,IF(Skills!C14=3,120+Inputs!$B$28+Inputs!$B$30,MAX(0,(Inputs!$B$3-100)*3)+Inputs!$B$29+Inputs!$B$30)))</f>
        <v/>
      </c>
      <c r="E300">
        <f>INDEX(FactorTable!$B$2:$Y$301, MATCH(ROUND(MIN(300,MAX(1,D300)),0), FactorTable!$A$2:$A$301,0), Skills!L14+1)</f>
        <v/>
      </c>
      <c r="F300">
        <f>IF(Skills!M14=TRUE,(Skills!K14/10)*(E300/1000),Skills!K14/10)+Skills!N14</f>
        <v/>
      </c>
      <c r="G300">
        <f>Calc!G14</f>
        <v/>
      </c>
      <c r="H300">
        <f>Calc!H14</f>
        <v/>
      </c>
      <c r="I300">
        <f>IF(Skills!T14&lt;&gt;"",1+(Skills!T14/10)*($Z$3/1000)/100,1)</f>
        <v/>
      </c>
      <c r="J300" t="inlineStr"/>
      <c r="K300" t="inlineStr"/>
      <c r="L300" t="inlineStr"/>
      <c r="M300" t="inlineStr"/>
      <c r="N300" t="inlineStr"/>
      <c r="O300" t="n">
        <v>0</v>
      </c>
      <c r="P300">
        <f>IF(B326=0,0,O300/B326)</f>
        <v/>
      </c>
      <c r="Q300">
        <f>IFERROR(1/IF(Inputs!$B$39="pvp",15,MAX(0.1,Skills!D14-IF(Skills!E14=TRUE,Inputs!$B$33,0))),0)</f>
        <v/>
      </c>
      <c r="R300">
        <f>IF(AND(Inputs!$B$39&lt;&gt;"pvp",Inputs!$B$44&gt;0),IF(Inputs!$B$44&lt;=0,0,(INT(Inputs!$B$44/IF(Inputs!$B$39="pvp",15,MAX(0.1,Skills!D14-IF(Skills!E14=TRUE,Inputs!$B$33,0))))+1)),0)</f>
        <v/>
      </c>
    </row>
    <row r="301">
      <c r="A301">
        <f>Skills!A15</f>
        <v/>
      </c>
      <c r="B301">
        <f>Skills!B15</f>
        <v/>
      </c>
      <c r="C301">
        <f>Inputs!$B$3&gt;=63</f>
        <v/>
      </c>
      <c r="D301">
        <f>IF(Skills!C15=1,60+Inputs!$B$26+Inputs!$B$30,IF(Skills!C15=2,90+Inputs!$B$27+Inputs!$B$30,IF(Skills!C15=3,120+Inputs!$B$28+Inputs!$B$30,MAX(0,(Inputs!$B$3-100)*3)+Inputs!$B$29+Inputs!$B$30)))</f>
        <v/>
      </c>
      <c r="E301">
        <f>INDEX(FactorTable!$B$2:$Y$301, MATCH(ROUND(MIN(300,MAX(1,D301)),0), FactorTable!$A$2:$A$301,0), Skills!L15+1)</f>
        <v/>
      </c>
      <c r="F301">
        <f>IF(Skills!M15=TRUE,(Skills!K15/10)*(E301/1000),Skills!K15/10)+Skills!N15</f>
        <v/>
      </c>
      <c r="G301">
        <f>Calc!G15</f>
        <v/>
      </c>
      <c r="H301">
        <f>Calc!H15</f>
        <v/>
      </c>
      <c r="I301">
        <f>IF(Skills!T15&lt;&gt;"",1+(Skills!T15/10)*($Z$3/1000)/100,1)</f>
        <v/>
      </c>
      <c r="J301">
        <f>((Inputs!$B$6*(1+Inputs!$B$7/100))+(((Inputs!$B$13*(1+Inputs!$B$14/100))-(Inputs!$B$13*(1+Inputs!$B$14/100)))+0.25*(Inputs!$B$15-Inputs!$B$15))*(1+Inputs!$B$7/100))*(F301/100)</f>
        <v/>
      </c>
      <c r="K301">
        <f>J301*(1+(((Inputs!$B$13+IF(Inputs!$B$3&gt;=35,(10*INDEX(FactorTable!$B$2:$Y$301, MATCH(ROUND(MIN(300,MAX(1,Inputs!$B$3)),0), FactorTable!$A$2:$A$301,0), 23)/1000)/100*(Inputs!$B$8*(1+(Inputs!$B$9+B324)/100)),0))*(1+Inputs!$B$14/100))*0.01+Inputs!$B$15*0.0025)/100)*(1+(Inputs!$B$16+B318)/100)*(1+IF(Inputs!$B$39="pvp",0,(1-Summary!$B$48)*((Inputs!$B$21+1)+Skills!O15+B316)+Summary!$B$48*(Inputs!$B$22+Skills!P15+B317))/100)*(1+Inputs!$B$17/100)*(5000/(6000+Inputs!$B$43*(1-Inputs!$B$20/100)))*(1+Inputs!$B$25/100)*(1+IF(C304=TRUE,F304,0)/100)*(1+IF(C306=TRUE,F306,0)/100)*(1+IF(Skills!A15="TRIUMPH_FEATHER",IF(C302=TRUE,F302,0),0)/100)*(1+IF(C313=TRUE,F313,0)/100)^5*(1+(IF(Skills!A15="BIG_BANG",Inputs!$B$18,Inputs!$B$19))/100)*(B315*I301)</f>
        <v/>
      </c>
      <c r="L301">
        <f>K301*(MIN(Inputs!$B$23+(F308-Calc!F22),Inputs!$B$24)/100+Inputs!$B$24/100)/2</f>
        <v/>
      </c>
      <c r="M301">
        <f>L301*(1+(Inputs!$B$11+B319+(F311-Calc!F25))/100)</f>
        <v/>
      </c>
      <c r="N301">
        <f>L301*(1-MIN(Inputs!$B$10+((F310-Calc!F24)+(F309-Calc!F23)),100)/100)+M301*(MIN(Inputs!$B$10+((F310-Calc!F24)+(F309-Calc!F23)),100)/100)</f>
        <v/>
      </c>
      <c r="O301">
        <f>IF(C301,Skills!F15*N301*((IF(Inputs!$B$3&gt;=78,25,15)/100*B321*10)/(1+IF(Inputs!$B$3&gt;=78,25,15)/100*B321*10))*(Skills!I15/100*B321)/(1+Skills!G15*Skills!I15/100*B321)*IF(Inputs!$B$39="pvp",1,(1-Summary!$B$48)*(1)+Summary!$B$48*(MIN(Skills!Q15,Inputs!$B$38))),0)</f>
        <v/>
      </c>
      <c r="P301">
        <f>IF(B326=0,0,O301/B326)</f>
        <v/>
      </c>
      <c r="Q301">
        <f>IFERROR(1/IF(Inputs!$B$39="pvp",15,MAX(0.1,Skills!D15-IF(Skills!E15=TRUE,Inputs!$B$33,0))),0)</f>
        <v/>
      </c>
      <c r="R301" t="n">
        <v>0</v>
      </c>
    </row>
    <row r="302">
      <c r="A302">
        <f>Skills!A16</f>
        <v/>
      </c>
      <c r="B302">
        <f>Skills!B16</f>
        <v/>
      </c>
      <c r="C302">
        <f>Inputs!$B$3&gt;=100</f>
        <v/>
      </c>
      <c r="D302">
        <f>IF(Skills!C16=1,60+Inputs!$B$26+Inputs!$B$30,IF(Skills!C16=2,90+Inputs!$B$27+Inputs!$B$30,IF(Skills!C16=3,120+Inputs!$B$28+Inputs!$B$30,MAX(0,(Inputs!$B$3-100)*3)+Inputs!$B$29+Inputs!$B$30)))</f>
        <v/>
      </c>
      <c r="E302">
        <f>INDEX(FactorTable!$B$2:$Y$301, MATCH(ROUND(MIN(300,MAX(1,D302)),0), FactorTable!$A$2:$A$301,0), Skills!L16+1)</f>
        <v/>
      </c>
      <c r="F302">
        <f>IF(Skills!M16=TRUE,(Skills!K16/10)*(E302/1000),Skills!K16/10)+Skills!N16</f>
        <v/>
      </c>
      <c r="G302">
        <f>Calc!G16</f>
        <v/>
      </c>
      <c r="H302">
        <f>Calc!H16</f>
        <v/>
      </c>
      <c r="I302">
        <f>IF(Skills!T16&lt;&gt;"",1+(Skills!T16/10)*($Z$3/1000)/100,1)</f>
        <v/>
      </c>
      <c r="J302" t="inlineStr"/>
      <c r="K302" t="inlineStr"/>
      <c r="L302" t="inlineStr"/>
      <c r="M302" t="inlineStr"/>
      <c r="N302" t="inlineStr"/>
      <c r="O302" t="n">
        <v>0</v>
      </c>
      <c r="P302">
        <f>IF(B326=0,0,O302/B326)</f>
        <v/>
      </c>
      <c r="Q302">
        <f>IFERROR(1/IF(Inputs!$B$39="pvp",15,MAX(0.1,Skills!D16-IF(Skills!E16=TRUE,Inputs!$B$33,0))),0)</f>
        <v/>
      </c>
      <c r="R302" t="n">
        <v>0</v>
      </c>
    </row>
    <row r="303">
      <c r="A303">
        <f>Skills!A17</f>
        <v/>
      </c>
      <c r="B303">
        <f>Skills!B17</f>
        <v/>
      </c>
      <c r="C303">
        <f>Inputs!$B$3&gt;=49</f>
        <v/>
      </c>
      <c r="D303">
        <f>IF(Skills!C17=1,60+Inputs!$B$26+Inputs!$B$30,IF(Skills!C17=2,90+Inputs!$B$27+Inputs!$B$30,IF(Skills!C17=3,120+Inputs!$B$28+Inputs!$B$30,MAX(0,(Inputs!$B$3-100)*3)+Inputs!$B$29+Inputs!$B$30)))</f>
        <v/>
      </c>
      <c r="E303">
        <f>INDEX(FactorTable!$B$2:$Y$301, MATCH(ROUND(MIN(300,MAX(1,D303)),0), FactorTable!$A$2:$A$301,0), Skills!L17+1)</f>
        <v/>
      </c>
      <c r="F303">
        <f>IF(Skills!M17=TRUE,(Skills!K17/10)*(E303/1000),Skills!K17/10)+Skills!N17</f>
        <v/>
      </c>
      <c r="G303">
        <f>Calc!G17</f>
        <v/>
      </c>
      <c r="H303">
        <f>Calc!H17</f>
        <v/>
      </c>
      <c r="I303">
        <f>IF(Skills!T17&lt;&gt;"",1+(Skills!T17/10)*($Z$3/1000)/100,1)</f>
        <v/>
      </c>
      <c r="J303" t="inlineStr"/>
      <c r="K303" t="inlineStr"/>
      <c r="L303" t="inlineStr"/>
      <c r="M303" t="inlineStr"/>
      <c r="N303" t="inlineStr"/>
      <c r="O303" t="n">
        <v>0</v>
      </c>
      <c r="P303">
        <f>IF(B326=0,0,O303/B326)</f>
        <v/>
      </c>
      <c r="Q303">
        <f>IFERROR(1/IF(Inputs!$B$39="pvp",15,MAX(0.1,Skills!D17-IF(Skills!E17=TRUE,Inputs!$B$33,0))),0)</f>
        <v/>
      </c>
      <c r="R303" t="n">
        <v>0</v>
      </c>
    </row>
    <row r="304">
      <c r="A304">
        <f>Skills!A18</f>
        <v/>
      </c>
      <c r="B304">
        <f>Skills!B18</f>
        <v/>
      </c>
      <c r="C304">
        <f>Inputs!$B$3&gt;=75</f>
        <v/>
      </c>
      <c r="D304">
        <f>IF(Skills!C18=1,60+Inputs!$B$26+Inputs!$B$30,IF(Skills!C18=2,90+Inputs!$B$27+Inputs!$B$30,IF(Skills!C18=3,120+Inputs!$B$28+Inputs!$B$30,MAX(0,(Inputs!$B$3-100)*3)+Inputs!$B$29+Inputs!$B$30)))</f>
        <v/>
      </c>
      <c r="E304">
        <f>INDEX(FactorTable!$B$2:$Y$301, MATCH(ROUND(MIN(300,MAX(1,D304)),0), FactorTable!$A$2:$A$301,0), Skills!L18+1)</f>
        <v/>
      </c>
      <c r="F304">
        <f>IF(Skills!M18=TRUE,(Skills!K18/10)*(E304/1000),Skills!K18/10)+Skills!N18</f>
        <v/>
      </c>
      <c r="G304">
        <f>Calc!G18</f>
        <v/>
      </c>
      <c r="H304">
        <f>Calc!H18</f>
        <v/>
      </c>
      <c r="I304">
        <f>IF(Skills!T18&lt;&gt;"",1+(Skills!T18/10)*($Z$3/1000)/100,1)</f>
        <v/>
      </c>
      <c r="J304" t="inlineStr"/>
      <c r="K304" t="inlineStr"/>
      <c r="L304" t="inlineStr"/>
      <c r="M304" t="inlineStr"/>
      <c r="N304" t="inlineStr"/>
      <c r="O304" t="n">
        <v>0</v>
      </c>
      <c r="P304">
        <f>IF(B326=0,0,O304/B326)</f>
        <v/>
      </c>
      <c r="Q304">
        <f>IFERROR(1/IF(Inputs!$B$39="pvp",15,MAX(0.1,Skills!D18-IF(Skills!E18=TRUE,Inputs!$B$33,0))),0)</f>
        <v/>
      </c>
      <c r="R304" t="n">
        <v>0</v>
      </c>
    </row>
    <row r="305">
      <c r="A305">
        <f>Skills!A19</f>
        <v/>
      </c>
      <c r="B305">
        <f>Skills!B19</f>
        <v/>
      </c>
      <c r="C305">
        <f>Inputs!$B$3&gt;=110</f>
        <v/>
      </c>
      <c r="D305">
        <f>IF(Skills!C19=1,60+Inputs!$B$26+Inputs!$B$30,IF(Skills!C19=2,90+Inputs!$B$27+Inputs!$B$30,IF(Skills!C19=3,120+Inputs!$B$28+Inputs!$B$30,MAX(0,(Inputs!$B$3-100)*3)+Inputs!$B$29+Inputs!$B$30)))</f>
        <v/>
      </c>
      <c r="E305">
        <f>INDEX(FactorTable!$B$2:$Y$301, MATCH(ROUND(MIN(300,MAX(1,D305)),0), FactorTable!$A$2:$A$301,0), Skills!L19+1)</f>
        <v/>
      </c>
      <c r="F305">
        <f>(Skills!K19/10)*(E305/1000)*64/45+Skills!N19</f>
        <v/>
      </c>
      <c r="G305">
        <f>Calc!G19</f>
        <v/>
      </c>
      <c r="H305">
        <f>Calc!H19</f>
        <v/>
      </c>
      <c r="I305">
        <f>IF(Skills!T19&lt;&gt;"",1+(Skills!T19/10)*($Z$3/1000)/100,1)</f>
        <v/>
      </c>
      <c r="J305" t="inlineStr"/>
      <c r="K305" t="inlineStr"/>
      <c r="L305" t="inlineStr"/>
      <c r="M305" t="inlineStr"/>
      <c r="N305" t="inlineStr"/>
      <c r="O305" t="n">
        <v>0</v>
      </c>
      <c r="P305">
        <f>IF(B326=0,0,O305/B326)</f>
        <v/>
      </c>
      <c r="Q305">
        <f>IFERROR(1/IF(Inputs!$B$39="pvp",15,MAX(0.1,Skills!D19-IF(Skills!E19=TRUE,Inputs!$B$33,0))),0)</f>
        <v/>
      </c>
      <c r="R305">
        <f>IF(AND(Inputs!$B$39&lt;&gt;"pvp",Inputs!$B$44&gt;0),IF(Inputs!$B$44&lt;=0,0,(INT(Inputs!$B$44/IF(Inputs!$B$39="pvp",15,MAX(0.1,Skills!D19-IF(Skills!E19=TRUE,Inputs!$B$33,0))))+1)),0)</f>
        <v/>
      </c>
    </row>
    <row r="306">
      <c r="A306">
        <f>Skills!A20</f>
        <v/>
      </c>
      <c r="B306">
        <f>Skills!B20</f>
        <v/>
      </c>
      <c r="C306">
        <f>Inputs!$B$3&gt;=125</f>
        <v/>
      </c>
      <c r="D306">
        <f>IF(Skills!C20=1,60+Inputs!$B$26+Inputs!$B$30,IF(Skills!C20=2,90+Inputs!$B$27+Inputs!$B$30,IF(Skills!C20=3,120+Inputs!$B$28+Inputs!$B$30,MAX(0,(Inputs!$B$3-100)*3)+Inputs!$B$29+Inputs!$B$30)))</f>
        <v/>
      </c>
      <c r="E306">
        <f>INDEX(FactorTable!$B$2:$Y$301, MATCH(ROUND(MIN(300,MAX(1,D306)),0), FactorTable!$A$2:$A$301,0), Skills!L20+1)</f>
        <v/>
      </c>
      <c r="F306">
        <f>IF(Skills!M20=TRUE,(Skills!K20/10)*(E306/1000),Skills!K20/10)+Skills!N20</f>
        <v/>
      </c>
      <c r="G306">
        <f>Calc!G20</f>
        <v/>
      </c>
      <c r="H306">
        <f>Calc!H20</f>
        <v/>
      </c>
      <c r="I306">
        <f>IF(Skills!T20&lt;&gt;"",1+(Skills!T20/10)*($Z$3/1000)/100,1)</f>
        <v/>
      </c>
      <c r="J306" t="inlineStr"/>
      <c r="K306" t="inlineStr"/>
      <c r="L306" t="inlineStr"/>
      <c r="M306" t="inlineStr"/>
      <c r="N306" t="inlineStr"/>
      <c r="O306" t="n">
        <v>0</v>
      </c>
      <c r="P306">
        <f>IF(B326=0,0,O306/B326)</f>
        <v/>
      </c>
      <c r="Q306">
        <f>IFERROR(1/IF(Inputs!$B$39="pvp",15,MAX(0.1,Skills!D20-IF(Skills!E20=TRUE,Inputs!$B$33,0))),0)</f>
        <v/>
      </c>
      <c r="R306" t="n">
        <v>0</v>
      </c>
    </row>
    <row r="307">
      <c r="A307">
        <f>Skills!A21</f>
        <v/>
      </c>
      <c r="B307">
        <f>Skills!B21</f>
        <v/>
      </c>
      <c r="C307">
        <f>Inputs!$B$3&gt;=33</f>
        <v/>
      </c>
      <c r="D307">
        <f>IF(Skills!C21=1,60+Inputs!$B$26+Inputs!$B$30,IF(Skills!C21=2,90+Inputs!$B$27+Inputs!$B$30,IF(Skills!C21=3,120+Inputs!$B$28+Inputs!$B$30,MAX(0,(Inputs!$B$3-100)*3)+Inputs!$B$29+Inputs!$B$30)))</f>
        <v/>
      </c>
      <c r="E307">
        <f>INDEX(FactorTable!$B$2:$Y$301, MATCH(ROUND(MIN(300,MAX(1,D307)),0), FactorTable!$A$2:$A$301,0), Skills!L21+1)</f>
        <v/>
      </c>
      <c r="F307">
        <f>IF(Skills!M21=TRUE,(Skills!K21/10)*(E307/1000),Skills!K21/10)+Skills!N21</f>
        <v/>
      </c>
      <c r="G307">
        <f>Calc!G21</f>
        <v/>
      </c>
      <c r="H307">
        <f>Calc!H21</f>
        <v/>
      </c>
      <c r="I307">
        <f>IF(Skills!T21&lt;&gt;"",1+(Skills!T21/10)*($Z$3/1000)/100,1)</f>
        <v/>
      </c>
      <c r="J307" t="inlineStr"/>
      <c r="K307" t="inlineStr"/>
      <c r="L307" t="inlineStr"/>
      <c r="M307" t="inlineStr"/>
      <c r="N307" t="inlineStr"/>
      <c r="O307" t="n">
        <v>0</v>
      </c>
      <c r="P307">
        <f>IF(B326=0,0,O307/B326)</f>
        <v/>
      </c>
      <c r="Q307">
        <f>IFERROR(1/IF(Inputs!$B$39="pvp",15,MAX(0.1,Skills!D21-IF(Skills!E21=TRUE,Inputs!$B$33,0))),0)</f>
        <v/>
      </c>
      <c r="R307" t="n">
        <v>0</v>
      </c>
    </row>
    <row r="308">
      <c r="A308">
        <f>Skills!A22</f>
        <v/>
      </c>
      <c r="B308">
        <f>Skills!B22</f>
        <v/>
      </c>
      <c r="C308">
        <f>Inputs!$B$3&gt;=43</f>
        <v/>
      </c>
      <c r="D308">
        <f>IF(Skills!C22=1,60+Inputs!$B$26+Inputs!$B$30,IF(Skills!C22=2,90+Inputs!$B$27+Inputs!$B$30,IF(Skills!C22=3,120+Inputs!$B$28+Inputs!$B$30,MAX(0,(Inputs!$B$3-100)*3)+Inputs!$B$29+Inputs!$B$30)))</f>
        <v/>
      </c>
      <c r="E308">
        <f>INDEX(FactorTable!$B$2:$Y$301, MATCH(ROUND(MIN(300,MAX(1,D308)),0), FactorTable!$A$2:$A$301,0), Skills!L22+1)</f>
        <v/>
      </c>
      <c r="F308">
        <f>IF(Skills!M22=TRUE,(Skills!K22/10)*(E308/1000),Skills!K22/10)+Skills!N22</f>
        <v/>
      </c>
      <c r="G308">
        <f>Calc!G22</f>
        <v/>
      </c>
      <c r="H308">
        <f>Calc!H22</f>
        <v/>
      </c>
      <c r="I308">
        <f>IF(Skills!T22&lt;&gt;"",1+(Skills!T22/10)*($Z$3/1000)/100,1)</f>
        <v/>
      </c>
      <c r="J308" t="inlineStr"/>
      <c r="K308" t="inlineStr"/>
      <c r="L308" t="inlineStr"/>
      <c r="M308" t="inlineStr"/>
      <c r="N308" t="inlineStr"/>
      <c r="O308" t="n">
        <v>0</v>
      </c>
      <c r="P308">
        <f>IF(B326=0,0,O308/B326)</f>
        <v/>
      </c>
      <c r="Q308">
        <f>IFERROR(1/IF(Inputs!$B$39="pvp",15,MAX(0.1,Skills!D22-IF(Skills!E22=TRUE,Inputs!$B$33,0))),0)</f>
        <v/>
      </c>
      <c r="R308" t="n">
        <v>0</v>
      </c>
    </row>
    <row r="309">
      <c r="A309">
        <f>Skills!A23</f>
        <v/>
      </c>
      <c r="B309">
        <f>Skills!B23</f>
        <v/>
      </c>
      <c r="C309">
        <f>Inputs!$B$3&gt;=50</f>
        <v/>
      </c>
      <c r="D309">
        <f>IF(Skills!C23=1,60+Inputs!$B$26+Inputs!$B$30,IF(Skills!C23=2,90+Inputs!$B$27+Inputs!$B$30,IF(Skills!C23=3,120+Inputs!$B$28+Inputs!$B$30,MAX(0,(Inputs!$B$3-100)*3)+Inputs!$B$29+Inputs!$B$30)))</f>
        <v/>
      </c>
      <c r="E309">
        <f>INDEX(FactorTable!$B$2:$Y$301, MATCH(ROUND(MIN(300,MAX(1,D309)),0), FactorTable!$A$2:$A$301,0), Skills!L23+1)</f>
        <v/>
      </c>
      <c r="F309">
        <f>IF(Skills!M23=TRUE,(Skills!K23/10)*(E309/1000),Skills!K23/10)+Skills!N23</f>
        <v/>
      </c>
      <c r="G309">
        <f>Calc!G23</f>
        <v/>
      </c>
      <c r="H309">
        <f>Calc!H23</f>
        <v/>
      </c>
      <c r="I309">
        <f>IF(Skills!T23&lt;&gt;"",1+(Skills!T23/10)*($Z$3/1000)/100,1)</f>
        <v/>
      </c>
      <c r="J309" t="inlineStr"/>
      <c r="K309" t="inlineStr"/>
      <c r="L309" t="inlineStr"/>
      <c r="M309" t="inlineStr"/>
      <c r="N309" t="inlineStr"/>
      <c r="O309" t="n">
        <v>0</v>
      </c>
      <c r="P309">
        <f>IF(B326=0,0,O309/B326)</f>
        <v/>
      </c>
      <c r="Q309">
        <f>IFERROR(1/IF(Inputs!$B$39="pvp",15,MAX(0.1,Skills!D23-IF(Skills!E23=TRUE,Inputs!$B$33,0))),0)</f>
        <v/>
      </c>
      <c r="R309" t="n">
        <v>0</v>
      </c>
    </row>
    <row r="310">
      <c r="A310">
        <f>Skills!A24</f>
        <v/>
      </c>
      <c r="B310">
        <f>Skills!B24</f>
        <v/>
      </c>
      <c r="C310">
        <f>Inputs!$B$3&gt;=74</f>
        <v/>
      </c>
      <c r="D310">
        <f>IF(Skills!C24=1,60+Inputs!$B$26+Inputs!$B$30,IF(Skills!C24=2,90+Inputs!$B$27+Inputs!$B$30,IF(Skills!C24=3,120+Inputs!$B$28+Inputs!$B$30,MAX(0,(Inputs!$B$3-100)*3)+Inputs!$B$29+Inputs!$B$30)))</f>
        <v/>
      </c>
      <c r="E310">
        <f>INDEX(FactorTable!$B$2:$Y$301, MATCH(ROUND(MIN(300,MAX(1,D310)),0), FactorTable!$A$2:$A$301,0), Skills!L24+1)</f>
        <v/>
      </c>
      <c r="F310">
        <f>IF(Skills!M24=TRUE,(Skills!K24/10)*(E310/1000),Skills!K24/10)+Skills!N24</f>
        <v/>
      </c>
      <c r="G310">
        <f>Calc!G24</f>
        <v/>
      </c>
      <c r="H310">
        <f>Calc!H24</f>
        <v/>
      </c>
      <c r="I310">
        <f>IF(Skills!T24&lt;&gt;"",1+(Skills!T24/10)*($Z$3/1000)/100,1)</f>
        <v/>
      </c>
      <c r="J310" t="inlineStr"/>
      <c r="K310" t="inlineStr"/>
      <c r="L310" t="inlineStr"/>
      <c r="M310" t="inlineStr"/>
      <c r="N310" t="inlineStr"/>
      <c r="O310" t="n">
        <v>0</v>
      </c>
      <c r="P310">
        <f>IF(B326=0,0,O310/B326)</f>
        <v/>
      </c>
      <c r="Q310">
        <f>IFERROR(1/IF(Inputs!$B$39="pvp",15,MAX(0.1,Skills!D24-IF(Skills!E24=TRUE,Inputs!$B$33,0))),0)</f>
        <v/>
      </c>
      <c r="R310" t="n">
        <v>0</v>
      </c>
    </row>
    <row r="311">
      <c r="A311">
        <f>Skills!A25</f>
        <v/>
      </c>
      <c r="B311">
        <f>Skills!B25</f>
        <v/>
      </c>
      <c r="C311">
        <f>Inputs!$B$3&gt;=74</f>
        <v/>
      </c>
      <c r="D311">
        <f>IF(Skills!C25=1,60+Inputs!$B$26+Inputs!$B$30,IF(Skills!C25=2,90+Inputs!$B$27+Inputs!$B$30,IF(Skills!C25=3,120+Inputs!$B$28+Inputs!$B$30,MAX(0,(Inputs!$B$3-100)*3)+Inputs!$B$29+Inputs!$B$30)))</f>
        <v/>
      </c>
      <c r="E311">
        <f>INDEX(FactorTable!$B$2:$Y$301, MATCH(ROUND(MIN(300,MAX(1,D311)),0), FactorTable!$A$2:$A$301,0), Skills!L25+1)</f>
        <v/>
      </c>
      <c r="F311">
        <f>IF(Skills!M25=TRUE,(Skills!K25/10)*(E311/1000),Skills!K25/10)+Skills!N25</f>
        <v/>
      </c>
      <c r="G311">
        <f>Calc!G25</f>
        <v/>
      </c>
      <c r="H311">
        <f>Calc!H25</f>
        <v/>
      </c>
      <c r="I311">
        <f>IF(Skills!T25&lt;&gt;"",1+(Skills!T25/10)*($Z$3/1000)/100,1)</f>
        <v/>
      </c>
      <c r="J311" t="inlineStr"/>
      <c r="K311" t="inlineStr"/>
      <c r="L311" t="inlineStr"/>
      <c r="M311" t="inlineStr"/>
      <c r="N311" t="inlineStr"/>
      <c r="O311" t="n">
        <v>0</v>
      </c>
      <c r="P311">
        <f>IF(B326=0,0,O311/B326)</f>
        <v/>
      </c>
      <c r="Q311">
        <f>IFERROR(1/IF(Inputs!$B$39="pvp",15,MAX(0.1,Skills!D25-IF(Skills!E25=TRUE,Inputs!$B$33,0))),0)</f>
        <v/>
      </c>
      <c r="R311" t="n">
        <v>0</v>
      </c>
    </row>
    <row r="312">
      <c r="A312">
        <f>Skills!A26</f>
        <v/>
      </c>
      <c r="B312">
        <f>Skills!B26</f>
        <v/>
      </c>
      <c r="C312">
        <f>Inputs!$B$3&gt;=117</f>
        <v/>
      </c>
      <c r="D312">
        <f>IF(Skills!C26=1,60+Inputs!$B$26+Inputs!$B$30,IF(Skills!C26=2,90+Inputs!$B$27+Inputs!$B$30,IF(Skills!C26=3,120+Inputs!$B$28+Inputs!$B$30,MAX(0,(Inputs!$B$3-100)*3)+Inputs!$B$29+Inputs!$B$30)))</f>
        <v/>
      </c>
      <c r="E312">
        <f>INDEX(FactorTable!$B$2:$Y$301, MATCH(ROUND(MIN(300,MAX(1,D312)),0), FactorTable!$A$2:$A$301,0), Skills!L26+1)</f>
        <v/>
      </c>
      <c r="F312">
        <f>IF(Skills!M26=TRUE,(Skills!K26/10)*(E312/1000),Skills!K26/10)+Skills!N26</f>
        <v/>
      </c>
      <c r="G312">
        <f>Calc!G26</f>
        <v/>
      </c>
      <c r="H312">
        <f>Calc!H26</f>
        <v/>
      </c>
      <c r="I312">
        <f>IF(Skills!T26&lt;&gt;"",1+(Skills!T26/10)*($Z$3/1000)/100,1)</f>
        <v/>
      </c>
      <c r="J312" t="inlineStr"/>
      <c r="K312" t="inlineStr"/>
      <c r="L312" t="inlineStr"/>
      <c r="M312" t="inlineStr"/>
      <c r="N312" t="inlineStr"/>
      <c r="O312" t="n">
        <v>0</v>
      </c>
      <c r="P312">
        <f>IF(B326=0,0,O312/B326)</f>
        <v/>
      </c>
      <c r="Q312">
        <f>IFERROR(1/IF(Inputs!$B$39="pvp",15,MAX(0.1,Skills!D26-IF(Skills!E26=TRUE,Inputs!$B$33,0))),0)</f>
        <v/>
      </c>
      <c r="R312" t="n">
        <v>0</v>
      </c>
    </row>
    <row r="313">
      <c r="A313">
        <f>Skills!A27</f>
        <v/>
      </c>
      <c r="B313">
        <f>Skills!B27</f>
        <v/>
      </c>
      <c r="C313">
        <f>Inputs!$B$3&gt;=120</f>
        <v/>
      </c>
      <c r="D313">
        <f>IF(Skills!C27=1,60+Inputs!$B$26+Inputs!$B$30,IF(Skills!C27=2,90+Inputs!$B$27+Inputs!$B$30,IF(Skills!C27=3,120+Inputs!$B$28+Inputs!$B$30,MAX(0,(Inputs!$B$3-100)*3)+Inputs!$B$29+Inputs!$B$30)))</f>
        <v/>
      </c>
      <c r="E313">
        <f>INDEX(FactorTable!$B$2:$Y$301, MATCH(ROUND(MIN(300,MAX(1,D313)),0), FactorTable!$A$2:$A$301,0), Skills!L27+1)</f>
        <v/>
      </c>
      <c r="F313">
        <f>IF(Skills!M27=TRUE,(Skills!K27/10)*(E313/1000),Skills!K27/10)+Skills!N27</f>
        <v/>
      </c>
      <c r="G313">
        <f>Calc!G27</f>
        <v/>
      </c>
      <c r="H313">
        <f>Calc!H27</f>
        <v/>
      </c>
      <c r="I313">
        <f>IF(Skills!T27&lt;&gt;"",1+(Skills!T27/10)*($Z$3/1000)/100,1)</f>
        <v/>
      </c>
      <c r="J313" t="inlineStr"/>
      <c r="K313" t="inlineStr"/>
      <c r="L313" t="inlineStr"/>
      <c r="M313" t="inlineStr"/>
      <c r="N313" t="inlineStr"/>
      <c r="O313" t="n">
        <v>0</v>
      </c>
      <c r="P313">
        <f>IF(B326=0,0,O313/B326)</f>
        <v/>
      </c>
      <c r="Q313">
        <f>IFERROR(1/IF(Inputs!$B$39="pvp",15,MAX(0.1,Skills!D27-IF(Skills!E27=TRUE,Inputs!$B$33,0))),0)</f>
        <v/>
      </c>
      <c r="R313" t="n">
        <v>0</v>
      </c>
    </row>
    <row r="315">
      <c r="A315" t="inlineStr">
        <is>
          <t>Average Buff Multiplier</t>
        </is>
      </c>
      <c r="B315">
        <f>(1+(IF(C289=TRUE,F289*IF(AND(Inputs!$B$39&lt;&gt;"pvp",Inputs!$B$44&gt;0),(((R289-1)*(Skills!S3*(1+(Inputs!$B$35+IF(Inputs!$B$3&gt;=117,F312,0))/100))+MIN((Skills!S3*(1+(Inputs!$B$35+IF(Inputs!$B$3&gt;=117,F312,0))/100)),MAX(0,Inputs!$B$44-((R289-1)*Skills!D3))))/Inputs!$B$44),IF(Inputs!$B$39="pvp",MIN((Skills!S3*(1+(Inputs!$B$35+IF(Inputs!$B$3&gt;=117,F312,0))/100)),15)/15,(Skills!S3*(1+(Inputs!$B$35+IF(Inputs!$B$3&gt;=117,F312,0))/100))/Skills!D3)),0)+IF(C290=TRUE,F290*IF(AND(Inputs!$B$39&lt;&gt;"pvp",Inputs!$B$44&gt;0),(((R290-1)*(Skills!S4*(1+(Inputs!$B$35+IF(Inputs!$B$3&gt;=117,F312,0))/100))+MIN((Skills!S4*(1+(Inputs!$B$35+IF(Inputs!$B$3&gt;=117,F312,0))/100)),MAX(0,Inputs!$B$44-((R290-1)*Skills!D4))))/Inputs!$B$44),IF(Inputs!$B$39="pvp",MIN((Skills!S4*(1+(Inputs!$B$35+IF(Inputs!$B$3&gt;=117,F312,0))/100)),15)/15,(Skills!S4*(1+(Inputs!$B$35+IF(Inputs!$B$3&gt;=117,F312,0))/100))/Skills!D4)),0)+IF(C291=TRUE,F291*IF(AND(Inputs!$B$39&lt;&gt;"pvp",Inputs!$B$44&gt;0),(((R291-1)*(Skills!S5*(1+(Inputs!$B$35+IF(Inputs!$B$3&gt;=117,F312,0))/100))+MIN((Skills!S5*(1+(Inputs!$B$35+IF(Inputs!$B$3&gt;=117,F312,0))/100)),MAX(0,Inputs!$B$44-((R291-1)*Skills!D5))))/Inputs!$B$44),IF(Inputs!$B$39="pvp",MIN((Skills!S5*(1+(Inputs!$B$35+IF(Inputs!$B$3&gt;=117,F312,0))/100)),15)/15,(Skills!S5*(1+(Inputs!$B$35+IF(Inputs!$B$3&gt;=117,F312,0))/100))/Skills!D5)),0)+IF(C297=TRUE,F297*IF(AND(Inputs!$B$39&lt;&gt;"pvp",Inputs!$B$44&gt;0),(((R297-1)*(Skills!S11*(1+(Inputs!$B$35+IF(Inputs!$B$3&gt;=117,F312,0))/100))+MIN((Skills!S11*(1+(Inputs!$B$35+IF(Inputs!$B$3&gt;=117,F312,0))/100)),MAX(0,Inputs!$B$44-((R297-1)*Skills!D11))))/Inputs!$B$44),IF(Inputs!$B$39="pvp",MIN((Skills!S11*(1+(Inputs!$B$35+IF(Inputs!$B$3&gt;=117,F312,0))/100)),15)/15,(Skills!S11*(1+(Inputs!$B$35+IF(Inputs!$B$3&gt;=117,F312,0))/100))/Skills!D11)),0))/100)*IF(C300=TRUE,(1+F300*IF(AND(Inputs!$B$39&lt;&gt;"pvp",Inputs!$B$44&gt;0),(((R300-1)*(Skills!S14*(1+(Inputs!$B$35+IF(Inputs!$B$3&gt;=117,F312,0))/100))+MIN((Skills!S14*(1+(Inputs!$B$35+IF(Inputs!$B$3&gt;=117,F312,0))/100)),MAX(0,Inputs!$B$44-((R300-1)*Skills!D14))))/Inputs!$B$44),IF(Inputs!$B$39="pvp",MIN((Skills!S14*(1+(Inputs!$B$35+IF(Inputs!$B$3&gt;=117,F312,0))/100)),15)/15,(Skills!S14*(1+(Inputs!$B$35+IF(Inputs!$B$3&gt;=117,F312,0))/100))/Skills!D14))/100),1)*IF(C305=TRUE,(1+F305*IF(AND(Inputs!$B$39&lt;&gt;"pvp",Inputs!$B$44&gt;0),(((R305-1)*(Skills!S19*(1+(Inputs!$B$35+IF(Inputs!$B$3&gt;=117,F312,0))/100))+MIN((Skills!S19*(1+(Inputs!$B$35+IF(Inputs!$B$3&gt;=117,F312,0))/100)),MAX(0,Inputs!$B$44-((R305-1)*Skills!D19))))/Inputs!$B$44),IF(Inputs!$B$39="pvp",MIN((Skills!S19*(1+(Inputs!$B$35+IF(Inputs!$B$3&gt;=117,F312,0))/100)),15)/15,(Skills!S19*(1+(Inputs!$B$35+IF(Inputs!$B$3&gt;=117,F312,0))/100))/Skills!D19))/100),1)</f>
        <v/>
      </c>
    </row>
    <row r="316">
      <c r="A316" t="inlineStr">
        <is>
          <t>Monster Damage Taken Bonus % (Holy Fountain)</t>
        </is>
      </c>
      <c r="B316">
        <f>IF(Inputs!$B$3&gt;=68,20*IF(Inputs!$B$39="pvp",MIN((15*(1+(Inputs!$B$35+IF(Inputs!$B$3&gt;=117,F312,0))/100)),15)/15,(15*(1+(Inputs!$B$35+IF(Inputs!$B$3&gt;=117,F312,0))/100))/Skills!D10),0)</f>
        <v/>
      </c>
    </row>
    <row r="317">
      <c r="A317" t="inlineStr">
        <is>
          <t>Normal Monster Damage Bonus % (Holy Symbol)</t>
        </is>
      </c>
      <c r="B317">
        <f>IF(C298=TRUE,F298*IF(AND(Inputs!$B$39&lt;&gt;"pvp",Inputs!$B$44&gt;0),(((R298-1)*(Skills!S12*(1+(Inputs!$B$35+IF(Inputs!$B$3&gt;=117,F312,0))/100))+MIN((Skills!S12*(1+(Inputs!$B$35+IF(Inputs!$B$3&gt;=117,F312,0))/100)),MAX(0,Inputs!$B$44-((R298-1)*Skills!D12))))/Inputs!$B$44),IF(Inputs!$B$39="pvp",MIN((Skills!S12*(1+(Inputs!$B$35+IF(Inputs!$B$3&gt;=117,F312,0))/100)),15)/15,(Skills!S12*(1+(Inputs!$B$35+IF(Inputs!$B$3&gt;=117,F312,0))/100))/Skills!D12)),0)</f>
        <v/>
      </c>
    </row>
    <row r="318">
      <c r="A318" t="inlineStr">
        <is>
          <t>Damage % Bonus (Holy Symbol - Damage Boost)</t>
        </is>
      </c>
      <c r="B318">
        <f>Skills!O12</f>
        <v/>
      </c>
    </row>
    <row r="319">
      <c r="A319" t="inlineStr">
        <is>
          <t>Crit Damage % Bonus (Blood of the Divine)</t>
        </is>
      </c>
      <c r="B319">
        <f>4*IF(C306=TRUE,F306,0)</f>
        <v/>
      </c>
    </row>
    <row r="320">
      <c r="A320" t="inlineStr">
        <is>
          <t>Attack Speed Bonus %</t>
        </is>
      </c>
      <c r="B320">
        <f>IF(C303=TRUE,F303+(F307-Calc!F21),0)+IF(Inputs!$B$3&gt;=134,15,0)</f>
        <v/>
      </c>
    </row>
    <row r="321">
      <c r="A321" t="inlineStr">
        <is>
          <t>Actions Per Second</t>
        </is>
      </c>
      <c r="B321">
        <f>1+MIN(150,150*(1-(1-Inputs!$B$12/150)*(1-B320/150)))/100</f>
        <v/>
      </c>
    </row>
    <row r="322">
      <c r="A322" t="inlineStr">
        <is>
          <t>Skill + Buff Cast Rate</t>
        </is>
      </c>
      <c r="B322">
        <f>IF(AND(Inputs!$B$39&lt;&gt;"pvp",Inputs!$B$44&gt;0),SUMPRODUCT((Skills!E2:E27=TRUE)*(C288:C313=TRUE)*R288:R313)/Inputs!$B$44,SUMPRODUCT((Skills!E2:E27=TRUE)*(C288:C313=TRUE)*Q288:Q313))</f>
        <v/>
      </c>
    </row>
    <row r="323">
      <c r="A323" t="inlineStr">
        <is>
          <t>Big Bang Casts Per Second</t>
        </is>
      </c>
      <c r="B323">
        <f>MAX(0,B321-B322)</f>
        <v/>
      </c>
    </row>
    <row r="324">
      <c r="A324" t="inlineStr">
        <is>
          <t>Defense % Bonus (Divine Protection)</t>
        </is>
      </c>
      <c r="B324">
        <f>IF(C299=TRUE,F299*IF(AND(Inputs!$B$39&lt;&gt;"pvp",Inputs!$B$44&gt;0),(((R299-1)*(Skills!S13*(1+(Inputs!$B$35+IF(Inputs!$B$3&gt;=117,F312,0))/100))+MIN((Skills!S13*(1+(Inputs!$B$35+IF(Inputs!$B$3&gt;=117,F312,0))/100)),MAX(0,Inputs!$B$44-((R299-1)*Skills!D13))))/Inputs!$B$44),IF(Inputs!$B$39="pvp",MIN((Skills!S13*(1+(Inputs!$B$35+IF(Inputs!$B$3&gt;=117,F312,0))/100)),15)/15,(Skills!S13*(1+(Inputs!$B$35+IF(Inputs!$B$3&gt;=117,F312,0))/100))/Skills!D13)),0)</f>
        <v/>
      </c>
    </row>
    <row r="325">
      <c r="A325" t="inlineStr">
        <is>
          <t>Buff-Casting Startup Delay (s, fixed-duration only)</t>
        </is>
      </c>
      <c r="B325">
        <f>IF(AND(Inputs!$B$39&lt;&gt;"pvp",Inputs!$B$44&gt;0),SUMPRODUCT((Skills!S2:S27&gt;0)*(Skills!E2:E27=TRUE)*(C288:C313=TRUE))/B321,0)</f>
        <v/>
      </c>
    </row>
    <row r="326">
      <c r="A326" s="5" t="inlineStr">
        <is>
          <t>TOTAL DPS</t>
        </is>
      </c>
      <c r="B326" s="5">
        <f>SUM(O288:O313)</f>
        <v/>
      </c>
    </row>
    <row r="328">
      <c r="A328" s="5" t="inlineStr">
        <is>
          <t>Stat: NORMAL_DAMAGE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IF(Skills!T2&lt;&gt;"",1+(Skills!T2/10)*($Z$3/1000)/100,1)</f>
        <v/>
      </c>
      <c r="J330">
        <f>((Inputs!$B$6*(1+Inputs!$B$7/100))+(((Inputs!$B$13*(1+Inputs!$B$14/100))-(Inputs!$B$13*(1+Inputs!$B$14/100)))+0.25*(Inputs!$B$15-Inputs!$B$15))*(1+Inputs!$B$7/100))*(F330/100)</f>
        <v/>
      </c>
      <c r="K330">
        <f>J330*(1+(((Inputs!$B$13+IF(Inputs!$B$3&gt;=35,(10*INDEX(FactorTable!$B$2:$Y$301, MATCH(ROUND(MIN(300,MAX(1,Inputs!$B$3)),0), FactorTable!$A$2:$A$301,0), 23)/1000)/100*(Inputs!$B$8*(1+(Inputs!$B$9+B366)/100)),0))*(1+Inputs!$B$14/100))*0.01+Inputs!$B$15*0.0025)/100)*(1+(Inputs!$B$16+B360)/100)*(1+IF(Inputs!$B$39="pvp",0,(1-Summary!$B$48)*(Inputs!$B$21+Skills!O2+B358)+Summary!$B$48*((Inputs!$B$22+1)+Skills!P2+B359))/100)*(1+Inputs!$B$17/100)*(5000/(6000+Inputs!$B$43*(1-Inputs!$B$20/100)))*(1+Inputs!$B$25/100)*(1+IF(C346=TRUE,F346,0)/100)*(1+IF(C348=TRUE,F348,0)/100)*(1+IF(Skills!A2="TRIUMPH_FEATHER",IF(C344=TRUE,F344,0),0)/100)*(1+IF(C355=TRUE,F355,0)/100)^5*(1+(IF(Skills!A2="BIG_BANG",Inputs!$B$18,Inputs!$B$19))/100)*(B357*I330)</f>
        <v/>
      </c>
      <c r="L330">
        <f>K330*(MIN(Inputs!$B$23+(F350-Calc!F22),Inputs!$B$24)/100+Inputs!$B$24/100)/2</f>
        <v/>
      </c>
      <c r="M330">
        <f>L330*(1+(Inputs!$B$11+B361+(F353-Calc!F25))/100)</f>
        <v/>
      </c>
      <c r="N330">
        <f>L330*(1-MIN(Inputs!$B$10+((F352-Calc!F24)+(F351-Calc!F23)),100)/100)+M330*(MIN(Inputs!$B$10+((F352-Calc!F24)+(F351-Calc!F23)),100)/100)</f>
        <v/>
      </c>
      <c r="O330">
        <f>IF(C330,Skills!F2*N330*B365*IF(Inputs!$B$39="pvp",1,(1-Summary!$B$48)*(1)+Summary!$B$48*(MIN((6+Inputs!$B$34),Inputs!$B$38))),0)</f>
        <v/>
      </c>
      <c r="P330">
        <f>IF(B368=0,0,O330/B368)</f>
        <v/>
      </c>
      <c r="Q330">
        <f>IFERROR(1/IF(Inputs!$B$39="pvp",15,MAX(0.1,Skills!D2-IF(Skills!E2=TRUE,Inputs!$B$33,0))),0)</f>
        <v/>
      </c>
      <c r="R330" t="n">
        <v>0</v>
      </c>
      <c r="T330">
        <f>MAX(0,(Inputs!$B$3-100)*3)+Inputs!$B$29+Inputs!$B$30</f>
        <v/>
      </c>
    </row>
    <row r="331">
      <c r="A331">
        <f>Skills!A3</f>
        <v/>
      </c>
      <c r="B331">
        <f>Skills!B3</f>
        <v/>
      </c>
      <c r="C331">
        <f>Inputs!$B$3&gt;=15</f>
        <v/>
      </c>
      <c r="D331">
        <f>IF(Skills!C3=1,60+Inputs!$B$26+Inputs!$B$30,IF(Skills!C3=2,90+Inputs!$B$27+Inputs!$B$30,IF(Skills!C3=3,120+Inputs!$B$28+Inputs!$B$30,MAX(0,(Inputs!$B$3-100)*3)+Inputs!$B$29+Inputs!$B$30)))</f>
        <v/>
      </c>
      <c r="E331">
        <f>INDEX(FactorTable!$B$2:$Y$301, MATCH(ROUND(MIN(300,MAX(1,D331)),0), FactorTable!$A$2:$A$301,0), Skills!L3+1)</f>
        <v/>
      </c>
      <c r="F331">
        <f>IF(Skills!M3=TRUE,(Skills!K3/10)*(E331/1000),Skills!K3/10)+Skills!N3</f>
        <v/>
      </c>
      <c r="G331">
        <f>Calc!G3</f>
        <v/>
      </c>
      <c r="H331">
        <f>Calc!H3</f>
        <v/>
      </c>
      <c r="I331">
        <f>IF(Skills!T3&lt;&gt;"",1+(Skills!T3/10)*($Z$3/1000)/100,1)</f>
        <v/>
      </c>
      <c r="J331" t="inlineStr"/>
      <c r="K331" t="inlineStr"/>
      <c r="L331" t="inlineStr"/>
      <c r="M331" t="inlineStr"/>
      <c r="N331" t="inlineStr"/>
      <c r="O331" t="n">
        <v>0</v>
      </c>
      <c r="P331">
        <f>IF(B368=0,0,O331/B368)</f>
        <v/>
      </c>
      <c r="Q331">
        <f>IFERROR(1/IF(Inputs!$B$39="pvp",15,MAX(0.1,Skills!D3-IF(Skills!E3=TRUE,Inputs!$B$33,0))),0)</f>
        <v/>
      </c>
      <c r="R331">
        <f>IF(AND(Inputs!$B$39&lt;&gt;"pvp",Inputs!$B$44&gt;0),IF(Inputs!$B$44&lt;=0,0,(INT(Inputs!$B$44/IF(Inputs!$B$39="pvp",15,MAX(0.1,Skills!D3-IF(Skills!E3=TRUE,Inputs!$B$33,0))))+1)),0)</f>
        <v/>
      </c>
      <c r="T331">
        <f>INDEX(FactorTable!$B$2:$Y$301, MATCH(ROUND(MIN(300,MAX(1,T330)),0), FactorTable!$A$2:$A$301,0), 22)</f>
        <v/>
      </c>
    </row>
    <row r="332">
      <c r="A332">
        <f>Skills!A4</f>
        <v/>
      </c>
      <c r="B332">
        <f>Skills!B4</f>
        <v/>
      </c>
      <c r="C332">
        <f>Inputs!$B$3&gt;=38</f>
        <v/>
      </c>
      <c r="D332">
        <f>IF(Skills!C4=1,60+Inputs!$B$26+Inputs!$B$30,IF(Skills!C4=2,90+Inputs!$B$27+Inputs!$B$30,IF(Skills!C4=3,120+Inputs!$B$28+Inputs!$B$30,MAX(0,(Inputs!$B$3-100)*3)+Inputs!$B$29+Inputs!$B$30)))</f>
        <v/>
      </c>
      <c r="E332">
        <f>INDEX(FactorTable!$B$2:$Y$301, MATCH(ROUND(MIN(300,MAX(1,D332)),0), FactorTable!$A$2:$A$301,0), Skills!L4+1)</f>
        <v/>
      </c>
      <c r="F332">
        <f>IF(Skills!M4=TRUE,(Skills!K4/10)*(E332/1000),Skills!K4/10)+Skills!N4</f>
        <v/>
      </c>
      <c r="G332">
        <f>Calc!G4</f>
        <v/>
      </c>
      <c r="H332">
        <f>Calc!H4</f>
        <v/>
      </c>
      <c r="I332">
        <f>IF(Skills!T4&lt;&gt;"",1+(Skills!T4/10)*($Z$3/1000)/100,1)</f>
        <v/>
      </c>
      <c r="J332" t="inlineStr"/>
      <c r="K332" t="inlineStr"/>
      <c r="L332" t="inlineStr"/>
      <c r="M332" t="inlineStr"/>
      <c r="N332" t="inlineStr"/>
      <c r="O332" t="n">
        <v>0</v>
      </c>
      <c r="P332">
        <f>IF(B368=0,0,O332/B368)</f>
        <v/>
      </c>
      <c r="Q332">
        <f>IFERROR(1/IF(Inputs!$B$39="pvp",15,MAX(0.1,Skills!D4-IF(Skills!E4=TRUE,Inputs!$B$33,0))),0)</f>
        <v/>
      </c>
      <c r="R332">
        <f>IF(AND(Inputs!$B$39&lt;&gt;"pvp",Inputs!$B$44&gt;0),IF(Inputs!$B$44&lt;=0,0,(INT(Inputs!$B$44/IF(Inputs!$B$39="pvp",15,MAX(0.1,Skills!D4-IF(Skills!E4=TRUE,Inputs!$B$33,0))))+1)),0)</f>
        <v/>
      </c>
      <c r="T332">
        <f>290*T331/1000</f>
        <v/>
      </c>
    </row>
    <row r="333">
      <c r="A333">
        <f>Skills!A5</f>
        <v/>
      </c>
      <c r="B333">
        <f>Skills!B5</f>
        <v/>
      </c>
      <c r="C333">
        <f>Inputs!$B$3&gt;=40</f>
        <v/>
      </c>
      <c r="D333">
        <f>IF(Skills!C5=1,60+Inputs!$B$26+Inputs!$B$30,IF(Skills!C5=2,90+Inputs!$B$27+Inputs!$B$30,IF(Skills!C5=3,120+Inputs!$B$28+Inputs!$B$30,MAX(0,(Inputs!$B$3-100)*3)+Inputs!$B$29+Inputs!$B$30)))</f>
        <v/>
      </c>
      <c r="E333">
        <f>INDEX(FactorTable!$B$2:$Y$301, MATCH(ROUND(MIN(300,MAX(1,D333)),0), FactorTable!$A$2:$A$301,0), Skills!L5+1)</f>
        <v/>
      </c>
      <c r="F333">
        <f>IF(Skills!M5=TRUE,(Skills!K5/10)*(E333/1000),Skills!K5/10)+Skills!N5</f>
        <v/>
      </c>
      <c r="G333">
        <f>Calc!G5</f>
        <v/>
      </c>
      <c r="H333">
        <f>Calc!H5</f>
        <v/>
      </c>
      <c r="I333">
        <f>IF(Skills!T5&lt;&gt;"",1+(Skills!T5/10)*($Z$3/1000)/100,1)</f>
        <v/>
      </c>
      <c r="J333" t="inlineStr"/>
      <c r="K333" t="inlineStr"/>
      <c r="L333" t="inlineStr"/>
      <c r="M333" t="inlineStr"/>
      <c r="N333" t="inlineStr"/>
      <c r="O333" t="n">
        <v>0</v>
      </c>
      <c r="P333">
        <f>IF(B368=0,0,O333/B368)</f>
        <v/>
      </c>
      <c r="Q333">
        <f>IFERROR(1/IF(Inputs!$B$39="pvp",15,MAX(0.1,Skills!D5-IF(Skills!E5=TRUE,Inputs!$B$33,0))),0)</f>
        <v/>
      </c>
      <c r="R333">
        <f>IF(AND(Inputs!$B$39&lt;&gt;"pvp",Inputs!$B$44&gt;0),IF(Inputs!$B$44&lt;=0,0,(INT(Inputs!$B$44/IF(Inputs!$B$39="pvp",15,MAX(0.1,Skills!D5-IF(Skills!E5=TRUE,Inputs!$B$33,0))))+1)),0)</f>
        <v/>
      </c>
    </row>
    <row r="334">
      <c r="A334">
        <f>Skills!A6</f>
        <v/>
      </c>
      <c r="B334">
        <f>Skills!B6</f>
        <v/>
      </c>
      <c r="C334">
        <f>Inputs!$B$3&gt;=103</f>
        <v/>
      </c>
      <c r="D334">
        <f>IF(Skills!C6=1,60+Inputs!$B$26+Inputs!$B$30,IF(Skills!C6=2,90+Inputs!$B$27+Inputs!$B$30,IF(Skills!C6=3,120+Inputs!$B$28+Inputs!$B$30,MAX(0,(Inputs!$B$3-100)*3)+Inputs!$B$29+Inputs!$B$30)))</f>
        <v/>
      </c>
      <c r="E334">
        <f>INDEX(FactorTable!$B$2:$Y$301, MATCH(ROUND(MIN(300,MAX(1,D334)),0), FactorTable!$A$2:$A$301,0), Skills!L6+1)</f>
        <v/>
      </c>
      <c r="F334">
        <f>IF(Skills!M6=TRUE,(Skills!K6/10)*(E334/1000),Skills!K6/10)+Skills!N6</f>
        <v/>
      </c>
      <c r="G334">
        <f>Calc!G6</f>
        <v/>
      </c>
      <c r="H334">
        <f>Calc!H6</f>
        <v/>
      </c>
      <c r="I334">
        <f>IF(Skills!T6&lt;&gt;"",1+(Skills!T6/10)*($Z$3/1000)/100,1)</f>
        <v/>
      </c>
      <c r="J334">
        <f>((Inputs!$B$6*(1+Inputs!$B$7/100))+(((Inputs!$B$13*(1+Inputs!$B$14/100))-(Inputs!$B$13*(1+Inputs!$B$14/100)))+0.25*(Inputs!$B$15-Inputs!$B$15))*(1+Inputs!$B$7/100))*(F334/100)</f>
        <v/>
      </c>
      <c r="K334">
        <f>J334*(1+(((Inputs!$B$13+IF(Inputs!$B$3&gt;=35,(10*INDEX(FactorTable!$B$2:$Y$301, MATCH(ROUND(MIN(300,MAX(1,Inputs!$B$3)),0), FactorTable!$A$2:$A$301,0), 23)/1000)/100*(Inputs!$B$8*(1+(Inputs!$B$9+B366)/100)),0))*(1+Inputs!$B$14/100))*0.01+Inputs!$B$15*0.0025)/100)*(1+(Inputs!$B$16+B360)/100)*(1+IF(Inputs!$B$39="pvp",0,(1-Summary!$B$48)*(Inputs!$B$21+Skills!O6+B358)+Summary!$B$48*((Inputs!$B$22+1)+Skills!P6+B359))/100)*(1+Inputs!$B$17/100)*(5000/(6000+Inputs!$B$43*(1-Inputs!$B$20/100)))*(1+Inputs!$B$25/100)*(1+IF(C346=TRUE,F346,0)/100)*(1+IF(C348=TRUE,F348,0)/100)*(1+IF(Skills!A6="TRIUMPH_FEATHER",IF(C344=TRUE,F344,0),0)/100)*(1+IF(C355=TRUE,F355,0)/100)^5*(1+(IF(Skills!A6="BIG_BANG",Inputs!$B$18,Inputs!$B$19))/100)*(B357*I334)</f>
        <v/>
      </c>
      <c r="L334">
        <f>K334*(MIN(Inputs!$B$23+(F350-Calc!F22),Inputs!$B$24)/100+Inputs!$B$24/100)/2</f>
        <v/>
      </c>
      <c r="M334">
        <f>L334*(1+(Inputs!$B$11+B361+(F353-Calc!F25))/100)</f>
        <v/>
      </c>
      <c r="N334">
        <f>L334*(1-MIN(Inputs!$B$10+((F352-Calc!F24)+(F351-Calc!F23)),100)/100)+M334*(MIN(Inputs!$B$10+((F352-Calc!F24)+(F351-Calc!F23)),100)/100)</f>
        <v/>
      </c>
      <c r="O334">
        <f>IF(C334,H334*N334*IF(AND(Inputs!$B$39&lt;&gt;"pvp",Inputs!$B$44&gt;0),((Skills!F6*((R334-1)*IF(Skills!G6&gt;0,Skills!H6/Skills!G6,1)+IF(Skills!G6&gt;0,MIN(Skills!H6,MAX(0,MAX(0,Inputs!$B$44-B367)-((R334-1)*IF(Inputs!$B$39="pvp",15,MAX(0.1,Skills!D6-IF(Skills!E6=TRUE,Inputs!$B$33,0))))))/Skills!G6,1)))/Inputs!$B$44),G334*Q334)*IF(Inputs!$B$39="pvp",1,(1-Summary!$B$48)*(1)+Summary!$B$48*(MIN(Skills!Q6,Inputs!$B$38))),0)</f>
        <v/>
      </c>
      <c r="P334">
        <f>IF(B368=0,0,O334/B368)</f>
        <v/>
      </c>
      <c r="Q334">
        <f>IFERROR(1/IF(Inputs!$B$39="pvp",15,MAX(0.1,Skills!D6-IF(Skills!E6=TRUE,Inputs!$B$33,0))),0)</f>
        <v/>
      </c>
      <c r="R334">
        <f>IF(AND(Inputs!$B$39&lt;&gt;"pvp",Inputs!$B$44&gt;0),IF(MAX(0,Inputs!$B$44-B367)&lt;=0,0,(INT(MAX(0,Inputs!$B$44-B367)/IF(Inputs!$B$39="pvp",15,MAX(0.1,Skills!D6-IF(Skills!E6=TRUE,Inputs!$B$33,0))))+1)),0)</f>
        <v/>
      </c>
    </row>
    <row r="335">
      <c r="A335">
        <f>Skills!A7</f>
        <v/>
      </c>
      <c r="B335">
        <f>Skills!B7</f>
        <v/>
      </c>
      <c r="C335">
        <f>Inputs!$B$3&gt;=122</f>
        <v/>
      </c>
      <c r="D335">
        <f>IF(Skills!C7=1,60+Inputs!$B$26+Inputs!$B$30,IF(Skills!C7=2,90+Inputs!$B$27+Inputs!$B$30,IF(Skills!C7=3,120+Inputs!$B$28+Inputs!$B$30,MAX(0,(Inputs!$B$3-100)*3)+Inputs!$B$29+Inputs!$B$30)))</f>
        <v/>
      </c>
      <c r="E335">
        <f>INDEX(FactorTable!$B$2:$Y$301, MATCH(ROUND(MIN(300,MAX(1,D335)),0), FactorTable!$A$2:$A$301,0), Skills!L7+1)</f>
        <v/>
      </c>
      <c r="F335">
        <f>IF(Skills!M7=TRUE,(Skills!K7/10)*(E335/1000),Skills!K7/10)+Skills!N7</f>
        <v/>
      </c>
      <c r="G335">
        <f>Calc!G7</f>
        <v/>
      </c>
      <c r="H335">
        <f>Calc!H7</f>
        <v/>
      </c>
      <c r="I335">
        <f>IF(Skills!T7&lt;&gt;"",1+(Skills!T7/10)*($Z$3/1000)/100,1)</f>
        <v/>
      </c>
      <c r="J335">
        <f>((Inputs!$B$6*(1+Inputs!$B$7/100))+(((Inputs!$B$13*(1+Inputs!$B$14/100))-(Inputs!$B$13*(1+Inputs!$B$14/100)))+0.25*(Inputs!$B$15-Inputs!$B$15))*(1+Inputs!$B$7/100))*(F335/100)</f>
        <v/>
      </c>
      <c r="K335">
        <f>J335*(1+(((Inputs!$B$13+IF(Inputs!$B$3&gt;=35,(10*INDEX(FactorTable!$B$2:$Y$301, MATCH(ROUND(MIN(300,MAX(1,Inputs!$B$3)),0), FactorTable!$A$2:$A$301,0), 23)/1000)/100*(Inputs!$B$8*(1+(Inputs!$B$9+B366)/100)),0))*(1+Inputs!$B$14/100))*0.01+Inputs!$B$15*0.0025)/100)*(1+(Inputs!$B$16+B360)/100)*(1+IF(Inputs!$B$39="pvp",0,(1-Summary!$B$48)*(Inputs!$B$21+Skills!O7+B358)+Summary!$B$48*((Inputs!$B$22+1)+Skills!P7+B359))/100)*(1+Inputs!$B$17/100)*(5000/(6000+Inputs!$B$43*(1-Inputs!$B$20/100)))*(1+Inputs!$B$25/100)*(1+IF(C346=TRUE,F346,0)/100)*(1+IF(C348=TRUE,F348,0)/100)*(1+IF(Skills!A7="TRIUMPH_FEATHER",IF(C344=TRUE,F344,0),0)/100)*(1+IF(C355=TRUE,F355,0)/100)^5*(1+(IF(Skills!A7="BIG_BANG",Inputs!$B$18,Inputs!$B$19))/100)*(B357*I335)</f>
        <v/>
      </c>
      <c r="L335">
        <f>K335*(MIN(Inputs!$B$23+(F350-Calc!F22),Inputs!$B$24)/100+Inputs!$B$24/100)/2</f>
        <v/>
      </c>
      <c r="M335">
        <f>L335*(1+(Inputs!$B$11+B361+(F353-Calc!F25))/100)</f>
        <v/>
      </c>
      <c r="N335">
        <f>L335*(1-MIN(Inputs!$B$10+((F352-Calc!F24)+(F351-Calc!F23)),100)/100)+M335*(MIN(Inputs!$B$10+((F352-Calc!F24)+(F351-Calc!F23)),100)/100)</f>
        <v/>
      </c>
      <c r="O335">
        <f>IF(C335,H335*N335*IF(AND(Inputs!$B$39&lt;&gt;"pvp",Inputs!$B$44&gt;0),((Skills!F7*((R335-1)*IF(Skills!G7&gt;0,Skills!H7/Skills!G7,1)+IF(Skills!G7&gt;0,MIN(Skills!H7,MAX(0,MAX(0,Inputs!$B$44-B367)-((R335-1)*IF(Inputs!$B$39="pvp",15,MAX(0.1,Skills!D7-IF(Skills!E6=TRUE,Inputs!$B$33,0))))))/Skills!G7,1)))/Inputs!$B$44),G335*Q335)*(1-Summary!$B$48),0)</f>
        <v/>
      </c>
      <c r="P335">
        <f>IF(B368=0,0,O335/B368)</f>
        <v/>
      </c>
      <c r="Q335">
        <f>IFERROR(1/IF(Inputs!$B$39="pvp",15,MAX(0.1,Skills!D7-IF(Skills!E6=TRUE,Inputs!$B$33,0))),0)</f>
        <v/>
      </c>
      <c r="R335">
        <f>IF(AND(Inputs!$B$39&lt;&gt;"pvp",Inputs!$B$44&gt;0),IF(MAX(0,Inputs!$B$44-B367)&lt;=0,0,(INT(MAX(0,Inputs!$B$44-B367)/IF(Inputs!$B$39="pvp",15,MAX(0.1,Skills!D7-IF(Skills!E6=TRUE,Inputs!$B$33,0))))+1)),0)</f>
        <v/>
      </c>
    </row>
    <row r="336">
      <c r="A336">
        <f>Skills!A8</f>
        <v/>
      </c>
      <c r="B336">
        <f>Skills!B8</f>
        <v/>
      </c>
      <c r="C336">
        <f>Inputs!$B$3&gt;=105</f>
        <v/>
      </c>
      <c r="D336">
        <f>IF(Skills!C8=1,60+Inputs!$B$26+Inputs!$B$30,IF(Skills!C8=2,90+Inputs!$B$27+Inputs!$B$30,IF(Skills!C8=3,120+Inputs!$B$28+Inputs!$B$30,MAX(0,(Inputs!$B$3-100)*3)+Inputs!$B$29+Inputs!$B$30)))</f>
        <v/>
      </c>
      <c r="E336">
        <f>INDEX(FactorTable!$B$2:$Y$301, MATCH(ROUND(MIN(300,MAX(1,D336)),0), FactorTable!$A$2:$A$301,0), Skills!L8+1)</f>
        <v/>
      </c>
      <c r="F336">
        <f>IF(Skills!M8=TRUE,(Skills!K8/10)*(E336/1000),Skills!K8/10)+Skills!N8</f>
        <v/>
      </c>
      <c r="G336">
        <f>Calc!G8</f>
        <v/>
      </c>
      <c r="H336">
        <f>Calc!H8</f>
        <v/>
      </c>
      <c r="I336">
        <f>IF(Skills!T8&lt;&gt;"",1+(Skills!T8/10)*($Z$3/1000)/100,1)</f>
        <v/>
      </c>
      <c r="J336">
        <f>((Inputs!$B$6*(1+Inputs!$B$7/100))+(((Inputs!$B$13*(1+Inputs!$B$14/100))-(Inputs!$B$13*(1+Inputs!$B$14/100)))+0.25*(Inputs!$B$15-Inputs!$B$15))*(1+Inputs!$B$7/100))*(F336/100)</f>
        <v/>
      </c>
      <c r="K336">
        <f>J336*(1+(((Inputs!$B$13+IF(Inputs!$B$3&gt;=35,(10*INDEX(FactorTable!$B$2:$Y$301, MATCH(ROUND(MIN(300,MAX(1,Inputs!$B$3)),0), FactorTable!$A$2:$A$301,0), 23)/1000)/100*(Inputs!$B$8*(1+(Inputs!$B$9+B366)/100)),0))*(1+Inputs!$B$14/100))*0.01+Inputs!$B$15*0.0025)/100)*(1+(Inputs!$B$16+B360)/100)*(1+IF(Inputs!$B$39="pvp",0,(1-Summary!$B$48)*(Inputs!$B$21+Skills!O8+B358)+Summary!$B$48*((Inputs!$B$22+1)+Skills!P8+B359))/100)*(1+Inputs!$B$17/100)*(5000/(6000+Inputs!$B$43*(1-Inputs!$B$20/100)))*(1+Inputs!$B$25/100)*(1+IF(C346=TRUE,F346,0)/100)*(1+IF(C348=TRUE,F348,0)/100)*(1+IF(Skills!A8="TRIUMPH_FEATHER",IF(C344=TRUE,F344,0),0)/100)*(1+IF(C355=TRUE,F355,0)/100)^5*(1+(IF(Skills!A8="BIG_BANG",Inputs!$B$18,Inputs!$B$19))/100)*(B357*I336)</f>
        <v/>
      </c>
      <c r="L336">
        <f>K336*(MIN(Inputs!$B$23+(F350-Calc!F22),Inputs!$B$24)/100+Inputs!$B$24/100)/2</f>
        <v/>
      </c>
      <c r="M336">
        <f>L336*(1+(Inputs!$B$11+B361+(F353-Calc!F25))/100)</f>
        <v/>
      </c>
      <c r="N336">
        <f>L336*(1-MIN(Inputs!$B$10+((F352-Calc!F24)+(F351-Calc!F23)),100)/100)+M336*(MIN(Inputs!$B$10+((F352-Calc!F24)+(F351-Calc!F23)),100)/100)</f>
        <v/>
      </c>
      <c r="O336">
        <f>IF(C336,H336*N336*IF(AND(Inputs!$B$39&lt;&gt;"pvp",Inputs!$B$44&gt;0),((Skills!F8*((R336-1)*IF(Skills!G8&gt;0,Skills!H8/Skills!G8,1)+IF(Skills!G8&gt;0,MIN(Skills!H8,MAX(0,MAX(0,Inputs!$B$44-B367)-((R336-1)*IF(Inputs!$B$39="pvp",15,MAX(0.1,Skills!D8-IF(Skills!E8=TRUE,Inputs!$B$33,0))))))/Skills!G8,1)))/Inputs!$B$44),G336*Q336)*IF(Inputs!$B$39="pvp",1,(1-Summary!$B$48)*(1)+Summary!$B$48*(MIN(Skills!Q8,Inputs!$B$38))),0)</f>
        <v/>
      </c>
      <c r="P336">
        <f>IF(B368=0,0,O336/B368)</f>
        <v/>
      </c>
      <c r="Q336">
        <f>IFERROR(1/IF(Inputs!$B$39="pvp",15,MAX(0.1,Skills!D8-IF(Skills!E8=TRUE,Inputs!$B$33,0))),0)</f>
        <v/>
      </c>
      <c r="R336">
        <f>IF(AND(Inputs!$B$39&lt;&gt;"pvp",Inputs!$B$44&gt;0),IF(MAX(0,Inputs!$B$44-B367)&lt;=0,0,(INT(MAX(0,Inputs!$B$44-B367)/IF(Inputs!$B$39="pvp",15,MAX(0.1,Skills!D8-IF(Skills!E8=TRUE,Inputs!$B$33,0))))+1)),0)</f>
        <v/>
      </c>
    </row>
    <row r="337">
      <c r="A337">
        <f>Skills!A9</f>
        <v/>
      </c>
      <c r="B337">
        <f>Skills!B9</f>
        <v/>
      </c>
      <c r="C337">
        <f>Inputs!$B$3&gt;=115</f>
        <v/>
      </c>
      <c r="D337">
        <f>IF(Skills!C9=1,60+Inputs!$B$26+Inputs!$B$30,IF(Skills!C9=2,90+Inputs!$B$27+Inputs!$B$30,IF(Skills!C9=3,120+Inputs!$B$28+Inputs!$B$30,MAX(0,(Inputs!$B$3-100)*3)+Inputs!$B$29+Inputs!$B$30)))</f>
        <v/>
      </c>
      <c r="E337">
        <f>INDEX(FactorTable!$B$2:$Y$301, MATCH(ROUND(MIN(300,MAX(1,D337)),0), FactorTable!$A$2:$A$301,0), Skills!L9+1)</f>
        <v/>
      </c>
      <c r="F337">
        <f>IF(Skills!M9=TRUE,(Skills!K9/10)*(E337/1000),Skills!K9/10)+Skills!N9</f>
        <v/>
      </c>
      <c r="G337">
        <f>Calc!G9</f>
        <v/>
      </c>
      <c r="H337">
        <f>Calc!H9</f>
        <v/>
      </c>
      <c r="I337">
        <f>IF(Skills!T9&lt;&gt;"",1+(Skills!T9/10)*($Z$3/1000)/100,1)</f>
        <v/>
      </c>
      <c r="J337">
        <f>((Inputs!$B$6*(1+Inputs!$B$7/100))+(((Inputs!$B$13*(1+Inputs!$B$14/100))-(Inputs!$B$13*(1+Inputs!$B$14/100)))+0.25*(Inputs!$B$15-Inputs!$B$15))*(1+Inputs!$B$7/100))*(F337/100)</f>
        <v/>
      </c>
      <c r="K337">
        <f>J337*(1+(((Inputs!$B$13+IF(Inputs!$B$3&gt;=35,(10*INDEX(FactorTable!$B$2:$Y$301, MATCH(ROUND(MIN(300,MAX(1,Inputs!$B$3)),0), FactorTable!$A$2:$A$301,0), 23)/1000)/100*(Inputs!$B$8*(1+(Inputs!$B$9+B366)/100)),0))*(1+Inputs!$B$14/100))*0.01+Inputs!$B$15*0.0025)/100)*(1+(Inputs!$B$16+B360)/100)*(1+IF(Inputs!$B$39="pvp",0,(1-Summary!$B$48)*(Inputs!$B$21+Skills!O9+B358)+Summary!$B$48*((Inputs!$B$22+1)+Skills!P9+B359))/100)*(1+Inputs!$B$17/100)*(5000/(6000+Inputs!$B$43*(1-Inputs!$B$20/100)))*(1+Inputs!$B$25/100)*(1+IF(C346=TRUE,F346,0)/100)*(1+IF(C348=TRUE,F348,0)/100)*(1+IF(Skills!A9="TRIUMPH_FEATHER",IF(C344=TRUE,F344,0),0)/100)*(1+IF(C355=TRUE,F355,0)/100)^5*(1+(IF(Skills!A9="BIG_BANG",Inputs!$B$18,Inputs!$B$19))/100)*(B357*I337)</f>
        <v/>
      </c>
      <c r="L337">
        <f>K337*(MIN(Inputs!$B$23+(F350-Calc!F22),Inputs!$B$24)/100+Inputs!$B$24/100)/2</f>
        <v/>
      </c>
      <c r="M337">
        <f>L337*(1+(Inputs!$B$11+B361+(F353-Calc!F25))/100)</f>
        <v/>
      </c>
      <c r="N337">
        <f>L337*(1-MIN(Inputs!$B$10+((F352-Calc!F24)+(F351-Calc!F23)),100)/100)+M337*(MIN(Inputs!$B$10+((F352-Calc!F24)+(F351-Calc!F23)),100)/100)</f>
        <v/>
      </c>
      <c r="O337">
        <f>IF(C337,H337*N337*IF(AND(Inputs!$B$39&lt;&gt;"pvp",Inputs!$B$44&gt;0),((Skills!F9*((R337-1)*IF(Skills!G9&gt;0,Skills!H9/Skills!G9,1)+IF(Skills!G9&gt;0,MIN(Skills!H9,MAX(0,MAX(0,Inputs!$B$44-B367)-((R337-1)*IF(Inputs!$B$39="pvp",15,MAX(0.1,Skills!D9-IF(Skills!E9=TRUE,Inputs!$B$33,0))))))/Skills!G9,1)))/Inputs!$B$44),G337*Q337)*IF(Inputs!$B$39="pvp",1,(1-Summary!$B$48)*(1)+Summary!$B$48*(MIN(Skills!Q9,Inputs!$B$38))),0)</f>
        <v/>
      </c>
      <c r="P337">
        <f>IF(B368=0,0,O337/B368)</f>
        <v/>
      </c>
      <c r="Q337">
        <f>IFERROR(1/IF(Inputs!$B$39="pvp",15,MAX(0.1,Skills!D9-IF(Skills!E9=TRUE,Inputs!$B$33,0))),0)</f>
        <v/>
      </c>
      <c r="R337">
        <f>IF(AND(Inputs!$B$39&lt;&gt;"pvp",Inputs!$B$44&gt;0),IF(MAX(0,Inputs!$B$44-B367)&lt;=0,0,(INT(MAX(0,Inputs!$B$44-B367)/IF(Inputs!$B$39="pvp",15,MAX(0.1,Skills!D9-IF(Skills!E9=TRUE,Inputs!$B$33,0))))+1)),0)</f>
        <v/>
      </c>
    </row>
    <row r="338">
      <c r="A338">
        <f>Skills!A10</f>
        <v/>
      </c>
      <c r="B338">
        <f>Skills!B10</f>
        <v/>
      </c>
      <c r="C338">
        <f>Inputs!$B$3&gt;=66</f>
        <v/>
      </c>
      <c r="D338">
        <f>IF(Skills!C10=1,60+Inputs!$B$26+Inputs!$B$30,IF(Skills!C10=2,90+Inputs!$B$27+Inputs!$B$30,IF(Skills!C10=3,120+Inputs!$B$28+Inputs!$B$30,MAX(0,(Inputs!$B$3-100)*3)+Inputs!$B$29+Inputs!$B$30)))</f>
        <v/>
      </c>
      <c r="E338">
        <f>INDEX(FactorTable!$B$2:$Y$301, MATCH(ROUND(MIN(300,MAX(1,D338)),0), FactorTable!$A$2:$A$301,0), Skills!L10+1)</f>
        <v/>
      </c>
      <c r="F338" t="n">
        <v>0</v>
      </c>
      <c r="G338">
        <f>Calc!G10</f>
        <v/>
      </c>
      <c r="H338">
        <f>Calc!H10</f>
        <v/>
      </c>
      <c r="I338">
        <f>IF(Skills!T10&lt;&gt;"",1+(Skills!T10/10)*($Z$3/1000)/100,1)</f>
        <v/>
      </c>
      <c r="J338" t="inlineStr"/>
      <c r="K338" t="inlineStr"/>
      <c r="L338" t="inlineStr"/>
      <c r="M338" t="inlineStr"/>
      <c r="N338" t="inlineStr"/>
      <c r="O338" t="n">
        <v>0</v>
      </c>
      <c r="P338">
        <f>IF(B368=0,0,O338/B368)</f>
        <v/>
      </c>
      <c r="Q338">
        <f>IFERROR(1/IF(Inputs!$B$39="pvp",15,MAX(0.1,Skills!D10-IF(Skills!E10=TRUE,Inputs!$B$33,0))),0)</f>
        <v/>
      </c>
      <c r="R338">
        <f>IF(AND(Inputs!$B$39&lt;&gt;"pvp",Inputs!$B$44&gt;0),IF(MAX(0,Inputs!$B$44-B367)&lt;=0,0,(INT(MAX(0,Inputs!$B$44-B367)/IF(Inputs!$B$39="pvp",15,MAX(0.1,Skills!D10-IF(Skills!E10=TRUE,Inputs!$B$33,0))))+1)),0)</f>
        <v/>
      </c>
    </row>
    <row r="339">
      <c r="A339">
        <f>Skills!A11</f>
        <v/>
      </c>
      <c r="B339">
        <f>Skills!B11</f>
        <v/>
      </c>
      <c r="C339">
        <f>Inputs!$B$3&gt;=69</f>
        <v/>
      </c>
      <c r="D339">
        <f>IF(Skills!C11=1,60+Inputs!$B$26+Inputs!$B$30,IF(Skills!C11=2,90+Inputs!$B$27+Inputs!$B$30,IF(Skills!C11=3,120+Inputs!$B$28+Inputs!$B$30,MAX(0,(Inputs!$B$3-100)*3)+Inputs!$B$29+Inputs!$B$30)))</f>
        <v/>
      </c>
      <c r="E339">
        <f>INDEX(FactorTable!$B$2:$Y$301, MATCH(ROUND(MIN(300,MAX(1,D339)),0), FactorTable!$A$2:$A$301,0), Skills!L11+1)</f>
        <v/>
      </c>
      <c r="F339">
        <f>IF(Skills!M11=TRUE,(Skills!K11/10)*(E339/1000),Skills!K11/10)+Skills!N11</f>
        <v/>
      </c>
      <c r="G339">
        <f>Calc!G11</f>
        <v/>
      </c>
      <c r="H339">
        <f>Calc!H11</f>
        <v/>
      </c>
      <c r="I339">
        <f>IF(Skills!T11&lt;&gt;"",1+(Skills!T11/10)*($Z$3/1000)/100,1)</f>
        <v/>
      </c>
      <c r="J339" t="inlineStr"/>
      <c r="K339" t="inlineStr"/>
      <c r="L339" t="inlineStr"/>
      <c r="M339" t="inlineStr"/>
      <c r="N339" t="inlineStr"/>
      <c r="O339" t="n">
        <v>0</v>
      </c>
      <c r="P339">
        <f>IF(B368=0,0,O339/B368)</f>
        <v/>
      </c>
      <c r="Q339">
        <f>IFERROR(1/IF(Inputs!$B$39="pvp",15,MAX(0.1,Skills!D11-IF(Skills!E11=TRUE,Inputs!$B$33,0))),0)</f>
        <v/>
      </c>
      <c r="R339">
        <f>IF(AND(Inputs!$B$39&lt;&gt;"pvp",Inputs!$B$44&gt;0),IF(Inputs!$B$44&lt;=0,0,(INT(Inputs!$B$44/IF(Inputs!$B$39="pvp",15,MAX(0.1,Skills!D11-IF(Skills!E11=TRUE,Inputs!$B$33,0))))+1)),0)</f>
        <v/>
      </c>
    </row>
    <row r="340">
      <c r="A340">
        <f>Skills!A12</f>
        <v/>
      </c>
      <c r="B340">
        <f>Skills!B12</f>
        <v/>
      </c>
      <c r="C340">
        <f>Inputs!$B$3&gt;=72</f>
        <v/>
      </c>
      <c r="D340">
        <f>IF(Skills!C12=1,60+Inputs!$B$26+Inputs!$B$30,IF(Skills!C12=2,90+Inputs!$B$27+Inputs!$B$30,IF(Skills!C12=3,120+Inputs!$B$28+Inputs!$B$30,MAX(0,(Inputs!$B$3-100)*3)+Inputs!$B$29+Inputs!$B$30)))</f>
        <v/>
      </c>
      <c r="E340">
        <f>INDEX(FactorTable!$B$2:$Y$301, MATCH(ROUND(MIN(300,MAX(1,D340)),0), FactorTable!$A$2:$A$301,0), Skills!L12+1)</f>
        <v/>
      </c>
      <c r="F340">
        <f>IF(Skills!M12=TRUE,(Skills!K12/10)*(E340/1000),Skills!K12/10)+Skills!N12</f>
        <v/>
      </c>
      <c r="G340">
        <f>Calc!G12</f>
        <v/>
      </c>
      <c r="H340">
        <f>Calc!H12</f>
        <v/>
      </c>
      <c r="I340">
        <f>IF(Skills!T12&lt;&gt;"",1+(Skills!T12/10)*($Z$3/1000)/100,1)</f>
        <v/>
      </c>
      <c r="J340" t="inlineStr"/>
      <c r="K340" t="inlineStr"/>
      <c r="L340" t="inlineStr"/>
      <c r="M340" t="inlineStr"/>
      <c r="N340" t="inlineStr"/>
      <c r="O340" t="n">
        <v>0</v>
      </c>
      <c r="P340">
        <f>IF(B368=0,0,O340/B368)</f>
        <v/>
      </c>
      <c r="Q340">
        <f>IFERROR(1/IF(Inputs!$B$39="pvp",15,MAX(0.1,Skills!D12-IF(Skills!E12=TRUE,Inputs!$B$33,0))),0)</f>
        <v/>
      </c>
      <c r="R340">
        <f>IF(AND(Inputs!$B$39&lt;&gt;"pvp",Inputs!$B$44&gt;0),IF(MAX(0,Inputs!$B$44-B367)&lt;=0,0,(INT(MAX(0,Inputs!$B$44-B367)/IF(Inputs!$B$39="pvp",15,MAX(0.1,Skills!D12-IF(Skills!E12=TRUE,Inputs!$B$33,0))))+1)),0)</f>
        <v/>
      </c>
    </row>
    <row r="341">
      <c r="A341">
        <f>Skills!A13</f>
        <v/>
      </c>
      <c r="B341">
        <f>Skills!B13</f>
        <v/>
      </c>
      <c r="C341">
        <f>Inputs!$B$3&gt;=60</f>
        <v/>
      </c>
      <c r="D341">
        <f>IF(Skills!C13=1,60+Inputs!$B$26+Inputs!$B$30,IF(Skills!C13=2,90+Inputs!$B$27+Inputs!$B$30,IF(Skills!C13=3,120+Inputs!$B$28+Inputs!$B$30,MAX(0,(Inputs!$B$3-100)*3)+Inputs!$B$29+Inputs!$B$30)))</f>
        <v/>
      </c>
      <c r="E341">
        <f>INDEX(FactorTable!$B$2:$Y$301, MATCH(ROUND(MIN(300,MAX(1,D341)),0), FactorTable!$A$2:$A$301,0), Skills!L13+1)</f>
        <v/>
      </c>
      <c r="F341">
        <f>IF(Skills!M13=TRUE,(Skills!K13/10)*(E341/1000),Skills!K13/10)+Skills!N13</f>
        <v/>
      </c>
      <c r="G341">
        <f>Calc!G13</f>
        <v/>
      </c>
      <c r="H341">
        <f>Calc!H13</f>
        <v/>
      </c>
      <c r="I341">
        <f>IF(Skills!T13&lt;&gt;"",1+(Skills!T13/10)*($Z$3/1000)/100,1)</f>
        <v/>
      </c>
      <c r="J341" t="inlineStr"/>
      <c r="K341" t="inlineStr"/>
      <c r="L341" t="inlineStr"/>
      <c r="M341" t="inlineStr"/>
      <c r="N341" t="inlineStr"/>
      <c r="O341" t="n">
        <v>0</v>
      </c>
      <c r="P341">
        <f>IF(B368=0,0,O341/B368)</f>
        <v/>
      </c>
      <c r="Q341">
        <f>IFERROR(1/IF(Inputs!$B$39="pvp",15,MAX(0.1,Skills!D13-IF(Skills!E13=TRUE,Inputs!$B$33,0))),0)</f>
        <v/>
      </c>
      <c r="R341">
        <f>IF(AND(Inputs!$B$39&lt;&gt;"pvp",Inputs!$B$44&gt;0),IF(MAX(0,Inputs!$B$44-B367)&lt;=0,0,(INT(MAX(0,Inputs!$B$44-B367)/IF(Inputs!$B$39="pvp",15,MAX(0.1,Skills!D13-IF(Skills!E13=TRUE,Inputs!$B$33,0))))+1)),0)</f>
        <v/>
      </c>
    </row>
    <row r="342">
      <c r="A342">
        <f>Skills!A14</f>
        <v/>
      </c>
      <c r="B342">
        <f>Skills!B14</f>
        <v/>
      </c>
      <c r="C342">
        <f>Inputs!$B$3&gt;=107</f>
        <v/>
      </c>
      <c r="D342">
        <f>IF(Skills!C14=1,60+Inputs!$B$26+Inputs!$B$30,IF(Skills!C14=2,90+Inputs!$B$27+Inputs!$B$30,IF(Skills!C14=3,120+Inputs!$B$28+Inputs!$B$30,MAX(0,(Inputs!$B$3-100)*3)+Inputs!$B$29+Inputs!$B$30)))</f>
        <v/>
      </c>
      <c r="E342">
        <f>INDEX(FactorTable!$B$2:$Y$301, MATCH(ROUND(MIN(300,MAX(1,D342)),0), FactorTable!$A$2:$A$301,0), Skills!L14+1)</f>
        <v/>
      </c>
      <c r="F342">
        <f>IF(Skills!M14=TRUE,(Skills!K14/10)*(E342/1000),Skills!K14/10)+Skills!N14</f>
        <v/>
      </c>
      <c r="G342">
        <f>Calc!G14</f>
        <v/>
      </c>
      <c r="H342">
        <f>Calc!H14</f>
        <v/>
      </c>
      <c r="I342">
        <f>IF(Skills!T14&lt;&gt;"",1+(Skills!T14/10)*($Z$3/1000)/100,1)</f>
        <v/>
      </c>
      <c r="J342" t="inlineStr"/>
      <c r="K342" t="inlineStr"/>
      <c r="L342" t="inlineStr"/>
      <c r="M342" t="inlineStr"/>
      <c r="N342" t="inlineStr"/>
      <c r="O342" t="n">
        <v>0</v>
      </c>
      <c r="P342">
        <f>IF(B368=0,0,O342/B368)</f>
        <v/>
      </c>
      <c r="Q342">
        <f>IFERROR(1/IF(Inputs!$B$39="pvp",15,MAX(0.1,Skills!D14-IF(Skills!E14=TRUE,Inputs!$B$33,0))),0)</f>
        <v/>
      </c>
      <c r="R342">
        <f>IF(AND(Inputs!$B$39&lt;&gt;"pvp",Inputs!$B$44&gt;0),IF(Inputs!$B$44&lt;=0,0,(INT(Inputs!$B$44/IF(Inputs!$B$39="pvp",15,MAX(0.1,Skills!D14-IF(Skills!E14=TRUE,Inputs!$B$33,0))))+1)),0)</f>
        <v/>
      </c>
    </row>
    <row r="343">
      <c r="A343">
        <f>Skills!A15</f>
        <v/>
      </c>
      <c r="B343">
        <f>Skills!B15</f>
        <v/>
      </c>
      <c r="C343">
        <f>Inputs!$B$3&gt;=63</f>
        <v/>
      </c>
      <c r="D343">
        <f>IF(Skills!C15=1,60+Inputs!$B$26+Inputs!$B$30,IF(Skills!C15=2,90+Inputs!$B$27+Inputs!$B$30,IF(Skills!C15=3,120+Inputs!$B$28+Inputs!$B$30,MAX(0,(Inputs!$B$3-100)*3)+Inputs!$B$29+Inputs!$B$30)))</f>
        <v/>
      </c>
      <c r="E343">
        <f>INDEX(FactorTable!$B$2:$Y$301, MATCH(ROUND(MIN(300,MAX(1,D343)),0), FactorTable!$A$2:$A$301,0), Skills!L15+1)</f>
        <v/>
      </c>
      <c r="F343">
        <f>IF(Skills!M15=TRUE,(Skills!K15/10)*(E343/1000),Skills!K15/10)+Skills!N15</f>
        <v/>
      </c>
      <c r="G343">
        <f>Calc!G15</f>
        <v/>
      </c>
      <c r="H343">
        <f>Calc!H15</f>
        <v/>
      </c>
      <c r="I343">
        <f>IF(Skills!T15&lt;&gt;"",1+(Skills!T15/10)*($Z$3/1000)/100,1)</f>
        <v/>
      </c>
      <c r="J343">
        <f>((Inputs!$B$6*(1+Inputs!$B$7/100))+(((Inputs!$B$13*(1+Inputs!$B$14/100))-(Inputs!$B$13*(1+Inputs!$B$14/100)))+0.25*(Inputs!$B$15-Inputs!$B$15))*(1+Inputs!$B$7/100))*(F343/100)</f>
        <v/>
      </c>
      <c r="K343">
        <f>J343*(1+(((Inputs!$B$13+IF(Inputs!$B$3&gt;=35,(10*INDEX(FactorTable!$B$2:$Y$301, MATCH(ROUND(MIN(300,MAX(1,Inputs!$B$3)),0), FactorTable!$A$2:$A$301,0), 23)/1000)/100*(Inputs!$B$8*(1+(Inputs!$B$9+B366)/100)),0))*(1+Inputs!$B$14/100))*0.01+Inputs!$B$15*0.0025)/100)*(1+(Inputs!$B$16+B360)/100)*(1+IF(Inputs!$B$39="pvp",0,(1-Summary!$B$48)*(Inputs!$B$21+Skills!O15+B358)+Summary!$B$48*((Inputs!$B$22+1)+Skills!P15+B359))/100)*(1+Inputs!$B$17/100)*(5000/(6000+Inputs!$B$43*(1-Inputs!$B$20/100)))*(1+Inputs!$B$25/100)*(1+IF(C346=TRUE,F346,0)/100)*(1+IF(C348=TRUE,F348,0)/100)*(1+IF(Skills!A15="TRIUMPH_FEATHER",IF(C344=TRUE,F344,0),0)/100)*(1+IF(C355=TRUE,F355,0)/100)^5*(1+(IF(Skills!A15="BIG_BANG",Inputs!$B$18,Inputs!$B$19))/100)*(B357*I343)</f>
        <v/>
      </c>
      <c r="L343">
        <f>K343*(MIN(Inputs!$B$23+(F350-Calc!F22),Inputs!$B$24)/100+Inputs!$B$24/100)/2</f>
        <v/>
      </c>
      <c r="M343">
        <f>L343*(1+(Inputs!$B$11+B361+(F353-Calc!F25))/100)</f>
        <v/>
      </c>
      <c r="N343">
        <f>L343*(1-MIN(Inputs!$B$10+((F352-Calc!F24)+(F351-Calc!F23)),100)/100)+M343*(MIN(Inputs!$B$10+((F352-Calc!F24)+(F351-Calc!F23)),100)/100)</f>
        <v/>
      </c>
      <c r="O343">
        <f>IF(C343,Skills!F15*N343*((IF(Inputs!$B$3&gt;=78,25,15)/100*B363*10)/(1+IF(Inputs!$B$3&gt;=78,25,15)/100*B363*10))*(Skills!I15/100*B363)/(1+Skills!G15*Skills!I15/100*B363)*IF(Inputs!$B$39="pvp",1,(1-Summary!$B$48)*(1)+Summary!$B$48*(MIN(Skills!Q15,Inputs!$B$38))),0)</f>
        <v/>
      </c>
      <c r="P343">
        <f>IF(B368=0,0,O343/B368)</f>
        <v/>
      </c>
      <c r="Q343">
        <f>IFERROR(1/IF(Inputs!$B$39="pvp",15,MAX(0.1,Skills!D15-IF(Skills!E15=TRUE,Inputs!$B$33,0))),0)</f>
        <v/>
      </c>
      <c r="R343" t="n">
        <v>0</v>
      </c>
    </row>
    <row r="344">
      <c r="A344">
        <f>Skills!A16</f>
        <v/>
      </c>
      <c r="B344">
        <f>Skills!B16</f>
        <v/>
      </c>
      <c r="C344">
        <f>Inputs!$B$3&gt;=100</f>
        <v/>
      </c>
      <c r="D344">
        <f>IF(Skills!C16=1,60+Inputs!$B$26+Inputs!$B$30,IF(Skills!C16=2,90+Inputs!$B$27+Inputs!$B$30,IF(Skills!C16=3,120+Inputs!$B$28+Inputs!$B$30,MAX(0,(Inputs!$B$3-100)*3)+Inputs!$B$29+Inputs!$B$30)))</f>
        <v/>
      </c>
      <c r="E344">
        <f>INDEX(FactorTable!$B$2:$Y$301, MATCH(ROUND(MIN(300,MAX(1,D344)),0), FactorTable!$A$2:$A$301,0), Skills!L16+1)</f>
        <v/>
      </c>
      <c r="F344">
        <f>IF(Skills!M16=TRUE,(Skills!K16/10)*(E344/1000),Skills!K16/10)+Skills!N16</f>
        <v/>
      </c>
      <c r="G344">
        <f>Calc!G16</f>
        <v/>
      </c>
      <c r="H344">
        <f>Calc!H16</f>
        <v/>
      </c>
      <c r="I344">
        <f>IF(Skills!T16&lt;&gt;"",1+(Skills!T16/10)*($Z$3/1000)/100,1)</f>
        <v/>
      </c>
      <c r="J344" t="inlineStr"/>
      <c r="K344" t="inlineStr"/>
      <c r="L344" t="inlineStr"/>
      <c r="M344" t="inlineStr"/>
      <c r="N344" t="inlineStr"/>
      <c r="O344" t="n">
        <v>0</v>
      </c>
      <c r="P344">
        <f>IF(B368=0,0,O344/B368)</f>
        <v/>
      </c>
      <c r="Q344">
        <f>IFERROR(1/IF(Inputs!$B$39="pvp",15,MAX(0.1,Skills!D16-IF(Skills!E16=TRUE,Inputs!$B$33,0))),0)</f>
        <v/>
      </c>
      <c r="R344" t="n">
        <v>0</v>
      </c>
    </row>
    <row r="345">
      <c r="A345">
        <f>Skills!A17</f>
        <v/>
      </c>
      <c r="B345">
        <f>Skills!B17</f>
        <v/>
      </c>
      <c r="C345">
        <f>Inputs!$B$3&gt;=49</f>
        <v/>
      </c>
      <c r="D345">
        <f>IF(Skills!C17=1,60+Inputs!$B$26+Inputs!$B$30,IF(Skills!C17=2,90+Inputs!$B$27+Inputs!$B$30,IF(Skills!C17=3,120+Inputs!$B$28+Inputs!$B$30,MAX(0,(Inputs!$B$3-100)*3)+Inputs!$B$29+Inputs!$B$30)))</f>
        <v/>
      </c>
      <c r="E345">
        <f>INDEX(FactorTable!$B$2:$Y$301, MATCH(ROUND(MIN(300,MAX(1,D345)),0), FactorTable!$A$2:$A$301,0), Skills!L17+1)</f>
        <v/>
      </c>
      <c r="F345">
        <f>IF(Skills!M17=TRUE,(Skills!K17/10)*(E345/1000),Skills!K17/10)+Skills!N17</f>
        <v/>
      </c>
      <c r="G345">
        <f>Calc!G17</f>
        <v/>
      </c>
      <c r="H345">
        <f>Calc!H17</f>
        <v/>
      </c>
      <c r="I345">
        <f>IF(Skills!T17&lt;&gt;"",1+(Skills!T17/10)*($Z$3/1000)/100,1)</f>
        <v/>
      </c>
      <c r="J345" t="inlineStr"/>
      <c r="K345" t="inlineStr"/>
      <c r="L345" t="inlineStr"/>
      <c r="M345" t="inlineStr"/>
      <c r="N345" t="inlineStr"/>
      <c r="O345" t="n">
        <v>0</v>
      </c>
      <c r="P345">
        <f>IF(B368=0,0,O345/B368)</f>
        <v/>
      </c>
      <c r="Q345">
        <f>IFERROR(1/IF(Inputs!$B$39="pvp",15,MAX(0.1,Skills!D17-IF(Skills!E17=TRUE,Inputs!$B$33,0))),0)</f>
        <v/>
      </c>
      <c r="R345" t="n">
        <v>0</v>
      </c>
    </row>
    <row r="346">
      <c r="A346">
        <f>Skills!A18</f>
        <v/>
      </c>
      <c r="B346">
        <f>Skills!B18</f>
        <v/>
      </c>
      <c r="C346">
        <f>Inputs!$B$3&gt;=75</f>
        <v/>
      </c>
      <c r="D346">
        <f>IF(Skills!C18=1,60+Inputs!$B$26+Inputs!$B$30,IF(Skills!C18=2,90+Inputs!$B$27+Inputs!$B$30,IF(Skills!C18=3,120+Inputs!$B$28+Inputs!$B$30,MAX(0,(Inputs!$B$3-100)*3)+Inputs!$B$29+Inputs!$B$30)))</f>
        <v/>
      </c>
      <c r="E346">
        <f>INDEX(FactorTable!$B$2:$Y$301, MATCH(ROUND(MIN(300,MAX(1,D346)),0), FactorTable!$A$2:$A$301,0), Skills!L18+1)</f>
        <v/>
      </c>
      <c r="F346">
        <f>IF(Skills!M18=TRUE,(Skills!K18/10)*(E346/1000),Skills!K18/10)+Skills!N18</f>
        <v/>
      </c>
      <c r="G346">
        <f>Calc!G18</f>
        <v/>
      </c>
      <c r="H346">
        <f>Calc!H18</f>
        <v/>
      </c>
      <c r="I346">
        <f>IF(Skills!T18&lt;&gt;"",1+(Skills!T18/10)*($Z$3/1000)/100,1)</f>
        <v/>
      </c>
      <c r="J346" t="inlineStr"/>
      <c r="K346" t="inlineStr"/>
      <c r="L346" t="inlineStr"/>
      <c r="M346" t="inlineStr"/>
      <c r="N346" t="inlineStr"/>
      <c r="O346" t="n">
        <v>0</v>
      </c>
      <c r="P346">
        <f>IF(B368=0,0,O346/B368)</f>
        <v/>
      </c>
      <c r="Q346">
        <f>IFERROR(1/IF(Inputs!$B$39="pvp",15,MAX(0.1,Skills!D18-IF(Skills!E18=TRUE,Inputs!$B$33,0))),0)</f>
        <v/>
      </c>
      <c r="R346" t="n">
        <v>0</v>
      </c>
    </row>
    <row r="347">
      <c r="A347">
        <f>Skills!A19</f>
        <v/>
      </c>
      <c r="B347">
        <f>Skills!B19</f>
        <v/>
      </c>
      <c r="C347">
        <f>Inputs!$B$3&gt;=110</f>
        <v/>
      </c>
      <c r="D347">
        <f>IF(Skills!C19=1,60+Inputs!$B$26+Inputs!$B$30,IF(Skills!C19=2,90+Inputs!$B$27+Inputs!$B$30,IF(Skills!C19=3,120+Inputs!$B$28+Inputs!$B$30,MAX(0,(Inputs!$B$3-100)*3)+Inputs!$B$29+Inputs!$B$30)))</f>
        <v/>
      </c>
      <c r="E347">
        <f>INDEX(FactorTable!$B$2:$Y$301, MATCH(ROUND(MIN(300,MAX(1,D347)),0), FactorTable!$A$2:$A$301,0), Skills!L19+1)</f>
        <v/>
      </c>
      <c r="F347">
        <f>(Skills!K19/10)*(E347/1000)*64/45+Skills!N19</f>
        <v/>
      </c>
      <c r="G347">
        <f>Calc!G19</f>
        <v/>
      </c>
      <c r="H347">
        <f>Calc!H19</f>
        <v/>
      </c>
      <c r="I347">
        <f>IF(Skills!T19&lt;&gt;"",1+(Skills!T19/10)*($Z$3/1000)/100,1)</f>
        <v/>
      </c>
      <c r="J347" t="inlineStr"/>
      <c r="K347" t="inlineStr"/>
      <c r="L347" t="inlineStr"/>
      <c r="M347" t="inlineStr"/>
      <c r="N347" t="inlineStr"/>
      <c r="O347" t="n">
        <v>0</v>
      </c>
      <c r="P347">
        <f>IF(B368=0,0,O347/B368)</f>
        <v/>
      </c>
      <c r="Q347">
        <f>IFERROR(1/IF(Inputs!$B$39="pvp",15,MAX(0.1,Skills!D19-IF(Skills!E19=TRUE,Inputs!$B$33,0))),0)</f>
        <v/>
      </c>
      <c r="R347">
        <f>IF(AND(Inputs!$B$39&lt;&gt;"pvp",Inputs!$B$44&gt;0),IF(Inputs!$B$44&lt;=0,0,(INT(Inputs!$B$44/IF(Inputs!$B$39="pvp",15,MAX(0.1,Skills!D19-IF(Skills!E19=TRUE,Inputs!$B$33,0))))+1)),0)</f>
        <v/>
      </c>
    </row>
    <row r="348">
      <c r="A348">
        <f>Skills!A20</f>
        <v/>
      </c>
      <c r="B348">
        <f>Skills!B20</f>
        <v/>
      </c>
      <c r="C348">
        <f>Inputs!$B$3&gt;=125</f>
        <v/>
      </c>
      <c r="D348">
        <f>IF(Skills!C20=1,60+Inputs!$B$26+Inputs!$B$30,IF(Skills!C20=2,90+Inputs!$B$27+Inputs!$B$30,IF(Skills!C20=3,120+Inputs!$B$28+Inputs!$B$30,MAX(0,(Inputs!$B$3-100)*3)+Inputs!$B$29+Inputs!$B$30)))</f>
        <v/>
      </c>
      <c r="E348">
        <f>INDEX(FactorTable!$B$2:$Y$301, MATCH(ROUND(MIN(300,MAX(1,D348)),0), FactorTable!$A$2:$A$301,0), Skills!L20+1)</f>
        <v/>
      </c>
      <c r="F348">
        <f>IF(Skills!M20=TRUE,(Skills!K20/10)*(E348/1000),Skills!K20/10)+Skills!N20</f>
        <v/>
      </c>
      <c r="G348">
        <f>Calc!G20</f>
        <v/>
      </c>
      <c r="H348">
        <f>Calc!H20</f>
        <v/>
      </c>
      <c r="I348">
        <f>IF(Skills!T20&lt;&gt;"",1+(Skills!T20/10)*($Z$3/1000)/100,1)</f>
        <v/>
      </c>
      <c r="J348" t="inlineStr"/>
      <c r="K348" t="inlineStr"/>
      <c r="L348" t="inlineStr"/>
      <c r="M348" t="inlineStr"/>
      <c r="N348" t="inlineStr"/>
      <c r="O348" t="n">
        <v>0</v>
      </c>
      <c r="P348">
        <f>IF(B368=0,0,O348/B368)</f>
        <v/>
      </c>
      <c r="Q348">
        <f>IFERROR(1/IF(Inputs!$B$39="pvp",15,MAX(0.1,Skills!D20-IF(Skills!E20=TRUE,Inputs!$B$33,0))),0)</f>
        <v/>
      </c>
      <c r="R348" t="n">
        <v>0</v>
      </c>
    </row>
    <row r="349">
      <c r="A349">
        <f>Skills!A21</f>
        <v/>
      </c>
      <c r="B349">
        <f>Skills!B21</f>
        <v/>
      </c>
      <c r="C349">
        <f>Inputs!$B$3&gt;=33</f>
        <v/>
      </c>
      <c r="D349">
        <f>IF(Skills!C21=1,60+Inputs!$B$26+Inputs!$B$30,IF(Skills!C21=2,90+Inputs!$B$27+Inputs!$B$30,IF(Skills!C21=3,120+Inputs!$B$28+Inputs!$B$30,MAX(0,(Inputs!$B$3-100)*3)+Inputs!$B$29+Inputs!$B$30)))</f>
        <v/>
      </c>
      <c r="E349">
        <f>INDEX(FactorTable!$B$2:$Y$301, MATCH(ROUND(MIN(300,MAX(1,D349)),0), FactorTable!$A$2:$A$301,0), Skills!L21+1)</f>
        <v/>
      </c>
      <c r="F349">
        <f>IF(Skills!M21=TRUE,(Skills!K21/10)*(E349/1000),Skills!K21/10)+Skills!N21</f>
        <v/>
      </c>
      <c r="G349">
        <f>Calc!G21</f>
        <v/>
      </c>
      <c r="H349">
        <f>Calc!H21</f>
        <v/>
      </c>
      <c r="I349">
        <f>IF(Skills!T21&lt;&gt;"",1+(Skills!T21/10)*($Z$3/1000)/100,1)</f>
        <v/>
      </c>
      <c r="J349" t="inlineStr"/>
      <c r="K349" t="inlineStr"/>
      <c r="L349" t="inlineStr"/>
      <c r="M349" t="inlineStr"/>
      <c r="N349" t="inlineStr"/>
      <c r="O349" t="n">
        <v>0</v>
      </c>
      <c r="P349">
        <f>IF(B368=0,0,O349/B368)</f>
        <v/>
      </c>
      <c r="Q349">
        <f>IFERROR(1/IF(Inputs!$B$39="pvp",15,MAX(0.1,Skills!D21-IF(Skills!E21=TRUE,Inputs!$B$33,0))),0)</f>
        <v/>
      </c>
      <c r="R349" t="n">
        <v>0</v>
      </c>
    </row>
    <row r="350">
      <c r="A350">
        <f>Skills!A22</f>
        <v/>
      </c>
      <c r="B350">
        <f>Skills!B22</f>
        <v/>
      </c>
      <c r="C350">
        <f>Inputs!$B$3&gt;=43</f>
        <v/>
      </c>
      <c r="D350">
        <f>IF(Skills!C22=1,60+Inputs!$B$26+Inputs!$B$30,IF(Skills!C22=2,90+Inputs!$B$27+Inputs!$B$30,IF(Skills!C22=3,120+Inputs!$B$28+Inputs!$B$30,MAX(0,(Inputs!$B$3-100)*3)+Inputs!$B$29+Inputs!$B$30)))</f>
        <v/>
      </c>
      <c r="E350">
        <f>INDEX(FactorTable!$B$2:$Y$301, MATCH(ROUND(MIN(300,MAX(1,D350)),0), FactorTable!$A$2:$A$301,0), Skills!L22+1)</f>
        <v/>
      </c>
      <c r="F350">
        <f>IF(Skills!M22=TRUE,(Skills!K22/10)*(E350/1000),Skills!K22/10)+Skills!N22</f>
        <v/>
      </c>
      <c r="G350">
        <f>Calc!G22</f>
        <v/>
      </c>
      <c r="H350">
        <f>Calc!H22</f>
        <v/>
      </c>
      <c r="I350">
        <f>IF(Skills!T22&lt;&gt;"",1+(Skills!T22/10)*($Z$3/1000)/100,1)</f>
        <v/>
      </c>
      <c r="J350" t="inlineStr"/>
      <c r="K350" t="inlineStr"/>
      <c r="L350" t="inlineStr"/>
      <c r="M350" t="inlineStr"/>
      <c r="N350" t="inlineStr"/>
      <c r="O350" t="n">
        <v>0</v>
      </c>
      <c r="P350">
        <f>IF(B368=0,0,O350/B368)</f>
        <v/>
      </c>
      <c r="Q350">
        <f>IFERROR(1/IF(Inputs!$B$39="pvp",15,MAX(0.1,Skills!D22-IF(Skills!E22=TRUE,Inputs!$B$33,0))),0)</f>
        <v/>
      </c>
      <c r="R350" t="n">
        <v>0</v>
      </c>
    </row>
    <row r="351">
      <c r="A351">
        <f>Skills!A23</f>
        <v/>
      </c>
      <c r="B351">
        <f>Skills!B23</f>
        <v/>
      </c>
      <c r="C351">
        <f>Inputs!$B$3&gt;=50</f>
        <v/>
      </c>
      <c r="D351">
        <f>IF(Skills!C23=1,60+Inputs!$B$26+Inputs!$B$30,IF(Skills!C23=2,90+Inputs!$B$27+Inputs!$B$30,IF(Skills!C23=3,120+Inputs!$B$28+Inputs!$B$30,MAX(0,(Inputs!$B$3-100)*3)+Inputs!$B$29+Inputs!$B$30)))</f>
        <v/>
      </c>
      <c r="E351">
        <f>INDEX(FactorTable!$B$2:$Y$301, MATCH(ROUND(MIN(300,MAX(1,D351)),0), FactorTable!$A$2:$A$301,0), Skills!L23+1)</f>
        <v/>
      </c>
      <c r="F351">
        <f>IF(Skills!M23=TRUE,(Skills!K23/10)*(E351/1000),Skills!K23/10)+Skills!N23</f>
        <v/>
      </c>
      <c r="G351">
        <f>Calc!G23</f>
        <v/>
      </c>
      <c r="H351">
        <f>Calc!H23</f>
        <v/>
      </c>
      <c r="I351">
        <f>IF(Skills!T23&lt;&gt;"",1+(Skills!T23/10)*($Z$3/1000)/100,1)</f>
        <v/>
      </c>
      <c r="J351" t="inlineStr"/>
      <c r="K351" t="inlineStr"/>
      <c r="L351" t="inlineStr"/>
      <c r="M351" t="inlineStr"/>
      <c r="N351" t="inlineStr"/>
      <c r="O351" t="n">
        <v>0</v>
      </c>
      <c r="P351">
        <f>IF(B368=0,0,O351/B368)</f>
        <v/>
      </c>
      <c r="Q351">
        <f>IFERROR(1/IF(Inputs!$B$39="pvp",15,MAX(0.1,Skills!D23-IF(Skills!E23=TRUE,Inputs!$B$33,0))),0)</f>
        <v/>
      </c>
      <c r="R351" t="n">
        <v>0</v>
      </c>
    </row>
    <row r="352">
      <c r="A352">
        <f>Skills!A24</f>
        <v/>
      </c>
      <c r="B352">
        <f>Skills!B24</f>
        <v/>
      </c>
      <c r="C352">
        <f>Inputs!$B$3&gt;=74</f>
        <v/>
      </c>
      <c r="D352">
        <f>IF(Skills!C24=1,60+Inputs!$B$26+Inputs!$B$30,IF(Skills!C24=2,90+Inputs!$B$27+Inputs!$B$30,IF(Skills!C24=3,120+Inputs!$B$28+Inputs!$B$30,MAX(0,(Inputs!$B$3-100)*3)+Inputs!$B$29+Inputs!$B$30)))</f>
        <v/>
      </c>
      <c r="E352">
        <f>INDEX(FactorTable!$B$2:$Y$301, MATCH(ROUND(MIN(300,MAX(1,D352)),0), FactorTable!$A$2:$A$301,0), Skills!L24+1)</f>
        <v/>
      </c>
      <c r="F352">
        <f>IF(Skills!M24=TRUE,(Skills!K24/10)*(E352/1000),Skills!K24/10)+Skills!N24</f>
        <v/>
      </c>
      <c r="G352">
        <f>Calc!G24</f>
        <v/>
      </c>
      <c r="H352">
        <f>Calc!H24</f>
        <v/>
      </c>
      <c r="I352">
        <f>IF(Skills!T24&lt;&gt;"",1+(Skills!T24/10)*($Z$3/1000)/100,1)</f>
        <v/>
      </c>
      <c r="J352" t="inlineStr"/>
      <c r="K352" t="inlineStr"/>
      <c r="L352" t="inlineStr"/>
      <c r="M352" t="inlineStr"/>
      <c r="N352" t="inlineStr"/>
      <c r="O352" t="n">
        <v>0</v>
      </c>
      <c r="P352">
        <f>IF(B368=0,0,O352/B368)</f>
        <v/>
      </c>
      <c r="Q352">
        <f>IFERROR(1/IF(Inputs!$B$39="pvp",15,MAX(0.1,Skills!D24-IF(Skills!E24=TRUE,Inputs!$B$33,0))),0)</f>
        <v/>
      </c>
      <c r="R352" t="n">
        <v>0</v>
      </c>
    </row>
    <row r="353">
      <c r="A353">
        <f>Skills!A25</f>
        <v/>
      </c>
      <c r="B353">
        <f>Skills!B25</f>
        <v/>
      </c>
      <c r="C353">
        <f>Inputs!$B$3&gt;=74</f>
        <v/>
      </c>
      <c r="D353">
        <f>IF(Skills!C25=1,60+Inputs!$B$26+Inputs!$B$30,IF(Skills!C25=2,90+Inputs!$B$27+Inputs!$B$30,IF(Skills!C25=3,120+Inputs!$B$28+Inputs!$B$30,MAX(0,(Inputs!$B$3-100)*3)+Inputs!$B$29+Inputs!$B$30)))</f>
        <v/>
      </c>
      <c r="E353">
        <f>INDEX(FactorTable!$B$2:$Y$301, MATCH(ROUND(MIN(300,MAX(1,D353)),0), FactorTable!$A$2:$A$301,0), Skills!L25+1)</f>
        <v/>
      </c>
      <c r="F353">
        <f>IF(Skills!M25=TRUE,(Skills!K25/10)*(E353/1000),Skills!K25/10)+Skills!N25</f>
        <v/>
      </c>
      <c r="G353">
        <f>Calc!G25</f>
        <v/>
      </c>
      <c r="H353">
        <f>Calc!H25</f>
        <v/>
      </c>
      <c r="I353">
        <f>IF(Skills!T25&lt;&gt;"",1+(Skills!T25/10)*($Z$3/1000)/100,1)</f>
        <v/>
      </c>
      <c r="J353" t="inlineStr"/>
      <c r="K353" t="inlineStr"/>
      <c r="L353" t="inlineStr"/>
      <c r="M353" t="inlineStr"/>
      <c r="N353" t="inlineStr"/>
      <c r="O353" t="n">
        <v>0</v>
      </c>
      <c r="P353">
        <f>IF(B368=0,0,O353/B368)</f>
        <v/>
      </c>
      <c r="Q353">
        <f>IFERROR(1/IF(Inputs!$B$39="pvp",15,MAX(0.1,Skills!D25-IF(Skills!E25=TRUE,Inputs!$B$33,0))),0)</f>
        <v/>
      </c>
      <c r="R353" t="n">
        <v>0</v>
      </c>
    </row>
    <row r="354">
      <c r="A354">
        <f>Skills!A26</f>
        <v/>
      </c>
      <c r="B354">
        <f>Skills!B26</f>
        <v/>
      </c>
      <c r="C354">
        <f>Inputs!$B$3&gt;=117</f>
        <v/>
      </c>
      <c r="D354">
        <f>IF(Skills!C26=1,60+Inputs!$B$26+Inputs!$B$30,IF(Skills!C26=2,90+Inputs!$B$27+Inputs!$B$30,IF(Skills!C26=3,120+Inputs!$B$28+Inputs!$B$30,MAX(0,(Inputs!$B$3-100)*3)+Inputs!$B$29+Inputs!$B$30)))</f>
        <v/>
      </c>
      <c r="E354">
        <f>INDEX(FactorTable!$B$2:$Y$301, MATCH(ROUND(MIN(300,MAX(1,D354)),0), FactorTable!$A$2:$A$301,0), Skills!L26+1)</f>
        <v/>
      </c>
      <c r="F354">
        <f>IF(Skills!M26=TRUE,(Skills!K26/10)*(E354/1000),Skills!K26/10)+Skills!N26</f>
        <v/>
      </c>
      <c r="G354">
        <f>Calc!G26</f>
        <v/>
      </c>
      <c r="H354">
        <f>Calc!H26</f>
        <v/>
      </c>
      <c r="I354">
        <f>IF(Skills!T26&lt;&gt;"",1+(Skills!T26/10)*($Z$3/1000)/100,1)</f>
        <v/>
      </c>
      <c r="J354" t="inlineStr"/>
      <c r="K354" t="inlineStr"/>
      <c r="L354" t="inlineStr"/>
      <c r="M354" t="inlineStr"/>
      <c r="N354" t="inlineStr"/>
      <c r="O354" t="n">
        <v>0</v>
      </c>
      <c r="P354">
        <f>IF(B368=0,0,O354/B368)</f>
        <v/>
      </c>
      <c r="Q354">
        <f>IFERROR(1/IF(Inputs!$B$39="pvp",15,MAX(0.1,Skills!D26-IF(Skills!E26=TRUE,Inputs!$B$33,0))),0)</f>
        <v/>
      </c>
      <c r="R354" t="n">
        <v>0</v>
      </c>
    </row>
    <row r="355">
      <c r="A355">
        <f>Skills!A27</f>
        <v/>
      </c>
      <c r="B355">
        <f>Skills!B27</f>
        <v/>
      </c>
      <c r="C355">
        <f>Inputs!$B$3&gt;=120</f>
        <v/>
      </c>
      <c r="D355">
        <f>IF(Skills!C27=1,60+Inputs!$B$26+Inputs!$B$30,IF(Skills!C27=2,90+Inputs!$B$27+Inputs!$B$30,IF(Skills!C27=3,120+Inputs!$B$28+Inputs!$B$30,MAX(0,(Inputs!$B$3-100)*3)+Inputs!$B$29+Inputs!$B$30)))</f>
        <v/>
      </c>
      <c r="E355">
        <f>INDEX(FactorTable!$B$2:$Y$301, MATCH(ROUND(MIN(300,MAX(1,D355)),0), FactorTable!$A$2:$A$301,0), Skills!L27+1)</f>
        <v/>
      </c>
      <c r="F355">
        <f>IF(Skills!M27=TRUE,(Skills!K27/10)*(E355/1000),Skills!K27/10)+Skills!N27</f>
        <v/>
      </c>
      <c r="G355">
        <f>Calc!G27</f>
        <v/>
      </c>
      <c r="H355">
        <f>Calc!H27</f>
        <v/>
      </c>
      <c r="I355">
        <f>IF(Skills!T27&lt;&gt;"",1+(Skills!T27/10)*($Z$3/1000)/100,1)</f>
        <v/>
      </c>
      <c r="J355" t="inlineStr"/>
      <c r="K355" t="inlineStr"/>
      <c r="L355" t="inlineStr"/>
      <c r="M355" t="inlineStr"/>
      <c r="N355" t="inlineStr"/>
      <c r="O355" t="n">
        <v>0</v>
      </c>
      <c r="P355">
        <f>IF(B368=0,0,O355/B368)</f>
        <v/>
      </c>
      <c r="Q355">
        <f>IFERROR(1/IF(Inputs!$B$39="pvp",15,MAX(0.1,Skills!D27-IF(Skills!E27=TRUE,Inputs!$B$33,0))),0)</f>
        <v/>
      </c>
      <c r="R355" t="n">
        <v>0</v>
      </c>
    </row>
    <row r="357">
      <c r="A357" t="inlineStr">
        <is>
          <t>Average Buff Multiplier</t>
        </is>
      </c>
      <c r="B357">
        <f>(1+(IF(C331=TRUE,F331*IF(AND(Inputs!$B$39&lt;&gt;"pvp",Inputs!$B$44&gt;0),(((R331-1)*(Skills!S3*(1+(Inputs!$B$35+IF(Inputs!$B$3&gt;=117,F354,0))/100))+MIN((Skills!S3*(1+(Inputs!$B$35+IF(Inputs!$B$3&gt;=117,F354,0))/100)),MAX(0,Inputs!$B$44-((R331-1)*Skills!D3))))/Inputs!$B$44),IF(Inputs!$B$39="pvp",MIN((Skills!S3*(1+(Inputs!$B$35+IF(Inputs!$B$3&gt;=117,F354,0))/100)),15)/15,(Skills!S3*(1+(Inputs!$B$35+IF(Inputs!$B$3&gt;=117,F354,0))/100))/Skills!D3)),0)+IF(C332=TRUE,F332*IF(AND(Inputs!$B$39&lt;&gt;"pvp",Inputs!$B$44&gt;0),(((R332-1)*(Skills!S4*(1+(Inputs!$B$35+IF(Inputs!$B$3&gt;=117,F354,0))/100))+MIN((Skills!S4*(1+(Inputs!$B$35+IF(Inputs!$B$3&gt;=117,F354,0))/100)),MAX(0,Inputs!$B$44-((R332-1)*Skills!D4))))/Inputs!$B$44),IF(Inputs!$B$39="pvp",MIN((Skills!S4*(1+(Inputs!$B$35+IF(Inputs!$B$3&gt;=117,F354,0))/100)),15)/15,(Skills!S4*(1+(Inputs!$B$35+IF(Inputs!$B$3&gt;=117,F354,0))/100))/Skills!D4)),0)+IF(C333=TRUE,F333*IF(AND(Inputs!$B$39&lt;&gt;"pvp",Inputs!$B$44&gt;0),(((R333-1)*(Skills!S5*(1+(Inputs!$B$35+IF(Inputs!$B$3&gt;=117,F354,0))/100))+MIN((Skills!S5*(1+(Inputs!$B$35+IF(Inputs!$B$3&gt;=117,F354,0))/100)),MAX(0,Inputs!$B$44-((R333-1)*Skills!D5))))/Inputs!$B$44),IF(Inputs!$B$39="pvp",MIN((Skills!S5*(1+(Inputs!$B$35+IF(Inputs!$B$3&gt;=117,F354,0))/100)),15)/15,(Skills!S5*(1+(Inputs!$B$35+IF(Inputs!$B$3&gt;=117,F354,0))/100))/Skills!D5)),0)+IF(C339=TRUE,F339*IF(AND(Inputs!$B$39&lt;&gt;"pvp",Inputs!$B$44&gt;0),(((R339-1)*(Skills!S11*(1+(Inputs!$B$35+IF(Inputs!$B$3&gt;=117,F354,0))/100))+MIN((Skills!S11*(1+(Inputs!$B$35+IF(Inputs!$B$3&gt;=117,F354,0))/100)),MAX(0,Inputs!$B$44-((R339-1)*Skills!D11))))/Inputs!$B$44),IF(Inputs!$B$39="pvp",MIN((Skills!S11*(1+(Inputs!$B$35+IF(Inputs!$B$3&gt;=117,F354,0))/100)),15)/15,(Skills!S11*(1+(Inputs!$B$35+IF(Inputs!$B$3&gt;=117,F354,0))/100))/Skills!D11)),0))/100)*IF(C342=TRUE,(1+F342*IF(AND(Inputs!$B$39&lt;&gt;"pvp",Inputs!$B$44&gt;0),(((R342-1)*(Skills!S14*(1+(Inputs!$B$35+IF(Inputs!$B$3&gt;=117,F354,0))/100))+MIN((Skills!S14*(1+(Inputs!$B$35+IF(Inputs!$B$3&gt;=117,F354,0))/100)),MAX(0,Inputs!$B$44-((R342-1)*Skills!D14))))/Inputs!$B$44),IF(Inputs!$B$39="pvp",MIN((Skills!S14*(1+(Inputs!$B$35+IF(Inputs!$B$3&gt;=117,F354,0))/100)),15)/15,(Skills!S14*(1+(Inputs!$B$35+IF(Inputs!$B$3&gt;=117,F354,0))/100))/Skills!D14))/100),1)*IF(C347=TRUE,(1+F347*IF(AND(Inputs!$B$39&lt;&gt;"pvp",Inputs!$B$44&gt;0),(((R347-1)*(Skills!S19*(1+(Inputs!$B$35+IF(Inputs!$B$3&gt;=117,F354,0))/100))+MIN((Skills!S19*(1+(Inputs!$B$35+IF(Inputs!$B$3&gt;=117,F354,0))/100)),MAX(0,Inputs!$B$44-((R347-1)*Skills!D19))))/Inputs!$B$44),IF(Inputs!$B$39="pvp",MIN((Skills!S19*(1+(Inputs!$B$35+IF(Inputs!$B$3&gt;=117,F354,0))/100)),15)/15,(Skills!S19*(1+(Inputs!$B$35+IF(Inputs!$B$3&gt;=117,F354,0))/100))/Skills!D19))/100),1)</f>
        <v/>
      </c>
    </row>
    <row r="358">
      <c r="A358" t="inlineStr">
        <is>
          <t>Monster Damage Taken Bonus % (Holy Fountain)</t>
        </is>
      </c>
      <c r="B358">
        <f>IF(Inputs!$B$3&gt;=68,20*IF(Inputs!$B$39="pvp",MIN((15*(1+(Inputs!$B$35+IF(Inputs!$B$3&gt;=117,F354,0))/100)),15)/15,(15*(1+(Inputs!$B$35+IF(Inputs!$B$3&gt;=117,F354,0))/100))/Skills!D10),0)</f>
        <v/>
      </c>
    </row>
    <row r="359">
      <c r="A359" t="inlineStr">
        <is>
          <t>Normal Monster Damage Bonus % (Holy Symbol)</t>
        </is>
      </c>
      <c r="B359">
        <f>IF(C340=TRUE,F340*IF(AND(Inputs!$B$39&lt;&gt;"pvp",Inputs!$B$44&gt;0),(((R340-1)*(Skills!S12*(1+(Inputs!$B$35+IF(Inputs!$B$3&gt;=117,F354,0))/100))+MIN((Skills!S12*(1+(Inputs!$B$35+IF(Inputs!$B$3&gt;=117,F354,0))/100)),MAX(0,Inputs!$B$44-((R340-1)*Skills!D12))))/Inputs!$B$44),IF(Inputs!$B$39="pvp",MIN((Skills!S12*(1+(Inputs!$B$35+IF(Inputs!$B$3&gt;=117,F354,0))/100)),15)/15,(Skills!S12*(1+(Inputs!$B$35+IF(Inputs!$B$3&gt;=117,F354,0))/100))/Skills!D12)),0)</f>
        <v/>
      </c>
    </row>
    <row r="360">
      <c r="A360" t="inlineStr">
        <is>
          <t>Damage % Bonus (Holy Symbol - Damage Boost)</t>
        </is>
      </c>
      <c r="B360">
        <f>Skills!O12</f>
        <v/>
      </c>
    </row>
    <row r="361">
      <c r="A361" t="inlineStr">
        <is>
          <t>Crit Damage % Bonus (Blood of the Divine)</t>
        </is>
      </c>
      <c r="B361">
        <f>4*IF(C348=TRUE,F348,0)</f>
        <v/>
      </c>
    </row>
    <row r="362">
      <c r="A362" t="inlineStr">
        <is>
          <t>Attack Speed Bonus %</t>
        </is>
      </c>
      <c r="B362">
        <f>IF(C345=TRUE,F345+(F349-Calc!F21),0)+IF(Inputs!$B$3&gt;=134,15,0)</f>
        <v/>
      </c>
    </row>
    <row r="363">
      <c r="A363" t="inlineStr">
        <is>
          <t>Actions Per Second</t>
        </is>
      </c>
      <c r="B363">
        <f>1+MIN(150,150*(1-(1-Inputs!$B$12/150)*(1-B362/150)))/100</f>
        <v/>
      </c>
    </row>
    <row r="364">
      <c r="A364" t="inlineStr">
        <is>
          <t>Skill + Buff Cast Rate</t>
        </is>
      </c>
      <c r="B364">
        <f>IF(AND(Inputs!$B$39&lt;&gt;"pvp",Inputs!$B$44&gt;0),SUMPRODUCT((Skills!E2:E27=TRUE)*(C330:C355=TRUE)*R330:R355)/Inputs!$B$44,SUMPRODUCT((Skills!E2:E27=TRUE)*(C330:C355=TRUE)*Q330:Q355))</f>
        <v/>
      </c>
    </row>
    <row r="365">
      <c r="A365" t="inlineStr">
        <is>
          <t>Big Bang Casts Per Second</t>
        </is>
      </c>
      <c r="B365">
        <f>MAX(0,B363-B364)</f>
        <v/>
      </c>
    </row>
    <row r="366">
      <c r="A366" t="inlineStr">
        <is>
          <t>Defense % Bonus (Divine Protection)</t>
        </is>
      </c>
      <c r="B366">
        <f>IF(C341=TRUE,F341*IF(AND(Inputs!$B$39&lt;&gt;"pvp",Inputs!$B$44&gt;0),(((R341-1)*(Skills!S13*(1+(Inputs!$B$35+IF(Inputs!$B$3&gt;=117,F354,0))/100))+MIN((Skills!S13*(1+(Inputs!$B$35+IF(Inputs!$B$3&gt;=117,F354,0))/100)),MAX(0,Inputs!$B$44-((R341-1)*Skills!D13))))/Inputs!$B$44),IF(Inputs!$B$39="pvp",MIN((Skills!S13*(1+(Inputs!$B$35+IF(Inputs!$B$3&gt;=117,F354,0))/100)),15)/15,(Skills!S13*(1+(Inputs!$B$35+IF(Inputs!$B$3&gt;=117,F354,0))/100))/Skills!D13)),0)</f>
        <v/>
      </c>
    </row>
    <row r="367">
      <c r="A367" t="inlineStr">
        <is>
          <t>Buff-Casting Startup Delay (s, fixed-duration only)</t>
        </is>
      </c>
      <c r="B367">
        <f>IF(AND(Inputs!$B$39&lt;&gt;"pvp",Inputs!$B$44&gt;0),SUMPRODUCT((Skills!S2:S27&gt;0)*(Skills!E2:E27=TRUE)*(C330:C355=TRUE))/B363,0)</f>
        <v/>
      </c>
    </row>
    <row r="368">
      <c r="A368" s="5" t="inlineStr">
        <is>
          <t>TOTAL DPS</t>
        </is>
      </c>
      <c r="B368" s="5">
        <f>SUM(O330:O355)</f>
        <v/>
      </c>
    </row>
    <row r="370">
      <c r="A370" s="5" t="inlineStr">
        <is>
          <t>Stat: FINAL_DAMAGE % (multiplicative source)</t>
        </is>
      </c>
    </row>
    <row r="371">
      <c r="A371" s="9" t="inlineStr">
        <is>
          <t>Key</t>
        </is>
      </c>
      <c r="B371" s="9" t="inlineStr">
        <is>
          <t>Name</t>
        </is>
      </c>
      <c r="C371" s="9" t="inlineStr">
        <is>
          <t>Unlocked</t>
        </is>
      </c>
      <c r="D371" s="9" t="inlineStr">
        <is>
          <t>InputLevel</t>
        </is>
      </c>
      <c r="E371" s="9" t="inlineStr">
        <is>
          <t>Factor</t>
        </is>
      </c>
      <c r="F371" s="9" t="inlineStr">
        <is>
          <t>CoefficientPercent</t>
        </is>
      </c>
      <c r="G371" s="9" t="inlineStr">
        <is>
          <t>EffectiveHits</t>
        </is>
      </c>
      <c r="H371" s="9" t="inlineStr">
        <is>
          <t>ProcProbability</t>
        </is>
      </c>
      <c r="I371" s="9" t="inlineStr">
        <is>
          <t>MapleHeroMultiplier</t>
        </is>
      </c>
      <c r="J371" s="9" t="inlineStr">
        <is>
          <t>BaseDamage</t>
        </is>
      </c>
      <c r="K371" s="9" t="inlineStr">
        <is>
          <t>BaseHitDamage</t>
        </is>
      </c>
      <c r="L371" s="9" t="inlineStr">
        <is>
          <t>NonCritAvg</t>
        </is>
      </c>
      <c r="M371" s="9" t="inlineStr">
        <is>
          <t>CritAvg</t>
        </is>
      </c>
      <c r="N371" s="9" t="inlineStr">
        <is>
          <t>ExpectedDamage(perHit)</t>
        </is>
      </c>
      <c r="O371" s="9" t="inlineStr">
        <is>
          <t>DPS</t>
        </is>
      </c>
      <c r="P371" s="9" t="inlineStr">
        <is>
          <t>% of Total</t>
        </is>
      </c>
      <c r="R371" t="inlineStr">
        <is>
          <t>helpers</t>
        </is>
      </c>
    </row>
    <row r="372">
      <c r="A372">
        <f>Skills!A2</f>
        <v/>
      </c>
      <c r="B372">
        <f>Skills!B2</f>
        <v/>
      </c>
      <c r="C372">
        <f>Inputs!$B$3&gt;=100</f>
        <v/>
      </c>
      <c r="D372" t="inlineStr"/>
      <c r="E372" t="inlineStr"/>
      <c r="F372">
        <f>T374+Skills!N2</f>
        <v/>
      </c>
      <c r="G372">
        <f>Calc!G2</f>
        <v/>
      </c>
      <c r="H372">
        <f>Calc!H2</f>
        <v/>
      </c>
      <c r="I372">
        <f>IF(Skills!T2&lt;&gt;"",1+(Skills!T2/10)*($Z$3/1000)/100,1)</f>
        <v/>
      </c>
      <c r="J372">
        <f>((Inputs!$B$6*(1+Inputs!$B$7/100))+(((Inputs!$B$13*(1+Inputs!$B$14/100))-(Inputs!$B$13*(1+Inputs!$B$14/100)))+0.25*(Inputs!$B$15-Inputs!$B$15))*(1+Inputs!$B$7/100))*(F372/100)</f>
        <v/>
      </c>
      <c r="K372">
        <f>J372*(1+(((Inputs!$B$13+IF(Inputs!$B$3&gt;=35,(10*INDEX(FactorTable!$B$2:$Y$301, MATCH(ROUND(MIN(300,MAX(1,Inputs!$B$3)),0), FactorTable!$A$2:$A$301,0), 23)/1000)/100*(Inputs!$B$8*(1+(Inputs!$B$9+B408)/100)),0))*(1+Inputs!$B$14/100))*0.01+Inputs!$B$15*0.0025)/100)*(1+(Inputs!$B$16+B402)/100)*(1+IF(Inputs!$B$39="pvp",0,(1-Summary!$B$48)*(Inputs!$B$21+Skills!O2+B400)+Summary!$B$48*(Inputs!$B$22+Skills!P2+B401))/100)*(1+Inputs!$B$17/100)*(5000/(6000+Inputs!$B$43*(1-Inputs!$B$20/100)))*(1+((((1+Inputs!$B$25/100)*(1.01))-1)*100)/100)*(1+IF(C388=TRUE,F388,0)/100)*(1+IF(C390=TRUE,F390,0)/100)*(1+IF(Skills!A2="TRIUMPH_FEATHER",IF(C386=TRUE,F386,0),0)/100)*(1+IF(C397=TRUE,F397,0)/100)^5*(1+(IF(Skills!A2="BIG_BANG",Inputs!$B$18,Inputs!$B$19))/100)*(B399*I372)</f>
        <v/>
      </c>
      <c r="L372">
        <f>K372*(MIN(Inputs!$B$23+(F392-Calc!F22),Inputs!$B$24)/100+Inputs!$B$24/100)/2</f>
        <v/>
      </c>
      <c r="M372">
        <f>L372*(1+(Inputs!$B$11+B403+(F395-Calc!F25))/100)</f>
        <v/>
      </c>
      <c r="N372">
        <f>L372*(1-MIN(Inputs!$B$10+((F394-Calc!F24)+(F393-Calc!F23)),100)/100)+M372*(MIN(Inputs!$B$10+((F394-Calc!F24)+(F393-Calc!F23)),100)/100)</f>
        <v/>
      </c>
      <c r="O372">
        <f>IF(C372,Skills!F2*N372*B407*IF(Inputs!$B$39="pvp",1,(1-Summary!$B$48)*(1)+Summary!$B$48*(MIN((6+Inputs!$B$34),Inputs!$B$38))),0)</f>
        <v/>
      </c>
      <c r="P372">
        <f>IF(B410=0,0,O372/B410)</f>
        <v/>
      </c>
      <c r="Q372">
        <f>IFERROR(1/IF(Inputs!$B$39="pvp",15,MAX(0.1,Skills!D2-IF(Skills!E2=TRUE,Inputs!$B$33,0))),0)</f>
        <v/>
      </c>
      <c r="R372" t="n">
        <v>0</v>
      </c>
      <c r="T372">
        <f>MAX(0,(Inputs!$B$3-100)*3)+Inputs!$B$29+Inputs!$B$30</f>
        <v/>
      </c>
    </row>
    <row r="373">
      <c r="A373">
        <f>Skills!A3</f>
        <v/>
      </c>
      <c r="B373">
        <f>Skills!B3</f>
        <v/>
      </c>
      <c r="C373">
        <f>Inputs!$B$3&gt;=15</f>
        <v/>
      </c>
      <c r="D373">
        <f>IF(Skills!C3=1,60+Inputs!$B$26+Inputs!$B$30,IF(Skills!C3=2,90+Inputs!$B$27+Inputs!$B$30,IF(Skills!C3=3,120+Inputs!$B$28+Inputs!$B$30,MAX(0,(Inputs!$B$3-100)*3)+Inputs!$B$29+Inputs!$B$30)))</f>
        <v/>
      </c>
      <c r="E373">
        <f>INDEX(FactorTable!$B$2:$Y$301, MATCH(ROUND(MIN(300,MAX(1,D373)),0), FactorTable!$A$2:$A$301,0), Skills!L3+1)</f>
        <v/>
      </c>
      <c r="F373">
        <f>IF(Skills!M3=TRUE,(Skills!K3/10)*(E373/1000),Skills!K3/10)+Skills!N3</f>
        <v/>
      </c>
      <c r="G373">
        <f>Calc!G3</f>
        <v/>
      </c>
      <c r="H373">
        <f>Calc!H3</f>
        <v/>
      </c>
      <c r="I373">
        <f>IF(Skills!T3&lt;&gt;"",1+(Skills!T3/10)*($Z$3/1000)/100,1)</f>
        <v/>
      </c>
      <c r="J373" t="inlineStr"/>
      <c r="K373" t="inlineStr"/>
      <c r="L373" t="inlineStr"/>
      <c r="M373" t="inlineStr"/>
      <c r="N373" t="inlineStr"/>
      <c r="O373" t="n">
        <v>0</v>
      </c>
      <c r="P373">
        <f>IF(B410=0,0,O373/B410)</f>
        <v/>
      </c>
      <c r="Q373">
        <f>IFERROR(1/IF(Inputs!$B$39="pvp",15,MAX(0.1,Skills!D3-IF(Skills!E3=TRUE,Inputs!$B$33,0))),0)</f>
        <v/>
      </c>
      <c r="R373">
        <f>IF(AND(Inputs!$B$39&lt;&gt;"pvp",Inputs!$B$44&gt;0),IF(Inputs!$B$44&lt;=0,0,(INT(Inputs!$B$44/IF(Inputs!$B$39="pvp",15,MAX(0.1,Skills!D3-IF(Skills!E3=TRUE,Inputs!$B$33,0))))+1)),0)</f>
        <v/>
      </c>
      <c r="T373">
        <f>INDEX(FactorTable!$B$2:$Y$301, MATCH(ROUND(MIN(300,MAX(1,T372)),0), FactorTable!$A$2:$A$301,0), 22)</f>
        <v/>
      </c>
    </row>
    <row r="374">
      <c r="A374">
        <f>Skills!A4</f>
        <v/>
      </c>
      <c r="B374">
        <f>Skills!B4</f>
        <v/>
      </c>
      <c r="C374">
        <f>Inputs!$B$3&gt;=38</f>
        <v/>
      </c>
      <c r="D374">
        <f>IF(Skills!C4=1,60+Inputs!$B$26+Inputs!$B$30,IF(Skills!C4=2,90+Inputs!$B$27+Inputs!$B$30,IF(Skills!C4=3,120+Inputs!$B$28+Inputs!$B$30,MAX(0,(Inputs!$B$3-100)*3)+Inputs!$B$29+Inputs!$B$30)))</f>
        <v/>
      </c>
      <c r="E374">
        <f>INDEX(FactorTable!$B$2:$Y$301, MATCH(ROUND(MIN(300,MAX(1,D374)),0), FactorTable!$A$2:$A$301,0), Skills!L4+1)</f>
        <v/>
      </c>
      <c r="F374">
        <f>IF(Skills!M4=TRUE,(Skills!K4/10)*(E374/1000),Skills!K4/10)+Skills!N4</f>
        <v/>
      </c>
      <c r="G374">
        <f>Calc!G4</f>
        <v/>
      </c>
      <c r="H374">
        <f>Calc!H4</f>
        <v/>
      </c>
      <c r="I374">
        <f>IF(Skills!T4&lt;&gt;"",1+(Skills!T4/10)*($Z$3/1000)/100,1)</f>
        <v/>
      </c>
      <c r="J374" t="inlineStr"/>
      <c r="K374" t="inlineStr"/>
      <c r="L374" t="inlineStr"/>
      <c r="M374" t="inlineStr"/>
      <c r="N374" t="inlineStr"/>
      <c r="O374" t="n">
        <v>0</v>
      </c>
      <c r="P374">
        <f>IF(B410=0,0,O374/B410)</f>
        <v/>
      </c>
      <c r="Q374">
        <f>IFERROR(1/IF(Inputs!$B$39="pvp",15,MAX(0.1,Skills!D4-IF(Skills!E4=TRUE,Inputs!$B$33,0))),0)</f>
        <v/>
      </c>
      <c r="R374">
        <f>IF(AND(Inputs!$B$39&lt;&gt;"pvp",Inputs!$B$44&gt;0),IF(Inputs!$B$44&lt;=0,0,(INT(Inputs!$B$44/IF(Inputs!$B$39="pvp",15,MAX(0.1,Skills!D4-IF(Skills!E4=TRUE,Inputs!$B$33,0))))+1)),0)</f>
        <v/>
      </c>
      <c r="T374">
        <f>290*T373/1000</f>
        <v/>
      </c>
    </row>
    <row r="375">
      <c r="A375">
        <f>Skills!A5</f>
        <v/>
      </c>
      <c r="B375">
        <f>Skills!B5</f>
        <v/>
      </c>
      <c r="C375">
        <f>Inputs!$B$3&gt;=40</f>
        <v/>
      </c>
      <c r="D375">
        <f>IF(Skills!C5=1,60+Inputs!$B$26+Inputs!$B$30,IF(Skills!C5=2,90+Inputs!$B$27+Inputs!$B$30,IF(Skills!C5=3,120+Inputs!$B$28+Inputs!$B$30,MAX(0,(Inputs!$B$3-100)*3)+Inputs!$B$29+Inputs!$B$30)))</f>
        <v/>
      </c>
      <c r="E375">
        <f>INDEX(FactorTable!$B$2:$Y$301, MATCH(ROUND(MIN(300,MAX(1,D375)),0), FactorTable!$A$2:$A$301,0), Skills!L5+1)</f>
        <v/>
      </c>
      <c r="F375">
        <f>IF(Skills!M5=TRUE,(Skills!K5/10)*(E375/1000),Skills!K5/10)+Skills!N5</f>
        <v/>
      </c>
      <c r="G375">
        <f>Calc!G5</f>
        <v/>
      </c>
      <c r="H375">
        <f>Calc!H5</f>
        <v/>
      </c>
      <c r="I375">
        <f>IF(Skills!T5&lt;&gt;"",1+(Skills!T5/10)*($Z$3/1000)/100,1)</f>
        <v/>
      </c>
      <c r="J375" t="inlineStr"/>
      <c r="K375" t="inlineStr"/>
      <c r="L375" t="inlineStr"/>
      <c r="M375" t="inlineStr"/>
      <c r="N375" t="inlineStr"/>
      <c r="O375" t="n">
        <v>0</v>
      </c>
      <c r="P375">
        <f>IF(B410=0,0,O375/B410)</f>
        <v/>
      </c>
      <c r="Q375">
        <f>IFERROR(1/IF(Inputs!$B$39="pvp",15,MAX(0.1,Skills!D5-IF(Skills!E5=TRUE,Inputs!$B$33,0))),0)</f>
        <v/>
      </c>
      <c r="R375">
        <f>IF(AND(Inputs!$B$39&lt;&gt;"pvp",Inputs!$B$44&gt;0),IF(Inputs!$B$44&lt;=0,0,(INT(Inputs!$B$44/IF(Inputs!$B$39="pvp",15,MAX(0.1,Skills!D5-IF(Skills!E5=TRUE,Inputs!$B$33,0))))+1)),0)</f>
        <v/>
      </c>
    </row>
    <row r="376">
      <c r="A376">
        <f>Skills!A6</f>
        <v/>
      </c>
      <c r="B376">
        <f>Skills!B6</f>
        <v/>
      </c>
      <c r="C376">
        <f>Inputs!$B$3&gt;=103</f>
        <v/>
      </c>
      <c r="D376">
        <f>IF(Skills!C6=1,60+Inputs!$B$26+Inputs!$B$30,IF(Skills!C6=2,90+Inputs!$B$27+Inputs!$B$30,IF(Skills!C6=3,120+Inputs!$B$28+Inputs!$B$30,MAX(0,(Inputs!$B$3-100)*3)+Inputs!$B$29+Inputs!$B$30)))</f>
        <v/>
      </c>
      <c r="E376">
        <f>INDEX(FactorTable!$B$2:$Y$301, MATCH(ROUND(MIN(300,MAX(1,D376)),0), FactorTable!$A$2:$A$301,0), Skills!L6+1)</f>
        <v/>
      </c>
      <c r="F376">
        <f>IF(Skills!M6=TRUE,(Skills!K6/10)*(E376/1000),Skills!K6/10)+Skills!N6</f>
        <v/>
      </c>
      <c r="G376">
        <f>Calc!G6</f>
        <v/>
      </c>
      <c r="H376">
        <f>Calc!H6</f>
        <v/>
      </c>
      <c r="I376">
        <f>IF(Skills!T6&lt;&gt;"",1+(Skills!T6/10)*($Z$3/1000)/100,1)</f>
        <v/>
      </c>
      <c r="J376">
        <f>((Inputs!$B$6*(1+Inputs!$B$7/100))+(((Inputs!$B$13*(1+Inputs!$B$14/100))-(Inputs!$B$13*(1+Inputs!$B$14/100)))+0.25*(Inputs!$B$15-Inputs!$B$15))*(1+Inputs!$B$7/100))*(F376/100)</f>
        <v/>
      </c>
      <c r="K376">
        <f>J376*(1+(((Inputs!$B$13+IF(Inputs!$B$3&gt;=35,(10*INDEX(FactorTable!$B$2:$Y$301, MATCH(ROUND(MIN(300,MAX(1,Inputs!$B$3)),0), FactorTable!$A$2:$A$301,0), 23)/1000)/100*(Inputs!$B$8*(1+(Inputs!$B$9+B408)/100)),0))*(1+Inputs!$B$14/100))*0.01+Inputs!$B$15*0.0025)/100)*(1+(Inputs!$B$16+B402)/100)*(1+IF(Inputs!$B$39="pvp",0,(1-Summary!$B$48)*(Inputs!$B$21+Skills!O6+B400)+Summary!$B$48*(Inputs!$B$22+Skills!P6+B401))/100)*(1+Inputs!$B$17/100)*(5000/(6000+Inputs!$B$43*(1-Inputs!$B$20/100)))*(1+((((1+Inputs!$B$25/100)*(1.01))-1)*100)/100)*(1+IF(C388=TRUE,F388,0)/100)*(1+IF(C390=TRUE,F390,0)/100)*(1+IF(Skills!A6="TRIUMPH_FEATHER",IF(C386=TRUE,F386,0),0)/100)*(1+IF(C397=TRUE,F397,0)/100)^5*(1+(IF(Skills!A6="BIG_BANG",Inputs!$B$18,Inputs!$B$19))/100)*(B399*I376)</f>
        <v/>
      </c>
      <c r="L376">
        <f>K376*(MIN(Inputs!$B$23+(F392-Calc!F22),Inputs!$B$24)/100+Inputs!$B$24/100)/2</f>
        <v/>
      </c>
      <c r="M376">
        <f>L376*(1+(Inputs!$B$11+B403+(F395-Calc!F25))/100)</f>
        <v/>
      </c>
      <c r="N376">
        <f>L376*(1-MIN(Inputs!$B$10+((F394-Calc!F24)+(F393-Calc!F23)),100)/100)+M376*(MIN(Inputs!$B$10+((F394-Calc!F24)+(F393-Calc!F23)),100)/100)</f>
        <v/>
      </c>
      <c r="O376">
        <f>IF(C376,H376*N376*IF(AND(Inputs!$B$39&lt;&gt;"pvp",Inputs!$B$44&gt;0),((Skills!F6*((R376-1)*IF(Skills!G6&gt;0,Skills!H6/Skills!G6,1)+IF(Skills!G6&gt;0,MIN(Skills!H6,MAX(0,MAX(0,Inputs!$B$44-B409)-((R376-1)*IF(Inputs!$B$39="pvp",15,MAX(0.1,Skills!D6-IF(Skills!E6=TRUE,Inputs!$B$33,0))))))/Skills!G6,1)))/Inputs!$B$44),G376*Q376)*IF(Inputs!$B$39="pvp",1,(1-Summary!$B$48)*(1)+Summary!$B$48*(MIN(Skills!Q6,Inputs!$B$38))),0)</f>
        <v/>
      </c>
      <c r="P376">
        <f>IF(B410=0,0,O376/B410)</f>
        <v/>
      </c>
      <c r="Q376">
        <f>IFERROR(1/IF(Inputs!$B$39="pvp",15,MAX(0.1,Skills!D6-IF(Skills!E6=TRUE,Inputs!$B$33,0))),0)</f>
        <v/>
      </c>
      <c r="R376">
        <f>IF(AND(Inputs!$B$39&lt;&gt;"pvp",Inputs!$B$44&gt;0),IF(MAX(0,Inputs!$B$44-B409)&lt;=0,0,(INT(MAX(0,Inputs!$B$44-B409)/IF(Inputs!$B$39="pvp",15,MAX(0.1,Skills!D6-IF(Skills!E6=TRUE,Inputs!$B$33,0))))+1)),0)</f>
        <v/>
      </c>
    </row>
    <row r="377">
      <c r="A377">
        <f>Skills!A7</f>
        <v/>
      </c>
      <c r="B377">
        <f>Skills!B7</f>
        <v/>
      </c>
      <c r="C377">
        <f>Inputs!$B$3&gt;=122</f>
        <v/>
      </c>
      <c r="D377">
        <f>IF(Skills!C7=1,60+Inputs!$B$26+Inputs!$B$30,IF(Skills!C7=2,90+Inputs!$B$27+Inputs!$B$30,IF(Skills!C7=3,120+Inputs!$B$28+Inputs!$B$30,MAX(0,(Inputs!$B$3-100)*3)+Inputs!$B$29+Inputs!$B$30)))</f>
        <v/>
      </c>
      <c r="E377">
        <f>INDEX(FactorTable!$B$2:$Y$301, MATCH(ROUND(MIN(300,MAX(1,D377)),0), FactorTable!$A$2:$A$301,0), Skills!L7+1)</f>
        <v/>
      </c>
      <c r="F377">
        <f>IF(Skills!M7=TRUE,(Skills!K7/10)*(E377/1000),Skills!K7/10)+Skills!N7</f>
        <v/>
      </c>
      <c r="G377">
        <f>Calc!G7</f>
        <v/>
      </c>
      <c r="H377">
        <f>Calc!H7</f>
        <v/>
      </c>
      <c r="I377">
        <f>IF(Skills!T7&lt;&gt;"",1+(Skills!T7/10)*($Z$3/1000)/100,1)</f>
        <v/>
      </c>
      <c r="J377">
        <f>((Inputs!$B$6*(1+Inputs!$B$7/100))+(((Inputs!$B$13*(1+Inputs!$B$14/100))-(Inputs!$B$13*(1+Inputs!$B$14/100)))+0.25*(Inputs!$B$15-Inputs!$B$15))*(1+Inputs!$B$7/100))*(F377/100)</f>
        <v/>
      </c>
      <c r="K377">
        <f>J377*(1+(((Inputs!$B$13+IF(Inputs!$B$3&gt;=35,(10*INDEX(FactorTable!$B$2:$Y$301, MATCH(ROUND(MIN(300,MAX(1,Inputs!$B$3)),0), FactorTable!$A$2:$A$301,0), 23)/1000)/100*(Inputs!$B$8*(1+(Inputs!$B$9+B408)/100)),0))*(1+Inputs!$B$14/100))*0.01+Inputs!$B$15*0.0025)/100)*(1+(Inputs!$B$16+B402)/100)*(1+IF(Inputs!$B$39="pvp",0,(1-Summary!$B$48)*(Inputs!$B$21+Skills!O7+B400)+Summary!$B$48*(Inputs!$B$22+Skills!P7+B401))/100)*(1+Inputs!$B$17/100)*(5000/(6000+Inputs!$B$43*(1-Inputs!$B$20/100)))*(1+((((1+Inputs!$B$25/100)*(1.01))-1)*100)/100)*(1+IF(C388=TRUE,F388,0)/100)*(1+IF(C390=TRUE,F390,0)/100)*(1+IF(Skills!A7="TRIUMPH_FEATHER",IF(C386=TRUE,F386,0),0)/100)*(1+IF(C397=TRUE,F397,0)/100)^5*(1+(IF(Skills!A7="BIG_BANG",Inputs!$B$18,Inputs!$B$19))/100)*(B399*I377)</f>
        <v/>
      </c>
      <c r="L377">
        <f>K377*(MIN(Inputs!$B$23+(F392-Calc!F22),Inputs!$B$24)/100+Inputs!$B$24/100)/2</f>
        <v/>
      </c>
      <c r="M377">
        <f>L377*(1+(Inputs!$B$11+B403+(F395-Calc!F25))/100)</f>
        <v/>
      </c>
      <c r="N377">
        <f>L377*(1-MIN(Inputs!$B$10+((F394-Calc!F24)+(F393-Calc!F23)),100)/100)+M377*(MIN(Inputs!$B$10+((F394-Calc!F24)+(F393-Calc!F23)),100)/100)</f>
        <v/>
      </c>
      <c r="O377">
        <f>IF(C377,H377*N377*IF(AND(Inputs!$B$39&lt;&gt;"pvp",Inputs!$B$44&gt;0),((Skills!F7*((R377-1)*IF(Skills!G7&gt;0,Skills!H7/Skills!G7,1)+IF(Skills!G7&gt;0,MIN(Skills!H7,MAX(0,MAX(0,Inputs!$B$44-B409)-((R377-1)*IF(Inputs!$B$39="pvp",15,MAX(0.1,Skills!D7-IF(Skills!E6=TRUE,Inputs!$B$33,0))))))/Skills!G7,1)))/Inputs!$B$44),G377*Q377)*(1-Summary!$B$48),0)</f>
        <v/>
      </c>
      <c r="P377">
        <f>IF(B410=0,0,O377/B410)</f>
        <v/>
      </c>
      <c r="Q377">
        <f>IFERROR(1/IF(Inputs!$B$39="pvp",15,MAX(0.1,Skills!D7-IF(Skills!E6=TRUE,Inputs!$B$33,0))),0)</f>
        <v/>
      </c>
      <c r="R377">
        <f>IF(AND(Inputs!$B$39&lt;&gt;"pvp",Inputs!$B$44&gt;0),IF(MAX(0,Inputs!$B$44-B409)&lt;=0,0,(INT(MAX(0,Inputs!$B$44-B409)/IF(Inputs!$B$39="pvp",15,MAX(0.1,Skills!D7-IF(Skills!E6=TRUE,Inputs!$B$33,0))))+1)),0)</f>
        <v/>
      </c>
    </row>
    <row r="378">
      <c r="A378">
        <f>Skills!A8</f>
        <v/>
      </c>
      <c r="B378">
        <f>Skills!B8</f>
        <v/>
      </c>
      <c r="C378">
        <f>Inputs!$B$3&gt;=105</f>
        <v/>
      </c>
      <c r="D378">
        <f>IF(Skills!C8=1,60+Inputs!$B$26+Inputs!$B$30,IF(Skills!C8=2,90+Inputs!$B$27+Inputs!$B$30,IF(Skills!C8=3,120+Inputs!$B$28+Inputs!$B$30,MAX(0,(Inputs!$B$3-100)*3)+Inputs!$B$29+Inputs!$B$30)))</f>
        <v/>
      </c>
      <c r="E378">
        <f>INDEX(FactorTable!$B$2:$Y$301, MATCH(ROUND(MIN(300,MAX(1,D378)),0), FactorTable!$A$2:$A$301,0), Skills!L8+1)</f>
        <v/>
      </c>
      <c r="F378">
        <f>IF(Skills!M8=TRUE,(Skills!K8/10)*(E378/1000),Skills!K8/10)+Skills!N8</f>
        <v/>
      </c>
      <c r="G378">
        <f>Calc!G8</f>
        <v/>
      </c>
      <c r="H378">
        <f>Calc!H8</f>
        <v/>
      </c>
      <c r="I378">
        <f>IF(Skills!T8&lt;&gt;"",1+(Skills!T8/10)*($Z$3/1000)/100,1)</f>
        <v/>
      </c>
      <c r="J378">
        <f>((Inputs!$B$6*(1+Inputs!$B$7/100))+(((Inputs!$B$13*(1+Inputs!$B$14/100))-(Inputs!$B$13*(1+Inputs!$B$14/100)))+0.25*(Inputs!$B$15-Inputs!$B$15))*(1+Inputs!$B$7/100))*(F378/100)</f>
        <v/>
      </c>
      <c r="K378">
        <f>J378*(1+(((Inputs!$B$13+IF(Inputs!$B$3&gt;=35,(10*INDEX(FactorTable!$B$2:$Y$301, MATCH(ROUND(MIN(300,MAX(1,Inputs!$B$3)),0), FactorTable!$A$2:$A$301,0), 23)/1000)/100*(Inputs!$B$8*(1+(Inputs!$B$9+B408)/100)),0))*(1+Inputs!$B$14/100))*0.01+Inputs!$B$15*0.0025)/100)*(1+(Inputs!$B$16+B402)/100)*(1+IF(Inputs!$B$39="pvp",0,(1-Summary!$B$48)*(Inputs!$B$21+Skills!O8+B400)+Summary!$B$48*(Inputs!$B$22+Skills!P8+B401))/100)*(1+Inputs!$B$17/100)*(5000/(6000+Inputs!$B$43*(1-Inputs!$B$20/100)))*(1+((((1+Inputs!$B$25/100)*(1.01))-1)*100)/100)*(1+IF(C388=TRUE,F388,0)/100)*(1+IF(C390=TRUE,F390,0)/100)*(1+IF(Skills!A8="TRIUMPH_FEATHER",IF(C386=TRUE,F386,0),0)/100)*(1+IF(C397=TRUE,F397,0)/100)^5*(1+(IF(Skills!A8="BIG_BANG",Inputs!$B$18,Inputs!$B$19))/100)*(B399*I378)</f>
        <v/>
      </c>
      <c r="L378">
        <f>K378*(MIN(Inputs!$B$23+(F392-Calc!F22),Inputs!$B$24)/100+Inputs!$B$24/100)/2</f>
        <v/>
      </c>
      <c r="M378">
        <f>L378*(1+(Inputs!$B$11+B403+(F395-Calc!F25))/100)</f>
        <v/>
      </c>
      <c r="N378">
        <f>L378*(1-MIN(Inputs!$B$10+((F394-Calc!F24)+(F393-Calc!F23)),100)/100)+M378*(MIN(Inputs!$B$10+((F394-Calc!F24)+(F393-Calc!F23)),100)/100)</f>
        <v/>
      </c>
      <c r="O378">
        <f>IF(C378,H378*N378*IF(AND(Inputs!$B$39&lt;&gt;"pvp",Inputs!$B$44&gt;0),((Skills!F8*((R378-1)*IF(Skills!G8&gt;0,Skills!H8/Skills!G8,1)+IF(Skills!G8&gt;0,MIN(Skills!H8,MAX(0,MAX(0,Inputs!$B$44-B409)-((R378-1)*IF(Inputs!$B$39="pvp",15,MAX(0.1,Skills!D8-IF(Skills!E8=TRUE,Inputs!$B$33,0))))))/Skills!G8,1)))/Inputs!$B$44),G378*Q378)*IF(Inputs!$B$39="pvp",1,(1-Summary!$B$48)*(1)+Summary!$B$48*(MIN(Skills!Q8,Inputs!$B$38))),0)</f>
        <v/>
      </c>
      <c r="P378">
        <f>IF(B410=0,0,O378/B410)</f>
        <v/>
      </c>
      <c r="Q378">
        <f>IFERROR(1/IF(Inputs!$B$39="pvp",15,MAX(0.1,Skills!D8-IF(Skills!E8=TRUE,Inputs!$B$33,0))),0)</f>
        <v/>
      </c>
      <c r="R378">
        <f>IF(AND(Inputs!$B$39&lt;&gt;"pvp",Inputs!$B$44&gt;0),IF(MAX(0,Inputs!$B$44-B409)&lt;=0,0,(INT(MAX(0,Inputs!$B$44-B409)/IF(Inputs!$B$39="pvp",15,MAX(0.1,Skills!D8-IF(Skills!E8=TRUE,Inputs!$B$33,0))))+1)),0)</f>
        <v/>
      </c>
    </row>
    <row r="379">
      <c r="A379">
        <f>Skills!A9</f>
        <v/>
      </c>
      <c r="B379">
        <f>Skills!B9</f>
        <v/>
      </c>
      <c r="C379">
        <f>Inputs!$B$3&gt;=115</f>
        <v/>
      </c>
      <c r="D379">
        <f>IF(Skills!C9=1,60+Inputs!$B$26+Inputs!$B$30,IF(Skills!C9=2,90+Inputs!$B$27+Inputs!$B$30,IF(Skills!C9=3,120+Inputs!$B$28+Inputs!$B$30,MAX(0,(Inputs!$B$3-100)*3)+Inputs!$B$29+Inputs!$B$30)))</f>
        <v/>
      </c>
      <c r="E379">
        <f>INDEX(FactorTable!$B$2:$Y$301, MATCH(ROUND(MIN(300,MAX(1,D379)),0), FactorTable!$A$2:$A$301,0), Skills!L9+1)</f>
        <v/>
      </c>
      <c r="F379">
        <f>IF(Skills!M9=TRUE,(Skills!K9/10)*(E379/1000),Skills!K9/10)+Skills!N9</f>
        <v/>
      </c>
      <c r="G379">
        <f>Calc!G9</f>
        <v/>
      </c>
      <c r="H379">
        <f>Calc!H9</f>
        <v/>
      </c>
      <c r="I379">
        <f>IF(Skills!T9&lt;&gt;"",1+(Skills!T9/10)*($Z$3/1000)/100,1)</f>
        <v/>
      </c>
      <c r="J379">
        <f>((Inputs!$B$6*(1+Inputs!$B$7/100))+(((Inputs!$B$13*(1+Inputs!$B$14/100))-(Inputs!$B$13*(1+Inputs!$B$14/100)))+0.25*(Inputs!$B$15-Inputs!$B$15))*(1+Inputs!$B$7/100))*(F379/100)</f>
        <v/>
      </c>
      <c r="K379">
        <f>J379*(1+(((Inputs!$B$13+IF(Inputs!$B$3&gt;=35,(10*INDEX(FactorTable!$B$2:$Y$301, MATCH(ROUND(MIN(300,MAX(1,Inputs!$B$3)),0), FactorTable!$A$2:$A$301,0), 23)/1000)/100*(Inputs!$B$8*(1+(Inputs!$B$9+B408)/100)),0))*(1+Inputs!$B$14/100))*0.01+Inputs!$B$15*0.0025)/100)*(1+(Inputs!$B$16+B402)/100)*(1+IF(Inputs!$B$39="pvp",0,(1-Summary!$B$48)*(Inputs!$B$21+Skills!O9+B400)+Summary!$B$48*(Inputs!$B$22+Skills!P9+B401))/100)*(1+Inputs!$B$17/100)*(5000/(6000+Inputs!$B$43*(1-Inputs!$B$20/100)))*(1+((((1+Inputs!$B$25/100)*(1.01))-1)*100)/100)*(1+IF(C388=TRUE,F388,0)/100)*(1+IF(C390=TRUE,F390,0)/100)*(1+IF(Skills!A9="TRIUMPH_FEATHER",IF(C386=TRUE,F386,0),0)/100)*(1+IF(C397=TRUE,F397,0)/100)^5*(1+(IF(Skills!A9="BIG_BANG",Inputs!$B$18,Inputs!$B$19))/100)*(B399*I379)</f>
        <v/>
      </c>
      <c r="L379">
        <f>K379*(MIN(Inputs!$B$23+(F392-Calc!F22),Inputs!$B$24)/100+Inputs!$B$24/100)/2</f>
        <v/>
      </c>
      <c r="M379">
        <f>L379*(1+(Inputs!$B$11+B403+(F395-Calc!F25))/100)</f>
        <v/>
      </c>
      <c r="N379">
        <f>L379*(1-MIN(Inputs!$B$10+((F394-Calc!F24)+(F393-Calc!F23)),100)/100)+M379*(MIN(Inputs!$B$10+((F394-Calc!F24)+(F393-Calc!F23)),100)/100)</f>
        <v/>
      </c>
      <c r="O379">
        <f>IF(C379,H379*N379*IF(AND(Inputs!$B$39&lt;&gt;"pvp",Inputs!$B$44&gt;0),((Skills!F9*((R379-1)*IF(Skills!G9&gt;0,Skills!H9/Skills!G9,1)+IF(Skills!G9&gt;0,MIN(Skills!H9,MAX(0,MAX(0,Inputs!$B$44-B409)-((R379-1)*IF(Inputs!$B$39="pvp",15,MAX(0.1,Skills!D9-IF(Skills!E9=TRUE,Inputs!$B$33,0))))))/Skills!G9,1)))/Inputs!$B$44),G379*Q379)*IF(Inputs!$B$39="pvp",1,(1-Summary!$B$48)*(1)+Summary!$B$48*(MIN(Skills!Q9,Inputs!$B$38))),0)</f>
        <v/>
      </c>
      <c r="P379">
        <f>IF(B410=0,0,O379/B410)</f>
        <v/>
      </c>
      <c r="Q379">
        <f>IFERROR(1/IF(Inputs!$B$39="pvp",15,MAX(0.1,Skills!D9-IF(Skills!E9=TRUE,Inputs!$B$33,0))),0)</f>
        <v/>
      </c>
      <c r="R379">
        <f>IF(AND(Inputs!$B$39&lt;&gt;"pvp",Inputs!$B$44&gt;0),IF(MAX(0,Inputs!$B$44-B409)&lt;=0,0,(INT(MAX(0,Inputs!$B$44-B409)/IF(Inputs!$B$39="pvp",15,MAX(0.1,Skills!D9-IF(Skills!E9=TRUE,Inputs!$B$33,0))))+1)),0)</f>
        <v/>
      </c>
    </row>
    <row r="380">
      <c r="A380">
        <f>Skills!A10</f>
        <v/>
      </c>
      <c r="B380">
        <f>Skills!B10</f>
        <v/>
      </c>
      <c r="C380">
        <f>Inputs!$B$3&gt;=66</f>
        <v/>
      </c>
      <c r="D380">
        <f>IF(Skills!C10=1,60+Inputs!$B$26+Inputs!$B$30,IF(Skills!C10=2,90+Inputs!$B$27+Inputs!$B$30,IF(Skills!C10=3,120+Inputs!$B$28+Inputs!$B$30,MAX(0,(Inputs!$B$3-100)*3)+Inputs!$B$29+Inputs!$B$30)))</f>
        <v/>
      </c>
      <c r="E380">
        <f>INDEX(FactorTable!$B$2:$Y$301, MATCH(ROUND(MIN(300,MAX(1,D380)),0), FactorTable!$A$2:$A$301,0), Skills!L10+1)</f>
        <v/>
      </c>
      <c r="F380" t="n">
        <v>0</v>
      </c>
      <c r="G380">
        <f>Calc!G10</f>
        <v/>
      </c>
      <c r="H380">
        <f>Calc!H10</f>
        <v/>
      </c>
      <c r="I380">
        <f>IF(Skills!T10&lt;&gt;"",1+(Skills!T10/10)*($Z$3/1000)/100,1)</f>
        <v/>
      </c>
      <c r="J380" t="inlineStr"/>
      <c r="K380" t="inlineStr"/>
      <c r="L380" t="inlineStr"/>
      <c r="M380" t="inlineStr"/>
      <c r="N380" t="inlineStr"/>
      <c r="O380" t="n">
        <v>0</v>
      </c>
      <c r="P380">
        <f>IF(B410=0,0,O380/B410)</f>
        <v/>
      </c>
      <c r="Q380">
        <f>IFERROR(1/IF(Inputs!$B$39="pvp",15,MAX(0.1,Skills!D10-IF(Skills!E10=TRUE,Inputs!$B$33,0))),0)</f>
        <v/>
      </c>
      <c r="R380">
        <f>IF(AND(Inputs!$B$39&lt;&gt;"pvp",Inputs!$B$44&gt;0),IF(MAX(0,Inputs!$B$44-B409)&lt;=0,0,(INT(MAX(0,Inputs!$B$44-B409)/IF(Inputs!$B$39="pvp",15,MAX(0.1,Skills!D10-IF(Skills!E10=TRUE,Inputs!$B$33,0))))+1)),0)</f>
        <v/>
      </c>
    </row>
    <row r="381">
      <c r="A381">
        <f>Skills!A11</f>
        <v/>
      </c>
      <c r="B381">
        <f>Skills!B11</f>
        <v/>
      </c>
      <c r="C381">
        <f>Inputs!$B$3&gt;=69</f>
        <v/>
      </c>
      <c r="D381">
        <f>IF(Skills!C11=1,60+Inputs!$B$26+Inputs!$B$30,IF(Skills!C11=2,90+Inputs!$B$27+Inputs!$B$30,IF(Skills!C11=3,120+Inputs!$B$28+Inputs!$B$30,MAX(0,(Inputs!$B$3-100)*3)+Inputs!$B$29+Inputs!$B$30)))</f>
        <v/>
      </c>
      <c r="E381">
        <f>INDEX(FactorTable!$B$2:$Y$301, MATCH(ROUND(MIN(300,MAX(1,D381)),0), FactorTable!$A$2:$A$301,0), Skills!L11+1)</f>
        <v/>
      </c>
      <c r="F381">
        <f>IF(Skills!M11=TRUE,(Skills!K11/10)*(E381/1000),Skills!K11/10)+Skills!N11</f>
        <v/>
      </c>
      <c r="G381">
        <f>Calc!G11</f>
        <v/>
      </c>
      <c r="H381">
        <f>Calc!H11</f>
        <v/>
      </c>
      <c r="I381">
        <f>IF(Skills!T11&lt;&gt;"",1+(Skills!T11/10)*($Z$3/1000)/100,1)</f>
        <v/>
      </c>
      <c r="J381" t="inlineStr"/>
      <c r="K381" t="inlineStr"/>
      <c r="L381" t="inlineStr"/>
      <c r="M381" t="inlineStr"/>
      <c r="N381" t="inlineStr"/>
      <c r="O381" t="n">
        <v>0</v>
      </c>
      <c r="P381">
        <f>IF(B410=0,0,O381/B410)</f>
        <v/>
      </c>
      <c r="Q381">
        <f>IFERROR(1/IF(Inputs!$B$39="pvp",15,MAX(0.1,Skills!D11-IF(Skills!E11=TRUE,Inputs!$B$33,0))),0)</f>
        <v/>
      </c>
      <c r="R381">
        <f>IF(AND(Inputs!$B$39&lt;&gt;"pvp",Inputs!$B$44&gt;0),IF(Inputs!$B$44&lt;=0,0,(INT(Inputs!$B$44/IF(Inputs!$B$39="pvp",15,MAX(0.1,Skills!D11-IF(Skills!E11=TRUE,Inputs!$B$33,0))))+1)),0)</f>
        <v/>
      </c>
    </row>
    <row r="382">
      <c r="A382">
        <f>Skills!A12</f>
        <v/>
      </c>
      <c r="B382">
        <f>Skills!B12</f>
        <v/>
      </c>
      <c r="C382">
        <f>Inputs!$B$3&gt;=72</f>
        <v/>
      </c>
      <c r="D382">
        <f>IF(Skills!C12=1,60+Inputs!$B$26+Inputs!$B$30,IF(Skills!C12=2,90+Inputs!$B$27+Inputs!$B$30,IF(Skills!C12=3,120+Inputs!$B$28+Inputs!$B$30,MAX(0,(Inputs!$B$3-100)*3)+Inputs!$B$29+Inputs!$B$30)))</f>
        <v/>
      </c>
      <c r="E382">
        <f>INDEX(FactorTable!$B$2:$Y$301, MATCH(ROUND(MIN(300,MAX(1,D382)),0), FactorTable!$A$2:$A$301,0), Skills!L12+1)</f>
        <v/>
      </c>
      <c r="F382">
        <f>IF(Skills!M12=TRUE,(Skills!K12/10)*(E382/1000),Skills!K12/10)+Skills!N12</f>
        <v/>
      </c>
      <c r="G382">
        <f>Calc!G12</f>
        <v/>
      </c>
      <c r="H382">
        <f>Calc!H12</f>
        <v/>
      </c>
      <c r="I382">
        <f>IF(Skills!T12&lt;&gt;"",1+(Skills!T12/10)*($Z$3/1000)/100,1)</f>
        <v/>
      </c>
      <c r="J382" t="inlineStr"/>
      <c r="K382" t="inlineStr"/>
      <c r="L382" t="inlineStr"/>
      <c r="M382" t="inlineStr"/>
      <c r="N382" t="inlineStr"/>
      <c r="O382" t="n">
        <v>0</v>
      </c>
      <c r="P382">
        <f>IF(B410=0,0,O382/B410)</f>
        <v/>
      </c>
      <c r="Q382">
        <f>IFERROR(1/IF(Inputs!$B$39="pvp",15,MAX(0.1,Skills!D12-IF(Skills!E12=TRUE,Inputs!$B$33,0))),0)</f>
        <v/>
      </c>
      <c r="R382">
        <f>IF(AND(Inputs!$B$39&lt;&gt;"pvp",Inputs!$B$44&gt;0),IF(MAX(0,Inputs!$B$44-B409)&lt;=0,0,(INT(MAX(0,Inputs!$B$44-B409)/IF(Inputs!$B$39="pvp",15,MAX(0.1,Skills!D12-IF(Skills!E12=TRUE,Inputs!$B$33,0))))+1)),0)</f>
        <v/>
      </c>
    </row>
    <row r="383">
      <c r="A383">
        <f>Skills!A13</f>
        <v/>
      </c>
      <c r="B383">
        <f>Skills!B13</f>
        <v/>
      </c>
      <c r="C383">
        <f>Inputs!$B$3&gt;=60</f>
        <v/>
      </c>
      <c r="D383">
        <f>IF(Skills!C13=1,60+Inputs!$B$26+Inputs!$B$30,IF(Skills!C13=2,90+Inputs!$B$27+Inputs!$B$30,IF(Skills!C13=3,120+Inputs!$B$28+Inputs!$B$30,MAX(0,(Inputs!$B$3-100)*3)+Inputs!$B$29+Inputs!$B$30)))</f>
        <v/>
      </c>
      <c r="E383">
        <f>INDEX(FactorTable!$B$2:$Y$301, MATCH(ROUND(MIN(300,MAX(1,D383)),0), FactorTable!$A$2:$A$301,0), Skills!L13+1)</f>
        <v/>
      </c>
      <c r="F383">
        <f>IF(Skills!M13=TRUE,(Skills!K13/10)*(E383/1000),Skills!K13/10)+Skills!N13</f>
        <v/>
      </c>
      <c r="G383">
        <f>Calc!G13</f>
        <v/>
      </c>
      <c r="H383">
        <f>Calc!H13</f>
        <v/>
      </c>
      <c r="I383">
        <f>IF(Skills!T13&lt;&gt;"",1+(Skills!T13/10)*($Z$3/1000)/100,1)</f>
        <v/>
      </c>
      <c r="J383" t="inlineStr"/>
      <c r="K383" t="inlineStr"/>
      <c r="L383" t="inlineStr"/>
      <c r="M383" t="inlineStr"/>
      <c r="N383" t="inlineStr"/>
      <c r="O383" t="n">
        <v>0</v>
      </c>
      <c r="P383">
        <f>IF(B410=0,0,O383/B410)</f>
        <v/>
      </c>
      <c r="Q383">
        <f>IFERROR(1/IF(Inputs!$B$39="pvp",15,MAX(0.1,Skills!D13-IF(Skills!E13=TRUE,Inputs!$B$33,0))),0)</f>
        <v/>
      </c>
      <c r="R383">
        <f>IF(AND(Inputs!$B$39&lt;&gt;"pvp",Inputs!$B$44&gt;0),IF(MAX(0,Inputs!$B$44-B409)&lt;=0,0,(INT(MAX(0,Inputs!$B$44-B409)/IF(Inputs!$B$39="pvp",15,MAX(0.1,Skills!D13-IF(Skills!E13=TRUE,Inputs!$B$33,0))))+1)),0)</f>
        <v/>
      </c>
    </row>
    <row r="384">
      <c r="A384">
        <f>Skills!A14</f>
        <v/>
      </c>
      <c r="B384">
        <f>Skills!B14</f>
        <v/>
      </c>
      <c r="C384">
        <f>Inputs!$B$3&gt;=107</f>
        <v/>
      </c>
      <c r="D384">
        <f>IF(Skills!C14=1,60+Inputs!$B$26+Inputs!$B$30,IF(Skills!C14=2,90+Inputs!$B$27+Inputs!$B$30,IF(Skills!C14=3,120+Inputs!$B$28+Inputs!$B$30,MAX(0,(Inputs!$B$3-100)*3)+Inputs!$B$29+Inputs!$B$30)))</f>
        <v/>
      </c>
      <c r="E384">
        <f>INDEX(FactorTable!$B$2:$Y$301, MATCH(ROUND(MIN(300,MAX(1,D384)),0), FactorTable!$A$2:$A$301,0), Skills!L14+1)</f>
        <v/>
      </c>
      <c r="F384">
        <f>IF(Skills!M14=TRUE,(Skills!K14/10)*(E384/1000),Skills!K14/10)+Skills!N14</f>
        <v/>
      </c>
      <c r="G384">
        <f>Calc!G14</f>
        <v/>
      </c>
      <c r="H384">
        <f>Calc!H14</f>
        <v/>
      </c>
      <c r="I384">
        <f>IF(Skills!T14&lt;&gt;"",1+(Skills!T14/10)*($Z$3/1000)/100,1)</f>
        <v/>
      </c>
      <c r="J384" t="inlineStr"/>
      <c r="K384" t="inlineStr"/>
      <c r="L384" t="inlineStr"/>
      <c r="M384" t="inlineStr"/>
      <c r="N384" t="inlineStr"/>
      <c r="O384" t="n">
        <v>0</v>
      </c>
      <c r="P384">
        <f>IF(B410=0,0,O384/B410)</f>
        <v/>
      </c>
      <c r="Q384">
        <f>IFERROR(1/IF(Inputs!$B$39="pvp",15,MAX(0.1,Skills!D14-IF(Skills!E14=TRUE,Inputs!$B$33,0))),0)</f>
        <v/>
      </c>
      <c r="R384">
        <f>IF(AND(Inputs!$B$39&lt;&gt;"pvp",Inputs!$B$44&gt;0),IF(Inputs!$B$44&lt;=0,0,(INT(Inputs!$B$44/IF(Inputs!$B$39="pvp",15,MAX(0.1,Skills!D14-IF(Skills!E14=TRUE,Inputs!$B$33,0))))+1)),0)</f>
        <v/>
      </c>
    </row>
    <row r="385">
      <c r="A385">
        <f>Skills!A15</f>
        <v/>
      </c>
      <c r="B385">
        <f>Skills!B15</f>
        <v/>
      </c>
      <c r="C385">
        <f>Inputs!$B$3&gt;=63</f>
        <v/>
      </c>
      <c r="D385">
        <f>IF(Skills!C15=1,60+Inputs!$B$26+Inputs!$B$30,IF(Skills!C15=2,90+Inputs!$B$27+Inputs!$B$30,IF(Skills!C15=3,120+Inputs!$B$28+Inputs!$B$30,MAX(0,(Inputs!$B$3-100)*3)+Inputs!$B$29+Inputs!$B$30)))</f>
        <v/>
      </c>
      <c r="E385">
        <f>INDEX(FactorTable!$B$2:$Y$301, MATCH(ROUND(MIN(300,MAX(1,D385)),0), FactorTable!$A$2:$A$301,0), Skills!L15+1)</f>
        <v/>
      </c>
      <c r="F385">
        <f>IF(Skills!M15=TRUE,(Skills!K15/10)*(E385/1000),Skills!K15/10)+Skills!N15</f>
        <v/>
      </c>
      <c r="G385">
        <f>Calc!G15</f>
        <v/>
      </c>
      <c r="H385">
        <f>Calc!H15</f>
        <v/>
      </c>
      <c r="I385">
        <f>IF(Skills!T15&lt;&gt;"",1+(Skills!T15/10)*($Z$3/1000)/100,1)</f>
        <v/>
      </c>
      <c r="J385">
        <f>((Inputs!$B$6*(1+Inputs!$B$7/100))+(((Inputs!$B$13*(1+Inputs!$B$14/100))-(Inputs!$B$13*(1+Inputs!$B$14/100)))+0.25*(Inputs!$B$15-Inputs!$B$15))*(1+Inputs!$B$7/100))*(F385/100)</f>
        <v/>
      </c>
      <c r="K385">
        <f>J385*(1+(((Inputs!$B$13+IF(Inputs!$B$3&gt;=35,(10*INDEX(FactorTable!$B$2:$Y$301, MATCH(ROUND(MIN(300,MAX(1,Inputs!$B$3)),0), FactorTable!$A$2:$A$301,0), 23)/1000)/100*(Inputs!$B$8*(1+(Inputs!$B$9+B408)/100)),0))*(1+Inputs!$B$14/100))*0.01+Inputs!$B$15*0.0025)/100)*(1+(Inputs!$B$16+B402)/100)*(1+IF(Inputs!$B$39="pvp",0,(1-Summary!$B$48)*(Inputs!$B$21+Skills!O15+B400)+Summary!$B$48*(Inputs!$B$22+Skills!P15+B401))/100)*(1+Inputs!$B$17/100)*(5000/(6000+Inputs!$B$43*(1-Inputs!$B$20/100)))*(1+((((1+Inputs!$B$25/100)*(1.01))-1)*100)/100)*(1+IF(C388=TRUE,F388,0)/100)*(1+IF(C390=TRUE,F390,0)/100)*(1+IF(Skills!A15="TRIUMPH_FEATHER",IF(C386=TRUE,F386,0),0)/100)*(1+IF(C397=TRUE,F397,0)/100)^5*(1+(IF(Skills!A15="BIG_BANG",Inputs!$B$18,Inputs!$B$19))/100)*(B399*I385)</f>
        <v/>
      </c>
      <c r="L385">
        <f>K385*(MIN(Inputs!$B$23+(F392-Calc!F22),Inputs!$B$24)/100+Inputs!$B$24/100)/2</f>
        <v/>
      </c>
      <c r="M385">
        <f>L385*(1+(Inputs!$B$11+B403+(F395-Calc!F25))/100)</f>
        <v/>
      </c>
      <c r="N385">
        <f>L385*(1-MIN(Inputs!$B$10+((F394-Calc!F24)+(F393-Calc!F23)),100)/100)+M385*(MIN(Inputs!$B$10+((F394-Calc!F24)+(F393-Calc!F23)),100)/100)</f>
        <v/>
      </c>
      <c r="O385">
        <f>IF(C385,Skills!F15*N385*((IF(Inputs!$B$3&gt;=78,25,15)/100*B405*10)/(1+IF(Inputs!$B$3&gt;=78,25,15)/100*B405*10))*(Skills!I15/100*B405)/(1+Skills!G15*Skills!I15/100*B405)*IF(Inputs!$B$39="pvp",1,(1-Summary!$B$48)*(1)+Summary!$B$48*(MIN(Skills!Q15,Inputs!$B$38))),0)</f>
        <v/>
      </c>
      <c r="P385">
        <f>IF(B410=0,0,O385/B410)</f>
        <v/>
      </c>
      <c r="Q385">
        <f>IFERROR(1/IF(Inputs!$B$39="pvp",15,MAX(0.1,Skills!D15-IF(Skills!E15=TRUE,Inputs!$B$33,0))),0)</f>
        <v/>
      </c>
      <c r="R385" t="n">
        <v>0</v>
      </c>
    </row>
    <row r="386">
      <c r="A386">
        <f>Skills!A16</f>
        <v/>
      </c>
      <c r="B386">
        <f>Skills!B16</f>
        <v/>
      </c>
      <c r="C386">
        <f>Inputs!$B$3&gt;=100</f>
        <v/>
      </c>
      <c r="D386">
        <f>IF(Skills!C16=1,60+Inputs!$B$26+Inputs!$B$30,IF(Skills!C16=2,90+Inputs!$B$27+Inputs!$B$30,IF(Skills!C16=3,120+Inputs!$B$28+Inputs!$B$30,MAX(0,(Inputs!$B$3-100)*3)+Inputs!$B$29+Inputs!$B$30)))</f>
        <v/>
      </c>
      <c r="E386">
        <f>INDEX(FactorTable!$B$2:$Y$301, MATCH(ROUND(MIN(300,MAX(1,D386)),0), FactorTable!$A$2:$A$301,0), Skills!L16+1)</f>
        <v/>
      </c>
      <c r="F386">
        <f>IF(Skills!M16=TRUE,(Skills!K16/10)*(E386/1000),Skills!K16/10)+Skills!N16</f>
        <v/>
      </c>
      <c r="G386">
        <f>Calc!G16</f>
        <v/>
      </c>
      <c r="H386">
        <f>Calc!H16</f>
        <v/>
      </c>
      <c r="I386">
        <f>IF(Skills!T16&lt;&gt;"",1+(Skills!T16/10)*($Z$3/1000)/100,1)</f>
        <v/>
      </c>
      <c r="J386" t="inlineStr"/>
      <c r="K386" t="inlineStr"/>
      <c r="L386" t="inlineStr"/>
      <c r="M386" t="inlineStr"/>
      <c r="N386" t="inlineStr"/>
      <c r="O386" t="n">
        <v>0</v>
      </c>
      <c r="P386">
        <f>IF(B410=0,0,O386/B410)</f>
        <v/>
      </c>
      <c r="Q386">
        <f>IFERROR(1/IF(Inputs!$B$39="pvp",15,MAX(0.1,Skills!D16-IF(Skills!E16=TRUE,Inputs!$B$33,0))),0)</f>
        <v/>
      </c>
      <c r="R386" t="n">
        <v>0</v>
      </c>
    </row>
    <row r="387">
      <c r="A387">
        <f>Skills!A17</f>
        <v/>
      </c>
      <c r="B387">
        <f>Skills!B17</f>
        <v/>
      </c>
      <c r="C387">
        <f>Inputs!$B$3&gt;=49</f>
        <v/>
      </c>
      <c r="D387">
        <f>IF(Skills!C17=1,60+Inputs!$B$26+Inputs!$B$30,IF(Skills!C17=2,90+Inputs!$B$27+Inputs!$B$30,IF(Skills!C17=3,120+Inputs!$B$28+Inputs!$B$30,MAX(0,(Inputs!$B$3-100)*3)+Inputs!$B$29+Inputs!$B$30)))</f>
        <v/>
      </c>
      <c r="E387">
        <f>INDEX(FactorTable!$B$2:$Y$301, MATCH(ROUND(MIN(300,MAX(1,D387)),0), FactorTable!$A$2:$A$301,0), Skills!L17+1)</f>
        <v/>
      </c>
      <c r="F387">
        <f>IF(Skills!M17=TRUE,(Skills!K17/10)*(E387/1000),Skills!K17/10)+Skills!N17</f>
        <v/>
      </c>
      <c r="G387">
        <f>Calc!G17</f>
        <v/>
      </c>
      <c r="H387">
        <f>Calc!H17</f>
        <v/>
      </c>
      <c r="I387">
        <f>IF(Skills!T17&lt;&gt;"",1+(Skills!T17/10)*($Z$3/1000)/100,1)</f>
        <v/>
      </c>
      <c r="J387" t="inlineStr"/>
      <c r="K387" t="inlineStr"/>
      <c r="L387" t="inlineStr"/>
      <c r="M387" t="inlineStr"/>
      <c r="N387" t="inlineStr"/>
      <c r="O387" t="n">
        <v>0</v>
      </c>
      <c r="P387">
        <f>IF(B410=0,0,O387/B410)</f>
        <v/>
      </c>
      <c r="Q387">
        <f>IFERROR(1/IF(Inputs!$B$39="pvp",15,MAX(0.1,Skills!D17-IF(Skills!E17=TRUE,Inputs!$B$33,0))),0)</f>
        <v/>
      </c>
      <c r="R387" t="n">
        <v>0</v>
      </c>
    </row>
    <row r="388">
      <c r="A388">
        <f>Skills!A18</f>
        <v/>
      </c>
      <c r="B388">
        <f>Skills!B18</f>
        <v/>
      </c>
      <c r="C388">
        <f>Inputs!$B$3&gt;=75</f>
        <v/>
      </c>
      <c r="D388">
        <f>IF(Skills!C18=1,60+Inputs!$B$26+Inputs!$B$30,IF(Skills!C18=2,90+Inputs!$B$27+Inputs!$B$30,IF(Skills!C18=3,120+Inputs!$B$28+Inputs!$B$30,MAX(0,(Inputs!$B$3-100)*3)+Inputs!$B$29+Inputs!$B$30)))</f>
        <v/>
      </c>
      <c r="E388">
        <f>INDEX(FactorTable!$B$2:$Y$301, MATCH(ROUND(MIN(300,MAX(1,D388)),0), FactorTable!$A$2:$A$301,0), Skills!L18+1)</f>
        <v/>
      </c>
      <c r="F388">
        <f>IF(Skills!M18=TRUE,(Skills!K18/10)*(E388/1000),Skills!K18/10)+Skills!N18</f>
        <v/>
      </c>
      <c r="G388">
        <f>Calc!G18</f>
        <v/>
      </c>
      <c r="H388">
        <f>Calc!H18</f>
        <v/>
      </c>
      <c r="I388">
        <f>IF(Skills!T18&lt;&gt;"",1+(Skills!T18/10)*($Z$3/1000)/100,1)</f>
        <v/>
      </c>
      <c r="J388" t="inlineStr"/>
      <c r="K388" t="inlineStr"/>
      <c r="L388" t="inlineStr"/>
      <c r="M388" t="inlineStr"/>
      <c r="N388" t="inlineStr"/>
      <c r="O388" t="n">
        <v>0</v>
      </c>
      <c r="P388">
        <f>IF(B410=0,0,O388/B410)</f>
        <v/>
      </c>
      <c r="Q388">
        <f>IFERROR(1/IF(Inputs!$B$39="pvp",15,MAX(0.1,Skills!D18-IF(Skills!E18=TRUE,Inputs!$B$33,0))),0)</f>
        <v/>
      </c>
      <c r="R388" t="n">
        <v>0</v>
      </c>
    </row>
    <row r="389">
      <c r="A389">
        <f>Skills!A19</f>
        <v/>
      </c>
      <c r="B389">
        <f>Skills!B19</f>
        <v/>
      </c>
      <c r="C389">
        <f>Inputs!$B$3&gt;=110</f>
        <v/>
      </c>
      <c r="D389">
        <f>IF(Skills!C19=1,60+Inputs!$B$26+Inputs!$B$30,IF(Skills!C19=2,90+Inputs!$B$27+Inputs!$B$30,IF(Skills!C19=3,120+Inputs!$B$28+Inputs!$B$30,MAX(0,(Inputs!$B$3-100)*3)+Inputs!$B$29+Inputs!$B$30)))</f>
        <v/>
      </c>
      <c r="E389">
        <f>INDEX(FactorTable!$B$2:$Y$301, MATCH(ROUND(MIN(300,MAX(1,D389)),0), FactorTable!$A$2:$A$301,0), Skills!L19+1)</f>
        <v/>
      </c>
      <c r="F389">
        <f>(Skills!K19/10)*(E389/1000)*64/45+Skills!N19</f>
        <v/>
      </c>
      <c r="G389">
        <f>Calc!G19</f>
        <v/>
      </c>
      <c r="H389">
        <f>Calc!H19</f>
        <v/>
      </c>
      <c r="I389">
        <f>IF(Skills!T19&lt;&gt;"",1+(Skills!T19/10)*($Z$3/1000)/100,1)</f>
        <v/>
      </c>
      <c r="J389" t="inlineStr"/>
      <c r="K389" t="inlineStr"/>
      <c r="L389" t="inlineStr"/>
      <c r="M389" t="inlineStr"/>
      <c r="N389" t="inlineStr"/>
      <c r="O389" t="n">
        <v>0</v>
      </c>
      <c r="P389">
        <f>IF(B410=0,0,O389/B410)</f>
        <v/>
      </c>
      <c r="Q389">
        <f>IFERROR(1/IF(Inputs!$B$39="pvp",15,MAX(0.1,Skills!D19-IF(Skills!E19=TRUE,Inputs!$B$33,0))),0)</f>
        <v/>
      </c>
      <c r="R389">
        <f>IF(AND(Inputs!$B$39&lt;&gt;"pvp",Inputs!$B$44&gt;0),IF(Inputs!$B$44&lt;=0,0,(INT(Inputs!$B$44/IF(Inputs!$B$39="pvp",15,MAX(0.1,Skills!D19-IF(Skills!E19=TRUE,Inputs!$B$33,0))))+1)),0)</f>
        <v/>
      </c>
    </row>
    <row r="390">
      <c r="A390">
        <f>Skills!A20</f>
        <v/>
      </c>
      <c r="B390">
        <f>Skills!B20</f>
        <v/>
      </c>
      <c r="C390">
        <f>Inputs!$B$3&gt;=125</f>
        <v/>
      </c>
      <c r="D390">
        <f>IF(Skills!C20=1,60+Inputs!$B$26+Inputs!$B$30,IF(Skills!C20=2,90+Inputs!$B$27+Inputs!$B$30,IF(Skills!C20=3,120+Inputs!$B$28+Inputs!$B$30,MAX(0,(Inputs!$B$3-100)*3)+Inputs!$B$29+Inputs!$B$30)))</f>
        <v/>
      </c>
      <c r="E390">
        <f>INDEX(FactorTable!$B$2:$Y$301, MATCH(ROUND(MIN(300,MAX(1,D390)),0), FactorTable!$A$2:$A$301,0), Skills!L20+1)</f>
        <v/>
      </c>
      <c r="F390">
        <f>IF(Skills!M20=TRUE,(Skills!K20/10)*(E390/1000),Skills!K20/10)+Skills!N20</f>
        <v/>
      </c>
      <c r="G390">
        <f>Calc!G20</f>
        <v/>
      </c>
      <c r="H390">
        <f>Calc!H20</f>
        <v/>
      </c>
      <c r="I390">
        <f>IF(Skills!T20&lt;&gt;"",1+(Skills!T20/10)*($Z$3/1000)/100,1)</f>
        <v/>
      </c>
      <c r="J390" t="inlineStr"/>
      <c r="K390" t="inlineStr"/>
      <c r="L390" t="inlineStr"/>
      <c r="M390" t="inlineStr"/>
      <c r="N390" t="inlineStr"/>
      <c r="O390" t="n">
        <v>0</v>
      </c>
      <c r="P390">
        <f>IF(B410=0,0,O390/B410)</f>
        <v/>
      </c>
      <c r="Q390">
        <f>IFERROR(1/IF(Inputs!$B$39="pvp",15,MAX(0.1,Skills!D20-IF(Skills!E20=TRUE,Inputs!$B$33,0))),0)</f>
        <v/>
      </c>
      <c r="R390" t="n">
        <v>0</v>
      </c>
    </row>
    <row r="391">
      <c r="A391">
        <f>Skills!A21</f>
        <v/>
      </c>
      <c r="B391">
        <f>Skills!B21</f>
        <v/>
      </c>
      <c r="C391">
        <f>Inputs!$B$3&gt;=33</f>
        <v/>
      </c>
      <c r="D391">
        <f>IF(Skills!C21=1,60+Inputs!$B$26+Inputs!$B$30,IF(Skills!C21=2,90+Inputs!$B$27+Inputs!$B$30,IF(Skills!C21=3,120+Inputs!$B$28+Inputs!$B$30,MAX(0,(Inputs!$B$3-100)*3)+Inputs!$B$29+Inputs!$B$30)))</f>
        <v/>
      </c>
      <c r="E391">
        <f>INDEX(FactorTable!$B$2:$Y$301, MATCH(ROUND(MIN(300,MAX(1,D391)),0), FactorTable!$A$2:$A$301,0), Skills!L21+1)</f>
        <v/>
      </c>
      <c r="F391">
        <f>IF(Skills!M21=TRUE,(Skills!K21/10)*(E391/1000),Skills!K21/10)+Skills!N21</f>
        <v/>
      </c>
      <c r="G391">
        <f>Calc!G21</f>
        <v/>
      </c>
      <c r="H391">
        <f>Calc!H21</f>
        <v/>
      </c>
      <c r="I391">
        <f>IF(Skills!T21&lt;&gt;"",1+(Skills!T21/10)*($Z$3/1000)/100,1)</f>
        <v/>
      </c>
      <c r="J391" t="inlineStr"/>
      <c r="K391" t="inlineStr"/>
      <c r="L391" t="inlineStr"/>
      <c r="M391" t="inlineStr"/>
      <c r="N391" t="inlineStr"/>
      <c r="O391" t="n">
        <v>0</v>
      </c>
      <c r="P391">
        <f>IF(B410=0,0,O391/B410)</f>
        <v/>
      </c>
      <c r="Q391">
        <f>IFERROR(1/IF(Inputs!$B$39="pvp",15,MAX(0.1,Skills!D21-IF(Skills!E21=TRUE,Inputs!$B$33,0))),0)</f>
        <v/>
      </c>
      <c r="R391" t="n">
        <v>0</v>
      </c>
    </row>
    <row r="392">
      <c r="A392">
        <f>Skills!A22</f>
        <v/>
      </c>
      <c r="B392">
        <f>Skills!B22</f>
        <v/>
      </c>
      <c r="C392">
        <f>Inputs!$B$3&gt;=43</f>
        <v/>
      </c>
      <c r="D392">
        <f>IF(Skills!C22=1,60+Inputs!$B$26+Inputs!$B$30,IF(Skills!C22=2,90+Inputs!$B$27+Inputs!$B$30,IF(Skills!C22=3,120+Inputs!$B$28+Inputs!$B$30,MAX(0,(Inputs!$B$3-100)*3)+Inputs!$B$29+Inputs!$B$30)))</f>
        <v/>
      </c>
      <c r="E392">
        <f>INDEX(FactorTable!$B$2:$Y$301, MATCH(ROUND(MIN(300,MAX(1,D392)),0), FactorTable!$A$2:$A$301,0), Skills!L22+1)</f>
        <v/>
      </c>
      <c r="F392">
        <f>IF(Skills!M22=TRUE,(Skills!K22/10)*(E392/1000),Skills!K22/10)+Skills!N22</f>
        <v/>
      </c>
      <c r="G392">
        <f>Calc!G22</f>
        <v/>
      </c>
      <c r="H392">
        <f>Calc!H22</f>
        <v/>
      </c>
      <c r="I392">
        <f>IF(Skills!T22&lt;&gt;"",1+(Skills!T22/10)*($Z$3/1000)/100,1)</f>
        <v/>
      </c>
      <c r="J392" t="inlineStr"/>
      <c r="K392" t="inlineStr"/>
      <c r="L392" t="inlineStr"/>
      <c r="M392" t="inlineStr"/>
      <c r="N392" t="inlineStr"/>
      <c r="O392" t="n">
        <v>0</v>
      </c>
      <c r="P392">
        <f>IF(B410=0,0,O392/B410)</f>
        <v/>
      </c>
      <c r="Q392">
        <f>IFERROR(1/IF(Inputs!$B$39="pvp",15,MAX(0.1,Skills!D22-IF(Skills!E22=TRUE,Inputs!$B$33,0))),0)</f>
        <v/>
      </c>
      <c r="R392" t="n">
        <v>0</v>
      </c>
    </row>
    <row r="393">
      <c r="A393">
        <f>Skills!A23</f>
        <v/>
      </c>
      <c r="B393">
        <f>Skills!B23</f>
        <v/>
      </c>
      <c r="C393">
        <f>Inputs!$B$3&gt;=50</f>
        <v/>
      </c>
      <c r="D393">
        <f>IF(Skills!C23=1,60+Inputs!$B$26+Inputs!$B$30,IF(Skills!C23=2,90+Inputs!$B$27+Inputs!$B$30,IF(Skills!C23=3,120+Inputs!$B$28+Inputs!$B$30,MAX(0,(Inputs!$B$3-100)*3)+Inputs!$B$29+Inputs!$B$30)))</f>
        <v/>
      </c>
      <c r="E393">
        <f>INDEX(FactorTable!$B$2:$Y$301, MATCH(ROUND(MIN(300,MAX(1,D393)),0), FactorTable!$A$2:$A$301,0), Skills!L23+1)</f>
        <v/>
      </c>
      <c r="F393">
        <f>IF(Skills!M23=TRUE,(Skills!K23/10)*(E393/1000),Skills!K23/10)+Skills!N23</f>
        <v/>
      </c>
      <c r="G393">
        <f>Calc!G23</f>
        <v/>
      </c>
      <c r="H393">
        <f>Calc!H23</f>
        <v/>
      </c>
      <c r="I393">
        <f>IF(Skills!T23&lt;&gt;"",1+(Skills!T23/10)*($Z$3/1000)/100,1)</f>
        <v/>
      </c>
      <c r="J393" t="inlineStr"/>
      <c r="K393" t="inlineStr"/>
      <c r="L393" t="inlineStr"/>
      <c r="M393" t="inlineStr"/>
      <c r="N393" t="inlineStr"/>
      <c r="O393" t="n">
        <v>0</v>
      </c>
      <c r="P393">
        <f>IF(B410=0,0,O393/B410)</f>
        <v/>
      </c>
      <c r="Q393">
        <f>IFERROR(1/IF(Inputs!$B$39="pvp",15,MAX(0.1,Skills!D23-IF(Skills!E23=TRUE,Inputs!$B$33,0))),0)</f>
        <v/>
      </c>
      <c r="R393" t="n">
        <v>0</v>
      </c>
    </row>
    <row r="394">
      <c r="A394">
        <f>Skills!A24</f>
        <v/>
      </c>
      <c r="B394">
        <f>Skills!B24</f>
        <v/>
      </c>
      <c r="C394">
        <f>Inputs!$B$3&gt;=74</f>
        <v/>
      </c>
      <c r="D394">
        <f>IF(Skills!C24=1,60+Inputs!$B$26+Inputs!$B$30,IF(Skills!C24=2,90+Inputs!$B$27+Inputs!$B$30,IF(Skills!C24=3,120+Inputs!$B$28+Inputs!$B$30,MAX(0,(Inputs!$B$3-100)*3)+Inputs!$B$29+Inputs!$B$30)))</f>
        <v/>
      </c>
      <c r="E394">
        <f>INDEX(FactorTable!$B$2:$Y$301, MATCH(ROUND(MIN(300,MAX(1,D394)),0), FactorTable!$A$2:$A$301,0), Skills!L24+1)</f>
        <v/>
      </c>
      <c r="F394">
        <f>IF(Skills!M24=TRUE,(Skills!K24/10)*(E394/1000),Skills!K24/10)+Skills!N24</f>
        <v/>
      </c>
      <c r="G394">
        <f>Calc!G24</f>
        <v/>
      </c>
      <c r="H394">
        <f>Calc!H24</f>
        <v/>
      </c>
      <c r="I394">
        <f>IF(Skills!T24&lt;&gt;"",1+(Skills!T24/10)*($Z$3/1000)/100,1)</f>
        <v/>
      </c>
      <c r="J394" t="inlineStr"/>
      <c r="K394" t="inlineStr"/>
      <c r="L394" t="inlineStr"/>
      <c r="M394" t="inlineStr"/>
      <c r="N394" t="inlineStr"/>
      <c r="O394" t="n">
        <v>0</v>
      </c>
      <c r="P394">
        <f>IF(B410=0,0,O394/B410)</f>
        <v/>
      </c>
      <c r="Q394">
        <f>IFERROR(1/IF(Inputs!$B$39="pvp",15,MAX(0.1,Skills!D24-IF(Skills!E24=TRUE,Inputs!$B$33,0))),0)</f>
        <v/>
      </c>
      <c r="R394" t="n">
        <v>0</v>
      </c>
    </row>
    <row r="395">
      <c r="A395">
        <f>Skills!A25</f>
        <v/>
      </c>
      <c r="B395">
        <f>Skills!B25</f>
        <v/>
      </c>
      <c r="C395">
        <f>Inputs!$B$3&gt;=74</f>
        <v/>
      </c>
      <c r="D395">
        <f>IF(Skills!C25=1,60+Inputs!$B$26+Inputs!$B$30,IF(Skills!C25=2,90+Inputs!$B$27+Inputs!$B$30,IF(Skills!C25=3,120+Inputs!$B$28+Inputs!$B$30,MAX(0,(Inputs!$B$3-100)*3)+Inputs!$B$29+Inputs!$B$30)))</f>
        <v/>
      </c>
      <c r="E395">
        <f>INDEX(FactorTable!$B$2:$Y$301, MATCH(ROUND(MIN(300,MAX(1,D395)),0), FactorTable!$A$2:$A$301,0), Skills!L25+1)</f>
        <v/>
      </c>
      <c r="F395">
        <f>IF(Skills!M25=TRUE,(Skills!K25/10)*(E395/1000),Skills!K25/10)+Skills!N25</f>
        <v/>
      </c>
      <c r="G395">
        <f>Calc!G25</f>
        <v/>
      </c>
      <c r="H395">
        <f>Calc!H25</f>
        <v/>
      </c>
      <c r="I395">
        <f>IF(Skills!T25&lt;&gt;"",1+(Skills!T25/10)*($Z$3/1000)/100,1)</f>
        <v/>
      </c>
      <c r="J395" t="inlineStr"/>
      <c r="K395" t="inlineStr"/>
      <c r="L395" t="inlineStr"/>
      <c r="M395" t="inlineStr"/>
      <c r="N395" t="inlineStr"/>
      <c r="O395" t="n">
        <v>0</v>
      </c>
      <c r="P395">
        <f>IF(B410=0,0,O395/B410)</f>
        <v/>
      </c>
      <c r="Q395">
        <f>IFERROR(1/IF(Inputs!$B$39="pvp",15,MAX(0.1,Skills!D25-IF(Skills!E25=TRUE,Inputs!$B$33,0))),0)</f>
        <v/>
      </c>
      <c r="R395" t="n">
        <v>0</v>
      </c>
    </row>
    <row r="396">
      <c r="A396">
        <f>Skills!A26</f>
        <v/>
      </c>
      <c r="B396">
        <f>Skills!B26</f>
        <v/>
      </c>
      <c r="C396">
        <f>Inputs!$B$3&gt;=117</f>
        <v/>
      </c>
      <c r="D396">
        <f>IF(Skills!C26=1,60+Inputs!$B$26+Inputs!$B$30,IF(Skills!C26=2,90+Inputs!$B$27+Inputs!$B$30,IF(Skills!C26=3,120+Inputs!$B$28+Inputs!$B$30,MAX(0,(Inputs!$B$3-100)*3)+Inputs!$B$29+Inputs!$B$30)))</f>
        <v/>
      </c>
      <c r="E396">
        <f>INDEX(FactorTable!$B$2:$Y$301, MATCH(ROUND(MIN(300,MAX(1,D396)),0), FactorTable!$A$2:$A$301,0), Skills!L26+1)</f>
        <v/>
      </c>
      <c r="F396">
        <f>IF(Skills!M26=TRUE,(Skills!K26/10)*(E396/1000),Skills!K26/10)+Skills!N26</f>
        <v/>
      </c>
      <c r="G396">
        <f>Calc!G26</f>
        <v/>
      </c>
      <c r="H396">
        <f>Calc!H26</f>
        <v/>
      </c>
      <c r="I396">
        <f>IF(Skills!T26&lt;&gt;"",1+(Skills!T26/10)*($Z$3/1000)/100,1)</f>
        <v/>
      </c>
      <c r="J396" t="inlineStr"/>
      <c r="K396" t="inlineStr"/>
      <c r="L396" t="inlineStr"/>
      <c r="M396" t="inlineStr"/>
      <c r="N396" t="inlineStr"/>
      <c r="O396" t="n">
        <v>0</v>
      </c>
      <c r="P396">
        <f>IF(B410=0,0,O396/B410)</f>
        <v/>
      </c>
      <c r="Q396">
        <f>IFERROR(1/IF(Inputs!$B$39="pvp",15,MAX(0.1,Skills!D26-IF(Skills!E26=TRUE,Inputs!$B$33,0))),0)</f>
        <v/>
      </c>
      <c r="R396" t="n">
        <v>0</v>
      </c>
    </row>
    <row r="397">
      <c r="A397">
        <f>Skills!A27</f>
        <v/>
      </c>
      <c r="B397">
        <f>Skills!B27</f>
        <v/>
      </c>
      <c r="C397">
        <f>Inputs!$B$3&gt;=120</f>
        <v/>
      </c>
      <c r="D397">
        <f>IF(Skills!C27=1,60+Inputs!$B$26+Inputs!$B$30,IF(Skills!C27=2,90+Inputs!$B$27+Inputs!$B$30,IF(Skills!C27=3,120+Inputs!$B$28+Inputs!$B$30,MAX(0,(Inputs!$B$3-100)*3)+Inputs!$B$29+Inputs!$B$30)))</f>
        <v/>
      </c>
      <c r="E397">
        <f>INDEX(FactorTable!$B$2:$Y$301, MATCH(ROUND(MIN(300,MAX(1,D397)),0), FactorTable!$A$2:$A$301,0), Skills!L27+1)</f>
        <v/>
      </c>
      <c r="F397">
        <f>IF(Skills!M27=TRUE,(Skills!K27/10)*(E397/1000),Skills!K27/10)+Skills!N27</f>
        <v/>
      </c>
      <c r="G397">
        <f>Calc!G27</f>
        <v/>
      </c>
      <c r="H397">
        <f>Calc!H27</f>
        <v/>
      </c>
      <c r="I397">
        <f>IF(Skills!T27&lt;&gt;"",1+(Skills!T27/10)*($Z$3/1000)/100,1)</f>
        <v/>
      </c>
      <c r="J397" t="inlineStr"/>
      <c r="K397" t="inlineStr"/>
      <c r="L397" t="inlineStr"/>
      <c r="M397" t="inlineStr"/>
      <c r="N397" t="inlineStr"/>
      <c r="O397" t="n">
        <v>0</v>
      </c>
      <c r="P397">
        <f>IF(B410=0,0,O397/B410)</f>
        <v/>
      </c>
      <c r="Q397">
        <f>IFERROR(1/IF(Inputs!$B$39="pvp",15,MAX(0.1,Skills!D27-IF(Skills!E27=TRUE,Inputs!$B$33,0))),0)</f>
        <v/>
      </c>
      <c r="R397" t="n">
        <v>0</v>
      </c>
    </row>
    <row r="399">
      <c r="A399" t="inlineStr">
        <is>
          <t>Average Buff Multiplier</t>
        </is>
      </c>
      <c r="B399">
        <f>(1+(IF(C373=TRUE,F373*IF(AND(Inputs!$B$39&lt;&gt;"pvp",Inputs!$B$44&gt;0),(((R373-1)*(Skills!S3*(1+(Inputs!$B$35+IF(Inputs!$B$3&gt;=117,F396,0))/100))+MIN((Skills!S3*(1+(Inputs!$B$35+IF(Inputs!$B$3&gt;=117,F396,0))/100)),MAX(0,Inputs!$B$44-((R373-1)*Skills!D3))))/Inputs!$B$44),IF(Inputs!$B$39="pvp",MIN((Skills!S3*(1+(Inputs!$B$35+IF(Inputs!$B$3&gt;=117,F396,0))/100)),15)/15,(Skills!S3*(1+(Inputs!$B$35+IF(Inputs!$B$3&gt;=117,F396,0))/100))/Skills!D3)),0)+IF(C374=TRUE,F374*IF(AND(Inputs!$B$39&lt;&gt;"pvp",Inputs!$B$44&gt;0),(((R374-1)*(Skills!S4*(1+(Inputs!$B$35+IF(Inputs!$B$3&gt;=117,F396,0))/100))+MIN((Skills!S4*(1+(Inputs!$B$35+IF(Inputs!$B$3&gt;=117,F396,0))/100)),MAX(0,Inputs!$B$44-((R374-1)*Skills!D4))))/Inputs!$B$44),IF(Inputs!$B$39="pvp",MIN((Skills!S4*(1+(Inputs!$B$35+IF(Inputs!$B$3&gt;=117,F396,0))/100)),15)/15,(Skills!S4*(1+(Inputs!$B$35+IF(Inputs!$B$3&gt;=117,F396,0))/100))/Skills!D4)),0)+IF(C375=TRUE,F375*IF(AND(Inputs!$B$39&lt;&gt;"pvp",Inputs!$B$44&gt;0),(((R375-1)*(Skills!S5*(1+(Inputs!$B$35+IF(Inputs!$B$3&gt;=117,F396,0))/100))+MIN((Skills!S5*(1+(Inputs!$B$35+IF(Inputs!$B$3&gt;=117,F396,0))/100)),MAX(0,Inputs!$B$44-((R375-1)*Skills!D5))))/Inputs!$B$44),IF(Inputs!$B$39="pvp",MIN((Skills!S5*(1+(Inputs!$B$35+IF(Inputs!$B$3&gt;=117,F396,0))/100)),15)/15,(Skills!S5*(1+(Inputs!$B$35+IF(Inputs!$B$3&gt;=117,F396,0))/100))/Skills!D5)),0)+IF(C381=TRUE,F381*IF(AND(Inputs!$B$39&lt;&gt;"pvp",Inputs!$B$44&gt;0),(((R381-1)*(Skills!S11*(1+(Inputs!$B$35+IF(Inputs!$B$3&gt;=117,F396,0))/100))+MIN((Skills!S11*(1+(Inputs!$B$35+IF(Inputs!$B$3&gt;=117,F396,0))/100)),MAX(0,Inputs!$B$44-((R381-1)*Skills!D11))))/Inputs!$B$44),IF(Inputs!$B$39="pvp",MIN((Skills!S11*(1+(Inputs!$B$35+IF(Inputs!$B$3&gt;=117,F396,0))/100)),15)/15,(Skills!S11*(1+(Inputs!$B$35+IF(Inputs!$B$3&gt;=117,F396,0))/100))/Skills!D11)),0))/100)*IF(C384=TRUE,(1+F384*IF(AND(Inputs!$B$39&lt;&gt;"pvp",Inputs!$B$44&gt;0),(((R384-1)*(Skills!S14*(1+(Inputs!$B$35+IF(Inputs!$B$3&gt;=117,F396,0))/100))+MIN((Skills!S14*(1+(Inputs!$B$35+IF(Inputs!$B$3&gt;=117,F396,0))/100)),MAX(0,Inputs!$B$44-((R384-1)*Skills!D14))))/Inputs!$B$44),IF(Inputs!$B$39="pvp",MIN((Skills!S14*(1+(Inputs!$B$35+IF(Inputs!$B$3&gt;=117,F396,0))/100)),15)/15,(Skills!S14*(1+(Inputs!$B$35+IF(Inputs!$B$3&gt;=117,F396,0))/100))/Skills!D14))/100),1)*IF(C389=TRUE,(1+F389*IF(AND(Inputs!$B$39&lt;&gt;"pvp",Inputs!$B$44&gt;0),(((R389-1)*(Skills!S19*(1+(Inputs!$B$35+IF(Inputs!$B$3&gt;=117,F396,0))/100))+MIN((Skills!S19*(1+(Inputs!$B$35+IF(Inputs!$B$3&gt;=117,F396,0))/100)),MAX(0,Inputs!$B$44-((R389-1)*Skills!D19))))/Inputs!$B$44),IF(Inputs!$B$39="pvp",MIN((Skills!S19*(1+(Inputs!$B$35+IF(Inputs!$B$3&gt;=117,F396,0))/100)),15)/15,(Skills!S19*(1+(Inputs!$B$35+IF(Inputs!$B$3&gt;=117,F396,0))/100))/Skills!D19))/100),1)</f>
        <v/>
      </c>
    </row>
    <row r="400">
      <c r="A400" t="inlineStr">
        <is>
          <t>Monster Damage Taken Bonus % (Holy Fountain)</t>
        </is>
      </c>
      <c r="B400">
        <f>IF(Inputs!$B$3&gt;=68,20*IF(Inputs!$B$39="pvp",MIN((15*(1+(Inputs!$B$35+IF(Inputs!$B$3&gt;=117,F396,0))/100)),15)/15,(15*(1+(Inputs!$B$35+IF(Inputs!$B$3&gt;=117,F396,0))/100))/Skills!D10),0)</f>
        <v/>
      </c>
    </row>
    <row r="401">
      <c r="A401" t="inlineStr">
        <is>
          <t>Normal Monster Damage Bonus % (Holy Symbol)</t>
        </is>
      </c>
      <c r="B401">
        <f>IF(C382=TRUE,F382*IF(AND(Inputs!$B$39&lt;&gt;"pvp",Inputs!$B$44&gt;0),(((R382-1)*(Skills!S12*(1+(Inputs!$B$35+IF(Inputs!$B$3&gt;=117,F396,0))/100))+MIN((Skills!S12*(1+(Inputs!$B$35+IF(Inputs!$B$3&gt;=117,F396,0))/100)),MAX(0,Inputs!$B$44-((R382-1)*Skills!D12))))/Inputs!$B$44),IF(Inputs!$B$39="pvp",MIN((Skills!S12*(1+(Inputs!$B$35+IF(Inputs!$B$3&gt;=117,F396,0))/100)),15)/15,(Skills!S12*(1+(Inputs!$B$35+IF(Inputs!$B$3&gt;=117,F396,0))/100))/Skills!D12)),0)</f>
        <v/>
      </c>
    </row>
    <row r="402">
      <c r="A402" t="inlineStr">
        <is>
          <t>Damage % Bonus (Holy Symbol - Damage Boost)</t>
        </is>
      </c>
      <c r="B402">
        <f>Skills!O12</f>
        <v/>
      </c>
    </row>
    <row r="403">
      <c r="A403" t="inlineStr">
        <is>
          <t>Crit Damage % Bonus (Blood of the Divine)</t>
        </is>
      </c>
      <c r="B403">
        <f>4*IF(C390=TRUE,F390,0)</f>
        <v/>
      </c>
    </row>
    <row r="404">
      <c r="A404" t="inlineStr">
        <is>
          <t>Attack Speed Bonus %</t>
        </is>
      </c>
      <c r="B404">
        <f>IF(C387=TRUE,F387+(F391-Calc!F21),0)+IF(Inputs!$B$3&gt;=134,15,0)</f>
        <v/>
      </c>
    </row>
    <row r="405">
      <c r="A405" t="inlineStr">
        <is>
          <t>Actions Per Second</t>
        </is>
      </c>
      <c r="B405">
        <f>1+MIN(150,150*(1-(1-Inputs!$B$12/150)*(1-B404/150)))/100</f>
        <v/>
      </c>
    </row>
    <row r="406">
      <c r="A406" t="inlineStr">
        <is>
          <t>Skill + Buff Cast Rate</t>
        </is>
      </c>
      <c r="B406">
        <f>IF(AND(Inputs!$B$39&lt;&gt;"pvp",Inputs!$B$44&gt;0),SUMPRODUCT((Skills!E2:E27=TRUE)*(C372:C397=TRUE)*R372:R397)/Inputs!$B$44,SUMPRODUCT((Skills!E2:E27=TRUE)*(C372:C397=TRUE)*Q372:Q397))</f>
        <v/>
      </c>
    </row>
    <row r="407">
      <c r="A407" t="inlineStr">
        <is>
          <t>Big Bang Casts Per Second</t>
        </is>
      </c>
      <c r="B407">
        <f>MAX(0,B405-B406)</f>
        <v/>
      </c>
    </row>
    <row r="408">
      <c r="A408" t="inlineStr">
        <is>
          <t>Defense % Bonus (Divine Protection)</t>
        </is>
      </c>
      <c r="B408">
        <f>IF(C383=TRUE,F383*IF(AND(Inputs!$B$39&lt;&gt;"pvp",Inputs!$B$44&gt;0),(((R383-1)*(Skills!S13*(1+(Inputs!$B$35+IF(Inputs!$B$3&gt;=117,F396,0))/100))+MIN((Skills!S13*(1+(Inputs!$B$35+IF(Inputs!$B$3&gt;=117,F396,0))/100)),MAX(0,Inputs!$B$44-((R383-1)*Skills!D13))))/Inputs!$B$44),IF(Inputs!$B$39="pvp",MIN((Skills!S13*(1+(Inputs!$B$35+IF(Inputs!$B$3&gt;=117,F396,0))/100)),15)/15,(Skills!S13*(1+(Inputs!$B$35+IF(Inputs!$B$3&gt;=117,F396,0))/100))/Skills!D13)),0)</f>
        <v/>
      </c>
    </row>
    <row r="409">
      <c r="A409" t="inlineStr">
        <is>
          <t>Buff-Casting Startup Delay (s, fixed-duration only)</t>
        </is>
      </c>
      <c r="B409">
        <f>IF(AND(Inputs!$B$39&lt;&gt;"pvp",Inputs!$B$44&gt;0),SUMPRODUCT((Skills!S2:S27&gt;0)*(Skills!E2:E27=TRUE)*(C372:C397=TRUE))/B405,0)</f>
        <v/>
      </c>
    </row>
    <row r="410">
      <c r="A410" s="5" t="inlineStr">
        <is>
          <t>TOTAL DPS</t>
        </is>
      </c>
      <c r="B410" s="5">
        <f>SUM(O372:O397)</f>
        <v/>
      </c>
    </row>
    <row r="412">
      <c r="A412" s="5" t="inlineStr">
        <is>
          <t>Stat: MIN_DAMAGE %</t>
        </is>
      </c>
    </row>
    <row r="413">
      <c r="A413" s="9" t="inlineStr">
        <is>
          <t>Key</t>
        </is>
      </c>
      <c r="B413" s="9" t="inlineStr">
        <is>
          <t>Name</t>
        </is>
      </c>
      <c r="C413" s="9" t="inlineStr">
        <is>
          <t>Unlocked</t>
        </is>
      </c>
      <c r="D413" s="9" t="inlineStr">
        <is>
          <t>InputLevel</t>
        </is>
      </c>
      <c r="E413" s="9" t="inlineStr">
        <is>
          <t>Factor</t>
        </is>
      </c>
      <c r="F413" s="9" t="inlineStr">
        <is>
          <t>CoefficientPercent</t>
        </is>
      </c>
      <c r="G413" s="9" t="inlineStr">
        <is>
          <t>EffectiveHits</t>
        </is>
      </c>
      <c r="H413" s="9" t="inlineStr">
        <is>
          <t>ProcProbability</t>
        </is>
      </c>
      <c r="I413" s="9" t="inlineStr">
        <is>
          <t>MapleHeroMultiplier</t>
        </is>
      </c>
      <c r="J413" s="9" t="inlineStr">
        <is>
          <t>BaseDamage</t>
        </is>
      </c>
      <c r="K413" s="9" t="inlineStr">
        <is>
          <t>BaseHitDamage</t>
        </is>
      </c>
      <c r="L413" s="9" t="inlineStr">
        <is>
          <t>NonCritAvg</t>
        </is>
      </c>
      <c r="M413" s="9" t="inlineStr">
        <is>
          <t>CritAvg</t>
        </is>
      </c>
      <c r="N413" s="9" t="inlineStr">
        <is>
          <t>ExpectedDamage(perHit)</t>
        </is>
      </c>
      <c r="O413" s="9" t="inlineStr">
        <is>
          <t>DPS</t>
        </is>
      </c>
      <c r="P413" s="9" t="inlineStr">
        <is>
          <t>% of Total</t>
        </is>
      </c>
      <c r="R413" t="inlineStr">
        <is>
          <t>helpers</t>
        </is>
      </c>
    </row>
    <row r="414">
      <c r="A414">
        <f>Skills!A2</f>
        <v/>
      </c>
      <c r="B414">
        <f>Skills!B2</f>
        <v/>
      </c>
      <c r="C414">
        <f>Inputs!$B$3&gt;=100</f>
        <v/>
      </c>
      <c r="D414" t="inlineStr"/>
      <c r="E414" t="inlineStr"/>
      <c r="F414">
        <f>T416+Skills!N2</f>
        <v/>
      </c>
      <c r="G414">
        <f>Calc!G2</f>
        <v/>
      </c>
      <c r="H414">
        <f>Calc!H2</f>
        <v/>
      </c>
      <c r="I414">
        <f>IF(Skills!T2&lt;&gt;"",1+(Skills!T2/10)*($Z$3/1000)/100,1)</f>
        <v/>
      </c>
      <c r="J414">
        <f>((Inputs!$B$6*(1+Inputs!$B$7/100))+(((Inputs!$B$13*(1+Inputs!$B$14/100))-(Inputs!$B$13*(1+Inputs!$B$14/100)))+0.25*(Inputs!$B$15-Inputs!$B$15))*(1+Inputs!$B$7/100))*(F414/100)</f>
        <v/>
      </c>
      <c r="K414">
        <f>J414*(1+(((Inputs!$B$13+IF(Inputs!$B$3&gt;=35,(10*INDEX(FactorTable!$B$2:$Y$301, MATCH(ROUND(MIN(300,MAX(1,Inputs!$B$3)),0), FactorTable!$A$2:$A$301,0), 23)/1000)/100*(Inputs!$B$8*(1+(Inputs!$B$9+B450)/100)),0))*(1+Inputs!$B$14/100))*0.01+Inputs!$B$15*0.0025)/100)*(1+(Inputs!$B$16+B444)/100)*(1+IF(Inputs!$B$39="pvp",0,(1-Summary!$B$48)*(Inputs!$B$21+Skills!O2+B442)+Summary!$B$48*(Inputs!$B$22+Skills!P2+B443))/100)*(1+Inputs!$B$17/100)*(5000/(6000+Inputs!$B$43*(1-Inputs!$B$20/100)))*(1+Inputs!$B$25/100)*(1+IF(C430=TRUE,F430,0)/100)*(1+IF(C432=TRUE,F432,0)/100)*(1+IF(Skills!A2="TRIUMPH_FEATHER",IF(C428=TRUE,F428,0),0)/100)*(1+IF(C439=TRUE,F439,0)/100)^5*(1+(IF(Skills!A2="BIG_BANG",Inputs!$B$18,Inputs!$B$19))/100)*(B441*I414)</f>
        <v/>
      </c>
      <c r="L414">
        <f>K414*(MIN((Inputs!$B$23+1)+(F434-Calc!F22),Inputs!$B$24)/100+Inputs!$B$24/100)/2</f>
        <v/>
      </c>
      <c r="M414">
        <f>L414*(1+(Inputs!$B$11+B445+(F437-Calc!F25))/100)</f>
        <v/>
      </c>
      <c r="N414">
        <f>L414*(1-MIN(Inputs!$B$10+((F436-Calc!F24)+(F435-Calc!F23)),100)/100)+M414*(MIN(Inputs!$B$10+((F436-Calc!F24)+(F435-Calc!F23)),100)/100)</f>
        <v/>
      </c>
      <c r="O414">
        <f>IF(C414,Skills!F2*N414*B449*IF(Inputs!$B$39="pvp",1,(1-Summary!$B$48)*(1)+Summary!$B$48*(MIN((6+Inputs!$B$34),Inputs!$B$38))),0)</f>
        <v/>
      </c>
      <c r="P414">
        <f>IF(B452=0,0,O414/B452)</f>
        <v/>
      </c>
      <c r="Q414">
        <f>IFERROR(1/IF(Inputs!$B$39="pvp",15,MAX(0.1,Skills!D2-IF(Skills!E2=TRUE,Inputs!$B$33,0))),0)</f>
        <v/>
      </c>
      <c r="R414" t="n">
        <v>0</v>
      </c>
      <c r="T414">
        <f>MAX(0,(Inputs!$B$3-100)*3)+Inputs!$B$29+Inputs!$B$30</f>
        <v/>
      </c>
    </row>
    <row r="415">
      <c r="A415">
        <f>Skills!A3</f>
        <v/>
      </c>
      <c r="B415">
        <f>Skills!B3</f>
        <v/>
      </c>
      <c r="C415">
        <f>Inputs!$B$3&gt;=15</f>
        <v/>
      </c>
      <c r="D415">
        <f>IF(Skills!C3=1,60+Inputs!$B$26+Inputs!$B$30,IF(Skills!C3=2,90+Inputs!$B$27+Inputs!$B$30,IF(Skills!C3=3,120+Inputs!$B$28+Inputs!$B$30,MAX(0,(Inputs!$B$3-100)*3)+Inputs!$B$29+Inputs!$B$30)))</f>
        <v/>
      </c>
      <c r="E415">
        <f>INDEX(FactorTable!$B$2:$Y$301, MATCH(ROUND(MIN(300,MAX(1,D415)),0), FactorTable!$A$2:$A$301,0), Skills!L3+1)</f>
        <v/>
      </c>
      <c r="F415">
        <f>IF(Skills!M3=TRUE,(Skills!K3/10)*(E415/1000),Skills!K3/10)+Skills!N3</f>
        <v/>
      </c>
      <c r="G415">
        <f>Calc!G3</f>
        <v/>
      </c>
      <c r="H415">
        <f>Calc!H3</f>
        <v/>
      </c>
      <c r="I415">
        <f>IF(Skills!T3&lt;&gt;"",1+(Skills!T3/10)*($Z$3/1000)/100,1)</f>
        <v/>
      </c>
      <c r="J415" t="inlineStr"/>
      <c r="K415" t="inlineStr"/>
      <c r="L415" t="inlineStr"/>
      <c r="M415" t="inlineStr"/>
      <c r="N415" t="inlineStr"/>
      <c r="O415" t="n">
        <v>0</v>
      </c>
      <c r="P415">
        <f>IF(B452=0,0,O415/B452)</f>
        <v/>
      </c>
      <c r="Q415">
        <f>IFERROR(1/IF(Inputs!$B$39="pvp",15,MAX(0.1,Skills!D3-IF(Skills!E3=TRUE,Inputs!$B$33,0))),0)</f>
        <v/>
      </c>
      <c r="R415">
        <f>IF(AND(Inputs!$B$39&lt;&gt;"pvp",Inputs!$B$44&gt;0),IF(Inputs!$B$44&lt;=0,0,(INT(Inputs!$B$44/IF(Inputs!$B$39="pvp",15,MAX(0.1,Skills!D3-IF(Skills!E3=TRUE,Inputs!$B$33,0))))+1)),0)</f>
        <v/>
      </c>
      <c r="T415">
        <f>INDEX(FactorTable!$B$2:$Y$301, MATCH(ROUND(MIN(300,MAX(1,T414)),0), FactorTable!$A$2:$A$301,0), 22)</f>
        <v/>
      </c>
    </row>
    <row r="416">
      <c r="A416">
        <f>Skills!A4</f>
        <v/>
      </c>
      <c r="B416">
        <f>Skills!B4</f>
        <v/>
      </c>
      <c r="C416">
        <f>Inputs!$B$3&gt;=38</f>
        <v/>
      </c>
      <c r="D416">
        <f>IF(Skills!C4=1,60+Inputs!$B$26+Inputs!$B$30,IF(Skills!C4=2,90+Inputs!$B$27+Inputs!$B$30,IF(Skills!C4=3,120+Inputs!$B$28+Inputs!$B$30,MAX(0,(Inputs!$B$3-100)*3)+Inputs!$B$29+Inputs!$B$30)))</f>
        <v/>
      </c>
      <c r="E416">
        <f>INDEX(FactorTable!$B$2:$Y$301, MATCH(ROUND(MIN(300,MAX(1,D416)),0), FactorTable!$A$2:$A$301,0), Skills!L4+1)</f>
        <v/>
      </c>
      <c r="F416">
        <f>IF(Skills!M4=TRUE,(Skills!K4/10)*(E416/1000),Skills!K4/10)+Skills!N4</f>
        <v/>
      </c>
      <c r="G416">
        <f>Calc!G4</f>
        <v/>
      </c>
      <c r="H416">
        <f>Calc!H4</f>
        <v/>
      </c>
      <c r="I416">
        <f>IF(Skills!T4&lt;&gt;"",1+(Skills!T4/10)*($Z$3/1000)/100,1)</f>
        <v/>
      </c>
      <c r="J416" t="inlineStr"/>
      <c r="K416" t="inlineStr"/>
      <c r="L416" t="inlineStr"/>
      <c r="M416" t="inlineStr"/>
      <c r="N416" t="inlineStr"/>
      <c r="O416" t="n">
        <v>0</v>
      </c>
      <c r="P416">
        <f>IF(B452=0,0,O416/B452)</f>
        <v/>
      </c>
      <c r="Q416">
        <f>IFERROR(1/IF(Inputs!$B$39="pvp",15,MAX(0.1,Skills!D4-IF(Skills!E4=TRUE,Inputs!$B$33,0))),0)</f>
        <v/>
      </c>
      <c r="R416">
        <f>IF(AND(Inputs!$B$39&lt;&gt;"pvp",Inputs!$B$44&gt;0),IF(Inputs!$B$44&lt;=0,0,(INT(Inputs!$B$44/IF(Inputs!$B$39="pvp",15,MAX(0.1,Skills!D4-IF(Skills!E4=TRUE,Inputs!$B$33,0))))+1)),0)</f>
        <v/>
      </c>
      <c r="T416">
        <f>290*T415/1000</f>
        <v/>
      </c>
    </row>
    <row r="417">
      <c r="A417">
        <f>Skills!A5</f>
        <v/>
      </c>
      <c r="B417">
        <f>Skills!B5</f>
        <v/>
      </c>
      <c r="C417">
        <f>Inputs!$B$3&gt;=40</f>
        <v/>
      </c>
      <c r="D417">
        <f>IF(Skills!C5=1,60+Inputs!$B$26+Inputs!$B$30,IF(Skills!C5=2,90+Inputs!$B$27+Inputs!$B$30,IF(Skills!C5=3,120+Inputs!$B$28+Inputs!$B$30,MAX(0,(Inputs!$B$3-100)*3)+Inputs!$B$29+Inputs!$B$30)))</f>
        <v/>
      </c>
      <c r="E417">
        <f>INDEX(FactorTable!$B$2:$Y$301, MATCH(ROUND(MIN(300,MAX(1,D417)),0), FactorTable!$A$2:$A$301,0), Skills!L5+1)</f>
        <v/>
      </c>
      <c r="F417">
        <f>IF(Skills!M5=TRUE,(Skills!K5/10)*(E417/1000),Skills!K5/10)+Skills!N5</f>
        <v/>
      </c>
      <c r="G417">
        <f>Calc!G5</f>
        <v/>
      </c>
      <c r="H417">
        <f>Calc!H5</f>
        <v/>
      </c>
      <c r="I417">
        <f>IF(Skills!T5&lt;&gt;"",1+(Skills!T5/10)*($Z$3/1000)/100,1)</f>
        <v/>
      </c>
      <c r="J417" t="inlineStr"/>
      <c r="K417" t="inlineStr"/>
      <c r="L417" t="inlineStr"/>
      <c r="M417" t="inlineStr"/>
      <c r="N417" t="inlineStr"/>
      <c r="O417" t="n">
        <v>0</v>
      </c>
      <c r="P417">
        <f>IF(B452=0,0,O417/B452)</f>
        <v/>
      </c>
      <c r="Q417">
        <f>IFERROR(1/IF(Inputs!$B$39="pvp",15,MAX(0.1,Skills!D5-IF(Skills!E5=TRUE,Inputs!$B$33,0))),0)</f>
        <v/>
      </c>
      <c r="R417">
        <f>IF(AND(Inputs!$B$39&lt;&gt;"pvp",Inputs!$B$44&gt;0),IF(Inputs!$B$44&lt;=0,0,(INT(Inputs!$B$44/IF(Inputs!$B$39="pvp",15,MAX(0.1,Skills!D5-IF(Skills!E5=TRUE,Inputs!$B$33,0))))+1)),0)</f>
        <v/>
      </c>
    </row>
    <row r="418">
      <c r="A418">
        <f>Skills!A6</f>
        <v/>
      </c>
      <c r="B418">
        <f>Skills!B6</f>
        <v/>
      </c>
      <c r="C418">
        <f>Inputs!$B$3&gt;=103</f>
        <v/>
      </c>
      <c r="D418">
        <f>IF(Skills!C6=1,60+Inputs!$B$26+Inputs!$B$30,IF(Skills!C6=2,90+Inputs!$B$27+Inputs!$B$30,IF(Skills!C6=3,120+Inputs!$B$28+Inputs!$B$30,MAX(0,(Inputs!$B$3-100)*3)+Inputs!$B$29+Inputs!$B$30)))</f>
        <v/>
      </c>
      <c r="E418">
        <f>INDEX(FactorTable!$B$2:$Y$301, MATCH(ROUND(MIN(300,MAX(1,D418)),0), FactorTable!$A$2:$A$301,0), Skills!L6+1)</f>
        <v/>
      </c>
      <c r="F418">
        <f>IF(Skills!M6=TRUE,(Skills!K6/10)*(E418/1000),Skills!K6/10)+Skills!N6</f>
        <v/>
      </c>
      <c r="G418">
        <f>Calc!G6</f>
        <v/>
      </c>
      <c r="H418">
        <f>Calc!H6</f>
        <v/>
      </c>
      <c r="I418">
        <f>IF(Skills!T6&lt;&gt;"",1+(Skills!T6/10)*($Z$3/1000)/100,1)</f>
        <v/>
      </c>
      <c r="J418">
        <f>((Inputs!$B$6*(1+Inputs!$B$7/100))+(((Inputs!$B$13*(1+Inputs!$B$14/100))-(Inputs!$B$13*(1+Inputs!$B$14/100)))+0.25*(Inputs!$B$15-Inputs!$B$15))*(1+Inputs!$B$7/100))*(F418/100)</f>
        <v/>
      </c>
      <c r="K418">
        <f>J418*(1+(((Inputs!$B$13+IF(Inputs!$B$3&gt;=35,(10*INDEX(FactorTable!$B$2:$Y$301, MATCH(ROUND(MIN(300,MAX(1,Inputs!$B$3)),0), FactorTable!$A$2:$A$301,0), 23)/1000)/100*(Inputs!$B$8*(1+(Inputs!$B$9+B450)/100)),0))*(1+Inputs!$B$14/100))*0.01+Inputs!$B$15*0.0025)/100)*(1+(Inputs!$B$16+B444)/100)*(1+IF(Inputs!$B$39="pvp",0,(1-Summary!$B$48)*(Inputs!$B$21+Skills!O6+B442)+Summary!$B$48*(Inputs!$B$22+Skills!P6+B443))/100)*(1+Inputs!$B$17/100)*(5000/(6000+Inputs!$B$43*(1-Inputs!$B$20/100)))*(1+Inputs!$B$25/100)*(1+IF(C430=TRUE,F430,0)/100)*(1+IF(C432=TRUE,F432,0)/100)*(1+IF(Skills!A6="TRIUMPH_FEATHER",IF(C428=TRUE,F428,0),0)/100)*(1+IF(C439=TRUE,F439,0)/100)^5*(1+(IF(Skills!A6="BIG_BANG",Inputs!$B$18,Inputs!$B$19))/100)*(B441*I418)</f>
        <v/>
      </c>
      <c r="L418">
        <f>K418*(MIN((Inputs!$B$23+1)+(F434-Calc!F22),Inputs!$B$24)/100+Inputs!$B$24/100)/2</f>
        <v/>
      </c>
      <c r="M418">
        <f>L418*(1+(Inputs!$B$11+B445+(F437-Calc!F25))/100)</f>
        <v/>
      </c>
      <c r="N418">
        <f>L418*(1-MIN(Inputs!$B$10+((F436-Calc!F24)+(F435-Calc!F23)),100)/100)+M418*(MIN(Inputs!$B$10+((F436-Calc!F24)+(F435-Calc!F23)),100)/100)</f>
        <v/>
      </c>
      <c r="O418">
        <f>IF(C418,H418*N418*IF(AND(Inputs!$B$39&lt;&gt;"pvp",Inputs!$B$44&gt;0),((Skills!F6*((R418-1)*IF(Skills!G6&gt;0,Skills!H6/Skills!G6,1)+IF(Skills!G6&gt;0,MIN(Skills!H6,MAX(0,MAX(0,Inputs!$B$44-B451)-((R418-1)*IF(Inputs!$B$39="pvp",15,MAX(0.1,Skills!D6-IF(Skills!E6=TRUE,Inputs!$B$33,0))))))/Skills!G6,1)))/Inputs!$B$44),G418*Q418)*IF(Inputs!$B$39="pvp",1,(1-Summary!$B$48)*(1)+Summary!$B$48*(MIN(Skills!Q6,Inputs!$B$38))),0)</f>
        <v/>
      </c>
      <c r="P418">
        <f>IF(B452=0,0,O418/B452)</f>
        <v/>
      </c>
      <c r="Q418">
        <f>IFERROR(1/IF(Inputs!$B$39="pvp",15,MAX(0.1,Skills!D6-IF(Skills!E6=TRUE,Inputs!$B$33,0))),0)</f>
        <v/>
      </c>
      <c r="R418">
        <f>IF(AND(Inputs!$B$39&lt;&gt;"pvp",Inputs!$B$44&gt;0),IF(MAX(0,Inputs!$B$44-B451)&lt;=0,0,(INT(MAX(0,Inputs!$B$44-B451)/IF(Inputs!$B$39="pvp",15,MAX(0.1,Skills!D6-IF(Skills!E6=TRUE,Inputs!$B$33,0))))+1)),0)</f>
        <v/>
      </c>
    </row>
    <row r="419">
      <c r="A419">
        <f>Skills!A7</f>
        <v/>
      </c>
      <c r="B419">
        <f>Skills!B7</f>
        <v/>
      </c>
      <c r="C419">
        <f>Inputs!$B$3&gt;=122</f>
        <v/>
      </c>
      <c r="D419">
        <f>IF(Skills!C7=1,60+Inputs!$B$26+Inputs!$B$30,IF(Skills!C7=2,90+Inputs!$B$27+Inputs!$B$30,IF(Skills!C7=3,120+Inputs!$B$28+Inputs!$B$30,MAX(0,(Inputs!$B$3-100)*3)+Inputs!$B$29+Inputs!$B$30)))</f>
        <v/>
      </c>
      <c r="E419">
        <f>INDEX(FactorTable!$B$2:$Y$301, MATCH(ROUND(MIN(300,MAX(1,D419)),0), FactorTable!$A$2:$A$301,0), Skills!L7+1)</f>
        <v/>
      </c>
      <c r="F419">
        <f>IF(Skills!M7=TRUE,(Skills!K7/10)*(E419/1000),Skills!K7/10)+Skills!N7</f>
        <v/>
      </c>
      <c r="G419">
        <f>Calc!G7</f>
        <v/>
      </c>
      <c r="H419">
        <f>Calc!H7</f>
        <v/>
      </c>
      <c r="I419">
        <f>IF(Skills!T7&lt;&gt;"",1+(Skills!T7/10)*($Z$3/1000)/100,1)</f>
        <v/>
      </c>
      <c r="J419">
        <f>((Inputs!$B$6*(1+Inputs!$B$7/100))+(((Inputs!$B$13*(1+Inputs!$B$14/100))-(Inputs!$B$13*(1+Inputs!$B$14/100)))+0.25*(Inputs!$B$15-Inputs!$B$15))*(1+Inputs!$B$7/100))*(F419/100)</f>
        <v/>
      </c>
      <c r="K419">
        <f>J419*(1+(((Inputs!$B$13+IF(Inputs!$B$3&gt;=35,(10*INDEX(FactorTable!$B$2:$Y$301, MATCH(ROUND(MIN(300,MAX(1,Inputs!$B$3)),0), FactorTable!$A$2:$A$301,0), 23)/1000)/100*(Inputs!$B$8*(1+(Inputs!$B$9+B450)/100)),0))*(1+Inputs!$B$14/100))*0.01+Inputs!$B$15*0.0025)/100)*(1+(Inputs!$B$16+B444)/100)*(1+IF(Inputs!$B$39="pvp",0,(1-Summary!$B$48)*(Inputs!$B$21+Skills!O7+B442)+Summary!$B$48*(Inputs!$B$22+Skills!P7+B443))/100)*(1+Inputs!$B$17/100)*(5000/(6000+Inputs!$B$43*(1-Inputs!$B$20/100)))*(1+Inputs!$B$25/100)*(1+IF(C430=TRUE,F430,0)/100)*(1+IF(C432=TRUE,F432,0)/100)*(1+IF(Skills!A7="TRIUMPH_FEATHER",IF(C428=TRUE,F428,0),0)/100)*(1+IF(C439=TRUE,F439,0)/100)^5*(1+(IF(Skills!A7="BIG_BANG",Inputs!$B$18,Inputs!$B$19))/100)*(B441*I419)</f>
        <v/>
      </c>
      <c r="L419">
        <f>K419*(MIN((Inputs!$B$23+1)+(F434-Calc!F22),Inputs!$B$24)/100+Inputs!$B$24/100)/2</f>
        <v/>
      </c>
      <c r="M419">
        <f>L419*(1+(Inputs!$B$11+B445+(F437-Calc!F25))/100)</f>
        <v/>
      </c>
      <c r="N419">
        <f>L419*(1-MIN(Inputs!$B$10+((F436-Calc!F24)+(F435-Calc!F23)),100)/100)+M419*(MIN(Inputs!$B$10+((F436-Calc!F24)+(F435-Calc!F23)),100)/100)</f>
        <v/>
      </c>
      <c r="O419">
        <f>IF(C419,H419*N419*IF(AND(Inputs!$B$39&lt;&gt;"pvp",Inputs!$B$44&gt;0),((Skills!F7*((R419-1)*IF(Skills!G7&gt;0,Skills!H7/Skills!G7,1)+IF(Skills!G7&gt;0,MIN(Skills!H7,MAX(0,MAX(0,Inputs!$B$44-B451)-((R419-1)*IF(Inputs!$B$39="pvp",15,MAX(0.1,Skills!D7-IF(Skills!E6=TRUE,Inputs!$B$33,0))))))/Skills!G7,1)))/Inputs!$B$44),G419*Q419)*(1-Summary!$B$48),0)</f>
        <v/>
      </c>
      <c r="P419">
        <f>IF(B452=0,0,O419/B452)</f>
        <v/>
      </c>
      <c r="Q419">
        <f>IFERROR(1/IF(Inputs!$B$39="pvp",15,MAX(0.1,Skills!D7-IF(Skills!E6=TRUE,Inputs!$B$33,0))),0)</f>
        <v/>
      </c>
      <c r="R419">
        <f>IF(AND(Inputs!$B$39&lt;&gt;"pvp",Inputs!$B$44&gt;0),IF(MAX(0,Inputs!$B$44-B451)&lt;=0,0,(INT(MAX(0,Inputs!$B$44-B451)/IF(Inputs!$B$39="pvp",15,MAX(0.1,Skills!D7-IF(Skills!E6=TRUE,Inputs!$B$33,0))))+1)),0)</f>
        <v/>
      </c>
    </row>
    <row r="420">
      <c r="A420">
        <f>Skills!A8</f>
        <v/>
      </c>
      <c r="B420">
        <f>Skills!B8</f>
        <v/>
      </c>
      <c r="C420">
        <f>Inputs!$B$3&gt;=105</f>
        <v/>
      </c>
      <c r="D420">
        <f>IF(Skills!C8=1,60+Inputs!$B$26+Inputs!$B$30,IF(Skills!C8=2,90+Inputs!$B$27+Inputs!$B$30,IF(Skills!C8=3,120+Inputs!$B$28+Inputs!$B$30,MAX(0,(Inputs!$B$3-100)*3)+Inputs!$B$29+Inputs!$B$30)))</f>
        <v/>
      </c>
      <c r="E420">
        <f>INDEX(FactorTable!$B$2:$Y$301, MATCH(ROUND(MIN(300,MAX(1,D420)),0), FactorTable!$A$2:$A$301,0), Skills!L8+1)</f>
        <v/>
      </c>
      <c r="F420">
        <f>IF(Skills!M8=TRUE,(Skills!K8/10)*(E420/1000),Skills!K8/10)+Skills!N8</f>
        <v/>
      </c>
      <c r="G420">
        <f>Calc!G8</f>
        <v/>
      </c>
      <c r="H420">
        <f>Calc!H8</f>
        <v/>
      </c>
      <c r="I420">
        <f>IF(Skills!T8&lt;&gt;"",1+(Skills!T8/10)*($Z$3/1000)/100,1)</f>
        <v/>
      </c>
      <c r="J420">
        <f>((Inputs!$B$6*(1+Inputs!$B$7/100))+(((Inputs!$B$13*(1+Inputs!$B$14/100))-(Inputs!$B$13*(1+Inputs!$B$14/100)))+0.25*(Inputs!$B$15-Inputs!$B$15))*(1+Inputs!$B$7/100))*(F420/100)</f>
        <v/>
      </c>
      <c r="K420">
        <f>J420*(1+(((Inputs!$B$13+IF(Inputs!$B$3&gt;=35,(10*INDEX(FactorTable!$B$2:$Y$301, MATCH(ROUND(MIN(300,MAX(1,Inputs!$B$3)),0), FactorTable!$A$2:$A$301,0), 23)/1000)/100*(Inputs!$B$8*(1+(Inputs!$B$9+B450)/100)),0))*(1+Inputs!$B$14/100))*0.01+Inputs!$B$15*0.0025)/100)*(1+(Inputs!$B$16+B444)/100)*(1+IF(Inputs!$B$39="pvp",0,(1-Summary!$B$48)*(Inputs!$B$21+Skills!O8+B442)+Summary!$B$48*(Inputs!$B$22+Skills!P8+B443))/100)*(1+Inputs!$B$17/100)*(5000/(6000+Inputs!$B$43*(1-Inputs!$B$20/100)))*(1+Inputs!$B$25/100)*(1+IF(C430=TRUE,F430,0)/100)*(1+IF(C432=TRUE,F432,0)/100)*(1+IF(Skills!A8="TRIUMPH_FEATHER",IF(C428=TRUE,F428,0),0)/100)*(1+IF(C439=TRUE,F439,0)/100)^5*(1+(IF(Skills!A8="BIG_BANG",Inputs!$B$18,Inputs!$B$19))/100)*(B441*I420)</f>
        <v/>
      </c>
      <c r="L420">
        <f>K420*(MIN((Inputs!$B$23+1)+(F434-Calc!F22),Inputs!$B$24)/100+Inputs!$B$24/100)/2</f>
        <v/>
      </c>
      <c r="M420">
        <f>L420*(1+(Inputs!$B$11+B445+(F437-Calc!F25))/100)</f>
        <v/>
      </c>
      <c r="N420">
        <f>L420*(1-MIN(Inputs!$B$10+((F436-Calc!F24)+(F435-Calc!F23)),100)/100)+M420*(MIN(Inputs!$B$10+((F436-Calc!F24)+(F435-Calc!F23)),100)/100)</f>
        <v/>
      </c>
      <c r="O420">
        <f>IF(C420,H420*N420*IF(AND(Inputs!$B$39&lt;&gt;"pvp",Inputs!$B$44&gt;0),((Skills!F8*((R420-1)*IF(Skills!G8&gt;0,Skills!H8/Skills!G8,1)+IF(Skills!G8&gt;0,MIN(Skills!H8,MAX(0,MAX(0,Inputs!$B$44-B451)-((R420-1)*IF(Inputs!$B$39="pvp",15,MAX(0.1,Skills!D8-IF(Skills!E8=TRUE,Inputs!$B$33,0))))))/Skills!G8,1)))/Inputs!$B$44),G420*Q420)*IF(Inputs!$B$39="pvp",1,(1-Summary!$B$48)*(1)+Summary!$B$48*(MIN(Skills!Q8,Inputs!$B$38))),0)</f>
        <v/>
      </c>
      <c r="P420">
        <f>IF(B452=0,0,O420/B452)</f>
        <v/>
      </c>
      <c r="Q420">
        <f>IFERROR(1/IF(Inputs!$B$39="pvp",15,MAX(0.1,Skills!D8-IF(Skills!E8=TRUE,Inputs!$B$33,0))),0)</f>
        <v/>
      </c>
      <c r="R420">
        <f>IF(AND(Inputs!$B$39&lt;&gt;"pvp",Inputs!$B$44&gt;0),IF(MAX(0,Inputs!$B$44-B451)&lt;=0,0,(INT(MAX(0,Inputs!$B$44-B451)/IF(Inputs!$B$39="pvp",15,MAX(0.1,Skills!D8-IF(Skills!E8=TRUE,Inputs!$B$33,0))))+1)),0)</f>
        <v/>
      </c>
    </row>
    <row r="421">
      <c r="A421">
        <f>Skills!A9</f>
        <v/>
      </c>
      <c r="B421">
        <f>Skills!B9</f>
        <v/>
      </c>
      <c r="C421">
        <f>Inputs!$B$3&gt;=115</f>
        <v/>
      </c>
      <c r="D421">
        <f>IF(Skills!C9=1,60+Inputs!$B$26+Inputs!$B$30,IF(Skills!C9=2,90+Inputs!$B$27+Inputs!$B$30,IF(Skills!C9=3,120+Inputs!$B$28+Inputs!$B$30,MAX(0,(Inputs!$B$3-100)*3)+Inputs!$B$29+Inputs!$B$30)))</f>
        <v/>
      </c>
      <c r="E421">
        <f>INDEX(FactorTable!$B$2:$Y$301, MATCH(ROUND(MIN(300,MAX(1,D421)),0), FactorTable!$A$2:$A$301,0), Skills!L9+1)</f>
        <v/>
      </c>
      <c r="F421">
        <f>IF(Skills!M9=TRUE,(Skills!K9/10)*(E421/1000),Skills!K9/10)+Skills!N9</f>
        <v/>
      </c>
      <c r="G421">
        <f>Calc!G9</f>
        <v/>
      </c>
      <c r="H421">
        <f>Calc!H9</f>
        <v/>
      </c>
      <c r="I421">
        <f>IF(Skills!T9&lt;&gt;"",1+(Skills!T9/10)*($Z$3/1000)/100,1)</f>
        <v/>
      </c>
      <c r="J421">
        <f>((Inputs!$B$6*(1+Inputs!$B$7/100))+(((Inputs!$B$13*(1+Inputs!$B$14/100))-(Inputs!$B$13*(1+Inputs!$B$14/100)))+0.25*(Inputs!$B$15-Inputs!$B$15))*(1+Inputs!$B$7/100))*(F421/100)</f>
        <v/>
      </c>
      <c r="K421">
        <f>J421*(1+(((Inputs!$B$13+IF(Inputs!$B$3&gt;=35,(10*INDEX(FactorTable!$B$2:$Y$301, MATCH(ROUND(MIN(300,MAX(1,Inputs!$B$3)),0), FactorTable!$A$2:$A$301,0), 23)/1000)/100*(Inputs!$B$8*(1+(Inputs!$B$9+B450)/100)),0))*(1+Inputs!$B$14/100))*0.01+Inputs!$B$15*0.0025)/100)*(1+(Inputs!$B$16+B444)/100)*(1+IF(Inputs!$B$39="pvp",0,(1-Summary!$B$48)*(Inputs!$B$21+Skills!O9+B442)+Summary!$B$48*(Inputs!$B$22+Skills!P9+B443))/100)*(1+Inputs!$B$17/100)*(5000/(6000+Inputs!$B$43*(1-Inputs!$B$20/100)))*(1+Inputs!$B$25/100)*(1+IF(C430=TRUE,F430,0)/100)*(1+IF(C432=TRUE,F432,0)/100)*(1+IF(Skills!A9="TRIUMPH_FEATHER",IF(C428=TRUE,F428,0),0)/100)*(1+IF(C439=TRUE,F439,0)/100)^5*(1+(IF(Skills!A9="BIG_BANG",Inputs!$B$18,Inputs!$B$19))/100)*(B441*I421)</f>
        <v/>
      </c>
      <c r="L421">
        <f>K421*(MIN((Inputs!$B$23+1)+(F434-Calc!F22),Inputs!$B$24)/100+Inputs!$B$24/100)/2</f>
        <v/>
      </c>
      <c r="M421">
        <f>L421*(1+(Inputs!$B$11+B445+(F437-Calc!F25))/100)</f>
        <v/>
      </c>
      <c r="N421">
        <f>L421*(1-MIN(Inputs!$B$10+((F436-Calc!F24)+(F435-Calc!F23)),100)/100)+M421*(MIN(Inputs!$B$10+((F436-Calc!F24)+(F435-Calc!F23)),100)/100)</f>
        <v/>
      </c>
      <c r="O421">
        <f>IF(C421,H421*N421*IF(AND(Inputs!$B$39&lt;&gt;"pvp",Inputs!$B$44&gt;0),((Skills!F9*((R421-1)*IF(Skills!G9&gt;0,Skills!H9/Skills!G9,1)+IF(Skills!G9&gt;0,MIN(Skills!H9,MAX(0,MAX(0,Inputs!$B$44-B451)-((R421-1)*IF(Inputs!$B$39="pvp",15,MAX(0.1,Skills!D9-IF(Skills!E9=TRUE,Inputs!$B$33,0))))))/Skills!G9,1)))/Inputs!$B$44),G421*Q421)*IF(Inputs!$B$39="pvp",1,(1-Summary!$B$48)*(1)+Summary!$B$48*(MIN(Skills!Q9,Inputs!$B$38))),0)</f>
        <v/>
      </c>
      <c r="P421">
        <f>IF(B452=0,0,O421/B452)</f>
        <v/>
      </c>
      <c r="Q421">
        <f>IFERROR(1/IF(Inputs!$B$39="pvp",15,MAX(0.1,Skills!D9-IF(Skills!E9=TRUE,Inputs!$B$33,0))),0)</f>
        <v/>
      </c>
      <c r="R421">
        <f>IF(AND(Inputs!$B$39&lt;&gt;"pvp",Inputs!$B$44&gt;0),IF(MAX(0,Inputs!$B$44-B451)&lt;=0,0,(INT(MAX(0,Inputs!$B$44-B451)/IF(Inputs!$B$39="pvp",15,MAX(0.1,Skills!D9-IF(Skills!E9=TRUE,Inputs!$B$33,0))))+1)),0)</f>
        <v/>
      </c>
    </row>
    <row r="422">
      <c r="A422">
        <f>Skills!A10</f>
        <v/>
      </c>
      <c r="B422">
        <f>Skills!B10</f>
        <v/>
      </c>
      <c r="C422">
        <f>Inputs!$B$3&gt;=66</f>
        <v/>
      </c>
      <c r="D422">
        <f>IF(Skills!C10=1,60+Inputs!$B$26+Inputs!$B$30,IF(Skills!C10=2,90+Inputs!$B$27+Inputs!$B$30,IF(Skills!C10=3,120+Inputs!$B$28+Inputs!$B$30,MAX(0,(Inputs!$B$3-100)*3)+Inputs!$B$29+Inputs!$B$30)))</f>
        <v/>
      </c>
      <c r="E422">
        <f>INDEX(FactorTable!$B$2:$Y$301, MATCH(ROUND(MIN(300,MAX(1,D422)),0), FactorTable!$A$2:$A$301,0), Skills!L10+1)</f>
        <v/>
      </c>
      <c r="F422" t="n">
        <v>0</v>
      </c>
      <c r="G422">
        <f>Calc!G10</f>
        <v/>
      </c>
      <c r="H422">
        <f>Calc!H10</f>
        <v/>
      </c>
      <c r="I422">
        <f>IF(Skills!T10&lt;&gt;"",1+(Skills!T10/10)*($Z$3/1000)/100,1)</f>
        <v/>
      </c>
      <c r="J422" t="inlineStr"/>
      <c r="K422" t="inlineStr"/>
      <c r="L422" t="inlineStr"/>
      <c r="M422" t="inlineStr"/>
      <c r="N422" t="inlineStr"/>
      <c r="O422" t="n">
        <v>0</v>
      </c>
      <c r="P422">
        <f>IF(B452=0,0,O422/B452)</f>
        <v/>
      </c>
      <c r="Q422">
        <f>IFERROR(1/IF(Inputs!$B$39="pvp",15,MAX(0.1,Skills!D10-IF(Skills!E10=TRUE,Inputs!$B$33,0))),0)</f>
        <v/>
      </c>
      <c r="R422">
        <f>IF(AND(Inputs!$B$39&lt;&gt;"pvp",Inputs!$B$44&gt;0),IF(MAX(0,Inputs!$B$44-B451)&lt;=0,0,(INT(MAX(0,Inputs!$B$44-B451)/IF(Inputs!$B$39="pvp",15,MAX(0.1,Skills!D10-IF(Skills!E10=TRUE,Inputs!$B$33,0))))+1)),0)</f>
        <v/>
      </c>
    </row>
    <row r="423">
      <c r="A423">
        <f>Skills!A11</f>
        <v/>
      </c>
      <c r="B423">
        <f>Skills!B11</f>
        <v/>
      </c>
      <c r="C423">
        <f>Inputs!$B$3&gt;=69</f>
        <v/>
      </c>
      <c r="D423">
        <f>IF(Skills!C11=1,60+Inputs!$B$26+Inputs!$B$30,IF(Skills!C11=2,90+Inputs!$B$27+Inputs!$B$30,IF(Skills!C11=3,120+Inputs!$B$28+Inputs!$B$30,MAX(0,(Inputs!$B$3-100)*3)+Inputs!$B$29+Inputs!$B$30)))</f>
        <v/>
      </c>
      <c r="E423">
        <f>INDEX(FactorTable!$B$2:$Y$301, MATCH(ROUND(MIN(300,MAX(1,D423)),0), FactorTable!$A$2:$A$301,0), Skills!L11+1)</f>
        <v/>
      </c>
      <c r="F423">
        <f>IF(Skills!M11=TRUE,(Skills!K11/10)*(E423/1000),Skills!K11/10)+Skills!N11</f>
        <v/>
      </c>
      <c r="G423">
        <f>Calc!G11</f>
        <v/>
      </c>
      <c r="H423">
        <f>Calc!H11</f>
        <v/>
      </c>
      <c r="I423">
        <f>IF(Skills!T11&lt;&gt;"",1+(Skills!T11/10)*($Z$3/1000)/100,1)</f>
        <v/>
      </c>
      <c r="J423" t="inlineStr"/>
      <c r="K423" t="inlineStr"/>
      <c r="L423" t="inlineStr"/>
      <c r="M423" t="inlineStr"/>
      <c r="N423" t="inlineStr"/>
      <c r="O423" t="n">
        <v>0</v>
      </c>
      <c r="P423">
        <f>IF(B452=0,0,O423/B452)</f>
        <v/>
      </c>
      <c r="Q423">
        <f>IFERROR(1/IF(Inputs!$B$39="pvp",15,MAX(0.1,Skills!D11-IF(Skills!E11=TRUE,Inputs!$B$33,0))),0)</f>
        <v/>
      </c>
      <c r="R423">
        <f>IF(AND(Inputs!$B$39&lt;&gt;"pvp",Inputs!$B$44&gt;0),IF(Inputs!$B$44&lt;=0,0,(INT(Inputs!$B$44/IF(Inputs!$B$39="pvp",15,MAX(0.1,Skills!D11-IF(Skills!E11=TRUE,Inputs!$B$33,0))))+1)),0)</f>
        <v/>
      </c>
    </row>
    <row r="424">
      <c r="A424">
        <f>Skills!A12</f>
        <v/>
      </c>
      <c r="B424">
        <f>Skills!B12</f>
        <v/>
      </c>
      <c r="C424">
        <f>Inputs!$B$3&gt;=72</f>
        <v/>
      </c>
      <c r="D424">
        <f>IF(Skills!C12=1,60+Inputs!$B$26+Inputs!$B$30,IF(Skills!C12=2,90+Inputs!$B$27+Inputs!$B$30,IF(Skills!C12=3,120+Inputs!$B$28+Inputs!$B$30,MAX(0,(Inputs!$B$3-100)*3)+Inputs!$B$29+Inputs!$B$30)))</f>
        <v/>
      </c>
      <c r="E424">
        <f>INDEX(FactorTable!$B$2:$Y$301, MATCH(ROUND(MIN(300,MAX(1,D424)),0), FactorTable!$A$2:$A$301,0), Skills!L12+1)</f>
        <v/>
      </c>
      <c r="F424">
        <f>IF(Skills!M12=TRUE,(Skills!K12/10)*(E424/1000),Skills!K12/10)+Skills!N12</f>
        <v/>
      </c>
      <c r="G424">
        <f>Calc!G12</f>
        <v/>
      </c>
      <c r="H424">
        <f>Calc!H12</f>
        <v/>
      </c>
      <c r="I424">
        <f>IF(Skills!T12&lt;&gt;"",1+(Skills!T12/10)*($Z$3/1000)/100,1)</f>
        <v/>
      </c>
      <c r="J424" t="inlineStr"/>
      <c r="K424" t="inlineStr"/>
      <c r="L424" t="inlineStr"/>
      <c r="M424" t="inlineStr"/>
      <c r="N424" t="inlineStr"/>
      <c r="O424" t="n">
        <v>0</v>
      </c>
      <c r="P424">
        <f>IF(B452=0,0,O424/B452)</f>
        <v/>
      </c>
      <c r="Q424">
        <f>IFERROR(1/IF(Inputs!$B$39="pvp",15,MAX(0.1,Skills!D12-IF(Skills!E12=TRUE,Inputs!$B$33,0))),0)</f>
        <v/>
      </c>
      <c r="R424">
        <f>IF(AND(Inputs!$B$39&lt;&gt;"pvp",Inputs!$B$44&gt;0),IF(MAX(0,Inputs!$B$44-B451)&lt;=0,0,(INT(MAX(0,Inputs!$B$44-B451)/IF(Inputs!$B$39="pvp",15,MAX(0.1,Skills!D12-IF(Skills!E12=TRUE,Inputs!$B$33,0))))+1)),0)</f>
        <v/>
      </c>
    </row>
    <row r="425">
      <c r="A425">
        <f>Skills!A13</f>
        <v/>
      </c>
      <c r="B425">
        <f>Skills!B13</f>
        <v/>
      </c>
      <c r="C425">
        <f>Inputs!$B$3&gt;=60</f>
        <v/>
      </c>
      <c r="D425">
        <f>IF(Skills!C13=1,60+Inputs!$B$26+Inputs!$B$30,IF(Skills!C13=2,90+Inputs!$B$27+Inputs!$B$30,IF(Skills!C13=3,120+Inputs!$B$28+Inputs!$B$30,MAX(0,(Inputs!$B$3-100)*3)+Inputs!$B$29+Inputs!$B$30)))</f>
        <v/>
      </c>
      <c r="E425">
        <f>INDEX(FactorTable!$B$2:$Y$301, MATCH(ROUND(MIN(300,MAX(1,D425)),0), FactorTable!$A$2:$A$301,0), Skills!L13+1)</f>
        <v/>
      </c>
      <c r="F425">
        <f>IF(Skills!M13=TRUE,(Skills!K13/10)*(E425/1000),Skills!K13/10)+Skills!N13</f>
        <v/>
      </c>
      <c r="G425">
        <f>Calc!G13</f>
        <v/>
      </c>
      <c r="H425">
        <f>Calc!H13</f>
        <v/>
      </c>
      <c r="I425">
        <f>IF(Skills!T13&lt;&gt;"",1+(Skills!T13/10)*($Z$3/1000)/100,1)</f>
        <v/>
      </c>
      <c r="J425" t="inlineStr"/>
      <c r="K425" t="inlineStr"/>
      <c r="L425" t="inlineStr"/>
      <c r="M425" t="inlineStr"/>
      <c r="N425" t="inlineStr"/>
      <c r="O425" t="n">
        <v>0</v>
      </c>
      <c r="P425">
        <f>IF(B452=0,0,O425/B452)</f>
        <v/>
      </c>
      <c r="Q425">
        <f>IFERROR(1/IF(Inputs!$B$39="pvp",15,MAX(0.1,Skills!D13-IF(Skills!E13=TRUE,Inputs!$B$33,0))),0)</f>
        <v/>
      </c>
      <c r="R425">
        <f>IF(AND(Inputs!$B$39&lt;&gt;"pvp",Inputs!$B$44&gt;0),IF(MAX(0,Inputs!$B$44-B451)&lt;=0,0,(INT(MAX(0,Inputs!$B$44-B451)/IF(Inputs!$B$39="pvp",15,MAX(0.1,Skills!D13-IF(Skills!E13=TRUE,Inputs!$B$33,0))))+1)),0)</f>
        <v/>
      </c>
    </row>
    <row r="426">
      <c r="A426">
        <f>Skills!A14</f>
        <v/>
      </c>
      <c r="B426">
        <f>Skills!B14</f>
        <v/>
      </c>
      <c r="C426">
        <f>Inputs!$B$3&gt;=107</f>
        <v/>
      </c>
      <c r="D426">
        <f>IF(Skills!C14=1,60+Inputs!$B$26+Inputs!$B$30,IF(Skills!C14=2,90+Inputs!$B$27+Inputs!$B$30,IF(Skills!C14=3,120+Inputs!$B$28+Inputs!$B$30,MAX(0,(Inputs!$B$3-100)*3)+Inputs!$B$29+Inputs!$B$30)))</f>
        <v/>
      </c>
      <c r="E426">
        <f>INDEX(FactorTable!$B$2:$Y$301, MATCH(ROUND(MIN(300,MAX(1,D426)),0), FactorTable!$A$2:$A$301,0), Skills!L14+1)</f>
        <v/>
      </c>
      <c r="F426">
        <f>IF(Skills!M14=TRUE,(Skills!K14/10)*(E426/1000),Skills!K14/10)+Skills!N14</f>
        <v/>
      </c>
      <c r="G426">
        <f>Calc!G14</f>
        <v/>
      </c>
      <c r="H426">
        <f>Calc!H14</f>
        <v/>
      </c>
      <c r="I426">
        <f>IF(Skills!T14&lt;&gt;"",1+(Skills!T14/10)*($Z$3/1000)/100,1)</f>
        <v/>
      </c>
      <c r="J426" t="inlineStr"/>
      <c r="K426" t="inlineStr"/>
      <c r="L426" t="inlineStr"/>
      <c r="M426" t="inlineStr"/>
      <c r="N426" t="inlineStr"/>
      <c r="O426" t="n">
        <v>0</v>
      </c>
      <c r="P426">
        <f>IF(B452=0,0,O426/B452)</f>
        <v/>
      </c>
      <c r="Q426">
        <f>IFERROR(1/IF(Inputs!$B$39="pvp",15,MAX(0.1,Skills!D14-IF(Skills!E14=TRUE,Inputs!$B$33,0))),0)</f>
        <v/>
      </c>
      <c r="R426">
        <f>IF(AND(Inputs!$B$39&lt;&gt;"pvp",Inputs!$B$44&gt;0),IF(Inputs!$B$44&lt;=0,0,(INT(Inputs!$B$44/IF(Inputs!$B$39="pvp",15,MAX(0.1,Skills!D14-IF(Skills!E14=TRUE,Inputs!$B$33,0))))+1)),0)</f>
        <v/>
      </c>
    </row>
    <row r="427">
      <c r="A427">
        <f>Skills!A15</f>
        <v/>
      </c>
      <c r="B427">
        <f>Skills!B15</f>
        <v/>
      </c>
      <c r="C427">
        <f>Inputs!$B$3&gt;=63</f>
        <v/>
      </c>
      <c r="D427">
        <f>IF(Skills!C15=1,60+Inputs!$B$26+Inputs!$B$30,IF(Skills!C15=2,90+Inputs!$B$27+Inputs!$B$30,IF(Skills!C15=3,120+Inputs!$B$28+Inputs!$B$30,MAX(0,(Inputs!$B$3-100)*3)+Inputs!$B$29+Inputs!$B$30)))</f>
        <v/>
      </c>
      <c r="E427">
        <f>INDEX(FactorTable!$B$2:$Y$301, MATCH(ROUND(MIN(300,MAX(1,D427)),0), FactorTable!$A$2:$A$301,0), Skills!L15+1)</f>
        <v/>
      </c>
      <c r="F427">
        <f>IF(Skills!M15=TRUE,(Skills!K15/10)*(E427/1000),Skills!K15/10)+Skills!N15</f>
        <v/>
      </c>
      <c r="G427">
        <f>Calc!G15</f>
        <v/>
      </c>
      <c r="H427">
        <f>Calc!H15</f>
        <v/>
      </c>
      <c r="I427">
        <f>IF(Skills!T15&lt;&gt;"",1+(Skills!T15/10)*($Z$3/1000)/100,1)</f>
        <v/>
      </c>
      <c r="J427">
        <f>((Inputs!$B$6*(1+Inputs!$B$7/100))+(((Inputs!$B$13*(1+Inputs!$B$14/100))-(Inputs!$B$13*(1+Inputs!$B$14/100)))+0.25*(Inputs!$B$15-Inputs!$B$15))*(1+Inputs!$B$7/100))*(F427/100)</f>
        <v/>
      </c>
      <c r="K427">
        <f>J427*(1+(((Inputs!$B$13+IF(Inputs!$B$3&gt;=35,(10*INDEX(FactorTable!$B$2:$Y$301, MATCH(ROUND(MIN(300,MAX(1,Inputs!$B$3)),0), FactorTable!$A$2:$A$301,0), 23)/1000)/100*(Inputs!$B$8*(1+(Inputs!$B$9+B450)/100)),0))*(1+Inputs!$B$14/100))*0.01+Inputs!$B$15*0.0025)/100)*(1+(Inputs!$B$16+B444)/100)*(1+IF(Inputs!$B$39="pvp",0,(1-Summary!$B$48)*(Inputs!$B$21+Skills!O15+B442)+Summary!$B$48*(Inputs!$B$22+Skills!P15+B443))/100)*(1+Inputs!$B$17/100)*(5000/(6000+Inputs!$B$43*(1-Inputs!$B$20/100)))*(1+Inputs!$B$25/100)*(1+IF(C430=TRUE,F430,0)/100)*(1+IF(C432=TRUE,F432,0)/100)*(1+IF(Skills!A15="TRIUMPH_FEATHER",IF(C428=TRUE,F428,0),0)/100)*(1+IF(C439=TRUE,F439,0)/100)^5*(1+(IF(Skills!A15="BIG_BANG",Inputs!$B$18,Inputs!$B$19))/100)*(B441*I427)</f>
        <v/>
      </c>
      <c r="L427">
        <f>K427*(MIN((Inputs!$B$23+1)+(F434-Calc!F22),Inputs!$B$24)/100+Inputs!$B$24/100)/2</f>
        <v/>
      </c>
      <c r="M427">
        <f>L427*(1+(Inputs!$B$11+B445+(F437-Calc!F25))/100)</f>
        <v/>
      </c>
      <c r="N427">
        <f>L427*(1-MIN(Inputs!$B$10+((F436-Calc!F24)+(F435-Calc!F23)),100)/100)+M427*(MIN(Inputs!$B$10+((F436-Calc!F24)+(F435-Calc!F23)),100)/100)</f>
        <v/>
      </c>
      <c r="O427">
        <f>IF(C427,Skills!F15*N427*((IF(Inputs!$B$3&gt;=78,25,15)/100*B447*10)/(1+IF(Inputs!$B$3&gt;=78,25,15)/100*B447*10))*(Skills!I15/100*B447)/(1+Skills!G15*Skills!I15/100*B447)*IF(Inputs!$B$39="pvp",1,(1-Summary!$B$48)*(1)+Summary!$B$48*(MIN(Skills!Q15,Inputs!$B$38))),0)</f>
        <v/>
      </c>
      <c r="P427">
        <f>IF(B452=0,0,O427/B452)</f>
        <v/>
      </c>
      <c r="Q427">
        <f>IFERROR(1/IF(Inputs!$B$39="pvp",15,MAX(0.1,Skills!D15-IF(Skills!E15=TRUE,Inputs!$B$33,0))),0)</f>
        <v/>
      </c>
      <c r="R427" t="n">
        <v>0</v>
      </c>
    </row>
    <row r="428">
      <c r="A428">
        <f>Skills!A16</f>
        <v/>
      </c>
      <c r="B428">
        <f>Skills!B16</f>
        <v/>
      </c>
      <c r="C428">
        <f>Inputs!$B$3&gt;=100</f>
        <v/>
      </c>
      <c r="D428">
        <f>IF(Skills!C16=1,60+Inputs!$B$26+Inputs!$B$30,IF(Skills!C16=2,90+Inputs!$B$27+Inputs!$B$30,IF(Skills!C16=3,120+Inputs!$B$28+Inputs!$B$30,MAX(0,(Inputs!$B$3-100)*3)+Inputs!$B$29+Inputs!$B$30)))</f>
        <v/>
      </c>
      <c r="E428">
        <f>INDEX(FactorTable!$B$2:$Y$301, MATCH(ROUND(MIN(300,MAX(1,D428)),0), FactorTable!$A$2:$A$301,0), Skills!L16+1)</f>
        <v/>
      </c>
      <c r="F428">
        <f>IF(Skills!M16=TRUE,(Skills!K16/10)*(E428/1000),Skills!K16/10)+Skills!N16</f>
        <v/>
      </c>
      <c r="G428">
        <f>Calc!G16</f>
        <v/>
      </c>
      <c r="H428">
        <f>Calc!H16</f>
        <v/>
      </c>
      <c r="I428">
        <f>IF(Skills!T16&lt;&gt;"",1+(Skills!T16/10)*($Z$3/1000)/100,1)</f>
        <v/>
      </c>
      <c r="J428" t="inlineStr"/>
      <c r="K428" t="inlineStr"/>
      <c r="L428" t="inlineStr"/>
      <c r="M428" t="inlineStr"/>
      <c r="N428" t="inlineStr"/>
      <c r="O428" t="n">
        <v>0</v>
      </c>
      <c r="P428">
        <f>IF(B452=0,0,O428/B452)</f>
        <v/>
      </c>
      <c r="Q428">
        <f>IFERROR(1/IF(Inputs!$B$39="pvp",15,MAX(0.1,Skills!D16-IF(Skills!E16=TRUE,Inputs!$B$33,0))),0)</f>
        <v/>
      </c>
      <c r="R428" t="n">
        <v>0</v>
      </c>
    </row>
    <row r="429">
      <c r="A429">
        <f>Skills!A17</f>
        <v/>
      </c>
      <c r="B429">
        <f>Skills!B17</f>
        <v/>
      </c>
      <c r="C429">
        <f>Inputs!$B$3&gt;=49</f>
        <v/>
      </c>
      <c r="D429">
        <f>IF(Skills!C17=1,60+Inputs!$B$26+Inputs!$B$30,IF(Skills!C17=2,90+Inputs!$B$27+Inputs!$B$30,IF(Skills!C17=3,120+Inputs!$B$28+Inputs!$B$30,MAX(0,(Inputs!$B$3-100)*3)+Inputs!$B$29+Inputs!$B$30)))</f>
        <v/>
      </c>
      <c r="E429">
        <f>INDEX(FactorTable!$B$2:$Y$301, MATCH(ROUND(MIN(300,MAX(1,D429)),0), FactorTable!$A$2:$A$301,0), Skills!L17+1)</f>
        <v/>
      </c>
      <c r="F429">
        <f>IF(Skills!M17=TRUE,(Skills!K17/10)*(E429/1000),Skills!K17/10)+Skills!N17</f>
        <v/>
      </c>
      <c r="G429">
        <f>Calc!G17</f>
        <v/>
      </c>
      <c r="H429">
        <f>Calc!H17</f>
        <v/>
      </c>
      <c r="I429">
        <f>IF(Skills!T17&lt;&gt;"",1+(Skills!T17/10)*($Z$3/1000)/100,1)</f>
        <v/>
      </c>
      <c r="J429" t="inlineStr"/>
      <c r="K429" t="inlineStr"/>
      <c r="L429" t="inlineStr"/>
      <c r="M429" t="inlineStr"/>
      <c r="N429" t="inlineStr"/>
      <c r="O429" t="n">
        <v>0</v>
      </c>
      <c r="P429">
        <f>IF(B452=0,0,O429/B452)</f>
        <v/>
      </c>
      <c r="Q429">
        <f>IFERROR(1/IF(Inputs!$B$39="pvp",15,MAX(0.1,Skills!D17-IF(Skills!E17=TRUE,Inputs!$B$33,0))),0)</f>
        <v/>
      </c>
      <c r="R429" t="n">
        <v>0</v>
      </c>
    </row>
    <row r="430">
      <c r="A430">
        <f>Skills!A18</f>
        <v/>
      </c>
      <c r="B430">
        <f>Skills!B18</f>
        <v/>
      </c>
      <c r="C430">
        <f>Inputs!$B$3&gt;=75</f>
        <v/>
      </c>
      <c r="D430">
        <f>IF(Skills!C18=1,60+Inputs!$B$26+Inputs!$B$30,IF(Skills!C18=2,90+Inputs!$B$27+Inputs!$B$30,IF(Skills!C18=3,120+Inputs!$B$28+Inputs!$B$30,MAX(0,(Inputs!$B$3-100)*3)+Inputs!$B$29+Inputs!$B$30)))</f>
        <v/>
      </c>
      <c r="E430">
        <f>INDEX(FactorTable!$B$2:$Y$301, MATCH(ROUND(MIN(300,MAX(1,D430)),0), FactorTable!$A$2:$A$301,0), Skills!L18+1)</f>
        <v/>
      </c>
      <c r="F430">
        <f>IF(Skills!M18=TRUE,(Skills!K18/10)*(E430/1000),Skills!K18/10)+Skills!N18</f>
        <v/>
      </c>
      <c r="G430">
        <f>Calc!G18</f>
        <v/>
      </c>
      <c r="H430">
        <f>Calc!H18</f>
        <v/>
      </c>
      <c r="I430">
        <f>IF(Skills!T18&lt;&gt;"",1+(Skills!T18/10)*($Z$3/1000)/100,1)</f>
        <v/>
      </c>
      <c r="J430" t="inlineStr"/>
      <c r="K430" t="inlineStr"/>
      <c r="L430" t="inlineStr"/>
      <c r="M430" t="inlineStr"/>
      <c r="N430" t="inlineStr"/>
      <c r="O430" t="n">
        <v>0</v>
      </c>
      <c r="P430">
        <f>IF(B452=0,0,O430/B452)</f>
        <v/>
      </c>
      <c r="Q430">
        <f>IFERROR(1/IF(Inputs!$B$39="pvp",15,MAX(0.1,Skills!D18-IF(Skills!E18=TRUE,Inputs!$B$33,0))),0)</f>
        <v/>
      </c>
      <c r="R430" t="n">
        <v>0</v>
      </c>
    </row>
    <row r="431">
      <c r="A431">
        <f>Skills!A19</f>
        <v/>
      </c>
      <c r="B431">
        <f>Skills!B19</f>
        <v/>
      </c>
      <c r="C431">
        <f>Inputs!$B$3&gt;=110</f>
        <v/>
      </c>
      <c r="D431">
        <f>IF(Skills!C19=1,60+Inputs!$B$26+Inputs!$B$30,IF(Skills!C19=2,90+Inputs!$B$27+Inputs!$B$30,IF(Skills!C19=3,120+Inputs!$B$28+Inputs!$B$30,MAX(0,(Inputs!$B$3-100)*3)+Inputs!$B$29+Inputs!$B$30)))</f>
        <v/>
      </c>
      <c r="E431">
        <f>INDEX(FactorTable!$B$2:$Y$301, MATCH(ROUND(MIN(300,MAX(1,D431)),0), FactorTable!$A$2:$A$301,0), Skills!L19+1)</f>
        <v/>
      </c>
      <c r="F431">
        <f>(Skills!K19/10)*(E431/1000)*64/45+Skills!N19</f>
        <v/>
      </c>
      <c r="G431">
        <f>Calc!G19</f>
        <v/>
      </c>
      <c r="H431">
        <f>Calc!H19</f>
        <v/>
      </c>
      <c r="I431">
        <f>IF(Skills!T19&lt;&gt;"",1+(Skills!T19/10)*($Z$3/1000)/100,1)</f>
        <v/>
      </c>
      <c r="J431" t="inlineStr"/>
      <c r="K431" t="inlineStr"/>
      <c r="L431" t="inlineStr"/>
      <c r="M431" t="inlineStr"/>
      <c r="N431" t="inlineStr"/>
      <c r="O431" t="n">
        <v>0</v>
      </c>
      <c r="P431">
        <f>IF(B452=0,0,O431/B452)</f>
        <v/>
      </c>
      <c r="Q431">
        <f>IFERROR(1/IF(Inputs!$B$39="pvp",15,MAX(0.1,Skills!D19-IF(Skills!E19=TRUE,Inputs!$B$33,0))),0)</f>
        <v/>
      </c>
      <c r="R431">
        <f>IF(AND(Inputs!$B$39&lt;&gt;"pvp",Inputs!$B$44&gt;0),IF(Inputs!$B$44&lt;=0,0,(INT(Inputs!$B$44/IF(Inputs!$B$39="pvp",15,MAX(0.1,Skills!D19-IF(Skills!E19=TRUE,Inputs!$B$33,0))))+1)),0)</f>
        <v/>
      </c>
    </row>
    <row r="432">
      <c r="A432">
        <f>Skills!A20</f>
        <v/>
      </c>
      <c r="B432">
        <f>Skills!B20</f>
        <v/>
      </c>
      <c r="C432">
        <f>Inputs!$B$3&gt;=125</f>
        <v/>
      </c>
      <c r="D432">
        <f>IF(Skills!C20=1,60+Inputs!$B$26+Inputs!$B$30,IF(Skills!C20=2,90+Inputs!$B$27+Inputs!$B$30,IF(Skills!C20=3,120+Inputs!$B$28+Inputs!$B$30,MAX(0,(Inputs!$B$3-100)*3)+Inputs!$B$29+Inputs!$B$30)))</f>
        <v/>
      </c>
      <c r="E432">
        <f>INDEX(FactorTable!$B$2:$Y$301, MATCH(ROUND(MIN(300,MAX(1,D432)),0), FactorTable!$A$2:$A$301,0), Skills!L20+1)</f>
        <v/>
      </c>
      <c r="F432">
        <f>IF(Skills!M20=TRUE,(Skills!K20/10)*(E432/1000),Skills!K20/10)+Skills!N20</f>
        <v/>
      </c>
      <c r="G432">
        <f>Calc!G20</f>
        <v/>
      </c>
      <c r="H432">
        <f>Calc!H20</f>
        <v/>
      </c>
      <c r="I432">
        <f>IF(Skills!T20&lt;&gt;"",1+(Skills!T20/10)*($Z$3/1000)/100,1)</f>
        <v/>
      </c>
      <c r="J432" t="inlineStr"/>
      <c r="K432" t="inlineStr"/>
      <c r="L432" t="inlineStr"/>
      <c r="M432" t="inlineStr"/>
      <c r="N432" t="inlineStr"/>
      <c r="O432" t="n">
        <v>0</v>
      </c>
      <c r="P432">
        <f>IF(B452=0,0,O432/B452)</f>
        <v/>
      </c>
      <c r="Q432">
        <f>IFERROR(1/IF(Inputs!$B$39="pvp",15,MAX(0.1,Skills!D20-IF(Skills!E20=TRUE,Inputs!$B$33,0))),0)</f>
        <v/>
      </c>
      <c r="R432" t="n">
        <v>0</v>
      </c>
    </row>
    <row r="433">
      <c r="A433">
        <f>Skills!A21</f>
        <v/>
      </c>
      <c r="B433">
        <f>Skills!B21</f>
        <v/>
      </c>
      <c r="C433">
        <f>Inputs!$B$3&gt;=33</f>
        <v/>
      </c>
      <c r="D433">
        <f>IF(Skills!C21=1,60+Inputs!$B$26+Inputs!$B$30,IF(Skills!C21=2,90+Inputs!$B$27+Inputs!$B$30,IF(Skills!C21=3,120+Inputs!$B$28+Inputs!$B$30,MAX(0,(Inputs!$B$3-100)*3)+Inputs!$B$29+Inputs!$B$30)))</f>
        <v/>
      </c>
      <c r="E433">
        <f>INDEX(FactorTable!$B$2:$Y$301, MATCH(ROUND(MIN(300,MAX(1,D433)),0), FactorTable!$A$2:$A$301,0), Skills!L21+1)</f>
        <v/>
      </c>
      <c r="F433">
        <f>IF(Skills!M21=TRUE,(Skills!K21/10)*(E433/1000),Skills!K21/10)+Skills!N21</f>
        <v/>
      </c>
      <c r="G433">
        <f>Calc!G21</f>
        <v/>
      </c>
      <c r="H433">
        <f>Calc!H21</f>
        <v/>
      </c>
      <c r="I433">
        <f>IF(Skills!T21&lt;&gt;"",1+(Skills!T21/10)*($Z$3/1000)/100,1)</f>
        <v/>
      </c>
      <c r="J433" t="inlineStr"/>
      <c r="K433" t="inlineStr"/>
      <c r="L433" t="inlineStr"/>
      <c r="M433" t="inlineStr"/>
      <c r="N433" t="inlineStr"/>
      <c r="O433" t="n">
        <v>0</v>
      </c>
      <c r="P433">
        <f>IF(B452=0,0,O433/B452)</f>
        <v/>
      </c>
      <c r="Q433">
        <f>IFERROR(1/IF(Inputs!$B$39="pvp",15,MAX(0.1,Skills!D21-IF(Skills!E21=TRUE,Inputs!$B$33,0))),0)</f>
        <v/>
      </c>
      <c r="R433" t="n">
        <v>0</v>
      </c>
    </row>
    <row r="434">
      <c r="A434">
        <f>Skills!A22</f>
        <v/>
      </c>
      <c r="B434">
        <f>Skills!B22</f>
        <v/>
      </c>
      <c r="C434">
        <f>Inputs!$B$3&gt;=43</f>
        <v/>
      </c>
      <c r="D434">
        <f>IF(Skills!C22=1,60+Inputs!$B$26+Inputs!$B$30,IF(Skills!C22=2,90+Inputs!$B$27+Inputs!$B$30,IF(Skills!C22=3,120+Inputs!$B$28+Inputs!$B$30,MAX(0,(Inputs!$B$3-100)*3)+Inputs!$B$29+Inputs!$B$30)))</f>
        <v/>
      </c>
      <c r="E434">
        <f>INDEX(FactorTable!$B$2:$Y$301, MATCH(ROUND(MIN(300,MAX(1,D434)),0), FactorTable!$A$2:$A$301,0), Skills!L22+1)</f>
        <v/>
      </c>
      <c r="F434">
        <f>IF(Skills!M22=TRUE,(Skills!K22/10)*(E434/1000),Skills!K22/10)+Skills!N22</f>
        <v/>
      </c>
      <c r="G434">
        <f>Calc!G22</f>
        <v/>
      </c>
      <c r="H434">
        <f>Calc!H22</f>
        <v/>
      </c>
      <c r="I434">
        <f>IF(Skills!T22&lt;&gt;"",1+(Skills!T22/10)*($Z$3/1000)/100,1)</f>
        <v/>
      </c>
      <c r="J434" t="inlineStr"/>
      <c r="K434" t="inlineStr"/>
      <c r="L434" t="inlineStr"/>
      <c r="M434" t="inlineStr"/>
      <c r="N434" t="inlineStr"/>
      <c r="O434" t="n">
        <v>0</v>
      </c>
      <c r="P434">
        <f>IF(B452=0,0,O434/B452)</f>
        <v/>
      </c>
      <c r="Q434">
        <f>IFERROR(1/IF(Inputs!$B$39="pvp",15,MAX(0.1,Skills!D22-IF(Skills!E22=TRUE,Inputs!$B$33,0))),0)</f>
        <v/>
      </c>
      <c r="R434" t="n">
        <v>0</v>
      </c>
    </row>
    <row r="435">
      <c r="A435">
        <f>Skills!A23</f>
        <v/>
      </c>
      <c r="B435">
        <f>Skills!B23</f>
        <v/>
      </c>
      <c r="C435">
        <f>Inputs!$B$3&gt;=50</f>
        <v/>
      </c>
      <c r="D435">
        <f>IF(Skills!C23=1,60+Inputs!$B$26+Inputs!$B$30,IF(Skills!C23=2,90+Inputs!$B$27+Inputs!$B$30,IF(Skills!C23=3,120+Inputs!$B$28+Inputs!$B$30,MAX(0,(Inputs!$B$3-100)*3)+Inputs!$B$29+Inputs!$B$30)))</f>
        <v/>
      </c>
      <c r="E435">
        <f>INDEX(FactorTable!$B$2:$Y$301, MATCH(ROUND(MIN(300,MAX(1,D435)),0), FactorTable!$A$2:$A$301,0), Skills!L23+1)</f>
        <v/>
      </c>
      <c r="F435">
        <f>IF(Skills!M23=TRUE,(Skills!K23/10)*(E435/1000),Skills!K23/10)+Skills!N23</f>
        <v/>
      </c>
      <c r="G435">
        <f>Calc!G23</f>
        <v/>
      </c>
      <c r="H435">
        <f>Calc!H23</f>
        <v/>
      </c>
      <c r="I435">
        <f>IF(Skills!T23&lt;&gt;"",1+(Skills!T23/10)*($Z$3/1000)/100,1)</f>
        <v/>
      </c>
      <c r="J435" t="inlineStr"/>
      <c r="K435" t="inlineStr"/>
      <c r="L435" t="inlineStr"/>
      <c r="M435" t="inlineStr"/>
      <c r="N435" t="inlineStr"/>
      <c r="O435" t="n">
        <v>0</v>
      </c>
      <c r="P435">
        <f>IF(B452=0,0,O435/B452)</f>
        <v/>
      </c>
      <c r="Q435">
        <f>IFERROR(1/IF(Inputs!$B$39="pvp",15,MAX(0.1,Skills!D23-IF(Skills!E23=TRUE,Inputs!$B$33,0))),0)</f>
        <v/>
      </c>
      <c r="R435" t="n">
        <v>0</v>
      </c>
    </row>
    <row r="436">
      <c r="A436">
        <f>Skills!A24</f>
        <v/>
      </c>
      <c r="B436">
        <f>Skills!B24</f>
        <v/>
      </c>
      <c r="C436">
        <f>Inputs!$B$3&gt;=74</f>
        <v/>
      </c>
      <c r="D436">
        <f>IF(Skills!C24=1,60+Inputs!$B$26+Inputs!$B$30,IF(Skills!C24=2,90+Inputs!$B$27+Inputs!$B$30,IF(Skills!C24=3,120+Inputs!$B$28+Inputs!$B$30,MAX(0,(Inputs!$B$3-100)*3)+Inputs!$B$29+Inputs!$B$30)))</f>
        <v/>
      </c>
      <c r="E436">
        <f>INDEX(FactorTable!$B$2:$Y$301, MATCH(ROUND(MIN(300,MAX(1,D436)),0), FactorTable!$A$2:$A$301,0), Skills!L24+1)</f>
        <v/>
      </c>
      <c r="F436">
        <f>IF(Skills!M24=TRUE,(Skills!K24/10)*(E436/1000),Skills!K24/10)+Skills!N24</f>
        <v/>
      </c>
      <c r="G436">
        <f>Calc!G24</f>
        <v/>
      </c>
      <c r="H436">
        <f>Calc!H24</f>
        <v/>
      </c>
      <c r="I436">
        <f>IF(Skills!T24&lt;&gt;"",1+(Skills!T24/10)*($Z$3/1000)/100,1)</f>
        <v/>
      </c>
      <c r="J436" t="inlineStr"/>
      <c r="K436" t="inlineStr"/>
      <c r="L436" t="inlineStr"/>
      <c r="M436" t="inlineStr"/>
      <c r="N436" t="inlineStr"/>
      <c r="O436" t="n">
        <v>0</v>
      </c>
      <c r="P436">
        <f>IF(B452=0,0,O436/B452)</f>
        <v/>
      </c>
      <c r="Q436">
        <f>IFERROR(1/IF(Inputs!$B$39="pvp",15,MAX(0.1,Skills!D24-IF(Skills!E24=TRUE,Inputs!$B$33,0))),0)</f>
        <v/>
      </c>
      <c r="R436" t="n">
        <v>0</v>
      </c>
    </row>
    <row r="437">
      <c r="A437">
        <f>Skills!A25</f>
        <v/>
      </c>
      <c r="B437">
        <f>Skills!B25</f>
        <v/>
      </c>
      <c r="C437">
        <f>Inputs!$B$3&gt;=74</f>
        <v/>
      </c>
      <c r="D437">
        <f>IF(Skills!C25=1,60+Inputs!$B$26+Inputs!$B$30,IF(Skills!C25=2,90+Inputs!$B$27+Inputs!$B$30,IF(Skills!C25=3,120+Inputs!$B$28+Inputs!$B$30,MAX(0,(Inputs!$B$3-100)*3)+Inputs!$B$29+Inputs!$B$30)))</f>
        <v/>
      </c>
      <c r="E437">
        <f>INDEX(FactorTable!$B$2:$Y$301, MATCH(ROUND(MIN(300,MAX(1,D437)),0), FactorTable!$A$2:$A$301,0), Skills!L25+1)</f>
        <v/>
      </c>
      <c r="F437">
        <f>IF(Skills!M25=TRUE,(Skills!K25/10)*(E437/1000),Skills!K25/10)+Skills!N25</f>
        <v/>
      </c>
      <c r="G437">
        <f>Calc!G25</f>
        <v/>
      </c>
      <c r="H437">
        <f>Calc!H25</f>
        <v/>
      </c>
      <c r="I437">
        <f>IF(Skills!T25&lt;&gt;"",1+(Skills!T25/10)*($Z$3/1000)/100,1)</f>
        <v/>
      </c>
      <c r="J437" t="inlineStr"/>
      <c r="K437" t="inlineStr"/>
      <c r="L437" t="inlineStr"/>
      <c r="M437" t="inlineStr"/>
      <c r="N437" t="inlineStr"/>
      <c r="O437" t="n">
        <v>0</v>
      </c>
      <c r="P437">
        <f>IF(B452=0,0,O437/B452)</f>
        <v/>
      </c>
      <c r="Q437">
        <f>IFERROR(1/IF(Inputs!$B$39="pvp",15,MAX(0.1,Skills!D25-IF(Skills!E25=TRUE,Inputs!$B$33,0))),0)</f>
        <v/>
      </c>
      <c r="R437" t="n">
        <v>0</v>
      </c>
    </row>
    <row r="438">
      <c r="A438">
        <f>Skills!A26</f>
        <v/>
      </c>
      <c r="B438">
        <f>Skills!B26</f>
        <v/>
      </c>
      <c r="C438">
        <f>Inputs!$B$3&gt;=117</f>
        <v/>
      </c>
      <c r="D438">
        <f>IF(Skills!C26=1,60+Inputs!$B$26+Inputs!$B$30,IF(Skills!C26=2,90+Inputs!$B$27+Inputs!$B$30,IF(Skills!C26=3,120+Inputs!$B$28+Inputs!$B$30,MAX(0,(Inputs!$B$3-100)*3)+Inputs!$B$29+Inputs!$B$30)))</f>
        <v/>
      </c>
      <c r="E438">
        <f>INDEX(FactorTable!$B$2:$Y$301, MATCH(ROUND(MIN(300,MAX(1,D438)),0), FactorTable!$A$2:$A$301,0), Skills!L26+1)</f>
        <v/>
      </c>
      <c r="F438">
        <f>IF(Skills!M26=TRUE,(Skills!K26/10)*(E438/1000),Skills!K26/10)+Skills!N26</f>
        <v/>
      </c>
      <c r="G438">
        <f>Calc!G26</f>
        <v/>
      </c>
      <c r="H438">
        <f>Calc!H26</f>
        <v/>
      </c>
      <c r="I438">
        <f>IF(Skills!T26&lt;&gt;"",1+(Skills!T26/10)*($Z$3/1000)/100,1)</f>
        <v/>
      </c>
      <c r="J438" t="inlineStr"/>
      <c r="K438" t="inlineStr"/>
      <c r="L438" t="inlineStr"/>
      <c r="M438" t="inlineStr"/>
      <c r="N438" t="inlineStr"/>
      <c r="O438" t="n">
        <v>0</v>
      </c>
      <c r="P438">
        <f>IF(B452=0,0,O438/B452)</f>
        <v/>
      </c>
      <c r="Q438">
        <f>IFERROR(1/IF(Inputs!$B$39="pvp",15,MAX(0.1,Skills!D26-IF(Skills!E26=TRUE,Inputs!$B$33,0))),0)</f>
        <v/>
      </c>
      <c r="R438" t="n">
        <v>0</v>
      </c>
    </row>
    <row r="439">
      <c r="A439">
        <f>Skills!A27</f>
        <v/>
      </c>
      <c r="B439">
        <f>Skills!B27</f>
        <v/>
      </c>
      <c r="C439">
        <f>Inputs!$B$3&gt;=120</f>
        <v/>
      </c>
      <c r="D439">
        <f>IF(Skills!C27=1,60+Inputs!$B$26+Inputs!$B$30,IF(Skills!C27=2,90+Inputs!$B$27+Inputs!$B$30,IF(Skills!C27=3,120+Inputs!$B$28+Inputs!$B$30,MAX(0,(Inputs!$B$3-100)*3)+Inputs!$B$29+Inputs!$B$30)))</f>
        <v/>
      </c>
      <c r="E439">
        <f>INDEX(FactorTable!$B$2:$Y$301, MATCH(ROUND(MIN(300,MAX(1,D439)),0), FactorTable!$A$2:$A$301,0), Skills!L27+1)</f>
        <v/>
      </c>
      <c r="F439">
        <f>IF(Skills!M27=TRUE,(Skills!K27/10)*(E439/1000),Skills!K27/10)+Skills!N27</f>
        <v/>
      </c>
      <c r="G439">
        <f>Calc!G27</f>
        <v/>
      </c>
      <c r="H439">
        <f>Calc!H27</f>
        <v/>
      </c>
      <c r="I439">
        <f>IF(Skills!T27&lt;&gt;"",1+(Skills!T27/10)*($Z$3/1000)/100,1)</f>
        <v/>
      </c>
      <c r="J439" t="inlineStr"/>
      <c r="K439" t="inlineStr"/>
      <c r="L439" t="inlineStr"/>
      <c r="M439" t="inlineStr"/>
      <c r="N439" t="inlineStr"/>
      <c r="O439" t="n">
        <v>0</v>
      </c>
      <c r="P439">
        <f>IF(B452=0,0,O439/B452)</f>
        <v/>
      </c>
      <c r="Q439">
        <f>IFERROR(1/IF(Inputs!$B$39="pvp",15,MAX(0.1,Skills!D27-IF(Skills!E27=TRUE,Inputs!$B$33,0))),0)</f>
        <v/>
      </c>
      <c r="R439" t="n">
        <v>0</v>
      </c>
    </row>
    <row r="441">
      <c r="A441" t="inlineStr">
        <is>
          <t>Average Buff Multiplier</t>
        </is>
      </c>
      <c r="B441">
        <f>(1+(IF(C415=TRUE,F415*IF(AND(Inputs!$B$39&lt;&gt;"pvp",Inputs!$B$44&gt;0),(((R415-1)*(Skills!S3*(1+(Inputs!$B$35+IF(Inputs!$B$3&gt;=117,F438,0))/100))+MIN((Skills!S3*(1+(Inputs!$B$35+IF(Inputs!$B$3&gt;=117,F438,0))/100)),MAX(0,Inputs!$B$44-((R415-1)*Skills!D3))))/Inputs!$B$44),IF(Inputs!$B$39="pvp",MIN((Skills!S3*(1+(Inputs!$B$35+IF(Inputs!$B$3&gt;=117,F438,0))/100)),15)/15,(Skills!S3*(1+(Inputs!$B$35+IF(Inputs!$B$3&gt;=117,F438,0))/100))/Skills!D3)),0)+IF(C416=TRUE,F416*IF(AND(Inputs!$B$39&lt;&gt;"pvp",Inputs!$B$44&gt;0),(((R416-1)*(Skills!S4*(1+(Inputs!$B$35+IF(Inputs!$B$3&gt;=117,F438,0))/100))+MIN((Skills!S4*(1+(Inputs!$B$35+IF(Inputs!$B$3&gt;=117,F438,0))/100)),MAX(0,Inputs!$B$44-((R416-1)*Skills!D4))))/Inputs!$B$44),IF(Inputs!$B$39="pvp",MIN((Skills!S4*(1+(Inputs!$B$35+IF(Inputs!$B$3&gt;=117,F438,0))/100)),15)/15,(Skills!S4*(1+(Inputs!$B$35+IF(Inputs!$B$3&gt;=117,F438,0))/100))/Skills!D4)),0)+IF(C417=TRUE,F417*IF(AND(Inputs!$B$39&lt;&gt;"pvp",Inputs!$B$44&gt;0),(((R417-1)*(Skills!S5*(1+(Inputs!$B$35+IF(Inputs!$B$3&gt;=117,F438,0))/100))+MIN((Skills!S5*(1+(Inputs!$B$35+IF(Inputs!$B$3&gt;=117,F438,0))/100)),MAX(0,Inputs!$B$44-((R417-1)*Skills!D5))))/Inputs!$B$44),IF(Inputs!$B$39="pvp",MIN((Skills!S5*(1+(Inputs!$B$35+IF(Inputs!$B$3&gt;=117,F438,0))/100)),15)/15,(Skills!S5*(1+(Inputs!$B$35+IF(Inputs!$B$3&gt;=117,F438,0))/100))/Skills!D5)),0)+IF(C423=TRUE,F423*IF(AND(Inputs!$B$39&lt;&gt;"pvp",Inputs!$B$44&gt;0),(((R423-1)*(Skills!S11*(1+(Inputs!$B$35+IF(Inputs!$B$3&gt;=117,F438,0))/100))+MIN((Skills!S11*(1+(Inputs!$B$35+IF(Inputs!$B$3&gt;=117,F438,0))/100)),MAX(0,Inputs!$B$44-((R423-1)*Skills!D11))))/Inputs!$B$44),IF(Inputs!$B$39="pvp",MIN((Skills!S11*(1+(Inputs!$B$35+IF(Inputs!$B$3&gt;=117,F438,0))/100)),15)/15,(Skills!S11*(1+(Inputs!$B$35+IF(Inputs!$B$3&gt;=117,F438,0))/100))/Skills!D11)),0))/100)*IF(C426=TRUE,(1+F426*IF(AND(Inputs!$B$39&lt;&gt;"pvp",Inputs!$B$44&gt;0),(((R426-1)*(Skills!S14*(1+(Inputs!$B$35+IF(Inputs!$B$3&gt;=117,F438,0))/100))+MIN((Skills!S14*(1+(Inputs!$B$35+IF(Inputs!$B$3&gt;=117,F438,0))/100)),MAX(0,Inputs!$B$44-((R426-1)*Skills!D14))))/Inputs!$B$44),IF(Inputs!$B$39="pvp",MIN((Skills!S14*(1+(Inputs!$B$35+IF(Inputs!$B$3&gt;=117,F438,0))/100)),15)/15,(Skills!S14*(1+(Inputs!$B$35+IF(Inputs!$B$3&gt;=117,F438,0))/100))/Skills!D14))/100),1)*IF(C431=TRUE,(1+F431*IF(AND(Inputs!$B$39&lt;&gt;"pvp",Inputs!$B$44&gt;0),(((R431-1)*(Skills!S19*(1+(Inputs!$B$35+IF(Inputs!$B$3&gt;=117,F438,0))/100))+MIN((Skills!S19*(1+(Inputs!$B$35+IF(Inputs!$B$3&gt;=117,F438,0))/100)),MAX(0,Inputs!$B$44-((R431-1)*Skills!D19))))/Inputs!$B$44),IF(Inputs!$B$39="pvp",MIN((Skills!S19*(1+(Inputs!$B$35+IF(Inputs!$B$3&gt;=117,F438,0))/100)),15)/15,(Skills!S19*(1+(Inputs!$B$35+IF(Inputs!$B$3&gt;=117,F438,0))/100))/Skills!D19))/100),1)</f>
        <v/>
      </c>
    </row>
    <row r="442">
      <c r="A442" t="inlineStr">
        <is>
          <t>Monster Damage Taken Bonus % (Holy Fountain)</t>
        </is>
      </c>
      <c r="B442">
        <f>IF(Inputs!$B$3&gt;=68,20*IF(Inputs!$B$39="pvp",MIN((15*(1+(Inputs!$B$35+IF(Inputs!$B$3&gt;=117,F438,0))/100)),15)/15,(15*(1+(Inputs!$B$35+IF(Inputs!$B$3&gt;=117,F438,0))/100))/Skills!D10),0)</f>
        <v/>
      </c>
    </row>
    <row r="443">
      <c r="A443" t="inlineStr">
        <is>
          <t>Normal Monster Damage Bonus % (Holy Symbol)</t>
        </is>
      </c>
      <c r="B443">
        <f>IF(C424=TRUE,F424*IF(AND(Inputs!$B$39&lt;&gt;"pvp",Inputs!$B$44&gt;0),(((R424-1)*(Skills!S12*(1+(Inputs!$B$35+IF(Inputs!$B$3&gt;=117,F438,0))/100))+MIN((Skills!S12*(1+(Inputs!$B$35+IF(Inputs!$B$3&gt;=117,F438,0))/100)),MAX(0,Inputs!$B$44-((R424-1)*Skills!D12))))/Inputs!$B$44),IF(Inputs!$B$39="pvp",MIN((Skills!S12*(1+(Inputs!$B$35+IF(Inputs!$B$3&gt;=117,F438,0))/100)),15)/15,(Skills!S12*(1+(Inputs!$B$35+IF(Inputs!$B$3&gt;=117,F438,0))/100))/Skills!D12)),0)</f>
        <v/>
      </c>
    </row>
    <row r="444">
      <c r="A444" t="inlineStr">
        <is>
          <t>Damage % Bonus (Holy Symbol - Damage Boost)</t>
        </is>
      </c>
      <c r="B444">
        <f>Skills!O12</f>
        <v/>
      </c>
    </row>
    <row r="445">
      <c r="A445" t="inlineStr">
        <is>
          <t>Crit Damage % Bonus (Blood of the Divine)</t>
        </is>
      </c>
      <c r="B445">
        <f>4*IF(C432=TRUE,F432,0)</f>
        <v/>
      </c>
    </row>
    <row r="446">
      <c r="A446" t="inlineStr">
        <is>
          <t>Attack Speed Bonus %</t>
        </is>
      </c>
      <c r="B446">
        <f>IF(C429=TRUE,F429+(F433-Calc!F21),0)+IF(Inputs!$B$3&gt;=134,15,0)</f>
        <v/>
      </c>
    </row>
    <row r="447">
      <c r="A447" t="inlineStr">
        <is>
          <t>Actions Per Second</t>
        </is>
      </c>
      <c r="B447">
        <f>1+MIN(150,150*(1-(1-Inputs!$B$12/150)*(1-B446/150)))/100</f>
        <v/>
      </c>
    </row>
    <row r="448">
      <c r="A448" t="inlineStr">
        <is>
          <t>Skill + Buff Cast Rate</t>
        </is>
      </c>
      <c r="B448">
        <f>IF(AND(Inputs!$B$39&lt;&gt;"pvp",Inputs!$B$44&gt;0),SUMPRODUCT((Skills!E2:E27=TRUE)*(C414:C439=TRUE)*R414:R439)/Inputs!$B$44,SUMPRODUCT((Skills!E2:E27=TRUE)*(C414:C439=TRUE)*Q414:Q439))</f>
        <v/>
      </c>
    </row>
    <row r="449">
      <c r="A449" t="inlineStr">
        <is>
          <t>Big Bang Casts Per Second</t>
        </is>
      </c>
      <c r="B449">
        <f>MAX(0,B447-B448)</f>
        <v/>
      </c>
    </row>
    <row r="450">
      <c r="A450" t="inlineStr">
        <is>
          <t>Defense % Bonus (Divine Protection)</t>
        </is>
      </c>
      <c r="B450">
        <f>IF(C425=TRUE,F425*IF(AND(Inputs!$B$39&lt;&gt;"pvp",Inputs!$B$44&gt;0),(((R425-1)*(Skills!S13*(1+(Inputs!$B$35+IF(Inputs!$B$3&gt;=117,F438,0))/100))+MIN((Skills!S13*(1+(Inputs!$B$35+IF(Inputs!$B$3&gt;=117,F438,0))/100)),MAX(0,Inputs!$B$44-((R425-1)*Skills!D13))))/Inputs!$B$44),IF(Inputs!$B$39="pvp",MIN((Skills!S13*(1+(Inputs!$B$35+IF(Inputs!$B$3&gt;=117,F438,0))/100)),15)/15,(Skills!S13*(1+(Inputs!$B$35+IF(Inputs!$B$3&gt;=117,F438,0))/100))/Skills!D13)),0)</f>
        <v/>
      </c>
    </row>
    <row r="451">
      <c r="A451" t="inlineStr">
        <is>
          <t>Buff-Casting Startup Delay (s, fixed-duration only)</t>
        </is>
      </c>
      <c r="B451">
        <f>IF(AND(Inputs!$B$39&lt;&gt;"pvp",Inputs!$B$44&gt;0),SUMPRODUCT((Skills!S2:S27&gt;0)*(Skills!E2:E27=TRUE)*(C414:C439=TRUE))/B447,0)</f>
        <v/>
      </c>
    </row>
    <row r="452">
      <c r="A452" s="5" t="inlineStr">
        <is>
          <t>TOTAL DPS</t>
        </is>
      </c>
      <c r="B452" s="5">
        <f>SUM(O414:O439)</f>
        <v/>
      </c>
    </row>
    <row r="454">
      <c r="A454" s="5" t="inlineStr">
        <is>
          <t>Stat: MAX_DAMAGE %</t>
        </is>
      </c>
    </row>
    <row r="455">
      <c r="A455" s="9" t="inlineStr">
        <is>
          <t>Key</t>
        </is>
      </c>
      <c r="B455" s="9" t="inlineStr">
        <is>
          <t>Name</t>
        </is>
      </c>
      <c r="C455" s="9" t="inlineStr">
        <is>
          <t>Unlocked</t>
        </is>
      </c>
      <c r="D455" s="9" t="inlineStr">
        <is>
          <t>InputLevel</t>
        </is>
      </c>
      <c r="E455" s="9" t="inlineStr">
        <is>
          <t>Factor</t>
        </is>
      </c>
      <c r="F455" s="9" t="inlineStr">
        <is>
          <t>CoefficientPercent</t>
        </is>
      </c>
      <c r="G455" s="9" t="inlineStr">
        <is>
          <t>EffectiveHits</t>
        </is>
      </c>
      <c r="H455" s="9" t="inlineStr">
        <is>
          <t>ProcProbability</t>
        </is>
      </c>
      <c r="I455" s="9" t="inlineStr">
        <is>
          <t>MapleHeroMultiplier</t>
        </is>
      </c>
      <c r="J455" s="9" t="inlineStr">
        <is>
          <t>BaseDamage</t>
        </is>
      </c>
      <c r="K455" s="9" t="inlineStr">
        <is>
          <t>BaseHitDamage</t>
        </is>
      </c>
      <c r="L455" s="9" t="inlineStr">
        <is>
          <t>NonCritAvg</t>
        </is>
      </c>
      <c r="M455" s="9" t="inlineStr">
        <is>
          <t>CritAvg</t>
        </is>
      </c>
      <c r="N455" s="9" t="inlineStr">
        <is>
          <t>ExpectedDamage(perHit)</t>
        </is>
      </c>
      <c r="O455" s="9" t="inlineStr">
        <is>
          <t>DPS</t>
        </is>
      </c>
      <c r="P455" s="9" t="inlineStr">
        <is>
          <t>% of Total</t>
        </is>
      </c>
      <c r="R455" t="inlineStr">
        <is>
          <t>helpers</t>
        </is>
      </c>
    </row>
    <row r="456">
      <c r="A456">
        <f>Skills!A2</f>
        <v/>
      </c>
      <c r="B456">
        <f>Skills!B2</f>
        <v/>
      </c>
      <c r="C456">
        <f>Inputs!$B$3&gt;=100</f>
        <v/>
      </c>
      <c r="D456" t="inlineStr"/>
      <c r="E456" t="inlineStr"/>
      <c r="F456">
        <f>T458+Skills!N2</f>
        <v/>
      </c>
      <c r="G456">
        <f>Calc!G2</f>
        <v/>
      </c>
      <c r="H456">
        <f>Calc!H2</f>
        <v/>
      </c>
      <c r="I456">
        <f>IF(Skills!T2&lt;&gt;"",1+(Skills!T2/10)*($Z$3/1000)/100,1)</f>
        <v/>
      </c>
      <c r="J456">
        <f>((Inputs!$B$6*(1+Inputs!$B$7/100))+(((Inputs!$B$13*(1+Inputs!$B$14/100))-(Inputs!$B$13*(1+Inputs!$B$14/100)))+0.25*(Inputs!$B$15-Inputs!$B$15))*(1+Inputs!$B$7/100))*(F456/100)</f>
        <v/>
      </c>
      <c r="K456">
        <f>J456*(1+(((Inputs!$B$13+IF(Inputs!$B$3&gt;=35,(10*INDEX(FactorTable!$B$2:$Y$301, MATCH(ROUND(MIN(300,MAX(1,Inputs!$B$3)),0), FactorTable!$A$2:$A$301,0), 23)/1000)/100*(Inputs!$B$8*(1+(Inputs!$B$9+B492)/100)),0))*(1+Inputs!$B$14/100))*0.01+Inputs!$B$15*0.0025)/100)*(1+(Inputs!$B$16+B486)/100)*(1+IF(Inputs!$B$39="pvp",0,(1-Summary!$B$48)*(Inputs!$B$21+Skills!O2+B484)+Summary!$B$48*(Inputs!$B$22+Skills!P2+B485))/100)*(1+Inputs!$B$17/100)*(5000/(6000+Inputs!$B$43*(1-Inputs!$B$20/100)))*(1+Inputs!$B$25/100)*(1+IF(C472=TRUE,F472,0)/100)*(1+IF(C474=TRUE,F474,0)/100)*(1+IF(Skills!A2="TRIUMPH_FEATHER",IF(C470=TRUE,F470,0),0)/100)*(1+IF(C481=TRUE,F481,0)/100)^5*(1+(IF(Skills!A2="BIG_BANG",Inputs!$B$18,Inputs!$B$19))/100)*(B483*I456)</f>
        <v/>
      </c>
      <c r="L456">
        <f>K456*(MIN(Inputs!$B$23+(F476-Calc!F22),(Inputs!$B$24+1))/100+(Inputs!$B$24+1)/100)/2</f>
        <v/>
      </c>
      <c r="M456">
        <f>L456*(1+(Inputs!$B$11+B487+(F479-Calc!F25))/100)</f>
        <v/>
      </c>
      <c r="N456">
        <f>L456*(1-MIN(Inputs!$B$10+((F478-Calc!F24)+(F477-Calc!F23)),100)/100)+M456*(MIN(Inputs!$B$10+((F478-Calc!F24)+(F477-Calc!F23)),100)/100)</f>
        <v/>
      </c>
      <c r="O456">
        <f>IF(C456,Skills!F2*N456*B491*IF(Inputs!$B$39="pvp",1,(1-Summary!$B$48)*(1)+Summary!$B$48*(MIN((6+Inputs!$B$34),Inputs!$B$38))),0)</f>
        <v/>
      </c>
      <c r="P456">
        <f>IF(B494=0,0,O456/B494)</f>
        <v/>
      </c>
      <c r="Q456">
        <f>IFERROR(1/IF(Inputs!$B$39="pvp",15,MAX(0.1,Skills!D2-IF(Skills!E2=TRUE,Inputs!$B$33,0))),0)</f>
        <v/>
      </c>
      <c r="R456" t="n">
        <v>0</v>
      </c>
      <c r="T456">
        <f>MAX(0,(Inputs!$B$3-100)*3)+Inputs!$B$29+Inputs!$B$30</f>
        <v/>
      </c>
    </row>
    <row r="457">
      <c r="A457">
        <f>Skills!A3</f>
        <v/>
      </c>
      <c r="B457">
        <f>Skills!B3</f>
        <v/>
      </c>
      <c r="C457">
        <f>Inputs!$B$3&gt;=15</f>
        <v/>
      </c>
      <c r="D457">
        <f>IF(Skills!C3=1,60+Inputs!$B$26+Inputs!$B$30,IF(Skills!C3=2,90+Inputs!$B$27+Inputs!$B$30,IF(Skills!C3=3,120+Inputs!$B$28+Inputs!$B$30,MAX(0,(Inputs!$B$3-100)*3)+Inputs!$B$29+Inputs!$B$30)))</f>
        <v/>
      </c>
      <c r="E457">
        <f>INDEX(FactorTable!$B$2:$Y$301, MATCH(ROUND(MIN(300,MAX(1,D457)),0), FactorTable!$A$2:$A$301,0), Skills!L3+1)</f>
        <v/>
      </c>
      <c r="F457">
        <f>IF(Skills!M3=TRUE,(Skills!K3/10)*(E457/1000),Skills!K3/10)+Skills!N3</f>
        <v/>
      </c>
      <c r="G457">
        <f>Calc!G3</f>
        <v/>
      </c>
      <c r="H457">
        <f>Calc!H3</f>
        <v/>
      </c>
      <c r="I457">
        <f>IF(Skills!T3&lt;&gt;"",1+(Skills!T3/10)*($Z$3/1000)/100,1)</f>
        <v/>
      </c>
      <c r="J457" t="inlineStr"/>
      <c r="K457" t="inlineStr"/>
      <c r="L457" t="inlineStr"/>
      <c r="M457" t="inlineStr"/>
      <c r="N457" t="inlineStr"/>
      <c r="O457" t="n">
        <v>0</v>
      </c>
      <c r="P457">
        <f>IF(B494=0,0,O457/B494)</f>
        <v/>
      </c>
      <c r="Q457">
        <f>IFERROR(1/IF(Inputs!$B$39="pvp",15,MAX(0.1,Skills!D3-IF(Skills!E3=TRUE,Inputs!$B$33,0))),0)</f>
        <v/>
      </c>
      <c r="R457">
        <f>IF(AND(Inputs!$B$39&lt;&gt;"pvp",Inputs!$B$44&gt;0),IF(Inputs!$B$44&lt;=0,0,(INT(Inputs!$B$44/IF(Inputs!$B$39="pvp",15,MAX(0.1,Skills!D3-IF(Skills!E3=TRUE,Inputs!$B$33,0))))+1)),0)</f>
        <v/>
      </c>
      <c r="T457">
        <f>INDEX(FactorTable!$B$2:$Y$301, MATCH(ROUND(MIN(300,MAX(1,T456)),0), FactorTable!$A$2:$A$301,0), 22)</f>
        <v/>
      </c>
    </row>
    <row r="458">
      <c r="A458">
        <f>Skills!A4</f>
        <v/>
      </c>
      <c r="B458">
        <f>Skills!B4</f>
        <v/>
      </c>
      <c r="C458">
        <f>Inputs!$B$3&gt;=38</f>
        <v/>
      </c>
      <c r="D458">
        <f>IF(Skills!C4=1,60+Inputs!$B$26+Inputs!$B$30,IF(Skills!C4=2,90+Inputs!$B$27+Inputs!$B$30,IF(Skills!C4=3,120+Inputs!$B$28+Inputs!$B$30,MAX(0,(Inputs!$B$3-100)*3)+Inputs!$B$29+Inputs!$B$30)))</f>
        <v/>
      </c>
      <c r="E458">
        <f>INDEX(FactorTable!$B$2:$Y$301, MATCH(ROUND(MIN(300,MAX(1,D458)),0), FactorTable!$A$2:$A$301,0), Skills!L4+1)</f>
        <v/>
      </c>
      <c r="F458">
        <f>IF(Skills!M4=TRUE,(Skills!K4/10)*(E458/1000),Skills!K4/10)+Skills!N4</f>
        <v/>
      </c>
      <c r="G458">
        <f>Calc!G4</f>
        <v/>
      </c>
      <c r="H458">
        <f>Calc!H4</f>
        <v/>
      </c>
      <c r="I458">
        <f>IF(Skills!T4&lt;&gt;"",1+(Skills!T4/10)*($Z$3/1000)/100,1)</f>
        <v/>
      </c>
      <c r="J458" t="inlineStr"/>
      <c r="K458" t="inlineStr"/>
      <c r="L458" t="inlineStr"/>
      <c r="M458" t="inlineStr"/>
      <c r="N458" t="inlineStr"/>
      <c r="O458" t="n">
        <v>0</v>
      </c>
      <c r="P458">
        <f>IF(B494=0,0,O458/B494)</f>
        <v/>
      </c>
      <c r="Q458">
        <f>IFERROR(1/IF(Inputs!$B$39="pvp",15,MAX(0.1,Skills!D4-IF(Skills!E4=TRUE,Inputs!$B$33,0))),0)</f>
        <v/>
      </c>
      <c r="R458">
        <f>IF(AND(Inputs!$B$39&lt;&gt;"pvp",Inputs!$B$44&gt;0),IF(Inputs!$B$44&lt;=0,0,(INT(Inputs!$B$44/IF(Inputs!$B$39="pvp",15,MAX(0.1,Skills!D4-IF(Skills!E4=TRUE,Inputs!$B$33,0))))+1)),0)</f>
        <v/>
      </c>
      <c r="T458">
        <f>290*T457/1000</f>
        <v/>
      </c>
    </row>
    <row r="459">
      <c r="A459">
        <f>Skills!A5</f>
        <v/>
      </c>
      <c r="B459">
        <f>Skills!B5</f>
        <v/>
      </c>
      <c r="C459">
        <f>Inputs!$B$3&gt;=40</f>
        <v/>
      </c>
      <c r="D459">
        <f>IF(Skills!C5=1,60+Inputs!$B$26+Inputs!$B$30,IF(Skills!C5=2,90+Inputs!$B$27+Inputs!$B$30,IF(Skills!C5=3,120+Inputs!$B$28+Inputs!$B$30,MAX(0,(Inputs!$B$3-100)*3)+Inputs!$B$29+Inputs!$B$30)))</f>
        <v/>
      </c>
      <c r="E459">
        <f>INDEX(FactorTable!$B$2:$Y$301, MATCH(ROUND(MIN(300,MAX(1,D459)),0), FactorTable!$A$2:$A$301,0), Skills!L5+1)</f>
        <v/>
      </c>
      <c r="F459">
        <f>IF(Skills!M5=TRUE,(Skills!K5/10)*(E459/1000),Skills!K5/10)+Skills!N5</f>
        <v/>
      </c>
      <c r="G459">
        <f>Calc!G5</f>
        <v/>
      </c>
      <c r="H459">
        <f>Calc!H5</f>
        <v/>
      </c>
      <c r="I459">
        <f>IF(Skills!T5&lt;&gt;"",1+(Skills!T5/10)*($Z$3/1000)/100,1)</f>
        <v/>
      </c>
      <c r="J459" t="inlineStr"/>
      <c r="K459" t="inlineStr"/>
      <c r="L459" t="inlineStr"/>
      <c r="M459" t="inlineStr"/>
      <c r="N459" t="inlineStr"/>
      <c r="O459" t="n">
        <v>0</v>
      </c>
      <c r="P459">
        <f>IF(B494=0,0,O459/B494)</f>
        <v/>
      </c>
      <c r="Q459">
        <f>IFERROR(1/IF(Inputs!$B$39="pvp",15,MAX(0.1,Skills!D5-IF(Skills!E5=TRUE,Inputs!$B$33,0))),0)</f>
        <v/>
      </c>
      <c r="R459">
        <f>IF(AND(Inputs!$B$39&lt;&gt;"pvp",Inputs!$B$44&gt;0),IF(Inputs!$B$44&lt;=0,0,(INT(Inputs!$B$44/IF(Inputs!$B$39="pvp",15,MAX(0.1,Skills!D5-IF(Skills!E5=TRUE,Inputs!$B$33,0))))+1)),0)</f>
        <v/>
      </c>
    </row>
    <row r="460">
      <c r="A460">
        <f>Skills!A6</f>
        <v/>
      </c>
      <c r="B460">
        <f>Skills!B6</f>
        <v/>
      </c>
      <c r="C460">
        <f>Inputs!$B$3&gt;=103</f>
        <v/>
      </c>
      <c r="D460">
        <f>IF(Skills!C6=1,60+Inputs!$B$26+Inputs!$B$30,IF(Skills!C6=2,90+Inputs!$B$27+Inputs!$B$30,IF(Skills!C6=3,120+Inputs!$B$28+Inputs!$B$30,MAX(0,(Inputs!$B$3-100)*3)+Inputs!$B$29+Inputs!$B$30)))</f>
        <v/>
      </c>
      <c r="E460">
        <f>INDEX(FactorTable!$B$2:$Y$301, MATCH(ROUND(MIN(300,MAX(1,D460)),0), FactorTable!$A$2:$A$301,0), Skills!L6+1)</f>
        <v/>
      </c>
      <c r="F460">
        <f>IF(Skills!M6=TRUE,(Skills!K6/10)*(E460/1000),Skills!K6/10)+Skills!N6</f>
        <v/>
      </c>
      <c r="G460">
        <f>Calc!G6</f>
        <v/>
      </c>
      <c r="H460">
        <f>Calc!H6</f>
        <v/>
      </c>
      <c r="I460">
        <f>IF(Skills!T6&lt;&gt;"",1+(Skills!T6/10)*($Z$3/1000)/100,1)</f>
        <v/>
      </c>
      <c r="J460">
        <f>((Inputs!$B$6*(1+Inputs!$B$7/100))+(((Inputs!$B$13*(1+Inputs!$B$14/100))-(Inputs!$B$13*(1+Inputs!$B$14/100)))+0.25*(Inputs!$B$15-Inputs!$B$15))*(1+Inputs!$B$7/100))*(F460/100)</f>
        <v/>
      </c>
      <c r="K460">
        <f>J460*(1+(((Inputs!$B$13+IF(Inputs!$B$3&gt;=35,(10*INDEX(FactorTable!$B$2:$Y$301, MATCH(ROUND(MIN(300,MAX(1,Inputs!$B$3)),0), FactorTable!$A$2:$A$301,0), 23)/1000)/100*(Inputs!$B$8*(1+(Inputs!$B$9+B492)/100)),0))*(1+Inputs!$B$14/100))*0.01+Inputs!$B$15*0.0025)/100)*(1+(Inputs!$B$16+B486)/100)*(1+IF(Inputs!$B$39="pvp",0,(1-Summary!$B$48)*(Inputs!$B$21+Skills!O6+B484)+Summary!$B$48*(Inputs!$B$22+Skills!P6+B485))/100)*(1+Inputs!$B$17/100)*(5000/(6000+Inputs!$B$43*(1-Inputs!$B$20/100)))*(1+Inputs!$B$25/100)*(1+IF(C472=TRUE,F472,0)/100)*(1+IF(C474=TRUE,F474,0)/100)*(1+IF(Skills!A6="TRIUMPH_FEATHER",IF(C470=TRUE,F470,0),0)/100)*(1+IF(C481=TRUE,F481,0)/100)^5*(1+(IF(Skills!A6="BIG_BANG",Inputs!$B$18,Inputs!$B$19))/100)*(B483*I460)</f>
        <v/>
      </c>
      <c r="L460">
        <f>K460*(MIN(Inputs!$B$23+(F476-Calc!F22),(Inputs!$B$24+1))/100+(Inputs!$B$24+1)/100)/2</f>
        <v/>
      </c>
      <c r="M460">
        <f>L460*(1+(Inputs!$B$11+B487+(F479-Calc!F25))/100)</f>
        <v/>
      </c>
      <c r="N460">
        <f>L460*(1-MIN(Inputs!$B$10+((F478-Calc!F24)+(F477-Calc!F23)),100)/100)+M460*(MIN(Inputs!$B$10+((F478-Calc!F24)+(F477-Calc!F23)),100)/100)</f>
        <v/>
      </c>
      <c r="O460">
        <f>IF(C460,H460*N460*IF(AND(Inputs!$B$39&lt;&gt;"pvp",Inputs!$B$44&gt;0),((Skills!F6*((R460-1)*IF(Skills!G6&gt;0,Skills!H6/Skills!G6,1)+IF(Skills!G6&gt;0,MIN(Skills!H6,MAX(0,MAX(0,Inputs!$B$44-B493)-((R460-1)*IF(Inputs!$B$39="pvp",15,MAX(0.1,Skills!D6-IF(Skills!E6=TRUE,Inputs!$B$33,0))))))/Skills!G6,1)))/Inputs!$B$44),G460*Q460)*IF(Inputs!$B$39="pvp",1,(1-Summary!$B$48)*(1)+Summary!$B$48*(MIN(Skills!Q6,Inputs!$B$38))),0)</f>
        <v/>
      </c>
      <c r="P460">
        <f>IF(B494=0,0,O460/B494)</f>
        <v/>
      </c>
      <c r="Q460">
        <f>IFERROR(1/IF(Inputs!$B$39="pvp",15,MAX(0.1,Skills!D6-IF(Skills!E6=TRUE,Inputs!$B$33,0))),0)</f>
        <v/>
      </c>
      <c r="R460">
        <f>IF(AND(Inputs!$B$39&lt;&gt;"pvp",Inputs!$B$44&gt;0),IF(MAX(0,Inputs!$B$44-B493)&lt;=0,0,(INT(MAX(0,Inputs!$B$44-B493)/IF(Inputs!$B$39="pvp",15,MAX(0.1,Skills!D6-IF(Skills!E6=TRUE,Inputs!$B$33,0))))+1)),0)</f>
        <v/>
      </c>
    </row>
    <row r="461">
      <c r="A461">
        <f>Skills!A7</f>
        <v/>
      </c>
      <c r="B461">
        <f>Skills!B7</f>
        <v/>
      </c>
      <c r="C461">
        <f>Inputs!$B$3&gt;=122</f>
        <v/>
      </c>
      <c r="D461">
        <f>IF(Skills!C7=1,60+Inputs!$B$26+Inputs!$B$30,IF(Skills!C7=2,90+Inputs!$B$27+Inputs!$B$30,IF(Skills!C7=3,120+Inputs!$B$28+Inputs!$B$30,MAX(0,(Inputs!$B$3-100)*3)+Inputs!$B$29+Inputs!$B$30)))</f>
        <v/>
      </c>
      <c r="E461">
        <f>INDEX(FactorTable!$B$2:$Y$301, MATCH(ROUND(MIN(300,MAX(1,D461)),0), FactorTable!$A$2:$A$301,0), Skills!L7+1)</f>
        <v/>
      </c>
      <c r="F461">
        <f>IF(Skills!M7=TRUE,(Skills!K7/10)*(E461/1000),Skills!K7/10)+Skills!N7</f>
        <v/>
      </c>
      <c r="G461">
        <f>Calc!G7</f>
        <v/>
      </c>
      <c r="H461">
        <f>Calc!H7</f>
        <v/>
      </c>
      <c r="I461">
        <f>IF(Skills!T7&lt;&gt;"",1+(Skills!T7/10)*($Z$3/1000)/100,1)</f>
        <v/>
      </c>
      <c r="J461">
        <f>((Inputs!$B$6*(1+Inputs!$B$7/100))+(((Inputs!$B$13*(1+Inputs!$B$14/100))-(Inputs!$B$13*(1+Inputs!$B$14/100)))+0.25*(Inputs!$B$15-Inputs!$B$15))*(1+Inputs!$B$7/100))*(F461/100)</f>
        <v/>
      </c>
      <c r="K461">
        <f>J461*(1+(((Inputs!$B$13+IF(Inputs!$B$3&gt;=35,(10*INDEX(FactorTable!$B$2:$Y$301, MATCH(ROUND(MIN(300,MAX(1,Inputs!$B$3)),0), FactorTable!$A$2:$A$301,0), 23)/1000)/100*(Inputs!$B$8*(1+(Inputs!$B$9+B492)/100)),0))*(1+Inputs!$B$14/100))*0.01+Inputs!$B$15*0.0025)/100)*(1+(Inputs!$B$16+B486)/100)*(1+IF(Inputs!$B$39="pvp",0,(1-Summary!$B$48)*(Inputs!$B$21+Skills!O7+B484)+Summary!$B$48*(Inputs!$B$22+Skills!P7+B485))/100)*(1+Inputs!$B$17/100)*(5000/(6000+Inputs!$B$43*(1-Inputs!$B$20/100)))*(1+Inputs!$B$25/100)*(1+IF(C472=TRUE,F472,0)/100)*(1+IF(C474=TRUE,F474,0)/100)*(1+IF(Skills!A7="TRIUMPH_FEATHER",IF(C470=TRUE,F470,0),0)/100)*(1+IF(C481=TRUE,F481,0)/100)^5*(1+(IF(Skills!A7="BIG_BANG",Inputs!$B$18,Inputs!$B$19))/100)*(B483*I461)</f>
        <v/>
      </c>
      <c r="L461">
        <f>K461*(MIN(Inputs!$B$23+(F476-Calc!F22),(Inputs!$B$24+1))/100+(Inputs!$B$24+1)/100)/2</f>
        <v/>
      </c>
      <c r="M461">
        <f>L461*(1+(Inputs!$B$11+B487+(F479-Calc!F25))/100)</f>
        <v/>
      </c>
      <c r="N461">
        <f>L461*(1-MIN(Inputs!$B$10+((F478-Calc!F24)+(F477-Calc!F23)),100)/100)+M461*(MIN(Inputs!$B$10+((F478-Calc!F24)+(F477-Calc!F23)),100)/100)</f>
        <v/>
      </c>
      <c r="O461">
        <f>IF(C461,H461*N461*IF(AND(Inputs!$B$39&lt;&gt;"pvp",Inputs!$B$44&gt;0),((Skills!F7*((R461-1)*IF(Skills!G7&gt;0,Skills!H7/Skills!G7,1)+IF(Skills!G7&gt;0,MIN(Skills!H7,MAX(0,MAX(0,Inputs!$B$44-B493)-((R461-1)*IF(Inputs!$B$39="pvp",15,MAX(0.1,Skills!D7-IF(Skills!E6=TRUE,Inputs!$B$33,0))))))/Skills!G7,1)))/Inputs!$B$44),G461*Q461)*(1-Summary!$B$48),0)</f>
        <v/>
      </c>
      <c r="P461">
        <f>IF(B494=0,0,O461/B494)</f>
        <v/>
      </c>
      <c r="Q461">
        <f>IFERROR(1/IF(Inputs!$B$39="pvp",15,MAX(0.1,Skills!D7-IF(Skills!E6=TRUE,Inputs!$B$33,0))),0)</f>
        <v/>
      </c>
      <c r="R461">
        <f>IF(AND(Inputs!$B$39&lt;&gt;"pvp",Inputs!$B$44&gt;0),IF(MAX(0,Inputs!$B$44-B493)&lt;=0,0,(INT(MAX(0,Inputs!$B$44-B493)/IF(Inputs!$B$39="pvp",15,MAX(0.1,Skills!D7-IF(Skills!E6=TRUE,Inputs!$B$33,0))))+1)),0)</f>
        <v/>
      </c>
    </row>
    <row r="462">
      <c r="A462">
        <f>Skills!A8</f>
        <v/>
      </c>
      <c r="B462">
        <f>Skills!B8</f>
        <v/>
      </c>
      <c r="C462">
        <f>Inputs!$B$3&gt;=105</f>
        <v/>
      </c>
      <c r="D462">
        <f>IF(Skills!C8=1,60+Inputs!$B$26+Inputs!$B$30,IF(Skills!C8=2,90+Inputs!$B$27+Inputs!$B$30,IF(Skills!C8=3,120+Inputs!$B$28+Inputs!$B$30,MAX(0,(Inputs!$B$3-100)*3)+Inputs!$B$29+Inputs!$B$30)))</f>
        <v/>
      </c>
      <c r="E462">
        <f>INDEX(FactorTable!$B$2:$Y$301, MATCH(ROUND(MIN(300,MAX(1,D462)),0), FactorTable!$A$2:$A$301,0), Skills!L8+1)</f>
        <v/>
      </c>
      <c r="F462">
        <f>IF(Skills!M8=TRUE,(Skills!K8/10)*(E462/1000),Skills!K8/10)+Skills!N8</f>
        <v/>
      </c>
      <c r="G462">
        <f>Calc!G8</f>
        <v/>
      </c>
      <c r="H462">
        <f>Calc!H8</f>
        <v/>
      </c>
      <c r="I462">
        <f>IF(Skills!T8&lt;&gt;"",1+(Skills!T8/10)*($Z$3/1000)/100,1)</f>
        <v/>
      </c>
      <c r="J462">
        <f>((Inputs!$B$6*(1+Inputs!$B$7/100))+(((Inputs!$B$13*(1+Inputs!$B$14/100))-(Inputs!$B$13*(1+Inputs!$B$14/100)))+0.25*(Inputs!$B$15-Inputs!$B$15))*(1+Inputs!$B$7/100))*(F462/100)</f>
        <v/>
      </c>
      <c r="K462">
        <f>J462*(1+(((Inputs!$B$13+IF(Inputs!$B$3&gt;=35,(10*INDEX(FactorTable!$B$2:$Y$301, MATCH(ROUND(MIN(300,MAX(1,Inputs!$B$3)),0), FactorTable!$A$2:$A$301,0), 23)/1000)/100*(Inputs!$B$8*(1+(Inputs!$B$9+B492)/100)),0))*(1+Inputs!$B$14/100))*0.01+Inputs!$B$15*0.0025)/100)*(1+(Inputs!$B$16+B486)/100)*(1+IF(Inputs!$B$39="pvp",0,(1-Summary!$B$48)*(Inputs!$B$21+Skills!O8+B484)+Summary!$B$48*(Inputs!$B$22+Skills!P8+B485))/100)*(1+Inputs!$B$17/100)*(5000/(6000+Inputs!$B$43*(1-Inputs!$B$20/100)))*(1+Inputs!$B$25/100)*(1+IF(C472=TRUE,F472,0)/100)*(1+IF(C474=TRUE,F474,0)/100)*(1+IF(Skills!A8="TRIUMPH_FEATHER",IF(C470=TRUE,F470,0),0)/100)*(1+IF(C481=TRUE,F481,0)/100)^5*(1+(IF(Skills!A8="BIG_BANG",Inputs!$B$18,Inputs!$B$19))/100)*(B483*I462)</f>
        <v/>
      </c>
      <c r="L462">
        <f>K462*(MIN(Inputs!$B$23+(F476-Calc!F22),(Inputs!$B$24+1))/100+(Inputs!$B$24+1)/100)/2</f>
        <v/>
      </c>
      <c r="M462">
        <f>L462*(1+(Inputs!$B$11+B487+(F479-Calc!F25))/100)</f>
        <v/>
      </c>
      <c r="N462">
        <f>L462*(1-MIN(Inputs!$B$10+((F478-Calc!F24)+(F477-Calc!F23)),100)/100)+M462*(MIN(Inputs!$B$10+((F478-Calc!F24)+(F477-Calc!F23)),100)/100)</f>
        <v/>
      </c>
      <c r="O462">
        <f>IF(C462,H462*N462*IF(AND(Inputs!$B$39&lt;&gt;"pvp",Inputs!$B$44&gt;0),((Skills!F8*((R462-1)*IF(Skills!G8&gt;0,Skills!H8/Skills!G8,1)+IF(Skills!G8&gt;0,MIN(Skills!H8,MAX(0,MAX(0,Inputs!$B$44-B493)-((R462-1)*IF(Inputs!$B$39="pvp",15,MAX(0.1,Skills!D8-IF(Skills!E8=TRUE,Inputs!$B$33,0))))))/Skills!G8,1)))/Inputs!$B$44),G462*Q462)*IF(Inputs!$B$39="pvp",1,(1-Summary!$B$48)*(1)+Summary!$B$48*(MIN(Skills!Q8,Inputs!$B$38))),0)</f>
        <v/>
      </c>
      <c r="P462">
        <f>IF(B494=0,0,O462/B494)</f>
        <v/>
      </c>
      <c r="Q462">
        <f>IFERROR(1/IF(Inputs!$B$39="pvp",15,MAX(0.1,Skills!D8-IF(Skills!E8=TRUE,Inputs!$B$33,0))),0)</f>
        <v/>
      </c>
      <c r="R462">
        <f>IF(AND(Inputs!$B$39&lt;&gt;"pvp",Inputs!$B$44&gt;0),IF(MAX(0,Inputs!$B$44-B493)&lt;=0,0,(INT(MAX(0,Inputs!$B$44-B493)/IF(Inputs!$B$39="pvp",15,MAX(0.1,Skills!D8-IF(Skills!E8=TRUE,Inputs!$B$33,0))))+1)),0)</f>
        <v/>
      </c>
    </row>
    <row r="463">
      <c r="A463">
        <f>Skills!A9</f>
        <v/>
      </c>
      <c r="B463">
        <f>Skills!B9</f>
        <v/>
      </c>
      <c r="C463">
        <f>Inputs!$B$3&gt;=115</f>
        <v/>
      </c>
      <c r="D463">
        <f>IF(Skills!C9=1,60+Inputs!$B$26+Inputs!$B$30,IF(Skills!C9=2,90+Inputs!$B$27+Inputs!$B$30,IF(Skills!C9=3,120+Inputs!$B$28+Inputs!$B$30,MAX(0,(Inputs!$B$3-100)*3)+Inputs!$B$29+Inputs!$B$30)))</f>
        <v/>
      </c>
      <c r="E463">
        <f>INDEX(FactorTable!$B$2:$Y$301, MATCH(ROUND(MIN(300,MAX(1,D463)),0), FactorTable!$A$2:$A$301,0), Skills!L9+1)</f>
        <v/>
      </c>
      <c r="F463">
        <f>IF(Skills!M9=TRUE,(Skills!K9/10)*(E463/1000),Skills!K9/10)+Skills!N9</f>
        <v/>
      </c>
      <c r="G463">
        <f>Calc!G9</f>
        <v/>
      </c>
      <c r="H463">
        <f>Calc!H9</f>
        <v/>
      </c>
      <c r="I463">
        <f>IF(Skills!T9&lt;&gt;"",1+(Skills!T9/10)*($Z$3/1000)/100,1)</f>
        <v/>
      </c>
      <c r="J463">
        <f>((Inputs!$B$6*(1+Inputs!$B$7/100))+(((Inputs!$B$13*(1+Inputs!$B$14/100))-(Inputs!$B$13*(1+Inputs!$B$14/100)))+0.25*(Inputs!$B$15-Inputs!$B$15))*(1+Inputs!$B$7/100))*(F463/100)</f>
        <v/>
      </c>
      <c r="K463">
        <f>J463*(1+(((Inputs!$B$13+IF(Inputs!$B$3&gt;=35,(10*INDEX(FactorTable!$B$2:$Y$301, MATCH(ROUND(MIN(300,MAX(1,Inputs!$B$3)),0), FactorTable!$A$2:$A$301,0), 23)/1000)/100*(Inputs!$B$8*(1+(Inputs!$B$9+B492)/100)),0))*(1+Inputs!$B$14/100))*0.01+Inputs!$B$15*0.0025)/100)*(1+(Inputs!$B$16+B486)/100)*(1+IF(Inputs!$B$39="pvp",0,(1-Summary!$B$48)*(Inputs!$B$21+Skills!O9+B484)+Summary!$B$48*(Inputs!$B$22+Skills!P9+B485))/100)*(1+Inputs!$B$17/100)*(5000/(6000+Inputs!$B$43*(1-Inputs!$B$20/100)))*(1+Inputs!$B$25/100)*(1+IF(C472=TRUE,F472,0)/100)*(1+IF(C474=TRUE,F474,0)/100)*(1+IF(Skills!A9="TRIUMPH_FEATHER",IF(C470=TRUE,F470,0),0)/100)*(1+IF(C481=TRUE,F481,0)/100)^5*(1+(IF(Skills!A9="BIG_BANG",Inputs!$B$18,Inputs!$B$19))/100)*(B483*I463)</f>
        <v/>
      </c>
      <c r="L463">
        <f>K463*(MIN(Inputs!$B$23+(F476-Calc!F22),(Inputs!$B$24+1))/100+(Inputs!$B$24+1)/100)/2</f>
        <v/>
      </c>
      <c r="M463">
        <f>L463*(1+(Inputs!$B$11+B487+(F479-Calc!F25))/100)</f>
        <v/>
      </c>
      <c r="N463">
        <f>L463*(1-MIN(Inputs!$B$10+((F478-Calc!F24)+(F477-Calc!F23)),100)/100)+M463*(MIN(Inputs!$B$10+((F478-Calc!F24)+(F477-Calc!F23)),100)/100)</f>
        <v/>
      </c>
      <c r="O463">
        <f>IF(C463,H463*N463*IF(AND(Inputs!$B$39&lt;&gt;"pvp",Inputs!$B$44&gt;0),((Skills!F9*((R463-1)*IF(Skills!G9&gt;0,Skills!H9/Skills!G9,1)+IF(Skills!G9&gt;0,MIN(Skills!H9,MAX(0,MAX(0,Inputs!$B$44-B493)-((R463-1)*IF(Inputs!$B$39="pvp",15,MAX(0.1,Skills!D9-IF(Skills!E9=TRUE,Inputs!$B$33,0))))))/Skills!G9,1)))/Inputs!$B$44),G463*Q463)*IF(Inputs!$B$39="pvp",1,(1-Summary!$B$48)*(1)+Summary!$B$48*(MIN(Skills!Q9,Inputs!$B$38))),0)</f>
        <v/>
      </c>
      <c r="P463">
        <f>IF(B494=0,0,O463/B494)</f>
        <v/>
      </c>
      <c r="Q463">
        <f>IFERROR(1/IF(Inputs!$B$39="pvp",15,MAX(0.1,Skills!D9-IF(Skills!E9=TRUE,Inputs!$B$33,0))),0)</f>
        <v/>
      </c>
      <c r="R463">
        <f>IF(AND(Inputs!$B$39&lt;&gt;"pvp",Inputs!$B$44&gt;0),IF(MAX(0,Inputs!$B$44-B493)&lt;=0,0,(INT(MAX(0,Inputs!$B$44-B493)/IF(Inputs!$B$39="pvp",15,MAX(0.1,Skills!D9-IF(Skills!E9=TRUE,Inputs!$B$33,0))))+1)),0)</f>
        <v/>
      </c>
    </row>
    <row r="464">
      <c r="A464">
        <f>Skills!A10</f>
        <v/>
      </c>
      <c r="B464">
        <f>Skills!B10</f>
        <v/>
      </c>
      <c r="C464">
        <f>Inputs!$B$3&gt;=66</f>
        <v/>
      </c>
      <c r="D464">
        <f>IF(Skills!C10=1,60+Inputs!$B$26+Inputs!$B$30,IF(Skills!C10=2,90+Inputs!$B$27+Inputs!$B$30,IF(Skills!C10=3,120+Inputs!$B$28+Inputs!$B$30,MAX(0,(Inputs!$B$3-100)*3)+Inputs!$B$29+Inputs!$B$30)))</f>
        <v/>
      </c>
      <c r="E464">
        <f>INDEX(FactorTable!$B$2:$Y$301, MATCH(ROUND(MIN(300,MAX(1,D464)),0), FactorTable!$A$2:$A$301,0), Skills!L10+1)</f>
        <v/>
      </c>
      <c r="F464" t="n">
        <v>0</v>
      </c>
      <c r="G464">
        <f>Calc!G10</f>
        <v/>
      </c>
      <c r="H464">
        <f>Calc!H10</f>
        <v/>
      </c>
      <c r="I464">
        <f>IF(Skills!T10&lt;&gt;"",1+(Skills!T10/10)*($Z$3/1000)/100,1)</f>
        <v/>
      </c>
      <c r="J464" t="inlineStr"/>
      <c r="K464" t="inlineStr"/>
      <c r="L464" t="inlineStr"/>
      <c r="M464" t="inlineStr"/>
      <c r="N464" t="inlineStr"/>
      <c r="O464" t="n">
        <v>0</v>
      </c>
      <c r="P464">
        <f>IF(B494=0,0,O464/B494)</f>
        <v/>
      </c>
      <c r="Q464">
        <f>IFERROR(1/IF(Inputs!$B$39="pvp",15,MAX(0.1,Skills!D10-IF(Skills!E10=TRUE,Inputs!$B$33,0))),0)</f>
        <v/>
      </c>
      <c r="R464">
        <f>IF(AND(Inputs!$B$39&lt;&gt;"pvp",Inputs!$B$44&gt;0),IF(MAX(0,Inputs!$B$44-B493)&lt;=0,0,(INT(MAX(0,Inputs!$B$44-B493)/IF(Inputs!$B$39="pvp",15,MAX(0.1,Skills!D10-IF(Skills!E10=TRUE,Inputs!$B$33,0))))+1)),0)</f>
        <v/>
      </c>
    </row>
    <row r="465">
      <c r="A465">
        <f>Skills!A11</f>
        <v/>
      </c>
      <c r="B465">
        <f>Skills!B11</f>
        <v/>
      </c>
      <c r="C465">
        <f>Inputs!$B$3&gt;=69</f>
        <v/>
      </c>
      <c r="D465">
        <f>IF(Skills!C11=1,60+Inputs!$B$26+Inputs!$B$30,IF(Skills!C11=2,90+Inputs!$B$27+Inputs!$B$30,IF(Skills!C11=3,120+Inputs!$B$28+Inputs!$B$30,MAX(0,(Inputs!$B$3-100)*3)+Inputs!$B$29+Inputs!$B$30)))</f>
        <v/>
      </c>
      <c r="E465">
        <f>INDEX(FactorTable!$B$2:$Y$301, MATCH(ROUND(MIN(300,MAX(1,D465)),0), FactorTable!$A$2:$A$301,0), Skills!L11+1)</f>
        <v/>
      </c>
      <c r="F465">
        <f>IF(Skills!M11=TRUE,(Skills!K11/10)*(E465/1000),Skills!K11/10)+Skills!N11</f>
        <v/>
      </c>
      <c r="G465">
        <f>Calc!G11</f>
        <v/>
      </c>
      <c r="H465">
        <f>Calc!H11</f>
        <v/>
      </c>
      <c r="I465">
        <f>IF(Skills!T11&lt;&gt;"",1+(Skills!T11/10)*($Z$3/1000)/100,1)</f>
        <v/>
      </c>
      <c r="J465" t="inlineStr"/>
      <c r="K465" t="inlineStr"/>
      <c r="L465" t="inlineStr"/>
      <c r="M465" t="inlineStr"/>
      <c r="N465" t="inlineStr"/>
      <c r="O465" t="n">
        <v>0</v>
      </c>
      <c r="P465">
        <f>IF(B494=0,0,O465/B494)</f>
        <v/>
      </c>
      <c r="Q465">
        <f>IFERROR(1/IF(Inputs!$B$39="pvp",15,MAX(0.1,Skills!D11-IF(Skills!E11=TRUE,Inputs!$B$33,0))),0)</f>
        <v/>
      </c>
      <c r="R465">
        <f>IF(AND(Inputs!$B$39&lt;&gt;"pvp",Inputs!$B$44&gt;0),IF(Inputs!$B$44&lt;=0,0,(INT(Inputs!$B$44/IF(Inputs!$B$39="pvp",15,MAX(0.1,Skills!D11-IF(Skills!E11=TRUE,Inputs!$B$33,0))))+1)),0)</f>
        <v/>
      </c>
    </row>
    <row r="466">
      <c r="A466">
        <f>Skills!A12</f>
        <v/>
      </c>
      <c r="B466">
        <f>Skills!B12</f>
        <v/>
      </c>
      <c r="C466">
        <f>Inputs!$B$3&gt;=72</f>
        <v/>
      </c>
      <c r="D466">
        <f>IF(Skills!C12=1,60+Inputs!$B$26+Inputs!$B$30,IF(Skills!C12=2,90+Inputs!$B$27+Inputs!$B$30,IF(Skills!C12=3,120+Inputs!$B$28+Inputs!$B$30,MAX(0,(Inputs!$B$3-100)*3)+Inputs!$B$29+Inputs!$B$30)))</f>
        <v/>
      </c>
      <c r="E466">
        <f>INDEX(FactorTable!$B$2:$Y$301, MATCH(ROUND(MIN(300,MAX(1,D466)),0), FactorTable!$A$2:$A$301,0), Skills!L12+1)</f>
        <v/>
      </c>
      <c r="F466">
        <f>IF(Skills!M12=TRUE,(Skills!K12/10)*(E466/1000),Skills!K12/10)+Skills!N12</f>
        <v/>
      </c>
      <c r="G466">
        <f>Calc!G12</f>
        <v/>
      </c>
      <c r="H466">
        <f>Calc!H12</f>
        <v/>
      </c>
      <c r="I466">
        <f>IF(Skills!T12&lt;&gt;"",1+(Skills!T12/10)*($Z$3/1000)/100,1)</f>
        <v/>
      </c>
      <c r="J466" t="inlineStr"/>
      <c r="K466" t="inlineStr"/>
      <c r="L466" t="inlineStr"/>
      <c r="M466" t="inlineStr"/>
      <c r="N466" t="inlineStr"/>
      <c r="O466" t="n">
        <v>0</v>
      </c>
      <c r="P466">
        <f>IF(B494=0,0,O466/B494)</f>
        <v/>
      </c>
      <c r="Q466">
        <f>IFERROR(1/IF(Inputs!$B$39="pvp",15,MAX(0.1,Skills!D12-IF(Skills!E12=TRUE,Inputs!$B$33,0))),0)</f>
        <v/>
      </c>
      <c r="R466">
        <f>IF(AND(Inputs!$B$39&lt;&gt;"pvp",Inputs!$B$44&gt;0),IF(MAX(0,Inputs!$B$44-B493)&lt;=0,0,(INT(MAX(0,Inputs!$B$44-B493)/IF(Inputs!$B$39="pvp",15,MAX(0.1,Skills!D12-IF(Skills!E12=TRUE,Inputs!$B$33,0))))+1)),0)</f>
        <v/>
      </c>
    </row>
    <row r="467">
      <c r="A467">
        <f>Skills!A13</f>
        <v/>
      </c>
      <c r="B467">
        <f>Skills!B13</f>
        <v/>
      </c>
      <c r="C467">
        <f>Inputs!$B$3&gt;=60</f>
        <v/>
      </c>
      <c r="D467">
        <f>IF(Skills!C13=1,60+Inputs!$B$26+Inputs!$B$30,IF(Skills!C13=2,90+Inputs!$B$27+Inputs!$B$30,IF(Skills!C13=3,120+Inputs!$B$28+Inputs!$B$30,MAX(0,(Inputs!$B$3-100)*3)+Inputs!$B$29+Inputs!$B$30)))</f>
        <v/>
      </c>
      <c r="E467">
        <f>INDEX(FactorTable!$B$2:$Y$301, MATCH(ROUND(MIN(300,MAX(1,D467)),0), FactorTable!$A$2:$A$301,0), Skills!L13+1)</f>
        <v/>
      </c>
      <c r="F467">
        <f>IF(Skills!M13=TRUE,(Skills!K13/10)*(E467/1000),Skills!K13/10)+Skills!N13</f>
        <v/>
      </c>
      <c r="G467">
        <f>Calc!G13</f>
        <v/>
      </c>
      <c r="H467">
        <f>Calc!H13</f>
        <v/>
      </c>
      <c r="I467">
        <f>IF(Skills!T13&lt;&gt;"",1+(Skills!T13/10)*($Z$3/1000)/100,1)</f>
        <v/>
      </c>
      <c r="J467" t="inlineStr"/>
      <c r="K467" t="inlineStr"/>
      <c r="L467" t="inlineStr"/>
      <c r="M467" t="inlineStr"/>
      <c r="N467" t="inlineStr"/>
      <c r="O467" t="n">
        <v>0</v>
      </c>
      <c r="P467">
        <f>IF(B494=0,0,O467/B494)</f>
        <v/>
      </c>
      <c r="Q467">
        <f>IFERROR(1/IF(Inputs!$B$39="pvp",15,MAX(0.1,Skills!D13-IF(Skills!E13=TRUE,Inputs!$B$33,0))),0)</f>
        <v/>
      </c>
      <c r="R467">
        <f>IF(AND(Inputs!$B$39&lt;&gt;"pvp",Inputs!$B$44&gt;0),IF(MAX(0,Inputs!$B$44-B493)&lt;=0,0,(INT(MAX(0,Inputs!$B$44-B493)/IF(Inputs!$B$39="pvp",15,MAX(0.1,Skills!D13-IF(Skills!E13=TRUE,Inputs!$B$33,0))))+1)),0)</f>
        <v/>
      </c>
    </row>
    <row r="468">
      <c r="A468">
        <f>Skills!A14</f>
        <v/>
      </c>
      <c r="B468">
        <f>Skills!B14</f>
        <v/>
      </c>
      <c r="C468">
        <f>Inputs!$B$3&gt;=107</f>
        <v/>
      </c>
      <c r="D468">
        <f>IF(Skills!C14=1,60+Inputs!$B$26+Inputs!$B$30,IF(Skills!C14=2,90+Inputs!$B$27+Inputs!$B$30,IF(Skills!C14=3,120+Inputs!$B$28+Inputs!$B$30,MAX(0,(Inputs!$B$3-100)*3)+Inputs!$B$29+Inputs!$B$30)))</f>
        <v/>
      </c>
      <c r="E468">
        <f>INDEX(FactorTable!$B$2:$Y$301, MATCH(ROUND(MIN(300,MAX(1,D468)),0), FactorTable!$A$2:$A$301,0), Skills!L14+1)</f>
        <v/>
      </c>
      <c r="F468">
        <f>IF(Skills!M14=TRUE,(Skills!K14/10)*(E468/1000),Skills!K14/10)+Skills!N14</f>
        <v/>
      </c>
      <c r="G468">
        <f>Calc!G14</f>
        <v/>
      </c>
      <c r="H468">
        <f>Calc!H14</f>
        <v/>
      </c>
      <c r="I468">
        <f>IF(Skills!T14&lt;&gt;"",1+(Skills!T14/10)*($Z$3/1000)/100,1)</f>
        <v/>
      </c>
      <c r="J468" t="inlineStr"/>
      <c r="K468" t="inlineStr"/>
      <c r="L468" t="inlineStr"/>
      <c r="M468" t="inlineStr"/>
      <c r="N468" t="inlineStr"/>
      <c r="O468" t="n">
        <v>0</v>
      </c>
      <c r="P468">
        <f>IF(B494=0,0,O468/B494)</f>
        <v/>
      </c>
      <c r="Q468">
        <f>IFERROR(1/IF(Inputs!$B$39="pvp",15,MAX(0.1,Skills!D14-IF(Skills!E14=TRUE,Inputs!$B$33,0))),0)</f>
        <v/>
      </c>
      <c r="R468">
        <f>IF(AND(Inputs!$B$39&lt;&gt;"pvp",Inputs!$B$44&gt;0),IF(Inputs!$B$44&lt;=0,0,(INT(Inputs!$B$44/IF(Inputs!$B$39="pvp",15,MAX(0.1,Skills!D14-IF(Skills!E14=TRUE,Inputs!$B$33,0))))+1)),0)</f>
        <v/>
      </c>
    </row>
    <row r="469">
      <c r="A469">
        <f>Skills!A15</f>
        <v/>
      </c>
      <c r="B469">
        <f>Skills!B15</f>
        <v/>
      </c>
      <c r="C469">
        <f>Inputs!$B$3&gt;=63</f>
        <v/>
      </c>
      <c r="D469">
        <f>IF(Skills!C15=1,60+Inputs!$B$26+Inputs!$B$30,IF(Skills!C15=2,90+Inputs!$B$27+Inputs!$B$30,IF(Skills!C15=3,120+Inputs!$B$28+Inputs!$B$30,MAX(0,(Inputs!$B$3-100)*3)+Inputs!$B$29+Inputs!$B$30)))</f>
        <v/>
      </c>
      <c r="E469">
        <f>INDEX(FactorTable!$B$2:$Y$301, MATCH(ROUND(MIN(300,MAX(1,D469)),0), FactorTable!$A$2:$A$301,0), Skills!L15+1)</f>
        <v/>
      </c>
      <c r="F469">
        <f>IF(Skills!M15=TRUE,(Skills!K15/10)*(E469/1000),Skills!K15/10)+Skills!N15</f>
        <v/>
      </c>
      <c r="G469">
        <f>Calc!G15</f>
        <v/>
      </c>
      <c r="H469">
        <f>Calc!H15</f>
        <v/>
      </c>
      <c r="I469">
        <f>IF(Skills!T15&lt;&gt;"",1+(Skills!T15/10)*($Z$3/1000)/100,1)</f>
        <v/>
      </c>
      <c r="J469">
        <f>((Inputs!$B$6*(1+Inputs!$B$7/100))+(((Inputs!$B$13*(1+Inputs!$B$14/100))-(Inputs!$B$13*(1+Inputs!$B$14/100)))+0.25*(Inputs!$B$15-Inputs!$B$15))*(1+Inputs!$B$7/100))*(F469/100)</f>
        <v/>
      </c>
      <c r="K469">
        <f>J469*(1+(((Inputs!$B$13+IF(Inputs!$B$3&gt;=35,(10*INDEX(FactorTable!$B$2:$Y$301, MATCH(ROUND(MIN(300,MAX(1,Inputs!$B$3)),0), FactorTable!$A$2:$A$301,0), 23)/1000)/100*(Inputs!$B$8*(1+(Inputs!$B$9+B492)/100)),0))*(1+Inputs!$B$14/100))*0.01+Inputs!$B$15*0.0025)/100)*(1+(Inputs!$B$16+B486)/100)*(1+IF(Inputs!$B$39="pvp",0,(1-Summary!$B$48)*(Inputs!$B$21+Skills!O15+B484)+Summary!$B$48*(Inputs!$B$22+Skills!P15+B485))/100)*(1+Inputs!$B$17/100)*(5000/(6000+Inputs!$B$43*(1-Inputs!$B$20/100)))*(1+Inputs!$B$25/100)*(1+IF(C472=TRUE,F472,0)/100)*(1+IF(C474=TRUE,F474,0)/100)*(1+IF(Skills!A15="TRIUMPH_FEATHER",IF(C470=TRUE,F470,0),0)/100)*(1+IF(C481=TRUE,F481,0)/100)^5*(1+(IF(Skills!A15="BIG_BANG",Inputs!$B$18,Inputs!$B$19))/100)*(B483*I469)</f>
        <v/>
      </c>
      <c r="L469">
        <f>K469*(MIN(Inputs!$B$23+(F476-Calc!F22),(Inputs!$B$24+1))/100+(Inputs!$B$24+1)/100)/2</f>
        <v/>
      </c>
      <c r="M469">
        <f>L469*(1+(Inputs!$B$11+B487+(F479-Calc!F25))/100)</f>
        <v/>
      </c>
      <c r="N469">
        <f>L469*(1-MIN(Inputs!$B$10+((F478-Calc!F24)+(F477-Calc!F23)),100)/100)+M469*(MIN(Inputs!$B$10+((F478-Calc!F24)+(F477-Calc!F23)),100)/100)</f>
        <v/>
      </c>
      <c r="O469">
        <f>IF(C469,Skills!F15*N469*((IF(Inputs!$B$3&gt;=78,25,15)/100*B489*10)/(1+IF(Inputs!$B$3&gt;=78,25,15)/100*B489*10))*(Skills!I15/100*B489)/(1+Skills!G15*Skills!I15/100*B489)*IF(Inputs!$B$39="pvp",1,(1-Summary!$B$48)*(1)+Summary!$B$48*(MIN(Skills!Q15,Inputs!$B$38))),0)</f>
        <v/>
      </c>
      <c r="P469">
        <f>IF(B494=0,0,O469/B494)</f>
        <v/>
      </c>
      <c r="Q469">
        <f>IFERROR(1/IF(Inputs!$B$39="pvp",15,MAX(0.1,Skills!D15-IF(Skills!E15=TRUE,Inputs!$B$33,0))),0)</f>
        <v/>
      </c>
      <c r="R469" t="n">
        <v>0</v>
      </c>
    </row>
    <row r="470">
      <c r="A470">
        <f>Skills!A16</f>
        <v/>
      </c>
      <c r="B470">
        <f>Skills!B16</f>
        <v/>
      </c>
      <c r="C470">
        <f>Inputs!$B$3&gt;=100</f>
        <v/>
      </c>
      <c r="D470">
        <f>IF(Skills!C16=1,60+Inputs!$B$26+Inputs!$B$30,IF(Skills!C16=2,90+Inputs!$B$27+Inputs!$B$30,IF(Skills!C16=3,120+Inputs!$B$28+Inputs!$B$30,MAX(0,(Inputs!$B$3-100)*3)+Inputs!$B$29+Inputs!$B$30)))</f>
        <v/>
      </c>
      <c r="E470">
        <f>INDEX(FactorTable!$B$2:$Y$301, MATCH(ROUND(MIN(300,MAX(1,D470)),0), FactorTable!$A$2:$A$301,0), Skills!L16+1)</f>
        <v/>
      </c>
      <c r="F470">
        <f>IF(Skills!M16=TRUE,(Skills!K16/10)*(E470/1000),Skills!K16/10)+Skills!N16</f>
        <v/>
      </c>
      <c r="G470">
        <f>Calc!G16</f>
        <v/>
      </c>
      <c r="H470">
        <f>Calc!H16</f>
        <v/>
      </c>
      <c r="I470">
        <f>IF(Skills!T16&lt;&gt;"",1+(Skills!T16/10)*($Z$3/1000)/100,1)</f>
        <v/>
      </c>
      <c r="J470" t="inlineStr"/>
      <c r="K470" t="inlineStr"/>
      <c r="L470" t="inlineStr"/>
      <c r="M470" t="inlineStr"/>
      <c r="N470" t="inlineStr"/>
      <c r="O470" t="n">
        <v>0</v>
      </c>
      <c r="P470">
        <f>IF(B494=0,0,O470/B494)</f>
        <v/>
      </c>
      <c r="Q470">
        <f>IFERROR(1/IF(Inputs!$B$39="pvp",15,MAX(0.1,Skills!D16-IF(Skills!E16=TRUE,Inputs!$B$33,0))),0)</f>
        <v/>
      </c>
      <c r="R470" t="n">
        <v>0</v>
      </c>
    </row>
    <row r="471">
      <c r="A471">
        <f>Skills!A17</f>
        <v/>
      </c>
      <c r="B471">
        <f>Skills!B17</f>
        <v/>
      </c>
      <c r="C471">
        <f>Inputs!$B$3&gt;=49</f>
        <v/>
      </c>
      <c r="D471">
        <f>IF(Skills!C17=1,60+Inputs!$B$26+Inputs!$B$30,IF(Skills!C17=2,90+Inputs!$B$27+Inputs!$B$30,IF(Skills!C17=3,120+Inputs!$B$28+Inputs!$B$30,MAX(0,(Inputs!$B$3-100)*3)+Inputs!$B$29+Inputs!$B$30)))</f>
        <v/>
      </c>
      <c r="E471">
        <f>INDEX(FactorTable!$B$2:$Y$301, MATCH(ROUND(MIN(300,MAX(1,D471)),0), FactorTable!$A$2:$A$301,0), Skills!L17+1)</f>
        <v/>
      </c>
      <c r="F471">
        <f>IF(Skills!M17=TRUE,(Skills!K17/10)*(E471/1000),Skills!K17/10)+Skills!N17</f>
        <v/>
      </c>
      <c r="G471">
        <f>Calc!G17</f>
        <v/>
      </c>
      <c r="H471">
        <f>Calc!H17</f>
        <v/>
      </c>
      <c r="I471">
        <f>IF(Skills!T17&lt;&gt;"",1+(Skills!T17/10)*($Z$3/1000)/100,1)</f>
        <v/>
      </c>
      <c r="J471" t="inlineStr"/>
      <c r="K471" t="inlineStr"/>
      <c r="L471" t="inlineStr"/>
      <c r="M471" t="inlineStr"/>
      <c r="N471" t="inlineStr"/>
      <c r="O471" t="n">
        <v>0</v>
      </c>
      <c r="P471">
        <f>IF(B494=0,0,O471/B494)</f>
        <v/>
      </c>
      <c r="Q471">
        <f>IFERROR(1/IF(Inputs!$B$39="pvp",15,MAX(0.1,Skills!D17-IF(Skills!E17=TRUE,Inputs!$B$33,0))),0)</f>
        <v/>
      </c>
      <c r="R471" t="n">
        <v>0</v>
      </c>
    </row>
    <row r="472">
      <c r="A472">
        <f>Skills!A18</f>
        <v/>
      </c>
      <c r="B472">
        <f>Skills!B18</f>
        <v/>
      </c>
      <c r="C472">
        <f>Inputs!$B$3&gt;=75</f>
        <v/>
      </c>
      <c r="D472">
        <f>IF(Skills!C18=1,60+Inputs!$B$26+Inputs!$B$30,IF(Skills!C18=2,90+Inputs!$B$27+Inputs!$B$30,IF(Skills!C18=3,120+Inputs!$B$28+Inputs!$B$30,MAX(0,(Inputs!$B$3-100)*3)+Inputs!$B$29+Inputs!$B$30)))</f>
        <v/>
      </c>
      <c r="E472">
        <f>INDEX(FactorTable!$B$2:$Y$301, MATCH(ROUND(MIN(300,MAX(1,D472)),0), FactorTable!$A$2:$A$301,0), Skills!L18+1)</f>
        <v/>
      </c>
      <c r="F472">
        <f>IF(Skills!M18=TRUE,(Skills!K18/10)*(E472/1000),Skills!K18/10)+Skills!N18</f>
        <v/>
      </c>
      <c r="G472">
        <f>Calc!G18</f>
        <v/>
      </c>
      <c r="H472">
        <f>Calc!H18</f>
        <v/>
      </c>
      <c r="I472">
        <f>IF(Skills!T18&lt;&gt;"",1+(Skills!T18/10)*($Z$3/1000)/100,1)</f>
        <v/>
      </c>
      <c r="J472" t="inlineStr"/>
      <c r="K472" t="inlineStr"/>
      <c r="L472" t="inlineStr"/>
      <c r="M472" t="inlineStr"/>
      <c r="N472" t="inlineStr"/>
      <c r="O472" t="n">
        <v>0</v>
      </c>
      <c r="P472">
        <f>IF(B494=0,0,O472/B494)</f>
        <v/>
      </c>
      <c r="Q472">
        <f>IFERROR(1/IF(Inputs!$B$39="pvp",15,MAX(0.1,Skills!D18-IF(Skills!E18=TRUE,Inputs!$B$33,0))),0)</f>
        <v/>
      </c>
      <c r="R472" t="n">
        <v>0</v>
      </c>
    </row>
    <row r="473">
      <c r="A473">
        <f>Skills!A19</f>
        <v/>
      </c>
      <c r="B473">
        <f>Skills!B19</f>
        <v/>
      </c>
      <c r="C473">
        <f>Inputs!$B$3&gt;=110</f>
        <v/>
      </c>
      <c r="D473">
        <f>IF(Skills!C19=1,60+Inputs!$B$26+Inputs!$B$30,IF(Skills!C19=2,90+Inputs!$B$27+Inputs!$B$30,IF(Skills!C19=3,120+Inputs!$B$28+Inputs!$B$30,MAX(0,(Inputs!$B$3-100)*3)+Inputs!$B$29+Inputs!$B$30)))</f>
        <v/>
      </c>
      <c r="E473">
        <f>INDEX(FactorTable!$B$2:$Y$301, MATCH(ROUND(MIN(300,MAX(1,D473)),0), FactorTable!$A$2:$A$301,0), Skills!L19+1)</f>
        <v/>
      </c>
      <c r="F473">
        <f>(Skills!K19/10)*(E473/1000)*64/45+Skills!N19</f>
        <v/>
      </c>
      <c r="G473">
        <f>Calc!G19</f>
        <v/>
      </c>
      <c r="H473">
        <f>Calc!H19</f>
        <v/>
      </c>
      <c r="I473">
        <f>IF(Skills!T19&lt;&gt;"",1+(Skills!T19/10)*($Z$3/1000)/100,1)</f>
        <v/>
      </c>
      <c r="J473" t="inlineStr"/>
      <c r="K473" t="inlineStr"/>
      <c r="L473" t="inlineStr"/>
      <c r="M473" t="inlineStr"/>
      <c r="N473" t="inlineStr"/>
      <c r="O473" t="n">
        <v>0</v>
      </c>
      <c r="P473">
        <f>IF(B494=0,0,O473/B494)</f>
        <v/>
      </c>
      <c r="Q473">
        <f>IFERROR(1/IF(Inputs!$B$39="pvp",15,MAX(0.1,Skills!D19-IF(Skills!E19=TRUE,Inputs!$B$33,0))),0)</f>
        <v/>
      </c>
      <c r="R473">
        <f>IF(AND(Inputs!$B$39&lt;&gt;"pvp",Inputs!$B$44&gt;0),IF(Inputs!$B$44&lt;=0,0,(INT(Inputs!$B$44/IF(Inputs!$B$39="pvp",15,MAX(0.1,Skills!D19-IF(Skills!E19=TRUE,Inputs!$B$33,0))))+1)),0)</f>
        <v/>
      </c>
    </row>
    <row r="474">
      <c r="A474">
        <f>Skills!A20</f>
        <v/>
      </c>
      <c r="B474">
        <f>Skills!B20</f>
        <v/>
      </c>
      <c r="C474">
        <f>Inputs!$B$3&gt;=125</f>
        <v/>
      </c>
      <c r="D474">
        <f>IF(Skills!C20=1,60+Inputs!$B$26+Inputs!$B$30,IF(Skills!C20=2,90+Inputs!$B$27+Inputs!$B$30,IF(Skills!C20=3,120+Inputs!$B$28+Inputs!$B$30,MAX(0,(Inputs!$B$3-100)*3)+Inputs!$B$29+Inputs!$B$30)))</f>
        <v/>
      </c>
      <c r="E474">
        <f>INDEX(FactorTable!$B$2:$Y$301, MATCH(ROUND(MIN(300,MAX(1,D474)),0), FactorTable!$A$2:$A$301,0), Skills!L20+1)</f>
        <v/>
      </c>
      <c r="F474">
        <f>IF(Skills!M20=TRUE,(Skills!K20/10)*(E474/1000),Skills!K20/10)+Skills!N20</f>
        <v/>
      </c>
      <c r="G474">
        <f>Calc!G20</f>
        <v/>
      </c>
      <c r="H474">
        <f>Calc!H20</f>
        <v/>
      </c>
      <c r="I474">
        <f>IF(Skills!T20&lt;&gt;"",1+(Skills!T20/10)*($Z$3/1000)/100,1)</f>
        <v/>
      </c>
      <c r="J474" t="inlineStr"/>
      <c r="K474" t="inlineStr"/>
      <c r="L474" t="inlineStr"/>
      <c r="M474" t="inlineStr"/>
      <c r="N474" t="inlineStr"/>
      <c r="O474" t="n">
        <v>0</v>
      </c>
      <c r="P474">
        <f>IF(B494=0,0,O474/B494)</f>
        <v/>
      </c>
      <c r="Q474">
        <f>IFERROR(1/IF(Inputs!$B$39="pvp",15,MAX(0.1,Skills!D20-IF(Skills!E20=TRUE,Inputs!$B$33,0))),0)</f>
        <v/>
      </c>
      <c r="R474" t="n">
        <v>0</v>
      </c>
    </row>
    <row r="475">
      <c r="A475">
        <f>Skills!A21</f>
        <v/>
      </c>
      <c r="B475">
        <f>Skills!B21</f>
        <v/>
      </c>
      <c r="C475">
        <f>Inputs!$B$3&gt;=33</f>
        <v/>
      </c>
      <c r="D475">
        <f>IF(Skills!C21=1,60+Inputs!$B$26+Inputs!$B$30,IF(Skills!C21=2,90+Inputs!$B$27+Inputs!$B$30,IF(Skills!C21=3,120+Inputs!$B$28+Inputs!$B$30,MAX(0,(Inputs!$B$3-100)*3)+Inputs!$B$29+Inputs!$B$30)))</f>
        <v/>
      </c>
      <c r="E475">
        <f>INDEX(FactorTable!$B$2:$Y$301, MATCH(ROUND(MIN(300,MAX(1,D475)),0), FactorTable!$A$2:$A$301,0), Skills!L21+1)</f>
        <v/>
      </c>
      <c r="F475">
        <f>IF(Skills!M21=TRUE,(Skills!K21/10)*(E475/1000),Skills!K21/10)+Skills!N21</f>
        <v/>
      </c>
      <c r="G475">
        <f>Calc!G21</f>
        <v/>
      </c>
      <c r="H475">
        <f>Calc!H21</f>
        <v/>
      </c>
      <c r="I475">
        <f>IF(Skills!T21&lt;&gt;"",1+(Skills!T21/10)*($Z$3/1000)/100,1)</f>
        <v/>
      </c>
      <c r="J475" t="inlineStr"/>
      <c r="K475" t="inlineStr"/>
      <c r="L475" t="inlineStr"/>
      <c r="M475" t="inlineStr"/>
      <c r="N475" t="inlineStr"/>
      <c r="O475" t="n">
        <v>0</v>
      </c>
      <c r="P475">
        <f>IF(B494=0,0,O475/B494)</f>
        <v/>
      </c>
      <c r="Q475">
        <f>IFERROR(1/IF(Inputs!$B$39="pvp",15,MAX(0.1,Skills!D21-IF(Skills!E21=TRUE,Inputs!$B$33,0))),0)</f>
        <v/>
      </c>
      <c r="R475" t="n">
        <v>0</v>
      </c>
    </row>
    <row r="476">
      <c r="A476">
        <f>Skills!A22</f>
        <v/>
      </c>
      <c r="B476">
        <f>Skills!B22</f>
        <v/>
      </c>
      <c r="C476">
        <f>Inputs!$B$3&gt;=43</f>
        <v/>
      </c>
      <c r="D476">
        <f>IF(Skills!C22=1,60+Inputs!$B$26+Inputs!$B$30,IF(Skills!C22=2,90+Inputs!$B$27+Inputs!$B$30,IF(Skills!C22=3,120+Inputs!$B$28+Inputs!$B$30,MAX(0,(Inputs!$B$3-100)*3)+Inputs!$B$29+Inputs!$B$30)))</f>
        <v/>
      </c>
      <c r="E476">
        <f>INDEX(FactorTable!$B$2:$Y$301, MATCH(ROUND(MIN(300,MAX(1,D476)),0), FactorTable!$A$2:$A$301,0), Skills!L22+1)</f>
        <v/>
      </c>
      <c r="F476">
        <f>IF(Skills!M22=TRUE,(Skills!K22/10)*(E476/1000),Skills!K22/10)+Skills!N22</f>
        <v/>
      </c>
      <c r="G476">
        <f>Calc!G22</f>
        <v/>
      </c>
      <c r="H476">
        <f>Calc!H22</f>
        <v/>
      </c>
      <c r="I476">
        <f>IF(Skills!T22&lt;&gt;"",1+(Skills!T22/10)*($Z$3/1000)/100,1)</f>
        <v/>
      </c>
      <c r="J476" t="inlineStr"/>
      <c r="K476" t="inlineStr"/>
      <c r="L476" t="inlineStr"/>
      <c r="M476" t="inlineStr"/>
      <c r="N476" t="inlineStr"/>
      <c r="O476" t="n">
        <v>0</v>
      </c>
      <c r="P476">
        <f>IF(B494=0,0,O476/B494)</f>
        <v/>
      </c>
      <c r="Q476">
        <f>IFERROR(1/IF(Inputs!$B$39="pvp",15,MAX(0.1,Skills!D22-IF(Skills!E22=TRUE,Inputs!$B$33,0))),0)</f>
        <v/>
      </c>
      <c r="R476" t="n">
        <v>0</v>
      </c>
    </row>
    <row r="477">
      <c r="A477">
        <f>Skills!A23</f>
        <v/>
      </c>
      <c r="B477">
        <f>Skills!B23</f>
        <v/>
      </c>
      <c r="C477">
        <f>Inputs!$B$3&gt;=50</f>
        <v/>
      </c>
      <c r="D477">
        <f>IF(Skills!C23=1,60+Inputs!$B$26+Inputs!$B$30,IF(Skills!C23=2,90+Inputs!$B$27+Inputs!$B$30,IF(Skills!C23=3,120+Inputs!$B$28+Inputs!$B$30,MAX(0,(Inputs!$B$3-100)*3)+Inputs!$B$29+Inputs!$B$30)))</f>
        <v/>
      </c>
      <c r="E477">
        <f>INDEX(FactorTable!$B$2:$Y$301, MATCH(ROUND(MIN(300,MAX(1,D477)),0), FactorTable!$A$2:$A$301,0), Skills!L23+1)</f>
        <v/>
      </c>
      <c r="F477">
        <f>IF(Skills!M23=TRUE,(Skills!K23/10)*(E477/1000),Skills!K23/10)+Skills!N23</f>
        <v/>
      </c>
      <c r="G477">
        <f>Calc!G23</f>
        <v/>
      </c>
      <c r="H477">
        <f>Calc!H23</f>
        <v/>
      </c>
      <c r="I477">
        <f>IF(Skills!T23&lt;&gt;"",1+(Skills!T23/10)*($Z$3/1000)/100,1)</f>
        <v/>
      </c>
      <c r="J477" t="inlineStr"/>
      <c r="K477" t="inlineStr"/>
      <c r="L477" t="inlineStr"/>
      <c r="M477" t="inlineStr"/>
      <c r="N477" t="inlineStr"/>
      <c r="O477" t="n">
        <v>0</v>
      </c>
      <c r="P477">
        <f>IF(B494=0,0,O477/B494)</f>
        <v/>
      </c>
      <c r="Q477">
        <f>IFERROR(1/IF(Inputs!$B$39="pvp",15,MAX(0.1,Skills!D23-IF(Skills!E23=TRUE,Inputs!$B$33,0))),0)</f>
        <v/>
      </c>
      <c r="R477" t="n">
        <v>0</v>
      </c>
    </row>
    <row r="478">
      <c r="A478">
        <f>Skills!A24</f>
        <v/>
      </c>
      <c r="B478">
        <f>Skills!B24</f>
        <v/>
      </c>
      <c r="C478">
        <f>Inputs!$B$3&gt;=74</f>
        <v/>
      </c>
      <c r="D478">
        <f>IF(Skills!C24=1,60+Inputs!$B$26+Inputs!$B$30,IF(Skills!C24=2,90+Inputs!$B$27+Inputs!$B$30,IF(Skills!C24=3,120+Inputs!$B$28+Inputs!$B$30,MAX(0,(Inputs!$B$3-100)*3)+Inputs!$B$29+Inputs!$B$30)))</f>
        <v/>
      </c>
      <c r="E478">
        <f>INDEX(FactorTable!$B$2:$Y$301, MATCH(ROUND(MIN(300,MAX(1,D478)),0), FactorTable!$A$2:$A$301,0), Skills!L24+1)</f>
        <v/>
      </c>
      <c r="F478">
        <f>IF(Skills!M24=TRUE,(Skills!K24/10)*(E478/1000),Skills!K24/10)+Skills!N24</f>
        <v/>
      </c>
      <c r="G478">
        <f>Calc!G24</f>
        <v/>
      </c>
      <c r="H478">
        <f>Calc!H24</f>
        <v/>
      </c>
      <c r="I478">
        <f>IF(Skills!T24&lt;&gt;"",1+(Skills!T24/10)*($Z$3/1000)/100,1)</f>
        <v/>
      </c>
      <c r="J478" t="inlineStr"/>
      <c r="K478" t="inlineStr"/>
      <c r="L478" t="inlineStr"/>
      <c r="M478" t="inlineStr"/>
      <c r="N478" t="inlineStr"/>
      <c r="O478" t="n">
        <v>0</v>
      </c>
      <c r="P478">
        <f>IF(B494=0,0,O478/B494)</f>
        <v/>
      </c>
      <c r="Q478">
        <f>IFERROR(1/IF(Inputs!$B$39="pvp",15,MAX(0.1,Skills!D24-IF(Skills!E24=TRUE,Inputs!$B$33,0))),0)</f>
        <v/>
      </c>
      <c r="R478" t="n">
        <v>0</v>
      </c>
    </row>
    <row r="479">
      <c r="A479">
        <f>Skills!A25</f>
        <v/>
      </c>
      <c r="B479">
        <f>Skills!B25</f>
        <v/>
      </c>
      <c r="C479">
        <f>Inputs!$B$3&gt;=74</f>
        <v/>
      </c>
      <c r="D479">
        <f>IF(Skills!C25=1,60+Inputs!$B$26+Inputs!$B$30,IF(Skills!C25=2,90+Inputs!$B$27+Inputs!$B$30,IF(Skills!C25=3,120+Inputs!$B$28+Inputs!$B$30,MAX(0,(Inputs!$B$3-100)*3)+Inputs!$B$29+Inputs!$B$30)))</f>
        <v/>
      </c>
      <c r="E479">
        <f>INDEX(FactorTable!$B$2:$Y$301, MATCH(ROUND(MIN(300,MAX(1,D479)),0), FactorTable!$A$2:$A$301,0), Skills!L25+1)</f>
        <v/>
      </c>
      <c r="F479">
        <f>IF(Skills!M25=TRUE,(Skills!K25/10)*(E479/1000),Skills!K25/10)+Skills!N25</f>
        <v/>
      </c>
      <c r="G479">
        <f>Calc!G25</f>
        <v/>
      </c>
      <c r="H479">
        <f>Calc!H25</f>
        <v/>
      </c>
      <c r="I479">
        <f>IF(Skills!T25&lt;&gt;"",1+(Skills!T25/10)*($Z$3/1000)/100,1)</f>
        <v/>
      </c>
      <c r="J479" t="inlineStr"/>
      <c r="K479" t="inlineStr"/>
      <c r="L479" t="inlineStr"/>
      <c r="M479" t="inlineStr"/>
      <c r="N479" t="inlineStr"/>
      <c r="O479" t="n">
        <v>0</v>
      </c>
      <c r="P479">
        <f>IF(B494=0,0,O479/B494)</f>
        <v/>
      </c>
      <c r="Q479">
        <f>IFERROR(1/IF(Inputs!$B$39="pvp",15,MAX(0.1,Skills!D25-IF(Skills!E25=TRUE,Inputs!$B$33,0))),0)</f>
        <v/>
      </c>
      <c r="R479" t="n">
        <v>0</v>
      </c>
    </row>
    <row r="480">
      <c r="A480">
        <f>Skills!A26</f>
        <v/>
      </c>
      <c r="B480">
        <f>Skills!B26</f>
        <v/>
      </c>
      <c r="C480">
        <f>Inputs!$B$3&gt;=117</f>
        <v/>
      </c>
      <c r="D480">
        <f>IF(Skills!C26=1,60+Inputs!$B$26+Inputs!$B$30,IF(Skills!C26=2,90+Inputs!$B$27+Inputs!$B$30,IF(Skills!C26=3,120+Inputs!$B$28+Inputs!$B$30,MAX(0,(Inputs!$B$3-100)*3)+Inputs!$B$29+Inputs!$B$30)))</f>
        <v/>
      </c>
      <c r="E480">
        <f>INDEX(FactorTable!$B$2:$Y$301, MATCH(ROUND(MIN(300,MAX(1,D480)),0), FactorTable!$A$2:$A$301,0), Skills!L26+1)</f>
        <v/>
      </c>
      <c r="F480">
        <f>IF(Skills!M26=TRUE,(Skills!K26/10)*(E480/1000),Skills!K26/10)+Skills!N26</f>
        <v/>
      </c>
      <c r="G480">
        <f>Calc!G26</f>
        <v/>
      </c>
      <c r="H480">
        <f>Calc!H26</f>
        <v/>
      </c>
      <c r="I480">
        <f>IF(Skills!T26&lt;&gt;"",1+(Skills!T26/10)*($Z$3/1000)/100,1)</f>
        <v/>
      </c>
      <c r="J480" t="inlineStr"/>
      <c r="K480" t="inlineStr"/>
      <c r="L480" t="inlineStr"/>
      <c r="M480" t="inlineStr"/>
      <c r="N480" t="inlineStr"/>
      <c r="O480" t="n">
        <v>0</v>
      </c>
      <c r="P480">
        <f>IF(B494=0,0,O480/B494)</f>
        <v/>
      </c>
      <c r="Q480">
        <f>IFERROR(1/IF(Inputs!$B$39="pvp",15,MAX(0.1,Skills!D26-IF(Skills!E26=TRUE,Inputs!$B$33,0))),0)</f>
        <v/>
      </c>
      <c r="R480" t="n">
        <v>0</v>
      </c>
    </row>
    <row r="481">
      <c r="A481">
        <f>Skills!A27</f>
        <v/>
      </c>
      <c r="B481">
        <f>Skills!B27</f>
        <v/>
      </c>
      <c r="C481">
        <f>Inputs!$B$3&gt;=120</f>
        <v/>
      </c>
      <c r="D481">
        <f>IF(Skills!C27=1,60+Inputs!$B$26+Inputs!$B$30,IF(Skills!C27=2,90+Inputs!$B$27+Inputs!$B$30,IF(Skills!C27=3,120+Inputs!$B$28+Inputs!$B$30,MAX(0,(Inputs!$B$3-100)*3)+Inputs!$B$29+Inputs!$B$30)))</f>
        <v/>
      </c>
      <c r="E481">
        <f>INDEX(FactorTable!$B$2:$Y$301, MATCH(ROUND(MIN(300,MAX(1,D481)),0), FactorTable!$A$2:$A$301,0), Skills!L27+1)</f>
        <v/>
      </c>
      <c r="F481">
        <f>IF(Skills!M27=TRUE,(Skills!K27/10)*(E481/1000),Skills!K27/10)+Skills!N27</f>
        <v/>
      </c>
      <c r="G481">
        <f>Calc!G27</f>
        <v/>
      </c>
      <c r="H481">
        <f>Calc!H27</f>
        <v/>
      </c>
      <c r="I481">
        <f>IF(Skills!T27&lt;&gt;"",1+(Skills!T27/10)*($Z$3/1000)/100,1)</f>
        <v/>
      </c>
      <c r="J481" t="inlineStr"/>
      <c r="K481" t="inlineStr"/>
      <c r="L481" t="inlineStr"/>
      <c r="M481" t="inlineStr"/>
      <c r="N481" t="inlineStr"/>
      <c r="O481" t="n">
        <v>0</v>
      </c>
      <c r="P481">
        <f>IF(B494=0,0,O481/B494)</f>
        <v/>
      </c>
      <c r="Q481">
        <f>IFERROR(1/IF(Inputs!$B$39="pvp",15,MAX(0.1,Skills!D27-IF(Skills!E27=TRUE,Inputs!$B$33,0))),0)</f>
        <v/>
      </c>
      <c r="R481" t="n">
        <v>0</v>
      </c>
    </row>
    <row r="483">
      <c r="A483" t="inlineStr">
        <is>
          <t>Average Buff Multiplier</t>
        </is>
      </c>
      <c r="B483">
        <f>(1+(IF(C457=TRUE,F457*IF(AND(Inputs!$B$39&lt;&gt;"pvp",Inputs!$B$44&gt;0),(((R457-1)*(Skills!S3*(1+(Inputs!$B$35+IF(Inputs!$B$3&gt;=117,F480,0))/100))+MIN((Skills!S3*(1+(Inputs!$B$35+IF(Inputs!$B$3&gt;=117,F480,0))/100)),MAX(0,Inputs!$B$44-((R457-1)*Skills!D3))))/Inputs!$B$44),IF(Inputs!$B$39="pvp",MIN((Skills!S3*(1+(Inputs!$B$35+IF(Inputs!$B$3&gt;=117,F480,0))/100)),15)/15,(Skills!S3*(1+(Inputs!$B$35+IF(Inputs!$B$3&gt;=117,F480,0))/100))/Skills!D3)),0)+IF(C458=TRUE,F458*IF(AND(Inputs!$B$39&lt;&gt;"pvp",Inputs!$B$44&gt;0),(((R458-1)*(Skills!S4*(1+(Inputs!$B$35+IF(Inputs!$B$3&gt;=117,F480,0))/100))+MIN((Skills!S4*(1+(Inputs!$B$35+IF(Inputs!$B$3&gt;=117,F480,0))/100)),MAX(0,Inputs!$B$44-((R458-1)*Skills!D4))))/Inputs!$B$44),IF(Inputs!$B$39="pvp",MIN((Skills!S4*(1+(Inputs!$B$35+IF(Inputs!$B$3&gt;=117,F480,0))/100)),15)/15,(Skills!S4*(1+(Inputs!$B$35+IF(Inputs!$B$3&gt;=117,F480,0))/100))/Skills!D4)),0)+IF(C459=TRUE,F459*IF(AND(Inputs!$B$39&lt;&gt;"pvp",Inputs!$B$44&gt;0),(((R459-1)*(Skills!S5*(1+(Inputs!$B$35+IF(Inputs!$B$3&gt;=117,F480,0))/100))+MIN((Skills!S5*(1+(Inputs!$B$35+IF(Inputs!$B$3&gt;=117,F480,0))/100)),MAX(0,Inputs!$B$44-((R459-1)*Skills!D5))))/Inputs!$B$44),IF(Inputs!$B$39="pvp",MIN((Skills!S5*(1+(Inputs!$B$35+IF(Inputs!$B$3&gt;=117,F480,0))/100)),15)/15,(Skills!S5*(1+(Inputs!$B$35+IF(Inputs!$B$3&gt;=117,F480,0))/100))/Skills!D5)),0)+IF(C465=TRUE,F465*IF(AND(Inputs!$B$39&lt;&gt;"pvp",Inputs!$B$44&gt;0),(((R465-1)*(Skills!S11*(1+(Inputs!$B$35+IF(Inputs!$B$3&gt;=117,F480,0))/100))+MIN((Skills!S11*(1+(Inputs!$B$35+IF(Inputs!$B$3&gt;=117,F480,0))/100)),MAX(0,Inputs!$B$44-((R465-1)*Skills!D11))))/Inputs!$B$44),IF(Inputs!$B$39="pvp",MIN((Skills!S11*(1+(Inputs!$B$35+IF(Inputs!$B$3&gt;=117,F480,0))/100)),15)/15,(Skills!S11*(1+(Inputs!$B$35+IF(Inputs!$B$3&gt;=117,F480,0))/100))/Skills!D11)),0))/100)*IF(C468=TRUE,(1+F468*IF(AND(Inputs!$B$39&lt;&gt;"pvp",Inputs!$B$44&gt;0),(((R468-1)*(Skills!S14*(1+(Inputs!$B$35+IF(Inputs!$B$3&gt;=117,F480,0))/100))+MIN((Skills!S14*(1+(Inputs!$B$35+IF(Inputs!$B$3&gt;=117,F480,0))/100)),MAX(0,Inputs!$B$44-((R468-1)*Skills!D14))))/Inputs!$B$44),IF(Inputs!$B$39="pvp",MIN((Skills!S14*(1+(Inputs!$B$35+IF(Inputs!$B$3&gt;=117,F480,0))/100)),15)/15,(Skills!S14*(1+(Inputs!$B$35+IF(Inputs!$B$3&gt;=117,F480,0))/100))/Skills!D14))/100),1)*IF(C473=TRUE,(1+F473*IF(AND(Inputs!$B$39&lt;&gt;"pvp",Inputs!$B$44&gt;0),(((R473-1)*(Skills!S19*(1+(Inputs!$B$35+IF(Inputs!$B$3&gt;=117,F480,0))/100))+MIN((Skills!S19*(1+(Inputs!$B$35+IF(Inputs!$B$3&gt;=117,F480,0))/100)),MAX(0,Inputs!$B$44-((R473-1)*Skills!D19))))/Inputs!$B$44),IF(Inputs!$B$39="pvp",MIN((Skills!S19*(1+(Inputs!$B$35+IF(Inputs!$B$3&gt;=117,F480,0))/100)),15)/15,(Skills!S19*(1+(Inputs!$B$35+IF(Inputs!$B$3&gt;=117,F480,0))/100))/Skills!D19))/100),1)</f>
        <v/>
      </c>
    </row>
    <row r="484">
      <c r="A484" t="inlineStr">
        <is>
          <t>Monster Damage Taken Bonus % (Holy Fountain)</t>
        </is>
      </c>
      <c r="B484">
        <f>IF(Inputs!$B$3&gt;=68,20*IF(Inputs!$B$39="pvp",MIN((15*(1+(Inputs!$B$35+IF(Inputs!$B$3&gt;=117,F480,0))/100)),15)/15,(15*(1+(Inputs!$B$35+IF(Inputs!$B$3&gt;=117,F480,0))/100))/Skills!D10),0)</f>
        <v/>
      </c>
    </row>
    <row r="485">
      <c r="A485" t="inlineStr">
        <is>
          <t>Normal Monster Damage Bonus % (Holy Symbol)</t>
        </is>
      </c>
      <c r="B485">
        <f>IF(C466=TRUE,F466*IF(AND(Inputs!$B$39&lt;&gt;"pvp",Inputs!$B$44&gt;0),(((R466-1)*(Skills!S12*(1+(Inputs!$B$35+IF(Inputs!$B$3&gt;=117,F480,0))/100))+MIN((Skills!S12*(1+(Inputs!$B$35+IF(Inputs!$B$3&gt;=117,F480,0))/100)),MAX(0,Inputs!$B$44-((R466-1)*Skills!D12))))/Inputs!$B$44),IF(Inputs!$B$39="pvp",MIN((Skills!S12*(1+(Inputs!$B$35+IF(Inputs!$B$3&gt;=117,F480,0))/100)),15)/15,(Skills!S12*(1+(Inputs!$B$35+IF(Inputs!$B$3&gt;=117,F480,0))/100))/Skills!D12)),0)</f>
        <v/>
      </c>
    </row>
    <row r="486">
      <c r="A486" t="inlineStr">
        <is>
          <t>Damage % Bonus (Holy Symbol - Damage Boost)</t>
        </is>
      </c>
      <c r="B486">
        <f>Skills!O12</f>
        <v/>
      </c>
    </row>
    <row r="487">
      <c r="A487" t="inlineStr">
        <is>
          <t>Crit Damage % Bonus (Blood of the Divine)</t>
        </is>
      </c>
      <c r="B487">
        <f>4*IF(C474=TRUE,F474,0)</f>
        <v/>
      </c>
    </row>
    <row r="488">
      <c r="A488" t="inlineStr">
        <is>
          <t>Attack Speed Bonus %</t>
        </is>
      </c>
      <c r="B488">
        <f>IF(C471=TRUE,F471+(F475-Calc!F21),0)+IF(Inputs!$B$3&gt;=134,15,0)</f>
        <v/>
      </c>
    </row>
    <row r="489">
      <c r="A489" t="inlineStr">
        <is>
          <t>Actions Per Second</t>
        </is>
      </c>
      <c r="B489">
        <f>1+MIN(150,150*(1-(1-Inputs!$B$12/150)*(1-B488/150)))/100</f>
        <v/>
      </c>
    </row>
    <row r="490">
      <c r="A490" t="inlineStr">
        <is>
          <t>Skill + Buff Cast Rate</t>
        </is>
      </c>
      <c r="B490">
        <f>IF(AND(Inputs!$B$39&lt;&gt;"pvp",Inputs!$B$44&gt;0),SUMPRODUCT((Skills!E2:E27=TRUE)*(C456:C481=TRUE)*R456:R481)/Inputs!$B$44,SUMPRODUCT((Skills!E2:E27=TRUE)*(C456:C481=TRUE)*Q456:Q481))</f>
        <v/>
      </c>
    </row>
    <row r="491">
      <c r="A491" t="inlineStr">
        <is>
          <t>Big Bang Casts Per Second</t>
        </is>
      </c>
      <c r="B491">
        <f>MAX(0,B489-B490)</f>
        <v/>
      </c>
    </row>
    <row r="492">
      <c r="A492" t="inlineStr">
        <is>
          <t>Defense % Bonus (Divine Protection)</t>
        </is>
      </c>
      <c r="B492">
        <f>IF(C467=TRUE,F467*IF(AND(Inputs!$B$39&lt;&gt;"pvp",Inputs!$B$44&gt;0),(((R467-1)*(Skills!S13*(1+(Inputs!$B$35+IF(Inputs!$B$3&gt;=117,F480,0))/100))+MIN((Skills!S13*(1+(Inputs!$B$35+IF(Inputs!$B$3&gt;=117,F480,0))/100)),MAX(0,Inputs!$B$44-((R467-1)*Skills!D13))))/Inputs!$B$44),IF(Inputs!$B$39="pvp",MIN((Skills!S13*(1+(Inputs!$B$35+IF(Inputs!$B$3&gt;=117,F480,0))/100)),15)/15,(Skills!S13*(1+(Inputs!$B$35+IF(Inputs!$B$3&gt;=117,F480,0))/100))/Skills!D13)),0)</f>
        <v/>
      </c>
    </row>
    <row r="493">
      <c r="A493" t="inlineStr">
        <is>
          <t>Buff-Casting Startup Delay (s, fixed-duration only)</t>
        </is>
      </c>
      <c r="B493">
        <f>IF(AND(Inputs!$B$39&lt;&gt;"pvp",Inputs!$B$44&gt;0),SUMPRODUCT((Skills!S2:S27&gt;0)*(Skills!E2:E27=TRUE)*(C456:C481=TRUE))/B489,0)</f>
        <v/>
      </c>
    </row>
    <row r="494">
      <c r="A494" s="5" t="inlineStr">
        <is>
          <t>TOTAL DPS</t>
        </is>
      </c>
      <c r="B494" s="5">
        <f>SUM(O456:O481)</f>
        <v/>
      </c>
    </row>
    <row r="496">
      <c r="A496" s="5" t="inlineStr">
        <is>
          <t>Stat: CRIT_RATE %</t>
        </is>
      </c>
    </row>
    <row r="497">
      <c r="A497" s="9" t="inlineStr">
        <is>
          <t>Key</t>
        </is>
      </c>
      <c r="B497" s="9" t="inlineStr">
        <is>
          <t>Name</t>
        </is>
      </c>
      <c r="C497" s="9" t="inlineStr">
        <is>
          <t>Unlocked</t>
        </is>
      </c>
      <c r="D497" s="9" t="inlineStr">
        <is>
          <t>InputLevel</t>
        </is>
      </c>
      <c r="E497" s="9" t="inlineStr">
        <is>
          <t>Factor</t>
        </is>
      </c>
      <c r="F497" s="9" t="inlineStr">
        <is>
          <t>CoefficientPercent</t>
        </is>
      </c>
      <c r="G497" s="9" t="inlineStr">
        <is>
          <t>EffectiveHits</t>
        </is>
      </c>
      <c r="H497" s="9" t="inlineStr">
        <is>
          <t>ProcProbability</t>
        </is>
      </c>
      <c r="I497" s="9" t="inlineStr">
        <is>
          <t>MapleHeroMultiplier</t>
        </is>
      </c>
      <c r="J497" s="9" t="inlineStr">
        <is>
          <t>BaseDamage</t>
        </is>
      </c>
      <c r="K497" s="9" t="inlineStr">
        <is>
          <t>BaseHitDamage</t>
        </is>
      </c>
      <c r="L497" s="9" t="inlineStr">
        <is>
          <t>NonCritAvg</t>
        </is>
      </c>
      <c r="M497" s="9" t="inlineStr">
        <is>
          <t>CritAvg</t>
        </is>
      </c>
      <c r="N497" s="9" t="inlineStr">
        <is>
          <t>ExpectedDamage(perHit)</t>
        </is>
      </c>
      <c r="O497" s="9" t="inlineStr">
        <is>
          <t>DPS</t>
        </is>
      </c>
      <c r="P497" s="9" t="inlineStr">
        <is>
          <t>% of Total</t>
        </is>
      </c>
      <c r="R497" t="inlineStr">
        <is>
          <t>helpers</t>
        </is>
      </c>
    </row>
    <row r="498">
      <c r="A498">
        <f>Skills!A2</f>
        <v/>
      </c>
      <c r="B498">
        <f>Skills!B2</f>
        <v/>
      </c>
      <c r="C498">
        <f>Inputs!$B$3&gt;=100</f>
        <v/>
      </c>
      <c r="D498" t="inlineStr"/>
      <c r="E498" t="inlineStr"/>
      <c r="F498">
        <f>T500+Skills!N2</f>
        <v/>
      </c>
      <c r="G498">
        <f>Calc!G2</f>
        <v/>
      </c>
      <c r="H498">
        <f>Calc!H2</f>
        <v/>
      </c>
      <c r="I498">
        <f>IF(Skills!T2&lt;&gt;"",1+(Skills!T2/10)*($Z$3/1000)/100,1)</f>
        <v/>
      </c>
      <c r="J498">
        <f>((Inputs!$B$6*(1+Inputs!$B$7/100))+(((Inputs!$B$13*(1+Inputs!$B$14/100))-(Inputs!$B$13*(1+Inputs!$B$14/100)))+0.25*(Inputs!$B$15-Inputs!$B$15))*(1+Inputs!$B$7/100))*(F498/100)</f>
        <v/>
      </c>
      <c r="K498">
        <f>J498*(1+(((Inputs!$B$13+IF(Inputs!$B$3&gt;=35,(10*INDEX(FactorTable!$B$2:$Y$301, MATCH(ROUND(MIN(300,MAX(1,Inputs!$B$3)),0), FactorTable!$A$2:$A$301,0), 23)/1000)/100*(Inputs!$B$8*(1+(Inputs!$B$9+B534)/100)),0))*(1+Inputs!$B$14/100))*0.01+Inputs!$B$15*0.0025)/100)*(1+(Inputs!$B$16+B528)/100)*(1+IF(Inputs!$B$39="pvp",0,(1-Summary!$B$48)*(Inputs!$B$21+Skills!O2+B526)+Summary!$B$48*(Inputs!$B$22+Skills!P2+B527))/100)*(1+Inputs!$B$17/100)*(5000/(6000+Inputs!$B$43*(1-Inputs!$B$20/100)))*(1+Inputs!$B$25/100)*(1+IF(C514=TRUE,F514,0)/100)*(1+IF(C516=TRUE,F516,0)/100)*(1+IF(Skills!A2="TRIUMPH_FEATHER",IF(C512=TRUE,F512,0),0)/100)*(1+IF(C523=TRUE,F523,0)/100)^5*(1+(IF(Skills!A2="BIG_BANG",Inputs!$B$18,Inputs!$B$19))/100)*(B525*I498)</f>
        <v/>
      </c>
      <c r="L498">
        <f>K498*(MIN(Inputs!$B$23+(F518-Calc!F22),Inputs!$B$24)/100+Inputs!$B$24/100)/2</f>
        <v/>
      </c>
      <c r="M498">
        <f>L498*(1+(Inputs!$B$11+B529+(F521-Calc!F25))/100)</f>
        <v/>
      </c>
      <c r="N498">
        <f>L498*(1-MIN((Inputs!$B$10+1)+((F520-Calc!F24)+(F519-Calc!F23)),100)/100)+M498*(MIN((Inputs!$B$10+1)+((F520-Calc!F24)+(F519-Calc!F23)),100)/100)</f>
        <v/>
      </c>
      <c r="O498">
        <f>IF(C498,Skills!F2*N498*B533*IF(Inputs!$B$39="pvp",1,(1-Summary!$B$48)*(1)+Summary!$B$48*(MIN((6+Inputs!$B$34),Inputs!$B$38))),0)</f>
        <v/>
      </c>
      <c r="P498">
        <f>IF(B536=0,0,O498/B536)</f>
        <v/>
      </c>
      <c r="Q498">
        <f>IFERROR(1/IF(Inputs!$B$39="pvp",15,MAX(0.1,Skills!D2-IF(Skills!E2=TRUE,Inputs!$B$33,0))),0)</f>
        <v/>
      </c>
      <c r="R498" t="n">
        <v>0</v>
      </c>
      <c r="T498">
        <f>MAX(0,(Inputs!$B$3-100)*3)+Inputs!$B$29+Inputs!$B$30</f>
        <v/>
      </c>
    </row>
    <row r="499">
      <c r="A499">
        <f>Skills!A3</f>
        <v/>
      </c>
      <c r="B499">
        <f>Skills!B3</f>
        <v/>
      </c>
      <c r="C499">
        <f>Inputs!$B$3&gt;=15</f>
        <v/>
      </c>
      <c r="D499">
        <f>IF(Skills!C3=1,60+Inputs!$B$26+Inputs!$B$30,IF(Skills!C3=2,90+Inputs!$B$27+Inputs!$B$30,IF(Skills!C3=3,120+Inputs!$B$28+Inputs!$B$30,MAX(0,(Inputs!$B$3-100)*3)+Inputs!$B$29+Inputs!$B$30)))</f>
        <v/>
      </c>
      <c r="E499">
        <f>INDEX(FactorTable!$B$2:$Y$301, MATCH(ROUND(MIN(300,MAX(1,D499)),0), FactorTable!$A$2:$A$301,0), Skills!L3+1)</f>
        <v/>
      </c>
      <c r="F499">
        <f>IF(Skills!M3=TRUE,(Skills!K3/10)*(E499/1000),Skills!K3/10)+Skills!N3</f>
        <v/>
      </c>
      <c r="G499">
        <f>Calc!G3</f>
        <v/>
      </c>
      <c r="H499">
        <f>Calc!H3</f>
        <v/>
      </c>
      <c r="I499">
        <f>IF(Skills!T3&lt;&gt;"",1+(Skills!T3/10)*($Z$3/1000)/100,1)</f>
        <v/>
      </c>
      <c r="J499" t="inlineStr"/>
      <c r="K499" t="inlineStr"/>
      <c r="L499" t="inlineStr"/>
      <c r="M499" t="inlineStr"/>
      <c r="N499" t="inlineStr"/>
      <c r="O499" t="n">
        <v>0</v>
      </c>
      <c r="P499">
        <f>IF(B536=0,0,O499/B536)</f>
        <v/>
      </c>
      <c r="Q499">
        <f>IFERROR(1/IF(Inputs!$B$39="pvp",15,MAX(0.1,Skills!D3-IF(Skills!E3=TRUE,Inputs!$B$33,0))),0)</f>
        <v/>
      </c>
      <c r="R499">
        <f>IF(AND(Inputs!$B$39&lt;&gt;"pvp",Inputs!$B$44&gt;0),IF(Inputs!$B$44&lt;=0,0,(INT(Inputs!$B$44/IF(Inputs!$B$39="pvp",15,MAX(0.1,Skills!D3-IF(Skills!E3=TRUE,Inputs!$B$33,0))))+1)),0)</f>
        <v/>
      </c>
      <c r="T499">
        <f>INDEX(FactorTable!$B$2:$Y$301, MATCH(ROUND(MIN(300,MAX(1,T498)),0), FactorTable!$A$2:$A$301,0), 22)</f>
        <v/>
      </c>
    </row>
    <row r="500">
      <c r="A500">
        <f>Skills!A4</f>
        <v/>
      </c>
      <c r="B500">
        <f>Skills!B4</f>
        <v/>
      </c>
      <c r="C500">
        <f>Inputs!$B$3&gt;=38</f>
        <v/>
      </c>
      <c r="D500">
        <f>IF(Skills!C4=1,60+Inputs!$B$26+Inputs!$B$30,IF(Skills!C4=2,90+Inputs!$B$27+Inputs!$B$30,IF(Skills!C4=3,120+Inputs!$B$28+Inputs!$B$30,MAX(0,(Inputs!$B$3-100)*3)+Inputs!$B$29+Inputs!$B$30)))</f>
        <v/>
      </c>
      <c r="E500">
        <f>INDEX(FactorTable!$B$2:$Y$301, MATCH(ROUND(MIN(300,MAX(1,D500)),0), FactorTable!$A$2:$A$301,0), Skills!L4+1)</f>
        <v/>
      </c>
      <c r="F500">
        <f>IF(Skills!M4=TRUE,(Skills!K4/10)*(E500/1000),Skills!K4/10)+Skills!N4</f>
        <v/>
      </c>
      <c r="G500">
        <f>Calc!G4</f>
        <v/>
      </c>
      <c r="H500">
        <f>Calc!H4</f>
        <v/>
      </c>
      <c r="I500">
        <f>IF(Skills!T4&lt;&gt;"",1+(Skills!T4/10)*($Z$3/1000)/100,1)</f>
        <v/>
      </c>
      <c r="J500" t="inlineStr"/>
      <c r="K500" t="inlineStr"/>
      <c r="L500" t="inlineStr"/>
      <c r="M500" t="inlineStr"/>
      <c r="N500" t="inlineStr"/>
      <c r="O500" t="n">
        <v>0</v>
      </c>
      <c r="P500">
        <f>IF(B536=0,0,O500/B536)</f>
        <v/>
      </c>
      <c r="Q500">
        <f>IFERROR(1/IF(Inputs!$B$39="pvp",15,MAX(0.1,Skills!D4-IF(Skills!E4=TRUE,Inputs!$B$33,0))),0)</f>
        <v/>
      </c>
      <c r="R500">
        <f>IF(AND(Inputs!$B$39&lt;&gt;"pvp",Inputs!$B$44&gt;0),IF(Inputs!$B$44&lt;=0,0,(INT(Inputs!$B$44/IF(Inputs!$B$39="pvp",15,MAX(0.1,Skills!D4-IF(Skills!E4=TRUE,Inputs!$B$33,0))))+1)),0)</f>
        <v/>
      </c>
      <c r="T500">
        <f>290*T499/1000</f>
        <v/>
      </c>
    </row>
    <row r="501">
      <c r="A501">
        <f>Skills!A5</f>
        <v/>
      </c>
      <c r="B501">
        <f>Skills!B5</f>
        <v/>
      </c>
      <c r="C501">
        <f>Inputs!$B$3&gt;=40</f>
        <v/>
      </c>
      <c r="D501">
        <f>IF(Skills!C5=1,60+Inputs!$B$26+Inputs!$B$30,IF(Skills!C5=2,90+Inputs!$B$27+Inputs!$B$30,IF(Skills!C5=3,120+Inputs!$B$28+Inputs!$B$30,MAX(0,(Inputs!$B$3-100)*3)+Inputs!$B$29+Inputs!$B$30)))</f>
        <v/>
      </c>
      <c r="E501">
        <f>INDEX(FactorTable!$B$2:$Y$301, MATCH(ROUND(MIN(300,MAX(1,D501)),0), FactorTable!$A$2:$A$301,0), Skills!L5+1)</f>
        <v/>
      </c>
      <c r="F501">
        <f>IF(Skills!M5=TRUE,(Skills!K5/10)*(E501/1000),Skills!K5/10)+Skills!N5</f>
        <v/>
      </c>
      <c r="G501">
        <f>Calc!G5</f>
        <v/>
      </c>
      <c r="H501">
        <f>Calc!H5</f>
        <v/>
      </c>
      <c r="I501">
        <f>IF(Skills!T5&lt;&gt;"",1+(Skills!T5/10)*($Z$3/1000)/100,1)</f>
        <v/>
      </c>
      <c r="J501" t="inlineStr"/>
      <c r="K501" t="inlineStr"/>
      <c r="L501" t="inlineStr"/>
      <c r="M501" t="inlineStr"/>
      <c r="N501" t="inlineStr"/>
      <c r="O501" t="n">
        <v>0</v>
      </c>
      <c r="P501">
        <f>IF(B536=0,0,O501/B536)</f>
        <v/>
      </c>
      <c r="Q501">
        <f>IFERROR(1/IF(Inputs!$B$39="pvp",15,MAX(0.1,Skills!D5-IF(Skills!E5=TRUE,Inputs!$B$33,0))),0)</f>
        <v/>
      </c>
      <c r="R501">
        <f>IF(AND(Inputs!$B$39&lt;&gt;"pvp",Inputs!$B$44&gt;0),IF(Inputs!$B$44&lt;=0,0,(INT(Inputs!$B$44/IF(Inputs!$B$39="pvp",15,MAX(0.1,Skills!D5-IF(Skills!E5=TRUE,Inputs!$B$33,0))))+1)),0)</f>
        <v/>
      </c>
    </row>
    <row r="502">
      <c r="A502">
        <f>Skills!A6</f>
        <v/>
      </c>
      <c r="B502">
        <f>Skills!B6</f>
        <v/>
      </c>
      <c r="C502">
        <f>Inputs!$B$3&gt;=103</f>
        <v/>
      </c>
      <c r="D502">
        <f>IF(Skills!C6=1,60+Inputs!$B$26+Inputs!$B$30,IF(Skills!C6=2,90+Inputs!$B$27+Inputs!$B$30,IF(Skills!C6=3,120+Inputs!$B$28+Inputs!$B$30,MAX(0,(Inputs!$B$3-100)*3)+Inputs!$B$29+Inputs!$B$30)))</f>
        <v/>
      </c>
      <c r="E502">
        <f>INDEX(FactorTable!$B$2:$Y$301, MATCH(ROUND(MIN(300,MAX(1,D502)),0), FactorTable!$A$2:$A$301,0), Skills!L6+1)</f>
        <v/>
      </c>
      <c r="F502">
        <f>IF(Skills!M6=TRUE,(Skills!K6/10)*(E502/1000),Skills!K6/10)+Skills!N6</f>
        <v/>
      </c>
      <c r="G502">
        <f>Calc!G6</f>
        <v/>
      </c>
      <c r="H502">
        <f>Calc!H6</f>
        <v/>
      </c>
      <c r="I502">
        <f>IF(Skills!T6&lt;&gt;"",1+(Skills!T6/10)*($Z$3/1000)/100,1)</f>
        <v/>
      </c>
      <c r="J502">
        <f>((Inputs!$B$6*(1+Inputs!$B$7/100))+(((Inputs!$B$13*(1+Inputs!$B$14/100))-(Inputs!$B$13*(1+Inputs!$B$14/100)))+0.25*(Inputs!$B$15-Inputs!$B$15))*(1+Inputs!$B$7/100))*(F502/100)</f>
        <v/>
      </c>
      <c r="K502">
        <f>J502*(1+(((Inputs!$B$13+IF(Inputs!$B$3&gt;=35,(10*INDEX(FactorTable!$B$2:$Y$301, MATCH(ROUND(MIN(300,MAX(1,Inputs!$B$3)),0), FactorTable!$A$2:$A$301,0), 23)/1000)/100*(Inputs!$B$8*(1+(Inputs!$B$9+B534)/100)),0))*(1+Inputs!$B$14/100))*0.01+Inputs!$B$15*0.0025)/100)*(1+(Inputs!$B$16+B528)/100)*(1+IF(Inputs!$B$39="pvp",0,(1-Summary!$B$48)*(Inputs!$B$21+Skills!O6+B526)+Summary!$B$48*(Inputs!$B$22+Skills!P6+B527))/100)*(1+Inputs!$B$17/100)*(5000/(6000+Inputs!$B$43*(1-Inputs!$B$20/100)))*(1+Inputs!$B$25/100)*(1+IF(C514=TRUE,F514,0)/100)*(1+IF(C516=TRUE,F516,0)/100)*(1+IF(Skills!A6="TRIUMPH_FEATHER",IF(C512=TRUE,F512,0),0)/100)*(1+IF(C523=TRUE,F523,0)/100)^5*(1+(IF(Skills!A6="BIG_BANG",Inputs!$B$18,Inputs!$B$19))/100)*(B525*I502)</f>
        <v/>
      </c>
      <c r="L502">
        <f>K502*(MIN(Inputs!$B$23+(F518-Calc!F22),Inputs!$B$24)/100+Inputs!$B$24/100)/2</f>
        <v/>
      </c>
      <c r="M502">
        <f>L502*(1+(Inputs!$B$11+B529+(F521-Calc!F25))/100)</f>
        <v/>
      </c>
      <c r="N502">
        <f>L502*(1-MIN((Inputs!$B$10+1)+((F520-Calc!F24)+(F519-Calc!F23)),100)/100)+M502*(MIN((Inputs!$B$10+1)+((F520-Calc!F24)+(F519-Calc!F23)),100)/100)</f>
        <v/>
      </c>
      <c r="O502">
        <f>IF(C502,H502*N502*IF(AND(Inputs!$B$39&lt;&gt;"pvp",Inputs!$B$44&gt;0),((Skills!F6*((R502-1)*IF(Skills!G6&gt;0,Skills!H6/Skills!G6,1)+IF(Skills!G6&gt;0,MIN(Skills!H6,MAX(0,MAX(0,Inputs!$B$44-B535)-((R502-1)*IF(Inputs!$B$39="pvp",15,MAX(0.1,Skills!D6-IF(Skills!E6=TRUE,Inputs!$B$33,0))))))/Skills!G6,1)))/Inputs!$B$44),G502*Q502)*IF(Inputs!$B$39="pvp",1,(1-Summary!$B$48)*(1)+Summary!$B$48*(MIN(Skills!Q6,Inputs!$B$38))),0)</f>
        <v/>
      </c>
      <c r="P502">
        <f>IF(B536=0,0,O502/B536)</f>
        <v/>
      </c>
      <c r="Q502">
        <f>IFERROR(1/IF(Inputs!$B$39="pvp",15,MAX(0.1,Skills!D6-IF(Skills!E6=TRUE,Inputs!$B$33,0))),0)</f>
        <v/>
      </c>
      <c r="R502">
        <f>IF(AND(Inputs!$B$39&lt;&gt;"pvp",Inputs!$B$44&gt;0),IF(MAX(0,Inputs!$B$44-B535)&lt;=0,0,(INT(MAX(0,Inputs!$B$44-B535)/IF(Inputs!$B$39="pvp",15,MAX(0.1,Skills!D6-IF(Skills!E6=TRUE,Inputs!$B$33,0))))+1)),0)</f>
        <v/>
      </c>
    </row>
    <row r="503">
      <c r="A503">
        <f>Skills!A7</f>
        <v/>
      </c>
      <c r="B503">
        <f>Skills!B7</f>
        <v/>
      </c>
      <c r="C503">
        <f>Inputs!$B$3&gt;=122</f>
        <v/>
      </c>
      <c r="D503">
        <f>IF(Skills!C7=1,60+Inputs!$B$26+Inputs!$B$30,IF(Skills!C7=2,90+Inputs!$B$27+Inputs!$B$30,IF(Skills!C7=3,120+Inputs!$B$28+Inputs!$B$30,MAX(0,(Inputs!$B$3-100)*3)+Inputs!$B$29+Inputs!$B$30)))</f>
        <v/>
      </c>
      <c r="E503">
        <f>INDEX(FactorTable!$B$2:$Y$301, MATCH(ROUND(MIN(300,MAX(1,D503)),0), FactorTable!$A$2:$A$301,0), Skills!L7+1)</f>
        <v/>
      </c>
      <c r="F503">
        <f>IF(Skills!M7=TRUE,(Skills!K7/10)*(E503/1000),Skills!K7/10)+Skills!N7</f>
        <v/>
      </c>
      <c r="G503">
        <f>Calc!G7</f>
        <v/>
      </c>
      <c r="H503">
        <f>Calc!H7</f>
        <v/>
      </c>
      <c r="I503">
        <f>IF(Skills!T7&lt;&gt;"",1+(Skills!T7/10)*($Z$3/1000)/100,1)</f>
        <v/>
      </c>
      <c r="J503">
        <f>((Inputs!$B$6*(1+Inputs!$B$7/100))+(((Inputs!$B$13*(1+Inputs!$B$14/100))-(Inputs!$B$13*(1+Inputs!$B$14/100)))+0.25*(Inputs!$B$15-Inputs!$B$15))*(1+Inputs!$B$7/100))*(F503/100)</f>
        <v/>
      </c>
      <c r="K503">
        <f>J503*(1+(((Inputs!$B$13+IF(Inputs!$B$3&gt;=35,(10*INDEX(FactorTable!$B$2:$Y$301, MATCH(ROUND(MIN(300,MAX(1,Inputs!$B$3)),0), FactorTable!$A$2:$A$301,0), 23)/1000)/100*(Inputs!$B$8*(1+(Inputs!$B$9+B534)/100)),0))*(1+Inputs!$B$14/100))*0.01+Inputs!$B$15*0.0025)/100)*(1+(Inputs!$B$16+B528)/100)*(1+IF(Inputs!$B$39="pvp",0,(1-Summary!$B$48)*(Inputs!$B$21+Skills!O7+B526)+Summary!$B$48*(Inputs!$B$22+Skills!P7+B527))/100)*(1+Inputs!$B$17/100)*(5000/(6000+Inputs!$B$43*(1-Inputs!$B$20/100)))*(1+Inputs!$B$25/100)*(1+IF(C514=TRUE,F514,0)/100)*(1+IF(C516=TRUE,F516,0)/100)*(1+IF(Skills!A7="TRIUMPH_FEATHER",IF(C512=TRUE,F512,0),0)/100)*(1+IF(C523=TRUE,F523,0)/100)^5*(1+(IF(Skills!A7="BIG_BANG",Inputs!$B$18,Inputs!$B$19))/100)*(B525*I503)</f>
        <v/>
      </c>
      <c r="L503">
        <f>K503*(MIN(Inputs!$B$23+(F518-Calc!F22),Inputs!$B$24)/100+Inputs!$B$24/100)/2</f>
        <v/>
      </c>
      <c r="M503">
        <f>L503*(1+(Inputs!$B$11+B529+(F521-Calc!F25))/100)</f>
        <v/>
      </c>
      <c r="N503">
        <f>L503*(1-MIN((Inputs!$B$10+1)+((F520-Calc!F24)+(F519-Calc!F23)),100)/100)+M503*(MIN((Inputs!$B$10+1)+((F520-Calc!F24)+(F519-Calc!F23)),100)/100)</f>
        <v/>
      </c>
      <c r="O503">
        <f>IF(C503,H503*N503*IF(AND(Inputs!$B$39&lt;&gt;"pvp",Inputs!$B$44&gt;0),((Skills!F7*((R503-1)*IF(Skills!G7&gt;0,Skills!H7/Skills!G7,1)+IF(Skills!G7&gt;0,MIN(Skills!H7,MAX(0,MAX(0,Inputs!$B$44-B535)-((R503-1)*IF(Inputs!$B$39="pvp",15,MAX(0.1,Skills!D7-IF(Skills!E6=TRUE,Inputs!$B$33,0))))))/Skills!G7,1)))/Inputs!$B$44),G503*Q503)*(1-Summary!$B$48),0)</f>
        <v/>
      </c>
      <c r="P503">
        <f>IF(B536=0,0,O503/B536)</f>
        <v/>
      </c>
      <c r="Q503">
        <f>IFERROR(1/IF(Inputs!$B$39="pvp",15,MAX(0.1,Skills!D7-IF(Skills!E6=TRUE,Inputs!$B$33,0))),0)</f>
        <v/>
      </c>
      <c r="R503">
        <f>IF(AND(Inputs!$B$39&lt;&gt;"pvp",Inputs!$B$44&gt;0),IF(MAX(0,Inputs!$B$44-B535)&lt;=0,0,(INT(MAX(0,Inputs!$B$44-B535)/IF(Inputs!$B$39="pvp",15,MAX(0.1,Skills!D7-IF(Skills!E6=TRUE,Inputs!$B$33,0))))+1)),0)</f>
        <v/>
      </c>
    </row>
    <row r="504">
      <c r="A504">
        <f>Skills!A8</f>
        <v/>
      </c>
      <c r="B504">
        <f>Skills!B8</f>
        <v/>
      </c>
      <c r="C504">
        <f>Inputs!$B$3&gt;=105</f>
        <v/>
      </c>
      <c r="D504">
        <f>IF(Skills!C8=1,60+Inputs!$B$26+Inputs!$B$30,IF(Skills!C8=2,90+Inputs!$B$27+Inputs!$B$30,IF(Skills!C8=3,120+Inputs!$B$28+Inputs!$B$30,MAX(0,(Inputs!$B$3-100)*3)+Inputs!$B$29+Inputs!$B$30)))</f>
        <v/>
      </c>
      <c r="E504">
        <f>INDEX(FactorTable!$B$2:$Y$301, MATCH(ROUND(MIN(300,MAX(1,D504)),0), FactorTable!$A$2:$A$301,0), Skills!L8+1)</f>
        <v/>
      </c>
      <c r="F504">
        <f>IF(Skills!M8=TRUE,(Skills!K8/10)*(E504/1000),Skills!K8/10)+Skills!N8</f>
        <v/>
      </c>
      <c r="G504">
        <f>Calc!G8</f>
        <v/>
      </c>
      <c r="H504">
        <f>Calc!H8</f>
        <v/>
      </c>
      <c r="I504">
        <f>IF(Skills!T8&lt;&gt;"",1+(Skills!T8/10)*($Z$3/1000)/100,1)</f>
        <v/>
      </c>
      <c r="J504">
        <f>((Inputs!$B$6*(1+Inputs!$B$7/100))+(((Inputs!$B$13*(1+Inputs!$B$14/100))-(Inputs!$B$13*(1+Inputs!$B$14/100)))+0.25*(Inputs!$B$15-Inputs!$B$15))*(1+Inputs!$B$7/100))*(F504/100)</f>
        <v/>
      </c>
      <c r="K504">
        <f>J504*(1+(((Inputs!$B$13+IF(Inputs!$B$3&gt;=35,(10*INDEX(FactorTable!$B$2:$Y$301, MATCH(ROUND(MIN(300,MAX(1,Inputs!$B$3)),0), FactorTable!$A$2:$A$301,0), 23)/1000)/100*(Inputs!$B$8*(1+(Inputs!$B$9+B534)/100)),0))*(1+Inputs!$B$14/100))*0.01+Inputs!$B$15*0.0025)/100)*(1+(Inputs!$B$16+B528)/100)*(1+IF(Inputs!$B$39="pvp",0,(1-Summary!$B$48)*(Inputs!$B$21+Skills!O8+B526)+Summary!$B$48*(Inputs!$B$22+Skills!P8+B527))/100)*(1+Inputs!$B$17/100)*(5000/(6000+Inputs!$B$43*(1-Inputs!$B$20/100)))*(1+Inputs!$B$25/100)*(1+IF(C514=TRUE,F514,0)/100)*(1+IF(C516=TRUE,F516,0)/100)*(1+IF(Skills!A8="TRIUMPH_FEATHER",IF(C512=TRUE,F512,0),0)/100)*(1+IF(C523=TRUE,F523,0)/100)^5*(1+(IF(Skills!A8="BIG_BANG",Inputs!$B$18,Inputs!$B$19))/100)*(B525*I504)</f>
        <v/>
      </c>
      <c r="L504">
        <f>K504*(MIN(Inputs!$B$23+(F518-Calc!F22),Inputs!$B$24)/100+Inputs!$B$24/100)/2</f>
        <v/>
      </c>
      <c r="M504">
        <f>L504*(1+(Inputs!$B$11+B529+(F521-Calc!F25))/100)</f>
        <v/>
      </c>
      <c r="N504">
        <f>L504*(1-MIN((Inputs!$B$10+1)+((F520-Calc!F24)+(F519-Calc!F23)),100)/100)+M504*(MIN((Inputs!$B$10+1)+((F520-Calc!F24)+(F519-Calc!F23)),100)/100)</f>
        <v/>
      </c>
      <c r="O504">
        <f>IF(C504,H504*N504*IF(AND(Inputs!$B$39&lt;&gt;"pvp",Inputs!$B$44&gt;0),((Skills!F8*((R504-1)*IF(Skills!G8&gt;0,Skills!H8/Skills!G8,1)+IF(Skills!G8&gt;0,MIN(Skills!H8,MAX(0,MAX(0,Inputs!$B$44-B535)-((R504-1)*IF(Inputs!$B$39="pvp",15,MAX(0.1,Skills!D8-IF(Skills!E8=TRUE,Inputs!$B$33,0))))))/Skills!G8,1)))/Inputs!$B$44),G504*Q504)*IF(Inputs!$B$39="pvp",1,(1-Summary!$B$48)*(1)+Summary!$B$48*(MIN(Skills!Q8,Inputs!$B$38))),0)</f>
        <v/>
      </c>
      <c r="P504">
        <f>IF(B536=0,0,O504/B536)</f>
        <v/>
      </c>
      <c r="Q504">
        <f>IFERROR(1/IF(Inputs!$B$39="pvp",15,MAX(0.1,Skills!D8-IF(Skills!E8=TRUE,Inputs!$B$33,0))),0)</f>
        <v/>
      </c>
      <c r="R504">
        <f>IF(AND(Inputs!$B$39&lt;&gt;"pvp",Inputs!$B$44&gt;0),IF(MAX(0,Inputs!$B$44-B535)&lt;=0,0,(INT(MAX(0,Inputs!$B$44-B535)/IF(Inputs!$B$39="pvp",15,MAX(0.1,Skills!D8-IF(Skills!E8=TRUE,Inputs!$B$33,0))))+1)),0)</f>
        <v/>
      </c>
    </row>
    <row r="505">
      <c r="A505">
        <f>Skills!A9</f>
        <v/>
      </c>
      <c r="B505">
        <f>Skills!B9</f>
        <v/>
      </c>
      <c r="C505">
        <f>Inputs!$B$3&gt;=115</f>
        <v/>
      </c>
      <c r="D505">
        <f>IF(Skills!C9=1,60+Inputs!$B$26+Inputs!$B$30,IF(Skills!C9=2,90+Inputs!$B$27+Inputs!$B$30,IF(Skills!C9=3,120+Inputs!$B$28+Inputs!$B$30,MAX(0,(Inputs!$B$3-100)*3)+Inputs!$B$29+Inputs!$B$30)))</f>
        <v/>
      </c>
      <c r="E505">
        <f>INDEX(FactorTable!$B$2:$Y$301, MATCH(ROUND(MIN(300,MAX(1,D505)),0), FactorTable!$A$2:$A$301,0), Skills!L9+1)</f>
        <v/>
      </c>
      <c r="F505">
        <f>IF(Skills!M9=TRUE,(Skills!K9/10)*(E505/1000),Skills!K9/10)+Skills!N9</f>
        <v/>
      </c>
      <c r="G505">
        <f>Calc!G9</f>
        <v/>
      </c>
      <c r="H505">
        <f>Calc!H9</f>
        <v/>
      </c>
      <c r="I505">
        <f>IF(Skills!T9&lt;&gt;"",1+(Skills!T9/10)*($Z$3/1000)/100,1)</f>
        <v/>
      </c>
      <c r="J505">
        <f>((Inputs!$B$6*(1+Inputs!$B$7/100))+(((Inputs!$B$13*(1+Inputs!$B$14/100))-(Inputs!$B$13*(1+Inputs!$B$14/100)))+0.25*(Inputs!$B$15-Inputs!$B$15))*(1+Inputs!$B$7/100))*(F505/100)</f>
        <v/>
      </c>
      <c r="K505">
        <f>J505*(1+(((Inputs!$B$13+IF(Inputs!$B$3&gt;=35,(10*INDEX(FactorTable!$B$2:$Y$301, MATCH(ROUND(MIN(300,MAX(1,Inputs!$B$3)),0), FactorTable!$A$2:$A$301,0), 23)/1000)/100*(Inputs!$B$8*(1+(Inputs!$B$9+B534)/100)),0))*(1+Inputs!$B$14/100))*0.01+Inputs!$B$15*0.0025)/100)*(1+(Inputs!$B$16+B528)/100)*(1+IF(Inputs!$B$39="pvp",0,(1-Summary!$B$48)*(Inputs!$B$21+Skills!O9+B526)+Summary!$B$48*(Inputs!$B$22+Skills!P9+B527))/100)*(1+Inputs!$B$17/100)*(5000/(6000+Inputs!$B$43*(1-Inputs!$B$20/100)))*(1+Inputs!$B$25/100)*(1+IF(C514=TRUE,F514,0)/100)*(1+IF(C516=TRUE,F516,0)/100)*(1+IF(Skills!A9="TRIUMPH_FEATHER",IF(C512=TRUE,F512,0),0)/100)*(1+IF(C523=TRUE,F523,0)/100)^5*(1+(IF(Skills!A9="BIG_BANG",Inputs!$B$18,Inputs!$B$19))/100)*(B525*I505)</f>
        <v/>
      </c>
      <c r="L505">
        <f>K505*(MIN(Inputs!$B$23+(F518-Calc!F22),Inputs!$B$24)/100+Inputs!$B$24/100)/2</f>
        <v/>
      </c>
      <c r="M505">
        <f>L505*(1+(Inputs!$B$11+B529+(F521-Calc!F25))/100)</f>
        <v/>
      </c>
      <c r="N505">
        <f>L505*(1-MIN((Inputs!$B$10+1)+((F520-Calc!F24)+(F519-Calc!F23)),100)/100)+M505*(MIN((Inputs!$B$10+1)+((F520-Calc!F24)+(F519-Calc!F23)),100)/100)</f>
        <v/>
      </c>
      <c r="O505">
        <f>IF(C505,H505*N505*IF(AND(Inputs!$B$39&lt;&gt;"pvp",Inputs!$B$44&gt;0),((Skills!F9*((R505-1)*IF(Skills!G9&gt;0,Skills!H9/Skills!G9,1)+IF(Skills!G9&gt;0,MIN(Skills!H9,MAX(0,MAX(0,Inputs!$B$44-B535)-((R505-1)*IF(Inputs!$B$39="pvp",15,MAX(0.1,Skills!D9-IF(Skills!E9=TRUE,Inputs!$B$33,0))))))/Skills!G9,1)))/Inputs!$B$44),G505*Q505)*IF(Inputs!$B$39="pvp",1,(1-Summary!$B$48)*(1)+Summary!$B$48*(MIN(Skills!Q9,Inputs!$B$38))),0)</f>
        <v/>
      </c>
      <c r="P505">
        <f>IF(B536=0,0,O505/B536)</f>
        <v/>
      </c>
      <c r="Q505">
        <f>IFERROR(1/IF(Inputs!$B$39="pvp",15,MAX(0.1,Skills!D9-IF(Skills!E9=TRUE,Inputs!$B$33,0))),0)</f>
        <v/>
      </c>
      <c r="R505">
        <f>IF(AND(Inputs!$B$39&lt;&gt;"pvp",Inputs!$B$44&gt;0),IF(MAX(0,Inputs!$B$44-B535)&lt;=0,0,(INT(MAX(0,Inputs!$B$44-B535)/IF(Inputs!$B$39="pvp",15,MAX(0.1,Skills!D9-IF(Skills!E9=TRUE,Inputs!$B$33,0))))+1)),0)</f>
        <v/>
      </c>
    </row>
    <row r="506">
      <c r="A506">
        <f>Skills!A10</f>
        <v/>
      </c>
      <c r="B506">
        <f>Skills!B10</f>
        <v/>
      </c>
      <c r="C506">
        <f>Inputs!$B$3&gt;=66</f>
        <v/>
      </c>
      <c r="D506">
        <f>IF(Skills!C10=1,60+Inputs!$B$26+Inputs!$B$30,IF(Skills!C10=2,90+Inputs!$B$27+Inputs!$B$30,IF(Skills!C10=3,120+Inputs!$B$28+Inputs!$B$30,MAX(0,(Inputs!$B$3-100)*3)+Inputs!$B$29+Inputs!$B$30)))</f>
        <v/>
      </c>
      <c r="E506">
        <f>INDEX(FactorTable!$B$2:$Y$301, MATCH(ROUND(MIN(300,MAX(1,D506)),0), FactorTable!$A$2:$A$301,0), Skills!L10+1)</f>
        <v/>
      </c>
      <c r="F506" t="n">
        <v>0</v>
      </c>
      <c r="G506">
        <f>Calc!G10</f>
        <v/>
      </c>
      <c r="H506">
        <f>Calc!H10</f>
        <v/>
      </c>
      <c r="I506">
        <f>IF(Skills!T10&lt;&gt;"",1+(Skills!T10/10)*($Z$3/1000)/100,1)</f>
        <v/>
      </c>
      <c r="J506" t="inlineStr"/>
      <c r="K506" t="inlineStr"/>
      <c r="L506" t="inlineStr"/>
      <c r="M506" t="inlineStr"/>
      <c r="N506" t="inlineStr"/>
      <c r="O506" t="n">
        <v>0</v>
      </c>
      <c r="P506">
        <f>IF(B536=0,0,O506/B536)</f>
        <v/>
      </c>
      <c r="Q506">
        <f>IFERROR(1/IF(Inputs!$B$39="pvp",15,MAX(0.1,Skills!D10-IF(Skills!E10=TRUE,Inputs!$B$33,0))),0)</f>
        <v/>
      </c>
      <c r="R506">
        <f>IF(AND(Inputs!$B$39&lt;&gt;"pvp",Inputs!$B$44&gt;0),IF(MAX(0,Inputs!$B$44-B535)&lt;=0,0,(INT(MAX(0,Inputs!$B$44-B535)/IF(Inputs!$B$39="pvp",15,MAX(0.1,Skills!D10-IF(Skills!E10=TRUE,Inputs!$B$33,0))))+1)),0)</f>
        <v/>
      </c>
    </row>
    <row r="507">
      <c r="A507">
        <f>Skills!A11</f>
        <v/>
      </c>
      <c r="B507">
        <f>Skills!B11</f>
        <v/>
      </c>
      <c r="C507">
        <f>Inputs!$B$3&gt;=69</f>
        <v/>
      </c>
      <c r="D507">
        <f>IF(Skills!C11=1,60+Inputs!$B$26+Inputs!$B$30,IF(Skills!C11=2,90+Inputs!$B$27+Inputs!$B$30,IF(Skills!C11=3,120+Inputs!$B$28+Inputs!$B$30,MAX(0,(Inputs!$B$3-100)*3)+Inputs!$B$29+Inputs!$B$30)))</f>
        <v/>
      </c>
      <c r="E507">
        <f>INDEX(FactorTable!$B$2:$Y$301, MATCH(ROUND(MIN(300,MAX(1,D507)),0), FactorTable!$A$2:$A$301,0), Skills!L11+1)</f>
        <v/>
      </c>
      <c r="F507">
        <f>IF(Skills!M11=TRUE,(Skills!K11/10)*(E507/1000),Skills!K11/10)+Skills!N11</f>
        <v/>
      </c>
      <c r="G507">
        <f>Calc!G11</f>
        <v/>
      </c>
      <c r="H507">
        <f>Calc!H11</f>
        <v/>
      </c>
      <c r="I507">
        <f>IF(Skills!T11&lt;&gt;"",1+(Skills!T11/10)*($Z$3/1000)/100,1)</f>
        <v/>
      </c>
      <c r="J507" t="inlineStr"/>
      <c r="K507" t="inlineStr"/>
      <c r="L507" t="inlineStr"/>
      <c r="M507" t="inlineStr"/>
      <c r="N507" t="inlineStr"/>
      <c r="O507" t="n">
        <v>0</v>
      </c>
      <c r="P507">
        <f>IF(B536=0,0,O507/B536)</f>
        <v/>
      </c>
      <c r="Q507">
        <f>IFERROR(1/IF(Inputs!$B$39="pvp",15,MAX(0.1,Skills!D11-IF(Skills!E11=TRUE,Inputs!$B$33,0))),0)</f>
        <v/>
      </c>
      <c r="R507">
        <f>IF(AND(Inputs!$B$39&lt;&gt;"pvp",Inputs!$B$44&gt;0),IF(Inputs!$B$44&lt;=0,0,(INT(Inputs!$B$44/IF(Inputs!$B$39="pvp",15,MAX(0.1,Skills!D11-IF(Skills!E11=TRUE,Inputs!$B$33,0))))+1)),0)</f>
        <v/>
      </c>
    </row>
    <row r="508">
      <c r="A508">
        <f>Skills!A12</f>
        <v/>
      </c>
      <c r="B508">
        <f>Skills!B12</f>
        <v/>
      </c>
      <c r="C508">
        <f>Inputs!$B$3&gt;=72</f>
        <v/>
      </c>
      <c r="D508">
        <f>IF(Skills!C12=1,60+Inputs!$B$26+Inputs!$B$30,IF(Skills!C12=2,90+Inputs!$B$27+Inputs!$B$30,IF(Skills!C12=3,120+Inputs!$B$28+Inputs!$B$30,MAX(0,(Inputs!$B$3-100)*3)+Inputs!$B$29+Inputs!$B$30)))</f>
        <v/>
      </c>
      <c r="E508">
        <f>INDEX(FactorTable!$B$2:$Y$301, MATCH(ROUND(MIN(300,MAX(1,D508)),0), FactorTable!$A$2:$A$301,0), Skills!L12+1)</f>
        <v/>
      </c>
      <c r="F508">
        <f>IF(Skills!M12=TRUE,(Skills!K12/10)*(E508/1000),Skills!K12/10)+Skills!N12</f>
        <v/>
      </c>
      <c r="G508">
        <f>Calc!G12</f>
        <v/>
      </c>
      <c r="H508">
        <f>Calc!H12</f>
        <v/>
      </c>
      <c r="I508">
        <f>IF(Skills!T12&lt;&gt;"",1+(Skills!T12/10)*($Z$3/1000)/100,1)</f>
        <v/>
      </c>
      <c r="J508" t="inlineStr"/>
      <c r="K508" t="inlineStr"/>
      <c r="L508" t="inlineStr"/>
      <c r="M508" t="inlineStr"/>
      <c r="N508" t="inlineStr"/>
      <c r="O508" t="n">
        <v>0</v>
      </c>
      <c r="P508">
        <f>IF(B536=0,0,O508/B536)</f>
        <v/>
      </c>
      <c r="Q508">
        <f>IFERROR(1/IF(Inputs!$B$39="pvp",15,MAX(0.1,Skills!D12-IF(Skills!E12=TRUE,Inputs!$B$33,0))),0)</f>
        <v/>
      </c>
      <c r="R508">
        <f>IF(AND(Inputs!$B$39&lt;&gt;"pvp",Inputs!$B$44&gt;0),IF(MAX(0,Inputs!$B$44-B535)&lt;=0,0,(INT(MAX(0,Inputs!$B$44-B535)/IF(Inputs!$B$39="pvp",15,MAX(0.1,Skills!D12-IF(Skills!E12=TRUE,Inputs!$B$33,0))))+1)),0)</f>
        <v/>
      </c>
    </row>
    <row r="509">
      <c r="A509">
        <f>Skills!A13</f>
        <v/>
      </c>
      <c r="B509">
        <f>Skills!B13</f>
        <v/>
      </c>
      <c r="C509">
        <f>Inputs!$B$3&gt;=60</f>
        <v/>
      </c>
      <c r="D509">
        <f>IF(Skills!C13=1,60+Inputs!$B$26+Inputs!$B$30,IF(Skills!C13=2,90+Inputs!$B$27+Inputs!$B$30,IF(Skills!C13=3,120+Inputs!$B$28+Inputs!$B$30,MAX(0,(Inputs!$B$3-100)*3)+Inputs!$B$29+Inputs!$B$30)))</f>
        <v/>
      </c>
      <c r="E509">
        <f>INDEX(FactorTable!$B$2:$Y$301, MATCH(ROUND(MIN(300,MAX(1,D509)),0), FactorTable!$A$2:$A$301,0), Skills!L13+1)</f>
        <v/>
      </c>
      <c r="F509">
        <f>IF(Skills!M13=TRUE,(Skills!K13/10)*(E509/1000),Skills!K13/10)+Skills!N13</f>
        <v/>
      </c>
      <c r="G509">
        <f>Calc!G13</f>
        <v/>
      </c>
      <c r="H509">
        <f>Calc!H13</f>
        <v/>
      </c>
      <c r="I509">
        <f>IF(Skills!T13&lt;&gt;"",1+(Skills!T13/10)*($Z$3/1000)/100,1)</f>
        <v/>
      </c>
      <c r="J509" t="inlineStr"/>
      <c r="K509" t="inlineStr"/>
      <c r="L509" t="inlineStr"/>
      <c r="M509" t="inlineStr"/>
      <c r="N509" t="inlineStr"/>
      <c r="O509" t="n">
        <v>0</v>
      </c>
      <c r="P509">
        <f>IF(B536=0,0,O509/B536)</f>
        <v/>
      </c>
      <c r="Q509">
        <f>IFERROR(1/IF(Inputs!$B$39="pvp",15,MAX(0.1,Skills!D13-IF(Skills!E13=TRUE,Inputs!$B$33,0))),0)</f>
        <v/>
      </c>
      <c r="R509">
        <f>IF(AND(Inputs!$B$39&lt;&gt;"pvp",Inputs!$B$44&gt;0),IF(MAX(0,Inputs!$B$44-B535)&lt;=0,0,(INT(MAX(0,Inputs!$B$44-B535)/IF(Inputs!$B$39="pvp",15,MAX(0.1,Skills!D13-IF(Skills!E13=TRUE,Inputs!$B$33,0))))+1)),0)</f>
        <v/>
      </c>
    </row>
    <row r="510">
      <c r="A510">
        <f>Skills!A14</f>
        <v/>
      </c>
      <c r="B510">
        <f>Skills!B14</f>
        <v/>
      </c>
      <c r="C510">
        <f>Inputs!$B$3&gt;=107</f>
        <v/>
      </c>
      <c r="D510">
        <f>IF(Skills!C14=1,60+Inputs!$B$26+Inputs!$B$30,IF(Skills!C14=2,90+Inputs!$B$27+Inputs!$B$30,IF(Skills!C14=3,120+Inputs!$B$28+Inputs!$B$30,MAX(0,(Inputs!$B$3-100)*3)+Inputs!$B$29+Inputs!$B$30)))</f>
        <v/>
      </c>
      <c r="E510">
        <f>INDEX(FactorTable!$B$2:$Y$301, MATCH(ROUND(MIN(300,MAX(1,D510)),0), FactorTable!$A$2:$A$301,0), Skills!L14+1)</f>
        <v/>
      </c>
      <c r="F510">
        <f>IF(Skills!M14=TRUE,(Skills!K14/10)*(E510/1000),Skills!K14/10)+Skills!N14</f>
        <v/>
      </c>
      <c r="G510">
        <f>Calc!G14</f>
        <v/>
      </c>
      <c r="H510">
        <f>Calc!H14</f>
        <v/>
      </c>
      <c r="I510">
        <f>IF(Skills!T14&lt;&gt;"",1+(Skills!T14/10)*($Z$3/1000)/100,1)</f>
        <v/>
      </c>
      <c r="J510" t="inlineStr"/>
      <c r="K510" t="inlineStr"/>
      <c r="L510" t="inlineStr"/>
      <c r="M510" t="inlineStr"/>
      <c r="N510" t="inlineStr"/>
      <c r="O510" t="n">
        <v>0</v>
      </c>
      <c r="P510">
        <f>IF(B536=0,0,O510/B536)</f>
        <v/>
      </c>
      <c r="Q510">
        <f>IFERROR(1/IF(Inputs!$B$39="pvp",15,MAX(0.1,Skills!D14-IF(Skills!E14=TRUE,Inputs!$B$33,0))),0)</f>
        <v/>
      </c>
      <c r="R510">
        <f>IF(AND(Inputs!$B$39&lt;&gt;"pvp",Inputs!$B$44&gt;0),IF(Inputs!$B$44&lt;=0,0,(INT(Inputs!$B$44/IF(Inputs!$B$39="pvp",15,MAX(0.1,Skills!D14-IF(Skills!E14=TRUE,Inputs!$B$33,0))))+1)),0)</f>
        <v/>
      </c>
    </row>
    <row r="511">
      <c r="A511">
        <f>Skills!A15</f>
        <v/>
      </c>
      <c r="B511">
        <f>Skills!B15</f>
        <v/>
      </c>
      <c r="C511">
        <f>Inputs!$B$3&gt;=63</f>
        <v/>
      </c>
      <c r="D511">
        <f>IF(Skills!C15=1,60+Inputs!$B$26+Inputs!$B$30,IF(Skills!C15=2,90+Inputs!$B$27+Inputs!$B$30,IF(Skills!C15=3,120+Inputs!$B$28+Inputs!$B$30,MAX(0,(Inputs!$B$3-100)*3)+Inputs!$B$29+Inputs!$B$30)))</f>
        <v/>
      </c>
      <c r="E511">
        <f>INDEX(FactorTable!$B$2:$Y$301, MATCH(ROUND(MIN(300,MAX(1,D511)),0), FactorTable!$A$2:$A$301,0), Skills!L15+1)</f>
        <v/>
      </c>
      <c r="F511">
        <f>IF(Skills!M15=TRUE,(Skills!K15/10)*(E511/1000),Skills!K15/10)+Skills!N15</f>
        <v/>
      </c>
      <c r="G511">
        <f>Calc!G15</f>
        <v/>
      </c>
      <c r="H511">
        <f>Calc!H15</f>
        <v/>
      </c>
      <c r="I511">
        <f>IF(Skills!T15&lt;&gt;"",1+(Skills!T15/10)*($Z$3/1000)/100,1)</f>
        <v/>
      </c>
      <c r="J511">
        <f>((Inputs!$B$6*(1+Inputs!$B$7/100))+(((Inputs!$B$13*(1+Inputs!$B$14/100))-(Inputs!$B$13*(1+Inputs!$B$14/100)))+0.25*(Inputs!$B$15-Inputs!$B$15))*(1+Inputs!$B$7/100))*(F511/100)</f>
        <v/>
      </c>
      <c r="K511">
        <f>J511*(1+(((Inputs!$B$13+IF(Inputs!$B$3&gt;=35,(10*INDEX(FactorTable!$B$2:$Y$301, MATCH(ROUND(MIN(300,MAX(1,Inputs!$B$3)),0), FactorTable!$A$2:$A$301,0), 23)/1000)/100*(Inputs!$B$8*(1+(Inputs!$B$9+B534)/100)),0))*(1+Inputs!$B$14/100))*0.01+Inputs!$B$15*0.0025)/100)*(1+(Inputs!$B$16+B528)/100)*(1+IF(Inputs!$B$39="pvp",0,(1-Summary!$B$48)*(Inputs!$B$21+Skills!O15+B526)+Summary!$B$48*(Inputs!$B$22+Skills!P15+B527))/100)*(1+Inputs!$B$17/100)*(5000/(6000+Inputs!$B$43*(1-Inputs!$B$20/100)))*(1+Inputs!$B$25/100)*(1+IF(C514=TRUE,F514,0)/100)*(1+IF(C516=TRUE,F516,0)/100)*(1+IF(Skills!A15="TRIUMPH_FEATHER",IF(C512=TRUE,F512,0),0)/100)*(1+IF(C523=TRUE,F523,0)/100)^5*(1+(IF(Skills!A15="BIG_BANG",Inputs!$B$18,Inputs!$B$19))/100)*(B525*I511)</f>
        <v/>
      </c>
      <c r="L511">
        <f>K511*(MIN(Inputs!$B$23+(F518-Calc!F22),Inputs!$B$24)/100+Inputs!$B$24/100)/2</f>
        <v/>
      </c>
      <c r="M511">
        <f>L511*(1+(Inputs!$B$11+B529+(F521-Calc!F25))/100)</f>
        <v/>
      </c>
      <c r="N511">
        <f>L511*(1-MIN((Inputs!$B$10+1)+((F520-Calc!F24)+(F519-Calc!F23)),100)/100)+M511*(MIN((Inputs!$B$10+1)+((F520-Calc!F24)+(F519-Calc!F23)),100)/100)</f>
        <v/>
      </c>
      <c r="O511">
        <f>IF(C511,Skills!F15*N511*((IF(Inputs!$B$3&gt;=78,25,15)/100*B531*10)/(1+IF(Inputs!$B$3&gt;=78,25,15)/100*B531*10))*(Skills!I15/100*B531)/(1+Skills!G15*Skills!I15/100*B531)*IF(Inputs!$B$39="pvp",1,(1-Summary!$B$48)*(1)+Summary!$B$48*(MIN(Skills!Q15,Inputs!$B$38))),0)</f>
        <v/>
      </c>
      <c r="P511">
        <f>IF(B536=0,0,O511/B536)</f>
        <v/>
      </c>
      <c r="Q511">
        <f>IFERROR(1/IF(Inputs!$B$39="pvp",15,MAX(0.1,Skills!D15-IF(Skills!E15=TRUE,Inputs!$B$33,0))),0)</f>
        <v/>
      </c>
      <c r="R511" t="n">
        <v>0</v>
      </c>
    </row>
    <row r="512">
      <c r="A512">
        <f>Skills!A16</f>
        <v/>
      </c>
      <c r="B512">
        <f>Skills!B16</f>
        <v/>
      </c>
      <c r="C512">
        <f>Inputs!$B$3&gt;=100</f>
        <v/>
      </c>
      <c r="D512">
        <f>IF(Skills!C16=1,60+Inputs!$B$26+Inputs!$B$30,IF(Skills!C16=2,90+Inputs!$B$27+Inputs!$B$30,IF(Skills!C16=3,120+Inputs!$B$28+Inputs!$B$30,MAX(0,(Inputs!$B$3-100)*3)+Inputs!$B$29+Inputs!$B$30)))</f>
        <v/>
      </c>
      <c r="E512">
        <f>INDEX(FactorTable!$B$2:$Y$301, MATCH(ROUND(MIN(300,MAX(1,D512)),0), FactorTable!$A$2:$A$301,0), Skills!L16+1)</f>
        <v/>
      </c>
      <c r="F512">
        <f>IF(Skills!M16=TRUE,(Skills!K16/10)*(E512/1000),Skills!K16/10)+Skills!N16</f>
        <v/>
      </c>
      <c r="G512">
        <f>Calc!G16</f>
        <v/>
      </c>
      <c r="H512">
        <f>Calc!H16</f>
        <v/>
      </c>
      <c r="I512">
        <f>IF(Skills!T16&lt;&gt;"",1+(Skills!T16/10)*($Z$3/1000)/100,1)</f>
        <v/>
      </c>
      <c r="J512" t="inlineStr"/>
      <c r="K512" t="inlineStr"/>
      <c r="L512" t="inlineStr"/>
      <c r="M512" t="inlineStr"/>
      <c r="N512" t="inlineStr"/>
      <c r="O512" t="n">
        <v>0</v>
      </c>
      <c r="P512">
        <f>IF(B536=0,0,O512/B536)</f>
        <v/>
      </c>
      <c r="Q512">
        <f>IFERROR(1/IF(Inputs!$B$39="pvp",15,MAX(0.1,Skills!D16-IF(Skills!E16=TRUE,Inputs!$B$33,0))),0)</f>
        <v/>
      </c>
      <c r="R512" t="n">
        <v>0</v>
      </c>
    </row>
    <row r="513">
      <c r="A513">
        <f>Skills!A17</f>
        <v/>
      </c>
      <c r="B513">
        <f>Skills!B17</f>
        <v/>
      </c>
      <c r="C513">
        <f>Inputs!$B$3&gt;=49</f>
        <v/>
      </c>
      <c r="D513">
        <f>IF(Skills!C17=1,60+Inputs!$B$26+Inputs!$B$30,IF(Skills!C17=2,90+Inputs!$B$27+Inputs!$B$30,IF(Skills!C17=3,120+Inputs!$B$28+Inputs!$B$30,MAX(0,(Inputs!$B$3-100)*3)+Inputs!$B$29+Inputs!$B$30)))</f>
        <v/>
      </c>
      <c r="E513">
        <f>INDEX(FactorTable!$B$2:$Y$301, MATCH(ROUND(MIN(300,MAX(1,D513)),0), FactorTable!$A$2:$A$301,0), Skills!L17+1)</f>
        <v/>
      </c>
      <c r="F513">
        <f>IF(Skills!M17=TRUE,(Skills!K17/10)*(E513/1000),Skills!K17/10)+Skills!N17</f>
        <v/>
      </c>
      <c r="G513">
        <f>Calc!G17</f>
        <v/>
      </c>
      <c r="H513">
        <f>Calc!H17</f>
        <v/>
      </c>
      <c r="I513">
        <f>IF(Skills!T17&lt;&gt;"",1+(Skills!T17/10)*($Z$3/1000)/100,1)</f>
        <v/>
      </c>
      <c r="J513" t="inlineStr"/>
      <c r="K513" t="inlineStr"/>
      <c r="L513" t="inlineStr"/>
      <c r="M513" t="inlineStr"/>
      <c r="N513" t="inlineStr"/>
      <c r="O513" t="n">
        <v>0</v>
      </c>
      <c r="P513">
        <f>IF(B536=0,0,O513/B536)</f>
        <v/>
      </c>
      <c r="Q513">
        <f>IFERROR(1/IF(Inputs!$B$39="pvp",15,MAX(0.1,Skills!D17-IF(Skills!E17=TRUE,Inputs!$B$33,0))),0)</f>
        <v/>
      </c>
      <c r="R513" t="n">
        <v>0</v>
      </c>
    </row>
    <row r="514">
      <c r="A514">
        <f>Skills!A18</f>
        <v/>
      </c>
      <c r="B514">
        <f>Skills!B18</f>
        <v/>
      </c>
      <c r="C514">
        <f>Inputs!$B$3&gt;=75</f>
        <v/>
      </c>
      <c r="D514">
        <f>IF(Skills!C18=1,60+Inputs!$B$26+Inputs!$B$30,IF(Skills!C18=2,90+Inputs!$B$27+Inputs!$B$30,IF(Skills!C18=3,120+Inputs!$B$28+Inputs!$B$30,MAX(0,(Inputs!$B$3-100)*3)+Inputs!$B$29+Inputs!$B$30)))</f>
        <v/>
      </c>
      <c r="E514">
        <f>INDEX(FactorTable!$B$2:$Y$301, MATCH(ROUND(MIN(300,MAX(1,D514)),0), FactorTable!$A$2:$A$301,0), Skills!L18+1)</f>
        <v/>
      </c>
      <c r="F514">
        <f>IF(Skills!M18=TRUE,(Skills!K18/10)*(E514/1000),Skills!K18/10)+Skills!N18</f>
        <v/>
      </c>
      <c r="G514">
        <f>Calc!G18</f>
        <v/>
      </c>
      <c r="H514">
        <f>Calc!H18</f>
        <v/>
      </c>
      <c r="I514">
        <f>IF(Skills!T18&lt;&gt;"",1+(Skills!T18/10)*($Z$3/1000)/100,1)</f>
        <v/>
      </c>
      <c r="J514" t="inlineStr"/>
      <c r="K514" t="inlineStr"/>
      <c r="L514" t="inlineStr"/>
      <c r="M514" t="inlineStr"/>
      <c r="N514" t="inlineStr"/>
      <c r="O514" t="n">
        <v>0</v>
      </c>
      <c r="P514">
        <f>IF(B536=0,0,O514/B536)</f>
        <v/>
      </c>
      <c r="Q514">
        <f>IFERROR(1/IF(Inputs!$B$39="pvp",15,MAX(0.1,Skills!D18-IF(Skills!E18=TRUE,Inputs!$B$33,0))),0)</f>
        <v/>
      </c>
      <c r="R514" t="n">
        <v>0</v>
      </c>
    </row>
    <row r="515">
      <c r="A515">
        <f>Skills!A19</f>
        <v/>
      </c>
      <c r="B515">
        <f>Skills!B19</f>
        <v/>
      </c>
      <c r="C515">
        <f>Inputs!$B$3&gt;=110</f>
        <v/>
      </c>
      <c r="D515">
        <f>IF(Skills!C19=1,60+Inputs!$B$26+Inputs!$B$30,IF(Skills!C19=2,90+Inputs!$B$27+Inputs!$B$30,IF(Skills!C19=3,120+Inputs!$B$28+Inputs!$B$30,MAX(0,(Inputs!$B$3-100)*3)+Inputs!$B$29+Inputs!$B$30)))</f>
        <v/>
      </c>
      <c r="E515">
        <f>INDEX(FactorTable!$B$2:$Y$301, MATCH(ROUND(MIN(300,MAX(1,D515)),0), FactorTable!$A$2:$A$301,0), Skills!L19+1)</f>
        <v/>
      </c>
      <c r="F515">
        <f>(Skills!K19/10)*(E515/1000)*64/45+Skills!N19</f>
        <v/>
      </c>
      <c r="G515">
        <f>Calc!G19</f>
        <v/>
      </c>
      <c r="H515">
        <f>Calc!H19</f>
        <v/>
      </c>
      <c r="I515">
        <f>IF(Skills!T19&lt;&gt;"",1+(Skills!T19/10)*($Z$3/1000)/100,1)</f>
        <v/>
      </c>
      <c r="J515" t="inlineStr"/>
      <c r="K515" t="inlineStr"/>
      <c r="L515" t="inlineStr"/>
      <c r="M515" t="inlineStr"/>
      <c r="N515" t="inlineStr"/>
      <c r="O515" t="n">
        <v>0</v>
      </c>
      <c r="P515">
        <f>IF(B536=0,0,O515/B536)</f>
        <v/>
      </c>
      <c r="Q515">
        <f>IFERROR(1/IF(Inputs!$B$39="pvp",15,MAX(0.1,Skills!D19-IF(Skills!E19=TRUE,Inputs!$B$33,0))),0)</f>
        <v/>
      </c>
      <c r="R515">
        <f>IF(AND(Inputs!$B$39&lt;&gt;"pvp",Inputs!$B$44&gt;0),IF(Inputs!$B$44&lt;=0,0,(INT(Inputs!$B$44/IF(Inputs!$B$39="pvp",15,MAX(0.1,Skills!D19-IF(Skills!E19=TRUE,Inputs!$B$33,0))))+1)),0)</f>
        <v/>
      </c>
    </row>
    <row r="516">
      <c r="A516">
        <f>Skills!A20</f>
        <v/>
      </c>
      <c r="B516">
        <f>Skills!B20</f>
        <v/>
      </c>
      <c r="C516">
        <f>Inputs!$B$3&gt;=125</f>
        <v/>
      </c>
      <c r="D516">
        <f>IF(Skills!C20=1,60+Inputs!$B$26+Inputs!$B$30,IF(Skills!C20=2,90+Inputs!$B$27+Inputs!$B$30,IF(Skills!C20=3,120+Inputs!$B$28+Inputs!$B$30,MAX(0,(Inputs!$B$3-100)*3)+Inputs!$B$29+Inputs!$B$30)))</f>
        <v/>
      </c>
      <c r="E516">
        <f>INDEX(FactorTable!$B$2:$Y$301, MATCH(ROUND(MIN(300,MAX(1,D516)),0), FactorTable!$A$2:$A$301,0), Skills!L20+1)</f>
        <v/>
      </c>
      <c r="F516">
        <f>IF(Skills!M20=TRUE,(Skills!K20/10)*(E516/1000),Skills!K20/10)+Skills!N20</f>
        <v/>
      </c>
      <c r="G516">
        <f>Calc!G20</f>
        <v/>
      </c>
      <c r="H516">
        <f>Calc!H20</f>
        <v/>
      </c>
      <c r="I516">
        <f>IF(Skills!T20&lt;&gt;"",1+(Skills!T20/10)*($Z$3/1000)/100,1)</f>
        <v/>
      </c>
      <c r="J516" t="inlineStr"/>
      <c r="K516" t="inlineStr"/>
      <c r="L516" t="inlineStr"/>
      <c r="M516" t="inlineStr"/>
      <c r="N516" t="inlineStr"/>
      <c r="O516" t="n">
        <v>0</v>
      </c>
      <c r="P516">
        <f>IF(B536=0,0,O516/B536)</f>
        <v/>
      </c>
      <c r="Q516">
        <f>IFERROR(1/IF(Inputs!$B$39="pvp",15,MAX(0.1,Skills!D20-IF(Skills!E20=TRUE,Inputs!$B$33,0))),0)</f>
        <v/>
      </c>
      <c r="R516" t="n">
        <v>0</v>
      </c>
    </row>
    <row r="517">
      <c r="A517">
        <f>Skills!A21</f>
        <v/>
      </c>
      <c r="B517">
        <f>Skills!B21</f>
        <v/>
      </c>
      <c r="C517">
        <f>Inputs!$B$3&gt;=33</f>
        <v/>
      </c>
      <c r="D517">
        <f>IF(Skills!C21=1,60+Inputs!$B$26+Inputs!$B$30,IF(Skills!C21=2,90+Inputs!$B$27+Inputs!$B$30,IF(Skills!C21=3,120+Inputs!$B$28+Inputs!$B$30,MAX(0,(Inputs!$B$3-100)*3)+Inputs!$B$29+Inputs!$B$30)))</f>
        <v/>
      </c>
      <c r="E517">
        <f>INDEX(FactorTable!$B$2:$Y$301, MATCH(ROUND(MIN(300,MAX(1,D517)),0), FactorTable!$A$2:$A$301,0), Skills!L21+1)</f>
        <v/>
      </c>
      <c r="F517">
        <f>IF(Skills!M21=TRUE,(Skills!K21/10)*(E517/1000),Skills!K21/10)+Skills!N21</f>
        <v/>
      </c>
      <c r="G517">
        <f>Calc!G21</f>
        <v/>
      </c>
      <c r="H517">
        <f>Calc!H21</f>
        <v/>
      </c>
      <c r="I517">
        <f>IF(Skills!T21&lt;&gt;"",1+(Skills!T21/10)*($Z$3/1000)/100,1)</f>
        <v/>
      </c>
      <c r="J517" t="inlineStr"/>
      <c r="K517" t="inlineStr"/>
      <c r="L517" t="inlineStr"/>
      <c r="M517" t="inlineStr"/>
      <c r="N517" t="inlineStr"/>
      <c r="O517" t="n">
        <v>0</v>
      </c>
      <c r="P517">
        <f>IF(B536=0,0,O517/B536)</f>
        <v/>
      </c>
      <c r="Q517">
        <f>IFERROR(1/IF(Inputs!$B$39="pvp",15,MAX(0.1,Skills!D21-IF(Skills!E21=TRUE,Inputs!$B$33,0))),0)</f>
        <v/>
      </c>
      <c r="R517" t="n">
        <v>0</v>
      </c>
    </row>
    <row r="518">
      <c r="A518">
        <f>Skills!A22</f>
        <v/>
      </c>
      <c r="B518">
        <f>Skills!B22</f>
        <v/>
      </c>
      <c r="C518">
        <f>Inputs!$B$3&gt;=43</f>
        <v/>
      </c>
      <c r="D518">
        <f>IF(Skills!C22=1,60+Inputs!$B$26+Inputs!$B$30,IF(Skills!C22=2,90+Inputs!$B$27+Inputs!$B$30,IF(Skills!C22=3,120+Inputs!$B$28+Inputs!$B$30,MAX(0,(Inputs!$B$3-100)*3)+Inputs!$B$29+Inputs!$B$30)))</f>
        <v/>
      </c>
      <c r="E518">
        <f>INDEX(FactorTable!$B$2:$Y$301, MATCH(ROUND(MIN(300,MAX(1,D518)),0), FactorTable!$A$2:$A$301,0), Skills!L22+1)</f>
        <v/>
      </c>
      <c r="F518">
        <f>IF(Skills!M22=TRUE,(Skills!K22/10)*(E518/1000),Skills!K22/10)+Skills!N22</f>
        <v/>
      </c>
      <c r="G518">
        <f>Calc!G22</f>
        <v/>
      </c>
      <c r="H518">
        <f>Calc!H22</f>
        <v/>
      </c>
      <c r="I518">
        <f>IF(Skills!T22&lt;&gt;"",1+(Skills!T22/10)*($Z$3/1000)/100,1)</f>
        <v/>
      </c>
      <c r="J518" t="inlineStr"/>
      <c r="K518" t="inlineStr"/>
      <c r="L518" t="inlineStr"/>
      <c r="M518" t="inlineStr"/>
      <c r="N518" t="inlineStr"/>
      <c r="O518" t="n">
        <v>0</v>
      </c>
      <c r="P518">
        <f>IF(B536=0,0,O518/B536)</f>
        <v/>
      </c>
      <c r="Q518">
        <f>IFERROR(1/IF(Inputs!$B$39="pvp",15,MAX(0.1,Skills!D22-IF(Skills!E22=TRUE,Inputs!$B$33,0))),0)</f>
        <v/>
      </c>
      <c r="R518" t="n">
        <v>0</v>
      </c>
    </row>
    <row r="519">
      <c r="A519">
        <f>Skills!A23</f>
        <v/>
      </c>
      <c r="B519">
        <f>Skills!B23</f>
        <v/>
      </c>
      <c r="C519">
        <f>Inputs!$B$3&gt;=50</f>
        <v/>
      </c>
      <c r="D519">
        <f>IF(Skills!C23=1,60+Inputs!$B$26+Inputs!$B$30,IF(Skills!C23=2,90+Inputs!$B$27+Inputs!$B$30,IF(Skills!C23=3,120+Inputs!$B$28+Inputs!$B$30,MAX(0,(Inputs!$B$3-100)*3)+Inputs!$B$29+Inputs!$B$30)))</f>
        <v/>
      </c>
      <c r="E519">
        <f>INDEX(FactorTable!$B$2:$Y$301, MATCH(ROUND(MIN(300,MAX(1,D519)),0), FactorTable!$A$2:$A$301,0), Skills!L23+1)</f>
        <v/>
      </c>
      <c r="F519">
        <f>IF(Skills!M23=TRUE,(Skills!K23/10)*(E519/1000),Skills!K23/10)+Skills!N23</f>
        <v/>
      </c>
      <c r="G519">
        <f>Calc!G23</f>
        <v/>
      </c>
      <c r="H519">
        <f>Calc!H23</f>
        <v/>
      </c>
      <c r="I519">
        <f>IF(Skills!T23&lt;&gt;"",1+(Skills!T23/10)*($Z$3/1000)/100,1)</f>
        <v/>
      </c>
      <c r="J519" t="inlineStr"/>
      <c r="K519" t="inlineStr"/>
      <c r="L519" t="inlineStr"/>
      <c r="M519" t="inlineStr"/>
      <c r="N519" t="inlineStr"/>
      <c r="O519" t="n">
        <v>0</v>
      </c>
      <c r="P519">
        <f>IF(B536=0,0,O519/B536)</f>
        <v/>
      </c>
      <c r="Q519">
        <f>IFERROR(1/IF(Inputs!$B$39="pvp",15,MAX(0.1,Skills!D23-IF(Skills!E23=TRUE,Inputs!$B$33,0))),0)</f>
        <v/>
      </c>
      <c r="R519" t="n">
        <v>0</v>
      </c>
    </row>
    <row r="520">
      <c r="A520">
        <f>Skills!A24</f>
        <v/>
      </c>
      <c r="B520">
        <f>Skills!B24</f>
        <v/>
      </c>
      <c r="C520">
        <f>Inputs!$B$3&gt;=74</f>
        <v/>
      </c>
      <c r="D520">
        <f>IF(Skills!C24=1,60+Inputs!$B$26+Inputs!$B$30,IF(Skills!C24=2,90+Inputs!$B$27+Inputs!$B$30,IF(Skills!C24=3,120+Inputs!$B$28+Inputs!$B$30,MAX(0,(Inputs!$B$3-100)*3)+Inputs!$B$29+Inputs!$B$30)))</f>
        <v/>
      </c>
      <c r="E520">
        <f>INDEX(FactorTable!$B$2:$Y$301, MATCH(ROUND(MIN(300,MAX(1,D520)),0), FactorTable!$A$2:$A$301,0), Skills!L24+1)</f>
        <v/>
      </c>
      <c r="F520">
        <f>IF(Skills!M24=TRUE,(Skills!K24/10)*(E520/1000),Skills!K24/10)+Skills!N24</f>
        <v/>
      </c>
      <c r="G520">
        <f>Calc!G24</f>
        <v/>
      </c>
      <c r="H520">
        <f>Calc!H24</f>
        <v/>
      </c>
      <c r="I520">
        <f>IF(Skills!T24&lt;&gt;"",1+(Skills!T24/10)*($Z$3/1000)/100,1)</f>
        <v/>
      </c>
      <c r="J520" t="inlineStr"/>
      <c r="K520" t="inlineStr"/>
      <c r="L520" t="inlineStr"/>
      <c r="M520" t="inlineStr"/>
      <c r="N520" t="inlineStr"/>
      <c r="O520" t="n">
        <v>0</v>
      </c>
      <c r="P520">
        <f>IF(B536=0,0,O520/B536)</f>
        <v/>
      </c>
      <c r="Q520">
        <f>IFERROR(1/IF(Inputs!$B$39="pvp",15,MAX(0.1,Skills!D24-IF(Skills!E24=TRUE,Inputs!$B$33,0))),0)</f>
        <v/>
      </c>
      <c r="R520" t="n">
        <v>0</v>
      </c>
    </row>
    <row r="521">
      <c r="A521">
        <f>Skills!A25</f>
        <v/>
      </c>
      <c r="B521">
        <f>Skills!B25</f>
        <v/>
      </c>
      <c r="C521">
        <f>Inputs!$B$3&gt;=74</f>
        <v/>
      </c>
      <c r="D521">
        <f>IF(Skills!C25=1,60+Inputs!$B$26+Inputs!$B$30,IF(Skills!C25=2,90+Inputs!$B$27+Inputs!$B$30,IF(Skills!C25=3,120+Inputs!$B$28+Inputs!$B$30,MAX(0,(Inputs!$B$3-100)*3)+Inputs!$B$29+Inputs!$B$30)))</f>
        <v/>
      </c>
      <c r="E521">
        <f>INDEX(FactorTable!$B$2:$Y$301, MATCH(ROUND(MIN(300,MAX(1,D521)),0), FactorTable!$A$2:$A$301,0), Skills!L25+1)</f>
        <v/>
      </c>
      <c r="F521">
        <f>IF(Skills!M25=TRUE,(Skills!K25/10)*(E521/1000),Skills!K25/10)+Skills!N25</f>
        <v/>
      </c>
      <c r="G521">
        <f>Calc!G25</f>
        <v/>
      </c>
      <c r="H521">
        <f>Calc!H25</f>
        <v/>
      </c>
      <c r="I521">
        <f>IF(Skills!T25&lt;&gt;"",1+(Skills!T25/10)*($Z$3/1000)/100,1)</f>
        <v/>
      </c>
      <c r="J521" t="inlineStr"/>
      <c r="K521" t="inlineStr"/>
      <c r="L521" t="inlineStr"/>
      <c r="M521" t="inlineStr"/>
      <c r="N521" t="inlineStr"/>
      <c r="O521" t="n">
        <v>0</v>
      </c>
      <c r="P521">
        <f>IF(B536=0,0,O521/B536)</f>
        <v/>
      </c>
      <c r="Q521">
        <f>IFERROR(1/IF(Inputs!$B$39="pvp",15,MAX(0.1,Skills!D25-IF(Skills!E25=TRUE,Inputs!$B$33,0))),0)</f>
        <v/>
      </c>
      <c r="R521" t="n">
        <v>0</v>
      </c>
    </row>
    <row r="522">
      <c r="A522">
        <f>Skills!A26</f>
        <v/>
      </c>
      <c r="B522">
        <f>Skills!B26</f>
        <v/>
      </c>
      <c r="C522">
        <f>Inputs!$B$3&gt;=117</f>
        <v/>
      </c>
      <c r="D522">
        <f>IF(Skills!C26=1,60+Inputs!$B$26+Inputs!$B$30,IF(Skills!C26=2,90+Inputs!$B$27+Inputs!$B$30,IF(Skills!C26=3,120+Inputs!$B$28+Inputs!$B$30,MAX(0,(Inputs!$B$3-100)*3)+Inputs!$B$29+Inputs!$B$30)))</f>
        <v/>
      </c>
      <c r="E522">
        <f>INDEX(FactorTable!$B$2:$Y$301, MATCH(ROUND(MIN(300,MAX(1,D522)),0), FactorTable!$A$2:$A$301,0), Skills!L26+1)</f>
        <v/>
      </c>
      <c r="F522">
        <f>IF(Skills!M26=TRUE,(Skills!K26/10)*(E522/1000),Skills!K26/10)+Skills!N26</f>
        <v/>
      </c>
      <c r="G522">
        <f>Calc!G26</f>
        <v/>
      </c>
      <c r="H522">
        <f>Calc!H26</f>
        <v/>
      </c>
      <c r="I522">
        <f>IF(Skills!T26&lt;&gt;"",1+(Skills!T26/10)*($Z$3/1000)/100,1)</f>
        <v/>
      </c>
      <c r="J522" t="inlineStr"/>
      <c r="K522" t="inlineStr"/>
      <c r="L522" t="inlineStr"/>
      <c r="M522" t="inlineStr"/>
      <c r="N522" t="inlineStr"/>
      <c r="O522" t="n">
        <v>0</v>
      </c>
      <c r="P522">
        <f>IF(B536=0,0,O522/B536)</f>
        <v/>
      </c>
      <c r="Q522">
        <f>IFERROR(1/IF(Inputs!$B$39="pvp",15,MAX(0.1,Skills!D26-IF(Skills!E26=TRUE,Inputs!$B$33,0))),0)</f>
        <v/>
      </c>
      <c r="R522" t="n">
        <v>0</v>
      </c>
    </row>
    <row r="523">
      <c r="A523">
        <f>Skills!A27</f>
        <v/>
      </c>
      <c r="B523">
        <f>Skills!B27</f>
        <v/>
      </c>
      <c r="C523">
        <f>Inputs!$B$3&gt;=120</f>
        <v/>
      </c>
      <c r="D523">
        <f>IF(Skills!C27=1,60+Inputs!$B$26+Inputs!$B$30,IF(Skills!C27=2,90+Inputs!$B$27+Inputs!$B$30,IF(Skills!C27=3,120+Inputs!$B$28+Inputs!$B$30,MAX(0,(Inputs!$B$3-100)*3)+Inputs!$B$29+Inputs!$B$30)))</f>
        <v/>
      </c>
      <c r="E523">
        <f>INDEX(FactorTable!$B$2:$Y$301, MATCH(ROUND(MIN(300,MAX(1,D523)),0), FactorTable!$A$2:$A$301,0), Skills!L27+1)</f>
        <v/>
      </c>
      <c r="F523">
        <f>IF(Skills!M27=TRUE,(Skills!K27/10)*(E523/1000),Skills!K27/10)+Skills!N27</f>
        <v/>
      </c>
      <c r="G523">
        <f>Calc!G27</f>
        <v/>
      </c>
      <c r="H523">
        <f>Calc!H27</f>
        <v/>
      </c>
      <c r="I523">
        <f>IF(Skills!T27&lt;&gt;"",1+(Skills!T27/10)*($Z$3/1000)/100,1)</f>
        <v/>
      </c>
      <c r="J523" t="inlineStr"/>
      <c r="K523" t="inlineStr"/>
      <c r="L523" t="inlineStr"/>
      <c r="M523" t="inlineStr"/>
      <c r="N523" t="inlineStr"/>
      <c r="O523" t="n">
        <v>0</v>
      </c>
      <c r="P523">
        <f>IF(B536=0,0,O523/B536)</f>
        <v/>
      </c>
      <c r="Q523">
        <f>IFERROR(1/IF(Inputs!$B$39="pvp",15,MAX(0.1,Skills!D27-IF(Skills!E27=TRUE,Inputs!$B$33,0))),0)</f>
        <v/>
      </c>
      <c r="R523" t="n">
        <v>0</v>
      </c>
    </row>
    <row r="525">
      <c r="A525" t="inlineStr">
        <is>
          <t>Average Buff Multiplier</t>
        </is>
      </c>
      <c r="B525">
        <f>(1+(IF(C499=TRUE,F499*IF(AND(Inputs!$B$39&lt;&gt;"pvp",Inputs!$B$44&gt;0),(((R499-1)*(Skills!S3*(1+(Inputs!$B$35+IF(Inputs!$B$3&gt;=117,F522,0))/100))+MIN((Skills!S3*(1+(Inputs!$B$35+IF(Inputs!$B$3&gt;=117,F522,0))/100)),MAX(0,Inputs!$B$44-((R499-1)*Skills!D3))))/Inputs!$B$44),IF(Inputs!$B$39="pvp",MIN((Skills!S3*(1+(Inputs!$B$35+IF(Inputs!$B$3&gt;=117,F522,0))/100)),15)/15,(Skills!S3*(1+(Inputs!$B$35+IF(Inputs!$B$3&gt;=117,F522,0))/100))/Skills!D3)),0)+IF(C500=TRUE,F500*IF(AND(Inputs!$B$39&lt;&gt;"pvp",Inputs!$B$44&gt;0),(((R500-1)*(Skills!S4*(1+(Inputs!$B$35+IF(Inputs!$B$3&gt;=117,F522,0))/100))+MIN((Skills!S4*(1+(Inputs!$B$35+IF(Inputs!$B$3&gt;=117,F522,0))/100)),MAX(0,Inputs!$B$44-((R500-1)*Skills!D4))))/Inputs!$B$44),IF(Inputs!$B$39="pvp",MIN((Skills!S4*(1+(Inputs!$B$35+IF(Inputs!$B$3&gt;=117,F522,0))/100)),15)/15,(Skills!S4*(1+(Inputs!$B$35+IF(Inputs!$B$3&gt;=117,F522,0))/100))/Skills!D4)),0)+IF(C501=TRUE,F501*IF(AND(Inputs!$B$39&lt;&gt;"pvp",Inputs!$B$44&gt;0),(((R501-1)*(Skills!S5*(1+(Inputs!$B$35+IF(Inputs!$B$3&gt;=117,F522,0))/100))+MIN((Skills!S5*(1+(Inputs!$B$35+IF(Inputs!$B$3&gt;=117,F522,0))/100)),MAX(0,Inputs!$B$44-((R501-1)*Skills!D5))))/Inputs!$B$44),IF(Inputs!$B$39="pvp",MIN((Skills!S5*(1+(Inputs!$B$35+IF(Inputs!$B$3&gt;=117,F522,0))/100)),15)/15,(Skills!S5*(1+(Inputs!$B$35+IF(Inputs!$B$3&gt;=117,F522,0))/100))/Skills!D5)),0)+IF(C507=TRUE,F507*IF(AND(Inputs!$B$39&lt;&gt;"pvp",Inputs!$B$44&gt;0),(((R507-1)*(Skills!S11*(1+(Inputs!$B$35+IF(Inputs!$B$3&gt;=117,F522,0))/100))+MIN((Skills!S11*(1+(Inputs!$B$35+IF(Inputs!$B$3&gt;=117,F522,0))/100)),MAX(0,Inputs!$B$44-((R507-1)*Skills!D11))))/Inputs!$B$44),IF(Inputs!$B$39="pvp",MIN((Skills!S11*(1+(Inputs!$B$35+IF(Inputs!$B$3&gt;=117,F522,0))/100)),15)/15,(Skills!S11*(1+(Inputs!$B$35+IF(Inputs!$B$3&gt;=117,F522,0))/100))/Skills!D11)),0))/100)*IF(C510=TRUE,(1+F510*IF(AND(Inputs!$B$39&lt;&gt;"pvp",Inputs!$B$44&gt;0),(((R510-1)*(Skills!S14*(1+(Inputs!$B$35+IF(Inputs!$B$3&gt;=117,F522,0))/100))+MIN((Skills!S14*(1+(Inputs!$B$35+IF(Inputs!$B$3&gt;=117,F522,0))/100)),MAX(0,Inputs!$B$44-((R510-1)*Skills!D14))))/Inputs!$B$44),IF(Inputs!$B$39="pvp",MIN((Skills!S14*(1+(Inputs!$B$35+IF(Inputs!$B$3&gt;=117,F522,0))/100)),15)/15,(Skills!S14*(1+(Inputs!$B$35+IF(Inputs!$B$3&gt;=117,F522,0))/100))/Skills!D14))/100),1)*IF(C515=TRUE,(1+F515*IF(AND(Inputs!$B$39&lt;&gt;"pvp",Inputs!$B$44&gt;0),(((R515-1)*(Skills!S19*(1+(Inputs!$B$35+IF(Inputs!$B$3&gt;=117,F522,0))/100))+MIN((Skills!S19*(1+(Inputs!$B$35+IF(Inputs!$B$3&gt;=117,F522,0))/100)),MAX(0,Inputs!$B$44-((R515-1)*Skills!D19))))/Inputs!$B$44),IF(Inputs!$B$39="pvp",MIN((Skills!S19*(1+(Inputs!$B$35+IF(Inputs!$B$3&gt;=117,F522,0))/100)),15)/15,(Skills!S19*(1+(Inputs!$B$35+IF(Inputs!$B$3&gt;=117,F522,0))/100))/Skills!D19))/100),1)</f>
        <v/>
      </c>
    </row>
    <row r="526">
      <c r="A526" t="inlineStr">
        <is>
          <t>Monster Damage Taken Bonus % (Holy Fountain)</t>
        </is>
      </c>
      <c r="B526">
        <f>IF(Inputs!$B$3&gt;=68,20*IF(Inputs!$B$39="pvp",MIN((15*(1+(Inputs!$B$35+IF(Inputs!$B$3&gt;=117,F522,0))/100)),15)/15,(15*(1+(Inputs!$B$35+IF(Inputs!$B$3&gt;=117,F522,0))/100))/Skills!D10),0)</f>
        <v/>
      </c>
    </row>
    <row r="527">
      <c r="A527" t="inlineStr">
        <is>
          <t>Normal Monster Damage Bonus % (Holy Symbol)</t>
        </is>
      </c>
      <c r="B527">
        <f>IF(C508=TRUE,F508*IF(AND(Inputs!$B$39&lt;&gt;"pvp",Inputs!$B$44&gt;0),(((R508-1)*(Skills!S12*(1+(Inputs!$B$35+IF(Inputs!$B$3&gt;=117,F522,0))/100))+MIN((Skills!S12*(1+(Inputs!$B$35+IF(Inputs!$B$3&gt;=117,F522,0))/100)),MAX(0,Inputs!$B$44-((R508-1)*Skills!D12))))/Inputs!$B$44),IF(Inputs!$B$39="pvp",MIN((Skills!S12*(1+(Inputs!$B$35+IF(Inputs!$B$3&gt;=117,F522,0))/100)),15)/15,(Skills!S12*(1+(Inputs!$B$35+IF(Inputs!$B$3&gt;=117,F522,0))/100))/Skills!D12)),0)</f>
        <v/>
      </c>
    </row>
    <row r="528">
      <c r="A528" t="inlineStr">
        <is>
          <t>Damage % Bonus (Holy Symbol - Damage Boost)</t>
        </is>
      </c>
      <c r="B528">
        <f>Skills!O12</f>
        <v/>
      </c>
    </row>
    <row r="529">
      <c r="A529" t="inlineStr">
        <is>
          <t>Crit Damage % Bonus (Blood of the Divine)</t>
        </is>
      </c>
      <c r="B529">
        <f>4*IF(C516=TRUE,F516,0)</f>
        <v/>
      </c>
    </row>
    <row r="530">
      <c r="A530" t="inlineStr">
        <is>
          <t>Attack Speed Bonus %</t>
        </is>
      </c>
      <c r="B530">
        <f>IF(C513=TRUE,F513+(F517-Calc!F21),0)+IF(Inputs!$B$3&gt;=134,15,0)</f>
        <v/>
      </c>
    </row>
    <row r="531">
      <c r="A531" t="inlineStr">
        <is>
          <t>Actions Per Second</t>
        </is>
      </c>
      <c r="B531">
        <f>1+MIN(150,150*(1-(1-Inputs!$B$12/150)*(1-B530/150)))/100</f>
        <v/>
      </c>
    </row>
    <row r="532">
      <c r="A532" t="inlineStr">
        <is>
          <t>Skill + Buff Cast Rate</t>
        </is>
      </c>
      <c r="B532">
        <f>IF(AND(Inputs!$B$39&lt;&gt;"pvp",Inputs!$B$44&gt;0),SUMPRODUCT((Skills!E2:E27=TRUE)*(C498:C523=TRUE)*R498:R523)/Inputs!$B$44,SUMPRODUCT((Skills!E2:E27=TRUE)*(C498:C523=TRUE)*Q498:Q523))</f>
        <v/>
      </c>
    </row>
    <row r="533">
      <c r="A533" t="inlineStr">
        <is>
          <t>Big Bang Casts Per Second</t>
        </is>
      </c>
      <c r="B533">
        <f>MAX(0,B531-B532)</f>
        <v/>
      </c>
    </row>
    <row r="534">
      <c r="A534" t="inlineStr">
        <is>
          <t>Defense % Bonus (Divine Protection)</t>
        </is>
      </c>
      <c r="B534">
        <f>IF(C509=TRUE,F509*IF(AND(Inputs!$B$39&lt;&gt;"pvp",Inputs!$B$44&gt;0),(((R509-1)*(Skills!S13*(1+(Inputs!$B$35+IF(Inputs!$B$3&gt;=117,F522,0))/100))+MIN((Skills!S13*(1+(Inputs!$B$35+IF(Inputs!$B$3&gt;=117,F522,0))/100)),MAX(0,Inputs!$B$44-((R509-1)*Skills!D13))))/Inputs!$B$44),IF(Inputs!$B$39="pvp",MIN((Skills!S13*(1+(Inputs!$B$35+IF(Inputs!$B$3&gt;=117,F522,0))/100)),15)/15,(Skills!S13*(1+(Inputs!$B$35+IF(Inputs!$B$3&gt;=117,F522,0))/100))/Skills!D13)),0)</f>
        <v/>
      </c>
    </row>
    <row r="535">
      <c r="A535" t="inlineStr">
        <is>
          <t>Buff-Casting Startup Delay (s, fixed-duration only)</t>
        </is>
      </c>
      <c r="B535">
        <f>IF(AND(Inputs!$B$39&lt;&gt;"pvp",Inputs!$B$44&gt;0),SUMPRODUCT((Skills!S2:S27&gt;0)*(Skills!E2:E27=TRUE)*(C498:C523=TRUE))/B531,0)</f>
        <v/>
      </c>
    </row>
    <row r="536">
      <c r="A536" s="5" t="inlineStr">
        <is>
          <t>TOTAL DPS</t>
        </is>
      </c>
      <c r="B536" s="5">
        <f>SUM(O498:O523)</f>
        <v/>
      </c>
    </row>
    <row r="538">
      <c r="A538" s="5" t="inlineStr">
        <is>
          <t>Stat: CRIT_DAMAGE %</t>
        </is>
      </c>
    </row>
    <row r="539">
      <c r="A539" s="9" t="inlineStr">
        <is>
          <t>Key</t>
        </is>
      </c>
      <c r="B539" s="9" t="inlineStr">
        <is>
          <t>Name</t>
        </is>
      </c>
      <c r="C539" s="9" t="inlineStr">
        <is>
          <t>Unlocked</t>
        </is>
      </c>
      <c r="D539" s="9" t="inlineStr">
        <is>
          <t>InputLevel</t>
        </is>
      </c>
      <c r="E539" s="9" t="inlineStr">
        <is>
          <t>Factor</t>
        </is>
      </c>
      <c r="F539" s="9" t="inlineStr">
        <is>
          <t>CoefficientPercent</t>
        </is>
      </c>
      <c r="G539" s="9" t="inlineStr">
        <is>
          <t>EffectiveHits</t>
        </is>
      </c>
      <c r="H539" s="9" t="inlineStr">
        <is>
          <t>ProcProbability</t>
        </is>
      </c>
      <c r="I539" s="9" t="inlineStr">
        <is>
          <t>MapleHeroMultiplier</t>
        </is>
      </c>
      <c r="J539" s="9" t="inlineStr">
        <is>
          <t>BaseDamage</t>
        </is>
      </c>
      <c r="K539" s="9" t="inlineStr">
        <is>
          <t>BaseHitDamage</t>
        </is>
      </c>
      <c r="L539" s="9" t="inlineStr">
        <is>
          <t>NonCritAvg</t>
        </is>
      </c>
      <c r="M539" s="9" t="inlineStr">
        <is>
          <t>CritAvg</t>
        </is>
      </c>
      <c r="N539" s="9" t="inlineStr">
        <is>
          <t>ExpectedDamage(perHit)</t>
        </is>
      </c>
      <c r="O539" s="9" t="inlineStr">
        <is>
          <t>DPS</t>
        </is>
      </c>
      <c r="P539" s="9" t="inlineStr">
        <is>
          <t>% of Total</t>
        </is>
      </c>
      <c r="R539" t="inlineStr">
        <is>
          <t>helpers</t>
        </is>
      </c>
    </row>
    <row r="540">
      <c r="A540">
        <f>Skills!A2</f>
        <v/>
      </c>
      <c r="B540">
        <f>Skills!B2</f>
        <v/>
      </c>
      <c r="C540">
        <f>Inputs!$B$3&gt;=100</f>
        <v/>
      </c>
      <c r="D540" t="inlineStr"/>
      <c r="E540" t="inlineStr"/>
      <c r="F540">
        <f>T542+Skills!N2</f>
        <v/>
      </c>
      <c r="G540">
        <f>Calc!G2</f>
        <v/>
      </c>
      <c r="H540">
        <f>Calc!H2</f>
        <v/>
      </c>
      <c r="I540">
        <f>IF(Skills!T2&lt;&gt;"",1+(Skills!T2/10)*($Z$3/1000)/100,1)</f>
        <v/>
      </c>
      <c r="J540">
        <f>((Inputs!$B$6*(1+Inputs!$B$7/100))+(((Inputs!$B$13*(1+Inputs!$B$14/100))-(Inputs!$B$13*(1+Inputs!$B$14/100)))+0.25*(Inputs!$B$15-Inputs!$B$15))*(1+Inputs!$B$7/100))*(F540/100)</f>
        <v/>
      </c>
      <c r="K540">
        <f>J540*(1+(((Inputs!$B$13+IF(Inputs!$B$3&gt;=35,(10*INDEX(FactorTable!$B$2:$Y$301, MATCH(ROUND(MIN(300,MAX(1,Inputs!$B$3)),0), FactorTable!$A$2:$A$301,0), 23)/1000)/100*(Inputs!$B$8*(1+(Inputs!$B$9+B576)/100)),0))*(1+Inputs!$B$14/100))*0.01+Inputs!$B$15*0.0025)/100)*(1+(Inputs!$B$16+B570)/100)*(1+IF(Inputs!$B$39="pvp",0,(1-Summary!$B$48)*(Inputs!$B$21+Skills!O2+B568)+Summary!$B$48*(Inputs!$B$22+Skills!P2+B569))/100)*(1+Inputs!$B$17/100)*(5000/(6000+Inputs!$B$43*(1-Inputs!$B$20/100)))*(1+Inputs!$B$25/100)*(1+IF(C556=TRUE,F556,0)/100)*(1+IF(C558=TRUE,F558,0)/100)*(1+IF(Skills!A2="TRIUMPH_FEATHER",IF(C554=TRUE,F554,0),0)/100)*(1+IF(C565=TRUE,F565,0)/100)^5*(1+(IF(Skills!A2="BIG_BANG",Inputs!$B$18,Inputs!$B$19))/100)*(B567*I540)</f>
        <v/>
      </c>
      <c r="L540">
        <f>K540*(MIN(Inputs!$B$23+(F560-Calc!F22),Inputs!$B$24)/100+Inputs!$B$24/100)/2</f>
        <v/>
      </c>
      <c r="M540">
        <f>L540*(1+((Inputs!$B$11+1)+B571+(F563-Calc!F25))/100)</f>
        <v/>
      </c>
      <c r="N540">
        <f>L540*(1-MIN(Inputs!$B$10+((F562-Calc!F24)+(F561-Calc!F23)),100)/100)+M540*(MIN(Inputs!$B$10+((F562-Calc!F24)+(F561-Calc!F23)),100)/100)</f>
        <v/>
      </c>
      <c r="O540">
        <f>IF(C540,Skills!F2*N540*B575*IF(Inputs!$B$39="pvp",1,(1-Summary!$B$48)*(1)+Summary!$B$48*(MIN((6+Inputs!$B$34),Inputs!$B$38))),0)</f>
        <v/>
      </c>
      <c r="P540">
        <f>IF(B578=0,0,O540/B578)</f>
        <v/>
      </c>
      <c r="Q540">
        <f>IFERROR(1/IF(Inputs!$B$39="pvp",15,MAX(0.1,Skills!D2-IF(Skills!E2=TRUE,Inputs!$B$33,0))),0)</f>
        <v/>
      </c>
      <c r="R540" t="n">
        <v>0</v>
      </c>
      <c r="T540">
        <f>MAX(0,(Inputs!$B$3-100)*3)+Inputs!$B$29+Inputs!$B$30</f>
        <v/>
      </c>
    </row>
    <row r="541">
      <c r="A541">
        <f>Skills!A3</f>
        <v/>
      </c>
      <c r="B541">
        <f>Skills!B3</f>
        <v/>
      </c>
      <c r="C541">
        <f>Inputs!$B$3&gt;=15</f>
        <v/>
      </c>
      <c r="D541">
        <f>IF(Skills!C3=1,60+Inputs!$B$26+Inputs!$B$30,IF(Skills!C3=2,90+Inputs!$B$27+Inputs!$B$30,IF(Skills!C3=3,120+Inputs!$B$28+Inputs!$B$30,MAX(0,(Inputs!$B$3-100)*3)+Inputs!$B$29+Inputs!$B$30)))</f>
        <v/>
      </c>
      <c r="E541">
        <f>INDEX(FactorTable!$B$2:$Y$301, MATCH(ROUND(MIN(300,MAX(1,D541)),0), FactorTable!$A$2:$A$301,0), Skills!L3+1)</f>
        <v/>
      </c>
      <c r="F541">
        <f>IF(Skills!M3=TRUE,(Skills!K3/10)*(E541/1000),Skills!K3/10)+Skills!N3</f>
        <v/>
      </c>
      <c r="G541">
        <f>Calc!G3</f>
        <v/>
      </c>
      <c r="H541">
        <f>Calc!H3</f>
        <v/>
      </c>
      <c r="I541">
        <f>IF(Skills!T3&lt;&gt;"",1+(Skills!T3/10)*($Z$3/1000)/100,1)</f>
        <v/>
      </c>
      <c r="J541" t="inlineStr"/>
      <c r="K541" t="inlineStr"/>
      <c r="L541" t="inlineStr"/>
      <c r="M541" t="inlineStr"/>
      <c r="N541" t="inlineStr"/>
      <c r="O541" t="n">
        <v>0</v>
      </c>
      <c r="P541">
        <f>IF(B578=0,0,O541/B578)</f>
        <v/>
      </c>
      <c r="Q541">
        <f>IFERROR(1/IF(Inputs!$B$39="pvp",15,MAX(0.1,Skills!D3-IF(Skills!E3=TRUE,Inputs!$B$33,0))),0)</f>
        <v/>
      </c>
      <c r="R541">
        <f>IF(AND(Inputs!$B$39&lt;&gt;"pvp",Inputs!$B$44&gt;0),IF(Inputs!$B$44&lt;=0,0,(INT(Inputs!$B$44/IF(Inputs!$B$39="pvp",15,MAX(0.1,Skills!D3-IF(Skills!E3=TRUE,Inputs!$B$33,0))))+1)),0)</f>
        <v/>
      </c>
      <c r="T541">
        <f>INDEX(FactorTable!$B$2:$Y$301, MATCH(ROUND(MIN(300,MAX(1,T540)),0), FactorTable!$A$2:$A$301,0), 22)</f>
        <v/>
      </c>
    </row>
    <row r="542">
      <c r="A542">
        <f>Skills!A4</f>
        <v/>
      </c>
      <c r="B542">
        <f>Skills!B4</f>
        <v/>
      </c>
      <c r="C542">
        <f>Inputs!$B$3&gt;=38</f>
        <v/>
      </c>
      <c r="D542">
        <f>IF(Skills!C4=1,60+Inputs!$B$26+Inputs!$B$30,IF(Skills!C4=2,90+Inputs!$B$27+Inputs!$B$30,IF(Skills!C4=3,120+Inputs!$B$28+Inputs!$B$30,MAX(0,(Inputs!$B$3-100)*3)+Inputs!$B$29+Inputs!$B$30)))</f>
        <v/>
      </c>
      <c r="E542">
        <f>INDEX(FactorTable!$B$2:$Y$301, MATCH(ROUND(MIN(300,MAX(1,D542)),0), FactorTable!$A$2:$A$301,0), Skills!L4+1)</f>
        <v/>
      </c>
      <c r="F542">
        <f>IF(Skills!M4=TRUE,(Skills!K4/10)*(E542/1000),Skills!K4/10)+Skills!N4</f>
        <v/>
      </c>
      <c r="G542">
        <f>Calc!G4</f>
        <v/>
      </c>
      <c r="H542">
        <f>Calc!H4</f>
        <v/>
      </c>
      <c r="I542">
        <f>IF(Skills!T4&lt;&gt;"",1+(Skills!T4/10)*($Z$3/1000)/100,1)</f>
        <v/>
      </c>
      <c r="J542" t="inlineStr"/>
      <c r="K542" t="inlineStr"/>
      <c r="L542" t="inlineStr"/>
      <c r="M542" t="inlineStr"/>
      <c r="N542" t="inlineStr"/>
      <c r="O542" t="n">
        <v>0</v>
      </c>
      <c r="P542">
        <f>IF(B578=0,0,O542/B578)</f>
        <v/>
      </c>
      <c r="Q542">
        <f>IFERROR(1/IF(Inputs!$B$39="pvp",15,MAX(0.1,Skills!D4-IF(Skills!E4=TRUE,Inputs!$B$33,0))),0)</f>
        <v/>
      </c>
      <c r="R542">
        <f>IF(AND(Inputs!$B$39&lt;&gt;"pvp",Inputs!$B$44&gt;0),IF(Inputs!$B$44&lt;=0,0,(INT(Inputs!$B$44/IF(Inputs!$B$39="pvp",15,MAX(0.1,Skills!D4-IF(Skills!E4=TRUE,Inputs!$B$33,0))))+1)),0)</f>
        <v/>
      </c>
      <c r="T542">
        <f>290*T541/1000</f>
        <v/>
      </c>
    </row>
    <row r="543">
      <c r="A543">
        <f>Skills!A5</f>
        <v/>
      </c>
      <c r="B543">
        <f>Skills!B5</f>
        <v/>
      </c>
      <c r="C543">
        <f>Inputs!$B$3&gt;=40</f>
        <v/>
      </c>
      <c r="D543">
        <f>IF(Skills!C5=1,60+Inputs!$B$26+Inputs!$B$30,IF(Skills!C5=2,90+Inputs!$B$27+Inputs!$B$30,IF(Skills!C5=3,120+Inputs!$B$28+Inputs!$B$30,MAX(0,(Inputs!$B$3-100)*3)+Inputs!$B$29+Inputs!$B$30)))</f>
        <v/>
      </c>
      <c r="E543">
        <f>INDEX(FactorTable!$B$2:$Y$301, MATCH(ROUND(MIN(300,MAX(1,D543)),0), FactorTable!$A$2:$A$301,0), Skills!L5+1)</f>
        <v/>
      </c>
      <c r="F543">
        <f>IF(Skills!M5=TRUE,(Skills!K5/10)*(E543/1000),Skills!K5/10)+Skills!N5</f>
        <v/>
      </c>
      <c r="G543">
        <f>Calc!G5</f>
        <v/>
      </c>
      <c r="H543">
        <f>Calc!H5</f>
        <v/>
      </c>
      <c r="I543">
        <f>IF(Skills!T5&lt;&gt;"",1+(Skills!T5/10)*($Z$3/1000)/100,1)</f>
        <v/>
      </c>
      <c r="J543" t="inlineStr"/>
      <c r="K543" t="inlineStr"/>
      <c r="L543" t="inlineStr"/>
      <c r="M543" t="inlineStr"/>
      <c r="N543" t="inlineStr"/>
      <c r="O543" t="n">
        <v>0</v>
      </c>
      <c r="P543">
        <f>IF(B578=0,0,O543/B578)</f>
        <v/>
      </c>
      <c r="Q543">
        <f>IFERROR(1/IF(Inputs!$B$39="pvp",15,MAX(0.1,Skills!D5-IF(Skills!E5=TRUE,Inputs!$B$33,0))),0)</f>
        <v/>
      </c>
      <c r="R543">
        <f>IF(AND(Inputs!$B$39&lt;&gt;"pvp",Inputs!$B$44&gt;0),IF(Inputs!$B$44&lt;=0,0,(INT(Inputs!$B$44/IF(Inputs!$B$39="pvp",15,MAX(0.1,Skills!D5-IF(Skills!E5=TRUE,Inputs!$B$33,0))))+1)),0)</f>
        <v/>
      </c>
    </row>
    <row r="544">
      <c r="A544">
        <f>Skills!A6</f>
        <v/>
      </c>
      <c r="B544">
        <f>Skills!B6</f>
        <v/>
      </c>
      <c r="C544">
        <f>Inputs!$B$3&gt;=103</f>
        <v/>
      </c>
      <c r="D544">
        <f>IF(Skills!C6=1,60+Inputs!$B$26+Inputs!$B$30,IF(Skills!C6=2,90+Inputs!$B$27+Inputs!$B$30,IF(Skills!C6=3,120+Inputs!$B$28+Inputs!$B$30,MAX(0,(Inputs!$B$3-100)*3)+Inputs!$B$29+Inputs!$B$30)))</f>
        <v/>
      </c>
      <c r="E544">
        <f>INDEX(FactorTable!$B$2:$Y$301, MATCH(ROUND(MIN(300,MAX(1,D544)),0), FactorTable!$A$2:$A$301,0), Skills!L6+1)</f>
        <v/>
      </c>
      <c r="F544">
        <f>IF(Skills!M6=TRUE,(Skills!K6/10)*(E544/1000),Skills!K6/10)+Skills!N6</f>
        <v/>
      </c>
      <c r="G544">
        <f>Calc!G6</f>
        <v/>
      </c>
      <c r="H544">
        <f>Calc!H6</f>
        <v/>
      </c>
      <c r="I544">
        <f>IF(Skills!T6&lt;&gt;"",1+(Skills!T6/10)*($Z$3/1000)/100,1)</f>
        <v/>
      </c>
      <c r="J544">
        <f>((Inputs!$B$6*(1+Inputs!$B$7/100))+(((Inputs!$B$13*(1+Inputs!$B$14/100))-(Inputs!$B$13*(1+Inputs!$B$14/100)))+0.25*(Inputs!$B$15-Inputs!$B$15))*(1+Inputs!$B$7/100))*(F544/100)</f>
        <v/>
      </c>
      <c r="K544">
        <f>J544*(1+(((Inputs!$B$13+IF(Inputs!$B$3&gt;=35,(10*INDEX(FactorTable!$B$2:$Y$301, MATCH(ROUND(MIN(300,MAX(1,Inputs!$B$3)),0), FactorTable!$A$2:$A$301,0), 23)/1000)/100*(Inputs!$B$8*(1+(Inputs!$B$9+B576)/100)),0))*(1+Inputs!$B$14/100))*0.01+Inputs!$B$15*0.0025)/100)*(1+(Inputs!$B$16+B570)/100)*(1+IF(Inputs!$B$39="pvp",0,(1-Summary!$B$48)*(Inputs!$B$21+Skills!O6+B568)+Summary!$B$48*(Inputs!$B$22+Skills!P6+B569))/100)*(1+Inputs!$B$17/100)*(5000/(6000+Inputs!$B$43*(1-Inputs!$B$20/100)))*(1+Inputs!$B$25/100)*(1+IF(C556=TRUE,F556,0)/100)*(1+IF(C558=TRUE,F558,0)/100)*(1+IF(Skills!A6="TRIUMPH_FEATHER",IF(C554=TRUE,F554,0),0)/100)*(1+IF(C565=TRUE,F565,0)/100)^5*(1+(IF(Skills!A6="BIG_BANG",Inputs!$B$18,Inputs!$B$19))/100)*(B567*I544)</f>
        <v/>
      </c>
      <c r="L544">
        <f>K544*(MIN(Inputs!$B$23+(F560-Calc!F22),Inputs!$B$24)/100+Inputs!$B$24/100)/2</f>
        <v/>
      </c>
      <c r="M544">
        <f>L544*(1+((Inputs!$B$11+1)+B571+(F563-Calc!F25))/100)</f>
        <v/>
      </c>
      <c r="N544">
        <f>L544*(1-MIN(Inputs!$B$10+((F562-Calc!F24)+(F561-Calc!F23)),100)/100)+M544*(MIN(Inputs!$B$10+((F562-Calc!F24)+(F561-Calc!F23)),100)/100)</f>
        <v/>
      </c>
      <c r="O544">
        <f>IF(C544,H544*N544*IF(AND(Inputs!$B$39&lt;&gt;"pvp",Inputs!$B$44&gt;0),((Skills!F6*((R544-1)*IF(Skills!G6&gt;0,Skills!H6/Skills!G6,1)+IF(Skills!G6&gt;0,MIN(Skills!H6,MAX(0,MAX(0,Inputs!$B$44-B577)-((R544-1)*IF(Inputs!$B$39="pvp",15,MAX(0.1,Skills!D6-IF(Skills!E6=TRUE,Inputs!$B$33,0))))))/Skills!G6,1)))/Inputs!$B$44),G544*Q544)*IF(Inputs!$B$39="pvp",1,(1-Summary!$B$48)*(1)+Summary!$B$48*(MIN(Skills!Q6,Inputs!$B$38))),0)</f>
        <v/>
      </c>
      <c r="P544">
        <f>IF(B578=0,0,O544/B578)</f>
        <v/>
      </c>
      <c r="Q544">
        <f>IFERROR(1/IF(Inputs!$B$39="pvp",15,MAX(0.1,Skills!D6-IF(Skills!E6=TRUE,Inputs!$B$33,0))),0)</f>
        <v/>
      </c>
      <c r="R544">
        <f>IF(AND(Inputs!$B$39&lt;&gt;"pvp",Inputs!$B$44&gt;0),IF(MAX(0,Inputs!$B$44-B577)&lt;=0,0,(INT(MAX(0,Inputs!$B$44-B577)/IF(Inputs!$B$39="pvp",15,MAX(0.1,Skills!D6-IF(Skills!E6=TRUE,Inputs!$B$33,0))))+1)),0)</f>
        <v/>
      </c>
    </row>
    <row r="545">
      <c r="A545">
        <f>Skills!A7</f>
        <v/>
      </c>
      <c r="B545">
        <f>Skills!B7</f>
        <v/>
      </c>
      <c r="C545">
        <f>Inputs!$B$3&gt;=122</f>
        <v/>
      </c>
      <c r="D545">
        <f>IF(Skills!C7=1,60+Inputs!$B$26+Inputs!$B$30,IF(Skills!C7=2,90+Inputs!$B$27+Inputs!$B$30,IF(Skills!C7=3,120+Inputs!$B$28+Inputs!$B$30,MAX(0,(Inputs!$B$3-100)*3)+Inputs!$B$29+Inputs!$B$30)))</f>
        <v/>
      </c>
      <c r="E545">
        <f>INDEX(FactorTable!$B$2:$Y$301, MATCH(ROUND(MIN(300,MAX(1,D545)),0), FactorTable!$A$2:$A$301,0), Skills!L7+1)</f>
        <v/>
      </c>
      <c r="F545">
        <f>IF(Skills!M7=TRUE,(Skills!K7/10)*(E545/1000),Skills!K7/10)+Skills!N7</f>
        <v/>
      </c>
      <c r="G545">
        <f>Calc!G7</f>
        <v/>
      </c>
      <c r="H545">
        <f>Calc!H7</f>
        <v/>
      </c>
      <c r="I545">
        <f>IF(Skills!T7&lt;&gt;"",1+(Skills!T7/10)*($Z$3/1000)/100,1)</f>
        <v/>
      </c>
      <c r="J545">
        <f>((Inputs!$B$6*(1+Inputs!$B$7/100))+(((Inputs!$B$13*(1+Inputs!$B$14/100))-(Inputs!$B$13*(1+Inputs!$B$14/100)))+0.25*(Inputs!$B$15-Inputs!$B$15))*(1+Inputs!$B$7/100))*(F545/100)</f>
        <v/>
      </c>
      <c r="K545">
        <f>J545*(1+(((Inputs!$B$13+IF(Inputs!$B$3&gt;=35,(10*INDEX(FactorTable!$B$2:$Y$301, MATCH(ROUND(MIN(300,MAX(1,Inputs!$B$3)),0), FactorTable!$A$2:$A$301,0), 23)/1000)/100*(Inputs!$B$8*(1+(Inputs!$B$9+B576)/100)),0))*(1+Inputs!$B$14/100))*0.01+Inputs!$B$15*0.0025)/100)*(1+(Inputs!$B$16+B570)/100)*(1+IF(Inputs!$B$39="pvp",0,(1-Summary!$B$48)*(Inputs!$B$21+Skills!O7+B568)+Summary!$B$48*(Inputs!$B$22+Skills!P7+B569))/100)*(1+Inputs!$B$17/100)*(5000/(6000+Inputs!$B$43*(1-Inputs!$B$20/100)))*(1+Inputs!$B$25/100)*(1+IF(C556=TRUE,F556,0)/100)*(1+IF(C558=TRUE,F558,0)/100)*(1+IF(Skills!A7="TRIUMPH_FEATHER",IF(C554=TRUE,F554,0),0)/100)*(1+IF(C565=TRUE,F565,0)/100)^5*(1+(IF(Skills!A7="BIG_BANG",Inputs!$B$18,Inputs!$B$19))/100)*(B567*I545)</f>
        <v/>
      </c>
      <c r="L545">
        <f>K545*(MIN(Inputs!$B$23+(F560-Calc!F22),Inputs!$B$24)/100+Inputs!$B$24/100)/2</f>
        <v/>
      </c>
      <c r="M545">
        <f>L545*(1+((Inputs!$B$11+1)+B571+(F563-Calc!F25))/100)</f>
        <v/>
      </c>
      <c r="N545">
        <f>L545*(1-MIN(Inputs!$B$10+((F562-Calc!F24)+(F561-Calc!F23)),100)/100)+M545*(MIN(Inputs!$B$10+((F562-Calc!F24)+(F561-Calc!F23)),100)/100)</f>
        <v/>
      </c>
      <c r="O545">
        <f>IF(C545,H545*N545*IF(AND(Inputs!$B$39&lt;&gt;"pvp",Inputs!$B$44&gt;0),((Skills!F7*((R545-1)*IF(Skills!G7&gt;0,Skills!H7/Skills!G7,1)+IF(Skills!G7&gt;0,MIN(Skills!H7,MAX(0,MAX(0,Inputs!$B$44-B577)-((R545-1)*IF(Inputs!$B$39="pvp",15,MAX(0.1,Skills!D7-IF(Skills!E6=TRUE,Inputs!$B$33,0))))))/Skills!G7,1)))/Inputs!$B$44),G545*Q545)*(1-Summary!$B$48),0)</f>
        <v/>
      </c>
      <c r="P545">
        <f>IF(B578=0,0,O545/B578)</f>
        <v/>
      </c>
      <c r="Q545">
        <f>IFERROR(1/IF(Inputs!$B$39="pvp",15,MAX(0.1,Skills!D7-IF(Skills!E6=TRUE,Inputs!$B$33,0))),0)</f>
        <v/>
      </c>
      <c r="R545">
        <f>IF(AND(Inputs!$B$39&lt;&gt;"pvp",Inputs!$B$44&gt;0),IF(MAX(0,Inputs!$B$44-B577)&lt;=0,0,(INT(MAX(0,Inputs!$B$44-B577)/IF(Inputs!$B$39="pvp",15,MAX(0.1,Skills!D7-IF(Skills!E6=TRUE,Inputs!$B$33,0))))+1)),0)</f>
        <v/>
      </c>
    </row>
    <row r="546">
      <c r="A546">
        <f>Skills!A8</f>
        <v/>
      </c>
      <c r="B546">
        <f>Skills!B8</f>
        <v/>
      </c>
      <c r="C546">
        <f>Inputs!$B$3&gt;=105</f>
        <v/>
      </c>
      <c r="D546">
        <f>IF(Skills!C8=1,60+Inputs!$B$26+Inputs!$B$30,IF(Skills!C8=2,90+Inputs!$B$27+Inputs!$B$30,IF(Skills!C8=3,120+Inputs!$B$28+Inputs!$B$30,MAX(0,(Inputs!$B$3-100)*3)+Inputs!$B$29+Inputs!$B$30)))</f>
        <v/>
      </c>
      <c r="E546">
        <f>INDEX(FactorTable!$B$2:$Y$301, MATCH(ROUND(MIN(300,MAX(1,D546)),0), FactorTable!$A$2:$A$301,0), Skills!L8+1)</f>
        <v/>
      </c>
      <c r="F546">
        <f>IF(Skills!M8=TRUE,(Skills!K8/10)*(E546/1000),Skills!K8/10)+Skills!N8</f>
        <v/>
      </c>
      <c r="G546">
        <f>Calc!G8</f>
        <v/>
      </c>
      <c r="H546">
        <f>Calc!H8</f>
        <v/>
      </c>
      <c r="I546">
        <f>IF(Skills!T8&lt;&gt;"",1+(Skills!T8/10)*($Z$3/1000)/100,1)</f>
        <v/>
      </c>
      <c r="J546">
        <f>((Inputs!$B$6*(1+Inputs!$B$7/100))+(((Inputs!$B$13*(1+Inputs!$B$14/100))-(Inputs!$B$13*(1+Inputs!$B$14/100)))+0.25*(Inputs!$B$15-Inputs!$B$15))*(1+Inputs!$B$7/100))*(F546/100)</f>
        <v/>
      </c>
      <c r="K546">
        <f>J546*(1+(((Inputs!$B$13+IF(Inputs!$B$3&gt;=35,(10*INDEX(FactorTable!$B$2:$Y$301, MATCH(ROUND(MIN(300,MAX(1,Inputs!$B$3)),0), FactorTable!$A$2:$A$301,0), 23)/1000)/100*(Inputs!$B$8*(1+(Inputs!$B$9+B576)/100)),0))*(1+Inputs!$B$14/100))*0.01+Inputs!$B$15*0.0025)/100)*(1+(Inputs!$B$16+B570)/100)*(1+IF(Inputs!$B$39="pvp",0,(1-Summary!$B$48)*(Inputs!$B$21+Skills!O8+B568)+Summary!$B$48*(Inputs!$B$22+Skills!P8+B569))/100)*(1+Inputs!$B$17/100)*(5000/(6000+Inputs!$B$43*(1-Inputs!$B$20/100)))*(1+Inputs!$B$25/100)*(1+IF(C556=TRUE,F556,0)/100)*(1+IF(C558=TRUE,F558,0)/100)*(1+IF(Skills!A8="TRIUMPH_FEATHER",IF(C554=TRUE,F554,0),0)/100)*(1+IF(C565=TRUE,F565,0)/100)^5*(1+(IF(Skills!A8="BIG_BANG",Inputs!$B$18,Inputs!$B$19))/100)*(B567*I546)</f>
        <v/>
      </c>
      <c r="L546">
        <f>K546*(MIN(Inputs!$B$23+(F560-Calc!F22),Inputs!$B$24)/100+Inputs!$B$24/100)/2</f>
        <v/>
      </c>
      <c r="M546">
        <f>L546*(1+((Inputs!$B$11+1)+B571+(F563-Calc!F25))/100)</f>
        <v/>
      </c>
      <c r="N546">
        <f>L546*(1-MIN(Inputs!$B$10+((F562-Calc!F24)+(F561-Calc!F23)),100)/100)+M546*(MIN(Inputs!$B$10+((F562-Calc!F24)+(F561-Calc!F23)),100)/100)</f>
        <v/>
      </c>
      <c r="O546">
        <f>IF(C546,H546*N546*IF(AND(Inputs!$B$39&lt;&gt;"pvp",Inputs!$B$44&gt;0),((Skills!F8*((R546-1)*IF(Skills!G8&gt;0,Skills!H8/Skills!G8,1)+IF(Skills!G8&gt;0,MIN(Skills!H8,MAX(0,MAX(0,Inputs!$B$44-B577)-((R546-1)*IF(Inputs!$B$39="pvp",15,MAX(0.1,Skills!D8-IF(Skills!E8=TRUE,Inputs!$B$33,0))))))/Skills!G8,1)))/Inputs!$B$44),G546*Q546)*IF(Inputs!$B$39="pvp",1,(1-Summary!$B$48)*(1)+Summary!$B$48*(MIN(Skills!Q8,Inputs!$B$38))),0)</f>
        <v/>
      </c>
      <c r="P546">
        <f>IF(B578=0,0,O546/B578)</f>
        <v/>
      </c>
      <c r="Q546">
        <f>IFERROR(1/IF(Inputs!$B$39="pvp",15,MAX(0.1,Skills!D8-IF(Skills!E8=TRUE,Inputs!$B$33,0))),0)</f>
        <v/>
      </c>
      <c r="R546">
        <f>IF(AND(Inputs!$B$39&lt;&gt;"pvp",Inputs!$B$44&gt;0),IF(MAX(0,Inputs!$B$44-B577)&lt;=0,0,(INT(MAX(0,Inputs!$B$44-B577)/IF(Inputs!$B$39="pvp",15,MAX(0.1,Skills!D8-IF(Skills!E8=TRUE,Inputs!$B$33,0))))+1)),0)</f>
        <v/>
      </c>
    </row>
    <row r="547">
      <c r="A547">
        <f>Skills!A9</f>
        <v/>
      </c>
      <c r="B547">
        <f>Skills!B9</f>
        <v/>
      </c>
      <c r="C547">
        <f>Inputs!$B$3&gt;=115</f>
        <v/>
      </c>
      <c r="D547">
        <f>IF(Skills!C9=1,60+Inputs!$B$26+Inputs!$B$30,IF(Skills!C9=2,90+Inputs!$B$27+Inputs!$B$30,IF(Skills!C9=3,120+Inputs!$B$28+Inputs!$B$30,MAX(0,(Inputs!$B$3-100)*3)+Inputs!$B$29+Inputs!$B$30)))</f>
        <v/>
      </c>
      <c r="E547">
        <f>INDEX(FactorTable!$B$2:$Y$301, MATCH(ROUND(MIN(300,MAX(1,D547)),0), FactorTable!$A$2:$A$301,0), Skills!L9+1)</f>
        <v/>
      </c>
      <c r="F547">
        <f>IF(Skills!M9=TRUE,(Skills!K9/10)*(E547/1000),Skills!K9/10)+Skills!N9</f>
        <v/>
      </c>
      <c r="G547">
        <f>Calc!G9</f>
        <v/>
      </c>
      <c r="H547">
        <f>Calc!H9</f>
        <v/>
      </c>
      <c r="I547">
        <f>IF(Skills!T9&lt;&gt;"",1+(Skills!T9/10)*($Z$3/1000)/100,1)</f>
        <v/>
      </c>
      <c r="J547">
        <f>((Inputs!$B$6*(1+Inputs!$B$7/100))+(((Inputs!$B$13*(1+Inputs!$B$14/100))-(Inputs!$B$13*(1+Inputs!$B$14/100)))+0.25*(Inputs!$B$15-Inputs!$B$15))*(1+Inputs!$B$7/100))*(F547/100)</f>
        <v/>
      </c>
      <c r="K547">
        <f>J547*(1+(((Inputs!$B$13+IF(Inputs!$B$3&gt;=35,(10*INDEX(FactorTable!$B$2:$Y$301, MATCH(ROUND(MIN(300,MAX(1,Inputs!$B$3)),0), FactorTable!$A$2:$A$301,0), 23)/1000)/100*(Inputs!$B$8*(1+(Inputs!$B$9+B576)/100)),0))*(1+Inputs!$B$14/100))*0.01+Inputs!$B$15*0.0025)/100)*(1+(Inputs!$B$16+B570)/100)*(1+IF(Inputs!$B$39="pvp",0,(1-Summary!$B$48)*(Inputs!$B$21+Skills!O9+B568)+Summary!$B$48*(Inputs!$B$22+Skills!P9+B569))/100)*(1+Inputs!$B$17/100)*(5000/(6000+Inputs!$B$43*(1-Inputs!$B$20/100)))*(1+Inputs!$B$25/100)*(1+IF(C556=TRUE,F556,0)/100)*(1+IF(C558=TRUE,F558,0)/100)*(1+IF(Skills!A9="TRIUMPH_FEATHER",IF(C554=TRUE,F554,0),0)/100)*(1+IF(C565=TRUE,F565,0)/100)^5*(1+(IF(Skills!A9="BIG_BANG",Inputs!$B$18,Inputs!$B$19))/100)*(B567*I547)</f>
        <v/>
      </c>
      <c r="L547">
        <f>K547*(MIN(Inputs!$B$23+(F560-Calc!F22),Inputs!$B$24)/100+Inputs!$B$24/100)/2</f>
        <v/>
      </c>
      <c r="M547">
        <f>L547*(1+((Inputs!$B$11+1)+B571+(F563-Calc!F25))/100)</f>
        <v/>
      </c>
      <c r="N547">
        <f>L547*(1-MIN(Inputs!$B$10+((F562-Calc!F24)+(F561-Calc!F23)),100)/100)+M547*(MIN(Inputs!$B$10+((F562-Calc!F24)+(F561-Calc!F23)),100)/100)</f>
        <v/>
      </c>
      <c r="O547">
        <f>IF(C547,H547*N547*IF(AND(Inputs!$B$39&lt;&gt;"pvp",Inputs!$B$44&gt;0),((Skills!F9*((R547-1)*IF(Skills!G9&gt;0,Skills!H9/Skills!G9,1)+IF(Skills!G9&gt;0,MIN(Skills!H9,MAX(0,MAX(0,Inputs!$B$44-B577)-((R547-1)*IF(Inputs!$B$39="pvp",15,MAX(0.1,Skills!D9-IF(Skills!E9=TRUE,Inputs!$B$33,0))))))/Skills!G9,1)))/Inputs!$B$44),G547*Q547)*IF(Inputs!$B$39="pvp",1,(1-Summary!$B$48)*(1)+Summary!$B$48*(MIN(Skills!Q9,Inputs!$B$38))),0)</f>
        <v/>
      </c>
      <c r="P547">
        <f>IF(B578=0,0,O547/B578)</f>
        <v/>
      </c>
      <c r="Q547">
        <f>IFERROR(1/IF(Inputs!$B$39="pvp",15,MAX(0.1,Skills!D9-IF(Skills!E9=TRUE,Inputs!$B$33,0))),0)</f>
        <v/>
      </c>
      <c r="R547">
        <f>IF(AND(Inputs!$B$39&lt;&gt;"pvp",Inputs!$B$44&gt;0),IF(MAX(0,Inputs!$B$44-B577)&lt;=0,0,(INT(MAX(0,Inputs!$B$44-B577)/IF(Inputs!$B$39="pvp",15,MAX(0.1,Skills!D9-IF(Skills!E9=TRUE,Inputs!$B$33,0))))+1)),0)</f>
        <v/>
      </c>
    </row>
    <row r="548">
      <c r="A548">
        <f>Skills!A10</f>
        <v/>
      </c>
      <c r="B548">
        <f>Skills!B10</f>
        <v/>
      </c>
      <c r="C548">
        <f>Inputs!$B$3&gt;=66</f>
        <v/>
      </c>
      <c r="D548">
        <f>IF(Skills!C10=1,60+Inputs!$B$26+Inputs!$B$30,IF(Skills!C10=2,90+Inputs!$B$27+Inputs!$B$30,IF(Skills!C10=3,120+Inputs!$B$28+Inputs!$B$30,MAX(0,(Inputs!$B$3-100)*3)+Inputs!$B$29+Inputs!$B$30)))</f>
        <v/>
      </c>
      <c r="E548">
        <f>INDEX(FactorTable!$B$2:$Y$301, MATCH(ROUND(MIN(300,MAX(1,D548)),0), FactorTable!$A$2:$A$301,0), Skills!L10+1)</f>
        <v/>
      </c>
      <c r="F548" t="n">
        <v>0</v>
      </c>
      <c r="G548">
        <f>Calc!G10</f>
        <v/>
      </c>
      <c r="H548">
        <f>Calc!H10</f>
        <v/>
      </c>
      <c r="I548">
        <f>IF(Skills!T10&lt;&gt;"",1+(Skills!T10/10)*($Z$3/1000)/100,1)</f>
        <v/>
      </c>
      <c r="J548" t="inlineStr"/>
      <c r="K548" t="inlineStr"/>
      <c r="L548" t="inlineStr"/>
      <c r="M548" t="inlineStr"/>
      <c r="N548" t="inlineStr"/>
      <c r="O548" t="n">
        <v>0</v>
      </c>
      <c r="P548">
        <f>IF(B578=0,0,O548/B578)</f>
        <v/>
      </c>
      <c r="Q548">
        <f>IFERROR(1/IF(Inputs!$B$39="pvp",15,MAX(0.1,Skills!D10-IF(Skills!E10=TRUE,Inputs!$B$33,0))),0)</f>
        <v/>
      </c>
      <c r="R548">
        <f>IF(AND(Inputs!$B$39&lt;&gt;"pvp",Inputs!$B$44&gt;0),IF(MAX(0,Inputs!$B$44-B577)&lt;=0,0,(INT(MAX(0,Inputs!$B$44-B577)/IF(Inputs!$B$39="pvp",15,MAX(0.1,Skills!D10-IF(Skills!E10=TRUE,Inputs!$B$33,0))))+1)),0)</f>
        <v/>
      </c>
    </row>
    <row r="549">
      <c r="A549">
        <f>Skills!A11</f>
        <v/>
      </c>
      <c r="B549">
        <f>Skills!B11</f>
        <v/>
      </c>
      <c r="C549">
        <f>Inputs!$B$3&gt;=69</f>
        <v/>
      </c>
      <c r="D549">
        <f>IF(Skills!C11=1,60+Inputs!$B$26+Inputs!$B$30,IF(Skills!C11=2,90+Inputs!$B$27+Inputs!$B$30,IF(Skills!C11=3,120+Inputs!$B$28+Inputs!$B$30,MAX(0,(Inputs!$B$3-100)*3)+Inputs!$B$29+Inputs!$B$30)))</f>
        <v/>
      </c>
      <c r="E549">
        <f>INDEX(FactorTable!$B$2:$Y$301, MATCH(ROUND(MIN(300,MAX(1,D549)),0), FactorTable!$A$2:$A$301,0), Skills!L11+1)</f>
        <v/>
      </c>
      <c r="F549">
        <f>IF(Skills!M11=TRUE,(Skills!K11/10)*(E549/1000),Skills!K11/10)+Skills!N11</f>
        <v/>
      </c>
      <c r="G549">
        <f>Calc!G11</f>
        <v/>
      </c>
      <c r="H549">
        <f>Calc!H11</f>
        <v/>
      </c>
      <c r="I549">
        <f>IF(Skills!T11&lt;&gt;"",1+(Skills!T11/10)*($Z$3/1000)/100,1)</f>
        <v/>
      </c>
      <c r="J549" t="inlineStr"/>
      <c r="K549" t="inlineStr"/>
      <c r="L549" t="inlineStr"/>
      <c r="M549" t="inlineStr"/>
      <c r="N549" t="inlineStr"/>
      <c r="O549" t="n">
        <v>0</v>
      </c>
      <c r="P549">
        <f>IF(B578=0,0,O549/B578)</f>
        <v/>
      </c>
      <c r="Q549">
        <f>IFERROR(1/IF(Inputs!$B$39="pvp",15,MAX(0.1,Skills!D11-IF(Skills!E11=TRUE,Inputs!$B$33,0))),0)</f>
        <v/>
      </c>
      <c r="R549">
        <f>IF(AND(Inputs!$B$39&lt;&gt;"pvp",Inputs!$B$44&gt;0),IF(Inputs!$B$44&lt;=0,0,(INT(Inputs!$B$44/IF(Inputs!$B$39="pvp",15,MAX(0.1,Skills!D11-IF(Skills!E11=TRUE,Inputs!$B$33,0))))+1)),0)</f>
        <v/>
      </c>
    </row>
    <row r="550">
      <c r="A550">
        <f>Skills!A12</f>
        <v/>
      </c>
      <c r="B550">
        <f>Skills!B12</f>
        <v/>
      </c>
      <c r="C550">
        <f>Inputs!$B$3&gt;=72</f>
        <v/>
      </c>
      <c r="D550">
        <f>IF(Skills!C12=1,60+Inputs!$B$26+Inputs!$B$30,IF(Skills!C12=2,90+Inputs!$B$27+Inputs!$B$30,IF(Skills!C12=3,120+Inputs!$B$28+Inputs!$B$30,MAX(0,(Inputs!$B$3-100)*3)+Inputs!$B$29+Inputs!$B$30)))</f>
        <v/>
      </c>
      <c r="E550">
        <f>INDEX(FactorTable!$B$2:$Y$301, MATCH(ROUND(MIN(300,MAX(1,D550)),0), FactorTable!$A$2:$A$301,0), Skills!L12+1)</f>
        <v/>
      </c>
      <c r="F550">
        <f>IF(Skills!M12=TRUE,(Skills!K12/10)*(E550/1000),Skills!K12/10)+Skills!N12</f>
        <v/>
      </c>
      <c r="G550">
        <f>Calc!G12</f>
        <v/>
      </c>
      <c r="H550">
        <f>Calc!H12</f>
        <v/>
      </c>
      <c r="I550">
        <f>IF(Skills!T12&lt;&gt;"",1+(Skills!T12/10)*($Z$3/1000)/100,1)</f>
        <v/>
      </c>
      <c r="J550" t="inlineStr"/>
      <c r="K550" t="inlineStr"/>
      <c r="L550" t="inlineStr"/>
      <c r="M550" t="inlineStr"/>
      <c r="N550" t="inlineStr"/>
      <c r="O550" t="n">
        <v>0</v>
      </c>
      <c r="P550">
        <f>IF(B578=0,0,O550/B578)</f>
        <v/>
      </c>
      <c r="Q550">
        <f>IFERROR(1/IF(Inputs!$B$39="pvp",15,MAX(0.1,Skills!D12-IF(Skills!E12=TRUE,Inputs!$B$33,0))),0)</f>
        <v/>
      </c>
      <c r="R550">
        <f>IF(AND(Inputs!$B$39&lt;&gt;"pvp",Inputs!$B$44&gt;0),IF(MAX(0,Inputs!$B$44-B577)&lt;=0,0,(INT(MAX(0,Inputs!$B$44-B577)/IF(Inputs!$B$39="pvp",15,MAX(0.1,Skills!D12-IF(Skills!E12=TRUE,Inputs!$B$33,0))))+1)),0)</f>
        <v/>
      </c>
    </row>
    <row r="551">
      <c r="A551">
        <f>Skills!A13</f>
        <v/>
      </c>
      <c r="B551">
        <f>Skills!B13</f>
        <v/>
      </c>
      <c r="C551">
        <f>Inputs!$B$3&gt;=60</f>
        <v/>
      </c>
      <c r="D551">
        <f>IF(Skills!C13=1,60+Inputs!$B$26+Inputs!$B$30,IF(Skills!C13=2,90+Inputs!$B$27+Inputs!$B$30,IF(Skills!C13=3,120+Inputs!$B$28+Inputs!$B$30,MAX(0,(Inputs!$B$3-100)*3)+Inputs!$B$29+Inputs!$B$30)))</f>
        <v/>
      </c>
      <c r="E551">
        <f>INDEX(FactorTable!$B$2:$Y$301, MATCH(ROUND(MIN(300,MAX(1,D551)),0), FactorTable!$A$2:$A$301,0), Skills!L13+1)</f>
        <v/>
      </c>
      <c r="F551">
        <f>IF(Skills!M13=TRUE,(Skills!K13/10)*(E551/1000),Skills!K13/10)+Skills!N13</f>
        <v/>
      </c>
      <c r="G551">
        <f>Calc!G13</f>
        <v/>
      </c>
      <c r="H551">
        <f>Calc!H13</f>
        <v/>
      </c>
      <c r="I551">
        <f>IF(Skills!T13&lt;&gt;"",1+(Skills!T13/10)*($Z$3/1000)/100,1)</f>
        <v/>
      </c>
      <c r="J551" t="inlineStr"/>
      <c r="K551" t="inlineStr"/>
      <c r="L551" t="inlineStr"/>
      <c r="M551" t="inlineStr"/>
      <c r="N551" t="inlineStr"/>
      <c r="O551" t="n">
        <v>0</v>
      </c>
      <c r="P551">
        <f>IF(B578=0,0,O551/B578)</f>
        <v/>
      </c>
      <c r="Q551">
        <f>IFERROR(1/IF(Inputs!$B$39="pvp",15,MAX(0.1,Skills!D13-IF(Skills!E13=TRUE,Inputs!$B$33,0))),0)</f>
        <v/>
      </c>
      <c r="R551">
        <f>IF(AND(Inputs!$B$39&lt;&gt;"pvp",Inputs!$B$44&gt;0),IF(MAX(0,Inputs!$B$44-B577)&lt;=0,0,(INT(MAX(0,Inputs!$B$44-B577)/IF(Inputs!$B$39="pvp",15,MAX(0.1,Skills!D13-IF(Skills!E13=TRUE,Inputs!$B$33,0))))+1)),0)</f>
        <v/>
      </c>
    </row>
    <row r="552">
      <c r="A552">
        <f>Skills!A14</f>
        <v/>
      </c>
      <c r="B552">
        <f>Skills!B14</f>
        <v/>
      </c>
      <c r="C552">
        <f>Inputs!$B$3&gt;=107</f>
        <v/>
      </c>
      <c r="D552">
        <f>IF(Skills!C14=1,60+Inputs!$B$26+Inputs!$B$30,IF(Skills!C14=2,90+Inputs!$B$27+Inputs!$B$30,IF(Skills!C14=3,120+Inputs!$B$28+Inputs!$B$30,MAX(0,(Inputs!$B$3-100)*3)+Inputs!$B$29+Inputs!$B$30)))</f>
        <v/>
      </c>
      <c r="E552">
        <f>INDEX(FactorTable!$B$2:$Y$301, MATCH(ROUND(MIN(300,MAX(1,D552)),0), FactorTable!$A$2:$A$301,0), Skills!L14+1)</f>
        <v/>
      </c>
      <c r="F552">
        <f>IF(Skills!M14=TRUE,(Skills!K14/10)*(E552/1000),Skills!K14/10)+Skills!N14</f>
        <v/>
      </c>
      <c r="G552">
        <f>Calc!G14</f>
        <v/>
      </c>
      <c r="H552">
        <f>Calc!H14</f>
        <v/>
      </c>
      <c r="I552">
        <f>IF(Skills!T14&lt;&gt;"",1+(Skills!T14/10)*($Z$3/1000)/100,1)</f>
        <v/>
      </c>
      <c r="J552" t="inlineStr"/>
      <c r="K552" t="inlineStr"/>
      <c r="L552" t="inlineStr"/>
      <c r="M552" t="inlineStr"/>
      <c r="N552" t="inlineStr"/>
      <c r="O552" t="n">
        <v>0</v>
      </c>
      <c r="P552">
        <f>IF(B578=0,0,O552/B578)</f>
        <v/>
      </c>
      <c r="Q552">
        <f>IFERROR(1/IF(Inputs!$B$39="pvp",15,MAX(0.1,Skills!D14-IF(Skills!E14=TRUE,Inputs!$B$33,0))),0)</f>
        <v/>
      </c>
      <c r="R552">
        <f>IF(AND(Inputs!$B$39&lt;&gt;"pvp",Inputs!$B$44&gt;0),IF(Inputs!$B$44&lt;=0,0,(INT(Inputs!$B$44/IF(Inputs!$B$39="pvp",15,MAX(0.1,Skills!D14-IF(Skills!E14=TRUE,Inputs!$B$33,0))))+1)),0)</f>
        <v/>
      </c>
    </row>
    <row r="553">
      <c r="A553">
        <f>Skills!A15</f>
        <v/>
      </c>
      <c r="B553">
        <f>Skills!B15</f>
        <v/>
      </c>
      <c r="C553">
        <f>Inputs!$B$3&gt;=63</f>
        <v/>
      </c>
      <c r="D553">
        <f>IF(Skills!C15=1,60+Inputs!$B$26+Inputs!$B$30,IF(Skills!C15=2,90+Inputs!$B$27+Inputs!$B$30,IF(Skills!C15=3,120+Inputs!$B$28+Inputs!$B$30,MAX(0,(Inputs!$B$3-100)*3)+Inputs!$B$29+Inputs!$B$30)))</f>
        <v/>
      </c>
      <c r="E553">
        <f>INDEX(FactorTable!$B$2:$Y$301, MATCH(ROUND(MIN(300,MAX(1,D553)),0), FactorTable!$A$2:$A$301,0), Skills!L15+1)</f>
        <v/>
      </c>
      <c r="F553">
        <f>IF(Skills!M15=TRUE,(Skills!K15/10)*(E553/1000),Skills!K15/10)+Skills!N15</f>
        <v/>
      </c>
      <c r="G553">
        <f>Calc!G15</f>
        <v/>
      </c>
      <c r="H553">
        <f>Calc!H15</f>
        <v/>
      </c>
      <c r="I553">
        <f>IF(Skills!T15&lt;&gt;"",1+(Skills!T15/10)*($Z$3/1000)/100,1)</f>
        <v/>
      </c>
      <c r="J553">
        <f>((Inputs!$B$6*(1+Inputs!$B$7/100))+(((Inputs!$B$13*(1+Inputs!$B$14/100))-(Inputs!$B$13*(1+Inputs!$B$14/100)))+0.25*(Inputs!$B$15-Inputs!$B$15))*(1+Inputs!$B$7/100))*(F553/100)</f>
        <v/>
      </c>
      <c r="K553">
        <f>J553*(1+(((Inputs!$B$13+IF(Inputs!$B$3&gt;=35,(10*INDEX(FactorTable!$B$2:$Y$301, MATCH(ROUND(MIN(300,MAX(1,Inputs!$B$3)),0), FactorTable!$A$2:$A$301,0), 23)/1000)/100*(Inputs!$B$8*(1+(Inputs!$B$9+B576)/100)),0))*(1+Inputs!$B$14/100))*0.01+Inputs!$B$15*0.0025)/100)*(1+(Inputs!$B$16+B570)/100)*(1+IF(Inputs!$B$39="pvp",0,(1-Summary!$B$48)*(Inputs!$B$21+Skills!O15+B568)+Summary!$B$48*(Inputs!$B$22+Skills!P15+B569))/100)*(1+Inputs!$B$17/100)*(5000/(6000+Inputs!$B$43*(1-Inputs!$B$20/100)))*(1+Inputs!$B$25/100)*(1+IF(C556=TRUE,F556,0)/100)*(1+IF(C558=TRUE,F558,0)/100)*(1+IF(Skills!A15="TRIUMPH_FEATHER",IF(C554=TRUE,F554,0),0)/100)*(1+IF(C565=TRUE,F565,0)/100)^5*(1+(IF(Skills!A15="BIG_BANG",Inputs!$B$18,Inputs!$B$19))/100)*(B567*I553)</f>
        <v/>
      </c>
      <c r="L553">
        <f>K553*(MIN(Inputs!$B$23+(F560-Calc!F22),Inputs!$B$24)/100+Inputs!$B$24/100)/2</f>
        <v/>
      </c>
      <c r="M553">
        <f>L553*(1+((Inputs!$B$11+1)+B571+(F563-Calc!F25))/100)</f>
        <v/>
      </c>
      <c r="N553">
        <f>L553*(1-MIN(Inputs!$B$10+((F562-Calc!F24)+(F561-Calc!F23)),100)/100)+M553*(MIN(Inputs!$B$10+((F562-Calc!F24)+(F561-Calc!F23)),100)/100)</f>
        <v/>
      </c>
      <c r="O553">
        <f>IF(C553,Skills!F15*N553*((IF(Inputs!$B$3&gt;=78,25,15)/100*B573*10)/(1+IF(Inputs!$B$3&gt;=78,25,15)/100*B573*10))*(Skills!I15/100*B573)/(1+Skills!G15*Skills!I15/100*B573)*IF(Inputs!$B$39="pvp",1,(1-Summary!$B$48)*(1)+Summary!$B$48*(MIN(Skills!Q15,Inputs!$B$38))),0)</f>
        <v/>
      </c>
      <c r="P553">
        <f>IF(B578=0,0,O553/B578)</f>
        <v/>
      </c>
      <c r="Q553">
        <f>IFERROR(1/IF(Inputs!$B$39="pvp",15,MAX(0.1,Skills!D15-IF(Skills!E15=TRUE,Inputs!$B$33,0))),0)</f>
        <v/>
      </c>
      <c r="R553" t="n">
        <v>0</v>
      </c>
    </row>
    <row r="554">
      <c r="A554">
        <f>Skills!A16</f>
        <v/>
      </c>
      <c r="B554">
        <f>Skills!B16</f>
        <v/>
      </c>
      <c r="C554">
        <f>Inputs!$B$3&gt;=100</f>
        <v/>
      </c>
      <c r="D554">
        <f>IF(Skills!C16=1,60+Inputs!$B$26+Inputs!$B$30,IF(Skills!C16=2,90+Inputs!$B$27+Inputs!$B$30,IF(Skills!C16=3,120+Inputs!$B$28+Inputs!$B$30,MAX(0,(Inputs!$B$3-100)*3)+Inputs!$B$29+Inputs!$B$30)))</f>
        <v/>
      </c>
      <c r="E554">
        <f>INDEX(FactorTable!$B$2:$Y$301, MATCH(ROUND(MIN(300,MAX(1,D554)),0), FactorTable!$A$2:$A$301,0), Skills!L16+1)</f>
        <v/>
      </c>
      <c r="F554">
        <f>IF(Skills!M16=TRUE,(Skills!K16/10)*(E554/1000),Skills!K16/10)+Skills!N16</f>
        <v/>
      </c>
      <c r="G554">
        <f>Calc!G16</f>
        <v/>
      </c>
      <c r="H554">
        <f>Calc!H16</f>
        <v/>
      </c>
      <c r="I554">
        <f>IF(Skills!T16&lt;&gt;"",1+(Skills!T16/10)*($Z$3/1000)/100,1)</f>
        <v/>
      </c>
      <c r="J554" t="inlineStr"/>
      <c r="K554" t="inlineStr"/>
      <c r="L554" t="inlineStr"/>
      <c r="M554" t="inlineStr"/>
      <c r="N554" t="inlineStr"/>
      <c r="O554" t="n">
        <v>0</v>
      </c>
      <c r="P554">
        <f>IF(B578=0,0,O554/B578)</f>
        <v/>
      </c>
      <c r="Q554">
        <f>IFERROR(1/IF(Inputs!$B$39="pvp",15,MAX(0.1,Skills!D16-IF(Skills!E16=TRUE,Inputs!$B$33,0))),0)</f>
        <v/>
      </c>
      <c r="R554" t="n">
        <v>0</v>
      </c>
    </row>
    <row r="555">
      <c r="A555">
        <f>Skills!A17</f>
        <v/>
      </c>
      <c r="B555">
        <f>Skills!B17</f>
        <v/>
      </c>
      <c r="C555">
        <f>Inputs!$B$3&gt;=49</f>
        <v/>
      </c>
      <c r="D555">
        <f>IF(Skills!C17=1,60+Inputs!$B$26+Inputs!$B$30,IF(Skills!C17=2,90+Inputs!$B$27+Inputs!$B$30,IF(Skills!C17=3,120+Inputs!$B$28+Inputs!$B$30,MAX(0,(Inputs!$B$3-100)*3)+Inputs!$B$29+Inputs!$B$30)))</f>
        <v/>
      </c>
      <c r="E555">
        <f>INDEX(FactorTable!$B$2:$Y$301, MATCH(ROUND(MIN(300,MAX(1,D555)),0), FactorTable!$A$2:$A$301,0), Skills!L17+1)</f>
        <v/>
      </c>
      <c r="F555">
        <f>IF(Skills!M17=TRUE,(Skills!K17/10)*(E555/1000),Skills!K17/10)+Skills!N17</f>
        <v/>
      </c>
      <c r="G555">
        <f>Calc!G17</f>
        <v/>
      </c>
      <c r="H555">
        <f>Calc!H17</f>
        <v/>
      </c>
      <c r="I555">
        <f>IF(Skills!T17&lt;&gt;"",1+(Skills!T17/10)*($Z$3/1000)/100,1)</f>
        <v/>
      </c>
      <c r="J555" t="inlineStr"/>
      <c r="K555" t="inlineStr"/>
      <c r="L555" t="inlineStr"/>
      <c r="M555" t="inlineStr"/>
      <c r="N555" t="inlineStr"/>
      <c r="O555" t="n">
        <v>0</v>
      </c>
      <c r="P555">
        <f>IF(B578=0,0,O555/B578)</f>
        <v/>
      </c>
      <c r="Q555">
        <f>IFERROR(1/IF(Inputs!$B$39="pvp",15,MAX(0.1,Skills!D17-IF(Skills!E17=TRUE,Inputs!$B$33,0))),0)</f>
        <v/>
      </c>
      <c r="R555" t="n">
        <v>0</v>
      </c>
    </row>
    <row r="556">
      <c r="A556">
        <f>Skills!A18</f>
        <v/>
      </c>
      <c r="B556">
        <f>Skills!B18</f>
        <v/>
      </c>
      <c r="C556">
        <f>Inputs!$B$3&gt;=75</f>
        <v/>
      </c>
      <c r="D556">
        <f>IF(Skills!C18=1,60+Inputs!$B$26+Inputs!$B$30,IF(Skills!C18=2,90+Inputs!$B$27+Inputs!$B$30,IF(Skills!C18=3,120+Inputs!$B$28+Inputs!$B$30,MAX(0,(Inputs!$B$3-100)*3)+Inputs!$B$29+Inputs!$B$30)))</f>
        <v/>
      </c>
      <c r="E556">
        <f>INDEX(FactorTable!$B$2:$Y$301, MATCH(ROUND(MIN(300,MAX(1,D556)),0), FactorTable!$A$2:$A$301,0), Skills!L18+1)</f>
        <v/>
      </c>
      <c r="F556">
        <f>IF(Skills!M18=TRUE,(Skills!K18/10)*(E556/1000),Skills!K18/10)+Skills!N18</f>
        <v/>
      </c>
      <c r="G556">
        <f>Calc!G18</f>
        <v/>
      </c>
      <c r="H556">
        <f>Calc!H18</f>
        <v/>
      </c>
      <c r="I556">
        <f>IF(Skills!T18&lt;&gt;"",1+(Skills!T18/10)*($Z$3/1000)/100,1)</f>
        <v/>
      </c>
      <c r="J556" t="inlineStr"/>
      <c r="K556" t="inlineStr"/>
      <c r="L556" t="inlineStr"/>
      <c r="M556" t="inlineStr"/>
      <c r="N556" t="inlineStr"/>
      <c r="O556" t="n">
        <v>0</v>
      </c>
      <c r="P556">
        <f>IF(B578=0,0,O556/B578)</f>
        <v/>
      </c>
      <c r="Q556">
        <f>IFERROR(1/IF(Inputs!$B$39="pvp",15,MAX(0.1,Skills!D18-IF(Skills!E18=TRUE,Inputs!$B$33,0))),0)</f>
        <v/>
      </c>
      <c r="R556" t="n">
        <v>0</v>
      </c>
    </row>
    <row r="557">
      <c r="A557">
        <f>Skills!A19</f>
        <v/>
      </c>
      <c r="B557">
        <f>Skills!B19</f>
        <v/>
      </c>
      <c r="C557">
        <f>Inputs!$B$3&gt;=110</f>
        <v/>
      </c>
      <c r="D557">
        <f>IF(Skills!C19=1,60+Inputs!$B$26+Inputs!$B$30,IF(Skills!C19=2,90+Inputs!$B$27+Inputs!$B$30,IF(Skills!C19=3,120+Inputs!$B$28+Inputs!$B$30,MAX(0,(Inputs!$B$3-100)*3)+Inputs!$B$29+Inputs!$B$30)))</f>
        <v/>
      </c>
      <c r="E557">
        <f>INDEX(FactorTable!$B$2:$Y$301, MATCH(ROUND(MIN(300,MAX(1,D557)),0), FactorTable!$A$2:$A$301,0), Skills!L19+1)</f>
        <v/>
      </c>
      <c r="F557">
        <f>(Skills!K19/10)*(E557/1000)*64/45+Skills!N19</f>
        <v/>
      </c>
      <c r="G557">
        <f>Calc!G19</f>
        <v/>
      </c>
      <c r="H557">
        <f>Calc!H19</f>
        <v/>
      </c>
      <c r="I557">
        <f>IF(Skills!T19&lt;&gt;"",1+(Skills!T19/10)*($Z$3/1000)/100,1)</f>
        <v/>
      </c>
      <c r="J557" t="inlineStr"/>
      <c r="K557" t="inlineStr"/>
      <c r="L557" t="inlineStr"/>
      <c r="M557" t="inlineStr"/>
      <c r="N557" t="inlineStr"/>
      <c r="O557" t="n">
        <v>0</v>
      </c>
      <c r="P557">
        <f>IF(B578=0,0,O557/B578)</f>
        <v/>
      </c>
      <c r="Q557">
        <f>IFERROR(1/IF(Inputs!$B$39="pvp",15,MAX(0.1,Skills!D19-IF(Skills!E19=TRUE,Inputs!$B$33,0))),0)</f>
        <v/>
      </c>
      <c r="R557">
        <f>IF(AND(Inputs!$B$39&lt;&gt;"pvp",Inputs!$B$44&gt;0),IF(Inputs!$B$44&lt;=0,0,(INT(Inputs!$B$44/IF(Inputs!$B$39="pvp",15,MAX(0.1,Skills!D19-IF(Skills!E19=TRUE,Inputs!$B$33,0))))+1)),0)</f>
        <v/>
      </c>
    </row>
    <row r="558">
      <c r="A558">
        <f>Skills!A20</f>
        <v/>
      </c>
      <c r="B558">
        <f>Skills!B20</f>
        <v/>
      </c>
      <c r="C558">
        <f>Inputs!$B$3&gt;=125</f>
        <v/>
      </c>
      <c r="D558">
        <f>IF(Skills!C20=1,60+Inputs!$B$26+Inputs!$B$30,IF(Skills!C20=2,90+Inputs!$B$27+Inputs!$B$30,IF(Skills!C20=3,120+Inputs!$B$28+Inputs!$B$30,MAX(0,(Inputs!$B$3-100)*3)+Inputs!$B$29+Inputs!$B$30)))</f>
        <v/>
      </c>
      <c r="E558">
        <f>INDEX(FactorTable!$B$2:$Y$301, MATCH(ROUND(MIN(300,MAX(1,D558)),0), FactorTable!$A$2:$A$301,0), Skills!L20+1)</f>
        <v/>
      </c>
      <c r="F558">
        <f>IF(Skills!M20=TRUE,(Skills!K20/10)*(E558/1000),Skills!K20/10)+Skills!N20</f>
        <v/>
      </c>
      <c r="G558">
        <f>Calc!G20</f>
        <v/>
      </c>
      <c r="H558">
        <f>Calc!H20</f>
        <v/>
      </c>
      <c r="I558">
        <f>IF(Skills!T20&lt;&gt;"",1+(Skills!T20/10)*($Z$3/1000)/100,1)</f>
        <v/>
      </c>
      <c r="J558" t="inlineStr"/>
      <c r="K558" t="inlineStr"/>
      <c r="L558" t="inlineStr"/>
      <c r="M558" t="inlineStr"/>
      <c r="N558" t="inlineStr"/>
      <c r="O558" t="n">
        <v>0</v>
      </c>
      <c r="P558">
        <f>IF(B578=0,0,O558/B578)</f>
        <v/>
      </c>
      <c r="Q558">
        <f>IFERROR(1/IF(Inputs!$B$39="pvp",15,MAX(0.1,Skills!D20-IF(Skills!E20=TRUE,Inputs!$B$33,0))),0)</f>
        <v/>
      </c>
      <c r="R558" t="n">
        <v>0</v>
      </c>
    </row>
    <row r="559">
      <c r="A559">
        <f>Skills!A21</f>
        <v/>
      </c>
      <c r="B559">
        <f>Skills!B21</f>
        <v/>
      </c>
      <c r="C559">
        <f>Inputs!$B$3&gt;=33</f>
        <v/>
      </c>
      <c r="D559">
        <f>IF(Skills!C21=1,60+Inputs!$B$26+Inputs!$B$30,IF(Skills!C21=2,90+Inputs!$B$27+Inputs!$B$30,IF(Skills!C21=3,120+Inputs!$B$28+Inputs!$B$30,MAX(0,(Inputs!$B$3-100)*3)+Inputs!$B$29+Inputs!$B$30)))</f>
        <v/>
      </c>
      <c r="E559">
        <f>INDEX(FactorTable!$B$2:$Y$301, MATCH(ROUND(MIN(300,MAX(1,D559)),0), FactorTable!$A$2:$A$301,0), Skills!L21+1)</f>
        <v/>
      </c>
      <c r="F559">
        <f>IF(Skills!M21=TRUE,(Skills!K21/10)*(E559/1000),Skills!K21/10)+Skills!N21</f>
        <v/>
      </c>
      <c r="G559">
        <f>Calc!G21</f>
        <v/>
      </c>
      <c r="H559">
        <f>Calc!H21</f>
        <v/>
      </c>
      <c r="I559">
        <f>IF(Skills!T21&lt;&gt;"",1+(Skills!T21/10)*($Z$3/1000)/100,1)</f>
        <v/>
      </c>
      <c r="J559" t="inlineStr"/>
      <c r="K559" t="inlineStr"/>
      <c r="L559" t="inlineStr"/>
      <c r="M559" t="inlineStr"/>
      <c r="N559" t="inlineStr"/>
      <c r="O559" t="n">
        <v>0</v>
      </c>
      <c r="P559">
        <f>IF(B578=0,0,O559/B578)</f>
        <v/>
      </c>
      <c r="Q559">
        <f>IFERROR(1/IF(Inputs!$B$39="pvp",15,MAX(0.1,Skills!D21-IF(Skills!E21=TRUE,Inputs!$B$33,0))),0)</f>
        <v/>
      </c>
      <c r="R559" t="n">
        <v>0</v>
      </c>
    </row>
    <row r="560">
      <c r="A560">
        <f>Skills!A22</f>
        <v/>
      </c>
      <c r="B560">
        <f>Skills!B22</f>
        <v/>
      </c>
      <c r="C560">
        <f>Inputs!$B$3&gt;=43</f>
        <v/>
      </c>
      <c r="D560">
        <f>IF(Skills!C22=1,60+Inputs!$B$26+Inputs!$B$30,IF(Skills!C22=2,90+Inputs!$B$27+Inputs!$B$30,IF(Skills!C22=3,120+Inputs!$B$28+Inputs!$B$30,MAX(0,(Inputs!$B$3-100)*3)+Inputs!$B$29+Inputs!$B$30)))</f>
        <v/>
      </c>
      <c r="E560">
        <f>INDEX(FactorTable!$B$2:$Y$301, MATCH(ROUND(MIN(300,MAX(1,D560)),0), FactorTable!$A$2:$A$301,0), Skills!L22+1)</f>
        <v/>
      </c>
      <c r="F560">
        <f>IF(Skills!M22=TRUE,(Skills!K22/10)*(E560/1000),Skills!K22/10)+Skills!N22</f>
        <v/>
      </c>
      <c r="G560">
        <f>Calc!G22</f>
        <v/>
      </c>
      <c r="H560">
        <f>Calc!H22</f>
        <v/>
      </c>
      <c r="I560">
        <f>IF(Skills!T22&lt;&gt;"",1+(Skills!T22/10)*($Z$3/1000)/100,1)</f>
        <v/>
      </c>
      <c r="J560" t="inlineStr"/>
      <c r="K560" t="inlineStr"/>
      <c r="L560" t="inlineStr"/>
      <c r="M560" t="inlineStr"/>
      <c r="N560" t="inlineStr"/>
      <c r="O560" t="n">
        <v>0</v>
      </c>
      <c r="P560">
        <f>IF(B578=0,0,O560/B578)</f>
        <v/>
      </c>
      <c r="Q560">
        <f>IFERROR(1/IF(Inputs!$B$39="pvp",15,MAX(0.1,Skills!D22-IF(Skills!E22=TRUE,Inputs!$B$33,0))),0)</f>
        <v/>
      </c>
      <c r="R560" t="n">
        <v>0</v>
      </c>
    </row>
    <row r="561">
      <c r="A561">
        <f>Skills!A23</f>
        <v/>
      </c>
      <c r="B561">
        <f>Skills!B23</f>
        <v/>
      </c>
      <c r="C561">
        <f>Inputs!$B$3&gt;=50</f>
        <v/>
      </c>
      <c r="D561">
        <f>IF(Skills!C23=1,60+Inputs!$B$26+Inputs!$B$30,IF(Skills!C23=2,90+Inputs!$B$27+Inputs!$B$30,IF(Skills!C23=3,120+Inputs!$B$28+Inputs!$B$30,MAX(0,(Inputs!$B$3-100)*3)+Inputs!$B$29+Inputs!$B$30)))</f>
        <v/>
      </c>
      <c r="E561">
        <f>INDEX(FactorTable!$B$2:$Y$301, MATCH(ROUND(MIN(300,MAX(1,D561)),0), FactorTable!$A$2:$A$301,0), Skills!L23+1)</f>
        <v/>
      </c>
      <c r="F561">
        <f>IF(Skills!M23=TRUE,(Skills!K23/10)*(E561/1000),Skills!K23/10)+Skills!N23</f>
        <v/>
      </c>
      <c r="G561">
        <f>Calc!G23</f>
        <v/>
      </c>
      <c r="H561">
        <f>Calc!H23</f>
        <v/>
      </c>
      <c r="I561">
        <f>IF(Skills!T23&lt;&gt;"",1+(Skills!T23/10)*($Z$3/1000)/100,1)</f>
        <v/>
      </c>
      <c r="J561" t="inlineStr"/>
      <c r="K561" t="inlineStr"/>
      <c r="L561" t="inlineStr"/>
      <c r="M561" t="inlineStr"/>
      <c r="N561" t="inlineStr"/>
      <c r="O561" t="n">
        <v>0</v>
      </c>
      <c r="P561">
        <f>IF(B578=0,0,O561/B578)</f>
        <v/>
      </c>
      <c r="Q561">
        <f>IFERROR(1/IF(Inputs!$B$39="pvp",15,MAX(0.1,Skills!D23-IF(Skills!E23=TRUE,Inputs!$B$33,0))),0)</f>
        <v/>
      </c>
      <c r="R561" t="n">
        <v>0</v>
      </c>
    </row>
    <row r="562">
      <c r="A562">
        <f>Skills!A24</f>
        <v/>
      </c>
      <c r="B562">
        <f>Skills!B24</f>
        <v/>
      </c>
      <c r="C562">
        <f>Inputs!$B$3&gt;=74</f>
        <v/>
      </c>
      <c r="D562">
        <f>IF(Skills!C24=1,60+Inputs!$B$26+Inputs!$B$30,IF(Skills!C24=2,90+Inputs!$B$27+Inputs!$B$30,IF(Skills!C24=3,120+Inputs!$B$28+Inputs!$B$30,MAX(0,(Inputs!$B$3-100)*3)+Inputs!$B$29+Inputs!$B$30)))</f>
        <v/>
      </c>
      <c r="E562">
        <f>INDEX(FactorTable!$B$2:$Y$301, MATCH(ROUND(MIN(300,MAX(1,D562)),0), FactorTable!$A$2:$A$301,0), Skills!L24+1)</f>
        <v/>
      </c>
      <c r="F562">
        <f>IF(Skills!M24=TRUE,(Skills!K24/10)*(E562/1000),Skills!K24/10)+Skills!N24</f>
        <v/>
      </c>
      <c r="G562">
        <f>Calc!G24</f>
        <v/>
      </c>
      <c r="H562">
        <f>Calc!H24</f>
        <v/>
      </c>
      <c r="I562">
        <f>IF(Skills!T24&lt;&gt;"",1+(Skills!T24/10)*($Z$3/1000)/100,1)</f>
        <v/>
      </c>
      <c r="J562" t="inlineStr"/>
      <c r="K562" t="inlineStr"/>
      <c r="L562" t="inlineStr"/>
      <c r="M562" t="inlineStr"/>
      <c r="N562" t="inlineStr"/>
      <c r="O562" t="n">
        <v>0</v>
      </c>
      <c r="P562">
        <f>IF(B578=0,0,O562/B578)</f>
        <v/>
      </c>
      <c r="Q562">
        <f>IFERROR(1/IF(Inputs!$B$39="pvp",15,MAX(0.1,Skills!D24-IF(Skills!E24=TRUE,Inputs!$B$33,0))),0)</f>
        <v/>
      </c>
      <c r="R562" t="n">
        <v>0</v>
      </c>
    </row>
    <row r="563">
      <c r="A563">
        <f>Skills!A25</f>
        <v/>
      </c>
      <c r="B563">
        <f>Skills!B25</f>
        <v/>
      </c>
      <c r="C563">
        <f>Inputs!$B$3&gt;=74</f>
        <v/>
      </c>
      <c r="D563">
        <f>IF(Skills!C25=1,60+Inputs!$B$26+Inputs!$B$30,IF(Skills!C25=2,90+Inputs!$B$27+Inputs!$B$30,IF(Skills!C25=3,120+Inputs!$B$28+Inputs!$B$30,MAX(0,(Inputs!$B$3-100)*3)+Inputs!$B$29+Inputs!$B$30)))</f>
        <v/>
      </c>
      <c r="E563">
        <f>INDEX(FactorTable!$B$2:$Y$301, MATCH(ROUND(MIN(300,MAX(1,D563)),0), FactorTable!$A$2:$A$301,0), Skills!L25+1)</f>
        <v/>
      </c>
      <c r="F563">
        <f>IF(Skills!M25=TRUE,(Skills!K25/10)*(E563/1000),Skills!K25/10)+Skills!N25</f>
        <v/>
      </c>
      <c r="G563">
        <f>Calc!G25</f>
        <v/>
      </c>
      <c r="H563">
        <f>Calc!H25</f>
        <v/>
      </c>
      <c r="I563">
        <f>IF(Skills!T25&lt;&gt;"",1+(Skills!T25/10)*($Z$3/1000)/100,1)</f>
        <v/>
      </c>
      <c r="J563" t="inlineStr"/>
      <c r="K563" t="inlineStr"/>
      <c r="L563" t="inlineStr"/>
      <c r="M563" t="inlineStr"/>
      <c r="N563" t="inlineStr"/>
      <c r="O563" t="n">
        <v>0</v>
      </c>
      <c r="P563">
        <f>IF(B578=0,0,O563/B578)</f>
        <v/>
      </c>
      <c r="Q563">
        <f>IFERROR(1/IF(Inputs!$B$39="pvp",15,MAX(0.1,Skills!D25-IF(Skills!E25=TRUE,Inputs!$B$33,0))),0)</f>
        <v/>
      </c>
      <c r="R563" t="n">
        <v>0</v>
      </c>
    </row>
    <row r="564">
      <c r="A564">
        <f>Skills!A26</f>
        <v/>
      </c>
      <c r="B564">
        <f>Skills!B26</f>
        <v/>
      </c>
      <c r="C564">
        <f>Inputs!$B$3&gt;=117</f>
        <v/>
      </c>
      <c r="D564">
        <f>IF(Skills!C26=1,60+Inputs!$B$26+Inputs!$B$30,IF(Skills!C26=2,90+Inputs!$B$27+Inputs!$B$30,IF(Skills!C26=3,120+Inputs!$B$28+Inputs!$B$30,MAX(0,(Inputs!$B$3-100)*3)+Inputs!$B$29+Inputs!$B$30)))</f>
        <v/>
      </c>
      <c r="E564">
        <f>INDEX(FactorTable!$B$2:$Y$301, MATCH(ROUND(MIN(300,MAX(1,D564)),0), FactorTable!$A$2:$A$301,0), Skills!L26+1)</f>
        <v/>
      </c>
      <c r="F564">
        <f>IF(Skills!M26=TRUE,(Skills!K26/10)*(E564/1000),Skills!K26/10)+Skills!N26</f>
        <v/>
      </c>
      <c r="G564">
        <f>Calc!G26</f>
        <v/>
      </c>
      <c r="H564">
        <f>Calc!H26</f>
        <v/>
      </c>
      <c r="I564">
        <f>IF(Skills!T26&lt;&gt;"",1+(Skills!T26/10)*($Z$3/1000)/100,1)</f>
        <v/>
      </c>
      <c r="J564" t="inlineStr"/>
      <c r="K564" t="inlineStr"/>
      <c r="L564" t="inlineStr"/>
      <c r="M564" t="inlineStr"/>
      <c r="N564" t="inlineStr"/>
      <c r="O564" t="n">
        <v>0</v>
      </c>
      <c r="P564">
        <f>IF(B578=0,0,O564/B578)</f>
        <v/>
      </c>
      <c r="Q564">
        <f>IFERROR(1/IF(Inputs!$B$39="pvp",15,MAX(0.1,Skills!D26-IF(Skills!E26=TRUE,Inputs!$B$33,0))),0)</f>
        <v/>
      </c>
      <c r="R564" t="n">
        <v>0</v>
      </c>
    </row>
    <row r="565">
      <c r="A565">
        <f>Skills!A27</f>
        <v/>
      </c>
      <c r="B565">
        <f>Skills!B27</f>
        <v/>
      </c>
      <c r="C565">
        <f>Inputs!$B$3&gt;=120</f>
        <v/>
      </c>
      <c r="D565">
        <f>IF(Skills!C27=1,60+Inputs!$B$26+Inputs!$B$30,IF(Skills!C27=2,90+Inputs!$B$27+Inputs!$B$30,IF(Skills!C27=3,120+Inputs!$B$28+Inputs!$B$30,MAX(0,(Inputs!$B$3-100)*3)+Inputs!$B$29+Inputs!$B$30)))</f>
        <v/>
      </c>
      <c r="E565">
        <f>INDEX(FactorTable!$B$2:$Y$301, MATCH(ROUND(MIN(300,MAX(1,D565)),0), FactorTable!$A$2:$A$301,0), Skills!L27+1)</f>
        <v/>
      </c>
      <c r="F565">
        <f>IF(Skills!M27=TRUE,(Skills!K27/10)*(E565/1000),Skills!K27/10)+Skills!N27</f>
        <v/>
      </c>
      <c r="G565">
        <f>Calc!G27</f>
        <v/>
      </c>
      <c r="H565">
        <f>Calc!H27</f>
        <v/>
      </c>
      <c r="I565">
        <f>IF(Skills!T27&lt;&gt;"",1+(Skills!T27/10)*($Z$3/1000)/100,1)</f>
        <v/>
      </c>
      <c r="J565" t="inlineStr"/>
      <c r="K565" t="inlineStr"/>
      <c r="L565" t="inlineStr"/>
      <c r="M565" t="inlineStr"/>
      <c r="N565" t="inlineStr"/>
      <c r="O565" t="n">
        <v>0</v>
      </c>
      <c r="P565">
        <f>IF(B578=0,0,O565/B578)</f>
        <v/>
      </c>
      <c r="Q565">
        <f>IFERROR(1/IF(Inputs!$B$39="pvp",15,MAX(0.1,Skills!D27-IF(Skills!E27=TRUE,Inputs!$B$33,0))),0)</f>
        <v/>
      </c>
      <c r="R565" t="n">
        <v>0</v>
      </c>
    </row>
    <row r="567">
      <c r="A567" t="inlineStr">
        <is>
          <t>Average Buff Multiplier</t>
        </is>
      </c>
      <c r="B567">
        <f>(1+(IF(C541=TRUE,F541*IF(AND(Inputs!$B$39&lt;&gt;"pvp",Inputs!$B$44&gt;0),(((R541-1)*(Skills!S3*(1+(Inputs!$B$35+IF(Inputs!$B$3&gt;=117,F564,0))/100))+MIN((Skills!S3*(1+(Inputs!$B$35+IF(Inputs!$B$3&gt;=117,F564,0))/100)),MAX(0,Inputs!$B$44-((R541-1)*Skills!D3))))/Inputs!$B$44),IF(Inputs!$B$39="pvp",MIN((Skills!S3*(1+(Inputs!$B$35+IF(Inputs!$B$3&gt;=117,F564,0))/100)),15)/15,(Skills!S3*(1+(Inputs!$B$35+IF(Inputs!$B$3&gt;=117,F564,0))/100))/Skills!D3)),0)+IF(C542=TRUE,F542*IF(AND(Inputs!$B$39&lt;&gt;"pvp",Inputs!$B$44&gt;0),(((R542-1)*(Skills!S4*(1+(Inputs!$B$35+IF(Inputs!$B$3&gt;=117,F564,0))/100))+MIN((Skills!S4*(1+(Inputs!$B$35+IF(Inputs!$B$3&gt;=117,F564,0))/100)),MAX(0,Inputs!$B$44-((R542-1)*Skills!D4))))/Inputs!$B$44),IF(Inputs!$B$39="pvp",MIN((Skills!S4*(1+(Inputs!$B$35+IF(Inputs!$B$3&gt;=117,F564,0))/100)),15)/15,(Skills!S4*(1+(Inputs!$B$35+IF(Inputs!$B$3&gt;=117,F564,0))/100))/Skills!D4)),0)+IF(C543=TRUE,F543*IF(AND(Inputs!$B$39&lt;&gt;"pvp",Inputs!$B$44&gt;0),(((R543-1)*(Skills!S5*(1+(Inputs!$B$35+IF(Inputs!$B$3&gt;=117,F564,0))/100))+MIN((Skills!S5*(1+(Inputs!$B$35+IF(Inputs!$B$3&gt;=117,F564,0))/100)),MAX(0,Inputs!$B$44-((R543-1)*Skills!D5))))/Inputs!$B$44),IF(Inputs!$B$39="pvp",MIN((Skills!S5*(1+(Inputs!$B$35+IF(Inputs!$B$3&gt;=117,F564,0))/100)),15)/15,(Skills!S5*(1+(Inputs!$B$35+IF(Inputs!$B$3&gt;=117,F564,0))/100))/Skills!D5)),0)+IF(C549=TRUE,F549*IF(AND(Inputs!$B$39&lt;&gt;"pvp",Inputs!$B$44&gt;0),(((R549-1)*(Skills!S11*(1+(Inputs!$B$35+IF(Inputs!$B$3&gt;=117,F564,0))/100))+MIN((Skills!S11*(1+(Inputs!$B$35+IF(Inputs!$B$3&gt;=117,F564,0))/100)),MAX(0,Inputs!$B$44-((R549-1)*Skills!D11))))/Inputs!$B$44),IF(Inputs!$B$39="pvp",MIN((Skills!S11*(1+(Inputs!$B$35+IF(Inputs!$B$3&gt;=117,F564,0))/100)),15)/15,(Skills!S11*(1+(Inputs!$B$35+IF(Inputs!$B$3&gt;=117,F564,0))/100))/Skills!D11)),0))/100)*IF(C552=TRUE,(1+F552*IF(AND(Inputs!$B$39&lt;&gt;"pvp",Inputs!$B$44&gt;0),(((R552-1)*(Skills!S14*(1+(Inputs!$B$35+IF(Inputs!$B$3&gt;=117,F564,0))/100))+MIN((Skills!S14*(1+(Inputs!$B$35+IF(Inputs!$B$3&gt;=117,F564,0))/100)),MAX(0,Inputs!$B$44-((R552-1)*Skills!D14))))/Inputs!$B$44),IF(Inputs!$B$39="pvp",MIN((Skills!S14*(1+(Inputs!$B$35+IF(Inputs!$B$3&gt;=117,F564,0))/100)),15)/15,(Skills!S14*(1+(Inputs!$B$35+IF(Inputs!$B$3&gt;=117,F564,0))/100))/Skills!D14))/100),1)*IF(C557=TRUE,(1+F557*IF(AND(Inputs!$B$39&lt;&gt;"pvp",Inputs!$B$44&gt;0),(((R557-1)*(Skills!S19*(1+(Inputs!$B$35+IF(Inputs!$B$3&gt;=117,F564,0))/100))+MIN((Skills!S19*(1+(Inputs!$B$35+IF(Inputs!$B$3&gt;=117,F564,0))/100)),MAX(0,Inputs!$B$44-((R557-1)*Skills!D19))))/Inputs!$B$44),IF(Inputs!$B$39="pvp",MIN((Skills!S19*(1+(Inputs!$B$35+IF(Inputs!$B$3&gt;=117,F564,0))/100)),15)/15,(Skills!S19*(1+(Inputs!$B$35+IF(Inputs!$B$3&gt;=117,F564,0))/100))/Skills!D19))/100),1)</f>
        <v/>
      </c>
    </row>
    <row r="568">
      <c r="A568" t="inlineStr">
        <is>
          <t>Monster Damage Taken Bonus % (Holy Fountain)</t>
        </is>
      </c>
      <c r="B568">
        <f>IF(Inputs!$B$3&gt;=68,20*IF(Inputs!$B$39="pvp",MIN((15*(1+(Inputs!$B$35+IF(Inputs!$B$3&gt;=117,F564,0))/100)),15)/15,(15*(1+(Inputs!$B$35+IF(Inputs!$B$3&gt;=117,F564,0))/100))/Skills!D10),0)</f>
        <v/>
      </c>
    </row>
    <row r="569">
      <c r="A569" t="inlineStr">
        <is>
          <t>Normal Monster Damage Bonus % (Holy Symbol)</t>
        </is>
      </c>
      <c r="B569">
        <f>IF(C550=TRUE,F550*IF(AND(Inputs!$B$39&lt;&gt;"pvp",Inputs!$B$44&gt;0),(((R550-1)*(Skills!S12*(1+(Inputs!$B$35+IF(Inputs!$B$3&gt;=117,F564,0))/100))+MIN((Skills!S12*(1+(Inputs!$B$35+IF(Inputs!$B$3&gt;=117,F564,0))/100)),MAX(0,Inputs!$B$44-((R550-1)*Skills!D12))))/Inputs!$B$44),IF(Inputs!$B$39="pvp",MIN((Skills!S12*(1+(Inputs!$B$35+IF(Inputs!$B$3&gt;=117,F564,0))/100)),15)/15,(Skills!S12*(1+(Inputs!$B$35+IF(Inputs!$B$3&gt;=117,F564,0))/100))/Skills!D12)),0)</f>
        <v/>
      </c>
    </row>
    <row r="570">
      <c r="A570" t="inlineStr">
        <is>
          <t>Damage % Bonus (Holy Symbol - Damage Boost)</t>
        </is>
      </c>
      <c r="B570">
        <f>Skills!O12</f>
        <v/>
      </c>
    </row>
    <row r="571">
      <c r="A571" t="inlineStr">
        <is>
          <t>Crit Damage % Bonus (Blood of the Divine)</t>
        </is>
      </c>
      <c r="B571">
        <f>4*IF(C558=TRUE,F558,0)</f>
        <v/>
      </c>
    </row>
    <row r="572">
      <c r="A572" t="inlineStr">
        <is>
          <t>Attack Speed Bonus %</t>
        </is>
      </c>
      <c r="B572">
        <f>IF(C555=TRUE,F555+(F559-Calc!F21),0)+IF(Inputs!$B$3&gt;=134,15,0)</f>
        <v/>
      </c>
    </row>
    <row r="573">
      <c r="A573" t="inlineStr">
        <is>
          <t>Actions Per Second</t>
        </is>
      </c>
      <c r="B573">
        <f>1+MIN(150,150*(1-(1-Inputs!$B$12/150)*(1-B572/150)))/100</f>
        <v/>
      </c>
    </row>
    <row r="574">
      <c r="A574" t="inlineStr">
        <is>
          <t>Skill + Buff Cast Rate</t>
        </is>
      </c>
      <c r="B574">
        <f>IF(AND(Inputs!$B$39&lt;&gt;"pvp",Inputs!$B$44&gt;0),SUMPRODUCT((Skills!E2:E27=TRUE)*(C540:C565=TRUE)*R540:R565)/Inputs!$B$44,SUMPRODUCT((Skills!E2:E27=TRUE)*(C540:C565=TRUE)*Q540:Q565))</f>
        <v/>
      </c>
    </row>
    <row r="575">
      <c r="A575" t="inlineStr">
        <is>
          <t>Big Bang Casts Per Second</t>
        </is>
      </c>
      <c r="B575">
        <f>MAX(0,B573-B574)</f>
        <v/>
      </c>
    </row>
    <row r="576">
      <c r="A576" t="inlineStr">
        <is>
          <t>Defense % Bonus (Divine Protection)</t>
        </is>
      </c>
      <c r="B576">
        <f>IF(C551=TRUE,F551*IF(AND(Inputs!$B$39&lt;&gt;"pvp",Inputs!$B$44&gt;0),(((R551-1)*(Skills!S13*(1+(Inputs!$B$35+IF(Inputs!$B$3&gt;=117,F564,0))/100))+MIN((Skills!S13*(1+(Inputs!$B$35+IF(Inputs!$B$3&gt;=117,F564,0))/100)),MAX(0,Inputs!$B$44-((R551-1)*Skills!D13))))/Inputs!$B$44),IF(Inputs!$B$39="pvp",MIN((Skills!S13*(1+(Inputs!$B$35+IF(Inputs!$B$3&gt;=117,F564,0))/100)),15)/15,(Skills!S13*(1+(Inputs!$B$35+IF(Inputs!$B$3&gt;=117,F564,0))/100))/Skills!D13)),0)</f>
        <v/>
      </c>
    </row>
    <row r="577">
      <c r="A577" t="inlineStr">
        <is>
          <t>Buff-Casting Startup Delay (s, fixed-duration only)</t>
        </is>
      </c>
      <c r="B577">
        <f>IF(AND(Inputs!$B$39&lt;&gt;"pvp",Inputs!$B$44&gt;0),SUMPRODUCT((Skills!S2:S27&gt;0)*(Skills!E2:E27=TRUE)*(C540:C565=TRUE))/B573,0)</f>
        <v/>
      </c>
    </row>
    <row r="578">
      <c r="A578" s="5" t="inlineStr">
        <is>
          <t>TOTAL DPS</t>
        </is>
      </c>
      <c r="B578" s="5">
        <f>SUM(O540:O565)</f>
        <v/>
      </c>
    </row>
    <row r="580">
      <c r="A580" s="5" t="inlineStr">
        <is>
          <t>Stat: ATTACK_SPEED % (diminishing returns, factor 150)</t>
        </is>
      </c>
    </row>
    <row r="581">
      <c r="A581" s="9" t="inlineStr">
        <is>
          <t>Key</t>
        </is>
      </c>
      <c r="B581" s="9" t="inlineStr">
        <is>
          <t>Name</t>
        </is>
      </c>
      <c r="C581" s="9" t="inlineStr">
        <is>
          <t>Unlocked</t>
        </is>
      </c>
      <c r="D581" s="9" t="inlineStr">
        <is>
          <t>InputLevel</t>
        </is>
      </c>
      <c r="E581" s="9" t="inlineStr">
        <is>
          <t>Factor</t>
        </is>
      </c>
      <c r="F581" s="9" t="inlineStr">
        <is>
          <t>CoefficientPercent</t>
        </is>
      </c>
      <c r="G581" s="9" t="inlineStr">
        <is>
          <t>EffectiveHits</t>
        </is>
      </c>
      <c r="H581" s="9" t="inlineStr">
        <is>
          <t>ProcProbability</t>
        </is>
      </c>
      <c r="I581" s="9" t="inlineStr">
        <is>
          <t>MapleHeroMultiplier</t>
        </is>
      </c>
      <c r="J581" s="9" t="inlineStr">
        <is>
          <t>BaseDamage</t>
        </is>
      </c>
      <c r="K581" s="9" t="inlineStr">
        <is>
          <t>BaseHitDamage</t>
        </is>
      </c>
      <c r="L581" s="9" t="inlineStr">
        <is>
          <t>NonCritAvg</t>
        </is>
      </c>
      <c r="M581" s="9" t="inlineStr">
        <is>
          <t>CritAvg</t>
        </is>
      </c>
      <c r="N581" s="9" t="inlineStr">
        <is>
          <t>ExpectedDamage(perHit)</t>
        </is>
      </c>
      <c r="O581" s="9" t="inlineStr">
        <is>
          <t>DPS</t>
        </is>
      </c>
      <c r="P581" s="9" t="inlineStr">
        <is>
          <t>% of Total</t>
        </is>
      </c>
      <c r="R581" t="inlineStr">
        <is>
          <t>helpers</t>
        </is>
      </c>
    </row>
    <row r="582">
      <c r="A582">
        <f>Skills!A2</f>
        <v/>
      </c>
      <c r="B582">
        <f>Skills!B2</f>
        <v/>
      </c>
      <c r="C582">
        <f>Inputs!$B$3&gt;=100</f>
        <v/>
      </c>
      <c r="D582" t="inlineStr"/>
      <c r="E582" t="inlineStr"/>
      <c r="F582">
        <f>T584+Skills!N2</f>
        <v/>
      </c>
      <c r="G582">
        <f>Calc!G2</f>
        <v/>
      </c>
      <c r="H582">
        <f>Calc!H2</f>
        <v/>
      </c>
      <c r="I582">
        <f>IF(Skills!T2&lt;&gt;"",1+(Skills!T2/10)*($Z$3/1000)/100,1)</f>
        <v/>
      </c>
      <c r="J582">
        <f>((Inputs!$B$6*(1+Inputs!$B$7/100))+(((Inputs!$B$13*(1+Inputs!$B$14/100))-(Inputs!$B$13*(1+Inputs!$B$14/100)))+0.25*(Inputs!$B$15-Inputs!$B$15))*(1+Inputs!$B$7/100))*(F582/100)</f>
        <v/>
      </c>
      <c r="K582">
        <f>J582*(1+(((Inputs!$B$13+IF(Inputs!$B$3&gt;=35,(10*INDEX(FactorTable!$B$2:$Y$301, MATCH(ROUND(MIN(300,MAX(1,Inputs!$B$3)),0), FactorTable!$A$2:$A$301,0), 23)/1000)/100*(Inputs!$B$8*(1+(Inputs!$B$9+B618)/100)),0))*(1+Inputs!$B$14/100))*0.01+Inputs!$B$15*0.0025)/100)*(1+(Inputs!$B$16+B612)/100)*(1+IF(Inputs!$B$39="pvp",0,(1-Summary!$B$48)*(Inputs!$B$21+Skills!O2+B610)+Summary!$B$48*(Inputs!$B$22+Skills!P2+B611))/100)*(1+Inputs!$B$17/100)*(5000/(6000+Inputs!$B$43*(1-Inputs!$B$20/100)))*(1+Inputs!$B$25/100)*(1+IF(C598=TRUE,F598,0)/100)*(1+IF(C600=TRUE,F600,0)/100)*(1+IF(Skills!A2="TRIUMPH_FEATHER",IF(C596=TRUE,F596,0),0)/100)*(1+IF(C607=TRUE,F607,0)/100)^5*(1+(IF(Skills!A2="BIG_BANG",Inputs!$B$18,Inputs!$B$19))/100)*(B609*I582)</f>
        <v/>
      </c>
      <c r="L582">
        <f>K582*(MIN(Inputs!$B$23+(F602-Calc!F22),Inputs!$B$24)/100+Inputs!$B$24/100)/2</f>
        <v/>
      </c>
      <c r="M582">
        <f>L582*(1+(Inputs!$B$11+B613+(F605-Calc!F25))/100)</f>
        <v/>
      </c>
      <c r="N582">
        <f>L582*(1-MIN(Inputs!$B$10+((F604-Calc!F24)+(F603-Calc!F23)),100)/100)+M582*(MIN(Inputs!$B$10+((F604-Calc!F24)+(F603-Calc!F23)),100)/100)</f>
        <v/>
      </c>
      <c r="O582">
        <f>IF(C582,Skills!F2*N582*B617*IF(Inputs!$B$39="pvp",1,(1-Summary!$B$48)*(1)+Summary!$B$48*(MIN((6+Inputs!$B$34),Inputs!$B$38))),0)</f>
        <v/>
      </c>
      <c r="P582">
        <f>IF(B620=0,0,O582/B620)</f>
        <v/>
      </c>
      <c r="Q582">
        <f>IFERROR(1/IF(Inputs!$B$39="pvp",15,MAX(0.1,Skills!D2-IF(Skills!E2=TRUE,Inputs!$B$33,0))),0)</f>
        <v/>
      </c>
      <c r="R582" t="n">
        <v>0</v>
      </c>
      <c r="T582">
        <f>MAX(0,(Inputs!$B$3-100)*3)+Inputs!$B$29+Inputs!$B$30</f>
        <v/>
      </c>
    </row>
    <row r="583">
      <c r="A583">
        <f>Skills!A3</f>
        <v/>
      </c>
      <c r="B583">
        <f>Skills!B3</f>
        <v/>
      </c>
      <c r="C583">
        <f>Inputs!$B$3&gt;=15</f>
        <v/>
      </c>
      <c r="D583">
        <f>IF(Skills!C3=1,60+Inputs!$B$26+Inputs!$B$30,IF(Skills!C3=2,90+Inputs!$B$27+Inputs!$B$30,IF(Skills!C3=3,120+Inputs!$B$28+Inputs!$B$30,MAX(0,(Inputs!$B$3-100)*3)+Inputs!$B$29+Inputs!$B$30)))</f>
        <v/>
      </c>
      <c r="E583">
        <f>INDEX(FactorTable!$B$2:$Y$301, MATCH(ROUND(MIN(300,MAX(1,D583)),0), FactorTable!$A$2:$A$301,0), Skills!L3+1)</f>
        <v/>
      </c>
      <c r="F583">
        <f>IF(Skills!M3=TRUE,(Skills!K3/10)*(E583/1000),Skills!K3/10)+Skills!N3</f>
        <v/>
      </c>
      <c r="G583">
        <f>Calc!G3</f>
        <v/>
      </c>
      <c r="H583">
        <f>Calc!H3</f>
        <v/>
      </c>
      <c r="I583">
        <f>IF(Skills!T3&lt;&gt;"",1+(Skills!T3/10)*($Z$3/1000)/100,1)</f>
        <v/>
      </c>
      <c r="J583" t="inlineStr"/>
      <c r="K583" t="inlineStr"/>
      <c r="L583" t="inlineStr"/>
      <c r="M583" t="inlineStr"/>
      <c r="N583" t="inlineStr"/>
      <c r="O583" t="n">
        <v>0</v>
      </c>
      <c r="P583">
        <f>IF(B620=0,0,O583/B620)</f>
        <v/>
      </c>
      <c r="Q583">
        <f>IFERROR(1/IF(Inputs!$B$39="pvp",15,MAX(0.1,Skills!D3-IF(Skills!E3=TRUE,Inputs!$B$33,0))),0)</f>
        <v/>
      </c>
      <c r="R583">
        <f>IF(AND(Inputs!$B$39&lt;&gt;"pvp",Inputs!$B$44&gt;0),IF(Inputs!$B$44&lt;=0,0,(INT(Inputs!$B$44/IF(Inputs!$B$39="pvp",15,MAX(0.1,Skills!D3-IF(Skills!E3=TRUE,Inputs!$B$33,0))))+1)),0)</f>
        <v/>
      </c>
      <c r="T583">
        <f>INDEX(FactorTable!$B$2:$Y$301, MATCH(ROUND(MIN(300,MAX(1,T582)),0), FactorTable!$A$2:$A$301,0), 22)</f>
        <v/>
      </c>
    </row>
    <row r="584">
      <c r="A584">
        <f>Skills!A4</f>
        <v/>
      </c>
      <c r="B584">
        <f>Skills!B4</f>
        <v/>
      </c>
      <c r="C584">
        <f>Inputs!$B$3&gt;=38</f>
        <v/>
      </c>
      <c r="D584">
        <f>IF(Skills!C4=1,60+Inputs!$B$26+Inputs!$B$30,IF(Skills!C4=2,90+Inputs!$B$27+Inputs!$B$30,IF(Skills!C4=3,120+Inputs!$B$28+Inputs!$B$30,MAX(0,(Inputs!$B$3-100)*3)+Inputs!$B$29+Inputs!$B$30)))</f>
        <v/>
      </c>
      <c r="E584">
        <f>INDEX(FactorTable!$B$2:$Y$301, MATCH(ROUND(MIN(300,MAX(1,D584)),0), FactorTable!$A$2:$A$301,0), Skills!L4+1)</f>
        <v/>
      </c>
      <c r="F584">
        <f>IF(Skills!M4=TRUE,(Skills!K4/10)*(E584/1000),Skills!K4/10)+Skills!N4</f>
        <v/>
      </c>
      <c r="G584">
        <f>Calc!G4</f>
        <v/>
      </c>
      <c r="H584">
        <f>Calc!H4</f>
        <v/>
      </c>
      <c r="I584">
        <f>IF(Skills!T4&lt;&gt;"",1+(Skills!T4/10)*($Z$3/1000)/100,1)</f>
        <v/>
      </c>
      <c r="J584" t="inlineStr"/>
      <c r="K584" t="inlineStr"/>
      <c r="L584" t="inlineStr"/>
      <c r="M584" t="inlineStr"/>
      <c r="N584" t="inlineStr"/>
      <c r="O584" t="n">
        <v>0</v>
      </c>
      <c r="P584">
        <f>IF(B620=0,0,O584/B620)</f>
        <v/>
      </c>
      <c r="Q584">
        <f>IFERROR(1/IF(Inputs!$B$39="pvp",15,MAX(0.1,Skills!D4-IF(Skills!E4=TRUE,Inputs!$B$33,0))),0)</f>
        <v/>
      </c>
      <c r="R584">
        <f>IF(AND(Inputs!$B$39&lt;&gt;"pvp",Inputs!$B$44&gt;0),IF(Inputs!$B$44&lt;=0,0,(INT(Inputs!$B$44/IF(Inputs!$B$39="pvp",15,MAX(0.1,Skills!D4-IF(Skills!E4=TRUE,Inputs!$B$33,0))))+1)),0)</f>
        <v/>
      </c>
      <c r="T584">
        <f>290*T583/1000</f>
        <v/>
      </c>
    </row>
    <row r="585">
      <c r="A585">
        <f>Skills!A5</f>
        <v/>
      </c>
      <c r="B585">
        <f>Skills!B5</f>
        <v/>
      </c>
      <c r="C585">
        <f>Inputs!$B$3&gt;=40</f>
        <v/>
      </c>
      <c r="D585">
        <f>IF(Skills!C5=1,60+Inputs!$B$26+Inputs!$B$30,IF(Skills!C5=2,90+Inputs!$B$27+Inputs!$B$30,IF(Skills!C5=3,120+Inputs!$B$28+Inputs!$B$30,MAX(0,(Inputs!$B$3-100)*3)+Inputs!$B$29+Inputs!$B$30)))</f>
        <v/>
      </c>
      <c r="E585">
        <f>INDEX(FactorTable!$B$2:$Y$301, MATCH(ROUND(MIN(300,MAX(1,D585)),0), FactorTable!$A$2:$A$301,0), Skills!L5+1)</f>
        <v/>
      </c>
      <c r="F585">
        <f>IF(Skills!M5=TRUE,(Skills!K5/10)*(E585/1000),Skills!K5/10)+Skills!N5</f>
        <v/>
      </c>
      <c r="G585">
        <f>Calc!G5</f>
        <v/>
      </c>
      <c r="H585">
        <f>Calc!H5</f>
        <v/>
      </c>
      <c r="I585">
        <f>IF(Skills!T5&lt;&gt;"",1+(Skills!T5/10)*($Z$3/1000)/100,1)</f>
        <v/>
      </c>
      <c r="J585" t="inlineStr"/>
      <c r="K585" t="inlineStr"/>
      <c r="L585" t="inlineStr"/>
      <c r="M585" t="inlineStr"/>
      <c r="N585" t="inlineStr"/>
      <c r="O585" t="n">
        <v>0</v>
      </c>
      <c r="P585">
        <f>IF(B620=0,0,O585/B620)</f>
        <v/>
      </c>
      <c r="Q585">
        <f>IFERROR(1/IF(Inputs!$B$39="pvp",15,MAX(0.1,Skills!D5-IF(Skills!E5=TRUE,Inputs!$B$33,0))),0)</f>
        <v/>
      </c>
      <c r="R585">
        <f>IF(AND(Inputs!$B$39&lt;&gt;"pvp",Inputs!$B$44&gt;0),IF(Inputs!$B$44&lt;=0,0,(INT(Inputs!$B$44/IF(Inputs!$B$39="pvp",15,MAX(0.1,Skills!D5-IF(Skills!E5=TRUE,Inputs!$B$33,0))))+1)),0)</f>
        <v/>
      </c>
    </row>
    <row r="586">
      <c r="A586">
        <f>Skills!A6</f>
        <v/>
      </c>
      <c r="B586">
        <f>Skills!B6</f>
        <v/>
      </c>
      <c r="C586">
        <f>Inputs!$B$3&gt;=103</f>
        <v/>
      </c>
      <c r="D586">
        <f>IF(Skills!C6=1,60+Inputs!$B$26+Inputs!$B$30,IF(Skills!C6=2,90+Inputs!$B$27+Inputs!$B$30,IF(Skills!C6=3,120+Inputs!$B$28+Inputs!$B$30,MAX(0,(Inputs!$B$3-100)*3)+Inputs!$B$29+Inputs!$B$30)))</f>
        <v/>
      </c>
      <c r="E586">
        <f>INDEX(FactorTable!$B$2:$Y$301, MATCH(ROUND(MIN(300,MAX(1,D586)),0), FactorTable!$A$2:$A$301,0), Skills!L6+1)</f>
        <v/>
      </c>
      <c r="F586">
        <f>IF(Skills!M6=TRUE,(Skills!K6/10)*(E586/1000),Skills!K6/10)+Skills!N6</f>
        <v/>
      </c>
      <c r="G586">
        <f>Calc!G6</f>
        <v/>
      </c>
      <c r="H586">
        <f>Calc!H6</f>
        <v/>
      </c>
      <c r="I586">
        <f>IF(Skills!T6&lt;&gt;"",1+(Skills!T6/10)*($Z$3/1000)/100,1)</f>
        <v/>
      </c>
      <c r="J586">
        <f>((Inputs!$B$6*(1+Inputs!$B$7/100))+(((Inputs!$B$13*(1+Inputs!$B$14/100))-(Inputs!$B$13*(1+Inputs!$B$14/100)))+0.25*(Inputs!$B$15-Inputs!$B$15))*(1+Inputs!$B$7/100))*(F586/100)</f>
        <v/>
      </c>
      <c r="K586">
        <f>J586*(1+(((Inputs!$B$13+IF(Inputs!$B$3&gt;=35,(10*INDEX(FactorTable!$B$2:$Y$301, MATCH(ROUND(MIN(300,MAX(1,Inputs!$B$3)),0), FactorTable!$A$2:$A$301,0), 23)/1000)/100*(Inputs!$B$8*(1+(Inputs!$B$9+B618)/100)),0))*(1+Inputs!$B$14/100))*0.01+Inputs!$B$15*0.0025)/100)*(1+(Inputs!$B$16+B612)/100)*(1+IF(Inputs!$B$39="pvp",0,(1-Summary!$B$48)*(Inputs!$B$21+Skills!O6+B610)+Summary!$B$48*(Inputs!$B$22+Skills!P6+B611))/100)*(1+Inputs!$B$17/100)*(5000/(6000+Inputs!$B$43*(1-Inputs!$B$20/100)))*(1+Inputs!$B$25/100)*(1+IF(C598=TRUE,F598,0)/100)*(1+IF(C600=TRUE,F600,0)/100)*(1+IF(Skills!A6="TRIUMPH_FEATHER",IF(C596=TRUE,F596,0),0)/100)*(1+IF(C607=TRUE,F607,0)/100)^5*(1+(IF(Skills!A6="BIG_BANG",Inputs!$B$18,Inputs!$B$19))/100)*(B609*I586)</f>
        <v/>
      </c>
      <c r="L586">
        <f>K586*(MIN(Inputs!$B$23+(F602-Calc!F22),Inputs!$B$24)/100+Inputs!$B$24/100)/2</f>
        <v/>
      </c>
      <c r="M586">
        <f>L586*(1+(Inputs!$B$11+B613+(F605-Calc!F25))/100)</f>
        <v/>
      </c>
      <c r="N586">
        <f>L586*(1-MIN(Inputs!$B$10+((F604-Calc!F24)+(F603-Calc!F23)),100)/100)+M586*(MIN(Inputs!$B$10+((F604-Calc!F24)+(F603-Calc!F23)),100)/100)</f>
        <v/>
      </c>
      <c r="O586">
        <f>IF(C586,H586*N586*IF(AND(Inputs!$B$39&lt;&gt;"pvp",Inputs!$B$44&gt;0),((Skills!F6*((R586-1)*IF(Skills!G6&gt;0,Skills!H6/Skills!G6,1)+IF(Skills!G6&gt;0,MIN(Skills!H6,MAX(0,MAX(0,Inputs!$B$44-B619)-((R586-1)*IF(Inputs!$B$39="pvp",15,MAX(0.1,Skills!D6-IF(Skills!E6=TRUE,Inputs!$B$33,0))))))/Skills!G6,1)))/Inputs!$B$44),G586*Q586)*IF(Inputs!$B$39="pvp",1,(1-Summary!$B$48)*(1)+Summary!$B$48*(MIN(Skills!Q6,Inputs!$B$38))),0)</f>
        <v/>
      </c>
      <c r="P586">
        <f>IF(B620=0,0,O586/B620)</f>
        <v/>
      </c>
      <c r="Q586">
        <f>IFERROR(1/IF(Inputs!$B$39="pvp",15,MAX(0.1,Skills!D6-IF(Skills!E6=TRUE,Inputs!$B$33,0))),0)</f>
        <v/>
      </c>
      <c r="R586">
        <f>IF(AND(Inputs!$B$39&lt;&gt;"pvp",Inputs!$B$44&gt;0),IF(MAX(0,Inputs!$B$44-B619)&lt;=0,0,(INT(MAX(0,Inputs!$B$44-B619)/IF(Inputs!$B$39="pvp",15,MAX(0.1,Skills!D6-IF(Skills!E6=TRUE,Inputs!$B$33,0))))+1)),0)</f>
        <v/>
      </c>
    </row>
    <row r="587">
      <c r="A587">
        <f>Skills!A7</f>
        <v/>
      </c>
      <c r="B587">
        <f>Skills!B7</f>
        <v/>
      </c>
      <c r="C587">
        <f>Inputs!$B$3&gt;=122</f>
        <v/>
      </c>
      <c r="D587">
        <f>IF(Skills!C7=1,60+Inputs!$B$26+Inputs!$B$30,IF(Skills!C7=2,90+Inputs!$B$27+Inputs!$B$30,IF(Skills!C7=3,120+Inputs!$B$28+Inputs!$B$30,MAX(0,(Inputs!$B$3-100)*3)+Inputs!$B$29+Inputs!$B$30)))</f>
        <v/>
      </c>
      <c r="E587">
        <f>INDEX(FactorTable!$B$2:$Y$301, MATCH(ROUND(MIN(300,MAX(1,D587)),0), FactorTable!$A$2:$A$301,0), Skills!L7+1)</f>
        <v/>
      </c>
      <c r="F587">
        <f>IF(Skills!M7=TRUE,(Skills!K7/10)*(E587/1000),Skills!K7/10)+Skills!N7</f>
        <v/>
      </c>
      <c r="G587">
        <f>Calc!G7</f>
        <v/>
      </c>
      <c r="H587">
        <f>Calc!H7</f>
        <v/>
      </c>
      <c r="I587">
        <f>IF(Skills!T7&lt;&gt;"",1+(Skills!T7/10)*($Z$3/1000)/100,1)</f>
        <v/>
      </c>
      <c r="J587">
        <f>((Inputs!$B$6*(1+Inputs!$B$7/100))+(((Inputs!$B$13*(1+Inputs!$B$14/100))-(Inputs!$B$13*(1+Inputs!$B$14/100)))+0.25*(Inputs!$B$15-Inputs!$B$15))*(1+Inputs!$B$7/100))*(F587/100)</f>
        <v/>
      </c>
      <c r="K587">
        <f>J587*(1+(((Inputs!$B$13+IF(Inputs!$B$3&gt;=35,(10*INDEX(FactorTable!$B$2:$Y$301, MATCH(ROUND(MIN(300,MAX(1,Inputs!$B$3)),0), FactorTable!$A$2:$A$301,0), 23)/1000)/100*(Inputs!$B$8*(1+(Inputs!$B$9+B618)/100)),0))*(1+Inputs!$B$14/100))*0.01+Inputs!$B$15*0.0025)/100)*(1+(Inputs!$B$16+B612)/100)*(1+IF(Inputs!$B$39="pvp",0,(1-Summary!$B$48)*(Inputs!$B$21+Skills!O7+B610)+Summary!$B$48*(Inputs!$B$22+Skills!P7+B611))/100)*(1+Inputs!$B$17/100)*(5000/(6000+Inputs!$B$43*(1-Inputs!$B$20/100)))*(1+Inputs!$B$25/100)*(1+IF(C598=TRUE,F598,0)/100)*(1+IF(C600=TRUE,F600,0)/100)*(1+IF(Skills!A7="TRIUMPH_FEATHER",IF(C596=TRUE,F596,0),0)/100)*(1+IF(C607=TRUE,F607,0)/100)^5*(1+(IF(Skills!A7="BIG_BANG",Inputs!$B$18,Inputs!$B$19))/100)*(B609*I587)</f>
        <v/>
      </c>
      <c r="L587">
        <f>K587*(MIN(Inputs!$B$23+(F602-Calc!F22),Inputs!$B$24)/100+Inputs!$B$24/100)/2</f>
        <v/>
      </c>
      <c r="M587">
        <f>L587*(1+(Inputs!$B$11+B613+(F605-Calc!F25))/100)</f>
        <v/>
      </c>
      <c r="N587">
        <f>L587*(1-MIN(Inputs!$B$10+((F604-Calc!F24)+(F603-Calc!F23)),100)/100)+M587*(MIN(Inputs!$B$10+((F604-Calc!F24)+(F603-Calc!F23)),100)/100)</f>
        <v/>
      </c>
      <c r="O587">
        <f>IF(C587,H587*N587*IF(AND(Inputs!$B$39&lt;&gt;"pvp",Inputs!$B$44&gt;0),((Skills!F7*((R587-1)*IF(Skills!G7&gt;0,Skills!H7/Skills!G7,1)+IF(Skills!G7&gt;0,MIN(Skills!H7,MAX(0,MAX(0,Inputs!$B$44-B619)-((R587-1)*IF(Inputs!$B$39="pvp",15,MAX(0.1,Skills!D7-IF(Skills!E6=TRUE,Inputs!$B$33,0))))))/Skills!G7,1)))/Inputs!$B$44),G587*Q587)*(1-Summary!$B$48),0)</f>
        <v/>
      </c>
      <c r="P587">
        <f>IF(B620=0,0,O587/B620)</f>
        <v/>
      </c>
      <c r="Q587">
        <f>IFERROR(1/IF(Inputs!$B$39="pvp",15,MAX(0.1,Skills!D7-IF(Skills!E6=TRUE,Inputs!$B$33,0))),0)</f>
        <v/>
      </c>
      <c r="R587">
        <f>IF(AND(Inputs!$B$39&lt;&gt;"pvp",Inputs!$B$44&gt;0),IF(MAX(0,Inputs!$B$44-B619)&lt;=0,0,(INT(MAX(0,Inputs!$B$44-B619)/IF(Inputs!$B$39="pvp",15,MAX(0.1,Skills!D7-IF(Skills!E6=TRUE,Inputs!$B$33,0))))+1)),0)</f>
        <v/>
      </c>
    </row>
    <row r="588">
      <c r="A588">
        <f>Skills!A8</f>
        <v/>
      </c>
      <c r="B588">
        <f>Skills!B8</f>
        <v/>
      </c>
      <c r="C588">
        <f>Inputs!$B$3&gt;=105</f>
        <v/>
      </c>
      <c r="D588">
        <f>IF(Skills!C8=1,60+Inputs!$B$26+Inputs!$B$30,IF(Skills!C8=2,90+Inputs!$B$27+Inputs!$B$30,IF(Skills!C8=3,120+Inputs!$B$28+Inputs!$B$30,MAX(0,(Inputs!$B$3-100)*3)+Inputs!$B$29+Inputs!$B$30)))</f>
        <v/>
      </c>
      <c r="E588">
        <f>INDEX(FactorTable!$B$2:$Y$301, MATCH(ROUND(MIN(300,MAX(1,D588)),0), FactorTable!$A$2:$A$301,0), Skills!L8+1)</f>
        <v/>
      </c>
      <c r="F588">
        <f>IF(Skills!M8=TRUE,(Skills!K8/10)*(E588/1000),Skills!K8/10)+Skills!N8</f>
        <v/>
      </c>
      <c r="G588">
        <f>Calc!G8</f>
        <v/>
      </c>
      <c r="H588">
        <f>Calc!H8</f>
        <v/>
      </c>
      <c r="I588">
        <f>IF(Skills!T8&lt;&gt;"",1+(Skills!T8/10)*($Z$3/1000)/100,1)</f>
        <v/>
      </c>
      <c r="J588">
        <f>((Inputs!$B$6*(1+Inputs!$B$7/100))+(((Inputs!$B$13*(1+Inputs!$B$14/100))-(Inputs!$B$13*(1+Inputs!$B$14/100)))+0.25*(Inputs!$B$15-Inputs!$B$15))*(1+Inputs!$B$7/100))*(F588/100)</f>
        <v/>
      </c>
      <c r="K588">
        <f>J588*(1+(((Inputs!$B$13+IF(Inputs!$B$3&gt;=35,(10*INDEX(FactorTable!$B$2:$Y$301, MATCH(ROUND(MIN(300,MAX(1,Inputs!$B$3)),0), FactorTable!$A$2:$A$301,0), 23)/1000)/100*(Inputs!$B$8*(1+(Inputs!$B$9+B618)/100)),0))*(1+Inputs!$B$14/100))*0.01+Inputs!$B$15*0.0025)/100)*(1+(Inputs!$B$16+B612)/100)*(1+IF(Inputs!$B$39="pvp",0,(1-Summary!$B$48)*(Inputs!$B$21+Skills!O8+B610)+Summary!$B$48*(Inputs!$B$22+Skills!P8+B611))/100)*(1+Inputs!$B$17/100)*(5000/(6000+Inputs!$B$43*(1-Inputs!$B$20/100)))*(1+Inputs!$B$25/100)*(1+IF(C598=TRUE,F598,0)/100)*(1+IF(C600=TRUE,F600,0)/100)*(1+IF(Skills!A8="TRIUMPH_FEATHER",IF(C596=TRUE,F596,0),0)/100)*(1+IF(C607=TRUE,F607,0)/100)^5*(1+(IF(Skills!A8="BIG_BANG",Inputs!$B$18,Inputs!$B$19))/100)*(B609*I588)</f>
        <v/>
      </c>
      <c r="L588">
        <f>K588*(MIN(Inputs!$B$23+(F602-Calc!F22),Inputs!$B$24)/100+Inputs!$B$24/100)/2</f>
        <v/>
      </c>
      <c r="M588">
        <f>L588*(1+(Inputs!$B$11+B613+(F605-Calc!F25))/100)</f>
        <v/>
      </c>
      <c r="N588">
        <f>L588*(1-MIN(Inputs!$B$10+((F604-Calc!F24)+(F603-Calc!F23)),100)/100)+M588*(MIN(Inputs!$B$10+((F604-Calc!F24)+(F603-Calc!F23)),100)/100)</f>
        <v/>
      </c>
      <c r="O588">
        <f>IF(C588,H588*N588*IF(AND(Inputs!$B$39&lt;&gt;"pvp",Inputs!$B$44&gt;0),((Skills!F8*((R588-1)*IF(Skills!G8&gt;0,Skills!H8/Skills!G8,1)+IF(Skills!G8&gt;0,MIN(Skills!H8,MAX(0,MAX(0,Inputs!$B$44-B619)-((R588-1)*IF(Inputs!$B$39="pvp",15,MAX(0.1,Skills!D8-IF(Skills!E8=TRUE,Inputs!$B$33,0))))))/Skills!G8,1)))/Inputs!$B$44),G588*Q588)*IF(Inputs!$B$39="pvp",1,(1-Summary!$B$48)*(1)+Summary!$B$48*(MIN(Skills!Q8,Inputs!$B$38))),0)</f>
        <v/>
      </c>
      <c r="P588">
        <f>IF(B620=0,0,O588/B620)</f>
        <v/>
      </c>
      <c r="Q588">
        <f>IFERROR(1/IF(Inputs!$B$39="pvp",15,MAX(0.1,Skills!D8-IF(Skills!E8=TRUE,Inputs!$B$33,0))),0)</f>
        <v/>
      </c>
      <c r="R588">
        <f>IF(AND(Inputs!$B$39&lt;&gt;"pvp",Inputs!$B$44&gt;0),IF(MAX(0,Inputs!$B$44-B619)&lt;=0,0,(INT(MAX(0,Inputs!$B$44-B619)/IF(Inputs!$B$39="pvp",15,MAX(0.1,Skills!D8-IF(Skills!E8=TRUE,Inputs!$B$33,0))))+1)),0)</f>
        <v/>
      </c>
    </row>
    <row r="589">
      <c r="A589">
        <f>Skills!A9</f>
        <v/>
      </c>
      <c r="B589">
        <f>Skills!B9</f>
        <v/>
      </c>
      <c r="C589">
        <f>Inputs!$B$3&gt;=115</f>
        <v/>
      </c>
      <c r="D589">
        <f>IF(Skills!C9=1,60+Inputs!$B$26+Inputs!$B$30,IF(Skills!C9=2,90+Inputs!$B$27+Inputs!$B$30,IF(Skills!C9=3,120+Inputs!$B$28+Inputs!$B$30,MAX(0,(Inputs!$B$3-100)*3)+Inputs!$B$29+Inputs!$B$30)))</f>
        <v/>
      </c>
      <c r="E589">
        <f>INDEX(FactorTable!$B$2:$Y$301, MATCH(ROUND(MIN(300,MAX(1,D589)),0), FactorTable!$A$2:$A$301,0), Skills!L9+1)</f>
        <v/>
      </c>
      <c r="F589">
        <f>IF(Skills!M9=TRUE,(Skills!K9/10)*(E589/1000),Skills!K9/10)+Skills!N9</f>
        <v/>
      </c>
      <c r="G589">
        <f>Calc!G9</f>
        <v/>
      </c>
      <c r="H589">
        <f>Calc!H9</f>
        <v/>
      </c>
      <c r="I589">
        <f>IF(Skills!T9&lt;&gt;"",1+(Skills!T9/10)*($Z$3/1000)/100,1)</f>
        <v/>
      </c>
      <c r="J589">
        <f>((Inputs!$B$6*(1+Inputs!$B$7/100))+(((Inputs!$B$13*(1+Inputs!$B$14/100))-(Inputs!$B$13*(1+Inputs!$B$14/100)))+0.25*(Inputs!$B$15-Inputs!$B$15))*(1+Inputs!$B$7/100))*(F589/100)</f>
        <v/>
      </c>
      <c r="K589">
        <f>J589*(1+(((Inputs!$B$13+IF(Inputs!$B$3&gt;=35,(10*INDEX(FactorTable!$B$2:$Y$301, MATCH(ROUND(MIN(300,MAX(1,Inputs!$B$3)),0), FactorTable!$A$2:$A$301,0), 23)/1000)/100*(Inputs!$B$8*(1+(Inputs!$B$9+B618)/100)),0))*(1+Inputs!$B$14/100))*0.01+Inputs!$B$15*0.0025)/100)*(1+(Inputs!$B$16+B612)/100)*(1+IF(Inputs!$B$39="pvp",0,(1-Summary!$B$48)*(Inputs!$B$21+Skills!O9+B610)+Summary!$B$48*(Inputs!$B$22+Skills!P9+B611))/100)*(1+Inputs!$B$17/100)*(5000/(6000+Inputs!$B$43*(1-Inputs!$B$20/100)))*(1+Inputs!$B$25/100)*(1+IF(C598=TRUE,F598,0)/100)*(1+IF(C600=TRUE,F600,0)/100)*(1+IF(Skills!A9="TRIUMPH_FEATHER",IF(C596=TRUE,F596,0),0)/100)*(1+IF(C607=TRUE,F607,0)/100)^5*(1+(IF(Skills!A9="BIG_BANG",Inputs!$B$18,Inputs!$B$19))/100)*(B609*I589)</f>
        <v/>
      </c>
      <c r="L589">
        <f>K589*(MIN(Inputs!$B$23+(F602-Calc!F22),Inputs!$B$24)/100+Inputs!$B$24/100)/2</f>
        <v/>
      </c>
      <c r="M589">
        <f>L589*(1+(Inputs!$B$11+B613+(F605-Calc!F25))/100)</f>
        <v/>
      </c>
      <c r="N589">
        <f>L589*(1-MIN(Inputs!$B$10+((F604-Calc!F24)+(F603-Calc!F23)),100)/100)+M589*(MIN(Inputs!$B$10+((F604-Calc!F24)+(F603-Calc!F23)),100)/100)</f>
        <v/>
      </c>
      <c r="O589">
        <f>IF(C589,H589*N589*IF(AND(Inputs!$B$39&lt;&gt;"pvp",Inputs!$B$44&gt;0),((Skills!F9*((R589-1)*IF(Skills!G9&gt;0,Skills!H9/Skills!G9,1)+IF(Skills!G9&gt;0,MIN(Skills!H9,MAX(0,MAX(0,Inputs!$B$44-B619)-((R589-1)*IF(Inputs!$B$39="pvp",15,MAX(0.1,Skills!D9-IF(Skills!E9=TRUE,Inputs!$B$33,0))))))/Skills!G9,1)))/Inputs!$B$44),G589*Q589)*IF(Inputs!$B$39="pvp",1,(1-Summary!$B$48)*(1)+Summary!$B$48*(MIN(Skills!Q9,Inputs!$B$38))),0)</f>
        <v/>
      </c>
      <c r="P589">
        <f>IF(B620=0,0,O589/B620)</f>
        <v/>
      </c>
      <c r="Q589">
        <f>IFERROR(1/IF(Inputs!$B$39="pvp",15,MAX(0.1,Skills!D9-IF(Skills!E9=TRUE,Inputs!$B$33,0))),0)</f>
        <v/>
      </c>
      <c r="R589">
        <f>IF(AND(Inputs!$B$39&lt;&gt;"pvp",Inputs!$B$44&gt;0),IF(MAX(0,Inputs!$B$44-B619)&lt;=0,0,(INT(MAX(0,Inputs!$B$44-B619)/IF(Inputs!$B$39="pvp",15,MAX(0.1,Skills!D9-IF(Skills!E9=TRUE,Inputs!$B$33,0))))+1)),0)</f>
        <v/>
      </c>
    </row>
    <row r="590">
      <c r="A590">
        <f>Skills!A10</f>
        <v/>
      </c>
      <c r="B590">
        <f>Skills!B10</f>
        <v/>
      </c>
      <c r="C590">
        <f>Inputs!$B$3&gt;=66</f>
        <v/>
      </c>
      <c r="D590">
        <f>IF(Skills!C10=1,60+Inputs!$B$26+Inputs!$B$30,IF(Skills!C10=2,90+Inputs!$B$27+Inputs!$B$30,IF(Skills!C10=3,120+Inputs!$B$28+Inputs!$B$30,MAX(0,(Inputs!$B$3-100)*3)+Inputs!$B$29+Inputs!$B$30)))</f>
        <v/>
      </c>
      <c r="E590">
        <f>INDEX(FactorTable!$B$2:$Y$301, MATCH(ROUND(MIN(300,MAX(1,D590)),0), FactorTable!$A$2:$A$301,0), Skills!L10+1)</f>
        <v/>
      </c>
      <c r="F590" t="n">
        <v>0</v>
      </c>
      <c r="G590">
        <f>Calc!G10</f>
        <v/>
      </c>
      <c r="H590">
        <f>Calc!H10</f>
        <v/>
      </c>
      <c r="I590">
        <f>IF(Skills!T10&lt;&gt;"",1+(Skills!T10/10)*($Z$3/1000)/100,1)</f>
        <v/>
      </c>
      <c r="J590" t="inlineStr"/>
      <c r="K590" t="inlineStr"/>
      <c r="L590" t="inlineStr"/>
      <c r="M590" t="inlineStr"/>
      <c r="N590" t="inlineStr"/>
      <c r="O590" t="n">
        <v>0</v>
      </c>
      <c r="P590">
        <f>IF(B620=0,0,O590/B620)</f>
        <v/>
      </c>
      <c r="Q590">
        <f>IFERROR(1/IF(Inputs!$B$39="pvp",15,MAX(0.1,Skills!D10-IF(Skills!E10=TRUE,Inputs!$B$33,0))),0)</f>
        <v/>
      </c>
      <c r="R590">
        <f>IF(AND(Inputs!$B$39&lt;&gt;"pvp",Inputs!$B$44&gt;0),IF(MAX(0,Inputs!$B$44-B619)&lt;=0,0,(INT(MAX(0,Inputs!$B$44-B619)/IF(Inputs!$B$39="pvp",15,MAX(0.1,Skills!D10-IF(Skills!E10=TRUE,Inputs!$B$33,0))))+1)),0)</f>
        <v/>
      </c>
    </row>
    <row r="591">
      <c r="A591">
        <f>Skills!A11</f>
        <v/>
      </c>
      <c r="B591">
        <f>Skills!B11</f>
        <v/>
      </c>
      <c r="C591">
        <f>Inputs!$B$3&gt;=69</f>
        <v/>
      </c>
      <c r="D591">
        <f>IF(Skills!C11=1,60+Inputs!$B$26+Inputs!$B$30,IF(Skills!C11=2,90+Inputs!$B$27+Inputs!$B$30,IF(Skills!C11=3,120+Inputs!$B$28+Inputs!$B$30,MAX(0,(Inputs!$B$3-100)*3)+Inputs!$B$29+Inputs!$B$30)))</f>
        <v/>
      </c>
      <c r="E591">
        <f>INDEX(FactorTable!$B$2:$Y$301, MATCH(ROUND(MIN(300,MAX(1,D591)),0), FactorTable!$A$2:$A$301,0), Skills!L11+1)</f>
        <v/>
      </c>
      <c r="F591">
        <f>IF(Skills!M11=TRUE,(Skills!K11/10)*(E591/1000),Skills!K11/10)+Skills!N11</f>
        <v/>
      </c>
      <c r="G591">
        <f>Calc!G11</f>
        <v/>
      </c>
      <c r="H591">
        <f>Calc!H11</f>
        <v/>
      </c>
      <c r="I591">
        <f>IF(Skills!T11&lt;&gt;"",1+(Skills!T11/10)*($Z$3/1000)/100,1)</f>
        <v/>
      </c>
      <c r="J591" t="inlineStr"/>
      <c r="K591" t="inlineStr"/>
      <c r="L591" t="inlineStr"/>
      <c r="M591" t="inlineStr"/>
      <c r="N591" t="inlineStr"/>
      <c r="O591" t="n">
        <v>0</v>
      </c>
      <c r="P591">
        <f>IF(B620=0,0,O591/B620)</f>
        <v/>
      </c>
      <c r="Q591">
        <f>IFERROR(1/IF(Inputs!$B$39="pvp",15,MAX(0.1,Skills!D11-IF(Skills!E11=TRUE,Inputs!$B$33,0))),0)</f>
        <v/>
      </c>
      <c r="R591">
        <f>IF(AND(Inputs!$B$39&lt;&gt;"pvp",Inputs!$B$44&gt;0),IF(Inputs!$B$44&lt;=0,0,(INT(Inputs!$B$44/IF(Inputs!$B$39="pvp",15,MAX(0.1,Skills!D11-IF(Skills!E11=TRUE,Inputs!$B$33,0))))+1)),0)</f>
        <v/>
      </c>
    </row>
    <row r="592">
      <c r="A592">
        <f>Skills!A12</f>
        <v/>
      </c>
      <c r="B592">
        <f>Skills!B12</f>
        <v/>
      </c>
      <c r="C592">
        <f>Inputs!$B$3&gt;=72</f>
        <v/>
      </c>
      <c r="D592">
        <f>IF(Skills!C12=1,60+Inputs!$B$26+Inputs!$B$30,IF(Skills!C12=2,90+Inputs!$B$27+Inputs!$B$30,IF(Skills!C12=3,120+Inputs!$B$28+Inputs!$B$30,MAX(0,(Inputs!$B$3-100)*3)+Inputs!$B$29+Inputs!$B$30)))</f>
        <v/>
      </c>
      <c r="E592">
        <f>INDEX(FactorTable!$B$2:$Y$301, MATCH(ROUND(MIN(300,MAX(1,D592)),0), FactorTable!$A$2:$A$301,0), Skills!L12+1)</f>
        <v/>
      </c>
      <c r="F592">
        <f>IF(Skills!M12=TRUE,(Skills!K12/10)*(E592/1000),Skills!K12/10)+Skills!N12</f>
        <v/>
      </c>
      <c r="G592">
        <f>Calc!G12</f>
        <v/>
      </c>
      <c r="H592">
        <f>Calc!H12</f>
        <v/>
      </c>
      <c r="I592">
        <f>IF(Skills!T12&lt;&gt;"",1+(Skills!T12/10)*($Z$3/1000)/100,1)</f>
        <v/>
      </c>
      <c r="J592" t="inlineStr"/>
      <c r="K592" t="inlineStr"/>
      <c r="L592" t="inlineStr"/>
      <c r="M592" t="inlineStr"/>
      <c r="N592" t="inlineStr"/>
      <c r="O592" t="n">
        <v>0</v>
      </c>
      <c r="P592">
        <f>IF(B620=0,0,O592/B620)</f>
        <v/>
      </c>
      <c r="Q592">
        <f>IFERROR(1/IF(Inputs!$B$39="pvp",15,MAX(0.1,Skills!D12-IF(Skills!E12=TRUE,Inputs!$B$33,0))),0)</f>
        <v/>
      </c>
      <c r="R592">
        <f>IF(AND(Inputs!$B$39&lt;&gt;"pvp",Inputs!$B$44&gt;0),IF(MAX(0,Inputs!$B$44-B619)&lt;=0,0,(INT(MAX(0,Inputs!$B$44-B619)/IF(Inputs!$B$39="pvp",15,MAX(0.1,Skills!D12-IF(Skills!E12=TRUE,Inputs!$B$33,0))))+1)),0)</f>
        <v/>
      </c>
    </row>
    <row r="593">
      <c r="A593">
        <f>Skills!A13</f>
        <v/>
      </c>
      <c r="B593">
        <f>Skills!B13</f>
        <v/>
      </c>
      <c r="C593">
        <f>Inputs!$B$3&gt;=60</f>
        <v/>
      </c>
      <c r="D593">
        <f>IF(Skills!C13=1,60+Inputs!$B$26+Inputs!$B$30,IF(Skills!C13=2,90+Inputs!$B$27+Inputs!$B$30,IF(Skills!C13=3,120+Inputs!$B$28+Inputs!$B$30,MAX(0,(Inputs!$B$3-100)*3)+Inputs!$B$29+Inputs!$B$30)))</f>
        <v/>
      </c>
      <c r="E593">
        <f>INDEX(FactorTable!$B$2:$Y$301, MATCH(ROUND(MIN(300,MAX(1,D593)),0), FactorTable!$A$2:$A$301,0), Skills!L13+1)</f>
        <v/>
      </c>
      <c r="F593">
        <f>IF(Skills!M13=TRUE,(Skills!K13/10)*(E593/1000),Skills!K13/10)+Skills!N13</f>
        <v/>
      </c>
      <c r="G593">
        <f>Calc!G13</f>
        <v/>
      </c>
      <c r="H593">
        <f>Calc!H13</f>
        <v/>
      </c>
      <c r="I593">
        <f>IF(Skills!T13&lt;&gt;"",1+(Skills!T13/10)*($Z$3/1000)/100,1)</f>
        <v/>
      </c>
      <c r="J593" t="inlineStr"/>
      <c r="K593" t="inlineStr"/>
      <c r="L593" t="inlineStr"/>
      <c r="M593" t="inlineStr"/>
      <c r="N593" t="inlineStr"/>
      <c r="O593" t="n">
        <v>0</v>
      </c>
      <c r="P593">
        <f>IF(B620=0,0,O593/B620)</f>
        <v/>
      </c>
      <c r="Q593">
        <f>IFERROR(1/IF(Inputs!$B$39="pvp",15,MAX(0.1,Skills!D13-IF(Skills!E13=TRUE,Inputs!$B$33,0))),0)</f>
        <v/>
      </c>
      <c r="R593">
        <f>IF(AND(Inputs!$B$39&lt;&gt;"pvp",Inputs!$B$44&gt;0),IF(MAX(0,Inputs!$B$44-B619)&lt;=0,0,(INT(MAX(0,Inputs!$B$44-B619)/IF(Inputs!$B$39="pvp",15,MAX(0.1,Skills!D13-IF(Skills!E13=TRUE,Inputs!$B$33,0))))+1)),0)</f>
        <v/>
      </c>
    </row>
    <row r="594">
      <c r="A594">
        <f>Skills!A14</f>
        <v/>
      </c>
      <c r="B594">
        <f>Skills!B14</f>
        <v/>
      </c>
      <c r="C594">
        <f>Inputs!$B$3&gt;=107</f>
        <v/>
      </c>
      <c r="D594">
        <f>IF(Skills!C14=1,60+Inputs!$B$26+Inputs!$B$30,IF(Skills!C14=2,90+Inputs!$B$27+Inputs!$B$30,IF(Skills!C14=3,120+Inputs!$B$28+Inputs!$B$30,MAX(0,(Inputs!$B$3-100)*3)+Inputs!$B$29+Inputs!$B$30)))</f>
        <v/>
      </c>
      <c r="E594">
        <f>INDEX(FactorTable!$B$2:$Y$301, MATCH(ROUND(MIN(300,MAX(1,D594)),0), FactorTable!$A$2:$A$301,0), Skills!L14+1)</f>
        <v/>
      </c>
      <c r="F594">
        <f>IF(Skills!M14=TRUE,(Skills!K14/10)*(E594/1000),Skills!K14/10)+Skills!N14</f>
        <v/>
      </c>
      <c r="G594">
        <f>Calc!G14</f>
        <v/>
      </c>
      <c r="H594">
        <f>Calc!H14</f>
        <v/>
      </c>
      <c r="I594">
        <f>IF(Skills!T14&lt;&gt;"",1+(Skills!T14/10)*($Z$3/1000)/100,1)</f>
        <v/>
      </c>
      <c r="J594" t="inlineStr"/>
      <c r="K594" t="inlineStr"/>
      <c r="L594" t="inlineStr"/>
      <c r="M594" t="inlineStr"/>
      <c r="N594" t="inlineStr"/>
      <c r="O594" t="n">
        <v>0</v>
      </c>
      <c r="P594">
        <f>IF(B620=0,0,O594/B620)</f>
        <v/>
      </c>
      <c r="Q594">
        <f>IFERROR(1/IF(Inputs!$B$39="pvp",15,MAX(0.1,Skills!D14-IF(Skills!E14=TRUE,Inputs!$B$33,0))),0)</f>
        <v/>
      </c>
      <c r="R594">
        <f>IF(AND(Inputs!$B$39&lt;&gt;"pvp",Inputs!$B$44&gt;0),IF(Inputs!$B$44&lt;=0,0,(INT(Inputs!$B$44/IF(Inputs!$B$39="pvp",15,MAX(0.1,Skills!D14-IF(Skills!E14=TRUE,Inputs!$B$33,0))))+1)),0)</f>
        <v/>
      </c>
    </row>
    <row r="595">
      <c r="A595">
        <f>Skills!A15</f>
        <v/>
      </c>
      <c r="B595">
        <f>Skills!B15</f>
        <v/>
      </c>
      <c r="C595">
        <f>Inputs!$B$3&gt;=63</f>
        <v/>
      </c>
      <c r="D595">
        <f>IF(Skills!C15=1,60+Inputs!$B$26+Inputs!$B$30,IF(Skills!C15=2,90+Inputs!$B$27+Inputs!$B$30,IF(Skills!C15=3,120+Inputs!$B$28+Inputs!$B$30,MAX(0,(Inputs!$B$3-100)*3)+Inputs!$B$29+Inputs!$B$30)))</f>
        <v/>
      </c>
      <c r="E595">
        <f>INDEX(FactorTable!$B$2:$Y$301, MATCH(ROUND(MIN(300,MAX(1,D595)),0), FactorTable!$A$2:$A$301,0), Skills!L15+1)</f>
        <v/>
      </c>
      <c r="F595">
        <f>IF(Skills!M15=TRUE,(Skills!K15/10)*(E595/1000),Skills!K15/10)+Skills!N15</f>
        <v/>
      </c>
      <c r="G595">
        <f>Calc!G15</f>
        <v/>
      </c>
      <c r="H595">
        <f>Calc!H15</f>
        <v/>
      </c>
      <c r="I595">
        <f>IF(Skills!T15&lt;&gt;"",1+(Skills!T15/10)*($Z$3/1000)/100,1)</f>
        <v/>
      </c>
      <c r="J595">
        <f>((Inputs!$B$6*(1+Inputs!$B$7/100))+(((Inputs!$B$13*(1+Inputs!$B$14/100))-(Inputs!$B$13*(1+Inputs!$B$14/100)))+0.25*(Inputs!$B$15-Inputs!$B$15))*(1+Inputs!$B$7/100))*(F595/100)</f>
        <v/>
      </c>
      <c r="K595">
        <f>J595*(1+(((Inputs!$B$13+IF(Inputs!$B$3&gt;=35,(10*INDEX(FactorTable!$B$2:$Y$301, MATCH(ROUND(MIN(300,MAX(1,Inputs!$B$3)),0), FactorTable!$A$2:$A$301,0), 23)/1000)/100*(Inputs!$B$8*(1+(Inputs!$B$9+B618)/100)),0))*(1+Inputs!$B$14/100))*0.01+Inputs!$B$15*0.0025)/100)*(1+(Inputs!$B$16+B612)/100)*(1+IF(Inputs!$B$39="pvp",0,(1-Summary!$B$48)*(Inputs!$B$21+Skills!O15+B610)+Summary!$B$48*(Inputs!$B$22+Skills!P15+B611))/100)*(1+Inputs!$B$17/100)*(5000/(6000+Inputs!$B$43*(1-Inputs!$B$20/100)))*(1+Inputs!$B$25/100)*(1+IF(C598=TRUE,F598,0)/100)*(1+IF(C600=TRUE,F600,0)/100)*(1+IF(Skills!A15="TRIUMPH_FEATHER",IF(C596=TRUE,F596,0),0)/100)*(1+IF(C607=TRUE,F607,0)/100)^5*(1+(IF(Skills!A15="BIG_BANG",Inputs!$B$18,Inputs!$B$19))/100)*(B609*I595)</f>
        <v/>
      </c>
      <c r="L595">
        <f>K595*(MIN(Inputs!$B$23+(F602-Calc!F22),Inputs!$B$24)/100+Inputs!$B$24/100)/2</f>
        <v/>
      </c>
      <c r="M595">
        <f>L595*(1+(Inputs!$B$11+B613+(F605-Calc!F25))/100)</f>
        <v/>
      </c>
      <c r="N595">
        <f>L595*(1-MIN(Inputs!$B$10+((F604-Calc!F24)+(F603-Calc!F23)),100)/100)+M595*(MIN(Inputs!$B$10+((F604-Calc!F24)+(F603-Calc!F23)),100)/100)</f>
        <v/>
      </c>
      <c r="O595">
        <f>IF(C595,Skills!F15*N595*((IF(Inputs!$B$3&gt;=78,25,15)/100*B615*10)/(1+IF(Inputs!$B$3&gt;=78,25,15)/100*B615*10))*(Skills!I15/100*B615)/(1+Skills!G15*Skills!I15/100*B615)*IF(Inputs!$B$39="pvp",1,(1-Summary!$B$48)*(1)+Summary!$B$48*(MIN(Skills!Q15,Inputs!$B$38))),0)</f>
        <v/>
      </c>
      <c r="P595">
        <f>IF(B620=0,0,O595/B620)</f>
        <v/>
      </c>
      <c r="Q595">
        <f>IFERROR(1/IF(Inputs!$B$39="pvp",15,MAX(0.1,Skills!D15-IF(Skills!E15=TRUE,Inputs!$B$33,0))),0)</f>
        <v/>
      </c>
      <c r="R595" t="n">
        <v>0</v>
      </c>
    </row>
    <row r="596">
      <c r="A596">
        <f>Skills!A16</f>
        <v/>
      </c>
      <c r="B596">
        <f>Skills!B16</f>
        <v/>
      </c>
      <c r="C596">
        <f>Inputs!$B$3&gt;=100</f>
        <v/>
      </c>
      <c r="D596">
        <f>IF(Skills!C16=1,60+Inputs!$B$26+Inputs!$B$30,IF(Skills!C16=2,90+Inputs!$B$27+Inputs!$B$30,IF(Skills!C16=3,120+Inputs!$B$28+Inputs!$B$30,MAX(0,(Inputs!$B$3-100)*3)+Inputs!$B$29+Inputs!$B$30)))</f>
        <v/>
      </c>
      <c r="E596">
        <f>INDEX(FactorTable!$B$2:$Y$301, MATCH(ROUND(MIN(300,MAX(1,D596)),0), FactorTable!$A$2:$A$301,0), Skills!L16+1)</f>
        <v/>
      </c>
      <c r="F596">
        <f>IF(Skills!M16=TRUE,(Skills!K16/10)*(E596/1000),Skills!K16/10)+Skills!N16</f>
        <v/>
      </c>
      <c r="G596">
        <f>Calc!G16</f>
        <v/>
      </c>
      <c r="H596">
        <f>Calc!H16</f>
        <v/>
      </c>
      <c r="I596">
        <f>IF(Skills!T16&lt;&gt;"",1+(Skills!T16/10)*($Z$3/1000)/100,1)</f>
        <v/>
      </c>
      <c r="J596" t="inlineStr"/>
      <c r="K596" t="inlineStr"/>
      <c r="L596" t="inlineStr"/>
      <c r="M596" t="inlineStr"/>
      <c r="N596" t="inlineStr"/>
      <c r="O596" t="n">
        <v>0</v>
      </c>
      <c r="P596">
        <f>IF(B620=0,0,O596/B620)</f>
        <v/>
      </c>
      <c r="Q596">
        <f>IFERROR(1/IF(Inputs!$B$39="pvp",15,MAX(0.1,Skills!D16-IF(Skills!E16=TRUE,Inputs!$B$33,0))),0)</f>
        <v/>
      </c>
      <c r="R596" t="n">
        <v>0</v>
      </c>
    </row>
    <row r="597">
      <c r="A597">
        <f>Skills!A17</f>
        <v/>
      </c>
      <c r="B597">
        <f>Skills!B17</f>
        <v/>
      </c>
      <c r="C597">
        <f>Inputs!$B$3&gt;=49</f>
        <v/>
      </c>
      <c r="D597">
        <f>IF(Skills!C17=1,60+Inputs!$B$26+Inputs!$B$30,IF(Skills!C17=2,90+Inputs!$B$27+Inputs!$B$30,IF(Skills!C17=3,120+Inputs!$B$28+Inputs!$B$30,MAX(0,(Inputs!$B$3-100)*3)+Inputs!$B$29+Inputs!$B$30)))</f>
        <v/>
      </c>
      <c r="E597">
        <f>INDEX(FactorTable!$B$2:$Y$301, MATCH(ROUND(MIN(300,MAX(1,D597)),0), FactorTable!$A$2:$A$301,0), Skills!L17+1)</f>
        <v/>
      </c>
      <c r="F597">
        <f>IF(Skills!M17=TRUE,(Skills!K17/10)*(E597/1000),Skills!K17/10)+Skills!N17</f>
        <v/>
      </c>
      <c r="G597">
        <f>Calc!G17</f>
        <v/>
      </c>
      <c r="H597">
        <f>Calc!H17</f>
        <v/>
      </c>
      <c r="I597">
        <f>IF(Skills!T17&lt;&gt;"",1+(Skills!T17/10)*($Z$3/1000)/100,1)</f>
        <v/>
      </c>
      <c r="J597" t="inlineStr"/>
      <c r="K597" t="inlineStr"/>
      <c r="L597" t="inlineStr"/>
      <c r="M597" t="inlineStr"/>
      <c r="N597" t="inlineStr"/>
      <c r="O597" t="n">
        <v>0</v>
      </c>
      <c r="P597">
        <f>IF(B620=0,0,O597/B620)</f>
        <v/>
      </c>
      <c r="Q597">
        <f>IFERROR(1/IF(Inputs!$B$39="pvp",15,MAX(0.1,Skills!D17-IF(Skills!E17=TRUE,Inputs!$B$33,0))),0)</f>
        <v/>
      </c>
      <c r="R597" t="n">
        <v>0</v>
      </c>
    </row>
    <row r="598">
      <c r="A598">
        <f>Skills!A18</f>
        <v/>
      </c>
      <c r="B598">
        <f>Skills!B18</f>
        <v/>
      </c>
      <c r="C598">
        <f>Inputs!$B$3&gt;=75</f>
        <v/>
      </c>
      <c r="D598">
        <f>IF(Skills!C18=1,60+Inputs!$B$26+Inputs!$B$30,IF(Skills!C18=2,90+Inputs!$B$27+Inputs!$B$30,IF(Skills!C18=3,120+Inputs!$B$28+Inputs!$B$30,MAX(0,(Inputs!$B$3-100)*3)+Inputs!$B$29+Inputs!$B$30)))</f>
        <v/>
      </c>
      <c r="E598">
        <f>INDEX(FactorTable!$B$2:$Y$301, MATCH(ROUND(MIN(300,MAX(1,D598)),0), FactorTable!$A$2:$A$301,0), Skills!L18+1)</f>
        <v/>
      </c>
      <c r="F598">
        <f>IF(Skills!M18=TRUE,(Skills!K18/10)*(E598/1000),Skills!K18/10)+Skills!N18</f>
        <v/>
      </c>
      <c r="G598">
        <f>Calc!G18</f>
        <v/>
      </c>
      <c r="H598">
        <f>Calc!H18</f>
        <v/>
      </c>
      <c r="I598">
        <f>IF(Skills!T18&lt;&gt;"",1+(Skills!T18/10)*($Z$3/1000)/100,1)</f>
        <v/>
      </c>
      <c r="J598" t="inlineStr"/>
      <c r="K598" t="inlineStr"/>
      <c r="L598" t="inlineStr"/>
      <c r="M598" t="inlineStr"/>
      <c r="N598" t="inlineStr"/>
      <c r="O598" t="n">
        <v>0</v>
      </c>
      <c r="P598">
        <f>IF(B620=0,0,O598/B620)</f>
        <v/>
      </c>
      <c r="Q598">
        <f>IFERROR(1/IF(Inputs!$B$39="pvp",15,MAX(0.1,Skills!D18-IF(Skills!E18=TRUE,Inputs!$B$33,0))),0)</f>
        <v/>
      </c>
      <c r="R598" t="n">
        <v>0</v>
      </c>
    </row>
    <row r="599">
      <c r="A599">
        <f>Skills!A19</f>
        <v/>
      </c>
      <c r="B599">
        <f>Skills!B19</f>
        <v/>
      </c>
      <c r="C599">
        <f>Inputs!$B$3&gt;=110</f>
        <v/>
      </c>
      <c r="D599">
        <f>IF(Skills!C19=1,60+Inputs!$B$26+Inputs!$B$30,IF(Skills!C19=2,90+Inputs!$B$27+Inputs!$B$30,IF(Skills!C19=3,120+Inputs!$B$28+Inputs!$B$30,MAX(0,(Inputs!$B$3-100)*3)+Inputs!$B$29+Inputs!$B$30)))</f>
        <v/>
      </c>
      <c r="E599">
        <f>INDEX(FactorTable!$B$2:$Y$301, MATCH(ROUND(MIN(300,MAX(1,D599)),0), FactorTable!$A$2:$A$301,0), Skills!L19+1)</f>
        <v/>
      </c>
      <c r="F599">
        <f>(Skills!K19/10)*(E599/1000)*64/45+Skills!N19</f>
        <v/>
      </c>
      <c r="G599">
        <f>Calc!G19</f>
        <v/>
      </c>
      <c r="H599">
        <f>Calc!H19</f>
        <v/>
      </c>
      <c r="I599">
        <f>IF(Skills!T19&lt;&gt;"",1+(Skills!T19/10)*($Z$3/1000)/100,1)</f>
        <v/>
      </c>
      <c r="J599" t="inlineStr"/>
      <c r="K599" t="inlineStr"/>
      <c r="L599" t="inlineStr"/>
      <c r="M599" t="inlineStr"/>
      <c r="N599" t="inlineStr"/>
      <c r="O599" t="n">
        <v>0</v>
      </c>
      <c r="P599">
        <f>IF(B620=0,0,O599/B620)</f>
        <v/>
      </c>
      <c r="Q599">
        <f>IFERROR(1/IF(Inputs!$B$39="pvp",15,MAX(0.1,Skills!D19-IF(Skills!E19=TRUE,Inputs!$B$33,0))),0)</f>
        <v/>
      </c>
      <c r="R599">
        <f>IF(AND(Inputs!$B$39&lt;&gt;"pvp",Inputs!$B$44&gt;0),IF(Inputs!$B$44&lt;=0,0,(INT(Inputs!$B$44/IF(Inputs!$B$39="pvp",15,MAX(0.1,Skills!D19-IF(Skills!E19=TRUE,Inputs!$B$33,0))))+1)),0)</f>
        <v/>
      </c>
    </row>
    <row r="600">
      <c r="A600">
        <f>Skills!A20</f>
        <v/>
      </c>
      <c r="B600">
        <f>Skills!B20</f>
        <v/>
      </c>
      <c r="C600">
        <f>Inputs!$B$3&gt;=125</f>
        <v/>
      </c>
      <c r="D600">
        <f>IF(Skills!C20=1,60+Inputs!$B$26+Inputs!$B$30,IF(Skills!C20=2,90+Inputs!$B$27+Inputs!$B$30,IF(Skills!C20=3,120+Inputs!$B$28+Inputs!$B$30,MAX(0,(Inputs!$B$3-100)*3)+Inputs!$B$29+Inputs!$B$30)))</f>
        <v/>
      </c>
      <c r="E600">
        <f>INDEX(FactorTable!$B$2:$Y$301, MATCH(ROUND(MIN(300,MAX(1,D600)),0), FactorTable!$A$2:$A$301,0), Skills!L20+1)</f>
        <v/>
      </c>
      <c r="F600">
        <f>IF(Skills!M20=TRUE,(Skills!K20/10)*(E600/1000),Skills!K20/10)+Skills!N20</f>
        <v/>
      </c>
      <c r="G600">
        <f>Calc!G20</f>
        <v/>
      </c>
      <c r="H600">
        <f>Calc!H20</f>
        <v/>
      </c>
      <c r="I600">
        <f>IF(Skills!T20&lt;&gt;"",1+(Skills!T20/10)*($Z$3/1000)/100,1)</f>
        <v/>
      </c>
      <c r="J600" t="inlineStr"/>
      <c r="K600" t="inlineStr"/>
      <c r="L600" t="inlineStr"/>
      <c r="M600" t="inlineStr"/>
      <c r="N600" t="inlineStr"/>
      <c r="O600" t="n">
        <v>0</v>
      </c>
      <c r="P600">
        <f>IF(B620=0,0,O600/B620)</f>
        <v/>
      </c>
      <c r="Q600">
        <f>IFERROR(1/IF(Inputs!$B$39="pvp",15,MAX(0.1,Skills!D20-IF(Skills!E20=TRUE,Inputs!$B$33,0))),0)</f>
        <v/>
      </c>
      <c r="R600" t="n">
        <v>0</v>
      </c>
    </row>
    <row r="601">
      <c r="A601">
        <f>Skills!A21</f>
        <v/>
      </c>
      <c r="B601">
        <f>Skills!B21</f>
        <v/>
      </c>
      <c r="C601">
        <f>Inputs!$B$3&gt;=33</f>
        <v/>
      </c>
      <c r="D601">
        <f>IF(Skills!C21=1,60+Inputs!$B$26+Inputs!$B$30,IF(Skills!C21=2,90+Inputs!$B$27+Inputs!$B$30,IF(Skills!C21=3,120+Inputs!$B$28+Inputs!$B$30,MAX(0,(Inputs!$B$3-100)*3)+Inputs!$B$29+Inputs!$B$30)))</f>
        <v/>
      </c>
      <c r="E601">
        <f>INDEX(FactorTable!$B$2:$Y$301, MATCH(ROUND(MIN(300,MAX(1,D601)),0), FactorTable!$A$2:$A$301,0), Skills!L21+1)</f>
        <v/>
      </c>
      <c r="F601">
        <f>IF(Skills!M21=TRUE,(Skills!K21/10)*(E601/1000),Skills!K21/10)+Skills!N21</f>
        <v/>
      </c>
      <c r="G601">
        <f>Calc!G21</f>
        <v/>
      </c>
      <c r="H601">
        <f>Calc!H21</f>
        <v/>
      </c>
      <c r="I601">
        <f>IF(Skills!T21&lt;&gt;"",1+(Skills!T21/10)*($Z$3/1000)/100,1)</f>
        <v/>
      </c>
      <c r="J601" t="inlineStr"/>
      <c r="K601" t="inlineStr"/>
      <c r="L601" t="inlineStr"/>
      <c r="M601" t="inlineStr"/>
      <c r="N601" t="inlineStr"/>
      <c r="O601" t="n">
        <v>0</v>
      </c>
      <c r="P601">
        <f>IF(B620=0,0,O601/B620)</f>
        <v/>
      </c>
      <c r="Q601">
        <f>IFERROR(1/IF(Inputs!$B$39="pvp",15,MAX(0.1,Skills!D21-IF(Skills!E21=TRUE,Inputs!$B$33,0))),0)</f>
        <v/>
      </c>
      <c r="R601" t="n">
        <v>0</v>
      </c>
    </row>
    <row r="602">
      <c r="A602">
        <f>Skills!A22</f>
        <v/>
      </c>
      <c r="B602">
        <f>Skills!B22</f>
        <v/>
      </c>
      <c r="C602">
        <f>Inputs!$B$3&gt;=43</f>
        <v/>
      </c>
      <c r="D602">
        <f>IF(Skills!C22=1,60+Inputs!$B$26+Inputs!$B$30,IF(Skills!C22=2,90+Inputs!$B$27+Inputs!$B$30,IF(Skills!C22=3,120+Inputs!$B$28+Inputs!$B$30,MAX(0,(Inputs!$B$3-100)*3)+Inputs!$B$29+Inputs!$B$30)))</f>
        <v/>
      </c>
      <c r="E602">
        <f>INDEX(FactorTable!$B$2:$Y$301, MATCH(ROUND(MIN(300,MAX(1,D602)),0), FactorTable!$A$2:$A$301,0), Skills!L22+1)</f>
        <v/>
      </c>
      <c r="F602">
        <f>IF(Skills!M22=TRUE,(Skills!K22/10)*(E602/1000),Skills!K22/10)+Skills!N22</f>
        <v/>
      </c>
      <c r="G602">
        <f>Calc!G22</f>
        <v/>
      </c>
      <c r="H602">
        <f>Calc!H22</f>
        <v/>
      </c>
      <c r="I602">
        <f>IF(Skills!T22&lt;&gt;"",1+(Skills!T22/10)*($Z$3/1000)/100,1)</f>
        <v/>
      </c>
      <c r="J602" t="inlineStr"/>
      <c r="K602" t="inlineStr"/>
      <c r="L602" t="inlineStr"/>
      <c r="M602" t="inlineStr"/>
      <c r="N602" t="inlineStr"/>
      <c r="O602" t="n">
        <v>0</v>
      </c>
      <c r="P602">
        <f>IF(B620=0,0,O602/B620)</f>
        <v/>
      </c>
      <c r="Q602">
        <f>IFERROR(1/IF(Inputs!$B$39="pvp",15,MAX(0.1,Skills!D22-IF(Skills!E22=TRUE,Inputs!$B$33,0))),0)</f>
        <v/>
      </c>
      <c r="R602" t="n">
        <v>0</v>
      </c>
    </row>
    <row r="603">
      <c r="A603">
        <f>Skills!A23</f>
        <v/>
      </c>
      <c r="B603">
        <f>Skills!B23</f>
        <v/>
      </c>
      <c r="C603">
        <f>Inputs!$B$3&gt;=50</f>
        <v/>
      </c>
      <c r="D603">
        <f>IF(Skills!C23=1,60+Inputs!$B$26+Inputs!$B$30,IF(Skills!C23=2,90+Inputs!$B$27+Inputs!$B$30,IF(Skills!C23=3,120+Inputs!$B$28+Inputs!$B$30,MAX(0,(Inputs!$B$3-100)*3)+Inputs!$B$29+Inputs!$B$30)))</f>
        <v/>
      </c>
      <c r="E603">
        <f>INDEX(FactorTable!$B$2:$Y$301, MATCH(ROUND(MIN(300,MAX(1,D603)),0), FactorTable!$A$2:$A$301,0), Skills!L23+1)</f>
        <v/>
      </c>
      <c r="F603">
        <f>IF(Skills!M23=TRUE,(Skills!K23/10)*(E603/1000),Skills!K23/10)+Skills!N23</f>
        <v/>
      </c>
      <c r="G603">
        <f>Calc!G23</f>
        <v/>
      </c>
      <c r="H603">
        <f>Calc!H23</f>
        <v/>
      </c>
      <c r="I603">
        <f>IF(Skills!T23&lt;&gt;"",1+(Skills!T23/10)*($Z$3/1000)/100,1)</f>
        <v/>
      </c>
      <c r="J603" t="inlineStr"/>
      <c r="K603" t="inlineStr"/>
      <c r="L603" t="inlineStr"/>
      <c r="M603" t="inlineStr"/>
      <c r="N603" t="inlineStr"/>
      <c r="O603" t="n">
        <v>0</v>
      </c>
      <c r="P603">
        <f>IF(B620=0,0,O603/B620)</f>
        <v/>
      </c>
      <c r="Q603">
        <f>IFERROR(1/IF(Inputs!$B$39="pvp",15,MAX(0.1,Skills!D23-IF(Skills!E23=TRUE,Inputs!$B$33,0))),0)</f>
        <v/>
      </c>
      <c r="R603" t="n">
        <v>0</v>
      </c>
    </row>
    <row r="604">
      <c r="A604">
        <f>Skills!A24</f>
        <v/>
      </c>
      <c r="B604">
        <f>Skills!B24</f>
        <v/>
      </c>
      <c r="C604">
        <f>Inputs!$B$3&gt;=74</f>
        <v/>
      </c>
      <c r="D604">
        <f>IF(Skills!C24=1,60+Inputs!$B$26+Inputs!$B$30,IF(Skills!C24=2,90+Inputs!$B$27+Inputs!$B$30,IF(Skills!C24=3,120+Inputs!$B$28+Inputs!$B$30,MAX(0,(Inputs!$B$3-100)*3)+Inputs!$B$29+Inputs!$B$30)))</f>
        <v/>
      </c>
      <c r="E604">
        <f>INDEX(FactorTable!$B$2:$Y$301, MATCH(ROUND(MIN(300,MAX(1,D604)),0), FactorTable!$A$2:$A$301,0), Skills!L24+1)</f>
        <v/>
      </c>
      <c r="F604">
        <f>IF(Skills!M24=TRUE,(Skills!K24/10)*(E604/1000),Skills!K24/10)+Skills!N24</f>
        <v/>
      </c>
      <c r="G604">
        <f>Calc!G24</f>
        <v/>
      </c>
      <c r="H604">
        <f>Calc!H24</f>
        <v/>
      </c>
      <c r="I604">
        <f>IF(Skills!T24&lt;&gt;"",1+(Skills!T24/10)*($Z$3/1000)/100,1)</f>
        <v/>
      </c>
      <c r="J604" t="inlineStr"/>
      <c r="K604" t="inlineStr"/>
      <c r="L604" t="inlineStr"/>
      <c r="M604" t="inlineStr"/>
      <c r="N604" t="inlineStr"/>
      <c r="O604" t="n">
        <v>0</v>
      </c>
      <c r="P604">
        <f>IF(B620=0,0,O604/B620)</f>
        <v/>
      </c>
      <c r="Q604">
        <f>IFERROR(1/IF(Inputs!$B$39="pvp",15,MAX(0.1,Skills!D24-IF(Skills!E24=TRUE,Inputs!$B$33,0))),0)</f>
        <v/>
      </c>
      <c r="R604" t="n">
        <v>0</v>
      </c>
    </row>
    <row r="605">
      <c r="A605">
        <f>Skills!A25</f>
        <v/>
      </c>
      <c r="B605">
        <f>Skills!B25</f>
        <v/>
      </c>
      <c r="C605">
        <f>Inputs!$B$3&gt;=74</f>
        <v/>
      </c>
      <c r="D605">
        <f>IF(Skills!C25=1,60+Inputs!$B$26+Inputs!$B$30,IF(Skills!C25=2,90+Inputs!$B$27+Inputs!$B$30,IF(Skills!C25=3,120+Inputs!$B$28+Inputs!$B$30,MAX(0,(Inputs!$B$3-100)*3)+Inputs!$B$29+Inputs!$B$30)))</f>
        <v/>
      </c>
      <c r="E605">
        <f>INDEX(FactorTable!$B$2:$Y$301, MATCH(ROUND(MIN(300,MAX(1,D605)),0), FactorTable!$A$2:$A$301,0), Skills!L25+1)</f>
        <v/>
      </c>
      <c r="F605">
        <f>IF(Skills!M25=TRUE,(Skills!K25/10)*(E605/1000),Skills!K25/10)+Skills!N25</f>
        <v/>
      </c>
      <c r="G605">
        <f>Calc!G25</f>
        <v/>
      </c>
      <c r="H605">
        <f>Calc!H25</f>
        <v/>
      </c>
      <c r="I605">
        <f>IF(Skills!T25&lt;&gt;"",1+(Skills!T25/10)*($Z$3/1000)/100,1)</f>
        <v/>
      </c>
      <c r="J605" t="inlineStr"/>
      <c r="K605" t="inlineStr"/>
      <c r="L605" t="inlineStr"/>
      <c r="M605" t="inlineStr"/>
      <c r="N605" t="inlineStr"/>
      <c r="O605" t="n">
        <v>0</v>
      </c>
      <c r="P605">
        <f>IF(B620=0,0,O605/B620)</f>
        <v/>
      </c>
      <c r="Q605">
        <f>IFERROR(1/IF(Inputs!$B$39="pvp",15,MAX(0.1,Skills!D25-IF(Skills!E25=TRUE,Inputs!$B$33,0))),0)</f>
        <v/>
      </c>
      <c r="R605" t="n">
        <v>0</v>
      </c>
    </row>
    <row r="606">
      <c r="A606">
        <f>Skills!A26</f>
        <v/>
      </c>
      <c r="B606">
        <f>Skills!B26</f>
        <v/>
      </c>
      <c r="C606">
        <f>Inputs!$B$3&gt;=117</f>
        <v/>
      </c>
      <c r="D606">
        <f>IF(Skills!C26=1,60+Inputs!$B$26+Inputs!$B$30,IF(Skills!C26=2,90+Inputs!$B$27+Inputs!$B$30,IF(Skills!C26=3,120+Inputs!$B$28+Inputs!$B$30,MAX(0,(Inputs!$B$3-100)*3)+Inputs!$B$29+Inputs!$B$30)))</f>
        <v/>
      </c>
      <c r="E606">
        <f>INDEX(FactorTable!$B$2:$Y$301, MATCH(ROUND(MIN(300,MAX(1,D606)),0), FactorTable!$A$2:$A$301,0), Skills!L26+1)</f>
        <v/>
      </c>
      <c r="F606">
        <f>IF(Skills!M26=TRUE,(Skills!K26/10)*(E606/1000),Skills!K26/10)+Skills!N26</f>
        <v/>
      </c>
      <c r="G606">
        <f>Calc!G26</f>
        <v/>
      </c>
      <c r="H606">
        <f>Calc!H26</f>
        <v/>
      </c>
      <c r="I606">
        <f>IF(Skills!T26&lt;&gt;"",1+(Skills!T26/10)*($Z$3/1000)/100,1)</f>
        <v/>
      </c>
      <c r="J606" t="inlineStr"/>
      <c r="K606" t="inlineStr"/>
      <c r="L606" t="inlineStr"/>
      <c r="M606" t="inlineStr"/>
      <c r="N606" t="inlineStr"/>
      <c r="O606" t="n">
        <v>0</v>
      </c>
      <c r="P606">
        <f>IF(B620=0,0,O606/B620)</f>
        <v/>
      </c>
      <c r="Q606">
        <f>IFERROR(1/IF(Inputs!$B$39="pvp",15,MAX(0.1,Skills!D26-IF(Skills!E26=TRUE,Inputs!$B$33,0))),0)</f>
        <v/>
      </c>
      <c r="R606" t="n">
        <v>0</v>
      </c>
    </row>
    <row r="607">
      <c r="A607">
        <f>Skills!A27</f>
        <v/>
      </c>
      <c r="B607">
        <f>Skills!B27</f>
        <v/>
      </c>
      <c r="C607">
        <f>Inputs!$B$3&gt;=120</f>
        <v/>
      </c>
      <c r="D607">
        <f>IF(Skills!C27=1,60+Inputs!$B$26+Inputs!$B$30,IF(Skills!C27=2,90+Inputs!$B$27+Inputs!$B$30,IF(Skills!C27=3,120+Inputs!$B$28+Inputs!$B$30,MAX(0,(Inputs!$B$3-100)*3)+Inputs!$B$29+Inputs!$B$30)))</f>
        <v/>
      </c>
      <c r="E607">
        <f>INDEX(FactorTable!$B$2:$Y$301, MATCH(ROUND(MIN(300,MAX(1,D607)),0), FactorTable!$A$2:$A$301,0), Skills!L27+1)</f>
        <v/>
      </c>
      <c r="F607">
        <f>IF(Skills!M27=TRUE,(Skills!K27/10)*(E607/1000),Skills!K27/10)+Skills!N27</f>
        <v/>
      </c>
      <c r="G607">
        <f>Calc!G27</f>
        <v/>
      </c>
      <c r="H607">
        <f>Calc!H27</f>
        <v/>
      </c>
      <c r="I607">
        <f>IF(Skills!T27&lt;&gt;"",1+(Skills!T27/10)*($Z$3/1000)/100,1)</f>
        <v/>
      </c>
      <c r="J607" t="inlineStr"/>
      <c r="K607" t="inlineStr"/>
      <c r="L607" t="inlineStr"/>
      <c r="M607" t="inlineStr"/>
      <c r="N607" t="inlineStr"/>
      <c r="O607" t="n">
        <v>0</v>
      </c>
      <c r="P607">
        <f>IF(B620=0,0,O607/B620)</f>
        <v/>
      </c>
      <c r="Q607">
        <f>IFERROR(1/IF(Inputs!$B$39="pvp",15,MAX(0.1,Skills!D27-IF(Skills!E27=TRUE,Inputs!$B$33,0))),0)</f>
        <v/>
      </c>
      <c r="R607" t="n">
        <v>0</v>
      </c>
    </row>
    <row r="609">
      <c r="A609" t="inlineStr">
        <is>
          <t>Average Buff Multiplier</t>
        </is>
      </c>
      <c r="B609">
        <f>(1+(IF(C583=TRUE,F583*IF(AND(Inputs!$B$39&lt;&gt;"pvp",Inputs!$B$44&gt;0),(((R583-1)*(Skills!S3*(1+(Inputs!$B$35+IF(Inputs!$B$3&gt;=117,F606,0))/100))+MIN((Skills!S3*(1+(Inputs!$B$35+IF(Inputs!$B$3&gt;=117,F606,0))/100)),MAX(0,Inputs!$B$44-((R583-1)*Skills!D3))))/Inputs!$B$44),IF(Inputs!$B$39="pvp",MIN((Skills!S3*(1+(Inputs!$B$35+IF(Inputs!$B$3&gt;=117,F606,0))/100)),15)/15,(Skills!S3*(1+(Inputs!$B$35+IF(Inputs!$B$3&gt;=117,F606,0))/100))/Skills!D3)),0)+IF(C584=TRUE,F584*IF(AND(Inputs!$B$39&lt;&gt;"pvp",Inputs!$B$44&gt;0),(((R584-1)*(Skills!S4*(1+(Inputs!$B$35+IF(Inputs!$B$3&gt;=117,F606,0))/100))+MIN((Skills!S4*(1+(Inputs!$B$35+IF(Inputs!$B$3&gt;=117,F606,0))/100)),MAX(0,Inputs!$B$44-((R584-1)*Skills!D4))))/Inputs!$B$44),IF(Inputs!$B$39="pvp",MIN((Skills!S4*(1+(Inputs!$B$35+IF(Inputs!$B$3&gt;=117,F606,0))/100)),15)/15,(Skills!S4*(1+(Inputs!$B$35+IF(Inputs!$B$3&gt;=117,F606,0))/100))/Skills!D4)),0)+IF(C585=TRUE,F585*IF(AND(Inputs!$B$39&lt;&gt;"pvp",Inputs!$B$44&gt;0),(((R585-1)*(Skills!S5*(1+(Inputs!$B$35+IF(Inputs!$B$3&gt;=117,F606,0))/100))+MIN((Skills!S5*(1+(Inputs!$B$35+IF(Inputs!$B$3&gt;=117,F606,0))/100)),MAX(0,Inputs!$B$44-((R585-1)*Skills!D5))))/Inputs!$B$44),IF(Inputs!$B$39="pvp",MIN((Skills!S5*(1+(Inputs!$B$35+IF(Inputs!$B$3&gt;=117,F606,0))/100)),15)/15,(Skills!S5*(1+(Inputs!$B$35+IF(Inputs!$B$3&gt;=117,F606,0))/100))/Skills!D5)),0)+IF(C591=TRUE,F591*IF(AND(Inputs!$B$39&lt;&gt;"pvp",Inputs!$B$44&gt;0),(((R591-1)*(Skills!S11*(1+(Inputs!$B$35+IF(Inputs!$B$3&gt;=117,F606,0))/100))+MIN((Skills!S11*(1+(Inputs!$B$35+IF(Inputs!$B$3&gt;=117,F606,0))/100)),MAX(0,Inputs!$B$44-((R591-1)*Skills!D11))))/Inputs!$B$44),IF(Inputs!$B$39="pvp",MIN((Skills!S11*(1+(Inputs!$B$35+IF(Inputs!$B$3&gt;=117,F606,0))/100)),15)/15,(Skills!S11*(1+(Inputs!$B$35+IF(Inputs!$B$3&gt;=117,F606,0))/100))/Skills!D11)),0))/100)*IF(C594=TRUE,(1+F594*IF(AND(Inputs!$B$39&lt;&gt;"pvp",Inputs!$B$44&gt;0),(((R594-1)*(Skills!S14*(1+(Inputs!$B$35+IF(Inputs!$B$3&gt;=117,F606,0))/100))+MIN((Skills!S14*(1+(Inputs!$B$35+IF(Inputs!$B$3&gt;=117,F606,0))/100)),MAX(0,Inputs!$B$44-((R594-1)*Skills!D14))))/Inputs!$B$44),IF(Inputs!$B$39="pvp",MIN((Skills!S14*(1+(Inputs!$B$35+IF(Inputs!$B$3&gt;=117,F606,0))/100)),15)/15,(Skills!S14*(1+(Inputs!$B$35+IF(Inputs!$B$3&gt;=117,F606,0))/100))/Skills!D14))/100),1)*IF(C599=TRUE,(1+F599*IF(AND(Inputs!$B$39&lt;&gt;"pvp",Inputs!$B$44&gt;0),(((R599-1)*(Skills!S19*(1+(Inputs!$B$35+IF(Inputs!$B$3&gt;=117,F606,0))/100))+MIN((Skills!S19*(1+(Inputs!$B$35+IF(Inputs!$B$3&gt;=117,F606,0))/100)),MAX(0,Inputs!$B$44-((R599-1)*Skills!D19))))/Inputs!$B$44),IF(Inputs!$B$39="pvp",MIN((Skills!S19*(1+(Inputs!$B$35+IF(Inputs!$B$3&gt;=117,F606,0))/100)),15)/15,(Skills!S19*(1+(Inputs!$B$35+IF(Inputs!$B$3&gt;=117,F606,0))/100))/Skills!D19))/100),1)</f>
        <v/>
      </c>
    </row>
    <row r="610">
      <c r="A610" t="inlineStr">
        <is>
          <t>Monster Damage Taken Bonus % (Holy Fountain)</t>
        </is>
      </c>
      <c r="B610">
        <f>IF(Inputs!$B$3&gt;=68,20*IF(Inputs!$B$39="pvp",MIN((15*(1+(Inputs!$B$35+IF(Inputs!$B$3&gt;=117,F606,0))/100)),15)/15,(15*(1+(Inputs!$B$35+IF(Inputs!$B$3&gt;=117,F606,0))/100))/Skills!D10),0)</f>
        <v/>
      </c>
    </row>
    <row r="611">
      <c r="A611" t="inlineStr">
        <is>
          <t>Normal Monster Damage Bonus % (Holy Symbol)</t>
        </is>
      </c>
      <c r="B611">
        <f>IF(C592=TRUE,F592*IF(AND(Inputs!$B$39&lt;&gt;"pvp",Inputs!$B$44&gt;0),(((R592-1)*(Skills!S12*(1+(Inputs!$B$35+IF(Inputs!$B$3&gt;=117,F606,0))/100))+MIN((Skills!S12*(1+(Inputs!$B$35+IF(Inputs!$B$3&gt;=117,F606,0))/100)),MAX(0,Inputs!$B$44-((R592-1)*Skills!D12))))/Inputs!$B$44),IF(Inputs!$B$39="pvp",MIN((Skills!S12*(1+(Inputs!$B$35+IF(Inputs!$B$3&gt;=117,F606,0))/100)),15)/15,(Skills!S12*(1+(Inputs!$B$35+IF(Inputs!$B$3&gt;=117,F606,0))/100))/Skills!D12)),0)</f>
        <v/>
      </c>
    </row>
    <row r="612">
      <c r="A612" t="inlineStr">
        <is>
          <t>Damage % Bonus (Holy Symbol - Damage Boost)</t>
        </is>
      </c>
      <c r="B612">
        <f>Skills!O12</f>
        <v/>
      </c>
    </row>
    <row r="613">
      <c r="A613" t="inlineStr">
        <is>
          <t>Crit Damage % Bonus (Blood of the Divine)</t>
        </is>
      </c>
      <c r="B613">
        <f>4*IF(C600=TRUE,F600,0)</f>
        <v/>
      </c>
    </row>
    <row r="614">
      <c r="A614" t="inlineStr">
        <is>
          <t>Attack Speed Bonus %</t>
        </is>
      </c>
      <c r="B614">
        <f>IF(C597=TRUE,F597+(F601-Calc!F21),0)+IF(Inputs!$B$3&gt;=134,15,0)</f>
        <v/>
      </c>
    </row>
    <row r="615">
      <c r="A615" t="inlineStr">
        <is>
          <t>Actions Per Second</t>
        </is>
      </c>
      <c r="B615">
        <f>1+MIN(150,150*(1-(1-((1-(1-Inputs!$B$12/150)*(1-1/150))*150)/150)*(1-B614/150)))/100</f>
        <v/>
      </c>
    </row>
    <row r="616">
      <c r="A616" t="inlineStr">
        <is>
          <t>Skill + Buff Cast Rate</t>
        </is>
      </c>
      <c r="B616">
        <f>IF(AND(Inputs!$B$39&lt;&gt;"pvp",Inputs!$B$44&gt;0),SUMPRODUCT((Skills!E2:E27=TRUE)*(C582:C607=TRUE)*R582:R607)/Inputs!$B$44,SUMPRODUCT((Skills!E2:E27=TRUE)*(C582:C607=TRUE)*Q582:Q607))</f>
        <v/>
      </c>
    </row>
    <row r="617">
      <c r="A617" t="inlineStr">
        <is>
          <t>Big Bang Casts Per Second</t>
        </is>
      </c>
      <c r="B617">
        <f>MAX(0,B615-B616)</f>
        <v/>
      </c>
    </row>
    <row r="618">
      <c r="A618" t="inlineStr">
        <is>
          <t>Defense % Bonus (Divine Protection)</t>
        </is>
      </c>
      <c r="B618">
        <f>IF(C593=TRUE,F593*IF(AND(Inputs!$B$39&lt;&gt;"pvp",Inputs!$B$44&gt;0),(((R593-1)*(Skills!S13*(1+(Inputs!$B$35+IF(Inputs!$B$3&gt;=117,F606,0))/100))+MIN((Skills!S13*(1+(Inputs!$B$35+IF(Inputs!$B$3&gt;=117,F606,0))/100)),MAX(0,Inputs!$B$44-((R593-1)*Skills!D13))))/Inputs!$B$44),IF(Inputs!$B$39="pvp",MIN((Skills!S13*(1+(Inputs!$B$35+IF(Inputs!$B$3&gt;=117,F606,0))/100)),15)/15,(Skills!S13*(1+(Inputs!$B$35+IF(Inputs!$B$3&gt;=117,F606,0))/100))/Skills!D13)),0)</f>
        <v/>
      </c>
    </row>
    <row r="619">
      <c r="A619" t="inlineStr">
        <is>
          <t>Buff-Casting Startup Delay (s, fixed-duration only)</t>
        </is>
      </c>
      <c r="B619">
        <f>IF(AND(Inputs!$B$39&lt;&gt;"pvp",Inputs!$B$44&gt;0),SUMPRODUCT((Skills!S2:S27&gt;0)*(Skills!E2:E27=TRUE)*(C582:C607=TRUE))/B615,0)</f>
        <v/>
      </c>
    </row>
    <row r="620">
      <c r="A620" s="5" t="inlineStr">
        <is>
          <t>TOTAL DPS</t>
        </is>
      </c>
      <c r="B620" s="5">
        <f>SUM(O582:O607)</f>
        <v/>
      </c>
    </row>
    <row r="622">
      <c r="A622" s="5" t="inlineStr">
        <is>
          <t>Stat: DEF_PEN % (diminishing returns, factor 100)</t>
        </is>
      </c>
    </row>
    <row r="623">
      <c r="A623" s="9" t="inlineStr">
        <is>
          <t>Key</t>
        </is>
      </c>
      <c r="B623" s="9" t="inlineStr">
        <is>
          <t>Name</t>
        </is>
      </c>
      <c r="C623" s="9" t="inlineStr">
        <is>
          <t>Unlocked</t>
        </is>
      </c>
      <c r="D623" s="9" t="inlineStr">
        <is>
          <t>InputLevel</t>
        </is>
      </c>
      <c r="E623" s="9" t="inlineStr">
        <is>
          <t>Factor</t>
        </is>
      </c>
      <c r="F623" s="9" t="inlineStr">
        <is>
          <t>CoefficientPercent</t>
        </is>
      </c>
      <c r="G623" s="9" t="inlineStr">
        <is>
          <t>EffectiveHits</t>
        </is>
      </c>
      <c r="H623" s="9" t="inlineStr">
        <is>
          <t>ProcProbability</t>
        </is>
      </c>
      <c r="I623" s="9" t="inlineStr">
        <is>
          <t>MapleHeroMultiplier</t>
        </is>
      </c>
      <c r="J623" s="9" t="inlineStr">
        <is>
          <t>BaseDamage</t>
        </is>
      </c>
      <c r="K623" s="9" t="inlineStr">
        <is>
          <t>BaseHitDamage</t>
        </is>
      </c>
      <c r="L623" s="9" t="inlineStr">
        <is>
          <t>NonCritAvg</t>
        </is>
      </c>
      <c r="M623" s="9" t="inlineStr">
        <is>
          <t>CritAvg</t>
        </is>
      </c>
      <c r="N623" s="9" t="inlineStr">
        <is>
          <t>ExpectedDamage(perHit)</t>
        </is>
      </c>
      <c r="O623" s="9" t="inlineStr">
        <is>
          <t>DPS</t>
        </is>
      </c>
      <c r="P623" s="9" t="inlineStr">
        <is>
          <t>% of Total</t>
        </is>
      </c>
      <c r="R623" t="inlineStr">
        <is>
          <t>helpers</t>
        </is>
      </c>
    </row>
    <row r="624">
      <c r="A624">
        <f>Skills!A2</f>
        <v/>
      </c>
      <c r="B624">
        <f>Skills!B2</f>
        <v/>
      </c>
      <c r="C624">
        <f>Inputs!$B$3&gt;=100</f>
        <v/>
      </c>
      <c r="D624" t="inlineStr"/>
      <c r="E624" t="inlineStr"/>
      <c r="F624">
        <f>T626+Skills!N2</f>
        <v/>
      </c>
      <c r="G624">
        <f>Calc!G2</f>
        <v/>
      </c>
      <c r="H624">
        <f>Calc!H2</f>
        <v/>
      </c>
      <c r="I624">
        <f>IF(Skills!T2&lt;&gt;"",1+(Skills!T2/10)*($Z$3/1000)/100,1)</f>
        <v/>
      </c>
      <c r="J624">
        <f>((Inputs!$B$6*(1+Inputs!$B$7/100))+(((Inputs!$B$13*(1+Inputs!$B$14/100))-(Inputs!$B$13*(1+Inputs!$B$14/100)))+0.25*(Inputs!$B$15-Inputs!$B$15))*(1+Inputs!$B$7/100))*(F624/100)</f>
        <v/>
      </c>
      <c r="K624">
        <f>J624*(1+(((Inputs!$B$13+IF(Inputs!$B$3&gt;=35,(10*INDEX(FactorTable!$B$2:$Y$301, MATCH(ROUND(MIN(300,MAX(1,Inputs!$B$3)),0), FactorTable!$A$2:$A$301,0), 23)/1000)/100*(Inputs!$B$8*(1+(Inputs!$B$9+B660)/100)),0))*(1+Inputs!$B$14/100))*0.01+Inputs!$B$15*0.0025)/100)*(1+(Inputs!$B$16+B654)/100)*(1+IF(Inputs!$B$39="pvp",0,(1-Summary!$B$48)*(Inputs!$B$21+Skills!O2+B652)+Summary!$B$48*(Inputs!$B$22+Skills!P2+B653))/100)*(1+Inputs!$B$17/100)*(5000/(6000+Inputs!$B$43*(1-((1-(1-Inputs!$B$20/100)*(1-1/100))*100)/100)))*(1+Inputs!$B$25/100)*(1+IF(C640=TRUE,F640,0)/100)*(1+IF(C642=TRUE,F642,0)/100)*(1+IF(Skills!A2="TRIUMPH_FEATHER",IF(C638=TRUE,F638,0),0)/100)*(1+IF(C649=TRUE,F649,0)/100)^5*(1+(IF(Skills!A2="BIG_BANG",Inputs!$B$18,Inputs!$B$19))/100)*(B651*I624)</f>
        <v/>
      </c>
      <c r="L624">
        <f>K624*(MIN(Inputs!$B$23+(F644-Calc!F22),Inputs!$B$24)/100+Inputs!$B$24/100)/2</f>
        <v/>
      </c>
      <c r="M624">
        <f>L624*(1+(Inputs!$B$11+B655+(F647-Calc!F25))/100)</f>
        <v/>
      </c>
      <c r="N624">
        <f>L624*(1-MIN(Inputs!$B$10+((F646-Calc!F24)+(F645-Calc!F23)),100)/100)+M624*(MIN(Inputs!$B$10+((F646-Calc!F24)+(F645-Calc!F23)),100)/100)</f>
        <v/>
      </c>
      <c r="O624">
        <f>IF(C624,Skills!F2*N624*B659*IF(Inputs!$B$39="pvp",1,(1-Summary!$B$48)*(1)+Summary!$B$48*(MIN((6+Inputs!$B$34),Inputs!$B$38))),0)</f>
        <v/>
      </c>
      <c r="P624">
        <f>IF(B662=0,0,O624/B662)</f>
        <v/>
      </c>
      <c r="Q624">
        <f>IFERROR(1/IF(Inputs!$B$39="pvp",15,MAX(0.1,Skills!D2-IF(Skills!E2=TRUE,Inputs!$B$33,0))),0)</f>
        <v/>
      </c>
      <c r="R624" t="n">
        <v>0</v>
      </c>
      <c r="T624">
        <f>MAX(0,(Inputs!$B$3-100)*3)+Inputs!$B$29+Inputs!$B$30</f>
        <v/>
      </c>
    </row>
    <row r="625">
      <c r="A625">
        <f>Skills!A3</f>
        <v/>
      </c>
      <c r="B625">
        <f>Skills!B3</f>
        <v/>
      </c>
      <c r="C625">
        <f>Inputs!$B$3&gt;=15</f>
        <v/>
      </c>
      <c r="D625">
        <f>IF(Skills!C3=1,60+Inputs!$B$26+Inputs!$B$30,IF(Skills!C3=2,90+Inputs!$B$27+Inputs!$B$30,IF(Skills!C3=3,120+Inputs!$B$28+Inputs!$B$30,MAX(0,(Inputs!$B$3-100)*3)+Inputs!$B$29+Inputs!$B$30)))</f>
        <v/>
      </c>
      <c r="E625">
        <f>INDEX(FactorTable!$B$2:$Y$301, MATCH(ROUND(MIN(300,MAX(1,D625)),0), FactorTable!$A$2:$A$301,0), Skills!L3+1)</f>
        <v/>
      </c>
      <c r="F625">
        <f>IF(Skills!M3=TRUE,(Skills!K3/10)*(E625/1000),Skills!K3/10)+Skills!N3</f>
        <v/>
      </c>
      <c r="G625">
        <f>Calc!G3</f>
        <v/>
      </c>
      <c r="H625">
        <f>Calc!H3</f>
        <v/>
      </c>
      <c r="I625">
        <f>IF(Skills!T3&lt;&gt;"",1+(Skills!T3/10)*($Z$3/1000)/100,1)</f>
        <v/>
      </c>
      <c r="J625" t="inlineStr"/>
      <c r="K625" t="inlineStr"/>
      <c r="L625" t="inlineStr"/>
      <c r="M625" t="inlineStr"/>
      <c r="N625" t="inlineStr"/>
      <c r="O625" t="n">
        <v>0</v>
      </c>
      <c r="P625">
        <f>IF(B662=0,0,O625/B662)</f>
        <v/>
      </c>
      <c r="Q625">
        <f>IFERROR(1/IF(Inputs!$B$39="pvp",15,MAX(0.1,Skills!D3-IF(Skills!E3=TRUE,Inputs!$B$33,0))),0)</f>
        <v/>
      </c>
      <c r="R625">
        <f>IF(AND(Inputs!$B$39&lt;&gt;"pvp",Inputs!$B$44&gt;0),IF(Inputs!$B$44&lt;=0,0,(INT(Inputs!$B$44/IF(Inputs!$B$39="pvp",15,MAX(0.1,Skills!D3-IF(Skills!E3=TRUE,Inputs!$B$33,0))))+1)),0)</f>
        <v/>
      </c>
      <c r="T625">
        <f>INDEX(FactorTable!$B$2:$Y$301, MATCH(ROUND(MIN(300,MAX(1,T624)),0), FactorTable!$A$2:$A$301,0), 22)</f>
        <v/>
      </c>
    </row>
    <row r="626">
      <c r="A626">
        <f>Skills!A4</f>
        <v/>
      </c>
      <c r="B626">
        <f>Skills!B4</f>
        <v/>
      </c>
      <c r="C626">
        <f>Inputs!$B$3&gt;=38</f>
        <v/>
      </c>
      <c r="D626">
        <f>IF(Skills!C4=1,60+Inputs!$B$26+Inputs!$B$30,IF(Skills!C4=2,90+Inputs!$B$27+Inputs!$B$30,IF(Skills!C4=3,120+Inputs!$B$28+Inputs!$B$30,MAX(0,(Inputs!$B$3-100)*3)+Inputs!$B$29+Inputs!$B$30)))</f>
        <v/>
      </c>
      <c r="E626">
        <f>INDEX(FactorTable!$B$2:$Y$301, MATCH(ROUND(MIN(300,MAX(1,D626)),0), FactorTable!$A$2:$A$301,0), Skills!L4+1)</f>
        <v/>
      </c>
      <c r="F626">
        <f>IF(Skills!M4=TRUE,(Skills!K4/10)*(E626/1000),Skills!K4/10)+Skills!N4</f>
        <v/>
      </c>
      <c r="G626">
        <f>Calc!G4</f>
        <v/>
      </c>
      <c r="H626">
        <f>Calc!H4</f>
        <v/>
      </c>
      <c r="I626">
        <f>IF(Skills!T4&lt;&gt;"",1+(Skills!T4/10)*($Z$3/1000)/100,1)</f>
        <v/>
      </c>
      <c r="J626" t="inlineStr"/>
      <c r="K626" t="inlineStr"/>
      <c r="L626" t="inlineStr"/>
      <c r="M626" t="inlineStr"/>
      <c r="N626" t="inlineStr"/>
      <c r="O626" t="n">
        <v>0</v>
      </c>
      <c r="P626">
        <f>IF(B662=0,0,O626/B662)</f>
        <v/>
      </c>
      <c r="Q626">
        <f>IFERROR(1/IF(Inputs!$B$39="pvp",15,MAX(0.1,Skills!D4-IF(Skills!E4=TRUE,Inputs!$B$33,0))),0)</f>
        <v/>
      </c>
      <c r="R626">
        <f>IF(AND(Inputs!$B$39&lt;&gt;"pvp",Inputs!$B$44&gt;0),IF(Inputs!$B$44&lt;=0,0,(INT(Inputs!$B$44/IF(Inputs!$B$39="pvp",15,MAX(0.1,Skills!D4-IF(Skills!E4=TRUE,Inputs!$B$33,0))))+1)),0)</f>
        <v/>
      </c>
      <c r="T626">
        <f>290*T625/1000</f>
        <v/>
      </c>
    </row>
    <row r="627">
      <c r="A627">
        <f>Skills!A5</f>
        <v/>
      </c>
      <c r="B627">
        <f>Skills!B5</f>
        <v/>
      </c>
      <c r="C627">
        <f>Inputs!$B$3&gt;=40</f>
        <v/>
      </c>
      <c r="D627">
        <f>IF(Skills!C5=1,60+Inputs!$B$26+Inputs!$B$30,IF(Skills!C5=2,90+Inputs!$B$27+Inputs!$B$30,IF(Skills!C5=3,120+Inputs!$B$28+Inputs!$B$30,MAX(0,(Inputs!$B$3-100)*3)+Inputs!$B$29+Inputs!$B$30)))</f>
        <v/>
      </c>
      <c r="E627">
        <f>INDEX(FactorTable!$B$2:$Y$301, MATCH(ROUND(MIN(300,MAX(1,D627)),0), FactorTable!$A$2:$A$301,0), Skills!L5+1)</f>
        <v/>
      </c>
      <c r="F627">
        <f>IF(Skills!M5=TRUE,(Skills!K5/10)*(E627/1000),Skills!K5/10)+Skills!N5</f>
        <v/>
      </c>
      <c r="G627">
        <f>Calc!G5</f>
        <v/>
      </c>
      <c r="H627">
        <f>Calc!H5</f>
        <v/>
      </c>
      <c r="I627">
        <f>IF(Skills!T5&lt;&gt;"",1+(Skills!T5/10)*($Z$3/1000)/100,1)</f>
        <v/>
      </c>
      <c r="J627" t="inlineStr"/>
      <c r="K627" t="inlineStr"/>
      <c r="L627" t="inlineStr"/>
      <c r="M627" t="inlineStr"/>
      <c r="N627" t="inlineStr"/>
      <c r="O627" t="n">
        <v>0</v>
      </c>
      <c r="P627">
        <f>IF(B662=0,0,O627/B662)</f>
        <v/>
      </c>
      <c r="Q627">
        <f>IFERROR(1/IF(Inputs!$B$39="pvp",15,MAX(0.1,Skills!D5-IF(Skills!E5=TRUE,Inputs!$B$33,0))),0)</f>
        <v/>
      </c>
      <c r="R627">
        <f>IF(AND(Inputs!$B$39&lt;&gt;"pvp",Inputs!$B$44&gt;0),IF(Inputs!$B$44&lt;=0,0,(INT(Inputs!$B$44/IF(Inputs!$B$39="pvp",15,MAX(0.1,Skills!D5-IF(Skills!E5=TRUE,Inputs!$B$33,0))))+1)),0)</f>
        <v/>
      </c>
    </row>
    <row r="628">
      <c r="A628">
        <f>Skills!A6</f>
        <v/>
      </c>
      <c r="B628">
        <f>Skills!B6</f>
        <v/>
      </c>
      <c r="C628">
        <f>Inputs!$B$3&gt;=103</f>
        <v/>
      </c>
      <c r="D628">
        <f>IF(Skills!C6=1,60+Inputs!$B$26+Inputs!$B$30,IF(Skills!C6=2,90+Inputs!$B$27+Inputs!$B$30,IF(Skills!C6=3,120+Inputs!$B$28+Inputs!$B$30,MAX(0,(Inputs!$B$3-100)*3)+Inputs!$B$29+Inputs!$B$30)))</f>
        <v/>
      </c>
      <c r="E628">
        <f>INDEX(FactorTable!$B$2:$Y$301, MATCH(ROUND(MIN(300,MAX(1,D628)),0), FactorTable!$A$2:$A$301,0), Skills!L6+1)</f>
        <v/>
      </c>
      <c r="F628">
        <f>IF(Skills!M6=TRUE,(Skills!K6/10)*(E628/1000),Skills!K6/10)+Skills!N6</f>
        <v/>
      </c>
      <c r="G628">
        <f>Calc!G6</f>
        <v/>
      </c>
      <c r="H628">
        <f>Calc!H6</f>
        <v/>
      </c>
      <c r="I628">
        <f>IF(Skills!T6&lt;&gt;"",1+(Skills!T6/10)*($Z$3/1000)/100,1)</f>
        <v/>
      </c>
      <c r="J628">
        <f>((Inputs!$B$6*(1+Inputs!$B$7/100))+(((Inputs!$B$13*(1+Inputs!$B$14/100))-(Inputs!$B$13*(1+Inputs!$B$14/100)))+0.25*(Inputs!$B$15-Inputs!$B$15))*(1+Inputs!$B$7/100))*(F628/100)</f>
        <v/>
      </c>
      <c r="K628">
        <f>J628*(1+(((Inputs!$B$13+IF(Inputs!$B$3&gt;=35,(10*INDEX(FactorTable!$B$2:$Y$301, MATCH(ROUND(MIN(300,MAX(1,Inputs!$B$3)),0), FactorTable!$A$2:$A$301,0), 23)/1000)/100*(Inputs!$B$8*(1+(Inputs!$B$9+B660)/100)),0))*(1+Inputs!$B$14/100))*0.01+Inputs!$B$15*0.0025)/100)*(1+(Inputs!$B$16+B654)/100)*(1+IF(Inputs!$B$39="pvp",0,(1-Summary!$B$48)*(Inputs!$B$21+Skills!O6+B652)+Summary!$B$48*(Inputs!$B$22+Skills!P6+B653))/100)*(1+Inputs!$B$17/100)*(5000/(6000+Inputs!$B$43*(1-((1-(1-Inputs!$B$20/100)*(1-1/100))*100)/100)))*(1+Inputs!$B$25/100)*(1+IF(C640=TRUE,F640,0)/100)*(1+IF(C642=TRUE,F642,0)/100)*(1+IF(Skills!A6="TRIUMPH_FEATHER",IF(C638=TRUE,F638,0),0)/100)*(1+IF(C649=TRUE,F649,0)/100)^5*(1+(IF(Skills!A6="BIG_BANG",Inputs!$B$18,Inputs!$B$19))/100)*(B651*I628)</f>
        <v/>
      </c>
      <c r="L628">
        <f>K628*(MIN(Inputs!$B$23+(F644-Calc!F22),Inputs!$B$24)/100+Inputs!$B$24/100)/2</f>
        <v/>
      </c>
      <c r="M628">
        <f>L628*(1+(Inputs!$B$11+B655+(F647-Calc!F25))/100)</f>
        <v/>
      </c>
      <c r="N628">
        <f>L628*(1-MIN(Inputs!$B$10+((F646-Calc!F24)+(F645-Calc!F23)),100)/100)+M628*(MIN(Inputs!$B$10+((F646-Calc!F24)+(F645-Calc!F23)),100)/100)</f>
        <v/>
      </c>
      <c r="O628">
        <f>IF(C628,H628*N628*IF(AND(Inputs!$B$39&lt;&gt;"pvp",Inputs!$B$44&gt;0),((Skills!F6*((R628-1)*IF(Skills!G6&gt;0,Skills!H6/Skills!G6,1)+IF(Skills!G6&gt;0,MIN(Skills!H6,MAX(0,MAX(0,Inputs!$B$44-B661)-((R628-1)*IF(Inputs!$B$39="pvp",15,MAX(0.1,Skills!D6-IF(Skills!E6=TRUE,Inputs!$B$33,0))))))/Skills!G6,1)))/Inputs!$B$44),G628*Q628)*IF(Inputs!$B$39="pvp",1,(1-Summary!$B$48)*(1)+Summary!$B$48*(MIN(Skills!Q6,Inputs!$B$38))),0)</f>
        <v/>
      </c>
      <c r="P628">
        <f>IF(B662=0,0,O628/B662)</f>
        <v/>
      </c>
      <c r="Q628">
        <f>IFERROR(1/IF(Inputs!$B$39="pvp",15,MAX(0.1,Skills!D6-IF(Skills!E6=TRUE,Inputs!$B$33,0))),0)</f>
        <v/>
      </c>
      <c r="R628">
        <f>IF(AND(Inputs!$B$39&lt;&gt;"pvp",Inputs!$B$44&gt;0),IF(MAX(0,Inputs!$B$44-B661)&lt;=0,0,(INT(MAX(0,Inputs!$B$44-B661)/IF(Inputs!$B$39="pvp",15,MAX(0.1,Skills!D6-IF(Skills!E6=TRUE,Inputs!$B$33,0))))+1)),0)</f>
        <v/>
      </c>
    </row>
    <row r="629">
      <c r="A629">
        <f>Skills!A7</f>
        <v/>
      </c>
      <c r="B629">
        <f>Skills!B7</f>
        <v/>
      </c>
      <c r="C629">
        <f>Inputs!$B$3&gt;=122</f>
        <v/>
      </c>
      <c r="D629">
        <f>IF(Skills!C7=1,60+Inputs!$B$26+Inputs!$B$30,IF(Skills!C7=2,90+Inputs!$B$27+Inputs!$B$30,IF(Skills!C7=3,120+Inputs!$B$28+Inputs!$B$30,MAX(0,(Inputs!$B$3-100)*3)+Inputs!$B$29+Inputs!$B$30)))</f>
        <v/>
      </c>
      <c r="E629">
        <f>INDEX(FactorTable!$B$2:$Y$301, MATCH(ROUND(MIN(300,MAX(1,D629)),0), FactorTable!$A$2:$A$301,0), Skills!L7+1)</f>
        <v/>
      </c>
      <c r="F629">
        <f>IF(Skills!M7=TRUE,(Skills!K7/10)*(E629/1000),Skills!K7/10)+Skills!N7</f>
        <v/>
      </c>
      <c r="G629">
        <f>Calc!G7</f>
        <v/>
      </c>
      <c r="H629">
        <f>Calc!H7</f>
        <v/>
      </c>
      <c r="I629">
        <f>IF(Skills!T7&lt;&gt;"",1+(Skills!T7/10)*($Z$3/1000)/100,1)</f>
        <v/>
      </c>
      <c r="J629">
        <f>((Inputs!$B$6*(1+Inputs!$B$7/100))+(((Inputs!$B$13*(1+Inputs!$B$14/100))-(Inputs!$B$13*(1+Inputs!$B$14/100)))+0.25*(Inputs!$B$15-Inputs!$B$15))*(1+Inputs!$B$7/100))*(F629/100)</f>
        <v/>
      </c>
      <c r="K629">
        <f>J629*(1+(((Inputs!$B$13+IF(Inputs!$B$3&gt;=35,(10*INDEX(FactorTable!$B$2:$Y$301, MATCH(ROUND(MIN(300,MAX(1,Inputs!$B$3)),0), FactorTable!$A$2:$A$301,0), 23)/1000)/100*(Inputs!$B$8*(1+(Inputs!$B$9+B660)/100)),0))*(1+Inputs!$B$14/100))*0.01+Inputs!$B$15*0.0025)/100)*(1+(Inputs!$B$16+B654)/100)*(1+IF(Inputs!$B$39="pvp",0,(1-Summary!$B$48)*(Inputs!$B$21+Skills!O7+B652)+Summary!$B$48*(Inputs!$B$22+Skills!P7+B653))/100)*(1+Inputs!$B$17/100)*(5000/(6000+Inputs!$B$43*(1-((1-(1-Inputs!$B$20/100)*(1-1/100))*100)/100)))*(1+Inputs!$B$25/100)*(1+IF(C640=TRUE,F640,0)/100)*(1+IF(C642=TRUE,F642,0)/100)*(1+IF(Skills!A7="TRIUMPH_FEATHER",IF(C638=TRUE,F638,0),0)/100)*(1+IF(C649=TRUE,F649,0)/100)^5*(1+(IF(Skills!A7="BIG_BANG",Inputs!$B$18,Inputs!$B$19))/100)*(B651*I629)</f>
        <v/>
      </c>
      <c r="L629">
        <f>K629*(MIN(Inputs!$B$23+(F644-Calc!F22),Inputs!$B$24)/100+Inputs!$B$24/100)/2</f>
        <v/>
      </c>
      <c r="M629">
        <f>L629*(1+(Inputs!$B$11+B655+(F647-Calc!F25))/100)</f>
        <v/>
      </c>
      <c r="N629">
        <f>L629*(1-MIN(Inputs!$B$10+((F646-Calc!F24)+(F645-Calc!F23)),100)/100)+M629*(MIN(Inputs!$B$10+((F646-Calc!F24)+(F645-Calc!F23)),100)/100)</f>
        <v/>
      </c>
      <c r="O629">
        <f>IF(C629,H629*N629*IF(AND(Inputs!$B$39&lt;&gt;"pvp",Inputs!$B$44&gt;0),((Skills!F7*((R629-1)*IF(Skills!G7&gt;0,Skills!H7/Skills!G7,1)+IF(Skills!G7&gt;0,MIN(Skills!H7,MAX(0,MAX(0,Inputs!$B$44-B661)-((R629-1)*IF(Inputs!$B$39="pvp",15,MAX(0.1,Skills!D7-IF(Skills!E6=TRUE,Inputs!$B$33,0))))))/Skills!G7,1)))/Inputs!$B$44),G629*Q629)*(1-Summary!$B$48),0)</f>
        <v/>
      </c>
      <c r="P629">
        <f>IF(B662=0,0,O629/B662)</f>
        <v/>
      </c>
      <c r="Q629">
        <f>IFERROR(1/IF(Inputs!$B$39="pvp",15,MAX(0.1,Skills!D7-IF(Skills!E6=TRUE,Inputs!$B$33,0))),0)</f>
        <v/>
      </c>
      <c r="R629">
        <f>IF(AND(Inputs!$B$39&lt;&gt;"pvp",Inputs!$B$44&gt;0),IF(MAX(0,Inputs!$B$44-B661)&lt;=0,0,(INT(MAX(0,Inputs!$B$44-B661)/IF(Inputs!$B$39="pvp",15,MAX(0.1,Skills!D7-IF(Skills!E6=TRUE,Inputs!$B$33,0))))+1)),0)</f>
        <v/>
      </c>
    </row>
    <row r="630">
      <c r="A630">
        <f>Skills!A8</f>
        <v/>
      </c>
      <c r="B630">
        <f>Skills!B8</f>
        <v/>
      </c>
      <c r="C630">
        <f>Inputs!$B$3&gt;=105</f>
        <v/>
      </c>
      <c r="D630">
        <f>IF(Skills!C8=1,60+Inputs!$B$26+Inputs!$B$30,IF(Skills!C8=2,90+Inputs!$B$27+Inputs!$B$30,IF(Skills!C8=3,120+Inputs!$B$28+Inputs!$B$30,MAX(0,(Inputs!$B$3-100)*3)+Inputs!$B$29+Inputs!$B$30)))</f>
        <v/>
      </c>
      <c r="E630">
        <f>INDEX(FactorTable!$B$2:$Y$301, MATCH(ROUND(MIN(300,MAX(1,D630)),0), FactorTable!$A$2:$A$301,0), Skills!L8+1)</f>
        <v/>
      </c>
      <c r="F630">
        <f>IF(Skills!M8=TRUE,(Skills!K8/10)*(E630/1000),Skills!K8/10)+Skills!N8</f>
        <v/>
      </c>
      <c r="G630">
        <f>Calc!G8</f>
        <v/>
      </c>
      <c r="H630">
        <f>Calc!H8</f>
        <v/>
      </c>
      <c r="I630">
        <f>IF(Skills!T8&lt;&gt;"",1+(Skills!T8/10)*($Z$3/1000)/100,1)</f>
        <v/>
      </c>
      <c r="J630">
        <f>((Inputs!$B$6*(1+Inputs!$B$7/100))+(((Inputs!$B$13*(1+Inputs!$B$14/100))-(Inputs!$B$13*(1+Inputs!$B$14/100)))+0.25*(Inputs!$B$15-Inputs!$B$15))*(1+Inputs!$B$7/100))*(F630/100)</f>
        <v/>
      </c>
      <c r="K630">
        <f>J630*(1+(((Inputs!$B$13+IF(Inputs!$B$3&gt;=35,(10*INDEX(FactorTable!$B$2:$Y$301, MATCH(ROUND(MIN(300,MAX(1,Inputs!$B$3)),0), FactorTable!$A$2:$A$301,0), 23)/1000)/100*(Inputs!$B$8*(1+(Inputs!$B$9+B660)/100)),0))*(1+Inputs!$B$14/100))*0.01+Inputs!$B$15*0.0025)/100)*(1+(Inputs!$B$16+B654)/100)*(1+IF(Inputs!$B$39="pvp",0,(1-Summary!$B$48)*(Inputs!$B$21+Skills!O8+B652)+Summary!$B$48*(Inputs!$B$22+Skills!P8+B653))/100)*(1+Inputs!$B$17/100)*(5000/(6000+Inputs!$B$43*(1-((1-(1-Inputs!$B$20/100)*(1-1/100))*100)/100)))*(1+Inputs!$B$25/100)*(1+IF(C640=TRUE,F640,0)/100)*(1+IF(C642=TRUE,F642,0)/100)*(1+IF(Skills!A8="TRIUMPH_FEATHER",IF(C638=TRUE,F638,0),0)/100)*(1+IF(C649=TRUE,F649,0)/100)^5*(1+(IF(Skills!A8="BIG_BANG",Inputs!$B$18,Inputs!$B$19))/100)*(B651*I630)</f>
        <v/>
      </c>
      <c r="L630">
        <f>K630*(MIN(Inputs!$B$23+(F644-Calc!F22),Inputs!$B$24)/100+Inputs!$B$24/100)/2</f>
        <v/>
      </c>
      <c r="M630">
        <f>L630*(1+(Inputs!$B$11+B655+(F647-Calc!F25))/100)</f>
        <v/>
      </c>
      <c r="N630">
        <f>L630*(1-MIN(Inputs!$B$10+((F646-Calc!F24)+(F645-Calc!F23)),100)/100)+M630*(MIN(Inputs!$B$10+((F646-Calc!F24)+(F645-Calc!F23)),100)/100)</f>
        <v/>
      </c>
      <c r="O630">
        <f>IF(C630,H630*N630*IF(AND(Inputs!$B$39&lt;&gt;"pvp",Inputs!$B$44&gt;0),((Skills!F8*((R630-1)*IF(Skills!G8&gt;0,Skills!H8/Skills!G8,1)+IF(Skills!G8&gt;0,MIN(Skills!H8,MAX(0,MAX(0,Inputs!$B$44-B661)-((R630-1)*IF(Inputs!$B$39="pvp",15,MAX(0.1,Skills!D8-IF(Skills!E8=TRUE,Inputs!$B$33,0))))))/Skills!G8,1)))/Inputs!$B$44),G630*Q630)*IF(Inputs!$B$39="pvp",1,(1-Summary!$B$48)*(1)+Summary!$B$48*(MIN(Skills!Q8,Inputs!$B$38))),0)</f>
        <v/>
      </c>
      <c r="P630">
        <f>IF(B662=0,0,O630/B662)</f>
        <v/>
      </c>
      <c r="Q630">
        <f>IFERROR(1/IF(Inputs!$B$39="pvp",15,MAX(0.1,Skills!D8-IF(Skills!E8=TRUE,Inputs!$B$33,0))),0)</f>
        <v/>
      </c>
      <c r="R630">
        <f>IF(AND(Inputs!$B$39&lt;&gt;"pvp",Inputs!$B$44&gt;0),IF(MAX(0,Inputs!$B$44-B661)&lt;=0,0,(INT(MAX(0,Inputs!$B$44-B661)/IF(Inputs!$B$39="pvp",15,MAX(0.1,Skills!D8-IF(Skills!E8=TRUE,Inputs!$B$33,0))))+1)),0)</f>
        <v/>
      </c>
    </row>
    <row r="631">
      <c r="A631">
        <f>Skills!A9</f>
        <v/>
      </c>
      <c r="B631">
        <f>Skills!B9</f>
        <v/>
      </c>
      <c r="C631">
        <f>Inputs!$B$3&gt;=115</f>
        <v/>
      </c>
      <c r="D631">
        <f>IF(Skills!C9=1,60+Inputs!$B$26+Inputs!$B$30,IF(Skills!C9=2,90+Inputs!$B$27+Inputs!$B$30,IF(Skills!C9=3,120+Inputs!$B$28+Inputs!$B$30,MAX(0,(Inputs!$B$3-100)*3)+Inputs!$B$29+Inputs!$B$30)))</f>
        <v/>
      </c>
      <c r="E631">
        <f>INDEX(FactorTable!$B$2:$Y$301, MATCH(ROUND(MIN(300,MAX(1,D631)),0), FactorTable!$A$2:$A$301,0), Skills!L9+1)</f>
        <v/>
      </c>
      <c r="F631">
        <f>IF(Skills!M9=TRUE,(Skills!K9/10)*(E631/1000),Skills!K9/10)+Skills!N9</f>
        <v/>
      </c>
      <c r="G631">
        <f>Calc!G9</f>
        <v/>
      </c>
      <c r="H631">
        <f>Calc!H9</f>
        <v/>
      </c>
      <c r="I631">
        <f>IF(Skills!T9&lt;&gt;"",1+(Skills!T9/10)*($Z$3/1000)/100,1)</f>
        <v/>
      </c>
      <c r="J631">
        <f>((Inputs!$B$6*(1+Inputs!$B$7/100))+(((Inputs!$B$13*(1+Inputs!$B$14/100))-(Inputs!$B$13*(1+Inputs!$B$14/100)))+0.25*(Inputs!$B$15-Inputs!$B$15))*(1+Inputs!$B$7/100))*(F631/100)</f>
        <v/>
      </c>
      <c r="K631">
        <f>J631*(1+(((Inputs!$B$13+IF(Inputs!$B$3&gt;=35,(10*INDEX(FactorTable!$B$2:$Y$301, MATCH(ROUND(MIN(300,MAX(1,Inputs!$B$3)),0), FactorTable!$A$2:$A$301,0), 23)/1000)/100*(Inputs!$B$8*(1+(Inputs!$B$9+B660)/100)),0))*(1+Inputs!$B$14/100))*0.01+Inputs!$B$15*0.0025)/100)*(1+(Inputs!$B$16+B654)/100)*(1+IF(Inputs!$B$39="pvp",0,(1-Summary!$B$48)*(Inputs!$B$21+Skills!O9+B652)+Summary!$B$48*(Inputs!$B$22+Skills!P9+B653))/100)*(1+Inputs!$B$17/100)*(5000/(6000+Inputs!$B$43*(1-((1-(1-Inputs!$B$20/100)*(1-1/100))*100)/100)))*(1+Inputs!$B$25/100)*(1+IF(C640=TRUE,F640,0)/100)*(1+IF(C642=TRUE,F642,0)/100)*(1+IF(Skills!A9="TRIUMPH_FEATHER",IF(C638=TRUE,F638,0),0)/100)*(1+IF(C649=TRUE,F649,0)/100)^5*(1+(IF(Skills!A9="BIG_BANG",Inputs!$B$18,Inputs!$B$19))/100)*(B651*I631)</f>
        <v/>
      </c>
      <c r="L631">
        <f>K631*(MIN(Inputs!$B$23+(F644-Calc!F22),Inputs!$B$24)/100+Inputs!$B$24/100)/2</f>
        <v/>
      </c>
      <c r="M631">
        <f>L631*(1+(Inputs!$B$11+B655+(F647-Calc!F25))/100)</f>
        <v/>
      </c>
      <c r="N631">
        <f>L631*(1-MIN(Inputs!$B$10+((F646-Calc!F24)+(F645-Calc!F23)),100)/100)+M631*(MIN(Inputs!$B$10+((F646-Calc!F24)+(F645-Calc!F23)),100)/100)</f>
        <v/>
      </c>
      <c r="O631">
        <f>IF(C631,H631*N631*IF(AND(Inputs!$B$39&lt;&gt;"pvp",Inputs!$B$44&gt;0),((Skills!F9*((R631-1)*IF(Skills!G9&gt;0,Skills!H9/Skills!G9,1)+IF(Skills!G9&gt;0,MIN(Skills!H9,MAX(0,MAX(0,Inputs!$B$44-B661)-((R631-1)*IF(Inputs!$B$39="pvp",15,MAX(0.1,Skills!D9-IF(Skills!E9=TRUE,Inputs!$B$33,0))))))/Skills!G9,1)))/Inputs!$B$44),G631*Q631)*IF(Inputs!$B$39="pvp",1,(1-Summary!$B$48)*(1)+Summary!$B$48*(MIN(Skills!Q9,Inputs!$B$38))),0)</f>
        <v/>
      </c>
      <c r="P631">
        <f>IF(B662=0,0,O631/B662)</f>
        <v/>
      </c>
      <c r="Q631">
        <f>IFERROR(1/IF(Inputs!$B$39="pvp",15,MAX(0.1,Skills!D9-IF(Skills!E9=TRUE,Inputs!$B$33,0))),0)</f>
        <v/>
      </c>
      <c r="R631">
        <f>IF(AND(Inputs!$B$39&lt;&gt;"pvp",Inputs!$B$44&gt;0),IF(MAX(0,Inputs!$B$44-B661)&lt;=0,0,(INT(MAX(0,Inputs!$B$44-B661)/IF(Inputs!$B$39="pvp",15,MAX(0.1,Skills!D9-IF(Skills!E9=TRUE,Inputs!$B$33,0))))+1)),0)</f>
        <v/>
      </c>
    </row>
    <row r="632">
      <c r="A632">
        <f>Skills!A10</f>
        <v/>
      </c>
      <c r="B632">
        <f>Skills!B10</f>
        <v/>
      </c>
      <c r="C632">
        <f>Inputs!$B$3&gt;=66</f>
        <v/>
      </c>
      <c r="D632">
        <f>IF(Skills!C10=1,60+Inputs!$B$26+Inputs!$B$30,IF(Skills!C10=2,90+Inputs!$B$27+Inputs!$B$30,IF(Skills!C10=3,120+Inputs!$B$28+Inputs!$B$30,MAX(0,(Inputs!$B$3-100)*3)+Inputs!$B$29+Inputs!$B$30)))</f>
        <v/>
      </c>
      <c r="E632">
        <f>INDEX(FactorTable!$B$2:$Y$301, MATCH(ROUND(MIN(300,MAX(1,D632)),0), FactorTable!$A$2:$A$301,0), Skills!L10+1)</f>
        <v/>
      </c>
      <c r="F632" t="n">
        <v>0</v>
      </c>
      <c r="G632">
        <f>Calc!G10</f>
        <v/>
      </c>
      <c r="H632">
        <f>Calc!H10</f>
        <v/>
      </c>
      <c r="I632">
        <f>IF(Skills!T10&lt;&gt;"",1+(Skills!T10/10)*($Z$3/1000)/100,1)</f>
        <v/>
      </c>
      <c r="J632" t="inlineStr"/>
      <c r="K632" t="inlineStr"/>
      <c r="L632" t="inlineStr"/>
      <c r="M632" t="inlineStr"/>
      <c r="N632" t="inlineStr"/>
      <c r="O632" t="n">
        <v>0</v>
      </c>
      <c r="P632">
        <f>IF(B662=0,0,O632/B662)</f>
        <v/>
      </c>
      <c r="Q632">
        <f>IFERROR(1/IF(Inputs!$B$39="pvp",15,MAX(0.1,Skills!D10-IF(Skills!E10=TRUE,Inputs!$B$33,0))),0)</f>
        <v/>
      </c>
      <c r="R632">
        <f>IF(AND(Inputs!$B$39&lt;&gt;"pvp",Inputs!$B$44&gt;0),IF(MAX(0,Inputs!$B$44-B661)&lt;=0,0,(INT(MAX(0,Inputs!$B$44-B661)/IF(Inputs!$B$39="pvp",15,MAX(0.1,Skills!D10-IF(Skills!E10=TRUE,Inputs!$B$33,0))))+1)),0)</f>
        <v/>
      </c>
    </row>
    <row r="633">
      <c r="A633">
        <f>Skills!A11</f>
        <v/>
      </c>
      <c r="B633">
        <f>Skills!B11</f>
        <v/>
      </c>
      <c r="C633">
        <f>Inputs!$B$3&gt;=69</f>
        <v/>
      </c>
      <c r="D633">
        <f>IF(Skills!C11=1,60+Inputs!$B$26+Inputs!$B$30,IF(Skills!C11=2,90+Inputs!$B$27+Inputs!$B$30,IF(Skills!C11=3,120+Inputs!$B$28+Inputs!$B$30,MAX(0,(Inputs!$B$3-100)*3)+Inputs!$B$29+Inputs!$B$30)))</f>
        <v/>
      </c>
      <c r="E633">
        <f>INDEX(FactorTable!$B$2:$Y$301, MATCH(ROUND(MIN(300,MAX(1,D633)),0), FactorTable!$A$2:$A$301,0), Skills!L11+1)</f>
        <v/>
      </c>
      <c r="F633">
        <f>IF(Skills!M11=TRUE,(Skills!K11/10)*(E633/1000),Skills!K11/10)+Skills!N11</f>
        <v/>
      </c>
      <c r="G633">
        <f>Calc!G11</f>
        <v/>
      </c>
      <c r="H633">
        <f>Calc!H11</f>
        <v/>
      </c>
      <c r="I633">
        <f>IF(Skills!T11&lt;&gt;"",1+(Skills!T11/10)*($Z$3/1000)/100,1)</f>
        <v/>
      </c>
      <c r="J633" t="inlineStr"/>
      <c r="K633" t="inlineStr"/>
      <c r="L633" t="inlineStr"/>
      <c r="M633" t="inlineStr"/>
      <c r="N633" t="inlineStr"/>
      <c r="O633" t="n">
        <v>0</v>
      </c>
      <c r="P633">
        <f>IF(B662=0,0,O633/B662)</f>
        <v/>
      </c>
      <c r="Q633">
        <f>IFERROR(1/IF(Inputs!$B$39="pvp",15,MAX(0.1,Skills!D11-IF(Skills!E11=TRUE,Inputs!$B$33,0))),0)</f>
        <v/>
      </c>
      <c r="R633">
        <f>IF(AND(Inputs!$B$39&lt;&gt;"pvp",Inputs!$B$44&gt;0),IF(Inputs!$B$44&lt;=0,0,(INT(Inputs!$B$44/IF(Inputs!$B$39="pvp",15,MAX(0.1,Skills!D11-IF(Skills!E11=TRUE,Inputs!$B$33,0))))+1)),0)</f>
        <v/>
      </c>
    </row>
    <row r="634">
      <c r="A634">
        <f>Skills!A12</f>
        <v/>
      </c>
      <c r="B634">
        <f>Skills!B12</f>
        <v/>
      </c>
      <c r="C634">
        <f>Inputs!$B$3&gt;=72</f>
        <v/>
      </c>
      <c r="D634">
        <f>IF(Skills!C12=1,60+Inputs!$B$26+Inputs!$B$30,IF(Skills!C12=2,90+Inputs!$B$27+Inputs!$B$30,IF(Skills!C12=3,120+Inputs!$B$28+Inputs!$B$30,MAX(0,(Inputs!$B$3-100)*3)+Inputs!$B$29+Inputs!$B$30)))</f>
        <v/>
      </c>
      <c r="E634">
        <f>INDEX(FactorTable!$B$2:$Y$301, MATCH(ROUND(MIN(300,MAX(1,D634)),0), FactorTable!$A$2:$A$301,0), Skills!L12+1)</f>
        <v/>
      </c>
      <c r="F634">
        <f>IF(Skills!M12=TRUE,(Skills!K12/10)*(E634/1000),Skills!K12/10)+Skills!N12</f>
        <v/>
      </c>
      <c r="G634">
        <f>Calc!G12</f>
        <v/>
      </c>
      <c r="H634">
        <f>Calc!H12</f>
        <v/>
      </c>
      <c r="I634">
        <f>IF(Skills!T12&lt;&gt;"",1+(Skills!T12/10)*($Z$3/1000)/100,1)</f>
        <v/>
      </c>
      <c r="J634" t="inlineStr"/>
      <c r="K634" t="inlineStr"/>
      <c r="L634" t="inlineStr"/>
      <c r="M634" t="inlineStr"/>
      <c r="N634" t="inlineStr"/>
      <c r="O634" t="n">
        <v>0</v>
      </c>
      <c r="P634">
        <f>IF(B662=0,0,O634/B662)</f>
        <v/>
      </c>
      <c r="Q634">
        <f>IFERROR(1/IF(Inputs!$B$39="pvp",15,MAX(0.1,Skills!D12-IF(Skills!E12=TRUE,Inputs!$B$33,0))),0)</f>
        <v/>
      </c>
      <c r="R634">
        <f>IF(AND(Inputs!$B$39&lt;&gt;"pvp",Inputs!$B$44&gt;0),IF(MAX(0,Inputs!$B$44-B661)&lt;=0,0,(INT(MAX(0,Inputs!$B$44-B661)/IF(Inputs!$B$39="pvp",15,MAX(0.1,Skills!D12-IF(Skills!E12=TRUE,Inputs!$B$33,0))))+1)),0)</f>
        <v/>
      </c>
    </row>
    <row r="635">
      <c r="A635">
        <f>Skills!A13</f>
        <v/>
      </c>
      <c r="B635">
        <f>Skills!B13</f>
        <v/>
      </c>
      <c r="C635">
        <f>Inputs!$B$3&gt;=60</f>
        <v/>
      </c>
      <c r="D635">
        <f>IF(Skills!C13=1,60+Inputs!$B$26+Inputs!$B$30,IF(Skills!C13=2,90+Inputs!$B$27+Inputs!$B$30,IF(Skills!C13=3,120+Inputs!$B$28+Inputs!$B$30,MAX(0,(Inputs!$B$3-100)*3)+Inputs!$B$29+Inputs!$B$30)))</f>
        <v/>
      </c>
      <c r="E635">
        <f>INDEX(FactorTable!$B$2:$Y$301, MATCH(ROUND(MIN(300,MAX(1,D635)),0), FactorTable!$A$2:$A$301,0), Skills!L13+1)</f>
        <v/>
      </c>
      <c r="F635">
        <f>IF(Skills!M13=TRUE,(Skills!K13/10)*(E635/1000),Skills!K13/10)+Skills!N13</f>
        <v/>
      </c>
      <c r="G635">
        <f>Calc!G13</f>
        <v/>
      </c>
      <c r="H635">
        <f>Calc!H13</f>
        <v/>
      </c>
      <c r="I635">
        <f>IF(Skills!T13&lt;&gt;"",1+(Skills!T13/10)*($Z$3/1000)/100,1)</f>
        <v/>
      </c>
      <c r="J635" t="inlineStr"/>
      <c r="K635" t="inlineStr"/>
      <c r="L635" t="inlineStr"/>
      <c r="M635" t="inlineStr"/>
      <c r="N635" t="inlineStr"/>
      <c r="O635" t="n">
        <v>0</v>
      </c>
      <c r="P635">
        <f>IF(B662=0,0,O635/B662)</f>
        <v/>
      </c>
      <c r="Q635">
        <f>IFERROR(1/IF(Inputs!$B$39="pvp",15,MAX(0.1,Skills!D13-IF(Skills!E13=TRUE,Inputs!$B$33,0))),0)</f>
        <v/>
      </c>
      <c r="R635">
        <f>IF(AND(Inputs!$B$39&lt;&gt;"pvp",Inputs!$B$44&gt;0),IF(MAX(0,Inputs!$B$44-B661)&lt;=0,0,(INT(MAX(0,Inputs!$B$44-B661)/IF(Inputs!$B$39="pvp",15,MAX(0.1,Skills!D13-IF(Skills!E13=TRUE,Inputs!$B$33,0))))+1)),0)</f>
        <v/>
      </c>
    </row>
    <row r="636">
      <c r="A636">
        <f>Skills!A14</f>
        <v/>
      </c>
      <c r="B636">
        <f>Skills!B14</f>
        <v/>
      </c>
      <c r="C636">
        <f>Inputs!$B$3&gt;=107</f>
        <v/>
      </c>
      <c r="D636">
        <f>IF(Skills!C14=1,60+Inputs!$B$26+Inputs!$B$30,IF(Skills!C14=2,90+Inputs!$B$27+Inputs!$B$30,IF(Skills!C14=3,120+Inputs!$B$28+Inputs!$B$30,MAX(0,(Inputs!$B$3-100)*3)+Inputs!$B$29+Inputs!$B$30)))</f>
        <v/>
      </c>
      <c r="E636">
        <f>INDEX(FactorTable!$B$2:$Y$301, MATCH(ROUND(MIN(300,MAX(1,D636)),0), FactorTable!$A$2:$A$301,0), Skills!L14+1)</f>
        <v/>
      </c>
      <c r="F636">
        <f>IF(Skills!M14=TRUE,(Skills!K14/10)*(E636/1000),Skills!K14/10)+Skills!N14</f>
        <v/>
      </c>
      <c r="G636">
        <f>Calc!G14</f>
        <v/>
      </c>
      <c r="H636">
        <f>Calc!H14</f>
        <v/>
      </c>
      <c r="I636">
        <f>IF(Skills!T14&lt;&gt;"",1+(Skills!T14/10)*($Z$3/1000)/100,1)</f>
        <v/>
      </c>
      <c r="J636" t="inlineStr"/>
      <c r="K636" t="inlineStr"/>
      <c r="L636" t="inlineStr"/>
      <c r="M636" t="inlineStr"/>
      <c r="N636" t="inlineStr"/>
      <c r="O636" t="n">
        <v>0</v>
      </c>
      <c r="P636">
        <f>IF(B662=0,0,O636/B662)</f>
        <v/>
      </c>
      <c r="Q636">
        <f>IFERROR(1/IF(Inputs!$B$39="pvp",15,MAX(0.1,Skills!D14-IF(Skills!E14=TRUE,Inputs!$B$33,0))),0)</f>
        <v/>
      </c>
      <c r="R636">
        <f>IF(AND(Inputs!$B$39&lt;&gt;"pvp",Inputs!$B$44&gt;0),IF(Inputs!$B$44&lt;=0,0,(INT(Inputs!$B$44/IF(Inputs!$B$39="pvp",15,MAX(0.1,Skills!D14-IF(Skills!E14=TRUE,Inputs!$B$33,0))))+1)),0)</f>
        <v/>
      </c>
    </row>
    <row r="637">
      <c r="A637">
        <f>Skills!A15</f>
        <v/>
      </c>
      <c r="B637">
        <f>Skills!B15</f>
        <v/>
      </c>
      <c r="C637">
        <f>Inputs!$B$3&gt;=63</f>
        <v/>
      </c>
      <c r="D637">
        <f>IF(Skills!C15=1,60+Inputs!$B$26+Inputs!$B$30,IF(Skills!C15=2,90+Inputs!$B$27+Inputs!$B$30,IF(Skills!C15=3,120+Inputs!$B$28+Inputs!$B$30,MAX(0,(Inputs!$B$3-100)*3)+Inputs!$B$29+Inputs!$B$30)))</f>
        <v/>
      </c>
      <c r="E637">
        <f>INDEX(FactorTable!$B$2:$Y$301, MATCH(ROUND(MIN(300,MAX(1,D637)),0), FactorTable!$A$2:$A$301,0), Skills!L15+1)</f>
        <v/>
      </c>
      <c r="F637">
        <f>IF(Skills!M15=TRUE,(Skills!K15/10)*(E637/1000),Skills!K15/10)+Skills!N15</f>
        <v/>
      </c>
      <c r="G637">
        <f>Calc!G15</f>
        <v/>
      </c>
      <c r="H637">
        <f>Calc!H15</f>
        <v/>
      </c>
      <c r="I637">
        <f>IF(Skills!T15&lt;&gt;"",1+(Skills!T15/10)*($Z$3/1000)/100,1)</f>
        <v/>
      </c>
      <c r="J637">
        <f>((Inputs!$B$6*(1+Inputs!$B$7/100))+(((Inputs!$B$13*(1+Inputs!$B$14/100))-(Inputs!$B$13*(1+Inputs!$B$14/100)))+0.25*(Inputs!$B$15-Inputs!$B$15))*(1+Inputs!$B$7/100))*(F637/100)</f>
        <v/>
      </c>
      <c r="K637">
        <f>J637*(1+(((Inputs!$B$13+IF(Inputs!$B$3&gt;=35,(10*INDEX(FactorTable!$B$2:$Y$301, MATCH(ROUND(MIN(300,MAX(1,Inputs!$B$3)),0), FactorTable!$A$2:$A$301,0), 23)/1000)/100*(Inputs!$B$8*(1+(Inputs!$B$9+B660)/100)),0))*(1+Inputs!$B$14/100))*0.01+Inputs!$B$15*0.0025)/100)*(1+(Inputs!$B$16+B654)/100)*(1+IF(Inputs!$B$39="pvp",0,(1-Summary!$B$48)*(Inputs!$B$21+Skills!O15+B652)+Summary!$B$48*(Inputs!$B$22+Skills!P15+B653))/100)*(1+Inputs!$B$17/100)*(5000/(6000+Inputs!$B$43*(1-((1-(1-Inputs!$B$20/100)*(1-1/100))*100)/100)))*(1+Inputs!$B$25/100)*(1+IF(C640=TRUE,F640,0)/100)*(1+IF(C642=TRUE,F642,0)/100)*(1+IF(Skills!A15="TRIUMPH_FEATHER",IF(C638=TRUE,F638,0),0)/100)*(1+IF(C649=TRUE,F649,0)/100)^5*(1+(IF(Skills!A15="BIG_BANG",Inputs!$B$18,Inputs!$B$19))/100)*(B651*I637)</f>
        <v/>
      </c>
      <c r="L637">
        <f>K637*(MIN(Inputs!$B$23+(F644-Calc!F22),Inputs!$B$24)/100+Inputs!$B$24/100)/2</f>
        <v/>
      </c>
      <c r="M637">
        <f>L637*(1+(Inputs!$B$11+B655+(F647-Calc!F25))/100)</f>
        <v/>
      </c>
      <c r="N637">
        <f>L637*(1-MIN(Inputs!$B$10+((F646-Calc!F24)+(F645-Calc!F23)),100)/100)+M637*(MIN(Inputs!$B$10+((F646-Calc!F24)+(F645-Calc!F23)),100)/100)</f>
        <v/>
      </c>
      <c r="O637">
        <f>IF(C637,Skills!F15*N637*((IF(Inputs!$B$3&gt;=78,25,15)/100*B657*10)/(1+IF(Inputs!$B$3&gt;=78,25,15)/100*B657*10))*(Skills!I15/100*B657)/(1+Skills!G15*Skills!I15/100*B657)*IF(Inputs!$B$39="pvp",1,(1-Summary!$B$48)*(1)+Summary!$B$48*(MIN(Skills!Q15,Inputs!$B$38))),0)</f>
        <v/>
      </c>
      <c r="P637">
        <f>IF(B662=0,0,O637/B662)</f>
        <v/>
      </c>
      <c r="Q637">
        <f>IFERROR(1/IF(Inputs!$B$39="pvp",15,MAX(0.1,Skills!D15-IF(Skills!E15=TRUE,Inputs!$B$33,0))),0)</f>
        <v/>
      </c>
      <c r="R637" t="n">
        <v>0</v>
      </c>
    </row>
    <row r="638">
      <c r="A638">
        <f>Skills!A16</f>
        <v/>
      </c>
      <c r="B638">
        <f>Skills!B16</f>
        <v/>
      </c>
      <c r="C638">
        <f>Inputs!$B$3&gt;=100</f>
        <v/>
      </c>
      <c r="D638">
        <f>IF(Skills!C16=1,60+Inputs!$B$26+Inputs!$B$30,IF(Skills!C16=2,90+Inputs!$B$27+Inputs!$B$30,IF(Skills!C16=3,120+Inputs!$B$28+Inputs!$B$30,MAX(0,(Inputs!$B$3-100)*3)+Inputs!$B$29+Inputs!$B$30)))</f>
        <v/>
      </c>
      <c r="E638">
        <f>INDEX(FactorTable!$B$2:$Y$301, MATCH(ROUND(MIN(300,MAX(1,D638)),0), FactorTable!$A$2:$A$301,0), Skills!L16+1)</f>
        <v/>
      </c>
      <c r="F638">
        <f>IF(Skills!M16=TRUE,(Skills!K16/10)*(E638/1000),Skills!K16/10)+Skills!N16</f>
        <v/>
      </c>
      <c r="G638">
        <f>Calc!G16</f>
        <v/>
      </c>
      <c r="H638">
        <f>Calc!H16</f>
        <v/>
      </c>
      <c r="I638">
        <f>IF(Skills!T16&lt;&gt;"",1+(Skills!T16/10)*($Z$3/1000)/100,1)</f>
        <v/>
      </c>
      <c r="J638" t="inlineStr"/>
      <c r="K638" t="inlineStr"/>
      <c r="L638" t="inlineStr"/>
      <c r="M638" t="inlineStr"/>
      <c r="N638" t="inlineStr"/>
      <c r="O638" t="n">
        <v>0</v>
      </c>
      <c r="P638">
        <f>IF(B662=0,0,O638/B662)</f>
        <v/>
      </c>
      <c r="Q638">
        <f>IFERROR(1/IF(Inputs!$B$39="pvp",15,MAX(0.1,Skills!D16-IF(Skills!E16=TRUE,Inputs!$B$33,0))),0)</f>
        <v/>
      </c>
      <c r="R638" t="n">
        <v>0</v>
      </c>
    </row>
    <row r="639">
      <c r="A639">
        <f>Skills!A17</f>
        <v/>
      </c>
      <c r="B639">
        <f>Skills!B17</f>
        <v/>
      </c>
      <c r="C639">
        <f>Inputs!$B$3&gt;=49</f>
        <v/>
      </c>
      <c r="D639">
        <f>IF(Skills!C17=1,60+Inputs!$B$26+Inputs!$B$30,IF(Skills!C17=2,90+Inputs!$B$27+Inputs!$B$30,IF(Skills!C17=3,120+Inputs!$B$28+Inputs!$B$30,MAX(0,(Inputs!$B$3-100)*3)+Inputs!$B$29+Inputs!$B$30)))</f>
        <v/>
      </c>
      <c r="E639">
        <f>INDEX(FactorTable!$B$2:$Y$301, MATCH(ROUND(MIN(300,MAX(1,D639)),0), FactorTable!$A$2:$A$301,0), Skills!L17+1)</f>
        <v/>
      </c>
      <c r="F639">
        <f>IF(Skills!M17=TRUE,(Skills!K17/10)*(E639/1000),Skills!K17/10)+Skills!N17</f>
        <v/>
      </c>
      <c r="G639">
        <f>Calc!G17</f>
        <v/>
      </c>
      <c r="H639">
        <f>Calc!H17</f>
        <v/>
      </c>
      <c r="I639">
        <f>IF(Skills!T17&lt;&gt;"",1+(Skills!T17/10)*($Z$3/1000)/100,1)</f>
        <v/>
      </c>
      <c r="J639" t="inlineStr"/>
      <c r="K639" t="inlineStr"/>
      <c r="L639" t="inlineStr"/>
      <c r="M639" t="inlineStr"/>
      <c r="N639" t="inlineStr"/>
      <c r="O639" t="n">
        <v>0</v>
      </c>
      <c r="P639">
        <f>IF(B662=0,0,O639/B662)</f>
        <v/>
      </c>
      <c r="Q639">
        <f>IFERROR(1/IF(Inputs!$B$39="pvp",15,MAX(0.1,Skills!D17-IF(Skills!E17=TRUE,Inputs!$B$33,0))),0)</f>
        <v/>
      </c>
      <c r="R639" t="n">
        <v>0</v>
      </c>
    </row>
    <row r="640">
      <c r="A640">
        <f>Skills!A18</f>
        <v/>
      </c>
      <c r="B640">
        <f>Skills!B18</f>
        <v/>
      </c>
      <c r="C640">
        <f>Inputs!$B$3&gt;=75</f>
        <v/>
      </c>
      <c r="D640">
        <f>IF(Skills!C18=1,60+Inputs!$B$26+Inputs!$B$30,IF(Skills!C18=2,90+Inputs!$B$27+Inputs!$B$30,IF(Skills!C18=3,120+Inputs!$B$28+Inputs!$B$30,MAX(0,(Inputs!$B$3-100)*3)+Inputs!$B$29+Inputs!$B$30)))</f>
        <v/>
      </c>
      <c r="E640">
        <f>INDEX(FactorTable!$B$2:$Y$301, MATCH(ROUND(MIN(300,MAX(1,D640)),0), FactorTable!$A$2:$A$301,0), Skills!L18+1)</f>
        <v/>
      </c>
      <c r="F640">
        <f>IF(Skills!M18=TRUE,(Skills!K18/10)*(E640/1000),Skills!K18/10)+Skills!N18</f>
        <v/>
      </c>
      <c r="G640">
        <f>Calc!G18</f>
        <v/>
      </c>
      <c r="H640">
        <f>Calc!H18</f>
        <v/>
      </c>
      <c r="I640">
        <f>IF(Skills!T18&lt;&gt;"",1+(Skills!T18/10)*($Z$3/1000)/100,1)</f>
        <v/>
      </c>
      <c r="J640" t="inlineStr"/>
      <c r="K640" t="inlineStr"/>
      <c r="L640" t="inlineStr"/>
      <c r="M640" t="inlineStr"/>
      <c r="N640" t="inlineStr"/>
      <c r="O640" t="n">
        <v>0</v>
      </c>
      <c r="P640">
        <f>IF(B662=0,0,O640/B662)</f>
        <v/>
      </c>
      <c r="Q640">
        <f>IFERROR(1/IF(Inputs!$B$39="pvp",15,MAX(0.1,Skills!D18-IF(Skills!E18=TRUE,Inputs!$B$33,0))),0)</f>
        <v/>
      </c>
      <c r="R640" t="n">
        <v>0</v>
      </c>
    </row>
    <row r="641">
      <c r="A641">
        <f>Skills!A19</f>
        <v/>
      </c>
      <c r="B641">
        <f>Skills!B19</f>
        <v/>
      </c>
      <c r="C641">
        <f>Inputs!$B$3&gt;=110</f>
        <v/>
      </c>
      <c r="D641">
        <f>IF(Skills!C19=1,60+Inputs!$B$26+Inputs!$B$30,IF(Skills!C19=2,90+Inputs!$B$27+Inputs!$B$30,IF(Skills!C19=3,120+Inputs!$B$28+Inputs!$B$30,MAX(0,(Inputs!$B$3-100)*3)+Inputs!$B$29+Inputs!$B$30)))</f>
        <v/>
      </c>
      <c r="E641">
        <f>INDEX(FactorTable!$B$2:$Y$301, MATCH(ROUND(MIN(300,MAX(1,D641)),0), FactorTable!$A$2:$A$301,0), Skills!L19+1)</f>
        <v/>
      </c>
      <c r="F641">
        <f>(Skills!K19/10)*(E641/1000)*64/45+Skills!N19</f>
        <v/>
      </c>
      <c r="G641">
        <f>Calc!G19</f>
        <v/>
      </c>
      <c r="H641">
        <f>Calc!H19</f>
        <v/>
      </c>
      <c r="I641">
        <f>IF(Skills!T19&lt;&gt;"",1+(Skills!T19/10)*($Z$3/1000)/100,1)</f>
        <v/>
      </c>
      <c r="J641" t="inlineStr"/>
      <c r="K641" t="inlineStr"/>
      <c r="L641" t="inlineStr"/>
      <c r="M641" t="inlineStr"/>
      <c r="N641" t="inlineStr"/>
      <c r="O641" t="n">
        <v>0</v>
      </c>
      <c r="P641">
        <f>IF(B662=0,0,O641/B662)</f>
        <v/>
      </c>
      <c r="Q641">
        <f>IFERROR(1/IF(Inputs!$B$39="pvp",15,MAX(0.1,Skills!D19-IF(Skills!E19=TRUE,Inputs!$B$33,0))),0)</f>
        <v/>
      </c>
      <c r="R641">
        <f>IF(AND(Inputs!$B$39&lt;&gt;"pvp",Inputs!$B$44&gt;0),IF(Inputs!$B$44&lt;=0,0,(INT(Inputs!$B$44/IF(Inputs!$B$39="pvp",15,MAX(0.1,Skills!D19-IF(Skills!E19=TRUE,Inputs!$B$33,0))))+1)),0)</f>
        <v/>
      </c>
    </row>
    <row r="642">
      <c r="A642">
        <f>Skills!A20</f>
        <v/>
      </c>
      <c r="B642">
        <f>Skills!B20</f>
        <v/>
      </c>
      <c r="C642">
        <f>Inputs!$B$3&gt;=125</f>
        <v/>
      </c>
      <c r="D642">
        <f>IF(Skills!C20=1,60+Inputs!$B$26+Inputs!$B$30,IF(Skills!C20=2,90+Inputs!$B$27+Inputs!$B$30,IF(Skills!C20=3,120+Inputs!$B$28+Inputs!$B$30,MAX(0,(Inputs!$B$3-100)*3)+Inputs!$B$29+Inputs!$B$30)))</f>
        <v/>
      </c>
      <c r="E642">
        <f>INDEX(FactorTable!$B$2:$Y$301, MATCH(ROUND(MIN(300,MAX(1,D642)),0), FactorTable!$A$2:$A$301,0), Skills!L20+1)</f>
        <v/>
      </c>
      <c r="F642">
        <f>IF(Skills!M20=TRUE,(Skills!K20/10)*(E642/1000),Skills!K20/10)+Skills!N20</f>
        <v/>
      </c>
      <c r="G642">
        <f>Calc!G20</f>
        <v/>
      </c>
      <c r="H642">
        <f>Calc!H20</f>
        <v/>
      </c>
      <c r="I642">
        <f>IF(Skills!T20&lt;&gt;"",1+(Skills!T20/10)*($Z$3/1000)/100,1)</f>
        <v/>
      </c>
      <c r="J642" t="inlineStr"/>
      <c r="K642" t="inlineStr"/>
      <c r="L642" t="inlineStr"/>
      <c r="M642" t="inlineStr"/>
      <c r="N642" t="inlineStr"/>
      <c r="O642" t="n">
        <v>0</v>
      </c>
      <c r="P642">
        <f>IF(B662=0,0,O642/B662)</f>
        <v/>
      </c>
      <c r="Q642">
        <f>IFERROR(1/IF(Inputs!$B$39="pvp",15,MAX(0.1,Skills!D20-IF(Skills!E20=TRUE,Inputs!$B$33,0))),0)</f>
        <v/>
      </c>
      <c r="R642" t="n">
        <v>0</v>
      </c>
    </row>
    <row r="643">
      <c r="A643">
        <f>Skills!A21</f>
        <v/>
      </c>
      <c r="B643">
        <f>Skills!B21</f>
        <v/>
      </c>
      <c r="C643">
        <f>Inputs!$B$3&gt;=33</f>
        <v/>
      </c>
      <c r="D643">
        <f>IF(Skills!C21=1,60+Inputs!$B$26+Inputs!$B$30,IF(Skills!C21=2,90+Inputs!$B$27+Inputs!$B$30,IF(Skills!C21=3,120+Inputs!$B$28+Inputs!$B$30,MAX(0,(Inputs!$B$3-100)*3)+Inputs!$B$29+Inputs!$B$30)))</f>
        <v/>
      </c>
      <c r="E643">
        <f>INDEX(FactorTable!$B$2:$Y$301, MATCH(ROUND(MIN(300,MAX(1,D643)),0), FactorTable!$A$2:$A$301,0), Skills!L21+1)</f>
        <v/>
      </c>
      <c r="F643">
        <f>IF(Skills!M21=TRUE,(Skills!K21/10)*(E643/1000),Skills!K21/10)+Skills!N21</f>
        <v/>
      </c>
      <c r="G643">
        <f>Calc!G21</f>
        <v/>
      </c>
      <c r="H643">
        <f>Calc!H21</f>
        <v/>
      </c>
      <c r="I643">
        <f>IF(Skills!T21&lt;&gt;"",1+(Skills!T21/10)*($Z$3/1000)/100,1)</f>
        <v/>
      </c>
      <c r="J643" t="inlineStr"/>
      <c r="K643" t="inlineStr"/>
      <c r="L643" t="inlineStr"/>
      <c r="M643" t="inlineStr"/>
      <c r="N643" t="inlineStr"/>
      <c r="O643" t="n">
        <v>0</v>
      </c>
      <c r="P643">
        <f>IF(B662=0,0,O643/B662)</f>
        <v/>
      </c>
      <c r="Q643">
        <f>IFERROR(1/IF(Inputs!$B$39="pvp",15,MAX(0.1,Skills!D21-IF(Skills!E21=TRUE,Inputs!$B$33,0))),0)</f>
        <v/>
      </c>
      <c r="R643" t="n">
        <v>0</v>
      </c>
    </row>
    <row r="644">
      <c r="A644">
        <f>Skills!A22</f>
        <v/>
      </c>
      <c r="B644">
        <f>Skills!B22</f>
        <v/>
      </c>
      <c r="C644">
        <f>Inputs!$B$3&gt;=43</f>
        <v/>
      </c>
      <c r="D644">
        <f>IF(Skills!C22=1,60+Inputs!$B$26+Inputs!$B$30,IF(Skills!C22=2,90+Inputs!$B$27+Inputs!$B$30,IF(Skills!C22=3,120+Inputs!$B$28+Inputs!$B$30,MAX(0,(Inputs!$B$3-100)*3)+Inputs!$B$29+Inputs!$B$30)))</f>
        <v/>
      </c>
      <c r="E644">
        <f>INDEX(FactorTable!$B$2:$Y$301, MATCH(ROUND(MIN(300,MAX(1,D644)),0), FactorTable!$A$2:$A$301,0), Skills!L22+1)</f>
        <v/>
      </c>
      <c r="F644">
        <f>IF(Skills!M22=TRUE,(Skills!K22/10)*(E644/1000),Skills!K22/10)+Skills!N22</f>
        <v/>
      </c>
      <c r="G644">
        <f>Calc!G22</f>
        <v/>
      </c>
      <c r="H644">
        <f>Calc!H22</f>
        <v/>
      </c>
      <c r="I644">
        <f>IF(Skills!T22&lt;&gt;"",1+(Skills!T22/10)*($Z$3/1000)/100,1)</f>
        <v/>
      </c>
      <c r="J644" t="inlineStr"/>
      <c r="K644" t="inlineStr"/>
      <c r="L644" t="inlineStr"/>
      <c r="M644" t="inlineStr"/>
      <c r="N644" t="inlineStr"/>
      <c r="O644" t="n">
        <v>0</v>
      </c>
      <c r="P644">
        <f>IF(B662=0,0,O644/B662)</f>
        <v/>
      </c>
      <c r="Q644">
        <f>IFERROR(1/IF(Inputs!$B$39="pvp",15,MAX(0.1,Skills!D22-IF(Skills!E22=TRUE,Inputs!$B$33,0))),0)</f>
        <v/>
      </c>
      <c r="R644" t="n">
        <v>0</v>
      </c>
    </row>
    <row r="645">
      <c r="A645">
        <f>Skills!A23</f>
        <v/>
      </c>
      <c r="B645">
        <f>Skills!B23</f>
        <v/>
      </c>
      <c r="C645">
        <f>Inputs!$B$3&gt;=50</f>
        <v/>
      </c>
      <c r="D645">
        <f>IF(Skills!C23=1,60+Inputs!$B$26+Inputs!$B$30,IF(Skills!C23=2,90+Inputs!$B$27+Inputs!$B$30,IF(Skills!C23=3,120+Inputs!$B$28+Inputs!$B$30,MAX(0,(Inputs!$B$3-100)*3)+Inputs!$B$29+Inputs!$B$30)))</f>
        <v/>
      </c>
      <c r="E645">
        <f>INDEX(FactorTable!$B$2:$Y$301, MATCH(ROUND(MIN(300,MAX(1,D645)),0), FactorTable!$A$2:$A$301,0), Skills!L23+1)</f>
        <v/>
      </c>
      <c r="F645">
        <f>IF(Skills!M23=TRUE,(Skills!K23/10)*(E645/1000),Skills!K23/10)+Skills!N23</f>
        <v/>
      </c>
      <c r="G645">
        <f>Calc!G23</f>
        <v/>
      </c>
      <c r="H645">
        <f>Calc!H23</f>
        <v/>
      </c>
      <c r="I645">
        <f>IF(Skills!T23&lt;&gt;"",1+(Skills!T23/10)*($Z$3/1000)/100,1)</f>
        <v/>
      </c>
      <c r="J645" t="inlineStr"/>
      <c r="K645" t="inlineStr"/>
      <c r="L645" t="inlineStr"/>
      <c r="M645" t="inlineStr"/>
      <c r="N645" t="inlineStr"/>
      <c r="O645" t="n">
        <v>0</v>
      </c>
      <c r="P645">
        <f>IF(B662=0,0,O645/B662)</f>
        <v/>
      </c>
      <c r="Q645">
        <f>IFERROR(1/IF(Inputs!$B$39="pvp",15,MAX(0.1,Skills!D23-IF(Skills!E23=TRUE,Inputs!$B$33,0))),0)</f>
        <v/>
      </c>
      <c r="R645" t="n">
        <v>0</v>
      </c>
    </row>
    <row r="646">
      <c r="A646">
        <f>Skills!A24</f>
        <v/>
      </c>
      <c r="B646">
        <f>Skills!B24</f>
        <v/>
      </c>
      <c r="C646">
        <f>Inputs!$B$3&gt;=74</f>
        <v/>
      </c>
      <c r="D646">
        <f>IF(Skills!C24=1,60+Inputs!$B$26+Inputs!$B$30,IF(Skills!C24=2,90+Inputs!$B$27+Inputs!$B$30,IF(Skills!C24=3,120+Inputs!$B$28+Inputs!$B$30,MAX(0,(Inputs!$B$3-100)*3)+Inputs!$B$29+Inputs!$B$30)))</f>
        <v/>
      </c>
      <c r="E646">
        <f>INDEX(FactorTable!$B$2:$Y$301, MATCH(ROUND(MIN(300,MAX(1,D646)),0), FactorTable!$A$2:$A$301,0), Skills!L24+1)</f>
        <v/>
      </c>
      <c r="F646">
        <f>IF(Skills!M24=TRUE,(Skills!K24/10)*(E646/1000),Skills!K24/10)+Skills!N24</f>
        <v/>
      </c>
      <c r="G646">
        <f>Calc!G24</f>
        <v/>
      </c>
      <c r="H646">
        <f>Calc!H24</f>
        <v/>
      </c>
      <c r="I646">
        <f>IF(Skills!T24&lt;&gt;"",1+(Skills!T24/10)*($Z$3/1000)/100,1)</f>
        <v/>
      </c>
      <c r="J646" t="inlineStr"/>
      <c r="K646" t="inlineStr"/>
      <c r="L646" t="inlineStr"/>
      <c r="M646" t="inlineStr"/>
      <c r="N646" t="inlineStr"/>
      <c r="O646" t="n">
        <v>0</v>
      </c>
      <c r="P646">
        <f>IF(B662=0,0,O646/B662)</f>
        <v/>
      </c>
      <c r="Q646">
        <f>IFERROR(1/IF(Inputs!$B$39="pvp",15,MAX(0.1,Skills!D24-IF(Skills!E24=TRUE,Inputs!$B$33,0))),0)</f>
        <v/>
      </c>
      <c r="R646" t="n">
        <v>0</v>
      </c>
    </row>
    <row r="647">
      <c r="A647">
        <f>Skills!A25</f>
        <v/>
      </c>
      <c r="B647">
        <f>Skills!B25</f>
        <v/>
      </c>
      <c r="C647">
        <f>Inputs!$B$3&gt;=74</f>
        <v/>
      </c>
      <c r="D647">
        <f>IF(Skills!C25=1,60+Inputs!$B$26+Inputs!$B$30,IF(Skills!C25=2,90+Inputs!$B$27+Inputs!$B$30,IF(Skills!C25=3,120+Inputs!$B$28+Inputs!$B$30,MAX(0,(Inputs!$B$3-100)*3)+Inputs!$B$29+Inputs!$B$30)))</f>
        <v/>
      </c>
      <c r="E647">
        <f>INDEX(FactorTable!$B$2:$Y$301, MATCH(ROUND(MIN(300,MAX(1,D647)),0), FactorTable!$A$2:$A$301,0), Skills!L25+1)</f>
        <v/>
      </c>
      <c r="F647">
        <f>IF(Skills!M25=TRUE,(Skills!K25/10)*(E647/1000),Skills!K25/10)+Skills!N25</f>
        <v/>
      </c>
      <c r="G647">
        <f>Calc!G25</f>
        <v/>
      </c>
      <c r="H647">
        <f>Calc!H25</f>
        <v/>
      </c>
      <c r="I647">
        <f>IF(Skills!T25&lt;&gt;"",1+(Skills!T25/10)*($Z$3/1000)/100,1)</f>
        <v/>
      </c>
      <c r="J647" t="inlineStr"/>
      <c r="K647" t="inlineStr"/>
      <c r="L647" t="inlineStr"/>
      <c r="M647" t="inlineStr"/>
      <c r="N647" t="inlineStr"/>
      <c r="O647" t="n">
        <v>0</v>
      </c>
      <c r="P647">
        <f>IF(B662=0,0,O647/B662)</f>
        <v/>
      </c>
      <c r="Q647">
        <f>IFERROR(1/IF(Inputs!$B$39="pvp",15,MAX(0.1,Skills!D25-IF(Skills!E25=TRUE,Inputs!$B$33,0))),0)</f>
        <v/>
      </c>
      <c r="R647" t="n">
        <v>0</v>
      </c>
    </row>
    <row r="648">
      <c r="A648">
        <f>Skills!A26</f>
        <v/>
      </c>
      <c r="B648">
        <f>Skills!B26</f>
        <v/>
      </c>
      <c r="C648">
        <f>Inputs!$B$3&gt;=117</f>
        <v/>
      </c>
      <c r="D648">
        <f>IF(Skills!C26=1,60+Inputs!$B$26+Inputs!$B$30,IF(Skills!C26=2,90+Inputs!$B$27+Inputs!$B$30,IF(Skills!C26=3,120+Inputs!$B$28+Inputs!$B$30,MAX(0,(Inputs!$B$3-100)*3)+Inputs!$B$29+Inputs!$B$30)))</f>
        <v/>
      </c>
      <c r="E648">
        <f>INDEX(FactorTable!$B$2:$Y$301, MATCH(ROUND(MIN(300,MAX(1,D648)),0), FactorTable!$A$2:$A$301,0), Skills!L26+1)</f>
        <v/>
      </c>
      <c r="F648">
        <f>IF(Skills!M26=TRUE,(Skills!K26/10)*(E648/1000),Skills!K26/10)+Skills!N26</f>
        <v/>
      </c>
      <c r="G648">
        <f>Calc!G26</f>
        <v/>
      </c>
      <c r="H648">
        <f>Calc!H26</f>
        <v/>
      </c>
      <c r="I648">
        <f>IF(Skills!T26&lt;&gt;"",1+(Skills!T26/10)*($Z$3/1000)/100,1)</f>
        <v/>
      </c>
      <c r="J648" t="inlineStr"/>
      <c r="K648" t="inlineStr"/>
      <c r="L648" t="inlineStr"/>
      <c r="M648" t="inlineStr"/>
      <c r="N648" t="inlineStr"/>
      <c r="O648" t="n">
        <v>0</v>
      </c>
      <c r="P648">
        <f>IF(B662=0,0,O648/B662)</f>
        <v/>
      </c>
      <c r="Q648">
        <f>IFERROR(1/IF(Inputs!$B$39="pvp",15,MAX(0.1,Skills!D26-IF(Skills!E26=TRUE,Inputs!$B$33,0))),0)</f>
        <v/>
      </c>
      <c r="R648" t="n">
        <v>0</v>
      </c>
    </row>
    <row r="649">
      <c r="A649">
        <f>Skills!A27</f>
        <v/>
      </c>
      <c r="B649">
        <f>Skills!B27</f>
        <v/>
      </c>
      <c r="C649">
        <f>Inputs!$B$3&gt;=120</f>
        <v/>
      </c>
      <c r="D649">
        <f>IF(Skills!C27=1,60+Inputs!$B$26+Inputs!$B$30,IF(Skills!C27=2,90+Inputs!$B$27+Inputs!$B$30,IF(Skills!C27=3,120+Inputs!$B$28+Inputs!$B$30,MAX(0,(Inputs!$B$3-100)*3)+Inputs!$B$29+Inputs!$B$30)))</f>
        <v/>
      </c>
      <c r="E649">
        <f>INDEX(FactorTable!$B$2:$Y$301, MATCH(ROUND(MIN(300,MAX(1,D649)),0), FactorTable!$A$2:$A$301,0), Skills!L27+1)</f>
        <v/>
      </c>
      <c r="F649">
        <f>IF(Skills!M27=TRUE,(Skills!K27/10)*(E649/1000),Skills!K27/10)+Skills!N27</f>
        <v/>
      </c>
      <c r="G649">
        <f>Calc!G27</f>
        <v/>
      </c>
      <c r="H649">
        <f>Calc!H27</f>
        <v/>
      </c>
      <c r="I649">
        <f>IF(Skills!T27&lt;&gt;"",1+(Skills!T27/10)*($Z$3/1000)/100,1)</f>
        <v/>
      </c>
      <c r="J649" t="inlineStr"/>
      <c r="K649" t="inlineStr"/>
      <c r="L649" t="inlineStr"/>
      <c r="M649" t="inlineStr"/>
      <c r="N649" t="inlineStr"/>
      <c r="O649" t="n">
        <v>0</v>
      </c>
      <c r="P649">
        <f>IF(B662=0,0,O649/B662)</f>
        <v/>
      </c>
      <c r="Q649">
        <f>IFERROR(1/IF(Inputs!$B$39="pvp",15,MAX(0.1,Skills!D27-IF(Skills!E27=TRUE,Inputs!$B$33,0))),0)</f>
        <v/>
      </c>
      <c r="R649" t="n">
        <v>0</v>
      </c>
    </row>
    <row r="651">
      <c r="A651" t="inlineStr">
        <is>
          <t>Average Buff Multiplier</t>
        </is>
      </c>
      <c r="B651">
        <f>(1+(IF(C625=TRUE,F625*IF(AND(Inputs!$B$39&lt;&gt;"pvp",Inputs!$B$44&gt;0),(((R625-1)*(Skills!S3*(1+(Inputs!$B$35+IF(Inputs!$B$3&gt;=117,F648,0))/100))+MIN((Skills!S3*(1+(Inputs!$B$35+IF(Inputs!$B$3&gt;=117,F648,0))/100)),MAX(0,Inputs!$B$44-((R625-1)*Skills!D3))))/Inputs!$B$44),IF(Inputs!$B$39="pvp",MIN((Skills!S3*(1+(Inputs!$B$35+IF(Inputs!$B$3&gt;=117,F648,0))/100)),15)/15,(Skills!S3*(1+(Inputs!$B$35+IF(Inputs!$B$3&gt;=117,F648,0))/100))/Skills!D3)),0)+IF(C626=TRUE,F626*IF(AND(Inputs!$B$39&lt;&gt;"pvp",Inputs!$B$44&gt;0),(((R626-1)*(Skills!S4*(1+(Inputs!$B$35+IF(Inputs!$B$3&gt;=117,F648,0))/100))+MIN((Skills!S4*(1+(Inputs!$B$35+IF(Inputs!$B$3&gt;=117,F648,0))/100)),MAX(0,Inputs!$B$44-((R626-1)*Skills!D4))))/Inputs!$B$44),IF(Inputs!$B$39="pvp",MIN((Skills!S4*(1+(Inputs!$B$35+IF(Inputs!$B$3&gt;=117,F648,0))/100)),15)/15,(Skills!S4*(1+(Inputs!$B$35+IF(Inputs!$B$3&gt;=117,F648,0))/100))/Skills!D4)),0)+IF(C627=TRUE,F627*IF(AND(Inputs!$B$39&lt;&gt;"pvp",Inputs!$B$44&gt;0),(((R627-1)*(Skills!S5*(1+(Inputs!$B$35+IF(Inputs!$B$3&gt;=117,F648,0))/100))+MIN((Skills!S5*(1+(Inputs!$B$35+IF(Inputs!$B$3&gt;=117,F648,0))/100)),MAX(0,Inputs!$B$44-((R627-1)*Skills!D5))))/Inputs!$B$44),IF(Inputs!$B$39="pvp",MIN((Skills!S5*(1+(Inputs!$B$35+IF(Inputs!$B$3&gt;=117,F648,0))/100)),15)/15,(Skills!S5*(1+(Inputs!$B$35+IF(Inputs!$B$3&gt;=117,F648,0))/100))/Skills!D5)),0)+IF(C633=TRUE,F633*IF(AND(Inputs!$B$39&lt;&gt;"pvp",Inputs!$B$44&gt;0),(((R633-1)*(Skills!S11*(1+(Inputs!$B$35+IF(Inputs!$B$3&gt;=117,F648,0))/100))+MIN((Skills!S11*(1+(Inputs!$B$35+IF(Inputs!$B$3&gt;=117,F648,0))/100)),MAX(0,Inputs!$B$44-((R633-1)*Skills!D11))))/Inputs!$B$44),IF(Inputs!$B$39="pvp",MIN((Skills!S11*(1+(Inputs!$B$35+IF(Inputs!$B$3&gt;=117,F648,0))/100)),15)/15,(Skills!S11*(1+(Inputs!$B$35+IF(Inputs!$B$3&gt;=117,F648,0))/100))/Skills!D11)),0))/100)*IF(C636=TRUE,(1+F636*IF(AND(Inputs!$B$39&lt;&gt;"pvp",Inputs!$B$44&gt;0),(((R636-1)*(Skills!S14*(1+(Inputs!$B$35+IF(Inputs!$B$3&gt;=117,F648,0))/100))+MIN((Skills!S14*(1+(Inputs!$B$35+IF(Inputs!$B$3&gt;=117,F648,0))/100)),MAX(0,Inputs!$B$44-((R636-1)*Skills!D14))))/Inputs!$B$44),IF(Inputs!$B$39="pvp",MIN((Skills!S14*(1+(Inputs!$B$35+IF(Inputs!$B$3&gt;=117,F648,0))/100)),15)/15,(Skills!S14*(1+(Inputs!$B$35+IF(Inputs!$B$3&gt;=117,F648,0))/100))/Skills!D14))/100),1)*IF(C641=TRUE,(1+F641*IF(AND(Inputs!$B$39&lt;&gt;"pvp",Inputs!$B$44&gt;0),(((R641-1)*(Skills!S19*(1+(Inputs!$B$35+IF(Inputs!$B$3&gt;=117,F648,0))/100))+MIN((Skills!S19*(1+(Inputs!$B$35+IF(Inputs!$B$3&gt;=117,F648,0))/100)),MAX(0,Inputs!$B$44-((R641-1)*Skills!D19))))/Inputs!$B$44),IF(Inputs!$B$39="pvp",MIN((Skills!S19*(1+(Inputs!$B$35+IF(Inputs!$B$3&gt;=117,F648,0))/100)),15)/15,(Skills!S19*(1+(Inputs!$B$35+IF(Inputs!$B$3&gt;=117,F648,0))/100))/Skills!D19))/100),1)</f>
        <v/>
      </c>
    </row>
    <row r="652">
      <c r="A652" t="inlineStr">
        <is>
          <t>Monster Damage Taken Bonus % (Holy Fountain)</t>
        </is>
      </c>
      <c r="B652">
        <f>IF(Inputs!$B$3&gt;=68,20*IF(Inputs!$B$39="pvp",MIN((15*(1+(Inputs!$B$35+IF(Inputs!$B$3&gt;=117,F648,0))/100)),15)/15,(15*(1+(Inputs!$B$35+IF(Inputs!$B$3&gt;=117,F648,0))/100))/Skills!D10),0)</f>
        <v/>
      </c>
    </row>
    <row r="653">
      <c r="A653" t="inlineStr">
        <is>
          <t>Normal Monster Damage Bonus % (Holy Symbol)</t>
        </is>
      </c>
      <c r="B653">
        <f>IF(C634=TRUE,F634*IF(AND(Inputs!$B$39&lt;&gt;"pvp",Inputs!$B$44&gt;0),(((R634-1)*(Skills!S12*(1+(Inputs!$B$35+IF(Inputs!$B$3&gt;=117,F648,0))/100))+MIN((Skills!S12*(1+(Inputs!$B$35+IF(Inputs!$B$3&gt;=117,F648,0))/100)),MAX(0,Inputs!$B$44-((R634-1)*Skills!D12))))/Inputs!$B$44),IF(Inputs!$B$39="pvp",MIN((Skills!S12*(1+(Inputs!$B$35+IF(Inputs!$B$3&gt;=117,F648,0))/100)),15)/15,(Skills!S12*(1+(Inputs!$B$35+IF(Inputs!$B$3&gt;=117,F648,0))/100))/Skills!D12)),0)</f>
        <v/>
      </c>
    </row>
    <row r="654">
      <c r="A654" t="inlineStr">
        <is>
          <t>Damage % Bonus (Holy Symbol - Damage Boost)</t>
        </is>
      </c>
      <c r="B654">
        <f>Skills!O12</f>
        <v/>
      </c>
    </row>
    <row r="655">
      <c r="A655" t="inlineStr">
        <is>
          <t>Crit Damage % Bonus (Blood of the Divine)</t>
        </is>
      </c>
      <c r="B655">
        <f>4*IF(C642=TRUE,F642,0)</f>
        <v/>
      </c>
    </row>
    <row r="656">
      <c r="A656" t="inlineStr">
        <is>
          <t>Attack Speed Bonus %</t>
        </is>
      </c>
      <c r="B656">
        <f>IF(C639=TRUE,F639+(F643-Calc!F21),0)+IF(Inputs!$B$3&gt;=134,15,0)</f>
        <v/>
      </c>
    </row>
    <row r="657">
      <c r="A657" t="inlineStr">
        <is>
          <t>Actions Per Second</t>
        </is>
      </c>
      <c r="B657">
        <f>1+MIN(150,150*(1-(1-Inputs!$B$12/150)*(1-B656/150)))/100</f>
        <v/>
      </c>
    </row>
    <row r="658">
      <c r="A658" t="inlineStr">
        <is>
          <t>Skill + Buff Cast Rate</t>
        </is>
      </c>
      <c r="B658">
        <f>IF(AND(Inputs!$B$39&lt;&gt;"pvp",Inputs!$B$44&gt;0),SUMPRODUCT((Skills!E2:E27=TRUE)*(C624:C649=TRUE)*R624:R649)/Inputs!$B$44,SUMPRODUCT((Skills!E2:E27=TRUE)*(C624:C649=TRUE)*Q624:Q649))</f>
        <v/>
      </c>
    </row>
    <row r="659">
      <c r="A659" t="inlineStr">
        <is>
          <t>Big Bang Casts Per Second</t>
        </is>
      </c>
      <c r="B659">
        <f>MAX(0,B657-B658)</f>
        <v/>
      </c>
    </row>
    <row r="660">
      <c r="A660" t="inlineStr">
        <is>
          <t>Defense % Bonus (Divine Protection)</t>
        </is>
      </c>
      <c r="B660">
        <f>IF(C635=TRUE,F635*IF(AND(Inputs!$B$39&lt;&gt;"pvp",Inputs!$B$44&gt;0),(((R635-1)*(Skills!S13*(1+(Inputs!$B$35+IF(Inputs!$B$3&gt;=117,F648,0))/100))+MIN((Skills!S13*(1+(Inputs!$B$35+IF(Inputs!$B$3&gt;=117,F648,0))/100)),MAX(0,Inputs!$B$44-((R635-1)*Skills!D13))))/Inputs!$B$44),IF(Inputs!$B$39="pvp",MIN((Skills!S13*(1+(Inputs!$B$35+IF(Inputs!$B$3&gt;=117,F648,0))/100)),15)/15,(Skills!S13*(1+(Inputs!$B$35+IF(Inputs!$B$3&gt;=117,F648,0))/100))/Skills!D13)),0)</f>
        <v/>
      </c>
    </row>
    <row r="661">
      <c r="A661" t="inlineStr">
        <is>
          <t>Buff-Casting Startup Delay (s, fixed-duration only)</t>
        </is>
      </c>
      <c r="B661">
        <f>IF(AND(Inputs!$B$39&lt;&gt;"pvp",Inputs!$B$44&gt;0),SUMPRODUCT((Skills!S2:S27&gt;0)*(Skills!E2:E27=TRUE)*(C624:C649=TRUE))/B657,0)</f>
        <v/>
      </c>
    </row>
    <row r="662">
      <c r="A662" s="5" t="inlineStr">
        <is>
          <t>TOTAL DPS</t>
        </is>
      </c>
      <c r="B662" s="5">
        <f>SUM(O624:O649)</f>
        <v/>
      </c>
    </row>
    <row r="664">
      <c r="A664" s="5" t="inlineStr">
        <is>
          <t>Stat: BASIC_ATTACK_DAMAGE %</t>
        </is>
      </c>
    </row>
    <row r="665">
      <c r="A665" s="9" t="inlineStr">
        <is>
          <t>Key</t>
        </is>
      </c>
      <c r="B665" s="9" t="inlineStr">
        <is>
          <t>Name</t>
        </is>
      </c>
      <c r="C665" s="9" t="inlineStr">
        <is>
          <t>Unlocked</t>
        </is>
      </c>
      <c r="D665" s="9" t="inlineStr">
        <is>
          <t>InputLevel</t>
        </is>
      </c>
      <c r="E665" s="9" t="inlineStr">
        <is>
          <t>Factor</t>
        </is>
      </c>
      <c r="F665" s="9" t="inlineStr">
        <is>
          <t>CoefficientPercent</t>
        </is>
      </c>
      <c r="G665" s="9" t="inlineStr">
        <is>
          <t>EffectiveHits</t>
        </is>
      </c>
      <c r="H665" s="9" t="inlineStr">
        <is>
          <t>ProcProbability</t>
        </is>
      </c>
      <c r="I665" s="9" t="inlineStr">
        <is>
          <t>MapleHeroMultiplier</t>
        </is>
      </c>
      <c r="J665" s="9" t="inlineStr">
        <is>
          <t>BaseDamage</t>
        </is>
      </c>
      <c r="K665" s="9" t="inlineStr">
        <is>
          <t>BaseHitDamage</t>
        </is>
      </c>
      <c r="L665" s="9" t="inlineStr">
        <is>
          <t>NonCritAvg</t>
        </is>
      </c>
      <c r="M665" s="9" t="inlineStr">
        <is>
          <t>CritAvg</t>
        </is>
      </c>
      <c r="N665" s="9" t="inlineStr">
        <is>
          <t>ExpectedDamage(perHit)</t>
        </is>
      </c>
      <c r="O665" s="9" t="inlineStr">
        <is>
          <t>DPS</t>
        </is>
      </c>
      <c r="P665" s="9" t="inlineStr">
        <is>
          <t>% of Total</t>
        </is>
      </c>
      <c r="R665" t="inlineStr">
        <is>
          <t>helpers</t>
        </is>
      </c>
    </row>
    <row r="666">
      <c r="A666">
        <f>Skills!A2</f>
        <v/>
      </c>
      <c r="B666">
        <f>Skills!B2</f>
        <v/>
      </c>
      <c r="C666">
        <f>Inputs!$B$3&gt;=100</f>
        <v/>
      </c>
      <c r="D666" t="inlineStr"/>
      <c r="E666" t="inlineStr"/>
      <c r="F666">
        <f>T668+Skills!N2</f>
        <v/>
      </c>
      <c r="G666">
        <f>Calc!G2</f>
        <v/>
      </c>
      <c r="H666">
        <f>Calc!H2</f>
        <v/>
      </c>
      <c r="I666">
        <f>IF(Skills!T2&lt;&gt;"",1+(Skills!T2/10)*($Z$3/1000)/100,1)</f>
        <v/>
      </c>
      <c r="J666">
        <f>((Inputs!$B$6*(1+Inputs!$B$7/100))+(((Inputs!$B$13*(1+Inputs!$B$14/100))-(Inputs!$B$13*(1+Inputs!$B$14/100)))+0.25*(Inputs!$B$15-Inputs!$B$15))*(1+Inputs!$B$7/100))*(F666/100)</f>
        <v/>
      </c>
      <c r="K666">
        <f>J666*(1+(((Inputs!$B$13+IF(Inputs!$B$3&gt;=35,(10*INDEX(FactorTable!$B$2:$Y$301, MATCH(ROUND(MIN(300,MAX(1,Inputs!$B$3)),0), FactorTable!$A$2:$A$301,0), 23)/1000)/100*(Inputs!$B$8*(1+(Inputs!$B$9+B702)/100)),0))*(1+Inputs!$B$14/100))*0.01+Inputs!$B$15*0.0025)/100)*(1+(Inputs!$B$16+B696)/100)*(1+IF(Inputs!$B$39="pvp",0,(1-Summary!$B$48)*(Inputs!$B$21+Skills!O2+B694)+Summary!$B$48*(Inputs!$B$22+Skills!P2+B695))/100)*(1+Inputs!$B$17/100)*(5000/(6000+Inputs!$B$43*(1-Inputs!$B$20/100)))*(1+Inputs!$B$25/100)*(1+IF(C682=TRUE,F682,0)/100)*(1+IF(C684=TRUE,F684,0)/100)*(1+IF(Skills!A2="TRIUMPH_FEATHER",IF(C680=TRUE,F680,0),0)/100)*(1+IF(C691=TRUE,F691,0)/100)^5*(1+(IF(Skills!A2="BIG_BANG",(Inputs!$B$18+1),Inputs!$B$19))/100)*(B693*I666)</f>
        <v/>
      </c>
      <c r="L666">
        <f>K666*(MIN(Inputs!$B$23+(F686-Calc!F22),Inputs!$B$24)/100+Inputs!$B$24/100)/2</f>
        <v/>
      </c>
      <c r="M666">
        <f>L666*(1+(Inputs!$B$11+B697+(F689-Calc!F25))/100)</f>
        <v/>
      </c>
      <c r="N666">
        <f>L666*(1-MIN(Inputs!$B$10+((F688-Calc!F24)+(F687-Calc!F23)),100)/100)+M666*(MIN(Inputs!$B$10+((F688-Calc!F24)+(F687-Calc!F23)),100)/100)</f>
        <v/>
      </c>
      <c r="O666">
        <f>IF(C666,Skills!F2*N666*B701*IF(Inputs!$B$39="pvp",1,(1-Summary!$B$48)*(1)+Summary!$B$48*(MIN((6+Inputs!$B$34),Inputs!$B$38))),0)</f>
        <v/>
      </c>
      <c r="P666">
        <f>IF(B704=0,0,O666/B704)</f>
        <v/>
      </c>
      <c r="Q666">
        <f>IFERROR(1/IF(Inputs!$B$39="pvp",15,MAX(0.1,Skills!D2-IF(Skills!E2=TRUE,Inputs!$B$33,0))),0)</f>
        <v/>
      </c>
      <c r="R666" t="n">
        <v>0</v>
      </c>
      <c r="T666">
        <f>MAX(0,(Inputs!$B$3-100)*3)+Inputs!$B$29+Inputs!$B$30</f>
        <v/>
      </c>
    </row>
    <row r="667">
      <c r="A667">
        <f>Skills!A3</f>
        <v/>
      </c>
      <c r="B667">
        <f>Skills!B3</f>
        <v/>
      </c>
      <c r="C667">
        <f>Inputs!$B$3&gt;=15</f>
        <v/>
      </c>
      <c r="D667">
        <f>IF(Skills!C3=1,60+Inputs!$B$26+Inputs!$B$30,IF(Skills!C3=2,90+Inputs!$B$27+Inputs!$B$30,IF(Skills!C3=3,120+Inputs!$B$28+Inputs!$B$30,MAX(0,(Inputs!$B$3-100)*3)+Inputs!$B$29+Inputs!$B$30)))</f>
        <v/>
      </c>
      <c r="E667">
        <f>INDEX(FactorTable!$B$2:$Y$301, MATCH(ROUND(MIN(300,MAX(1,D667)),0), FactorTable!$A$2:$A$301,0), Skills!L3+1)</f>
        <v/>
      </c>
      <c r="F667">
        <f>IF(Skills!M3=TRUE,(Skills!K3/10)*(E667/1000),Skills!K3/10)+Skills!N3</f>
        <v/>
      </c>
      <c r="G667">
        <f>Calc!G3</f>
        <v/>
      </c>
      <c r="H667">
        <f>Calc!H3</f>
        <v/>
      </c>
      <c r="I667">
        <f>IF(Skills!T3&lt;&gt;"",1+(Skills!T3/10)*($Z$3/1000)/100,1)</f>
        <v/>
      </c>
      <c r="J667" t="inlineStr"/>
      <c r="K667" t="inlineStr"/>
      <c r="L667" t="inlineStr"/>
      <c r="M667" t="inlineStr"/>
      <c r="N667" t="inlineStr"/>
      <c r="O667" t="n">
        <v>0</v>
      </c>
      <c r="P667">
        <f>IF(B704=0,0,O667/B704)</f>
        <v/>
      </c>
      <c r="Q667">
        <f>IFERROR(1/IF(Inputs!$B$39="pvp",15,MAX(0.1,Skills!D3-IF(Skills!E3=TRUE,Inputs!$B$33,0))),0)</f>
        <v/>
      </c>
      <c r="R667">
        <f>IF(AND(Inputs!$B$39&lt;&gt;"pvp",Inputs!$B$44&gt;0),IF(Inputs!$B$44&lt;=0,0,(INT(Inputs!$B$44/IF(Inputs!$B$39="pvp",15,MAX(0.1,Skills!D3-IF(Skills!E3=TRUE,Inputs!$B$33,0))))+1)),0)</f>
        <v/>
      </c>
      <c r="T667">
        <f>INDEX(FactorTable!$B$2:$Y$301, MATCH(ROUND(MIN(300,MAX(1,T666)),0), FactorTable!$A$2:$A$301,0), 22)</f>
        <v/>
      </c>
    </row>
    <row r="668">
      <c r="A668">
        <f>Skills!A4</f>
        <v/>
      </c>
      <c r="B668">
        <f>Skills!B4</f>
        <v/>
      </c>
      <c r="C668">
        <f>Inputs!$B$3&gt;=38</f>
        <v/>
      </c>
      <c r="D668">
        <f>IF(Skills!C4=1,60+Inputs!$B$26+Inputs!$B$30,IF(Skills!C4=2,90+Inputs!$B$27+Inputs!$B$30,IF(Skills!C4=3,120+Inputs!$B$28+Inputs!$B$30,MAX(0,(Inputs!$B$3-100)*3)+Inputs!$B$29+Inputs!$B$30)))</f>
        <v/>
      </c>
      <c r="E668">
        <f>INDEX(FactorTable!$B$2:$Y$301, MATCH(ROUND(MIN(300,MAX(1,D668)),0), FactorTable!$A$2:$A$301,0), Skills!L4+1)</f>
        <v/>
      </c>
      <c r="F668">
        <f>IF(Skills!M4=TRUE,(Skills!K4/10)*(E668/1000),Skills!K4/10)+Skills!N4</f>
        <v/>
      </c>
      <c r="G668">
        <f>Calc!G4</f>
        <v/>
      </c>
      <c r="H668">
        <f>Calc!H4</f>
        <v/>
      </c>
      <c r="I668">
        <f>IF(Skills!T4&lt;&gt;"",1+(Skills!T4/10)*($Z$3/1000)/100,1)</f>
        <v/>
      </c>
      <c r="J668" t="inlineStr"/>
      <c r="K668" t="inlineStr"/>
      <c r="L668" t="inlineStr"/>
      <c r="M668" t="inlineStr"/>
      <c r="N668" t="inlineStr"/>
      <c r="O668" t="n">
        <v>0</v>
      </c>
      <c r="P668">
        <f>IF(B704=0,0,O668/B704)</f>
        <v/>
      </c>
      <c r="Q668">
        <f>IFERROR(1/IF(Inputs!$B$39="pvp",15,MAX(0.1,Skills!D4-IF(Skills!E4=TRUE,Inputs!$B$33,0))),0)</f>
        <v/>
      </c>
      <c r="R668">
        <f>IF(AND(Inputs!$B$39&lt;&gt;"pvp",Inputs!$B$44&gt;0),IF(Inputs!$B$44&lt;=0,0,(INT(Inputs!$B$44/IF(Inputs!$B$39="pvp",15,MAX(0.1,Skills!D4-IF(Skills!E4=TRUE,Inputs!$B$33,0))))+1)),0)</f>
        <v/>
      </c>
      <c r="T668">
        <f>290*T667/1000</f>
        <v/>
      </c>
    </row>
    <row r="669">
      <c r="A669">
        <f>Skills!A5</f>
        <v/>
      </c>
      <c r="B669">
        <f>Skills!B5</f>
        <v/>
      </c>
      <c r="C669">
        <f>Inputs!$B$3&gt;=40</f>
        <v/>
      </c>
      <c r="D669">
        <f>IF(Skills!C5=1,60+Inputs!$B$26+Inputs!$B$30,IF(Skills!C5=2,90+Inputs!$B$27+Inputs!$B$30,IF(Skills!C5=3,120+Inputs!$B$28+Inputs!$B$30,MAX(0,(Inputs!$B$3-100)*3)+Inputs!$B$29+Inputs!$B$30)))</f>
        <v/>
      </c>
      <c r="E669">
        <f>INDEX(FactorTable!$B$2:$Y$301, MATCH(ROUND(MIN(300,MAX(1,D669)),0), FactorTable!$A$2:$A$301,0), Skills!L5+1)</f>
        <v/>
      </c>
      <c r="F669">
        <f>IF(Skills!M5=TRUE,(Skills!K5/10)*(E669/1000),Skills!K5/10)+Skills!N5</f>
        <v/>
      </c>
      <c r="G669">
        <f>Calc!G5</f>
        <v/>
      </c>
      <c r="H669">
        <f>Calc!H5</f>
        <v/>
      </c>
      <c r="I669">
        <f>IF(Skills!T5&lt;&gt;"",1+(Skills!T5/10)*($Z$3/1000)/100,1)</f>
        <v/>
      </c>
      <c r="J669" t="inlineStr"/>
      <c r="K669" t="inlineStr"/>
      <c r="L669" t="inlineStr"/>
      <c r="M669" t="inlineStr"/>
      <c r="N669" t="inlineStr"/>
      <c r="O669" t="n">
        <v>0</v>
      </c>
      <c r="P669">
        <f>IF(B704=0,0,O669/B704)</f>
        <v/>
      </c>
      <c r="Q669">
        <f>IFERROR(1/IF(Inputs!$B$39="pvp",15,MAX(0.1,Skills!D5-IF(Skills!E5=TRUE,Inputs!$B$33,0))),0)</f>
        <v/>
      </c>
      <c r="R669">
        <f>IF(AND(Inputs!$B$39&lt;&gt;"pvp",Inputs!$B$44&gt;0),IF(Inputs!$B$44&lt;=0,0,(INT(Inputs!$B$44/IF(Inputs!$B$39="pvp",15,MAX(0.1,Skills!D5-IF(Skills!E5=TRUE,Inputs!$B$33,0))))+1)),0)</f>
        <v/>
      </c>
    </row>
    <row r="670">
      <c r="A670">
        <f>Skills!A6</f>
        <v/>
      </c>
      <c r="B670">
        <f>Skills!B6</f>
        <v/>
      </c>
      <c r="C670">
        <f>Inputs!$B$3&gt;=103</f>
        <v/>
      </c>
      <c r="D670">
        <f>IF(Skills!C6=1,60+Inputs!$B$26+Inputs!$B$30,IF(Skills!C6=2,90+Inputs!$B$27+Inputs!$B$30,IF(Skills!C6=3,120+Inputs!$B$28+Inputs!$B$30,MAX(0,(Inputs!$B$3-100)*3)+Inputs!$B$29+Inputs!$B$30)))</f>
        <v/>
      </c>
      <c r="E670">
        <f>INDEX(FactorTable!$B$2:$Y$301, MATCH(ROUND(MIN(300,MAX(1,D670)),0), FactorTable!$A$2:$A$301,0), Skills!L6+1)</f>
        <v/>
      </c>
      <c r="F670">
        <f>IF(Skills!M6=TRUE,(Skills!K6/10)*(E670/1000),Skills!K6/10)+Skills!N6</f>
        <v/>
      </c>
      <c r="G670">
        <f>Calc!G6</f>
        <v/>
      </c>
      <c r="H670">
        <f>Calc!H6</f>
        <v/>
      </c>
      <c r="I670">
        <f>IF(Skills!T6&lt;&gt;"",1+(Skills!T6/10)*($Z$3/1000)/100,1)</f>
        <v/>
      </c>
      <c r="J670">
        <f>((Inputs!$B$6*(1+Inputs!$B$7/100))+(((Inputs!$B$13*(1+Inputs!$B$14/100))-(Inputs!$B$13*(1+Inputs!$B$14/100)))+0.25*(Inputs!$B$15-Inputs!$B$15))*(1+Inputs!$B$7/100))*(F670/100)</f>
        <v/>
      </c>
      <c r="K670">
        <f>J670*(1+(((Inputs!$B$13+IF(Inputs!$B$3&gt;=35,(10*INDEX(FactorTable!$B$2:$Y$301, MATCH(ROUND(MIN(300,MAX(1,Inputs!$B$3)),0), FactorTable!$A$2:$A$301,0), 23)/1000)/100*(Inputs!$B$8*(1+(Inputs!$B$9+B702)/100)),0))*(1+Inputs!$B$14/100))*0.01+Inputs!$B$15*0.0025)/100)*(1+(Inputs!$B$16+B696)/100)*(1+IF(Inputs!$B$39="pvp",0,(1-Summary!$B$48)*(Inputs!$B$21+Skills!O6+B694)+Summary!$B$48*(Inputs!$B$22+Skills!P6+B695))/100)*(1+Inputs!$B$17/100)*(5000/(6000+Inputs!$B$43*(1-Inputs!$B$20/100)))*(1+Inputs!$B$25/100)*(1+IF(C682=TRUE,F682,0)/100)*(1+IF(C684=TRUE,F684,0)/100)*(1+IF(Skills!A6="TRIUMPH_FEATHER",IF(C680=TRUE,F680,0),0)/100)*(1+IF(C691=TRUE,F691,0)/100)^5*(1+(IF(Skills!A6="BIG_BANG",(Inputs!$B$18+1),Inputs!$B$19))/100)*(B693*I670)</f>
        <v/>
      </c>
      <c r="L670">
        <f>K670*(MIN(Inputs!$B$23+(F686-Calc!F22),Inputs!$B$24)/100+Inputs!$B$24/100)/2</f>
        <v/>
      </c>
      <c r="M670">
        <f>L670*(1+(Inputs!$B$11+B697+(F689-Calc!F25))/100)</f>
        <v/>
      </c>
      <c r="N670">
        <f>L670*(1-MIN(Inputs!$B$10+((F688-Calc!F24)+(F687-Calc!F23)),100)/100)+M670*(MIN(Inputs!$B$10+((F688-Calc!F24)+(F687-Calc!F23)),100)/100)</f>
        <v/>
      </c>
      <c r="O670">
        <f>IF(C670,H670*N670*IF(AND(Inputs!$B$39&lt;&gt;"pvp",Inputs!$B$44&gt;0),((Skills!F6*((R670-1)*IF(Skills!G6&gt;0,Skills!H6/Skills!G6,1)+IF(Skills!G6&gt;0,MIN(Skills!H6,MAX(0,MAX(0,Inputs!$B$44-B703)-((R670-1)*IF(Inputs!$B$39="pvp",15,MAX(0.1,Skills!D6-IF(Skills!E6=TRUE,Inputs!$B$33,0))))))/Skills!G6,1)))/Inputs!$B$44),G670*Q670)*IF(Inputs!$B$39="pvp",1,(1-Summary!$B$48)*(1)+Summary!$B$48*(MIN(Skills!Q6,Inputs!$B$38))),0)</f>
        <v/>
      </c>
      <c r="P670">
        <f>IF(B704=0,0,O670/B704)</f>
        <v/>
      </c>
      <c r="Q670">
        <f>IFERROR(1/IF(Inputs!$B$39="pvp",15,MAX(0.1,Skills!D6-IF(Skills!E6=TRUE,Inputs!$B$33,0))),0)</f>
        <v/>
      </c>
      <c r="R670">
        <f>IF(AND(Inputs!$B$39&lt;&gt;"pvp",Inputs!$B$44&gt;0),IF(MAX(0,Inputs!$B$44-B703)&lt;=0,0,(INT(MAX(0,Inputs!$B$44-B703)/IF(Inputs!$B$39="pvp",15,MAX(0.1,Skills!D6-IF(Skills!E6=TRUE,Inputs!$B$33,0))))+1)),0)</f>
        <v/>
      </c>
    </row>
    <row r="671">
      <c r="A671">
        <f>Skills!A7</f>
        <v/>
      </c>
      <c r="B671">
        <f>Skills!B7</f>
        <v/>
      </c>
      <c r="C671">
        <f>Inputs!$B$3&gt;=122</f>
        <v/>
      </c>
      <c r="D671">
        <f>IF(Skills!C7=1,60+Inputs!$B$26+Inputs!$B$30,IF(Skills!C7=2,90+Inputs!$B$27+Inputs!$B$30,IF(Skills!C7=3,120+Inputs!$B$28+Inputs!$B$30,MAX(0,(Inputs!$B$3-100)*3)+Inputs!$B$29+Inputs!$B$30)))</f>
        <v/>
      </c>
      <c r="E671">
        <f>INDEX(FactorTable!$B$2:$Y$301, MATCH(ROUND(MIN(300,MAX(1,D671)),0), FactorTable!$A$2:$A$301,0), Skills!L7+1)</f>
        <v/>
      </c>
      <c r="F671">
        <f>IF(Skills!M7=TRUE,(Skills!K7/10)*(E671/1000),Skills!K7/10)+Skills!N7</f>
        <v/>
      </c>
      <c r="G671">
        <f>Calc!G7</f>
        <v/>
      </c>
      <c r="H671">
        <f>Calc!H7</f>
        <v/>
      </c>
      <c r="I671">
        <f>IF(Skills!T7&lt;&gt;"",1+(Skills!T7/10)*($Z$3/1000)/100,1)</f>
        <v/>
      </c>
      <c r="J671">
        <f>((Inputs!$B$6*(1+Inputs!$B$7/100))+(((Inputs!$B$13*(1+Inputs!$B$14/100))-(Inputs!$B$13*(1+Inputs!$B$14/100)))+0.25*(Inputs!$B$15-Inputs!$B$15))*(1+Inputs!$B$7/100))*(F671/100)</f>
        <v/>
      </c>
      <c r="K671">
        <f>J671*(1+(((Inputs!$B$13+IF(Inputs!$B$3&gt;=35,(10*INDEX(FactorTable!$B$2:$Y$301, MATCH(ROUND(MIN(300,MAX(1,Inputs!$B$3)),0), FactorTable!$A$2:$A$301,0), 23)/1000)/100*(Inputs!$B$8*(1+(Inputs!$B$9+B702)/100)),0))*(1+Inputs!$B$14/100))*0.01+Inputs!$B$15*0.0025)/100)*(1+(Inputs!$B$16+B696)/100)*(1+IF(Inputs!$B$39="pvp",0,(1-Summary!$B$48)*(Inputs!$B$21+Skills!O7+B694)+Summary!$B$48*(Inputs!$B$22+Skills!P7+B695))/100)*(1+Inputs!$B$17/100)*(5000/(6000+Inputs!$B$43*(1-Inputs!$B$20/100)))*(1+Inputs!$B$25/100)*(1+IF(C682=TRUE,F682,0)/100)*(1+IF(C684=TRUE,F684,0)/100)*(1+IF(Skills!A7="TRIUMPH_FEATHER",IF(C680=TRUE,F680,0),0)/100)*(1+IF(C691=TRUE,F691,0)/100)^5*(1+(IF(Skills!A7="BIG_BANG",(Inputs!$B$18+1),Inputs!$B$19))/100)*(B693*I671)</f>
        <v/>
      </c>
      <c r="L671">
        <f>K671*(MIN(Inputs!$B$23+(F686-Calc!F22),Inputs!$B$24)/100+Inputs!$B$24/100)/2</f>
        <v/>
      </c>
      <c r="M671">
        <f>L671*(1+(Inputs!$B$11+B697+(F689-Calc!F25))/100)</f>
        <v/>
      </c>
      <c r="N671">
        <f>L671*(1-MIN(Inputs!$B$10+((F688-Calc!F24)+(F687-Calc!F23)),100)/100)+M671*(MIN(Inputs!$B$10+((F688-Calc!F24)+(F687-Calc!F23)),100)/100)</f>
        <v/>
      </c>
      <c r="O671">
        <f>IF(C671,H671*N671*IF(AND(Inputs!$B$39&lt;&gt;"pvp",Inputs!$B$44&gt;0),((Skills!F7*((R671-1)*IF(Skills!G7&gt;0,Skills!H7/Skills!G7,1)+IF(Skills!G7&gt;0,MIN(Skills!H7,MAX(0,MAX(0,Inputs!$B$44-B703)-((R671-1)*IF(Inputs!$B$39="pvp",15,MAX(0.1,Skills!D7-IF(Skills!E6=TRUE,Inputs!$B$33,0))))))/Skills!G7,1)))/Inputs!$B$44),G671*Q671)*(1-Summary!$B$48),0)</f>
        <v/>
      </c>
      <c r="P671">
        <f>IF(B704=0,0,O671/B704)</f>
        <v/>
      </c>
      <c r="Q671">
        <f>IFERROR(1/IF(Inputs!$B$39="pvp",15,MAX(0.1,Skills!D7-IF(Skills!E6=TRUE,Inputs!$B$33,0))),0)</f>
        <v/>
      </c>
      <c r="R671">
        <f>IF(AND(Inputs!$B$39&lt;&gt;"pvp",Inputs!$B$44&gt;0),IF(MAX(0,Inputs!$B$44-B703)&lt;=0,0,(INT(MAX(0,Inputs!$B$44-B703)/IF(Inputs!$B$39="pvp",15,MAX(0.1,Skills!D7-IF(Skills!E6=TRUE,Inputs!$B$33,0))))+1)),0)</f>
        <v/>
      </c>
    </row>
    <row r="672">
      <c r="A672">
        <f>Skills!A8</f>
        <v/>
      </c>
      <c r="B672">
        <f>Skills!B8</f>
        <v/>
      </c>
      <c r="C672">
        <f>Inputs!$B$3&gt;=105</f>
        <v/>
      </c>
      <c r="D672">
        <f>IF(Skills!C8=1,60+Inputs!$B$26+Inputs!$B$30,IF(Skills!C8=2,90+Inputs!$B$27+Inputs!$B$30,IF(Skills!C8=3,120+Inputs!$B$28+Inputs!$B$30,MAX(0,(Inputs!$B$3-100)*3)+Inputs!$B$29+Inputs!$B$30)))</f>
        <v/>
      </c>
      <c r="E672">
        <f>INDEX(FactorTable!$B$2:$Y$301, MATCH(ROUND(MIN(300,MAX(1,D672)),0), FactorTable!$A$2:$A$301,0), Skills!L8+1)</f>
        <v/>
      </c>
      <c r="F672">
        <f>IF(Skills!M8=TRUE,(Skills!K8/10)*(E672/1000),Skills!K8/10)+Skills!N8</f>
        <v/>
      </c>
      <c r="G672">
        <f>Calc!G8</f>
        <v/>
      </c>
      <c r="H672">
        <f>Calc!H8</f>
        <v/>
      </c>
      <c r="I672">
        <f>IF(Skills!T8&lt;&gt;"",1+(Skills!T8/10)*($Z$3/1000)/100,1)</f>
        <v/>
      </c>
      <c r="J672">
        <f>((Inputs!$B$6*(1+Inputs!$B$7/100))+(((Inputs!$B$13*(1+Inputs!$B$14/100))-(Inputs!$B$13*(1+Inputs!$B$14/100)))+0.25*(Inputs!$B$15-Inputs!$B$15))*(1+Inputs!$B$7/100))*(F672/100)</f>
        <v/>
      </c>
      <c r="K672">
        <f>J672*(1+(((Inputs!$B$13+IF(Inputs!$B$3&gt;=35,(10*INDEX(FactorTable!$B$2:$Y$301, MATCH(ROUND(MIN(300,MAX(1,Inputs!$B$3)),0), FactorTable!$A$2:$A$301,0), 23)/1000)/100*(Inputs!$B$8*(1+(Inputs!$B$9+B702)/100)),0))*(1+Inputs!$B$14/100))*0.01+Inputs!$B$15*0.0025)/100)*(1+(Inputs!$B$16+B696)/100)*(1+IF(Inputs!$B$39="pvp",0,(1-Summary!$B$48)*(Inputs!$B$21+Skills!O8+B694)+Summary!$B$48*(Inputs!$B$22+Skills!P8+B695))/100)*(1+Inputs!$B$17/100)*(5000/(6000+Inputs!$B$43*(1-Inputs!$B$20/100)))*(1+Inputs!$B$25/100)*(1+IF(C682=TRUE,F682,0)/100)*(1+IF(C684=TRUE,F684,0)/100)*(1+IF(Skills!A8="TRIUMPH_FEATHER",IF(C680=TRUE,F680,0),0)/100)*(1+IF(C691=TRUE,F691,0)/100)^5*(1+(IF(Skills!A8="BIG_BANG",(Inputs!$B$18+1),Inputs!$B$19))/100)*(B693*I672)</f>
        <v/>
      </c>
      <c r="L672">
        <f>K672*(MIN(Inputs!$B$23+(F686-Calc!F22),Inputs!$B$24)/100+Inputs!$B$24/100)/2</f>
        <v/>
      </c>
      <c r="M672">
        <f>L672*(1+(Inputs!$B$11+B697+(F689-Calc!F25))/100)</f>
        <v/>
      </c>
      <c r="N672">
        <f>L672*(1-MIN(Inputs!$B$10+((F688-Calc!F24)+(F687-Calc!F23)),100)/100)+M672*(MIN(Inputs!$B$10+((F688-Calc!F24)+(F687-Calc!F23)),100)/100)</f>
        <v/>
      </c>
      <c r="O672">
        <f>IF(C672,H672*N672*IF(AND(Inputs!$B$39&lt;&gt;"pvp",Inputs!$B$44&gt;0),((Skills!F8*((R672-1)*IF(Skills!G8&gt;0,Skills!H8/Skills!G8,1)+IF(Skills!G8&gt;0,MIN(Skills!H8,MAX(0,MAX(0,Inputs!$B$44-B703)-((R672-1)*IF(Inputs!$B$39="pvp",15,MAX(0.1,Skills!D8-IF(Skills!E8=TRUE,Inputs!$B$33,0))))))/Skills!G8,1)))/Inputs!$B$44),G672*Q672)*IF(Inputs!$B$39="pvp",1,(1-Summary!$B$48)*(1)+Summary!$B$48*(MIN(Skills!Q8,Inputs!$B$38))),0)</f>
        <v/>
      </c>
      <c r="P672">
        <f>IF(B704=0,0,O672/B704)</f>
        <v/>
      </c>
      <c r="Q672">
        <f>IFERROR(1/IF(Inputs!$B$39="pvp",15,MAX(0.1,Skills!D8-IF(Skills!E8=TRUE,Inputs!$B$33,0))),0)</f>
        <v/>
      </c>
      <c r="R672">
        <f>IF(AND(Inputs!$B$39&lt;&gt;"pvp",Inputs!$B$44&gt;0),IF(MAX(0,Inputs!$B$44-B703)&lt;=0,0,(INT(MAX(0,Inputs!$B$44-B703)/IF(Inputs!$B$39="pvp",15,MAX(0.1,Skills!D8-IF(Skills!E8=TRUE,Inputs!$B$33,0))))+1)),0)</f>
        <v/>
      </c>
    </row>
    <row r="673">
      <c r="A673">
        <f>Skills!A9</f>
        <v/>
      </c>
      <c r="B673">
        <f>Skills!B9</f>
        <v/>
      </c>
      <c r="C673">
        <f>Inputs!$B$3&gt;=115</f>
        <v/>
      </c>
      <c r="D673">
        <f>IF(Skills!C9=1,60+Inputs!$B$26+Inputs!$B$30,IF(Skills!C9=2,90+Inputs!$B$27+Inputs!$B$30,IF(Skills!C9=3,120+Inputs!$B$28+Inputs!$B$30,MAX(0,(Inputs!$B$3-100)*3)+Inputs!$B$29+Inputs!$B$30)))</f>
        <v/>
      </c>
      <c r="E673">
        <f>INDEX(FactorTable!$B$2:$Y$301, MATCH(ROUND(MIN(300,MAX(1,D673)),0), FactorTable!$A$2:$A$301,0), Skills!L9+1)</f>
        <v/>
      </c>
      <c r="F673">
        <f>IF(Skills!M9=TRUE,(Skills!K9/10)*(E673/1000),Skills!K9/10)+Skills!N9</f>
        <v/>
      </c>
      <c r="G673">
        <f>Calc!G9</f>
        <v/>
      </c>
      <c r="H673">
        <f>Calc!H9</f>
        <v/>
      </c>
      <c r="I673">
        <f>IF(Skills!T9&lt;&gt;"",1+(Skills!T9/10)*($Z$3/1000)/100,1)</f>
        <v/>
      </c>
      <c r="J673">
        <f>((Inputs!$B$6*(1+Inputs!$B$7/100))+(((Inputs!$B$13*(1+Inputs!$B$14/100))-(Inputs!$B$13*(1+Inputs!$B$14/100)))+0.25*(Inputs!$B$15-Inputs!$B$15))*(1+Inputs!$B$7/100))*(F673/100)</f>
        <v/>
      </c>
      <c r="K673">
        <f>J673*(1+(((Inputs!$B$13+IF(Inputs!$B$3&gt;=35,(10*INDEX(FactorTable!$B$2:$Y$301, MATCH(ROUND(MIN(300,MAX(1,Inputs!$B$3)),0), FactorTable!$A$2:$A$301,0), 23)/1000)/100*(Inputs!$B$8*(1+(Inputs!$B$9+B702)/100)),0))*(1+Inputs!$B$14/100))*0.01+Inputs!$B$15*0.0025)/100)*(1+(Inputs!$B$16+B696)/100)*(1+IF(Inputs!$B$39="pvp",0,(1-Summary!$B$48)*(Inputs!$B$21+Skills!O9+B694)+Summary!$B$48*(Inputs!$B$22+Skills!P9+B695))/100)*(1+Inputs!$B$17/100)*(5000/(6000+Inputs!$B$43*(1-Inputs!$B$20/100)))*(1+Inputs!$B$25/100)*(1+IF(C682=TRUE,F682,0)/100)*(1+IF(C684=TRUE,F684,0)/100)*(1+IF(Skills!A9="TRIUMPH_FEATHER",IF(C680=TRUE,F680,0),0)/100)*(1+IF(C691=TRUE,F691,0)/100)^5*(1+(IF(Skills!A9="BIG_BANG",(Inputs!$B$18+1),Inputs!$B$19))/100)*(B693*I673)</f>
        <v/>
      </c>
      <c r="L673">
        <f>K673*(MIN(Inputs!$B$23+(F686-Calc!F22),Inputs!$B$24)/100+Inputs!$B$24/100)/2</f>
        <v/>
      </c>
      <c r="M673">
        <f>L673*(1+(Inputs!$B$11+B697+(F689-Calc!F25))/100)</f>
        <v/>
      </c>
      <c r="N673">
        <f>L673*(1-MIN(Inputs!$B$10+((F688-Calc!F24)+(F687-Calc!F23)),100)/100)+M673*(MIN(Inputs!$B$10+((F688-Calc!F24)+(F687-Calc!F23)),100)/100)</f>
        <v/>
      </c>
      <c r="O673">
        <f>IF(C673,H673*N673*IF(AND(Inputs!$B$39&lt;&gt;"pvp",Inputs!$B$44&gt;0),((Skills!F9*((R673-1)*IF(Skills!G9&gt;0,Skills!H9/Skills!G9,1)+IF(Skills!G9&gt;0,MIN(Skills!H9,MAX(0,MAX(0,Inputs!$B$44-B703)-((R673-1)*IF(Inputs!$B$39="pvp",15,MAX(0.1,Skills!D9-IF(Skills!E9=TRUE,Inputs!$B$33,0))))))/Skills!G9,1)))/Inputs!$B$44),G673*Q673)*IF(Inputs!$B$39="pvp",1,(1-Summary!$B$48)*(1)+Summary!$B$48*(MIN(Skills!Q9,Inputs!$B$38))),0)</f>
        <v/>
      </c>
      <c r="P673">
        <f>IF(B704=0,0,O673/B704)</f>
        <v/>
      </c>
      <c r="Q673">
        <f>IFERROR(1/IF(Inputs!$B$39="pvp",15,MAX(0.1,Skills!D9-IF(Skills!E9=TRUE,Inputs!$B$33,0))),0)</f>
        <v/>
      </c>
      <c r="R673">
        <f>IF(AND(Inputs!$B$39&lt;&gt;"pvp",Inputs!$B$44&gt;0),IF(MAX(0,Inputs!$B$44-B703)&lt;=0,0,(INT(MAX(0,Inputs!$B$44-B703)/IF(Inputs!$B$39="pvp",15,MAX(0.1,Skills!D9-IF(Skills!E9=TRUE,Inputs!$B$33,0))))+1)),0)</f>
        <v/>
      </c>
    </row>
    <row r="674">
      <c r="A674">
        <f>Skills!A10</f>
        <v/>
      </c>
      <c r="B674">
        <f>Skills!B10</f>
        <v/>
      </c>
      <c r="C674">
        <f>Inputs!$B$3&gt;=66</f>
        <v/>
      </c>
      <c r="D674">
        <f>IF(Skills!C10=1,60+Inputs!$B$26+Inputs!$B$30,IF(Skills!C10=2,90+Inputs!$B$27+Inputs!$B$30,IF(Skills!C10=3,120+Inputs!$B$28+Inputs!$B$30,MAX(0,(Inputs!$B$3-100)*3)+Inputs!$B$29+Inputs!$B$30)))</f>
        <v/>
      </c>
      <c r="E674">
        <f>INDEX(FactorTable!$B$2:$Y$301, MATCH(ROUND(MIN(300,MAX(1,D674)),0), FactorTable!$A$2:$A$301,0), Skills!L10+1)</f>
        <v/>
      </c>
      <c r="F674" t="n">
        <v>0</v>
      </c>
      <c r="G674">
        <f>Calc!G10</f>
        <v/>
      </c>
      <c r="H674">
        <f>Calc!H10</f>
        <v/>
      </c>
      <c r="I674">
        <f>IF(Skills!T10&lt;&gt;"",1+(Skills!T10/10)*($Z$3/1000)/100,1)</f>
        <v/>
      </c>
      <c r="J674" t="inlineStr"/>
      <c r="K674" t="inlineStr"/>
      <c r="L674" t="inlineStr"/>
      <c r="M674" t="inlineStr"/>
      <c r="N674" t="inlineStr"/>
      <c r="O674" t="n">
        <v>0</v>
      </c>
      <c r="P674">
        <f>IF(B704=0,0,O674/B704)</f>
        <v/>
      </c>
      <c r="Q674">
        <f>IFERROR(1/IF(Inputs!$B$39="pvp",15,MAX(0.1,Skills!D10-IF(Skills!E10=TRUE,Inputs!$B$33,0))),0)</f>
        <v/>
      </c>
      <c r="R674">
        <f>IF(AND(Inputs!$B$39&lt;&gt;"pvp",Inputs!$B$44&gt;0),IF(MAX(0,Inputs!$B$44-B703)&lt;=0,0,(INT(MAX(0,Inputs!$B$44-B703)/IF(Inputs!$B$39="pvp",15,MAX(0.1,Skills!D10-IF(Skills!E10=TRUE,Inputs!$B$33,0))))+1)),0)</f>
        <v/>
      </c>
    </row>
    <row r="675">
      <c r="A675">
        <f>Skills!A11</f>
        <v/>
      </c>
      <c r="B675">
        <f>Skills!B11</f>
        <v/>
      </c>
      <c r="C675">
        <f>Inputs!$B$3&gt;=69</f>
        <v/>
      </c>
      <c r="D675">
        <f>IF(Skills!C11=1,60+Inputs!$B$26+Inputs!$B$30,IF(Skills!C11=2,90+Inputs!$B$27+Inputs!$B$30,IF(Skills!C11=3,120+Inputs!$B$28+Inputs!$B$30,MAX(0,(Inputs!$B$3-100)*3)+Inputs!$B$29+Inputs!$B$30)))</f>
        <v/>
      </c>
      <c r="E675">
        <f>INDEX(FactorTable!$B$2:$Y$301, MATCH(ROUND(MIN(300,MAX(1,D675)),0), FactorTable!$A$2:$A$301,0), Skills!L11+1)</f>
        <v/>
      </c>
      <c r="F675">
        <f>IF(Skills!M11=TRUE,(Skills!K11/10)*(E675/1000),Skills!K11/10)+Skills!N11</f>
        <v/>
      </c>
      <c r="G675">
        <f>Calc!G11</f>
        <v/>
      </c>
      <c r="H675">
        <f>Calc!H11</f>
        <v/>
      </c>
      <c r="I675">
        <f>IF(Skills!T11&lt;&gt;"",1+(Skills!T11/10)*($Z$3/1000)/100,1)</f>
        <v/>
      </c>
      <c r="J675" t="inlineStr"/>
      <c r="K675" t="inlineStr"/>
      <c r="L675" t="inlineStr"/>
      <c r="M675" t="inlineStr"/>
      <c r="N675" t="inlineStr"/>
      <c r="O675" t="n">
        <v>0</v>
      </c>
      <c r="P675">
        <f>IF(B704=0,0,O675/B704)</f>
        <v/>
      </c>
      <c r="Q675">
        <f>IFERROR(1/IF(Inputs!$B$39="pvp",15,MAX(0.1,Skills!D11-IF(Skills!E11=TRUE,Inputs!$B$33,0))),0)</f>
        <v/>
      </c>
      <c r="R675">
        <f>IF(AND(Inputs!$B$39&lt;&gt;"pvp",Inputs!$B$44&gt;0),IF(Inputs!$B$44&lt;=0,0,(INT(Inputs!$B$44/IF(Inputs!$B$39="pvp",15,MAX(0.1,Skills!D11-IF(Skills!E11=TRUE,Inputs!$B$33,0))))+1)),0)</f>
        <v/>
      </c>
    </row>
    <row r="676">
      <c r="A676">
        <f>Skills!A12</f>
        <v/>
      </c>
      <c r="B676">
        <f>Skills!B12</f>
        <v/>
      </c>
      <c r="C676">
        <f>Inputs!$B$3&gt;=72</f>
        <v/>
      </c>
      <c r="D676">
        <f>IF(Skills!C12=1,60+Inputs!$B$26+Inputs!$B$30,IF(Skills!C12=2,90+Inputs!$B$27+Inputs!$B$30,IF(Skills!C12=3,120+Inputs!$B$28+Inputs!$B$30,MAX(0,(Inputs!$B$3-100)*3)+Inputs!$B$29+Inputs!$B$30)))</f>
        <v/>
      </c>
      <c r="E676">
        <f>INDEX(FactorTable!$B$2:$Y$301, MATCH(ROUND(MIN(300,MAX(1,D676)),0), FactorTable!$A$2:$A$301,0), Skills!L12+1)</f>
        <v/>
      </c>
      <c r="F676">
        <f>IF(Skills!M12=TRUE,(Skills!K12/10)*(E676/1000),Skills!K12/10)+Skills!N12</f>
        <v/>
      </c>
      <c r="G676">
        <f>Calc!G12</f>
        <v/>
      </c>
      <c r="H676">
        <f>Calc!H12</f>
        <v/>
      </c>
      <c r="I676">
        <f>IF(Skills!T12&lt;&gt;"",1+(Skills!T12/10)*($Z$3/1000)/100,1)</f>
        <v/>
      </c>
      <c r="J676" t="inlineStr"/>
      <c r="K676" t="inlineStr"/>
      <c r="L676" t="inlineStr"/>
      <c r="M676" t="inlineStr"/>
      <c r="N676" t="inlineStr"/>
      <c r="O676" t="n">
        <v>0</v>
      </c>
      <c r="P676">
        <f>IF(B704=0,0,O676/B704)</f>
        <v/>
      </c>
      <c r="Q676">
        <f>IFERROR(1/IF(Inputs!$B$39="pvp",15,MAX(0.1,Skills!D12-IF(Skills!E12=TRUE,Inputs!$B$33,0))),0)</f>
        <v/>
      </c>
      <c r="R676">
        <f>IF(AND(Inputs!$B$39&lt;&gt;"pvp",Inputs!$B$44&gt;0),IF(MAX(0,Inputs!$B$44-B703)&lt;=0,0,(INT(MAX(0,Inputs!$B$44-B703)/IF(Inputs!$B$39="pvp",15,MAX(0.1,Skills!D12-IF(Skills!E12=TRUE,Inputs!$B$33,0))))+1)),0)</f>
        <v/>
      </c>
    </row>
    <row r="677">
      <c r="A677">
        <f>Skills!A13</f>
        <v/>
      </c>
      <c r="B677">
        <f>Skills!B13</f>
        <v/>
      </c>
      <c r="C677">
        <f>Inputs!$B$3&gt;=60</f>
        <v/>
      </c>
      <c r="D677">
        <f>IF(Skills!C13=1,60+Inputs!$B$26+Inputs!$B$30,IF(Skills!C13=2,90+Inputs!$B$27+Inputs!$B$30,IF(Skills!C13=3,120+Inputs!$B$28+Inputs!$B$30,MAX(0,(Inputs!$B$3-100)*3)+Inputs!$B$29+Inputs!$B$30)))</f>
        <v/>
      </c>
      <c r="E677">
        <f>INDEX(FactorTable!$B$2:$Y$301, MATCH(ROUND(MIN(300,MAX(1,D677)),0), FactorTable!$A$2:$A$301,0), Skills!L13+1)</f>
        <v/>
      </c>
      <c r="F677">
        <f>IF(Skills!M13=TRUE,(Skills!K13/10)*(E677/1000),Skills!K13/10)+Skills!N13</f>
        <v/>
      </c>
      <c r="G677">
        <f>Calc!G13</f>
        <v/>
      </c>
      <c r="H677">
        <f>Calc!H13</f>
        <v/>
      </c>
      <c r="I677">
        <f>IF(Skills!T13&lt;&gt;"",1+(Skills!T13/10)*($Z$3/1000)/100,1)</f>
        <v/>
      </c>
      <c r="J677" t="inlineStr"/>
      <c r="K677" t="inlineStr"/>
      <c r="L677" t="inlineStr"/>
      <c r="M677" t="inlineStr"/>
      <c r="N677" t="inlineStr"/>
      <c r="O677" t="n">
        <v>0</v>
      </c>
      <c r="P677">
        <f>IF(B704=0,0,O677/B704)</f>
        <v/>
      </c>
      <c r="Q677">
        <f>IFERROR(1/IF(Inputs!$B$39="pvp",15,MAX(0.1,Skills!D13-IF(Skills!E13=TRUE,Inputs!$B$33,0))),0)</f>
        <v/>
      </c>
      <c r="R677">
        <f>IF(AND(Inputs!$B$39&lt;&gt;"pvp",Inputs!$B$44&gt;0),IF(MAX(0,Inputs!$B$44-B703)&lt;=0,0,(INT(MAX(0,Inputs!$B$44-B703)/IF(Inputs!$B$39="pvp",15,MAX(0.1,Skills!D13-IF(Skills!E13=TRUE,Inputs!$B$33,0))))+1)),0)</f>
        <v/>
      </c>
    </row>
    <row r="678">
      <c r="A678">
        <f>Skills!A14</f>
        <v/>
      </c>
      <c r="B678">
        <f>Skills!B14</f>
        <v/>
      </c>
      <c r="C678">
        <f>Inputs!$B$3&gt;=107</f>
        <v/>
      </c>
      <c r="D678">
        <f>IF(Skills!C14=1,60+Inputs!$B$26+Inputs!$B$30,IF(Skills!C14=2,90+Inputs!$B$27+Inputs!$B$30,IF(Skills!C14=3,120+Inputs!$B$28+Inputs!$B$30,MAX(0,(Inputs!$B$3-100)*3)+Inputs!$B$29+Inputs!$B$30)))</f>
        <v/>
      </c>
      <c r="E678">
        <f>INDEX(FactorTable!$B$2:$Y$301, MATCH(ROUND(MIN(300,MAX(1,D678)),0), FactorTable!$A$2:$A$301,0), Skills!L14+1)</f>
        <v/>
      </c>
      <c r="F678">
        <f>IF(Skills!M14=TRUE,(Skills!K14/10)*(E678/1000),Skills!K14/10)+Skills!N14</f>
        <v/>
      </c>
      <c r="G678">
        <f>Calc!G14</f>
        <v/>
      </c>
      <c r="H678">
        <f>Calc!H14</f>
        <v/>
      </c>
      <c r="I678">
        <f>IF(Skills!T14&lt;&gt;"",1+(Skills!T14/10)*($Z$3/1000)/100,1)</f>
        <v/>
      </c>
      <c r="J678" t="inlineStr"/>
      <c r="K678" t="inlineStr"/>
      <c r="L678" t="inlineStr"/>
      <c r="M678" t="inlineStr"/>
      <c r="N678" t="inlineStr"/>
      <c r="O678" t="n">
        <v>0</v>
      </c>
      <c r="P678">
        <f>IF(B704=0,0,O678/B704)</f>
        <v/>
      </c>
      <c r="Q678">
        <f>IFERROR(1/IF(Inputs!$B$39="pvp",15,MAX(0.1,Skills!D14-IF(Skills!E14=TRUE,Inputs!$B$33,0))),0)</f>
        <v/>
      </c>
      <c r="R678">
        <f>IF(AND(Inputs!$B$39&lt;&gt;"pvp",Inputs!$B$44&gt;0),IF(Inputs!$B$44&lt;=0,0,(INT(Inputs!$B$44/IF(Inputs!$B$39="pvp",15,MAX(0.1,Skills!D14-IF(Skills!E14=TRUE,Inputs!$B$33,0))))+1)),0)</f>
        <v/>
      </c>
    </row>
    <row r="679">
      <c r="A679">
        <f>Skills!A15</f>
        <v/>
      </c>
      <c r="B679">
        <f>Skills!B15</f>
        <v/>
      </c>
      <c r="C679">
        <f>Inputs!$B$3&gt;=63</f>
        <v/>
      </c>
      <c r="D679">
        <f>IF(Skills!C15=1,60+Inputs!$B$26+Inputs!$B$30,IF(Skills!C15=2,90+Inputs!$B$27+Inputs!$B$30,IF(Skills!C15=3,120+Inputs!$B$28+Inputs!$B$30,MAX(0,(Inputs!$B$3-100)*3)+Inputs!$B$29+Inputs!$B$30)))</f>
        <v/>
      </c>
      <c r="E679">
        <f>INDEX(FactorTable!$B$2:$Y$301, MATCH(ROUND(MIN(300,MAX(1,D679)),0), FactorTable!$A$2:$A$301,0), Skills!L15+1)</f>
        <v/>
      </c>
      <c r="F679">
        <f>IF(Skills!M15=TRUE,(Skills!K15/10)*(E679/1000),Skills!K15/10)+Skills!N15</f>
        <v/>
      </c>
      <c r="G679">
        <f>Calc!G15</f>
        <v/>
      </c>
      <c r="H679">
        <f>Calc!H15</f>
        <v/>
      </c>
      <c r="I679">
        <f>IF(Skills!T15&lt;&gt;"",1+(Skills!T15/10)*($Z$3/1000)/100,1)</f>
        <v/>
      </c>
      <c r="J679">
        <f>((Inputs!$B$6*(1+Inputs!$B$7/100))+(((Inputs!$B$13*(1+Inputs!$B$14/100))-(Inputs!$B$13*(1+Inputs!$B$14/100)))+0.25*(Inputs!$B$15-Inputs!$B$15))*(1+Inputs!$B$7/100))*(F679/100)</f>
        <v/>
      </c>
      <c r="K679">
        <f>J679*(1+(((Inputs!$B$13+IF(Inputs!$B$3&gt;=35,(10*INDEX(FactorTable!$B$2:$Y$301, MATCH(ROUND(MIN(300,MAX(1,Inputs!$B$3)),0), FactorTable!$A$2:$A$301,0), 23)/1000)/100*(Inputs!$B$8*(1+(Inputs!$B$9+B702)/100)),0))*(1+Inputs!$B$14/100))*0.01+Inputs!$B$15*0.0025)/100)*(1+(Inputs!$B$16+B696)/100)*(1+IF(Inputs!$B$39="pvp",0,(1-Summary!$B$48)*(Inputs!$B$21+Skills!O15+B694)+Summary!$B$48*(Inputs!$B$22+Skills!P15+B695))/100)*(1+Inputs!$B$17/100)*(5000/(6000+Inputs!$B$43*(1-Inputs!$B$20/100)))*(1+Inputs!$B$25/100)*(1+IF(C682=TRUE,F682,0)/100)*(1+IF(C684=TRUE,F684,0)/100)*(1+IF(Skills!A15="TRIUMPH_FEATHER",IF(C680=TRUE,F680,0),0)/100)*(1+IF(C691=TRUE,F691,0)/100)^5*(1+(IF(Skills!A15="BIG_BANG",(Inputs!$B$18+1),Inputs!$B$19))/100)*(B693*I679)</f>
        <v/>
      </c>
      <c r="L679">
        <f>K679*(MIN(Inputs!$B$23+(F686-Calc!F22),Inputs!$B$24)/100+Inputs!$B$24/100)/2</f>
        <v/>
      </c>
      <c r="M679">
        <f>L679*(1+(Inputs!$B$11+B697+(F689-Calc!F25))/100)</f>
        <v/>
      </c>
      <c r="N679">
        <f>L679*(1-MIN(Inputs!$B$10+((F688-Calc!F24)+(F687-Calc!F23)),100)/100)+M679*(MIN(Inputs!$B$10+((F688-Calc!F24)+(F687-Calc!F23)),100)/100)</f>
        <v/>
      </c>
      <c r="O679">
        <f>IF(C679,Skills!F15*N679*((IF(Inputs!$B$3&gt;=78,25,15)/100*B699*10)/(1+IF(Inputs!$B$3&gt;=78,25,15)/100*B699*10))*(Skills!I15/100*B699)/(1+Skills!G15*Skills!I15/100*B699)*IF(Inputs!$B$39="pvp",1,(1-Summary!$B$48)*(1)+Summary!$B$48*(MIN(Skills!Q15,Inputs!$B$38))),0)</f>
        <v/>
      </c>
      <c r="P679">
        <f>IF(B704=0,0,O679/B704)</f>
        <v/>
      </c>
      <c r="Q679">
        <f>IFERROR(1/IF(Inputs!$B$39="pvp",15,MAX(0.1,Skills!D15-IF(Skills!E15=TRUE,Inputs!$B$33,0))),0)</f>
        <v/>
      </c>
      <c r="R679" t="n">
        <v>0</v>
      </c>
    </row>
    <row r="680">
      <c r="A680">
        <f>Skills!A16</f>
        <v/>
      </c>
      <c r="B680">
        <f>Skills!B16</f>
        <v/>
      </c>
      <c r="C680">
        <f>Inputs!$B$3&gt;=100</f>
        <v/>
      </c>
      <c r="D680">
        <f>IF(Skills!C16=1,60+Inputs!$B$26+Inputs!$B$30,IF(Skills!C16=2,90+Inputs!$B$27+Inputs!$B$30,IF(Skills!C16=3,120+Inputs!$B$28+Inputs!$B$30,MAX(0,(Inputs!$B$3-100)*3)+Inputs!$B$29+Inputs!$B$30)))</f>
        <v/>
      </c>
      <c r="E680">
        <f>INDEX(FactorTable!$B$2:$Y$301, MATCH(ROUND(MIN(300,MAX(1,D680)),0), FactorTable!$A$2:$A$301,0), Skills!L16+1)</f>
        <v/>
      </c>
      <c r="F680">
        <f>IF(Skills!M16=TRUE,(Skills!K16/10)*(E680/1000),Skills!K16/10)+Skills!N16</f>
        <v/>
      </c>
      <c r="G680">
        <f>Calc!G16</f>
        <v/>
      </c>
      <c r="H680">
        <f>Calc!H16</f>
        <v/>
      </c>
      <c r="I680">
        <f>IF(Skills!T16&lt;&gt;"",1+(Skills!T16/10)*($Z$3/1000)/100,1)</f>
        <v/>
      </c>
      <c r="J680" t="inlineStr"/>
      <c r="K680" t="inlineStr"/>
      <c r="L680" t="inlineStr"/>
      <c r="M680" t="inlineStr"/>
      <c r="N680" t="inlineStr"/>
      <c r="O680" t="n">
        <v>0</v>
      </c>
      <c r="P680">
        <f>IF(B704=0,0,O680/B704)</f>
        <v/>
      </c>
      <c r="Q680">
        <f>IFERROR(1/IF(Inputs!$B$39="pvp",15,MAX(0.1,Skills!D16-IF(Skills!E16=TRUE,Inputs!$B$33,0))),0)</f>
        <v/>
      </c>
      <c r="R680" t="n">
        <v>0</v>
      </c>
    </row>
    <row r="681">
      <c r="A681">
        <f>Skills!A17</f>
        <v/>
      </c>
      <c r="B681">
        <f>Skills!B17</f>
        <v/>
      </c>
      <c r="C681">
        <f>Inputs!$B$3&gt;=49</f>
        <v/>
      </c>
      <c r="D681">
        <f>IF(Skills!C17=1,60+Inputs!$B$26+Inputs!$B$30,IF(Skills!C17=2,90+Inputs!$B$27+Inputs!$B$30,IF(Skills!C17=3,120+Inputs!$B$28+Inputs!$B$30,MAX(0,(Inputs!$B$3-100)*3)+Inputs!$B$29+Inputs!$B$30)))</f>
        <v/>
      </c>
      <c r="E681">
        <f>INDEX(FactorTable!$B$2:$Y$301, MATCH(ROUND(MIN(300,MAX(1,D681)),0), FactorTable!$A$2:$A$301,0), Skills!L17+1)</f>
        <v/>
      </c>
      <c r="F681">
        <f>IF(Skills!M17=TRUE,(Skills!K17/10)*(E681/1000),Skills!K17/10)+Skills!N17</f>
        <v/>
      </c>
      <c r="G681">
        <f>Calc!G17</f>
        <v/>
      </c>
      <c r="H681">
        <f>Calc!H17</f>
        <v/>
      </c>
      <c r="I681">
        <f>IF(Skills!T17&lt;&gt;"",1+(Skills!T17/10)*($Z$3/1000)/100,1)</f>
        <v/>
      </c>
      <c r="J681" t="inlineStr"/>
      <c r="K681" t="inlineStr"/>
      <c r="L681" t="inlineStr"/>
      <c r="M681" t="inlineStr"/>
      <c r="N681" t="inlineStr"/>
      <c r="O681" t="n">
        <v>0</v>
      </c>
      <c r="P681">
        <f>IF(B704=0,0,O681/B704)</f>
        <v/>
      </c>
      <c r="Q681">
        <f>IFERROR(1/IF(Inputs!$B$39="pvp",15,MAX(0.1,Skills!D17-IF(Skills!E17=TRUE,Inputs!$B$33,0))),0)</f>
        <v/>
      </c>
      <c r="R681" t="n">
        <v>0</v>
      </c>
    </row>
    <row r="682">
      <c r="A682">
        <f>Skills!A18</f>
        <v/>
      </c>
      <c r="B682">
        <f>Skills!B18</f>
        <v/>
      </c>
      <c r="C682">
        <f>Inputs!$B$3&gt;=75</f>
        <v/>
      </c>
      <c r="D682">
        <f>IF(Skills!C18=1,60+Inputs!$B$26+Inputs!$B$30,IF(Skills!C18=2,90+Inputs!$B$27+Inputs!$B$30,IF(Skills!C18=3,120+Inputs!$B$28+Inputs!$B$30,MAX(0,(Inputs!$B$3-100)*3)+Inputs!$B$29+Inputs!$B$30)))</f>
        <v/>
      </c>
      <c r="E682">
        <f>INDEX(FactorTable!$B$2:$Y$301, MATCH(ROUND(MIN(300,MAX(1,D682)),0), FactorTable!$A$2:$A$301,0), Skills!L18+1)</f>
        <v/>
      </c>
      <c r="F682">
        <f>IF(Skills!M18=TRUE,(Skills!K18/10)*(E682/1000),Skills!K18/10)+Skills!N18</f>
        <v/>
      </c>
      <c r="G682">
        <f>Calc!G18</f>
        <v/>
      </c>
      <c r="H682">
        <f>Calc!H18</f>
        <v/>
      </c>
      <c r="I682">
        <f>IF(Skills!T18&lt;&gt;"",1+(Skills!T18/10)*($Z$3/1000)/100,1)</f>
        <v/>
      </c>
      <c r="J682" t="inlineStr"/>
      <c r="K682" t="inlineStr"/>
      <c r="L682" t="inlineStr"/>
      <c r="M682" t="inlineStr"/>
      <c r="N682" t="inlineStr"/>
      <c r="O682" t="n">
        <v>0</v>
      </c>
      <c r="P682">
        <f>IF(B704=0,0,O682/B704)</f>
        <v/>
      </c>
      <c r="Q682">
        <f>IFERROR(1/IF(Inputs!$B$39="pvp",15,MAX(0.1,Skills!D18-IF(Skills!E18=TRUE,Inputs!$B$33,0))),0)</f>
        <v/>
      </c>
      <c r="R682" t="n">
        <v>0</v>
      </c>
    </row>
    <row r="683">
      <c r="A683">
        <f>Skills!A19</f>
        <v/>
      </c>
      <c r="B683">
        <f>Skills!B19</f>
        <v/>
      </c>
      <c r="C683">
        <f>Inputs!$B$3&gt;=110</f>
        <v/>
      </c>
      <c r="D683">
        <f>IF(Skills!C19=1,60+Inputs!$B$26+Inputs!$B$30,IF(Skills!C19=2,90+Inputs!$B$27+Inputs!$B$30,IF(Skills!C19=3,120+Inputs!$B$28+Inputs!$B$30,MAX(0,(Inputs!$B$3-100)*3)+Inputs!$B$29+Inputs!$B$30)))</f>
        <v/>
      </c>
      <c r="E683">
        <f>INDEX(FactorTable!$B$2:$Y$301, MATCH(ROUND(MIN(300,MAX(1,D683)),0), FactorTable!$A$2:$A$301,0), Skills!L19+1)</f>
        <v/>
      </c>
      <c r="F683">
        <f>(Skills!K19/10)*(E683/1000)*64/45+Skills!N19</f>
        <v/>
      </c>
      <c r="G683">
        <f>Calc!G19</f>
        <v/>
      </c>
      <c r="H683">
        <f>Calc!H19</f>
        <v/>
      </c>
      <c r="I683">
        <f>IF(Skills!T19&lt;&gt;"",1+(Skills!T19/10)*($Z$3/1000)/100,1)</f>
        <v/>
      </c>
      <c r="J683" t="inlineStr"/>
      <c r="K683" t="inlineStr"/>
      <c r="L683" t="inlineStr"/>
      <c r="M683" t="inlineStr"/>
      <c r="N683" t="inlineStr"/>
      <c r="O683" t="n">
        <v>0</v>
      </c>
      <c r="P683">
        <f>IF(B704=0,0,O683/B704)</f>
        <v/>
      </c>
      <c r="Q683">
        <f>IFERROR(1/IF(Inputs!$B$39="pvp",15,MAX(0.1,Skills!D19-IF(Skills!E19=TRUE,Inputs!$B$33,0))),0)</f>
        <v/>
      </c>
      <c r="R683">
        <f>IF(AND(Inputs!$B$39&lt;&gt;"pvp",Inputs!$B$44&gt;0),IF(Inputs!$B$44&lt;=0,0,(INT(Inputs!$B$44/IF(Inputs!$B$39="pvp",15,MAX(0.1,Skills!D19-IF(Skills!E19=TRUE,Inputs!$B$33,0))))+1)),0)</f>
        <v/>
      </c>
    </row>
    <row r="684">
      <c r="A684">
        <f>Skills!A20</f>
        <v/>
      </c>
      <c r="B684">
        <f>Skills!B20</f>
        <v/>
      </c>
      <c r="C684">
        <f>Inputs!$B$3&gt;=125</f>
        <v/>
      </c>
      <c r="D684">
        <f>IF(Skills!C20=1,60+Inputs!$B$26+Inputs!$B$30,IF(Skills!C20=2,90+Inputs!$B$27+Inputs!$B$30,IF(Skills!C20=3,120+Inputs!$B$28+Inputs!$B$30,MAX(0,(Inputs!$B$3-100)*3)+Inputs!$B$29+Inputs!$B$30)))</f>
        <v/>
      </c>
      <c r="E684">
        <f>INDEX(FactorTable!$B$2:$Y$301, MATCH(ROUND(MIN(300,MAX(1,D684)),0), FactorTable!$A$2:$A$301,0), Skills!L20+1)</f>
        <v/>
      </c>
      <c r="F684">
        <f>IF(Skills!M20=TRUE,(Skills!K20/10)*(E684/1000),Skills!K20/10)+Skills!N20</f>
        <v/>
      </c>
      <c r="G684">
        <f>Calc!G20</f>
        <v/>
      </c>
      <c r="H684">
        <f>Calc!H20</f>
        <v/>
      </c>
      <c r="I684">
        <f>IF(Skills!T20&lt;&gt;"",1+(Skills!T20/10)*($Z$3/1000)/100,1)</f>
        <v/>
      </c>
      <c r="J684" t="inlineStr"/>
      <c r="K684" t="inlineStr"/>
      <c r="L684" t="inlineStr"/>
      <c r="M684" t="inlineStr"/>
      <c r="N684" t="inlineStr"/>
      <c r="O684" t="n">
        <v>0</v>
      </c>
      <c r="P684">
        <f>IF(B704=0,0,O684/B704)</f>
        <v/>
      </c>
      <c r="Q684">
        <f>IFERROR(1/IF(Inputs!$B$39="pvp",15,MAX(0.1,Skills!D20-IF(Skills!E20=TRUE,Inputs!$B$33,0))),0)</f>
        <v/>
      </c>
      <c r="R684" t="n">
        <v>0</v>
      </c>
    </row>
    <row r="685">
      <c r="A685">
        <f>Skills!A21</f>
        <v/>
      </c>
      <c r="B685">
        <f>Skills!B21</f>
        <v/>
      </c>
      <c r="C685">
        <f>Inputs!$B$3&gt;=33</f>
        <v/>
      </c>
      <c r="D685">
        <f>IF(Skills!C21=1,60+Inputs!$B$26+Inputs!$B$30,IF(Skills!C21=2,90+Inputs!$B$27+Inputs!$B$30,IF(Skills!C21=3,120+Inputs!$B$28+Inputs!$B$30,MAX(0,(Inputs!$B$3-100)*3)+Inputs!$B$29+Inputs!$B$30)))</f>
        <v/>
      </c>
      <c r="E685">
        <f>INDEX(FactorTable!$B$2:$Y$301, MATCH(ROUND(MIN(300,MAX(1,D685)),0), FactorTable!$A$2:$A$301,0), Skills!L21+1)</f>
        <v/>
      </c>
      <c r="F685">
        <f>IF(Skills!M21=TRUE,(Skills!K21/10)*(E685/1000),Skills!K21/10)+Skills!N21</f>
        <v/>
      </c>
      <c r="G685">
        <f>Calc!G21</f>
        <v/>
      </c>
      <c r="H685">
        <f>Calc!H21</f>
        <v/>
      </c>
      <c r="I685">
        <f>IF(Skills!T21&lt;&gt;"",1+(Skills!T21/10)*($Z$3/1000)/100,1)</f>
        <v/>
      </c>
      <c r="J685" t="inlineStr"/>
      <c r="K685" t="inlineStr"/>
      <c r="L685" t="inlineStr"/>
      <c r="M685" t="inlineStr"/>
      <c r="N685" t="inlineStr"/>
      <c r="O685" t="n">
        <v>0</v>
      </c>
      <c r="P685">
        <f>IF(B704=0,0,O685/B704)</f>
        <v/>
      </c>
      <c r="Q685">
        <f>IFERROR(1/IF(Inputs!$B$39="pvp",15,MAX(0.1,Skills!D21-IF(Skills!E21=TRUE,Inputs!$B$33,0))),0)</f>
        <v/>
      </c>
      <c r="R685" t="n">
        <v>0</v>
      </c>
    </row>
    <row r="686">
      <c r="A686">
        <f>Skills!A22</f>
        <v/>
      </c>
      <c r="B686">
        <f>Skills!B22</f>
        <v/>
      </c>
      <c r="C686">
        <f>Inputs!$B$3&gt;=43</f>
        <v/>
      </c>
      <c r="D686">
        <f>IF(Skills!C22=1,60+Inputs!$B$26+Inputs!$B$30,IF(Skills!C22=2,90+Inputs!$B$27+Inputs!$B$30,IF(Skills!C22=3,120+Inputs!$B$28+Inputs!$B$30,MAX(0,(Inputs!$B$3-100)*3)+Inputs!$B$29+Inputs!$B$30)))</f>
        <v/>
      </c>
      <c r="E686">
        <f>INDEX(FactorTable!$B$2:$Y$301, MATCH(ROUND(MIN(300,MAX(1,D686)),0), FactorTable!$A$2:$A$301,0), Skills!L22+1)</f>
        <v/>
      </c>
      <c r="F686">
        <f>IF(Skills!M22=TRUE,(Skills!K22/10)*(E686/1000),Skills!K22/10)+Skills!N22</f>
        <v/>
      </c>
      <c r="G686">
        <f>Calc!G22</f>
        <v/>
      </c>
      <c r="H686">
        <f>Calc!H22</f>
        <v/>
      </c>
      <c r="I686">
        <f>IF(Skills!T22&lt;&gt;"",1+(Skills!T22/10)*($Z$3/1000)/100,1)</f>
        <v/>
      </c>
      <c r="J686" t="inlineStr"/>
      <c r="K686" t="inlineStr"/>
      <c r="L686" t="inlineStr"/>
      <c r="M686" t="inlineStr"/>
      <c r="N686" t="inlineStr"/>
      <c r="O686" t="n">
        <v>0</v>
      </c>
      <c r="P686">
        <f>IF(B704=0,0,O686/B704)</f>
        <v/>
      </c>
      <c r="Q686">
        <f>IFERROR(1/IF(Inputs!$B$39="pvp",15,MAX(0.1,Skills!D22-IF(Skills!E22=TRUE,Inputs!$B$33,0))),0)</f>
        <v/>
      </c>
      <c r="R686" t="n">
        <v>0</v>
      </c>
    </row>
    <row r="687">
      <c r="A687">
        <f>Skills!A23</f>
        <v/>
      </c>
      <c r="B687">
        <f>Skills!B23</f>
        <v/>
      </c>
      <c r="C687">
        <f>Inputs!$B$3&gt;=50</f>
        <v/>
      </c>
      <c r="D687">
        <f>IF(Skills!C23=1,60+Inputs!$B$26+Inputs!$B$30,IF(Skills!C23=2,90+Inputs!$B$27+Inputs!$B$30,IF(Skills!C23=3,120+Inputs!$B$28+Inputs!$B$30,MAX(0,(Inputs!$B$3-100)*3)+Inputs!$B$29+Inputs!$B$30)))</f>
        <v/>
      </c>
      <c r="E687">
        <f>INDEX(FactorTable!$B$2:$Y$301, MATCH(ROUND(MIN(300,MAX(1,D687)),0), FactorTable!$A$2:$A$301,0), Skills!L23+1)</f>
        <v/>
      </c>
      <c r="F687">
        <f>IF(Skills!M23=TRUE,(Skills!K23/10)*(E687/1000),Skills!K23/10)+Skills!N23</f>
        <v/>
      </c>
      <c r="G687">
        <f>Calc!G23</f>
        <v/>
      </c>
      <c r="H687">
        <f>Calc!H23</f>
        <v/>
      </c>
      <c r="I687">
        <f>IF(Skills!T23&lt;&gt;"",1+(Skills!T23/10)*($Z$3/1000)/100,1)</f>
        <v/>
      </c>
      <c r="J687" t="inlineStr"/>
      <c r="K687" t="inlineStr"/>
      <c r="L687" t="inlineStr"/>
      <c r="M687" t="inlineStr"/>
      <c r="N687" t="inlineStr"/>
      <c r="O687" t="n">
        <v>0</v>
      </c>
      <c r="P687">
        <f>IF(B704=0,0,O687/B704)</f>
        <v/>
      </c>
      <c r="Q687">
        <f>IFERROR(1/IF(Inputs!$B$39="pvp",15,MAX(0.1,Skills!D23-IF(Skills!E23=TRUE,Inputs!$B$33,0))),0)</f>
        <v/>
      </c>
      <c r="R687" t="n">
        <v>0</v>
      </c>
    </row>
    <row r="688">
      <c r="A688">
        <f>Skills!A24</f>
        <v/>
      </c>
      <c r="B688">
        <f>Skills!B24</f>
        <v/>
      </c>
      <c r="C688">
        <f>Inputs!$B$3&gt;=74</f>
        <v/>
      </c>
      <c r="D688">
        <f>IF(Skills!C24=1,60+Inputs!$B$26+Inputs!$B$30,IF(Skills!C24=2,90+Inputs!$B$27+Inputs!$B$30,IF(Skills!C24=3,120+Inputs!$B$28+Inputs!$B$30,MAX(0,(Inputs!$B$3-100)*3)+Inputs!$B$29+Inputs!$B$30)))</f>
        <v/>
      </c>
      <c r="E688">
        <f>INDEX(FactorTable!$B$2:$Y$301, MATCH(ROUND(MIN(300,MAX(1,D688)),0), FactorTable!$A$2:$A$301,0), Skills!L24+1)</f>
        <v/>
      </c>
      <c r="F688">
        <f>IF(Skills!M24=TRUE,(Skills!K24/10)*(E688/1000),Skills!K24/10)+Skills!N24</f>
        <v/>
      </c>
      <c r="G688">
        <f>Calc!G24</f>
        <v/>
      </c>
      <c r="H688">
        <f>Calc!H24</f>
        <v/>
      </c>
      <c r="I688">
        <f>IF(Skills!T24&lt;&gt;"",1+(Skills!T24/10)*($Z$3/1000)/100,1)</f>
        <v/>
      </c>
      <c r="J688" t="inlineStr"/>
      <c r="K688" t="inlineStr"/>
      <c r="L688" t="inlineStr"/>
      <c r="M688" t="inlineStr"/>
      <c r="N688" t="inlineStr"/>
      <c r="O688" t="n">
        <v>0</v>
      </c>
      <c r="P688">
        <f>IF(B704=0,0,O688/B704)</f>
        <v/>
      </c>
      <c r="Q688">
        <f>IFERROR(1/IF(Inputs!$B$39="pvp",15,MAX(0.1,Skills!D24-IF(Skills!E24=TRUE,Inputs!$B$33,0))),0)</f>
        <v/>
      </c>
      <c r="R688" t="n">
        <v>0</v>
      </c>
    </row>
    <row r="689">
      <c r="A689">
        <f>Skills!A25</f>
        <v/>
      </c>
      <c r="B689">
        <f>Skills!B25</f>
        <v/>
      </c>
      <c r="C689">
        <f>Inputs!$B$3&gt;=74</f>
        <v/>
      </c>
      <c r="D689">
        <f>IF(Skills!C25=1,60+Inputs!$B$26+Inputs!$B$30,IF(Skills!C25=2,90+Inputs!$B$27+Inputs!$B$30,IF(Skills!C25=3,120+Inputs!$B$28+Inputs!$B$30,MAX(0,(Inputs!$B$3-100)*3)+Inputs!$B$29+Inputs!$B$30)))</f>
        <v/>
      </c>
      <c r="E689">
        <f>INDEX(FactorTable!$B$2:$Y$301, MATCH(ROUND(MIN(300,MAX(1,D689)),0), FactorTable!$A$2:$A$301,0), Skills!L25+1)</f>
        <v/>
      </c>
      <c r="F689">
        <f>IF(Skills!M25=TRUE,(Skills!K25/10)*(E689/1000),Skills!K25/10)+Skills!N25</f>
        <v/>
      </c>
      <c r="G689">
        <f>Calc!G25</f>
        <v/>
      </c>
      <c r="H689">
        <f>Calc!H25</f>
        <v/>
      </c>
      <c r="I689">
        <f>IF(Skills!T25&lt;&gt;"",1+(Skills!T25/10)*($Z$3/1000)/100,1)</f>
        <v/>
      </c>
      <c r="J689" t="inlineStr"/>
      <c r="K689" t="inlineStr"/>
      <c r="L689" t="inlineStr"/>
      <c r="M689" t="inlineStr"/>
      <c r="N689" t="inlineStr"/>
      <c r="O689" t="n">
        <v>0</v>
      </c>
      <c r="P689">
        <f>IF(B704=0,0,O689/B704)</f>
        <v/>
      </c>
      <c r="Q689">
        <f>IFERROR(1/IF(Inputs!$B$39="pvp",15,MAX(0.1,Skills!D25-IF(Skills!E25=TRUE,Inputs!$B$33,0))),0)</f>
        <v/>
      </c>
      <c r="R689" t="n">
        <v>0</v>
      </c>
    </row>
    <row r="690">
      <c r="A690">
        <f>Skills!A26</f>
        <v/>
      </c>
      <c r="B690">
        <f>Skills!B26</f>
        <v/>
      </c>
      <c r="C690">
        <f>Inputs!$B$3&gt;=117</f>
        <v/>
      </c>
      <c r="D690">
        <f>IF(Skills!C26=1,60+Inputs!$B$26+Inputs!$B$30,IF(Skills!C26=2,90+Inputs!$B$27+Inputs!$B$30,IF(Skills!C26=3,120+Inputs!$B$28+Inputs!$B$30,MAX(0,(Inputs!$B$3-100)*3)+Inputs!$B$29+Inputs!$B$30)))</f>
        <v/>
      </c>
      <c r="E690">
        <f>INDEX(FactorTable!$B$2:$Y$301, MATCH(ROUND(MIN(300,MAX(1,D690)),0), FactorTable!$A$2:$A$301,0), Skills!L26+1)</f>
        <v/>
      </c>
      <c r="F690">
        <f>IF(Skills!M26=TRUE,(Skills!K26/10)*(E690/1000),Skills!K26/10)+Skills!N26</f>
        <v/>
      </c>
      <c r="G690">
        <f>Calc!G26</f>
        <v/>
      </c>
      <c r="H690">
        <f>Calc!H26</f>
        <v/>
      </c>
      <c r="I690">
        <f>IF(Skills!T26&lt;&gt;"",1+(Skills!T26/10)*($Z$3/1000)/100,1)</f>
        <v/>
      </c>
      <c r="J690" t="inlineStr"/>
      <c r="K690" t="inlineStr"/>
      <c r="L690" t="inlineStr"/>
      <c r="M690" t="inlineStr"/>
      <c r="N690" t="inlineStr"/>
      <c r="O690" t="n">
        <v>0</v>
      </c>
      <c r="P690">
        <f>IF(B704=0,0,O690/B704)</f>
        <v/>
      </c>
      <c r="Q690">
        <f>IFERROR(1/IF(Inputs!$B$39="pvp",15,MAX(0.1,Skills!D26-IF(Skills!E26=TRUE,Inputs!$B$33,0))),0)</f>
        <v/>
      </c>
      <c r="R690" t="n">
        <v>0</v>
      </c>
    </row>
    <row r="691">
      <c r="A691">
        <f>Skills!A27</f>
        <v/>
      </c>
      <c r="B691">
        <f>Skills!B27</f>
        <v/>
      </c>
      <c r="C691">
        <f>Inputs!$B$3&gt;=120</f>
        <v/>
      </c>
      <c r="D691">
        <f>IF(Skills!C27=1,60+Inputs!$B$26+Inputs!$B$30,IF(Skills!C27=2,90+Inputs!$B$27+Inputs!$B$30,IF(Skills!C27=3,120+Inputs!$B$28+Inputs!$B$30,MAX(0,(Inputs!$B$3-100)*3)+Inputs!$B$29+Inputs!$B$30)))</f>
        <v/>
      </c>
      <c r="E691">
        <f>INDEX(FactorTable!$B$2:$Y$301, MATCH(ROUND(MIN(300,MAX(1,D691)),0), FactorTable!$A$2:$A$301,0), Skills!L27+1)</f>
        <v/>
      </c>
      <c r="F691">
        <f>IF(Skills!M27=TRUE,(Skills!K27/10)*(E691/1000),Skills!K27/10)+Skills!N27</f>
        <v/>
      </c>
      <c r="G691">
        <f>Calc!G27</f>
        <v/>
      </c>
      <c r="H691">
        <f>Calc!H27</f>
        <v/>
      </c>
      <c r="I691">
        <f>IF(Skills!T27&lt;&gt;"",1+(Skills!T27/10)*($Z$3/1000)/100,1)</f>
        <v/>
      </c>
      <c r="J691" t="inlineStr"/>
      <c r="K691" t="inlineStr"/>
      <c r="L691" t="inlineStr"/>
      <c r="M691" t="inlineStr"/>
      <c r="N691" t="inlineStr"/>
      <c r="O691" t="n">
        <v>0</v>
      </c>
      <c r="P691">
        <f>IF(B704=0,0,O691/B704)</f>
        <v/>
      </c>
      <c r="Q691">
        <f>IFERROR(1/IF(Inputs!$B$39="pvp",15,MAX(0.1,Skills!D27-IF(Skills!E27=TRUE,Inputs!$B$33,0))),0)</f>
        <v/>
      </c>
      <c r="R691" t="n">
        <v>0</v>
      </c>
    </row>
    <row r="693">
      <c r="A693" t="inlineStr">
        <is>
          <t>Average Buff Multiplier</t>
        </is>
      </c>
      <c r="B693">
        <f>(1+(IF(C667=TRUE,F667*IF(AND(Inputs!$B$39&lt;&gt;"pvp",Inputs!$B$44&gt;0),(((R667-1)*(Skills!S3*(1+(Inputs!$B$35+IF(Inputs!$B$3&gt;=117,F690,0))/100))+MIN((Skills!S3*(1+(Inputs!$B$35+IF(Inputs!$B$3&gt;=117,F690,0))/100)),MAX(0,Inputs!$B$44-((R667-1)*Skills!D3))))/Inputs!$B$44),IF(Inputs!$B$39="pvp",MIN((Skills!S3*(1+(Inputs!$B$35+IF(Inputs!$B$3&gt;=117,F690,0))/100)),15)/15,(Skills!S3*(1+(Inputs!$B$35+IF(Inputs!$B$3&gt;=117,F690,0))/100))/Skills!D3)),0)+IF(C668=TRUE,F668*IF(AND(Inputs!$B$39&lt;&gt;"pvp",Inputs!$B$44&gt;0),(((R668-1)*(Skills!S4*(1+(Inputs!$B$35+IF(Inputs!$B$3&gt;=117,F690,0))/100))+MIN((Skills!S4*(1+(Inputs!$B$35+IF(Inputs!$B$3&gt;=117,F690,0))/100)),MAX(0,Inputs!$B$44-((R668-1)*Skills!D4))))/Inputs!$B$44),IF(Inputs!$B$39="pvp",MIN((Skills!S4*(1+(Inputs!$B$35+IF(Inputs!$B$3&gt;=117,F690,0))/100)),15)/15,(Skills!S4*(1+(Inputs!$B$35+IF(Inputs!$B$3&gt;=117,F690,0))/100))/Skills!D4)),0)+IF(C669=TRUE,F669*IF(AND(Inputs!$B$39&lt;&gt;"pvp",Inputs!$B$44&gt;0),(((R669-1)*(Skills!S5*(1+(Inputs!$B$35+IF(Inputs!$B$3&gt;=117,F690,0))/100))+MIN((Skills!S5*(1+(Inputs!$B$35+IF(Inputs!$B$3&gt;=117,F690,0))/100)),MAX(0,Inputs!$B$44-((R669-1)*Skills!D5))))/Inputs!$B$44),IF(Inputs!$B$39="pvp",MIN((Skills!S5*(1+(Inputs!$B$35+IF(Inputs!$B$3&gt;=117,F690,0))/100)),15)/15,(Skills!S5*(1+(Inputs!$B$35+IF(Inputs!$B$3&gt;=117,F690,0))/100))/Skills!D5)),0)+IF(C675=TRUE,F675*IF(AND(Inputs!$B$39&lt;&gt;"pvp",Inputs!$B$44&gt;0),(((R675-1)*(Skills!S11*(1+(Inputs!$B$35+IF(Inputs!$B$3&gt;=117,F690,0))/100))+MIN((Skills!S11*(1+(Inputs!$B$35+IF(Inputs!$B$3&gt;=117,F690,0))/100)),MAX(0,Inputs!$B$44-((R675-1)*Skills!D11))))/Inputs!$B$44),IF(Inputs!$B$39="pvp",MIN((Skills!S11*(1+(Inputs!$B$35+IF(Inputs!$B$3&gt;=117,F690,0))/100)),15)/15,(Skills!S11*(1+(Inputs!$B$35+IF(Inputs!$B$3&gt;=117,F690,0))/100))/Skills!D11)),0))/100)*IF(C678=TRUE,(1+F678*IF(AND(Inputs!$B$39&lt;&gt;"pvp",Inputs!$B$44&gt;0),(((R678-1)*(Skills!S14*(1+(Inputs!$B$35+IF(Inputs!$B$3&gt;=117,F690,0))/100))+MIN((Skills!S14*(1+(Inputs!$B$35+IF(Inputs!$B$3&gt;=117,F690,0))/100)),MAX(0,Inputs!$B$44-((R678-1)*Skills!D14))))/Inputs!$B$44),IF(Inputs!$B$39="pvp",MIN((Skills!S14*(1+(Inputs!$B$35+IF(Inputs!$B$3&gt;=117,F690,0))/100)),15)/15,(Skills!S14*(1+(Inputs!$B$35+IF(Inputs!$B$3&gt;=117,F690,0))/100))/Skills!D14))/100),1)*IF(C683=TRUE,(1+F683*IF(AND(Inputs!$B$39&lt;&gt;"pvp",Inputs!$B$44&gt;0),(((R683-1)*(Skills!S19*(1+(Inputs!$B$35+IF(Inputs!$B$3&gt;=117,F690,0))/100))+MIN((Skills!S19*(1+(Inputs!$B$35+IF(Inputs!$B$3&gt;=117,F690,0))/100)),MAX(0,Inputs!$B$44-((R683-1)*Skills!D19))))/Inputs!$B$44),IF(Inputs!$B$39="pvp",MIN((Skills!S19*(1+(Inputs!$B$35+IF(Inputs!$B$3&gt;=117,F690,0))/100)),15)/15,(Skills!S19*(1+(Inputs!$B$35+IF(Inputs!$B$3&gt;=117,F690,0))/100))/Skills!D19))/100),1)</f>
        <v/>
      </c>
    </row>
    <row r="694">
      <c r="A694" t="inlineStr">
        <is>
          <t>Monster Damage Taken Bonus % (Holy Fountain)</t>
        </is>
      </c>
      <c r="B694">
        <f>IF(Inputs!$B$3&gt;=68,20*IF(Inputs!$B$39="pvp",MIN((15*(1+(Inputs!$B$35+IF(Inputs!$B$3&gt;=117,F690,0))/100)),15)/15,(15*(1+(Inputs!$B$35+IF(Inputs!$B$3&gt;=117,F690,0))/100))/Skills!D10),0)</f>
        <v/>
      </c>
    </row>
    <row r="695">
      <c r="A695" t="inlineStr">
        <is>
          <t>Normal Monster Damage Bonus % (Holy Symbol)</t>
        </is>
      </c>
      <c r="B695">
        <f>IF(C676=TRUE,F676*IF(AND(Inputs!$B$39&lt;&gt;"pvp",Inputs!$B$44&gt;0),(((R676-1)*(Skills!S12*(1+(Inputs!$B$35+IF(Inputs!$B$3&gt;=117,F690,0))/100))+MIN((Skills!S12*(1+(Inputs!$B$35+IF(Inputs!$B$3&gt;=117,F690,0))/100)),MAX(0,Inputs!$B$44-((R676-1)*Skills!D12))))/Inputs!$B$44),IF(Inputs!$B$39="pvp",MIN((Skills!S12*(1+(Inputs!$B$35+IF(Inputs!$B$3&gt;=117,F690,0))/100)),15)/15,(Skills!S12*(1+(Inputs!$B$35+IF(Inputs!$B$3&gt;=117,F690,0))/100))/Skills!D12)),0)</f>
        <v/>
      </c>
    </row>
    <row r="696">
      <c r="A696" t="inlineStr">
        <is>
          <t>Damage % Bonus (Holy Symbol - Damage Boost)</t>
        </is>
      </c>
      <c r="B696">
        <f>Skills!O12</f>
        <v/>
      </c>
    </row>
    <row r="697">
      <c r="A697" t="inlineStr">
        <is>
          <t>Crit Damage % Bonus (Blood of the Divine)</t>
        </is>
      </c>
      <c r="B697">
        <f>4*IF(C684=TRUE,F684,0)</f>
        <v/>
      </c>
    </row>
    <row r="698">
      <c r="A698" t="inlineStr">
        <is>
          <t>Attack Speed Bonus %</t>
        </is>
      </c>
      <c r="B698">
        <f>IF(C681=TRUE,F681+(F685-Calc!F21),0)+IF(Inputs!$B$3&gt;=134,15,0)</f>
        <v/>
      </c>
    </row>
    <row r="699">
      <c r="A699" t="inlineStr">
        <is>
          <t>Actions Per Second</t>
        </is>
      </c>
      <c r="B699">
        <f>1+MIN(150,150*(1-(1-Inputs!$B$12/150)*(1-B698/150)))/100</f>
        <v/>
      </c>
    </row>
    <row r="700">
      <c r="A700" t="inlineStr">
        <is>
          <t>Skill + Buff Cast Rate</t>
        </is>
      </c>
      <c r="B700">
        <f>IF(AND(Inputs!$B$39&lt;&gt;"pvp",Inputs!$B$44&gt;0),SUMPRODUCT((Skills!E2:E27=TRUE)*(C666:C691=TRUE)*R666:R691)/Inputs!$B$44,SUMPRODUCT((Skills!E2:E27=TRUE)*(C666:C691=TRUE)*Q666:Q691))</f>
        <v/>
      </c>
    </row>
    <row r="701">
      <c r="A701" t="inlineStr">
        <is>
          <t>Big Bang Casts Per Second</t>
        </is>
      </c>
      <c r="B701">
        <f>MAX(0,B699-B700)</f>
        <v/>
      </c>
    </row>
    <row r="702">
      <c r="A702" t="inlineStr">
        <is>
          <t>Defense % Bonus (Divine Protection)</t>
        </is>
      </c>
      <c r="B702">
        <f>IF(C677=TRUE,F677*IF(AND(Inputs!$B$39&lt;&gt;"pvp",Inputs!$B$44&gt;0),(((R677-1)*(Skills!S13*(1+(Inputs!$B$35+IF(Inputs!$B$3&gt;=117,F690,0))/100))+MIN((Skills!S13*(1+(Inputs!$B$35+IF(Inputs!$B$3&gt;=117,F690,0))/100)),MAX(0,Inputs!$B$44-((R677-1)*Skills!D13))))/Inputs!$B$44),IF(Inputs!$B$39="pvp",MIN((Skills!S13*(1+(Inputs!$B$35+IF(Inputs!$B$3&gt;=117,F690,0))/100)),15)/15,(Skills!S13*(1+(Inputs!$B$35+IF(Inputs!$B$3&gt;=117,F690,0))/100))/Skills!D13)),0)</f>
        <v/>
      </c>
    </row>
    <row r="703">
      <c r="A703" t="inlineStr">
        <is>
          <t>Buff-Casting Startup Delay (s, fixed-duration only)</t>
        </is>
      </c>
      <c r="B703">
        <f>IF(AND(Inputs!$B$39&lt;&gt;"pvp",Inputs!$B$44&gt;0),SUMPRODUCT((Skills!S2:S27&gt;0)*(Skills!E2:E27=TRUE)*(C666:C691=TRUE))/B699,0)</f>
        <v/>
      </c>
    </row>
    <row r="704">
      <c r="A704" s="5" t="inlineStr">
        <is>
          <t>TOTAL DPS</t>
        </is>
      </c>
      <c r="B704" s="5">
        <f>SUM(O666:O691)</f>
        <v/>
      </c>
    </row>
    <row r="706">
      <c r="A706" s="5" t="inlineStr">
        <is>
          <t>Stat: SKILL_DAMAGE %</t>
        </is>
      </c>
    </row>
    <row r="707">
      <c r="A707" s="9" t="inlineStr">
        <is>
          <t>Key</t>
        </is>
      </c>
      <c r="B707" s="9" t="inlineStr">
        <is>
          <t>Name</t>
        </is>
      </c>
      <c r="C707" s="9" t="inlineStr">
        <is>
          <t>Unlocked</t>
        </is>
      </c>
      <c r="D707" s="9" t="inlineStr">
        <is>
          <t>InputLevel</t>
        </is>
      </c>
      <c r="E707" s="9" t="inlineStr">
        <is>
          <t>Factor</t>
        </is>
      </c>
      <c r="F707" s="9" t="inlineStr">
        <is>
          <t>CoefficientPercent</t>
        </is>
      </c>
      <c r="G707" s="9" t="inlineStr">
        <is>
          <t>EffectiveHits</t>
        </is>
      </c>
      <c r="H707" s="9" t="inlineStr">
        <is>
          <t>ProcProbability</t>
        </is>
      </c>
      <c r="I707" s="9" t="inlineStr">
        <is>
          <t>MapleHeroMultiplier</t>
        </is>
      </c>
      <c r="J707" s="9" t="inlineStr">
        <is>
          <t>BaseDamage</t>
        </is>
      </c>
      <c r="K707" s="9" t="inlineStr">
        <is>
          <t>BaseHitDamage</t>
        </is>
      </c>
      <c r="L707" s="9" t="inlineStr">
        <is>
          <t>NonCritAvg</t>
        </is>
      </c>
      <c r="M707" s="9" t="inlineStr">
        <is>
          <t>CritAvg</t>
        </is>
      </c>
      <c r="N707" s="9" t="inlineStr">
        <is>
          <t>ExpectedDamage(perHit)</t>
        </is>
      </c>
      <c r="O707" s="9" t="inlineStr">
        <is>
          <t>DPS</t>
        </is>
      </c>
      <c r="P707" s="9" t="inlineStr">
        <is>
          <t>% of Total</t>
        </is>
      </c>
      <c r="R707" t="inlineStr">
        <is>
          <t>helpers</t>
        </is>
      </c>
    </row>
    <row r="708">
      <c r="A708">
        <f>Skills!A2</f>
        <v/>
      </c>
      <c r="B708">
        <f>Skills!B2</f>
        <v/>
      </c>
      <c r="C708">
        <f>Inputs!$B$3&gt;=100</f>
        <v/>
      </c>
      <c r="D708" t="inlineStr"/>
      <c r="E708" t="inlineStr"/>
      <c r="F708">
        <f>T710+Skills!N2</f>
        <v/>
      </c>
      <c r="G708">
        <f>Calc!G2</f>
        <v/>
      </c>
      <c r="H708">
        <f>Calc!H2</f>
        <v/>
      </c>
      <c r="I708">
        <f>IF(Skills!T2&lt;&gt;"",1+(Skills!T2/10)*($Z$3/1000)/100,1)</f>
        <v/>
      </c>
      <c r="J708">
        <f>((Inputs!$B$6*(1+Inputs!$B$7/100))+(((Inputs!$B$13*(1+Inputs!$B$14/100))-(Inputs!$B$13*(1+Inputs!$B$14/100)))+0.25*(Inputs!$B$15-Inputs!$B$15))*(1+Inputs!$B$7/100))*(F708/100)</f>
        <v/>
      </c>
      <c r="K708">
        <f>J708*(1+(((Inputs!$B$13+IF(Inputs!$B$3&gt;=35,(10*INDEX(FactorTable!$B$2:$Y$301, MATCH(ROUND(MIN(300,MAX(1,Inputs!$B$3)),0), FactorTable!$A$2:$A$301,0), 23)/1000)/100*(Inputs!$B$8*(1+(Inputs!$B$9+B744)/100)),0))*(1+Inputs!$B$14/100))*0.01+Inputs!$B$15*0.0025)/100)*(1+(Inputs!$B$16+B738)/100)*(1+IF(Inputs!$B$39="pvp",0,(1-Summary!$B$48)*(Inputs!$B$21+Skills!O2+B736)+Summary!$B$48*(Inputs!$B$22+Skills!P2+B737))/100)*(1+Inputs!$B$17/100)*(5000/(6000+Inputs!$B$43*(1-Inputs!$B$20/100)))*(1+Inputs!$B$25/100)*(1+IF(C724=TRUE,F724,0)/100)*(1+IF(C726=TRUE,F726,0)/100)*(1+IF(Skills!A2="TRIUMPH_FEATHER",IF(C722=TRUE,F722,0),0)/100)*(1+IF(C733=TRUE,F733,0)/100)^5*(1+(IF(Skills!A2="BIG_BANG",Inputs!$B$18,(Inputs!$B$19+1)))/100)*(B735*I708)</f>
        <v/>
      </c>
      <c r="L708">
        <f>K708*(MIN(Inputs!$B$23+(F728-Calc!F22),Inputs!$B$24)/100+Inputs!$B$24/100)/2</f>
        <v/>
      </c>
      <c r="M708">
        <f>L708*(1+(Inputs!$B$11+B739+(F731-Calc!F25))/100)</f>
        <v/>
      </c>
      <c r="N708">
        <f>L708*(1-MIN(Inputs!$B$10+((F730-Calc!F24)+(F729-Calc!F23)),100)/100)+M708*(MIN(Inputs!$B$10+((F730-Calc!F24)+(F729-Calc!F23)),100)/100)</f>
        <v/>
      </c>
      <c r="O708">
        <f>IF(C708,Skills!F2*N708*B743*IF(Inputs!$B$39="pvp",1,(1-Summary!$B$48)*(1)+Summary!$B$48*(MIN((6+Inputs!$B$34),Inputs!$B$38))),0)</f>
        <v/>
      </c>
      <c r="P708">
        <f>IF(B746=0,0,O708/B746)</f>
        <v/>
      </c>
      <c r="Q708">
        <f>IFERROR(1/IF(Inputs!$B$39="pvp",15,MAX(0.1,Skills!D2-IF(Skills!E2=TRUE,Inputs!$B$33,0))),0)</f>
        <v/>
      </c>
      <c r="R708" t="n">
        <v>0</v>
      </c>
      <c r="T708">
        <f>MAX(0,(Inputs!$B$3-100)*3)+Inputs!$B$29+Inputs!$B$30</f>
        <v/>
      </c>
    </row>
    <row r="709">
      <c r="A709">
        <f>Skills!A3</f>
        <v/>
      </c>
      <c r="B709">
        <f>Skills!B3</f>
        <v/>
      </c>
      <c r="C709">
        <f>Inputs!$B$3&gt;=15</f>
        <v/>
      </c>
      <c r="D709">
        <f>IF(Skills!C3=1,60+Inputs!$B$26+Inputs!$B$30,IF(Skills!C3=2,90+Inputs!$B$27+Inputs!$B$30,IF(Skills!C3=3,120+Inputs!$B$28+Inputs!$B$30,MAX(0,(Inputs!$B$3-100)*3)+Inputs!$B$29+Inputs!$B$30)))</f>
        <v/>
      </c>
      <c r="E709">
        <f>INDEX(FactorTable!$B$2:$Y$301, MATCH(ROUND(MIN(300,MAX(1,D709)),0), FactorTable!$A$2:$A$301,0), Skills!L3+1)</f>
        <v/>
      </c>
      <c r="F709">
        <f>IF(Skills!M3=TRUE,(Skills!K3/10)*(E709/1000),Skills!K3/10)+Skills!N3</f>
        <v/>
      </c>
      <c r="G709">
        <f>Calc!G3</f>
        <v/>
      </c>
      <c r="H709">
        <f>Calc!H3</f>
        <v/>
      </c>
      <c r="I709">
        <f>IF(Skills!T3&lt;&gt;"",1+(Skills!T3/10)*($Z$3/1000)/100,1)</f>
        <v/>
      </c>
      <c r="J709" t="inlineStr"/>
      <c r="K709" t="inlineStr"/>
      <c r="L709" t="inlineStr"/>
      <c r="M709" t="inlineStr"/>
      <c r="N709" t="inlineStr"/>
      <c r="O709" t="n">
        <v>0</v>
      </c>
      <c r="P709">
        <f>IF(B746=0,0,O709/B746)</f>
        <v/>
      </c>
      <c r="Q709">
        <f>IFERROR(1/IF(Inputs!$B$39="pvp",15,MAX(0.1,Skills!D3-IF(Skills!E3=TRUE,Inputs!$B$33,0))),0)</f>
        <v/>
      </c>
      <c r="R709">
        <f>IF(AND(Inputs!$B$39&lt;&gt;"pvp",Inputs!$B$44&gt;0),IF(Inputs!$B$44&lt;=0,0,(INT(Inputs!$B$44/IF(Inputs!$B$39="pvp",15,MAX(0.1,Skills!D3-IF(Skills!E3=TRUE,Inputs!$B$33,0))))+1)),0)</f>
        <v/>
      </c>
      <c r="T709">
        <f>INDEX(FactorTable!$B$2:$Y$301, MATCH(ROUND(MIN(300,MAX(1,T708)),0), FactorTable!$A$2:$A$301,0), 22)</f>
        <v/>
      </c>
    </row>
    <row r="710">
      <c r="A710">
        <f>Skills!A4</f>
        <v/>
      </c>
      <c r="B710">
        <f>Skills!B4</f>
        <v/>
      </c>
      <c r="C710">
        <f>Inputs!$B$3&gt;=38</f>
        <v/>
      </c>
      <c r="D710">
        <f>IF(Skills!C4=1,60+Inputs!$B$26+Inputs!$B$30,IF(Skills!C4=2,90+Inputs!$B$27+Inputs!$B$30,IF(Skills!C4=3,120+Inputs!$B$28+Inputs!$B$30,MAX(0,(Inputs!$B$3-100)*3)+Inputs!$B$29+Inputs!$B$30)))</f>
        <v/>
      </c>
      <c r="E710">
        <f>INDEX(FactorTable!$B$2:$Y$301, MATCH(ROUND(MIN(300,MAX(1,D710)),0), FactorTable!$A$2:$A$301,0), Skills!L4+1)</f>
        <v/>
      </c>
      <c r="F710">
        <f>IF(Skills!M4=TRUE,(Skills!K4/10)*(E710/1000),Skills!K4/10)+Skills!N4</f>
        <v/>
      </c>
      <c r="G710">
        <f>Calc!G4</f>
        <v/>
      </c>
      <c r="H710">
        <f>Calc!H4</f>
        <v/>
      </c>
      <c r="I710">
        <f>IF(Skills!T4&lt;&gt;"",1+(Skills!T4/10)*($Z$3/1000)/100,1)</f>
        <v/>
      </c>
      <c r="J710" t="inlineStr"/>
      <c r="K710" t="inlineStr"/>
      <c r="L710" t="inlineStr"/>
      <c r="M710" t="inlineStr"/>
      <c r="N710" t="inlineStr"/>
      <c r="O710" t="n">
        <v>0</v>
      </c>
      <c r="P710">
        <f>IF(B746=0,0,O710/B746)</f>
        <v/>
      </c>
      <c r="Q710">
        <f>IFERROR(1/IF(Inputs!$B$39="pvp",15,MAX(0.1,Skills!D4-IF(Skills!E4=TRUE,Inputs!$B$33,0))),0)</f>
        <v/>
      </c>
      <c r="R710">
        <f>IF(AND(Inputs!$B$39&lt;&gt;"pvp",Inputs!$B$44&gt;0),IF(Inputs!$B$44&lt;=0,0,(INT(Inputs!$B$44/IF(Inputs!$B$39="pvp",15,MAX(0.1,Skills!D4-IF(Skills!E4=TRUE,Inputs!$B$33,0))))+1)),0)</f>
        <v/>
      </c>
      <c r="T710">
        <f>290*T709/1000</f>
        <v/>
      </c>
    </row>
    <row r="711">
      <c r="A711">
        <f>Skills!A5</f>
        <v/>
      </c>
      <c r="B711">
        <f>Skills!B5</f>
        <v/>
      </c>
      <c r="C711">
        <f>Inputs!$B$3&gt;=40</f>
        <v/>
      </c>
      <c r="D711">
        <f>IF(Skills!C5=1,60+Inputs!$B$26+Inputs!$B$30,IF(Skills!C5=2,90+Inputs!$B$27+Inputs!$B$30,IF(Skills!C5=3,120+Inputs!$B$28+Inputs!$B$30,MAX(0,(Inputs!$B$3-100)*3)+Inputs!$B$29+Inputs!$B$30)))</f>
        <v/>
      </c>
      <c r="E711">
        <f>INDEX(FactorTable!$B$2:$Y$301, MATCH(ROUND(MIN(300,MAX(1,D711)),0), FactorTable!$A$2:$A$301,0), Skills!L5+1)</f>
        <v/>
      </c>
      <c r="F711">
        <f>IF(Skills!M5=TRUE,(Skills!K5/10)*(E711/1000),Skills!K5/10)+Skills!N5</f>
        <v/>
      </c>
      <c r="G711">
        <f>Calc!G5</f>
        <v/>
      </c>
      <c r="H711">
        <f>Calc!H5</f>
        <v/>
      </c>
      <c r="I711">
        <f>IF(Skills!T5&lt;&gt;"",1+(Skills!T5/10)*($Z$3/1000)/100,1)</f>
        <v/>
      </c>
      <c r="J711" t="inlineStr"/>
      <c r="K711" t="inlineStr"/>
      <c r="L711" t="inlineStr"/>
      <c r="M711" t="inlineStr"/>
      <c r="N711" t="inlineStr"/>
      <c r="O711" t="n">
        <v>0</v>
      </c>
      <c r="P711">
        <f>IF(B746=0,0,O711/B746)</f>
        <v/>
      </c>
      <c r="Q711">
        <f>IFERROR(1/IF(Inputs!$B$39="pvp",15,MAX(0.1,Skills!D5-IF(Skills!E5=TRUE,Inputs!$B$33,0))),0)</f>
        <v/>
      </c>
      <c r="R711">
        <f>IF(AND(Inputs!$B$39&lt;&gt;"pvp",Inputs!$B$44&gt;0),IF(Inputs!$B$44&lt;=0,0,(INT(Inputs!$B$44/IF(Inputs!$B$39="pvp",15,MAX(0.1,Skills!D5-IF(Skills!E5=TRUE,Inputs!$B$33,0))))+1)),0)</f>
        <v/>
      </c>
    </row>
    <row r="712">
      <c r="A712">
        <f>Skills!A6</f>
        <v/>
      </c>
      <c r="B712">
        <f>Skills!B6</f>
        <v/>
      </c>
      <c r="C712">
        <f>Inputs!$B$3&gt;=103</f>
        <v/>
      </c>
      <c r="D712">
        <f>IF(Skills!C6=1,60+Inputs!$B$26+Inputs!$B$30,IF(Skills!C6=2,90+Inputs!$B$27+Inputs!$B$30,IF(Skills!C6=3,120+Inputs!$B$28+Inputs!$B$30,MAX(0,(Inputs!$B$3-100)*3)+Inputs!$B$29+Inputs!$B$30)))</f>
        <v/>
      </c>
      <c r="E712">
        <f>INDEX(FactorTable!$B$2:$Y$301, MATCH(ROUND(MIN(300,MAX(1,D712)),0), FactorTable!$A$2:$A$301,0), Skills!L6+1)</f>
        <v/>
      </c>
      <c r="F712">
        <f>IF(Skills!M6=TRUE,(Skills!K6/10)*(E712/1000),Skills!K6/10)+Skills!N6</f>
        <v/>
      </c>
      <c r="G712">
        <f>Calc!G6</f>
        <v/>
      </c>
      <c r="H712">
        <f>Calc!H6</f>
        <v/>
      </c>
      <c r="I712">
        <f>IF(Skills!T6&lt;&gt;"",1+(Skills!T6/10)*($Z$3/1000)/100,1)</f>
        <v/>
      </c>
      <c r="J712">
        <f>((Inputs!$B$6*(1+Inputs!$B$7/100))+(((Inputs!$B$13*(1+Inputs!$B$14/100))-(Inputs!$B$13*(1+Inputs!$B$14/100)))+0.25*(Inputs!$B$15-Inputs!$B$15))*(1+Inputs!$B$7/100))*(F712/100)</f>
        <v/>
      </c>
      <c r="K712">
        <f>J712*(1+(((Inputs!$B$13+IF(Inputs!$B$3&gt;=35,(10*INDEX(FactorTable!$B$2:$Y$301, MATCH(ROUND(MIN(300,MAX(1,Inputs!$B$3)),0), FactorTable!$A$2:$A$301,0), 23)/1000)/100*(Inputs!$B$8*(1+(Inputs!$B$9+B744)/100)),0))*(1+Inputs!$B$14/100))*0.01+Inputs!$B$15*0.0025)/100)*(1+(Inputs!$B$16+B738)/100)*(1+IF(Inputs!$B$39="pvp",0,(1-Summary!$B$48)*(Inputs!$B$21+Skills!O6+B736)+Summary!$B$48*(Inputs!$B$22+Skills!P6+B737))/100)*(1+Inputs!$B$17/100)*(5000/(6000+Inputs!$B$43*(1-Inputs!$B$20/100)))*(1+Inputs!$B$25/100)*(1+IF(C724=TRUE,F724,0)/100)*(1+IF(C726=TRUE,F726,0)/100)*(1+IF(Skills!A6="TRIUMPH_FEATHER",IF(C722=TRUE,F722,0),0)/100)*(1+IF(C733=TRUE,F733,0)/100)^5*(1+(IF(Skills!A6="BIG_BANG",Inputs!$B$18,(Inputs!$B$19+1)))/100)*(B735*I712)</f>
        <v/>
      </c>
      <c r="L712">
        <f>K712*(MIN(Inputs!$B$23+(F728-Calc!F22),Inputs!$B$24)/100+Inputs!$B$24/100)/2</f>
        <v/>
      </c>
      <c r="M712">
        <f>L712*(1+(Inputs!$B$11+B739+(F731-Calc!F25))/100)</f>
        <v/>
      </c>
      <c r="N712">
        <f>L712*(1-MIN(Inputs!$B$10+((F730-Calc!F24)+(F729-Calc!F23)),100)/100)+M712*(MIN(Inputs!$B$10+((F730-Calc!F24)+(F729-Calc!F23)),100)/100)</f>
        <v/>
      </c>
      <c r="O712">
        <f>IF(C712,H712*N712*IF(AND(Inputs!$B$39&lt;&gt;"pvp",Inputs!$B$44&gt;0),((Skills!F6*((R712-1)*IF(Skills!G6&gt;0,Skills!H6/Skills!G6,1)+IF(Skills!G6&gt;0,MIN(Skills!H6,MAX(0,MAX(0,Inputs!$B$44-B745)-((R712-1)*IF(Inputs!$B$39="pvp",15,MAX(0.1,Skills!D6-IF(Skills!E6=TRUE,Inputs!$B$33,0))))))/Skills!G6,1)))/Inputs!$B$44),G712*Q712)*IF(Inputs!$B$39="pvp",1,(1-Summary!$B$48)*(1)+Summary!$B$48*(MIN(Skills!Q6,Inputs!$B$38))),0)</f>
        <v/>
      </c>
      <c r="P712">
        <f>IF(B746=0,0,O712/B746)</f>
        <v/>
      </c>
      <c r="Q712">
        <f>IFERROR(1/IF(Inputs!$B$39="pvp",15,MAX(0.1,Skills!D6-IF(Skills!E6=TRUE,Inputs!$B$33,0))),0)</f>
        <v/>
      </c>
      <c r="R712">
        <f>IF(AND(Inputs!$B$39&lt;&gt;"pvp",Inputs!$B$44&gt;0),IF(MAX(0,Inputs!$B$44-B745)&lt;=0,0,(INT(MAX(0,Inputs!$B$44-B745)/IF(Inputs!$B$39="pvp",15,MAX(0.1,Skills!D6-IF(Skills!E6=TRUE,Inputs!$B$33,0))))+1)),0)</f>
        <v/>
      </c>
    </row>
    <row r="713">
      <c r="A713">
        <f>Skills!A7</f>
        <v/>
      </c>
      <c r="B713">
        <f>Skills!B7</f>
        <v/>
      </c>
      <c r="C713">
        <f>Inputs!$B$3&gt;=122</f>
        <v/>
      </c>
      <c r="D713">
        <f>IF(Skills!C7=1,60+Inputs!$B$26+Inputs!$B$30,IF(Skills!C7=2,90+Inputs!$B$27+Inputs!$B$30,IF(Skills!C7=3,120+Inputs!$B$28+Inputs!$B$30,MAX(0,(Inputs!$B$3-100)*3)+Inputs!$B$29+Inputs!$B$30)))</f>
        <v/>
      </c>
      <c r="E713">
        <f>INDEX(FactorTable!$B$2:$Y$301, MATCH(ROUND(MIN(300,MAX(1,D713)),0), FactorTable!$A$2:$A$301,0), Skills!L7+1)</f>
        <v/>
      </c>
      <c r="F713">
        <f>IF(Skills!M7=TRUE,(Skills!K7/10)*(E713/1000),Skills!K7/10)+Skills!N7</f>
        <v/>
      </c>
      <c r="G713">
        <f>Calc!G7</f>
        <v/>
      </c>
      <c r="H713">
        <f>Calc!H7</f>
        <v/>
      </c>
      <c r="I713">
        <f>IF(Skills!T7&lt;&gt;"",1+(Skills!T7/10)*($Z$3/1000)/100,1)</f>
        <v/>
      </c>
      <c r="J713">
        <f>((Inputs!$B$6*(1+Inputs!$B$7/100))+(((Inputs!$B$13*(1+Inputs!$B$14/100))-(Inputs!$B$13*(1+Inputs!$B$14/100)))+0.25*(Inputs!$B$15-Inputs!$B$15))*(1+Inputs!$B$7/100))*(F713/100)</f>
        <v/>
      </c>
      <c r="K713">
        <f>J713*(1+(((Inputs!$B$13+IF(Inputs!$B$3&gt;=35,(10*INDEX(FactorTable!$B$2:$Y$301, MATCH(ROUND(MIN(300,MAX(1,Inputs!$B$3)),0), FactorTable!$A$2:$A$301,0), 23)/1000)/100*(Inputs!$B$8*(1+(Inputs!$B$9+B744)/100)),0))*(1+Inputs!$B$14/100))*0.01+Inputs!$B$15*0.0025)/100)*(1+(Inputs!$B$16+B738)/100)*(1+IF(Inputs!$B$39="pvp",0,(1-Summary!$B$48)*(Inputs!$B$21+Skills!O7+B736)+Summary!$B$48*(Inputs!$B$22+Skills!P7+B737))/100)*(1+Inputs!$B$17/100)*(5000/(6000+Inputs!$B$43*(1-Inputs!$B$20/100)))*(1+Inputs!$B$25/100)*(1+IF(C724=TRUE,F724,0)/100)*(1+IF(C726=TRUE,F726,0)/100)*(1+IF(Skills!A7="TRIUMPH_FEATHER",IF(C722=TRUE,F722,0),0)/100)*(1+IF(C733=TRUE,F733,0)/100)^5*(1+(IF(Skills!A7="BIG_BANG",Inputs!$B$18,(Inputs!$B$19+1)))/100)*(B735*I713)</f>
        <v/>
      </c>
      <c r="L713">
        <f>K713*(MIN(Inputs!$B$23+(F728-Calc!F22),Inputs!$B$24)/100+Inputs!$B$24/100)/2</f>
        <v/>
      </c>
      <c r="M713">
        <f>L713*(1+(Inputs!$B$11+B739+(F731-Calc!F25))/100)</f>
        <v/>
      </c>
      <c r="N713">
        <f>L713*(1-MIN(Inputs!$B$10+((F730-Calc!F24)+(F729-Calc!F23)),100)/100)+M713*(MIN(Inputs!$B$10+((F730-Calc!F24)+(F729-Calc!F23)),100)/100)</f>
        <v/>
      </c>
      <c r="O713">
        <f>IF(C713,H713*N713*IF(AND(Inputs!$B$39&lt;&gt;"pvp",Inputs!$B$44&gt;0),((Skills!F7*((R713-1)*IF(Skills!G7&gt;0,Skills!H7/Skills!G7,1)+IF(Skills!G7&gt;0,MIN(Skills!H7,MAX(0,MAX(0,Inputs!$B$44-B745)-((R713-1)*IF(Inputs!$B$39="pvp",15,MAX(0.1,Skills!D7-IF(Skills!E6=TRUE,Inputs!$B$33,0))))))/Skills!G7,1)))/Inputs!$B$44),G713*Q713)*(1-Summary!$B$48),0)</f>
        <v/>
      </c>
      <c r="P713">
        <f>IF(B746=0,0,O713/B746)</f>
        <v/>
      </c>
      <c r="Q713">
        <f>IFERROR(1/IF(Inputs!$B$39="pvp",15,MAX(0.1,Skills!D7-IF(Skills!E6=TRUE,Inputs!$B$33,0))),0)</f>
        <v/>
      </c>
      <c r="R713">
        <f>IF(AND(Inputs!$B$39&lt;&gt;"pvp",Inputs!$B$44&gt;0),IF(MAX(0,Inputs!$B$44-B745)&lt;=0,0,(INT(MAX(0,Inputs!$B$44-B745)/IF(Inputs!$B$39="pvp",15,MAX(0.1,Skills!D7-IF(Skills!E6=TRUE,Inputs!$B$33,0))))+1)),0)</f>
        <v/>
      </c>
    </row>
    <row r="714">
      <c r="A714">
        <f>Skills!A8</f>
        <v/>
      </c>
      <c r="B714">
        <f>Skills!B8</f>
        <v/>
      </c>
      <c r="C714">
        <f>Inputs!$B$3&gt;=105</f>
        <v/>
      </c>
      <c r="D714">
        <f>IF(Skills!C8=1,60+Inputs!$B$26+Inputs!$B$30,IF(Skills!C8=2,90+Inputs!$B$27+Inputs!$B$30,IF(Skills!C8=3,120+Inputs!$B$28+Inputs!$B$30,MAX(0,(Inputs!$B$3-100)*3)+Inputs!$B$29+Inputs!$B$30)))</f>
        <v/>
      </c>
      <c r="E714">
        <f>INDEX(FactorTable!$B$2:$Y$301, MATCH(ROUND(MIN(300,MAX(1,D714)),0), FactorTable!$A$2:$A$301,0), Skills!L8+1)</f>
        <v/>
      </c>
      <c r="F714">
        <f>IF(Skills!M8=TRUE,(Skills!K8/10)*(E714/1000),Skills!K8/10)+Skills!N8</f>
        <v/>
      </c>
      <c r="G714">
        <f>Calc!G8</f>
        <v/>
      </c>
      <c r="H714">
        <f>Calc!H8</f>
        <v/>
      </c>
      <c r="I714">
        <f>IF(Skills!T8&lt;&gt;"",1+(Skills!T8/10)*($Z$3/1000)/100,1)</f>
        <v/>
      </c>
      <c r="J714">
        <f>((Inputs!$B$6*(1+Inputs!$B$7/100))+(((Inputs!$B$13*(1+Inputs!$B$14/100))-(Inputs!$B$13*(1+Inputs!$B$14/100)))+0.25*(Inputs!$B$15-Inputs!$B$15))*(1+Inputs!$B$7/100))*(F714/100)</f>
        <v/>
      </c>
      <c r="K714">
        <f>J714*(1+(((Inputs!$B$13+IF(Inputs!$B$3&gt;=35,(10*INDEX(FactorTable!$B$2:$Y$301, MATCH(ROUND(MIN(300,MAX(1,Inputs!$B$3)),0), FactorTable!$A$2:$A$301,0), 23)/1000)/100*(Inputs!$B$8*(1+(Inputs!$B$9+B744)/100)),0))*(1+Inputs!$B$14/100))*0.01+Inputs!$B$15*0.0025)/100)*(1+(Inputs!$B$16+B738)/100)*(1+IF(Inputs!$B$39="pvp",0,(1-Summary!$B$48)*(Inputs!$B$21+Skills!O8+B736)+Summary!$B$48*(Inputs!$B$22+Skills!P8+B737))/100)*(1+Inputs!$B$17/100)*(5000/(6000+Inputs!$B$43*(1-Inputs!$B$20/100)))*(1+Inputs!$B$25/100)*(1+IF(C724=TRUE,F724,0)/100)*(1+IF(C726=TRUE,F726,0)/100)*(1+IF(Skills!A8="TRIUMPH_FEATHER",IF(C722=TRUE,F722,0),0)/100)*(1+IF(C733=TRUE,F733,0)/100)^5*(1+(IF(Skills!A8="BIG_BANG",Inputs!$B$18,(Inputs!$B$19+1)))/100)*(B735*I714)</f>
        <v/>
      </c>
      <c r="L714">
        <f>K714*(MIN(Inputs!$B$23+(F728-Calc!F22),Inputs!$B$24)/100+Inputs!$B$24/100)/2</f>
        <v/>
      </c>
      <c r="M714">
        <f>L714*(1+(Inputs!$B$11+B739+(F731-Calc!F25))/100)</f>
        <v/>
      </c>
      <c r="N714">
        <f>L714*(1-MIN(Inputs!$B$10+((F730-Calc!F24)+(F729-Calc!F23)),100)/100)+M714*(MIN(Inputs!$B$10+((F730-Calc!F24)+(F729-Calc!F23)),100)/100)</f>
        <v/>
      </c>
      <c r="O714">
        <f>IF(C714,H714*N714*IF(AND(Inputs!$B$39&lt;&gt;"pvp",Inputs!$B$44&gt;0),((Skills!F8*((R714-1)*IF(Skills!G8&gt;0,Skills!H8/Skills!G8,1)+IF(Skills!G8&gt;0,MIN(Skills!H8,MAX(0,MAX(0,Inputs!$B$44-B745)-((R714-1)*IF(Inputs!$B$39="pvp",15,MAX(0.1,Skills!D8-IF(Skills!E8=TRUE,Inputs!$B$33,0))))))/Skills!G8,1)))/Inputs!$B$44),G714*Q714)*IF(Inputs!$B$39="pvp",1,(1-Summary!$B$48)*(1)+Summary!$B$48*(MIN(Skills!Q8,Inputs!$B$38))),0)</f>
        <v/>
      </c>
      <c r="P714">
        <f>IF(B746=0,0,O714/B746)</f>
        <v/>
      </c>
      <c r="Q714">
        <f>IFERROR(1/IF(Inputs!$B$39="pvp",15,MAX(0.1,Skills!D8-IF(Skills!E8=TRUE,Inputs!$B$33,0))),0)</f>
        <v/>
      </c>
      <c r="R714">
        <f>IF(AND(Inputs!$B$39&lt;&gt;"pvp",Inputs!$B$44&gt;0),IF(MAX(0,Inputs!$B$44-B745)&lt;=0,0,(INT(MAX(0,Inputs!$B$44-B745)/IF(Inputs!$B$39="pvp",15,MAX(0.1,Skills!D8-IF(Skills!E8=TRUE,Inputs!$B$33,0))))+1)),0)</f>
        <v/>
      </c>
    </row>
    <row r="715">
      <c r="A715">
        <f>Skills!A9</f>
        <v/>
      </c>
      <c r="B715">
        <f>Skills!B9</f>
        <v/>
      </c>
      <c r="C715">
        <f>Inputs!$B$3&gt;=115</f>
        <v/>
      </c>
      <c r="D715">
        <f>IF(Skills!C9=1,60+Inputs!$B$26+Inputs!$B$30,IF(Skills!C9=2,90+Inputs!$B$27+Inputs!$B$30,IF(Skills!C9=3,120+Inputs!$B$28+Inputs!$B$30,MAX(0,(Inputs!$B$3-100)*3)+Inputs!$B$29+Inputs!$B$30)))</f>
        <v/>
      </c>
      <c r="E715">
        <f>INDEX(FactorTable!$B$2:$Y$301, MATCH(ROUND(MIN(300,MAX(1,D715)),0), FactorTable!$A$2:$A$301,0), Skills!L9+1)</f>
        <v/>
      </c>
      <c r="F715">
        <f>IF(Skills!M9=TRUE,(Skills!K9/10)*(E715/1000),Skills!K9/10)+Skills!N9</f>
        <v/>
      </c>
      <c r="G715">
        <f>Calc!G9</f>
        <v/>
      </c>
      <c r="H715">
        <f>Calc!H9</f>
        <v/>
      </c>
      <c r="I715">
        <f>IF(Skills!T9&lt;&gt;"",1+(Skills!T9/10)*($Z$3/1000)/100,1)</f>
        <v/>
      </c>
      <c r="J715">
        <f>((Inputs!$B$6*(1+Inputs!$B$7/100))+(((Inputs!$B$13*(1+Inputs!$B$14/100))-(Inputs!$B$13*(1+Inputs!$B$14/100)))+0.25*(Inputs!$B$15-Inputs!$B$15))*(1+Inputs!$B$7/100))*(F715/100)</f>
        <v/>
      </c>
      <c r="K715">
        <f>J715*(1+(((Inputs!$B$13+IF(Inputs!$B$3&gt;=35,(10*INDEX(FactorTable!$B$2:$Y$301, MATCH(ROUND(MIN(300,MAX(1,Inputs!$B$3)),0), FactorTable!$A$2:$A$301,0), 23)/1000)/100*(Inputs!$B$8*(1+(Inputs!$B$9+B744)/100)),0))*(1+Inputs!$B$14/100))*0.01+Inputs!$B$15*0.0025)/100)*(1+(Inputs!$B$16+B738)/100)*(1+IF(Inputs!$B$39="pvp",0,(1-Summary!$B$48)*(Inputs!$B$21+Skills!O9+B736)+Summary!$B$48*(Inputs!$B$22+Skills!P9+B737))/100)*(1+Inputs!$B$17/100)*(5000/(6000+Inputs!$B$43*(1-Inputs!$B$20/100)))*(1+Inputs!$B$25/100)*(1+IF(C724=TRUE,F724,0)/100)*(1+IF(C726=TRUE,F726,0)/100)*(1+IF(Skills!A9="TRIUMPH_FEATHER",IF(C722=TRUE,F722,0),0)/100)*(1+IF(C733=TRUE,F733,0)/100)^5*(1+(IF(Skills!A9="BIG_BANG",Inputs!$B$18,(Inputs!$B$19+1)))/100)*(B735*I715)</f>
        <v/>
      </c>
      <c r="L715">
        <f>K715*(MIN(Inputs!$B$23+(F728-Calc!F22),Inputs!$B$24)/100+Inputs!$B$24/100)/2</f>
        <v/>
      </c>
      <c r="M715">
        <f>L715*(1+(Inputs!$B$11+B739+(F731-Calc!F25))/100)</f>
        <v/>
      </c>
      <c r="N715">
        <f>L715*(1-MIN(Inputs!$B$10+((F730-Calc!F24)+(F729-Calc!F23)),100)/100)+M715*(MIN(Inputs!$B$10+((F730-Calc!F24)+(F729-Calc!F23)),100)/100)</f>
        <v/>
      </c>
      <c r="O715">
        <f>IF(C715,H715*N715*IF(AND(Inputs!$B$39&lt;&gt;"pvp",Inputs!$B$44&gt;0),((Skills!F9*((R715-1)*IF(Skills!G9&gt;0,Skills!H9/Skills!G9,1)+IF(Skills!G9&gt;0,MIN(Skills!H9,MAX(0,MAX(0,Inputs!$B$44-B745)-((R715-1)*IF(Inputs!$B$39="pvp",15,MAX(0.1,Skills!D9-IF(Skills!E9=TRUE,Inputs!$B$33,0))))))/Skills!G9,1)))/Inputs!$B$44),G715*Q715)*IF(Inputs!$B$39="pvp",1,(1-Summary!$B$48)*(1)+Summary!$B$48*(MIN(Skills!Q9,Inputs!$B$38))),0)</f>
        <v/>
      </c>
      <c r="P715">
        <f>IF(B746=0,0,O715/B746)</f>
        <v/>
      </c>
      <c r="Q715">
        <f>IFERROR(1/IF(Inputs!$B$39="pvp",15,MAX(0.1,Skills!D9-IF(Skills!E9=TRUE,Inputs!$B$33,0))),0)</f>
        <v/>
      </c>
      <c r="R715">
        <f>IF(AND(Inputs!$B$39&lt;&gt;"pvp",Inputs!$B$44&gt;0),IF(MAX(0,Inputs!$B$44-B745)&lt;=0,0,(INT(MAX(0,Inputs!$B$44-B745)/IF(Inputs!$B$39="pvp",15,MAX(0.1,Skills!D9-IF(Skills!E9=TRUE,Inputs!$B$33,0))))+1)),0)</f>
        <v/>
      </c>
    </row>
    <row r="716">
      <c r="A716">
        <f>Skills!A10</f>
        <v/>
      </c>
      <c r="B716">
        <f>Skills!B10</f>
        <v/>
      </c>
      <c r="C716">
        <f>Inputs!$B$3&gt;=66</f>
        <v/>
      </c>
      <c r="D716">
        <f>IF(Skills!C10=1,60+Inputs!$B$26+Inputs!$B$30,IF(Skills!C10=2,90+Inputs!$B$27+Inputs!$B$30,IF(Skills!C10=3,120+Inputs!$B$28+Inputs!$B$30,MAX(0,(Inputs!$B$3-100)*3)+Inputs!$B$29+Inputs!$B$30)))</f>
        <v/>
      </c>
      <c r="E716">
        <f>INDEX(FactorTable!$B$2:$Y$301, MATCH(ROUND(MIN(300,MAX(1,D716)),0), FactorTable!$A$2:$A$301,0), Skills!L10+1)</f>
        <v/>
      </c>
      <c r="F716" t="n">
        <v>0</v>
      </c>
      <c r="G716">
        <f>Calc!G10</f>
        <v/>
      </c>
      <c r="H716">
        <f>Calc!H10</f>
        <v/>
      </c>
      <c r="I716">
        <f>IF(Skills!T10&lt;&gt;"",1+(Skills!T10/10)*($Z$3/1000)/100,1)</f>
        <v/>
      </c>
      <c r="J716" t="inlineStr"/>
      <c r="K716" t="inlineStr"/>
      <c r="L716" t="inlineStr"/>
      <c r="M716" t="inlineStr"/>
      <c r="N716" t="inlineStr"/>
      <c r="O716" t="n">
        <v>0</v>
      </c>
      <c r="P716">
        <f>IF(B746=0,0,O716/B746)</f>
        <v/>
      </c>
      <c r="Q716">
        <f>IFERROR(1/IF(Inputs!$B$39="pvp",15,MAX(0.1,Skills!D10-IF(Skills!E10=TRUE,Inputs!$B$33,0))),0)</f>
        <v/>
      </c>
      <c r="R716">
        <f>IF(AND(Inputs!$B$39&lt;&gt;"pvp",Inputs!$B$44&gt;0),IF(MAX(0,Inputs!$B$44-B745)&lt;=0,0,(INT(MAX(0,Inputs!$B$44-B745)/IF(Inputs!$B$39="pvp",15,MAX(0.1,Skills!D10-IF(Skills!E10=TRUE,Inputs!$B$33,0))))+1)),0)</f>
        <v/>
      </c>
    </row>
    <row r="717">
      <c r="A717">
        <f>Skills!A11</f>
        <v/>
      </c>
      <c r="B717">
        <f>Skills!B11</f>
        <v/>
      </c>
      <c r="C717">
        <f>Inputs!$B$3&gt;=69</f>
        <v/>
      </c>
      <c r="D717">
        <f>IF(Skills!C11=1,60+Inputs!$B$26+Inputs!$B$30,IF(Skills!C11=2,90+Inputs!$B$27+Inputs!$B$30,IF(Skills!C11=3,120+Inputs!$B$28+Inputs!$B$30,MAX(0,(Inputs!$B$3-100)*3)+Inputs!$B$29+Inputs!$B$30)))</f>
        <v/>
      </c>
      <c r="E717">
        <f>INDEX(FactorTable!$B$2:$Y$301, MATCH(ROUND(MIN(300,MAX(1,D717)),0), FactorTable!$A$2:$A$301,0), Skills!L11+1)</f>
        <v/>
      </c>
      <c r="F717">
        <f>IF(Skills!M11=TRUE,(Skills!K11/10)*(E717/1000),Skills!K11/10)+Skills!N11</f>
        <v/>
      </c>
      <c r="G717">
        <f>Calc!G11</f>
        <v/>
      </c>
      <c r="H717">
        <f>Calc!H11</f>
        <v/>
      </c>
      <c r="I717">
        <f>IF(Skills!T11&lt;&gt;"",1+(Skills!T11/10)*($Z$3/1000)/100,1)</f>
        <v/>
      </c>
      <c r="J717" t="inlineStr"/>
      <c r="K717" t="inlineStr"/>
      <c r="L717" t="inlineStr"/>
      <c r="M717" t="inlineStr"/>
      <c r="N717" t="inlineStr"/>
      <c r="O717" t="n">
        <v>0</v>
      </c>
      <c r="P717">
        <f>IF(B746=0,0,O717/B746)</f>
        <v/>
      </c>
      <c r="Q717">
        <f>IFERROR(1/IF(Inputs!$B$39="pvp",15,MAX(0.1,Skills!D11-IF(Skills!E11=TRUE,Inputs!$B$33,0))),0)</f>
        <v/>
      </c>
      <c r="R717">
        <f>IF(AND(Inputs!$B$39&lt;&gt;"pvp",Inputs!$B$44&gt;0),IF(Inputs!$B$44&lt;=0,0,(INT(Inputs!$B$44/IF(Inputs!$B$39="pvp",15,MAX(0.1,Skills!D11-IF(Skills!E11=TRUE,Inputs!$B$33,0))))+1)),0)</f>
        <v/>
      </c>
    </row>
    <row r="718">
      <c r="A718">
        <f>Skills!A12</f>
        <v/>
      </c>
      <c r="B718">
        <f>Skills!B12</f>
        <v/>
      </c>
      <c r="C718">
        <f>Inputs!$B$3&gt;=72</f>
        <v/>
      </c>
      <c r="D718">
        <f>IF(Skills!C12=1,60+Inputs!$B$26+Inputs!$B$30,IF(Skills!C12=2,90+Inputs!$B$27+Inputs!$B$30,IF(Skills!C12=3,120+Inputs!$B$28+Inputs!$B$30,MAX(0,(Inputs!$B$3-100)*3)+Inputs!$B$29+Inputs!$B$30)))</f>
        <v/>
      </c>
      <c r="E718">
        <f>INDEX(FactorTable!$B$2:$Y$301, MATCH(ROUND(MIN(300,MAX(1,D718)),0), FactorTable!$A$2:$A$301,0), Skills!L12+1)</f>
        <v/>
      </c>
      <c r="F718">
        <f>IF(Skills!M12=TRUE,(Skills!K12/10)*(E718/1000),Skills!K12/10)+Skills!N12</f>
        <v/>
      </c>
      <c r="G718">
        <f>Calc!G12</f>
        <v/>
      </c>
      <c r="H718">
        <f>Calc!H12</f>
        <v/>
      </c>
      <c r="I718">
        <f>IF(Skills!T12&lt;&gt;"",1+(Skills!T12/10)*($Z$3/1000)/100,1)</f>
        <v/>
      </c>
      <c r="J718" t="inlineStr"/>
      <c r="K718" t="inlineStr"/>
      <c r="L718" t="inlineStr"/>
      <c r="M718" t="inlineStr"/>
      <c r="N718" t="inlineStr"/>
      <c r="O718" t="n">
        <v>0</v>
      </c>
      <c r="P718">
        <f>IF(B746=0,0,O718/B746)</f>
        <v/>
      </c>
      <c r="Q718">
        <f>IFERROR(1/IF(Inputs!$B$39="pvp",15,MAX(0.1,Skills!D12-IF(Skills!E12=TRUE,Inputs!$B$33,0))),0)</f>
        <v/>
      </c>
      <c r="R718">
        <f>IF(AND(Inputs!$B$39&lt;&gt;"pvp",Inputs!$B$44&gt;0),IF(MAX(0,Inputs!$B$44-B745)&lt;=0,0,(INT(MAX(0,Inputs!$B$44-B745)/IF(Inputs!$B$39="pvp",15,MAX(0.1,Skills!D12-IF(Skills!E12=TRUE,Inputs!$B$33,0))))+1)),0)</f>
        <v/>
      </c>
    </row>
    <row r="719">
      <c r="A719">
        <f>Skills!A13</f>
        <v/>
      </c>
      <c r="B719">
        <f>Skills!B13</f>
        <v/>
      </c>
      <c r="C719">
        <f>Inputs!$B$3&gt;=60</f>
        <v/>
      </c>
      <c r="D719">
        <f>IF(Skills!C13=1,60+Inputs!$B$26+Inputs!$B$30,IF(Skills!C13=2,90+Inputs!$B$27+Inputs!$B$30,IF(Skills!C13=3,120+Inputs!$B$28+Inputs!$B$30,MAX(0,(Inputs!$B$3-100)*3)+Inputs!$B$29+Inputs!$B$30)))</f>
        <v/>
      </c>
      <c r="E719">
        <f>INDEX(FactorTable!$B$2:$Y$301, MATCH(ROUND(MIN(300,MAX(1,D719)),0), FactorTable!$A$2:$A$301,0), Skills!L13+1)</f>
        <v/>
      </c>
      <c r="F719">
        <f>IF(Skills!M13=TRUE,(Skills!K13/10)*(E719/1000),Skills!K13/10)+Skills!N13</f>
        <v/>
      </c>
      <c r="G719">
        <f>Calc!G13</f>
        <v/>
      </c>
      <c r="H719">
        <f>Calc!H13</f>
        <v/>
      </c>
      <c r="I719">
        <f>IF(Skills!T13&lt;&gt;"",1+(Skills!T13/10)*($Z$3/1000)/100,1)</f>
        <v/>
      </c>
      <c r="J719" t="inlineStr"/>
      <c r="K719" t="inlineStr"/>
      <c r="L719" t="inlineStr"/>
      <c r="M719" t="inlineStr"/>
      <c r="N719" t="inlineStr"/>
      <c r="O719" t="n">
        <v>0</v>
      </c>
      <c r="P719">
        <f>IF(B746=0,0,O719/B746)</f>
        <v/>
      </c>
      <c r="Q719">
        <f>IFERROR(1/IF(Inputs!$B$39="pvp",15,MAX(0.1,Skills!D13-IF(Skills!E13=TRUE,Inputs!$B$33,0))),0)</f>
        <v/>
      </c>
      <c r="R719">
        <f>IF(AND(Inputs!$B$39&lt;&gt;"pvp",Inputs!$B$44&gt;0),IF(MAX(0,Inputs!$B$44-B745)&lt;=0,0,(INT(MAX(0,Inputs!$B$44-B745)/IF(Inputs!$B$39="pvp",15,MAX(0.1,Skills!D13-IF(Skills!E13=TRUE,Inputs!$B$33,0))))+1)),0)</f>
        <v/>
      </c>
    </row>
    <row r="720">
      <c r="A720">
        <f>Skills!A14</f>
        <v/>
      </c>
      <c r="B720">
        <f>Skills!B14</f>
        <v/>
      </c>
      <c r="C720">
        <f>Inputs!$B$3&gt;=107</f>
        <v/>
      </c>
      <c r="D720">
        <f>IF(Skills!C14=1,60+Inputs!$B$26+Inputs!$B$30,IF(Skills!C14=2,90+Inputs!$B$27+Inputs!$B$30,IF(Skills!C14=3,120+Inputs!$B$28+Inputs!$B$30,MAX(0,(Inputs!$B$3-100)*3)+Inputs!$B$29+Inputs!$B$30)))</f>
        <v/>
      </c>
      <c r="E720">
        <f>INDEX(FactorTable!$B$2:$Y$301, MATCH(ROUND(MIN(300,MAX(1,D720)),0), FactorTable!$A$2:$A$301,0), Skills!L14+1)</f>
        <v/>
      </c>
      <c r="F720">
        <f>IF(Skills!M14=TRUE,(Skills!K14/10)*(E720/1000),Skills!K14/10)+Skills!N14</f>
        <v/>
      </c>
      <c r="G720">
        <f>Calc!G14</f>
        <v/>
      </c>
      <c r="H720">
        <f>Calc!H14</f>
        <v/>
      </c>
      <c r="I720">
        <f>IF(Skills!T14&lt;&gt;"",1+(Skills!T14/10)*($Z$3/1000)/100,1)</f>
        <v/>
      </c>
      <c r="J720" t="inlineStr"/>
      <c r="K720" t="inlineStr"/>
      <c r="L720" t="inlineStr"/>
      <c r="M720" t="inlineStr"/>
      <c r="N720" t="inlineStr"/>
      <c r="O720" t="n">
        <v>0</v>
      </c>
      <c r="P720">
        <f>IF(B746=0,0,O720/B746)</f>
        <v/>
      </c>
      <c r="Q720">
        <f>IFERROR(1/IF(Inputs!$B$39="pvp",15,MAX(0.1,Skills!D14-IF(Skills!E14=TRUE,Inputs!$B$33,0))),0)</f>
        <v/>
      </c>
      <c r="R720">
        <f>IF(AND(Inputs!$B$39&lt;&gt;"pvp",Inputs!$B$44&gt;0),IF(Inputs!$B$44&lt;=0,0,(INT(Inputs!$B$44/IF(Inputs!$B$39="pvp",15,MAX(0.1,Skills!D14-IF(Skills!E14=TRUE,Inputs!$B$33,0))))+1)),0)</f>
        <v/>
      </c>
    </row>
    <row r="721">
      <c r="A721">
        <f>Skills!A15</f>
        <v/>
      </c>
      <c r="B721">
        <f>Skills!B15</f>
        <v/>
      </c>
      <c r="C721">
        <f>Inputs!$B$3&gt;=63</f>
        <v/>
      </c>
      <c r="D721">
        <f>IF(Skills!C15=1,60+Inputs!$B$26+Inputs!$B$30,IF(Skills!C15=2,90+Inputs!$B$27+Inputs!$B$30,IF(Skills!C15=3,120+Inputs!$B$28+Inputs!$B$30,MAX(0,(Inputs!$B$3-100)*3)+Inputs!$B$29+Inputs!$B$30)))</f>
        <v/>
      </c>
      <c r="E721">
        <f>INDEX(FactorTable!$B$2:$Y$301, MATCH(ROUND(MIN(300,MAX(1,D721)),0), FactorTable!$A$2:$A$301,0), Skills!L15+1)</f>
        <v/>
      </c>
      <c r="F721">
        <f>IF(Skills!M15=TRUE,(Skills!K15/10)*(E721/1000),Skills!K15/10)+Skills!N15</f>
        <v/>
      </c>
      <c r="G721">
        <f>Calc!G15</f>
        <v/>
      </c>
      <c r="H721">
        <f>Calc!H15</f>
        <v/>
      </c>
      <c r="I721">
        <f>IF(Skills!T15&lt;&gt;"",1+(Skills!T15/10)*($Z$3/1000)/100,1)</f>
        <v/>
      </c>
      <c r="J721">
        <f>((Inputs!$B$6*(1+Inputs!$B$7/100))+(((Inputs!$B$13*(1+Inputs!$B$14/100))-(Inputs!$B$13*(1+Inputs!$B$14/100)))+0.25*(Inputs!$B$15-Inputs!$B$15))*(1+Inputs!$B$7/100))*(F721/100)</f>
        <v/>
      </c>
      <c r="K721">
        <f>J721*(1+(((Inputs!$B$13+IF(Inputs!$B$3&gt;=35,(10*INDEX(FactorTable!$B$2:$Y$301, MATCH(ROUND(MIN(300,MAX(1,Inputs!$B$3)),0), FactorTable!$A$2:$A$301,0), 23)/1000)/100*(Inputs!$B$8*(1+(Inputs!$B$9+B744)/100)),0))*(1+Inputs!$B$14/100))*0.01+Inputs!$B$15*0.0025)/100)*(1+(Inputs!$B$16+B738)/100)*(1+IF(Inputs!$B$39="pvp",0,(1-Summary!$B$48)*(Inputs!$B$21+Skills!O15+B736)+Summary!$B$48*(Inputs!$B$22+Skills!P15+B737))/100)*(1+Inputs!$B$17/100)*(5000/(6000+Inputs!$B$43*(1-Inputs!$B$20/100)))*(1+Inputs!$B$25/100)*(1+IF(C724=TRUE,F724,0)/100)*(1+IF(C726=TRUE,F726,0)/100)*(1+IF(Skills!A15="TRIUMPH_FEATHER",IF(C722=TRUE,F722,0),0)/100)*(1+IF(C733=TRUE,F733,0)/100)^5*(1+(IF(Skills!A15="BIG_BANG",Inputs!$B$18,(Inputs!$B$19+1)))/100)*(B735*I721)</f>
        <v/>
      </c>
      <c r="L721">
        <f>K721*(MIN(Inputs!$B$23+(F728-Calc!F22),Inputs!$B$24)/100+Inputs!$B$24/100)/2</f>
        <v/>
      </c>
      <c r="M721">
        <f>L721*(1+(Inputs!$B$11+B739+(F731-Calc!F25))/100)</f>
        <v/>
      </c>
      <c r="N721">
        <f>L721*(1-MIN(Inputs!$B$10+((F730-Calc!F24)+(F729-Calc!F23)),100)/100)+M721*(MIN(Inputs!$B$10+((F730-Calc!F24)+(F729-Calc!F23)),100)/100)</f>
        <v/>
      </c>
      <c r="O721">
        <f>IF(C721,Skills!F15*N721*((IF(Inputs!$B$3&gt;=78,25,15)/100*B741*10)/(1+IF(Inputs!$B$3&gt;=78,25,15)/100*B741*10))*(Skills!I15/100*B741)/(1+Skills!G15*Skills!I15/100*B741)*IF(Inputs!$B$39="pvp",1,(1-Summary!$B$48)*(1)+Summary!$B$48*(MIN(Skills!Q15,Inputs!$B$38))),0)</f>
        <v/>
      </c>
      <c r="P721">
        <f>IF(B746=0,0,O721/B746)</f>
        <v/>
      </c>
      <c r="Q721">
        <f>IFERROR(1/IF(Inputs!$B$39="pvp",15,MAX(0.1,Skills!D15-IF(Skills!E15=TRUE,Inputs!$B$33,0))),0)</f>
        <v/>
      </c>
      <c r="R721" t="n">
        <v>0</v>
      </c>
    </row>
    <row r="722">
      <c r="A722">
        <f>Skills!A16</f>
        <v/>
      </c>
      <c r="B722">
        <f>Skills!B16</f>
        <v/>
      </c>
      <c r="C722">
        <f>Inputs!$B$3&gt;=100</f>
        <v/>
      </c>
      <c r="D722">
        <f>IF(Skills!C16=1,60+Inputs!$B$26+Inputs!$B$30,IF(Skills!C16=2,90+Inputs!$B$27+Inputs!$B$30,IF(Skills!C16=3,120+Inputs!$B$28+Inputs!$B$30,MAX(0,(Inputs!$B$3-100)*3)+Inputs!$B$29+Inputs!$B$30)))</f>
        <v/>
      </c>
      <c r="E722">
        <f>INDEX(FactorTable!$B$2:$Y$301, MATCH(ROUND(MIN(300,MAX(1,D722)),0), FactorTable!$A$2:$A$301,0), Skills!L16+1)</f>
        <v/>
      </c>
      <c r="F722">
        <f>IF(Skills!M16=TRUE,(Skills!K16/10)*(E722/1000),Skills!K16/10)+Skills!N16</f>
        <v/>
      </c>
      <c r="G722">
        <f>Calc!G16</f>
        <v/>
      </c>
      <c r="H722">
        <f>Calc!H16</f>
        <v/>
      </c>
      <c r="I722">
        <f>IF(Skills!T16&lt;&gt;"",1+(Skills!T16/10)*($Z$3/1000)/100,1)</f>
        <v/>
      </c>
      <c r="J722" t="inlineStr"/>
      <c r="K722" t="inlineStr"/>
      <c r="L722" t="inlineStr"/>
      <c r="M722" t="inlineStr"/>
      <c r="N722" t="inlineStr"/>
      <c r="O722" t="n">
        <v>0</v>
      </c>
      <c r="P722">
        <f>IF(B746=0,0,O722/B746)</f>
        <v/>
      </c>
      <c r="Q722">
        <f>IFERROR(1/IF(Inputs!$B$39="pvp",15,MAX(0.1,Skills!D16-IF(Skills!E16=TRUE,Inputs!$B$33,0))),0)</f>
        <v/>
      </c>
      <c r="R722" t="n">
        <v>0</v>
      </c>
    </row>
    <row r="723">
      <c r="A723">
        <f>Skills!A17</f>
        <v/>
      </c>
      <c r="B723">
        <f>Skills!B17</f>
        <v/>
      </c>
      <c r="C723">
        <f>Inputs!$B$3&gt;=49</f>
        <v/>
      </c>
      <c r="D723">
        <f>IF(Skills!C17=1,60+Inputs!$B$26+Inputs!$B$30,IF(Skills!C17=2,90+Inputs!$B$27+Inputs!$B$30,IF(Skills!C17=3,120+Inputs!$B$28+Inputs!$B$30,MAX(0,(Inputs!$B$3-100)*3)+Inputs!$B$29+Inputs!$B$30)))</f>
        <v/>
      </c>
      <c r="E723">
        <f>INDEX(FactorTable!$B$2:$Y$301, MATCH(ROUND(MIN(300,MAX(1,D723)),0), FactorTable!$A$2:$A$301,0), Skills!L17+1)</f>
        <v/>
      </c>
      <c r="F723">
        <f>IF(Skills!M17=TRUE,(Skills!K17/10)*(E723/1000),Skills!K17/10)+Skills!N17</f>
        <v/>
      </c>
      <c r="G723">
        <f>Calc!G17</f>
        <v/>
      </c>
      <c r="H723">
        <f>Calc!H17</f>
        <v/>
      </c>
      <c r="I723">
        <f>IF(Skills!T17&lt;&gt;"",1+(Skills!T17/10)*($Z$3/1000)/100,1)</f>
        <v/>
      </c>
      <c r="J723" t="inlineStr"/>
      <c r="K723" t="inlineStr"/>
      <c r="L723" t="inlineStr"/>
      <c r="M723" t="inlineStr"/>
      <c r="N723" t="inlineStr"/>
      <c r="O723" t="n">
        <v>0</v>
      </c>
      <c r="P723">
        <f>IF(B746=0,0,O723/B746)</f>
        <v/>
      </c>
      <c r="Q723">
        <f>IFERROR(1/IF(Inputs!$B$39="pvp",15,MAX(0.1,Skills!D17-IF(Skills!E17=TRUE,Inputs!$B$33,0))),0)</f>
        <v/>
      </c>
      <c r="R723" t="n">
        <v>0</v>
      </c>
    </row>
    <row r="724">
      <c r="A724">
        <f>Skills!A18</f>
        <v/>
      </c>
      <c r="B724">
        <f>Skills!B18</f>
        <v/>
      </c>
      <c r="C724">
        <f>Inputs!$B$3&gt;=75</f>
        <v/>
      </c>
      <c r="D724">
        <f>IF(Skills!C18=1,60+Inputs!$B$26+Inputs!$B$30,IF(Skills!C18=2,90+Inputs!$B$27+Inputs!$B$30,IF(Skills!C18=3,120+Inputs!$B$28+Inputs!$B$30,MAX(0,(Inputs!$B$3-100)*3)+Inputs!$B$29+Inputs!$B$30)))</f>
        <v/>
      </c>
      <c r="E724">
        <f>INDEX(FactorTable!$B$2:$Y$301, MATCH(ROUND(MIN(300,MAX(1,D724)),0), FactorTable!$A$2:$A$301,0), Skills!L18+1)</f>
        <v/>
      </c>
      <c r="F724">
        <f>IF(Skills!M18=TRUE,(Skills!K18/10)*(E724/1000),Skills!K18/10)+Skills!N18</f>
        <v/>
      </c>
      <c r="G724">
        <f>Calc!G18</f>
        <v/>
      </c>
      <c r="H724">
        <f>Calc!H18</f>
        <v/>
      </c>
      <c r="I724">
        <f>IF(Skills!T18&lt;&gt;"",1+(Skills!T18/10)*($Z$3/1000)/100,1)</f>
        <v/>
      </c>
      <c r="J724" t="inlineStr"/>
      <c r="K724" t="inlineStr"/>
      <c r="L724" t="inlineStr"/>
      <c r="M724" t="inlineStr"/>
      <c r="N724" t="inlineStr"/>
      <c r="O724" t="n">
        <v>0</v>
      </c>
      <c r="P724">
        <f>IF(B746=0,0,O724/B746)</f>
        <v/>
      </c>
      <c r="Q724">
        <f>IFERROR(1/IF(Inputs!$B$39="pvp",15,MAX(0.1,Skills!D18-IF(Skills!E18=TRUE,Inputs!$B$33,0))),0)</f>
        <v/>
      </c>
      <c r="R724" t="n">
        <v>0</v>
      </c>
    </row>
    <row r="725">
      <c r="A725">
        <f>Skills!A19</f>
        <v/>
      </c>
      <c r="B725">
        <f>Skills!B19</f>
        <v/>
      </c>
      <c r="C725">
        <f>Inputs!$B$3&gt;=110</f>
        <v/>
      </c>
      <c r="D725">
        <f>IF(Skills!C19=1,60+Inputs!$B$26+Inputs!$B$30,IF(Skills!C19=2,90+Inputs!$B$27+Inputs!$B$30,IF(Skills!C19=3,120+Inputs!$B$28+Inputs!$B$30,MAX(0,(Inputs!$B$3-100)*3)+Inputs!$B$29+Inputs!$B$30)))</f>
        <v/>
      </c>
      <c r="E725">
        <f>INDEX(FactorTable!$B$2:$Y$301, MATCH(ROUND(MIN(300,MAX(1,D725)),0), FactorTable!$A$2:$A$301,0), Skills!L19+1)</f>
        <v/>
      </c>
      <c r="F725">
        <f>(Skills!K19/10)*(E725/1000)*64/45+Skills!N19</f>
        <v/>
      </c>
      <c r="G725">
        <f>Calc!G19</f>
        <v/>
      </c>
      <c r="H725">
        <f>Calc!H19</f>
        <v/>
      </c>
      <c r="I725">
        <f>IF(Skills!T19&lt;&gt;"",1+(Skills!T19/10)*($Z$3/1000)/100,1)</f>
        <v/>
      </c>
      <c r="J725" t="inlineStr"/>
      <c r="K725" t="inlineStr"/>
      <c r="L725" t="inlineStr"/>
      <c r="M725" t="inlineStr"/>
      <c r="N725" t="inlineStr"/>
      <c r="O725" t="n">
        <v>0</v>
      </c>
      <c r="P725">
        <f>IF(B746=0,0,O725/B746)</f>
        <v/>
      </c>
      <c r="Q725">
        <f>IFERROR(1/IF(Inputs!$B$39="pvp",15,MAX(0.1,Skills!D19-IF(Skills!E19=TRUE,Inputs!$B$33,0))),0)</f>
        <v/>
      </c>
      <c r="R725">
        <f>IF(AND(Inputs!$B$39&lt;&gt;"pvp",Inputs!$B$44&gt;0),IF(Inputs!$B$44&lt;=0,0,(INT(Inputs!$B$44/IF(Inputs!$B$39="pvp",15,MAX(0.1,Skills!D19-IF(Skills!E19=TRUE,Inputs!$B$33,0))))+1)),0)</f>
        <v/>
      </c>
    </row>
    <row r="726">
      <c r="A726">
        <f>Skills!A20</f>
        <v/>
      </c>
      <c r="B726">
        <f>Skills!B20</f>
        <v/>
      </c>
      <c r="C726">
        <f>Inputs!$B$3&gt;=125</f>
        <v/>
      </c>
      <c r="D726">
        <f>IF(Skills!C20=1,60+Inputs!$B$26+Inputs!$B$30,IF(Skills!C20=2,90+Inputs!$B$27+Inputs!$B$30,IF(Skills!C20=3,120+Inputs!$B$28+Inputs!$B$30,MAX(0,(Inputs!$B$3-100)*3)+Inputs!$B$29+Inputs!$B$30)))</f>
        <v/>
      </c>
      <c r="E726">
        <f>INDEX(FactorTable!$B$2:$Y$301, MATCH(ROUND(MIN(300,MAX(1,D726)),0), FactorTable!$A$2:$A$301,0), Skills!L20+1)</f>
        <v/>
      </c>
      <c r="F726">
        <f>IF(Skills!M20=TRUE,(Skills!K20/10)*(E726/1000),Skills!K20/10)+Skills!N20</f>
        <v/>
      </c>
      <c r="G726">
        <f>Calc!G20</f>
        <v/>
      </c>
      <c r="H726">
        <f>Calc!H20</f>
        <v/>
      </c>
      <c r="I726">
        <f>IF(Skills!T20&lt;&gt;"",1+(Skills!T20/10)*($Z$3/1000)/100,1)</f>
        <v/>
      </c>
      <c r="J726" t="inlineStr"/>
      <c r="K726" t="inlineStr"/>
      <c r="L726" t="inlineStr"/>
      <c r="M726" t="inlineStr"/>
      <c r="N726" t="inlineStr"/>
      <c r="O726" t="n">
        <v>0</v>
      </c>
      <c r="P726">
        <f>IF(B746=0,0,O726/B746)</f>
        <v/>
      </c>
      <c r="Q726">
        <f>IFERROR(1/IF(Inputs!$B$39="pvp",15,MAX(0.1,Skills!D20-IF(Skills!E20=TRUE,Inputs!$B$33,0))),0)</f>
        <v/>
      </c>
      <c r="R726" t="n">
        <v>0</v>
      </c>
    </row>
    <row r="727">
      <c r="A727">
        <f>Skills!A21</f>
        <v/>
      </c>
      <c r="B727">
        <f>Skills!B21</f>
        <v/>
      </c>
      <c r="C727">
        <f>Inputs!$B$3&gt;=33</f>
        <v/>
      </c>
      <c r="D727">
        <f>IF(Skills!C21=1,60+Inputs!$B$26+Inputs!$B$30,IF(Skills!C21=2,90+Inputs!$B$27+Inputs!$B$30,IF(Skills!C21=3,120+Inputs!$B$28+Inputs!$B$30,MAX(0,(Inputs!$B$3-100)*3)+Inputs!$B$29+Inputs!$B$30)))</f>
        <v/>
      </c>
      <c r="E727">
        <f>INDEX(FactorTable!$B$2:$Y$301, MATCH(ROUND(MIN(300,MAX(1,D727)),0), FactorTable!$A$2:$A$301,0), Skills!L21+1)</f>
        <v/>
      </c>
      <c r="F727">
        <f>IF(Skills!M21=TRUE,(Skills!K21/10)*(E727/1000),Skills!K21/10)+Skills!N21</f>
        <v/>
      </c>
      <c r="G727">
        <f>Calc!G21</f>
        <v/>
      </c>
      <c r="H727">
        <f>Calc!H21</f>
        <v/>
      </c>
      <c r="I727">
        <f>IF(Skills!T21&lt;&gt;"",1+(Skills!T21/10)*($Z$3/1000)/100,1)</f>
        <v/>
      </c>
      <c r="J727" t="inlineStr"/>
      <c r="K727" t="inlineStr"/>
      <c r="L727" t="inlineStr"/>
      <c r="M727" t="inlineStr"/>
      <c r="N727" t="inlineStr"/>
      <c r="O727" t="n">
        <v>0</v>
      </c>
      <c r="P727">
        <f>IF(B746=0,0,O727/B746)</f>
        <v/>
      </c>
      <c r="Q727">
        <f>IFERROR(1/IF(Inputs!$B$39="pvp",15,MAX(0.1,Skills!D21-IF(Skills!E21=TRUE,Inputs!$B$33,0))),0)</f>
        <v/>
      </c>
      <c r="R727" t="n">
        <v>0</v>
      </c>
    </row>
    <row r="728">
      <c r="A728">
        <f>Skills!A22</f>
        <v/>
      </c>
      <c r="B728">
        <f>Skills!B22</f>
        <v/>
      </c>
      <c r="C728">
        <f>Inputs!$B$3&gt;=43</f>
        <v/>
      </c>
      <c r="D728">
        <f>IF(Skills!C22=1,60+Inputs!$B$26+Inputs!$B$30,IF(Skills!C22=2,90+Inputs!$B$27+Inputs!$B$30,IF(Skills!C22=3,120+Inputs!$B$28+Inputs!$B$30,MAX(0,(Inputs!$B$3-100)*3)+Inputs!$B$29+Inputs!$B$30)))</f>
        <v/>
      </c>
      <c r="E728">
        <f>INDEX(FactorTable!$B$2:$Y$301, MATCH(ROUND(MIN(300,MAX(1,D728)),0), FactorTable!$A$2:$A$301,0), Skills!L22+1)</f>
        <v/>
      </c>
      <c r="F728">
        <f>IF(Skills!M22=TRUE,(Skills!K22/10)*(E728/1000),Skills!K22/10)+Skills!N22</f>
        <v/>
      </c>
      <c r="G728">
        <f>Calc!G22</f>
        <v/>
      </c>
      <c r="H728">
        <f>Calc!H22</f>
        <v/>
      </c>
      <c r="I728">
        <f>IF(Skills!T22&lt;&gt;"",1+(Skills!T22/10)*($Z$3/1000)/100,1)</f>
        <v/>
      </c>
      <c r="J728" t="inlineStr"/>
      <c r="K728" t="inlineStr"/>
      <c r="L728" t="inlineStr"/>
      <c r="M728" t="inlineStr"/>
      <c r="N728" t="inlineStr"/>
      <c r="O728" t="n">
        <v>0</v>
      </c>
      <c r="P728">
        <f>IF(B746=0,0,O728/B746)</f>
        <v/>
      </c>
      <c r="Q728">
        <f>IFERROR(1/IF(Inputs!$B$39="pvp",15,MAX(0.1,Skills!D22-IF(Skills!E22=TRUE,Inputs!$B$33,0))),0)</f>
        <v/>
      </c>
      <c r="R728" t="n">
        <v>0</v>
      </c>
    </row>
    <row r="729">
      <c r="A729">
        <f>Skills!A23</f>
        <v/>
      </c>
      <c r="B729">
        <f>Skills!B23</f>
        <v/>
      </c>
      <c r="C729">
        <f>Inputs!$B$3&gt;=50</f>
        <v/>
      </c>
      <c r="D729">
        <f>IF(Skills!C23=1,60+Inputs!$B$26+Inputs!$B$30,IF(Skills!C23=2,90+Inputs!$B$27+Inputs!$B$30,IF(Skills!C23=3,120+Inputs!$B$28+Inputs!$B$30,MAX(0,(Inputs!$B$3-100)*3)+Inputs!$B$29+Inputs!$B$30)))</f>
        <v/>
      </c>
      <c r="E729">
        <f>INDEX(FactorTable!$B$2:$Y$301, MATCH(ROUND(MIN(300,MAX(1,D729)),0), FactorTable!$A$2:$A$301,0), Skills!L23+1)</f>
        <v/>
      </c>
      <c r="F729">
        <f>IF(Skills!M23=TRUE,(Skills!K23/10)*(E729/1000),Skills!K23/10)+Skills!N23</f>
        <v/>
      </c>
      <c r="G729">
        <f>Calc!G23</f>
        <v/>
      </c>
      <c r="H729">
        <f>Calc!H23</f>
        <v/>
      </c>
      <c r="I729">
        <f>IF(Skills!T23&lt;&gt;"",1+(Skills!T23/10)*($Z$3/1000)/100,1)</f>
        <v/>
      </c>
      <c r="J729" t="inlineStr"/>
      <c r="K729" t="inlineStr"/>
      <c r="L729" t="inlineStr"/>
      <c r="M729" t="inlineStr"/>
      <c r="N729" t="inlineStr"/>
      <c r="O729" t="n">
        <v>0</v>
      </c>
      <c r="P729">
        <f>IF(B746=0,0,O729/B746)</f>
        <v/>
      </c>
      <c r="Q729">
        <f>IFERROR(1/IF(Inputs!$B$39="pvp",15,MAX(0.1,Skills!D23-IF(Skills!E23=TRUE,Inputs!$B$33,0))),0)</f>
        <v/>
      </c>
      <c r="R729" t="n">
        <v>0</v>
      </c>
    </row>
    <row r="730">
      <c r="A730">
        <f>Skills!A24</f>
        <v/>
      </c>
      <c r="B730">
        <f>Skills!B24</f>
        <v/>
      </c>
      <c r="C730">
        <f>Inputs!$B$3&gt;=74</f>
        <v/>
      </c>
      <c r="D730">
        <f>IF(Skills!C24=1,60+Inputs!$B$26+Inputs!$B$30,IF(Skills!C24=2,90+Inputs!$B$27+Inputs!$B$30,IF(Skills!C24=3,120+Inputs!$B$28+Inputs!$B$30,MAX(0,(Inputs!$B$3-100)*3)+Inputs!$B$29+Inputs!$B$30)))</f>
        <v/>
      </c>
      <c r="E730">
        <f>INDEX(FactorTable!$B$2:$Y$301, MATCH(ROUND(MIN(300,MAX(1,D730)),0), FactorTable!$A$2:$A$301,0), Skills!L24+1)</f>
        <v/>
      </c>
      <c r="F730">
        <f>IF(Skills!M24=TRUE,(Skills!K24/10)*(E730/1000),Skills!K24/10)+Skills!N24</f>
        <v/>
      </c>
      <c r="G730">
        <f>Calc!G24</f>
        <v/>
      </c>
      <c r="H730">
        <f>Calc!H24</f>
        <v/>
      </c>
      <c r="I730">
        <f>IF(Skills!T24&lt;&gt;"",1+(Skills!T24/10)*($Z$3/1000)/100,1)</f>
        <v/>
      </c>
      <c r="J730" t="inlineStr"/>
      <c r="K730" t="inlineStr"/>
      <c r="L730" t="inlineStr"/>
      <c r="M730" t="inlineStr"/>
      <c r="N730" t="inlineStr"/>
      <c r="O730" t="n">
        <v>0</v>
      </c>
      <c r="P730">
        <f>IF(B746=0,0,O730/B746)</f>
        <v/>
      </c>
      <c r="Q730">
        <f>IFERROR(1/IF(Inputs!$B$39="pvp",15,MAX(0.1,Skills!D24-IF(Skills!E24=TRUE,Inputs!$B$33,0))),0)</f>
        <v/>
      </c>
      <c r="R730" t="n">
        <v>0</v>
      </c>
    </row>
    <row r="731">
      <c r="A731">
        <f>Skills!A25</f>
        <v/>
      </c>
      <c r="B731">
        <f>Skills!B25</f>
        <v/>
      </c>
      <c r="C731">
        <f>Inputs!$B$3&gt;=74</f>
        <v/>
      </c>
      <c r="D731">
        <f>IF(Skills!C25=1,60+Inputs!$B$26+Inputs!$B$30,IF(Skills!C25=2,90+Inputs!$B$27+Inputs!$B$30,IF(Skills!C25=3,120+Inputs!$B$28+Inputs!$B$30,MAX(0,(Inputs!$B$3-100)*3)+Inputs!$B$29+Inputs!$B$30)))</f>
        <v/>
      </c>
      <c r="E731">
        <f>INDEX(FactorTable!$B$2:$Y$301, MATCH(ROUND(MIN(300,MAX(1,D731)),0), FactorTable!$A$2:$A$301,0), Skills!L25+1)</f>
        <v/>
      </c>
      <c r="F731">
        <f>IF(Skills!M25=TRUE,(Skills!K25/10)*(E731/1000),Skills!K25/10)+Skills!N25</f>
        <v/>
      </c>
      <c r="G731">
        <f>Calc!G25</f>
        <v/>
      </c>
      <c r="H731">
        <f>Calc!H25</f>
        <v/>
      </c>
      <c r="I731">
        <f>IF(Skills!T25&lt;&gt;"",1+(Skills!T25/10)*($Z$3/1000)/100,1)</f>
        <v/>
      </c>
      <c r="J731" t="inlineStr"/>
      <c r="K731" t="inlineStr"/>
      <c r="L731" t="inlineStr"/>
      <c r="M731" t="inlineStr"/>
      <c r="N731" t="inlineStr"/>
      <c r="O731" t="n">
        <v>0</v>
      </c>
      <c r="P731">
        <f>IF(B746=0,0,O731/B746)</f>
        <v/>
      </c>
      <c r="Q731">
        <f>IFERROR(1/IF(Inputs!$B$39="pvp",15,MAX(0.1,Skills!D25-IF(Skills!E25=TRUE,Inputs!$B$33,0))),0)</f>
        <v/>
      </c>
      <c r="R731" t="n">
        <v>0</v>
      </c>
    </row>
    <row r="732">
      <c r="A732">
        <f>Skills!A26</f>
        <v/>
      </c>
      <c r="B732">
        <f>Skills!B26</f>
        <v/>
      </c>
      <c r="C732">
        <f>Inputs!$B$3&gt;=117</f>
        <v/>
      </c>
      <c r="D732">
        <f>IF(Skills!C26=1,60+Inputs!$B$26+Inputs!$B$30,IF(Skills!C26=2,90+Inputs!$B$27+Inputs!$B$30,IF(Skills!C26=3,120+Inputs!$B$28+Inputs!$B$30,MAX(0,(Inputs!$B$3-100)*3)+Inputs!$B$29+Inputs!$B$30)))</f>
        <v/>
      </c>
      <c r="E732">
        <f>INDEX(FactorTable!$B$2:$Y$301, MATCH(ROUND(MIN(300,MAX(1,D732)),0), FactorTable!$A$2:$A$301,0), Skills!L26+1)</f>
        <v/>
      </c>
      <c r="F732">
        <f>IF(Skills!M26=TRUE,(Skills!K26/10)*(E732/1000),Skills!K26/10)+Skills!N26</f>
        <v/>
      </c>
      <c r="G732">
        <f>Calc!G26</f>
        <v/>
      </c>
      <c r="H732">
        <f>Calc!H26</f>
        <v/>
      </c>
      <c r="I732">
        <f>IF(Skills!T26&lt;&gt;"",1+(Skills!T26/10)*($Z$3/1000)/100,1)</f>
        <v/>
      </c>
      <c r="J732" t="inlineStr"/>
      <c r="K732" t="inlineStr"/>
      <c r="L732" t="inlineStr"/>
      <c r="M732" t="inlineStr"/>
      <c r="N732" t="inlineStr"/>
      <c r="O732" t="n">
        <v>0</v>
      </c>
      <c r="P732">
        <f>IF(B746=0,0,O732/B746)</f>
        <v/>
      </c>
      <c r="Q732">
        <f>IFERROR(1/IF(Inputs!$B$39="pvp",15,MAX(0.1,Skills!D26-IF(Skills!E26=TRUE,Inputs!$B$33,0))),0)</f>
        <v/>
      </c>
      <c r="R732" t="n">
        <v>0</v>
      </c>
    </row>
    <row r="733">
      <c r="A733">
        <f>Skills!A27</f>
        <v/>
      </c>
      <c r="B733">
        <f>Skills!B27</f>
        <v/>
      </c>
      <c r="C733">
        <f>Inputs!$B$3&gt;=120</f>
        <v/>
      </c>
      <c r="D733">
        <f>IF(Skills!C27=1,60+Inputs!$B$26+Inputs!$B$30,IF(Skills!C27=2,90+Inputs!$B$27+Inputs!$B$30,IF(Skills!C27=3,120+Inputs!$B$28+Inputs!$B$30,MAX(0,(Inputs!$B$3-100)*3)+Inputs!$B$29+Inputs!$B$30)))</f>
        <v/>
      </c>
      <c r="E733">
        <f>INDEX(FactorTable!$B$2:$Y$301, MATCH(ROUND(MIN(300,MAX(1,D733)),0), FactorTable!$A$2:$A$301,0), Skills!L27+1)</f>
        <v/>
      </c>
      <c r="F733">
        <f>IF(Skills!M27=TRUE,(Skills!K27/10)*(E733/1000),Skills!K27/10)+Skills!N27</f>
        <v/>
      </c>
      <c r="G733">
        <f>Calc!G27</f>
        <v/>
      </c>
      <c r="H733">
        <f>Calc!H27</f>
        <v/>
      </c>
      <c r="I733">
        <f>IF(Skills!T27&lt;&gt;"",1+(Skills!T27/10)*($Z$3/1000)/100,1)</f>
        <v/>
      </c>
      <c r="J733" t="inlineStr"/>
      <c r="K733" t="inlineStr"/>
      <c r="L733" t="inlineStr"/>
      <c r="M733" t="inlineStr"/>
      <c r="N733" t="inlineStr"/>
      <c r="O733" t="n">
        <v>0</v>
      </c>
      <c r="P733">
        <f>IF(B746=0,0,O733/B746)</f>
        <v/>
      </c>
      <c r="Q733">
        <f>IFERROR(1/IF(Inputs!$B$39="pvp",15,MAX(0.1,Skills!D27-IF(Skills!E27=TRUE,Inputs!$B$33,0))),0)</f>
        <v/>
      </c>
      <c r="R733" t="n">
        <v>0</v>
      </c>
    </row>
    <row r="735">
      <c r="A735" t="inlineStr">
        <is>
          <t>Average Buff Multiplier</t>
        </is>
      </c>
      <c r="B735">
        <f>(1+(IF(C709=TRUE,F709*IF(AND(Inputs!$B$39&lt;&gt;"pvp",Inputs!$B$44&gt;0),(((R709-1)*(Skills!S3*(1+(Inputs!$B$35+IF(Inputs!$B$3&gt;=117,F732,0))/100))+MIN((Skills!S3*(1+(Inputs!$B$35+IF(Inputs!$B$3&gt;=117,F732,0))/100)),MAX(0,Inputs!$B$44-((R709-1)*Skills!D3))))/Inputs!$B$44),IF(Inputs!$B$39="pvp",MIN((Skills!S3*(1+(Inputs!$B$35+IF(Inputs!$B$3&gt;=117,F732,0))/100)),15)/15,(Skills!S3*(1+(Inputs!$B$35+IF(Inputs!$B$3&gt;=117,F732,0))/100))/Skills!D3)),0)+IF(C710=TRUE,F710*IF(AND(Inputs!$B$39&lt;&gt;"pvp",Inputs!$B$44&gt;0),(((R710-1)*(Skills!S4*(1+(Inputs!$B$35+IF(Inputs!$B$3&gt;=117,F732,0))/100))+MIN((Skills!S4*(1+(Inputs!$B$35+IF(Inputs!$B$3&gt;=117,F732,0))/100)),MAX(0,Inputs!$B$44-((R710-1)*Skills!D4))))/Inputs!$B$44),IF(Inputs!$B$39="pvp",MIN((Skills!S4*(1+(Inputs!$B$35+IF(Inputs!$B$3&gt;=117,F732,0))/100)),15)/15,(Skills!S4*(1+(Inputs!$B$35+IF(Inputs!$B$3&gt;=117,F732,0))/100))/Skills!D4)),0)+IF(C711=TRUE,F711*IF(AND(Inputs!$B$39&lt;&gt;"pvp",Inputs!$B$44&gt;0),(((R711-1)*(Skills!S5*(1+(Inputs!$B$35+IF(Inputs!$B$3&gt;=117,F732,0))/100))+MIN((Skills!S5*(1+(Inputs!$B$35+IF(Inputs!$B$3&gt;=117,F732,0))/100)),MAX(0,Inputs!$B$44-((R711-1)*Skills!D5))))/Inputs!$B$44),IF(Inputs!$B$39="pvp",MIN((Skills!S5*(1+(Inputs!$B$35+IF(Inputs!$B$3&gt;=117,F732,0))/100)),15)/15,(Skills!S5*(1+(Inputs!$B$35+IF(Inputs!$B$3&gt;=117,F732,0))/100))/Skills!D5)),0)+IF(C717=TRUE,F717*IF(AND(Inputs!$B$39&lt;&gt;"pvp",Inputs!$B$44&gt;0),(((R717-1)*(Skills!S11*(1+(Inputs!$B$35+IF(Inputs!$B$3&gt;=117,F732,0))/100))+MIN((Skills!S11*(1+(Inputs!$B$35+IF(Inputs!$B$3&gt;=117,F732,0))/100)),MAX(0,Inputs!$B$44-((R717-1)*Skills!D11))))/Inputs!$B$44),IF(Inputs!$B$39="pvp",MIN((Skills!S11*(1+(Inputs!$B$35+IF(Inputs!$B$3&gt;=117,F732,0))/100)),15)/15,(Skills!S11*(1+(Inputs!$B$35+IF(Inputs!$B$3&gt;=117,F732,0))/100))/Skills!D11)),0))/100)*IF(C720=TRUE,(1+F720*IF(AND(Inputs!$B$39&lt;&gt;"pvp",Inputs!$B$44&gt;0),(((R720-1)*(Skills!S14*(1+(Inputs!$B$35+IF(Inputs!$B$3&gt;=117,F732,0))/100))+MIN((Skills!S14*(1+(Inputs!$B$35+IF(Inputs!$B$3&gt;=117,F732,0))/100)),MAX(0,Inputs!$B$44-((R720-1)*Skills!D14))))/Inputs!$B$44),IF(Inputs!$B$39="pvp",MIN((Skills!S14*(1+(Inputs!$B$35+IF(Inputs!$B$3&gt;=117,F732,0))/100)),15)/15,(Skills!S14*(1+(Inputs!$B$35+IF(Inputs!$B$3&gt;=117,F732,0))/100))/Skills!D14))/100),1)*IF(C725=TRUE,(1+F725*IF(AND(Inputs!$B$39&lt;&gt;"pvp",Inputs!$B$44&gt;0),(((R725-1)*(Skills!S19*(1+(Inputs!$B$35+IF(Inputs!$B$3&gt;=117,F732,0))/100))+MIN((Skills!S19*(1+(Inputs!$B$35+IF(Inputs!$B$3&gt;=117,F732,0))/100)),MAX(0,Inputs!$B$44-((R725-1)*Skills!D19))))/Inputs!$B$44),IF(Inputs!$B$39="pvp",MIN((Skills!S19*(1+(Inputs!$B$35+IF(Inputs!$B$3&gt;=117,F732,0))/100)),15)/15,(Skills!S19*(1+(Inputs!$B$35+IF(Inputs!$B$3&gt;=117,F732,0))/100))/Skills!D19))/100),1)</f>
        <v/>
      </c>
    </row>
    <row r="736">
      <c r="A736" t="inlineStr">
        <is>
          <t>Monster Damage Taken Bonus % (Holy Fountain)</t>
        </is>
      </c>
      <c r="B736">
        <f>IF(Inputs!$B$3&gt;=68,20*IF(Inputs!$B$39="pvp",MIN((15*(1+(Inputs!$B$35+IF(Inputs!$B$3&gt;=117,F732,0))/100)),15)/15,(15*(1+(Inputs!$B$35+IF(Inputs!$B$3&gt;=117,F732,0))/100))/Skills!D10),0)</f>
        <v/>
      </c>
    </row>
    <row r="737">
      <c r="A737" t="inlineStr">
        <is>
          <t>Normal Monster Damage Bonus % (Holy Symbol)</t>
        </is>
      </c>
      <c r="B737">
        <f>IF(C718=TRUE,F718*IF(AND(Inputs!$B$39&lt;&gt;"pvp",Inputs!$B$44&gt;0),(((R718-1)*(Skills!S12*(1+(Inputs!$B$35+IF(Inputs!$B$3&gt;=117,F732,0))/100))+MIN((Skills!S12*(1+(Inputs!$B$35+IF(Inputs!$B$3&gt;=117,F732,0))/100)),MAX(0,Inputs!$B$44-((R718-1)*Skills!D12))))/Inputs!$B$44),IF(Inputs!$B$39="pvp",MIN((Skills!S12*(1+(Inputs!$B$35+IF(Inputs!$B$3&gt;=117,F732,0))/100)),15)/15,(Skills!S12*(1+(Inputs!$B$35+IF(Inputs!$B$3&gt;=117,F732,0))/100))/Skills!D12)),0)</f>
        <v/>
      </c>
    </row>
    <row r="738">
      <c r="A738" t="inlineStr">
        <is>
          <t>Damage % Bonus (Holy Symbol - Damage Boost)</t>
        </is>
      </c>
      <c r="B738">
        <f>Skills!O12</f>
        <v/>
      </c>
    </row>
    <row r="739">
      <c r="A739" t="inlineStr">
        <is>
          <t>Crit Damage % Bonus (Blood of the Divine)</t>
        </is>
      </c>
      <c r="B739">
        <f>4*IF(C726=TRUE,F726,0)</f>
        <v/>
      </c>
    </row>
    <row r="740">
      <c r="A740" t="inlineStr">
        <is>
          <t>Attack Speed Bonus %</t>
        </is>
      </c>
      <c r="B740">
        <f>IF(C723=TRUE,F723+(F727-Calc!F21),0)+IF(Inputs!$B$3&gt;=134,15,0)</f>
        <v/>
      </c>
    </row>
    <row r="741">
      <c r="A741" t="inlineStr">
        <is>
          <t>Actions Per Second</t>
        </is>
      </c>
      <c r="B741">
        <f>1+MIN(150,150*(1-(1-Inputs!$B$12/150)*(1-B740/150)))/100</f>
        <v/>
      </c>
    </row>
    <row r="742">
      <c r="A742" t="inlineStr">
        <is>
          <t>Skill + Buff Cast Rate</t>
        </is>
      </c>
      <c r="B742">
        <f>IF(AND(Inputs!$B$39&lt;&gt;"pvp",Inputs!$B$44&gt;0),SUMPRODUCT((Skills!E2:E27=TRUE)*(C708:C733=TRUE)*R708:R733)/Inputs!$B$44,SUMPRODUCT((Skills!E2:E27=TRUE)*(C708:C733=TRUE)*Q708:Q733))</f>
        <v/>
      </c>
    </row>
    <row r="743">
      <c r="A743" t="inlineStr">
        <is>
          <t>Big Bang Casts Per Second</t>
        </is>
      </c>
      <c r="B743">
        <f>MAX(0,B741-B742)</f>
        <v/>
      </c>
    </row>
    <row r="744">
      <c r="A744" t="inlineStr">
        <is>
          <t>Defense % Bonus (Divine Protection)</t>
        </is>
      </c>
      <c r="B744">
        <f>IF(C719=TRUE,F719*IF(AND(Inputs!$B$39&lt;&gt;"pvp",Inputs!$B$44&gt;0),(((R719-1)*(Skills!S13*(1+(Inputs!$B$35+IF(Inputs!$B$3&gt;=117,F732,0))/100))+MIN((Skills!S13*(1+(Inputs!$B$35+IF(Inputs!$B$3&gt;=117,F732,0))/100)),MAX(0,Inputs!$B$44-((R719-1)*Skills!D13))))/Inputs!$B$44),IF(Inputs!$B$39="pvp",MIN((Skills!S13*(1+(Inputs!$B$35+IF(Inputs!$B$3&gt;=117,F732,0))/100)),15)/15,(Skills!S13*(1+(Inputs!$B$35+IF(Inputs!$B$3&gt;=117,F732,0))/100))/Skills!D13)),0)</f>
        <v/>
      </c>
    </row>
    <row r="745">
      <c r="A745" t="inlineStr">
        <is>
          <t>Buff-Casting Startup Delay (s, fixed-duration only)</t>
        </is>
      </c>
      <c r="B745">
        <f>IF(AND(Inputs!$B$39&lt;&gt;"pvp",Inputs!$B$44&gt;0),SUMPRODUCT((Skills!S2:S27&gt;0)*(Skills!E2:E27=TRUE)*(C708:C733=TRUE))/B741,0)</f>
        <v/>
      </c>
    </row>
    <row r="746">
      <c r="A746" s="5" t="inlineStr">
        <is>
          <t>TOTAL DPS</t>
        </is>
      </c>
      <c r="B746" s="5">
        <f>SUM(O708:O733)</f>
        <v/>
      </c>
    </row>
    <row r="748">
      <c r="A748" s="5" t="inlineStr">
        <is>
          <t>Stat: Skill Level Bonus — 1st Job</t>
        </is>
      </c>
    </row>
    <row r="749">
      <c r="A749" s="9" t="inlineStr">
        <is>
          <t>Key</t>
        </is>
      </c>
      <c r="B749" s="9" t="inlineStr">
        <is>
          <t>Name</t>
        </is>
      </c>
      <c r="C749" s="9" t="inlineStr">
        <is>
          <t>Unlocked</t>
        </is>
      </c>
      <c r="D749" s="9" t="inlineStr">
        <is>
          <t>InputLevel</t>
        </is>
      </c>
      <c r="E749" s="9" t="inlineStr">
        <is>
          <t>Factor</t>
        </is>
      </c>
      <c r="F749" s="9" t="inlineStr">
        <is>
          <t>CoefficientPercent</t>
        </is>
      </c>
      <c r="G749" s="9" t="inlineStr">
        <is>
          <t>EffectiveHits</t>
        </is>
      </c>
      <c r="H749" s="9" t="inlineStr">
        <is>
          <t>ProcProbability</t>
        </is>
      </c>
      <c r="I749" s="9" t="inlineStr">
        <is>
          <t>MapleHeroMultiplier</t>
        </is>
      </c>
      <c r="J749" s="9" t="inlineStr">
        <is>
          <t>BaseDamage</t>
        </is>
      </c>
      <c r="K749" s="9" t="inlineStr">
        <is>
          <t>BaseHitDamage</t>
        </is>
      </c>
      <c r="L749" s="9" t="inlineStr">
        <is>
          <t>NonCritAvg</t>
        </is>
      </c>
      <c r="M749" s="9" t="inlineStr">
        <is>
          <t>CritAvg</t>
        </is>
      </c>
      <c r="N749" s="9" t="inlineStr">
        <is>
          <t>ExpectedDamage(perHit)</t>
        </is>
      </c>
      <c r="O749" s="9" t="inlineStr">
        <is>
          <t>DPS</t>
        </is>
      </c>
      <c r="P749" s="9" t="inlineStr">
        <is>
          <t>% of Total</t>
        </is>
      </c>
      <c r="R749" t="inlineStr">
        <is>
          <t>helpers</t>
        </is>
      </c>
    </row>
    <row r="750">
      <c r="A750">
        <f>Skills!A2</f>
        <v/>
      </c>
      <c r="B750">
        <f>Skills!B2</f>
        <v/>
      </c>
      <c r="C750">
        <f>Inputs!$B$3&gt;=100</f>
        <v/>
      </c>
      <c r="D750" t="inlineStr"/>
      <c r="E750" t="inlineStr"/>
      <c r="F750">
        <f>T752+Skills!N2</f>
        <v/>
      </c>
      <c r="G750">
        <f>Calc!G2</f>
        <v/>
      </c>
      <c r="H750">
        <f>Calc!H2</f>
        <v/>
      </c>
      <c r="I750">
        <f>IF(Skills!T2&lt;&gt;"",1+(Skills!T2/10)*($Z$3/1000)/100,1)</f>
        <v/>
      </c>
      <c r="J750">
        <f>((Inputs!$B$6*(1+Inputs!$B$7/100))+(((Inputs!$B$13*(1+Inputs!$B$14/100))-(Inputs!$B$13*(1+Inputs!$B$14/100)))+0.25*(Inputs!$B$15-Inputs!$B$15))*(1+Inputs!$B$7/100))*(F750/100)</f>
        <v/>
      </c>
      <c r="K750">
        <f>J750*(1+(((Inputs!$B$13+IF(Inputs!$B$3&gt;=35,(10*INDEX(FactorTable!$B$2:$Y$301, MATCH(ROUND(MIN(300,MAX(1,Inputs!$B$3)),0), FactorTable!$A$2:$A$301,0), 23)/1000)/100*(Inputs!$B$8*(1+(Inputs!$B$9+B786)/100)),0))*(1+Inputs!$B$14/100))*0.01+Inputs!$B$15*0.0025)/100)*(1+(Inputs!$B$16+B780)/100)*(1+IF(Inputs!$B$39="pvp",0,(1-Summary!$B$48)*(Inputs!$B$21+Skills!O2+B778)+Summary!$B$48*(Inputs!$B$22+Skills!P2+B779))/100)*(1+Inputs!$B$17/100)*(5000/(6000+Inputs!$B$43*(1-Inputs!$B$20/100)))*(1+Inputs!$B$25/100)*(1+IF(C766=TRUE,F766,0)/100)*(1+IF(C768=TRUE,F768,0)/100)*(1+IF(Skills!A2="TRIUMPH_FEATHER",IF(C764=TRUE,F764,0),0)/100)*(1+IF(C775=TRUE,F775,0)/100)^5*(1+(IF(Skills!A2="BIG_BANG",Inputs!$B$18,Inputs!$B$19))/100)*(B777*I750)</f>
        <v/>
      </c>
      <c r="L750">
        <f>K750*(MIN(Inputs!$B$23+(F770-Calc!F22),Inputs!$B$24)/100+Inputs!$B$24/100)/2</f>
        <v/>
      </c>
      <c r="M750">
        <f>L750*(1+(Inputs!$B$11+B781+(F773-Calc!F25))/100)</f>
        <v/>
      </c>
      <c r="N750">
        <f>L750*(1-MIN(Inputs!$B$10+((F772-Calc!F24)+(F771-Calc!F23)),100)/100)+M750*(MIN(Inputs!$B$10+((F772-Calc!F24)+(F771-Calc!F23)),100)/100)</f>
        <v/>
      </c>
      <c r="O750">
        <f>IF(C750,Skills!F2*N750*B785*IF(Inputs!$B$39="pvp",1,(1-Summary!$B$48)*(1)+Summary!$B$48*(MIN((6+Inputs!$B$34),Inputs!$B$38))),0)</f>
        <v/>
      </c>
      <c r="P750">
        <f>IF(B788=0,0,O750/B788)</f>
        <v/>
      </c>
      <c r="Q750">
        <f>IFERROR(1/IF(Inputs!$B$39="pvp",15,MAX(0.1,Skills!D2-IF(Skills!E2=TRUE,Inputs!$B$33,0))),0)</f>
        <v/>
      </c>
      <c r="R750" t="n">
        <v>0</v>
      </c>
      <c r="T750">
        <f>MAX(0,(Inputs!$B$3-100)*3)+Inputs!$B$29+Inputs!$B$30</f>
        <v/>
      </c>
    </row>
    <row r="751">
      <c r="A751">
        <f>Skills!A3</f>
        <v/>
      </c>
      <c r="B751">
        <f>Skills!B3</f>
        <v/>
      </c>
      <c r="C751">
        <f>Inputs!$B$3&gt;=15</f>
        <v/>
      </c>
      <c r="D751">
        <f>IF(Skills!C3=1,60+(Inputs!$B$26+1)+Inputs!$B$30,IF(Skills!C3=2,90+Inputs!$B$27+Inputs!$B$30,IF(Skills!C3=3,120+Inputs!$B$28+Inputs!$B$30,MAX(0,(Inputs!$B$3-100)*3)+Inputs!$B$29+Inputs!$B$30)))</f>
        <v/>
      </c>
      <c r="E751">
        <f>INDEX(FactorTable!$B$2:$Y$301, MATCH(ROUND(MIN(300,MAX(1,D751)),0), FactorTable!$A$2:$A$301,0), Skills!L3+1)</f>
        <v/>
      </c>
      <c r="F751">
        <f>IF(Skills!M3=TRUE,(Skills!K3/10)*(E751/1000),Skills!K3/10)+Skills!N3</f>
        <v/>
      </c>
      <c r="G751">
        <f>Calc!G3</f>
        <v/>
      </c>
      <c r="H751">
        <f>Calc!H3</f>
        <v/>
      </c>
      <c r="I751">
        <f>IF(Skills!T3&lt;&gt;"",1+(Skills!T3/10)*($Z$3/1000)/100,1)</f>
        <v/>
      </c>
      <c r="J751" t="inlineStr"/>
      <c r="K751" t="inlineStr"/>
      <c r="L751" t="inlineStr"/>
      <c r="M751" t="inlineStr"/>
      <c r="N751" t="inlineStr"/>
      <c r="O751" t="n">
        <v>0</v>
      </c>
      <c r="P751">
        <f>IF(B788=0,0,O751/B788)</f>
        <v/>
      </c>
      <c r="Q751">
        <f>IFERROR(1/IF(Inputs!$B$39="pvp",15,MAX(0.1,Skills!D3-IF(Skills!E3=TRUE,Inputs!$B$33,0))),0)</f>
        <v/>
      </c>
      <c r="R751">
        <f>IF(AND(Inputs!$B$39&lt;&gt;"pvp",Inputs!$B$44&gt;0),IF(Inputs!$B$44&lt;=0,0,(INT(Inputs!$B$44/IF(Inputs!$B$39="pvp",15,MAX(0.1,Skills!D3-IF(Skills!E3=TRUE,Inputs!$B$33,0))))+1)),0)</f>
        <v/>
      </c>
      <c r="T751">
        <f>INDEX(FactorTable!$B$2:$Y$301, MATCH(ROUND(MIN(300,MAX(1,T750)),0), FactorTable!$A$2:$A$301,0), 22)</f>
        <v/>
      </c>
    </row>
    <row r="752">
      <c r="A752">
        <f>Skills!A4</f>
        <v/>
      </c>
      <c r="B752">
        <f>Skills!B4</f>
        <v/>
      </c>
      <c r="C752">
        <f>Inputs!$B$3&gt;=38</f>
        <v/>
      </c>
      <c r="D752">
        <f>IF(Skills!C4=1,60+(Inputs!$B$26+1)+Inputs!$B$30,IF(Skills!C4=2,90+Inputs!$B$27+Inputs!$B$30,IF(Skills!C4=3,120+Inputs!$B$28+Inputs!$B$30,MAX(0,(Inputs!$B$3-100)*3)+Inputs!$B$29+Inputs!$B$30)))</f>
        <v/>
      </c>
      <c r="E752">
        <f>INDEX(FactorTable!$B$2:$Y$301, MATCH(ROUND(MIN(300,MAX(1,D752)),0), FactorTable!$A$2:$A$301,0), Skills!L4+1)</f>
        <v/>
      </c>
      <c r="F752">
        <f>IF(Skills!M4=TRUE,(Skills!K4/10)*(E752/1000),Skills!K4/10)+Skills!N4</f>
        <v/>
      </c>
      <c r="G752">
        <f>Calc!G4</f>
        <v/>
      </c>
      <c r="H752">
        <f>Calc!H4</f>
        <v/>
      </c>
      <c r="I752">
        <f>IF(Skills!T4&lt;&gt;"",1+(Skills!T4/10)*($Z$3/1000)/100,1)</f>
        <v/>
      </c>
      <c r="J752" t="inlineStr"/>
      <c r="K752" t="inlineStr"/>
      <c r="L752" t="inlineStr"/>
      <c r="M752" t="inlineStr"/>
      <c r="N752" t="inlineStr"/>
      <c r="O752" t="n">
        <v>0</v>
      </c>
      <c r="P752">
        <f>IF(B788=0,0,O752/B788)</f>
        <v/>
      </c>
      <c r="Q752">
        <f>IFERROR(1/IF(Inputs!$B$39="pvp",15,MAX(0.1,Skills!D4-IF(Skills!E4=TRUE,Inputs!$B$33,0))),0)</f>
        <v/>
      </c>
      <c r="R752">
        <f>IF(AND(Inputs!$B$39&lt;&gt;"pvp",Inputs!$B$44&gt;0),IF(Inputs!$B$44&lt;=0,0,(INT(Inputs!$B$44/IF(Inputs!$B$39="pvp",15,MAX(0.1,Skills!D4-IF(Skills!E4=TRUE,Inputs!$B$33,0))))+1)),0)</f>
        <v/>
      </c>
      <c r="T752">
        <f>290*T751/1000</f>
        <v/>
      </c>
    </row>
    <row r="753">
      <c r="A753">
        <f>Skills!A5</f>
        <v/>
      </c>
      <c r="B753">
        <f>Skills!B5</f>
        <v/>
      </c>
      <c r="C753">
        <f>Inputs!$B$3&gt;=40</f>
        <v/>
      </c>
      <c r="D753">
        <f>IF(Skills!C5=1,60+(Inputs!$B$26+1)+Inputs!$B$30,IF(Skills!C5=2,90+Inputs!$B$27+Inputs!$B$30,IF(Skills!C5=3,120+Inputs!$B$28+Inputs!$B$30,MAX(0,(Inputs!$B$3-100)*3)+Inputs!$B$29+Inputs!$B$30)))</f>
        <v/>
      </c>
      <c r="E753">
        <f>INDEX(FactorTable!$B$2:$Y$301, MATCH(ROUND(MIN(300,MAX(1,D753)),0), FactorTable!$A$2:$A$301,0), Skills!L5+1)</f>
        <v/>
      </c>
      <c r="F753">
        <f>IF(Skills!M5=TRUE,(Skills!K5/10)*(E753/1000),Skills!K5/10)+Skills!N5</f>
        <v/>
      </c>
      <c r="G753">
        <f>Calc!G5</f>
        <v/>
      </c>
      <c r="H753">
        <f>Calc!H5</f>
        <v/>
      </c>
      <c r="I753">
        <f>IF(Skills!T5&lt;&gt;"",1+(Skills!T5/10)*($Z$3/1000)/100,1)</f>
        <v/>
      </c>
      <c r="J753" t="inlineStr"/>
      <c r="K753" t="inlineStr"/>
      <c r="L753" t="inlineStr"/>
      <c r="M753" t="inlineStr"/>
      <c r="N753" t="inlineStr"/>
      <c r="O753" t="n">
        <v>0</v>
      </c>
      <c r="P753">
        <f>IF(B788=0,0,O753/B788)</f>
        <v/>
      </c>
      <c r="Q753">
        <f>IFERROR(1/IF(Inputs!$B$39="pvp",15,MAX(0.1,Skills!D5-IF(Skills!E5=TRUE,Inputs!$B$33,0))),0)</f>
        <v/>
      </c>
      <c r="R753">
        <f>IF(AND(Inputs!$B$39&lt;&gt;"pvp",Inputs!$B$44&gt;0),IF(Inputs!$B$44&lt;=0,0,(INT(Inputs!$B$44/IF(Inputs!$B$39="pvp",15,MAX(0.1,Skills!D5-IF(Skills!E5=TRUE,Inputs!$B$33,0))))+1)),0)</f>
        <v/>
      </c>
    </row>
    <row r="754">
      <c r="A754">
        <f>Skills!A6</f>
        <v/>
      </c>
      <c r="B754">
        <f>Skills!B6</f>
        <v/>
      </c>
      <c r="C754">
        <f>Inputs!$B$3&gt;=103</f>
        <v/>
      </c>
      <c r="D754">
        <f>IF(Skills!C6=1,60+(Inputs!$B$26+1)+Inputs!$B$30,IF(Skills!C6=2,90+Inputs!$B$27+Inputs!$B$30,IF(Skills!C6=3,120+Inputs!$B$28+Inputs!$B$30,MAX(0,(Inputs!$B$3-100)*3)+Inputs!$B$29+Inputs!$B$30)))</f>
        <v/>
      </c>
      <c r="E754">
        <f>INDEX(FactorTable!$B$2:$Y$301, MATCH(ROUND(MIN(300,MAX(1,D754)),0), FactorTable!$A$2:$A$301,0), Skills!L6+1)</f>
        <v/>
      </c>
      <c r="F754">
        <f>IF(Skills!M6=TRUE,(Skills!K6/10)*(E754/1000),Skills!K6/10)+Skills!N6</f>
        <v/>
      </c>
      <c r="G754">
        <f>Calc!G6</f>
        <v/>
      </c>
      <c r="H754">
        <f>Calc!H6</f>
        <v/>
      </c>
      <c r="I754">
        <f>IF(Skills!T6&lt;&gt;"",1+(Skills!T6/10)*($Z$3/1000)/100,1)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100)*(1+IF(Inputs!$B$39="pvp",0,(1-Summary!$B$48)*(Inputs!$B$21+Skills!O6+B778)+Summary!$B$48*(Inputs!$B$22+Skills!P6+B779))/100)*(1+Inputs!$B$17/100)*(5000/(6000+Inputs!$B$43*(1-Inputs!$B$20/100)))*(1+Inputs!$B$25/100)*(1+IF(C766=TRUE,F766,0)/100)*(1+IF(C768=TRUE,F768,0)/100)*(1+IF(Skills!A6="TRIUMPH_FEATHER",IF(C764=TRUE,F764,0),0)/100)*(1+IF(C775=TRUE,F775,0)/100)^5*(1+(IF(Skills!A6="BIG_BANG",Inputs!$B$18,Inputs!$B$19))/100)*(B777*I754)</f>
        <v/>
      </c>
      <c r="L754">
        <f>K754*(MIN(Inputs!$B$23+(F770-Calc!F22),Inputs!$B$24)/100+Inputs!$B$24/100)/2</f>
        <v/>
      </c>
      <c r="M754">
        <f>L754*(1+(Inputs!$B$11+B781+(F773-Calc!F25))/100)</f>
        <v/>
      </c>
      <c r="N754">
        <f>L754*(1-MIN(Inputs!$B$10+((F772-Calc!F24)+(F771-Calc!F23)),100)/100)+M754*(MIN(Inputs!$B$10+((F772-Calc!F24)+(F771-Calc!F23)),100)/100)</f>
        <v/>
      </c>
      <c r="O754">
        <f>IF(C754,H754*N754*IF(AND(Inputs!$B$39&lt;&gt;"pvp",Inputs!$B$44&gt;0),((Skills!F6*((R754-1)*IF(Skills!G6&gt;0,Skills!H6/Skills!G6,1)+IF(Skills!G6&gt;0,MIN(Skills!H6,MAX(0,MAX(0,Inputs!$B$44-B787)-((R754-1)*IF(Inputs!$B$39="pvp",15,MAX(0.1,Skills!D6-IF(Skills!E6=TRUE,Inputs!$B$33,0))))))/Skills!G6,1)))/Inputs!$B$44),G754*Q754)*IF(Inputs!$B$39="pvp",1,(1-Summary!$B$48)*(1)+Summary!$B$48*(MIN(Skills!Q6,Inputs!$B$38))),0)</f>
        <v/>
      </c>
      <c r="P754">
        <f>IF(B788=0,0,O754/B788)</f>
        <v/>
      </c>
      <c r="Q754">
        <f>IFERROR(1/IF(Inputs!$B$39="pvp",15,MAX(0.1,Skills!D6-IF(Skills!E6=TRUE,Inputs!$B$33,0))),0)</f>
        <v/>
      </c>
      <c r="R754">
        <f>IF(AND(Inputs!$B$39&lt;&gt;"pvp",Inputs!$B$44&gt;0),IF(MAX(0,Inputs!$B$44-B787)&lt;=0,0,(INT(MAX(0,Inputs!$B$44-B787)/IF(Inputs!$B$39="pvp",15,MAX(0.1,Skills!D6-IF(Skills!E6=TRUE,Inputs!$B$33,0))))+1)),0)</f>
        <v/>
      </c>
    </row>
    <row r="755">
      <c r="A755">
        <f>Skills!A7</f>
        <v/>
      </c>
      <c r="B755">
        <f>Skills!B7</f>
        <v/>
      </c>
      <c r="C755">
        <f>Inputs!$B$3&gt;=122</f>
        <v/>
      </c>
      <c r="D755">
        <f>IF(Skills!C7=1,60+(Inputs!$B$26+1)+Inputs!$B$30,IF(Skills!C7=2,90+Inputs!$B$27+Inputs!$B$30,IF(Skills!C7=3,120+Inputs!$B$28+Inputs!$B$30,MAX(0,(Inputs!$B$3-100)*3)+Inputs!$B$29+Inputs!$B$30)))</f>
        <v/>
      </c>
      <c r="E755">
        <f>INDEX(FactorTable!$B$2:$Y$301, MATCH(ROUND(MIN(300,MAX(1,D755)),0), FactorTable!$A$2:$A$301,0), Skills!L7+1)</f>
        <v/>
      </c>
      <c r="F755">
        <f>IF(Skills!M7=TRUE,(Skills!K7/10)*(E755/1000),Skills!K7/10)+Skills!N7</f>
        <v/>
      </c>
      <c r="G755">
        <f>Calc!G7</f>
        <v/>
      </c>
      <c r="H755">
        <f>Calc!H7</f>
        <v/>
      </c>
      <c r="I755">
        <f>IF(Skills!T7&lt;&gt;"",1+(Skills!T7/10)*($Z$3/1000)/100,1)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100)*(1+IF(Inputs!$B$39="pvp",0,(1-Summary!$B$48)*(Inputs!$B$21+Skills!O7+B778)+Summary!$B$48*(Inputs!$B$22+Skills!P7+B779))/100)*(1+Inputs!$B$17/100)*(5000/(6000+Inputs!$B$43*(1-Inputs!$B$20/100)))*(1+Inputs!$B$25/100)*(1+IF(C766=TRUE,F766,0)/100)*(1+IF(C768=TRUE,F768,0)/100)*(1+IF(Skills!A7="TRIUMPH_FEATHER",IF(C764=TRUE,F764,0),0)/100)*(1+IF(C775=TRUE,F775,0)/100)^5*(1+(IF(Skills!A7="BIG_BANG",Inputs!$B$18,Inputs!$B$19))/100)*(B777*I755)</f>
        <v/>
      </c>
      <c r="L755">
        <f>K755*(MIN(Inputs!$B$23+(F770-Calc!F22),Inputs!$B$24)/100+Inputs!$B$24/100)/2</f>
        <v/>
      </c>
      <c r="M755">
        <f>L755*(1+(Inputs!$B$11+B781+(F773-Calc!F25))/100)</f>
        <v/>
      </c>
      <c r="N755">
        <f>L755*(1-MIN(Inputs!$B$10+((F772-Calc!F24)+(F771-Calc!F23)),100)/100)+M755*(MIN(Inputs!$B$10+((F772-Calc!F24)+(F771-Calc!F23)),100)/100)</f>
        <v/>
      </c>
      <c r="O755">
        <f>IF(C755,H755*N755*IF(AND(Inputs!$B$39&lt;&gt;"pvp",Inputs!$B$44&gt;0),((Skills!F7*((R755-1)*IF(Skills!G7&gt;0,Skills!H7/Skills!G7,1)+IF(Skills!G7&gt;0,MIN(Skills!H7,MAX(0,MAX(0,Inputs!$B$44-B787)-((R755-1)*IF(Inputs!$B$39="pvp",15,MAX(0.1,Skills!D7-IF(Skills!E6=TRUE,Inputs!$B$33,0))))))/Skills!G7,1)))/Inputs!$B$44),G755*Q755)*(1-Summary!$B$48),0)</f>
        <v/>
      </c>
      <c r="P755">
        <f>IF(B788=0,0,O755/B788)</f>
        <v/>
      </c>
      <c r="Q755">
        <f>IFERROR(1/IF(Inputs!$B$39="pvp",15,MAX(0.1,Skills!D7-IF(Skills!E6=TRUE,Inputs!$B$33,0))),0)</f>
        <v/>
      </c>
      <c r="R755">
        <f>IF(AND(Inputs!$B$39&lt;&gt;"pvp",Inputs!$B$44&gt;0),IF(MAX(0,Inputs!$B$44-B787)&lt;=0,0,(INT(MAX(0,Inputs!$B$44-B787)/IF(Inputs!$B$39="pvp",15,MAX(0.1,Skills!D7-IF(Skills!E6=TRUE,Inputs!$B$33,0))))+1)),0)</f>
        <v/>
      </c>
    </row>
    <row r="756">
      <c r="A756">
        <f>Skills!A8</f>
        <v/>
      </c>
      <c r="B756">
        <f>Skills!B8</f>
        <v/>
      </c>
      <c r="C756">
        <f>Inputs!$B$3&gt;=105</f>
        <v/>
      </c>
      <c r="D756">
        <f>IF(Skills!C8=1,60+(Inputs!$B$26+1)+Inputs!$B$30,IF(Skills!C8=2,90+Inputs!$B$27+Inputs!$B$30,IF(Skills!C8=3,120+Inputs!$B$28+Inputs!$B$30,MAX(0,(Inputs!$B$3-100)*3)+Inputs!$B$29+Inputs!$B$30)))</f>
        <v/>
      </c>
      <c r="E756">
        <f>INDEX(FactorTable!$B$2:$Y$301, MATCH(ROUND(MIN(300,MAX(1,D756)),0), FactorTable!$A$2:$A$301,0), Skills!L8+1)</f>
        <v/>
      </c>
      <c r="F756">
        <f>IF(Skills!M8=TRUE,(Skills!K8/10)*(E756/1000),Skills!K8/10)+Skills!N8</f>
        <v/>
      </c>
      <c r="G756">
        <f>Calc!G8</f>
        <v/>
      </c>
      <c r="H756">
        <f>Calc!H8</f>
        <v/>
      </c>
      <c r="I756">
        <f>IF(Skills!T8&lt;&gt;"",1+(Skills!T8/10)*($Z$3/1000)/100,1)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100)*(1+IF(Inputs!$B$39="pvp",0,(1-Summary!$B$48)*(Inputs!$B$21+Skills!O8+B778)+Summary!$B$48*(Inputs!$B$22+Skills!P8+B779))/100)*(1+Inputs!$B$17/100)*(5000/(6000+Inputs!$B$43*(1-Inputs!$B$20/100)))*(1+Inputs!$B$25/100)*(1+IF(C766=TRUE,F766,0)/100)*(1+IF(C768=TRUE,F768,0)/100)*(1+IF(Skills!A8="TRIUMPH_FEATHER",IF(C764=TRUE,F764,0),0)/100)*(1+IF(C775=TRUE,F775,0)/100)^5*(1+(IF(Skills!A8="BIG_BANG",Inputs!$B$18,Inputs!$B$19))/100)*(B777*I756)</f>
        <v/>
      </c>
      <c r="L756">
        <f>K756*(MIN(Inputs!$B$23+(F770-Calc!F22),Inputs!$B$24)/100+Inputs!$B$24/100)/2</f>
        <v/>
      </c>
      <c r="M756">
        <f>L756*(1+(Inputs!$B$11+B781+(F773-Calc!F25))/100)</f>
        <v/>
      </c>
      <c r="N756">
        <f>L756*(1-MIN(Inputs!$B$10+((F772-Calc!F24)+(F771-Calc!F23)),100)/100)+M756*(MIN(Inputs!$B$10+((F772-Calc!F24)+(F771-Calc!F23)),100)/100)</f>
        <v/>
      </c>
      <c r="O756">
        <f>IF(C756,H756*N756*IF(AND(Inputs!$B$39&lt;&gt;"pvp",Inputs!$B$44&gt;0),((Skills!F8*((R756-1)*IF(Skills!G8&gt;0,Skills!H8/Skills!G8,1)+IF(Skills!G8&gt;0,MIN(Skills!H8,MAX(0,MAX(0,Inputs!$B$44-B787)-((R756-1)*IF(Inputs!$B$39="pvp",15,MAX(0.1,Skills!D8-IF(Skills!E8=TRUE,Inputs!$B$33,0))))))/Skills!G8,1)))/Inputs!$B$44),G756*Q756)*IF(Inputs!$B$39="pvp",1,(1-Summary!$B$48)*(1)+Summary!$B$48*(MIN(Skills!Q8,Inputs!$B$38))),0)</f>
        <v/>
      </c>
      <c r="P756">
        <f>IF(B788=0,0,O756/B788)</f>
        <v/>
      </c>
      <c r="Q756">
        <f>IFERROR(1/IF(Inputs!$B$39="pvp",15,MAX(0.1,Skills!D8-IF(Skills!E8=TRUE,Inputs!$B$33,0))),0)</f>
        <v/>
      </c>
      <c r="R756">
        <f>IF(AND(Inputs!$B$39&lt;&gt;"pvp",Inputs!$B$44&gt;0),IF(MAX(0,Inputs!$B$44-B787)&lt;=0,0,(INT(MAX(0,Inputs!$B$44-B787)/IF(Inputs!$B$39="pvp",15,MAX(0.1,Skills!D8-IF(Skills!E8=TRUE,Inputs!$B$33,0))))+1)),0)</f>
        <v/>
      </c>
    </row>
    <row r="757">
      <c r="A757">
        <f>Skills!A9</f>
        <v/>
      </c>
      <c r="B757">
        <f>Skills!B9</f>
        <v/>
      </c>
      <c r="C757">
        <f>Inputs!$B$3&gt;=115</f>
        <v/>
      </c>
      <c r="D757">
        <f>IF(Skills!C9=1,60+(Inputs!$B$26+1)+Inputs!$B$30,IF(Skills!C9=2,90+Inputs!$B$27+Inputs!$B$30,IF(Skills!C9=3,120+Inputs!$B$28+Inputs!$B$30,MAX(0,(Inputs!$B$3-100)*3)+Inputs!$B$29+Inputs!$B$30)))</f>
        <v/>
      </c>
      <c r="E757">
        <f>INDEX(FactorTable!$B$2:$Y$301, MATCH(ROUND(MIN(300,MAX(1,D757)),0), FactorTable!$A$2:$A$301,0), Skills!L9+1)</f>
        <v/>
      </c>
      <c r="F757">
        <f>IF(Skills!M9=TRUE,(Skills!K9/10)*(E757/1000),Skills!K9/10)+Skills!N9</f>
        <v/>
      </c>
      <c r="G757">
        <f>Calc!G9</f>
        <v/>
      </c>
      <c r="H757">
        <f>Calc!H9</f>
        <v/>
      </c>
      <c r="I757">
        <f>IF(Skills!T9&lt;&gt;"",1+(Skills!T9/10)*($Z$3/1000)/100,1)</f>
        <v/>
      </c>
      <c r="J757">
        <f>((Inputs!$B$6*(1+Inputs!$B$7/100))+(((Inputs!$B$13*(1+Inputs!$B$14/100))-(Inputs!$B$13*(1+Inputs!$B$14/100)))+0.25*(Inputs!$B$15-Inputs!$B$15))*(1+Inputs!$B$7/100))*(F757/100)</f>
        <v/>
      </c>
      <c r="K757">
        <f>J757*(1+(((Inputs!$B$13+IF(Inputs!$B$3&gt;=35,(10*INDEX(FactorTable!$B$2:$Y$301, MATCH(ROUND(MIN(300,MAX(1,Inputs!$B$3)),0), FactorTable!$A$2:$A$301,0), 23)/1000)/100*(Inputs!$B$8*(1+(Inputs!$B$9+B786)/100)),0))*(1+Inputs!$B$14/100))*0.01+Inputs!$B$15*0.0025)/100)*(1+(Inputs!$B$16+B780)/100)*(1+IF(Inputs!$B$39="pvp",0,(1-Summary!$B$48)*(Inputs!$B$21+Skills!O9+B778)+Summary!$B$48*(Inputs!$B$22+Skills!P9+B779))/100)*(1+Inputs!$B$17/100)*(5000/(6000+Inputs!$B$43*(1-Inputs!$B$20/100)))*(1+Inputs!$B$25/100)*(1+IF(C766=TRUE,F766,0)/100)*(1+IF(C768=TRUE,F768,0)/100)*(1+IF(Skills!A9="TRIUMPH_FEATHER",IF(C764=TRUE,F764,0),0)/100)*(1+IF(C775=TRUE,F775,0)/100)^5*(1+(IF(Skills!A9="BIG_BANG",Inputs!$B$18,Inputs!$B$19))/100)*(B777*I757)</f>
        <v/>
      </c>
      <c r="L757">
        <f>K757*(MIN(Inputs!$B$23+(F770-Calc!F22),Inputs!$B$24)/100+Inputs!$B$24/100)/2</f>
        <v/>
      </c>
      <c r="M757">
        <f>L757*(1+(Inputs!$B$11+B781+(F773-Calc!F25))/100)</f>
        <v/>
      </c>
      <c r="N757">
        <f>L757*(1-MIN(Inputs!$B$10+((F772-Calc!F24)+(F771-Calc!F23)),100)/100)+M757*(MIN(Inputs!$B$10+((F772-Calc!F24)+(F771-Calc!F23)),100)/100)</f>
        <v/>
      </c>
      <c r="O757">
        <f>IF(C757,H757*N757*IF(AND(Inputs!$B$39&lt;&gt;"pvp",Inputs!$B$44&gt;0),((Skills!F9*((R757-1)*IF(Skills!G9&gt;0,Skills!H9/Skills!G9,1)+IF(Skills!G9&gt;0,MIN(Skills!H9,MAX(0,MAX(0,Inputs!$B$44-B787)-((R757-1)*IF(Inputs!$B$39="pvp",15,MAX(0.1,Skills!D9-IF(Skills!E9=TRUE,Inputs!$B$33,0))))))/Skills!G9,1)))/Inputs!$B$44),G757*Q757)*IF(Inputs!$B$39="pvp",1,(1-Summary!$B$48)*(1)+Summary!$B$48*(MIN(Skills!Q9,Inputs!$B$38))),0)</f>
        <v/>
      </c>
      <c r="P757">
        <f>IF(B788=0,0,O757/B788)</f>
        <v/>
      </c>
      <c r="Q757">
        <f>IFERROR(1/IF(Inputs!$B$39="pvp",15,MAX(0.1,Skills!D9-IF(Skills!E9=TRUE,Inputs!$B$33,0))),0)</f>
        <v/>
      </c>
      <c r="R757">
        <f>IF(AND(Inputs!$B$39&lt;&gt;"pvp",Inputs!$B$44&gt;0),IF(MAX(0,Inputs!$B$44-B787)&lt;=0,0,(INT(MAX(0,Inputs!$B$44-B787)/IF(Inputs!$B$39="pvp",15,MAX(0.1,Skills!D9-IF(Skills!E9=TRUE,Inputs!$B$33,0))))+1)),0)</f>
        <v/>
      </c>
    </row>
    <row r="758">
      <c r="A758">
        <f>Skills!A10</f>
        <v/>
      </c>
      <c r="B758">
        <f>Skills!B10</f>
        <v/>
      </c>
      <c r="C758">
        <f>Inputs!$B$3&gt;=66</f>
        <v/>
      </c>
      <c r="D758">
        <f>IF(Skills!C10=1,60+(Inputs!$B$26+1)+Inputs!$B$30,IF(Skills!C10=2,90+Inputs!$B$27+Inputs!$B$30,IF(Skills!C10=3,120+Inputs!$B$28+Inputs!$B$30,MAX(0,(Inputs!$B$3-100)*3)+Inputs!$B$29+Inputs!$B$30)))</f>
        <v/>
      </c>
      <c r="E758">
        <f>INDEX(FactorTable!$B$2:$Y$301, MATCH(ROUND(MIN(300,MAX(1,D758)),0), FactorTable!$A$2:$A$301,0), Skills!L10+1)</f>
        <v/>
      </c>
      <c r="F758" t="n">
        <v>0</v>
      </c>
      <c r="G758">
        <f>Calc!G10</f>
        <v/>
      </c>
      <c r="H758">
        <f>Calc!H10</f>
        <v/>
      </c>
      <c r="I758">
        <f>IF(Skills!T10&lt;&gt;"",1+(Skills!T10/10)*($Z$3/1000)/100,1)</f>
        <v/>
      </c>
      <c r="J758" t="inlineStr"/>
      <c r="K758" t="inlineStr"/>
      <c r="L758" t="inlineStr"/>
      <c r="M758" t="inlineStr"/>
      <c r="N758" t="inlineStr"/>
      <c r="O758" t="n">
        <v>0</v>
      </c>
      <c r="P758">
        <f>IF(B788=0,0,O758/B788)</f>
        <v/>
      </c>
      <c r="Q758">
        <f>IFERROR(1/IF(Inputs!$B$39="pvp",15,MAX(0.1,Skills!D10-IF(Skills!E10=TRUE,Inputs!$B$33,0))),0)</f>
        <v/>
      </c>
      <c r="R758">
        <f>IF(AND(Inputs!$B$39&lt;&gt;"pvp",Inputs!$B$44&gt;0),IF(MAX(0,Inputs!$B$44-B787)&lt;=0,0,(INT(MAX(0,Inputs!$B$44-B787)/IF(Inputs!$B$39="pvp",15,MAX(0.1,Skills!D10-IF(Skills!E10=TRUE,Inputs!$B$33,0))))+1)),0)</f>
        <v/>
      </c>
    </row>
    <row r="759">
      <c r="A759">
        <f>Skills!A11</f>
        <v/>
      </c>
      <c r="B759">
        <f>Skills!B11</f>
        <v/>
      </c>
      <c r="C759">
        <f>Inputs!$B$3&gt;=69</f>
        <v/>
      </c>
      <c r="D759">
        <f>IF(Skills!C11=1,60+(Inputs!$B$26+1)+Inputs!$B$30,IF(Skills!C11=2,90+Inputs!$B$27+Inputs!$B$30,IF(Skills!C11=3,120+Inputs!$B$28+Inputs!$B$30,MAX(0,(Inputs!$B$3-100)*3)+Inputs!$B$29+Inputs!$B$30)))</f>
        <v/>
      </c>
      <c r="E759">
        <f>INDEX(FactorTable!$B$2:$Y$301, MATCH(ROUND(MIN(300,MAX(1,D759)),0), FactorTable!$A$2:$A$301,0), Skills!L11+1)</f>
        <v/>
      </c>
      <c r="F759">
        <f>IF(Skills!M11=TRUE,(Skills!K11/10)*(E759/1000),Skills!K11/10)+Skills!N11</f>
        <v/>
      </c>
      <c r="G759">
        <f>Calc!G11</f>
        <v/>
      </c>
      <c r="H759">
        <f>Calc!H11</f>
        <v/>
      </c>
      <c r="I759">
        <f>IF(Skills!T11&lt;&gt;"",1+(Skills!T11/10)*($Z$3/1000)/100,1)</f>
        <v/>
      </c>
      <c r="J759" t="inlineStr"/>
      <c r="K759" t="inlineStr"/>
      <c r="L759" t="inlineStr"/>
      <c r="M759" t="inlineStr"/>
      <c r="N759" t="inlineStr"/>
      <c r="O759" t="n">
        <v>0</v>
      </c>
      <c r="P759">
        <f>IF(B788=0,0,O759/B788)</f>
        <v/>
      </c>
      <c r="Q759">
        <f>IFERROR(1/IF(Inputs!$B$39="pvp",15,MAX(0.1,Skills!D11-IF(Skills!E11=TRUE,Inputs!$B$33,0))),0)</f>
        <v/>
      </c>
      <c r="R759">
        <f>IF(AND(Inputs!$B$39&lt;&gt;"pvp",Inputs!$B$44&gt;0),IF(Inputs!$B$44&lt;=0,0,(INT(Inputs!$B$44/IF(Inputs!$B$39="pvp",15,MAX(0.1,Skills!D11-IF(Skills!E11=TRUE,Inputs!$B$33,0))))+1)),0)</f>
        <v/>
      </c>
    </row>
    <row r="760">
      <c r="A760">
        <f>Skills!A12</f>
        <v/>
      </c>
      <c r="B760">
        <f>Skills!B12</f>
        <v/>
      </c>
      <c r="C760">
        <f>Inputs!$B$3&gt;=72</f>
        <v/>
      </c>
      <c r="D760">
        <f>IF(Skills!C12=1,60+(Inputs!$B$26+1)+Inputs!$B$30,IF(Skills!C12=2,90+Inputs!$B$27+Inputs!$B$30,IF(Skills!C12=3,120+Inputs!$B$28+Inputs!$B$30,MAX(0,(Inputs!$B$3-100)*3)+Inputs!$B$29+Inputs!$B$30)))</f>
        <v/>
      </c>
      <c r="E760">
        <f>INDEX(FactorTable!$B$2:$Y$301, MATCH(ROUND(MIN(300,MAX(1,D760)),0), FactorTable!$A$2:$A$301,0), Skills!L12+1)</f>
        <v/>
      </c>
      <c r="F760">
        <f>IF(Skills!M12=TRUE,(Skills!K12/10)*(E760/1000),Skills!K12/10)+Skills!N12</f>
        <v/>
      </c>
      <c r="G760">
        <f>Calc!G12</f>
        <v/>
      </c>
      <c r="H760">
        <f>Calc!H12</f>
        <v/>
      </c>
      <c r="I760">
        <f>IF(Skills!T12&lt;&gt;"",1+(Skills!T12/10)*($Z$3/1000)/100,1)</f>
        <v/>
      </c>
      <c r="J760" t="inlineStr"/>
      <c r="K760" t="inlineStr"/>
      <c r="L760" t="inlineStr"/>
      <c r="M760" t="inlineStr"/>
      <c r="N760" t="inlineStr"/>
      <c r="O760" t="n">
        <v>0</v>
      </c>
      <c r="P760">
        <f>IF(B788=0,0,O760/B788)</f>
        <v/>
      </c>
      <c r="Q760">
        <f>IFERROR(1/IF(Inputs!$B$39="pvp",15,MAX(0.1,Skills!D12-IF(Skills!E12=TRUE,Inputs!$B$33,0))),0)</f>
        <v/>
      </c>
      <c r="R760">
        <f>IF(AND(Inputs!$B$39&lt;&gt;"pvp",Inputs!$B$44&gt;0),IF(MAX(0,Inputs!$B$44-B787)&lt;=0,0,(INT(MAX(0,Inputs!$B$44-B787)/IF(Inputs!$B$39="pvp",15,MAX(0.1,Skills!D12-IF(Skills!E12=TRUE,Inputs!$B$33,0))))+1)),0)</f>
        <v/>
      </c>
    </row>
    <row r="761">
      <c r="A761">
        <f>Skills!A13</f>
        <v/>
      </c>
      <c r="B761">
        <f>Skills!B13</f>
        <v/>
      </c>
      <c r="C761">
        <f>Inputs!$B$3&gt;=60</f>
        <v/>
      </c>
      <c r="D761">
        <f>IF(Skills!C13=1,60+(Inputs!$B$26+1)+Inputs!$B$30,IF(Skills!C13=2,90+Inputs!$B$27+Inputs!$B$30,IF(Skills!C13=3,120+Inputs!$B$28+Inputs!$B$30,MAX(0,(Inputs!$B$3-100)*3)+Inputs!$B$29+Inputs!$B$30)))</f>
        <v/>
      </c>
      <c r="E761">
        <f>INDEX(FactorTable!$B$2:$Y$301, MATCH(ROUND(MIN(300,MAX(1,D761)),0), FactorTable!$A$2:$A$301,0), Skills!L13+1)</f>
        <v/>
      </c>
      <c r="F761">
        <f>IF(Skills!M13=TRUE,(Skills!K13/10)*(E761/1000),Skills!K13/10)+Skills!N13</f>
        <v/>
      </c>
      <c r="G761">
        <f>Calc!G13</f>
        <v/>
      </c>
      <c r="H761">
        <f>Calc!H13</f>
        <v/>
      </c>
      <c r="I761">
        <f>IF(Skills!T13&lt;&gt;"",1+(Skills!T13/10)*($Z$3/1000)/100,1)</f>
        <v/>
      </c>
      <c r="J761" t="inlineStr"/>
      <c r="K761" t="inlineStr"/>
      <c r="L761" t="inlineStr"/>
      <c r="M761" t="inlineStr"/>
      <c r="N761" t="inlineStr"/>
      <c r="O761" t="n">
        <v>0</v>
      </c>
      <c r="P761">
        <f>IF(B788=0,0,O761/B788)</f>
        <v/>
      </c>
      <c r="Q761">
        <f>IFERROR(1/IF(Inputs!$B$39="pvp",15,MAX(0.1,Skills!D13-IF(Skills!E13=TRUE,Inputs!$B$33,0))),0)</f>
        <v/>
      </c>
      <c r="R761">
        <f>IF(AND(Inputs!$B$39&lt;&gt;"pvp",Inputs!$B$44&gt;0),IF(MAX(0,Inputs!$B$44-B787)&lt;=0,0,(INT(MAX(0,Inputs!$B$44-B787)/IF(Inputs!$B$39="pvp",15,MAX(0.1,Skills!D13-IF(Skills!E13=TRUE,Inputs!$B$33,0))))+1)),0)</f>
        <v/>
      </c>
    </row>
    <row r="762">
      <c r="A762">
        <f>Skills!A14</f>
        <v/>
      </c>
      <c r="B762">
        <f>Skills!B14</f>
        <v/>
      </c>
      <c r="C762">
        <f>Inputs!$B$3&gt;=107</f>
        <v/>
      </c>
      <c r="D762">
        <f>IF(Skills!C14=1,60+(Inputs!$B$26+1)+Inputs!$B$30,IF(Skills!C14=2,90+Inputs!$B$27+Inputs!$B$30,IF(Skills!C14=3,120+Inputs!$B$28+Inputs!$B$30,MAX(0,(Inputs!$B$3-100)*3)+Inputs!$B$29+Inputs!$B$30)))</f>
        <v/>
      </c>
      <c r="E762">
        <f>INDEX(FactorTable!$B$2:$Y$301, MATCH(ROUND(MIN(300,MAX(1,D762)),0), FactorTable!$A$2:$A$301,0), Skills!L14+1)</f>
        <v/>
      </c>
      <c r="F762">
        <f>IF(Skills!M14=TRUE,(Skills!K14/10)*(E762/1000),Skills!K14/10)+Skills!N14</f>
        <v/>
      </c>
      <c r="G762">
        <f>Calc!G14</f>
        <v/>
      </c>
      <c r="H762">
        <f>Calc!H14</f>
        <v/>
      </c>
      <c r="I762">
        <f>IF(Skills!T14&lt;&gt;"",1+(Skills!T14/10)*($Z$3/1000)/100,1)</f>
        <v/>
      </c>
      <c r="J762" t="inlineStr"/>
      <c r="K762" t="inlineStr"/>
      <c r="L762" t="inlineStr"/>
      <c r="M762" t="inlineStr"/>
      <c r="N762" t="inlineStr"/>
      <c r="O762" t="n">
        <v>0</v>
      </c>
      <c r="P762">
        <f>IF(B788=0,0,O762/B788)</f>
        <v/>
      </c>
      <c r="Q762">
        <f>IFERROR(1/IF(Inputs!$B$39="pvp",15,MAX(0.1,Skills!D14-IF(Skills!E14=TRUE,Inputs!$B$33,0))),0)</f>
        <v/>
      </c>
      <c r="R762">
        <f>IF(AND(Inputs!$B$39&lt;&gt;"pvp",Inputs!$B$44&gt;0),IF(Inputs!$B$44&lt;=0,0,(INT(Inputs!$B$44/IF(Inputs!$B$39="pvp",15,MAX(0.1,Skills!D14-IF(Skills!E14=TRUE,Inputs!$B$33,0))))+1)),0)</f>
        <v/>
      </c>
    </row>
    <row r="763">
      <c r="A763">
        <f>Skills!A15</f>
        <v/>
      </c>
      <c r="B763">
        <f>Skills!B15</f>
        <v/>
      </c>
      <c r="C763">
        <f>Inputs!$B$3&gt;=63</f>
        <v/>
      </c>
      <c r="D763">
        <f>IF(Skills!C15=1,60+(Inputs!$B$26+1)+Inputs!$B$30,IF(Skills!C15=2,90+Inputs!$B$27+Inputs!$B$30,IF(Skills!C15=3,120+Inputs!$B$28+Inputs!$B$30,MAX(0,(Inputs!$B$3-100)*3)+Inputs!$B$29+Inputs!$B$30)))</f>
        <v/>
      </c>
      <c r="E763">
        <f>INDEX(FactorTable!$B$2:$Y$301, MATCH(ROUND(MIN(300,MAX(1,D763)),0), FactorTable!$A$2:$A$301,0), Skills!L15+1)</f>
        <v/>
      </c>
      <c r="F763">
        <f>IF(Skills!M15=TRUE,(Skills!K15/10)*(E763/1000),Skills!K15/10)+Skills!N15</f>
        <v/>
      </c>
      <c r="G763">
        <f>Calc!G15</f>
        <v/>
      </c>
      <c r="H763">
        <f>Calc!H15</f>
        <v/>
      </c>
      <c r="I763">
        <f>IF(Skills!T15&lt;&gt;"",1+(Skills!T15/10)*($Z$3/1000)/100,1)</f>
        <v/>
      </c>
      <c r="J763">
        <f>((Inputs!$B$6*(1+Inputs!$B$7/100))+(((Inputs!$B$13*(1+Inputs!$B$14/100))-(Inputs!$B$13*(1+Inputs!$B$14/100)))+0.25*(Inputs!$B$15-Inputs!$B$15))*(1+Inputs!$B$7/100))*(F763/100)</f>
        <v/>
      </c>
      <c r="K763">
        <f>J763*(1+(((Inputs!$B$13+IF(Inputs!$B$3&gt;=35,(10*INDEX(FactorTable!$B$2:$Y$301, MATCH(ROUND(MIN(300,MAX(1,Inputs!$B$3)),0), FactorTable!$A$2:$A$301,0), 23)/1000)/100*(Inputs!$B$8*(1+(Inputs!$B$9+B786)/100)),0))*(1+Inputs!$B$14/100))*0.01+Inputs!$B$15*0.0025)/100)*(1+(Inputs!$B$16+B780)/100)*(1+IF(Inputs!$B$39="pvp",0,(1-Summary!$B$48)*(Inputs!$B$21+Skills!O15+B778)+Summary!$B$48*(Inputs!$B$22+Skills!P15+B779))/100)*(1+Inputs!$B$17/100)*(5000/(6000+Inputs!$B$43*(1-Inputs!$B$20/100)))*(1+Inputs!$B$25/100)*(1+IF(C766=TRUE,F766,0)/100)*(1+IF(C768=TRUE,F768,0)/100)*(1+IF(Skills!A15="TRIUMPH_FEATHER",IF(C764=TRUE,F764,0),0)/100)*(1+IF(C775=TRUE,F775,0)/100)^5*(1+(IF(Skills!A15="BIG_BANG",Inputs!$B$18,Inputs!$B$19))/100)*(B777*I763)</f>
        <v/>
      </c>
      <c r="L763">
        <f>K763*(MIN(Inputs!$B$23+(F770-Calc!F22),Inputs!$B$24)/100+Inputs!$B$24/100)/2</f>
        <v/>
      </c>
      <c r="M763">
        <f>L763*(1+(Inputs!$B$11+B781+(F773-Calc!F25))/100)</f>
        <v/>
      </c>
      <c r="N763">
        <f>L763*(1-MIN(Inputs!$B$10+((F772-Calc!F24)+(F771-Calc!F23)),100)/100)+M763*(MIN(Inputs!$B$10+((F772-Calc!F24)+(F771-Calc!F23)),100)/100)</f>
        <v/>
      </c>
      <c r="O763">
        <f>IF(C763,Skills!F15*N763*((IF(Inputs!$B$3&gt;=78,25,15)/100*B783*10)/(1+IF(Inputs!$B$3&gt;=78,25,15)/100*B783*10))*(Skills!I15/100*B783)/(1+Skills!G15*Skills!I15/100*B783)*IF(Inputs!$B$39="pvp",1,(1-Summary!$B$48)*(1)+Summary!$B$48*(MIN(Skills!Q15,Inputs!$B$38))),0)</f>
        <v/>
      </c>
      <c r="P763">
        <f>IF(B788=0,0,O763/B788)</f>
        <v/>
      </c>
      <c r="Q763">
        <f>IFERROR(1/IF(Inputs!$B$39="pvp",15,MAX(0.1,Skills!D15-IF(Skills!E15=TRUE,Inputs!$B$33,0))),0)</f>
        <v/>
      </c>
      <c r="R763" t="n">
        <v>0</v>
      </c>
    </row>
    <row r="764">
      <c r="A764">
        <f>Skills!A16</f>
        <v/>
      </c>
      <c r="B764">
        <f>Skills!B16</f>
        <v/>
      </c>
      <c r="C764">
        <f>Inputs!$B$3&gt;=100</f>
        <v/>
      </c>
      <c r="D764">
        <f>IF(Skills!C16=1,60+(Inputs!$B$26+1)+Inputs!$B$30,IF(Skills!C16=2,90+Inputs!$B$27+Inputs!$B$30,IF(Skills!C16=3,120+Inputs!$B$28+Inputs!$B$30,MAX(0,(Inputs!$B$3-100)*3)+Inputs!$B$29+Inputs!$B$30)))</f>
        <v/>
      </c>
      <c r="E764">
        <f>INDEX(FactorTable!$B$2:$Y$301, MATCH(ROUND(MIN(300,MAX(1,D764)),0), FactorTable!$A$2:$A$301,0), Skills!L16+1)</f>
        <v/>
      </c>
      <c r="F764">
        <f>IF(Skills!M16=TRUE,(Skills!K16/10)*(E764/1000),Skills!K16/10)+Skills!N16</f>
        <v/>
      </c>
      <c r="G764">
        <f>Calc!G16</f>
        <v/>
      </c>
      <c r="H764">
        <f>Calc!H16</f>
        <v/>
      </c>
      <c r="I764">
        <f>IF(Skills!T16&lt;&gt;"",1+(Skills!T16/10)*($Z$3/1000)/100,1)</f>
        <v/>
      </c>
      <c r="J764" t="inlineStr"/>
      <c r="K764" t="inlineStr"/>
      <c r="L764" t="inlineStr"/>
      <c r="M764" t="inlineStr"/>
      <c r="N764" t="inlineStr"/>
      <c r="O764" t="n">
        <v>0</v>
      </c>
      <c r="P764">
        <f>IF(B788=0,0,O764/B788)</f>
        <v/>
      </c>
      <c r="Q764">
        <f>IFERROR(1/IF(Inputs!$B$39="pvp",15,MAX(0.1,Skills!D16-IF(Skills!E16=TRUE,Inputs!$B$33,0))),0)</f>
        <v/>
      </c>
      <c r="R764" t="n">
        <v>0</v>
      </c>
    </row>
    <row r="765">
      <c r="A765">
        <f>Skills!A17</f>
        <v/>
      </c>
      <c r="B765">
        <f>Skills!B17</f>
        <v/>
      </c>
      <c r="C765">
        <f>Inputs!$B$3&gt;=49</f>
        <v/>
      </c>
      <c r="D765">
        <f>IF(Skills!C17=1,60+(Inputs!$B$26+1)+Inputs!$B$30,IF(Skills!C17=2,90+Inputs!$B$27+Inputs!$B$30,IF(Skills!C17=3,120+Inputs!$B$28+Inputs!$B$30,MAX(0,(Inputs!$B$3-100)*3)+Inputs!$B$29+Inputs!$B$30)))</f>
        <v/>
      </c>
      <c r="E765">
        <f>INDEX(FactorTable!$B$2:$Y$301, MATCH(ROUND(MIN(300,MAX(1,D765)),0), FactorTable!$A$2:$A$301,0), Skills!L17+1)</f>
        <v/>
      </c>
      <c r="F765">
        <f>IF(Skills!M17=TRUE,(Skills!K17/10)*(E765/1000),Skills!K17/10)+Skills!N17</f>
        <v/>
      </c>
      <c r="G765">
        <f>Calc!G17</f>
        <v/>
      </c>
      <c r="H765">
        <f>Calc!H17</f>
        <v/>
      </c>
      <c r="I765">
        <f>IF(Skills!T17&lt;&gt;"",1+(Skills!T17/10)*($Z$3/1000)/100,1)</f>
        <v/>
      </c>
      <c r="J765" t="inlineStr"/>
      <c r="K765" t="inlineStr"/>
      <c r="L765" t="inlineStr"/>
      <c r="M765" t="inlineStr"/>
      <c r="N765" t="inlineStr"/>
      <c r="O765" t="n">
        <v>0</v>
      </c>
      <c r="P765">
        <f>IF(B788=0,0,O765/B788)</f>
        <v/>
      </c>
      <c r="Q765">
        <f>IFERROR(1/IF(Inputs!$B$39="pvp",15,MAX(0.1,Skills!D17-IF(Skills!E17=TRUE,Inputs!$B$33,0))),0)</f>
        <v/>
      </c>
      <c r="R765" t="n">
        <v>0</v>
      </c>
    </row>
    <row r="766">
      <c r="A766">
        <f>Skills!A18</f>
        <v/>
      </c>
      <c r="B766">
        <f>Skills!B18</f>
        <v/>
      </c>
      <c r="C766">
        <f>Inputs!$B$3&gt;=75</f>
        <v/>
      </c>
      <c r="D766">
        <f>IF(Skills!C18=1,60+(Inputs!$B$26+1)+Inputs!$B$30,IF(Skills!C18=2,90+Inputs!$B$27+Inputs!$B$30,IF(Skills!C18=3,120+Inputs!$B$28+Inputs!$B$30,MAX(0,(Inputs!$B$3-100)*3)+Inputs!$B$29+Inputs!$B$30)))</f>
        <v/>
      </c>
      <c r="E766">
        <f>INDEX(FactorTable!$B$2:$Y$301, MATCH(ROUND(MIN(300,MAX(1,D766)),0), FactorTable!$A$2:$A$301,0), Skills!L18+1)</f>
        <v/>
      </c>
      <c r="F766">
        <f>IF(Skills!M18=TRUE,(Skills!K18/10)*(E766/1000),Skills!K18/10)+Skills!N18</f>
        <v/>
      </c>
      <c r="G766">
        <f>Calc!G18</f>
        <v/>
      </c>
      <c r="H766">
        <f>Calc!H18</f>
        <v/>
      </c>
      <c r="I766">
        <f>IF(Skills!T18&lt;&gt;"",1+(Skills!T18/10)*($Z$3/1000)/100,1)</f>
        <v/>
      </c>
      <c r="J766" t="inlineStr"/>
      <c r="K766" t="inlineStr"/>
      <c r="L766" t="inlineStr"/>
      <c r="M766" t="inlineStr"/>
      <c r="N766" t="inlineStr"/>
      <c r="O766" t="n">
        <v>0</v>
      </c>
      <c r="P766">
        <f>IF(B788=0,0,O766/B788)</f>
        <v/>
      </c>
      <c r="Q766">
        <f>IFERROR(1/IF(Inputs!$B$39="pvp",15,MAX(0.1,Skills!D18-IF(Skills!E18=TRUE,Inputs!$B$33,0))),0)</f>
        <v/>
      </c>
      <c r="R766" t="n">
        <v>0</v>
      </c>
    </row>
    <row r="767">
      <c r="A767">
        <f>Skills!A19</f>
        <v/>
      </c>
      <c r="B767">
        <f>Skills!B19</f>
        <v/>
      </c>
      <c r="C767">
        <f>Inputs!$B$3&gt;=110</f>
        <v/>
      </c>
      <c r="D767">
        <f>IF(Skills!C19=1,60+(Inputs!$B$26+1)+Inputs!$B$30,IF(Skills!C19=2,90+Inputs!$B$27+Inputs!$B$30,IF(Skills!C19=3,120+Inputs!$B$28+Inputs!$B$30,MAX(0,(Inputs!$B$3-100)*3)+Inputs!$B$29+Inputs!$B$30)))</f>
        <v/>
      </c>
      <c r="E767">
        <f>INDEX(FactorTable!$B$2:$Y$301, MATCH(ROUND(MIN(300,MAX(1,D767)),0), FactorTable!$A$2:$A$301,0), Skills!L19+1)</f>
        <v/>
      </c>
      <c r="F767">
        <f>(Skills!K19/10)*(E767/1000)*64/45+Skills!N19</f>
        <v/>
      </c>
      <c r="G767">
        <f>Calc!G19</f>
        <v/>
      </c>
      <c r="H767">
        <f>Calc!H19</f>
        <v/>
      </c>
      <c r="I767">
        <f>IF(Skills!T19&lt;&gt;"",1+(Skills!T19/10)*($Z$3/1000)/100,1)</f>
        <v/>
      </c>
      <c r="J767" t="inlineStr"/>
      <c r="K767" t="inlineStr"/>
      <c r="L767" t="inlineStr"/>
      <c r="M767" t="inlineStr"/>
      <c r="N767" t="inlineStr"/>
      <c r="O767" t="n">
        <v>0</v>
      </c>
      <c r="P767">
        <f>IF(B788=0,0,O767/B788)</f>
        <v/>
      </c>
      <c r="Q767">
        <f>IFERROR(1/IF(Inputs!$B$39="pvp",15,MAX(0.1,Skills!D19-IF(Skills!E19=TRUE,Inputs!$B$33,0))),0)</f>
        <v/>
      </c>
      <c r="R767">
        <f>IF(AND(Inputs!$B$39&lt;&gt;"pvp",Inputs!$B$44&gt;0),IF(Inputs!$B$44&lt;=0,0,(INT(Inputs!$B$44/IF(Inputs!$B$39="pvp",15,MAX(0.1,Skills!D19-IF(Skills!E19=TRUE,Inputs!$B$33,0))))+1)),0)</f>
        <v/>
      </c>
    </row>
    <row r="768">
      <c r="A768">
        <f>Skills!A20</f>
        <v/>
      </c>
      <c r="B768">
        <f>Skills!B20</f>
        <v/>
      </c>
      <c r="C768">
        <f>Inputs!$B$3&gt;=125</f>
        <v/>
      </c>
      <c r="D768">
        <f>IF(Skills!C20=1,60+(Inputs!$B$26+1)+Inputs!$B$30,IF(Skills!C20=2,90+Inputs!$B$27+Inputs!$B$30,IF(Skills!C20=3,120+Inputs!$B$28+Inputs!$B$30,MAX(0,(Inputs!$B$3-100)*3)+Inputs!$B$29+Inputs!$B$30)))</f>
        <v/>
      </c>
      <c r="E768">
        <f>INDEX(FactorTable!$B$2:$Y$301, MATCH(ROUND(MIN(300,MAX(1,D768)),0), FactorTable!$A$2:$A$301,0), Skills!L20+1)</f>
        <v/>
      </c>
      <c r="F768">
        <f>IF(Skills!M20=TRUE,(Skills!K20/10)*(E768/1000),Skills!K20/10)+Skills!N20</f>
        <v/>
      </c>
      <c r="G768">
        <f>Calc!G20</f>
        <v/>
      </c>
      <c r="H768">
        <f>Calc!H20</f>
        <v/>
      </c>
      <c r="I768">
        <f>IF(Skills!T20&lt;&gt;"",1+(Skills!T20/10)*($Z$3/1000)/100,1)</f>
        <v/>
      </c>
      <c r="J768" t="inlineStr"/>
      <c r="K768" t="inlineStr"/>
      <c r="L768" t="inlineStr"/>
      <c r="M768" t="inlineStr"/>
      <c r="N768" t="inlineStr"/>
      <c r="O768" t="n">
        <v>0</v>
      </c>
      <c r="P768">
        <f>IF(B788=0,0,O768/B788)</f>
        <v/>
      </c>
      <c r="Q768">
        <f>IFERROR(1/IF(Inputs!$B$39="pvp",15,MAX(0.1,Skills!D20-IF(Skills!E20=TRUE,Inputs!$B$33,0))),0)</f>
        <v/>
      </c>
      <c r="R768" t="n">
        <v>0</v>
      </c>
    </row>
    <row r="769">
      <c r="A769">
        <f>Skills!A21</f>
        <v/>
      </c>
      <c r="B769">
        <f>Skills!B21</f>
        <v/>
      </c>
      <c r="C769">
        <f>Inputs!$B$3&gt;=33</f>
        <v/>
      </c>
      <c r="D769">
        <f>IF(Skills!C21=1,60+(Inputs!$B$26+1)+Inputs!$B$30,IF(Skills!C21=2,90+Inputs!$B$27+Inputs!$B$30,IF(Skills!C21=3,120+Inputs!$B$28+Inputs!$B$30,MAX(0,(Inputs!$B$3-100)*3)+Inputs!$B$29+Inputs!$B$30)))</f>
        <v/>
      </c>
      <c r="E769">
        <f>INDEX(FactorTable!$B$2:$Y$301, MATCH(ROUND(MIN(300,MAX(1,D769)),0), FactorTable!$A$2:$A$301,0), Skills!L21+1)</f>
        <v/>
      </c>
      <c r="F769">
        <f>IF(Skills!M21=TRUE,(Skills!K21/10)*(E769/1000),Skills!K21/10)+Skills!N21</f>
        <v/>
      </c>
      <c r="G769">
        <f>Calc!G21</f>
        <v/>
      </c>
      <c r="H769">
        <f>Calc!H21</f>
        <v/>
      </c>
      <c r="I769">
        <f>IF(Skills!T21&lt;&gt;"",1+(Skills!T21/10)*($Z$3/1000)/100,1)</f>
        <v/>
      </c>
      <c r="J769" t="inlineStr"/>
      <c r="K769" t="inlineStr"/>
      <c r="L769" t="inlineStr"/>
      <c r="M769" t="inlineStr"/>
      <c r="N769" t="inlineStr"/>
      <c r="O769" t="n">
        <v>0</v>
      </c>
      <c r="P769">
        <f>IF(B788=0,0,O769/B788)</f>
        <v/>
      </c>
      <c r="Q769">
        <f>IFERROR(1/IF(Inputs!$B$39="pvp",15,MAX(0.1,Skills!D21-IF(Skills!E21=TRUE,Inputs!$B$33,0))),0)</f>
        <v/>
      </c>
      <c r="R769" t="n">
        <v>0</v>
      </c>
    </row>
    <row r="770">
      <c r="A770">
        <f>Skills!A22</f>
        <v/>
      </c>
      <c r="B770">
        <f>Skills!B22</f>
        <v/>
      </c>
      <c r="C770">
        <f>Inputs!$B$3&gt;=43</f>
        <v/>
      </c>
      <c r="D770">
        <f>IF(Skills!C22=1,60+(Inputs!$B$26+1)+Inputs!$B$30,IF(Skills!C22=2,90+Inputs!$B$27+Inputs!$B$30,IF(Skills!C22=3,120+Inputs!$B$28+Inputs!$B$30,MAX(0,(Inputs!$B$3-100)*3)+Inputs!$B$29+Inputs!$B$30)))</f>
        <v/>
      </c>
      <c r="E770">
        <f>INDEX(FactorTable!$B$2:$Y$301, MATCH(ROUND(MIN(300,MAX(1,D770)),0), FactorTable!$A$2:$A$301,0), Skills!L22+1)</f>
        <v/>
      </c>
      <c r="F770">
        <f>IF(Skills!M22=TRUE,(Skills!K22/10)*(E770/1000),Skills!K22/10)+Skills!N22</f>
        <v/>
      </c>
      <c r="G770">
        <f>Calc!G22</f>
        <v/>
      </c>
      <c r="H770">
        <f>Calc!H22</f>
        <v/>
      </c>
      <c r="I770">
        <f>IF(Skills!T22&lt;&gt;"",1+(Skills!T22/10)*($Z$3/1000)/100,1)</f>
        <v/>
      </c>
      <c r="J770" t="inlineStr"/>
      <c r="K770" t="inlineStr"/>
      <c r="L770" t="inlineStr"/>
      <c r="M770" t="inlineStr"/>
      <c r="N770" t="inlineStr"/>
      <c r="O770" t="n">
        <v>0</v>
      </c>
      <c r="P770">
        <f>IF(B788=0,0,O770/B788)</f>
        <v/>
      </c>
      <c r="Q770">
        <f>IFERROR(1/IF(Inputs!$B$39="pvp",15,MAX(0.1,Skills!D22-IF(Skills!E22=TRUE,Inputs!$B$33,0))),0)</f>
        <v/>
      </c>
      <c r="R770" t="n">
        <v>0</v>
      </c>
    </row>
    <row r="771">
      <c r="A771">
        <f>Skills!A23</f>
        <v/>
      </c>
      <c r="B771">
        <f>Skills!B23</f>
        <v/>
      </c>
      <c r="C771">
        <f>Inputs!$B$3&gt;=50</f>
        <v/>
      </c>
      <c r="D771">
        <f>IF(Skills!C23=1,60+(Inputs!$B$26+1)+Inputs!$B$30,IF(Skills!C23=2,90+Inputs!$B$27+Inputs!$B$30,IF(Skills!C23=3,120+Inputs!$B$28+Inputs!$B$30,MAX(0,(Inputs!$B$3-100)*3)+Inputs!$B$29+Inputs!$B$30)))</f>
        <v/>
      </c>
      <c r="E771">
        <f>INDEX(FactorTable!$B$2:$Y$301, MATCH(ROUND(MIN(300,MAX(1,D771)),0), FactorTable!$A$2:$A$301,0), Skills!L23+1)</f>
        <v/>
      </c>
      <c r="F771">
        <f>IF(Skills!M23=TRUE,(Skills!K23/10)*(E771/1000),Skills!K23/10)+Skills!N23</f>
        <v/>
      </c>
      <c r="G771">
        <f>Calc!G23</f>
        <v/>
      </c>
      <c r="H771">
        <f>Calc!H23</f>
        <v/>
      </c>
      <c r="I771">
        <f>IF(Skills!T23&lt;&gt;"",1+(Skills!T23/10)*($Z$3/1000)/100,1)</f>
        <v/>
      </c>
      <c r="J771" t="inlineStr"/>
      <c r="K771" t="inlineStr"/>
      <c r="L771" t="inlineStr"/>
      <c r="M771" t="inlineStr"/>
      <c r="N771" t="inlineStr"/>
      <c r="O771" t="n">
        <v>0</v>
      </c>
      <c r="P771">
        <f>IF(B788=0,0,O771/B788)</f>
        <v/>
      </c>
      <c r="Q771">
        <f>IFERROR(1/IF(Inputs!$B$39="pvp",15,MAX(0.1,Skills!D23-IF(Skills!E23=TRUE,Inputs!$B$33,0))),0)</f>
        <v/>
      </c>
      <c r="R771" t="n">
        <v>0</v>
      </c>
    </row>
    <row r="772">
      <c r="A772">
        <f>Skills!A24</f>
        <v/>
      </c>
      <c r="B772">
        <f>Skills!B24</f>
        <v/>
      </c>
      <c r="C772">
        <f>Inputs!$B$3&gt;=74</f>
        <v/>
      </c>
      <c r="D772">
        <f>IF(Skills!C24=1,60+(Inputs!$B$26+1)+Inputs!$B$30,IF(Skills!C24=2,90+Inputs!$B$27+Inputs!$B$30,IF(Skills!C24=3,120+Inputs!$B$28+Inputs!$B$30,MAX(0,(Inputs!$B$3-100)*3)+Inputs!$B$29+Inputs!$B$30)))</f>
        <v/>
      </c>
      <c r="E772">
        <f>INDEX(FactorTable!$B$2:$Y$301, MATCH(ROUND(MIN(300,MAX(1,D772)),0), FactorTable!$A$2:$A$301,0), Skills!L24+1)</f>
        <v/>
      </c>
      <c r="F772">
        <f>IF(Skills!M24=TRUE,(Skills!K24/10)*(E772/1000),Skills!K24/10)+Skills!N24</f>
        <v/>
      </c>
      <c r="G772">
        <f>Calc!G24</f>
        <v/>
      </c>
      <c r="H772">
        <f>Calc!H24</f>
        <v/>
      </c>
      <c r="I772">
        <f>IF(Skills!T24&lt;&gt;"",1+(Skills!T24/10)*($Z$3/1000)/100,1)</f>
        <v/>
      </c>
      <c r="J772" t="inlineStr"/>
      <c r="K772" t="inlineStr"/>
      <c r="L772" t="inlineStr"/>
      <c r="M772" t="inlineStr"/>
      <c r="N772" t="inlineStr"/>
      <c r="O772" t="n">
        <v>0</v>
      </c>
      <c r="P772">
        <f>IF(B788=0,0,O772/B788)</f>
        <v/>
      </c>
      <c r="Q772">
        <f>IFERROR(1/IF(Inputs!$B$39="pvp",15,MAX(0.1,Skills!D24-IF(Skills!E24=TRUE,Inputs!$B$33,0))),0)</f>
        <v/>
      </c>
      <c r="R772" t="n">
        <v>0</v>
      </c>
    </row>
    <row r="773">
      <c r="A773">
        <f>Skills!A25</f>
        <v/>
      </c>
      <c r="B773">
        <f>Skills!B25</f>
        <v/>
      </c>
      <c r="C773">
        <f>Inputs!$B$3&gt;=74</f>
        <v/>
      </c>
      <c r="D773">
        <f>IF(Skills!C25=1,60+(Inputs!$B$26+1)+Inputs!$B$30,IF(Skills!C25=2,90+Inputs!$B$27+Inputs!$B$30,IF(Skills!C25=3,120+Inputs!$B$28+Inputs!$B$30,MAX(0,(Inputs!$B$3-100)*3)+Inputs!$B$29+Inputs!$B$30)))</f>
        <v/>
      </c>
      <c r="E773">
        <f>INDEX(FactorTable!$B$2:$Y$301, MATCH(ROUND(MIN(300,MAX(1,D773)),0), FactorTable!$A$2:$A$301,0), Skills!L25+1)</f>
        <v/>
      </c>
      <c r="F773">
        <f>IF(Skills!M25=TRUE,(Skills!K25/10)*(E773/1000),Skills!K25/10)+Skills!N25</f>
        <v/>
      </c>
      <c r="G773">
        <f>Calc!G25</f>
        <v/>
      </c>
      <c r="H773">
        <f>Calc!H25</f>
        <v/>
      </c>
      <c r="I773">
        <f>IF(Skills!T25&lt;&gt;"",1+(Skills!T25/10)*($Z$3/1000)/100,1)</f>
        <v/>
      </c>
      <c r="J773" t="inlineStr"/>
      <c r="K773" t="inlineStr"/>
      <c r="L773" t="inlineStr"/>
      <c r="M773" t="inlineStr"/>
      <c r="N773" t="inlineStr"/>
      <c r="O773" t="n">
        <v>0</v>
      </c>
      <c r="P773">
        <f>IF(B788=0,0,O773/B788)</f>
        <v/>
      </c>
      <c r="Q773">
        <f>IFERROR(1/IF(Inputs!$B$39="pvp",15,MAX(0.1,Skills!D25-IF(Skills!E25=TRUE,Inputs!$B$33,0))),0)</f>
        <v/>
      </c>
      <c r="R773" t="n">
        <v>0</v>
      </c>
    </row>
    <row r="774">
      <c r="A774">
        <f>Skills!A26</f>
        <v/>
      </c>
      <c r="B774">
        <f>Skills!B26</f>
        <v/>
      </c>
      <c r="C774">
        <f>Inputs!$B$3&gt;=117</f>
        <v/>
      </c>
      <c r="D774">
        <f>IF(Skills!C26=1,60+(Inputs!$B$26+1)+Inputs!$B$30,IF(Skills!C26=2,90+Inputs!$B$27+Inputs!$B$30,IF(Skills!C26=3,120+Inputs!$B$28+Inputs!$B$30,MAX(0,(Inputs!$B$3-100)*3)+Inputs!$B$29+Inputs!$B$30)))</f>
        <v/>
      </c>
      <c r="E774">
        <f>INDEX(FactorTable!$B$2:$Y$301, MATCH(ROUND(MIN(300,MAX(1,D774)),0), FactorTable!$A$2:$A$301,0), Skills!L26+1)</f>
        <v/>
      </c>
      <c r="F774">
        <f>IF(Skills!M26=TRUE,(Skills!K26/10)*(E774/1000),Skills!K26/10)+Skills!N26</f>
        <v/>
      </c>
      <c r="G774">
        <f>Calc!G26</f>
        <v/>
      </c>
      <c r="H774">
        <f>Calc!H26</f>
        <v/>
      </c>
      <c r="I774">
        <f>IF(Skills!T26&lt;&gt;"",1+(Skills!T26/10)*($Z$3/1000)/100,1)</f>
        <v/>
      </c>
      <c r="J774" t="inlineStr"/>
      <c r="K774" t="inlineStr"/>
      <c r="L774" t="inlineStr"/>
      <c r="M774" t="inlineStr"/>
      <c r="N774" t="inlineStr"/>
      <c r="O774" t="n">
        <v>0</v>
      </c>
      <c r="P774">
        <f>IF(B788=0,0,O774/B788)</f>
        <v/>
      </c>
      <c r="Q774">
        <f>IFERROR(1/IF(Inputs!$B$39="pvp",15,MAX(0.1,Skills!D26-IF(Skills!E26=TRUE,Inputs!$B$33,0))),0)</f>
        <v/>
      </c>
      <c r="R774" t="n">
        <v>0</v>
      </c>
    </row>
    <row r="775">
      <c r="A775">
        <f>Skills!A27</f>
        <v/>
      </c>
      <c r="B775">
        <f>Skills!B27</f>
        <v/>
      </c>
      <c r="C775">
        <f>Inputs!$B$3&gt;=120</f>
        <v/>
      </c>
      <c r="D775">
        <f>IF(Skills!C27=1,60+(Inputs!$B$26+1)+Inputs!$B$30,IF(Skills!C27=2,90+Inputs!$B$27+Inputs!$B$30,IF(Skills!C27=3,120+Inputs!$B$28+Inputs!$B$30,MAX(0,(Inputs!$B$3-100)*3)+Inputs!$B$29+Inputs!$B$30)))</f>
        <v/>
      </c>
      <c r="E775">
        <f>INDEX(FactorTable!$B$2:$Y$301, MATCH(ROUND(MIN(300,MAX(1,D775)),0), FactorTable!$A$2:$A$301,0), Skills!L27+1)</f>
        <v/>
      </c>
      <c r="F775">
        <f>IF(Skills!M27=TRUE,(Skills!K27/10)*(E775/1000),Skills!K27/10)+Skills!N27</f>
        <v/>
      </c>
      <c r="G775">
        <f>Calc!G27</f>
        <v/>
      </c>
      <c r="H775">
        <f>Calc!H27</f>
        <v/>
      </c>
      <c r="I775">
        <f>IF(Skills!T27&lt;&gt;"",1+(Skills!T27/10)*($Z$3/1000)/100,1)</f>
        <v/>
      </c>
      <c r="J775" t="inlineStr"/>
      <c r="K775" t="inlineStr"/>
      <c r="L775" t="inlineStr"/>
      <c r="M775" t="inlineStr"/>
      <c r="N775" t="inlineStr"/>
      <c r="O775" t="n">
        <v>0</v>
      </c>
      <c r="P775">
        <f>IF(B788=0,0,O775/B788)</f>
        <v/>
      </c>
      <c r="Q775">
        <f>IFERROR(1/IF(Inputs!$B$39="pvp",15,MAX(0.1,Skills!D27-IF(Skills!E27=TRUE,Inputs!$B$33,0))),0)</f>
        <v/>
      </c>
      <c r="R775" t="n">
        <v>0</v>
      </c>
    </row>
    <row r="777">
      <c r="A777" t="inlineStr">
        <is>
          <t>Average Buff Multiplier</t>
        </is>
      </c>
      <c r="B777">
        <f>(1+(IF(C751=TRUE,F751*IF(AND(Inputs!$B$39&lt;&gt;"pvp",Inputs!$B$44&gt;0),(((R751-1)*(Skills!S3*(1+(Inputs!$B$35+IF(Inputs!$B$3&gt;=117,F774,0))/100))+MIN((Skills!S3*(1+(Inputs!$B$35+IF(Inputs!$B$3&gt;=117,F774,0))/100)),MAX(0,Inputs!$B$44-((R751-1)*Skills!D3))))/Inputs!$B$44),IF(Inputs!$B$39="pvp",MIN((Skills!S3*(1+(Inputs!$B$35+IF(Inputs!$B$3&gt;=117,F774,0))/100)),15)/15,(Skills!S3*(1+(Inputs!$B$35+IF(Inputs!$B$3&gt;=117,F774,0))/100))/Skills!D3)),0)+IF(C752=TRUE,F752*IF(AND(Inputs!$B$39&lt;&gt;"pvp",Inputs!$B$44&gt;0),(((R752-1)*(Skills!S4*(1+(Inputs!$B$35+IF(Inputs!$B$3&gt;=117,F774,0))/100))+MIN((Skills!S4*(1+(Inputs!$B$35+IF(Inputs!$B$3&gt;=117,F774,0))/100)),MAX(0,Inputs!$B$44-((R752-1)*Skills!D4))))/Inputs!$B$44),IF(Inputs!$B$39="pvp",MIN((Skills!S4*(1+(Inputs!$B$35+IF(Inputs!$B$3&gt;=117,F774,0))/100)),15)/15,(Skills!S4*(1+(Inputs!$B$35+IF(Inputs!$B$3&gt;=117,F774,0))/100))/Skills!D4)),0)+IF(C753=TRUE,F753*IF(AND(Inputs!$B$39&lt;&gt;"pvp",Inputs!$B$44&gt;0),(((R753-1)*(Skills!S5*(1+(Inputs!$B$35+IF(Inputs!$B$3&gt;=117,F774,0))/100))+MIN((Skills!S5*(1+(Inputs!$B$35+IF(Inputs!$B$3&gt;=117,F774,0))/100)),MAX(0,Inputs!$B$44-((R753-1)*Skills!D5))))/Inputs!$B$44),IF(Inputs!$B$39="pvp",MIN((Skills!S5*(1+(Inputs!$B$35+IF(Inputs!$B$3&gt;=117,F774,0))/100)),15)/15,(Skills!S5*(1+(Inputs!$B$35+IF(Inputs!$B$3&gt;=117,F774,0))/100))/Skills!D5)),0)+IF(C759=TRUE,F759*IF(AND(Inputs!$B$39&lt;&gt;"pvp",Inputs!$B$44&gt;0),(((R759-1)*(Skills!S11*(1+(Inputs!$B$35+IF(Inputs!$B$3&gt;=117,F774,0))/100))+MIN((Skills!S11*(1+(Inputs!$B$35+IF(Inputs!$B$3&gt;=117,F774,0))/100)),MAX(0,Inputs!$B$44-((R759-1)*Skills!D11))))/Inputs!$B$44),IF(Inputs!$B$39="pvp",MIN((Skills!S11*(1+(Inputs!$B$35+IF(Inputs!$B$3&gt;=117,F774,0))/100)),15)/15,(Skills!S11*(1+(Inputs!$B$35+IF(Inputs!$B$3&gt;=117,F774,0))/100))/Skills!D11)),0))/100)*IF(C762=TRUE,(1+F762*IF(AND(Inputs!$B$39&lt;&gt;"pvp",Inputs!$B$44&gt;0),(((R762-1)*(Skills!S14*(1+(Inputs!$B$35+IF(Inputs!$B$3&gt;=117,F774,0))/100))+MIN((Skills!S14*(1+(Inputs!$B$35+IF(Inputs!$B$3&gt;=117,F774,0))/100)),MAX(0,Inputs!$B$44-((R762-1)*Skills!D14))))/Inputs!$B$44),IF(Inputs!$B$39="pvp",MIN((Skills!S14*(1+(Inputs!$B$35+IF(Inputs!$B$3&gt;=117,F774,0))/100)),15)/15,(Skills!S14*(1+(Inputs!$B$35+IF(Inputs!$B$3&gt;=117,F774,0))/100))/Skills!D14))/100),1)*IF(C767=TRUE,(1+F767*IF(AND(Inputs!$B$39&lt;&gt;"pvp",Inputs!$B$44&gt;0),(((R767-1)*(Skills!S19*(1+(Inputs!$B$35+IF(Inputs!$B$3&gt;=117,F774,0))/100))+MIN((Skills!S19*(1+(Inputs!$B$35+IF(Inputs!$B$3&gt;=117,F774,0))/100)),MAX(0,Inputs!$B$44-((R767-1)*Skills!D19))))/Inputs!$B$44),IF(Inputs!$B$39="pvp",MIN((Skills!S19*(1+(Inputs!$B$35+IF(Inputs!$B$3&gt;=117,F774,0))/100)),15)/15,(Skills!S19*(1+(Inputs!$B$35+IF(Inputs!$B$3&gt;=117,F774,0))/100))/Skills!D19))/100),1)</f>
        <v/>
      </c>
    </row>
    <row r="778">
      <c r="A778" t="inlineStr">
        <is>
          <t>Monster Damage Taken Bonus % (Holy Fountain)</t>
        </is>
      </c>
      <c r="B778">
        <f>IF(Inputs!$B$3&gt;=68,20*IF(Inputs!$B$39="pvp",MIN((15*(1+(Inputs!$B$35+IF(Inputs!$B$3&gt;=117,F774,0))/100)),15)/15,(15*(1+(Inputs!$B$35+IF(Inputs!$B$3&gt;=117,F774,0))/100))/Skills!D10),0)</f>
        <v/>
      </c>
    </row>
    <row r="779">
      <c r="A779" t="inlineStr">
        <is>
          <t>Normal Monster Damage Bonus % (Holy Symbol)</t>
        </is>
      </c>
      <c r="B779">
        <f>IF(C760=TRUE,F760*IF(AND(Inputs!$B$39&lt;&gt;"pvp",Inputs!$B$44&gt;0),(((R760-1)*(Skills!S12*(1+(Inputs!$B$35+IF(Inputs!$B$3&gt;=117,F774,0))/100))+MIN((Skills!S12*(1+(Inputs!$B$35+IF(Inputs!$B$3&gt;=117,F774,0))/100)),MAX(0,Inputs!$B$44-((R760-1)*Skills!D12))))/Inputs!$B$44),IF(Inputs!$B$39="pvp",MIN((Skills!S12*(1+(Inputs!$B$35+IF(Inputs!$B$3&gt;=117,F774,0))/100)),15)/15,(Skills!S12*(1+(Inputs!$B$35+IF(Inputs!$B$3&gt;=117,F774,0))/100))/Skills!D12)),0)</f>
        <v/>
      </c>
    </row>
    <row r="780">
      <c r="A780" t="inlineStr">
        <is>
          <t>Damage % Bonus (Holy Symbol - Damage Boost)</t>
        </is>
      </c>
      <c r="B780">
        <f>Skills!O12</f>
        <v/>
      </c>
    </row>
    <row r="781">
      <c r="A781" t="inlineStr">
        <is>
          <t>Crit Damage % Bonus (Blood of the Divine)</t>
        </is>
      </c>
      <c r="B781">
        <f>4*IF(C768=TRUE,F768,0)</f>
        <v/>
      </c>
    </row>
    <row r="782">
      <c r="A782" t="inlineStr">
        <is>
          <t>Attack Speed Bonus %</t>
        </is>
      </c>
      <c r="B782">
        <f>IF(C765=TRUE,F765+(F769-Calc!F21),0)+IF(Inputs!$B$3&gt;=134,15,0)</f>
        <v/>
      </c>
    </row>
    <row r="783">
      <c r="A783" t="inlineStr">
        <is>
          <t>Actions Per Second</t>
        </is>
      </c>
      <c r="B783">
        <f>1+MIN(150,150*(1-(1-Inputs!$B$12/150)*(1-B782/150)))/100</f>
        <v/>
      </c>
    </row>
    <row r="784">
      <c r="A784" t="inlineStr">
        <is>
          <t>Skill + Buff Cast Rate</t>
        </is>
      </c>
      <c r="B784">
        <f>IF(AND(Inputs!$B$39&lt;&gt;"pvp",Inputs!$B$44&gt;0),SUMPRODUCT((Skills!E2:E27=TRUE)*(C750:C775=TRUE)*R750:R775)/Inputs!$B$44,SUMPRODUCT((Skills!E2:E27=TRUE)*(C750:C775=TRUE)*Q750:Q775))</f>
        <v/>
      </c>
    </row>
    <row r="785">
      <c r="A785" t="inlineStr">
        <is>
          <t>Big Bang Casts Per Second</t>
        </is>
      </c>
      <c r="B785">
        <f>MAX(0,B783-B784)</f>
        <v/>
      </c>
    </row>
    <row r="786">
      <c r="A786" t="inlineStr">
        <is>
          <t>Defense % Bonus (Divine Protection)</t>
        </is>
      </c>
      <c r="B786">
        <f>IF(C761=TRUE,F761*IF(AND(Inputs!$B$39&lt;&gt;"pvp",Inputs!$B$44&gt;0),(((R761-1)*(Skills!S13*(1+(Inputs!$B$35+IF(Inputs!$B$3&gt;=117,F774,0))/100))+MIN((Skills!S13*(1+(Inputs!$B$35+IF(Inputs!$B$3&gt;=117,F774,0))/100)),MAX(0,Inputs!$B$44-((R761-1)*Skills!D13))))/Inputs!$B$44),IF(Inputs!$B$39="pvp",MIN((Skills!S13*(1+(Inputs!$B$35+IF(Inputs!$B$3&gt;=117,F774,0))/100)),15)/15,(Skills!S13*(1+(Inputs!$B$35+IF(Inputs!$B$3&gt;=117,F774,0))/100))/Skills!D13)),0)</f>
        <v/>
      </c>
    </row>
    <row r="787">
      <c r="A787" t="inlineStr">
        <is>
          <t>Buff-Casting Startup Delay (s, fixed-duration only)</t>
        </is>
      </c>
      <c r="B787">
        <f>IF(AND(Inputs!$B$39&lt;&gt;"pvp",Inputs!$B$44&gt;0),SUMPRODUCT((Skills!S2:S27&gt;0)*(Skills!E2:E27=TRUE)*(C750:C775=TRUE))/B783,0)</f>
        <v/>
      </c>
    </row>
    <row r="788">
      <c r="A788" s="5" t="inlineStr">
        <is>
          <t>TOTAL DPS</t>
        </is>
      </c>
      <c r="B788" s="5">
        <f>SUM(O750:O775)</f>
        <v/>
      </c>
    </row>
    <row r="790">
      <c r="A790" s="5" t="inlineStr">
        <is>
          <t>Stat: Skill Level Bonus — 2nd Job</t>
        </is>
      </c>
    </row>
    <row r="791">
      <c r="A791" s="9" t="inlineStr">
        <is>
          <t>Key</t>
        </is>
      </c>
      <c r="B791" s="9" t="inlineStr">
        <is>
          <t>Name</t>
        </is>
      </c>
      <c r="C791" s="9" t="inlineStr">
        <is>
          <t>Unlocked</t>
        </is>
      </c>
      <c r="D791" s="9" t="inlineStr">
        <is>
          <t>InputLevel</t>
        </is>
      </c>
      <c r="E791" s="9" t="inlineStr">
        <is>
          <t>Factor</t>
        </is>
      </c>
      <c r="F791" s="9" t="inlineStr">
        <is>
          <t>CoefficientPercent</t>
        </is>
      </c>
      <c r="G791" s="9" t="inlineStr">
        <is>
          <t>EffectiveHits</t>
        </is>
      </c>
      <c r="H791" s="9" t="inlineStr">
        <is>
          <t>ProcProbability</t>
        </is>
      </c>
      <c r="I791" s="9" t="inlineStr">
        <is>
          <t>MapleHeroMultiplier</t>
        </is>
      </c>
      <c r="J791" s="9" t="inlineStr">
        <is>
          <t>BaseDamage</t>
        </is>
      </c>
      <c r="K791" s="9" t="inlineStr">
        <is>
          <t>BaseHitDamage</t>
        </is>
      </c>
      <c r="L791" s="9" t="inlineStr">
        <is>
          <t>NonCritAvg</t>
        </is>
      </c>
      <c r="M791" s="9" t="inlineStr">
        <is>
          <t>CritAvg</t>
        </is>
      </c>
      <c r="N791" s="9" t="inlineStr">
        <is>
          <t>ExpectedDamage(perHit)</t>
        </is>
      </c>
      <c r="O791" s="9" t="inlineStr">
        <is>
          <t>DPS</t>
        </is>
      </c>
      <c r="P791" s="9"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IF(Skills!T2&lt;&gt;"",1+(Skills!T2/10)*($Z$3/1000)/100,1)</f>
        <v/>
      </c>
      <c r="J792">
        <f>((Inputs!$B$6*(1+Inputs!$B$7/100))+(((Inputs!$B$13*(1+Inputs!$B$14/100))-(Inputs!$B$13*(1+Inputs!$B$14/100)))+0.25*(Inputs!$B$15-Inputs!$B$15))*(1+Inputs!$B$7/100))*(F792/100)</f>
        <v/>
      </c>
      <c r="K792">
        <f>J792*(1+(((Inputs!$B$13+IF(Inputs!$B$3&gt;=35,(10*INDEX(FactorTable!$B$2:$Y$301, MATCH(ROUND(MIN(300,MAX(1,Inputs!$B$3)),0), FactorTable!$A$2:$A$301,0), 23)/1000)/100*(Inputs!$B$8*(1+(Inputs!$B$9+B828)/100)),0))*(1+Inputs!$B$14/100))*0.01+Inputs!$B$15*0.0025)/100)*(1+(Inputs!$B$16+B822)/100)*(1+IF(Inputs!$B$39="pvp",0,(1-Summary!$B$48)*(Inputs!$B$21+Skills!O2+B820)+Summary!$B$48*(Inputs!$B$22+Skills!P2+B821))/100)*(1+Inputs!$B$17/100)*(5000/(6000+Inputs!$B$43*(1-Inputs!$B$20/100)))*(1+Inputs!$B$25/100)*(1+IF(C808=TRUE,F808,0)/100)*(1+IF(C810=TRUE,F810,0)/100)*(1+IF(Skills!A2="TRIUMPH_FEATHER",IF(C806=TRUE,F806,0),0)/100)*(1+IF(C817=TRUE,F817,0)/100)^5*(1+(IF(Skills!A2="BIG_BANG",Inputs!$B$18,Inputs!$B$19))/100)*(B819*I792)</f>
        <v/>
      </c>
      <c r="L792">
        <f>K792*(MIN(Inputs!$B$23+(F812-Calc!F22),Inputs!$B$24)/100+Inputs!$B$24/100)/2</f>
        <v/>
      </c>
      <c r="M792">
        <f>L792*(1+(Inputs!$B$11+B823+(F815-Calc!F25))/100)</f>
        <v/>
      </c>
      <c r="N792">
        <f>L792*(1-MIN(Inputs!$B$10+((F814-Calc!F24)+(F813-Calc!F23)),100)/100)+M792*(MIN(Inputs!$B$10+((F814-Calc!F24)+(F813-Calc!F23)),100)/100)</f>
        <v/>
      </c>
      <c r="O792">
        <f>IF(C792,Skills!F2*N792*B827*IF(Inputs!$B$39="pvp",1,(1-Summary!$B$48)*(1)+Summary!$B$48*(MIN((6+Inputs!$B$34),Inputs!$B$38))),0)</f>
        <v/>
      </c>
      <c r="P792">
        <f>IF(B830=0,0,O792/B830)</f>
        <v/>
      </c>
      <c r="Q792">
        <f>IFERROR(1/IF(Inputs!$B$39="pvp",15,MAX(0.1,Skills!D2-IF(Skills!E2=TRUE,Inputs!$B$33,0))),0)</f>
        <v/>
      </c>
      <c r="R792" t="n">
        <v>0</v>
      </c>
      <c r="T792">
        <f>MAX(0,(Inputs!$B$3-100)*3)+Inputs!$B$29+Inputs!$B$30</f>
        <v/>
      </c>
    </row>
    <row r="793">
      <c r="A793">
        <f>Skills!A3</f>
        <v/>
      </c>
      <c r="B793">
        <f>Skills!B3</f>
        <v/>
      </c>
      <c r="C793">
        <f>Inputs!$B$3&gt;=15</f>
        <v/>
      </c>
      <c r="D793">
        <f>IF(Skills!C3=1,60+Inputs!$B$26+Inputs!$B$30,IF(Skills!C3=2,90+(Inputs!$B$27+1)+Inputs!$B$30,IF(Skills!C3=3,120+Inputs!$B$28+Inputs!$B$30,MAX(0,(Inputs!$B$3-100)*3)+Inputs!$B$29+Inputs!$B$30)))</f>
        <v/>
      </c>
      <c r="E793">
        <f>INDEX(FactorTable!$B$2:$Y$301, MATCH(ROUND(MIN(300,MAX(1,D793)),0), FactorTable!$A$2:$A$301,0), Skills!L3+1)</f>
        <v/>
      </c>
      <c r="F793">
        <f>IF(Skills!M3=TRUE,(Skills!K3/10)*(E793/1000),Skills!K3/10)+Skills!N3</f>
        <v/>
      </c>
      <c r="G793">
        <f>Calc!G3</f>
        <v/>
      </c>
      <c r="H793">
        <f>Calc!H3</f>
        <v/>
      </c>
      <c r="I793">
        <f>IF(Skills!T3&lt;&gt;"",1+(Skills!T3/10)*($Z$3/1000)/100,1)</f>
        <v/>
      </c>
      <c r="J793" t="inlineStr"/>
      <c r="K793" t="inlineStr"/>
      <c r="L793" t="inlineStr"/>
      <c r="M793" t="inlineStr"/>
      <c r="N793" t="inlineStr"/>
      <c r="O793" t="n">
        <v>0</v>
      </c>
      <c r="P793">
        <f>IF(B830=0,0,O793/B830)</f>
        <v/>
      </c>
      <c r="Q793">
        <f>IFERROR(1/IF(Inputs!$B$39="pvp",15,MAX(0.1,Skills!D3-IF(Skills!E3=TRUE,Inputs!$B$33,0))),0)</f>
        <v/>
      </c>
      <c r="R793">
        <f>IF(AND(Inputs!$B$39&lt;&gt;"pvp",Inputs!$B$44&gt;0),IF(Inputs!$B$44&lt;=0,0,(INT(Inputs!$B$44/IF(Inputs!$B$39="pvp",15,MAX(0.1,Skills!D3-IF(Skills!E3=TRUE,Inputs!$B$33,0))))+1)),0)</f>
        <v/>
      </c>
      <c r="T793">
        <f>INDEX(FactorTable!$B$2:$Y$301, MATCH(ROUND(MIN(300,MAX(1,T792)),0), FactorTable!$A$2:$A$301,0), 22)</f>
        <v/>
      </c>
    </row>
    <row r="794">
      <c r="A794">
        <f>Skills!A4</f>
        <v/>
      </c>
      <c r="B794">
        <f>Skills!B4</f>
        <v/>
      </c>
      <c r="C794">
        <f>Inputs!$B$3&gt;=38</f>
        <v/>
      </c>
      <c r="D794">
        <f>IF(Skills!C4=1,60+Inputs!$B$26+Inputs!$B$30,IF(Skills!C4=2,90+(Inputs!$B$27+1)+Inputs!$B$30,IF(Skills!C4=3,120+Inputs!$B$28+Inputs!$B$30,MAX(0,(Inputs!$B$3-100)*3)+Inputs!$B$29+Inputs!$B$30)))</f>
        <v/>
      </c>
      <c r="E794">
        <f>INDEX(FactorTable!$B$2:$Y$301, MATCH(ROUND(MIN(300,MAX(1,D794)),0), FactorTable!$A$2:$A$301,0), Skills!L4+1)</f>
        <v/>
      </c>
      <c r="F794">
        <f>IF(Skills!M4=TRUE,(Skills!K4/10)*(E794/1000),Skills!K4/10)+Skills!N4</f>
        <v/>
      </c>
      <c r="G794">
        <f>Calc!G4</f>
        <v/>
      </c>
      <c r="H794">
        <f>Calc!H4</f>
        <v/>
      </c>
      <c r="I794">
        <f>IF(Skills!T4&lt;&gt;"",1+(Skills!T4/10)*($Z$3/1000)/100,1)</f>
        <v/>
      </c>
      <c r="J794" t="inlineStr"/>
      <c r="K794" t="inlineStr"/>
      <c r="L794" t="inlineStr"/>
      <c r="M794" t="inlineStr"/>
      <c r="N794" t="inlineStr"/>
      <c r="O794" t="n">
        <v>0</v>
      </c>
      <c r="P794">
        <f>IF(B830=0,0,O794/B830)</f>
        <v/>
      </c>
      <c r="Q794">
        <f>IFERROR(1/IF(Inputs!$B$39="pvp",15,MAX(0.1,Skills!D4-IF(Skills!E4=TRUE,Inputs!$B$33,0))),0)</f>
        <v/>
      </c>
      <c r="R794">
        <f>IF(AND(Inputs!$B$39&lt;&gt;"pvp",Inputs!$B$44&gt;0),IF(Inputs!$B$44&lt;=0,0,(INT(Inputs!$B$44/IF(Inputs!$B$39="pvp",15,MAX(0.1,Skills!D4-IF(Skills!E4=TRUE,Inputs!$B$33,0))))+1)),0)</f>
        <v/>
      </c>
      <c r="T794">
        <f>290*T793/1000</f>
        <v/>
      </c>
    </row>
    <row r="795">
      <c r="A795">
        <f>Skills!A5</f>
        <v/>
      </c>
      <c r="B795">
        <f>Skills!B5</f>
        <v/>
      </c>
      <c r="C795">
        <f>Inputs!$B$3&gt;=40</f>
        <v/>
      </c>
      <c r="D795">
        <f>IF(Skills!C5=1,60+Inputs!$B$26+Inputs!$B$30,IF(Skills!C5=2,90+(Inputs!$B$27+1)+Inputs!$B$30,IF(Skills!C5=3,120+Inputs!$B$28+Inputs!$B$30,MAX(0,(Inputs!$B$3-100)*3)+Inputs!$B$29+Inputs!$B$30)))</f>
        <v/>
      </c>
      <c r="E795">
        <f>INDEX(FactorTable!$B$2:$Y$301, MATCH(ROUND(MIN(300,MAX(1,D795)),0), FactorTable!$A$2:$A$301,0), Skills!L5+1)</f>
        <v/>
      </c>
      <c r="F795">
        <f>IF(Skills!M5=TRUE,(Skills!K5/10)*(E795/1000),Skills!K5/10)+Skills!N5</f>
        <v/>
      </c>
      <c r="G795">
        <f>Calc!G5</f>
        <v/>
      </c>
      <c r="H795">
        <f>Calc!H5</f>
        <v/>
      </c>
      <c r="I795">
        <f>IF(Skills!T5&lt;&gt;"",1+(Skills!T5/10)*($Z$3/1000)/100,1)</f>
        <v/>
      </c>
      <c r="J795" t="inlineStr"/>
      <c r="K795" t="inlineStr"/>
      <c r="L795" t="inlineStr"/>
      <c r="M795" t="inlineStr"/>
      <c r="N795" t="inlineStr"/>
      <c r="O795" t="n">
        <v>0</v>
      </c>
      <c r="P795">
        <f>IF(B830=0,0,O795/B830)</f>
        <v/>
      </c>
      <c r="Q795">
        <f>IFERROR(1/IF(Inputs!$B$39="pvp",15,MAX(0.1,Skills!D5-IF(Skills!E5=TRUE,Inputs!$B$33,0))),0)</f>
        <v/>
      </c>
      <c r="R795">
        <f>IF(AND(Inputs!$B$39&lt;&gt;"pvp",Inputs!$B$44&gt;0),IF(Inputs!$B$44&lt;=0,0,(INT(Inputs!$B$44/IF(Inputs!$B$39="pvp",15,MAX(0.1,Skills!D5-IF(Skills!E5=TRUE,Inputs!$B$33,0))))+1)),0)</f>
        <v/>
      </c>
    </row>
    <row r="796">
      <c r="A796">
        <f>Skills!A6</f>
        <v/>
      </c>
      <c r="B796">
        <f>Skills!B6</f>
        <v/>
      </c>
      <c r="C796">
        <f>Inputs!$B$3&gt;=103</f>
        <v/>
      </c>
      <c r="D796">
        <f>IF(Skills!C6=1,60+Inputs!$B$26+Inputs!$B$30,IF(Skills!C6=2,90+(Inputs!$B$27+1)+Inputs!$B$30,IF(Skills!C6=3,120+Inputs!$B$28+Inputs!$B$30,MAX(0,(Inputs!$B$3-100)*3)+Inputs!$B$29+Inputs!$B$30)))</f>
        <v/>
      </c>
      <c r="E796">
        <f>INDEX(FactorTable!$B$2:$Y$301, MATCH(ROUND(MIN(300,MAX(1,D796)),0), FactorTable!$A$2:$A$301,0), Skills!L6+1)</f>
        <v/>
      </c>
      <c r="F796">
        <f>IF(Skills!M6=TRUE,(Skills!K6/10)*(E796/1000),Skills!K6/10)+Skills!N6</f>
        <v/>
      </c>
      <c r="G796">
        <f>Calc!G6</f>
        <v/>
      </c>
      <c r="H796">
        <f>Calc!H6</f>
        <v/>
      </c>
      <c r="I796">
        <f>IF(Skills!T6&lt;&gt;"",1+(Skills!T6/10)*($Z$3/1000)/100,1)</f>
        <v/>
      </c>
      <c r="J796">
        <f>((Inputs!$B$6*(1+Inputs!$B$7/100))+(((Inputs!$B$13*(1+Inputs!$B$14/100))-(Inputs!$B$13*(1+Inputs!$B$14/100)))+0.25*(Inputs!$B$15-Inputs!$B$15))*(1+Inputs!$B$7/100))*(F796/100)</f>
        <v/>
      </c>
      <c r="K796">
        <f>J796*(1+(((Inputs!$B$13+IF(Inputs!$B$3&gt;=35,(10*INDEX(FactorTable!$B$2:$Y$301, MATCH(ROUND(MIN(300,MAX(1,Inputs!$B$3)),0), FactorTable!$A$2:$A$301,0), 23)/1000)/100*(Inputs!$B$8*(1+(Inputs!$B$9+B828)/100)),0))*(1+Inputs!$B$14/100))*0.01+Inputs!$B$15*0.0025)/100)*(1+(Inputs!$B$16+B822)/100)*(1+IF(Inputs!$B$39="pvp",0,(1-Summary!$B$48)*(Inputs!$B$21+Skills!O6+B820)+Summary!$B$48*(Inputs!$B$22+Skills!P6+B821))/100)*(1+Inputs!$B$17/100)*(5000/(6000+Inputs!$B$43*(1-Inputs!$B$20/100)))*(1+Inputs!$B$25/100)*(1+IF(C808=TRUE,F808,0)/100)*(1+IF(C810=TRUE,F810,0)/100)*(1+IF(Skills!A6="TRIUMPH_FEATHER",IF(C806=TRUE,F806,0),0)/100)*(1+IF(C817=TRUE,F817,0)/100)^5*(1+(IF(Skills!A6="BIG_BANG",Inputs!$B$18,Inputs!$B$19))/100)*(B819*I796)</f>
        <v/>
      </c>
      <c r="L796">
        <f>K796*(MIN(Inputs!$B$23+(F812-Calc!F22),Inputs!$B$24)/100+Inputs!$B$24/100)/2</f>
        <v/>
      </c>
      <c r="M796">
        <f>L796*(1+(Inputs!$B$11+B823+(F815-Calc!F25))/100)</f>
        <v/>
      </c>
      <c r="N796">
        <f>L796*(1-MIN(Inputs!$B$10+((F814-Calc!F24)+(F813-Calc!F23)),100)/100)+M796*(MIN(Inputs!$B$10+((F814-Calc!F24)+(F813-Calc!F23)),100)/100)</f>
        <v/>
      </c>
      <c r="O796">
        <f>IF(C796,H796*N796*IF(AND(Inputs!$B$39&lt;&gt;"pvp",Inputs!$B$44&gt;0),((Skills!F6*((R796-1)*IF(Skills!G6&gt;0,Skills!H6/Skills!G6,1)+IF(Skills!G6&gt;0,MIN(Skills!H6,MAX(0,MAX(0,Inputs!$B$44-B829)-((R796-1)*IF(Inputs!$B$39="pvp",15,MAX(0.1,Skills!D6-IF(Skills!E6=TRUE,Inputs!$B$33,0))))))/Skills!G6,1)))/Inputs!$B$44),G796*Q796)*IF(Inputs!$B$39="pvp",1,(1-Summary!$B$48)*(1)+Summary!$B$48*(MIN(Skills!Q6,Inputs!$B$38))),0)</f>
        <v/>
      </c>
      <c r="P796">
        <f>IF(B830=0,0,O796/B830)</f>
        <v/>
      </c>
      <c r="Q796">
        <f>IFERROR(1/IF(Inputs!$B$39="pvp",15,MAX(0.1,Skills!D6-IF(Skills!E6=TRUE,Inputs!$B$33,0))),0)</f>
        <v/>
      </c>
      <c r="R796">
        <f>IF(AND(Inputs!$B$39&lt;&gt;"pvp",Inputs!$B$44&gt;0),IF(MAX(0,Inputs!$B$44-B829)&lt;=0,0,(INT(MAX(0,Inputs!$B$44-B829)/IF(Inputs!$B$39="pvp",15,MAX(0.1,Skills!D6-IF(Skills!E6=TRUE,Inputs!$B$33,0))))+1)),0)</f>
        <v/>
      </c>
    </row>
    <row r="797">
      <c r="A797">
        <f>Skills!A7</f>
        <v/>
      </c>
      <c r="B797">
        <f>Skills!B7</f>
        <v/>
      </c>
      <c r="C797">
        <f>Inputs!$B$3&gt;=122</f>
        <v/>
      </c>
      <c r="D797">
        <f>IF(Skills!C7=1,60+Inputs!$B$26+Inputs!$B$30,IF(Skills!C7=2,90+(Inputs!$B$27+1)+Inputs!$B$30,IF(Skills!C7=3,120+Inputs!$B$28+Inputs!$B$30,MAX(0,(Inputs!$B$3-100)*3)+Inputs!$B$29+Inputs!$B$30)))</f>
        <v/>
      </c>
      <c r="E797">
        <f>INDEX(FactorTable!$B$2:$Y$301, MATCH(ROUND(MIN(300,MAX(1,D797)),0), FactorTable!$A$2:$A$301,0), Skills!L7+1)</f>
        <v/>
      </c>
      <c r="F797">
        <f>IF(Skills!M7=TRUE,(Skills!K7/10)*(E797/1000),Skills!K7/10)+Skills!N7</f>
        <v/>
      </c>
      <c r="G797">
        <f>Calc!G7</f>
        <v/>
      </c>
      <c r="H797">
        <f>Calc!H7</f>
        <v/>
      </c>
      <c r="I797">
        <f>IF(Skills!T7&lt;&gt;"",1+(Skills!T7/10)*($Z$3/1000)/100,1)</f>
        <v/>
      </c>
      <c r="J797">
        <f>((Inputs!$B$6*(1+Inputs!$B$7/100))+(((Inputs!$B$13*(1+Inputs!$B$14/100))-(Inputs!$B$13*(1+Inputs!$B$14/100)))+0.25*(Inputs!$B$15-Inputs!$B$15))*(1+Inputs!$B$7/100))*(F797/100)</f>
        <v/>
      </c>
      <c r="K797">
        <f>J797*(1+(((Inputs!$B$13+IF(Inputs!$B$3&gt;=35,(10*INDEX(FactorTable!$B$2:$Y$301, MATCH(ROUND(MIN(300,MAX(1,Inputs!$B$3)),0), FactorTable!$A$2:$A$301,0), 23)/1000)/100*(Inputs!$B$8*(1+(Inputs!$B$9+B828)/100)),0))*(1+Inputs!$B$14/100))*0.01+Inputs!$B$15*0.0025)/100)*(1+(Inputs!$B$16+B822)/100)*(1+IF(Inputs!$B$39="pvp",0,(1-Summary!$B$48)*(Inputs!$B$21+Skills!O7+B820)+Summary!$B$48*(Inputs!$B$22+Skills!P7+B821))/100)*(1+Inputs!$B$17/100)*(5000/(6000+Inputs!$B$43*(1-Inputs!$B$20/100)))*(1+Inputs!$B$25/100)*(1+IF(C808=TRUE,F808,0)/100)*(1+IF(C810=TRUE,F810,0)/100)*(1+IF(Skills!A7="TRIUMPH_FEATHER",IF(C806=TRUE,F806,0),0)/100)*(1+IF(C817=TRUE,F817,0)/100)^5*(1+(IF(Skills!A7="BIG_BANG",Inputs!$B$18,Inputs!$B$19))/100)*(B819*I797)</f>
        <v/>
      </c>
      <c r="L797">
        <f>K797*(MIN(Inputs!$B$23+(F812-Calc!F22),Inputs!$B$24)/100+Inputs!$B$24/100)/2</f>
        <v/>
      </c>
      <c r="M797">
        <f>L797*(1+(Inputs!$B$11+B823+(F815-Calc!F25))/100)</f>
        <v/>
      </c>
      <c r="N797">
        <f>L797*(1-MIN(Inputs!$B$10+((F814-Calc!F24)+(F813-Calc!F23)),100)/100)+M797*(MIN(Inputs!$B$10+((F814-Calc!F24)+(F813-Calc!F23)),100)/100)</f>
        <v/>
      </c>
      <c r="O797">
        <f>IF(C797,H797*N797*IF(AND(Inputs!$B$39&lt;&gt;"pvp",Inputs!$B$44&gt;0),((Skills!F7*((R797-1)*IF(Skills!G7&gt;0,Skills!H7/Skills!G7,1)+IF(Skills!G7&gt;0,MIN(Skills!H7,MAX(0,MAX(0,Inputs!$B$44-B829)-((R797-1)*IF(Inputs!$B$39="pvp",15,MAX(0.1,Skills!D7-IF(Skills!E6=TRUE,Inputs!$B$33,0))))))/Skills!G7,1)))/Inputs!$B$44),G797*Q797)*(1-Summary!$B$48),0)</f>
        <v/>
      </c>
      <c r="P797">
        <f>IF(B830=0,0,O797/B830)</f>
        <v/>
      </c>
      <c r="Q797">
        <f>IFERROR(1/IF(Inputs!$B$39="pvp",15,MAX(0.1,Skills!D7-IF(Skills!E6=TRUE,Inputs!$B$33,0))),0)</f>
        <v/>
      </c>
      <c r="R797">
        <f>IF(AND(Inputs!$B$39&lt;&gt;"pvp",Inputs!$B$44&gt;0),IF(MAX(0,Inputs!$B$44-B829)&lt;=0,0,(INT(MAX(0,Inputs!$B$44-B829)/IF(Inputs!$B$39="pvp",15,MAX(0.1,Skills!D7-IF(Skills!E6=TRUE,Inputs!$B$33,0))))+1)),0)</f>
        <v/>
      </c>
    </row>
    <row r="798">
      <c r="A798">
        <f>Skills!A8</f>
        <v/>
      </c>
      <c r="B798">
        <f>Skills!B8</f>
        <v/>
      </c>
      <c r="C798">
        <f>Inputs!$B$3&gt;=105</f>
        <v/>
      </c>
      <c r="D798">
        <f>IF(Skills!C8=1,60+Inputs!$B$26+Inputs!$B$30,IF(Skills!C8=2,90+(Inputs!$B$27+1)+Inputs!$B$30,IF(Skills!C8=3,120+Inputs!$B$28+Inputs!$B$30,MAX(0,(Inputs!$B$3-100)*3)+Inputs!$B$29+Inputs!$B$30)))</f>
        <v/>
      </c>
      <c r="E798">
        <f>INDEX(FactorTable!$B$2:$Y$301, MATCH(ROUND(MIN(300,MAX(1,D798)),0), FactorTable!$A$2:$A$301,0), Skills!L8+1)</f>
        <v/>
      </c>
      <c r="F798">
        <f>IF(Skills!M8=TRUE,(Skills!K8/10)*(E798/1000),Skills!K8/10)+Skills!N8</f>
        <v/>
      </c>
      <c r="G798">
        <f>Calc!G8</f>
        <v/>
      </c>
      <c r="H798">
        <f>Calc!H8</f>
        <v/>
      </c>
      <c r="I798">
        <f>IF(Skills!T8&lt;&gt;"",1+(Skills!T8/10)*($Z$3/1000)/100,1)</f>
        <v/>
      </c>
      <c r="J798">
        <f>((Inputs!$B$6*(1+Inputs!$B$7/100))+(((Inputs!$B$13*(1+Inputs!$B$14/100))-(Inputs!$B$13*(1+Inputs!$B$14/100)))+0.25*(Inputs!$B$15-Inputs!$B$15))*(1+Inputs!$B$7/100))*(F798/100)</f>
        <v/>
      </c>
      <c r="K798">
        <f>J798*(1+(((Inputs!$B$13+IF(Inputs!$B$3&gt;=35,(10*INDEX(FactorTable!$B$2:$Y$301, MATCH(ROUND(MIN(300,MAX(1,Inputs!$B$3)),0), FactorTable!$A$2:$A$301,0), 23)/1000)/100*(Inputs!$B$8*(1+(Inputs!$B$9+B828)/100)),0))*(1+Inputs!$B$14/100))*0.01+Inputs!$B$15*0.0025)/100)*(1+(Inputs!$B$16+B822)/100)*(1+IF(Inputs!$B$39="pvp",0,(1-Summary!$B$48)*(Inputs!$B$21+Skills!O8+B820)+Summary!$B$48*(Inputs!$B$22+Skills!P8+B821))/100)*(1+Inputs!$B$17/100)*(5000/(6000+Inputs!$B$43*(1-Inputs!$B$20/100)))*(1+Inputs!$B$25/100)*(1+IF(C808=TRUE,F808,0)/100)*(1+IF(C810=TRUE,F810,0)/100)*(1+IF(Skills!A8="TRIUMPH_FEATHER",IF(C806=TRUE,F806,0),0)/100)*(1+IF(C817=TRUE,F817,0)/100)^5*(1+(IF(Skills!A8="BIG_BANG",Inputs!$B$18,Inputs!$B$19))/100)*(B819*I798)</f>
        <v/>
      </c>
      <c r="L798">
        <f>K798*(MIN(Inputs!$B$23+(F812-Calc!F22),Inputs!$B$24)/100+Inputs!$B$24/100)/2</f>
        <v/>
      </c>
      <c r="M798">
        <f>L798*(1+(Inputs!$B$11+B823+(F815-Calc!F25))/100)</f>
        <v/>
      </c>
      <c r="N798">
        <f>L798*(1-MIN(Inputs!$B$10+((F814-Calc!F24)+(F813-Calc!F23)),100)/100)+M798*(MIN(Inputs!$B$10+((F814-Calc!F24)+(F813-Calc!F23)),100)/100)</f>
        <v/>
      </c>
      <c r="O798">
        <f>IF(C798,H798*N798*IF(AND(Inputs!$B$39&lt;&gt;"pvp",Inputs!$B$44&gt;0),((Skills!F8*((R798-1)*IF(Skills!G8&gt;0,Skills!H8/Skills!G8,1)+IF(Skills!G8&gt;0,MIN(Skills!H8,MAX(0,MAX(0,Inputs!$B$44-B829)-((R798-1)*IF(Inputs!$B$39="pvp",15,MAX(0.1,Skills!D8-IF(Skills!E8=TRUE,Inputs!$B$33,0))))))/Skills!G8,1)))/Inputs!$B$44),G798*Q798)*IF(Inputs!$B$39="pvp",1,(1-Summary!$B$48)*(1)+Summary!$B$48*(MIN(Skills!Q8,Inputs!$B$38))),0)</f>
        <v/>
      </c>
      <c r="P798">
        <f>IF(B830=0,0,O798/B830)</f>
        <v/>
      </c>
      <c r="Q798">
        <f>IFERROR(1/IF(Inputs!$B$39="pvp",15,MAX(0.1,Skills!D8-IF(Skills!E8=TRUE,Inputs!$B$33,0))),0)</f>
        <v/>
      </c>
      <c r="R798">
        <f>IF(AND(Inputs!$B$39&lt;&gt;"pvp",Inputs!$B$44&gt;0),IF(MAX(0,Inputs!$B$44-B829)&lt;=0,0,(INT(MAX(0,Inputs!$B$44-B829)/IF(Inputs!$B$39="pvp",15,MAX(0.1,Skills!D8-IF(Skills!E8=TRUE,Inputs!$B$33,0))))+1)),0)</f>
        <v/>
      </c>
    </row>
    <row r="799">
      <c r="A799">
        <f>Skills!A9</f>
        <v/>
      </c>
      <c r="B799">
        <f>Skills!B9</f>
        <v/>
      </c>
      <c r="C799">
        <f>Inputs!$B$3&gt;=115</f>
        <v/>
      </c>
      <c r="D799">
        <f>IF(Skills!C9=1,60+Inputs!$B$26+Inputs!$B$30,IF(Skills!C9=2,90+(Inputs!$B$27+1)+Inputs!$B$30,IF(Skills!C9=3,120+Inputs!$B$28+Inputs!$B$30,MAX(0,(Inputs!$B$3-100)*3)+Inputs!$B$29+Inputs!$B$30)))</f>
        <v/>
      </c>
      <c r="E799">
        <f>INDEX(FactorTable!$B$2:$Y$301, MATCH(ROUND(MIN(300,MAX(1,D799)),0), FactorTable!$A$2:$A$301,0), Skills!L9+1)</f>
        <v/>
      </c>
      <c r="F799">
        <f>IF(Skills!M9=TRUE,(Skills!K9/10)*(E799/1000),Skills!K9/10)+Skills!N9</f>
        <v/>
      </c>
      <c r="G799">
        <f>Calc!G9</f>
        <v/>
      </c>
      <c r="H799">
        <f>Calc!H9</f>
        <v/>
      </c>
      <c r="I799">
        <f>IF(Skills!T9&lt;&gt;"",1+(Skills!T9/10)*($Z$3/1000)/100,1)</f>
        <v/>
      </c>
      <c r="J799">
        <f>((Inputs!$B$6*(1+Inputs!$B$7/100))+(((Inputs!$B$13*(1+Inputs!$B$14/100))-(Inputs!$B$13*(1+Inputs!$B$14/100)))+0.25*(Inputs!$B$15-Inputs!$B$15))*(1+Inputs!$B$7/100))*(F799/100)</f>
        <v/>
      </c>
      <c r="K799">
        <f>J799*(1+(((Inputs!$B$13+IF(Inputs!$B$3&gt;=35,(10*INDEX(FactorTable!$B$2:$Y$301, MATCH(ROUND(MIN(300,MAX(1,Inputs!$B$3)),0), FactorTable!$A$2:$A$301,0), 23)/1000)/100*(Inputs!$B$8*(1+(Inputs!$B$9+B828)/100)),0))*(1+Inputs!$B$14/100))*0.01+Inputs!$B$15*0.0025)/100)*(1+(Inputs!$B$16+B822)/100)*(1+IF(Inputs!$B$39="pvp",0,(1-Summary!$B$48)*(Inputs!$B$21+Skills!O9+B820)+Summary!$B$48*(Inputs!$B$22+Skills!P9+B821))/100)*(1+Inputs!$B$17/100)*(5000/(6000+Inputs!$B$43*(1-Inputs!$B$20/100)))*(1+Inputs!$B$25/100)*(1+IF(C808=TRUE,F808,0)/100)*(1+IF(C810=TRUE,F810,0)/100)*(1+IF(Skills!A9="TRIUMPH_FEATHER",IF(C806=TRUE,F806,0),0)/100)*(1+IF(C817=TRUE,F817,0)/100)^5*(1+(IF(Skills!A9="BIG_BANG",Inputs!$B$18,Inputs!$B$19))/100)*(B819*I799)</f>
        <v/>
      </c>
      <c r="L799">
        <f>K799*(MIN(Inputs!$B$23+(F812-Calc!F22),Inputs!$B$24)/100+Inputs!$B$24/100)/2</f>
        <v/>
      </c>
      <c r="M799">
        <f>L799*(1+(Inputs!$B$11+B823+(F815-Calc!F25))/100)</f>
        <v/>
      </c>
      <c r="N799">
        <f>L799*(1-MIN(Inputs!$B$10+((F814-Calc!F24)+(F813-Calc!F23)),100)/100)+M799*(MIN(Inputs!$B$10+((F814-Calc!F24)+(F813-Calc!F23)),100)/100)</f>
        <v/>
      </c>
      <c r="O799">
        <f>IF(C799,H799*N799*IF(AND(Inputs!$B$39&lt;&gt;"pvp",Inputs!$B$44&gt;0),((Skills!F9*((R799-1)*IF(Skills!G9&gt;0,Skills!H9/Skills!G9,1)+IF(Skills!G9&gt;0,MIN(Skills!H9,MAX(0,MAX(0,Inputs!$B$44-B829)-((R799-1)*IF(Inputs!$B$39="pvp",15,MAX(0.1,Skills!D9-IF(Skills!E9=TRUE,Inputs!$B$33,0))))))/Skills!G9,1)))/Inputs!$B$44),G799*Q799)*IF(Inputs!$B$39="pvp",1,(1-Summary!$B$48)*(1)+Summary!$B$48*(MIN(Skills!Q9,Inputs!$B$38))),0)</f>
        <v/>
      </c>
      <c r="P799">
        <f>IF(B830=0,0,O799/B830)</f>
        <v/>
      </c>
      <c r="Q799">
        <f>IFERROR(1/IF(Inputs!$B$39="pvp",15,MAX(0.1,Skills!D9-IF(Skills!E9=TRUE,Inputs!$B$33,0))),0)</f>
        <v/>
      </c>
      <c r="R799">
        <f>IF(AND(Inputs!$B$39&lt;&gt;"pvp",Inputs!$B$44&gt;0),IF(MAX(0,Inputs!$B$44-B829)&lt;=0,0,(INT(MAX(0,Inputs!$B$44-B829)/IF(Inputs!$B$39="pvp",15,MAX(0.1,Skills!D9-IF(Skills!E9=TRUE,Inputs!$B$33,0))))+1)),0)</f>
        <v/>
      </c>
    </row>
    <row r="800">
      <c r="A800">
        <f>Skills!A10</f>
        <v/>
      </c>
      <c r="B800">
        <f>Skills!B10</f>
        <v/>
      </c>
      <c r="C800">
        <f>Inputs!$B$3&gt;=66</f>
        <v/>
      </c>
      <c r="D800">
        <f>IF(Skills!C10=1,60+Inputs!$B$26+Inputs!$B$30,IF(Skills!C10=2,90+(Inputs!$B$27+1)+Inputs!$B$30,IF(Skills!C10=3,120+Inputs!$B$28+Inputs!$B$30,MAX(0,(Inputs!$B$3-100)*3)+Inputs!$B$29+Inputs!$B$30)))</f>
        <v/>
      </c>
      <c r="E800">
        <f>INDEX(FactorTable!$B$2:$Y$301, MATCH(ROUND(MIN(300,MAX(1,D800)),0), FactorTable!$A$2:$A$301,0), Skills!L10+1)</f>
        <v/>
      </c>
      <c r="F800" t="n">
        <v>0</v>
      </c>
      <c r="G800">
        <f>Calc!G10</f>
        <v/>
      </c>
      <c r="H800">
        <f>Calc!H10</f>
        <v/>
      </c>
      <c r="I800">
        <f>IF(Skills!T10&lt;&gt;"",1+(Skills!T10/10)*($Z$3/1000)/100,1)</f>
        <v/>
      </c>
      <c r="J800" t="inlineStr"/>
      <c r="K800" t="inlineStr"/>
      <c r="L800" t="inlineStr"/>
      <c r="M800" t="inlineStr"/>
      <c r="N800" t="inlineStr"/>
      <c r="O800" t="n">
        <v>0</v>
      </c>
      <c r="P800">
        <f>IF(B830=0,0,O800/B830)</f>
        <v/>
      </c>
      <c r="Q800">
        <f>IFERROR(1/IF(Inputs!$B$39="pvp",15,MAX(0.1,Skills!D10-IF(Skills!E10=TRUE,Inputs!$B$33,0))),0)</f>
        <v/>
      </c>
      <c r="R800">
        <f>IF(AND(Inputs!$B$39&lt;&gt;"pvp",Inputs!$B$44&gt;0),IF(MAX(0,Inputs!$B$44-B829)&lt;=0,0,(INT(MAX(0,Inputs!$B$44-B829)/IF(Inputs!$B$39="pvp",15,MAX(0.1,Skills!D10-IF(Skills!E10=TRUE,Inputs!$B$33,0))))+1)),0)</f>
        <v/>
      </c>
    </row>
    <row r="801">
      <c r="A801">
        <f>Skills!A11</f>
        <v/>
      </c>
      <c r="B801">
        <f>Skills!B11</f>
        <v/>
      </c>
      <c r="C801">
        <f>Inputs!$B$3&gt;=69</f>
        <v/>
      </c>
      <c r="D801">
        <f>IF(Skills!C11=1,60+Inputs!$B$26+Inputs!$B$30,IF(Skills!C11=2,90+(Inputs!$B$27+1)+Inputs!$B$30,IF(Skills!C11=3,120+Inputs!$B$28+Inputs!$B$30,MAX(0,(Inputs!$B$3-100)*3)+Inputs!$B$29+Inputs!$B$30)))</f>
        <v/>
      </c>
      <c r="E801">
        <f>INDEX(FactorTable!$B$2:$Y$301, MATCH(ROUND(MIN(300,MAX(1,D801)),0), FactorTable!$A$2:$A$301,0), Skills!L11+1)</f>
        <v/>
      </c>
      <c r="F801">
        <f>IF(Skills!M11=TRUE,(Skills!K11/10)*(E801/1000),Skills!K11/10)+Skills!N11</f>
        <v/>
      </c>
      <c r="G801">
        <f>Calc!G11</f>
        <v/>
      </c>
      <c r="H801">
        <f>Calc!H11</f>
        <v/>
      </c>
      <c r="I801">
        <f>IF(Skills!T11&lt;&gt;"",1+(Skills!T11/10)*($Z$3/1000)/100,1)</f>
        <v/>
      </c>
      <c r="J801" t="inlineStr"/>
      <c r="K801" t="inlineStr"/>
      <c r="L801" t="inlineStr"/>
      <c r="M801" t="inlineStr"/>
      <c r="N801" t="inlineStr"/>
      <c r="O801" t="n">
        <v>0</v>
      </c>
      <c r="P801">
        <f>IF(B830=0,0,O801/B830)</f>
        <v/>
      </c>
      <c r="Q801">
        <f>IFERROR(1/IF(Inputs!$B$39="pvp",15,MAX(0.1,Skills!D11-IF(Skills!E11=TRUE,Inputs!$B$33,0))),0)</f>
        <v/>
      </c>
      <c r="R801">
        <f>IF(AND(Inputs!$B$39&lt;&gt;"pvp",Inputs!$B$44&gt;0),IF(Inputs!$B$44&lt;=0,0,(INT(Inputs!$B$44/IF(Inputs!$B$39="pvp",15,MAX(0.1,Skills!D11-IF(Skills!E11=TRUE,Inputs!$B$33,0))))+1)),0)</f>
        <v/>
      </c>
    </row>
    <row r="802">
      <c r="A802">
        <f>Skills!A12</f>
        <v/>
      </c>
      <c r="B802">
        <f>Skills!B12</f>
        <v/>
      </c>
      <c r="C802">
        <f>Inputs!$B$3&gt;=72</f>
        <v/>
      </c>
      <c r="D802">
        <f>IF(Skills!C12=1,60+Inputs!$B$26+Inputs!$B$30,IF(Skills!C12=2,90+(Inputs!$B$27+1)+Inputs!$B$30,IF(Skills!C12=3,120+Inputs!$B$28+Inputs!$B$30,MAX(0,(Inputs!$B$3-100)*3)+Inputs!$B$29+Inputs!$B$30)))</f>
        <v/>
      </c>
      <c r="E802">
        <f>INDEX(FactorTable!$B$2:$Y$301, MATCH(ROUND(MIN(300,MAX(1,D802)),0), FactorTable!$A$2:$A$301,0), Skills!L12+1)</f>
        <v/>
      </c>
      <c r="F802">
        <f>IF(Skills!M12=TRUE,(Skills!K12/10)*(E802/1000),Skills!K12/10)+Skills!N12</f>
        <v/>
      </c>
      <c r="G802">
        <f>Calc!G12</f>
        <v/>
      </c>
      <c r="H802">
        <f>Calc!H12</f>
        <v/>
      </c>
      <c r="I802">
        <f>IF(Skills!T12&lt;&gt;"",1+(Skills!T12/10)*($Z$3/1000)/100,1)</f>
        <v/>
      </c>
      <c r="J802" t="inlineStr"/>
      <c r="K802" t="inlineStr"/>
      <c r="L802" t="inlineStr"/>
      <c r="M802" t="inlineStr"/>
      <c r="N802" t="inlineStr"/>
      <c r="O802" t="n">
        <v>0</v>
      </c>
      <c r="P802">
        <f>IF(B830=0,0,O802/B830)</f>
        <v/>
      </c>
      <c r="Q802">
        <f>IFERROR(1/IF(Inputs!$B$39="pvp",15,MAX(0.1,Skills!D12-IF(Skills!E12=TRUE,Inputs!$B$33,0))),0)</f>
        <v/>
      </c>
      <c r="R802">
        <f>IF(AND(Inputs!$B$39&lt;&gt;"pvp",Inputs!$B$44&gt;0),IF(MAX(0,Inputs!$B$44-B829)&lt;=0,0,(INT(MAX(0,Inputs!$B$44-B829)/IF(Inputs!$B$39="pvp",15,MAX(0.1,Skills!D12-IF(Skills!E12=TRUE,Inputs!$B$33,0))))+1)),0)</f>
        <v/>
      </c>
    </row>
    <row r="803">
      <c r="A803">
        <f>Skills!A13</f>
        <v/>
      </c>
      <c r="B803">
        <f>Skills!B13</f>
        <v/>
      </c>
      <c r="C803">
        <f>Inputs!$B$3&gt;=60</f>
        <v/>
      </c>
      <c r="D803">
        <f>IF(Skills!C13=1,60+Inputs!$B$26+Inputs!$B$30,IF(Skills!C13=2,90+(Inputs!$B$27+1)+Inputs!$B$30,IF(Skills!C13=3,120+Inputs!$B$28+Inputs!$B$30,MAX(0,(Inputs!$B$3-100)*3)+Inputs!$B$29+Inputs!$B$30)))</f>
        <v/>
      </c>
      <c r="E803">
        <f>INDEX(FactorTable!$B$2:$Y$301, MATCH(ROUND(MIN(300,MAX(1,D803)),0), FactorTable!$A$2:$A$301,0), Skills!L13+1)</f>
        <v/>
      </c>
      <c r="F803">
        <f>IF(Skills!M13=TRUE,(Skills!K13/10)*(E803/1000),Skills!K13/10)+Skills!N13</f>
        <v/>
      </c>
      <c r="G803">
        <f>Calc!G13</f>
        <v/>
      </c>
      <c r="H803">
        <f>Calc!H13</f>
        <v/>
      </c>
      <c r="I803">
        <f>IF(Skills!T13&lt;&gt;"",1+(Skills!T13/10)*($Z$3/1000)/100,1)</f>
        <v/>
      </c>
      <c r="J803" t="inlineStr"/>
      <c r="K803" t="inlineStr"/>
      <c r="L803" t="inlineStr"/>
      <c r="M803" t="inlineStr"/>
      <c r="N803" t="inlineStr"/>
      <c r="O803" t="n">
        <v>0</v>
      </c>
      <c r="P803">
        <f>IF(B830=0,0,O803/B830)</f>
        <v/>
      </c>
      <c r="Q803">
        <f>IFERROR(1/IF(Inputs!$B$39="pvp",15,MAX(0.1,Skills!D13-IF(Skills!E13=TRUE,Inputs!$B$33,0))),0)</f>
        <v/>
      </c>
      <c r="R803">
        <f>IF(AND(Inputs!$B$39&lt;&gt;"pvp",Inputs!$B$44&gt;0),IF(MAX(0,Inputs!$B$44-B829)&lt;=0,0,(INT(MAX(0,Inputs!$B$44-B829)/IF(Inputs!$B$39="pvp",15,MAX(0.1,Skills!D13-IF(Skills!E13=TRUE,Inputs!$B$33,0))))+1)),0)</f>
        <v/>
      </c>
    </row>
    <row r="804">
      <c r="A804">
        <f>Skills!A14</f>
        <v/>
      </c>
      <c r="B804">
        <f>Skills!B14</f>
        <v/>
      </c>
      <c r="C804">
        <f>Inputs!$B$3&gt;=107</f>
        <v/>
      </c>
      <c r="D804">
        <f>IF(Skills!C14=1,60+Inputs!$B$26+Inputs!$B$30,IF(Skills!C14=2,90+(Inputs!$B$27+1)+Inputs!$B$30,IF(Skills!C14=3,120+Inputs!$B$28+Inputs!$B$30,MAX(0,(Inputs!$B$3-100)*3)+Inputs!$B$29+Inputs!$B$30)))</f>
        <v/>
      </c>
      <c r="E804">
        <f>INDEX(FactorTable!$B$2:$Y$301, MATCH(ROUND(MIN(300,MAX(1,D804)),0), FactorTable!$A$2:$A$301,0), Skills!L14+1)</f>
        <v/>
      </c>
      <c r="F804">
        <f>IF(Skills!M14=TRUE,(Skills!K14/10)*(E804/1000),Skills!K14/10)+Skills!N14</f>
        <v/>
      </c>
      <c r="G804">
        <f>Calc!G14</f>
        <v/>
      </c>
      <c r="H804">
        <f>Calc!H14</f>
        <v/>
      </c>
      <c r="I804">
        <f>IF(Skills!T14&lt;&gt;"",1+(Skills!T14/10)*($Z$3/1000)/100,1)</f>
        <v/>
      </c>
      <c r="J804" t="inlineStr"/>
      <c r="K804" t="inlineStr"/>
      <c r="L804" t="inlineStr"/>
      <c r="M804" t="inlineStr"/>
      <c r="N804" t="inlineStr"/>
      <c r="O804" t="n">
        <v>0</v>
      </c>
      <c r="P804">
        <f>IF(B830=0,0,O804/B830)</f>
        <v/>
      </c>
      <c r="Q804">
        <f>IFERROR(1/IF(Inputs!$B$39="pvp",15,MAX(0.1,Skills!D14-IF(Skills!E14=TRUE,Inputs!$B$33,0))),0)</f>
        <v/>
      </c>
      <c r="R804">
        <f>IF(AND(Inputs!$B$39&lt;&gt;"pvp",Inputs!$B$44&gt;0),IF(Inputs!$B$44&lt;=0,0,(INT(Inputs!$B$44/IF(Inputs!$B$39="pvp",15,MAX(0.1,Skills!D14-IF(Skills!E14=TRUE,Inputs!$B$33,0))))+1)),0)</f>
        <v/>
      </c>
    </row>
    <row r="805">
      <c r="A805">
        <f>Skills!A15</f>
        <v/>
      </c>
      <c r="B805">
        <f>Skills!B15</f>
        <v/>
      </c>
      <c r="C805">
        <f>Inputs!$B$3&gt;=63</f>
        <v/>
      </c>
      <c r="D805">
        <f>IF(Skills!C15=1,60+Inputs!$B$26+Inputs!$B$30,IF(Skills!C15=2,90+(Inputs!$B$27+1)+Inputs!$B$30,IF(Skills!C15=3,120+Inputs!$B$28+Inputs!$B$30,MAX(0,(Inputs!$B$3-100)*3)+Inputs!$B$29+Inputs!$B$30)))</f>
        <v/>
      </c>
      <c r="E805">
        <f>INDEX(FactorTable!$B$2:$Y$301, MATCH(ROUND(MIN(300,MAX(1,D805)),0), FactorTable!$A$2:$A$301,0), Skills!L15+1)</f>
        <v/>
      </c>
      <c r="F805">
        <f>IF(Skills!M15=TRUE,(Skills!K15/10)*(E805/1000),Skills!K15/10)+Skills!N15</f>
        <v/>
      </c>
      <c r="G805">
        <f>Calc!G15</f>
        <v/>
      </c>
      <c r="H805">
        <f>Calc!H15</f>
        <v/>
      </c>
      <c r="I805">
        <f>IF(Skills!T15&lt;&gt;"",1+(Skills!T15/10)*($Z$3/1000)/100,1)</f>
        <v/>
      </c>
      <c r="J805">
        <f>((Inputs!$B$6*(1+Inputs!$B$7/100))+(((Inputs!$B$13*(1+Inputs!$B$14/100))-(Inputs!$B$13*(1+Inputs!$B$14/100)))+0.25*(Inputs!$B$15-Inputs!$B$15))*(1+Inputs!$B$7/100))*(F805/100)</f>
        <v/>
      </c>
      <c r="K805">
        <f>J805*(1+(((Inputs!$B$13+IF(Inputs!$B$3&gt;=35,(10*INDEX(FactorTable!$B$2:$Y$301, MATCH(ROUND(MIN(300,MAX(1,Inputs!$B$3)),0), FactorTable!$A$2:$A$301,0), 23)/1000)/100*(Inputs!$B$8*(1+(Inputs!$B$9+B828)/100)),0))*(1+Inputs!$B$14/100))*0.01+Inputs!$B$15*0.0025)/100)*(1+(Inputs!$B$16+B822)/100)*(1+IF(Inputs!$B$39="pvp",0,(1-Summary!$B$48)*(Inputs!$B$21+Skills!O15+B820)+Summary!$B$48*(Inputs!$B$22+Skills!P15+B821))/100)*(1+Inputs!$B$17/100)*(5000/(6000+Inputs!$B$43*(1-Inputs!$B$20/100)))*(1+Inputs!$B$25/100)*(1+IF(C808=TRUE,F808,0)/100)*(1+IF(C810=TRUE,F810,0)/100)*(1+IF(Skills!A15="TRIUMPH_FEATHER",IF(C806=TRUE,F806,0),0)/100)*(1+IF(C817=TRUE,F817,0)/100)^5*(1+(IF(Skills!A15="BIG_BANG",Inputs!$B$18,Inputs!$B$19))/100)*(B819*I805)</f>
        <v/>
      </c>
      <c r="L805">
        <f>K805*(MIN(Inputs!$B$23+(F812-Calc!F22),Inputs!$B$24)/100+Inputs!$B$24/100)/2</f>
        <v/>
      </c>
      <c r="M805">
        <f>L805*(1+(Inputs!$B$11+B823+(F815-Calc!F25))/100)</f>
        <v/>
      </c>
      <c r="N805">
        <f>L805*(1-MIN(Inputs!$B$10+((F814-Calc!F24)+(F813-Calc!F23)),100)/100)+M805*(MIN(Inputs!$B$10+((F814-Calc!F24)+(F813-Calc!F23)),100)/100)</f>
        <v/>
      </c>
      <c r="O805">
        <f>IF(C805,Skills!F15*N805*((IF(Inputs!$B$3&gt;=78,25,15)/100*B825*10)/(1+IF(Inputs!$B$3&gt;=78,25,15)/100*B825*10))*(Skills!I15/100*B825)/(1+Skills!G15*Skills!I15/100*B825)*IF(Inputs!$B$39="pvp",1,(1-Summary!$B$48)*(1)+Summary!$B$48*(MIN(Skills!Q15,Inputs!$B$38))),0)</f>
        <v/>
      </c>
      <c r="P805">
        <f>IF(B830=0,0,O805/B830)</f>
        <v/>
      </c>
      <c r="Q805">
        <f>IFERROR(1/IF(Inputs!$B$39="pvp",15,MAX(0.1,Skills!D15-IF(Skills!E15=TRUE,Inputs!$B$33,0))),0)</f>
        <v/>
      </c>
      <c r="R805" t="n">
        <v>0</v>
      </c>
    </row>
    <row r="806">
      <c r="A806">
        <f>Skills!A16</f>
        <v/>
      </c>
      <c r="B806">
        <f>Skills!B16</f>
        <v/>
      </c>
      <c r="C806">
        <f>Inputs!$B$3&gt;=100</f>
        <v/>
      </c>
      <c r="D806">
        <f>IF(Skills!C16=1,60+Inputs!$B$26+Inputs!$B$30,IF(Skills!C16=2,90+(Inputs!$B$27+1)+Inputs!$B$30,IF(Skills!C16=3,120+Inputs!$B$28+Inputs!$B$30,MAX(0,(Inputs!$B$3-100)*3)+Inputs!$B$29+Inputs!$B$30)))</f>
        <v/>
      </c>
      <c r="E806">
        <f>INDEX(FactorTable!$B$2:$Y$301, MATCH(ROUND(MIN(300,MAX(1,D806)),0), FactorTable!$A$2:$A$301,0), Skills!L16+1)</f>
        <v/>
      </c>
      <c r="F806">
        <f>IF(Skills!M16=TRUE,(Skills!K16/10)*(E806/1000),Skills!K16/10)+Skills!N16</f>
        <v/>
      </c>
      <c r="G806">
        <f>Calc!G16</f>
        <v/>
      </c>
      <c r="H806">
        <f>Calc!H16</f>
        <v/>
      </c>
      <c r="I806">
        <f>IF(Skills!T16&lt;&gt;"",1+(Skills!T16/10)*($Z$3/1000)/100,1)</f>
        <v/>
      </c>
      <c r="J806" t="inlineStr"/>
      <c r="K806" t="inlineStr"/>
      <c r="L806" t="inlineStr"/>
      <c r="M806" t="inlineStr"/>
      <c r="N806" t="inlineStr"/>
      <c r="O806" t="n">
        <v>0</v>
      </c>
      <c r="P806">
        <f>IF(B830=0,0,O806/B830)</f>
        <v/>
      </c>
      <c r="Q806">
        <f>IFERROR(1/IF(Inputs!$B$39="pvp",15,MAX(0.1,Skills!D16-IF(Skills!E16=TRUE,Inputs!$B$33,0))),0)</f>
        <v/>
      </c>
      <c r="R806" t="n">
        <v>0</v>
      </c>
    </row>
    <row r="807">
      <c r="A807">
        <f>Skills!A17</f>
        <v/>
      </c>
      <c r="B807">
        <f>Skills!B17</f>
        <v/>
      </c>
      <c r="C807">
        <f>Inputs!$B$3&gt;=49</f>
        <v/>
      </c>
      <c r="D807">
        <f>IF(Skills!C17=1,60+Inputs!$B$26+Inputs!$B$30,IF(Skills!C17=2,90+(Inputs!$B$27+1)+Inputs!$B$30,IF(Skills!C17=3,120+Inputs!$B$28+Inputs!$B$30,MAX(0,(Inputs!$B$3-100)*3)+Inputs!$B$29+Inputs!$B$30)))</f>
        <v/>
      </c>
      <c r="E807">
        <f>INDEX(FactorTable!$B$2:$Y$301, MATCH(ROUND(MIN(300,MAX(1,D807)),0), FactorTable!$A$2:$A$301,0), Skills!L17+1)</f>
        <v/>
      </c>
      <c r="F807">
        <f>IF(Skills!M17=TRUE,(Skills!K17/10)*(E807/1000),Skills!K17/10)+Skills!N17</f>
        <v/>
      </c>
      <c r="G807">
        <f>Calc!G17</f>
        <v/>
      </c>
      <c r="H807">
        <f>Calc!H17</f>
        <v/>
      </c>
      <c r="I807">
        <f>IF(Skills!T17&lt;&gt;"",1+(Skills!T17/10)*($Z$3/1000)/100,1)</f>
        <v/>
      </c>
      <c r="J807" t="inlineStr"/>
      <c r="K807" t="inlineStr"/>
      <c r="L807" t="inlineStr"/>
      <c r="M807" t="inlineStr"/>
      <c r="N807" t="inlineStr"/>
      <c r="O807" t="n">
        <v>0</v>
      </c>
      <c r="P807">
        <f>IF(B830=0,0,O807/B830)</f>
        <v/>
      </c>
      <c r="Q807">
        <f>IFERROR(1/IF(Inputs!$B$39="pvp",15,MAX(0.1,Skills!D17-IF(Skills!E17=TRUE,Inputs!$B$33,0))),0)</f>
        <v/>
      </c>
      <c r="R807" t="n">
        <v>0</v>
      </c>
    </row>
    <row r="808">
      <c r="A808">
        <f>Skills!A18</f>
        <v/>
      </c>
      <c r="B808">
        <f>Skills!B18</f>
        <v/>
      </c>
      <c r="C808">
        <f>Inputs!$B$3&gt;=75</f>
        <v/>
      </c>
      <c r="D808">
        <f>IF(Skills!C18=1,60+Inputs!$B$26+Inputs!$B$30,IF(Skills!C18=2,90+(Inputs!$B$27+1)+Inputs!$B$30,IF(Skills!C18=3,120+Inputs!$B$28+Inputs!$B$30,MAX(0,(Inputs!$B$3-100)*3)+Inputs!$B$29+Inputs!$B$30)))</f>
        <v/>
      </c>
      <c r="E808">
        <f>INDEX(FactorTable!$B$2:$Y$301, MATCH(ROUND(MIN(300,MAX(1,D808)),0), FactorTable!$A$2:$A$301,0), Skills!L18+1)</f>
        <v/>
      </c>
      <c r="F808">
        <f>IF(Skills!M18=TRUE,(Skills!K18/10)*(E808/1000),Skills!K18/10)+Skills!N18</f>
        <v/>
      </c>
      <c r="G808">
        <f>Calc!G18</f>
        <v/>
      </c>
      <c r="H808">
        <f>Calc!H18</f>
        <v/>
      </c>
      <c r="I808">
        <f>IF(Skills!T18&lt;&gt;"",1+(Skills!T18/10)*($Z$3/1000)/100,1)</f>
        <v/>
      </c>
      <c r="J808" t="inlineStr"/>
      <c r="K808" t="inlineStr"/>
      <c r="L808" t="inlineStr"/>
      <c r="M808" t="inlineStr"/>
      <c r="N808" t="inlineStr"/>
      <c r="O808" t="n">
        <v>0</v>
      </c>
      <c r="P808">
        <f>IF(B830=0,0,O808/B830)</f>
        <v/>
      </c>
      <c r="Q808">
        <f>IFERROR(1/IF(Inputs!$B$39="pvp",15,MAX(0.1,Skills!D18-IF(Skills!E18=TRUE,Inputs!$B$33,0))),0)</f>
        <v/>
      </c>
      <c r="R808" t="n">
        <v>0</v>
      </c>
    </row>
    <row r="809">
      <c r="A809">
        <f>Skills!A19</f>
        <v/>
      </c>
      <c r="B809">
        <f>Skills!B19</f>
        <v/>
      </c>
      <c r="C809">
        <f>Inputs!$B$3&gt;=110</f>
        <v/>
      </c>
      <c r="D809">
        <f>IF(Skills!C19=1,60+Inputs!$B$26+Inputs!$B$30,IF(Skills!C19=2,90+(Inputs!$B$27+1)+Inputs!$B$30,IF(Skills!C19=3,120+Inputs!$B$28+Inputs!$B$30,MAX(0,(Inputs!$B$3-100)*3)+Inputs!$B$29+Inputs!$B$30)))</f>
        <v/>
      </c>
      <c r="E809">
        <f>INDEX(FactorTable!$B$2:$Y$301, MATCH(ROUND(MIN(300,MAX(1,D809)),0), FactorTable!$A$2:$A$301,0), Skills!L19+1)</f>
        <v/>
      </c>
      <c r="F809">
        <f>(Skills!K19/10)*(E809/1000)*64/45+Skills!N19</f>
        <v/>
      </c>
      <c r="G809">
        <f>Calc!G19</f>
        <v/>
      </c>
      <c r="H809">
        <f>Calc!H19</f>
        <v/>
      </c>
      <c r="I809">
        <f>IF(Skills!T19&lt;&gt;"",1+(Skills!T19/10)*($Z$3/1000)/100,1)</f>
        <v/>
      </c>
      <c r="J809" t="inlineStr"/>
      <c r="K809" t="inlineStr"/>
      <c r="L809" t="inlineStr"/>
      <c r="M809" t="inlineStr"/>
      <c r="N809" t="inlineStr"/>
      <c r="O809" t="n">
        <v>0</v>
      </c>
      <c r="P809">
        <f>IF(B830=0,0,O809/B830)</f>
        <v/>
      </c>
      <c r="Q809">
        <f>IFERROR(1/IF(Inputs!$B$39="pvp",15,MAX(0.1,Skills!D19-IF(Skills!E19=TRUE,Inputs!$B$33,0))),0)</f>
        <v/>
      </c>
      <c r="R809">
        <f>IF(AND(Inputs!$B$39&lt;&gt;"pvp",Inputs!$B$44&gt;0),IF(Inputs!$B$44&lt;=0,0,(INT(Inputs!$B$44/IF(Inputs!$B$39="pvp",15,MAX(0.1,Skills!D19-IF(Skills!E19=TRUE,Inputs!$B$33,0))))+1)),0)</f>
        <v/>
      </c>
    </row>
    <row r="810">
      <c r="A810">
        <f>Skills!A20</f>
        <v/>
      </c>
      <c r="B810">
        <f>Skills!B20</f>
        <v/>
      </c>
      <c r="C810">
        <f>Inputs!$B$3&gt;=125</f>
        <v/>
      </c>
      <c r="D810">
        <f>IF(Skills!C20=1,60+Inputs!$B$26+Inputs!$B$30,IF(Skills!C20=2,90+(Inputs!$B$27+1)+Inputs!$B$30,IF(Skills!C20=3,120+Inputs!$B$28+Inputs!$B$30,MAX(0,(Inputs!$B$3-100)*3)+Inputs!$B$29+Inputs!$B$30)))</f>
        <v/>
      </c>
      <c r="E810">
        <f>INDEX(FactorTable!$B$2:$Y$301, MATCH(ROUND(MIN(300,MAX(1,D810)),0), FactorTable!$A$2:$A$301,0), Skills!L20+1)</f>
        <v/>
      </c>
      <c r="F810">
        <f>IF(Skills!M20=TRUE,(Skills!K20/10)*(E810/1000),Skills!K20/10)+Skills!N20</f>
        <v/>
      </c>
      <c r="G810">
        <f>Calc!G20</f>
        <v/>
      </c>
      <c r="H810">
        <f>Calc!H20</f>
        <v/>
      </c>
      <c r="I810">
        <f>IF(Skills!T20&lt;&gt;"",1+(Skills!T20/10)*($Z$3/1000)/100,1)</f>
        <v/>
      </c>
      <c r="J810" t="inlineStr"/>
      <c r="K810" t="inlineStr"/>
      <c r="L810" t="inlineStr"/>
      <c r="M810" t="inlineStr"/>
      <c r="N810" t="inlineStr"/>
      <c r="O810" t="n">
        <v>0</v>
      </c>
      <c r="P810">
        <f>IF(B830=0,0,O810/B830)</f>
        <v/>
      </c>
      <c r="Q810">
        <f>IFERROR(1/IF(Inputs!$B$39="pvp",15,MAX(0.1,Skills!D20-IF(Skills!E20=TRUE,Inputs!$B$33,0))),0)</f>
        <v/>
      </c>
      <c r="R810" t="n">
        <v>0</v>
      </c>
    </row>
    <row r="811">
      <c r="A811">
        <f>Skills!A21</f>
        <v/>
      </c>
      <c r="B811">
        <f>Skills!B21</f>
        <v/>
      </c>
      <c r="C811">
        <f>Inputs!$B$3&gt;=33</f>
        <v/>
      </c>
      <c r="D811">
        <f>IF(Skills!C21=1,60+Inputs!$B$26+Inputs!$B$30,IF(Skills!C21=2,90+(Inputs!$B$27+1)+Inputs!$B$30,IF(Skills!C21=3,120+Inputs!$B$28+Inputs!$B$30,MAX(0,(Inputs!$B$3-100)*3)+Inputs!$B$29+Inputs!$B$30)))</f>
        <v/>
      </c>
      <c r="E811">
        <f>INDEX(FactorTable!$B$2:$Y$301, MATCH(ROUND(MIN(300,MAX(1,D811)),0), FactorTable!$A$2:$A$301,0), Skills!L21+1)</f>
        <v/>
      </c>
      <c r="F811">
        <f>IF(Skills!M21=TRUE,(Skills!K21/10)*(E811/1000),Skills!K21/10)+Skills!N21</f>
        <v/>
      </c>
      <c r="G811">
        <f>Calc!G21</f>
        <v/>
      </c>
      <c r="H811">
        <f>Calc!H21</f>
        <v/>
      </c>
      <c r="I811">
        <f>IF(Skills!T21&lt;&gt;"",1+(Skills!T21/10)*($Z$3/1000)/100,1)</f>
        <v/>
      </c>
      <c r="J811" t="inlineStr"/>
      <c r="K811" t="inlineStr"/>
      <c r="L811" t="inlineStr"/>
      <c r="M811" t="inlineStr"/>
      <c r="N811" t="inlineStr"/>
      <c r="O811" t="n">
        <v>0</v>
      </c>
      <c r="P811">
        <f>IF(B830=0,0,O811/B830)</f>
        <v/>
      </c>
      <c r="Q811">
        <f>IFERROR(1/IF(Inputs!$B$39="pvp",15,MAX(0.1,Skills!D21-IF(Skills!E21=TRUE,Inputs!$B$33,0))),0)</f>
        <v/>
      </c>
      <c r="R811" t="n">
        <v>0</v>
      </c>
    </row>
    <row r="812">
      <c r="A812">
        <f>Skills!A22</f>
        <v/>
      </c>
      <c r="B812">
        <f>Skills!B22</f>
        <v/>
      </c>
      <c r="C812">
        <f>Inputs!$B$3&gt;=43</f>
        <v/>
      </c>
      <c r="D812">
        <f>IF(Skills!C22=1,60+Inputs!$B$26+Inputs!$B$30,IF(Skills!C22=2,90+(Inputs!$B$27+1)+Inputs!$B$30,IF(Skills!C22=3,120+Inputs!$B$28+Inputs!$B$30,MAX(0,(Inputs!$B$3-100)*3)+Inputs!$B$29+Inputs!$B$30)))</f>
        <v/>
      </c>
      <c r="E812">
        <f>INDEX(FactorTable!$B$2:$Y$301, MATCH(ROUND(MIN(300,MAX(1,D812)),0), FactorTable!$A$2:$A$301,0), Skills!L22+1)</f>
        <v/>
      </c>
      <c r="F812">
        <f>IF(Skills!M22=TRUE,(Skills!K22/10)*(E812/1000),Skills!K22/10)+Skills!N22</f>
        <v/>
      </c>
      <c r="G812">
        <f>Calc!G22</f>
        <v/>
      </c>
      <c r="H812">
        <f>Calc!H22</f>
        <v/>
      </c>
      <c r="I812">
        <f>IF(Skills!T22&lt;&gt;"",1+(Skills!T22/10)*($Z$3/1000)/100,1)</f>
        <v/>
      </c>
      <c r="J812" t="inlineStr"/>
      <c r="K812" t="inlineStr"/>
      <c r="L812" t="inlineStr"/>
      <c r="M812" t="inlineStr"/>
      <c r="N812" t="inlineStr"/>
      <c r="O812" t="n">
        <v>0</v>
      </c>
      <c r="P812">
        <f>IF(B830=0,0,O812/B830)</f>
        <v/>
      </c>
      <c r="Q812">
        <f>IFERROR(1/IF(Inputs!$B$39="pvp",15,MAX(0.1,Skills!D22-IF(Skills!E22=TRUE,Inputs!$B$33,0))),0)</f>
        <v/>
      </c>
      <c r="R812" t="n">
        <v>0</v>
      </c>
    </row>
    <row r="813">
      <c r="A813">
        <f>Skills!A23</f>
        <v/>
      </c>
      <c r="B813">
        <f>Skills!B23</f>
        <v/>
      </c>
      <c r="C813">
        <f>Inputs!$B$3&gt;=50</f>
        <v/>
      </c>
      <c r="D813">
        <f>IF(Skills!C23=1,60+Inputs!$B$26+Inputs!$B$30,IF(Skills!C23=2,90+(Inputs!$B$27+1)+Inputs!$B$30,IF(Skills!C23=3,120+Inputs!$B$28+Inputs!$B$30,MAX(0,(Inputs!$B$3-100)*3)+Inputs!$B$29+Inputs!$B$30)))</f>
        <v/>
      </c>
      <c r="E813">
        <f>INDEX(FactorTable!$B$2:$Y$301, MATCH(ROUND(MIN(300,MAX(1,D813)),0), FactorTable!$A$2:$A$301,0), Skills!L23+1)</f>
        <v/>
      </c>
      <c r="F813">
        <f>IF(Skills!M23=TRUE,(Skills!K23/10)*(E813/1000),Skills!K23/10)+Skills!N23</f>
        <v/>
      </c>
      <c r="G813">
        <f>Calc!G23</f>
        <v/>
      </c>
      <c r="H813">
        <f>Calc!H23</f>
        <v/>
      </c>
      <c r="I813">
        <f>IF(Skills!T23&lt;&gt;"",1+(Skills!T23/10)*($Z$3/1000)/100,1)</f>
        <v/>
      </c>
      <c r="J813" t="inlineStr"/>
      <c r="K813" t="inlineStr"/>
      <c r="L813" t="inlineStr"/>
      <c r="M813" t="inlineStr"/>
      <c r="N813" t="inlineStr"/>
      <c r="O813" t="n">
        <v>0</v>
      </c>
      <c r="P813">
        <f>IF(B830=0,0,O813/B830)</f>
        <v/>
      </c>
      <c r="Q813">
        <f>IFERROR(1/IF(Inputs!$B$39="pvp",15,MAX(0.1,Skills!D23-IF(Skills!E23=TRUE,Inputs!$B$33,0))),0)</f>
        <v/>
      </c>
      <c r="R813" t="n">
        <v>0</v>
      </c>
    </row>
    <row r="814">
      <c r="A814">
        <f>Skills!A24</f>
        <v/>
      </c>
      <c r="B814">
        <f>Skills!B24</f>
        <v/>
      </c>
      <c r="C814">
        <f>Inputs!$B$3&gt;=74</f>
        <v/>
      </c>
      <c r="D814">
        <f>IF(Skills!C24=1,60+Inputs!$B$26+Inputs!$B$30,IF(Skills!C24=2,90+(Inputs!$B$27+1)+Inputs!$B$30,IF(Skills!C24=3,120+Inputs!$B$28+Inputs!$B$30,MAX(0,(Inputs!$B$3-100)*3)+Inputs!$B$29+Inputs!$B$30)))</f>
        <v/>
      </c>
      <c r="E814">
        <f>INDEX(FactorTable!$B$2:$Y$301, MATCH(ROUND(MIN(300,MAX(1,D814)),0), FactorTable!$A$2:$A$301,0), Skills!L24+1)</f>
        <v/>
      </c>
      <c r="F814">
        <f>IF(Skills!M24=TRUE,(Skills!K24/10)*(E814/1000),Skills!K24/10)+Skills!N24</f>
        <v/>
      </c>
      <c r="G814">
        <f>Calc!G24</f>
        <v/>
      </c>
      <c r="H814">
        <f>Calc!H24</f>
        <v/>
      </c>
      <c r="I814">
        <f>IF(Skills!T24&lt;&gt;"",1+(Skills!T24/10)*($Z$3/1000)/100,1)</f>
        <v/>
      </c>
      <c r="J814" t="inlineStr"/>
      <c r="K814" t="inlineStr"/>
      <c r="L814" t="inlineStr"/>
      <c r="M814" t="inlineStr"/>
      <c r="N814" t="inlineStr"/>
      <c r="O814" t="n">
        <v>0</v>
      </c>
      <c r="P814">
        <f>IF(B830=0,0,O814/B830)</f>
        <v/>
      </c>
      <c r="Q814">
        <f>IFERROR(1/IF(Inputs!$B$39="pvp",15,MAX(0.1,Skills!D24-IF(Skills!E24=TRUE,Inputs!$B$33,0))),0)</f>
        <v/>
      </c>
      <c r="R814" t="n">
        <v>0</v>
      </c>
    </row>
    <row r="815">
      <c r="A815">
        <f>Skills!A25</f>
        <v/>
      </c>
      <c r="B815">
        <f>Skills!B25</f>
        <v/>
      </c>
      <c r="C815">
        <f>Inputs!$B$3&gt;=74</f>
        <v/>
      </c>
      <c r="D815">
        <f>IF(Skills!C25=1,60+Inputs!$B$26+Inputs!$B$30,IF(Skills!C25=2,90+(Inputs!$B$27+1)+Inputs!$B$30,IF(Skills!C25=3,120+Inputs!$B$28+Inputs!$B$30,MAX(0,(Inputs!$B$3-100)*3)+Inputs!$B$29+Inputs!$B$30)))</f>
        <v/>
      </c>
      <c r="E815">
        <f>INDEX(FactorTable!$B$2:$Y$301, MATCH(ROUND(MIN(300,MAX(1,D815)),0), FactorTable!$A$2:$A$301,0), Skills!L25+1)</f>
        <v/>
      </c>
      <c r="F815">
        <f>IF(Skills!M25=TRUE,(Skills!K25/10)*(E815/1000),Skills!K25/10)+Skills!N25</f>
        <v/>
      </c>
      <c r="G815">
        <f>Calc!G25</f>
        <v/>
      </c>
      <c r="H815">
        <f>Calc!H25</f>
        <v/>
      </c>
      <c r="I815">
        <f>IF(Skills!T25&lt;&gt;"",1+(Skills!T25/10)*($Z$3/1000)/100,1)</f>
        <v/>
      </c>
      <c r="J815" t="inlineStr"/>
      <c r="K815" t="inlineStr"/>
      <c r="L815" t="inlineStr"/>
      <c r="M815" t="inlineStr"/>
      <c r="N815" t="inlineStr"/>
      <c r="O815" t="n">
        <v>0</v>
      </c>
      <c r="P815">
        <f>IF(B830=0,0,O815/B830)</f>
        <v/>
      </c>
      <c r="Q815">
        <f>IFERROR(1/IF(Inputs!$B$39="pvp",15,MAX(0.1,Skills!D25-IF(Skills!E25=TRUE,Inputs!$B$33,0))),0)</f>
        <v/>
      </c>
      <c r="R815" t="n">
        <v>0</v>
      </c>
    </row>
    <row r="816">
      <c r="A816">
        <f>Skills!A26</f>
        <v/>
      </c>
      <c r="B816">
        <f>Skills!B26</f>
        <v/>
      </c>
      <c r="C816">
        <f>Inputs!$B$3&gt;=117</f>
        <v/>
      </c>
      <c r="D816">
        <f>IF(Skills!C26=1,60+Inputs!$B$26+Inputs!$B$30,IF(Skills!C26=2,90+(Inputs!$B$27+1)+Inputs!$B$30,IF(Skills!C26=3,120+Inputs!$B$28+Inputs!$B$30,MAX(0,(Inputs!$B$3-100)*3)+Inputs!$B$29+Inputs!$B$30)))</f>
        <v/>
      </c>
      <c r="E816">
        <f>INDEX(FactorTable!$B$2:$Y$301, MATCH(ROUND(MIN(300,MAX(1,D816)),0), FactorTable!$A$2:$A$301,0), Skills!L26+1)</f>
        <v/>
      </c>
      <c r="F816">
        <f>IF(Skills!M26=TRUE,(Skills!K26/10)*(E816/1000),Skills!K26/10)+Skills!N26</f>
        <v/>
      </c>
      <c r="G816">
        <f>Calc!G26</f>
        <v/>
      </c>
      <c r="H816">
        <f>Calc!H26</f>
        <v/>
      </c>
      <c r="I816">
        <f>IF(Skills!T26&lt;&gt;"",1+(Skills!T26/10)*($Z$3/1000)/100,1)</f>
        <v/>
      </c>
      <c r="J816" t="inlineStr"/>
      <c r="K816" t="inlineStr"/>
      <c r="L816" t="inlineStr"/>
      <c r="M816" t="inlineStr"/>
      <c r="N816" t="inlineStr"/>
      <c r="O816" t="n">
        <v>0</v>
      </c>
      <c r="P816">
        <f>IF(B830=0,0,O816/B830)</f>
        <v/>
      </c>
      <c r="Q816">
        <f>IFERROR(1/IF(Inputs!$B$39="pvp",15,MAX(0.1,Skills!D26-IF(Skills!E26=TRUE,Inputs!$B$33,0))),0)</f>
        <v/>
      </c>
      <c r="R816" t="n">
        <v>0</v>
      </c>
    </row>
    <row r="817">
      <c r="A817">
        <f>Skills!A27</f>
        <v/>
      </c>
      <c r="B817">
        <f>Skills!B27</f>
        <v/>
      </c>
      <c r="C817">
        <f>Inputs!$B$3&gt;=120</f>
        <v/>
      </c>
      <c r="D817">
        <f>IF(Skills!C27=1,60+Inputs!$B$26+Inputs!$B$30,IF(Skills!C27=2,90+(Inputs!$B$27+1)+Inputs!$B$30,IF(Skills!C27=3,120+Inputs!$B$28+Inputs!$B$30,MAX(0,(Inputs!$B$3-100)*3)+Inputs!$B$29+Inputs!$B$30)))</f>
        <v/>
      </c>
      <c r="E817">
        <f>INDEX(FactorTable!$B$2:$Y$301, MATCH(ROUND(MIN(300,MAX(1,D817)),0), FactorTable!$A$2:$A$301,0), Skills!L27+1)</f>
        <v/>
      </c>
      <c r="F817">
        <f>IF(Skills!M27=TRUE,(Skills!K27/10)*(E817/1000),Skills!K27/10)+Skills!N27</f>
        <v/>
      </c>
      <c r="G817">
        <f>Calc!G27</f>
        <v/>
      </c>
      <c r="H817">
        <f>Calc!H27</f>
        <v/>
      </c>
      <c r="I817">
        <f>IF(Skills!T27&lt;&gt;"",1+(Skills!T27/10)*($Z$3/1000)/100,1)</f>
        <v/>
      </c>
      <c r="J817" t="inlineStr"/>
      <c r="K817" t="inlineStr"/>
      <c r="L817" t="inlineStr"/>
      <c r="M817" t="inlineStr"/>
      <c r="N817" t="inlineStr"/>
      <c r="O817" t="n">
        <v>0</v>
      </c>
      <c r="P817">
        <f>IF(B830=0,0,O817/B830)</f>
        <v/>
      </c>
      <c r="Q817">
        <f>IFERROR(1/IF(Inputs!$B$39="pvp",15,MAX(0.1,Skills!D27-IF(Skills!E27=TRUE,Inputs!$B$33,0))),0)</f>
        <v/>
      </c>
      <c r="R817" t="n">
        <v>0</v>
      </c>
    </row>
    <row r="819">
      <c r="A819" t="inlineStr">
        <is>
          <t>Average Buff Multiplier</t>
        </is>
      </c>
      <c r="B819">
        <f>(1+(IF(C793=TRUE,F793*IF(AND(Inputs!$B$39&lt;&gt;"pvp",Inputs!$B$44&gt;0),(((R793-1)*(Skills!S3*(1+(Inputs!$B$35+IF(Inputs!$B$3&gt;=117,F816,0))/100))+MIN((Skills!S3*(1+(Inputs!$B$35+IF(Inputs!$B$3&gt;=117,F816,0))/100)),MAX(0,Inputs!$B$44-((R793-1)*Skills!D3))))/Inputs!$B$44),IF(Inputs!$B$39="pvp",MIN((Skills!S3*(1+(Inputs!$B$35+IF(Inputs!$B$3&gt;=117,F816,0))/100)),15)/15,(Skills!S3*(1+(Inputs!$B$35+IF(Inputs!$B$3&gt;=117,F816,0))/100))/Skills!D3)),0)+IF(C794=TRUE,F794*IF(AND(Inputs!$B$39&lt;&gt;"pvp",Inputs!$B$44&gt;0),(((R794-1)*(Skills!S4*(1+(Inputs!$B$35+IF(Inputs!$B$3&gt;=117,F816,0))/100))+MIN((Skills!S4*(1+(Inputs!$B$35+IF(Inputs!$B$3&gt;=117,F816,0))/100)),MAX(0,Inputs!$B$44-((R794-1)*Skills!D4))))/Inputs!$B$44),IF(Inputs!$B$39="pvp",MIN((Skills!S4*(1+(Inputs!$B$35+IF(Inputs!$B$3&gt;=117,F816,0))/100)),15)/15,(Skills!S4*(1+(Inputs!$B$35+IF(Inputs!$B$3&gt;=117,F816,0))/100))/Skills!D4)),0)+IF(C795=TRUE,F795*IF(AND(Inputs!$B$39&lt;&gt;"pvp",Inputs!$B$44&gt;0),(((R795-1)*(Skills!S5*(1+(Inputs!$B$35+IF(Inputs!$B$3&gt;=117,F816,0))/100))+MIN((Skills!S5*(1+(Inputs!$B$35+IF(Inputs!$B$3&gt;=117,F816,0))/100)),MAX(0,Inputs!$B$44-((R795-1)*Skills!D5))))/Inputs!$B$44),IF(Inputs!$B$39="pvp",MIN((Skills!S5*(1+(Inputs!$B$35+IF(Inputs!$B$3&gt;=117,F816,0))/100)),15)/15,(Skills!S5*(1+(Inputs!$B$35+IF(Inputs!$B$3&gt;=117,F816,0))/100))/Skills!D5)),0)+IF(C801=TRUE,F801*IF(AND(Inputs!$B$39&lt;&gt;"pvp",Inputs!$B$44&gt;0),(((R801-1)*(Skills!S11*(1+(Inputs!$B$35+IF(Inputs!$B$3&gt;=117,F816,0))/100))+MIN((Skills!S11*(1+(Inputs!$B$35+IF(Inputs!$B$3&gt;=117,F816,0))/100)),MAX(0,Inputs!$B$44-((R801-1)*Skills!D11))))/Inputs!$B$44),IF(Inputs!$B$39="pvp",MIN((Skills!S11*(1+(Inputs!$B$35+IF(Inputs!$B$3&gt;=117,F816,0))/100)),15)/15,(Skills!S11*(1+(Inputs!$B$35+IF(Inputs!$B$3&gt;=117,F816,0))/100))/Skills!D11)),0))/100)*IF(C804=TRUE,(1+F804*IF(AND(Inputs!$B$39&lt;&gt;"pvp",Inputs!$B$44&gt;0),(((R804-1)*(Skills!S14*(1+(Inputs!$B$35+IF(Inputs!$B$3&gt;=117,F816,0))/100))+MIN((Skills!S14*(1+(Inputs!$B$35+IF(Inputs!$B$3&gt;=117,F816,0))/100)),MAX(0,Inputs!$B$44-((R804-1)*Skills!D14))))/Inputs!$B$44),IF(Inputs!$B$39="pvp",MIN((Skills!S14*(1+(Inputs!$B$35+IF(Inputs!$B$3&gt;=117,F816,0))/100)),15)/15,(Skills!S14*(1+(Inputs!$B$35+IF(Inputs!$B$3&gt;=117,F816,0))/100))/Skills!D14))/100),1)*IF(C809=TRUE,(1+F809*IF(AND(Inputs!$B$39&lt;&gt;"pvp",Inputs!$B$44&gt;0),(((R809-1)*(Skills!S19*(1+(Inputs!$B$35+IF(Inputs!$B$3&gt;=117,F816,0))/100))+MIN((Skills!S19*(1+(Inputs!$B$35+IF(Inputs!$B$3&gt;=117,F816,0))/100)),MAX(0,Inputs!$B$44-((R809-1)*Skills!D19))))/Inputs!$B$44),IF(Inputs!$B$39="pvp",MIN((Skills!S19*(1+(Inputs!$B$35+IF(Inputs!$B$3&gt;=117,F816,0))/100)),15)/15,(Skills!S19*(1+(Inputs!$B$35+IF(Inputs!$B$3&gt;=117,F816,0))/100))/Skills!D19))/100),1)</f>
        <v/>
      </c>
    </row>
    <row r="820">
      <c r="A820" t="inlineStr">
        <is>
          <t>Monster Damage Taken Bonus % (Holy Fountain)</t>
        </is>
      </c>
      <c r="B820">
        <f>IF(Inputs!$B$3&gt;=68,20*IF(Inputs!$B$39="pvp",MIN((15*(1+(Inputs!$B$35+IF(Inputs!$B$3&gt;=117,F816,0))/100)),15)/15,(15*(1+(Inputs!$B$35+IF(Inputs!$B$3&gt;=117,F816,0))/100))/Skills!D10),0)</f>
        <v/>
      </c>
    </row>
    <row r="821">
      <c r="A821" t="inlineStr">
        <is>
          <t>Normal Monster Damage Bonus % (Holy Symbol)</t>
        </is>
      </c>
      <c r="B821">
        <f>IF(C802=TRUE,F802*IF(AND(Inputs!$B$39&lt;&gt;"pvp",Inputs!$B$44&gt;0),(((R802-1)*(Skills!S12*(1+(Inputs!$B$35+IF(Inputs!$B$3&gt;=117,F816,0))/100))+MIN((Skills!S12*(1+(Inputs!$B$35+IF(Inputs!$B$3&gt;=117,F816,0))/100)),MAX(0,Inputs!$B$44-((R802-1)*Skills!D12))))/Inputs!$B$44),IF(Inputs!$B$39="pvp",MIN((Skills!S12*(1+(Inputs!$B$35+IF(Inputs!$B$3&gt;=117,F816,0))/100)),15)/15,(Skills!S12*(1+(Inputs!$B$35+IF(Inputs!$B$3&gt;=117,F816,0))/100))/Skills!D12)),0)</f>
        <v/>
      </c>
    </row>
    <row r="822">
      <c r="A822" t="inlineStr">
        <is>
          <t>Damage % Bonus (Holy Symbol - Damage Boost)</t>
        </is>
      </c>
      <c r="B822">
        <f>Skills!O12</f>
        <v/>
      </c>
    </row>
    <row r="823">
      <c r="A823" t="inlineStr">
        <is>
          <t>Crit Damage % Bonus (Blood of the Divine)</t>
        </is>
      </c>
      <c r="B823">
        <f>4*IF(C810=TRUE,F810,0)</f>
        <v/>
      </c>
    </row>
    <row r="824">
      <c r="A824" t="inlineStr">
        <is>
          <t>Attack Speed Bonus %</t>
        </is>
      </c>
      <c r="B824">
        <f>IF(C807=TRUE,F807+(F811-Calc!F21),0)+IF(Inputs!$B$3&gt;=134,15,0)</f>
        <v/>
      </c>
    </row>
    <row r="825">
      <c r="A825" t="inlineStr">
        <is>
          <t>Actions Per Second</t>
        </is>
      </c>
      <c r="B825">
        <f>1+MIN(150,150*(1-(1-Inputs!$B$12/150)*(1-B824/150)))/100</f>
        <v/>
      </c>
    </row>
    <row r="826">
      <c r="A826" t="inlineStr">
        <is>
          <t>Skill + Buff Cast Rate</t>
        </is>
      </c>
      <c r="B826">
        <f>IF(AND(Inputs!$B$39&lt;&gt;"pvp",Inputs!$B$44&gt;0),SUMPRODUCT((Skills!E2:E27=TRUE)*(C792:C817=TRUE)*R792:R817)/Inputs!$B$44,SUMPRODUCT((Skills!E2:E27=TRUE)*(C792:C817=TRUE)*Q792:Q817))</f>
        <v/>
      </c>
    </row>
    <row r="827">
      <c r="A827" t="inlineStr">
        <is>
          <t>Big Bang Casts Per Second</t>
        </is>
      </c>
      <c r="B827">
        <f>MAX(0,B825-B826)</f>
        <v/>
      </c>
    </row>
    <row r="828">
      <c r="A828" t="inlineStr">
        <is>
          <t>Defense % Bonus (Divine Protection)</t>
        </is>
      </c>
      <c r="B828">
        <f>IF(C803=TRUE,F803*IF(AND(Inputs!$B$39&lt;&gt;"pvp",Inputs!$B$44&gt;0),(((R803-1)*(Skills!S13*(1+(Inputs!$B$35+IF(Inputs!$B$3&gt;=117,F816,0))/100))+MIN((Skills!S13*(1+(Inputs!$B$35+IF(Inputs!$B$3&gt;=117,F816,0))/100)),MAX(0,Inputs!$B$44-((R803-1)*Skills!D13))))/Inputs!$B$44),IF(Inputs!$B$39="pvp",MIN((Skills!S13*(1+(Inputs!$B$35+IF(Inputs!$B$3&gt;=117,F816,0))/100)),15)/15,(Skills!S13*(1+(Inputs!$B$35+IF(Inputs!$B$3&gt;=117,F816,0))/100))/Skills!D13)),0)</f>
        <v/>
      </c>
    </row>
    <row r="829">
      <c r="A829" t="inlineStr">
        <is>
          <t>Buff-Casting Startup Delay (s, fixed-duration only)</t>
        </is>
      </c>
      <c r="B829">
        <f>IF(AND(Inputs!$B$39&lt;&gt;"pvp",Inputs!$B$44&gt;0),SUMPRODUCT((Skills!S2:S27&gt;0)*(Skills!E2:E27=TRUE)*(C792:C817=TRUE))/B825,0)</f>
        <v/>
      </c>
    </row>
    <row r="830">
      <c r="A830" s="5" t="inlineStr">
        <is>
          <t>TOTAL DPS</t>
        </is>
      </c>
      <c r="B830" s="5">
        <f>SUM(O792:O817)</f>
        <v/>
      </c>
    </row>
    <row r="832">
      <c r="A832" s="5" t="inlineStr">
        <is>
          <t>Stat: Skill Level Bonus — 3rd Job</t>
        </is>
      </c>
    </row>
    <row r="833">
      <c r="A833" s="9" t="inlineStr">
        <is>
          <t>Key</t>
        </is>
      </c>
      <c r="B833" s="9" t="inlineStr">
        <is>
          <t>Name</t>
        </is>
      </c>
      <c r="C833" s="9" t="inlineStr">
        <is>
          <t>Unlocked</t>
        </is>
      </c>
      <c r="D833" s="9" t="inlineStr">
        <is>
          <t>InputLevel</t>
        </is>
      </c>
      <c r="E833" s="9" t="inlineStr">
        <is>
          <t>Factor</t>
        </is>
      </c>
      <c r="F833" s="9" t="inlineStr">
        <is>
          <t>CoefficientPercent</t>
        </is>
      </c>
      <c r="G833" s="9" t="inlineStr">
        <is>
          <t>EffectiveHits</t>
        </is>
      </c>
      <c r="H833" s="9" t="inlineStr">
        <is>
          <t>ProcProbability</t>
        </is>
      </c>
      <c r="I833" s="9" t="inlineStr">
        <is>
          <t>MapleHeroMultiplier</t>
        </is>
      </c>
      <c r="J833" s="9" t="inlineStr">
        <is>
          <t>BaseDamage</t>
        </is>
      </c>
      <c r="K833" s="9" t="inlineStr">
        <is>
          <t>BaseHitDamage</t>
        </is>
      </c>
      <c r="L833" s="9" t="inlineStr">
        <is>
          <t>NonCritAvg</t>
        </is>
      </c>
      <c r="M833" s="9" t="inlineStr">
        <is>
          <t>CritAvg</t>
        </is>
      </c>
      <c r="N833" s="9" t="inlineStr">
        <is>
          <t>ExpectedDamage(perHit)</t>
        </is>
      </c>
      <c r="O833" s="9" t="inlineStr">
        <is>
          <t>DPS</t>
        </is>
      </c>
      <c r="P833" s="9" t="inlineStr">
        <is>
          <t>% of Total</t>
        </is>
      </c>
      <c r="R833" t="inlineStr">
        <is>
          <t>helpers</t>
        </is>
      </c>
    </row>
    <row r="834">
      <c r="A834">
        <f>Skills!A2</f>
        <v/>
      </c>
      <c r="B834">
        <f>Skills!B2</f>
        <v/>
      </c>
      <c r="C834">
        <f>Inputs!$B$3&gt;=100</f>
        <v/>
      </c>
      <c r="D834" t="inlineStr"/>
      <c r="E834" t="inlineStr"/>
      <c r="F834">
        <f>T836+Skills!N2</f>
        <v/>
      </c>
      <c r="G834">
        <f>Calc!G2</f>
        <v/>
      </c>
      <c r="H834">
        <f>Calc!H2</f>
        <v/>
      </c>
      <c r="I834">
        <f>IF(Skills!T2&lt;&gt;"",1+(Skills!T2/10)*($Z$3/1000)/100,1)</f>
        <v/>
      </c>
      <c r="J834">
        <f>((Inputs!$B$6*(1+Inputs!$B$7/100))+(((Inputs!$B$13*(1+Inputs!$B$14/100))-(Inputs!$B$13*(1+Inputs!$B$14/100)))+0.25*(Inputs!$B$15-Inputs!$B$15))*(1+Inputs!$B$7/100))*(F834/100)</f>
        <v/>
      </c>
      <c r="K834">
        <f>J834*(1+(((Inputs!$B$13+IF(Inputs!$B$3&gt;=35,(10*INDEX(FactorTable!$B$2:$Y$301, MATCH(ROUND(MIN(300,MAX(1,Inputs!$B$3)),0), FactorTable!$A$2:$A$301,0), 23)/1000)/100*(Inputs!$B$8*(1+(Inputs!$B$9+B870)/100)),0))*(1+Inputs!$B$14/100))*0.01+Inputs!$B$15*0.0025)/100)*(1+(Inputs!$B$16+B864)/100)*(1+IF(Inputs!$B$39="pvp",0,(1-Summary!$B$48)*(Inputs!$B$21+Skills!O2+B862)+Summary!$B$48*(Inputs!$B$22+Skills!P2+B863))/100)*(1+Inputs!$B$17/100)*(5000/(6000+Inputs!$B$43*(1-Inputs!$B$20/100)))*(1+Inputs!$B$25/100)*(1+IF(C850=TRUE,F850,0)/100)*(1+IF(C852=TRUE,F852,0)/100)*(1+IF(Skills!A2="TRIUMPH_FEATHER",IF(C848=TRUE,F848,0),0)/100)*(1+IF(C859=TRUE,F859,0)/100)^5*(1+(IF(Skills!A2="BIG_BANG",Inputs!$B$18,Inputs!$B$19))/100)*(B861*I834)</f>
        <v/>
      </c>
      <c r="L834">
        <f>K834*(MIN(Inputs!$B$23+(F854-Calc!F22),Inputs!$B$24)/100+Inputs!$B$24/100)/2</f>
        <v/>
      </c>
      <c r="M834">
        <f>L834*(1+(Inputs!$B$11+B865+(F857-Calc!F25))/100)</f>
        <v/>
      </c>
      <c r="N834">
        <f>L834*(1-MIN(Inputs!$B$10+((F856-Calc!F24)+(F855-Calc!F23)),100)/100)+M834*(MIN(Inputs!$B$10+((F856-Calc!F24)+(F855-Calc!F23)),100)/100)</f>
        <v/>
      </c>
      <c r="O834">
        <f>IF(C834,Skills!F2*N834*B869*IF(Inputs!$B$39="pvp",1,(1-Summary!$B$48)*(1)+Summary!$B$48*(MIN((6+Inputs!$B$34),Inputs!$B$38))),0)</f>
        <v/>
      </c>
      <c r="P834">
        <f>IF(B872=0,0,O834/B872)</f>
        <v/>
      </c>
      <c r="Q834">
        <f>IFERROR(1/IF(Inputs!$B$39="pvp",15,MAX(0.1,Skills!D2-IF(Skills!E2=TRUE,Inputs!$B$33,0))),0)</f>
        <v/>
      </c>
      <c r="R834" t="n">
        <v>0</v>
      </c>
      <c r="T834">
        <f>MAX(0,(Inputs!$B$3-100)*3)+Inputs!$B$29+Inputs!$B$30</f>
        <v/>
      </c>
    </row>
    <row r="835">
      <c r="A835">
        <f>Skills!A3</f>
        <v/>
      </c>
      <c r="B835">
        <f>Skills!B3</f>
        <v/>
      </c>
      <c r="C835">
        <f>Inputs!$B$3&gt;=15</f>
        <v/>
      </c>
      <c r="D835">
        <f>IF(Skills!C3=1,60+Inputs!$B$26+Inputs!$B$30,IF(Skills!C3=2,90+Inputs!$B$27+Inputs!$B$30,IF(Skills!C3=3,120+(Inputs!$B$28+1)+Inputs!$B$30,MAX(0,(Inputs!$B$3-100)*3)+Inputs!$B$29+Inputs!$B$30)))</f>
        <v/>
      </c>
      <c r="E835">
        <f>INDEX(FactorTable!$B$2:$Y$301, MATCH(ROUND(MIN(300,MAX(1,D835)),0), FactorTable!$A$2:$A$301,0), Skills!L3+1)</f>
        <v/>
      </c>
      <c r="F835">
        <f>IF(Skills!M3=TRUE,(Skills!K3/10)*(E835/1000),Skills!K3/10)+Skills!N3</f>
        <v/>
      </c>
      <c r="G835">
        <f>Calc!G3</f>
        <v/>
      </c>
      <c r="H835">
        <f>Calc!H3</f>
        <v/>
      </c>
      <c r="I835">
        <f>IF(Skills!T3&lt;&gt;"",1+(Skills!T3/10)*($Z$3/1000)/100,1)</f>
        <v/>
      </c>
      <c r="J835" t="inlineStr"/>
      <c r="K835" t="inlineStr"/>
      <c r="L835" t="inlineStr"/>
      <c r="M835" t="inlineStr"/>
      <c r="N835" t="inlineStr"/>
      <c r="O835" t="n">
        <v>0</v>
      </c>
      <c r="P835">
        <f>IF(B872=0,0,O835/B872)</f>
        <v/>
      </c>
      <c r="Q835">
        <f>IFERROR(1/IF(Inputs!$B$39="pvp",15,MAX(0.1,Skills!D3-IF(Skills!E3=TRUE,Inputs!$B$33,0))),0)</f>
        <v/>
      </c>
      <c r="R835">
        <f>IF(AND(Inputs!$B$39&lt;&gt;"pvp",Inputs!$B$44&gt;0),IF(Inputs!$B$44&lt;=0,0,(INT(Inputs!$B$44/IF(Inputs!$B$39="pvp",15,MAX(0.1,Skills!D3-IF(Skills!E3=TRUE,Inputs!$B$33,0))))+1)),0)</f>
        <v/>
      </c>
      <c r="T835">
        <f>INDEX(FactorTable!$B$2:$Y$301, MATCH(ROUND(MIN(300,MAX(1,T834)),0), FactorTable!$A$2:$A$301,0), 22)</f>
        <v/>
      </c>
    </row>
    <row r="836">
      <c r="A836">
        <f>Skills!A4</f>
        <v/>
      </c>
      <c r="B836">
        <f>Skills!B4</f>
        <v/>
      </c>
      <c r="C836">
        <f>Inputs!$B$3&gt;=38</f>
        <v/>
      </c>
      <c r="D836">
        <f>IF(Skills!C4=1,60+Inputs!$B$26+Inputs!$B$30,IF(Skills!C4=2,90+Inputs!$B$27+Inputs!$B$30,IF(Skills!C4=3,120+(Inputs!$B$28+1)+Inputs!$B$30,MAX(0,(Inputs!$B$3-100)*3)+Inputs!$B$29+Inputs!$B$30)))</f>
        <v/>
      </c>
      <c r="E836">
        <f>INDEX(FactorTable!$B$2:$Y$301, MATCH(ROUND(MIN(300,MAX(1,D836)),0), FactorTable!$A$2:$A$301,0), Skills!L4+1)</f>
        <v/>
      </c>
      <c r="F836">
        <f>IF(Skills!M4=TRUE,(Skills!K4/10)*(E836/1000),Skills!K4/10)+Skills!N4</f>
        <v/>
      </c>
      <c r="G836">
        <f>Calc!G4</f>
        <v/>
      </c>
      <c r="H836">
        <f>Calc!H4</f>
        <v/>
      </c>
      <c r="I836">
        <f>IF(Skills!T4&lt;&gt;"",1+(Skills!T4/10)*($Z$3/1000)/100,1)</f>
        <v/>
      </c>
      <c r="J836" t="inlineStr"/>
      <c r="K836" t="inlineStr"/>
      <c r="L836" t="inlineStr"/>
      <c r="M836" t="inlineStr"/>
      <c r="N836" t="inlineStr"/>
      <c r="O836" t="n">
        <v>0</v>
      </c>
      <c r="P836">
        <f>IF(B872=0,0,O836/B872)</f>
        <v/>
      </c>
      <c r="Q836">
        <f>IFERROR(1/IF(Inputs!$B$39="pvp",15,MAX(0.1,Skills!D4-IF(Skills!E4=TRUE,Inputs!$B$33,0))),0)</f>
        <v/>
      </c>
      <c r="R836">
        <f>IF(AND(Inputs!$B$39&lt;&gt;"pvp",Inputs!$B$44&gt;0),IF(Inputs!$B$44&lt;=0,0,(INT(Inputs!$B$44/IF(Inputs!$B$39="pvp",15,MAX(0.1,Skills!D4-IF(Skills!E4=TRUE,Inputs!$B$33,0))))+1)),0)</f>
        <v/>
      </c>
      <c r="T836">
        <f>290*T835/1000</f>
        <v/>
      </c>
    </row>
    <row r="837">
      <c r="A837">
        <f>Skills!A5</f>
        <v/>
      </c>
      <c r="B837">
        <f>Skills!B5</f>
        <v/>
      </c>
      <c r="C837">
        <f>Inputs!$B$3&gt;=40</f>
        <v/>
      </c>
      <c r="D837">
        <f>IF(Skills!C5=1,60+Inputs!$B$26+Inputs!$B$30,IF(Skills!C5=2,90+Inputs!$B$27+Inputs!$B$30,IF(Skills!C5=3,120+(Inputs!$B$28+1)+Inputs!$B$30,MAX(0,(Inputs!$B$3-100)*3)+Inputs!$B$29+Inputs!$B$30)))</f>
        <v/>
      </c>
      <c r="E837">
        <f>INDEX(FactorTable!$B$2:$Y$301, MATCH(ROUND(MIN(300,MAX(1,D837)),0), FactorTable!$A$2:$A$301,0), Skills!L5+1)</f>
        <v/>
      </c>
      <c r="F837">
        <f>IF(Skills!M5=TRUE,(Skills!K5/10)*(E837/1000),Skills!K5/10)+Skills!N5</f>
        <v/>
      </c>
      <c r="G837">
        <f>Calc!G5</f>
        <v/>
      </c>
      <c r="H837">
        <f>Calc!H5</f>
        <v/>
      </c>
      <c r="I837">
        <f>IF(Skills!T5&lt;&gt;"",1+(Skills!T5/10)*($Z$3/1000)/100,1)</f>
        <v/>
      </c>
      <c r="J837" t="inlineStr"/>
      <c r="K837" t="inlineStr"/>
      <c r="L837" t="inlineStr"/>
      <c r="M837" t="inlineStr"/>
      <c r="N837" t="inlineStr"/>
      <c r="O837" t="n">
        <v>0</v>
      </c>
      <c r="P837">
        <f>IF(B872=0,0,O837/B872)</f>
        <v/>
      </c>
      <c r="Q837">
        <f>IFERROR(1/IF(Inputs!$B$39="pvp",15,MAX(0.1,Skills!D5-IF(Skills!E5=TRUE,Inputs!$B$33,0))),0)</f>
        <v/>
      </c>
      <c r="R837">
        <f>IF(AND(Inputs!$B$39&lt;&gt;"pvp",Inputs!$B$44&gt;0),IF(Inputs!$B$44&lt;=0,0,(INT(Inputs!$B$44/IF(Inputs!$B$39="pvp",15,MAX(0.1,Skills!D5-IF(Skills!E5=TRUE,Inputs!$B$33,0))))+1)),0)</f>
        <v/>
      </c>
    </row>
    <row r="838">
      <c r="A838">
        <f>Skills!A6</f>
        <v/>
      </c>
      <c r="B838">
        <f>Skills!B6</f>
        <v/>
      </c>
      <c r="C838">
        <f>Inputs!$B$3&gt;=103</f>
        <v/>
      </c>
      <c r="D838">
        <f>IF(Skills!C6=1,60+Inputs!$B$26+Inputs!$B$30,IF(Skills!C6=2,90+Inputs!$B$27+Inputs!$B$30,IF(Skills!C6=3,120+(Inputs!$B$28+1)+Inputs!$B$30,MAX(0,(Inputs!$B$3-100)*3)+Inputs!$B$29+Inputs!$B$30)))</f>
        <v/>
      </c>
      <c r="E838">
        <f>INDEX(FactorTable!$B$2:$Y$301, MATCH(ROUND(MIN(300,MAX(1,D838)),0), FactorTable!$A$2:$A$301,0), Skills!L6+1)</f>
        <v/>
      </c>
      <c r="F838">
        <f>IF(Skills!M6=TRUE,(Skills!K6/10)*(E838/1000),Skills!K6/10)+Skills!N6</f>
        <v/>
      </c>
      <c r="G838">
        <f>Calc!G6</f>
        <v/>
      </c>
      <c r="H838">
        <f>Calc!H6</f>
        <v/>
      </c>
      <c r="I838">
        <f>IF(Skills!T6&lt;&gt;"",1+(Skills!T6/10)*($Z$3/1000)/100,1)</f>
        <v/>
      </c>
      <c r="J838">
        <f>((Inputs!$B$6*(1+Inputs!$B$7/100))+(((Inputs!$B$13*(1+Inputs!$B$14/100))-(Inputs!$B$13*(1+Inputs!$B$14/100)))+0.25*(Inputs!$B$15-Inputs!$B$15))*(1+Inputs!$B$7/100))*(F838/100)</f>
        <v/>
      </c>
      <c r="K838">
        <f>J838*(1+(((Inputs!$B$13+IF(Inputs!$B$3&gt;=35,(10*INDEX(FactorTable!$B$2:$Y$301, MATCH(ROUND(MIN(300,MAX(1,Inputs!$B$3)),0), FactorTable!$A$2:$A$301,0), 23)/1000)/100*(Inputs!$B$8*(1+(Inputs!$B$9+B870)/100)),0))*(1+Inputs!$B$14/100))*0.01+Inputs!$B$15*0.0025)/100)*(1+(Inputs!$B$16+B864)/100)*(1+IF(Inputs!$B$39="pvp",0,(1-Summary!$B$48)*(Inputs!$B$21+Skills!O6+B862)+Summary!$B$48*(Inputs!$B$22+Skills!P6+B863))/100)*(1+Inputs!$B$17/100)*(5000/(6000+Inputs!$B$43*(1-Inputs!$B$20/100)))*(1+Inputs!$B$25/100)*(1+IF(C850=TRUE,F850,0)/100)*(1+IF(C852=TRUE,F852,0)/100)*(1+IF(Skills!A6="TRIUMPH_FEATHER",IF(C848=TRUE,F848,0),0)/100)*(1+IF(C859=TRUE,F859,0)/100)^5*(1+(IF(Skills!A6="BIG_BANG",Inputs!$B$18,Inputs!$B$19))/100)*(B861*I838)</f>
        <v/>
      </c>
      <c r="L838">
        <f>K838*(MIN(Inputs!$B$23+(F854-Calc!F22),Inputs!$B$24)/100+Inputs!$B$24/100)/2</f>
        <v/>
      </c>
      <c r="M838">
        <f>L838*(1+(Inputs!$B$11+B865+(F857-Calc!F25))/100)</f>
        <v/>
      </c>
      <c r="N838">
        <f>L838*(1-MIN(Inputs!$B$10+((F856-Calc!F24)+(F855-Calc!F23)),100)/100)+M838*(MIN(Inputs!$B$10+((F856-Calc!F24)+(F855-Calc!F23)),100)/100)</f>
        <v/>
      </c>
      <c r="O838">
        <f>IF(C838,H838*N838*IF(AND(Inputs!$B$39&lt;&gt;"pvp",Inputs!$B$44&gt;0),((Skills!F6*((R838-1)*IF(Skills!G6&gt;0,Skills!H6/Skills!G6,1)+IF(Skills!G6&gt;0,MIN(Skills!H6,MAX(0,MAX(0,Inputs!$B$44-B871)-((R838-1)*IF(Inputs!$B$39="pvp",15,MAX(0.1,Skills!D6-IF(Skills!E6=TRUE,Inputs!$B$33,0))))))/Skills!G6,1)))/Inputs!$B$44),G838*Q838)*IF(Inputs!$B$39="pvp",1,(1-Summary!$B$48)*(1)+Summary!$B$48*(MIN(Skills!Q6,Inputs!$B$38))),0)</f>
        <v/>
      </c>
      <c r="P838">
        <f>IF(B872=0,0,O838/B872)</f>
        <v/>
      </c>
      <c r="Q838">
        <f>IFERROR(1/IF(Inputs!$B$39="pvp",15,MAX(0.1,Skills!D6-IF(Skills!E6=TRUE,Inputs!$B$33,0))),0)</f>
        <v/>
      </c>
      <c r="R838">
        <f>IF(AND(Inputs!$B$39&lt;&gt;"pvp",Inputs!$B$44&gt;0),IF(MAX(0,Inputs!$B$44-B871)&lt;=0,0,(INT(MAX(0,Inputs!$B$44-B871)/IF(Inputs!$B$39="pvp",15,MAX(0.1,Skills!D6-IF(Skills!E6=TRUE,Inputs!$B$33,0))))+1)),0)</f>
        <v/>
      </c>
    </row>
    <row r="839">
      <c r="A839">
        <f>Skills!A7</f>
        <v/>
      </c>
      <c r="B839">
        <f>Skills!B7</f>
        <v/>
      </c>
      <c r="C839">
        <f>Inputs!$B$3&gt;=122</f>
        <v/>
      </c>
      <c r="D839">
        <f>IF(Skills!C7=1,60+Inputs!$B$26+Inputs!$B$30,IF(Skills!C7=2,90+Inputs!$B$27+Inputs!$B$30,IF(Skills!C7=3,120+(Inputs!$B$28+1)+Inputs!$B$30,MAX(0,(Inputs!$B$3-100)*3)+Inputs!$B$29+Inputs!$B$30)))</f>
        <v/>
      </c>
      <c r="E839">
        <f>INDEX(FactorTable!$B$2:$Y$301, MATCH(ROUND(MIN(300,MAX(1,D839)),0), FactorTable!$A$2:$A$301,0), Skills!L7+1)</f>
        <v/>
      </c>
      <c r="F839">
        <f>IF(Skills!M7=TRUE,(Skills!K7/10)*(E839/1000),Skills!K7/10)+Skills!N7</f>
        <v/>
      </c>
      <c r="G839">
        <f>Calc!G7</f>
        <v/>
      </c>
      <c r="H839">
        <f>Calc!H7</f>
        <v/>
      </c>
      <c r="I839">
        <f>IF(Skills!T7&lt;&gt;"",1+(Skills!T7/10)*($Z$3/1000)/100,1)</f>
        <v/>
      </c>
      <c r="J839">
        <f>((Inputs!$B$6*(1+Inputs!$B$7/100))+(((Inputs!$B$13*(1+Inputs!$B$14/100))-(Inputs!$B$13*(1+Inputs!$B$14/100)))+0.25*(Inputs!$B$15-Inputs!$B$15))*(1+Inputs!$B$7/100))*(F839/100)</f>
        <v/>
      </c>
      <c r="K839">
        <f>J839*(1+(((Inputs!$B$13+IF(Inputs!$B$3&gt;=35,(10*INDEX(FactorTable!$B$2:$Y$301, MATCH(ROUND(MIN(300,MAX(1,Inputs!$B$3)),0), FactorTable!$A$2:$A$301,0), 23)/1000)/100*(Inputs!$B$8*(1+(Inputs!$B$9+B870)/100)),0))*(1+Inputs!$B$14/100))*0.01+Inputs!$B$15*0.0025)/100)*(1+(Inputs!$B$16+B864)/100)*(1+IF(Inputs!$B$39="pvp",0,(1-Summary!$B$48)*(Inputs!$B$21+Skills!O7+B862)+Summary!$B$48*(Inputs!$B$22+Skills!P7+B863))/100)*(1+Inputs!$B$17/100)*(5000/(6000+Inputs!$B$43*(1-Inputs!$B$20/100)))*(1+Inputs!$B$25/100)*(1+IF(C850=TRUE,F850,0)/100)*(1+IF(C852=TRUE,F852,0)/100)*(1+IF(Skills!A7="TRIUMPH_FEATHER",IF(C848=TRUE,F848,0),0)/100)*(1+IF(C859=TRUE,F859,0)/100)^5*(1+(IF(Skills!A7="BIG_BANG",Inputs!$B$18,Inputs!$B$19))/100)*(B861*I839)</f>
        <v/>
      </c>
      <c r="L839">
        <f>K839*(MIN(Inputs!$B$23+(F854-Calc!F22),Inputs!$B$24)/100+Inputs!$B$24/100)/2</f>
        <v/>
      </c>
      <c r="M839">
        <f>L839*(1+(Inputs!$B$11+B865+(F857-Calc!F25))/100)</f>
        <v/>
      </c>
      <c r="N839">
        <f>L839*(1-MIN(Inputs!$B$10+((F856-Calc!F24)+(F855-Calc!F23)),100)/100)+M839*(MIN(Inputs!$B$10+((F856-Calc!F24)+(F855-Calc!F23)),100)/100)</f>
        <v/>
      </c>
      <c r="O839">
        <f>IF(C839,H839*N839*IF(AND(Inputs!$B$39&lt;&gt;"pvp",Inputs!$B$44&gt;0),((Skills!F7*((R839-1)*IF(Skills!G7&gt;0,Skills!H7/Skills!G7,1)+IF(Skills!G7&gt;0,MIN(Skills!H7,MAX(0,MAX(0,Inputs!$B$44-B871)-((R839-1)*IF(Inputs!$B$39="pvp",15,MAX(0.1,Skills!D7-IF(Skills!E6=TRUE,Inputs!$B$33,0))))))/Skills!G7,1)))/Inputs!$B$44),G839*Q839)*(1-Summary!$B$48),0)</f>
        <v/>
      </c>
      <c r="P839">
        <f>IF(B872=0,0,O839/B872)</f>
        <v/>
      </c>
      <c r="Q839">
        <f>IFERROR(1/IF(Inputs!$B$39="pvp",15,MAX(0.1,Skills!D7-IF(Skills!E6=TRUE,Inputs!$B$33,0))),0)</f>
        <v/>
      </c>
      <c r="R839">
        <f>IF(AND(Inputs!$B$39&lt;&gt;"pvp",Inputs!$B$44&gt;0),IF(MAX(0,Inputs!$B$44-B871)&lt;=0,0,(INT(MAX(0,Inputs!$B$44-B871)/IF(Inputs!$B$39="pvp",15,MAX(0.1,Skills!D7-IF(Skills!E6=TRUE,Inputs!$B$33,0))))+1)),0)</f>
        <v/>
      </c>
    </row>
    <row r="840">
      <c r="A840">
        <f>Skills!A8</f>
        <v/>
      </c>
      <c r="B840">
        <f>Skills!B8</f>
        <v/>
      </c>
      <c r="C840">
        <f>Inputs!$B$3&gt;=105</f>
        <v/>
      </c>
      <c r="D840">
        <f>IF(Skills!C8=1,60+Inputs!$B$26+Inputs!$B$30,IF(Skills!C8=2,90+Inputs!$B$27+Inputs!$B$30,IF(Skills!C8=3,120+(Inputs!$B$28+1)+Inputs!$B$30,MAX(0,(Inputs!$B$3-100)*3)+Inputs!$B$29+Inputs!$B$30)))</f>
        <v/>
      </c>
      <c r="E840">
        <f>INDEX(FactorTable!$B$2:$Y$301, MATCH(ROUND(MIN(300,MAX(1,D840)),0), FactorTable!$A$2:$A$301,0), Skills!L8+1)</f>
        <v/>
      </c>
      <c r="F840">
        <f>IF(Skills!M8=TRUE,(Skills!K8/10)*(E840/1000),Skills!K8/10)+Skills!N8</f>
        <v/>
      </c>
      <c r="G840">
        <f>Calc!G8</f>
        <v/>
      </c>
      <c r="H840">
        <f>Calc!H8</f>
        <v/>
      </c>
      <c r="I840">
        <f>IF(Skills!T8&lt;&gt;"",1+(Skills!T8/10)*($Z$3/1000)/100,1)</f>
        <v/>
      </c>
      <c r="J840">
        <f>((Inputs!$B$6*(1+Inputs!$B$7/100))+(((Inputs!$B$13*(1+Inputs!$B$14/100))-(Inputs!$B$13*(1+Inputs!$B$14/100)))+0.25*(Inputs!$B$15-Inputs!$B$15))*(1+Inputs!$B$7/100))*(F840/100)</f>
        <v/>
      </c>
      <c r="K840">
        <f>J840*(1+(((Inputs!$B$13+IF(Inputs!$B$3&gt;=35,(10*INDEX(FactorTable!$B$2:$Y$301, MATCH(ROUND(MIN(300,MAX(1,Inputs!$B$3)),0), FactorTable!$A$2:$A$301,0), 23)/1000)/100*(Inputs!$B$8*(1+(Inputs!$B$9+B870)/100)),0))*(1+Inputs!$B$14/100))*0.01+Inputs!$B$15*0.0025)/100)*(1+(Inputs!$B$16+B864)/100)*(1+IF(Inputs!$B$39="pvp",0,(1-Summary!$B$48)*(Inputs!$B$21+Skills!O8+B862)+Summary!$B$48*(Inputs!$B$22+Skills!P8+B863))/100)*(1+Inputs!$B$17/100)*(5000/(6000+Inputs!$B$43*(1-Inputs!$B$20/100)))*(1+Inputs!$B$25/100)*(1+IF(C850=TRUE,F850,0)/100)*(1+IF(C852=TRUE,F852,0)/100)*(1+IF(Skills!A8="TRIUMPH_FEATHER",IF(C848=TRUE,F848,0),0)/100)*(1+IF(C859=TRUE,F859,0)/100)^5*(1+(IF(Skills!A8="BIG_BANG",Inputs!$B$18,Inputs!$B$19))/100)*(B861*I840)</f>
        <v/>
      </c>
      <c r="L840">
        <f>K840*(MIN(Inputs!$B$23+(F854-Calc!F22),Inputs!$B$24)/100+Inputs!$B$24/100)/2</f>
        <v/>
      </c>
      <c r="M840">
        <f>L840*(1+(Inputs!$B$11+B865+(F857-Calc!F25))/100)</f>
        <v/>
      </c>
      <c r="N840">
        <f>L840*(1-MIN(Inputs!$B$10+((F856-Calc!F24)+(F855-Calc!F23)),100)/100)+M840*(MIN(Inputs!$B$10+((F856-Calc!F24)+(F855-Calc!F23)),100)/100)</f>
        <v/>
      </c>
      <c r="O840">
        <f>IF(C840,H840*N840*IF(AND(Inputs!$B$39&lt;&gt;"pvp",Inputs!$B$44&gt;0),((Skills!F8*((R840-1)*IF(Skills!G8&gt;0,Skills!H8/Skills!G8,1)+IF(Skills!G8&gt;0,MIN(Skills!H8,MAX(0,MAX(0,Inputs!$B$44-B871)-((R840-1)*IF(Inputs!$B$39="pvp",15,MAX(0.1,Skills!D8-IF(Skills!E8=TRUE,Inputs!$B$33,0))))))/Skills!G8,1)))/Inputs!$B$44),G840*Q840)*IF(Inputs!$B$39="pvp",1,(1-Summary!$B$48)*(1)+Summary!$B$48*(MIN(Skills!Q8,Inputs!$B$38))),0)</f>
        <v/>
      </c>
      <c r="P840">
        <f>IF(B872=0,0,O840/B872)</f>
        <v/>
      </c>
      <c r="Q840">
        <f>IFERROR(1/IF(Inputs!$B$39="pvp",15,MAX(0.1,Skills!D8-IF(Skills!E8=TRUE,Inputs!$B$33,0))),0)</f>
        <v/>
      </c>
      <c r="R840">
        <f>IF(AND(Inputs!$B$39&lt;&gt;"pvp",Inputs!$B$44&gt;0),IF(MAX(0,Inputs!$B$44-B871)&lt;=0,0,(INT(MAX(0,Inputs!$B$44-B871)/IF(Inputs!$B$39="pvp",15,MAX(0.1,Skills!D8-IF(Skills!E8=TRUE,Inputs!$B$33,0))))+1)),0)</f>
        <v/>
      </c>
    </row>
    <row r="841">
      <c r="A841">
        <f>Skills!A9</f>
        <v/>
      </c>
      <c r="B841">
        <f>Skills!B9</f>
        <v/>
      </c>
      <c r="C841">
        <f>Inputs!$B$3&gt;=115</f>
        <v/>
      </c>
      <c r="D841">
        <f>IF(Skills!C9=1,60+Inputs!$B$26+Inputs!$B$30,IF(Skills!C9=2,90+Inputs!$B$27+Inputs!$B$30,IF(Skills!C9=3,120+(Inputs!$B$28+1)+Inputs!$B$30,MAX(0,(Inputs!$B$3-100)*3)+Inputs!$B$29+Inputs!$B$30)))</f>
        <v/>
      </c>
      <c r="E841">
        <f>INDEX(FactorTable!$B$2:$Y$301, MATCH(ROUND(MIN(300,MAX(1,D841)),0), FactorTable!$A$2:$A$301,0), Skills!L9+1)</f>
        <v/>
      </c>
      <c r="F841">
        <f>IF(Skills!M9=TRUE,(Skills!K9/10)*(E841/1000),Skills!K9/10)+Skills!N9</f>
        <v/>
      </c>
      <c r="G841">
        <f>Calc!G9</f>
        <v/>
      </c>
      <c r="H841">
        <f>Calc!H9</f>
        <v/>
      </c>
      <c r="I841">
        <f>IF(Skills!T9&lt;&gt;"",1+(Skills!T9/10)*($Z$3/1000)/100,1)</f>
        <v/>
      </c>
      <c r="J841">
        <f>((Inputs!$B$6*(1+Inputs!$B$7/100))+(((Inputs!$B$13*(1+Inputs!$B$14/100))-(Inputs!$B$13*(1+Inputs!$B$14/100)))+0.25*(Inputs!$B$15-Inputs!$B$15))*(1+Inputs!$B$7/100))*(F841/100)</f>
        <v/>
      </c>
      <c r="K841">
        <f>J841*(1+(((Inputs!$B$13+IF(Inputs!$B$3&gt;=35,(10*INDEX(FactorTable!$B$2:$Y$301, MATCH(ROUND(MIN(300,MAX(1,Inputs!$B$3)),0), FactorTable!$A$2:$A$301,0), 23)/1000)/100*(Inputs!$B$8*(1+(Inputs!$B$9+B870)/100)),0))*(1+Inputs!$B$14/100))*0.01+Inputs!$B$15*0.0025)/100)*(1+(Inputs!$B$16+B864)/100)*(1+IF(Inputs!$B$39="pvp",0,(1-Summary!$B$48)*(Inputs!$B$21+Skills!O9+B862)+Summary!$B$48*(Inputs!$B$22+Skills!P9+B863))/100)*(1+Inputs!$B$17/100)*(5000/(6000+Inputs!$B$43*(1-Inputs!$B$20/100)))*(1+Inputs!$B$25/100)*(1+IF(C850=TRUE,F850,0)/100)*(1+IF(C852=TRUE,F852,0)/100)*(1+IF(Skills!A9="TRIUMPH_FEATHER",IF(C848=TRUE,F848,0),0)/100)*(1+IF(C859=TRUE,F859,0)/100)^5*(1+(IF(Skills!A9="BIG_BANG",Inputs!$B$18,Inputs!$B$19))/100)*(B861*I841)</f>
        <v/>
      </c>
      <c r="L841">
        <f>K841*(MIN(Inputs!$B$23+(F854-Calc!F22),Inputs!$B$24)/100+Inputs!$B$24/100)/2</f>
        <v/>
      </c>
      <c r="M841">
        <f>L841*(1+(Inputs!$B$11+B865+(F857-Calc!F25))/100)</f>
        <v/>
      </c>
      <c r="N841">
        <f>L841*(1-MIN(Inputs!$B$10+((F856-Calc!F24)+(F855-Calc!F23)),100)/100)+M841*(MIN(Inputs!$B$10+((F856-Calc!F24)+(F855-Calc!F23)),100)/100)</f>
        <v/>
      </c>
      <c r="O841">
        <f>IF(C841,H841*N841*IF(AND(Inputs!$B$39&lt;&gt;"pvp",Inputs!$B$44&gt;0),((Skills!F9*((R841-1)*IF(Skills!G9&gt;0,Skills!H9/Skills!G9,1)+IF(Skills!G9&gt;0,MIN(Skills!H9,MAX(0,MAX(0,Inputs!$B$44-B871)-((R841-1)*IF(Inputs!$B$39="pvp",15,MAX(0.1,Skills!D9-IF(Skills!E9=TRUE,Inputs!$B$33,0))))))/Skills!G9,1)))/Inputs!$B$44),G841*Q841)*IF(Inputs!$B$39="pvp",1,(1-Summary!$B$48)*(1)+Summary!$B$48*(MIN(Skills!Q9,Inputs!$B$38))),0)</f>
        <v/>
      </c>
      <c r="P841">
        <f>IF(B872=0,0,O841/B872)</f>
        <v/>
      </c>
      <c r="Q841">
        <f>IFERROR(1/IF(Inputs!$B$39="pvp",15,MAX(0.1,Skills!D9-IF(Skills!E9=TRUE,Inputs!$B$33,0))),0)</f>
        <v/>
      </c>
      <c r="R841">
        <f>IF(AND(Inputs!$B$39&lt;&gt;"pvp",Inputs!$B$44&gt;0),IF(MAX(0,Inputs!$B$44-B871)&lt;=0,0,(INT(MAX(0,Inputs!$B$44-B871)/IF(Inputs!$B$39="pvp",15,MAX(0.1,Skills!D9-IF(Skills!E9=TRUE,Inputs!$B$33,0))))+1)),0)</f>
        <v/>
      </c>
    </row>
    <row r="842">
      <c r="A842">
        <f>Skills!A10</f>
        <v/>
      </c>
      <c r="B842">
        <f>Skills!B10</f>
        <v/>
      </c>
      <c r="C842">
        <f>Inputs!$B$3&gt;=66</f>
        <v/>
      </c>
      <c r="D842">
        <f>IF(Skills!C10=1,60+Inputs!$B$26+Inputs!$B$30,IF(Skills!C10=2,90+Inputs!$B$27+Inputs!$B$30,IF(Skills!C10=3,120+(Inputs!$B$28+1)+Inputs!$B$30,MAX(0,(Inputs!$B$3-100)*3)+Inputs!$B$29+Inputs!$B$30)))</f>
        <v/>
      </c>
      <c r="E842">
        <f>INDEX(FactorTable!$B$2:$Y$301, MATCH(ROUND(MIN(300,MAX(1,D842)),0), FactorTable!$A$2:$A$301,0), Skills!L10+1)</f>
        <v/>
      </c>
      <c r="F842" t="n">
        <v>0</v>
      </c>
      <c r="G842">
        <f>Calc!G10</f>
        <v/>
      </c>
      <c r="H842">
        <f>Calc!H10</f>
        <v/>
      </c>
      <c r="I842">
        <f>IF(Skills!T10&lt;&gt;"",1+(Skills!T10/10)*($Z$3/1000)/100,1)</f>
        <v/>
      </c>
      <c r="J842" t="inlineStr"/>
      <c r="K842" t="inlineStr"/>
      <c r="L842" t="inlineStr"/>
      <c r="M842" t="inlineStr"/>
      <c r="N842" t="inlineStr"/>
      <c r="O842" t="n">
        <v>0</v>
      </c>
      <c r="P842">
        <f>IF(B872=0,0,O842/B872)</f>
        <v/>
      </c>
      <c r="Q842">
        <f>IFERROR(1/IF(Inputs!$B$39="pvp",15,MAX(0.1,Skills!D10-IF(Skills!E10=TRUE,Inputs!$B$33,0))),0)</f>
        <v/>
      </c>
      <c r="R842">
        <f>IF(AND(Inputs!$B$39&lt;&gt;"pvp",Inputs!$B$44&gt;0),IF(MAX(0,Inputs!$B$44-B871)&lt;=0,0,(INT(MAX(0,Inputs!$B$44-B871)/IF(Inputs!$B$39="pvp",15,MAX(0.1,Skills!D10-IF(Skills!E10=TRUE,Inputs!$B$33,0))))+1)),0)</f>
        <v/>
      </c>
    </row>
    <row r="843">
      <c r="A843">
        <f>Skills!A11</f>
        <v/>
      </c>
      <c r="B843">
        <f>Skills!B11</f>
        <v/>
      </c>
      <c r="C843">
        <f>Inputs!$B$3&gt;=69</f>
        <v/>
      </c>
      <c r="D843">
        <f>IF(Skills!C11=1,60+Inputs!$B$26+Inputs!$B$30,IF(Skills!C11=2,90+Inputs!$B$27+Inputs!$B$30,IF(Skills!C11=3,120+(Inputs!$B$28+1)+Inputs!$B$30,MAX(0,(Inputs!$B$3-100)*3)+Inputs!$B$29+Inputs!$B$30)))</f>
        <v/>
      </c>
      <c r="E843">
        <f>INDEX(FactorTable!$B$2:$Y$301, MATCH(ROUND(MIN(300,MAX(1,D843)),0), FactorTable!$A$2:$A$301,0), Skills!L11+1)</f>
        <v/>
      </c>
      <c r="F843">
        <f>IF(Skills!M11=TRUE,(Skills!K11/10)*(E843/1000),Skills!K11/10)+Skills!N11</f>
        <v/>
      </c>
      <c r="G843">
        <f>Calc!G11</f>
        <v/>
      </c>
      <c r="H843">
        <f>Calc!H11</f>
        <v/>
      </c>
      <c r="I843">
        <f>IF(Skills!T11&lt;&gt;"",1+(Skills!T11/10)*($Z$3/1000)/100,1)</f>
        <v/>
      </c>
      <c r="J843" t="inlineStr"/>
      <c r="K843" t="inlineStr"/>
      <c r="L843" t="inlineStr"/>
      <c r="M843" t="inlineStr"/>
      <c r="N843" t="inlineStr"/>
      <c r="O843" t="n">
        <v>0</v>
      </c>
      <c r="P843">
        <f>IF(B872=0,0,O843/B872)</f>
        <v/>
      </c>
      <c r="Q843">
        <f>IFERROR(1/IF(Inputs!$B$39="pvp",15,MAX(0.1,Skills!D11-IF(Skills!E11=TRUE,Inputs!$B$33,0))),0)</f>
        <v/>
      </c>
      <c r="R843">
        <f>IF(AND(Inputs!$B$39&lt;&gt;"pvp",Inputs!$B$44&gt;0),IF(Inputs!$B$44&lt;=0,0,(INT(Inputs!$B$44/IF(Inputs!$B$39="pvp",15,MAX(0.1,Skills!D11-IF(Skills!E11=TRUE,Inputs!$B$33,0))))+1)),0)</f>
        <v/>
      </c>
    </row>
    <row r="844">
      <c r="A844">
        <f>Skills!A12</f>
        <v/>
      </c>
      <c r="B844">
        <f>Skills!B12</f>
        <v/>
      </c>
      <c r="C844">
        <f>Inputs!$B$3&gt;=72</f>
        <v/>
      </c>
      <c r="D844">
        <f>IF(Skills!C12=1,60+Inputs!$B$26+Inputs!$B$30,IF(Skills!C12=2,90+Inputs!$B$27+Inputs!$B$30,IF(Skills!C12=3,120+(Inputs!$B$28+1)+Inputs!$B$30,MAX(0,(Inputs!$B$3-100)*3)+Inputs!$B$29+Inputs!$B$30)))</f>
        <v/>
      </c>
      <c r="E844">
        <f>INDEX(FactorTable!$B$2:$Y$301, MATCH(ROUND(MIN(300,MAX(1,D844)),0), FactorTable!$A$2:$A$301,0), Skills!L12+1)</f>
        <v/>
      </c>
      <c r="F844">
        <f>IF(Skills!M12=TRUE,(Skills!K12/10)*(E844/1000),Skills!K12/10)+Skills!N12</f>
        <v/>
      </c>
      <c r="G844">
        <f>Calc!G12</f>
        <v/>
      </c>
      <c r="H844">
        <f>Calc!H12</f>
        <v/>
      </c>
      <c r="I844">
        <f>IF(Skills!T12&lt;&gt;"",1+(Skills!T12/10)*($Z$3/1000)/100,1)</f>
        <v/>
      </c>
      <c r="J844" t="inlineStr"/>
      <c r="K844" t="inlineStr"/>
      <c r="L844" t="inlineStr"/>
      <c r="M844" t="inlineStr"/>
      <c r="N844" t="inlineStr"/>
      <c r="O844" t="n">
        <v>0</v>
      </c>
      <c r="P844">
        <f>IF(B872=0,0,O844/B872)</f>
        <v/>
      </c>
      <c r="Q844">
        <f>IFERROR(1/IF(Inputs!$B$39="pvp",15,MAX(0.1,Skills!D12-IF(Skills!E12=TRUE,Inputs!$B$33,0))),0)</f>
        <v/>
      </c>
      <c r="R844">
        <f>IF(AND(Inputs!$B$39&lt;&gt;"pvp",Inputs!$B$44&gt;0),IF(MAX(0,Inputs!$B$44-B871)&lt;=0,0,(INT(MAX(0,Inputs!$B$44-B871)/IF(Inputs!$B$39="pvp",15,MAX(0.1,Skills!D12-IF(Skills!E12=TRUE,Inputs!$B$33,0))))+1)),0)</f>
        <v/>
      </c>
    </row>
    <row r="845">
      <c r="A845">
        <f>Skills!A13</f>
        <v/>
      </c>
      <c r="B845">
        <f>Skills!B13</f>
        <v/>
      </c>
      <c r="C845">
        <f>Inputs!$B$3&gt;=60</f>
        <v/>
      </c>
      <c r="D845">
        <f>IF(Skills!C13=1,60+Inputs!$B$26+Inputs!$B$30,IF(Skills!C13=2,90+Inputs!$B$27+Inputs!$B$30,IF(Skills!C13=3,120+(Inputs!$B$28+1)+Inputs!$B$30,MAX(0,(Inputs!$B$3-100)*3)+Inputs!$B$29+Inputs!$B$30)))</f>
        <v/>
      </c>
      <c r="E845">
        <f>INDEX(FactorTable!$B$2:$Y$301, MATCH(ROUND(MIN(300,MAX(1,D845)),0), FactorTable!$A$2:$A$301,0), Skills!L13+1)</f>
        <v/>
      </c>
      <c r="F845">
        <f>IF(Skills!M13=TRUE,(Skills!K13/10)*(E845/1000),Skills!K13/10)+Skills!N13</f>
        <v/>
      </c>
      <c r="G845">
        <f>Calc!G13</f>
        <v/>
      </c>
      <c r="H845">
        <f>Calc!H13</f>
        <v/>
      </c>
      <c r="I845">
        <f>IF(Skills!T13&lt;&gt;"",1+(Skills!T13/10)*($Z$3/1000)/100,1)</f>
        <v/>
      </c>
      <c r="J845" t="inlineStr"/>
      <c r="K845" t="inlineStr"/>
      <c r="L845" t="inlineStr"/>
      <c r="M845" t="inlineStr"/>
      <c r="N845" t="inlineStr"/>
      <c r="O845" t="n">
        <v>0</v>
      </c>
      <c r="P845">
        <f>IF(B872=0,0,O845/B872)</f>
        <v/>
      </c>
      <c r="Q845">
        <f>IFERROR(1/IF(Inputs!$B$39="pvp",15,MAX(0.1,Skills!D13-IF(Skills!E13=TRUE,Inputs!$B$33,0))),0)</f>
        <v/>
      </c>
      <c r="R845">
        <f>IF(AND(Inputs!$B$39&lt;&gt;"pvp",Inputs!$B$44&gt;0),IF(MAX(0,Inputs!$B$44-B871)&lt;=0,0,(INT(MAX(0,Inputs!$B$44-B871)/IF(Inputs!$B$39="pvp",15,MAX(0.1,Skills!D13-IF(Skills!E13=TRUE,Inputs!$B$33,0))))+1)),0)</f>
        <v/>
      </c>
    </row>
    <row r="846">
      <c r="A846">
        <f>Skills!A14</f>
        <v/>
      </c>
      <c r="B846">
        <f>Skills!B14</f>
        <v/>
      </c>
      <c r="C846">
        <f>Inputs!$B$3&gt;=107</f>
        <v/>
      </c>
      <c r="D846">
        <f>IF(Skills!C14=1,60+Inputs!$B$26+Inputs!$B$30,IF(Skills!C14=2,90+Inputs!$B$27+Inputs!$B$30,IF(Skills!C14=3,120+(Inputs!$B$28+1)+Inputs!$B$30,MAX(0,(Inputs!$B$3-100)*3)+Inputs!$B$29+Inputs!$B$30)))</f>
        <v/>
      </c>
      <c r="E846">
        <f>INDEX(FactorTable!$B$2:$Y$301, MATCH(ROUND(MIN(300,MAX(1,D846)),0), FactorTable!$A$2:$A$301,0), Skills!L14+1)</f>
        <v/>
      </c>
      <c r="F846">
        <f>IF(Skills!M14=TRUE,(Skills!K14/10)*(E846/1000),Skills!K14/10)+Skills!N14</f>
        <v/>
      </c>
      <c r="G846">
        <f>Calc!G14</f>
        <v/>
      </c>
      <c r="H846">
        <f>Calc!H14</f>
        <v/>
      </c>
      <c r="I846">
        <f>IF(Skills!T14&lt;&gt;"",1+(Skills!T14/10)*($Z$3/1000)/100,1)</f>
        <v/>
      </c>
      <c r="J846" t="inlineStr"/>
      <c r="K846" t="inlineStr"/>
      <c r="L846" t="inlineStr"/>
      <c r="M846" t="inlineStr"/>
      <c r="N846" t="inlineStr"/>
      <c r="O846" t="n">
        <v>0</v>
      </c>
      <c r="P846">
        <f>IF(B872=0,0,O846/B872)</f>
        <v/>
      </c>
      <c r="Q846">
        <f>IFERROR(1/IF(Inputs!$B$39="pvp",15,MAX(0.1,Skills!D14-IF(Skills!E14=TRUE,Inputs!$B$33,0))),0)</f>
        <v/>
      </c>
      <c r="R846">
        <f>IF(AND(Inputs!$B$39&lt;&gt;"pvp",Inputs!$B$44&gt;0),IF(Inputs!$B$44&lt;=0,0,(INT(Inputs!$B$44/IF(Inputs!$B$39="pvp",15,MAX(0.1,Skills!D14-IF(Skills!E14=TRUE,Inputs!$B$33,0))))+1)),0)</f>
        <v/>
      </c>
    </row>
    <row r="847">
      <c r="A847">
        <f>Skills!A15</f>
        <v/>
      </c>
      <c r="B847">
        <f>Skills!B15</f>
        <v/>
      </c>
      <c r="C847">
        <f>Inputs!$B$3&gt;=63</f>
        <v/>
      </c>
      <c r="D847">
        <f>IF(Skills!C15=1,60+Inputs!$B$26+Inputs!$B$30,IF(Skills!C15=2,90+Inputs!$B$27+Inputs!$B$30,IF(Skills!C15=3,120+(Inputs!$B$28+1)+Inputs!$B$30,MAX(0,(Inputs!$B$3-100)*3)+Inputs!$B$29+Inputs!$B$30)))</f>
        <v/>
      </c>
      <c r="E847">
        <f>INDEX(FactorTable!$B$2:$Y$301, MATCH(ROUND(MIN(300,MAX(1,D847)),0), FactorTable!$A$2:$A$301,0), Skills!L15+1)</f>
        <v/>
      </c>
      <c r="F847">
        <f>IF(Skills!M15=TRUE,(Skills!K15/10)*(E847/1000),Skills!K15/10)+Skills!N15</f>
        <v/>
      </c>
      <c r="G847">
        <f>Calc!G15</f>
        <v/>
      </c>
      <c r="H847">
        <f>Calc!H15</f>
        <v/>
      </c>
      <c r="I847">
        <f>IF(Skills!T15&lt;&gt;"",1+(Skills!T15/10)*($Z$3/1000)/100,1)</f>
        <v/>
      </c>
      <c r="J847">
        <f>((Inputs!$B$6*(1+Inputs!$B$7/100))+(((Inputs!$B$13*(1+Inputs!$B$14/100))-(Inputs!$B$13*(1+Inputs!$B$14/100)))+0.25*(Inputs!$B$15-Inputs!$B$15))*(1+Inputs!$B$7/100))*(F847/100)</f>
        <v/>
      </c>
      <c r="K847">
        <f>J847*(1+(((Inputs!$B$13+IF(Inputs!$B$3&gt;=35,(10*INDEX(FactorTable!$B$2:$Y$301, MATCH(ROUND(MIN(300,MAX(1,Inputs!$B$3)),0), FactorTable!$A$2:$A$301,0), 23)/1000)/100*(Inputs!$B$8*(1+(Inputs!$B$9+B870)/100)),0))*(1+Inputs!$B$14/100))*0.01+Inputs!$B$15*0.0025)/100)*(1+(Inputs!$B$16+B864)/100)*(1+IF(Inputs!$B$39="pvp",0,(1-Summary!$B$48)*(Inputs!$B$21+Skills!O15+B862)+Summary!$B$48*(Inputs!$B$22+Skills!P15+B863))/100)*(1+Inputs!$B$17/100)*(5000/(6000+Inputs!$B$43*(1-Inputs!$B$20/100)))*(1+Inputs!$B$25/100)*(1+IF(C850=TRUE,F850,0)/100)*(1+IF(C852=TRUE,F852,0)/100)*(1+IF(Skills!A15="TRIUMPH_FEATHER",IF(C848=TRUE,F848,0),0)/100)*(1+IF(C859=TRUE,F859,0)/100)^5*(1+(IF(Skills!A15="BIG_BANG",Inputs!$B$18,Inputs!$B$19))/100)*(B861*I847)</f>
        <v/>
      </c>
      <c r="L847">
        <f>K847*(MIN(Inputs!$B$23+(F854-Calc!F22),Inputs!$B$24)/100+Inputs!$B$24/100)/2</f>
        <v/>
      </c>
      <c r="M847">
        <f>L847*(1+(Inputs!$B$11+B865+(F857-Calc!F25))/100)</f>
        <v/>
      </c>
      <c r="N847">
        <f>L847*(1-MIN(Inputs!$B$10+((F856-Calc!F24)+(F855-Calc!F23)),100)/100)+M847*(MIN(Inputs!$B$10+((F856-Calc!F24)+(F855-Calc!F23)),100)/100)</f>
        <v/>
      </c>
      <c r="O847">
        <f>IF(C847,Skills!F15*N847*((IF(Inputs!$B$3&gt;=78,25,15)/100*B867*10)/(1+IF(Inputs!$B$3&gt;=78,25,15)/100*B867*10))*(Skills!I15/100*B867)/(1+Skills!G15*Skills!I15/100*B867)*IF(Inputs!$B$39="pvp",1,(1-Summary!$B$48)*(1)+Summary!$B$48*(MIN(Skills!Q15,Inputs!$B$38))),0)</f>
        <v/>
      </c>
      <c r="P847">
        <f>IF(B872=0,0,O847/B872)</f>
        <v/>
      </c>
      <c r="Q847">
        <f>IFERROR(1/IF(Inputs!$B$39="pvp",15,MAX(0.1,Skills!D15-IF(Skills!E15=TRUE,Inputs!$B$33,0))),0)</f>
        <v/>
      </c>
      <c r="R847" t="n">
        <v>0</v>
      </c>
    </row>
    <row r="848">
      <c r="A848">
        <f>Skills!A16</f>
        <v/>
      </c>
      <c r="B848">
        <f>Skills!B16</f>
        <v/>
      </c>
      <c r="C848">
        <f>Inputs!$B$3&gt;=100</f>
        <v/>
      </c>
      <c r="D848">
        <f>IF(Skills!C16=1,60+Inputs!$B$26+Inputs!$B$30,IF(Skills!C16=2,90+Inputs!$B$27+Inputs!$B$30,IF(Skills!C16=3,120+(Inputs!$B$28+1)+Inputs!$B$30,MAX(0,(Inputs!$B$3-100)*3)+Inputs!$B$29+Inputs!$B$30)))</f>
        <v/>
      </c>
      <c r="E848">
        <f>INDEX(FactorTable!$B$2:$Y$301, MATCH(ROUND(MIN(300,MAX(1,D848)),0), FactorTable!$A$2:$A$301,0), Skills!L16+1)</f>
        <v/>
      </c>
      <c r="F848">
        <f>IF(Skills!M16=TRUE,(Skills!K16/10)*(E848/1000),Skills!K16/10)+Skills!N16</f>
        <v/>
      </c>
      <c r="G848">
        <f>Calc!G16</f>
        <v/>
      </c>
      <c r="H848">
        <f>Calc!H16</f>
        <v/>
      </c>
      <c r="I848">
        <f>IF(Skills!T16&lt;&gt;"",1+(Skills!T16/10)*($Z$3/1000)/100,1)</f>
        <v/>
      </c>
      <c r="J848" t="inlineStr"/>
      <c r="K848" t="inlineStr"/>
      <c r="L848" t="inlineStr"/>
      <c r="M848" t="inlineStr"/>
      <c r="N848" t="inlineStr"/>
      <c r="O848" t="n">
        <v>0</v>
      </c>
      <c r="P848">
        <f>IF(B872=0,0,O848/B872)</f>
        <v/>
      </c>
      <c r="Q848">
        <f>IFERROR(1/IF(Inputs!$B$39="pvp",15,MAX(0.1,Skills!D16-IF(Skills!E16=TRUE,Inputs!$B$33,0))),0)</f>
        <v/>
      </c>
      <c r="R848" t="n">
        <v>0</v>
      </c>
    </row>
    <row r="849">
      <c r="A849">
        <f>Skills!A17</f>
        <v/>
      </c>
      <c r="B849">
        <f>Skills!B17</f>
        <v/>
      </c>
      <c r="C849">
        <f>Inputs!$B$3&gt;=49</f>
        <v/>
      </c>
      <c r="D849">
        <f>IF(Skills!C17=1,60+Inputs!$B$26+Inputs!$B$30,IF(Skills!C17=2,90+Inputs!$B$27+Inputs!$B$30,IF(Skills!C17=3,120+(Inputs!$B$28+1)+Inputs!$B$30,MAX(0,(Inputs!$B$3-100)*3)+Inputs!$B$29+Inputs!$B$30)))</f>
        <v/>
      </c>
      <c r="E849">
        <f>INDEX(FactorTable!$B$2:$Y$301, MATCH(ROUND(MIN(300,MAX(1,D849)),0), FactorTable!$A$2:$A$301,0), Skills!L17+1)</f>
        <v/>
      </c>
      <c r="F849">
        <f>IF(Skills!M17=TRUE,(Skills!K17/10)*(E849/1000),Skills!K17/10)+Skills!N17</f>
        <v/>
      </c>
      <c r="G849">
        <f>Calc!G17</f>
        <v/>
      </c>
      <c r="H849">
        <f>Calc!H17</f>
        <v/>
      </c>
      <c r="I849">
        <f>IF(Skills!T17&lt;&gt;"",1+(Skills!T17/10)*($Z$3/1000)/100,1)</f>
        <v/>
      </c>
      <c r="J849" t="inlineStr"/>
      <c r="K849" t="inlineStr"/>
      <c r="L849" t="inlineStr"/>
      <c r="M849" t="inlineStr"/>
      <c r="N849" t="inlineStr"/>
      <c r="O849" t="n">
        <v>0</v>
      </c>
      <c r="P849">
        <f>IF(B872=0,0,O849/B872)</f>
        <v/>
      </c>
      <c r="Q849">
        <f>IFERROR(1/IF(Inputs!$B$39="pvp",15,MAX(0.1,Skills!D17-IF(Skills!E17=TRUE,Inputs!$B$33,0))),0)</f>
        <v/>
      </c>
      <c r="R849" t="n">
        <v>0</v>
      </c>
    </row>
    <row r="850">
      <c r="A850">
        <f>Skills!A18</f>
        <v/>
      </c>
      <c r="B850">
        <f>Skills!B18</f>
        <v/>
      </c>
      <c r="C850">
        <f>Inputs!$B$3&gt;=75</f>
        <v/>
      </c>
      <c r="D850">
        <f>IF(Skills!C18=1,60+Inputs!$B$26+Inputs!$B$30,IF(Skills!C18=2,90+Inputs!$B$27+Inputs!$B$30,IF(Skills!C18=3,120+(Inputs!$B$28+1)+Inputs!$B$30,MAX(0,(Inputs!$B$3-100)*3)+Inputs!$B$29+Inputs!$B$30)))</f>
        <v/>
      </c>
      <c r="E850">
        <f>INDEX(FactorTable!$B$2:$Y$301, MATCH(ROUND(MIN(300,MAX(1,D850)),0), FactorTable!$A$2:$A$301,0), Skills!L18+1)</f>
        <v/>
      </c>
      <c r="F850">
        <f>IF(Skills!M18=TRUE,(Skills!K18/10)*(E850/1000),Skills!K18/10)+Skills!N18</f>
        <v/>
      </c>
      <c r="G850">
        <f>Calc!G18</f>
        <v/>
      </c>
      <c r="H850">
        <f>Calc!H18</f>
        <v/>
      </c>
      <c r="I850">
        <f>IF(Skills!T18&lt;&gt;"",1+(Skills!T18/10)*($Z$3/1000)/100,1)</f>
        <v/>
      </c>
      <c r="J850" t="inlineStr"/>
      <c r="K850" t="inlineStr"/>
      <c r="L850" t="inlineStr"/>
      <c r="M850" t="inlineStr"/>
      <c r="N850" t="inlineStr"/>
      <c r="O850" t="n">
        <v>0</v>
      </c>
      <c r="P850">
        <f>IF(B872=0,0,O850/B872)</f>
        <v/>
      </c>
      <c r="Q850">
        <f>IFERROR(1/IF(Inputs!$B$39="pvp",15,MAX(0.1,Skills!D18-IF(Skills!E18=TRUE,Inputs!$B$33,0))),0)</f>
        <v/>
      </c>
      <c r="R850" t="n">
        <v>0</v>
      </c>
    </row>
    <row r="851">
      <c r="A851">
        <f>Skills!A19</f>
        <v/>
      </c>
      <c r="B851">
        <f>Skills!B19</f>
        <v/>
      </c>
      <c r="C851">
        <f>Inputs!$B$3&gt;=110</f>
        <v/>
      </c>
      <c r="D851">
        <f>IF(Skills!C19=1,60+Inputs!$B$26+Inputs!$B$30,IF(Skills!C19=2,90+Inputs!$B$27+Inputs!$B$30,IF(Skills!C19=3,120+(Inputs!$B$28+1)+Inputs!$B$30,MAX(0,(Inputs!$B$3-100)*3)+Inputs!$B$29+Inputs!$B$30)))</f>
        <v/>
      </c>
      <c r="E851">
        <f>INDEX(FactorTable!$B$2:$Y$301, MATCH(ROUND(MIN(300,MAX(1,D851)),0), FactorTable!$A$2:$A$301,0), Skills!L19+1)</f>
        <v/>
      </c>
      <c r="F851">
        <f>(Skills!K19/10)*(E851/1000)*64/45+Skills!N19</f>
        <v/>
      </c>
      <c r="G851">
        <f>Calc!G19</f>
        <v/>
      </c>
      <c r="H851">
        <f>Calc!H19</f>
        <v/>
      </c>
      <c r="I851">
        <f>IF(Skills!T19&lt;&gt;"",1+(Skills!T19/10)*($Z$3/1000)/100,1)</f>
        <v/>
      </c>
      <c r="J851" t="inlineStr"/>
      <c r="K851" t="inlineStr"/>
      <c r="L851" t="inlineStr"/>
      <c r="M851" t="inlineStr"/>
      <c r="N851" t="inlineStr"/>
      <c r="O851" t="n">
        <v>0</v>
      </c>
      <c r="P851">
        <f>IF(B872=0,0,O851/B872)</f>
        <v/>
      </c>
      <c r="Q851">
        <f>IFERROR(1/IF(Inputs!$B$39="pvp",15,MAX(0.1,Skills!D19-IF(Skills!E19=TRUE,Inputs!$B$33,0))),0)</f>
        <v/>
      </c>
      <c r="R851">
        <f>IF(AND(Inputs!$B$39&lt;&gt;"pvp",Inputs!$B$44&gt;0),IF(Inputs!$B$44&lt;=0,0,(INT(Inputs!$B$44/IF(Inputs!$B$39="pvp",15,MAX(0.1,Skills!D19-IF(Skills!E19=TRUE,Inputs!$B$33,0))))+1)),0)</f>
        <v/>
      </c>
    </row>
    <row r="852">
      <c r="A852">
        <f>Skills!A20</f>
        <v/>
      </c>
      <c r="B852">
        <f>Skills!B20</f>
        <v/>
      </c>
      <c r="C852">
        <f>Inputs!$B$3&gt;=125</f>
        <v/>
      </c>
      <c r="D852">
        <f>IF(Skills!C20=1,60+Inputs!$B$26+Inputs!$B$30,IF(Skills!C20=2,90+Inputs!$B$27+Inputs!$B$30,IF(Skills!C20=3,120+(Inputs!$B$28+1)+Inputs!$B$30,MAX(0,(Inputs!$B$3-100)*3)+Inputs!$B$29+Inputs!$B$30)))</f>
        <v/>
      </c>
      <c r="E852">
        <f>INDEX(FactorTable!$B$2:$Y$301, MATCH(ROUND(MIN(300,MAX(1,D852)),0), FactorTable!$A$2:$A$301,0), Skills!L20+1)</f>
        <v/>
      </c>
      <c r="F852">
        <f>IF(Skills!M20=TRUE,(Skills!K20/10)*(E852/1000),Skills!K20/10)+Skills!N20</f>
        <v/>
      </c>
      <c r="G852">
        <f>Calc!G20</f>
        <v/>
      </c>
      <c r="H852">
        <f>Calc!H20</f>
        <v/>
      </c>
      <c r="I852">
        <f>IF(Skills!T20&lt;&gt;"",1+(Skills!T20/10)*($Z$3/1000)/100,1)</f>
        <v/>
      </c>
      <c r="J852" t="inlineStr"/>
      <c r="K852" t="inlineStr"/>
      <c r="L852" t="inlineStr"/>
      <c r="M852" t="inlineStr"/>
      <c r="N852" t="inlineStr"/>
      <c r="O852" t="n">
        <v>0</v>
      </c>
      <c r="P852">
        <f>IF(B872=0,0,O852/B872)</f>
        <v/>
      </c>
      <c r="Q852">
        <f>IFERROR(1/IF(Inputs!$B$39="pvp",15,MAX(0.1,Skills!D20-IF(Skills!E20=TRUE,Inputs!$B$33,0))),0)</f>
        <v/>
      </c>
      <c r="R852" t="n">
        <v>0</v>
      </c>
    </row>
    <row r="853">
      <c r="A853">
        <f>Skills!A21</f>
        <v/>
      </c>
      <c r="B853">
        <f>Skills!B21</f>
        <v/>
      </c>
      <c r="C853">
        <f>Inputs!$B$3&gt;=33</f>
        <v/>
      </c>
      <c r="D853">
        <f>IF(Skills!C21=1,60+Inputs!$B$26+Inputs!$B$30,IF(Skills!C21=2,90+Inputs!$B$27+Inputs!$B$30,IF(Skills!C21=3,120+(Inputs!$B$28+1)+Inputs!$B$30,MAX(0,(Inputs!$B$3-100)*3)+Inputs!$B$29+Inputs!$B$30)))</f>
        <v/>
      </c>
      <c r="E853">
        <f>INDEX(FactorTable!$B$2:$Y$301, MATCH(ROUND(MIN(300,MAX(1,D853)),0), FactorTable!$A$2:$A$301,0), Skills!L21+1)</f>
        <v/>
      </c>
      <c r="F853">
        <f>IF(Skills!M21=TRUE,(Skills!K21/10)*(E853/1000),Skills!K21/10)+Skills!N21</f>
        <v/>
      </c>
      <c r="G853">
        <f>Calc!G21</f>
        <v/>
      </c>
      <c r="H853">
        <f>Calc!H21</f>
        <v/>
      </c>
      <c r="I853">
        <f>IF(Skills!T21&lt;&gt;"",1+(Skills!T21/10)*($Z$3/1000)/100,1)</f>
        <v/>
      </c>
      <c r="J853" t="inlineStr"/>
      <c r="K853" t="inlineStr"/>
      <c r="L853" t="inlineStr"/>
      <c r="M853" t="inlineStr"/>
      <c r="N853" t="inlineStr"/>
      <c r="O853" t="n">
        <v>0</v>
      </c>
      <c r="P853">
        <f>IF(B872=0,0,O853/B872)</f>
        <v/>
      </c>
      <c r="Q853">
        <f>IFERROR(1/IF(Inputs!$B$39="pvp",15,MAX(0.1,Skills!D21-IF(Skills!E21=TRUE,Inputs!$B$33,0))),0)</f>
        <v/>
      </c>
      <c r="R853" t="n">
        <v>0</v>
      </c>
    </row>
    <row r="854">
      <c r="A854">
        <f>Skills!A22</f>
        <v/>
      </c>
      <c r="B854">
        <f>Skills!B22</f>
        <v/>
      </c>
      <c r="C854">
        <f>Inputs!$B$3&gt;=43</f>
        <v/>
      </c>
      <c r="D854">
        <f>IF(Skills!C22=1,60+Inputs!$B$26+Inputs!$B$30,IF(Skills!C22=2,90+Inputs!$B$27+Inputs!$B$30,IF(Skills!C22=3,120+(Inputs!$B$28+1)+Inputs!$B$30,MAX(0,(Inputs!$B$3-100)*3)+Inputs!$B$29+Inputs!$B$30)))</f>
        <v/>
      </c>
      <c r="E854">
        <f>INDEX(FactorTable!$B$2:$Y$301, MATCH(ROUND(MIN(300,MAX(1,D854)),0), FactorTable!$A$2:$A$301,0), Skills!L22+1)</f>
        <v/>
      </c>
      <c r="F854">
        <f>IF(Skills!M22=TRUE,(Skills!K22/10)*(E854/1000),Skills!K22/10)+Skills!N22</f>
        <v/>
      </c>
      <c r="G854">
        <f>Calc!G22</f>
        <v/>
      </c>
      <c r="H854">
        <f>Calc!H22</f>
        <v/>
      </c>
      <c r="I854">
        <f>IF(Skills!T22&lt;&gt;"",1+(Skills!T22/10)*($Z$3/1000)/100,1)</f>
        <v/>
      </c>
      <c r="J854" t="inlineStr"/>
      <c r="K854" t="inlineStr"/>
      <c r="L854" t="inlineStr"/>
      <c r="M854" t="inlineStr"/>
      <c r="N854" t="inlineStr"/>
      <c r="O854" t="n">
        <v>0</v>
      </c>
      <c r="P854">
        <f>IF(B872=0,0,O854/B872)</f>
        <v/>
      </c>
      <c r="Q854">
        <f>IFERROR(1/IF(Inputs!$B$39="pvp",15,MAX(0.1,Skills!D22-IF(Skills!E22=TRUE,Inputs!$B$33,0))),0)</f>
        <v/>
      </c>
      <c r="R854" t="n">
        <v>0</v>
      </c>
    </row>
    <row r="855">
      <c r="A855">
        <f>Skills!A23</f>
        <v/>
      </c>
      <c r="B855">
        <f>Skills!B23</f>
        <v/>
      </c>
      <c r="C855">
        <f>Inputs!$B$3&gt;=50</f>
        <v/>
      </c>
      <c r="D855">
        <f>IF(Skills!C23=1,60+Inputs!$B$26+Inputs!$B$30,IF(Skills!C23=2,90+Inputs!$B$27+Inputs!$B$30,IF(Skills!C23=3,120+(Inputs!$B$28+1)+Inputs!$B$30,MAX(0,(Inputs!$B$3-100)*3)+Inputs!$B$29+Inputs!$B$30)))</f>
        <v/>
      </c>
      <c r="E855">
        <f>INDEX(FactorTable!$B$2:$Y$301, MATCH(ROUND(MIN(300,MAX(1,D855)),0), FactorTable!$A$2:$A$301,0), Skills!L23+1)</f>
        <v/>
      </c>
      <c r="F855">
        <f>IF(Skills!M23=TRUE,(Skills!K23/10)*(E855/1000),Skills!K23/10)+Skills!N23</f>
        <v/>
      </c>
      <c r="G855">
        <f>Calc!G23</f>
        <v/>
      </c>
      <c r="H855">
        <f>Calc!H23</f>
        <v/>
      </c>
      <c r="I855">
        <f>IF(Skills!T23&lt;&gt;"",1+(Skills!T23/10)*($Z$3/1000)/100,1)</f>
        <v/>
      </c>
      <c r="J855" t="inlineStr"/>
      <c r="K855" t="inlineStr"/>
      <c r="L855" t="inlineStr"/>
      <c r="M855" t="inlineStr"/>
      <c r="N855" t="inlineStr"/>
      <c r="O855" t="n">
        <v>0</v>
      </c>
      <c r="P855">
        <f>IF(B872=0,0,O855/B872)</f>
        <v/>
      </c>
      <c r="Q855">
        <f>IFERROR(1/IF(Inputs!$B$39="pvp",15,MAX(0.1,Skills!D23-IF(Skills!E23=TRUE,Inputs!$B$33,0))),0)</f>
        <v/>
      </c>
      <c r="R855" t="n">
        <v>0</v>
      </c>
    </row>
    <row r="856">
      <c r="A856">
        <f>Skills!A24</f>
        <v/>
      </c>
      <c r="B856">
        <f>Skills!B24</f>
        <v/>
      </c>
      <c r="C856">
        <f>Inputs!$B$3&gt;=74</f>
        <v/>
      </c>
      <c r="D856">
        <f>IF(Skills!C24=1,60+Inputs!$B$26+Inputs!$B$30,IF(Skills!C24=2,90+Inputs!$B$27+Inputs!$B$30,IF(Skills!C24=3,120+(Inputs!$B$28+1)+Inputs!$B$30,MAX(0,(Inputs!$B$3-100)*3)+Inputs!$B$29+Inputs!$B$30)))</f>
        <v/>
      </c>
      <c r="E856">
        <f>INDEX(FactorTable!$B$2:$Y$301, MATCH(ROUND(MIN(300,MAX(1,D856)),0), FactorTable!$A$2:$A$301,0), Skills!L24+1)</f>
        <v/>
      </c>
      <c r="F856">
        <f>IF(Skills!M24=TRUE,(Skills!K24/10)*(E856/1000),Skills!K24/10)+Skills!N24</f>
        <v/>
      </c>
      <c r="G856">
        <f>Calc!G24</f>
        <v/>
      </c>
      <c r="H856">
        <f>Calc!H24</f>
        <v/>
      </c>
      <c r="I856">
        <f>IF(Skills!T24&lt;&gt;"",1+(Skills!T24/10)*($Z$3/1000)/100,1)</f>
        <v/>
      </c>
      <c r="J856" t="inlineStr"/>
      <c r="K856" t="inlineStr"/>
      <c r="L856" t="inlineStr"/>
      <c r="M856" t="inlineStr"/>
      <c r="N856" t="inlineStr"/>
      <c r="O856" t="n">
        <v>0</v>
      </c>
      <c r="P856">
        <f>IF(B872=0,0,O856/B872)</f>
        <v/>
      </c>
      <c r="Q856">
        <f>IFERROR(1/IF(Inputs!$B$39="pvp",15,MAX(0.1,Skills!D24-IF(Skills!E24=TRUE,Inputs!$B$33,0))),0)</f>
        <v/>
      </c>
      <c r="R856" t="n">
        <v>0</v>
      </c>
    </row>
    <row r="857">
      <c r="A857">
        <f>Skills!A25</f>
        <v/>
      </c>
      <c r="B857">
        <f>Skills!B25</f>
        <v/>
      </c>
      <c r="C857">
        <f>Inputs!$B$3&gt;=74</f>
        <v/>
      </c>
      <c r="D857">
        <f>IF(Skills!C25=1,60+Inputs!$B$26+Inputs!$B$30,IF(Skills!C25=2,90+Inputs!$B$27+Inputs!$B$30,IF(Skills!C25=3,120+(Inputs!$B$28+1)+Inputs!$B$30,MAX(0,(Inputs!$B$3-100)*3)+Inputs!$B$29+Inputs!$B$30)))</f>
        <v/>
      </c>
      <c r="E857">
        <f>INDEX(FactorTable!$B$2:$Y$301, MATCH(ROUND(MIN(300,MAX(1,D857)),0), FactorTable!$A$2:$A$301,0), Skills!L25+1)</f>
        <v/>
      </c>
      <c r="F857">
        <f>IF(Skills!M25=TRUE,(Skills!K25/10)*(E857/1000),Skills!K25/10)+Skills!N25</f>
        <v/>
      </c>
      <c r="G857">
        <f>Calc!G25</f>
        <v/>
      </c>
      <c r="H857">
        <f>Calc!H25</f>
        <v/>
      </c>
      <c r="I857">
        <f>IF(Skills!T25&lt;&gt;"",1+(Skills!T25/10)*($Z$3/1000)/100,1)</f>
        <v/>
      </c>
      <c r="J857" t="inlineStr"/>
      <c r="K857" t="inlineStr"/>
      <c r="L857" t="inlineStr"/>
      <c r="M857" t="inlineStr"/>
      <c r="N857" t="inlineStr"/>
      <c r="O857" t="n">
        <v>0</v>
      </c>
      <c r="P857">
        <f>IF(B872=0,0,O857/B872)</f>
        <v/>
      </c>
      <c r="Q857">
        <f>IFERROR(1/IF(Inputs!$B$39="pvp",15,MAX(0.1,Skills!D25-IF(Skills!E25=TRUE,Inputs!$B$33,0))),0)</f>
        <v/>
      </c>
      <c r="R857" t="n">
        <v>0</v>
      </c>
    </row>
    <row r="858">
      <c r="A858">
        <f>Skills!A26</f>
        <v/>
      </c>
      <c r="B858">
        <f>Skills!B26</f>
        <v/>
      </c>
      <c r="C858">
        <f>Inputs!$B$3&gt;=117</f>
        <v/>
      </c>
      <c r="D858">
        <f>IF(Skills!C26=1,60+Inputs!$B$26+Inputs!$B$30,IF(Skills!C26=2,90+Inputs!$B$27+Inputs!$B$30,IF(Skills!C26=3,120+(Inputs!$B$28+1)+Inputs!$B$30,MAX(0,(Inputs!$B$3-100)*3)+Inputs!$B$29+Inputs!$B$30)))</f>
        <v/>
      </c>
      <c r="E858">
        <f>INDEX(FactorTable!$B$2:$Y$301, MATCH(ROUND(MIN(300,MAX(1,D858)),0), FactorTable!$A$2:$A$301,0), Skills!L26+1)</f>
        <v/>
      </c>
      <c r="F858">
        <f>IF(Skills!M26=TRUE,(Skills!K26/10)*(E858/1000),Skills!K26/10)+Skills!N26</f>
        <v/>
      </c>
      <c r="G858">
        <f>Calc!G26</f>
        <v/>
      </c>
      <c r="H858">
        <f>Calc!H26</f>
        <v/>
      </c>
      <c r="I858">
        <f>IF(Skills!T26&lt;&gt;"",1+(Skills!T26/10)*($Z$3/1000)/100,1)</f>
        <v/>
      </c>
      <c r="J858" t="inlineStr"/>
      <c r="K858" t="inlineStr"/>
      <c r="L858" t="inlineStr"/>
      <c r="M858" t="inlineStr"/>
      <c r="N858" t="inlineStr"/>
      <c r="O858" t="n">
        <v>0</v>
      </c>
      <c r="P858">
        <f>IF(B872=0,0,O858/B872)</f>
        <v/>
      </c>
      <c r="Q858">
        <f>IFERROR(1/IF(Inputs!$B$39="pvp",15,MAX(0.1,Skills!D26-IF(Skills!E26=TRUE,Inputs!$B$33,0))),0)</f>
        <v/>
      </c>
      <c r="R858" t="n">
        <v>0</v>
      </c>
    </row>
    <row r="859">
      <c r="A859">
        <f>Skills!A27</f>
        <v/>
      </c>
      <c r="B859">
        <f>Skills!B27</f>
        <v/>
      </c>
      <c r="C859">
        <f>Inputs!$B$3&gt;=120</f>
        <v/>
      </c>
      <c r="D859">
        <f>IF(Skills!C27=1,60+Inputs!$B$26+Inputs!$B$30,IF(Skills!C27=2,90+Inputs!$B$27+Inputs!$B$30,IF(Skills!C27=3,120+(Inputs!$B$28+1)+Inputs!$B$30,MAX(0,(Inputs!$B$3-100)*3)+Inputs!$B$29+Inputs!$B$30)))</f>
        <v/>
      </c>
      <c r="E859">
        <f>INDEX(FactorTable!$B$2:$Y$301, MATCH(ROUND(MIN(300,MAX(1,D859)),0), FactorTable!$A$2:$A$301,0), Skills!L27+1)</f>
        <v/>
      </c>
      <c r="F859">
        <f>IF(Skills!M27=TRUE,(Skills!K27/10)*(E859/1000),Skills!K27/10)+Skills!N27</f>
        <v/>
      </c>
      <c r="G859">
        <f>Calc!G27</f>
        <v/>
      </c>
      <c r="H859">
        <f>Calc!H27</f>
        <v/>
      </c>
      <c r="I859">
        <f>IF(Skills!T27&lt;&gt;"",1+(Skills!T27/10)*($Z$3/1000)/100,1)</f>
        <v/>
      </c>
      <c r="J859" t="inlineStr"/>
      <c r="K859" t="inlineStr"/>
      <c r="L859" t="inlineStr"/>
      <c r="M859" t="inlineStr"/>
      <c r="N859" t="inlineStr"/>
      <c r="O859" t="n">
        <v>0</v>
      </c>
      <c r="P859">
        <f>IF(B872=0,0,O859/B872)</f>
        <v/>
      </c>
      <c r="Q859">
        <f>IFERROR(1/IF(Inputs!$B$39="pvp",15,MAX(0.1,Skills!D27-IF(Skills!E27=TRUE,Inputs!$B$33,0))),0)</f>
        <v/>
      </c>
      <c r="R859" t="n">
        <v>0</v>
      </c>
    </row>
    <row r="861">
      <c r="A861" t="inlineStr">
        <is>
          <t>Average Buff Multiplier</t>
        </is>
      </c>
      <c r="B861">
        <f>(1+(IF(C835=TRUE,F835*IF(AND(Inputs!$B$39&lt;&gt;"pvp",Inputs!$B$44&gt;0),(((R835-1)*(Skills!S3*(1+(Inputs!$B$35+IF(Inputs!$B$3&gt;=117,F858,0))/100))+MIN((Skills!S3*(1+(Inputs!$B$35+IF(Inputs!$B$3&gt;=117,F858,0))/100)),MAX(0,Inputs!$B$44-((R835-1)*Skills!D3))))/Inputs!$B$44),IF(Inputs!$B$39="pvp",MIN((Skills!S3*(1+(Inputs!$B$35+IF(Inputs!$B$3&gt;=117,F858,0))/100)),15)/15,(Skills!S3*(1+(Inputs!$B$35+IF(Inputs!$B$3&gt;=117,F858,0))/100))/Skills!D3)),0)+IF(C836=TRUE,F836*IF(AND(Inputs!$B$39&lt;&gt;"pvp",Inputs!$B$44&gt;0),(((R836-1)*(Skills!S4*(1+(Inputs!$B$35+IF(Inputs!$B$3&gt;=117,F858,0))/100))+MIN((Skills!S4*(1+(Inputs!$B$35+IF(Inputs!$B$3&gt;=117,F858,0))/100)),MAX(0,Inputs!$B$44-((R836-1)*Skills!D4))))/Inputs!$B$44),IF(Inputs!$B$39="pvp",MIN((Skills!S4*(1+(Inputs!$B$35+IF(Inputs!$B$3&gt;=117,F858,0))/100)),15)/15,(Skills!S4*(1+(Inputs!$B$35+IF(Inputs!$B$3&gt;=117,F858,0))/100))/Skills!D4)),0)+IF(C837=TRUE,F837*IF(AND(Inputs!$B$39&lt;&gt;"pvp",Inputs!$B$44&gt;0),(((R837-1)*(Skills!S5*(1+(Inputs!$B$35+IF(Inputs!$B$3&gt;=117,F858,0))/100))+MIN((Skills!S5*(1+(Inputs!$B$35+IF(Inputs!$B$3&gt;=117,F858,0))/100)),MAX(0,Inputs!$B$44-((R837-1)*Skills!D5))))/Inputs!$B$44),IF(Inputs!$B$39="pvp",MIN((Skills!S5*(1+(Inputs!$B$35+IF(Inputs!$B$3&gt;=117,F858,0))/100)),15)/15,(Skills!S5*(1+(Inputs!$B$35+IF(Inputs!$B$3&gt;=117,F858,0))/100))/Skills!D5)),0)+IF(C843=TRUE,F843*IF(AND(Inputs!$B$39&lt;&gt;"pvp",Inputs!$B$44&gt;0),(((R843-1)*(Skills!S11*(1+(Inputs!$B$35+IF(Inputs!$B$3&gt;=117,F858,0))/100))+MIN((Skills!S11*(1+(Inputs!$B$35+IF(Inputs!$B$3&gt;=117,F858,0))/100)),MAX(0,Inputs!$B$44-((R843-1)*Skills!D11))))/Inputs!$B$44),IF(Inputs!$B$39="pvp",MIN((Skills!S11*(1+(Inputs!$B$35+IF(Inputs!$B$3&gt;=117,F858,0))/100)),15)/15,(Skills!S11*(1+(Inputs!$B$35+IF(Inputs!$B$3&gt;=117,F858,0))/100))/Skills!D11)),0))/100)*IF(C846=TRUE,(1+F846*IF(AND(Inputs!$B$39&lt;&gt;"pvp",Inputs!$B$44&gt;0),(((R846-1)*(Skills!S14*(1+(Inputs!$B$35+IF(Inputs!$B$3&gt;=117,F858,0))/100))+MIN((Skills!S14*(1+(Inputs!$B$35+IF(Inputs!$B$3&gt;=117,F858,0))/100)),MAX(0,Inputs!$B$44-((R846-1)*Skills!D14))))/Inputs!$B$44),IF(Inputs!$B$39="pvp",MIN((Skills!S14*(1+(Inputs!$B$35+IF(Inputs!$B$3&gt;=117,F858,0))/100)),15)/15,(Skills!S14*(1+(Inputs!$B$35+IF(Inputs!$B$3&gt;=117,F858,0))/100))/Skills!D14))/100),1)*IF(C851=TRUE,(1+F851*IF(AND(Inputs!$B$39&lt;&gt;"pvp",Inputs!$B$44&gt;0),(((R851-1)*(Skills!S19*(1+(Inputs!$B$35+IF(Inputs!$B$3&gt;=117,F858,0))/100))+MIN((Skills!S19*(1+(Inputs!$B$35+IF(Inputs!$B$3&gt;=117,F858,0))/100)),MAX(0,Inputs!$B$44-((R851-1)*Skills!D19))))/Inputs!$B$44),IF(Inputs!$B$39="pvp",MIN((Skills!S19*(1+(Inputs!$B$35+IF(Inputs!$B$3&gt;=117,F858,0))/100)),15)/15,(Skills!S19*(1+(Inputs!$B$35+IF(Inputs!$B$3&gt;=117,F858,0))/100))/Skills!D19))/100),1)</f>
        <v/>
      </c>
    </row>
    <row r="862">
      <c r="A862" t="inlineStr">
        <is>
          <t>Monster Damage Taken Bonus % (Holy Fountain)</t>
        </is>
      </c>
      <c r="B862">
        <f>IF(Inputs!$B$3&gt;=68,20*IF(Inputs!$B$39="pvp",MIN((15*(1+(Inputs!$B$35+IF(Inputs!$B$3&gt;=117,F858,0))/100)),15)/15,(15*(1+(Inputs!$B$35+IF(Inputs!$B$3&gt;=117,F858,0))/100))/Skills!D10),0)</f>
        <v/>
      </c>
    </row>
    <row r="863">
      <c r="A863" t="inlineStr">
        <is>
          <t>Normal Monster Damage Bonus % (Holy Symbol)</t>
        </is>
      </c>
      <c r="B863">
        <f>IF(C844=TRUE,F844*IF(AND(Inputs!$B$39&lt;&gt;"pvp",Inputs!$B$44&gt;0),(((R844-1)*(Skills!S12*(1+(Inputs!$B$35+IF(Inputs!$B$3&gt;=117,F858,0))/100))+MIN((Skills!S12*(1+(Inputs!$B$35+IF(Inputs!$B$3&gt;=117,F858,0))/100)),MAX(0,Inputs!$B$44-((R844-1)*Skills!D12))))/Inputs!$B$44),IF(Inputs!$B$39="pvp",MIN((Skills!S12*(1+(Inputs!$B$35+IF(Inputs!$B$3&gt;=117,F858,0))/100)),15)/15,(Skills!S12*(1+(Inputs!$B$35+IF(Inputs!$B$3&gt;=117,F858,0))/100))/Skills!D12)),0)</f>
        <v/>
      </c>
    </row>
    <row r="864">
      <c r="A864" t="inlineStr">
        <is>
          <t>Damage % Bonus (Holy Symbol - Damage Boost)</t>
        </is>
      </c>
      <c r="B864">
        <f>Skills!O12</f>
        <v/>
      </c>
    </row>
    <row r="865">
      <c r="A865" t="inlineStr">
        <is>
          <t>Crit Damage % Bonus (Blood of the Divine)</t>
        </is>
      </c>
      <c r="B865">
        <f>4*IF(C852=TRUE,F852,0)</f>
        <v/>
      </c>
    </row>
    <row r="866">
      <c r="A866" t="inlineStr">
        <is>
          <t>Attack Speed Bonus %</t>
        </is>
      </c>
      <c r="B866">
        <f>IF(C849=TRUE,F849+(F853-Calc!F21),0)+IF(Inputs!$B$3&gt;=134,15,0)</f>
        <v/>
      </c>
    </row>
    <row r="867">
      <c r="A867" t="inlineStr">
        <is>
          <t>Actions Per Second</t>
        </is>
      </c>
      <c r="B867">
        <f>1+MIN(150,150*(1-(1-Inputs!$B$12/150)*(1-B866/150)))/100</f>
        <v/>
      </c>
    </row>
    <row r="868">
      <c r="A868" t="inlineStr">
        <is>
          <t>Skill + Buff Cast Rate</t>
        </is>
      </c>
      <c r="B868">
        <f>IF(AND(Inputs!$B$39&lt;&gt;"pvp",Inputs!$B$44&gt;0),SUMPRODUCT((Skills!E2:E27=TRUE)*(C834:C859=TRUE)*R834:R859)/Inputs!$B$44,SUMPRODUCT((Skills!E2:E27=TRUE)*(C834:C859=TRUE)*Q834:Q859))</f>
        <v/>
      </c>
    </row>
    <row r="869">
      <c r="A869" t="inlineStr">
        <is>
          <t>Big Bang Casts Per Second</t>
        </is>
      </c>
      <c r="B869">
        <f>MAX(0,B867-B868)</f>
        <v/>
      </c>
    </row>
    <row r="870">
      <c r="A870" t="inlineStr">
        <is>
          <t>Defense % Bonus (Divine Protection)</t>
        </is>
      </c>
      <c r="B870">
        <f>IF(C845=TRUE,F845*IF(AND(Inputs!$B$39&lt;&gt;"pvp",Inputs!$B$44&gt;0),(((R845-1)*(Skills!S13*(1+(Inputs!$B$35+IF(Inputs!$B$3&gt;=117,F858,0))/100))+MIN((Skills!S13*(1+(Inputs!$B$35+IF(Inputs!$B$3&gt;=117,F858,0))/100)),MAX(0,Inputs!$B$44-((R845-1)*Skills!D13))))/Inputs!$B$44),IF(Inputs!$B$39="pvp",MIN((Skills!S13*(1+(Inputs!$B$35+IF(Inputs!$B$3&gt;=117,F858,0))/100)),15)/15,(Skills!S13*(1+(Inputs!$B$35+IF(Inputs!$B$3&gt;=117,F858,0))/100))/Skills!D13)),0)</f>
        <v/>
      </c>
    </row>
    <row r="871">
      <c r="A871" t="inlineStr">
        <is>
          <t>Buff-Casting Startup Delay (s, fixed-duration only)</t>
        </is>
      </c>
      <c r="B871">
        <f>IF(AND(Inputs!$B$39&lt;&gt;"pvp",Inputs!$B$44&gt;0),SUMPRODUCT((Skills!S2:S27&gt;0)*(Skills!E2:E27=TRUE)*(C834:C859=TRUE))/B867,0)</f>
        <v/>
      </c>
    </row>
    <row r="872">
      <c r="A872" s="5" t="inlineStr">
        <is>
          <t>TOTAL DPS</t>
        </is>
      </c>
      <c r="B872" s="5">
        <f>SUM(O834:O859)</f>
        <v/>
      </c>
    </row>
    <row r="874">
      <c r="A874" s="5" t="inlineStr">
        <is>
          <t>Stat: Skill Level Bonus — 4th Job</t>
        </is>
      </c>
    </row>
    <row r="875">
      <c r="A875" s="9" t="inlineStr">
        <is>
          <t>Key</t>
        </is>
      </c>
      <c r="B875" s="9" t="inlineStr">
        <is>
          <t>Name</t>
        </is>
      </c>
      <c r="C875" s="9" t="inlineStr">
        <is>
          <t>Unlocked</t>
        </is>
      </c>
      <c r="D875" s="9" t="inlineStr">
        <is>
          <t>InputLevel</t>
        </is>
      </c>
      <c r="E875" s="9" t="inlineStr">
        <is>
          <t>Factor</t>
        </is>
      </c>
      <c r="F875" s="9" t="inlineStr">
        <is>
          <t>CoefficientPercent</t>
        </is>
      </c>
      <c r="G875" s="9" t="inlineStr">
        <is>
          <t>EffectiveHits</t>
        </is>
      </c>
      <c r="H875" s="9" t="inlineStr">
        <is>
          <t>ProcProbability</t>
        </is>
      </c>
      <c r="I875" s="9" t="inlineStr">
        <is>
          <t>MapleHeroMultiplier</t>
        </is>
      </c>
      <c r="J875" s="9" t="inlineStr">
        <is>
          <t>BaseDamage</t>
        </is>
      </c>
      <c r="K875" s="9" t="inlineStr">
        <is>
          <t>BaseHitDamage</t>
        </is>
      </c>
      <c r="L875" s="9" t="inlineStr">
        <is>
          <t>NonCritAvg</t>
        </is>
      </c>
      <c r="M875" s="9" t="inlineStr">
        <is>
          <t>CritAvg</t>
        </is>
      </c>
      <c r="N875" s="9" t="inlineStr">
        <is>
          <t>ExpectedDamage(perHit)</t>
        </is>
      </c>
      <c r="O875" s="9" t="inlineStr">
        <is>
          <t>DPS</t>
        </is>
      </c>
      <c r="P875" s="9" t="inlineStr">
        <is>
          <t>% of Total</t>
        </is>
      </c>
      <c r="R875" t="inlineStr">
        <is>
          <t>helpers</t>
        </is>
      </c>
    </row>
    <row r="876">
      <c r="A876">
        <f>Skills!A2</f>
        <v/>
      </c>
      <c r="B876">
        <f>Skills!B2</f>
        <v/>
      </c>
      <c r="C876">
        <f>Inputs!$B$3&gt;=100</f>
        <v/>
      </c>
      <c r="D876" t="inlineStr"/>
      <c r="E876" t="inlineStr"/>
      <c r="F876">
        <f>T878+Skills!N2</f>
        <v/>
      </c>
      <c r="G876">
        <f>Calc!G2</f>
        <v/>
      </c>
      <c r="H876">
        <f>Calc!H2</f>
        <v/>
      </c>
      <c r="I876">
        <f>IF(Skills!T2&lt;&gt;"",1+(Skills!T2/10)*($Z$3/1000)/100,1)</f>
        <v/>
      </c>
      <c r="J876">
        <f>((Inputs!$B$6*(1+Inputs!$B$7/100))+(((Inputs!$B$13*(1+Inputs!$B$14/100))-(Inputs!$B$13*(1+Inputs!$B$14/100)))+0.25*(Inputs!$B$15-Inputs!$B$15))*(1+Inputs!$B$7/100))*(F876/100)</f>
        <v/>
      </c>
      <c r="K876">
        <f>J876*(1+(((Inputs!$B$13+IF(Inputs!$B$3&gt;=35,(10*INDEX(FactorTable!$B$2:$Y$301, MATCH(ROUND(MIN(300,MAX(1,Inputs!$B$3)),0), FactorTable!$A$2:$A$301,0), 23)/1000)/100*(Inputs!$B$8*(1+(Inputs!$B$9+B912)/100)),0))*(1+Inputs!$B$14/100))*0.01+Inputs!$B$15*0.0025)/100)*(1+(Inputs!$B$16+B906)/100)*(1+IF(Inputs!$B$39="pvp",0,(1-Summary!$B$48)*(Inputs!$B$21+Skills!O2+B904)+Summary!$B$48*(Inputs!$B$22+Skills!P2+B905))/100)*(1+Inputs!$B$17/100)*(5000/(6000+Inputs!$B$43*(1-Inputs!$B$20/100)))*(1+Inputs!$B$25/100)*(1+IF(C892=TRUE,F892,0)/100)*(1+IF(C894=TRUE,F894,0)/100)*(1+IF(Skills!A2="TRIUMPH_FEATHER",IF(C890=TRUE,F890,0),0)/100)*(1+IF(C901=TRUE,F901,0)/100)^5*(1+(IF(Skills!A2="BIG_BANG",Inputs!$B$18,Inputs!$B$19))/100)*(B903*I876)</f>
        <v/>
      </c>
      <c r="L876">
        <f>K876*(MIN(Inputs!$B$23+(F896-Calc!F22),Inputs!$B$24)/100+Inputs!$B$24/100)/2</f>
        <v/>
      </c>
      <c r="M876">
        <f>L876*(1+(Inputs!$B$11+B907+(F899-Calc!F25))/100)</f>
        <v/>
      </c>
      <c r="N876">
        <f>L876*(1-MIN(Inputs!$B$10+((F898-Calc!F24)+(F897-Calc!F23)),100)/100)+M876*(MIN(Inputs!$B$10+((F898-Calc!F24)+(F897-Calc!F23)),100)/100)</f>
        <v/>
      </c>
      <c r="O876">
        <f>IF(C876,Skills!F2*N876*B911*IF(Inputs!$B$39="pvp",1,(1-Summary!$B$48)*(1)+Summary!$B$48*(MIN((6+Inputs!$B$34),Inputs!$B$38))),0)</f>
        <v/>
      </c>
      <c r="P876">
        <f>IF(B914=0,0,O876/B914)</f>
        <v/>
      </c>
      <c r="Q876">
        <f>IFERROR(1/IF(Inputs!$B$39="pvp",15,MAX(0.1,Skills!D2-IF(Skills!E2=TRUE,Inputs!$B$33,0))),0)</f>
        <v/>
      </c>
      <c r="R876" t="n">
        <v>0</v>
      </c>
      <c r="T876">
        <f>MAX(0,(Inputs!$B$3-100)*3)+(Inputs!$B$29+1)+Inputs!$B$30</f>
        <v/>
      </c>
    </row>
    <row r="877">
      <c r="A877">
        <f>Skills!A3</f>
        <v/>
      </c>
      <c r="B877">
        <f>Skills!B3</f>
        <v/>
      </c>
      <c r="C877">
        <f>Inputs!$B$3&gt;=15</f>
        <v/>
      </c>
      <c r="D877">
        <f>IF(Skills!C3=1,60+Inputs!$B$26+Inputs!$B$30,IF(Skills!C3=2,90+Inputs!$B$27+Inputs!$B$30,IF(Skills!C3=3,120+Inputs!$B$28+Inputs!$B$30,MAX(0,(Inputs!$B$3-100)*3)+(Inputs!$B$29+1)+Inputs!$B$30)))</f>
        <v/>
      </c>
      <c r="E877">
        <f>INDEX(FactorTable!$B$2:$Y$301, MATCH(ROUND(MIN(300,MAX(1,D877)),0), FactorTable!$A$2:$A$301,0), Skills!L3+1)</f>
        <v/>
      </c>
      <c r="F877">
        <f>IF(Skills!M3=TRUE,(Skills!K3/10)*(E877/1000),Skills!K3/10)+Skills!N3</f>
        <v/>
      </c>
      <c r="G877">
        <f>Calc!G3</f>
        <v/>
      </c>
      <c r="H877">
        <f>Calc!H3</f>
        <v/>
      </c>
      <c r="I877">
        <f>IF(Skills!T3&lt;&gt;"",1+(Skills!T3/10)*($Z$3/1000)/100,1)</f>
        <v/>
      </c>
      <c r="J877" t="inlineStr"/>
      <c r="K877" t="inlineStr"/>
      <c r="L877" t="inlineStr"/>
      <c r="M877" t="inlineStr"/>
      <c r="N877" t="inlineStr"/>
      <c r="O877" t="n">
        <v>0</v>
      </c>
      <c r="P877">
        <f>IF(B914=0,0,O877/B914)</f>
        <v/>
      </c>
      <c r="Q877">
        <f>IFERROR(1/IF(Inputs!$B$39="pvp",15,MAX(0.1,Skills!D3-IF(Skills!E3=TRUE,Inputs!$B$33,0))),0)</f>
        <v/>
      </c>
      <c r="R877">
        <f>IF(AND(Inputs!$B$39&lt;&gt;"pvp",Inputs!$B$44&gt;0),IF(Inputs!$B$44&lt;=0,0,(INT(Inputs!$B$44/IF(Inputs!$B$39="pvp",15,MAX(0.1,Skills!D3-IF(Skills!E3=TRUE,Inputs!$B$33,0))))+1)),0)</f>
        <v/>
      </c>
      <c r="T877">
        <f>INDEX(FactorTable!$B$2:$Y$301, MATCH(ROUND(MIN(300,MAX(1,T876)),0), FactorTable!$A$2:$A$301,0), 22)</f>
        <v/>
      </c>
    </row>
    <row r="878">
      <c r="A878">
        <f>Skills!A4</f>
        <v/>
      </c>
      <c r="B878">
        <f>Skills!B4</f>
        <v/>
      </c>
      <c r="C878">
        <f>Inputs!$B$3&gt;=38</f>
        <v/>
      </c>
      <c r="D878">
        <f>IF(Skills!C4=1,60+Inputs!$B$26+Inputs!$B$30,IF(Skills!C4=2,90+Inputs!$B$27+Inputs!$B$30,IF(Skills!C4=3,120+Inputs!$B$28+Inputs!$B$30,MAX(0,(Inputs!$B$3-100)*3)+(Inputs!$B$29+1)+Inputs!$B$30)))</f>
        <v/>
      </c>
      <c r="E878">
        <f>INDEX(FactorTable!$B$2:$Y$301, MATCH(ROUND(MIN(300,MAX(1,D878)),0), FactorTable!$A$2:$A$301,0), Skills!L4+1)</f>
        <v/>
      </c>
      <c r="F878">
        <f>IF(Skills!M4=TRUE,(Skills!K4/10)*(E878/1000),Skills!K4/10)+Skills!N4</f>
        <v/>
      </c>
      <c r="G878">
        <f>Calc!G4</f>
        <v/>
      </c>
      <c r="H878">
        <f>Calc!H4</f>
        <v/>
      </c>
      <c r="I878">
        <f>IF(Skills!T4&lt;&gt;"",1+(Skills!T4/10)*($Z$3/1000)/100,1)</f>
        <v/>
      </c>
      <c r="J878" t="inlineStr"/>
      <c r="K878" t="inlineStr"/>
      <c r="L878" t="inlineStr"/>
      <c r="M878" t="inlineStr"/>
      <c r="N878" t="inlineStr"/>
      <c r="O878" t="n">
        <v>0</v>
      </c>
      <c r="P878">
        <f>IF(B914=0,0,O878/B914)</f>
        <v/>
      </c>
      <c r="Q878">
        <f>IFERROR(1/IF(Inputs!$B$39="pvp",15,MAX(0.1,Skills!D4-IF(Skills!E4=TRUE,Inputs!$B$33,0))),0)</f>
        <v/>
      </c>
      <c r="R878">
        <f>IF(AND(Inputs!$B$39&lt;&gt;"pvp",Inputs!$B$44&gt;0),IF(Inputs!$B$44&lt;=0,0,(INT(Inputs!$B$44/IF(Inputs!$B$39="pvp",15,MAX(0.1,Skills!D4-IF(Skills!E4=TRUE,Inputs!$B$33,0))))+1)),0)</f>
        <v/>
      </c>
      <c r="T878">
        <f>290*T877/1000</f>
        <v/>
      </c>
    </row>
    <row r="879">
      <c r="A879">
        <f>Skills!A5</f>
        <v/>
      </c>
      <c r="B879">
        <f>Skills!B5</f>
        <v/>
      </c>
      <c r="C879">
        <f>Inputs!$B$3&gt;=40</f>
        <v/>
      </c>
      <c r="D879">
        <f>IF(Skills!C5=1,60+Inputs!$B$26+Inputs!$B$30,IF(Skills!C5=2,90+Inputs!$B$27+Inputs!$B$30,IF(Skills!C5=3,120+Inputs!$B$28+Inputs!$B$30,MAX(0,(Inputs!$B$3-100)*3)+(Inputs!$B$29+1)+Inputs!$B$30)))</f>
        <v/>
      </c>
      <c r="E879">
        <f>INDEX(FactorTable!$B$2:$Y$301, MATCH(ROUND(MIN(300,MAX(1,D879)),0), FactorTable!$A$2:$A$301,0), Skills!L5+1)</f>
        <v/>
      </c>
      <c r="F879">
        <f>IF(Skills!M5=TRUE,(Skills!K5/10)*(E879/1000),Skills!K5/10)+Skills!N5</f>
        <v/>
      </c>
      <c r="G879">
        <f>Calc!G5</f>
        <v/>
      </c>
      <c r="H879">
        <f>Calc!H5</f>
        <v/>
      </c>
      <c r="I879">
        <f>IF(Skills!T5&lt;&gt;"",1+(Skills!T5/10)*($Z$3/1000)/100,1)</f>
        <v/>
      </c>
      <c r="J879" t="inlineStr"/>
      <c r="K879" t="inlineStr"/>
      <c r="L879" t="inlineStr"/>
      <c r="M879" t="inlineStr"/>
      <c r="N879" t="inlineStr"/>
      <c r="O879" t="n">
        <v>0</v>
      </c>
      <c r="P879">
        <f>IF(B914=0,0,O879/B914)</f>
        <v/>
      </c>
      <c r="Q879">
        <f>IFERROR(1/IF(Inputs!$B$39="pvp",15,MAX(0.1,Skills!D5-IF(Skills!E5=TRUE,Inputs!$B$33,0))),0)</f>
        <v/>
      </c>
      <c r="R879">
        <f>IF(AND(Inputs!$B$39&lt;&gt;"pvp",Inputs!$B$44&gt;0),IF(Inputs!$B$44&lt;=0,0,(INT(Inputs!$B$44/IF(Inputs!$B$39="pvp",15,MAX(0.1,Skills!D5-IF(Skills!E5=TRUE,Inputs!$B$33,0))))+1)),0)</f>
        <v/>
      </c>
    </row>
    <row r="880">
      <c r="A880">
        <f>Skills!A6</f>
        <v/>
      </c>
      <c r="B880">
        <f>Skills!B6</f>
        <v/>
      </c>
      <c r="C880">
        <f>Inputs!$B$3&gt;=103</f>
        <v/>
      </c>
      <c r="D880">
        <f>IF(Skills!C6=1,60+Inputs!$B$26+Inputs!$B$30,IF(Skills!C6=2,90+Inputs!$B$27+Inputs!$B$30,IF(Skills!C6=3,120+Inputs!$B$28+Inputs!$B$30,MAX(0,(Inputs!$B$3-100)*3)+(Inputs!$B$29+1)+Inputs!$B$30)))</f>
        <v/>
      </c>
      <c r="E880">
        <f>INDEX(FactorTable!$B$2:$Y$301, MATCH(ROUND(MIN(300,MAX(1,D880)),0), FactorTable!$A$2:$A$301,0), Skills!L6+1)</f>
        <v/>
      </c>
      <c r="F880">
        <f>IF(Skills!M6=TRUE,(Skills!K6/10)*(E880/1000),Skills!K6/10)+Skills!N6</f>
        <v/>
      </c>
      <c r="G880">
        <f>Calc!G6</f>
        <v/>
      </c>
      <c r="H880">
        <f>Calc!H6</f>
        <v/>
      </c>
      <c r="I880">
        <f>IF(Skills!T6&lt;&gt;"",1+(Skills!T6/10)*($Z$3/1000)/100,1)</f>
        <v/>
      </c>
      <c r="J880">
        <f>((Inputs!$B$6*(1+Inputs!$B$7/100))+(((Inputs!$B$13*(1+Inputs!$B$14/100))-(Inputs!$B$13*(1+Inputs!$B$14/100)))+0.25*(Inputs!$B$15-Inputs!$B$15))*(1+Inputs!$B$7/100))*(F880/100)</f>
        <v/>
      </c>
      <c r="K880">
        <f>J880*(1+(((Inputs!$B$13+IF(Inputs!$B$3&gt;=35,(10*INDEX(FactorTable!$B$2:$Y$301, MATCH(ROUND(MIN(300,MAX(1,Inputs!$B$3)),0), FactorTable!$A$2:$A$301,0), 23)/1000)/100*(Inputs!$B$8*(1+(Inputs!$B$9+B912)/100)),0))*(1+Inputs!$B$14/100))*0.01+Inputs!$B$15*0.0025)/100)*(1+(Inputs!$B$16+B906)/100)*(1+IF(Inputs!$B$39="pvp",0,(1-Summary!$B$48)*(Inputs!$B$21+Skills!O6+B904)+Summary!$B$48*(Inputs!$B$22+Skills!P6+B905))/100)*(1+Inputs!$B$17/100)*(5000/(6000+Inputs!$B$43*(1-Inputs!$B$20/100)))*(1+Inputs!$B$25/100)*(1+IF(C892=TRUE,F892,0)/100)*(1+IF(C894=TRUE,F894,0)/100)*(1+IF(Skills!A6="TRIUMPH_FEATHER",IF(C890=TRUE,F890,0),0)/100)*(1+IF(C901=TRUE,F901,0)/100)^5*(1+(IF(Skills!A6="BIG_BANG",Inputs!$B$18,Inputs!$B$19))/100)*(B903*I880)</f>
        <v/>
      </c>
      <c r="L880">
        <f>K880*(MIN(Inputs!$B$23+(F896-Calc!F22),Inputs!$B$24)/100+Inputs!$B$24/100)/2</f>
        <v/>
      </c>
      <c r="M880">
        <f>L880*(1+(Inputs!$B$11+B907+(F899-Calc!F25))/100)</f>
        <v/>
      </c>
      <c r="N880">
        <f>L880*(1-MIN(Inputs!$B$10+((F898-Calc!F24)+(F897-Calc!F23)),100)/100)+M880*(MIN(Inputs!$B$10+((F898-Calc!F24)+(F897-Calc!F23)),100)/100)</f>
        <v/>
      </c>
      <c r="O880">
        <f>IF(C880,H880*N880*IF(AND(Inputs!$B$39&lt;&gt;"pvp",Inputs!$B$44&gt;0),((Skills!F6*((R880-1)*IF(Skills!G6&gt;0,Skills!H6/Skills!G6,1)+IF(Skills!G6&gt;0,MIN(Skills!H6,MAX(0,MAX(0,Inputs!$B$44-B913)-((R880-1)*IF(Inputs!$B$39="pvp",15,MAX(0.1,Skills!D6-IF(Skills!E6=TRUE,Inputs!$B$33,0))))))/Skills!G6,1)))/Inputs!$B$44),G880*Q880)*IF(Inputs!$B$39="pvp",1,(1-Summary!$B$48)*(1)+Summary!$B$48*(MIN(Skills!Q6,Inputs!$B$38))),0)</f>
        <v/>
      </c>
      <c r="P880">
        <f>IF(B914=0,0,O880/B914)</f>
        <v/>
      </c>
      <c r="Q880">
        <f>IFERROR(1/IF(Inputs!$B$39="pvp",15,MAX(0.1,Skills!D6-IF(Skills!E6=TRUE,Inputs!$B$33,0))),0)</f>
        <v/>
      </c>
      <c r="R880">
        <f>IF(AND(Inputs!$B$39&lt;&gt;"pvp",Inputs!$B$44&gt;0),IF(MAX(0,Inputs!$B$44-B913)&lt;=0,0,(INT(MAX(0,Inputs!$B$44-B913)/IF(Inputs!$B$39="pvp",15,MAX(0.1,Skills!D6-IF(Skills!E6=TRUE,Inputs!$B$33,0))))+1)),0)</f>
        <v/>
      </c>
    </row>
    <row r="881">
      <c r="A881">
        <f>Skills!A7</f>
        <v/>
      </c>
      <c r="B881">
        <f>Skills!B7</f>
        <v/>
      </c>
      <c r="C881">
        <f>Inputs!$B$3&gt;=122</f>
        <v/>
      </c>
      <c r="D881">
        <f>IF(Skills!C7=1,60+Inputs!$B$26+Inputs!$B$30,IF(Skills!C7=2,90+Inputs!$B$27+Inputs!$B$30,IF(Skills!C7=3,120+Inputs!$B$28+Inputs!$B$30,MAX(0,(Inputs!$B$3-100)*3)+(Inputs!$B$29+1)+Inputs!$B$30)))</f>
        <v/>
      </c>
      <c r="E881">
        <f>INDEX(FactorTable!$B$2:$Y$301, MATCH(ROUND(MIN(300,MAX(1,D881)),0), FactorTable!$A$2:$A$301,0), Skills!L7+1)</f>
        <v/>
      </c>
      <c r="F881">
        <f>IF(Skills!M7=TRUE,(Skills!K7/10)*(E881/1000),Skills!K7/10)+Skills!N7</f>
        <v/>
      </c>
      <c r="G881">
        <f>Calc!G7</f>
        <v/>
      </c>
      <c r="H881">
        <f>Calc!H7</f>
        <v/>
      </c>
      <c r="I881">
        <f>IF(Skills!T7&lt;&gt;"",1+(Skills!T7/10)*($Z$3/1000)/100,1)</f>
        <v/>
      </c>
      <c r="J881">
        <f>((Inputs!$B$6*(1+Inputs!$B$7/100))+(((Inputs!$B$13*(1+Inputs!$B$14/100))-(Inputs!$B$13*(1+Inputs!$B$14/100)))+0.25*(Inputs!$B$15-Inputs!$B$15))*(1+Inputs!$B$7/100))*(F881/100)</f>
        <v/>
      </c>
      <c r="K881">
        <f>J881*(1+(((Inputs!$B$13+IF(Inputs!$B$3&gt;=35,(10*INDEX(FactorTable!$B$2:$Y$301, MATCH(ROUND(MIN(300,MAX(1,Inputs!$B$3)),0), FactorTable!$A$2:$A$301,0), 23)/1000)/100*(Inputs!$B$8*(1+(Inputs!$B$9+B912)/100)),0))*(1+Inputs!$B$14/100))*0.01+Inputs!$B$15*0.0025)/100)*(1+(Inputs!$B$16+B906)/100)*(1+IF(Inputs!$B$39="pvp",0,(1-Summary!$B$48)*(Inputs!$B$21+Skills!O7+B904)+Summary!$B$48*(Inputs!$B$22+Skills!P7+B905))/100)*(1+Inputs!$B$17/100)*(5000/(6000+Inputs!$B$43*(1-Inputs!$B$20/100)))*(1+Inputs!$B$25/100)*(1+IF(C892=TRUE,F892,0)/100)*(1+IF(C894=TRUE,F894,0)/100)*(1+IF(Skills!A7="TRIUMPH_FEATHER",IF(C890=TRUE,F890,0),0)/100)*(1+IF(C901=TRUE,F901,0)/100)^5*(1+(IF(Skills!A7="BIG_BANG",Inputs!$B$18,Inputs!$B$19))/100)*(B903*I881)</f>
        <v/>
      </c>
      <c r="L881">
        <f>K881*(MIN(Inputs!$B$23+(F896-Calc!F22),Inputs!$B$24)/100+Inputs!$B$24/100)/2</f>
        <v/>
      </c>
      <c r="M881">
        <f>L881*(1+(Inputs!$B$11+B907+(F899-Calc!F25))/100)</f>
        <v/>
      </c>
      <c r="N881">
        <f>L881*(1-MIN(Inputs!$B$10+((F898-Calc!F24)+(F897-Calc!F23)),100)/100)+M881*(MIN(Inputs!$B$10+((F898-Calc!F24)+(F897-Calc!F23)),100)/100)</f>
        <v/>
      </c>
      <c r="O881">
        <f>IF(C881,H881*N881*IF(AND(Inputs!$B$39&lt;&gt;"pvp",Inputs!$B$44&gt;0),((Skills!F7*((R881-1)*IF(Skills!G7&gt;0,Skills!H7/Skills!G7,1)+IF(Skills!G7&gt;0,MIN(Skills!H7,MAX(0,MAX(0,Inputs!$B$44-B913)-((R881-1)*IF(Inputs!$B$39="pvp",15,MAX(0.1,Skills!D7-IF(Skills!E6=TRUE,Inputs!$B$33,0))))))/Skills!G7,1)))/Inputs!$B$44),G881*Q881)*(1-Summary!$B$48),0)</f>
        <v/>
      </c>
      <c r="P881">
        <f>IF(B914=0,0,O881/B914)</f>
        <v/>
      </c>
      <c r="Q881">
        <f>IFERROR(1/IF(Inputs!$B$39="pvp",15,MAX(0.1,Skills!D7-IF(Skills!E6=TRUE,Inputs!$B$33,0))),0)</f>
        <v/>
      </c>
      <c r="R881">
        <f>IF(AND(Inputs!$B$39&lt;&gt;"pvp",Inputs!$B$44&gt;0),IF(MAX(0,Inputs!$B$44-B913)&lt;=0,0,(INT(MAX(0,Inputs!$B$44-B913)/IF(Inputs!$B$39="pvp",15,MAX(0.1,Skills!D7-IF(Skills!E6=TRUE,Inputs!$B$33,0))))+1)),0)</f>
        <v/>
      </c>
    </row>
    <row r="882">
      <c r="A882">
        <f>Skills!A8</f>
        <v/>
      </c>
      <c r="B882">
        <f>Skills!B8</f>
        <v/>
      </c>
      <c r="C882">
        <f>Inputs!$B$3&gt;=105</f>
        <v/>
      </c>
      <c r="D882">
        <f>IF(Skills!C8=1,60+Inputs!$B$26+Inputs!$B$30,IF(Skills!C8=2,90+Inputs!$B$27+Inputs!$B$30,IF(Skills!C8=3,120+Inputs!$B$28+Inputs!$B$30,MAX(0,(Inputs!$B$3-100)*3)+(Inputs!$B$29+1)+Inputs!$B$30)))</f>
        <v/>
      </c>
      <c r="E882">
        <f>INDEX(FactorTable!$B$2:$Y$301, MATCH(ROUND(MIN(300,MAX(1,D882)),0), FactorTable!$A$2:$A$301,0), Skills!L8+1)</f>
        <v/>
      </c>
      <c r="F882">
        <f>IF(Skills!M8=TRUE,(Skills!K8/10)*(E882/1000),Skills!K8/10)+Skills!N8</f>
        <v/>
      </c>
      <c r="G882">
        <f>Calc!G8</f>
        <v/>
      </c>
      <c r="H882">
        <f>Calc!H8</f>
        <v/>
      </c>
      <c r="I882">
        <f>IF(Skills!T8&lt;&gt;"",1+(Skills!T8/10)*($Z$3/1000)/100,1)</f>
        <v/>
      </c>
      <c r="J882">
        <f>((Inputs!$B$6*(1+Inputs!$B$7/100))+(((Inputs!$B$13*(1+Inputs!$B$14/100))-(Inputs!$B$13*(1+Inputs!$B$14/100)))+0.25*(Inputs!$B$15-Inputs!$B$15))*(1+Inputs!$B$7/100))*(F882/100)</f>
        <v/>
      </c>
      <c r="K882">
        <f>J882*(1+(((Inputs!$B$13+IF(Inputs!$B$3&gt;=35,(10*INDEX(FactorTable!$B$2:$Y$301, MATCH(ROUND(MIN(300,MAX(1,Inputs!$B$3)),0), FactorTable!$A$2:$A$301,0), 23)/1000)/100*(Inputs!$B$8*(1+(Inputs!$B$9+B912)/100)),0))*(1+Inputs!$B$14/100))*0.01+Inputs!$B$15*0.0025)/100)*(1+(Inputs!$B$16+B906)/100)*(1+IF(Inputs!$B$39="pvp",0,(1-Summary!$B$48)*(Inputs!$B$21+Skills!O8+B904)+Summary!$B$48*(Inputs!$B$22+Skills!P8+B905))/100)*(1+Inputs!$B$17/100)*(5000/(6000+Inputs!$B$43*(1-Inputs!$B$20/100)))*(1+Inputs!$B$25/100)*(1+IF(C892=TRUE,F892,0)/100)*(1+IF(C894=TRUE,F894,0)/100)*(1+IF(Skills!A8="TRIUMPH_FEATHER",IF(C890=TRUE,F890,0),0)/100)*(1+IF(C901=TRUE,F901,0)/100)^5*(1+(IF(Skills!A8="BIG_BANG",Inputs!$B$18,Inputs!$B$19))/100)*(B903*I882)</f>
        <v/>
      </c>
      <c r="L882">
        <f>K882*(MIN(Inputs!$B$23+(F896-Calc!F22),Inputs!$B$24)/100+Inputs!$B$24/100)/2</f>
        <v/>
      </c>
      <c r="M882">
        <f>L882*(1+(Inputs!$B$11+B907+(F899-Calc!F25))/100)</f>
        <v/>
      </c>
      <c r="N882">
        <f>L882*(1-MIN(Inputs!$B$10+((F898-Calc!F24)+(F897-Calc!F23)),100)/100)+M882*(MIN(Inputs!$B$10+((F898-Calc!F24)+(F897-Calc!F23)),100)/100)</f>
        <v/>
      </c>
      <c r="O882">
        <f>IF(C882,H882*N882*IF(AND(Inputs!$B$39&lt;&gt;"pvp",Inputs!$B$44&gt;0),((Skills!F8*((R882-1)*IF(Skills!G8&gt;0,Skills!H8/Skills!G8,1)+IF(Skills!G8&gt;0,MIN(Skills!H8,MAX(0,MAX(0,Inputs!$B$44-B913)-((R882-1)*IF(Inputs!$B$39="pvp",15,MAX(0.1,Skills!D8-IF(Skills!E8=TRUE,Inputs!$B$33,0))))))/Skills!G8,1)))/Inputs!$B$44),G882*Q882)*IF(Inputs!$B$39="pvp",1,(1-Summary!$B$48)*(1)+Summary!$B$48*(MIN(Skills!Q8,Inputs!$B$38))),0)</f>
        <v/>
      </c>
      <c r="P882">
        <f>IF(B914=0,0,O882/B914)</f>
        <v/>
      </c>
      <c r="Q882">
        <f>IFERROR(1/IF(Inputs!$B$39="pvp",15,MAX(0.1,Skills!D8-IF(Skills!E8=TRUE,Inputs!$B$33,0))),0)</f>
        <v/>
      </c>
      <c r="R882">
        <f>IF(AND(Inputs!$B$39&lt;&gt;"pvp",Inputs!$B$44&gt;0),IF(MAX(0,Inputs!$B$44-B913)&lt;=0,0,(INT(MAX(0,Inputs!$B$44-B913)/IF(Inputs!$B$39="pvp",15,MAX(0.1,Skills!D8-IF(Skills!E8=TRUE,Inputs!$B$33,0))))+1)),0)</f>
        <v/>
      </c>
    </row>
    <row r="883">
      <c r="A883">
        <f>Skills!A9</f>
        <v/>
      </c>
      <c r="B883">
        <f>Skills!B9</f>
        <v/>
      </c>
      <c r="C883">
        <f>Inputs!$B$3&gt;=115</f>
        <v/>
      </c>
      <c r="D883">
        <f>IF(Skills!C9=1,60+Inputs!$B$26+Inputs!$B$30,IF(Skills!C9=2,90+Inputs!$B$27+Inputs!$B$30,IF(Skills!C9=3,120+Inputs!$B$28+Inputs!$B$30,MAX(0,(Inputs!$B$3-100)*3)+(Inputs!$B$29+1)+Inputs!$B$30)))</f>
        <v/>
      </c>
      <c r="E883">
        <f>INDEX(FactorTable!$B$2:$Y$301, MATCH(ROUND(MIN(300,MAX(1,D883)),0), FactorTable!$A$2:$A$301,0), Skills!L9+1)</f>
        <v/>
      </c>
      <c r="F883">
        <f>IF(Skills!M9=TRUE,(Skills!K9/10)*(E883/1000),Skills!K9/10)+Skills!N9</f>
        <v/>
      </c>
      <c r="G883">
        <f>Calc!G9</f>
        <v/>
      </c>
      <c r="H883">
        <f>Calc!H9</f>
        <v/>
      </c>
      <c r="I883">
        <f>IF(Skills!T9&lt;&gt;"",1+(Skills!T9/10)*($Z$3/1000)/100,1)</f>
        <v/>
      </c>
      <c r="J883">
        <f>((Inputs!$B$6*(1+Inputs!$B$7/100))+(((Inputs!$B$13*(1+Inputs!$B$14/100))-(Inputs!$B$13*(1+Inputs!$B$14/100)))+0.25*(Inputs!$B$15-Inputs!$B$15))*(1+Inputs!$B$7/100))*(F883/100)</f>
        <v/>
      </c>
      <c r="K883">
        <f>J883*(1+(((Inputs!$B$13+IF(Inputs!$B$3&gt;=35,(10*INDEX(FactorTable!$B$2:$Y$301, MATCH(ROUND(MIN(300,MAX(1,Inputs!$B$3)),0), FactorTable!$A$2:$A$301,0), 23)/1000)/100*(Inputs!$B$8*(1+(Inputs!$B$9+B912)/100)),0))*(1+Inputs!$B$14/100))*0.01+Inputs!$B$15*0.0025)/100)*(1+(Inputs!$B$16+B906)/100)*(1+IF(Inputs!$B$39="pvp",0,(1-Summary!$B$48)*(Inputs!$B$21+Skills!O9+B904)+Summary!$B$48*(Inputs!$B$22+Skills!P9+B905))/100)*(1+Inputs!$B$17/100)*(5000/(6000+Inputs!$B$43*(1-Inputs!$B$20/100)))*(1+Inputs!$B$25/100)*(1+IF(C892=TRUE,F892,0)/100)*(1+IF(C894=TRUE,F894,0)/100)*(1+IF(Skills!A9="TRIUMPH_FEATHER",IF(C890=TRUE,F890,0),0)/100)*(1+IF(C901=TRUE,F901,0)/100)^5*(1+(IF(Skills!A9="BIG_BANG",Inputs!$B$18,Inputs!$B$19))/100)*(B903*I883)</f>
        <v/>
      </c>
      <c r="L883">
        <f>K883*(MIN(Inputs!$B$23+(F896-Calc!F22),Inputs!$B$24)/100+Inputs!$B$24/100)/2</f>
        <v/>
      </c>
      <c r="M883">
        <f>L883*(1+(Inputs!$B$11+B907+(F899-Calc!F25))/100)</f>
        <v/>
      </c>
      <c r="N883">
        <f>L883*(1-MIN(Inputs!$B$10+((F898-Calc!F24)+(F897-Calc!F23)),100)/100)+M883*(MIN(Inputs!$B$10+((F898-Calc!F24)+(F897-Calc!F23)),100)/100)</f>
        <v/>
      </c>
      <c r="O883">
        <f>IF(C883,H883*N883*IF(AND(Inputs!$B$39&lt;&gt;"pvp",Inputs!$B$44&gt;0),((Skills!F9*((R883-1)*IF(Skills!G9&gt;0,Skills!H9/Skills!G9,1)+IF(Skills!G9&gt;0,MIN(Skills!H9,MAX(0,MAX(0,Inputs!$B$44-B913)-((R883-1)*IF(Inputs!$B$39="pvp",15,MAX(0.1,Skills!D9-IF(Skills!E9=TRUE,Inputs!$B$33,0))))))/Skills!G9,1)))/Inputs!$B$44),G883*Q883)*IF(Inputs!$B$39="pvp",1,(1-Summary!$B$48)*(1)+Summary!$B$48*(MIN(Skills!Q9,Inputs!$B$38))),0)</f>
        <v/>
      </c>
      <c r="P883">
        <f>IF(B914=0,0,O883/B914)</f>
        <v/>
      </c>
      <c r="Q883">
        <f>IFERROR(1/IF(Inputs!$B$39="pvp",15,MAX(0.1,Skills!D9-IF(Skills!E9=TRUE,Inputs!$B$33,0))),0)</f>
        <v/>
      </c>
      <c r="R883">
        <f>IF(AND(Inputs!$B$39&lt;&gt;"pvp",Inputs!$B$44&gt;0),IF(MAX(0,Inputs!$B$44-B913)&lt;=0,0,(INT(MAX(0,Inputs!$B$44-B913)/IF(Inputs!$B$39="pvp",15,MAX(0.1,Skills!D9-IF(Skills!E9=TRUE,Inputs!$B$33,0))))+1)),0)</f>
        <v/>
      </c>
    </row>
    <row r="884">
      <c r="A884">
        <f>Skills!A10</f>
        <v/>
      </c>
      <c r="B884">
        <f>Skills!B10</f>
        <v/>
      </c>
      <c r="C884">
        <f>Inputs!$B$3&gt;=66</f>
        <v/>
      </c>
      <c r="D884">
        <f>IF(Skills!C10=1,60+Inputs!$B$26+Inputs!$B$30,IF(Skills!C10=2,90+Inputs!$B$27+Inputs!$B$30,IF(Skills!C10=3,120+Inputs!$B$28+Inputs!$B$30,MAX(0,(Inputs!$B$3-100)*3)+(Inputs!$B$29+1)+Inputs!$B$30)))</f>
        <v/>
      </c>
      <c r="E884">
        <f>INDEX(FactorTable!$B$2:$Y$301, MATCH(ROUND(MIN(300,MAX(1,D884)),0), FactorTable!$A$2:$A$301,0), Skills!L10+1)</f>
        <v/>
      </c>
      <c r="F884" t="n">
        <v>0</v>
      </c>
      <c r="G884">
        <f>Calc!G10</f>
        <v/>
      </c>
      <c r="H884">
        <f>Calc!H10</f>
        <v/>
      </c>
      <c r="I884">
        <f>IF(Skills!T10&lt;&gt;"",1+(Skills!T10/10)*($Z$3/1000)/100,1)</f>
        <v/>
      </c>
      <c r="J884" t="inlineStr"/>
      <c r="K884" t="inlineStr"/>
      <c r="L884" t="inlineStr"/>
      <c r="M884" t="inlineStr"/>
      <c r="N884" t="inlineStr"/>
      <c r="O884" t="n">
        <v>0</v>
      </c>
      <c r="P884">
        <f>IF(B914=0,0,O884/B914)</f>
        <v/>
      </c>
      <c r="Q884">
        <f>IFERROR(1/IF(Inputs!$B$39="pvp",15,MAX(0.1,Skills!D10-IF(Skills!E10=TRUE,Inputs!$B$33,0))),0)</f>
        <v/>
      </c>
      <c r="R884">
        <f>IF(AND(Inputs!$B$39&lt;&gt;"pvp",Inputs!$B$44&gt;0),IF(MAX(0,Inputs!$B$44-B913)&lt;=0,0,(INT(MAX(0,Inputs!$B$44-B913)/IF(Inputs!$B$39="pvp",15,MAX(0.1,Skills!D10-IF(Skills!E10=TRUE,Inputs!$B$33,0))))+1)),0)</f>
        <v/>
      </c>
    </row>
    <row r="885">
      <c r="A885">
        <f>Skills!A11</f>
        <v/>
      </c>
      <c r="B885">
        <f>Skills!B11</f>
        <v/>
      </c>
      <c r="C885">
        <f>Inputs!$B$3&gt;=69</f>
        <v/>
      </c>
      <c r="D885">
        <f>IF(Skills!C11=1,60+Inputs!$B$26+Inputs!$B$30,IF(Skills!C11=2,90+Inputs!$B$27+Inputs!$B$30,IF(Skills!C11=3,120+Inputs!$B$28+Inputs!$B$30,MAX(0,(Inputs!$B$3-100)*3)+(Inputs!$B$29+1)+Inputs!$B$30)))</f>
        <v/>
      </c>
      <c r="E885">
        <f>INDEX(FactorTable!$B$2:$Y$301, MATCH(ROUND(MIN(300,MAX(1,D885)),0), FactorTable!$A$2:$A$301,0), Skills!L11+1)</f>
        <v/>
      </c>
      <c r="F885">
        <f>IF(Skills!M11=TRUE,(Skills!K11/10)*(E885/1000),Skills!K11/10)+Skills!N11</f>
        <v/>
      </c>
      <c r="G885">
        <f>Calc!G11</f>
        <v/>
      </c>
      <c r="H885">
        <f>Calc!H11</f>
        <v/>
      </c>
      <c r="I885">
        <f>IF(Skills!T11&lt;&gt;"",1+(Skills!T11/10)*($Z$3/1000)/100,1)</f>
        <v/>
      </c>
      <c r="J885" t="inlineStr"/>
      <c r="K885" t="inlineStr"/>
      <c r="L885" t="inlineStr"/>
      <c r="M885" t="inlineStr"/>
      <c r="N885" t="inlineStr"/>
      <c r="O885" t="n">
        <v>0</v>
      </c>
      <c r="P885">
        <f>IF(B914=0,0,O885/B914)</f>
        <v/>
      </c>
      <c r="Q885">
        <f>IFERROR(1/IF(Inputs!$B$39="pvp",15,MAX(0.1,Skills!D11-IF(Skills!E11=TRUE,Inputs!$B$33,0))),0)</f>
        <v/>
      </c>
      <c r="R885">
        <f>IF(AND(Inputs!$B$39&lt;&gt;"pvp",Inputs!$B$44&gt;0),IF(Inputs!$B$44&lt;=0,0,(INT(Inputs!$B$44/IF(Inputs!$B$39="pvp",15,MAX(0.1,Skills!D11-IF(Skills!E11=TRUE,Inputs!$B$33,0))))+1)),0)</f>
        <v/>
      </c>
    </row>
    <row r="886">
      <c r="A886">
        <f>Skills!A12</f>
        <v/>
      </c>
      <c r="B886">
        <f>Skills!B12</f>
        <v/>
      </c>
      <c r="C886">
        <f>Inputs!$B$3&gt;=72</f>
        <v/>
      </c>
      <c r="D886">
        <f>IF(Skills!C12=1,60+Inputs!$B$26+Inputs!$B$30,IF(Skills!C12=2,90+Inputs!$B$27+Inputs!$B$30,IF(Skills!C12=3,120+Inputs!$B$28+Inputs!$B$30,MAX(0,(Inputs!$B$3-100)*3)+(Inputs!$B$29+1)+Inputs!$B$30)))</f>
        <v/>
      </c>
      <c r="E886">
        <f>INDEX(FactorTable!$B$2:$Y$301, MATCH(ROUND(MIN(300,MAX(1,D886)),0), FactorTable!$A$2:$A$301,0), Skills!L12+1)</f>
        <v/>
      </c>
      <c r="F886">
        <f>IF(Skills!M12=TRUE,(Skills!K12/10)*(E886/1000),Skills!K12/10)+Skills!N12</f>
        <v/>
      </c>
      <c r="G886">
        <f>Calc!G12</f>
        <v/>
      </c>
      <c r="H886">
        <f>Calc!H12</f>
        <v/>
      </c>
      <c r="I886">
        <f>IF(Skills!T12&lt;&gt;"",1+(Skills!T12/10)*($Z$3/1000)/100,1)</f>
        <v/>
      </c>
      <c r="J886" t="inlineStr"/>
      <c r="K886" t="inlineStr"/>
      <c r="L886" t="inlineStr"/>
      <c r="M886" t="inlineStr"/>
      <c r="N886" t="inlineStr"/>
      <c r="O886" t="n">
        <v>0</v>
      </c>
      <c r="P886">
        <f>IF(B914=0,0,O886/B914)</f>
        <v/>
      </c>
      <c r="Q886">
        <f>IFERROR(1/IF(Inputs!$B$39="pvp",15,MAX(0.1,Skills!D12-IF(Skills!E12=TRUE,Inputs!$B$33,0))),0)</f>
        <v/>
      </c>
      <c r="R886">
        <f>IF(AND(Inputs!$B$39&lt;&gt;"pvp",Inputs!$B$44&gt;0),IF(MAX(0,Inputs!$B$44-B913)&lt;=0,0,(INT(MAX(0,Inputs!$B$44-B913)/IF(Inputs!$B$39="pvp",15,MAX(0.1,Skills!D12-IF(Skills!E12=TRUE,Inputs!$B$33,0))))+1)),0)</f>
        <v/>
      </c>
    </row>
    <row r="887">
      <c r="A887">
        <f>Skills!A13</f>
        <v/>
      </c>
      <c r="B887">
        <f>Skills!B13</f>
        <v/>
      </c>
      <c r="C887">
        <f>Inputs!$B$3&gt;=60</f>
        <v/>
      </c>
      <c r="D887">
        <f>IF(Skills!C13=1,60+Inputs!$B$26+Inputs!$B$30,IF(Skills!C13=2,90+Inputs!$B$27+Inputs!$B$30,IF(Skills!C13=3,120+Inputs!$B$28+Inputs!$B$30,MAX(0,(Inputs!$B$3-100)*3)+(Inputs!$B$29+1)+Inputs!$B$30)))</f>
        <v/>
      </c>
      <c r="E887">
        <f>INDEX(FactorTable!$B$2:$Y$301, MATCH(ROUND(MIN(300,MAX(1,D887)),0), FactorTable!$A$2:$A$301,0), Skills!L13+1)</f>
        <v/>
      </c>
      <c r="F887">
        <f>IF(Skills!M13=TRUE,(Skills!K13/10)*(E887/1000),Skills!K13/10)+Skills!N13</f>
        <v/>
      </c>
      <c r="G887">
        <f>Calc!G13</f>
        <v/>
      </c>
      <c r="H887">
        <f>Calc!H13</f>
        <v/>
      </c>
      <c r="I887">
        <f>IF(Skills!T13&lt;&gt;"",1+(Skills!T13/10)*($Z$3/1000)/100,1)</f>
        <v/>
      </c>
      <c r="J887" t="inlineStr"/>
      <c r="K887" t="inlineStr"/>
      <c r="L887" t="inlineStr"/>
      <c r="M887" t="inlineStr"/>
      <c r="N887" t="inlineStr"/>
      <c r="O887" t="n">
        <v>0</v>
      </c>
      <c r="P887">
        <f>IF(B914=0,0,O887/B914)</f>
        <v/>
      </c>
      <c r="Q887">
        <f>IFERROR(1/IF(Inputs!$B$39="pvp",15,MAX(0.1,Skills!D13-IF(Skills!E13=TRUE,Inputs!$B$33,0))),0)</f>
        <v/>
      </c>
      <c r="R887">
        <f>IF(AND(Inputs!$B$39&lt;&gt;"pvp",Inputs!$B$44&gt;0),IF(MAX(0,Inputs!$B$44-B913)&lt;=0,0,(INT(MAX(0,Inputs!$B$44-B913)/IF(Inputs!$B$39="pvp",15,MAX(0.1,Skills!D13-IF(Skills!E13=TRUE,Inputs!$B$33,0))))+1)),0)</f>
        <v/>
      </c>
    </row>
    <row r="888">
      <c r="A888">
        <f>Skills!A14</f>
        <v/>
      </c>
      <c r="B888">
        <f>Skills!B14</f>
        <v/>
      </c>
      <c r="C888">
        <f>Inputs!$B$3&gt;=107</f>
        <v/>
      </c>
      <c r="D888">
        <f>IF(Skills!C14=1,60+Inputs!$B$26+Inputs!$B$30,IF(Skills!C14=2,90+Inputs!$B$27+Inputs!$B$30,IF(Skills!C14=3,120+Inputs!$B$28+Inputs!$B$30,MAX(0,(Inputs!$B$3-100)*3)+(Inputs!$B$29+1)+Inputs!$B$30)))</f>
        <v/>
      </c>
      <c r="E888">
        <f>INDEX(FactorTable!$B$2:$Y$301, MATCH(ROUND(MIN(300,MAX(1,D888)),0), FactorTable!$A$2:$A$301,0), Skills!L14+1)</f>
        <v/>
      </c>
      <c r="F888">
        <f>IF(Skills!M14=TRUE,(Skills!K14/10)*(E888/1000),Skills!K14/10)+Skills!N14</f>
        <v/>
      </c>
      <c r="G888">
        <f>Calc!G14</f>
        <v/>
      </c>
      <c r="H888">
        <f>Calc!H14</f>
        <v/>
      </c>
      <c r="I888">
        <f>IF(Skills!T14&lt;&gt;"",1+(Skills!T14/10)*($Z$3/1000)/100,1)</f>
        <v/>
      </c>
      <c r="J888" t="inlineStr"/>
      <c r="K888" t="inlineStr"/>
      <c r="L888" t="inlineStr"/>
      <c r="M888" t="inlineStr"/>
      <c r="N888" t="inlineStr"/>
      <c r="O888" t="n">
        <v>0</v>
      </c>
      <c r="P888">
        <f>IF(B914=0,0,O888/B914)</f>
        <v/>
      </c>
      <c r="Q888">
        <f>IFERROR(1/IF(Inputs!$B$39="pvp",15,MAX(0.1,Skills!D14-IF(Skills!E14=TRUE,Inputs!$B$33,0))),0)</f>
        <v/>
      </c>
      <c r="R888">
        <f>IF(AND(Inputs!$B$39&lt;&gt;"pvp",Inputs!$B$44&gt;0),IF(Inputs!$B$44&lt;=0,0,(INT(Inputs!$B$44/IF(Inputs!$B$39="pvp",15,MAX(0.1,Skills!D14-IF(Skills!E14=TRUE,Inputs!$B$33,0))))+1)),0)</f>
        <v/>
      </c>
    </row>
    <row r="889">
      <c r="A889">
        <f>Skills!A15</f>
        <v/>
      </c>
      <c r="B889">
        <f>Skills!B15</f>
        <v/>
      </c>
      <c r="C889">
        <f>Inputs!$B$3&gt;=63</f>
        <v/>
      </c>
      <c r="D889">
        <f>IF(Skills!C15=1,60+Inputs!$B$26+Inputs!$B$30,IF(Skills!C15=2,90+Inputs!$B$27+Inputs!$B$30,IF(Skills!C15=3,120+Inputs!$B$28+Inputs!$B$30,MAX(0,(Inputs!$B$3-100)*3)+(Inputs!$B$29+1)+Inputs!$B$30)))</f>
        <v/>
      </c>
      <c r="E889">
        <f>INDEX(FactorTable!$B$2:$Y$301, MATCH(ROUND(MIN(300,MAX(1,D889)),0), FactorTable!$A$2:$A$301,0), Skills!L15+1)</f>
        <v/>
      </c>
      <c r="F889">
        <f>IF(Skills!M15=TRUE,(Skills!K15/10)*(E889/1000),Skills!K15/10)+Skills!N15</f>
        <v/>
      </c>
      <c r="G889">
        <f>Calc!G15</f>
        <v/>
      </c>
      <c r="H889">
        <f>Calc!H15</f>
        <v/>
      </c>
      <c r="I889">
        <f>IF(Skills!T15&lt;&gt;"",1+(Skills!T15/10)*($Z$3/1000)/100,1)</f>
        <v/>
      </c>
      <c r="J889">
        <f>((Inputs!$B$6*(1+Inputs!$B$7/100))+(((Inputs!$B$13*(1+Inputs!$B$14/100))-(Inputs!$B$13*(1+Inputs!$B$14/100)))+0.25*(Inputs!$B$15-Inputs!$B$15))*(1+Inputs!$B$7/100))*(F889/100)</f>
        <v/>
      </c>
      <c r="K889">
        <f>J889*(1+(((Inputs!$B$13+IF(Inputs!$B$3&gt;=35,(10*INDEX(FactorTable!$B$2:$Y$301, MATCH(ROUND(MIN(300,MAX(1,Inputs!$B$3)),0), FactorTable!$A$2:$A$301,0), 23)/1000)/100*(Inputs!$B$8*(1+(Inputs!$B$9+B912)/100)),0))*(1+Inputs!$B$14/100))*0.01+Inputs!$B$15*0.0025)/100)*(1+(Inputs!$B$16+B906)/100)*(1+IF(Inputs!$B$39="pvp",0,(1-Summary!$B$48)*(Inputs!$B$21+Skills!O15+B904)+Summary!$B$48*(Inputs!$B$22+Skills!P15+B905))/100)*(1+Inputs!$B$17/100)*(5000/(6000+Inputs!$B$43*(1-Inputs!$B$20/100)))*(1+Inputs!$B$25/100)*(1+IF(C892=TRUE,F892,0)/100)*(1+IF(C894=TRUE,F894,0)/100)*(1+IF(Skills!A15="TRIUMPH_FEATHER",IF(C890=TRUE,F890,0),0)/100)*(1+IF(C901=TRUE,F901,0)/100)^5*(1+(IF(Skills!A15="BIG_BANG",Inputs!$B$18,Inputs!$B$19))/100)*(B903*I889)</f>
        <v/>
      </c>
      <c r="L889">
        <f>K889*(MIN(Inputs!$B$23+(F896-Calc!F22),Inputs!$B$24)/100+Inputs!$B$24/100)/2</f>
        <v/>
      </c>
      <c r="M889">
        <f>L889*(1+(Inputs!$B$11+B907+(F899-Calc!F25))/100)</f>
        <v/>
      </c>
      <c r="N889">
        <f>L889*(1-MIN(Inputs!$B$10+((F898-Calc!F24)+(F897-Calc!F23)),100)/100)+M889*(MIN(Inputs!$B$10+((F898-Calc!F24)+(F897-Calc!F23)),100)/100)</f>
        <v/>
      </c>
      <c r="O889">
        <f>IF(C889,Skills!F15*N889*((IF(Inputs!$B$3&gt;=78,25,15)/100*B909*10)/(1+IF(Inputs!$B$3&gt;=78,25,15)/100*B909*10))*(Skills!I15/100*B909)/(1+Skills!G15*Skills!I15/100*B909)*IF(Inputs!$B$39="pvp",1,(1-Summary!$B$48)*(1)+Summary!$B$48*(MIN(Skills!Q15,Inputs!$B$38))),0)</f>
        <v/>
      </c>
      <c r="P889">
        <f>IF(B914=0,0,O889/B914)</f>
        <v/>
      </c>
      <c r="Q889">
        <f>IFERROR(1/IF(Inputs!$B$39="pvp",15,MAX(0.1,Skills!D15-IF(Skills!E15=TRUE,Inputs!$B$33,0))),0)</f>
        <v/>
      </c>
      <c r="R889" t="n">
        <v>0</v>
      </c>
    </row>
    <row r="890">
      <c r="A890">
        <f>Skills!A16</f>
        <v/>
      </c>
      <c r="B890">
        <f>Skills!B16</f>
        <v/>
      </c>
      <c r="C890">
        <f>Inputs!$B$3&gt;=100</f>
        <v/>
      </c>
      <c r="D890">
        <f>IF(Skills!C16=1,60+Inputs!$B$26+Inputs!$B$30,IF(Skills!C16=2,90+Inputs!$B$27+Inputs!$B$30,IF(Skills!C16=3,120+Inputs!$B$28+Inputs!$B$30,MAX(0,(Inputs!$B$3-100)*3)+(Inputs!$B$29+1)+Inputs!$B$30)))</f>
        <v/>
      </c>
      <c r="E890">
        <f>INDEX(FactorTable!$B$2:$Y$301, MATCH(ROUND(MIN(300,MAX(1,D890)),0), FactorTable!$A$2:$A$301,0), Skills!L16+1)</f>
        <v/>
      </c>
      <c r="F890">
        <f>IF(Skills!M16=TRUE,(Skills!K16/10)*(E890/1000),Skills!K16/10)+Skills!N16</f>
        <v/>
      </c>
      <c r="G890">
        <f>Calc!G16</f>
        <v/>
      </c>
      <c r="H890">
        <f>Calc!H16</f>
        <v/>
      </c>
      <c r="I890">
        <f>IF(Skills!T16&lt;&gt;"",1+(Skills!T16/10)*($Z$3/1000)/100,1)</f>
        <v/>
      </c>
      <c r="J890" t="inlineStr"/>
      <c r="K890" t="inlineStr"/>
      <c r="L890" t="inlineStr"/>
      <c r="M890" t="inlineStr"/>
      <c r="N890" t="inlineStr"/>
      <c r="O890" t="n">
        <v>0</v>
      </c>
      <c r="P890">
        <f>IF(B914=0,0,O890/B914)</f>
        <v/>
      </c>
      <c r="Q890">
        <f>IFERROR(1/IF(Inputs!$B$39="pvp",15,MAX(0.1,Skills!D16-IF(Skills!E16=TRUE,Inputs!$B$33,0))),0)</f>
        <v/>
      </c>
      <c r="R890" t="n">
        <v>0</v>
      </c>
    </row>
    <row r="891">
      <c r="A891">
        <f>Skills!A17</f>
        <v/>
      </c>
      <c r="B891">
        <f>Skills!B17</f>
        <v/>
      </c>
      <c r="C891">
        <f>Inputs!$B$3&gt;=49</f>
        <v/>
      </c>
      <c r="D891">
        <f>IF(Skills!C17=1,60+Inputs!$B$26+Inputs!$B$30,IF(Skills!C17=2,90+Inputs!$B$27+Inputs!$B$30,IF(Skills!C17=3,120+Inputs!$B$28+Inputs!$B$30,MAX(0,(Inputs!$B$3-100)*3)+(Inputs!$B$29+1)+Inputs!$B$30)))</f>
        <v/>
      </c>
      <c r="E891">
        <f>INDEX(FactorTable!$B$2:$Y$301, MATCH(ROUND(MIN(300,MAX(1,D891)),0), FactorTable!$A$2:$A$301,0), Skills!L17+1)</f>
        <v/>
      </c>
      <c r="F891">
        <f>IF(Skills!M17=TRUE,(Skills!K17/10)*(E891/1000),Skills!K17/10)+Skills!N17</f>
        <v/>
      </c>
      <c r="G891">
        <f>Calc!G17</f>
        <v/>
      </c>
      <c r="H891">
        <f>Calc!H17</f>
        <v/>
      </c>
      <c r="I891">
        <f>IF(Skills!T17&lt;&gt;"",1+(Skills!T17/10)*($Z$3/1000)/100,1)</f>
        <v/>
      </c>
      <c r="J891" t="inlineStr"/>
      <c r="K891" t="inlineStr"/>
      <c r="L891" t="inlineStr"/>
      <c r="M891" t="inlineStr"/>
      <c r="N891" t="inlineStr"/>
      <c r="O891" t="n">
        <v>0</v>
      </c>
      <c r="P891">
        <f>IF(B914=0,0,O891/B914)</f>
        <v/>
      </c>
      <c r="Q891">
        <f>IFERROR(1/IF(Inputs!$B$39="pvp",15,MAX(0.1,Skills!D17-IF(Skills!E17=TRUE,Inputs!$B$33,0))),0)</f>
        <v/>
      </c>
      <c r="R891" t="n">
        <v>0</v>
      </c>
    </row>
    <row r="892">
      <c r="A892">
        <f>Skills!A18</f>
        <v/>
      </c>
      <c r="B892">
        <f>Skills!B18</f>
        <v/>
      </c>
      <c r="C892">
        <f>Inputs!$B$3&gt;=75</f>
        <v/>
      </c>
      <c r="D892">
        <f>IF(Skills!C18=1,60+Inputs!$B$26+Inputs!$B$30,IF(Skills!C18=2,90+Inputs!$B$27+Inputs!$B$30,IF(Skills!C18=3,120+Inputs!$B$28+Inputs!$B$30,MAX(0,(Inputs!$B$3-100)*3)+(Inputs!$B$29+1)+Inputs!$B$30)))</f>
        <v/>
      </c>
      <c r="E892">
        <f>INDEX(FactorTable!$B$2:$Y$301, MATCH(ROUND(MIN(300,MAX(1,D892)),0), FactorTable!$A$2:$A$301,0), Skills!L18+1)</f>
        <v/>
      </c>
      <c r="F892">
        <f>IF(Skills!M18=TRUE,(Skills!K18/10)*(E892/1000),Skills!K18/10)+Skills!N18</f>
        <v/>
      </c>
      <c r="G892">
        <f>Calc!G18</f>
        <v/>
      </c>
      <c r="H892">
        <f>Calc!H18</f>
        <v/>
      </c>
      <c r="I892">
        <f>IF(Skills!T18&lt;&gt;"",1+(Skills!T18/10)*($Z$3/1000)/100,1)</f>
        <v/>
      </c>
      <c r="J892" t="inlineStr"/>
      <c r="K892" t="inlineStr"/>
      <c r="L892" t="inlineStr"/>
      <c r="M892" t="inlineStr"/>
      <c r="N892" t="inlineStr"/>
      <c r="O892" t="n">
        <v>0</v>
      </c>
      <c r="P892">
        <f>IF(B914=0,0,O892/B914)</f>
        <v/>
      </c>
      <c r="Q892">
        <f>IFERROR(1/IF(Inputs!$B$39="pvp",15,MAX(0.1,Skills!D18-IF(Skills!E18=TRUE,Inputs!$B$33,0))),0)</f>
        <v/>
      </c>
      <c r="R892" t="n">
        <v>0</v>
      </c>
    </row>
    <row r="893">
      <c r="A893">
        <f>Skills!A19</f>
        <v/>
      </c>
      <c r="B893">
        <f>Skills!B19</f>
        <v/>
      </c>
      <c r="C893">
        <f>Inputs!$B$3&gt;=110</f>
        <v/>
      </c>
      <c r="D893">
        <f>IF(Skills!C19=1,60+Inputs!$B$26+Inputs!$B$30,IF(Skills!C19=2,90+Inputs!$B$27+Inputs!$B$30,IF(Skills!C19=3,120+Inputs!$B$28+Inputs!$B$30,MAX(0,(Inputs!$B$3-100)*3)+(Inputs!$B$29+1)+Inputs!$B$30)))</f>
        <v/>
      </c>
      <c r="E893">
        <f>INDEX(FactorTable!$B$2:$Y$301, MATCH(ROUND(MIN(300,MAX(1,D893)),0), FactorTable!$A$2:$A$301,0), Skills!L19+1)</f>
        <v/>
      </c>
      <c r="F893">
        <f>(Skills!K19/10)*(E893/1000)*64/45+Skills!N19</f>
        <v/>
      </c>
      <c r="G893">
        <f>Calc!G19</f>
        <v/>
      </c>
      <c r="H893">
        <f>Calc!H19</f>
        <v/>
      </c>
      <c r="I893">
        <f>IF(Skills!T19&lt;&gt;"",1+(Skills!T19/10)*($Z$3/1000)/100,1)</f>
        <v/>
      </c>
      <c r="J893" t="inlineStr"/>
      <c r="K893" t="inlineStr"/>
      <c r="L893" t="inlineStr"/>
      <c r="M893" t="inlineStr"/>
      <c r="N893" t="inlineStr"/>
      <c r="O893" t="n">
        <v>0</v>
      </c>
      <c r="P893">
        <f>IF(B914=0,0,O893/B914)</f>
        <v/>
      </c>
      <c r="Q893">
        <f>IFERROR(1/IF(Inputs!$B$39="pvp",15,MAX(0.1,Skills!D19-IF(Skills!E19=TRUE,Inputs!$B$33,0))),0)</f>
        <v/>
      </c>
      <c r="R893">
        <f>IF(AND(Inputs!$B$39&lt;&gt;"pvp",Inputs!$B$44&gt;0),IF(Inputs!$B$44&lt;=0,0,(INT(Inputs!$B$44/IF(Inputs!$B$39="pvp",15,MAX(0.1,Skills!D19-IF(Skills!E19=TRUE,Inputs!$B$33,0))))+1)),0)</f>
        <v/>
      </c>
    </row>
    <row r="894">
      <c r="A894">
        <f>Skills!A20</f>
        <v/>
      </c>
      <c r="B894">
        <f>Skills!B20</f>
        <v/>
      </c>
      <c r="C894">
        <f>Inputs!$B$3&gt;=125</f>
        <v/>
      </c>
      <c r="D894">
        <f>IF(Skills!C20=1,60+Inputs!$B$26+Inputs!$B$30,IF(Skills!C20=2,90+Inputs!$B$27+Inputs!$B$30,IF(Skills!C20=3,120+Inputs!$B$28+Inputs!$B$30,MAX(0,(Inputs!$B$3-100)*3)+(Inputs!$B$29+1)+Inputs!$B$30)))</f>
        <v/>
      </c>
      <c r="E894">
        <f>INDEX(FactorTable!$B$2:$Y$301, MATCH(ROUND(MIN(300,MAX(1,D894)),0), FactorTable!$A$2:$A$301,0), Skills!L20+1)</f>
        <v/>
      </c>
      <c r="F894">
        <f>IF(Skills!M20=TRUE,(Skills!K20/10)*(E894/1000),Skills!K20/10)+Skills!N20</f>
        <v/>
      </c>
      <c r="G894">
        <f>Calc!G20</f>
        <v/>
      </c>
      <c r="H894">
        <f>Calc!H20</f>
        <v/>
      </c>
      <c r="I894">
        <f>IF(Skills!T20&lt;&gt;"",1+(Skills!T20/10)*($Z$3/1000)/100,1)</f>
        <v/>
      </c>
      <c r="J894" t="inlineStr"/>
      <c r="K894" t="inlineStr"/>
      <c r="L894" t="inlineStr"/>
      <c r="M894" t="inlineStr"/>
      <c r="N894" t="inlineStr"/>
      <c r="O894" t="n">
        <v>0</v>
      </c>
      <c r="P894">
        <f>IF(B914=0,0,O894/B914)</f>
        <v/>
      </c>
      <c r="Q894">
        <f>IFERROR(1/IF(Inputs!$B$39="pvp",15,MAX(0.1,Skills!D20-IF(Skills!E20=TRUE,Inputs!$B$33,0))),0)</f>
        <v/>
      </c>
      <c r="R894" t="n">
        <v>0</v>
      </c>
    </row>
    <row r="895">
      <c r="A895">
        <f>Skills!A21</f>
        <v/>
      </c>
      <c r="B895">
        <f>Skills!B21</f>
        <v/>
      </c>
      <c r="C895">
        <f>Inputs!$B$3&gt;=33</f>
        <v/>
      </c>
      <c r="D895">
        <f>IF(Skills!C21=1,60+Inputs!$B$26+Inputs!$B$30,IF(Skills!C21=2,90+Inputs!$B$27+Inputs!$B$30,IF(Skills!C21=3,120+Inputs!$B$28+Inputs!$B$30,MAX(0,(Inputs!$B$3-100)*3)+(Inputs!$B$29+1)+Inputs!$B$30)))</f>
        <v/>
      </c>
      <c r="E895">
        <f>INDEX(FactorTable!$B$2:$Y$301, MATCH(ROUND(MIN(300,MAX(1,D895)),0), FactorTable!$A$2:$A$301,0), Skills!L21+1)</f>
        <v/>
      </c>
      <c r="F895">
        <f>IF(Skills!M21=TRUE,(Skills!K21/10)*(E895/1000),Skills!K21/10)+Skills!N21</f>
        <v/>
      </c>
      <c r="G895">
        <f>Calc!G21</f>
        <v/>
      </c>
      <c r="H895">
        <f>Calc!H21</f>
        <v/>
      </c>
      <c r="I895">
        <f>IF(Skills!T21&lt;&gt;"",1+(Skills!T21/10)*($Z$3/1000)/100,1)</f>
        <v/>
      </c>
      <c r="J895" t="inlineStr"/>
      <c r="K895" t="inlineStr"/>
      <c r="L895" t="inlineStr"/>
      <c r="M895" t="inlineStr"/>
      <c r="N895" t="inlineStr"/>
      <c r="O895" t="n">
        <v>0</v>
      </c>
      <c r="P895">
        <f>IF(B914=0,0,O895/B914)</f>
        <v/>
      </c>
      <c r="Q895">
        <f>IFERROR(1/IF(Inputs!$B$39="pvp",15,MAX(0.1,Skills!D21-IF(Skills!E21=TRUE,Inputs!$B$33,0))),0)</f>
        <v/>
      </c>
      <c r="R895" t="n">
        <v>0</v>
      </c>
    </row>
    <row r="896">
      <c r="A896">
        <f>Skills!A22</f>
        <v/>
      </c>
      <c r="B896">
        <f>Skills!B22</f>
        <v/>
      </c>
      <c r="C896">
        <f>Inputs!$B$3&gt;=43</f>
        <v/>
      </c>
      <c r="D896">
        <f>IF(Skills!C22=1,60+Inputs!$B$26+Inputs!$B$30,IF(Skills!C22=2,90+Inputs!$B$27+Inputs!$B$30,IF(Skills!C22=3,120+Inputs!$B$28+Inputs!$B$30,MAX(0,(Inputs!$B$3-100)*3)+(Inputs!$B$29+1)+Inputs!$B$30)))</f>
        <v/>
      </c>
      <c r="E896">
        <f>INDEX(FactorTable!$B$2:$Y$301, MATCH(ROUND(MIN(300,MAX(1,D896)),0), FactorTable!$A$2:$A$301,0), Skills!L22+1)</f>
        <v/>
      </c>
      <c r="F896">
        <f>IF(Skills!M22=TRUE,(Skills!K22/10)*(E896/1000),Skills!K22/10)+Skills!N22</f>
        <v/>
      </c>
      <c r="G896">
        <f>Calc!G22</f>
        <v/>
      </c>
      <c r="H896">
        <f>Calc!H22</f>
        <v/>
      </c>
      <c r="I896">
        <f>IF(Skills!T22&lt;&gt;"",1+(Skills!T22/10)*($Z$3/1000)/100,1)</f>
        <v/>
      </c>
      <c r="J896" t="inlineStr"/>
      <c r="K896" t="inlineStr"/>
      <c r="L896" t="inlineStr"/>
      <c r="M896" t="inlineStr"/>
      <c r="N896" t="inlineStr"/>
      <c r="O896" t="n">
        <v>0</v>
      </c>
      <c r="P896">
        <f>IF(B914=0,0,O896/B914)</f>
        <v/>
      </c>
      <c r="Q896">
        <f>IFERROR(1/IF(Inputs!$B$39="pvp",15,MAX(0.1,Skills!D22-IF(Skills!E22=TRUE,Inputs!$B$33,0))),0)</f>
        <v/>
      </c>
      <c r="R896" t="n">
        <v>0</v>
      </c>
    </row>
    <row r="897">
      <c r="A897">
        <f>Skills!A23</f>
        <v/>
      </c>
      <c r="B897">
        <f>Skills!B23</f>
        <v/>
      </c>
      <c r="C897">
        <f>Inputs!$B$3&gt;=50</f>
        <v/>
      </c>
      <c r="D897">
        <f>IF(Skills!C23=1,60+Inputs!$B$26+Inputs!$B$30,IF(Skills!C23=2,90+Inputs!$B$27+Inputs!$B$30,IF(Skills!C23=3,120+Inputs!$B$28+Inputs!$B$30,MAX(0,(Inputs!$B$3-100)*3)+(Inputs!$B$29+1)+Inputs!$B$30)))</f>
        <v/>
      </c>
      <c r="E897">
        <f>INDEX(FactorTable!$B$2:$Y$301, MATCH(ROUND(MIN(300,MAX(1,D897)),0), FactorTable!$A$2:$A$301,0), Skills!L23+1)</f>
        <v/>
      </c>
      <c r="F897">
        <f>IF(Skills!M23=TRUE,(Skills!K23/10)*(E897/1000),Skills!K23/10)+Skills!N23</f>
        <v/>
      </c>
      <c r="G897">
        <f>Calc!G23</f>
        <v/>
      </c>
      <c r="H897">
        <f>Calc!H23</f>
        <v/>
      </c>
      <c r="I897">
        <f>IF(Skills!T23&lt;&gt;"",1+(Skills!T23/10)*($Z$3/1000)/100,1)</f>
        <v/>
      </c>
      <c r="J897" t="inlineStr"/>
      <c r="K897" t="inlineStr"/>
      <c r="L897" t="inlineStr"/>
      <c r="M897" t="inlineStr"/>
      <c r="N897" t="inlineStr"/>
      <c r="O897" t="n">
        <v>0</v>
      </c>
      <c r="P897">
        <f>IF(B914=0,0,O897/B914)</f>
        <v/>
      </c>
      <c r="Q897">
        <f>IFERROR(1/IF(Inputs!$B$39="pvp",15,MAX(0.1,Skills!D23-IF(Skills!E23=TRUE,Inputs!$B$33,0))),0)</f>
        <v/>
      </c>
      <c r="R897" t="n">
        <v>0</v>
      </c>
    </row>
    <row r="898">
      <c r="A898">
        <f>Skills!A24</f>
        <v/>
      </c>
      <c r="B898">
        <f>Skills!B24</f>
        <v/>
      </c>
      <c r="C898">
        <f>Inputs!$B$3&gt;=74</f>
        <v/>
      </c>
      <c r="D898">
        <f>IF(Skills!C24=1,60+Inputs!$B$26+Inputs!$B$30,IF(Skills!C24=2,90+Inputs!$B$27+Inputs!$B$30,IF(Skills!C24=3,120+Inputs!$B$28+Inputs!$B$30,MAX(0,(Inputs!$B$3-100)*3)+(Inputs!$B$29+1)+Inputs!$B$30)))</f>
        <v/>
      </c>
      <c r="E898">
        <f>INDEX(FactorTable!$B$2:$Y$301, MATCH(ROUND(MIN(300,MAX(1,D898)),0), FactorTable!$A$2:$A$301,0), Skills!L24+1)</f>
        <v/>
      </c>
      <c r="F898">
        <f>IF(Skills!M24=TRUE,(Skills!K24/10)*(E898/1000),Skills!K24/10)+Skills!N24</f>
        <v/>
      </c>
      <c r="G898">
        <f>Calc!G24</f>
        <v/>
      </c>
      <c r="H898">
        <f>Calc!H24</f>
        <v/>
      </c>
      <c r="I898">
        <f>IF(Skills!T24&lt;&gt;"",1+(Skills!T24/10)*($Z$3/1000)/100,1)</f>
        <v/>
      </c>
      <c r="J898" t="inlineStr"/>
      <c r="K898" t="inlineStr"/>
      <c r="L898" t="inlineStr"/>
      <c r="M898" t="inlineStr"/>
      <c r="N898" t="inlineStr"/>
      <c r="O898" t="n">
        <v>0</v>
      </c>
      <c r="P898">
        <f>IF(B914=0,0,O898/B914)</f>
        <v/>
      </c>
      <c r="Q898">
        <f>IFERROR(1/IF(Inputs!$B$39="pvp",15,MAX(0.1,Skills!D24-IF(Skills!E24=TRUE,Inputs!$B$33,0))),0)</f>
        <v/>
      </c>
      <c r="R898" t="n">
        <v>0</v>
      </c>
    </row>
    <row r="899">
      <c r="A899">
        <f>Skills!A25</f>
        <v/>
      </c>
      <c r="B899">
        <f>Skills!B25</f>
        <v/>
      </c>
      <c r="C899">
        <f>Inputs!$B$3&gt;=74</f>
        <v/>
      </c>
      <c r="D899">
        <f>IF(Skills!C25=1,60+Inputs!$B$26+Inputs!$B$30,IF(Skills!C25=2,90+Inputs!$B$27+Inputs!$B$30,IF(Skills!C25=3,120+Inputs!$B$28+Inputs!$B$30,MAX(0,(Inputs!$B$3-100)*3)+(Inputs!$B$29+1)+Inputs!$B$30)))</f>
        <v/>
      </c>
      <c r="E899">
        <f>INDEX(FactorTable!$B$2:$Y$301, MATCH(ROUND(MIN(300,MAX(1,D899)),0), FactorTable!$A$2:$A$301,0), Skills!L25+1)</f>
        <v/>
      </c>
      <c r="F899">
        <f>IF(Skills!M25=TRUE,(Skills!K25/10)*(E899/1000),Skills!K25/10)+Skills!N25</f>
        <v/>
      </c>
      <c r="G899">
        <f>Calc!G25</f>
        <v/>
      </c>
      <c r="H899">
        <f>Calc!H25</f>
        <v/>
      </c>
      <c r="I899">
        <f>IF(Skills!T25&lt;&gt;"",1+(Skills!T25/10)*($Z$3/1000)/100,1)</f>
        <v/>
      </c>
      <c r="J899" t="inlineStr"/>
      <c r="K899" t="inlineStr"/>
      <c r="L899" t="inlineStr"/>
      <c r="M899" t="inlineStr"/>
      <c r="N899" t="inlineStr"/>
      <c r="O899" t="n">
        <v>0</v>
      </c>
      <c r="P899">
        <f>IF(B914=0,0,O899/B914)</f>
        <v/>
      </c>
      <c r="Q899">
        <f>IFERROR(1/IF(Inputs!$B$39="pvp",15,MAX(0.1,Skills!D25-IF(Skills!E25=TRUE,Inputs!$B$33,0))),0)</f>
        <v/>
      </c>
      <c r="R899" t="n">
        <v>0</v>
      </c>
    </row>
    <row r="900">
      <c r="A900">
        <f>Skills!A26</f>
        <v/>
      </c>
      <c r="B900">
        <f>Skills!B26</f>
        <v/>
      </c>
      <c r="C900">
        <f>Inputs!$B$3&gt;=117</f>
        <v/>
      </c>
      <c r="D900">
        <f>IF(Skills!C26=1,60+Inputs!$B$26+Inputs!$B$30,IF(Skills!C26=2,90+Inputs!$B$27+Inputs!$B$30,IF(Skills!C26=3,120+Inputs!$B$28+Inputs!$B$30,MAX(0,(Inputs!$B$3-100)*3)+(Inputs!$B$29+1)+Inputs!$B$30)))</f>
        <v/>
      </c>
      <c r="E900">
        <f>INDEX(FactorTable!$B$2:$Y$301, MATCH(ROUND(MIN(300,MAX(1,D900)),0), FactorTable!$A$2:$A$301,0), Skills!L26+1)</f>
        <v/>
      </c>
      <c r="F900">
        <f>IF(Skills!M26=TRUE,(Skills!K26/10)*(E900/1000),Skills!K26/10)+Skills!N26</f>
        <v/>
      </c>
      <c r="G900">
        <f>Calc!G26</f>
        <v/>
      </c>
      <c r="H900">
        <f>Calc!H26</f>
        <v/>
      </c>
      <c r="I900">
        <f>IF(Skills!T26&lt;&gt;"",1+(Skills!T26/10)*($Z$3/1000)/100,1)</f>
        <v/>
      </c>
      <c r="J900" t="inlineStr"/>
      <c r="K900" t="inlineStr"/>
      <c r="L900" t="inlineStr"/>
      <c r="M900" t="inlineStr"/>
      <c r="N900" t="inlineStr"/>
      <c r="O900" t="n">
        <v>0</v>
      </c>
      <c r="P900">
        <f>IF(B914=0,0,O900/B914)</f>
        <v/>
      </c>
      <c r="Q900">
        <f>IFERROR(1/IF(Inputs!$B$39="pvp",15,MAX(0.1,Skills!D26-IF(Skills!E26=TRUE,Inputs!$B$33,0))),0)</f>
        <v/>
      </c>
      <c r="R900" t="n">
        <v>0</v>
      </c>
    </row>
    <row r="901">
      <c r="A901">
        <f>Skills!A27</f>
        <v/>
      </c>
      <c r="B901">
        <f>Skills!B27</f>
        <v/>
      </c>
      <c r="C901">
        <f>Inputs!$B$3&gt;=120</f>
        <v/>
      </c>
      <c r="D901">
        <f>IF(Skills!C27=1,60+Inputs!$B$26+Inputs!$B$30,IF(Skills!C27=2,90+Inputs!$B$27+Inputs!$B$30,IF(Skills!C27=3,120+Inputs!$B$28+Inputs!$B$30,MAX(0,(Inputs!$B$3-100)*3)+(Inputs!$B$29+1)+Inputs!$B$30)))</f>
        <v/>
      </c>
      <c r="E901">
        <f>INDEX(FactorTable!$B$2:$Y$301, MATCH(ROUND(MIN(300,MAX(1,D901)),0), FactorTable!$A$2:$A$301,0), Skills!L27+1)</f>
        <v/>
      </c>
      <c r="F901">
        <f>IF(Skills!M27=TRUE,(Skills!K27/10)*(E901/1000),Skills!K27/10)+Skills!N27</f>
        <v/>
      </c>
      <c r="G901">
        <f>Calc!G27</f>
        <v/>
      </c>
      <c r="H901">
        <f>Calc!H27</f>
        <v/>
      </c>
      <c r="I901">
        <f>IF(Skills!T27&lt;&gt;"",1+(Skills!T27/10)*($Z$3/1000)/100,1)</f>
        <v/>
      </c>
      <c r="J901" t="inlineStr"/>
      <c r="K901" t="inlineStr"/>
      <c r="L901" t="inlineStr"/>
      <c r="M901" t="inlineStr"/>
      <c r="N901" t="inlineStr"/>
      <c r="O901" t="n">
        <v>0</v>
      </c>
      <c r="P901">
        <f>IF(B914=0,0,O901/B914)</f>
        <v/>
      </c>
      <c r="Q901">
        <f>IFERROR(1/IF(Inputs!$B$39="pvp",15,MAX(0.1,Skills!D27-IF(Skills!E27=TRUE,Inputs!$B$33,0))),0)</f>
        <v/>
      </c>
      <c r="R901" t="n">
        <v>0</v>
      </c>
    </row>
    <row r="903">
      <c r="A903" t="inlineStr">
        <is>
          <t>Average Buff Multiplier</t>
        </is>
      </c>
      <c r="B903">
        <f>(1+(IF(C877=TRUE,F877*IF(AND(Inputs!$B$39&lt;&gt;"pvp",Inputs!$B$44&gt;0),(((R877-1)*(Skills!S3*(1+(Inputs!$B$35+IF(Inputs!$B$3&gt;=117,F900,0))/100))+MIN((Skills!S3*(1+(Inputs!$B$35+IF(Inputs!$B$3&gt;=117,F900,0))/100)),MAX(0,Inputs!$B$44-((R877-1)*Skills!D3))))/Inputs!$B$44),IF(Inputs!$B$39="pvp",MIN((Skills!S3*(1+(Inputs!$B$35+IF(Inputs!$B$3&gt;=117,F900,0))/100)),15)/15,(Skills!S3*(1+(Inputs!$B$35+IF(Inputs!$B$3&gt;=117,F900,0))/100))/Skills!D3)),0)+IF(C878=TRUE,F878*IF(AND(Inputs!$B$39&lt;&gt;"pvp",Inputs!$B$44&gt;0),(((R878-1)*(Skills!S4*(1+(Inputs!$B$35+IF(Inputs!$B$3&gt;=117,F900,0))/100))+MIN((Skills!S4*(1+(Inputs!$B$35+IF(Inputs!$B$3&gt;=117,F900,0))/100)),MAX(0,Inputs!$B$44-((R878-1)*Skills!D4))))/Inputs!$B$44),IF(Inputs!$B$39="pvp",MIN((Skills!S4*(1+(Inputs!$B$35+IF(Inputs!$B$3&gt;=117,F900,0))/100)),15)/15,(Skills!S4*(1+(Inputs!$B$35+IF(Inputs!$B$3&gt;=117,F900,0))/100))/Skills!D4)),0)+IF(C879=TRUE,F879*IF(AND(Inputs!$B$39&lt;&gt;"pvp",Inputs!$B$44&gt;0),(((R879-1)*(Skills!S5*(1+(Inputs!$B$35+IF(Inputs!$B$3&gt;=117,F900,0))/100))+MIN((Skills!S5*(1+(Inputs!$B$35+IF(Inputs!$B$3&gt;=117,F900,0))/100)),MAX(0,Inputs!$B$44-((R879-1)*Skills!D5))))/Inputs!$B$44),IF(Inputs!$B$39="pvp",MIN((Skills!S5*(1+(Inputs!$B$35+IF(Inputs!$B$3&gt;=117,F900,0))/100)),15)/15,(Skills!S5*(1+(Inputs!$B$35+IF(Inputs!$B$3&gt;=117,F900,0))/100))/Skills!D5)),0)+IF(C885=TRUE,F885*IF(AND(Inputs!$B$39&lt;&gt;"pvp",Inputs!$B$44&gt;0),(((R885-1)*(Skills!S11*(1+(Inputs!$B$35+IF(Inputs!$B$3&gt;=117,F900,0))/100))+MIN((Skills!S11*(1+(Inputs!$B$35+IF(Inputs!$B$3&gt;=117,F900,0))/100)),MAX(0,Inputs!$B$44-((R885-1)*Skills!D11))))/Inputs!$B$44),IF(Inputs!$B$39="pvp",MIN((Skills!S11*(1+(Inputs!$B$35+IF(Inputs!$B$3&gt;=117,F900,0))/100)),15)/15,(Skills!S11*(1+(Inputs!$B$35+IF(Inputs!$B$3&gt;=117,F900,0))/100))/Skills!D11)),0))/100)*IF(C888=TRUE,(1+F888*IF(AND(Inputs!$B$39&lt;&gt;"pvp",Inputs!$B$44&gt;0),(((R888-1)*(Skills!S14*(1+(Inputs!$B$35+IF(Inputs!$B$3&gt;=117,F900,0))/100))+MIN((Skills!S14*(1+(Inputs!$B$35+IF(Inputs!$B$3&gt;=117,F900,0))/100)),MAX(0,Inputs!$B$44-((R888-1)*Skills!D14))))/Inputs!$B$44),IF(Inputs!$B$39="pvp",MIN((Skills!S14*(1+(Inputs!$B$35+IF(Inputs!$B$3&gt;=117,F900,0))/100)),15)/15,(Skills!S14*(1+(Inputs!$B$35+IF(Inputs!$B$3&gt;=117,F900,0))/100))/Skills!D14))/100),1)*IF(C893=TRUE,(1+F893*IF(AND(Inputs!$B$39&lt;&gt;"pvp",Inputs!$B$44&gt;0),(((R893-1)*(Skills!S19*(1+(Inputs!$B$35+IF(Inputs!$B$3&gt;=117,F900,0))/100))+MIN((Skills!S19*(1+(Inputs!$B$35+IF(Inputs!$B$3&gt;=117,F900,0))/100)),MAX(0,Inputs!$B$44-((R893-1)*Skills!D19))))/Inputs!$B$44),IF(Inputs!$B$39="pvp",MIN((Skills!S19*(1+(Inputs!$B$35+IF(Inputs!$B$3&gt;=117,F900,0))/100)),15)/15,(Skills!S19*(1+(Inputs!$B$35+IF(Inputs!$B$3&gt;=117,F900,0))/100))/Skills!D19))/100),1)</f>
        <v/>
      </c>
    </row>
    <row r="904">
      <c r="A904" t="inlineStr">
        <is>
          <t>Monster Damage Taken Bonus % (Holy Fountain)</t>
        </is>
      </c>
      <c r="B904">
        <f>IF(Inputs!$B$3&gt;=68,20*IF(Inputs!$B$39="pvp",MIN((15*(1+(Inputs!$B$35+IF(Inputs!$B$3&gt;=117,F900,0))/100)),15)/15,(15*(1+(Inputs!$B$35+IF(Inputs!$B$3&gt;=117,F900,0))/100))/Skills!D10),0)</f>
        <v/>
      </c>
    </row>
    <row r="905">
      <c r="A905" t="inlineStr">
        <is>
          <t>Normal Monster Damage Bonus % (Holy Symbol)</t>
        </is>
      </c>
      <c r="B905">
        <f>IF(C886=TRUE,F886*IF(AND(Inputs!$B$39&lt;&gt;"pvp",Inputs!$B$44&gt;0),(((R886-1)*(Skills!S12*(1+(Inputs!$B$35+IF(Inputs!$B$3&gt;=117,F900,0))/100))+MIN((Skills!S12*(1+(Inputs!$B$35+IF(Inputs!$B$3&gt;=117,F900,0))/100)),MAX(0,Inputs!$B$44-((R886-1)*Skills!D12))))/Inputs!$B$44),IF(Inputs!$B$39="pvp",MIN((Skills!S12*(1+(Inputs!$B$35+IF(Inputs!$B$3&gt;=117,F900,0))/100)),15)/15,(Skills!S12*(1+(Inputs!$B$35+IF(Inputs!$B$3&gt;=117,F900,0))/100))/Skills!D12)),0)</f>
        <v/>
      </c>
    </row>
    <row r="906">
      <c r="A906" t="inlineStr">
        <is>
          <t>Damage % Bonus (Holy Symbol - Damage Boost)</t>
        </is>
      </c>
      <c r="B906">
        <f>Skills!O12</f>
        <v/>
      </c>
    </row>
    <row r="907">
      <c r="A907" t="inlineStr">
        <is>
          <t>Crit Damage % Bonus (Blood of the Divine)</t>
        </is>
      </c>
      <c r="B907">
        <f>4*IF(C894=TRUE,F894,0)</f>
        <v/>
      </c>
    </row>
    <row r="908">
      <c r="A908" t="inlineStr">
        <is>
          <t>Attack Speed Bonus %</t>
        </is>
      </c>
      <c r="B908">
        <f>IF(C891=TRUE,F891+(F895-Calc!F21),0)+IF(Inputs!$B$3&gt;=134,15,0)</f>
        <v/>
      </c>
    </row>
    <row r="909">
      <c r="A909" t="inlineStr">
        <is>
          <t>Actions Per Second</t>
        </is>
      </c>
      <c r="B909">
        <f>1+MIN(150,150*(1-(1-Inputs!$B$12/150)*(1-B908/150)))/100</f>
        <v/>
      </c>
    </row>
    <row r="910">
      <c r="A910" t="inlineStr">
        <is>
          <t>Skill + Buff Cast Rate</t>
        </is>
      </c>
      <c r="B910">
        <f>IF(AND(Inputs!$B$39&lt;&gt;"pvp",Inputs!$B$44&gt;0),SUMPRODUCT((Skills!E2:E27=TRUE)*(C876:C901=TRUE)*R876:R901)/Inputs!$B$44,SUMPRODUCT((Skills!E2:E27=TRUE)*(C876:C901=TRUE)*Q876:Q901))</f>
        <v/>
      </c>
    </row>
    <row r="911">
      <c r="A911" t="inlineStr">
        <is>
          <t>Big Bang Casts Per Second</t>
        </is>
      </c>
      <c r="B911">
        <f>MAX(0,B909-B910)</f>
        <v/>
      </c>
    </row>
    <row r="912">
      <c r="A912" t="inlineStr">
        <is>
          <t>Defense % Bonus (Divine Protection)</t>
        </is>
      </c>
      <c r="B912">
        <f>IF(C887=TRUE,F887*IF(AND(Inputs!$B$39&lt;&gt;"pvp",Inputs!$B$44&gt;0),(((R887-1)*(Skills!S13*(1+(Inputs!$B$35+IF(Inputs!$B$3&gt;=117,F900,0))/100))+MIN((Skills!S13*(1+(Inputs!$B$35+IF(Inputs!$B$3&gt;=117,F900,0))/100)),MAX(0,Inputs!$B$44-((R887-1)*Skills!D13))))/Inputs!$B$44),IF(Inputs!$B$39="pvp",MIN((Skills!S13*(1+(Inputs!$B$35+IF(Inputs!$B$3&gt;=117,F900,0))/100)),15)/15,(Skills!S13*(1+(Inputs!$B$35+IF(Inputs!$B$3&gt;=117,F900,0))/100))/Skills!D13)),0)</f>
        <v/>
      </c>
    </row>
    <row r="913">
      <c r="A913" t="inlineStr">
        <is>
          <t>Buff-Casting Startup Delay (s, fixed-duration only)</t>
        </is>
      </c>
      <c r="B913">
        <f>IF(AND(Inputs!$B$39&lt;&gt;"pvp",Inputs!$B$44&gt;0),SUMPRODUCT((Skills!S2:S27&gt;0)*(Skills!E2:E27=TRUE)*(C876:C901=TRUE))/B909,0)</f>
        <v/>
      </c>
    </row>
    <row r="914">
      <c r="A914" s="5" t="inlineStr">
        <is>
          <t>TOTAL DPS</t>
        </is>
      </c>
      <c r="B914" s="5">
        <f>SUM(O876:O901)</f>
        <v/>
      </c>
    </row>
    <row r="916">
      <c r="A916" s="5" t="inlineStr">
        <is>
          <t>Stat: Skill Level Bonus — All Skills</t>
        </is>
      </c>
    </row>
    <row r="917">
      <c r="A917" s="9" t="inlineStr">
        <is>
          <t>Key</t>
        </is>
      </c>
      <c r="B917" s="9" t="inlineStr">
        <is>
          <t>Name</t>
        </is>
      </c>
      <c r="C917" s="9" t="inlineStr">
        <is>
          <t>Unlocked</t>
        </is>
      </c>
      <c r="D917" s="9" t="inlineStr">
        <is>
          <t>InputLevel</t>
        </is>
      </c>
      <c r="E917" s="9" t="inlineStr">
        <is>
          <t>Factor</t>
        </is>
      </c>
      <c r="F917" s="9" t="inlineStr">
        <is>
          <t>CoefficientPercent</t>
        </is>
      </c>
      <c r="G917" s="9" t="inlineStr">
        <is>
          <t>EffectiveHits</t>
        </is>
      </c>
      <c r="H917" s="9" t="inlineStr">
        <is>
          <t>ProcProbability</t>
        </is>
      </c>
      <c r="I917" s="9" t="inlineStr">
        <is>
          <t>MapleHeroMultiplier</t>
        </is>
      </c>
      <c r="J917" s="9" t="inlineStr">
        <is>
          <t>BaseDamage</t>
        </is>
      </c>
      <c r="K917" s="9" t="inlineStr">
        <is>
          <t>BaseHitDamage</t>
        </is>
      </c>
      <c r="L917" s="9" t="inlineStr">
        <is>
          <t>NonCritAvg</t>
        </is>
      </c>
      <c r="M917" s="9" t="inlineStr">
        <is>
          <t>CritAvg</t>
        </is>
      </c>
      <c r="N917" s="9" t="inlineStr">
        <is>
          <t>ExpectedDamage(perHit)</t>
        </is>
      </c>
      <c r="O917" s="9" t="inlineStr">
        <is>
          <t>DPS</t>
        </is>
      </c>
      <c r="P917" s="9" t="inlineStr">
        <is>
          <t>% of Total</t>
        </is>
      </c>
      <c r="R917" t="inlineStr">
        <is>
          <t>helpers</t>
        </is>
      </c>
    </row>
    <row r="918">
      <c r="A918">
        <f>Skills!A2</f>
        <v/>
      </c>
      <c r="B918">
        <f>Skills!B2</f>
        <v/>
      </c>
      <c r="C918">
        <f>Inputs!$B$3&gt;=100</f>
        <v/>
      </c>
      <c r="D918" t="inlineStr"/>
      <c r="E918" t="inlineStr"/>
      <c r="F918">
        <f>T920+Skills!N2</f>
        <v/>
      </c>
      <c r="G918">
        <f>Calc!G2</f>
        <v/>
      </c>
      <c r="H918">
        <f>Calc!H2</f>
        <v/>
      </c>
      <c r="I918">
        <f>IF(Skills!T2&lt;&gt;"",1+(Skills!T2/10)*($Z$3/1000)/100,1)</f>
        <v/>
      </c>
      <c r="J918">
        <f>((Inputs!$B$6*(1+Inputs!$B$7/100))+(((Inputs!$B$13*(1+Inputs!$B$14/100))-(Inputs!$B$13*(1+Inputs!$B$14/100)))+0.25*(Inputs!$B$15-Inputs!$B$15))*(1+Inputs!$B$7/100))*(F918/100)</f>
        <v/>
      </c>
      <c r="K918">
        <f>J918*(1+(((Inputs!$B$13+IF(Inputs!$B$3&gt;=35,(10*INDEX(FactorTable!$B$2:$Y$301, MATCH(ROUND(MIN(300,MAX(1,Inputs!$B$3)),0), FactorTable!$A$2:$A$301,0), 23)/1000)/100*(Inputs!$B$8*(1+(Inputs!$B$9+B954)/100)),0))*(1+Inputs!$B$14/100))*0.01+Inputs!$B$15*0.0025)/100)*(1+(Inputs!$B$16+B948)/100)*(1+IF(Inputs!$B$39="pvp",0,(1-Summary!$B$48)*(Inputs!$B$21+Skills!O2+B946)+Summary!$B$48*(Inputs!$B$22+Skills!P2+B947))/100)*(1+Inputs!$B$17/100)*(5000/(6000+Inputs!$B$43*(1-Inputs!$B$20/100)))*(1+Inputs!$B$25/100)*(1+IF(C934=TRUE,F934,0)/100)*(1+IF(C936=TRUE,F936,0)/100)*(1+IF(Skills!A2="TRIUMPH_FEATHER",IF(C932=TRUE,F932,0),0)/100)*(1+IF(C943=TRUE,F943,0)/100)^5*(1+(IF(Skills!A2="BIG_BANG",Inputs!$B$18,Inputs!$B$19))/100)*(B945*I918)</f>
        <v/>
      </c>
      <c r="L918">
        <f>K918*(MIN(Inputs!$B$23+(F938-Calc!F22),Inputs!$B$24)/100+Inputs!$B$24/100)/2</f>
        <v/>
      </c>
      <c r="M918">
        <f>L918*(1+(Inputs!$B$11+B949+(F941-Calc!F25))/100)</f>
        <v/>
      </c>
      <c r="N918">
        <f>L918*(1-MIN(Inputs!$B$10+((F940-Calc!F24)+(F939-Calc!F23)),100)/100)+M918*(MIN(Inputs!$B$10+((F940-Calc!F24)+(F939-Calc!F23)),100)/100)</f>
        <v/>
      </c>
      <c r="O918">
        <f>IF(C918,Skills!F2*N918*B953*IF(Inputs!$B$39="pvp",1,(1-Summary!$B$48)*(1)+Summary!$B$48*(MIN((6+Inputs!$B$34),Inputs!$B$38))),0)</f>
        <v/>
      </c>
      <c r="P918">
        <f>IF(B956=0,0,O918/B956)</f>
        <v/>
      </c>
      <c r="Q918">
        <f>IFERROR(1/IF(Inputs!$B$39="pvp",15,MAX(0.1,Skills!D2-IF(Skills!E2=TRUE,Inputs!$B$33,0))),0)</f>
        <v/>
      </c>
      <c r="R918" t="n">
        <v>0</v>
      </c>
      <c r="T918">
        <f>MAX(0,(Inputs!$B$3-100)*3)+Inputs!$B$29+(Inputs!$B$30+1)</f>
        <v/>
      </c>
    </row>
    <row r="919">
      <c r="A919">
        <f>Skills!A3</f>
        <v/>
      </c>
      <c r="B919">
        <f>Skills!B3</f>
        <v/>
      </c>
      <c r="C919">
        <f>Inputs!$B$3&gt;=15</f>
        <v/>
      </c>
      <c r="D919">
        <f>IF(Skills!C3=1,60+Inputs!$B$26+(Inputs!$B$30+1),IF(Skills!C3=2,90+Inputs!$B$27+(Inputs!$B$30+1),IF(Skills!C3=3,120+Inputs!$B$28+(Inputs!$B$30+1),MAX(0,(Inputs!$B$3-100)*3)+Inputs!$B$29+(Inputs!$B$30+1))))</f>
        <v/>
      </c>
      <c r="E919">
        <f>INDEX(FactorTable!$B$2:$Y$301, MATCH(ROUND(MIN(300,MAX(1,D919)),0), FactorTable!$A$2:$A$301,0), Skills!L3+1)</f>
        <v/>
      </c>
      <c r="F919">
        <f>IF(Skills!M3=TRUE,(Skills!K3/10)*(E919/1000),Skills!K3/10)+Skills!N3</f>
        <v/>
      </c>
      <c r="G919">
        <f>Calc!G3</f>
        <v/>
      </c>
      <c r="H919">
        <f>Calc!H3</f>
        <v/>
      </c>
      <c r="I919">
        <f>IF(Skills!T3&lt;&gt;"",1+(Skills!T3/10)*($Z$3/1000)/100,1)</f>
        <v/>
      </c>
      <c r="J919" t="inlineStr"/>
      <c r="K919" t="inlineStr"/>
      <c r="L919" t="inlineStr"/>
      <c r="M919" t="inlineStr"/>
      <c r="N919" t="inlineStr"/>
      <c r="O919" t="n">
        <v>0</v>
      </c>
      <c r="P919">
        <f>IF(B956=0,0,O919/B956)</f>
        <v/>
      </c>
      <c r="Q919">
        <f>IFERROR(1/IF(Inputs!$B$39="pvp",15,MAX(0.1,Skills!D3-IF(Skills!E3=TRUE,Inputs!$B$33,0))),0)</f>
        <v/>
      </c>
      <c r="R919">
        <f>IF(AND(Inputs!$B$39&lt;&gt;"pvp",Inputs!$B$44&gt;0),IF(Inputs!$B$44&lt;=0,0,(INT(Inputs!$B$44/IF(Inputs!$B$39="pvp",15,MAX(0.1,Skills!D3-IF(Skills!E3=TRUE,Inputs!$B$33,0))))+1)),0)</f>
        <v/>
      </c>
      <c r="T919">
        <f>INDEX(FactorTable!$B$2:$Y$301, MATCH(ROUND(MIN(300,MAX(1,T918)),0), FactorTable!$A$2:$A$301,0), 22)</f>
        <v/>
      </c>
    </row>
    <row r="920">
      <c r="A920">
        <f>Skills!A4</f>
        <v/>
      </c>
      <c r="B920">
        <f>Skills!B4</f>
        <v/>
      </c>
      <c r="C920">
        <f>Inputs!$B$3&gt;=38</f>
        <v/>
      </c>
      <c r="D920">
        <f>IF(Skills!C4=1,60+Inputs!$B$26+(Inputs!$B$30+1),IF(Skills!C4=2,90+Inputs!$B$27+(Inputs!$B$30+1),IF(Skills!C4=3,120+Inputs!$B$28+(Inputs!$B$30+1),MAX(0,(Inputs!$B$3-100)*3)+Inputs!$B$29+(Inputs!$B$30+1))))</f>
        <v/>
      </c>
      <c r="E920">
        <f>INDEX(FactorTable!$B$2:$Y$301, MATCH(ROUND(MIN(300,MAX(1,D920)),0), FactorTable!$A$2:$A$301,0), Skills!L4+1)</f>
        <v/>
      </c>
      <c r="F920">
        <f>IF(Skills!M4=TRUE,(Skills!K4/10)*(E920/1000),Skills!K4/10)+Skills!N4</f>
        <v/>
      </c>
      <c r="G920">
        <f>Calc!G4</f>
        <v/>
      </c>
      <c r="H920">
        <f>Calc!H4</f>
        <v/>
      </c>
      <c r="I920">
        <f>IF(Skills!T4&lt;&gt;"",1+(Skills!T4/10)*($Z$3/1000)/100,1)</f>
        <v/>
      </c>
      <c r="J920" t="inlineStr"/>
      <c r="K920" t="inlineStr"/>
      <c r="L920" t="inlineStr"/>
      <c r="M920" t="inlineStr"/>
      <c r="N920" t="inlineStr"/>
      <c r="O920" t="n">
        <v>0</v>
      </c>
      <c r="P920">
        <f>IF(B956=0,0,O920/B956)</f>
        <v/>
      </c>
      <c r="Q920">
        <f>IFERROR(1/IF(Inputs!$B$39="pvp",15,MAX(0.1,Skills!D4-IF(Skills!E4=TRUE,Inputs!$B$33,0))),0)</f>
        <v/>
      </c>
      <c r="R920">
        <f>IF(AND(Inputs!$B$39&lt;&gt;"pvp",Inputs!$B$44&gt;0),IF(Inputs!$B$44&lt;=0,0,(INT(Inputs!$B$44/IF(Inputs!$B$39="pvp",15,MAX(0.1,Skills!D4-IF(Skills!E4=TRUE,Inputs!$B$33,0))))+1)),0)</f>
        <v/>
      </c>
      <c r="T920">
        <f>290*T919/1000</f>
        <v/>
      </c>
    </row>
    <row r="921">
      <c r="A921">
        <f>Skills!A5</f>
        <v/>
      </c>
      <c r="B921">
        <f>Skills!B5</f>
        <v/>
      </c>
      <c r="C921">
        <f>Inputs!$B$3&gt;=40</f>
        <v/>
      </c>
      <c r="D921">
        <f>IF(Skills!C5=1,60+Inputs!$B$26+(Inputs!$B$30+1),IF(Skills!C5=2,90+Inputs!$B$27+(Inputs!$B$30+1),IF(Skills!C5=3,120+Inputs!$B$28+(Inputs!$B$30+1),MAX(0,(Inputs!$B$3-100)*3)+Inputs!$B$29+(Inputs!$B$30+1))))</f>
        <v/>
      </c>
      <c r="E921">
        <f>INDEX(FactorTable!$B$2:$Y$301, MATCH(ROUND(MIN(300,MAX(1,D921)),0), FactorTable!$A$2:$A$301,0), Skills!L5+1)</f>
        <v/>
      </c>
      <c r="F921">
        <f>IF(Skills!M5=TRUE,(Skills!K5/10)*(E921/1000),Skills!K5/10)+Skills!N5</f>
        <v/>
      </c>
      <c r="G921">
        <f>Calc!G5</f>
        <v/>
      </c>
      <c r="H921">
        <f>Calc!H5</f>
        <v/>
      </c>
      <c r="I921">
        <f>IF(Skills!T5&lt;&gt;"",1+(Skills!T5/10)*($Z$3/1000)/100,1)</f>
        <v/>
      </c>
      <c r="J921" t="inlineStr"/>
      <c r="K921" t="inlineStr"/>
      <c r="L921" t="inlineStr"/>
      <c r="M921" t="inlineStr"/>
      <c r="N921" t="inlineStr"/>
      <c r="O921" t="n">
        <v>0</v>
      </c>
      <c r="P921">
        <f>IF(B956=0,0,O921/B956)</f>
        <v/>
      </c>
      <c r="Q921">
        <f>IFERROR(1/IF(Inputs!$B$39="pvp",15,MAX(0.1,Skills!D5-IF(Skills!E5=TRUE,Inputs!$B$33,0))),0)</f>
        <v/>
      </c>
      <c r="R921">
        <f>IF(AND(Inputs!$B$39&lt;&gt;"pvp",Inputs!$B$44&gt;0),IF(Inputs!$B$44&lt;=0,0,(INT(Inputs!$B$44/IF(Inputs!$B$39="pvp",15,MAX(0.1,Skills!D5-IF(Skills!E5=TRUE,Inputs!$B$33,0))))+1)),0)</f>
        <v/>
      </c>
    </row>
    <row r="922">
      <c r="A922">
        <f>Skills!A6</f>
        <v/>
      </c>
      <c r="B922">
        <f>Skills!B6</f>
        <v/>
      </c>
      <c r="C922">
        <f>Inputs!$B$3&gt;=103</f>
        <v/>
      </c>
      <c r="D922">
        <f>IF(Skills!C6=1,60+Inputs!$B$26+(Inputs!$B$30+1),IF(Skills!C6=2,90+Inputs!$B$27+(Inputs!$B$30+1),IF(Skills!C6=3,120+Inputs!$B$28+(Inputs!$B$30+1),MAX(0,(Inputs!$B$3-100)*3)+Inputs!$B$29+(Inputs!$B$30+1))))</f>
        <v/>
      </c>
      <c r="E922">
        <f>INDEX(FactorTable!$B$2:$Y$301, MATCH(ROUND(MIN(300,MAX(1,D922)),0), FactorTable!$A$2:$A$301,0), Skills!L6+1)</f>
        <v/>
      </c>
      <c r="F922">
        <f>IF(Skills!M6=TRUE,(Skills!K6/10)*(E922/1000),Skills!K6/10)+Skills!N6</f>
        <v/>
      </c>
      <c r="G922">
        <f>Calc!G6</f>
        <v/>
      </c>
      <c r="H922">
        <f>Calc!H6</f>
        <v/>
      </c>
      <c r="I922">
        <f>IF(Skills!T6&lt;&gt;"",1+(Skills!T6/10)*($Z$3/1000)/100,1)</f>
        <v/>
      </c>
      <c r="J922">
        <f>((Inputs!$B$6*(1+Inputs!$B$7/100))+(((Inputs!$B$13*(1+Inputs!$B$14/100))-(Inputs!$B$13*(1+Inputs!$B$14/100)))+0.25*(Inputs!$B$15-Inputs!$B$15))*(1+Inputs!$B$7/100))*(F922/100)</f>
        <v/>
      </c>
      <c r="K922">
        <f>J922*(1+(((Inputs!$B$13+IF(Inputs!$B$3&gt;=35,(10*INDEX(FactorTable!$B$2:$Y$301, MATCH(ROUND(MIN(300,MAX(1,Inputs!$B$3)),0), FactorTable!$A$2:$A$301,0), 23)/1000)/100*(Inputs!$B$8*(1+(Inputs!$B$9+B954)/100)),0))*(1+Inputs!$B$14/100))*0.01+Inputs!$B$15*0.0025)/100)*(1+(Inputs!$B$16+B948)/100)*(1+IF(Inputs!$B$39="pvp",0,(1-Summary!$B$48)*(Inputs!$B$21+Skills!O6+B946)+Summary!$B$48*(Inputs!$B$22+Skills!P6+B947))/100)*(1+Inputs!$B$17/100)*(5000/(6000+Inputs!$B$43*(1-Inputs!$B$20/100)))*(1+Inputs!$B$25/100)*(1+IF(C934=TRUE,F934,0)/100)*(1+IF(C936=TRUE,F936,0)/100)*(1+IF(Skills!A6="TRIUMPH_FEATHER",IF(C932=TRUE,F932,0),0)/100)*(1+IF(C943=TRUE,F943,0)/100)^5*(1+(IF(Skills!A6="BIG_BANG",Inputs!$B$18,Inputs!$B$19))/100)*(B945*I922)</f>
        <v/>
      </c>
      <c r="L922">
        <f>K922*(MIN(Inputs!$B$23+(F938-Calc!F22),Inputs!$B$24)/100+Inputs!$B$24/100)/2</f>
        <v/>
      </c>
      <c r="M922">
        <f>L922*(1+(Inputs!$B$11+B949+(F941-Calc!F25))/100)</f>
        <v/>
      </c>
      <c r="N922">
        <f>L922*(1-MIN(Inputs!$B$10+((F940-Calc!F24)+(F939-Calc!F23)),100)/100)+M922*(MIN(Inputs!$B$10+((F940-Calc!F24)+(F939-Calc!F23)),100)/100)</f>
        <v/>
      </c>
      <c r="O922">
        <f>IF(C922,H922*N922*IF(AND(Inputs!$B$39&lt;&gt;"pvp",Inputs!$B$44&gt;0),((Skills!F6*((R922-1)*IF(Skills!G6&gt;0,Skills!H6/Skills!G6,1)+IF(Skills!G6&gt;0,MIN(Skills!H6,MAX(0,MAX(0,Inputs!$B$44-B955)-((R922-1)*IF(Inputs!$B$39="pvp",15,MAX(0.1,Skills!D6-IF(Skills!E6=TRUE,Inputs!$B$33,0))))))/Skills!G6,1)))/Inputs!$B$44),G922*Q922)*IF(Inputs!$B$39="pvp",1,(1-Summary!$B$48)*(1)+Summary!$B$48*(MIN(Skills!Q6,Inputs!$B$38))),0)</f>
        <v/>
      </c>
      <c r="P922">
        <f>IF(B956=0,0,O922/B956)</f>
        <v/>
      </c>
      <c r="Q922">
        <f>IFERROR(1/IF(Inputs!$B$39="pvp",15,MAX(0.1,Skills!D6-IF(Skills!E6=TRUE,Inputs!$B$33,0))),0)</f>
        <v/>
      </c>
      <c r="R922">
        <f>IF(AND(Inputs!$B$39&lt;&gt;"pvp",Inputs!$B$44&gt;0),IF(MAX(0,Inputs!$B$44-B955)&lt;=0,0,(INT(MAX(0,Inputs!$B$44-B955)/IF(Inputs!$B$39="pvp",15,MAX(0.1,Skills!D6-IF(Skills!E6=TRUE,Inputs!$B$33,0))))+1)),0)</f>
        <v/>
      </c>
    </row>
    <row r="923">
      <c r="A923">
        <f>Skills!A7</f>
        <v/>
      </c>
      <c r="B923">
        <f>Skills!B7</f>
        <v/>
      </c>
      <c r="C923">
        <f>Inputs!$B$3&gt;=122</f>
        <v/>
      </c>
      <c r="D923">
        <f>IF(Skills!C7=1,60+Inputs!$B$26+(Inputs!$B$30+1),IF(Skills!C7=2,90+Inputs!$B$27+(Inputs!$B$30+1),IF(Skills!C7=3,120+Inputs!$B$28+(Inputs!$B$30+1),MAX(0,(Inputs!$B$3-100)*3)+Inputs!$B$29+(Inputs!$B$30+1))))</f>
        <v/>
      </c>
      <c r="E923">
        <f>INDEX(FactorTable!$B$2:$Y$301, MATCH(ROUND(MIN(300,MAX(1,D923)),0), FactorTable!$A$2:$A$301,0), Skills!L7+1)</f>
        <v/>
      </c>
      <c r="F923">
        <f>IF(Skills!M7=TRUE,(Skills!K7/10)*(E923/1000),Skills!K7/10)+Skills!N7</f>
        <v/>
      </c>
      <c r="G923">
        <f>Calc!G7</f>
        <v/>
      </c>
      <c r="H923">
        <f>Calc!H7</f>
        <v/>
      </c>
      <c r="I923">
        <f>IF(Skills!T7&lt;&gt;"",1+(Skills!T7/10)*($Z$3/1000)/100,1)</f>
        <v/>
      </c>
      <c r="J923">
        <f>((Inputs!$B$6*(1+Inputs!$B$7/100))+(((Inputs!$B$13*(1+Inputs!$B$14/100))-(Inputs!$B$13*(1+Inputs!$B$14/100)))+0.25*(Inputs!$B$15-Inputs!$B$15))*(1+Inputs!$B$7/100))*(F923/100)</f>
        <v/>
      </c>
      <c r="K923">
        <f>J923*(1+(((Inputs!$B$13+IF(Inputs!$B$3&gt;=35,(10*INDEX(FactorTable!$B$2:$Y$301, MATCH(ROUND(MIN(300,MAX(1,Inputs!$B$3)),0), FactorTable!$A$2:$A$301,0), 23)/1000)/100*(Inputs!$B$8*(1+(Inputs!$B$9+B954)/100)),0))*(1+Inputs!$B$14/100))*0.01+Inputs!$B$15*0.0025)/100)*(1+(Inputs!$B$16+B948)/100)*(1+IF(Inputs!$B$39="pvp",0,(1-Summary!$B$48)*(Inputs!$B$21+Skills!O7+B946)+Summary!$B$48*(Inputs!$B$22+Skills!P7+B947))/100)*(1+Inputs!$B$17/100)*(5000/(6000+Inputs!$B$43*(1-Inputs!$B$20/100)))*(1+Inputs!$B$25/100)*(1+IF(C934=TRUE,F934,0)/100)*(1+IF(C936=TRUE,F936,0)/100)*(1+IF(Skills!A7="TRIUMPH_FEATHER",IF(C932=TRUE,F932,0),0)/100)*(1+IF(C943=TRUE,F943,0)/100)^5*(1+(IF(Skills!A7="BIG_BANG",Inputs!$B$18,Inputs!$B$19))/100)*(B945*I923)</f>
        <v/>
      </c>
      <c r="L923">
        <f>K923*(MIN(Inputs!$B$23+(F938-Calc!F22),Inputs!$B$24)/100+Inputs!$B$24/100)/2</f>
        <v/>
      </c>
      <c r="M923">
        <f>L923*(1+(Inputs!$B$11+B949+(F941-Calc!F25))/100)</f>
        <v/>
      </c>
      <c r="N923">
        <f>L923*(1-MIN(Inputs!$B$10+((F940-Calc!F24)+(F939-Calc!F23)),100)/100)+M923*(MIN(Inputs!$B$10+((F940-Calc!F24)+(F939-Calc!F23)),100)/100)</f>
        <v/>
      </c>
      <c r="O923">
        <f>IF(C923,H923*N923*IF(AND(Inputs!$B$39&lt;&gt;"pvp",Inputs!$B$44&gt;0),((Skills!F7*((R923-1)*IF(Skills!G7&gt;0,Skills!H7/Skills!G7,1)+IF(Skills!G7&gt;0,MIN(Skills!H7,MAX(0,MAX(0,Inputs!$B$44-B955)-((R923-1)*IF(Inputs!$B$39="pvp",15,MAX(0.1,Skills!D7-IF(Skills!E6=TRUE,Inputs!$B$33,0))))))/Skills!G7,1)))/Inputs!$B$44),G923*Q923)*(1-Summary!$B$48),0)</f>
        <v/>
      </c>
      <c r="P923">
        <f>IF(B956=0,0,O923/B956)</f>
        <v/>
      </c>
      <c r="Q923">
        <f>IFERROR(1/IF(Inputs!$B$39="pvp",15,MAX(0.1,Skills!D7-IF(Skills!E6=TRUE,Inputs!$B$33,0))),0)</f>
        <v/>
      </c>
      <c r="R923">
        <f>IF(AND(Inputs!$B$39&lt;&gt;"pvp",Inputs!$B$44&gt;0),IF(MAX(0,Inputs!$B$44-B955)&lt;=0,0,(INT(MAX(0,Inputs!$B$44-B955)/IF(Inputs!$B$39="pvp",15,MAX(0.1,Skills!D7-IF(Skills!E6=TRUE,Inputs!$B$33,0))))+1)),0)</f>
        <v/>
      </c>
    </row>
    <row r="924">
      <c r="A924">
        <f>Skills!A8</f>
        <v/>
      </c>
      <c r="B924">
        <f>Skills!B8</f>
        <v/>
      </c>
      <c r="C924">
        <f>Inputs!$B$3&gt;=105</f>
        <v/>
      </c>
      <c r="D924">
        <f>IF(Skills!C8=1,60+Inputs!$B$26+(Inputs!$B$30+1),IF(Skills!C8=2,90+Inputs!$B$27+(Inputs!$B$30+1),IF(Skills!C8=3,120+Inputs!$B$28+(Inputs!$B$30+1),MAX(0,(Inputs!$B$3-100)*3)+Inputs!$B$29+(Inputs!$B$30+1))))</f>
        <v/>
      </c>
      <c r="E924">
        <f>INDEX(FactorTable!$B$2:$Y$301, MATCH(ROUND(MIN(300,MAX(1,D924)),0), FactorTable!$A$2:$A$301,0), Skills!L8+1)</f>
        <v/>
      </c>
      <c r="F924">
        <f>IF(Skills!M8=TRUE,(Skills!K8/10)*(E924/1000),Skills!K8/10)+Skills!N8</f>
        <v/>
      </c>
      <c r="G924">
        <f>Calc!G8</f>
        <v/>
      </c>
      <c r="H924">
        <f>Calc!H8</f>
        <v/>
      </c>
      <c r="I924">
        <f>IF(Skills!T8&lt;&gt;"",1+(Skills!T8/10)*($Z$3/1000)/100,1)</f>
        <v/>
      </c>
      <c r="J924">
        <f>((Inputs!$B$6*(1+Inputs!$B$7/100))+(((Inputs!$B$13*(1+Inputs!$B$14/100))-(Inputs!$B$13*(1+Inputs!$B$14/100)))+0.25*(Inputs!$B$15-Inputs!$B$15))*(1+Inputs!$B$7/100))*(F924/100)</f>
        <v/>
      </c>
      <c r="K924">
        <f>J924*(1+(((Inputs!$B$13+IF(Inputs!$B$3&gt;=35,(10*INDEX(FactorTable!$B$2:$Y$301, MATCH(ROUND(MIN(300,MAX(1,Inputs!$B$3)),0), FactorTable!$A$2:$A$301,0), 23)/1000)/100*(Inputs!$B$8*(1+(Inputs!$B$9+B954)/100)),0))*(1+Inputs!$B$14/100))*0.01+Inputs!$B$15*0.0025)/100)*(1+(Inputs!$B$16+B948)/100)*(1+IF(Inputs!$B$39="pvp",0,(1-Summary!$B$48)*(Inputs!$B$21+Skills!O8+B946)+Summary!$B$48*(Inputs!$B$22+Skills!P8+B947))/100)*(1+Inputs!$B$17/100)*(5000/(6000+Inputs!$B$43*(1-Inputs!$B$20/100)))*(1+Inputs!$B$25/100)*(1+IF(C934=TRUE,F934,0)/100)*(1+IF(C936=TRUE,F936,0)/100)*(1+IF(Skills!A8="TRIUMPH_FEATHER",IF(C932=TRUE,F932,0),0)/100)*(1+IF(C943=TRUE,F943,0)/100)^5*(1+(IF(Skills!A8="BIG_BANG",Inputs!$B$18,Inputs!$B$19))/100)*(B945*I924)</f>
        <v/>
      </c>
      <c r="L924">
        <f>K924*(MIN(Inputs!$B$23+(F938-Calc!F22),Inputs!$B$24)/100+Inputs!$B$24/100)/2</f>
        <v/>
      </c>
      <c r="M924">
        <f>L924*(1+(Inputs!$B$11+B949+(F941-Calc!F25))/100)</f>
        <v/>
      </c>
      <c r="N924">
        <f>L924*(1-MIN(Inputs!$B$10+((F940-Calc!F24)+(F939-Calc!F23)),100)/100)+M924*(MIN(Inputs!$B$10+((F940-Calc!F24)+(F939-Calc!F23)),100)/100)</f>
        <v/>
      </c>
      <c r="O924">
        <f>IF(C924,H924*N924*IF(AND(Inputs!$B$39&lt;&gt;"pvp",Inputs!$B$44&gt;0),((Skills!F8*((R924-1)*IF(Skills!G8&gt;0,Skills!H8/Skills!G8,1)+IF(Skills!G8&gt;0,MIN(Skills!H8,MAX(0,MAX(0,Inputs!$B$44-B955)-((R924-1)*IF(Inputs!$B$39="pvp",15,MAX(0.1,Skills!D8-IF(Skills!E8=TRUE,Inputs!$B$33,0))))))/Skills!G8,1)))/Inputs!$B$44),G924*Q924)*IF(Inputs!$B$39="pvp",1,(1-Summary!$B$48)*(1)+Summary!$B$48*(MIN(Skills!Q8,Inputs!$B$38))),0)</f>
        <v/>
      </c>
      <c r="P924">
        <f>IF(B956=0,0,O924/B956)</f>
        <v/>
      </c>
      <c r="Q924">
        <f>IFERROR(1/IF(Inputs!$B$39="pvp",15,MAX(0.1,Skills!D8-IF(Skills!E8=TRUE,Inputs!$B$33,0))),0)</f>
        <v/>
      </c>
      <c r="R924">
        <f>IF(AND(Inputs!$B$39&lt;&gt;"pvp",Inputs!$B$44&gt;0),IF(MAX(0,Inputs!$B$44-B955)&lt;=0,0,(INT(MAX(0,Inputs!$B$44-B955)/IF(Inputs!$B$39="pvp",15,MAX(0.1,Skills!D8-IF(Skills!E8=TRUE,Inputs!$B$33,0))))+1)),0)</f>
        <v/>
      </c>
    </row>
    <row r="925">
      <c r="A925">
        <f>Skills!A9</f>
        <v/>
      </c>
      <c r="B925">
        <f>Skills!B9</f>
        <v/>
      </c>
      <c r="C925">
        <f>Inputs!$B$3&gt;=115</f>
        <v/>
      </c>
      <c r="D925">
        <f>IF(Skills!C9=1,60+Inputs!$B$26+(Inputs!$B$30+1),IF(Skills!C9=2,90+Inputs!$B$27+(Inputs!$B$30+1),IF(Skills!C9=3,120+Inputs!$B$28+(Inputs!$B$30+1),MAX(0,(Inputs!$B$3-100)*3)+Inputs!$B$29+(Inputs!$B$30+1))))</f>
        <v/>
      </c>
      <c r="E925">
        <f>INDEX(FactorTable!$B$2:$Y$301, MATCH(ROUND(MIN(300,MAX(1,D925)),0), FactorTable!$A$2:$A$301,0), Skills!L9+1)</f>
        <v/>
      </c>
      <c r="F925">
        <f>IF(Skills!M9=TRUE,(Skills!K9/10)*(E925/1000),Skills!K9/10)+Skills!N9</f>
        <v/>
      </c>
      <c r="G925">
        <f>Calc!G9</f>
        <v/>
      </c>
      <c r="H925">
        <f>Calc!H9</f>
        <v/>
      </c>
      <c r="I925">
        <f>IF(Skills!T9&lt;&gt;"",1+(Skills!T9/10)*($Z$3/1000)/100,1)</f>
        <v/>
      </c>
      <c r="J925">
        <f>((Inputs!$B$6*(1+Inputs!$B$7/100))+(((Inputs!$B$13*(1+Inputs!$B$14/100))-(Inputs!$B$13*(1+Inputs!$B$14/100)))+0.25*(Inputs!$B$15-Inputs!$B$15))*(1+Inputs!$B$7/100))*(F925/100)</f>
        <v/>
      </c>
      <c r="K925">
        <f>J925*(1+(((Inputs!$B$13+IF(Inputs!$B$3&gt;=35,(10*INDEX(FactorTable!$B$2:$Y$301, MATCH(ROUND(MIN(300,MAX(1,Inputs!$B$3)),0), FactorTable!$A$2:$A$301,0), 23)/1000)/100*(Inputs!$B$8*(1+(Inputs!$B$9+B954)/100)),0))*(1+Inputs!$B$14/100))*0.01+Inputs!$B$15*0.0025)/100)*(1+(Inputs!$B$16+B948)/100)*(1+IF(Inputs!$B$39="pvp",0,(1-Summary!$B$48)*(Inputs!$B$21+Skills!O9+B946)+Summary!$B$48*(Inputs!$B$22+Skills!P9+B947))/100)*(1+Inputs!$B$17/100)*(5000/(6000+Inputs!$B$43*(1-Inputs!$B$20/100)))*(1+Inputs!$B$25/100)*(1+IF(C934=TRUE,F934,0)/100)*(1+IF(C936=TRUE,F936,0)/100)*(1+IF(Skills!A9="TRIUMPH_FEATHER",IF(C932=TRUE,F932,0),0)/100)*(1+IF(C943=TRUE,F943,0)/100)^5*(1+(IF(Skills!A9="BIG_BANG",Inputs!$B$18,Inputs!$B$19))/100)*(B945*I925)</f>
        <v/>
      </c>
      <c r="L925">
        <f>K925*(MIN(Inputs!$B$23+(F938-Calc!F22),Inputs!$B$24)/100+Inputs!$B$24/100)/2</f>
        <v/>
      </c>
      <c r="M925">
        <f>L925*(1+(Inputs!$B$11+B949+(F941-Calc!F25))/100)</f>
        <v/>
      </c>
      <c r="N925">
        <f>L925*(1-MIN(Inputs!$B$10+((F940-Calc!F24)+(F939-Calc!F23)),100)/100)+M925*(MIN(Inputs!$B$10+((F940-Calc!F24)+(F939-Calc!F23)),100)/100)</f>
        <v/>
      </c>
      <c r="O925">
        <f>IF(C925,H925*N925*IF(AND(Inputs!$B$39&lt;&gt;"pvp",Inputs!$B$44&gt;0),((Skills!F9*((R925-1)*IF(Skills!G9&gt;0,Skills!H9/Skills!G9,1)+IF(Skills!G9&gt;0,MIN(Skills!H9,MAX(0,MAX(0,Inputs!$B$44-B955)-((R925-1)*IF(Inputs!$B$39="pvp",15,MAX(0.1,Skills!D9-IF(Skills!E9=TRUE,Inputs!$B$33,0))))))/Skills!G9,1)))/Inputs!$B$44),G925*Q925)*IF(Inputs!$B$39="pvp",1,(1-Summary!$B$48)*(1)+Summary!$B$48*(MIN(Skills!Q9,Inputs!$B$38))),0)</f>
        <v/>
      </c>
      <c r="P925">
        <f>IF(B956=0,0,O925/B956)</f>
        <v/>
      </c>
      <c r="Q925">
        <f>IFERROR(1/IF(Inputs!$B$39="pvp",15,MAX(0.1,Skills!D9-IF(Skills!E9=TRUE,Inputs!$B$33,0))),0)</f>
        <v/>
      </c>
      <c r="R925">
        <f>IF(AND(Inputs!$B$39&lt;&gt;"pvp",Inputs!$B$44&gt;0),IF(MAX(0,Inputs!$B$44-B955)&lt;=0,0,(INT(MAX(0,Inputs!$B$44-B955)/IF(Inputs!$B$39="pvp",15,MAX(0.1,Skills!D9-IF(Skills!E9=TRUE,Inputs!$B$33,0))))+1)),0)</f>
        <v/>
      </c>
    </row>
    <row r="926">
      <c r="A926">
        <f>Skills!A10</f>
        <v/>
      </c>
      <c r="B926">
        <f>Skills!B10</f>
        <v/>
      </c>
      <c r="C926">
        <f>Inputs!$B$3&gt;=66</f>
        <v/>
      </c>
      <c r="D926">
        <f>IF(Skills!C10=1,60+Inputs!$B$26+(Inputs!$B$30+1),IF(Skills!C10=2,90+Inputs!$B$27+(Inputs!$B$30+1),IF(Skills!C10=3,120+Inputs!$B$28+(Inputs!$B$30+1),MAX(0,(Inputs!$B$3-100)*3)+Inputs!$B$29+(Inputs!$B$30+1))))</f>
        <v/>
      </c>
      <c r="E926">
        <f>INDEX(FactorTable!$B$2:$Y$301, MATCH(ROUND(MIN(300,MAX(1,D926)),0), FactorTable!$A$2:$A$301,0), Skills!L10+1)</f>
        <v/>
      </c>
      <c r="F926" t="n">
        <v>0</v>
      </c>
      <c r="G926">
        <f>Calc!G10</f>
        <v/>
      </c>
      <c r="H926">
        <f>Calc!H10</f>
        <v/>
      </c>
      <c r="I926">
        <f>IF(Skills!T10&lt;&gt;"",1+(Skills!T10/10)*($Z$3/1000)/100,1)</f>
        <v/>
      </c>
      <c r="J926" t="inlineStr"/>
      <c r="K926" t="inlineStr"/>
      <c r="L926" t="inlineStr"/>
      <c r="M926" t="inlineStr"/>
      <c r="N926" t="inlineStr"/>
      <c r="O926" t="n">
        <v>0</v>
      </c>
      <c r="P926">
        <f>IF(B956=0,0,O926/B956)</f>
        <v/>
      </c>
      <c r="Q926">
        <f>IFERROR(1/IF(Inputs!$B$39="pvp",15,MAX(0.1,Skills!D10-IF(Skills!E10=TRUE,Inputs!$B$33,0))),0)</f>
        <v/>
      </c>
      <c r="R926">
        <f>IF(AND(Inputs!$B$39&lt;&gt;"pvp",Inputs!$B$44&gt;0),IF(MAX(0,Inputs!$B$44-B955)&lt;=0,0,(INT(MAX(0,Inputs!$B$44-B955)/IF(Inputs!$B$39="pvp",15,MAX(0.1,Skills!D10-IF(Skills!E10=TRUE,Inputs!$B$33,0))))+1)),0)</f>
        <v/>
      </c>
    </row>
    <row r="927">
      <c r="A927">
        <f>Skills!A11</f>
        <v/>
      </c>
      <c r="B927">
        <f>Skills!B11</f>
        <v/>
      </c>
      <c r="C927">
        <f>Inputs!$B$3&gt;=69</f>
        <v/>
      </c>
      <c r="D927">
        <f>IF(Skills!C11=1,60+Inputs!$B$26+(Inputs!$B$30+1),IF(Skills!C11=2,90+Inputs!$B$27+(Inputs!$B$30+1),IF(Skills!C11=3,120+Inputs!$B$28+(Inputs!$B$30+1),MAX(0,(Inputs!$B$3-100)*3)+Inputs!$B$29+(Inputs!$B$30+1))))</f>
        <v/>
      </c>
      <c r="E927">
        <f>INDEX(FactorTable!$B$2:$Y$301, MATCH(ROUND(MIN(300,MAX(1,D927)),0), FactorTable!$A$2:$A$301,0), Skills!L11+1)</f>
        <v/>
      </c>
      <c r="F927">
        <f>IF(Skills!M11=TRUE,(Skills!K11/10)*(E927/1000),Skills!K11/10)+Skills!N11</f>
        <v/>
      </c>
      <c r="G927">
        <f>Calc!G11</f>
        <v/>
      </c>
      <c r="H927">
        <f>Calc!H11</f>
        <v/>
      </c>
      <c r="I927">
        <f>IF(Skills!T11&lt;&gt;"",1+(Skills!T11/10)*($Z$3/1000)/100,1)</f>
        <v/>
      </c>
      <c r="J927" t="inlineStr"/>
      <c r="K927" t="inlineStr"/>
      <c r="L927" t="inlineStr"/>
      <c r="M927" t="inlineStr"/>
      <c r="N927" t="inlineStr"/>
      <c r="O927" t="n">
        <v>0</v>
      </c>
      <c r="P927">
        <f>IF(B956=0,0,O927/B956)</f>
        <v/>
      </c>
      <c r="Q927">
        <f>IFERROR(1/IF(Inputs!$B$39="pvp",15,MAX(0.1,Skills!D11-IF(Skills!E11=TRUE,Inputs!$B$33,0))),0)</f>
        <v/>
      </c>
      <c r="R927">
        <f>IF(AND(Inputs!$B$39&lt;&gt;"pvp",Inputs!$B$44&gt;0),IF(Inputs!$B$44&lt;=0,0,(INT(Inputs!$B$44/IF(Inputs!$B$39="pvp",15,MAX(0.1,Skills!D11-IF(Skills!E11=TRUE,Inputs!$B$33,0))))+1)),0)</f>
        <v/>
      </c>
    </row>
    <row r="928">
      <c r="A928">
        <f>Skills!A12</f>
        <v/>
      </c>
      <c r="B928">
        <f>Skills!B12</f>
        <v/>
      </c>
      <c r="C928">
        <f>Inputs!$B$3&gt;=72</f>
        <v/>
      </c>
      <c r="D928">
        <f>IF(Skills!C12=1,60+Inputs!$B$26+(Inputs!$B$30+1),IF(Skills!C12=2,90+Inputs!$B$27+(Inputs!$B$30+1),IF(Skills!C12=3,120+Inputs!$B$28+(Inputs!$B$30+1),MAX(0,(Inputs!$B$3-100)*3)+Inputs!$B$29+(Inputs!$B$30+1))))</f>
        <v/>
      </c>
      <c r="E928">
        <f>INDEX(FactorTable!$B$2:$Y$301, MATCH(ROUND(MIN(300,MAX(1,D928)),0), FactorTable!$A$2:$A$301,0), Skills!L12+1)</f>
        <v/>
      </c>
      <c r="F928">
        <f>IF(Skills!M12=TRUE,(Skills!K12/10)*(E928/1000),Skills!K12/10)+Skills!N12</f>
        <v/>
      </c>
      <c r="G928">
        <f>Calc!G12</f>
        <v/>
      </c>
      <c r="H928">
        <f>Calc!H12</f>
        <v/>
      </c>
      <c r="I928">
        <f>IF(Skills!T12&lt;&gt;"",1+(Skills!T12/10)*($Z$3/1000)/100,1)</f>
        <v/>
      </c>
      <c r="J928" t="inlineStr"/>
      <c r="K928" t="inlineStr"/>
      <c r="L928" t="inlineStr"/>
      <c r="M928" t="inlineStr"/>
      <c r="N928" t="inlineStr"/>
      <c r="O928" t="n">
        <v>0</v>
      </c>
      <c r="P928">
        <f>IF(B956=0,0,O928/B956)</f>
        <v/>
      </c>
      <c r="Q928">
        <f>IFERROR(1/IF(Inputs!$B$39="pvp",15,MAX(0.1,Skills!D12-IF(Skills!E12=TRUE,Inputs!$B$33,0))),0)</f>
        <v/>
      </c>
      <c r="R928">
        <f>IF(AND(Inputs!$B$39&lt;&gt;"pvp",Inputs!$B$44&gt;0),IF(MAX(0,Inputs!$B$44-B955)&lt;=0,0,(INT(MAX(0,Inputs!$B$44-B955)/IF(Inputs!$B$39="pvp",15,MAX(0.1,Skills!D12-IF(Skills!E12=TRUE,Inputs!$B$33,0))))+1)),0)</f>
        <v/>
      </c>
    </row>
    <row r="929">
      <c r="A929">
        <f>Skills!A13</f>
        <v/>
      </c>
      <c r="B929">
        <f>Skills!B13</f>
        <v/>
      </c>
      <c r="C929">
        <f>Inputs!$B$3&gt;=60</f>
        <v/>
      </c>
      <c r="D929">
        <f>IF(Skills!C13=1,60+Inputs!$B$26+(Inputs!$B$30+1),IF(Skills!C13=2,90+Inputs!$B$27+(Inputs!$B$30+1),IF(Skills!C13=3,120+Inputs!$B$28+(Inputs!$B$30+1),MAX(0,(Inputs!$B$3-100)*3)+Inputs!$B$29+(Inputs!$B$30+1))))</f>
        <v/>
      </c>
      <c r="E929">
        <f>INDEX(FactorTable!$B$2:$Y$301, MATCH(ROUND(MIN(300,MAX(1,D929)),0), FactorTable!$A$2:$A$301,0), Skills!L13+1)</f>
        <v/>
      </c>
      <c r="F929">
        <f>IF(Skills!M13=TRUE,(Skills!K13/10)*(E929/1000),Skills!K13/10)+Skills!N13</f>
        <v/>
      </c>
      <c r="G929">
        <f>Calc!G13</f>
        <v/>
      </c>
      <c r="H929">
        <f>Calc!H13</f>
        <v/>
      </c>
      <c r="I929">
        <f>IF(Skills!T13&lt;&gt;"",1+(Skills!T13/10)*($Z$3/1000)/100,1)</f>
        <v/>
      </c>
      <c r="J929" t="inlineStr"/>
      <c r="K929" t="inlineStr"/>
      <c r="L929" t="inlineStr"/>
      <c r="M929" t="inlineStr"/>
      <c r="N929" t="inlineStr"/>
      <c r="O929" t="n">
        <v>0</v>
      </c>
      <c r="P929">
        <f>IF(B956=0,0,O929/B956)</f>
        <v/>
      </c>
      <c r="Q929">
        <f>IFERROR(1/IF(Inputs!$B$39="pvp",15,MAX(0.1,Skills!D13-IF(Skills!E13=TRUE,Inputs!$B$33,0))),0)</f>
        <v/>
      </c>
      <c r="R929">
        <f>IF(AND(Inputs!$B$39&lt;&gt;"pvp",Inputs!$B$44&gt;0),IF(MAX(0,Inputs!$B$44-B955)&lt;=0,0,(INT(MAX(0,Inputs!$B$44-B955)/IF(Inputs!$B$39="pvp",15,MAX(0.1,Skills!D13-IF(Skills!E13=TRUE,Inputs!$B$33,0))))+1)),0)</f>
        <v/>
      </c>
    </row>
    <row r="930">
      <c r="A930">
        <f>Skills!A14</f>
        <v/>
      </c>
      <c r="B930">
        <f>Skills!B14</f>
        <v/>
      </c>
      <c r="C930">
        <f>Inputs!$B$3&gt;=107</f>
        <v/>
      </c>
      <c r="D930">
        <f>IF(Skills!C14=1,60+Inputs!$B$26+(Inputs!$B$30+1),IF(Skills!C14=2,90+Inputs!$B$27+(Inputs!$B$30+1),IF(Skills!C14=3,120+Inputs!$B$28+(Inputs!$B$30+1),MAX(0,(Inputs!$B$3-100)*3)+Inputs!$B$29+(Inputs!$B$30+1))))</f>
        <v/>
      </c>
      <c r="E930">
        <f>INDEX(FactorTable!$B$2:$Y$301, MATCH(ROUND(MIN(300,MAX(1,D930)),0), FactorTable!$A$2:$A$301,0), Skills!L14+1)</f>
        <v/>
      </c>
      <c r="F930">
        <f>IF(Skills!M14=TRUE,(Skills!K14/10)*(E930/1000),Skills!K14/10)+Skills!N14</f>
        <v/>
      </c>
      <c r="G930">
        <f>Calc!G14</f>
        <v/>
      </c>
      <c r="H930">
        <f>Calc!H14</f>
        <v/>
      </c>
      <c r="I930">
        <f>IF(Skills!T14&lt;&gt;"",1+(Skills!T14/10)*($Z$3/1000)/100,1)</f>
        <v/>
      </c>
      <c r="J930" t="inlineStr"/>
      <c r="K930" t="inlineStr"/>
      <c r="L930" t="inlineStr"/>
      <c r="M930" t="inlineStr"/>
      <c r="N930" t="inlineStr"/>
      <c r="O930" t="n">
        <v>0</v>
      </c>
      <c r="P930">
        <f>IF(B956=0,0,O930/B956)</f>
        <v/>
      </c>
      <c r="Q930">
        <f>IFERROR(1/IF(Inputs!$B$39="pvp",15,MAX(0.1,Skills!D14-IF(Skills!E14=TRUE,Inputs!$B$33,0))),0)</f>
        <v/>
      </c>
      <c r="R930">
        <f>IF(AND(Inputs!$B$39&lt;&gt;"pvp",Inputs!$B$44&gt;0),IF(Inputs!$B$44&lt;=0,0,(INT(Inputs!$B$44/IF(Inputs!$B$39="pvp",15,MAX(0.1,Skills!D14-IF(Skills!E14=TRUE,Inputs!$B$33,0))))+1)),0)</f>
        <v/>
      </c>
    </row>
    <row r="931">
      <c r="A931">
        <f>Skills!A15</f>
        <v/>
      </c>
      <c r="B931">
        <f>Skills!B15</f>
        <v/>
      </c>
      <c r="C931">
        <f>Inputs!$B$3&gt;=63</f>
        <v/>
      </c>
      <c r="D931">
        <f>IF(Skills!C15=1,60+Inputs!$B$26+(Inputs!$B$30+1),IF(Skills!C15=2,90+Inputs!$B$27+(Inputs!$B$30+1),IF(Skills!C15=3,120+Inputs!$B$28+(Inputs!$B$30+1),MAX(0,(Inputs!$B$3-100)*3)+Inputs!$B$29+(Inputs!$B$30+1))))</f>
        <v/>
      </c>
      <c r="E931">
        <f>INDEX(FactorTable!$B$2:$Y$301, MATCH(ROUND(MIN(300,MAX(1,D931)),0), FactorTable!$A$2:$A$301,0), Skills!L15+1)</f>
        <v/>
      </c>
      <c r="F931">
        <f>IF(Skills!M15=TRUE,(Skills!K15/10)*(E931/1000),Skills!K15/10)+Skills!N15</f>
        <v/>
      </c>
      <c r="G931">
        <f>Calc!G15</f>
        <v/>
      </c>
      <c r="H931">
        <f>Calc!H15</f>
        <v/>
      </c>
      <c r="I931">
        <f>IF(Skills!T15&lt;&gt;"",1+(Skills!T15/10)*($Z$3/1000)/100,1)</f>
        <v/>
      </c>
      <c r="J931">
        <f>((Inputs!$B$6*(1+Inputs!$B$7/100))+(((Inputs!$B$13*(1+Inputs!$B$14/100))-(Inputs!$B$13*(1+Inputs!$B$14/100)))+0.25*(Inputs!$B$15-Inputs!$B$15))*(1+Inputs!$B$7/100))*(F931/100)</f>
        <v/>
      </c>
      <c r="K931">
        <f>J931*(1+(((Inputs!$B$13+IF(Inputs!$B$3&gt;=35,(10*INDEX(FactorTable!$B$2:$Y$301, MATCH(ROUND(MIN(300,MAX(1,Inputs!$B$3)),0), FactorTable!$A$2:$A$301,0), 23)/1000)/100*(Inputs!$B$8*(1+(Inputs!$B$9+B954)/100)),0))*(1+Inputs!$B$14/100))*0.01+Inputs!$B$15*0.0025)/100)*(1+(Inputs!$B$16+B948)/100)*(1+IF(Inputs!$B$39="pvp",0,(1-Summary!$B$48)*(Inputs!$B$21+Skills!O15+B946)+Summary!$B$48*(Inputs!$B$22+Skills!P15+B947))/100)*(1+Inputs!$B$17/100)*(5000/(6000+Inputs!$B$43*(1-Inputs!$B$20/100)))*(1+Inputs!$B$25/100)*(1+IF(C934=TRUE,F934,0)/100)*(1+IF(C936=TRUE,F936,0)/100)*(1+IF(Skills!A15="TRIUMPH_FEATHER",IF(C932=TRUE,F932,0),0)/100)*(1+IF(C943=TRUE,F943,0)/100)^5*(1+(IF(Skills!A15="BIG_BANG",Inputs!$B$18,Inputs!$B$19))/100)*(B945*I931)</f>
        <v/>
      </c>
      <c r="L931">
        <f>K931*(MIN(Inputs!$B$23+(F938-Calc!F22),Inputs!$B$24)/100+Inputs!$B$24/100)/2</f>
        <v/>
      </c>
      <c r="M931">
        <f>L931*(1+(Inputs!$B$11+B949+(F941-Calc!F25))/100)</f>
        <v/>
      </c>
      <c r="N931">
        <f>L931*(1-MIN(Inputs!$B$10+((F940-Calc!F24)+(F939-Calc!F23)),100)/100)+M931*(MIN(Inputs!$B$10+((F940-Calc!F24)+(F939-Calc!F23)),100)/100)</f>
        <v/>
      </c>
      <c r="O931">
        <f>IF(C931,Skills!F15*N931*((IF(Inputs!$B$3&gt;=78,25,15)/100*B951*10)/(1+IF(Inputs!$B$3&gt;=78,25,15)/100*B951*10))*(Skills!I15/100*B951)/(1+Skills!G15*Skills!I15/100*B951)*IF(Inputs!$B$39="pvp",1,(1-Summary!$B$48)*(1)+Summary!$B$48*(MIN(Skills!Q15,Inputs!$B$38))),0)</f>
        <v/>
      </c>
      <c r="P931">
        <f>IF(B956=0,0,O931/B956)</f>
        <v/>
      </c>
      <c r="Q931">
        <f>IFERROR(1/IF(Inputs!$B$39="pvp",15,MAX(0.1,Skills!D15-IF(Skills!E15=TRUE,Inputs!$B$33,0))),0)</f>
        <v/>
      </c>
      <c r="R931" t="n">
        <v>0</v>
      </c>
    </row>
    <row r="932">
      <c r="A932">
        <f>Skills!A16</f>
        <v/>
      </c>
      <c r="B932">
        <f>Skills!B16</f>
        <v/>
      </c>
      <c r="C932">
        <f>Inputs!$B$3&gt;=100</f>
        <v/>
      </c>
      <c r="D932">
        <f>IF(Skills!C16=1,60+Inputs!$B$26+(Inputs!$B$30+1),IF(Skills!C16=2,90+Inputs!$B$27+(Inputs!$B$30+1),IF(Skills!C16=3,120+Inputs!$B$28+(Inputs!$B$30+1),MAX(0,(Inputs!$B$3-100)*3)+Inputs!$B$29+(Inputs!$B$30+1))))</f>
        <v/>
      </c>
      <c r="E932">
        <f>INDEX(FactorTable!$B$2:$Y$301, MATCH(ROUND(MIN(300,MAX(1,D932)),0), FactorTable!$A$2:$A$301,0), Skills!L16+1)</f>
        <v/>
      </c>
      <c r="F932">
        <f>IF(Skills!M16=TRUE,(Skills!K16/10)*(E932/1000),Skills!K16/10)+Skills!N16</f>
        <v/>
      </c>
      <c r="G932">
        <f>Calc!G16</f>
        <v/>
      </c>
      <c r="H932">
        <f>Calc!H16</f>
        <v/>
      </c>
      <c r="I932">
        <f>IF(Skills!T16&lt;&gt;"",1+(Skills!T16/10)*($Z$3/1000)/100,1)</f>
        <v/>
      </c>
      <c r="J932" t="inlineStr"/>
      <c r="K932" t="inlineStr"/>
      <c r="L932" t="inlineStr"/>
      <c r="M932" t="inlineStr"/>
      <c r="N932" t="inlineStr"/>
      <c r="O932" t="n">
        <v>0</v>
      </c>
      <c r="P932">
        <f>IF(B956=0,0,O932/B956)</f>
        <v/>
      </c>
      <c r="Q932">
        <f>IFERROR(1/IF(Inputs!$B$39="pvp",15,MAX(0.1,Skills!D16-IF(Skills!E16=TRUE,Inputs!$B$33,0))),0)</f>
        <v/>
      </c>
      <c r="R932" t="n">
        <v>0</v>
      </c>
    </row>
    <row r="933">
      <c r="A933">
        <f>Skills!A17</f>
        <v/>
      </c>
      <c r="B933">
        <f>Skills!B17</f>
        <v/>
      </c>
      <c r="C933">
        <f>Inputs!$B$3&gt;=49</f>
        <v/>
      </c>
      <c r="D933">
        <f>IF(Skills!C17=1,60+Inputs!$B$26+(Inputs!$B$30+1),IF(Skills!C17=2,90+Inputs!$B$27+(Inputs!$B$30+1),IF(Skills!C17=3,120+Inputs!$B$28+(Inputs!$B$30+1),MAX(0,(Inputs!$B$3-100)*3)+Inputs!$B$29+(Inputs!$B$30+1))))</f>
        <v/>
      </c>
      <c r="E933">
        <f>INDEX(FactorTable!$B$2:$Y$301, MATCH(ROUND(MIN(300,MAX(1,D933)),0), FactorTable!$A$2:$A$301,0), Skills!L17+1)</f>
        <v/>
      </c>
      <c r="F933">
        <f>IF(Skills!M17=TRUE,(Skills!K17/10)*(E933/1000),Skills!K17/10)+Skills!N17</f>
        <v/>
      </c>
      <c r="G933">
        <f>Calc!G17</f>
        <v/>
      </c>
      <c r="H933">
        <f>Calc!H17</f>
        <v/>
      </c>
      <c r="I933">
        <f>IF(Skills!T17&lt;&gt;"",1+(Skills!T17/10)*($Z$3/1000)/100,1)</f>
        <v/>
      </c>
      <c r="J933" t="inlineStr"/>
      <c r="K933" t="inlineStr"/>
      <c r="L933" t="inlineStr"/>
      <c r="M933" t="inlineStr"/>
      <c r="N933" t="inlineStr"/>
      <c r="O933" t="n">
        <v>0</v>
      </c>
      <c r="P933">
        <f>IF(B956=0,0,O933/B956)</f>
        <v/>
      </c>
      <c r="Q933">
        <f>IFERROR(1/IF(Inputs!$B$39="pvp",15,MAX(0.1,Skills!D17-IF(Skills!E17=TRUE,Inputs!$B$33,0))),0)</f>
        <v/>
      </c>
      <c r="R933" t="n">
        <v>0</v>
      </c>
    </row>
    <row r="934">
      <c r="A934">
        <f>Skills!A18</f>
        <v/>
      </c>
      <c r="B934">
        <f>Skills!B18</f>
        <v/>
      </c>
      <c r="C934">
        <f>Inputs!$B$3&gt;=75</f>
        <v/>
      </c>
      <c r="D934">
        <f>IF(Skills!C18=1,60+Inputs!$B$26+(Inputs!$B$30+1),IF(Skills!C18=2,90+Inputs!$B$27+(Inputs!$B$30+1),IF(Skills!C18=3,120+Inputs!$B$28+(Inputs!$B$30+1),MAX(0,(Inputs!$B$3-100)*3)+Inputs!$B$29+(Inputs!$B$30+1))))</f>
        <v/>
      </c>
      <c r="E934">
        <f>INDEX(FactorTable!$B$2:$Y$301, MATCH(ROUND(MIN(300,MAX(1,D934)),0), FactorTable!$A$2:$A$301,0), Skills!L18+1)</f>
        <v/>
      </c>
      <c r="F934">
        <f>IF(Skills!M18=TRUE,(Skills!K18/10)*(E934/1000),Skills!K18/10)+Skills!N18</f>
        <v/>
      </c>
      <c r="G934">
        <f>Calc!G18</f>
        <v/>
      </c>
      <c r="H934">
        <f>Calc!H18</f>
        <v/>
      </c>
      <c r="I934">
        <f>IF(Skills!T18&lt;&gt;"",1+(Skills!T18/10)*($Z$3/1000)/100,1)</f>
        <v/>
      </c>
      <c r="J934" t="inlineStr"/>
      <c r="K934" t="inlineStr"/>
      <c r="L934" t="inlineStr"/>
      <c r="M934" t="inlineStr"/>
      <c r="N934" t="inlineStr"/>
      <c r="O934" t="n">
        <v>0</v>
      </c>
      <c r="P934">
        <f>IF(B956=0,0,O934/B956)</f>
        <v/>
      </c>
      <c r="Q934">
        <f>IFERROR(1/IF(Inputs!$B$39="pvp",15,MAX(0.1,Skills!D18-IF(Skills!E18=TRUE,Inputs!$B$33,0))),0)</f>
        <v/>
      </c>
      <c r="R934" t="n">
        <v>0</v>
      </c>
    </row>
    <row r="935">
      <c r="A935">
        <f>Skills!A19</f>
        <v/>
      </c>
      <c r="B935">
        <f>Skills!B19</f>
        <v/>
      </c>
      <c r="C935">
        <f>Inputs!$B$3&gt;=110</f>
        <v/>
      </c>
      <c r="D935">
        <f>IF(Skills!C19=1,60+Inputs!$B$26+(Inputs!$B$30+1),IF(Skills!C19=2,90+Inputs!$B$27+(Inputs!$B$30+1),IF(Skills!C19=3,120+Inputs!$B$28+(Inputs!$B$30+1),MAX(0,(Inputs!$B$3-100)*3)+Inputs!$B$29+(Inputs!$B$30+1))))</f>
        <v/>
      </c>
      <c r="E935">
        <f>INDEX(FactorTable!$B$2:$Y$301, MATCH(ROUND(MIN(300,MAX(1,D935)),0), FactorTable!$A$2:$A$301,0), Skills!L19+1)</f>
        <v/>
      </c>
      <c r="F935">
        <f>(Skills!K19/10)*(E935/1000)*64/45+Skills!N19</f>
        <v/>
      </c>
      <c r="G935">
        <f>Calc!G19</f>
        <v/>
      </c>
      <c r="H935">
        <f>Calc!H19</f>
        <v/>
      </c>
      <c r="I935">
        <f>IF(Skills!T19&lt;&gt;"",1+(Skills!T19/10)*($Z$3/1000)/100,1)</f>
        <v/>
      </c>
      <c r="J935" t="inlineStr"/>
      <c r="K935" t="inlineStr"/>
      <c r="L935" t="inlineStr"/>
      <c r="M935" t="inlineStr"/>
      <c r="N935" t="inlineStr"/>
      <c r="O935" t="n">
        <v>0</v>
      </c>
      <c r="P935">
        <f>IF(B956=0,0,O935/B956)</f>
        <v/>
      </c>
      <c r="Q935">
        <f>IFERROR(1/IF(Inputs!$B$39="pvp",15,MAX(0.1,Skills!D19-IF(Skills!E19=TRUE,Inputs!$B$33,0))),0)</f>
        <v/>
      </c>
      <c r="R935">
        <f>IF(AND(Inputs!$B$39&lt;&gt;"pvp",Inputs!$B$44&gt;0),IF(Inputs!$B$44&lt;=0,0,(INT(Inputs!$B$44/IF(Inputs!$B$39="pvp",15,MAX(0.1,Skills!D19-IF(Skills!E19=TRUE,Inputs!$B$33,0))))+1)),0)</f>
        <v/>
      </c>
    </row>
    <row r="936">
      <c r="A936">
        <f>Skills!A20</f>
        <v/>
      </c>
      <c r="B936">
        <f>Skills!B20</f>
        <v/>
      </c>
      <c r="C936">
        <f>Inputs!$B$3&gt;=125</f>
        <v/>
      </c>
      <c r="D936">
        <f>IF(Skills!C20=1,60+Inputs!$B$26+(Inputs!$B$30+1),IF(Skills!C20=2,90+Inputs!$B$27+(Inputs!$B$30+1),IF(Skills!C20=3,120+Inputs!$B$28+(Inputs!$B$30+1),MAX(0,(Inputs!$B$3-100)*3)+Inputs!$B$29+(Inputs!$B$30+1))))</f>
        <v/>
      </c>
      <c r="E936">
        <f>INDEX(FactorTable!$B$2:$Y$301, MATCH(ROUND(MIN(300,MAX(1,D936)),0), FactorTable!$A$2:$A$301,0), Skills!L20+1)</f>
        <v/>
      </c>
      <c r="F936">
        <f>IF(Skills!M20=TRUE,(Skills!K20/10)*(E936/1000),Skills!K20/10)+Skills!N20</f>
        <v/>
      </c>
      <c r="G936">
        <f>Calc!G20</f>
        <v/>
      </c>
      <c r="H936">
        <f>Calc!H20</f>
        <v/>
      </c>
      <c r="I936">
        <f>IF(Skills!T20&lt;&gt;"",1+(Skills!T20/10)*($Z$3/1000)/100,1)</f>
        <v/>
      </c>
      <c r="J936" t="inlineStr"/>
      <c r="K936" t="inlineStr"/>
      <c r="L936" t="inlineStr"/>
      <c r="M936" t="inlineStr"/>
      <c r="N936" t="inlineStr"/>
      <c r="O936" t="n">
        <v>0</v>
      </c>
      <c r="P936">
        <f>IF(B956=0,0,O936/B956)</f>
        <v/>
      </c>
      <c r="Q936">
        <f>IFERROR(1/IF(Inputs!$B$39="pvp",15,MAX(0.1,Skills!D20-IF(Skills!E20=TRUE,Inputs!$B$33,0))),0)</f>
        <v/>
      </c>
      <c r="R936" t="n">
        <v>0</v>
      </c>
    </row>
    <row r="937">
      <c r="A937">
        <f>Skills!A21</f>
        <v/>
      </c>
      <c r="B937">
        <f>Skills!B21</f>
        <v/>
      </c>
      <c r="C937">
        <f>Inputs!$B$3&gt;=33</f>
        <v/>
      </c>
      <c r="D937">
        <f>IF(Skills!C21=1,60+Inputs!$B$26+(Inputs!$B$30+1),IF(Skills!C21=2,90+Inputs!$B$27+(Inputs!$B$30+1),IF(Skills!C21=3,120+Inputs!$B$28+(Inputs!$B$30+1),MAX(0,(Inputs!$B$3-100)*3)+Inputs!$B$29+(Inputs!$B$30+1))))</f>
        <v/>
      </c>
      <c r="E937">
        <f>INDEX(FactorTable!$B$2:$Y$301, MATCH(ROUND(MIN(300,MAX(1,D937)),0), FactorTable!$A$2:$A$301,0), Skills!L21+1)</f>
        <v/>
      </c>
      <c r="F937">
        <f>IF(Skills!M21=TRUE,(Skills!K21/10)*(E937/1000),Skills!K21/10)+Skills!N21</f>
        <v/>
      </c>
      <c r="G937">
        <f>Calc!G21</f>
        <v/>
      </c>
      <c r="H937">
        <f>Calc!H21</f>
        <v/>
      </c>
      <c r="I937">
        <f>IF(Skills!T21&lt;&gt;"",1+(Skills!T21/10)*($Z$3/1000)/100,1)</f>
        <v/>
      </c>
      <c r="J937" t="inlineStr"/>
      <c r="K937" t="inlineStr"/>
      <c r="L937" t="inlineStr"/>
      <c r="M937" t="inlineStr"/>
      <c r="N937" t="inlineStr"/>
      <c r="O937" t="n">
        <v>0</v>
      </c>
      <c r="P937">
        <f>IF(B956=0,0,O937/B956)</f>
        <v/>
      </c>
      <c r="Q937">
        <f>IFERROR(1/IF(Inputs!$B$39="pvp",15,MAX(0.1,Skills!D21-IF(Skills!E21=TRUE,Inputs!$B$33,0))),0)</f>
        <v/>
      </c>
      <c r="R937" t="n">
        <v>0</v>
      </c>
    </row>
    <row r="938">
      <c r="A938">
        <f>Skills!A22</f>
        <v/>
      </c>
      <c r="B938">
        <f>Skills!B22</f>
        <v/>
      </c>
      <c r="C938">
        <f>Inputs!$B$3&gt;=43</f>
        <v/>
      </c>
      <c r="D938">
        <f>IF(Skills!C22=1,60+Inputs!$B$26+(Inputs!$B$30+1),IF(Skills!C22=2,90+Inputs!$B$27+(Inputs!$B$30+1),IF(Skills!C22=3,120+Inputs!$B$28+(Inputs!$B$30+1),MAX(0,(Inputs!$B$3-100)*3)+Inputs!$B$29+(Inputs!$B$30+1))))</f>
        <v/>
      </c>
      <c r="E938">
        <f>INDEX(FactorTable!$B$2:$Y$301, MATCH(ROUND(MIN(300,MAX(1,D938)),0), FactorTable!$A$2:$A$301,0), Skills!L22+1)</f>
        <v/>
      </c>
      <c r="F938">
        <f>IF(Skills!M22=TRUE,(Skills!K22/10)*(E938/1000),Skills!K22/10)+Skills!N22</f>
        <v/>
      </c>
      <c r="G938">
        <f>Calc!G22</f>
        <v/>
      </c>
      <c r="H938">
        <f>Calc!H22</f>
        <v/>
      </c>
      <c r="I938">
        <f>IF(Skills!T22&lt;&gt;"",1+(Skills!T22/10)*($Z$3/1000)/100,1)</f>
        <v/>
      </c>
      <c r="J938" t="inlineStr"/>
      <c r="K938" t="inlineStr"/>
      <c r="L938" t="inlineStr"/>
      <c r="M938" t="inlineStr"/>
      <c r="N938" t="inlineStr"/>
      <c r="O938" t="n">
        <v>0</v>
      </c>
      <c r="P938">
        <f>IF(B956=0,0,O938/B956)</f>
        <v/>
      </c>
      <c r="Q938">
        <f>IFERROR(1/IF(Inputs!$B$39="pvp",15,MAX(0.1,Skills!D22-IF(Skills!E22=TRUE,Inputs!$B$33,0))),0)</f>
        <v/>
      </c>
      <c r="R938" t="n">
        <v>0</v>
      </c>
    </row>
    <row r="939">
      <c r="A939">
        <f>Skills!A23</f>
        <v/>
      </c>
      <c r="B939">
        <f>Skills!B23</f>
        <v/>
      </c>
      <c r="C939">
        <f>Inputs!$B$3&gt;=50</f>
        <v/>
      </c>
      <c r="D939">
        <f>IF(Skills!C23=1,60+Inputs!$B$26+(Inputs!$B$30+1),IF(Skills!C23=2,90+Inputs!$B$27+(Inputs!$B$30+1),IF(Skills!C23=3,120+Inputs!$B$28+(Inputs!$B$30+1),MAX(0,(Inputs!$B$3-100)*3)+Inputs!$B$29+(Inputs!$B$30+1))))</f>
        <v/>
      </c>
      <c r="E939">
        <f>INDEX(FactorTable!$B$2:$Y$301, MATCH(ROUND(MIN(300,MAX(1,D939)),0), FactorTable!$A$2:$A$301,0), Skills!L23+1)</f>
        <v/>
      </c>
      <c r="F939">
        <f>IF(Skills!M23=TRUE,(Skills!K23/10)*(E939/1000),Skills!K23/10)+Skills!N23</f>
        <v/>
      </c>
      <c r="G939">
        <f>Calc!G23</f>
        <v/>
      </c>
      <c r="H939">
        <f>Calc!H23</f>
        <v/>
      </c>
      <c r="I939">
        <f>IF(Skills!T23&lt;&gt;"",1+(Skills!T23/10)*($Z$3/1000)/100,1)</f>
        <v/>
      </c>
      <c r="J939" t="inlineStr"/>
      <c r="K939" t="inlineStr"/>
      <c r="L939" t="inlineStr"/>
      <c r="M939" t="inlineStr"/>
      <c r="N939" t="inlineStr"/>
      <c r="O939" t="n">
        <v>0</v>
      </c>
      <c r="P939">
        <f>IF(B956=0,0,O939/B956)</f>
        <v/>
      </c>
      <c r="Q939">
        <f>IFERROR(1/IF(Inputs!$B$39="pvp",15,MAX(0.1,Skills!D23-IF(Skills!E23=TRUE,Inputs!$B$33,0))),0)</f>
        <v/>
      </c>
      <c r="R939" t="n">
        <v>0</v>
      </c>
    </row>
    <row r="940">
      <c r="A940">
        <f>Skills!A24</f>
        <v/>
      </c>
      <c r="B940">
        <f>Skills!B24</f>
        <v/>
      </c>
      <c r="C940">
        <f>Inputs!$B$3&gt;=74</f>
        <v/>
      </c>
      <c r="D940">
        <f>IF(Skills!C24=1,60+Inputs!$B$26+(Inputs!$B$30+1),IF(Skills!C24=2,90+Inputs!$B$27+(Inputs!$B$30+1),IF(Skills!C24=3,120+Inputs!$B$28+(Inputs!$B$30+1),MAX(0,(Inputs!$B$3-100)*3)+Inputs!$B$29+(Inputs!$B$30+1))))</f>
        <v/>
      </c>
      <c r="E940">
        <f>INDEX(FactorTable!$B$2:$Y$301, MATCH(ROUND(MIN(300,MAX(1,D940)),0), FactorTable!$A$2:$A$301,0), Skills!L24+1)</f>
        <v/>
      </c>
      <c r="F940">
        <f>IF(Skills!M24=TRUE,(Skills!K24/10)*(E940/1000),Skills!K24/10)+Skills!N24</f>
        <v/>
      </c>
      <c r="G940">
        <f>Calc!G24</f>
        <v/>
      </c>
      <c r="H940">
        <f>Calc!H24</f>
        <v/>
      </c>
      <c r="I940">
        <f>IF(Skills!T24&lt;&gt;"",1+(Skills!T24/10)*($Z$3/1000)/100,1)</f>
        <v/>
      </c>
      <c r="J940" t="inlineStr"/>
      <c r="K940" t="inlineStr"/>
      <c r="L940" t="inlineStr"/>
      <c r="M940" t="inlineStr"/>
      <c r="N940" t="inlineStr"/>
      <c r="O940" t="n">
        <v>0</v>
      </c>
      <c r="P940">
        <f>IF(B956=0,0,O940/B956)</f>
        <v/>
      </c>
      <c r="Q940">
        <f>IFERROR(1/IF(Inputs!$B$39="pvp",15,MAX(0.1,Skills!D24-IF(Skills!E24=TRUE,Inputs!$B$33,0))),0)</f>
        <v/>
      </c>
      <c r="R940" t="n">
        <v>0</v>
      </c>
    </row>
    <row r="941">
      <c r="A941">
        <f>Skills!A25</f>
        <v/>
      </c>
      <c r="B941">
        <f>Skills!B25</f>
        <v/>
      </c>
      <c r="C941">
        <f>Inputs!$B$3&gt;=74</f>
        <v/>
      </c>
      <c r="D941">
        <f>IF(Skills!C25=1,60+Inputs!$B$26+(Inputs!$B$30+1),IF(Skills!C25=2,90+Inputs!$B$27+(Inputs!$B$30+1),IF(Skills!C25=3,120+Inputs!$B$28+(Inputs!$B$30+1),MAX(0,(Inputs!$B$3-100)*3)+Inputs!$B$29+(Inputs!$B$30+1))))</f>
        <v/>
      </c>
      <c r="E941">
        <f>INDEX(FactorTable!$B$2:$Y$301, MATCH(ROUND(MIN(300,MAX(1,D941)),0), FactorTable!$A$2:$A$301,0), Skills!L25+1)</f>
        <v/>
      </c>
      <c r="F941">
        <f>IF(Skills!M25=TRUE,(Skills!K25/10)*(E941/1000),Skills!K25/10)+Skills!N25</f>
        <v/>
      </c>
      <c r="G941">
        <f>Calc!G25</f>
        <v/>
      </c>
      <c r="H941">
        <f>Calc!H25</f>
        <v/>
      </c>
      <c r="I941">
        <f>IF(Skills!T25&lt;&gt;"",1+(Skills!T25/10)*($Z$3/1000)/100,1)</f>
        <v/>
      </c>
      <c r="J941" t="inlineStr"/>
      <c r="K941" t="inlineStr"/>
      <c r="L941" t="inlineStr"/>
      <c r="M941" t="inlineStr"/>
      <c r="N941" t="inlineStr"/>
      <c r="O941" t="n">
        <v>0</v>
      </c>
      <c r="P941">
        <f>IF(B956=0,0,O941/B956)</f>
        <v/>
      </c>
      <c r="Q941">
        <f>IFERROR(1/IF(Inputs!$B$39="pvp",15,MAX(0.1,Skills!D25-IF(Skills!E25=TRUE,Inputs!$B$33,0))),0)</f>
        <v/>
      </c>
      <c r="R941" t="n">
        <v>0</v>
      </c>
    </row>
    <row r="942">
      <c r="A942">
        <f>Skills!A26</f>
        <v/>
      </c>
      <c r="B942">
        <f>Skills!B26</f>
        <v/>
      </c>
      <c r="C942">
        <f>Inputs!$B$3&gt;=117</f>
        <v/>
      </c>
      <c r="D942">
        <f>IF(Skills!C26=1,60+Inputs!$B$26+(Inputs!$B$30+1),IF(Skills!C26=2,90+Inputs!$B$27+(Inputs!$B$30+1),IF(Skills!C26=3,120+Inputs!$B$28+(Inputs!$B$30+1),MAX(0,(Inputs!$B$3-100)*3)+Inputs!$B$29+(Inputs!$B$30+1))))</f>
        <v/>
      </c>
      <c r="E942">
        <f>INDEX(FactorTable!$B$2:$Y$301, MATCH(ROUND(MIN(300,MAX(1,D942)),0), FactorTable!$A$2:$A$301,0), Skills!L26+1)</f>
        <v/>
      </c>
      <c r="F942">
        <f>IF(Skills!M26=TRUE,(Skills!K26/10)*(E942/1000),Skills!K26/10)+Skills!N26</f>
        <v/>
      </c>
      <c r="G942">
        <f>Calc!G26</f>
        <v/>
      </c>
      <c r="H942">
        <f>Calc!H26</f>
        <v/>
      </c>
      <c r="I942">
        <f>IF(Skills!T26&lt;&gt;"",1+(Skills!T26/10)*($Z$3/1000)/100,1)</f>
        <v/>
      </c>
      <c r="J942" t="inlineStr"/>
      <c r="K942" t="inlineStr"/>
      <c r="L942" t="inlineStr"/>
      <c r="M942" t="inlineStr"/>
      <c r="N942" t="inlineStr"/>
      <c r="O942" t="n">
        <v>0</v>
      </c>
      <c r="P942">
        <f>IF(B956=0,0,O942/B956)</f>
        <v/>
      </c>
      <c r="Q942">
        <f>IFERROR(1/IF(Inputs!$B$39="pvp",15,MAX(0.1,Skills!D26-IF(Skills!E26=TRUE,Inputs!$B$33,0))),0)</f>
        <v/>
      </c>
      <c r="R942" t="n">
        <v>0</v>
      </c>
    </row>
    <row r="943">
      <c r="A943">
        <f>Skills!A27</f>
        <v/>
      </c>
      <c r="B943">
        <f>Skills!B27</f>
        <v/>
      </c>
      <c r="C943">
        <f>Inputs!$B$3&gt;=120</f>
        <v/>
      </c>
      <c r="D943">
        <f>IF(Skills!C27=1,60+Inputs!$B$26+(Inputs!$B$30+1),IF(Skills!C27=2,90+Inputs!$B$27+(Inputs!$B$30+1),IF(Skills!C27=3,120+Inputs!$B$28+(Inputs!$B$30+1),MAX(0,(Inputs!$B$3-100)*3)+Inputs!$B$29+(Inputs!$B$30+1))))</f>
        <v/>
      </c>
      <c r="E943">
        <f>INDEX(FactorTable!$B$2:$Y$301, MATCH(ROUND(MIN(300,MAX(1,D943)),0), FactorTable!$A$2:$A$301,0), Skills!L27+1)</f>
        <v/>
      </c>
      <c r="F943">
        <f>IF(Skills!M27=TRUE,(Skills!K27/10)*(E943/1000),Skills!K27/10)+Skills!N27</f>
        <v/>
      </c>
      <c r="G943">
        <f>Calc!G27</f>
        <v/>
      </c>
      <c r="H943">
        <f>Calc!H27</f>
        <v/>
      </c>
      <c r="I943">
        <f>IF(Skills!T27&lt;&gt;"",1+(Skills!T27/10)*($Z$3/1000)/100,1)</f>
        <v/>
      </c>
      <c r="J943" t="inlineStr"/>
      <c r="K943" t="inlineStr"/>
      <c r="L943" t="inlineStr"/>
      <c r="M943" t="inlineStr"/>
      <c r="N943" t="inlineStr"/>
      <c r="O943" t="n">
        <v>0</v>
      </c>
      <c r="P943">
        <f>IF(B956=0,0,O943/B956)</f>
        <v/>
      </c>
      <c r="Q943">
        <f>IFERROR(1/IF(Inputs!$B$39="pvp",15,MAX(0.1,Skills!D27-IF(Skills!E27=TRUE,Inputs!$B$33,0))),0)</f>
        <v/>
      </c>
      <c r="R943" t="n">
        <v>0</v>
      </c>
    </row>
    <row r="945">
      <c r="A945" t="inlineStr">
        <is>
          <t>Average Buff Multiplier</t>
        </is>
      </c>
      <c r="B945">
        <f>(1+(IF(C919=TRUE,F919*IF(AND(Inputs!$B$39&lt;&gt;"pvp",Inputs!$B$44&gt;0),(((R919-1)*(Skills!S3*(1+(Inputs!$B$35+IF(Inputs!$B$3&gt;=117,F942,0))/100))+MIN((Skills!S3*(1+(Inputs!$B$35+IF(Inputs!$B$3&gt;=117,F942,0))/100)),MAX(0,Inputs!$B$44-((R919-1)*Skills!D3))))/Inputs!$B$44),IF(Inputs!$B$39="pvp",MIN((Skills!S3*(1+(Inputs!$B$35+IF(Inputs!$B$3&gt;=117,F942,0))/100)),15)/15,(Skills!S3*(1+(Inputs!$B$35+IF(Inputs!$B$3&gt;=117,F942,0))/100))/Skills!D3)),0)+IF(C920=TRUE,F920*IF(AND(Inputs!$B$39&lt;&gt;"pvp",Inputs!$B$44&gt;0),(((R920-1)*(Skills!S4*(1+(Inputs!$B$35+IF(Inputs!$B$3&gt;=117,F942,0))/100))+MIN((Skills!S4*(1+(Inputs!$B$35+IF(Inputs!$B$3&gt;=117,F942,0))/100)),MAX(0,Inputs!$B$44-((R920-1)*Skills!D4))))/Inputs!$B$44),IF(Inputs!$B$39="pvp",MIN((Skills!S4*(1+(Inputs!$B$35+IF(Inputs!$B$3&gt;=117,F942,0))/100)),15)/15,(Skills!S4*(1+(Inputs!$B$35+IF(Inputs!$B$3&gt;=117,F942,0))/100))/Skills!D4)),0)+IF(C921=TRUE,F921*IF(AND(Inputs!$B$39&lt;&gt;"pvp",Inputs!$B$44&gt;0),(((R921-1)*(Skills!S5*(1+(Inputs!$B$35+IF(Inputs!$B$3&gt;=117,F942,0))/100))+MIN((Skills!S5*(1+(Inputs!$B$35+IF(Inputs!$B$3&gt;=117,F942,0))/100)),MAX(0,Inputs!$B$44-((R921-1)*Skills!D5))))/Inputs!$B$44),IF(Inputs!$B$39="pvp",MIN((Skills!S5*(1+(Inputs!$B$35+IF(Inputs!$B$3&gt;=117,F942,0))/100)),15)/15,(Skills!S5*(1+(Inputs!$B$35+IF(Inputs!$B$3&gt;=117,F942,0))/100))/Skills!D5)),0)+IF(C927=TRUE,F927*IF(AND(Inputs!$B$39&lt;&gt;"pvp",Inputs!$B$44&gt;0),(((R927-1)*(Skills!S11*(1+(Inputs!$B$35+IF(Inputs!$B$3&gt;=117,F942,0))/100))+MIN((Skills!S11*(1+(Inputs!$B$35+IF(Inputs!$B$3&gt;=117,F942,0))/100)),MAX(0,Inputs!$B$44-((R927-1)*Skills!D11))))/Inputs!$B$44),IF(Inputs!$B$39="pvp",MIN((Skills!S11*(1+(Inputs!$B$35+IF(Inputs!$B$3&gt;=117,F942,0))/100)),15)/15,(Skills!S11*(1+(Inputs!$B$35+IF(Inputs!$B$3&gt;=117,F942,0))/100))/Skills!D11)),0))/100)*IF(C930=TRUE,(1+F930*IF(AND(Inputs!$B$39&lt;&gt;"pvp",Inputs!$B$44&gt;0),(((R930-1)*(Skills!S14*(1+(Inputs!$B$35+IF(Inputs!$B$3&gt;=117,F942,0))/100))+MIN((Skills!S14*(1+(Inputs!$B$35+IF(Inputs!$B$3&gt;=117,F942,0))/100)),MAX(0,Inputs!$B$44-((R930-1)*Skills!D14))))/Inputs!$B$44),IF(Inputs!$B$39="pvp",MIN((Skills!S14*(1+(Inputs!$B$35+IF(Inputs!$B$3&gt;=117,F942,0))/100)),15)/15,(Skills!S14*(1+(Inputs!$B$35+IF(Inputs!$B$3&gt;=117,F942,0))/100))/Skills!D14))/100),1)*IF(C935=TRUE,(1+F935*IF(AND(Inputs!$B$39&lt;&gt;"pvp",Inputs!$B$44&gt;0),(((R935-1)*(Skills!S19*(1+(Inputs!$B$35+IF(Inputs!$B$3&gt;=117,F942,0))/100))+MIN((Skills!S19*(1+(Inputs!$B$35+IF(Inputs!$B$3&gt;=117,F942,0))/100)),MAX(0,Inputs!$B$44-((R935-1)*Skills!D19))))/Inputs!$B$44),IF(Inputs!$B$39="pvp",MIN((Skills!S19*(1+(Inputs!$B$35+IF(Inputs!$B$3&gt;=117,F942,0))/100)),15)/15,(Skills!S19*(1+(Inputs!$B$35+IF(Inputs!$B$3&gt;=117,F942,0))/100))/Skills!D19))/100),1)</f>
        <v/>
      </c>
    </row>
    <row r="946">
      <c r="A946" t="inlineStr">
        <is>
          <t>Monster Damage Taken Bonus % (Holy Fountain)</t>
        </is>
      </c>
      <c r="B946">
        <f>IF(Inputs!$B$3&gt;=68,20*IF(Inputs!$B$39="pvp",MIN((15*(1+(Inputs!$B$35+IF(Inputs!$B$3&gt;=117,F942,0))/100)),15)/15,(15*(1+(Inputs!$B$35+IF(Inputs!$B$3&gt;=117,F942,0))/100))/Skills!D10),0)</f>
        <v/>
      </c>
    </row>
    <row r="947">
      <c r="A947" t="inlineStr">
        <is>
          <t>Normal Monster Damage Bonus % (Holy Symbol)</t>
        </is>
      </c>
      <c r="B947">
        <f>IF(C928=TRUE,F928*IF(AND(Inputs!$B$39&lt;&gt;"pvp",Inputs!$B$44&gt;0),(((R928-1)*(Skills!S12*(1+(Inputs!$B$35+IF(Inputs!$B$3&gt;=117,F942,0))/100))+MIN((Skills!S12*(1+(Inputs!$B$35+IF(Inputs!$B$3&gt;=117,F942,0))/100)),MAX(0,Inputs!$B$44-((R928-1)*Skills!D12))))/Inputs!$B$44),IF(Inputs!$B$39="pvp",MIN((Skills!S12*(1+(Inputs!$B$35+IF(Inputs!$B$3&gt;=117,F942,0))/100)),15)/15,(Skills!S12*(1+(Inputs!$B$35+IF(Inputs!$B$3&gt;=117,F942,0))/100))/Skills!D12)),0)</f>
        <v/>
      </c>
    </row>
    <row r="948">
      <c r="A948" t="inlineStr">
        <is>
          <t>Damage % Bonus (Holy Symbol - Damage Boost)</t>
        </is>
      </c>
      <c r="B948">
        <f>Skills!O12</f>
        <v/>
      </c>
    </row>
    <row r="949">
      <c r="A949" t="inlineStr">
        <is>
          <t>Crit Damage % Bonus (Blood of the Divine)</t>
        </is>
      </c>
      <c r="B949">
        <f>4*IF(C936=TRUE,F936,0)</f>
        <v/>
      </c>
    </row>
    <row r="950">
      <c r="A950" t="inlineStr">
        <is>
          <t>Attack Speed Bonus %</t>
        </is>
      </c>
      <c r="B950">
        <f>IF(C933=TRUE,F933+(F937-Calc!F21),0)+IF(Inputs!$B$3&gt;=134,15,0)</f>
        <v/>
      </c>
    </row>
    <row r="951">
      <c r="A951" t="inlineStr">
        <is>
          <t>Actions Per Second</t>
        </is>
      </c>
      <c r="B951">
        <f>1+MIN(150,150*(1-(1-Inputs!$B$12/150)*(1-B950/150)))/100</f>
        <v/>
      </c>
    </row>
    <row r="952">
      <c r="A952" t="inlineStr">
        <is>
          <t>Skill + Buff Cast Rate</t>
        </is>
      </c>
      <c r="B952">
        <f>IF(AND(Inputs!$B$39&lt;&gt;"pvp",Inputs!$B$44&gt;0),SUMPRODUCT((Skills!E2:E27=TRUE)*(C918:C943=TRUE)*R918:R943)/Inputs!$B$44,SUMPRODUCT((Skills!E2:E27=TRUE)*(C918:C943=TRUE)*Q918:Q943))</f>
        <v/>
      </c>
    </row>
    <row r="953">
      <c r="A953" t="inlineStr">
        <is>
          <t>Big Bang Casts Per Second</t>
        </is>
      </c>
      <c r="B953">
        <f>MAX(0,B951-B952)</f>
        <v/>
      </c>
    </row>
    <row r="954">
      <c r="A954" t="inlineStr">
        <is>
          <t>Defense % Bonus (Divine Protection)</t>
        </is>
      </c>
      <c r="B954">
        <f>IF(C929=TRUE,F929*IF(AND(Inputs!$B$39&lt;&gt;"pvp",Inputs!$B$44&gt;0),(((R929-1)*(Skills!S13*(1+(Inputs!$B$35+IF(Inputs!$B$3&gt;=117,F942,0))/100))+MIN((Skills!S13*(1+(Inputs!$B$35+IF(Inputs!$B$3&gt;=117,F942,0))/100)),MAX(0,Inputs!$B$44-((R929-1)*Skills!D13))))/Inputs!$B$44),IF(Inputs!$B$39="pvp",MIN((Skills!S13*(1+(Inputs!$B$35+IF(Inputs!$B$3&gt;=117,F942,0))/100)),15)/15,(Skills!S13*(1+(Inputs!$B$35+IF(Inputs!$B$3&gt;=117,F942,0))/100))/Skills!D13)),0)</f>
        <v/>
      </c>
    </row>
    <row r="955">
      <c r="A955" t="inlineStr">
        <is>
          <t>Buff-Casting Startup Delay (s, fixed-duration only)</t>
        </is>
      </c>
      <c r="B955">
        <f>IF(AND(Inputs!$B$39&lt;&gt;"pvp",Inputs!$B$44&gt;0),SUMPRODUCT((Skills!S2:S27&gt;0)*(Skills!E2:E27=TRUE)*(C918:C943=TRUE))/B951,0)</f>
        <v/>
      </c>
    </row>
    <row r="956">
      <c r="A956" s="5" t="inlineStr">
        <is>
          <t>TOTAL DPS</t>
        </is>
      </c>
      <c r="B956" s="5">
        <f>SUM(O918:O943)</f>
        <v/>
      </c>
    </row>
    <row r="958">
      <c r="A958" s="5" t="inlineStr">
        <is>
          <t>Stat: Flat ATTACK</t>
        </is>
      </c>
    </row>
    <row r="959">
      <c r="A959" s="9" t="inlineStr">
        <is>
          <t>Key</t>
        </is>
      </c>
      <c r="B959" s="9" t="inlineStr">
        <is>
          <t>Name</t>
        </is>
      </c>
      <c r="C959" s="9" t="inlineStr">
        <is>
          <t>Unlocked</t>
        </is>
      </c>
      <c r="D959" s="9" t="inlineStr">
        <is>
          <t>InputLevel</t>
        </is>
      </c>
      <c r="E959" s="9" t="inlineStr">
        <is>
          <t>Factor</t>
        </is>
      </c>
      <c r="F959" s="9" t="inlineStr">
        <is>
          <t>CoefficientPercent</t>
        </is>
      </c>
      <c r="G959" s="9" t="inlineStr">
        <is>
          <t>EffectiveHits</t>
        </is>
      </c>
      <c r="H959" s="9" t="inlineStr">
        <is>
          <t>ProcProbability</t>
        </is>
      </c>
      <c r="I959" s="9" t="inlineStr">
        <is>
          <t>MapleHeroMultiplier</t>
        </is>
      </c>
      <c r="J959" s="9" t="inlineStr">
        <is>
          <t>BaseDamage</t>
        </is>
      </c>
      <c r="K959" s="9" t="inlineStr">
        <is>
          <t>BaseHitDamage</t>
        </is>
      </c>
      <c r="L959" s="9" t="inlineStr">
        <is>
          <t>NonCritAvg</t>
        </is>
      </c>
      <c r="M959" s="9" t="inlineStr">
        <is>
          <t>CritAvg</t>
        </is>
      </c>
      <c r="N959" s="9" t="inlineStr">
        <is>
          <t>ExpectedDamage(perHit)</t>
        </is>
      </c>
      <c r="O959" s="9" t="inlineStr">
        <is>
          <t>DPS</t>
        </is>
      </c>
      <c r="P959" s="9" t="inlineStr">
        <is>
          <t>% of Total</t>
        </is>
      </c>
      <c r="R959" t="inlineStr">
        <is>
          <t>helpers</t>
        </is>
      </c>
    </row>
    <row r="960">
      <c r="A960">
        <f>Skills!A2</f>
        <v/>
      </c>
      <c r="B960">
        <f>Skills!B2</f>
        <v/>
      </c>
      <c r="C960">
        <f>Inputs!$B$3&gt;=100</f>
        <v/>
      </c>
      <c r="D960" t="inlineStr"/>
      <c r="E960" t="inlineStr"/>
      <c r="F960">
        <f>T962+Skills!N2</f>
        <v/>
      </c>
      <c r="G960">
        <f>Calc!G2</f>
        <v/>
      </c>
      <c r="H960">
        <f>Calc!H2</f>
        <v/>
      </c>
      <c r="I960">
        <f>IF(Skills!T2&lt;&gt;"",1+(Skills!T2/10)*($Z$3/1000)/100,1)</f>
        <v/>
      </c>
      <c r="J960">
        <f>(((Inputs!$B$6+1)*(1+Inputs!$B$7/100))+(((Inputs!$B$13*(1+Inputs!$B$14/100))-(Inputs!$B$13*(1+Inputs!$B$14/100)))+0.25*(Inputs!$B$15-Inputs!$B$15))*(1+Inputs!$B$7/100))*(F960/100)</f>
        <v/>
      </c>
      <c r="K960">
        <f>J960*(1+(((Inputs!$B$13+IF(Inputs!$B$3&gt;=35,(10*INDEX(FactorTable!$B$2:$Y$301, MATCH(ROUND(MIN(300,MAX(1,Inputs!$B$3)),0), FactorTable!$A$2:$A$301,0), 23)/1000)/100*(Inputs!$B$8*(1+(Inputs!$B$9+B996)/100)),0))*(1+Inputs!$B$14/100))*0.01+Inputs!$B$15*0.0025)/100)*(1+(Inputs!$B$16+B990)/100)*(1+IF(Inputs!$B$39="pvp",0,(1-Summary!$B$48)*(Inputs!$B$21+Skills!O2+B988)+Summary!$B$48*(Inputs!$B$22+Skills!P2+B989))/100)*(1+Inputs!$B$17/100)*(5000/(6000+Inputs!$B$43*(1-Inputs!$B$20/100)))*(1+Inputs!$B$25/100)*(1+IF(C976=TRUE,F976,0)/100)*(1+IF(C978=TRUE,F978,0)/100)*(1+IF(Skills!A2="TRIUMPH_FEATHER",IF(C974=TRUE,F974,0),0)/100)*(1+IF(C985=TRUE,F985,0)/100)^5*(1+(IF(Skills!A2="BIG_BANG",Inputs!$B$18,Inputs!$B$19))/100)*(B987*I960)</f>
        <v/>
      </c>
      <c r="L960">
        <f>K960*(MIN(Inputs!$B$23+(F980-Calc!F22),Inputs!$B$24)/100+Inputs!$B$24/100)/2</f>
        <v/>
      </c>
      <c r="M960">
        <f>L960*(1+(Inputs!$B$11+B991+(F983-Calc!F25))/100)</f>
        <v/>
      </c>
      <c r="N960">
        <f>L960*(1-MIN(Inputs!$B$10+((F982-Calc!F24)+(F981-Calc!F23)),100)/100)+M960*(MIN(Inputs!$B$10+((F982-Calc!F24)+(F981-Calc!F23)),100)/100)</f>
        <v/>
      </c>
      <c r="O960">
        <f>IF(C960,Skills!F2*N960*B995*IF(Inputs!$B$39="pvp",1,(1-Summary!$B$48)*(1)+Summary!$B$48*(MIN((6+Inputs!$B$34),Inputs!$B$38))),0)</f>
        <v/>
      </c>
      <c r="P960">
        <f>IF(B998=0,0,O960/B998)</f>
        <v/>
      </c>
      <c r="Q960">
        <f>IFERROR(1/IF(Inputs!$B$39="pvp",15,MAX(0.1,Skills!D2-IF(Skills!E2=TRUE,Inputs!$B$33,0))),0)</f>
        <v/>
      </c>
      <c r="R960" t="n">
        <v>0</v>
      </c>
      <c r="T960">
        <f>MAX(0,(Inputs!$B$3-100)*3)+Inputs!$B$29+Inputs!$B$30</f>
        <v/>
      </c>
    </row>
    <row r="961">
      <c r="A961">
        <f>Skills!A3</f>
        <v/>
      </c>
      <c r="B961">
        <f>Skills!B3</f>
        <v/>
      </c>
      <c r="C961">
        <f>Inputs!$B$3&gt;=15</f>
        <v/>
      </c>
      <c r="D961">
        <f>IF(Skills!C3=1,60+Inputs!$B$26+Inputs!$B$30,IF(Skills!C3=2,90+Inputs!$B$27+Inputs!$B$30,IF(Skills!C3=3,120+Inputs!$B$28+Inputs!$B$30,MAX(0,(Inputs!$B$3-100)*3)+Inputs!$B$29+Inputs!$B$30)))</f>
        <v/>
      </c>
      <c r="E961">
        <f>INDEX(FactorTable!$B$2:$Y$301, MATCH(ROUND(MIN(300,MAX(1,D961)),0), FactorTable!$A$2:$A$301,0), Skills!L3+1)</f>
        <v/>
      </c>
      <c r="F961">
        <f>IF(Skills!M3=TRUE,(Skills!K3/10)*(E961/1000),Skills!K3/10)+Skills!N3</f>
        <v/>
      </c>
      <c r="G961">
        <f>Calc!G3</f>
        <v/>
      </c>
      <c r="H961">
        <f>Calc!H3</f>
        <v/>
      </c>
      <c r="I961">
        <f>IF(Skills!T3&lt;&gt;"",1+(Skills!T3/10)*($Z$3/1000)/100,1)</f>
        <v/>
      </c>
      <c r="J961" t="inlineStr"/>
      <c r="K961" t="inlineStr"/>
      <c r="L961" t="inlineStr"/>
      <c r="M961" t="inlineStr"/>
      <c r="N961" t="inlineStr"/>
      <c r="O961" t="n">
        <v>0</v>
      </c>
      <c r="P961">
        <f>IF(B998=0,0,O961/B998)</f>
        <v/>
      </c>
      <c r="Q961">
        <f>IFERROR(1/IF(Inputs!$B$39="pvp",15,MAX(0.1,Skills!D3-IF(Skills!E3=TRUE,Inputs!$B$33,0))),0)</f>
        <v/>
      </c>
      <c r="R961">
        <f>IF(AND(Inputs!$B$39&lt;&gt;"pvp",Inputs!$B$44&gt;0),IF(Inputs!$B$44&lt;=0,0,(INT(Inputs!$B$44/IF(Inputs!$B$39="pvp",15,MAX(0.1,Skills!D3-IF(Skills!E3=TRUE,Inputs!$B$33,0))))+1)),0)</f>
        <v/>
      </c>
      <c r="T961">
        <f>INDEX(FactorTable!$B$2:$Y$301, MATCH(ROUND(MIN(300,MAX(1,T960)),0), FactorTable!$A$2:$A$301,0), 22)</f>
        <v/>
      </c>
    </row>
    <row r="962">
      <c r="A962">
        <f>Skills!A4</f>
        <v/>
      </c>
      <c r="B962">
        <f>Skills!B4</f>
        <v/>
      </c>
      <c r="C962">
        <f>Inputs!$B$3&gt;=38</f>
        <v/>
      </c>
      <c r="D962">
        <f>IF(Skills!C4=1,60+Inputs!$B$26+Inputs!$B$30,IF(Skills!C4=2,90+Inputs!$B$27+Inputs!$B$30,IF(Skills!C4=3,120+Inputs!$B$28+Inputs!$B$30,MAX(0,(Inputs!$B$3-100)*3)+Inputs!$B$29+Inputs!$B$30)))</f>
        <v/>
      </c>
      <c r="E962">
        <f>INDEX(FactorTable!$B$2:$Y$301, MATCH(ROUND(MIN(300,MAX(1,D962)),0), FactorTable!$A$2:$A$301,0), Skills!L4+1)</f>
        <v/>
      </c>
      <c r="F962">
        <f>IF(Skills!M4=TRUE,(Skills!K4/10)*(E962/1000),Skills!K4/10)+Skills!N4</f>
        <v/>
      </c>
      <c r="G962">
        <f>Calc!G4</f>
        <v/>
      </c>
      <c r="H962">
        <f>Calc!H4</f>
        <v/>
      </c>
      <c r="I962">
        <f>IF(Skills!T4&lt;&gt;"",1+(Skills!T4/10)*($Z$3/1000)/100,1)</f>
        <v/>
      </c>
      <c r="J962" t="inlineStr"/>
      <c r="K962" t="inlineStr"/>
      <c r="L962" t="inlineStr"/>
      <c r="M962" t="inlineStr"/>
      <c r="N962" t="inlineStr"/>
      <c r="O962" t="n">
        <v>0</v>
      </c>
      <c r="P962">
        <f>IF(B998=0,0,O962/B998)</f>
        <v/>
      </c>
      <c r="Q962">
        <f>IFERROR(1/IF(Inputs!$B$39="pvp",15,MAX(0.1,Skills!D4-IF(Skills!E4=TRUE,Inputs!$B$33,0))),0)</f>
        <v/>
      </c>
      <c r="R962">
        <f>IF(AND(Inputs!$B$39&lt;&gt;"pvp",Inputs!$B$44&gt;0),IF(Inputs!$B$44&lt;=0,0,(INT(Inputs!$B$44/IF(Inputs!$B$39="pvp",15,MAX(0.1,Skills!D4-IF(Skills!E4=TRUE,Inputs!$B$33,0))))+1)),0)</f>
        <v/>
      </c>
      <c r="T962">
        <f>290*T961/1000</f>
        <v/>
      </c>
    </row>
    <row r="963">
      <c r="A963">
        <f>Skills!A5</f>
        <v/>
      </c>
      <c r="B963">
        <f>Skills!B5</f>
        <v/>
      </c>
      <c r="C963">
        <f>Inputs!$B$3&gt;=40</f>
        <v/>
      </c>
      <c r="D963">
        <f>IF(Skills!C5=1,60+Inputs!$B$26+Inputs!$B$30,IF(Skills!C5=2,90+Inputs!$B$27+Inputs!$B$30,IF(Skills!C5=3,120+Inputs!$B$28+Inputs!$B$30,MAX(0,(Inputs!$B$3-100)*3)+Inputs!$B$29+Inputs!$B$30)))</f>
        <v/>
      </c>
      <c r="E963">
        <f>INDEX(FactorTable!$B$2:$Y$301, MATCH(ROUND(MIN(300,MAX(1,D963)),0), FactorTable!$A$2:$A$301,0), Skills!L5+1)</f>
        <v/>
      </c>
      <c r="F963">
        <f>IF(Skills!M5=TRUE,(Skills!K5/10)*(E963/1000),Skills!K5/10)+Skills!N5</f>
        <v/>
      </c>
      <c r="G963">
        <f>Calc!G5</f>
        <v/>
      </c>
      <c r="H963">
        <f>Calc!H5</f>
        <v/>
      </c>
      <c r="I963">
        <f>IF(Skills!T5&lt;&gt;"",1+(Skills!T5/10)*($Z$3/1000)/100,1)</f>
        <v/>
      </c>
      <c r="J963" t="inlineStr"/>
      <c r="K963" t="inlineStr"/>
      <c r="L963" t="inlineStr"/>
      <c r="M963" t="inlineStr"/>
      <c r="N963" t="inlineStr"/>
      <c r="O963" t="n">
        <v>0</v>
      </c>
      <c r="P963">
        <f>IF(B998=0,0,O963/B998)</f>
        <v/>
      </c>
      <c r="Q963">
        <f>IFERROR(1/IF(Inputs!$B$39="pvp",15,MAX(0.1,Skills!D5-IF(Skills!E5=TRUE,Inputs!$B$33,0))),0)</f>
        <v/>
      </c>
      <c r="R963">
        <f>IF(AND(Inputs!$B$39&lt;&gt;"pvp",Inputs!$B$44&gt;0),IF(Inputs!$B$44&lt;=0,0,(INT(Inputs!$B$44/IF(Inputs!$B$39="pvp",15,MAX(0.1,Skills!D5-IF(Skills!E5=TRUE,Inputs!$B$33,0))))+1)),0)</f>
        <v/>
      </c>
    </row>
    <row r="964">
      <c r="A964">
        <f>Skills!A6</f>
        <v/>
      </c>
      <c r="B964">
        <f>Skills!B6</f>
        <v/>
      </c>
      <c r="C964">
        <f>Inputs!$B$3&gt;=103</f>
        <v/>
      </c>
      <c r="D964">
        <f>IF(Skills!C6=1,60+Inputs!$B$26+Inputs!$B$30,IF(Skills!C6=2,90+Inputs!$B$27+Inputs!$B$30,IF(Skills!C6=3,120+Inputs!$B$28+Inputs!$B$30,MAX(0,(Inputs!$B$3-100)*3)+Inputs!$B$29+Inputs!$B$30)))</f>
        <v/>
      </c>
      <c r="E964">
        <f>INDEX(FactorTable!$B$2:$Y$301, MATCH(ROUND(MIN(300,MAX(1,D964)),0), FactorTable!$A$2:$A$301,0), Skills!L6+1)</f>
        <v/>
      </c>
      <c r="F964">
        <f>IF(Skills!M6=TRUE,(Skills!K6/10)*(E964/1000),Skills!K6/10)+Skills!N6</f>
        <v/>
      </c>
      <c r="G964">
        <f>Calc!G6</f>
        <v/>
      </c>
      <c r="H964">
        <f>Calc!H6</f>
        <v/>
      </c>
      <c r="I964">
        <f>IF(Skills!T6&lt;&gt;"",1+(Skills!T6/10)*($Z$3/1000)/100,1)</f>
        <v/>
      </c>
      <c r="J964">
        <f>(((Inputs!$B$6+1)*(1+Inputs!$B$7/100))+(((Inputs!$B$13*(1+Inputs!$B$14/100))-(Inputs!$B$13*(1+Inputs!$B$14/100)))+0.25*(Inputs!$B$15-Inputs!$B$15))*(1+Inputs!$B$7/100))*(F964/100)</f>
        <v/>
      </c>
      <c r="K964">
        <f>J964*(1+(((Inputs!$B$13+IF(Inputs!$B$3&gt;=35,(10*INDEX(FactorTable!$B$2:$Y$301, MATCH(ROUND(MIN(300,MAX(1,Inputs!$B$3)),0), FactorTable!$A$2:$A$301,0), 23)/1000)/100*(Inputs!$B$8*(1+(Inputs!$B$9+B996)/100)),0))*(1+Inputs!$B$14/100))*0.01+Inputs!$B$15*0.0025)/100)*(1+(Inputs!$B$16+B990)/100)*(1+IF(Inputs!$B$39="pvp",0,(1-Summary!$B$48)*(Inputs!$B$21+Skills!O6+B988)+Summary!$B$48*(Inputs!$B$22+Skills!P6+B989))/100)*(1+Inputs!$B$17/100)*(5000/(6000+Inputs!$B$43*(1-Inputs!$B$20/100)))*(1+Inputs!$B$25/100)*(1+IF(C976=TRUE,F976,0)/100)*(1+IF(C978=TRUE,F978,0)/100)*(1+IF(Skills!A6="TRIUMPH_FEATHER",IF(C974=TRUE,F974,0),0)/100)*(1+IF(C985=TRUE,F985,0)/100)^5*(1+(IF(Skills!A6="BIG_BANG",Inputs!$B$18,Inputs!$B$19))/100)*(B987*I964)</f>
        <v/>
      </c>
      <c r="L964">
        <f>K964*(MIN(Inputs!$B$23+(F980-Calc!F22),Inputs!$B$24)/100+Inputs!$B$24/100)/2</f>
        <v/>
      </c>
      <c r="M964">
        <f>L964*(1+(Inputs!$B$11+B991+(F983-Calc!F25))/100)</f>
        <v/>
      </c>
      <c r="N964">
        <f>L964*(1-MIN(Inputs!$B$10+((F982-Calc!F24)+(F981-Calc!F23)),100)/100)+M964*(MIN(Inputs!$B$10+((F982-Calc!F24)+(F981-Calc!F23)),100)/100)</f>
        <v/>
      </c>
      <c r="O964">
        <f>IF(C964,H964*N964*IF(AND(Inputs!$B$39&lt;&gt;"pvp",Inputs!$B$44&gt;0),((Skills!F6*((R964-1)*IF(Skills!G6&gt;0,Skills!H6/Skills!G6,1)+IF(Skills!G6&gt;0,MIN(Skills!H6,MAX(0,MAX(0,Inputs!$B$44-B997)-((R964-1)*IF(Inputs!$B$39="pvp",15,MAX(0.1,Skills!D6-IF(Skills!E6=TRUE,Inputs!$B$33,0))))))/Skills!G6,1)))/Inputs!$B$44),G964*Q964)*IF(Inputs!$B$39="pvp",1,(1-Summary!$B$48)*(1)+Summary!$B$48*(MIN(Skills!Q6,Inputs!$B$38))),0)</f>
        <v/>
      </c>
      <c r="P964">
        <f>IF(B998=0,0,O964/B998)</f>
        <v/>
      </c>
      <c r="Q964">
        <f>IFERROR(1/IF(Inputs!$B$39="pvp",15,MAX(0.1,Skills!D6-IF(Skills!E6=TRUE,Inputs!$B$33,0))),0)</f>
        <v/>
      </c>
      <c r="R964">
        <f>IF(AND(Inputs!$B$39&lt;&gt;"pvp",Inputs!$B$44&gt;0),IF(MAX(0,Inputs!$B$44-B997)&lt;=0,0,(INT(MAX(0,Inputs!$B$44-B997)/IF(Inputs!$B$39="pvp",15,MAX(0.1,Skills!D6-IF(Skills!E6=TRUE,Inputs!$B$33,0))))+1)),0)</f>
        <v/>
      </c>
    </row>
    <row r="965">
      <c r="A965">
        <f>Skills!A7</f>
        <v/>
      </c>
      <c r="B965">
        <f>Skills!B7</f>
        <v/>
      </c>
      <c r="C965">
        <f>Inputs!$B$3&gt;=122</f>
        <v/>
      </c>
      <c r="D965">
        <f>IF(Skills!C7=1,60+Inputs!$B$26+Inputs!$B$30,IF(Skills!C7=2,90+Inputs!$B$27+Inputs!$B$30,IF(Skills!C7=3,120+Inputs!$B$28+Inputs!$B$30,MAX(0,(Inputs!$B$3-100)*3)+Inputs!$B$29+Inputs!$B$30)))</f>
        <v/>
      </c>
      <c r="E965">
        <f>INDEX(FactorTable!$B$2:$Y$301, MATCH(ROUND(MIN(300,MAX(1,D965)),0), FactorTable!$A$2:$A$301,0), Skills!L7+1)</f>
        <v/>
      </c>
      <c r="F965">
        <f>IF(Skills!M7=TRUE,(Skills!K7/10)*(E965/1000),Skills!K7/10)+Skills!N7</f>
        <v/>
      </c>
      <c r="G965">
        <f>Calc!G7</f>
        <v/>
      </c>
      <c r="H965">
        <f>Calc!H7</f>
        <v/>
      </c>
      <c r="I965">
        <f>IF(Skills!T7&lt;&gt;"",1+(Skills!T7/10)*($Z$3/1000)/100,1)</f>
        <v/>
      </c>
      <c r="J965">
        <f>(((Inputs!$B$6+1)*(1+Inputs!$B$7/100))+(((Inputs!$B$13*(1+Inputs!$B$14/100))-(Inputs!$B$13*(1+Inputs!$B$14/100)))+0.25*(Inputs!$B$15-Inputs!$B$15))*(1+Inputs!$B$7/100))*(F965/100)</f>
        <v/>
      </c>
      <c r="K965">
        <f>J965*(1+(((Inputs!$B$13+IF(Inputs!$B$3&gt;=35,(10*INDEX(FactorTable!$B$2:$Y$301, MATCH(ROUND(MIN(300,MAX(1,Inputs!$B$3)),0), FactorTable!$A$2:$A$301,0), 23)/1000)/100*(Inputs!$B$8*(1+(Inputs!$B$9+B996)/100)),0))*(1+Inputs!$B$14/100))*0.01+Inputs!$B$15*0.0025)/100)*(1+(Inputs!$B$16+B990)/100)*(1+IF(Inputs!$B$39="pvp",0,(1-Summary!$B$48)*(Inputs!$B$21+Skills!O7+B988)+Summary!$B$48*(Inputs!$B$22+Skills!P7+B989))/100)*(1+Inputs!$B$17/100)*(5000/(6000+Inputs!$B$43*(1-Inputs!$B$20/100)))*(1+Inputs!$B$25/100)*(1+IF(C976=TRUE,F976,0)/100)*(1+IF(C978=TRUE,F978,0)/100)*(1+IF(Skills!A7="TRIUMPH_FEATHER",IF(C974=TRUE,F974,0),0)/100)*(1+IF(C985=TRUE,F985,0)/100)^5*(1+(IF(Skills!A7="BIG_BANG",Inputs!$B$18,Inputs!$B$19))/100)*(B987*I965)</f>
        <v/>
      </c>
      <c r="L965">
        <f>K965*(MIN(Inputs!$B$23+(F980-Calc!F22),Inputs!$B$24)/100+Inputs!$B$24/100)/2</f>
        <v/>
      </c>
      <c r="M965">
        <f>L965*(1+(Inputs!$B$11+B991+(F983-Calc!F25))/100)</f>
        <v/>
      </c>
      <c r="N965">
        <f>L965*(1-MIN(Inputs!$B$10+((F982-Calc!F24)+(F981-Calc!F23)),100)/100)+M965*(MIN(Inputs!$B$10+((F982-Calc!F24)+(F981-Calc!F23)),100)/100)</f>
        <v/>
      </c>
      <c r="O965">
        <f>IF(C965,H965*N965*IF(AND(Inputs!$B$39&lt;&gt;"pvp",Inputs!$B$44&gt;0),((Skills!F7*((R965-1)*IF(Skills!G7&gt;0,Skills!H7/Skills!G7,1)+IF(Skills!G7&gt;0,MIN(Skills!H7,MAX(0,MAX(0,Inputs!$B$44-B997)-((R965-1)*IF(Inputs!$B$39="pvp",15,MAX(0.1,Skills!D7-IF(Skills!E6=TRUE,Inputs!$B$33,0))))))/Skills!G7,1)))/Inputs!$B$44),G965*Q965)*(1-Summary!$B$48),0)</f>
        <v/>
      </c>
      <c r="P965">
        <f>IF(B998=0,0,O965/B998)</f>
        <v/>
      </c>
      <c r="Q965">
        <f>IFERROR(1/IF(Inputs!$B$39="pvp",15,MAX(0.1,Skills!D7-IF(Skills!E6=TRUE,Inputs!$B$33,0))),0)</f>
        <v/>
      </c>
      <c r="R965">
        <f>IF(AND(Inputs!$B$39&lt;&gt;"pvp",Inputs!$B$44&gt;0),IF(MAX(0,Inputs!$B$44-B997)&lt;=0,0,(INT(MAX(0,Inputs!$B$44-B997)/IF(Inputs!$B$39="pvp",15,MAX(0.1,Skills!D7-IF(Skills!E6=TRUE,Inputs!$B$33,0))))+1)),0)</f>
        <v/>
      </c>
    </row>
    <row r="966">
      <c r="A966">
        <f>Skills!A8</f>
        <v/>
      </c>
      <c r="B966">
        <f>Skills!B8</f>
        <v/>
      </c>
      <c r="C966">
        <f>Inputs!$B$3&gt;=105</f>
        <v/>
      </c>
      <c r="D966">
        <f>IF(Skills!C8=1,60+Inputs!$B$26+Inputs!$B$30,IF(Skills!C8=2,90+Inputs!$B$27+Inputs!$B$30,IF(Skills!C8=3,120+Inputs!$B$28+Inputs!$B$30,MAX(0,(Inputs!$B$3-100)*3)+Inputs!$B$29+Inputs!$B$30)))</f>
        <v/>
      </c>
      <c r="E966">
        <f>INDEX(FactorTable!$B$2:$Y$301, MATCH(ROUND(MIN(300,MAX(1,D966)),0), FactorTable!$A$2:$A$301,0), Skills!L8+1)</f>
        <v/>
      </c>
      <c r="F966">
        <f>IF(Skills!M8=TRUE,(Skills!K8/10)*(E966/1000),Skills!K8/10)+Skills!N8</f>
        <v/>
      </c>
      <c r="G966">
        <f>Calc!G8</f>
        <v/>
      </c>
      <c r="H966">
        <f>Calc!H8</f>
        <v/>
      </c>
      <c r="I966">
        <f>IF(Skills!T8&lt;&gt;"",1+(Skills!T8/10)*($Z$3/1000)/100,1)</f>
        <v/>
      </c>
      <c r="J966">
        <f>(((Inputs!$B$6+1)*(1+Inputs!$B$7/100))+(((Inputs!$B$13*(1+Inputs!$B$14/100))-(Inputs!$B$13*(1+Inputs!$B$14/100)))+0.25*(Inputs!$B$15-Inputs!$B$15))*(1+Inputs!$B$7/100))*(F966/100)</f>
        <v/>
      </c>
      <c r="K966">
        <f>J966*(1+(((Inputs!$B$13+IF(Inputs!$B$3&gt;=35,(10*INDEX(FactorTable!$B$2:$Y$301, MATCH(ROUND(MIN(300,MAX(1,Inputs!$B$3)),0), FactorTable!$A$2:$A$301,0), 23)/1000)/100*(Inputs!$B$8*(1+(Inputs!$B$9+B996)/100)),0))*(1+Inputs!$B$14/100))*0.01+Inputs!$B$15*0.0025)/100)*(1+(Inputs!$B$16+B990)/100)*(1+IF(Inputs!$B$39="pvp",0,(1-Summary!$B$48)*(Inputs!$B$21+Skills!O8+B988)+Summary!$B$48*(Inputs!$B$22+Skills!P8+B989))/100)*(1+Inputs!$B$17/100)*(5000/(6000+Inputs!$B$43*(1-Inputs!$B$20/100)))*(1+Inputs!$B$25/100)*(1+IF(C976=TRUE,F976,0)/100)*(1+IF(C978=TRUE,F978,0)/100)*(1+IF(Skills!A8="TRIUMPH_FEATHER",IF(C974=TRUE,F974,0),0)/100)*(1+IF(C985=TRUE,F985,0)/100)^5*(1+(IF(Skills!A8="BIG_BANG",Inputs!$B$18,Inputs!$B$19))/100)*(B987*I966)</f>
        <v/>
      </c>
      <c r="L966">
        <f>K966*(MIN(Inputs!$B$23+(F980-Calc!F22),Inputs!$B$24)/100+Inputs!$B$24/100)/2</f>
        <v/>
      </c>
      <c r="M966">
        <f>L966*(1+(Inputs!$B$11+B991+(F983-Calc!F25))/100)</f>
        <v/>
      </c>
      <c r="N966">
        <f>L966*(1-MIN(Inputs!$B$10+((F982-Calc!F24)+(F981-Calc!F23)),100)/100)+M966*(MIN(Inputs!$B$10+((F982-Calc!F24)+(F981-Calc!F23)),100)/100)</f>
        <v/>
      </c>
      <c r="O966">
        <f>IF(C966,H966*N966*IF(AND(Inputs!$B$39&lt;&gt;"pvp",Inputs!$B$44&gt;0),((Skills!F8*((R966-1)*IF(Skills!G8&gt;0,Skills!H8/Skills!G8,1)+IF(Skills!G8&gt;0,MIN(Skills!H8,MAX(0,MAX(0,Inputs!$B$44-B997)-((R966-1)*IF(Inputs!$B$39="pvp",15,MAX(0.1,Skills!D8-IF(Skills!E8=TRUE,Inputs!$B$33,0))))))/Skills!G8,1)))/Inputs!$B$44),G966*Q966)*IF(Inputs!$B$39="pvp",1,(1-Summary!$B$48)*(1)+Summary!$B$48*(MIN(Skills!Q8,Inputs!$B$38))),0)</f>
        <v/>
      </c>
      <c r="P966">
        <f>IF(B998=0,0,O966/B998)</f>
        <v/>
      </c>
      <c r="Q966">
        <f>IFERROR(1/IF(Inputs!$B$39="pvp",15,MAX(0.1,Skills!D8-IF(Skills!E8=TRUE,Inputs!$B$33,0))),0)</f>
        <v/>
      </c>
      <c r="R966">
        <f>IF(AND(Inputs!$B$39&lt;&gt;"pvp",Inputs!$B$44&gt;0),IF(MAX(0,Inputs!$B$44-B997)&lt;=0,0,(INT(MAX(0,Inputs!$B$44-B997)/IF(Inputs!$B$39="pvp",15,MAX(0.1,Skills!D8-IF(Skills!E8=TRUE,Inputs!$B$33,0))))+1)),0)</f>
        <v/>
      </c>
    </row>
    <row r="967">
      <c r="A967">
        <f>Skills!A9</f>
        <v/>
      </c>
      <c r="B967">
        <f>Skills!B9</f>
        <v/>
      </c>
      <c r="C967">
        <f>Inputs!$B$3&gt;=115</f>
        <v/>
      </c>
      <c r="D967">
        <f>IF(Skills!C9=1,60+Inputs!$B$26+Inputs!$B$30,IF(Skills!C9=2,90+Inputs!$B$27+Inputs!$B$30,IF(Skills!C9=3,120+Inputs!$B$28+Inputs!$B$30,MAX(0,(Inputs!$B$3-100)*3)+Inputs!$B$29+Inputs!$B$30)))</f>
        <v/>
      </c>
      <c r="E967">
        <f>INDEX(FactorTable!$B$2:$Y$301, MATCH(ROUND(MIN(300,MAX(1,D967)),0), FactorTable!$A$2:$A$301,0), Skills!L9+1)</f>
        <v/>
      </c>
      <c r="F967">
        <f>IF(Skills!M9=TRUE,(Skills!K9/10)*(E967/1000),Skills!K9/10)+Skills!N9</f>
        <v/>
      </c>
      <c r="G967">
        <f>Calc!G9</f>
        <v/>
      </c>
      <c r="H967">
        <f>Calc!H9</f>
        <v/>
      </c>
      <c r="I967">
        <f>IF(Skills!T9&lt;&gt;"",1+(Skills!T9/10)*($Z$3/1000)/100,1)</f>
        <v/>
      </c>
      <c r="J967">
        <f>(((Inputs!$B$6+1)*(1+Inputs!$B$7/100))+(((Inputs!$B$13*(1+Inputs!$B$14/100))-(Inputs!$B$13*(1+Inputs!$B$14/100)))+0.25*(Inputs!$B$15-Inputs!$B$15))*(1+Inputs!$B$7/100))*(F967/100)</f>
        <v/>
      </c>
      <c r="K967">
        <f>J967*(1+(((Inputs!$B$13+IF(Inputs!$B$3&gt;=35,(10*INDEX(FactorTable!$B$2:$Y$301, MATCH(ROUND(MIN(300,MAX(1,Inputs!$B$3)),0), FactorTable!$A$2:$A$301,0), 23)/1000)/100*(Inputs!$B$8*(1+(Inputs!$B$9+B996)/100)),0))*(1+Inputs!$B$14/100))*0.01+Inputs!$B$15*0.0025)/100)*(1+(Inputs!$B$16+B990)/100)*(1+IF(Inputs!$B$39="pvp",0,(1-Summary!$B$48)*(Inputs!$B$21+Skills!O9+B988)+Summary!$B$48*(Inputs!$B$22+Skills!P9+B989))/100)*(1+Inputs!$B$17/100)*(5000/(6000+Inputs!$B$43*(1-Inputs!$B$20/100)))*(1+Inputs!$B$25/100)*(1+IF(C976=TRUE,F976,0)/100)*(1+IF(C978=TRUE,F978,0)/100)*(1+IF(Skills!A9="TRIUMPH_FEATHER",IF(C974=TRUE,F974,0),0)/100)*(1+IF(C985=TRUE,F985,0)/100)^5*(1+(IF(Skills!A9="BIG_BANG",Inputs!$B$18,Inputs!$B$19))/100)*(B987*I967)</f>
        <v/>
      </c>
      <c r="L967">
        <f>K967*(MIN(Inputs!$B$23+(F980-Calc!F22),Inputs!$B$24)/100+Inputs!$B$24/100)/2</f>
        <v/>
      </c>
      <c r="M967">
        <f>L967*(1+(Inputs!$B$11+B991+(F983-Calc!F25))/100)</f>
        <v/>
      </c>
      <c r="N967">
        <f>L967*(1-MIN(Inputs!$B$10+((F982-Calc!F24)+(F981-Calc!F23)),100)/100)+M967*(MIN(Inputs!$B$10+((F982-Calc!F24)+(F981-Calc!F23)),100)/100)</f>
        <v/>
      </c>
      <c r="O967">
        <f>IF(C967,H967*N967*IF(AND(Inputs!$B$39&lt;&gt;"pvp",Inputs!$B$44&gt;0),((Skills!F9*((R967-1)*IF(Skills!G9&gt;0,Skills!H9/Skills!G9,1)+IF(Skills!G9&gt;0,MIN(Skills!H9,MAX(0,MAX(0,Inputs!$B$44-B997)-((R967-1)*IF(Inputs!$B$39="pvp",15,MAX(0.1,Skills!D9-IF(Skills!E9=TRUE,Inputs!$B$33,0))))))/Skills!G9,1)))/Inputs!$B$44),G967*Q967)*IF(Inputs!$B$39="pvp",1,(1-Summary!$B$48)*(1)+Summary!$B$48*(MIN(Skills!Q9,Inputs!$B$38))),0)</f>
        <v/>
      </c>
      <c r="P967">
        <f>IF(B998=0,0,O967/B998)</f>
        <v/>
      </c>
      <c r="Q967">
        <f>IFERROR(1/IF(Inputs!$B$39="pvp",15,MAX(0.1,Skills!D9-IF(Skills!E9=TRUE,Inputs!$B$33,0))),0)</f>
        <v/>
      </c>
      <c r="R967">
        <f>IF(AND(Inputs!$B$39&lt;&gt;"pvp",Inputs!$B$44&gt;0),IF(MAX(0,Inputs!$B$44-B997)&lt;=0,0,(INT(MAX(0,Inputs!$B$44-B997)/IF(Inputs!$B$39="pvp",15,MAX(0.1,Skills!D9-IF(Skills!E9=TRUE,Inputs!$B$33,0))))+1)),0)</f>
        <v/>
      </c>
    </row>
    <row r="968">
      <c r="A968">
        <f>Skills!A10</f>
        <v/>
      </c>
      <c r="B968">
        <f>Skills!B10</f>
        <v/>
      </c>
      <c r="C968">
        <f>Inputs!$B$3&gt;=66</f>
        <v/>
      </c>
      <c r="D968">
        <f>IF(Skills!C10=1,60+Inputs!$B$26+Inputs!$B$30,IF(Skills!C10=2,90+Inputs!$B$27+Inputs!$B$30,IF(Skills!C10=3,120+Inputs!$B$28+Inputs!$B$30,MAX(0,(Inputs!$B$3-100)*3)+Inputs!$B$29+Inputs!$B$30)))</f>
        <v/>
      </c>
      <c r="E968">
        <f>INDEX(FactorTable!$B$2:$Y$301, MATCH(ROUND(MIN(300,MAX(1,D968)),0), FactorTable!$A$2:$A$301,0), Skills!L10+1)</f>
        <v/>
      </c>
      <c r="F968" t="n">
        <v>0</v>
      </c>
      <c r="G968">
        <f>Calc!G10</f>
        <v/>
      </c>
      <c r="H968">
        <f>Calc!H10</f>
        <v/>
      </c>
      <c r="I968">
        <f>IF(Skills!T10&lt;&gt;"",1+(Skills!T10/10)*($Z$3/1000)/100,1)</f>
        <v/>
      </c>
      <c r="J968" t="inlineStr"/>
      <c r="K968" t="inlineStr"/>
      <c r="L968" t="inlineStr"/>
      <c r="M968" t="inlineStr"/>
      <c r="N968" t="inlineStr"/>
      <c r="O968" t="n">
        <v>0</v>
      </c>
      <c r="P968">
        <f>IF(B998=0,0,O968/B998)</f>
        <v/>
      </c>
      <c r="Q968">
        <f>IFERROR(1/IF(Inputs!$B$39="pvp",15,MAX(0.1,Skills!D10-IF(Skills!E10=TRUE,Inputs!$B$33,0))),0)</f>
        <v/>
      </c>
      <c r="R968">
        <f>IF(AND(Inputs!$B$39&lt;&gt;"pvp",Inputs!$B$44&gt;0),IF(MAX(0,Inputs!$B$44-B997)&lt;=0,0,(INT(MAX(0,Inputs!$B$44-B997)/IF(Inputs!$B$39="pvp",15,MAX(0.1,Skills!D10-IF(Skills!E10=TRUE,Inputs!$B$33,0))))+1)),0)</f>
        <v/>
      </c>
    </row>
    <row r="969">
      <c r="A969">
        <f>Skills!A11</f>
        <v/>
      </c>
      <c r="B969">
        <f>Skills!B11</f>
        <v/>
      </c>
      <c r="C969">
        <f>Inputs!$B$3&gt;=69</f>
        <v/>
      </c>
      <c r="D969">
        <f>IF(Skills!C11=1,60+Inputs!$B$26+Inputs!$B$30,IF(Skills!C11=2,90+Inputs!$B$27+Inputs!$B$30,IF(Skills!C11=3,120+Inputs!$B$28+Inputs!$B$30,MAX(0,(Inputs!$B$3-100)*3)+Inputs!$B$29+Inputs!$B$30)))</f>
        <v/>
      </c>
      <c r="E969">
        <f>INDEX(FactorTable!$B$2:$Y$301, MATCH(ROUND(MIN(300,MAX(1,D969)),0), FactorTable!$A$2:$A$301,0), Skills!L11+1)</f>
        <v/>
      </c>
      <c r="F969">
        <f>IF(Skills!M11=TRUE,(Skills!K11/10)*(E969/1000),Skills!K11/10)+Skills!N11</f>
        <v/>
      </c>
      <c r="G969">
        <f>Calc!G11</f>
        <v/>
      </c>
      <c r="H969">
        <f>Calc!H11</f>
        <v/>
      </c>
      <c r="I969">
        <f>IF(Skills!T11&lt;&gt;"",1+(Skills!T11/10)*($Z$3/1000)/100,1)</f>
        <v/>
      </c>
      <c r="J969" t="inlineStr"/>
      <c r="K969" t="inlineStr"/>
      <c r="L969" t="inlineStr"/>
      <c r="M969" t="inlineStr"/>
      <c r="N969" t="inlineStr"/>
      <c r="O969" t="n">
        <v>0</v>
      </c>
      <c r="P969">
        <f>IF(B998=0,0,O969/B998)</f>
        <v/>
      </c>
      <c r="Q969">
        <f>IFERROR(1/IF(Inputs!$B$39="pvp",15,MAX(0.1,Skills!D11-IF(Skills!E11=TRUE,Inputs!$B$33,0))),0)</f>
        <v/>
      </c>
      <c r="R969">
        <f>IF(AND(Inputs!$B$39&lt;&gt;"pvp",Inputs!$B$44&gt;0),IF(Inputs!$B$44&lt;=0,0,(INT(Inputs!$B$44/IF(Inputs!$B$39="pvp",15,MAX(0.1,Skills!D11-IF(Skills!E11=TRUE,Inputs!$B$33,0))))+1)),0)</f>
        <v/>
      </c>
    </row>
    <row r="970">
      <c r="A970">
        <f>Skills!A12</f>
        <v/>
      </c>
      <c r="B970">
        <f>Skills!B12</f>
        <v/>
      </c>
      <c r="C970">
        <f>Inputs!$B$3&gt;=72</f>
        <v/>
      </c>
      <c r="D970">
        <f>IF(Skills!C12=1,60+Inputs!$B$26+Inputs!$B$30,IF(Skills!C12=2,90+Inputs!$B$27+Inputs!$B$30,IF(Skills!C12=3,120+Inputs!$B$28+Inputs!$B$30,MAX(0,(Inputs!$B$3-100)*3)+Inputs!$B$29+Inputs!$B$30)))</f>
        <v/>
      </c>
      <c r="E970">
        <f>INDEX(FactorTable!$B$2:$Y$301, MATCH(ROUND(MIN(300,MAX(1,D970)),0), FactorTable!$A$2:$A$301,0), Skills!L12+1)</f>
        <v/>
      </c>
      <c r="F970">
        <f>IF(Skills!M12=TRUE,(Skills!K12/10)*(E970/1000),Skills!K12/10)+Skills!N12</f>
        <v/>
      </c>
      <c r="G970">
        <f>Calc!G12</f>
        <v/>
      </c>
      <c r="H970">
        <f>Calc!H12</f>
        <v/>
      </c>
      <c r="I970">
        <f>IF(Skills!T12&lt;&gt;"",1+(Skills!T12/10)*($Z$3/1000)/100,1)</f>
        <v/>
      </c>
      <c r="J970" t="inlineStr"/>
      <c r="K970" t="inlineStr"/>
      <c r="L970" t="inlineStr"/>
      <c r="M970" t="inlineStr"/>
      <c r="N970" t="inlineStr"/>
      <c r="O970" t="n">
        <v>0</v>
      </c>
      <c r="P970">
        <f>IF(B998=0,0,O970/B998)</f>
        <v/>
      </c>
      <c r="Q970">
        <f>IFERROR(1/IF(Inputs!$B$39="pvp",15,MAX(0.1,Skills!D12-IF(Skills!E12=TRUE,Inputs!$B$33,0))),0)</f>
        <v/>
      </c>
      <c r="R970">
        <f>IF(AND(Inputs!$B$39&lt;&gt;"pvp",Inputs!$B$44&gt;0),IF(MAX(0,Inputs!$B$44-B997)&lt;=0,0,(INT(MAX(0,Inputs!$B$44-B997)/IF(Inputs!$B$39="pvp",15,MAX(0.1,Skills!D12-IF(Skills!E12=TRUE,Inputs!$B$33,0))))+1)),0)</f>
        <v/>
      </c>
    </row>
    <row r="971">
      <c r="A971">
        <f>Skills!A13</f>
        <v/>
      </c>
      <c r="B971">
        <f>Skills!B13</f>
        <v/>
      </c>
      <c r="C971">
        <f>Inputs!$B$3&gt;=60</f>
        <v/>
      </c>
      <c r="D971">
        <f>IF(Skills!C13=1,60+Inputs!$B$26+Inputs!$B$30,IF(Skills!C13=2,90+Inputs!$B$27+Inputs!$B$30,IF(Skills!C13=3,120+Inputs!$B$28+Inputs!$B$30,MAX(0,(Inputs!$B$3-100)*3)+Inputs!$B$29+Inputs!$B$30)))</f>
        <v/>
      </c>
      <c r="E971">
        <f>INDEX(FactorTable!$B$2:$Y$301, MATCH(ROUND(MIN(300,MAX(1,D971)),0), FactorTable!$A$2:$A$301,0), Skills!L13+1)</f>
        <v/>
      </c>
      <c r="F971">
        <f>IF(Skills!M13=TRUE,(Skills!K13/10)*(E971/1000),Skills!K13/10)+Skills!N13</f>
        <v/>
      </c>
      <c r="G971">
        <f>Calc!G13</f>
        <v/>
      </c>
      <c r="H971">
        <f>Calc!H13</f>
        <v/>
      </c>
      <c r="I971">
        <f>IF(Skills!T13&lt;&gt;"",1+(Skills!T13/10)*($Z$3/1000)/100,1)</f>
        <v/>
      </c>
      <c r="J971" t="inlineStr"/>
      <c r="K971" t="inlineStr"/>
      <c r="L971" t="inlineStr"/>
      <c r="M971" t="inlineStr"/>
      <c r="N971" t="inlineStr"/>
      <c r="O971" t="n">
        <v>0</v>
      </c>
      <c r="P971">
        <f>IF(B998=0,0,O971/B998)</f>
        <v/>
      </c>
      <c r="Q971">
        <f>IFERROR(1/IF(Inputs!$B$39="pvp",15,MAX(0.1,Skills!D13-IF(Skills!E13=TRUE,Inputs!$B$33,0))),0)</f>
        <v/>
      </c>
      <c r="R971">
        <f>IF(AND(Inputs!$B$39&lt;&gt;"pvp",Inputs!$B$44&gt;0),IF(MAX(0,Inputs!$B$44-B997)&lt;=0,0,(INT(MAX(0,Inputs!$B$44-B997)/IF(Inputs!$B$39="pvp",15,MAX(0.1,Skills!D13-IF(Skills!E13=TRUE,Inputs!$B$33,0))))+1)),0)</f>
        <v/>
      </c>
    </row>
    <row r="972">
      <c r="A972">
        <f>Skills!A14</f>
        <v/>
      </c>
      <c r="B972">
        <f>Skills!B14</f>
        <v/>
      </c>
      <c r="C972">
        <f>Inputs!$B$3&gt;=107</f>
        <v/>
      </c>
      <c r="D972">
        <f>IF(Skills!C14=1,60+Inputs!$B$26+Inputs!$B$30,IF(Skills!C14=2,90+Inputs!$B$27+Inputs!$B$30,IF(Skills!C14=3,120+Inputs!$B$28+Inputs!$B$30,MAX(0,(Inputs!$B$3-100)*3)+Inputs!$B$29+Inputs!$B$30)))</f>
        <v/>
      </c>
      <c r="E972">
        <f>INDEX(FactorTable!$B$2:$Y$301, MATCH(ROUND(MIN(300,MAX(1,D972)),0), FactorTable!$A$2:$A$301,0), Skills!L14+1)</f>
        <v/>
      </c>
      <c r="F972">
        <f>IF(Skills!M14=TRUE,(Skills!K14/10)*(E972/1000),Skills!K14/10)+Skills!N14</f>
        <v/>
      </c>
      <c r="G972">
        <f>Calc!G14</f>
        <v/>
      </c>
      <c r="H972">
        <f>Calc!H14</f>
        <v/>
      </c>
      <c r="I972">
        <f>IF(Skills!T14&lt;&gt;"",1+(Skills!T14/10)*($Z$3/1000)/100,1)</f>
        <v/>
      </c>
      <c r="J972" t="inlineStr"/>
      <c r="K972" t="inlineStr"/>
      <c r="L972" t="inlineStr"/>
      <c r="M972" t="inlineStr"/>
      <c r="N972" t="inlineStr"/>
      <c r="O972" t="n">
        <v>0</v>
      </c>
      <c r="P972">
        <f>IF(B998=0,0,O972/B998)</f>
        <v/>
      </c>
      <c r="Q972">
        <f>IFERROR(1/IF(Inputs!$B$39="pvp",15,MAX(0.1,Skills!D14-IF(Skills!E14=TRUE,Inputs!$B$33,0))),0)</f>
        <v/>
      </c>
      <c r="R972">
        <f>IF(AND(Inputs!$B$39&lt;&gt;"pvp",Inputs!$B$44&gt;0),IF(Inputs!$B$44&lt;=0,0,(INT(Inputs!$B$44/IF(Inputs!$B$39="pvp",15,MAX(0.1,Skills!D14-IF(Skills!E14=TRUE,Inputs!$B$33,0))))+1)),0)</f>
        <v/>
      </c>
    </row>
    <row r="973">
      <c r="A973">
        <f>Skills!A15</f>
        <v/>
      </c>
      <c r="B973">
        <f>Skills!B15</f>
        <v/>
      </c>
      <c r="C973">
        <f>Inputs!$B$3&gt;=63</f>
        <v/>
      </c>
      <c r="D973">
        <f>IF(Skills!C15=1,60+Inputs!$B$26+Inputs!$B$30,IF(Skills!C15=2,90+Inputs!$B$27+Inputs!$B$30,IF(Skills!C15=3,120+Inputs!$B$28+Inputs!$B$30,MAX(0,(Inputs!$B$3-100)*3)+Inputs!$B$29+Inputs!$B$30)))</f>
        <v/>
      </c>
      <c r="E973">
        <f>INDEX(FactorTable!$B$2:$Y$301, MATCH(ROUND(MIN(300,MAX(1,D973)),0), FactorTable!$A$2:$A$301,0), Skills!L15+1)</f>
        <v/>
      </c>
      <c r="F973">
        <f>IF(Skills!M15=TRUE,(Skills!K15/10)*(E973/1000),Skills!K15/10)+Skills!N15</f>
        <v/>
      </c>
      <c r="G973">
        <f>Calc!G15</f>
        <v/>
      </c>
      <c r="H973">
        <f>Calc!H15</f>
        <v/>
      </c>
      <c r="I973">
        <f>IF(Skills!T15&lt;&gt;"",1+(Skills!T15/10)*($Z$3/1000)/100,1)</f>
        <v/>
      </c>
      <c r="J973">
        <f>(((Inputs!$B$6+1)*(1+Inputs!$B$7/100))+(((Inputs!$B$13*(1+Inputs!$B$14/100))-(Inputs!$B$13*(1+Inputs!$B$14/100)))+0.25*(Inputs!$B$15-Inputs!$B$15))*(1+Inputs!$B$7/100))*(F973/100)</f>
        <v/>
      </c>
      <c r="K973">
        <f>J973*(1+(((Inputs!$B$13+IF(Inputs!$B$3&gt;=35,(10*INDEX(FactorTable!$B$2:$Y$301, MATCH(ROUND(MIN(300,MAX(1,Inputs!$B$3)),0), FactorTable!$A$2:$A$301,0), 23)/1000)/100*(Inputs!$B$8*(1+(Inputs!$B$9+B996)/100)),0))*(1+Inputs!$B$14/100))*0.01+Inputs!$B$15*0.0025)/100)*(1+(Inputs!$B$16+B990)/100)*(1+IF(Inputs!$B$39="pvp",0,(1-Summary!$B$48)*(Inputs!$B$21+Skills!O15+B988)+Summary!$B$48*(Inputs!$B$22+Skills!P15+B989))/100)*(1+Inputs!$B$17/100)*(5000/(6000+Inputs!$B$43*(1-Inputs!$B$20/100)))*(1+Inputs!$B$25/100)*(1+IF(C976=TRUE,F976,0)/100)*(1+IF(C978=TRUE,F978,0)/100)*(1+IF(Skills!A15="TRIUMPH_FEATHER",IF(C974=TRUE,F974,0),0)/100)*(1+IF(C985=TRUE,F985,0)/100)^5*(1+(IF(Skills!A15="BIG_BANG",Inputs!$B$18,Inputs!$B$19))/100)*(B987*I973)</f>
        <v/>
      </c>
      <c r="L973">
        <f>K973*(MIN(Inputs!$B$23+(F980-Calc!F22),Inputs!$B$24)/100+Inputs!$B$24/100)/2</f>
        <v/>
      </c>
      <c r="M973">
        <f>L973*(1+(Inputs!$B$11+B991+(F983-Calc!F25))/100)</f>
        <v/>
      </c>
      <c r="N973">
        <f>L973*(1-MIN(Inputs!$B$10+((F982-Calc!F24)+(F981-Calc!F23)),100)/100)+M973*(MIN(Inputs!$B$10+((F982-Calc!F24)+(F981-Calc!F23)),100)/100)</f>
        <v/>
      </c>
      <c r="O973">
        <f>IF(C973,Skills!F15*N973*((IF(Inputs!$B$3&gt;=78,25,15)/100*B993*10)/(1+IF(Inputs!$B$3&gt;=78,25,15)/100*B993*10))*(Skills!I15/100*B993)/(1+Skills!G15*Skills!I15/100*B993)*IF(Inputs!$B$39="pvp",1,(1-Summary!$B$48)*(1)+Summary!$B$48*(MIN(Skills!Q15,Inputs!$B$38))),0)</f>
        <v/>
      </c>
      <c r="P973">
        <f>IF(B998=0,0,O973/B998)</f>
        <v/>
      </c>
      <c r="Q973">
        <f>IFERROR(1/IF(Inputs!$B$39="pvp",15,MAX(0.1,Skills!D15-IF(Skills!E15=TRUE,Inputs!$B$33,0))),0)</f>
        <v/>
      </c>
      <c r="R973" t="n">
        <v>0</v>
      </c>
    </row>
    <row r="974">
      <c r="A974">
        <f>Skills!A16</f>
        <v/>
      </c>
      <c r="B974">
        <f>Skills!B16</f>
        <v/>
      </c>
      <c r="C974">
        <f>Inputs!$B$3&gt;=100</f>
        <v/>
      </c>
      <c r="D974">
        <f>IF(Skills!C16=1,60+Inputs!$B$26+Inputs!$B$30,IF(Skills!C16=2,90+Inputs!$B$27+Inputs!$B$30,IF(Skills!C16=3,120+Inputs!$B$28+Inputs!$B$30,MAX(0,(Inputs!$B$3-100)*3)+Inputs!$B$29+Inputs!$B$30)))</f>
        <v/>
      </c>
      <c r="E974">
        <f>INDEX(FactorTable!$B$2:$Y$301, MATCH(ROUND(MIN(300,MAX(1,D974)),0), FactorTable!$A$2:$A$301,0), Skills!L16+1)</f>
        <v/>
      </c>
      <c r="F974">
        <f>IF(Skills!M16=TRUE,(Skills!K16/10)*(E974/1000),Skills!K16/10)+Skills!N16</f>
        <v/>
      </c>
      <c r="G974">
        <f>Calc!G16</f>
        <v/>
      </c>
      <c r="H974">
        <f>Calc!H16</f>
        <v/>
      </c>
      <c r="I974">
        <f>IF(Skills!T16&lt;&gt;"",1+(Skills!T16/10)*($Z$3/1000)/100,1)</f>
        <v/>
      </c>
      <c r="J974" t="inlineStr"/>
      <c r="K974" t="inlineStr"/>
      <c r="L974" t="inlineStr"/>
      <c r="M974" t="inlineStr"/>
      <c r="N974" t="inlineStr"/>
      <c r="O974" t="n">
        <v>0</v>
      </c>
      <c r="P974">
        <f>IF(B998=0,0,O974/B998)</f>
        <v/>
      </c>
      <c r="Q974">
        <f>IFERROR(1/IF(Inputs!$B$39="pvp",15,MAX(0.1,Skills!D16-IF(Skills!E16=TRUE,Inputs!$B$33,0))),0)</f>
        <v/>
      </c>
      <c r="R974" t="n">
        <v>0</v>
      </c>
    </row>
    <row r="975">
      <c r="A975">
        <f>Skills!A17</f>
        <v/>
      </c>
      <c r="B975">
        <f>Skills!B17</f>
        <v/>
      </c>
      <c r="C975">
        <f>Inputs!$B$3&gt;=49</f>
        <v/>
      </c>
      <c r="D975">
        <f>IF(Skills!C17=1,60+Inputs!$B$26+Inputs!$B$30,IF(Skills!C17=2,90+Inputs!$B$27+Inputs!$B$30,IF(Skills!C17=3,120+Inputs!$B$28+Inputs!$B$30,MAX(0,(Inputs!$B$3-100)*3)+Inputs!$B$29+Inputs!$B$30)))</f>
        <v/>
      </c>
      <c r="E975">
        <f>INDEX(FactorTable!$B$2:$Y$301, MATCH(ROUND(MIN(300,MAX(1,D975)),0), FactorTable!$A$2:$A$301,0), Skills!L17+1)</f>
        <v/>
      </c>
      <c r="F975">
        <f>IF(Skills!M17=TRUE,(Skills!K17/10)*(E975/1000),Skills!K17/10)+Skills!N17</f>
        <v/>
      </c>
      <c r="G975">
        <f>Calc!G17</f>
        <v/>
      </c>
      <c r="H975">
        <f>Calc!H17</f>
        <v/>
      </c>
      <c r="I975">
        <f>IF(Skills!T17&lt;&gt;"",1+(Skills!T17/10)*($Z$3/1000)/100,1)</f>
        <v/>
      </c>
      <c r="J975" t="inlineStr"/>
      <c r="K975" t="inlineStr"/>
      <c r="L975" t="inlineStr"/>
      <c r="M975" t="inlineStr"/>
      <c r="N975" t="inlineStr"/>
      <c r="O975" t="n">
        <v>0</v>
      </c>
      <c r="P975">
        <f>IF(B998=0,0,O975/B998)</f>
        <v/>
      </c>
      <c r="Q975">
        <f>IFERROR(1/IF(Inputs!$B$39="pvp",15,MAX(0.1,Skills!D17-IF(Skills!E17=TRUE,Inputs!$B$33,0))),0)</f>
        <v/>
      </c>
      <c r="R975" t="n">
        <v>0</v>
      </c>
    </row>
    <row r="976">
      <c r="A976">
        <f>Skills!A18</f>
        <v/>
      </c>
      <c r="B976">
        <f>Skills!B18</f>
        <v/>
      </c>
      <c r="C976">
        <f>Inputs!$B$3&gt;=75</f>
        <v/>
      </c>
      <c r="D976">
        <f>IF(Skills!C18=1,60+Inputs!$B$26+Inputs!$B$30,IF(Skills!C18=2,90+Inputs!$B$27+Inputs!$B$30,IF(Skills!C18=3,120+Inputs!$B$28+Inputs!$B$30,MAX(0,(Inputs!$B$3-100)*3)+Inputs!$B$29+Inputs!$B$30)))</f>
        <v/>
      </c>
      <c r="E976">
        <f>INDEX(FactorTable!$B$2:$Y$301, MATCH(ROUND(MIN(300,MAX(1,D976)),0), FactorTable!$A$2:$A$301,0), Skills!L18+1)</f>
        <v/>
      </c>
      <c r="F976">
        <f>IF(Skills!M18=TRUE,(Skills!K18/10)*(E976/1000),Skills!K18/10)+Skills!N18</f>
        <v/>
      </c>
      <c r="G976">
        <f>Calc!G18</f>
        <v/>
      </c>
      <c r="H976">
        <f>Calc!H18</f>
        <v/>
      </c>
      <c r="I976">
        <f>IF(Skills!T18&lt;&gt;"",1+(Skills!T18/10)*($Z$3/1000)/100,1)</f>
        <v/>
      </c>
      <c r="J976" t="inlineStr"/>
      <c r="K976" t="inlineStr"/>
      <c r="L976" t="inlineStr"/>
      <c r="M976" t="inlineStr"/>
      <c r="N976" t="inlineStr"/>
      <c r="O976" t="n">
        <v>0</v>
      </c>
      <c r="P976">
        <f>IF(B998=0,0,O976/B998)</f>
        <v/>
      </c>
      <c r="Q976">
        <f>IFERROR(1/IF(Inputs!$B$39="pvp",15,MAX(0.1,Skills!D18-IF(Skills!E18=TRUE,Inputs!$B$33,0))),0)</f>
        <v/>
      </c>
      <c r="R976" t="n">
        <v>0</v>
      </c>
    </row>
    <row r="977">
      <c r="A977">
        <f>Skills!A19</f>
        <v/>
      </c>
      <c r="B977">
        <f>Skills!B19</f>
        <v/>
      </c>
      <c r="C977">
        <f>Inputs!$B$3&gt;=110</f>
        <v/>
      </c>
      <c r="D977">
        <f>IF(Skills!C19=1,60+Inputs!$B$26+Inputs!$B$30,IF(Skills!C19=2,90+Inputs!$B$27+Inputs!$B$30,IF(Skills!C19=3,120+Inputs!$B$28+Inputs!$B$30,MAX(0,(Inputs!$B$3-100)*3)+Inputs!$B$29+Inputs!$B$30)))</f>
        <v/>
      </c>
      <c r="E977">
        <f>INDEX(FactorTable!$B$2:$Y$301, MATCH(ROUND(MIN(300,MAX(1,D977)),0), FactorTable!$A$2:$A$301,0), Skills!L19+1)</f>
        <v/>
      </c>
      <c r="F977">
        <f>(Skills!K19/10)*(E977/1000)*64/45+Skills!N19</f>
        <v/>
      </c>
      <c r="G977">
        <f>Calc!G19</f>
        <v/>
      </c>
      <c r="H977">
        <f>Calc!H19</f>
        <v/>
      </c>
      <c r="I977">
        <f>IF(Skills!T19&lt;&gt;"",1+(Skills!T19/10)*($Z$3/1000)/100,1)</f>
        <v/>
      </c>
      <c r="J977" t="inlineStr"/>
      <c r="K977" t="inlineStr"/>
      <c r="L977" t="inlineStr"/>
      <c r="M977" t="inlineStr"/>
      <c r="N977" t="inlineStr"/>
      <c r="O977" t="n">
        <v>0</v>
      </c>
      <c r="P977">
        <f>IF(B998=0,0,O977/B998)</f>
        <v/>
      </c>
      <c r="Q977">
        <f>IFERROR(1/IF(Inputs!$B$39="pvp",15,MAX(0.1,Skills!D19-IF(Skills!E19=TRUE,Inputs!$B$33,0))),0)</f>
        <v/>
      </c>
      <c r="R977">
        <f>IF(AND(Inputs!$B$39&lt;&gt;"pvp",Inputs!$B$44&gt;0),IF(Inputs!$B$44&lt;=0,0,(INT(Inputs!$B$44/IF(Inputs!$B$39="pvp",15,MAX(0.1,Skills!D19-IF(Skills!E19=TRUE,Inputs!$B$33,0))))+1)),0)</f>
        <v/>
      </c>
    </row>
    <row r="978">
      <c r="A978">
        <f>Skills!A20</f>
        <v/>
      </c>
      <c r="B978">
        <f>Skills!B20</f>
        <v/>
      </c>
      <c r="C978">
        <f>Inputs!$B$3&gt;=125</f>
        <v/>
      </c>
      <c r="D978">
        <f>IF(Skills!C20=1,60+Inputs!$B$26+Inputs!$B$30,IF(Skills!C20=2,90+Inputs!$B$27+Inputs!$B$30,IF(Skills!C20=3,120+Inputs!$B$28+Inputs!$B$30,MAX(0,(Inputs!$B$3-100)*3)+Inputs!$B$29+Inputs!$B$30)))</f>
        <v/>
      </c>
      <c r="E978">
        <f>INDEX(FactorTable!$B$2:$Y$301, MATCH(ROUND(MIN(300,MAX(1,D978)),0), FactorTable!$A$2:$A$301,0), Skills!L20+1)</f>
        <v/>
      </c>
      <c r="F978">
        <f>IF(Skills!M20=TRUE,(Skills!K20/10)*(E978/1000),Skills!K20/10)+Skills!N20</f>
        <v/>
      </c>
      <c r="G978">
        <f>Calc!G20</f>
        <v/>
      </c>
      <c r="H978">
        <f>Calc!H20</f>
        <v/>
      </c>
      <c r="I978">
        <f>IF(Skills!T20&lt;&gt;"",1+(Skills!T20/10)*($Z$3/1000)/100,1)</f>
        <v/>
      </c>
      <c r="J978" t="inlineStr"/>
      <c r="K978" t="inlineStr"/>
      <c r="L978" t="inlineStr"/>
      <c r="M978" t="inlineStr"/>
      <c r="N978" t="inlineStr"/>
      <c r="O978" t="n">
        <v>0</v>
      </c>
      <c r="P978">
        <f>IF(B998=0,0,O978/B998)</f>
        <v/>
      </c>
      <c r="Q978">
        <f>IFERROR(1/IF(Inputs!$B$39="pvp",15,MAX(0.1,Skills!D20-IF(Skills!E20=TRUE,Inputs!$B$33,0))),0)</f>
        <v/>
      </c>
      <c r="R978" t="n">
        <v>0</v>
      </c>
    </row>
    <row r="979">
      <c r="A979">
        <f>Skills!A21</f>
        <v/>
      </c>
      <c r="B979">
        <f>Skills!B21</f>
        <v/>
      </c>
      <c r="C979">
        <f>Inputs!$B$3&gt;=33</f>
        <v/>
      </c>
      <c r="D979">
        <f>IF(Skills!C21=1,60+Inputs!$B$26+Inputs!$B$30,IF(Skills!C21=2,90+Inputs!$B$27+Inputs!$B$30,IF(Skills!C21=3,120+Inputs!$B$28+Inputs!$B$30,MAX(0,(Inputs!$B$3-100)*3)+Inputs!$B$29+Inputs!$B$30)))</f>
        <v/>
      </c>
      <c r="E979">
        <f>INDEX(FactorTable!$B$2:$Y$301, MATCH(ROUND(MIN(300,MAX(1,D979)),0), FactorTable!$A$2:$A$301,0), Skills!L21+1)</f>
        <v/>
      </c>
      <c r="F979">
        <f>IF(Skills!M21=TRUE,(Skills!K21/10)*(E979/1000),Skills!K21/10)+Skills!N21</f>
        <v/>
      </c>
      <c r="G979">
        <f>Calc!G21</f>
        <v/>
      </c>
      <c r="H979">
        <f>Calc!H21</f>
        <v/>
      </c>
      <c r="I979">
        <f>IF(Skills!T21&lt;&gt;"",1+(Skills!T21/10)*($Z$3/1000)/100,1)</f>
        <v/>
      </c>
      <c r="J979" t="inlineStr"/>
      <c r="K979" t="inlineStr"/>
      <c r="L979" t="inlineStr"/>
      <c r="M979" t="inlineStr"/>
      <c r="N979" t="inlineStr"/>
      <c r="O979" t="n">
        <v>0</v>
      </c>
      <c r="P979">
        <f>IF(B998=0,0,O979/B998)</f>
        <v/>
      </c>
      <c r="Q979">
        <f>IFERROR(1/IF(Inputs!$B$39="pvp",15,MAX(0.1,Skills!D21-IF(Skills!E21=TRUE,Inputs!$B$33,0))),0)</f>
        <v/>
      </c>
      <c r="R979" t="n">
        <v>0</v>
      </c>
    </row>
    <row r="980">
      <c r="A980">
        <f>Skills!A22</f>
        <v/>
      </c>
      <c r="B980">
        <f>Skills!B22</f>
        <v/>
      </c>
      <c r="C980">
        <f>Inputs!$B$3&gt;=43</f>
        <v/>
      </c>
      <c r="D980">
        <f>IF(Skills!C22=1,60+Inputs!$B$26+Inputs!$B$30,IF(Skills!C22=2,90+Inputs!$B$27+Inputs!$B$30,IF(Skills!C22=3,120+Inputs!$B$28+Inputs!$B$30,MAX(0,(Inputs!$B$3-100)*3)+Inputs!$B$29+Inputs!$B$30)))</f>
        <v/>
      </c>
      <c r="E980">
        <f>INDEX(FactorTable!$B$2:$Y$301, MATCH(ROUND(MIN(300,MAX(1,D980)),0), FactorTable!$A$2:$A$301,0), Skills!L22+1)</f>
        <v/>
      </c>
      <c r="F980">
        <f>IF(Skills!M22=TRUE,(Skills!K22/10)*(E980/1000),Skills!K22/10)+Skills!N22</f>
        <v/>
      </c>
      <c r="G980">
        <f>Calc!G22</f>
        <v/>
      </c>
      <c r="H980">
        <f>Calc!H22</f>
        <v/>
      </c>
      <c r="I980">
        <f>IF(Skills!T22&lt;&gt;"",1+(Skills!T22/10)*($Z$3/1000)/100,1)</f>
        <v/>
      </c>
      <c r="J980" t="inlineStr"/>
      <c r="K980" t="inlineStr"/>
      <c r="L980" t="inlineStr"/>
      <c r="M980" t="inlineStr"/>
      <c r="N980" t="inlineStr"/>
      <c r="O980" t="n">
        <v>0</v>
      </c>
      <c r="P980">
        <f>IF(B998=0,0,O980/B998)</f>
        <v/>
      </c>
      <c r="Q980">
        <f>IFERROR(1/IF(Inputs!$B$39="pvp",15,MAX(0.1,Skills!D22-IF(Skills!E22=TRUE,Inputs!$B$33,0))),0)</f>
        <v/>
      </c>
      <c r="R980" t="n">
        <v>0</v>
      </c>
    </row>
    <row r="981">
      <c r="A981">
        <f>Skills!A23</f>
        <v/>
      </c>
      <c r="B981">
        <f>Skills!B23</f>
        <v/>
      </c>
      <c r="C981">
        <f>Inputs!$B$3&gt;=50</f>
        <v/>
      </c>
      <c r="D981">
        <f>IF(Skills!C23=1,60+Inputs!$B$26+Inputs!$B$30,IF(Skills!C23=2,90+Inputs!$B$27+Inputs!$B$30,IF(Skills!C23=3,120+Inputs!$B$28+Inputs!$B$30,MAX(0,(Inputs!$B$3-100)*3)+Inputs!$B$29+Inputs!$B$30)))</f>
        <v/>
      </c>
      <c r="E981">
        <f>INDEX(FactorTable!$B$2:$Y$301, MATCH(ROUND(MIN(300,MAX(1,D981)),0), FactorTable!$A$2:$A$301,0), Skills!L23+1)</f>
        <v/>
      </c>
      <c r="F981">
        <f>IF(Skills!M23=TRUE,(Skills!K23/10)*(E981/1000),Skills!K23/10)+Skills!N23</f>
        <v/>
      </c>
      <c r="G981">
        <f>Calc!G23</f>
        <v/>
      </c>
      <c r="H981">
        <f>Calc!H23</f>
        <v/>
      </c>
      <c r="I981">
        <f>IF(Skills!T23&lt;&gt;"",1+(Skills!T23/10)*($Z$3/1000)/100,1)</f>
        <v/>
      </c>
      <c r="J981" t="inlineStr"/>
      <c r="K981" t="inlineStr"/>
      <c r="L981" t="inlineStr"/>
      <c r="M981" t="inlineStr"/>
      <c r="N981" t="inlineStr"/>
      <c r="O981" t="n">
        <v>0</v>
      </c>
      <c r="P981">
        <f>IF(B998=0,0,O981/B998)</f>
        <v/>
      </c>
      <c r="Q981">
        <f>IFERROR(1/IF(Inputs!$B$39="pvp",15,MAX(0.1,Skills!D23-IF(Skills!E23=TRUE,Inputs!$B$33,0))),0)</f>
        <v/>
      </c>
      <c r="R981" t="n">
        <v>0</v>
      </c>
    </row>
    <row r="982">
      <c r="A982">
        <f>Skills!A24</f>
        <v/>
      </c>
      <c r="B982">
        <f>Skills!B24</f>
        <v/>
      </c>
      <c r="C982">
        <f>Inputs!$B$3&gt;=74</f>
        <v/>
      </c>
      <c r="D982">
        <f>IF(Skills!C24=1,60+Inputs!$B$26+Inputs!$B$30,IF(Skills!C24=2,90+Inputs!$B$27+Inputs!$B$30,IF(Skills!C24=3,120+Inputs!$B$28+Inputs!$B$30,MAX(0,(Inputs!$B$3-100)*3)+Inputs!$B$29+Inputs!$B$30)))</f>
        <v/>
      </c>
      <c r="E982">
        <f>INDEX(FactorTable!$B$2:$Y$301, MATCH(ROUND(MIN(300,MAX(1,D982)),0), FactorTable!$A$2:$A$301,0), Skills!L24+1)</f>
        <v/>
      </c>
      <c r="F982">
        <f>IF(Skills!M24=TRUE,(Skills!K24/10)*(E982/1000),Skills!K24/10)+Skills!N24</f>
        <v/>
      </c>
      <c r="G982">
        <f>Calc!G24</f>
        <v/>
      </c>
      <c r="H982">
        <f>Calc!H24</f>
        <v/>
      </c>
      <c r="I982">
        <f>IF(Skills!T24&lt;&gt;"",1+(Skills!T24/10)*($Z$3/1000)/100,1)</f>
        <v/>
      </c>
      <c r="J982" t="inlineStr"/>
      <c r="K982" t="inlineStr"/>
      <c r="L982" t="inlineStr"/>
      <c r="M982" t="inlineStr"/>
      <c r="N982" t="inlineStr"/>
      <c r="O982" t="n">
        <v>0</v>
      </c>
      <c r="P982">
        <f>IF(B998=0,0,O982/B998)</f>
        <v/>
      </c>
      <c r="Q982">
        <f>IFERROR(1/IF(Inputs!$B$39="pvp",15,MAX(0.1,Skills!D24-IF(Skills!E24=TRUE,Inputs!$B$33,0))),0)</f>
        <v/>
      </c>
      <c r="R982" t="n">
        <v>0</v>
      </c>
    </row>
    <row r="983">
      <c r="A983">
        <f>Skills!A25</f>
        <v/>
      </c>
      <c r="B983">
        <f>Skills!B25</f>
        <v/>
      </c>
      <c r="C983">
        <f>Inputs!$B$3&gt;=74</f>
        <v/>
      </c>
      <c r="D983">
        <f>IF(Skills!C25=1,60+Inputs!$B$26+Inputs!$B$30,IF(Skills!C25=2,90+Inputs!$B$27+Inputs!$B$30,IF(Skills!C25=3,120+Inputs!$B$28+Inputs!$B$30,MAX(0,(Inputs!$B$3-100)*3)+Inputs!$B$29+Inputs!$B$30)))</f>
        <v/>
      </c>
      <c r="E983">
        <f>INDEX(FactorTable!$B$2:$Y$301, MATCH(ROUND(MIN(300,MAX(1,D983)),0), FactorTable!$A$2:$A$301,0), Skills!L25+1)</f>
        <v/>
      </c>
      <c r="F983">
        <f>IF(Skills!M25=TRUE,(Skills!K25/10)*(E983/1000),Skills!K25/10)+Skills!N25</f>
        <v/>
      </c>
      <c r="G983">
        <f>Calc!G25</f>
        <v/>
      </c>
      <c r="H983">
        <f>Calc!H25</f>
        <v/>
      </c>
      <c r="I983">
        <f>IF(Skills!T25&lt;&gt;"",1+(Skills!T25/10)*($Z$3/1000)/100,1)</f>
        <v/>
      </c>
      <c r="J983" t="inlineStr"/>
      <c r="K983" t="inlineStr"/>
      <c r="L983" t="inlineStr"/>
      <c r="M983" t="inlineStr"/>
      <c r="N983" t="inlineStr"/>
      <c r="O983" t="n">
        <v>0</v>
      </c>
      <c r="P983">
        <f>IF(B998=0,0,O983/B998)</f>
        <v/>
      </c>
      <c r="Q983">
        <f>IFERROR(1/IF(Inputs!$B$39="pvp",15,MAX(0.1,Skills!D25-IF(Skills!E25=TRUE,Inputs!$B$33,0))),0)</f>
        <v/>
      </c>
      <c r="R983" t="n">
        <v>0</v>
      </c>
    </row>
    <row r="984">
      <c r="A984">
        <f>Skills!A26</f>
        <v/>
      </c>
      <c r="B984">
        <f>Skills!B26</f>
        <v/>
      </c>
      <c r="C984">
        <f>Inputs!$B$3&gt;=117</f>
        <v/>
      </c>
      <c r="D984">
        <f>IF(Skills!C26=1,60+Inputs!$B$26+Inputs!$B$30,IF(Skills!C26=2,90+Inputs!$B$27+Inputs!$B$30,IF(Skills!C26=3,120+Inputs!$B$28+Inputs!$B$30,MAX(0,(Inputs!$B$3-100)*3)+Inputs!$B$29+Inputs!$B$30)))</f>
        <v/>
      </c>
      <c r="E984">
        <f>INDEX(FactorTable!$B$2:$Y$301, MATCH(ROUND(MIN(300,MAX(1,D984)),0), FactorTable!$A$2:$A$301,0), Skills!L26+1)</f>
        <v/>
      </c>
      <c r="F984">
        <f>IF(Skills!M26=TRUE,(Skills!K26/10)*(E984/1000),Skills!K26/10)+Skills!N26</f>
        <v/>
      </c>
      <c r="G984">
        <f>Calc!G26</f>
        <v/>
      </c>
      <c r="H984">
        <f>Calc!H26</f>
        <v/>
      </c>
      <c r="I984">
        <f>IF(Skills!T26&lt;&gt;"",1+(Skills!T26/10)*($Z$3/1000)/100,1)</f>
        <v/>
      </c>
      <c r="J984" t="inlineStr"/>
      <c r="K984" t="inlineStr"/>
      <c r="L984" t="inlineStr"/>
      <c r="M984" t="inlineStr"/>
      <c r="N984" t="inlineStr"/>
      <c r="O984" t="n">
        <v>0</v>
      </c>
      <c r="P984">
        <f>IF(B998=0,0,O984/B998)</f>
        <v/>
      </c>
      <c r="Q984">
        <f>IFERROR(1/IF(Inputs!$B$39="pvp",15,MAX(0.1,Skills!D26-IF(Skills!E26=TRUE,Inputs!$B$33,0))),0)</f>
        <v/>
      </c>
      <c r="R984" t="n">
        <v>0</v>
      </c>
    </row>
    <row r="985">
      <c r="A985">
        <f>Skills!A27</f>
        <v/>
      </c>
      <c r="B985">
        <f>Skills!B27</f>
        <v/>
      </c>
      <c r="C985">
        <f>Inputs!$B$3&gt;=120</f>
        <v/>
      </c>
      <c r="D985">
        <f>IF(Skills!C27=1,60+Inputs!$B$26+Inputs!$B$30,IF(Skills!C27=2,90+Inputs!$B$27+Inputs!$B$30,IF(Skills!C27=3,120+Inputs!$B$28+Inputs!$B$30,MAX(0,(Inputs!$B$3-100)*3)+Inputs!$B$29+Inputs!$B$30)))</f>
        <v/>
      </c>
      <c r="E985">
        <f>INDEX(FactorTable!$B$2:$Y$301, MATCH(ROUND(MIN(300,MAX(1,D985)),0), FactorTable!$A$2:$A$301,0), Skills!L27+1)</f>
        <v/>
      </c>
      <c r="F985">
        <f>IF(Skills!M27=TRUE,(Skills!K27/10)*(E985/1000),Skills!K27/10)+Skills!N27</f>
        <v/>
      </c>
      <c r="G985">
        <f>Calc!G27</f>
        <v/>
      </c>
      <c r="H985">
        <f>Calc!H27</f>
        <v/>
      </c>
      <c r="I985">
        <f>IF(Skills!T27&lt;&gt;"",1+(Skills!T27/10)*($Z$3/1000)/100,1)</f>
        <v/>
      </c>
      <c r="J985" t="inlineStr"/>
      <c r="K985" t="inlineStr"/>
      <c r="L985" t="inlineStr"/>
      <c r="M985" t="inlineStr"/>
      <c r="N985" t="inlineStr"/>
      <c r="O985" t="n">
        <v>0</v>
      </c>
      <c r="P985">
        <f>IF(B998=0,0,O985/B998)</f>
        <v/>
      </c>
      <c r="Q985">
        <f>IFERROR(1/IF(Inputs!$B$39="pvp",15,MAX(0.1,Skills!D27-IF(Skills!E27=TRUE,Inputs!$B$33,0))),0)</f>
        <v/>
      </c>
      <c r="R985" t="n">
        <v>0</v>
      </c>
    </row>
    <row r="987">
      <c r="A987" t="inlineStr">
        <is>
          <t>Average Buff Multiplier</t>
        </is>
      </c>
      <c r="B987">
        <f>(1+(IF(C961=TRUE,F961*IF(AND(Inputs!$B$39&lt;&gt;"pvp",Inputs!$B$44&gt;0),(((R961-1)*(Skills!S3*(1+(Inputs!$B$35+IF(Inputs!$B$3&gt;=117,F984,0))/100))+MIN((Skills!S3*(1+(Inputs!$B$35+IF(Inputs!$B$3&gt;=117,F984,0))/100)),MAX(0,Inputs!$B$44-((R961-1)*Skills!D3))))/Inputs!$B$44),IF(Inputs!$B$39="pvp",MIN((Skills!S3*(1+(Inputs!$B$35+IF(Inputs!$B$3&gt;=117,F984,0))/100)),15)/15,(Skills!S3*(1+(Inputs!$B$35+IF(Inputs!$B$3&gt;=117,F984,0))/100))/Skills!D3)),0)+IF(C962=TRUE,F962*IF(AND(Inputs!$B$39&lt;&gt;"pvp",Inputs!$B$44&gt;0),(((R962-1)*(Skills!S4*(1+(Inputs!$B$35+IF(Inputs!$B$3&gt;=117,F984,0))/100))+MIN((Skills!S4*(1+(Inputs!$B$35+IF(Inputs!$B$3&gt;=117,F984,0))/100)),MAX(0,Inputs!$B$44-((R962-1)*Skills!D4))))/Inputs!$B$44),IF(Inputs!$B$39="pvp",MIN((Skills!S4*(1+(Inputs!$B$35+IF(Inputs!$B$3&gt;=117,F984,0))/100)),15)/15,(Skills!S4*(1+(Inputs!$B$35+IF(Inputs!$B$3&gt;=117,F984,0))/100))/Skills!D4)),0)+IF(C963=TRUE,F963*IF(AND(Inputs!$B$39&lt;&gt;"pvp",Inputs!$B$44&gt;0),(((R963-1)*(Skills!S5*(1+(Inputs!$B$35+IF(Inputs!$B$3&gt;=117,F984,0))/100))+MIN((Skills!S5*(1+(Inputs!$B$35+IF(Inputs!$B$3&gt;=117,F984,0))/100)),MAX(0,Inputs!$B$44-((R963-1)*Skills!D5))))/Inputs!$B$44),IF(Inputs!$B$39="pvp",MIN((Skills!S5*(1+(Inputs!$B$35+IF(Inputs!$B$3&gt;=117,F984,0))/100)),15)/15,(Skills!S5*(1+(Inputs!$B$35+IF(Inputs!$B$3&gt;=117,F984,0))/100))/Skills!D5)),0)+IF(C969=TRUE,F969*IF(AND(Inputs!$B$39&lt;&gt;"pvp",Inputs!$B$44&gt;0),(((R969-1)*(Skills!S11*(1+(Inputs!$B$35+IF(Inputs!$B$3&gt;=117,F984,0))/100))+MIN((Skills!S11*(1+(Inputs!$B$35+IF(Inputs!$B$3&gt;=117,F984,0))/100)),MAX(0,Inputs!$B$44-((R969-1)*Skills!D11))))/Inputs!$B$44),IF(Inputs!$B$39="pvp",MIN((Skills!S11*(1+(Inputs!$B$35+IF(Inputs!$B$3&gt;=117,F984,0))/100)),15)/15,(Skills!S11*(1+(Inputs!$B$35+IF(Inputs!$B$3&gt;=117,F984,0))/100))/Skills!D11)),0))/100)*IF(C972=TRUE,(1+F972*IF(AND(Inputs!$B$39&lt;&gt;"pvp",Inputs!$B$44&gt;0),(((R972-1)*(Skills!S14*(1+(Inputs!$B$35+IF(Inputs!$B$3&gt;=117,F984,0))/100))+MIN((Skills!S14*(1+(Inputs!$B$35+IF(Inputs!$B$3&gt;=117,F984,0))/100)),MAX(0,Inputs!$B$44-((R972-1)*Skills!D14))))/Inputs!$B$44),IF(Inputs!$B$39="pvp",MIN((Skills!S14*(1+(Inputs!$B$35+IF(Inputs!$B$3&gt;=117,F984,0))/100)),15)/15,(Skills!S14*(1+(Inputs!$B$35+IF(Inputs!$B$3&gt;=117,F984,0))/100))/Skills!D14))/100),1)*IF(C977=TRUE,(1+F977*IF(AND(Inputs!$B$39&lt;&gt;"pvp",Inputs!$B$44&gt;0),(((R977-1)*(Skills!S19*(1+(Inputs!$B$35+IF(Inputs!$B$3&gt;=117,F984,0))/100))+MIN((Skills!S19*(1+(Inputs!$B$35+IF(Inputs!$B$3&gt;=117,F984,0))/100)),MAX(0,Inputs!$B$44-((R977-1)*Skills!D19))))/Inputs!$B$44),IF(Inputs!$B$39="pvp",MIN((Skills!S19*(1+(Inputs!$B$35+IF(Inputs!$B$3&gt;=117,F984,0))/100)),15)/15,(Skills!S19*(1+(Inputs!$B$35+IF(Inputs!$B$3&gt;=117,F984,0))/100))/Skills!D19))/100),1)</f>
        <v/>
      </c>
    </row>
    <row r="988">
      <c r="A988" t="inlineStr">
        <is>
          <t>Monster Damage Taken Bonus % (Holy Fountain)</t>
        </is>
      </c>
      <c r="B988">
        <f>IF(Inputs!$B$3&gt;=68,20*IF(Inputs!$B$39="pvp",MIN((15*(1+(Inputs!$B$35+IF(Inputs!$B$3&gt;=117,F984,0))/100)),15)/15,(15*(1+(Inputs!$B$35+IF(Inputs!$B$3&gt;=117,F984,0))/100))/Skills!D10),0)</f>
        <v/>
      </c>
    </row>
    <row r="989">
      <c r="A989" t="inlineStr">
        <is>
          <t>Normal Monster Damage Bonus % (Holy Symbol)</t>
        </is>
      </c>
      <c r="B989">
        <f>IF(C970=TRUE,F970*IF(AND(Inputs!$B$39&lt;&gt;"pvp",Inputs!$B$44&gt;0),(((R970-1)*(Skills!S12*(1+(Inputs!$B$35+IF(Inputs!$B$3&gt;=117,F984,0))/100))+MIN((Skills!S12*(1+(Inputs!$B$35+IF(Inputs!$B$3&gt;=117,F984,0))/100)),MAX(0,Inputs!$B$44-((R970-1)*Skills!D12))))/Inputs!$B$44),IF(Inputs!$B$39="pvp",MIN((Skills!S12*(1+(Inputs!$B$35+IF(Inputs!$B$3&gt;=117,F984,0))/100)),15)/15,(Skills!S12*(1+(Inputs!$B$35+IF(Inputs!$B$3&gt;=117,F984,0))/100))/Skills!D12)),0)</f>
        <v/>
      </c>
    </row>
    <row r="990">
      <c r="A990" t="inlineStr">
        <is>
          <t>Damage % Bonus (Holy Symbol - Damage Boost)</t>
        </is>
      </c>
      <c r="B990">
        <f>Skills!O12</f>
        <v/>
      </c>
    </row>
    <row r="991">
      <c r="A991" t="inlineStr">
        <is>
          <t>Crit Damage % Bonus (Blood of the Divine)</t>
        </is>
      </c>
      <c r="B991">
        <f>4*IF(C978=TRUE,F978,0)</f>
        <v/>
      </c>
    </row>
    <row r="992">
      <c r="A992" t="inlineStr">
        <is>
          <t>Attack Speed Bonus %</t>
        </is>
      </c>
      <c r="B992">
        <f>IF(C975=TRUE,F975+(F979-Calc!F21),0)+IF(Inputs!$B$3&gt;=134,15,0)</f>
        <v/>
      </c>
    </row>
    <row r="993">
      <c r="A993" t="inlineStr">
        <is>
          <t>Actions Per Second</t>
        </is>
      </c>
      <c r="B993">
        <f>1+MIN(150,150*(1-(1-Inputs!$B$12/150)*(1-B992/150)))/100</f>
        <v/>
      </c>
    </row>
    <row r="994">
      <c r="A994" t="inlineStr">
        <is>
          <t>Skill + Buff Cast Rate</t>
        </is>
      </c>
      <c r="B994">
        <f>IF(AND(Inputs!$B$39&lt;&gt;"pvp",Inputs!$B$44&gt;0),SUMPRODUCT((Skills!E2:E27=TRUE)*(C960:C985=TRUE)*R960:R985)/Inputs!$B$44,SUMPRODUCT((Skills!E2:E27=TRUE)*(C960:C985=TRUE)*Q960:Q985))</f>
        <v/>
      </c>
    </row>
    <row r="995">
      <c r="A995" t="inlineStr">
        <is>
          <t>Big Bang Casts Per Second</t>
        </is>
      </c>
      <c r="B995">
        <f>MAX(0,B993-B994)</f>
        <v/>
      </c>
    </row>
    <row r="996">
      <c r="A996" t="inlineStr">
        <is>
          <t>Defense % Bonus (Divine Protection)</t>
        </is>
      </c>
      <c r="B996">
        <f>IF(C971=TRUE,F971*IF(AND(Inputs!$B$39&lt;&gt;"pvp",Inputs!$B$44&gt;0),(((R971-1)*(Skills!S13*(1+(Inputs!$B$35+IF(Inputs!$B$3&gt;=117,F984,0))/100))+MIN((Skills!S13*(1+(Inputs!$B$35+IF(Inputs!$B$3&gt;=117,F984,0))/100)),MAX(0,Inputs!$B$44-((R971-1)*Skills!D13))))/Inputs!$B$44),IF(Inputs!$B$39="pvp",MIN((Skills!S13*(1+(Inputs!$B$35+IF(Inputs!$B$3&gt;=117,F984,0))/100)),15)/15,(Skills!S13*(1+(Inputs!$B$35+IF(Inputs!$B$3&gt;=117,F984,0))/100))/Skills!D13)),0)</f>
        <v/>
      </c>
    </row>
    <row r="997">
      <c r="A997" t="inlineStr">
        <is>
          <t>Buff-Casting Startup Delay (s, fixed-duration only)</t>
        </is>
      </c>
      <c r="B997">
        <f>IF(AND(Inputs!$B$39&lt;&gt;"pvp",Inputs!$B$44&gt;0),SUMPRODUCT((Skills!S2:S27&gt;0)*(Skills!E2:E27=TRUE)*(C960:C985=TRUE))/B993,0)</f>
        <v/>
      </c>
    </row>
    <row r="998">
      <c r="A998" s="5" t="inlineStr">
        <is>
          <t>TOTAL DPS</t>
        </is>
      </c>
      <c r="B998" s="5">
        <f>SUM(O960:O985)</f>
        <v/>
      </c>
    </row>
    <row r="1000">
      <c r="A1000" s="5" t="inlineStr">
        <is>
          <t>Stat: ATTACK %</t>
        </is>
      </c>
    </row>
    <row r="1001">
      <c r="A1001" s="9" t="inlineStr">
        <is>
          <t>Key</t>
        </is>
      </c>
      <c r="B1001" s="9" t="inlineStr">
        <is>
          <t>Name</t>
        </is>
      </c>
      <c r="C1001" s="9" t="inlineStr">
        <is>
          <t>Unlocked</t>
        </is>
      </c>
      <c r="D1001" s="9" t="inlineStr">
        <is>
          <t>InputLevel</t>
        </is>
      </c>
      <c r="E1001" s="9" t="inlineStr">
        <is>
          <t>Factor</t>
        </is>
      </c>
      <c r="F1001" s="9" t="inlineStr">
        <is>
          <t>CoefficientPercent</t>
        </is>
      </c>
      <c r="G1001" s="9" t="inlineStr">
        <is>
          <t>EffectiveHits</t>
        </is>
      </c>
      <c r="H1001" s="9" t="inlineStr">
        <is>
          <t>ProcProbability</t>
        </is>
      </c>
      <c r="I1001" s="9" t="inlineStr">
        <is>
          <t>MapleHeroMultiplier</t>
        </is>
      </c>
      <c r="J1001" s="9" t="inlineStr">
        <is>
          <t>BaseDamage</t>
        </is>
      </c>
      <c r="K1001" s="9" t="inlineStr">
        <is>
          <t>BaseHitDamage</t>
        </is>
      </c>
      <c r="L1001" s="9" t="inlineStr">
        <is>
          <t>NonCritAvg</t>
        </is>
      </c>
      <c r="M1001" s="9" t="inlineStr">
        <is>
          <t>CritAvg</t>
        </is>
      </c>
      <c r="N1001" s="9" t="inlineStr">
        <is>
          <t>ExpectedDamage(perHit)</t>
        </is>
      </c>
      <c r="O1001" s="9" t="inlineStr">
        <is>
          <t>DPS</t>
        </is>
      </c>
      <c r="P1001" s="9" t="inlineStr">
        <is>
          <t>% of Total</t>
        </is>
      </c>
      <c r="R1001" t="inlineStr">
        <is>
          <t>helpers</t>
        </is>
      </c>
    </row>
    <row r="1002">
      <c r="A1002">
        <f>Skills!A2</f>
        <v/>
      </c>
      <c r="B1002">
        <f>Skills!B2</f>
        <v/>
      </c>
      <c r="C1002">
        <f>Inputs!$B$3&gt;=100</f>
        <v/>
      </c>
      <c r="D1002" t="inlineStr"/>
      <c r="E1002" t="inlineStr"/>
      <c r="F1002">
        <f>T1004+Skills!N2</f>
        <v/>
      </c>
      <c r="G1002">
        <f>Calc!G2</f>
        <v/>
      </c>
      <c r="H1002">
        <f>Calc!H2</f>
        <v/>
      </c>
      <c r="I1002">
        <f>IF(Skills!T2&lt;&gt;"",1+(Skills!T2/10)*($Z$3/1000)/100,1)</f>
        <v/>
      </c>
      <c r="J1002">
        <f>((Inputs!$B$6*(1+(Inputs!$B$7+1)/100))+(((Inputs!$B$13*(1+Inputs!$B$14/100))-(Inputs!$B$13*(1+Inputs!$B$14/100)))+0.25*(Inputs!$B$15-Inputs!$B$15))*(1+(Inputs!$B$7+1)/100))*(F1002/100)</f>
        <v/>
      </c>
      <c r="K1002">
        <f>J1002*(1+(((Inputs!$B$13+IF(Inputs!$B$3&gt;=35,(10*INDEX(FactorTable!$B$2:$Y$301, MATCH(ROUND(MIN(300,MAX(1,Inputs!$B$3)),0), FactorTable!$A$2:$A$301,0), 23)/1000)/100*(Inputs!$B$8*(1+(Inputs!$B$9+B1038)/100)),0))*(1+Inputs!$B$14/100))*0.01+Inputs!$B$15*0.0025)/100)*(1+(Inputs!$B$16+B1032)/100)*(1+IF(Inputs!$B$39="pvp",0,(1-Summary!$B$48)*(Inputs!$B$21+Skills!O2+B1030)+Summary!$B$48*(Inputs!$B$22+Skills!P2+B1031))/100)*(1+Inputs!$B$17/100)*(5000/(6000+Inputs!$B$43*(1-Inputs!$B$20/100)))*(1+Inputs!$B$25/100)*(1+IF(C1018=TRUE,F1018,0)/100)*(1+IF(C1020=TRUE,F1020,0)/100)*(1+IF(Skills!A2="TRIUMPH_FEATHER",IF(C1016=TRUE,F1016,0),0)/100)*(1+IF(C1027=TRUE,F1027,0)/100)^5*(1+(IF(Skills!A2="BIG_BANG",Inputs!$B$18,Inputs!$B$19))/100)*(B1029*I1002)</f>
        <v/>
      </c>
      <c r="L1002">
        <f>K1002*(MIN(Inputs!$B$23+(F1022-Calc!F22),Inputs!$B$24)/100+Inputs!$B$24/100)/2</f>
        <v/>
      </c>
      <c r="M1002">
        <f>L1002*(1+(Inputs!$B$11+B1033+(F1025-Calc!F25))/100)</f>
        <v/>
      </c>
      <c r="N1002">
        <f>L1002*(1-MIN(Inputs!$B$10+((F1024-Calc!F24)+(F1023-Calc!F23)),100)/100)+M1002*(MIN(Inputs!$B$10+((F1024-Calc!F24)+(F1023-Calc!F23)),100)/100)</f>
        <v/>
      </c>
      <c r="O1002">
        <f>IF(C1002,Skills!F2*N1002*B1037*IF(Inputs!$B$39="pvp",1,(1-Summary!$B$48)*(1)+Summary!$B$48*(MIN((6+Inputs!$B$34),Inputs!$B$38))),0)</f>
        <v/>
      </c>
      <c r="P1002">
        <f>IF(B1040=0,0,O1002/B1040)</f>
        <v/>
      </c>
      <c r="Q1002">
        <f>IFERROR(1/IF(Inputs!$B$39="pvp",15,MAX(0.1,Skills!D2-IF(Skills!E2=TRUE,Inputs!$B$33,0))),0)</f>
        <v/>
      </c>
      <c r="R1002" t="n">
        <v>0</v>
      </c>
      <c r="T1002">
        <f>MAX(0,(Inputs!$B$3-100)*3)+Inputs!$B$29+Inputs!$B$30</f>
        <v/>
      </c>
    </row>
    <row r="1003">
      <c r="A1003">
        <f>Skills!A3</f>
        <v/>
      </c>
      <c r="B1003">
        <f>Skills!B3</f>
        <v/>
      </c>
      <c r="C1003">
        <f>Inputs!$B$3&gt;=15</f>
        <v/>
      </c>
      <c r="D1003">
        <f>IF(Skills!C3=1,60+Inputs!$B$26+Inputs!$B$30,IF(Skills!C3=2,90+Inputs!$B$27+Inputs!$B$30,IF(Skills!C3=3,120+Inputs!$B$28+Inputs!$B$30,MAX(0,(Inputs!$B$3-100)*3)+Inputs!$B$29+Inputs!$B$30)))</f>
        <v/>
      </c>
      <c r="E1003">
        <f>INDEX(FactorTable!$B$2:$Y$301, MATCH(ROUND(MIN(300,MAX(1,D1003)),0), FactorTable!$A$2:$A$301,0), Skills!L3+1)</f>
        <v/>
      </c>
      <c r="F1003">
        <f>IF(Skills!M3=TRUE,(Skills!K3/10)*(E1003/1000),Skills!K3/10)+Skills!N3</f>
        <v/>
      </c>
      <c r="G1003">
        <f>Calc!G3</f>
        <v/>
      </c>
      <c r="H1003">
        <f>Calc!H3</f>
        <v/>
      </c>
      <c r="I1003">
        <f>IF(Skills!T3&lt;&gt;"",1+(Skills!T3/10)*($Z$3/1000)/100,1)</f>
        <v/>
      </c>
      <c r="J1003" t="inlineStr"/>
      <c r="K1003" t="inlineStr"/>
      <c r="L1003" t="inlineStr"/>
      <c r="M1003" t="inlineStr"/>
      <c r="N1003" t="inlineStr"/>
      <c r="O1003" t="n">
        <v>0</v>
      </c>
      <c r="P1003">
        <f>IF(B1040=0,0,O1003/B1040)</f>
        <v/>
      </c>
      <c r="Q1003">
        <f>IFERROR(1/IF(Inputs!$B$39="pvp",15,MAX(0.1,Skills!D3-IF(Skills!E3=TRUE,Inputs!$B$33,0))),0)</f>
        <v/>
      </c>
      <c r="R1003">
        <f>IF(AND(Inputs!$B$39&lt;&gt;"pvp",Inputs!$B$44&gt;0),IF(Inputs!$B$44&lt;=0,0,(INT(Inputs!$B$44/IF(Inputs!$B$39="pvp",15,MAX(0.1,Skills!D3-IF(Skills!E3=TRUE,Inputs!$B$33,0))))+1)),0)</f>
        <v/>
      </c>
      <c r="T1003">
        <f>INDEX(FactorTable!$B$2:$Y$301, MATCH(ROUND(MIN(300,MAX(1,T1002)),0), FactorTable!$A$2:$A$301,0), 22)</f>
        <v/>
      </c>
    </row>
    <row r="1004">
      <c r="A1004">
        <f>Skills!A4</f>
        <v/>
      </c>
      <c r="B1004">
        <f>Skills!B4</f>
        <v/>
      </c>
      <c r="C1004">
        <f>Inputs!$B$3&gt;=38</f>
        <v/>
      </c>
      <c r="D1004">
        <f>IF(Skills!C4=1,60+Inputs!$B$26+Inputs!$B$30,IF(Skills!C4=2,90+Inputs!$B$27+Inputs!$B$30,IF(Skills!C4=3,120+Inputs!$B$28+Inputs!$B$30,MAX(0,(Inputs!$B$3-100)*3)+Inputs!$B$29+Inputs!$B$30)))</f>
        <v/>
      </c>
      <c r="E1004">
        <f>INDEX(FactorTable!$B$2:$Y$301, MATCH(ROUND(MIN(300,MAX(1,D1004)),0), FactorTable!$A$2:$A$301,0), Skills!L4+1)</f>
        <v/>
      </c>
      <c r="F1004">
        <f>IF(Skills!M4=TRUE,(Skills!K4/10)*(E1004/1000),Skills!K4/10)+Skills!N4</f>
        <v/>
      </c>
      <c r="G1004">
        <f>Calc!G4</f>
        <v/>
      </c>
      <c r="H1004">
        <f>Calc!H4</f>
        <v/>
      </c>
      <c r="I1004">
        <f>IF(Skills!T4&lt;&gt;"",1+(Skills!T4/10)*($Z$3/1000)/100,1)</f>
        <v/>
      </c>
      <c r="J1004" t="inlineStr"/>
      <c r="K1004" t="inlineStr"/>
      <c r="L1004" t="inlineStr"/>
      <c r="M1004" t="inlineStr"/>
      <c r="N1004" t="inlineStr"/>
      <c r="O1004" t="n">
        <v>0</v>
      </c>
      <c r="P1004">
        <f>IF(B1040=0,0,O1004/B1040)</f>
        <v/>
      </c>
      <c r="Q1004">
        <f>IFERROR(1/IF(Inputs!$B$39="pvp",15,MAX(0.1,Skills!D4-IF(Skills!E4=TRUE,Inputs!$B$33,0))),0)</f>
        <v/>
      </c>
      <c r="R1004">
        <f>IF(AND(Inputs!$B$39&lt;&gt;"pvp",Inputs!$B$44&gt;0),IF(Inputs!$B$44&lt;=0,0,(INT(Inputs!$B$44/IF(Inputs!$B$39="pvp",15,MAX(0.1,Skills!D4-IF(Skills!E4=TRUE,Inputs!$B$33,0))))+1)),0)</f>
        <v/>
      </c>
      <c r="T1004">
        <f>290*T1003/1000</f>
        <v/>
      </c>
    </row>
    <row r="1005">
      <c r="A1005">
        <f>Skills!A5</f>
        <v/>
      </c>
      <c r="B1005">
        <f>Skills!B5</f>
        <v/>
      </c>
      <c r="C1005">
        <f>Inputs!$B$3&gt;=40</f>
        <v/>
      </c>
      <c r="D1005">
        <f>IF(Skills!C5=1,60+Inputs!$B$26+Inputs!$B$30,IF(Skills!C5=2,90+Inputs!$B$27+Inputs!$B$30,IF(Skills!C5=3,120+Inputs!$B$28+Inputs!$B$30,MAX(0,(Inputs!$B$3-100)*3)+Inputs!$B$29+Inputs!$B$30)))</f>
        <v/>
      </c>
      <c r="E1005">
        <f>INDEX(FactorTable!$B$2:$Y$301, MATCH(ROUND(MIN(300,MAX(1,D1005)),0), FactorTable!$A$2:$A$301,0), Skills!L5+1)</f>
        <v/>
      </c>
      <c r="F1005">
        <f>IF(Skills!M5=TRUE,(Skills!K5/10)*(E1005/1000),Skills!K5/10)+Skills!N5</f>
        <v/>
      </c>
      <c r="G1005">
        <f>Calc!G5</f>
        <v/>
      </c>
      <c r="H1005">
        <f>Calc!H5</f>
        <v/>
      </c>
      <c r="I1005">
        <f>IF(Skills!T5&lt;&gt;"",1+(Skills!T5/10)*($Z$3/1000)/100,1)</f>
        <v/>
      </c>
      <c r="J1005" t="inlineStr"/>
      <c r="K1005" t="inlineStr"/>
      <c r="L1005" t="inlineStr"/>
      <c r="M1005" t="inlineStr"/>
      <c r="N1005" t="inlineStr"/>
      <c r="O1005" t="n">
        <v>0</v>
      </c>
      <c r="P1005">
        <f>IF(B1040=0,0,O1005/B1040)</f>
        <v/>
      </c>
      <c r="Q1005">
        <f>IFERROR(1/IF(Inputs!$B$39="pvp",15,MAX(0.1,Skills!D5-IF(Skills!E5=TRUE,Inputs!$B$33,0))),0)</f>
        <v/>
      </c>
      <c r="R1005">
        <f>IF(AND(Inputs!$B$39&lt;&gt;"pvp",Inputs!$B$44&gt;0),IF(Inputs!$B$44&lt;=0,0,(INT(Inputs!$B$44/IF(Inputs!$B$39="pvp",15,MAX(0.1,Skills!D5-IF(Skills!E5=TRUE,Inputs!$B$33,0))))+1)),0)</f>
        <v/>
      </c>
    </row>
    <row r="1006">
      <c r="A1006">
        <f>Skills!A6</f>
        <v/>
      </c>
      <c r="B1006">
        <f>Skills!B6</f>
        <v/>
      </c>
      <c r="C1006">
        <f>Inputs!$B$3&gt;=103</f>
        <v/>
      </c>
      <c r="D1006">
        <f>IF(Skills!C6=1,60+Inputs!$B$26+Inputs!$B$30,IF(Skills!C6=2,90+Inputs!$B$27+Inputs!$B$30,IF(Skills!C6=3,120+Inputs!$B$28+Inputs!$B$30,MAX(0,(Inputs!$B$3-100)*3)+Inputs!$B$29+Inputs!$B$30)))</f>
        <v/>
      </c>
      <c r="E1006">
        <f>INDEX(FactorTable!$B$2:$Y$301, MATCH(ROUND(MIN(300,MAX(1,D1006)),0), FactorTable!$A$2:$A$301,0), Skills!L6+1)</f>
        <v/>
      </c>
      <c r="F1006">
        <f>IF(Skills!M6=TRUE,(Skills!K6/10)*(E1006/1000),Skills!K6/10)+Skills!N6</f>
        <v/>
      </c>
      <c r="G1006">
        <f>Calc!G6</f>
        <v/>
      </c>
      <c r="H1006">
        <f>Calc!H6</f>
        <v/>
      </c>
      <c r="I1006">
        <f>IF(Skills!T6&lt;&gt;"",1+(Skills!T6/10)*($Z$3/1000)/100,1)</f>
        <v/>
      </c>
      <c r="J1006">
        <f>((Inputs!$B$6*(1+(Inputs!$B$7+1)/100))+(((Inputs!$B$13*(1+Inputs!$B$14/100))-(Inputs!$B$13*(1+Inputs!$B$14/100)))+0.25*(Inputs!$B$15-Inputs!$B$15))*(1+(Inputs!$B$7+1)/100))*(F1006/100)</f>
        <v/>
      </c>
      <c r="K1006">
        <f>J1006*(1+(((Inputs!$B$13+IF(Inputs!$B$3&gt;=35,(10*INDEX(FactorTable!$B$2:$Y$301, MATCH(ROUND(MIN(300,MAX(1,Inputs!$B$3)),0), FactorTable!$A$2:$A$301,0), 23)/1000)/100*(Inputs!$B$8*(1+(Inputs!$B$9+B1038)/100)),0))*(1+Inputs!$B$14/100))*0.01+Inputs!$B$15*0.0025)/100)*(1+(Inputs!$B$16+B1032)/100)*(1+IF(Inputs!$B$39="pvp",0,(1-Summary!$B$48)*(Inputs!$B$21+Skills!O6+B1030)+Summary!$B$48*(Inputs!$B$22+Skills!P6+B1031))/100)*(1+Inputs!$B$17/100)*(5000/(6000+Inputs!$B$43*(1-Inputs!$B$20/100)))*(1+Inputs!$B$25/100)*(1+IF(C1018=TRUE,F1018,0)/100)*(1+IF(C1020=TRUE,F1020,0)/100)*(1+IF(Skills!A6="TRIUMPH_FEATHER",IF(C1016=TRUE,F1016,0),0)/100)*(1+IF(C1027=TRUE,F1027,0)/100)^5*(1+(IF(Skills!A6="BIG_BANG",Inputs!$B$18,Inputs!$B$19))/100)*(B1029*I1006)</f>
        <v/>
      </c>
      <c r="L1006">
        <f>K1006*(MIN(Inputs!$B$23+(F1022-Calc!F22),Inputs!$B$24)/100+Inputs!$B$24/100)/2</f>
        <v/>
      </c>
      <c r="M1006">
        <f>L1006*(1+(Inputs!$B$11+B1033+(F1025-Calc!F25))/100)</f>
        <v/>
      </c>
      <c r="N1006">
        <f>L1006*(1-MIN(Inputs!$B$10+((F1024-Calc!F24)+(F1023-Calc!F23)),100)/100)+M1006*(MIN(Inputs!$B$10+((F1024-Calc!F24)+(F1023-Calc!F23)),100)/100)</f>
        <v/>
      </c>
      <c r="O1006">
        <f>IF(C1006,H1006*N1006*IF(AND(Inputs!$B$39&lt;&gt;"pvp",Inputs!$B$44&gt;0),((Skills!F6*((R1006-1)*IF(Skills!G6&gt;0,Skills!H6/Skills!G6,1)+IF(Skills!G6&gt;0,MIN(Skills!H6,MAX(0,MAX(0,Inputs!$B$44-B1039)-((R1006-1)*IF(Inputs!$B$39="pvp",15,MAX(0.1,Skills!D6-IF(Skills!E6=TRUE,Inputs!$B$33,0))))))/Skills!G6,1)))/Inputs!$B$44),G1006*Q1006)*IF(Inputs!$B$39="pvp",1,(1-Summary!$B$48)*(1)+Summary!$B$48*(MIN(Skills!Q6,Inputs!$B$38))),0)</f>
        <v/>
      </c>
      <c r="P1006">
        <f>IF(B1040=0,0,O1006/B1040)</f>
        <v/>
      </c>
      <c r="Q1006">
        <f>IFERROR(1/IF(Inputs!$B$39="pvp",15,MAX(0.1,Skills!D6-IF(Skills!E6=TRUE,Inputs!$B$33,0))),0)</f>
        <v/>
      </c>
      <c r="R1006">
        <f>IF(AND(Inputs!$B$39&lt;&gt;"pvp",Inputs!$B$44&gt;0),IF(MAX(0,Inputs!$B$44-B1039)&lt;=0,0,(INT(MAX(0,Inputs!$B$44-B1039)/IF(Inputs!$B$39="pvp",15,MAX(0.1,Skills!D6-IF(Skills!E6=TRUE,Inputs!$B$33,0))))+1)),0)</f>
        <v/>
      </c>
    </row>
    <row r="1007">
      <c r="A1007">
        <f>Skills!A7</f>
        <v/>
      </c>
      <c r="B1007">
        <f>Skills!B7</f>
        <v/>
      </c>
      <c r="C1007">
        <f>Inputs!$B$3&gt;=122</f>
        <v/>
      </c>
      <c r="D1007">
        <f>IF(Skills!C7=1,60+Inputs!$B$26+Inputs!$B$30,IF(Skills!C7=2,90+Inputs!$B$27+Inputs!$B$30,IF(Skills!C7=3,120+Inputs!$B$28+Inputs!$B$30,MAX(0,(Inputs!$B$3-100)*3)+Inputs!$B$29+Inputs!$B$30)))</f>
        <v/>
      </c>
      <c r="E1007">
        <f>INDEX(FactorTable!$B$2:$Y$301, MATCH(ROUND(MIN(300,MAX(1,D1007)),0), FactorTable!$A$2:$A$301,0), Skills!L7+1)</f>
        <v/>
      </c>
      <c r="F1007">
        <f>IF(Skills!M7=TRUE,(Skills!K7/10)*(E1007/1000),Skills!K7/10)+Skills!N7</f>
        <v/>
      </c>
      <c r="G1007">
        <f>Calc!G7</f>
        <v/>
      </c>
      <c r="H1007">
        <f>Calc!H7</f>
        <v/>
      </c>
      <c r="I1007">
        <f>IF(Skills!T7&lt;&gt;"",1+(Skills!T7/10)*($Z$3/1000)/100,1)</f>
        <v/>
      </c>
      <c r="J1007">
        <f>((Inputs!$B$6*(1+(Inputs!$B$7+1)/100))+(((Inputs!$B$13*(1+Inputs!$B$14/100))-(Inputs!$B$13*(1+Inputs!$B$14/100)))+0.25*(Inputs!$B$15-Inputs!$B$15))*(1+(Inputs!$B$7+1)/100))*(F1007/100)</f>
        <v/>
      </c>
      <c r="K1007">
        <f>J1007*(1+(((Inputs!$B$13+IF(Inputs!$B$3&gt;=35,(10*INDEX(FactorTable!$B$2:$Y$301, MATCH(ROUND(MIN(300,MAX(1,Inputs!$B$3)),0), FactorTable!$A$2:$A$301,0), 23)/1000)/100*(Inputs!$B$8*(1+(Inputs!$B$9+B1038)/100)),0))*(1+Inputs!$B$14/100))*0.01+Inputs!$B$15*0.0025)/100)*(1+(Inputs!$B$16+B1032)/100)*(1+IF(Inputs!$B$39="pvp",0,(1-Summary!$B$48)*(Inputs!$B$21+Skills!O7+B1030)+Summary!$B$48*(Inputs!$B$22+Skills!P7+B1031))/100)*(1+Inputs!$B$17/100)*(5000/(6000+Inputs!$B$43*(1-Inputs!$B$20/100)))*(1+Inputs!$B$25/100)*(1+IF(C1018=TRUE,F1018,0)/100)*(1+IF(C1020=TRUE,F1020,0)/100)*(1+IF(Skills!A7="TRIUMPH_FEATHER",IF(C1016=TRUE,F1016,0),0)/100)*(1+IF(C1027=TRUE,F1027,0)/100)^5*(1+(IF(Skills!A7="BIG_BANG",Inputs!$B$18,Inputs!$B$19))/100)*(B1029*I1007)</f>
        <v/>
      </c>
      <c r="L1007">
        <f>K1007*(MIN(Inputs!$B$23+(F1022-Calc!F22),Inputs!$B$24)/100+Inputs!$B$24/100)/2</f>
        <v/>
      </c>
      <c r="M1007">
        <f>L1007*(1+(Inputs!$B$11+B1033+(F1025-Calc!F25))/100)</f>
        <v/>
      </c>
      <c r="N1007">
        <f>L1007*(1-MIN(Inputs!$B$10+((F1024-Calc!F24)+(F1023-Calc!F23)),100)/100)+M1007*(MIN(Inputs!$B$10+((F1024-Calc!F24)+(F1023-Calc!F23)),100)/100)</f>
        <v/>
      </c>
      <c r="O1007">
        <f>IF(C1007,H1007*N1007*IF(AND(Inputs!$B$39&lt;&gt;"pvp",Inputs!$B$44&gt;0),((Skills!F7*((R1007-1)*IF(Skills!G7&gt;0,Skills!H7/Skills!G7,1)+IF(Skills!G7&gt;0,MIN(Skills!H7,MAX(0,MAX(0,Inputs!$B$44-B1039)-((R1007-1)*IF(Inputs!$B$39="pvp",15,MAX(0.1,Skills!D7-IF(Skills!E6=TRUE,Inputs!$B$33,0))))))/Skills!G7,1)))/Inputs!$B$44),G1007*Q1007)*(1-Summary!$B$48),0)</f>
        <v/>
      </c>
      <c r="P1007">
        <f>IF(B1040=0,0,O1007/B1040)</f>
        <v/>
      </c>
      <c r="Q1007">
        <f>IFERROR(1/IF(Inputs!$B$39="pvp",15,MAX(0.1,Skills!D7-IF(Skills!E6=TRUE,Inputs!$B$33,0))),0)</f>
        <v/>
      </c>
      <c r="R1007">
        <f>IF(AND(Inputs!$B$39&lt;&gt;"pvp",Inputs!$B$44&gt;0),IF(MAX(0,Inputs!$B$44-B1039)&lt;=0,0,(INT(MAX(0,Inputs!$B$44-B1039)/IF(Inputs!$B$39="pvp",15,MAX(0.1,Skills!D7-IF(Skills!E6=TRUE,Inputs!$B$33,0))))+1)),0)</f>
        <v/>
      </c>
    </row>
    <row r="1008">
      <c r="A1008">
        <f>Skills!A8</f>
        <v/>
      </c>
      <c r="B1008">
        <f>Skills!B8</f>
        <v/>
      </c>
      <c r="C1008">
        <f>Inputs!$B$3&gt;=105</f>
        <v/>
      </c>
      <c r="D1008">
        <f>IF(Skills!C8=1,60+Inputs!$B$26+Inputs!$B$30,IF(Skills!C8=2,90+Inputs!$B$27+Inputs!$B$30,IF(Skills!C8=3,120+Inputs!$B$28+Inputs!$B$30,MAX(0,(Inputs!$B$3-100)*3)+Inputs!$B$29+Inputs!$B$30)))</f>
        <v/>
      </c>
      <c r="E1008">
        <f>INDEX(FactorTable!$B$2:$Y$301, MATCH(ROUND(MIN(300,MAX(1,D1008)),0), FactorTable!$A$2:$A$301,0), Skills!L8+1)</f>
        <v/>
      </c>
      <c r="F1008">
        <f>IF(Skills!M8=TRUE,(Skills!K8/10)*(E1008/1000),Skills!K8/10)+Skills!N8</f>
        <v/>
      </c>
      <c r="G1008">
        <f>Calc!G8</f>
        <v/>
      </c>
      <c r="H1008">
        <f>Calc!H8</f>
        <v/>
      </c>
      <c r="I1008">
        <f>IF(Skills!T8&lt;&gt;"",1+(Skills!T8/10)*($Z$3/1000)/100,1)</f>
        <v/>
      </c>
      <c r="J1008">
        <f>((Inputs!$B$6*(1+(Inputs!$B$7+1)/100))+(((Inputs!$B$13*(1+Inputs!$B$14/100))-(Inputs!$B$13*(1+Inputs!$B$14/100)))+0.25*(Inputs!$B$15-Inputs!$B$15))*(1+(Inputs!$B$7+1)/100))*(F1008/100)</f>
        <v/>
      </c>
      <c r="K1008">
        <f>J1008*(1+(((Inputs!$B$13+IF(Inputs!$B$3&gt;=35,(10*INDEX(FactorTable!$B$2:$Y$301, MATCH(ROUND(MIN(300,MAX(1,Inputs!$B$3)),0), FactorTable!$A$2:$A$301,0), 23)/1000)/100*(Inputs!$B$8*(1+(Inputs!$B$9+B1038)/100)),0))*(1+Inputs!$B$14/100))*0.01+Inputs!$B$15*0.0025)/100)*(1+(Inputs!$B$16+B1032)/100)*(1+IF(Inputs!$B$39="pvp",0,(1-Summary!$B$48)*(Inputs!$B$21+Skills!O8+B1030)+Summary!$B$48*(Inputs!$B$22+Skills!P8+B1031))/100)*(1+Inputs!$B$17/100)*(5000/(6000+Inputs!$B$43*(1-Inputs!$B$20/100)))*(1+Inputs!$B$25/100)*(1+IF(C1018=TRUE,F1018,0)/100)*(1+IF(C1020=TRUE,F1020,0)/100)*(1+IF(Skills!A8="TRIUMPH_FEATHER",IF(C1016=TRUE,F1016,0),0)/100)*(1+IF(C1027=TRUE,F1027,0)/100)^5*(1+(IF(Skills!A8="BIG_BANG",Inputs!$B$18,Inputs!$B$19))/100)*(B1029*I1008)</f>
        <v/>
      </c>
      <c r="L1008">
        <f>K1008*(MIN(Inputs!$B$23+(F1022-Calc!F22),Inputs!$B$24)/100+Inputs!$B$24/100)/2</f>
        <v/>
      </c>
      <c r="M1008">
        <f>L1008*(1+(Inputs!$B$11+B1033+(F1025-Calc!F25))/100)</f>
        <v/>
      </c>
      <c r="N1008">
        <f>L1008*(1-MIN(Inputs!$B$10+((F1024-Calc!F24)+(F1023-Calc!F23)),100)/100)+M1008*(MIN(Inputs!$B$10+((F1024-Calc!F24)+(F1023-Calc!F23)),100)/100)</f>
        <v/>
      </c>
      <c r="O1008">
        <f>IF(C1008,H1008*N1008*IF(AND(Inputs!$B$39&lt;&gt;"pvp",Inputs!$B$44&gt;0),((Skills!F8*((R1008-1)*IF(Skills!G8&gt;0,Skills!H8/Skills!G8,1)+IF(Skills!G8&gt;0,MIN(Skills!H8,MAX(0,MAX(0,Inputs!$B$44-B1039)-((R1008-1)*IF(Inputs!$B$39="pvp",15,MAX(0.1,Skills!D8-IF(Skills!E8=TRUE,Inputs!$B$33,0))))))/Skills!G8,1)))/Inputs!$B$44),G1008*Q1008)*IF(Inputs!$B$39="pvp",1,(1-Summary!$B$48)*(1)+Summary!$B$48*(MIN(Skills!Q8,Inputs!$B$38))),0)</f>
        <v/>
      </c>
      <c r="P1008">
        <f>IF(B1040=0,0,O1008/B1040)</f>
        <v/>
      </c>
      <c r="Q1008">
        <f>IFERROR(1/IF(Inputs!$B$39="pvp",15,MAX(0.1,Skills!D8-IF(Skills!E8=TRUE,Inputs!$B$33,0))),0)</f>
        <v/>
      </c>
      <c r="R1008">
        <f>IF(AND(Inputs!$B$39&lt;&gt;"pvp",Inputs!$B$44&gt;0),IF(MAX(0,Inputs!$B$44-B1039)&lt;=0,0,(INT(MAX(0,Inputs!$B$44-B1039)/IF(Inputs!$B$39="pvp",15,MAX(0.1,Skills!D8-IF(Skills!E8=TRUE,Inputs!$B$33,0))))+1)),0)</f>
        <v/>
      </c>
    </row>
    <row r="1009">
      <c r="A1009">
        <f>Skills!A9</f>
        <v/>
      </c>
      <c r="B1009">
        <f>Skills!B9</f>
        <v/>
      </c>
      <c r="C1009">
        <f>Inputs!$B$3&gt;=115</f>
        <v/>
      </c>
      <c r="D1009">
        <f>IF(Skills!C9=1,60+Inputs!$B$26+Inputs!$B$30,IF(Skills!C9=2,90+Inputs!$B$27+Inputs!$B$30,IF(Skills!C9=3,120+Inputs!$B$28+Inputs!$B$30,MAX(0,(Inputs!$B$3-100)*3)+Inputs!$B$29+Inputs!$B$30)))</f>
        <v/>
      </c>
      <c r="E1009">
        <f>INDEX(FactorTable!$B$2:$Y$301, MATCH(ROUND(MIN(300,MAX(1,D1009)),0), FactorTable!$A$2:$A$301,0), Skills!L9+1)</f>
        <v/>
      </c>
      <c r="F1009">
        <f>IF(Skills!M9=TRUE,(Skills!K9/10)*(E1009/1000),Skills!K9/10)+Skills!N9</f>
        <v/>
      </c>
      <c r="G1009">
        <f>Calc!G9</f>
        <v/>
      </c>
      <c r="H1009">
        <f>Calc!H9</f>
        <v/>
      </c>
      <c r="I1009">
        <f>IF(Skills!T9&lt;&gt;"",1+(Skills!T9/10)*($Z$3/1000)/100,1)</f>
        <v/>
      </c>
      <c r="J1009">
        <f>((Inputs!$B$6*(1+(Inputs!$B$7+1)/100))+(((Inputs!$B$13*(1+Inputs!$B$14/100))-(Inputs!$B$13*(1+Inputs!$B$14/100)))+0.25*(Inputs!$B$15-Inputs!$B$15))*(1+(Inputs!$B$7+1)/100))*(F1009/100)</f>
        <v/>
      </c>
      <c r="K1009">
        <f>J1009*(1+(((Inputs!$B$13+IF(Inputs!$B$3&gt;=35,(10*INDEX(FactorTable!$B$2:$Y$301, MATCH(ROUND(MIN(300,MAX(1,Inputs!$B$3)),0), FactorTable!$A$2:$A$301,0), 23)/1000)/100*(Inputs!$B$8*(1+(Inputs!$B$9+B1038)/100)),0))*(1+Inputs!$B$14/100))*0.01+Inputs!$B$15*0.0025)/100)*(1+(Inputs!$B$16+B1032)/100)*(1+IF(Inputs!$B$39="pvp",0,(1-Summary!$B$48)*(Inputs!$B$21+Skills!O9+B1030)+Summary!$B$48*(Inputs!$B$22+Skills!P9+B1031))/100)*(1+Inputs!$B$17/100)*(5000/(6000+Inputs!$B$43*(1-Inputs!$B$20/100)))*(1+Inputs!$B$25/100)*(1+IF(C1018=TRUE,F1018,0)/100)*(1+IF(C1020=TRUE,F1020,0)/100)*(1+IF(Skills!A9="TRIUMPH_FEATHER",IF(C1016=TRUE,F1016,0),0)/100)*(1+IF(C1027=TRUE,F1027,0)/100)^5*(1+(IF(Skills!A9="BIG_BANG",Inputs!$B$18,Inputs!$B$19))/100)*(B1029*I1009)</f>
        <v/>
      </c>
      <c r="L1009">
        <f>K1009*(MIN(Inputs!$B$23+(F1022-Calc!F22),Inputs!$B$24)/100+Inputs!$B$24/100)/2</f>
        <v/>
      </c>
      <c r="M1009">
        <f>L1009*(1+(Inputs!$B$11+B1033+(F1025-Calc!F25))/100)</f>
        <v/>
      </c>
      <c r="N1009">
        <f>L1009*(1-MIN(Inputs!$B$10+((F1024-Calc!F24)+(F1023-Calc!F23)),100)/100)+M1009*(MIN(Inputs!$B$10+((F1024-Calc!F24)+(F1023-Calc!F23)),100)/100)</f>
        <v/>
      </c>
      <c r="O1009">
        <f>IF(C1009,H1009*N1009*IF(AND(Inputs!$B$39&lt;&gt;"pvp",Inputs!$B$44&gt;0),((Skills!F9*((R1009-1)*IF(Skills!G9&gt;0,Skills!H9/Skills!G9,1)+IF(Skills!G9&gt;0,MIN(Skills!H9,MAX(0,MAX(0,Inputs!$B$44-B1039)-((R1009-1)*IF(Inputs!$B$39="pvp",15,MAX(0.1,Skills!D9-IF(Skills!E9=TRUE,Inputs!$B$33,0))))))/Skills!G9,1)))/Inputs!$B$44),G1009*Q1009)*IF(Inputs!$B$39="pvp",1,(1-Summary!$B$48)*(1)+Summary!$B$48*(MIN(Skills!Q9,Inputs!$B$38))),0)</f>
        <v/>
      </c>
      <c r="P1009">
        <f>IF(B1040=0,0,O1009/B1040)</f>
        <v/>
      </c>
      <c r="Q1009">
        <f>IFERROR(1/IF(Inputs!$B$39="pvp",15,MAX(0.1,Skills!D9-IF(Skills!E9=TRUE,Inputs!$B$33,0))),0)</f>
        <v/>
      </c>
      <c r="R1009">
        <f>IF(AND(Inputs!$B$39&lt;&gt;"pvp",Inputs!$B$44&gt;0),IF(MAX(0,Inputs!$B$44-B1039)&lt;=0,0,(INT(MAX(0,Inputs!$B$44-B1039)/IF(Inputs!$B$39="pvp",15,MAX(0.1,Skills!D9-IF(Skills!E9=TRUE,Inputs!$B$33,0))))+1)),0)</f>
        <v/>
      </c>
    </row>
    <row r="1010">
      <c r="A1010">
        <f>Skills!A10</f>
        <v/>
      </c>
      <c r="B1010">
        <f>Skills!B10</f>
        <v/>
      </c>
      <c r="C1010">
        <f>Inputs!$B$3&gt;=66</f>
        <v/>
      </c>
      <c r="D1010">
        <f>IF(Skills!C10=1,60+Inputs!$B$26+Inputs!$B$30,IF(Skills!C10=2,90+Inputs!$B$27+Inputs!$B$30,IF(Skills!C10=3,120+Inputs!$B$28+Inputs!$B$30,MAX(0,(Inputs!$B$3-100)*3)+Inputs!$B$29+Inputs!$B$30)))</f>
        <v/>
      </c>
      <c r="E1010">
        <f>INDEX(FactorTable!$B$2:$Y$301, MATCH(ROUND(MIN(300,MAX(1,D1010)),0), FactorTable!$A$2:$A$301,0), Skills!L10+1)</f>
        <v/>
      </c>
      <c r="F1010" t="n">
        <v>0</v>
      </c>
      <c r="G1010">
        <f>Calc!G10</f>
        <v/>
      </c>
      <c r="H1010">
        <f>Calc!H10</f>
        <v/>
      </c>
      <c r="I1010">
        <f>IF(Skills!T10&lt;&gt;"",1+(Skills!T10/10)*($Z$3/1000)/100,1)</f>
        <v/>
      </c>
      <c r="J1010" t="inlineStr"/>
      <c r="K1010" t="inlineStr"/>
      <c r="L1010" t="inlineStr"/>
      <c r="M1010" t="inlineStr"/>
      <c r="N1010" t="inlineStr"/>
      <c r="O1010" t="n">
        <v>0</v>
      </c>
      <c r="P1010">
        <f>IF(B1040=0,0,O1010/B1040)</f>
        <v/>
      </c>
      <c r="Q1010">
        <f>IFERROR(1/IF(Inputs!$B$39="pvp",15,MAX(0.1,Skills!D10-IF(Skills!E10=TRUE,Inputs!$B$33,0))),0)</f>
        <v/>
      </c>
      <c r="R1010">
        <f>IF(AND(Inputs!$B$39&lt;&gt;"pvp",Inputs!$B$44&gt;0),IF(MAX(0,Inputs!$B$44-B1039)&lt;=0,0,(INT(MAX(0,Inputs!$B$44-B1039)/IF(Inputs!$B$39="pvp",15,MAX(0.1,Skills!D10-IF(Skills!E10=TRUE,Inputs!$B$33,0))))+1)),0)</f>
        <v/>
      </c>
    </row>
    <row r="1011">
      <c r="A1011">
        <f>Skills!A11</f>
        <v/>
      </c>
      <c r="B1011">
        <f>Skills!B11</f>
        <v/>
      </c>
      <c r="C1011">
        <f>Inputs!$B$3&gt;=69</f>
        <v/>
      </c>
      <c r="D1011">
        <f>IF(Skills!C11=1,60+Inputs!$B$26+Inputs!$B$30,IF(Skills!C11=2,90+Inputs!$B$27+Inputs!$B$30,IF(Skills!C11=3,120+Inputs!$B$28+Inputs!$B$30,MAX(0,(Inputs!$B$3-100)*3)+Inputs!$B$29+Inputs!$B$30)))</f>
        <v/>
      </c>
      <c r="E1011">
        <f>INDEX(FactorTable!$B$2:$Y$301, MATCH(ROUND(MIN(300,MAX(1,D1011)),0), FactorTable!$A$2:$A$301,0), Skills!L11+1)</f>
        <v/>
      </c>
      <c r="F1011">
        <f>IF(Skills!M11=TRUE,(Skills!K11/10)*(E1011/1000),Skills!K11/10)+Skills!N11</f>
        <v/>
      </c>
      <c r="G1011">
        <f>Calc!G11</f>
        <v/>
      </c>
      <c r="H1011">
        <f>Calc!H11</f>
        <v/>
      </c>
      <c r="I1011">
        <f>IF(Skills!T11&lt;&gt;"",1+(Skills!T11/10)*($Z$3/1000)/100,1)</f>
        <v/>
      </c>
      <c r="J1011" t="inlineStr"/>
      <c r="K1011" t="inlineStr"/>
      <c r="L1011" t="inlineStr"/>
      <c r="M1011" t="inlineStr"/>
      <c r="N1011" t="inlineStr"/>
      <c r="O1011" t="n">
        <v>0</v>
      </c>
      <c r="P1011">
        <f>IF(B1040=0,0,O1011/B1040)</f>
        <v/>
      </c>
      <c r="Q1011">
        <f>IFERROR(1/IF(Inputs!$B$39="pvp",15,MAX(0.1,Skills!D11-IF(Skills!E11=TRUE,Inputs!$B$33,0))),0)</f>
        <v/>
      </c>
      <c r="R1011">
        <f>IF(AND(Inputs!$B$39&lt;&gt;"pvp",Inputs!$B$44&gt;0),IF(Inputs!$B$44&lt;=0,0,(INT(Inputs!$B$44/IF(Inputs!$B$39="pvp",15,MAX(0.1,Skills!D11-IF(Skills!E11=TRUE,Inputs!$B$33,0))))+1)),0)</f>
        <v/>
      </c>
    </row>
    <row r="1012">
      <c r="A1012">
        <f>Skills!A12</f>
        <v/>
      </c>
      <c r="B1012">
        <f>Skills!B12</f>
        <v/>
      </c>
      <c r="C1012">
        <f>Inputs!$B$3&gt;=72</f>
        <v/>
      </c>
      <c r="D1012">
        <f>IF(Skills!C12=1,60+Inputs!$B$26+Inputs!$B$30,IF(Skills!C12=2,90+Inputs!$B$27+Inputs!$B$30,IF(Skills!C12=3,120+Inputs!$B$28+Inputs!$B$30,MAX(0,(Inputs!$B$3-100)*3)+Inputs!$B$29+Inputs!$B$30)))</f>
        <v/>
      </c>
      <c r="E1012">
        <f>INDEX(FactorTable!$B$2:$Y$301, MATCH(ROUND(MIN(300,MAX(1,D1012)),0), FactorTable!$A$2:$A$301,0), Skills!L12+1)</f>
        <v/>
      </c>
      <c r="F1012">
        <f>IF(Skills!M12=TRUE,(Skills!K12/10)*(E1012/1000),Skills!K12/10)+Skills!N12</f>
        <v/>
      </c>
      <c r="G1012">
        <f>Calc!G12</f>
        <v/>
      </c>
      <c r="H1012">
        <f>Calc!H12</f>
        <v/>
      </c>
      <c r="I1012">
        <f>IF(Skills!T12&lt;&gt;"",1+(Skills!T12/10)*($Z$3/1000)/100,1)</f>
        <v/>
      </c>
      <c r="J1012" t="inlineStr"/>
      <c r="K1012" t="inlineStr"/>
      <c r="L1012" t="inlineStr"/>
      <c r="M1012" t="inlineStr"/>
      <c r="N1012" t="inlineStr"/>
      <c r="O1012" t="n">
        <v>0</v>
      </c>
      <c r="P1012">
        <f>IF(B1040=0,0,O1012/B1040)</f>
        <v/>
      </c>
      <c r="Q1012">
        <f>IFERROR(1/IF(Inputs!$B$39="pvp",15,MAX(0.1,Skills!D12-IF(Skills!E12=TRUE,Inputs!$B$33,0))),0)</f>
        <v/>
      </c>
      <c r="R1012">
        <f>IF(AND(Inputs!$B$39&lt;&gt;"pvp",Inputs!$B$44&gt;0),IF(MAX(0,Inputs!$B$44-B1039)&lt;=0,0,(INT(MAX(0,Inputs!$B$44-B1039)/IF(Inputs!$B$39="pvp",15,MAX(0.1,Skills!D12-IF(Skills!E12=TRUE,Inputs!$B$33,0))))+1)),0)</f>
        <v/>
      </c>
    </row>
    <row r="1013">
      <c r="A1013">
        <f>Skills!A13</f>
        <v/>
      </c>
      <c r="B1013">
        <f>Skills!B13</f>
        <v/>
      </c>
      <c r="C1013">
        <f>Inputs!$B$3&gt;=60</f>
        <v/>
      </c>
      <c r="D1013">
        <f>IF(Skills!C13=1,60+Inputs!$B$26+Inputs!$B$30,IF(Skills!C13=2,90+Inputs!$B$27+Inputs!$B$30,IF(Skills!C13=3,120+Inputs!$B$28+Inputs!$B$30,MAX(0,(Inputs!$B$3-100)*3)+Inputs!$B$29+Inputs!$B$30)))</f>
        <v/>
      </c>
      <c r="E1013">
        <f>INDEX(FactorTable!$B$2:$Y$301, MATCH(ROUND(MIN(300,MAX(1,D1013)),0), FactorTable!$A$2:$A$301,0), Skills!L13+1)</f>
        <v/>
      </c>
      <c r="F1013">
        <f>IF(Skills!M13=TRUE,(Skills!K13/10)*(E1013/1000),Skills!K13/10)+Skills!N13</f>
        <v/>
      </c>
      <c r="G1013">
        <f>Calc!G13</f>
        <v/>
      </c>
      <c r="H1013">
        <f>Calc!H13</f>
        <v/>
      </c>
      <c r="I1013">
        <f>IF(Skills!T13&lt;&gt;"",1+(Skills!T13/10)*($Z$3/1000)/100,1)</f>
        <v/>
      </c>
      <c r="J1013" t="inlineStr"/>
      <c r="K1013" t="inlineStr"/>
      <c r="L1013" t="inlineStr"/>
      <c r="M1013" t="inlineStr"/>
      <c r="N1013" t="inlineStr"/>
      <c r="O1013" t="n">
        <v>0</v>
      </c>
      <c r="P1013">
        <f>IF(B1040=0,0,O1013/B1040)</f>
        <v/>
      </c>
      <c r="Q1013">
        <f>IFERROR(1/IF(Inputs!$B$39="pvp",15,MAX(0.1,Skills!D13-IF(Skills!E13=TRUE,Inputs!$B$33,0))),0)</f>
        <v/>
      </c>
      <c r="R1013">
        <f>IF(AND(Inputs!$B$39&lt;&gt;"pvp",Inputs!$B$44&gt;0),IF(MAX(0,Inputs!$B$44-B1039)&lt;=0,0,(INT(MAX(0,Inputs!$B$44-B1039)/IF(Inputs!$B$39="pvp",15,MAX(0.1,Skills!D13-IF(Skills!E13=TRUE,Inputs!$B$33,0))))+1)),0)</f>
        <v/>
      </c>
    </row>
    <row r="1014">
      <c r="A1014">
        <f>Skills!A14</f>
        <v/>
      </c>
      <c r="B1014">
        <f>Skills!B14</f>
        <v/>
      </c>
      <c r="C1014">
        <f>Inputs!$B$3&gt;=107</f>
        <v/>
      </c>
      <c r="D1014">
        <f>IF(Skills!C14=1,60+Inputs!$B$26+Inputs!$B$30,IF(Skills!C14=2,90+Inputs!$B$27+Inputs!$B$30,IF(Skills!C14=3,120+Inputs!$B$28+Inputs!$B$30,MAX(0,(Inputs!$B$3-100)*3)+Inputs!$B$29+Inputs!$B$30)))</f>
        <v/>
      </c>
      <c r="E1014">
        <f>INDEX(FactorTable!$B$2:$Y$301, MATCH(ROUND(MIN(300,MAX(1,D1014)),0), FactorTable!$A$2:$A$301,0), Skills!L14+1)</f>
        <v/>
      </c>
      <c r="F1014">
        <f>IF(Skills!M14=TRUE,(Skills!K14/10)*(E1014/1000),Skills!K14/10)+Skills!N14</f>
        <v/>
      </c>
      <c r="G1014">
        <f>Calc!G14</f>
        <v/>
      </c>
      <c r="H1014">
        <f>Calc!H14</f>
        <v/>
      </c>
      <c r="I1014">
        <f>IF(Skills!T14&lt;&gt;"",1+(Skills!T14/10)*($Z$3/1000)/100,1)</f>
        <v/>
      </c>
      <c r="J1014" t="inlineStr"/>
      <c r="K1014" t="inlineStr"/>
      <c r="L1014" t="inlineStr"/>
      <c r="M1014" t="inlineStr"/>
      <c r="N1014" t="inlineStr"/>
      <c r="O1014" t="n">
        <v>0</v>
      </c>
      <c r="P1014">
        <f>IF(B1040=0,0,O1014/B1040)</f>
        <v/>
      </c>
      <c r="Q1014">
        <f>IFERROR(1/IF(Inputs!$B$39="pvp",15,MAX(0.1,Skills!D14-IF(Skills!E14=TRUE,Inputs!$B$33,0))),0)</f>
        <v/>
      </c>
      <c r="R1014">
        <f>IF(AND(Inputs!$B$39&lt;&gt;"pvp",Inputs!$B$44&gt;0),IF(Inputs!$B$44&lt;=0,0,(INT(Inputs!$B$44/IF(Inputs!$B$39="pvp",15,MAX(0.1,Skills!D14-IF(Skills!E14=TRUE,Inputs!$B$33,0))))+1)),0)</f>
        <v/>
      </c>
    </row>
    <row r="1015">
      <c r="A1015">
        <f>Skills!A15</f>
        <v/>
      </c>
      <c r="B1015">
        <f>Skills!B15</f>
        <v/>
      </c>
      <c r="C1015">
        <f>Inputs!$B$3&gt;=63</f>
        <v/>
      </c>
      <c r="D1015">
        <f>IF(Skills!C15=1,60+Inputs!$B$26+Inputs!$B$30,IF(Skills!C15=2,90+Inputs!$B$27+Inputs!$B$30,IF(Skills!C15=3,120+Inputs!$B$28+Inputs!$B$30,MAX(0,(Inputs!$B$3-100)*3)+Inputs!$B$29+Inputs!$B$30)))</f>
        <v/>
      </c>
      <c r="E1015">
        <f>INDEX(FactorTable!$B$2:$Y$301, MATCH(ROUND(MIN(300,MAX(1,D1015)),0), FactorTable!$A$2:$A$301,0), Skills!L15+1)</f>
        <v/>
      </c>
      <c r="F1015">
        <f>IF(Skills!M15=TRUE,(Skills!K15/10)*(E1015/1000),Skills!K15/10)+Skills!N15</f>
        <v/>
      </c>
      <c r="G1015">
        <f>Calc!G15</f>
        <v/>
      </c>
      <c r="H1015">
        <f>Calc!H15</f>
        <v/>
      </c>
      <c r="I1015">
        <f>IF(Skills!T15&lt;&gt;"",1+(Skills!T15/10)*($Z$3/1000)/100,1)</f>
        <v/>
      </c>
      <c r="J1015">
        <f>((Inputs!$B$6*(1+(Inputs!$B$7+1)/100))+(((Inputs!$B$13*(1+Inputs!$B$14/100))-(Inputs!$B$13*(1+Inputs!$B$14/100)))+0.25*(Inputs!$B$15-Inputs!$B$15))*(1+(Inputs!$B$7+1)/100))*(F1015/100)</f>
        <v/>
      </c>
      <c r="K1015">
        <f>J1015*(1+(((Inputs!$B$13+IF(Inputs!$B$3&gt;=35,(10*INDEX(FactorTable!$B$2:$Y$301, MATCH(ROUND(MIN(300,MAX(1,Inputs!$B$3)),0), FactorTable!$A$2:$A$301,0), 23)/1000)/100*(Inputs!$B$8*(1+(Inputs!$B$9+B1038)/100)),0))*(1+Inputs!$B$14/100))*0.01+Inputs!$B$15*0.0025)/100)*(1+(Inputs!$B$16+B1032)/100)*(1+IF(Inputs!$B$39="pvp",0,(1-Summary!$B$48)*(Inputs!$B$21+Skills!O15+B1030)+Summary!$B$48*(Inputs!$B$22+Skills!P15+B1031))/100)*(1+Inputs!$B$17/100)*(5000/(6000+Inputs!$B$43*(1-Inputs!$B$20/100)))*(1+Inputs!$B$25/100)*(1+IF(C1018=TRUE,F1018,0)/100)*(1+IF(C1020=TRUE,F1020,0)/100)*(1+IF(Skills!A15="TRIUMPH_FEATHER",IF(C1016=TRUE,F1016,0),0)/100)*(1+IF(C1027=TRUE,F1027,0)/100)^5*(1+(IF(Skills!A15="BIG_BANG",Inputs!$B$18,Inputs!$B$19))/100)*(B1029*I1015)</f>
        <v/>
      </c>
      <c r="L1015">
        <f>K1015*(MIN(Inputs!$B$23+(F1022-Calc!F22),Inputs!$B$24)/100+Inputs!$B$24/100)/2</f>
        <v/>
      </c>
      <c r="M1015">
        <f>L1015*(1+(Inputs!$B$11+B1033+(F1025-Calc!F25))/100)</f>
        <v/>
      </c>
      <c r="N1015">
        <f>L1015*(1-MIN(Inputs!$B$10+((F1024-Calc!F24)+(F1023-Calc!F23)),100)/100)+M1015*(MIN(Inputs!$B$10+((F1024-Calc!F24)+(F1023-Calc!F23)),100)/100)</f>
        <v/>
      </c>
      <c r="O1015">
        <f>IF(C1015,Skills!F15*N1015*((IF(Inputs!$B$3&gt;=78,25,15)/100*B1035*10)/(1+IF(Inputs!$B$3&gt;=78,25,15)/100*B1035*10))*(Skills!I15/100*B1035)/(1+Skills!G15*Skills!I15/100*B1035)*IF(Inputs!$B$39="pvp",1,(1-Summary!$B$48)*(1)+Summary!$B$48*(MIN(Skills!Q15,Inputs!$B$38))),0)</f>
        <v/>
      </c>
      <c r="P1015">
        <f>IF(B1040=0,0,O1015/B1040)</f>
        <v/>
      </c>
      <c r="Q1015">
        <f>IFERROR(1/IF(Inputs!$B$39="pvp",15,MAX(0.1,Skills!D15-IF(Skills!E15=TRUE,Inputs!$B$33,0))),0)</f>
        <v/>
      </c>
      <c r="R1015" t="n">
        <v>0</v>
      </c>
    </row>
    <row r="1016">
      <c r="A1016">
        <f>Skills!A16</f>
        <v/>
      </c>
      <c r="B1016">
        <f>Skills!B16</f>
        <v/>
      </c>
      <c r="C1016">
        <f>Inputs!$B$3&gt;=100</f>
        <v/>
      </c>
      <c r="D1016">
        <f>IF(Skills!C16=1,60+Inputs!$B$26+Inputs!$B$30,IF(Skills!C16=2,90+Inputs!$B$27+Inputs!$B$30,IF(Skills!C16=3,120+Inputs!$B$28+Inputs!$B$30,MAX(0,(Inputs!$B$3-100)*3)+Inputs!$B$29+Inputs!$B$30)))</f>
        <v/>
      </c>
      <c r="E1016">
        <f>INDEX(FactorTable!$B$2:$Y$301, MATCH(ROUND(MIN(300,MAX(1,D1016)),0), FactorTable!$A$2:$A$301,0), Skills!L16+1)</f>
        <v/>
      </c>
      <c r="F1016">
        <f>IF(Skills!M16=TRUE,(Skills!K16/10)*(E1016/1000),Skills!K16/10)+Skills!N16</f>
        <v/>
      </c>
      <c r="G1016">
        <f>Calc!G16</f>
        <v/>
      </c>
      <c r="H1016">
        <f>Calc!H16</f>
        <v/>
      </c>
      <c r="I1016">
        <f>IF(Skills!T16&lt;&gt;"",1+(Skills!T16/10)*($Z$3/1000)/100,1)</f>
        <v/>
      </c>
      <c r="J1016" t="inlineStr"/>
      <c r="K1016" t="inlineStr"/>
      <c r="L1016" t="inlineStr"/>
      <c r="M1016" t="inlineStr"/>
      <c r="N1016" t="inlineStr"/>
      <c r="O1016" t="n">
        <v>0</v>
      </c>
      <c r="P1016">
        <f>IF(B1040=0,0,O1016/B1040)</f>
        <v/>
      </c>
      <c r="Q1016">
        <f>IFERROR(1/IF(Inputs!$B$39="pvp",15,MAX(0.1,Skills!D16-IF(Skills!E16=TRUE,Inputs!$B$33,0))),0)</f>
        <v/>
      </c>
      <c r="R1016" t="n">
        <v>0</v>
      </c>
    </row>
    <row r="1017">
      <c r="A1017">
        <f>Skills!A17</f>
        <v/>
      </c>
      <c r="B1017">
        <f>Skills!B17</f>
        <v/>
      </c>
      <c r="C1017">
        <f>Inputs!$B$3&gt;=49</f>
        <v/>
      </c>
      <c r="D1017">
        <f>IF(Skills!C17=1,60+Inputs!$B$26+Inputs!$B$30,IF(Skills!C17=2,90+Inputs!$B$27+Inputs!$B$30,IF(Skills!C17=3,120+Inputs!$B$28+Inputs!$B$30,MAX(0,(Inputs!$B$3-100)*3)+Inputs!$B$29+Inputs!$B$30)))</f>
        <v/>
      </c>
      <c r="E1017">
        <f>INDEX(FactorTable!$B$2:$Y$301, MATCH(ROUND(MIN(300,MAX(1,D1017)),0), FactorTable!$A$2:$A$301,0), Skills!L17+1)</f>
        <v/>
      </c>
      <c r="F1017">
        <f>IF(Skills!M17=TRUE,(Skills!K17/10)*(E1017/1000),Skills!K17/10)+Skills!N17</f>
        <v/>
      </c>
      <c r="G1017">
        <f>Calc!G17</f>
        <v/>
      </c>
      <c r="H1017">
        <f>Calc!H17</f>
        <v/>
      </c>
      <c r="I1017">
        <f>IF(Skills!T17&lt;&gt;"",1+(Skills!T17/10)*($Z$3/1000)/100,1)</f>
        <v/>
      </c>
      <c r="J1017" t="inlineStr"/>
      <c r="K1017" t="inlineStr"/>
      <c r="L1017" t="inlineStr"/>
      <c r="M1017" t="inlineStr"/>
      <c r="N1017" t="inlineStr"/>
      <c r="O1017" t="n">
        <v>0</v>
      </c>
      <c r="P1017">
        <f>IF(B1040=0,0,O1017/B1040)</f>
        <v/>
      </c>
      <c r="Q1017">
        <f>IFERROR(1/IF(Inputs!$B$39="pvp",15,MAX(0.1,Skills!D17-IF(Skills!E17=TRUE,Inputs!$B$33,0))),0)</f>
        <v/>
      </c>
      <c r="R1017" t="n">
        <v>0</v>
      </c>
    </row>
    <row r="1018">
      <c r="A1018">
        <f>Skills!A18</f>
        <v/>
      </c>
      <c r="B1018">
        <f>Skills!B18</f>
        <v/>
      </c>
      <c r="C1018">
        <f>Inputs!$B$3&gt;=75</f>
        <v/>
      </c>
      <c r="D1018">
        <f>IF(Skills!C18=1,60+Inputs!$B$26+Inputs!$B$30,IF(Skills!C18=2,90+Inputs!$B$27+Inputs!$B$30,IF(Skills!C18=3,120+Inputs!$B$28+Inputs!$B$30,MAX(0,(Inputs!$B$3-100)*3)+Inputs!$B$29+Inputs!$B$30)))</f>
        <v/>
      </c>
      <c r="E1018">
        <f>INDEX(FactorTable!$B$2:$Y$301, MATCH(ROUND(MIN(300,MAX(1,D1018)),0), FactorTable!$A$2:$A$301,0), Skills!L18+1)</f>
        <v/>
      </c>
      <c r="F1018">
        <f>IF(Skills!M18=TRUE,(Skills!K18/10)*(E1018/1000),Skills!K18/10)+Skills!N18</f>
        <v/>
      </c>
      <c r="G1018">
        <f>Calc!G18</f>
        <v/>
      </c>
      <c r="H1018">
        <f>Calc!H18</f>
        <v/>
      </c>
      <c r="I1018">
        <f>IF(Skills!T18&lt;&gt;"",1+(Skills!T18/10)*($Z$3/1000)/100,1)</f>
        <v/>
      </c>
      <c r="J1018" t="inlineStr"/>
      <c r="K1018" t="inlineStr"/>
      <c r="L1018" t="inlineStr"/>
      <c r="M1018" t="inlineStr"/>
      <c r="N1018" t="inlineStr"/>
      <c r="O1018" t="n">
        <v>0</v>
      </c>
      <c r="P1018">
        <f>IF(B1040=0,0,O1018/B1040)</f>
        <v/>
      </c>
      <c r="Q1018">
        <f>IFERROR(1/IF(Inputs!$B$39="pvp",15,MAX(0.1,Skills!D18-IF(Skills!E18=TRUE,Inputs!$B$33,0))),0)</f>
        <v/>
      </c>
      <c r="R1018" t="n">
        <v>0</v>
      </c>
    </row>
    <row r="1019">
      <c r="A1019">
        <f>Skills!A19</f>
        <v/>
      </c>
      <c r="B1019">
        <f>Skills!B19</f>
        <v/>
      </c>
      <c r="C1019">
        <f>Inputs!$B$3&gt;=110</f>
        <v/>
      </c>
      <c r="D1019">
        <f>IF(Skills!C19=1,60+Inputs!$B$26+Inputs!$B$30,IF(Skills!C19=2,90+Inputs!$B$27+Inputs!$B$30,IF(Skills!C19=3,120+Inputs!$B$28+Inputs!$B$30,MAX(0,(Inputs!$B$3-100)*3)+Inputs!$B$29+Inputs!$B$30)))</f>
        <v/>
      </c>
      <c r="E1019">
        <f>INDEX(FactorTable!$B$2:$Y$301, MATCH(ROUND(MIN(300,MAX(1,D1019)),0), FactorTable!$A$2:$A$301,0), Skills!L19+1)</f>
        <v/>
      </c>
      <c r="F1019">
        <f>(Skills!K19/10)*(E1019/1000)*64/45+Skills!N19</f>
        <v/>
      </c>
      <c r="G1019">
        <f>Calc!G19</f>
        <v/>
      </c>
      <c r="H1019">
        <f>Calc!H19</f>
        <v/>
      </c>
      <c r="I1019">
        <f>IF(Skills!T19&lt;&gt;"",1+(Skills!T19/10)*($Z$3/1000)/100,1)</f>
        <v/>
      </c>
      <c r="J1019" t="inlineStr"/>
      <c r="K1019" t="inlineStr"/>
      <c r="L1019" t="inlineStr"/>
      <c r="M1019" t="inlineStr"/>
      <c r="N1019" t="inlineStr"/>
      <c r="O1019" t="n">
        <v>0</v>
      </c>
      <c r="P1019">
        <f>IF(B1040=0,0,O1019/B1040)</f>
        <v/>
      </c>
      <c r="Q1019">
        <f>IFERROR(1/IF(Inputs!$B$39="pvp",15,MAX(0.1,Skills!D19-IF(Skills!E19=TRUE,Inputs!$B$33,0))),0)</f>
        <v/>
      </c>
      <c r="R1019">
        <f>IF(AND(Inputs!$B$39&lt;&gt;"pvp",Inputs!$B$44&gt;0),IF(Inputs!$B$44&lt;=0,0,(INT(Inputs!$B$44/IF(Inputs!$B$39="pvp",15,MAX(0.1,Skills!D19-IF(Skills!E19=TRUE,Inputs!$B$33,0))))+1)),0)</f>
        <v/>
      </c>
    </row>
    <row r="1020">
      <c r="A1020">
        <f>Skills!A20</f>
        <v/>
      </c>
      <c r="B1020">
        <f>Skills!B20</f>
        <v/>
      </c>
      <c r="C1020">
        <f>Inputs!$B$3&gt;=125</f>
        <v/>
      </c>
      <c r="D1020">
        <f>IF(Skills!C20=1,60+Inputs!$B$26+Inputs!$B$30,IF(Skills!C20=2,90+Inputs!$B$27+Inputs!$B$30,IF(Skills!C20=3,120+Inputs!$B$28+Inputs!$B$30,MAX(0,(Inputs!$B$3-100)*3)+Inputs!$B$29+Inputs!$B$30)))</f>
        <v/>
      </c>
      <c r="E1020">
        <f>INDEX(FactorTable!$B$2:$Y$301, MATCH(ROUND(MIN(300,MAX(1,D1020)),0), FactorTable!$A$2:$A$301,0), Skills!L20+1)</f>
        <v/>
      </c>
      <c r="F1020">
        <f>IF(Skills!M20=TRUE,(Skills!K20/10)*(E1020/1000),Skills!K20/10)+Skills!N20</f>
        <v/>
      </c>
      <c r="G1020">
        <f>Calc!G20</f>
        <v/>
      </c>
      <c r="H1020">
        <f>Calc!H20</f>
        <v/>
      </c>
      <c r="I1020">
        <f>IF(Skills!T20&lt;&gt;"",1+(Skills!T20/10)*($Z$3/1000)/100,1)</f>
        <v/>
      </c>
      <c r="J1020" t="inlineStr"/>
      <c r="K1020" t="inlineStr"/>
      <c r="L1020" t="inlineStr"/>
      <c r="M1020" t="inlineStr"/>
      <c r="N1020" t="inlineStr"/>
      <c r="O1020" t="n">
        <v>0</v>
      </c>
      <c r="P1020">
        <f>IF(B1040=0,0,O1020/B1040)</f>
        <v/>
      </c>
      <c r="Q1020">
        <f>IFERROR(1/IF(Inputs!$B$39="pvp",15,MAX(0.1,Skills!D20-IF(Skills!E20=TRUE,Inputs!$B$33,0))),0)</f>
        <v/>
      </c>
      <c r="R1020" t="n">
        <v>0</v>
      </c>
    </row>
    <row r="1021">
      <c r="A1021">
        <f>Skills!A21</f>
        <v/>
      </c>
      <c r="B1021">
        <f>Skills!B21</f>
        <v/>
      </c>
      <c r="C1021">
        <f>Inputs!$B$3&gt;=33</f>
        <v/>
      </c>
      <c r="D1021">
        <f>IF(Skills!C21=1,60+Inputs!$B$26+Inputs!$B$30,IF(Skills!C21=2,90+Inputs!$B$27+Inputs!$B$30,IF(Skills!C21=3,120+Inputs!$B$28+Inputs!$B$30,MAX(0,(Inputs!$B$3-100)*3)+Inputs!$B$29+Inputs!$B$30)))</f>
        <v/>
      </c>
      <c r="E1021">
        <f>INDEX(FactorTable!$B$2:$Y$301, MATCH(ROUND(MIN(300,MAX(1,D1021)),0), FactorTable!$A$2:$A$301,0), Skills!L21+1)</f>
        <v/>
      </c>
      <c r="F1021">
        <f>IF(Skills!M21=TRUE,(Skills!K21/10)*(E1021/1000),Skills!K21/10)+Skills!N21</f>
        <v/>
      </c>
      <c r="G1021">
        <f>Calc!G21</f>
        <v/>
      </c>
      <c r="H1021">
        <f>Calc!H21</f>
        <v/>
      </c>
      <c r="I1021">
        <f>IF(Skills!T21&lt;&gt;"",1+(Skills!T21/10)*($Z$3/1000)/100,1)</f>
        <v/>
      </c>
      <c r="J1021" t="inlineStr"/>
      <c r="K1021" t="inlineStr"/>
      <c r="L1021" t="inlineStr"/>
      <c r="M1021" t="inlineStr"/>
      <c r="N1021" t="inlineStr"/>
      <c r="O1021" t="n">
        <v>0</v>
      </c>
      <c r="P1021">
        <f>IF(B1040=0,0,O1021/B1040)</f>
        <v/>
      </c>
      <c r="Q1021">
        <f>IFERROR(1/IF(Inputs!$B$39="pvp",15,MAX(0.1,Skills!D21-IF(Skills!E21=TRUE,Inputs!$B$33,0))),0)</f>
        <v/>
      </c>
      <c r="R1021" t="n">
        <v>0</v>
      </c>
    </row>
    <row r="1022">
      <c r="A1022">
        <f>Skills!A22</f>
        <v/>
      </c>
      <c r="B1022">
        <f>Skills!B22</f>
        <v/>
      </c>
      <c r="C1022">
        <f>Inputs!$B$3&gt;=43</f>
        <v/>
      </c>
      <c r="D1022">
        <f>IF(Skills!C22=1,60+Inputs!$B$26+Inputs!$B$30,IF(Skills!C22=2,90+Inputs!$B$27+Inputs!$B$30,IF(Skills!C22=3,120+Inputs!$B$28+Inputs!$B$30,MAX(0,(Inputs!$B$3-100)*3)+Inputs!$B$29+Inputs!$B$30)))</f>
        <v/>
      </c>
      <c r="E1022">
        <f>INDEX(FactorTable!$B$2:$Y$301, MATCH(ROUND(MIN(300,MAX(1,D1022)),0), FactorTable!$A$2:$A$301,0), Skills!L22+1)</f>
        <v/>
      </c>
      <c r="F1022">
        <f>IF(Skills!M22=TRUE,(Skills!K22/10)*(E1022/1000),Skills!K22/10)+Skills!N22</f>
        <v/>
      </c>
      <c r="G1022">
        <f>Calc!G22</f>
        <v/>
      </c>
      <c r="H1022">
        <f>Calc!H22</f>
        <v/>
      </c>
      <c r="I1022">
        <f>IF(Skills!T22&lt;&gt;"",1+(Skills!T22/10)*($Z$3/1000)/100,1)</f>
        <v/>
      </c>
      <c r="J1022" t="inlineStr"/>
      <c r="K1022" t="inlineStr"/>
      <c r="L1022" t="inlineStr"/>
      <c r="M1022" t="inlineStr"/>
      <c r="N1022" t="inlineStr"/>
      <c r="O1022" t="n">
        <v>0</v>
      </c>
      <c r="P1022">
        <f>IF(B1040=0,0,O1022/B1040)</f>
        <v/>
      </c>
      <c r="Q1022">
        <f>IFERROR(1/IF(Inputs!$B$39="pvp",15,MAX(0.1,Skills!D22-IF(Skills!E22=TRUE,Inputs!$B$33,0))),0)</f>
        <v/>
      </c>
      <c r="R1022" t="n">
        <v>0</v>
      </c>
    </row>
    <row r="1023">
      <c r="A1023">
        <f>Skills!A23</f>
        <v/>
      </c>
      <c r="B1023">
        <f>Skills!B23</f>
        <v/>
      </c>
      <c r="C1023">
        <f>Inputs!$B$3&gt;=50</f>
        <v/>
      </c>
      <c r="D1023">
        <f>IF(Skills!C23=1,60+Inputs!$B$26+Inputs!$B$30,IF(Skills!C23=2,90+Inputs!$B$27+Inputs!$B$30,IF(Skills!C23=3,120+Inputs!$B$28+Inputs!$B$30,MAX(0,(Inputs!$B$3-100)*3)+Inputs!$B$29+Inputs!$B$30)))</f>
        <v/>
      </c>
      <c r="E1023">
        <f>INDEX(FactorTable!$B$2:$Y$301, MATCH(ROUND(MIN(300,MAX(1,D1023)),0), FactorTable!$A$2:$A$301,0), Skills!L23+1)</f>
        <v/>
      </c>
      <c r="F1023">
        <f>IF(Skills!M23=TRUE,(Skills!K23/10)*(E1023/1000),Skills!K23/10)+Skills!N23</f>
        <v/>
      </c>
      <c r="G1023">
        <f>Calc!G23</f>
        <v/>
      </c>
      <c r="H1023">
        <f>Calc!H23</f>
        <v/>
      </c>
      <c r="I1023">
        <f>IF(Skills!T23&lt;&gt;"",1+(Skills!T23/10)*($Z$3/1000)/100,1)</f>
        <v/>
      </c>
      <c r="J1023" t="inlineStr"/>
      <c r="K1023" t="inlineStr"/>
      <c r="L1023" t="inlineStr"/>
      <c r="M1023" t="inlineStr"/>
      <c r="N1023" t="inlineStr"/>
      <c r="O1023" t="n">
        <v>0</v>
      </c>
      <c r="P1023">
        <f>IF(B1040=0,0,O1023/B1040)</f>
        <v/>
      </c>
      <c r="Q1023">
        <f>IFERROR(1/IF(Inputs!$B$39="pvp",15,MAX(0.1,Skills!D23-IF(Skills!E23=TRUE,Inputs!$B$33,0))),0)</f>
        <v/>
      </c>
      <c r="R1023" t="n">
        <v>0</v>
      </c>
    </row>
    <row r="1024">
      <c r="A1024">
        <f>Skills!A24</f>
        <v/>
      </c>
      <c r="B1024">
        <f>Skills!B24</f>
        <v/>
      </c>
      <c r="C1024">
        <f>Inputs!$B$3&gt;=74</f>
        <v/>
      </c>
      <c r="D1024">
        <f>IF(Skills!C24=1,60+Inputs!$B$26+Inputs!$B$30,IF(Skills!C24=2,90+Inputs!$B$27+Inputs!$B$30,IF(Skills!C24=3,120+Inputs!$B$28+Inputs!$B$30,MAX(0,(Inputs!$B$3-100)*3)+Inputs!$B$29+Inputs!$B$30)))</f>
        <v/>
      </c>
      <c r="E1024">
        <f>INDEX(FactorTable!$B$2:$Y$301, MATCH(ROUND(MIN(300,MAX(1,D1024)),0), FactorTable!$A$2:$A$301,0), Skills!L24+1)</f>
        <v/>
      </c>
      <c r="F1024">
        <f>IF(Skills!M24=TRUE,(Skills!K24/10)*(E1024/1000),Skills!K24/10)+Skills!N24</f>
        <v/>
      </c>
      <c r="G1024">
        <f>Calc!G24</f>
        <v/>
      </c>
      <c r="H1024">
        <f>Calc!H24</f>
        <v/>
      </c>
      <c r="I1024">
        <f>IF(Skills!T24&lt;&gt;"",1+(Skills!T24/10)*($Z$3/1000)/100,1)</f>
        <v/>
      </c>
      <c r="J1024" t="inlineStr"/>
      <c r="K1024" t="inlineStr"/>
      <c r="L1024" t="inlineStr"/>
      <c r="M1024" t="inlineStr"/>
      <c r="N1024" t="inlineStr"/>
      <c r="O1024" t="n">
        <v>0</v>
      </c>
      <c r="P1024">
        <f>IF(B1040=0,0,O1024/B1040)</f>
        <v/>
      </c>
      <c r="Q1024">
        <f>IFERROR(1/IF(Inputs!$B$39="pvp",15,MAX(0.1,Skills!D24-IF(Skills!E24=TRUE,Inputs!$B$33,0))),0)</f>
        <v/>
      </c>
      <c r="R1024" t="n">
        <v>0</v>
      </c>
    </row>
    <row r="1025">
      <c r="A1025">
        <f>Skills!A25</f>
        <v/>
      </c>
      <c r="B1025">
        <f>Skills!B25</f>
        <v/>
      </c>
      <c r="C1025">
        <f>Inputs!$B$3&gt;=74</f>
        <v/>
      </c>
      <c r="D1025">
        <f>IF(Skills!C25=1,60+Inputs!$B$26+Inputs!$B$30,IF(Skills!C25=2,90+Inputs!$B$27+Inputs!$B$30,IF(Skills!C25=3,120+Inputs!$B$28+Inputs!$B$30,MAX(0,(Inputs!$B$3-100)*3)+Inputs!$B$29+Inputs!$B$30)))</f>
        <v/>
      </c>
      <c r="E1025">
        <f>INDEX(FactorTable!$B$2:$Y$301, MATCH(ROUND(MIN(300,MAX(1,D1025)),0), FactorTable!$A$2:$A$301,0), Skills!L25+1)</f>
        <v/>
      </c>
      <c r="F1025">
        <f>IF(Skills!M25=TRUE,(Skills!K25/10)*(E1025/1000),Skills!K25/10)+Skills!N25</f>
        <v/>
      </c>
      <c r="G1025">
        <f>Calc!G25</f>
        <v/>
      </c>
      <c r="H1025">
        <f>Calc!H25</f>
        <v/>
      </c>
      <c r="I1025">
        <f>IF(Skills!T25&lt;&gt;"",1+(Skills!T25/10)*($Z$3/1000)/100,1)</f>
        <v/>
      </c>
      <c r="J1025" t="inlineStr"/>
      <c r="K1025" t="inlineStr"/>
      <c r="L1025" t="inlineStr"/>
      <c r="M1025" t="inlineStr"/>
      <c r="N1025" t="inlineStr"/>
      <c r="O1025" t="n">
        <v>0</v>
      </c>
      <c r="P1025">
        <f>IF(B1040=0,0,O1025/B1040)</f>
        <v/>
      </c>
      <c r="Q1025">
        <f>IFERROR(1/IF(Inputs!$B$39="pvp",15,MAX(0.1,Skills!D25-IF(Skills!E25=TRUE,Inputs!$B$33,0))),0)</f>
        <v/>
      </c>
      <c r="R1025" t="n">
        <v>0</v>
      </c>
    </row>
    <row r="1026">
      <c r="A1026">
        <f>Skills!A26</f>
        <v/>
      </c>
      <c r="B1026">
        <f>Skills!B26</f>
        <v/>
      </c>
      <c r="C1026">
        <f>Inputs!$B$3&gt;=117</f>
        <v/>
      </c>
      <c r="D1026">
        <f>IF(Skills!C26=1,60+Inputs!$B$26+Inputs!$B$30,IF(Skills!C26=2,90+Inputs!$B$27+Inputs!$B$30,IF(Skills!C26=3,120+Inputs!$B$28+Inputs!$B$30,MAX(0,(Inputs!$B$3-100)*3)+Inputs!$B$29+Inputs!$B$30)))</f>
        <v/>
      </c>
      <c r="E1026">
        <f>INDEX(FactorTable!$B$2:$Y$301, MATCH(ROUND(MIN(300,MAX(1,D1026)),0), FactorTable!$A$2:$A$301,0), Skills!L26+1)</f>
        <v/>
      </c>
      <c r="F1026">
        <f>IF(Skills!M26=TRUE,(Skills!K26/10)*(E1026/1000),Skills!K26/10)+Skills!N26</f>
        <v/>
      </c>
      <c r="G1026">
        <f>Calc!G26</f>
        <v/>
      </c>
      <c r="H1026">
        <f>Calc!H26</f>
        <v/>
      </c>
      <c r="I1026">
        <f>IF(Skills!T26&lt;&gt;"",1+(Skills!T26/10)*($Z$3/1000)/100,1)</f>
        <v/>
      </c>
      <c r="J1026" t="inlineStr"/>
      <c r="K1026" t="inlineStr"/>
      <c r="L1026" t="inlineStr"/>
      <c r="M1026" t="inlineStr"/>
      <c r="N1026" t="inlineStr"/>
      <c r="O1026" t="n">
        <v>0</v>
      </c>
      <c r="P1026">
        <f>IF(B1040=0,0,O1026/B1040)</f>
        <v/>
      </c>
      <c r="Q1026">
        <f>IFERROR(1/IF(Inputs!$B$39="pvp",15,MAX(0.1,Skills!D26-IF(Skills!E26=TRUE,Inputs!$B$33,0))),0)</f>
        <v/>
      </c>
      <c r="R1026" t="n">
        <v>0</v>
      </c>
    </row>
    <row r="1027">
      <c r="A1027">
        <f>Skills!A27</f>
        <v/>
      </c>
      <c r="B1027">
        <f>Skills!B27</f>
        <v/>
      </c>
      <c r="C1027">
        <f>Inputs!$B$3&gt;=120</f>
        <v/>
      </c>
      <c r="D1027">
        <f>IF(Skills!C27=1,60+Inputs!$B$26+Inputs!$B$30,IF(Skills!C27=2,90+Inputs!$B$27+Inputs!$B$30,IF(Skills!C27=3,120+Inputs!$B$28+Inputs!$B$30,MAX(0,(Inputs!$B$3-100)*3)+Inputs!$B$29+Inputs!$B$30)))</f>
        <v/>
      </c>
      <c r="E1027">
        <f>INDEX(FactorTable!$B$2:$Y$301, MATCH(ROUND(MIN(300,MAX(1,D1027)),0), FactorTable!$A$2:$A$301,0), Skills!L27+1)</f>
        <v/>
      </c>
      <c r="F1027">
        <f>IF(Skills!M27=TRUE,(Skills!K27/10)*(E1027/1000),Skills!K27/10)+Skills!N27</f>
        <v/>
      </c>
      <c r="G1027">
        <f>Calc!G27</f>
        <v/>
      </c>
      <c r="H1027">
        <f>Calc!H27</f>
        <v/>
      </c>
      <c r="I1027">
        <f>IF(Skills!T27&lt;&gt;"",1+(Skills!T27/10)*($Z$3/1000)/100,1)</f>
        <v/>
      </c>
      <c r="J1027" t="inlineStr"/>
      <c r="K1027" t="inlineStr"/>
      <c r="L1027" t="inlineStr"/>
      <c r="M1027" t="inlineStr"/>
      <c r="N1027" t="inlineStr"/>
      <c r="O1027" t="n">
        <v>0</v>
      </c>
      <c r="P1027">
        <f>IF(B1040=0,0,O1027/B1040)</f>
        <v/>
      </c>
      <c r="Q1027">
        <f>IFERROR(1/IF(Inputs!$B$39="pvp",15,MAX(0.1,Skills!D27-IF(Skills!E27=TRUE,Inputs!$B$33,0))),0)</f>
        <v/>
      </c>
      <c r="R1027" t="n">
        <v>0</v>
      </c>
    </row>
    <row r="1029">
      <c r="A1029" t="inlineStr">
        <is>
          <t>Average Buff Multiplier</t>
        </is>
      </c>
      <c r="B1029">
        <f>(1+(IF(C1003=TRUE,F1003*IF(AND(Inputs!$B$39&lt;&gt;"pvp",Inputs!$B$44&gt;0),(((R1003-1)*(Skills!S3*(1+(Inputs!$B$35+IF(Inputs!$B$3&gt;=117,F1026,0))/100))+MIN((Skills!S3*(1+(Inputs!$B$35+IF(Inputs!$B$3&gt;=117,F1026,0))/100)),MAX(0,Inputs!$B$44-((R1003-1)*Skills!D3))))/Inputs!$B$44),IF(Inputs!$B$39="pvp",MIN((Skills!S3*(1+(Inputs!$B$35+IF(Inputs!$B$3&gt;=117,F1026,0))/100)),15)/15,(Skills!S3*(1+(Inputs!$B$35+IF(Inputs!$B$3&gt;=117,F1026,0))/100))/Skills!D3)),0)+IF(C1004=TRUE,F1004*IF(AND(Inputs!$B$39&lt;&gt;"pvp",Inputs!$B$44&gt;0),(((R1004-1)*(Skills!S4*(1+(Inputs!$B$35+IF(Inputs!$B$3&gt;=117,F1026,0))/100))+MIN((Skills!S4*(1+(Inputs!$B$35+IF(Inputs!$B$3&gt;=117,F1026,0))/100)),MAX(0,Inputs!$B$44-((R1004-1)*Skills!D4))))/Inputs!$B$44),IF(Inputs!$B$39="pvp",MIN((Skills!S4*(1+(Inputs!$B$35+IF(Inputs!$B$3&gt;=117,F1026,0))/100)),15)/15,(Skills!S4*(1+(Inputs!$B$35+IF(Inputs!$B$3&gt;=117,F1026,0))/100))/Skills!D4)),0)+IF(C1005=TRUE,F1005*IF(AND(Inputs!$B$39&lt;&gt;"pvp",Inputs!$B$44&gt;0),(((R1005-1)*(Skills!S5*(1+(Inputs!$B$35+IF(Inputs!$B$3&gt;=117,F1026,0))/100))+MIN((Skills!S5*(1+(Inputs!$B$35+IF(Inputs!$B$3&gt;=117,F1026,0))/100)),MAX(0,Inputs!$B$44-((R1005-1)*Skills!D5))))/Inputs!$B$44),IF(Inputs!$B$39="pvp",MIN((Skills!S5*(1+(Inputs!$B$35+IF(Inputs!$B$3&gt;=117,F1026,0))/100)),15)/15,(Skills!S5*(1+(Inputs!$B$35+IF(Inputs!$B$3&gt;=117,F1026,0))/100))/Skills!D5)),0)+IF(C1011=TRUE,F1011*IF(AND(Inputs!$B$39&lt;&gt;"pvp",Inputs!$B$44&gt;0),(((R1011-1)*(Skills!S11*(1+(Inputs!$B$35+IF(Inputs!$B$3&gt;=117,F1026,0))/100))+MIN((Skills!S11*(1+(Inputs!$B$35+IF(Inputs!$B$3&gt;=117,F1026,0))/100)),MAX(0,Inputs!$B$44-((R1011-1)*Skills!D11))))/Inputs!$B$44),IF(Inputs!$B$39="pvp",MIN((Skills!S11*(1+(Inputs!$B$35+IF(Inputs!$B$3&gt;=117,F1026,0))/100)),15)/15,(Skills!S11*(1+(Inputs!$B$35+IF(Inputs!$B$3&gt;=117,F1026,0))/100))/Skills!D11)),0))/100)*IF(C1014=TRUE,(1+F1014*IF(AND(Inputs!$B$39&lt;&gt;"pvp",Inputs!$B$44&gt;0),(((R1014-1)*(Skills!S14*(1+(Inputs!$B$35+IF(Inputs!$B$3&gt;=117,F1026,0))/100))+MIN((Skills!S14*(1+(Inputs!$B$35+IF(Inputs!$B$3&gt;=117,F1026,0))/100)),MAX(0,Inputs!$B$44-((R1014-1)*Skills!D14))))/Inputs!$B$44),IF(Inputs!$B$39="pvp",MIN((Skills!S14*(1+(Inputs!$B$35+IF(Inputs!$B$3&gt;=117,F1026,0))/100)),15)/15,(Skills!S14*(1+(Inputs!$B$35+IF(Inputs!$B$3&gt;=117,F1026,0))/100))/Skills!D14))/100),1)*IF(C1019=TRUE,(1+F1019*IF(AND(Inputs!$B$39&lt;&gt;"pvp",Inputs!$B$44&gt;0),(((R1019-1)*(Skills!S19*(1+(Inputs!$B$35+IF(Inputs!$B$3&gt;=117,F1026,0))/100))+MIN((Skills!S19*(1+(Inputs!$B$35+IF(Inputs!$B$3&gt;=117,F1026,0))/100)),MAX(0,Inputs!$B$44-((R1019-1)*Skills!D19))))/Inputs!$B$44),IF(Inputs!$B$39="pvp",MIN((Skills!S19*(1+(Inputs!$B$35+IF(Inputs!$B$3&gt;=117,F1026,0))/100)),15)/15,(Skills!S19*(1+(Inputs!$B$35+IF(Inputs!$B$3&gt;=117,F1026,0))/100))/Skills!D19))/100),1)</f>
        <v/>
      </c>
    </row>
    <row r="1030">
      <c r="A1030" t="inlineStr">
        <is>
          <t>Monster Damage Taken Bonus % (Holy Fountain)</t>
        </is>
      </c>
      <c r="B1030">
        <f>IF(Inputs!$B$3&gt;=68,20*IF(Inputs!$B$39="pvp",MIN((15*(1+(Inputs!$B$35+IF(Inputs!$B$3&gt;=117,F1026,0))/100)),15)/15,(15*(1+(Inputs!$B$35+IF(Inputs!$B$3&gt;=117,F1026,0))/100))/Skills!D10),0)</f>
        <v/>
      </c>
    </row>
    <row r="1031">
      <c r="A1031" t="inlineStr">
        <is>
          <t>Normal Monster Damage Bonus % (Holy Symbol)</t>
        </is>
      </c>
      <c r="B1031">
        <f>IF(C1012=TRUE,F1012*IF(AND(Inputs!$B$39&lt;&gt;"pvp",Inputs!$B$44&gt;0),(((R1012-1)*(Skills!S12*(1+(Inputs!$B$35+IF(Inputs!$B$3&gt;=117,F1026,0))/100))+MIN((Skills!S12*(1+(Inputs!$B$35+IF(Inputs!$B$3&gt;=117,F1026,0))/100)),MAX(0,Inputs!$B$44-((R1012-1)*Skills!D12))))/Inputs!$B$44),IF(Inputs!$B$39="pvp",MIN((Skills!S12*(1+(Inputs!$B$35+IF(Inputs!$B$3&gt;=117,F1026,0))/100)),15)/15,(Skills!S12*(1+(Inputs!$B$35+IF(Inputs!$B$3&gt;=117,F1026,0))/100))/Skills!D12)),0)</f>
        <v/>
      </c>
    </row>
    <row r="1032">
      <c r="A1032" t="inlineStr">
        <is>
          <t>Damage % Bonus (Holy Symbol - Damage Boost)</t>
        </is>
      </c>
      <c r="B1032">
        <f>Skills!O12</f>
        <v/>
      </c>
    </row>
    <row r="1033">
      <c r="A1033" t="inlineStr">
        <is>
          <t>Crit Damage % Bonus (Blood of the Divine)</t>
        </is>
      </c>
      <c r="B1033">
        <f>4*IF(C1020=TRUE,F1020,0)</f>
        <v/>
      </c>
    </row>
    <row r="1034">
      <c r="A1034" t="inlineStr">
        <is>
          <t>Attack Speed Bonus %</t>
        </is>
      </c>
      <c r="B1034">
        <f>IF(C1017=TRUE,F1017+(F1021-Calc!F21),0)+IF(Inputs!$B$3&gt;=134,15,0)</f>
        <v/>
      </c>
    </row>
    <row r="1035">
      <c r="A1035" t="inlineStr">
        <is>
          <t>Actions Per Second</t>
        </is>
      </c>
      <c r="B1035">
        <f>1+MIN(150,150*(1-(1-Inputs!$B$12/150)*(1-B1034/150)))/100</f>
        <v/>
      </c>
    </row>
    <row r="1036">
      <c r="A1036" t="inlineStr">
        <is>
          <t>Skill + Buff Cast Rate</t>
        </is>
      </c>
      <c r="B1036">
        <f>IF(AND(Inputs!$B$39&lt;&gt;"pvp",Inputs!$B$44&gt;0),SUMPRODUCT((Skills!E2:E27=TRUE)*(C1002:C1027=TRUE)*R1002:R1027)/Inputs!$B$44,SUMPRODUCT((Skills!E2:E27=TRUE)*(C1002:C1027=TRUE)*Q1002:Q1027))</f>
        <v/>
      </c>
    </row>
    <row r="1037">
      <c r="A1037" t="inlineStr">
        <is>
          <t>Big Bang Casts Per Second</t>
        </is>
      </c>
      <c r="B1037">
        <f>MAX(0,B1035-B1036)</f>
        <v/>
      </c>
    </row>
    <row r="1038">
      <c r="A1038" t="inlineStr">
        <is>
          <t>Defense % Bonus (Divine Protection)</t>
        </is>
      </c>
      <c r="B1038">
        <f>IF(C1013=TRUE,F1013*IF(AND(Inputs!$B$39&lt;&gt;"pvp",Inputs!$B$44&gt;0),(((R1013-1)*(Skills!S13*(1+(Inputs!$B$35+IF(Inputs!$B$3&gt;=117,F1026,0))/100))+MIN((Skills!S13*(1+(Inputs!$B$35+IF(Inputs!$B$3&gt;=117,F1026,0))/100)),MAX(0,Inputs!$B$44-((R1013-1)*Skills!D13))))/Inputs!$B$44),IF(Inputs!$B$39="pvp",MIN((Skills!S13*(1+(Inputs!$B$35+IF(Inputs!$B$3&gt;=117,F1026,0))/100)),15)/15,(Skills!S13*(1+(Inputs!$B$35+IF(Inputs!$B$3&gt;=117,F1026,0))/100))/Skills!D13)),0)</f>
        <v/>
      </c>
    </row>
    <row r="1039">
      <c r="A1039" t="inlineStr">
        <is>
          <t>Buff-Casting Startup Delay (s, fixed-duration only)</t>
        </is>
      </c>
      <c r="B1039">
        <f>IF(AND(Inputs!$B$39&lt;&gt;"pvp",Inputs!$B$44&gt;0),SUMPRODUCT((Skills!S2:S27&gt;0)*(Skills!E2:E27=TRUE)*(C1002:C1027=TRUE))/B1035,0)</f>
        <v/>
      </c>
    </row>
    <row r="1040">
      <c r="A1040" s="5" t="inlineStr">
        <is>
          <t>TOTAL DPS</t>
        </is>
      </c>
      <c r="B1040" s="5">
        <f>SUM(O1002:O1027)</f>
        <v/>
      </c>
    </row>
    <row r="1042">
      <c r="A1042" s="5" t="inlineStr">
        <is>
          <t>Stat: Skill Cooldown Decrease (seconds)</t>
        </is>
      </c>
    </row>
    <row r="1043">
      <c r="A1043" s="9" t="inlineStr">
        <is>
          <t>Key</t>
        </is>
      </c>
      <c r="B1043" s="9" t="inlineStr">
        <is>
          <t>Name</t>
        </is>
      </c>
      <c r="C1043" s="9" t="inlineStr">
        <is>
          <t>Unlocked</t>
        </is>
      </c>
      <c r="D1043" s="9" t="inlineStr">
        <is>
          <t>InputLevel</t>
        </is>
      </c>
      <c r="E1043" s="9" t="inlineStr">
        <is>
          <t>Factor</t>
        </is>
      </c>
      <c r="F1043" s="9" t="inlineStr">
        <is>
          <t>CoefficientPercent</t>
        </is>
      </c>
      <c r="G1043" s="9" t="inlineStr">
        <is>
          <t>EffectiveHits</t>
        </is>
      </c>
      <c r="H1043" s="9" t="inlineStr">
        <is>
          <t>ProcProbability</t>
        </is>
      </c>
      <c r="I1043" s="9" t="inlineStr">
        <is>
          <t>MapleHeroMultiplier</t>
        </is>
      </c>
      <c r="J1043" s="9" t="inlineStr">
        <is>
          <t>BaseDamage</t>
        </is>
      </c>
      <c r="K1043" s="9" t="inlineStr">
        <is>
          <t>BaseHitDamage</t>
        </is>
      </c>
      <c r="L1043" s="9" t="inlineStr">
        <is>
          <t>NonCritAvg</t>
        </is>
      </c>
      <c r="M1043" s="9" t="inlineStr">
        <is>
          <t>CritAvg</t>
        </is>
      </c>
      <c r="N1043" s="9" t="inlineStr">
        <is>
          <t>ExpectedDamage(perHit)</t>
        </is>
      </c>
      <c r="O1043" s="9" t="inlineStr">
        <is>
          <t>DPS</t>
        </is>
      </c>
      <c r="P1043" s="9" t="inlineStr">
        <is>
          <t>% of Total</t>
        </is>
      </c>
      <c r="R1043" t="inlineStr">
        <is>
          <t>helpers</t>
        </is>
      </c>
    </row>
    <row r="1044">
      <c r="A1044">
        <f>Skills!A2</f>
        <v/>
      </c>
      <c r="B1044">
        <f>Skills!B2</f>
        <v/>
      </c>
      <c r="C1044">
        <f>Inputs!$B$3&gt;=100</f>
        <v/>
      </c>
      <c r="D1044" t="inlineStr"/>
      <c r="E1044" t="inlineStr"/>
      <c r="F1044">
        <f>T1046+Skills!N2</f>
        <v/>
      </c>
      <c r="G1044">
        <f>Calc!G2</f>
        <v/>
      </c>
      <c r="H1044">
        <f>Calc!H2</f>
        <v/>
      </c>
      <c r="I1044">
        <f>IF(Skills!T2&lt;&gt;"",1+(Skills!T2/10)*($Z$3/1000)/100,1)</f>
        <v/>
      </c>
      <c r="J1044">
        <f>((Inputs!$B$6*(1+Inputs!$B$7/100))+(((Inputs!$B$13*(1+Inputs!$B$14/100))-(Inputs!$B$13*(1+Inputs!$B$14/100)))+0.25*(Inputs!$B$15-Inputs!$B$15))*(1+Inputs!$B$7/100))*(F1044/100)</f>
        <v/>
      </c>
      <c r="K1044">
        <f>J1044*(1+(((Inputs!$B$13+IF(Inputs!$B$3&gt;=35,(10*INDEX(FactorTable!$B$2:$Y$301, MATCH(ROUND(MIN(300,MAX(1,Inputs!$B$3)),0), FactorTable!$A$2:$A$301,0), 23)/1000)/100*(Inputs!$B$8*(1+(Inputs!$B$9+B1080)/100)),0))*(1+Inputs!$B$14/100))*0.01+Inputs!$B$15*0.0025)/100)*(1+(Inputs!$B$16+B1074)/100)*(1+IF(Inputs!$B$39="pvp",0,(1-Summary!$B$48)*(Inputs!$B$21+Skills!O2+B1072)+Summary!$B$48*(Inputs!$B$22+Skills!P2+B1073))/100)*(1+Inputs!$B$17/100)*(5000/(6000+Inputs!$B$43*(1-Inputs!$B$20/100)))*(1+Inputs!$B$25/100)*(1+IF(C1060=TRUE,F1060,0)/100)*(1+IF(C1062=TRUE,F1062,0)/100)*(1+IF(Skills!A2="TRIUMPH_FEATHER",IF(C1058=TRUE,F1058,0),0)/100)*(1+IF(C1069=TRUE,F1069,0)/100)^5*(1+(IF(Skills!A2="BIG_BANG",Inputs!$B$18,Inputs!$B$19))/100)*(B1071*I1044)</f>
        <v/>
      </c>
      <c r="L1044">
        <f>K1044*(MIN(Inputs!$B$23+(F1064-Calc!F22),Inputs!$B$24)/100+Inputs!$B$24/100)/2</f>
        <v/>
      </c>
      <c r="M1044">
        <f>L1044*(1+(Inputs!$B$11+B1075+(F1067-Calc!F25))/100)</f>
        <v/>
      </c>
      <c r="N1044">
        <f>L1044*(1-MIN(Inputs!$B$10+((F1066-Calc!F24)+(F1065-Calc!F23)),100)/100)+M1044*(MIN(Inputs!$B$10+((F1066-Calc!F24)+(F1065-Calc!F23)),100)/100)</f>
        <v/>
      </c>
      <c r="O1044">
        <f>IF(C1044,Skills!F2*N1044*B1079*IF(Inputs!$B$39="pvp",1,(1-Summary!$B$48)*(1)+Summary!$B$48*(MIN((6+Inputs!$B$34),Inputs!$B$38))),0)</f>
        <v/>
      </c>
      <c r="P1044">
        <f>IF(B1082=0,0,O1044/B1082)</f>
        <v/>
      </c>
      <c r="Q1044">
        <f>IFERROR(1/IF(Inputs!$B$39="pvp",15,MAX(0.1,Skills!D2-IF(Skills!E2=TRUE,(Inputs!$B$33+1),0))),0)</f>
        <v/>
      </c>
      <c r="R1044" t="n">
        <v>0</v>
      </c>
      <c r="T1044">
        <f>MAX(0,(Inputs!$B$3-100)*3)+Inputs!$B$29+Inputs!$B$30</f>
        <v/>
      </c>
    </row>
    <row r="1045">
      <c r="A1045">
        <f>Skills!A3</f>
        <v/>
      </c>
      <c r="B1045">
        <f>Skills!B3</f>
        <v/>
      </c>
      <c r="C1045">
        <f>Inputs!$B$3&gt;=15</f>
        <v/>
      </c>
      <c r="D1045">
        <f>IF(Skills!C3=1,60+Inputs!$B$26+Inputs!$B$30,IF(Skills!C3=2,90+Inputs!$B$27+Inputs!$B$30,IF(Skills!C3=3,120+Inputs!$B$28+Inputs!$B$30,MAX(0,(Inputs!$B$3-100)*3)+Inputs!$B$29+Inputs!$B$30)))</f>
        <v/>
      </c>
      <c r="E1045">
        <f>INDEX(FactorTable!$B$2:$Y$301, MATCH(ROUND(MIN(300,MAX(1,D1045)),0), FactorTable!$A$2:$A$301,0), Skills!L3+1)</f>
        <v/>
      </c>
      <c r="F1045">
        <f>IF(Skills!M3=TRUE,(Skills!K3/10)*(E1045/1000),Skills!K3/10)+Skills!N3</f>
        <v/>
      </c>
      <c r="G1045">
        <f>Calc!G3</f>
        <v/>
      </c>
      <c r="H1045">
        <f>Calc!H3</f>
        <v/>
      </c>
      <c r="I1045">
        <f>IF(Skills!T3&lt;&gt;"",1+(Skills!T3/10)*($Z$3/1000)/100,1)</f>
        <v/>
      </c>
      <c r="J1045" t="inlineStr"/>
      <c r="K1045" t="inlineStr"/>
      <c r="L1045" t="inlineStr"/>
      <c r="M1045" t="inlineStr"/>
      <c r="N1045" t="inlineStr"/>
      <c r="O1045" t="n">
        <v>0</v>
      </c>
      <c r="P1045">
        <f>IF(B1082=0,0,O1045/B1082)</f>
        <v/>
      </c>
      <c r="Q1045">
        <f>IFERROR(1/IF(Inputs!$B$39="pvp",15,MAX(0.1,Skills!D3-IF(Skills!E3=TRUE,(Inputs!$B$33+1),0))),0)</f>
        <v/>
      </c>
      <c r="R1045">
        <f>IF(AND(Inputs!$B$39&lt;&gt;"pvp",Inputs!$B$44&gt;0),IF(Inputs!$B$44&lt;=0,0,(INT(Inputs!$B$44/IF(Inputs!$B$39="pvp",15,MAX(0.1,Skills!D3-IF(Skills!E3=TRUE,(Inputs!$B$33+1),0))))+1)),0)</f>
        <v/>
      </c>
      <c r="T1045">
        <f>INDEX(FactorTable!$B$2:$Y$301, MATCH(ROUND(MIN(300,MAX(1,T1044)),0), FactorTable!$A$2:$A$301,0), 22)</f>
        <v/>
      </c>
    </row>
    <row r="1046">
      <c r="A1046">
        <f>Skills!A4</f>
        <v/>
      </c>
      <c r="B1046">
        <f>Skills!B4</f>
        <v/>
      </c>
      <c r="C1046">
        <f>Inputs!$B$3&gt;=38</f>
        <v/>
      </c>
      <c r="D1046">
        <f>IF(Skills!C4=1,60+Inputs!$B$26+Inputs!$B$30,IF(Skills!C4=2,90+Inputs!$B$27+Inputs!$B$30,IF(Skills!C4=3,120+Inputs!$B$28+Inputs!$B$30,MAX(0,(Inputs!$B$3-100)*3)+Inputs!$B$29+Inputs!$B$30)))</f>
        <v/>
      </c>
      <c r="E1046">
        <f>INDEX(FactorTable!$B$2:$Y$301, MATCH(ROUND(MIN(300,MAX(1,D1046)),0), FactorTable!$A$2:$A$301,0), Skills!L4+1)</f>
        <v/>
      </c>
      <c r="F1046">
        <f>IF(Skills!M4=TRUE,(Skills!K4/10)*(E1046/1000),Skills!K4/10)+Skills!N4</f>
        <v/>
      </c>
      <c r="G1046">
        <f>Calc!G4</f>
        <v/>
      </c>
      <c r="H1046">
        <f>Calc!H4</f>
        <v/>
      </c>
      <c r="I1046">
        <f>IF(Skills!T4&lt;&gt;"",1+(Skills!T4/10)*($Z$3/1000)/100,1)</f>
        <v/>
      </c>
      <c r="J1046" t="inlineStr"/>
      <c r="K1046" t="inlineStr"/>
      <c r="L1046" t="inlineStr"/>
      <c r="M1046" t="inlineStr"/>
      <c r="N1046" t="inlineStr"/>
      <c r="O1046" t="n">
        <v>0</v>
      </c>
      <c r="P1046">
        <f>IF(B1082=0,0,O1046/B1082)</f>
        <v/>
      </c>
      <c r="Q1046">
        <f>IFERROR(1/IF(Inputs!$B$39="pvp",15,MAX(0.1,Skills!D4-IF(Skills!E4=TRUE,(Inputs!$B$33+1),0))),0)</f>
        <v/>
      </c>
      <c r="R1046">
        <f>IF(AND(Inputs!$B$39&lt;&gt;"pvp",Inputs!$B$44&gt;0),IF(Inputs!$B$44&lt;=0,0,(INT(Inputs!$B$44/IF(Inputs!$B$39="pvp",15,MAX(0.1,Skills!D4-IF(Skills!E4=TRUE,(Inputs!$B$33+1),0))))+1)),0)</f>
        <v/>
      </c>
      <c r="T1046">
        <f>290*T1045/1000</f>
        <v/>
      </c>
    </row>
    <row r="1047">
      <c r="A1047">
        <f>Skills!A5</f>
        <v/>
      </c>
      <c r="B1047">
        <f>Skills!B5</f>
        <v/>
      </c>
      <c r="C1047">
        <f>Inputs!$B$3&gt;=40</f>
        <v/>
      </c>
      <c r="D1047">
        <f>IF(Skills!C5=1,60+Inputs!$B$26+Inputs!$B$30,IF(Skills!C5=2,90+Inputs!$B$27+Inputs!$B$30,IF(Skills!C5=3,120+Inputs!$B$28+Inputs!$B$30,MAX(0,(Inputs!$B$3-100)*3)+Inputs!$B$29+Inputs!$B$30)))</f>
        <v/>
      </c>
      <c r="E1047">
        <f>INDEX(FactorTable!$B$2:$Y$301, MATCH(ROUND(MIN(300,MAX(1,D1047)),0), FactorTable!$A$2:$A$301,0), Skills!L5+1)</f>
        <v/>
      </c>
      <c r="F1047">
        <f>IF(Skills!M5=TRUE,(Skills!K5/10)*(E1047/1000),Skills!K5/10)+Skills!N5</f>
        <v/>
      </c>
      <c r="G1047">
        <f>Calc!G5</f>
        <v/>
      </c>
      <c r="H1047">
        <f>Calc!H5</f>
        <v/>
      </c>
      <c r="I1047">
        <f>IF(Skills!T5&lt;&gt;"",1+(Skills!T5/10)*($Z$3/1000)/100,1)</f>
        <v/>
      </c>
      <c r="J1047" t="inlineStr"/>
      <c r="K1047" t="inlineStr"/>
      <c r="L1047" t="inlineStr"/>
      <c r="M1047" t="inlineStr"/>
      <c r="N1047" t="inlineStr"/>
      <c r="O1047" t="n">
        <v>0</v>
      </c>
      <c r="P1047">
        <f>IF(B1082=0,0,O1047/B1082)</f>
        <v/>
      </c>
      <c r="Q1047">
        <f>IFERROR(1/IF(Inputs!$B$39="pvp",15,MAX(0.1,Skills!D5-IF(Skills!E5=TRUE,(Inputs!$B$33+1),0))),0)</f>
        <v/>
      </c>
      <c r="R1047">
        <f>IF(AND(Inputs!$B$39&lt;&gt;"pvp",Inputs!$B$44&gt;0),IF(Inputs!$B$44&lt;=0,0,(INT(Inputs!$B$44/IF(Inputs!$B$39="pvp",15,MAX(0.1,Skills!D5-IF(Skills!E5=TRUE,(Inputs!$B$33+1),0))))+1)),0)</f>
        <v/>
      </c>
    </row>
    <row r="1048">
      <c r="A1048">
        <f>Skills!A6</f>
        <v/>
      </c>
      <c r="B1048">
        <f>Skills!B6</f>
        <v/>
      </c>
      <c r="C1048">
        <f>Inputs!$B$3&gt;=103</f>
        <v/>
      </c>
      <c r="D1048">
        <f>IF(Skills!C6=1,60+Inputs!$B$26+Inputs!$B$30,IF(Skills!C6=2,90+Inputs!$B$27+Inputs!$B$30,IF(Skills!C6=3,120+Inputs!$B$28+Inputs!$B$30,MAX(0,(Inputs!$B$3-100)*3)+Inputs!$B$29+Inputs!$B$30)))</f>
        <v/>
      </c>
      <c r="E1048">
        <f>INDEX(FactorTable!$B$2:$Y$301, MATCH(ROUND(MIN(300,MAX(1,D1048)),0), FactorTable!$A$2:$A$301,0), Skills!L6+1)</f>
        <v/>
      </c>
      <c r="F1048">
        <f>IF(Skills!M6=TRUE,(Skills!K6/10)*(E1048/1000),Skills!K6/10)+Skills!N6</f>
        <v/>
      </c>
      <c r="G1048">
        <f>Calc!G6</f>
        <v/>
      </c>
      <c r="H1048">
        <f>Calc!H6</f>
        <v/>
      </c>
      <c r="I1048">
        <f>IF(Skills!T6&lt;&gt;"",1+(Skills!T6/10)*($Z$3/1000)/100,1)</f>
        <v/>
      </c>
      <c r="J1048">
        <f>((Inputs!$B$6*(1+Inputs!$B$7/100))+(((Inputs!$B$13*(1+Inputs!$B$14/100))-(Inputs!$B$13*(1+Inputs!$B$14/100)))+0.25*(Inputs!$B$15-Inputs!$B$15))*(1+Inputs!$B$7/100))*(F1048/100)</f>
        <v/>
      </c>
      <c r="K1048">
        <f>J1048*(1+(((Inputs!$B$13+IF(Inputs!$B$3&gt;=35,(10*INDEX(FactorTable!$B$2:$Y$301, MATCH(ROUND(MIN(300,MAX(1,Inputs!$B$3)),0), FactorTable!$A$2:$A$301,0), 23)/1000)/100*(Inputs!$B$8*(1+(Inputs!$B$9+B1080)/100)),0))*(1+Inputs!$B$14/100))*0.01+Inputs!$B$15*0.0025)/100)*(1+(Inputs!$B$16+B1074)/100)*(1+IF(Inputs!$B$39="pvp",0,(1-Summary!$B$48)*(Inputs!$B$21+Skills!O6+B1072)+Summary!$B$48*(Inputs!$B$22+Skills!P6+B1073))/100)*(1+Inputs!$B$17/100)*(5000/(6000+Inputs!$B$43*(1-Inputs!$B$20/100)))*(1+Inputs!$B$25/100)*(1+IF(C1060=TRUE,F1060,0)/100)*(1+IF(C1062=TRUE,F1062,0)/100)*(1+IF(Skills!A6="TRIUMPH_FEATHER",IF(C1058=TRUE,F1058,0),0)/100)*(1+IF(C1069=TRUE,F1069,0)/100)^5*(1+(IF(Skills!A6="BIG_BANG",Inputs!$B$18,Inputs!$B$19))/100)*(B1071*I1048)</f>
        <v/>
      </c>
      <c r="L1048">
        <f>K1048*(MIN(Inputs!$B$23+(F1064-Calc!F22),Inputs!$B$24)/100+Inputs!$B$24/100)/2</f>
        <v/>
      </c>
      <c r="M1048">
        <f>L1048*(1+(Inputs!$B$11+B1075+(F1067-Calc!F25))/100)</f>
        <v/>
      </c>
      <c r="N1048">
        <f>L1048*(1-MIN(Inputs!$B$10+((F1066-Calc!F24)+(F1065-Calc!F23)),100)/100)+M1048*(MIN(Inputs!$B$10+((F1066-Calc!F24)+(F1065-Calc!F23)),100)/100)</f>
        <v/>
      </c>
      <c r="O1048">
        <f>IF(C1048,H1048*N1048*IF(AND(Inputs!$B$39&lt;&gt;"pvp",Inputs!$B$44&gt;0),((Skills!F6*((R1048-1)*IF(Skills!G6&gt;0,Skills!H6/Skills!G6,1)+IF(Skills!G6&gt;0,MIN(Skills!H6,MAX(0,MAX(0,Inputs!$B$44-B1081)-((R1048-1)*IF(Inputs!$B$39="pvp",15,MAX(0.1,Skills!D6-IF(Skills!E6=TRUE,(Inputs!$B$33+1),0))))))/Skills!G6,1)))/Inputs!$B$44),G1048*Q1048)*IF(Inputs!$B$39="pvp",1,(1-Summary!$B$48)*(1)+Summary!$B$48*(MIN(Skills!Q6,Inputs!$B$38))),0)</f>
        <v/>
      </c>
      <c r="P1048">
        <f>IF(B1082=0,0,O1048/B1082)</f>
        <v/>
      </c>
      <c r="Q1048">
        <f>IFERROR(1/IF(Inputs!$B$39="pvp",15,MAX(0.1,Skills!D6-IF(Skills!E6=TRUE,(Inputs!$B$33+1),0))),0)</f>
        <v/>
      </c>
      <c r="R1048">
        <f>IF(AND(Inputs!$B$39&lt;&gt;"pvp",Inputs!$B$44&gt;0),IF(MAX(0,Inputs!$B$44-B1081)&lt;=0,0,(INT(MAX(0,Inputs!$B$44-B1081)/IF(Inputs!$B$39="pvp",15,MAX(0.1,Skills!D6-IF(Skills!E6=TRUE,(Inputs!$B$33+1),0))))+1)),0)</f>
        <v/>
      </c>
    </row>
    <row r="1049">
      <c r="A1049">
        <f>Skills!A7</f>
        <v/>
      </c>
      <c r="B1049">
        <f>Skills!B7</f>
        <v/>
      </c>
      <c r="C1049">
        <f>Inputs!$B$3&gt;=122</f>
        <v/>
      </c>
      <c r="D1049">
        <f>IF(Skills!C7=1,60+Inputs!$B$26+Inputs!$B$30,IF(Skills!C7=2,90+Inputs!$B$27+Inputs!$B$30,IF(Skills!C7=3,120+Inputs!$B$28+Inputs!$B$30,MAX(0,(Inputs!$B$3-100)*3)+Inputs!$B$29+Inputs!$B$30)))</f>
        <v/>
      </c>
      <c r="E1049">
        <f>INDEX(FactorTable!$B$2:$Y$301, MATCH(ROUND(MIN(300,MAX(1,D1049)),0), FactorTable!$A$2:$A$301,0), Skills!L7+1)</f>
        <v/>
      </c>
      <c r="F1049">
        <f>IF(Skills!M7=TRUE,(Skills!K7/10)*(E1049/1000),Skills!K7/10)+Skills!N7</f>
        <v/>
      </c>
      <c r="G1049">
        <f>Calc!G7</f>
        <v/>
      </c>
      <c r="H1049">
        <f>Calc!H7</f>
        <v/>
      </c>
      <c r="I1049">
        <f>IF(Skills!T7&lt;&gt;"",1+(Skills!T7/10)*($Z$3/1000)/100,1)</f>
        <v/>
      </c>
      <c r="J1049">
        <f>((Inputs!$B$6*(1+Inputs!$B$7/100))+(((Inputs!$B$13*(1+Inputs!$B$14/100))-(Inputs!$B$13*(1+Inputs!$B$14/100)))+0.25*(Inputs!$B$15-Inputs!$B$15))*(1+Inputs!$B$7/100))*(F1049/100)</f>
        <v/>
      </c>
      <c r="K1049">
        <f>J1049*(1+(((Inputs!$B$13+IF(Inputs!$B$3&gt;=35,(10*INDEX(FactorTable!$B$2:$Y$301, MATCH(ROUND(MIN(300,MAX(1,Inputs!$B$3)),0), FactorTable!$A$2:$A$301,0), 23)/1000)/100*(Inputs!$B$8*(1+(Inputs!$B$9+B1080)/100)),0))*(1+Inputs!$B$14/100))*0.01+Inputs!$B$15*0.0025)/100)*(1+(Inputs!$B$16+B1074)/100)*(1+IF(Inputs!$B$39="pvp",0,(1-Summary!$B$48)*(Inputs!$B$21+Skills!O7+B1072)+Summary!$B$48*(Inputs!$B$22+Skills!P7+B1073))/100)*(1+Inputs!$B$17/100)*(5000/(6000+Inputs!$B$43*(1-Inputs!$B$20/100)))*(1+Inputs!$B$25/100)*(1+IF(C1060=TRUE,F1060,0)/100)*(1+IF(C1062=TRUE,F1062,0)/100)*(1+IF(Skills!A7="TRIUMPH_FEATHER",IF(C1058=TRUE,F1058,0),0)/100)*(1+IF(C1069=TRUE,F1069,0)/100)^5*(1+(IF(Skills!A7="BIG_BANG",Inputs!$B$18,Inputs!$B$19))/100)*(B1071*I1049)</f>
        <v/>
      </c>
      <c r="L1049">
        <f>K1049*(MIN(Inputs!$B$23+(F1064-Calc!F22),Inputs!$B$24)/100+Inputs!$B$24/100)/2</f>
        <v/>
      </c>
      <c r="M1049">
        <f>L1049*(1+(Inputs!$B$11+B1075+(F1067-Calc!F25))/100)</f>
        <v/>
      </c>
      <c r="N1049">
        <f>L1049*(1-MIN(Inputs!$B$10+((F1066-Calc!F24)+(F1065-Calc!F23)),100)/100)+M1049*(MIN(Inputs!$B$10+((F1066-Calc!F24)+(F1065-Calc!F23)),100)/100)</f>
        <v/>
      </c>
      <c r="O1049">
        <f>IF(C1049,H1049*N1049*IF(AND(Inputs!$B$39&lt;&gt;"pvp",Inputs!$B$44&gt;0),((Skills!F7*((R1049-1)*IF(Skills!G7&gt;0,Skills!H7/Skills!G7,1)+IF(Skills!G7&gt;0,MIN(Skills!H7,MAX(0,MAX(0,Inputs!$B$44-B1081)-((R1049-1)*IF(Inputs!$B$39="pvp",15,MAX(0.1,Skills!D7-IF(Skills!E6=TRUE,(Inputs!$B$33+1),0))))))/Skills!G7,1)))/Inputs!$B$44),G1049*Q1049)*(1-Summary!$B$48),0)</f>
        <v/>
      </c>
      <c r="P1049">
        <f>IF(B1082=0,0,O1049/B1082)</f>
        <v/>
      </c>
      <c r="Q1049">
        <f>IFERROR(1/IF(Inputs!$B$39="pvp",15,MAX(0.1,Skills!D7-IF(Skills!E6=TRUE,(Inputs!$B$33+1),0))),0)</f>
        <v/>
      </c>
      <c r="R1049">
        <f>IF(AND(Inputs!$B$39&lt;&gt;"pvp",Inputs!$B$44&gt;0),IF(MAX(0,Inputs!$B$44-B1081)&lt;=0,0,(INT(MAX(0,Inputs!$B$44-B1081)/IF(Inputs!$B$39="pvp",15,MAX(0.1,Skills!D7-IF(Skills!E6=TRUE,(Inputs!$B$33+1),0))))+1)),0)</f>
        <v/>
      </c>
    </row>
    <row r="1050">
      <c r="A1050">
        <f>Skills!A8</f>
        <v/>
      </c>
      <c r="B1050">
        <f>Skills!B8</f>
        <v/>
      </c>
      <c r="C1050">
        <f>Inputs!$B$3&gt;=105</f>
        <v/>
      </c>
      <c r="D1050">
        <f>IF(Skills!C8=1,60+Inputs!$B$26+Inputs!$B$30,IF(Skills!C8=2,90+Inputs!$B$27+Inputs!$B$30,IF(Skills!C8=3,120+Inputs!$B$28+Inputs!$B$30,MAX(0,(Inputs!$B$3-100)*3)+Inputs!$B$29+Inputs!$B$30)))</f>
        <v/>
      </c>
      <c r="E1050">
        <f>INDEX(FactorTable!$B$2:$Y$301, MATCH(ROUND(MIN(300,MAX(1,D1050)),0), FactorTable!$A$2:$A$301,0), Skills!L8+1)</f>
        <v/>
      </c>
      <c r="F1050">
        <f>IF(Skills!M8=TRUE,(Skills!K8/10)*(E1050/1000),Skills!K8/10)+Skills!N8</f>
        <v/>
      </c>
      <c r="G1050">
        <f>Calc!G8</f>
        <v/>
      </c>
      <c r="H1050">
        <f>Calc!H8</f>
        <v/>
      </c>
      <c r="I1050">
        <f>IF(Skills!T8&lt;&gt;"",1+(Skills!T8/10)*($Z$3/1000)/100,1)</f>
        <v/>
      </c>
      <c r="J1050">
        <f>((Inputs!$B$6*(1+Inputs!$B$7/100))+(((Inputs!$B$13*(1+Inputs!$B$14/100))-(Inputs!$B$13*(1+Inputs!$B$14/100)))+0.25*(Inputs!$B$15-Inputs!$B$15))*(1+Inputs!$B$7/100))*(F1050/100)</f>
        <v/>
      </c>
      <c r="K1050">
        <f>J1050*(1+(((Inputs!$B$13+IF(Inputs!$B$3&gt;=35,(10*INDEX(FactorTable!$B$2:$Y$301, MATCH(ROUND(MIN(300,MAX(1,Inputs!$B$3)),0), FactorTable!$A$2:$A$301,0), 23)/1000)/100*(Inputs!$B$8*(1+(Inputs!$B$9+B1080)/100)),0))*(1+Inputs!$B$14/100))*0.01+Inputs!$B$15*0.0025)/100)*(1+(Inputs!$B$16+B1074)/100)*(1+IF(Inputs!$B$39="pvp",0,(1-Summary!$B$48)*(Inputs!$B$21+Skills!O8+B1072)+Summary!$B$48*(Inputs!$B$22+Skills!P8+B1073))/100)*(1+Inputs!$B$17/100)*(5000/(6000+Inputs!$B$43*(1-Inputs!$B$20/100)))*(1+Inputs!$B$25/100)*(1+IF(C1060=TRUE,F1060,0)/100)*(1+IF(C1062=TRUE,F1062,0)/100)*(1+IF(Skills!A8="TRIUMPH_FEATHER",IF(C1058=TRUE,F1058,0),0)/100)*(1+IF(C1069=TRUE,F1069,0)/100)^5*(1+(IF(Skills!A8="BIG_BANG",Inputs!$B$18,Inputs!$B$19))/100)*(B1071*I1050)</f>
        <v/>
      </c>
      <c r="L1050">
        <f>K1050*(MIN(Inputs!$B$23+(F1064-Calc!F22),Inputs!$B$24)/100+Inputs!$B$24/100)/2</f>
        <v/>
      </c>
      <c r="M1050">
        <f>L1050*(1+(Inputs!$B$11+B1075+(F1067-Calc!F25))/100)</f>
        <v/>
      </c>
      <c r="N1050">
        <f>L1050*(1-MIN(Inputs!$B$10+((F1066-Calc!F24)+(F1065-Calc!F23)),100)/100)+M1050*(MIN(Inputs!$B$10+((F1066-Calc!F24)+(F1065-Calc!F23)),100)/100)</f>
        <v/>
      </c>
      <c r="O1050">
        <f>IF(C1050,H1050*N1050*IF(AND(Inputs!$B$39&lt;&gt;"pvp",Inputs!$B$44&gt;0),((Skills!F8*((R1050-1)*IF(Skills!G8&gt;0,Skills!H8/Skills!G8,1)+IF(Skills!G8&gt;0,MIN(Skills!H8,MAX(0,MAX(0,Inputs!$B$44-B1081)-((R1050-1)*IF(Inputs!$B$39="pvp",15,MAX(0.1,Skills!D8-IF(Skills!E8=TRUE,(Inputs!$B$33+1),0))))))/Skills!G8,1)))/Inputs!$B$44),G1050*Q1050)*IF(Inputs!$B$39="pvp",1,(1-Summary!$B$48)*(1)+Summary!$B$48*(MIN(Skills!Q8,Inputs!$B$38))),0)</f>
        <v/>
      </c>
      <c r="P1050">
        <f>IF(B1082=0,0,O1050/B1082)</f>
        <v/>
      </c>
      <c r="Q1050">
        <f>IFERROR(1/IF(Inputs!$B$39="pvp",15,MAX(0.1,Skills!D8-IF(Skills!E8=TRUE,(Inputs!$B$33+1),0))),0)</f>
        <v/>
      </c>
      <c r="R1050">
        <f>IF(AND(Inputs!$B$39&lt;&gt;"pvp",Inputs!$B$44&gt;0),IF(MAX(0,Inputs!$B$44-B1081)&lt;=0,0,(INT(MAX(0,Inputs!$B$44-B1081)/IF(Inputs!$B$39="pvp",15,MAX(0.1,Skills!D8-IF(Skills!E8=TRUE,(Inputs!$B$33+1),0))))+1)),0)</f>
        <v/>
      </c>
    </row>
    <row r="1051">
      <c r="A1051">
        <f>Skills!A9</f>
        <v/>
      </c>
      <c r="B1051">
        <f>Skills!B9</f>
        <v/>
      </c>
      <c r="C1051">
        <f>Inputs!$B$3&gt;=115</f>
        <v/>
      </c>
      <c r="D1051">
        <f>IF(Skills!C9=1,60+Inputs!$B$26+Inputs!$B$30,IF(Skills!C9=2,90+Inputs!$B$27+Inputs!$B$30,IF(Skills!C9=3,120+Inputs!$B$28+Inputs!$B$30,MAX(0,(Inputs!$B$3-100)*3)+Inputs!$B$29+Inputs!$B$30)))</f>
        <v/>
      </c>
      <c r="E1051">
        <f>INDEX(FactorTable!$B$2:$Y$301, MATCH(ROUND(MIN(300,MAX(1,D1051)),0), FactorTable!$A$2:$A$301,0), Skills!L9+1)</f>
        <v/>
      </c>
      <c r="F1051">
        <f>IF(Skills!M9=TRUE,(Skills!K9/10)*(E1051/1000),Skills!K9/10)+Skills!N9</f>
        <v/>
      </c>
      <c r="G1051">
        <f>Calc!G9</f>
        <v/>
      </c>
      <c r="H1051">
        <f>Calc!H9</f>
        <v/>
      </c>
      <c r="I1051">
        <f>IF(Skills!T9&lt;&gt;"",1+(Skills!T9/10)*($Z$3/1000)/100,1)</f>
        <v/>
      </c>
      <c r="J1051">
        <f>((Inputs!$B$6*(1+Inputs!$B$7/100))+(((Inputs!$B$13*(1+Inputs!$B$14/100))-(Inputs!$B$13*(1+Inputs!$B$14/100)))+0.25*(Inputs!$B$15-Inputs!$B$15))*(1+Inputs!$B$7/100))*(F1051/100)</f>
        <v/>
      </c>
      <c r="K1051">
        <f>J1051*(1+(((Inputs!$B$13+IF(Inputs!$B$3&gt;=35,(10*INDEX(FactorTable!$B$2:$Y$301, MATCH(ROUND(MIN(300,MAX(1,Inputs!$B$3)),0), FactorTable!$A$2:$A$301,0), 23)/1000)/100*(Inputs!$B$8*(1+(Inputs!$B$9+B1080)/100)),0))*(1+Inputs!$B$14/100))*0.01+Inputs!$B$15*0.0025)/100)*(1+(Inputs!$B$16+B1074)/100)*(1+IF(Inputs!$B$39="pvp",0,(1-Summary!$B$48)*(Inputs!$B$21+Skills!O9+B1072)+Summary!$B$48*(Inputs!$B$22+Skills!P9+B1073))/100)*(1+Inputs!$B$17/100)*(5000/(6000+Inputs!$B$43*(1-Inputs!$B$20/100)))*(1+Inputs!$B$25/100)*(1+IF(C1060=TRUE,F1060,0)/100)*(1+IF(C1062=TRUE,F1062,0)/100)*(1+IF(Skills!A9="TRIUMPH_FEATHER",IF(C1058=TRUE,F1058,0),0)/100)*(1+IF(C1069=TRUE,F1069,0)/100)^5*(1+(IF(Skills!A9="BIG_BANG",Inputs!$B$18,Inputs!$B$19))/100)*(B1071*I1051)</f>
        <v/>
      </c>
      <c r="L1051">
        <f>K1051*(MIN(Inputs!$B$23+(F1064-Calc!F22),Inputs!$B$24)/100+Inputs!$B$24/100)/2</f>
        <v/>
      </c>
      <c r="M1051">
        <f>L1051*(1+(Inputs!$B$11+B1075+(F1067-Calc!F25))/100)</f>
        <v/>
      </c>
      <c r="N1051">
        <f>L1051*(1-MIN(Inputs!$B$10+((F1066-Calc!F24)+(F1065-Calc!F23)),100)/100)+M1051*(MIN(Inputs!$B$10+((F1066-Calc!F24)+(F1065-Calc!F23)),100)/100)</f>
        <v/>
      </c>
      <c r="O1051">
        <f>IF(C1051,H1051*N1051*IF(AND(Inputs!$B$39&lt;&gt;"pvp",Inputs!$B$44&gt;0),((Skills!F9*((R1051-1)*IF(Skills!G9&gt;0,Skills!H9/Skills!G9,1)+IF(Skills!G9&gt;0,MIN(Skills!H9,MAX(0,MAX(0,Inputs!$B$44-B1081)-((R1051-1)*IF(Inputs!$B$39="pvp",15,MAX(0.1,Skills!D9-IF(Skills!E9=TRUE,(Inputs!$B$33+1),0))))))/Skills!G9,1)))/Inputs!$B$44),G1051*Q1051)*IF(Inputs!$B$39="pvp",1,(1-Summary!$B$48)*(1)+Summary!$B$48*(MIN(Skills!Q9,Inputs!$B$38))),0)</f>
        <v/>
      </c>
      <c r="P1051">
        <f>IF(B1082=0,0,O1051/B1082)</f>
        <v/>
      </c>
      <c r="Q1051">
        <f>IFERROR(1/IF(Inputs!$B$39="pvp",15,MAX(0.1,Skills!D9-IF(Skills!E9=TRUE,(Inputs!$B$33+1),0))),0)</f>
        <v/>
      </c>
      <c r="R1051">
        <f>IF(AND(Inputs!$B$39&lt;&gt;"pvp",Inputs!$B$44&gt;0),IF(MAX(0,Inputs!$B$44-B1081)&lt;=0,0,(INT(MAX(0,Inputs!$B$44-B1081)/IF(Inputs!$B$39="pvp",15,MAX(0.1,Skills!D9-IF(Skills!E9=TRUE,(Inputs!$B$33+1),0))))+1)),0)</f>
        <v/>
      </c>
    </row>
    <row r="1052">
      <c r="A1052">
        <f>Skills!A10</f>
        <v/>
      </c>
      <c r="B1052">
        <f>Skills!B10</f>
        <v/>
      </c>
      <c r="C1052">
        <f>Inputs!$B$3&gt;=66</f>
        <v/>
      </c>
      <c r="D1052">
        <f>IF(Skills!C10=1,60+Inputs!$B$26+Inputs!$B$30,IF(Skills!C10=2,90+Inputs!$B$27+Inputs!$B$30,IF(Skills!C10=3,120+Inputs!$B$28+Inputs!$B$30,MAX(0,(Inputs!$B$3-100)*3)+Inputs!$B$29+Inputs!$B$30)))</f>
        <v/>
      </c>
      <c r="E1052">
        <f>INDEX(FactorTable!$B$2:$Y$301, MATCH(ROUND(MIN(300,MAX(1,D1052)),0), FactorTable!$A$2:$A$301,0), Skills!L10+1)</f>
        <v/>
      </c>
      <c r="F1052" t="n">
        <v>0</v>
      </c>
      <c r="G1052">
        <f>Calc!G10</f>
        <v/>
      </c>
      <c r="H1052">
        <f>Calc!H10</f>
        <v/>
      </c>
      <c r="I1052">
        <f>IF(Skills!T10&lt;&gt;"",1+(Skills!T10/10)*($Z$3/1000)/100,1)</f>
        <v/>
      </c>
      <c r="J1052" t="inlineStr"/>
      <c r="K1052" t="inlineStr"/>
      <c r="L1052" t="inlineStr"/>
      <c r="M1052" t="inlineStr"/>
      <c r="N1052" t="inlineStr"/>
      <c r="O1052" t="n">
        <v>0</v>
      </c>
      <c r="P1052">
        <f>IF(B1082=0,0,O1052/B1082)</f>
        <v/>
      </c>
      <c r="Q1052">
        <f>IFERROR(1/IF(Inputs!$B$39="pvp",15,MAX(0.1,Skills!D10-IF(Skills!E10=TRUE,(Inputs!$B$33+1),0))),0)</f>
        <v/>
      </c>
      <c r="R1052">
        <f>IF(AND(Inputs!$B$39&lt;&gt;"pvp",Inputs!$B$44&gt;0),IF(MAX(0,Inputs!$B$44-B1081)&lt;=0,0,(INT(MAX(0,Inputs!$B$44-B1081)/IF(Inputs!$B$39="pvp",15,MAX(0.1,Skills!D10-IF(Skills!E10=TRUE,(Inputs!$B$33+1),0))))+1)),0)</f>
        <v/>
      </c>
    </row>
    <row r="1053">
      <c r="A1053">
        <f>Skills!A11</f>
        <v/>
      </c>
      <c r="B1053">
        <f>Skills!B11</f>
        <v/>
      </c>
      <c r="C1053">
        <f>Inputs!$B$3&gt;=69</f>
        <v/>
      </c>
      <c r="D1053">
        <f>IF(Skills!C11=1,60+Inputs!$B$26+Inputs!$B$30,IF(Skills!C11=2,90+Inputs!$B$27+Inputs!$B$30,IF(Skills!C11=3,120+Inputs!$B$28+Inputs!$B$30,MAX(0,(Inputs!$B$3-100)*3)+Inputs!$B$29+Inputs!$B$30)))</f>
        <v/>
      </c>
      <c r="E1053">
        <f>INDEX(FactorTable!$B$2:$Y$301, MATCH(ROUND(MIN(300,MAX(1,D1053)),0), FactorTable!$A$2:$A$301,0), Skills!L11+1)</f>
        <v/>
      </c>
      <c r="F1053">
        <f>IF(Skills!M11=TRUE,(Skills!K11/10)*(E1053/1000),Skills!K11/10)+Skills!N11</f>
        <v/>
      </c>
      <c r="G1053">
        <f>Calc!G11</f>
        <v/>
      </c>
      <c r="H1053">
        <f>Calc!H11</f>
        <v/>
      </c>
      <c r="I1053">
        <f>IF(Skills!T11&lt;&gt;"",1+(Skills!T11/10)*($Z$3/1000)/100,1)</f>
        <v/>
      </c>
      <c r="J1053" t="inlineStr"/>
      <c r="K1053" t="inlineStr"/>
      <c r="L1053" t="inlineStr"/>
      <c r="M1053" t="inlineStr"/>
      <c r="N1053" t="inlineStr"/>
      <c r="O1053" t="n">
        <v>0</v>
      </c>
      <c r="P1053">
        <f>IF(B1082=0,0,O1053/B1082)</f>
        <v/>
      </c>
      <c r="Q1053">
        <f>IFERROR(1/IF(Inputs!$B$39="pvp",15,MAX(0.1,Skills!D11-IF(Skills!E11=TRUE,(Inputs!$B$33+1),0))),0)</f>
        <v/>
      </c>
      <c r="R1053">
        <f>IF(AND(Inputs!$B$39&lt;&gt;"pvp",Inputs!$B$44&gt;0),IF(Inputs!$B$44&lt;=0,0,(INT(Inputs!$B$44/IF(Inputs!$B$39="pvp",15,MAX(0.1,Skills!D11-IF(Skills!E11=TRUE,(Inputs!$B$33+1),0))))+1)),0)</f>
        <v/>
      </c>
    </row>
    <row r="1054">
      <c r="A1054">
        <f>Skills!A12</f>
        <v/>
      </c>
      <c r="B1054">
        <f>Skills!B12</f>
        <v/>
      </c>
      <c r="C1054">
        <f>Inputs!$B$3&gt;=72</f>
        <v/>
      </c>
      <c r="D1054">
        <f>IF(Skills!C12=1,60+Inputs!$B$26+Inputs!$B$30,IF(Skills!C12=2,90+Inputs!$B$27+Inputs!$B$30,IF(Skills!C12=3,120+Inputs!$B$28+Inputs!$B$30,MAX(0,(Inputs!$B$3-100)*3)+Inputs!$B$29+Inputs!$B$30)))</f>
        <v/>
      </c>
      <c r="E1054">
        <f>INDEX(FactorTable!$B$2:$Y$301, MATCH(ROUND(MIN(300,MAX(1,D1054)),0), FactorTable!$A$2:$A$301,0), Skills!L12+1)</f>
        <v/>
      </c>
      <c r="F1054">
        <f>IF(Skills!M12=TRUE,(Skills!K12/10)*(E1054/1000),Skills!K12/10)+Skills!N12</f>
        <v/>
      </c>
      <c r="G1054">
        <f>Calc!G12</f>
        <v/>
      </c>
      <c r="H1054">
        <f>Calc!H12</f>
        <v/>
      </c>
      <c r="I1054">
        <f>IF(Skills!T12&lt;&gt;"",1+(Skills!T12/10)*($Z$3/1000)/100,1)</f>
        <v/>
      </c>
      <c r="J1054" t="inlineStr"/>
      <c r="K1054" t="inlineStr"/>
      <c r="L1054" t="inlineStr"/>
      <c r="M1054" t="inlineStr"/>
      <c r="N1054" t="inlineStr"/>
      <c r="O1054" t="n">
        <v>0</v>
      </c>
      <c r="P1054">
        <f>IF(B1082=0,0,O1054/B1082)</f>
        <v/>
      </c>
      <c r="Q1054">
        <f>IFERROR(1/IF(Inputs!$B$39="pvp",15,MAX(0.1,Skills!D12-IF(Skills!E12=TRUE,(Inputs!$B$33+1),0))),0)</f>
        <v/>
      </c>
      <c r="R1054">
        <f>IF(AND(Inputs!$B$39&lt;&gt;"pvp",Inputs!$B$44&gt;0),IF(MAX(0,Inputs!$B$44-B1081)&lt;=0,0,(INT(MAX(0,Inputs!$B$44-B1081)/IF(Inputs!$B$39="pvp",15,MAX(0.1,Skills!D12-IF(Skills!E12=TRUE,(Inputs!$B$33+1),0))))+1)),0)</f>
        <v/>
      </c>
    </row>
    <row r="1055">
      <c r="A1055">
        <f>Skills!A13</f>
        <v/>
      </c>
      <c r="B1055">
        <f>Skills!B13</f>
        <v/>
      </c>
      <c r="C1055">
        <f>Inputs!$B$3&gt;=60</f>
        <v/>
      </c>
      <c r="D1055">
        <f>IF(Skills!C13=1,60+Inputs!$B$26+Inputs!$B$30,IF(Skills!C13=2,90+Inputs!$B$27+Inputs!$B$30,IF(Skills!C13=3,120+Inputs!$B$28+Inputs!$B$30,MAX(0,(Inputs!$B$3-100)*3)+Inputs!$B$29+Inputs!$B$30)))</f>
        <v/>
      </c>
      <c r="E1055">
        <f>INDEX(FactorTable!$B$2:$Y$301, MATCH(ROUND(MIN(300,MAX(1,D1055)),0), FactorTable!$A$2:$A$301,0), Skills!L13+1)</f>
        <v/>
      </c>
      <c r="F1055">
        <f>IF(Skills!M13=TRUE,(Skills!K13/10)*(E1055/1000),Skills!K13/10)+Skills!N13</f>
        <v/>
      </c>
      <c r="G1055">
        <f>Calc!G13</f>
        <v/>
      </c>
      <c r="H1055">
        <f>Calc!H13</f>
        <v/>
      </c>
      <c r="I1055">
        <f>IF(Skills!T13&lt;&gt;"",1+(Skills!T13/10)*($Z$3/1000)/100,1)</f>
        <v/>
      </c>
      <c r="J1055" t="inlineStr"/>
      <c r="K1055" t="inlineStr"/>
      <c r="L1055" t="inlineStr"/>
      <c r="M1055" t="inlineStr"/>
      <c r="N1055" t="inlineStr"/>
      <c r="O1055" t="n">
        <v>0</v>
      </c>
      <c r="P1055">
        <f>IF(B1082=0,0,O1055/B1082)</f>
        <v/>
      </c>
      <c r="Q1055">
        <f>IFERROR(1/IF(Inputs!$B$39="pvp",15,MAX(0.1,Skills!D13-IF(Skills!E13=TRUE,(Inputs!$B$33+1),0))),0)</f>
        <v/>
      </c>
      <c r="R1055">
        <f>IF(AND(Inputs!$B$39&lt;&gt;"pvp",Inputs!$B$44&gt;0),IF(MAX(0,Inputs!$B$44-B1081)&lt;=0,0,(INT(MAX(0,Inputs!$B$44-B1081)/IF(Inputs!$B$39="pvp",15,MAX(0.1,Skills!D13-IF(Skills!E13=TRUE,(Inputs!$B$33+1),0))))+1)),0)</f>
        <v/>
      </c>
    </row>
    <row r="1056">
      <c r="A1056">
        <f>Skills!A14</f>
        <v/>
      </c>
      <c r="B1056">
        <f>Skills!B14</f>
        <v/>
      </c>
      <c r="C1056">
        <f>Inputs!$B$3&gt;=107</f>
        <v/>
      </c>
      <c r="D1056">
        <f>IF(Skills!C14=1,60+Inputs!$B$26+Inputs!$B$30,IF(Skills!C14=2,90+Inputs!$B$27+Inputs!$B$30,IF(Skills!C14=3,120+Inputs!$B$28+Inputs!$B$30,MAX(0,(Inputs!$B$3-100)*3)+Inputs!$B$29+Inputs!$B$30)))</f>
        <v/>
      </c>
      <c r="E1056">
        <f>INDEX(FactorTable!$B$2:$Y$301, MATCH(ROUND(MIN(300,MAX(1,D1056)),0), FactorTable!$A$2:$A$301,0), Skills!L14+1)</f>
        <v/>
      </c>
      <c r="F1056">
        <f>IF(Skills!M14=TRUE,(Skills!K14/10)*(E1056/1000),Skills!K14/10)+Skills!N14</f>
        <v/>
      </c>
      <c r="G1056">
        <f>Calc!G14</f>
        <v/>
      </c>
      <c r="H1056">
        <f>Calc!H14</f>
        <v/>
      </c>
      <c r="I1056">
        <f>IF(Skills!T14&lt;&gt;"",1+(Skills!T14/10)*($Z$3/1000)/100,1)</f>
        <v/>
      </c>
      <c r="J1056" t="inlineStr"/>
      <c r="K1056" t="inlineStr"/>
      <c r="L1056" t="inlineStr"/>
      <c r="M1056" t="inlineStr"/>
      <c r="N1056" t="inlineStr"/>
      <c r="O1056" t="n">
        <v>0</v>
      </c>
      <c r="P1056">
        <f>IF(B1082=0,0,O1056/B1082)</f>
        <v/>
      </c>
      <c r="Q1056">
        <f>IFERROR(1/IF(Inputs!$B$39="pvp",15,MAX(0.1,Skills!D14-IF(Skills!E14=TRUE,(Inputs!$B$33+1),0))),0)</f>
        <v/>
      </c>
      <c r="R1056">
        <f>IF(AND(Inputs!$B$39&lt;&gt;"pvp",Inputs!$B$44&gt;0),IF(Inputs!$B$44&lt;=0,0,(INT(Inputs!$B$44/IF(Inputs!$B$39="pvp",15,MAX(0.1,Skills!D14-IF(Skills!E14=TRUE,(Inputs!$B$33+1),0))))+1)),0)</f>
        <v/>
      </c>
    </row>
    <row r="1057">
      <c r="A1057">
        <f>Skills!A15</f>
        <v/>
      </c>
      <c r="B1057">
        <f>Skills!B15</f>
        <v/>
      </c>
      <c r="C1057">
        <f>Inputs!$B$3&gt;=63</f>
        <v/>
      </c>
      <c r="D1057">
        <f>IF(Skills!C15=1,60+Inputs!$B$26+Inputs!$B$30,IF(Skills!C15=2,90+Inputs!$B$27+Inputs!$B$30,IF(Skills!C15=3,120+Inputs!$B$28+Inputs!$B$30,MAX(0,(Inputs!$B$3-100)*3)+Inputs!$B$29+Inputs!$B$30)))</f>
        <v/>
      </c>
      <c r="E1057">
        <f>INDEX(FactorTable!$B$2:$Y$301, MATCH(ROUND(MIN(300,MAX(1,D1057)),0), FactorTable!$A$2:$A$301,0), Skills!L15+1)</f>
        <v/>
      </c>
      <c r="F1057">
        <f>IF(Skills!M15=TRUE,(Skills!K15/10)*(E1057/1000),Skills!K15/10)+Skills!N15</f>
        <v/>
      </c>
      <c r="G1057">
        <f>Calc!G15</f>
        <v/>
      </c>
      <c r="H1057">
        <f>Calc!H15</f>
        <v/>
      </c>
      <c r="I1057">
        <f>IF(Skills!T15&lt;&gt;"",1+(Skills!T15/10)*($Z$3/1000)/100,1)</f>
        <v/>
      </c>
      <c r="J1057">
        <f>((Inputs!$B$6*(1+Inputs!$B$7/100))+(((Inputs!$B$13*(1+Inputs!$B$14/100))-(Inputs!$B$13*(1+Inputs!$B$14/100)))+0.25*(Inputs!$B$15-Inputs!$B$15))*(1+Inputs!$B$7/100))*(F1057/100)</f>
        <v/>
      </c>
      <c r="K1057">
        <f>J1057*(1+(((Inputs!$B$13+IF(Inputs!$B$3&gt;=35,(10*INDEX(FactorTable!$B$2:$Y$301, MATCH(ROUND(MIN(300,MAX(1,Inputs!$B$3)),0), FactorTable!$A$2:$A$301,0), 23)/1000)/100*(Inputs!$B$8*(1+(Inputs!$B$9+B1080)/100)),0))*(1+Inputs!$B$14/100))*0.01+Inputs!$B$15*0.0025)/100)*(1+(Inputs!$B$16+B1074)/100)*(1+IF(Inputs!$B$39="pvp",0,(1-Summary!$B$48)*(Inputs!$B$21+Skills!O15+B1072)+Summary!$B$48*(Inputs!$B$22+Skills!P15+B1073))/100)*(1+Inputs!$B$17/100)*(5000/(6000+Inputs!$B$43*(1-Inputs!$B$20/100)))*(1+Inputs!$B$25/100)*(1+IF(C1060=TRUE,F1060,0)/100)*(1+IF(C1062=TRUE,F1062,0)/100)*(1+IF(Skills!A15="TRIUMPH_FEATHER",IF(C1058=TRUE,F1058,0),0)/100)*(1+IF(C1069=TRUE,F1069,0)/100)^5*(1+(IF(Skills!A15="BIG_BANG",Inputs!$B$18,Inputs!$B$19))/100)*(B1071*I1057)</f>
        <v/>
      </c>
      <c r="L1057">
        <f>K1057*(MIN(Inputs!$B$23+(F1064-Calc!F22),Inputs!$B$24)/100+Inputs!$B$24/100)/2</f>
        <v/>
      </c>
      <c r="M1057">
        <f>L1057*(1+(Inputs!$B$11+B1075+(F1067-Calc!F25))/100)</f>
        <v/>
      </c>
      <c r="N1057">
        <f>L1057*(1-MIN(Inputs!$B$10+((F1066-Calc!F24)+(F1065-Calc!F23)),100)/100)+M1057*(MIN(Inputs!$B$10+((F1066-Calc!F24)+(F1065-Calc!F23)),100)/100)</f>
        <v/>
      </c>
      <c r="O1057">
        <f>IF(C1057,Skills!F15*N1057*((IF(Inputs!$B$3&gt;=78,25,15)/100*B1077*10)/(1+IF(Inputs!$B$3&gt;=78,25,15)/100*B1077*10))*(Skills!I15/100*B1077)/(1+Skills!G15*Skills!I15/100*B1077)*IF(Inputs!$B$39="pvp",1,(1-Summary!$B$48)*(1)+Summary!$B$48*(MIN(Skills!Q15,Inputs!$B$38))),0)</f>
        <v/>
      </c>
      <c r="P1057">
        <f>IF(B1082=0,0,O1057/B1082)</f>
        <v/>
      </c>
      <c r="Q1057">
        <f>IFERROR(1/IF(Inputs!$B$39="pvp",15,MAX(0.1,Skills!D15-IF(Skills!E15=TRUE,(Inputs!$B$33+1),0))),0)</f>
        <v/>
      </c>
      <c r="R1057" t="n">
        <v>0</v>
      </c>
    </row>
    <row r="1058">
      <c r="A1058">
        <f>Skills!A16</f>
        <v/>
      </c>
      <c r="B1058">
        <f>Skills!B16</f>
        <v/>
      </c>
      <c r="C1058">
        <f>Inputs!$B$3&gt;=100</f>
        <v/>
      </c>
      <c r="D1058">
        <f>IF(Skills!C16=1,60+Inputs!$B$26+Inputs!$B$30,IF(Skills!C16=2,90+Inputs!$B$27+Inputs!$B$30,IF(Skills!C16=3,120+Inputs!$B$28+Inputs!$B$30,MAX(0,(Inputs!$B$3-100)*3)+Inputs!$B$29+Inputs!$B$30)))</f>
        <v/>
      </c>
      <c r="E1058">
        <f>INDEX(FactorTable!$B$2:$Y$301, MATCH(ROUND(MIN(300,MAX(1,D1058)),0), FactorTable!$A$2:$A$301,0), Skills!L16+1)</f>
        <v/>
      </c>
      <c r="F1058">
        <f>IF(Skills!M16=TRUE,(Skills!K16/10)*(E1058/1000),Skills!K16/10)+Skills!N16</f>
        <v/>
      </c>
      <c r="G1058">
        <f>Calc!G16</f>
        <v/>
      </c>
      <c r="H1058">
        <f>Calc!H16</f>
        <v/>
      </c>
      <c r="I1058">
        <f>IF(Skills!T16&lt;&gt;"",1+(Skills!T16/10)*($Z$3/1000)/100,1)</f>
        <v/>
      </c>
      <c r="J1058" t="inlineStr"/>
      <c r="K1058" t="inlineStr"/>
      <c r="L1058" t="inlineStr"/>
      <c r="M1058" t="inlineStr"/>
      <c r="N1058" t="inlineStr"/>
      <c r="O1058" t="n">
        <v>0</v>
      </c>
      <c r="P1058">
        <f>IF(B1082=0,0,O1058/B1082)</f>
        <v/>
      </c>
      <c r="Q1058">
        <f>IFERROR(1/IF(Inputs!$B$39="pvp",15,MAX(0.1,Skills!D16-IF(Skills!E16=TRUE,(Inputs!$B$33+1),0))),0)</f>
        <v/>
      </c>
      <c r="R1058" t="n">
        <v>0</v>
      </c>
    </row>
    <row r="1059">
      <c r="A1059">
        <f>Skills!A17</f>
        <v/>
      </c>
      <c r="B1059">
        <f>Skills!B17</f>
        <v/>
      </c>
      <c r="C1059">
        <f>Inputs!$B$3&gt;=49</f>
        <v/>
      </c>
      <c r="D1059">
        <f>IF(Skills!C17=1,60+Inputs!$B$26+Inputs!$B$30,IF(Skills!C17=2,90+Inputs!$B$27+Inputs!$B$30,IF(Skills!C17=3,120+Inputs!$B$28+Inputs!$B$30,MAX(0,(Inputs!$B$3-100)*3)+Inputs!$B$29+Inputs!$B$30)))</f>
        <v/>
      </c>
      <c r="E1059">
        <f>INDEX(FactorTable!$B$2:$Y$301, MATCH(ROUND(MIN(300,MAX(1,D1059)),0), FactorTable!$A$2:$A$301,0), Skills!L17+1)</f>
        <v/>
      </c>
      <c r="F1059">
        <f>IF(Skills!M17=TRUE,(Skills!K17/10)*(E1059/1000),Skills!K17/10)+Skills!N17</f>
        <v/>
      </c>
      <c r="G1059">
        <f>Calc!G17</f>
        <v/>
      </c>
      <c r="H1059">
        <f>Calc!H17</f>
        <v/>
      </c>
      <c r="I1059">
        <f>IF(Skills!T17&lt;&gt;"",1+(Skills!T17/10)*($Z$3/1000)/100,1)</f>
        <v/>
      </c>
      <c r="J1059" t="inlineStr"/>
      <c r="K1059" t="inlineStr"/>
      <c r="L1059" t="inlineStr"/>
      <c r="M1059" t="inlineStr"/>
      <c r="N1059" t="inlineStr"/>
      <c r="O1059" t="n">
        <v>0</v>
      </c>
      <c r="P1059">
        <f>IF(B1082=0,0,O1059/B1082)</f>
        <v/>
      </c>
      <c r="Q1059">
        <f>IFERROR(1/IF(Inputs!$B$39="pvp",15,MAX(0.1,Skills!D17-IF(Skills!E17=TRUE,(Inputs!$B$33+1),0))),0)</f>
        <v/>
      </c>
      <c r="R1059" t="n">
        <v>0</v>
      </c>
    </row>
    <row r="1060">
      <c r="A1060">
        <f>Skills!A18</f>
        <v/>
      </c>
      <c r="B1060">
        <f>Skills!B18</f>
        <v/>
      </c>
      <c r="C1060">
        <f>Inputs!$B$3&gt;=75</f>
        <v/>
      </c>
      <c r="D1060">
        <f>IF(Skills!C18=1,60+Inputs!$B$26+Inputs!$B$30,IF(Skills!C18=2,90+Inputs!$B$27+Inputs!$B$30,IF(Skills!C18=3,120+Inputs!$B$28+Inputs!$B$30,MAX(0,(Inputs!$B$3-100)*3)+Inputs!$B$29+Inputs!$B$30)))</f>
        <v/>
      </c>
      <c r="E1060">
        <f>INDEX(FactorTable!$B$2:$Y$301, MATCH(ROUND(MIN(300,MAX(1,D1060)),0), FactorTable!$A$2:$A$301,0), Skills!L18+1)</f>
        <v/>
      </c>
      <c r="F1060">
        <f>IF(Skills!M18=TRUE,(Skills!K18/10)*(E1060/1000),Skills!K18/10)+Skills!N18</f>
        <v/>
      </c>
      <c r="G1060">
        <f>Calc!G18</f>
        <v/>
      </c>
      <c r="H1060">
        <f>Calc!H18</f>
        <v/>
      </c>
      <c r="I1060">
        <f>IF(Skills!T18&lt;&gt;"",1+(Skills!T18/10)*($Z$3/1000)/100,1)</f>
        <v/>
      </c>
      <c r="J1060" t="inlineStr"/>
      <c r="K1060" t="inlineStr"/>
      <c r="L1060" t="inlineStr"/>
      <c r="M1060" t="inlineStr"/>
      <c r="N1060" t="inlineStr"/>
      <c r="O1060" t="n">
        <v>0</v>
      </c>
      <c r="P1060">
        <f>IF(B1082=0,0,O1060/B1082)</f>
        <v/>
      </c>
      <c r="Q1060">
        <f>IFERROR(1/IF(Inputs!$B$39="pvp",15,MAX(0.1,Skills!D18-IF(Skills!E18=TRUE,(Inputs!$B$33+1),0))),0)</f>
        <v/>
      </c>
      <c r="R1060" t="n">
        <v>0</v>
      </c>
    </row>
    <row r="1061">
      <c r="A1061">
        <f>Skills!A19</f>
        <v/>
      </c>
      <c r="B1061">
        <f>Skills!B19</f>
        <v/>
      </c>
      <c r="C1061">
        <f>Inputs!$B$3&gt;=110</f>
        <v/>
      </c>
      <c r="D1061">
        <f>IF(Skills!C19=1,60+Inputs!$B$26+Inputs!$B$30,IF(Skills!C19=2,90+Inputs!$B$27+Inputs!$B$30,IF(Skills!C19=3,120+Inputs!$B$28+Inputs!$B$30,MAX(0,(Inputs!$B$3-100)*3)+Inputs!$B$29+Inputs!$B$30)))</f>
        <v/>
      </c>
      <c r="E1061">
        <f>INDEX(FactorTable!$B$2:$Y$301, MATCH(ROUND(MIN(300,MAX(1,D1061)),0), FactorTable!$A$2:$A$301,0), Skills!L19+1)</f>
        <v/>
      </c>
      <c r="F1061">
        <f>(Skills!K19/10)*(E1061/1000)*64/45+Skills!N19</f>
        <v/>
      </c>
      <c r="G1061">
        <f>Calc!G19</f>
        <v/>
      </c>
      <c r="H1061">
        <f>Calc!H19</f>
        <v/>
      </c>
      <c r="I1061">
        <f>IF(Skills!T19&lt;&gt;"",1+(Skills!T19/10)*($Z$3/1000)/100,1)</f>
        <v/>
      </c>
      <c r="J1061" t="inlineStr"/>
      <c r="K1061" t="inlineStr"/>
      <c r="L1061" t="inlineStr"/>
      <c r="M1061" t="inlineStr"/>
      <c r="N1061" t="inlineStr"/>
      <c r="O1061" t="n">
        <v>0</v>
      </c>
      <c r="P1061">
        <f>IF(B1082=0,0,O1061/B1082)</f>
        <v/>
      </c>
      <c r="Q1061">
        <f>IFERROR(1/IF(Inputs!$B$39="pvp",15,MAX(0.1,Skills!D19-IF(Skills!E19=TRUE,(Inputs!$B$33+1),0))),0)</f>
        <v/>
      </c>
      <c r="R1061">
        <f>IF(AND(Inputs!$B$39&lt;&gt;"pvp",Inputs!$B$44&gt;0),IF(Inputs!$B$44&lt;=0,0,(INT(Inputs!$B$44/IF(Inputs!$B$39="pvp",15,MAX(0.1,Skills!D19-IF(Skills!E19=TRUE,(Inputs!$B$33+1),0))))+1)),0)</f>
        <v/>
      </c>
    </row>
    <row r="1062">
      <c r="A1062">
        <f>Skills!A20</f>
        <v/>
      </c>
      <c r="B1062">
        <f>Skills!B20</f>
        <v/>
      </c>
      <c r="C1062">
        <f>Inputs!$B$3&gt;=125</f>
        <v/>
      </c>
      <c r="D1062">
        <f>IF(Skills!C20=1,60+Inputs!$B$26+Inputs!$B$30,IF(Skills!C20=2,90+Inputs!$B$27+Inputs!$B$30,IF(Skills!C20=3,120+Inputs!$B$28+Inputs!$B$30,MAX(0,(Inputs!$B$3-100)*3)+Inputs!$B$29+Inputs!$B$30)))</f>
        <v/>
      </c>
      <c r="E1062">
        <f>INDEX(FactorTable!$B$2:$Y$301, MATCH(ROUND(MIN(300,MAX(1,D1062)),0), FactorTable!$A$2:$A$301,0), Skills!L20+1)</f>
        <v/>
      </c>
      <c r="F1062">
        <f>IF(Skills!M20=TRUE,(Skills!K20/10)*(E1062/1000),Skills!K20/10)+Skills!N20</f>
        <v/>
      </c>
      <c r="G1062">
        <f>Calc!G20</f>
        <v/>
      </c>
      <c r="H1062">
        <f>Calc!H20</f>
        <v/>
      </c>
      <c r="I1062">
        <f>IF(Skills!T20&lt;&gt;"",1+(Skills!T20/10)*($Z$3/1000)/100,1)</f>
        <v/>
      </c>
      <c r="J1062" t="inlineStr"/>
      <c r="K1062" t="inlineStr"/>
      <c r="L1062" t="inlineStr"/>
      <c r="M1062" t="inlineStr"/>
      <c r="N1062" t="inlineStr"/>
      <c r="O1062" t="n">
        <v>0</v>
      </c>
      <c r="P1062">
        <f>IF(B1082=0,0,O1062/B1082)</f>
        <v/>
      </c>
      <c r="Q1062">
        <f>IFERROR(1/IF(Inputs!$B$39="pvp",15,MAX(0.1,Skills!D20-IF(Skills!E20=TRUE,(Inputs!$B$33+1),0))),0)</f>
        <v/>
      </c>
      <c r="R1062" t="n">
        <v>0</v>
      </c>
    </row>
    <row r="1063">
      <c r="A1063">
        <f>Skills!A21</f>
        <v/>
      </c>
      <c r="B1063">
        <f>Skills!B21</f>
        <v/>
      </c>
      <c r="C1063">
        <f>Inputs!$B$3&gt;=33</f>
        <v/>
      </c>
      <c r="D1063">
        <f>IF(Skills!C21=1,60+Inputs!$B$26+Inputs!$B$30,IF(Skills!C21=2,90+Inputs!$B$27+Inputs!$B$30,IF(Skills!C21=3,120+Inputs!$B$28+Inputs!$B$30,MAX(0,(Inputs!$B$3-100)*3)+Inputs!$B$29+Inputs!$B$30)))</f>
        <v/>
      </c>
      <c r="E1063">
        <f>INDEX(FactorTable!$B$2:$Y$301, MATCH(ROUND(MIN(300,MAX(1,D1063)),0), FactorTable!$A$2:$A$301,0), Skills!L21+1)</f>
        <v/>
      </c>
      <c r="F1063">
        <f>IF(Skills!M21=TRUE,(Skills!K21/10)*(E1063/1000),Skills!K21/10)+Skills!N21</f>
        <v/>
      </c>
      <c r="G1063">
        <f>Calc!G21</f>
        <v/>
      </c>
      <c r="H1063">
        <f>Calc!H21</f>
        <v/>
      </c>
      <c r="I1063">
        <f>IF(Skills!T21&lt;&gt;"",1+(Skills!T21/10)*($Z$3/1000)/100,1)</f>
        <v/>
      </c>
      <c r="J1063" t="inlineStr"/>
      <c r="K1063" t="inlineStr"/>
      <c r="L1063" t="inlineStr"/>
      <c r="M1063" t="inlineStr"/>
      <c r="N1063" t="inlineStr"/>
      <c r="O1063" t="n">
        <v>0</v>
      </c>
      <c r="P1063">
        <f>IF(B1082=0,0,O1063/B1082)</f>
        <v/>
      </c>
      <c r="Q1063">
        <f>IFERROR(1/IF(Inputs!$B$39="pvp",15,MAX(0.1,Skills!D21-IF(Skills!E21=TRUE,(Inputs!$B$33+1),0))),0)</f>
        <v/>
      </c>
      <c r="R1063" t="n">
        <v>0</v>
      </c>
    </row>
    <row r="1064">
      <c r="A1064">
        <f>Skills!A22</f>
        <v/>
      </c>
      <c r="B1064">
        <f>Skills!B22</f>
        <v/>
      </c>
      <c r="C1064">
        <f>Inputs!$B$3&gt;=43</f>
        <v/>
      </c>
      <c r="D1064">
        <f>IF(Skills!C22=1,60+Inputs!$B$26+Inputs!$B$30,IF(Skills!C22=2,90+Inputs!$B$27+Inputs!$B$30,IF(Skills!C22=3,120+Inputs!$B$28+Inputs!$B$30,MAX(0,(Inputs!$B$3-100)*3)+Inputs!$B$29+Inputs!$B$30)))</f>
        <v/>
      </c>
      <c r="E1064">
        <f>INDEX(FactorTable!$B$2:$Y$301, MATCH(ROUND(MIN(300,MAX(1,D1064)),0), FactorTable!$A$2:$A$301,0), Skills!L22+1)</f>
        <v/>
      </c>
      <c r="F1064">
        <f>IF(Skills!M22=TRUE,(Skills!K22/10)*(E1064/1000),Skills!K22/10)+Skills!N22</f>
        <v/>
      </c>
      <c r="G1064">
        <f>Calc!G22</f>
        <v/>
      </c>
      <c r="H1064">
        <f>Calc!H22</f>
        <v/>
      </c>
      <c r="I1064">
        <f>IF(Skills!T22&lt;&gt;"",1+(Skills!T22/10)*($Z$3/1000)/100,1)</f>
        <v/>
      </c>
      <c r="J1064" t="inlineStr"/>
      <c r="K1064" t="inlineStr"/>
      <c r="L1064" t="inlineStr"/>
      <c r="M1064" t="inlineStr"/>
      <c r="N1064" t="inlineStr"/>
      <c r="O1064" t="n">
        <v>0</v>
      </c>
      <c r="P1064">
        <f>IF(B1082=0,0,O1064/B1082)</f>
        <v/>
      </c>
      <c r="Q1064">
        <f>IFERROR(1/IF(Inputs!$B$39="pvp",15,MAX(0.1,Skills!D22-IF(Skills!E22=TRUE,(Inputs!$B$33+1),0))),0)</f>
        <v/>
      </c>
      <c r="R1064" t="n">
        <v>0</v>
      </c>
    </row>
    <row r="1065">
      <c r="A1065">
        <f>Skills!A23</f>
        <v/>
      </c>
      <c r="B1065">
        <f>Skills!B23</f>
        <v/>
      </c>
      <c r="C1065">
        <f>Inputs!$B$3&gt;=50</f>
        <v/>
      </c>
      <c r="D1065">
        <f>IF(Skills!C23=1,60+Inputs!$B$26+Inputs!$B$30,IF(Skills!C23=2,90+Inputs!$B$27+Inputs!$B$30,IF(Skills!C23=3,120+Inputs!$B$28+Inputs!$B$30,MAX(0,(Inputs!$B$3-100)*3)+Inputs!$B$29+Inputs!$B$30)))</f>
        <v/>
      </c>
      <c r="E1065">
        <f>INDEX(FactorTable!$B$2:$Y$301, MATCH(ROUND(MIN(300,MAX(1,D1065)),0), FactorTable!$A$2:$A$301,0), Skills!L23+1)</f>
        <v/>
      </c>
      <c r="F1065">
        <f>IF(Skills!M23=TRUE,(Skills!K23/10)*(E1065/1000),Skills!K23/10)+Skills!N23</f>
        <v/>
      </c>
      <c r="G1065">
        <f>Calc!G23</f>
        <v/>
      </c>
      <c r="H1065">
        <f>Calc!H23</f>
        <v/>
      </c>
      <c r="I1065">
        <f>IF(Skills!T23&lt;&gt;"",1+(Skills!T23/10)*($Z$3/1000)/100,1)</f>
        <v/>
      </c>
      <c r="J1065" t="inlineStr"/>
      <c r="K1065" t="inlineStr"/>
      <c r="L1065" t="inlineStr"/>
      <c r="M1065" t="inlineStr"/>
      <c r="N1065" t="inlineStr"/>
      <c r="O1065" t="n">
        <v>0</v>
      </c>
      <c r="P1065">
        <f>IF(B1082=0,0,O1065/B1082)</f>
        <v/>
      </c>
      <c r="Q1065">
        <f>IFERROR(1/IF(Inputs!$B$39="pvp",15,MAX(0.1,Skills!D23-IF(Skills!E23=TRUE,(Inputs!$B$33+1),0))),0)</f>
        <v/>
      </c>
      <c r="R1065" t="n">
        <v>0</v>
      </c>
    </row>
    <row r="1066">
      <c r="A1066">
        <f>Skills!A24</f>
        <v/>
      </c>
      <c r="B1066">
        <f>Skills!B24</f>
        <v/>
      </c>
      <c r="C1066">
        <f>Inputs!$B$3&gt;=74</f>
        <v/>
      </c>
      <c r="D1066">
        <f>IF(Skills!C24=1,60+Inputs!$B$26+Inputs!$B$30,IF(Skills!C24=2,90+Inputs!$B$27+Inputs!$B$30,IF(Skills!C24=3,120+Inputs!$B$28+Inputs!$B$30,MAX(0,(Inputs!$B$3-100)*3)+Inputs!$B$29+Inputs!$B$30)))</f>
        <v/>
      </c>
      <c r="E1066">
        <f>INDEX(FactorTable!$B$2:$Y$301, MATCH(ROUND(MIN(300,MAX(1,D1066)),0), FactorTable!$A$2:$A$301,0), Skills!L24+1)</f>
        <v/>
      </c>
      <c r="F1066">
        <f>IF(Skills!M24=TRUE,(Skills!K24/10)*(E1066/1000),Skills!K24/10)+Skills!N24</f>
        <v/>
      </c>
      <c r="G1066">
        <f>Calc!G24</f>
        <v/>
      </c>
      <c r="H1066">
        <f>Calc!H24</f>
        <v/>
      </c>
      <c r="I1066">
        <f>IF(Skills!T24&lt;&gt;"",1+(Skills!T24/10)*($Z$3/1000)/100,1)</f>
        <v/>
      </c>
      <c r="J1066" t="inlineStr"/>
      <c r="K1066" t="inlineStr"/>
      <c r="L1066" t="inlineStr"/>
      <c r="M1066" t="inlineStr"/>
      <c r="N1066" t="inlineStr"/>
      <c r="O1066" t="n">
        <v>0</v>
      </c>
      <c r="P1066">
        <f>IF(B1082=0,0,O1066/B1082)</f>
        <v/>
      </c>
      <c r="Q1066">
        <f>IFERROR(1/IF(Inputs!$B$39="pvp",15,MAX(0.1,Skills!D24-IF(Skills!E24=TRUE,(Inputs!$B$33+1),0))),0)</f>
        <v/>
      </c>
      <c r="R1066" t="n">
        <v>0</v>
      </c>
    </row>
    <row r="1067">
      <c r="A1067">
        <f>Skills!A25</f>
        <v/>
      </c>
      <c r="B1067">
        <f>Skills!B25</f>
        <v/>
      </c>
      <c r="C1067">
        <f>Inputs!$B$3&gt;=74</f>
        <v/>
      </c>
      <c r="D1067">
        <f>IF(Skills!C25=1,60+Inputs!$B$26+Inputs!$B$30,IF(Skills!C25=2,90+Inputs!$B$27+Inputs!$B$30,IF(Skills!C25=3,120+Inputs!$B$28+Inputs!$B$30,MAX(0,(Inputs!$B$3-100)*3)+Inputs!$B$29+Inputs!$B$30)))</f>
        <v/>
      </c>
      <c r="E1067">
        <f>INDEX(FactorTable!$B$2:$Y$301, MATCH(ROUND(MIN(300,MAX(1,D1067)),0), FactorTable!$A$2:$A$301,0), Skills!L25+1)</f>
        <v/>
      </c>
      <c r="F1067">
        <f>IF(Skills!M25=TRUE,(Skills!K25/10)*(E1067/1000),Skills!K25/10)+Skills!N25</f>
        <v/>
      </c>
      <c r="G1067">
        <f>Calc!G25</f>
        <v/>
      </c>
      <c r="H1067">
        <f>Calc!H25</f>
        <v/>
      </c>
      <c r="I1067">
        <f>IF(Skills!T25&lt;&gt;"",1+(Skills!T25/10)*($Z$3/1000)/100,1)</f>
        <v/>
      </c>
      <c r="J1067" t="inlineStr"/>
      <c r="K1067" t="inlineStr"/>
      <c r="L1067" t="inlineStr"/>
      <c r="M1067" t="inlineStr"/>
      <c r="N1067" t="inlineStr"/>
      <c r="O1067" t="n">
        <v>0</v>
      </c>
      <c r="P1067">
        <f>IF(B1082=0,0,O1067/B1082)</f>
        <v/>
      </c>
      <c r="Q1067">
        <f>IFERROR(1/IF(Inputs!$B$39="pvp",15,MAX(0.1,Skills!D25-IF(Skills!E25=TRUE,(Inputs!$B$33+1),0))),0)</f>
        <v/>
      </c>
      <c r="R1067" t="n">
        <v>0</v>
      </c>
    </row>
    <row r="1068">
      <c r="A1068">
        <f>Skills!A26</f>
        <v/>
      </c>
      <c r="B1068">
        <f>Skills!B26</f>
        <v/>
      </c>
      <c r="C1068">
        <f>Inputs!$B$3&gt;=117</f>
        <v/>
      </c>
      <c r="D1068">
        <f>IF(Skills!C26=1,60+Inputs!$B$26+Inputs!$B$30,IF(Skills!C26=2,90+Inputs!$B$27+Inputs!$B$30,IF(Skills!C26=3,120+Inputs!$B$28+Inputs!$B$30,MAX(0,(Inputs!$B$3-100)*3)+Inputs!$B$29+Inputs!$B$30)))</f>
        <v/>
      </c>
      <c r="E1068">
        <f>INDEX(FactorTable!$B$2:$Y$301, MATCH(ROUND(MIN(300,MAX(1,D1068)),0), FactorTable!$A$2:$A$301,0), Skills!L26+1)</f>
        <v/>
      </c>
      <c r="F1068">
        <f>IF(Skills!M26=TRUE,(Skills!K26/10)*(E1068/1000),Skills!K26/10)+Skills!N26</f>
        <v/>
      </c>
      <c r="G1068">
        <f>Calc!G26</f>
        <v/>
      </c>
      <c r="H1068">
        <f>Calc!H26</f>
        <v/>
      </c>
      <c r="I1068">
        <f>IF(Skills!T26&lt;&gt;"",1+(Skills!T26/10)*($Z$3/1000)/100,1)</f>
        <v/>
      </c>
      <c r="J1068" t="inlineStr"/>
      <c r="K1068" t="inlineStr"/>
      <c r="L1068" t="inlineStr"/>
      <c r="M1068" t="inlineStr"/>
      <c r="N1068" t="inlineStr"/>
      <c r="O1068" t="n">
        <v>0</v>
      </c>
      <c r="P1068">
        <f>IF(B1082=0,0,O1068/B1082)</f>
        <v/>
      </c>
      <c r="Q1068">
        <f>IFERROR(1/IF(Inputs!$B$39="pvp",15,MAX(0.1,Skills!D26-IF(Skills!E26=TRUE,(Inputs!$B$33+1),0))),0)</f>
        <v/>
      </c>
      <c r="R1068" t="n">
        <v>0</v>
      </c>
    </row>
    <row r="1069">
      <c r="A1069">
        <f>Skills!A27</f>
        <v/>
      </c>
      <c r="B1069">
        <f>Skills!B27</f>
        <v/>
      </c>
      <c r="C1069">
        <f>Inputs!$B$3&gt;=120</f>
        <v/>
      </c>
      <c r="D1069">
        <f>IF(Skills!C27=1,60+Inputs!$B$26+Inputs!$B$30,IF(Skills!C27=2,90+Inputs!$B$27+Inputs!$B$30,IF(Skills!C27=3,120+Inputs!$B$28+Inputs!$B$30,MAX(0,(Inputs!$B$3-100)*3)+Inputs!$B$29+Inputs!$B$30)))</f>
        <v/>
      </c>
      <c r="E1069">
        <f>INDEX(FactorTable!$B$2:$Y$301, MATCH(ROUND(MIN(300,MAX(1,D1069)),0), FactorTable!$A$2:$A$301,0), Skills!L27+1)</f>
        <v/>
      </c>
      <c r="F1069">
        <f>IF(Skills!M27=TRUE,(Skills!K27/10)*(E1069/1000),Skills!K27/10)+Skills!N27</f>
        <v/>
      </c>
      <c r="G1069">
        <f>Calc!G27</f>
        <v/>
      </c>
      <c r="H1069">
        <f>Calc!H27</f>
        <v/>
      </c>
      <c r="I1069">
        <f>IF(Skills!T27&lt;&gt;"",1+(Skills!T27/10)*($Z$3/1000)/100,1)</f>
        <v/>
      </c>
      <c r="J1069" t="inlineStr"/>
      <c r="K1069" t="inlineStr"/>
      <c r="L1069" t="inlineStr"/>
      <c r="M1069" t="inlineStr"/>
      <c r="N1069" t="inlineStr"/>
      <c r="O1069" t="n">
        <v>0</v>
      </c>
      <c r="P1069">
        <f>IF(B1082=0,0,O1069/B1082)</f>
        <v/>
      </c>
      <c r="Q1069">
        <f>IFERROR(1/IF(Inputs!$B$39="pvp",15,MAX(0.1,Skills!D27-IF(Skills!E27=TRUE,(Inputs!$B$33+1),0))),0)</f>
        <v/>
      </c>
      <c r="R1069" t="n">
        <v>0</v>
      </c>
    </row>
    <row r="1071">
      <c r="A1071" t="inlineStr">
        <is>
          <t>Average Buff Multiplier</t>
        </is>
      </c>
      <c r="B1071">
        <f>(1+(IF(C1045=TRUE,F1045*IF(AND(Inputs!$B$39&lt;&gt;"pvp",Inputs!$B$44&gt;0),(((R1045-1)*(Skills!S3*(1+(Inputs!$B$35+IF(Inputs!$B$3&gt;=117,F1068,0))/100))+MIN((Skills!S3*(1+(Inputs!$B$35+IF(Inputs!$B$3&gt;=117,F1068,0))/100)),MAX(0,Inputs!$B$44-((R1045-1)*Skills!D3))))/Inputs!$B$44),IF(Inputs!$B$39="pvp",MIN((Skills!S3*(1+(Inputs!$B$35+IF(Inputs!$B$3&gt;=117,F1068,0))/100)),15)/15,(Skills!S3*(1+(Inputs!$B$35+IF(Inputs!$B$3&gt;=117,F1068,0))/100))/Skills!D3)),0)+IF(C1046=TRUE,F1046*IF(AND(Inputs!$B$39&lt;&gt;"pvp",Inputs!$B$44&gt;0),(((R1046-1)*(Skills!S4*(1+(Inputs!$B$35+IF(Inputs!$B$3&gt;=117,F1068,0))/100))+MIN((Skills!S4*(1+(Inputs!$B$35+IF(Inputs!$B$3&gt;=117,F1068,0))/100)),MAX(0,Inputs!$B$44-((R1046-1)*Skills!D4))))/Inputs!$B$44),IF(Inputs!$B$39="pvp",MIN((Skills!S4*(1+(Inputs!$B$35+IF(Inputs!$B$3&gt;=117,F1068,0))/100)),15)/15,(Skills!S4*(1+(Inputs!$B$35+IF(Inputs!$B$3&gt;=117,F1068,0))/100))/Skills!D4)),0)+IF(C1047=TRUE,F1047*IF(AND(Inputs!$B$39&lt;&gt;"pvp",Inputs!$B$44&gt;0),(((R1047-1)*(Skills!S5*(1+(Inputs!$B$35+IF(Inputs!$B$3&gt;=117,F1068,0))/100))+MIN((Skills!S5*(1+(Inputs!$B$35+IF(Inputs!$B$3&gt;=117,F1068,0))/100)),MAX(0,Inputs!$B$44-((R1047-1)*Skills!D5))))/Inputs!$B$44),IF(Inputs!$B$39="pvp",MIN((Skills!S5*(1+(Inputs!$B$35+IF(Inputs!$B$3&gt;=117,F1068,0))/100)),15)/15,(Skills!S5*(1+(Inputs!$B$35+IF(Inputs!$B$3&gt;=117,F1068,0))/100))/Skills!D5)),0)+IF(C1053=TRUE,F1053*IF(AND(Inputs!$B$39&lt;&gt;"pvp",Inputs!$B$44&gt;0),(((R1053-1)*(Skills!S11*(1+(Inputs!$B$35+IF(Inputs!$B$3&gt;=117,F1068,0))/100))+MIN((Skills!S11*(1+(Inputs!$B$35+IF(Inputs!$B$3&gt;=117,F1068,0))/100)),MAX(0,Inputs!$B$44-((R1053-1)*Skills!D11))))/Inputs!$B$44),IF(Inputs!$B$39="pvp",MIN((Skills!S11*(1+(Inputs!$B$35+IF(Inputs!$B$3&gt;=117,F1068,0))/100)),15)/15,(Skills!S11*(1+(Inputs!$B$35+IF(Inputs!$B$3&gt;=117,F1068,0))/100))/Skills!D11)),0))/100)*IF(C1056=TRUE,(1+F1056*IF(AND(Inputs!$B$39&lt;&gt;"pvp",Inputs!$B$44&gt;0),(((R1056-1)*(Skills!S14*(1+(Inputs!$B$35+IF(Inputs!$B$3&gt;=117,F1068,0))/100))+MIN((Skills!S14*(1+(Inputs!$B$35+IF(Inputs!$B$3&gt;=117,F1068,0))/100)),MAX(0,Inputs!$B$44-((R1056-1)*Skills!D14))))/Inputs!$B$44),IF(Inputs!$B$39="pvp",MIN((Skills!S14*(1+(Inputs!$B$35+IF(Inputs!$B$3&gt;=117,F1068,0))/100)),15)/15,(Skills!S14*(1+(Inputs!$B$35+IF(Inputs!$B$3&gt;=117,F1068,0))/100))/Skills!D14))/100),1)*IF(C1061=TRUE,(1+F1061*IF(AND(Inputs!$B$39&lt;&gt;"pvp",Inputs!$B$44&gt;0),(((R1061-1)*(Skills!S19*(1+(Inputs!$B$35+IF(Inputs!$B$3&gt;=117,F1068,0))/100))+MIN((Skills!S19*(1+(Inputs!$B$35+IF(Inputs!$B$3&gt;=117,F1068,0))/100)),MAX(0,Inputs!$B$44-((R1061-1)*Skills!D19))))/Inputs!$B$44),IF(Inputs!$B$39="pvp",MIN((Skills!S19*(1+(Inputs!$B$35+IF(Inputs!$B$3&gt;=117,F1068,0))/100)),15)/15,(Skills!S19*(1+(Inputs!$B$35+IF(Inputs!$B$3&gt;=117,F1068,0))/100))/Skills!D19))/100),1)</f>
        <v/>
      </c>
    </row>
    <row r="1072">
      <c r="A1072" t="inlineStr">
        <is>
          <t>Monster Damage Taken Bonus % (Holy Fountain)</t>
        </is>
      </c>
      <c r="B1072">
        <f>IF(Inputs!$B$3&gt;=68,20*IF(Inputs!$B$39="pvp",MIN((15*(1+(Inputs!$B$35+IF(Inputs!$B$3&gt;=117,F1068,0))/100)),15)/15,(15*(1+(Inputs!$B$35+IF(Inputs!$B$3&gt;=117,F1068,0))/100))/Skills!D10),0)</f>
        <v/>
      </c>
    </row>
    <row r="1073">
      <c r="A1073" t="inlineStr">
        <is>
          <t>Normal Monster Damage Bonus % (Holy Symbol)</t>
        </is>
      </c>
      <c r="B1073">
        <f>IF(C1054=TRUE,F1054*IF(AND(Inputs!$B$39&lt;&gt;"pvp",Inputs!$B$44&gt;0),(((R1054-1)*(Skills!S12*(1+(Inputs!$B$35+IF(Inputs!$B$3&gt;=117,F1068,0))/100))+MIN((Skills!S12*(1+(Inputs!$B$35+IF(Inputs!$B$3&gt;=117,F1068,0))/100)),MAX(0,Inputs!$B$44-((R1054-1)*Skills!D12))))/Inputs!$B$44),IF(Inputs!$B$39="pvp",MIN((Skills!S12*(1+(Inputs!$B$35+IF(Inputs!$B$3&gt;=117,F1068,0))/100)),15)/15,(Skills!S12*(1+(Inputs!$B$35+IF(Inputs!$B$3&gt;=117,F1068,0))/100))/Skills!D12)),0)</f>
        <v/>
      </c>
    </row>
    <row r="1074">
      <c r="A1074" t="inlineStr">
        <is>
          <t>Damage % Bonus (Holy Symbol - Damage Boost)</t>
        </is>
      </c>
      <c r="B1074">
        <f>Skills!O12</f>
        <v/>
      </c>
    </row>
    <row r="1075">
      <c r="A1075" t="inlineStr">
        <is>
          <t>Crit Damage % Bonus (Blood of the Divine)</t>
        </is>
      </c>
      <c r="B1075">
        <f>4*IF(C1062=TRUE,F1062,0)</f>
        <v/>
      </c>
    </row>
    <row r="1076">
      <c r="A1076" t="inlineStr">
        <is>
          <t>Attack Speed Bonus %</t>
        </is>
      </c>
      <c r="B1076">
        <f>IF(C1059=TRUE,F1059+(F1063-Calc!F21),0)+IF(Inputs!$B$3&gt;=134,15,0)</f>
        <v/>
      </c>
    </row>
    <row r="1077">
      <c r="A1077" t="inlineStr">
        <is>
          <t>Actions Per Second</t>
        </is>
      </c>
      <c r="B1077">
        <f>1+MIN(150,150*(1-(1-Inputs!$B$12/150)*(1-B1076/150)))/100</f>
        <v/>
      </c>
    </row>
    <row r="1078">
      <c r="A1078" t="inlineStr">
        <is>
          <t>Skill + Buff Cast Rate</t>
        </is>
      </c>
      <c r="B1078">
        <f>IF(AND(Inputs!$B$39&lt;&gt;"pvp",Inputs!$B$44&gt;0),SUMPRODUCT((Skills!E2:E27=TRUE)*(C1044:C1069=TRUE)*R1044:R1069)/Inputs!$B$44,SUMPRODUCT((Skills!E2:E27=TRUE)*(C1044:C1069=TRUE)*Q1044:Q1069))</f>
        <v/>
      </c>
    </row>
    <row r="1079">
      <c r="A1079" t="inlineStr">
        <is>
          <t>Big Bang Casts Per Second</t>
        </is>
      </c>
      <c r="B1079">
        <f>MAX(0,B1077-B1078)</f>
        <v/>
      </c>
    </row>
    <row r="1080">
      <c r="A1080" t="inlineStr">
        <is>
          <t>Defense % Bonus (Divine Protection)</t>
        </is>
      </c>
      <c r="B1080">
        <f>IF(C1055=TRUE,F1055*IF(AND(Inputs!$B$39&lt;&gt;"pvp",Inputs!$B$44&gt;0),(((R1055-1)*(Skills!S13*(1+(Inputs!$B$35+IF(Inputs!$B$3&gt;=117,F1068,0))/100))+MIN((Skills!S13*(1+(Inputs!$B$35+IF(Inputs!$B$3&gt;=117,F1068,0))/100)),MAX(0,Inputs!$B$44-((R1055-1)*Skills!D13))))/Inputs!$B$44),IF(Inputs!$B$39="pvp",MIN((Skills!S13*(1+(Inputs!$B$35+IF(Inputs!$B$3&gt;=117,F1068,0))/100)),15)/15,(Skills!S13*(1+(Inputs!$B$35+IF(Inputs!$B$3&gt;=117,F1068,0))/100))/Skills!D13)),0)</f>
        <v/>
      </c>
    </row>
    <row r="1081">
      <c r="A1081" t="inlineStr">
        <is>
          <t>Buff-Casting Startup Delay (s, fixed-duration only)</t>
        </is>
      </c>
      <c r="B1081">
        <f>IF(AND(Inputs!$B$39&lt;&gt;"pvp",Inputs!$B$44&gt;0),SUMPRODUCT((Skills!S2:S27&gt;0)*(Skills!E2:E27=TRUE)*(C1044:C1069=TRUE))/B1077,0)</f>
        <v/>
      </c>
    </row>
    <row r="1082">
      <c r="A1082" s="5" t="inlineStr">
        <is>
          <t>TOTAL DPS</t>
        </is>
      </c>
      <c r="B1082" s="5">
        <f>SUM(O1044:O1069)</f>
        <v/>
      </c>
    </row>
    <row r="1084">
      <c r="A1084" s="5" t="inlineStr">
        <is>
          <t>Stat: Basic Attack Target Increase (flat)</t>
        </is>
      </c>
    </row>
    <row r="1085">
      <c r="A1085" s="9" t="inlineStr">
        <is>
          <t>Key</t>
        </is>
      </c>
      <c r="B1085" s="9" t="inlineStr">
        <is>
          <t>Name</t>
        </is>
      </c>
      <c r="C1085" s="9" t="inlineStr">
        <is>
          <t>Unlocked</t>
        </is>
      </c>
      <c r="D1085" s="9" t="inlineStr">
        <is>
          <t>InputLevel</t>
        </is>
      </c>
      <c r="E1085" s="9" t="inlineStr">
        <is>
          <t>Factor</t>
        </is>
      </c>
      <c r="F1085" s="9" t="inlineStr">
        <is>
          <t>CoefficientPercent</t>
        </is>
      </c>
      <c r="G1085" s="9" t="inlineStr">
        <is>
          <t>EffectiveHits</t>
        </is>
      </c>
      <c r="H1085" s="9" t="inlineStr">
        <is>
          <t>ProcProbability</t>
        </is>
      </c>
      <c r="I1085" s="9" t="inlineStr">
        <is>
          <t>MapleHeroMultiplier</t>
        </is>
      </c>
      <c r="J1085" s="9" t="inlineStr">
        <is>
          <t>BaseDamage</t>
        </is>
      </c>
      <c r="K1085" s="9" t="inlineStr">
        <is>
          <t>BaseHitDamage</t>
        </is>
      </c>
      <c r="L1085" s="9" t="inlineStr">
        <is>
          <t>NonCritAvg</t>
        </is>
      </c>
      <c r="M1085" s="9" t="inlineStr">
        <is>
          <t>CritAvg</t>
        </is>
      </c>
      <c r="N1085" s="9" t="inlineStr">
        <is>
          <t>ExpectedDamage(perHit)</t>
        </is>
      </c>
      <c r="O1085" s="9" t="inlineStr">
        <is>
          <t>DPS</t>
        </is>
      </c>
      <c r="P1085" s="9" t="inlineStr">
        <is>
          <t>% of Total</t>
        </is>
      </c>
      <c r="R1085" t="inlineStr">
        <is>
          <t>helpers</t>
        </is>
      </c>
    </row>
    <row r="1086">
      <c r="A1086">
        <f>Skills!A2</f>
        <v/>
      </c>
      <c r="B1086">
        <f>Skills!B2</f>
        <v/>
      </c>
      <c r="C1086">
        <f>Inputs!$B$3&gt;=100</f>
        <v/>
      </c>
      <c r="D1086" t="inlineStr"/>
      <c r="E1086" t="inlineStr"/>
      <c r="F1086">
        <f>T1088+Skills!N2</f>
        <v/>
      </c>
      <c r="G1086">
        <f>Calc!G2</f>
        <v/>
      </c>
      <c r="H1086">
        <f>Calc!H2</f>
        <v/>
      </c>
      <c r="I1086">
        <f>IF(Skills!T2&lt;&gt;"",1+(Skills!T2/10)*($Z$3/1000)/100,1)</f>
        <v/>
      </c>
      <c r="J1086">
        <f>((Inputs!$B$6*(1+Inputs!$B$7/100))+(((Inputs!$B$13*(1+Inputs!$B$14/100))-(Inputs!$B$13*(1+Inputs!$B$14/100)))+0.25*(Inputs!$B$15-Inputs!$B$15))*(1+Inputs!$B$7/100))*(F1086/100)</f>
        <v/>
      </c>
      <c r="K1086">
        <f>J1086*(1+(((Inputs!$B$13+IF(Inputs!$B$3&gt;=35,(10*INDEX(FactorTable!$B$2:$Y$301, MATCH(ROUND(MIN(300,MAX(1,Inputs!$B$3)),0), FactorTable!$A$2:$A$301,0), 23)/1000)/100*(Inputs!$B$8*(1+(Inputs!$B$9+B1122)/100)),0))*(1+Inputs!$B$14/100))*0.01+Inputs!$B$15*0.0025)/100)*(1+(Inputs!$B$16+B1116)/100)*(1+IF(Inputs!$B$39="pvp",0,(1-Summary!$B$48)*(Inputs!$B$21+Skills!O2+B1114)+Summary!$B$48*(Inputs!$B$22+Skills!P2+B1115))/100)*(1+Inputs!$B$17/100)*(5000/(6000+Inputs!$B$43*(1-Inputs!$B$20/100)))*(1+Inputs!$B$25/100)*(1+IF(C1102=TRUE,F1102,0)/100)*(1+IF(C1104=TRUE,F1104,0)/100)*(1+IF(Skills!A2="TRIUMPH_FEATHER",IF(C1100=TRUE,F1100,0),0)/100)*(1+IF(C1111=TRUE,F1111,0)/100)^5*(1+(IF(Skills!A2="BIG_BANG",Inputs!$B$18,Inputs!$B$19))/100)*(B1113*I1086)</f>
        <v/>
      </c>
      <c r="L1086">
        <f>K1086*(MIN(Inputs!$B$23+(F1106-Calc!F22),Inputs!$B$24)/100+Inputs!$B$24/100)/2</f>
        <v/>
      </c>
      <c r="M1086">
        <f>L1086*(1+(Inputs!$B$11+B1117+(F1109-Calc!F25))/100)</f>
        <v/>
      </c>
      <c r="N1086">
        <f>L1086*(1-MIN(Inputs!$B$10+((F1108-Calc!F24)+(F1107-Calc!F23)),100)/100)+M1086*(MIN(Inputs!$B$10+((F1108-Calc!F24)+(F1107-Calc!F23)),100)/100)</f>
        <v/>
      </c>
      <c r="O1086">
        <f>IF(C1086,Skills!F2*N1086*B1121*IF(Inputs!$B$39="pvp",1,(1-Summary!$B$48)*(1)+Summary!$B$48*(MIN((6+(Inputs!$B$34+1)),Inputs!$B$38))),0)</f>
        <v/>
      </c>
      <c r="P1086">
        <f>IF(B1124=0,0,O1086/B1124)</f>
        <v/>
      </c>
      <c r="Q1086">
        <f>IFERROR(1/IF(Inputs!$B$39="pvp",15,MAX(0.1,Skills!D2-IF(Skills!E2=TRUE,Inputs!$B$33,0))),0)</f>
        <v/>
      </c>
      <c r="R1086" t="n">
        <v>0</v>
      </c>
      <c r="T1086">
        <f>MAX(0,(Inputs!$B$3-100)*3)+Inputs!$B$29+Inputs!$B$30</f>
        <v/>
      </c>
    </row>
    <row r="1087">
      <c r="A1087">
        <f>Skills!A3</f>
        <v/>
      </c>
      <c r="B1087">
        <f>Skills!B3</f>
        <v/>
      </c>
      <c r="C1087">
        <f>Inputs!$B$3&gt;=15</f>
        <v/>
      </c>
      <c r="D1087">
        <f>IF(Skills!C3=1,60+Inputs!$B$26+Inputs!$B$30,IF(Skills!C3=2,90+Inputs!$B$27+Inputs!$B$30,IF(Skills!C3=3,120+Inputs!$B$28+Inputs!$B$30,MAX(0,(Inputs!$B$3-100)*3)+Inputs!$B$29+Inputs!$B$30)))</f>
        <v/>
      </c>
      <c r="E1087">
        <f>INDEX(FactorTable!$B$2:$Y$301, MATCH(ROUND(MIN(300,MAX(1,D1087)),0), FactorTable!$A$2:$A$301,0), Skills!L3+1)</f>
        <v/>
      </c>
      <c r="F1087">
        <f>IF(Skills!M3=TRUE,(Skills!K3/10)*(E1087/1000),Skills!K3/10)+Skills!N3</f>
        <v/>
      </c>
      <c r="G1087">
        <f>Calc!G3</f>
        <v/>
      </c>
      <c r="H1087">
        <f>Calc!H3</f>
        <v/>
      </c>
      <c r="I1087">
        <f>IF(Skills!T3&lt;&gt;"",1+(Skills!T3/10)*($Z$3/1000)/100,1)</f>
        <v/>
      </c>
      <c r="J1087" t="inlineStr"/>
      <c r="K1087" t="inlineStr"/>
      <c r="L1087" t="inlineStr"/>
      <c r="M1087" t="inlineStr"/>
      <c r="N1087" t="inlineStr"/>
      <c r="O1087" t="n">
        <v>0</v>
      </c>
      <c r="P1087">
        <f>IF(B1124=0,0,O1087/B1124)</f>
        <v/>
      </c>
      <c r="Q1087">
        <f>IFERROR(1/IF(Inputs!$B$39="pvp",15,MAX(0.1,Skills!D3-IF(Skills!E3=TRUE,Inputs!$B$33,0))),0)</f>
        <v/>
      </c>
      <c r="R1087">
        <f>IF(AND(Inputs!$B$39&lt;&gt;"pvp",Inputs!$B$44&gt;0),IF(Inputs!$B$44&lt;=0,0,(INT(Inputs!$B$44/IF(Inputs!$B$39="pvp",15,MAX(0.1,Skills!D3-IF(Skills!E3=TRUE,Inputs!$B$33,0))))+1)),0)</f>
        <v/>
      </c>
      <c r="T1087">
        <f>INDEX(FactorTable!$B$2:$Y$301, MATCH(ROUND(MIN(300,MAX(1,T1086)),0), FactorTable!$A$2:$A$301,0), 22)</f>
        <v/>
      </c>
    </row>
    <row r="1088">
      <c r="A1088">
        <f>Skills!A4</f>
        <v/>
      </c>
      <c r="B1088">
        <f>Skills!B4</f>
        <v/>
      </c>
      <c r="C1088">
        <f>Inputs!$B$3&gt;=38</f>
        <v/>
      </c>
      <c r="D1088">
        <f>IF(Skills!C4=1,60+Inputs!$B$26+Inputs!$B$30,IF(Skills!C4=2,90+Inputs!$B$27+Inputs!$B$30,IF(Skills!C4=3,120+Inputs!$B$28+Inputs!$B$30,MAX(0,(Inputs!$B$3-100)*3)+Inputs!$B$29+Inputs!$B$30)))</f>
        <v/>
      </c>
      <c r="E1088">
        <f>INDEX(FactorTable!$B$2:$Y$301, MATCH(ROUND(MIN(300,MAX(1,D1088)),0), FactorTable!$A$2:$A$301,0), Skills!L4+1)</f>
        <v/>
      </c>
      <c r="F1088">
        <f>IF(Skills!M4=TRUE,(Skills!K4/10)*(E1088/1000),Skills!K4/10)+Skills!N4</f>
        <v/>
      </c>
      <c r="G1088">
        <f>Calc!G4</f>
        <v/>
      </c>
      <c r="H1088">
        <f>Calc!H4</f>
        <v/>
      </c>
      <c r="I1088">
        <f>IF(Skills!T4&lt;&gt;"",1+(Skills!T4/10)*($Z$3/1000)/100,1)</f>
        <v/>
      </c>
      <c r="J1088" t="inlineStr"/>
      <c r="K1088" t="inlineStr"/>
      <c r="L1088" t="inlineStr"/>
      <c r="M1088" t="inlineStr"/>
      <c r="N1088" t="inlineStr"/>
      <c r="O1088" t="n">
        <v>0</v>
      </c>
      <c r="P1088">
        <f>IF(B1124=0,0,O1088/B1124)</f>
        <v/>
      </c>
      <c r="Q1088">
        <f>IFERROR(1/IF(Inputs!$B$39="pvp",15,MAX(0.1,Skills!D4-IF(Skills!E4=TRUE,Inputs!$B$33,0))),0)</f>
        <v/>
      </c>
      <c r="R1088">
        <f>IF(AND(Inputs!$B$39&lt;&gt;"pvp",Inputs!$B$44&gt;0),IF(Inputs!$B$44&lt;=0,0,(INT(Inputs!$B$44/IF(Inputs!$B$39="pvp",15,MAX(0.1,Skills!D4-IF(Skills!E4=TRUE,Inputs!$B$33,0))))+1)),0)</f>
        <v/>
      </c>
      <c r="T1088">
        <f>290*T1087/1000</f>
        <v/>
      </c>
    </row>
    <row r="1089">
      <c r="A1089">
        <f>Skills!A5</f>
        <v/>
      </c>
      <c r="B1089">
        <f>Skills!B5</f>
        <v/>
      </c>
      <c r="C1089">
        <f>Inputs!$B$3&gt;=40</f>
        <v/>
      </c>
      <c r="D1089">
        <f>IF(Skills!C5=1,60+Inputs!$B$26+Inputs!$B$30,IF(Skills!C5=2,90+Inputs!$B$27+Inputs!$B$30,IF(Skills!C5=3,120+Inputs!$B$28+Inputs!$B$30,MAX(0,(Inputs!$B$3-100)*3)+Inputs!$B$29+Inputs!$B$30)))</f>
        <v/>
      </c>
      <c r="E1089">
        <f>INDEX(FactorTable!$B$2:$Y$301, MATCH(ROUND(MIN(300,MAX(1,D1089)),0), FactorTable!$A$2:$A$301,0), Skills!L5+1)</f>
        <v/>
      </c>
      <c r="F1089">
        <f>IF(Skills!M5=TRUE,(Skills!K5/10)*(E1089/1000),Skills!K5/10)+Skills!N5</f>
        <v/>
      </c>
      <c r="G1089">
        <f>Calc!G5</f>
        <v/>
      </c>
      <c r="H1089">
        <f>Calc!H5</f>
        <v/>
      </c>
      <c r="I1089">
        <f>IF(Skills!T5&lt;&gt;"",1+(Skills!T5/10)*($Z$3/1000)/100,1)</f>
        <v/>
      </c>
      <c r="J1089" t="inlineStr"/>
      <c r="K1089" t="inlineStr"/>
      <c r="L1089" t="inlineStr"/>
      <c r="M1089" t="inlineStr"/>
      <c r="N1089" t="inlineStr"/>
      <c r="O1089" t="n">
        <v>0</v>
      </c>
      <c r="P1089">
        <f>IF(B1124=0,0,O1089/B1124)</f>
        <v/>
      </c>
      <c r="Q1089">
        <f>IFERROR(1/IF(Inputs!$B$39="pvp",15,MAX(0.1,Skills!D5-IF(Skills!E5=TRUE,Inputs!$B$33,0))),0)</f>
        <v/>
      </c>
      <c r="R1089">
        <f>IF(AND(Inputs!$B$39&lt;&gt;"pvp",Inputs!$B$44&gt;0),IF(Inputs!$B$44&lt;=0,0,(INT(Inputs!$B$44/IF(Inputs!$B$39="pvp",15,MAX(0.1,Skills!D5-IF(Skills!E5=TRUE,Inputs!$B$33,0))))+1)),0)</f>
        <v/>
      </c>
    </row>
    <row r="1090">
      <c r="A1090">
        <f>Skills!A6</f>
        <v/>
      </c>
      <c r="B1090">
        <f>Skills!B6</f>
        <v/>
      </c>
      <c r="C1090">
        <f>Inputs!$B$3&gt;=103</f>
        <v/>
      </c>
      <c r="D1090">
        <f>IF(Skills!C6=1,60+Inputs!$B$26+Inputs!$B$30,IF(Skills!C6=2,90+Inputs!$B$27+Inputs!$B$30,IF(Skills!C6=3,120+Inputs!$B$28+Inputs!$B$30,MAX(0,(Inputs!$B$3-100)*3)+Inputs!$B$29+Inputs!$B$30)))</f>
        <v/>
      </c>
      <c r="E1090">
        <f>INDEX(FactorTable!$B$2:$Y$301, MATCH(ROUND(MIN(300,MAX(1,D1090)),0), FactorTable!$A$2:$A$301,0), Skills!L6+1)</f>
        <v/>
      </c>
      <c r="F1090">
        <f>IF(Skills!M6=TRUE,(Skills!K6/10)*(E1090/1000),Skills!K6/10)+Skills!N6</f>
        <v/>
      </c>
      <c r="G1090">
        <f>Calc!G6</f>
        <v/>
      </c>
      <c r="H1090">
        <f>Calc!H6</f>
        <v/>
      </c>
      <c r="I1090">
        <f>IF(Skills!T6&lt;&gt;"",1+(Skills!T6/10)*($Z$3/1000)/100,1)</f>
        <v/>
      </c>
      <c r="J1090">
        <f>((Inputs!$B$6*(1+Inputs!$B$7/100))+(((Inputs!$B$13*(1+Inputs!$B$14/100))-(Inputs!$B$13*(1+Inputs!$B$14/100)))+0.25*(Inputs!$B$15-Inputs!$B$15))*(1+Inputs!$B$7/100))*(F1090/100)</f>
        <v/>
      </c>
      <c r="K1090">
        <f>J1090*(1+(((Inputs!$B$13+IF(Inputs!$B$3&gt;=35,(10*INDEX(FactorTable!$B$2:$Y$301, MATCH(ROUND(MIN(300,MAX(1,Inputs!$B$3)),0), FactorTable!$A$2:$A$301,0), 23)/1000)/100*(Inputs!$B$8*(1+(Inputs!$B$9+B1122)/100)),0))*(1+Inputs!$B$14/100))*0.01+Inputs!$B$15*0.0025)/100)*(1+(Inputs!$B$16+B1116)/100)*(1+IF(Inputs!$B$39="pvp",0,(1-Summary!$B$48)*(Inputs!$B$21+Skills!O6+B1114)+Summary!$B$48*(Inputs!$B$22+Skills!P6+B1115))/100)*(1+Inputs!$B$17/100)*(5000/(6000+Inputs!$B$43*(1-Inputs!$B$20/100)))*(1+Inputs!$B$25/100)*(1+IF(C1102=TRUE,F1102,0)/100)*(1+IF(C1104=TRUE,F1104,0)/100)*(1+IF(Skills!A6="TRIUMPH_FEATHER",IF(C1100=TRUE,F1100,0),0)/100)*(1+IF(C1111=TRUE,F1111,0)/100)^5*(1+(IF(Skills!A6="BIG_BANG",Inputs!$B$18,Inputs!$B$19))/100)*(B1113*I1090)</f>
        <v/>
      </c>
      <c r="L1090">
        <f>K1090*(MIN(Inputs!$B$23+(F1106-Calc!F22),Inputs!$B$24)/100+Inputs!$B$24/100)/2</f>
        <v/>
      </c>
      <c r="M1090">
        <f>L1090*(1+(Inputs!$B$11+B1117+(F1109-Calc!F25))/100)</f>
        <v/>
      </c>
      <c r="N1090">
        <f>L1090*(1-MIN(Inputs!$B$10+((F1108-Calc!F24)+(F1107-Calc!F23)),100)/100)+M1090*(MIN(Inputs!$B$10+((F1108-Calc!F24)+(F1107-Calc!F23)),100)/100)</f>
        <v/>
      </c>
      <c r="O1090">
        <f>IF(C1090,H1090*N1090*IF(AND(Inputs!$B$39&lt;&gt;"pvp",Inputs!$B$44&gt;0),((Skills!F6*((R1090-1)*IF(Skills!G6&gt;0,Skills!H6/Skills!G6,1)+IF(Skills!G6&gt;0,MIN(Skills!H6,MAX(0,MAX(0,Inputs!$B$44-B1123)-((R1090-1)*IF(Inputs!$B$39="pvp",15,MAX(0.1,Skills!D6-IF(Skills!E6=TRUE,Inputs!$B$33,0))))))/Skills!G6,1)))/Inputs!$B$44),G1090*Q1090)*IF(Inputs!$B$39="pvp",1,(1-Summary!$B$48)*(1)+Summary!$B$48*(MIN(Skills!Q6,Inputs!$B$38))),0)</f>
        <v/>
      </c>
      <c r="P1090">
        <f>IF(B1124=0,0,O1090/B1124)</f>
        <v/>
      </c>
      <c r="Q1090">
        <f>IFERROR(1/IF(Inputs!$B$39="pvp",15,MAX(0.1,Skills!D6-IF(Skills!E6=TRUE,Inputs!$B$33,0))),0)</f>
        <v/>
      </c>
      <c r="R1090">
        <f>IF(AND(Inputs!$B$39&lt;&gt;"pvp",Inputs!$B$44&gt;0),IF(MAX(0,Inputs!$B$44-B1123)&lt;=0,0,(INT(MAX(0,Inputs!$B$44-B1123)/IF(Inputs!$B$39="pvp",15,MAX(0.1,Skills!D6-IF(Skills!E6=TRUE,Inputs!$B$33,0))))+1)),0)</f>
        <v/>
      </c>
    </row>
    <row r="1091">
      <c r="A1091">
        <f>Skills!A7</f>
        <v/>
      </c>
      <c r="B1091">
        <f>Skills!B7</f>
        <v/>
      </c>
      <c r="C1091">
        <f>Inputs!$B$3&gt;=122</f>
        <v/>
      </c>
      <c r="D1091">
        <f>IF(Skills!C7=1,60+Inputs!$B$26+Inputs!$B$30,IF(Skills!C7=2,90+Inputs!$B$27+Inputs!$B$30,IF(Skills!C7=3,120+Inputs!$B$28+Inputs!$B$30,MAX(0,(Inputs!$B$3-100)*3)+Inputs!$B$29+Inputs!$B$30)))</f>
        <v/>
      </c>
      <c r="E1091">
        <f>INDEX(FactorTable!$B$2:$Y$301, MATCH(ROUND(MIN(300,MAX(1,D1091)),0), FactorTable!$A$2:$A$301,0), Skills!L7+1)</f>
        <v/>
      </c>
      <c r="F1091">
        <f>IF(Skills!M7=TRUE,(Skills!K7/10)*(E1091/1000),Skills!K7/10)+Skills!N7</f>
        <v/>
      </c>
      <c r="G1091">
        <f>Calc!G7</f>
        <v/>
      </c>
      <c r="H1091">
        <f>Calc!H7</f>
        <v/>
      </c>
      <c r="I1091">
        <f>IF(Skills!T7&lt;&gt;"",1+(Skills!T7/10)*($Z$3/1000)/100,1)</f>
        <v/>
      </c>
      <c r="J1091">
        <f>((Inputs!$B$6*(1+Inputs!$B$7/100))+(((Inputs!$B$13*(1+Inputs!$B$14/100))-(Inputs!$B$13*(1+Inputs!$B$14/100)))+0.25*(Inputs!$B$15-Inputs!$B$15))*(1+Inputs!$B$7/100))*(F1091/100)</f>
        <v/>
      </c>
      <c r="K1091">
        <f>J1091*(1+(((Inputs!$B$13+IF(Inputs!$B$3&gt;=35,(10*INDEX(FactorTable!$B$2:$Y$301, MATCH(ROUND(MIN(300,MAX(1,Inputs!$B$3)),0), FactorTable!$A$2:$A$301,0), 23)/1000)/100*(Inputs!$B$8*(1+(Inputs!$B$9+B1122)/100)),0))*(1+Inputs!$B$14/100))*0.01+Inputs!$B$15*0.0025)/100)*(1+(Inputs!$B$16+B1116)/100)*(1+IF(Inputs!$B$39="pvp",0,(1-Summary!$B$48)*(Inputs!$B$21+Skills!O7+B1114)+Summary!$B$48*(Inputs!$B$22+Skills!P7+B1115))/100)*(1+Inputs!$B$17/100)*(5000/(6000+Inputs!$B$43*(1-Inputs!$B$20/100)))*(1+Inputs!$B$25/100)*(1+IF(C1102=TRUE,F1102,0)/100)*(1+IF(C1104=TRUE,F1104,0)/100)*(1+IF(Skills!A7="TRIUMPH_FEATHER",IF(C1100=TRUE,F1100,0),0)/100)*(1+IF(C1111=TRUE,F1111,0)/100)^5*(1+(IF(Skills!A7="BIG_BANG",Inputs!$B$18,Inputs!$B$19))/100)*(B1113*I1091)</f>
        <v/>
      </c>
      <c r="L1091">
        <f>K1091*(MIN(Inputs!$B$23+(F1106-Calc!F22),Inputs!$B$24)/100+Inputs!$B$24/100)/2</f>
        <v/>
      </c>
      <c r="M1091">
        <f>L1091*(1+(Inputs!$B$11+B1117+(F1109-Calc!F25))/100)</f>
        <v/>
      </c>
      <c r="N1091">
        <f>L1091*(1-MIN(Inputs!$B$10+((F1108-Calc!F24)+(F1107-Calc!F23)),100)/100)+M1091*(MIN(Inputs!$B$10+((F1108-Calc!F24)+(F1107-Calc!F23)),100)/100)</f>
        <v/>
      </c>
      <c r="O1091">
        <f>IF(C1091,H1091*N1091*IF(AND(Inputs!$B$39&lt;&gt;"pvp",Inputs!$B$44&gt;0),((Skills!F7*((R1091-1)*IF(Skills!G7&gt;0,Skills!H7/Skills!G7,1)+IF(Skills!G7&gt;0,MIN(Skills!H7,MAX(0,MAX(0,Inputs!$B$44-B1123)-((R1091-1)*IF(Inputs!$B$39="pvp",15,MAX(0.1,Skills!D7-IF(Skills!E6=TRUE,Inputs!$B$33,0))))))/Skills!G7,1)))/Inputs!$B$44),G1091*Q1091)*(1-Summary!$B$48),0)</f>
        <v/>
      </c>
      <c r="P1091">
        <f>IF(B1124=0,0,O1091/B1124)</f>
        <v/>
      </c>
      <c r="Q1091">
        <f>IFERROR(1/IF(Inputs!$B$39="pvp",15,MAX(0.1,Skills!D7-IF(Skills!E6=TRUE,Inputs!$B$33,0))),0)</f>
        <v/>
      </c>
      <c r="R1091">
        <f>IF(AND(Inputs!$B$39&lt;&gt;"pvp",Inputs!$B$44&gt;0),IF(MAX(0,Inputs!$B$44-B1123)&lt;=0,0,(INT(MAX(0,Inputs!$B$44-B1123)/IF(Inputs!$B$39="pvp",15,MAX(0.1,Skills!D7-IF(Skills!E6=TRUE,Inputs!$B$33,0))))+1)),0)</f>
        <v/>
      </c>
    </row>
    <row r="1092">
      <c r="A1092">
        <f>Skills!A8</f>
        <v/>
      </c>
      <c r="B1092">
        <f>Skills!B8</f>
        <v/>
      </c>
      <c r="C1092">
        <f>Inputs!$B$3&gt;=105</f>
        <v/>
      </c>
      <c r="D1092">
        <f>IF(Skills!C8=1,60+Inputs!$B$26+Inputs!$B$30,IF(Skills!C8=2,90+Inputs!$B$27+Inputs!$B$30,IF(Skills!C8=3,120+Inputs!$B$28+Inputs!$B$30,MAX(0,(Inputs!$B$3-100)*3)+Inputs!$B$29+Inputs!$B$30)))</f>
        <v/>
      </c>
      <c r="E1092">
        <f>INDEX(FactorTable!$B$2:$Y$301, MATCH(ROUND(MIN(300,MAX(1,D1092)),0), FactorTable!$A$2:$A$301,0), Skills!L8+1)</f>
        <v/>
      </c>
      <c r="F1092">
        <f>IF(Skills!M8=TRUE,(Skills!K8/10)*(E1092/1000),Skills!K8/10)+Skills!N8</f>
        <v/>
      </c>
      <c r="G1092">
        <f>Calc!G8</f>
        <v/>
      </c>
      <c r="H1092">
        <f>Calc!H8</f>
        <v/>
      </c>
      <c r="I1092">
        <f>IF(Skills!T8&lt;&gt;"",1+(Skills!T8/10)*($Z$3/1000)/100,1)</f>
        <v/>
      </c>
      <c r="J1092">
        <f>((Inputs!$B$6*(1+Inputs!$B$7/100))+(((Inputs!$B$13*(1+Inputs!$B$14/100))-(Inputs!$B$13*(1+Inputs!$B$14/100)))+0.25*(Inputs!$B$15-Inputs!$B$15))*(1+Inputs!$B$7/100))*(F1092/100)</f>
        <v/>
      </c>
      <c r="K1092">
        <f>J1092*(1+(((Inputs!$B$13+IF(Inputs!$B$3&gt;=35,(10*INDEX(FactorTable!$B$2:$Y$301, MATCH(ROUND(MIN(300,MAX(1,Inputs!$B$3)),0), FactorTable!$A$2:$A$301,0), 23)/1000)/100*(Inputs!$B$8*(1+(Inputs!$B$9+B1122)/100)),0))*(1+Inputs!$B$14/100))*0.01+Inputs!$B$15*0.0025)/100)*(1+(Inputs!$B$16+B1116)/100)*(1+IF(Inputs!$B$39="pvp",0,(1-Summary!$B$48)*(Inputs!$B$21+Skills!O8+B1114)+Summary!$B$48*(Inputs!$B$22+Skills!P8+B1115))/100)*(1+Inputs!$B$17/100)*(5000/(6000+Inputs!$B$43*(1-Inputs!$B$20/100)))*(1+Inputs!$B$25/100)*(1+IF(C1102=TRUE,F1102,0)/100)*(1+IF(C1104=TRUE,F1104,0)/100)*(1+IF(Skills!A8="TRIUMPH_FEATHER",IF(C1100=TRUE,F1100,0),0)/100)*(1+IF(C1111=TRUE,F1111,0)/100)^5*(1+(IF(Skills!A8="BIG_BANG",Inputs!$B$18,Inputs!$B$19))/100)*(B1113*I1092)</f>
        <v/>
      </c>
      <c r="L1092">
        <f>K1092*(MIN(Inputs!$B$23+(F1106-Calc!F22),Inputs!$B$24)/100+Inputs!$B$24/100)/2</f>
        <v/>
      </c>
      <c r="M1092">
        <f>L1092*(1+(Inputs!$B$11+B1117+(F1109-Calc!F25))/100)</f>
        <v/>
      </c>
      <c r="N1092">
        <f>L1092*(1-MIN(Inputs!$B$10+((F1108-Calc!F24)+(F1107-Calc!F23)),100)/100)+M1092*(MIN(Inputs!$B$10+((F1108-Calc!F24)+(F1107-Calc!F23)),100)/100)</f>
        <v/>
      </c>
      <c r="O1092">
        <f>IF(C1092,H1092*N1092*IF(AND(Inputs!$B$39&lt;&gt;"pvp",Inputs!$B$44&gt;0),((Skills!F8*((R1092-1)*IF(Skills!G8&gt;0,Skills!H8/Skills!G8,1)+IF(Skills!G8&gt;0,MIN(Skills!H8,MAX(0,MAX(0,Inputs!$B$44-B1123)-((R1092-1)*IF(Inputs!$B$39="pvp",15,MAX(0.1,Skills!D8-IF(Skills!E8=TRUE,Inputs!$B$33,0))))))/Skills!G8,1)))/Inputs!$B$44),G1092*Q1092)*IF(Inputs!$B$39="pvp",1,(1-Summary!$B$48)*(1)+Summary!$B$48*(MIN(Skills!Q8,Inputs!$B$38))),0)</f>
        <v/>
      </c>
      <c r="P1092">
        <f>IF(B1124=0,0,O1092/B1124)</f>
        <v/>
      </c>
      <c r="Q1092">
        <f>IFERROR(1/IF(Inputs!$B$39="pvp",15,MAX(0.1,Skills!D8-IF(Skills!E8=TRUE,Inputs!$B$33,0))),0)</f>
        <v/>
      </c>
      <c r="R1092">
        <f>IF(AND(Inputs!$B$39&lt;&gt;"pvp",Inputs!$B$44&gt;0),IF(MAX(0,Inputs!$B$44-B1123)&lt;=0,0,(INT(MAX(0,Inputs!$B$44-B1123)/IF(Inputs!$B$39="pvp",15,MAX(0.1,Skills!D8-IF(Skills!E8=TRUE,Inputs!$B$33,0))))+1)),0)</f>
        <v/>
      </c>
    </row>
    <row r="1093">
      <c r="A1093">
        <f>Skills!A9</f>
        <v/>
      </c>
      <c r="B1093">
        <f>Skills!B9</f>
        <v/>
      </c>
      <c r="C1093">
        <f>Inputs!$B$3&gt;=115</f>
        <v/>
      </c>
      <c r="D1093">
        <f>IF(Skills!C9=1,60+Inputs!$B$26+Inputs!$B$30,IF(Skills!C9=2,90+Inputs!$B$27+Inputs!$B$30,IF(Skills!C9=3,120+Inputs!$B$28+Inputs!$B$30,MAX(0,(Inputs!$B$3-100)*3)+Inputs!$B$29+Inputs!$B$30)))</f>
        <v/>
      </c>
      <c r="E1093">
        <f>INDEX(FactorTable!$B$2:$Y$301, MATCH(ROUND(MIN(300,MAX(1,D1093)),0), FactorTable!$A$2:$A$301,0), Skills!L9+1)</f>
        <v/>
      </c>
      <c r="F1093">
        <f>IF(Skills!M9=TRUE,(Skills!K9/10)*(E1093/1000),Skills!K9/10)+Skills!N9</f>
        <v/>
      </c>
      <c r="G1093">
        <f>Calc!G9</f>
        <v/>
      </c>
      <c r="H1093">
        <f>Calc!H9</f>
        <v/>
      </c>
      <c r="I1093">
        <f>IF(Skills!T9&lt;&gt;"",1+(Skills!T9/10)*($Z$3/1000)/100,1)</f>
        <v/>
      </c>
      <c r="J1093">
        <f>((Inputs!$B$6*(1+Inputs!$B$7/100))+(((Inputs!$B$13*(1+Inputs!$B$14/100))-(Inputs!$B$13*(1+Inputs!$B$14/100)))+0.25*(Inputs!$B$15-Inputs!$B$15))*(1+Inputs!$B$7/100))*(F1093/100)</f>
        <v/>
      </c>
      <c r="K1093">
        <f>J1093*(1+(((Inputs!$B$13+IF(Inputs!$B$3&gt;=35,(10*INDEX(FactorTable!$B$2:$Y$301, MATCH(ROUND(MIN(300,MAX(1,Inputs!$B$3)),0), FactorTable!$A$2:$A$301,0), 23)/1000)/100*(Inputs!$B$8*(1+(Inputs!$B$9+B1122)/100)),0))*(1+Inputs!$B$14/100))*0.01+Inputs!$B$15*0.0025)/100)*(1+(Inputs!$B$16+B1116)/100)*(1+IF(Inputs!$B$39="pvp",0,(1-Summary!$B$48)*(Inputs!$B$21+Skills!O9+B1114)+Summary!$B$48*(Inputs!$B$22+Skills!P9+B1115))/100)*(1+Inputs!$B$17/100)*(5000/(6000+Inputs!$B$43*(1-Inputs!$B$20/100)))*(1+Inputs!$B$25/100)*(1+IF(C1102=TRUE,F1102,0)/100)*(1+IF(C1104=TRUE,F1104,0)/100)*(1+IF(Skills!A9="TRIUMPH_FEATHER",IF(C1100=TRUE,F1100,0),0)/100)*(1+IF(C1111=TRUE,F1111,0)/100)^5*(1+(IF(Skills!A9="BIG_BANG",Inputs!$B$18,Inputs!$B$19))/100)*(B1113*I1093)</f>
        <v/>
      </c>
      <c r="L1093">
        <f>K1093*(MIN(Inputs!$B$23+(F1106-Calc!F22),Inputs!$B$24)/100+Inputs!$B$24/100)/2</f>
        <v/>
      </c>
      <c r="M1093">
        <f>L1093*(1+(Inputs!$B$11+B1117+(F1109-Calc!F25))/100)</f>
        <v/>
      </c>
      <c r="N1093">
        <f>L1093*(1-MIN(Inputs!$B$10+((F1108-Calc!F24)+(F1107-Calc!F23)),100)/100)+M1093*(MIN(Inputs!$B$10+((F1108-Calc!F24)+(F1107-Calc!F23)),100)/100)</f>
        <v/>
      </c>
      <c r="O1093">
        <f>IF(C1093,H1093*N1093*IF(AND(Inputs!$B$39&lt;&gt;"pvp",Inputs!$B$44&gt;0),((Skills!F9*((R1093-1)*IF(Skills!G9&gt;0,Skills!H9/Skills!G9,1)+IF(Skills!G9&gt;0,MIN(Skills!H9,MAX(0,MAX(0,Inputs!$B$44-B1123)-((R1093-1)*IF(Inputs!$B$39="pvp",15,MAX(0.1,Skills!D9-IF(Skills!E9=TRUE,Inputs!$B$33,0))))))/Skills!G9,1)))/Inputs!$B$44),G1093*Q1093)*IF(Inputs!$B$39="pvp",1,(1-Summary!$B$48)*(1)+Summary!$B$48*(MIN(Skills!Q9,Inputs!$B$38))),0)</f>
        <v/>
      </c>
      <c r="P1093">
        <f>IF(B1124=0,0,O1093/B1124)</f>
        <v/>
      </c>
      <c r="Q1093">
        <f>IFERROR(1/IF(Inputs!$B$39="pvp",15,MAX(0.1,Skills!D9-IF(Skills!E9=TRUE,Inputs!$B$33,0))),0)</f>
        <v/>
      </c>
      <c r="R1093">
        <f>IF(AND(Inputs!$B$39&lt;&gt;"pvp",Inputs!$B$44&gt;0),IF(MAX(0,Inputs!$B$44-B1123)&lt;=0,0,(INT(MAX(0,Inputs!$B$44-B1123)/IF(Inputs!$B$39="pvp",15,MAX(0.1,Skills!D9-IF(Skills!E9=TRUE,Inputs!$B$33,0))))+1)),0)</f>
        <v/>
      </c>
    </row>
    <row r="1094">
      <c r="A1094">
        <f>Skills!A10</f>
        <v/>
      </c>
      <c r="B1094">
        <f>Skills!B10</f>
        <v/>
      </c>
      <c r="C1094">
        <f>Inputs!$B$3&gt;=66</f>
        <v/>
      </c>
      <c r="D1094">
        <f>IF(Skills!C10=1,60+Inputs!$B$26+Inputs!$B$30,IF(Skills!C10=2,90+Inputs!$B$27+Inputs!$B$30,IF(Skills!C10=3,120+Inputs!$B$28+Inputs!$B$30,MAX(0,(Inputs!$B$3-100)*3)+Inputs!$B$29+Inputs!$B$30)))</f>
        <v/>
      </c>
      <c r="E1094">
        <f>INDEX(FactorTable!$B$2:$Y$301, MATCH(ROUND(MIN(300,MAX(1,D1094)),0), FactorTable!$A$2:$A$301,0), Skills!L10+1)</f>
        <v/>
      </c>
      <c r="F1094" t="n">
        <v>0</v>
      </c>
      <c r="G1094">
        <f>Calc!G10</f>
        <v/>
      </c>
      <c r="H1094">
        <f>Calc!H10</f>
        <v/>
      </c>
      <c r="I1094">
        <f>IF(Skills!T10&lt;&gt;"",1+(Skills!T10/10)*($Z$3/1000)/100,1)</f>
        <v/>
      </c>
      <c r="J1094" t="inlineStr"/>
      <c r="K1094" t="inlineStr"/>
      <c r="L1094" t="inlineStr"/>
      <c r="M1094" t="inlineStr"/>
      <c r="N1094" t="inlineStr"/>
      <c r="O1094" t="n">
        <v>0</v>
      </c>
      <c r="P1094">
        <f>IF(B1124=0,0,O1094/B1124)</f>
        <v/>
      </c>
      <c r="Q1094">
        <f>IFERROR(1/IF(Inputs!$B$39="pvp",15,MAX(0.1,Skills!D10-IF(Skills!E10=TRUE,Inputs!$B$33,0))),0)</f>
        <v/>
      </c>
      <c r="R1094">
        <f>IF(AND(Inputs!$B$39&lt;&gt;"pvp",Inputs!$B$44&gt;0),IF(MAX(0,Inputs!$B$44-B1123)&lt;=0,0,(INT(MAX(0,Inputs!$B$44-B1123)/IF(Inputs!$B$39="pvp",15,MAX(0.1,Skills!D10-IF(Skills!E10=TRUE,Inputs!$B$33,0))))+1)),0)</f>
        <v/>
      </c>
    </row>
    <row r="1095">
      <c r="A1095">
        <f>Skills!A11</f>
        <v/>
      </c>
      <c r="B1095">
        <f>Skills!B11</f>
        <v/>
      </c>
      <c r="C1095">
        <f>Inputs!$B$3&gt;=69</f>
        <v/>
      </c>
      <c r="D1095">
        <f>IF(Skills!C11=1,60+Inputs!$B$26+Inputs!$B$30,IF(Skills!C11=2,90+Inputs!$B$27+Inputs!$B$30,IF(Skills!C11=3,120+Inputs!$B$28+Inputs!$B$30,MAX(0,(Inputs!$B$3-100)*3)+Inputs!$B$29+Inputs!$B$30)))</f>
        <v/>
      </c>
      <c r="E1095">
        <f>INDEX(FactorTable!$B$2:$Y$301, MATCH(ROUND(MIN(300,MAX(1,D1095)),0), FactorTable!$A$2:$A$301,0), Skills!L11+1)</f>
        <v/>
      </c>
      <c r="F1095">
        <f>IF(Skills!M11=TRUE,(Skills!K11/10)*(E1095/1000),Skills!K11/10)+Skills!N11</f>
        <v/>
      </c>
      <c r="G1095">
        <f>Calc!G11</f>
        <v/>
      </c>
      <c r="H1095">
        <f>Calc!H11</f>
        <v/>
      </c>
      <c r="I1095">
        <f>IF(Skills!T11&lt;&gt;"",1+(Skills!T11/10)*($Z$3/1000)/100,1)</f>
        <v/>
      </c>
      <c r="J1095" t="inlineStr"/>
      <c r="K1095" t="inlineStr"/>
      <c r="L1095" t="inlineStr"/>
      <c r="M1095" t="inlineStr"/>
      <c r="N1095" t="inlineStr"/>
      <c r="O1095" t="n">
        <v>0</v>
      </c>
      <c r="P1095">
        <f>IF(B1124=0,0,O1095/B1124)</f>
        <v/>
      </c>
      <c r="Q1095">
        <f>IFERROR(1/IF(Inputs!$B$39="pvp",15,MAX(0.1,Skills!D11-IF(Skills!E11=TRUE,Inputs!$B$33,0))),0)</f>
        <v/>
      </c>
      <c r="R1095">
        <f>IF(AND(Inputs!$B$39&lt;&gt;"pvp",Inputs!$B$44&gt;0),IF(Inputs!$B$44&lt;=0,0,(INT(Inputs!$B$44/IF(Inputs!$B$39="pvp",15,MAX(0.1,Skills!D11-IF(Skills!E11=TRUE,Inputs!$B$33,0))))+1)),0)</f>
        <v/>
      </c>
    </row>
    <row r="1096">
      <c r="A1096">
        <f>Skills!A12</f>
        <v/>
      </c>
      <c r="B1096">
        <f>Skills!B12</f>
        <v/>
      </c>
      <c r="C1096">
        <f>Inputs!$B$3&gt;=72</f>
        <v/>
      </c>
      <c r="D1096">
        <f>IF(Skills!C12=1,60+Inputs!$B$26+Inputs!$B$30,IF(Skills!C12=2,90+Inputs!$B$27+Inputs!$B$30,IF(Skills!C12=3,120+Inputs!$B$28+Inputs!$B$30,MAX(0,(Inputs!$B$3-100)*3)+Inputs!$B$29+Inputs!$B$30)))</f>
        <v/>
      </c>
      <c r="E1096">
        <f>INDEX(FactorTable!$B$2:$Y$301, MATCH(ROUND(MIN(300,MAX(1,D1096)),0), FactorTable!$A$2:$A$301,0), Skills!L12+1)</f>
        <v/>
      </c>
      <c r="F1096">
        <f>IF(Skills!M12=TRUE,(Skills!K12/10)*(E1096/1000),Skills!K12/10)+Skills!N12</f>
        <v/>
      </c>
      <c r="G1096">
        <f>Calc!G12</f>
        <v/>
      </c>
      <c r="H1096">
        <f>Calc!H12</f>
        <v/>
      </c>
      <c r="I1096">
        <f>IF(Skills!T12&lt;&gt;"",1+(Skills!T12/10)*($Z$3/1000)/100,1)</f>
        <v/>
      </c>
      <c r="J1096" t="inlineStr"/>
      <c r="K1096" t="inlineStr"/>
      <c r="L1096" t="inlineStr"/>
      <c r="M1096" t="inlineStr"/>
      <c r="N1096" t="inlineStr"/>
      <c r="O1096" t="n">
        <v>0</v>
      </c>
      <c r="P1096">
        <f>IF(B1124=0,0,O1096/B1124)</f>
        <v/>
      </c>
      <c r="Q1096">
        <f>IFERROR(1/IF(Inputs!$B$39="pvp",15,MAX(0.1,Skills!D12-IF(Skills!E12=TRUE,Inputs!$B$33,0))),0)</f>
        <v/>
      </c>
      <c r="R1096">
        <f>IF(AND(Inputs!$B$39&lt;&gt;"pvp",Inputs!$B$44&gt;0),IF(MAX(0,Inputs!$B$44-B1123)&lt;=0,0,(INT(MAX(0,Inputs!$B$44-B1123)/IF(Inputs!$B$39="pvp",15,MAX(0.1,Skills!D12-IF(Skills!E12=TRUE,Inputs!$B$33,0))))+1)),0)</f>
        <v/>
      </c>
    </row>
    <row r="1097">
      <c r="A1097">
        <f>Skills!A13</f>
        <v/>
      </c>
      <c r="B1097">
        <f>Skills!B13</f>
        <v/>
      </c>
      <c r="C1097">
        <f>Inputs!$B$3&gt;=60</f>
        <v/>
      </c>
      <c r="D1097">
        <f>IF(Skills!C13=1,60+Inputs!$B$26+Inputs!$B$30,IF(Skills!C13=2,90+Inputs!$B$27+Inputs!$B$30,IF(Skills!C13=3,120+Inputs!$B$28+Inputs!$B$30,MAX(0,(Inputs!$B$3-100)*3)+Inputs!$B$29+Inputs!$B$30)))</f>
        <v/>
      </c>
      <c r="E1097">
        <f>INDEX(FactorTable!$B$2:$Y$301, MATCH(ROUND(MIN(300,MAX(1,D1097)),0), FactorTable!$A$2:$A$301,0), Skills!L13+1)</f>
        <v/>
      </c>
      <c r="F1097">
        <f>IF(Skills!M13=TRUE,(Skills!K13/10)*(E1097/1000),Skills!K13/10)+Skills!N13</f>
        <v/>
      </c>
      <c r="G1097">
        <f>Calc!G13</f>
        <v/>
      </c>
      <c r="H1097">
        <f>Calc!H13</f>
        <v/>
      </c>
      <c r="I1097">
        <f>IF(Skills!T13&lt;&gt;"",1+(Skills!T13/10)*($Z$3/1000)/100,1)</f>
        <v/>
      </c>
      <c r="J1097" t="inlineStr"/>
      <c r="K1097" t="inlineStr"/>
      <c r="L1097" t="inlineStr"/>
      <c r="M1097" t="inlineStr"/>
      <c r="N1097" t="inlineStr"/>
      <c r="O1097" t="n">
        <v>0</v>
      </c>
      <c r="P1097">
        <f>IF(B1124=0,0,O1097/B1124)</f>
        <v/>
      </c>
      <c r="Q1097">
        <f>IFERROR(1/IF(Inputs!$B$39="pvp",15,MAX(0.1,Skills!D13-IF(Skills!E13=TRUE,Inputs!$B$33,0))),0)</f>
        <v/>
      </c>
      <c r="R1097">
        <f>IF(AND(Inputs!$B$39&lt;&gt;"pvp",Inputs!$B$44&gt;0),IF(MAX(0,Inputs!$B$44-B1123)&lt;=0,0,(INT(MAX(0,Inputs!$B$44-B1123)/IF(Inputs!$B$39="pvp",15,MAX(0.1,Skills!D13-IF(Skills!E13=TRUE,Inputs!$B$33,0))))+1)),0)</f>
        <v/>
      </c>
    </row>
    <row r="1098">
      <c r="A1098">
        <f>Skills!A14</f>
        <v/>
      </c>
      <c r="B1098">
        <f>Skills!B14</f>
        <v/>
      </c>
      <c r="C1098">
        <f>Inputs!$B$3&gt;=107</f>
        <v/>
      </c>
      <c r="D1098">
        <f>IF(Skills!C14=1,60+Inputs!$B$26+Inputs!$B$30,IF(Skills!C14=2,90+Inputs!$B$27+Inputs!$B$30,IF(Skills!C14=3,120+Inputs!$B$28+Inputs!$B$30,MAX(0,(Inputs!$B$3-100)*3)+Inputs!$B$29+Inputs!$B$30)))</f>
        <v/>
      </c>
      <c r="E1098">
        <f>INDEX(FactorTable!$B$2:$Y$301, MATCH(ROUND(MIN(300,MAX(1,D1098)),0), FactorTable!$A$2:$A$301,0), Skills!L14+1)</f>
        <v/>
      </c>
      <c r="F1098">
        <f>IF(Skills!M14=TRUE,(Skills!K14/10)*(E1098/1000),Skills!K14/10)+Skills!N14</f>
        <v/>
      </c>
      <c r="G1098">
        <f>Calc!G14</f>
        <v/>
      </c>
      <c r="H1098">
        <f>Calc!H14</f>
        <v/>
      </c>
      <c r="I1098">
        <f>IF(Skills!T14&lt;&gt;"",1+(Skills!T14/10)*($Z$3/1000)/100,1)</f>
        <v/>
      </c>
      <c r="J1098" t="inlineStr"/>
      <c r="K1098" t="inlineStr"/>
      <c r="L1098" t="inlineStr"/>
      <c r="M1098" t="inlineStr"/>
      <c r="N1098" t="inlineStr"/>
      <c r="O1098" t="n">
        <v>0</v>
      </c>
      <c r="P1098">
        <f>IF(B1124=0,0,O1098/B1124)</f>
        <v/>
      </c>
      <c r="Q1098">
        <f>IFERROR(1/IF(Inputs!$B$39="pvp",15,MAX(0.1,Skills!D14-IF(Skills!E14=TRUE,Inputs!$B$33,0))),0)</f>
        <v/>
      </c>
      <c r="R1098">
        <f>IF(AND(Inputs!$B$39&lt;&gt;"pvp",Inputs!$B$44&gt;0),IF(Inputs!$B$44&lt;=0,0,(INT(Inputs!$B$44/IF(Inputs!$B$39="pvp",15,MAX(0.1,Skills!D14-IF(Skills!E14=TRUE,Inputs!$B$33,0))))+1)),0)</f>
        <v/>
      </c>
    </row>
    <row r="1099">
      <c r="A1099">
        <f>Skills!A15</f>
        <v/>
      </c>
      <c r="B1099">
        <f>Skills!B15</f>
        <v/>
      </c>
      <c r="C1099">
        <f>Inputs!$B$3&gt;=63</f>
        <v/>
      </c>
      <c r="D1099">
        <f>IF(Skills!C15=1,60+Inputs!$B$26+Inputs!$B$30,IF(Skills!C15=2,90+Inputs!$B$27+Inputs!$B$30,IF(Skills!C15=3,120+Inputs!$B$28+Inputs!$B$30,MAX(0,(Inputs!$B$3-100)*3)+Inputs!$B$29+Inputs!$B$30)))</f>
        <v/>
      </c>
      <c r="E1099">
        <f>INDEX(FactorTable!$B$2:$Y$301, MATCH(ROUND(MIN(300,MAX(1,D1099)),0), FactorTable!$A$2:$A$301,0), Skills!L15+1)</f>
        <v/>
      </c>
      <c r="F1099">
        <f>IF(Skills!M15=TRUE,(Skills!K15/10)*(E1099/1000),Skills!K15/10)+Skills!N15</f>
        <v/>
      </c>
      <c r="G1099">
        <f>Calc!G15</f>
        <v/>
      </c>
      <c r="H1099">
        <f>Calc!H15</f>
        <v/>
      </c>
      <c r="I1099">
        <f>IF(Skills!T15&lt;&gt;"",1+(Skills!T15/10)*($Z$3/1000)/100,1)</f>
        <v/>
      </c>
      <c r="J1099">
        <f>((Inputs!$B$6*(1+Inputs!$B$7/100))+(((Inputs!$B$13*(1+Inputs!$B$14/100))-(Inputs!$B$13*(1+Inputs!$B$14/100)))+0.25*(Inputs!$B$15-Inputs!$B$15))*(1+Inputs!$B$7/100))*(F1099/100)</f>
        <v/>
      </c>
      <c r="K1099">
        <f>J1099*(1+(((Inputs!$B$13+IF(Inputs!$B$3&gt;=35,(10*INDEX(FactorTable!$B$2:$Y$301, MATCH(ROUND(MIN(300,MAX(1,Inputs!$B$3)),0), FactorTable!$A$2:$A$301,0), 23)/1000)/100*(Inputs!$B$8*(1+(Inputs!$B$9+B1122)/100)),0))*(1+Inputs!$B$14/100))*0.01+Inputs!$B$15*0.0025)/100)*(1+(Inputs!$B$16+B1116)/100)*(1+IF(Inputs!$B$39="pvp",0,(1-Summary!$B$48)*(Inputs!$B$21+Skills!O15+B1114)+Summary!$B$48*(Inputs!$B$22+Skills!P15+B1115))/100)*(1+Inputs!$B$17/100)*(5000/(6000+Inputs!$B$43*(1-Inputs!$B$20/100)))*(1+Inputs!$B$25/100)*(1+IF(C1102=TRUE,F1102,0)/100)*(1+IF(C1104=TRUE,F1104,0)/100)*(1+IF(Skills!A15="TRIUMPH_FEATHER",IF(C1100=TRUE,F1100,0),0)/100)*(1+IF(C1111=TRUE,F1111,0)/100)^5*(1+(IF(Skills!A15="BIG_BANG",Inputs!$B$18,Inputs!$B$19))/100)*(B1113*I1099)</f>
        <v/>
      </c>
      <c r="L1099">
        <f>K1099*(MIN(Inputs!$B$23+(F1106-Calc!F22),Inputs!$B$24)/100+Inputs!$B$24/100)/2</f>
        <v/>
      </c>
      <c r="M1099">
        <f>L1099*(1+(Inputs!$B$11+B1117+(F1109-Calc!F25))/100)</f>
        <v/>
      </c>
      <c r="N1099">
        <f>L1099*(1-MIN(Inputs!$B$10+((F1108-Calc!F24)+(F1107-Calc!F23)),100)/100)+M1099*(MIN(Inputs!$B$10+((F1108-Calc!F24)+(F1107-Calc!F23)),100)/100)</f>
        <v/>
      </c>
      <c r="O1099">
        <f>IF(C1099,Skills!F15*N1099*((IF(Inputs!$B$3&gt;=78,25,15)/100*B1119*10)/(1+IF(Inputs!$B$3&gt;=78,25,15)/100*B1119*10))*(Skills!I15/100*B1119)/(1+Skills!G15*Skills!I15/100*B1119)*IF(Inputs!$B$39="pvp",1,(1-Summary!$B$48)*(1)+Summary!$B$48*(MIN(Skills!Q15,Inputs!$B$38))),0)</f>
        <v/>
      </c>
      <c r="P1099">
        <f>IF(B1124=0,0,O1099/B1124)</f>
        <v/>
      </c>
      <c r="Q1099">
        <f>IFERROR(1/IF(Inputs!$B$39="pvp",15,MAX(0.1,Skills!D15-IF(Skills!E15=TRUE,Inputs!$B$33,0))),0)</f>
        <v/>
      </c>
      <c r="R1099" t="n">
        <v>0</v>
      </c>
    </row>
    <row r="1100">
      <c r="A1100">
        <f>Skills!A16</f>
        <v/>
      </c>
      <c r="B1100">
        <f>Skills!B16</f>
        <v/>
      </c>
      <c r="C1100">
        <f>Inputs!$B$3&gt;=100</f>
        <v/>
      </c>
      <c r="D1100">
        <f>IF(Skills!C16=1,60+Inputs!$B$26+Inputs!$B$30,IF(Skills!C16=2,90+Inputs!$B$27+Inputs!$B$30,IF(Skills!C16=3,120+Inputs!$B$28+Inputs!$B$30,MAX(0,(Inputs!$B$3-100)*3)+Inputs!$B$29+Inputs!$B$30)))</f>
        <v/>
      </c>
      <c r="E1100">
        <f>INDEX(FactorTable!$B$2:$Y$301, MATCH(ROUND(MIN(300,MAX(1,D1100)),0), FactorTable!$A$2:$A$301,0), Skills!L16+1)</f>
        <v/>
      </c>
      <c r="F1100">
        <f>IF(Skills!M16=TRUE,(Skills!K16/10)*(E1100/1000),Skills!K16/10)+Skills!N16</f>
        <v/>
      </c>
      <c r="G1100">
        <f>Calc!G16</f>
        <v/>
      </c>
      <c r="H1100">
        <f>Calc!H16</f>
        <v/>
      </c>
      <c r="I1100">
        <f>IF(Skills!T16&lt;&gt;"",1+(Skills!T16/10)*($Z$3/1000)/100,1)</f>
        <v/>
      </c>
      <c r="J1100" t="inlineStr"/>
      <c r="K1100" t="inlineStr"/>
      <c r="L1100" t="inlineStr"/>
      <c r="M1100" t="inlineStr"/>
      <c r="N1100" t="inlineStr"/>
      <c r="O1100" t="n">
        <v>0</v>
      </c>
      <c r="P1100">
        <f>IF(B1124=0,0,O1100/B1124)</f>
        <v/>
      </c>
      <c r="Q1100">
        <f>IFERROR(1/IF(Inputs!$B$39="pvp",15,MAX(0.1,Skills!D16-IF(Skills!E16=TRUE,Inputs!$B$33,0))),0)</f>
        <v/>
      </c>
      <c r="R1100" t="n">
        <v>0</v>
      </c>
    </row>
    <row r="1101">
      <c r="A1101">
        <f>Skills!A17</f>
        <v/>
      </c>
      <c r="B1101">
        <f>Skills!B17</f>
        <v/>
      </c>
      <c r="C1101">
        <f>Inputs!$B$3&gt;=49</f>
        <v/>
      </c>
      <c r="D1101">
        <f>IF(Skills!C17=1,60+Inputs!$B$26+Inputs!$B$30,IF(Skills!C17=2,90+Inputs!$B$27+Inputs!$B$30,IF(Skills!C17=3,120+Inputs!$B$28+Inputs!$B$30,MAX(0,(Inputs!$B$3-100)*3)+Inputs!$B$29+Inputs!$B$30)))</f>
        <v/>
      </c>
      <c r="E1101">
        <f>INDEX(FactorTable!$B$2:$Y$301, MATCH(ROUND(MIN(300,MAX(1,D1101)),0), FactorTable!$A$2:$A$301,0), Skills!L17+1)</f>
        <v/>
      </c>
      <c r="F1101">
        <f>IF(Skills!M17=TRUE,(Skills!K17/10)*(E1101/1000),Skills!K17/10)+Skills!N17</f>
        <v/>
      </c>
      <c r="G1101">
        <f>Calc!G17</f>
        <v/>
      </c>
      <c r="H1101">
        <f>Calc!H17</f>
        <v/>
      </c>
      <c r="I1101">
        <f>IF(Skills!T17&lt;&gt;"",1+(Skills!T17/10)*($Z$3/1000)/100,1)</f>
        <v/>
      </c>
      <c r="J1101" t="inlineStr"/>
      <c r="K1101" t="inlineStr"/>
      <c r="L1101" t="inlineStr"/>
      <c r="M1101" t="inlineStr"/>
      <c r="N1101" t="inlineStr"/>
      <c r="O1101" t="n">
        <v>0</v>
      </c>
      <c r="P1101">
        <f>IF(B1124=0,0,O1101/B1124)</f>
        <v/>
      </c>
      <c r="Q1101">
        <f>IFERROR(1/IF(Inputs!$B$39="pvp",15,MAX(0.1,Skills!D17-IF(Skills!E17=TRUE,Inputs!$B$33,0))),0)</f>
        <v/>
      </c>
      <c r="R1101" t="n">
        <v>0</v>
      </c>
    </row>
    <row r="1102">
      <c r="A1102">
        <f>Skills!A18</f>
        <v/>
      </c>
      <c r="B1102">
        <f>Skills!B18</f>
        <v/>
      </c>
      <c r="C1102">
        <f>Inputs!$B$3&gt;=75</f>
        <v/>
      </c>
      <c r="D1102">
        <f>IF(Skills!C18=1,60+Inputs!$B$26+Inputs!$B$30,IF(Skills!C18=2,90+Inputs!$B$27+Inputs!$B$30,IF(Skills!C18=3,120+Inputs!$B$28+Inputs!$B$30,MAX(0,(Inputs!$B$3-100)*3)+Inputs!$B$29+Inputs!$B$30)))</f>
        <v/>
      </c>
      <c r="E1102">
        <f>INDEX(FactorTable!$B$2:$Y$301, MATCH(ROUND(MIN(300,MAX(1,D1102)),0), FactorTable!$A$2:$A$301,0), Skills!L18+1)</f>
        <v/>
      </c>
      <c r="F1102">
        <f>IF(Skills!M18=TRUE,(Skills!K18/10)*(E1102/1000),Skills!K18/10)+Skills!N18</f>
        <v/>
      </c>
      <c r="G1102">
        <f>Calc!G18</f>
        <v/>
      </c>
      <c r="H1102">
        <f>Calc!H18</f>
        <v/>
      </c>
      <c r="I1102">
        <f>IF(Skills!T18&lt;&gt;"",1+(Skills!T18/10)*($Z$3/1000)/100,1)</f>
        <v/>
      </c>
      <c r="J1102" t="inlineStr"/>
      <c r="K1102" t="inlineStr"/>
      <c r="L1102" t="inlineStr"/>
      <c r="M1102" t="inlineStr"/>
      <c r="N1102" t="inlineStr"/>
      <c r="O1102" t="n">
        <v>0</v>
      </c>
      <c r="P1102">
        <f>IF(B1124=0,0,O1102/B1124)</f>
        <v/>
      </c>
      <c r="Q1102">
        <f>IFERROR(1/IF(Inputs!$B$39="pvp",15,MAX(0.1,Skills!D18-IF(Skills!E18=TRUE,Inputs!$B$33,0))),0)</f>
        <v/>
      </c>
      <c r="R1102" t="n">
        <v>0</v>
      </c>
    </row>
    <row r="1103">
      <c r="A1103">
        <f>Skills!A19</f>
        <v/>
      </c>
      <c r="B1103">
        <f>Skills!B19</f>
        <v/>
      </c>
      <c r="C1103">
        <f>Inputs!$B$3&gt;=110</f>
        <v/>
      </c>
      <c r="D1103">
        <f>IF(Skills!C19=1,60+Inputs!$B$26+Inputs!$B$30,IF(Skills!C19=2,90+Inputs!$B$27+Inputs!$B$30,IF(Skills!C19=3,120+Inputs!$B$28+Inputs!$B$30,MAX(0,(Inputs!$B$3-100)*3)+Inputs!$B$29+Inputs!$B$30)))</f>
        <v/>
      </c>
      <c r="E1103">
        <f>INDEX(FactorTable!$B$2:$Y$301, MATCH(ROUND(MIN(300,MAX(1,D1103)),0), FactorTable!$A$2:$A$301,0), Skills!L19+1)</f>
        <v/>
      </c>
      <c r="F1103">
        <f>(Skills!K19/10)*(E1103/1000)*64/45+Skills!N19</f>
        <v/>
      </c>
      <c r="G1103">
        <f>Calc!G19</f>
        <v/>
      </c>
      <c r="H1103">
        <f>Calc!H19</f>
        <v/>
      </c>
      <c r="I1103">
        <f>IF(Skills!T19&lt;&gt;"",1+(Skills!T19/10)*($Z$3/1000)/100,1)</f>
        <v/>
      </c>
      <c r="J1103" t="inlineStr"/>
      <c r="K1103" t="inlineStr"/>
      <c r="L1103" t="inlineStr"/>
      <c r="M1103" t="inlineStr"/>
      <c r="N1103" t="inlineStr"/>
      <c r="O1103" t="n">
        <v>0</v>
      </c>
      <c r="P1103">
        <f>IF(B1124=0,0,O1103/B1124)</f>
        <v/>
      </c>
      <c r="Q1103">
        <f>IFERROR(1/IF(Inputs!$B$39="pvp",15,MAX(0.1,Skills!D19-IF(Skills!E19=TRUE,Inputs!$B$33,0))),0)</f>
        <v/>
      </c>
      <c r="R1103">
        <f>IF(AND(Inputs!$B$39&lt;&gt;"pvp",Inputs!$B$44&gt;0),IF(Inputs!$B$44&lt;=0,0,(INT(Inputs!$B$44/IF(Inputs!$B$39="pvp",15,MAX(0.1,Skills!D19-IF(Skills!E19=TRUE,Inputs!$B$33,0))))+1)),0)</f>
        <v/>
      </c>
    </row>
    <row r="1104">
      <c r="A1104">
        <f>Skills!A20</f>
        <v/>
      </c>
      <c r="B1104">
        <f>Skills!B20</f>
        <v/>
      </c>
      <c r="C1104">
        <f>Inputs!$B$3&gt;=125</f>
        <v/>
      </c>
      <c r="D1104">
        <f>IF(Skills!C20=1,60+Inputs!$B$26+Inputs!$B$30,IF(Skills!C20=2,90+Inputs!$B$27+Inputs!$B$30,IF(Skills!C20=3,120+Inputs!$B$28+Inputs!$B$30,MAX(0,(Inputs!$B$3-100)*3)+Inputs!$B$29+Inputs!$B$30)))</f>
        <v/>
      </c>
      <c r="E1104">
        <f>INDEX(FactorTable!$B$2:$Y$301, MATCH(ROUND(MIN(300,MAX(1,D1104)),0), FactorTable!$A$2:$A$301,0), Skills!L20+1)</f>
        <v/>
      </c>
      <c r="F1104">
        <f>IF(Skills!M20=TRUE,(Skills!K20/10)*(E1104/1000),Skills!K20/10)+Skills!N20</f>
        <v/>
      </c>
      <c r="G1104">
        <f>Calc!G20</f>
        <v/>
      </c>
      <c r="H1104">
        <f>Calc!H20</f>
        <v/>
      </c>
      <c r="I1104">
        <f>IF(Skills!T20&lt;&gt;"",1+(Skills!T20/10)*($Z$3/1000)/100,1)</f>
        <v/>
      </c>
      <c r="J1104" t="inlineStr"/>
      <c r="K1104" t="inlineStr"/>
      <c r="L1104" t="inlineStr"/>
      <c r="M1104" t="inlineStr"/>
      <c r="N1104" t="inlineStr"/>
      <c r="O1104" t="n">
        <v>0</v>
      </c>
      <c r="P1104">
        <f>IF(B1124=0,0,O1104/B1124)</f>
        <v/>
      </c>
      <c r="Q1104">
        <f>IFERROR(1/IF(Inputs!$B$39="pvp",15,MAX(0.1,Skills!D20-IF(Skills!E20=TRUE,Inputs!$B$33,0))),0)</f>
        <v/>
      </c>
      <c r="R1104" t="n">
        <v>0</v>
      </c>
    </row>
    <row r="1105">
      <c r="A1105">
        <f>Skills!A21</f>
        <v/>
      </c>
      <c r="B1105">
        <f>Skills!B21</f>
        <v/>
      </c>
      <c r="C1105">
        <f>Inputs!$B$3&gt;=33</f>
        <v/>
      </c>
      <c r="D1105">
        <f>IF(Skills!C21=1,60+Inputs!$B$26+Inputs!$B$30,IF(Skills!C21=2,90+Inputs!$B$27+Inputs!$B$30,IF(Skills!C21=3,120+Inputs!$B$28+Inputs!$B$30,MAX(0,(Inputs!$B$3-100)*3)+Inputs!$B$29+Inputs!$B$30)))</f>
        <v/>
      </c>
      <c r="E1105">
        <f>INDEX(FactorTable!$B$2:$Y$301, MATCH(ROUND(MIN(300,MAX(1,D1105)),0), FactorTable!$A$2:$A$301,0), Skills!L21+1)</f>
        <v/>
      </c>
      <c r="F1105">
        <f>IF(Skills!M21=TRUE,(Skills!K21/10)*(E1105/1000),Skills!K21/10)+Skills!N21</f>
        <v/>
      </c>
      <c r="G1105">
        <f>Calc!G21</f>
        <v/>
      </c>
      <c r="H1105">
        <f>Calc!H21</f>
        <v/>
      </c>
      <c r="I1105">
        <f>IF(Skills!T21&lt;&gt;"",1+(Skills!T21/10)*($Z$3/1000)/100,1)</f>
        <v/>
      </c>
      <c r="J1105" t="inlineStr"/>
      <c r="K1105" t="inlineStr"/>
      <c r="L1105" t="inlineStr"/>
      <c r="M1105" t="inlineStr"/>
      <c r="N1105" t="inlineStr"/>
      <c r="O1105" t="n">
        <v>0</v>
      </c>
      <c r="P1105">
        <f>IF(B1124=0,0,O1105/B1124)</f>
        <v/>
      </c>
      <c r="Q1105">
        <f>IFERROR(1/IF(Inputs!$B$39="pvp",15,MAX(0.1,Skills!D21-IF(Skills!E21=TRUE,Inputs!$B$33,0))),0)</f>
        <v/>
      </c>
      <c r="R1105" t="n">
        <v>0</v>
      </c>
    </row>
    <row r="1106">
      <c r="A1106">
        <f>Skills!A22</f>
        <v/>
      </c>
      <c r="B1106">
        <f>Skills!B22</f>
        <v/>
      </c>
      <c r="C1106">
        <f>Inputs!$B$3&gt;=43</f>
        <v/>
      </c>
      <c r="D1106">
        <f>IF(Skills!C22=1,60+Inputs!$B$26+Inputs!$B$30,IF(Skills!C22=2,90+Inputs!$B$27+Inputs!$B$30,IF(Skills!C22=3,120+Inputs!$B$28+Inputs!$B$30,MAX(0,(Inputs!$B$3-100)*3)+Inputs!$B$29+Inputs!$B$30)))</f>
        <v/>
      </c>
      <c r="E1106">
        <f>INDEX(FactorTable!$B$2:$Y$301, MATCH(ROUND(MIN(300,MAX(1,D1106)),0), FactorTable!$A$2:$A$301,0), Skills!L22+1)</f>
        <v/>
      </c>
      <c r="F1106">
        <f>IF(Skills!M22=TRUE,(Skills!K22/10)*(E1106/1000),Skills!K22/10)+Skills!N22</f>
        <v/>
      </c>
      <c r="G1106">
        <f>Calc!G22</f>
        <v/>
      </c>
      <c r="H1106">
        <f>Calc!H22</f>
        <v/>
      </c>
      <c r="I1106">
        <f>IF(Skills!T22&lt;&gt;"",1+(Skills!T22/10)*($Z$3/1000)/100,1)</f>
        <v/>
      </c>
      <c r="J1106" t="inlineStr"/>
      <c r="K1106" t="inlineStr"/>
      <c r="L1106" t="inlineStr"/>
      <c r="M1106" t="inlineStr"/>
      <c r="N1106" t="inlineStr"/>
      <c r="O1106" t="n">
        <v>0</v>
      </c>
      <c r="P1106">
        <f>IF(B1124=0,0,O1106/B1124)</f>
        <v/>
      </c>
      <c r="Q1106">
        <f>IFERROR(1/IF(Inputs!$B$39="pvp",15,MAX(0.1,Skills!D22-IF(Skills!E22=TRUE,Inputs!$B$33,0))),0)</f>
        <v/>
      </c>
      <c r="R1106" t="n">
        <v>0</v>
      </c>
    </row>
    <row r="1107">
      <c r="A1107">
        <f>Skills!A23</f>
        <v/>
      </c>
      <c r="B1107">
        <f>Skills!B23</f>
        <v/>
      </c>
      <c r="C1107">
        <f>Inputs!$B$3&gt;=50</f>
        <v/>
      </c>
      <c r="D1107">
        <f>IF(Skills!C23=1,60+Inputs!$B$26+Inputs!$B$30,IF(Skills!C23=2,90+Inputs!$B$27+Inputs!$B$30,IF(Skills!C23=3,120+Inputs!$B$28+Inputs!$B$30,MAX(0,(Inputs!$B$3-100)*3)+Inputs!$B$29+Inputs!$B$30)))</f>
        <v/>
      </c>
      <c r="E1107">
        <f>INDEX(FactorTable!$B$2:$Y$301, MATCH(ROUND(MIN(300,MAX(1,D1107)),0), FactorTable!$A$2:$A$301,0), Skills!L23+1)</f>
        <v/>
      </c>
      <c r="F1107">
        <f>IF(Skills!M23=TRUE,(Skills!K23/10)*(E1107/1000),Skills!K23/10)+Skills!N23</f>
        <v/>
      </c>
      <c r="G1107">
        <f>Calc!G23</f>
        <v/>
      </c>
      <c r="H1107">
        <f>Calc!H23</f>
        <v/>
      </c>
      <c r="I1107">
        <f>IF(Skills!T23&lt;&gt;"",1+(Skills!T23/10)*($Z$3/1000)/100,1)</f>
        <v/>
      </c>
      <c r="J1107" t="inlineStr"/>
      <c r="K1107" t="inlineStr"/>
      <c r="L1107" t="inlineStr"/>
      <c r="M1107" t="inlineStr"/>
      <c r="N1107" t="inlineStr"/>
      <c r="O1107" t="n">
        <v>0</v>
      </c>
      <c r="P1107">
        <f>IF(B1124=0,0,O1107/B1124)</f>
        <v/>
      </c>
      <c r="Q1107">
        <f>IFERROR(1/IF(Inputs!$B$39="pvp",15,MAX(0.1,Skills!D23-IF(Skills!E23=TRUE,Inputs!$B$33,0))),0)</f>
        <v/>
      </c>
      <c r="R1107" t="n">
        <v>0</v>
      </c>
    </row>
    <row r="1108">
      <c r="A1108">
        <f>Skills!A24</f>
        <v/>
      </c>
      <c r="B1108">
        <f>Skills!B24</f>
        <v/>
      </c>
      <c r="C1108">
        <f>Inputs!$B$3&gt;=74</f>
        <v/>
      </c>
      <c r="D1108">
        <f>IF(Skills!C24=1,60+Inputs!$B$26+Inputs!$B$30,IF(Skills!C24=2,90+Inputs!$B$27+Inputs!$B$30,IF(Skills!C24=3,120+Inputs!$B$28+Inputs!$B$30,MAX(0,(Inputs!$B$3-100)*3)+Inputs!$B$29+Inputs!$B$30)))</f>
        <v/>
      </c>
      <c r="E1108">
        <f>INDEX(FactorTable!$B$2:$Y$301, MATCH(ROUND(MIN(300,MAX(1,D1108)),0), FactorTable!$A$2:$A$301,0), Skills!L24+1)</f>
        <v/>
      </c>
      <c r="F1108">
        <f>IF(Skills!M24=TRUE,(Skills!K24/10)*(E1108/1000),Skills!K24/10)+Skills!N24</f>
        <v/>
      </c>
      <c r="G1108">
        <f>Calc!G24</f>
        <v/>
      </c>
      <c r="H1108">
        <f>Calc!H24</f>
        <v/>
      </c>
      <c r="I1108">
        <f>IF(Skills!T24&lt;&gt;"",1+(Skills!T24/10)*($Z$3/1000)/100,1)</f>
        <v/>
      </c>
      <c r="J1108" t="inlineStr"/>
      <c r="K1108" t="inlineStr"/>
      <c r="L1108" t="inlineStr"/>
      <c r="M1108" t="inlineStr"/>
      <c r="N1108" t="inlineStr"/>
      <c r="O1108" t="n">
        <v>0</v>
      </c>
      <c r="P1108">
        <f>IF(B1124=0,0,O1108/B1124)</f>
        <v/>
      </c>
      <c r="Q1108">
        <f>IFERROR(1/IF(Inputs!$B$39="pvp",15,MAX(0.1,Skills!D24-IF(Skills!E24=TRUE,Inputs!$B$33,0))),0)</f>
        <v/>
      </c>
      <c r="R1108" t="n">
        <v>0</v>
      </c>
    </row>
    <row r="1109">
      <c r="A1109">
        <f>Skills!A25</f>
        <v/>
      </c>
      <c r="B1109">
        <f>Skills!B25</f>
        <v/>
      </c>
      <c r="C1109">
        <f>Inputs!$B$3&gt;=74</f>
        <v/>
      </c>
      <c r="D1109">
        <f>IF(Skills!C25=1,60+Inputs!$B$26+Inputs!$B$30,IF(Skills!C25=2,90+Inputs!$B$27+Inputs!$B$30,IF(Skills!C25=3,120+Inputs!$B$28+Inputs!$B$30,MAX(0,(Inputs!$B$3-100)*3)+Inputs!$B$29+Inputs!$B$30)))</f>
        <v/>
      </c>
      <c r="E1109">
        <f>INDEX(FactorTable!$B$2:$Y$301, MATCH(ROUND(MIN(300,MAX(1,D1109)),0), FactorTable!$A$2:$A$301,0), Skills!L25+1)</f>
        <v/>
      </c>
      <c r="F1109">
        <f>IF(Skills!M25=TRUE,(Skills!K25/10)*(E1109/1000),Skills!K25/10)+Skills!N25</f>
        <v/>
      </c>
      <c r="G1109">
        <f>Calc!G25</f>
        <v/>
      </c>
      <c r="H1109">
        <f>Calc!H25</f>
        <v/>
      </c>
      <c r="I1109">
        <f>IF(Skills!T25&lt;&gt;"",1+(Skills!T25/10)*($Z$3/1000)/100,1)</f>
        <v/>
      </c>
      <c r="J1109" t="inlineStr"/>
      <c r="K1109" t="inlineStr"/>
      <c r="L1109" t="inlineStr"/>
      <c r="M1109" t="inlineStr"/>
      <c r="N1109" t="inlineStr"/>
      <c r="O1109" t="n">
        <v>0</v>
      </c>
      <c r="P1109">
        <f>IF(B1124=0,0,O1109/B1124)</f>
        <v/>
      </c>
      <c r="Q1109">
        <f>IFERROR(1/IF(Inputs!$B$39="pvp",15,MAX(0.1,Skills!D25-IF(Skills!E25=TRUE,Inputs!$B$33,0))),0)</f>
        <v/>
      </c>
      <c r="R1109" t="n">
        <v>0</v>
      </c>
    </row>
    <row r="1110">
      <c r="A1110">
        <f>Skills!A26</f>
        <v/>
      </c>
      <c r="B1110">
        <f>Skills!B26</f>
        <v/>
      </c>
      <c r="C1110">
        <f>Inputs!$B$3&gt;=117</f>
        <v/>
      </c>
      <c r="D1110">
        <f>IF(Skills!C26=1,60+Inputs!$B$26+Inputs!$B$30,IF(Skills!C26=2,90+Inputs!$B$27+Inputs!$B$30,IF(Skills!C26=3,120+Inputs!$B$28+Inputs!$B$30,MAX(0,(Inputs!$B$3-100)*3)+Inputs!$B$29+Inputs!$B$30)))</f>
        <v/>
      </c>
      <c r="E1110">
        <f>INDEX(FactorTable!$B$2:$Y$301, MATCH(ROUND(MIN(300,MAX(1,D1110)),0), FactorTable!$A$2:$A$301,0), Skills!L26+1)</f>
        <v/>
      </c>
      <c r="F1110">
        <f>IF(Skills!M26=TRUE,(Skills!K26/10)*(E1110/1000),Skills!K26/10)+Skills!N26</f>
        <v/>
      </c>
      <c r="G1110">
        <f>Calc!G26</f>
        <v/>
      </c>
      <c r="H1110">
        <f>Calc!H26</f>
        <v/>
      </c>
      <c r="I1110">
        <f>IF(Skills!T26&lt;&gt;"",1+(Skills!T26/10)*($Z$3/1000)/100,1)</f>
        <v/>
      </c>
      <c r="J1110" t="inlineStr"/>
      <c r="K1110" t="inlineStr"/>
      <c r="L1110" t="inlineStr"/>
      <c r="M1110" t="inlineStr"/>
      <c r="N1110" t="inlineStr"/>
      <c r="O1110" t="n">
        <v>0</v>
      </c>
      <c r="P1110">
        <f>IF(B1124=0,0,O1110/B1124)</f>
        <v/>
      </c>
      <c r="Q1110">
        <f>IFERROR(1/IF(Inputs!$B$39="pvp",15,MAX(0.1,Skills!D26-IF(Skills!E26=TRUE,Inputs!$B$33,0))),0)</f>
        <v/>
      </c>
      <c r="R1110" t="n">
        <v>0</v>
      </c>
    </row>
    <row r="1111">
      <c r="A1111">
        <f>Skills!A27</f>
        <v/>
      </c>
      <c r="B1111">
        <f>Skills!B27</f>
        <v/>
      </c>
      <c r="C1111">
        <f>Inputs!$B$3&gt;=120</f>
        <v/>
      </c>
      <c r="D1111">
        <f>IF(Skills!C27=1,60+Inputs!$B$26+Inputs!$B$30,IF(Skills!C27=2,90+Inputs!$B$27+Inputs!$B$30,IF(Skills!C27=3,120+Inputs!$B$28+Inputs!$B$30,MAX(0,(Inputs!$B$3-100)*3)+Inputs!$B$29+Inputs!$B$30)))</f>
        <v/>
      </c>
      <c r="E1111">
        <f>INDEX(FactorTable!$B$2:$Y$301, MATCH(ROUND(MIN(300,MAX(1,D1111)),0), FactorTable!$A$2:$A$301,0), Skills!L27+1)</f>
        <v/>
      </c>
      <c r="F1111">
        <f>IF(Skills!M27=TRUE,(Skills!K27/10)*(E1111/1000),Skills!K27/10)+Skills!N27</f>
        <v/>
      </c>
      <c r="G1111">
        <f>Calc!G27</f>
        <v/>
      </c>
      <c r="H1111">
        <f>Calc!H27</f>
        <v/>
      </c>
      <c r="I1111">
        <f>IF(Skills!T27&lt;&gt;"",1+(Skills!T27/10)*($Z$3/1000)/100,1)</f>
        <v/>
      </c>
      <c r="J1111" t="inlineStr"/>
      <c r="K1111" t="inlineStr"/>
      <c r="L1111" t="inlineStr"/>
      <c r="M1111" t="inlineStr"/>
      <c r="N1111" t="inlineStr"/>
      <c r="O1111" t="n">
        <v>0</v>
      </c>
      <c r="P1111">
        <f>IF(B1124=0,0,O1111/B1124)</f>
        <v/>
      </c>
      <c r="Q1111">
        <f>IFERROR(1/IF(Inputs!$B$39="pvp",15,MAX(0.1,Skills!D27-IF(Skills!E27=TRUE,Inputs!$B$33,0))),0)</f>
        <v/>
      </c>
      <c r="R1111" t="n">
        <v>0</v>
      </c>
    </row>
    <row r="1113">
      <c r="A1113" t="inlineStr">
        <is>
          <t>Average Buff Multiplier</t>
        </is>
      </c>
      <c r="B1113">
        <f>(1+(IF(C1087=TRUE,F1087*IF(AND(Inputs!$B$39&lt;&gt;"pvp",Inputs!$B$44&gt;0),(((R1087-1)*(Skills!S3*(1+(Inputs!$B$35+IF(Inputs!$B$3&gt;=117,F1110,0))/100))+MIN((Skills!S3*(1+(Inputs!$B$35+IF(Inputs!$B$3&gt;=117,F1110,0))/100)),MAX(0,Inputs!$B$44-((R1087-1)*Skills!D3))))/Inputs!$B$44),IF(Inputs!$B$39="pvp",MIN((Skills!S3*(1+(Inputs!$B$35+IF(Inputs!$B$3&gt;=117,F1110,0))/100)),15)/15,(Skills!S3*(1+(Inputs!$B$35+IF(Inputs!$B$3&gt;=117,F1110,0))/100))/Skills!D3)),0)+IF(C1088=TRUE,F1088*IF(AND(Inputs!$B$39&lt;&gt;"pvp",Inputs!$B$44&gt;0),(((R1088-1)*(Skills!S4*(1+(Inputs!$B$35+IF(Inputs!$B$3&gt;=117,F1110,0))/100))+MIN((Skills!S4*(1+(Inputs!$B$35+IF(Inputs!$B$3&gt;=117,F1110,0))/100)),MAX(0,Inputs!$B$44-((R1088-1)*Skills!D4))))/Inputs!$B$44),IF(Inputs!$B$39="pvp",MIN((Skills!S4*(1+(Inputs!$B$35+IF(Inputs!$B$3&gt;=117,F1110,0))/100)),15)/15,(Skills!S4*(1+(Inputs!$B$35+IF(Inputs!$B$3&gt;=117,F1110,0))/100))/Skills!D4)),0)+IF(C1089=TRUE,F1089*IF(AND(Inputs!$B$39&lt;&gt;"pvp",Inputs!$B$44&gt;0),(((R1089-1)*(Skills!S5*(1+(Inputs!$B$35+IF(Inputs!$B$3&gt;=117,F1110,0))/100))+MIN((Skills!S5*(1+(Inputs!$B$35+IF(Inputs!$B$3&gt;=117,F1110,0))/100)),MAX(0,Inputs!$B$44-((R1089-1)*Skills!D5))))/Inputs!$B$44),IF(Inputs!$B$39="pvp",MIN((Skills!S5*(1+(Inputs!$B$35+IF(Inputs!$B$3&gt;=117,F1110,0))/100)),15)/15,(Skills!S5*(1+(Inputs!$B$35+IF(Inputs!$B$3&gt;=117,F1110,0))/100))/Skills!D5)),0)+IF(C1095=TRUE,F1095*IF(AND(Inputs!$B$39&lt;&gt;"pvp",Inputs!$B$44&gt;0),(((R1095-1)*(Skills!S11*(1+(Inputs!$B$35+IF(Inputs!$B$3&gt;=117,F1110,0))/100))+MIN((Skills!S11*(1+(Inputs!$B$35+IF(Inputs!$B$3&gt;=117,F1110,0))/100)),MAX(0,Inputs!$B$44-((R1095-1)*Skills!D11))))/Inputs!$B$44),IF(Inputs!$B$39="pvp",MIN((Skills!S11*(1+(Inputs!$B$35+IF(Inputs!$B$3&gt;=117,F1110,0))/100)),15)/15,(Skills!S11*(1+(Inputs!$B$35+IF(Inputs!$B$3&gt;=117,F1110,0))/100))/Skills!D11)),0))/100)*IF(C1098=TRUE,(1+F1098*IF(AND(Inputs!$B$39&lt;&gt;"pvp",Inputs!$B$44&gt;0),(((R1098-1)*(Skills!S14*(1+(Inputs!$B$35+IF(Inputs!$B$3&gt;=117,F1110,0))/100))+MIN((Skills!S14*(1+(Inputs!$B$35+IF(Inputs!$B$3&gt;=117,F1110,0))/100)),MAX(0,Inputs!$B$44-((R1098-1)*Skills!D14))))/Inputs!$B$44),IF(Inputs!$B$39="pvp",MIN((Skills!S14*(1+(Inputs!$B$35+IF(Inputs!$B$3&gt;=117,F1110,0))/100)),15)/15,(Skills!S14*(1+(Inputs!$B$35+IF(Inputs!$B$3&gt;=117,F1110,0))/100))/Skills!D14))/100),1)*IF(C1103=TRUE,(1+F1103*IF(AND(Inputs!$B$39&lt;&gt;"pvp",Inputs!$B$44&gt;0),(((R1103-1)*(Skills!S19*(1+(Inputs!$B$35+IF(Inputs!$B$3&gt;=117,F1110,0))/100))+MIN((Skills!S19*(1+(Inputs!$B$35+IF(Inputs!$B$3&gt;=117,F1110,0))/100)),MAX(0,Inputs!$B$44-((R1103-1)*Skills!D19))))/Inputs!$B$44),IF(Inputs!$B$39="pvp",MIN((Skills!S19*(1+(Inputs!$B$35+IF(Inputs!$B$3&gt;=117,F1110,0))/100)),15)/15,(Skills!S19*(1+(Inputs!$B$35+IF(Inputs!$B$3&gt;=117,F1110,0))/100))/Skills!D19))/100),1)</f>
        <v/>
      </c>
    </row>
    <row r="1114">
      <c r="A1114" t="inlineStr">
        <is>
          <t>Monster Damage Taken Bonus % (Holy Fountain)</t>
        </is>
      </c>
      <c r="B1114">
        <f>IF(Inputs!$B$3&gt;=68,20*IF(Inputs!$B$39="pvp",MIN((15*(1+(Inputs!$B$35+IF(Inputs!$B$3&gt;=117,F1110,0))/100)),15)/15,(15*(1+(Inputs!$B$35+IF(Inputs!$B$3&gt;=117,F1110,0))/100))/Skills!D10),0)</f>
        <v/>
      </c>
    </row>
    <row r="1115">
      <c r="A1115" t="inlineStr">
        <is>
          <t>Normal Monster Damage Bonus % (Holy Symbol)</t>
        </is>
      </c>
      <c r="B1115">
        <f>IF(C1096=TRUE,F1096*IF(AND(Inputs!$B$39&lt;&gt;"pvp",Inputs!$B$44&gt;0),(((R1096-1)*(Skills!S12*(1+(Inputs!$B$35+IF(Inputs!$B$3&gt;=117,F1110,0))/100))+MIN((Skills!S12*(1+(Inputs!$B$35+IF(Inputs!$B$3&gt;=117,F1110,0))/100)),MAX(0,Inputs!$B$44-((R1096-1)*Skills!D12))))/Inputs!$B$44),IF(Inputs!$B$39="pvp",MIN((Skills!S12*(1+(Inputs!$B$35+IF(Inputs!$B$3&gt;=117,F1110,0))/100)),15)/15,(Skills!S12*(1+(Inputs!$B$35+IF(Inputs!$B$3&gt;=117,F1110,0))/100))/Skills!D12)),0)</f>
        <v/>
      </c>
    </row>
    <row r="1116">
      <c r="A1116" t="inlineStr">
        <is>
          <t>Damage % Bonus (Holy Symbol - Damage Boost)</t>
        </is>
      </c>
      <c r="B1116">
        <f>Skills!O12</f>
        <v/>
      </c>
    </row>
    <row r="1117">
      <c r="A1117" t="inlineStr">
        <is>
          <t>Crit Damage % Bonus (Blood of the Divine)</t>
        </is>
      </c>
      <c r="B1117">
        <f>4*IF(C1104=TRUE,F1104,0)</f>
        <v/>
      </c>
    </row>
    <row r="1118">
      <c r="A1118" t="inlineStr">
        <is>
          <t>Attack Speed Bonus %</t>
        </is>
      </c>
      <c r="B1118">
        <f>IF(C1101=TRUE,F1101+(F1105-Calc!F21),0)+IF(Inputs!$B$3&gt;=134,15,0)</f>
        <v/>
      </c>
    </row>
    <row r="1119">
      <c r="A1119" t="inlineStr">
        <is>
          <t>Actions Per Second</t>
        </is>
      </c>
      <c r="B1119">
        <f>1+MIN(150,150*(1-(1-Inputs!$B$12/150)*(1-B1118/150)))/100</f>
        <v/>
      </c>
    </row>
    <row r="1120">
      <c r="A1120" t="inlineStr">
        <is>
          <t>Skill + Buff Cast Rate</t>
        </is>
      </c>
      <c r="B1120">
        <f>IF(AND(Inputs!$B$39&lt;&gt;"pvp",Inputs!$B$44&gt;0),SUMPRODUCT((Skills!E2:E27=TRUE)*(C1086:C1111=TRUE)*R1086:R1111)/Inputs!$B$44,SUMPRODUCT((Skills!E2:E27=TRUE)*(C1086:C1111=TRUE)*Q1086:Q1111))</f>
        <v/>
      </c>
    </row>
    <row r="1121">
      <c r="A1121" t="inlineStr">
        <is>
          <t>Big Bang Casts Per Second</t>
        </is>
      </c>
      <c r="B1121">
        <f>MAX(0,B1119-B1120)</f>
        <v/>
      </c>
    </row>
    <row r="1122">
      <c r="A1122" t="inlineStr">
        <is>
          <t>Defense % Bonus (Divine Protection)</t>
        </is>
      </c>
      <c r="B1122">
        <f>IF(C1097=TRUE,F1097*IF(AND(Inputs!$B$39&lt;&gt;"pvp",Inputs!$B$44&gt;0),(((R1097-1)*(Skills!S13*(1+(Inputs!$B$35+IF(Inputs!$B$3&gt;=117,F1110,0))/100))+MIN((Skills!S13*(1+(Inputs!$B$35+IF(Inputs!$B$3&gt;=117,F1110,0))/100)),MAX(0,Inputs!$B$44-((R1097-1)*Skills!D13))))/Inputs!$B$44),IF(Inputs!$B$39="pvp",MIN((Skills!S13*(1+(Inputs!$B$35+IF(Inputs!$B$3&gt;=117,F1110,0))/100)),15)/15,(Skills!S13*(1+(Inputs!$B$35+IF(Inputs!$B$3&gt;=117,F1110,0))/100))/Skills!D13)),0)</f>
        <v/>
      </c>
    </row>
    <row r="1123">
      <c r="A1123" t="inlineStr">
        <is>
          <t>Buff-Casting Startup Delay (s, fixed-duration only)</t>
        </is>
      </c>
      <c r="B1123">
        <f>IF(AND(Inputs!$B$39&lt;&gt;"pvp",Inputs!$B$44&gt;0),SUMPRODUCT((Skills!S2:S27&gt;0)*(Skills!E2:E27=TRUE)*(C1086:C1111=TRUE))/B1119,0)</f>
        <v/>
      </c>
    </row>
    <row r="1124">
      <c r="A1124" s="5" t="inlineStr">
        <is>
          <t>TOTAL DPS</t>
        </is>
      </c>
      <c r="B1124" s="5">
        <f>SUM(O1086:O1111)</f>
        <v/>
      </c>
    </row>
    <row r="1126">
      <c r="A1126" s="5" t="inlineStr">
        <is>
          <t>Stat: Buff Duration Increase %</t>
        </is>
      </c>
    </row>
    <row r="1127">
      <c r="A1127" s="9" t="inlineStr">
        <is>
          <t>Key</t>
        </is>
      </c>
      <c r="B1127" s="9" t="inlineStr">
        <is>
          <t>Name</t>
        </is>
      </c>
      <c r="C1127" s="9" t="inlineStr">
        <is>
          <t>Unlocked</t>
        </is>
      </c>
      <c r="D1127" s="9" t="inlineStr">
        <is>
          <t>InputLevel</t>
        </is>
      </c>
      <c r="E1127" s="9" t="inlineStr">
        <is>
          <t>Factor</t>
        </is>
      </c>
      <c r="F1127" s="9" t="inlineStr">
        <is>
          <t>CoefficientPercent</t>
        </is>
      </c>
      <c r="G1127" s="9" t="inlineStr">
        <is>
          <t>EffectiveHits</t>
        </is>
      </c>
      <c r="H1127" s="9" t="inlineStr">
        <is>
          <t>ProcProbability</t>
        </is>
      </c>
      <c r="I1127" s="9" t="inlineStr">
        <is>
          <t>MapleHeroMultiplier</t>
        </is>
      </c>
      <c r="J1127" s="9" t="inlineStr">
        <is>
          <t>BaseDamage</t>
        </is>
      </c>
      <c r="K1127" s="9" t="inlineStr">
        <is>
          <t>BaseHitDamage</t>
        </is>
      </c>
      <c r="L1127" s="9" t="inlineStr">
        <is>
          <t>NonCritAvg</t>
        </is>
      </c>
      <c r="M1127" s="9" t="inlineStr">
        <is>
          <t>CritAvg</t>
        </is>
      </c>
      <c r="N1127" s="9" t="inlineStr">
        <is>
          <t>ExpectedDamage(perHit)</t>
        </is>
      </c>
      <c r="O1127" s="9" t="inlineStr">
        <is>
          <t>DPS</t>
        </is>
      </c>
      <c r="P1127" s="9" t="inlineStr">
        <is>
          <t>% of Total</t>
        </is>
      </c>
      <c r="R1127" t="inlineStr">
        <is>
          <t>helpers</t>
        </is>
      </c>
    </row>
    <row r="1128">
      <c r="A1128">
        <f>Skills!A2</f>
        <v/>
      </c>
      <c r="B1128">
        <f>Skills!B2</f>
        <v/>
      </c>
      <c r="C1128">
        <f>Inputs!$B$3&gt;=100</f>
        <v/>
      </c>
      <c r="D1128" t="inlineStr"/>
      <c r="E1128" t="inlineStr"/>
      <c r="F1128">
        <f>T1130+Skills!N2</f>
        <v/>
      </c>
      <c r="G1128">
        <f>Calc!G2</f>
        <v/>
      </c>
      <c r="H1128">
        <f>Calc!H2</f>
        <v/>
      </c>
      <c r="I1128">
        <f>IF(Skills!T2&lt;&gt;"",1+(Skills!T2/10)*($Z$3/1000)/100,1)</f>
        <v/>
      </c>
      <c r="J1128">
        <f>((Inputs!$B$6*(1+Inputs!$B$7/100))+(((Inputs!$B$13*(1+Inputs!$B$14/100))-(Inputs!$B$13*(1+Inputs!$B$14/100)))+0.25*(Inputs!$B$15-Inputs!$B$15))*(1+Inputs!$B$7/100))*(F1128/100)</f>
        <v/>
      </c>
      <c r="K1128">
        <f>J1128*(1+(((Inputs!$B$13+IF(Inputs!$B$3&gt;=35,(10*INDEX(FactorTable!$B$2:$Y$301, MATCH(ROUND(MIN(300,MAX(1,Inputs!$B$3)),0), FactorTable!$A$2:$A$301,0), 23)/1000)/100*(Inputs!$B$8*(1+(Inputs!$B$9+B1164)/100)),0))*(1+Inputs!$B$14/100))*0.01+Inputs!$B$15*0.0025)/100)*(1+(Inputs!$B$16+B1158)/100)*(1+IF(Inputs!$B$39="pvp",0,(1-Summary!$B$48)*(Inputs!$B$21+Skills!O2+B1156)+Summary!$B$48*(Inputs!$B$22+Skills!P2+B1157))/100)*(1+Inputs!$B$17/100)*(5000/(6000+Inputs!$B$43*(1-Inputs!$B$20/100)))*(1+Inputs!$B$25/100)*(1+IF(C1144=TRUE,F1144,0)/100)*(1+IF(C1146=TRUE,F1146,0)/100)*(1+IF(Skills!A2="TRIUMPH_FEATHER",IF(C1142=TRUE,F1142,0),0)/100)*(1+IF(C1153=TRUE,F1153,0)/100)^5*(1+(IF(Skills!A2="BIG_BANG",Inputs!$B$18,Inputs!$B$19))/100)*(B1155*I1128)</f>
        <v/>
      </c>
      <c r="L1128">
        <f>K1128*(MIN(Inputs!$B$23+(F1148-Calc!F22),Inputs!$B$24)/100+Inputs!$B$24/100)/2</f>
        <v/>
      </c>
      <c r="M1128">
        <f>L1128*(1+(Inputs!$B$11+B1159+(F1151-Calc!F25))/100)</f>
        <v/>
      </c>
      <c r="N1128">
        <f>L1128*(1-MIN(Inputs!$B$10+((F1150-Calc!F24)+(F1149-Calc!F23)),100)/100)+M1128*(MIN(Inputs!$B$10+((F1150-Calc!F24)+(F1149-Calc!F23)),100)/100)</f>
        <v/>
      </c>
      <c r="O1128">
        <f>IF(C1128,Skills!F2*N1128*B1163*IF(Inputs!$B$39="pvp",1,(1-Summary!$B$48)*(1)+Summary!$B$48*(MIN((6+Inputs!$B$34),Inputs!$B$38))),0)</f>
        <v/>
      </c>
      <c r="P1128">
        <f>IF(B1166=0,0,O1128/B1166)</f>
        <v/>
      </c>
      <c r="Q1128">
        <f>IFERROR(1/IF(Inputs!$B$39="pvp",15,MAX(0.1,Skills!D2-IF(Skills!E2=TRUE,Inputs!$B$33,0))),0)</f>
        <v/>
      </c>
      <c r="R1128" t="n">
        <v>0</v>
      </c>
      <c r="T1128">
        <f>MAX(0,(Inputs!$B$3-100)*3)+Inputs!$B$29+Inputs!$B$30</f>
        <v/>
      </c>
    </row>
    <row r="1129">
      <c r="A1129">
        <f>Skills!A3</f>
        <v/>
      </c>
      <c r="B1129">
        <f>Skills!B3</f>
        <v/>
      </c>
      <c r="C1129">
        <f>Inputs!$B$3&gt;=15</f>
        <v/>
      </c>
      <c r="D1129">
        <f>IF(Skills!C3=1,60+Inputs!$B$26+Inputs!$B$30,IF(Skills!C3=2,90+Inputs!$B$27+Inputs!$B$30,IF(Skills!C3=3,120+Inputs!$B$28+Inputs!$B$30,MAX(0,(Inputs!$B$3-100)*3)+Inputs!$B$29+Inputs!$B$30)))</f>
        <v/>
      </c>
      <c r="E1129">
        <f>INDEX(FactorTable!$B$2:$Y$301, MATCH(ROUND(MIN(300,MAX(1,D1129)),0), FactorTable!$A$2:$A$301,0), Skills!L3+1)</f>
        <v/>
      </c>
      <c r="F1129">
        <f>IF(Skills!M3=TRUE,(Skills!K3/10)*(E1129/1000),Skills!K3/10)+Skills!N3</f>
        <v/>
      </c>
      <c r="G1129">
        <f>Calc!G3</f>
        <v/>
      </c>
      <c r="H1129">
        <f>Calc!H3</f>
        <v/>
      </c>
      <c r="I1129">
        <f>IF(Skills!T3&lt;&gt;"",1+(Skills!T3/10)*($Z$3/1000)/100,1)</f>
        <v/>
      </c>
      <c r="J1129" t="inlineStr"/>
      <c r="K1129" t="inlineStr"/>
      <c r="L1129" t="inlineStr"/>
      <c r="M1129" t="inlineStr"/>
      <c r="N1129" t="inlineStr"/>
      <c r="O1129" t="n">
        <v>0</v>
      </c>
      <c r="P1129">
        <f>IF(B1166=0,0,O1129/B1166)</f>
        <v/>
      </c>
      <c r="Q1129">
        <f>IFERROR(1/IF(Inputs!$B$39="pvp",15,MAX(0.1,Skills!D3-IF(Skills!E3=TRUE,Inputs!$B$33,0))),0)</f>
        <v/>
      </c>
      <c r="R1129">
        <f>IF(AND(Inputs!$B$39&lt;&gt;"pvp",Inputs!$B$44&gt;0),IF(Inputs!$B$44&lt;=0,0,(INT(Inputs!$B$44/IF(Inputs!$B$39="pvp",15,MAX(0.1,Skills!D3-IF(Skills!E3=TRUE,Inputs!$B$33,0))))+1)),0)</f>
        <v/>
      </c>
      <c r="T1129">
        <f>INDEX(FactorTable!$B$2:$Y$301, MATCH(ROUND(MIN(300,MAX(1,T1128)),0), FactorTable!$A$2:$A$301,0), 22)</f>
        <v/>
      </c>
    </row>
    <row r="1130">
      <c r="A1130">
        <f>Skills!A4</f>
        <v/>
      </c>
      <c r="B1130">
        <f>Skills!B4</f>
        <v/>
      </c>
      <c r="C1130">
        <f>Inputs!$B$3&gt;=38</f>
        <v/>
      </c>
      <c r="D1130">
        <f>IF(Skills!C4=1,60+Inputs!$B$26+Inputs!$B$30,IF(Skills!C4=2,90+Inputs!$B$27+Inputs!$B$30,IF(Skills!C4=3,120+Inputs!$B$28+Inputs!$B$30,MAX(0,(Inputs!$B$3-100)*3)+Inputs!$B$29+Inputs!$B$30)))</f>
        <v/>
      </c>
      <c r="E1130">
        <f>INDEX(FactorTable!$B$2:$Y$301, MATCH(ROUND(MIN(300,MAX(1,D1130)),0), FactorTable!$A$2:$A$301,0), Skills!L4+1)</f>
        <v/>
      </c>
      <c r="F1130">
        <f>IF(Skills!M4=TRUE,(Skills!K4/10)*(E1130/1000),Skills!K4/10)+Skills!N4</f>
        <v/>
      </c>
      <c r="G1130">
        <f>Calc!G4</f>
        <v/>
      </c>
      <c r="H1130">
        <f>Calc!H4</f>
        <v/>
      </c>
      <c r="I1130">
        <f>IF(Skills!T4&lt;&gt;"",1+(Skills!T4/10)*($Z$3/1000)/100,1)</f>
        <v/>
      </c>
      <c r="J1130" t="inlineStr"/>
      <c r="K1130" t="inlineStr"/>
      <c r="L1130" t="inlineStr"/>
      <c r="M1130" t="inlineStr"/>
      <c r="N1130" t="inlineStr"/>
      <c r="O1130" t="n">
        <v>0</v>
      </c>
      <c r="P1130">
        <f>IF(B1166=0,0,O1130/B1166)</f>
        <v/>
      </c>
      <c r="Q1130">
        <f>IFERROR(1/IF(Inputs!$B$39="pvp",15,MAX(0.1,Skills!D4-IF(Skills!E4=TRUE,Inputs!$B$33,0))),0)</f>
        <v/>
      </c>
      <c r="R1130">
        <f>IF(AND(Inputs!$B$39&lt;&gt;"pvp",Inputs!$B$44&gt;0),IF(Inputs!$B$44&lt;=0,0,(INT(Inputs!$B$44/IF(Inputs!$B$39="pvp",15,MAX(0.1,Skills!D4-IF(Skills!E4=TRUE,Inputs!$B$33,0))))+1)),0)</f>
        <v/>
      </c>
      <c r="T1130">
        <f>290*T1129/1000</f>
        <v/>
      </c>
    </row>
    <row r="1131">
      <c r="A1131">
        <f>Skills!A5</f>
        <v/>
      </c>
      <c r="B1131">
        <f>Skills!B5</f>
        <v/>
      </c>
      <c r="C1131">
        <f>Inputs!$B$3&gt;=40</f>
        <v/>
      </c>
      <c r="D1131">
        <f>IF(Skills!C5=1,60+Inputs!$B$26+Inputs!$B$30,IF(Skills!C5=2,90+Inputs!$B$27+Inputs!$B$30,IF(Skills!C5=3,120+Inputs!$B$28+Inputs!$B$30,MAX(0,(Inputs!$B$3-100)*3)+Inputs!$B$29+Inputs!$B$30)))</f>
        <v/>
      </c>
      <c r="E1131">
        <f>INDEX(FactorTable!$B$2:$Y$301, MATCH(ROUND(MIN(300,MAX(1,D1131)),0), FactorTable!$A$2:$A$301,0), Skills!L5+1)</f>
        <v/>
      </c>
      <c r="F1131">
        <f>IF(Skills!M5=TRUE,(Skills!K5/10)*(E1131/1000),Skills!K5/10)+Skills!N5</f>
        <v/>
      </c>
      <c r="G1131">
        <f>Calc!G5</f>
        <v/>
      </c>
      <c r="H1131">
        <f>Calc!H5</f>
        <v/>
      </c>
      <c r="I1131">
        <f>IF(Skills!T5&lt;&gt;"",1+(Skills!T5/10)*($Z$3/1000)/100,1)</f>
        <v/>
      </c>
      <c r="J1131" t="inlineStr"/>
      <c r="K1131" t="inlineStr"/>
      <c r="L1131" t="inlineStr"/>
      <c r="M1131" t="inlineStr"/>
      <c r="N1131" t="inlineStr"/>
      <c r="O1131" t="n">
        <v>0</v>
      </c>
      <c r="P1131">
        <f>IF(B1166=0,0,O1131/B1166)</f>
        <v/>
      </c>
      <c r="Q1131">
        <f>IFERROR(1/IF(Inputs!$B$39="pvp",15,MAX(0.1,Skills!D5-IF(Skills!E5=TRUE,Inputs!$B$33,0))),0)</f>
        <v/>
      </c>
      <c r="R1131">
        <f>IF(AND(Inputs!$B$39&lt;&gt;"pvp",Inputs!$B$44&gt;0),IF(Inputs!$B$44&lt;=0,0,(INT(Inputs!$B$44/IF(Inputs!$B$39="pvp",15,MAX(0.1,Skills!D5-IF(Skills!E5=TRUE,Inputs!$B$33,0))))+1)),0)</f>
        <v/>
      </c>
    </row>
    <row r="1132">
      <c r="A1132">
        <f>Skills!A6</f>
        <v/>
      </c>
      <c r="B1132">
        <f>Skills!B6</f>
        <v/>
      </c>
      <c r="C1132">
        <f>Inputs!$B$3&gt;=103</f>
        <v/>
      </c>
      <c r="D1132">
        <f>IF(Skills!C6=1,60+Inputs!$B$26+Inputs!$B$30,IF(Skills!C6=2,90+Inputs!$B$27+Inputs!$B$30,IF(Skills!C6=3,120+Inputs!$B$28+Inputs!$B$30,MAX(0,(Inputs!$B$3-100)*3)+Inputs!$B$29+Inputs!$B$30)))</f>
        <v/>
      </c>
      <c r="E1132">
        <f>INDEX(FactorTable!$B$2:$Y$301, MATCH(ROUND(MIN(300,MAX(1,D1132)),0), FactorTable!$A$2:$A$301,0), Skills!L6+1)</f>
        <v/>
      </c>
      <c r="F1132">
        <f>IF(Skills!M6=TRUE,(Skills!K6/10)*(E1132/1000),Skills!K6/10)+Skills!N6</f>
        <v/>
      </c>
      <c r="G1132">
        <f>Calc!G6</f>
        <v/>
      </c>
      <c r="H1132">
        <f>Calc!H6</f>
        <v/>
      </c>
      <c r="I1132">
        <f>IF(Skills!T6&lt;&gt;"",1+(Skills!T6/10)*($Z$3/1000)/100,1)</f>
        <v/>
      </c>
      <c r="J1132">
        <f>((Inputs!$B$6*(1+Inputs!$B$7/100))+(((Inputs!$B$13*(1+Inputs!$B$14/100))-(Inputs!$B$13*(1+Inputs!$B$14/100)))+0.25*(Inputs!$B$15-Inputs!$B$15))*(1+Inputs!$B$7/100))*(F1132/100)</f>
        <v/>
      </c>
      <c r="K1132">
        <f>J1132*(1+(((Inputs!$B$13+IF(Inputs!$B$3&gt;=35,(10*INDEX(FactorTable!$B$2:$Y$301, MATCH(ROUND(MIN(300,MAX(1,Inputs!$B$3)),0), FactorTable!$A$2:$A$301,0), 23)/1000)/100*(Inputs!$B$8*(1+(Inputs!$B$9+B1164)/100)),0))*(1+Inputs!$B$14/100))*0.01+Inputs!$B$15*0.0025)/100)*(1+(Inputs!$B$16+B1158)/100)*(1+IF(Inputs!$B$39="pvp",0,(1-Summary!$B$48)*(Inputs!$B$21+Skills!O6+B1156)+Summary!$B$48*(Inputs!$B$22+Skills!P6+B1157))/100)*(1+Inputs!$B$17/100)*(5000/(6000+Inputs!$B$43*(1-Inputs!$B$20/100)))*(1+Inputs!$B$25/100)*(1+IF(C1144=TRUE,F1144,0)/100)*(1+IF(C1146=TRUE,F1146,0)/100)*(1+IF(Skills!A6="TRIUMPH_FEATHER",IF(C1142=TRUE,F1142,0),0)/100)*(1+IF(C1153=TRUE,F1153,0)/100)^5*(1+(IF(Skills!A6="BIG_BANG",Inputs!$B$18,Inputs!$B$19))/100)*(B1155*I1132)</f>
        <v/>
      </c>
      <c r="L1132">
        <f>K1132*(MIN(Inputs!$B$23+(F1148-Calc!F22),Inputs!$B$24)/100+Inputs!$B$24/100)/2</f>
        <v/>
      </c>
      <c r="M1132">
        <f>L1132*(1+(Inputs!$B$11+B1159+(F1151-Calc!F25))/100)</f>
        <v/>
      </c>
      <c r="N1132">
        <f>L1132*(1-MIN(Inputs!$B$10+((F1150-Calc!F24)+(F1149-Calc!F23)),100)/100)+M1132*(MIN(Inputs!$B$10+((F1150-Calc!F24)+(F1149-Calc!F23)),100)/100)</f>
        <v/>
      </c>
      <c r="O1132">
        <f>IF(C1132,H1132*N1132*IF(AND(Inputs!$B$39&lt;&gt;"pvp",Inputs!$B$44&gt;0),((Skills!F6*((R1132-1)*IF(Skills!G6&gt;0,Skills!H6/Skills!G6,1)+IF(Skills!G6&gt;0,MIN(Skills!H6,MAX(0,MAX(0,Inputs!$B$44-B1165)-((R1132-1)*IF(Inputs!$B$39="pvp",15,MAX(0.1,Skills!D6-IF(Skills!E6=TRUE,Inputs!$B$33,0))))))/Skills!G6,1)))/Inputs!$B$44),G1132*Q1132)*IF(Inputs!$B$39="pvp",1,(1-Summary!$B$48)*(1)+Summary!$B$48*(MIN(Skills!Q6,Inputs!$B$38))),0)</f>
        <v/>
      </c>
      <c r="P1132">
        <f>IF(B1166=0,0,O1132/B1166)</f>
        <v/>
      </c>
      <c r="Q1132">
        <f>IFERROR(1/IF(Inputs!$B$39="pvp",15,MAX(0.1,Skills!D6-IF(Skills!E6=TRUE,Inputs!$B$33,0))),0)</f>
        <v/>
      </c>
      <c r="R1132">
        <f>IF(AND(Inputs!$B$39&lt;&gt;"pvp",Inputs!$B$44&gt;0),IF(MAX(0,Inputs!$B$44-B1165)&lt;=0,0,(INT(MAX(0,Inputs!$B$44-B1165)/IF(Inputs!$B$39="pvp",15,MAX(0.1,Skills!D6-IF(Skills!E6=TRUE,Inputs!$B$33,0))))+1)),0)</f>
        <v/>
      </c>
    </row>
    <row r="1133">
      <c r="A1133">
        <f>Skills!A7</f>
        <v/>
      </c>
      <c r="B1133">
        <f>Skills!B7</f>
        <v/>
      </c>
      <c r="C1133">
        <f>Inputs!$B$3&gt;=122</f>
        <v/>
      </c>
      <c r="D1133">
        <f>IF(Skills!C7=1,60+Inputs!$B$26+Inputs!$B$30,IF(Skills!C7=2,90+Inputs!$B$27+Inputs!$B$30,IF(Skills!C7=3,120+Inputs!$B$28+Inputs!$B$30,MAX(0,(Inputs!$B$3-100)*3)+Inputs!$B$29+Inputs!$B$30)))</f>
        <v/>
      </c>
      <c r="E1133">
        <f>INDEX(FactorTable!$B$2:$Y$301, MATCH(ROUND(MIN(300,MAX(1,D1133)),0), FactorTable!$A$2:$A$301,0), Skills!L7+1)</f>
        <v/>
      </c>
      <c r="F1133">
        <f>IF(Skills!M7=TRUE,(Skills!K7/10)*(E1133/1000),Skills!K7/10)+Skills!N7</f>
        <v/>
      </c>
      <c r="G1133">
        <f>Calc!G7</f>
        <v/>
      </c>
      <c r="H1133">
        <f>Calc!H7</f>
        <v/>
      </c>
      <c r="I1133">
        <f>IF(Skills!T7&lt;&gt;"",1+(Skills!T7/10)*($Z$3/1000)/100,1)</f>
        <v/>
      </c>
      <c r="J1133">
        <f>((Inputs!$B$6*(1+Inputs!$B$7/100))+(((Inputs!$B$13*(1+Inputs!$B$14/100))-(Inputs!$B$13*(1+Inputs!$B$14/100)))+0.25*(Inputs!$B$15-Inputs!$B$15))*(1+Inputs!$B$7/100))*(F1133/100)</f>
        <v/>
      </c>
      <c r="K1133">
        <f>J1133*(1+(((Inputs!$B$13+IF(Inputs!$B$3&gt;=35,(10*INDEX(FactorTable!$B$2:$Y$301, MATCH(ROUND(MIN(300,MAX(1,Inputs!$B$3)),0), FactorTable!$A$2:$A$301,0), 23)/1000)/100*(Inputs!$B$8*(1+(Inputs!$B$9+B1164)/100)),0))*(1+Inputs!$B$14/100))*0.01+Inputs!$B$15*0.0025)/100)*(1+(Inputs!$B$16+B1158)/100)*(1+IF(Inputs!$B$39="pvp",0,(1-Summary!$B$48)*(Inputs!$B$21+Skills!O7+B1156)+Summary!$B$48*(Inputs!$B$22+Skills!P7+B1157))/100)*(1+Inputs!$B$17/100)*(5000/(6000+Inputs!$B$43*(1-Inputs!$B$20/100)))*(1+Inputs!$B$25/100)*(1+IF(C1144=TRUE,F1144,0)/100)*(1+IF(C1146=TRUE,F1146,0)/100)*(1+IF(Skills!A7="TRIUMPH_FEATHER",IF(C1142=TRUE,F1142,0),0)/100)*(1+IF(C1153=TRUE,F1153,0)/100)^5*(1+(IF(Skills!A7="BIG_BANG",Inputs!$B$18,Inputs!$B$19))/100)*(B1155*I1133)</f>
        <v/>
      </c>
      <c r="L1133">
        <f>K1133*(MIN(Inputs!$B$23+(F1148-Calc!F22),Inputs!$B$24)/100+Inputs!$B$24/100)/2</f>
        <v/>
      </c>
      <c r="M1133">
        <f>L1133*(1+(Inputs!$B$11+B1159+(F1151-Calc!F25))/100)</f>
        <v/>
      </c>
      <c r="N1133">
        <f>L1133*(1-MIN(Inputs!$B$10+((F1150-Calc!F24)+(F1149-Calc!F23)),100)/100)+M1133*(MIN(Inputs!$B$10+((F1150-Calc!F24)+(F1149-Calc!F23)),100)/100)</f>
        <v/>
      </c>
      <c r="O1133">
        <f>IF(C1133,H1133*N1133*IF(AND(Inputs!$B$39&lt;&gt;"pvp",Inputs!$B$44&gt;0),((Skills!F7*((R1133-1)*IF(Skills!G7&gt;0,Skills!H7/Skills!G7,1)+IF(Skills!G7&gt;0,MIN(Skills!H7,MAX(0,MAX(0,Inputs!$B$44-B1165)-((R1133-1)*IF(Inputs!$B$39="pvp",15,MAX(0.1,Skills!D7-IF(Skills!E6=TRUE,Inputs!$B$33,0))))))/Skills!G7,1)))/Inputs!$B$44),G1133*Q1133)*(1-Summary!$B$48),0)</f>
        <v/>
      </c>
      <c r="P1133">
        <f>IF(B1166=0,0,O1133/B1166)</f>
        <v/>
      </c>
      <c r="Q1133">
        <f>IFERROR(1/IF(Inputs!$B$39="pvp",15,MAX(0.1,Skills!D7-IF(Skills!E6=TRUE,Inputs!$B$33,0))),0)</f>
        <v/>
      </c>
      <c r="R1133">
        <f>IF(AND(Inputs!$B$39&lt;&gt;"pvp",Inputs!$B$44&gt;0),IF(MAX(0,Inputs!$B$44-B1165)&lt;=0,0,(INT(MAX(0,Inputs!$B$44-B1165)/IF(Inputs!$B$39="pvp",15,MAX(0.1,Skills!D7-IF(Skills!E6=TRUE,Inputs!$B$33,0))))+1)),0)</f>
        <v/>
      </c>
    </row>
    <row r="1134">
      <c r="A1134">
        <f>Skills!A8</f>
        <v/>
      </c>
      <c r="B1134">
        <f>Skills!B8</f>
        <v/>
      </c>
      <c r="C1134">
        <f>Inputs!$B$3&gt;=105</f>
        <v/>
      </c>
      <c r="D1134">
        <f>IF(Skills!C8=1,60+Inputs!$B$26+Inputs!$B$30,IF(Skills!C8=2,90+Inputs!$B$27+Inputs!$B$30,IF(Skills!C8=3,120+Inputs!$B$28+Inputs!$B$30,MAX(0,(Inputs!$B$3-100)*3)+Inputs!$B$29+Inputs!$B$30)))</f>
        <v/>
      </c>
      <c r="E1134">
        <f>INDEX(FactorTable!$B$2:$Y$301, MATCH(ROUND(MIN(300,MAX(1,D1134)),0), FactorTable!$A$2:$A$301,0), Skills!L8+1)</f>
        <v/>
      </c>
      <c r="F1134">
        <f>IF(Skills!M8=TRUE,(Skills!K8/10)*(E1134/1000),Skills!K8/10)+Skills!N8</f>
        <v/>
      </c>
      <c r="G1134">
        <f>Calc!G8</f>
        <v/>
      </c>
      <c r="H1134">
        <f>Calc!H8</f>
        <v/>
      </c>
      <c r="I1134">
        <f>IF(Skills!T8&lt;&gt;"",1+(Skills!T8/10)*($Z$3/1000)/100,1)</f>
        <v/>
      </c>
      <c r="J1134">
        <f>((Inputs!$B$6*(1+Inputs!$B$7/100))+(((Inputs!$B$13*(1+Inputs!$B$14/100))-(Inputs!$B$13*(1+Inputs!$B$14/100)))+0.25*(Inputs!$B$15-Inputs!$B$15))*(1+Inputs!$B$7/100))*(F1134/100)</f>
        <v/>
      </c>
      <c r="K1134">
        <f>J1134*(1+(((Inputs!$B$13+IF(Inputs!$B$3&gt;=35,(10*INDEX(FactorTable!$B$2:$Y$301, MATCH(ROUND(MIN(300,MAX(1,Inputs!$B$3)),0), FactorTable!$A$2:$A$301,0), 23)/1000)/100*(Inputs!$B$8*(1+(Inputs!$B$9+B1164)/100)),0))*(1+Inputs!$B$14/100))*0.01+Inputs!$B$15*0.0025)/100)*(1+(Inputs!$B$16+B1158)/100)*(1+IF(Inputs!$B$39="pvp",0,(1-Summary!$B$48)*(Inputs!$B$21+Skills!O8+B1156)+Summary!$B$48*(Inputs!$B$22+Skills!P8+B1157))/100)*(1+Inputs!$B$17/100)*(5000/(6000+Inputs!$B$43*(1-Inputs!$B$20/100)))*(1+Inputs!$B$25/100)*(1+IF(C1144=TRUE,F1144,0)/100)*(1+IF(C1146=TRUE,F1146,0)/100)*(1+IF(Skills!A8="TRIUMPH_FEATHER",IF(C1142=TRUE,F1142,0),0)/100)*(1+IF(C1153=TRUE,F1153,0)/100)^5*(1+(IF(Skills!A8="BIG_BANG",Inputs!$B$18,Inputs!$B$19))/100)*(B1155*I1134)</f>
        <v/>
      </c>
      <c r="L1134">
        <f>K1134*(MIN(Inputs!$B$23+(F1148-Calc!F22),Inputs!$B$24)/100+Inputs!$B$24/100)/2</f>
        <v/>
      </c>
      <c r="M1134">
        <f>L1134*(1+(Inputs!$B$11+B1159+(F1151-Calc!F25))/100)</f>
        <v/>
      </c>
      <c r="N1134">
        <f>L1134*(1-MIN(Inputs!$B$10+((F1150-Calc!F24)+(F1149-Calc!F23)),100)/100)+M1134*(MIN(Inputs!$B$10+((F1150-Calc!F24)+(F1149-Calc!F23)),100)/100)</f>
        <v/>
      </c>
      <c r="O1134">
        <f>IF(C1134,H1134*N1134*IF(AND(Inputs!$B$39&lt;&gt;"pvp",Inputs!$B$44&gt;0),((Skills!F8*((R1134-1)*IF(Skills!G8&gt;0,Skills!H8/Skills!G8,1)+IF(Skills!G8&gt;0,MIN(Skills!H8,MAX(0,MAX(0,Inputs!$B$44-B1165)-((R1134-1)*IF(Inputs!$B$39="pvp",15,MAX(0.1,Skills!D8-IF(Skills!E8=TRUE,Inputs!$B$33,0))))))/Skills!G8,1)))/Inputs!$B$44),G1134*Q1134)*IF(Inputs!$B$39="pvp",1,(1-Summary!$B$48)*(1)+Summary!$B$48*(MIN(Skills!Q8,Inputs!$B$38))),0)</f>
        <v/>
      </c>
      <c r="P1134">
        <f>IF(B1166=0,0,O1134/B1166)</f>
        <v/>
      </c>
      <c r="Q1134">
        <f>IFERROR(1/IF(Inputs!$B$39="pvp",15,MAX(0.1,Skills!D8-IF(Skills!E8=TRUE,Inputs!$B$33,0))),0)</f>
        <v/>
      </c>
      <c r="R1134">
        <f>IF(AND(Inputs!$B$39&lt;&gt;"pvp",Inputs!$B$44&gt;0),IF(MAX(0,Inputs!$B$44-B1165)&lt;=0,0,(INT(MAX(0,Inputs!$B$44-B1165)/IF(Inputs!$B$39="pvp",15,MAX(0.1,Skills!D8-IF(Skills!E8=TRUE,Inputs!$B$33,0))))+1)),0)</f>
        <v/>
      </c>
    </row>
    <row r="1135">
      <c r="A1135">
        <f>Skills!A9</f>
        <v/>
      </c>
      <c r="B1135">
        <f>Skills!B9</f>
        <v/>
      </c>
      <c r="C1135">
        <f>Inputs!$B$3&gt;=115</f>
        <v/>
      </c>
      <c r="D1135">
        <f>IF(Skills!C9=1,60+Inputs!$B$26+Inputs!$B$30,IF(Skills!C9=2,90+Inputs!$B$27+Inputs!$B$30,IF(Skills!C9=3,120+Inputs!$B$28+Inputs!$B$30,MAX(0,(Inputs!$B$3-100)*3)+Inputs!$B$29+Inputs!$B$30)))</f>
        <v/>
      </c>
      <c r="E1135">
        <f>INDEX(FactorTable!$B$2:$Y$301, MATCH(ROUND(MIN(300,MAX(1,D1135)),0), FactorTable!$A$2:$A$301,0), Skills!L9+1)</f>
        <v/>
      </c>
      <c r="F1135">
        <f>IF(Skills!M9=TRUE,(Skills!K9/10)*(E1135/1000),Skills!K9/10)+Skills!N9</f>
        <v/>
      </c>
      <c r="G1135">
        <f>Calc!G9</f>
        <v/>
      </c>
      <c r="H1135">
        <f>Calc!H9</f>
        <v/>
      </c>
      <c r="I1135">
        <f>IF(Skills!T9&lt;&gt;"",1+(Skills!T9/10)*($Z$3/1000)/100,1)</f>
        <v/>
      </c>
      <c r="J1135">
        <f>((Inputs!$B$6*(1+Inputs!$B$7/100))+(((Inputs!$B$13*(1+Inputs!$B$14/100))-(Inputs!$B$13*(1+Inputs!$B$14/100)))+0.25*(Inputs!$B$15-Inputs!$B$15))*(1+Inputs!$B$7/100))*(F1135/100)</f>
        <v/>
      </c>
      <c r="K1135">
        <f>J1135*(1+(((Inputs!$B$13+IF(Inputs!$B$3&gt;=35,(10*INDEX(FactorTable!$B$2:$Y$301, MATCH(ROUND(MIN(300,MAX(1,Inputs!$B$3)),0), FactorTable!$A$2:$A$301,0), 23)/1000)/100*(Inputs!$B$8*(1+(Inputs!$B$9+B1164)/100)),0))*(1+Inputs!$B$14/100))*0.01+Inputs!$B$15*0.0025)/100)*(1+(Inputs!$B$16+B1158)/100)*(1+IF(Inputs!$B$39="pvp",0,(1-Summary!$B$48)*(Inputs!$B$21+Skills!O9+B1156)+Summary!$B$48*(Inputs!$B$22+Skills!P9+B1157))/100)*(1+Inputs!$B$17/100)*(5000/(6000+Inputs!$B$43*(1-Inputs!$B$20/100)))*(1+Inputs!$B$25/100)*(1+IF(C1144=TRUE,F1144,0)/100)*(1+IF(C1146=TRUE,F1146,0)/100)*(1+IF(Skills!A9="TRIUMPH_FEATHER",IF(C1142=TRUE,F1142,0),0)/100)*(1+IF(C1153=TRUE,F1153,0)/100)^5*(1+(IF(Skills!A9="BIG_BANG",Inputs!$B$18,Inputs!$B$19))/100)*(B1155*I1135)</f>
        <v/>
      </c>
      <c r="L1135">
        <f>K1135*(MIN(Inputs!$B$23+(F1148-Calc!F22),Inputs!$B$24)/100+Inputs!$B$24/100)/2</f>
        <v/>
      </c>
      <c r="M1135">
        <f>L1135*(1+(Inputs!$B$11+B1159+(F1151-Calc!F25))/100)</f>
        <v/>
      </c>
      <c r="N1135">
        <f>L1135*(1-MIN(Inputs!$B$10+((F1150-Calc!F24)+(F1149-Calc!F23)),100)/100)+M1135*(MIN(Inputs!$B$10+((F1150-Calc!F24)+(F1149-Calc!F23)),100)/100)</f>
        <v/>
      </c>
      <c r="O1135">
        <f>IF(C1135,H1135*N1135*IF(AND(Inputs!$B$39&lt;&gt;"pvp",Inputs!$B$44&gt;0),((Skills!F9*((R1135-1)*IF(Skills!G9&gt;0,Skills!H9/Skills!G9,1)+IF(Skills!G9&gt;0,MIN(Skills!H9,MAX(0,MAX(0,Inputs!$B$44-B1165)-((R1135-1)*IF(Inputs!$B$39="pvp",15,MAX(0.1,Skills!D9-IF(Skills!E9=TRUE,Inputs!$B$33,0))))))/Skills!G9,1)))/Inputs!$B$44),G1135*Q1135)*IF(Inputs!$B$39="pvp",1,(1-Summary!$B$48)*(1)+Summary!$B$48*(MIN(Skills!Q9,Inputs!$B$38))),0)</f>
        <v/>
      </c>
      <c r="P1135">
        <f>IF(B1166=0,0,O1135/B1166)</f>
        <v/>
      </c>
      <c r="Q1135">
        <f>IFERROR(1/IF(Inputs!$B$39="pvp",15,MAX(0.1,Skills!D9-IF(Skills!E9=TRUE,Inputs!$B$33,0))),0)</f>
        <v/>
      </c>
      <c r="R1135">
        <f>IF(AND(Inputs!$B$39&lt;&gt;"pvp",Inputs!$B$44&gt;0),IF(MAX(0,Inputs!$B$44-B1165)&lt;=0,0,(INT(MAX(0,Inputs!$B$44-B1165)/IF(Inputs!$B$39="pvp",15,MAX(0.1,Skills!D9-IF(Skills!E9=TRUE,Inputs!$B$33,0))))+1)),0)</f>
        <v/>
      </c>
    </row>
    <row r="1136">
      <c r="A1136">
        <f>Skills!A10</f>
        <v/>
      </c>
      <c r="B1136">
        <f>Skills!B10</f>
        <v/>
      </c>
      <c r="C1136">
        <f>Inputs!$B$3&gt;=66</f>
        <v/>
      </c>
      <c r="D1136">
        <f>IF(Skills!C10=1,60+Inputs!$B$26+Inputs!$B$30,IF(Skills!C10=2,90+Inputs!$B$27+Inputs!$B$30,IF(Skills!C10=3,120+Inputs!$B$28+Inputs!$B$30,MAX(0,(Inputs!$B$3-100)*3)+Inputs!$B$29+Inputs!$B$30)))</f>
        <v/>
      </c>
      <c r="E1136">
        <f>INDEX(FactorTable!$B$2:$Y$301, MATCH(ROUND(MIN(300,MAX(1,D1136)),0), FactorTable!$A$2:$A$301,0), Skills!L10+1)</f>
        <v/>
      </c>
      <c r="F1136" t="n">
        <v>0</v>
      </c>
      <c r="G1136">
        <f>Calc!G10</f>
        <v/>
      </c>
      <c r="H1136">
        <f>Calc!H10</f>
        <v/>
      </c>
      <c r="I1136">
        <f>IF(Skills!T10&lt;&gt;"",1+(Skills!T10/10)*($Z$3/1000)/100,1)</f>
        <v/>
      </c>
      <c r="J1136" t="inlineStr"/>
      <c r="K1136" t="inlineStr"/>
      <c r="L1136" t="inlineStr"/>
      <c r="M1136" t="inlineStr"/>
      <c r="N1136" t="inlineStr"/>
      <c r="O1136" t="n">
        <v>0</v>
      </c>
      <c r="P1136">
        <f>IF(B1166=0,0,O1136/B1166)</f>
        <v/>
      </c>
      <c r="Q1136">
        <f>IFERROR(1/IF(Inputs!$B$39="pvp",15,MAX(0.1,Skills!D10-IF(Skills!E10=TRUE,Inputs!$B$33,0))),0)</f>
        <v/>
      </c>
      <c r="R1136">
        <f>IF(AND(Inputs!$B$39&lt;&gt;"pvp",Inputs!$B$44&gt;0),IF(MAX(0,Inputs!$B$44-B1165)&lt;=0,0,(INT(MAX(0,Inputs!$B$44-B1165)/IF(Inputs!$B$39="pvp",15,MAX(0.1,Skills!D10-IF(Skills!E10=TRUE,Inputs!$B$33,0))))+1)),0)</f>
        <v/>
      </c>
    </row>
    <row r="1137">
      <c r="A1137">
        <f>Skills!A11</f>
        <v/>
      </c>
      <c r="B1137">
        <f>Skills!B11</f>
        <v/>
      </c>
      <c r="C1137">
        <f>Inputs!$B$3&gt;=69</f>
        <v/>
      </c>
      <c r="D1137">
        <f>IF(Skills!C11=1,60+Inputs!$B$26+Inputs!$B$30,IF(Skills!C11=2,90+Inputs!$B$27+Inputs!$B$30,IF(Skills!C11=3,120+Inputs!$B$28+Inputs!$B$30,MAX(0,(Inputs!$B$3-100)*3)+Inputs!$B$29+Inputs!$B$30)))</f>
        <v/>
      </c>
      <c r="E1137">
        <f>INDEX(FactorTable!$B$2:$Y$301, MATCH(ROUND(MIN(300,MAX(1,D1137)),0), FactorTable!$A$2:$A$301,0), Skills!L11+1)</f>
        <v/>
      </c>
      <c r="F1137">
        <f>IF(Skills!M11=TRUE,(Skills!K11/10)*(E1137/1000),Skills!K11/10)+Skills!N11</f>
        <v/>
      </c>
      <c r="G1137">
        <f>Calc!G11</f>
        <v/>
      </c>
      <c r="H1137">
        <f>Calc!H11</f>
        <v/>
      </c>
      <c r="I1137">
        <f>IF(Skills!T11&lt;&gt;"",1+(Skills!T11/10)*($Z$3/1000)/100,1)</f>
        <v/>
      </c>
      <c r="J1137" t="inlineStr"/>
      <c r="K1137" t="inlineStr"/>
      <c r="L1137" t="inlineStr"/>
      <c r="M1137" t="inlineStr"/>
      <c r="N1137" t="inlineStr"/>
      <c r="O1137" t="n">
        <v>0</v>
      </c>
      <c r="P1137">
        <f>IF(B1166=0,0,O1137/B1166)</f>
        <v/>
      </c>
      <c r="Q1137">
        <f>IFERROR(1/IF(Inputs!$B$39="pvp",15,MAX(0.1,Skills!D11-IF(Skills!E11=TRUE,Inputs!$B$33,0))),0)</f>
        <v/>
      </c>
      <c r="R1137">
        <f>IF(AND(Inputs!$B$39&lt;&gt;"pvp",Inputs!$B$44&gt;0),IF(Inputs!$B$44&lt;=0,0,(INT(Inputs!$B$44/IF(Inputs!$B$39="pvp",15,MAX(0.1,Skills!D11-IF(Skills!E11=TRUE,Inputs!$B$33,0))))+1)),0)</f>
        <v/>
      </c>
    </row>
    <row r="1138">
      <c r="A1138">
        <f>Skills!A12</f>
        <v/>
      </c>
      <c r="B1138">
        <f>Skills!B12</f>
        <v/>
      </c>
      <c r="C1138">
        <f>Inputs!$B$3&gt;=72</f>
        <v/>
      </c>
      <c r="D1138">
        <f>IF(Skills!C12=1,60+Inputs!$B$26+Inputs!$B$30,IF(Skills!C12=2,90+Inputs!$B$27+Inputs!$B$30,IF(Skills!C12=3,120+Inputs!$B$28+Inputs!$B$30,MAX(0,(Inputs!$B$3-100)*3)+Inputs!$B$29+Inputs!$B$30)))</f>
        <v/>
      </c>
      <c r="E1138">
        <f>INDEX(FactorTable!$B$2:$Y$301, MATCH(ROUND(MIN(300,MAX(1,D1138)),0), FactorTable!$A$2:$A$301,0), Skills!L12+1)</f>
        <v/>
      </c>
      <c r="F1138">
        <f>IF(Skills!M12=TRUE,(Skills!K12/10)*(E1138/1000),Skills!K12/10)+Skills!N12</f>
        <v/>
      </c>
      <c r="G1138">
        <f>Calc!G12</f>
        <v/>
      </c>
      <c r="H1138">
        <f>Calc!H12</f>
        <v/>
      </c>
      <c r="I1138">
        <f>IF(Skills!T12&lt;&gt;"",1+(Skills!T12/10)*($Z$3/1000)/100,1)</f>
        <v/>
      </c>
      <c r="J1138" t="inlineStr"/>
      <c r="K1138" t="inlineStr"/>
      <c r="L1138" t="inlineStr"/>
      <c r="M1138" t="inlineStr"/>
      <c r="N1138" t="inlineStr"/>
      <c r="O1138" t="n">
        <v>0</v>
      </c>
      <c r="P1138">
        <f>IF(B1166=0,0,O1138/B1166)</f>
        <v/>
      </c>
      <c r="Q1138">
        <f>IFERROR(1/IF(Inputs!$B$39="pvp",15,MAX(0.1,Skills!D12-IF(Skills!E12=TRUE,Inputs!$B$33,0))),0)</f>
        <v/>
      </c>
      <c r="R1138">
        <f>IF(AND(Inputs!$B$39&lt;&gt;"pvp",Inputs!$B$44&gt;0),IF(MAX(0,Inputs!$B$44-B1165)&lt;=0,0,(INT(MAX(0,Inputs!$B$44-B1165)/IF(Inputs!$B$39="pvp",15,MAX(0.1,Skills!D12-IF(Skills!E12=TRUE,Inputs!$B$33,0))))+1)),0)</f>
        <v/>
      </c>
    </row>
    <row r="1139">
      <c r="A1139">
        <f>Skills!A13</f>
        <v/>
      </c>
      <c r="B1139">
        <f>Skills!B13</f>
        <v/>
      </c>
      <c r="C1139">
        <f>Inputs!$B$3&gt;=60</f>
        <v/>
      </c>
      <c r="D1139">
        <f>IF(Skills!C13=1,60+Inputs!$B$26+Inputs!$B$30,IF(Skills!C13=2,90+Inputs!$B$27+Inputs!$B$30,IF(Skills!C13=3,120+Inputs!$B$28+Inputs!$B$30,MAX(0,(Inputs!$B$3-100)*3)+Inputs!$B$29+Inputs!$B$30)))</f>
        <v/>
      </c>
      <c r="E1139">
        <f>INDEX(FactorTable!$B$2:$Y$301, MATCH(ROUND(MIN(300,MAX(1,D1139)),0), FactorTable!$A$2:$A$301,0), Skills!L13+1)</f>
        <v/>
      </c>
      <c r="F1139">
        <f>IF(Skills!M13=TRUE,(Skills!K13/10)*(E1139/1000),Skills!K13/10)+Skills!N13</f>
        <v/>
      </c>
      <c r="G1139">
        <f>Calc!G13</f>
        <v/>
      </c>
      <c r="H1139">
        <f>Calc!H13</f>
        <v/>
      </c>
      <c r="I1139">
        <f>IF(Skills!T13&lt;&gt;"",1+(Skills!T13/10)*($Z$3/1000)/100,1)</f>
        <v/>
      </c>
      <c r="J1139" t="inlineStr"/>
      <c r="K1139" t="inlineStr"/>
      <c r="L1139" t="inlineStr"/>
      <c r="M1139" t="inlineStr"/>
      <c r="N1139" t="inlineStr"/>
      <c r="O1139" t="n">
        <v>0</v>
      </c>
      <c r="P1139">
        <f>IF(B1166=0,0,O1139/B1166)</f>
        <v/>
      </c>
      <c r="Q1139">
        <f>IFERROR(1/IF(Inputs!$B$39="pvp",15,MAX(0.1,Skills!D13-IF(Skills!E13=TRUE,Inputs!$B$33,0))),0)</f>
        <v/>
      </c>
      <c r="R1139">
        <f>IF(AND(Inputs!$B$39&lt;&gt;"pvp",Inputs!$B$44&gt;0),IF(MAX(0,Inputs!$B$44-B1165)&lt;=0,0,(INT(MAX(0,Inputs!$B$44-B1165)/IF(Inputs!$B$39="pvp",15,MAX(0.1,Skills!D13-IF(Skills!E13=TRUE,Inputs!$B$33,0))))+1)),0)</f>
        <v/>
      </c>
    </row>
    <row r="1140">
      <c r="A1140">
        <f>Skills!A14</f>
        <v/>
      </c>
      <c r="B1140">
        <f>Skills!B14</f>
        <v/>
      </c>
      <c r="C1140">
        <f>Inputs!$B$3&gt;=107</f>
        <v/>
      </c>
      <c r="D1140">
        <f>IF(Skills!C14=1,60+Inputs!$B$26+Inputs!$B$30,IF(Skills!C14=2,90+Inputs!$B$27+Inputs!$B$30,IF(Skills!C14=3,120+Inputs!$B$28+Inputs!$B$30,MAX(0,(Inputs!$B$3-100)*3)+Inputs!$B$29+Inputs!$B$30)))</f>
        <v/>
      </c>
      <c r="E1140">
        <f>INDEX(FactorTable!$B$2:$Y$301, MATCH(ROUND(MIN(300,MAX(1,D1140)),0), FactorTable!$A$2:$A$301,0), Skills!L14+1)</f>
        <v/>
      </c>
      <c r="F1140">
        <f>IF(Skills!M14=TRUE,(Skills!K14/10)*(E1140/1000),Skills!K14/10)+Skills!N14</f>
        <v/>
      </c>
      <c r="G1140">
        <f>Calc!G14</f>
        <v/>
      </c>
      <c r="H1140">
        <f>Calc!H14</f>
        <v/>
      </c>
      <c r="I1140">
        <f>IF(Skills!T14&lt;&gt;"",1+(Skills!T14/10)*($Z$3/1000)/100,1)</f>
        <v/>
      </c>
      <c r="J1140" t="inlineStr"/>
      <c r="K1140" t="inlineStr"/>
      <c r="L1140" t="inlineStr"/>
      <c r="M1140" t="inlineStr"/>
      <c r="N1140" t="inlineStr"/>
      <c r="O1140" t="n">
        <v>0</v>
      </c>
      <c r="P1140">
        <f>IF(B1166=0,0,O1140/B1166)</f>
        <v/>
      </c>
      <c r="Q1140">
        <f>IFERROR(1/IF(Inputs!$B$39="pvp",15,MAX(0.1,Skills!D14-IF(Skills!E14=TRUE,Inputs!$B$33,0))),0)</f>
        <v/>
      </c>
      <c r="R1140">
        <f>IF(AND(Inputs!$B$39&lt;&gt;"pvp",Inputs!$B$44&gt;0),IF(Inputs!$B$44&lt;=0,0,(INT(Inputs!$B$44/IF(Inputs!$B$39="pvp",15,MAX(0.1,Skills!D14-IF(Skills!E14=TRUE,Inputs!$B$33,0))))+1)),0)</f>
        <v/>
      </c>
    </row>
    <row r="1141">
      <c r="A1141">
        <f>Skills!A15</f>
        <v/>
      </c>
      <c r="B1141">
        <f>Skills!B15</f>
        <v/>
      </c>
      <c r="C1141">
        <f>Inputs!$B$3&gt;=63</f>
        <v/>
      </c>
      <c r="D1141">
        <f>IF(Skills!C15=1,60+Inputs!$B$26+Inputs!$B$30,IF(Skills!C15=2,90+Inputs!$B$27+Inputs!$B$30,IF(Skills!C15=3,120+Inputs!$B$28+Inputs!$B$30,MAX(0,(Inputs!$B$3-100)*3)+Inputs!$B$29+Inputs!$B$30)))</f>
        <v/>
      </c>
      <c r="E1141">
        <f>INDEX(FactorTable!$B$2:$Y$301, MATCH(ROUND(MIN(300,MAX(1,D1141)),0), FactorTable!$A$2:$A$301,0), Skills!L15+1)</f>
        <v/>
      </c>
      <c r="F1141">
        <f>IF(Skills!M15=TRUE,(Skills!K15/10)*(E1141/1000),Skills!K15/10)+Skills!N15</f>
        <v/>
      </c>
      <c r="G1141">
        <f>Calc!G15</f>
        <v/>
      </c>
      <c r="H1141">
        <f>Calc!H15</f>
        <v/>
      </c>
      <c r="I1141">
        <f>IF(Skills!T15&lt;&gt;"",1+(Skills!T15/10)*($Z$3/1000)/100,1)</f>
        <v/>
      </c>
      <c r="J1141">
        <f>((Inputs!$B$6*(1+Inputs!$B$7/100))+(((Inputs!$B$13*(1+Inputs!$B$14/100))-(Inputs!$B$13*(1+Inputs!$B$14/100)))+0.25*(Inputs!$B$15-Inputs!$B$15))*(1+Inputs!$B$7/100))*(F1141/100)</f>
        <v/>
      </c>
      <c r="K1141">
        <f>J1141*(1+(((Inputs!$B$13+IF(Inputs!$B$3&gt;=35,(10*INDEX(FactorTable!$B$2:$Y$301, MATCH(ROUND(MIN(300,MAX(1,Inputs!$B$3)),0), FactorTable!$A$2:$A$301,0), 23)/1000)/100*(Inputs!$B$8*(1+(Inputs!$B$9+B1164)/100)),0))*(1+Inputs!$B$14/100))*0.01+Inputs!$B$15*0.0025)/100)*(1+(Inputs!$B$16+B1158)/100)*(1+IF(Inputs!$B$39="pvp",0,(1-Summary!$B$48)*(Inputs!$B$21+Skills!O15+B1156)+Summary!$B$48*(Inputs!$B$22+Skills!P15+B1157))/100)*(1+Inputs!$B$17/100)*(5000/(6000+Inputs!$B$43*(1-Inputs!$B$20/100)))*(1+Inputs!$B$25/100)*(1+IF(C1144=TRUE,F1144,0)/100)*(1+IF(C1146=TRUE,F1146,0)/100)*(1+IF(Skills!A15="TRIUMPH_FEATHER",IF(C1142=TRUE,F1142,0),0)/100)*(1+IF(C1153=TRUE,F1153,0)/100)^5*(1+(IF(Skills!A15="BIG_BANG",Inputs!$B$18,Inputs!$B$19))/100)*(B1155*I1141)</f>
        <v/>
      </c>
      <c r="L1141">
        <f>K1141*(MIN(Inputs!$B$23+(F1148-Calc!F22),Inputs!$B$24)/100+Inputs!$B$24/100)/2</f>
        <v/>
      </c>
      <c r="M1141">
        <f>L1141*(1+(Inputs!$B$11+B1159+(F1151-Calc!F25))/100)</f>
        <v/>
      </c>
      <c r="N1141">
        <f>L1141*(1-MIN(Inputs!$B$10+((F1150-Calc!F24)+(F1149-Calc!F23)),100)/100)+M1141*(MIN(Inputs!$B$10+((F1150-Calc!F24)+(F1149-Calc!F23)),100)/100)</f>
        <v/>
      </c>
      <c r="O1141">
        <f>IF(C1141,Skills!F15*N1141*((IF(Inputs!$B$3&gt;=78,25,15)/100*B1161*10)/(1+IF(Inputs!$B$3&gt;=78,25,15)/100*B1161*10))*(Skills!I15/100*B1161)/(1+Skills!G15*Skills!I15/100*B1161)*IF(Inputs!$B$39="pvp",1,(1-Summary!$B$48)*(1)+Summary!$B$48*(MIN(Skills!Q15,Inputs!$B$38))),0)</f>
        <v/>
      </c>
      <c r="P1141">
        <f>IF(B1166=0,0,O1141/B1166)</f>
        <v/>
      </c>
      <c r="Q1141">
        <f>IFERROR(1/IF(Inputs!$B$39="pvp",15,MAX(0.1,Skills!D15-IF(Skills!E15=TRUE,Inputs!$B$33,0))),0)</f>
        <v/>
      </c>
      <c r="R1141" t="n">
        <v>0</v>
      </c>
    </row>
    <row r="1142">
      <c r="A1142">
        <f>Skills!A16</f>
        <v/>
      </c>
      <c r="B1142">
        <f>Skills!B16</f>
        <v/>
      </c>
      <c r="C1142">
        <f>Inputs!$B$3&gt;=100</f>
        <v/>
      </c>
      <c r="D1142">
        <f>IF(Skills!C16=1,60+Inputs!$B$26+Inputs!$B$30,IF(Skills!C16=2,90+Inputs!$B$27+Inputs!$B$30,IF(Skills!C16=3,120+Inputs!$B$28+Inputs!$B$30,MAX(0,(Inputs!$B$3-100)*3)+Inputs!$B$29+Inputs!$B$30)))</f>
        <v/>
      </c>
      <c r="E1142">
        <f>INDEX(FactorTable!$B$2:$Y$301, MATCH(ROUND(MIN(300,MAX(1,D1142)),0), FactorTable!$A$2:$A$301,0), Skills!L16+1)</f>
        <v/>
      </c>
      <c r="F1142">
        <f>IF(Skills!M16=TRUE,(Skills!K16/10)*(E1142/1000),Skills!K16/10)+Skills!N16</f>
        <v/>
      </c>
      <c r="G1142">
        <f>Calc!G16</f>
        <v/>
      </c>
      <c r="H1142">
        <f>Calc!H16</f>
        <v/>
      </c>
      <c r="I1142">
        <f>IF(Skills!T16&lt;&gt;"",1+(Skills!T16/10)*($Z$3/1000)/100,1)</f>
        <v/>
      </c>
      <c r="J1142" t="inlineStr"/>
      <c r="K1142" t="inlineStr"/>
      <c r="L1142" t="inlineStr"/>
      <c r="M1142" t="inlineStr"/>
      <c r="N1142" t="inlineStr"/>
      <c r="O1142" t="n">
        <v>0</v>
      </c>
      <c r="P1142">
        <f>IF(B1166=0,0,O1142/B1166)</f>
        <v/>
      </c>
      <c r="Q1142">
        <f>IFERROR(1/IF(Inputs!$B$39="pvp",15,MAX(0.1,Skills!D16-IF(Skills!E16=TRUE,Inputs!$B$33,0))),0)</f>
        <v/>
      </c>
      <c r="R1142" t="n">
        <v>0</v>
      </c>
    </row>
    <row r="1143">
      <c r="A1143">
        <f>Skills!A17</f>
        <v/>
      </c>
      <c r="B1143">
        <f>Skills!B17</f>
        <v/>
      </c>
      <c r="C1143">
        <f>Inputs!$B$3&gt;=49</f>
        <v/>
      </c>
      <c r="D1143">
        <f>IF(Skills!C17=1,60+Inputs!$B$26+Inputs!$B$30,IF(Skills!C17=2,90+Inputs!$B$27+Inputs!$B$30,IF(Skills!C17=3,120+Inputs!$B$28+Inputs!$B$30,MAX(0,(Inputs!$B$3-100)*3)+Inputs!$B$29+Inputs!$B$30)))</f>
        <v/>
      </c>
      <c r="E1143">
        <f>INDEX(FactorTable!$B$2:$Y$301, MATCH(ROUND(MIN(300,MAX(1,D1143)),0), FactorTable!$A$2:$A$301,0), Skills!L17+1)</f>
        <v/>
      </c>
      <c r="F1143">
        <f>IF(Skills!M17=TRUE,(Skills!K17/10)*(E1143/1000),Skills!K17/10)+Skills!N17</f>
        <v/>
      </c>
      <c r="G1143">
        <f>Calc!G17</f>
        <v/>
      </c>
      <c r="H1143">
        <f>Calc!H17</f>
        <v/>
      </c>
      <c r="I1143">
        <f>IF(Skills!T17&lt;&gt;"",1+(Skills!T17/10)*($Z$3/1000)/100,1)</f>
        <v/>
      </c>
      <c r="J1143" t="inlineStr"/>
      <c r="K1143" t="inlineStr"/>
      <c r="L1143" t="inlineStr"/>
      <c r="M1143" t="inlineStr"/>
      <c r="N1143" t="inlineStr"/>
      <c r="O1143" t="n">
        <v>0</v>
      </c>
      <c r="P1143">
        <f>IF(B1166=0,0,O1143/B1166)</f>
        <v/>
      </c>
      <c r="Q1143">
        <f>IFERROR(1/IF(Inputs!$B$39="pvp",15,MAX(0.1,Skills!D17-IF(Skills!E17=TRUE,Inputs!$B$33,0))),0)</f>
        <v/>
      </c>
      <c r="R1143" t="n">
        <v>0</v>
      </c>
    </row>
    <row r="1144">
      <c r="A1144">
        <f>Skills!A18</f>
        <v/>
      </c>
      <c r="B1144">
        <f>Skills!B18</f>
        <v/>
      </c>
      <c r="C1144">
        <f>Inputs!$B$3&gt;=75</f>
        <v/>
      </c>
      <c r="D1144">
        <f>IF(Skills!C18=1,60+Inputs!$B$26+Inputs!$B$30,IF(Skills!C18=2,90+Inputs!$B$27+Inputs!$B$30,IF(Skills!C18=3,120+Inputs!$B$28+Inputs!$B$30,MAX(0,(Inputs!$B$3-100)*3)+Inputs!$B$29+Inputs!$B$30)))</f>
        <v/>
      </c>
      <c r="E1144">
        <f>INDEX(FactorTable!$B$2:$Y$301, MATCH(ROUND(MIN(300,MAX(1,D1144)),0), FactorTable!$A$2:$A$301,0), Skills!L18+1)</f>
        <v/>
      </c>
      <c r="F1144">
        <f>IF(Skills!M18=TRUE,(Skills!K18/10)*(E1144/1000),Skills!K18/10)+Skills!N18</f>
        <v/>
      </c>
      <c r="G1144">
        <f>Calc!G18</f>
        <v/>
      </c>
      <c r="H1144">
        <f>Calc!H18</f>
        <v/>
      </c>
      <c r="I1144">
        <f>IF(Skills!T18&lt;&gt;"",1+(Skills!T18/10)*($Z$3/1000)/100,1)</f>
        <v/>
      </c>
      <c r="J1144" t="inlineStr"/>
      <c r="K1144" t="inlineStr"/>
      <c r="L1144" t="inlineStr"/>
      <c r="M1144" t="inlineStr"/>
      <c r="N1144" t="inlineStr"/>
      <c r="O1144" t="n">
        <v>0</v>
      </c>
      <c r="P1144">
        <f>IF(B1166=0,0,O1144/B1166)</f>
        <v/>
      </c>
      <c r="Q1144">
        <f>IFERROR(1/IF(Inputs!$B$39="pvp",15,MAX(0.1,Skills!D18-IF(Skills!E18=TRUE,Inputs!$B$33,0))),0)</f>
        <v/>
      </c>
      <c r="R1144" t="n">
        <v>0</v>
      </c>
    </row>
    <row r="1145">
      <c r="A1145">
        <f>Skills!A19</f>
        <v/>
      </c>
      <c r="B1145">
        <f>Skills!B19</f>
        <v/>
      </c>
      <c r="C1145">
        <f>Inputs!$B$3&gt;=110</f>
        <v/>
      </c>
      <c r="D1145">
        <f>IF(Skills!C19=1,60+Inputs!$B$26+Inputs!$B$30,IF(Skills!C19=2,90+Inputs!$B$27+Inputs!$B$30,IF(Skills!C19=3,120+Inputs!$B$28+Inputs!$B$30,MAX(0,(Inputs!$B$3-100)*3)+Inputs!$B$29+Inputs!$B$30)))</f>
        <v/>
      </c>
      <c r="E1145">
        <f>INDEX(FactorTable!$B$2:$Y$301, MATCH(ROUND(MIN(300,MAX(1,D1145)),0), FactorTable!$A$2:$A$301,0), Skills!L19+1)</f>
        <v/>
      </c>
      <c r="F1145">
        <f>(Skills!K19/10)*(E1145/1000)*64/45+Skills!N19</f>
        <v/>
      </c>
      <c r="G1145">
        <f>Calc!G19</f>
        <v/>
      </c>
      <c r="H1145">
        <f>Calc!H19</f>
        <v/>
      </c>
      <c r="I1145">
        <f>IF(Skills!T19&lt;&gt;"",1+(Skills!T19/10)*($Z$3/1000)/100,1)</f>
        <v/>
      </c>
      <c r="J1145" t="inlineStr"/>
      <c r="K1145" t="inlineStr"/>
      <c r="L1145" t="inlineStr"/>
      <c r="M1145" t="inlineStr"/>
      <c r="N1145" t="inlineStr"/>
      <c r="O1145" t="n">
        <v>0</v>
      </c>
      <c r="P1145">
        <f>IF(B1166=0,0,O1145/B1166)</f>
        <v/>
      </c>
      <c r="Q1145">
        <f>IFERROR(1/IF(Inputs!$B$39="pvp",15,MAX(0.1,Skills!D19-IF(Skills!E19=TRUE,Inputs!$B$33,0))),0)</f>
        <v/>
      </c>
      <c r="R1145">
        <f>IF(AND(Inputs!$B$39&lt;&gt;"pvp",Inputs!$B$44&gt;0),IF(Inputs!$B$44&lt;=0,0,(INT(Inputs!$B$44/IF(Inputs!$B$39="pvp",15,MAX(0.1,Skills!D19-IF(Skills!E19=TRUE,Inputs!$B$33,0))))+1)),0)</f>
        <v/>
      </c>
    </row>
    <row r="1146">
      <c r="A1146">
        <f>Skills!A20</f>
        <v/>
      </c>
      <c r="B1146">
        <f>Skills!B20</f>
        <v/>
      </c>
      <c r="C1146">
        <f>Inputs!$B$3&gt;=125</f>
        <v/>
      </c>
      <c r="D1146">
        <f>IF(Skills!C20=1,60+Inputs!$B$26+Inputs!$B$30,IF(Skills!C20=2,90+Inputs!$B$27+Inputs!$B$30,IF(Skills!C20=3,120+Inputs!$B$28+Inputs!$B$30,MAX(0,(Inputs!$B$3-100)*3)+Inputs!$B$29+Inputs!$B$30)))</f>
        <v/>
      </c>
      <c r="E1146">
        <f>INDEX(FactorTable!$B$2:$Y$301, MATCH(ROUND(MIN(300,MAX(1,D1146)),0), FactorTable!$A$2:$A$301,0), Skills!L20+1)</f>
        <v/>
      </c>
      <c r="F1146">
        <f>IF(Skills!M20=TRUE,(Skills!K20/10)*(E1146/1000),Skills!K20/10)+Skills!N20</f>
        <v/>
      </c>
      <c r="G1146">
        <f>Calc!G20</f>
        <v/>
      </c>
      <c r="H1146">
        <f>Calc!H20</f>
        <v/>
      </c>
      <c r="I1146">
        <f>IF(Skills!T20&lt;&gt;"",1+(Skills!T20/10)*($Z$3/1000)/100,1)</f>
        <v/>
      </c>
      <c r="J1146" t="inlineStr"/>
      <c r="K1146" t="inlineStr"/>
      <c r="L1146" t="inlineStr"/>
      <c r="M1146" t="inlineStr"/>
      <c r="N1146" t="inlineStr"/>
      <c r="O1146" t="n">
        <v>0</v>
      </c>
      <c r="P1146">
        <f>IF(B1166=0,0,O1146/B1166)</f>
        <v/>
      </c>
      <c r="Q1146">
        <f>IFERROR(1/IF(Inputs!$B$39="pvp",15,MAX(0.1,Skills!D20-IF(Skills!E20=TRUE,Inputs!$B$33,0))),0)</f>
        <v/>
      </c>
      <c r="R1146" t="n">
        <v>0</v>
      </c>
    </row>
    <row r="1147">
      <c r="A1147">
        <f>Skills!A21</f>
        <v/>
      </c>
      <c r="B1147">
        <f>Skills!B21</f>
        <v/>
      </c>
      <c r="C1147">
        <f>Inputs!$B$3&gt;=33</f>
        <v/>
      </c>
      <c r="D1147">
        <f>IF(Skills!C21=1,60+Inputs!$B$26+Inputs!$B$30,IF(Skills!C21=2,90+Inputs!$B$27+Inputs!$B$30,IF(Skills!C21=3,120+Inputs!$B$28+Inputs!$B$30,MAX(0,(Inputs!$B$3-100)*3)+Inputs!$B$29+Inputs!$B$30)))</f>
        <v/>
      </c>
      <c r="E1147">
        <f>INDEX(FactorTable!$B$2:$Y$301, MATCH(ROUND(MIN(300,MAX(1,D1147)),0), FactorTable!$A$2:$A$301,0), Skills!L21+1)</f>
        <v/>
      </c>
      <c r="F1147">
        <f>IF(Skills!M21=TRUE,(Skills!K21/10)*(E1147/1000),Skills!K21/10)+Skills!N21</f>
        <v/>
      </c>
      <c r="G1147">
        <f>Calc!G21</f>
        <v/>
      </c>
      <c r="H1147">
        <f>Calc!H21</f>
        <v/>
      </c>
      <c r="I1147">
        <f>IF(Skills!T21&lt;&gt;"",1+(Skills!T21/10)*($Z$3/1000)/100,1)</f>
        <v/>
      </c>
      <c r="J1147" t="inlineStr"/>
      <c r="K1147" t="inlineStr"/>
      <c r="L1147" t="inlineStr"/>
      <c r="M1147" t="inlineStr"/>
      <c r="N1147" t="inlineStr"/>
      <c r="O1147" t="n">
        <v>0</v>
      </c>
      <c r="P1147">
        <f>IF(B1166=0,0,O1147/B1166)</f>
        <v/>
      </c>
      <c r="Q1147">
        <f>IFERROR(1/IF(Inputs!$B$39="pvp",15,MAX(0.1,Skills!D21-IF(Skills!E21=TRUE,Inputs!$B$33,0))),0)</f>
        <v/>
      </c>
      <c r="R1147" t="n">
        <v>0</v>
      </c>
    </row>
    <row r="1148">
      <c r="A1148">
        <f>Skills!A22</f>
        <v/>
      </c>
      <c r="B1148">
        <f>Skills!B22</f>
        <v/>
      </c>
      <c r="C1148">
        <f>Inputs!$B$3&gt;=43</f>
        <v/>
      </c>
      <c r="D1148">
        <f>IF(Skills!C22=1,60+Inputs!$B$26+Inputs!$B$30,IF(Skills!C22=2,90+Inputs!$B$27+Inputs!$B$30,IF(Skills!C22=3,120+Inputs!$B$28+Inputs!$B$30,MAX(0,(Inputs!$B$3-100)*3)+Inputs!$B$29+Inputs!$B$30)))</f>
        <v/>
      </c>
      <c r="E1148">
        <f>INDEX(FactorTable!$B$2:$Y$301, MATCH(ROUND(MIN(300,MAX(1,D1148)),0), FactorTable!$A$2:$A$301,0), Skills!L22+1)</f>
        <v/>
      </c>
      <c r="F1148">
        <f>IF(Skills!M22=TRUE,(Skills!K22/10)*(E1148/1000),Skills!K22/10)+Skills!N22</f>
        <v/>
      </c>
      <c r="G1148">
        <f>Calc!G22</f>
        <v/>
      </c>
      <c r="H1148">
        <f>Calc!H22</f>
        <v/>
      </c>
      <c r="I1148">
        <f>IF(Skills!T22&lt;&gt;"",1+(Skills!T22/10)*($Z$3/1000)/100,1)</f>
        <v/>
      </c>
      <c r="J1148" t="inlineStr"/>
      <c r="K1148" t="inlineStr"/>
      <c r="L1148" t="inlineStr"/>
      <c r="M1148" t="inlineStr"/>
      <c r="N1148" t="inlineStr"/>
      <c r="O1148" t="n">
        <v>0</v>
      </c>
      <c r="P1148">
        <f>IF(B1166=0,0,O1148/B1166)</f>
        <v/>
      </c>
      <c r="Q1148">
        <f>IFERROR(1/IF(Inputs!$B$39="pvp",15,MAX(0.1,Skills!D22-IF(Skills!E22=TRUE,Inputs!$B$33,0))),0)</f>
        <v/>
      </c>
      <c r="R1148" t="n">
        <v>0</v>
      </c>
    </row>
    <row r="1149">
      <c r="A1149">
        <f>Skills!A23</f>
        <v/>
      </c>
      <c r="B1149">
        <f>Skills!B23</f>
        <v/>
      </c>
      <c r="C1149">
        <f>Inputs!$B$3&gt;=50</f>
        <v/>
      </c>
      <c r="D1149">
        <f>IF(Skills!C23=1,60+Inputs!$B$26+Inputs!$B$30,IF(Skills!C23=2,90+Inputs!$B$27+Inputs!$B$30,IF(Skills!C23=3,120+Inputs!$B$28+Inputs!$B$30,MAX(0,(Inputs!$B$3-100)*3)+Inputs!$B$29+Inputs!$B$30)))</f>
        <v/>
      </c>
      <c r="E1149">
        <f>INDEX(FactorTable!$B$2:$Y$301, MATCH(ROUND(MIN(300,MAX(1,D1149)),0), FactorTable!$A$2:$A$301,0), Skills!L23+1)</f>
        <v/>
      </c>
      <c r="F1149">
        <f>IF(Skills!M23=TRUE,(Skills!K23/10)*(E1149/1000),Skills!K23/10)+Skills!N23</f>
        <v/>
      </c>
      <c r="G1149">
        <f>Calc!G23</f>
        <v/>
      </c>
      <c r="H1149">
        <f>Calc!H23</f>
        <v/>
      </c>
      <c r="I1149">
        <f>IF(Skills!T23&lt;&gt;"",1+(Skills!T23/10)*($Z$3/1000)/100,1)</f>
        <v/>
      </c>
      <c r="J1149" t="inlineStr"/>
      <c r="K1149" t="inlineStr"/>
      <c r="L1149" t="inlineStr"/>
      <c r="M1149" t="inlineStr"/>
      <c r="N1149" t="inlineStr"/>
      <c r="O1149" t="n">
        <v>0</v>
      </c>
      <c r="P1149">
        <f>IF(B1166=0,0,O1149/B1166)</f>
        <v/>
      </c>
      <c r="Q1149">
        <f>IFERROR(1/IF(Inputs!$B$39="pvp",15,MAX(0.1,Skills!D23-IF(Skills!E23=TRUE,Inputs!$B$33,0))),0)</f>
        <v/>
      </c>
      <c r="R1149" t="n">
        <v>0</v>
      </c>
    </row>
    <row r="1150">
      <c r="A1150">
        <f>Skills!A24</f>
        <v/>
      </c>
      <c r="B1150">
        <f>Skills!B24</f>
        <v/>
      </c>
      <c r="C1150">
        <f>Inputs!$B$3&gt;=74</f>
        <v/>
      </c>
      <c r="D1150">
        <f>IF(Skills!C24=1,60+Inputs!$B$26+Inputs!$B$30,IF(Skills!C24=2,90+Inputs!$B$27+Inputs!$B$30,IF(Skills!C24=3,120+Inputs!$B$28+Inputs!$B$30,MAX(0,(Inputs!$B$3-100)*3)+Inputs!$B$29+Inputs!$B$30)))</f>
        <v/>
      </c>
      <c r="E1150">
        <f>INDEX(FactorTable!$B$2:$Y$301, MATCH(ROUND(MIN(300,MAX(1,D1150)),0), FactorTable!$A$2:$A$301,0), Skills!L24+1)</f>
        <v/>
      </c>
      <c r="F1150">
        <f>IF(Skills!M24=TRUE,(Skills!K24/10)*(E1150/1000),Skills!K24/10)+Skills!N24</f>
        <v/>
      </c>
      <c r="G1150">
        <f>Calc!G24</f>
        <v/>
      </c>
      <c r="H1150">
        <f>Calc!H24</f>
        <v/>
      </c>
      <c r="I1150">
        <f>IF(Skills!T24&lt;&gt;"",1+(Skills!T24/10)*($Z$3/1000)/100,1)</f>
        <v/>
      </c>
      <c r="J1150" t="inlineStr"/>
      <c r="K1150" t="inlineStr"/>
      <c r="L1150" t="inlineStr"/>
      <c r="M1150" t="inlineStr"/>
      <c r="N1150" t="inlineStr"/>
      <c r="O1150" t="n">
        <v>0</v>
      </c>
      <c r="P1150">
        <f>IF(B1166=0,0,O1150/B1166)</f>
        <v/>
      </c>
      <c r="Q1150">
        <f>IFERROR(1/IF(Inputs!$B$39="pvp",15,MAX(0.1,Skills!D24-IF(Skills!E24=TRUE,Inputs!$B$33,0))),0)</f>
        <v/>
      </c>
      <c r="R1150" t="n">
        <v>0</v>
      </c>
    </row>
    <row r="1151">
      <c r="A1151">
        <f>Skills!A25</f>
        <v/>
      </c>
      <c r="B1151">
        <f>Skills!B25</f>
        <v/>
      </c>
      <c r="C1151">
        <f>Inputs!$B$3&gt;=74</f>
        <v/>
      </c>
      <c r="D1151">
        <f>IF(Skills!C25=1,60+Inputs!$B$26+Inputs!$B$30,IF(Skills!C25=2,90+Inputs!$B$27+Inputs!$B$30,IF(Skills!C25=3,120+Inputs!$B$28+Inputs!$B$30,MAX(0,(Inputs!$B$3-100)*3)+Inputs!$B$29+Inputs!$B$30)))</f>
        <v/>
      </c>
      <c r="E1151">
        <f>INDEX(FactorTable!$B$2:$Y$301, MATCH(ROUND(MIN(300,MAX(1,D1151)),0), FactorTable!$A$2:$A$301,0), Skills!L25+1)</f>
        <v/>
      </c>
      <c r="F1151">
        <f>IF(Skills!M25=TRUE,(Skills!K25/10)*(E1151/1000),Skills!K25/10)+Skills!N25</f>
        <v/>
      </c>
      <c r="G1151">
        <f>Calc!G25</f>
        <v/>
      </c>
      <c r="H1151">
        <f>Calc!H25</f>
        <v/>
      </c>
      <c r="I1151">
        <f>IF(Skills!T25&lt;&gt;"",1+(Skills!T25/10)*($Z$3/1000)/100,1)</f>
        <v/>
      </c>
      <c r="J1151" t="inlineStr"/>
      <c r="K1151" t="inlineStr"/>
      <c r="L1151" t="inlineStr"/>
      <c r="M1151" t="inlineStr"/>
      <c r="N1151" t="inlineStr"/>
      <c r="O1151" t="n">
        <v>0</v>
      </c>
      <c r="P1151">
        <f>IF(B1166=0,0,O1151/B1166)</f>
        <v/>
      </c>
      <c r="Q1151">
        <f>IFERROR(1/IF(Inputs!$B$39="pvp",15,MAX(0.1,Skills!D25-IF(Skills!E25=TRUE,Inputs!$B$33,0))),0)</f>
        <v/>
      </c>
      <c r="R1151" t="n">
        <v>0</v>
      </c>
    </row>
    <row r="1152">
      <c r="A1152">
        <f>Skills!A26</f>
        <v/>
      </c>
      <c r="B1152">
        <f>Skills!B26</f>
        <v/>
      </c>
      <c r="C1152">
        <f>Inputs!$B$3&gt;=117</f>
        <v/>
      </c>
      <c r="D1152">
        <f>IF(Skills!C26=1,60+Inputs!$B$26+Inputs!$B$30,IF(Skills!C26=2,90+Inputs!$B$27+Inputs!$B$30,IF(Skills!C26=3,120+Inputs!$B$28+Inputs!$B$30,MAX(0,(Inputs!$B$3-100)*3)+Inputs!$B$29+Inputs!$B$30)))</f>
        <v/>
      </c>
      <c r="E1152">
        <f>INDEX(FactorTable!$B$2:$Y$301, MATCH(ROUND(MIN(300,MAX(1,D1152)),0), FactorTable!$A$2:$A$301,0), Skills!L26+1)</f>
        <v/>
      </c>
      <c r="F1152">
        <f>IF(Skills!M26=TRUE,(Skills!K26/10)*(E1152/1000),Skills!K26/10)+Skills!N26</f>
        <v/>
      </c>
      <c r="G1152">
        <f>Calc!G26</f>
        <v/>
      </c>
      <c r="H1152">
        <f>Calc!H26</f>
        <v/>
      </c>
      <c r="I1152">
        <f>IF(Skills!T26&lt;&gt;"",1+(Skills!T26/10)*($Z$3/1000)/100,1)</f>
        <v/>
      </c>
      <c r="J1152" t="inlineStr"/>
      <c r="K1152" t="inlineStr"/>
      <c r="L1152" t="inlineStr"/>
      <c r="M1152" t="inlineStr"/>
      <c r="N1152" t="inlineStr"/>
      <c r="O1152" t="n">
        <v>0</v>
      </c>
      <c r="P1152">
        <f>IF(B1166=0,0,O1152/B1166)</f>
        <v/>
      </c>
      <c r="Q1152">
        <f>IFERROR(1/IF(Inputs!$B$39="pvp",15,MAX(0.1,Skills!D26-IF(Skills!E26=TRUE,Inputs!$B$33,0))),0)</f>
        <v/>
      </c>
      <c r="R1152" t="n">
        <v>0</v>
      </c>
    </row>
    <row r="1153">
      <c r="A1153">
        <f>Skills!A27</f>
        <v/>
      </c>
      <c r="B1153">
        <f>Skills!B27</f>
        <v/>
      </c>
      <c r="C1153">
        <f>Inputs!$B$3&gt;=120</f>
        <v/>
      </c>
      <c r="D1153">
        <f>IF(Skills!C27=1,60+Inputs!$B$26+Inputs!$B$30,IF(Skills!C27=2,90+Inputs!$B$27+Inputs!$B$30,IF(Skills!C27=3,120+Inputs!$B$28+Inputs!$B$30,MAX(0,(Inputs!$B$3-100)*3)+Inputs!$B$29+Inputs!$B$30)))</f>
        <v/>
      </c>
      <c r="E1153">
        <f>INDEX(FactorTable!$B$2:$Y$301, MATCH(ROUND(MIN(300,MAX(1,D1153)),0), FactorTable!$A$2:$A$301,0), Skills!L27+1)</f>
        <v/>
      </c>
      <c r="F1153">
        <f>IF(Skills!M27=TRUE,(Skills!K27/10)*(E1153/1000),Skills!K27/10)+Skills!N27</f>
        <v/>
      </c>
      <c r="G1153">
        <f>Calc!G27</f>
        <v/>
      </c>
      <c r="H1153">
        <f>Calc!H27</f>
        <v/>
      </c>
      <c r="I1153">
        <f>IF(Skills!T27&lt;&gt;"",1+(Skills!T27/10)*($Z$3/1000)/100,1)</f>
        <v/>
      </c>
      <c r="J1153" t="inlineStr"/>
      <c r="K1153" t="inlineStr"/>
      <c r="L1153" t="inlineStr"/>
      <c r="M1153" t="inlineStr"/>
      <c r="N1153" t="inlineStr"/>
      <c r="O1153" t="n">
        <v>0</v>
      </c>
      <c r="P1153">
        <f>IF(B1166=0,0,O1153/B1166)</f>
        <v/>
      </c>
      <c r="Q1153">
        <f>IFERROR(1/IF(Inputs!$B$39="pvp",15,MAX(0.1,Skills!D27-IF(Skills!E27=TRUE,Inputs!$B$33,0))),0)</f>
        <v/>
      </c>
      <c r="R1153" t="n">
        <v>0</v>
      </c>
    </row>
    <row r="1155">
      <c r="A1155" t="inlineStr">
        <is>
          <t>Average Buff Multiplier</t>
        </is>
      </c>
      <c r="B1155">
        <f>(1+(IF(C1129=TRUE,F1129*IF(AND(Inputs!$B$39&lt;&gt;"pvp",Inputs!$B$44&gt;0),(((R1129-1)*(Skills!S3*(1+((Inputs!$B$35+1)+IF(Inputs!$B$3&gt;=117,F1152,0))/100))+MIN((Skills!S3*(1+((Inputs!$B$35+1)+IF(Inputs!$B$3&gt;=117,F1152,0))/100)),MAX(0,Inputs!$B$44-((R1129-1)*Skills!D3))))/Inputs!$B$44),IF(Inputs!$B$39="pvp",MIN((Skills!S3*(1+((Inputs!$B$35+1)+IF(Inputs!$B$3&gt;=117,F1152,0))/100)),15)/15,(Skills!S3*(1+((Inputs!$B$35+1)+IF(Inputs!$B$3&gt;=117,F1152,0))/100))/Skills!D3)),0)+IF(C1130=TRUE,F1130*IF(AND(Inputs!$B$39&lt;&gt;"pvp",Inputs!$B$44&gt;0),(((R1130-1)*(Skills!S4*(1+((Inputs!$B$35+1)+IF(Inputs!$B$3&gt;=117,F1152,0))/100))+MIN((Skills!S4*(1+((Inputs!$B$35+1)+IF(Inputs!$B$3&gt;=117,F1152,0))/100)),MAX(0,Inputs!$B$44-((R1130-1)*Skills!D4))))/Inputs!$B$44),IF(Inputs!$B$39="pvp",MIN((Skills!S4*(1+((Inputs!$B$35+1)+IF(Inputs!$B$3&gt;=117,F1152,0))/100)),15)/15,(Skills!S4*(1+((Inputs!$B$35+1)+IF(Inputs!$B$3&gt;=117,F1152,0))/100))/Skills!D4)),0)+IF(C1131=TRUE,F1131*IF(AND(Inputs!$B$39&lt;&gt;"pvp",Inputs!$B$44&gt;0),(((R1131-1)*(Skills!S5*(1+((Inputs!$B$35+1)+IF(Inputs!$B$3&gt;=117,F1152,0))/100))+MIN((Skills!S5*(1+((Inputs!$B$35+1)+IF(Inputs!$B$3&gt;=117,F1152,0))/100)),MAX(0,Inputs!$B$44-((R1131-1)*Skills!D5))))/Inputs!$B$44),IF(Inputs!$B$39="pvp",MIN((Skills!S5*(1+((Inputs!$B$35+1)+IF(Inputs!$B$3&gt;=117,F1152,0))/100)),15)/15,(Skills!S5*(1+((Inputs!$B$35+1)+IF(Inputs!$B$3&gt;=117,F1152,0))/100))/Skills!D5)),0)+IF(C1137=TRUE,F1137*IF(AND(Inputs!$B$39&lt;&gt;"pvp",Inputs!$B$44&gt;0),(((R1137-1)*(Skills!S11*(1+((Inputs!$B$35+1)+IF(Inputs!$B$3&gt;=117,F1152,0))/100))+MIN((Skills!S11*(1+((Inputs!$B$35+1)+IF(Inputs!$B$3&gt;=117,F1152,0))/100)),MAX(0,Inputs!$B$44-((R1137-1)*Skills!D11))))/Inputs!$B$44),IF(Inputs!$B$39="pvp",MIN((Skills!S11*(1+((Inputs!$B$35+1)+IF(Inputs!$B$3&gt;=117,F1152,0))/100)),15)/15,(Skills!S11*(1+((Inputs!$B$35+1)+IF(Inputs!$B$3&gt;=117,F1152,0))/100))/Skills!D11)),0))/100)*IF(C1140=TRUE,(1+F1140*IF(AND(Inputs!$B$39&lt;&gt;"pvp",Inputs!$B$44&gt;0),(((R1140-1)*(Skills!S14*(1+((Inputs!$B$35+1)+IF(Inputs!$B$3&gt;=117,F1152,0))/100))+MIN((Skills!S14*(1+((Inputs!$B$35+1)+IF(Inputs!$B$3&gt;=117,F1152,0))/100)),MAX(0,Inputs!$B$44-((R1140-1)*Skills!D14))))/Inputs!$B$44),IF(Inputs!$B$39="pvp",MIN((Skills!S14*(1+((Inputs!$B$35+1)+IF(Inputs!$B$3&gt;=117,F1152,0))/100)),15)/15,(Skills!S14*(1+((Inputs!$B$35+1)+IF(Inputs!$B$3&gt;=117,F1152,0))/100))/Skills!D14))/100),1)*IF(C1145=TRUE,(1+F1145*IF(AND(Inputs!$B$39&lt;&gt;"pvp",Inputs!$B$44&gt;0),(((R1145-1)*(Skills!S19*(1+((Inputs!$B$35+1)+IF(Inputs!$B$3&gt;=117,F1152,0))/100))+MIN((Skills!S19*(1+((Inputs!$B$35+1)+IF(Inputs!$B$3&gt;=117,F1152,0))/100)),MAX(0,Inputs!$B$44-((R1145-1)*Skills!D19))))/Inputs!$B$44),IF(Inputs!$B$39="pvp",MIN((Skills!S19*(1+((Inputs!$B$35+1)+IF(Inputs!$B$3&gt;=117,F1152,0))/100)),15)/15,(Skills!S19*(1+((Inputs!$B$35+1)+IF(Inputs!$B$3&gt;=117,F1152,0))/100))/Skills!D19))/100),1)</f>
        <v/>
      </c>
    </row>
    <row r="1156">
      <c r="A1156" t="inlineStr">
        <is>
          <t>Monster Damage Taken Bonus % (Holy Fountain)</t>
        </is>
      </c>
      <c r="B1156">
        <f>IF(Inputs!$B$3&gt;=68,20*IF(Inputs!$B$39="pvp",MIN((15*(1+((Inputs!$B$35+1)+IF(Inputs!$B$3&gt;=117,F1152,0))/100)),15)/15,(15*(1+((Inputs!$B$35+1)+IF(Inputs!$B$3&gt;=117,F1152,0))/100))/Skills!D10),0)</f>
        <v/>
      </c>
    </row>
    <row r="1157">
      <c r="A1157" t="inlineStr">
        <is>
          <t>Normal Monster Damage Bonus % (Holy Symbol)</t>
        </is>
      </c>
      <c r="B1157">
        <f>IF(C1138=TRUE,F1138*IF(AND(Inputs!$B$39&lt;&gt;"pvp",Inputs!$B$44&gt;0),(((R1138-1)*(Skills!S12*(1+((Inputs!$B$35+1)+IF(Inputs!$B$3&gt;=117,F1152,0))/100))+MIN((Skills!S12*(1+((Inputs!$B$35+1)+IF(Inputs!$B$3&gt;=117,F1152,0))/100)),MAX(0,Inputs!$B$44-((R1138-1)*Skills!D12))))/Inputs!$B$44),IF(Inputs!$B$39="pvp",MIN((Skills!S12*(1+((Inputs!$B$35+1)+IF(Inputs!$B$3&gt;=117,F1152,0))/100)),15)/15,(Skills!S12*(1+((Inputs!$B$35+1)+IF(Inputs!$B$3&gt;=117,F1152,0))/100))/Skills!D12)),0)</f>
        <v/>
      </c>
    </row>
    <row r="1158">
      <c r="A1158" t="inlineStr">
        <is>
          <t>Damage % Bonus (Holy Symbol - Damage Boost)</t>
        </is>
      </c>
      <c r="B1158">
        <f>Skills!O12</f>
        <v/>
      </c>
    </row>
    <row r="1159">
      <c r="A1159" t="inlineStr">
        <is>
          <t>Crit Damage % Bonus (Blood of the Divine)</t>
        </is>
      </c>
      <c r="B1159">
        <f>4*IF(C1146=TRUE,F1146,0)</f>
        <v/>
      </c>
    </row>
    <row r="1160">
      <c r="A1160" t="inlineStr">
        <is>
          <t>Attack Speed Bonus %</t>
        </is>
      </c>
      <c r="B1160">
        <f>IF(C1143=TRUE,F1143+(F1147-Calc!F21),0)+IF(Inputs!$B$3&gt;=134,15,0)</f>
        <v/>
      </c>
    </row>
    <row r="1161">
      <c r="A1161" t="inlineStr">
        <is>
          <t>Actions Per Second</t>
        </is>
      </c>
      <c r="B1161">
        <f>1+MIN(150,150*(1-(1-Inputs!$B$12/150)*(1-B1160/150)))/100</f>
        <v/>
      </c>
    </row>
    <row r="1162">
      <c r="A1162" t="inlineStr">
        <is>
          <t>Skill + Buff Cast Rate</t>
        </is>
      </c>
      <c r="B1162">
        <f>IF(AND(Inputs!$B$39&lt;&gt;"pvp",Inputs!$B$44&gt;0),SUMPRODUCT((Skills!E2:E27=TRUE)*(C1128:C1153=TRUE)*R1128:R1153)/Inputs!$B$44,SUMPRODUCT((Skills!E2:E27=TRUE)*(C1128:C1153=TRUE)*Q1128:Q1153))</f>
        <v/>
      </c>
    </row>
    <row r="1163">
      <c r="A1163" t="inlineStr">
        <is>
          <t>Big Bang Casts Per Second</t>
        </is>
      </c>
      <c r="B1163">
        <f>MAX(0,B1161-B1162)</f>
        <v/>
      </c>
    </row>
    <row r="1164">
      <c r="A1164" t="inlineStr">
        <is>
          <t>Defense % Bonus (Divine Protection)</t>
        </is>
      </c>
      <c r="B1164">
        <f>IF(C1139=TRUE,F1139*IF(AND(Inputs!$B$39&lt;&gt;"pvp",Inputs!$B$44&gt;0),(((R1139-1)*(Skills!S13*(1+((Inputs!$B$35+1)+IF(Inputs!$B$3&gt;=117,F1152,0))/100))+MIN((Skills!S13*(1+((Inputs!$B$35+1)+IF(Inputs!$B$3&gt;=117,F1152,0))/100)),MAX(0,Inputs!$B$44-((R1139-1)*Skills!D13))))/Inputs!$B$44),IF(Inputs!$B$39="pvp",MIN((Skills!S13*(1+((Inputs!$B$35+1)+IF(Inputs!$B$3&gt;=117,F1152,0))/100)),15)/15,(Skills!S13*(1+((Inputs!$B$35+1)+IF(Inputs!$B$3&gt;=117,F1152,0))/100))/Skills!D13)),0)</f>
        <v/>
      </c>
    </row>
    <row r="1165">
      <c r="A1165" t="inlineStr">
        <is>
          <t>Buff-Casting Startup Delay (s, fixed-duration only)</t>
        </is>
      </c>
      <c r="B1165">
        <f>IF(AND(Inputs!$B$39&lt;&gt;"pvp",Inputs!$B$44&gt;0),SUMPRODUCT((Skills!S2:S27&gt;0)*(Skills!E2:E27=TRUE)*(C1128:C1153=TRUE))/B1161,0)</f>
        <v/>
      </c>
    </row>
    <row r="1166">
      <c r="A1166" s="5" t="inlineStr">
        <is>
          <t>TOTAL DPS</t>
        </is>
      </c>
      <c r="B1166" s="5">
        <f>SUM(O1128:O1153)</f>
        <v/>
      </c>
    </row>
    <row r="1168">
      <c r="A1168" s="7" t="inlineStr">
        <is>
          <t>Cooldown Reduction Milestone Sweep (absolute CDR seconds, fixed-duration content only)</t>
        </is>
      </c>
    </row>
    <row r="1169">
      <c r="A1169" s="9" t="inlineStr">
        <is>
          <t>CDR (s)</t>
        </is>
      </c>
      <c r="B1169" s="9" t="inlineStr">
        <is>
          <t>Total DPS</t>
        </is>
      </c>
      <c r="C1169" s="9" t="inlineStr">
        <is>
          <t>DPS Gain (vs prior step)</t>
        </is>
      </c>
      <c r="D1169" s="9" t="inlineStr">
        <is>
          <t>% Gain (vs current CDR)</t>
        </is>
      </c>
    </row>
    <row r="1170">
      <c r="A1170" t="n">
        <v>0.5</v>
      </c>
      <c r="B1170">
        <f>B1222</f>
        <v/>
      </c>
      <c r="C1170" t="n">
        <v>0</v>
      </c>
      <c r="D1170">
        <f>IF(Summary!$B$3=0,0,(B1170-Summary!$B$3)/Summary!$B$3*100)</f>
        <v/>
      </c>
    </row>
    <row r="1171">
      <c r="A1171" t="n">
        <v>1</v>
      </c>
      <c r="B1171">
        <f>B1264</f>
        <v/>
      </c>
      <c r="C1171">
        <f>B1171-B1170</f>
        <v/>
      </c>
      <c r="D1171">
        <f>IF(Summary!$B$3=0,0,(B1171-Summary!$B$3)/Summary!$B$3*100)</f>
        <v/>
      </c>
    </row>
    <row r="1172">
      <c r="A1172" t="n">
        <v>1.5</v>
      </c>
      <c r="B1172">
        <f>B1306</f>
        <v/>
      </c>
      <c r="C1172">
        <f>B1172-B1171</f>
        <v/>
      </c>
      <c r="D1172">
        <f>IF(Summary!$B$3=0,0,(B1172-Summary!$B$3)/Summary!$B$3*100)</f>
        <v/>
      </c>
    </row>
    <row r="1173">
      <c r="A1173" t="n">
        <v>2</v>
      </c>
      <c r="B1173">
        <f>B1348</f>
        <v/>
      </c>
      <c r="C1173">
        <f>B1173-B1172</f>
        <v/>
      </c>
      <c r="D1173">
        <f>IF(Summary!$B$3=0,0,(B1173-Summary!$B$3)/Summary!$B$3*100)</f>
        <v/>
      </c>
    </row>
    <row r="1174">
      <c r="A1174" t="n">
        <v>2.5</v>
      </c>
      <c r="B1174">
        <f>B1390</f>
        <v/>
      </c>
      <c r="C1174">
        <f>B1174-B1173</f>
        <v/>
      </c>
      <c r="D1174">
        <f>IF(Summary!$B$3=0,0,(B1174-Summary!$B$3)/Summary!$B$3*100)</f>
        <v/>
      </c>
    </row>
    <row r="1175">
      <c r="A1175" t="n">
        <v>3</v>
      </c>
      <c r="B1175">
        <f>B1432</f>
        <v/>
      </c>
      <c r="C1175">
        <f>B1175-B1174</f>
        <v/>
      </c>
      <c r="D1175">
        <f>IF(Summary!$B$3=0,0,(B1175-Summary!$B$3)/Summary!$B$3*100)</f>
        <v/>
      </c>
    </row>
    <row r="1176">
      <c r="A1176" t="n">
        <v>3.5</v>
      </c>
      <c r="B1176">
        <f>B1474</f>
        <v/>
      </c>
      <c r="C1176">
        <f>B1176-B1175</f>
        <v/>
      </c>
      <c r="D1176">
        <f>IF(Summary!$B$3=0,0,(B1176-Summary!$B$3)/Summary!$B$3*100)</f>
        <v/>
      </c>
    </row>
    <row r="1177">
      <c r="A1177" t="n">
        <v>4</v>
      </c>
      <c r="B1177">
        <f>B1516</f>
        <v/>
      </c>
      <c r="C1177">
        <f>B1177-B1176</f>
        <v/>
      </c>
      <c r="D1177">
        <f>IF(Summary!$B$3=0,0,(B1177-Summary!$B$3)/Summary!$B$3*100)</f>
        <v/>
      </c>
    </row>
    <row r="1178">
      <c r="A1178" t="n">
        <v>4.5</v>
      </c>
      <c r="B1178">
        <f>B1558</f>
        <v/>
      </c>
      <c r="C1178">
        <f>B1178-B1177</f>
        <v/>
      </c>
      <c r="D1178">
        <f>IF(Summary!$B$3=0,0,(B1178-Summary!$B$3)/Summary!$B$3*100)</f>
        <v/>
      </c>
    </row>
    <row r="1179">
      <c r="A1179" t="n">
        <v>5</v>
      </c>
      <c r="B1179">
        <f>B1600</f>
        <v/>
      </c>
      <c r="C1179">
        <f>B1179-B1178</f>
        <v/>
      </c>
      <c r="D1179">
        <f>IF(Summary!$B$3=0,0,(B1179-Summary!$B$3)/Summary!$B$3*100)</f>
        <v/>
      </c>
    </row>
    <row r="1182">
      <c r="A1182" s="5" t="inlineStr">
        <is>
          <t>Stat: CDR = 0.5s</t>
        </is>
      </c>
    </row>
    <row r="1183">
      <c r="A1183" s="9" t="inlineStr">
        <is>
          <t>Key</t>
        </is>
      </c>
      <c r="B1183" s="9" t="inlineStr">
        <is>
          <t>Name</t>
        </is>
      </c>
      <c r="C1183" s="9" t="inlineStr">
        <is>
          <t>Unlocked</t>
        </is>
      </c>
      <c r="D1183" s="9" t="inlineStr">
        <is>
          <t>InputLevel</t>
        </is>
      </c>
      <c r="E1183" s="9" t="inlineStr">
        <is>
          <t>Factor</t>
        </is>
      </c>
      <c r="F1183" s="9" t="inlineStr">
        <is>
          <t>CoefficientPercent</t>
        </is>
      </c>
      <c r="G1183" s="9" t="inlineStr">
        <is>
          <t>EffectiveHits</t>
        </is>
      </c>
      <c r="H1183" s="9" t="inlineStr">
        <is>
          <t>ProcProbability</t>
        </is>
      </c>
      <c r="I1183" s="9" t="inlineStr">
        <is>
          <t>MapleHeroMultiplier</t>
        </is>
      </c>
      <c r="J1183" s="9" t="inlineStr">
        <is>
          <t>BaseDamage</t>
        </is>
      </c>
      <c r="K1183" s="9" t="inlineStr">
        <is>
          <t>BaseHitDamage</t>
        </is>
      </c>
      <c r="L1183" s="9" t="inlineStr">
        <is>
          <t>NonCritAvg</t>
        </is>
      </c>
      <c r="M1183" s="9" t="inlineStr">
        <is>
          <t>CritAvg</t>
        </is>
      </c>
      <c r="N1183" s="9" t="inlineStr">
        <is>
          <t>ExpectedDamage(perHit)</t>
        </is>
      </c>
      <c r="O1183" s="9" t="inlineStr">
        <is>
          <t>DPS</t>
        </is>
      </c>
      <c r="P1183" s="9" t="inlineStr">
        <is>
          <t>% of Total</t>
        </is>
      </c>
      <c r="R1183" t="inlineStr">
        <is>
          <t>helpers</t>
        </is>
      </c>
    </row>
    <row r="1184">
      <c r="A1184">
        <f>Skills!A2</f>
        <v/>
      </c>
      <c r="B1184">
        <f>Skills!B2</f>
        <v/>
      </c>
      <c r="C1184">
        <f>Inputs!$B$3&gt;=100</f>
        <v/>
      </c>
      <c r="D1184" t="inlineStr"/>
      <c r="E1184" t="inlineStr"/>
      <c r="F1184">
        <f>T1186+Skills!N2</f>
        <v/>
      </c>
      <c r="G1184">
        <f>Calc!G2</f>
        <v/>
      </c>
      <c r="H1184">
        <f>Calc!H2</f>
        <v/>
      </c>
      <c r="I1184">
        <f>IF(Skills!T2&lt;&gt;"",1+(Skills!T2/10)*($Z$3/1000)/100,1)</f>
        <v/>
      </c>
      <c r="J1184">
        <f>((Inputs!$B$6*(1+Inputs!$B$7/100))+(((Inputs!$B$13*(1+Inputs!$B$14/100))-(Inputs!$B$13*(1+Inputs!$B$14/100)))+0.25*(Inputs!$B$15-Inputs!$B$15))*(1+Inputs!$B$7/100))*(F1184/100)</f>
        <v/>
      </c>
      <c r="K1184">
        <f>J1184*(1+(((Inputs!$B$13+IF(Inputs!$B$3&gt;=35,(10*INDEX(FactorTable!$B$2:$Y$301, MATCH(ROUND(MIN(300,MAX(1,Inputs!$B$3)),0), FactorTable!$A$2:$A$301,0), 23)/1000)/100*(Inputs!$B$8*(1+(Inputs!$B$9+B1220)/100)),0))*(1+Inputs!$B$14/100))*0.01+Inputs!$B$15*0.0025)/100)*(1+(Inputs!$B$16+B1214)/100)*(1+IF(Inputs!$B$39="pvp",0,(1-Summary!$B$48)*(Inputs!$B$21+Skills!O2+B1212)+Summary!$B$48*(Inputs!$B$22+Skills!P2+B1213))/100)*(1+Inputs!$B$17/100)*(5000/(6000+Inputs!$B$43*(1-Inputs!$B$20/100)))*(1+Inputs!$B$25/100)*(1+IF(C1200=TRUE,F1200,0)/100)*(1+IF(C1202=TRUE,F1202,0)/100)*(1+IF(Skills!A2="TRIUMPH_FEATHER",IF(C1198=TRUE,F1198,0),0)/100)*(1+IF(C1209=TRUE,F1209,0)/100)^5*(1+(IF(Skills!A2="BIG_BANG",Inputs!$B$18,Inputs!$B$19))/100)*(B1211*I1184)</f>
        <v/>
      </c>
      <c r="L1184">
        <f>K1184*(MIN(Inputs!$B$23+(F1204-Calc!F22),Inputs!$B$24)/100+Inputs!$B$24/100)/2</f>
        <v/>
      </c>
      <c r="M1184">
        <f>L1184*(1+(Inputs!$B$11+B1215+(F1207-Calc!F25))/100)</f>
        <v/>
      </c>
      <c r="N1184">
        <f>L1184*(1-MIN(Inputs!$B$10+((F1206-Calc!F24)+(F1205-Calc!F23)),100)/100)+M1184*(MIN(Inputs!$B$10+((F1206-Calc!F24)+(F1205-Calc!F23)),100)/100)</f>
        <v/>
      </c>
      <c r="O1184">
        <f>IF(C1184,Skills!F2*N1184*B1219*IF(Inputs!$B$39="pvp",1,(1-Summary!$B$48)*(1)+Summary!$B$48*(MIN((6+Inputs!$B$34),Inputs!$B$38))),0)</f>
        <v/>
      </c>
      <c r="P1184">
        <f>IF(B1222=0,0,O1184/B1222)</f>
        <v/>
      </c>
      <c r="Q1184">
        <f>IFERROR(1/IF(Inputs!$B$39="pvp",15,MAX(0.1,Skills!D2-IF(Skills!E2=TRUE,0.5,0))),0)</f>
        <v/>
      </c>
      <c r="R1184" t="n">
        <v>0</v>
      </c>
      <c r="T1184">
        <f>MAX(0,(Inputs!$B$3-100)*3)+Inputs!$B$29+Inputs!$B$30</f>
        <v/>
      </c>
    </row>
    <row r="1185">
      <c r="A1185">
        <f>Skills!A3</f>
        <v/>
      </c>
      <c r="B1185">
        <f>Skills!B3</f>
        <v/>
      </c>
      <c r="C1185">
        <f>Inputs!$B$3&gt;=15</f>
        <v/>
      </c>
      <c r="D1185">
        <f>IF(Skills!C3=1,60+Inputs!$B$26+Inputs!$B$30,IF(Skills!C3=2,90+Inputs!$B$27+Inputs!$B$30,IF(Skills!C3=3,120+Inputs!$B$28+Inputs!$B$30,MAX(0,(Inputs!$B$3-100)*3)+Inputs!$B$29+Inputs!$B$30)))</f>
        <v/>
      </c>
      <c r="E1185">
        <f>INDEX(FactorTable!$B$2:$Y$301, MATCH(ROUND(MIN(300,MAX(1,D1185)),0), FactorTable!$A$2:$A$301,0), Skills!L3+1)</f>
        <v/>
      </c>
      <c r="F1185">
        <f>IF(Skills!M3=TRUE,(Skills!K3/10)*(E1185/1000),Skills!K3/10)+Skills!N3</f>
        <v/>
      </c>
      <c r="G1185">
        <f>Calc!G3</f>
        <v/>
      </c>
      <c r="H1185">
        <f>Calc!H3</f>
        <v/>
      </c>
      <c r="I1185">
        <f>IF(Skills!T3&lt;&gt;"",1+(Skills!T3/10)*($Z$3/1000)/100,1)</f>
        <v/>
      </c>
      <c r="J1185" t="inlineStr"/>
      <c r="K1185" t="inlineStr"/>
      <c r="L1185" t="inlineStr"/>
      <c r="M1185" t="inlineStr"/>
      <c r="N1185" t="inlineStr"/>
      <c r="O1185" t="n">
        <v>0</v>
      </c>
      <c r="P1185">
        <f>IF(B1222=0,0,O1185/B1222)</f>
        <v/>
      </c>
      <c r="Q1185">
        <f>IFERROR(1/IF(Inputs!$B$39="pvp",15,MAX(0.1,Skills!D3-IF(Skills!E3=TRUE,0.5,0))),0)</f>
        <v/>
      </c>
      <c r="R1185">
        <f>IF(AND(Inputs!$B$39&lt;&gt;"pvp",Inputs!$B$44&gt;0),IF(Inputs!$B$44&lt;=0,0,(INT(Inputs!$B$44/IF(Inputs!$B$39="pvp",15,MAX(0.1,Skills!D3-IF(Skills!E3=TRUE,0.5,0))))+1)),0)</f>
        <v/>
      </c>
      <c r="T1185">
        <f>INDEX(FactorTable!$B$2:$Y$301, MATCH(ROUND(MIN(300,MAX(1,T1184)),0), FactorTable!$A$2:$A$301,0), 22)</f>
        <v/>
      </c>
    </row>
    <row r="1186">
      <c r="A1186">
        <f>Skills!A4</f>
        <v/>
      </c>
      <c r="B1186">
        <f>Skills!B4</f>
        <v/>
      </c>
      <c r="C1186">
        <f>Inputs!$B$3&gt;=38</f>
        <v/>
      </c>
      <c r="D1186">
        <f>IF(Skills!C4=1,60+Inputs!$B$26+Inputs!$B$30,IF(Skills!C4=2,90+Inputs!$B$27+Inputs!$B$30,IF(Skills!C4=3,120+Inputs!$B$28+Inputs!$B$30,MAX(0,(Inputs!$B$3-100)*3)+Inputs!$B$29+Inputs!$B$30)))</f>
        <v/>
      </c>
      <c r="E1186">
        <f>INDEX(FactorTable!$B$2:$Y$301, MATCH(ROUND(MIN(300,MAX(1,D1186)),0), FactorTable!$A$2:$A$301,0), Skills!L4+1)</f>
        <v/>
      </c>
      <c r="F1186">
        <f>IF(Skills!M4=TRUE,(Skills!K4/10)*(E1186/1000),Skills!K4/10)+Skills!N4</f>
        <v/>
      </c>
      <c r="G1186">
        <f>Calc!G4</f>
        <v/>
      </c>
      <c r="H1186">
        <f>Calc!H4</f>
        <v/>
      </c>
      <c r="I1186">
        <f>IF(Skills!T4&lt;&gt;"",1+(Skills!T4/10)*($Z$3/1000)/100,1)</f>
        <v/>
      </c>
      <c r="J1186" t="inlineStr"/>
      <c r="K1186" t="inlineStr"/>
      <c r="L1186" t="inlineStr"/>
      <c r="M1186" t="inlineStr"/>
      <c r="N1186" t="inlineStr"/>
      <c r="O1186" t="n">
        <v>0</v>
      </c>
      <c r="P1186">
        <f>IF(B1222=0,0,O1186/B1222)</f>
        <v/>
      </c>
      <c r="Q1186">
        <f>IFERROR(1/IF(Inputs!$B$39="pvp",15,MAX(0.1,Skills!D4-IF(Skills!E4=TRUE,0.5,0))),0)</f>
        <v/>
      </c>
      <c r="R1186">
        <f>IF(AND(Inputs!$B$39&lt;&gt;"pvp",Inputs!$B$44&gt;0),IF(Inputs!$B$44&lt;=0,0,(INT(Inputs!$B$44/IF(Inputs!$B$39="pvp",15,MAX(0.1,Skills!D4-IF(Skills!E4=TRUE,0.5,0))))+1)),0)</f>
        <v/>
      </c>
      <c r="T1186">
        <f>290*T1185/1000</f>
        <v/>
      </c>
    </row>
    <row r="1187">
      <c r="A1187">
        <f>Skills!A5</f>
        <v/>
      </c>
      <c r="B1187">
        <f>Skills!B5</f>
        <v/>
      </c>
      <c r="C1187">
        <f>Inputs!$B$3&gt;=40</f>
        <v/>
      </c>
      <c r="D1187">
        <f>IF(Skills!C5=1,60+Inputs!$B$26+Inputs!$B$30,IF(Skills!C5=2,90+Inputs!$B$27+Inputs!$B$30,IF(Skills!C5=3,120+Inputs!$B$28+Inputs!$B$30,MAX(0,(Inputs!$B$3-100)*3)+Inputs!$B$29+Inputs!$B$30)))</f>
        <v/>
      </c>
      <c r="E1187">
        <f>INDEX(FactorTable!$B$2:$Y$301, MATCH(ROUND(MIN(300,MAX(1,D1187)),0), FactorTable!$A$2:$A$301,0), Skills!L5+1)</f>
        <v/>
      </c>
      <c r="F1187">
        <f>IF(Skills!M5=TRUE,(Skills!K5/10)*(E1187/1000),Skills!K5/10)+Skills!N5</f>
        <v/>
      </c>
      <c r="G1187">
        <f>Calc!G5</f>
        <v/>
      </c>
      <c r="H1187">
        <f>Calc!H5</f>
        <v/>
      </c>
      <c r="I1187">
        <f>IF(Skills!T5&lt;&gt;"",1+(Skills!T5/10)*($Z$3/1000)/100,1)</f>
        <v/>
      </c>
      <c r="J1187" t="inlineStr"/>
      <c r="K1187" t="inlineStr"/>
      <c r="L1187" t="inlineStr"/>
      <c r="M1187" t="inlineStr"/>
      <c r="N1187" t="inlineStr"/>
      <c r="O1187" t="n">
        <v>0</v>
      </c>
      <c r="P1187">
        <f>IF(B1222=0,0,O1187/B1222)</f>
        <v/>
      </c>
      <c r="Q1187">
        <f>IFERROR(1/IF(Inputs!$B$39="pvp",15,MAX(0.1,Skills!D5-IF(Skills!E5=TRUE,0.5,0))),0)</f>
        <v/>
      </c>
      <c r="R1187">
        <f>IF(AND(Inputs!$B$39&lt;&gt;"pvp",Inputs!$B$44&gt;0),IF(Inputs!$B$44&lt;=0,0,(INT(Inputs!$B$44/IF(Inputs!$B$39="pvp",15,MAX(0.1,Skills!D5-IF(Skills!E5=TRUE,0.5,0))))+1)),0)</f>
        <v/>
      </c>
    </row>
    <row r="1188">
      <c r="A1188">
        <f>Skills!A6</f>
        <v/>
      </c>
      <c r="B1188">
        <f>Skills!B6</f>
        <v/>
      </c>
      <c r="C1188">
        <f>Inputs!$B$3&gt;=103</f>
        <v/>
      </c>
      <c r="D1188">
        <f>IF(Skills!C6=1,60+Inputs!$B$26+Inputs!$B$30,IF(Skills!C6=2,90+Inputs!$B$27+Inputs!$B$30,IF(Skills!C6=3,120+Inputs!$B$28+Inputs!$B$30,MAX(0,(Inputs!$B$3-100)*3)+Inputs!$B$29+Inputs!$B$30)))</f>
        <v/>
      </c>
      <c r="E1188">
        <f>INDEX(FactorTable!$B$2:$Y$301, MATCH(ROUND(MIN(300,MAX(1,D1188)),0), FactorTable!$A$2:$A$301,0), Skills!L6+1)</f>
        <v/>
      </c>
      <c r="F1188">
        <f>IF(Skills!M6=TRUE,(Skills!K6/10)*(E1188/1000),Skills!K6/10)+Skills!N6</f>
        <v/>
      </c>
      <c r="G1188">
        <f>Calc!G6</f>
        <v/>
      </c>
      <c r="H1188">
        <f>Calc!H6</f>
        <v/>
      </c>
      <c r="I1188">
        <f>IF(Skills!T6&lt;&gt;"",1+(Skills!T6/10)*($Z$3/1000)/100,1)</f>
        <v/>
      </c>
      <c r="J1188">
        <f>((Inputs!$B$6*(1+Inputs!$B$7/100))+(((Inputs!$B$13*(1+Inputs!$B$14/100))-(Inputs!$B$13*(1+Inputs!$B$14/100)))+0.25*(Inputs!$B$15-Inputs!$B$15))*(1+Inputs!$B$7/100))*(F1188/100)</f>
        <v/>
      </c>
      <c r="K1188">
        <f>J1188*(1+(((Inputs!$B$13+IF(Inputs!$B$3&gt;=35,(10*INDEX(FactorTable!$B$2:$Y$301, MATCH(ROUND(MIN(300,MAX(1,Inputs!$B$3)),0), FactorTable!$A$2:$A$301,0), 23)/1000)/100*(Inputs!$B$8*(1+(Inputs!$B$9+B1220)/100)),0))*(1+Inputs!$B$14/100))*0.01+Inputs!$B$15*0.0025)/100)*(1+(Inputs!$B$16+B1214)/100)*(1+IF(Inputs!$B$39="pvp",0,(1-Summary!$B$48)*(Inputs!$B$21+Skills!O6+B1212)+Summary!$B$48*(Inputs!$B$22+Skills!P6+B1213))/100)*(1+Inputs!$B$17/100)*(5000/(6000+Inputs!$B$43*(1-Inputs!$B$20/100)))*(1+Inputs!$B$25/100)*(1+IF(C1200=TRUE,F1200,0)/100)*(1+IF(C1202=TRUE,F1202,0)/100)*(1+IF(Skills!A6="TRIUMPH_FEATHER",IF(C1198=TRUE,F1198,0),0)/100)*(1+IF(C1209=TRUE,F1209,0)/100)^5*(1+(IF(Skills!A6="BIG_BANG",Inputs!$B$18,Inputs!$B$19))/100)*(B1211*I1188)</f>
        <v/>
      </c>
      <c r="L1188">
        <f>K1188*(MIN(Inputs!$B$23+(F1204-Calc!F22),Inputs!$B$24)/100+Inputs!$B$24/100)/2</f>
        <v/>
      </c>
      <c r="M1188">
        <f>L1188*(1+(Inputs!$B$11+B1215+(F1207-Calc!F25))/100)</f>
        <v/>
      </c>
      <c r="N1188">
        <f>L1188*(1-MIN(Inputs!$B$10+((F1206-Calc!F24)+(F1205-Calc!F23)),100)/100)+M1188*(MIN(Inputs!$B$10+((F1206-Calc!F24)+(F1205-Calc!F23)),100)/100)</f>
        <v/>
      </c>
      <c r="O1188">
        <f>IF(C1188,H1188*N1188*IF(AND(Inputs!$B$39&lt;&gt;"pvp",Inputs!$B$44&gt;0),((Skills!F6*((R1188-1)*IF(Skills!G6&gt;0,Skills!H6/Skills!G6,1)+IF(Skills!G6&gt;0,MIN(Skills!H6,MAX(0,MAX(0,Inputs!$B$44-B1221)-((R1188-1)*IF(Inputs!$B$39="pvp",15,MAX(0.1,Skills!D6-IF(Skills!E6=TRUE,0.5,0))))))/Skills!G6,1)))/Inputs!$B$44),G1188*Q1188)*IF(Inputs!$B$39="pvp",1,(1-Summary!$B$48)*(1)+Summary!$B$48*(MIN(Skills!Q6,Inputs!$B$38))),0)</f>
        <v/>
      </c>
      <c r="P1188">
        <f>IF(B1222=0,0,O1188/B1222)</f>
        <v/>
      </c>
      <c r="Q1188">
        <f>IFERROR(1/IF(Inputs!$B$39="pvp",15,MAX(0.1,Skills!D6-IF(Skills!E6=TRUE,0.5,0))),0)</f>
        <v/>
      </c>
      <c r="R1188">
        <f>IF(AND(Inputs!$B$39&lt;&gt;"pvp",Inputs!$B$44&gt;0),IF(MAX(0,Inputs!$B$44-B1221)&lt;=0,0,(INT(MAX(0,Inputs!$B$44-B1221)/IF(Inputs!$B$39="pvp",15,MAX(0.1,Skills!D6-IF(Skills!E6=TRUE,0.5,0))))+1)),0)</f>
        <v/>
      </c>
    </row>
    <row r="1189">
      <c r="A1189">
        <f>Skills!A7</f>
        <v/>
      </c>
      <c r="B1189">
        <f>Skills!B7</f>
        <v/>
      </c>
      <c r="C1189">
        <f>Inputs!$B$3&gt;=122</f>
        <v/>
      </c>
      <c r="D1189">
        <f>IF(Skills!C7=1,60+Inputs!$B$26+Inputs!$B$30,IF(Skills!C7=2,90+Inputs!$B$27+Inputs!$B$30,IF(Skills!C7=3,120+Inputs!$B$28+Inputs!$B$30,MAX(0,(Inputs!$B$3-100)*3)+Inputs!$B$29+Inputs!$B$30)))</f>
        <v/>
      </c>
      <c r="E1189">
        <f>INDEX(FactorTable!$B$2:$Y$301, MATCH(ROUND(MIN(300,MAX(1,D1189)),0), FactorTable!$A$2:$A$301,0), Skills!L7+1)</f>
        <v/>
      </c>
      <c r="F1189">
        <f>IF(Skills!M7=TRUE,(Skills!K7/10)*(E1189/1000),Skills!K7/10)+Skills!N7</f>
        <v/>
      </c>
      <c r="G1189">
        <f>Calc!G7</f>
        <v/>
      </c>
      <c r="H1189">
        <f>Calc!H7</f>
        <v/>
      </c>
      <c r="I1189">
        <f>IF(Skills!T7&lt;&gt;"",1+(Skills!T7/10)*($Z$3/1000)/100,1)</f>
        <v/>
      </c>
      <c r="J1189">
        <f>((Inputs!$B$6*(1+Inputs!$B$7/100))+(((Inputs!$B$13*(1+Inputs!$B$14/100))-(Inputs!$B$13*(1+Inputs!$B$14/100)))+0.25*(Inputs!$B$15-Inputs!$B$15))*(1+Inputs!$B$7/100))*(F1189/100)</f>
        <v/>
      </c>
      <c r="K1189">
        <f>J1189*(1+(((Inputs!$B$13+IF(Inputs!$B$3&gt;=35,(10*INDEX(FactorTable!$B$2:$Y$301, MATCH(ROUND(MIN(300,MAX(1,Inputs!$B$3)),0), FactorTable!$A$2:$A$301,0), 23)/1000)/100*(Inputs!$B$8*(1+(Inputs!$B$9+B1220)/100)),0))*(1+Inputs!$B$14/100))*0.01+Inputs!$B$15*0.0025)/100)*(1+(Inputs!$B$16+B1214)/100)*(1+IF(Inputs!$B$39="pvp",0,(1-Summary!$B$48)*(Inputs!$B$21+Skills!O7+B1212)+Summary!$B$48*(Inputs!$B$22+Skills!P7+B1213))/100)*(1+Inputs!$B$17/100)*(5000/(6000+Inputs!$B$43*(1-Inputs!$B$20/100)))*(1+Inputs!$B$25/100)*(1+IF(C1200=TRUE,F1200,0)/100)*(1+IF(C1202=TRUE,F1202,0)/100)*(1+IF(Skills!A7="TRIUMPH_FEATHER",IF(C1198=TRUE,F1198,0),0)/100)*(1+IF(C1209=TRUE,F1209,0)/100)^5*(1+(IF(Skills!A7="BIG_BANG",Inputs!$B$18,Inputs!$B$19))/100)*(B1211*I1189)</f>
        <v/>
      </c>
      <c r="L1189">
        <f>K1189*(MIN(Inputs!$B$23+(F1204-Calc!F22),Inputs!$B$24)/100+Inputs!$B$24/100)/2</f>
        <v/>
      </c>
      <c r="M1189">
        <f>L1189*(1+(Inputs!$B$11+B1215+(F1207-Calc!F25))/100)</f>
        <v/>
      </c>
      <c r="N1189">
        <f>L1189*(1-MIN(Inputs!$B$10+((F1206-Calc!F24)+(F1205-Calc!F23)),100)/100)+M1189*(MIN(Inputs!$B$10+((F1206-Calc!F24)+(F1205-Calc!F23)),100)/100)</f>
        <v/>
      </c>
      <c r="O1189">
        <f>IF(C1189,H1189*N1189*IF(AND(Inputs!$B$39&lt;&gt;"pvp",Inputs!$B$44&gt;0),((Skills!F7*((R1189-1)*IF(Skills!G7&gt;0,Skills!H7/Skills!G7,1)+IF(Skills!G7&gt;0,MIN(Skills!H7,MAX(0,MAX(0,Inputs!$B$44-B1221)-((R1189-1)*IF(Inputs!$B$39="pvp",15,MAX(0.1,Skills!D7-IF(Skills!E6=TRUE,0.5,0))))))/Skills!G7,1)))/Inputs!$B$44),G1189*Q1189)*(1-Summary!$B$48),0)</f>
        <v/>
      </c>
      <c r="P1189">
        <f>IF(B1222=0,0,O1189/B1222)</f>
        <v/>
      </c>
      <c r="Q1189">
        <f>IFERROR(1/IF(Inputs!$B$39="pvp",15,MAX(0.1,Skills!D7-IF(Skills!E6=TRUE,0.5,0))),0)</f>
        <v/>
      </c>
      <c r="R1189">
        <f>IF(AND(Inputs!$B$39&lt;&gt;"pvp",Inputs!$B$44&gt;0),IF(MAX(0,Inputs!$B$44-B1221)&lt;=0,0,(INT(MAX(0,Inputs!$B$44-B1221)/IF(Inputs!$B$39="pvp",15,MAX(0.1,Skills!D7-IF(Skills!E6=TRUE,0.5,0))))+1)),0)</f>
        <v/>
      </c>
    </row>
    <row r="1190">
      <c r="A1190">
        <f>Skills!A8</f>
        <v/>
      </c>
      <c r="B1190">
        <f>Skills!B8</f>
        <v/>
      </c>
      <c r="C1190">
        <f>Inputs!$B$3&gt;=105</f>
        <v/>
      </c>
      <c r="D1190">
        <f>IF(Skills!C8=1,60+Inputs!$B$26+Inputs!$B$30,IF(Skills!C8=2,90+Inputs!$B$27+Inputs!$B$30,IF(Skills!C8=3,120+Inputs!$B$28+Inputs!$B$30,MAX(0,(Inputs!$B$3-100)*3)+Inputs!$B$29+Inputs!$B$30)))</f>
        <v/>
      </c>
      <c r="E1190">
        <f>INDEX(FactorTable!$B$2:$Y$301, MATCH(ROUND(MIN(300,MAX(1,D1190)),0), FactorTable!$A$2:$A$301,0), Skills!L8+1)</f>
        <v/>
      </c>
      <c r="F1190">
        <f>IF(Skills!M8=TRUE,(Skills!K8/10)*(E1190/1000),Skills!K8/10)+Skills!N8</f>
        <v/>
      </c>
      <c r="G1190">
        <f>Calc!G8</f>
        <v/>
      </c>
      <c r="H1190">
        <f>Calc!H8</f>
        <v/>
      </c>
      <c r="I1190">
        <f>IF(Skills!T8&lt;&gt;"",1+(Skills!T8/10)*($Z$3/1000)/100,1)</f>
        <v/>
      </c>
      <c r="J1190">
        <f>((Inputs!$B$6*(1+Inputs!$B$7/100))+(((Inputs!$B$13*(1+Inputs!$B$14/100))-(Inputs!$B$13*(1+Inputs!$B$14/100)))+0.25*(Inputs!$B$15-Inputs!$B$15))*(1+Inputs!$B$7/100))*(F1190/100)</f>
        <v/>
      </c>
      <c r="K1190">
        <f>J1190*(1+(((Inputs!$B$13+IF(Inputs!$B$3&gt;=35,(10*INDEX(FactorTable!$B$2:$Y$301, MATCH(ROUND(MIN(300,MAX(1,Inputs!$B$3)),0), FactorTable!$A$2:$A$301,0), 23)/1000)/100*(Inputs!$B$8*(1+(Inputs!$B$9+B1220)/100)),0))*(1+Inputs!$B$14/100))*0.01+Inputs!$B$15*0.0025)/100)*(1+(Inputs!$B$16+B1214)/100)*(1+IF(Inputs!$B$39="pvp",0,(1-Summary!$B$48)*(Inputs!$B$21+Skills!O8+B1212)+Summary!$B$48*(Inputs!$B$22+Skills!P8+B1213))/100)*(1+Inputs!$B$17/100)*(5000/(6000+Inputs!$B$43*(1-Inputs!$B$20/100)))*(1+Inputs!$B$25/100)*(1+IF(C1200=TRUE,F1200,0)/100)*(1+IF(C1202=TRUE,F1202,0)/100)*(1+IF(Skills!A8="TRIUMPH_FEATHER",IF(C1198=TRUE,F1198,0),0)/100)*(1+IF(C1209=TRUE,F1209,0)/100)^5*(1+(IF(Skills!A8="BIG_BANG",Inputs!$B$18,Inputs!$B$19))/100)*(B1211*I1190)</f>
        <v/>
      </c>
      <c r="L1190">
        <f>K1190*(MIN(Inputs!$B$23+(F1204-Calc!F22),Inputs!$B$24)/100+Inputs!$B$24/100)/2</f>
        <v/>
      </c>
      <c r="M1190">
        <f>L1190*(1+(Inputs!$B$11+B1215+(F1207-Calc!F25))/100)</f>
        <v/>
      </c>
      <c r="N1190">
        <f>L1190*(1-MIN(Inputs!$B$10+((F1206-Calc!F24)+(F1205-Calc!F23)),100)/100)+M1190*(MIN(Inputs!$B$10+((F1206-Calc!F24)+(F1205-Calc!F23)),100)/100)</f>
        <v/>
      </c>
      <c r="O1190">
        <f>IF(C1190,H1190*N1190*IF(AND(Inputs!$B$39&lt;&gt;"pvp",Inputs!$B$44&gt;0),((Skills!F8*((R1190-1)*IF(Skills!G8&gt;0,Skills!H8/Skills!G8,1)+IF(Skills!G8&gt;0,MIN(Skills!H8,MAX(0,MAX(0,Inputs!$B$44-B1221)-((R1190-1)*IF(Inputs!$B$39="pvp",15,MAX(0.1,Skills!D8-IF(Skills!E8=TRUE,0.5,0))))))/Skills!G8,1)))/Inputs!$B$44),G1190*Q1190)*IF(Inputs!$B$39="pvp",1,(1-Summary!$B$48)*(1)+Summary!$B$48*(MIN(Skills!Q8,Inputs!$B$38))),0)</f>
        <v/>
      </c>
      <c r="P1190">
        <f>IF(B1222=0,0,O1190/B1222)</f>
        <v/>
      </c>
      <c r="Q1190">
        <f>IFERROR(1/IF(Inputs!$B$39="pvp",15,MAX(0.1,Skills!D8-IF(Skills!E8=TRUE,0.5,0))),0)</f>
        <v/>
      </c>
      <c r="R1190">
        <f>IF(AND(Inputs!$B$39&lt;&gt;"pvp",Inputs!$B$44&gt;0),IF(MAX(0,Inputs!$B$44-B1221)&lt;=0,0,(INT(MAX(0,Inputs!$B$44-B1221)/IF(Inputs!$B$39="pvp",15,MAX(0.1,Skills!D8-IF(Skills!E8=TRUE,0.5,0))))+1)),0)</f>
        <v/>
      </c>
    </row>
    <row r="1191">
      <c r="A1191">
        <f>Skills!A9</f>
        <v/>
      </c>
      <c r="B1191">
        <f>Skills!B9</f>
        <v/>
      </c>
      <c r="C1191">
        <f>Inputs!$B$3&gt;=115</f>
        <v/>
      </c>
      <c r="D1191">
        <f>IF(Skills!C9=1,60+Inputs!$B$26+Inputs!$B$30,IF(Skills!C9=2,90+Inputs!$B$27+Inputs!$B$30,IF(Skills!C9=3,120+Inputs!$B$28+Inputs!$B$30,MAX(0,(Inputs!$B$3-100)*3)+Inputs!$B$29+Inputs!$B$30)))</f>
        <v/>
      </c>
      <c r="E1191">
        <f>INDEX(FactorTable!$B$2:$Y$301, MATCH(ROUND(MIN(300,MAX(1,D1191)),0), FactorTable!$A$2:$A$301,0), Skills!L9+1)</f>
        <v/>
      </c>
      <c r="F1191">
        <f>IF(Skills!M9=TRUE,(Skills!K9/10)*(E1191/1000),Skills!K9/10)+Skills!N9</f>
        <v/>
      </c>
      <c r="G1191">
        <f>Calc!G9</f>
        <v/>
      </c>
      <c r="H1191">
        <f>Calc!H9</f>
        <v/>
      </c>
      <c r="I1191">
        <f>IF(Skills!T9&lt;&gt;"",1+(Skills!T9/10)*($Z$3/1000)/100,1)</f>
        <v/>
      </c>
      <c r="J1191">
        <f>((Inputs!$B$6*(1+Inputs!$B$7/100))+(((Inputs!$B$13*(1+Inputs!$B$14/100))-(Inputs!$B$13*(1+Inputs!$B$14/100)))+0.25*(Inputs!$B$15-Inputs!$B$15))*(1+Inputs!$B$7/100))*(F1191/100)</f>
        <v/>
      </c>
      <c r="K1191">
        <f>J1191*(1+(((Inputs!$B$13+IF(Inputs!$B$3&gt;=35,(10*INDEX(FactorTable!$B$2:$Y$301, MATCH(ROUND(MIN(300,MAX(1,Inputs!$B$3)),0), FactorTable!$A$2:$A$301,0), 23)/1000)/100*(Inputs!$B$8*(1+(Inputs!$B$9+B1220)/100)),0))*(1+Inputs!$B$14/100))*0.01+Inputs!$B$15*0.0025)/100)*(1+(Inputs!$B$16+B1214)/100)*(1+IF(Inputs!$B$39="pvp",0,(1-Summary!$B$48)*(Inputs!$B$21+Skills!O9+B1212)+Summary!$B$48*(Inputs!$B$22+Skills!P9+B1213))/100)*(1+Inputs!$B$17/100)*(5000/(6000+Inputs!$B$43*(1-Inputs!$B$20/100)))*(1+Inputs!$B$25/100)*(1+IF(C1200=TRUE,F1200,0)/100)*(1+IF(C1202=TRUE,F1202,0)/100)*(1+IF(Skills!A9="TRIUMPH_FEATHER",IF(C1198=TRUE,F1198,0),0)/100)*(1+IF(C1209=TRUE,F1209,0)/100)^5*(1+(IF(Skills!A9="BIG_BANG",Inputs!$B$18,Inputs!$B$19))/100)*(B1211*I1191)</f>
        <v/>
      </c>
      <c r="L1191">
        <f>K1191*(MIN(Inputs!$B$23+(F1204-Calc!F22),Inputs!$B$24)/100+Inputs!$B$24/100)/2</f>
        <v/>
      </c>
      <c r="M1191">
        <f>L1191*(1+(Inputs!$B$11+B1215+(F1207-Calc!F25))/100)</f>
        <v/>
      </c>
      <c r="N1191">
        <f>L1191*(1-MIN(Inputs!$B$10+((F1206-Calc!F24)+(F1205-Calc!F23)),100)/100)+M1191*(MIN(Inputs!$B$10+((F1206-Calc!F24)+(F1205-Calc!F23)),100)/100)</f>
        <v/>
      </c>
      <c r="O1191">
        <f>IF(C1191,H1191*N1191*IF(AND(Inputs!$B$39&lt;&gt;"pvp",Inputs!$B$44&gt;0),((Skills!F9*((R1191-1)*IF(Skills!G9&gt;0,Skills!H9/Skills!G9,1)+IF(Skills!G9&gt;0,MIN(Skills!H9,MAX(0,MAX(0,Inputs!$B$44-B1221)-((R1191-1)*IF(Inputs!$B$39="pvp",15,MAX(0.1,Skills!D9-IF(Skills!E9=TRUE,0.5,0))))))/Skills!G9,1)))/Inputs!$B$44),G1191*Q1191)*IF(Inputs!$B$39="pvp",1,(1-Summary!$B$48)*(1)+Summary!$B$48*(MIN(Skills!Q9,Inputs!$B$38))),0)</f>
        <v/>
      </c>
      <c r="P1191">
        <f>IF(B1222=0,0,O1191/B1222)</f>
        <v/>
      </c>
      <c r="Q1191">
        <f>IFERROR(1/IF(Inputs!$B$39="pvp",15,MAX(0.1,Skills!D9-IF(Skills!E9=TRUE,0.5,0))),0)</f>
        <v/>
      </c>
      <c r="R1191">
        <f>IF(AND(Inputs!$B$39&lt;&gt;"pvp",Inputs!$B$44&gt;0),IF(MAX(0,Inputs!$B$44-B1221)&lt;=0,0,(INT(MAX(0,Inputs!$B$44-B1221)/IF(Inputs!$B$39="pvp",15,MAX(0.1,Skills!D9-IF(Skills!E9=TRUE,0.5,0))))+1)),0)</f>
        <v/>
      </c>
    </row>
    <row r="1192">
      <c r="A1192">
        <f>Skills!A10</f>
        <v/>
      </c>
      <c r="B1192">
        <f>Skills!B10</f>
        <v/>
      </c>
      <c r="C1192">
        <f>Inputs!$B$3&gt;=66</f>
        <v/>
      </c>
      <c r="D1192">
        <f>IF(Skills!C10=1,60+Inputs!$B$26+Inputs!$B$30,IF(Skills!C10=2,90+Inputs!$B$27+Inputs!$B$30,IF(Skills!C10=3,120+Inputs!$B$28+Inputs!$B$30,MAX(0,(Inputs!$B$3-100)*3)+Inputs!$B$29+Inputs!$B$30)))</f>
        <v/>
      </c>
      <c r="E1192">
        <f>INDEX(FactorTable!$B$2:$Y$301, MATCH(ROUND(MIN(300,MAX(1,D1192)),0), FactorTable!$A$2:$A$301,0), Skills!L10+1)</f>
        <v/>
      </c>
      <c r="F1192" t="n">
        <v>0</v>
      </c>
      <c r="G1192">
        <f>Calc!G10</f>
        <v/>
      </c>
      <c r="H1192">
        <f>Calc!H10</f>
        <v/>
      </c>
      <c r="I1192">
        <f>IF(Skills!T10&lt;&gt;"",1+(Skills!T10/10)*($Z$3/1000)/100,1)</f>
        <v/>
      </c>
      <c r="J1192" t="inlineStr"/>
      <c r="K1192" t="inlineStr"/>
      <c r="L1192" t="inlineStr"/>
      <c r="M1192" t="inlineStr"/>
      <c r="N1192" t="inlineStr"/>
      <c r="O1192" t="n">
        <v>0</v>
      </c>
      <c r="P1192">
        <f>IF(B1222=0,0,O1192/B1222)</f>
        <v/>
      </c>
      <c r="Q1192">
        <f>IFERROR(1/IF(Inputs!$B$39="pvp",15,MAX(0.1,Skills!D10-IF(Skills!E10=TRUE,0.5,0))),0)</f>
        <v/>
      </c>
      <c r="R1192">
        <f>IF(AND(Inputs!$B$39&lt;&gt;"pvp",Inputs!$B$44&gt;0),IF(MAX(0,Inputs!$B$44-B1221)&lt;=0,0,(INT(MAX(0,Inputs!$B$44-B1221)/IF(Inputs!$B$39="pvp",15,MAX(0.1,Skills!D10-IF(Skills!E10=TRUE,0.5,0))))+1)),0)</f>
        <v/>
      </c>
    </row>
    <row r="1193">
      <c r="A1193">
        <f>Skills!A11</f>
        <v/>
      </c>
      <c r="B1193">
        <f>Skills!B11</f>
        <v/>
      </c>
      <c r="C1193">
        <f>Inputs!$B$3&gt;=69</f>
        <v/>
      </c>
      <c r="D1193">
        <f>IF(Skills!C11=1,60+Inputs!$B$26+Inputs!$B$30,IF(Skills!C11=2,90+Inputs!$B$27+Inputs!$B$30,IF(Skills!C11=3,120+Inputs!$B$28+Inputs!$B$30,MAX(0,(Inputs!$B$3-100)*3)+Inputs!$B$29+Inputs!$B$30)))</f>
        <v/>
      </c>
      <c r="E1193">
        <f>INDEX(FactorTable!$B$2:$Y$301, MATCH(ROUND(MIN(300,MAX(1,D1193)),0), FactorTable!$A$2:$A$301,0), Skills!L11+1)</f>
        <v/>
      </c>
      <c r="F1193">
        <f>IF(Skills!M11=TRUE,(Skills!K11/10)*(E1193/1000),Skills!K11/10)+Skills!N11</f>
        <v/>
      </c>
      <c r="G1193">
        <f>Calc!G11</f>
        <v/>
      </c>
      <c r="H1193">
        <f>Calc!H11</f>
        <v/>
      </c>
      <c r="I1193">
        <f>IF(Skills!T11&lt;&gt;"",1+(Skills!T11/10)*($Z$3/1000)/100,1)</f>
        <v/>
      </c>
      <c r="J1193" t="inlineStr"/>
      <c r="K1193" t="inlineStr"/>
      <c r="L1193" t="inlineStr"/>
      <c r="M1193" t="inlineStr"/>
      <c r="N1193" t="inlineStr"/>
      <c r="O1193" t="n">
        <v>0</v>
      </c>
      <c r="P1193">
        <f>IF(B1222=0,0,O1193/B1222)</f>
        <v/>
      </c>
      <c r="Q1193">
        <f>IFERROR(1/IF(Inputs!$B$39="pvp",15,MAX(0.1,Skills!D11-IF(Skills!E11=TRUE,0.5,0))),0)</f>
        <v/>
      </c>
      <c r="R1193">
        <f>IF(AND(Inputs!$B$39&lt;&gt;"pvp",Inputs!$B$44&gt;0),IF(Inputs!$B$44&lt;=0,0,(INT(Inputs!$B$44/IF(Inputs!$B$39="pvp",15,MAX(0.1,Skills!D11-IF(Skills!E11=TRUE,0.5,0))))+1)),0)</f>
        <v/>
      </c>
    </row>
    <row r="1194">
      <c r="A1194">
        <f>Skills!A12</f>
        <v/>
      </c>
      <c r="B1194">
        <f>Skills!B12</f>
        <v/>
      </c>
      <c r="C1194">
        <f>Inputs!$B$3&gt;=72</f>
        <v/>
      </c>
      <c r="D1194">
        <f>IF(Skills!C12=1,60+Inputs!$B$26+Inputs!$B$30,IF(Skills!C12=2,90+Inputs!$B$27+Inputs!$B$30,IF(Skills!C12=3,120+Inputs!$B$28+Inputs!$B$30,MAX(0,(Inputs!$B$3-100)*3)+Inputs!$B$29+Inputs!$B$30)))</f>
        <v/>
      </c>
      <c r="E1194">
        <f>INDEX(FactorTable!$B$2:$Y$301, MATCH(ROUND(MIN(300,MAX(1,D1194)),0), FactorTable!$A$2:$A$301,0), Skills!L12+1)</f>
        <v/>
      </c>
      <c r="F1194">
        <f>IF(Skills!M12=TRUE,(Skills!K12/10)*(E1194/1000),Skills!K12/10)+Skills!N12</f>
        <v/>
      </c>
      <c r="G1194">
        <f>Calc!G12</f>
        <v/>
      </c>
      <c r="H1194">
        <f>Calc!H12</f>
        <v/>
      </c>
      <c r="I1194">
        <f>IF(Skills!T12&lt;&gt;"",1+(Skills!T12/10)*($Z$3/1000)/100,1)</f>
        <v/>
      </c>
      <c r="J1194" t="inlineStr"/>
      <c r="K1194" t="inlineStr"/>
      <c r="L1194" t="inlineStr"/>
      <c r="M1194" t="inlineStr"/>
      <c r="N1194" t="inlineStr"/>
      <c r="O1194" t="n">
        <v>0</v>
      </c>
      <c r="P1194">
        <f>IF(B1222=0,0,O1194/B1222)</f>
        <v/>
      </c>
      <c r="Q1194">
        <f>IFERROR(1/IF(Inputs!$B$39="pvp",15,MAX(0.1,Skills!D12-IF(Skills!E12=TRUE,0.5,0))),0)</f>
        <v/>
      </c>
      <c r="R1194">
        <f>IF(AND(Inputs!$B$39&lt;&gt;"pvp",Inputs!$B$44&gt;0),IF(MAX(0,Inputs!$B$44-B1221)&lt;=0,0,(INT(MAX(0,Inputs!$B$44-B1221)/IF(Inputs!$B$39="pvp",15,MAX(0.1,Skills!D12-IF(Skills!E12=TRUE,0.5,0))))+1)),0)</f>
        <v/>
      </c>
    </row>
    <row r="1195">
      <c r="A1195">
        <f>Skills!A13</f>
        <v/>
      </c>
      <c r="B1195">
        <f>Skills!B13</f>
        <v/>
      </c>
      <c r="C1195">
        <f>Inputs!$B$3&gt;=60</f>
        <v/>
      </c>
      <c r="D1195">
        <f>IF(Skills!C13=1,60+Inputs!$B$26+Inputs!$B$30,IF(Skills!C13=2,90+Inputs!$B$27+Inputs!$B$30,IF(Skills!C13=3,120+Inputs!$B$28+Inputs!$B$30,MAX(0,(Inputs!$B$3-100)*3)+Inputs!$B$29+Inputs!$B$30)))</f>
        <v/>
      </c>
      <c r="E1195">
        <f>INDEX(FactorTable!$B$2:$Y$301, MATCH(ROUND(MIN(300,MAX(1,D1195)),0), FactorTable!$A$2:$A$301,0), Skills!L13+1)</f>
        <v/>
      </c>
      <c r="F1195">
        <f>IF(Skills!M13=TRUE,(Skills!K13/10)*(E1195/1000),Skills!K13/10)+Skills!N13</f>
        <v/>
      </c>
      <c r="G1195">
        <f>Calc!G13</f>
        <v/>
      </c>
      <c r="H1195">
        <f>Calc!H13</f>
        <v/>
      </c>
      <c r="I1195">
        <f>IF(Skills!T13&lt;&gt;"",1+(Skills!T13/10)*($Z$3/1000)/100,1)</f>
        <v/>
      </c>
      <c r="J1195" t="inlineStr"/>
      <c r="K1195" t="inlineStr"/>
      <c r="L1195" t="inlineStr"/>
      <c r="M1195" t="inlineStr"/>
      <c r="N1195" t="inlineStr"/>
      <c r="O1195" t="n">
        <v>0</v>
      </c>
      <c r="P1195">
        <f>IF(B1222=0,0,O1195/B1222)</f>
        <v/>
      </c>
      <c r="Q1195">
        <f>IFERROR(1/IF(Inputs!$B$39="pvp",15,MAX(0.1,Skills!D13-IF(Skills!E13=TRUE,0.5,0))),0)</f>
        <v/>
      </c>
      <c r="R1195">
        <f>IF(AND(Inputs!$B$39&lt;&gt;"pvp",Inputs!$B$44&gt;0),IF(MAX(0,Inputs!$B$44-B1221)&lt;=0,0,(INT(MAX(0,Inputs!$B$44-B1221)/IF(Inputs!$B$39="pvp",15,MAX(0.1,Skills!D13-IF(Skills!E13=TRUE,0.5,0))))+1)),0)</f>
        <v/>
      </c>
    </row>
    <row r="1196">
      <c r="A1196">
        <f>Skills!A14</f>
        <v/>
      </c>
      <c r="B1196">
        <f>Skills!B14</f>
        <v/>
      </c>
      <c r="C1196">
        <f>Inputs!$B$3&gt;=107</f>
        <v/>
      </c>
      <c r="D1196">
        <f>IF(Skills!C14=1,60+Inputs!$B$26+Inputs!$B$30,IF(Skills!C14=2,90+Inputs!$B$27+Inputs!$B$30,IF(Skills!C14=3,120+Inputs!$B$28+Inputs!$B$30,MAX(0,(Inputs!$B$3-100)*3)+Inputs!$B$29+Inputs!$B$30)))</f>
        <v/>
      </c>
      <c r="E1196">
        <f>INDEX(FactorTable!$B$2:$Y$301, MATCH(ROUND(MIN(300,MAX(1,D1196)),0), FactorTable!$A$2:$A$301,0), Skills!L14+1)</f>
        <v/>
      </c>
      <c r="F1196">
        <f>IF(Skills!M14=TRUE,(Skills!K14/10)*(E1196/1000),Skills!K14/10)+Skills!N14</f>
        <v/>
      </c>
      <c r="G1196">
        <f>Calc!G14</f>
        <v/>
      </c>
      <c r="H1196">
        <f>Calc!H14</f>
        <v/>
      </c>
      <c r="I1196">
        <f>IF(Skills!T14&lt;&gt;"",1+(Skills!T14/10)*($Z$3/1000)/100,1)</f>
        <v/>
      </c>
      <c r="J1196" t="inlineStr"/>
      <c r="K1196" t="inlineStr"/>
      <c r="L1196" t="inlineStr"/>
      <c r="M1196" t="inlineStr"/>
      <c r="N1196" t="inlineStr"/>
      <c r="O1196" t="n">
        <v>0</v>
      </c>
      <c r="P1196">
        <f>IF(B1222=0,0,O1196/B1222)</f>
        <v/>
      </c>
      <c r="Q1196">
        <f>IFERROR(1/IF(Inputs!$B$39="pvp",15,MAX(0.1,Skills!D14-IF(Skills!E14=TRUE,0.5,0))),0)</f>
        <v/>
      </c>
      <c r="R1196">
        <f>IF(AND(Inputs!$B$39&lt;&gt;"pvp",Inputs!$B$44&gt;0),IF(Inputs!$B$44&lt;=0,0,(INT(Inputs!$B$44/IF(Inputs!$B$39="pvp",15,MAX(0.1,Skills!D14-IF(Skills!E14=TRUE,0.5,0))))+1)),0)</f>
        <v/>
      </c>
    </row>
    <row r="1197">
      <c r="A1197">
        <f>Skills!A15</f>
        <v/>
      </c>
      <c r="B1197">
        <f>Skills!B15</f>
        <v/>
      </c>
      <c r="C1197">
        <f>Inputs!$B$3&gt;=63</f>
        <v/>
      </c>
      <c r="D1197">
        <f>IF(Skills!C15=1,60+Inputs!$B$26+Inputs!$B$30,IF(Skills!C15=2,90+Inputs!$B$27+Inputs!$B$30,IF(Skills!C15=3,120+Inputs!$B$28+Inputs!$B$30,MAX(0,(Inputs!$B$3-100)*3)+Inputs!$B$29+Inputs!$B$30)))</f>
        <v/>
      </c>
      <c r="E1197">
        <f>INDEX(FactorTable!$B$2:$Y$301, MATCH(ROUND(MIN(300,MAX(1,D1197)),0), FactorTable!$A$2:$A$301,0), Skills!L15+1)</f>
        <v/>
      </c>
      <c r="F1197">
        <f>IF(Skills!M15=TRUE,(Skills!K15/10)*(E1197/1000),Skills!K15/10)+Skills!N15</f>
        <v/>
      </c>
      <c r="G1197">
        <f>Calc!G15</f>
        <v/>
      </c>
      <c r="H1197">
        <f>Calc!H15</f>
        <v/>
      </c>
      <c r="I1197">
        <f>IF(Skills!T15&lt;&gt;"",1+(Skills!T15/10)*($Z$3/1000)/100,1)</f>
        <v/>
      </c>
      <c r="J1197">
        <f>((Inputs!$B$6*(1+Inputs!$B$7/100))+(((Inputs!$B$13*(1+Inputs!$B$14/100))-(Inputs!$B$13*(1+Inputs!$B$14/100)))+0.25*(Inputs!$B$15-Inputs!$B$15))*(1+Inputs!$B$7/100))*(F1197/100)</f>
        <v/>
      </c>
      <c r="K1197">
        <f>J1197*(1+(((Inputs!$B$13+IF(Inputs!$B$3&gt;=35,(10*INDEX(FactorTable!$B$2:$Y$301, MATCH(ROUND(MIN(300,MAX(1,Inputs!$B$3)),0), FactorTable!$A$2:$A$301,0), 23)/1000)/100*(Inputs!$B$8*(1+(Inputs!$B$9+B1220)/100)),0))*(1+Inputs!$B$14/100))*0.01+Inputs!$B$15*0.0025)/100)*(1+(Inputs!$B$16+B1214)/100)*(1+IF(Inputs!$B$39="pvp",0,(1-Summary!$B$48)*(Inputs!$B$21+Skills!O15+B1212)+Summary!$B$48*(Inputs!$B$22+Skills!P15+B1213))/100)*(1+Inputs!$B$17/100)*(5000/(6000+Inputs!$B$43*(1-Inputs!$B$20/100)))*(1+Inputs!$B$25/100)*(1+IF(C1200=TRUE,F1200,0)/100)*(1+IF(C1202=TRUE,F1202,0)/100)*(1+IF(Skills!A15="TRIUMPH_FEATHER",IF(C1198=TRUE,F1198,0),0)/100)*(1+IF(C1209=TRUE,F1209,0)/100)^5*(1+(IF(Skills!A15="BIG_BANG",Inputs!$B$18,Inputs!$B$19))/100)*(B1211*I1197)</f>
        <v/>
      </c>
      <c r="L1197">
        <f>K1197*(MIN(Inputs!$B$23+(F1204-Calc!F22),Inputs!$B$24)/100+Inputs!$B$24/100)/2</f>
        <v/>
      </c>
      <c r="M1197">
        <f>L1197*(1+(Inputs!$B$11+B1215+(F1207-Calc!F25))/100)</f>
        <v/>
      </c>
      <c r="N1197">
        <f>L1197*(1-MIN(Inputs!$B$10+((F1206-Calc!F24)+(F1205-Calc!F23)),100)/100)+M1197*(MIN(Inputs!$B$10+((F1206-Calc!F24)+(F1205-Calc!F23)),100)/100)</f>
        <v/>
      </c>
      <c r="O1197">
        <f>IF(C1197,Skills!F15*N1197*((IF(Inputs!$B$3&gt;=78,25,15)/100*B1217*10)/(1+IF(Inputs!$B$3&gt;=78,25,15)/100*B1217*10))*(Skills!I15/100*B1217)/(1+Skills!G15*Skills!I15/100*B1217)*IF(Inputs!$B$39="pvp",1,(1-Summary!$B$48)*(1)+Summary!$B$48*(MIN(Skills!Q15,Inputs!$B$38))),0)</f>
        <v/>
      </c>
      <c r="P1197">
        <f>IF(B1222=0,0,O1197/B1222)</f>
        <v/>
      </c>
      <c r="Q1197">
        <f>IFERROR(1/IF(Inputs!$B$39="pvp",15,MAX(0.1,Skills!D15-IF(Skills!E15=TRUE,0.5,0))),0)</f>
        <v/>
      </c>
      <c r="R1197" t="n">
        <v>0</v>
      </c>
    </row>
    <row r="1198">
      <c r="A1198">
        <f>Skills!A16</f>
        <v/>
      </c>
      <c r="B1198">
        <f>Skills!B16</f>
        <v/>
      </c>
      <c r="C1198">
        <f>Inputs!$B$3&gt;=100</f>
        <v/>
      </c>
      <c r="D1198">
        <f>IF(Skills!C16=1,60+Inputs!$B$26+Inputs!$B$30,IF(Skills!C16=2,90+Inputs!$B$27+Inputs!$B$30,IF(Skills!C16=3,120+Inputs!$B$28+Inputs!$B$30,MAX(0,(Inputs!$B$3-100)*3)+Inputs!$B$29+Inputs!$B$30)))</f>
        <v/>
      </c>
      <c r="E1198">
        <f>INDEX(FactorTable!$B$2:$Y$301, MATCH(ROUND(MIN(300,MAX(1,D1198)),0), FactorTable!$A$2:$A$301,0), Skills!L16+1)</f>
        <v/>
      </c>
      <c r="F1198">
        <f>IF(Skills!M16=TRUE,(Skills!K16/10)*(E1198/1000),Skills!K16/10)+Skills!N16</f>
        <v/>
      </c>
      <c r="G1198">
        <f>Calc!G16</f>
        <v/>
      </c>
      <c r="H1198">
        <f>Calc!H16</f>
        <v/>
      </c>
      <c r="I1198">
        <f>IF(Skills!T16&lt;&gt;"",1+(Skills!T16/10)*($Z$3/1000)/100,1)</f>
        <v/>
      </c>
      <c r="J1198" t="inlineStr"/>
      <c r="K1198" t="inlineStr"/>
      <c r="L1198" t="inlineStr"/>
      <c r="M1198" t="inlineStr"/>
      <c r="N1198" t="inlineStr"/>
      <c r="O1198" t="n">
        <v>0</v>
      </c>
      <c r="P1198">
        <f>IF(B1222=0,0,O1198/B1222)</f>
        <v/>
      </c>
      <c r="Q1198">
        <f>IFERROR(1/IF(Inputs!$B$39="pvp",15,MAX(0.1,Skills!D16-IF(Skills!E16=TRUE,0.5,0))),0)</f>
        <v/>
      </c>
      <c r="R1198" t="n">
        <v>0</v>
      </c>
    </row>
    <row r="1199">
      <c r="A1199">
        <f>Skills!A17</f>
        <v/>
      </c>
      <c r="B1199">
        <f>Skills!B17</f>
        <v/>
      </c>
      <c r="C1199">
        <f>Inputs!$B$3&gt;=49</f>
        <v/>
      </c>
      <c r="D1199">
        <f>IF(Skills!C17=1,60+Inputs!$B$26+Inputs!$B$30,IF(Skills!C17=2,90+Inputs!$B$27+Inputs!$B$30,IF(Skills!C17=3,120+Inputs!$B$28+Inputs!$B$30,MAX(0,(Inputs!$B$3-100)*3)+Inputs!$B$29+Inputs!$B$30)))</f>
        <v/>
      </c>
      <c r="E1199">
        <f>INDEX(FactorTable!$B$2:$Y$301, MATCH(ROUND(MIN(300,MAX(1,D1199)),0), FactorTable!$A$2:$A$301,0), Skills!L17+1)</f>
        <v/>
      </c>
      <c r="F1199">
        <f>IF(Skills!M17=TRUE,(Skills!K17/10)*(E1199/1000),Skills!K17/10)+Skills!N17</f>
        <v/>
      </c>
      <c r="G1199">
        <f>Calc!G17</f>
        <v/>
      </c>
      <c r="H1199">
        <f>Calc!H17</f>
        <v/>
      </c>
      <c r="I1199">
        <f>IF(Skills!T17&lt;&gt;"",1+(Skills!T17/10)*($Z$3/1000)/100,1)</f>
        <v/>
      </c>
      <c r="J1199" t="inlineStr"/>
      <c r="K1199" t="inlineStr"/>
      <c r="L1199" t="inlineStr"/>
      <c r="M1199" t="inlineStr"/>
      <c r="N1199" t="inlineStr"/>
      <c r="O1199" t="n">
        <v>0</v>
      </c>
      <c r="P1199">
        <f>IF(B1222=0,0,O1199/B1222)</f>
        <v/>
      </c>
      <c r="Q1199">
        <f>IFERROR(1/IF(Inputs!$B$39="pvp",15,MAX(0.1,Skills!D17-IF(Skills!E17=TRUE,0.5,0))),0)</f>
        <v/>
      </c>
      <c r="R1199" t="n">
        <v>0</v>
      </c>
    </row>
    <row r="1200">
      <c r="A1200">
        <f>Skills!A18</f>
        <v/>
      </c>
      <c r="B1200">
        <f>Skills!B18</f>
        <v/>
      </c>
      <c r="C1200">
        <f>Inputs!$B$3&gt;=75</f>
        <v/>
      </c>
      <c r="D1200">
        <f>IF(Skills!C18=1,60+Inputs!$B$26+Inputs!$B$30,IF(Skills!C18=2,90+Inputs!$B$27+Inputs!$B$30,IF(Skills!C18=3,120+Inputs!$B$28+Inputs!$B$30,MAX(0,(Inputs!$B$3-100)*3)+Inputs!$B$29+Inputs!$B$30)))</f>
        <v/>
      </c>
      <c r="E1200">
        <f>INDEX(FactorTable!$B$2:$Y$301, MATCH(ROUND(MIN(300,MAX(1,D1200)),0), FactorTable!$A$2:$A$301,0), Skills!L18+1)</f>
        <v/>
      </c>
      <c r="F1200">
        <f>IF(Skills!M18=TRUE,(Skills!K18/10)*(E1200/1000),Skills!K18/10)+Skills!N18</f>
        <v/>
      </c>
      <c r="G1200">
        <f>Calc!G18</f>
        <v/>
      </c>
      <c r="H1200">
        <f>Calc!H18</f>
        <v/>
      </c>
      <c r="I1200">
        <f>IF(Skills!T18&lt;&gt;"",1+(Skills!T18/10)*($Z$3/1000)/100,1)</f>
        <v/>
      </c>
      <c r="J1200" t="inlineStr"/>
      <c r="K1200" t="inlineStr"/>
      <c r="L1200" t="inlineStr"/>
      <c r="M1200" t="inlineStr"/>
      <c r="N1200" t="inlineStr"/>
      <c r="O1200" t="n">
        <v>0</v>
      </c>
      <c r="P1200">
        <f>IF(B1222=0,0,O1200/B1222)</f>
        <v/>
      </c>
      <c r="Q1200">
        <f>IFERROR(1/IF(Inputs!$B$39="pvp",15,MAX(0.1,Skills!D18-IF(Skills!E18=TRUE,0.5,0))),0)</f>
        <v/>
      </c>
      <c r="R1200" t="n">
        <v>0</v>
      </c>
    </row>
    <row r="1201">
      <c r="A1201">
        <f>Skills!A19</f>
        <v/>
      </c>
      <c r="B1201">
        <f>Skills!B19</f>
        <v/>
      </c>
      <c r="C1201">
        <f>Inputs!$B$3&gt;=110</f>
        <v/>
      </c>
      <c r="D1201">
        <f>IF(Skills!C19=1,60+Inputs!$B$26+Inputs!$B$30,IF(Skills!C19=2,90+Inputs!$B$27+Inputs!$B$30,IF(Skills!C19=3,120+Inputs!$B$28+Inputs!$B$30,MAX(0,(Inputs!$B$3-100)*3)+Inputs!$B$29+Inputs!$B$30)))</f>
        <v/>
      </c>
      <c r="E1201">
        <f>INDEX(FactorTable!$B$2:$Y$301, MATCH(ROUND(MIN(300,MAX(1,D1201)),0), FactorTable!$A$2:$A$301,0), Skills!L19+1)</f>
        <v/>
      </c>
      <c r="F1201">
        <f>(Skills!K19/10)*(E1201/1000)*64/45+Skills!N19</f>
        <v/>
      </c>
      <c r="G1201">
        <f>Calc!G19</f>
        <v/>
      </c>
      <c r="H1201">
        <f>Calc!H19</f>
        <v/>
      </c>
      <c r="I1201">
        <f>IF(Skills!T19&lt;&gt;"",1+(Skills!T19/10)*($Z$3/1000)/100,1)</f>
        <v/>
      </c>
      <c r="J1201" t="inlineStr"/>
      <c r="K1201" t="inlineStr"/>
      <c r="L1201" t="inlineStr"/>
      <c r="M1201" t="inlineStr"/>
      <c r="N1201" t="inlineStr"/>
      <c r="O1201" t="n">
        <v>0</v>
      </c>
      <c r="P1201">
        <f>IF(B1222=0,0,O1201/B1222)</f>
        <v/>
      </c>
      <c r="Q1201">
        <f>IFERROR(1/IF(Inputs!$B$39="pvp",15,MAX(0.1,Skills!D19-IF(Skills!E19=TRUE,0.5,0))),0)</f>
        <v/>
      </c>
      <c r="R1201">
        <f>IF(AND(Inputs!$B$39&lt;&gt;"pvp",Inputs!$B$44&gt;0),IF(Inputs!$B$44&lt;=0,0,(INT(Inputs!$B$44/IF(Inputs!$B$39="pvp",15,MAX(0.1,Skills!D19-IF(Skills!E19=TRUE,0.5,0))))+1)),0)</f>
        <v/>
      </c>
    </row>
    <row r="1202">
      <c r="A1202">
        <f>Skills!A20</f>
        <v/>
      </c>
      <c r="B1202">
        <f>Skills!B20</f>
        <v/>
      </c>
      <c r="C1202">
        <f>Inputs!$B$3&gt;=125</f>
        <v/>
      </c>
      <c r="D1202">
        <f>IF(Skills!C20=1,60+Inputs!$B$26+Inputs!$B$30,IF(Skills!C20=2,90+Inputs!$B$27+Inputs!$B$30,IF(Skills!C20=3,120+Inputs!$B$28+Inputs!$B$30,MAX(0,(Inputs!$B$3-100)*3)+Inputs!$B$29+Inputs!$B$30)))</f>
        <v/>
      </c>
      <c r="E1202">
        <f>INDEX(FactorTable!$B$2:$Y$301, MATCH(ROUND(MIN(300,MAX(1,D1202)),0), FactorTable!$A$2:$A$301,0), Skills!L20+1)</f>
        <v/>
      </c>
      <c r="F1202">
        <f>IF(Skills!M20=TRUE,(Skills!K20/10)*(E1202/1000),Skills!K20/10)+Skills!N20</f>
        <v/>
      </c>
      <c r="G1202">
        <f>Calc!G20</f>
        <v/>
      </c>
      <c r="H1202">
        <f>Calc!H20</f>
        <v/>
      </c>
      <c r="I1202">
        <f>IF(Skills!T20&lt;&gt;"",1+(Skills!T20/10)*($Z$3/1000)/100,1)</f>
        <v/>
      </c>
      <c r="J1202" t="inlineStr"/>
      <c r="K1202" t="inlineStr"/>
      <c r="L1202" t="inlineStr"/>
      <c r="M1202" t="inlineStr"/>
      <c r="N1202" t="inlineStr"/>
      <c r="O1202" t="n">
        <v>0</v>
      </c>
      <c r="P1202">
        <f>IF(B1222=0,0,O1202/B1222)</f>
        <v/>
      </c>
      <c r="Q1202">
        <f>IFERROR(1/IF(Inputs!$B$39="pvp",15,MAX(0.1,Skills!D20-IF(Skills!E20=TRUE,0.5,0))),0)</f>
        <v/>
      </c>
      <c r="R1202" t="n">
        <v>0</v>
      </c>
    </row>
    <row r="1203">
      <c r="A1203">
        <f>Skills!A21</f>
        <v/>
      </c>
      <c r="B1203">
        <f>Skills!B21</f>
        <v/>
      </c>
      <c r="C1203">
        <f>Inputs!$B$3&gt;=33</f>
        <v/>
      </c>
      <c r="D1203">
        <f>IF(Skills!C21=1,60+Inputs!$B$26+Inputs!$B$30,IF(Skills!C21=2,90+Inputs!$B$27+Inputs!$B$30,IF(Skills!C21=3,120+Inputs!$B$28+Inputs!$B$30,MAX(0,(Inputs!$B$3-100)*3)+Inputs!$B$29+Inputs!$B$30)))</f>
        <v/>
      </c>
      <c r="E1203">
        <f>INDEX(FactorTable!$B$2:$Y$301, MATCH(ROUND(MIN(300,MAX(1,D1203)),0), FactorTable!$A$2:$A$301,0), Skills!L21+1)</f>
        <v/>
      </c>
      <c r="F1203">
        <f>IF(Skills!M21=TRUE,(Skills!K21/10)*(E1203/1000),Skills!K21/10)+Skills!N21</f>
        <v/>
      </c>
      <c r="G1203">
        <f>Calc!G21</f>
        <v/>
      </c>
      <c r="H1203">
        <f>Calc!H21</f>
        <v/>
      </c>
      <c r="I1203">
        <f>IF(Skills!T21&lt;&gt;"",1+(Skills!T21/10)*($Z$3/1000)/100,1)</f>
        <v/>
      </c>
      <c r="J1203" t="inlineStr"/>
      <c r="K1203" t="inlineStr"/>
      <c r="L1203" t="inlineStr"/>
      <c r="M1203" t="inlineStr"/>
      <c r="N1203" t="inlineStr"/>
      <c r="O1203" t="n">
        <v>0</v>
      </c>
      <c r="P1203">
        <f>IF(B1222=0,0,O1203/B1222)</f>
        <v/>
      </c>
      <c r="Q1203">
        <f>IFERROR(1/IF(Inputs!$B$39="pvp",15,MAX(0.1,Skills!D21-IF(Skills!E21=TRUE,0.5,0))),0)</f>
        <v/>
      </c>
      <c r="R1203" t="n">
        <v>0</v>
      </c>
    </row>
    <row r="1204">
      <c r="A1204">
        <f>Skills!A22</f>
        <v/>
      </c>
      <c r="B1204">
        <f>Skills!B22</f>
        <v/>
      </c>
      <c r="C1204">
        <f>Inputs!$B$3&gt;=43</f>
        <v/>
      </c>
      <c r="D1204">
        <f>IF(Skills!C22=1,60+Inputs!$B$26+Inputs!$B$30,IF(Skills!C22=2,90+Inputs!$B$27+Inputs!$B$30,IF(Skills!C22=3,120+Inputs!$B$28+Inputs!$B$30,MAX(0,(Inputs!$B$3-100)*3)+Inputs!$B$29+Inputs!$B$30)))</f>
        <v/>
      </c>
      <c r="E1204">
        <f>INDEX(FactorTable!$B$2:$Y$301, MATCH(ROUND(MIN(300,MAX(1,D1204)),0), FactorTable!$A$2:$A$301,0), Skills!L22+1)</f>
        <v/>
      </c>
      <c r="F1204">
        <f>IF(Skills!M22=TRUE,(Skills!K22/10)*(E1204/1000),Skills!K22/10)+Skills!N22</f>
        <v/>
      </c>
      <c r="G1204">
        <f>Calc!G22</f>
        <v/>
      </c>
      <c r="H1204">
        <f>Calc!H22</f>
        <v/>
      </c>
      <c r="I1204">
        <f>IF(Skills!T22&lt;&gt;"",1+(Skills!T22/10)*($Z$3/1000)/100,1)</f>
        <v/>
      </c>
      <c r="J1204" t="inlineStr"/>
      <c r="K1204" t="inlineStr"/>
      <c r="L1204" t="inlineStr"/>
      <c r="M1204" t="inlineStr"/>
      <c r="N1204" t="inlineStr"/>
      <c r="O1204" t="n">
        <v>0</v>
      </c>
      <c r="P1204">
        <f>IF(B1222=0,0,O1204/B1222)</f>
        <v/>
      </c>
      <c r="Q1204">
        <f>IFERROR(1/IF(Inputs!$B$39="pvp",15,MAX(0.1,Skills!D22-IF(Skills!E22=TRUE,0.5,0))),0)</f>
        <v/>
      </c>
      <c r="R1204" t="n">
        <v>0</v>
      </c>
    </row>
    <row r="1205">
      <c r="A1205">
        <f>Skills!A23</f>
        <v/>
      </c>
      <c r="B1205">
        <f>Skills!B23</f>
        <v/>
      </c>
      <c r="C1205">
        <f>Inputs!$B$3&gt;=50</f>
        <v/>
      </c>
      <c r="D1205">
        <f>IF(Skills!C23=1,60+Inputs!$B$26+Inputs!$B$30,IF(Skills!C23=2,90+Inputs!$B$27+Inputs!$B$30,IF(Skills!C23=3,120+Inputs!$B$28+Inputs!$B$30,MAX(0,(Inputs!$B$3-100)*3)+Inputs!$B$29+Inputs!$B$30)))</f>
        <v/>
      </c>
      <c r="E1205">
        <f>INDEX(FactorTable!$B$2:$Y$301, MATCH(ROUND(MIN(300,MAX(1,D1205)),0), FactorTable!$A$2:$A$301,0), Skills!L23+1)</f>
        <v/>
      </c>
      <c r="F1205">
        <f>IF(Skills!M23=TRUE,(Skills!K23/10)*(E1205/1000),Skills!K23/10)+Skills!N23</f>
        <v/>
      </c>
      <c r="G1205">
        <f>Calc!G23</f>
        <v/>
      </c>
      <c r="H1205">
        <f>Calc!H23</f>
        <v/>
      </c>
      <c r="I1205">
        <f>IF(Skills!T23&lt;&gt;"",1+(Skills!T23/10)*($Z$3/1000)/100,1)</f>
        <v/>
      </c>
      <c r="J1205" t="inlineStr"/>
      <c r="K1205" t="inlineStr"/>
      <c r="L1205" t="inlineStr"/>
      <c r="M1205" t="inlineStr"/>
      <c r="N1205" t="inlineStr"/>
      <c r="O1205" t="n">
        <v>0</v>
      </c>
      <c r="P1205">
        <f>IF(B1222=0,0,O1205/B1222)</f>
        <v/>
      </c>
      <c r="Q1205">
        <f>IFERROR(1/IF(Inputs!$B$39="pvp",15,MAX(0.1,Skills!D23-IF(Skills!E23=TRUE,0.5,0))),0)</f>
        <v/>
      </c>
      <c r="R1205" t="n">
        <v>0</v>
      </c>
    </row>
    <row r="1206">
      <c r="A1206">
        <f>Skills!A24</f>
        <v/>
      </c>
      <c r="B1206">
        <f>Skills!B24</f>
        <v/>
      </c>
      <c r="C1206">
        <f>Inputs!$B$3&gt;=74</f>
        <v/>
      </c>
      <c r="D1206">
        <f>IF(Skills!C24=1,60+Inputs!$B$26+Inputs!$B$30,IF(Skills!C24=2,90+Inputs!$B$27+Inputs!$B$30,IF(Skills!C24=3,120+Inputs!$B$28+Inputs!$B$30,MAX(0,(Inputs!$B$3-100)*3)+Inputs!$B$29+Inputs!$B$30)))</f>
        <v/>
      </c>
      <c r="E1206">
        <f>INDEX(FactorTable!$B$2:$Y$301, MATCH(ROUND(MIN(300,MAX(1,D1206)),0), FactorTable!$A$2:$A$301,0), Skills!L24+1)</f>
        <v/>
      </c>
      <c r="F1206">
        <f>IF(Skills!M24=TRUE,(Skills!K24/10)*(E1206/1000),Skills!K24/10)+Skills!N24</f>
        <v/>
      </c>
      <c r="G1206">
        <f>Calc!G24</f>
        <v/>
      </c>
      <c r="H1206">
        <f>Calc!H24</f>
        <v/>
      </c>
      <c r="I1206">
        <f>IF(Skills!T24&lt;&gt;"",1+(Skills!T24/10)*($Z$3/1000)/100,1)</f>
        <v/>
      </c>
      <c r="J1206" t="inlineStr"/>
      <c r="K1206" t="inlineStr"/>
      <c r="L1206" t="inlineStr"/>
      <c r="M1206" t="inlineStr"/>
      <c r="N1206" t="inlineStr"/>
      <c r="O1206" t="n">
        <v>0</v>
      </c>
      <c r="P1206">
        <f>IF(B1222=0,0,O1206/B1222)</f>
        <v/>
      </c>
      <c r="Q1206">
        <f>IFERROR(1/IF(Inputs!$B$39="pvp",15,MAX(0.1,Skills!D24-IF(Skills!E24=TRUE,0.5,0))),0)</f>
        <v/>
      </c>
      <c r="R1206" t="n">
        <v>0</v>
      </c>
    </row>
    <row r="1207">
      <c r="A1207">
        <f>Skills!A25</f>
        <v/>
      </c>
      <c r="B1207">
        <f>Skills!B25</f>
        <v/>
      </c>
      <c r="C1207">
        <f>Inputs!$B$3&gt;=74</f>
        <v/>
      </c>
      <c r="D1207">
        <f>IF(Skills!C25=1,60+Inputs!$B$26+Inputs!$B$30,IF(Skills!C25=2,90+Inputs!$B$27+Inputs!$B$30,IF(Skills!C25=3,120+Inputs!$B$28+Inputs!$B$30,MAX(0,(Inputs!$B$3-100)*3)+Inputs!$B$29+Inputs!$B$30)))</f>
        <v/>
      </c>
      <c r="E1207">
        <f>INDEX(FactorTable!$B$2:$Y$301, MATCH(ROUND(MIN(300,MAX(1,D1207)),0), FactorTable!$A$2:$A$301,0), Skills!L25+1)</f>
        <v/>
      </c>
      <c r="F1207">
        <f>IF(Skills!M25=TRUE,(Skills!K25/10)*(E1207/1000),Skills!K25/10)+Skills!N25</f>
        <v/>
      </c>
      <c r="G1207">
        <f>Calc!G25</f>
        <v/>
      </c>
      <c r="H1207">
        <f>Calc!H25</f>
        <v/>
      </c>
      <c r="I1207">
        <f>IF(Skills!T25&lt;&gt;"",1+(Skills!T25/10)*($Z$3/1000)/100,1)</f>
        <v/>
      </c>
      <c r="J1207" t="inlineStr"/>
      <c r="K1207" t="inlineStr"/>
      <c r="L1207" t="inlineStr"/>
      <c r="M1207" t="inlineStr"/>
      <c r="N1207" t="inlineStr"/>
      <c r="O1207" t="n">
        <v>0</v>
      </c>
      <c r="P1207">
        <f>IF(B1222=0,0,O1207/B1222)</f>
        <v/>
      </c>
      <c r="Q1207">
        <f>IFERROR(1/IF(Inputs!$B$39="pvp",15,MAX(0.1,Skills!D25-IF(Skills!E25=TRUE,0.5,0))),0)</f>
        <v/>
      </c>
      <c r="R1207" t="n">
        <v>0</v>
      </c>
    </row>
    <row r="1208">
      <c r="A1208">
        <f>Skills!A26</f>
        <v/>
      </c>
      <c r="B1208">
        <f>Skills!B26</f>
        <v/>
      </c>
      <c r="C1208">
        <f>Inputs!$B$3&gt;=117</f>
        <v/>
      </c>
      <c r="D1208">
        <f>IF(Skills!C26=1,60+Inputs!$B$26+Inputs!$B$30,IF(Skills!C26=2,90+Inputs!$B$27+Inputs!$B$30,IF(Skills!C26=3,120+Inputs!$B$28+Inputs!$B$30,MAX(0,(Inputs!$B$3-100)*3)+Inputs!$B$29+Inputs!$B$30)))</f>
        <v/>
      </c>
      <c r="E1208">
        <f>INDEX(FactorTable!$B$2:$Y$301, MATCH(ROUND(MIN(300,MAX(1,D1208)),0), FactorTable!$A$2:$A$301,0), Skills!L26+1)</f>
        <v/>
      </c>
      <c r="F1208">
        <f>IF(Skills!M26=TRUE,(Skills!K26/10)*(E1208/1000),Skills!K26/10)+Skills!N26</f>
        <v/>
      </c>
      <c r="G1208">
        <f>Calc!G26</f>
        <v/>
      </c>
      <c r="H1208">
        <f>Calc!H26</f>
        <v/>
      </c>
      <c r="I1208">
        <f>IF(Skills!T26&lt;&gt;"",1+(Skills!T26/10)*($Z$3/1000)/100,1)</f>
        <v/>
      </c>
      <c r="J1208" t="inlineStr"/>
      <c r="K1208" t="inlineStr"/>
      <c r="L1208" t="inlineStr"/>
      <c r="M1208" t="inlineStr"/>
      <c r="N1208" t="inlineStr"/>
      <c r="O1208" t="n">
        <v>0</v>
      </c>
      <c r="P1208">
        <f>IF(B1222=0,0,O1208/B1222)</f>
        <v/>
      </c>
      <c r="Q1208">
        <f>IFERROR(1/IF(Inputs!$B$39="pvp",15,MAX(0.1,Skills!D26-IF(Skills!E26=TRUE,0.5,0))),0)</f>
        <v/>
      </c>
      <c r="R1208" t="n">
        <v>0</v>
      </c>
    </row>
    <row r="1209">
      <c r="A1209">
        <f>Skills!A27</f>
        <v/>
      </c>
      <c r="B1209">
        <f>Skills!B27</f>
        <v/>
      </c>
      <c r="C1209">
        <f>Inputs!$B$3&gt;=120</f>
        <v/>
      </c>
      <c r="D1209">
        <f>IF(Skills!C27=1,60+Inputs!$B$26+Inputs!$B$30,IF(Skills!C27=2,90+Inputs!$B$27+Inputs!$B$30,IF(Skills!C27=3,120+Inputs!$B$28+Inputs!$B$30,MAX(0,(Inputs!$B$3-100)*3)+Inputs!$B$29+Inputs!$B$30)))</f>
        <v/>
      </c>
      <c r="E1209">
        <f>INDEX(FactorTable!$B$2:$Y$301, MATCH(ROUND(MIN(300,MAX(1,D1209)),0), FactorTable!$A$2:$A$301,0), Skills!L27+1)</f>
        <v/>
      </c>
      <c r="F1209">
        <f>IF(Skills!M27=TRUE,(Skills!K27/10)*(E1209/1000),Skills!K27/10)+Skills!N27</f>
        <v/>
      </c>
      <c r="G1209">
        <f>Calc!G27</f>
        <v/>
      </c>
      <c r="H1209">
        <f>Calc!H27</f>
        <v/>
      </c>
      <c r="I1209">
        <f>IF(Skills!T27&lt;&gt;"",1+(Skills!T27/10)*($Z$3/1000)/100,1)</f>
        <v/>
      </c>
      <c r="J1209" t="inlineStr"/>
      <c r="K1209" t="inlineStr"/>
      <c r="L1209" t="inlineStr"/>
      <c r="M1209" t="inlineStr"/>
      <c r="N1209" t="inlineStr"/>
      <c r="O1209" t="n">
        <v>0</v>
      </c>
      <c r="P1209">
        <f>IF(B1222=0,0,O1209/B1222)</f>
        <v/>
      </c>
      <c r="Q1209">
        <f>IFERROR(1/IF(Inputs!$B$39="pvp",15,MAX(0.1,Skills!D27-IF(Skills!E27=TRUE,0.5,0))),0)</f>
        <v/>
      </c>
      <c r="R1209" t="n">
        <v>0</v>
      </c>
    </row>
    <row r="1211">
      <c r="A1211" t="inlineStr">
        <is>
          <t>Average Buff Multiplier</t>
        </is>
      </c>
      <c r="B1211">
        <f>(1+(IF(C1185=TRUE,F1185*IF(AND(Inputs!$B$39&lt;&gt;"pvp",Inputs!$B$44&gt;0),(((R1185-1)*(Skills!S3*(1+(Inputs!$B$35+IF(Inputs!$B$3&gt;=117,F1208,0))/100))+MIN((Skills!S3*(1+(Inputs!$B$35+IF(Inputs!$B$3&gt;=117,F1208,0))/100)),MAX(0,Inputs!$B$44-((R1185-1)*Skills!D3))))/Inputs!$B$44),IF(Inputs!$B$39="pvp",MIN((Skills!S3*(1+(Inputs!$B$35+IF(Inputs!$B$3&gt;=117,F1208,0))/100)),15)/15,(Skills!S3*(1+(Inputs!$B$35+IF(Inputs!$B$3&gt;=117,F1208,0))/100))/Skills!D3)),0)+IF(C1186=TRUE,F1186*IF(AND(Inputs!$B$39&lt;&gt;"pvp",Inputs!$B$44&gt;0),(((R1186-1)*(Skills!S4*(1+(Inputs!$B$35+IF(Inputs!$B$3&gt;=117,F1208,0))/100))+MIN((Skills!S4*(1+(Inputs!$B$35+IF(Inputs!$B$3&gt;=117,F1208,0))/100)),MAX(0,Inputs!$B$44-((R1186-1)*Skills!D4))))/Inputs!$B$44),IF(Inputs!$B$39="pvp",MIN((Skills!S4*(1+(Inputs!$B$35+IF(Inputs!$B$3&gt;=117,F1208,0))/100)),15)/15,(Skills!S4*(1+(Inputs!$B$35+IF(Inputs!$B$3&gt;=117,F1208,0))/100))/Skills!D4)),0)+IF(C1187=TRUE,F1187*IF(AND(Inputs!$B$39&lt;&gt;"pvp",Inputs!$B$44&gt;0),(((R1187-1)*(Skills!S5*(1+(Inputs!$B$35+IF(Inputs!$B$3&gt;=117,F1208,0))/100))+MIN((Skills!S5*(1+(Inputs!$B$35+IF(Inputs!$B$3&gt;=117,F1208,0))/100)),MAX(0,Inputs!$B$44-((R1187-1)*Skills!D5))))/Inputs!$B$44),IF(Inputs!$B$39="pvp",MIN((Skills!S5*(1+(Inputs!$B$35+IF(Inputs!$B$3&gt;=117,F1208,0))/100)),15)/15,(Skills!S5*(1+(Inputs!$B$35+IF(Inputs!$B$3&gt;=117,F1208,0))/100))/Skills!D5)),0)+IF(C1193=TRUE,F1193*IF(AND(Inputs!$B$39&lt;&gt;"pvp",Inputs!$B$44&gt;0),(((R1193-1)*(Skills!S11*(1+(Inputs!$B$35+IF(Inputs!$B$3&gt;=117,F1208,0))/100))+MIN((Skills!S11*(1+(Inputs!$B$35+IF(Inputs!$B$3&gt;=117,F1208,0))/100)),MAX(0,Inputs!$B$44-((R1193-1)*Skills!D11))))/Inputs!$B$44),IF(Inputs!$B$39="pvp",MIN((Skills!S11*(1+(Inputs!$B$35+IF(Inputs!$B$3&gt;=117,F1208,0))/100)),15)/15,(Skills!S11*(1+(Inputs!$B$35+IF(Inputs!$B$3&gt;=117,F1208,0))/100))/Skills!D11)),0))/100)*IF(C1196=TRUE,(1+F1196*IF(AND(Inputs!$B$39&lt;&gt;"pvp",Inputs!$B$44&gt;0),(((R1196-1)*(Skills!S14*(1+(Inputs!$B$35+IF(Inputs!$B$3&gt;=117,F1208,0))/100))+MIN((Skills!S14*(1+(Inputs!$B$35+IF(Inputs!$B$3&gt;=117,F1208,0))/100)),MAX(0,Inputs!$B$44-((R1196-1)*Skills!D14))))/Inputs!$B$44),IF(Inputs!$B$39="pvp",MIN((Skills!S14*(1+(Inputs!$B$35+IF(Inputs!$B$3&gt;=117,F1208,0))/100)),15)/15,(Skills!S14*(1+(Inputs!$B$35+IF(Inputs!$B$3&gt;=117,F1208,0))/100))/Skills!D14))/100),1)*IF(C1201=TRUE,(1+F1201*IF(AND(Inputs!$B$39&lt;&gt;"pvp",Inputs!$B$44&gt;0),(((R1201-1)*(Skills!S19*(1+(Inputs!$B$35+IF(Inputs!$B$3&gt;=117,F1208,0))/100))+MIN((Skills!S19*(1+(Inputs!$B$35+IF(Inputs!$B$3&gt;=117,F1208,0))/100)),MAX(0,Inputs!$B$44-((R1201-1)*Skills!D19))))/Inputs!$B$44),IF(Inputs!$B$39="pvp",MIN((Skills!S19*(1+(Inputs!$B$35+IF(Inputs!$B$3&gt;=117,F1208,0))/100)),15)/15,(Skills!S19*(1+(Inputs!$B$35+IF(Inputs!$B$3&gt;=117,F1208,0))/100))/Skills!D19))/100),1)</f>
        <v/>
      </c>
    </row>
    <row r="1212">
      <c r="A1212" t="inlineStr">
        <is>
          <t>Monster Damage Taken Bonus % (Holy Fountain)</t>
        </is>
      </c>
      <c r="B1212">
        <f>IF(Inputs!$B$3&gt;=68,20*IF(Inputs!$B$39="pvp",MIN((15*(1+(Inputs!$B$35+IF(Inputs!$B$3&gt;=117,F1208,0))/100)),15)/15,(15*(1+(Inputs!$B$35+IF(Inputs!$B$3&gt;=117,F1208,0))/100))/Skills!D10),0)</f>
        <v/>
      </c>
    </row>
    <row r="1213">
      <c r="A1213" t="inlineStr">
        <is>
          <t>Normal Monster Damage Bonus % (Holy Symbol)</t>
        </is>
      </c>
      <c r="B1213">
        <f>IF(C1194=TRUE,F1194*IF(AND(Inputs!$B$39&lt;&gt;"pvp",Inputs!$B$44&gt;0),(((R1194-1)*(Skills!S12*(1+(Inputs!$B$35+IF(Inputs!$B$3&gt;=117,F1208,0))/100))+MIN((Skills!S12*(1+(Inputs!$B$35+IF(Inputs!$B$3&gt;=117,F1208,0))/100)),MAX(0,Inputs!$B$44-((R1194-1)*Skills!D12))))/Inputs!$B$44),IF(Inputs!$B$39="pvp",MIN((Skills!S12*(1+(Inputs!$B$35+IF(Inputs!$B$3&gt;=117,F1208,0))/100)),15)/15,(Skills!S12*(1+(Inputs!$B$35+IF(Inputs!$B$3&gt;=117,F1208,0))/100))/Skills!D12)),0)</f>
        <v/>
      </c>
    </row>
    <row r="1214">
      <c r="A1214" t="inlineStr">
        <is>
          <t>Damage % Bonus (Holy Symbol - Damage Boost)</t>
        </is>
      </c>
      <c r="B1214">
        <f>Skills!O12</f>
        <v/>
      </c>
    </row>
    <row r="1215">
      <c r="A1215" t="inlineStr">
        <is>
          <t>Crit Damage % Bonus (Blood of the Divine)</t>
        </is>
      </c>
      <c r="B1215">
        <f>4*IF(C1202=TRUE,F1202,0)</f>
        <v/>
      </c>
    </row>
    <row r="1216">
      <c r="A1216" t="inlineStr">
        <is>
          <t>Attack Speed Bonus %</t>
        </is>
      </c>
      <c r="B1216">
        <f>IF(C1199=TRUE,F1199+(F1203-Calc!F21),0)+IF(Inputs!$B$3&gt;=134,15,0)</f>
        <v/>
      </c>
    </row>
    <row r="1217">
      <c r="A1217" t="inlineStr">
        <is>
          <t>Actions Per Second</t>
        </is>
      </c>
      <c r="B1217">
        <f>1+MIN(150,150*(1-(1-Inputs!$B$12/150)*(1-B1216/150)))/100</f>
        <v/>
      </c>
    </row>
    <row r="1218">
      <c r="A1218" t="inlineStr">
        <is>
          <t>Skill + Buff Cast Rate</t>
        </is>
      </c>
      <c r="B1218">
        <f>IF(AND(Inputs!$B$39&lt;&gt;"pvp",Inputs!$B$44&gt;0),SUMPRODUCT((Skills!E2:E27=TRUE)*(C1184:C1209=TRUE)*R1184:R1209)/Inputs!$B$44,SUMPRODUCT((Skills!E2:E27=TRUE)*(C1184:C1209=TRUE)*Q1184:Q1209))</f>
        <v/>
      </c>
    </row>
    <row r="1219">
      <c r="A1219" t="inlineStr">
        <is>
          <t>Big Bang Casts Per Second</t>
        </is>
      </c>
      <c r="B1219">
        <f>MAX(0,B1217-B1218)</f>
        <v/>
      </c>
    </row>
    <row r="1220">
      <c r="A1220" t="inlineStr">
        <is>
          <t>Defense % Bonus (Divine Protection)</t>
        </is>
      </c>
      <c r="B1220">
        <f>IF(C1195=TRUE,F1195*IF(AND(Inputs!$B$39&lt;&gt;"pvp",Inputs!$B$44&gt;0),(((R1195-1)*(Skills!S13*(1+(Inputs!$B$35+IF(Inputs!$B$3&gt;=117,F1208,0))/100))+MIN((Skills!S13*(1+(Inputs!$B$35+IF(Inputs!$B$3&gt;=117,F1208,0))/100)),MAX(0,Inputs!$B$44-((R1195-1)*Skills!D13))))/Inputs!$B$44),IF(Inputs!$B$39="pvp",MIN((Skills!S13*(1+(Inputs!$B$35+IF(Inputs!$B$3&gt;=117,F1208,0))/100)),15)/15,(Skills!S13*(1+(Inputs!$B$35+IF(Inputs!$B$3&gt;=117,F1208,0))/100))/Skills!D13)),0)</f>
        <v/>
      </c>
    </row>
    <row r="1221">
      <c r="A1221" t="inlineStr">
        <is>
          <t>Buff-Casting Startup Delay (s, fixed-duration only)</t>
        </is>
      </c>
      <c r="B1221">
        <f>IF(AND(Inputs!$B$39&lt;&gt;"pvp",Inputs!$B$44&gt;0),SUMPRODUCT((Skills!S2:S27&gt;0)*(Skills!E2:E27=TRUE)*(C1184:C1209=TRUE))/B1217,0)</f>
        <v/>
      </c>
    </row>
    <row r="1222">
      <c r="A1222" s="5" t="inlineStr">
        <is>
          <t>TOTAL DPS</t>
        </is>
      </c>
      <c r="B1222" s="5">
        <f>SUM(O1184:O1209)</f>
        <v/>
      </c>
    </row>
    <row r="1224">
      <c r="A1224" s="5" t="inlineStr">
        <is>
          <t>Stat: CDR = 1.0s</t>
        </is>
      </c>
    </row>
    <row r="1225">
      <c r="A1225" s="9" t="inlineStr">
        <is>
          <t>Key</t>
        </is>
      </c>
      <c r="B1225" s="9" t="inlineStr">
        <is>
          <t>Name</t>
        </is>
      </c>
      <c r="C1225" s="9" t="inlineStr">
        <is>
          <t>Unlocked</t>
        </is>
      </c>
      <c r="D1225" s="9" t="inlineStr">
        <is>
          <t>InputLevel</t>
        </is>
      </c>
      <c r="E1225" s="9" t="inlineStr">
        <is>
          <t>Factor</t>
        </is>
      </c>
      <c r="F1225" s="9" t="inlineStr">
        <is>
          <t>CoefficientPercent</t>
        </is>
      </c>
      <c r="G1225" s="9" t="inlineStr">
        <is>
          <t>EffectiveHits</t>
        </is>
      </c>
      <c r="H1225" s="9" t="inlineStr">
        <is>
          <t>ProcProbability</t>
        </is>
      </c>
      <c r="I1225" s="9" t="inlineStr">
        <is>
          <t>MapleHeroMultiplier</t>
        </is>
      </c>
      <c r="J1225" s="9" t="inlineStr">
        <is>
          <t>BaseDamage</t>
        </is>
      </c>
      <c r="K1225" s="9" t="inlineStr">
        <is>
          <t>BaseHitDamage</t>
        </is>
      </c>
      <c r="L1225" s="9" t="inlineStr">
        <is>
          <t>NonCritAvg</t>
        </is>
      </c>
      <c r="M1225" s="9" t="inlineStr">
        <is>
          <t>CritAvg</t>
        </is>
      </c>
      <c r="N1225" s="9" t="inlineStr">
        <is>
          <t>ExpectedDamage(perHit)</t>
        </is>
      </c>
      <c r="O1225" s="9" t="inlineStr">
        <is>
          <t>DPS</t>
        </is>
      </c>
      <c r="P1225" s="9" t="inlineStr">
        <is>
          <t>% of Total</t>
        </is>
      </c>
      <c r="R1225" t="inlineStr">
        <is>
          <t>helpers</t>
        </is>
      </c>
    </row>
    <row r="1226">
      <c r="A1226">
        <f>Skills!A2</f>
        <v/>
      </c>
      <c r="B1226">
        <f>Skills!B2</f>
        <v/>
      </c>
      <c r="C1226">
        <f>Inputs!$B$3&gt;=100</f>
        <v/>
      </c>
      <c r="D1226" t="inlineStr"/>
      <c r="E1226" t="inlineStr"/>
      <c r="F1226">
        <f>T1228+Skills!N2</f>
        <v/>
      </c>
      <c r="G1226">
        <f>Calc!G2</f>
        <v/>
      </c>
      <c r="H1226">
        <f>Calc!H2</f>
        <v/>
      </c>
      <c r="I1226">
        <f>IF(Skills!T2&lt;&gt;"",1+(Skills!T2/10)*($Z$3/1000)/100,1)</f>
        <v/>
      </c>
      <c r="J1226">
        <f>((Inputs!$B$6*(1+Inputs!$B$7/100))+(((Inputs!$B$13*(1+Inputs!$B$14/100))-(Inputs!$B$13*(1+Inputs!$B$14/100)))+0.25*(Inputs!$B$15-Inputs!$B$15))*(1+Inputs!$B$7/100))*(F1226/100)</f>
        <v/>
      </c>
      <c r="K1226">
        <f>J1226*(1+(((Inputs!$B$13+IF(Inputs!$B$3&gt;=35,(10*INDEX(FactorTable!$B$2:$Y$301, MATCH(ROUND(MIN(300,MAX(1,Inputs!$B$3)),0), FactorTable!$A$2:$A$301,0), 23)/1000)/100*(Inputs!$B$8*(1+(Inputs!$B$9+B1262)/100)),0))*(1+Inputs!$B$14/100))*0.01+Inputs!$B$15*0.0025)/100)*(1+(Inputs!$B$16+B1256)/100)*(1+IF(Inputs!$B$39="pvp",0,(1-Summary!$B$48)*(Inputs!$B$21+Skills!O2+B1254)+Summary!$B$48*(Inputs!$B$22+Skills!P2+B1255))/100)*(1+Inputs!$B$17/100)*(5000/(6000+Inputs!$B$43*(1-Inputs!$B$20/100)))*(1+Inputs!$B$25/100)*(1+IF(C1242=TRUE,F1242,0)/100)*(1+IF(C1244=TRUE,F1244,0)/100)*(1+IF(Skills!A2="TRIUMPH_FEATHER",IF(C1240=TRUE,F1240,0),0)/100)*(1+IF(C1251=TRUE,F1251,0)/100)^5*(1+(IF(Skills!A2="BIG_BANG",Inputs!$B$18,Inputs!$B$19))/100)*(B1253*I1226)</f>
        <v/>
      </c>
      <c r="L1226">
        <f>K1226*(MIN(Inputs!$B$23+(F1246-Calc!F22),Inputs!$B$24)/100+Inputs!$B$24/100)/2</f>
        <v/>
      </c>
      <c r="M1226">
        <f>L1226*(1+(Inputs!$B$11+B1257+(F1249-Calc!F25))/100)</f>
        <v/>
      </c>
      <c r="N1226">
        <f>L1226*(1-MIN(Inputs!$B$10+((F1248-Calc!F24)+(F1247-Calc!F23)),100)/100)+M1226*(MIN(Inputs!$B$10+((F1248-Calc!F24)+(F1247-Calc!F23)),100)/100)</f>
        <v/>
      </c>
      <c r="O1226">
        <f>IF(C1226,Skills!F2*N1226*B1261*IF(Inputs!$B$39="pvp",1,(1-Summary!$B$48)*(1)+Summary!$B$48*(MIN((6+Inputs!$B$34),Inputs!$B$38))),0)</f>
        <v/>
      </c>
      <c r="P1226">
        <f>IF(B1264=0,0,O1226/B1264)</f>
        <v/>
      </c>
      <c r="Q1226">
        <f>IFERROR(1/IF(Inputs!$B$39="pvp",15,MAX(0.1,Skills!D2-IF(Skills!E2=TRUE,1.0,0))),0)</f>
        <v/>
      </c>
      <c r="R1226" t="n">
        <v>0</v>
      </c>
      <c r="T1226">
        <f>MAX(0,(Inputs!$B$3-100)*3)+Inputs!$B$29+Inputs!$B$30</f>
        <v/>
      </c>
    </row>
    <row r="1227">
      <c r="A1227">
        <f>Skills!A3</f>
        <v/>
      </c>
      <c r="B1227">
        <f>Skills!B3</f>
        <v/>
      </c>
      <c r="C1227">
        <f>Inputs!$B$3&gt;=15</f>
        <v/>
      </c>
      <c r="D1227">
        <f>IF(Skills!C3=1,60+Inputs!$B$26+Inputs!$B$30,IF(Skills!C3=2,90+Inputs!$B$27+Inputs!$B$30,IF(Skills!C3=3,120+Inputs!$B$28+Inputs!$B$30,MAX(0,(Inputs!$B$3-100)*3)+Inputs!$B$29+Inputs!$B$30)))</f>
        <v/>
      </c>
      <c r="E1227">
        <f>INDEX(FactorTable!$B$2:$Y$301, MATCH(ROUND(MIN(300,MAX(1,D1227)),0), FactorTable!$A$2:$A$301,0), Skills!L3+1)</f>
        <v/>
      </c>
      <c r="F1227">
        <f>IF(Skills!M3=TRUE,(Skills!K3/10)*(E1227/1000),Skills!K3/10)+Skills!N3</f>
        <v/>
      </c>
      <c r="G1227">
        <f>Calc!G3</f>
        <v/>
      </c>
      <c r="H1227">
        <f>Calc!H3</f>
        <v/>
      </c>
      <c r="I1227">
        <f>IF(Skills!T3&lt;&gt;"",1+(Skills!T3/10)*($Z$3/1000)/100,1)</f>
        <v/>
      </c>
      <c r="J1227" t="inlineStr"/>
      <c r="K1227" t="inlineStr"/>
      <c r="L1227" t="inlineStr"/>
      <c r="M1227" t="inlineStr"/>
      <c r="N1227" t="inlineStr"/>
      <c r="O1227" t="n">
        <v>0</v>
      </c>
      <c r="P1227">
        <f>IF(B1264=0,0,O1227/B1264)</f>
        <v/>
      </c>
      <c r="Q1227">
        <f>IFERROR(1/IF(Inputs!$B$39="pvp",15,MAX(0.1,Skills!D3-IF(Skills!E3=TRUE,1.0,0))),0)</f>
        <v/>
      </c>
      <c r="R1227">
        <f>IF(AND(Inputs!$B$39&lt;&gt;"pvp",Inputs!$B$44&gt;0),IF(Inputs!$B$44&lt;=0,0,(INT(Inputs!$B$44/IF(Inputs!$B$39="pvp",15,MAX(0.1,Skills!D3-IF(Skills!E3=TRUE,1.0,0))))+1)),0)</f>
        <v/>
      </c>
      <c r="T1227">
        <f>INDEX(FactorTable!$B$2:$Y$301, MATCH(ROUND(MIN(300,MAX(1,T1226)),0), FactorTable!$A$2:$A$301,0), 22)</f>
        <v/>
      </c>
    </row>
    <row r="1228">
      <c r="A1228">
        <f>Skills!A4</f>
        <v/>
      </c>
      <c r="B1228">
        <f>Skills!B4</f>
        <v/>
      </c>
      <c r="C1228">
        <f>Inputs!$B$3&gt;=38</f>
        <v/>
      </c>
      <c r="D1228">
        <f>IF(Skills!C4=1,60+Inputs!$B$26+Inputs!$B$30,IF(Skills!C4=2,90+Inputs!$B$27+Inputs!$B$30,IF(Skills!C4=3,120+Inputs!$B$28+Inputs!$B$30,MAX(0,(Inputs!$B$3-100)*3)+Inputs!$B$29+Inputs!$B$30)))</f>
        <v/>
      </c>
      <c r="E1228">
        <f>INDEX(FactorTable!$B$2:$Y$301, MATCH(ROUND(MIN(300,MAX(1,D1228)),0), FactorTable!$A$2:$A$301,0), Skills!L4+1)</f>
        <v/>
      </c>
      <c r="F1228">
        <f>IF(Skills!M4=TRUE,(Skills!K4/10)*(E1228/1000),Skills!K4/10)+Skills!N4</f>
        <v/>
      </c>
      <c r="G1228">
        <f>Calc!G4</f>
        <v/>
      </c>
      <c r="H1228">
        <f>Calc!H4</f>
        <v/>
      </c>
      <c r="I1228">
        <f>IF(Skills!T4&lt;&gt;"",1+(Skills!T4/10)*($Z$3/1000)/100,1)</f>
        <v/>
      </c>
      <c r="J1228" t="inlineStr"/>
      <c r="K1228" t="inlineStr"/>
      <c r="L1228" t="inlineStr"/>
      <c r="M1228" t="inlineStr"/>
      <c r="N1228" t="inlineStr"/>
      <c r="O1228" t="n">
        <v>0</v>
      </c>
      <c r="P1228">
        <f>IF(B1264=0,0,O1228/B1264)</f>
        <v/>
      </c>
      <c r="Q1228">
        <f>IFERROR(1/IF(Inputs!$B$39="pvp",15,MAX(0.1,Skills!D4-IF(Skills!E4=TRUE,1.0,0))),0)</f>
        <v/>
      </c>
      <c r="R1228">
        <f>IF(AND(Inputs!$B$39&lt;&gt;"pvp",Inputs!$B$44&gt;0),IF(Inputs!$B$44&lt;=0,0,(INT(Inputs!$B$44/IF(Inputs!$B$39="pvp",15,MAX(0.1,Skills!D4-IF(Skills!E4=TRUE,1.0,0))))+1)),0)</f>
        <v/>
      </c>
      <c r="T1228">
        <f>290*T1227/1000</f>
        <v/>
      </c>
    </row>
    <row r="1229">
      <c r="A1229">
        <f>Skills!A5</f>
        <v/>
      </c>
      <c r="B1229">
        <f>Skills!B5</f>
        <v/>
      </c>
      <c r="C1229">
        <f>Inputs!$B$3&gt;=40</f>
        <v/>
      </c>
      <c r="D1229">
        <f>IF(Skills!C5=1,60+Inputs!$B$26+Inputs!$B$30,IF(Skills!C5=2,90+Inputs!$B$27+Inputs!$B$30,IF(Skills!C5=3,120+Inputs!$B$28+Inputs!$B$30,MAX(0,(Inputs!$B$3-100)*3)+Inputs!$B$29+Inputs!$B$30)))</f>
        <v/>
      </c>
      <c r="E1229">
        <f>INDEX(FactorTable!$B$2:$Y$301, MATCH(ROUND(MIN(300,MAX(1,D1229)),0), FactorTable!$A$2:$A$301,0), Skills!L5+1)</f>
        <v/>
      </c>
      <c r="F1229">
        <f>IF(Skills!M5=TRUE,(Skills!K5/10)*(E1229/1000),Skills!K5/10)+Skills!N5</f>
        <v/>
      </c>
      <c r="G1229">
        <f>Calc!G5</f>
        <v/>
      </c>
      <c r="H1229">
        <f>Calc!H5</f>
        <v/>
      </c>
      <c r="I1229">
        <f>IF(Skills!T5&lt;&gt;"",1+(Skills!T5/10)*($Z$3/1000)/100,1)</f>
        <v/>
      </c>
      <c r="J1229" t="inlineStr"/>
      <c r="K1229" t="inlineStr"/>
      <c r="L1229" t="inlineStr"/>
      <c r="M1229" t="inlineStr"/>
      <c r="N1229" t="inlineStr"/>
      <c r="O1229" t="n">
        <v>0</v>
      </c>
      <c r="P1229">
        <f>IF(B1264=0,0,O1229/B1264)</f>
        <v/>
      </c>
      <c r="Q1229">
        <f>IFERROR(1/IF(Inputs!$B$39="pvp",15,MAX(0.1,Skills!D5-IF(Skills!E5=TRUE,1.0,0))),0)</f>
        <v/>
      </c>
      <c r="R1229">
        <f>IF(AND(Inputs!$B$39&lt;&gt;"pvp",Inputs!$B$44&gt;0),IF(Inputs!$B$44&lt;=0,0,(INT(Inputs!$B$44/IF(Inputs!$B$39="pvp",15,MAX(0.1,Skills!D5-IF(Skills!E5=TRUE,1.0,0))))+1)),0)</f>
        <v/>
      </c>
    </row>
    <row r="1230">
      <c r="A1230">
        <f>Skills!A6</f>
        <v/>
      </c>
      <c r="B1230">
        <f>Skills!B6</f>
        <v/>
      </c>
      <c r="C1230">
        <f>Inputs!$B$3&gt;=103</f>
        <v/>
      </c>
      <c r="D1230">
        <f>IF(Skills!C6=1,60+Inputs!$B$26+Inputs!$B$30,IF(Skills!C6=2,90+Inputs!$B$27+Inputs!$B$30,IF(Skills!C6=3,120+Inputs!$B$28+Inputs!$B$30,MAX(0,(Inputs!$B$3-100)*3)+Inputs!$B$29+Inputs!$B$30)))</f>
        <v/>
      </c>
      <c r="E1230">
        <f>INDEX(FactorTable!$B$2:$Y$301, MATCH(ROUND(MIN(300,MAX(1,D1230)),0), FactorTable!$A$2:$A$301,0), Skills!L6+1)</f>
        <v/>
      </c>
      <c r="F1230">
        <f>IF(Skills!M6=TRUE,(Skills!K6/10)*(E1230/1000),Skills!K6/10)+Skills!N6</f>
        <v/>
      </c>
      <c r="G1230">
        <f>Calc!G6</f>
        <v/>
      </c>
      <c r="H1230">
        <f>Calc!H6</f>
        <v/>
      </c>
      <c r="I1230">
        <f>IF(Skills!T6&lt;&gt;"",1+(Skills!T6/10)*($Z$3/1000)/100,1)</f>
        <v/>
      </c>
      <c r="J1230">
        <f>((Inputs!$B$6*(1+Inputs!$B$7/100))+(((Inputs!$B$13*(1+Inputs!$B$14/100))-(Inputs!$B$13*(1+Inputs!$B$14/100)))+0.25*(Inputs!$B$15-Inputs!$B$15))*(1+Inputs!$B$7/100))*(F1230/100)</f>
        <v/>
      </c>
      <c r="K1230">
        <f>J1230*(1+(((Inputs!$B$13+IF(Inputs!$B$3&gt;=35,(10*INDEX(FactorTable!$B$2:$Y$301, MATCH(ROUND(MIN(300,MAX(1,Inputs!$B$3)),0), FactorTable!$A$2:$A$301,0), 23)/1000)/100*(Inputs!$B$8*(1+(Inputs!$B$9+B1262)/100)),0))*(1+Inputs!$B$14/100))*0.01+Inputs!$B$15*0.0025)/100)*(1+(Inputs!$B$16+B1256)/100)*(1+IF(Inputs!$B$39="pvp",0,(1-Summary!$B$48)*(Inputs!$B$21+Skills!O6+B1254)+Summary!$B$48*(Inputs!$B$22+Skills!P6+B1255))/100)*(1+Inputs!$B$17/100)*(5000/(6000+Inputs!$B$43*(1-Inputs!$B$20/100)))*(1+Inputs!$B$25/100)*(1+IF(C1242=TRUE,F1242,0)/100)*(1+IF(C1244=TRUE,F1244,0)/100)*(1+IF(Skills!A6="TRIUMPH_FEATHER",IF(C1240=TRUE,F1240,0),0)/100)*(1+IF(C1251=TRUE,F1251,0)/100)^5*(1+(IF(Skills!A6="BIG_BANG",Inputs!$B$18,Inputs!$B$19))/100)*(B1253*I1230)</f>
        <v/>
      </c>
      <c r="L1230">
        <f>K1230*(MIN(Inputs!$B$23+(F1246-Calc!F22),Inputs!$B$24)/100+Inputs!$B$24/100)/2</f>
        <v/>
      </c>
      <c r="M1230">
        <f>L1230*(1+(Inputs!$B$11+B1257+(F1249-Calc!F25))/100)</f>
        <v/>
      </c>
      <c r="N1230">
        <f>L1230*(1-MIN(Inputs!$B$10+((F1248-Calc!F24)+(F1247-Calc!F23)),100)/100)+M1230*(MIN(Inputs!$B$10+((F1248-Calc!F24)+(F1247-Calc!F23)),100)/100)</f>
        <v/>
      </c>
      <c r="O1230">
        <f>IF(C1230,H1230*N1230*IF(AND(Inputs!$B$39&lt;&gt;"pvp",Inputs!$B$44&gt;0),((Skills!F6*((R1230-1)*IF(Skills!G6&gt;0,Skills!H6/Skills!G6,1)+IF(Skills!G6&gt;0,MIN(Skills!H6,MAX(0,MAX(0,Inputs!$B$44-B1263)-((R1230-1)*IF(Inputs!$B$39="pvp",15,MAX(0.1,Skills!D6-IF(Skills!E6=TRUE,1.0,0))))))/Skills!G6,1)))/Inputs!$B$44),G1230*Q1230)*IF(Inputs!$B$39="pvp",1,(1-Summary!$B$48)*(1)+Summary!$B$48*(MIN(Skills!Q6,Inputs!$B$38))),0)</f>
        <v/>
      </c>
      <c r="P1230">
        <f>IF(B1264=0,0,O1230/B1264)</f>
        <v/>
      </c>
      <c r="Q1230">
        <f>IFERROR(1/IF(Inputs!$B$39="pvp",15,MAX(0.1,Skills!D6-IF(Skills!E6=TRUE,1.0,0))),0)</f>
        <v/>
      </c>
      <c r="R1230">
        <f>IF(AND(Inputs!$B$39&lt;&gt;"pvp",Inputs!$B$44&gt;0),IF(MAX(0,Inputs!$B$44-B1263)&lt;=0,0,(INT(MAX(0,Inputs!$B$44-B1263)/IF(Inputs!$B$39="pvp",15,MAX(0.1,Skills!D6-IF(Skills!E6=TRUE,1.0,0))))+1)),0)</f>
        <v/>
      </c>
    </row>
    <row r="1231">
      <c r="A1231">
        <f>Skills!A7</f>
        <v/>
      </c>
      <c r="B1231">
        <f>Skills!B7</f>
        <v/>
      </c>
      <c r="C1231">
        <f>Inputs!$B$3&gt;=122</f>
        <v/>
      </c>
      <c r="D1231">
        <f>IF(Skills!C7=1,60+Inputs!$B$26+Inputs!$B$30,IF(Skills!C7=2,90+Inputs!$B$27+Inputs!$B$30,IF(Skills!C7=3,120+Inputs!$B$28+Inputs!$B$30,MAX(0,(Inputs!$B$3-100)*3)+Inputs!$B$29+Inputs!$B$30)))</f>
        <v/>
      </c>
      <c r="E1231">
        <f>INDEX(FactorTable!$B$2:$Y$301, MATCH(ROUND(MIN(300,MAX(1,D1231)),0), FactorTable!$A$2:$A$301,0), Skills!L7+1)</f>
        <v/>
      </c>
      <c r="F1231">
        <f>IF(Skills!M7=TRUE,(Skills!K7/10)*(E1231/1000),Skills!K7/10)+Skills!N7</f>
        <v/>
      </c>
      <c r="G1231">
        <f>Calc!G7</f>
        <v/>
      </c>
      <c r="H1231">
        <f>Calc!H7</f>
        <v/>
      </c>
      <c r="I1231">
        <f>IF(Skills!T7&lt;&gt;"",1+(Skills!T7/10)*($Z$3/1000)/100,1)</f>
        <v/>
      </c>
      <c r="J1231">
        <f>((Inputs!$B$6*(1+Inputs!$B$7/100))+(((Inputs!$B$13*(1+Inputs!$B$14/100))-(Inputs!$B$13*(1+Inputs!$B$14/100)))+0.25*(Inputs!$B$15-Inputs!$B$15))*(1+Inputs!$B$7/100))*(F1231/100)</f>
        <v/>
      </c>
      <c r="K1231">
        <f>J1231*(1+(((Inputs!$B$13+IF(Inputs!$B$3&gt;=35,(10*INDEX(FactorTable!$B$2:$Y$301, MATCH(ROUND(MIN(300,MAX(1,Inputs!$B$3)),0), FactorTable!$A$2:$A$301,0), 23)/1000)/100*(Inputs!$B$8*(1+(Inputs!$B$9+B1262)/100)),0))*(1+Inputs!$B$14/100))*0.01+Inputs!$B$15*0.0025)/100)*(1+(Inputs!$B$16+B1256)/100)*(1+IF(Inputs!$B$39="pvp",0,(1-Summary!$B$48)*(Inputs!$B$21+Skills!O7+B1254)+Summary!$B$48*(Inputs!$B$22+Skills!P7+B1255))/100)*(1+Inputs!$B$17/100)*(5000/(6000+Inputs!$B$43*(1-Inputs!$B$20/100)))*(1+Inputs!$B$25/100)*(1+IF(C1242=TRUE,F1242,0)/100)*(1+IF(C1244=TRUE,F1244,0)/100)*(1+IF(Skills!A7="TRIUMPH_FEATHER",IF(C1240=TRUE,F1240,0),0)/100)*(1+IF(C1251=TRUE,F1251,0)/100)^5*(1+(IF(Skills!A7="BIG_BANG",Inputs!$B$18,Inputs!$B$19))/100)*(B1253*I1231)</f>
        <v/>
      </c>
      <c r="L1231">
        <f>K1231*(MIN(Inputs!$B$23+(F1246-Calc!F22),Inputs!$B$24)/100+Inputs!$B$24/100)/2</f>
        <v/>
      </c>
      <c r="M1231">
        <f>L1231*(1+(Inputs!$B$11+B1257+(F1249-Calc!F25))/100)</f>
        <v/>
      </c>
      <c r="N1231">
        <f>L1231*(1-MIN(Inputs!$B$10+((F1248-Calc!F24)+(F1247-Calc!F23)),100)/100)+M1231*(MIN(Inputs!$B$10+((F1248-Calc!F24)+(F1247-Calc!F23)),100)/100)</f>
        <v/>
      </c>
      <c r="O1231">
        <f>IF(C1231,H1231*N1231*IF(AND(Inputs!$B$39&lt;&gt;"pvp",Inputs!$B$44&gt;0),((Skills!F7*((R1231-1)*IF(Skills!G7&gt;0,Skills!H7/Skills!G7,1)+IF(Skills!G7&gt;0,MIN(Skills!H7,MAX(0,MAX(0,Inputs!$B$44-B1263)-((R1231-1)*IF(Inputs!$B$39="pvp",15,MAX(0.1,Skills!D7-IF(Skills!E6=TRUE,1.0,0))))))/Skills!G7,1)))/Inputs!$B$44),G1231*Q1231)*(1-Summary!$B$48),0)</f>
        <v/>
      </c>
      <c r="P1231">
        <f>IF(B1264=0,0,O1231/B1264)</f>
        <v/>
      </c>
      <c r="Q1231">
        <f>IFERROR(1/IF(Inputs!$B$39="pvp",15,MAX(0.1,Skills!D7-IF(Skills!E6=TRUE,1.0,0))),0)</f>
        <v/>
      </c>
      <c r="R1231">
        <f>IF(AND(Inputs!$B$39&lt;&gt;"pvp",Inputs!$B$44&gt;0),IF(MAX(0,Inputs!$B$44-B1263)&lt;=0,0,(INT(MAX(0,Inputs!$B$44-B1263)/IF(Inputs!$B$39="pvp",15,MAX(0.1,Skills!D7-IF(Skills!E6=TRUE,1.0,0))))+1)),0)</f>
        <v/>
      </c>
    </row>
    <row r="1232">
      <c r="A1232">
        <f>Skills!A8</f>
        <v/>
      </c>
      <c r="B1232">
        <f>Skills!B8</f>
        <v/>
      </c>
      <c r="C1232">
        <f>Inputs!$B$3&gt;=105</f>
        <v/>
      </c>
      <c r="D1232">
        <f>IF(Skills!C8=1,60+Inputs!$B$26+Inputs!$B$30,IF(Skills!C8=2,90+Inputs!$B$27+Inputs!$B$30,IF(Skills!C8=3,120+Inputs!$B$28+Inputs!$B$30,MAX(0,(Inputs!$B$3-100)*3)+Inputs!$B$29+Inputs!$B$30)))</f>
        <v/>
      </c>
      <c r="E1232">
        <f>INDEX(FactorTable!$B$2:$Y$301, MATCH(ROUND(MIN(300,MAX(1,D1232)),0), FactorTable!$A$2:$A$301,0), Skills!L8+1)</f>
        <v/>
      </c>
      <c r="F1232">
        <f>IF(Skills!M8=TRUE,(Skills!K8/10)*(E1232/1000),Skills!K8/10)+Skills!N8</f>
        <v/>
      </c>
      <c r="G1232">
        <f>Calc!G8</f>
        <v/>
      </c>
      <c r="H1232">
        <f>Calc!H8</f>
        <v/>
      </c>
      <c r="I1232">
        <f>IF(Skills!T8&lt;&gt;"",1+(Skills!T8/10)*($Z$3/1000)/100,1)</f>
        <v/>
      </c>
      <c r="J1232">
        <f>((Inputs!$B$6*(1+Inputs!$B$7/100))+(((Inputs!$B$13*(1+Inputs!$B$14/100))-(Inputs!$B$13*(1+Inputs!$B$14/100)))+0.25*(Inputs!$B$15-Inputs!$B$15))*(1+Inputs!$B$7/100))*(F1232/100)</f>
        <v/>
      </c>
      <c r="K1232">
        <f>J1232*(1+(((Inputs!$B$13+IF(Inputs!$B$3&gt;=35,(10*INDEX(FactorTable!$B$2:$Y$301, MATCH(ROUND(MIN(300,MAX(1,Inputs!$B$3)),0), FactorTable!$A$2:$A$301,0), 23)/1000)/100*(Inputs!$B$8*(1+(Inputs!$B$9+B1262)/100)),0))*(1+Inputs!$B$14/100))*0.01+Inputs!$B$15*0.0025)/100)*(1+(Inputs!$B$16+B1256)/100)*(1+IF(Inputs!$B$39="pvp",0,(1-Summary!$B$48)*(Inputs!$B$21+Skills!O8+B1254)+Summary!$B$48*(Inputs!$B$22+Skills!P8+B1255))/100)*(1+Inputs!$B$17/100)*(5000/(6000+Inputs!$B$43*(1-Inputs!$B$20/100)))*(1+Inputs!$B$25/100)*(1+IF(C1242=TRUE,F1242,0)/100)*(1+IF(C1244=TRUE,F1244,0)/100)*(1+IF(Skills!A8="TRIUMPH_FEATHER",IF(C1240=TRUE,F1240,0),0)/100)*(1+IF(C1251=TRUE,F1251,0)/100)^5*(1+(IF(Skills!A8="BIG_BANG",Inputs!$B$18,Inputs!$B$19))/100)*(B1253*I1232)</f>
        <v/>
      </c>
      <c r="L1232">
        <f>K1232*(MIN(Inputs!$B$23+(F1246-Calc!F22),Inputs!$B$24)/100+Inputs!$B$24/100)/2</f>
        <v/>
      </c>
      <c r="M1232">
        <f>L1232*(1+(Inputs!$B$11+B1257+(F1249-Calc!F25))/100)</f>
        <v/>
      </c>
      <c r="N1232">
        <f>L1232*(1-MIN(Inputs!$B$10+((F1248-Calc!F24)+(F1247-Calc!F23)),100)/100)+M1232*(MIN(Inputs!$B$10+((F1248-Calc!F24)+(F1247-Calc!F23)),100)/100)</f>
        <v/>
      </c>
      <c r="O1232">
        <f>IF(C1232,H1232*N1232*IF(AND(Inputs!$B$39&lt;&gt;"pvp",Inputs!$B$44&gt;0),((Skills!F8*((R1232-1)*IF(Skills!G8&gt;0,Skills!H8/Skills!G8,1)+IF(Skills!G8&gt;0,MIN(Skills!H8,MAX(0,MAX(0,Inputs!$B$44-B1263)-((R1232-1)*IF(Inputs!$B$39="pvp",15,MAX(0.1,Skills!D8-IF(Skills!E8=TRUE,1.0,0))))))/Skills!G8,1)))/Inputs!$B$44),G1232*Q1232)*IF(Inputs!$B$39="pvp",1,(1-Summary!$B$48)*(1)+Summary!$B$48*(MIN(Skills!Q8,Inputs!$B$38))),0)</f>
        <v/>
      </c>
      <c r="P1232">
        <f>IF(B1264=0,0,O1232/B1264)</f>
        <v/>
      </c>
      <c r="Q1232">
        <f>IFERROR(1/IF(Inputs!$B$39="pvp",15,MAX(0.1,Skills!D8-IF(Skills!E8=TRUE,1.0,0))),0)</f>
        <v/>
      </c>
      <c r="R1232">
        <f>IF(AND(Inputs!$B$39&lt;&gt;"pvp",Inputs!$B$44&gt;0),IF(MAX(0,Inputs!$B$44-B1263)&lt;=0,0,(INT(MAX(0,Inputs!$B$44-B1263)/IF(Inputs!$B$39="pvp",15,MAX(0.1,Skills!D8-IF(Skills!E8=TRUE,1.0,0))))+1)),0)</f>
        <v/>
      </c>
    </row>
    <row r="1233">
      <c r="A1233">
        <f>Skills!A9</f>
        <v/>
      </c>
      <c r="B1233">
        <f>Skills!B9</f>
        <v/>
      </c>
      <c r="C1233">
        <f>Inputs!$B$3&gt;=115</f>
        <v/>
      </c>
      <c r="D1233">
        <f>IF(Skills!C9=1,60+Inputs!$B$26+Inputs!$B$30,IF(Skills!C9=2,90+Inputs!$B$27+Inputs!$B$30,IF(Skills!C9=3,120+Inputs!$B$28+Inputs!$B$30,MAX(0,(Inputs!$B$3-100)*3)+Inputs!$B$29+Inputs!$B$30)))</f>
        <v/>
      </c>
      <c r="E1233">
        <f>INDEX(FactorTable!$B$2:$Y$301, MATCH(ROUND(MIN(300,MAX(1,D1233)),0), FactorTable!$A$2:$A$301,0), Skills!L9+1)</f>
        <v/>
      </c>
      <c r="F1233">
        <f>IF(Skills!M9=TRUE,(Skills!K9/10)*(E1233/1000),Skills!K9/10)+Skills!N9</f>
        <v/>
      </c>
      <c r="G1233">
        <f>Calc!G9</f>
        <v/>
      </c>
      <c r="H1233">
        <f>Calc!H9</f>
        <v/>
      </c>
      <c r="I1233">
        <f>IF(Skills!T9&lt;&gt;"",1+(Skills!T9/10)*($Z$3/1000)/100,1)</f>
        <v/>
      </c>
      <c r="J1233">
        <f>((Inputs!$B$6*(1+Inputs!$B$7/100))+(((Inputs!$B$13*(1+Inputs!$B$14/100))-(Inputs!$B$13*(1+Inputs!$B$14/100)))+0.25*(Inputs!$B$15-Inputs!$B$15))*(1+Inputs!$B$7/100))*(F1233/100)</f>
        <v/>
      </c>
      <c r="K1233">
        <f>J1233*(1+(((Inputs!$B$13+IF(Inputs!$B$3&gt;=35,(10*INDEX(FactorTable!$B$2:$Y$301, MATCH(ROUND(MIN(300,MAX(1,Inputs!$B$3)),0), FactorTable!$A$2:$A$301,0), 23)/1000)/100*(Inputs!$B$8*(1+(Inputs!$B$9+B1262)/100)),0))*(1+Inputs!$B$14/100))*0.01+Inputs!$B$15*0.0025)/100)*(1+(Inputs!$B$16+B1256)/100)*(1+IF(Inputs!$B$39="pvp",0,(1-Summary!$B$48)*(Inputs!$B$21+Skills!O9+B1254)+Summary!$B$48*(Inputs!$B$22+Skills!P9+B1255))/100)*(1+Inputs!$B$17/100)*(5000/(6000+Inputs!$B$43*(1-Inputs!$B$20/100)))*(1+Inputs!$B$25/100)*(1+IF(C1242=TRUE,F1242,0)/100)*(1+IF(C1244=TRUE,F1244,0)/100)*(1+IF(Skills!A9="TRIUMPH_FEATHER",IF(C1240=TRUE,F1240,0),0)/100)*(1+IF(C1251=TRUE,F1251,0)/100)^5*(1+(IF(Skills!A9="BIG_BANG",Inputs!$B$18,Inputs!$B$19))/100)*(B1253*I1233)</f>
        <v/>
      </c>
      <c r="L1233">
        <f>K1233*(MIN(Inputs!$B$23+(F1246-Calc!F22),Inputs!$B$24)/100+Inputs!$B$24/100)/2</f>
        <v/>
      </c>
      <c r="M1233">
        <f>L1233*(1+(Inputs!$B$11+B1257+(F1249-Calc!F25))/100)</f>
        <v/>
      </c>
      <c r="N1233">
        <f>L1233*(1-MIN(Inputs!$B$10+((F1248-Calc!F24)+(F1247-Calc!F23)),100)/100)+M1233*(MIN(Inputs!$B$10+((F1248-Calc!F24)+(F1247-Calc!F23)),100)/100)</f>
        <v/>
      </c>
      <c r="O1233">
        <f>IF(C1233,H1233*N1233*IF(AND(Inputs!$B$39&lt;&gt;"pvp",Inputs!$B$44&gt;0),((Skills!F9*((R1233-1)*IF(Skills!G9&gt;0,Skills!H9/Skills!G9,1)+IF(Skills!G9&gt;0,MIN(Skills!H9,MAX(0,MAX(0,Inputs!$B$44-B1263)-((R1233-1)*IF(Inputs!$B$39="pvp",15,MAX(0.1,Skills!D9-IF(Skills!E9=TRUE,1.0,0))))))/Skills!G9,1)))/Inputs!$B$44),G1233*Q1233)*IF(Inputs!$B$39="pvp",1,(1-Summary!$B$48)*(1)+Summary!$B$48*(MIN(Skills!Q9,Inputs!$B$38))),0)</f>
        <v/>
      </c>
      <c r="P1233">
        <f>IF(B1264=0,0,O1233/B1264)</f>
        <v/>
      </c>
      <c r="Q1233">
        <f>IFERROR(1/IF(Inputs!$B$39="pvp",15,MAX(0.1,Skills!D9-IF(Skills!E9=TRUE,1.0,0))),0)</f>
        <v/>
      </c>
      <c r="R1233">
        <f>IF(AND(Inputs!$B$39&lt;&gt;"pvp",Inputs!$B$44&gt;0),IF(MAX(0,Inputs!$B$44-B1263)&lt;=0,0,(INT(MAX(0,Inputs!$B$44-B1263)/IF(Inputs!$B$39="pvp",15,MAX(0.1,Skills!D9-IF(Skills!E9=TRUE,1.0,0))))+1)),0)</f>
        <v/>
      </c>
    </row>
    <row r="1234">
      <c r="A1234">
        <f>Skills!A10</f>
        <v/>
      </c>
      <c r="B1234">
        <f>Skills!B10</f>
        <v/>
      </c>
      <c r="C1234">
        <f>Inputs!$B$3&gt;=66</f>
        <v/>
      </c>
      <c r="D1234">
        <f>IF(Skills!C10=1,60+Inputs!$B$26+Inputs!$B$30,IF(Skills!C10=2,90+Inputs!$B$27+Inputs!$B$30,IF(Skills!C10=3,120+Inputs!$B$28+Inputs!$B$30,MAX(0,(Inputs!$B$3-100)*3)+Inputs!$B$29+Inputs!$B$30)))</f>
        <v/>
      </c>
      <c r="E1234">
        <f>INDEX(FactorTable!$B$2:$Y$301, MATCH(ROUND(MIN(300,MAX(1,D1234)),0), FactorTable!$A$2:$A$301,0), Skills!L10+1)</f>
        <v/>
      </c>
      <c r="F1234" t="n">
        <v>0</v>
      </c>
      <c r="G1234">
        <f>Calc!G10</f>
        <v/>
      </c>
      <c r="H1234">
        <f>Calc!H10</f>
        <v/>
      </c>
      <c r="I1234">
        <f>IF(Skills!T10&lt;&gt;"",1+(Skills!T10/10)*($Z$3/1000)/100,1)</f>
        <v/>
      </c>
      <c r="J1234" t="inlineStr"/>
      <c r="K1234" t="inlineStr"/>
      <c r="L1234" t="inlineStr"/>
      <c r="M1234" t="inlineStr"/>
      <c r="N1234" t="inlineStr"/>
      <c r="O1234" t="n">
        <v>0</v>
      </c>
      <c r="P1234">
        <f>IF(B1264=0,0,O1234/B1264)</f>
        <v/>
      </c>
      <c r="Q1234">
        <f>IFERROR(1/IF(Inputs!$B$39="pvp",15,MAX(0.1,Skills!D10-IF(Skills!E10=TRUE,1.0,0))),0)</f>
        <v/>
      </c>
      <c r="R1234">
        <f>IF(AND(Inputs!$B$39&lt;&gt;"pvp",Inputs!$B$44&gt;0),IF(MAX(0,Inputs!$B$44-B1263)&lt;=0,0,(INT(MAX(0,Inputs!$B$44-B1263)/IF(Inputs!$B$39="pvp",15,MAX(0.1,Skills!D10-IF(Skills!E10=TRUE,1.0,0))))+1)),0)</f>
        <v/>
      </c>
    </row>
    <row r="1235">
      <c r="A1235">
        <f>Skills!A11</f>
        <v/>
      </c>
      <c r="B1235">
        <f>Skills!B11</f>
        <v/>
      </c>
      <c r="C1235">
        <f>Inputs!$B$3&gt;=69</f>
        <v/>
      </c>
      <c r="D1235">
        <f>IF(Skills!C11=1,60+Inputs!$B$26+Inputs!$B$30,IF(Skills!C11=2,90+Inputs!$B$27+Inputs!$B$30,IF(Skills!C11=3,120+Inputs!$B$28+Inputs!$B$30,MAX(0,(Inputs!$B$3-100)*3)+Inputs!$B$29+Inputs!$B$30)))</f>
        <v/>
      </c>
      <c r="E1235">
        <f>INDEX(FactorTable!$B$2:$Y$301, MATCH(ROUND(MIN(300,MAX(1,D1235)),0), FactorTable!$A$2:$A$301,0), Skills!L11+1)</f>
        <v/>
      </c>
      <c r="F1235">
        <f>IF(Skills!M11=TRUE,(Skills!K11/10)*(E1235/1000),Skills!K11/10)+Skills!N11</f>
        <v/>
      </c>
      <c r="G1235">
        <f>Calc!G11</f>
        <v/>
      </c>
      <c r="H1235">
        <f>Calc!H11</f>
        <v/>
      </c>
      <c r="I1235">
        <f>IF(Skills!T11&lt;&gt;"",1+(Skills!T11/10)*($Z$3/1000)/100,1)</f>
        <v/>
      </c>
      <c r="J1235" t="inlineStr"/>
      <c r="K1235" t="inlineStr"/>
      <c r="L1235" t="inlineStr"/>
      <c r="M1235" t="inlineStr"/>
      <c r="N1235" t="inlineStr"/>
      <c r="O1235" t="n">
        <v>0</v>
      </c>
      <c r="P1235">
        <f>IF(B1264=0,0,O1235/B1264)</f>
        <v/>
      </c>
      <c r="Q1235">
        <f>IFERROR(1/IF(Inputs!$B$39="pvp",15,MAX(0.1,Skills!D11-IF(Skills!E11=TRUE,1.0,0))),0)</f>
        <v/>
      </c>
      <c r="R1235">
        <f>IF(AND(Inputs!$B$39&lt;&gt;"pvp",Inputs!$B$44&gt;0),IF(Inputs!$B$44&lt;=0,0,(INT(Inputs!$B$44/IF(Inputs!$B$39="pvp",15,MAX(0.1,Skills!D11-IF(Skills!E11=TRUE,1.0,0))))+1)),0)</f>
        <v/>
      </c>
    </row>
    <row r="1236">
      <c r="A1236">
        <f>Skills!A12</f>
        <v/>
      </c>
      <c r="B1236">
        <f>Skills!B12</f>
        <v/>
      </c>
      <c r="C1236">
        <f>Inputs!$B$3&gt;=72</f>
        <v/>
      </c>
      <c r="D1236">
        <f>IF(Skills!C12=1,60+Inputs!$B$26+Inputs!$B$30,IF(Skills!C12=2,90+Inputs!$B$27+Inputs!$B$30,IF(Skills!C12=3,120+Inputs!$B$28+Inputs!$B$30,MAX(0,(Inputs!$B$3-100)*3)+Inputs!$B$29+Inputs!$B$30)))</f>
        <v/>
      </c>
      <c r="E1236">
        <f>INDEX(FactorTable!$B$2:$Y$301, MATCH(ROUND(MIN(300,MAX(1,D1236)),0), FactorTable!$A$2:$A$301,0), Skills!L12+1)</f>
        <v/>
      </c>
      <c r="F1236">
        <f>IF(Skills!M12=TRUE,(Skills!K12/10)*(E1236/1000),Skills!K12/10)+Skills!N12</f>
        <v/>
      </c>
      <c r="G1236">
        <f>Calc!G12</f>
        <v/>
      </c>
      <c r="H1236">
        <f>Calc!H12</f>
        <v/>
      </c>
      <c r="I1236">
        <f>IF(Skills!T12&lt;&gt;"",1+(Skills!T12/10)*($Z$3/1000)/100,1)</f>
        <v/>
      </c>
      <c r="J1236" t="inlineStr"/>
      <c r="K1236" t="inlineStr"/>
      <c r="L1236" t="inlineStr"/>
      <c r="M1236" t="inlineStr"/>
      <c r="N1236" t="inlineStr"/>
      <c r="O1236" t="n">
        <v>0</v>
      </c>
      <c r="P1236">
        <f>IF(B1264=0,0,O1236/B1264)</f>
        <v/>
      </c>
      <c r="Q1236">
        <f>IFERROR(1/IF(Inputs!$B$39="pvp",15,MAX(0.1,Skills!D12-IF(Skills!E12=TRUE,1.0,0))),0)</f>
        <v/>
      </c>
      <c r="R1236">
        <f>IF(AND(Inputs!$B$39&lt;&gt;"pvp",Inputs!$B$44&gt;0),IF(MAX(0,Inputs!$B$44-B1263)&lt;=0,0,(INT(MAX(0,Inputs!$B$44-B1263)/IF(Inputs!$B$39="pvp",15,MAX(0.1,Skills!D12-IF(Skills!E12=TRUE,1.0,0))))+1)),0)</f>
        <v/>
      </c>
    </row>
    <row r="1237">
      <c r="A1237">
        <f>Skills!A13</f>
        <v/>
      </c>
      <c r="B1237">
        <f>Skills!B13</f>
        <v/>
      </c>
      <c r="C1237">
        <f>Inputs!$B$3&gt;=60</f>
        <v/>
      </c>
      <c r="D1237">
        <f>IF(Skills!C13=1,60+Inputs!$B$26+Inputs!$B$30,IF(Skills!C13=2,90+Inputs!$B$27+Inputs!$B$30,IF(Skills!C13=3,120+Inputs!$B$28+Inputs!$B$30,MAX(0,(Inputs!$B$3-100)*3)+Inputs!$B$29+Inputs!$B$30)))</f>
        <v/>
      </c>
      <c r="E1237">
        <f>INDEX(FactorTable!$B$2:$Y$301, MATCH(ROUND(MIN(300,MAX(1,D1237)),0), FactorTable!$A$2:$A$301,0), Skills!L13+1)</f>
        <v/>
      </c>
      <c r="F1237">
        <f>IF(Skills!M13=TRUE,(Skills!K13/10)*(E1237/1000),Skills!K13/10)+Skills!N13</f>
        <v/>
      </c>
      <c r="G1237">
        <f>Calc!G13</f>
        <v/>
      </c>
      <c r="H1237">
        <f>Calc!H13</f>
        <v/>
      </c>
      <c r="I1237">
        <f>IF(Skills!T13&lt;&gt;"",1+(Skills!T13/10)*($Z$3/1000)/100,1)</f>
        <v/>
      </c>
      <c r="J1237" t="inlineStr"/>
      <c r="K1237" t="inlineStr"/>
      <c r="L1237" t="inlineStr"/>
      <c r="M1237" t="inlineStr"/>
      <c r="N1237" t="inlineStr"/>
      <c r="O1237" t="n">
        <v>0</v>
      </c>
      <c r="P1237">
        <f>IF(B1264=0,0,O1237/B1264)</f>
        <v/>
      </c>
      <c r="Q1237">
        <f>IFERROR(1/IF(Inputs!$B$39="pvp",15,MAX(0.1,Skills!D13-IF(Skills!E13=TRUE,1.0,0))),0)</f>
        <v/>
      </c>
      <c r="R1237">
        <f>IF(AND(Inputs!$B$39&lt;&gt;"pvp",Inputs!$B$44&gt;0),IF(MAX(0,Inputs!$B$44-B1263)&lt;=0,0,(INT(MAX(0,Inputs!$B$44-B1263)/IF(Inputs!$B$39="pvp",15,MAX(0.1,Skills!D13-IF(Skills!E13=TRUE,1.0,0))))+1)),0)</f>
        <v/>
      </c>
    </row>
    <row r="1238">
      <c r="A1238">
        <f>Skills!A14</f>
        <v/>
      </c>
      <c r="B1238">
        <f>Skills!B14</f>
        <v/>
      </c>
      <c r="C1238">
        <f>Inputs!$B$3&gt;=107</f>
        <v/>
      </c>
      <c r="D1238">
        <f>IF(Skills!C14=1,60+Inputs!$B$26+Inputs!$B$30,IF(Skills!C14=2,90+Inputs!$B$27+Inputs!$B$30,IF(Skills!C14=3,120+Inputs!$B$28+Inputs!$B$30,MAX(0,(Inputs!$B$3-100)*3)+Inputs!$B$29+Inputs!$B$30)))</f>
        <v/>
      </c>
      <c r="E1238">
        <f>INDEX(FactorTable!$B$2:$Y$301, MATCH(ROUND(MIN(300,MAX(1,D1238)),0), FactorTable!$A$2:$A$301,0), Skills!L14+1)</f>
        <v/>
      </c>
      <c r="F1238">
        <f>IF(Skills!M14=TRUE,(Skills!K14/10)*(E1238/1000),Skills!K14/10)+Skills!N14</f>
        <v/>
      </c>
      <c r="G1238">
        <f>Calc!G14</f>
        <v/>
      </c>
      <c r="H1238">
        <f>Calc!H14</f>
        <v/>
      </c>
      <c r="I1238">
        <f>IF(Skills!T14&lt;&gt;"",1+(Skills!T14/10)*($Z$3/1000)/100,1)</f>
        <v/>
      </c>
      <c r="J1238" t="inlineStr"/>
      <c r="K1238" t="inlineStr"/>
      <c r="L1238" t="inlineStr"/>
      <c r="M1238" t="inlineStr"/>
      <c r="N1238" t="inlineStr"/>
      <c r="O1238" t="n">
        <v>0</v>
      </c>
      <c r="P1238">
        <f>IF(B1264=0,0,O1238/B1264)</f>
        <v/>
      </c>
      <c r="Q1238">
        <f>IFERROR(1/IF(Inputs!$B$39="pvp",15,MAX(0.1,Skills!D14-IF(Skills!E14=TRUE,1.0,0))),0)</f>
        <v/>
      </c>
      <c r="R1238">
        <f>IF(AND(Inputs!$B$39&lt;&gt;"pvp",Inputs!$B$44&gt;0),IF(Inputs!$B$44&lt;=0,0,(INT(Inputs!$B$44/IF(Inputs!$B$39="pvp",15,MAX(0.1,Skills!D14-IF(Skills!E14=TRUE,1.0,0))))+1)),0)</f>
        <v/>
      </c>
    </row>
    <row r="1239">
      <c r="A1239">
        <f>Skills!A15</f>
        <v/>
      </c>
      <c r="B1239">
        <f>Skills!B15</f>
        <v/>
      </c>
      <c r="C1239">
        <f>Inputs!$B$3&gt;=63</f>
        <v/>
      </c>
      <c r="D1239">
        <f>IF(Skills!C15=1,60+Inputs!$B$26+Inputs!$B$30,IF(Skills!C15=2,90+Inputs!$B$27+Inputs!$B$30,IF(Skills!C15=3,120+Inputs!$B$28+Inputs!$B$30,MAX(0,(Inputs!$B$3-100)*3)+Inputs!$B$29+Inputs!$B$30)))</f>
        <v/>
      </c>
      <c r="E1239">
        <f>INDEX(FactorTable!$B$2:$Y$301, MATCH(ROUND(MIN(300,MAX(1,D1239)),0), FactorTable!$A$2:$A$301,0), Skills!L15+1)</f>
        <v/>
      </c>
      <c r="F1239">
        <f>IF(Skills!M15=TRUE,(Skills!K15/10)*(E1239/1000),Skills!K15/10)+Skills!N15</f>
        <v/>
      </c>
      <c r="G1239">
        <f>Calc!G15</f>
        <v/>
      </c>
      <c r="H1239">
        <f>Calc!H15</f>
        <v/>
      </c>
      <c r="I1239">
        <f>IF(Skills!T15&lt;&gt;"",1+(Skills!T15/10)*($Z$3/1000)/100,1)</f>
        <v/>
      </c>
      <c r="J1239">
        <f>((Inputs!$B$6*(1+Inputs!$B$7/100))+(((Inputs!$B$13*(1+Inputs!$B$14/100))-(Inputs!$B$13*(1+Inputs!$B$14/100)))+0.25*(Inputs!$B$15-Inputs!$B$15))*(1+Inputs!$B$7/100))*(F1239/100)</f>
        <v/>
      </c>
      <c r="K1239">
        <f>J1239*(1+(((Inputs!$B$13+IF(Inputs!$B$3&gt;=35,(10*INDEX(FactorTable!$B$2:$Y$301, MATCH(ROUND(MIN(300,MAX(1,Inputs!$B$3)),0), FactorTable!$A$2:$A$301,0), 23)/1000)/100*(Inputs!$B$8*(1+(Inputs!$B$9+B1262)/100)),0))*(1+Inputs!$B$14/100))*0.01+Inputs!$B$15*0.0025)/100)*(1+(Inputs!$B$16+B1256)/100)*(1+IF(Inputs!$B$39="pvp",0,(1-Summary!$B$48)*(Inputs!$B$21+Skills!O15+B1254)+Summary!$B$48*(Inputs!$B$22+Skills!P15+B1255))/100)*(1+Inputs!$B$17/100)*(5000/(6000+Inputs!$B$43*(1-Inputs!$B$20/100)))*(1+Inputs!$B$25/100)*(1+IF(C1242=TRUE,F1242,0)/100)*(1+IF(C1244=TRUE,F1244,0)/100)*(1+IF(Skills!A15="TRIUMPH_FEATHER",IF(C1240=TRUE,F1240,0),0)/100)*(1+IF(C1251=TRUE,F1251,0)/100)^5*(1+(IF(Skills!A15="BIG_BANG",Inputs!$B$18,Inputs!$B$19))/100)*(B1253*I1239)</f>
        <v/>
      </c>
      <c r="L1239">
        <f>K1239*(MIN(Inputs!$B$23+(F1246-Calc!F22),Inputs!$B$24)/100+Inputs!$B$24/100)/2</f>
        <v/>
      </c>
      <c r="M1239">
        <f>L1239*(1+(Inputs!$B$11+B1257+(F1249-Calc!F25))/100)</f>
        <v/>
      </c>
      <c r="N1239">
        <f>L1239*(1-MIN(Inputs!$B$10+((F1248-Calc!F24)+(F1247-Calc!F23)),100)/100)+M1239*(MIN(Inputs!$B$10+((F1248-Calc!F24)+(F1247-Calc!F23)),100)/100)</f>
        <v/>
      </c>
      <c r="O1239">
        <f>IF(C1239,Skills!F15*N1239*((IF(Inputs!$B$3&gt;=78,25,15)/100*B1259*10)/(1+IF(Inputs!$B$3&gt;=78,25,15)/100*B1259*10))*(Skills!I15/100*B1259)/(1+Skills!G15*Skills!I15/100*B1259)*IF(Inputs!$B$39="pvp",1,(1-Summary!$B$48)*(1)+Summary!$B$48*(MIN(Skills!Q15,Inputs!$B$38))),0)</f>
        <v/>
      </c>
      <c r="P1239">
        <f>IF(B1264=0,0,O1239/B1264)</f>
        <v/>
      </c>
      <c r="Q1239">
        <f>IFERROR(1/IF(Inputs!$B$39="pvp",15,MAX(0.1,Skills!D15-IF(Skills!E15=TRUE,1.0,0))),0)</f>
        <v/>
      </c>
      <c r="R1239" t="n">
        <v>0</v>
      </c>
    </row>
    <row r="1240">
      <c r="A1240">
        <f>Skills!A16</f>
        <v/>
      </c>
      <c r="B1240">
        <f>Skills!B16</f>
        <v/>
      </c>
      <c r="C1240">
        <f>Inputs!$B$3&gt;=100</f>
        <v/>
      </c>
      <c r="D1240">
        <f>IF(Skills!C16=1,60+Inputs!$B$26+Inputs!$B$30,IF(Skills!C16=2,90+Inputs!$B$27+Inputs!$B$30,IF(Skills!C16=3,120+Inputs!$B$28+Inputs!$B$30,MAX(0,(Inputs!$B$3-100)*3)+Inputs!$B$29+Inputs!$B$30)))</f>
        <v/>
      </c>
      <c r="E1240">
        <f>INDEX(FactorTable!$B$2:$Y$301, MATCH(ROUND(MIN(300,MAX(1,D1240)),0), FactorTable!$A$2:$A$301,0), Skills!L16+1)</f>
        <v/>
      </c>
      <c r="F1240">
        <f>IF(Skills!M16=TRUE,(Skills!K16/10)*(E1240/1000),Skills!K16/10)+Skills!N16</f>
        <v/>
      </c>
      <c r="G1240">
        <f>Calc!G16</f>
        <v/>
      </c>
      <c r="H1240">
        <f>Calc!H16</f>
        <v/>
      </c>
      <c r="I1240">
        <f>IF(Skills!T16&lt;&gt;"",1+(Skills!T16/10)*($Z$3/1000)/100,1)</f>
        <v/>
      </c>
      <c r="J1240" t="inlineStr"/>
      <c r="K1240" t="inlineStr"/>
      <c r="L1240" t="inlineStr"/>
      <c r="M1240" t="inlineStr"/>
      <c r="N1240" t="inlineStr"/>
      <c r="O1240" t="n">
        <v>0</v>
      </c>
      <c r="P1240">
        <f>IF(B1264=0,0,O1240/B1264)</f>
        <v/>
      </c>
      <c r="Q1240">
        <f>IFERROR(1/IF(Inputs!$B$39="pvp",15,MAX(0.1,Skills!D16-IF(Skills!E16=TRUE,1.0,0))),0)</f>
        <v/>
      </c>
      <c r="R1240" t="n">
        <v>0</v>
      </c>
    </row>
    <row r="1241">
      <c r="A1241">
        <f>Skills!A17</f>
        <v/>
      </c>
      <c r="B1241">
        <f>Skills!B17</f>
        <v/>
      </c>
      <c r="C1241">
        <f>Inputs!$B$3&gt;=49</f>
        <v/>
      </c>
      <c r="D1241">
        <f>IF(Skills!C17=1,60+Inputs!$B$26+Inputs!$B$30,IF(Skills!C17=2,90+Inputs!$B$27+Inputs!$B$30,IF(Skills!C17=3,120+Inputs!$B$28+Inputs!$B$30,MAX(0,(Inputs!$B$3-100)*3)+Inputs!$B$29+Inputs!$B$30)))</f>
        <v/>
      </c>
      <c r="E1241">
        <f>INDEX(FactorTable!$B$2:$Y$301, MATCH(ROUND(MIN(300,MAX(1,D1241)),0), FactorTable!$A$2:$A$301,0), Skills!L17+1)</f>
        <v/>
      </c>
      <c r="F1241">
        <f>IF(Skills!M17=TRUE,(Skills!K17/10)*(E1241/1000),Skills!K17/10)+Skills!N17</f>
        <v/>
      </c>
      <c r="G1241">
        <f>Calc!G17</f>
        <v/>
      </c>
      <c r="H1241">
        <f>Calc!H17</f>
        <v/>
      </c>
      <c r="I1241">
        <f>IF(Skills!T17&lt;&gt;"",1+(Skills!T17/10)*($Z$3/1000)/100,1)</f>
        <v/>
      </c>
      <c r="J1241" t="inlineStr"/>
      <c r="K1241" t="inlineStr"/>
      <c r="L1241" t="inlineStr"/>
      <c r="M1241" t="inlineStr"/>
      <c r="N1241" t="inlineStr"/>
      <c r="O1241" t="n">
        <v>0</v>
      </c>
      <c r="P1241">
        <f>IF(B1264=0,0,O1241/B1264)</f>
        <v/>
      </c>
      <c r="Q1241">
        <f>IFERROR(1/IF(Inputs!$B$39="pvp",15,MAX(0.1,Skills!D17-IF(Skills!E17=TRUE,1.0,0))),0)</f>
        <v/>
      </c>
      <c r="R1241" t="n">
        <v>0</v>
      </c>
    </row>
    <row r="1242">
      <c r="A1242">
        <f>Skills!A18</f>
        <v/>
      </c>
      <c r="B1242">
        <f>Skills!B18</f>
        <v/>
      </c>
      <c r="C1242">
        <f>Inputs!$B$3&gt;=75</f>
        <v/>
      </c>
      <c r="D1242">
        <f>IF(Skills!C18=1,60+Inputs!$B$26+Inputs!$B$30,IF(Skills!C18=2,90+Inputs!$B$27+Inputs!$B$30,IF(Skills!C18=3,120+Inputs!$B$28+Inputs!$B$30,MAX(0,(Inputs!$B$3-100)*3)+Inputs!$B$29+Inputs!$B$30)))</f>
        <v/>
      </c>
      <c r="E1242">
        <f>INDEX(FactorTable!$B$2:$Y$301, MATCH(ROUND(MIN(300,MAX(1,D1242)),0), FactorTable!$A$2:$A$301,0), Skills!L18+1)</f>
        <v/>
      </c>
      <c r="F1242">
        <f>IF(Skills!M18=TRUE,(Skills!K18/10)*(E1242/1000),Skills!K18/10)+Skills!N18</f>
        <v/>
      </c>
      <c r="G1242">
        <f>Calc!G18</f>
        <v/>
      </c>
      <c r="H1242">
        <f>Calc!H18</f>
        <v/>
      </c>
      <c r="I1242">
        <f>IF(Skills!T18&lt;&gt;"",1+(Skills!T18/10)*($Z$3/1000)/100,1)</f>
        <v/>
      </c>
      <c r="J1242" t="inlineStr"/>
      <c r="K1242" t="inlineStr"/>
      <c r="L1242" t="inlineStr"/>
      <c r="M1242" t="inlineStr"/>
      <c r="N1242" t="inlineStr"/>
      <c r="O1242" t="n">
        <v>0</v>
      </c>
      <c r="P1242">
        <f>IF(B1264=0,0,O1242/B1264)</f>
        <v/>
      </c>
      <c r="Q1242">
        <f>IFERROR(1/IF(Inputs!$B$39="pvp",15,MAX(0.1,Skills!D18-IF(Skills!E18=TRUE,1.0,0))),0)</f>
        <v/>
      </c>
      <c r="R1242" t="n">
        <v>0</v>
      </c>
    </row>
    <row r="1243">
      <c r="A1243">
        <f>Skills!A19</f>
        <v/>
      </c>
      <c r="B1243">
        <f>Skills!B19</f>
        <v/>
      </c>
      <c r="C1243">
        <f>Inputs!$B$3&gt;=110</f>
        <v/>
      </c>
      <c r="D1243">
        <f>IF(Skills!C19=1,60+Inputs!$B$26+Inputs!$B$30,IF(Skills!C19=2,90+Inputs!$B$27+Inputs!$B$30,IF(Skills!C19=3,120+Inputs!$B$28+Inputs!$B$30,MAX(0,(Inputs!$B$3-100)*3)+Inputs!$B$29+Inputs!$B$30)))</f>
        <v/>
      </c>
      <c r="E1243">
        <f>INDEX(FactorTable!$B$2:$Y$301, MATCH(ROUND(MIN(300,MAX(1,D1243)),0), FactorTable!$A$2:$A$301,0), Skills!L19+1)</f>
        <v/>
      </c>
      <c r="F1243">
        <f>(Skills!K19/10)*(E1243/1000)*64/45+Skills!N19</f>
        <v/>
      </c>
      <c r="G1243">
        <f>Calc!G19</f>
        <v/>
      </c>
      <c r="H1243">
        <f>Calc!H19</f>
        <v/>
      </c>
      <c r="I1243">
        <f>IF(Skills!T19&lt;&gt;"",1+(Skills!T19/10)*($Z$3/1000)/100,1)</f>
        <v/>
      </c>
      <c r="J1243" t="inlineStr"/>
      <c r="K1243" t="inlineStr"/>
      <c r="L1243" t="inlineStr"/>
      <c r="M1243" t="inlineStr"/>
      <c r="N1243" t="inlineStr"/>
      <c r="O1243" t="n">
        <v>0</v>
      </c>
      <c r="P1243">
        <f>IF(B1264=0,0,O1243/B1264)</f>
        <v/>
      </c>
      <c r="Q1243">
        <f>IFERROR(1/IF(Inputs!$B$39="pvp",15,MAX(0.1,Skills!D19-IF(Skills!E19=TRUE,1.0,0))),0)</f>
        <v/>
      </c>
      <c r="R1243">
        <f>IF(AND(Inputs!$B$39&lt;&gt;"pvp",Inputs!$B$44&gt;0),IF(Inputs!$B$44&lt;=0,0,(INT(Inputs!$B$44/IF(Inputs!$B$39="pvp",15,MAX(0.1,Skills!D19-IF(Skills!E19=TRUE,1.0,0))))+1)),0)</f>
        <v/>
      </c>
    </row>
    <row r="1244">
      <c r="A1244">
        <f>Skills!A20</f>
        <v/>
      </c>
      <c r="B1244">
        <f>Skills!B20</f>
        <v/>
      </c>
      <c r="C1244">
        <f>Inputs!$B$3&gt;=125</f>
        <v/>
      </c>
      <c r="D1244">
        <f>IF(Skills!C20=1,60+Inputs!$B$26+Inputs!$B$30,IF(Skills!C20=2,90+Inputs!$B$27+Inputs!$B$30,IF(Skills!C20=3,120+Inputs!$B$28+Inputs!$B$30,MAX(0,(Inputs!$B$3-100)*3)+Inputs!$B$29+Inputs!$B$30)))</f>
        <v/>
      </c>
      <c r="E1244">
        <f>INDEX(FactorTable!$B$2:$Y$301, MATCH(ROUND(MIN(300,MAX(1,D1244)),0), FactorTable!$A$2:$A$301,0), Skills!L20+1)</f>
        <v/>
      </c>
      <c r="F1244">
        <f>IF(Skills!M20=TRUE,(Skills!K20/10)*(E1244/1000),Skills!K20/10)+Skills!N20</f>
        <v/>
      </c>
      <c r="G1244">
        <f>Calc!G20</f>
        <v/>
      </c>
      <c r="H1244">
        <f>Calc!H20</f>
        <v/>
      </c>
      <c r="I1244">
        <f>IF(Skills!T20&lt;&gt;"",1+(Skills!T20/10)*($Z$3/1000)/100,1)</f>
        <v/>
      </c>
      <c r="J1244" t="inlineStr"/>
      <c r="K1244" t="inlineStr"/>
      <c r="L1244" t="inlineStr"/>
      <c r="M1244" t="inlineStr"/>
      <c r="N1244" t="inlineStr"/>
      <c r="O1244" t="n">
        <v>0</v>
      </c>
      <c r="P1244">
        <f>IF(B1264=0,0,O1244/B1264)</f>
        <v/>
      </c>
      <c r="Q1244">
        <f>IFERROR(1/IF(Inputs!$B$39="pvp",15,MAX(0.1,Skills!D20-IF(Skills!E20=TRUE,1.0,0))),0)</f>
        <v/>
      </c>
      <c r="R1244" t="n">
        <v>0</v>
      </c>
    </row>
    <row r="1245">
      <c r="A1245">
        <f>Skills!A21</f>
        <v/>
      </c>
      <c r="B1245">
        <f>Skills!B21</f>
        <v/>
      </c>
      <c r="C1245">
        <f>Inputs!$B$3&gt;=33</f>
        <v/>
      </c>
      <c r="D1245">
        <f>IF(Skills!C21=1,60+Inputs!$B$26+Inputs!$B$30,IF(Skills!C21=2,90+Inputs!$B$27+Inputs!$B$30,IF(Skills!C21=3,120+Inputs!$B$28+Inputs!$B$30,MAX(0,(Inputs!$B$3-100)*3)+Inputs!$B$29+Inputs!$B$30)))</f>
        <v/>
      </c>
      <c r="E1245">
        <f>INDEX(FactorTable!$B$2:$Y$301, MATCH(ROUND(MIN(300,MAX(1,D1245)),0), FactorTable!$A$2:$A$301,0), Skills!L21+1)</f>
        <v/>
      </c>
      <c r="F1245">
        <f>IF(Skills!M21=TRUE,(Skills!K21/10)*(E1245/1000),Skills!K21/10)+Skills!N21</f>
        <v/>
      </c>
      <c r="G1245">
        <f>Calc!G21</f>
        <v/>
      </c>
      <c r="H1245">
        <f>Calc!H21</f>
        <v/>
      </c>
      <c r="I1245">
        <f>IF(Skills!T21&lt;&gt;"",1+(Skills!T21/10)*($Z$3/1000)/100,1)</f>
        <v/>
      </c>
      <c r="J1245" t="inlineStr"/>
      <c r="K1245" t="inlineStr"/>
      <c r="L1245" t="inlineStr"/>
      <c r="M1245" t="inlineStr"/>
      <c r="N1245" t="inlineStr"/>
      <c r="O1245" t="n">
        <v>0</v>
      </c>
      <c r="P1245">
        <f>IF(B1264=0,0,O1245/B1264)</f>
        <v/>
      </c>
      <c r="Q1245">
        <f>IFERROR(1/IF(Inputs!$B$39="pvp",15,MAX(0.1,Skills!D21-IF(Skills!E21=TRUE,1.0,0))),0)</f>
        <v/>
      </c>
      <c r="R1245" t="n">
        <v>0</v>
      </c>
    </row>
    <row r="1246">
      <c r="A1246">
        <f>Skills!A22</f>
        <v/>
      </c>
      <c r="B1246">
        <f>Skills!B22</f>
        <v/>
      </c>
      <c r="C1246">
        <f>Inputs!$B$3&gt;=43</f>
        <v/>
      </c>
      <c r="D1246">
        <f>IF(Skills!C22=1,60+Inputs!$B$26+Inputs!$B$30,IF(Skills!C22=2,90+Inputs!$B$27+Inputs!$B$30,IF(Skills!C22=3,120+Inputs!$B$28+Inputs!$B$30,MAX(0,(Inputs!$B$3-100)*3)+Inputs!$B$29+Inputs!$B$30)))</f>
        <v/>
      </c>
      <c r="E1246">
        <f>INDEX(FactorTable!$B$2:$Y$301, MATCH(ROUND(MIN(300,MAX(1,D1246)),0), FactorTable!$A$2:$A$301,0), Skills!L22+1)</f>
        <v/>
      </c>
      <c r="F1246">
        <f>IF(Skills!M22=TRUE,(Skills!K22/10)*(E1246/1000),Skills!K22/10)+Skills!N22</f>
        <v/>
      </c>
      <c r="G1246">
        <f>Calc!G22</f>
        <v/>
      </c>
      <c r="H1246">
        <f>Calc!H22</f>
        <v/>
      </c>
      <c r="I1246">
        <f>IF(Skills!T22&lt;&gt;"",1+(Skills!T22/10)*($Z$3/1000)/100,1)</f>
        <v/>
      </c>
      <c r="J1246" t="inlineStr"/>
      <c r="K1246" t="inlineStr"/>
      <c r="L1246" t="inlineStr"/>
      <c r="M1246" t="inlineStr"/>
      <c r="N1246" t="inlineStr"/>
      <c r="O1246" t="n">
        <v>0</v>
      </c>
      <c r="P1246">
        <f>IF(B1264=0,0,O1246/B1264)</f>
        <v/>
      </c>
      <c r="Q1246">
        <f>IFERROR(1/IF(Inputs!$B$39="pvp",15,MAX(0.1,Skills!D22-IF(Skills!E22=TRUE,1.0,0))),0)</f>
        <v/>
      </c>
      <c r="R1246" t="n">
        <v>0</v>
      </c>
    </row>
    <row r="1247">
      <c r="A1247">
        <f>Skills!A23</f>
        <v/>
      </c>
      <c r="B1247">
        <f>Skills!B23</f>
        <v/>
      </c>
      <c r="C1247">
        <f>Inputs!$B$3&gt;=50</f>
        <v/>
      </c>
      <c r="D1247">
        <f>IF(Skills!C23=1,60+Inputs!$B$26+Inputs!$B$30,IF(Skills!C23=2,90+Inputs!$B$27+Inputs!$B$30,IF(Skills!C23=3,120+Inputs!$B$28+Inputs!$B$30,MAX(0,(Inputs!$B$3-100)*3)+Inputs!$B$29+Inputs!$B$30)))</f>
        <v/>
      </c>
      <c r="E1247">
        <f>INDEX(FactorTable!$B$2:$Y$301, MATCH(ROUND(MIN(300,MAX(1,D1247)),0), FactorTable!$A$2:$A$301,0), Skills!L23+1)</f>
        <v/>
      </c>
      <c r="F1247">
        <f>IF(Skills!M23=TRUE,(Skills!K23/10)*(E1247/1000),Skills!K23/10)+Skills!N23</f>
        <v/>
      </c>
      <c r="G1247">
        <f>Calc!G23</f>
        <v/>
      </c>
      <c r="H1247">
        <f>Calc!H23</f>
        <v/>
      </c>
      <c r="I1247">
        <f>IF(Skills!T23&lt;&gt;"",1+(Skills!T23/10)*($Z$3/1000)/100,1)</f>
        <v/>
      </c>
      <c r="J1247" t="inlineStr"/>
      <c r="K1247" t="inlineStr"/>
      <c r="L1247" t="inlineStr"/>
      <c r="M1247" t="inlineStr"/>
      <c r="N1247" t="inlineStr"/>
      <c r="O1247" t="n">
        <v>0</v>
      </c>
      <c r="P1247">
        <f>IF(B1264=0,0,O1247/B1264)</f>
        <v/>
      </c>
      <c r="Q1247">
        <f>IFERROR(1/IF(Inputs!$B$39="pvp",15,MAX(0.1,Skills!D23-IF(Skills!E23=TRUE,1.0,0))),0)</f>
        <v/>
      </c>
      <c r="R1247" t="n">
        <v>0</v>
      </c>
    </row>
    <row r="1248">
      <c r="A1248">
        <f>Skills!A24</f>
        <v/>
      </c>
      <c r="B1248">
        <f>Skills!B24</f>
        <v/>
      </c>
      <c r="C1248">
        <f>Inputs!$B$3&gt;=74</f>
        <v/>
      </c>
      <c r="D1248">
        <f>IF(Skills!C24=1,60+Inputs!$B$26+Inputs!$B$30,IF(Skills!C24=2,90+Inputs!$B$27+Inputs!$B$30,IF(Skills!C24=3,120+Inputs!$B$28+Inputs!$B$30,MAX(0,(Inputs!$B$3-100)*3)+Inputs!$B$29+Inputs!$B$30)))</f>
        <v/>
      </c>
      <c r="E1248">
        <f>INDEX(FactorTable!$B$2:$Y$301, MATCH(ROUND(MIN(300,MAX(1,D1248)),0), FactorTable!$A$2:$A$301,0), Skills!L24+1)</f>
        <v/>
      </c>
      <c r="F1248">
        <f>IF(Skills!M24=TRUE,(Skills!K24/10)*(E1248/1000),Skills!K24/10)+Skills!N24</f>
        <v/>
      </c>
      <c r="G1248">
        <f>Calc!G24</f>
        <v/>
      </c>
      <c r="H1248">
        <f>Calc!H24</f>
        <v/>
      </c>
      <c r="I1248">
        <f>IF(Skills!T24&lt;&gt;"",1+(Skills!T24/10)*($Z$3/1000)/100,1)</f>
        <v/>
      </c>
      <c r="J1248" t="inlineStr"/>
      <c r="K1248" t="inlineStr"/>
      <c r="L1248" t="inlineStr"/>
      <c r="M1248" t="inlineStr"/>
      <c r="N1248" t="inlineStr"/>
      <c r="O1248" t="n">
        <v>0</v>
      </c>
      <c r="P1248">
        <f>IF(B1264=0,0,O1248/B1264)</f>
        <v/>
      </c>
      <c r="Q1248">
        <f>IFERROR(1/IF(Inputs!$B$39="pvp",15,MAX(0.1,Skills!D24-IF(Skills!E24=TRUE,1.0,0))),0)</f>
        <v/>
      </c>
      <c r="R1248" t="n">
        <v>0</v>
      </c>
    </row>
    <row r="1249">
      <c r="A1249">
        <f>Skills!A25</f>
        <v/>
      </c>
      <c r="B1249">
        <f>Skills!B25</f>
        <v/>
      </c>
      <c r="C1249">
        <f>Inputs!$B$3&gt;=74</f>
        <v/>
      </c>
      <c r="D1249">
        <f>IF(Skills!C25=1,60+Inputs!$B$26+Inputs!$B$30,IF(Skills!C25=2,90+Inputs!$B$27+Inputs!$B$30,IF(Skills!C25=3,120+Inputs!$B$28+Inputs!$B$30,MAX(0,(Inputs!$B$3-100)*3)+Inputs!$B$29+Inputs!$B$30)))</f>
        <v/>
      </c>
      <c r="E1249">
        <f>INDEX(FactorTable!$B$2:$Y$301, MATCH(ROUND(MIN(300,MAX(1,D1249)),0), FactorTable!$A$2:$A$301,0), Skills!L25+1)</f>
        <v/>
      </c>
      <c r="F1249">
        <f>IF(Skills!M25=TRUE,(Skills!K25/10)*(E1249/1000),Skills!K25/10)+Skills!N25</f>
        <v/>
      </c>
      <c r="G1249">
        <f>Calc!G25</f>
        <v/>
      </c>
      <c r="H1249">
        <f>Calc!H25</f>
        <v/>
      </c>
      <c r="I1249">
        <f>IF(Skills!T25&lt;&gt;"",1+(Skills!T25/10)*($Z$3/1000)/100,1)</f>
        <v/>
      </c>
      <c r="J1249" t="inlineStr"/>
      <c r="K1249" t="inlineStr"/>
      <c r="L1249" t="inlineStr"/>
      <c r="M1249" t="inlineStr"/>
      <c r="N1249" t="inlineStr"/>
      <c r="O1249" t="n">
        <v>0</v>
      </c>
      <c r="P1249">
        <f>IF(B1264=0,0,O1249/B1264)</f>
        <v/>
      </c>
      <c r="Q1249">
        <f>IFERROR(1/IF(Inputs!$B$39="pvp",15,MAX(0.1,Skills!D25-IF(Skills!E25=TRUE,1.0,0))),0)</f>
        <v/>
      </c>
      <c r="R1249" t="n">
        <v>0</v>
      </c>
    </row>
    <row r="1250">
      <c r="A1250">
        <f>Skills!A26</f>
        <v/>
      </c>
      <c r="B1250">
        <f>Skills!B26</f>
        <v/>
      </c>
      <c r="C1250">
        <f>Inputs!$B$3&gt;=117</f>
        <v/>
      </c>
      <c r="D1250">
        <f>IF(Skills!C26=1,60+Inputs!$B$26+Inputs!$B$30,IF(Skills!C26=2,90+Inputs!$B$27+Inputs!$B$30,IF(Skills!C26=3,120+Inputs!$B$28+Inputs!$B$30,MAX(0,(Inputs!$B$3-100)*3)+Inputs!$B$29+Inputs!$B$30)))</f>
        <v/>
      </c>
      <c r="E1250">
        <f>INDEX(FactorTable!$B$2:$Y$301, MATCH(ROUND(MIN(300,MAX(1,D1250)),0), FactorTable!$A$2:$A$301,0), Skills!L26+1)</f>
        <v/>
      </c>
      <c r="F1250">
        <f>IF(Skills!M26=TRUE,(Skills!K26/10)*(E1250/1000),Skills!K26/10)+Skills!N26</f>
        <v/>
      </c>
      <c r="G1250">
        <f>Calc!G26</f>
        <v/>
      </c>
      <c r="H1250">
        <f>Calc!H26</f>
        <v/>
      </c>
      <c r="I1250">
        <f>IF(Skills!T26&lt;&gt;"",1+(Skills!T26/10)*($Z$3/1000)/100,1)</f>
        <v/>
      </c>
      <c r="J1250" t="inlineStr"/>
      <c r="K1250" t="inlineStr"/>
      <c r="L1250" t="inlineStr"/>
      <c r="M1250" t="inlineStr"/>
      <c r="N1250" t="inlineStr"/>
      <c r="O1250" t="n">
        <v>0</v>
      </c>
      <c r="P1250">
        <f>IF(B1264=0,0,O1250/B1264)</f>
        <v/>
      </c>
      <c r="Q1250">
        <f>IFERROR(1/IF(Inputs!$B$39="pvp",15,MAX(0.1,Skills!D26-IF(Skills!E26=TRUE,1.0,0))),0)</f>
        <v/>
      </c>
      <c r="R1250" t="n">
        <v>0</v>
      </c>
    </row>
    <row r="1251">
      <c r="A1251">
        <f>Skills!A27</f>
        <v/>
      </c>
      <c r="B1251">
        <f>Skills!B27</f>
        <v/>
      </c>
      <c r="C1251">
        <f>Inputs!$B$3&gt;=120</f>
        <v/>
      </c>
      <c r="D1251">
        <f>IF(Skills!C27=1,60+Inputs!$B$26+Inputs!$B$30,IF(Skills!C27=2,90+Inputs!$B$27+Inputs!$B$30,IF(Skills!C27=3,120+Inputs!$B$28+Inputs!$B$30,MAX(0,(Inputs!$B$3-100)*3)+Inputs!$B$29+Inputs!$B$30)))</f>
        <v/>
      </c>
      <c r="E1251">
        <f>INDEX(FactorTable!$B$2:$Y$301, MATCH(ROUND(MIN(300,MAX(1,D1251)),0), FactorTable!$A$2:$A$301,0), Skills!L27+1)</f>
        <v/>
      </c>
      <c r="F1251">
        <f>IF(Skills!M27=TRUE,(Skills!K27/10)*(E1251/1000),Skills!K27/10)+Skills!N27</f>
        <v/>
      </c>
      <c r="G1251">
        <f>Calc!G27</f>
        <v/>
      </c>
      <c r="H1251">
        <f>Calc!H27</f>
        <v/>
      </c>
      <c r="I1251">
        <f>IF(Skills!T27&lt;&gt;"",1+(Skills!T27/10)*($Z$3/1000)/100,1)</f>
        <v/>
      </c>
      <c r="J1251" t="inlineStr"/>
      <c r="K1251" t="inlineStr"/>
      <c r="L1251" t="inlineStr"/>
      <c r="M1251" t="inlineStr"/>
      <c r="N1251" t="inlineStr"/>
      <c r="O1251" t="n">
        <v>0</v>
      </c>
      <c r="P1251">
        <f>IF(B1264=0,0,O1251/B1264)</f>
        <v/>
      </c>
      <c r="Q1251">
        <f>IFERROR(1/IF(Inputs!$B$39="pvp",15,MAX(0.1,Skills!D27-IF(Skills!E27=TRUE,1.0,0))),0)</f>
        <v/>
      </c>
      <c r="R1251" t="n">
        <v>0</v>
      </c>
    </row>
    <row r="1253">
      <c r="A1253" t="inlineStr">
        <is>
          <t>Average Buff Multiplier</t>
        </is>
      </c>
      <c r="B1253">
        <f>(1+(IF(C1227=TRUE,F1227*IF(AND(Inputs!$B$39&lt;&gt;"pvp",Inputs!$B$44&gt;0),(((R1227-1)*(Skills!S3*(1+(Inputs!$B$35+IF(Inputs!$B$3&gt;=117,F1250,0))/100))+MIN((Skills!S3*(1+(Inputs!$B$35+IF(Inputs!$B$3&gt;=117,F1250,0))/100)),MAX(0,Inputs!$B$44-((R1227-1)*Skills!D3))))/Inputs!$B$44),IF(Inputs!$B$39="pvp",MIN((Skills!S3*(1+(Inputs!$B$35+IF(Inputs!$B$3&gt;=117,F1250,0))/100)),15)/15,(Skills!S3*(1+(Inputs!$B$35+IF(Inputs!$B$3&gt;=117,F1250,0))/100))/Skills!D3)),0)+IF(C1228=TRUE,F1228*IF(AND(Inputs!$B$39&lt;&gt;"pvp",Inputs!$B$44&gt;0),(((R1228-1)*(Skills!S4*(1+(Inputs!$B$35+IF(Inputs!$B$3&gt;=117,F1250,0))/100))+MIN((Skills!S4*(1+(Inputs!$B$35+IF(Inputs!$B$3&gt;=117,F1250,0))/100)),MAX(0,Inputs!$B$44-((R1228-1)*Skills!D4))))/Inputs!$B$44),IF(Inputs!$B$39="pvp",MIN((Skills!S4*(1+(Inputs!$B$35+IF(Inputs!$B$3&gt;=117,F1250,0))/100)),15)/15,(Skills!S4*(1+(Inputs!$B$35+IF(Inputs!$B$3&gt;=117,F1250,0))/100))/Skills!D4)),0)+IF(C1229=TRUE,F1229*IF(AND(Inputs!$B$39&lt;&gt;"pvp",Inputs!$B$44&gt;0),(((R1229-1)*(Skills!S5*(1+(Inputs!$B$35+IF(Inputs!$B$3&gt;=117,F1250,0))/100))+MIN((Skills!S5*(1+(Inputs!$B$35+IF(Inputs!$B$3&gt;=117,F1250,0))/100)),MAX(0,Inputs!$B$44-((R1229-1)*Skills!D5))))/Inputs!$B$44),IF(Inputs!$B$39="pvp",MIN((Skills!S5*(1+(Inputs!$B$35+IF(Inputs!$B$3&gt;=117,F1250,0))/100)),15)/15,(Skills!S5*(1+(Inputs!$B$35+IF(Inputs!$B$3&gt;=117,F1250,0))/100))/Skills!D5)),0)+IF(C1235=TRUE,F1235*IF(AND(Inputs!$B$39&lt;&gt;"pvp",Inputs!$B$44&gt;0),(((R1235-1)*(Skills!S11*(1+(Inputs!$B$35+IF(Inputs!$B$3&gt;=117,F1250,0))/100))+MIN((Skills!S11*(1+(Inputs!$B$35+IF(Inputs!$B$3&gt;=117,F1250,0))/100)),MAX(0,Inputs!$B$44-((R1235-1)*Skills!D11))))/Inputs!$B$44),IF(Inputs!$B$39="pvp",MIN((Skills!S11*(1+(Inputs!$B$35+IF(Inputs!$B$3&gt;=117,F1250,0))/100)),15)/15,(Skills!S11*(1+(Inputs!$B$35+IF(Inputs!$B$3&gt;=117,F1250,0))/100))/Skills!D11)),0))/100)*IF(C1238=TRUE,(1+F1238*IF(AND(Inputs!$B$39&lt;&gt;"pvp",Inputs!$B$44&gt;0),(((R1238-1)*(Skills!S14*(1+(Inputs!$B$35+IF(Inputs!$B$3&gt;=117,F1250,0))/100))+MIN((Skills!S14*(1+(Inputs!$B$35+IF(Inputs!$B$3&gt;=117,F1250,0))/100)),MAX(0,Inputs!$B$44-((R1238-1)*Skills!D14))))/Inputs!$B$44),IF(Inputs!$B$39="pvp",MIN((Skills!S14*(1+(Inputs!$B$35+IF(Inputs!$B$3&gt;=117,F1250,0))/100)),15)/15,(Skills!S14*(1+(Inputs!$B$35+IF(Inputs!$B$3&gt;=117,F1250,0))/100))/Skills!D14))/100),1)*IF(C1243=TRUE,(1+F1243*IF(AND(Inputs!$B$39&lt;&gt;"pvp",Inputs!$B$44&gt;0),(((R1243-1)*(Skills!S19*(1+(Inputs!$B$35+IF(Inputs!$B$3&gt;=117,F1250,0))/100))+MIN((Skills!S19*(1+(Inputs!$B$35+IF(Inputs!$B$3&gt;=117,F1250,0))/100)),MAX(0,Inputs!$B$44-((R1243-1)*Skills!D19))))/Inputs!$B$44),IF(Inputs!$B$39="pvp",MIN((Skills!S19*(1+(Inputs!$B$35+IF(Inputs!$B$3&gt;=117,F1250,0))/100)),15)/15,(Skills!S19*(1+(Inputs!$B$35+IF(Inputs!$B$3&gt;=117,F1250,0))/100))/Skills!D19))/100),1)</f>
        <v/>
      </c>
    </row>
    <row r="1254">
      <c r="A1254" t="inlineStr">
        <is>
          <t>Monster Damage Taken Bonus % (Holy Fountain)</t>
        </is>
      </c>
      <c r="B1254">
        <f>IF(Inputs!$B$3&gt;=68,20*IF(Inputs!$B$39="pvp",MIN((15*(1+(Inputs!$B$35+IF(Inputs!$B$3&gt;=117,F1250,0))/100)),15)/15,(15*(1+(Inputs!$B$35+IF(Inputs!$B$3&gt;=117,F1250,0))/100))/Skills!D10),0)</f>
        <v/>
      </c>
    </row>
    <row r="1255">
      <c r="A1255" t="inlineStr">
        <is>
          <t>Normal Monster Damage Bonus % (Holy Symbol)</t>
        </is>
      </c>
      <c r="B1255">
        <f>IF(C1236=TRUE,F1236*IF(AND(Inputs!$B$39&lt;&gt;"pvp",Inputs!$B$44&gt;0),(((R1236-1)*(Skills!S12*(1+(Inputs!$B$35+IF(Inputs!$B$3&gt;=117,F1250,0))/100))+MIN((Skills!S12*(1+(Inputs!$B$35+IF(Inputs!$B$3&gt;=117,F1250,0))/100)),MAX(0,Inputs!$B$44-((R1236-1)*Skills!D12))))/Inputs!$B$44),IF(Inputs!$B$39="pvp",MIN((Skills!S12*(1+(Inputs!$B$35+IF(Inputs!$B$3&gt;=117,F1250,0))/100)),15)/15,(Skills!S12*(1+(Inputs!$B$35+IF(Inputs!$B$3&gt;=117,F1250,0))/100))/Skills!D12)),0)</f>
        <v/>
      </c>
    </row>
    <row r="1256">
      <c r="A1256" t="inlineStr">
        <is>
          <t>Damage % Bonus (Holy Symbol - Damage Boost)</t>
        </is>
      </c>
      <c r="B1256">
        <f>Skills!O12</f>
        <v/>
      </c>
    </row>
    <row r="1257">
      <c r="A1257" t="inlineStr">
        <is>
          <t>Crit Damage % Bonus (Blood of the Divine)</t>
        </is>
      </c>
      <c r="B1257">
        <f>4*IF(C1244=TRUE,F1244,0)</f>
        <v/>
      </c>
    </row>
    <row r="1258">
      <c r="A1258" t="inlineStr">
        <is>
          <t>Attack Speed Bonus %</t>
        </is>
      </c>
      <c r="B1258">
        <f>IF(C1241=TRUE,F1241+(F1245-Calc!F21),0)+IF(Inputs!$B$3&gt;=134,15,0)</f>
        <v/>
      </c>
    </row>
    <row r="1259">
      <c r="A1259" t="inlineStr">
        <is>
          <t>Actions Per Second</t>
        </is>
      </c>
      <c r="B1259">
        <f>1+MIN(150,150*(1-(1-Inputs!$B$12/150)*(1-B1258/150)))/100</f>
        <v/>
      </c>
    </row>
    <row r="1260">
      <c r="A1260" t="inlineStr">
        <is>
          <t>Skill + Buff Cast Rate</t>
        </is>
      </c>
      <c r="B1260">
        <f>IF(AND(Inputs!$B$39&lt;&gt;"pvp",Inputs!$B$44&gt;0),SUMPRODUCT((Skills!E2:E27=TRUE)*(C1226:C1251=TRUE)*R1226:R1251)/Inputs!$B$44,SUMPRODUCT((Skills!E2:E27=TRUE)*(C1226:C1251=TRUE)*Q1226:Q1251))</f>
        <v/>
      </c>
    </row>
    <row r="1261">
      <c r="A1261" t="inlineStr">
        <is>
          <t>Big Bang Casts Per Second</t>
        </is>
      </c>
      <c r="B1261">
        <f>MAX(0,B1259-B1260)</f>
        <v/>
      </c>
    </row>
    <row r="1262">
      <c r="A1262" t="inlineStr">
        <is>
          <t>Defense % Bonus (Divine Protection)</t>
        </is>
      </c>
      <c r="B1262">
        <f>IF(C1237=TRUE,F1237*IF(AND(Inputs!$B$39&lt;&gt;"pvp",Inputs!$B$44&gt;0),(((R1237-1)*(Skills!S13*(1+(Inputs!$B$35+IF(Inputs!$B$3&gt;=117,F1250,0))/100))+MIN((Skills!S13*(1+(Inputs!$B$35+IF(Inputs!$B$3&gt;=117,F1250,0))/100)),MAX(0,Inputs!$B$44-((R1237-1)*Skills!D13))))/Inputs!$B$44),IF(Inputs!$B$39="pvp",MIN((Skills!S13*(1+(Inputs!$B$35+IF(Inputs!$B$3&gt;=117,F1250,0))/100)),15)/15,(Skills!S13*(1+(Inputs!$B$35+IF(Inputs!$B$3&gt;=117,F1250,0))/100))/Skills!D13)),0)</f>
        <v/>
      </c>
    </row>
    <row r="1263">
      <c r="A1263" t="inlineStr">
        <is>
          <t>Buff-Casting Startup Delay (s, fixed-duration only)</t>
        </is>
      </c>
      <c r="B1263">
        <f>IF(AND(Inputs!$B$39&lt;&gt;"pvp",Inputs!$B$44&gt;0),SUMPRODUCT((Skills!S2:S27&gt;0)*(Skills!E2:E27=TRUE)*(C1226:C1251=TRUE))/B1259,0)</f>
        <v/>
      </c>
    </row>
    <row r="1264">
      <c r="A1264" s="5" t="inlineStr">
        <is>
          <t>TOTAL DPS</t>
        </is>
      </c>
      <c r="B1264" s="5">
        <f>SUM(O1226:O1251)</f>
        <v/>
      </c>
    </row>
    <row r="1266">
      <c r="A1266" s="5" t="inlineStr">
        <is>
          <t>Stat: CDR = 1.5s</t>
        </is>
      </c>
    </row>
    <row r="1267">
      <c r="A1267" s="9" t="inlineStr">
        <is>
          <t>Key</t>
        </is>
      </c>
      <c r="B1267" s="9" t="inlineStr">
        <is>
          <t>Name</t>
        </is>
      </c>
      <c r="C1267" s="9" t="inlineStr">
        <is>
          <t>Unlocked</t>
        </is>
      </c>
      <c r="D1267" s="9" t="inlineStr">
        <is>
          <t>InputLevel</t>
        </is>
      </c>
      <c r="E1267" s="9" t="inlineStr">
        <is>
          <t>Factor</t>
        </is>
      </c>
      <c r="F1267" s="9" t="inlineStr">
        <is>
          <t>CoefficientPercent</t>
        </is>
      </c>
      <c r="G1267" s="9" t="inlineStr">
        <is>
          <t>EffectiveHits</t>
        </is>
      </c>
      <c r="H1267" s="9" t="inlineStr">
        <is>
          <t>ProcProbability</t>
        </is>
      </c>
      <c r="I1267" s="9" t="inlineStr">
        <is>
          <t>MapleHeroMultiplier</t>
        </is>
      </c>
      <c r="J1267" s="9" t="inlineStr">
        <is>
          <t>BaseDamage</t>
        </is>
      </c>
      <c r="K1267" s="9" t="inlineStr">
        <is>
          <t>BaseHitDamage</t>
        </is>
      </c>
      <c r="L1267" s="9" t="inlineStr">
        <is>
          <t>NonCritAvg</t>
        </is>
      </c>
      <c r="M1267" s="9" t="inlineStr">
        <is>
          <t>CritAvg</t>
        </is>
      </c>
      <c r="N1267" s="9" t="inlineStr">
        <is>
          <t>ExpectedDamage(perHit)</t>
        </is>
      </c>
      <c r="O1267" s="9" t="inlineStr">
        <is>
          <t>DPS</t>
        </is>
      </c>
      <c r="P1267" s="9" t="inlineStr">
        <is>
          <t>% of Total</t>
        </is>
      </c>
      <c r="R1267" t="inlineStr">
        <is>
          <t>helpers</t>
        </is>
      </c>
    </row>
    <row r="1268">
      <c r="A1268">
        <f>Skills!A2</f>
        <v/>
      </c>
      <c r="B1268">
        <f>Skills!B2</f>
        <v/>
      </c>
      <c r="C1268">
        <f>Inputs!$B$3&gt;=100</f>
        <v/>
      </c>
      <c r="D1268" t="inlineStr"/>
      <c r="E1268" t="inlineStr"/>
      <c r="F1268">
        <f>T1270+Skills!N2</f>
        <v/>
      </c>
      <c r="G1268">
        <f>Calc!G2</f>
        <v/>
      </c>
      <c r="H1268">
        <f>Calc!H2</f>
        <v/>
      </c>
      <c r="I1268">
        <f>IF(Skills!T2&lt;&gt;"",1+(Skills!T2/10)*($Z$3/1000)/100,1)</f>
        <v/>
      </c>
      <c r="J1268">
        <f>((Inputs!$B$6*(1+Inputs!$B$7/100))+(((Inputs!$B$13*(1+Inputs!$B$14/100))-(Inputs!$B$13*(1+Inputs!$B$14/100)))+0.25*(Inputs!$B$15-Inputs!$B$15))*(1+Inputs!$B$7/100))*(F1268/100)</f>
        <v/>
      </c>
      <c r="K1268">
        <f>J1268*(1+(((Inputs!$B$13+IF(Inputs!$B$3&gt;=35,(10*INDEX(FactorTable!$B$2:$Y$301, MATCH(ROUND(MIN(300,MAX(1,Inputs!$B$3)),0), FactorTable!$A$2:$A$301,0), 23)/1000)/100*(Inputs!$B$8*(1+(Inputs!$B$9+B1304)/100)),0))*(1+Inputs!$B$14/100))*0.01+Inputs!$B$15*0.0025)/100)*(1+(Inputs!$B$16+B1298)/100)*(1+IF(Inputs!$B$39="pvp",0,(1-Summary!$B$48)*(Inputs!$B$21+Skills!O2+B1296)+Summary!$B$48*(Inputs!$B$22+Skills!P2+B1297))/100)*(1+Inputs!$B$17/100)*(5000/(6000+Inputs!$B$43*(1-Inputs!$B$20/100)))*(1+Inputs!$B$25/100)*(1+IF(C1284=TRUE,F1284,0)/100)*(1+IF(C1286=TRUE,F1286,0)/100)*(1+IF(Skills!A2="TRIUMPH_FEATHER",IF(C1282=TRUE,F1282,0),0)/100)*(1+IF(C1293=TRUE,F1293,0)/100)^5*(1+(IF(Skills!A2="BIG_BANG",Inputs!$B$18,Inputs!$B$19))/100)*(B1295*I1268)</f>
        <v/>
      </c>
      <c r="L1268">
        <f>K1268*(MIN(Inputs!$B$23+(F1288-Calc!F22),Inputs!$B$24)/100+Inputs!$B$24/100)/2</f>
        <v/>
      </c>
      <c r="M1268">
        <f>L1268*(1+(Inputs!$B$11+B1299+(F1291-Calc!F25))/100)</f>
        <v/>
      </c>
      <c r="N1268">
        <f>L1268*(1-MIN(Inputs!$B$10+((F1290-Calc!F24)+(F1289-Calc!F23)),100)/100)+M1268*(MIN(Inputs!$B$10+((F1290-Calc!F24)+(F1289-Calc!F23)),100)/100)</f>
        <v/>
      </c>
      <c r="O1268">
        <f>IF(C1268,Skills!F2*N1268*B1303*IF(Inputs!$B$39="pvp",1,(1-Summary!$B$48)*(1)+Summary!$B$48*(MIN((6+Inputs!$B$34),Inputs!$B$38))),0)</f>
        <v/>
      </c>
      <c r="P1268">
        <f>IF(B1306=0,0,O1268/B1306)</f>
        <v/>
      </c>
      <c r="Q1268">
        <f>IFERROR(1/IF(Inputs!$B$39="pvp",15,MAX(0.1,Skills!D2-IF(Skills!E2=TRUE,1.5,0))),0)</f>
        <v/>
      </c>
      <c r="R1268" t="n">
        <v>0</v>
      </c>
      <c r="T1268">
        <f>MAX(0,(Inputs!$B$3-100)*3)+Inputs!$B$29+Inputs!$B$30</f>
        <v/>
      </c>
    </row>
    <row r="1269">
      <c r="A1269">
        <f>Skills!A3</f>
        <v/>
      </c>
      <c r="B1269">
        <f>Skills!B3</f>
        <v/>
      </c>
      <c r="C1269">
        <f>Inputs!$B$3&gt;=15</f>
        <v/>
      </c>
      <c r="D1269">
        <f>IF(Skills!C3=1,60+Inputs!$B$26+Inputs!$B$30,IF(Skills!C3=2,90+Inputs!$B$27+Inputs!$B$30,IF(Skills!C3=3,120+Inputs!$B$28+Inputs!$B$30,MAX(0,(Inputs!$B$3-100)*3)+Inputs!$B$29+Inputs!$B$30)))</f>
        <v/>
      </c>
      <c r="E1269">
        <f>INDEX(FactorTable!$B$2:$Y$301, MATCH(ROUND(MIN(300,MAX(1,D1269)),0), FactorTable!$A$2:$A$301,0), Skills!L3+1)</f>
        <v/>
      </c>
      <c r="F1269">
        <f>IF(Skills!M3=TRUE,(Skills!K3/10)*(E1269/1000),Skills!K3/10)+Skills!N3</f>
        <v/>
      </c>
      <c r="G1269">
        <f>Calc!G3</f>
        <v/>
      </c>
      <c r="H1269">
        <f>Calc!H3</f>
        <v/>
      </c>
      <c r="I1269">
        <f>IF(Skills!T3&lt;&gt;"",1+(Skills!T3/10)*($Z$3/1000)/100,1)</f>
        <v/>
      </c>
      <c r="J1269" t="inlineStr"/>
      <c r="K1269" t="inlineStr"/>
      <c r="L1269" t="inlineStr"/>
      <c r="M1269" t="inlineStr"/>
      <c r="N1269" t="inlineStr"/>
      <c r="O1269" t="n">
        <v>0</v>
      </c>
      <c r="P1269">
        <f>IF(B1306=0,0,O1269/B1306)</f>
        <v/>
      </c>
      <c r="Q1269">
        <f>IFERROR(1/IF(Inputs!$B$39="pvp",15,MAX(0.1,Skills!D3-IF(Skills!E3=TRUE,1.5,0))),0)</f>
        <v/>
      </c>
      <c r="R1269">
        <f>IF(AND(Inputs!$B$39&lt;&gt;"pvp",Inputs!$B$44&gt;0),IF(Inputs!$B$44&lt;=0,0,(INT(Inputs!$B$44/IF(Inputs!$B$39="pvp",15,MAX(0.1,Skills!D3-IF(Skills!E3=TRUE,1.5,0))))+1)),0)</f>
        <v/>
      </c>
      <c r="T1269">
        <f>INDEX(FactorTable!$B$2:$Y$301, MATCH(ROUND(MIN(300,MAX(1,T1268)),0), FactorTable!$A$2:$A$301,0), 22)</f>
        <v/>
      </c>
    </row>
    <row r="1270">
      <c r="A1270">
        <f>Skills!A4</f>
        <v/>
      </c>
      <c r="B1270">
        <f>Skills!B4</f>
        <v/>
      </c>
      <c r="C1270">
        <f>Inputs!$B$3&gt;=38</f>
        <v/>
      </c>
      <c r="D1270">
        <f>IF(Skills!C4=1,60+Inputs!$B$26+Inputs!$B$30,IF(Skills!C4=2,90+Inputs!$B$27+Inputs!$B$30,IF(Skills!C4=3,120+Inputs!$B$28+Inputs!$B$30,MAX(0,(Inputs!$B$3-100)*3)+Inputs!$B$29+Inputs!$B$30)))</f>
        <v/>
      </c>
      <c r="E1270">
        <f>INDEX(FactorTable!$B$2:$Y$301, MATCH(ROUND(MIN(300,MAX(1,D1270)),0), FactorTable!$A$2:$A$301,0), Skills!L4+1)</f>
        <v/>
      </c>
      <c r="F1270">
        <f>IF(Skills!M4=TRUE,(Skills!K4/10)*(E1270/1000),Skills!K4/10)+Skills!N4</f>
        <v/>
      </c>
      <c r="G1270">
        <f>Calc!G4</f>
        <v/>
      </c>
      <c r="H1270">
        <f>Calc!H4</f>
        <v/>
      </c>
      <c r="I1270">
        <f>IF(Skills!T4&lt;&gt;"",1+(Skills!T4/10)*($Z$3/1000)/100,1)</f>
        <v/>
      </c>
      <c r="J1270" t="inlineStr"/>
      <c r="K1270" t="inlineStr"/>
      <c r="L1270" t="inlineStr"/>
      <c r="M1270" t="inlineStr"/>
      <c r="N1270" t="inlineStr"/>
      <c r="O1270" t="n">
        <v>0</v>
      </c>
      <c r="P1270">
        <f>IF(B1306=0,0,O1270/B1306)</f>
        <v/>
      </c>
      <c r="Q1270">
        <f>IFERROR(1/IF(Inputs!$B$39="pvp",15,MAX(0.1,Skills!D4-IF(Skills!E4=TRUE,1.5,0))),0)</f>
        <v/>
      </c>
      <c r="R1270">
        <f>IF(AND(Inputs!$B$39&lt;&gt;"pvp",Inputs!$B$44&gt;0),IF(Inputs!$B$44&lt;=0,0,(INT(Inputs!$B$44/IF(Inputs!$B$39="pvp",15,MAX(0.1,Skills!D4-IF(Skills!E4=TRUE,1.5,0))))+1)),0)</f>
        <v/>
      </c>
      <c r="T1270">
        <f>290*T1269/1000</f>
        <v/>
      </c>
    </row>
    <row r="1271">
      <c r="A1271">
        <f>Skills!A5</f>
        <v/>
      </c>
      <c r="B1271">
        <f>Skills!B5</f>
        <v/>
      </c>
      <c r="C1271">
        <f>Inputs!$B$3&gt;=40</f>
        <v/>
      </c>
      <c r="D1271">
        <f>IF(Skills!C5=1,60+Inputs!$B$26+Inputs!$B$30,IF(Skills!C5=2,90+Inputs!$B$27+Inputs!$B$30,IF(Skills!C5=3,120+Inputs!$B$28+Inputs!$B$30,MAX(0,(Inputs!$B$3-100)*3)+Inputs!$B$29+Inputs!$B$30)))</f>
        <v/>
      </c>
      <c r="E1271">
        <f>INDEX(FactorTable!$B$2:$Y$301, MATCH(ROUND(MIN(300,MAX(1,D1271)),0), FactorTable!$A$2:$A$301,0), Skills!L5+1)</f>
        <v/>
      </c>
      <c r="F1271">
        <f>IF(Skills!M5=TRUE,(Skills!K5/10)*(E1271/1000),Skills!K5/10)+Skills!N5</f>
        <v/>
      </c>
      <c r="G1271">
        <f>Calc!G5</f>
        <v/>
      </c>
      <c r="H1271">
        <f>Calc!H5</f>
        <v/>
      </c>
      <c r="I1271">
        <f>IF(Skills!T5&lt;&gt;"",1+(Skills!T5/10)*($Z$3/1000)/100,1)</f>
        <v/>
      </c>
      <c r="J1271" t="inlineStr"/>
      <c r="K1271" t="inlineStr"/>
      <c r="L1271" t="inlineStr"/>
      <c r="M1271" t="inlineStr"/>
      <c r="N1271" t="inlineStr"/>
      <c r="O1271" t="n">
        <v>0</v>
      </c>
      <c r="P1271">
        <f>IF(B1306=0,0,O1271/B1306)</f>
        <v/>
      </c>
      <c r="Q1271">
        <f>IFERROR(1/IF(Inputs!$B$39="pvp",15,MAX(0.1,Skills!D5-IF(Skills!E5=TRUE,1.5,0))),0)</f>
        <v/>
      </c>
      <c r="R1271">
        <f>IF(AND(Inputs!$B$39&lt;&gt;"pvp",Inputs!$B$44&gt;0),IF(Inputs!$B$44&lt;=0,0,(INT(Inputs!$B$44/IF(Inputs!$B$39="pvp",15,MAX(0.1,Skills!D5-IF(Skills!E5=TRUE,1.5,0))))+1)),0)</f>
        <v/>
      </c>
    </row>
    <row r="1272">
      <c r="A1272">
        <f>Skills!A6</f>
        <v/>
      </c>
      <c r="B1272">
        <f>Skills!B6</f>
        <v/>
      </c>
      <c r="C1272">
        <f>Inputs!$B$3&gt;=103</f>
        <v/>
      </c>
      <c r="D1272">
        <f>IF(Skills!C6=1,60+Inputs!$B$26+Inputs!$B$30,IF(Skills!C6=2,90+Inputs!$B$27+Inputs!$B$30,IF(Skills!C6=3,120+Inputs!$B$28+Inputs!$B$30,MAX(0,(Inputs!$B$3-100)*3)+Inputs!$B$29+Inputs!$B$30)))</f>
        <v/>
      </c>
      <c r="E1272">
        <f>INDEX(FactorTable!$B$2:$Y$301, MATCH(ROUND(MIN(300,MAX(1,D1272)),0), FactorTable!$A$2:$A$301,0), Skills!L6+1)</f>
        <v/>
      </c>
      <c r="F1272">
        <f>IF(Skills!M6=TRUE,(Skills!K6/10)*(E1272/1000),Skills!K6/10)+Skills!N6</f>
        <v/>
      </c>
      <c r="G1272">
        <f>Calc!G6</f>
        <v/>
      </c>
      <c r="H1272">
        <f>Calc!H6</f>
        <v/>
      </c>
      <c r="I1272">
        <f>IF(Skills!T6&lt;&gt;"",1+(Skills!T6/10)*($Z$3/1000)/100,1)</f>
        <v/>
      </c>
      <c r="J1272">
        <f>((Inputs!$B$6*(1+Inputs!$B$7/100))+(((Inputs!$B$13*(1+Inputs!$B$14/100))-(Inputs!$B$13*(1+Inputs!$B$14/100)))+0.25*(Inputs!$B$15-Inputs!$B$15))*(1+Inputs!$B$7/100))*(F1272/100)</f>
        <v/>
      </c>
      <c r="K1272">
        <f>J1272*(1+(((Inputs!$B$13+IF(Inputs!$B$3&gt;=35,(10*INDEX(FactorTable!$B$2:$Y$301, MATCH(ROUND(MIN(300,MAX(1,Inputs!$B$3)),0), FactorTable!$A$2:$A$301,0), 23)/1000)/100*(Inputs!$B$8*(1+(Inputs!$B$9+B1304)/100)),0))*(1+Inputs!$B$14/100))*0.01+Inputs!$B$15*0.0025)/100)*(1+(Inputs!$B$16+B1298)/100)*(1+IF(Inputs!$B$39="pvp",0,(1-Summary!$B$48)*(Inputs!$B$21+Skills!O6+B1296)+Summary!$B$48*(Inputs!$B$22+Skills!P6+B1297))/100)*(1+Inputs!$B$17/100)*(5000/(6000+Inputs!$B$43*(1-Inputs!$B$20/100)))*(1+Inputs!$B$25/100)*(1+IF(C1284=TRUE,F1284,0)/100)*(1+IF(C1286=TRUE,F1286,0)/100)*(1+IF(Skills!A6="TRIUMPH_FEATHER",IF(C1282=TRUE,F1282,0),0)/100)*(1+IF(C1293=TRUE,F1293,0)/100)^5*(1+(IF(Skills!A6="BIG_BANG",Inputs!$B$18,Inputs!$B$19))/100)*(B1295*I1272)</f>
        <v/>
      </c>
      <c r="L1272">
        <f>K1272*(MIN(Inputs!$B$23+(F1288-Calc!F22),Inputs!$B$24)/100+Inputs!$B$24/100)/2</f>
        <v/>
      </c>
      <c r="M1272">
        <f>L1272*(1+(Inputs!$B$11+B1299+(F1291-Calc!F25))/100)</f>
        <v/>
      </c>
      <c r="N1272">
        <f>L1272*(1-MIN(Inputs!$B$10+((F1290-Calc!F24)+(F1289-Calc!F23)),100)/100)+M1272*(MIN(Inputs!$B$10+((F1290-Calc!F24)+(F1289-Calc!F23)),100)/100)</f>
        <v/>
      </c>
      <c r="O1272">
        <f>IF(C1272,H1272*N1272*IF(AND(Inputs!$B$39&lt;&gt;"pvp",Inputs!$B$44&gt;0),((Skills!F6*((R1272-1)*IF(Skills!G6&gt;0,Skills!H6/Skills!G6,1)+IF(Skills!G6&gt;0,MIN(Skills!H6,MAX(0,MAX(0,Inputs!$B$44-B1305)-((R1272-1)*IF(Inputs!$B$39="pvp",15,MAX(0.1,Skills!D6-IF(Skills!E6=TRUE,1.5,0))))))/Skills!G6,1)))/Inputs!$B$44),G1272*Q1272)*IF(Inputs!$B$39="pvp",1,(1-Summary!$B$48)*(1)+Summary!$B$48*(MIN(Skills!Q6,Inputs!$B$38))),0)</f>
        <v/>
      </c>
      <c r="P1272">
        <f>IF(B1306=0,0,O1272/B1306)</f>
        <v/>
      </c>
      <c r="Q1272">
        <f>IFERROR(1/IF(Inputs!$B$39="pvp",15,MAX(0.1,Skills!D6-IF(Skills!E6=TRUE,1.5,0))),0)</f>
        <v/>
      </c>
      <c r="R1272">
        <f>IF(AND(Inputs!$B$39&lt;&gt;"pvp",Inputs!$B$44&gt;0),IF(MAX(0,Inputs!$B$44-B1305)&lt;=0,0,(INT(MAX(0,Inputs!$B$44-B1305)/IF(Inputs!$B$39="pvp",15,MAX(0.1,Skills!D6-IF(Skills!E6=TRUE,1.5,0))))+1)),0)</f>
        <v/>
      </c>
    </row>
    <row r="1273">
      <c r="A1273">
        <f>Skills!A7</f>
        <v/>
      </c>
      <c r="B1273">
        <f>Skills!B7</f>
        <v/>
      </c>
      <c r="C1273">
        <f>Inputs!$B$3&gt;=122</f>
        <v/>
      </c>
      <c r="D1273">
        <f>IF(Skills!C7=1,60+Inputs!$B$26+Inputs!$B$30,IF(Skills!C7=2,90+Inputs!$B$27+Inputs!$B$30,IF(Skills!C7=3,120+Inputs!$B$28+Inputs!$B$30,MAX(0,(Inputs!$B$3-100)*3)+Inputs!$B$29+Inputs!$B$30)))</f>
        <v/>
      </c>
      <c r="E1273">
        <f>INDEX(FactorTable!$B$2:$Y$301, MATCH(ROUND(MIN(300,MAX(1,D1273)),0), FactorTable!$A$2:$A$301,0), Skills!L7+1)</f>
        <v/>
      </c>
      <c r="F1273">
        <f>IF(Skills!M7=TRUE,(Skills!K7/10)*(E1273/1000),Skills!K7/10)+Skills!N7</f>
        <v/>
      </c>
      <c r="G1273">
        <f>Calc!G7</f>
        <v/>
      </c>
      <c r="H1273">
        <f>Calc!H7</f>
        <v/>
      </c>
      <c r="I1273">
        <f>IF(Skills!T7&lt;&gt;"",1+(Skills!T7/10)*($Z$3/1000)/100,1)</f>
        <v/>
      </c>
      <c r="J1273">
        <f>((Inputs!$B$6*(1+Inputs!$B$7/100))+(((Inputs!$B$13*(1+Inputs!$B$14/100))-(Inputs!$B$13*(1+Inputs!$B$14/100)))+0.25*(Inputs!$B$15-Inputs!$B$15))*(1+Inputs!$B$7/100))*(F1273/100)</f>
        <v/>
      </c>
      <c r="K1273">
        <f>J1273*(1+(((Inputs!$B$13+IF(Inputs!$B$3&gt;=35,(10*INDEX(FactorTable!$B$2:$Y$301, MATCH(ROUND(MIN(300,MAX(1,Inputs!$B$3)),0), FactorTable!$A$2:$A$301,0), 23)/1000)/100*(Inputs!$B$8*(1+(Inputs!$B$9+B1304)/100)),0))*(1+Inputs!$B$14/100))*0.01+Inputs!$B$15*0.0025)/100)*(1+(Inputs!$B$16+B1298)/100)*(1+IF(Inputs!$B$39="pvp",0,(1-Summary!$B$48)*(Inputs!$B$21+Skills!O7+B1296)+Summary!$B$48*(Inputs!$B$22+Skills!P7+B1297))/100)*(1+Inputs!$B$17/100)*(5000/(6000+Inputs!$B$43*(1-Inputs!$B$20/100)))*(1+Inputs!$B$25/100)*(1+IF(C1284=TRUE,F1284,0)/100)*(1+IF(C1286=TRUE,F1286,0)/100)*(1+IF(Skills!A7="TRIUMPH_FEATHER",IF(C1282=TRUE,F1282,0),0)/100)*(1+IF(C1293=TRUE,F1293,0)/100)^5*(1+(IF(Skills!A7="BIG_BANG",Inputs!$B$18,Inputs!$B$19))/100)*(B1295*I1273)</f>
        <v/>
      </c>
      <c r="L1273">
        <f>K1273*(MIN(Inputs!$B$23+(F1288-Calc!F22),Inputs!$B$24)/100+Inputs!$B$24/100)/2</f>
        <v/>
      </c>
      <c r="M1273">
        <f>L1273*(1+(Inputs!$B$11+B1299+(F1291-Calc!F25))/100)</f>
        <v/>
      </c>
      <c r="N1273">
        <f>L1273*(1-MIN(Inputs!$B$10+((F1290-Calc!F24)+(F1289-Calc!F23)),100)/100)+M1273*(MIN(Inputs!$B$10+((F1290-Calc!F24)+(F1289-Calc!F23)),100)/100)</f>
        <v/>
      </c>
      <c r="O1273">
        <f>IF(C1273,H1273*N1273*IF(AND(Inputs!$B$39&lt;&gt;"pvp",Inputs!$B$44&gt;0),((Skills!F7*((R1273-1)*IF(Skills!G7&gt;0,Skills!H7/Skills!G7,1)+IF(Skills!G7&gt;0,MIN(Skills!H7,MAX(0,MAX(0,Inputs!$B$44-B1305)-((R1273-1)*IF(Inputs!$B$39="pvp",15,MAX(0.1,Skills!D7-IF(Skills!E6=TRUE,1.5,0))))))/Skills!G7,1)))/Inputs!$B$44),G1273*Q1273)*(1-Summary!$B$48),0)</f>
        <v/>
      </c>
      <c r="P1273">
        <f>IF(B1306=0,0,O1273/B1306)</f>
        <v/>
      </c>
      <c r="Q1273">
        <f>IFERROR(1/IF(Inputs!$B$39="pvp",15,MAX(0.1,Skills!D7-IF(Skills!E6=TRUE,1.5,0))),0)</f>
        <v/>
      </c>
      <c r="R1273">
        <f>IF(AND(Inputs!$B$39&lt;&gt;"pvp",Inputs!$B$44&gt;0),IF(MAX(0,Inputs!$B$44-B1305)&lt;=0,0,(INT(MAX(0,Inputs!$B$44-B1305)/IF(Inputs!$B$39="pvp",15,MAX(0.1,Skills!D7-IF(Skills!E6=TRUE,1.5,0))))+1)),0)</f>
        <v/>
      </c>
    </row>
    <row r="1274">
      <c r="A1274">
        <f>Skills!A8</f>
        <v/>
      </c>
      <c r="B1274">
        <f>Skills!B8</f>
        <v/>
      </c>
      <c r="C1274">
        <f>Inputs!$B$3&gt;=105</f>
        <v/>
      </c>
      <c r="D1274">
        <f>IF(Skills!C8=1,60+Inputs!$B$26+Inputs!$B$30,IF(Skills!C8=2,90+Inputs!$B$27+Inputs!$B$30,IF(Skills!C8=3,120+Inputs!$B$28+Inputs!$B$30,MAX(0,(Inputs!$B$3-100)*3)+Inputs!$B$29+Inputs!$B$30)))</f>
        <v/>
      </c>
      <c r="E1274">
        <f>INDEX(FactorTable!$B$2:$Y$301, MATCH(ROUND(MIN(300,MAX(1,D1274)),0), FactorTable!$A$2:$A$301,0), Skills!L8+1)</f>
        <v/>
      </c>
      <c r="F1274">
        <f>IF(Skills!M8=TRUE,(Skills!K8/10)*(E1274/1000),Skills!K8/10)+Skills!N8</f>
        <v/>
      </c>
      <c r="G1274">
        <f>Calc!G8</f>
        <v/>
      </c>
      <c r="H1274">
        <f>Calc!H8</f>
        <v/>
      </c>
      <c r="I1274">
        <f>IF(Skills!T8&lt;&gt;"",1+(Skills!T8/10)*($Z$3/1000)/100,1)</f>
        <v/>
      </c>
      <c r="J1274">
        <f>((Inputs!$B$6*(1+Inputs!$B$7/100))+(((Inputs!$B$13*(1+Inputs!$B$14/100))-(Inputs!$B$13*(1+Inputs!$B$14/100)))+0.25*(Inputs!$B$15-Inputs!$B$15))*(1+Inputs!$B$7/100))*(F1274/100)</f>
        <v/>
      </c>
      <c r="K1274">
        <f>J1274*(1+(((Inputs!$B$13+IF(Inputs!$B$3&gt;=35,(10*INDEX(FactorTable!$B$2:$Y$301, MATCH(ROUND(MIN(300,MAX(1,Inputs!$B$3)),0), FactorTable!$A$2:$A$301,0), 23)/1000)/100*(Inputs!$B$8*(1+(Inputs!$B$9+B1304)/100)),0))*(1+Inputs!$B$14/100))*0.01+Inputs!$B$15*0.0025)/100)*(1+(Inputs!$B$16+B1298)/100)*(1+IF(Inputs!$B$39="pvp",0,(1-Summary!$B$48)*(Inputs!$B$21+Skills!O8+B1296)+Summary!$B$48*(Inputs!$B$22+Skills!P8+B1297))/100)*(1+Inputs!$B$17/100)*(5000/(6000+Inputs!$B$43*(1-Inputs!$B$20/100)))*(1+Inputs!$B$25/100)*(1+IF(C1284=TRUE,F1284,0)/100)*(1+IF(C1286=TRUE,F1286,0)/100)*(1+IF(Skills!A8="TRIUMPH_FEATHER",IF(C1282=TRUE,F1282,0),0)/100)*(1+IF(C1293=TRUE,F1293,0)/100)^5*(1+(IF(Skills!A8="BIG_BANG",Inputs!$B$18,Inputs!$B$19))/100)*(B1295*I1274)</f>
        <v/>
      </c>
      <c r="L1274">
        <f>K1274*(MIN(Inputs!$B$23+(F1288-Calc!F22),Inputs!$B$24)/100+Inputs!$B$24/100)/2</f>
        <v/>
      </c>
      <c r="M1274">
        <f>L1274*(1+(Inputs!$B$11+B1299+(F1291-Calc!F25))/100)</f>
        <v/>
      </c>
      <c r="N1274">
        <f>L1274*(1-MIN(Inputs!$B$10+((F1290-Calc!F24)+(F1289-Calc!F23)),100)/100)+M1274*(MIN(Inputs!$B$10+((F1290-Calc!F24)+(F1289-Calc!F23)),100)/100)</f>
        <v/>
      </c>
      <c r="O1274">
        <f>IF(C1274,H1274*N1274*IF(AND(Inputs!$B$39&lt;&gt;"pvp",Inputs!$B$44&gt;0),((Skills!F8*((R1274-1)*IF(Skills!G8&gt;0,Skills!H8/Skills!G8,1)+IF(Skills!G8&gt;0,MIN(Skills!H8,MAX(0,MAX(0,Inputs!$B$44-B1305)-((R1274-1)*IF(Inputs!$B$39="pvp",15,MAX(0.1,Skills!D8-IF(Skills!E8=TRUE,1.5,0))))))/Skills!G8,1)))/Inputs!$B$44),G1274*Q1274)*IF(Inputs!$B$39="pvp",1,(1-Summary!$B$48)*(1)+Summary!$B$48*(MIN(Skills!Q8,Inputs!$B$38))),0)</f>
        <v/>
      </c>
      <c r="P1274">
        <f>IF(B1306=0,0,O1274/B1306)</f>
        <v/>
      </c>
      <c r="Q1274">
        <f>IFERROR(1/IF(Inputs!$B$39="pvp",15,MAX(0.1,Skills!D8-IF(Skills!E8=TRUE,1.5,0))),0)</f>
        <v/>
      </c>
      <c r="R1274">
        <f>IF(AND(Inputs!$B$39&lt;&gt;"pvp",Inputs!$B$44&gt;0),IF(MAX(0,Inputs!$B$44-B1305)&lt;=0,0,(INT(MAX(0,Inputs!$B$44-B1305)/IF(Inputs!$B$39="pvp",15,MAX(0.1,Skills!D8-IF(Skills!E8=TRUE,1.5,0))))+1)),0)</f>
        <v/>
      </c>
    </row>
    <row r="1275">
      <c r="A1275">
        <f>Skills!A9</f>
        <v/>
      </c>
      <c r="B1275">
        <f>Skills!B9</f>
        <v/>
      </c>
      <c r="C1275">
        <f>Inputs!$B$3&gt;=115</f>
        <v/>
      </c>
      <c r="D1275">
        <f>IF(Skills!C9=1,60+Inputs!$B$26+Inputs!$B$30,IF(Skills!C9=2,90+Inputs!$B$27+Inputs!$B$30,IF(Skills!C9=3,120+Inputs!$B$28+Inputs!$B$30,MAX(0,(Inputs!$B$3-100)*3)+Inputs!$B$29+Inputs!$B$30)))</f>
        <v/>
      </c>
      <c r="E1275">
        <f>INDEX(FactorTable!$B$2:$Y$301, MATCH(ROUND(MIN(300,MAX(1,D1275)),0), FactorTable!$A$2:$A$301,0), Skills!L9+1)</f>
        <v/>
      </c>
      <c r="F1275">
        <f>IF(Skills!M9=TRUE,(Skills!K9/10)*(E1275/1000),Skills!K9/10)+Skills!N9</f>
        <v/>
      </c>
      <c r="G1275">
        <f>Calc!G9</f>
        <v/>
      </c>
      <c r="H1275">
        <f>Calc!H9</f>
        <v/>
      </c>
      <c r="I1275">
        <f>IF(Skills!T9&lt;&gt;"",1+(Skills!T9/10)*($Z$3/1000)/100,1)</f>
        <v/>
      </c>
      <c r="J1275">
        <f>((Inputs!$B$6*(1+Inputs!$B$7/100))+(((Inputs!$B$13*(1+Inputs!$B$14/100))-(Inputs!$B$13*(1+Inputs!$B$14/100)))+0.25*(Inputs!$B$15-Inputs!$B$15))*(1+Inputs!$B$7/100))*(F1275/100)</f>
        <v/>
      </c>
      <c r="K1275">
        <f>J1275*(1+(((Inputs!$B$13+IF(Inputs!$B$3&gt;=35,(10*INDEX(FactorTable!$B$2:$Y$301, MATCH(ROUND(MIN(300,MAX(1,Inputs!$B$3)),0), FactorTable!$A$2:$A$301,0), 23)/1000)/100*(Inputs!$B$8*(1+(Inputs!$B$9+B1304)/100)),0))*(1+Inputs!$B$14/100))*0.01+Inputs!$B$15*0.0025)/100)*(1+(Inputs!$B$16+B1298)/100)*(1+IF(Inputs!$B$39="pvp",0,(1-Summary!$B$48)*(Inputs!$B$21+Skills!O9+B1296)+Summary!$B$48*(Inputs!$B$22+Skills!P9+B1297))/100)*(1+Inputs!$B$17/100)*(5000/(6000+Inputs!$B$43*(1-Inputs!$B$20/100)))*(1+Inputs!$B$25/100)*(1+IF(C1284=TRUE,F1284,0)/100)*(1+IF(C1286=TRUE,F1286,0)/100)*(1+IF(Skills!A9="TRIUMPH_FEATHER",IF(C1282=TRUE,F1282,0),0)/100)*(1+IF(C1293=TRUE,F1293,0)/100)^5*(1+(IF(Skills!A9="BIG_BANG",Inputs!$B$18,Inputs!$B$19))/100)*(B1295*I1275)</f>
        <v/>
      </c>
      <c r="L1275">
        <f>K1275*(MIN(Inputs!$B$23+(F1288-Calc!F22),Inputs!$B$24)/100+Inputs!$B$24/100)/2</f>
        <v/>
      </c>
      <c r="M1275">
        <f>L1275*(1+(Inputs!$B$11+B1299+(F1291-Calc!F25))/100)</f>
        <v/>
      </c>
      <c r="N1275">
        <f>L1275*(1-MIN(Inputs!$B$10+((F1290-Calc!F24)+(F1289-Calc!F23)),100)/100)+M1275*(MIN(Inputs!$B$10+((F1290-Calc!F24)+(F1289-Calc!F23)),100)/100)</f>
        <v/>
      </c>
      <c r="O1275">
        <f>IF(C1275,H1275*N1275*IF(AND(Inputs!$B$39&lt;&gt;"pvp",Inputs!$B$44&gt;0),((Skills!F9*((R1275-1)*IF(Skills!G9&gt;0,Skills!H9/Skills!G9,1)+IF(Skills!G9&gt;0,MIN(Skills!H9,MAX(0,MAX(0,Inputs!$B$44-B1305)-((R1275-1)*IF(Inputs!$B$39="pvp",15,MAX(0.1,Skills!D9-IF(Skills!E9=TRUE,1.5,0))))))/Skills!G9,1)))/Inputs!$B$44),G1275*Q1275)*IF(Inputs!$B$39="pvp",1,(1-Summary!$B$48)*(1)+Summary!$B$48*(MIN(Skills!Q9,Inputs!$B$38))),0)</f>
        <v/>
      </c>
      <c r="P1275">
        <f>IF(B1306=0,0,O1275/B1306)</f>
        <v/>
      </c>
      <c r="Q1275">
        <f>IFERROR(1/IF(Inputs!$B$39="pvp",15,MAX(0.1,Skills!D9-IF(Skills!E9=TRUE,1.5,0))),0)</f>
        <v/>
      </c>
      <c r="R1275">
        <f>IF(AND(Inputs!$B$39&lt;&gt;"pvp",Inputs!$B$44&gt;0),IF(MAX(0,Inputs!$B$44-B1305)&lt;=0,0,(INT(MAX(0,Inputs!$B$44-B1305)/IF(Inputs!$B$39="pvp",15,MAX(0.1,Skills!D9-IF(Skills!E9=TRUE,1.5,0))))+1)),0)</f>
        <v/>
      </c>
    </row>
    <row r="1276">
      <c r="A1276">
        <f>Skills!A10</f>
        <v/>
      </c>
      <c r="B1276">
        <f>Skills!B10</f>
        <v/>
      </c>
      <c r="C1276">
        <f>Inputs!$B$3&gt;=66</f>
        <v/>
      </c>
      <c r="D1276">
        <f>IF(Skills!C10=1,60+Inputs!$B$26+Inputs!$B$30,IF(Skills!C10=2,90+Inputs!$B$27+Inputs!$B$30,IF(Skills!C10=3,120+Inputs!$B$28+Inputs!$B$30,MAX(0,(Inputs!$B$3-100)*3)+Inputs!$B$29+Inputs!$B$30)))</f>
        <v/>
      </c>
      <c r="E1276">
        <f>INDEX(FactorTable!$B$2:$Y$301, MATCH(ROUND(MIN(300,MAX(1,D1276)),0), FactorTable!$A$2:$A$301,0), Skills!L10+1)</f>
        <v/>
      </c>
      <c r="F1276" t="n">
        <v>0</v>
      </c>
      <c r="G1276">
        <f>Calc!G10</f>
        <v/>
      </c>
      <c r="H1276">
        <f>Calc!H10</f>
        <v/>
      </c>
      <c r="I1276">
        <f>IF(Skills!T10&lt;&gt;"",1+(Skills!T10/10)*($Z$3/1000)/100,1)</f>
        <v/>
      </c>
      <c r="J1276" t="inlineStr"/>
      <c r="K1276" t="inlineStr"/>
      <c r="L1276" t="inlineStr"/>
      <c r="M1276" t="inlineStr"/>
      <c r="N1276" t="inlineStr"/>
      <c r="O1276" t="n">
        <v>0</v>
      </c>
      <c r="P1276">
        <f>IF(B1306=0,0,O1276/B1306)</f>
        <v/>
      </c>
      <c r="Q1276">
        <f>IFERROR(1/IF(Inputs!$B$39="pvp",15,MAX(0.1,Skills!D10-IF(Skills!E10=TRUE,1.5,0))),0)</f>
        <v/>
      </c>
      <c r="R1276">
        <f>IF(AND(Inputs!$B$39&lt;&gt;"pvp",Inputs!$B$44&gt;0),IF(MAX(0,Inputs!$B$44-B1305)&lt;=0,0,(INT(MAX(0,Inputs!$B$44-B1305)/IF(Inputs!$B$39="pvp",15,MAX(0.1,Skills!D10-IF(Skills!E10=TRUE,1.5,0))))+1)),0)</f>
        <v/>
      </c>
    </row>
    <row r="1277">
      <c r="A1277">
        <f>Skills!A11</f>
        <v/>
      </c>
      <c r="B1277">
        <f>Skills!B11</f>
        <v/>
      </c>
      <c r="C1277">
        <f>Inputs!$B$3&gt;=69</f>
        <v/>
      </c>
      <c r="D1277">
        <f>IF(Skills!C11=1,60+Inputs!$B$26+Inputs!$B$30,IF(Skills!C11=2,90+Inputs!$B$27+Inputs!$B$30,IF(Skills!C11=3,120+Inputs!$B$28+Inputs!$B$30,MAX(0,(Inputs!$B$3-100)*3)+Inputs!$B$29+Inputs!$B$30)))</f>
        <v/>
      </c>
      <c r="E1277">
        <f>INDEX(FactorTable!$B$2:$Y$301, MATCH(ROUND(MIN(300,MAX(1,D1277)),0), FactorTable!$A$2:$A$301,0), Skills!L11+1)</f>
        <v/>
      </c>
      <c r="F1277">
        <f>IF(Skills!M11=TRUE,(Skills!K11/10)*(E1277/1000),Skills!K11/10)+Skills!N11</f>
        <v/>
      </c>
      <c r="G1277">
        <f>Calc!G11</f>
        <v/>
      </c>
      <c r="H1277">
        <f>Calc!H11</f>
        <v/>
      </c>
      <c r="I1277">
        <f>IF(Skills!T11&lt;&gt;"",1+(Skills!T11/10)*($Z$3/1000)/100,1)</f>
        <v/>
      </c>
      <c r="J1277" t="inlineStr"/>
      <c r="K1277" t="inlineStr"/>
      <c r="L1277" t="inlineStr"/>
      <c r="M1277" t="inlineStr"/>
      <c r="N1277" t="inlineStr"/>
      <c r="O1277" t="n">
        <v>0</v>
      </c>
      <c r="P1277">
        <f>IF(B1306=0,0,O1277/B1306)</f>
        <v/>
      </c>
      <c r="Q1277">
        <f>IFERROR(1/IF(Inputs!$B$39="pvp",15,MAX(0.1,Skills!D11-IF(Skills!E11=TRUE,1.5,0))),0)</f>
        <v/>
      </c>
      <c r="R1277">
        <f>IF(AND(Inputs!$B$39&lt;&gt;"pvp",Inputs!$B$44&gt;0),IF(Inputs!$B$44&lt;=0,0,(INT(Inputs!$B$44/IF(Inputs!$B$39="pvp",15,MAX(0.1,Skills!D11-IF(Skills!E11=TRUE,1.5,0))))+1)),0)</f>
        <v/>
      </c>
    </row>
    <row r="1278">
      <c r="A1278">
        <f>Skills!A12</f>
        <v/>
      </c>
      <c r="B1278">
        <f>Skills!B12</f>
        <v/>
      </c>
      <c r="C1278">
        <f>Inputs!$B$3&gt;=72</f>
        <v/>
      </c>
      <c r="D1278">
        <f>IF(Skills!C12=1,60+Inputs!$B$26+Inputs!$B$30,IF(Skills!C12=2,90+Inputs!$B$27+Inputs!$B$30,IF(Skills!C12=3,120+Inputs!$B$28+Inputs!$B$30,MAX(0,(Inputs!$B$3-100)*3)+Inputs!$B$29+Inputs!$B$30)))</f>
        <v/>
      </c>
      <c r="E1278">
        <f>INDEX(FactorTable!$B$2:$Y$301, MATCH(ROUND(MIN(300,MAX(1,D1278)),0), FactorTable!$A$2:$A$301,0), Skills!L12+1)</f>
        <v/>
      </c>
      <c r="F1278">
        <f>IF(Skills!M12=TRUE,(Skills!K12/10)*(E1278/1000),Skills!K12/10)+Skills!N12</f>
        <v/>
      </c>
      <c r="G1278">
        <f>Calc!G12</f>
        <v/>
      </c>
      <c r="H1278">
        <f>Calc!H12</f>
        <v/>
      </c>
      <c r="I1278">
        <f>IF(Skills!T12&lt;&gt;"",1+(Skills!T12/10)*($Z$3/1000)/100,1)</f>
        <v/>
      </c>
      <c r="J1278" t="inlineStr"/>
      <c r="K1278" t="inlineStr"/>
      <c r="L1278" t="inlineStr"/>
      <c r="M1278" t="inlineStr"/>
      <c r="N1278" t="inlineStr"/>
      <c r="O1278" t="n">
        <v>0</v>
      </c>
      <c r="P1278">
        <f>IF(B1306=0,0,O1278/B1306)</f>
        <v/>
      </c>
      <c r="Q1278">
        <f>IFERROR(1/IF(Inputs!$B$39="pvp",15,MAX(0.1,Skills!D12-IF(Skills!E12=TRUE,1.5,0))),0)</f>
        <v/>
      </c>
      <c r="R1278">
        <f>IF(AND(Inputs!$B$39&lt;&gt;"pvp",Inputs!$B$44&gt;0),IF(MAX(0,Inputs!$B$44-B1305)&lt;=0,0,(INT(MAX(0,Inputs!$B$44-B1305)/IF(Inputs!$B$39="pvp",15,MAX(0.1,Skills!D12-IF(Skills!E12=TRUE,1.5,0))))+1)),0)</f>
        <v/>
      </c>
    </row>
    <row r="1279">
      <c r="A1279">
        <f>Skills!A13</f>
        <v/>
      </c>
      <c r="B1279">
        <f>Skills!B13</f>
        <v/>
      </c>
      <c r="C1279">
        <f>Inputs!$B$3&gt;=60</f>
        <v/>
      </c>
      <c r="D1279">
        <f>IF(Skills!C13=1,60+Inputs!$B$26+Inputs!$B$30,IF(Skills!C13=2,90+Inputs!$B$27+Inputs!$B$30,IF(Skills!C13=3,120+Inputs!$B$28+Inputs!$B$30,MAX(0,(Inputs!$B$3-100)*3)+Inputs!$B$29+Inputs!$B$30)))</f>
        <v/>
      </c>
      <c r="E1279">
        <f>INDEX(FactorTable!$B$2:$Y$301, MATCH(ROUND(MIN(300,MAX(1,D1279)),0), FactorTable!$A$2:$A$301,0), Skills!L13+1)</f>
        <v/>
      </c>
      <c r="F1279">
        <f>IF(Skills!M13=TRUE,(Skills!K13/10)*(E1279/1000),Skills!K13/10)+Skills!N13</f>
        <v/>
      </c>
      <c r="G1279">
        <f>Calc!G13</f>
        <v/>
      </c>
      <c r="H1279">
        <f>Calc!H13</f>
        <v/>
      </c>
      <c r="I1279">
        <f>IF(Skills!T13&lt;&gt;"",1+(Skills!T13/10)*($Z$3/1000)/100,1)</f>
        <v/>
      </c>
      <c r="J1279" t="inlineStr"/>
      <c r="K1279" t="inlineStr"/>
      <c r="L1279" t="inlineStr"/>
      <c r="M1279" t="inlineStr"/>
      <c r="N1279" t="inlineStr"/>
      <c r="O1279" t="n">
        <v>0</v>
      </c>
      <c r="P1279">
        <f>IF(B1306=0,0,O1279/B1306)</f>
        <v/>
      </c>
      <c r="Q1279">
        <f>IFERROR(1/IF(Inputs!$B$39="pvp",15,MAX(0.1,Skills!D13-IF(Skills!E13=TRUE,1.5,0))),0)</f>
        <v/>
      </c>
      <c r="R1279">
        <f>IF(AND(Inputs!$B$39&lt;&gt;"pvp",Inputs!$B$44&gt;0),IF(MAX(0,Inputs!$B$44-B1305)&lt;=0,0,(INT(MAX(0,Inputs!$B$44-B1305)/IF(Inputs!$B$39="pvp",15,MAX(0.1,Skills!D13-IF(Skills!E13=TRUE,1.5,0))))+1)),0)</f>
        <v/>
      </c>
    </row>
    <row r="1280">
      <c r="A1280">
        <f>Skills!A14</f>
        <v/>
      </c>
      <c r="B1280">
        <f>Skills!B14</f>
        <v/>
      </c>
      <c r="C1280">
        <f>Inputs!$B$3&gt;=107</f>
        <v/>
      </c>
      <c r="D1280">
        <f>IF(Skills!C14=1,60+Inputs!$B$26+Inputs!$B$30,IF(Skills!C14=2,90+Inputs!$B$27+Inputs!$B$30,IF(Skills!C14=3,120+Inputs!$B$28+Inputs!$B$30,MAX(0,(Inputs!$B$3-100)*3)+Inputs!$B$29+Inputs!$B$30)))</f>
        <v/>
      </c>
      <c r="E1280">
        <f>INDEX(FactorTable!$B$2:$Y$301, MATCH(ROUND(MIN(300,MAX(1,D1280)),0), FactorTable!$A$2:$A$301,0), Skills!L14+1)</f>
        <v/>
      </c>
      <c r="F1280">
        <f>IF(Skills!M14=TRUE,(Skills!K14/10)*(E1280/1000),Skills!K14/10)+Skills!N14</f>
        <v/>
      </c>
      <c r="G1280">
        <f>Calc!G14</f>
        <v/>
      </c>
      <c r="H1280">
        <f>Calc!H14</f>
        <v/>
      </c>
      <c r="I1280">
        <f>IF(Skills!T14&lt;&gt;"",1+(Skills!T14/10)*($Z$3/1000)/100,1)</f>
        <v/>
      </c>
      <c r="J1280" t="inlineStr"/>
      <c r="K1280" t="inlineStr"/>
      <c r="L1280" t="inlineStr"/>
      <c r="M1280" t="inlineStr"/>
      <c r="N1280" t="inlineStr"/>
      <c r="O1280" t="n">
        <v>0</v>
      </c>
      <c r="P1280">
        <f>IF(B1306=0,0,O1280/B1306)</f>
        <v/>
      </c>
      <c r="Q1280">
        <f>IFERROR(1/IF(Inputs!$B$39="pvp",15,MAX(0.1,Skills!D14-IF(Skills!E14=TRUE,1.5,0))),0)</f>
        <v/>
      </c>
      <c r="R1280">
        <f>IF(AND(Inputs!$B$39&lt;&gt;"pvp",Inputs!$B$44&gt;0),IF(Inputs!$B$44&lt;=0,0,(INT(Inputs!$B$44/IF(Inputs!$B$39="pvp",15,MAX(0.1,Skills!D14-IF(Skills!E14=TRUE,1.5,0))))+1)),0)</f>
        <v/>
      </c>
    </row>
    <row r="1281">
      <c r="A1281">
        <f>Skills!A15</f>
        <v/>
      </c>
      <c r="B1281">
        <f>Skills!B15</f>
        <v/>
      </c>
      <c r="C1281">
        <f>Inputs!$B$3&gt;=63</f>
        <v/>
      </c>
      <c r="D1281">
        <f>IF(Skills!C15=1,60+Inputs!$B$26+Inputs!$B$30,IF(Skills!C15=2,90+Inputs!$B$27+Inputs!$B$30,IF(Skills!C15=3,120+Inputs!$B$28+Inputs!$B$30,MAX(0,(Inputs!$B$3-100)*3)+Inputs!$B$29+Inputs!$B$30)))</f>
        <v/>
      </c>
      <c r="E1281">
        <f>INDEX(FactorTable!$B$2:$Y$301, MATCH(ROUND(MIN(300,MAX(1,D1281)),0), FactorTable!$A$2:$A$301,0), Skills!L15+1)</f>
        <v/>
      </c>
      <c r="F1281">
        <f>IF(Skills!M15=TRUE,(Skills!K15/10)*(E1281/1000),Skills!K15/10)+Skills!N15</f>
        <v/>
      </c>
      <c r="G1281">
        <f>Calc!G15</f>
        <v/>
      </c>
      <c r="H1281">
        <f>Calc!H15</f>
        <v/>
      </c>
      <c r="I1281">
        <f>IF(Skills!T15&lt;&gt;"",1+(Skills!T15/10)*($Z$3/1000)/100,1)</f>
        <v/>
      </c>
      <c r="J1281">
        <f>((Inputs!$B$6*(1+Inputs!$B$7/100))+(((Inputs!$B$13*(1+Inputs!$B$14/100))-(Inputs!$B$13*(1+Inputs!$B$14/100)))+0.25*(Inputs!$B$15-Inputs!$B$15))*(1+Inputs!$B$7/100))*(F1281/100)</f>
        <v/>
      </c>
      <c r="K1281">
        <f>J1281*(1+(((Inputs!$B$13+IF(Inputs!$B$3&gt;=35,(10*INDEX(FactorTable!$B$2:$Y$301, MATCH(ROUND(MIN(300,MAX(1,Inputs!$B$3)),0), FactorTable!$A$2:$A$301,0), 23)/1000)/100*(Inputs!$B$8*(1+(Inputs!$B$9+B1304)/100)),0))*(1+Inputs!$B$14/100))*0.01+Inputs!$B$15*0.0025)/100)*(1+(Inputs!$B$16+B1298)/100)*(1+IF(Inputs!$B$39="pvp",0,(1-Summary!$B$48)*(Inputs!$B$21+Skills!O15+B1296)+Summary!$B$48*(Inputs!$B$22+Skills!P15+B1297))/100)*(1+Inputs!$B$17/100)*(5000/(6000+Inputs!$B$43*(1-Inputs!$B$20/100)))*(1+Inputs!$B$25/100)*(1+IF(C1284=TRUE,F1284,0)/100)*(1+IF(C1286=TRUE,F1286,0)/100)*(1+IF(Skills!A15="TRIUMPH_FEATHER",IF(C1282=TRUE,F1282,0),0)/100)*(1+IF(C1293=TRUE,F1293,0)/100)^5*(1+(IF(Skills!A15="BIG_BANG",Inputs!$B$18,Inputs!$B$19))/100)*(B1295*I1281)</f>
        <v/>
      </c>
      <c r="L1281">
        <f>K1281*(MIN(Inputs!$B$23+(F1288-Calc!F22),Inputs!$B$24)/100+Inputs!$B$24/100)/2</f>
        <v/>
      </c>
      <c r="M1281">
        <f>L1281*(1+(Inputs!$B$11+B1299+(F1291-Calc!F25))/100)</f>
        <v/>
      </c>
      <c r="N1281">
        <f>L1281*(1-MIN(Inputs!$B$10+((F1290-Calc!F24)+(F1289-Calc!F23)),100)/100)+M1281*(MIN(Inputs!$B$10+((F1290-Calc!F24)+(F1289-Calc!F23)),100)/100)</f>
        <v/>
      </c>
      <c r="O1281">
        <f>IF(C1281,Skills!F15*N1281*((IF(Inputs!$B$3&gt;=78,25,15)/100*B1301*10)/(1+IF(Inputs!$B$3&gt;=78,25,15)/100*B1301*10))*(Skills!I15/100*B1301)/(1+Skills!G15*Skills!I15/100*B1301)*IF(Inputs!$B$39="pvp",1,(1-Summary!$B$48)*(1)+Summary!$B$48*(MIN(Skills!Q15,Inputs!$B$38))),0)</f>
        <v/>
      </c>
      <c r="P1281">
        <f>IF(B1306=0,0,O1281/B1306)</f>
        <v/>
      </c>
      <c r="Q1281">
        <f>IFERROR(1/IF(Inputs!$B$39="pvp",15,MAX(0.1,Skills!D15-IF(Skills!E15=TRUE,1.5,0))),0)</f>
        <v/>
      </c>
      <c r="R1281" t="n">
        <v>0</v>
      </c>
    </row>
    <row r="1282">
      <c r="A1282">
        <f>Skills!A16</f>
        <v/>
      </c>
      <c r="B1282">
        <f>Skills!B16</f>
        <v/>
      </c>
      <c r="C1282">
        <f>Inputs!$B$3&gt;=100</f>
        <v/>
      </c>
      <c r="D1282">
        <f>IF(Skills!C16=1,60+Inputs!$B$26+Inputs!$B$30,IF(Skills!C16=2,90+Inputs!$B$27+Inputs!$B$30,IF(Skills!C16=3,120+Inputs!$B$28+Inputs!$B$30,MAX(0,(Inputs!$B$3-100)*3)+Inputs!$B$29+Inputs!$B$30)))</f>
        <v/>
      </c>
      <c r="E1282">
        <f>INDEX(FactorTable!$B$2:$Y$301, MATCH(ROUND(MIN(300,MAX(1,D1282)),0), FactorTable!$A$2:$A$301,0), Skills!L16+1)</f>
        <v/>
      </c>
      <c r="F1282">
        <f>IF(Skills!M16=TRUE,(Skills!K16/10)*(E1282/1000),Skills!K16/10)+Skills!N16</f>
        <v/>
      </c>
      <c r="G1282">
        <f>Calc!G16</f>
        <v/>
      </c>
      <c r="H1282">
        <f>Calc!H16</f>
        <v/>
      </c>
      <c r="I1282">
        <f>IF(Skills!T16&lt;&gt;"",1+(Skills!T16/10)*($Z$3/1000)/100,1)</f>
        <v/>
      </c>
      <c r="J1282" t="inlineStr"/>
      <c r="K1282" t="inlineStr"/>
      <c r="L1282" t="inlineStr"/>
      <c r="M1282" t="inlineStr"/>
      <c r="N1282" t="inlineStr"/>
      <c r="O1282" t="n">
        <v>0</v>
      </c>
      <c r="P1282">
        <f>IF(B1306=0,0,O1282/B1306)</f>
        <v/>
      </c>
      <c r="Q1282">
        <f>IFERROR(1/IF(Inputs!$B$39="pvp",15,MAX(0.1,Skills!D16-IF(Skills!E16=TRUE,1.5,0))),0)</f>
        <v/>
      </c>
      <c r="R1282" t="n">
        <v>0</v>
      </c>
    </row>
    <row r="1283">
      <c r="A1283">
        <f>Skills!A17</f>
        <v/>
      </c>
      <c r="B1283">
        <f>Skills!B17</f>
        <v/>
      </c>
      <c r="C1283">
        <f>Inputs!$B$3&gt;=49</f>
        <v/>
      </c>
      <c r="D1283">
        <f>IF(Skills!C17=1,60+Inputs!$B$26+Inputs!$B$30,IF(Skills!C17=2,90+Inputs!$B$27+Inputs!$B$30,IF(Skills!C17=3,120+Inputs!$B$28+Inputs!$B$30,MAX(0,(Inputs!$B$3-100)*3)+Inputs!$B$29+Inputs!$B$30)))</f>
        <v/>
      </c>
      <c r="E1283">
        <f>INDEX(FactorTable!$B$2:$Y$301, MATCH(ROUND(MIN(300,MAX(1,D1283)),0), FactorTable!$A$2:$A$301,0), Skills!L17+1)</f>
        <v/>
      </c>
      <c r="F1283">
        <f>IF(Skills!M17=TRUE,(Skills!K17/10)*(E1283/1000),Skills!K17/10)+Skills!N17</f>
        <v/>
      </c>
      <c r="G1283">
        <f>Calc!G17</f>
        <v/>
      </c>
      <c r="H1283">
        <f>Calc!H17</f>
        <v/>
      </c>
      <c r="I1283">
        <f>IF(Skills!T17&lt;&gt;"",1+(Skills!T17/10)*($Z$3/1000)/100,1)</f>
        <v/>
      </c>
      <c r="J1283" t="inlineStr"/>
      <c r="K1283" t="inlineStr"/>
      <c r="L1283" t="inlineStr"/>
      <c r="M1283" t="inlineStr"/>
      <c r="N1283" t="inlineStr"/>
      <c r="O1283" t="n">
        <v>0</v>
      </c>
      <c r="P1283">
        <f>IF(B1306=0,0,O1283/B1306)</f>
        <v/>
      </c>
      <c r="Q1283">
        <f>IFERROR(1/IF(Inputs!$B$39="pvp",15,MAX(0.1,Skills!D17-IF(Skills!E17=TRUE,1.5,0))),0)</f>
        <v/>
      </c>
      <c r="R1283" t="n">
        <v>0</v>
      </c>
    </row>
    <row r="1284">
      <c r="A1284">
        <f>Skills!A18</f>
        <v/>
      </c>
      <c r="B1284">
        <f>Skills!B18</f>
        <v/>
      </c>
      <c r="C1284">
        <f>Inputs!$B$3&gt;=75</f>
        <v/>
      </c>
      <c r="D1284">
        <f>IF(Skills!C18=1,60+Inputs!$B$26+Inputs!$B$30,IF(Skills!C18=2,90+Inputs!$B$27+Inputs!$B$30,IF(Skills!C18=3,120+Inputs!$B$28+Inputs!$B$30,MAX(0,(Inputs!$B$3-100)*3)+Inputs!$B$29+Inputs!$B$30)))</f>
        <v/>
      </c>
      <c r="E1284">
        <f>INDEX(FactorTable!$B$2:$Y$301, MATCH(ROUND(MIN(300,MAX(1,D1284)),0), FactorTable!$A$2:$A$301,0), Skills!L18+1)</f>
        <v/>
      </c>
      <c r="F1284">
        <f>IF(Skills!M18=TRUE,(Skills!K18/10)*(E1284/1000),Skills!K18/10)+Skills!N18</f>
        <v/>
      </c>
      <c r="G1284">
        <f>Calc!G18</f>
        <v/>
      </c>
      <c r="H1284">
        <f>Calc!H18</f>
        <v/>
      </c>
      <c r="I1284">
        <f>IF(Skills!T18&lt;&gt;"",1+(Skills!T18/10)*($Z$3/1000)/100,1)</f>
        <v/>
      </c>
      <c r="J1284" t="inlineStr"/>
      <c r="K1284" t="inlineStr"/>
      <c r="L1284" t="inlineStr"/>
      <c r="M1284" t="inlineStr"/>
      <c r="N1284" t="inlineStr"/>
      <c r="O1284" t="n">
        <v>0</v>
      </c>
      <c r="P1284">
        <f>IF(B1306=0,0,O1284/B1306)</f>
        <v/>
      </c>
      <c r="Q1284">
        <f>IFERROR(1/IF(Inputs!$B$39="pvp",15,MAX(0.1,Skills!D18-IF(Skills!E18=TRUE,1.5,0))),0)</f>
        <v/>
      </c>
      <c r="R1284" t="n">
        <v>0</v>
      </c>
    </row>
    <row r="1285">
      <c r="A1285">
        <f>Skills!A19</f>
        <v/>
      </c>
      <c r="B1285">
        <f>Skills!B19</f>
        <v/>
      </c>
      <c r="C1285">
        <f>Inputs!$B$3&gt;=110</f>
        <v/>
      </c>
      <c r="D1285">
        <f>IF(Skills!C19=1,60+Inputs!$B$26+Inputs!$B$30,IF(Skills!C19=2,90+Inputs!$B$27+Inputs!$B$30,IF(Skills!C19=3,120+Inputs!$B$28+Inputs!$B$30,MAX(0,(Inputs!$B$3-100)*3)+Inputs!$B$29+Inputs!$B$30)))</f>
        <v/>
      </c>
      <c r="E1285">
        <f>INDEX(FactorTable!$B$2:$Y$301, MATCH(ROUND(MIN(300,MAX(1,D1285)),0), FactorTable!$A$2:$A$301,0), Skills!L19+1)</f>
        <v/>
      </c>
      <c r="F1285">
        <f>(Skills!K19/10)*(E1285/1000)*64/45+Skills!N19</f>
        <v/>
      </c>
      <c r="G1285">
        <f>Calc!G19</f>
        <v/>
      </c>
      <c r="H1285">
        <f>Calc!H19</f>
        <v/>
      </c>
      <c r="I1285">
        <f>IF(Skills!T19&lt;&gt;"",1+(Skills!T19/10)*($Z$3/1000)/100,1)</f>
        <v/>
      </c>
      <c r="J1285" t="inlineStr"/>
      <c r="K1285" t="inlineStr"/>
      <c r="L1285" t="inlineStr"/>
      <c r="M1285" t="inlineStr"/>
      <c r="N1285" t="inlineStr"/>
      <c r="O1285" t="n">
        <v>0</v>
      </c>
      <c r="P1285">
        <f>IF(B1306=0,0,O1285/B1306)</f>
        <v/>
      </c>
      <c r="Q1285">
        <f>IFERROR(1/IF(Inputs!$B$39="pvp",15,MAX(0.1,Skills!D19-IF(Skills!E19=TRUE,1.5,0))),0)</f>
        <v/>
      </c>
      <c r="R1285">
        <f>IF(AND(Inputs!$B$39&lt;&gt;"pvp",Inputs!$B$44&gt;0),IF(Inputs!$B$44&lt;=0,0,(INT(Inputs!$B$44/IF(Inputs!$B$39="pvp",15,MAX(0.1,Skills!D19-IF(Skills!E19=TRUE,1.5,0))))+1)),0)</f>
        <v/>
      </c>
    </row>
    <row r="1286">
      <c r="A1286">
        <f>Skills!A20</f>
        <v/>
      </c>
      <c r="B1286">
        <f>Skills!B20</f>
        <v/>
      </c>
      <c r="C1286">
        <f>Inputs!$B$3&gt;=125</f>
        <v/>
      </c>
      <c r="D1286">
        <f>IF(Skills!C20=1,60+Inputs!$B$26+Inputs!$B$30,IF(Skills!C20=2,90+Inputs!$B$27+Inputs!$B$30,IF(Skills!C20=3,120+Inputs!$B$28+Inputs!$B$30,MAX(0,(Inputs!$B$3-100)*3)+Inputs!$B$29+Inputs!$B$30)))</f>
        <v/>
      </c>
      <c r="E1286">
        <f>INDEX(FactorTable!$B$2:$Y$301, MATCH(ROUND(MIN(300,MAX(1,D1286)),0), FactorTable!$A$2:$A$301,0), Skills!L20+1)</f>
        <v/>
      </c>
      <c r="F1286">
        <f>IF(Skills!M20=TRUE,(Skills!K20/10)*(E1286/1000),Skills!K20/10)+Skills!N20</f>
        <v/>
      </c>
      <c r="G1286">
        <f>Calc!G20</f>
        <v/>
      </c>
      <c r="H1286">
        <f>Calc!H20</f>
        <v/>
      </c>
      <c r="I1286">
        <f>IF(Skills!T20&lt;&gt;"",1+(Skills!T20/10)*($Z$3/1000)/100,1)</f>
        <v/>
      </c>
      <c r="J1286" t="inlineStr"/>
      <c r="K1286" t="inlineStr"/>
      <c r="L1286" t="inlineStr"/>
      <c r="M1286" t="inlineStr"/>
      <c r="N1286" t="inlineStr"/>
      <c r="O1286" t="n">
        <v>0</v>
      </c>
      <c r="P1286">
        <f>IF(B1306=0,0,O1286/B1306)</f>
        <v/>
      </c>
      <c r="Q1286">
        <f>IFERROR(1/IF(Inputs!$B$39="pvp",15,MAX(0.1,Skills!D20-IF(Skills!E20=TRUE,1.5,0))),0)</f>
        <v/>
      </c>
      <c r="R1286" t="n">
        <v>0</v>
      </c>
    </row>
    <row r="1287">
      <c r="A1287">
        <f>Skills!A21</f>
        <v/>
      </c>
      <c r="B1287">
        <f>Skills!B21</f>
        <v/>
      </c>
      <c r="C1287">
        <f>Inputs!$B$3&gt;=33</f>
        <v/>
      </c>
      <c r="D1287">
        <f>IF(Skills!C21=1,60+Inputs!$B$26+Inputs!$B$30,IF(Skills!C21=2,90+Inputs!$B$27+Inputs!$B$30,IF(Skills!C21=3,120+Inputs!$B$28+Inputs!$B$30,MAX(0,(Inputs!$B$3-100)*3)+Inputs!$B$29+Inputs!$B$30)))</f>
        <v/>
      </c>
      <c r="E1287">
        <f>INDEX(FactorTable!$B$2:$Y$301, MATCH(ROUND(MIN(300,MAX(1,D1287)),0), FactorTable!$A$2:$A$301,0), Skills!L21+1)</f>
        <v/>
      </c>
      <c r="F1287">
        <f>IF(Skills!M21=TRUE,(Skills!K21/10)*(E1287/1000),Skills!K21/10)+Skills!N21</f>
        <v/>
      </c>
      <c r="G1287">
        <f>Calc!G21</f>
        <v/>
      </c>
      <c r="H1287">
        <f>Calc!H21</f>
        <v/>
      </c>
      <c r="I1287">
        <f>IF(Skills!T21&lt;&gt;"",1+(Skills!T21/10)*($Z$3/1000)/100,1)</f>
        <v/>
      </c>
      <c r="J1287" t="inlineStr"/>
      <c r="K1287" t="inlineStr"/>
      <c r="L1287" t="inlineStr"/>
      <c r="M1287" t="inlineStr"/>
      <c r="N1287" t="inlineStr"/>
      <c r="O1287" t="n">
        <v>0</v>
      </c>
      <c r="P1287">
        <f>IF(B1306=0,0,O1287/B1306)</f>
        <v/>
      </c>
      <c r="Q1287">
        <f>IFERROR(1/IF(Inputs!$B$39="pvp",15,MAX(0.1,Skills!D21-IF(Skills!E21=TRUE,1.5,0))),0)</f>
        <v/>
      </c>
      <c r="R1287" t="n">
        <v>0</v>
      </c>
    </row>
    <row r="1288">
      <c r="A1288">
        <f>Skills!A22</f>
        <v/>
      </c>
      <c r="B1288">
        <f>Skills!B22</f>
        <v/>
      </c>
      <c r="C1288">
        <f>Inputs!$B$3&gt;=43</f>
        <v/>
      </c>
      <c r="D1288">
        <f>IF(Skills!C22=1,60+Inputs!$B$26+Inputs!$B$30,IF(Skills!C22=2,90+Inputs!$B$27+Inputs!$B$30,IF(Skills!C22=3,120+Inputs!$B$28+Inputs!$B$30,MAX(0,(Inputs!$B$3-100)*3)+Inputs!$B$29+Inputs!$B$30)))</f>
        <v/>
      </c>
      <c r="E1288">
        <f>INDEX(FactorTable!$B$2:$Y$301, MATCH(ROUND(MIN(300,MAX(1,D1288)),0), FactorTable!$A$2:$A$301,0), Skills!L22+1)</f>
        <v/>
      </c>
      <c r="F1288">
        <f>IF(Skills!M22=TRUE,(Skills!K22/10)*(E1288/1000),Skills!K22/10)+Skills!N22</f>
        <v/>
      </c>
      <c r="G1288">
        <f>Calc!G22</f>
        <v/>
      </c>
      <c r="H1288">
        <f>Calc!H22</f>
        <v/>
      </c>
      <c r="I1288">
        <f>IF(Skills!T22&lt;&gt;"",1+(Skills!T22/10)*($Z$3/1000)/100,1)</f>
        <v/>
      </c>
      <c r="J1288" t="inlineStr"/>
      <c r="K1288" t="inlineStr"/>
      <c r="L1288" t="inlineStr"/>
      <c r="M1288" t="inlineStr"/>
      <c r="N1288" t="inlineStr"/>
      <c r="O1288" t="n">
        <v>0</v>
      </c>
      <c r="P1288">
        <f>IF(B1306=0,0,O1288/B1306)</f>
        <v/>
      </c>
      <c r="Q1288">
        <f>IFERROR(1/IF(Inputs!$B$39="pvp",15,MAX(0.1,Skills!D22-IF(Skills!E22=TRUE,1.5,0))),0)</f>
        <v/>
      </c>
      <c r="R1288" t="n">
        <v>0</v>
      </c>
    </row>
    <row r="1289">
      <c r="A1289">
        <f>Skills!A23</f>
        <v/>
      </c>
      <c r="B1289">
        <f>Skills!B23</f>
        <v/>
      </c>
      <c r="C1289">
        <f>Inputs!$B$3&gt;=50</f>
        <v/>
      </c>
      <c r="D1289">
        <f>IF(Skills!C23=1,60+Inputs!$B$26+Inputs!$B$30,IF(Skills!C23=2,90+Inputs!$B$27+Inputs!$B$30,IF(Skills!C23=3,120+Inputs!$B$28+Inputs!$B$30,MAX(0,(Inputs!$B$3-100)*3)+Inputs!$B$29+Inputs!$B$30)))</f>
        <v/>
      </c>
      <c r="E1289">
        <f>INDEX(FactorTable!$B$2:$Y$301, MATCH(ROUND(MIN(300,MAX(1,D1289)),0), FactorTable!$A$2:$A$301,0), Skills!L23+1)</f>
        <v/>
      </c>
      <c r="F1289">
        <f>IF(Skills!M23=TRUE,(Skills!K23/10)*(E1289/1000),Skills!K23/10)+Skills!N23</f>
        <v/>
      </c>
      <c r="G1289">
        <f>Calc!G23</f>
        <v/>
      </c>
      <c r="H1289">
        <f>Calc!H23</f>
        <v/>
      </c>
      <c r="I1289">
        <f>IF(Skills!T23&lt;&gt;"",1+(Skills!T23/10)*($Z$3/1000)/100,1)</f>
        <v/>
      </c>
      <c r="J1289" t="inlineStr"/>
      <c r="K1289" t="inlineStr"/>
      <c r="L1289" t="inlineStr"/>
      <c r="M1289" t="inlineStr"/>
      <c r="N1289" t="inlineStr"/>
      <c r="O1289" t="n">
        <v>0</v>
      </c>
      <c r="P1289">
        <f>IF(B1306=0,0,O1289/B1306)</f>
        <v/>
      </c>
      <c r="Q1289">
        <f>IFERROR(1/IF(Inputs!$B$39="pvp",15,MAX(0.1,Skills!D23-IF(Skills!E23=TRUE,1.5,0))),0)</f>
        <v/>
      </c>
      <c r="R1289" t="n">
        <v>0</v>
      </c>
    </row>
    <row r="1290">
      <c r="A1290">
        <f>Skills!A24</f>
        <v/>
      </c>
      <c r="B1290">
        <f>Skills!B24</f>
        <v/>
      </c>
      <c r="C1290">
        <f>Inputs!$B$3&gt;=74</f>
        <v/>
      </c>
      <c r="D1290">
        <f>IF(Skills!C24=1,60+Inputs!$B$26+Inputs!$B$30,IF(Skills!C24=2,90+Inputs!$B$27+Inputs!$B$30,IF(Skills!C24=3,120+Inputs!$B$28+Inputs!$B$30,MAX(0,(Inputs!$B$3-100)*3)+Inputs!$B$29+Inputs!$B$30)))</f>
        <v/>
      </c>
      <c r="E1290">
        <f>INDEX(FactorTable!$B$2:$Y$301, MATCH(ROUND(MIN(300,MAX(1,D1290)),0), FactorTable!$A$2:$A$301,0), Skills!L24+1)</f>
        <v/>
      </c>
      <c r="F1290">
        <f>IF(Skills!M24=TRUE,(Skills!K24/10)*(E1290/1000),Skills!K24/10)+Skills!N24</f>
        <v/>
      </c>
      <c r="G1290">
        <f>Calc!G24</f>
        <v/>
      </c>
      <c r="H1290">
        <f>Calc!H24</f>
        <v/>
      </c>
      <c r="I1290">
        <f>IF(Skills!T24&lt;&gt;"",1+(Skills!T24/10)*($Z$3/1000)/100,1)</f>
        <v/>
      </c>
      <c r="J1290" t="inlineStr"/>
      <c r="K1290" t="inlineStr"/>
      <c r="L1290" t="inlineStr"/>
      <c r="M1290" t="inlineStr"/>
      <c r="N1290" t="inlineStr"/>
      <c r="O1290" t="n">
        <v>0</v>
      </c>
      <c r="P1290">
        <f>IF(B1306=0,0,O1290/B1306)</f>
        <v/>
      </c>
      <c r="Q1290">
        <f>IFERROR(1/IF(Inputs!$B$39="pvp",15,MAX(0.1,Skills!D24-IF(Skills!E24=TRUE,1.5,0))),0)</f>
        <v/>
      </c>
      <c r="R1290" t="n">
        <v>0</v>
      </c>
    </row>
    <row r="1291">
      <c r="A1291">
        <f>Skills!A25</f>
        <v/>
      </c>
      <c r="B1291">
        <f>Skills!B25</f>
        <v/>
      </c>
      <c r="C1291">
        <f>Inputs!$B$3&gt;=74</f>
        <v/>
      </c>
      <c r="D1291">
        <f>IF(Skills!C25=1,60+Inputs!$B$26+Inputs!$B$30,IF(Skills!C25=2,90+Inputs!$B$27+Inputs!$B$30,IF(Skills!C25=3,120+Inputs!$B$28+Inputs!$B$30,MAX(0,(Inputs!$B$3-100)*3)+Inputs!$B$29+Inputs!$B$30)))</f>
        <v/>
      </c>
      <c r="E1291">
        <f>INDEX(FactorTable!$B$2:$Y$301, MATCH(ROUND(MIN(300,MAX(1,D1291)),0), FactorTable!$A$2:$A$301,0), Skills!L25+1)</f>
        <v/>
      </c>
      <c r="F1291">
        <f>IF(Skills!M25=TRUE,(Skills!K25/10)*(E1291/1000),Skills!K25/10)+Skills!N25</f>
        <v/>
      </c>
      <c r="G1291">
        <f>Calc!G25</f>
        <v/>
      </c>
      <c r="H1291">
        <f>Calc!H25</f>
        <v/>
      </c>
      <c r="I1291">
        <f>IF(Skills!T25&lt;&gt;"",1+(Skills!T25/10)*($Z$3/1000)/100,1)</f>
        <v/>
      </c>
      <c r="J1291" t="inlineStr"/>
      <c r="K1291" t="inlineStr"/>
      <c r="L1291" t="inlineStr"/>
      <c r="M1291" t="inlineStr"/>
      <c r="N1291" t="inlineStr"/>
      <c r="O1291" t="n">
        <v>0</v>
      </c>
      <c r="P1291">
        <f>IF(B1306=0,0,O1291/B1306)</f>
        <v/>
      </c>
      <c r="Q1291">
        <f>IFERROR(1/IF(Inputs!$B$39="pvp",15,MAX(0.1,Skills!D25-IF(Skills!E25=TRUE,1.5,0))),0)</f>
        <v/>
      </c>
      <c r="R1291" t="n">
        <v>0</v>
      </c>
    </row>
    <row r="1292">
      <c r="A1292">
        <f>Skills!A26</f>
        <v/>
      </c>
      <c r="B1292">
        <f>Skills!B26</f>
        <v/>
      </c>
      <c r="C1292">
        <f>Inputs!$B$3&gt;=117</f>
        <v/>
      </c>
      <c r="D1292">
        <f>IF(Skills!C26=1,60+Inputs!$B$26+Inputs!$B$30,IF(Skills!C26=2,90+Inputs!$B$27+Inputs!$B$30,IF(Skills!C26=3,120+Inputs!$B$28+Inputs!$B$30,MAX(0,(Inputs!$B$3-100)*3)+Inputs!$B$29+Inputs!$B$30)))</f>
        <v/>
      </c>
      <c r="E1292">
        <f>INDEX(FactorTable!$B$2:$Y$301, MATCH(ROUND(MIN(300,MAX(1,D1292)),0), FactorTable!$A$2:$A$301,0), Skills!L26+1)</f>
        <v/>
      </c>
      <c r="F1292">
        <f>IF(Skills!M26=TRUE,(Skills!K26/10)*(E1292/1000),Skills!K26/10)+Skills!N26</f>
        <v/>
      </c>
      <c r="G1292">
        <f>Calc!G26</f>
        <v/>
      </c>
      <c r="H1292">
        <f>Calc!H26</f>
        <v/>
      </c>
      <c r="I1292">
        <f>IF(Skills!T26&lt;&gt;"",1+(Skills!T26/10)*($Z$3/1000)/100,1)</f>
        <v/>
      </c>
      <c r="J1292" t="inlineStr"/>
      <c r="K1292" t="inlineStr"/>
      <c r="L1292" t="inlineStr"/>
      <c r="M1292" t="inlineStr"/>
      <c r="N1292" t="inlineStr"/>
      <c r="O1292" t="n">
        <v>0</v>
      </c>
      <c r="P1292">
        <f>IF(B1306=0,0,O1292/B1306)</f>
        <v/>
      </c>
      <c r="Q1292">
        <f>IFERROR(1/IF(Inputs!$B$39="pvp",15,MAX(0.1,Skills!D26-IF(Skills!E26=TRUE,1.5,0))),0)</f>
        <v/>
      </c>
      <c r="R1292" t="n">
        <v>0</v>
      </c>
    </row>
    <row r="1293">
      <c r="A1293">
        <f>Skills!A27</f>
        <v/>
      </c>
      <c r="B1293">
        <f>Skills!B27</f>
        <v/>
      </c>
      <c r="C1293">
        <f>Inputs!$B$3&gt;=120</f>
        <v/>
      </c>
      <c r="D1293">
        <f>IF(Skills!C27=1,60+Inputs!$B$26+Inputs!$B$30,IF(Skills!C27=2,90+Inputs!$B$27+Inputs!$B$30,IF(Skills!C27=3,120+Inputs!$B$28+Inputs!$B$30,MAX(0,(Inputs!$B$3-100)*3)+Inputs!$B$29+Inputs!$B$30)))</f>
        <v/>
      </c>
      <c r="E1293">
        <f>INDEX(FactorTable!$B$2:$Y$301, MATCH(ROUND(MIN(300,MAX(1,D1293)),0), FactorTable!$A$2:$A$301,0), Skills!L27+1)</f>
        <v/>
      </c>
      <c r="F1293">
        <f>IF(Skills!M27=TRUE,(Skills!K27/10)*(E1293/1000),Skills!K27/10)+Skills!N27</f>
        <v/>
      </c>
      <c r="G1293">
        <f>Calc!G27</f>
        <v/>
      </c>
      <c r="H1293">
        <f>Calc!H27</f>
        <v/>
      </c>
      <c r="I1293">
        <f>IF(Skills!T27&lt;&gt;"",1+(Skills!T27/10)*($Z$3/1000)/100,1)</f>
        <v/>
      </c>
      <c r="J1293" t="inlineStr"/>
      <c r="K1293" t="inlineStr"/>
      <c r="L1293" t="inlineStr"/>
      <c r="M1293" t="inlineStr"/>
      <c r="N1293" t="inlineStr"/>
      <c r="O1293" t="n">
        <v>0</v>
      </c>
      <c r="P1293">
        <f>IF(B1306=0,0,O1293/B1306)</f>
        <v/>
      </c>
      <c r="Q1293">
        <f>IFERROR(1/IF(Inputs!$B$39="pvp",15,MAX(0.1,Skills!D27-IF(Skills!E27=TRUE,1.5,0))),0)</f>
        <v/>
      </c>
      <c r="R1293" t="n">
        <v>0</v>
      </c>
    </row>
    <row r="1295">
      <c r="A1295" t="inlineStr">
        <is>
          <t>Average Buff Multiplier</t>
        </is>
      </c>
      <c r="B1295">
        <f>(1+(IF(C1269=TRUE,F1269*IF(AND(Inputs!$B$39&lt;&gt;"pvp",Inputs!$B$44&gt;0),(((R1269-1)*(Skills!S3*(1+(Inputs!$B$35+IF(Inputs!$B$3&gt;=117,F1292,0))/100))+MIN((Skills!S3*(1+(Inputs!$B$35+IF(Inputs!$B$3&gt;=117,F1292,0))/100)),MAX(0,Inputs!$B$44-((R1269-1)*Skills!D3))))/Inputs!$B$44),IF(Inputs!$B$39="pvp",MIN((Skills!S3*(1+(Inputs!$B$35+IF(Inputs!$B$3&gt;=117,F1292,0))/100)),15)/15,(Skills!S3*(1+(Inputs!$B$35+IF(Inputs!$B$3&gt;=117,F1292,0))/100))/Skills!D3)),0)+IF(C1270=TRUE,F1270*IF(AND(Inputs!$B$39&lt;&gt;"pvp",Inputs!$B$44&gt;0),(((R1270-1)*(Skills!S4*(1+(Inputs!$B$35+IF(Inputs!$B$3&gt;=117,F1292,0))/100))+MIN((Skills!S4*(1+(Inputs!$B$35+IF(Inputs!$B$3&gt;=117,F1292,0))/100)),MAX(0,Inputs!$B$44-((R1270-1)*Skills!D4))))/Inputs!$B$44),IF(Inputs!$B$39="pvp",MIN((Skills!S4*(1+(Inputs!$B$35+IF(Inputs!$B$3&gt;=117,F1292,0))/100)),15)/15,(Skills!S4*(1+(Inputs!$B$35+IF(Inputs!$B$3&gt;=117,F1292,0))/100))/Skills!D4)),0)+IF(C1271=TRUE,F1271*IF(AND(Inputs!$B$39&lt;&gt;"pvp",Inputs!$B$44&gt;0),(((R1271-1)*(Skills!S5*(1+(Inputs!$B$35+IF(Inputs!$B$3&gt;=117,F1292,0))/100))+MIN((Skills!S5*(1+(Inputs!$B$35+IF(Inputs!$B$3&gt;=117,F1292,0))/100)),MAX(0,Inputs!$B$44-((R1271-1)*Skills!D5))))/Inputs!$B$44),IF(Inputs!$B$39="pvp",MIN((Skills!S5*(1+(Inputs!$B$35+IF(Inputs!$B$3&gt;=117,F1292,0))/100)),15)/15,(Skills!S5*(1+(Inputs!$B$35+IF(Inputs!$B$3&gt;=117,F1292,0))/100))/Skills!D5)),0)+IF(C1277=TRUE,F1277*IF(AND(Inputs!$B$39&lt;&gt;"pvp",Inputs!$B$44&gt;0),(((R1277-1)*(Skills!S11*(1+(Inputs!$B$35+IF(Inputs!$B$3&gt;=117,F1292,0))/100))+MIN((Skills!S11*(1+(Inputs!$B$35+IF(Inputs!$B$3&gt;=117,F1292,0))/100)),MAX(0,Inputs!$B$44-((R1277-1)*Skills!D11))))/Inputs!$B$44),IF(Inputs!$B$39="pvp",MIN((Skills!S11*(1+(Inputs!$B$35+IF(Inputs!$B$3&gt;=117,F1292,0))/100)),15)/15,(Skills!S11*(1+(Inputs!$B$35+IF(Inputs!$B$3&gt;=117,F1292,0))/100))/Skills!D11)),0))/100)*IF(C1280=TRUE,(1+F1280*IF(AND(Inputs!$B$39&lt;&gt;"pvp",Inputs!$B$44&gt;0),(((R1280-1)*(Skills!S14*(1+(Inputs!$B$35+IF(Inputs!$B$3&gt;=117,F1292,0))/100))+MIN((Skills!S14*(1+(Inputs!$B$35+IF(Inputs!$B$3&gt;=117,F1292,0))/100)),MAX(0,Inputs!$B$44-((R1280-1)*Skills!D14))))/Inputs!$B$44),IF(Inputs!$B$39="pvp",MIN((Skills!S14*(1+(Inputs!$B$35+IF(Inputs!$B$3&gt;=117,F1292,0))/100)),15)/15,(Skills!S14*(1+(Inputs!$B$35+IF(Inputs!$B$3&gt;=117,F1292,0))/100))/Skills!D14))/100),1)*IF(C1285=TRUE,(1+F1285*IF(AND(Inputs!$B$39&lt;&gt;"pvp",Inputs!$B$44&gt;0),(((R1285-1)*(Skills!S19*(1+(Inputs!$B$35+IF(Inputs!$B$3&gt;=117,F1292,0))/100))+MIN((Skills!S19*(1+(Inputs!$B$35+IF(Inputs!$B$3&gt;=117,F1292,0))/100)),MAX(0,Inputs!$B$44-((R1285-1)*Skills!D19))))/Inputs!$B$44),IF(Inputs!$B$39="pvp",MIN((Skills!S19*(1+(Inputs!$B$35+IF(Inputs!$B$3&gt;=117,F1292,0))/100)),15)/15,(Skills!S19*(1+(Inputs!$B$35+IF(Inputs!$B$3&gt;=117,F1292,0))/100))/Skills!D19))/100),1)</f>
        <v/>
      </c>
    </row>
    <row r="1296">
      <c r="A1296" t="inlineStr">
        <is>
          <t>Monster Damage Taken Bonus % (Holy Fountain)</t>
        </is>
      </c>
      <c r="B1296">
        <f>IF(Inputs!$B$3&gt;=68,20*IF(Inputs!$B$39="pvp",MIN((15*(1+(Inputs!$B$35+IF(Inputs!$B$3&gt;=117,F1292,0))/100)),15)/15,(15*(1+(Inputs!$B$35+IF(Inputs!$B$3&gt;=117,F1292,0))/100))/Skills!D10),0)</f>
        <v/>
      </c>
    </row>
    <row r="1297">
      <c r="A1297" t="inlineStr">
        <is>
          <t>Normal Monster Damage Bonus % (Holy Symbol)</t>
        </is>
      </c>
      <c r="B1297">
        <f>IF(C1278=TRUE,F1278*IF(AND(Inputs!$B$39&lt;&gt;"pvp",Inputs!$B$44&gt;0),(((R1278-1)*(Skills!S12*(1+(Inputs!$B$35+IF(Inputs!$B$3&gt;=117,F1292,0))/100))+MIN((Skills!S12*(1+(Inputs!$B$35+IF(Inputs!$B$3&gt;=117,F1292,0))/100)),MAX(0,Inputs!$B$44-((R1278-1)*Skills!D12))))/Inputs!$B$44),IF(Inputs!$B$39="pvp",MIN((Skills!S12*(1+(Inputs!$B$35+IF(Inputs!$B$3&gt;=117,F1292,0))/100)),15)/15,(Skills!S12*(1+(Inputs!$B$35+IF(Inputs!$B$3&gt;=117,F1292,0))/100))/Skills!D12)),0)</f>
        <v/>
      </c>
    </row>
    <row r="1298">
      <c r="A1298" t="inlineStr">
        <is>
          <t>Damage % Bonus (Holy Symbol - Damage Boost)</t>
        </is>
      </c>
      <c r="B1298">
        <f>Skills!O12</f>
        <v/>
      </c>
    </row>
    <row r="1299">
      <c r="A1299" t="inlineStr">
        <is>
          <t>Crit Damage % Bonus (Blood of the Divine)</t>
        </is>
      </c>
      <c r="B1299">
        <f>4*IF(C1286=TRUE,F1286,0)</f>
        <v/>
      </c>
    </row>
    <row r="1300">
      <c r="A1300" t="inlineStr">
        <is>
          <t>Attack Speed Bonus %</t>
        </is>
      </c>
      <c r="B1300">
        <f>IF(C1283=TRUE,F1283+(F1287-Calc!F21),0)+IF(Inputs!$B$3&gt;=134,15,0)</f>
        <v/>
      </c>
    </row>
    <row r="1301">
      <c r="A1301" t="inlineStr">
        <is>
          <t>Actions Per Second</t>
        </is>
      </c>
      <c r="B1301">
        <f>1+MIN(150,150*(1-(1-Inputs!$B$12/150)*(1-B1300/150)))/100</f>
        <v/>
      </c>
    </row>
    <row r="1302">
      <c r="A1302" t="inlineStr">
        <is>
          <t>Skill + Buff Cast Rate</t>
        </is>
      </c>
      <c r="B1302">
        <f>IF(AND(Inputs!$B$39&lt;&gt;"pvp",Inputs!$B$44&gt;0),SUMPRODUCT((Skills!E2:E27=TRUE)*(C1268:C1293=TRUE)*R1268:R1293)/Inputs!$B$44,SUMPRODUCT((Skills!E2:E27=TRUE)*(C1268:C1293=TRUE)*Q1268:Q1293))</f>
        <v/>
      </c>
    </row>
    <row r="1303">
      <c r="A1303" t="inlineStr">
        <is>
          <t>Big Bang Casts Per Second</t>
        </is>
      </c>
      <c r="B1303">
        <f>MAX(0,B1301-B1302)</f>
        <v/>
      </c>
    </row>
    <row r="1304">
      <c r="A1304" t="inlineStr">
        <is>
          <t>Defense % Bonus (Divine Protection)</t>
        </is>
      </c>
      <c r="B1304">
        <f>IF(C1279=TRUE,F1279*IF(AND(Inputs!$B$39&lt;&gt;"pvp",Inputs!$B$44&gt;0),(((R1279-1)*(Skills!S13*(1+(Inputs!$B$35+IF(Inputs!$B$3&gt;=117,F1292,0))/100))+MIN((Skills!S13*(1+(Inputs!$B$35+IF(Inputs!$B$3&gt;=117,F1292,0))/100)),MAX(0,Inputs!$B$44-((R1279-1)*Skills!D13))))/Inputs!$B$44),IF(Inputs!$B$39="pvp",MIN((Skills!S13*(1+(Inputs!$B$35+IF(Inputs!$B$3&gt;=117,F1292,0))/100)),15)/15,(Skills!S13*(1+(Inputs!$B$35+IF(Inputs!$B$3&gt;=117,F1292,0))/100))/Skills!D13)),0)</f>
        <v/>
      </c>
    </row>
    <row r="1305">
      <c r="A1305" t="inlineStr">
        <is>
          <t>Buff-Casting Startup Delay (s, fixed-duration only)</t>
        </is>
      </c>
      <c r="B1305">
        <f>IF(AND(Inputs!$B$39&lt;&gt;"pvp",Inputs!$B$44&gt;0),SUMPRODUCT((Skills!S2:S27&gt;0)*(Skills!E2:E27=TRUE)*(C1268:C1293=TRUE))/B1301,0)</f>
        <v/>
      </c>
    </row>
    <row r="1306">
      <c r="A1306" s="5" t="inlineStr">
        <is>
          <t>TOTAL DPS</t>
        </is>
      </c>
      <c r="B1306" s="5">
        <f>SUM(O1268:O1293)</f>
        <v/>
      </c>
    </row>
    <row r="1308">
      <c r="A1308" s="5" t="inlineStr">
        <is>
          <t>Stat: CDR = 2.0s</t>
        </is>
      </c>
    </row>
    <row r="1309">
      <c r="A1309" s="9" t="inlineStr">
        <is>
          <t>Key</t>
        </is>
      </c>
      <c r="B1309" s="9" t="inlineStr">
        <is>
          <t>Name</t>
        </is>
      </c>
      <c r="C1309" s="9" t="inlineStr">
        <is>
          <t>Unlocked</t>
        </is>
      </c>
      <c r="D1309" s="9" t="inlineStr">
        <is>
          <t>InputLevel</t>
        </is>
      </c>
      <c r="E1309" s="9" t="inlineStr">
        <is>
          <t>Factor</t>
        </is>
      </c>
      <c r="F1309" s="9" t="inlineStr">
        <is>
          <t>CoefficientPercent</t>
        </is>
      </c>
      <c r="G1309" s="9" t="inlineStr">
        <is>
          <t>EffectiveHits</t>
        </is>
      </c>
      <c r="H1309" s="9" t="inlineStr">
        <is>
          <t>ProcProbability</t>
        </is>
      </c>
      <c r="I1309" s="9" t="inlineStr">
        <is>
          <t>MapleHeroMultiplier</t>
        </is>
      </c>
      <c r="J1309" s="9" t="inlineStr">
        <is>
          <t>BaseDamage</t>
        </is>
      </c>
      <c r="K1309" s="9" t="inlineStr">
        <is>
          <t>BaseHitDamage</t>
        </is>
      </c>
      <c r="L1309" s="9" t="inlineStr">
        <is>
          <t>NonCritAvg</t>
        </is>
      </c>
      <c r="M1309" s="9" t="inlineStr">
        <is>
          <t>CritAvg</t>
        </is>
      </c>
      <c r="N1309" s="9" t="inlineStr">
        <is>
          <t>ExpectedDamage(perHit)</t>
        </is>
      </c>
      <c r="O1309" s="9" t="inlineStr">
        <is>
          <t>DPS</t>
        </is>
      </c>
      <c r="P1309" s="9" t="inlineStr">
        <is>
          <t>% of Total</t>
        </is>
      </c>
      <c r="R1309" t="inlineStr">
        <is>
          <t>helpers</t>
        </is>
      </c>
    </row>
    <row r="1310">
      <c r="A1310">
        <f>Skills!A2</f>
        <v/>
      </c>
      <c r="B1310">
        <f>Skills!B2</f>
        <v/>
      </c>
      <c r="C1310">
        <f>Inputs!$B$3&gt;=100</f>
        <v/>
      </c>
      <c r="D1310" t="inlineStr"/>
      <c r="E1310" t="inlineStr"/>
      <c r="F1310">
        <f>T1312+Skills!N2</f>
        <v/>
      </c>
      <c r="G1310">
        <f>Calc!G2</f>
        <v/>
      </c>
      <c r="H1310">
        <f>Calc!H2</f>
        <v/>
      </c>
      <c r="I1310">
        <f>IF(Skills!T2&lt;&gt;"",1+(Skills!T2/10)*($Z$3/1000)/100,1)</f>
        <v/>
      </c>
      <c r="J1310">
        <f>((Inputs!$B$6*(1+Inputs!$B$7/100))+(((Inputs!$B$13*(1+Inputs!$B$14/100))-(Inputs!$B$13*(1+Inputs!$B$14/100)))+0.25*(Inputs!$B$15-Inputs!$B$15))*(1+Inputs!$B$7/100))*(F1310/100)</f>
        <v/>
      </c>
      <c r="K1310">
        <f>J1310*(1+(((Inputs!$B$13+IF(Inputs!$B$3&gt;=35,(10*INDEX(FactorTable!$B$2:$Y$301, MATCH(ROUND(MIN(300,MAX(1,Inputs!$B$3)),0), FactorTable!$A$2:$A$301,0), 23)/1000)/100*(Inputs!$B$8*(1+(Inputs!$B$9+B1346)/100)),0))*(1+Inputs!$B$14/100))*0.01+Inputs!$B$15*0.0025)/100)*(1+(Inputs!$B$16+B1340)/100)*(1+IF(Inputs!$B$39="pvp",0,(1-Summary!$B$48)*(Inputs!$B$21+Skills!O2+B1338)+Summary!$B$48*(Inputs!$B$22+Skills!P2+B1339))/100)*(1+Inputs!$B$17/100)*(5000/(6000+Inputs!$B$43*(1-Inputs!$B$20/100)))*(1+Inputs!$B$25/100)*(1+IF(C1326=TRUE,F1326,0)/100)*(1+IF(C1328=TRUE,F1328,0)/100)*(1+IF(Skills!A2="TRIUMPH_FEATHER",IF(C1324=TRUE,F1324,0),0)/100)*(1+IF(C1335=TRUE,F1335,0)/100)^5*(1+(IF(Skills!A2="BIG_BANG",Inputs!$B$18,Inputs!$B$19))/100)*(B1337*I1310)</f>
        <v/>
      </c>
      <c r="L1310">
        <f>K1310*(MIN(Inputs!$B$23+(F1330-Calc!F22),Inputs!$B$24)/100+Inputs!$B$24/100)/2</f>
        <v/>
      </c>
      <c r="M1310">
        <f>L1310*(1+(Inputs!$B$11+B1341+(F1333-Calc!F25))/100)</f>
        <v/>
      </c>
      <c r="N1310">
        <f>L1310*(1-MIN(Inputs!$B$10+((F1332-Calc!F24)+(F1331-Calc!F23)),100)/100)+M1310*(MIN(Inputs!$B$10+((F1332-Calc!F24)+(F1331-Calc!F23)),100)/100)</f>
        <v/>
      </c>
      <c r="O1310">
        <f>IF(C1310,Skills!F2*N1310*B1345*IF(Inputs!$B$39="pvp",1,(1-Summary!$B$48)*(1)+Summary!$B$48*(MIN((6+Inputs!$B$34),Inputs!$B$38))),0)</f>
        <v/>
      </c>
      <c r="P1310">
        <f>IF(B1348=0,0,O1310/B1348)</f>
        <v/>
      </c>
      <c r="Q1310">
        <f>IFERROR(1/IF(Inputs!$B$39="pvp",15,MAX(0.1,Skills!D2-IF(Skills!E2=TRUE,2.0,0))),0)</f>
        <v/>
      </c>
      <c r="R1310" t="n">
        <v>0</v>
      </c>
      <c r="T1310">
        <f>MAX(0,(Inputs!$B$3-100)*3)+Inputs!$B$29+Inputs!$B$30</f>
        <v/>
      </c>
    </row>
    <row r="1311">
      <c r="A1311">
        <f>Skills!A3</f>
        <v/>
      </c>
      <c r="B1311">
        <f>Skills!B3</f>
        <v/>
      </c>
      <c r="C1311">
        <f>Inputs!$B$3&gt;=15</f>
        <v/>
      </c>
      <c r="D1311">
        <f>IF(Skills!C3=1,60+Inputs!$B$26+Inputs!$B$30,IF(Skills!C3=2,90+Inputs!$B$27+Inputs!$B$30,IF(Skills!C3=3,120+Inputs!$B$28+Inputs!$B$30,MAX(0,(Inputs!$B$3-100)*3)+Inputs!$B$29+Inputs!$B$30)))</f>
        <v/>
      </c>
      <c r="E1311">
        <f>INDEX(FactorTable!$B$2:$Y$301, MATCH(ROUND(MIN(300,MAX(1,D1311)),0), FactorTable!$A$2:$A$301,0), Skills!L3+1)</f>
        <v/>
      </c>
      <c r="F1311">
        <f>IF(Skills!M3=TRUE,(Skills!K3/10)*(E1311/1000),Skills!K3/10)+Skills!N3</f>
        <v/>
      </c>
      <c r="G1311">
        <f>Calc!G3</f>
        <v/>
      </c>
      <c r="H1311">
        <f>Calc!H3</f>
        <v/>
      </c>
      <c r="I1311">
        <f>IF(Skills!T3&lt;&gt;"",1+(Skills!T3/10)*($Z$3/1000)/100,1)</f>
        <v/>
      </c>
      <c r="J1311" t="inlineStr"/>
      <c r="K1311" t="inlineStr"/>
      <c r="L1311" t="inlineStr"/>
      <c r="M1311" t="inlineStr"/>
      <c r="N1311" t="inlineStr"/>
      <c r="O1311" t="n">
        <v>0</v>
      </c>
      <c r="P1311">
        <f>IF(B1348=0,0,O1311/B1348)</f>
        <v/>
      </c>
      <c r="Q1311">
        <f>IFERROR(1/IF(Inputs!$B$39="pvp",15,MAX(0.1,Skills!D3-IF(Skills!E3=TRUE,2.0,0))),0)</f>
        <v/>
      </c>
      <c r="R1311">
        <f>IF(AND(Inputs!$B$39&lt;&gt;"pvp",Inputs!$B$44&gt;0),IF(Inputs!$B$44&lt;=0,0,(INT(Inputs!$B$44/IF(Inputs!$B$39="pvp",15,MAX(0.1,Skills!D3-IF(Skills!E3=TRUE,2.0,0))))+1)),0)</f>
        <v/>
      </c>
      <c r="T1311">
        <f>INDEX(FactorTable!$B$2:$Y$301, MATCH(ROUND(MIN(300,MAX(1,T1310)),0), FactorTable!$A$2:$A$301,0), 22)</f>
        <v/>
      </c>
    </row>
    <row r="1312">
      <c r="A1312">
        <f>Skills!A4</f>
        <v/>
      </c>
      <c r="B1312">
        <f>Skills!B4</f>
        <v/>
      </c>
      <c r="C1312">
        <f>Inputs!$B$3&gt;=38</f>
        <v/>
      </c>
      <c r="D1312">
        <f>IF(Skills!C4=1,60+Inputs!$B$26+Inputs!$B$30,IF(Skills!C4=2,90+Inputs!$B$27+Inputs!$B$30,IF(Skills!C4=3,120+Inputs!$B$28+Inputs!$B$30,MAX(0,(Inputs!$B$3-100)*3)+Inputs!$B$29+Inputs!$B$30)))</f>
        <v/>
      </c>
      <c r="E1312">
        <f>INDEX(FactorTable!$B$2:$Y$301, MATCH(ROUND(MIN(300,MAX(1,D1312)),0), FactorTable!$A$2:$A$301,0), Skills!L4+1)</f>
        <v/>
      </c>
      <c r="F1312">
        <f>IF(Skills!M4=TRUE,(Skills!K4/10)*(E1312/1000),Skills!K4/10)+Skills!N4</f>
        <v/>
      </c>
      <c r="G1312">
        <f>Calc!G4</f>
        <v/>
      </c>
      <c r="H1312">
        <f>Calc!H4</f>
        <v/>
      </c>
      <c r="I1312">
        <f>IF(Skills!T4&lt;&gt;"",1+(Skills!T4/10)*($Z$3/1000)/100,1)</f>
        <v/>
      </c>
      <c r="J1312" t="inlineStr"/>
      <c r="K1312" t="inlineStr"/>
      <c r="L1312" t="inlineStr"/>
      <c r="M1312" t="inlineStr"/>
      <c r="N1312" t="inlineStr"/>
      <c r="O1312" t="n">
        <v>0</v>
      </c>
      <c r="P1312">
        <f>IF(B1348=0,0,O1312/B1348)</f>
        <v/>
      </c>
      <c r="Q1312">
        <f>IFERROR(1/IF(Inputs!$B$39="pvp",15,MAX(0.1,Skills!D4-IF(Skills!E4=TRUE,2.0,0))),0)</f>
        <v/>
      </c>
      <c r="R1312">
        <f>IF(AND(Inputs!$B$39&lt;&gt;"pvp",Inputs!$B$44&gt;0),IF(Inputs!$B$44&lt;=0,0,(INT(Inputs!$B$44/IF(Inputs!$B$39="pvp",15,MAX(0.1,Skills!D4-IF(Skills!E4=TRUE,2.0,0))))+1)),0)</f>
        <v/>
      </c>
      <c r="T1312">
        <f>290*T1311/1000</f>
        <v/>
      </c>
    </row>
    <row r="1313">
      <c r="A1313">
        <f>Skills!A5</f>
        <v/>
      </c>
      <c r="B1313">
        <f>Skills!B5</f>
        <v/>
      </c>
      <c r="C1313">
        <f>Inputs!$B$3&gt;=40</f>
        <v/>
      </c>
      <c r="D1313">
        <f>IF(Skills!C5=1,60+Inputs!$B$26+Inputs!$B$30,IF(Skills!C5=2,90+Inputs!$B$27+Inputs!$B$30,IF(Skills!C5=3,120+Inputs!$B$28+Inputs!$B$30,MAX(0,(Inputs!$B$3-100)*3)+Inputs!$B$29+Inputs!$B$30)))</f>
        <v/>
      </c>
      <c r="E1313">
        <f>INDEX(FactorTable!$B$2:$Y$301, MATCH(ROUND(MIN(300,MAX(1,D1313)),0), FactorTable!$A$2:$A$301,0), Skills!L5+1)</f>
        <v/>
      </c>
      <c r="F1313">
        <f>IF(Skills!M5=TRUE,(Skills!K5/10)*(E1313/1000),Skills!K5/10)+Skills!N5</f>
        <v/>
      </c>
      <c r="G1313">
        <f>Calc!G5</f>
        <v/>
      </c>
      <c r="H1313">
        <f>Calc!H5</f>
        <v/>
      </c>
      <c r="I1313">
        <f>IF(Skills!T5&lt;&gt;"",1+(Skills!T5/10)*($Z$3/1000)/100,1)</f>
        <v/>
      </c>
      <c r="J1313" t="inlineStr"/>
      <c r="K1313" t="inlineStr"/>
      <c r="L1313" t="inlineStr"/>
      <c r="M1313" t="inlineStr"/>
      <c r="N1313" t="inlineStr"/>
      <c r="O1313" t="n">
        <v>0</v>
      </c>
      <c r="P1313">
        <f>IF(B1348=0,0,O1313/B1348)</f>
        <v/>
      </c>
      <c r="Q1313">
        <f>IFERROR(1/IF(Inputs!$B$39="pvp",15,MAX(0.1,Skills!D5-IF(Skills!E5=TRUE,2.0,0))),0)</f>
        <v/>
      </c>
      <c r="R1313">
        <f>IF(AND(Inputs!$B$39&lt;&gt;"pvp",Inputs!$B$44&gt;0),IF(Inputs!$B$44&lt;=0,0,(INT(Inputs!$B$44/IF(Inputs!$B$39="pvp",15,MAX(0.1,Skills!D5-IF(Skills!E5=TRUE,2.0,0))))+1)),0)</f>
        <v/>
      </c>
    </row>
    <row r="1314">
      <c r="A1314">
        <f>Skills!A6</f>
        <v/>
      </c>
      <c r="B1314">
        <f>Skills!B6</f>
        <v/>
      </c>
      <c r="C1314">
        <f>Inputs!$B$3&gt;=103</f>
        <v/>
      </c>
      <c r="D1314">
        <f>IF(Skills!C6=1,60+Inputs!$B$26+Inputs!$B$30,IF(Skills!C6=2,90+Inputs!$B$27+Inputs!$B$30,IF(Skills!C6=3,120+Inputs!$B$28+Inputs!$B$30,MAX(0,(Inputs!$B$3-100)*3)+Inputs!$B$29+Inputs!$B$30)))</f>
        <v/>
      </c>
      <c r="E1314">
        <f>INDEX(FactorTable!$B$2:$Y$301, MATCH(ROUND(MIN(300,MAX(1,D1314)),0), FactorTable!$A$2:$A$301,0), Skills!L6+1)</f>
        <v/>
      </c>
      <c r="F1314">
        <f>IF(Skills!M6=TRUE,(Skills!K6/10)*(E1314/1000),Skills!K6/10)+Skills!N6</f>
        <v/>
      </c>
      <c r="G1314">
        <f>Calc!G6</f>
        <v/>
      </c>
      <c r="H1314">
        <f>Calc!H6</f>
        <v/>
      </c>
      <c r="I1314">
        <f>IF(Skills!T6&lt;&gt;"",1+(Skills!T6/10)*($Z$3/1000)/100,1)</f>
        <v/>
      </c>
      <c r="J1314">
        <f>((Inputs!$B$6*(1+Inputs!$B$7/100))+(((Inputs!$B$13*(1+Inputs!$B$14/100))-(Inputs!$B$13*(1+Inputs!$B$14/100)))+0.25*(Inputs!$B$15-Inputs!$B$15))*(1+Inputs!$B$7/100))*(F1314/100)</f>
        <v/>
      </c>
      <c r="K1314">
        <f>J1314*(1+(((Inputs!$B$13+IF(Inputs!$B$3&gt;=35,(10*INDEX(FactorTable!$B$2:$Y$301, MATCH(ROUND(MIN(300,MAX(1,Inputs!$B$3)),0), FactorTable!$A$2:$A$301,0), 23)/1000)/100*(Inputs!$B$8*(1+(Inputs!$B$9+B1346)/100)),0))*(1+Inputs!$B$14/100))*0.01+Inputs!$B$15*0.0025)/100)*(1+(Inputs!$B$16+B1340)/100)*(1+IF(Inputs!$B$39="pvp",0,(1-Summary!$B$48)*(Inputs!$B$21+Skills!O6+B1338)+Summary!$B$48*(Inputs!$B$22+Skills!P6+B1339))/100)*(1+Inputs!$B$17/100)*(5000/(6000+Inputs!$B$43*(1-Inputs!$B$20/100)))*(1+Inputs!$B$25/100)*(1+IF(C1326=TRUE,F1326,0)/100)*(1+IF(C1328=TRUE,F1328,0)/100)*(1+IF(Skills!A6="TRIUMPH_FEATHER",IF(C1324=TRUE,F1324,0),0)/100)*(1+IF(C1335=TRUE,F1335,0)/100)^5*(1+(IF(Skills!A6="BIG_BANG",Inputs!$B$18,Inputs!$B$19))/100)*(B1337*I1314)</f>
        <v/>
      </c>
      <c r="L1314">
        <f>K1314*(MIN(Inputs!$B$23+(F1330-Calc!F22),Inputs!$B$24)/100+Inputs!$B$24/100)/2</f>
        <v/>
      </c>
      <c r="M1314">
        <f>L1314*(1+(Inputs!$B$11+B1341+(F1333-Calc!F25))/100)</f>
        <v/>
      </c>
      <c r="N1314">
        <f>L1314*(1-MIN(Inputs!$B$10+((F1332-Calc!F24)+(F1331-Calc!F23)),100)/100)+M1314*(MIN(Inputs!$B$10+((F1332-Calc!F24)+(F1331-Calc!F23)),100)/100)</f>
        <v/>
      </c>
      <c r="O1314">
        <f>IF(C1314,H1314*N1314*IF(AND(Inputs!$B$39&lt;&gt;"pvp",Inputs!$B$44&gt;0),((Skills!F6*((R1314-1)*IF(Skills!G6&gt;0,Skills!H6/Skills!G6,1)+IF(Skills!G6&gt;0,MIN(Skills!H6,MAX(0,MAX(0,Inputs!$B$44-B1347)-((R1314-1)*IF(Inputs!$B$39="pvp",15,MAX(0.1,Skills!D6-IF(Skills!E6=TRUE,2.0,0))))))/Skills!G6,1)))/Inputs!$B$44),G1314*Q1314)*IF(Inputs!$B$39="pvp",1,(1-Summary!$B$48)*(1)+Summary!$B$48*(MIN(Skills!Q6,Inputs!$B$38))),0)</f>
        <v/>
      </c>
      <c r="P1314">
        <f>IF(B1348=0,0,O1314/B1348)</f>
        <v/>
      </c>
      <c r="Q1314">
        <f>IFERROR(1/IF(Inputs!$B$39="pvp",15,MAX(0.1,Skills!D6-IF(Skills!E6=TRUE,2.0,0))),0)</f>
        <v/>
      </c>
      <c r="R1314">
        <f>IF(AND(Inputs!$B$39&lt;&gt;"pvp",Inputs!$B$44&gt;0),IF(MAX(0,Inputs!$B$44-B1347)&lt;=0,0,(INT(MAX(0,Inputs!$B$44-B1347)/IF(Inputs!$B$39="pvp",15,MAX(0.1,Skills!D6-IF(Skills!E6=TRUE,2.0,0))))+1)),0)</f>
        <v/>
      </c>
    </row>
    <row r="1315">
      <c r="A1315">
        <f>Skills!A7</f>
        <v/>
      </c>
      <c r="B1315">
        <f>Skills!B7</f>
        <v/>
      </c>
      <c r="C1315">
        <f>Inputs!$B$3&gt;=122</f>
        <v/>
      </c>
      <c r="D1315">
        <f>IF(Skills!C7=1,60+Inputs!$B$26+Inputs!$B$30,IF(Skills!C7=2,90+Inputs!$B$27+Inputs!$B$30,IF(Skills!C7=3,120+Inputs!$B$28+Inputs!$B$30,MAX(0,(Inputs!$B$3-100)*3)+Inputs!$B$29+Inputs!$B$30)))</f>
        <v/>
      </c>
      <c r="E1315">
        <f>INDEX(FactorTable!$B$2:$Y$301, MATCH(ROUND(MIN(300,MAX(1,D1315)),0), FactorTable!$A$2:$A$301,0), Skills!L7+1)</f>
        <v/>
      </c>
      <c r="F1315">
        <f>IF(Skills!M7=TRUE,(Skills!K7/10)*(E1315/1000),Skills!K7/10)+Skills!N7</f>
        <v/>
      </c>
      <c r="G1315">
        <f>Calc!G7</f>
        <v/>
      </c>
      <c r="H1315">
        <f>Calc!H7</f>
        <v/>
      </c>
      <c r="I1315">
        <f>IF(Skills!T7&lt;&gt;"",1+(Skills!T7/10)*($Z$3/1000)/100,1)</f>
        <v/>
      </c>
      <c r="J1315">
        <f>((Inputs!$B$6*(1+Inputs!$B$7/100))+(((Inputs!$B$13*(1+Inputs!$B$14/100))-(Inputs!$B$13*(1+Inputs!$B$14/100)))+0.25*(Inputs!$B$15-Inputs!$B$15))*(1+Inputs!$B$7/100))*(F1315/100)</f>
        <v/>
      </c>
      <c r="K1315">
        <f>J1315*(1+(((Inputs!$B$13+IF(Inputs!$B$3&gt;=35,(10*INDEX(FactorTable!$B$2:$Y$301, MATCH(ROUND(MIN(300,MAX(1,Inputs!$B$3)),0), FactorTable!$A$2:$A$301,0), 23)/1000)/100*(Inputs!$B$8*(1+(Inputs!$B$9+B1346)/100)),0))*(1+Inputs!$B$14/100))*0.01+Inputs!$B$15*0.0025)/100)*(1+(Inputs!$B$16+B1340)/100)*(1+IF(Inputs!$B$39="pvp",0,(1-Summary!$B$48)*(Inputs!$B$21+Skills!O7+B1338)+Summary!$B$48*(Inputs!$B$22+Skills!P7+B1339))/100)*(1+Inputs!$B$17/100)*(5000/(6000+Inputs!$B$43*(1-Inputs!$B$20/100)))*(1+Inputs!$B$25/100)*(1+IF(C1326=TRUE,F1326,0)/100)*(1+IF(C1328=TRUE,F1328,0)/100)*(1+IF(Skills!A7="TRIUMPH_FEATHER",IF(C1324=TRUE,F1324,0),0)/100)*(1+IF(C1335=TRUE,F1335,0)/100)^5*(1+(IF(Skills!A7="BIG_BANG",Inputs!$B$18,Inputs!$B$19))/100)*(B1337*I1315)</f>
        <v/>
      </c>
      <c r="L1315">
        <f>K1315*(MIN(Inputs!$B$23+(F1330-Calc!F22),Inputs!$B$24)/100+Inputs!$B$24/100)/2</f>
        <v/>
      </c>
      <c r="M1315">
        <f>L1315*(1+(Inputs!$B$11+B1341+(F1333-Calc!F25))/100)</f>
        <v/>
      </c>
      <c r="N1315">
        <f>L1315*(1-MIN(Inputs!$B$10+((F1332-Calc!F24)+(F1331-Calc!F23)),100)/100)+M1315*(MIN(Inputs!$B$10+((F1332-Calc!F24)+(F1331-Calc!F23)),100)/100)</f>
        <v/>
      </c>
      <c r="O1315">
        <f>IF(C1315,H1315*N1315*IF(AND(Inputs!$B$39&lt;&gt;"pvp",Inputs!$B$44&gt;0),((Skills!F7*((R1315-1)*IF(Skills!G7&gt;0,Skills!H7/Skills!G7,1)+IF(Skills!G7&gt;0,MIN(Skills!H7,MAX(0,MAX(0,Inputs!$B$44-B1347)-((R1315-1)*IF(Inputs!$B$39="pvp",15,MAX(0.1,Skills!D7-IF(Skills!E6=TRUE,2.0,0))))))/Skills!G7,1)))/Inputs!$B$44),G1315*Q1315)*(1-Summary!$B$48),0)</f>
        <v/>
      </c>
      <c r="P1315">
        <f>IF(B1348=0,0,O1315/B1348)</f>
        <v/>
      </c>
      <c r="Q1315">
        <f>IFERROR(1/IF(Inputs!$B$39="pvp",15,MAX(0.1,Skills!D7-IF(Skills!E6=TRUE,2.0,0))),0)</f>
        <v/>
      </c>
      <c r="R1315">
        <f>IF(AND(Inputs!$B$39&lt;&gt;"pvp",Inputs!$B$44&gt;0),IF(MAX(0,Inputs!$B$44-B1347)&lt;=0,0,(INT(MAX(0,Inputs!$B$44-B1347)/IF(Inputs!$B$39="pvp",15,MAX(0.1,Skills!D7-IF(Skills!E6=TRUE,2.0,0))))+1)),0)</f>
        <v/>
      </c>
    </row>
    <row r="1316">
      <c r="A1316">
        <f>Skills!A8</f>
        <v/>
      </c>
      <c r="B1316">
        <f>Skills!B8</f>
        <v/>
      </c>
      <c r="C1316">
        <f>Inputs!$B$3&gt;=105</f>
        <v/>
      </c>
      <c r="D1316">
        <f>IF(Skills!C8=1,60+Inputs!$B$26+Inputs!$B$30,IF(Skills!C8=2,90+Inputs!$B$27+Inputs!$B$30,IF(Skills!C8=3,120+Inputs!$B$28+Inputs!$B$30,MAX(0,(Inputs!$B$3-100)*3)+Inputs!$B$29+Inputs!$B$30)))</f>
        <v/>
      </c>
      <c r="E1316">
        <f>INDEX(FactorTable!$B$2:$Y$301, MATCH(ROUND(MIN(300,MAX(1,D1316)),0), FactorTable!$A$2:$A$301,0), Skills!L8+1)</f>
        <v/>
      </c>
      <c r="F1316">
        <f>IF(Skills!M8=TRUE,(Skills!K8/10)*(E1316/1000),Skills!K8/10)+Skills!N8</f>
        <v/>
      </c>
      <c r="G1316">
        <f>Calc!G8</f>
        <v/>
      </c>
      <c r="H1316">
        <f>Calc!H8</f>
        <v/>
      </c>
      <c r="I1316">
        <f>IF(Skills!T8&lt;&gt;"",1+(Skills!T8/10)*($Z$3/1000)/100,1)</f>
        <v/>
      </c>
      <c r="J1316">
        <f>((Inputs!$B$6*(1+Inputs!$B$7/100))+(((Inputs!$B$13*(1+Inputs!$B$14/100))-(Inputs!$B$13*(1+Inputs!$B$14/100)))+0.25*(Inputs!$B$15-Inputs!$B$15))*(1+Inputs!$B$7/100))*(F1316/100)</f>
        <v/>
      </c>
      <c r="K1316">
        <f>J1316*(1+(((Inputs!$B$13+IF(Inputs!$B$3&gt;=35,(10*INDEX(FactorTable!$B$2:$Y$301, MATCH(ROUND(MIN(300,MAX(1,Inputs!$B$3)),0), FactorTable!$A$2:$A$301,0), 23)/1000)/100*(Inputs!$B$8*(1+(Inputs!$B$9+B1346)/100)),0))*(1+Inputs!$B$14/100))*0.01+Inputs!$B$15*0.0025)/100)*(1+(Inputs!$B$16+B1340)/100)*(1+IF(Inputs!$B$39="pvp",0,(1-Summary!$B$48)*(Inputs!$B$21+Skills!O8+B1338)+Summary!$B$48*(Inputs!$B$22+Skills!P8+B1339))/100)*(1+Inputs!$B$17/100)*(5000/(6000+Inputs!$B$43*(1-Inputs!$B$20/100)))*(1+Inputs!$B$25/100)*(1+IF(C1326=TRUE,F1326,0)/100)*(1+IF(C1328=TRUE,F1328,0)/100)*(1+IF(Skills!A8="TRIUMPH_FEATHER",IF(C1324=TRUE,F1324,0),0)/100)*(1+IF(C1335=TRUE,F1335,0)/100)^5*(1+(IF(Skills!A8="BIG_BANG",Inputs!$B$18,Inputs!$B$19))/100)*(B1337*I1316)</f>
        <v/>
      </c>
      <c r="L1316">
        <f>K1316*(MIN(Inputs!$B$23+(F1330-Calc!F22),Inputs!$B$24)/100+Inputs!$B$24/100)/2</f>
        <v/>
      </c>
      <c r="M1316">
        <f>L1316*(1+(Inputs!$B$11+B1341+(F1333-Calc!F25))/100)</f>
        <v/>
      </c>
      <c r="N1316">
        <f>L1316*(1-MIN(Inputs!$B$10+((F1332-Calc!F24)+(F1331-Calc!F23)),100)/100)+M1316*(MIN(Inputs!$B$10+((F1332-Calc!F24)+(F1331-Calc!F23)),100)/100)</f>
        <v/>
      </c>
      <c r="O1316">
        <f>IF(C1316,H1316*N1316*IF(AND(Inputs!$B$39&lt;&gt;"pvp",Inputs!$B$44&gt;0),((Skills!F8*((R1316-1)*IF(Skills!G8&gt;0,Skills!H8/Skills!G8,1)+IF(Skills!G8&gt;0,MIN(Skills!H8,MAX(0,MAX(0,Inputs!$B$44-B1347)-((R1316-1)*IF(Inputs!$B$39="pvp",15,MAX(0.1,Skills!D8-IF(Skills!E8=TRUE,2.0,0))))))/Skills!G8,1)))/Inputs!$B$44),G1316*Q1316)*IF(Inputs!$B$39="pvp",1,(1-Summary!$B$48)*(1)+Summary!$B$48*(MIN(Skills!Q8,Inputs!$B$38))),0)</f>
        <v/>
      </c>
      <c r="P1316">
        <f>IF(B1348=0,0,O1316/B1348)</f>
        <v/>
      </c>
      <c r="Q1316">
        <f>IFERROR(1/IF(Inputs!$B$39="pvp",15,MAX(0.1,Skills!D8-IF(Skills!E8=TRUE,2.0,0))),0)</f>
        <v/>
      </c>
      <c r="R1316">
        <f>IF(AND(Inputs!$B$39&lt;&gt;"pvp",Inputs!$B$44&gt;0),IF(MAX(0,Inputs!$B$44-B1347)&lt;=0,0,(INT(MAX(0,Inputs!$B$44-B1347)/IF(Inputs!$B$39="pvp",15,MAX(0.1,Skills!D8-IF(Skills!E8=TRUE,2.0,0))))+1)),0)</f>
        <v/>
      </c>
    </row>
    <row r="1317">
      <c r="A1317">
        <f>Skills!A9</f>
        <v/>
      </c>
      <c r="B1317">
        <f>Skills!B9</f>
        <v/>
      </c>
      <c r="C1317">
        <f>Inputs!$B$3&gt;=115</f>
        <v/>
      </c>
      <c r="D1317">
        <f>IF(Skills!C9=1,60+Inputs!$B$26+Inputs!$B$30,IF(Skills!C9=2,90+Inputs!$B$27+Inputs!$B$30,IF(Skills!C9=3,120+Inputs!$B$28+Inputs!$B$30,MAX(0,(Inputs!$B$3-100)*3)+Inputs!$B$29+Inputs!$B$30)))</f>
        <v/>
      </c>
      <c r="E1317">
        <f>INDEX(FactorTable!$B$2:$Y$301, MATCH(ROUND(MIN(300,MAX(1,D1317)),0), FactorTable!$A$2:$A$301,0), Skills!L9+1)</f>
        <v/>
      </c>
      <c r="F1317">
        <f>IF(Skills!M9=TRUE,(Skills!K9/10)*(E1317/1000),Skills!K9/10)+Skills!N9</f>
        <v/>
      </c>
      <c r="G1317">
        <f>Calc!G9</f>
        <v/>
      </c>
      <c r="H1317">
        <f>Calc!H9</f>
        <v/>
      </c>
      <c r="I1317">
        <f>IF(Skills!T9&lt;&gt;"",1+(Skills!T9/10)*($Z$3/1000)/100,1)</f>
        <v/>
      </c>
      <c r="J1317">
        <f>((Inputs!$B$6*(1+Inputs!$B$7/100))+(((Inputs!$B$13*(1+Inputs!$B$14/100))-(Inputs!$B$13*(1+Inputs!$B$14/100)))+0.25*(Inputs!$B$15-Inputs!$B$15))*(1+Inputs!$B$7/100))*(F1317/100)</f>
        <v/>
      </c>
      <c r="K1317">
        <f>J1317*(1+(((Inputs!$B$13+IF(Inputs!$B$3&gt;=35,(10*INDEX(FactorTable!$B$2:$Y$301, MATCH(ROUND(MIN(300,MAX(1,Inputs!$B$3)),0), FactorTable!$A$2:$A$301,0), 23)/1000)/100*(Inputs!$B$8*(1+(Inputs!$B$9+B1346)/100)),0))*(1+Inputs!$B$14/100))*0.01+Inputs!$B$15*0.0025)/100)*(1+(Inputs!$B$16+B1340)/100)*(1+IF(Inputs!$B$39="pvp",0,(1-Summary!$B$48)*(Inputs!$B$21+Skills!O9+B1338)+Summary!$B$48*(Inputs!$B$22+Skills!P9+B1339))/100)*(1+Inputs!$B$17/100)*(5000/(6000+Inputs!$B$43*(1-Inputs!$B$20/100)))*(1+Inputs!$B$25/100)*(1+IF(C1326=TRUE,F1326,0)/100)*(1+IF(C1328=TRUE,F1328,0)/100)*(1+IF(Skills!A9="TRIUMPH_FEATHER",IF(C1324=TRUE,F1324,0),0)/100)*(1+IF(C1335=TRUE,F1335,0)/100)^5*(1+(IF(Skills!A9="BIG_BANG",Inputs!$B$18,Inputs!$B$19))/100)*(B1337*I1317)</f>
        <v/>
      </c>
      <c r="L1317">
        <f>K1317*(MIN(Inputs!$B$23+(F1330-Calc!F22),Inputs!$B$24)/100+Inputs!$B$24/100)/2</f>
        <v/>
      </c>
      <c r="M1317">
        <f>L1317*(1+(Inputs!$B$11+B1341+(F1333-Calc!F25))/100)</f>
        <v/>
      </c>
      <c r="N1317">
        <f>L1317*(1-MIN(Inputs!$B$10+((F1332-Calc!F24)+(F1331-Calc!F23)),100)/100)+M1317*(MIN(Inputs!$B$10+((F1332-Calc!F24)+(F1331-Calc!F23)),100)/100)</f>
        <v/>
      </c>
      <c r="O1317">
        <f>IF(C1317,H1317*N1317*IF(AND(Inputs!$B$39&lt;&gt;"pvp",Inputs!$B$44&gt;0),((Skills!F9*((R1317-1)*IF(Skills!G9&gt;0,Skills!H9/Skills!G9,1)+IF(Skills!G9&gt;0,MIN(Skills!H9,MAX(0,MAX(0,Inputs!$B$44-B1347)-((R1317-1)*IF(Inputs!$B$39="pvp",15,MAX(0.1,Skills!D9-IF(Skills!E9=TRUE,2.0,0))))))/Skills!G9,1)))/Inputs!$B$44),G1317*Q1317)*IF(Inputs!$B$39="pvp",1,(1-Summary!$B$48)*(1)+Summary!$B$48*(MIN(Skills!Q9,Inputs!$B$38))),0)</f>
        <v/>
      </c>
      <c r="P1317">
        <f>IF(B1348=0,0,O1317/B1348)</f>
        <v/>
      </c>
      <c r="Q1317">
        <f>IFERROR(1/IF(Inputs!$B$39="pvp",15,MAX(0.1,Skills!D9-IF(Skills!E9=TRUE,2.0,0))),0)</f>
        <v/>
      </c>
      <c r="R1317">
        <f>IF(AND(Inputs!$B$39&lt;&gt;"pvp",Inputs!$B$44&gt;0),IF(MAX(0,Inputs!$B$44-B1347)&lt;=0,0,(INT(MAX(0,Inputs!$B$44-B1347)/IF(Inputs!$B$39="pvp",15,MAX(0.1,Skills!D9-IF(Skills!E9=TRUE,2.0,0))))+1)),0)</f>
        <v/>
      </c>
    </row>
    <row r="1318">
      <c r="A1318">
        <f>Skills!A10</f>
        <v/>
      </c>
      <c r="B1318">
        <f>Skills!B10</f>
        <v/>
      </c>
      <c r="C1318">
        <f>Inputs!$B$3&gt;=66</f>
        <v/>
      </c>
      <c r="D1318">
        <f>IF(Skills!C10=1,60+Inputs!$B$26+Inputs!$B$30,IF(Skills!C10=2,90+Inputs!$B$27+Inputs!$B$30,IF(Skills!C10=3,120+Inputs!$B$28+Inputs!$B$30,MAX(0,(Inputs!$B$3-100)*3)+Inputs!$B$29+Inputs!$B$30)))</f>
        <v/>
      </c>
      <c r="E1318">
        <f>INDEX(FactorTable!$B$2:$Y$301, MATCH(ROUND(MIN(300,MAX(1,D1318)),0), FactorTable!$A$2:$A$301,0), Skills!L10+1)</f>
        <v/>
      </c>
      <c r="F1318" t="n">
        <v>0</v>
      </c>
      <c r="G1318">
        <f>Calc!G10</f>
        <v/>
      </c>
      <c r="H1318">
        <f>Calc!H10</f>
        <v/>
      </c>
      <c r="I1318">
        <f>IF(Skills!T10&lt;&gt;"",1+(Skills!T10/10)*($Z$3/1000)/100,1)</f>
        <v/>
      </c>
      <c r="J1318" t="inlineStr"/>
      <c r="K1318" t="inlineStr"/>
      <c r="L1318" t="inlineStr"/>
      <c r="M1318" t="inlineStr"/>
      <c r="N1318" t="inlineStr"/>
      <c r="O1318" t="n">
        <v>0</v>
      </c>
      <c r="P1318">
        <f>IF(B1348=0,0,O1318/B1348)</f>
        <v/>
      </c>
      <c r="Q1318">
        <f>IFERROR(1/IF(Inputs!$B$39="pvp",15,MAX(0.1,Skills!D10-IF(Skills!E10=TRUE,2.0,0))),0)</f>
        <v/>
      </c>
      <c r="R1318">
        <f>IF(AND(Inputs!$B$39&lt;&gt;"pvp",Inputs!$B$44&gt;0),IF(MAX(0,Inputs!$B$44-B1347)&lt;=0,0,(INT(MAX(0,Inputs!$B$44-B1347)/IF(Inputs!$B$39="pvp",15,MAX(0.1,Skills!D10-IF(Skills!E10=TRUE,2.0,0))))+1)),0)</f>
        <v/>
      </c>
    </row>
    <row r="1319">
      <c r="A1319">
        <f>Skills!A11</f>
        <v/>
      </c>
      <c r="B1319">
        <f>Skills!B11</f>
        <v/>
      </c>
      <c r="C1319">
        <f>Inputs!$B$3&gt;=69</f>
        <v/>
      </c>
      <c r="D1319">
        <f>IF(Skills!C11=1,60+Inputs!$B$26+Inputs!$B$30,IF(Skills!C11=2,90+Inputs!$B$27+Inputs!$B$30,IF(Skills!C11=3,120+Inputs!$B$28+Inputs!$B$30,MAX(0,(Inputs!$B$3-100)*3)+Inputs!$B$29+Inputs!$B$30)))</f>
        <v/>
      </c>
      <c r="E1319">
        <f>INDEX(FactorTable!$B$2:$Y$301, MATCH(ROUND(MIN(300,MAX(1,D1319)),0), FactorTable!$A$2:$A$301,0), Skills!L11+1)</f>
        <v/>
      </c>
      <c r="F1319">
        <f>IF(Skills!M11=TRUE,(Skills!K11/10)*(E1319/1000),Skills!K11/10)+Skills!N11</f>
        <v/>
      </c>
      <c r="G1319">
        <f>Calc!G11</f>
        <v/>
      </c>
      <c r="H1319">
        <f>Calc!H11</f>
        <v/>
      </c>
      <c r="I1319">
        <f>IF(Skills!T11&lt;&gt;"",1+(Skills!T11/10)*($Z$3/1000)/100,1)</f>
        <v/>
      </c>
      <c r="J1319" t="inlineStr"/>
      <c r="K1319" t="inlineStr"/>
      <c r="L1319" t="inlineStr"/>
      <c r="M1319" t="inlineStr"/>
      <c r="N1319" t="inlineStr"/>
      <c r="O1319" t="n">
        <v>0</v>
      </c>
      <c r="P1319">
        <f>IF(B1348=0,0,O1319/B1348)</f>
        <v/>
      </c>
      <c r="Q1319">
        <f>IFERROR(1/IF(Inputs!$B$39="pvp",15,MAX(0.1,Skills!D11-IF(Skills!E11=TRUE,2.0,0))),0)</f>
        <v/>
      </c>
      <c r="R1319">
        <f>IF(AND(Inputs!$B$39&lt;&gt;"pvp",Inputs!$B$44&gt;0),IF(Inputs!$B$44&lt;=0,0,(INT(Inputs!$B$44/IF(Inputs!$B$39="pvp",15,MAX(0.1,Skills!D11-IF(Skills!E11=TRUE,2.0,0))))+1)),0)</f>
        <v/>
      </c>
    </row>
    <row r="1320">
      <c r="A1320">
        <f>Skills!A12</f>
        <v/>
      </c>
      <c r="B1320">
        <f>Skills!B12</f>
        <v/>
      </c>
      <c r="C1320">
        <f>Inputs!$B$3&gt;=72</f>
        <v/>
      </c>
      <c r="D1320">
        <f>IF(Skills!C12=1,60+Inputs!$B$26+Inputs!$B$30,IF(Skills!C12=2,90+Inputs!$B$27+Inputs!$B$30,IF(Skills!C12=3,120+Inputs!$B$28+Inputs!$B$30,MAX(0,(Inputs!$B$3-100)*3)+Inputs!$B$29+Inputs!$B$30)))</f>
        <v/>
      </c>
      <c r="E1320">
        <f>INDEX(FactorTable!$B$2:$Y$301, MATCH(ROUND(MIN(300,MAX(1,D1320)),0), FactorTable!$A$2:$A$301,0), Skills!L12+1)</f>
        <v/>
      </c>
      <c r="F1320">
        <f>IF(Skills!M12=TRUE,(Skills!K12/10)*(E1320/1000),Skills!K12/10)+Skills!N12</f>
        <v/>
      </c>
      <c r="G1320">
        <f>Calc!G12</f>
        <v/>
      </c>
      <c r="H1320">
        <f>Calc!H12</f>
        <v/>
      </c>
      <c r="I1320">
        <f>IF(Skills!T12&lt;&gt;"",1+(Skills!T12/10)*($Z$3/1000)/100,1)</f>
        <v/>
      </c>
      <c r="J1320" t="inlineStr"/>
      <c r="K1320" t="inlineStr"/>
      <c r="L1320" t="inlineStr"/>
      <c r="M1320" t="inlineStr"/>
      <c r="N1320" t="inlineStr"/>
      <c r="O1320" t="n">
        <v>0</v>
      </c>
      <c r="P1320">
        <f>IF(B1348=0,0,O1320/B1348)</f>
        <v/>
      </c>
      <c r="Q1320">
        <f>IFERROR(1/IF(Inputs!$B$39="pvp",15,MAX(0.1,Skills!D12-IF(Skills!E12=TRUE,2.0,0))),0)</f>
        <v/>
      </c>
      <c r="R1320">
        <f>IF(AND(Inputs!$B$39&lt;&gt;"pvp",Inputs!$B$44&gt;0),IF(MAX(0,Inputs!$B$44-B1347)&lt;=0,0,(INT(MAX(0,Inputs!$B$44-B1347)/IF(Inputs!$B$39="pvp",15,MAX(0.1,Skills!D12-IF(Skills!E12=TRUE,2.0,0))))+1)),0)</f>
        <v/>
      </c>
    </row>
    <row r="1321">
      <c r="A1321">
        <f>Skills!A13</f>
        <v/>
      </c>
      <c r="B1321">
        <f>Skills!B13</f>
        <v/>
      </c>
      <c r="C1321">
        <f>Inputs!$B$3&gt;=60</f>
        <v/>
      </c>
      <c r="D1321">
        <f>IF(Skills!C13=1,60+Inputs!$B$26+Inputs!$B$30,IF(Skills!C13=2,90+Inputs!$B$27+Inputs!$B$30,IF(Skills!C13=3,120+Inputs!$B$28+Inputs!$B$30,MAX(0,(Inputs!$B$3-100)*3)+Inputs!$B$29+Inputs!$B$30)))</f>
        <v/>
      </c>
      <c r="E1321">
        <f>INDEX(FactorTable!$B$2:$Y$301, MATCH(ROUND(MIN(300,MAX(1,D1321)),0), FactorTable!$A$2:$A$301,0), Skills!L13+1)</f>
        <v/>
      </c>
      <c r="F1321">
        <f>IF(Skills!M13=TRUE,(Skills!K13/10)*(E1321/1000),Skills!K13/10)+Skills!N13</f>
        <v/>
      </c>
      <c r="G1321">
        <f>Calc!G13</f>
        <v/>
      </c>
      <c r="H1321">
        <f>Calc!H13</f>
        <v/>
      </c>
      <c r="I1321">
        <f>IF(Skills!T13&lt;&gt;"",1+(Skills!T13/10)*($Z$3/1000)/100,1)</f>
        <v/>
      </c>
      <c r="J1321" t="inlineStr"/>
      <c r="K1321" t="inlineStr"/>
      <c r="L1321" t="inlineStr"/>
      <c r="M1321" t="inlineStr"/>
      <c r="N1321" t="inlineStr"/>
      <c r="O1321" t="n">
        <v>0</v>
      </c>
      <c r="P1321">
        <f>IF(B1348=0,0,O1321/B1348)</f>
        <v/>
      </c>
      <c r="Q1321">
        <f>IFERROR(1/IF(Inputs!$B$39="pvp",15,MAX(0.1,Skills!D13-IF(Skills!E13=TRUE,2.0,0))),0)</f>
        <v/>
      </c>
      <c r="R1321">
        <f>IF(AND(Inputs!$B$39&lt;&gt;"pvp",Inputs!$B$44&gt;0),IF(MAX(0,Inputs!$B$44-B1347)&lt;=0,0,(INT(MAX(0,Inputs!$B$44-B1347)/IF(Inputs!$B$39="pvp",15,MAX(0.1,Skills!D13-IF(Skills!E13=TRUE,2.0,0))))+1)),0)</f>
        <v/>
      </c>
    </row>
    <row r="1322">
      <c r="A1322">
        <f>Skills!A14</f>
        <v/>
      </c>
      <c r="B1322">
        <f>Skills!B14</f>
        <v/>
      </c>
      <c r="C1322">
        <f>Inputs!$B$3&gt;=107</f>
        <v/>
      </c>
      <c r="D1322">
        <f>IF(Skills!C14=1,60+Inputs!$B$26+Inputs!$B$30,IF(Skills!C14=2,90+Inputs!$B$27+Inputs!$B$30,IF(Skills!C14=3,120+Inputs!$B$28+Inputs!$B$30,MAX(0,(Inputs!$B$3-100)*3)+Inputs!$B$29+Inputs!$B$30)))</f>
        <v/>
      </c>
      <c r="E1322">
        <f>INDEX(FactorTable!$B$2:$Y$301, MATCH(ROUND(MIN(300,MAX(1,D1322)),0), FactorTable!$A$2:$A$301,0), Skills!L14+1)</f>
        <v/>
      </c>
      <c r="F1322">
        <f>IF(Skills!M14=TRUE,(Skills!K14/10)*(E1322/1000),Skills!K14/10)+Skills!N14</f>
        <v/>
      </c>
      <c r="G1322">
        <f>Calc!G14</f>
        <v/>
      </c>
      <c r="H1322">
        <f>Calc!H14</f>
        <v/>
      </c>
      <c r="I1322">
        <f>IF(Skills!T14&lt;&gt;"",1+(Skills!T14/10)*($Z$3/1000)/100,1)</f>
        <v/>
      </c>
      <c r="J1322" t="inlineStr"/>
      <c r="K1322" t="inlineStr"/>
      <c r="L1322" t="inlineStr"/>
      <c r="M1322" t="inlineStr"/>
      <c r="N1322" t="inlineStr"/>
      <c r="O1322" t="n">
        <v>0</v>
      </c>
      <c r="P1322">
        <f>IF(B1348=0,0,O1322/B1348)</f>
        <v/>
      </c>
      <c r="Q1322">
        <f>IFERROR(1/IF(Inputs!$B$39="pvp",15,MAX(0.1,Skills!D14-IF(Skills!E14=TRUE,2.0,0))),0)</f>
        <v/>
      </c>
      <c r="R1322">
        <f>IF(AND(Inputs!$B$39&lt;&gt;"pvp",Inputs!$B$44&gt;0),IF(Inputs!$B$44&lt;=0,0,(INT(Inputs!$B$44/IF(Inputs!$B$39="pvp",15,MAX(0.1,Skills!D14-IF(Skills!E14=TRUE,2.0,0))))+1)),0)</f>
        <v/>
      </c>
    </row>
    <row r="1323">
      <c r="A1323">
        <f>Skills!A15</f>
        <v/>
      </c>
      <c r="B1323">
        <f>Skills!B15</f>
        <v/>
      </c>
      <c r="C1323">
        <f>Inputs!$B$3&gt;=63</f>
        <v/>
      </c>
      <c r="D1323">
        <f>IF(Skills!C15=1,60+Inputs!$B$26+Inputs!$B$30,IF(Skills!C15=2,90+Inputs!$B$27+Inputs!$B$30,IF(Skills!C15=3,120+Inputs!$B$28+Inputs!$B$30,MAX(0,(Inputs!$B$3-100)*3)+Inputs!$B$29+Inputs!$B$30)))</f>
        <v/>
      </c>
      <c r="E1323">
        <f>INDEX(FactorTable!$B$2:$Y$301, MATCH(ROUND(MIN(300,MAX(1,D1323)),0), FactorTable!$A$2:$A$301,0), Skills!L15+1)</f>
        <v/>
      </c>
      <c r="F1323">
        <f>IF(Skills!M15=TRUE,(Skills!K15/10)*(E1323/1000),Skills!K15/10)+Skills!N15</f>
        <v/>
      </c>
      <c r="G1323">
        <f>Calc!G15</f>
        <v/>
      </c>
      <c r="H1323">
        <f>Calc!H15</f>
        <v/>
      </c>
      <c r="I1323">
        <f>IF(Skills!T15&lt;&gt;"",1+(Skills!T15/10)*($Z$3/1000)/100,1)</f>
        <v/>
      </c>
      <c r="J1323">
        <f>((Inputs!$B$6*(1+Inputs!$B$7/100))+(((Inputs!$B$13*(1+Inputs!$B$14/100))-(Inputs!$B$13*(1+Inputs!$B$14/100)))+0.25*(Inputs!$B$15-Inputs!$B$15))*(1+Inputs!$B$7/100))*(F1323/100)</f>
        <v/>
      </c>
      <c r="K1323">
        <f>J1323*(1+(((Inputs!$B$13+IF(Inputs!$B$3&gt;=35,(10*INDEX(FactorTable!$B$2:$Y$301, MATCH(ROUND(MIN(300,MAX(1,Inputs!$B$3)),0), FactorTable!$A$2:$A$301,0), 23)/1000)/100*(Inputs!$B$8*(1+(Inputs!$B$9+B1346)/100)),0))*(1+Inputs!$B$14/100))*0.01+Inputs!$B$15*0.0025)/100)*(1+(Inputs!$B$16+B1340)/100)*(1+IF(Inputs!$B$39="pvp",0,(1-Summary!$B$48)*(Inputs!$B$21+Skills!O15+B1338)+Summary!$B$48*(Inputs!$B$22+Skills!P15+B1339))/100)*(1+Inputs!$B$17/100)*(5000/(6000+Inputs!$B$43*(1-Inputs!$B$20/100)))*(1+Inputs!$B$25/100)*(1+IF(C1326=TRUE,F1326,0)/100)*(1+IF(C1328=TRUE,F1328,0)/100)*(1+IF(Skills!A15="TRIUMPH_FEATHER",IF(C1324=TRUE,F1324,0),0)/100)*(1+IF(C1335=TRUE,F1335,0)/100)^5*(1+(IF(Skills!A15="BIG_BANG",Inputs!$B$18,Inputs!$B$19))/100)*(B1337*I1323)</f>
        <v/>
      </c>
      <c r="L1323">
        <f>K1323*(MIN(Inputs!$B$23+(F1330-Calc!F22),Inputs!$B$24)/100+Inputs!$B$24/100)/2</f>
        <v/>
      </c>
      <c r="M1323">
        <f>L1323*(1+(Inputs!$B$11+B1341+(F1333-Calc!F25))/100)</f>
        <v/>
      </c>
      <c r="N1323">
        <f>L1323*(1-MIN(Inputs!$B$10+((F1332-Calc!F24)+(F1331-Calc!F23)),100)/100)+M1323*(MIN(Inputs!$B$10+((F1332-Calc!F24)+(F1331-Calc!F23)),100)/100)</f>
        <v/>
      </c>
      <c r="O1323">
        <f>IF(C1323,Skills!F15*N1323*((IF(Inputs!$B$3&gt;=78,25,15)/100*B1343*10)/(1+IF(Inputs!$B$3&gt;=78,25,15)/100*B1343*10))*(Skills!I15/100*B1343)/(1+Skills!G15*Skills!I15/100*B1343)*IF(Inputs!$B$39="pvp",1,(1-Summary!$B$48)*(1)+Summary!$B$48*(MIN(Skills!Q15,Inputs!$B$38))),0)</f>
        <v/>
      </c>
      <c r="P1323">
        <f>IF(B1348=0,0,O1323/B1348)</f>
        <v/>
      </c>
      <c r="Q1323">
        <f>IFERROR(1/IF(Inputs!$B$39="pvp",15,MAX(0.1,Skills!D15-IF(Skills!E15=TRUE,2.0,0))),0)</f>
        <v/>
      </c>
      <c r="R1323" t="n">
        <v>0</v>
      </c>
    </row>
    <row r="1324">
      <c r="A1324">
        <f>Skills!A16</f>
        <v/>
      </c>
      <c r="B1324">
        <f>Skills!B16</f>
        <v/>
      </c>
      <c r="C1324">
        <f>Inputs!$B$3&gt;=100</f>
        <v/>
      </c>
      <c r="D1324">
        <f>IF(Skills!C16=1,60+Inputs!$B$26+Inputs!$B$30,IF(Skills!C16=2,90+Inputs!$B$27+Inputs!$B$30,IF(Skills!C16=3,120+Inputs!$B$28+Inputs!$B$30,MAX(0,(Inputs!$B$3-100)*3)+Inputs!$B$29+Inputs!$B$30)))</f>
        <v/>
      </c>
      <c r="E1324">
        <f>INDEX(FactorTable!$B$2:$Y$301, MATCH(ROUND(MIN(300,MAX(1,D1324)),0), FactorTable!$A$2:$A$301,0), Skills!L16+1)</f>
        <v/>
      </c>
      <c r="F1324">
        <f>IF(Skills!M16=TRUE,(Skills!K16/10)*(E1324/1000),Skills!K16/10)+Skills!N16</f>
        <v/>
      </c>
      <c r="G1324">
        <f>Calc!G16</f>
        <v/>
      </c>
      <c r="H1324">
        <f>Calc!H16</f>
        <v/>
      </c>
      <c r="I1324">
        <f>IF(Skills!T16&lt;&gt;"",1+(Skills!T16/10)*($Z$3/1000)/100,1)</f>
        <v/>
      </c>
      <c r="J1324" t="inlineStr"/>
      <c r="K1324" t="inlineStr"/>
      <c r="L1324" t="inlineStr"/>
      <c r="M1324" t="inlineStr"/>
      <c r="N1324" t="inlineStr"/>
      <c r="O1324" t="n">
        <v>0</v>
      </c>
      <c r="P1324">
        <f>IF(B1348=0,0,O1324/B1348)</f>
        <v/>
      </c>
      <c r="Q1324">
        <f>IFERROR(1/IF(Inputs!$B$39="pvp",15,MAX(0.1,Skills!D16-IF(Skills!E16=TRUE,2.0,0))),0)</f>
        <v/>
      </c>
      <c r="R1324" t="n">
        <v>0</v>
      </c>
    </row>
    <row r="1325">
      <c r="A1325">
        <f>Skills!A17</f>
        <v/>
      </c>
      <c r="B1325">
        <f>Skills!B17</f>
        <v/>
      </c>
      <c r="C1325">
        <f>Inputs!$B$3&gt;=49</f>
        <v/>
      </c>
      <c r="D1325">
        <f>IF(Skills!C17=1,60+Inputs!$B$26+Inputs!$B$30,IF(Skills!C17=2,90+Inputs!$B$27+Inputs!$B$30,IF(Skills!C17=3,120+Inputs!$B$28+Inputs!$B$30,MAX(0,(Inputs!$B$3-100)*3)+Inputs!$B$29+Inputs!$B$30)))</f>
        <v/>
      </c>
      <c r="E1325">
        <f>INDEX(FactorTable!$B$2:$Y$301, MATCH(ROUND(MIN(300,MAX(1,D1325)),0), FactorTable!$A$2:$A$301,0), Skills!L17+1)</f>
        <v/>
      </c>
      <c r="F1325">
        <f>IF(Skills!M17=TRUE,(Skills!K17/10)*(E1325/1000),Skills!K17/10)+Skills!N17</f>
        <v/>
      </c>
      <c r="G1325">
        <f>Calc!G17</f>
        <v/>
      </c>
      <c r="H1325">
        <f>Calc!H17</f>
        <v/>
      </c>
      <c r="I1325">
        <f>IF(Skills!T17&lt;&gt;"",1+(Skills!T17/10)*($Z$3/1000)/100,1)</f>
        <v/>
      </c>
      <c r="J1325" t="inlineStr"/>
      <c r="K1325" t="inlineStr"/>
      <c r="L1325" t="inlineStr"/>
      <c r="M1325" t="inlineStr"/>
      <c r="N1325" t="inlineStr"/>
      <c r="O1325" t="n">
        <v>0</v>
      </c>
      <c r="P1325">
        <f>IF(B1348=0,0,O1325/B1348)</f>
        <v/>
      </c>
      <c r="Q1325">
        <f>IFERROR(1/IF(Inputs!$B$39="pvp",15,MAX(0.1,Skills!D17-IF(Skills!E17=TRUE,2.0,0))),0)</f>
        <v/>
      </c>
      <c r="R1325" t="n">
        <v>0</v>
      </c>
    </row>
    <row r="1326">
      <c r="A1326">
        <f>Skills!A18</f>
        <v/>
      </c>
      <c r="B1326">
        <f>Skills!B18</f>
        <v/>
      </c>
      <c r="C1326">
        <f>Inputs!$B$3&gt;=75</f>
        <v/>
      </c>
      <c r="D1326">
        <f>IF(Skills!C18=1,60+Inputs!$B$26+Inputs!$B$30,IF(Skills!C18=2,90+Inputs!$B$27+Inputs!$B$30,IF(Skills!C18=3,120+Inputs!$B$28+Inputs!$B$30,MAX(0,(Inputs!$B$3-100)*3)+Inputs!$B$29+Inputs!$B$30)))</f>
        <v/>
      </c>
      <c r="E1326">
        <f>INDEX(FactorTable!$B$2:$Y$301, MATCH(ROUND(MIN(300,MAX(1,D1326)),0), FactorTable!$A$2:$A$301,0), Skills!L18+1)</f>
        <v/>
      </c>
      <c r="F1326">
        <f>IF(Skills!M18=TRUE,(Skills!K18/10)*(E1326/1000),Skills!K18/10)+Skills!N18</f>
        <v/>
      </c>
      <c r="G1326">
        <f>Calc!G18</f>
        <v/>
      </c>
      <c r="H1326">
        <f>Calc!H18</f>
        <v/>
      </c>
      <c r="I1326">
        <f>IF(Skills!T18&lt;&gt;"",1+(Skills!T18/10)*($Z$3/1000)/100,1)</f>
        <v/>
      </c>
      <c r="J1326" t="inlineStr"/>
      <c r="K1326" t="inlineStr"/>
      <c r="L1326" t="inlineStr"/>
      <c r="M1326" t="inlineStr"/>
      <c r="N1326" t="inlineStr"/>
      <c r="O1326" t="n">
        <v>0</v>
      </c>
      <c r="P1326">
        <f>IF(B1348=0,0,O1326/B1348)</f>
        <v/>
      </c>
      <c r="Q1326">
        <f>IFERROR(1/IF(Inputs!$B$39="pvp",15,MAX(0.1,Skills!D18-IF(Skills!E18=TRUE,2.0,0))),0)</f>
        <v/>
      </c>
      <c r="R1326" t="n">
        <v>0</v>
      </c>
    </row>
    <row r="1327">
      <c r="A1327">
        <f>Skills!A19</f>
        <v/>
      </c>
      <c r="B1327">
        <f>Skills!B19</f>
        <v/>
      </c>
      <c r="C1327">
        <f>Inputs!$B$3&gt;=110</f>
        <v/>
      </c>
      <c r="D1327">
        <f>IF(Skills!C19=1,60+Inputs!$B$26+Inputs!$B$30,IF(Skills!C19=2,90+Inputs!$B$27+Inputs!$B$30,IF(Skills!C19=3,120+Inputs!$B$28+Inputs!$B$30,MAX(0,(Inputs!$B$3-100)*3)+Inputs!$B$29+Inputs!$B$30)))</f>
        <v/>
      </c>
      <c r="E1327">
        <f>INDEX(FactorTable!$B$2:$Y$301, MATCH(ROUND(MIN(300,MAX(1,D1327)),0), FactorTable!$A$2:$A$301,0), Skills!L19+1)</f>
        <v/>
      </c>
      <c r="F1327">
        <f>(Skills!K19/10)*(E1327/1000)*64/45+Skills!N19</f>
        <v/>
      </c>
      <c r="G1327">
        <f>Calc!G19</f>
        <v/>
      </c>
      <c r="H1327">
        <f>Calc!H19</f>
        <v/>
      </c>
      <c r="I1327">
        <f>IF(Skills!T19&lt;&gt;"",1+(Skills!T19/10)*($Z$3/1000)/100,1)</f>
        <v/>
      </c>
      <c r="J1327" t="inlineStr"/>
      <c r="K1327" t="inlineStr"/>
      <c r="L1327" t="inlineStr"/>
      <c r="M1327" t="inlineStr"/>
      <c r="N1327" t="inlineStr"/>
      <c r="O1327" t="n">
        <v>0</v>
      </c>
      <c r="P1327">
        <f>IF(B1348=0,0,O1327/B1348)</f>
        <v/>
      </c>
      <c r="Q1327">
        <f>IFERROR(1/IF(Inputs!$B$39="pvp",15,MAX(0.1,Skills!D19-IF(Skills!E19=TRUE,2.0,0))),0)</f>
        <v/>
      </c>
      <c r="R1327">
        <f>IF(AND(Inputs!$B$39&lt;&gt;"pvp",Inputs!$B$44&gt;0),IF(Inputs!$B$44&lt;=0,0,(INT(Inputs!$B$44/IF(Inputs!$B$39="pvp",15,MAX(0.1,Skills!D19-IF(Skills!E19=TRUE,2.0,0))))+1)),0)</f>
        <v/>
      </c>
    </row>
    <row r="1328">
      <c r="A1328">
        <f>Skills!A20</f>
        <v/>
      </c>
      <c r="B1328">
        <f>Skills!B20</f>
        <v/>
      </c>
      <c r="C1328">
        <f>Inputs!$B$3&gt;=125</f>
        <v/>
      </c>
      <c r="D1328">
        <f>IF(Skills!C20=1,60+Inputs!$B$26+Inputs!$B$30,IF(Skills!C20=2,90+Inputs!$B$27+Inputs!$B$30,IF(Skills!C20=3,120+Inputs!$B$28+Inputs!$B$30,MAX(0,(Inputs!$B$3-100)*3)+Inputs!$B$29+Inputs!$B$30)))</f>
        <v/>
      </c>
      <c r="E1328">
        <f>INDEX(FactorTable!$B$2:$Y$301, MATCH(ROUND(MIN(300,MAX(1,D1328)),0), FactorTable!$A$2:$A$301,0), Skills!L20+1)</f>
        <v/>
      </c>
      <c r="F1328">
        <f>IF(Skills!M20=TRUE,(Skills!K20/10)*(E1328/1000),Skills!K20/10)+Skills!N20</f>
        <v/>
      </c>
      <c r="G1328">
        <f>Calc!G20</f>
        <v/>
      </c>
      <c r="H1328">
        <f>Calc!H20</f>
        <v/>
      </c>
      <c r="I1328">
        <f>IF(Skills!T20&lt;&gt;"",1+(Skills!T20/10)*($Z$3/1000)/100,1)</f>
        <v/>
      </c>
      <c r="J1328" t="inlineStr"/>
      <c r="K1328" t="inlineStr"/>
      <c r="L1328" t="inlineStr"/>
      <c r="M1328" t="inlineStr"/>
      <c r="N1328" t="inlineStr"/>
      <c r="O1328" t="n">
        <v>0</v>
      </c>
      <c r="P1328">
        <f>IF(B1348=0,0,O1328/B1348)</f>
        <v/>
      </c>
      <c r="Q1328">
        <f>IFERROR(1/IF(Inputs!$B$39="pvp",15,MAX(0.1,Skills!D20-IF(Skills!E20=TRUE,2.0,0))),0)</f>
        <v/>
      </c>
      <c r="R1328" t="n">
        <v>0</v>
      </c>
    </row>
    <row r="1329">
      <c r="A1329">
        <f>Skills!A21</f>
        <v/>
      </c>
      <c r="B1329">
        <f>Skills!B21</f>
        <v/>
      </c>
      <c r="C1329">
        <f>Inputs!$B$3&gt;=33</f>
        <v/>
      </c>
      <c r="D1329">
        <f>IF(Skills!C21=1,60+Inputs!$B$26+Inputs!$B$30,IF(Skills!C21=2,90+Inputs!$B$27+Inputs!$B$30,IF(Skills!C21=3,120+Inputs!$B$28+Inputs!$B$30,MAX(0,(Inputs!$B$3-100)*3)+Inputs!$B$29+Inputs!$B$30)))</f>
        <v/>
      </c>
      <c r="E1329">
        <f>INDEX(FactorTable!$B$2:$Y$301, MATCH(ROUND(MIN(300,MAX(1,D1329)),0), FactorTable!$A$2:$A$301,0), Skills!L21+1)</f>
        <v/>
      </c>
      <c r="F1329">
        <f>IF(Skills!M21=TRUE,(Skills!K21/10)*(E1329/1000),Skills!K21/10)+Skills!N21</f>
        <v/>
      </c>
      <c r="G1329">
        <f>Calc!G21</f>
        <v/>
      </c>
      <c r="H1329">
        <f>Calc!H21</f>
        <v/>
      </c>
      <c r="I1329">
        <f>IF(Skills!T21&lt;&gt;"",1+(Skills!T21/10)*($Z$3/1000)/100,1)</f>
        <v/>
      </c>
      <c r="J1329" t="inlineStr"/>
      <c r="K1329" t="inlineStr"/>
      <c r="L1329" t="inlineStr"/>
      <c r="M1329" t="inlineStr"/>
      <c r="N1329" t="inlineStr"/>
      <c r="O1329" t="n">
        <v>0</v>
      </c>
      <c r="P1329">
        <f>IF(B1348=0,0,O1329/B1348)</f>
        <v/>
      </c>
      <c r="Q1329">
        <f>IFERROR(1/IF(Inputs!$B$39="pvp",15,MAX(0.1,Skills!D21-IF(Skills!E21=TRUE,2.0,0))),0)</f>
        <v/>
      </c>
      <c r="R1329" t="n">
        <v>0</v>
      </c>
    </row>
    <row r="1330">
      <c r="A1330">
        <f>Skills!A22</f>
        <v/>
      </c>
      <c r="B1330">
        <f>Skills!B22</f>
        <v/>
      </c>
      <c r="C1330">
        <f>Inputs!$B$3&gt;=43</f>
        <v/>
      </c>
      <c r="D1330">
        <f>IF(Skills!C22=1,60+Inputs!$B$26+Inputs!$B$30,IF(Skills!C22=2,90+Inputs!$B$27+Inputs!$B$30,IF(Skills!C22=3,120+Inputs!$B$28+Inputs!$B$30,MAX(0,(Inputs!$B$3-100)*3)+Inputs!$B$29+Inputs!$B$30)))</f>
        <v/>
      </c>
      <c r="E1330">
        <f>INDEX(FactorTable!$B$2:$Y$301, MATCH(ROUND(MIN(300,MAX(1,D1330)),0), FactorTable!$A$2:$A$301,0), Skills!L22+1)</f>
        <v/>
      </c>
      <c r="F1330">
        <f>IF(Skills!M22=TRUE,(Skills!K22/10)*(E1330/1000),Skills!K22/10)+Skills!N22</f>
        <v/>
      </c>
      <c r="G1330">
        <f>Calc!G22</f>
        <v/>
      </c>
      <c r="H1330">
        <f>Calc!H22</f>
        <v/>
      </c>
      <c r="I1330">
        <f>IF(Skills!T22&lt;&gt;"",1+(Skills!T22/10)*($Z$3/1000)/100,1)</f>
        <v/>
      </c>
      <c r="J1330" t="inlineStr"/>
      <c r="K1330" t="inlineStr"/>
      <c r="L1330" t="inlineStr"/>
      <c r="M1330" t="inlineStr"/>
      <c r="N1330" t="inlineStr"/>
      <c r="O1330" t="n">
        <v>0</v>
      </c>
      <c r="P1330">
        <f>IF(B1348=0,0,O1330/B1348)</f>
        <v/>
      </c>
      <c r="Q1330">
        <f>IFERROR(1/IF(Inputs!$B$39="pvp",15,MAX(0.1,Skills!D22-IF(Skills!E22=TRUE,2.0,0))),0)</f>
        <v/>
      </c>
      <c r="R1330" t="n">
        <v>0</v>
      </c>
    </row>
    <row r="1331">
      <c r="A1331">
        <f>Skills!A23</f>
        <v/>
      </c>
      <c r="B1331">
        <f>Skills!B23</f>
        <v/>
      </c>
      <c r="C1331">
        <f>Inputs!$B$3&gt;=50</f>
        <v/>
      </c>
      <c r="D1331">
        <f>IF(Skills!C23=1,60+Inputs!$B$26+Inputs!$B$30,IF(Skills!C23=2,90+Inputs!$B$27+Inputs!$B$30,IF(Skills!C23=3,120+Inputs!$B$28+Inputs!$B$30,MAX(0,(Inputs!$B$3-100)*3)+Inputs!$B$29+Inputs!$B$30)))</f>
        <v/>
      </c>
      <c r="E1331">
        <f>INDEX(FactorTable!$B$2:$Y$301, MATCH(ROUND(MIN(300,MAX(1,D1331)),0), FactorTable!$A$2:$A$301,0), Skills!L23+1)</f>
        <v/>
      </c>
      <c r="F1331">
        <f>IF(Skills!M23=TRUE,(Skills!K23/10)*(E1331/1000),Skills!K23/10)+Skills!N23</f>
        <v/>
      </c>
      <c r="G1331">
        <f>Calc!G23</f>
        <v/>
      </c>
      <c r="H1331">
        <f>Calc!H23</f>
        <v/>
      </c>
      <c r="I1331">
        <f>IF(Skills!T23&lt;&gt;"",1+(Skills!T23/10)*($Z$3/1000)/100,1)</f>
        <v/>
      </c>
      <c r="J1331" t="inlineStr"/>
      <c r="K1331" t="inlineStr"/>
      <c r="L1331" t="inlineStr"/>
      <c r="M1331" t="inlineStr"/>
      <c r="N1331" t="inlineStr"/>
      <c r="O1331" t="n">
        <v>0</v>
      </c>
      <c r="P1331">
        <f>IF(B1348=0,0,O1331/B1348)</f>
        <v/>
      </c>
      <c r="Q1331">
        <f>IFERROR(1/IF(Inputs!$B$39="pvp",15,MAX(0.1,Skills!D23-IF(Skills!E23=TRUE,2.0,0))),0)</f>
        <v/>
      </c>
      <c r="R1331" t="n">
        <v>0</v>
      </c>
    </row>
    <row r="1332">
      <c r="A1332">
        <f>Skills!A24</f>
        <v/>
      </c>
      <c r="B1332">
        <f>Skills!B24</f>
        <v/>
      </c>
      <c r="C1332">
        <f>Inputs!$B$3&gt;=74</f>
        <v/>
      </c>
      <c r="D1332">
        <f>IF(Skills!C24=1,60+Inputs!$B$26+Inputs!$B$30,IF(Skills!C24=2,90+Inputs!$B$27+Inputs!$B$30,IF(Skills!C24=3,120+Inputs!$B$28+Inputs!$B$30,MAX(0,(Inputs!$B$3-100)*3)+Inputs!$B$29+Inputs!$B$30)))</f>
        <v/>
      </c>
      <c r="E1332">
        <f>INDEX(FactorTable!$B$2:$Y$301, MATCH(ROUND(MIN(300,MAX(1,D1332)),0), FactorTable!$A$2:$A$301,0), Skills!L24+1)</f>
        <v/>
      </c>
      <c r="F1332">
        <f>IF(Skills!M24=TRUE,(Skills!K24/10)*(E1332/1000),Skills!K24/10)+Skills!N24</f>
        <v/>
      </c>
      <c r="G1332">
        <f>Calc!G24</f>
        <v/>
      </c>
      <c r="H1332">
        <f>Calc!H24</f>
        <v/>
      </c>
      <c r="I1332">
        <f>IF(Skills!T24&lt;&gt;"",1+(Skills!T24/10)*($Z$3/1000)/100,1)</f>
        <v/>
      </c>
      <c r="J1332" t="inlineStr"/>
      <c r="K1332" t="inlineStr"/>
      <c r="L1332" t="inlineStr"/>
      <c r="M1332" t="inlineStr"/>
      <c r="N1332" t="inlineStr"/>
      <c r="O1332" t="n">
        <v>0</v>
      </c>
      <c r="P1332">
        <f>IF(B1348=0,0,O1332/B1348)</f>
        <v/>
      </c>
      <c r="Q1332">
        <f>IFERROR(1/IF(Inputs!$B$39="pvp",15,MAX(0.1,Skills!D24-IF(Skills!E24=TRUE,2.0,0))),0)</f>
        <v/>
      </c>
      <c r="R1332" t="n">
        <v>0</v>
      </c>
    </row>
    <row r="1333">
      <c r="A1333">
        <f>Skills!A25</f>
        <v/>
      </c>
      <c r="B1333">
        <f>Skills!B25</f>
        <v/>
      </c>
      <c r="C1333">
        <f>Inputs!$B$3&gt;=74</f>
        <v/>
      </c>
      <c r="D1333">
        <f>IF(Skills!C25=1,60+Inputs!$B$26+Inputs!$B$30,IF(Skills!C25=2,90+Inputs!$B$27+Inputs!$B$30,IF(Skills!C25=3,120+Inputs!$B$28+Inputs!$B$30,MAX(0,(Inputs!$B$3-100)*3)+Inputs!$B$29+Inputs!$B$30)))</f>
        <v/>
      </c>
      <c r="E1333">
        <f>INDEX(FactorTable!$B$2:$Y$301, MATCH(ROUND(MIN(300,MAX(1,D1333)),0), FactorTable!$A$2:$A$301,0), Skills!L25+1)</f>
        <v/>
      </c>
      <c r="F1333">
        <f>IF(Skills!M25=TRUE,(Skills!K25/10)*(E1333/1000),Skills!K25/10)+Skills!N25</f>
        <v/>
      </c>
      <c r="G1333">
        <f>Calc!G25</f>
        <v/>
      </c>
      <c r="H1333">
        <f>Calc!H25</f>
        <v/>
      </c>
      <c r="I1333">
        <f>IF(Skills!T25&lt;&gt;"",1+(Skills!T25/10)*($Z$3/1000)/100,1)</f>
        <v/>
      </c>
      <c r="J1333" t="inlineStr"/>
      <c r="K1333" t="inlineStr"/>
      <c r="L1333" t="inlineStr"/>
      <c r="M1333" t="inlineStr"/>
      <c r="N1333" t="inlineStr"/>
      <c r="O1333" t="n">
        <v>0</v>
      </c>
      <c r="P1333">
        <f>IF(B1348=0,0,O1333/B1348)</f>
        <v/>
      </c>
      <c r="Q1333">
        <f>IFERROR(1/IF(Inputs!$B$39="pvp",15,MAX(0.1,Skills!D25-IF(Skills!E25=TRUE,2.0,0))),0)</f>
        <v/>
      </c>
      <c r="R1333" t="n">
        <v>0</v>
      </c>
    </row>
    <row r="1334">
      <c r="A1334">
        <f>Skills!A26</f>
        <v/>
      </c>
      <c r="B1334">
        <f>Skills!B26</f>
        <v/>
      </c>
      <c r="C1334">
        <f>Inputs!$B$3&gt;=117</f>
        <v/>
      </c>
      <c r="D1334">
        <f>IF(Skills!C26=1,60+Inputs!$B$26+Inputs!$B$30,IF(Skills!C26=2,90+Inputs!$B$27+Inputs!$B$30,IF(Skills!C26=3,120+Inputs!$B$28+Inputs!$B$30,MAX(0,(Inputs!$B$3-100)*3)+Inputs!$B$29+Inputs!$B$30)))</f>
        <v/>
      </c>
      <c r="E1334">
        <f>INDEX(FactorTable!$B$2:$Y$301, MATCH(ROUND(MIN(300,MAX(1,D1334)),0), FactorTable!$A$2:$A$301,0), Skills!L26+1)</f>
        <v/>
      </c>
      <c r="F1334">
        <f>IF(Skills!M26=TRUE,(Skills!K26/10)*(E1334/1000),Skills!K26/10)+Skills!N26</f>
        <v/>
      </c>
      <c r="G1334">
        <f>Calc!G26</f>
        <v/>
      </c>
      <c r="H1334">
        <f>Calc!H26</f>
        <v/>
      </c>
      <c r="I1334">
        <f>IF(Skills!T26&lt;&gt;"",1+(Skills!T26/10)*($Z$3/1000)/100,1)</f>
        <v/>
      </c>
      <c r="J1334" t="inlineStr"/>
      <c r="K1334" t="inlineStr"/>
      <c r="L1334" t="inlineStr"/>
      <c r="M1334" t="inlineStr"/>
      <c r="N1334" t="inlineStr"/>
      <c r="O1334" t="n">
        <v>0</v>
      </c>
      <c r="P1334">
        <f>IF(B1348=0,0,O1334/B1348)</f>
        <v/>
      </c>
      <c r="Q1334">
        <f>IFERROR(1/IF(Inputs!$B$39="pvp",15,MAX(0.1,Skills!D26-IF(Skills!E26=TRUE,2.0,0))),0)</f>
        <v/>
      </c>
      <c r="R1334" t="n">
        <v>0</v>
      </c>
    </row>
    <row r="1335">
      <c r="A1335">
        <f>Skills!A27</f>
        <v/>
      </c>
      <c r="B1335">
        <f>Skills!B27</f>
        <v/>
      </c>
      <c r="C1335">
        <f>Inputs!$B$3&gt;=120</f>
        <v/>
      </c>
      <c r="D1335">
        <f>IF(Skills!C27=1,60+Inputs!$B$26+Inputs!$B$30,IF(Skills!C27=2,90+Inputs!$B$27+Inputs!$B$30,IF(Skills!C27=3,120+Inputs!$B$28+Inputs!$B$30,MAX(0,(Inputs!$B$3-100)*3)+Inputs!$B$29+Inputs!$B$30)))</f>
        <v/>
      </c>
      <c r="E1335">
        <f>INDEX(FactorTable!$B$2:$Y$301, MATCH(ROUND(MIN(300,MAX(1,D1335)),0), FactorTable!$A$2:$A$301,0), Skills!L27+1)</f>
        <v/>
      </c>
      <c r="F1335">
        <f>IF(Skills!M27=TRUE,(Skills!K27/10)*(E1335/1000),Skills!K27/10)+Skills!N27</f>
        <v/>
      </c>
      <c r="G1335">
        <f>Calc!G27</f>
        <v/>
      </c>
      <c r="H1335">
        <f>Calc!H27</f>
        <v/>
      </c>
      <c r="I1335">
        <f>IF(Skills!T27&lt;&gt;"",1+(Skills!T27/10)*($Z$3/1000)/100,1)</f>
        <v/>
      </c>
      <c r="J1335" t="inlineStr"/>
      <c r="K1335" t="inlineStr"/>
      <c r="L1335" t="inlineStr"/>
      <c r="M1335" t="inlineStr"/>
      <c r="N1335" t="inlineStr"/>
      <c r="O1335" t="n">
        <v>0</v>
      </c>
      <c r="P1335">
        <f>IF(B1348=0,0,O1335/B1348)</f>
        <v/>
      </c>
      <c r="Q1335">
        <f>IFERROR(1/IF(Inputs!$B$39="pvp",15,MAX(0.1,Skills!D27-IF(Skills!E27=TRUE,2.0,0))),0)</f>
        <v/>
      </c>
      <c r="R1335" t="n">
        <v>0</v>
      </c>
    </row>
    <row r="1337">
      <c r="A1337" t="inlineStr">
        <is>
          <t>Average Buff Multiplier</t>
        </is>
      </c>
      <c r="B1337">
        <f>(1+(IF(C1311=TRUE,F1311*IF(AND(Inputs!$B$39&lt;&gt;"pvp",Inputs!$B$44&gt;0),(((R1311-1)*(Skills!S3*(1+(Inputs!$B$35+IF(Inputs!$B$3&gt;=117,F1334,0))/100))+MIN((Skills!S3*(1+(Inputs!$B$35+IF(Inputs!$B$3&gt;=117,F1334,0))/100)),MAX(0,Inputs!$B$44-((R1311-1)*Skills!D3))))/Inputs!$B$44),IF(Inputs!$B$39="pvp",MIN((Skills!S3*(1+(Inputs!$B$35+IF(Inputs!$B$3&gt;=117,F1334,0))/100)),15)/15,(Skills!S3*(1+(Inputs!$B$35+IF(Inputs!$B$3&gt;=117,F1334,0))/100))/Skills!D3)),0)+IF(C1312=TRUE,F1312*IF(AND(Inputs!$B$39&lt;&gt;"pvp",Inputs!$B$44&gt;0),(((R1312-1)*(Skills!S4*(1+(Inputs!$B$35+IF(Inputs!$B$3&gt;=117,F1334,0))/100))+MIN((Skills!S4*(1+(Inputs!$B$35+IF(Inputs!$B$3&gt;=117,F1334,0))/100)),MAX(0,Inputs!$B$44-((R1312-1)*Skills!D4))))/Inputs!$B$44),IF(Inputs!$B$39="pvp",MIN((Skills!S4*(1+(Inputs!$B$35+IF(Inputs!$B$3&gt;=117,F1334,0))/100)),15)/15,(Skills!S4*(1+(Inputs!$B$35+IF(Inputs!$B$3&gt;=117,F1334,0))/100))/Skills!D4)),0)+IF(C1313=TRUE,F1313*IF(AND(Inputs!$B$39&lt;&gt;"pvp",Inputs!$B$44&gt;0),(((R1313-1)*(Skills!S5*(1+(Inputs!$B$35+IF(Inputs!$B$3&gt;=117,F1334,0))/100))+MIN((Skills!S5*(1+(Inputs!$B$35+IF(Inputs!$B$3&gt;=117,F1334,0))/100)),MAX(0,Inputs!$B$44-((R1313-1)*Skills!D5))))/Inputs!$B$44),IF(Inputs!$B$39="pvp",MIN((Skills!S5*(1+(Inputs!$B$35+IF(Inputs!$B$3&gt;=117,F1334,0))/100)),15)/15,(Skills!S5*(1+(Inputs!$B$35+IF(Inputs!$B$3&gt;=117,F1334,0))/100))/Skills!D5)),0)+IF(C1319=TRUE,F1319*IF(AND(Inputs!$B$39&lt;&gt;"pvp",Inputs!$B$44&gt;0),(((R1319-1)*(Skills!S11*(1+(Inputs!$B$35+IF(Inputs!$B$3&gt;=117,F1334,0))/100))+MIN((Skills!S11*(1+(Inputs!$B$35+IF(Inputs!$B$3&gt;=117,F1334,0))/100)),MAX(0,Inputs!$B$44-((R1319-1)*Skills!D11))))/Inputs!$B$44),IF(Inputs!$B$39="pvp",MIN((Skills!S11*(1+(Inputs!$B$35+IF(Inputs!$B$3&gt;=117,F1334,0))/100)),15)/15,(Skills!S11*(1+(Inputs!$B$35+IF(Inputs!$B$3&gt;=117,F1334,0))/100))/Skills!D11)),0))/100)*IF(C1322=TRUE,(1+F1322*IF(AND(Inputs!$B$39&lt;&gt;"pvp",Inputs!$B$44&gt;0),(((R1322-1)*(Skills!S14*(1+(Inputs!$B$35+IF(Inputs!$B$3&gt;=117,F1334,0))/100))+MIN((Skills!S14*(1+(Inputs!$B$35+IF(Inputs!$B$3&gt;=117,F1334,0))/100)),MAX(0,Inputs!$B$44-((R1322-1)*Skills!D14))))/Inputs!$B$44),IF(Inputs!$B$39="pvp",MIN((Skills!S14*(1+(Inputs!$B$35+IF(Inputs!$B$3&gt;=117,F1334,0))/100)),15)/15,(Skills!S14*(1+(Inputs!$B$35+IF(Inputs!$B$3&gt;=117,F1334,0))/100))/Skills!D14))/100),1)*IF(C1327=TRUE,(1+F1327*IF(AND(Inputs!$B$39&lt;&gt;"pvp",Inputs!$B$44&gt;0),(((R1327-1)*(Skills!S19*(1+(Inputs!$B$35+IF(Inputs!$B$3&gt;=117,F1334,0))/100))+MIN((Skills!S19*(1+(Inputs!$B$35+IF(Inputs!$B$3&gt;=117,F1334,0))/100)),MAX(0,Inputs!$B$44-((R1327-1)*Skills!D19))))/Inputs!$B$44),IF(Inputs!$B$39="pvp",MIN((Skills!S19*(1+(Inputs!$B$35+IF(Inputs!$B$3&gt;=117,F1334,0))/100)),15)/15,(Skills!S19*(1+(Inputs!$B$35+IF(Inputs!$B$3&gt;=117,F1334,0))/100))/Skills!D19))/100),1)</f>
        <v/>
      </c>
    </row>
    <row r="1338">
      <c r="A1338" t="inlineStr">
        <is>
          <t>Monster Damage Taken Bonus % (Holy Fountain)</t>
        </is>
      </c>
      <c r="B1338">
        <f>IF(Inputs!$B$3&gt;=68,20*IF(Inputs!$B$39="pvp",MIN((15*(1+(Inputs!$B$35+IF(Inputs!$B$3&gt;=117,F1334,0))/100)),15)/15,(15*(1+(Inputs!$B$35+IF(Inputs!$B$3&gt;=117,F1334,0))/100))/Skills!D10),0)</f>
        <v/>
      </c>
    </row>
    <row r="1339">
      <c r="A1339" t="inlineStr">
        <is>
          <t>Normal Monster Damage Bonus % (Holy Symbol)</t>
        </is>
      </c>
      <c r="B1339">
        <f>IF(C1320=TRUE,F1320*IF(AND(Inputs!$B$39&lt;&gt;"pvp",Inputs!$B$44&gt;0),(((R1320-1)*(Skills!S12*(1+(Inputs!$B$35+IF(Inputs!$B$3&gt;=117,F1334,0))/100))+MIN((Skills!S12*(1+(Inputs!$B$35+IF(Inputs!$B$3&gt;=117,F1334,0))/100)),MAX(0,Inputs!$B$44-((R1320-1)*Skills!D12))))/Inputs!$B$44),IF(Inputs!$B$39="pvp",MIN((Skills!S12*(1+(Inputs!$B$35+IF(Inputs!$B$3&gt;=117,F1334,0))/100)),15)/15,(Skills!S12*(1+(Inputs!$B$35+IF(Inputs!$B$3&gt;=117,F1334,0))/100))/Skills!D12)),0)</f>
        <v/>
      </c>
    </row>
    <row r="1340">
      <c r="A1340" t="inlineStr">
        <is>
          <t>Damage % Bonus (Holy Symbol - Damage Boost)</t>
        </is>
      </c>
      <c r="B1340">
        <f>Skills!O12</f>
        <v/>
      </c>
    </row>
    <row r="1341">
      <c r="A1341" t="inlineStr">
        <is>
          <t>Crit Damage % Bonus (Blood of the Divine)</t>
        </is>
      </c>
      <c r="B1341">
        <f>4*IF(C1328=TRUE,F1328,0)</f>
        <v/>
      </c>
    </row>
    <row r="1342">
      <c r="A1342" t="inlineStr">
        <is>
          <t>Attack Speed Bonus %</t>
        </is>
      </c>
      <c r="B1342">
        <f>IF(C1325=TRUE,F1325+(F1329-Calc!F21),0)+IF(Inputs!$B$3&gt;=134,15,0)</f>
        <v/>
      </c>
    </row>
    <row r="1343">
      <c r="A1343" t="inlineStr">
        <is>
          <t>Actions Per Second</t>
        </is>
      </c>
      <c r="B1343">
        <f>1+MIN(150,150*(1-(1-Inputs!$B$12/150)*(1-B1342/150)))/100</f>
        <v/>
      </c>
    </row>
    <row r="1344">
      <c r="A1344" t="inlineStr">
        <is>
          <t>Skill + Buff Cast Rate</t>
        </is>
      </c>
      <c r="B1344">
        <f>IF(AND(Inputs!$B$39&lt;&gt;"pvp",Inputs!$B$44&gt;0),SUMPRODUCT((Skills!E2:E27=TRUE)*(C1310:C1335=TRUE)*R1310:R1335)/Inputs!$B$44,SUMPRODUCT((Skills!E2:E27=TRUE)*(C1310:C1335=TRUE)*Q1310:Q1335))</f>
        <v/>
      </c>
    </row>
    <row r="1345">
      <c r="A1345" t="inlineStr">
        <is>
          <t>Big Bang Casts Per Second</t>
        </is>
      </c>
      <c r="B1345">
        <f>MAX(0,B1343-B1344)</f>
        <v/>
      </c>
    </row>
    <row r="1346">
      <c r="A1346" t="inlineStr">
        <is>
          <t>Defense % Bonus (Divine Protection)</t>
        </is>
      </c>
      <c r="B1346">
        <f>IF(C1321=TRUE,F1321*IF(AND(Inputs!$B$39&lt;&gt;"pvp",Inputs!$B$44&gt;0),(((R1321-1)*(Skills!S13*(1+(Inputs!$B$35+IF(Inputs!$B$3&gt;=117,F1334,0))/100))+MIN((Skills!S13*(1+(Inputs!$B$35+IF(Inputs!$B$3&gt;=117,F1334,0))/100)),MAX(0,Inputs!$B$44-((R1321-1)*Skills!D13))))/Inputs!$B$44),IF(Inputs!$B$39="pvp",MIN((Skills!S13*(1+(Inputs!$B$35+IF(Inputs!$B$3&gt;=117,F1334,0))/100)),15)/15,(Skills!S13*(1+(Inputs!$B$35+IF(Inputs!$B$3&gt;=117,F1334,0))/100))/Skills!D13)),0)</f>
        <v/>
      </c>
    </row>
    <row r="1347">
      <c r="A1347" t="inlineStr">
        <is>
          <t>Buff-Casting Startup Delay (s, fixed-duration only)</t>
        </is>
      </c>
      <c r="B1347">
        <f>IF(AND(Inputs!$B$39&lt;&gt;"pvp",Inputs!$B$44&gt;0),SUMPRODUCT((Skills!S2:S27&gt;0)*(Skills!E2:E27=TRUE)*(C1310:C1335=TRUE))/B1343,0)</f>
        <v/>
      </c>
    </row>
    <row r="1348">
      <c r="A1348" s="5" t="inlineStr">
        <is>
          <t>TOTAL DPS</t>
        </is>
      </c>
      <c r="B1348" s="5">
        <f>SUM(O1310:O1335)</f>
        <v/>
      </c>
    </row>
    <row r="1350">
      <c r="A1350" s="5" t="inlineStr">
        <is>
          <t>Stat: CDR = 2.5s</t>
        </is>
      </c>
    </row>
    <row r="1351">
      <c r="A1351" s="9" t="inlineStr">
        <is>
          <t>Key</t>
        </is>
      </c>
      <c r="B1351" s="9" t="inlineStr">
        <is>
          <t>Name</t>
        </is>
      </c>
      <c r="C1351" s="9" t="inlineStr">
        <is>
          <t>Unlocked</t>
        </is>
      </c>
      <c r="D1351" s="9" t="inlineStr">
        <is>
          <t>InputLevel</t>
        </is>
      </c>
      <c r="E1351" s="9" t="inlineStr">
        <is>
          <t>Factor</t>
        </is>
      </c>
      <c r="F1351" s="9" t="inlineStr">
        <is>
          <t>CoefficientPercent</t>
        </is>
      </c>
      <c r="G1351" s="9" t="inlineStr">
        <is>
          <t>EffectiveHits</t>
        </is>
      </c>
      <c r="H1351" s="9" t="inlineStr">
        <is>
          <t>ProcProbability</t>
        </is>
      </c>
      <c r="I1351" s="9" t="inlineStr">
        <is>
          <t>MapleHeroMultiplier</t>
        </is>
      </c>
      <c r="J1351" s="9" t="inlineStr">
        <is>
          <t>BaseDamage</t>
        </is>
      </c>
      <c r="K1351" s="9" t="inlineStr">
        <is>
          <t>BaseHitDamage</t>
        </is>
      </c>
      <c r="L1351" s="9" t="inlineStr">
        <is>
          <t>NonCritAvg</t>
        </is>
      </c>
      <c r="M1351" s="9" t="inlineStr">
        <is>
          <t>CritAvg</t>
        </is>
      </c>
      <c r="N1351" s="9" t="inlineStr">
        <is>
          <t>ExpectedDamage(perHit)</t>
        </is>
      </c>
      <c r="O1351" s="9" t="inlineStr">
        <is>
          <t>DPS</t>
        </is>
      </c>
      <c r="P1351" s="9" t="inlineStr">
        <is>
          <t>% of Total</t>
        </is>
      </c>
      <c r="R1351" t="inlineStr">
        <is>
          <t>helpers</t>
        </is>
      </c>
    </row>
    <row r="1352">
      <c r="A1352">
        <f>Skills!A2</f>
        <v/>
      </c>
      <c r="B1352">
        <f>Skills!B2</f>
        <v/>
      </c>
      <c r="C1352">
        <f>Inputs!$B$3&gt;=100</f>
        <v/>
      </c>
      <c r="D1352" t="inlineStr"/>
      <c r="E1352" t="inlineStr"/>
      <c r="F1352">
        <f>T1354+Skills!N2</f>
        <v/>
      </c>
      <c r="G1352">
        <f>Calc!G2</f>
        <v/>
      </c>
      <c r="H1352">
        <f>Calc!H2</f>
        <v/>
      </c>
      <c r="I1352">
        <f>IF(Skills!T2&lt;&gt;"",1+(Skills!T2/10)*($Z$3/1000)/100,1)</f>
        <v/>
      </c>
      <c r="J1352">
        <f>((Inputs!$B$6*(1+Inputs!$B$7/100))+(((Inputs!$B$13*(1+Inputs!$B$14/100))-(Inputs!$B$13*(1+Inputs!$B$14/100)))+0.25*(Inputs!$B$15-Inputs!$B$15))*(1+Inputs!$B$7/100))*(F1352/100)</f>
        <v/>
      </c>
      <c r="K1352">
        <f>J1352*(1+(((Inputs!$B$13+IF(Inputs!$B$3&gt;=35,(10*INDEX(FactorTable!$B$2:$Y$301, MATCH(ROUND(MIN(300,MAX(1,Inputs!$B$3)),0), FactorTable!$A$2:$A$301,0), 23)/1000)/100*(Inputs!$B$8*(1+(Inputs!$B$9+B1388)/100)),0))*(1+Inputs!$B$14/100))*0.01+Inputs!$B$15*0.0025)/100)*(1+(Inputs!$B$16+B1382)/100)*(1+IF(Inputs!$B$39="pvp",0,(1-Summary!$B$48)*(Inputs!$B$21+Skills!O2+B1380)+Summary!$B$48*(Inputs!$B$22+Skills!P2+B1381))/100)*(1+Inputs!$B$17/100)*(5000/(6000+Inputs!$B$43*(1-Inputs!$B$20/100)))*(1+Inputs!$B$25/100)*(1+IF(C1368=TRUE,F1368,0)/100)*(1+IF(C1370=TRUE,F1370,0)/100)*(1+IF(Skills!A2="TRIUMPH_FEATHER",IF(C1366=TRUE,F1366,0),0)/100)*(1+IF(C1377=TRUE,F1377,0)/100)^5*(1+(IF(Skills!A2="BIG_BANG",Inputs!$B$18,Inputs!$B$19))/100)*(B1379*I1352)</f>
        <v/>
      </c>
      <c r="L1352">
        <f>K1352*(MIN(Inputs!$B$23+(F1372-Calc!F22),Inputs!$B$24)/100+Inputs!$B$24/100)/2</f>
        <v/>
      </c>
      <c r="M1352">
        <f>L1352*(1+(Inputs!$B$11+B1383+(F1375-Calc!F25))/100)</f>
        <v/>
      </c>
      <c r="N1352">
        <f>L1352*(1-MIN(Inputs!$B$10+((F1374-Calc!F24)+(F1373-Calc!F23)),100)/100)+M1352*(MIN(Inputs!$B$10+((F1374-Calc!F24)+(F1373-Calc!F23)),100)/100)</f>
        <v/>
      </c>
      <c r="O1352">
        <f>IF(C1352,Skills!F2*N1352*B1387*IF(Inputs!$B$39="pvp",1,(1-Summary!$B$48)*(1)+Summary!$B$48*(MIN((6+Inputs!$B$34),Inputs!$B$38))),0)</f>
        <v/>
      </c>
      <c r="P1352">
        <f>IF(B1390=0,0,O1352/B1390)</f>
        <v/>
      </c>
      <c r="Q1352">
        <f>IFERROR(1/IF(Inputs!$B$39="pvp",15,MAX(0.1,Skills!D2-IF(Skills!E2=TRUE,2.5,0))),0)</f>
        <v/>
      </c>
      <c r="R1352" t="n">
        <v>0</v>
      </c>
      <c r="T1352">
        <f>MAX(0,(Inputs!$B$3-100)*3)+Inputs!$B$29+Inputs!$B$30</f>
        <v/>
      </c>
    </row>
    <row r="1353">
      <c r="A1353">
        <f>Skills!A3</f>
        <v/>
      </c>
      <c r="B1353">
        <f>Skills!B3</f>
        <v/>
      </c>
      <c r="C1353">
        <f>Inputs!$B$3&gt;=15</f>
        <v/>
      </c>
      <c r="D1353">
        <f>IF(Skills!C3=1,60+Inputs!$B$26+Inputs!$B$30,IF(Skills!C3=2,90+Inputs!$B$27+Inputs!$B$30,IF(Skills!C3=3,120+Inputs!$B$28+Inputs!$B$30,MAX(0,(Inputs!$B$3-100)*3)+Inputs!$B$29+Inputs!$B$30)))</f>
        <v/>
      </c>
      <c r="E1353">
        <f>INDEX(FactorTable!$B$2:$Y$301, MATCH(ROUND(MIN(300,MAX(1,D1353)),0), FactorTable!$A$2:$A$301,0), Skills!L3+1)</f>
        <v/>
      </c>
      <c r="F1353">
        <f>IF(Skills!M3=TRUE,(Skills!K3/10)*(E1353/1000),Skills!K3/10)+Skills!N3</f>
        <v/>
      </c>
      <c r="G1353">
        <f>Calc!G3</f>
        <v/>
      </c>
      <c r="H1353">
        <f>Calc!H3</f>
        <v/>
      </c>
      <c r="I1353">
        <f>IF(Skills!T3&lt;&gt;"",1+(Skills!T3/10)*($Z$3/1000)/100,1)</f>
        <v/>
      </c>
      <c r="J1353" t="inlineStr"/>
      <c r="K1353" t="inlineStr"/>
      <c r="L1353" t="inlineStr"/>
      <c r="M1353" t="inlineStr"/>
      <c r="N1353" t="inlineStr"/>
      <c r="O1353" t="n">
        <v>0</v>
      </c>
      <c r="P1353">
        <f>IF(B1390=0,0,O1353/B1390)</f>
        <v/>
      </c>
      <c r="Q1353">
        <f>IFERROR(1/IF(Inputs!$B$39="pvp",15,MAX(0.1,Skills!D3-IF(Skills!E3=TRUE,2.5,0))),0)</f>
        <v/>
      </c>
      <c r="R1353">
        <f>IF(AND(Inputs!$B$39&lt;&gt;"pvp",Inputs!$B$44&gt;0),IF(Inputs!$B$44&lt;=0,0,(INT(Inputs!$B$44/IF(Inputs!$B$39="pvp",15,MAX(0.1,Skills!D3-IF(Skills!E3=TRUE,2.5,0))))+1)),0)</f>
        <v/>
      </c>
      <c r="T1353">
        <f>INDEX(FactorTable!$B$2:$Y$301, MATCH(ROUND(MIN(300,MAX(1,T1352)),0), FactorTable!$A$2:$A$301,0), 22)</f>
        <v/>
      </c>
    </row>
    <row r="1354">
      <c r="A1354">
        <f>Skills!A4</f>
        <v/>
      </c>
      <c r="B1354">
        <f>Skills!B4</f>
        <v/>
      </c>
      <c r="C1354">
        <f>Inputs!$B$3&gt;=38</f>
        <v/>
      </c>
      <c r="D1354">
        <f>IF(Skills!C4=1,60+Inputs!$B$26+Inputs!$B$30,IF(Skills!C4=2,90+Inputs!$B$27+Inputs!$B$30,IF(Skills!C4=3,120+Inputs!$B$28+Inputs!$B$30,MAX(0,(Inputs!$B$3-100)*3)+Inputs!$B$29+Inputs!$B$30)))</f>
        <v/>
      </c>
      <c r="E1354">
        <f>INDEX(FactorTable!$B$2:$Y$301, MATCH(ROUND(MIN(300,MAX(1,D1354)),0), FactorTable!$A$2:$A$301,0), Skills!L4+1)</f>
        <v/>
      </c>
      <c r="F1354">
        <f>IF(Skills!M4=TRUE,(Skills!K4/10)*(E1354/1000),Skills!K4/10)+Skills!N4</f>
        <v/>
      </c>
      <c r="G1354">
        <f>Calc!G4</f>
        <v/>
      </c>
      <c r="H1354">
        <f>Calc!H4</f>
        <v/>
      </c>
      <c r="I1354">
        <f>IF(Skills!T4&lt;&gt;"",1+(Skills!T4/10)*($Z$3/1000)/100,1)</f>
        <v/>
      </c>
      <c r="J1354" t="inlineStr"/>
      <c r="K1354" t="inlineStr"/>
      <c r="L1354" t="inlineStr"/>
      <c r="M1354" t="inlineStr"/>
      <c r="N1354" t="inlineStr"/>
      <c r="O1354" t="n">
        <v>0</v>
      </c>
      <c r="P1354">
        <f>IF(B1390=0,0,O1354/B1390)</f>
        <v/>
      </c>
      <c r="Q1354">
        <f>IFERROR(1/IF(Inputs!$B$39="pvp",15,MAX(0.1,Skills!D4-IF(Skills!E4=TRUE,2.5,0))),0)</f>
        <v/>
      </c>
      <c r="R1354">
        <f>IF(AND(Inputs!$B$39&lt;&gt;"pvp",Inputs!$B$44&gt;0),IF(Inputs!$B$44&lt;=0,0,(INT(Inputs!$B$44/IF(Inputs!$B$39="pvp",15,MAX(0.1,Skills!D4-IF(Skills!E4=TRUE,2.5,0))))+1)),0)</f>
        <v/>
      </c>
      <c r="T1354">
        <f>290*T1353/1000</f>
        <v/>
      </c>
    </row>
    <row r="1355">
      <c r="A1355">
        <f>Skills!A5</f>
        <v/>
      </c>
      <c r="B1355">
        <f>Skills!B5</f>
        <v/>
      </c>
      <c r="C1355">
        <f>Inputs!$B$3&gt;=40</f>
        <v/>
      </c>
      <c r="D1355">
        <f>IF(Skills!C5=1,60+Inputs!$B$26+Inputs!$B$30,IF(Skills!C5=2,90+Inputs!$B$27+Inputs!$B$30,IF(Skills!C5=3,120+Inputs!$B$28+Inputs!$B$30,MAX(0,(Inputs!$B$3-100)*3)+Inputs!$B$29+Inputs!$B$30)))</f>
        <v/>
      </c>
      <c r="E1355">
        <f>INDEX(FactorTable!$B$2:$Y$301, MATCH(ROUND(MIN(300,MAX(1,D1355)),0), FactorTable!$A$2:$A$301,0), Skills!L5+1)</f>
        <v/>
      </c>
      <c r="F1355">
        <f>IF(Skills!M5=TRUE,(Skills!K5/10)*(E1355/1000),Skills!K5/10)+Skills!N5</f>
        <v/>
      </c>
      <c r="G1355">
        <f>Calc!G5</f>
        <v/>
      </c>
      <c r="H1355">
        <f>Calc!H5</f>
        <v/>
      </c>
      <c r="I1355">
        <f>IF(Skills!T5&lt;&gt;"",1+(Skills!T5/10)*($Z$3/1000)/100,1)</f>
        <v/>
      </c>
      <c r="J1355" t="inlineStr"/>
      <c r="K1355" t="inlineStr"/>
      <c r="L1355" t="inlineStr"/>
      <c r="M1355" t="inlineStr"/>
      <c r="N1355" t="inlineStr"/>
      <c r="O1355" t="n">
        <v>0</v>
      </c>
      <c r="P1355">
        <f>IF(B1390=0,0,O1355/B1390)</f>
        <v/>
      </c>
      <c r="Q1355">
        <f>IFERROR(1/IF(Inputs!$B$39="pvp",15,MAX(0.1,Skills!D5-IF(Skills!E5=TRUE,2.5,0))),0)</f>
        <v/>
      </c>
      <c r="R1355">
        <f>IF(AND(Inputs!$B$39&lt;&gt;"pvp",Inputs!$B$44&gt;0),IF(Inputs!$B$44&lt;=0,0,(INT(Inputs!$B$44/IF(Inputs!$B$39="pvp",15,MAX(0.1,Skills!D5-IF(Skills!E5=TRUE,2.5,0))))+1)),0)</f>
        <v/>
      </c>
    </row>
    <row r="1356">
      <c r="A1356">
        <f>Skills!A6</f>
        <v/>
      </c>
      <c r="B1356">
        <f>Skills!B6</f>
        <v/>
      </c>
      <c r="C1356">
        <f>Inputs!$B$3&gt;=103</f>
        <v/>
      </c>
      <c r="D1356">
        <f>IF(Skills!C6=1,60+Inputs!$B$26+Inputs!$B$30,IF(Skills!C6=2,90+Inputs!$B$27+Inputs!$B$30,IF(Skills!C6=3,120+Inputs!$B$28+Inputs!$B$30,MAX(0,(Inputs!$B$3-100)*3)+Inputs!$B$29+Inputs!$B$30)))</f>
        <v/>
      </c>
      <c r="E1356">
        <f>INDEX(FactorTable!$B$2:$Y$301, MATCH(ROUND(MIN(300,MAX(1,D1356)),0), FactorTable!$A$2:$A$301,0), Skills!L6+1)</f>
        <v/>
      </c>
      <c r="F1356">
        <f>IF(Skills!M6=TRUE,(Skills!K6/10)*(E1356/1000),Skills!K6/10)+Skills!N6</f>
        <v/>
      </c>
      <c r="G1356">
        <f>Calc!G6</f>
        <v/>
      </c>
      <c r="H1356">
        <f>Calc!H6</f>
        <v/>
      </c>
      <c r="I1356">
        <f>IF(Skills!T6&lt;&gt;"",1+(Skills!T6/10)*($Z$3/1000)/100,1)</f>
        <v/>
      </c>
      <c r="J1356">
        <f>((Inputs!$B$6*(1+Inputs!$B$7/100))+(((Inputs!$B$13*(1+Inputs!$B$14/100))-(Inputs!$B$13*(1+Inputs!$B$14/100)))+0.25*(Inputs!$B$15-Inputs!$B$15))*(1+Inputs!$B$7/100))*(F1356/100)</f>
        <v/>
      </c>
      <c r="K1356">
        <f>J1356*(1+(((Inputs!$B$13+IF(Inputs!$B$3&gt;=35,(10*INDEX(FactorTable!$B$2:$Y$301, MATCH(ROUND(MIN(300,MAX(1,Inputs!$B$3)),0), FactorTable!$A$2:$A$301,0), 23)/1000)/100*(Inputs!$B$8*(1+(Inputs!$B$9+B1388)/100)),0))*(1+Inputs!$B$14/100))*0.01+Inputs!$B$15*0.0025)/100)*(1+(Inputs!$B$16+B1382)/100)*(1+IF(Inputs!$B$39="pvp",0,(1-Summary!$B$48)*(Inputs!$B$21+Skills!O6+B1380)+Summary!$B$48*(Inputs!$B$22+Skills!P6+B1381))/100)*(1+Inputs!$B$17/100)*(5000/(6000+Inputs!$B$43*(1-Inputs!$B$20/100)))*(1+Inputs!$B$25/100)*(1+IF(C1368=TRUE,F1368,0)/100)*(1+IF(C1370=TRUE,F1370,0)/100)*(1+IF(Skills!A6="TRIUMPH_FEATHER",IF(C1366=TRUE,F1366,0),0)/100)*(1+IF(C1377=TRUE,F1377,0)/100)^5*(1+(IF(Skills!A6="BIG_BANG",Inputs!$B$18,Inputs!$B$19))/100)*(B1379*I1356)</f>
        <v/>
      </c>
      <c r="L1356">
        <f>K1356*(MIN(Inputs!$B$23+(F1372-Calc!F22),Inputs!$B$24)/100+Inputs!$B$24/100)/2</f>
        <v/>
      </c>
      <c r="M1356">
        <f>L1356*(1+(Inputs!$B$11+B1383+(F1375-Calc!F25))/100)</f>
        <v/>
      </c>
      <c r="N1356">
        <f>L1356*(1-MIN(Inputs!$B$10+((F1374-Calc!F24)+(F1373-Calc!F23)),100)/100)+M1356*(MIN(Inputs!$B$10+((F1374-Calc!F24)+(F1373-Calc!F23)),100)/100)</f>
        <v/>
      </c>
      <c r="O1356">
        <f>IF(C1356,H1356*N1356*IF(AND(Inputs!$B$39&lt;&gt;"pvp",Inputs!$B$44&gt;0),((Skills!F6*((R1356-1)*IF(Skills!G6&gt;0,Skills!H6/Skills!G6,1)+IF(Skills!G6&gt;0,MIN(Skills!H6,MAX(0,MAX(0,Inputs!$B$44-B1389)-((R1356-1)*IF(Inputs!$B$39="pvp",15,MAX(0.1,Skills!D6-IF(Skills!E6=TRUE,2.5,0))))))/Skills!G6,1)))/Inputs!$B$44),G1356*Q1356)*IF(Inputs!$B$39="pvp",1,(1-Summary!$B$48)*(1)+Summary!$B$48*(MIN(Skills!Q6,Inputs!$B$38))),0)</f>
        <v/>
      </c>
      <c r="P1356">
        <f>IF(B1390=0,0,O1356/B1390)</f>
        <v/>
      </c>
      <c r="Q1356">
        <f>IFERROR(1/IF(Inputs!$B$39="pvp",15,MAX(0.1,Skills!D6-IF(Skills!E6=TRUE,2.5,0))),0)</f>
        <v/>
      </c>
      <c r="R1356">
        <f>IF(AND(Inputs!$B$39&lt;&gt;"pvp",Inputs!$B$44&gt;0),IF(MAX(0,Inputs!$B$44-B1389)&lt;=0,0,(INT(MAX(0,Inputs!$B$44-B1389)/IF(Inputs!$B$39="pvp",15,MAX(0.1,Skills!D6-IF(Skills!E6=TRUE,2.5,0))))+1)),0)</f>
        <v/>
      </c>
    </row>
    <row r="1357">
      <c r="A1357">
        <f>Skills!A7</f>
        <v/>
      </c>
      <c r="B1357">
        <f>Skills!B7</f>
        <v/>
      </c>
      <c r="C1357">
        <f>Inputs!$B$3&gt;=122</f>
        <v/>
      </c>
      <c r="D1357">
        <f>IF(Skills!C7=1,60+Inputs!$B$26+Inputs!$B$30,IF(Skills!C7=2,90+Inputs!$B$27+Inputs!$B$30,IF(Skills!C7=3,120+Inputs!$B$28+Inputs!$B$30,MAX(0,(Inputs!$B$3-100)*3)+Inputs!$B$29+Inputs!$B$30)))</f>
        <v/>
      </c>
      <c r="E1357">
        <f>INDEX(FactorTable!$B$2:$Y$301, MATCH(ROUND(MIN(300,MAX(1,D1357)),0), FactorTable!$A$2:$A$301,0), Skills!L7+1)</f>
        <v/>
      </c>
      <c r="F1357">
        <f>IF(Skills!M7=TRUE,(Skills!K7/10)*(E1357/1000),Skills!K7/10)+Skills!N7</f>
        <v/>
      </c>
      <c r="G1357">
        <f>Calc!G7</f>
        <v/>
      </c>
      <c r="H1357">
        <f>Calc!H7</f>
        <v/>
      </c>
      <c r="I1357">
        <f>IF(Skills!T7&lt;&gt;"",1+(Skills!T7/10)*($Z$3/1000)/100,1)</f>
        <v/>
      </c>
      <c r="J1357">
        <f>((Inputs!$B$6*(1+Inputs!$B$7/100))+(((Inputs!$B$13*(1+Inputs!$B$14/100))-(Inputs!$B$13*(1+Inputs!$B$14/100)))+0.25*(Inputs!$B$15-Inputs!$B$15))*(1+Inputs!$B$7/100))*(F1357/100)</f>
        <v/>
      </c>
      <c r="K1357">
        <f>J1357*(1+(((Inputs!$B$13+IF(Inputs!$B$3&gt;=35,(10*INDEX(FactorTable!$B$2:$Y$301, MATCH(ROUND(MIN(300,MAX(1,Inputs!$B$3)),0), FactorTable!$A$2:$A$301,0), 23)/1000)/100*(Inputs!$B$8*(1+(Inputs!$B$9+B1388)/100)),0))*(1+Inputs!$B$14/100))*0.01+Inputs!$B$15*0.0025)/100)*(1+(Inputs!$B$16+B1382)/100)*(1+IF(Inputs!$B$39="pvp",0,(1-Summary!$B$48)*(Inputs!$B$21+Skills!O7+B1380)+Summary!$B$48*(Inputs!$B$22+Skills!P7+B1381))/100)*(1+Inputs!$B$17/100)*(5000/(6000+Inputs!$B$43*(1-Inputs!$B$20/100)))*(1+Inputs!$B$25/100)*(1+IF(C1368=TRUE,F1368,0)/100)*(1+IF(C1370=TRUE,F1370,0)/100)*(1+IF(Skills!A7="TRIUMPH_FEATHER",IF(C1366=TRUE,F1366,0),0)/100)*(1+IF(C1377=TRUE,F1377,0)/100)^5*(1+(IF(Skills!A7="BIG_BANG",Inputs!$B$18,Inputs!$B$19))/100)*(B1379*I1357)</f>
        <v/>
      </c>
      <c r="L1357">
        <f>K1357*(MIN(Inputs!$B$23+(F1372-Calc!F22),Inputs!$B$24)/100+Inputs!$B$24/100)/2</f>
        <v/>
      </c>
      <c r="M1357">
        <f>L1357*(1+(Inputs!$B$11+B1383+(F1375-Calc!F25))/100)</f>
        <v/>
      </c>
      <c r="N1357">
        <f>L1357*(1-MIN(Inputs!$B$10+((F1374-Calc!F24)+(F1373-Calc!F23)),100)/100)+M1357*(MIN(Inputs!$B$10+((F1374-Calc!F24)+(F1373-Calc!F23)),100)/100)</f>
        <v/>
      </c>
      <c r="O1357">
        <f>IF(C1357,H1357*N1357*IF(AND(Inputs!$B$39&lt;&gt;"pvp",Inputs!$B$44&gt;0),((Skills!F7*((R1357-1)*IF(Skills!G7&gt;0,Skills!H7/Skills!G7,1)+IF(Skills!G7&gt;0,MIN(Skills!H7,MAX(0,MAX(0,Inputs!$B$44-B1389)-((R1357-1)*IF(Inputs!$B$39="pvp",15,MAX(0.1,Skills!D7-IF(Skills!E6=TRUE,2.5,0))))))/Skills!G7,1)))/Inputs!$B$44),G1357*Q1357)*(1-Summary!$B$48),0)</f>
        <v/>
      </c>
      <c r="P1357">
        <f>IF(B1390=0,0,O1357/B1390)</f>
        <v/>
      </c>
      <c r="Q1357">
        <f>IFERROR(1/IF(Inputs!$B$39="pvp",15,MAX(0.1,Skills!D7-IF(Skills!E6=TRUE,2.5,0))),0)</f>
        <v/>
      </c>
      <c r="R1357">
        <f>IF(AND(Inputs!$B$39&lt;&gt;"pvp",Inputs!$B$44&gt;0),IF(MAX(0,Inputs!$B$44-B1389)&lt;=0,0,(INT(MAX(0,Inputs!$B$44-B1389)/IF(Inputs!$B$39="pvp",15,MAX(0.1,Skills!D7-IF(Skills!E6=TRUE,2.5,0))))+1)),0)</f>
        <v/>
      </c>
    </row>
    <row r="1358">
      <c r="A1358">
        <f>Skills!A8</f>
        <v/>
      </c>
      <c r="B1358">
        <f>Skills!B8</f>
        <v/>
      </c>
      <c r="C1358">
        <f>Inputs!$B$3&gt;=105</f>
        <v/>
      </c>
      <c r="D1358">
        <f>IF(Skills!C8=1,60+Inputs!$B$26+Inputs!$B$30,IF(Skills!C8=2,90+Inputs!$B$27+Inputs!$B$30,IF(Skills!C8=3,120+Inputs!$B$28+Inputs!$B$30,MAX(0,(Inputs!$B$3-100)*3)+Inputs!$B$29+Inputs!$B$30)))</f>
        <v/>
      </c>
      <c r="E1358">
        <f>INDEX(FactorTable!$B$2:$Y$301, MATCH(ROUND(MIN(300,MAX(1,D1358)),0), FactorTable!$A$2:$A$301,0), Skills!L8+1)</f>
        <v/>
      </c>
      <c r="F1358">
        <f>IF(Skills!M8=TRUE,(Skills!K8/10)*(E1358/1000),Skills!K8/10)+Skills!N8</f>
        <v/>
      </c>
      <c r="G1358">
        <f>Calc!G8</f>
        <v/>
      </c>
      <c r="H1358">
        <f>Calc!H8</f>
        <v/>
      </c>
      <c r="I1358">
        <f>IF(Skills!T8&lt;&gt;"",1+(Skills!T8/10)*($Z$3/1000)/100,1)</f>
        <v/>
      </c>
      <c r="J1358">
        <f>((Inputs!$B$6*(1+Inputs!$B$7/100))+(((Inputs!$B$13*(1+Inputs!$B$14/100))-(Inputs!$B$13*(1+Inputs!$B$14/100)))+0.25*(Inputs!$B$15-Inputs!$B$15))*(1+Inputs!$B$7/100))*(F1358/100)</f>
        <v/>
      </c>
      <c r="K1358">
        <f>J1358*(1+(((Inputs!$B$13+IF(Inputs!$B$3&gt;=35,(10*INDEX(FactorTable!$B$2:$Y$301, MATCH(ROUND(MIN(300,MAX(1,Inputs!$B$3)),0), FactorTable!$A$2:$A$301,0), 23)/1000)/100*(Inputs!$B$8*(1+(Inputs!$B$9+B1388)/100)),0))*(1+Inputs!$B$14/100))*0.01+Inputs!$B$15*0.0025)/100)*(1+(Inputs!$B$16+B1382)/100)*(1+IF(Inputs!$B$39="pvp",0,(1-Summary!$B$48)*(Inputs!$B$21+Skills!O8+B1380)+Summary!$B$48*(Inputs!$B$22+Skills!P8+B1381))/100)*(1+Inputs!$B$17/100)*(5000/(6000+Inputs!$B$43*(1-Inputs!$B$20/100)))*(1+Inputs!$B$25/100)*(1+IF(C1368=TRUE,F1368,0)/100)*(1+IF(C1370=TRUE,F1370,0)/100)*(1+IF(Skills!A8="TRIUMPH_FEATHER",IF(C1366=TRUE,F1366,0),0)/100)*(1+IF(C1377=TRUE,F1377,0)/100)^5*(1+(IF(Skills!A8="BIG_BANG",Inputs!$B$18,Inputs!$B$19))/100)*(B1379*I1358)</f>
        <v/>
      </c>
      <c r="L1358">
        <f>K1358*(MIN(Inputs!$B$23+(F1372-Calc!F22),Inputs!$B$24)/100+Inputs!$B$24/100)/2</f>
        <v/>
      </c>
      <c r="M1358">
        <f>L1358*(1+(Inputs!$B$11+B1383+(F1375-Calc!F25))/100)</f>
        <v/>
      </c>
      <c r="N1358">
        <f>L1358*(1-MIN(Inputs!$B$10+((F1374-Calc!F24)+(F1373-Calc!F23)),100)/100)+M1358*(MIN(Inputs!$B$10+((F1374-Calc!F24)+(F1373-Calc!F23)),100)/100)</f>
        <v/>
      </c>
      <c r="O1358">
        <f>IF(C1358,H1358*N1358*IF(AND(Inputs!$B$39&lt;&gt;"pvp",Inputs!$B$44&gt;0),((Skills!F8*((R1358-1)*IF(Skills!G8&gt;0,Skills!H8/Skills!G8,1)+IF(Skills!G8&gt;0,MIN(Skills!H8,MAX(0,MAX(0,Inputs!$B$44-B1389)-((R1358-1)*IF(Inputs!$B$39="pvp",15,MAX(0.1,Skills!D8-IF(Skills!E8=TRUE,2.5,0))))))/Skills!G8,1)))/Inputs!$B$44),G1358*Q1358)*IF(Inputs!$B$39="pvp",1,(1-Summary!$B$48)*(1)+Summary!$B$48*(MIN(Skills!Q8,Inputs!$B$38))),0)</f>
        <v/>
      </c>
      <c r="P1358">
        <f>IF(B1390=0,0,O1358/B1390)</f>
        <v/>
      </c>
      <c r="Q1358">
        <f>IFERROR(1/IF(Inputs!$B$39="pvp",15,MAX(0.1,Skills!D8-IF(Skills!E8=TRUE,2.5,0))),0)</f>
        <v/>
      </c>
      <c r="R1358">
        <f>IF(AND(Inputs!$B$39&lt;&gt;"pvp",Inputs!$B$44&gt;0),IF(MAX(0,Inputs!$B$44-B1389)&lt;=0,0,(INT(MAX(0,Inputs!$B$44-B1389)/IF(Inputs!$B$39="pvp",15,MAX(0.1,Skills!D8-IF(Skills!E8=TRUE,2.5,0))))+1)),0)</f>
        <v/>
      </c>
    </row>
    <row r="1359">
      <c r="A1359">
        <f>Skills!A9</f>
        <v/>
      </c>
      <c r="B1359">
        <f>Skills!B9</f>
        <v/>
      </c>
      <c r="C1359">
        <f>Inputs!$B$3&gt;=115</f>
        <v/>
      </c>
      <c r="D1359">
        <f>IF(Skills!C9=1,60+Inputs!$B$26+Inputs!$B$30,IF(Skills!C9=2,90+Inputs!$B$27+Inputs!$B$30,IF(Skills!C9=3,120+Inputs!$B$28+Inputs!$B$30,MAX(0,(Inputs!$B$3-100)*3)+Inputs!$B$29+Inputs!$B$30)))</f>
        <v/>
      </c>
      <c r="E1359">
        <f>INDEX(FactorTable!$B$2:$Y$301, MATCH(ROUND(MIN(300,MAX(1,D1359)),0), FactorTable!$A$2:$A$301,0), Skills!L9+1)</f>
        <v/>
      </c>
      <c r="F1359">
        <f>IF(Skills!M9=TRUE,(Skills!K9/10)*(E1359/1000),Skills!K9/10)+Skills!N9</f>
        <v/>
      </c>
      <c r="G1359">
        <f>Calc!G9</f>
        <v/>
      </c>
      <c r="H1359">
        <f>Calc!H9</f>
        <v/>
      </c>
      <c r="I1359">
        <f>IF(Skills!T9&lt;&gt;"",1+(Skills!T9/10)*($Z$3/1000)/100,1)</f>
        <v/>
      </c>
      <c r="J1359">
        <f>((Inputs!$B$6*(1+Inputs!$B$7/100))+(((Inputs!$B$13*(1+Inputs!$B$14/100))-(Inputs!$B$13*(1+Inputs!$B$14/100)))+0.25*(Inputs!$B$15-Inputs!$B$15))*(1+Inputs!$B$7/100))*(F1359/100)</f>
        <v/>
      </c>
      <c r="K1359">
        <f>J1359*(1+(((Inputs!$B$13+IF(Inputs!$B$3&gt;=35,(10*INDEX(FactorTable!$B$2:$Y$301, MATCH(ROUND(MIN(300,MAX(1,Inputs!$B$3)),0), FactorTable!$A$2:$A$301,0), 23)/1000)/100*(Inputs!$B$8*(1+(Inputs!$B$9+B1388)/100)),0))*(1+Inputs!$B$14/100))*0.01+Inputs!$B$15*0.0025)/100)*(1+(Inputs!$B$16+B1382)/100)*(1+IF(Inputs!$B$39="pvp",0,(1-Summary!$B$48)*(Inputs!$B$21+Skills!O9+B1380)+Summary!$B$48*(Inputs!$B$22+Skills!P9+B1381))/100)*(1+Inputs!$B$17/100)*(5000/(6000+Inputs!$B$43*(1-Inputs!$B$20/100)))*(1+Inputs!$B$25/100)*(1+IF(C1368=TRUE,F1368,0)/100)*(1+IF(C1370=TRUE,F1370,0)/100)*(1+IF(Skills!A9="TRIUMPH_FEATHER",IF(C1366=TRUE,F1366,0),0)/100)*(1+IF(C1377=TRUE,F1377,0)/100)^5*(1+(IF(Skills!A9="BIG_BANG",Inputs!$B$18,Inputs!$B$19))/100)*(B1379*I1359)</f>
        <v/>
      </c>
      <c r="L1359">
        <f>K1359*(MIN(Inputs!$B$23+(F1372-Calc!F22),Inputs!$B$24)/100+Inputs!$B$24/100)/2</f>
        <v/>
      </c>
      <c r="M1359">
        <f>L1359*(1+(Inputs!$B$11+B1383+(F1375-Calc!F25))/100)</f>
        <v/>
      </c>
      <c r="N1359">
        <f>L1359*(1-MIN(Inputs!$B$10+((F1374-Calc!F24)+(F1373-Calc!F23)),100)/100)+M1359*(MIN(Inputs!$B$10+((F1374-Calc!F24)+(F1373-Calc!F23)),100)/100)</f>
        <v/>
      </c>
      <c r="O1359">
        <f>IF(C1359,H1359*N1359*IF(AND(Inputs!$B$39&lt;&gt;"pvp",Inputs!$B$44&gt;0),((Skills!F9*((R1359-1)*IF(Skills!G9&gt;0,Skills!H9/Skills!G9,1)+IF(Skills!G9&gt;0,MIN(Skills!H9,MAX(0,MAX(0,Inputs!$B$44-B1389)-((R1359-1)*IF(Inputs!$B$39="pvp",15,MAX(0.1,Skills!D9-IF(Skills!E9=TRUE,2.5,0))))))/Skills!G9,1)))/Inputs!$B$44),G1359*Q1359)*IF(Inputs!$B$39="pvp",1,(1-Summary!$B$48)*(1)+Summary!$B$48*(MIN(Skills!Q9,Inputs!$B$38))),0)</f>
        <v/>
      </c>
      <c r="P1359">
        <f>IF(B1390=0,0,O1359/B1390)</f>
        <v/>
      </c>
      <c r="Q1359">
        <f>IFERROR(1/IF(Inputs!$B$39="pvp",15,MAX(0.1,Skills!D9-IF(Skills!E9=TRUE,2.5,0))),0)</f>
        <v/>
      </c>
      <c r="R1359">
        <f>IF(AND(Inputs!$B$39&lt;&gt;"pvp",Inputs!$B$44&gt;0),IF(MAX(0,Inputs!$B$44-B1389)&lt;=0,0,(INT(MAX(0,Inputs!$B$44-B1389)/IF(Inputs!$B$39="pvp",15,MAX(0.1,Skills!D9-IF(Skills!E9=TRUE,2.5,0))))+1)),0)</f>
        <v/>
      </c>
    </row>
    <row r="1360">
      <c r="A1360">
        <f>Skills!A10</f>
        <v/>
      </c>
      <c r="B1360">
        <f>Skills!B10</f>
        <v/>
      </c>
      <c r="C1360">
        <f>Inputs!$B$3&gt;=66</f>
        <v/>
      </c>
      <c r="D1360">
        <f>IF(Skills!C10=1,60+Inputs!$B$26+Inputs!$B$30,IF(Skills!C10=2,90+Inputs!$B$27+Inputs!$B$30,IF(Skills!C10=3,120+Inputs!$B$28+Inputs!$B$30,MAX(0,(Inputs!$B$3-100)*3)+Inputs!$B$29+Inputs!$B$30)))</f>
        <v/>
      </c>
      <c r="E1360">
        <f>INDEX(FactorTable!$B$2:$Y$301, MATCH(ROUND(MIN(300,MAX(1,D1360)),0), FactorTable!$A$2:$A$301,0), Skills!L10+1)</f>
        <v/>
      </c>
      <c r="F1360" t="n">
        <v>0</v>
      </c>
      <c r="G1360">
        <f>Calc!G10</f>
        <v/>
      </c>
      <c r="H1360">
        <f>Calc!H10</f>
        <v/>
      </c>
      <c r="I1360">
        <f>IF(Skills!T10&lt;&gt;"",1+(Skills!T10/10)*($Z$3/1000)/100,1)</f>
        <v/>
      </c>
      <c r="J1360" t="inlineStr"/>
      <c r="K1360" t="inlineStr"/>
      <c r="L1360" t="inlineStr"/>
      <c r="M1360" t="inlineStr"/>
      <c r="N1360" t="inlineStr"/>
      <c r="O1360" t="n">
        <v>0</v>
      </c>
      <c r="P1360">
        <f>IF(B1390=0,0,O1360/B1390)</f>
        <v/>
      </c>
      <c r="Q1360">
        <f>IFERROR(1/IF(Inputs!$B$39="pvp",15,MAX(0.1,Skills!D10-IF(Skills!E10=TRUE,2.5,0))),0)</f>
        <v/>
      </c>
      <c r="R1360">
        <f>IF(AND(Inputs!$B$39&lt;&gt;"pvp",Inputs!$B$44&gt;0),IF(MAX(0,Inputs!$B$44-B1389)&lt;=0,0,(INT(MAX(0,Inputs!$B$44-B1389)/IF(Inputs!$B$39="pvp",15,MAX(0.1,Skills!D10-IF(Skills!E10=TRUE,2.5,0))))+1)),0)</f>
        <v/>
      </c>
    </row>
    <row r="1361">
      <c r="A1361">
        <f>Skills!A11</f>
        <v/>
      </c>
      <c r="B1361">
        <f>Skills!B11</f>
        <v/>
      </c>
      <c r="C1361">
        <f>Inputs!$B$3&gt;=69</f>
        <v/>
      </c>
      <c r="D1361">
        <f>IF(Skills!C11=1,60+Inputs!$B$26+Inputs!$B$30,IF(Skills!C11=2,90+Inputs!$B$27+Inputs!$B$30,IF(Skills!C11=3,120+Inputs!$B$28+Inputs!$B$30,MAX(0,(Inputs!$B$3-100)*3)+Inputs!$B$29+Inputs!$B$30)))</f>
        <v/>
      </c>
      <c r="E1361">
        <f>INDEX(FactorTable!$B$2:$Y$301, MATCH(ROUND(MIN(300,MAX(1,D1361)),0), FactorTable!$A$2:$A$301,0), Skills!L11+1)</f>
        <v/>
      </c>
      <c r="F1361">
        <f>IF(Skills!M11=TRUE,(Skills!K11/10)*(E1361/1000),Skills!K11/10)+Skills!N11</f>
        <v/>
      </c>
      <c r="G1361">
        <f>Calc!G11</f>
        <v/>
      </c>
      <c r="H1361">
        <f>Calc!H11</f>
        <v/>
      </c>
      <c r="I1361">
        <f>IF(Skills!T11&lt;&gt;"",1+(Skills!T11/10)*($Z$3/1000)/100,1)</f>
        <v/>
      </c>
      <c r="J1361" t="inlineStr"/>
      <c r="K1361" t="inlineStr"/>
      <c r="L1361" t="inlineStr"/>
      <c r="M1361" t="inlineStr"/>
      <c r="N1361" t="inlineStr"/>
      <c r="O1361" t="n">
        <v>0</v>
      </c>
      <c r="P1361">
        <f>IF(B1390=0,0,O1361/B1390)</f>
        <v/>
      </c>
      <c r="Q1361">
        <f>IFERROR(1/IF(Inputs!$B$39="pvp",15,MAX(0.1,Skills!D11-IF(Skills!E11=TRUE,2.5,0))),0)</f>
        <v/>
      </c>
      <c r="R1361">
        <f>IF(AND(Inputs!$B$39&lt;&gt;"pvp",Inputs!$B$44&gt;0),IF(Inputs!$B$44&lt;=0,0,(INT(Inputs!$B$44/IF(Inputs!$B$39="pvp",15,MAX(0.1,Skills!D11-IF(Skills!E11=TRUE,2.5,0))))+1)),0)</f>
        <v/>
      </c>
    </row>
    <row r="1362">
      <c r="A1362">
        <f>Skills!A12</f>
        <v/>
      </c>
      <c r="B1362">
        <f>Skills!B12</f>
        <v/>
      </c>
      <c r="C1362">
        <f>Inputs!$B$3&gt;=72</f>
        <v/>
      </c>
      <c r="D1362">
        <f>IF(Skills!C12=1,60+Inputs!$B$26+Inputs!$B$30,IF(Skills!C12=2,90+Inputs!$B$27+Inputs!$B$30,IF(Skills!C12=3,120+Inputs!$B$28+Inputs!$B$30,MAX(0,(Inputs!$B$3-100)*3)+Inputs!$B$29+Inputs!$B$30)))</f>
        <v/>
      </c>
      <c r="E1362">
        <f>INDEX(FactorTable!$B$2:$Y$301, MATCH(ROUND(MIN(300,MAX(1,D1362)),0), FactorTable!$A$2:$A$301,0), Skills!L12+1)</f>
        <v/>
      </c>
      <c r="F1362">
        <f>IF(Skills!M12=TRUE,(Skills!K12/10)*(E1362/1000),Skills!K12/10)+Skills!N12</f>
        <v/>
      </c>
      <c r="G1362">
        <f>Calc!G12</f>
        <v/>
      </c>
      <c r="H1362">
        <f>Calc!H12</f>
        <v/>
      </c>
      <c r="I1362">
        <f>IF(Skills!T12&lt;&gt;"",1+(Skills!T12/10)*($Z$3/1000)/100,1)</f>
        <v/>
      </c>
      <c r="J1362" t="inlineStr"/>
      <c r="K1362" t="inlineStr"/>
      <c r="L1362" t="inlineStr"/>
      <c r="M1362" t="inlineStr"/>
      <c r="N1362" t="inlineStr"/>
      <c r="O1362" t="n">
        <v>0</v>
      </c>
      <c r="P1362">
        <f>IF(B1390=0,0,O1362/B1390)</f>
        <v/>
      </c>
      <c r="Q1362">
        <f>IFERROR(1/IF(Inputs!$B$39="pvp",15,MAX(0.1,Skills!D12-IF(Skills!E12=TRUE,2.5,0))),0)</f>
        <v/>
      </c>
      <c r="R1362">
        <f>IF(AND(Inputs!$B$39&lt;&gt;"pvp",Inputs!$B$44&gt;0),IF(MAX(0,Inputs!$B$44-B1389)&lt;=0,0,(INT(MAX(0,Inputs!$B$44-B1389)/IF(Inputs!$B$39="pvp",15,MAX(0.1,Skills!D12-IF(Skills!E12=TRUE,2.5,0))))+1)),0)</f>
        <v/>
      </c>
    </row>
    <row r="1363">
      <c r="A1363">
        <f>Skills!A13</f>
        <v/>
      </c>
      <c r="B1363">
        <f>Skills!B13</f>
        <v/>
      </c>
      <c r="C1363">
        <f>Inputs!$B$3&gt;=60</f>
        <v/>
      </c>
      <c r="D1363">
        <f>IF(Skills!C13=1,60+Inputs!$B$26+Inputs!$B$30,IF(Skills!C13=2,90+Inputs!$B$27+Inputs!$B$30,IF(Skills!C13=3,120+Inputs!$B$28+Inputs!$B$30,MAX(0,(Inputs!$B$3-100)*3)+Inputs!$B$29+Inputs!$B$30)))</f>
        <v/>
      </c>
      <c r="E1363">
        <f>INDEX(FactorTable!$B$2:$Y$301, MATCH(ROUND(MIN(300,MAX(1,D1363)),0), FactorTable!$A$2:$A$301,0), Skills!L13+1)</f>
        <v/>
      </c>
      <c r="F1363">
        <f>IF(Skills!M13=TRUE,(Skills!K13/10)*(E1363/1000),Skills!K13/10)+Skills!N13</f>
        <v/>
      </c>
      <c r="G1363">
        <f>Calc!G13</f>
        <v/>
      </c>
      <c r="H1363">
        <f>Calc!H13</f>
        <v/>
      </c>
      <c r="I1363">
        <f>IF(Skills!T13&lt;&gt;"",1+(Skills!T13/10)*($Z$3/1000)/100,1)</f>
        <v/>
      </c>
      <c r="J1363" t="inlineStr"/>
      <c r="K1363" t="inlineStr"/>
      <c r="L1363" t="inlineStr"/>
      <c r="M1363" t="inlineStr"/>
      <c r="N1363" t="inlineStr"/>
      <c r="O1363" t="n">
        <v>0</v>
      </c>
      <c r="P1363">
        <f>IF(B1390=0,0,O1363/B1390)</f>
        <v/>
      </c>
      <c r="Q1363">
        <f>IFERROR(1/IF(Inputs!$B$39="pvp",15,MAX(0.1,Skills!D13-IF(Skills!E13=TRUE,2.5,0))),0)</f>
        <v/>
      </c>
      <c r="R1363">
        <f>IF(AND(Inputs!$B$39&lt;&gt;"pvp",Inputs!$B$44&gt;0),IF(MAX(0,Inputs!$B$44-B1389)&lt;=0,0,(INT(MAX(0,Inputs!$B$44-B1389)/IF(Inputs!$B$39="pvp",15,MAX(0.1,Skills!D13-IF(Skills!E13=TRUE,2.5,0))))+1)),0)</f>
        <v/>
      </c>
    </row>
    <row r="1364">
      <c r="A1364">
        <f>Skills!A14</f>
        <v/>
      </c>
      <c r="B1364">
        <f>Skills!B14</f>
        <v/>
      </c>
      <c r="C1364">
        <f>Inputs!$B$3&gt;=107</f>
        <v/>
      </c>
      <c r="D1364">
        <f>IF(Skills!C14=1,60+Inputs!$B$26+Inputs!$B$30,IF(Skills!C14=2,90+Inputs!$B$27+Inputs!$B$30,IF(Skills!C14=3,120+Inputs!$B$28+Inputs!$B$30,MAX(0,(Inputs!$B$3-100)*3)+Inputs!$B$29+Inputs!$B$30)))</f>
        <v/>
      </c>
      <c r="E1364">
        <f>INDEX(FactorTable!$B$2:$Y$301, MATCH(ROUND(MIN(300,MAX(1,D1364)),0), FactorTable!$A$2:$A$301,0), Skills!L14+1)</f>
        <v/>
      </c>
      <c r="F1364">
        <f>IF(Skills!M14=TRUE,(Skills!K14/10)*(E1364/1000),Skills!K14/10)+Skills!N14</f>
        <v/>
      </c>
      <c r="G1364">
        <f>Calc!G14</f>
        <v/>
      </c>
      <c r="H1364">
        <f>Calc!H14</f>
        <v/>
      </c>
      <c r="I1364">
        <f>IF(Skills!T14&lt;&gt;"",1+(Skills!T14/10)*($Z$3/1000)/100,1)</f>
        <v/>
      </c>
      <c r="J1364" t="inlineStr"/>
      <c r="K1364" t="inlineStr"/>
      <c r="L1364" t="inlineStr"/>
      <c r="M1364" t="inlineStr"/>
      <c r="N1364" t="inlineStr"/>
      <c r="O1364" t="n">
        <v>0</v>
      </c>
      <c r="P1364">
        <f>IF(B1390=0,0,O1364/B1390)</f>
        <v/>
      </c>
      <c r="Q1364">
        <f>IFERROR(1/IF(Inputs!$B$39="pvp",15,MAX(0.1,Skills!D14-IF(Skills!E14=TRUE,2.5,0))),0)</f>
        <v/>
      </c>
      <c r="R1364">
        <f>IF(AND(Inputs!$B$39&lt;&gt;"pvp",Inputs!$B$44&gt;0),IF(Inputs!$B$44&lt;=0,0,(INT(Inputs!$B$44/IF(Inputs!$B$39="pvp",15,MAX(0.1,Skills!D14-IF(Skills!E14=TRUE,2.5,0))))+1)),0)</f>
        <v/>
      </c>
    </row>
    <row r="1365">
      <c r="A1365">
        <f>Skills!A15</f>
        <v/>
      </c>
      <c r="B1365">
        <f>Skills!B15</f>
        <v/>
      </c>
      <c r="C1365">
        <f>Inputs!$B$3&gt;=63</f>
        <v/>
      </c>
      <c r="D1365">
        <f>IF(Skills!C15=1,60+Inputs!$B$26+Inputs!$B$30,IF(Skills!C15=2,90+Inputs!$B$27+Inputs!$B$30,IF(Skills!C15=3,120+Inputs!$B$28+Inputs!$B$30,MAX(0,(Inputs!$B$3-100)*3)+Inputs!$B$29+Inputs!$B$30)))</f>
        <v/>
      </c>
      <c r="E1365">
        <f>INDEX(FactorTable!$B$2:$Y$301, MATCH(ROUND(MIN(300,MAX(1,D1365)),0), FactorTable!$A$2:$A$301,0), Skills!L15+1)</f>
        <v/>
      </c>
      <c r="F1365">
        <f>IF(Skills!M15=TRUE,(Skills!K15/10)*(E1365/1000),Skills!K15/10)+Skills!N15</f>
        <v/>
      </c>
      <c r="G1365">
        <f>Calc!G15</f>
        <v/>
      </c>
      <c r="H1365">
        <f>Calc!H15</f>
        <v/>
      </c>
      <c r="I1365">
        <f>IF(Skills!T15&lt;&gt;"",1+(Skills!T15/10)*($Z$3/1000)/100,1)</f>
        <v/>
      </c>
      <c r="J1365">
        <f>((Inputs!$B$6*(1+Inputs!$B$7/100))+(((Inputs!$B$13*(1+Inputs!$B$14/100))-(Inputs!$B$13*(1+Inputs!$B$14/100)))+0.25*(Inputs!$B$15-Inputs!$B$15))*(1+Inputs!$B$7/100))*(F1365/100)</f>
        <v/>
      </c>
      <c r="K1365">
        <f>J1365*(1+(((Inputs!$B$13+IF(Inputs!$B$3&gt;=35,(10*INDEX(FactorTable!$B$2:$Y$301, MATCH(ROUND(MIN(300,MAX(1,Inputs!$B$3)),0), FactorTable!$A$2:$A$301,0), 23)/1000)/100*(Inputs!$B$8*(1+(Inputs!$B$9+B1388)/100)),0))*(1+Inputs!$B$14/100))*0.01+Inputs!$B$15*0.0025)/100)*(1+(Inputs!$B$16+B1382)/100)*(1+IF(Inputs!$B$39="pvp",0,(1-Summary!$B$48)*(Inputs!$B$21+Skills!O15+B1380)+Summary!$B$48*(Inputs!$B$22+Skills!P15+B1381))/100)*(1+Inputs!$B$17/100)*(5000/(6000+Inputs!$B$43*(1-Inputs!$B$20/100)))*(1+Inputs!$B$25/100)*(1+IF(C1368=TRUE,F1368,0)/100)*(1+IF(C1370=TRUE,F1370,0)/100)*(1+IF(Skills!A15="TRIUMPH_FEATHER",IF(C1366=TRUE,F1366,0),0)/100)*(1+IF(C1377=TRUE,F1377,0)/100)^5*(1+(IF(Skills!A15="BIG_BANG",Inputs!$B$18,Inputs!$B$19))/100)*(B1379*I1365)</f>
        <v/>
      </c>
      <c r="L1365">
        <f>K1365*(MIN(Inputs!$B$23+(F1372-Calc!F22),Inputs!$B$24)/100+Inputs!$B$24/100)/2</f>
        <v/>
      </c>
      <c r="M1365">
        <f>L1365*(1+(Inputs!$B$11+B1383+(F1375-Calc!F25))/100)</f>
        <v/>
      </c>
      <c r="N1365">
        <f>L1365*(1-MIN(Inputs!$B$10+((F1374-Calc!F24)+(F1373-Calc!F23)),100)/100)+M1365*(MIN(Inputs!$B$10+((F1374-Calc!F24)+(F1373-Calc!F23)),100)/100)</f>
        <v/>
      </c>
      <c r="O1365">
        <f>IF(C1365,Skills!F15*N1365*((IF(Inputs!$B$3&gt;=78,25,15)/100*B1385*10)/(1+IF(Inputs!$B$3&gt;=78,25,15)/100*B1385*10))*(Skills!I15/100*B1385)/(1+Skills!G15*Skills!I15/100*B1385)*IF(Inputs!$B$39="pvp",1,(1-Summary!$B$48)*(1)+Summary!$B$48*(MIN(Skills!Q15,Inputs!$B$38))),0)</f>
        <v/>
      </c>
      <c r="P1365">
        <f>IF(B1390=0,0,O1365/B1390)</f>
        <v/>
      </c>
      <c r="Q1365">
        <f>IFERROR(1/IF(Inputs!$B$39="pvp",15,MAX(0.1,Skills!D15-IF(Skills!E15=TRUE,2.5,0))),0)</f>
        <v/>
      </c>
      <c r="R1365" t="n">
        <v>0</v>
      </c>
    </row>
    <row r="1366">
      <c r="A1366">
        <f>Skills!A16</f>
        <v/>
      </c>
      <c r="B1366">
        <f>Skills!B16</f>
        <v/>
      </c>
      <c r="C1366">
        <f>Inputs!$B$3&gt;=100</f>
        <v/>
      </c>
      <c r="D1366">
        <f>IF(Skills!C16=1,60+Inputs!$B$26+Inputs!$B$30,IF(Skills!C16=2,90+Inputs!$B$27+Inputs!$B$30,IF(Skills!C16=3,120+Inputs!$B$28+Inputs!$B$30,MAX(0,(Inputs!$B$3-100)*3)+Inputs!$B$29+Inputs!$B$30)))</f>
        <v/>
      </c>
      <c r="E1366">
        <f>INDEX(FactorTable!$B$2:$Y$301, MATCH(ROUND(MIN(300,MAX(1,D1366)),0), FactorTable!$A$2:$A$301,0), Skills!L16+1)</f>
        <v/>
      </c>
      <c r="F1366">
        <f>IF(Skills!M16=TRUE,(Skills!K16/10)*(E1366/1000),Skills!K16/10)+Skills!N16</f>
        <v/>
      </c>
      <c r="G1366">
        <f>Calc!G16</f>
        <v/>
      </c>
      <c r="H1366">
        <f>Calc!H16</f>
        <v/>
      </c>
      <c r="I1366">
        <f>IF(Skills!T16&lt;&gt;"",1+(Skills!T16/10)*($Z$3/1000)/100,1)</f>
        <v/>
      </c>
      <c r="J1366" t="inlineStr"/>
      <c r="K1366" t="inlineStr"/>
      <c r="L1366" t="inlineStr"/>
      <c r="M1366" t="inlineStr"/>
      <c r="N1366" t="inlineStr"/>
      <c r="O1366" t="n">
        <v>0</v>
      </c>
      <c r="P1366">
        <f>IF(B1390=0,0,O1366/B1390)</f>
        <v/>
      </c>
      <c r="Q1366">
        <f>IFERROR(1/IF(Inputs!$B$39="pvp",15,MAX(0.1,Skills!D16-IF(Skills!E16=TRUE,2.5,0))),0)</f>
        <v/>
      </c>
      <c r="R1366" t="n">
        <v>0</v>
      </c>
    </row>
    <row r="1367">
      <c r="A1367">
        <f>Skills!A17</f>
        <v/>
      </c>
      <c r="B1367">
        <f>Skills!B17</f>
        <v/>
      </c>
      <c r="C1367">
        <f>Inputs!$B$3&gt;=49</f>
        <v/>
      </c>
      <c r="D1367">
        <f>IF(Skills!C17=1,60+Inputs!$B$26+Inputs!$B$30,IF(Skills!C17=2,90+Inputs!$B$27+Inputs!$B$30,IF(Skills!C17=3,120+Inputs!$B$28+Inputs!$B$30,MAX(0,(Inputs!$B$3-100)*3)+Inputs!$B$29+Inputs!$B$30)))</f>
        <v/>
      </c>
      <c r="E1367">
        <f>INDEX(FactorTable!$B$2:$Y$301, MATCH(ROUND(MIN(300,MAX(1,D1367)),0), FactorTable!$A$2:$A$301,0), Skills!L17+1)</f>
        <v/>
      </c>
      <c r="F1367">
        <f>IF(Skills!M17=TRUE,(Skills!K17/10)*(E1367/1000),Skills!K17/10)+Skills!N17</f>
        <v/>
      </c>
      <c r="G1367">
        <f>Calc!G17</f>
        <v/>
      </c>
      <c r="H1367">
        <f>Calc!H17</f>
        <v/>
      </c>
      <c r="I1367">
        <f>IF(Skills!T17&lt;&gt;"",1+(Skills!T17/10)*($Z$3/1000)/100,1)</f>
        <v/>
      </c>
      <c r="J1367" t="inlineStr"/>
      <c r="K1367" t="inlineStr"/>
      <c r="L1367" t="inlineStr"/>
      <c r="M1367" t="inlineStr"/>
      <c r="N1367" t="inlineStr"/>
      <c r="O1367" t="n">
        <v>0</v>
      </c>
      <c r="P1367">
        <f>IF(B1390=0,0,O1367/B1390)</f>
        <v/>
      </c>
      <c r="Q1367">
        <f>IFERROR(1/IF(Inputs!$B$39="pvp",15,MAX(0.1,Skills!D17-IF(Skills!E17=TRUE,2.5,0))),0)</f>
        <v/>
      </c>
      <c r="R1367" t="n">
        <v>0</v>
      </c>
    </row>
    <row r="1368">
      <c r="A1368">
        <f>Skills!A18</f>
        <v/>
      </c>
      <c r="B1368">
        <f>Skills!B18</f>
        <v/>
      </c>
      <c r="C1368">
        <f>Inputs!$B$3&gt;=75</f>
        <v/>
      </c>
      <c r="D1368">
        <f>IF(Skills!C18=1,60+Inputs!$B$26+Inputs!$B$30,IF(Skills!C18=2,90+Inputs!$B$27+Inputs!$B$30,IF(Skills!C18=3,120+Inputs!$B$28+Inputs!$B$30,MAX(0,(Inputs!$B$3-100)*3)+Inputs!$B$29+Inputs!$B$30)))</f>
        <v/>
      </c>
      <c r="E1368">
        <f>INDEX(FactorTable!$B$2:$Y$301, MATCH(ROUND(MIN(300,MAX(1,D1368)),0), FactorTable!$A$2:$A$301,0), Skills!L18+1)</f>
        <v/>
      </c>
      <c r="F1368">
        <f>IF(Skills!M18=TRUE,(Skills!K18/10)*(E1368/1000),Skills!K18/10)+Skills!N18</f>
        <v/>
      </c>
      <c r="G1368">
        <f>Calc!G18</f>
        <v/>
      </c>
      <c r="H1368">
        <f>Calc!H18</f>
        <v/>
      </c>
      <c r="I1368">
        <f>IF(Skills!T18&lt;&gt;"",1+(Skills!T18/10)*($Z$3/1000)/100,1)</f>
        <v/>
      </c>
      <c r="J1368" t="inlineStr"/>
      <c r="K1368" t="inlineStr"/>
      <c r="L1368" t="inlineStr"/>
      <c r="M1368" t="inlineStr"/>
      <c r="N1368" t="inlineStr"/>
      <c r="O1368" t="n">
        <v>0</v>
      </c>
      <c r="P1368">
        <f>IF(B1390=0,0,O1368/B1390)</f>
        <v/>
      </c>
      <c r="Q1368">
        <f>IFERROR(1/IF(Inputs!$B$39="pvp",15,MAX(0.1,Skills!D18-IF(Skills!E18=TRUE,2.5,0))),0)</f>
        <v/>
      </c>
      <c r="R1368" t="n">
        <v>0</v>
      </c>
    </row>
    <row r="1369">
      <c r="A1369">
        <f>Skills!A19</f>
        <v/>
      </c>
      <c r="B1369">
        <f>Skills!B19</f>
        <v/>
      </c>
      <c r="C1369">
        <f>Inputs!$B$3&gt;=110</f>
        <v/>
      </c>
      <c r="D1369">
        <f>IF(Skills!C19=1,60+Inputs!$B$26+Inputs!$B$30,IF(Skills!C19=2,90+Inputs!$B$27+Inputs!$B$30,IF(Skills!C19=3,120+Inputs!$B$28+Inputs!$B$30,MAX(0,(Inputs!$B$3-100)*3)+Inputs!$B$29+Inputs!$B$30)))</f>
        <v/>
      </c>
      <c r="E1369">
        <f>INDEX(FactorTable!$B$2:$Y$301, MATCH(ROUND(MIN(300,MAX(1,D1369)),0), FactorTable!$A$2:$A$301,0), Skills!L19+1)</f>
        <v/>
      </c>
      <c r="F1369">
        <f>(Skills!K19/10)*(E1369/1000)*64/45+Skills!N19</f>
        <v/>
      </c>
      <c r="G1369">
        <f>Calc!G19</f>
        <v/>
      </c>
      <c r="H1369">
        <f>Calc!H19</f>
        <v/>
      </c>
      <c r="I1369">
        <f>IF(Skills!T19&lt;&gt;"",1+(Skills!T19/10)*($Z$3/1000)/100,1)</f>
        <v/>
      </c>
      <c r="J1369" t="inlineStr"/>
      <c r="K1369" t="inlineStr"/>
      <c r="L1369" t="inlineStr"/>
      <c r="M1369" t="inlineStr"/>
      <c r="N1369" t="inlineStr"/>
      <c r="O1369" t="n">
        <v>0</v>
      </c>
      <c r="P1369">
        <f>IF(B1390=0,0,O1369/B1390)</f>
        <v/>
      </c>
      <c r="Q1369">
        <f>IFERROR(1/IF(Inputs!$B$39="pvp",15,MAX(0.1,Skills!D19-IF(Skills!E19=TRUE,2.5,0))),0)</f>
        <v/>
      </c>
      <c r="R1369">
        <f>IF(AND(Inputs!$B$39&lt;&gt;"pvp",Inputs!$B$44&gt;0),IF(Inputs!$B$44&lt;=0,0,(INT(Inputs!$B$44/IF(Inputs!$B$39="pvp",15,MAX(0.1,Skills!D19-IF(Skills!E19=TRUE,2.5,0))))+1)),0)</f>
        <v/>
      </c>
    </row>
    <row r="1370">
      <c r="A1370">
        <f>Skills!A20</f>
        <v/>
      </c>
      <c r="B1370">
        <f>Skills!B20</f>
        <v/>
      </c>
      <c r="C1370">
        <f>Inputs!$B$3&gt;=125</f>
        <v/>
      </c>
      <c r="D1370">
        <f>IF(Skills!C20=1,60+Inputs!$B$26+Inputs!$B$30,IF(Skills!C20=2,90+Inputs!$B$27+Inputs!$B$30,IF(Skills!C20=3,120+Inputs!$B$28+Inputs!$B$30,MAX(0,(Inputs!$B$3-100)*3)+Inputs!$B$29+Inputs!$B$30)))</f>
        <v/>
      </c>
      <c r="E1370">
        <f>INDEX(FactorTable!$B$2:$Y$301, MATCH(ROUND(MIN(300,MAX(1,D1370)),0), FactorTable!$A$2:$A$301,0), Skills!L20+1)</f>
        <v/>
      </c>
      <c r="F1370">
        <f>IF(Skills!M20=TRUE,(Skills!K20/10)*(E1370/1000),Skills!K20/10)+Skills!N20</f>
        <v/>
      </c>
      <c r="G1370">
        <f>Calc!G20</f>
        <v/>
      </c>
      <c r="H1370">
        <f>Calc!H20</f>
        <v/>
      </c>
      <c r="I1370">
        <f>IF(Skills!T20&lt;&gt;"",1+(Skills!T20/10)*($Z$3/1000)/100,1)</f>
        <v/>
      </c>
      <c r="J1370" t="inlineStr"/>
      <c r="K1370" t="inlineStr"/>
      <c r="L1370" t="inlineStr"/>
      <c r="M1370" t="inlineStr"/>
      <c r="N1370" t="inlineStr"/>
      <c r="O1370" t="n">
        <v>0</v>
      </c>
      <c r="P1370">
        <f>IF(B1390=0,0,O1370/B1390)</f>
        <v/>
      </c>
      <c r="Q1370">
        <f>IFERROR(1/IF(Inputs!$B$39="pvp",15,MAX(0.1,Skills!D20-IF(Skills!E20=TRUE,2.5,0))),0)</f>
        <v/>
      </c>
      <c r="R1370" t="n">
        <v>0</v>
      </c>
    </row>
    <row r="1371">
      <c r="A1371">
        <f>Skills!A21</f>
        <v/>
      </c>
      <c r="B1371">
        <f>Skills!B21</f>
        <v/>
      </c>
      <c r="C1371">
        <f>Inputs!$B$3&gt;=33</f>
        <v/>
      </c>
      <c r="D1371">
        <f>IF(Skills!C21=1,60+Inputs!$B$26+Inputs!$B$30,IF(Skills!C21=2,90+Inputs!$B$27+Inputs!$B$30,IF(Skills!C21=3,120+Inputs!$B$28+Inputs!$B$30,MAX(0,(Inputs!$B$3-100)*3)+Inputs!$B$29+Inputs!$B$30)))</f>
        <v/>
      </c>
      <c r="E1371">
        <f>INDEX(FactorTable!$B$2:$Y$301, MATCH(ROUND(MIN(300,MAX(1,D1371)),0), FactorTable!$A$2:$A$301,0), Skills!L21+1)</f>
        <v/>
      </c>
      <c r="F1371">
        <f>IF(Skills!M21=TRUE,(Skills!K21/10)*(E1371/1000),Skills!K21/10)+Skills!N21</f>
        <v/>
      </c>
      <c r="G1371">
        <f>Calc!G21</f>
        <v/>
      </c>
      <c r="H1371">
        <f>Calc!H21</f>
        <v/>
      </c>
      <c r="I1371">
        <f>IF(Skills!T21&lt;&gt;"",1+(Skills!T21/10)*($Z$3/1000)/100,1)</f>
        <v/>
      </c>
      <c r="J1371" t="inlineStr"/>
      <c r="K1371" t="inlineStr"/>
      <c r="L1371" t="inlineStr"/>
      <c r="M1371" t="inlineStr"/>
      <c r="N1371" t="inlineStr"/>
      <c r="O1371" t="n">
        <v>0</v>
      </c>
      <c r="P1371">
        <f>IF(B1390=0,0,O1371/B1390)</f>
        <v/>
      </c>
      <c r="Q1371">
        <f>IFERROR(1/IF(Inputs!$B$39="pvp",15,MAX(0.1,Skills!D21-IF(Skills!E21=TRUE,2.5,0))),0)</f>
        <v/>
      </c>
      <c r="R1371" t="n">
        <v>0</v>
      </c>
    </row>
    <row r="1372">
      <c r="A1372">
        <f>Skills!A22</f>
        <v/>
      </c>
      <c r="B1372">
        <f>Skills!B22</f>
        <v/>
      </c>
      <c r="C1372">
        <f>Inputs!$B$3&gt;=43</f>
        <v/>
      </c>
      <c r="D1372">
        <f>IF(Skills!C22=1,60+Inputs!$B$26+Inputs!$B$30,IF(Skills!C22=2,90+Inputs!$B$27+Inputs!$B$30,IF(Skills!C22=3,120+Inputs!$B$28+Inputs!$B$30,MAX(0,(Inputs!$B$3-100)*3)+Inputs!$B$29+Inputs!$B$30)))</f>
        <v/>
      </c>
      <c r="E1372">
        <f>INDEX(FactorTable!$B$2:$Y$301, MATCH(ROUND(MIN(300,MAX(1,D1372)),0), FactorTable!$A$2:$A$301,0), Skills!L22+1)</f>
        <v/>
      </c>
      <c r="F1372">
        <f>IF(Skills!M22=TRUE,(Skills!K22/10)*(E1372/1000),Skills!K22/10)+Skills!N22</f>
        <v/>
      </c>
      <c r="G1372">
        <f>Calc!G22</f>
        <v/>
      </c>
      <c r="H1372">
        <f>Calc!H22</f>
        <v/>
      </c>
      <c r="I1372">
        <f>IF(Skills!T22&lt;&gt;"",1+(Skills!T22/10)*($Z$3/1000)/100,1)</f>
        <v/>
      </c>
      <c r="J1372" t="inlineStr"/>
      <c r="K1372" t="inlineStr"/>
      <c r="L1372" t="inlineStr"/>
      <c r="M1372" t="inlineStr"/>
      <c r="N1372" t="inlineStr"/>
      <c r="O1372" t="n">
        <v>0</v>
      </c>
      <c r="P1372">
        <f>IF(B1390=0,0,O1372/B1390)</f>
        <v/>
      </c>
      <c r="Q1372">
        <f>IFERROR(1/IF(Inputs!$B$39="pvp",15,MAX(0.1,Skills!D22-IF(Skills!E22=TRUE,2.5,0))),0)</f>
        <v/>
      </c>
      <c r="R1372" t="n">
        <v>0</v>
      </c>
    </row>
    <row r="1373">
      <c r="A1373">
        <f>Skills!A23</f>
        <v/>
      </c>
      <c r="B1373">
        <f>Skills!B23</f>
        <v/>
      </c>
      <c r="C1373">
        <f>Inputs!$B$3&gt;=50</f>
        <v/>
      </c>
      <c r="D1373">
        <f>IF(Skills!C23=1,60+Inputs!$B$26+Inputs!$B$30,IF(Skills!C23=2,90+Inputs!$B$27+Inputs!$B$30,IF(Skills!C23=3,120+Inputs!$B$28+Inputs!$B$30,MAX(0,(Inputs!$B$3-100)*3)+Inputs!$B$29+Inputs!$B$30)))</f>
        <v/>
      </c>
      <c r="E1373">
        <f>INDEX(FactorTable!$B$2:$Y$301, MATCH(ROUND(MIN(300,MAX(1,D1373)),0), FactorTable!$A$2:$A$301,0), Skills!L23+1)</f>
        <v/>
      </c>
      <c r="F1373">
        <f>IF(Skills!M23=TRUE,(Skills!K23/10)*(E1373/1000),Skills!K23/10)+Skills!N23</f>
        <v/>
      </c>
      <c r="G1373">
        <f>Calc!G23</f>
        <v/>
      </c>
      <c r="H1373">
        <f>Calc!H23</f>
        <v/>
      </c>
      <c r="I1373">
        <f>IF(Skills!T23&lt;&gt;"",1+(Skills!T23/10)*($Z$3/1000)/100,1)</f>
        <v/>
      </c>
      <c r="J1373" t="inlineStr"/>
      <c r="K1373" t="inlineStr"/>
      <c r="L1373" t="inlineStr"/>
      <c r="M1373" t="inlineStr"/>
      <c r="N1373" t="inlineStr"/>
      <c r="O1373" t="n">
        <v>0</v>
      </c>
      <c r="P1373">
        <f>IF(B1390=0,0,O1373/B1390)</f>
        <v/>
      </c>
      <c r="Q1373">
        <f>IFERROR(1/IF(Inputs!$B$39="pvp",15,MAX(0.1,Skills!D23-IF(Skills!E23=TRUE,2.5,0))),0)</f>
        <v/>
      </c>
      <c r="R1373" t="n">
        <v>0</v>
      </c>
    </row>
    <row r="1374">
      <c r="A1374">
        <f>Skills!A24</f>
        <v/>
      </c>
      <c r="B1374">
        <f>Skills!B24</f>
        <v/>
      </c>
      <c r="C1374">
        <f>Inputs!$B$3&gt;=74</f>
        <v/>
      </c>
      <c r="D1374">
        <f>IF(Skills!C24=1,60+Inputs!$B$26+Inputs!$B$30,IF(Skills!C24=2,90+Inputs!$B$27+Inputs!$B$30,IF(Skills!C24=3,120+Inputs!$B$28+Inputs!$B$30,MAX(0,(Inputs!$B$3-100)*3)+Inputs!$B$29+Inputs!$B$30)))</f>
        <v/>
      </c>
      <c r="E1374">
        <f>INDEX(FactorTable!$B$2:$Y$301, MATCH(ROUND(MIN(300,MAX(1,D1374)),0), FactorTable!$A$2:$A$301,0), Skills!L24+1)</f>
        <v/>
      </c>
      <c r="F1374">
        <f>IF(Skills!M24=TRUE,(Skills!K24/10)*(E1374/1000),Skills!K24/10)+Skills!N24</f>
        <v/>
      </c>
      <c r="G1374">
        <f>Calc!G24</f>
        <v/>
      </c>
      <c r="H1374">
        <f>Calc!H24</f>
        <v/>
      </c>
      <c r="I1374">
        <f>IF(Skills!T24&lt;&gt;"",1+(Skills!T24/10)*($Z$3/1000)/100,1)</f>
        <v/>
      </c>
      <c r="J1374" t="inlineStr"/>
      <c r="K1374" t="inlineStr"/>
      <c r="L1374" t="inlineStr"/>
      <c r="M1374" t="inlineStr"/>
      <c r="N1374" t="inlineStr"/>
      <c r="O1374" t="n">
        <v>0</v>
      </c>
      <c r="P1374">
        <f>IF(B1390=0,0,O1374/B1390)</f>
        <v/>
      </c>
      <c r="Q1374">
        <f>IFERROR(1/IF(Inputs!$B$39="pvp",15,MAX(0.1,Skills!D24-IF(Skills!E24=TRUE,2.5,0))),0)</f>
        <v/>
      </c>
      <c r="R1374" t="n">
        <v>0</v>
      </c>
    </row>
    <row r="1375">
      <c r="A1375">
        <f>Skills!A25</f>
        <v/>
      </c>
      <c r="B1375">
        <f>Skills!B25</f>
        <v/>
      </c>
      <c r="C1375">
        <f>Inputs!$B$3&gt;=74</f>
        <v/>
      </c>
      <c r="D1375">
        <f>IF(Skills!C25=1,60+Inputs!$B$26+Inputs!$B$30,IF(Skills!C25=2,90+Inputs!$B$27+Inputs!$B$30,IF(Skills!C25=3,120+Inputs!$B$28+Inputs!$B$30,MAX(0,(Inputs!$B$3-100)*3)+Inputs!$B$29+Inputs!$B$30)))</f>
        <v/>
      </c>
      <c r="E1375">
        <f>INDEX(FactorTable!$B$2:$Y$301, MATCH(ROUND(MIN(300,MAX(1,D1375)),0), FactorTable!$A$2:$A$301,0), Skills!L25+1)</f>
        <v/>
      </c>
      <c r="F1375">
        <f>IF(Skills!M25=TRUE,(Skills!K25/10)*(E1375/1000),Skills!K25/10)+Skills!N25</f>
        <v/>
      </c>
      <c r="G1375">
        <f>Calc!G25</f>
        <v/>
      </c>
      <c r="H1375">
        <f>Calc!H25</f>
        <v/>
      </c>
      <c r="I1375">
        <f>IF(Skills!T25&lt;&gt;"",1+(Skills!T25/10)*($Z$3/1000)/100,1)</f>
        <v/>
      </c>
      <c r="J1375" t="inlineStr"/>
      <c r="K1375" t="inlineStr"/>
      <c r="L1375" t="inlineStr"/>
      <c r="M1375" t="inlineStr"/>
      <c r="N1375" t="inlineStr"/>
      <c r="O1375" t="n">
        <v>0</v>
      </c>
      <c r="P1375">
        <f>IF(B1390=0,0,O1375/B1390)</f>
        <v/>
      </c>
      <c r="Q1375">
        <f>IFERROR(1/IF(Inputs!$B$39="pvp",15,MAX(0.1,Skills!D25-IF(Skills!E25=TRUE,2.5,0))),0)</f>
        <v/>
      </c>
      <c r="R1375" t="n">
        <v>0</v>
      </c>
    </row>
    <row r="1376">
      <c r="A1376">
        <f>Skills!A26</f>
        <v/>
      </c>
      <c r="B1376">
        <f>Skills!B26</f>
        <v/>
      </c>
      <c r="C1376">
        <f>Inputs!$B$3&gt;=117</f>
        <v/>
      </c>
      <c r="D1376">
        <f>IF(Skills!C26=1,60+Inputs!$B$26+Inputs!$B$30,IF(Skills!C26=2,90+Inputs!$B$27+Inputs!$B$30,IF(Skills!C26=3,120+Inputs!$B$28+Inputs!$B$30,MAX(0,(Inputs!$B$3-100)*3)+Inputs!$B$29+Inputs!$B$30)))</f>
        <v/>
      </c>
      <c r="E1376">
        <f>INDEX(FactorTable!$B$2:$Y$301, MATCH(ROUND(MIN(300,MAX(1,D1376)),0), FactorTable!$A$2:$A$301,0), Skills!L26+1)</f>
        <v/>
      </c>
      <c r="F1376">
        <f>IF(Skills!M26=TRUE,(Skills!K26/10)*(E1376/1000),Skills!K26/10)+Skills!N26</f>
        <v/>
      </c>
      <c r="G1376">
        <f>Calc!G26</f>
        <v/>
      </c>
      <c r="H1376">
        <f>Calc!H26</f>
        <v/>
      </c>
      <c r="I1376">
        <f>IF(Skills!T26&lt;&gt;"",1+(Skills!T26/10)*($Z$3/1000)/100,1)</f>
        <v/>
      </c>
      <c r="J1376" t="inlineStr"/>
      <c r="K1376" t="inlineStr"/>
      <c r="L1376" t="inlineStr"/>
      <c r="M1376" t="inlineStr"/>
      <c r="N1376" t="inlineStr"/>
      <c r="O1376" t="n">
        <v>0</v>
      </c>
      <c r="P1376">
        <f>IF(B1390=0,0,O1376/B1390)</f>
        <v/>
      </c>
      <c r="Q1376">
        <f>IFERROR(1/IF(Inputs!$B$39="pvp",15,MAX(0.1,Skills!D26-IF(Skills!E26=TRUE,2.5,0))),0)</f>
        <v/>
      </c>
      <c r="R1376" t="n">
        <v>0</v>
      </c>
    </row>
    <row r="1377">
      <c r="A1377">
        <f>Skills!A27</f>
        <v/>
      </c>
      <c r="B1377">
        <f>Skills!B27</f>
        <v/>
      </c>
      <c r="C1377">
        <f>Inputs!$B$3&gt;=120</f>
        <v/>
      </c>
      <c r="D1377">
        <f>IF(Skills!C27=1,60+Inputs!$B$26+Inputs!$B$30,IF(Skills!C27=2,90+Inputs!$B$27+Inputs!$B$30,IF(Skills!C27=3,120+Inputs!$B$28+Inputs!$B$30,MAX(0,(Inputs!$B$3-100)*3)+Inputs!$B$29+Inputs!$B$30)))</f>
        <v/>
      </c>
      <c r="E1377">
        <f>INDEX(FactorTable!$B$2:$Y$301, MATCH(ROUND(MIN(300,MAX(1,D1377)),0), FactorTable!$A$2:$A$301,0), Skills!L27+1)</f>
        <v/>
      </c>
      <c r="F1377">
        <f>IF(Skills!M27=TRUE,(Skills!K27/10)*(E1377/1000),Skills!K27/10)+Skills!N27</f>
        <v/>
      </c>
      <c r="G1377">
        <f>Calc!G27</f>
        <v/>
      </c>
      <c r="H1377">
        <f>Calc!H27</f>
        <v/>
      </c>
      <c r="I1377">
        <f>IF(Skills!T27&lt;&gt;"",1+(Skills!T27/10)*($Z$3/1000)/100,1)</f>
        <v/>
      </c>
      <c r="J1377" t="inlineStr"/>
      <c r="K1377" t="inlineStr"/>
      <c r="L1377" t="inlineStr"/>
      <c r="M1377" t="inlineStr"/>
      <c r="N1377" t="inlineStr"/>
      <c r="O1377" t="n">
        <v>0</v>
      </c>
      <c r="P1377">
        <f>IF(B1390=0,0,O1377/B1390)</f>
        <v/>
      </c>
      <c r="Q1377">
        <f>IFERROR(1/IF(Inputs!$B$39="pvp",15,MAX(0.1,Skills!D27-IF(Skills!E27=TRUE,2.5,0))),0)</f>
        <v/>
      </c>
      <c r="R1377" t="n">
        <v>0</v>
      </c>
    </row>
    <row r="1379">
      <c r="A1379" t="inlineStr">
        <is>
          <t>Average Buff Multiplier</t>
        </is>
      </c>
      <c r="B1379">
        <f>(1+(IF(C1353=TRUE,F1353*IF(AND(Inputs!$B$39&lt;&gt;"pvp",Inputs!$B$44&gt;0),(((R1353-1)*(Skills!S3*(1+(Inputs!$B$35+IF(Inputs!$B$3&gt;=117,F1376,0))/100))+MIN((Skills!S3*(1+(Inputs!$B$35+IF(Inputs!$B$3&gt;=117,F1376,0))/100)),MAX(0,Inputs!$B$44-((R1353-1)*Skills!D3))))/Inputs!$B$44),IF(Inputs!$B$39="pvp",MIN((Skills!S3*(1+(Inputs!$B$35+IF(Inputs!$B$3&gt;=117,F1376,0))/100)),15)/15,(Skills!S3*(1+(Inputs!$B$35+IF(Inputs!$B$3&gt;=117,F1376,0))/100))/Skills!D3)),0)+IF(C1354=TRUE,F1354*IF(AND(Inputs!$B$39&lt;&gt;"pvp",Inputs!$B$44&gt;0),(((R1354-1)*(Skills!S4*(1+(Inputs!$B$35+IF(Inputs!$B$3&gt;=117,F1376,0))/100))+MIN((Skills!S4*(1+(Inputs!$B$35+IF(Inputs!$B$3&gt;=117,F1376,0))/100)),MAX(0,Inputs!$B$44-((R1354-1)*Skills!D4))))/Inputs!$B$44),IF(Inputs!$B$39="pvp",MIN((Skills!S4*(1+(Inputs!$B$35+IF(Inputs!$B$3&gt;=117,F1376,0))/100)),15)/15,(Skills!S4*(1+(Inputs!$B$35+IF(Inputs!$B$3&gt;=117,F1376,0))/100))/Skills!D4)),0)+IF(C1355=TRUE,F1355*IF(AND(Inputs!$B$39&lt;&gt;"pvp",Inputs!$B$44&gt;0),(((R1355-1)*(Skills!S5*(1+(Inputs!$B$35+IF(Inputs!$B$3&gt;=117,F1376,0))/100))+MIN((Skills!S5*(1+(Inputs!$B$35+IF(Inputs!$B$3&gt;=117,F1376,0))/100)),MAX(0,Inputs!$B$44-((R1355-1)*Skills!D5))))/Inputs!$B$44),IF(Inputs!$B$39="pvp",MIN((Skills!S5*(1+(Inputs!$B$35+IF(Inputs!$B$3&gt;=117,F1376,0))/100)),15)/15,(Skills!S5*(1+(Inputs!$B$35+IF(Inputs!$B$3&gt;=117,F1376,0))/100))/Skills!D5)),0)+IF(C1361=TRUE,F1361*IF(AND(Inputs!$B$39&lt;&gt;"pvp",Inputs!$B$44&gt;0),(((R1361-1)*(Skills!S11*(1+(Inputs!$B$35+IF(Inputs!$B$3&gt;=117,F1376,0))/100))+MIN((Skills!S11*(1+(Inputs!$B$35+IF(Inputs!$B$3&gt;=117,F1376,0))/100)),MAX(0,Inputs!$B$44-((R1361-1)*Skills!D11))))/Inputs!$B$44),IF(Inputs!$B$39="pvp",MIN((Skills!S11*(1+(Inputs!$B$35+IF(Inputs!$B$3&gt;=117,F1376,0))/100)),15)/15,(Skills!S11*(1+(Inputs!$B$35+IF(Inputs!$B$3&gt;=117,F1376,0))/100))/Skills!D11)),0))/100)*IF(C1364=TRUE,(1+F1364*IF(AND(Inputs!$B$39&lt;&gt;"pvp",Inputs!$B$44&gt;0),(((R1364-1)*(Skills!S14*(1+(Inputs!$B$35+IF(Inputs!$B$3&gt;=117,F1376,0))/100))+MIN((Skills!S14*(1+(Inputs!$B$35+IF(Inputs!$B$3&gt;=117,F1376,0))/100)),MAX(0,Inputs!$B$44-((R1364-1)*Skills!D14))))/Inputs!$B$44),IF(Inputs!$B$39="pvp",MIN((Skills!S14*(1+(Inputs!$B$35+IF(Inputs!$B$3&gt;=117,F1376,0))/100)),15)/15,(Skills!S14*(1+(Inputs!$B$35+IF(Inputs!$B$3&gt;=117,F1376,0))/100))/Skills!D14))/100),1)*IF(C1369=TRUE,(1+F1369*IF(AND(Inputs!$B$39&lt;&gt;"pvp",Inputs!$B$44&gt;0),(((R1369-1)*(Skills!S19*(1+(Inputs!$B$35+IF(Inputs!$B$3&gt;=117,F1376,0))/100))+MIN((Skills!S19*(1+(Inputs!$B$35+IF(Inputs!$B$3&gt;=117,F1376,0))/100)),MAX(0,Inputs!$B$44-((R1369-1)*Skills!D19))))/Inputs!$B$44),IF(Inputs!$B$39="pvp",MIN((Skills!S19*(1+(Inputs!$B$35+IF(Inputs!$B$3&gt;=117,F1376,0))/100)),15)/15,(Skills!S19*(1+(Inputs!$B$35+IF(Inputs!$B$3&gt;=117,F1376,0))/100))/Skills!D19))/100),1)</f>
        <v/>
      </c>
    </row>
    <row r="1380">
      <c r="A1380" t="inlineStr">
        <is>
          <t>Monster Damage Taken Bonus % (Holy Fountain)</t>
        </is>
      </c>
      <c r="B1380">
        <f>IF(Inputs!$B$3&gt;=68,20*IF(Inputs!$B$39="pvp",MIN((15*(1+(Inputs!$B$35+IF(Inputs!$B$3&gt;=117,F1376,0))/100)),15)/15,(15*(1+(Inputs!$B$35+IF(Inputs!$B$3&gt;=117,F1376,0))/100))/Skills!D10),0)</f>
        <v/>
      </c>
    </row>
    <row r="1381">
      <c r="A1381" t="inlineStr">
        <is>
          <t>Normal Monster Damage Bonus % (Holy Symbol)</t>
        </is>
      </c>
      <c r="B1381">
        <f>IF(C1362=TRUE,F1362*IF(AND(Inputs!$B$39&lt;&gt;"pvp",Inputs!$B$44&gt;0),(((R1362-1)*(Skills!S12*(1+(Inputs!$B$35+IF(Inputs!$B$3&gt;=117,F1376,0))/100))+MIN((Skills!S12*(1+(Inputs!$B$35+IF(Inputs!$B$3&gt;=117,F1376,0))/100)),MAX(0,Inputs!$B$44-((R1362-1)*Skills!D12))))/Inputs!$B$44),IF(Inputs!$B$39="pvp",MIN((Skills!S12*(1+(Inputs!$B$35+IF(Inputs!$B$3&gt;=117,F1376,0))/100)),15)/15,(Skills!S12*(1+(Inputs!$B$35+IF(Inputs!$B$3&gt;=117,F1376,0))/100))/Skills!D12)),0)</f>
        <v/>
      </c>
    </row>
    <row r="1382">
      <c r="A1382" t="inlineStr">
        <is>
          <t>Damage % Bonus (Holy Symbol - Damage Boost)</t>
        </is>
      </c>
      <c r="B1382">
        <f>Skills!O12</f>
        <v/>
      </c>
    </row>
    <row r="1383">
      <c r="A1383" t="inlineStr">
        <is>
          <t>Crit Damage % Bonus (Blood of the Divine)</t>
        </is>
      </c>
      <c r="B1383">
        <f>4*IF(C1370=TRUE,F1370,0)</f>
        <v/>
      </c>
    </row>
    <row r="1384">
      <c r="A1384" t="inlineStr">
        <is>
          <t>Attack Speed Bonus %</t>
        </is>
      </c>
      <c r="B1384">
        <f>IF(C1367=TRUE,F1367+(F1371-Calc!F21),0)+IF(Inputs!$B$3&gt;=134,15,0)</f>
        <v/>
      </c>
    </row>
    <row r="1385">
      <c r="A1385" t="inlineStr">
        <is>
          <t>Actions Per Second</t>
        </is>
      </c>
      <c r="B1385">
        <f>1+MIN(150,150*(1-(1-Inputs!$B$12/150)*(1-B1384/150)))/100</f>
        <v/>
      </c>
    </row>
    <row r="1386">
      <c r="A1386" t="inlineStr">
        <is>
          <t>Skill + Buff Cast Rate</t>
        </is>
      </c>
      <c r="B1386">
        <f>IF(AND(Inputs!$B$39&lt;&gt;"pvp",Inputs!$B$44&gt;0),SUMPRODUCT((Skills!E2:E27=TRUE)*(C1352:C1377=TRUE)*R1352:R1377)/Inputs!$B$44,SUMPRODUCT((Skills!E2:E27=TRUE)*(C1352:C1377=TRUE)*Q1352:Q1377))</f>
        <v/>
      </c>
    </row>
    <row r="1387">
      <c r="A1387" t="inlineStr">
        <is>
          <t>Big Bang Casts Per Second</t>
        </is>
      </c>
      <c r="B1387">
        <f>MAX(0,B1385-B1386)</f>
        <v/>
      </c>
    </row>
    <row r="1388">
      <c r="A1388" t="inlineStr">
        <is>
          <t>Defense % Bonus (Divine Protection)</t>
        </is>
      </c>
      <c r="B1388">
        <f>IF(C1363=TRUE,F1363*IF(AND(Inputs!$B$39&lt;&gt;"pvp",Inputs!$B$44&gt;0),(((R1363-1)*(Skills!S13*(1+(Inputs!$B$35+IF(Inputs!$B$3&gt;=117,F1376,0))/100))+MIN((Skills!S13*(1+(Inputs!$B$35+IF(Inputs!$B$3&gt;=117,F1376,0))/100)),MAX(0,Inputs!$B$44-((R1363-1)*Skills!D13))))/Inputs!$B$44),IF(Inputs!$B$39="pvp",MIN((Skills!S13*(1+(Inputs!$B$35+IF(Inputs!$B$3&gt;=117,F1376,0))/100)),15)/15,(Skills!S13*(1+(Inputs!$B$35+IF(Inputs!$B$3&gt;=117,F1376,0))/100))/Skills!D13)),0)</f>
        <v/>
      </c>
    </row>
    <row r="1389">
      <c r="A1389" t="inlineStr">
        <is>
          <t>Buff-Casting Startup Delay (s, fixed-duration only)</t>
        </is>
      </c>
      <c r="B1389">
        <f>IF(AND(Inputs!$B$39&lt;&gt;"pvp",Inputs!$B$44&gt;0),SUMPRODUCT((Skills!S2:S27&gt;0)*(Skills!E2:E27=TRUE)*(C1352:C1377=TRUE))/B1385,0)</f>
        <v/>
      </c>
    </row>
    <row r="1390">
      <c r="A1390" s="5" t="inlineStr">
        <is>
          <t>TOTAL DPS</t>
        </is>
      </c>
      <c r="B1390" s="5">
        <f>SUM(O1352:O1377)</f>
        <v/>
      </c>
    </row>
    <row r="1392">
      <c r="A1392" s="5" t="inlineStr">
        <is>
          <t>Stat: CDR = 3.0s</t>
        </is>
      </c>
    </row>
    <row r="1393">
      <c r="A1393" s="9" t="inlineStr">
        <is>
          <t>Key</t>
        </is>
      </c>
      <c r="B1393" s="9" t="inlineStr">
        <is>
          <t>Name</t>
        </is>
      </c>
      <c r="C1393" s="9" t="inlineStr">
        <is>
          <t>Unlocked</t>
        </is>
      </c>
      <c r="D1393" s="9" t="inlineStr">
        <is>
          <t>InputLevel</t>
        </is>
      </c>
      <c r="E1393" s="9" t="inlineStr">
        <is>
          <t>Factor</t>
        </is>
      </c>
      <c r="F1393" s="9" t="inlineStr">
        <is>
          <t>CoefficientPercent</t>
        </is>
      </c>
      <c r="G1393" s="9" t="inlineStr">
        <is>
          <t>EffectiveHits</t>
        </is>
      </c>
      <c r="H1393" s="9" t="inlineStr">
        <is>
          <t>ProcProbability</t>
        </is>
      </c>
      <c r="I1393" s="9" t="inlineStr">
        <is>
          <t>MapleHeroMultiplier</t>
        </is>
      </c>
      <c r="J1393" s="9" t="inlineStr">
        <is>
          <t>BaseDamage</t>
        </is>
      </c>
      <c r="K1393" s="9" t="inlineStr">
        <is>
          <t>BaseHitDamage</t>
        </is>
      </c>
      <c r="L1393" s="9" t="inlineStr">
        <is>
          <t>NonCritAvg</t>
        </is>
      </c>
      <c r="M1393" s="9" t="inlineStr">
        <is>
          <t>CritAvg</t>
        </is>
      </c>
      <c r="N1393" s="9" t="inlineStr">
        <is>
          <t>ExpectedDamage(perHit)</t>
        </is>
      </c>
      <c r="O1393" s="9" t="inlineStr">
        <is>
          <t>DPS</t>
        </is>
      </c>
      <c r="P1393" s="9" t="inlineStr">
        <is>
          <t>% of Total</t>
        </is>
      </c>
      <c r="R1393" t="inlineStr">
        <is>
          <t>helpers</t>
        </is>
      </c>
    </row>
    <row r="1394">
      <c r="A1394">
        <f>Skills!A2</f>
        <v/>
      </c>
      <c r="B1394">
        <f>Skills!B2</f>
        <v/>
      </c>
      <c r="C1394">
        <f>Inputs!$B$3&gt;=100</f>
        <v/>
      </c>
      <c r="D1394" t="inlineStr"/>
      <c r="E1394" t="inlineStr"/>
      <c r="F1394">
        <f>T1396+Skills!N2</f>
        <v/>
      </c>
      <c r="G1394">
        <f>Calc!G2</f>
        <v/>
      </c>
      <c r="H1394">
        <f>Calc!H2</f>
        <v/>
      </c>
      <c r="I1394">
        <f>IF(Skills!T2&lt;&gt;"",1+(Skills!T2/10)*($Z$3/1000)/100,1)</f>
        <v/>
      </c>
      <c r="J1394">
        <f>((Inputs!$B$6*(1+Inputs!$B$7/100))+(((Inputs!$B$13*(1+Inputs!$B$14/100))-(Inputs!$B$13*(1+Inputs!$B$14/100)))+0.25*(Inputs!$B$15-Inputs!$B$15))*(1+Inputs!$B$7/100))*(F1394/100)</f>
        <v/>
      </c>
      <c r="K1394">
        <f>J1394*(1+(((Inputs!$B$13+IF(Inputs!$B$3&gt;=35,(10*INDEX(FactorTable!$B$2:$Y$301, MATCH(ROUND(MIN(300,MAX(1,Inputs!$B$3)),0), FactorTable!$A$2:$A$301,0), 23)/1000)/100*(Inputs!$B$8*(1+(Inputs!$B$9+B1430)/100)),0))*(1+Inputs!$B$14/100))*0.01+Inputs!$B$15*0.0025)/100)*(1+(Inputs!$B$16+B1424)/100)*(1+IF(Inputs!$B$39="pvp",0,(1-Summary!$B$48)*(Inputs!$B$21+Skills!O2+B1422)+Summary!$B$48*(Inputs!$B$22+Skills!P2+B1423))/100)*(1+Inputs!$B$17/100)*(5000/(6000+Inputs!$B$43*(1-Inputs!$B$20/100)))*(1+Inputs!$B$25/100)*(1+IF(C1410=TRUE,F1410,0)/100)*(1+IF(C1412=TRUE,F1412,0)/100)*(1+IF(Skills!A2="TRIUMPH_FEATHER",IF(C1408=TRUE,F1408,0),0)/100)*(1+IF(C1419=TRUE,F1419,0)/100)^5*(1+(IF(Skills!A2="BIG_BANG",Inputs!$B$18,Inputs!$B$19))/100)*(B1421*I1394)</f>
        <v/>
      </c>
      <c r="L1394">
        <f>K1394*(MIN(Inputs!$B$23+(F1414-Calc!F22),Inputs!$B$24)/100+Inputs!$B$24/100)/2</f>
        <v/>
      </c>
      <c r="M1394">
        <f>L1394*(1+(Inputs!$B$11+B1425+(F1417-Calc!F25))/100)</f>
        <v/>
      </c>
      <c r="N1394">
        <f>L1394*(1-MIN(Inputs!$B$10+((F1416-Calc!F24)+(F1415-Calc!F23)),100)/100)+M1394*(MIN(Inputs!$B$10+((F1416-Calc!F24)+(F1415-Calc!F23)),100)/100)</f>
        <v/>
      </c>
      <c r="O1394">
        <f>IF(C1394,Skills!F2*N1394*B1429*IF(Inputs!$B$39="pvp",1,(1-Summary!$B$48)*(1)+Summary!$B$48*(MIN((6+Inputs!$B$34),Inputs!$B$38))),0)</f>
        <v/>
      </c>
      <c r="P1394">
        <f>IF(B1432=0,0,O1394/B1432)</f>
        <v/>
      </c>
      <c r="Q1394">
        <f>IFERROR(1/IF(Inputs!$B$39="pvp",15,MAX(0.1,Skills!D2-IF(Skills!E2=TRUE,3.0,0))),0)</f>
        <v/>
      </c>
      <c r="R1394" t="n">
        <v>0</v>
      </c>
      <c r="T1394">
        <f>MAX(0,(Inputs!$B$3-100)*3)+Inputs!$B$29+Inputs!$B$30</f>
        <v/>
      </c>
    </row>
    <row r="1395">
      <c r="A1395">
        <f>Skills!A3</f>
        <v/>
      </c>
      <c r="B1395">
        <f>Skills!B3</f>
        <v/>
      </c>
      <c r="C1395">
        <f>Inputs!$B$3&gt;=15</f>
        <v/>
      </c>
      <c r="D1395">
        <f>IF(Skills!C3=1,60+Inputs!$B$26+Inputs!$B$30,IF(Skills!C3=2,90+Inputs!$B$27+Inputs!$B$30,IF(Skills!C3=3,120+Inputs!$B$28+Inputs!$B$30,MAX(0,(Inputs!$B$3-100)*3)+Inputs!$B$29+Inputs!$B$30)))</f>
        <v/>
      </c>
      <c r="E1395">
        <f>INDEX(FactorTable!$B$2:$Y$301, MATCH(ROUND(MIN(300,MAX(1,D1395)),0), FactorTable!$A$2:$A$301,0), Skills!L3+1)</f>
        <v/>
      </c>
      <c r="F1395">
        <f>IF(Skills!M3=TRUE,(Skills!K3/10)*(E1395/1000),Skills!K3/10)+Skills!N3</f>
        <v/>
      </c>
      <c r="G1395">
        <f>Calc!G3</f>
        <v/>
      </c>
      <c r="H1395">
        <f>Calc!H3</f>
        <v/>
      </c>
      <c r="I1395">
        <f>IF(Skills!T3&lt;&gt;"",1+(Skills!T3/10)*($Z$3/1000)/100,1)</f>
        <v/>
      </c>
      <c r="J1395" t="inlineStr"/>
      <c r="K1395" t="inlineStr"/>
      <c r="L1395" t="inlineStr"/>
      <c r="M1395" t="inlineStr"/>
      <c r="N1395" t="inlineStr"/>
      <c r="O1395" t="n">
        <v>0</v>
      </c>
      <c r="P1395">
        <f>IF(B1432=0,0,O1395/B1432)</f>
        <v/>
      </c>
      <c r="Q1395">
        <f>IFERROR(1/IF(Inputs!$B$39="pvp",15,MAX(0.1,Skills!D3-IF(Skills!E3=TRUE,3.0,0))),0)</f>
        <v/>
      </c>
      <c r="R1395">
        <f>IF(AND(Inputs!$B$39&lt;&gt;"pvp",Inputs!$B$44&gt;0),IF(Inputs!$B$44&lt;=0,0,(INT(Inputs!$B$44/IF(Inputs!$B$39="pvp",15,MAX(0.1,Skills!D3-IF(Skills!E3=TRUE,3.0,0))))+1)),0)</f>
        <v/>
      </c>
      <c r="T1395">
        <f>INDEX(FactorTable!$B$2:$Y$301, MATCH(ROUND(MIN(300,MAX(1,T1394)),0), FactorTable!$A$2:$A$301,0), 22)</f>
        <v/>
      </c>
    </row>
    <row r="1396">
      <c r="A1396">
        <f>Skills!A4</f>
        <v/>
      </c>
      <c r="B1396">
        <f>Skills!B4</f>
        <v/>
      </c>
      <c r="C1396">
        <f>Inputs!$B$3&gt;=38</f>
        <v/>
      </c>
      <c r="D1396">
        <f>IF(Skills!C4=1,60+Inputs!$B$26+Inputs!$B$30,IF(Skills!C4=2,90+Inputs!$B$27+Inputs!$B$30,IF(Skills!C4=3,120+Inputs!$B$28+Inputs!$B$30,MAX(0,(Inputs!$B$3-100)*3)+Inputs!$B$29+Inputs!$B$30)))</f>
        <v/>
      </c>
      <c r="E1396">
        <f>INDEX(FactorTable!$B$2:$Y$301, MATCH(ROUND(MIN(300,MAX(1,D1396)),0), FactorTable!$A$2:$A$301,0), Skills!L4+1)</f>
        <v/>
      </c>
      <c r="F1396">
        <f>IF(Skills!M4=TRUE,(Skills!K4/10)*(E1396/1000),Skills!K4/10)+Skills!N4</f>
        <v/>
      </c>
      <c r="G1396">
        <f>Calc!G4</f>
        <v/>
      </c>
      <c r="H1396">
        <f>Calc!H4</f>
        <v/>
      </c>
      <c r="I1396">
        <f>IF(Skills!T4&lt;&gt;"",1+(Skills!T4/10)*($Z$3/1000)/100,1)</f>
        <v/>
      </c>
      <c r="J1396" t="inlineStr"/>
      <c r="K1396" t="inlineStr"/>
      <c r="L1396" t="inlineStr"/>
      <c r="M1396" t="inlineStr"/>
      <c r="N1396" t="inlineStr"/>
      <c r="O1396" t="n">
        <v>0</v>
      </c>
      <c r="P1396">
        <f>IF(B1432=0,0,O1396/B1432)</f>
        <v/>
      </c>
      <c r="Q1396">
        <f>IFERROR(1/IF(Inputs!$B$39="pvp",15,MAX(0.1,Skills!D4-IF(Skills!E4=TRUE,3.0,0))),0)</f>
        <v/>
      </c>
      <c r="R1396">
        <f>IF(AND(Inputs!$B$39&lt;&gt;"pvp",Inputs!$B$44&gt;0),IF(Inputs!$B$44&lt;=0,0,(INT(Inputs!$B$44/IF(Inputs!$B$39="pvp",15,MAX(0.1,Skills!D4-IF(Skills!E4=TRUE,3.0,0))))+1)),0)</f>
        <v/>
      </c>
      <c r="T1396">
        <f>290*T1395/1000</f>
        <v/>
      </c>
    </row>
    <row r="1397">
      <c r="A1397">
        <f>Skills!A5</f>
        <v/>
      </c>
      <c r="B1397">
        <f>Skills!B5</f>
        <v/>
      </c>
      <c r="C1397">
        <f>Inputs!$B$3&gt;=40</f>
        <v/>
      </c>
      <c r="D1397">
        <f>IF(Skills!C5=1,60+Inputs!$B$26+Inputs!$B$30,IF(Skills!C5=2,90+Inputs!$B$27+Inputs!$B$30,IF(Skills!C5=3,120+Inputs!$B$28+Inputs!$B$30,MAX(0,(Inputs!$B$3-100)*3)+Inputs!$B$29+Inputs!$B$30)))</f>
        <v/>
      </c>
      <c r="E1397">
        <f>INDEX(FactorTable!$B$2:$Y$301, MATCH(ROUND(MIN(300,MAX(1,D1397)),0), FactorTable!$A$2:$A$301,0), Skills!L5+1)</f>
        <v/>
      </c>
      <c r="F1397">
        <f>IF(Skills!M5=TRUE,(Skills!K5/10)*(E1397/1000),Skills!K5/10)+Skills!N5</f>
        <v/>
      </c>
      <c r="G1397">
        <f>Calc!G5</f>
        <v/>
      </c>
      <c r="H1397">
        <f>Calc!H5</f>
        <v/>
      </c>
      <c r="I1397">
        <f>IF(Skills!T5&lt;&gt;"",1+(Skills!T5/10)*($Z$3/1000)/100,1)</f>
        <v/>
      </c>
      <c r="J1397" t="inlineStr"/>
      <c r="K1397" t="inlineStr"/>
      <c r="L1397" t="inlineStr"/>
      <c r="M1397" t="inlineStr"/>
      <c r="N1397" t="inlineStr"/>
      <c r="O1397" t="n">
        <v>0</v>
      </c>
      <c r="P1397">
        <f>IF(B1432=0,0,O1397/B1432)</f>
        <v/>
      </c>
      <c r="Q1397">
        <f>IFERROR(1/IF(Inputs!$B$39="pvp",15,MAX(0.1,Skills!D5-IF(Skills!E5=TRUE,3.0,0))),0)</f>
        <v/>
      </c>
      <c r="R1397">
        <f>IF(AND(Inputs!$B$39&lt;&gt;"pvp",Inputs!$B$44&gt;0),IF(Inputs!$B$44&lt;=0,0,(INT(Inputs!$B$44/IF(Inputs!$B$39="pvp",15,MAX(0.1,Skills!D5-IF(Skills!E5=TRUE,3.0,0))))+1)),0)</f>
        <v/>
      </c>
    </row>
    <row r="1398">
      <c r="A1398">
        <f>Skills!A6</f>
        <v/>
      </c>
      <c r="B1398">
        <f>Skills!B6</f>
        <v/>
      </c>
      <c r="C1398">
        <f>Inputs!$B$3&gt;=103</f>
        <v/>
      </c>
      <c r="D1398">
        <f>IF(Skills!C6=1,60+Inputs!$B$26+Inputs!$B$30,IF(Skills!C6=2,90+Inputs!$B$27+Inputs!$B$30,IF(Skills!C6=3,120+Inputs!$B$28+Inputs!$B$30,MAX(0,(Inputs!$B$3-100)*3)+Inputs!$B$29+Inputs!$B$30)))</f>
        <v/>
      </c>
      <c r="E1398">
        <f>INDEX(FactorTable!$B$2:$Y$301, MATCH(ROUND(MIN(300,MAX(1,D1398)),0), FactorTable!$A$2:$A$301,0), Skills!L6+1)</f>
        <v/>
      </c>
      <c r="F1398">
        <f>IF(Skills!M6=TRUE,(Skills!K6/10)*(E1398/1000),Skills!K6/10)+Skills!N6</f>
        <v/>
      </c>
      <c r="G1398">
        <f>Calc!G6</f>
        <v/>
      </c>
      <c r="H1398">
        <f>Calc!H6</f>
        <v/>
      </c>
      <c r="I1398">
        <f>IF(Skills!T6&lt;&gt;"",1+(Skills!T6/10)*($Z$3/1000)/100,1)</f>
        <v/>
      </c>
      <c r="J1398">
        <f>((Inputs!$B$6*(1+Inputs!$B$7/100))+(((Inputs!$B$13*(1+Inputs!$B$14/100))-(Inputs!$B$13*(1+Inputs!$B$14/100)))+0.25*(Inputs!$B$15-Inputs!$B$15))*(1+Inputs!$B$7/100))*(F1398/100)</f>
        <v/>
      </c>
      <c r="K1398">
        <f>J1398*(1+(((Inputs!$B$13+IF(Inputs!$B$3&gt;=35,(10*INDEX(FactorTable!$B$2:$Y$301, MATCH(ROUND(MIN(300,MAX(1,Inputs!$B$3)),0), FactorTable!$A$2:$A$301,0), 23)/1000)/100*(Inputs!$B$8*(1+(Inputs!$B$9+B1430)/100)),0))*(1+Inputs!$B$14/100))*0.01+Inputs!$B$15*0.0025)/100)*(1+(Inputs!$B$16+B1424)/100)*(1+IF(Inputs!$B$39="pvp",0,(1-Summary!$B$48)*(Inputs!$B$21+Skills!O6+B1422)+Summary!$B$48*(Inputs!$B$22+Skills!P6+B1423))/100)*(1+Inputs!$B$17/100)*(5000/(6000+Inputs!$B$43*(1-Inputs!$B$20/100)))*(1+Inputs!$B$25/100)*(1+IF(C1410=TRUE,F1410,0)/100)*(1+IF(C1412=TRUE,F1412,0)/100)*(1+IF(Skills!A6="TRIUMPH_FEATHER",IF(C1408=TRUE,F1408,0),0)/100)*(1+IF(C1419=TRUE,F1419,0)/100)^5*(1+(IF(Skills!A6="BIG_BANG",Inputs!$B$18,Inputs!$B$19))/100)*(B1421*I1398)</f>
        <v/>
      </c>
      <c r="L1398">
        <f>K1398*(MIN(Inputs!$B$23+(F1414-Calc!F22),Inputs!$B$24)/100+Inputs!$B$24/100)/2</f>
        <v/>
      </c>
      <c r="M1398">
        <f>L1398*(1+(Inputs!$B$11+B1425+(F1417-Calc!F25))/100)</f>
        <v/>
      </c>
      <c r="N1398">
        <f>L1398*(1-MIN(Inputs!$B$10+((F1416-Calc!F24)+(F1415-Calc!F23)),100)/100)+M1398*(MIN(Inputs!$B$10+((F1416-Calc!F24)+(F1415-Calc!F23)),100)/100)</f>
        <v/>
      </c>
      <c r="O1398">
        <f>IF(C1398,H1398*N1398*IF(AND(Inputs!$B$39&lt;&gt;"pvp",Inputs!$B$44&gt;0),((Skills!F6*((R1398-1)*IF(Skills!G6&gt;0,Skills!H6/Skills!G6,1)+IF(Skills!G6&gt;0,MIN(Skills!H6,MAX(0,MAX(0,Inputs!$B$44-B1431)-((R1398-1)*IF(Inputs!$B$39="pvp",15,MAX(0.1,Skills!D6-IF(Skills!E6=TRUE,3.0,0))))))/Skills!G6,1)))/Inputs!$B$44),G1398*Q1398)*IF(Inputs!$B$39="pvp",1,(1-Summary!$B$48)*(1)+Summary!$B$48*(MIN(Skills!Q6,Inputs!$B$38))),0)</f>
        <v/>
      </c>
      <c r="P1398">
        <f>IF(B1432=0,0,O1398/B1432)</f>
        <v/>
      </c>
      <c r="Q1398">
        <f>IFERROR(1/IF(Inputs!$B$39="pvp",15,MAX(0.1,Skills!D6-IF(Skills!E6=TRUE,3.0,0))),0)</f>
        <v/>
      </c>
      <c r="R1398">
        <f>IF(AND(Inputs!$B$39&lt;&gt;"pvp",Inputs!$B$44&gt;0),IF(MAX(0,Inputs!$B$44-B1431)&lt;=0,0,(INT(MAX(0,Inputs!$B$44-B1431)/IF(Inputs!$B$39="pvp",15,MAX(0.1,Skills!D6-IF(Skills!E6=TRUE,3.0,0))))+1)),0)</f>
        <v/>
      </c>
    </row>
    <row r="1399">
      <c r="A1399">
        <f>Skills!A7</f>
        <v/>
      </c>
      <c r="B1399">
        <f>Skills!B7</f>
        <v/>
      </c>
      <c r="C1399">
        <f>Inputs!$B$3&gt;=122</f>
        <v/>
      </c>
      <c r="D1399">
        <f>IF(Skills!C7=1,60+Inputs!$B$26+Inputs!$B$30,IF(Skills!C7=2,90+Inputs!$B$27+Inputs!$B$30,IF(Skills!C7=3,120+Inputs!$B$28+Inputs!$B$30,MAX(0,(Inputs!$B$3-100)*3)+Inputs!$B$29+Inputs!$B$30)))</f>
        <v/>
      </c>
      <c r="E1399">
        <f>INDEX(FactorTable!$B$2:$Y$301, MATCH(ROUND(MIN(300,MAX(1,D1399)),0), FactorTable!$A$2:$A$301,0), Skills!L7+1)</f>
        <v/>
      </c>
      <c r="F1399">
        <f>IF(Skills!M7=TRUE,(Skills!K7/10)*(E1399/1000),Skills!K7/10)+Skills!N7</f>
        <v/>
      </c>
      <c r="G1399">
        <f>Calc!G7</f>
        <v/>
      </c>
      <c r="H1399">
        <f>Calc!H7</f>
        <v/>
      </c>
      <c r="I1399">
        <f>IF(Skills!T7&lt;&gt;"",1+(Skills!T7/10)*($Z$3/1000)/100,1)</f>
        <v/>
      </c>
      <c r="J1399">
        <f>((Inputs!$B$6*(1+Inputs!$B$7/100))+(((Inputs!$B$13*(1+Inputs!$B$14/100))-(Inputs!$B$13*(1+Inputs!$B$14/100)))+0.25*(Inputs!$B$15-Inputs!$B$15))*(1+Inputs!$B$7/100))*(F1399/100)</f>
        <v/>
      </c>
      <c r="K1399">
        <f>J1399*(1+(((Inputs!$B$13+IF(Inputs!$B$3&gt;=35,(10*INDEX(FactorTable!$B$2:$Y$301, MATCH(ROUND(MIN(300,MAX(1,Inputs!$B$3)),0), FactorTable!$A$2:$A$301,0), 23)/1000)/100*(Inputs!$B$8*(1+(Inputs!$B$9+B1430)/100)),0))*(1+Inputs!$B$14/100))*0.01+Inputs!$B$15*0.0025)/100)*(1+(Inputs!$B$16+B1424)/100)*(1+IF(Inputs!$B$39="pvp",0,(1-Summary!$B$48)*(Inputs!$B$21+Skills!O7+B1422)+Summary!$B$48*(Inputs!$B$22+Skills!P7+B1423))/100)*(1+Inputs!$B$17/100)*(5000/(6000+Inputs!$B$43*(1-Inputs!$B$20/100)))*(1+Inputs!$B$25/100)*(1+IF(C1410=TRUE,F1410,0)/100)*(1+IF(C1412=TRUE,F1412,0)/100)*(1+IF(Skills!A7="TRIUMPH_FEATHER",IF(C1408=TRUE,F1408,0),0)/100)*(1+IF(C1419=TRUE,F1419,0)/100)^5*(1+(IF(Skills!A7="BIG_BANG",Inputs!$B$18,Inputs!$B$19))/100)*(B1421*I1399)</f>
        <v/>
      </c>
      <c r="L1399">
        <f>K1399*(MIN(Inputs!$B$23+(F1414-Calc!F22),Inputs!$B$24)/100+Inputs!$B$24/100)/2</f>
        <v/>
      </c>
      <c r="M1399">
        <f>L1399*(1+(Inputs!$B$11+B1425+(F1417-Calc!F25))/100)</f>
        <v/>
      </c>
      <c r="N1399">
        <f>L1399*(1-MIN(Inputs!$B$10+((F1416-Calc!F24)+(F1415-Calc!F23)),100)/100)+M1399*(MIN(Inputs!$B$10+((F1416-Calc!F24)+(F1415-Calc!F23)),100)/100)</f>
        <v/>
      </c>
      <c r="O1399">
        <f>IF(C1399,H1399*N1399*IF(AND(Inputs!$B$39&lt;&gt;"pvp",Inputs!$B$44&gt;0),((Skills!F7*((R1399-1)*IF(Skills!G7&gt;0,Skills!H7/Skills!G7,1)+IF(Skills!G7&gt;0,MIN(Skills!H7,MAX(0,MAX(0,Inputs!$B$44-B1431)-((R1399-1)*IF(Inputs!$B$39="pvp",15,MAX(0.1,Skills!D7-IF(Skills!E6=TRUE,3.0,0))))))/Skills!G7,1)))/Inputs!$B$44),G1399*Q1399)*(1-Summary!$B$48),0)</f>
        <v/>
      </c>
      <c r="P1399">
        <f>IF(B1432=0,0,O1399/B1432)</f>
        <v/>
      </c>
      <c r="Q1399">
        <f>IFERROR(1/IF(Inputs!$B$39="pvp",15,MAX(0.1,Skills!D7-IF(Skills!E6=TRUE,3.0,0))),0)</f>
        <v/>
      </c>
      <c r="R1399">
        <f>IF(AND(Inputs!$B$39&lt;&gt;"pvp",Inputs!$B$44&gt;0),IF(MAX(0,Inputs!$B$44-B1431)&lt;=0,0,(INT(MAX(0,Inputs!$B$44-B1431)/IF(Inputs!$B$39="pvp",15,MAX(0.1,Skills!D7-IF(Skills!E6=TRUE,3.0,0))))+1)),0)</f>
        <v/>
      </c>
    </row>
    <row r="1400">
      <c r="A1400">
        <f>Skills!A8</f>
        <v/>
      </c>
      <c r="B1400">
        <f>Skills!B8</f>
        <v/>
      </c>
      <c r="C1400">
        <f>Inputs!$B$3&gt;=105</f>
        <v/>
      </c>
      <c r="D1400">
        <f>IF(Skills!C8=1,60+Inputs!$B$26+Inputs!$B$30,IF(Skills!C8=2,90+Inputs!$B$27+Inputs!$B$30,IF(Skills!C8=3,120+Inputs!$B$28+Inputs!$B$30,MAX(0,(Inputs!$B$3-100)*3)+Inputs!$B$29+Inputs!$B$30)))</f>
        <v/>
      </c>
      <c r="E1400">
        <f>INDEX(FactorTable!$B$2:$Y$301, MATCH(ROUND(MIN(300,MAX(1,D1400)),0), FactorTable!$A$2:$A$301,0), Skills!L8+1)</f>
        <v/>
      </c>
      <c r="F1400">
        <f>IF(Skills!M8=TRUE,(Skills!K8/10)*(E1400/1000),Skills!K8/10)+Skills!N8</f>
        <v/>
      </c>
      <c r="G1400">
        <f>Calc!G8</f>
        <v/>
      </c>
      <c r="H1400">
        <f>Calc!H8</f>
        <v/>
      </c>
      <c r="I1400">
        <f>IF(Skills!T8&lt;&gt;"",1+(Skills!T8/10)*($Z$3/1000)/100,1)</f>
        <v/>
      </c>
      <c r="J1400">
        <f>((Inputs!$B$6*(1+Inputs!$B$7/100))+(((Inputs!$B$13*(1+Inputs!$B$14/100))-(Inputs!$B$13*(1+Inputs!$B$14/100)))+0.25*(Inputs!$B$15-Inputs!$B$15))*(1+Inputs!$B$7/100))*(F1400/100)</f>
        <v/>
      </c>
      <c r="K1400">
        <f>J1400*(1+(((Inputs!$B$13+IF(Inputs!$B$3&gt;=35,(10*INDEX(FactorTable!$B$2:$Y$301, MATCH(ROUND(MIN(300,MAX(1,Inputs!$B$3)),0), FactorTable!$A$2:$A$301,0), 23)/1000)/100*(Inputs!$B$8*(1+(Inputs!$B$9+B1430)/100)),0))*(1+Inputs!$B$14/100))*0.01+Inputs!$B$15*0.0025)/100)*(1+(Inputs!$B$16+B1424)/100)*(1+IF(Inputs!$B$39="pvp",0,(1-Summary!$B$48)*(Inputs!$B$21+Skills!O8+B1422)+Summary!$B$48*(Inputs!$B$22+Skills!P8+B1423))/100)*(1+Inputs!$B$17/100)*(5000/(6000+Inputs!$B$43*(1-Inputs!$B$20/100)))*(1+Inputs!$B$25/100)*(1+IF(C1410=TRUE,F1410,0)/100)*(1+IF(C1412=TRUE,F1412,0)/100)*(1+IF(Skills!A8="TRIUMPH_FEATHER",IF(C1408=TRUE,F1408,0),0)/100)*(1+IF(C1419=TRUE,F1419,0)/100)^5*(1+(IF(Skills!A8="BIG_BANG",Inputs!$B$18,Inputs!$B$19))/100)*(B1421*I1400)</f>
        <v/>
      </c>
      <c r="L1400">
        <f>K1400*(MIN(Inputs!$B$23+(F1414-Calc!F22),Inputs!$B$24)/100+Inputs!$B$24/100)/2</f>
        <v/>
      </c>
      <c r="M1400">
        <f>L1400*(1+(Inputs!$B$11+B1425+(F1417-Calc!F25))/100)</f>
        <v/>
      </c>
      <c r="N1400">
        <f>L1400*(1-MIN(Inputs!$B$10+((F1416-Calc!F24)+(F1415-Calc!F23)),100)/100)+M1400*(MIN(Inputs!$B$10+((F1416-Calc!F24)+(F1415-Calc!F23)),100)/100)</f>
        <v/>
      </c>
      <c r="O1400">
        <f>IF(C1400,H1400*N1400*IF(AND(Inputs!$B$39&lt;&gt;"pvp",Inputs!$B$44&gt;0),((Skills!F8*((R1400-1)*IF(Skills!G8&gt;0,Skills!H8/Skills!G8,1)+IF(Skills!G8&gt;0,MIN(Skills!H8,MAX(0,MAX(0,Inputs!$B$44-B1431)-((R1400-1)*IF(Inputs!$B$39="pvp",15,MAX(0.1,Skills!D8-IF(Skills!E8=TRUE,3.0,0))))))/Skills!G8,1)))/Inputs!$B$44),G1400*Q1400)*IF(Inputs!$B$39="pvp",1,(1-Summary!$B$48)*(1)+Summary!$B$48*(MIN(Skills!Q8,Inputs!$B$38))),0)</f>
        <v/>
      </c>
      <c r="P1400">
        <f>IF(B1432=0,0,O1400/B1432)</f>
        <v/>
      </c>
      <c r="Q1400">
        <f>IFERROR(1/IF(Inputs!$B$39="pvp",15,MAX(0.1,Skills!D8-IF(Skills!E8=TRUE,3.0,0))),0)</f>
        <v/>
      </c>
      <c r="R1400">
        <f>IF(AND(Inputs!$B$39&lt;&gt;"pvp",Inputs!$B$44&gt;0),IF(MAX(0,Inputs!$B$44-B1431)&lt;=0,0,(INT(MAX(0,Inputs!$B$44-B1431)/IF(Inputs!$B$39="pvp",15,MAX(0.1,Skills!D8-IF(Skills!E8=TRUE,3.0,0))))+1)),0)</f>
        <v/>
      </c>
    </row>
    <row r="1401">
      <c r="A1401">
        <f>Skills!A9</f>
        <v/>
      </c>
      <c r="B1401">
        <f>Skills!B9</f>
        <v/>
      </c>
      <c r="C1401">
        <f>Inputs!$B$3&gt;=115</f>
        <v/>
      </c>
      <c r="D1401">
        <f>IF(Skills!C9=1,60+Inputs!$B$26+Inputs!$B$30,IF(Skills!C9=2,90+Inputs!$B$27+Inputs!$B$30,IF(Skills!C9=3,120+Inputs!$B$28+Inputs!$B$30,MAX(0,(Inputs!$B$3-100)*3)+Inputs!$B$29+Inputs!$B$30)))</f>
        <v/>
      </c>
      <c r="E1401">
        <f>INDEX(FactorTable!$B$2:$Y$301, MATCH(ROUND(MIN(300,MAX(1,D1401)),0), FactorTable!$A$2:$A$301,0), Skills!L9+1)</f>
        <v/>
      </c>
      <c r="F1401">
        <f>IF(Skills!M9=TRUE,(Skills!K9/10)*(E1401/1000),Skills!K9/10)+Skills!N9</f>
        <v/>
      </c>
      <c r="G1401">
        <f>Calc!G9</f>
        <v/>
      </c>
      <c r="H1401">
        <f>Calc!H9</f>
        <v/>
      </c>
      <c r="I1401">
        <f>IF(Skills!T9&lt;&gt;"",1+(Skills!T9/10)*($Z$3/1000)/100,1)</f>
        <v/>
      </c>
      <c r="J1401">
        <f>((Inputs!$B$6*(1+Inputs!$B$7/100))+(((Inputs!$B$13*(1+Inputs!$B$14/100))-(Inputs!$B$13*(1+Inputs!$B$14/100)))+0.25*(Inputs!$B$15-Inputs!$B$15))*(1+Inputs!$B$7/100))*(F1401/100)</f>
        <v/>
      </c>
      <c r="K1401">
        <f>J1401*(1+(((Inputs!$B$13+IF(Inputs!$B$3&gt;=35,(10*INDEX(FactorTable!$B$2:$Y$301, MATCH(ROUND(MIN(300,MAX(1,Inputs!$B$3)),0), FactorTable!$A$2:$A$301,0), 23)/1000)/100*(Inputs!$B$8*(1+(Inputs!$B$9+B1430)/100)),0))*(1+Inputs!$B$14/100))*0.01+Inputs!$B$15*0.0025)/100)*(1+(Inputs!$B$16+B1424)/100)*(1+IF(Inputs!$B$39="pvp",0,(1-Summary!$B$48)*(Inputs!$B$21+Skills!O9+B1422)+Summary!$B$48*(Inputs!$B$22+Skills!P9+B1423))/100)*(1+Inputs!$B$17/100)*(5000/(6000+Inputs!$B$43*(1-Inputs!$B$20/100)))*(1+Inputs!$B$25/100)*(1+IF(C1410=TRUE,F1410,0)/100)*(1+IF(C1412=TRUE,F1412,0)/100)*(1+IF(Skills!A9="TRIUMPH_FEATHER",IF(C1408=TRUE,F1408,0),0)/100)*(1+IF(C1419=TRUE,F1419,0)/100)^5*(1+(IF(Skills!A9="BIG_BANG",Inputs!$B$18,Inputs!$B$19))/100)*(B1421*I1401)</f>
        <v/>
      </c>
      <c r="L1401">
        <f>K1401*(MIN(Inputs!$B$23+(F1414-Calc!F22),Inputs!$B$24)/100+Inputs!$B$24/100)/2</f>
        <v/>
      </c>
      <c r="M1401">
        <f>L1401*(1+(Inputs!$B$11+B1425+(F1417-Calc!F25))/100)</f>
        <v/>
      </c>
      <c r="N1401">
        <f>L1401*(1-MIN(Inputs!$B$10+((F1416-Calc!F24)+(F1415-Calc!F23)),100)/100)+M1401*(MIN(Inputs!$B$10+((F1416-Calc!F24)+(F1415-Calc!F23)),100)/100)</f>
        <v/>
      </c>
      <c r="O1401">
        <f>IF(C1401,H1401*N1401*IF(AND(Inputs!$B$39&lt;&gt;"pvp",Inputs!$B$44&gt;0),((Skills!F9*((R1401-1)*IF(Skills!G9&gt;0,Skills!H9/Skills!G9,1)+IF(Skills!G9&gt;0,MIN(Skills!H9,MAX(0,MAX(0,Inputs!$B$44-B1431)-((R1401-1)*IF(Inputs!$B$39="pvp",15,MAX(0.1,Skills!D9-IF(Skills!E9=TRUE,3.0,0))))))/Skills!G9,1)))/Inputs!$B$44),G1401*Q1401)*IF(Inputs!$B$39="pvp",1,(1-Summary!$B$48)*(1)+Summary!$B$48*(MIN(Skills!Q9,Inputs!$B$38))),0)</f>
        <v/>
      </c>
      <c r="P1401">
        <f>IF(B1432=0,0,O1401/B1432)</f>
        <v/>
      </c>
      <c r="Q1401">
        <f>IFERROR(1/IF(Inputs!$B$39="pvp",15,MAX(0.1,Skills!D9-IF(Skills!E9=TRUE,3.0,0))),0)</f>
        <v/>
      </c>
      <c r="R1401">
        <f>IF(AND(Inputs!$B$39&lt;&gt;"pvp",Inputs!$B$44&gt;0),IF(MAX(0,Inputs!$B$44-B1431)&lt;=0,0,(INT(MAX(0,Inputs!$B$44-B1431)/IF(Inputs!$B$39="pvp",15,MAX(0.1,Skills!D9-IF(Skills!E9=TRUE,3.0,0))))+1)),0)</f>
        <v/>
      </c>
    </row>
    <row r="1402">
      <c r="A1402">
        <f>Skills!A10</f>
        <v/>
      </c>
      <c r="B1402">
        <f>Skills!B10</f>
        <v/>
      </c>
      <c r="C1402">
        <f>Inputs!$B$3&gt;=66</f>
        <v/>
      </c>
      <c r="D1402">
        <f>IF(Skills!C10=1,60+Inputs!$B$26+Inputs!$B$30,IF(Skills!C10=2,90+Inputs!$B$27+Inputs!$B$30,IF(Skills!C10=3,120+Inputs!$B$28+Inputs!$B$30,MAX(0,(Inputs!$B$3-100)*3)+Inputs!$B$29+Inputs!$B$30)))</f>
        <v/>
      </c>
      <c r="E1402">
        <f>INDEX(FactorTable!$B$2:$Y$301, MATCH(ROUND(MIN(300,MAX(1,D1402)),0), FactorTable!$A$2:$A$301,0), Skills!L10+1)</f>
        <v/>
      </c>
      <c r="F1402" t="n">
        <v>0</v>
      </c>
      <c r="G1402">
        <f>Calc!G10</f>
        <v/>
      </c>
      <c r="H1402">
        <f>Calc!H10</f>
        <v/>
      </c>
      <c r="I1402">
        <f>IF(Skills!T10&lt;&gt;"",1+(Skills!T10/10)*($Z$3/1000)/100,1)</f>
        <v/>
      </c>
      <c r="J1402" t="inlineStr"/>
      <c r="K1402" t="inlineStr"/>
      <c r="L1402" t="inlineStr"/>
      <c r="M1402" t="inlineStr"/>
      <c r="N1402" t="inlineStr"/>
      <c r="O1402" t="n">
        <v>0</v>
      </c>
      <c r="P1402">
        <f>IF(B1432=0,0,O1402/B1432)</f>
        <v/>
      </c>
      <c r="Q1402">
        <f>IFERROR(1/IF(Inputs!$B$39="pvp",15,MAX(0.1,Skills!D10-IF(Skills!E10=TRUE,3.0,0))),0)</f>
        <v/>
      </c>
      <c r="R1402">
        <f>IF(AND(Inputs!$B$39&lt;&gt;"pvp",Inputs!$B$44&gt;0),IF(MAX(0,Inputs!$B$44-B1431)&lt;=0,0,(INT(MAX(0,Inputs!$B$44-B1431)/IF(Inputs!$B$39="pvp",15,MAX(0.1,Skills!D10-IF(Skills!E10=TRUE,3.0,0))))+1)),0)</f>
        <v/>
      </c>
    </row>
    <row r="1403">
      <c r="A1403">
        <f>Skills!A11</f>
        <v/>
      </c>
      <c r="B1403">
        <f>Skills!B11</f>
        <v/>
      </c>
      <c r="C1403">
        <f>Inputs!$B$3&gt;=69</f>
        <v/>
      </c>
      <c r="D1403">
        <f>IF(Skills!C11=1,60+Inputs!$B$26+Inputs!$B$30,IF(Skills!C11=2,90+Inputs!$B$27+Inputs!$B$30,IF(Skills!C11=3,120+Inputs!$B$28+Inputs!$B$30,MAX(0,(Inputs!$B$3-100)*3)+Inputs!$B$29+Inputs!$B$30)))</f>
        <v/>
      </c>
      <c r="E1403">
        <f>INDEX(FactorTable!$B$2:$Y$301, MATCH(ROUND(MIN(300,MAX(1,D1403)),0), FactorTable!$A$2:$A$301,0), Skills!L11+1)</f>
        <v/>
      </c>
      <c r="F1403">
        <f>IF(Skills!M11=TRUE,(Skills!K11/10)*(E1403/1000),Skills!K11/10)+Skills!N11</f>
        <v/>
      </c>
      <c r="G1403">
        <f>Calc!G11</f>
        <v/>
      </c>
      <c r="H1403">
        <f>Calc!H11</f>
        <v/>
      </c>
      <c r="I1403">
        <f>IF(Skills!T11&lt;&gt;"",1+(Skills!T11/10)*($Z$3/1000)/100,1)</f>
        <v/>
      </c>
      <c r="J1403" t="inlineStr"/>
      <c r="K1403" t="inlineStr"/>
      <c r="L1403" t="inlineStr"/>
      <c r="M1403" t="inlineStr"/>
      <c r="N1403" t="inlineStr"/>
      <c r="O1403" t="n">
        <v>0</v>
      </c>
      <c r="P1403">
        <f>IF(B1432=0,0,O1403/B1432)</f>
        <v/>
      </c>
      <c r="Q1403">
        <f>IFERROR(1/IF(Inputs!$B$39="pvp",15,MAX(0.1,Skills!D11-IF(Skills!E11=TRUE,3.0,0))),0)</f>
        <v/>
      </c>
      <c r="R1403">
        <f>IF(AND(Inputs!$B$39&lt;&gt;"pvp",Inputs!$B$44&gt;0),IF(Inputs!$B$44&lt;=0,0,(INT(Inputs!$B$44/IF(Inputs!$B$39="pvp",15,MAX(0.1,Skills!D11-IF(Skills!E11=TRUE,3.0,0))))+1)),0)</f>
        <v/>
      </c>
    </row>
    <row r="1404">
      <c r="A1404">
        <f>Skills!A12</f>
        <v/>
      </c>
      <c r="B1404">
        <f>Skills!B12</f>
        <v/>
      </c>
      <c r="C1404">
        <f>Inputs!$B$3&gt;=72</f>
        <v/>
      </c>
      <c r="D1404">
        <f>IF(Skills!C12=1,60+Inputs!$B$26+Inputs!$B$30,IF(Skills!C12=2,90+Inputs!$B$27+Inputs!$B$30,IF(Skills!C12=3,120+Inputs!$B$28+Inputs!$B$30,MAX(0,(Inputs!$B$3-100)*3)+Inputs!$B$29+Inputs!$B$30)))</f>
        <v/>
      </c>
      <c r="E1404">
        <f>INDEX(FactorTable!$B$2:$Y$301, MATCH(ROUND(MIN(300,MAX(1,D1404)),0), FactorTable!$A$2:$A$301,0), Skills!L12+1)</f>
        <v/>
      </c>
      <c r="F1404">
        <f>IF(Skills!M12=TRUE,(Skills!K12/10)*(E1404/1000),Skills!K12/10)+Skills!N12</f>
        <v/>
      </c>
      <c r="G1404">
        <f>Calc!G12</f>
        <v/>
      </c>
      <c r="H1404">
        <f>Calc!H12</f>
        <v/>
      </c>
      <c r="I1404">
        <f>IF(Skills!T12&lt;&gt;"",1+(Skills!T12/10)*($Z$3/1000)/100,1)</f>
        <v/>
      </c>
      <c r="J1404" t="inlineStr"/>
      <c r="K1404" t="inlineStr"/>
      <c r="L1404" t="inlineStr"/>
      <c r="M1404" t="inlineStr"/>
      <c r="N1404" t="inlineStr"/>
      <c r="O1404" t="n">
        <v>0</v>
      </c>
      <c r="P1404">
        <f>IF(B1432=0,0,O1404/B1432)</f>
        <v/>
      </c>
      <c r="Q1404">
        <f>IFERROR(1/IF(Inputs!$B$39="pvp",15,MAX(0.1,Skills!D12-IF(Skills!E12=TRUE,3.0,0))),0)</f>
        <v/>
      </c>
      <c r="R1404">
        <f>IF(AND(Inputs!$B$39&lt;&gt;"pvp",Inputs!$B$44&gt;0),IF(MAX(0,Inputs!$B$44-B1431)&lt;=0,0,(INT(MAX(0,Inputs!$B$44-B1431)/IF(Inputs!$B$39="pvp",15,MAX(0.1,Skills!D12-IF(Skills!E12=TRUE,3.0,0))))+1)),0)</f>
        <v/>
      </c>
    </row>
    <row r="1405">
      <c r="A1405">
        <f>Skills!A13</f>
        <v/>
      </c>
      <c r="B1405">
        <f>Skills!B13</f>
        <v/>
      </c>
      <c r="C1405">
        <f>Inputs!$B$3&gt;=60</f>
        <v/>
      </c>
      <c r="D1405">
        <f>IF(Skills!C13=1,60+Inputs!$B$26+Inputs!$B$30,IF(Skills!C13=2,90+Inputs!$B$27+Inputs!$B$30,IF(Skills!C13=3,120+Inputs!$B$28+Inputs!$B$30,MAX(0,(Inputs!$B$3-100)*3)+Inputs!$B$29+Inputs!$B$30)))</f>
        <v/>
      </c>
      <c r="E1405">
        <f>INDEX(FactorTable!$B$2:$Y$301, MATCH(ROUND(MIN(300,MAX(1,D1405)),0), FactorTable!$A$2:$A$301,0), Skills!L13+1)</f>
        <v/>
      </c>
      <c r="F1405">
        <f>IF(Skills!M13=TRUE,(Skills!K13/10)*(E1405/1000),Skills!K13/10)+Skills!N13</f>
        <v/>
      </c>
      <c r="G1405">
        <f>Calc!G13</f>
        <v/>
      </c>
      <c r="H1405">
        <f>Calc!H13</f>
        <v/>
      </c>
      <c r="I1405">
        <f>IF(Skills!T13&lt;&gt;"",1+(Skills!T13/10)*($Z$3/1000)/100,1)</f>
        <v/>
      </c>
      <c r="J1405" t="inlineStr"/>
      <c r="K1405" t="inlineStr"/>
      <c r="L1405" t="inlineStr"/>
      <c r="M1405" t="inlineStr"/>
      <c r="N1405" t="inlineStr"/>
      <c r="O1405" t="n">
        <v>0</v>
      </c>
      <c r="P1405">
        <f>IF(B1432=0,0,O1405/B1432)</f>
        <v/>
      </c>
      <c r="Q1405">
        <f>IFERROR(1/IF(Inputs!$B$39="pvp",15,MAX(0.1,Skills!D13-IF(Skills!E13=TRUE,3.0,0))),0)</f>
        <v/>
      </c>
      <c r="R1405">
        <f>IF(AND(Inputs!$B$39&lt;&gt;"pvp",Inputs!$B$44&gt;0),IF(MAX(0,Inputs!$B$44-B1431)&lt;=0,0,(INT(MAX(0,Inputs!$B$44-B1431)/IF(Inputs!$B$39="pvp",15,MAX(0.1,Skills!D13-IF(Skills!E13=TRUE,3.0,0))))+1)),0)</f>
        <v/>
      </c>
    </row>
    <row r="1406">
      <c r="A1406">
        <f>Skills!A14</f>
        <v/>
      </c>
      <c r="B1406">
        <f>Skills!B14</f>
        <v/>
      </c>
      <c r="C1406">
        <f>Inputs!$B$3&gt;=107</f>
        <v/>
      </c>
      <c r="D1406">
        <f>IF(Skills!C14=1,60+Inputs!$B$26+Inputs!$B$30,IF(Skills!C14=2,90+Inputs!$B$27+Inputs!$B$30,IF(Skills!C14=3,120+Inputs!$B$28+Inputs!$B$30,MAX(0,(Inputs!$B$3-100)*3)+Inputs!$B$29+Inputs!$B$30)))</f>
        <v/>
      </c>
      <c r="E1406">
        <f>INDEX(FactorTable!$B$2:$Y$301, MATCH(ROUND(MIN(300,MAX(1,D1406)),0), FactorTable!$A$2:$A$301,0), Skills!L14+1)</f>
        <v/>
      </c>
      <c r="F1406">
        <f>IF(Skills!M14=TRUE,(Skills!K14/10)*(E1406/1000),Skills!K14/10)+Skills!N14</f>
        <v/>
      </c>
      <c r="G1406">
        <f>Calc!G14</f>
        <v/>
      </c>
      <c r="H1406">
        <f>Calc!H14</f>
        <v/>
      </c>
      <c r="I1406">
        <f>IF(Skills!T14&lt;&gt;"",1+(Skills!T14/10)*($Z$3/1000)/100,1)</f>
        <v/>
      </c>
      <c r="J1406" t="inlineStr"/>
      <c r="K1406" t="inlineStr"/>
      <c r="L1406" t="inlineStr"/>
      <c r="M1406" t="inlineStr"/>
      <c r="N1406" t="inlineStr"/>
      <c r="O1406" t="n">
        <v>0</v>
      </c>
      <c r="P1406">
        <f>IF(B1432=0,0,O1406/B1432)</f>
        <v/>
      </c>
      <c r="Q1406">
        <f>IFERROR(1/IF(Inputs!$B$39="pvp",15,MAX(0.1,Skills!D14-IF(Skills!E14=TRUE,3.0,0))),0)</f>
        <v/>
      </c>
      <c r="R1406">
        <f>IF(AND(Inputs!$B$39&lt;&gt;"pvp",Inputs!$B$44&gt;0),IF(Inputs!$B$44&lt;=0,0,(INT(Inputs!$B$44/IF(Inputs!$B$39="pvp",15,MAX(0.1,Skills!D14-IF(Skills!E14=TRUE,3.0,0))))+1)),0)</f>
        <v/>
      </c>
    </row>
    <row r="1407">
      <c r="A1407">
        <f>Skills!A15</f>
        <v/>
      </c>
      <c r="B1407">
        <f>Skills!B15</f>
        <v/>
      </c>
      <c r="C1407">
        <f>Inputs!$B$3&gt;=63</f>
        <v/>
      </c>
      <c r="D1407">
        <f>IF(Skills!C15=1,60+Inputs!$B$26+Inputs!$B$30,IF(Skills!C15=2,90+Inputs!$B$27+Inputs!$B$30,IF(Skills!C15=3,120+Inputs!$B$28+Inputs!$B$30,MAX(0,(Inputs!$B$3-100)*3)+Inputs!$B$29+Inputs!$B$30)))</f>
        <v/>
      </c>
      <c r="E1407">
        <f>INDEX(FactorTable!$B$2:$Y$301, MATCH(ROUND(MIN(300,MAX(1,D1407)),0), FactorTable!$A$2:$A$301,0), Skills!L15+1)</f>
        <v/>
      </c>
      <c r="F1407">
        <f>IF(Skills!M15=TRUE,(Skills!K15/10)*(E1407/1000),Skills!K15/10)+Skills!N15</f>
        <v/>
      </c>
      <c r="G1407">
        <f>Calc!G15</f>
        <v/>
      </c>
      <c r="H1407">
        <f>Calc!H15</f>
        <v/>
      </c>
      <c r="I1407">
        <f>IF(Skills!T15&lt;&gt;"",1+(Skills!T15/10)*($Z$3/1000)/100,1)</f>
        <v/>
      </c>
      <c r="J1407">
        <f>((Inputs!$B$6*(1+Inputs!$B$7/100))+(((Inputs!$B$13*(1+Inputs!$B$14/100))-(Inputs!$B$13*(1+Inputs!$B$14/100)))+0.25*(Inputs!$B$15-Inputs!$B$15))*(1+Inputs!$B$7/100))*(F1407/100)</f>
        <v/>
      </c>
      <c r="K1407">
        <f>J1407*(1+(((Inputs!$B$13+IF(Inputs!$B$3&gt;=35,(10*INDEX(FactorTable!$B$2:$Y$301, MATCH(ROUND(MIN(300,MAX(1,Inputs!$B$3)),0), FactorTable!$A$2:$A$301,0), 23)/1000)/100*(Inputs!$B$8*(1+(Inputs!$B$9+B1430)/100)),0))*(1+Inputs!$B$14/100))*0.01+Inputs!$B$15*0.0025)/100)*(1+(Inputs!$B$16+B1424)/100)*(1+IF(Inputs!$B$39="pvp",0,(1-Summary!$B$48)*(Inputs!$B$21+Skills!O15+B1422)+Summary!$B$48*(Inputs!$B$22+Skills!P15+B1423))/100)*(1+Inputs!$B$17/100)*(5000/(6000+Inputs!$B$43*(1-Inputs!$B$20/100)))*(1+Inputs!$B$25/100)*(1+IF(C1410=TRUE,F1410,0)/100)*(1+IF(C1412=TRUE,F1412,0)/100)*(1+IF(Skills!A15="TRIUMPH_FEATHER",IF(C1408=TRUE,F1408,0),0)/100)*(1+IF(C1419=TRUE,F1419,0)/100)^5*(1+(IF(Skills!A15="BIG_BANG",Inputs!$B$18,Inputs!$B$19))/100)*(B1421*I1407)</f>
        <v/>
      </c>
      <c r="L1407">
        <f>K1407*(MIN(Inputs!$B$23+(F1414-Calc!F22),Inputs!$B$24)/100+Inputs!$B$24/100)/2</f>
        <v/>
      </c>
      <c r="M1407">
        <f>L1407*(1+(Inputs!$B$11+B1425+(F1417-Calc!F25))/100)</f>
        <v/>
      </c>
      <c r="N1407">
        <f>L1407*(1-MIN(Inputs!$B$10+((F1416-Calc!F24)+(F1415-Calc!F23)),100)/100)+M1407*(MIN(Inputs!$B$10+((F1416-Calc!F24)+(F1415-Calc!F23)),100)/100)</f>
        <v/>
      </c>
      <c r="O1407">
        <f>IF(C1407,Skills!F15*N1407*((IF(Inputs!$B$3&gt;=78,25,15)/100*B1427*10)/(1+IF(Inputs!$B$3&gt;=78,25,15)/100*B1427*10))*(Skills!I15/100*B1427)/(1+Skills!G15*Skills!I15/100*B1427)*IF(Inputs!$B$39="pvp",1,(1-Summary!$B$48)*(1)+Summary!$B$48*(MIN(Skills!Q15,Inputs!$B$38))),0)</f>
        <v/>
      </c>
      <c r="P1407">
        <f>IF(B1432=0,0,O1407/B1432)</f>
        <v/>
      </c>
      <c r="Q1407">
        <f>IFERROR(1/IF(Inputs!$B$39="pvp",15,MAX(0.1,Skills!D15-IF(Skills!E15=TRUE,3.0,0))),0)</f>
        <v/>
      </c>
      <c r="R1407" t="n">
        <v>0</v>
      </c>
    </row>
    <row r="1408">
      <c r="A1408">
        <f>Skills!A16</f>
        <v/>
      </c>
      <c r="B1408">
        <f>Skills!B16</f>
        <v/>
      </c>
      <c r="C1408">
        <f>Inputs!$B$3&gt;=100</f>
        <v/>
      </c>
      <c r="D1408">
        <f>IF(Skills!C16=1,60+Inputs!$B$26+Inputs!$B$30,IF(Skills!C16=2,90+Inputs!$B$27+Inputs!$B$30,IF(Skills!C16=3,120+Inputs!$B$28+Inputs!$B$30,MAX(0,(Inputs!$B$3-100)*3)+Inputs!$B$29+Inputs!$B$30)))</f>
        <v/>
      </c>
      <c r="E1408">
        <f>INDEX(FactorTable!$B$2:$Y$301, MATCH(ROUND(MIN(300,MAX(1,D1408)),0), FactorTable!$A$2:$A$301,0), Skills!L16+1)</f>
        <v/>
      </c>
      <c r="F1408">
        <f>IF(Skills!M16=TRUE,(Skills!K16/10)*(E1408/1000),Skills!K16/10)+Skills!N16</f>
        <v/>
      </c>
      <c r="G1408">
        <f>Calc!G16</f>
        <v/>
      </c>
      <c r="H1408">
        <f>Calc!H16</f>
        <v/>
      </c>
      <c r="I1408">
        <f>IF(Skills!T16&lt;&gt;"",1+(Skills!T16/10)*($Z$3/1000)/100,1)</f>
        <v/>
      </c>
      <c r="J1408" t="inlineStr"/>
      <c r="K1408" t="inlineStr"/>
      <c r="L1408" t="inlineStr"/>
      <c r="M1408" t="inlineStr"/>
      <c r="N1408" t="inlineStr"/>
      <c r="O1408" t="n">
        <v>0</v>
      </c>
      <c r="P1408">
        <f>IF(B1432=0,0,O1408/B1432)</f>
        <v/>
      </c>
      <c r="Q1408">
        <f>IFERROR(1/IF(Inputs!$B$39="pvp",15,MAX(0.1,Skills!D16-IF(Skills!E16=TRUE,3.0,0))),0)</f>
        <v/>
      </c>
      <c r="R1408" t="n">
        <v>0</v>
      </c>
    </row>
    <row r="1409">
      <c r="A1409">
        <f>Skills!A17</f>
        <v/>
      </c>
      <c r="B1409">
        <f>Skills!B17</f>
        <v/>
      </c>
      <c r="C1409">
        <f>Inputs!$B$3&gt;=49</f>
        <v/>
      </c>
      <c r="D1409">
        <f>IF(Skills!C17=1,60+Inputs!$B$26+Inputs!$B$30,IF(Skills!C17=2,90+Inputs!$B$27+Inputs!$B$30,IF(Skills!C17=3,120+Inputs!$B$28+Inputs!$B$30,MAX(0,(Inputs!$B$3-100)*3)+Inputs!$B$29+Inputs!$B$30)))</f>
        <v/>
      </c>
      <c r="E1409">
        <f>INDEX(FactorTable!$B$2:$Y$301, MATCH(ROUND(MIN(300,MAX(1,D1409)),0), FactorTable!$A$2:$A$301,0), Skills!L17+1)</f>
        <v/>
      </c>
      <c r="F1409">
        <f>IF(Skills!M17=TRUE,(Skills!K17/10)*(E1409/1000),Skills!K17/10)+Skills!N17</f>
        <v/>
      </c>
      <c r="G1409">
        <f>Calc!G17</f>
        <v/>
      </c>
      <c r="H1409">
        <f>Calc!H17</f>
        <v/>
      </c>
      <c r="I1409">
        <f>IF(Skills!T17&lt;&gt;"",1+(Skills!T17/10)*($Z$3/1000)/100,1)</f>
        <v/>
      </c>
      <c r="J1409" t="inlineStr"/>
      <c r="K1409" t="inlineStr"/>
      <c r="L1409" t="inlineStr"/>
      <c r="M1409" t="inlineStr"/>
      <c r="N1409" t="inlineStr"/>
      <c r="O1409" t="n">
        <v>0</v>
      </c>
      <c r="P1409">
        <f>IF(B1432=0,0,O1409/B1432)</f>
        <v/>
      </c>
      <c r="Q1409">
        <f>IFERROR(1/IF(Inputs!$B$39="pvp",15,MAX(0.1,Skills!D17-IF(Skills!E17=TRUE,3.0,0))),0)</f>
        <v/>
      </c>
      <c r="R1409" t="n">
        <v>0</v>
      </c>
    </row>
    <row r="1410">
      <c r="A1410">
        <f>Skills!A18</f>
        <v/>
      </c>
      <c r="B1410">
        <f>Skills!B18</f>
        <v/>
      </c>
      <c r="C1410">
        <f>Inputs!$B$3&gt;=75</f>
        <v/>
      </c>
      <c r="D1410">
        <f>IF(Skills!C18=1,60+Inputs!$B$26+Inputs!$B$30,IF(Skills!C18=2,90+Inputs!$B$27+Inputs!$B$30,IF(Skills!C18=3,120+Inputs!$B$28+Inputs!$B$30,MAX(0,(Inputs!$B$3-100)*3)+Inputs!$B$29+Inputs!$B$30)))</f>
        <v/>
      </c>
      <c r="E1410">
        <f>INDEX(FactorTable!$B$2:$Y$301, MATCH(ROUND(MIN(300,MAX(1,D1410)),0), FactorTable!$A$2:$A$301,0), Skills!L18+1)</f>
        <v/>
      </c>
      <c r="F1410">
        <f>IF(Skills!M18=TRUE,(Skills!K18/10)*(E1410/1000),Skills!K18/10)+Skills!N18</f>
        <v/>
      </c>
      <c r="G1410">
        <f>Calc!G18</f>
        <v/>
      </c>
      <c r="H1410">
        <f>Calc!H18</f>
        <v/>
      </c>
      <c r="I1410">
        <f>IF(Skills!T18&lt;&gt;"",1+(Skills!T18/10)*($Z$3/1000)/100,1)</f>
        <v/>
      </c>
      <c r="J1410" t="inlineStr"/>
      <c r="K1410" t="inlineStr"/>
      <c r="L1410" t="inlineStr"/>
      <c r="M1410" t="inlineStr"/>
      <c r="N1410" t="inlineStr"/>
      <c r="O1410" t="n">
        <v>0</v>
      </c>
      <c r="P1410">
        <f>IF(B1432=0,0,O1410/B1432)</f>
        <v/>
      </c>
      <c r="Q1410">
        <f>IFERROR(1/IF(Inputs!$B$39="pvp",15,MAX(0.1,Skills!D18-IF(Skills!E18=TRUE,3.0,0))),0)</f>
        <v/>
      </c>
      <c r="R1410" t="n">
        <v>0</v>
      </c>
    </row>
    <row r="1411">
      <c r="A1411">
        <f>Skills!A19</f>
        <v/>
      </c>
      <c r="B1411">
        <f>Skills!B19</f>
        <v/>
      </c>
      <c r="C1411">
        <f>Inputs!$B$3&gt;=110</f>
        <v/>
      </c>
      <c r="D1411">
        <f>IF(Skills!C19=1,60+Inputs!$B$26+Inputs!$B$30,IF(Skills!C19=2,90+Inputs!$B$27+Inputs!$B$30,IF(Skills!C19=3,120+Inputs!$B$28+Inputs!$B$30,MAX(0,(Inputs!$B$3-100)*3)+Inputs!$B$29+Inputs!$B$30)))</f>
        <v/>
      </c>
      <c r="E1411">
        <f>INDEX(FactorTable!$B$2:$Y$301, MATCH(ROUND(MIN(300,MAX(1,D1411)),0), FactorTable!$A$2:$A$301,0), Skills!L19+1)</f>
        <v/>
      </c>
      <c r="F1411">
        <f>(Skills!K19/10)*(E1411/1000)*64/45+Skills!N19</f>
        <v/>
      </c>
      <c r="G1411">
        <f>Calc!G19</f>
        <v/>
      </c>
      <c r="H1411">
        <f>Calc!H19</f>
        <v/>
      </c>
      <c r="I1411">
        <f>IF(Skills!T19&lt;&gt;"",1+(Skills!T19/10)*($Z$3/1000)/100,1)</f>
        <v/>
      </c>
      <c r="J1411" t="inlineStr"/>
      <c r="K1411" t="inlineStr"/>
      <c r="L1411" t="inlineStr"/>
      <c r="M1411" t="inlineStr"/>
      <c r="N1411" t="inlineStr"/>
      <c r="O1411" t="n">
        <v>0</v>
      </c>
      <c r="P1411">
        <f>IF(B1432=0,0,O1411/B1432)</f>
        <v/>
      </c>
      <c r="Q1411">
        <f>IFERROR(1/IF(Inputs!$B$39="pvp",15,MAX(0.1,Skills!D19-IF(Skills!E19=TRUE,3.0,0))),0)</f>
        <v/>
      </c>
      <c r="R1411">
        <f>IF(AND(Inputs!$B$39&lt;&gt;"pvp",Inputs!$B$44&gt;0),IF(Inputs!$B$44&lt;=0,0,(INT(Inputs!$B$44/IF(Inputs!$B$39="pvp",15,MAX(0.1,Skills!D19-IF(Skills!E19=TRUE,3.0,0))))+1)),0)</f>
        <v/>
      </c>
    </row>
    <row r="1412">
      <c r="A1412">
        <f>Skills!A20</f>
        <v/>
      </c>
      <c r="B1412">
        <f>Skills!B20</f>
        <v/>
      </c>
      <c r="C1412">
        <f>Inputs!$B$3&gt;=125</f>
        <v/>
      </c>
      <c r="D1412">
        <f>IF(Skills!C20=1,60+Inputs!$B$26+Inputs!$B$30,IF(Skills!C20=2,90+Inputs!$B$27+Inputs!$B$30,IF(Skills!C20=3,120+Inputs!$B$28+Inputs!$B$30,MAX(0,(Inputs!$B$3-100)*3)+Inputs!$B$29+Inputs!$B$30)))</f>
        <v/>
      </c>
      <c r="E1412">
        <f>INDEX(FactorTable!$B$2:$Y$301, MATCH(ROUND(MIN(300,MAX(1,D1412)),0), FactorTable!$A$2:$A$301,0), Skills!L20+1)</f>
        <v/>
      </c>
      <c r="F1412">
        <f>IF(Skills!M20=TRUE,(Skills!K20/10)*(E1412/1000),Skills!K20/10)+Skills!N20</f>
        <v/>
      </c>
      <c r="G1412">
        <f>Calc!G20</f>
        <v/>
      </c>
      <c r="H1412">
        <f>Calc!H20</f>
        <v/>
      </c>
      <c r="I1412">
        <f>IF(Skills!T20&lt;&gt;"",1+(Skills!T20/10)*($Z$3/1000)/100,1)</f>
        <v/>
      </c>
      <c r="J1412" t="inlineStr"/>
      <c r="K1412" t="inlineStr"/>
      <c r="L1412" t="inlineStr"/>
      <c r="M1412" t="inlineStr"/>
      <c r="N1412" t="inlineStr"/>
      <c r="O1412" t="n">
        <v>0</v>
      </c>
      <c r="P1412">
        <f>IF(B1432=0,0,O1412/B1432)</f>
        <v/>
      </c>
      <c r="Q1412">
        <f>IFERROR(1/IF(Inputs!$B$39="pvp",15,MAX(0.1,Skills!D20-IF(Skills!E20=TRUE,3.0,0))),0)</f>
        <v/>
      </c>
      <c r="R1412" t="n">
        <v>0</v>
      </c>
    </row>
    <row r="1413">
      <c r="A1413">
        <f>Skills!A21</f>
        <v/>
      </c>
      <c r="B1413">
        <f>Skills!B21</f>
        <v/>
      </c>
      <c r="C1413">
        <f>Inputs!$B$3&gt;=33</f>
        <v/>
      </c>
      <c r="D1413">
        <f>IF(Skills!C21=1,60+Inputs!$B$26+Inputs!$B$30,IF(Skills!C21=2,90+Inputs!$B$27+Inputs!$B$30,IF(Skills!C21=3,120+Inputs!$B$28+Inputs!$B$30,MAX(0,(Inputs!$B$3-100)*3)+Inputs!$B$29+Inputs!$B$30)))</f>
        <v/>
      </c>
      <c r="E1413">
        <f>INDEX(FactorTable!$B$2:$Y$301, MATCH(ROUND(MIN(300,MAX(1,D1413)),0), FactorTable!$A$2:$A$301,0), Skills!L21+1)</f>
        <v/>
      </c>
      <c r="F1413">
        <f>IF(Skills!M21=TRUE,(Skills!K21/10)*(E1413/1000),Skills!K21/10)+Skills!N21</f>
        <v/>
      </c>
      <c r="G1413">
        <f>Calc!G21</f>
        <v/>
      </c>
      <c r="H1413">
        <f>Calc!H21</f>
        <v/>
      </c>
      <c r="I1413">
        <f>IF(Skills!T21&lt;&gt;"",1+(Skills!T21/10)*($Z$3/1000)/100,1)</f>
        <v/>
      </c>
      <c r="J1413" t="inlineStr"/>
      <c r="K1413" t="inlineStr"/>
      <c r="L1413" t="inlineStr"/>
      <c r="M1413" t="inlineStr"/>
      <c r="N1413" t="inlineStr"/>
      <c r="O1413" t="n">
        <v>0</v>
      </c>
      <c r="P1413">
        <f>IF(B1432=0,0,O1413/B1432)</f>
        <v/>
      </c>
      <c r="Q1413">
        <f>IFERROR(1/IF(Inputs!$B$39="pvp",15,MAX(0.1,Skills!D21-IF(Skills!E21=TRUE,3.0,0))),0)</f>
        <v/>
      </c>
      <c r="R1413" t="n">
        <v>0</v>
      </c>
    </row>
    <row r="1414">
      <c r="A1414">
        <f>Skills!A22</f>
        <v/>
      </c>
      <c r="B1414">
        <f>Skills!B22</f>
        <v/>
      </c>
      <c r="C1414">
        <f>Inputs!$B$3&gt;=43</f>
        <v/>
      </c>
      <c r="D1414">
        <f>IF(Skills!C22=1,60+Inputs!$B$26+Inputs!$B$30,IF(Skills!C22=2,90+Inputs!$B$27+Inputs!$B$30,IF(Skills!C22=3,120+Inputs!$B$28+Inputs!$B$30,MAX(0,(Inputs!$B$3-100)*3)+Inputs!$B$29+Inputs!$B$30)))</f>
        <v/>
      </c>
      <c r="E1414">
        <f>INDEX(FactorTable!$B$2:$Y$301, MATCH(ROUND(MIN(300,MAX(1,D1414)),0), FactorTable!$A$2:$A$301,0), Skills!L22+1)</f>
        <v/>
      </c>
      <c r="F1414">
        <f>IF(Skills!M22=TRUE,(Skills!K22/10)*(E1414/1000),Skills!K22/10)+Skills!N22</f>
        <v/>
      </c>
      <c r="G1414">
        <f>Calc!G22</f>
        <v/>
      </c>
      <c r="H1414">
        <f>Calc!H22</f>
        <v/>
      </c>
      <c r="I1414">
        <f>IF(Skills!T22&lt;&gt;"",1+(Skills!T22/10)*($Z$3/1000)/100,1)</f>
        <v/>
      </c>
      <c r="J1414" t="inlineStr"/>
      <c r="K1414" t="inlineStr"/>
      <c r="L1414" t="inlineStr"/>
      <c r="M1414" t="inlineStr"/>
      <c r="N1414" t="inlineStr"/>
      <c r="O1414" t="n">
        <v>0</v>
      </c>
      <c r="P1414">
        <f>IF(B1432=0,0,O1414/B1432)</f>
        <v/>
      </c>
      <c r="Q1414">
        <f>IFERROR(1/IF(Inputs!$B$39="pvp",15,MAX(0.1,Skills!D22-IF(Skills!E22=TRUE,3.0,0))),0)</f>
        <v/>
      </c>
      <c r="R1414" t="n">
        <v>0</v>
      </c>
    </row>
    <row r="1415">
      <c r="A1415">
        <f>Skills!A23</f>
        <v/>
      </c>
      <c r="B1415">
        <f>Skills!B23</f>
        <v/>
      </c>
      <c r="C1415">
        <f>Inputs!$B$3&gt;=50</f>
        <v/>
      </c>
      <c r="D1415">
        <f>IF(Skills!C23=1,60+Inputs!$B$26+Inputs!$B$30,IF(Skills!C23=2,90+Inputs!$B$27+Inputs!$B$30,IF(Skills!C23=3,120+Inputs!$B$28+Inputs!$B$30,MAX(0,(Inputs!$B$3-100)*3)+Inputs!$B$29+Inputs!$B$30)))</f>
        <v/>
      </c>
      <c r="E1415">
        <f>INDEX(FactorTable!$B$2:$Y$301, MATCH(ROUND(MIN(300,MAX(1,D1415)),0), FactorTable!$A$2:$A$301,0), Skills!L23+1)</f>
        <v/>
      </c>
      <c r="F1415">
        <f>IF(Skills!M23=TRUE,(Skills!K23/10)*(E1415/1000),Skills!K23/10)+Skills!N23</f>
        <v/>
      </c>
      <c r="G1415">
        <f>Calc!G23</f>
        <v/>
      </c>
      <c r="H1415">
        <f>Calc!H23</f>
        <v/>
      </c>
      <c r="I1415">
        <f>IF(Skills!T23&lt;&gt;"",1+(Skills!T23/10)*($Z$3/1000)/100,1)</f>
        <v/>
      </c>
      <c r="J1415" t="inlineStr"/>
      <c r="K1415" t="inlineStr"/>
      <c r="L1415" t="inlineStr"/>
      <c r="M1415" t="inlineStr"/>
      <c r="N1415" t="inlineStr"/>
      <c r="O1415" t="n">
        <v>0</v>
      </c>
      <c r="P1415">
        <f>IF(B1432=0,0,O1415/B1432)</f>
        <v/>
      </c>
      <c r="Q1415">
        <f>IFERROR(1/IF(Inputs!$B$39="pvp",15,MAX(0.1,Skills!D23-IF(Skills!E23=TRUE,3.0,0))),0)</f>
        <v/>
      </c>
      <c r="R1415" t="n">
        <v>0</v>
      </c>
    </row>
    <row r="1416">
      <c r="A1416">
        <f>Skills!A24</f>
        <v/>
      </c>
      <c r="B1416">
        <f>Skills!B24</f>
        <v/>
      </c>
      <c r="C1416">
        <f>Inputs!$B$3&gt;=74</f>
        <v/>
      </c>
      <c r="D1416">
        <f>IF(Skills!C24=1,60+Inputs!$B$26+Inputs!$B$30,IF(Skills!C24=2,90+Inputs!$B$27+Inputs!$B$30,IF(Skills!C24=3,120+Inputs!$B$28+Inputs!$B$30,MAX(0,(Inputs!$B$3-100)*3)+Inputs!$B$29+Inputs!$B$30)))</f>
        <v/>
      </c>
      <c r="E1416">
        <f>INDEX(FactorTable!$B$2:$Y$301, MATCH(ROUND(MIN(300,MAX(1,D1416)),0), FactorTable!$A$2:$A$301,0), Skills!L24+1)</f>
        <v/>
      </c>
      <c r="F1416">
        <f>IF(Skills!M24=TRUE,(Skills!K24/10)*(E1416/1000),Skills!K24/10)+Skills!N24</f>
        <v/>
      </c>
      <c r="G1416">
        <f>Calc!G24</f>
        <v/>
      </c>
      <c r="H1416">
        <f>Calc!H24</f>
        <v/>
      </c>
      <c r="I1416">
        <f>IF(Skills!T24&lt;&gt;"",1+(Skills!T24/10)*($Z$3/1000)/100,1)</f>
        <v/>
      </c>
      <c r="J1416" t="inlineStr"/>
      <c r="K1416" t="inlineStr"/>
      <c r="L1416" t="inlineStr"/>
      <c r="M1416" t="inlineStr"/>
      <c r="N1416" t="inlineStr"/>
      <c r="O1416" t="n">
        <v>0</v>
      </c>
      <c r="P1416">
        <f>IF(B1432=0,0,O1416/B1432)</f>
        <v/>
      </c>
      <c r="Q1416">
        <f>IFERROR(1/IF(Inputs!$B$39="pvp",15,MAX(0.1,Skills!D24-IF(Skills!E24=TRUE,3.0,0))),0)</f>
        <v/>
      </c>
      <c r="R1416" t="n">
        <v>0</v>
      </c>
    </row>
    <row r="1417">
      <c r="A1417">
        <f>Skills!A25</f>
        <v/>
      </c>
      <c r="B1417">
        <f>Skills!B25</f>
        <v/>
      </c>
      <c r="C1417">
        <f>Inputs!$B$3&gt;=74</f>
        <v/>
      </c>
      <c r="D1417">
        <f>IF(Skills!C25=1,60+Inputs!$B$26+Inputs!$B$30,IF(Skills!C25=2,90+Inputs!$B$27+Inputs!$B$30,IF(Skills!C25=3,120+Inputs!$B$28+Inputs!$B$30,MAX(0,(Inputs!$B$3-100)*3)+Inputs!$B$29+Inputs!$B$30)))</f>
        <v/>
      </c>
      <c r="E1417">
        <f>INDEX(FactorTable!$B$2:$Y$301, MATCH(ROUND(MIN(300,MAX(1,D1417)),0), FactorTable!$A$2:$A$301,0), Skills!L25+1)</f>
        <v/>
      </c>
      <c r="F1417">
        <f>IF(Skills!M25=TRUE,(Skills!K25/10)*(E1417/1000),Skills!K25/10)+Skills!N25</f>
        <v/>
      </c>
      <c r="G1417">
        <f>Calc!G25</f>
        <v/>
      </c>
      <c r="H1417">
        <f>Calc!H25</f>
        <v/>
      </c>
      <c r="I1417">
        <f>IF(Skills!T25&lt;&gt;"",1+(Skills!T25/10)*($Z$3/1000)/100,1)</f>
        <v/>
      </c>
      <c r="J1417" t="inlineStr"/>
      <c r="K1417" t="inlineStr"/>
      <c r="L1417" t="inlineStr"/>
      <c r="M1417" t="inlineStr"/>
      <c r="N1417" t="inlineStr"/>
      <c r="O1417" t="n">
        <v>0</v>
      </c>
      <c r="P1417">
        <f>IF(B1432=0,0,O1417/B1432)</f>
        <v/>
      </c>
      <c r="Q1417">
        <f>IFERROR(1/IF(Inputs!$B$39="pvp",15,MAX(0.1,Skills!D25-IF(Skills!E25=TRUE,3.0,0))),0)</f>
        <v/>
      </c>
      <c r="R1417" t="n">
        <v>0</v>
      </c>
    </row>
    <row r="1418">
      <c r="A1418">
        <f>Skills!A26</f>
        <v/>
      </c>
      <c r="B1418">
        <f>Skills!B26</f>
        <v/>
      </c>
      <c r="C1418">
        <f>Inputs!$B$3&gt;=117</f>
        <v/>
      </c>
      <c r="D1418">
        <f>IF(Skills!C26=1,60+Inputs!$B$26+Inputs!$B$30,IF(Skills!C26=2,90+Inputs!$B$27+Inputs!$B$30,IF(Skills!C26=3,120+Inputs!$B$28+Inputs!$B$30,MAX(0,(Inputs!$B$3-100)*3)+Inputs!$B$29+Inputs!$B$30)))</f>
        <v/>
      </c>
      <c r="E1418">
        <f>INDEX(FactorTable!$B$2:$Y$301, MATCH(ROUND(MIN(300,MAX(1,D1418)),0), FactorTable!$A$2:$A$301,0), Skills!L26+1)</f>
        <v/>
      </c>
      <c r="F1418">
        <f>IF(Skills!M26=TRUE,(Skills!K26/10)*(E1418/1000),Skills!K26/10)+Skills!N26</f>
        <v/>
      </c>
      <c r="G1418">
        <f>Calc!G26</f>
        <v/>
      </c>
      <c r="H1418">
        <f>Calc!H26</f>
        <v/>
      </c>
      <c r="I1418">
        <f>IF(Skills!T26&lt;&gt;"",1+(Skills!T26/10)*($Z$3/1000)/100,1)</f>
        <v/>
      </c>
      <c r="J1418" t="inlineStr"/>
      <c r="K1418" t="inlineStr"/>
      <c r="L1418" t="inlineStr"/>
      <c r="M1418" t="inlineStr"/>
      <c r="N1418" t="inlineStr"/>
      <c r="O1418" t="n">
        <v>0</v>
      </c>
      <c r="P1418">
        <f>IF(B1432=0,0,O1418/B1432)</f>
        <v/>
      </c>
      <c r="Q1418">
        <f>IFERROR(1/IF(Inputs!$B$39="pvp",15,MAX(0.1,Skills!D26-IF(Skills!E26=TRUE,3.0,0))),0)</f>
        <v/>
      </c>
      <c r="R1418" t="n">
        <v>0</v>
      </c>
    </row>
    <row r="1419">
      <c r="A1419">
        <f>Skills!A27</f>
        <v/>
      </c>
      <c r="B1419">
        <f>Skills!B27</f>
        <v/>
      </c>
      <c r="C1419">
        <f>Inputs!$B$3&gt;=120</f>
        <v/>
      </c>
      <c r="D1419">
        <f>IF(Skills!C27=1,60+Inputs!$B$26+Inputs!$B$30,IF(Skills!C27=2,90+Inputs!$B$27+Inputs!$B$30,IF(Skills!C27=3,120+Inputs!$B$28+Inputs!$B$30,MAX(0,(Inputs!$B$3-100)*3)+Inputs!$B$29+Inputs!$B$30)))</f>
        <v/>
      </c>
      <c r="E1419">
        <f>INDEX(FactorTable!$B$2:$Y$301, MATCH(ROUND(MIN(300,MAX(1,D1419)),0), FactorTable!$A$2:$A$301,0), Skills!L27+1)</f>
        <v/>
      </c>
      <c r="F1419">
        <f>IF(Skills!M27=TRUE,(Skills!K27/10)*(E1419/1000),Skills!K27/10)+Skills!N27</f>
        <v/>
      </c>
      <c r="G1419">
        <f>Calc!G27</f>
        <v/>
      </c>
      <c r="H1419">
        <f>Calc!H27</f>
        <v/>
      </c>
      <c r="I1419">
        <f>IF(Skills!T27&lt;&gt;"",1+(Skills!T27/10)*($Z$3/1000)/100,1)</f>
        <v/>
      </c>
      <c r="J1419" t="inlineStr"/>
      <c r="K1419" t="inlineStr"/>
      <c r="L1419" t="inlineStr"/>
      <c r="M1419" t="inlineStr"/>
      <c r="N1419" t="inlineStr"/>
      <c r="O1419" t="n">
        <v>0</v>
      </c>
      <c r="P1419">
        <f>IF(B1432=0,0,O1419/B1432)</f>
        <v/>
      </c>
      <c r="Q1419">
        <f>IFERROR(1/IF(Inputs!$B$39="pvp",15,MAX(0.1,Skills!D27-IF(Skills!E27=TRUE,3.0,0))),0)</f>
        <v/>
      </c>
      <c r="R1419" t="n">
        <v>0</v>
      </c>
    </row>
    <row r="1421">
      <c r="A1421" t="inlineStr">
        <is>
          <t>Average Buff Multiplier</t>
        </is>
      </c>
      <c r="B1421">
        <f>(1+(IF(C1395=TRUE,F1395*IF(AND(Inputs!$B$39&lt;&gt;"pvp",Inputs!$B$44&gt;0),(((R1395-1)*(Skills!S3*(1+(Inputs!$B$35+IF(Inputs!$B$3&gt;=117,F1418,0))/100))+MIN((Skills!S3*(1+(Inputs!$B$35+IF(Inputs!$B$3&gt;=117,F1418,0))/100)),MAX(0,Inputs!$B$44-((R1395-1)*Skills!D3))))/Inputs!$B$44),IF(Inputs!$B$39="pvp",MIN((Skills!S3*(1+(Inputs!$B$35+IF(Inputs!$B$3&gt;=117,F1418,0))/100)),15)/15,(Skills!S3*(1+(Inputs!$B$35+IF(Inputs!$B$3&gt;=117,F1418,0))/100))/Skills!D3)),0)+IF(C1396=TRUE,F1396*IF(AND(Inputs!$B$39&lt;&gt;"pvp",Inputs!$B$44&gt;0),(((R1396-1)*(Skills!S4*(1+(Inputs!$B$35+IF(Inputs!$B$3&gt;=117,F1418,0))/100))+MIN((Skills!S4*(1+(Inputs!$B$35+IF(Inputs!$B$3&gt;=117,F1418,0))/100)),MAX(0,Inputs!$B$44-((R1396-1)*Skills!D4))))/Inputs!$B$44),IF(Inputs!$B$39="pvp",MIN((Skills!S4*(1+(Inputs!$B$35+IF(Inputs!$B$3&gt;=117,F1418,0))/100)),15)/15,(Skills!S4*(1+(Inputs!$B$35+IF(Inputs!$B$3&gt;=117,F1418,0))/100))/Skills!D4)),0)+IF(C1397=TRUE,F1397*IF(AND(Inputs!$B$39&lt;&gt;"pvp",Inputs!$B$44&gt;0),(((R1397-1)*(Skills!S5*(1+(Inputs!$B$35+IF(Inputs!$B$3&gt;=117,F1418,0))/100))+MIN((Skills!S5*(1+(Inputs!$B$35+IF(Inputs!$B$3&gt;=117,F1418,0))/100)),MAX(0,Inputs!$B$44-((R1397-1)*Skills!D5))))/Inputs!$B$44),IF(Inputs!$B$39="pvp",MIN((Skills!S5*(1+(Inputs!$B$35+IF(Inputs!$B$3&gt;=117,F1418,0))/100)),15)/15,(Skills!S5*(1+(Inputs!$B$35+IF(Inputs!$B$3&gt;=117,F1418,0))/100))/Skills!D5)),0)+IF(C1403=TRUE,F1403*IF(AND(Inputs!$B$39&lt;&gt;"pvp",Inputs!$B$44&gt;0),(((R1403-1)*(Skills!S11*(1+(Inputs!$B$35+IF(Inputs!$B$3&gt;=117,F1418,0))/100))+MIN((Skills!S11*(1+(Inputs!$B$35+IF(Inputs!$B$3&gt;=117,F1418,0))/100)),MAX(0,Inputs!$B$44-((R1403-1)*Skills!D11))))/Inputs!$B$44),IF(Inputs!$B$39="pvp",MIN((Skills!S11*(1+(Inputs!$B$35+IF(Inputs!$B$3&gt;=117,F1418,0))/100)),15)/15,(Skills!S11*(1+(Inputs!$B$35+IF(Inputs!$B$3&gt;=117,F1418,0))/100))/Skills!D11)),0))/100)*IF(C1406=TRUE,(1+F1406*IF(AND(Inputs!$B$39&lt;&gt;"pvp",Inputs!$B$44&gt;0),(((R1406-1)*(Skills!S14*(1+(Inputs!$B$35+IF(Inputs!$B$3&gt;=117,F1418,0))/100))+MIN((Skills!S14*(1+(Inputs!$B$35+IF(Inputs!$B$3&gt;=117,F1418,0))/100)),MAX(0,Inputs!$B$44-((R1406-1)*Skills!D14))))/Inputs!$B$44),IF(Inputs!$B$39="pvp",MIN((Skills!S14*(1+(Inputs!$B$35+IF(Inputs!$B$3&gt;=117,F1418,0))/100)),15)/15,(Skills!S14*(1+(Inputs!$B$35+IF(Inputs!$B$3&gt;=117,F1418,0))/100))/Skills!D14))/100),1)*IF(C1411=TRUE,(1+F1411*IF(AND(Inputs!$B$39&lt;&gt;"pvp",Inputs!$B$44&gt;0),(((R1411-1)*(Skills!S19*(1+(Inputs!$B$35+IF(Inputs!$B$3&gt;=117,F1418,0))/100))+MIN((Skills!S19*(1+(Inputs!$B$35+IF(Inputs!$B$3&gt;=117,F1418,0))/100)),MAX(0,Inputs!$B$44-((R1411-1)*Skills!D19))))/Inputs!$B$44),IF(Inputs!$B$39="pvp",MIN((Skills!S19*(1+(Inputs!$B$35+IF(Inputs!$B$3&gt;=117,F1418,0))/100)),15)/15,(Skills!S19*(1+(Inputs!$B$35+IF(Inputs!$B$3&gt;=117,F1418,0))/100))/Skills!D19))/100),1)</f>
        <v/>
      </c>
    </row>
    <row r="1422">
      <c r="A1422" t="inlineStr">
        <is>
          <t>Monster Damage Taken Bonus % (Holy Fountain)</t>
        </is>
      </c>
      <c r="B1422">
        <f>IF(Inputs!$B$3&gt;=68,20*IF(Inputs!$B$39="pvp",MIN((15*(1+(Inputs!$B$35+IF(Inputs!$B$3&gt;=117,F1418,0))/100)),15)/15,(15*(1+(Inputs!$B$35+IF(Inputs!$B$3&gt;=117,F1418,0))/100))/Skills!D10),0)</f>
        <v/>
      </c>
    </row>
    <row r="1423">
      <c r="A1423" t="inlineStr">
        <is>
          <t>Normal Monster Damage Bonus % (Holy Symbol)</t>
        </is>
      </c>
      <c r="B1423">
        <f>IF(C1404=TRUE,F1404*IF(AND(Inputs!$B$39&lt;&gt;"pvp",Inputs!$B$44&gt;0),(((R1404-1)*(Skills!S12*(1+(Inputs!$B$35+IF(Inputs!$B$3&gt;=117,F1418,0))/100))+MIN((Skills!S12*(1+(Inputs!$B$35+IF(Inputs!$B$3&gt;=117,F1418,0))/100)),MAX(0,Inputs!$B$44-((R1404-1)*Skills!D12))))/Inputs!$B$44),IF(Inputs!$B$39="pvp",MIN((Skills!S12*(1+(Inputs!$B$35+IF(Inputs!$B$3&gt;=117,F1418,0))/100)),15)/15,(Skills!S12*(1+(Inputs!$B$35+IF(Inputs!$B$3&gt;=117,F1418,0))/100))/Skills!D12)),0)</f>
        <v/>
      </c>
    </row>
    <row r="1424">
      <c r="A1424" t="inlineStr">
        <is>
          <t>Damage % Bonus (Holy Symbol - Damage Boost)</t>
        </is>
      </c>
      <c r="B1424">
        <f>Skills!O12</f>
        <v/>
      </c>
    </row>
    <row r="1425">
      <c r="A1425" t="inlineStr">
        <is>
          <t>Crit Damage % Bonus (Blood of the Divine)</t>
        </is>
      </c>
      <c r="B1425">
        <f>4*IF(C1412=TRUE,F1412,0)</f>
        <v/>
      </c>
    </row>
    <row r="1426">
      <c r="A1426" t="inlineStr">
        <is>
          <t>Attack Speed Bonus %</t>
        </is>
      </c>
      <c r="B1426">
        <f>IF(C1409=TRUE,F1409+(F1413-Calc!F21),0)+IF(Inputs!$B$3&gt;=134,15,0)</f>
        <v/>
      </c>
    </row>
    <row r="1427">
      <c r="A1427" t="inlineStr">
        <is>
          <t>Actions Per Second</t>
        </is>
      </c>
      <c r="B1427">
        <f>1+MIN(150,150*(1-(1-Inputs!$B$12/150)*(1-B1426/150)))/100</f>
        <v/>
      </c>
    </row>
    <row r="1428">
      <c r="A1428" t="inlineStr">
        <is>
          <t>Skill + Buff Cast Rate</t>
        </is>
      </c>
      <c r="B1428">
        <f>IF(AND(Inputs!$B$39&lt;&gt;"pvp",Inputs!$B$44&gt;0),SUMPRODUCT((Skills!E2:E27=TRUE)*(C1394:C1419=TRUE)*R1394:R1419)/Inputs!$B$44,SUMPRODUCT((Skills!E2:E27=TRUE)*(C1394:C1419=TRUE)*Q1394:Q1419))</f>
        <v/>
      </c>
    </row>
    <row r="1429">
      <c r="A1429" t="inlineStr">
        <is>
          <t>Big Bang Casts Per Second</t>
        </is>
      </c>
      <c r="B1429">
        <f>MAX(0,B1427-B1428)</f>
        <v/>
      </c>
    </row>
    <row r="1430">
      <c r="A1430" t="inlineStr">
        <is>
          <t>Defense % Bonus (Divine Protection)</t>
        </is>
      </c>
      <c r="B1430">
        <f>IF(C1405=TRUE,F1405*IF(AND(Inputs!$B$39&lt;&gt;"pvp",Inputs!$B$44&gt;0),(((R1405-1)*(Skills!S13*(1+(Inputs!$B$35+IF(Inputs!$B$3&gt;=117,F1418,0))/100))+MIN((Skills!S13*(1+(Inputs!$B$35+IF(Inputs!$B$3&gt;=117,F1418,0))/100)),MAX(0,Inputs!$B$44-((R1405-1)*Skills!D13))))/Inputs!$B$44),IF(Inputs!$B$39="pvp",MIN((Skills!S13*(1+(Inputs!$B$35+IF(Inputs!$B$3&gt;=117,F1418,0))/100)),15)/15,(Skills!S13*(1+(Inputs!$B$35+IF(Inputs!$B$3&gt;=117,F1418,0))/100))/Skills!D13)),0)</f>
        <v/>
      </c>
    </row>
    <row r="1431">
      <c r="A1431" t="inlineStr">
        <is>
          <t>Buff-Casting Startup Delay (s, fixed-duration only)</t>
        </is>
      </c>
      <c r="B1431">
        <f>IF(AND(Inputs!$B$39&lt;&gt;"pvp",Inputs!$B$44&gt;0),SUMPRODUCT((Skills!S2:S27&gt;0)*(Skills!E2:E27=TRUE)*(C1394:C1419=TRUE))/B1427,0)</f>
        <v/>
      </c>
    </row>
    <row r="1432">
      <c r="A1432" s="5" t="inlineStr">
        <is>
          <t>TOTAL DPS</t>
        </is>
      </c>
      <c r="B1432" s="5">
        <f>SUM(O1394:O1419)</f>
        <v/>
      </c>
    </row>
    <row r="1434">
      <c r="A1434" s="5" t="inlineStr">
        <is>
          <t>Stat: CDR = 3.5s</t>
        </is>
      </c>
    </row>
    <row r="1435">
      <c r="A1435" s="9" t="inlineStr">
        <is>
          <t>Key</t>
        </is>
      </c>
      <c r="B1435" s="9" t="inlineStr">
        <is>
          <t>Name</t>
        </is>
      </c>
      <c r="C1435" s="9" t="inlineStr">
        <is>
          <t>Unlocked</t>
        </is>
      </c>
      <c r="D1435" s="9" t="inlineStr">
        <is>
          <t>InputLevel</t>
        </is>
      </c>
      <c r="E1435" s="9" t="inlineStr">
        <is>
          <t>Factor</t>
        </is>
      </c>
      <c r="F1435" s="9" t="inlineStr">
        <is>
          <t>CoefficientPercent</t>
        </is>
      </c>
      <c r="G1435" s="9" t="inlineStr">
        <is>
          <t>EffectiveHits</t>
        </is>
      </c>
      <c r="H1435" s="9" t="inlineStr">
        <is>
          <t>ProcProbability</t>
        </is>
      </c>
      <c r="I1435" s="9" t="inlineStr">
        <is>
          <t>MapleHeroMultiplier</t>
        </is>
      </c>
      <c r="J1435" s="9" t="inlineStr">
        <is>
          <t>BaseDamage</t>
        </is>
      </c>
      <c r="K1435" s="9" t="inlineStr">
        <is>
          <t>BaseHitDamage</t>
        </is>
      </c>
      <c r="L1435" s="9" t="inlineStr">
        <is>
          <t>NonCritAvg</t>
        </is>
      </c>
      <c r="M1435" s="9" t="inlineStr">
        <is>
          <t>CritAvg</t>
        </is>
      </c>
      <c r="N1435" s="9" t="inlineStr">
        <is>
          <t>ExpectedDamage(perHit)</t>
        </is>
      </c>
      <c r="O1435" s="9" t="inlineStr">
        <is>
          <t>DPS</t>
        </is>
      </c>
      <c r="P1435" s="9" t="inlineStr">
        <is>
          <t>% of Total</t>
        </is>
      </c>
      <c r="R1435" t="inlineStr">
        <is>
          <t>helpers</t>
        </is>
      </c>
    </row>
    <row r="1436">
      <c r="A1436">
        <f>Skills!A2</f>
        <v/>
      </c>
      <c r="B1436">
        <f>Skills!B2</f>
        <v/>
      </c>
      <c r="C1436">
        <f>Inputs!$B$3&gt;=100</f>
        <v/>
      </c>
      <c r="D1436" t="inlineStr"/>
      <c r="E1436" t="inlineStr"/>
      <c r="F1436">
        <f>T1438+Skills!N2</f>
        <v/>
      </c>
      <c r="G1436">
        <f>Calc!G2</f>
        <v/>
      </c>
      <c r="H1436">
        <f>Calc!H2</f>
        <v/>
      </c>
      <c r="I1436">
        <f>IF(Skills!T2&lt;&gt;"",1+(Skills!T2/10)*($Z$3/1000)/100,1)</f>
        <v/>
      </c>
      <c r="J1436">
        <f>((Inputs!$B$6*(1+Inputs!$B$7/100))+(((Inputs!$B$13*(1+Inputs!$B$14/100))-(Inputs!$B$13*(1+Inputs!$B$14/100)))+0.25*(Inputs!$B$15-Inputs!$B$15))*(1+Inputs!$B$7/100))*(F1436/100)</f>
        <v/>
      </c>
      <c r="K1436">
        <f>J1436*(1+(((Inputs!$B$13+IF(Inputs!$B$3&gt;=35,(10*INDEX(FactorTable!$B$2:$Y$301, MATCH(ROUND(MIN(300,MAX(1,Inputs!$B$3)),0), FactorTable!$A$2:$A$301,0), 23)/1000)/100*(Inputs!$B$8*(1+(Inputs!$B$9+B1472)/100)),0))*(1+Inputs!$B$14/100))*0.01+Inputs!$B$15*0.0025)/100)*(1+(Inputs!$B$16+B1466)/100)*(1+IF(Inputs!$B$39="pvp",0,(1-Summary!$B$48)*(Inputs!$B$21+Skills!O2+B1464)+Summary!$B$48*(Inputs!$B$22+Skills!P2+B1465))/100)*(1+Inputs!$B$17/100)*(5000/(6000+Inputs!$B$43*(1-Inputs!$B$20/100)))*(1+Inputs!$B$25/100)*(1+IF(C1452=TRUE,F1452,0)/100)*(1+IF(C1454=TRUE,F1454,0)/100)*(1+IF(Skills!A2="TRIUMPH_FEATHER",IF(C1450=TRUE,F1450,0),0)/100)*(1+IF(C1461=TRUE,F1461,0)/100)^5*(1+(IF(Skills!A2="BIG_BANG",Inputs!$B$18,Inputs!$B$19))/100)*(B1463*I1436)</f>
        <v/>
      </c>
      <c r="L1436">
        <f>K1436*(MIN(Inputs!$B$23+(F1456-Calc!F22),Inputs!$B$24)/100+Inputs!$B$24/100)/2</f>
        <v/>
      </c>
      <c r="M1436">
        <f>L1436*(1+(Inputs!$B$11+B1467+(F1459-Calc!F25))/100)</f>
        <v/>
      </c>
      <c r="N1436">
        <f>L1436*(1-MIN(Inputs!$B$10+((F1458-Calc!F24)+(F1457-Calc!F23)),100)/100)+M1436*(MIN(Inputs!$B$10+((F1458-Calc!F24)+(F1457-Calc!F23)),100)/100)</f>
        <v/>
      </c>
      <c r="O1436">
        <f>IF(C1436,Skills!F2*N1436*B1471*IF(Inputs!$B$39="pvp",1,(1-Summary!$B$48)*(1)+Summary!$B$48*(MIN((6+Inputs!$B$34),Inputs!$B$38))),0)</f>
        <v/>
      </c>
      <c r="P1436">
        <f>IF(B1474=0,0,O1436/B1474)</f>
        <v/>
      </c>
      <c r="Q1436">
        <f>IFERROR(1/IF(Inputs!$B$39="pvp",15,MAX(0.1,Skills!D2-IF(Skills!E2=TRUE,3.5,0))),0)</f>
        <v/>
      </c>
      <c r="R1436" t="n">
        <v>0</v>
      </c>
      <c r="T1436">
        <f>MAX(0,(Inputs!$B$3-100)*3)+Inputs!$B$29+Inputs!$B$30</f>
        <v/>
      </c>
    </row>
    <row r="1437">
      <c r="A1437">
        <f>Skills!A3</f>
        <v/>
      </c>
      <c r="B1437">
        <f>Skills!B3</f>
        <v/>
      </c>
      <c r="C1437">
        <f>Inputs!$B$3&gt;=15</f>
        <v/>
      </c>
      <c r="D1437">
        <f>IF(Skills!C3=1,60+Inputs!$B$26+Inputs!$B$30,IF(Skills!C3=2,90+Inputs!$B$27+Inputs!$B$30,IF(Skills!C3=3,120+Inputs!$B$28+Inputs!$B$30,MAX(0,(Inputs!$B$3-100)*3)+Inputs!$B$29+Inputs!$B$30)))</f>
        <v/>
      </c>
      <c r="E1437">
        <f>INDEX(FactorTable!$B$2:$Y$301, MATCH(ROUND(MIN(300,MAX(1,D1437)),0), FactorTable!$A$2:$A$301,0), Skills!L3+1)</f>
        <v/>
      </c>
      <c r="F1437">
        <f>IF(Skills!M3=TRUE,(Skills!K3/10)*(E1437/1000),Skills!K3/10)+Skills!N3</f>
        <v/>
      </c>
      <c r="G1437">
        <f>Calc!G3</f>
        <v/>
      </c>
      <c r="H1437">
        <f>Calc!H3</f>
        <v/>
      </c>
      <c r="I1437">
        <f>IF(Skills!T3&lt;&gt;"",1+(Skills!T3/10)*($Z$3/1000)/100,1)</f>
        <v/>
      </c>
      <c r="J1437" t="inlineStr"/>
      <c r="K1437" t="inlineStr"/>
      <c r="L1437" t="inlineStr"/>
      <c r="M1437" t="inlineStr"/>
      <c r="N1437" t="inlineStr"/>
      <c r="O1437" t="n">
        <v>0</v>
      </c>
      <c r="P1437">
        <f>IF(B1474=0,0,O1437/B1474)</f>
        <v/>
      </c>
      <c r="Q1437">
        <f>IFERROR(1/IF(Inputs!$B$39="pvp",15,MAX(0.1,Skills!D3-IF(Skills!E3=TRUE,3.5,0))),0)</f>
        <v/>
      </c>
      <c r="R1437">
        <f>IF(AND(Inputs!$B$39&lt;&gt;"pvp",Inputs!$B$44&gt;0),IF(Inputs!$B$44&lt;=0,0,(INT(Inputs!$B$44/IF(Inputs!$B$39="pvp",15,MAX(0.1,Skills!D3-IF(Skills!E3=TRUE,3.5,0))))+1)),0)</f>
        <v/>
      </c>
      <c r="T1437">
        <f>INDEX(FactorTable!$B$2:$Y$301, MATCH(ROUND(MIN(300,MAX(1,T1436)),0), FactorTable!$A$2:$A$301,0), 22)</f>
        <v/>
      </c>
    </row>
    <row r="1438">
      <c r="A1438">
        <f>Skills!A4</f>
        <v/>
      </c>
      <c r="B1438">
        <f>Skills!B4</f>
        <v/>
      </c>
      <c r="C1438">
        <f>Inputs!$B$3&gt;=38</f>
        <v/>
      </c>
      <c r="D1438">
        <f>IF(Skills!C4=1,60+Inputs!$B$26+Inputs!$B$30,IF(Skills!C4=2,90+Inputs!$B$27+Inputs!$B$30,IF(Skills!C4=3,120+Inputs!$B$28+Inputs!$B$30,MAX(0,(Inputs!$B$3-100)*3)+Inputs!$B$29+Inputs!$B$30)))</f>
        <v/>
      </c>
      <c r="E1438">
        <f>INDEX(FactorTable!$B$2:$Y$301, MATCH(ROUND(MIN(300,MAX(1,D1438)),0), FactorTable!$A$2:$A$301,0), Skills!L4+1)</f>
        <v/>
      </c>
      <c r="F1438">
        <f>IF(Skills!M4=TRUE,(Skills!K4/10)*(E1438/1000),Skills!K4/10)+Skills!N4</f>
        <v/>
      </c>
      <c r="G1438">
        <f>Calc!G4</f>
        <v/>
      </c>
      <c r="H1438">
        <f>Calc!H4</f>
        <v/>
      </c>
      <c r="I1438">
        <f>IF(Skills!T4&lt;&gt;"",1+(Skills!T4/10)*($Z$3/1000)/100,1)</f>
        <v/>
      </c>
      <c r="J1438" t="inlineStr"/>
      <c r="K1438" t="inlineStr"/>
      <c r="L1438" t="inlineStr"/>
      <c r="M1438" t="inlineStr"/>
      <c r="N1438" t="inlineStr"/>
      <c r="O1438" t="n">
        <v>0</v>
      </c>
      <c r="P1438">
        <f>IF(B1474=0,0,O1438/B1474)</f>
        <v/>
      </c>
      <c r="Q1438">
        <f>IFERROR(1/IF(Inputs!$B$39="pvp",15,MAX(0.1,Skills!D4-IF(Skills!E4=TRUE,3.5,0))),0)</f>
        <v/>
      </c>
      <c r="R1438">
        <f>IF(AND(Inputs!$B$39&lt;&gt;"pvp",Inputs!$B$44&gt;0),IF(Inputs!$B$44&lt;=0,0,(INT(Inputs!$B$44/IF(Inputs!$B$39="pvp",15,MAX(0.1,Skills!D4-IF(Skills!E4=TRUE,3.5,0))))+1)),0)</f>
        <v/>
      </c>
      <c r="T1438">
        <f>290*T1437/1000</f>
        <v/>
      </c>
    </row>
    <row r="1439">
      <c r="A1439">
        <f>Skills!A5</f>
        <v/>
      </c>
      <c r="B1439">
        <f>Skills!B5</f>
        <v/>
      </c>
      <c r="C1439">
        <f>Inputs!$B$3&gt;=40</f>
        <v/>
      </c>
      <c r="D1439">
        <f>IF(Skills!C5=1,60+Inputs!$B$26+Inputs!$B$30,IF(Skills!C5=2,90+Inputs!$B$27+Inputs!$B$30,IF(Skills!C5=3,120+Inputs!$B$28+Inputs!$B$30,MAX(0,(Inputs!$B$3-100)*3)+Inputs!$B$29+Inputs!$B$30)))</f>
        <v/>
      </c>
      <c r="E1439">
        <f>INDEX(FactorTable!$B$2:$Y$301, MATCH(ROUND(MIN(300,MAX(1,D1439)),0), FactorTable!$A$2:$A$301,0), Skills!L5+1)</f>
        <v/>
      </c>
      <c r="F1439">
        <f>IF(Skills!M5=TRUE,(Skills!K5/10)*(E1439/1000),Skills!K5/10)+Skills!N5</f>
        <v/>
      </c>
      <c r="G1439">
        <f>Calc!G5</f>
        <v/>
      </c>
      <c r="H1439">
        <f>Calc!H5</f>
        <v/>
      </c>
      <c r="I1439">
        <f>IF(Skills!T5&lt;&gt;"",1+(Skills!T5/10)*($Z$3/1000)/100,1)</f>
        <v/>
      </c>
      <c r="J1439" t="inlineStr"/>
      <c r="K1439" t="inlineStr"/>
      <c r="L1439" t="inlineStr"/>
      <c r="M1439" t="inlineStr"/>
      <c r="N1439" t="inlineStr"/>
      <c r="O1439" t="n">
        <v>0</v>
      </c>
      <c r="P1439">
        <f>IF(B1474=0,0,O1439/B1474)</f>
        <v/>
      </c>
      <c r="Q1439">
        <f>IFERROR(1/IF(Inputs!$B$39="pvp",15,MAX(0.1,Skills!D5-IF(Skills!E5=TRUE,3.5,0))),0)</f>
        <v/>
      </c>
      <c r="R1439">
        <f>IF(AND(Inputs!$B$39&lt;&gt;"pvp",Inputs!$B$44&gt;0),IF(Inputs!$B$44&lt;=0,0,(INT(Inputs!$B$44/IF(Inputs!$B$39="pvp",15,MAX(0.1,Skills!D5-IF(Skills!E5=TRUE,3.5,0))))+1)),0)</f>
        <v/>
      </c>
    </row>
    <row r="1440">
      <c r="A1440">
        <f>Skills!A6</f>
        <v/>
      </c>
      <c r="B1440">
        <f>Skills!B6</f>
        <v/>
      </c>
      <c r="C1440">
        <f>Inputs!$B$3&gt;=103</f>
        <v/>
      </c>
      <c r="D1440">
        <f>IF(Skills!C6=1,60+Inputs!$B$26+Inputs!$B$30,IF(Skills!C6=2,90+Inputs!$B$27+Inputs!$B$30,IF(Skills!C6=3,120+Inputs!$B$28+Inputs!$B$30,MAX(0,(Inputs!$B$3-100)*3)+Inputs!$B$29+Inputs!$B$30)))</f>
        <v/>
      </c>
      <c r="E1440">
        <f>INDEX(FactorTable!$B$2:$Y$301, MATCH(ROUND(MIN(300,MAX(1,D1440)),0), FactorTable!$A$2:$A$301,0), Skills!L6+1)</f>
        <v/>
      </c>
      <c r="F1440">
        <f>IF(Skills!M6=TRUE,(Skills!K6/10)*(E1440/1000),Skills!K6/10)+Skills!N6</f>
        <v/>
      </c>
      <c r="G1440">
        <f>Calc!G6</f>
        <v/>
      </c>
      <c r="H1440">
        <f>Calc!H6</f>
        <v/>
      </c>
      <c r="I1440">
        <f>IF(Skills!T6&lt;&gt;"",1+(Skills!T6/10)*($Z$3/1000)/100,1)</f>
        <v/>
      </c>
      <c r="J1440">
        <f>((Inputs!$B$6*(1+Inputs!$B$7/100))+(((Inputs!$B$13*(1+Inputs!$B$14/100))-(Inputs!$B$13*(1+Inputs!$B$14/100)))+0.25*(Inputs!$B$15-Inputs!$B$15))*(1+Inputs!$B$7/100))*(F1440/100)</f>
        <v/>
      </c>
      <c r="K1440">
        <f>J1440*(1+(((Inputs!$B$13+IF(Inputs!$B$3&gt;=35,(10*INDEX(FactorTable!$B$2:$Y$301, MATCH(ROUND(MIN(300,MAX(1,Inputs!$B$3)),0), FactorTable!$A$2:$A$301,0), 23)/1000)/100*(Inputs!$B$8*(1+(Inputs!$B$9+B1472)/100)),0))*(1+Inputs!$B$14/100))*0.01+Inputs!$B$15*0.0025)/100)*(1+(Inputs!$B$16+B1466)/100)*(1+IF(Inputs!$B$39="pvp",0,(1-Summary!$B$48)*(Inputs!$B$21+Skills!O6+B1464)+Summary!$B$48*(Inputs!$B$22+Skills!P6+B1465))/100)*(1+Inputs!$B$17/100)*(5000/(6000+Inputs!$B$43*(1-Inputs!$B$20/100)))*(1+Inputs!$B$25/100)*(1+IF(C1452=TRUE,F1452,0)/100)*(1+IF(C1454=TRUE,F1454,0)/100)*(1+IF(Skills!A6="TRIUMPH_FEATHER",IF(C1450=TRUE,F1450,0),0)/100)*(1+IF(C1461=TRUE,F1461,0)/100)^5*(1+(IF(Skills!A6="BIG_BANG",Inputs!$B$18,Inputs!$B$19))/100)*(B1463*I1440)</f>
        <v/>
      </c>
      <c r="L1440">
        <f>K1440*(MIN(Inputs!$B$23+(F1456-Calc!F22),Inputs!$B$24)/100+Inputs!$B$24/100)/2</f>
        <v/>
      </c>
      <c r="M1440">
        <f>L1440*(1+(Inputs!$B$11+B1467+(F1459-Calc!F25))/100)</f>
        <v/>
      </c>
      <c r="N1440">
        <f>L1440*(1-MIN(Inputs!$B$10+((F1458-Calc!F24)+(F1457-Calc!F23)),100)/100)+M1440*(MIN(Inputs!$B$10+((F1458-Calc!F24)+(F1457-Calc!F23)),100)/100)</f>
        <v/>
      </c>
      <c r="O1440">
        <f>IF(C1440,H1440*N1440*IF(AND(Inputs!$B$39&lt;&gt;"pvp",Inputs!$B$44&gt;0),((Skills!F6*((R1440-1)*IF(Skills!G6&gt;0,Skills!H6/Skills!G6,1)+IF(Skills!G6&gt;0,MIN(Skills!H6,MAX(0,MAX(0,Inputs!$B$44-B1473)-((R1440-1)*IF(Inputs!$B$39="pvp",15,MAX(0.1,Skills!D6-IF(Skills!E6=TRUE,3.5,0))))))/Skills!G6,1)))/Inputs!$B$44),G1440*Q1440)*IF(Inputs!$B$39="pvp",1,(1-Summary!$B$48)*(1)+Summary!$B$48*(MIN(Skills!Q6,Inputs!$B$38))),0)</f>
        <v/>
      </c>
      <c r="P1440">
        <f>IF(B1474=0,0,O1440/B1474)</f>
        <v/>
      </c>
      <c r="Q1440">
        <f>IFERROR(1/IF(Inputs!$B$39="pvp",15,MAX(0.1,Skills!D6-IF(Skills!E6=TRUE,3.5,0))),0)</f>
        <v/>
      </c>
      <c r="R1440">
        <f>IF(AND(Inputs!$B$39&lt;&gt;"pvp",Inputs!$B$44&gt;0),IF(MAX(0,Inputs!$B$44-B1473)&lt;=0,0,(INT(MAX(0,Inputs!$B$44-B1473)/IF(Inputs!$B$39="pvp",15,MAX(0.1,Skills!D6-IF(Skills!E6=TRUE,3.5,0))))+1)),0)</f>
        <v/>
      </c>
    </row>
    <row r="1441">
      <c r="A1441">
        <f>Skills!A7</f>
        <v/>
      </c>
      <c r="B1441">
        <f>Skills!B7</f>
        <v/>
      </c>
      <c r="C1441">
        <f>Inputs!$B$3&gt;=122</f>
        <v/>
      </c>
      <c r="D1441">
        <f>IF(Skills!C7=1,60+Inputs!$B$26+Inputs!$B$30,IF(Skills!C7=2,90+Inputs!$B$27+Inputs!$B$30,IF(Skills!C7=3,120+Inputs!$B$28+Inputs!$B$30,MAX(0,(Inputs!$B$3-100)*3)+Inputs!$B$29+Inputs!$B$30)))</f>
        <v/>
      </c>
      <c r="E1441">
        <f>INDEX(FactorTable!$B$2:$Y$301, MATCH(ROUND(MIN(300,MAX(1,D1441)),0), FactorTable!$A$2:$A$301,0), Skills!L7+1)</f>
        <v/>
      </c>
      <c r="F1441">
        <f>IF(Skills!M7=TRUE,(Skills!K7/10)*(E1441/1000),Skills!K7/10)+Skills!N7</f>
        <v/>
      </c>
      <c r="G1441">
        <f>Calc!G7</f>
        <v/>
      </c>
      <c r="H1441">
        <f>Calc!H7</f>
        <v/>
      </c>
      <c r="I1441">
        <f>IF(Skills!T7&lt;&gt;"",1+(Skills!T7/10)*($Z$3/1000)/100,1)</f>
        <v/>
      </c>
      <c r="J1441">
        <f>((Inputs!$B$6*(1+Inputs!$B$7/100))+(((Inputs!$B$13*(1+Inputs!$B$14/100))-(Inputs!$B$13*(1+Inputs!$B$14/100)))+0.25*(Inputs!$B$15-Inputs!$B$15))*(1+Inputs!$B$7/100))*(F1441/100)</f>
        <v/>
      </c>
      <c r="K1441">
        <f>J1441*(1+(((Inputs!$B$13+IF(Inputs!$B$3&gt;=35,(10*INDEX(FactorTable!$B$2:$Y$301, MATCH(ROUND(MIN(300,MAX(1,Inputs!$B$3)),0), FactorTable!$A$2:$A$301,0), 23)/1000)/100*(Inputs!$B$8*(1+(Inputs!$B$9+B1472)/100)),0))*(1+Inputs!$B$14/100))*0.01+Inputs!$B$15*0.0025)/100)*(1+(Inputs!$B$16+B1466)/100)*(1+IF(Inputs!$B$39="pvp",0,(1-Summary!$B$48)*(Inputs!$B$21+Skills!O7+B1464)+Summary!$B$48*(Inputs!$B$22+Skills!P7+B1465))/100)*(1+Inputs!$B$17/100)*(5000/(6000+Inputs!$B$43*(1-Inputs!$B$20/100)))*(1+Inputs!$B$25/100)*(1+IF(C1452=TRUE,F1452,0)/100)*(1+IF(C1454=TRUE,F1454,0)/100)*(1+IF(Skills!A7="TRIUMPH_FEATHER",IF(C1450=TRUE,F1450,0),0)/100)*(1+IF(C1461=TRUE,F1461,0)/100)^5*(1+(IF(Skills!A7="BIG_BANG",Inputs!$B$18,Inputs!$B$19))/100)*(B1463*I1441)</f>
        <v/>
      </c>
      <c r="L1441">
        <f>K1441*(MIN(Inputs!$B$23+(F1456-Calc!F22),Inputs!$B$24)/100+Inputs!$B$24/100)/2</f>
        <v/>
      </c>
      <c r="M1441">
        <f>L1441*(1+(Inputs!$B$11+B1467+(F1459-Calc!F25))/100)</f>
        <v/>
      </c>
      <c r="N1441">
        <f>L1441*(1-MIN(Inputs!$B$10+((F1458-Calc!F24)+(F1457-Calc!F23)),100)/100)+M1441*(MIN(Inputs!$B$10+((F1458-Calc!F24)+(F1457-Calc!F23)),100)/100)</f>
        <v/>
      </c>
      <c r="O1441">
        <f>IF(C1441,H1441*N1441*IF(AND(Inputs!$B$39&lt;&gt;"pvp",Inputs!$B$44&gt;0),((Skills!F7*((R1441-1)*IF(Skills!G7&gt;0,Skills!H7/Skills!G7,1)+IF(Skills!G7&gt;0,MIN(Skills!H7,MAX(0,MAX(0,Inputs!$B$44-B1473)-((R1441-1)*IF(Inputs!$B$39="pvp",15,MAX(0.1,Skills!D7-IF(Skills!E6=TRUE,3.5,0))))))/Skills!G7,1)))/Inputs!$B$44),G1441*Q1441)*(1-Summary!$B$48),0)</f>
        <v/>
      </c>
      <c r="P1441">
        <f>IF(B1474=0,0,O1441/B1474)</f>
        <v/>
      </c>
      <c r="Q1441">
        <f>IFERROR(1/IF(Inputs!$B$39="pvp",15,MAX(0.1,Skills!D7-IF(Skills!E6=TRUE,3.5,0))),0)</f>
        <v/>
      </c>
      <c r="R1441">
        <f>IF(AND(Inputs!$B$39&lt;&gt;"pvp",Inputs!$B$44&gt;0),IF(MAX(0,Inputs!$B$44-B1473)&lt;=0,0,(INT(MAX(0,Inputs!$B$44-B1473)/IF(Inputs!$B$39="pvp",15,MAX(0.1,Skills!D7-IF(Skills!E6=TRUE,3.5,0))))+1)),0)</f>
        <v/>
      </c>
    </row>
    <row r="1442">
      <c r="A1442">
        <f>Skills!A8</f>
        <v/>
      </c>
      <c r="B1442">
        <f>Skills!B8</f>
        <v/>
      </c>
      <c r="C1442">
        <f>Inputs!$B$3&gt;=105</f>
        <v/>
      </c>
      <c r="D1442">
        <f>IF(Skills!C8=1,60+Inputs!$B$26+Inputs!$B$30,IF(Skills!C8=2,90+Inputs!$B$27+Inputs!$B$30,IF(Skills!C8=3,120+Inputs!$B$28+Inputs!$B$30,MAX(0,(Inputs!$B$3-100)*3)+Inputs!$B$29+Inputs!$B$30)))</f>
        <v/>
      </c>
      <c r="E1442">
        <f>INDEX(FactorTable!$B$2:$Y$301, MATCH(ROUND(MIN(300,MAX(1,D1442)),0), FactorTable!$A$2:$A$301,0), Skills!L8+1)</f>
        <v/>
      </c>
      <c r="F1442">
        <f>IF(Skills!M8=TRUE,(Skills!K8/10)*(E1442/1000),Skills!K8/10)+Skills!N8</f>
        <v/>
      </c>
      <c r="G1442">
        <f>Calc!G8</f>
        <v/>
      </c>
      <c r="H1442">
        <f>Calc!H8</f>
        <v/>
      </c>
      <c r="I1442">
        <f>IF(Skills!T8&lt;&gt;"",1+(Skills!T8/10)*($Z$3/1000)/100,1)</f>
        <v/>
      </c>
      <c r="J1442">
        <f>((Inputs!$B$6*(1+Inputs!$B$7/100))+(((Inputs!$B$13*(1+Inputs!$B$14/100))-(Inputs!$B$13*(1+Inputs!$B$14/100)))+0.25*(Inputs!$B$15-Inputs!$B$15))*(1+Inputs!$B$7/100))*(F1442/100)</f>
        <v/>
      </c>
      <c r="K1442">
        <f>J1442*(1+(((Inputs!$B$13+IF(Inputs!$B$3&gt;=35,(10*INDEX(FactorTable!$B$2:$Y$301, MATCH(ROUND(MIN(300,MAX(1,Inputs!$B$3)),0), FactorTable!$A$2:$A$301,0), 23)/1000)/100*(Inputs!$B$8*(1+(Inputs!$B$9+B1472)/100)),0))*(1+Inputs!$B$14/100))*0.01+Inputs!$B$15*0.0025)/100)*(1+(Inputs!$B$16+B1466)/100)*(1+IF(Inputs!$B$39="pvp",0,(1-Summary!$B$48)*(Inputs!$B$21+Skills!O8+B1464)+Summary!$B$48*(Inputs!$B$22+Skills!P8+B1465))/100)*(1+Inputs!$B$17/100)*(5000/(6000+Inputs!$B$43*(1-Inputs!$B$20/100)))*(1+Inputs!$B$25/100)*(1+IF(C1452=TRUE,F1452,0)/100)*(1+IF(C1454=TRUE,F1454,0)/100)*(1+IF(Skills!A8="TRIUMPH_FEATHER",IF(C1450=TRUE,F1450,0),0)/100)*(1+IF(C1461=TRUE,F1461,0)/100)^5*(1+(IF(Skills!A8="BIG_BANG",Inputs!$B$18,Inputs!$B$19))/100)*(B1463*I1442)</f>
        <v/>
      </c>
      <c r="L1442">
        <f>K1442*(MIN(Inputs!$B$23+(F1456-Calc!F22),Inputs!$B$24)/100+Inputs!$B$24/100)/2</f>
        <v/>
      </c>
      <c r="M1442">
        <f>L1442*(1+(Inputs!$B$11+B1467+(F1459-Calc!F25))/100)</f>
        <v/>
      </c>
      <c r="N1442">
        <f>L1442*(1-MIN(Inputs!$B$10+((F1458-Calc!F24)+(F1457-Calc!F23)),100)/100)+M1442*(MIN(Inputs!$B$10+((F1458-Calc!F24)+(F1457-Calc!F23)),100)/100)</f>
        <v/>
      </c>
      <c r="O1442">
        <f>IF(C1442,H1442*N1442*IF(AND(Inputs!$B$39&lt;&gt;"pvp",Inputs!$B$44&gt;0),((Skills!F8*((R1442-1)*IF(Skills!G8&gt;0,Skills!H8/Skills!G8,1)+IF(Skills!G8&gt;0,MIN(Skills!H8,MAX(0,MAX(0,Inputs!$B$44-B1473)-((R1442-1)*IF(Inputs!$B$39="pvp",15,MAX(0.1,Skills!D8-IF(Skills!E8=TRUE,3.5,0))))))/Skills!G8,1)))/Inputs!$B$44),G1442*Q1442)*IF(Inputs!$B$39="pvp",1,(1-Summary!$B$48)*(1)+Summary!$B$48*(MIN(Skills!Q8,Inputs!$B$38))),0)</f>
        <v/>
      </c>
      <c r="P1442">
        <f>IF(B1474=0,0,O1442/B1474)</f>
        <v/>
      </c>
      <c r="Q1442">
        <f>IFERROR(1/IF(Inputs!$B$39="pvp",15,MAX(0.1,Skills!D8-IF(Skills!E8=TRUE,3.5,0))),0)</f>
        <v/>
      </c>
      <c r="R1442">
        <f>IF(AND(Inputs!$B$39&lt;&gt;"pvp",Inputs!$B$44&gt;0),IF(MAX(0,Inputs!$B$44-B1473)&lt;=0,0,(INT(MAX(0,Inputs!$B$44-B1473)/IF(Inputs!$B$39="pvp",15,MAX(0.1,Skills!D8-IF(Skills!E8=TRUE,3.5,0))))+1)),0)</f>
        <v/>
      </c>
    </row>
    <row r="1443">
      <c r="A1443">
        <f>Skills!A9</f>
        <v/>
      </c>
      <c r="B1443">
        <f>Skills!B9</f>
        <v/>
      </c>
      <c r="C1443">
        <f>Inputs!$B$3&gt;=115</f>
        <v/>
      </c>
      <c r="D1443">
        <f>IF(Skills!C9=1,60+Inputs!$B$26+Inputs!$B$30,IF(Skills!C9=2,90+Inputs!$B$27+Inputs!$B$30,IF(Skills!C9=3,120+Inputs!$B$28+Inputs!$B$30,MAX(0,(Inputs!$B$3-100)*3)+Inputs!$B$29+Inputs!$B$30)))</f>
        <v/>
      </c>
      <c r="E1443">
        <f>INDEX(FactorTable!$B$2:$Y$301, MATCH(ROUND(MIN(300,MAX(1,D1443)),0), FactorTable!$A$2:$A$301,0), Skills!L9+1)</f>
        <v/>
      </c>
      <c r="F1443">
        <f>IF(Skills!M9=TRUE,(Skills!K9/10)*(E1443/1000),Skills!K9/10)+Skills!N9</f>
        <v/>
      </c>
      <c r="G1443">
        <f>Calc!G9</f>
        <v/>
      </c>
      <c r="H1443">
        <f>Calc!H9</f>
        <v/>
      </c>
      <c r="I1443">
        <f>IF(Skills!T9&lt;&gt;"",1+(Skills!T9/10)*($Z$3/1000)/100,1)</f>
        <v/>
      </c>
      <c r="J1443">
        <f>((Inputs!$B$6*(1+Inputs!$B$7/100))+(((Inputs!$B$13*(1+Inputs!$B$14/100))-(Inputs!$B$13*(1+Inputs!$B$14/100)))+0.25*(Inputs!$B$15-Inputs!$B$15))*(1+Inputs!$B$7/100))*(F1443/100)</f>
        <v/>
      </c>
      <c r="K1443">
        <f>J1443*(1+(((Inputs!$B$13+IF(Inputs!$B$3&gt;=35,(10*INDEX(FactorTable!$B$2:$Y$301, MATCH(ROUND(MIN(300,MAX(1,Inputs!$B$3)),0), FactorTable!$A$2:$A$301,0), 23)/1000)/100*(Inputs!$B$8*(1+(Inputs!$B$9+B1472)/100)),0))*(1+Inputs!$B$14/100))*0.01+Inputs!$B$15*0.0025)/100)*(1+(Inputs!$B$16+B1466)/100)*(1+IF(Inputs!$B$39="pvp",0,(1-Summary!$B$48)*(Inputs!$B$21+Skills!O9+B1464)+Summary!$B$48*(Inputs!$B$22+Skills!P9+B1465))/100)*(1+Inputs!$B$17/100)*(5000/(6000+Inputs!$B$43*(1-Inputs!$B$20/100)))*(1+Inputs!$B$25/100)*(1+IF(C1452=TRUE,F1452,0)/100)*(1+IF(C1454=TRUE,F1454,0)/100)*(1+IF(Skills!A9="TRIUMPH_FEATHER",IF(C1450=TRUE,F1450,0),0)/100)*(1+IF(C1461=TRUE,F1461,0)/100)^5*(1+(IF(Skills!A9="BIG_BANG",Inputs!$B$18,Inputs!$B$19))/100)*(B1463*I1443)</f>
        <v/>
      </c>
      <c r="L1443">
        <f>K1443*(MIN(Inputs!$B$23+(F1456-Calc!F22),Inputs!$B$24)/100+Inputs!$B$24/100)/2</f>
        <v/>
      </c>
      <c r="M1443">
        <f>L1443*(1+(Inputs!$B$11+B1467+(F1459-Calc!F25))/100)</f>
        <v/>
      </c>
      <c r="N1443">
        <f>L1443*(1-MIN(Inputs!$B$10+((F1458-Calc!F24)+(F1457-Calc!F23)),100)/100)+M1443*(MIN(Inputs!$B$10+((F1458-Calc!F24)+(F1457-Calc!F23)),100)/100)</f>
        <v/>
      </c>
      <c r="O1443">
        <f>IF(C1443,H1443*N1443*IF(AND(Inputs!$B$39&lt;&gt;"pvp",Inputs!$B$44&gt;0),((Skills!F9*((R1443-1)*IF(Skills!G9&gt;0,Skills!H9/Skills!G9,1)+IF(Skills!G9&gt;0,MIN(Skills!H9,MAX(0,MAX(0,Inputs!$B$44-B1473)-((R1443-1)*IF(Inputs!$B$39="pvp",15,MAX(0.1,Skills!D9-IF(Skills!E9=TRUE,3.5,0))))))/Skills!G9,1)))/Inputs!$B$44),G1443*Q1443)*IF(Inputs!$B$39="pvp",1,(1-Summary!$B$48)*(1)+Summary!$B$48*(MIN(Skills!Q9,Inputs!$B$38))),0)</f>
        <v/>
      </c>
      <c r="P1443">
        <f>IF(B1474=0,0,O1443/B1474)</f>
        <v/>
      </c>
      <c r="Q1443">
        <f>IFERROR(1/IF(Inputs!$B$39="pvp",15,MAX(0.1,Skills!D9-IF(Skills!E9=TRUE,3.5,0))),0)</f>
        <v/>
      </c>
      <c r="R1443">
        <f>IF(AND(Inputs!$B$39&lt;&gt;"pvp",Inputs!$B$44&gt;0),IF(MAX(0,Inputs!$B$44-B1473)&lt;=0,0,(INT(MAX(0,Inputs!$B$44-B1473)/IF(Inputs!$B$39="pvp",15,MAX(0.1,Skills!D9-IF(Skills!E9=TRUE,3.5,0))))+1)),0)</f>
        <v/>
      </c>
    </row>
    <row r="1444">
      <c r="A1444">
        <f>Skills!A10</f>
        <v/>
      </c>
      <c r="B1444">
        <f>Skills!B10</f>
        <v/>
      </c>
      <c r="C1444">
        <f>Inputs!$B$3&gt;=66</f>
        <v/>
      </c>
      <c r="D1444">
        <f>IF(Skills!C10=1,60+Inputs!$B$26+Inputs!$B$30,IF(Skills!C10=2,90+Inputs!$B$27+Inputs!$B$30,IF(Skills!C10=3,120+Inputs!$B$28+Inputs!$B$30,MAX(0,(Inputs!$B$3-100)*3)+Inputs!$B$29+Inputs!$B$30)))</f>
        <v/>
      </c>
      <c r="E1444">
        <f>INDEX(FactorTable!$B$2:$Y$301, MATCH(ROUND(MIN(300,MAX(1,D1444)),0), FactorTable!$A$2:$A$301,0), Skills!L10+1)</f>
        <v/>
      </c>
      <c r="F1444" t="n">
        <v>0</v>
      </c>
      <c r="G1444">
        <f>Calc!G10</f>
        <v/>
      </c>
      <c r="H1444">
        <f>Calc!H10</f>
        <v/>
      </c>
      <c r="I1444">
        <f>IF(Skills!T10&lt;&gt;"",1+(Skills!T10/10)*($Z$3/1000)/100,1)</f>
        <v/>
      </c>
      <c r="J1444" t="inlineStr"/>
      <c r="K1444" t="inlineStr"/>
      <c r="L1444" t="inlineStr"/>
      <c r="M1444" t="inlineStr"/>
      <c r="N1444" t="inlineStr"/>
      <c r="O1444" t="n">
        <v>0</v>
      </c>
      <c r="P1444">
        <f>IF(B1474=0,0,O1444/B1474)</f>
        <v/>
      </c>
      <c r="Q1444">
        <f>IFERROR(1/IF(Inputs!$B$39="pvp",15,MAX(0.1,Skills!D10-IF(Skills!E10=TRUE,3.5,0))),0)</f>
        <v/>
      </c>
      <c r="R1444">
        <f>IF(AND(Inputs!$B$39&lt;&gt;"pvp",Inputs!$B$44&gt;0),IF(MAX(0,Inputs!$B$44-B1473)&lt;=0,0,(INT(MAX(0,Inputs!$B$44-B1473)/IF(Inputs!$B$39="pvp",15,MAX(0.1,Skills!D10-IF(Skills!E10=TRUE,3.5,0))))+1)),0)</f>
        <v/>
      </c>
    </row>
    <row r="1445">
      <c r="A1445">
        <f>Skills!A11</f>
        <v/>
      </c>
      <c r="B1445">
        <f>Skills!B11</f>
        <v/>
      </c>
      <c r="C1445">
        <f>Inputs!$B$3&gt;=69</f>
        <v/>
      </c>
      <c r="D1445">
        <f>IF(Skills!C11=1,60+Inputs!$B$26+Inputs!$B$30,IF(Skills!C11=2,90+Inputs!$B$27+Inputs!$B$30,IF(Skills!C11=3,120+Inputs!$B$28+Inputs!$B$30,MAX(0,(Inputs!$B$3-100)*3)+Inputs!$B$29+Inputs!$B$30)))</f>
        <v/>
      </c>
      <c r="E1445">
        <f>INDEX(FactorTable!$B$2:$Y$301, MATCH(ROUND(MIN(300,MAX(1,D1445)),0), FactorTable!$A$2:$A$301,0), Skills!L11+1)</f>
        <v/>
      </c>
      <c r="F1445">
        <f>IF(Skills!M11=TRUE,(Skills!K11/10)*(E1445/1000),Skills!K11/10)+Skills!N11</f>
        <v/>
      </c>
      <c r="G1445">
        <f>Calc!G11</f>
        <v/>
      </c>
      <c r="H1445">
        <f>Calc!H11</f>
        <v/>
      </c>
      <c r="I1445">
        <f>IF(Skills!T11&lt;&gt;"",1+(Skills!T11/10)*($Z$3/1000)/100,1)</f>
        <v/>
      </c>
      <c r="J1445" t="inlineStr"/>
      <c r="K1445" t="inlineStr"/>
      <c r="L1445" t="inlineStr"/>
      <c r="M1445" t="inlineStr"/>
      <c r="N1445" t="inlineStr"/>
      <c r="O1445" t="n">
        <v>0</v>
      </c>
      <c r="P1445">
        <f>IF(B1474=0,0,O1445/B1474)</f>
        <v/>
      </c>
      <c r="Q1445">
        <f>IFERROR(1/IF(Inputs!$B$39="pvp",15,MAX(0.1,Skills!D11-IF(Skills!E11=TRUE,3.5,0))),0)</f>
        <v/>
      </c>
      <c r="R1445">
        <f>IF(AND(Inputs!$B$39&lt;&gt;"pvp",Inputs!$B$44&gt;0),IF(Inputs!$B$44&lt;=0,0,(INT(Inputs!$B$44/IF(Inputs!$B$39="pvp",15,MAX(0.1,Skills!D11-IF(Skills!E11=TRUE,3.5,0))))+1)),0)</f>
        <v/>
      </c>
    </row>
    <row r="1446">
      <c r="A1446">
        <f>Skills!A12</f>
        <v/>
      </c>
      <c r="B1446">
        <f>Skills!B12</f>
        <v/>
      </c>
      <c r="C1446">
        <f>Inputs!$B$3&gt;=72</f>
        <v/>
      </c>
      <c r="D1446">
        <f>IF(Skills!C12=1,60+Inputs!$B$26+Inputs!$B$30,IF(Skills!C12=2,90+Inputs!$B$27+Inputs!$B$30,IF(Skills!C12=3,120+Inputs!$B$28+Inputs!$B$30,MAX(0,(Inputs!$B$3-100)*3)+Inputs!$B$29+Inputs!$B$30)))</f>
        <v/>
      </c>
      <c r="E1446">
        <f>INDEX(FactorTable!$B$2:$Y$301, MATCH(ROUND(MIN(300,MAX(1,D1446)),0), FactorTable!$A$2:$A$301,0), Skills!L12+1)</f>
        <v/>
      </c>
      <c r="F1446">
        <f>IF(Skills!M12=TRUE,(Skills!K12/10)*(E1446/1000),Skills!K12/10)+Skills!N12</f>
        <v/>
      </c>
      <c r="G1446">
        <f>Calc!G12</f>
        <v/>
      </c>
      <c r="H1446">
        <f>Calc!H12</f>
        <v/>
      </c>
      <c r="I1446">
        <f>IF(Skills!T12&lt;&gt;"",1+(Skills!T12/10)*($Z$3/1000)/100,1)</f>
        <v/>
      </c>
      <c r="J1446" t="inlineStr"/>
      <c r="K1446" t="inlineStr"/>
      <c r="L1446" t="inlineStr"/>
      <c r="M1446" t="inlineStr"/>
      <c r="N1446" t="inlineStr"/>
      <c r="O1446" t="n">
        <v>0</v>
      </c>
      <c r="P1446">
        <f>IF(B1474=0,0,O1446/B1474)</f>
        <v/>
      </c>
      <c r="Q1446">
        <f>IFERROR(1/IF(Inputs!$B$39="pvp",15,MAX(0.1,Skills!D12-IF(Skills!E12=TRUE,3.5,0))),0)</f>
        <v/>
      </c>
      <c r="R1446">
        <f>IF(AND(Inputs!$B$39&lt;&gt;"pvp",Inputs!$B$44&gt;0),IF(MAX(0,Inputs!$B$44-B1473)&lt;=0,0,(INT(MAX(0,Inputs!$B$44-B1473)/IF(Inputs!$B$39="pvp",15,MAX(0.1,Skills!D12-IF(Skills!E12=TRUE,3.5,0))))+1)),0)</f>
        <v/>
      </c>
    </row>
    <row r="1447">
      <c r="A1447">
        <f>Skills!A13</f>
        <v/>
      </c>
      <c r="B1447">
        <f>Skills!B13</f>
        <v/>
      </c>
      <c r="C1447">
        <f>Inputs!$B$3&gt;=60</f>
        <v/>
      </c>
      <c r="D1447">
        <f>IF(Skills!C13=1,60+Inputs!$B$26+Inputs!$B$30,IF(Skills!C13=2,90+Inputs!$B$27+Inputs!$B$30,IF(Skills!C13=3,120+Inputs!$B$28+Inputs!$B$30,MAX(0,(Inputs!$B$3-100)*3)+Inputs!$B$29+Inputs!$B$30)))</f>
        <v/>
      </c>
      <c r="E1447">
        <f>INDEX(FactorTable!$B$2:$Y$301, MATCH(ROUND(MIN(300,MAX(1,D1447)),0), FactorTable!$A$2:$A$301,0), Skills!L13+1)</f>
        <v/>
      </c>
      <c r="F1447">
        <f>IF(Skills!M13=TRUE,(Skills!K13/10)*(E1447/1000),Skills!K13/10)+Skills!N13</f>
        <v/>
      </c>
      <c r="G1447">
        <f>Calc!G13</f>
        <v/>
      </c>
      <c r="H1447">
        <f>Calc!H13</f>
        <v/>
      </c>
      <c r="I1447">
        <f>IF(Skills!T13&lt;&gt;"",1+(Skills!T13/10)*($Z$3/1000)/100,1)</f>
        <v/>
      </c>
      <c r="J1447" t="inlineStr"/>
      <c r="K1447" t="inlineStr"/>
      <c r="L1447" t="inlineStr"/>
      <c r="M1447" t="inlineStr"/>
      <c r="N1447" t="inlineStr"/>
      <c r="O1447" t="n">
        <v>0</v>
      </c>
      <c r="P1447">
        <f>IF(B1474=0,0,O1447/B1474)</f>
        <v/>
      </c>
      <c r="Q1447">
        <f>IFERROR(1/IF(Inputs!$B$39="pvp",15,MAX(0.1,Skills!D13-IF(Skills!E13=TRUE,3.5,0))),0)</f>
        <v/>
      </c>
      <c r="R1447">
        <f>IF(AND(Inputs!$B$39&lt;&gt;"pvp",Inputs!$B$44&gt;0),IF(MAX(0,Inputs!$B$44-B1473)&lt;=0,0,(INT(MAX(0,Inputs!$B$44-B1473)/IF(Inputs!$B$39="pvp",15,MAX(0.1,Skills!D13-IF(Skills!E13=TRUE,3.5,0))))+1)),0)</f>
        <v/>
      </c>
    </row>
    <row r="1448">
      <c r="A1448">
        <f>Skills!A14</f>
        <v/>
      </c>
      <c r="B1448">
        <f>Skills!B14</f>
        <v/>
      </c>
      <c r="C1448">
        <f>Inputs!$B$3&gt;=107</f>
        <v/>
      </c>
      <c r="D1448">
        <f>IF(Skills!C14=1,60+Inputs!$B$26+Inputs!$B$30,IF(Skills!C14=2,90+Inputs!$B$27+Inputs!$B$30,IF(Skills!C14=3,120+Inputs!$B$28+Inputs!$B$30,MAX(0,(Inputs!$B$3-100)*3)+Inputs!$B$29+Inputs!$B$30)))</f>
        <v/>
      </c>
      <c r="E1448">
        <f>INDEX(FactorTable!$B$2:$Y$301, MATCH(ROUND(MIN(300,MAX(1,D1448)),0), FactorTable!$A$2:$A$301,0), Skills!L14+1)</f>
        <v/>
      </c>
      <c r="F1448">
        <f>IF(Skills!M14=TRUE,(Skills!K14/10)*(E1448/1000),Skills!K14/10)+Skills!N14</f>
        <v/>
      </c>
      <c r="G1448">
        <f>Calc!G14</f>
        <v/>
      </c>
      <c r="H1448">
        <f>Calc!H14</f>
        <v/>
      </c>
      <c r="I1448">
        <f>IF(Skills!T14&lt;&gt;"",1+(Skills!T14/10)*($Z$3/1000)/100,1)</f>
        <v/>
      </c>
      <c r="J1448" t="inlineStr"/>
      <c r="K1448" t="inlineStr"/>
      <c r="L1448" t="inlineStr"/>
      <c r="M1448" t="inlineStr"/>
      <c r="N1448" t="inlineStr"/>
      <c r="O1448" t="n">
        <v>0</v>
      </c>
      <c r="P1448">
        <f>IF(B1474=0,0,O1448/B1474)</f>
        <v/>
      </c>
      <c r="Q1448">
        <f>IFERROR(1/IF(Inputs!$B$39="pvp",15,MAX(0.1,Skills!D14-IF(Skills!E14=TRUE,3.5,0))),0)</f>
        <v/>
      </c>
      <c r="R1448">
        <f>IF(AND(Inputs!$B$39&lt;&gt;"pvp",Inputs!$B$44&gt;0),IF(Inputs!$B$44&lt;=0,0,(INT(Inputs!$B$44/IF(Inputs!$B$39="pvp",15,MAX(0.1,Skills!D14-IF(Skills!E14=TRUE,3.5,0))))+1)),0)</f>
        <v/>
      </c>
    </row>
    <row r="1449">
      <c r="A1449">
        <f>Skills!A15</f>
        <v/>
      </c>
      <c r="B1449">
        <f>Skills!B15</f>
        <v/>
      </c>
      <c r="C1449">
        <f>Inputs!$B$3&gt;=63</f>
        <v/>
      </c>
      <c r="D1449">
        <f>IF(Skills!C15=1,60+Inputs!$B$26+Inputs!$B$30,IF(Skills!C15=2,90+Inputs!$B$27+Inputs!$B$30,IF(Skills!C15=3,120+Inputs!$B$28+Inputs!$B$30,MAX(0,(Inputs!$B$3-100)*3)+Inputs!$B$29+Inputs!$B$30)))</f>
        <v/>
      </c>
      <c r="E1449">
        <f>INDEX(FactorTable!$B$2:$Y$301, MATCH(ROUND(MIN(300,MAX(1,D1449)),0), FactorTable!$A$2:$A$301,0), Skills!L15+1)</f>
        <v/>
      </c>
      <c r="F1449">
        <f>IF(Skills!M15=TRUE,(Skills!K15/10)*(E1449/1000),Skills!K15/10)+Skills!N15</f>
        <v/>
      </c>
      <c r="G1449">
        <f>Calc!G15</f>
        <v/>
      </c>
      <c r="H1449">
        <f>Calc!H15</f>
        <v/>
      </c>
      <c r="I1449">
        <f>IF(Skills!T15&lt;&gt;"",1+(Skills!T15/10)*($Z$3/1000)/100,1)</f>
        <v/>
      </c>
      <c r="J1449">
        <f>((Inputs!$B$6*(1+Inputs!$B$7/100))+(((Inputs!$B$13*(1+Inputs!$B$14/100))-(Inputs!$B$13*(1+Inputs!$B$14/100)))+0.25*(Inputs!$B$15-Inputs!$B$15))*(1+Inputs!$B$7/100))*(F1449/100)</f>
        <v/>
      </c>
      <c r="K1449">
        <f>J1449*(1+(((Inputs!$B$13+IF(Inputs!$B$3&gt;=35,(10*INDEX(FactorTable!$B$2:$Y$301, MATCH(ROUND(MIN(300,MAX(1,Inputs!$B$3)),0), FactorTable!$A$2:$A$301,0), 23)/1000)/100*(Inputs!$B$8*(1+(Inputs!$B$9+B1472)/100)),0))*(1+Inputs!$B$14/100))*0.01+Inputs!$B$15*0.0025)/100)*(1+(Inputs!$B$16+B1466)/100)*(1+IF(Inputs!$B$39="pvp",0,(1-Summary!$B$48)*(Inputs!$B$21+Skills!O15+B1464)+Summary!$B$48*(Inputs!$B$22+Skills!P15+B1465))/100)*(1+Inputs!$B$17/100)*(5000/(6000+Inputs!$B$43*(1-Inputs!$B$20/100)))*(1+Inputs!$B$25/100)*(1+IF(C1452=TRUE,F1452,0)/100)*(1+IF(C1454=TRUE,F1454,0)/100)*(1+IF(Skills!A15="TRIUMPH_FEATHER",IF(C1450=TRUE,F1450,0),0)/100)*(1+IF(C1461=TRUE,F1461,0)/100)^5*(1+(IF(Skills!A15="BIG_BANG",Inputs!$B$18,Inputs!$B$19))/100)*(B1463*I1449)</f>
        <v/>
      </c>
      <c r="L1449">
        <f>K1449*(MIN(Inputs!$B$23+(F1456-Calc!F22),Inputs!$B$24)/100+Inputs!$B$24/100)/2</f>
        <v/>
      </c>
      <c r="M1449">
        <f>L1449*(1+(Inputs!$B$11+B1467+(F1459-Calc!F25))/100)</f>
        <v/>
      </c>
      <c r="N1449">
        <f>L1449*(1-MIN(Inputs!$B$10+((F1458-Calc!F24)+(F1457-Calc!F23)),100)/100)+M1449*(MIN(Inputs!$B$10+((F1458-Calc!F24)+(F1457-Calc!F23)),100)/100)</f>
        <v/>
      </c>
      <c r="O1449">
        <f>IF(C1449,Skills!F15*N1449*((IF(Inputs!$B$3&gt;=78,25,15)/100*B1469*10)/(1+IF(Inputs!$B$3&gt;=78,25,15)/100*B1469*10))*(Skills!I15/100*B1469)/(1+Skills!G15*Skills!I15/100*B1469)*IF(Inputs!$B$39="pvp",1,(1-Summary!$B$48)*(1)+Summary!$B$48*(MIN(Skills!Q15,Inputs!$B$38))),0)</f>
        <v/>
      </c>
      <c r="P1449">
        <f>IF(B1474=0,0,O1449/B1474)</f>
        <v/>
      </c>
      <c r="Q1449">
        <f>IFERROR(1/IF(Inputs!$B$39="pvp",15,MAX(0.1,Skills!D15-IF(Skills!E15=TRUE,3.5,0))),0)</f>
        <v/>
      </c>
      <c r="R1449" t="n">
        <v>0</v>
      </c>
    </row>
    <row r="1450">
      <c r="A1450">
        <f>Skills!A16</f>
        <v/>
      </c>
      <c r="B1450">
        <f>Skills!B16</f>
        <v/>
      </c>
      <c r="C1450">
        <f>Inputs!$B$3&gt;=100</f>
        <v/>
      </c>
      <c r="D1450">
        <f>IF(Skills!C16=1,60+Inputs!$B$26+Inputs!$B$30,IF(Skills!C16=2,90+Inputs!$B$27+Inputs!$B$30,IF(Skills!C16=3,120+Inputs!$B$28+Inputs!$B$30,MAX(0,(Inputs!$B$3-100)*3)+Inputs!$B$29+Inputs!$B$30)))</f>
        <v/>
      </c>
      <c r="E1450">
        <f>INDEX(FactorTable!$B$2:$Y$301, MATCH(ROUND(MIN(300,MAX(1,D1450)),0), FactorTable!$A$2:$A$301,0), Skills!L16+1)</f>
        <v/>
      </c>
      <c r="F1450">
        <f>IF(Skills!M16=TRUE,(Skills!K16/10)*(E1450/1000),Skills!K16/10)+Skills!N16</f>
        <v/>
      </c>
      <c r="G1450">
        <f>Calc!G16</f>
        <v/>
      </c>
      <c r="H1450">
        <f>Calc!H16</f>
        <v/>
      </c>
      <c r="I1450">
        <f>IF(Skills!T16&lt;&gt;"",1+(Skills!T16/10)*($Z$3/1000)/100,1)</f>
        <v/>
      </c>
      <c r="J1450" t="inlineStr"/>
      <c r="K1450" t="inlineStr"/>
      <c r="L1450" t="inlineStr"/>
      <c r="M1450" t="inlineStr"/>
      <c r="N1450" t="inlineStr"/>
      <c r="O1450" t="n">
        <v>0</v>
      </c>
      <c r="P1450">
        <f>IF(B1474=0,0,O1450/B1474)</f>
        <v/>
      </c>
      <c r="Q1450">
        <f>IFERROR(1/IF(Inputs!$B$39="pvp",15,MAX(0.1,Skills!D16-IF(Skills!E16=TRUE,3.5,0))),0)</f>
        <v/>
      </c>
      <c r="R1450" t="n">
        <v>0</v>
      </c>
    </row>
    <row r="1451">
      <c r="A1451">
        <f>Skills!A17</f>
        <v/>
      </c>
      <c r="B1451">
        <f>Skills!B17</f>
        <v/>
      </c>
      <c r="C1451">
        <f>Inputs!$B$3&gt;=49</f>
        <v/>
      </c>
      <c r="D1451">
        <f>IF(Skills!C17=1,60+Inputs!$B$26+Inputs!$B$30,IF(Skills!C17=2,90+Inputs!$B$27+Inputs!$B$30,IF(Skills!C17=3,120+Inputs!$B$28+Inputs!$B$30,MAX(0,(Inputs!$B$3-100)*3)+Inputs!$B$29+Inputs!$B$30)))</f>
        <v/>
      </c>
      <c r="E1451">
        <f>INDEX(FactorTable!$B$2:$Y$301, MATCH(ROUND(MIN(300,MAX(1,D1451)),0), FactorTable!$A$2:$A$301,0), Skills!L17+1)</f>
        <v/>
      </c>
      <c r="F1451">
        <f>IF(Skills!M17=TRUE,(Skills!K17/10)*(E1451/1000),Skills!K17/10)+Skills!N17</f>
        <v/>
      </c>
      <c r="G1451">
        <f>Calc!G17</f>
        <v/>
      </c>
      <c r="H1451">
        <f>Calc!H17</f>
        <v/>
      </c>
      <c r="I1451">
        <f>IF(Skills!T17&lt;&gt;"",1+(Skills!T17/10)*($Z$3/1000)/100,1)</f>
        <v/>
      </c>
      <c r="J1451" t="inlineStr"/>
      <c r="K1451" t="inlineStr"/>
      <c r="L1451" t="inlineStr"/>
      <c r="M1451" t="inlineStr"/>
      <c r="N1451" t="inlineStr"/>
      <c r="O1451" t="n">
        <v>0</v>
      </c>
      <c r="P1451">
        <f>IF(B1474=0,0,O1451/B1474)</f>
        <v/>
      </c>
      <c r="Q1451">
        <f>IFERROR(1/IF(Inputs!$B$39="pvp",15,MAX(0.1,Skills!D17-IF(Skills!E17=TRUE,3.5,0))),0)</f>
        <v/>
      </c>
      <c r="R1451" t="n">
        <v>0</v>
      </c>
    </row>
    <row r="1452">
      <c r="A1452">
        <f>Skills!A18</f>
        <v/>
      </c>
      <c r="B1452">
        <f>Skills!B18</f>
        <v/>
      </c>
      <c r="C1452">
        <f>Inputs!$B$3&gt;=75</f>
        <v/>
      </c>
      <c r="D1452">
        <f>IF(Skills!C18=1,60+Inputs!$B$26+Inputs!$B$30,IF(Skills!C18=2,90+Inputs!$B$27+Inputs!$B$30,IF(Skills!C18=3,120+Inputs!$B$28+Inputs!$B$30,MAX(0,(Inputs!$B$3-100)*3)+Inputs!$B$29+Inputs!$B$30)))</f>
        <v/>
      </c>
      <c r="E1452">
        <f>INDEX(FactorTable!$B$2:$Y$301, MATCH(ROUND(MIN(300,MAX(1,D1452)),0), FactorTable!$A$2:$A$301,0), Skills!L18+1)</f>
        <v/>
      </c>
      <c r="F1452">
        <f>IF(Skills!M18=TRUE,(Skills!K18/10)*(E1452/1000),Skills!K18/10)+Skills!N18</f>
        <v/>
      </c>
      <c r="G1452">
        <f>Calc!G18</f>
        <v/>
      </c>
      <c r="H1452">
        <f>Calc!H18</f>
        <v/>
      </c>
      <c r="I1452">
        <f>IF(Skills!T18&lt;&gt;"",1+(Skills!T18/10)*($Z$3/1000)/100,1)</f>
        <v/>
      </c>
      <c r="J1452" t="inlineStr"/>
      <c r="K1452" t="inlineStr"/>
      <c r="L1452" t="inlineStr"/>
      <c r="M1452" t="inlineStr"/>
      <c r="N1452" t="inlineStr"/>
      <c r="O1452" t="n">
        <v>0</v>
      </c>
      <c r="P1452">
        <f>IF(B1474=0,0,O1452/B1474)</f>
        <v/>
      </c>
      <c r="Q1452">
        <f>IFERROR(1/IF(Inputs!$B$39="pvp",15,MAX(0.1,Skills!D18-IF(Skills!E18=TRUE,3.5,0))),0)</f>
        <v/>
      </c>
      <c r="R1452" t="n">
        <v>0</v>
      </c>
    </row>
    <row r="1453">
      <c r="A1453">
        <f>Skills!A19</f>
        <v/>
      </c>
      <c r="B1453">
        <f>Skills!B19</f>
        <v/>
      </c>
      <c r="C1453">
        <f>Inputs!$B$3&gt;=110</f>
        <v/>
      </c>
      <c r="D1453">
        <f>IF(Skills!C19=1,60+Inputs!$B$26+Inputs!$B$30,IF(Skills!C19=2,90+Inputs!$B$27+Inputs!$B$30,IF(Skills!C19=3,120+Inputs!$B$28+Inputs!$B$30,MAX(0,(Inputs!$B$3-100)*3)+Inputs!$B$29+Inputs!$B$30)))</f>
        <v/>
      </c>
      <c r="E1453">
        <f>INDEX(FactorTable!$B$2:$Y$301, MATCH(ROUND(MIN(300,MAX(1,D1453)),0), FactorTable!$A$2:$A$301,0), Skills!L19+1)</f>
        <v/>
      </c>
      <c r="F1453">
        <f>(Skills!K19/10)*(E1453/1000)*64/45+Skills!N19</f>
        <v/>
      </c>
      <c r="G1453">
        <f>Calc!G19</f>
        <v/>
      </c>
      <c r="H1453">
        <f>Calc!H19</f>
        <v/>
      </c>
      <c r="I1453">
        <f>IF(Skills!T19&lt;&gt;"",1+(Skills!T19/10)*($Z$3/1000)/100,1)</f>
        <v/>
      </c>
      <c r="J1453" t="inlineStr"/>
      <c r="K1453" t="inlineStr"/>
      <c r="L1453" t="inlineStr"/>
      <c r="M1453" t="inlineStr"/>
      <c r="N1453" t="inlineStr"/>
      <c r="O1453" t="n">
        <v>0</v>
      </c>
      <c r="P1453">
        <f>IF(B1474=0,0,O1453/B1474)</f>
        <v/>
      </c>
      <c r="Q1453">
        <f>IFERROR(1/IF(Inputs!$B$39="pvp",15,MAX(0.1,Skills!D19-IF(Skills!E19=TRUE,3.5,0))),0)</f>
        <v/>
      </c>
      <c r="R1453">
        <f>IF(AND(Inputs!$B$39&lt;&gt;"pvp",Inputs!$B$44&gt;0),IF(Inputs!$B$44&lt;=0,0,(INT(Inputs!$B$44/IF(Inputs!$B$39="pvp",15,MAX(0.1,Skills!D19-IF(Skills!E19=TRUE,3.5,0))))+1)),0)</f>
        <v/>
      </c>
    </row>
    <row r="1454">
      <c r="A1454">
        <f>Skills!A20</f>
        <v/>
      </c>
      <c r="B1454">
        <f>Skills!B20</f>
        <v/>
      </c>
      <c r="C1454">
        <f>Inputs!$B$3&gt;=125</f>
        <v/>
      </c>
      <c r="D1454">
        <f>IF(Skills!C20=1,60+Inputs!$B$26+Inputs!$B$30,IF(Skills!C20=2,90+Inputs!$B$27+Inputs!$B$30,IF(Skills!C20=3,120+Inputs!$B$28+Inputs!$B$30,MAX(0,(Inputs!$B$3-100)*3)+Inputs!$B$29+Inputs!$B$30)))</f>
        <v/>
      </c>
      <c r="E1454">
        <f>INDEX(FactorTable!$B$2:$Y$301, MATCH(ROUND(MIN(300,MAX(1,D1454)),0), FactorTable!$A$2:$A$301,0), Skills!L20+1)</f>
        <v/>
      </c>
      <c r="F1454">
        <f>IF(Skills!M20=TRUE,(Skills!K20/10)*(E1454/1000),Skills!K20/10)+Skills!N20</f>
        <v/>
      </c>
      <c r="G1454">
        <f>Calc!G20</f>
        <v/>
      </c>
      <c r="H1454">
        <f>Calc!H20</f>
        <v/>
      </c>
      <c r="I1454">
        <f>IF(Skills!T20&lt;&gt;"",1+(Skills!T20/10)*($Z$3/1000)/100,1)</f>
        <v/>
      </c>
      <c r="J1454" t="inlineStr"/>
      <c r="K1454" t="inlineStr"/>
      <c r="L1454" t="inlineStr"/>
      <c r="M1454" t="inlineStr"/>
      <c r="N1454" t="inlineStr"/>
      <c r="O1454" t="n">
        <v>0</v>
      </c>
      <c r="P1454">
        <f>IF(B1474=0,0,O1454/B1474)</f>
        <v/>
      </c>
      <c r="Q1454">
        <f>IFERROR(1/IF(Inputs!$B$39="pvp",15,MAX(0.1,Skills!D20-IF(Skills!E20=TRUE,3.5,0))),0)</f>
        <v/>
      </c>
      <c r="R1454" t="n">
        <v>0</v>
      </c>
    </row>
    <row r="1455">
      <c r="A1455">
        <f>Skills!A21</f>
        <v/>
      </c>
      <c r="B1455">
        <f>Skills!B21</f>
        <v/>
      </c>
      <c r="C1455">
        <f>Inputs!$B$3&gt;=33</f>
        <v/>
      </c>
      <c r="D1455">
        <f>IF(Skills!C21=1,60+Inputs!$B$26+Inputs!$B$30,IF(Skills!C21=2,90+Inputs!$B$27+Inputs!$B$30,IF(Skills!C21=3,120+Inputs!$B$28+Inputs!$B$30,MAX(0,(Inputs!$B$3-100)*3)+Inputs!$B$29+Inputs!$B$30)))</f>
        <v/>
      </c>
      <c r="E1455">
        <f>INDEX(FactorTable!$B$2:$Y$301, MATCH(ROUND(MIN(300,MAX(1,D1455)),0), FactorTable!$A$2:$A$301,0), Skills!L21+1)</f>
        <v/>
      </c>
      <c r="F1455">
        <f>IF(Skills!M21=TRUE,(Skills!K21/10)*(E1455/1000),Skills!K21/10)+Skills!N21</f>
        <v/>
      </c>
      <c r="G1455">
        <f>Calc!G21</f>
        <v/>
      </c>
      <c r="H1455">
        <f>Calc!H21</f>
        <v/>
      </c>
      <c r="I1455">
        <f>IF(Skills!T21&lt;&gt;"",1+(Skills!T21/10)*($Z$3/1000)/100,1)</f>
        <v/>
      </c>
      <c r="J1455" t="inlineStr"/>
      <c r="K1455" t="inlineStr"/>
      <c r="L1455" t="inlineStr"/>
      <c r="M1455" t="inlineStr"/>
      <c r="N1455" t="inlineStr"/>
      <c r="O1455" t="n">
        <v>0</v>
      </c>
      <c r="P1455">
        <f>IF(B1474=0,0,O1455/B1474)</f>
        <v/>
      </c>
      <c r="Q1455">
        <f>IFERROR(1/IF(Inputs!$B$39="pvp",15,MAX(0.1,Skills!D21-IF(Skills!E21=TRUE,3.5,0))),0)</f>
        <v/>
      </c>
      <c r="R1455" t="n">
        <v>0</v>
      </c>
    </row>
    <row r="1456">
      <c r="A1456">
        <f>Skills!A22</f>
        <v/>
      </c>
      <c r="B1456">
        <f>Skills!B22</f>
        <v/>
      </c>
      <c r="C1456">
        <f>Inputs!$B$3&gt;=43</f>
        <v/>
      </c>
      <c r="D1456">
        <f>IF(Skills!C22=1,60+Inputs!$B$26+Inputs!$B$30,IF(Skills!C22=2,90+Inputs!$B$27+Inputs!$B$30,IF(Skills!C22=3,120+Inputs!$B$28+Inputs!$B$30,MAX(0,(Inputs!$B$3-100)*3)+Inputs!$B$29+Inputs!$B$30)))</f>
        <v/>
      </c>
      <c r="E1456">
        <f>INDEX(FactorTable!$B$2:$Y$301, MATCH(ROUND(MIN(300,MAX(1,D1456)),0), FactorTable!$A$2:$A$301,0), Skills!L22+1)</f>
        <v/>
      </c>
      <c r="F1456">
        <f>IF(Skills!M22=TRUE,(Skills!K22/10)*(E1456/1000),Skills!K22/10)+Skills!N22</f>
        <v/>
      </c>
      <c r="G1456">
        <f>Calc!G22</f>
        <v/>
      </c>
      <c r="H1456">
        <f>Calc!H22</f>
        <v/>
      </c>
      <c r="I1456">
        <f>IF(Skills!T22&lt;&gt;"",1+(Skills!T22/10)*($Z$3/1000)/100,1)</f>
        <v/>
      </c>
      <c r="J1456" t="inlineStr"/>
      <c r="K1456" t="inlineStr"/>
      <c r="L1456" t="inlineStr"/>
      <c r="M1456" t="inlineStr"/>
      <c r="N1456" t="inlineStr"/>
      <c r="O1456" t="n">
        <v>0</v>
      </c>
      <c r="P1456">
        <f>IF(B1474=0,0,O1456/B1474)</f>
        <v/>
      </c>
      <c r="Q1456">
        <f>IFERROR(1/IF(Inputs!$B$39="pvp",15,MAX(0.1,Skills!D22-IF(Skills!E22=TRUE,3.5,0))),0)</f>
        <v/>
      </c>
      <c r="R1456" t="n">
        <v>0</v>
      </c>
    </row>
    <row r="1457">
      <c r="A1457">
        <f>Skills!A23</f>
        <v/>
      </c>
      <c r="B1457">
        <f>Skills!B23</f>
        <v/>
      </c>
      <c r="C1457">
        <f>Inputs!$B$3&gt;=50</f>
        <v/>
      </c>
      <c r="D1457">
        <f>IF(Skills!C23=1,60+Inputs!$B$26+Inputs!$B$30,IF(Skills!C23=2,90+Inputs!$B$27+Inputs!$B$30,IF(Skills!C23=3,120+Inputs!$B$28+Inputs!$B$30,MAX(0,(Inputs!$B$3-100)*3)+Inputs!$B$29+Inputs!$B$30)))</f>
        <v/>
      </c>
      <c r="E1457">
        <f>INDEX(FactorTable!$B$2:$Y$301, MATCH(ROUND(MIN(300,MAX(1,D1457)),0), FactorTable!$A$2:$A$301,0), Skills!L23+1)</f>
        <v/>
      </c>
      <c r="F1457">
        <f>IF(Skills!M23=TRUE,(Skills!K23/10)*(E1457/1000),Skills!K23/10)+Skills!N23</f>
        <v/>
      </c>
      <c r="G1457">
        <f>Calc!G23</f>
        <v/>
      </c>
      <c r="H1457">
        <f>Calc!H23</f>
        <v/>
      </c>
      <c r="I1457">
        <f>IF(Skills!T23&lt;&gt;"",1+(Skills!T23/10)*($Z$3/1000)/100,1)</f>
        <v/>
      </c>
      <c r="J1457" t="inlineStr"/>
      <c r="K1457" t="inlineStr"/>
      <c r="L1457" t="inlineStr"/>
      <c r="M1457" t="inlineStr"/>
      <c r="N1457" t="inlineStr"/>
      <c r="O1457" t="n">
        <v>0</v>
      </c>
      <c r="P1457">
        <f>IF(B1474=0,0,O1457/B1474)</f>
        <v/>
      </c>
      <c r="Q1457">
        <f>IFERROR(1/IF(Inputs!$B$39="pvp",15,MAX(0.1,Skills!D23-IF(Skills!E23=TRUE,3.5,0))),0)</f>
        <v/>
      </c>
      <c r="R1457" t="n">
        <v>0</v>
      </c>
    </row>
    <row r="1458">
      <c r="A1458">
        <f>Skills!A24</f>
        <v/>
      </c>
      <c r="B1458">
        <f>Skills!B24</f>
        <v/>
      </c>
      <c r="C1458">
        <f>Inputs!$B$3&gt;=74</f>
        <v/>
      </c>
      <c r="D1458">
        <f>IF(Skills!C24=1,60+Inputs!$B$26+Inputs!$B$30,IF(Skills!C24=2,90+Inputs!$B$27+Inputs!$B$30,IF(Skills!C24=3,120+Inputs!$B$28+Inputs!$B$30,MAX(0,(Inputs!$B$3-100)*3)+Inputs!$B$29+Inputs!$B$30)))</f>
        <v/>
      </c>
      <c r="E1458">
        <f>INDEX(FactorTable!$B$2:$Y$301, MATCH(ROUND(MIN(300,MAX(1,D1458)),0), FactorTable!$A$2:$A$301,0), Skills!L24+1)</f>
        <v/>
      </c>
      <c r="F1458">
        <f>IF(Skills!M24=TRUE,(Skills!K24/10)*(E1458/1000),Skills!K24/10)+Skills!N24</f>
        <v/>
      </c>
      <c r="G1458">
        <f>Calc!G24</f>
        <v/>
      </c>
      <c r="H1458">
        <f>Calc!H24</f>
        <v/>
      </c>
      <c r="I1458">
        <f>IF(Skills!T24&lt;&gt;"",1+(Skills!T24/10)*($Z$3/1000)/100,1)</f>
        <v/>
      </c>
      <c r="J1458" t="inlineStr"/>
      <c r="K1458" t="inlineStr"/>
      <c r="L1458" t="inlineStr"/>
      <c r="M1458" t="inlineStr"/>
      <c r="N1458" t="inlineStr"/>
      <c r="O1458" t="n">
        <v>0</v>
      </c>
      <c r="P1458">
        <f>IF(B1474=0,0,O1458/B1474)</f>
        <v/>
      </c>
      <c r="Q1458">
        <f>IFERROR(1/IF(Inputs!$B$39="pvp",15,MAX(0.1,Skills!D24-IF(Skills!E24=TRUE,3.5,0))),0)</f>
        <v/>
      </c>
      <c r="R1458" t="n">
        <v>0</v>
      </c>
    </row>
    <row r="1459">
      <c r="A1459">
        <f>Skills!A25</f>
        <v/>
      </c>
      <c r="B1459">
        <f>Skills!B25</f>
        <v/>
      </c>
      <c r="C1459">
        <f>Inputs!$B$3&gt;=74</f>
        <v/>
      </c>
      <c r="D1459">
        <f>IF(Skills!C25=1,60+Inputs!$B$26+Inputs!$B$30,IF(Skills!C25=2,90+Inputs!$B$27+Inputs!$B$30,IF(Skills!C25=3,120+Inputs!$B$28+Inputs!$B$30,MAX(0,(Inputs!$B$3-100)*3)+Inputs!$B$29+Inputs!$B$30)))</f>
        <v/>
      </c>
      <c r="E1459">
        <f>INDEX(FactorTable!$B$2:$Y$301, MATCH(ROUND(MIN(300,MAX(1,D1459)),0), FactorTable!$A$2:$A$301,0), Skills!L25+1)</f>
        <v/>
      </c>
      <c r="F1459">
        <f>IF(Skills!M25=TRUE,(Skills!K25/10)*(E1459/1000),Skills!K25/10)+Skills!N25</f>
        <v/>
      </c>
      <c r="G1459">
        <f>Calc!G25</f>
        <v/>
      </c>
      <c r="H1459">
        <f>Calc!H25</f>
        <v/>
      </c>
      <c r="I1459">
        <f>IF(Skills!T25&lt;&gt;"",1+(Skills!T25/10)*($Z$3/1000)/100,1)</f>
        <v/>
      </c>
      <c r="J1459" t="inlineStr"/>
      <c r="K1459" t="inlineStr"/>
      <c r="L1459" t="inlineStr"/>
      <c r="M1459" t="inlineStr"/>
      <c r="N1459" t="inlineStr"/>
      <c r="O1459" t="n">
        <v>0</v>
      </c>
      <c r="P1459">
        <f>IF(B1474=0,0,O1459/B1474)</f>
        <v/>
      </c>
      <c r="Q1459">
        <f>IFERROR(1/IF(Inputs!$B$39="pvp",15,MAX(0.1,Skills!D25-IF(Skills!E25=TRUE,3.5,0))),0)</f>
        <v/>
      </c>
      <c r="R1459" t="n">
        <v>0</v>
      </c>
    </row>
    <row r="1460">
      <c r="A1460">
        <f>Skills!A26</f>
        <v/>
      </c>
      <c r="B1460">
        <f>Skills!B26</f>
        <v/>
      </c>
      <c r="C1460">
        <f>Inputs!$B$3&gt;=117</f>
        <v/>
      </c>
      <c r="D1460">
        <f>IF(Skills!C26=1,60+Inputs!$B$26+Inputs!$B$30,IF(Skills!C26=2,90+Inputs!$B$27+Inputs!$B$30,IF(Skills!C26=3,120+Inputs!$B$28+Inputs!$B$30,MAX(0,(Inputs!$B$3-100)*3)+Inputs!$B$29+Inputs!$B$30)))</f>
        <v/>
      </c>
      <c r="E1460">
        <f>INDEX(FactorTable!$B$2:$Y$301, MATCH(ROUND(MIN(300,MAX(1,D1460)),0), FactorTable!$A$2:$A$301,0), Skills!L26+1)</f>
        <v/>
      </c>
      <c r="F1460">
        <f>IF(Skills!M26=TRUE,(Skills!K26/10)*(E1460/1000),Skills!K26/10)+Skills!N26</f>
        <v/>
      </c>
      <c r="G1460">
        <f>Calc!G26</f>
        <v/>
      </c>
      <c r="H1460">
        <f>Calc!H26</f>
        <v/>
      </c>
      <c r="I1460">
        <f>IF(Skills!T26&lt;&gt;"",1+(Skills!T26/10)*($Z$3/1000)/100,1)</f>
        <v/>
      </c>
      <c r="J1460" t="inlineStr"/>
      <c r="K1460" t="inlineStr"/>
      <c r="L1460" t="inlineStr"/>
      <c r="M1460" t="inlineStr"/>
      <c r="N1460" t="inlineStr"/>
      <c r="O1460" t="n">
        <v>0</v>
      </c>
      <c r="P1460">
        <f>IF(B1474=0,0,O1460/B1474)</f>
        <v/>
      </c>
      <c r="Q1460">
        <f>IFERROR(1/IF(Inputs!$B$39="pvp",15,MAX(0.1,Skills!D26-IF(Skills!E26=TRUE,3.5,0))),0)</f>
        <v/>
      </c>
      <c r="R1460" t="n">
        <v>0</v>
      </c>
    </row>
    <row r="1461">
      <c r="A1461">
        <f>Skills!A27</f>
        <v/>
      </c>
      <c r="B1461">
        <f>Skills!B27</f>
        <v/>
      </c>
      <c r="C1461">
        <f>Inputs!$B$3&gt;=120</f>
        <v/>
      </c>
      <c r="D1461">
        <f>IF(Skills!C27=1,60+Inputs!$B$26+Inputs!$B$30,IF(Skills!C27=2,90+Inputs!$B$27+Inputs!$B$30,IF(Skills!C27=3,120+Inputs!$B$28+Inputs!$B$30,MAX(0,(Inputs!$B$3-100)*3)+Inputs!$B$29+Inputs!$B$30)))</f>
        <v/>
      </c>
      <c r="E1461">
        <f>INDEX(FactorTable!$B$2:$Y$301, MATCH(ROUND(MIN(300,MAX(1,D1461)),0), FactorTable!$A$2:$A$301,0), Skills!L27+1)</f>
        <v/>
      </c>
      <c r="F1461">
        <f>IF(Skills!M27=TRUE,(Skills!K27/10)*(E1461/1000),Skills!K27/10)+Skills!N27</f>
        <v/>
      </c>
      <c r="G1461">
        <f>Calc!G27</f>
        <v/>
      </c>
      <c r="H1461">
        <f>Calc!H27</f>
        <v/>
      </c>
      <c r="I1461">
        <f>IF(Skills!T27&lt;&gt;"",1+(Skills!T27/10)*($Z$3/1000)/100,1)</f>
        <v/>
      </c>
      <c r="J1461" t="inlineStr"/>
      <c r="K1461" t="inlineStr"/>
      <c r="L1461" t="inlineStr"/>
      <c r="M1461" t="inlineStr"/>
      <c r="N1461" t="inlineStr"/>
      <c r="O1461" t="n">
        <v>0</v>
      </c>
      <c r="P1461">
        <f>IF(B1474=0,0,O1461/B1474)</f>
        <v/>
      </c>
      <c r="Q1461">
        <f>IFERROR(1/IF(Inputs!$B$39="pvp",15,MAX(0.1,Skills!D27-IF(Skills!E27=TRUE,3.5,0))),0)</f>
        <v/>
      </c>
      <c r="R1461" t="n">
        <v>0</v>
      </c>
    </row>
    <row r="1463">
      <c r="A1463" t="inlineStr">
        <is>
          <t>Average Buff Multiplier</t>
        </is>
      </c>
      <c r="B1463">
        <f>(1+(IF(C1437=TRUE,F1437*IF(AND(Inputs!$B$39&lt;&gt;"pvp",Inputs!$B$44&gt;0),(((R1437-1)*(Skills!S3*(1+(Inputs!$B$35+IF(Inputs!$B$3&gt;=117,F1460,0))/100))+MIN((Skills!S3*(1+(Inputs!$B$35+IF(Inputs!$B$3&gt;=117,F1460,0))/100)),MAX(0,Inputs!$B$44-((R1437-1)*Skills!D3))))/Inputs!$B$44),IF(Inputs!$B$39="pvp",MIN((Skills!S3*(1+(Inputs!$B$35+IF(Inputs!$B$3&gt;=117,F1460,0))/100)),15)/15,(Skills!S3*(1+(Inputs!$B$35+IF(Inputs!$B$3&gt;=117,F1460,0))/100))/Skills!D3)),0)+IF(C1438=TRUE,F1438*IF(AND(Inputs!$B$39&lt;&gt;"pvp",Inputs!$B$44&gt;0),(((R1438-1)*(Skills!S4*(1+(Inputs!$B$35+IF(Inputs!$B$3&gt;=117,F1460,0))/100))+MIN((Skills!S4*(1+(Inputs!$B$35+IF(Inputs!$B$3&gt;=117,F1460,0))/100)),MAX(0,Inputs!$B$44-((R1438-1)*Skills!D4))))/Inputs!$B$44),IF(Inputs!$B$39="pvp",MIN((Skills!S4*(1+(Inputs!$B$35+IF(Inputs!$B$3&gt;=117,F1460,0))/100)),15)/15,(Skills!S4*(1+(Inputs!$B$35+IF(Inputs!$B$3&gt;=117,F1460,0))/100))/Skills!D4)),0)+IF(C1439=TRUE,F1439*IF(AND(Inputs!$B$39&lt;&gt;"pvp",Inputs!$B$44&gt;0),(((R1439-1)*(Skills!S5*(1+(Inputs!$B$35+IF(Inputs!$B$3&gt;=117,F1460,0))/100))+MIN((Skills!S5*(1+(Inputs!$B$35+IF(Inputs!$B$3&gt;=117,F1460,0))/100)),MAX(0,Inputs!$B$44-((R1439-1)*Skills!D5))))/Inputs!$B$44),IF(Inputs!$B$39="pvp",MIN((Skills!S5*(1+(Inputs!$B$35+IF(Inputs!$B$3&gt;=117,F1460,0))/100)),15)/15,(Skills!S5*(1+(Inputs!$B$35+IF(Inputs!$B$3&gt;=117,F1460,0))/100))/Skills!D5)),0)+IF(C1445=TRUE,F1445*IF(AND(Inputs!$B$39&lt;&gt;"pvp",Inputs!$B$44&gt;0),(((R1445-1)*(Skills!S11*(1+(Inputs!$B$35+IF(Inputs!$B$3&gt;=117,F1460,0))/100))+MIN((Skills!S11*(1+(Inputs!$B$35+IF(Inputs!$B$3&gt;=117,F1460,0))/100)),MAX(0,Inputs!$B$44-((R1445-1)*Skills!D11))))/Inputs!$B$44),IF(Inputs!$B$39="pvp",MIN((Skills!S11*(1+(Inputs!$B$35+IF(Inputs!$B$3&gt;=117,F1460,0))/100)),15)/15,(Skills!S11*(1+(Inputs!$B$35+IF(Inputs!$B$3&gt;=117,F1460,0))/100))/Skills!D11)),0))/100)*IF(C1448=TRUE,(1+F1448*IF(AND(Inputs!$B$39&lt;&gt;"pvp",Inputs!$B$44&gt;0),(((R1448-1)*(Skills!S14*(1+(Inputs!$B$35+IF(Inputs!$B$3&gt;=117,F1460,0))/100))+MIN((Skills!S14*(1+(Inputs!$B$35+IF(Inputs!$B$3&gt;=117,F1460,0))/100)),MAX(0,Inputs!$B$44-((R1448-1)*Skills!D14))))/Inputs!$B$44),IF(Inputs!$B$39="pvp",MIN((Skills!S14*(1+(Inputs!$B$35+IF(Inputs!$B$3&gt;=117,F1460,0))/100)),15)/15,(Skills!S14*(1+(Inputs!$B$35+IF(Inputs!$B$3&gt;=117,F1460,0))/100))/Skills!D14))/100),1)*IF(C1453=TRUE,(1+F1453*IF(AND(Inputs!$B$39&lt;&gt;"pvp",Inputs!$B$44&gt;0),(((R1453-1)*(Skills!S19*(1+(Inputs!$B$35+IF(Inputs!$B$3&gt;=117,F1460,0))/100))+MIN((Skills!S19*(1+(Inputs!$B$35+IF(Inputs!$B$3&gt;=117,F1460,0))/100)),MAX(0,Inputs!$B$44-((R1453-1)*Skills!D19))))/Inputs!$B$44),IF(Inputs!$B$39="pvp",MIN((Skills!S19*(1+(Inputs!$B$35+IF(Inputs!$B$3&gt;=117,F1460,0))/100)),15)/15,(Skills!S19*(1+(Inputs!$B$35+IF(Inputs!$B$3&gt;=117,F1460,0))/100))/Skills!D19))/100),1)</f>
        <v/>
      </c>
    </row>
    <row r="1464">
      <c r="A1464" t="inlineStr">
        <is>
          <t>Monster Damage Taken Bonus % (Holy Fountain)</t>
        </is>
      </c>
      <c r="B1464">
        <f>IF(Inputs!$B$3&gt;=68,20*IF(Inputs!$B$39="pvp",MIN((15*(1+(Inputs!$B$35+IF(Inputs!$B$3&gt;=117,F1460,0))/100)),15)/15,(15*(1+(Inputs!$B$35+IF(Inputs!$B$3&gt;=117,F1460,0))/100))/Skills!D10),0)</f>
        <v/>
      </c>
    </row>
    <row r="1465">
      <c r="A1465" t="inlineStr">
        <is>
          <t>Normal Monster Damage Bonus % (Holy Symbol)</t>
        </is>
      </c>
      <c r="B1465">
        <f>IF(C1446=TRUE,F1446*IF(AND(Inputs!$B$39&lt;&gt;"pvp",Inputs!$B$44&gt;0),(((R1446-1)*(Skills!S12*(1+(Inputs!$B$35+IF(Inputs!$B$3&gt;=117,F1460,0))/100))+MIN((Skills!S12*(1+(Inputs!$B$35+IF(Inputs!$B$3&gt;=117,F1460,0))/100)),MAX(0,Inputs!$B$44-((R1446-1)*Skills!D12))))/Inputs!$B$44),IF(Inputs!$B$39="pvp",MIN((Skills!S12*(1+(Inputs!$B$35+IF(Inputs!$B$3&gt;=117,F1460,0))/100)),15)/15,(Skills!S12*(1+(Inputs!$B$35+IF(Inputs!$B$3&gt;=117,F1460,0))/100))/Skills!D12)),0)</f>
        <v/>
      </c>
    </row>
    <row r="1466">
      <c r="A1466" t="inlineStr">
        <is>
          <t>Damage % Bonus (Holy Symbol - Damage Boost)</t>
        </is>
      </c>
      <c r="B1466">
        <f>Skills!O12</f>
        <v/>
      </c>
    </row>
    <row r="1467">
      <c r="A1467" t="inlineStr">
        <is>
          <t>Crit Damage % Bonus (Blood of the Divine)</t>
        </is>
      </c>
      <c r="B1467">
        <f>4*IF(C1454=TRUE,F1454,0)</f>
        <v/>
      </c>
    </row>
    <row r="1468">
      <c r="A1468" t="inlineStr">
        <is>
          <t>Attack Speed Bonus %</t>
        </is>
      </c>
      <c r="B1468">
        <f>IF(C1451=TRUE,F1451+(F1455-Calc!F21),0)+IF(Inputs!$B$3&gt;=134,15,0)</f>
        <v/>
      </c>
    </row>
    <row r="1469">
      <c r="A1469" t="inlineStr">
        <is>
          <t>Actions Per Second</t>
        </is>
      </c>
      <c r="B1469">
        <f>1+MIN(150,150*(1-(1-Inputs!$B$12/150)*(1-B1468/150)))/100</f>
        <v/>
      </c>
    </row>
    <row r="1470">
      <c r="A1470" t="inlineStr">
        <is>
          <t>Skill + Buff Cast Rate</t>
        </is>
      </c>
      <c r="B1470">
        <f>IF(AND(Inputs!$B$39&lt;&gt;"pvp",Inputs!$B$44&gt;0),SUMPRODUCT((Skills!E2:E27=TRUE)*(C1436:C1461=TRUE)*R1436:R1461)/Inputs!$B$44,SUMPRODUCT((Skills!E2:E27=TRUE)*(C1436:C1461=TRUE)*Q1436:Q1461))</f>
        <v/>
      </c>
    </row>
    <row r="1471">
      <c r="A1471" t="inlineStr">
        <is>
          <t>Big Bang Casts Per Second</t>
        </is>
      </c>
      <c r="B1471">
        <f>MAX(0,B1469-B1470)</f>
        <v/>
      </c>
    </row>
    <row r="1472">
      <c r="A1472" t="inlineStr">
        <is>
          <t>Defense % Bonus (Divine Protection)</t>
        </is>
      </c>
      <c r="B1472">
        <f>IF(C1447=TRUE,F1447*IF(AND(Inputs!$B$39&lt;&gt;"pvp",Inputs!$B$44&gt;0),(((R1447-1)*(Skills!S13*(1+(Inputs!$B$35+IF(Inputs!$B$3&gt;=117,F1460,0))/100))+MIN((Skills!S13*(1+(Inputs!$B$35+IF(Inputs!$B$3&gt;=117,F1460,0))/100)),MAX(0,Inputs!$B$44-((R1447-1)*Skills!D13))))/Inputs!$B$44),IF(Inputs!$B$39="pvp",MIN((Skills!S13*(1+(Inputs!$B$35+IF(Inputs!$B$3&gt;=117,F1460,0))/100)),15)/15,(Skills!S13*(1+(Inputs!$B$35+IF(Inputs!$B$3&gt;=117,F1460,0))/100))/Skills!D13)),0)</f>
        <v/>
      </c>
    </row>
    <row r="1473">
      <c r="A1473" t="inlineStr">
        <is>
          <t>Buff-Casting Startup Delay (s, fixed-duration only)</t>
        </is>
      </c>
      <c r="B1473">
        <f>IF(AND(Inputs!$B$39&lt;&gt;"pvp",Inputs!$B$44&gt;0),SUMPRODUCT((Skills!S2:S27&gt;0)*(Skills!E2:E27=TRUE)*(C1436:C1461=TRUE))/B1469,0)</f>
        <v/>
      </c>
    </row>
    <row r="1474">
      <c r="A1474" s="5" t="inlineStr">
        <is>
          <t>TOTAL DPS</t>
        </is>
      </c>
      <c r="B1474" s="5">
        <f>SUM(O1436:O1461)</f>
        <v/>
      </c>
    </row>
    <row r="1476">
      <c r="A1476" s="5" t="inlineStr">
        <is>
          <t>Stat: CDR = 4.0s</t>
        </is>
      </c>
    </row>
    <row r="1477">
      <c r="A1477" s="9" t="inlineStr">
        <is>
          <t>Key</t>
        </is>
      </c>
      <c r="B1477" s="9" t="inlineStr">
        <is>
          <t>Name</t>
        </is>
      </c>
      <c r="C1477" s="9" t="inlineStr">
        <is>
          <t>Unlocked</t>
        </is>
      </c>
      <c r="D1477" s="9" t="inlineStr">
        <is>
          <t>InputLevel</t>
        </is>
      </c>
      <c r="E1477" s="9" t="inlineStr">
        <is>
          <t>Factor</t>
        </is>
      </c>
      <c r="F1477" s="9" t="inlineStr">
        <is>
          <t>CoefficientPercent</t>
        </is>
      </c>
      <c r="G1477" s="9" t="inlineStr">
        <is>
          <t>EffectiveHits</t>
        </is>
      </c>
      <c r="H1477" s="9" t="inlineStr">
        <is>
          <t>ProcProbability</t>
        </is>
      </c>
      <c r="I1477" s="9" t="inlineStr">
        <is>
          <t>MapleHeroMultiplier</t>
        </is>
      </c>
      <c r="J1477" s="9" t="inlineStr">
        <is>
          <t>BaseDamage</t>
        </is>
      </c>
      <c r="K1477" s="9" t="inlineStr">
        <is>
          <t>BaseHitDamage</t>
        </is>
      </c>
      <c r="L1477" s="9" t="inlineStr">
        <is>
          <t>NonCritAvg</t>
        </is>
      </c>
      <c r="M1477" s="9" t="inlineStr">
        <is>
          <t>CritAvg</t>
        </is>
      </c>
      <c r="N1477" s="9" t="inlineStr">
        <is>
          <t>ExpectedDamage(perHit)</t>
        </is>
      </c>
      <c r="O1477" s="9" t="inlineStr">
        <is>
          <t>DPS</t>
        </is>
      </c>
      <c r="P1477" s="9" t="inlineStr">
        <is>
          <t>% of Total</t>
        </is>
      </c>
      <c r="R1477" t="inlineStr">
        <is>
          <t>helpers</t>
        </is>
      </c>
    </row>
    <row r="1478">
      <c r="A1478">
        <f>Skills!A2</f>
        <v/>
      </c>
      <c r="B1478">
        <f>Skills!B2</f>
        <v/>
      </c>
      <c r="C1478">
        <f>Inputs!$B$3&gt;=100</f>
        <v/>
      </c>
      <c r="D1478" t="inlineStr"/>
      <c r="E1478" t="inlineStr"/>
      <c r="F1478">
        <f>T1480+Skills!N2</f>
        <v/>
      </c>
      <c r="G1478">
        <f>Calc!G2</f>
        <v/>
      </c>
      <c r="H1478">
        <f>Calc!H2</f>
        <v/>
      </c>
      <c r="I1478">
        <f>IF(Skills!T2&lt;&gt;"",1+(Skills!T2/10)*($Z$3/1000)/100,1)</f>
        <v/>
      </c>
      <c r="J1478">
        <f>((Inputs!$B$6*(1+Inputs!$B$7/100))+(((Inputs!$B$13*(1+Inputs!$B$14/100))-(Inputs!$B$13*(1+Inputs!$B$14/100)))+0.25*(Inputs!$B$15-Inputs!$B$15))*(1+Inputs!$B$7/100))*(F1478/100)</f>
        <v/>
      </c>
      <c r="K1478">
        <f>J1478*(1+(((Inputs!$B$13+IF(Inputs!$B$3&gt;=35,(10*INDEX(FactorTable!$B$2:$Y$301, MATCH(ROUND(MIN(300,MAX(1,Inputs!$B$3)),0), FactorTable!$A$2:$A$301,0), 23)/1000)/100*(Inputs!$B$8*(1+(Inputs!$B$9+B1514)/100)),0))*(1+Inputs!$B$14/100))*0.01+Inputs!$B$15*0.0025)/100)*(1+(Inputs!$B$16+B1508)/100)*(1+IF(Inputs!$B$39="pvp",0,(1-Summary!$B$48)*(Inputs!$B$21+Skills!O2+B1506)+Summary!$B$48*(Inputs!$B$22+Skills!P2+B1507))/100)*(1+Inputs!$B$17/100)*(5000/(6000+Inputs!$B$43*(1-Inputs!$B$20/100)))*(1+Inputs!$B$25/100)*(1+IF(C1494=TRUE,F1494,0)/100)*(1+IF(C1496=TRUE,F1496,0)/100)*(1+IF(Skills!A2="TRIUMPH_FEATHER",IF(C1492=TRUE,F1492,0),0)/100)*(1+IF(C1503=TRUE,F1503,0)/100)^5*(1+(IF(Skills!A2="BIG_BANG",Inputs!$B$18,Inputs!$B$19))/100)*(B1505*I1478)</f>
        <v/>
      </c>
      <c r="L1478">
        <f>K1478*(MIN(Inputs!$B$23+(F1498-Calc!F22),Inputs!$B$24)/100+Inputs!$B$24/100)/2</f>
        <v/>
      </c>
      <c r="M1478">
        <f>L1478*(1+(Inputs!$B$11+B1509+(F1501-Calc!F25))/100)</f>
        <v/>
      </c>
      <c r="N1478">
        <f>L1478*(1-MIN(Inputs!$B$10+((F1500-Calc!F24)+(F1499-Calc!F23)),100)/100)+M1478*(MIN(Inputs!$B$10+((F1500-Calc!F24)+(F1499-Calc!F23)),100)/100)</f>
        <v/>
      </c>
      <c r="O1478">
        <f>IF(C1478,Skills!F2*N1478*B1513*IF(Inputs!$B$39="pvp",1,(1-Summary!$B$48)*(1)+Summary!$B$48*(MIN((6+Inputs!$B$34),Inputs!$B$38))),0)</f>
        <v/>
      </c>
      <c r="P1478">
        <f>IF(B1516=0,0,O1478/B1516)</f>
        <v/>
      </c>
      <c r="Q1478">
        <f>IFERROR(1/IF(Inputs!$B$39="pvp",15,MAX(0.1,Skills!D2-IF(Skills!E2=TRUE,4.0,0))),0)</f>
        <v/>
      </c>
      <c r="R1478" t="n">
        <v>0</v>
      </c>
      <c r="T1478">
        <f>MAX(0,(Inputs!$B$3-100)*3)+Inputs!$B$29+Inputs!$B$30</f>
        <v/>
      </c>
    </row>
    <row r="1479">
      <c r="A1479">
        <f>Skills!A3</f>
        <v/>
      </c>
      <c r="B1479">
        <f>Skills!B3</f>
        <v/>
      </c>
      <c r="C1479">
        <f>Inputs!$B$3&gt;=15</f>
        <v/>
      </c>
      <c r="D1479">
        <f>IF(Skills!C3=1,60+Inputs!$B$26+Inputs!$B$30,IF(Skills!C3=2,90+Inputs!$B$27+Inputs!$B$30,IF(Skills!C3=3,120+Inputs!$B$28+Inputs!$B$30,MAX(0,(Inputs!$B$3-100)*3)+Inputs!$B$29+Inputs!$B$30)))</f>
        <v/>
      </c>
      <c r="E1479">
        <f>INDEX(FactorTable!$B$2:$Y$301, MATCH(ROUND(MIN(300,MAX(1,D1479)),0), FactorTable!$A$2:$A$301,0), Skills!L3+1)</f>
        <v/>
      </c>
      <c r="F1479">
        <f>IF(Skills!M3=TRUE,(Skills!K3/10)*(E1479/1000),Skills!K3/10)+Skills!N3</f>
        <v/>
      </c>
      <c r="G1479">
        <f>Calc!G3</f>
        <v/>
      </c>
      <c r="H1479">
        <f>Calc!H3</f>
        <v/>
      </c>
      <c r="I1479">
        <f>IF(Skills!T3&lt;&gt;"",1+(Skills!T3/10)*($Z$3/1000)/100,1)</f>
        <v/>
      </c>
      <c r="J1479" t="inlineStr"/>
      <c r="K1479" t="inlineStr"/>
      <c r="L1479" t="inlineStr"/>
      <c r="M1479" t="inlineStr"/>
      <c r="N1479" t="inlineStr"/>
      <c r="O1479" t="n">
        <v>0</v>
      </c>
      <c r="P1479">
        <f>IF(B1516=0,0,O1479/B1516)</f>
        <v/>
      </c>
      <c r="Q1479">
        <f>IFERROR(1/IF(Inputs!$B$39="pvp",15,MAX(0.1,Skills!D3-IF(Skills!E3=TRUE,4.0,0))),0)</f>
        <v/>
      </c>
      <c r="R1479">
        <f>IF(AND(Inputs!$B$39&lt;&gt;"pvp",Inputs!$B$44&gt;0),IF(Inputs!$B$44&lt;=0,0,(INT(Inputs!$B$44/IF(Inputs!$B$39="pvp",15,MAX(0.1,Skills!D3-IF(Skills!E3=TRUE,4.0,0))))+1)),0)</f>
        <v/>
      </c>
      <c r="T1479">
        <f>INDEX(FactorTable!$B$2:$Y$301, MATCH(ROUND(MIN(300,MAX(1,T1478)),0), FactorTable!$A$2:$A$301,0), 22)</f>
        <v/>
      </c>
    </row>
    <row r="1480">
      <c r="A1480">
        <f>Skills!A4</f>
        <v/>
      </c>
      <c r="B1480">
        <f>Skills!B4</f>
        <v/>
      </c>
      <c r="C1480">
        <f>Inputs!$B$3&gt;=38</f>
        <v/>
      </c>
      <c r="D1480">
        <f>IF(Skills!C4=1,60+Inputs!$B$26+Inputs!$B$30,IF(Skills!C4=2,90+Inputs!$B$27+Inputs!$B$30,IF(Skills!C4=3,120+Inputs!$B$28+Inputs!$B$30,MAX(0,(Inputs!$B$3-100)*3)+Inputs!$B$29+Inputs!$B$30)))</f>
        <v/>
      </c>
      <c r="E1480">
        <f>INDEX(FactorTable!$B$2:$Y$301, MATCH(ROUND(MIN(300,MAX(1,D1480)),0), FactorTable!$A$2:$A$301,0), Skills!L4+1)</f>
        <v/>
      </c>
      <c r="F1480">
        <f>IF(Skills!M4=TRUE,(Skills!K4/10)*(E1480/1000),Skills!K4/10)+Skills!N4</f>
        <v/>
      </c>
      <c r="G1480">
        <f>Calc!G4</f>
        <v/>
      </c>
      <c r="H1480">
        <f>Calc!H4</f>
        <v/>
      </c>
      <c r="I1480">
        <f>IF(Skills!T4&lt;&gt;"",1+(Skills!T4/10)*($Z$3/1000)/100,1)</f>
        <v/>
      </c>
      <c r="J1480" t="inlineStr"/>
      <c r="K1480" t="inlineStr"/>
      <c r="L1480" t="inlineStr"/>
      <c r="M1480" t="inlineStr"/>
      <c r="N1480" t="inlineStr"/>
      <c r="O1480" t="n">
        <v>0</v>
      </c>
      <c r="P1480">
        <f>IF(B1516=0,0,O1480/B1516)</f>
        <v/>
      </c>
      <c r="Q1480">
        <f>IFERROR(1/IF(Inputs!$B$39="pvp",15,MAX(0.1,Skills!D4-IF(Skills!E4=TRUE,4.0,0))),0)</f>
        <v/>
      </c>
      <c r="R1480">
        <f>IF(AND(Inputs!$B$39&lt;&gt;"pvp",Inputs!$B$44&gt;0),IF(Inputs!$B$44&lt;=0,0,(INT(Inputs!$B$44/IF(Inputs!$B$39="pvp",15,MAX(0.1,Skills!D4-IF(Skills!E4=TRUE,4.0,0))))+1)),0)</f>
        <v/>
      </c>
      <c r="T1480">
        <f>290*T1479/1000</f>
        <v/>
      </c>
    </row>
    <row r="1481">
      <c r="A1481">
        <f>Skills!A5</f>
        <v/>
      </c>
      <c r="B1481">
        <f>Skills!B5</f>
        <v/>
      </c>
      <c r="C1481">
        <f>Inputs!$B$3&gt;=40</f>
        <v/>
      </c>
      <c r="D1481">
        <f>IF(Skills!C5=1,60+Inputs!$B$26+Inputs!$B$30,IF(Skills!C5=2,90+Inputs!$B$27+Inputs!$B$30,IF(Skills!C5=3,120+Inputs!$B$28+Inputs!$B$30,MAX(0,(Inputs!$B$3-100)*3)+Inputs!$B$29+Inputs!$B$30)))</f>
        <v/>
      </c>
      <c r="E1481">
        <f>INDEX(FactorTable!$B$2:$Y$301, MATCH(ROUND(MIN(300,MAX(1,D1481)),0), FactorTable!$A$2:$A$301,0), Skills!L5+1)</f>
        <v/>
      </c>
      <c r="F1481">
        <f>IF(Skills!M5=TRUE,(Skills!K5/10)*(E1481/1000),Skills!K5/10)+Skills!N5</f>
        <v/>
      </c>
      <c r="G1481">
        <f>Calc!G5</f>
        <v/>
      </c>
      <c r="H1481">
        <f>Calc!H5</f>
        <v/>
      </c>
      <c r="I1481">
        <f>IF(Skills!T5&lt;&gt;"",1+(Skills!T5/10)*($Z$3/1000)/100,1)</f>
        <v/>
      </c>
      <c r="J1481" t="inlineStr"/>
      <c r="K1481" t="inlineStr"/>
      <c r="L1481" t="inlineStr"/>
      <c r="M1481" t="inlineStr"/>
      <c r="N1481" t="inlineStr"/>
      <c r="O1481" t="n">
        <v>0</v>
      </c>
      <c r="P1481">
        <f>IF(B1516=0,0,O1481/B1516)</f>
        <v/>
      </c>
      <c r="Q1481">
        <f>IFERROR(1/IF(Inputs!$B$39="pvp",15,MAX(0.1,Skills!D5-IF(Skills!E5=TRUE,4.0,0))),0)</f>
        <v/>
      </c>
      <c r="R1481">
        <f>IF(AND(Inputs!$B$39&lt;&gt;"pvp",Inputs!$B$44&gt;0),IF(Inputs!$B$44&lt;=0,0,(INT(Inputs!$B$44/IF(Inputs!$B$39="pvp",15,MAX(0.1,Skills!D5-IF(Skills!E5=TRUE,4.0,0))))+1)),0)</f>
        <v/>
      </c>
    </row>
    <row r="1482">
      <c r="A1482">
        <f>Skills!A6</f>
        <v/>
      </c>
      <c r="B1482">
        <f>Skills!B6</f>
        <v/>
      </c>
      <c r="C1482">
        <f>Inputs!$B$3&gt;=103</f>
        <v/>
      </c>
      <c r="D1482">
        <f>IF(Skills!C6=1,60+Inputs!$B$26+Inputs!$B$30,IF(Skills!C6=2,90+Inputs!$B$27+Inputs!$B$30,IF(Skills!C6=3,120+Inputs!$B$28+Inputs!$B$30,MAX(0,(Inputs!$B$3-100)*3)+Inputs!$B$29+Inputs!$B$30)))</f>
        <v/>
      </c>
      <c r="E1482">
        <f>INDEX(FactorTable!$B$2:$Y$301, MATCH(ROUND(MIN(300,MAX(1,D1482)),0), FactorTable!$A$2:$A$301,0), Skills!L6+1)</f>
        <v/>
      </c>
      <c r="F1482">
        <f>IF(Skills!M6=TRUE,(Skills!K6/10)*(E1482/1000),Skills!K6/10)+Skills!N6</f>
        <v/>
      </c>
      <c r="G1482">
        <f>Calc!G6</f>
        <v/>
      </c>
      <c r="H1482">
        <f>Calc!H6</f>
        <v/>
      </c>
      <c r="I1482">
        <f>IF(Skills!T6&lt;&gt;"",1+(Skills!T6/10)*($Z$3/1000)/100,1)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1514)/100)),0))*(1+Inputs!$B$14/100))*0.01+Inputs!$B$15*0.0025)/100)*(1+(Inputs!$B$16+B1508)/100)*(1+IF(Inputs!$B$39="pvp",0,(1-Summary!$B$48)*(Inputs!$B$21+Skills!O6+B1506)+Summary!$B$48*(Inputs!$B$22+Skills!P6+B1507))/100)*(1+Inputs!$B$17/100)*(5000/(6000+Inputs!$B$43*(1-Inputs!$B$20/100)))*(1+Inputs!$B$25/100)*(1+IF(C1494=TRUE,F1494,0)/100)*(1+IF(C1496=TRUE,F1496,0)/100)*(1+IF(Skills!A6="TRIUMPH_FEATHER",IF(C1492=TRUE,F1492,0),0)/100)*(1+IF(C1503=TRUE,F1503,0)/100)^5*(1+(IF(Skills!A6="BIG_BANG",Inputs!$B$18,Inputs!$B$19))/100)*(B1505*I1482)</f>
        <v/>
      </c>
      <c r="L1482">
        <f>K1482*(MIN(Inputs!$B$23+(F1498-Calc!F22),Inputs!$B$24)/100+Inputs!$B$24/100)/2</f>
        <v/>
      </c>
      <c r="M1482">
        <f>L1482*(1+(Inputs!$B$11+B1509+(F1501-Calc!F25))/100)</f>
        <v/>
      </c>
      <c r="N1482">
        <f>L1482*(1-MIN(Inputs!$B$10+((F1500-Calc!F24)+(F1499-Calc!F23)),100)/100)+M1482*(MIN(Inputs!$B$10+((F1500-Calc!F24)+(F1499-Calc!F23)),100)/100)</f>
        <v/>
      </c>
      <c r="O1482">
        <f>IF(C1482,H1482*N1482*IF(AND(Inputs!$B$39&lt;&gt;"pvp",Inputs!$B$44&gt;0),((Skills!F6*((R1482-1)*IF(Skills!G6&gt;0,Skills!H6/Skills!G6,1)+IF(Skills!G6&gt;0,MIN(Skills!H6,MAX(0,MAX(0,Inputs!$B$44-B1515)-((R1482-1)*IF(Inputs!$B$39="pvp",15,MAX(0.1,Skills!D6-IF(Skills!E6=TRUE,4.0,0))))))/Skills!G6,1)))/Inputs!$B$44),G1482*Q1482)*IF(Inputs!$B$39="pvp",1,(1-Summary!$B$48)*(1)+Summary!$B$48*(MIN(Skills!Q6,Inputs!$B$38))),0)</f>
        <v/>
      </c>
      <c r="P1482">
        <f>IF(B1516=0,0,O1482/B1516)</f>
        <v/>
      </c>
      <c r="Q1482">
        <f>IFERROR(1/IF(Inputs!$B$39="pvp",15,MAX(0.1,Skills!D6-IF(Skills!E6=TRUE,4.0,0))),0)</f>
        <v/>
      </c>
      <c r="R1482">
        <f>IF(AND(Inputs!$B$39&lt;&gt;"pvp",Inputs!$B$44&gt;0),IF(MAX(0,Inputs!$B$44-B1515)&lt;=0,0,(INT(MAX(0,Inputs!$B$44-B1515)/IF(Inputs!$B$39="pvp",15,MAX(0.1,Skills!D6-IF(Skills!E6=TRUE,4.0,0))))+1)),0)</f>
        <v/>
      </c>
    </row>
    <row r="1483">
      <c r="A1483">
        <f>Skills!A7</f>
        <v/>
      </c>
      <c r="B1483">
        <f>Skills!B7</f>
        <v/>
      </c>
      <c r="C1483">
        <f>Inputs!$B$3&gt;=122</f>
        <v/>
      </c>
      <c r="D1483">
        <f>IF(Skills!C7=1,60+Inputs!$B$26+Inputs!$B$30,IF(Skills!C7=2,90+Inputs!$B$27+Inputs!$B$30,IF(Skills!C7=3,120+Inputs!$B$28+Inputs!$B$30,MAX(0,(Inputs!$B$3-100)*3)+Inputs!$B$29+Inputs!$B$30)))</f>
        <v/>
      </c>
      <c r="E1483">
        <f>INDEX(FactorTable!$B$2:$Y$301, MATCH(ROUND(MIN(300,MAX(1,D1483)),0), FactorTable!$A$2:$A$301,0), Skills!L7+1)</f>
        <v/>
      </c>
      <c r="F1483">
        <f>IF(Skills!M7=TRUE,(Skills!K7/10)*(E1483/1000),Skills!K7/10)+Skills!N7</f>
        <v/>
      </c>
      <c r="G1483">
        <f>Calc!G7</f>
        <v/>
      </c>
      <c r="H1483">
        <f>Calc!H7</f>
        <v/>
      </c>
      <c r="I1483">
        <f>IF(Skills!T7&lt;&gt;"",1+(Skills!T7/10)*($Z$3/1000)/100,1)</f>
        <v/>
      </c>
      <c r="J1483">
        <f>((Inputs!$B$6*(1+Inputs!$B$7/100))+(((Inputs!$B$13*(1+Inputs!$B$14/100))-(Inputs!$B$13*(1+Inputs!$B$14/100)))+0.25*(Inputs!$B$15-Inputs!$B$15))*(1+Inputs!$B$7/100))*(F1483/100)</f>
        <v/>
      </c>
      <c r="K1483">
        <f>J1483*(1+(((Inputs!$B$13+IF(Inputs!$B$3&gt;=35,(10*INDEX(FactorTable!$B$2:$Y$301, MATCH(ROUND(MIN(300,MAX(1,Inputs!$B$3)),0), FactorTable!$A$2:$A$301,0), 23)/1000)/100*(Inputs!$B$8*(1+(Inputs!$B$9+B1514)/100)),0))*(1+Inputs!$B$14/100))*0.01+Inputs!$B$15*0.0025)/100)*(1+(Inputs!$B$16+B1508)/100)*(1+IF(Inputs!$B$39="pvp",0,(1-Summary!$B$48)*(Inputs!$B$21+Skills!O7+B1506)+Summary!$B$48*(Inputs!$B$22+Skills!P7+B1507))/100)*(1+Inputs!$B$17/100)*(5000/(6000+Inputs!$B$43*(1-Inputs!$B$20/100)))*(1+Inputs!$B$25/100)*(1+IF(C1494=TRUE,F1494,0)/100)*(1+IF(C1496=TRUE,F1496,0)/100)*(1+IF(Skills!A7="TRIUMPH_FEATHER",IF(C1492=TRUE,F1492,0),0)/100)*(1+IF(C1503=TRUE,F1503,0)/100)^5*(1+(IF(Skills!A7="BIG_BANG",Inputs!$B$18,Inputs!$B$19))/100)*(B1505*I1483)</f>
        <v/>
      </c>
      <c r="L1483">
        <f>K1483*(MIN(Inputs!$B$23+(F1498-Calc!F22),Inputs!$B$24)/100+Inputs!$B$24/100)/2</f>
        <v/>
      </c>
      <c r="M1483">
        <f>L1483*(1+(Inputs!$B$11+B1509+(F1501-Calc!F25))/100)</f>
        <v/>
      </c>
      <c r="N1483">
        <f>L1483*(1-MIN(Inputs!$B$10+((F1500-Calc!F24)+(F1499-Calc!F23)),100)/100)+M1483*(MIN(Inputs!$B$10+((F1500-Calc!F24)+(F1499-Calc!F23)),100)/100)</f>
        <v/>
      </c>
      <c r="O1483">
        <f>IF(C1483,H1483*N1483*IF(AND(Inputs!$B$39&lt;&gt;"pvp",Inputs!$B$44&gt;0),((Skills!F7*((R1483-1)*IF(Skills!G7&gt;0,Skills!H7/Skills!G7,1)+IF(Skills!G7&gt;0,MIN(Skills!H7,MAX(0,MAX(0,Inputs!$B$44-B1515)-((R1483-1)*IF(Inputs!$B$39="pvp",15,MAX(0.1,Skills!D7-IF(Skills!E6=TRUE,4.0,0))))))/Skills!G7,1)))/Inputs!$B$44),G1483*Q1483)*(1-Summary!$B$48),0)</f>
        <v/>
      </c>
      <c r="P1483">
        <f>IF(B1516=0,0,O1483/B1516)</f>
        <v/>
      </c>
      <c r="Q1483">
        <f>IFERROR(1/IF(Inputs!$B$39="pvp",15,MAX(0.1,Skills!D7-IF(Skills!E6=TRUE,4.0,0))),0)</f>
        <v/>
      </c>
      <c r="R1483">
        <f>IF(AND(Inputs!$B$39&lt;&gt;"pvp",Inputs!$B$44&gt;0),IF(MAX(0,Inputs!$B$44-B1515)&lt;=0,0,(INT(MAX(0,Inputs!$B$44-B1515)/IF(Inputs!$B$39="pvp",15,MAX(0.1,Skills!D7-IF(Skills!E6=TRUE,4.0,0))))+1)),0)</f>
        <v/>
      </c>
    </row>
    <row r="1484">
      <c r="A1484">
        <f>Skills!A8</f>
        <v/>
      </c>
      <c r="B1484">
        <f>Skills!B8</f>
        <v/>
      </c>
      <c r="C1484">
        <f>Inputs!$B$3&gt;=105</f>
        <v/>
      </c>
      <c r="D1484">
        <f>IF(Skills!C8=1,60+Inputs!$B$26+Inputs!$B$30,IF(Skills!C8=2,90+Inputs!$B$27+Inputs!$B$30,IF(Skills!C8=3,120+Inputs!$B$28+Inputs!$B$30,MAX(0,(Inputs!$B$3-100)*3)+Inputs!$B$29+Inputs!$B$30)))</f>
        <v/>
      </c>
      <c r="E1484">
        <f>INDEX(FactorTable!$B$2:$Y$301, MATCH(ROUND(MIN(300,MAX(1,D1484)),0), FactorTable!$A$2:$A$301,0), Skills!L8+1)</f>
        <v/>
      </c>
      <c r="F1484">
        <f>IF(Skills!M8=TRUE,(Skills!K8/10)*(E1484/1000),Skills!K8/10)+Skills!N8</f>
        <v/>
      </c>
      <c r="G1484">
        <f>Calc!G8</f>
        <v/>
      </c>
      <c r="H1484">
        <f>Calc!H8</f>
        <v/>
      </c>
      <c r="I1484">
        <f>IF(Skills!T8&lt;&gt;"",1+(Skills!T8/10)*($Z$3/1000)/100,1)</f>
        <v/>
      </c>
      <c r="J1484">
        <f>((Inputs!$B$6*(1+Inputs!$B$7/100))+(((Inputs!$B$13*(1+Inputs!$B$14/100))-(Inputs!$B$13*(1+Inputs!$B$14/100)))+0.25*(Inputs!$B$15-Inputs!$B$15))*(1+Inputs!$B$7/100))*(F1484/100)</f>
        <v/>
      </c>
      <c r="K1484">
        <f>J1484*(1+(((Inputs!$B$13+IF(Inputs!$B$3&gt;=35,(10*INDEX(FactorTable!$B$2:$Y$301, MATCH(ROUND(MIN(300,MAX(1,Inputs!$B$3)),0), FactorTable!$A$2:$A$301,0), 23)/1000)/100*(Inputs!$B$8*(1+(Inputs!$B$9+B1514)/100)),0))*(1+Inputs!$B$14/100))*0.01+Inputs!$B$15*0.0025)/100)*(1+(Inputs!$B$16+B1508)/100)*(1+IF(Inputs!$B$39="pvp",0,(1-Summary!$B$48)*(Inputs!$B$21+Skills!O8+B1506)+Summary!$B$48*(Inputs!$B$22+Skills!P8+B1507))/100)*(1+Inputs!$B$17/100)*(5000/(6000+Inputs!$B$43*(1-Inputs!$B$20/100)))*(1+Inputs!$B$25/100)*(1+IF(C1494=TRUE,F1494,0)/100)*(1+IF(C1496=TRUE,F1496,0)/100)*(1+IF(Skills!A8="TRIUMPH_FEATHER",IF(C1492=TRUE,F1492,0),0)/100)*(1+IF(C1503=TRUE,F1503,0)/100)^5*(1+(IF(Skills!A8="BIG_BANG",Inputs!$B$18,Inputs!$B$19))/100)*(B1505*I1484)</f>
        <v/>
      </c>
      <c r="L1484">
        <f>K1484*(MIN(Inputs!$B$23+(F1498-Calc!F22),Inputs!$B$24)/100+Inputs!$B$24/100)/2</f>
        <v/>
      </c>
      <c r="M1484">
        <f>L1484*(1+(Inputs!$B$11+B1509+(F1501-Calc!F25))/100)</f>
        <v/>
      </c>
      <c r="N1484">
        <f>L1484*(1-MIN(Inputs!$B$10+((F1500-Calc!F24)+(F1499-Calc!F23)),100)/100)+M1484*(MIN(Inputs!$B$10+((F1500-Calc!F24)+(F1499-Calc!F23)),100)/100)</f>
        <v/>
      </c>
      <c r="O1484">
        <f>IF(C1484,H1484*N1484*IF(AND(Inputs!$B$39&lt;&gt;"pvp",Inputs!$B$44&gt;0),((Skills!F8*((R1484-1)*IF(Skills!G8&gt;0,Skills!H8/Skills!G8,1)+IF(Skills!G8&gt;0,MIN(Skills!H8,MAX(0,MAX(0,Inputs!$B$44-B1515)-((R1484-1)*IF(Inputs!$B$39="pvp",15,MAX(0.1,Skills!D8-IF(Skills!E8=TRUE,4.0,0))))))/Skills!G8,1)))/Inputs!$B$44),G1484*Q1484)*IF(Inputs!$B$39="pvp",1,(1-Summary!$B$48)*(1)+Summary!$B$48*(MIN(Skills!Q8,Inputs!$B$38))),0)</f>
        <v/>
      </c>
      <c r="P1484">
        <f>IF(B1516=0,0,O1484/B1516)</f>
        <v/>
      </c>
      <c r="Q1484">
        <f>IFERROR(1/IF(Inputs!$B$39="pvp",15,MAX(0.1,Skills!D8-IF(Skills!E8=TRUE,4.0,0))),0)</f>
        <v/>
      </c>
      <c r="R1484">
        <f>IF(AND(Inputs!$B$39&lt;&gt;"pvp",Inputs!$B$44&gt;0),IF(MAX(0,Inputs!$B$44-B1515)&lt;=0,0,(INT(MAX(0,Inputs!$B$44-B1515)/IF(Inputs!$B$39="pvp",15,MAX(0.1,Skills!D8-IF(Skills!E8=TRUE,4.0,0))))+1)),0)</f>
        <v/>
      </c>
    </row>
    <row r="1485">
      <c r="A1485">
        <f>Skills!A9</f>
        <v/>
      </c>
      <c r="B1485">
        <f>Skills!B9</f>
        <v/>
      </c>
      <c r="C1485">
        <f>Inputs!$B$3&gt;=115</f>
        <v/>
      </c>
      <c r="D1485">
        <f>IF(Skills!C9=1,60+Inputs!$B$26+Inputs!$B$30,IF(Skills!C9=2,90+Inputs!$B$27+Inputs!$B$30,IF(Skills!C9=3,120+Inputs!$B$28+Inputs!$B$30,MAX(0,(Inputs!$B$3-100)*3)+Inputs!$B$29+Inputs!$B$30)))</f>
        <v/>
      </c>
      <c r="E1485">
        <f>INDEX(FactorTable!$B$2:$Y$301, MATCH(ROUND(MIN(300,MAX(1,D1485)),0), FactorTable!$A$2:$A$301,0), Skills!L9+1)</f>
        <v/>
      </c>
      <c r="F1485">
        <f>IF(Skills!M9=TRUE,(Skills!K9/10)*(E1485/1000),Skills!K9/10)+Skills!N9</f>
        <v/>
      </c>
      <c r="G1485">
        <f>Calc!G9</f>
        <v/>
      </c>
      <c r="H1485">
        <f>Calc!H9</f>
        <v/>
      </c>
      <c r="I1485">
        <f>IF(Skills!T9&lt;&gt;"",1+(Skills!T9/10)*($Z$3/1000)/100,1)</f>
        <v/>
      </c>
      <c r="J1485">
        <f>((Inputs!$B$6*(1+Inputs!$B$7/100))+(((Inputs!$B$13*(1+Inputs!$B$14/100))-(Inputs!$B$13*(1+Inputs!$B$14/100)))+0.25*(Inputs!$B$15-Inputs!$B$15))*(1+Inputs!$B$7/100))*(F1485/100)</f>
        <v/>
      </c>
      <c r="K1485">
        <f>J1485*(1+(((Inputs!$B$13+IF(Inputs!$B$3&gt;=35,(10*INDEX(FactorTable!$B$2:$Y$301, MATCH(ROUND(MIN(300,MAX(1,Inputs!$B$3)),0), FactorTable!$A$2:$A$301,0), 23)/1000)/100*(Inputs!$B$8*(1+(Inputs!$B$9+B1514)/100)),0))*(1+Inputs!$B$14/100))*0.01+Inputs!$B$15*0.0025)/100)*(1+(Inputs!$B$16+B1508)/100)*(1+IF(Inputs!$B$39="pvp",0,(1-Summary!$B$48)*(Inputs!$B$21+Skills!O9+B1506)+Summary!$B$48*(Inputs!$B$22+Skills!P9+B1507))/100)*(1+Inputs!$B$17/100)*(5000/(6000+Inputs!$B$43*(1-Inputs!$B$20/100)))*(1+Inputs!$B$25/100)*(1+IF(C1494=TRUE,F1494,0)/100)*(1+IF(C1496=TRUE,F1496,0)/100)*(1+IF(Skills!A9="TRIUMPH_FEATHER",IF(C1492=TRUE,F1492,0),0)/100)*(1+IF(C1503=TRUE,F1503,0)/100)^5*(1+(IF(Skills!A9="BIG_BANG",Inputs!$B$18,Inputs!$B$19))/100)*(B1505*I1485)</f>
        <v/>
      </c>
      <c r="L1485">
        <f>K1485*(MIN(Inputs!$B$23+(F1498-Calc!F22),Inputs!$B$24)/100+Inputs!$B$24/100)/2</f>
        <v/>
      </c>
      <c r="M1485">
        <f>L1485*(1+(Inputs!$B$11+B1509+(F1501-Calc!F25))/100)</f>
        <v/>
      </c>
      <c r="N1485">
        <f>L1485*(1-MIN(Inputs!$B$10+((F1500-Calc!F24)+(F1499-Calc!F23)),100)/100)+M1485*(MIN(Inputs!$B$10+((F1500-Calc!F24)+(F1499-Calc!F23)),100)/100)</f>
        <v/>
      </c>
      <c r="O1485">
        <f>IF(C1485,H1485*N1485*IF(AND(Inputs!$B$39&lt;&gt;"pvp",Inputs!$B$44&gt;0),((Skills!F9*((R1485-1)*IF(Skills!G9&gt;0,Skills!H9/Skills!G9,1)+IF(Skills!G9&gt;0,MIN(Skills!H9,MAX(0,MAX(0,Inputs!$B$44-B1515)-((R1485-1)*IF(Inputs!$B$39="pvp",15,MAX(0.1,Skills!D9-IF(Skills!E9=TRUE,4.0,0))))))/Skills!G9,1)))/Inputs!$B$44),G1485*Q1485)*IF(Inputs!$B$39="pvp",1,(1-Summary!$B$48)*(1)+Summary!$B$48*(MIN(Skills!Q9,Inputs!$B$38))),0)</f>
        <v/>
      </c>
      <c r="P1485">
        <f>IF(B1516=0,0,O1485/B1516)</f>
        <v/>
      </c>
      <c r="Q1485">
        <f>IFERROR(1/IF(Inputs!$B$39="pvp",15,MAX(0.1,Skills!D9-IF(Skills!E9=TRUE,4.0,0))),0)</f>
        <v/>
      </c>
      <c r="R1485">
        <f>IF(AND(Inputs!$B$39&lt;&gt;"pvp",Inputs!$B$44&gt;0),IF(MAX(0,Inputs!$B$44-B1515)&lt;=0,0,(INT(MAX(0,Inputs!$B$44-B1515)/IF(Inputs!$B$39="pvp",15,MAX(0.1,Skills!D9-IF(Skills!E9=TRUE,4.0,0))))+1)),0)</f>
        <v/>
      </c>
    </row>
    <row r="1486">
      <c r="A1486">
        <f>Skills!A10</f>
        <v/>
      </c>
      <c r="B1486">
        <f>Skills!B10</f>
        <v/>
      </c>
      <c r="C1486">
        <f>Inputs!$B$3&gt;=66</f>
        <v/>
      </c>
      <c r="D1486">
        <f>IF(Skills!C10=1,60+Inputs!$B$26+Inputs!$B$30,IF(Skills!C10=2,90+Inputs!$B$27+Inputs!$B$30,IF(Skills!C10=3,120+Inputs!$B$28+Inputs!$B$30,MAX(0,(Inputs!$B$3-100)*3)+Inputs!$B$29+Inputs!$B$30)))</f>
        <v/>
      </c>
      <c r="E1486">
        <f>INDEX(FactorTable!$B$2:$Y$301, MATCH(ROUND(MIN(300,MAX(1,D1486)),0), FactorTable!$A$2:$A$301,0), Skills!L10+1)</f>
        <v/>
      </c>
      <c r="F1486" t="n">
        <v>0</v>
      </c>
      <c r="G1486">
        <f>Calc!G10</f>
        <v/>
      </c>
      <c r="H1486">
        <f>Calc!H10</f>
        <v/>
      </c>
      <c r="I1486">
        <f>IF(Skills!T10&lt;&gt;"",1+(Skills!T10/10)*($Z$3/1000)/100,1)</f>
        <v/>
      </c>
      <c r="J1486" t="inlineStr"/>
      <c r="K1486" t="inlineStr"/>
      <c r="L1486" t="inlineStr"/>
      <c r="M1486" t="inlineStr"/>
      <c r="N1486" t="inlineStr"/>
      <c r="O1486" t="n">
        <v>0</v>
      </c>
      <c r="P1486">
        <f>IF(B1516=0,0,O1486/B1516)</f>
        <v/>
      </c>
      <c r="Q1486">
        <f>IFERROR(1/IF(Inputs!$B$39="pvp",15,MAX(0.1,Skills!D10-IF(Skills!E10=TRUE,4.0,0))),0)</f>
        <v/>
      </c>
      <c r="R1486">
        <f>IF(AND(Inputs!$B$39&lt;&gt;"pvp",Inputs!$B$44&gt;0),IF(MAX(0,Inputs!$B$44-B1515)&lt;=0,0,(INT(MAX(0,Inputs!$B$44-B1515)/IF(Inputs!$B$39="pvp",15,MAX(0.1,Skills!D10-IF(Skills!E10=TRUE,4.0,0))))+1)),0)</f>
        <v/>
      </c>
    </row>
    <row r="1487">
      <c r="A1487">
        <f>Skills!A11</f>
        <v/>
      </c>
      <c r="B1487">
        <f>Skills!B11</f>
        <v/>
      </c>
      <c r="C1487">
        <f>Inputs!$B$3&gt;=69</f>
        <v/>
      </c>
      <c r="D1487">
        <f>IF(Skills!C11=1,60+Inputs!$B$26+Inputs!$B$30,IF(Skills!C11=2,90+Inputs!$B$27+Inputs!$B$30,IF(Skills!C11=3,120+Inputs!$B$28+Inputs!$B$30,MAX(0,(Inputs!$B$3-100)*3)+Inputs!$B$29+Inputs!$B$30)))</f>
        <v/>
      </c>
      <c r="E1487">
        <f>INDEX(FactorTable!$B$2:$Y$301, MATCH(ROUND(MIN(300,MAX(1,D1487)),0), FactorTable!$A$2:$A$301,0), Skills!L11+1)</f>
        <v/>
      </c>
      <c r="F1487">
        <f>IF(Skills!M11=TRUE,(Skills!K11/10)*(E1487/1000),Skills!K11/10)+Skills!N11</f>
        <v/>
      </c>
      <c r="G1487">
        <f>Calc!G11</f>
        <v/>
      </c>
      <c r="H1487">
        <f>Calc!H11</f>
        <v/>
      </c>
      <c r="I1487">
        <f>IF(Skills!T11&lt;&gt;"",1+(Skills!T11/10)*($Z$3/1000)/100,1)</f>
        <v/>
      </c>
      <c r="J1487" t="inlineStr"/>
      <c r="K1487" t="inlineStr"/>
      <c r="L1487" t="inlineStr"/>
      <c r="M1487" t="inlineStr"/>
      <c r="N1487" t="inlineStr"/>
      <c r="O1487" t="n">
        <v>0</v>
      </c>
      <c r="P1487">
        <f>IF(B1516=0,0,O1487/B1516)</f>
        <v/>
      </c>
      <c r="Q1487">
        <f>IFERROR(1/IF(Inputs!$B$39="pvp",15,MAX(0.1,Skills!D11-IF(Skills!E11=TRUE,4.0,0))),0)</f>
        <v/>
      </c>
      <c r="R1487">
        <f>IF(AND(Inputs!$B$39&lt;&gt;"pvp",Inputs!$B$44&gt;0),IF(Inputs!$B$44&lt;=0,0,(INT(Inputs!$B$44/IF(Inputs!$B$39="pvp",15,MAX(0.1,Skills!D11-IF(Skills!E11=TRUE,4.0,0))))+1)),0)</f>
        <v/>
      </c>
    </row>
    <row r="1488">
      <c r="A1488">
        <f>Skills!A12</f>
        <v/>
      </c>
      <c r="B1488">
        <f>Skills!B12</f>
        <v/>
      </c>
      <c r="C1488">
        <f>Inputs!$B$3&gt;=72</f>
        <v/>
      </c>
      <c r="D1488">
        <f>IF(Skills!C12=1,60+Inputs!$B$26+Inputs!$B$30,IF(Skills!C12=2,90+Inputs!$B$27+Inputs!$B$30,IF(Skills!C12=3,120+Inputs!$B$28+Inputs!$B$30,MAX(0,(Inputs!$B$3-100)*3)+Inputs!$B$29+Inputs!$B$30)))</f>
        <v/>
      </c>
      <c r="E1488">
        <f>INDEX(FactorTable!$B$2:$Y$301, MATCH(ROUND(MIN(300,MAX(1,D1488)),0), FactorTable!$A$2:$A$301,0), Skills!L12+1)</f>
        <v/>
      </c>
      <c r="F1488">
        <f>IF(Skills!M12=TRUE,(Skills!K12/10)*(E1488/1000),Skills!K12/10)+Skills!N12</f>
        <v/>
      </c>
      <c r="G1488">
        <f>Calc!G12</f>
        <v/>
      </c>
      <c r="H1488">
        <f>Calc!H12</f>
        <v/>
      </c>
      <c r="I1488">
        <f>IF(Skills!T12&lt;&gt;"",1+(Skills!T12/10)*($Z$3/1000)/100,1)</f>
        <v/>
      </c>
      <c r="J1488" t="inlineStr"/>
      <c r="K1488" t="inlineStr"/>
      <c r="L1488" t="inlineStr"/>
      <c r="M1488" t="inlineStr"/>
      <c r="N1488" t="inlineStr"/>
      <c r="O1488" t="n">
        <v>0</v>
      </c>
      <c r="P1488">
        <f>IF(B1516=0,0,O1488/B1516)</f>
        <v/>
      </c>
      <c r="Q1488">
        <f>IFERROR(1/IF(Inputs!$B$39="pvp",15,MAX(0.1,Skills!D12-IF(Skills!E12=TRUE,4.0,0))),0)</f>
        <v/>
      </c>
      <c r="R1488">
        <f>IF(AND(Inputs!$B$39&lt;&gt;"pvp",Inputs!$B$44&gt;0),IF(MAX(0,Inputs!$B$44-B1515)&lt;=0,0,(INT(MAX(0,Inputs!$B$44-B1515)/IF(Inputs!$B$39="pvp",15,MAX(0.1,Skills!D12-IF(Skills!E12=TRUE,4.0,0))))+1)),0)</f>
        <v/>
      </c>
    </row>
    <row r="1489">
      <c r="A1489">
        <f>Skills!A13</f>
        <v/>
      </c>
      <c r="B1489">
        <f>Skills!B13</f>
        <v/>
      </c>
      <c r="C1489">
        <f>Inputs!$B$3&gt;=60</f>
        <v/>
      </c>
      <c r="D1489">
        <f>IF(Skills!C13=1,60+Inputs!$B$26+Inputs!$B$30,IF(Skills!C13=2,90+Inputs!$B$27+Inputs!$B$30,IF(Skills!C13=3,120+Inputs!$B$28+Inputs!$B$30,MAX(0,(Inputs!$B$3-100)*3)+Inputs!$B$29+Inputs!$B$30)))</f>
        <v/>
      </c>
      <c r="E1489">
        <f>INDEX(FactorTable!$B$2:$Y$301, MATCH(ROUND(MIN(300,MAX(1,D1489)),0), FactorTable!$A$2:$A$301,0), Skills!L13+1)</f>
        <v/>
      </c>
      <c r="F1489">
        <f>IF(Skills!M13=TRUE,(Skills!K13/10)*(E1489/1000),Skills!K13/10)+Skills!N13</f>
        <v/>
      </c>
      <c r="G1489">
        <f>Calc!G13</f>
        <v/>
      </c>
      <c r="H1489">
        <f>Calc!H13</f>
        <v/>
      </c>
      <c r="I1489">
        <f>IF(Skills!T13&lt;&gt;"",1+(Skills!T13/10)*($Z$3/1000)/100,1)</f>
        <v/>
      </c>
      <c r="J1489" t="inlineStr"/>
      <c r="K1489" t="inlineStr"/>
      <c r="L1489" t="inlineStr"/>
      <c r="M1489" t="inlineStr"/>
      <c r="N1489" t="inlineStr"/>
      <c r="O1489" t="n">
        <v>0</v>
      </c>
      <c r="P1489">
        <f>IF(B1516=0,0,O1489/B1516)</f>
        <v/>
      </c>
      <c r="Q1489">
        <f>IFERROR(1/IF(Inputs!$B$39="pvp",15,MAX(0.1,Skills!D13-IF(Skills!E13=TRUE,4.0,0))),0)</f>
        <v/>
      </c>
      <c r="R1489">
        <f>IF(AND(Inputs!$B$39&lt;&gt;"pvp",Inputs!$B$44&gt;0),IF(MAX(0,Inputs!$B$44-B1515)&lt;=0,0,(INT(MAX(0,Inputs!$B$44-B1515)/IF(Inputs!$B$39="pvp",15,MAX(0.1,Skills!D13-IF(Skills!E13=TRUE,4.0,0))))+1)),0)</f>
        <v/>
      </c>
    </row>
    <row r="1490">
      <c r="A1490">
        <f>Skills!A14</f>
        <v/>
      </c>
      <c r="B1490">
        <f>Skills!B14</f>
        <v/>
      </c>
      <c r="C1490">
        <f>Inputs!$B$3&gt;=107</f>
        <v/>
      </c>
      <c r="D1490">
        <f>IF(Skills!C14=1,60+Inputs!$B$26+Inputs!$B$30,IF(Skills!C14=2,90+Inputs!$B$27+Inputs!$B$30,IF(Skills!C14=3,120+Inputs!$B$28+Inputs!$B$30,MAX(0,(Inputs!$B$3-100)*3)+Inputs!$B$29+Inputs!$B$30)))</f>
        <v/>
      </c>
      <c r="E1490">
        <f>INDEX(FactorTable!$B$2:$Y$301, MATCH(ROUND(MIN(300,MAX(1,D1490)),0), FactorTable!$A$2:$A$301,0), Skills!L14+1)</f>
        <v/>
      </c>
      <c r="F1490">
        <f>IF(Skills!M14=TRUE,(Skills!K14/10)*(E1490/1000),Skills!K14/10)+Skills!N14</f>
        <v/>
      </c>
      <c r="G1490">
        <f>Calc!G14</f>
        <v/>
      </c>
      <c r="H1490">
        <f>Calc!H14</f>
        <v/>
      </c>
      <c r="I1490">
        <f>IF(Skills!T14&lt;&gt;"",1+(Skills!T14/10)*($Z$3/1000)/100,1)</f>
        <v/>
      </c>
      <c r="J1490" t="inlineStr"/>
      <c r="K1490" t="inlineStr"/>
      <c r="L1490" t="inlineStr"/>
      <c r="M1490" t="inlineStr"/>
      <c r="N1490" t="inlineStr"/>
      <c r="O1490" t="n">
        <v>0</v>
      </c>
      <c r="P1490">
        <f>IF(B1516=0,0,O1490/B1516)</f>
        <v/>
      </c>
      <c r="Q1490">
        <f>IFERROR(1/IF(Inputs!$B$39="pvp",15,MAX(0.1,Skills!D14-IF(Skills!E14=TRUE,4.0,0))),0)</f>
        <v/>
      </c>
      <c r="R1490">
        <f>IF(AND(Inputs!$B$39&lt;&gt;"pvp",Inputs!$B$44&gt;0),IF(Inputs!$B$44&lt;=0,0,(INT(Inputs!$B$44/IF(Inputs!$B$39="pvp",15,MAX(0.1,Skills!D14-IF(Skills!E14=TRUE,4.0,0))))+1)),0)</f>
        <v/>
      </c>
    </row>
    <row r="1491">
      <c r="A1491">
        <f>Skills!A15</f>
        <v/>
      </c>
      <c r="B1491">
        <f>Skills!B15</f>
        <v/>
      </c>
      <c r="C1491">
        <f>Inputs!$B$3&gt;=63</f>
        <v/>
      </c>
      <c r="D1491">
        <f>IF(Skills!C15=1,60+Inputs!$B$26+Inputs!$B$30,IF(Skills!C15=2,90+Inputs!$B$27+Inputs!$B$30,IF(Skills!C15=3,120+Inputs!$B$28+Inputs!$B$30,MAX(0,(Inputs!$B$3-100)*3)+Inputs!$B$29+Inputs!$B$30)))</f>
        <v/>
      </c>
      <c r="E1491">
        <f>INDEX(FactorTable!$B$2:$Y$301, MATCH(ROUND(MIN(300,MAX(1,D1491)),0), FactorTable!$A$2:$A$301,0), Skills!L15+1)</f>
        <v/>
      </c>
      <c r="F1491">
        <f>IF(Skills!M15=TRUE,(Skills!K15/10)*(E1491/1000),Skills!K15/10)+Skills!N15</f>
        <v/>
      </c>
      <c r="G1491">
        <f>Calc!G15</f>
        <v/>
      </c>
      <c r="H1491">
        <f>Calc!H15</f>
        <v/>
      </c>
      <c r="I1491">
        <f>IF(Skills!T15&lt;&gt;"",1+(Skills!T15/10)*($Z$3/1000)/100,1)</f>
        <v/>
      </c>
      <c r="J1491">
        <f>((Inputs!$B$6*(1+Inputs!$B$7/100))+(((Inputs!$B$13*(1+Inputs!$B$14/100))-(Inputs!$B$13*(1+Inputs!$B$14/100)))+0.25*(Inputs!$B$15-Inputs!$B$15))*(1+Inputs!$B$7/100))*(F1491/100)</f>
        <v/>
      </c>
      <c r="K1491">
        <f>J1491*(1+(((Inputs!$B$13+IF(Inputs!$B$3&gt;=35,(10*INDEX(FactorTable!$B$2:$Y$301, MATCH(ROUND(MIN(300,MAX(1,Inputs!$B$3)),0), FactorTable!$A$2:$A$301,0), 23)/1000)/100*(Inputs!$B$8*(1+(Inputs!$B$9+B1514)/100)),0))*(1+Inputs!$B$14/100))*0.01+Inputs!$B$15*0.0025)/100)*(1+(Inputs!$B$16+B1508)/100)*(1+IF(Inputs!$B$39="pvp",0,(1-Summary!$B$48)*(Inputs!$B$21+Skills!O15+B1506)+Summary!$B$48*(Inputs!$B$22+Skills!P15+B1507))/100)*(1+Inputs!$B$17/100)*(5000/(6000+Inputs!$B$43*(1-Inputs!$B$20/100)))*(1+Inputs!$B$25/100)*(1+IF(C1494=TRUE,F1494,0)/100)*(1+IF(C1496=TRUE,F1496,0)/100)*(1+IF(Skills!A15="TRIUMPH_FEATHER",IF(C1492=TRUE,F1492,0),0)/100)*(1+IF(C1503=TRUE,F1503,0)/100)^5*(1+(IF(Skills!A15="BIG_BANG",Inputs!$B$18,Inputs!$B$19))/100)*(B1505*I1491)</f>
        <v/>
      </c>
      <c r="L1491">
        <f>K1491*(MIN(Inputs!$B$23+(F1498-Calc!F22),Inputs!$B$24)/100+Inputs!$B$24/100)/2</f>
        <v/>
      </c>
      <c r="M1491">
        <f>L1491*(1+(Inputs!$B$11+B1509+(F1501-Calc!F25))/100)</f>
        <v/>
      </c>
      <c r="N1491">
        <f>L1491*(1-MIN(Inputs!$B$10+((F1500-Calc!F24)+(F1499-Calc!F23)),100)/100)+M1491*(MIN(Inputs!$B$10+((F1500-Calc!F24)+(F1499-Calc!F23)),100)/100)</f>
        <v/>
      </c>
      <c r="O1491">
        <f>IF(C1491,Skills!F15*N1491*((IF(Inputs!$B$3&gt;=78,25,15)/100*B1511*10)/(1+IF(Inputs!$B$3&gt;=78,25,15)/100*B1511*10))*(Skills!I15/100*B1511)/(1+Skills!G15*Skills!I15/100*B1511)*IF(Inputs!$B$39="pvp",1,(1-Summary!$B$48)*(1)+Summary!$B$48*(MIN(Skills!Q15,Inputs!$B$38))),0)</f>
        <v/>
      </c>
      <c r="P1491">
        <f>IF(B1516=0,0,O1491/B1516)</f>
        <v/>
      </c>
      <c r="Q1491">
        <f>IFERROR(1/IF(Inputs!$B$39="pvp",15,MAX(0.1,Skills!D15-IF(Skills!E15=TRUE,4.0,0))),0)</f>
        <v/>
      </c>
      <c r="R1491" t="n">
        <v>0</v>
      </c>
    </row>
    <row r="1492">
      <c r="A1492">
        <f>Skills!A16</f>
        <v/>
      </c>
      <c r="B1492">
        <f>Skills!B16</f>
        <v/>
      </c>
      <c r="C1492">
        <f>Inputs!$B$3&gt;=100</f>
        <v/>
      </c>
      <c r="D1492">
        <f>IF(Skills!C16=1,60+Inputs!$B$26+Inputs!$B$30,IF(Skills!C16=2,90+Inputs!$B$27+Inputs!$B$30,IF(Skills!C16=3,120+Inputs!$B$28+Inputs!$B$30,MAX(0,(Inputs!$B$3-100)*3)+Inputs!$B$29+Inputs!$B$30)))</f>
        <v/>
      </c>
      <c r="E1492">
        <f>INDEX(FactorTable!$B$2:$Y$301, MATCH(ROUND(MIN(300,MAX(1,D1492)),0), FactorTable!$A$2:$A$301,0), Skills!L16+1)</f>
        <v/>
      </c>
      <c r="F1492">
        <f>IF(Skills!M16=TRUE,(Skills!K16/10)*(E1492/1000),Skills!K16/10)+Skills!N16</f>
        <v/>
      </c>
      <c r="G1492">
        <f>Calc!G16</f>
        <v/>
      </c>
      <c r="H1492">
        <f>Calc!H16</f>
        <v/>
      </c>
      <c r="I1492">
        <f>IF(Skills!T16&lt;&gt;"",1+(Skills!T16/10)*($Z$3/1000)/100,1)</f>
        <v/>
      </c>
      <c r="J1492" t="inlineStr"/>
      <c r="K1492" t="inlineStr"/>
      <c r="L1492" t="inlineStr"/>
      <c r="M1492" t="inlineStr"/>
      <c r="N1492" t="inlineStr"/>
      <c r="O1492" t="n">
        <v>0</v>
      </c>
      <c r="P1492">
        <f>IF(B1516=0,0,O1492/B1516)</f>
        <v/>
      </c>
      <c r="Q1492">
        <f>IFERROR(1/IF(Inputs!$B$39="pvp",15,MAX(0.1,Skills!D16-IF(Skills!E16=TRUE,4.0,0))),0)</f>
        <v/>
      </c>
      <c r="R1492" t="n">
        <v>0</v>
      </c>
    </row>
    <row r="1493">
      <c r="A1493">
        <f>Skills!A17</f>
        <v/>
      </c>
      <c r="B1493">
        <f>Skills!B17</f>
        <v/>
      </c>
      <c r="C1493">
        <f>Inputs!$B$3&gt;=49</f>
        <v/>
      </c>
      <c r="D1493">
        <f>IF(Skills!C17=1,60+Inputs!$B$26+Inputs!$B$30,IF(Skills!C17=2,90+Inputs!$B$27+Inputs!$B$30,IF(Skills!C17=3,120+Inputs!$B$28+Inputs!$B$30,MAX(0,(Inputs!$B$3-100)*3)+Inputs!$B$29+Inputs!$B$30)))</f>
        <v/>
      </c>
      <c r="E1493">
        <f>INDEX(FactorTable!$B$2:$Y$301, MATCH(ROUND(MIN(300,MAX(1,D1493)),0), FactorTable!$A$2:$A$301,0), Skills!L17+1)</f>
        <v/>
      </c>
      <c r="F1493">
        <f>IF(Skills!M17=TRUE,(Skills!K17/10)*(E1493/1000),Skills!K17/10)+Skills!N17</f>
        <v/>
      </c>
      <c r="G1493">
        <f>Calc!G17</f>
        <v/>
      </c>
      <c r="H1493">
        <f>Calc!H17</f>
        <v/>
      </c>
      <c r="I1493">
        <f>IF(Skills!T17&lt;&gt;"",1+(Skills!T17/10)*($Z$3/1000)/100,1)</f>
        <v/>
      </c>
      <c r="J1493" t="inlineStr"/>
      <c r="K1493" t="inlineStr"/>
      <c r="L1493" t="inlineStr"/>
      <c r="M1493" t="inlineStr"/>
      <c r="N1493" t="inlineStr"/>
      <c r="O1493" t="n">
        <v>0</v>
      </c>
      <c r="P1493">
        <f>IF(B1516=0,0,O1493/B1516)</f>
        <v/>
      </c>
      <c r="Q1493">
        <f>IFERROR(1/IF(Inputs!$B$39="pvp",15,MAX(0.1,Skills!D17-IF(Skills!E17=TRUE,4.0,0))),0)</f>
        <v/>
      </c>
      <c r="R1493" t="n">
        <v>0</v>
      </c>
    </row>
    <row r="1494">
      <c r="A1494">
        <f>Skills!A18</f>
        <v/>
      </c>
      <c r="B1494">
        <f>Skills!B18</f>
        <v/>
      </c>
      <c r="C1494">
        <f>Inputs!$B$3&gt;=75</f>
        <v/>
      </c>
      <c r="D1494">
        <f>IF(Skills!C18=1,60+Inputs!$B$26+Inputs!$B$30,IF(Skills!C18=2,90+Inputs!$B$27+Inputs!$B$30,IF(Skills!C18=3,120+Inputs!$B$28+Inputs!$B$30,MAX(0,(Inputs!$B$3-100)*3)+Inputs!$B$29+Inputs!$B$30)))</f>
        <v/>
      </c>
      <c r="E1494">
        <f>INDEX(FactorTable!$B$2:$Y$301, MATCH(ROUND(MIN(300,MAX(1,D1494)),0), FactorTable!$A$2:$A$301,0), Skills!L18+1)</f>
        <v/>
      </c>
      <c r="F1494">
        <f>IF(Skills!M18=TRUE,(Skills!K18/10)*(E1494/1000),Skills!K18/10)+Skills!N18</f>
        <v/>
      </c>
      <c r="G1494">
        <f>Calc!G18</f>
        <v/>
      </c>
      <c r="H1494">
        <f>Calc!H18</f>
        <v/>
      </c>
      <c r="I1494">
        <f>IF(Skills!T18&lt;&gt;"",1+(Skills!T18/10)*($Z$3/1000)/100,1)</f>
        <v/>
      </c>
      <c r="J1494" t="inlineStr"/>
      <c r="K1494" t="inlineStr"/>
      <c r="L1494" t="inlineStr"/>
      <c r="M1494" t="inlineStr"/>
      <c r="N1494" t="inlineStr"/>
      <c r="O1494" t="n">
        <v>0</v>
      </c>
      <c r="P1494">
        <f>IF(B1516=0,0,O1494/B1516)</f>
        <v/>
      </c>
      <c r="Q1494">
        <f>IFERROR(1/IF(Inputs!$B$39="pvp",15,MAX(0.1,Skills!D18-IF(Skills!E18=TRUE,4.0,0))),0)</f>
        <v/>
      </c>
      <c r="R1494" t="n">
        <v>0</v>
      </c>
    </row>
    <row r="1495">
      <c r="A1495">
        <f>Skills!A19</f>
        <v/>
      </c>
      <c r="B1495">
        <f>Skills!B19</f>
        <v/>
      </c>
      <c r="C1495">
        <f>Inputs!$B$3&gt;=110</f>
        <v/>
      </c>
      <c r="D1495">
        <f>IF(Skills!C19=1,60+Inputs!$B$26+Inputs!$B$30,IF(Skills!C19=2,90+Inputs!$B$27+Inputs!$B$30,IF(Skills!C19=3,120+Inputs!$B$28+Inputs!$B$30,MAX(0,(Inputs!$B$3-100)*3)+Inputs!$B$29+Inputs!$B$30)))</f>
        <v/>
      </c>
      <c r="E1495">
        <f>INDEX(FactorTable!$B$2:$Y$301, MATCH(ROUND(MIN(300,MAX(1,D1495)),0), FactorTable!$A$2:$A$301,0), Skills!L19+1)</f>
        <v/>
      </c>
      <c r="F1495">
        <f>(Skills!K19/10)*(E1495/1000)*64/45+Skills!N19</f>
        <v/>
      </c>
      <c r="G1495">
        <f>Calc!G19</f>
        <v/>
      </c>
      <c r="H1495">
        <f>Calc!H19</f>
        <v/>
      </c>
      <c r="I1495">
        <f>IF(Skills!T19&lt;&gt;"",1+(Skills!T19/10)*($Z$3/1000)/100,1)</f>
        <v/>
      </c>
      <c r="J1495" t="inlineStr"/>
      <c r="K1495" t="inlineStr"/>
      <c r="L1495" t="inlineStr"/>
      <c r="M1495" t="inlineStr"/>
      <c r="N1495" t="inlineStr"/>
      <c r="O1495" t="n">
        <v>0</v>
      </c>
      <c r="P1495">
        <f>IF(B1516=0,0,O1495/B1516)</f>
        <v/>
      </c>
      <c r="Q1495">
        <f>IFERROR(1/IF(Inputs!$B$39="pvp",15,MAX(0.1,Skills!D19-IF(Skills!E19=TRUE,4.0,0))),0)</f>
        <v/>
      </c>
      <c r="R1495">
        <f>IF(AND(Inputs!$B$39&lt;&gt;"pvp",Inputs!$B$44&gt;0),IF(Inputs!$B$44&lt;=0,0,(INT(Inputs!$B$44/IF(Inputs!$B$39="pvp",15,MAX(0.1,Skills!D19-IF(Skills!E19=TRUE,4.0,0))))+1)),0)</f>
        <v/>
      </c>
    </row>
    <row r="1496">
      <c r="A1496">
        <f>Skills!A20</f>
        <v/>
      </c>
      <c r="B1496">
        <f>Skills!B20</f>
        <v/>
      </c>
      <c r="C1496">
        <f>Inputs!$B$3&gt;=125</f>
        <v/>
      </c>
      <c r="D1496">
        <f>IF(Skills!C20=1,60+Inputs!$B$26+Inputs!$B$30,IF(Skills!C20=2,90+Inputs!$B$27+Inputs!$B$30,IF(Skills!C20=3,120+Inputs!$B$28+Inputs!$B$30,MAX(0,(Inputs!$B$3-100)*3)+Inputs!$B$29+Inputs!$B$30)))</f>
        <v/>
      </c>
      <c r="E1496">
        <f>INDEX(FactorTable!$B$2:$Y$301, MATCH(ROUND(MIN(300,MAX(1,D1496)),0), FactorTable!$A$2:$A$301,0), Skills!L20+1)</f>
        <v/>
      </c>
      <c r="F1496">
        <f>IF(Skills!M20=TRUE,(Skills!K20/10)*(E1496/1000),Skills!K20/10)+Skills!N20</f>
        <v/>
      </c>
      <c r="G1496">
        <f>Calc!G20</f>
        <v/>
      </c>
      <c r="H1496">
        <f>Calc!H20</f>
        <v/>
      </c>
      <c r="I1496">
        <f>IF(Skills!T20&lt;&gt;"",1+(Skills!T20/10)*($Z$3/1000)/100,1)</f>
        <v/>
      </c>
      <c r="J1496" t="inlineStr"/>
      <c r="K1496" t="inlineStr"/>
      <c r="L1496" t="inlineStr"/>
      <c r="M1496" t="inlineStr"/>
      <c r="N1496" t="inlineStr"/>
      <c r="O1496" t="n">
        <v>0</v>
      </c>
      <c r="P1496">
        <f>IF(B1516=0,0,O1496/B1516)</f>
        <v/>
      </c>
      <c r="Q1496">
        <f>IFERROR(1/IF(Inputs!$B$39="pvp",15,MAX(0.1,Skills!D20-IF(Skills!E20=TRUE,4.0,0))),0)</f>
        <v/>
      </c>
      <c r="R1496" t="n">
        <v>0</v>
      </c>
    </row>
    <row r="1497">
      <c r="A1497">
        <f>Skills!A21</f>
        <v/>
      </c>
      <c r="B1497">
        <f>Skills!B21</f>
        <v/>
      </c>
      <c r="C1497">
        <f>Inputs!$B$3&gt;=33</f>
        <v/>
      </c>
      <c r="D1497">
        <f>IF(Skills!C21=1,60+Inputs!$B$26+Inputs!$B$30,IF(Skills!C21=2,90+Inputs!$B$27+Inputs!$B$30,IF(Skills!C21=3,120+Inputs!$B$28+Inputs!$B$30,MAX(0,(Inputs!$B$3-100)*3)+Inputs!$B$29+Inputs!$B$30)))</f>
        <v/>
      </c>
      <c r="E1497">
        <f>INDEX(FactorTable!$B$2:$Y$301, MATCH(ROUND(MIN(300,MAX(1,D1497)),0), FactorTable!$A$2:$A$301,0), Skills!L21+1)</f>
        <v/>
      </c>
      <c r="F1497">
        <f>IF(Skills!M21=TRUE,(Skills!K21/10)*(E1497/1000),Skills!K21/10)+Skills!N21</f>
        <v/>
      </c>
      <c r="G1497">
        <f>Calc!G21</f>
        <v/>
      </c>
      <c r="H1497">
        <f>Calc!H21</f>
        <v/>
      </c>
      <c r="I1497">
        <f>IF(Skills!T21&lt;&gt;"",1+(Skills!T21/10)*($Z$3/1000)/100,1)</f>
        <v/>
      </c>
      <c r="J1497" t="inlineStr"/>
      <c r="K1497" t="inlineStr"/>
      <c r="L1497" t="inlineStr"/>
      <c r="M1497" t="inlineStr"/>
      <c r="N1497" t="inlineStr"/>
      <c r="O1497" t="n">
        <v>0</v>
      </c>
      <c r="P1497">
        <f>IF(B1516=0,0,O1497/B1516)</f>
        <v/>
      </c>
      <c r="Q1497">
        <f>IFERROR(1/IF(Inputs!$B$39="pvp",15,MAX(0.1,Skills!D21-IF(Skills!E21=TRUE,4.0,0))),0)</f>
        <v/>
      </c>
      <c r="R1497" t="n">
        <v>0</v>
      </c>
    </row>
    <row r="1498">
      <c r="A1498">
        <f>Skills!A22</f>
        <v/>
      </c>
      <c r="B1498">
        <f>Skills!B22</f>
        <v/>
      </c>
      <c r="C1498">
        <f>Inputs!$B$3&gt;=43</f>
        <v/>
      </c>
      <c r="D1498">
        <f>IF(Skills!C22=1,60+Inputs!$B$26+Inputs!$B$30,IF(Skills!C22=2,90+Inputs!$B$27+Inputs!$B$30,IF(Skills!C22=3,120+Inputs!$B$28+Inputs!$B$30,MAX(0,(Inputs!$B$3-100)*3)+Inputs!$B$29+Inputs!$B$30)))</f>
        <v/>
      </c>
      <c r="E1498">
        <f>INDEX(FactorTable!$B$2:$Y$301, MATCH(ROUND(MIN(300,MAX(1,D1498)),0), FactorTable!$A$2:$A$301,0), Skills!L22+1)</f>
        <v/>
      </c>
      <c r="F1498">
        <f>IF(Skills!M22=TRUE,(Skills!K22/10)*(E1498/1000),Skills!K22/10)+Skills!N22</f>
        <v/>
      </c>
      <c r="G1498">
        <f>Calc!G22</f>
        <v/>
      </c>
      <c r="H1498">
        <f>Calc!H22</f>
        <v/>
      </c>
      <c r="I1498">
        <f>IF(Skills!T22&lt;&gt;"",1+(Skills!T22/10)*($Z$3/1000)/100,1)</f>
        <v/>
      </c>
      <c r="J1498" t="inlineStr"/>
      <c r="K1498" t="inlineStr"/>
      <c r="L1498" t="inlineStr"/>
      <c r="M1498" t="inlineStr"/>
      <c r="N1498" t="inlineStr"/>
      <c r="O1498" t="n">
        <v>0</v>
      </c>
      <c r="P1498">
        <f>IF(B1516=0,0,O1498/B1516)</f>
        <v/>
      </c>
      <c r="Q1498">
        <f>IFERROR(1/IF(Inputs!$B$39="pvp",15,MAX(0.1,Skills!D22-IF(Skills!E22=TRUE,4.0,0))),0)</f>
        <v/>
      </c>
      <c r="R1498" t="n">
        <v>0</v>
      </c>
    </row>
    <row r="1499">
      <c r="A1499">
        <f>Skills!A23</f>
        <v/>
      </c>
      <c r="B1499">
        <f>Skills!B23</f>
        <v/>
      </c>
      <c r="C1499">
        <f>Inputs!$B$3&gt;=50</f>
        <v/>
      </c>
      <c r="D1499">
        <f>IF(Skills!C23=1,60+Inputs!$B$26+Inputs!$B$30,IF(Skills!C23=2,90+Inputs!$B$27+Inputs!$B$30,IF(Skills!C23=3,120+Inputs!$B$28+Inputs!$B$30,MAX(0,(Inputs!$B$3-100)*3)+Inputs!$B$29+Inputs!$B$30)))</f>
        <v/>
      </c>
      <c r="E1499">
        <f>INDEX(FactorTable!$B$2:$Y$301, MATCH(ROUND(MIN(300,MAX(1,D1499)),0), FactorTable!$A$2:$A$301,0), Skills!L23+1)</f>
        <v/>
      </c>
      <c r="F1499">
        <f>IF(Skills!M23=TRUE,(Skills!K23/10)*(E1499/1000),Skills!K23/10)+Skills!N23</f>
        <v/>
      </c>
      <c r="G1499">
        <f>Calc!G23</f>
        <v/>
      </c>
      <c r="H1499">
        <f>Calc!H23</f>
        <v/>
      </c>
      <c r="I1499">
        <f>IF(Skills!T23&lt;&gt;"",1+(Skills!T23/10)*($Z$3/1000)/100,1)</f>
        <v/>
      </c>
      <c r="J1499" t="inlineStr"/>
      <c r="K1499" t="inlineStr"/>
      <c r="L1499" t="inlineStr"/>
      <c r="M1499" t="inlineStr"/>
      <c r="N1499" t="inlineStr"/>
      <c r="O1499" t="n">
        <v>0</v>
      </c>
      <c r="P1499">
        <f>IF(B1516=0,0,O1499/B1516)</f>
        <v/>
      </c>
      <c r="Q1499">
        <f>IFERROR(1/IF(Inputs!$B$39="pvp",15,MAX(0.1,Skills!D23-IF(Skills!E23=TRUE,4.0,0))),0)</f>
        <v/>
      </c>
      <c r="R1499" t="n">
        <v>0</v>
      </c>
    </row>
    <row r="1500">
      <c r="A1500">
        <f>Skills!A24</f>
        <v/>
      </c>
      <c r="B1500">
        <f>Skills!B24</f>
        <v/>
      </c>
      <c r="C1500">
        <f>Inputs!$B$3&gt;=74</f>
        <v/>
      </c>
      <c r="D1500">
        <f>IF(Skills!C24=1,60+Inputs!$B$26+Inputs!$B$30,IF(Skills!C24=2,90+Inputs!$B$27+Inputs!$B$30,IF(Skills!C24=3,120+Inputs!$B$28+Inputs!$B$30,MAX(0,(Inputs!$B$3-100)*3)+Inputs!$B$29+Inputs!$B$30)))</f>
        <v/>
      </c>
      <c r="E1500">
        <f>INDEX(FactorTable!$B$2:$Y$301, MATCH(ROUND(MIN(300,MAX(1,D1500)),0), FactorTable!$A$2:$A$301,0), Skills!L24+1)</f>
        <v/>
      </c>
      <c r="F1500">
        <f>IF(Skills!M24=TRUE,(Skills!K24/10)*(E1500/1000),Skills!K24/10)+Skills!N24</f>
        <v/>
      </c>
      <c r="G1500">
        <f>Calc!G24</f>
        <v/>
      </c>
      <c r="H1500">
        <f>Calc!H24</f>
        <v/>
      </c>
      <c r="I1500">
        <f>IF(Skills!T24&lt;&gt;"",1+(Skills!T24/10)*($Z$3/1000)/100,1)</f>
        <v/>
      </c>
      <c r="J1500" t="inlineStr"/>
      <c r="K1500" t="inlineStr"/>
      <c r="L1500" t="inlineStr"/>
      <c r="M1500" t="inlineStr"/>
      <c r="N1500" t="inlineStr"/>
      <c r="O1500" t="n">
        <v>0</v>
      </c>
      <c r="P1500">
        <f>IF(B1516=0,0,O1500/B1516)</f>
        <v/>
      </c>
      <c r="Q1500">
        <f>IFERROR(1/IF(Inputs!$B$39="pvp",15,MAX(0.1,Skills!D24-IF(Skills!E24=TRUE,4.0,0))),0)</f>
        <v/>
      </c>
      <c r="R1500" t="n">
        <v>0</v>
      </c>
    </row>
    <row r="1501">
      <c r="A1501">
        <f>Skills!A25</f>
        <v/>
      </c>
      <c r="B1501">
        <f>Skills!B25</f>
        <v/>
      </c>
      <c r="C1501">
        <f>Inputs!$B$3&gt;=74</f>
        <v/>
      </c>
      <c r="D1501">
        <f>IF(Skills!C25=1,60+Inputs!$B$26+Inputs!$B$30,IF(Skills!C25=2,90+Inputs!$B$27+Inputs!$B$30,IF(Skills!C25=3,120+Inputs!$B$28+Inputs!$B$30,MAX(0,(Inputs!$B$3-100)*3)+Inputs!$B$29+Inputs!$B$30)))</f>
        <v/>
      </c>
      <c r="E1501">
        <f>INDEX(FactorTable!$B$2:$Y$301, MATCH(ROUND(MIN(300,MAX(1,D1501)),0), FactorTable!$A$2:$A$301,0), Skills!L25+1)</f>
        <v/>
      </c>
      <c r="F1501">
        <f>IF(Skills!M25=TRUE,(Skills!K25/10)*(E1501/1000),Skills!K25/10)+Skills!N25</f>
        <v/>
      </c>
      <c r="G1501">
        <f>Calc!G25</f>
        <v/>
      </c>
      <c r="H1501">
        <f>Calc!H25</f>
        <v/>
      </c>
      <c r="I1501">
        <f>IF(Skills!T25&lt;&gt;"",1+(Skills!T25/10)*($Z$3/1000)/100,1)</f>
        <v/>
      </c>
      <c r="J1501" t="inlineStr"/>
      <c r="K1501" t="inlineStr"/>
      <c r="L1501" t="inlineStr"/>
      <c r="M1501" t="inlineStr"/>
      <c r="N1501" t="inlineStr"/>
      <c r="O1501" t="n">
        <v>0</v>
      </c>
      <c r="P1501">
        <f>IF(B1516=0,0,O1501/B1516)</f>
        <v/>
      </c>
      <c r="Q1501">
        <f>IFERROR(1/IF(Inputs!$B$39="pvp",15,MAX(0.1,Skills!D25-IF(Skills!E25=TRUE,4.0,0))),0)</f>
        <v/>
      </c>
      <c r="R1501" t="n">
        <v>0</v>
      </c>
    </row>
    <row r="1502">
      <c r="A1502">
        <f>Skills!A26</f>
        <v/>
      </c>
      <c r="B1502">
        <f>Skills!B26</f>
        <v/>
      </c>
      <c r="C1502">
        <f>Inputs!$B$3&gt;=117</f>
        <v/>
      </c>
      <c r="D1502">
        <f>IF(Skills!C26=1,60+Inputs!$B$26+Inputs!$B$30,IF(Skills!C26=2,90+Inputs!$B$27+Inputs!$B$30,IF(Skills!C26=3,120+Inputs!$B$28+Inputs!$B$30,MAX(0,(Inputs!$B$3-100)*3)+Inputs!$B$29+Inputs!$B$30)))</f>
        <v/>
      </c>
      <c r="E1502">
        <f>INDEX(FactorTable!$B$2:$Y$301, MATCH(ROUND(MIN(300,MAX(1,D1502)),0), FactorTable!$A$2:$A$301,0), Skills!L26+1)</f>
        <v/>
      </c>
      <c r="F1502">
        <f>IF(Skills!M26=TRUE,(Skills!K26/10)*(E1502/1000),Skills!K26/10)+Skills!N26</f>
        <v/>
      </c>
      <c r="G1502">
        <f>Calc!G26</f>
        <v/>
      </c>
      <c r="H1502">
        <f>Calc!H26</f>
        <v/>
      </c>
      <c r="I1502">
        <f>IF(Skills!T26&lt;&gt;"",1+(Skills!T26/10)*($Z$3/1000)/100,1)</f>
        <v/>
      </c>
      <c r="J1502" t="inlineStr"/>
      <c r="K1502" t="inlineStr"/>
      <c r="L1502" t="inlineStr"/>
      <c r="M1502" t="inlineStr"/>
      <c r="N1502" t="inlineStr"/>
      <c r="O1502" t="n">
        <v>0</v>
      </c>
      <c r="P1502">
        <f>IF(B1516=0,0,O1502/B1516)</f>
        <v/>
      </c>
      <c r="Q1502">
        <f>IFERROR(1/IF(Inputs!$B$39="pvp",15,MAX(0.1,Skills!D26-IF(Skills!E26=TRUE,4.0,0))),0)</f>
        <v/>
      </c>
      <c r="R1502" t="n">
        <v>0</v>
      </c>
    </row>
    <row r="1503">
      <c r="A1503">
        <f>Skills!A27</f>
        <v/>
      </c>
      <c r="B1503">
        <f>Skills!B27</f>
        <v/>
      </c>
      <c r="C1503">
        <f>Inputs!$B$3&gt;=120</f>
        <v/>
      </c>
      <c r="D1503">
        <f>IF(Skills!C27=1,60+Inputs!$B$26+Inputs!$B$30,IF(Skills!C27=2,90+Inputs!$B$27+Inputs!$B$30,IF(Skills!C27=3,120+Inputs!$B$28+Inputs!$B$30,MAX(0,(Inputs!$B$3-100)*3)+Inputs!$B$29+Inputs!$B$30)))</f>
        <v/>
      </c>
      <c r="E1503">
        <f>INDEX(FactorTable!$B$2:$Y$301, MATCH(ROUND(MIN(300,MAX(1,D1503)),0), FactorTable!$A$2:$A$301,0), Skills!L27+1)</f>
        <v/>
      </c>
      <c r="F1503">
        <f>IF(Skills!M27=TRUE,(Skills!K27/10)*(E1503/1000),Skills!K27/10)+Skills!N27</f>
        <v/>
      </c>
      <c r="G1503">
        <f>Calc!G27</f>
        <v/>
      </c>
      <c r="H1503">
        <f>Calc!H27</f>
        <v/>
      </c>
      <c r="I1503">
        <f>IF(Skills!T27&lt;&gt;"",1+(Skills!T27/10)*($Z$3/1000)/100,1)</f>
        <v/>
      </c>
      <c r="J1503" t="inlineStr"/>
      <c r="K1503" t="inlineStr"/>
      <c r="L1503" t="inlineStr"/>
      <c r="M1503" t="inlineStr"/>
      <c r="N1503" t="inlineStr"/>
      <c r="O1503" t="n">
        <v>0</v>
      </c>
      <c r="P1503">
        <f>IF(B1516=0,0,O1503/B1516)</f>
        <v/>
      </c>
      <c r="Q1503">
        <f>IFERROR(1/IF(Inputs!$B$39="pvp",15,MAX(0.1,Skills!D27-IF(Skills!E27=TRUE,4.0,0))),0)</f>
        <v/>
      </c>
      <c r="R1503" t="n">
        <v>0</v>
      </c>
    </row>
    <row r="1505">
      <c r="A1505" t="inlineStr">
        <is>
          <t>Average Buff Multiplier</t>
        </is>
      </c>
      <c r="B1505">
        <f>(1+(IF(C1479=TRUE,F1479*IF(AND(Inputs!$B$39&lt;&gt;"pvp",Inputs!$B$44&gt;0),(((R1479-1)*(Skills!S3*(1+(Inputs!$B$35+IF(Inputs!$B$3&gt;=117,F1502,0))/100))+MIN((Skills!S3*(1+(Inputs!$B$35+IF(Inputs!$B$3&gt;=117,F1502,0))/100)),MAX(0,Inputs!$B$44-((R1479-1)*Skills!D3))))/Inputs!$B$44),IF(Inputs!$B$39="pvp",MIN((Skills!S3*(1+(Inputs!$B$35+IF(Inputs!$B$3&gt;=117,F1502,0))/100)),15)/15,(Skills!S3*(1+(Inputs!$B$35+IF(Inputs!$B$3&gt;=117,F1502,0))/100))/Skills!D3)),0)+IF(C1480=TRUE,F1480*IF(AND(Inputs!$B$39&lt;&gt;"pvp",Inputs!$B$44&gt;0),(((R1480-1)*(Skills!S4*(1+(Inputs!$B$35+IF(Inputs!$B$3&gt;=117,F1502,0))/100))+MIN((Skills!S4*(1+(Inputs!$B$35+IF(Inputs!$B$3&gt;=117,F1502,0))/100)),MAX(0,Inputs!$B$44-((R1480-1)*Skills!D4))))/Inputs!$B$44),IF(Inputs!$B$39="pvp",MIN((Skills!S4*(1+(Inputs!$B$35+IF(Inputs!$B$3&gt;=117,F1502,0))/100)),15)/15,(Skills!S4*(1+(Inputs!$B$35+IF(Inputs!$B$3&gt;=117,F1502,0))/100))/Skills!D4)),0)+IF(C1481=TRUE,F1481*IF(AND(Inputs!$B$39&lt;&gt;"pvp",Inputs!$B$44&gt;0),(((R1481-1)*(Skills!S5*(1+(Inputs!$B$35+IF(Inputs!$B$3&gt;=117,F1502,0))/100))+MIN((Skills!S5*(1+(Inputs!$B$35+IF(Inputs!$B$3&gt;=117,F1502,0))/100)),MAX(0,Inputs!$B$44-((R1481-1)*Skills!D5))))/Inputs!$B$44),IF(Inputs!$B$39="pvp",MIN((Skills!S5*(1+(Inputs!$B$35+IF(Inputs!$B$3&gt;=117,F1502,0))/100)),15)/15,(Skills!S5*(1+(Inputs!$B$35+IF(Inputs!$B$3&gt;=117,F1502,0))/100))/Skills!D5)),0)+IF(C1487=TRUE,F1487*IF(AND(Inputs!$B$39&lt;&gt;"pvp",Inputs!$B$44&gt;0),(((R1487-1)*(Skills!S11*(1+(Inputs!$B$35+IF(Inputs!$B$3&gt;=117,F1502,0))/100))+MIN((Skills!S11*(1+(Inputs!$B$35+IF(Inputs!$B$3&gt;=117,F1502,0))/100)),MAX(0,Inputs!$B$44-((R1487-1)*Skills!D11))))/Inputs!$B$44),IF(Inputs!$B$39="pvp",MIN((Skills!S11*(1+(Inputs!$B$35+IF(Inputs!$B$3&gt;=117,F1502,0))/100)),15)/15,(Skills!S11*(1+(Inputs!$B$35+IF(Inputs!$B$3&gt;=117,F1502,0))/100))/Skills!D11)),0))/100)*IF(C1490=TRUE,(1+F1490*IF(AND(Inputs!$B$39&lt;&gt;"pvp",Inputs!$B$44&gt;0),(((R1490-1)*(Skills!S14*(1+(Inputs!$B$35+IF(Inputs!$B$3&gt;=117,F1502,0))/100))+MIN((Skills!S14*(1+(Inputs!$B$35+IF(Inputs!$B$3&gt;=117,F1502,0))/100)),MAX(0,Inputs!$B$44-((R1490-1)*Skills!D14))))/Inputs!$B$44),IF(Inputs!$B$39="pvp",MIN((Skills!S14*(1+(Inputs!$B$35+IF(Inputs!$B$3&gt;=117,F1502,0))/100)),15)/15,(Skills!S14*(1+(Inputs!$B$35+IF(Inputs!$B$3&gt;=117,F1502,0))/100))/Skills!D14))/100),1)*IF(C1495=TRUE,(1+F1495*IF(AND(Inputs!$B$39&lt;&gt;"pvp",Inputs!$B$44&gt;0),(((R1495-1)*(Skills!S19*(1+(Inputs!$B$35+IF(Inputs!$B$3&gt;=117,F1502,0))/100))+MIN((Skills!S19*(1+(Inputs!$B$35+IF(Inputs!$B$3&gt;=117,F1502,0))/100)),MAX(0,Inputs!$B$44-((R1495-1)*Skills!D19))))/Inputs!$B$44),IF(Inputs!$B$39="pvp",MIN((Skills!S19*(1+(Inputs!$B$35+IF(Inputs!$B$3&gt;=117,F1502,0))/100)),15)/15,(Skills!S19*(1+(Inputs!$B$35+IF(Inputs!$B$3&gt;=117,F1502,0))/100))/Skills!D19))/100),1)</f>
        <v/>
      </c>
    </row>
    <row r="1506">
      <c r="A1506" t="inlineStr">
        <is>
          <t>Monster Damage Taken Bonus % (Holy Fountain)</t>
        </is>
      </c>
      <c r="B1506">
        <f>IF(Inputs!$B$3&gt;=68,20*IF(Inputs!$B$39="pvp",MIN((15*(1+(Inputs!$B$35+IF(Inputs!$B$3&gt;=117,F1502,0))/100)),15)/15,(15*(1+(Inputs!$B$35+IF(Inputs!$B$3&gt;=117,F1502,0))/100))/Skills!D10),0)</f>
        <v/>
      </c>
    </row>
    <row r="1507">
      <c r="A1507" t="inlineStr">
        <is>
          <t>Normal Monster Damage Bonus % (Holy Symbol)</t>
        </is>
      </c>
      <c r="B1507">
        <f>IF(C1488=TRUE,F1488*IF(AND(Inputs!$B$39&lt;&gt;"pvp",Inputs!$B$44&gt;0),(((R1488-1)*(Skills!S12*(1+(Inputs!$B$35+IF(Inputs!$B$3&gt;=117,F1502,0))/100))+MIN((Skills!S12*(1+(Inputs!$B$35+IF(Inputs!$B$3&gt;=117,F1502,0))/100)),MAX(0,Inputs!$B$44-((R1488-1)*Skills!D12))))/Inputs!$B$44),IF(Inputs!$B$39="pvp",MIN((Skills!S12*(1+(Inputs!$B$35+IF(Inputs!$B$3&gt;=117,F1502,0))/100)),15)/15,(Skills!S12*(1+(Inputs!$B$35+IF(Inputs!$B$3&gt;=117,F1502,0))/100))/Skills!D12)),0)</f>
        <v/>
      </c>
    </row>
    <row r="1508">
      <c r="A1508" t="inlineStr">
        <is>
          <t>Damage % Bonus (Holy Symbol - Damage Boost)</t>
        </is>
      </c>
      <c r="B1508">
        <f>Skills!O12</f>
        <v/>
      </c>
    </row>
    <row r="1509">
      <c r="A1509" t="inlineStr">
        <is>
          <t>Crit Damage % Bonus (Blood of the Divine)</t>
        </is>
      </c>
      <c r="B1509">
        <f>4*IF(C1496=TRUE,F1496,0)</f>
        <v/>
      </c>
    </row>
    <row r="1510">
      <c r="A1510" t="inlineStr">
        <is>
          <t>Attack Speed Bonus %</t>
        </is>
      </c>
      <c r="B1510">
        <f>IF(C1493=TRUE,F1493+(F1497-Calc!F21),0)+IF(Inputs!$B$3&gt;=134,15,0)</f>
        <v/>
      </c>
    </row>
    <row r="1511">
      <c r="A1511" t="inlineStr">
        <is>
          <t>Actions Per Second</t>
        </is>
      </c>
      <c r="B1511">
        <f>1+MIN(150,150*(1-(1-Inputs!$B$12/150)*(1-B1510/150)))/100</f>
        <v/>
      </c>
    </row>
    <row r="1512">
      <c r="A1512" t="inlineStr">
        <is>
          <t>Skill + Buff Cast Rate</t>
        </is>
      </c>
      <c r="B1512">
        <f>IF(AND(Inputs!$B$39&lt;&gt;"pvp",Inputs!$B$44&gt;0),SUMPRODUCT((Skills!E2:E27=TRUE)*(C1478:C1503=TRUE)*R1478:R1503)/Inputs!$B$44,SUMPRODUCT((Skills!E2:E27=TRUE)*(C1478:C1503=TRUE)*Q1478:Q1503))</f>
        <v/>
      </c>
    </row>
    <row r="1513">
      <c r="A1513" t="inlineStr">
        <is>
          <t>Big Bang Casts Per Second</t>
        </is>
      </c>
      <c r="B1513">
        <f>MAX(0,B1511-B1512)</f>
        <v/>
      </c>
    </row>
    <row r="1514">
      <c r="A1514" t="inlineStr">
        <is>
          <t>Defense % Bonus (Divine Protection)</t>
        </is>
      </c>
      <c r="B1514">
        <f>IF(C1489=TRUE,F1489*IF(AND(Inputs!$B$39&lt;&gt;"pvp",Inputs!$B$44&gt;0),(((R1489-1)*(Skills!S13*(1+(Inputs!$B$35+IF(Inputs!$B$3&gt;=117,F1502,0))/100))+MIN((Skills!S13*(1+(Inputs!$B$35+IF(Inputs!$B$3&gt;=117,F1502,0))/100)),MAX(0,Inputs!$B$44-((R1489-1)*Skills!D13))))/Inputs!$B$44),IF(Inputs!$B$39="pvp",MIN((Skills!S13*(1+(Inputs!$B$35+IF(Inputs!$B$3&gt;=117,F1502,0))/100)),15)/15,(Skills!S13*(1+(Inputs!$B$35+IF(Inputs!$B$3&gt;=117,F1502,0))/100))/Skills!D13)),0)</f>
        <v/>
      </c>
    </row>
    <row r="1515">
      <c r="A1515" t="inlineStr">
        <is>
          <t>Buff-Casting Startup Delay (s, fixed-duration only)</t>
        </is>
      </c>
      <c r="B1515">
        <f>IF(AND(Inputs!$B$39&lt;&gt;"pvp",Inputs!$B$44&gt;0),SUMPRODUCT((Skills!S2:S27&gt;0)*(Skills!E2:E27=TRUE)*(C1478:C1503=TRUE))/B1511,0)</f>
        <v/>
      </c>
    </row>
    <row r="1516">
      <c r="A1516" s="5" t="inlineStr">
        <is>
          <t>TOTAL DPS</t>
        </is>
      </c>
      <c r="B1516" s="5">
        <f>SUM(O1478:O1503)</f>
        <v/>
      </c>
    </row>
    <row r="1518">
      <c r="A1518" s="5" t="inlineStr">
        <is>
          <t>Stat: CDR = 4.5s</t>
        </is>
      </c>
    </row>
    <row r="1519">
      <c r="A1519" s="9" t="inlineStr">
        <is>
          <t>Key</t>
        </is>
      </c>
      <c r="B1519" s="9" t="inlineStr">
        <is>
          <t>Name</t>
        </is>
      </c>
      <c r="C1519" s="9" t="inlineStr">
        <is>
          <t>Unlocked</t>
        </is>
      </c>
      <c r="D1519" s="9" t="inlineStr">
        <is>
          <t>InputLevel</t>
        </is>
      </c>
      <c r="E1519" s="9" t="inlineStr">
        <is>
          <t>Factor</t>
        </is>
      </c>
      <c r="F1519" s="9" t="inlineStr">
        <is>
          <t>CoefficientPercent</t>
        </is>
      </c>
      <c r="G1519" s="9" t="inlineStr">
        <is>
          <t>EffectiveHits</t>
        </is>
      </c>
      <c r="H1519" s="9" t="inlineStr">
        <is>
          <t>ProcProbability</t>
        </is>
      </c>
      <c r="I1519" s="9" t="inlineStr">
        <is>
          <t>MapleHeroMultiplier</t>
        </is>
      </c>
      <c r="J1519" s="9" t="inlineStr">
        <is>
          <t>BaseDamage</t>
        </is>
      </c>
      <c r="K1519" s="9" t="inlineStr">
        <is>
          <t>BaseHitDamage</t>
        </is>
      </c>
      <c r="L1519" s="9" t="inlineStr">
        <is>
          <t>NonCritAvg</t>
        </is>
      </c>
      <c r="M1519" s="9" t="inlineStr">
        <is>
          <t>CritAvg</t>
        </is>
      </c>
      <c r="N1519" s="9" t="inlineStr">
        <is>
          <t>ExpectedDamage(perHit)</t>
        </is>
      </c>
      <c r="O1519" s="9" t="inlineStr">
        <is>
          <t>DPS</t>
        </is>
      </c>
      <c r="P1519" s="9" t="inlineStr">
        <is>
          <t>% of Total</t>
        </is>
      </c>
      <c r="R1519" t="inlineStr">
        <is>
          <t>helpers</t>
        </is>
      </c>
    </row>
    <row r="1520">
      <c r="A1520">
        <f>Skills!A2</f>
        <v/>
      </c>
      <c r="B1520">
        <f>Skills!B2</f>
        <v/>
      </c>
      <c r="C1520">
        <f>Inputs!$B$3&gt;=100</f>
        <v/>
      </c>
      <c r="D1520" t="inlineStr"/>
      <c r="E1520" t="inlineStr"/>
      <c r="F1520">
        <f>T1522+Skills!N2</f>
        <v/>
      </c>
      <c r="G1520">
        <f>Calc!G2</f>
        <v/>
      </c>
      <c r="H1520">
        <f>Calc!H2</f>
        <v/>
      </c>
      <c r="I1520">
        <f>IF(Skills!T2&lt;&gt;"",1+(Skills!T2/10)*($Z$3/1000)/100,1)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1556)/100)),0))*(1+Inputs!$B$14/100))*0.01+Inputs!$B$15*0.0025)/100)*(1+(Inputs!$B$16+B1550)/100)*(1+IF(Inputs!$B$39="pvp",0,(1-Summary!$B$48)*(Inputs!$B$21+Skills!O2+B1548)+Summary!$B$48*(Inputs!$B$22+Skills!P2+B1549))/100)*(1+Inputs!$B$17/100)*(5000/(6000+Inputs!$B$43*(1-Inputs!$B$20/100)))*(1+Inputs!$B$25/100)*(1+IF(C1536=TRUE,F1536,0)/100)*(1+IF(C1538=TRUE,F1538,0)/100)*(1+IF(Skills!A2="TRIUMPH_FEATHER",IF(C1534=TRUE,F1534,0),0)/100)*(1+IF(C1545=TRUE,F1545,0)/100)^5*(1+(IF(Skills!A2="BIG_BANG",Inputs!$B$18,Inputs!$B$19))/100)*(B1547*I1520)</f>
        <v/>
      </c>
      <c r="L1520">
        <f>K1520*(MIN(Inputs!$B$23+(F1540-Calc!F22),Inputs!$B$24)/100+Inputs!$B$24/100)/2</f>
        <v/>
      </c>
      <c r="M1520">
        <f>L1520*(1+(Inputs!$B$11+B1551+(F1543-Calc!F25))/100)</f>
        <v/>
      </c>
      <c r="N1520">
        <f>L1520*(1-MIN(Inputs!$B$10+((F1542-Calc!F24)+(F1541-Calc!F23)),100)/100)+M1520*(MIN(Inputs!$B$10+((F1542-Calc!F24)+(F1541-Calc!F23)),100)/100)</f>
        <v/>
      </c>
      <c r="O1520">
        <f>IF(C1520,Skills!F2*N1520*B1555*IF(Inputs!$B$39="pvp",1,(1-Summary!$B$48)*(1)+Summary!$B$48*(MIN((6+Inputs!$B$34),Inputs!$B$38))),0)</f>
        <v/>
      </c>
      <c r="P1520">
        <f>IF(B1558=0,0,O1520/B1558)</f>
        <v/>
      </c>
      <c r="Q1520">
        <f>IFERROR(1/IF(Inputs!$B$39="pvp",15,MAX(0.1,Skills!D2-IF(Skills!E2=TRUE,4.5,0))),0)</f>
        <v/>
      </c>
      <c r="R1520" t="n">
        <v>0</v>
      </c>
      <c r="T1520">
        <f>MAX(0,(Inputs!$B$3-100)*3)+Inputs!$B$29+Inputs!$B$30</f>
        <v/>
      </c>
    </row>
    <row r="1521">
      <c r="A1521">
        <f>Skills!A3</f>
        <v/>
      </c>
      <c r="B1521">
        <f>Skills!B3</f>
        <v/>
      </c>
      <c r="C1521">
        <f>Inputs!$B$3&gt;=15</f>
        <v/>
      </c>
      <c r="D1521">
        <f>IF(Skills!C3=1,60+Inputs!$B$26+Inputs!$B$30,IF(Skills!C3=2,90+Inputs!$B$27+Inputs!$B$30,IF(Skills!C3=3,120+Inputs!$B$28+Inputs!$B$30,MAX(0,(Inputs!$B$3-100)*3)+Inputs!$B$29+Inputs!$B$30)))</f>
        <v/>
      </c>
      <c r="E1521">
        <f>INDEX(FactorTable!$B$2:$Y$301, MATCH(ROUND(MIN(300,MAX(1,D1521)),0), FactorTable!$A$2:$A$301,0), Skills!L3+1)</f>
        <v/>
      </c>
      <c r="F1521">
        <f>IF(Skills!M3=TRUE,(Skills!K3/10)*(E1521/1000),Skills!K3/10)+Skills!N3</f>
        <v/>
      </c>
      <c r="G1521">
        <f>Calc!G3</f>
        <v/>
      </c>
      <c r="H1521">
        <f>Calc!H3</f>
        <v/>
      </c>
      <c r="I1521">
        <f>IF(Skills!T3&lt;&gt;"",1+(Skills!T3/10)*($Z$3/1000)/100,1)</f>
        <v/>
      </c>
      <c r="J1521" t="inlineStr"/>
      <c r="K1521" t="inlineStr"/>
      <c r="L1521" t="inlineStr"/>
      <c r="M1521" t="inlineStr"/>
      <c r="N1521" t="inlineStr"/>
      <c r="O1521" t="n">
        <v>0</v>
      </c>
      <c r="P1521">
        <f>IF(B1558=0,0,O1521/B1558)</f>
        <v/>
      </c>
      <c r="Q1521">
        <f>IFERROR(1/IF(Inputs!$B$39="pvp",15,MAX(0.1,Skills!D3-IF(Skills!E3=TRUE,4.5,0))),0)</f>
        <v/>
      </c>
      <c r="R1521">
        <f>IF(AND(Inputs!$B$39&lt;&gt;"pvp",Inputs!$B$44&gt;0),IF(Inputs!$B$44&lt;=0,0,(INT(Inputs!$B$44/IF(Inputs!$B$39="pvp",15,MAX(0.1,Skills!D3-IF(Skills!E3=TRUE,4.5,0))))+1)),0)</f>
        <v/>
      </c>
      <c r="T1521">
        <f>INDEX(FactorTable!$B$2:$Y$301, MATCH(ROUND(MIN(300,MAX(1,T1520)),0), FactorTable!$A$2:$A$301,0), 22)</f>
        <v/>
      </c>
    </row>
    <row r="1522">
      <c r="A1522">
        <f>Skills!A4</f>
        <v/>
      </c>
      <c r="B1522">
        <f>Skills!B4</f>
        <v/>
      </c>
      <c r="C1522">
        <f>Inputs!$B$3&gt;=38</f>
        <v/>
      </c>
      <c r="D1522">
        <f>IF(Skills!C4=1,60+Inputs!$B$26+Inputs!$B$30,IF(Skills!C4=2,90+Inputs!$B$27+Inputs!$B$30,IF(Skills!C4=3,120+Inputs!$B$28+Inputs!$B$30,MAX(0,(Inputs!$B$3-100)*3)+Inputs!$B$29+Inputs!$B$30)))</f>
        <v/>
      </c>
      <c r="E1522">
        <f>INDEX(FactorTable!$B$2:$Y$301, MATCH(ROUND(MIN(300,MAX(1,D1522)),0), FactorTable!$A$2:$A$301,0), Skills!L4+1)</f>
        <v/>
      </c>
      <c r="F1522">
        <f>IF(Skills!M4=TRUE,(Skills!K4/10)*(E1522/1000),Skills!K4/10)+Skills!N4</f>
        <v/>
      </c>
      <c r="G1522">
        <f>Calc!G4</f>
        <v/>
      </c>
      <c r="H1522">
        <f>Calc!H4</f>
        <v/>
      </c>
      <c r="I1522">
        <f>IF(Skills!T4&lt;&gt;"",1+(Skills!T4/10)*($Z$3/1000)/100,1)</f>
        <v/>
      </c>
      <c r="J1522" t="inlineStr"/>
      <c r="K1522" t="inlineStr"/>
      <c r="L1522" t="inlineStr"/>
      <c r="M1522" t="inlineStr"/>
      <c r="N1522" t="inlineStr"/>
      <c r="O1522" t="n">
        <v>0</v>
      </c>
      <c r="P1522">
        <f>IF(B1558=0,0,O1522/B1558)</f>
        <v/>
      </c>
      <c r="Q1522">
        <f>IFERROR(1/IF(Inputs!$B$39="pvp",15,MAX(0.1,Skills!D4-IF(Skills!E4=TRUE,4.5,0))),0)</f>
        <v/>
      </c>
      <c r="R1522">
        <f>IF(AND(Inputs!$B$39&lt;&gt;"pvp",Inputs!$B$44&gt;0),IF(Inputs!$B$44&lt;=0,0,(INT(Inputs!$B$44/IF(Inputs!$B$39="pvp",15,MAX(0.1,Skills!D4-IF(Skills!E4=TRUE,4.5,0))))+1)),0)</f>
        <v/>
      </c>
      <c r="T1522">
        <f>290*T1521/1000</f>
        <v/>
      </c>
    </row>
    <row r="1523">
      <c r="A1523">
        <f>Skills!A5</f>
        <v/>
      </c>
      <c r="B1523">
        <f>Skills!B5</f>
        <v/>
      </c>
      <c r="C1523">
        <f>Inputs!$B$3&gt;=40</f>
        <v/>
      </c>
      <c r="D1523">
        <f>IF(Skills!C5=1,60+Inputs!$B$26+Inputs!$B$30,IF(Skills!C5=2,90+Inputs!$B$27+Inputs!$B$30,IF(Skills!C5=3,120+Inputs!$B$28+Inputs!$B$30,MAX(0,(Inputs!$B$3-100)*3)+Inputs!$B$29+Inputs!$B$30)))</f>
        <v/>
      </c>
      <c r="E1523">
        <f>INDEX(FactorTable!$B$2:$Y$301, MATCH(ROUND(MIN(300,MAX(1,D1523)),0), FactorTable!$A$2:$A$301,0), Skills!L5+1)</f>
        <v/>
      </c>
      <c r="F1523">
        <f>IF(Skills!M5=TRUE,(Skills!K5/10)*(E1523/1000),Skills!K5/10)+Skills!N5</f>
        <v/>
      </c>
      <c r="G1523">
        <f>Calc!G5</f>
        <v/>
      </c>
      <c r="H1523">
        <f>Calc!H5</f>
        <v/>
      </c>
      <c r="I1523">
        <f>IF(Skills!T5&lt;&gt;"",1+(Skills!T5/10)*($Z$3/1000)/100,1)</f>
        <v/>
      </c>
      <c r="J1523" t="inlineStr"/>
      <c r="K1523" t="inlineStr"/>
      <c r="L1523" t="inlineStr"/>
      <c r="M1523" t="inlineStr"/>
      <c r="N1523" t="inlineStr"/>
      <c r="O1523" t="n">
        <v>0</v>
      </c>
      <c r="P1523">
        <f>IF(B1558=0,0,O1523/B1558)</f>
        <v/>
      </c>
      <c r="Q1523">
        <f>IFERROR(1/IF(Inputs!$B$39="pvp",15,MAX(0.1,Skills!D5-IF(Skills!E5=TRUE,4.5,0))),0)</f>
        <v/>
      </c>
      <c r="R1523">
        <f>IF(AND(Inputs!$B$39&lt;&gt;"pvp",Inputs!$B$44&gt;0),IF(Inputs!$B$44&lt;=0,0,(INT(Inputs!$B$44/IF(Inputs!$B$39="pvp",15,MAX(0.1,Skills!D5-IF(Skills!E5=TRUE,4.5,0))))+1)),0)</f>
        <v/>
      </c>
    </row>
    <row r="1524">
      <c r="A1524">
        <f>Skills!A6</f>
        <v/>
      </c>
      <c r="B1524">
        <f>Skills!B6</f>
        <v/>
      </c>
      <c r="C1524">
        <f>Inputs!$B$3&gt;=103</f>
        <v/>
      </c>
      <c r="D1524">
        <f>IF(Skills!C6=1,60+Inputs!$B$26+Inputs!$B$30,IF(Skills!C6=2,90+Inputs!$B$27+Inputs!$B$30,IF(Skills!C6=3,120+Inputs!$B$28+Inputs!$B$30,MAX(0,(Inputs!$B$3-100)*3)+Inputs!$B$29+Inputs!$B$30)))</f>
        <v/>
      </c>
      <c r="E1524">
        <f>INDEX(FactorTable!$B$2:$Y$301, MATCH(ROUND(MIN(300,MAX(1,D1524)),0), FactorTable!$A$2:$A$301,0), Skills!L6+1)</f>
        <v/>
      </c>
      <c r="F1524">
        <f>IF(Skills!M6=TRUE,(Skills!K6/10)*(E1524/1000),Skills!K6/10)+Skills!N6</f>
        <v/>
      </c>
      <c r="G1524">
        <f>Calc!G6</f>
        <v/>
      </c>
      <c r="H1524">
        <f>Calc!H6</f>
        <v/>
      </c>
      <c r="I1524">
        <f>IF(Skills!T6&lt;&gt;"",1+(Skills!T6/10)*($Z$3/1000)/100,1)</f>
        <v/>
      </c>
      <c r="J1524">
        <f>((Inputs!$B$6*(1+Inputs!$B$7/100))+(((Inputs!$B$13*(1+Inputs!$B$14/100))-(Inputs!$B$13*(1+Inputs!$B$14/100)))+0.25*(Inputs!$B$15-Inputs!$B$15))*(1+Inputs!$B$7/100))*(F1524/100)</f>
        <v/>
      </c>
      <c r="K1524">
        <f>J1524*(1+(((Inputs!$B$13+IF(Inputs!$B$3&gt;=35,(10*INDEX(FactorTable!$B$2:$Y$301, MATCH(ROUND(MIN(300,MAX(1,Inputs!$B$3)),0), FactorTable!$A$2:$A$301,0), 23)/1000)/100*(Inputs!$B$8*(1+(Inputs!$B$9+B1556)/100)),0))*(1+Inputs!$B$14/100))*0.01+Inputs!$B$15*0.0025)/100)*(1+(Inputs!$B$16+B1550)/100)*(1+IF(Inputs!$B$39="pvp",0,(1-Summary!$B$48)*(Inputs!$B$21+Skills!O6+B1548)+Summary!$B$48*(Inputs!$B$22+Skills!P6+B1549))/100)*(1+Inputs!$B$17/100)*(5000/(6000+Inputs!$B$43*(1-Inputs!$B$20/100)))*(1+Inputs!$B$25/100)*(1+IF(C1536=TRUE,F1536,0)/100)*(1+IF(C1538=TRUE,F1538,0)/100)*(1+IF(Skills!A6="TRIUMPH_FEATHER",IF(C1534=TRUE,F1534,0),0)/100)*(1+IF(C1545=TRUE,F1545,0)/100)^5*(1+(IF(Skills!A6="BIG_BANG",Inputs!$B$18,Inputs!$B$19))/100)*(B1547*I1524)</f>
        <v/>
      </c>
      <c r="L1524">
        <f>K1524*(MIN(Inputs!$B$23+(F1540-Calc!F22),Inputs!$B$24)/100+Inputs!$B$24/100)/2</f>
        <v/>
      </c>
      <c r="M1524">
        <f>L1524*(1+(Inputs!$B$11+B1551+(F1543-Calc!F25))/100)</f>
        <v/>
      </c>
      <c r="N1524">
        <f>L1524*(1-MIN(Inputs!$B$10+((F1542-Calc!F24)+(F1541-Calc!F23)),100)/100)+M1524*(MIN(Inputs!$B$10+((F1542-Calc!F24)+(F1541-Calc!F23)),100)/100)</f>
        <v/>
      </c>
      <c r="O1524">
        <f>IF(C1524,H1524*N1524*IF(AND(Inputs!$B$39&lt;&gt;"pvp",Inputs!$B$44&gt;0),((Skills!F6*((R1524-1)*IF(Skills!G6&gt;0,Skills!H6/Skills!G6,1)+IF(Skills!G6&gt;0,MIN(Skills!H6,MAX(0,MAX(0,Inputs!$B$44-B1557)-((R1524-1)*IF(Inputs!$B$39="pvp",15,MAX(0.1,Skills!D6-IF(Skills!E6=TRUE,4.5,0))))))/Skills!G6,1)))/Inputs!$B$44),G1524*Q1524)*IF(Inputs!$B$39="pvp",1,(1-Summary!$B$48)*(1)+Summary!$B$48*(MIN(Skills!Q6,Inputs!$B$38))),0)</f>
        <v/>
      </c>
      <c r="P1524">
        <f>IF(B1558=0,0,O1524/B1558)</f>
        <v/>
      </c>
      <c r="Q1524">
        <f>IFERROR(1/IF(Inputs!$B$39="pvp",15,MAX(0.1,Skills!D6-IF(Skills!E6=TRUE,4.5,0))),0)</f>
        <v/>
      </c>
      <c r="R1524">
        <f>IF(AND(Inputs!$B$39&lt;&gt;"pvp",Inputs!$B$44&gt;0),IF(MAX(0,Inputs!$B$44-B1557)&lt;=0,0,(INT(MAX(0,Inputs!$B$44-B1557)/IF(Inputs!$B$39="pvp",15,MAX(0.1,Skills!D6-IF(Skills!E6=TRUE,4.5,0))))+1)),0)</f>
        <v/>
      </c>
    </row>
    <row r="1525">
      <c r="A1525">
        <f>Skills!A7</f>
        <v/>
      </c>
      <c r="B1525">
        <f>Skills!B7</f>
        <v/>
      </c>
      <c r="C1525">
        <f>Inputs!$B$3&gt;=122</f>
        <v/>
      </c>
      <c r="D1525">
        <f>IF(Skills!C7=1,60+Inputs!$B$26+Inputs!$B$30,IF(Skills!C7=2,90+Inputs!$B$27+Inputs!$B$30,IF(Skills!C7=3,120+Inputs!$B$28+Inputs!$B$30,MAX(0,(Inputs!$B$3-100)*3)+Inputs!$B$29+Inputs!$B$30)))</f>
        <v/>
      </c>
      <c r="E1525">
        <f>INDEX(FactorTable!$B$2:$Y$301, MATCH(ROUND(MIN(300,MAX(1,D1525)),0), FactorTable!$A$2:$A$301,0), Skills!L7+1)</f>
        <v/>
      </c>
      <c r="F1525">
        <f>IF(Skills!M7=TRUE,(Skills!K7/10)*(E1525/1000),Skills!K7/10)+Skills!N7</f>
        <v/>
      </c>
      <c r="G1525">
        <f>Calc!G7</f>
        <v/>
      </c>
      <c r="H1525">
        <f>Calc!H7</f>
        <v/>
      </c>
      <c r="I1525">
        <f>IF(Skills!T7&lt;&gt;"",1+(Skills!T7/10)*($Z$3/1000)/100,1)</f>
        <v/>
      </c>
      <c r="J1525">
        <f>((Inputs!$B$6*(1+Inputs!$B$7/100))+(((Inputs!$B$13*(1+Inputs!$B$14/100))-(Inputs!$B$13*(1+Inputs!$B$14/100)))+0.25*(Inputs!$B$15-Inputs!$B$15))*(1+Inputs!$B$7/100))*(F1525/100)</f>
        <v/>
      </c>
      <c r="K1525">
        <f>J1525*(1+(((Inputs!$B$13+IF(Inputs!$B$3&gt;=35,(10*INDEX(FactorTable!$B$2:$Y$301, MATCH(ROUND(MIN(300,MAX(1,Inputs!$B$3)),0), FactorTable!$A$2:$A$301,0), 23)/1000)/100*(Inputs!$B$8*(1+(Inputs!$B$9+B1556)/100)),0))*(1+Inputs!$B$14/100))*0.01+Inputs!$B$15*0.0025)/100)*(1+(Inputs!$B$16+B1550)/100)*(1+IF(Inputs!$B$39="pvp",0,(1-Summary!$B$48)*(Inputs!$B$21+Skills!O7+B1548)+Summary!$B$48*(Inputs!$B$22+Skills!P7+B1549))/100)*(1+Inputs!$B$17/100)*(5000/(6000+Inputs!$B$43*(1-Inputs!$B$20/100)))*(1+Inputs!$B$25/100)*(1+IF(C1536=TRUE,F1536,0)/100)*(1+IF(C1538=TRUE,F1538,0)/100)*(1+IF(Skills!A7="TRIUMPH_FEATHER",IF(C1534=TRUE,F1534,0),0)/100)*(1+IF(C1545=TRUE,F1545,0)/100)^5*(1+(IF(Skills!A7="BIG_BANG",Inputs!$B$18,Inputs!$B$19))/100)*(B1547*I1525)</f>
        <v/>
      </c>
      <c r="L1525">
        <f>K1525*(MIN(Inputs!$B$23+(F1540-Calc!F22),Inputs!$B$24)/100+Inputs!$B$24/100)/2</f>
        <v/>
      </c>
      <c r="M1525">
        <f>L1525*(1+(Inputs!$B$11+B1551+(F1543-Calc!F25))/100)</f>
        <v/>
      </c>
      <c r="N1525">
        <f>L1525*(1-MIN(Inputs!$B$10+((F1542-Calc!F24)+(F1541-Calc!F23)),100)/100)+M1525*(MIN(Inputs!$B$10+((F1542-Calc!F24)+(F1541-Calc!F23)),100)/100)</f>
        <v/>
      </c>
      <c r="O1525">
        <f>IF(C1525,H1525*N1525*IF(AND(Inputs!$B$39&lt;&gt;"pvp",Inputs!$B$44&gt;0),((Skills!F7*((R1525-1)*IF(Skills!G7&gt;0,Skills!H7/Skills!G7,1)+IF(Skills!G7&gt;0,MIN(Skills!H7,MAX(0,MAX(0,Inputs!$B$44-B1557)-((R1525-1)*IF(Inputs!$B$39="pvp",15,MAX(0.1,Skills!D7-IF(Skills!E6=TRUE,4.5,0))))))/Skills!G7,1)))/Inputs!$B$44),G1525*Q1525)*(1-Summary!$B$48),0)</f>
        <v/>
      </c>
      <c r="P1525">
        <f>IF(B1558=0,0,O1525/B1558)</f>
        <v/>
      </c>
      <c r="Q1525">
        <f>IFERROR(1/IF(Inputs!$B$39="pvp",15,MAX(0.1,Skills!D7-IF(Skills!E6=TRUE,4.5,0))),0)</f>
        <v/>
      </c>
      <c r="R1525">
        <f>IF(AND(Inputs!$B$39&lt;&gt;"pvp",Inputs!$B$44&gt;0),IF(MAX(0,Inputs!$B$44-B1557)&lt;=0,0,(INT(MAX(0,Inputs!$B$44-B1557)/IF(Inputs!$B$39="pvp",15,MAX(0.1,Skills!D7-IF(Skills!E6=TRUE,4.5,0))))+1)),0)</f>
        <v/>
      </c>
    </row>
    <row r="1526">
      <c r="A1526">
        <f>Skills!A8</f>
        <v/>
      </c>
      <c r="B1526">
        <f>Skills!B8</f>
        <v/>
      </c>
      <c r="C1526">
        <f>Inputs!$B$3&gt;=105</f>
        <v/>
      </c>
      <c r="D1526">
        <f>IF(Skills!C8=1,60+Inputs!$B$26+Inputs!$B$30,IF(Skills!C8=2,90+Inputs!$B$27+Inputs!$B$30,IF(Skills!C8=3,120+Inputs!$B$28+Inputs!$B$30,MAX(0,(Inputs!$B$3-100)*3)+Inputs!$B$29+Inputs!$B$30)))</f>
        <v/>
      </c>
      <c r="E1526">
        <f>INDEX(FactorTable!$B$2:$Y$301, MATCH(ROUND(MIN(300,MAX(1,D1526)),0), FactorTable!$A$2:$A$301,0), Skills!L8+1)</f>
        <v/>
      </c>
      <c r="F1526">
        <f>IF(Skills!M8=TRUE,(Skills!K8/10)*(E1526/1000),Skills!K8/10)+Skills!N8</f>
        <v/>
      </c>
      <c r="G1526">
        <f>Calc!G8</f>
        <v/>
      </c>
      <c r="H1526">
        <f>Calc!H8</f>
        <v/>
      </c>
      <c r="I1526">
        <f>IF(Skills!T8&lt;&gt;"",1+(Skills!T8/10)*($Z$3/1000)/100,1)</f>
        <v/>
      </c>
      <c r="J1526">
        <f>((Inputs!$B$6*(1+Inputs!$B$7/100))+(((Inputs!$B$13*(1+Inputs!$B$14/100))-(Inputs!$B$13*(1+Inputs!$B$14/100)))+0.25*(Inputs!$B$15-Inputs!$B$15))*(1+Inputs!$B$7/100))*(F1526/100)</f>
        <v/>
      </c>
      <c r="K1526">
        <f>J1526*(1+(((Inputs!$B$13+IF(Inputs!$B$3&gt;=35,(10*INDEX(FactorTable!$B$2:$Y$301, MATCH(ROUND(MIN(300,MAX(1,Inputs!$B$3)),0), FactorTable!$A$2:$A$301,0), 23)/1000)/100*(Inputs!$B$8*(1+(Inputs!$B$9+B1556)/100)),0))*(1+Inputs!$B$14/100))*0.01+Inputs!$B$15*0.0025)/100)*(1+(Inputs!$B$16+B1550)/100)*(1+IF(Inputs!$B$39="pvp",0,(1-Summary!$B$48)*(Inputs!$B$21+Skills!O8+B1548)+Summary!$B$48*(Inputs!$B$22+Skills!P8+B1549))/100)*(1+Inputs!$B$17/100)*(5000/(6000+Inputs!$B$43*(1-Inputs!$B$20/100)))*(1+Inputs!$B$25/100)*(1+IF(C1536=TRUE,F1536,0)/100)*(1+IF(C1538=TRUE,F1538,0)/100)*(1+IF(Skills!A8="TRIUMPH_FEATHER",IF(C1534=TRUE,F1534,0),0)/100)*(1+IF(C1545=TRUE,F1545,0)/100)^5*(1+(IF(Skills!A8="BIG_BANG",Inputs!$B$18,Inputs!$B$19))/100)*(B1547*I1526)</f>
        <v/>
      </c>
      <c r="L1526">
        <f>K1526*(MIN(Inputs!$B$23+(F1540-Calc!F22),Inputs!$B$24)/100+Inputs!$B$24/100)/2</f>
        <v/>
      </c>
      <c r="M1526">
        <f>L1526*(1+(Inputs!$B$11+B1551+(F1543-Calc!F25))/100)</f>
        <v/>
      </c>
      <c r="N1526">
        <f>L1526*(1-MIN(Inputs!$B$10+((F1542-Calc!F24)+(F1541-Calc!F23)),100)/100)+M1526*(MIN(Inputs!$B$10+((F1542-Calc!F24)+(F1541-Calc!F23)),100)/100)</f>
        <v/>
      </c>
      <c r="O1526">
        <f>IF(C1526,H1526*N1526*IF(AND(Inputs!$B$39&lt;&gt;"pvp",Inputs!$B$44&gt;0),((Skills!F8*((R1526-1)*IF(Skills!G8&gt;0,Skills!H8/Skills!G8,1)+IF(Skills!G8&gt;0,MIN(Skills!H8,MAX(0,MAX(0,Inputs!$B$44-B1557)-((R1526-1)*IF(Inputs!$B$39="pvp",15,MAX(0.1,Skills!D8-IF(Skills!E8=TRUE,4.5,0))))))/Skills!G8,1)))/Inputs!$B$44),G1526*Q1526)*IF(Inputs!$B$39="pvp",1,(1-Summary!$B$48)*(1)+Summary!$B$48*(MIN(Skills!Q8,Inputs!$B$38))),0)</f>
        <v/>
      </c>
      <c r="P1526">
        <f>IF(B1558=0,0,O1526/B1558)</f>
        <v/>
      </c>
      <c r="Q1526">
        <f>IFERROR(1/IF(Inputs!$B$39="pvp",15,MAX(0.1,Skills!D8-IF(Skills!E8=TRUE,4.5,0))),0)</f>
        <v/>
      </c>
      <c r="R1526">
        <f>IF(AND(Inputs!$B$39&lt;&gt;"pvp",Inputs!$B$44&gt;0),IF(MAX(0,Inputs!$B$44-B1557)&lt;=0,0,(INT(MAX(0,Inputs!$B$44-B1557)/IF(Inputs!$B$39="pvp",15,MAX(0.1,Skills!D8-IF(Skills!E8=TRUE,4.5,0))))+1)),0)</f>
        <v/>
      </c>
    </row>
    <row r="1527">
      <c r="A1527">
        <f>Skills!A9</f>
        <v/>
      </c>
      <c r="B1527">
        <f>Skills!B9</f>
        <v/>
      </c>
      <c r="C1527">
        <f>Inputs!$B$3&gt;=115</f>
        <v/>
      </c>
      <c r="D1527">
        <f>IF(Skills!C9=1,60+Inputs!$B$26+Inputs!$B$30,IF(Skills!C9=2,90+Inputs!$B$27+Inputs!$B$30,IF(Skills!C9=3,120+Inputs!$B$28+Inputs!$B$30,MAX(0,(Inputs!$B$3-100)*3)+Inputs!$B$29+Inputs!$B$30)))</f>
        <v/>
      </c>
      <c r="E1527">
        <f>INDEX(FactorTable!$B$2:$Y$301, MATCH(ROUND(MIN(300,MAX(1,D1527)),0), FactorTable!$A$2:$A$301,0), Skills!L9+1)</f>
        <v/>
      </c>
      <c r="F1527">
        <f>IF(Skills!M9=TRUE,(Skills!K9/10)*(E1527/1000),Skills!K9/10)+Skills!N9</f>
        <v/>
      </c>
      <c r="G1527">
        <f>Calc!G9</f>
        <v/>
      </c>
      <c r="H1527">
        <f>Calc!H9</f>
        <v/>
      </c>
      <c r="I1527">
        <f>IF(Skills!T9&lt;&gt;"",1+(Skills!T9/10)*($Z$3/1000)/100,1)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1556)/100)),0))*(1+Inputs!$B$14/100))*0.01+Inputs!$B$15*0.0025)/100)*(1+(Inputs!$B$16+B1550)/100)*(1+IF(Inputs!$B$39="pvp",0,(1-Summary!$B$48)*(Inputs!$B$21+Skills!O9+B1548)+Summary!$B$48*(Inputs!$B$22+Skills!P9+B1549))/100)*(1+Inputs!$B$17/100)*(5000/(6000+Inputs!$B$43*(1-Inputs!$B$20/100)))*(1+Inputs!$B$25/100)*(1+IF(C1536=TRUE,F1536,0)/100)*(1+IF(C1538=TRUE,F1538,0)/100)*(1+IF(Skills!A9="TRIUMPH_FEATHER",IF(C1534=TRUE,F1534,0),0)/100)*(1+IF(C1545=TRUE,F1545,0)/100)^5*(1+(IF(Skills!A9="BIG_BANG",Inputs!$B$18,Inputs!$B$19))/100)*(B1547*I1527)</f>
        <v/>
      </c>
      <c r="L1527">
        <f>K1527*(MIN(Inputs!$B$23+(F1540-Calc!F22),Inputs!$B$24)/100+Inputs!$B$24/100)/2</f>
        <v/>
      </c>
      <c r="M1527">
        <f>L1527*(1+(Inputs!$B$11+B1551+(F1543-Calc!F25))/100)</f>
        <v/>
      </c>
      <c r="N1527">
        <f>L1527*(1-MIN(Inputs!$B$10+((F1542-Calc!F24)+(F1541-Calc!F23)),100)/100)+M1527*(MIN(Inputs!$B$10+((F1542-Calc!F24)+(F1541-Calc!F23)),100)/100)</f>
        <v/>
      </c>
      <c r="O1527">
        <f>IF(C1527,H1527*N1527*IF(AND(Inputs!$B$39&lt;&gt;"pvp",Inputs!$B$44&gt;0),((Skills!F9*((R1527-1)*IF(Skills!G9&gt;0,Skills!H9/Skills!G9,1)+IF(Skills!G9&gt;0,MIN(Skills!H9,MAX(0,MAX(0,Inputs!$B$44-B1557)-((R1527-1)*IF(Inputs!$B$39="pvp",15,MAX(0.1,Skills!D9-IF(Skills!E9=TRUE,4.5,0))))))/Skills!G9,1)))/Inputs!$B$44),G1527*Q1527)*IF(Inputs!$B$39="pvp",1,(1-Summary!$B$48)*(1)+Summary!$B$48*(MIN(Skills!Q9,Inputs!$B$38))),0)</f>
        <v/>
      </c>
      <c r="P1527">
        <f>IF(B1558=0,0,O1527/B1558)</f>
        <v/>
      </c>
      <c r="Q1527">
        <f>IFERROR(1/IF(Inputs!$B$39="pvp",15,MAX(0.1,Skills!D9-IF(Skills!E9=TRUE,4.5,0))),0)</f>
        <v/>
      </c>
      <c r="R1527">
        <f>IF(AND(Inputs!$B$39&lt;&gt;"pvp",Inputs!$B$44&gt;0),IF(MAX(0,Inputs!$B$44-B1557)&lt;=0,0,(INT(MAX(0,Inputs!$B$44-B1557)/IF(Inputs!$B$39="pvp",15,MAX(0.1,Skills!D9-IF(Skills!E9=TRUE,4.5,0))))+1)),0)</f>
        <v/>
      </c>
    </row>
    <row r="1528">
      <c r="A1528">
        <f>Skills!A10</f>
        <v/>
      </c>
      <c r="B1528">
        <f>Skills!B10</f>
        <v/>
      </c>
      <c r="C1528">
        <f>Inputs!$B$3&gt;=66</f>
        <v/>
      </c>
      <c r="D1528">
        <f>IF(Skills!C10=1,60+Inputs!$B$26+Inputs!$B$30,IF(Skills!C10=2,90+Inputs!$B$27+Inputs!$B$30,IF(Skills!C10=3,120+Inputs!$B$28+Inputs!$B$30,MAX(0,(Inputs!$B$3-100)*3)+Inputs!$B$29+Inputs!$B$30)))</f>
        <v/>
      </c>
      <c r="E1528">
        <f>INDEX(FactorTable!$B$2:$Y$301, MATCH(ROUND(MIN(300,MAX(1,D1528)),0), FactorTable!$A$2:$A$301,0), Skills!L10+1)</f>
        <v/>
      </c>
      <c r="F1528" t="n">
        <v>0</v>
      </c>
      <c r="G1528">
        <f>Calc!G10</f>
        <v/>
      </c>
      <c r="H1528">
        <f>Calc!H10</f>
        <v/>
      </c>
      <c r="I1528">
        <f>IF(Skills!T10&lt;&gt;"",1+(Skills!T10/10)*($Z$3/1000)/100,1)</f>
        <v/>
      </c>
      <c r="J1528" t="inlineStr"/>
      <c r="K1528" t="inlineStr"/>
      <c r="L1528" t="inlineStr"/>
      <c r="M1528" t="inlineStr"/>
      <c r="N1528" t="inlineStr"/>
      <c r="O1528" t="n">
        <v>0</v>
      </c>
      <c r="P1528">
        <f>IF(B1558=0,0,O1528/B1558)</f>
        <v/>
      </c>
      <c r="Q1528">
        <f>IFERROR(1/IF(Inputs!$B$39="pvp",15,MAX(0.1,Skills!D10-IF(Skills!E10=TRUE,4.5,0))),0)</f>
        <v/>
      </c>
      <c r="R1528">
        <f>IF(AND(Inputs!$B$39&lt;&gt;"pvp",Inputs!$B$44&gt;0),IF(MAX(0,Inputs!$B$44-B1557)&lt;=0,0,(INT(MAX(0,Inputs!$B$44-B1557)/IF(Inputs!$B$39="pvp",15,MAX(0.1,Skills!D10-IF(Skills!E10=TRUE,4.5,0))))+1)),0)</f>
        <v/>
      </c>
    </row>
    <row r="1529">
      <c r="A1529">
        <f>Skills!A11</f>
        <v/>
      </c>
      <c r="B1529">
        <f>Skills!B11</f>
        <v/>
      </c>
      <c r="C1529">
        <f>Inputs!$B$3&gt;=69</f>
        <v/>
      </c>
      <c r="D1529">
        <f>IF(Skills!C11=1,60+Inputs!$B$26+Inputs!$B$30,IF(Skills!C11=2,90+Inputs!$B$27+Inputs!$B$30,IF(Skills!C11=3,120+Inputs!$B$28+Inputs!$B$30,MAX(0,(Inputs!$B$3-100)*3)+Inputs!$B$29+Inputs!$B$30)))</f>
        <v/>
      </c>
      <c r="E1529">
        <f>INDEX(FactorTable!$B$2:$Y$301, MATCH(ROUND(MIN(300,MAX(1,D1529)),0), FactorTable!$A$2:$A$301,0), Skills!L11+1)</f>
        <v/>
      </c>
      <c r="F1529">
        <f>IF(Skills!M11=TRUE,(Skills!K11/10)*(E1529/1000),Skills!K11/10)+Skills!N11</f>
        <v/>
      </c>
      <c r="G1529">
        <f>Calc!G11</f>
        <v/>
      </c>
      <c r="H1529">
        <f>Calc!H11</f>
        <v/>
      </c>
      <c r="I1529">
        <f>IF(Skills!T11&lt;&gt;"",1+(Skills!T11/10)*($Z$3/1000)/100,1)</f>
        <v/>
      </c>
      <c r="J1529" t="inlineStr"/>
      <c r="K1529" t="inlineStr"/>
      <c r="L1529" t="inlineStr"/>
      <c r="M1529" t="inlineStr"/>
      <c r="N1529" t="inlineStr"/>
      <c r="O1529" t="n">
        <v>0</v>
      </c>
      <c r="P1529">
        <f>IF(B1558=0,0,O1529/B1558)</f>
        <v/>
      </c>
      <c r="Q1529">
        <f>IFERROR(1/IF(Inputs!$B$39="pvp",15,MAX(0.1,Skills!D11-IF(Skills!E11=TRUE,4.5,0))),0)</f>
        <v/>
      </c>
      <c r="R1529">
        <f>IF(AND(Inputs!$B$39&lt;&gt;"pvp",Inputs!$B$44&gt;0),IF(Inputs!$B$44&lt;=0,0,(INT(Inputs!$B$44/IF(Inputs!$B$39="pvp",15,MAX(0.1,Skills!D11-IF(Skills!E11=TRUE,4.5,0))))+1)),0)</f>
        <v/>
      </c>
    </row>
    <row r="1530">
      <c r="A1530">
        <f>Skills!A12</f>
        <v/>
      </c>
      <c r="B1530">
        <f>Skills!B12</f>
        <v/>
      </c>
      <c r="C1530">
        <f>Inputs!$B$3&gt;=72</f>
        <v/>
      </c>
      <c r="D1530">
        <f>IF(Skills!C12=1,60+Inputs!$B$26+Inputs!$B$30,IF(Skills!C12=2,90+Inputs!$B$27+Inputs!$B$30,IF(Skills!C12=3,120+Inputs!$B$28+Inputs!$B$30,MAX(0,(Inputs!$B$3-100)*3)+Inputs!$B$29+Inputs!$B$30)))</f>
        <v/>
      </c>
      <c r="E1530">
        <f>INDEX(FactorTable!$B$2:$Y$301, MATCH(ROUND(MIN(300,MAX(1,D1530)),0), FactorTable!$A$2:$A$301,0), Skills!L12+1)</f>
        <v/>
      </c>
      <c r="F1530">
        <f>IF(Skills!M12=TRUE,(Skills!K12/10)*(E1530/1000),Skills!K12/10)+Skills!N12</f>
        <v/>
      </c>
      <c r="G1530">
        <f>Calc!G12</f>
        <v/>
      </c>
      <c r="H1530">
        <f>Calc!H12</f>
        <v/>
      </c>
      <c r="I1530">
        <f>IF(Skills!T12&lt;&gt;"",1+(Skills!T12/10)*($Z$3/1000)/100,1)</f>
        <v/>
      </c>
      <c r="J1530" t="inlineStr"/>
      <c r="K1530" t="inlineStr"/>
      <c r="L1530" t="inlineStr"/>
      <c r="M1530" t="inlineStr"/>
      <c r="N1530" t="inlineStr"/>
      <c r="O1530" t="n">
        <v>0</v>
      </c>
      <c r="P1530">
        <f>IF(B1558=0,0,O1530/B1558)</f>
        <v/>
      </c>
      <c r="Q1530">
        <f>IFERROR(1/IF(Inputs!$B$39="pvp",15,MAX(0.1,Skills!D12-IF(Skills!E12=TRUE,4.5,0))),0)</f>
        <v/>
      </c>
      <c r="R1530">
        <f>IF(AND(Inputs!$B$39&lt;&gt;"pvp",Inputs!$B$44&gt;0),IF(MAX(0,Inputs!$B$44-B1557)&lt;=0,0,(INT(MAX(0,Inputs!$B$44-B1557)/IF(Inputs!$B$39="pvp",15,MAX(0.1,Skills!D12-IF(Skills!E12=TRUE,4.5,0))))+1)),0)</f>
        <v/>
      </c>
    </row>
    <row r="1531">
      <c r="A1531">
        <f>Skills!A13</f>
        <v/>
      </c>
      <c r="B1531">
        <f>Skills!B13</f>
        <v/>
      </c>
      <c r="C1531">
        <f>Inputs!$B$3&gt;=60</f>
        <v/>
      </c>
      <c r="D1531">
        <f>IF(Skills!C13=1,60+Inputs!$B$26+Inputs!$B$30,IF(Skills!C13=2,90+Inputs!$B$27+Inputs!$B$30,IF(Skills!C13=3,120+Inputs!$B$28+Inputs!$B$30,MAX(0,(Inputs!$B$3-100)*3)+Inputs!$B$29+Inputs!$B$30)))</f>
        <v/>
      </c>
      <c r="E1531">
        <f>INDEX(FactorTable!$B$2:$Y$301, MATCH(ROUND(MIN(300,MAX(1,D1531)),0), FactorTable!$A$2:$A$301,0), Skills!L13+1)</f>
        <v/>
      </c>
      <c r="F1531">
        <f>IF(Skills!M13=TRUE,(Skills!K13/10)*(E1531/1000),Skills!K13/10)+Skills!N13</f>
        <v/>
      </c>
      <c r="G1531">
        <f>Calc!G13</f>
        <v/>
      </c>
      <c r="H1531">
        <f>Calc!H13</f>
        <v/>
      </c>
      <c r="I1531">
        <f>IF(Skills!T13&lt;&gt;"",1+(Skills!T13/10)*($Z$3/1000)/100,1)</f>
        <v/>
      </c>
      <c r="J1531" t="inlineStr"/>
      <c r="K1531" t="inlineStr"/>
      <c r="L1531" t="inlineStr"/>
      <c r="M1531" t="inlineStr"/>
      <c r="N1531" t="inlineStr"/>
      <c r="O1531" t="n">
        <v>0</v>
      </c>
      <c r="P1531">
        <f>IF(B1558=0,0,O1531/B1558)</f>
        <v/>
      </c>
      <c r="Q1531">
        <f>IFERROR(1/IF(Inputs!$B$39="pvp",15,MAX(0.1,Skills!D13-IF(Skills!E13=TRUE,4.5,0))),0)</f>
        <v/>
      </c>
      <c r="R1531">
        <f>IF(AND(Inputs!$B$39&lt;&gt;"pvp",Inputs!$B$44&gt;0),IF(MAX(0,Inputs!$B$44-B1557)&lt;=0,0,(INT(MAX(0,Inputs!$B$44-B1557)/IF(Inputs!$B$39="pvp",15,MAX(0.1,Skills!D13-IF(Skills!E13=TRUE,4.5,0))))+1)),0)</f>
        <v/>
      </c>
    </row>
    <row r="1532">
      <c r="A1532">
        <f>Skills!A14</f>
        <v/>
      </c>
      <c r="B1532">
        <f>Skills!B14</f>
        <v/>
      </c>
      <c r="C1532">
        <f>Inputs!$B$3&gt;=107</f>
        <v/>
      </c>
      <c r="D1532">
        <f>IF(Skills!C14=1,60+Inputs!$B$26+Inputs!$B$30,IF(Skills!C14=2,90+Inputs!$B$27+Inputs!$B$30,IF(Skills!C14=3,120+Inputs!$B$28+Inputs!$B$30,MAX(0,(Inputs!$B$3-100)*3)+Inputs!$B$29+Inputs!$B$30)))</f>
        <v/>
      </c>
      <c r="E1532">
        <f>INDEX(FactorTable!$B$2:$Y$301, MATCH(ROUND(MIN(300,MAX(1,D1532)),0), FactorTable!$A$2:$A$301,0), Skills!L14+1)</f>
        <v/>
      </c>
      <c r="F1532">
        <f>IF(Skills!M14=TRUE,(Skills!K14/10)*(E1532/1000),Skills!K14/10)+Skills!N14</f>
        <v/>
      </c>
      <c r="G1532">
        <f>Calc!G14</f>
        <v/>
      </c>
      <c r="H1532">
        <f>Calc!H14</f>
        <v/>
      </c>
      <c r="I1532">
        <f>IF(Skills!T14&lt;&gt;"",1+(Skills!T14/10)*($Z$3/1000)/100,1)</f>
        <v/>
      </c>
      <c r="J1532" t="inlineStr"/>
      <c r="K1532" t="inlineStr"/>
      <c r="L1532" t="inlineStr"/>
      <c r="M1532" t="inlineStr"/>
      <c r="N1532" t="inlineStr"/>
      <c r="O1532" t="n">
        <v>0</v>
      </c>
      <c r="P1532">
        <f>IF(B1558=0,0,O1532/B1558)</f>
        <v/>
      </c>
      <c r="Q1532">
        <f>IFERROR(1/IF(Inputs!$B$39="pvp",15,MAX(0.1,Skills!D14-IF(Skills!E14=TRUE,4.5,0))),0)</f>
        <v/>
      </c>
      <c r="R1532">
        <f>IF(AND(Inputs!$B$39&lt;&gt;"pvp",Inputs!$B$44&gt;0),IF(Inputs!$B$44&lt;=0,0,(INT(Inputs!$B$44/IF(Inputs!$B$39="pvp",15,MAX(0.1,Skills!D14-IF(Skills!E14=TRUE,4.5,0))))+1)),0)</f>
        <v/>
      </c>
    </row>
    <row r="1533">
      <c r="A1533">
        <f>Skills!A15</f>
        <v/>
      </c>
      <c r="B1533">
        <f>Skills!B15</f>
        <v/>
      </c>
      <c r="C1533">
        <f>Inputs!$B$3&gt;=63</f>
        <v/>
      </c>
      <c r="D1533">
        <f>IF(Skills!C15=1,60+Inputs!$B$26+Inputs!$B$30,IF(Skills!C15=2,90+Inputs!$B$27+Inputs!$B$30,IF(Skills!C15=3,120+Inputs!$B$28+Inputs!$B$30,MAX(0,(Inputs!$B$3-100)*3)+Inputs!$B$29+Inputs!$B$30)))</f>
        <v/>
      </c>
      <c r="E1533">
        <f>INDEX(FactorTable!$B$2:$Y$301, MATCH(ROUND(MIN(300,MAX(1,D1533)),0), FactorTable!$A$2:$A$301,0), Skills!L15+1)</f>
        <v/>
      </c>
      <c r="F1533">
        <f>IF(Skills!M15=TRUE,(Skills!K15/10)*(E1533/1000),Skills!K15/10)+Skills!N15</f>
        <v/>
      </c>
      <c r="G1533">
        <f>Calc!G15</f>
        <v/>
      </c>
      <c r="H1533">
        <f>Calc!H15</f>
        <v/>
      </c>
      <c r="I1533">
        <f>IF(Skills!T15&lt;&gt;"",1+(Skills!T15/10)*($Z$3/1000)/100,1)</f>
        <v/>
      </c>
      <c r="J1533">
        <f>((Inputs!$B$6*(1+Inputs!$B$7/100))+(((Inputs!$B$13*(1+Inputs!$B$14/100))-(Inputs!$B$13*(1+Inputs!$B$14/100)))+0.25*(Inputs!$B$15-Inputs!$B$15))*(1+Inputs!$B$7/100))*(F1533/100)</f>
        <v/>
      </c>
      <c r="K1533">
        <f>J1533*(1+(((Inputs!$B$13+IF(Inputs!$B$3&gt;=35,(10*INDEX(FactorTable!$B$2:$Y$301, MATCH(ROUND(MIN(300,MAX(1,Inputs!$B$3)),0), FactorTable!$A$2:$A$301,0), 23)/1000)/100*(Inputs!$B$8*(1+(Inputs!$B$9+B1556)/100)),0))*(1+Inputs!$B$14/100))*0.01+Inputs!$B$15*0.0025)/100)*(1+(Inputs!$B$16+B1550)/100)*(1+IF(Inputs!$B$39="pvp",0,(1-Summary!$B$48)*(Inputs!$B$21+Skills!O15+B1548)+Summary!$B$48*(Inputs!$B$22+Skills!P15+B1549))/100)*(1+Inputs!$B$17/100)*(5000/(6000+Inputs!$B$43*(1-Inputs!$B$20/100)))*(1+Inputs!$B$25/100)*(1+IF(C1536=TRUE,F1536,0)/100)*(1+IF(C1538=TRUE,F1538,0)/100)*(1+IF(Skills!A15="TRIUMPH_FEATHER",IF(C1534=TRUE,F1534,0),0)/100)*(1+IF(C1545=TRUE,F1545,0)/100)^5*(1+(IF(Skills!A15="BIG_BANG",Inputs!$B$18,Inputs!$B$19))/100)*(B1547*I1533)</f>
        <v/>
      </c>
      <c r="L1533">
        <f>K1533*(MIN(Inputs!$B$23+(F1540-Calc!F22),Inputs!$B$24)/100+Inputs!$B$24/100)/2</f>
        <v/>
      </c>
      <c r="M1533">
        <f>L1533*(1+(Inputs!$B$11+B1551+(F1543-Calc!F25))/100)</f>
        <v/>
      </c>
      <c r="N1533">
        <f>L1533*(1-MIN(Inputs!$B$10+((F1542-Calc!F24)+(F1541-Calc!F23)),100)/100)+M1533*(MIN(Inputs!$B$10+((F1542-Calc!F24)+(F1541-Calc!F23)),100)/100)</f>
        <v/>
      </c>
      <c r="O1533">
        <f>IF(C1533,Skills!F15*N1533*((IF(Inputs!$B$3&gt;=78,25,15)/100*B1553*10)/(1+IF(Inputs!$B$3&gt;=78,25,15)/100*B1553*10))*(Skills!I15/100*B1553)/(1+Skills!G15*Skills!I15/100*B1553)*IF(Inputs!$B$39="pvp",1,(1-Summary!$B$48)*(1)+Summary!$B$48*(MIN(Skills!Q15,Inputs!$B$38))),0)</f>
        <v/>
      </c>
      <c r="P1533">
        <f>IF(B1558=0,0,O1533/B1558)</f>
        <v/>
      </c>
      <c r="Q1533">
        <f>IFERROR(1/IF(Inputs!$B$39="pvp",15,MAX(0.1,Skills!D15-IF(Skills!E15=TRUE,4.5,0))),0)</f>
        <v/>
      </c>
      <c r="R1533" t="n">
        <v>0</v>
      </c>
    </row>
    <row r="1534">
      <c r="A1534">
        <f>Skills!A16</f>
        <v/>
      </c>
      <c r="B1534">
        <f>Skills!B16</f>
        <v/>
      </c>
      <c r="C1534">
        <f>Inputs!$B$3&gt;=100</f>
        <v/>
      </c>
      <c r="D1534">
        <f>IF(Skills!C16=1,60+Inputs!$B$26+Inputs!$B$30,IF(Skills!C16=2,90+Inputs!$B$27+Inputs!$B$30,IF(Skills!C16=3,120+Inputs!$B$28+Inputs!$B$30,MAX(0,(Inputs!$B$3-100)*3)+Inputs!$B$29+Inputs!$B$30)))</f>
        <v/>
      </c>
      <c r="E1534">
        <f>INDEX(FactorTable!$B$2:$Y$301, MATCH(ROUND(MIN(300,MAX(1,D1534)),0), FactorTable!$A$2:$A$301,0), Skills!L16+1)</f>
        <v/>
      </c>
      <c r="F1534">
        <f>IF(Skills!M16=TRUE,(Skills!K16/10)*(E1534/1000),Skills!K16/10)+Skills!N16</f>
        <v/>
      </c>
      <c r="G1534">
        <f>Calc!G16</f>
        <v/>
      </c>
      <c r="H1534">
        <f>Calc!H16</f>
        <v/>
      </c>
      <c r="I1534">
        <f>IF(Skills!T16&lt;&gt;"",1+(Skills!T16/10)*($Z$3/1000)/100,1)</f>
        <v/>
      </c>
      <c r="J1534" t="inlineStr"/>
      <c r="K1534" t="inlineStr"/>
      <c r="L1534" t="inlineStr"/>
      <c r="M1534" t="inlineStr"/>
      <c r="N1534" t="inlineStr"/>
      <c r="O1534" t="n">
        <v>0</v>
      </c>
      <c r="P1534">
        <f>IF(B1558=0,0,O1534/B1558)</f>
        <v/>
      </c>
      <c r="Q1534">
        <f>IFERROR(1/IF(Inputs!$B$39="pvp",15,MAX(0.1,Skills!D16-IF(Skills!E16=TRUE,4.5,0))),0)</f>
        <v/>
      </c>
      <c r="R1534" t="n">
        <v>0</v>
      </c>
    </row>
    <row r="1535">
      <c r="A1535">
        <f>Skills!A17</f>
        <v/>
      </c>
      <c r="B1535">
        <f>Skills!B17</f>
        <v/>
      </c>
      <c r="C1535">
        <f>Inputs!$B$3&gt;=49</f>
        <v/>
      </c>
      <c r="D1535">
        <f>IF(Skills!C17=1,60+Inputs!$B$26+Inputs!$B$30,IF(Skills!C17=2,90+Inputs!$B$27+Inputs!$B$30,IF(Skills!C17=3,120+Inputs!$B$28+Inputs!$B$30,MAX(0,(Inputs!$B$3-100)*3)+Inputs!$B$29+Inputs!$B$30)))</f>
        <v/>
      </c>
      <c r="E1535">
        <f>INDEX(FactorTable!$B$2:$Y$301, MATCH(ROUND(MIN(300,MAX(1,D1535)),0), FactorTable!$A$2:$A$301,0), Skills!L17+1)</f>
        <v/>
      </c>
      <c r="F1535">
        <f>IF(Skills!M17=TRUE,(Skills!K17/10)*(E1535/1000),Skills!K17/10)+Skills!N17</f>
        <v/>
      </c>
      <c r="G1535">
        <f>Calc!G17</f>
        <v/>
      </c>
      <c r="H1535">
        <f>Calc!H17</f>
        <v/>
      </c>
      <c r="I1535">
        <f>IF(Skills!T17&lt;&gt;"",1+(Skills!T17/10)*($Z$3/1000)/100,1)</f>
        <v/>
      </c>
      <c r="J1535" t="inlineStr"/>
      <c r="K1535" t="inlineStr"/>
      <c r="L1535" t="inlineStr"/>
      <c r="M1535" t="inlineStr"/>
      <c r="N1535" t="inlineStr"/>
      <c r="O1535" t="n">
        <v>0</v>
      </c>
      <c r="P1535">
        <f>IF(B1558=0,0,O1535/B1558)</f>
        <v/>
      </c>
      <c r="Q1535">
        <f>IFERROR(1/IF(Inputs!$B$39="pvp",15,MAX(0.1,Skills!D17-IF(Skills!E17=TRUE,4.5,0))),0)</f>
        <v/>
      </c>
      <c r="R1535" t="n">
        <v>0</v>
      </c>
    </row>
    <row r="1536">
      <c r="A1536">
        <f>Skills!A18</f>
        <v/>
      </c>
      <c r="B1536">
        <f>Skills!B18</f>
        <v/>
      </c>
      <c r="C1536">
        <f>Inputs!$B$3&gt;=75</f>
        <v/>
      </c>
      <c r="D1536">
        <f>IF(Skills!C18=1,60+Inputs!$B$26+Inputs!$B$30,IF(Skills!C18=2,90+Inputs!$B$27+Inputs!$B$30,IF(Skills!C18=3,120+Inputs!$B$28+Inputs!$B$30,MAX(0,(Inputs!$B$3-100)*3)+Inputs!$B$29+Inputs!$B$30)))</f>
        <v/>
      </c>
      <c r="E1536">
        <f>INDEX(FactorTable!$B$2:$Y$301, MATCH(ROUND(MIN(300,MAX(1,D1536)),0), FactorTable!$A$2:$A$301,0), Skills!L18+1)</f>
        <v/>
      </c>
      <c r="F1536">
        <f>IF(Skills!M18=TRUE,(Skills!K18/10)*(E1536/1000),Skills!K18/10)+Skills!N18</f>
        <v/>
      </c>
      <c r="G1536">
        <f>Calc!G18</f>
        <v/>
      </c>
      <c r="H1536">
        <f>Calc!H18</f>
        <v/>
      </c>
      <c r="I1536">
        <f>IF(Skills!T18&lt;&gt;"",1+(Skills!T18/10)*($Z$3/1000)/100,1)</f>
        <v/>
      </c>
      <c r="J1536" t="inlineStr"/>
      <c r="K1536" t="inlineStr"/>
      <c r="L1536" t="inlineStr"/>
      <c r="M1536" t="inlineStr"/>
      <c r="N1536" t="inlineStr"/>
      <c r="O1536" t="n">
        <v>0</v>
      </c>
      <c r="P1536">
        <f>IF(B1558=0,0,O1536/B1558)</f>
        <v/>
      </c>
      <c r="Q1536">
        <f>IFERROR(1/IF(Inputs!$B$39="pvp",15,MAX(0.1,Skills!D18-IF(Skills!E18=TRUE,4.5,0))),0)</f>
        <v/>
      </c>
      <c r="R1536" t="n">
        <v>0</v>
      </c>
    </row>
    <row r="1537">
      <c r="A1537">
        <f>Skills!A19</f>
        <v/>
      </c>
      <c r="B1537">
        <f>Skills!B19</f>
        <v/>
      </c>
      <c r="C1537">
        <f>Inputs!$B$3&gt;=110</f>
        <v/>
      </c>
      <c r="D1537">
        <f>IF(Skills!C19=1,60+Inputs!$B$26+Inputs!$B$30,IF(Skills!C19=2,90+Inputs!$B$27+Inputs!$B$30,IF(Skills!C19=3,120+Inputs!$B$28+Inputs!$B$30,MAX(0,(Inputs!$B$3-100)*3)+Inputs!$B$29+Inputs!$B$30)))</f>
        <v/>
      </c>
      <c r="E1537">
        <f>INDEX(FactorTable!$B$2:$Y$301, MATCH(ROUND(MIN(300,MAX(1,D1537)),0), FactorTable!$A$2:$A$301,0), Skills!L19+1)</f>
        <v/>
      </c>
      <c r="F1537">
        <f>(Skills!K19/10)*(E1537/1000)*64/45+Skills!N19</f>
        <v/>
      </c>
      <c r="G1537">
        <f>Calc!G19</f>
        <v/>
      </c>
      <c r="H1537">
        <f>Calc!H19</f>
        <v/>
      </c>
      <c r="I1537">
        <f>IF(Skills!T19&lt;&gt;"",1+(Skills!T19/10)*($Z$3/1000)/100,1)</f>
        <v/>
      </c>
      <c r="J1537" t="inlineStr"/>
      <c r="K1537" t="inlineStr"/>
      <c r="L1537" t="inlineStr"/>
      <c r="M1537" t="inlineStr"/>
      <c r="N1537" t="inlineStr"/>
      <c r="O1537" t="n">
        <v>0</v>
      </c>
      <c r="P1537">
        <f>IF(B1558=0,0,O1537/B1558)</f>
        <v/>
      </c>
      <c r="Q1537">
        <f>IFERROR(1/IF(Inputs!$B$39="pvp",15,MAX(0.1,Skills!D19-IF(Skills!E19=TRUE,4.5,0))),0)</f>
        <v/>
      </c>
      <c r="R1537">
        <f>IF(AND(Inputs!$B$39&lt;&gt;"pvp",Inputs!$B$44&gt;0),IF(Inputs!$B$44&lt;=0,0,(INT(Inputs!$B$44/IF(Inputs!$B$39="pvp",15,MAX(0.1,Skills!D19-IF(Skills!E19=TRUE,4.5,0))))+1)),0)</f>
        <v/>
      </c>
    </row>
    <row r="1538">
      <c r="A1538">
        <f>Skills!A20</f>
        <v/>
      </c>
      <c r="B1538">
        <f>Skills!B20</f>
        <v/>
      </c>
      <c r="C1538">
        <f>Inputs!$B$3&gt;=125</f>
        <v/>
      </c>
      <c r="D1538">
        <f>IF(Skills!C20=1,60+Inputs!$B$26+Inputs!$B$30,IF(Skills!C20=2,90+Inputs!$B$27+Inputs!$B$30,IF(Skills!C20=3,120+Inputs!$B$28+Inputs!$B$30,MAX(0,(Inputs!$B$3-100)*3)+Inputs!$B$29+Inputs!$B$30)))</f>
        <v/>
      </c>
      <c r="E1538">
        <f>INDEX(FactorTable!$B$2:$Y$301, MATCH(ROUND(MIN(300,MAX(1,D1538)),0), FactorTable!$A$2:$A$301,0), Skills!L20+1)</f>
        <v/>
      </c>
      <c r="F1538">
        <f>IF(Skills!M20=TRUE,(Skills!K20/10)*(E1538/1000),Skills!K20/10)+Skills!N20</f>
        <v/>
      </c>
      <c r="G1538">
        <f>Calc!G20</f>
        <v/>
      </c>
      <c r="H1538">
        <f>Calc!H20</f>
        <v/>
      </c>
      <c r="I1538">
        <f>IF(Skills!T20&lt;&gt;"",1+(Skills!T20/10)*($Z$3/1000)/100,1)</f>
        <v/>
      </c>
      <c r="J1538" t="inlineStr"/>
      <c r="K1538" t="inlineStr"/>
      <c r="L1538" t="inlineStr"/>
      <c r="M1538" t="inlineStr"/>
      <c r="N1538" t="inlineStr"/>
      <c r="O1538" t="n">
        <v>0</v>
      </c>
      <c r="P1538">
        <f>IF(B1558=0,0,O1538/B1558)</f>
        <v/>
      </c>
      <c r="Q1538">
        <f>IFERROR(1/IF(Inputs!$B$39="pvp",15,MAX(0.1,Skills!D20-IF(Skills!E20=TRUE,4.5,0))),0)</f>
        <v/>
      </c>
      <c r="R1538" t="n">
        <v>0</v>
      </c>
    </row>
    <row r="1539">
      <c r="A1539">
        <f>Skills!A21</f>
        <v/>
      </c>
      <c r="B1539">
        <f>Skills!B21</f>
        <v/>
      </c>
      <c r="C1539">
        <f>Inputs!$B$3&gt;=33</f>
        <v/>
      </c>
      <c r="D1539">
        <f>IF(Skills!C21=1,60+Inputs!$B$26+Inputs!$B$30,IF(Skills!C21=2,90+Inputs!$B$27+Inputs!$B$30,IF(Skills!C21=3,120+Inputs!$B$28+Inputs!$B$30,MAX(0,(Inputs!$B$3-100)*3)+Inputs!$B$29+Inputs!$B$30)))</f>
        <v/>
      </c>
      <c r="E1539">
        <f>INDEX(FactorTable!$B$2:$Y$301, MATCH(ROUND(MIN(300,MAX(1,D1539)),0), FactorTable!$A$2:$A$301,0), Skills!L21+1)</f>
        <v/>
      </c>
      <c r="F1539">
        <f>IF(Skills!M21=TRUE,(Skills!K21/10)*(E1539/1000),Skills!K21/10)+Skills!N21</f>
        <v/>
      </c>
      <c r="G1539">
        <f>Calc!G21</f>
        <v/>
      </c>
      <c r="H1539">
        <f>Calc!H21</f>
        <v/>
      </c>
      <c r="I1539">
        <f>IF(Skills!T21&lt;&gt;"",1+(Skills!T21/10)*($Z$3/1000)/100,1)</f>
        <v/>
      </c>
      <c r="J1539" t="inlineStr"/>
      <c r="K1539" t="inlineStr"/>
      <c r="L1539" t="inlineStr"/>
      <c r="M1539" t="inlineStr"/>
      <c r="N1539" t="inlineStr"/>
      <c r="O1539" t="n">
        <v>0</v>
      </c>
      <c r="P1539">
        <f>IF(B1558=0,0,O1539/B1558)</f>
        <v/>
      </c>
      <c r="Q1539">
        <f>IFERROR(1/IF(Inputs!$B$39="pvp",15,MAX(0.1,Skills!D21-IF(Skills!E21=TRUE,4.5,0))),0)</f>
        <v/>
      </c>
      <c r="R1539" t="n">
        <v>0</v>
      </c>
    </row>
    <row r="1540">
      <c r="A1540">
        <f>Skills!A22</f>
        <v/>
      </c>
      <c r="B1540">
        <f>Skills!B22</f>
        <v/>
      </c>
      <c r="C1540">
        <f>Inputs!$B$3&gt;=43</f>
        <v/>
      </c>
      <c r="D1540">
        <f>IF(Skills!C22=1,60+Inputs!$B$26+Inputs!$B$30,IF(Skills!C22=2,90+Inputs!$B$27+Inputs!$B$30,IF(Skills!C22=3,120+Inputs!$B$28+Inputs!$B$30,MAX(0,(Inputs!$B$3-100)*3)+Inputs!$B$29+Inputs!$B$30)))</f>
        <v/>
      </c>
      <c r="E1540">
        <f>INDEX(FactorTable!$B$2:$Y$301, MATCH(ROUND(MIN(300,MAX(1,D1540)),0), FactorTable!$A$2:$A$301,0), Skills!L22+1)</f>
        <v/>
      </c>
      <c r="F1540">
        <f>IF(Skills!M22=TRUE,(Skills!K22/10)*(E1540/1000),Skills!K22/10)+Skills!N22</f>
        <v/>
      </c>
      <c r="G1540">
        <f>Calc!G22</f>
        <v/>
      </c>
      <c r="H1540">
        <f>Calc!H22</f>
        <v/>
      </c>
      <c r="I1540">
        <f>IF(Skills!T22&lt;&gt;"",1+(Skills!T22/10)*($Z$3/1000)/100,1)</f>
        <v/>
      </c>
      <c r="J1540" t="inlineStr"/>
      <c r="K1540" t="inlineStr"/>
      <c r="L1540" t="inlineStr"/>
      <c r="M1540" t="inlineStr"/>
      <c r="N1540" t="inlineStr"/>
      <c r="O1540" t="n">
        <v>0</v>
      </c>
      <c r="P1540">
        <f>IF(B1558=0,0,O1540/B1558)</f>
        <v/>
      </c>
      <c r="Q1540">
        <f>IFERROR(1/IF(Inputs!$B$39="pvp",15,MAX(0.1,Skills!D22-IF(Skills!E22=TRUE,4.5,0))),0)</f>
        <v/>
      </c>
      <c r="R1540" t="n">
        <v>0</v>
      </c>
    </row>
    <row r="1541">
      <c r="A1541">
        <f>Skills!A23</f>
        <v/>
      </c>
      <c r="B1541">
        <f>Skills!B23</f>
        <v/>
      </c>
      <c r="C1541">
        <f>Inputs!$B$3&gt;=50</f>
        <v/>
      </c>
      <c r="D1541">
        <f>IF(Skills!C23=1,60+Inputs!$B$26+Inputs!$B$30,IF(Skills!C23=2,90+Inputs!$B$27+Inputs!$B$30,IF(Skills!C23=3,120+Inputs!$B$28+Inputs!$B$30,MAX(0,(Inputs!$B$3-100)*3)+Inputs!$B$29+Inputs!$B$30)))</f>
        <v/>
      </c>
      <c r="E1541">
        <f>INDEX(FactorTable!$B$2:$Y$301, MATCH(ROUND(MIN(300,MAX(1,D1541)),0), FactorTable!$A$2:$A$301,0), Skills!L23+1)</f>
        <v/>
      </c>
      <c r="F1541">
        <f>IF(Skills!M23=TRUE,(Skills!K23/10)*(E1541/1000),Skills!K23/10)+Skills!N23</f>
        <v/>
      </c>
      <c r="G1541">
        <f>Calc!G23</f>
        <v/>
      </c>
      <c r="H1541">
        <f>Calc!H23</f>
        <v/>
      </c>
      <c r="I1541">
        <f>IF(Skills!T23&lt;&gt;"",1+(Skills!T23/10)*($Z$3/1000)/100,1)</f>
        <v/>
      </c>
      <c r="J1541" t="inlineStr"/>
      <c r="K1541" t="inlineStr"/>
      <c r="L1541" t="inlineStr"/>
      <c r="M1541" t="inlineStr"/>
      <c r="N1541" t="inlineStr"/>
      <c r="O1541" t="n">
        <v>0</v>
      </c>
      <c r="P1541">
        <f>IF(B1558=0,0,O1541/B1558)</f>
        <v/>
      </c>
      <c r="Q1541">
        <f>IFERROR(1/IF(Inputs!$B$39="pvp",15,MAX(0.1,Skills!D23-IF(Skills!E23=TRUE,4.5,0))),0)</f>
        <v/>
      </c>
      <c r="R1541" t="n">
        <v>0</v>
      </c>
    </row>
    <row r="1542">
      <c r="A1542">
        <f>Skills!A24</f>
        <v/>
      </c>
      <c r="B1542">
        <f>Skills!B24</f>
        <v/>
      </c>
      <c r="C1542">
        <f>Inputs!$B$3&gt;=74</f>
        <v/>
      </c>
      <c r="D1542">
        <f>IF(Skills!C24=1,60+Inputs!$B$26+Inputs!$B$30,IF(Skills!C24=2,90+Inputs!$B$27+Inputs!$B$30,IF(Skills!C24=3,120+Inputs!$B$28+Inputs!$B$30,MAX(0,(Inputs!$B$3-100)*3)+Inputs!$B$29+Inputs!$B$30)))</f>
        <v/>
      </c>
      <c r="E1542">
        <f>INDEX(FactorTable!$B$2:$Y$301, MATCH(ROUND(MIN(300,MAX(1,D1542)),0), FactorTable!$A$2:$A$301,0), Skills!L24+1)</f>
        <v/>
      </c>
      <c r="F1542">
        <f>IF(Skills!M24=TRUE,(Skills!K24/10)*(E1542/1000),Skills!K24/10)+Skills!N24</f>
        <v/>
      </c>
      <c r="G1542">
        <f>Calc!G24</f>
        <v/>
      </c>
      <c r="H1542">
        <f>Calc!H24</f>
        <v/>
      </c>
      <c r="I1542">
        <f>IF(Skills!T24&lt;&gt;"",1+(Skills!T24/10)*($Z$3/1000)/100,1)</f>
        <v/>
      </c>
      <c r="J1542" t="inlineStr"/>
      <c r="K1542" t="inlineStr"/>
      <c r="L1542" t="inlineStr"/>
      <c r="M1542" t="inlineStr"/>
      <c r="N1542" t="inlineStr"/>
      <c r="O1542" t="n">
        <v>0</v>
      </c>
      <c r="P1542">
        <f>IF(B1558=0,0,O1542/B1558)</f>
        <v/>
      </c>
      <c r="Q1542">
        <f>IFERROR(1/IF(Inputs!$B$39="pvp",15,MAX(0.1,Skills!D24-IF(Skills!E24=TRUE,4.5,0))),0)</f>
        <v/>
      </c>
      <c r="R1542" t="n">
        <v>0</v>
      </c>
    </row>
    <row r="1543">
      <c r="A1543">
        <f>Skills!A25</f>
        <v/>
      </c>
      <c r="B1543">
        <f>Skills!B25</f>
        <v/>
      </c>
      <c r="C1543">
        <f>Inputs!$B$3&gt;=74</f>
        <v/>
      </c>
      <c r="D1543">
        <f>IF(Skills!C25=1,60+Inputs!$B$26+Inputs!$B$30,IF(Skills!C25=2,90+Inputs!$B$27+Inputs!$B$30,IF(Skills!C25=3,120+Inputs!$B$28+Inputs!$B$30,MAX(0,(Inputs!$B$3-100)*3)+Inputs!$B$29+Inputs!$B$30)))</f>
        <v/>
      </c>
      <c r="E1543">
        <f>INDEX(FactorTable!$B$2:$Y$301, MATCH(ROUND(MIN(300,MAX(1,D1543)),0), FactorTable!$A$2:$A$301,0), Skills!L25+1)</f>
        <v/>
      </c>
      <c r="F1543">
        <f>IF(Skills!M25=TRUE,(Skills!K25/10)*(E1543/1000),Skills!K25/10)+Skills!N25</f>
        <v/>
      </c>
      <c r="G1543">
        <f>Calc!G25</f>
        <v/>
      </c>
      <c r="H1543">
        <f>Calc!H25</f>
        <v/>
      </c>
      <c r="I1543">
        <f>IF(Skills!T25&lt;&gt;"",1+(Skills!T25/10)*($Z$3/1000)/100,1)</f>
        <v/>
      </c>
      <c r="J1543" t="inlineStr"/>
      <c r="K1543" t="inlineStr"/>
      <c r="L1543" t="inlineStr"/>
      <c r="M1543" t="inlineStr"/>
      <c r="N1543" t="inlineStr"/>
      <c r="O1543" t="n">
        <v>0</v>
      </c>
      <c r="P1543">
        <f>IF(B1558=0,0,O1543/B1558)</f>
        <v/>
      </c>
      <c r="Q1543">
        <f>IFERROR(1/IF(Inputs!$B$39="pvp",15,MAX(0.1,Skills!D25-IF(Skills!E25=TRUE,4.5,0))),0)</f>
        <v/>
      </c>
      <c r="R1543" t="n">
        <v>0</v>
      </c>
    </row>
    <row r="1544">
      <c r="A1544">
        <f>Skills!A26</f>
        <v/>
      </c>
      <c r="B1544">
        <f>Skills!B26</f>
        <v/>
      </c>
      <c r="C1544">
        <f>Inputs!$B$3&gt;=117</f>
        <v/>
      </c>
      <c r="D1544">
        <f>IF(Skills!C26=1,60+Inputs!$B$26+Inputs!$B$30,IF(Skills!C26=2,90+Inputs!$B$27+Inputs!$B$30,IF(Skills!C26=3,120+Inputs!$B$28+Inputs!$B$30,MAX(0,(Inputs!$B$3-100)*3)+Inputs!$B$29+Inputs!$B$30)))</f>
        <v/>
      </c>
      <c r="E1544">
        <f>INDEX(FactorTable!$B$2:$Y$301, MATCH(ROUND(MIN(300,MAX(1,D1544)),0), FactorTable!$A$2:$A$301,0), Skills!L26+1)</f>
        <v/>
      </c>
      <c r="F1544">
        <f>IF(Skills!M26=TRUE,(Skills!K26/10)*(E1544/1000),Skills!K26/10)+Skills!N26</f>
        <v/>
      </c>
      <c r="G1544">
        <f>Calc!G26</f>
        <v/>
      </c>
      <c r="H1544">
        <f>Calc!H26</f>
        <v/>
      </c>
      <c r="I1544">
        <f>IF(Skills!T26&lt;&gt;"",1+(Skills!T26/10)*($Z$3/1000)/100,1)</f>
        <v/>
      </c>
      <c r="J1544" t="inlineStr"/>
      <c r="K1544" t="inlineStr"/>
      <c r="L1544" t="inlineStr"/>
      <c r="M1544" t="inlineStr"/>
      <c r="N1544" t="inlineStr"/>
      <c r="O1544" t="n">
        <v>0</v>
      </c>
      <c r="P1544">
        <f>IF(B1558=0,0,O1544/B1558)</f>
        <v/>
      </c>
      <c r="Q1544">
        <f>IFERROR(1/IF(Inputs!$B$39="pvp",15,MAX(0.1,Skills!D26-IF(Skills!E26=TRUE,4.5,0))),0)</f>
        <v/>
      </c>
      <c r="R1544" t="n">
        <v>0</v>
      </c>
    </row>
    <row r="1545">
      <c r="A1545">
        <f>Skills!A27</f>
        <v/>
      </c>
      <c r="B1545">
        <f>Skills!B27</f>
        <v/>
      </c>
      <c r="C1545">
        <f>Inputs!$B$3&gt;=120</f>
        <v/>
      </c>
      <c r="D1545">
        <f>IF(Skills!C27=1,60+Inputs!$B$26+Inputs!$B$30,IF(Skills!C27=2,90+Inputs!$B$27+Inputs!$B$30,IF(Skills!C27=3,120+Inputs!$B$28+Inputs!$B$30,MAX(0,(Inputs!$B$3-100)*3)+Inputs!$B$29+Inputs!$B$30)))</f>
        <v/>
      </c>
      <c r="E1545">
        <f>INDEX(FactorTable!$B$2:$Y$301, MATCH(ROUND(MIN(300,MAX(1,D1545)),0), FactorTable!$A$2:$A$301,0), Skills!L27+1)</f>
        <v/>
      </c>
      <c r="F1545">
        <f>IF(Skills!M27=TRUE,(Skills!K27/10)*(E1545/1000),Skills!K27/10)+Skills!N27</f>
        <v/>
      </c>
      <c r="G1545">
        <f>Calc!G27</f>
        <v/>
      </c>
      <c r="H1545">
        <f>Calc!H27</f>
        <v/>
      </c>
      <c r="I1545">
        <f>IF(Skills!T27&lt;&gt;"",1+(Skills!T27/10)*($Z$3/1000)/100,1)</f>
        <v/>
      </c>
      <c r="J1545" t="inlineStr"/>
      <c r="K1545" t="inlineStr"/>
      <c r="L1545" t="inlineStr"/>
      <c r="M1545" t="inlineStr"/>
      <c r="N1545" t="inlineStr"/>
      <c r="O1545" t="n">
        <v>0</v>
      </c>
      <c r="P1545">
        <f>IF(B1558=0,0,O1545/B1558)</f>
        <v/>
      </c>
      <c r="Q1545">
        <f>IFERROR(1/IF(Inputs!$B$39="pvp",15,MAX(0.1,Skills!D27-IF(Skills!E27=TRUE,4.5,0))),0)</f>
        <v/>
      </c>
      <c r="R1545" t="n">
        <v>0</v>
      </c>
    </row>
    <row r="1547">
      <c r="A1547" t="inlineStr">
        <is>
          <t>Average Buff Multiplier</t>
        </is>
      </c>
      <c r="B1547">
        <f>(1+(IF(C1521=TRUE,F1521*IF(AND(Inputs!$B$39&lt;&gt;"pvp",Inputs!$B$44&gt;0),(((R1521-1)*(Skills!S3*(1+(Inputs!$B$35+IF(Inputs!$B$3&gt;=117,F1544,0))/100))+MIN((Skills!S3*(1+(Inputs!$B$35+IF(Inputs!$B$3&gt;=117,F1544,0))/100)),MAX(0,Inputs!$B$44-((R1521-1)*Skills!D3))))/Inputs!$B$44),IF(Inputs!$B$39="pvp",MIN((Skills!S3*(1+(Inputs!$B$35+IF(Inputs!$B$3&gt;=117,F1544,0))/100)),15)/15,(Skills!S3*(1+(Inputs!$B$35+IF(Inputs!$B$3&gt;=117,F1544,0))/100))/Skills!D3)),0)+IF(C1522=TRUE,F1522*IF(AND(Inputs!$B$39&lt;&gt;"pvp",Inputs!$B$44&gt;0),(((R1522-1)*(Skills!S4*(1+(Inputs!$B$35+IF(Inputs!$B$3&gt;=117,F1544,0))/100))+MIN((Skills!S4*(1+(Inputs!$B$35+IF(Inputs!$B$3&gt;=117,F1544,0))/100)),MAX(0,Inputs!$B$44-((R1522-1)*Skills!D4))))/Inputs!$B$44),IF(Inputs!$B$39="pvp",MIN((Skills!S4*(1+(Inputs!$B$35+IF(Inputs!$B$3&gt;=117,F1544,0))/100)),15)/15,(Skills!S4*(1+(Inputs!$B$35+IF(Inputs!$B$3&gt;=117,F1544,0))/100))/Skills!D4)),0)+IF(C1523=TRUE,F1523*IF(AND(Inputs!$B$39&lt;&gt;"pvp",Inputs!$B$44&gt;0),(((R1523-1)*(Skills!S5*(1+(Inputs!$B$35+IF(Inputs!$B$3&gt;=117,F1544,0))/100))+MIN((Skills!S5*(1+(Inputs!$B$35+IF(Inputs!$B$3&gt;=117,F1544,0))/100)),MAX(0,Inputs!$B$44-((R1523-1)*Skills!D5))))/Inputs!$B$44),IF(Inputs!$B$39="pvp",MIN((Skills!S5*(1+(Inputs!$B$35+IF(Inputs!$B$3&gt;=117,F1544,0))/100)),15)/15,(Skills!S5*(1+(Inputs!$B$35+IF(Inputs!$B$3&gt;=117,F1544,0))/100))/Skills!D5)),0)+IF(C1529=TRUE,F1529*IF(AND(Inputs!$B$39&lt;&gt;"pvp",Inputs!$B$44&gt;0),(((R1529-1)*(Skills!S11*(1+(Inputs!$B$35+IF(Inputs!$B$3&gt;=117,F1544,0))/100))+MIN((Skills!S11*(1+(Inputs!$B$35+IF(Inputs!$B$3&gt;=117,F1544,0))/100)),MAX(0,Inputs!$B$44-((R1529-1)*Skills!D11))))/Inputs!$B$44),IF(Inputs!$B$39="pvp",MIN((Skills!S11*(1+(Inputs!$B$35+IF(Inputs!$B$3&gt;=117,F1544,0))/100)),15)/15,(Skills!S11*(1+(Inputs!$B$35+IF(Inputs!$B$3&gt;=117,F1544,0))/100))/Skills!D11)),0))/100)*IF(C1532=TRUE,(1+F1532*IF(AND(Inputs!$B$39&lt;&gt;"pvp",Inputs!$B$44&gt;0),(((R1532-1)*(Skills!S14*(1+(Inputs!$B$35+IF(Inputs!$B$3&gt;=117,F1544,0))/100))+MIN((Skills!S14*(1+(Inputs!$B$35+IF(Inputs!$B$3&gt;=117,F1544,0))/100)),MAX(0,Inputs!$B$44-((R1532-1)*Skills!D14))))/Inputs!$B$44),IF(Inputs!$B$39="pvp",MIN((Skills!S14*(1+(Inputs!$B$35+IF(Inputs!$B$3&gt;=117,F1544,0))/100)),15)/15,(Skills!S14*(1+(Inputs!$B$35+IF(Inputs!$B$3&gt;=117,F1544,0))/100))/Skills!D14))/100),1)*IF(C1537=TRUE,(1+F1537*IF(AND(Inputs!$B$39&lt;&gt;"pvp",Inputs!$B$44&gt;0),(((R1537-1)*(Skills!S19*(1+(Inputs!$B$35+IF(Inputs!$B$3&gt;=117,F1544,0))/100))+MIN((Skills!S19*(1+(Inputs!$B$35+IF(Inputs!$B$3&gt;=117,F1544,0))/100)),MAX(0,Inputs!$B$44-((R1537-1)*Skills!D19))))/Inputs!$B$44),IF(Inputs!$B$39="pvp",MIN((Skills!S19*(1+(Inputs!$B$35+IF(Inputs!$B$3&gt;=117,F1544,0))/100)),15)/15,(Skills!S19*(1+(Inputs!$B$35+IF(Inputs!$B$3&gt;=117,F1544,0))/100))/Skills!D19))/100),1)</f>
        <v/>
      </c>
    </row>
    <row r="1548">
      <c r="A1548" t="inlineStr">
        <is>
          <t>Monster Damage Taken Bonus % (Holy Fountain)</t>
        </is>
      </c>
      <c r="B1548">
        <f>IF(Inputs!$B$3&gt;=68,20*IF(Inputs!$B$39="pvp",MIN((15*(1+(Inputs!$B$35+IF(Inputs!$B$3&gt;=117,F1544,0))/100)),15)/15,(15*(1+(Inputs!$B$35+IF(Inputs!$B$3&gt;=117,F1544,0))/100))/Skills!D10),0)</f>
        <v/>
      </c>
    </row>
    <row r="1549">
      <c r="A1549" t="inlineStr">
        <is>
          <t>Normal Monster Damage Bonus % (Holy Symbol)</t>
        </is>
      </c>
      <c r="B1549">
        <f>IF(C1530=TRUE,F1530*IF(AND(Inputs!$B$39&lt;&gt;"pvp",Inputs!$B$44&gt;0),(((R1530-1)*(Skills!S12*(1+(Inputs!$B$35+IF(Inputs!$B$3&gt;=117,F1544,0))/100))+MIN((Skills!S12*(1+(Inputs!$B$35+IF(Inputs!$B$3&gt;=117,F1544,0))/100)),MAX(0,Inputs!$B$44-((R1530-1)*Skills!D12))))/Inputs!$B$44),IF(Inputs!$B$39="pvp",MIN((Skills!S12*(1+(Inputs!$B$35+IF(Inputs!$B$3&gt;=117,F1544,0))/100)),15)/15,(Skills!S12*(1+(Inputs!$B$35+IF(Inputs!$B$3&gt;=117,F1544,0))/100))/Skills!D12)),0)</f>
        <v/>
      </c>
    </row>
    <row r="1550">
      <c r="A1550" t="inlineStr">
        <is>
          <t>Damage % Bonus (Holy Symbol - Damage Boost)</t>
        </is>
      </c>
      <c r="B1550">
        <f>Skills!O12</f>
        <v/>
      </c>
    </row>
    <row r="1551">
      <c r="A1551" t="inlineStr">
        <is>
          <t>Crit Damage % Bonus (Blood of the Divine)</t>
        </is>
      </c>
      <c r="B1551">
        <f>4*IF(C1538=TRUE,F1538,0)</f>
        <v/>
      </c>
    </row>
    <row r="1552">
      <c r="A1552" t="inlineStr">
        <is>
          <t>Attack Speed Bonus %</t>
        </is>
      </c>
      <c r="B1552">
        <f>IF(C1535=TRUE,F1535+(F1539-Calc!F21),0)+IF(Inputs!$B$3&gt;=134,15,0)</f>
        <v/>
      </c>
    </row>
    <row r="1553">
      <c r="A1553" t="inlineStr">
        <is>
          <t>Actions Per Second</t>
        </is>
      </c>
      <c r="B1553">
        <f>1+MIN(150,150*(1-(1-Inputs!$B$12/150)*(1-B1552/150)))/100</f>
        <v/>
      </c>
    </row>
    <row r="1554">
      <c r="A1554" t="inlineStr">
        <is>
          <t>Skill + Buff Cast Rate</t>
        </is>
      </c>
      <c r="B1554">
        <f>IF(AND(Inputs!$B$39&lt;&gt;"pvp",Inputs!$B$44&gt;0),SUMPRODUCT((Skills!E2:E27=TRUE)*(C1520:C1545=TRUE)*R1520:R1545)/Inputs!$B$44,SUMPRODUCT((Skills!E2:E27=TRUE)*(C1520:C1545=TRUE)*Q1520:Q1545))</f>
        <v/>
      </c>
    </row>
    <row r="1555">
      <c r="A1555" t="inlineStr">
        <is>
          <t>Big Bang Casts Per Second</t>
        </is>
      </c>
      <c r="B1555">
        <f>MAX(0,B1553-B1554)</f>
        <v/>
      </c>
    </row>
    <row r="1556">
      <c r="A1556" t="inlineStr">
        <is>
          <t>Defense % Bonus (Divine Protection)</t>
        </is>
      </c>
      <c r="B1556">
        <f>IF(C1531=TRUE,F1531*IF(AND(Inputs!$B$39&lt;&gt;"pvp",Inputs!$B$44&gt;0),(((R1531-1)*(Skills!S13*(1+(Inputs!$B$35+IF(Inputs!$B$3&gt;=117,F1544,0))/100))+MIN((Skills!S13*(1+(Inputs!$B$35+IF(Inputs!$B$3&gt;=117,F1544,0))/100)),MAX(0,Inputs!$B$44-((R1531-1)*Skills!D13))))/Inputs!$B$44),IF(Inputs!$B$39="pvp",MIN((Skills!S13*(1+(Inputs!$B$35+IF(Inputs!$B$3&gt;=117,F1544,0))/100)),15)/15,(Skills!S13*(1+(Inputs!$B$35+IF(Inputs!$B$3&gt;=117,F1544,0))/100))/Skills!D13)),0)</f>
        <v/>
      </c>
    </row>
    <row r="1557">
      <c r="A1557" t="inlineStr">
        <is>
          <t>Buff-Casting Startup Delay (s, fixed-duration only)</t>
        </is>
      </c>
      <c r="B1557">
        <f>IF(AND(Inputs!$B$39&lt;&gt;"pvp",Inputs!$B$44&gt;0),SUMPRODUCT((Skills!S2:S27&gt;0)*(Skills!E2:E27=TRUE)*(C1520:C1545=TRUE))/B1553,0)</f>
        <v/>
      </c>
    </row>
    <row r="1558">
      <c r="A1558" s="5" t="inlineStr">
        <is>
          <t>TOTAL DPS</t>
        </is>
      </c>
      <c r="B1558" s="5">
        <f>SUM(O1520:O1545)</f>
        <v/>
      </c>
    </row>
    <row r="1560">
      <c r="A1560" s="5" t="inlineStr">
        <is>
          <t>Stat: CDR = 5.0s</t>
        </is>
      </c>
    </row>
    <row r="1561">
      <c r="A1561" s="9" t="inlineStr">
        <is>
          <t>Key</t>
        </is>
      </c>
      <c r="B1561" s="9" t="inlineStr">
        <is>
          <t>Name</t>
        </is>
      </c>
      <c r="C1561" s="9" t="inlineStr">
        <is>
          <t>Unlocked</t>
        </is>
      </c>
      <c r="D1561" s="9" t="inlineStr">
        <is>
          <t>InputLevel</t>
        </is>
      </c>
      <c r="E1561" s="9" t="inlineStr">
        <is>
          <t>Factor</t>
        </is>
      </c>
      <c r="F1561" s="9" t="inlineStr">
        <is>
          <t>CoefficientPercent</t>
        </is>
      </c>
      <c r="G1561" s="9" t="inlineStr">
        <is>
          <t>EffectiveHits</t>
        </is>
      </c>
      <c r="H1561" s="9" t="inlineStr">
        <is>
          <t>ProcProbability</t>
        </is>
      </c>
      <c r="I1561" s="9" t="inlineStr">
        <is>
          <t>MapleHeroMultiplier</t>
        </is>
      </c>
      <c r="J1561" s="9" t="inlineStr">
        <is>
          <t>BaseDamage</t>
        </is>
      </c>
      <c r="K1561" s="9" t="inlineStr">
        <is>
          <t>BaseHitDamage</t>
        </is>
      </c>
      <c r="L1561" s="9" t="inlineStr">
        <is>
          <t>NonCritAvg</t>
        </is>
      </c>
      <c r="M1561" s="9" t="inlineStr">
        <is>
          <t>CritAvg</t>
        </is>
      </c>
      <c r="N1561" s="9" t="inlineStr">
        <is>
          <t>ExpectedDamage(perHit)</t>
        </is>
      </c>
      <c r="O1561" s="9" t="inlineStr">
        <is>
          <t>DPS</t>
        </is>
      </c>
      <c r="P1561" s="9" t="inlineStr">
        <is>
          <t>% of Total</t>
        </is>
      </c>
      <c r="R1561" t="inlineStr">
        <is>
          <t>helpers</t>
        </is>
      </c>
    </row>
    <row r="1562">
      <c r="A1562">
        <f>Skills!A2</f>
        <v/>
      </c>
      <c r="B1562">
        <f>Skills!B2</f>
        <v/>
      </c>
      <c r="C1562">
        <f>Inputs!$B$3&gt;=100</f>
        <v/>
      </c>
      <c r="D1562" t="inlineStr"/>
      <c r="E1562" t="inlineStr"/>
      <c r="F1562">
        <f>T1564+Skills!N2</f>
        <v/>
      </c>
      <c r="G1562">
        <f>Calc!G2</f>
        <v/>
      </c>
      <c r="H1562">
        <f>Calc!H2</f>
        <v/>
      </c>
      <c r="I1562">
        <f>IF(Skills!T2&lt;&gt;"",1+(Skills!T2/10)*($Z$3/1000)/100,1)</f>
        <v/>
      </c>
      <c r="J1562">
        <f>((Inputs!$B$6*(1+Inputs!$B$7/100))+(((Inputs!$B$13*(1+Inputs!$B$14/100))-(Inputs!$B$13*(1+Inputs!$B$14/100)))+0.25*(Inputs!$B$15-Inputs!$B$15))*(1+Inputs!$B$7/100))*(F1562/100)</f>
        <v/>
      </c>
      <c r="K1562">
        <f>J1562*(1+(((Inputs!$B$13+IF(Inputs!$B$3&gt;=35,(10*INDEX(FactorTable!$B$2:$Y$301, MATCH(ROUND(MIN(300,MAX(1,Inputs!$B$3)),0), FactorTable!$A$2:$A$301,0), 23)/1000)/100*(Inputs!$B$8*(1+(Inputs!$B$9+B1598)/100)),0))*(1+Inputs!$B$14/100))*0.01+Inputs!$B$15*0.0025)/100)*(1+(Inputs!$B$16+B1592)/100)*(1+IF(Inputs!$B$39="pvp",0,(1-Summary!$B$48)*(Inputs!$B$21+Skills!O2+B1590)+Summary!$B$48*(Inputs!$B$22+Skills!P2+B1591))/100)*(1+Inputs!$B$17/100)*(5000/(6000+Inputs!$B$43*(1-Inputs!$B$20/100)))*(1+Inputs!$B$25/100)*(1+IF(C1578=TRUE,F1578,0)/100)*(1+IF(C1580=TRUE,F1580,0)/100)*(1+IF(Skills!A2="TRIUMPH_FEATHER",IF(C1576=TRUE,F1576,0),0)/100)*(1+IF(C1587=TRUE,F1587,0)/100)^5*(1+(IF(Skills!A2="BIG_BANG",Inputs!$B$18,Inputs!$B$19))/100)*(B1589*I1562)</f>
        <v/>
      </c>
      <c r="L1562">
        <f>K1562*(MIN(Inputs!$B$23+(F1582-Calc!F22),Inputs!$B$24)/100+Inputs!$B$24/100)/2</f>
        <v/>
      </c>
      <c r="M1562">
        <f>L1562*(1+(Inputs!$B$11+B1593+(F1585-Calc!F25))/100)</f>
        <v/>
      </c>
      <c r="N1562">
        <f>L1562*(1-MIN(Inputs!$B$10+((F1584-Calc!F24)+(F1583-Calc!F23)),100)/100)+M1562*(MIN(Inputs!$B$10+((F1584-Calc!F24)+(F1583-Calc!F23)),100)/100)</f>
        <v/>
      </c>
      <c r="O1562">
        <f>IF(C1562,Skills!F2*N1562*B1597*IF(Inputs!$B$39="pvp",1,(1-Summary!$B$48)*(1)+Summary!$B$48*(MIN((6+Inputs!$B$34),Inputs!$B$38))),0)</f>
        <v/>
      </c>
      <c r="P1562">
        <f>IF(B1600=0,0,O1562/B1600)</f>
        <v/>
      </c>
      <c r="Q1562">
        <f>IFERROR(1/IF(Inputs!$B$39="pvp",15,MAX(0.1,Skills!D2-IF(Skills!E2=TRUE,5.0,0))),0)</f>
        <v/>
      </c>
      <c r="R1562" t="n">
        <v>0</v>
      </c>
      <c r="T1562">
        <f>MAX(0,(Inputs!$B$3-100)*3)+Inputs!$B$29+Inputs!$B$30</f>
        <v/>
      </c>
    </row>
    <row r="1563">
      <c r="A1563">
        <f>Skills!A3</f>
        <v/>
      </c>
      <c r="B1563">
        <f>Skills!B3</f>
        <v/>
      </c>
      <c r="C1563">
        <f>Inputs!$B$3&gt;=15</f>
        <v/>
      </c>
      <c r="D1563">
        <f>IF(Skills!C3=1,60+Inputs!$B$26+Inputs!$B$30,IF(Skills!C3=2,90+Inputs!$B$27+Inputs!$B$30,IF(Skills!C3=3,120+Inputs!$B$28+Inputs!$B$30,MAX(0,(Inputs!$B$3-100)*3)+Inputs!$B$29+Inputs!$B$30)))</f>
        <v/>
      </c>
      <c r="E1563">
        <f>INDEX(FactorTable!$B$2:$Y$301, MATCH(ROUND(MIN(300,MAX(1,D1563)),0), FactorTable!$A$2:$A$301,0), Skills!L3+1)</f>
        <v/>
      </c>
      <c r="F1563">
        <f>IF(Skills!M3=TRUE,(Skills!K3/10)*(E1563/1000),Skills!K3/10)+Skills!N3</f>
        <v/>
      </c>
      <c r="G1563">
        <f>Calc!G3</f>
        <v/>
      </c>
      <c r="H1563">
        <f>Calc!H3</f>
        <v/>
      </c>
      <c r="I1563">
        <f>IF(Skills!T3&lt;&gt;"",1+(Skills!T3/10)*($Z$3/1000)/100,1)</f>
        <v/>
      </c>
      <c r="J1563" t="inlineStr"/>
      <c r="K1563" t="inlineStr"/>
      <c r="L1563" t="inlineStr"/>
      <c r="M1563" t="inlineStr"/>
      <c r="N1563" t="inlineStr"/>
      <c r="O1563" t="n">
        <v>0</v>
      </c>
      <c r="P1563">
        <f>IF(B1600=0,0,O1563/B1600)</f>
        <v/>
      </c>
      <c r="Q1563">
        <f>IFERROR(1/IF(Inputs!$B$39="pvp",15,MAX(0.1,Skills!D3-IF(Skills!E3=TRUE,5.0,0))),0)</f>
        <v/>
      </c>
      <c r="R1563">
        <f>IF(AND(Inputs!$B$39&lt;&gt;"pvp",Inputs!$B$44&gt;0),IF(Inputs!$B$44&lt;=0,0,(INT(Inputs!$B$44/IF(Inputs!$B$39="pvp",15,MAX(0.1,Skills!D3-IF(Skills!E3=TRUE,5.0,0))))+1)),0)</f>
        <v/>
      </c>
      <c r="T1563">
        <f>INDEX(FactorTable!$B$2:$Y$301, MATCH(ROUND(MIN(300,MAX(1,T1562)),0), FactorTable!$A$2:$A$301,0), 22)</f>
        <v/>
      </c>
    </row>
    <row r="1564">
      <c r="A1564">
        <f>Skills!A4</f>
        <v/>
      </c>
      <c r="B1564">
        <f>Skills!B4</f>
        <v/>
      </c>
      <c r="C1564">
        <f>Inputs!$B$3&gt;=38</f>
        <v/>
      </c>
      <c r="D1564">
        <f>IF(Skills!C4=1,60+Inputs!$B$26+Inputs!$B$30,IF(Skills!C4=2,90+Inputs!$B$27+Inputs!$B$30,IF(Skills!C4=3,120+Inputs!$B$28+Inputs!$B$30,MAX(0,(Inputs!$B$3-100)*3)+Inputs!$B$29+Inputs!$B$30)))</f>
        <v/>
      </c>
      <c r="E1564">
        <f>INDEX(FactorTable!$B$2:$Y$301, MATCH(ROUND(MIN(300,MAX(1,D1564)),0), FactorTable!$A$2:$A$301,0), Skills!L4+1)</f>
        <v/>
      </c>
      <c r="F1564">
        <f>IF(Skills!M4=TRUE,(Skills!K4/10)*(E1564/1000),Skills!K4/10)+Skills!N4</f>
        <v/>
      </c>
      <c r="G1564">
        <f>Calc!G4</f>
        <v/>
      </c>
      <c r="H1564">
        <f>Calc!H4</f>
        <v/>
      </c>
      <c r="I1564">
        <f>IF(Skills!T4&lt;&gt;"",1+(Skills!T4/10)*($Z$3/1000)/100,1)</f>
        <v/>
      </c>
      <c r="J1564" t="inlineStr"/>
      <c r="K1564" t="inlineStr"/>
      <c r="L1564" t="inlineStr"/>
      <c r="M1564" t="inlineStr"/>
      <c r="N1564" t="inlineStr"/>
      <c r="O1564" t="n">
        <v>0</v>
      </c>
      <c r="P1564">
        <f>IF(B1600=0,0,O1564/B1600)</f>
        <v/>
      </c>
      <c r="Q1564">
        <f>IFERROR(1/IF(Inputs!$B$39="pvp",15,MAX(0.1,Skills!D4-IF(Skills!E4=TRUE,5.0,0))),0)</f>
        <v/>
      </c>
      <c r="R1564">
        <f>IF(AND(Inputs!$B$39&lt;&gt;"pvp",Inputs!$B$44&gt;0),IF(Inputs!$B$44&lt;=0,0,(INT(Inputs!$B$44/IF(Inputs!$B$39="pvp",15,MAX(0.1,Skills!D4-IF(Skills!E4=TRUE,5.0,0))))+1)),0)</f>
        <v/>
      </c>
      <c r="T1564">
        <f>290*T1563/1000</f>
        <v/>
      </c>
    </row>
    <row r="1565">
      <c r="A1565">
        <f>Skills!A5</f>
        <v/>
      </c>
      <c r="B1565">
        <f>Skills!B5</f>
        <v/>
      </c>
      <c r="C1565">
        <f>Inputs!$B$3&gt;=40</f>
        <v/>
      </c>
      <c r="D1565">
        <f>IF(Skills!C5=1,60+Inputs!$B$26+Inputs!$B$30,IF(Skills!C5=2,90+Inputs!$B$27+Inputs!$B$30,IF(Skills!C5=3,120+Inputs!$B$28+Inputs!$B$30,MAX(0,(Inputs!$B$3-100)*3)+Inputs!$B$29+Inputs!$B$30)))</f>
        <v/>
      </c>
      <c r="E1565">
        <f>INDEX(FactorTable!$B$2:$Y$301, MATCH(ROUND(MIN(300,MAX(1,D1565)),0), FactorTable!$A$2:$A$301,0), Skills!L5+1)</f>
        <v/>
      </c>
      <c r="F1565">
        <f>IF(Skills!M5=TRUE,(Skills!K5/10)*(E1565/1000),Skills!K5/10)+Skills!N5</f>
        <v/>
      </c>
      <c r="G1565">
        <f>Calc!G5</f>
        <v/>
      </c>
      <c r="H1565">
        <f>Calc!H5</f>
        <v/>
      </c>
      <c r="I1565">
        <f>IF(Skills!T5&lt;&gt;"",1+(Skills!T5/10)*($Z$3/1000)/100,1)</f>
        <v/>
      </c>
      <c r="J1565" t="inlineStr"/>
      <c r="K1565" t="inlineStr"/>
      <c r="L1565" t="inlineStr"/>
      <c r="M1565" t="inlineStr"/>
      <c r="N1565" t="inlineStr"/>
      <c r="O1565" t="n">
        <v>0</v>
      </c>
      <c r="P1565">
        <f>IF(B1600=0,0,O1565/B1600)</f>
        <v/>
      </c>
      <c r="Q1565">
        <f>IFERROR(1/IF(Inputs!$B$39="pvp",15,MAX(0.1,Skills!D5-IF(Skills!E5=TRUE,5.0,0))),0)</f>
        <v/>
      </c>
      <c r="R1565">
        <f>IF(AND(Inputs!$B$39&lt;&gt;"pvp",Inputs!$B$44&gt;0),IF(Inputs!$B$44&lt;=0,0,(INT(Inputs!$B$44/IF(Inputs!$B$39="pvp",15,MAX(0.1,Skills!D5-IF(Skills!E5=TRUE,5.0,0))))+1)),0)</f>
        <v/>
      </c>
    </row>
    <row r="1566">
      <c r="A1566">
        <f>Skills!A6</f>
        <v/>
      </c>
      <c r="B1566">
        <f>Skills!B6</f>
        <v/>
      </c>
      <c r="C1566">
        <f>Inputs!$B$3&gt;=103</f>
        <v/>
      </c>
      <c r="D1566">
        <f>IF(Skills!C6=1,60+Inputs!$B$26+Inputs!$B$30,IF(Skills!C6=2,90+Inputs!$B$27+Inputs!$B$30,IF(Skills!C6=3,120+Inputs!$B$28+Inputs!$B$30,MAX(0,(Inputs!$B$3-100)*3)+Inputs!$B$29+Inputs!$B$30)))</f>
        <v/>
      </c>
      <c r="E1566">
        <f>INDEX(FactorTable!$B$2:$Y$301, MATCH(ROUND(MIN(300,MAX(1,D1566)),0), FactorTable!$A$2:$A$301,0), Skills!L6+1)</f>
        <v/>
      </c>
      <c r="F1566">
        <f>IF(Skills!M6=TRUE,(Skills!K6/10)*(E1566/1000),Skills!K6/10)+Skills!N6</f>
        <v/>
      </c>
      <c r="G1566">
        <f>Calc!G6</f>
        <v/>
      </c>
      <c r="H1566">
        <f>Calc!H6</f>
        <v/>
      </c>
      <c r="I1566">
        <f>IF(Skills!T6&lt;&gt;"",1+(Skills!T6/10)*($Z$3/1000)/100,1)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1598)/100)),0))*(1+Inputs!$B$14/100))*0.01+Inputs!$B$15*0.0025)/100)*(1+(Inputs!$B$16+B1592)/100)*(1+IF(Inputs!$B$39="pvp",0,(1-Summary!$B$48)*(Inputs!$B$21+Skills!O6+B1590)+Summary!$B$48*(Inputs!$B$22+Skills!P6+B1591))/100)*(1+Inputs!$B$17/100)*(5000/(6000+Inputs!$B$43*(1-Inputs!$B$20/100)))*(1+Inputs!$B$25/100)*(1+IF(C1578=TRUE,F1578,0)/100)*(1+IF(C1580=TRUE,F1580,0)/100)*(1+IF(Skills!A6="TRIUMPH_FEATHER",IF(C1576=TRUE,F1576,0),0)/100)*(1+IF(C1587=TRUE,F1587,0)/100)^5*(1+(IF(Skills!A6="BIG_BANG",Inputs!$B$18,Inputs!$B$19))/100)*(B1589*I1566)</f>
        <v/>
      </c>
      <c r="L1566">
        <f>K1566*(MIN(Inputs!$B$23+(F1582-Calc!F22),Inputs!$B$24)/100+Inputs!$B$24/100)/2</f>
        <v/>
      </c>
      <c r="M1566">
        <f>L1566*(1+(Inputs!$B$11+B1593+(F1585-Calc!F25))/100)</f>
        <v/>
      </c>
      <c r="N1566">
        <f>L1566*(1-MIN(Inputs!$B$10+((F1584-Calc!F24)+(F1583-Calc!F23)),100)/100)+M1566*(MIN(Inputs!$B$10+((F1584-Calc!F24)+(F1583-Calc!F23)),100)/100)</f>
        <v/>
      </c>
      <c r="O1566">
        <f>IF(C1566,H1566*N1566*IF(AND(Inputs!$B$39&lt;&gt;"pvp",Inputs!$B$44&gt;0),((Skills!F6*((R1566-1)*IF(Skills!G6&gt;0,Skills!H6/Skills!G6,1)+IF(Skills!G6&gt;0,MIN(Skills!H6,MAX(0,MAX(0,Inputs!$B$44-B1599)-((R1566-1)*IF(Inputs!$B$39="pvp",15,MAX(0.1,Skills!D6-IF(Skills!E6=TRUE,5.0,0))))))/Skills!G6,1)))/Inputs!$B$44),G1566*Q1566)*IF(Inputs!$B$39="pvp",1,(1-Summary!$B$48)*(1)+Summary!$B$48*(MIN(Skills!Q6,Inputs!$B$38))),0)</f>
        <v/>
      </c>
      <c r="P1566">
        <f>IF(B1600=0,0,O1566/B1600)</f>
        <v/>
      </c>
      <c r="Q1566">
        <f>IFERROR(1/IF(Inputs!$B$39="pvp",15,MAX(0.1,Skills!D6-IF(Skills!E6=TRUE,5.0,0))),0)</f>
        <v/>
      </c>
      <c r="R1566">
        <f>IF(AND(Inputs!$B$39&lt;&gt;"pvp",Inputs!$B$44&gt;0),IF(MAX(0,Inputs!$B$44-B1599)&lt;=0,0,(INT(MAX(0,Inputs!$B$44-B1599)/IF(Inputs!$B$39="pvp",15,MAX(0.1,Skills!D6-IF(Skills!E6=TRUE,5.0,0))))+1)),0)</f>
        <v/>
      </c>
    </row>
    <row r="1567">
      <c r="A1567">
        <f>Skills!A7</f>
        <v/>
      </c>
      <c r="B1567">
        <f>Skills!B7</f>
        <v/>
      </c>
      <c r="C1567">
        <f>Inputs!$B$3&gt;=122</f>
        <v/>
      </c>
      <c r="D1567">
        <f>IF(Skills!C7=1,60+Inputs!$B$26+Inputs!$B$30,IF(Skills!C7=2,90+Inputs!$B$27+Inputs!$B$30,IF(Skills!C7=3,120+Inputs!$B$28+Inputs!$B$30,MAX(0,(Inputs!$B$3-100)*3)+Inputs!$B$29+Inputs!$B$30)))</f>
        <v/>
      </c>
      <c r="E1567">
        <f>INDEX(FactorTable!$B$2:$Y$301, MATCH(ROUND(MIN(300,MAX(1,D1567)),0), FactorTable!$A$2:$A$301,0), Skills!L7+1)</f>
        <v/>
      </c>
      <c r="F1567">
        <f>IF(Skills!M7=TRUE,(Skills!K7/10)*(E1567/1000),Skills!K7/10)+Skills!N7</f>
        <v/>
      </c>
      <c r="G1567">
        <f>Calc!G7</f>
        <v/>
      </c>
      <c r="H1567">
        <f>Calc!H7</f>
        <v/>
      </c>
      <c r="I1567">
        <f>IF(Skills!T7&lt;&gt;"",1+(Skills!T7/10)*($Z$3/1000)/100,1)</f>
        <v/>
      </c>
      <c r="J1567">
        <f>((Inputs!$B$6*(1+Inputs!$B$7/100))+(((Inputs!$B$13*(1+Inputs!$B$14/100))-(Inputs!$B$13*(1+Inputs!$B$14/100)))+0.25*(Inputs!$B$15-Inputs!$B$15))*(1+Inputs!$B$7/100))*(F1567/100)</f>
        <v/>
      </c>
      <c r="K1567">
        <f>J1567*(1+(((Inputs!$B$13+IF(Inputs!$B$3&gt;=35,(10*INDEX(FactorTable!$B$2:$Y$301, MATCH(ROUND(MIN(300,MAX(1,Inputs!$B$3)),0), FactorTable!$A$2:$A$301,0), 23)/1000)/100*(Inputs!$B$8*(1+(Inputs!$B$9+B1598)/100)),0))*(1+Inputs!$B$14/100))*0.01+Inputs!$B$15*0.0025)/100)*(1+(Inputs!$B$16+B1592)/100)*(1+IF(Inputs!$B$39="pvp",0,(1-Summary!$B$48)*(Inputs!$B$21+Skills!O7+B1590)+Summary!$B$48*(Inputs!$B$22+Skills!P7+B1591))/100)*(1+Inputs!$B$17/100)*(5000/(6000+Inputs!$B$43*(1-Inputs!$B$20/100)))*(1+Inputs!$B$25/100)*(1+IF(C1578=TRUE,F1578,0)/100)*(1+IF(C1580=TRUE,F1580,0)/100)*(1+IF(Skills!A7="TRIUMPH_FEATHER",IF(C1576=TRUE,F1576,0),0)/100)*(1+IF(C1587=TRUE,F1587,0)/100)^5*(1+(IF(Skills!A7="BIG_BANG",Inputs!$B$18,Inputs!$B$19))/100)*(B1589*I1567)</f>
        <v/>
      </c>
      <c r="L1567">
        <f>K1567*(MIN(Inputs!$B$23+(F1582-Calc!F22),Inputs!$B$24)/100+Inputs!$B$24/100)/2</f>
        <v/>
      </c>
      <c r="M1567">
        <f>L1567*(1+(Inputs!$B$11+B1593+(F1585-Calc!F25))/100)</f>
        <v/>
      </c>
      <c r="N1567">
        <f>L1567*(1-MIN(Inputs!$B$10+((F1584-Calc!F24)+(F1583-Calc!F23)),100)/100)+M1567*(MIN(Inputs!$B$10+((F1584-Calc!F24)+(F1583-Calc!F23)),100)/100)</f>
        <v/>
      </c>
      <c r="O1567">
        <f>IF(C1567,H1567*N1567*IF(AND(Inputs!$B$39&lt;&gt;"pvp",Inputs!$B$44&gt;0),((Skills!F7*((R1567-1)*IF(Skills!G7&gt;0,Skills!H7/Skills!G7,1)+IF(Skills!G7&gt;0,MIN(Skills!H7,MAX(0,MAX(0,Inputs!$B$44-B1599)-((R1567-1)*IF(Inputs!$B$39="pvp",15,MAX(0.1,Skills!D7-IF(Skills!E6=TRUE,5.0,0))))))/Skills!G7,1)))/Inputs!$B$44),G1567*Q1567)*(1-Summary!$B$48),0)</f>
        <v/>
      </c>
      <c r="P1567">
        <f>IF(B1600=0,0,O1567/B1600)</f>
        <v/>
      </c>
      <c r="Q1567">
        <f>IFERROR(1/IF(Inputs!$B$39="pvp",15,MAX(0.1,Skills!D7-IF(Skills!E6=TRUE,5.0,0))),0)</f>
        <v/>
      </c>
      <c r="R1567">
        <f>IF(AND(Inputs!$B$39&lt;&gt;"pvp",Inputs!$B$44&gt;0),IF(MAX(0,Inputs!$B$44-B1599)&lt;=0,0,(INT(MAX(0,Inputs!$B$44-B1599)/IF(Inputs!$B$39="pvp",15,MAX(0.1,Skills!D7-IF(Skills!E6=TRUE,5.0,0))))+1)),0)</f>
        <v/>
      </c>
    </row>
    <row r="1568">
      <c r="A1568">
        <f>Skills!A8</f>
        <v/>
      </c>
      <c r="B1568">
        <f>Skills!B8</f>
        <v/>
      </c>
      <c r="C1568">
        <f>Inputs!$B$3&gt;=105</f>
        <v/>
      </c>
      <c r="D1568">
        <f>IF(Skills!C8=1,60+Inputs!$B$26+Inputs!$B$30,IF(Skills!C8=2,90+Inputs!$B$27+Inputs!$B$30,IF(Skills!C8=3,120+Inputs!$B$28+Inputs!$B$30,MAX(0,(Inputs!$B$3-100)*3)+Inputs!$B$29+Inputs!$B$30)))</f>
        <v/>
      </c>
      <c r="E1568">
        <f>INDEX(FactorTable!$B$2:$Y$301, MATCH(ROUND(MIN(300,MAX(1,D1568)),0), FactorTable!$A$2:$A$301,0), Skills!L8+1)</f>
        <v/>
      </c>
      <c r="F1568">
        <f>IF(Skills!M8=TRUE,(Skills!K8/10)*(E1568/1000),Skills!K8/10)+Skills!N8</f>
        <v/>
      </c>
      <c r="G1568">
        <f>Calc!G8</f>
        <v/>
      </c>
      <c r="H1568">
        <f>Calc!H8</f>
        <v/>
      </c>
      <c r="I1568">
        <f>IF(Skills!T8&lt;&gt;"",1+(Skills!T8/10)*($Z$3/1000)/100,1)</f>
        <v/>
      </c>
      <c r="J1568">
        <f>((Inputs!$B$6*(1+Inputs!$B$7/100))+(((Inputs!$B$13*(1+Inputs!$B$14/100))-(Inputs!$B$13*(1+Inputs!$B$14/100)))+0.25*(Inputs!$B$15-Inputs!$B$15))*(1+Inputs!$B$7/100))*(F1568/100)</f>
        <v/>
      </c>
      <c r="K1568">
        <f>J1568*(1+(((Inputs!$B$13+IF(Inputs!$B$3&gt;=35,(10*INDEX(FactorTable!$B$2:$Y$301, MATCH(ROUND(MIN(300,MAX(1,Inputs!$B$3)),0), FactorTable!$A$2:$A$301,0), 23)/1000)/100*(Inputs!$B$8*(1+(Inputs!$B$9+B1598)/100)),0))*(1+Inputs!$B$14/100))*0.01+Inputs!$B$15*0.0025)/100)*(1+(Inputs!$B$16+B1592)/100)*(1+IF(Inputs!$B$39="pvp",0,(1-Summary!$B$48)*(Inputs!$B$21+Skills!O8+B1590)+Summary!$B$48*(Inputs!$B$22+Skills!P8+B1591))/100)*(1+Inputs!$B$17/100)*(5000/(6000+Inputs!$B$43*(1-Inputs!$B$20/100)))*(1+Inputs!$B$25/100)*(1+IF(C1578=TRUE,F1578,0)/100)*(1+IF(C1580=TRUE,F1580,0)/100)*(1+IF(Skills!A8="TRIUMPH_FEATHER",IF(C1576=TRUE,F1576,0),0)/100)*(1+IF(C1587=TRUE,F1587,0)/100)^5*(1+(IF(Skills!A8="BIG_BANG",Inputs!$B$18,Inputs!$B$19))/100)*(B1589*I1568)</f>
        <v/>
      </c>
      <c r="L1568">
        <f>K1568*(MIN(Inputs!$B$23+(F1582-Calc!F22),Inputs!$B$24)/100+Inputs!$B$24/100)/2</f>
        <v/>
      </c>
      <c r="M1568">
        <f>L1568*(1+(Inputs!$B$11+B1593+(F1585-Calc!F25))/100)</f>
        <v/>
      </c>
      <c r="N1568">
        <f>L1568*(1-MIN(Inputs!$B$10+((F1584-Calc!F24)+(F1583-Calc!F23)),100)/100)+M1568*(MIN(Inputs!$B$10+((F1584-Calc!F24)+(F1583-Calc!F23)),100)/100)</f>
        <v/>
      </c>
      <c r="O1568">
        <f>IF(C1568,H1568*N1568*IF(AND(Inputs!$B$39&lt;&gt;"pvp",Inputs!$B$44&gt;0),((Skills!F8*((R1568-1)*IF(Skills!G8&gt;0,Skills!H8/Skills!G8,1)+IF(Skills!G8&gt;0,MIN(Skills!H8,MAX(0,MAX(0,Inputs!$B$44-B1599)-((R1568-1)*IF(Inputs!$B$39="pvp",15,MAX(0.1,Skills!D8-IF(Skills!E8=TRUE,5.0,0))))))/Skills!G8,1)))/Inputs!$B$44),G1568*Q1568)*IF(Inputs!$B$39="pvp",1,(1-Summary!$B$48)*(1)+Summary!$B$48*(MIN(Skills!Q8,Inputs!$B$38))),0)</f>
        <v/>
      </c>
      <c r="P1568">
        <f>IF(B1600=0,0,O1568/B1600)</f>
        <v/>
      </c>
      <c r="Q1568">
        <f>IFERROR(1/IF(Inputs!$B$39="pvp",15,MAX(0.1,Skills!D8-IF(Skills!E8=TRUE,5.0,0))),0)</f>
        <v/>
      </c>
      <c r="R1568">
        <f>IF(AND(Inputs!$B$39&lt;&gt;"pvp",Inputs!$B$44&gt;0),IF(MAX(0,Inputs!$B$44-B1599)&lt;=0,0,(INT(MAX(0,Inputs!$B$44-B1599)/IF(Inputs!$B$39="pvp",15,MAX(0.1,Skills!D8-IF(Skills!E8=TRUE,5.0,0))))+1)),0)</f>
        <v/>
      </c>
    </row>
    <row r="1569">
      <c r="A1569">
        <f>Skills!A9</f>
        <v/>
      </c>
      <c r="B1569">
        <f>Skills!B9</f>
        <v/>
      </c>
      <c r="C1569">
        <f>Inputs!$B$3&gt;=115</f>
        <v/>
      </c>
      <c r="D1569">
        <f>IF(Skills!C9=1,60+Inputs!$B$26+Inputs!$B$30,IF(Skills!C9=2,90+Inputs!$B$27+Inputs!$B$30,IF(Skills!C9=3,120+Inputs!$B$28+Inputs!$B$30,MAX(0,(Inputs!$B$3-100)*3)+Inputs!$B$29+Inputs!$B$30)))</f>
        <v/>
      </c>
      <c r="E1569">
        <f>INDEX(FactorTable!$B$2:$Y$301, MATCH(ROUND(MIN(300,MAX(1,D1569)),0), FactorTable!$A$2:$A$301,0), Skills!L9+1)</f>
        <v/>
      </c>
      <c r="F1569">
        <f>IF(Skills!M9=TRUE,(Skills!K9/10)*(E1569/1000),Skills!K9/10)+Skills!N9</f>
        <v/>
      </c>
      <c r="G1569">
        <f>Calc!G9</f>
        <v/>
      </c>
      <c r="H1569">
        <f>Calc!H9</f>
        <v/>
      </c>
      <c r="I1569">
        <f>IF(Skills!T9&lt;&gt;"",1+(Skills!T9/10)*($Z$3/1000)/100,1)</f>
        <v/>
      </c>
      <c r="J1569">
        <f>((Inputs!$B$6*(1+Inputs!$B$7/100))+(((Inputs!$B$13*(1+Inputs!$B$14/100))-(Inputs!$B$13*(1+Inputs!$B$14/100)))+0.25*(Inputs!$B$15-Inputs!$B$15))*(1+Inputs!$B$7/100))*(F1569/100)</f>
        <v/>
      </c>
      <c r="K1569">
        <f>J1569*(1+(((Inputs!$B$13+IF(Inputs!$B$3&gt;=35,(10*INDEX(FactorTable!$B$2:$Y$301, MATCH(ROUND(MIN(300,MAX(1,Inputs!$B$3)),0), FactorTable!$A$2:$A$301,0), 23)/1000)/100*(Inputs!$B$8*(1+(Inputs!$B$9+B1598)/100)),0))*(1+Inputs!$B$14/100))*0.01+Inputs!$B$15*0.0025)/100)*(1+(Inputs!$B$16+B1592)/100)*(1+IF(Inputs!$B$39="pvp",0,(1-Summary!$B$48)*(Inputs!$B$21+Skills!O9+B1590)+Summary!$B$48*(Inputs!$B$22+Skills!P9+B1591))/100)*(1+Inputs!$B$17/100)*(5000/(6000+Inputs!$B$43*(1-Inputs!$B$20/100)))*(1+Inputs!$B$25/100)*(1+IF(C1578=TRUE,F1578,0)/100)*(1+IF(C1580=TRUE,F1580,0)/100)*(1+IF(Skills!A9="TRIUMPH_FEATHER",IF(C1576=TRUE,F1576,0),0)/100)*(1+IF(C1587=TRUE,F1587,0)/100)^5*(1+(IF(Skills!A9="BIG_BANG",Inputs!$B$18,Inputs!$B$19))/100)*(B1589*I1569)</f>
        <v/>
      </c>
      <c r="L1569">
        <f>K1569*(MIN(Inputs!$B$23+(F1582-Calc!F22),Inputs!$B$24)/100+Inputs!$B$24/100)/2</f>
        <v/>
      </c>
      <c r="M1569">
        <f>L1569*(1+(Inputs!$B$11+B1593+(F1585-Calc!F25))/100)</f>
        <v/>
      </c>
      <c r="N1569">
        <f>L1569*(1-MIN(Inputs!$B$10+((F1584-Calc!F24)+(F1583-Calc!F23)),100)/100)+M1569*(MIN(Inputs!$B$10+((F1584-Calc!F24)+(F1583-Calc!F23)),100)/100)</f>
        <v/>
      </c>
      <c r="O1569">
        <f>IF(C1569,H1569*N1569*IF(AND(Inputs!$B$39&lt;&gt;"pvp",Inputs!$B$44&gt;0),((Skills!F9*((R1569-1)*IF(Skills!G9&gt;0,Skills!H9/Skills!G9,1)+IF(Skills!G9&gt;0,MIN(Skills!H9,MAX(0,MAX(0,Inputs!$B$44-B1599)-((R1569-1)*IF(Inputs!$B$39="pvp",15,MAX(0.1,Skills!D9-IF(Skills!E9=TRUE,5.0,0))))))/Skills!G9,1)))/Inputs!$B$44),G1569*Q1569)*IF(Inputs!$B$39="pvp",1,(1-Summary!$B$48)*(1)+Summary!$B$48*(MIN(Skills!Q9,Inputs!$B$38))),0)</f>
        <v/>
      </c>
      <c r="P1569">
        <f>IF(B1600=0,0,O1569/B1600)</f>
        <v/>
      </c>
      <c r="Q1569">
        <f>IFERROR(1/IF(Inputs!$B$39="pvp",15,MAX(0.1,Skills!D9-IF(Skills!E9=TRUE,5.0,0))),0)</f>
        <v/>
      </c>
      <c r="R1569">
        <f>IF(AND(Inputs!$B$39&lt;&gt;"pvp",Inputs!$B$44&gt;0),IF(MAX(0,Inputs!$B$44-B1599)&lt;=0,0,(INT(MAX(0,Inputs!$B$44-B1599)/IF(Inputs!$B$39="pvp",15,MAX(0.1,Skills!D9-IF(Skills!E9=TRUE,5.0,0))))+1)),0)</f>
        <v/>
      </c>
    </row>
    <row r="1570">
      <c r="A1570">
        <f>Skills!A10</f>
        <v/>
      </c>
      <c r="B1570">
        <f>Skills!B10</f>
        <v/>
      </c>
      <c r="C1570">
        <f>Inputs!$B$3&gt;=66</f>
        <v/>
      </c>
      <c r="D1570">
        <f>IF(Skills!C10=1,60+Inputs!$B$26+Inputs!$B$30,IF(Skills!C10=2,90+Inputs!$B$27+Inputs!$B$30,IF(Skills!C10=3,120+Inputs!$B$28+Inputs!$B$30,MAX(0,(Inputs!$B$3-100)*3)+Inputs!$B$29+Inputs!$B$30)))</f>
        <v/>
      </c>
      <c r="E1570">
        <f>INDEX(FactorTable!$B$2:$Y$301, MATCH(ROUND(MIN(300,MAX(1,D1570)),0), FactorTable!$A$2:$A$301,0), Skills!L10+1)</f>
        <v/>
      </c>
      <c r="F1570" t="n">
        <v>0</v>
      </c>
      <c r="G1570">
        <f>Calc!G10</f>
        <v/>
      </c>
      <c r="H1570">
        <f>Calc!H10</f>
        <v/>
      </c>
      <c r="I1570">
        <f>IF(Skills!T10&lt;&gt;"",1+(Skills!T10/10)*($Z$3/1000)/100,1)</f>
        <v/>
      </c>
      <c r="J1570" t="inlineStr"/>
      <c r="K1570" t="inlineStr"/>
      <c r="L1570" t="inlineStr"/>
      <c r="M1570" t="inlineStr"/>
      <c r="N1570" t="inlineStr"/>
      <c r="O1570" t="n">
        <v>0</v>
      </c>
      <c r="P1570">
        <f>IF(B1600=0,0,O1570/B1600)</f>
        <v/>
      </c>
      <c r="Q1570">
        <f>IFERROR(1/IF(Inputs!$B$39="pvp",15,MAX(0.1,Skills!D10-IF(Skills!E10=TRUE,5.0,0))),0)</f>
        <v/>
      </c>
      <c r="R1570">
        <f>IF(AND(Inputs!$B$39&lt;&gt;"pvp",Inputs!$B$44&gt;0),IF(MAX(0,Inputs!$B$44-B1599)&lt;=0,0,(INT(MAX(0,Inputs!$B$44-B1599)/IF(Inputs!$B$39="pvp",15,MAX(0.1,Skills!D10-IF(Skills!E10=TRUE,5.0,0))))+1)),0)</f>
        <v/>
      </c>
    </row>
    <row r="1571">
      <c r="A1571">
        <f>Skills!A11</f>
        <v/>
      </c>
      <c r="B1571">
        <f>Skills!B11</f>
        <v/>
      </c>
      <c r="C1571">
        <f>Inputs!$B$3&gt;=69</f>
        <v/>
      </c>
      <c r="D1571">
        <f>IF(Skills!C11=1,60+Inputs!$B$26+Inputs!$B$30,IF(Skills!C11=2,90+Inputs!$B$27+Inputs!$B$30,IF(Skills!C11=3,120+Inputs!$B$28+Inputs!$B$30,MAX(0,(Inputs!$B$3-100)*3)+Inputs!$B$29+Inputs!$B$30)))</f>
        <v/>
      </c>
      <c r="E1571">
        <f>INDEX(FactorTable!$B$2:$Y$301, MATCH(ROUND(MIN(300,MAX(1,D1571)),0), FactorTable!$A$2:$A$301,0), Skills!L11+1)</f>
        <v/>
      </c>
      <c r="F1571">
        <f>IF(Skills!M11=TRUE,(Skills!K11/10)*(E1571/1000),Skills!K11/10)+Skills!N11</f>
        <v/>
      </c>
      <c r="G1571">
        <f>Calc!G11</f>
        <v/>
      </c>
      <c r="H1571">
        <f>Calc!H11</f>
        <v/>
      </c>
      <c r="I1571">
        <f>IF(Skills!T11&lt;&gt;"",1+(Skills!T11/10)*($Z$3/1000)/100,1)</f>
        <v/>
      </c>
      <c r="J1571" t="inlineStr"/>
      <c r="K1571" t="inlineStr"/>
      <c r="L1571" t="inlineStr"/>
      <c r="M1571" t="inlineStr"/>
      <c r="N1571" t="inlineStr"/>
      <c r="O1571" t="n">
        <v>0</v>
      </c>
      <c r="P1571">
        <f>IF(B1600=0,0,O1571/B1600)</f>
        <v/>
      </c>
      <c r="Q1571">
        <f>IFERROR(1/IF(Inputs!$B$39="pvp",15,MAX(0.1,Skills!D11-IF(Skills!E11=TRUE,5.0,0))),0)</f>
        <v/>
      </c>
      <c r="R1571">
        <f>IF(AND(Inputs!$B$39&lt;&gt;"pvp",Inputs!$B$44&gt;0),IF(Inputs!$B$44&lt;=0,0,(INT(Inputs!$B$44/IF(Inputs!$B$39="pvp",15,MAX(0.1,Skills!D11-IF(Skills!E11=TRUE,5.0,0))))+1)),0)</f>
        <v/>
      </c>
    </row>
    <row r="1572">
      <c r="A1572">
        <f>Skills!A12</f>
        <v/>
      </c>
      <c r="B1572">
        <f>Skills!B12</f>
        <v/>
      </c>
      <c r="C1572">
        <f>Inputs!$B$3&gt;=72</f>
        <v/>
      </c>
      <c r="D1572">
        <f>IF(Skills!C12=1,60+Inputs!$B$26+Inputs!$B$30,IF(Skills!C12=2,90+Inputs!$B$27+Inputs!$B$30,IF(Skills!C12=3,120+Inputs!$B$28+Inputs!$B$30,MAX(0,(Inputs!$B$3-100)*3)+Inputs!$B$29+Inputs!$B$30)))</f>
        <v/>
      </c>
      <c r="E1572">
        <f>INDEX(FactorTable!$B$2:$Y$301, MATCH(ROUND(MIN(300,MAX(1,D1572)),0), FactorTable!$A$2:$A$301,0), Skills!L12+1)</f>
        <v/>
      </c>
      <c r="F1572">
        <f>IF(Skills!M12=TRUE,(Skills!K12/10)*(E1572/1000),Skills!K12/10)+Skills!N12</f>
        <v/>
      </c>
      <c r="G1572">
        <f>Calc!G12</f>
        <v/>
      </c>
      <c r="H1572">
        <f>Calc!H12</f>
        <v/>
      </c>
      <c r="I1572">
        <f>IF(Skills!T12&lt;&gt;"",1+(Skills!T12/10)*($Z$3/1000)/100,1)</f>
        <v/>
      </c>
      <c r="J1572" t="inlineStr"/>
      <c r="K1572" t="inlineStr"/>
      <c r="L1572" t="inlineStr"/>
      <c r="M1572" t="inlineStr"/>
      <c r="N1572" t="inlineStr"/>
      <c r="O1572" t="n">
        <v>0</v>
      </c>
      <c r="P1572">
        <f>IF(B1600=0,0,O1572/B1600)</f>
        <v/>
      </c>
      <c r="Q1572">
        <f>IFERROR(1/IF(Inputs!$B$39="pvp",15,MAX(0.1,Skills!D12-IF(Skills!E12=TRUE,5.0,0))),0)</f>
        <v/>
      </c>
      <c r="R1572">
        <f>IF(AND(Inputs!$B$39&lt;&gt;"pvp",Inputs!$B$44&gt;0),IF(MAX(0,Inputs!$B$44-B1599)&lt;=0,0,(INT(MAX(0,Inputs!$B$44-B1599)/IF(Inputs!$B$39="pvp",15,MAX(0.1,Skills!D12-IF(Skills!E12=TRUE,5.0,0))))+1)),0)</f>
        <v/>
      </c>
    </row>
    <row r="1573">
      <c r="A1573">
        <f>Skills!A13</f>
        <v/>
      </c>
      <c r="B1573">
        <f>Skills!B13</f>
        <v/>
      </c>
      <c r="C1573">
        <f>Inputs!$B$3&gt;=60</f>
        <v/>
      </c>
      <c r="D1573">
        <f>IF(Skills!C13=1,60+Inputs!$B$26+Inputs!$B$30,IF(Skills!C13=2,90+Inputs!$B$27+Inputs!$B$30,IF(Skills!C13=3,120+Inputs!$B$28+Inputs!$B$30,MAX(0,(Inputs!$B$3-100)*3)+Inputs!$B$29+Inputs!$B$30)))</f>
        <v/>
      </c>
      <c r="E1573">
        <f>INDEX(FactorTable!$B$2:$Y$301, MATCH(ROUND(MIN(300,MAX(1,D1573)),0), FactorTable!$A$2:$A$301,0), Skills!L13+1)</f>
        <v/>
      </c>
      <c r="F1573">
        <f>IF(Skills!M13=TRUE,(Skills!K13/10)*(E1573/1000),Skills!K13/10)+Skills!N13</f>
        <v/>
      </c>
      <c r="G1573">
        <f>Calc!G13</f>
        <v/>
      </c>
      <c r="H1573">
        <f>Calc!H13</f>
        <v/>
      </c>
      <c r="I1573">
        <f>IF(Skills!T13&lt;&gt;"",1+(Skills!T13/10)*($Z$3/1000)/100,1)</f>
        <v/>
      </c>
      <c r="J1573" t="inlineStr"/>
      <c r="K1573" t="inlineStr"/>
      <c r="L1573" t="inlineStr"/>
      <c r="M1573" t="inlineStr"/>
      <c r="N1573" t="inlineStr"/>
      <c r="O1573" t="n">
        <v>0</v>
      </c>
      <c r="P1573">
        <f>IF(B1600=0,0,O1573/B1600)</f>
        <v/>
      </c>
      <c r="Q1573">
        <f>IFERROR(1/IF(Inputs!$B$39="pvp",15,MAX(0.1,Skills!D13-IF(Skills!E13=TRUE,5.0,0))),0)</f>
        <v/>
      </c>
      <c r="R1573">
        <f>IF(AND(Inputs!$B$39&lt;&gt;"pvp",Inputs!$B$44&gt;0),IF(MAX(0,Inputs!$B$44-B1599)&lt;=0,0,(INT(MAX(0,Inputs!$B$44-B1599)/IF(Inputs!$B$39="pvp",15,MAX(0.1,Skills!D13-IF(Skills!E13=TRUE,5.0,0))))+1)),0)</f>
        <v/>
      </c>
    </row>
    <row r="1574">
      <c r="A1574">
        <f>Skills!A14</f>
        <v/>
      </c>
      <c r="B1574">
        <f>Skills!B14</f>
        <v/>
      </c>
      <c r="C1574">
        <f>Inputs!$B$3&gt;=107</f>
        <v/>
      </c>
      <c r="D1574">
        <f>IF(Skills!C14=1,60+Inputs!$B$26+Inputs!$B$30,IF(Skills!C14=2,90+Inputs!$B$27+Inputs!$B$30,IF(Skills!C14=3,120+Inputs!$B$28+Inputs!$B$30,MAX(0,(Inputs!$B$3-100)*3)+Inputs!$B$29+Inputs!$B$30)))</f>
        <v/>
      </c>
      <c r="E1574">
        <f>INDEX(FactorTable!$B$2:$Y$301, MATCH(ROUND(MIN(300,MAX(1,D1574)),0), FactorTable!$A$2:$A$301,0), Skills!L14+1)</f>
        <v/>
      </c>
      <c r="F1574">
        <f>IF(Skills!M14=TRUE,(Skills!K14/10)*(E1574/1000),Skills!K14/10)+Skills!N14</f>
        <v/>
      </c>
      <c r="G1574">
        <f>Calc!G14</f>
        <v/>
      </c>
      <c r="H1574">
        <f>Calc!H14</f>
        <v/>
      </c>
      <c r="I1574">
        <f>IF(Skills!T14&lt;&gt;"",1+(Skills!T14/10)*($Z$3/1000)/100,1)</f>
        <v/>
      </c>
      <c r="J1574" t="inlineStr"/>
      <c r="K1574" t="inlineStr"/>
      <c r="L1574" t="inlineStr"/>
      <c r="M1574" t="inlineStr"/>
      <c r="N1574" t="inlineStr"/>
      <c r="O1574" t="n">
        <v>0</v>
      </c>
      <c r="P1574">
        <f>IF(B1600=0,0,O1574/B1600)</f>
        <v/>
      </c>
      <c r="Q1574">
        <f>IFERROR(1/IF(Inputs!$B$39="pvp",15,MAX(0.1,Skills!D14-IF(Skills!E14=TRUE,5.0,0))),0)</f>
        <v/>
      </c>
      <c r="R1574">
        <f>IF(AND(Inputs!$B$39&lt;&gt;"pvp",Inputs!$B$44&gt;0),IF(Inputs!$B$44&lt;=0,0,(INT(Inputs!$B$44/IF(Inputs!$B$39="pvp",15,MAX(0.1,Skills!D14-IF(Skills!E14=TRUE,5.0,0))))+1)),0)</f>
        <v/>
      </c>
    </row>
    <row r="1575">
      <c r="A1575">
        <f>Skills!A15</f>
        <v/>
      </c>
      <c r="B1575">
        <f>Skills!B15</f>
        <v/>
      </c>
      <c r="C1575">
        <f>Inputs!$B$3&gt;=63</f>
        <v/>
      </c>
      <c r="D1575">
        <f>IF(Skills!C15=1,60+Inputs!$B$26+Inputs!$B$30,IF(Skills!C15=2,90+Inputs!$B$27+Inputs!$B$30,IF(Skills!C15=3,120+Inputs!$B$28+Inputs!$B$30,MAX(0,(Inputs!$B$3-100)*3)+Inputs!$B$29+Inputs!$B$30)))</f>
        <v/>
      </c>
      <c r="E1575">
        <f>INDEX(FactorTable!$B$2:$Y$301, MATCH(ROUND(MIN(300,MAX(1,D1575)),0), FactorTable!$A$2:$A$301,0), Skills!L15+1)</f>
        <v/>
      </c>
      <c r="F1575">
        <f>IF(Skills!M15=TRUE,(Skills!K15/10)*(E1575/1000),Skills!K15/10)+Skills!N15</f>
        <v/>
      </c>
      <c r="G1575">
        <f>Calc!G15</f>
        <v/>
      </c>
      <c r="H1575">
        <f>Calc!H15</f>
        <v/>
      </c>
      <c r="I1575">
        <f>IF(Skills!T15&lt;&gt;"",1+(Skills!T15/10)*($Z$3/1000)/100,1)</f>
        <v/>
      </c>
      <c r="J1575">
        <f>((Inputs!$B$6*(1+Inputs!$B$7/100))+(((Inputs!$B$13*(1+Inputs!$B$14/100))-(Inputs!$B$13*(1+Inputs!$B$14/100)))+0.25*(Inputs!$B$15-Inputs!$B$15))*(1+Inputs!$B$7/100))*(F1575/100)</f>
        <v/>
      </c>
      <c r="K1575">
        <f>J1575*(1+(((Inputs!$B$13+IF(Inputs!$B$3&gt;=35,(10*INDEX(FactorTable!$B$2:$Y$301, MATCH(ROUND(MIN(300,MAX(1,Inputs!$B$3)),0), FactorTable!$A$2:$A$301,0), 23)/1000)/100*(Inputs!$B$8*(1+(Inputs!$B$9+B1598)/100)),0))*(1+Inputs!$B$14/100))*0.01+Inputs!$B$15*0.0025)/100)*(1+(Inputs!$B$16+B1592)/100)*(1+IF(Inputs!$B$39="pvp",0,(1-Summary!$B$48)*(Inputs!$B$21+Skills!O15+B1590)+Summary!$B$48*(Inputs!$B$22+Skills!P15+B1591))/100)*(1+Inputs!$B$17/100)*(5000/(6000+Inputs!$B$43*(1-Inputs!$B$20/100)))*(1+Inputs!$B$25/100)*(1+IF(C1578=TRUE,F1578,0)/100)*(1+IF(C1580=TRUE,F1580,0)/100)*(1+IF(Skills!A15="TRIUMPH_FEATHER",IF(C1576=TRUE,F1576,0),0)/100)*(1+IF(C1587=TRUE,F1587,0)/100)^5*(1+(IF(Skills!A15="BIG_BANG",Inputs!$B$18,Inputs!$B$19))/100)*(B1589*I1575)</f>
        <v/>
      </c>
      <c r="L1575">
        <f>K1575*(MIN(Inputs!$B$23+(F1582-Calc!F22),Inputs!$B$24)/100+Inputs!$B$24/100)/2</f>
        <v/>
      </c>
      <c r="M1575">
        <f>L1575*(1+(Inputs!$B$11+B1593+(F1585-Calc!F25))/100)</f>
        <v/>
      </c>
      <c r="N1575">
        <f>L1575*(1-MIN(Inputs!$B$10+((F1584-Calc!F24)+(F1583-Calc!F23)),100)/100)+M1575*(MIN(Inputs!$B$10+((F1584-Calc!F24)+(F1583-Calc!F23)),100)/100)</f>
        <v/>
      </c>
      <c r="O1575">
        <f>IF(C1575,Skills!F15*N1575*((IF(Inputs!$B$3&gt;=78,25,15)/100*B1595*10)/(1+IF(Inputs!$B$3&gt;=78,25,15)/100*B1595*10))*(Skills!I15/100*B1595)/(1+Skills!G15*Skills!I15/100*B1595)*IF(Inputs!$B$39="pvp",1,(1-Summary!$B$48)*(1)+Summary!$B$48*(MIN(Skills!Q15,Inputs!$B$38))),0)</f>
        <v/>
      </c>
      <c r="P1575">
        <f>IF(B1600=0,0,O1575/B1600)</f>
        <v/>
      </c>
      <c r="Q1575">
        <f>IFERROR(1/IF(Inputs!$B$39="pvp",15,MAX(0.1,Skills!D15-IF(Skills!E15=TRUE,5.0,0))),0)</f>
        <v/>
      </c>
      <c r="R1575" t="n">
        <v>0</v>
      </c>
    </row>
    <row r="1576">
      <c r="A1576">
        <f>Skills!A16</f>
        <v/>
      </c>
      <c r="B1576">
        <f>Skills!B16</f>
        <v/>
      </c>
      <c r="C1576">
        <f>Inputs!$B$3&gt;=100</f>
        <v/>
      </c>
      <c r="D1576">
        <f>IF(Skills!C16=1,60+Inputs!$B$26+Inputs!$B$30,IF(Skills!C16=2,90+Inputs!$B$27+Inputs!$B$30,IF(Skills!C16=3,120+Inputs!$B$28+Inputs!$B$30,MAX(0,(Inputs!$B$3-100)*3)+Inputs!$B$29+Inputs!$B$30)))</f>
        <v/>
      </c>
      <c r="E1576">
        <f>INDEX(FactorTable!$B$2:$Y$301, MATCH(ROUND(MIN(300,MAX(1,D1576)),0), FactorTable!$A$2:$A$301,0), Skills!L16+1)</f>
        <v/>
      </c>
      <c r="F1576">
        <f>IF(Skills!M16=TRUE,(Skills!K16/10)*(E1576/1000),Skills!K16/10)+Skills!N16</f>
        <v/>
      </c>
      <c r="G1576">
        <f>Calc!G16</f>
        <v/>
      </c>
      <c r="H1576">
        <f>Calc!H16</f>
        <v/>
      </c>
      <c r="I1576">
        <f>IF(Skills!T16&lt;&gt;"",1+(Skills!T16/10)*($Z$3/1000)/100,1)</f>
        <v/>
      </c>
      <c r="J1576" t="inlineStr"/>
      <c r="K1576" t="inlineStr"/>
      <c r="L1576" t="inlineStr"/>
      <c r="M1576" t="inlineStr"/>
      <c r="N1576" t="inlineStr"/>
      <c r="O1576" t="n">
        <v>0</v>
      </c>
      <c r="P1576">
        <f>IF(B1600=0,0,O1576/B1600)</f>
        <v/>
      </c>
      <c r="Q1576">
        <f>IFERROR(1/IF(Inputs!$B$39="pvp",15,MAX(0.1,Skills!D16-IF(Skills!E16=TRUE,5.0,0))),0)</f>
        <v/>
      </c>
      <c r="R1576" t="n">
        <v>0</v>
      </c>
    </row>
    <row r="1577">
      <c r="A1577">
        <f>Skills!A17</f>
        <v/>
      </c>
      <c r="B1577">
        <f>Skills!B17</f>
        <v/>
      </c>
      <c r="C1577">
        <f>Inputs!$B$3&gt;=49</f>
        <v/>
      </c>
      <c r="D1577">
        <f>IF(Skills!C17=1,60+Inputs!$B$26+Inputs!$B$30,IF(Skills!C17=2,90+Inputs!$B$27+Inputs!$B$30,IF(Skills!C17=3,120+Inputs!$B$28+Inputs!$B$30,MAX(0,(Inputs!$B$3-100)*3)+Inputs!$B$29+Inputs!$B$30)))</f>
        <v/>
      </c>
      <c r="E1577">
        <f>INDEX(FactorTable!$B$2:$Y$301, MATCH(ROUND(MIN(300,MAX(1,D1577)),0), FactorTable!$A$2:$A$301,0), Skills!L17+1)</f>
        <v/>
      </c>
      <c r="F1577">
        <f>IF(Skills!M17=TRUE,(Skills!K17/10)*(E1577/1000),Skills!K17/10)+Skills!N17</f>
        <v/>
      </c>
      <c r="G1577">
        <f>Calc!G17</f>
        <v/>
      </c>
      <c r="H1577">
        <f>Calc!H17</f>
        <v/>
      </c>
      <c r="I1577">
        <f>IF(Skills!T17&lt;&gt;"",1+(Skills!T17/10)*($Z$3/1000)/100,1)</f>
        <v/>
      </c>
      <c r="J1577" t="inlineStr"/>
      <c r="K1577" t="inlineStr"/>
      <c r="L1577" t="inlineStr"/>
      <c r="M1577" t="inlineStr"/>
      <c r="N1577" t="inlineStr"/>
      <c r="O1577" t="n">
        <v>0</v>
      </c>
      <c r="P1577">
        <f>IF(B1600=0,0,O1577/B1600)</f>
        <v/>
      </c>
      <c r="Q1577">
        <f>IFERROR(1/IF(Inputs!$B$39="pvp",15,MAX(0.1,Skills!D17-IF(Skills!E17=TRUE,5.0,0))),0)</f>
        <v/>
      </c>
      <c r="R1577" t="n">
        <v>0</v>
      </c>
    </row>
    <row r="1578">
      <c r="A1578">
        <f>Skills!A18</f>
        <v/>
      </c>
      <c r="B1578">
        <f>Skills!B18</f>
        <v/>
      </c>
      <c r="C1578">
        <f>Inputs!$B$3&gt;=75</f>
        <v/>
      </c>
      <c r="D1578">
        <f>IF(Skills!C18=1,60+Inputs!$B$26+Inputs!$B$30,IF(Skills!C18=2,90+Inputs!$B$27+Inputs!$B$30,IF(Skills!C18=3,120+Inputs!$B$28+Inputs!$B$30,MAX(0,(Inputs!$B$3-100)*3)+Inputs!$B$29+Inputs!$B$30)))</f>
        <v/>
      </c>
      <c r="E1578">
        <f>INDEX(FactorTable!$B$2:$Y$301, MATCH(ROUND(MIN(300,MAX(1,D1578)),0), FactorTable!$A$2:$A$301,0), Skills!L18+1)</f>
        <v/>
      </c>
      <c r="F1578">
        <f>IF(Skills!M18=TRUE,(Skills!K18/10)*(E1578/1000),Skills!K18/10)+Skills!N18</f>
        <v/>
      </c>
      <c r="G1578">
        <f>Calc!G18</f>
        <v/>
      </c>
      <c r="H1578">
        <f>Calc!H18</f>
        <v/>
      </c>
      <c r="I1578">
        <f>IF(Skills!T18&lt;&gt;"",1+(Skills!T18/10)*($Z$3/1000)/100,1)</f>
        <v/>
      </c>
      <c r="J1578" t="inlineStr"/>
      <c r="K1578" t="inlineStr"/>
      <c r="L1578" t="inlineStr"/>
      <c r="M1578" t="inlineStr"/>
      <c r="N1578" t="inlineStr"/>
      <c r="O1578" t="n">
        <v>0</v>
      </c>
      <c r="P1578">
        <f>IF(B1600=0,0,O1578/B1600)</f>
        <v/>
      </c>
      <c r="Q1578">
        <f>IFERROR(1/IF(Inputs!$B$39="pvp",15,MAX(0.1,Skills!D18-IF(Skills!E18=TRUE,5.0,0))),0)</f>
        <v/>
      </c>
      <c r="R1578" t="n">
        <v>0</v>
      </c>
    </row>
    <row r="1579">
      <c r="A1579">
        <f>Skills!A19</f>
        <v/>
      </c>
      <c r="B1579">
        <f>Skills!B19</f>
        <v/>
      </c>
      <c r="C1579">
        <f>Inputs!$B$3&gt;=110</f>
        <v/>
      </c>
      <c r="D1579">
        <f>IF(Skills!C19=1,60+Inputs!$B$26+Inputs!$B$30,IF(Skills!C19=2,90+Inputs!$B$27+Inputs!$B$30,IF(Skills!C19=3,120+Inputs!$B$28+Inputs!$B$30,MAX(0,(Inputs!$B$3-100)*3)+Inputs!$B$29+Inputs!$B$30)))</f>
        <v/>
      </c>
      <c r="E1579">
        <f>INDEX(FactorTable!$B$2:$Y$301, MATCH(ROUND(MIN(300,MAX(1,D1579)),0), FactorTable!$A$2:$A$301,0), Skills!L19+1)</f>
        <v/>
      </c>
      <c r="F1579">
        <f>(Skills!K19/10)*(E1579/1000)*64/45+Skills!N19</f>
        <v/>
      </c>
      <c r="G1579">
        <f>Calc!G19</f>
        <v/>
      </c>
      <c r="H1579">
        <f>Calc!H19</f>
        <v/>
      </c>
      <c r="I1579">
        <f>IF(Skills!T19&lt;&gt;"",1+(Skills!T19/10)*($Z$3/1000)/100,1)</f>
        <v/>
      </c>
      <c r="J1579" t="inlineStr"/>
      <c r="K1579" t="inlineStr"/>
      <c r="L1579" t="inlineStr"/>
      <c r="M1579" t="inlineStr"/>
      <c r="N1579" t="inlineStr"/>
      <c r="O1579" t="n">
        <v>0</v>
      </c>
      <c r="P1579">
        <f>IF(B1600=0,0,O1579/B1600)</f>
        <v/>
      </c>
      <c r="Q1579">
        <f>IFERROR(1/IF(Inputs!$B$39="pvp",15,MAX(0.1,Skills!D19-IF(Skills!E19=TRUE,5.0,0))),0)</f>
        <v/>
      </c>
      <c r="R1579">
        <f>IF(AND(Inputs!$B$39&lt;&gt;"pvp",Inputs!$B$44&gt;0),IF(Inputs!$B$44&lt;=0,0,(INT(Inputs!$B$44/IF(Inputs!$B$39="pvp",15,MAX(0.1,Skills!D19-IF(Skills!E19=TRUE,5.0,0))))+1)),0)</f>
        <v/>
      </c>
    </row>
    <row r="1580">
      <c r="A1580">
        <f>Skills!A20</f>
        <v/>
      </c>
      <c r="B1580">
        <f>Skills!B20</f>
        <v/>
      </c>
      <c r="C1580">
        <f>Inputs!$B$3&gt;=125</f>
        <v/>
      </c>
      <c r="D1580">
        <f>IF(Skills!C20=1,60+Inputs!$B$26+Inputs!$B$30,IF(Skills!C20=2,90+Inputs!$B$27+Inputs!$B$30,IF(Skills!C20=3,120+Inputs!$B$28+Inputs!$B$30,MAX(0,(Inputs!$B$3-100)*3)+Inputs!$B$29+Inputs!$B$30)))</f>
        <v/>
      </c>
      <c r="E1580">
        <f>INDEX(FactorTable!$B$2:$Y$301, MATCH(ROUND(MIN(300,MAX(1,D1580)),0), FactorTable!$A$2:$A$301,0), Skills!L20+1)</f>
        <v/>
      </c>
      <c r="F1580">
        <f>IF(Skills!M20=TRUE,(Skills!K20/10)*(E1580/1000),Skills!K20/10)+Skills!N20</f>
        <v/>
      </c>
      <c r="G1580">
        <f>Calc!G20</f>
        <v/>
      </c>
      <c r="H1580">
        <f>Calc!H20</f>
        <v/>
      </c>
      <c r="I1580">
        <f>IF(Skills!T20&lt;&gt;"",1+(Skills!T20/10)*($Z$3/1000)/100,1)</f>
        <v/>
      </c>
      <c r="J1580" t="inlineStr"/>
      <c r="K1580" t="inlineStr"/>
      <c r="L1580" t="inlineStr"/>
      <c r="M1580" t="inlineStr"/>
      <c r="N1580" t="inlineStr"/>
      <c r="O1580" t="n">
        <v>0</v>
      </c>
      <c r="P1580">
        <f>IF(B1600=0,0,O1580/B1600)</f>
        <v/>
      </c>
      <c r="Q1580">
        <f>IFERROR(1/IF(Inputs!$B$39="pvp",15,MAX(0.1,Skills!D20-IF(Skills!E20=TRUE,5.0,0))),0)</f>
        <v/>
      </c>
      <c r="R1580" t="n">
        <v>0</v>
      </c>
    </row>
    <row r="1581">
      <c r="A1581">
        <f>Skills!A21</f>
        <v/>
      </c>
      <c r="B1581">
        <f>Skills!B21</f>
        <v/>
      </c>
      <c r="C1581">
        <f>Inputs!$B$3&gt;=33</f>
        <v/>
      </c>
      <c r="D1581">
        <f>IF(Skills!C21=1,60+Inputs!$B$26+Inputs!$B$30,IF(Skills!C21=2,90+Inputs!$B$27+Inputs!$B$30,IF(Skills!C21=3,120+Inputs!$B$28+Inputs!$B$30,MAX(0,(Inputs!$B$3-100)*3)+Inputs!$B$29+Inputs!$B$30)))</f>
        <v/>
      </c>
      <c r="E1581">
        <f>INDEX(FactorTable!$B$2:$Y$301, MATCH(ROUND(MIN(300,MAX(1,D1581)),0), FactorTable!$A$2:$A$301,0), Skills!L21+1)</f>
        <v/>
      </c>
      <c r="F1581">
        <f>IF(Skills!M21=TRUE,(Skills!K21/10)*(E1581/1000),Skills!K21/10)+Skills!N21</f>
        <v/>
      </c>
      <c r="G1581">
        <f>Calc!G21</f>
        <v/>
      </c>
      <c r="H1581">
        <f>Calc!H21</f>
        <v/>
      </c>
      <c r="I1581">
        <f>IF(Skills!T21&lt;&gt;"",1+(Skills!T21/10)*($Z$3/1000)/100,1)</f>
        <v/>
      </c>
      <c r="J1581" t="inlineStr"/>
      <c r="K1581" t="inlineStr"/>
      <c r="L1581" t="inlineStr"/>
      <c r="M1581" t="inlineStr"/>
      <c r="N1581" t="inlineStr"/>
      <c r="O1581" t="n">
        <v>0</v>
      </c>
      <c r="P1581">
        <f>IF(B1600=0,0,O1581/B1600)</f>
        <v/>
      </c>
      <c r="Q1581">
        <f>IFERROR(1/IF(Inputs!$B$39="pvp",15,MAX(0.1,Skills!D21-IF(Skills!E21=TRUE,5.0,0))),0)</f>
        <v/>
      </c>
      <c r="R1581" t="n">
        <v>0</v>
      </c>
    </row>
    <row r="1582">
      <c r="A1582">
        <f>Skills!A22</f>
        <v/>
      </c>
      <c r="B1582">
        <f>Skills!B22</f>
        <v/>
      </c>
      <c r="C1582">
        <f>Inputs!$B$3&gt;=43</f>
        <v/>
      </c>
      <c r="D1582">
        <f>IF(Skills!C22=1,60+Inputs!$B$26+Inputs!$B$30,IF(Skills!C22=2,90+Inputs!$B$27+Inputs!$B$30,IF(Skills!C22=3,120+Inputs!$B$28+Inputs!$B$30,MAX(0,(Inputs!$B$3-100)*3)+Inputs!$B$29+Inputs!$B$30)))</f>
        <v/>
      </c>
      <c r="E1582">
        <f>INDEX(FactorTable!$B$2:$Y$301, MATCH(ROUND(MIN(300,MAX(1,D1582)),0), FactorTable!$A$2:$A$301,0), Skills!L22+1)</f>
        <v/>
      </c>
      <c r="F1582">
        <f>IF(Skills!M22=TRUE,(Skills!K22/10)*(E1582/1000),Skills!K22/10)+Skills!N22</f>
        <v/>
      </c>
      <c r="G1582">
        <f>Calc!G22</f>
        <v/>
      </c>
      <c r="H1582">
        <f>Calc!H22</f>
        <v/>
      </c>
      <c r="I1582">
        <f>IF(Skills!T22&lt;&gt;"",1+(Skills!T22/10)*($Z$3/1000)/100,1)</f>
        <v/>
      </c>
      <c r="J1582" t="inlineStr"/>
      <c r="K1582" t="inlineStr"/>
      <c r="L1582" t="inlineStr"/>
      <c r="M1582" t="inlineStr"/>
      <c r="N1582" t="inlineStr"/>
      <c r="O1582" t="n">
        <v>0</v>
      </c>
      <c r="P1582">
        <f>IF(B1600=0,0,O1582/B1600)</f>
        <v/>
      </c>
      <c r="Q1582">
        <f>IFERROR(1/IF(Inputs!$B$39="pvp",15,MAX(0.1,Skills!D22-IF(Skills!E22=TRUE,5.0,0))),0)</f>
        <v/>
      </c>
      <c r="R1582" t="n">
        <v>0</v>
      </c>
    </row>
    <row r="1583">
      <c r="A1583">
        <f>Skills!A23</f>
        <v/>
      </c>
      <c r="B1583">
        <f>Skills!B23</f>
        <v/>
      </c>
      <c r="C1583">
        <f>Inputs!$B$3&gt;=50</f>
        <v/>
      </c>
      <c r="D1583">
        <f>IF(Skills!C23=1,60+Inputs!$B$26+Inputs!$B$30,IF(Skills!C23=2,90+Inputs!$B$27+Inputs!$B$30,IF(Skills!C23=3,120+Inputs!$B$28+Inputs!$B$30,MAX(0,(Inputs!$B$3-100)*3)+Inputs!$B$29+Inputs!$B$30)))</f>
        <v/>
      </c>
      <c r="E1583">
        <f>INDEX(FactorTable!$B$2:$Y$301, MATCH(ROUND(MIN(300,MAX(1,D1583)),0), FactorTable!$A$2:$A$301,0), Skills!L23+1)</f>
        <v/>
      </c>
      <c r="F1583">
        <f>IF(Skills!M23=TRUE,(Skills!K23/10)*(E1583/1000),Skills!K23/10)+Skills!N23</f>
        <v/>
      </c>
      <c r="G1583">
        <f>Calc!G23</f>
        <v/>
      </c>
      <c r="H1583">
        <f>Calc!H23</f>
        <v/>
      </c>
      <c r="I1583">
        <f>IF(Skills!T23&lt;&gt;"",1+(Skills!T23/10)*($Z$3/1000)/100,1)</f>
        <v/>
      </c>
      <c r="J1583" t="inlineStr"/>
      <c r="K1583" t="inlineStr"/>
      <c r="L1583" t="inlineStr"/>
      <c r="M1583" t="inlineStr"/>
      <c r="N1583" t="inlineStr"/>
      <c r="O1583" t="n">
        <v>0</v>
      </c>
      <c r="P1583">
        <f>IF(B1600=0,0,O1583/B1600)</f>
        <v/>
      </c>
      <c r="Q1583">
        <f>IFERROR(1/IF(Inputs!$B$39="pvp",15,MAX(0.1,Skills!D23-IF(Skills!E23=TRUE,5.0,0))),0)</f>
        <v/>
      </c>
      <c r="R1583" t="n">
        <v>0</v>
      </c>
    </row>
    <row r="1584">
      <c r="A1584">
        <f>Skills!A24</f>
        <v/>
      </c>
      <c r="B1584">
        <f>Skills!B24</f>
        <v/>
      </c>
      <c r="C1584">
        <f>Inputs!$B$3&gt;=74</f>
        <v/>
      </c>
      <c r="D1584">
        <f>IF(Skills!C24=1,60+Inputs!$B$26+Inputs!$B$30,IF(Skills!C24=2,90+Inputs!$B$27+Inputs!$B$30,IF(Skills!C24=3,120+Inputs!$B$28+Inputs!$B$30,MAX(0,(Inputs!$B$3-100)*3)+Inputs!$B$29+Inputs!$B$30)))</f>
        <v/>
      </c>
      <c r="E1584">
        <f>INDEX(FactorTable!$B$2:$Y$301, MATCH(ROUND(MIN(300,MAX(1,D1584)),0), FactorTable!$A$2:$A$301,0), Skills!L24+1)</f>
        <v/>
      </c>
      <c r="F1584">
        <f>IF(Skills!M24=TRUE,(Skills!K24/10)*(E1584/1000),Skills!K24/10)+Skills!N24</f>
        <v/>
      </c>
      <c r="G1584">
        <f>Calc!G24</f>
        <v/>
      </c>
      <c r="H1584">
        <f>Calc!H24</f>
        <v/>
      </c>
      <c r="I1584">
        <f>IF(Skills!T24&lt;&gt;"",1+(Skills!T24/10)*($Z$3/1000)/100,1)</f>
        <v/>
      </c>
      <c r="J1584" t="inlineStr"/>
      <c r="K1584" t="inlineStr"/>
      <c r="L1584" t="inlineStr"/>
      <c r="M1584" t="inlineStr"/>
      <c r="N1584" t="inlineStr"/>
      <c r="O1584" t="n">
        <v>0</v>
      </c>
      <c r="P1584">
        <f>IF(B1600=0,0,O1584/B1600)</f>
        <v/>
      </c>
      <c r="Q1584">
        <f>IFERROR(1/IF(Inputs!$B$39="pvp",15,MAX(0.1,Skills!D24-IF(Skills!E24=TRUE,5.0,0))),0)</f>
        <v/>
      </c>
      <c r="R1584" t="n">
        <v>0</v>
      </c>
    </row>
    <row r="1585">
      <c r="A1585">
        <f>Skills!A25</f>
        <v/>
      </c>
      <c r="B1585">
        <f>Skills!B25</f>
        <v/>
      </c>
      <c r="C1585">
        <f>Inputs!$B$3&gt;=74</f>
        <v/>
      </c>
      <c r="D1585">
        <f>IF(Skills!C25=1,60+Inputs!$B$26+Inputs!$B$30,IF(Skills!C25=2,90+Inputs!$B$27+Inputs!$B$30,IF(Skills!C25=3,120+Inputs!$B$28+Inputs!$B$30,MAX(0,(Inputs!$B$3-100)*3)+Inputs!$B$29+Inputs!$B$30)))</f>
        <v/>
      </c>
      <c r="E1585">
        <f>INDEX(FactorTable!$B$2:$Y$301, MATCH(ROUND(MIN(300,MAX(1,D1585)),0), FactorTable!$A$2:$A$301,0), Skills!L25+1)</f>
        <v/>
      </c>
      <c r="F1585">
        <f>IF(Skills!M25=TRUE,(Skills!K25/10)*(E1585/1000),Skills!K25/10)+Skills!N25</f>
        <v/>
      </c>
      <c r="G1585">
        <f>Calc!G25</f>
        <v/>
      </c>
      <c r="H1585">
        <f>Calc!H25</f>
        <v/>
      </c>
      <c r="I1585">
        <f>IF(Skills!T25&lt;&gt;"",1+(Skills!T25/10)*($Z$3/1000)/100,1)</f>
        <v/>
      </c>
      <c r="J1585" t="inlineStr"/>
      <c r="K1585" t="inlineStr"/>
      <c r="L1585" t="inlineStr"/>
      <c r="M1585" t="inlineStr"/>
      <c r="N1585" t="inlineStr"/>
      <c r="O1585" t="n">
        <v>0</v>
      </c>
      <c r="P1585">
        <f>IF(B1600=0,0,O1585/B1600)</f>
        <v/>
      </c>
      <c r="Q1585">
        <f>IFERROR(1/IF(Inputs!$B$39="pvp",15,MAX(0.1,Skills!D25-IF(Skills!E25=TRUE,5.0,0))),0)</f>
        <v/>
      </c>
      <c r="R1585" t="n">
        <v>0</v>
      </c>
    </row>
    <row r="1586">
      <c r="A1586">
        <f>Skills!A26</f>
        <v/>
      </c>
      <c r="B1586">
        <f>Skills!B26</f>
        <v/>
      </c>
      <c r="C1586">
        <f>Inputs!$B$3&gt;=117</f>
        <v/>
      </c>
      <c r="D1586">
        <f>IF(Skills!C26=1,60+Inputs!$B$26+Inputs!$B$30,IF(Skills!C26=2,90+Inputs!$B$27+Inputs!$B$30,IF(Skills!C26=3,120+Inputs!$B$28+Inputs!$B$30,MAX(0,(Inputs!$B$3-100)*3)+Inputs!$B$29+Inputs!$B$30)))</f>
        <v/>
      </c>
      <c r="E1586">
        <f>INDEX(FactorTable!$B$2:$Y$301, MATCH(ROUND(MIN(300,MAX(1,D1586)),0), FactorTable!$A$2:$A$301,0), Skills!L26+1)</f>
        <v/>
      </c>
      <c r="F1586">
        <f>IF(Skills!M26=TRUE,(Skills!K26/10)*(E1586/1000),Skills!K26/10)+Skills!N26</f>
        <v/>
      </c>
      <c r="G1586">
        <f>Calc!G26</f>
        <v/>
      </c>
      <c r="H1586">
        <f>Calc!H26</f>
        <v/>
      </c>
      <c r="I1586">
        <f>IF(Skills!T26&lt;&gt;"",1+(Skills!T26/10)*($Z$3/1000)/100,1)</f>
        <v/>
      </c>
      <c r="J1586" t="inlineStr"/>
      <c r="K1586" t="inlineStr"/>
      <c r="L1586" t="inlineStr"/>
      <c r="M1586" t="inlineStr"/>
      <c r="N1586" t="inlineStr"/>
      <c r="O1586" t="n">
        <v>0</v>
      </c>
      <c r="P1586">
        <f>IF(B1600=0,0,O1586/B1600)</f>
        <v/>
      </c>
      <c r="Q1586">
        <f>IFERROR(1/IF(Inputs!$B$39="pvp",15,MAX(0.1,Skills!D26-IF(Skills!E26=TRUE,5.0,0))),0)</f>
        <v/>
      </c>
      <c r="R1586" t="n">
        <v>0</v>
      </c>
    </row>
    <row r="1587">
      <c r="A1587">
        <f>Skills!A27</f>
        <v/>
      </c>
      <c r="B1587">
        <f>Skills!B27</f>
        <v/>
      </c>
      <c r="C1587">
        <f>Inputs!$B$3&gt;=120</f>
        <v/>
      </c>
      <c r="D1587">
        <f>IF(Skills!C27=1,60+Inputs!$B$26+Inputs!$B$30,IF(Skills!C27=2,90+Inputs!$B$27+Inputs!$B$30,IF(Skills!C27=3,120+Inputs!$B$28+Inputs!$B$30,MAX(0,(Inputs!$B$3-100)*3)+Inputs!$B$29+Inputs!$B$30)))</f>
        <v/>
      </c>
      <c r="E1587">
        <f>INDEX(FactorTable!$B$2:$Y$301, MATCH(ROUND(MIN(300,MAX(1,D1587)),0), FactorTable!$A$2:$A$301,0), Skills!L27+1)</f>
        <v/>
      </c>
      <c r="F1587">
        <f>IF(Skills!M27=TRUE,(Skills!K27/10)*(E1587/1000),Skills!K27/10)+Skills!N27</f>
        <v/>
      </c>
      <c r="G1587">
        <f>Calc!G27</f>
        <v/>
      </c>
      <c r="H1587">
        <f>Calc!H27</f>
        <v/>
      </c>
      <c r="I1587">
        <f>IF(Skills!T27&lt;&gt;"",1+(Skills!T27/10)*($Z$3/1000)/100,1)</f>
        <v/>
      </c>
      <c r="J1587" t="inlineStr"/>
      <c r="K1587" t="inlineStr"/>
      <c r="L1587" t="inlineStr"/>
      <c r="M1587" t="inlineStr"/>
      <c r="N1587" t="inlineStr"/>
      <c r="O1587" t="n">
        <v>0</v>
      </c>
      <c r="P1587">
        <f>IF(B1600=0,0,O1587/B1600)</f>
        <v/>
      </c>
      <c r="Q1587">
        <f>IFERROR(1/IF(Inputs!$B$39="pvp",15,MAX(0.1,Skills!D27-IF(Skills!E27=TRUE,5.0,0))),0)</f>
        <v/>
      </c>
      <c r="R1587" t="n">
        <v>0</v>
      </c>
    </row>
    <row r="1589">
      <c r="A1589" t="inlineStr">
        <is>
          <t>Average Buff Multiplier</t>
        </is>
      </c>
      <c r="B1589">
        <f>(1+(IF(C1563=TRUE,F1563*IF(AND(Inputs!$B$39&lt;&gt;"pvp",Inputs!$B$44&gt;0),(((R1563-1)*(Skills!S3*(1+(Inputs!$B$35+IF(Inputs!$B$3&gt;=117,F1586,0))/100))+MIN((Skills!S3*(1+(Inputs!$B$35+IF(Inputs!$B$3&gt;=117,F1586,0))/100)),MAX(0,Inputs!$B$44-((R1563-1)*Skills!D3))))/Inputs!$B$44),IF(Inputs!$B$39="pvp",MIN((Skills!S3*(1+(Inputs!$B$35+IF(Inputs!$B$3&gt;=117,F1586,0))/100)),15)/15,(Skills!S3*(1+(Inputs!$B$35+IF(Inputs!$B$3&gt;=117,F1586,0))/100))/Skills!D3)),0)+IF(C1564=TRUE,F1564*IF(AND(Inputs!$B$39&lt;&gt;"pvp",Inputs!$B$44&gt;0),(((R1564-1)*(Skills!S4*(1+(Inputs!$B$35+IF(Inputs!$B$3&gt;=117,F1586,0))/100))+MIN((Skills!S4*(1+(Inputs!$B$35+IF(Inputs!$B$3&gt;=117,F1586,0))/100)),MAX(0,Inputs!$B$44-((R1564-1)*Skills!D4))))/Inputs!$B$44),IF(Inputs!$B$39="pvp",MIN((Skills!S4*(1+(Inputs!$B$35+IF(Inputs!$B$3&gt;=117,F1586,0))/100)),15)/15,(Skills!S4*(1+(Inputs!$B$35+IF(Inputs!$B$3&gt;=117,F1586,0))/100))/Skills!D4)),0)+IF(C1565=TRUE,F1565*IF(AND(Inputs!$B$39&lt;&gt;"pvp",Inputs!$B$44&gt;0),(((R1565-1)*(Skills!S5*(1+(Inputs!$B$35+IF(Inputs!$B$3&gt;=117,F1586,0))/100))+MIN((Skills!S5*(1+(Inputs!$B$35+IF(Inputs!$B$3&gt;=117,F1586,0))/100)),MAX(0,Inputs!$B$44-((R1565-1)*Skills!D5))))/Inputs!$B$44),IF(Inputs!$B$39="pvp",MIN((Skills!S5*(1+(Inputs!$B$35+IF(Inputs!$B$3&gt;=117,F1586,0))/100)),15)/15,(Skills!S5*(1+(Inputs!$B$35+IF(Inputs!$B$3&gt;=117,F1586,0))/100))/Skills!D5)),0)+IF(C1571=TRUE,F1571*IF(AND(Inputs!$B$39&lt;&gt;"pvp",Inputs!$B$44&gt;0),(((R1571-1)*(Skills!S11*(1+(Inputs!$B$35+IF(Inputs!$B$3&gt;=117,F1586,0))/100))+MIN((Skills!S11*(1+(Inputs!$B$35+IF(Inputs!$B$3&gt;=117,F1586,0))/100)),MAX(0,Inputs!$B$44-((R1571-1)*Skills!D11))))/Inputs!$B$44),IF(Inputs!$B$39="pvp",MIN((Skills!S11*(1+(Inputs!$B$35+IF(Inputs!$B$3&gt;=117,F1586,0))/100)),15)/15,(Skills!S11*(1+(Inputs!$B$35+IF(Inputs!$B$3&gt;=117,F1586,0))/100))/Skills!D11)),0))/100)*IF(C1574=TRUE,(1+F1574*IF(AND(Inputs!$B$39&lt;&gt;"pvp",Inputs!$B$44&gt;0),(((R1574-1)*(Skills!S14*(1+(Inputs!$B$35+IF(Inputs!$B$3&gt;=117,F1586,0))/100))+MIN((Skills!S14*(1+(Inputs!$B$35+IF(Inputs!$B$3&gt;=117,F1586,0))/100)),MAX(0,Inputs!$B$44-((R1574-1)*Skills!D14))))/Inputs!$B$44),IF(Inputs!$B$39="pvp",MIN((Skills!S14*(1+(Inputs!$B$35+IF(Inputs!$B$3&gt;=117,F1586,0))/100)),15)/15,(Skills!S14*(1+(Inputs!$B$35+IF(Inputs!$B$3&gt;=117,F1586,0))/100))/Skills!D14))/100),1)*IF(C1579=TRUE,(1+F1579*IF(AND(Inputs!$B$39&lt;&gt;"pvp",Inputs!$B$44&gt;0),(((R1579-1)*(Skills!S19*(1+(Inputs!$B$35+IF(Inputs!$B$3&gt;=117,F1586,0))/100))+MIN((Skills!S19*(1+(Inputs!$B$35+IF(Inputs!$B$3&gt;=117,F1586,0))/100)),MAX(0,Inputs!$B$44-((R1579-1)*Skills!D19))))/Inputs!$B$44),IF(Inputs!$B$39="pvp",MIN((Skills!S19*(1+(Inputs!$B$35+IF(Inputs!$B$3&gt;=117,F1586,0))/100)),15)/15,(Skills!S19*(1+(Inputs!$B$35+IF(Inputs!$B$3&gt;=117,F1586,0))/100))/Skills!D19))/100),1)</f>
        <v/>
      </c>
    </row>
    <row r="1590">
      <c r="A1590" t="inlineStr">
        <is>
          <t>Monster Damage Taken Bonus % (Holy Fountain)</t>
        </is>
      </c>
      <c r="B1590">
        <f>IF(Inputs!$B$3&gt;=68,20*IF(Inputs!$B$39="pvp",MIN((15*(1+(Inputs!$B$35+IF(Inputs!$B$3&gt;=117,F1586,0))/100)),15)/15,(15*(1+(Inputs!$B$35+IF(Inputs!$B$3&gt;=117,F1586,0))/100))/Skills!D10),0)</f>
        <v/>
      </c>
    </row>
    <row r="1591">
      <c r="A1591" t="inlineStr">
        <is>
          <t>Normal Monster Damage Bonus % (Holy Symbol)</t>
        </is>
      </c>
      <c r="B1591">
        <f>IF(C1572=TRUE,F1572*IF(AND(Inputs!$B$39&lt;&gt;"pvp",Inputs!$B$44&gt;0),(((R1572-1)*(Skills!S12*(1+(Inputs!$B$35+IF(Inputs!$B$3&gt;=117,F1586,0))/100))+MIN((Skills!S12*(1+(Inputs!$B$35+IF(Inputs!$B$3&gt;=117,F1586,0))/100)),MAX(0,Inputs!$B$44-((R1572-1)*Skills!D12))))/Inputs!$B$44),IF(Inputs!$B$39="pvp",MIN((Skills!S12*(1+(Inputs!$B$35+IF(Inputs!$B$3&gt;=117,F1586,0))/100)),15)/15,(Skills!S12*(1+(Inputs!$B$35+IF(Inputs!$B$3&gt;=117,F1586,0))/100))/Skills!D12)),0)</f>
        <v/>
      </c>
    </row>
    <row r="1592">
      <c r="A1592" t="inlineStr">
        <is>
          <t>Damage % Bonus (Holy Symbol - Damage Boost)</t>
        </is>
      </c>
      <c r="B1592">
        <f>Skills!O12</f>
        <v/>
      </c>
    </row>
    <row r="1593">
      <c r="A1593" t="inlineStr">
        <is>
          <t>Crit Damage % Bonus (Blood of the Divine)</t>
        </is>
      </c>
      <c r="B1593">
        <f>4*IF(C1580=TRUE,F1580,0)</f>
        <v/>
      </c>
    </row>
    <row r="1594">
      <c r="A1594" t="inlineStr">
        <is>
          <t>Attack Speed Bonus %</t>
        </is>
      </c>
      <c r="B1594">
        <f>IF(C1577=TRUE,F1577+(F1581-Calc!F21),0)+IF(Inputs!$B$3&gt;=134,15,0)</f>
        <v/>
      </c>
    </row>
    <row r="1595">
      <c r="A1595" t="inlineStr">
        <is>
          <t>Actions Per Second</t>
        </is>
      </c>
      <c r="B1595">
        <f>1+MIN(150,150*(1-(1-Inputs!$B$12/150)*(1-B1594/150)))/100</f>
        <v/>
      </c>
    </row>
    <row r="1596">
      <c r="A1596" t="inlineStr">
        <is>
          <t>Skill + Buff Cast Rate</t>
        </is>
      </c>
      <c r="B1596">
        <f>IF(AND(Inputs!$B$39&lt;&gt;"pvp",Inputs!$B$44&gt;0),SUMPRODUCT((Skills!E2:E27=TRUE)*(C1562:C1587=TRUE)*R1562:R1587)/Inputs!$B$44,SUMPRODUCT((Skills!E2:E27=TRUE)*(C1562:C1587=TRUE)*Q1562:Q1587))</f>
        <v/>
      </c>
    </row>
    <row r="1597">
      <c r="A1597" t="inlineStr">
        <is>
          <t>Big Bang Casts Per Second</t>
        </is>
      </c>
      <c r="B1597">
        <f>MAX(0,B1595-B1596)</f>
        <v/>
      </c>
    </row>
    <row r="1598">
      <c r="A1598" t="inlineStr">
        <is>
          <t>Defense % Bonus (Divine Protection)</t>
        </is>
      </c>
      <c r="B1598">
        <f>IF(C1573=TRUE,F1573*IF(AND(Inputs!$B$39&lt;&gt;"pvp",Inputs!$B$44&gt;0),(((R1573-1)*(Skills!S13*(1+(Inputs!$B$35+IF(Inputs!$B$3&gt;=117,F1586,0))/100))+MIN((Skills!S13*(1+(Inputs!$B$35+IF(Inputs!$B$3&gt;=117,F1586,0))/100)),MAX(0,Inputs!$B$44-((R1573-1)*Skills!D13))))/Inputs!$B$44),IF(Inputs!$B$39="pvp",MIN((Skills!S13*(1+(Inputs!$B$35+IF(Inputs!$B$3&gt;=117,F1586,0))/100)),15)/15,(Skills!S13*(1+(Inputs!$B$35+IF(Inputs!$B$3&gt;=117,F1586,0))/100))/Skills!D13)),0)</f>
        <v/>
      </c>
    </row>
    <row r="1599">
      <c r="A1599" t="inlineStr">
        <is>
          <t>Buff-Casting Startup Delay (s, fixed-duration only)</t>
        </is>
      </c>
      <c r="B1599">
        <f>IF(AND(Inputs!$B$39&lt;&gt;"pvp",Inputs!$B$44&gt;0),SUMPRODUCT((Skills!S2:S27&gt;0)*(Skills!E2:E27=TRUE)*(C1562:C1587=TRUE))/B1595,0)</f>
        <v/>
      </c>
    </row>
    <row r="1600">
      <c r="A1600" s="5" t="inlineStr">
        <is>
          <t>TOTAL DPS</t>
        </is>
      </c>
      <c r="B1600" s="5">
        <f>SUM(O1562:O1587)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IF(Inputs!$B$10&gt;=100,Sensitivity!H17,Sensitivity!H16)</f>
        <v/>
      </c>
    </row>
    <row r="67">
      <c r="A67" t="inlineStr">
        <is>
          <t>ALL</t>
        </is>
      </c>
      <c r="B67" t="inlineStr">
        <is>
          <t>rare</t>
        </is>
      </c>
      <c r="C67" t="n">
        <v>2</v>
      </c>
      <c r="D67" t="inlineStr">
        <is>
          <t>Critical Rate %</t>
        </is>
      </c>
      <c r="E67" t="n">
        <v>4.5</v>
      </c>
      <c r="F67" t="n">
        <v>0.6</v>
      </c>
      <c r="G67" t="b">
        <v>1</v>
      </c>
      <c r="H67">
        <f>IF(Inputs!$B$10&gt;=100,Sensitivity!H17,Sensitivity!H16)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IF(Inputs!$B$10&gt;=100,Sensitivity!H17,Sensitivity!H16)</f>
        <v/>
      </c>
    </row>
    <row r="99">
      <c r="A99" t="inlineStr">
        <is>
          <t>ALL</t>
        </is>
      </c>
      <c r="B99" t="inlineStr">
        <is>
          <t>rare</t>
        </is>
      </c>
      <c r="C99" t="n">
        <v>3</v>
      </c>
      <c r="D99" t="inlineStr">
        <is>
          <t>Critical Rate %</t>
        </is>
      </c>
      <c r="E99" t="n">
        <v>4.5</v>
      </c>
      <c r="F99" t="n">
        <v>0.2</v>
      </c>
      <c r="G99" t="b">
        <v>1</v>
      </c>
      <c r="H99">
        <f>IF(Inputs!$B$10&gt;=100,Sensitivity!H17,Sensitivity!H16)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IF(Inputs!$B$10&gt;=100,Sensitivity!H17,Sensitivity!H16)</f>
        <v/>
      </c>
    </row>
    <row r="147">
      <c r="A147" t="inlineStr">
        <is>
          <t>ALL</t>
        </is>
      </c>
      <c r="B147" t="inlineStr">
        <is>
          <t>epic</t>
        </is>
      </c>
      <c r="C147" t="n">
        <v>2</v>
      </c>
      <c r="D147" t="inlineStr">
        <is>
          <t>Critical Rate %</t>
        </is>
      </c>
      <c r="E147" t="n">
        <v>6</v>
      </c>
      <c r="F147" t="n">
        <v>0.6</v>
      </c>
      <c r="G147" t="b">
        <v>1</v>
      </c>
      <c r="H147">
        <f>IF(Inputs!$B$10&gt;=100,Sensitivity!H17,Sensitivity!H16)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IF(Inputs!$B$10&gt;=100,Sensitivity!H17,Sensitivity!H16)</f>
        <v/>
      </c>
    </row>
    <row r="179">
      <c r="A179" t="inlineStr">
        <is>
          <t>ALL</t>
        </is>
      </c>
      <c r="B179" t="inlineStr">
        <is>
          <t>epic</t>
        </is>
      </c>
      <c r="C179" t="n">
        <v>3</v>
      </c>
      <c r="D179" t="inlineStr">
        <is>
          <t>Critical Rate %</t>
        </is>
      </c>
      <c r="E179" t="n">
        <v>6</v>
      </c>
      <c r="F179" t="n">
        <v>0.2</v>
      </c>
      <c r="G179" t="b">
        <v>1</v>
      </c>
      <c r="H179">
        <f>IF(Inputs!$B$10&gt;=100,Sensitivity!H17,Sensitivity!H16)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IF(Inputs!$B$10&gt;=100,Sensitivity!H17,Sensitivity!H16)</f>
        <v/>
      </c>
    </row>
    <row r="227">
      <c r="A227" t="inlineStr">
        <is>
          <t>ALL</t>
        </is>
      </c>
      <c r="B227" t="inlineStr">
        <is>
          <t>unique</t>
        </is>
      </c>
      <c r="C227" t="n">
        <v>2</v>
      </c>
      <c r="D227" t="inlineStr">
        <is>
          <t>Critical Rate %</t>
        </is>
      </c>
      <c r="E227" t="n">
        <v>9</v>
      </c>
      <c r="F227" t="n">
        <v>0.6</v>
      </c>
      <c r="G227" t="b">
        <v>1</v>
      </c>
      <c r="H227">
        <f>IF(Inputs!$B$10&gt;=100,Sensitivity!H17,Sensitivity!H16)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IF(Inputs!$B$10&gt;=100,Sensitivity!H17,Sensitivity!H16)</f>
        <v/>
      </c>
    </row>
    <row r="259">
      <c r="A259" t="inlineStr">
        <is>
          <t>ALL</t>
        </is>
      </c>
      <c r="B259" t="inlineStr">
        <is>
          <t>unique</t>
        </is>
      </c>
      <c r="C259" t="n">
        <v>3</v>
      </c>
      <c r="D259" t="inlineStr">
        <is>
          <t>Critical Rate %</t>
        </is>
      </c>
      <c r="E259" t="n">
        <v>9</v>
      </c>
      <c r="F259" t="n">
        <v>0.2</v>
      </c>
      <c r="G259" t="b">
        <v>1</v>
      </c>
      <c r="H259">
        <f>IF(Inputs!$B$10&gt;=100,Sensitivity!H17,Sensitivity!H16)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IF(Inputs!$B$10&gt;=100,Sensitivity!H17,Sensitivity!H16)</f>
        <v/>
      </c>
    </row>
    <row r="307">
      <c r="A307" t="inlineStr">
        <is>
          <t>ALL</t>
        </is>
      </c>
      <c r="B307" t="inlineStr">
        <is>
          <t>legendary</t>
        </is>
      </c>
      <c r="C307" t="n">
        <v>2</v>
      </c>
      <c r="D307" t="inlineStr">
        <is>
          <t>Critical Rate %</t>
        </is>
      </c>
      <c r="E307" t="n">
        <v>12</v>
      </c>
      <c r="F307" t="n">
        <v>0.6</v>
      </c>
      <c r="G307" t="b">
        <v>1</v>
      </c>
      <c r="H307">
        <f>IF(Inputs!$B$10&gt;=100,Sensitivity!H17,Sensitivity!H16)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IF(Inputs!$B$10&gt;=100,Sensitivity!H17,Sensitivity!H16)</f>
        <v/>
      </c>
    </row>
    <row r="339">
      <c r="A339" t="inlineStr">
        <is>
          <t>ALL</t>
        </is>
      </c>
      <c r="B339" t="inlineStr">
        <is>
          <t>legendary</t>
        </is>
      </c>
      <c r="C339" t="n">
        <v>3</v>
      </c>
      <c r="D339" t="inlineStr">
        <is>
          <t>Critical Rate %</t>
        </is>
      </c>
      <c r="E339" t="n">
        <v>12</v>
      </c>
      <c r="F339" t="n">
        <v>0.2</v>
      </c>
      <c r="G339" t="b">
        <v>1</v>
      </c>
      <c r="H339">
        <f>IF(Inputs!$B$10&gt;=100,Sensitivity!H17,Sensitivity!H16)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IF(Inputs!$B$10&gt;=100,Sensitivity!H17,Sensitivity!H16)</f>
        <v/>
      </c>
    </row>
    <row r="387">
      <c r="A387" t="inlineStr">
        <is>
          <t>ALL</t>
        </is>
      </c>
      <c r="B387" t="inlineStr">
        <is>
          <t>mystic</t>
        </is>
      </c>
      <c r="C387" t="n">
        <v>2</v>
      </c>
      <c r="D387" t="inlineStr">
        <is>
          <t>Critical Rate %</t>
        </is>
      </c>
      <c r="E387" t="n">
        <v>15</v>
      </c>
      <c r="F387" t="n">
        <v>0.6</v>
      </c>
      <c r="G387" t="b">
        <v>1</v>
      </c>
      <c r="H387">
        <f>IF(Inputs!$B$10&gt;=100,Sensitivity!H17,Sensitivity!H16)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IF(Inputs!$B$10&gt;=100,Sensitivity!H17,Sensitivity!H16)</f>
        <v/>
      </c>
    </row>
    <row r="419">
      <c r="A419" t="inlineStr">
        <is>
          <t>ALL</t>
        </is>
      </c>
      <c r="B419" t="inlineStr">
        <is>
          <t>mystic</t>
        </is>
      </c>
      <c r="C419" t="n">
        <v>3</v>
      </c>
      <c r="D419" t="inlineStr">
        <is>
          <t>Critical Rate %</t>
        </is>
      </c>
      <c r="E419" t="n">
        <v>15</v>
      </c>
      <c r="F419" t="n">
        <v>0.2</v>
      </c>
      <c r="G419" t="b">
        <v>1</v>
      </c>
      <c r="H419">
        <f>IF(Inputs!$B$10&gt;=100,Sensitivity!H17,Sensitivity!H16)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2026-09-18T10:47:27Z</dcterms:created>
  <dcterms:modified xsi:type="dcterms:W3CDTF">2026-09-18T10:47:27Z</dcterms:modified>
</cp:coreProperties>
</file>